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858f01f94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9ef4d5db3547ab"/>
    <x:sheet xmlns:r="http://schemas.openxmlformats.org/officeDocument/2006/relationships" name="Dicionario" sheetId="2" r:id="Raf28396b13f942b7"/>
    <x:sheet xmlns:r="http://schemas.openxmlformats.org/officeDocument/2006/relationships" name="Dim_Unidade" sheetId="3" r:id="R51e8286a377e4877"/>
    <x:sheet xmlns:r="http://schemas.openxmlformats.org/officeDocument/2006/relationships" name="Dim_Setor" sheetId="4" r:id="R67ec51db1cc14b18"/>
    <x:sheet xmlns:r="http://schemas.openxmlformats.org/officeDocument/2006/relationships" name="Dim_Linha" sheetId="5" r:id="Rfed417bdfb504629"/>
    <x:sheet xmlns:r="http://schemas.openxmlformats.org/officeDocument/2006/relationships" name="Dim_Equipamento" sheetId="6" r:id="R625059046a0043df"/>
    <x:sheet xmlns:r="http://schemas.openxmlformats.org/officeDocument/2006/relationships" name="Dim_Tipo_Manut" sheetId="7" r:id="R9c6de3012c3a45f4"/>
    <x:sheet xmlns:r="http://schemas.openxmlformats.org/officeDocument/2006/relationships" name="Planos_Preventivos" sheetId="8" r:id="R16fc62afd4a34e66"/>
    <x:sheet xmlns:r="http://schemas.openxmlformats.org/officeDocument/2006/relationships" name="Ordens_Servico" sheetId="9" r:id="R2eb5ad739f4a4544"/>
    <x:sheet xmlns:r="http://schemas.openxmlformats.org/officeDocument/2006/relationships" name="Fato_Falhas" sheetId="10" r:id="Rfc3083fc852a47c0"/>
    <x:sheet xmlns:r="http://schemas.openxmlformats.org/officeDocument/2006/relationships" name="Fato_Paradas" sheetId="11" r:id="R31477d841cae41d5"/>
    <x:sheet xmlns:r="http://schemas.openxmlformats.org/officeDocument/2006/relationships" name="Dim_Colaboradores" sheetId="12" r:id="R6c369326d47d4ed4"/>
    <x:sheet xmlns:r="http://schemas.openxmlformats.org/officeDocument/2006/relationships" name="Fato_Apontamentos" sheetId="13" r:id="R884ed78bb99744ad"/>
    <x:sheet xmlns:r="http://schemas.openxmlformats.org/officeDocument/2006/relationships" name="Dim_Pecas" sheetId="14" r:id="Rc4d2494c078f4052"/>
    <x:sheet xmlns:r="http://schemas.openxmlformats.org/officeDocument/2006/relationships" name="Fato_Consumo_Pecas" sheetId="15" r:id="R354d0452f3c04c83"/>
    <x:sheet xmlns:r="http://schemas.openxmlformats.org/officeDocument/2006/relationships" name="Dim_Fornecedores" sheetId="16" r:id="R95f5ba82e09c428b"/>
    <x:sheet xmlns:r="http://schemas.openxmlformats.org/officeDocument/2006/relationships" name="Fato_Terceirizados" sheetId="17" r:id="R1c89363eefb7434b"/>
    <x:sheet xmlns:r="http://schemas.openxmlformats.org/officeDocument/2006/relationships" name="Fato_Producao" sheetId="18" r:id="R76ca334b32e741d6"/>
    <x:sheet xmlns:r="http://schemas.openxmlformats.org/officeDocument/2006/relationships" name="Dim_Calendario" sheetId="19" r:id="R86ea74c142a9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"/>
    <x:numFmt numFmtId="203" formatCode="&quot;R$&quot; #,##0"/>
    <x:numFmt numFmtId="204" formatCode="yyyy-mm-dd"/>
    <x:numFmt numFmtId="205" formatCode="&quot;R$&quot; 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53B5B"/>
      <x:name val="Carlito"/>
    </x:font>
    <x:font>
      <x:b/>
      <x:sz val="11"/>
      <x:color rgb="FFFFFFFF"/>
      <x:name val="Carlito"/>
    </x:font>
    <x:font>
      <x:b/>
      <x:sz val="13"/>
      <x:color rgb="FF153B5B"/>
      <x:name val="Carlito"/>
    </x:font>
    <x:font>
      <x:b/>
      <x:sz val="10"/>
      <x:color rgb="FFFFFFFF"/>
      <x:name val="Aptos"/>
    </x:font>
    <x:font>
      <x:i/>
      <x:sz val="10"/>
      <x:color rgb="FF153B5B"/>
      <x:name val="Aptos"/>
    </x:font>
    <x:font>
      <x:sz val="10"/>
      <x:name val="Aptos"/>
    </x:font>
    <x:font>
      <x:b/>
      <x:sz val="10"/>
      <x:color rgb="FF153B5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2F6"/>
      </x:patternFill>
    </x:fill>
    <x:fill>
      <x:patternFill patternType="solid">
        <x:fgColor rgb="FF23789A"/>
      </x:patternFill>
    </x:fill>
    <x:fill>
      <x:patternFill patternType="solid">
        <x:fgColor rgb="FF2C8C87"/>
      </x:patternFill>
    </x:fill>
  </x:fills>
  <x:borders count="23">
    <x:border/>
    <x:border>
      <x:left style="thin">
        <x:color rgb="FFD5E2E9"/>
      </x:left>
      <x:top style="thin">
        <x:color rgb="FFD5E2E9"/>
      </x:top>
      <x:bottom style="thin">
        <x:color rgb="FFD5E2E9"/>
      </x:bottom>
    </x:border>
    <x:border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bottom style="thin">
        <x:color rgb="FFE4EBEF"/>
      </x:bottom>
    </x:border>
    <x:border>
      <x:left style="thin">
        <x:color rgb="FFE4EBEF"/>
      </x:left>
      <x:bottom style="thin">
        <x:color rgb="FFE4EBEF"/>
      </x:bottom>
    </x:border>
    <x:border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right style="thin">
        <x:color rgb="FFE4EBEF"/>
      </x:right>
      <x:top style="thin">
        <x:color rgb="FFE4EBEF"/>
      </x:top>
      <x:bottom style="thin">
        <x:color rgb="FFE4EBEF"/>
      </x:bottom>
    </x:border>
    <x:border>
      <x:left style="thin">
        <x:color rgb="FFE4EBEF"/>
      </x:left>
      <x:top style="thin">
        <x:color rgb="FFE4EBEF"/>
      </x:top>
      <x:bottom style="thin">
        <x:color rgb="FFE4EBEF"/>
      </x:bottom>
    </x:border>
    <x:border>
      <x:right style="thin">
        <x:color rgb="FFE4EBEF"/>
      </x:right>
      <x:top style="thin">
        <x:color rgb="FFE4EBEF"/>
      </x:top>
    </x:border>
    <x:border>
      <x:left style="thin">
        <x:color rgb="FFE4EBEF"/>
      </x:left>
      <x:right style="thin">
        <x:color rgb="FFE4EBEF"/>
      </x:right>
      <x:top style="thin">
        <x:color rgb="FFE4EBEF"/>
      </x:top>
    </x:border>
    <x:border>
      <x:left style="thin">
        <x:color rgb="FFE4EBEF"/>
      </x:left>
      <x:top style="thin">
        <x:color rgb="FFE4EBEF"/>
      </x:top>
    </x:border>
    <x:border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bottom style="thin">
        <x:color rgb="FFE3EBF0"/>
      </x:bottom>
    </x:border>
    <x:border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top style="thin">
        <x:color rgb="FFE3EBF0"/>
      </x:top>
      <x:bottom style="thin">
        <x:color rgb="FFE3EBF0"/>
      </x:bottom>
    </x:border>
    <x:border>
      <x:right style="thin">
        <x:color rgb="FFE3EBF0"/>
      </x:right>
      <x:top style="thin">
        <x:color rgb="FFE3EBF0"/>
      </x:top>
    </x:border>
    <x:border>
      <x:left style="thin">
        <x:color rgb="FFE3EBF0"/>
      </x:left>
      <x:right style="thin">
        <x:color rgb="FFE3EBF0"/>
      </x:right>
      <x:top style="thin">
        <x:color rgb="FFE3EBF0"/>
      </x:top>
    </x:border>
    <x:border>
      <x:left style="thin">
        <x:color rgb="FFE3EBF0"/>
      </x:left>
      <x:top style="thin">
        <x:color rgb="FFE3EBF0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200" fontId="4" fillId="0" borderId="2" xfId="0" applyNumberFormat="1" applyFont="1" applyFill="1" applyBorder="1" applyAlignment="1">
      <x:alignment horizontal="center"/>
    </x:xf>
    <x:xf numFmtId="201" fontId="4" fillId="0" borderId="2" xfId="0" applyNumberFormat="1" applyFont="1" applyFill="1" applyBorder="1" applyAlignment="1">
      <x:alignment horizontal="center"/>
    </x:xf>
    <x:xf numFmtId="202" fontId="4" fillId="0" borderId="2" xfId="0" applyNumberFormat="1" applyFont="1" applyFill="1" applyBorder="1" applyAlignment="1">
      <x:alignment horizontal="center"/>
    </x:xf>
    <x:xf numFmtId="203" fontId="4" fillId="0" borderId="2" xfId="0" applyNumberFormat="1" applyFont="1" applyFill="1" applyBorder="1" applyAlignment="1">
      <x:alignment horizontal="center"/>
    </x:xf>
    <x:xf numFmtId="200" fontId="4" fillId="0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3" fillId="2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200" fontId="8" fillId="0" borderId="1" xfId="0" applyNumberFormat="1" applyFont="1" applyFill="1" applyBorder="1" applyAlignment="1">
      <x:alignment horizontal="center"/>
    </x:xf>
    <x:xf numFmtId="200" fontId="8" fillId="0" borderId="2" xfId="0" applyNumberFormat="1" applyFont="1" applyFill="1" applyBorder="1" applyAlignment="1">
      <x:alignment horizontal="center"/>
    </x:xf>
    <x:xf numFmtId="201" fontId="8" fillId="0" borderId="2" xfId="0" applyNumberFormat="1" applyFont="1" applyFill="1" applyBorder="1" applyAlignment="1">
      <x:alignment horizontal="center"/>
    </x:xf>
    <x:xf numFmtId="202" fontId="8" fillId="0" borderId="2" xfId="0" applyNumberFormat="1" applyFont="1" applyFill="1" applyBorder="1" applyAlignment="1">
      <x:alignment horizontal="center"/>
    </x:xf>
    <x:xf numFmtId="203" fontId="8" fillId="0" borderId="2" xfId="0" applyNumberFormat="1" applyFont="1" applyFill="1" applyBorder="1" applyAlignment="1">
      <x:alignment horizontal="center"/>
    </x:xf>
    <x:xf numFmtId="200" fontId="8" fillId="0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201" fontId="7" fillId="0" borderId="4" xfId="0" applyNumberFormat="1" applyFont="1" applyFill="1" applyBorder="1"/>
    <x:xf numFmtId="0" fontId="5" fillId="2" borderId="0" xfId="0" applyNumberFormat="1" applyFont="1" applyFill="1" applyBorder="1"/>
    <x:xf numFmtId="0" fontId="7" fillId="0" borderId="5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horizontal="center"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3" fillId="2" borderId="4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5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4" fontId="0" fillId="0" borderId="18" xfId="0" applyNumberFormat="1" applyFont="1" applyFill="1" applyBorder="1"/>
    <x:xf numFmtId="204" fontId="0" fillId="0" borderId="21" xfId="0" applyNumberFormat="1" applyFont="1" applyFill="1" applyBorder="1"/>
    <x:xf numFmtId="205" fontId="0" fillId="0" borderId="19" xfId="0" applyNumberFormat="1" applyFont="1" applyFill="1" applyBorder="1"/>
    <x:xf numFmtId="205" fontId="0" fillId="0" borderId="22" xfId="0" applyNumberFormat="1" applyFont="1" applyFill="1" applyBorder="1"/>
    <x:xf numFmtId="205" fontId="0" fillId="0" borderId="18" xfId="0" applyNumberFormat="1" applyFont="1" applyFill="1" applyBorder="1"/>
    <x:xf numFmtId="205" fontId="0" fillId="0" borderId="21" xfId="0" applyNumberFormat="1" applyFont="1" applyFill="1" applyBorder="1"/>
    <x:xf numFmtId="204" fontId="0" fillId="0" borderId="17" xfId="0" applyNumberFormat="1" applyFont="1" applyFill="1" applyBorder="1"/>
    <x:xf numFmtId="204" fontId="0" fillId="0" borderId="2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e9e3248514e32" /><Relationship Type="http://schemas.openxmlformats.org/officeDocument/2006/relationships/theme" Target="/xl/theme/theme1.xml" Id="R50cf4e3d9cc040c2" /><Relationship Type="http://schemas.openxmlformats.org/officeDocument/2006/relationships/sharedStrings" Target="/xl/sharedStrings.xml" Id="R2610aec04d2f4021" /><Relationship Type="http://schemas.openxmlformats.org/officeDocument/2006/relationships/worksheet" Target="/xl/worksheets/sheet1.xml" Id="R599ef4d5db3547ab" /><Relationship Type="http://schemas.openxmlformats.org/officeDocument/2006/relationships/worksheet" Target="/xl/worksheets/sheet2.xml" Id="Raf28396b13f942b7" /><Relationship Type="http://schemas.openxmlformats.org/officeDocument/2006/relationships/worksheet" Target="/xl/worksheets/sheet3.xml" Id="R51e8286a377e4877" /><Relationship Type="http://schemas.openxmlformats.org/officeDocument/2006/relationships/worksheet" Target="/xl/worksheets/sheet4.xml" Id="R67ec51db1cc14b18" /><Relationship Type="http://schemas.openxmlformats.org/officeDocument/2006/relationships/worksheet" Target="/xl/worksheets/sheet5.xml" Id="Rfed417bdfb504629" /><Relationship Type="http://schemas.openxmlformats.org/officeDocument/2006/relationships/worksheet" Target="/xl/worksheets/sheet6.xml" Id="R625059046a0043df" /><Relationship Type="http://schemas.openxmlformats.org/officeDocument/2006/relationships/worksheet" Target="/xl/worksheets/sheet7.xml" Id="R9c6de3012c3a45f4" /><Relationship Type="http://schemas.openxmlformats.org/officeDocument/2006/relationships/worksheet" Target="/xl/worksheets/sheet8.xml" Id="R16fc62afd4a34e66" /><Relationship Type="http://schemas.openxmlformats.org/officeDocument/2006/relationships/worksheet" Target="/xl/worksheets/sheet9.xml" Id="R2eb5ad739f4a4544" /><Relationship Type="http://schemas.openxmlformats.org/officeDocument/2006/relationships/worksheet" Target="/xl/worksheets/sheet10.xml" Id="Rfc3083fc852a47c0" /><Relationship Type="http://schemas.openxmlformats.org/officeDocument/2006/relationships/worksheet" Target="/xl/worksheets/sheet11.xml" Id="R31477d841cae41d5" /><Relationship Type="http://schemas.openxmlformats.org/officeDocument/2006/relationships/worksheet" Target="/xl/worksheets/sheet12.xml" Id="R6c369326d47d4ed4" /><Relationship Type="http://schemas.openxmlformats.org/officeDocument/2006/relationships/worksheet" Target="/xl/worksheets/sheet13.xml" Id="R884ed78bb99744ad" /><Relationship Type="http://schemas.openxmlformats.org/officeDocument/2006/relationships/worksheet" Target="/xl/worksheets/sheet14.xml" Id="Rc4d2494c078f4052" /><Relationship Type="http://schemas.openxmlformats.org/officeDocument/2006/relationships/worksheet" Target="/xl/worksheets/sheet15.xml" Id="R354d0452f3c04c83" /><Relationship Type="http://schemas.openxmlformats.org/officeDocument/2006/relationships/worksheet" Target="/xl/worksheets/sheet16.xml" Id="R95f5ba82e09c428b" /><Relationship Type="http://schemas.openxmlformats.org/officeDocument/2006/relationships/worksheet" Target="/xl/worksheets/sheet17.xml" Id="R1c89363eefb7434b" /><Relationship Type="http://schemas.openxmlformats.org/officeDocument/2006/relationships/worksheet" Target="/xl/worksheets/sheet18.xml" Id="R76ca334b32e741d6" /><Relationship Type="http://schemas.openxmlformats.org/officeDocument/2006/relationships/worksheet" Target="/xl/worksheets/sheet19.xml" Id="R86ea74c142a9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53" t="str">
        <x:v>Case 03 | Gestão de Manutenção Preventiva e Corretiva</x:v>
      </x:c>
      <x:c r="B1" s="53"/>
      <x:c r="C1" s="53"/>
      <x:c r="D1" s="53"/>
      <x:c r="E1" s="53"/>
      <x:c r="F1" s="53"/>
      <x:c r="G1" s="53"/>
      <x:c r="H1" s="53"/>
    </x:row>
    <x:row r="2">
      <x:c r="A2" s="54" t="str">
        <x:v>Visão executiva fictícia - período de 2023 a 2025 | SQL, Excel e Power BI</x:v>
      </x:c>
      <x:c r="B2" s="54"/>
      <x:c r="C2" s="54"/>
      <x:c r="D2" s="54"/>
      <x:c r="E2" s="54"/>
      <x:c r="F2" s="54"/>
      <x:c r="G2" s="54"/>
      <x:c r="H2" s="54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 ht="34" customHeight="1">
      <x:c r="A4" s="56" t="str">
        <x:v>Equipamentos</x:v>
      </x:c>
      <x:c r="B4" s="56" t="str">
        <x:v>Equip. ativos</x:v>
      </x:c>
      <x:c r="C4" s="56" t="str">
        <x:v>Ordens pendentes</x:v>
      </x:c>
      <x:c r="D4" s="56" t="str">
        <x:v>Preventivas no prazo</x:v>
      </x:c>
      <x:c r="E4" s="56" t="str">
        <x:v>MTTR médio</x:v>
      </x:c>
      <x:c r="F4" s="56" t="str">
        <x:v>Disponibilidade</x:v>
      </x:c>
      <x:c r="G4" s="56" t="str">
        <x:v>Custo manutenção</x:v>
      </x:c>
      <x:c r="H4" s="56" t="str">
        <x:v>Paradas não planejadas</x:v>
      </x:c>
    </x:row>
    <x:row r="5">
      <x:c r="A5" s="57" t="n">
        <x:f>COUNTA('Dim_Equipamento'!$A$2:$A$91)</x:f>
        <x:v>90</x:v>
      </x:c>
      <x:c r="B5" s="58" t="n">
        <x:f>COUNTIF('Dim_Equipamento'!$L$2:$L$91,"Ativo")</x:f>
        <x:v>85</x:v>
      </x:c>
      <x:c r="C5" s="58" t="n">
        <x:f>COUNTIF('Ordens_Servico'!$K$2:$K$2401,"Em execução")+COUNTIF('Ordens_Servico'!$K$2:$K$2401,"Aguardando peça")+COUNTIF('Ordens_Servico'!$K$2:$K$2401,"Planejada")</x:f>
        <x:v>523</x:v>
      </x:c>
      <x:c r="D5" s="59" t="n">
        <x:f>1-COUNTIF('Planos_Preventivos'!$H$2:$H$181,"Vencido")/COUNTA('Planos_Preventivos'!$A$2:$A$181)</x:f>
        <x:v>0.7333333333333334</x:v>
      </x:c>
      <x:c r="E5" s="60" t="n">
        <x:f>AVERAGE('Fato_Paradas'!$F$2:$F$1559)/60</x:f>
        <x:v>7.636927685066325</x:v>
      </x:c>
      <x:c r="F5" s="59" t="n">
        <x:f>1-SUM('Fato_Paradas'!$F$2:$F$1559)/(SUM('Fato_Producao'!$I$2:$I$433)*60)</x:f>
        <x:v>0.9217544367283951</x:v>
      </x:c>
      <x:c r="G5" s="61" t="n">
        <x:f>SUM('Ordens_Servico'!$P$2:$P$2401)+SUM('Ordens_Servico'!$Q$2:$Q$2401)+SUM('Ordens_Servico'!$R$2:$R$2401)</x:f>
        <x:v>12724340.540000012</x:v>
      </x:c>
      <x:c r="H5" s="62" t="n">
        <x:f>COUNTIF('Fato_Paradas'!$G$2:$G$1559,0)</x:f>
        <x:v>410</x:v>
      </x:c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63" t="str">
        <x:v>Status da OS</x:v>
      </x:c>
      <x:c r="B8" s="63" t="str">
        <x:v>Quantidade</x:v>
      </x:c>
      <x:c r="C8" s="63" t="str">
        <x:v>% do total</x:v>
      </x:c>
      <x:c r="D8" s="63" t="str">
        <x:v>Prioridade</x:v>
      </x:c>
      <x:c r="E8" s="63" t="str">
        <x:v>Quantidade</x:v>
      </x:c>
      <x:c r="F8" s="63" t="str">
        <x:v>% do total</x:v>
      </x:c>
      <x:c r="G8" s="55"/>
      <x:c r="H8" s="55"/>
    </x:row>
    <x:row r="9">
      <x:c r="A9" s="64" t="str">
        <x:v>Encerrada</x:v>
      </x:c>
      <x:c r="B9" s="65" t="n">
        <x:f>COUNTIF('Ordens_Servico'!$K$2:$K$2401,A9)</x:f>
        <x:v>1405</x:v>
      </x:c>
      <x:c r="C9" s="66" t="n">
        <x:f>B9/COUNTA('Ordens_Servico'!$A$2:$A$2401)</x:f>
        <x:v>0.5854166666666667</x:v>
      </x:c>
      <x:c r="D9" s="64" t="str">
        <x:v>Crítica</x:v>
      </x:c>
      <x:c r="E9" s="65" t="n">
        <x:f>COUNTIF('Ordens_Servico'!$J$2:$J$2401,D9)</x:f>
        <x:v>598</x:v>
      </x:c>
      <x:c r="F9" s="66" t="n">
        <x:f>E9/COUNTA('Ordens_Servico'!$A$2:$A$2401)</x:f>
        <x:v>0.24916666666666668</x:v>
      </x:c>
      <x:c r="G9" s="55"/>
      <x:c r="H9" s="55"/>
    </x:row>
    <x:row r="10">
      <x:c r="A10" s="64" t="str">
        <x:v>Concluída</x:v>
      </x:c>
      <x:c r="B10" s="65" t="n">
        <x:f>COUNTIF('Ordens_Servico'!$K$2:$K$2401,A10)</x:f>
        <x:v>396</x:v>
      </x:c>
      <x:c r="C10" s="66" t="n">
        <x:f>B10/COUNTA('Ordens_Servico'!$A$2:$A$2401)</x:f>
        <x:v>0.165</x:v>
      </x:c>
      <x:c r="D10" s="64" t="str">
        <x:v>Alta</x:v>
      </x:c>
      <x:c r="E10" s="65" t="n">
        <x:f>COUNTIF('Ordens_Servico'!$J$2:$J$2401,D10)</x:f>
        <x:v>601</x:v>
      </x:c>
      <x:c r="F10" s="66" t="n">
        <x:f>E10/COUNTA('Ordens_Servico'!$A$2:$A$2401)</x:f>
        <x:v>0.2504166666666667</x:v>
      </x:c>
      <x:c r="G10" s="55"/>
      <x:c r="H10" s="55"/>
    </x:row>
    <x:row r="11">
      <x:c r="A11" s="64" t="str">
        <x:v>Em execução</x:v>
      </x:c>
      <x:c r="B11" s="65" t="n">
        <x:f>COUNTIF('Ordens_Servico'!$K$2:$K$2401,A11)</x:f>
        <x:v>136</x:v>
      </x:c>
      <x:c r="C11" s="66" t="n">
        <x:f>B11/COUNTA('Ordens_Servico'!$A$2:$A$2401)</x:f>
        <x:v>0.056666666666666664</x:v>
      </x:c>
      <x:c r="D11" s="64" t="str">
        <x:v>Média</x:v>
      </x:c>
      <x:c r="E11" s="65" t="n">
        <x:f>COUNTIF('Ordens_Servico'!$J$2:$J$2401,D11)</x:f>
        <x:v>569</x:v>
      </x:c>
      <x:c r="F11" s="66" t="n">
        <x:f>E11/COUNTA('Ordens_Servico'!$A$2:$A$2401)</x:f>
        <x:v>0.23708333333333334</x:v>
      </x:c>
      <x:c r="G11" s="55"/>
      <x:c r="H11" s="55"/>
    </x:row>
    <x:row r="12">
      <x:c r="A12" s="64" t="str">
        <x:v>Aguardando peça</x:v>
      </x:c>
      <x:c r="B12" s="65" t="n">
        <x:f>COUNTIF('Ordens_Servico'!$K$2:$K$2401,A12)</x:f>
        <x:v>137</x:v>
      </x:c>
      <x:c r="C12" s="66" t="n">
        <x:f>B12/COUNTA('Ordens_Servico'!$A$2:$A$2401)</x:f>
        <x:v>0.05708333333333333</x:v>
      </x:c>
      <x:c r="D12" s="64" t="str">
        <x:v>Baixa</x:v>
      </x:c>
      <x:c r="E12" s="65" t="n">
        <x:f>COUNTIF('Ordens_Servico'!$J$2:$J$2401,D12)</x:f>
        <x:v>632</x:v>
      </x:c>
      <x:c r="F12" s="66" t="n">
        <x:f>E12/COUNTA('Ordens_Servico'!$A$2:$A$2401)</x:f>
        <x:v>0.2633333333333333</x:v>
      </x:c>
      <x:c r="G12" s="55"/>
      <x:c r="H12" s="55"/>
    </x:row>
    <x:row r="13">
      <x:c r="A13" s="64" t="str">
        <x:v>Planejada</x:v>
      </x:c>
      <x:c r="B13" s="65" t="n">
        <x:f>COUNTIF('Ordens_Servico'!$K$2:$K$2401,A13)</x:f>
        <x:v>250</x:v>
      </x:c>
      <x:c r="C13" s="66" t="n">
        <x:f>B13/COUNTA('Ordens_Servico'!$A$2:$A$2401)</x:f>
        <x:v>0.10416666666666667</x:v>
      </x:c>
      <x:c r="D13" s="64" t="str">
        <x:v>-</x:v>
      </x:c>
      <x:c r="E13" s="65"/>
      <x:c r="F13" s="66"/>
      <x:c r="G13" s="55"/>
      <x:c r="H13" s="55"/>
    </x:row>
    <x:row r="14">
      <x:c r="A14" s="64" t="str">
        <x:v>Cancelada</x:v>
      </x:c>
      <x:c r="B14" s="65" t="n">
        <x:f>COUNTIF('Ordens_Servico'!$K$2:$K$2401,A14)</x:f>
        <x:v>76</x:v>
      </x:c>
      <x:c r="C14" s="66" t="n">
        <x:f>B14/COUNTA('Ordens_Servico'!$A$2:$A$2401)</x:f>
        <x:v>0.03166666666666667</x:v>
      </x:c>
      <x:c r="D14" s="64" t="str">
        <x:v>-</x:v>
      </x:c>
      <x:c r="E14" s="65"/>
      <x:c r="F14" s="66"/>
      <x:c r="G14" s="55"/>
      <x:c r="H14" s="55"/>
    </x:row>
    <x:row r="15">
      <x:c r="A15" s="55"/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67" t="str">
        <x:v>Perguntas de negócio para o projeto</x:v>
      </x:c>
      <x:c r="B17" s="67"/>
      <x:c r="C17" s="67"/>
      <x:c r="D17" s="67"/>
      <x:c r="E17" s="67"/>
      <x:c r="F17" s="67"/>
      <x:c r="G17" s="67"/>
      <x:c r="H17" s="67"/>
    </x:row>
    <x:row r="18" ht="30" customHeight="1">
      <x:c r="A18" s="68" t="n">
        <x:v>1</x:v>
      </x:c>
      <x:c r="B18" s="69" t="str">
        <x:v>Quais equipamentos possuem menor disponibilidade e maior custo?</x:v>
      </x:c>
      <x:c r="C18" s="69"/>
      <x:c r="D18" s="69"/>
      <x:c r="E18" s="69"/>
      <x:c r="F18" s="69"/>
      <x:c r="G18" s="69"/>
      <x:c r="H18" s="70"/>
    </x:row>
    <x:row r="19" ht="30" customHeight="1">
      <x:c r="A19" s="71" t="n">
        <x:v>2</x:v>
      </x:c>
      <x:c r="B19" s="72" t="str">
        <x:v>Quais falhas e componentes apresentam maior reincidência?</x:v>
      </x:c>
      <x:c r="C19" s="72"/>
      <x:c r="D19" s="72"/>
      <x:c r="E19" s="72"/>
      <x:c r="F19" s="72"/>
      <x:c r="G19" s="72"/>
      <x:c r="H19" s="73"/>
    </x:row>
    <x:row r="20" ht="30" customHeight="1">
      <x:c r="A20" s="71" t="n">
        <x:v>3</x:v>
      </x:c>
      <x:c r="B20" s="72" t="str">
        <x:v>O plano preventivo está sendo cumprido no prazo?</x:v>
      </x:c>
      <x:c r="C20" s="72"/>
      <x:c r="D20" s="72"/>
      <x:c r="E20" s="72"/>
      <x:c r="F20" s="72"/>
      <x:c r="G20" s="72"/>
      <x:c r="H20" s="73"/>
    </x:row>
    <x:row r="21" ht="30" customHeight="1">
      <x:c r="A21" s="71" t="n">
        <x:v>4</x:v>
      </x:c>
      <x:c r="B21" s="72" t="str">
        <x:v>Onde o MTBF é baixo e o MTTR é elevado?</x:v>
      </x:c>
      <x:c r="C21" s="72"/>
      <x:c r="D21" s="72"/>
      <x:c r="E21" s="72"/>
      <x:c r="F21" s="72"/>
      <x:c r="G21" s="72"/>
      <x:c r="H21" s="73"/>
    </x:row>
    <x:row r="22" ht="30" customHeight="1">
      <x:c r="A22" s="71" t="n">
        <x:v>5</x:v>
      </x:c>
      <x:c r="B22" s="72" t="str">
        <x:v>Quais paradas causam maior perda produtiva?</x:v>
      </x:c>
      <x:c r="C22" s="72"/>
      <x:c r="D22" s="72"/>
      <x:c r="E22" s="72"/>
      <x:c r="F22" s="72"/>
      <x:c r="G22" s="72"/>
      <x:c r="H22" s="73"/>
    </x:row>
    <x:row r="23" ht="30" customHeight="1">
      <x:c r="A23" s="74" t="n">
        <x:v>6</x:v>
      </x:c>
      <x:c r="B23" s="75" t="str">
        <x:v>Quais peças críticas estão abaixo do estoque mínimo?</x:v>
      </x:c>
      <x:c r="C23" s="75"/>
      <x:c r="D23" s="75"/>
      <x:c r="E23" s="75"/>
      <x:c r="F23" s="75"/>
      <x:c r="G23" s="75"/>
      <x:c r="H23" s="76"/>
    </x:row>
  </x:sheetData>
  <x:mergeCells>
    <x:mergeCell ref="A1:H1"/>
    <x:mergeCell ref="A2:H2"/>
    <x:mergeCell ref="A17:H17"/>
    <x:mergeCell ref="B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779999732971191" hidden="0" customWidth="1"/>
    <x:col min="3" max="3" width="32" hidden="0" customWidth="1"/>
    <x:col min="4" max="4" width="38" hidden="0" customWidth="1"/>
  </x:cols>
  <x:sheetData>
    <x:row r="1">
      <x:c r="A1" s="77" t="str">
        <x:v>Tabela</x:v>
      </x:c>
      <x:c r="B1" s="77" t="str">
        <x:v>Tipo</x:v>
      </x:c>
      <x:c r="C1" s="77" t="str">
        <x:v>Granularidade</x:v>
      </x:c>
      <x:c r="D1" s="77" t="str">
        <x:v>Relacionamento principal</x:v>
      </x:c>
    </x:row>
    <x:row r="2">
      <x:c r="A2" s="28" t="str">
        <x:v>Dim_Unidade</x:v>
      </x:c>
      <x:c r="B2" s="28" t="str">
        <x:v>Dimensão</x:v>
      </x:c>
      <x:c r="C2" s="28" t="str">
        <x:v>Um registro por evento ou cadastro</x:v>
      </x:c>
      <x:c r="D2" s="28" t="str">
        <x:v>Consultar chaves id_* no schema.sql</x:v>
      </x:c>
    </x:row>
    <x:row r="3">
      <x:c r="A3" s="28" t="str">
        <x:v>Dim_Setor</x:v>
      </x:c>
      <x:c r="B3" s="28" t="str">
        <x:v>Dimensão</x:v>
      </x:c>
      <x:c r="C3" s="28" t="str">
        <x:v>Um registro por evento ou cadastro</x:v>
      </x:c>
      <x:c r="D3" s="28" t="str">
        <x:v>Consultar chaves id_* no schema.sql</x:v>
      </x:c>
    </x:row>
    <x:row r="4">
      <x:c r="A4" s="28" t="str">
        <x:v>Dim_Linha</x:v>
      </x:c>
      <x:c r="B4" s="28" t="str">
        <x:v>Dimensão</x:v>
      </x:c>
      <x:c r="C4" s="28" t="str">
        <x:v>Um registro por evento ou cadastro</x:v>
      </x:c>
      <x:c r="D4" s="28" t="str">
        <x:v>Consultar chaves id_* no schema.sql</x:v>
      </x:c>
    </x:row>
    <x:row r="5">
      <x:c r="A5" s="28" t="str">
        <x:v>Dim_Equipamento</x:v>
      </x:c>
      <x:c r="B5" s="28" t="str">
        <x:v>Dimensão</x:v>
      </x:c>
      <x:c r="C5" s="28" t="str">
        <x:v>Um registro por equipamento</x:v>
      </x:c>
      <x:c r="D5" s="28" t="str">
        <x:v>Consultar chaves id_* no schema.sql</x:v>
      </x:c>
    </x:row>
    <x:row r="6">
      <x:c r="A6" s="28" t="str">
        <x:v>Dim_Tipo_Manut</x:v>
      </x:c>
      <x:c r="B6" s="28" t="str">
        <x:v>Dimensão</x:v>
      </x:c>
      <x:c r="C6" s="28" t="str">
        <x:v>Um registro por evento ou cadastro</x:v>
      </x:c>
      <x:c r="D6" s="28" t="str">
        <x:v>Consultar chaves id_* no schema.sql</x:v>
      </x:c>
    </x:row>
    <x:row r="7">
      <x:c r="A7" s="28" t="str">
        <x:v>Planos_Preventivos</x:v>
      </x:c>
      <x:c r="B7" s="28" t="str">
        <x:v>Entidade operacional</x:v>
      </x:c>
      <x:c r="C7" s="28" t="str">
        <x:v>Um registro por evento ou cadastro</x:v>
      </x:c>
      <x:c r="D7" s="28" t="str">
        <x:v>Consultar chaves id_* no schema.sql</x:v>
      </x:c>
    </x:row>
    <x:row r="8">
      <x:c r="A8" s="28" t="str">
        <x:v>Ordens_Servico</x:v>
      </x:c>
      <x:c r="B8" s="28" t="str">
        <x:v>Entidade operacional</x:v>
      </x:c>
      <x:c r="C8" s="28" t="str">
        <x:v>Uma ordem por intervenção</x:v>
      </x:c>
      <x:c r="D8" s="28" t="str">
        <x:v>Consultar chaves id_* no schema.sql</x:v>
      </x:c>
    </x:row>
    <x:row r="9">
      <x:c r="A9" s="28" t="str">
        <x:v>Fato_Falhas</x:v>
      </x:c>
      <x:c r="B9" s="28" t="str">
        <x:v>Fato</x:v>
      </x:c>
      <x:c r="C9" s="28" t="str">
        <x:v>Um registro por evento ou cadastro</x:v>
      </x:c>
      <x:c r="D9" s="28" t="str">
        <x:v>Consultar chaves id_* no schema.sql</x:v>
      </x:c>
    </x:row>
    <x:row r="10">
      <x:c r="A10" s="28" t="str">
        <x:v>Fato_Paradas</x:v>
      </x:c>
      <x:c r="B10" s="28" t="str">
        <x:v>Fato</x:v>
      </x:c>
      <x:c r="C10" s="28" t="str">
        <x:v>Um registro por evento ou cadastro</x:v>
      </x:c>
      <x:c r="D10" s="28" t="str">
        <x:v>Consultar chaves id_* no schema.sql</x:v>
      </x:c>
    </x:row>
    <x:row r="11">
      <x:c r="A11" s="28" t="str">
        <x:v>Dim_Colaboradores</x:v>
      </x:c>
      <x:c r="B11" s="28" t="str">
        <x:v>Dimensão</x:v>
      </x:c>
      <x:c r="C11" s="28" t="str">
        <x:v>Um registro por evento ou cadastro</x:v>
      </x:c>
      <x:c r="D11" s="28" t="str">
        <x:v>Consultar chaves id_* no schema.sql</x:v>
      </x:c>
    </x:row>
    <x:row r="12">
      <x:c r="A12" s="28" t="str">
        <x:v>Fato_Apontamentos</x:v>
      </x:c>
      <x:c r="B12" s="28" t="str">
        <x:v>Fato</x:v>
      </x:c>
      <x:c r="C12" s="28" t="str">
        <x:v>Um registro por evento ou cadastro</x:v>
      </x:c>
      <x:c r="D12" s="28" t="str">
        <x:v>Consultar chaves id_* no schema.sql</x:v>
      </x:c>
    </x:row>
    <x:row r="13">
      <x:c r="A13" s="28" t="str">
        <x:v>Dim_Pecas</x:v>
      </x:c>
      <x:c r="B13" s="28" t="str">
        <x:v>Dimensão</x:v>
      </x:c>
      <x:c r="C13" s="28" t="str">
        <x:v>Um registro por evento ou cadastro</x:v>
      </x:c>
      <x:c r="D13" s="28" t="str">
        <x:v>Consultar chaves id_* no schema.sql</x:v>
      </x:c>
    </x:row>
    <x:row r="14">
      <x:c r="A14" s="28" t="str">
        <x:v>Fato_Consumo_Pecas</x:v>
      </x:c>
      <x:c r="B14" s="28" t="str">
        <x:v>Fato</x:v>
      </x:c>
      <x:c r="C14" s="28" t="str">
        <x:v>Um registro por evento ou cadastro</x:v>
      </x:c>
      <x:c r="D14" s="28" t="str">
        <x:v>Consultar chaves id_* no schema.sql</x:v>
      </x:c>
    </x:row>
    <x:row r="15">
      <x:c r="A15" s="28" t="str">
        <x:v>Dim_Fornecedores</x:v>
      </x:c>
      <x:c r="B15" s="28" t="str">
        <x:v>Dimensão</x:v>
      </x:c>
      <x:c r="C15" s="28" t="str">
        <x:v>Um registro por evento ou cadastro</x:v>
      </x:c>
      <x:c r="D15" s="28" t="str">
        <x:v>Consultar chaves id_* no schema.sql</x:v>
      </x:c>
    </x:row>
    <x:row r="16">
      <x:c r="A16" s="28" t="str">
        <x:v>Fato_Terceirizados</x:v>
      </x:c>
      <x:c r="B16" s="28" t="str">
        <x:v>Fato</x:v>
      </x:c>
      <x:c r="C16" s="28" t="str">
        <x:v>Um registro por evento ou cadastro</x:v>
      </x:c>
      <x:c r="D16" s="28" t="str">
        <x:v>Consultar chaves id_* no schema.sql</x:v>
      </x:c>
    </x:row>
    <x:row r="17">
      <x:c r="A17" s="28" t="str">
        <x:v>Fato_Producao</x:v>
      </x:c>
      <x:c r="B17" s="28" t="str">
        <x:v>Fato</x:v>
      </x:c>
      <x:c r="C17" s="28" t="str">
        <x:v>Um registro por evento ou cadastro</x:v>
      </x:c>
      <x:c r="D17" s="28" t="str">
        <x:v>Consultar chaves id_* no schema.sql</x:v>
      </x:c>
    </x:row>
    <x:row r="18">
      <x:c r="A18" s="28" t="str">
        <x:v>Dim_Calendario</x:v>
      </x:c>
      <x:c r="B18" s="28" t="str">
        <x:v>Dimensão</x:v>
      </x:c>
      <x:c r="C18" s="28" t="str">
        <x:v>Uma linha por data</x:v>
      </x:c>
      <x:c r="D18" s="28" t="str">
        <x:v>Consultar chaves id_* no schema.sql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7.78000020980835" hidden="0" customWidth="1"/>
    <x:col min="4" max="4" width="2.7799999713897705" hidden="0" customWidth="1"/>
    <x:col min="5" max="5" width="7.110000133514404" hidden="0" customWidth="1"/>
  </x:cols>
  <x:sheetData>
    <x:row r="1">
      <x:c r="A1" s="80" t="str">
        <x:v>id_unidade</x:v>
      </x:c>
      <x:c r="B1" s="81" t="str">
        <x:v>unidade</x:v>
      </x:c>
      <x:c r="C1" s="81" t="str">
        <x:v>cidade</x:v>
      </x:c>
      <x:c r="D1" s="81" t="str">
        <x:v>uf</x:v>
      </x:c>
      <x:c r="E1" s="82" t="str">
        <x:v>regiao</x:v>
      </x:c>
    </x:row>
    <x:row r="2">
      <x:c r="A2" s="83" t="n">
        <x:v>1</x:v>
      </x:c>
      <x:c r="B2" s="84" t="str">
        <x:v>Planta Sudeste</x:v>
      </x:c>
      <x:c r="C2" s="84" t="str">
        <x:v>Campinas</x:v>
      </x:c>
      <x:c r="D2" s="84" t="str">
        <x:v>SP</x:v>
      </x:c>
      <x:c r="E2" s="85" t="str">
        <x:v>Sudeste</x:v>
      </x:c>
    </x:row>
    <x:row r="3">
      <x:c r="A3" s="83" t="n">
        <x:v>2</x:v>
      </x:c>
      <x:c r="B3" s="84" t="str">
        <x:v>Planta Sul</x:v>
      </x:c>
      <x:c r="C3" s="84" t="str">
        <x:v>Curitiba</x:v>
      </x:c>
      <x:c r="D3" s="84" t="str">
        <x:v>PR</x:v>
      </x:c>
      <x:c r="E3" s="85" t="str">
        <x:v>Sul</x:v>
      </x:c>
    </x:row>
    <x:row r="4">
      <x:c r="A4" s="86" t="n">
        <x:v>3</x:v>
      </x:c>
      <x:c r="B4" s="87" t="str">
        <x:v>Planta Nordeste</x:v>
      </x:c>
      <x:c r="C4" s="87" t="str">
        <x:v>Recife</x:v>
      </x:c>
      <x:c r="D4" s="87" t="str">
        <x:v>PE</x:v>
      </x:c>
      <x:c r="E4" s="88" t="str">
        <x:v>Nordeste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9.109999656677246" hidden="0" customWidth="1"/>
    <x:col min="3" max="3" width="9" hidden="0" customWidth="1"/>
    <x:col min="4" max="4" width="10.779999732971191" hidden="0" customWidth="1"/>
  </x:cols>
  <x:sheetData>
    <x:row r="1">
      <x:c r="A1" s="80" t="str">
        <x:v>id_setor</x:v>
      </x:c>
      <x:c r="B1" s="81" t="str">
        <x:v>id_unidade</x:v>
      </x:c>
      <x:c r="C1" s="81" t="str">
        <x:v>setor</x:v>
      </x:c>
      <x:c r="D1" s="82" t="str">
        <x:v>centro_custo</x:v>
      </x:c>
    </x:row>
    <x:row r="2">
      <x:c r="A2" s="83" t="n">
        <x:v>1</x:v>
      </x:c>
      <x:c r="B2" s="84" t="n">
        <x:v>1</x:v>
      </x:c>
      <x:c r="C2" s="84" t="str">
        <x:v>Produção A</x:v>
      </x:c>
      <x:c r="D2" s="85" t="str">
        <x:v>CC-101</x:v>
      </x:c>
    </x:row>
    <x:row r="3">
      <x:c r="A3" s="83" t="n">
        <x:v>2</x:v>
      </x:c>
      <x:c r="B3" s="84" t="n">
        <x:v>1</x:v>
      </x:c>
      <x:c r="C3" s="84" t="str">
        <x:v>Produção B</x:v>
      </x:c>
      <x:c r="D3" s="85" t="str">
        <x:v>CC-102</x:v>
      </x:c>
    </x:row>
    <x:row r="4">
      <x:c r="A4" s="83" t="n">
        <x:v>3</x:v>
      </x:c>
      <x:c r="B4" s="84" t="n">
        <x:v>1</x:v>
      </x:c>
      <x:c r="C4" s="84" t="str">
        <x:v>Utilidades</x:v>
      </x:c>
      <x:c r="D4" s="85" t="str">
        <x:v>CC-103</x:v>
      </x:c>
    </x:row>
    <x:row r="5">
      <x:c r="A5" s="83" t="n">
        <x:v>4</x:v>
      </x:c>
      <x:c r="B5" s="84" t="n">
        <x:v>2</x:v>
      </x:c>
      <x:c r="C5" s="84" t="str">
        <x:v>Produção A</x:v>
      </x:c>
      <x:c r="D5" s="85" t="str">
        <x:v>CC-204</x:v>
      </x:c>
    </x:row>
    <x:row r="6">
      <x:c r="A6" s="83" t="n">
        <x:v>5</x:v>
      </x:c>
      <x:c r="B6" s="84" t="n">
        <x:v>2</x:v>
      </x:c>
      <x:c r="C6" s="84" t="str">
        <x:v>Produção B</x:v>
      </x:c>
      <x:c r="D6" s="85" t="str">
        <x:v>CC-205</x:v>
      </x:c>
    </x:row>
    <x:row r="7">
      <x:c r="A7" s="83" t="n">
        <x:v>6</x:v>
      </x:c>
      <x:c r="B7" s="84" t="n">
        <x:v>2</x:v>
      </x:c>
      <x:c r="C7" s="84" t="str">
        <x:v>Utilidades</x:v>
      </x:c>
      <x:c r="D7" s="85" t="str">
        <x:v>CC-206</x:v>
      </x:c>
    </x:row>
    <x:row r="8">
      <x:c r="A8" s="83" t="n">
        <x:v>7</x:v>
      </x:c>
      <x:c r="B8" s="84" t="n">
        <x:v>3</x:v>
      </x:c>
      <x:c r="C8" s="84" t="str">
        <x:v>Produção A</x:v>
      </x:c>
      <x:c r="D8" s="85" t="str">
        <x:v>CC-307</x:v>
      </x:c>
    </x:row>
    <x:row r="9">
      <x:c r="A9" s="83" t="n">
        <x:v>8</x:v>
      </x:c>
      <x:c r="B9" s="84" t="n">
        <x:v>3</x:v>
      </x:c>
      <x:c r="C9" s="84" t="str">
        <x:v>Produção B</x:v>
      </x:c>
      <x:c r="D9" s="85" t="str">
        <x:v>CC-308</x:v>
      </x:c>
    </x:row>
    <x:row r="10">
      <x:c r="A10" s="86" t="n">
        <x:v>9</x:v>
      </x:c>
      <x:c r="B10" s="87" t="n">
        <x:v>3</x:v>
      </x:c>
      <x:c r="C10" s="87" t="str">
        <x:v>Utilidades</x:v>
      </x:c>
      <x:c r="D10" s="88" t="str">
        <x:v>CC-309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6.889999866485596" hidden="0" customWidth="1"/>
    <x:col min="3" max="3" width="8.329999923706055" hidden="0" customWidth="1"/>
    <x:col min="4" max="4" width="13.779999732971191" hidden="0" customWidth="1"/>
    <x:col min="5" max="5" width="8.670000076293945" hidden="0" customWidth="1"/>
  </x:cols>
  <x:sheetData>
    <x:row r="1">
      <x:c r="A1" s="80" t="str">
        <x:v>id_linha</x:v>
      </x:c>
      <x:c r="B1" s="81" t="str">
        <x:v>id_setor</x:v>
      </x:c>
      <x:c r="C1" s="81" t="str">
        <x:v>linha</x:v>
      </x:c>
      <x:c r="D1" s="81" t="str">
        <x:v>capacidade_hora</x:v>
      </x:c>
      <x:c r="E1" s="82" t="str">
        <x:v>criticidade</x:v>
      </x:c>
    </x:row>
    <x:row r="2">
      <x:c r="A2" s="83" t="n">
        <x:v>1</x:v>
      </x:c>
      <x:c r="B2" s="84" t="n">
        <x:v>1</x:v>
      </x:c>
      <x:c r="C2" s="84" t="str">
        <x:v>Linha 1-A1</x:v>
      </x:c>
      <x:c r="D2" s="84" t="n">
        <x:v>80</x:v>
      </x:c>
      <x:c r="E2" s="85" t="str">
        <x:v>Alta</x:v>
      </x:c>
    </x:row>
    <x:row r="3">
      <x:c r="A3" s="83" t="n">
        <x:v>2</x:v>
      </x:c>
      <x:c r="B3" s="84" t="n">
        <x:v>1</x:v>
      </x:c>
      <x:c r="C3" s="84" t="str">
        <x:v>Linha 1-A2</x:v>
      </x:c>
      <x:c r="D3" s="84" t="n">
        <x:v>120</x:v>
      </x:c>
      <x:c r="E3" s="85" t="str">
        <x:v>Alta</x:v>
      </x:c>
    </x:row>
    <x:row r="4">
      <x:c r="A4" s="83" t="n">
        <x:v>3</x:v>
      </x:c>
      <x:c r="B4" s="84" t="n">
        <x:v>2</x:v>
      </x:c>
      <x:c r="C4" s="84" t="str">
        <x:v>Linha 1-B1</x:v>
      </x:c>
      <x:c r="D4" s="84" t="n">
        <x:v>100</x:v>
      </x:c>
      <x:c r="E4" s="85" t="str">
        <x:v>Média</x:v>
      </x:c>
    </x:row>
    <x:row r="5">
      <x:c r="A5" s="83" t="n">
        <x:v>4</x:v>
      </x:c>
      <x:c r="B5" s="84" t="n">
        <x:v>2</x:v>
      </x:c>
      <x:c r="C5" s="84" t="str">
        <x:v>Linha 1-B2</x:v>
      </x:c>
      <x:c r="D5" s="84" t="n">
        <x:v>80</x:v>
      </x:c>
      <x:c r="E5" s="85" t="str">
        <x:v>Média</x:v>
      </x:c>
    </x:row>
    <x:row r="6">
      <x:c r="A6" s="83" t="n">
        <x:v>5</x:v>
      </x:c>
      <x:c r="B6" s="84" t="n">
        <x:v>4</x:v>
      </x:c>
      <x:c r="C6" s="84" t="str">
        <x:v>Linha 2-A1</x:v>
      </x:c>
      <x:c r="D6" s="84" t="n">
        <x:v>150</x:v>
      </x:c>
      <x:c r="E6" s="85" t="str">
        <x:v>Média</x:v>
      </x:c>
    </x:row>
    <x:row r="7">
      <x:c r="A7" s="83" t="n">
        <x:v>6</x:v>
      </x:c>
      <x:c r="B7" s="84" t="n">
        <x:v>4</x:v>
      </x:c>
      <x:c r="C7" s="84" t="str">
        <x:v>Linha 2-A2</x:v>
      </x:c>
      <x:c r="D7" s="84" t="n">
        <x:v>100</x:v>
      </x:c>
      <x:c r="E7" s="85" t="str">
        <x:v>Média</x:v>
      </x:c>
    </x:row>
    <x:row r="8">
      <x:c r="A8" s="83" t="n">
        <x:v>7</x:v>
      </x:c>
      <x:c r="B8" s="84" t="n">
        <x:v>5</x:v>
      </x:c>
      <x:c r="C8" s="84" t="str">
        <x:v>Linha 2-B1</x:v>
      </x:c>
      <x:c r="D8" s="84" t="n">
        <x:v>120</x:v>
      </x:c>
      <x:c r="E8" s="85" t="str">
        <x:v>Alta</x:v>
      </x:c>
    </x:row>
    <x:row r="9">
      <x:c r="A9" s="83" t="n">
        <x:v>8</x:v>
      </x:c>
      <x:c r="B9" s="84" t="n">
        <x:v>5</x:v>
      </x:c>
      <x:c r="C9" s="84" t="str">
        <x:v>Linha 2-B2</x:v>
      </x:c>
      <x:c r="D9" s="84" t="n">
        <x:v>120</x:v>
      </x:c>
      <x:c r="E9" s="85" t="str">
        <x:v>Média</x:v>
      </x:c>
    </x:row>
    <x:row r="10">
      <x:c r="A10" s="83" t="n">
        <x:v>9</x:v>
      </x:c>
      <x:c r="B10" s="84" t="n">
        <x:v>7</x:v>
      </x:c>
      <x:c r="C10" s="84" t="str">
        <x:v>Linha 3-A1</x:v>
      </x:c>
      <x:c r="D10" s="84" t="n">
        <x:v>80</x:v>
      </x:c>
      <x:c r="E10" s="85" t="str">
        <x:v>Alta</x:v>
      </x:c>
    </x:row>
    <x:row r="11">
      <x:c r="A11" s="83" t="n">
        <x:v>10</x:v>
      </x:c>
      <x:c r="B11" s="84" t="n">
        <x:v>7</x:v>
      </x:c>
      <x:c r="C11" s="84" t="str">
        <x:v>Linha 3-A2</x:v>
      </x:c>
      <x:c r="D11" s="84" t="n">
        <x:v>80</x:v>
      </x:c>
      <x:c r="E11" s="85" t="str">
        <x:v>Média</x:v>
      </x:c>
    </x:row>
    <x:row r="12">
      <x:c r="A12" s="83" t="n">
        <x:v>11</x:v>
      </x:c>
      <x:c r="B12" s="84" t="n">
        <x:v>8</x:v>
      </x:c>
      <x:c r="C12" s="84" t="str">
        <x:v>Linha 3-B1</x:v>
      </x:c>
      <x:c r="D12" s="84" t="n">
        <x:v>150</x:v>
      </x:c>
      <x:c r="E12" s="85" t="str">
        <x:v>Alta</x:v>
      </x:c>
    </x:row>
    <x:row r="13">
      <x:c r="A13" s="86" t="n">
        <x:v>12</x:v>
      </x:c>
      <x:c r="B13" s="87" t="n">
        <x:v>8</x:v>
      </x:c>
      <x:c r="C13" s="87" t="str">
        <x:v>Linha 3-B2</x:v>
      </x:c>
      <x:c r="D13" s="87" t="n">
        <x:v>150</x:v>
      </x:c>
      <x:c r="E13" s="88" t="str">
        <x:v>Alta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28" hidden="0" customWidth="1"/>
    <x:col min="4" max="4" width="15.109999656677246" hidden="0" customWidth="1"/>
    <x:col min="5" max="5" width="9.220000267028809" hidden="0" customWidth="1"/>
    <x:col min="6" max="6" width="6.329999923706055" hidden="0" customWidth="1"/>
    <x:col min="7" max="7" width="9.109999656677246" hidden="0" customWidth="1"/>
    <x:col min="8" max="8" width="6.889999866485596" hidden="0" customWidth="1"/>
    <x:col min="9" max="9" width="6.670000076293945" hidden="0" customWidth="1"/>
    <x:col min="10" max="10" width="8.670000076293945" hidden="0" customWidth="1"/>
    <x:col min="11" max="11" width="12.670000076293945" hidden="0" customWidth="1"/>
    <x:col min="12" max="12" width="16.329999923706055" hidden="0" customWidth="1"/>
    <x:col min="13" max="13" width="12.779999732971191" hidden="0" customWidth="1"/>
  </x:cols>
  <x:sheetData>
    <x:row r="1">
      <x:c r="A1" s="80" t="str">
        <x:v>id_equipamento</x:v>
      </x:c>
      <x:c r="B1" s="81" t="str">
        <x:v>codigo</x:v>
      </x:c>
      <x:c r="C1" s="81" t="str">
        <x:v>equipamento</x:v>
      </x:c>
      <x:c r="D1" s="81" t="str">
        <x:v>categoria</x:v>
      </x:c>
      <x:c r="E1" s="81" t="str">
        <x:v>fabricante</x:v>
      </x:c>
      <x:c r="F1" s="81" t="str">
        <x:v>modelo</x:v>
      </x:c>
      <x:c r="G1" s="81" t="str">
        <x:v>id_unidade</x:v>
      </x:c>
      <x:c r="H1" s="81" t="str">
        <x:v>id_setor</x:v>
      </x:c>
      <x:c r="I1" s="81" t="str">
        <x:v>id_linha</x:v>
      </x:c>
      <x:c r="J1" s="81" t="str">
        <x:v>criticidade</x:v>
      </x:c>
      <x:c r="K1" s="81" t="str">
        <x:v>data_instalacao</x:v>
      </x:c>
      <x:c r="L1" s="81" t="str">
        <x:v>status_equipamento</x:v>
      </x:c>
      <x:c r="M1" s="82" t="str">
        <x:v>valor_aquisicao</x:v>
      </x:c>
    </x:row>
    <x:row r="2">
      <x:c r="A2" s="83" t="n">
        <x:v>1</x:v>
      </x:c>
      <x:c r="B2" s="84" t="str">
        <x:v>EQ-0001</x:v>
      </x:c>
      <x:c r="C2" s="84" t="str">
        <x:v>Prensa 01</x:v>
      </x:c>
      <x:c r="D2" s="84" t="str">
        <x:v>Prensa</x:v>
      </x:c>
      <x:c r="E2" s="84" t="str">
        <x:v>AtlasFict</x:v>
      </x:c>
      <x:c r="F2" s="84" t="str">
        <x:v>M243</x:v>
      </x:c>
      <x:c r="G2" s="84" t="n">
        <x:v>3</x:v>
      </x:c>
      <x:c r="H2" s="84" t="n">
        <x:v>7</x:v>
      </x:c>
      <x:c r="I2" s="84" t="n">
        <x:v>10</x:v>
      </x:c>
      <x:c r="J2" s="84" t="str">
        <x:v>Baixa</x:v>
      </x:c>
      <x:c r="K2" s="89" t="n">
        <x:v>43101</x:v>
      </x:c>
      <x:c r="L2" s="84" t="str">
        <x:v>Ativo</x:v>
      </x:c>
      <x:c r="M2" s="91" t="n">
        <x:v>387018.48</x:v>
      </x:c>
    </x:row>
    <x:row r="3">
      <x:c r="A3" s="83" t="n">
        <x:v>2</x:v>
      </x:c>
      <x:c r="B3" s="84" t="str">
        <x:v>EQ-0002</x:v>
      </x:c>
      <x:c r="C3" s="84" t="str">
        <x:v>Robô industrial 02</x:v>
      </x:c>
      <x:c r="D3" s="84" t="str">
        <x:v>Robô industrial</x:v>
      </x:c>
      <x:c r="E3" s="84" t="str">
        <x:v>Mecatron</x:v>
      </x:c>
      <x:c r="F3" s="84" t="str">
        <x:v>M868</x:v>
      </x:c>
      <x:c r="G3" s="84" t="n">
        <x:v>3</x:v>
      </x:c>
      <x:c r="H3" s="84" t="n">
        <x:v>7</x:v>
      </x:c>
      <x:c r="I3" s="84" t="n">
        <x:v>9</x:v>
      </x:c>
      <x:c r="J3" s="84" t="str">
        <x:v>Média</x:v>
      </x:c>
      <x:c r="K3" s="89" t="n">
        <x:v>44501</x:v>
      </x:c>
      <x:c r="L3" s="84" t="str">
        <x:v>Ativo</x:v>
      </x:c>
      <x:c r="M3" s="91" t="n">
        <x:v>354295.4</x:v>
      </x:c>
    </x:row>
    <x:row r="4">
      <x:c r="A4" s="83" t="n">
        <x:v>3</x:v>
      </x:c>
      <x:c r="B4" s="84" t="str">
        <x:v>EQ-0003</x:v>
      </x:c>
      <x:c r="C4" s="84" t="str">
        <x:v>Bomba 03</x:v>
      </x:c>
      <x:c r="D4" s="84" t="str">
        <x:v>Bomba</x:v>
      </x:c>
      <x:c r="E4" s="84" t="str">
        <x:v>Mecatron</x:v>
      </x:c>
      <x:c r="F4" s="84" t="str">
        <x:v>M662</x:v>
      </x:c>
      <x:c r="G4" s="84" t="n">
        <x:v>3</x:v>
      </x:c>
      <x:c r="H4" s="84" t="n">
        <x:v>8</x:v>
      </x:c>
      <x:c r="I4" s="84" t="n">
        <x:v>11</x:v>
      </x:c>
      <x:c r="J4" s="84" t="str">
        <x:v>Baixa</x:v>
      </x:c>
      <x:c r="K4" s="89" t="n">
        <x:v>43497</x:v>
      </x:c>
      <x:c r="L4" s="84" t="str">
        <x:v>Ativo</x:v>
      </x:c>
      <x:c r="M4" s="91" t="n">
        <x:v>233604.05</x:v>
      </x:c>
    </x:row>
    <x:row r="5">
      <x:c r="A5" s="83" t="n">
        <x:v>4</x:v>
      </x:c>
      <x:c r="B5" s="84" t="str">
        <x:v>EQ-0004</x:v>
      </x:c>
      <x:c r="C5" s="84" t="str">
        <x:v>Chiller 04</x:v>
      </x:c>
      <x:c r="D5" s="84" t="str">
        <x:v>Chiller</x:v>
      </x:c>
      <x:c r="E5" s="84" t="str">
        <x:v>IndusTech</x:v>
      </x:c>
      <x:c r="F5" s="84" t="str">
        <x:v>M780</x:v>
      </x:c>
      <x:c r="G5" s="84" t="n">
        <x:v>3</x:v>
      </x:c>
      <x:c r="H5" s="84" t="n">
        <x:v>8</x:v>
      </x:c>
      <x:c r="I5" s="84" t="n">
        <x:v>11</x:v>
      </x:c>
      <x:c r="J5" s="84" t="str">
        <x:v>Alta</x:v>
      </x:c>
      <x:c r="K5" s="89" t="n">
        <x:v>43922</x:v>
      </x:c>
      <x:c r="L5" s="84" t="str">
        <x:v>Em manutenção</x:v>
      </x:c>
      <x:c r="M5" s="91" t="n">
        <x:v>256485.87</x:v>
      </x:c>
    </x:row>
    <x:row r="6">
      <x:c r="A6" s="83" t="n">
        <x:v>5</x:v>
      </x:c>
      <x:c r="B6" s="84" t="str">
        <x:v>EQ-0005</x:v>
      </x:c>
      <x:c r="C6" s="84" t="str">
        <x:v>Bomba 05</x:v>
      </x:c>
      <x:c r="D6" s="84" t="str">
        <x:v>Bomba</x:v>
      </x:c>
      <x:c r="E6" s="84" t="str">
        <x:v>TecnoFab</x:v>
      </x:c>
      <x:c r="F6" s="84" t="str">
        <x:v>M201</x:v>
      </x:c>
      <x:c r="G6" s="84" t="n">
        <x:v>1</x:v>
      </x:c>
      <x:c r="H6" s="84" t="n">
        <x:v>2</x:v>
      </x:c>
      <x:c r="I6" s="84" t="n">
        <x:v>3</x:v>
      </x:c>
      <x:c r="J6" s="84" t="str">
        <x:v>Média</x:v>
      </x:c>
      <x:c r="K6" s="89" t="n">
        <x:v>42948</x:v>
      </x:c>
      <x:c r="L6" s="84" t="str">
        <x:v>Ativo</x:v>
      </x:c>
      <x:c r="M6" s="91" t="n">
        <x:v>412307.5</x:v>
      </x:c>
    </x:row>
    <x:row r="7">
      <x:c r="A7" s="83" t="n">
        <x:v>6</x:v>
      </x:c>
      <x:c r="B7" s="84" t="str">
        <x:v>EQ-0006</x:v>
      </x:c>
      <x:c r="C7" s="84" t="str">
        <x:v>Injetora 06</x:v>
      </x:c>
      <x:c r="D7" s="84" t="str">
        <x:v>Injetora</x:v>
      </x:c>
      <x:c r="E7" s="84" t="str">
        <x:v>Mecatron</x:v>
      </x:c>
      <x:c r="F7" s="84" t="str">
        <x:v>M579</x:v>
      </x:c>
      <x:c r="G7" s="84" t="n">
        <x:v>3</x:v>
      </x:c>
      <x:c r="H7" s="84" t="n">
        <x:v>7</x:v>
      </x:c>
      <x:c r="I7" s="84" t="n">
        <x:v>9</x:v>
      </x:c>
      <x:c r="J7" s="84" t="str">
        <x:v>Média</x:v>
      </x:c>
      <x:c r="K7" s="89" t="n">
        <x:v>42736</x:v>
      </x:c>
      <x:c r="L7" s="84" t="str">
        <x:v>Ativo</x:v>
      </x:c>
      <x:c r="M7" s="91" t="n">
        <x:v>64304.62</x:v>
      </x:c>
    </x:row>
    <x:row r="8">
      <x:c r="A8" s="83" t="n">
        <x:v>7</x:v>
      </x:c>
      <x:c r="B8" s="84" t="str">
        <x:v>EQ-0007</x:v>
      </x:c>
      <x:c r="C8" s="84" t="str">
        <x:v>Esteira 07</x:v>
      </x:c>
      <x:c r="D8" s="84" t="str">
        <x:v>Esteira</x:v>
      </x:c>
      <x:c r="E8" s="84" t="str">
        <x:v>TecnoFab</x:v>
      </x:c>
      <x:c r="F8" s="84" t="str">
        <x:v>M357</x:v>
      </x:c>
      <x:c r="G8" s="84" t="n">
        <x:v>3</x:v>
      </x:c>
      <x:c r="H8" s="84" t="n">
        <x:v>7</x:v>
      </x:c>
      <x:c r="I8" s="84" t="n">
        <x:v>9</x:v>
      </x:c>
      <x:c r="J8" s="84" t="str">
        <x:v>Média</x:v>
      </x:c>
      <x:c r="K8" s="89" t="n">
        <x:v>43617</x:v>
      </x:c>
      <x:c r="L8" s="84" t="str">
        <x:v>Em manutenção</x:v>
      </x:c>
      <x:c r="M8" s="91" t="n">
        <x:v>223060.85</x:v>
      </x:c>
    </x:row>
    <x:row r="9">
      <x:c r="A9" s="83" t="n">
        <x:v>8</x:v>
      </x:c>
      <x:c r="B9" s="84" t="str">
        <x:v>EQ-0008</x:v>
      </x:c>
      <x:c r="C9" s="84" t="str">
        <x:v>Injetora 08</x:v>
      </x:c>
      <x:c r="D9" s="84" t="str">
        <x:v>Injetora</x:v>
      </x:c>
      <x:c r="E9" s="84" t="str">
        <x:v>IndusTech</x:v>
      </x:c>
      <x:c r="F9" s="84" t="str">
        <x:v>M993</x:v>
      </x:c>
      <x:c r="G9" s="84" t="n">
        <x:v>1</x:v>
      </x:c>
      <x:c r="H9" s="84" t="n">
        <x:v>2</x:v>
      </x:c>
      <x:c r="I9" s="84" t="n">
        <x:v>4</x:v>
      </x:c>
      <x:c r="J9" s="84" t="str">
        <x:v>Alta</x:v>
      </x:c>
      <x:c r="K9" s="89" t="n">
        <x:v>43466</x:v>
      </x:c>
      <x:c r="L9" s="84" t="str">
        <x:v>Ativo</x:v>
      </x:c>
      <x:c r="M9" s="91" t="n">
        <x:v>620009</x:v>
      </x:c>
    </x:row>
    <x:row r="10">
      <x:c r="A10" s="83" t="n">
        <x:v>9</x:v>
      </x:c>
      <x:c r="B10" s="84" t="str">
        <x:v>EQ-0009</x:v>
      </x:c>
      <x:c r="C10" s="84" t="str">
        <x:v>Esteira 09</x:v>
      </x:c>
      <x:c r="D10" s="84" t="str">
        <x:v>Esteira</x:v>
      </x:c>
      <x:c r="E10" s="84" t="str">
        <x:v>TecnoFab</x:v>
      </x:c>
      <x:c r="F10" s="84" t="str">
        <x:v>M314</x:v>
      </x:c>
      <x:c r="G10" s="84" t="n">
        <x:v>1</x:v>
      </x:c>
      <x:c r="H10" s="84" t="n">
        <x:v>2</x:v>
      </x:c>
      <x:c r="I10" s="84" t="n">
        <x:v>3</x:v>
      </x:c>
      <x:c r="J10" s="84" t="str">
        <x:v>Alta</x:v>
      </x:c>
      <x:c r="K10" s="89" t="n">
        <x:v>44682</x:v>
      </x:c>
      <x:c r="L10" s="84" t="str">
        <x:v>Ativo</x:v>
      </x:c>
      <x:c r="M10" s="91" t="n">
        <x:v>399894.27</x:v>
      </x:c>
    </x:row>
    <x:row r="11">
      <x:c r="A11" s="83" t="n">
        <x:v>10</x:v>
      </x:c>
      <x:c r="B11" s="84" t="str">
        <x:v>EQ-0010</x:v>
      </x:c>
      <x:c r="C11" s="84" t="str">
        <x:v>Forno 10</x:v>
      </x:c>
      <x:c r="D11" s="84" t="str">
        <x:v>Forno</x:v>
      </x:c>
      <x:c r="E11" s="84" t="str">
        <x:v>Mecatron</x:v>
      </x:c>
      <x:c r="F11" s="84" t="str">
        <x:v>M791</x:v>
      </x:c>
      <x:c r="G11" s="84" t="n">
        <x:v>2</x:v>
      </x:c>
      <x:c r="H11" s="84" t="n">
        <x:v>5</x:v>
      </x:c>
      <x:c r="I11" s="84" t="n">
        <x:v>8</x:v>
      </x:c>
      <x:c r="J11" s="84" t="str">
        <x:v>Alta</x:v>
      </x:c>
      <x:c r="K11" s="89" t="n">
        <x:v>41671</x:v>
      </x:c>
      <x:c r="L11" s="84" t="str">
        <x:v>Ativo</x:v>
      </x:c>
      <x:c r="M11" s="91" t="n">
        <x:v>470803.52</x:v>
      </x:c>
    </x:row>
    <x:row r="12">
      <x:c r="A12" s="83" t="n">
        <x:v>11</x:v>
      </x:c>
      <x:c r="B12" s="84" t="str">
        <x:v>EQ-0011</x:v>
      </x:c>
      <x:c r="C12" s="84" t="str">
        <x:v>Torno CNC 11</x:v>
      </x:c>
      <x:c r="D12" s="84" t="str">
        <x:v>Torno CNC</x:v>
      </x:c>
      <x:c r="E12" s="84" t="str">
        <x:v>TecnoFab</x:v>
      </x:c>
      <x:c r="F12" s="84" t="str">
        <x:v>M667</x:v>
      </x:c>
      <x:c r="G12" s="84" t="n">
        <x:v>1</x:v>
      </x:c>
      <x:c r="H12" s="84" t="n">
        <x:v>2</x:v>
      </x:c>
      <x:c r="I12" s="84" t="n">
        <x:v>3</x:v>
      </x:c>
      <x:c r="J12" s="84" t="str">
        <x:v>Alta</x:v>
      </x:c>
      <x:c r="K12" s="89" t="n">
        <x:v>42278</x:v>
      </x:c>
      <x:c r="L12" s="84" t="str">
        <x:v>Em manutenção</x:v>
      </x:c>
      <x:c r="M12" s="91" t="n">
        <x:v>75062.71</x:v>
      </x:c>
    </x:row>
    <x:row r="13">
      <x:c r="A13" s="83" t="n">
        <x:v>12</x:v>
      </x:c>
      <x:c r="B13" s="84" t="str">
        <x:v>EQ-0012</x:v>
      </x:c>
      <x:c r="C13" s="84" t="str">
        <x:v>Robô industrial 12</x:v>
      </x:c>
      <x:c r="D13" s="84" t="str">
        <x:v>Robô industrial</x:v>
      </x:c>
      <x:c r="E13" s="84" t="str">
        <x:v>NovaMotion</x:v>
      </x:c>
      <x:c r="F13" s="84" t="str">
        <x:v>M273</x:v>
      </x:c>
      <x:c r="G13" s="84" t="n">
        <x:v>1</x:v>
      </x:c>
      <x:c r="H13" s="84" t="n">
        <x:v>2</x:v>
      </x:c>
      <x:c r="I13" s="84" t="n">
        <x:v>4</x:v>
      </x:c>
      <x:c r="J13" s="84" t="str">
        <x:v>Alta</x:v>
      </x:c>
      <x:c r="K13" s="89" t="n">
        <x:v>42186</x:v>
      </x:c>
      <x:c r="L13" s="84" t="str">
        <x:v>Ativo</x:v>
      </x:c>
      <x:c r="M13" s="91" t="n">
        <x:v>495806.97</x:v>
      </x:c>
    </x:row>
    <x:row r="14">
      <x:c r="A14" s="83" t="n">
        <x:v>13</x:v>
      </x:c>
      <x:c r="B14" s="84" t="str">
        <x:v>EQ-0013</x:v>
      </x:c>
      <x:c r="C14" s="84" t="str">
        <x:v>Bomba 13</x:v>
      </x:c>
      <x:c r="D14" s="84" t="str">
        <x:v>Bomba</x:v>
      </x:c>
      <x:c r="E14" s="84" t="str">
        <x:v>IndusTech</x:v>
      </x:c>
      <x:c r="F14" s="84" t="str">
        <x:v>M487</x:v>
      </x:c>
      <x:c r="G14" s="84" t="n">
        <x:v>1</x:v>
      </x:c>
      <x:c r="H14" s="84" t="n">
        <x:v>1</x:v>
      </x:c>
      <x:c r="I14" s="84" t="n">
        <x:v>2</x:v>
      </x:c>
      <x:c r="J14" s="84" t="str">
        <x:v>Média</x:v>
      </x:c>
      <x:c r="K14" s="89" t="n">
        <x:v>44044</x:v>
      </x:c>
      <x:c r="L14" s="84" t="str">
        <x:v>Inativo</x:v>
      </x:c>
      <x:c r="M14" s="91" t="n">
        <x:v>752673.79</x:v>
      </x:c>
    </x:row>
    <x:row r="15">
      <x:c r="A15" s="83" t="n">
        <x:v>14</x:v>
      </x:c>
      <x:c r="B15" s="84" t="str">
        <x:v>EQ-0014</x:v>
      </x:c>
      <x:c r="C15" s="84" t="str">
        <x:v>Injetora 14</x:v>
      </x:c>
      <x:c r="D15" s="84" t="str">
        <x:v>Injetora</x:v>
      </x:c>
      <x:c r="E15" s="84" t="str">
        <x:v>Mecatron</x:v>
      </x:c>
      <x:c r="F15" s="84" t="str">
        <x:v>M823</x:v>
      </x:c>
      <x:c r="G15" s="84" t="n">
        <x:v>2</x:v>
      </x:c>
      <x:c r="H15" s="84" t="n">
        <x:v>4</x:v>
      </x:c>
      <x:c r="I15" s="84" t="n">
        <x:v>5</x:v>
      </x:c>
      <x:c r="J15" s="84" t="str">
        <x:v>Média</x:v>
      </x:c>
      <x:c r="K15" s="89" t="n">
        <x:v>42644</x:v>
      </x:c>
      <x:c r="L15" s="84" t="str">
        <x:v>Em manutenção</x:v>
      </x:c>
      <x:c r="M15" s="91" t="n">
        <x:v>558143.68</x:v>
      </x:c>
    </x:row>
    <x:row r="16">
      <x:c r="A16" s="83" t="n">
        <x:v>15</x:v>
      </x:c>
      <x:c r="B16" s="84" t="str">
        <x:v>EQ-0015</x:v>
      </x:c>
      <x:c r="C16" s="84" t="str">
        <x:v>Bomba 15</x:v>
      </x:c>
      <x:c r="D16" s="84" t="str">
        <x:v>Bomba</x:v>
      </x:c>
      <x:c r="E16" s="84" t="str">
        <x:v>NovaMotion</x:v>
      </x:c>
      <x:c r="F16" s="84" t="str">
        <x:v>M233</x:v>
      </x:c>
      <x:c r="G16" s="84" t="n">
        <x:v>3</x:v>
      </x:c>
      <x:c r="H16" s="84" t="n">
        <x:v>7</x:v>
      </x:c>
      <x:c r="I16" s="84" t="n">
        <x:v>9</x:v>
      </x:c>
      <x:c r="J16" s="84" t="str">
        <x:v>Baixa</x:v>
      </x:c>
      <x:c r="K16" s="89" t="n">
        <x:v>42309</x:v>
      </x:c>
      <x:c r="L16" s="84" t="str">
        <x:v>Ativo</x:v>
      </x:c>
      <x:c r="M16" s="91" t="n">
        <x:v>630460.39</x:v>
      </x:c>
    </x:row>
    <x:row r="17">
      <x:c r="A17" s="83" t="n">
        <x:v>16</x:v>
      </x:c>
      <x:c r="B17" s="84" t="str">
        <x:v>EQ-0016</x:v>
      </x:c>
      <x:c r="C17" s="84" t="str">
        <x:v>Robô industrial 16</x:v>
      </x:c>
      <x:c r="D17" s="84" t="str">
        <x:v>Robô industrial</x:v>
      </x:c>
      <x:c r="E17" s="84" t="str">
        <x:v>Mecatron</x:v>
      </x:c>
      <x:c r="F17" s="84" t="str">
        <x:v>M558</x:v>
      </x:c>
      <x:c r="G17" s="84" t="n">
        <x:v>2</x:v>
      </x:c>
      <x:c r="H17" s="84" t="n">
        <x:v>5</x:v>
      </x:c>
      <x:c r="I17" s="84" t="n">
        <x:v>8</x:v>
      </x:c>
      <x:c r="J17" s="84" t="str">
        <x:v>Baixa</x:v>
      </x:c>
      <x:c r="K17" s="89" t="n">
        <x:v>43435</x:v>
      </x:c>
      <x:c r="L17" s="84" t="str">
        <x:v>Ativo</x:v>
      </x:c>
      <x:c r="M17" s="91" t="n">
        <x:v>769064.46</x:v>
      </x:c>
    </x:row>
    <x:row r="18">
      <x:c r="A18" s="83" t="n">
        <x:v>17</x:v>
      </x:c>
      <x:c r="B18" s="84" t="str">
        <x:v>EQ-0017</x:v>
      </x:c>
      <x:c r="C18" s="84" t="str">
        <x:v>Centro de usinagem 17</x:v>
      </x:c>
      <x:c r="D18" s="84" t="str">
        <x:v>Centro de usinagem</x:v>
      </x:c>
      <x:c r="E18" s="84" t="str">
        <x:v>Mecatron</x:v>
      </x:c>
      <x:c r="F18" s="84" t="str">
        <x:v>M618</x:v>
      </x:c>
      <x:c r="G18" s="84" t="n">
        <x:v>3</x:v>
      </x:c>
      <x:c r="H18" s="84" t="n">
        <x:v>7</x:v>
      </x:c>
      <x:c r="I18" s="84" t="n">
        <x:v>10</x:v>
      </x:c>
      <x:c r="J18" s="84" t="str">
        <x:v>Média</x:v>
      </x:c>
      <x:c r="K18" s="89" t="n">
        <x:v>42370</x:v>
      </x:c>
      <x:c r="L18" s="84" t="str">
        <x:v>Ativo</x:v>
      </x:c>
      <x:c r="M18" s="91" t="n">
        <x:v>142674.13</x:v>
      </x:c>
    </x:row>
    <x:row r="19">
      <x:c r="A19" s="83" t="n">
        <x:v>18</x:v>
      </x:c>
      <x:c r="B19" s="84" t="str">
        <x:v>EQ-0018</x:v>
      </x:c>
      <x:c r="C19" s="84" t="str">
        <x:v>Injetora 18</x:v>
      </x:c>
      <x:c r="D19" s="84" t="str">
        <x:v>Injetora</x:v>
      </x:c>
      <x:c r="E19" s="84" t="str">
        <x:v>Mecatron</x:v>
      </x:c>
      <x:c r="F19" s="84" t="str">
        <x:v>M528</x:v>
      </x:c>
      <x:c r="G19" s="84" t="n">
        <x:v>1</x:v>
      </x:c>
      <x:c r="H19" s="84" t="n">
        <x:v>1</x:v>
      </x:c>
      <x:c r="I19" s="84" t="n">
        <x:v>2</x:v>
      </x:c>
      <x:c r="J19" s="84" t="str">
        <x:v>Baixa</x:v>
      </x:c>
      <x:c r="K19" s="89" t="n">
        <x:v>42401</x:v>
      </x:c>
      <x:c r="L19" s="84" t="str">
        <x:v>Ativo</x:v>
      </x:c>
      <x:c r="M19" s="91" t="n">
        <x:v>348029.91</x:v>
      </x:c>
    </x:row>
    <x:row r="20">
      <x:c r="A20" s="83" t="n">
        <x:v>19</x:v>
      </x:c>
      <x:c r="B20" s="84" t="str">
        <x:v>EQ-0019</x:v>
      </x:c>
      <x:c r="C20" s="84" t="str">
        <x:v>Forno 19</x:v>
      </x:c>
      <x:c r="D20" s="84" t="str">
        <x:v>Forno</x:v>
      </x:c>
      <x:c r="E20" s="84" t="str">
        <x:v>NovaMotion</x:v>
      </x:c>
      <x:c r="F20" s="84" t="str">
        <x:v>M712</x:v>
      </x:c>
      <x:c r="G20" s="84" t="n">
        <x:v>1</x:v>
      </x:c>
      <x:c r="H20" s="84" t="n">
        <x:v>2</x:v>
      </x:c>
      <x:c r="I20" s="84" t="n">
        <x:v>4</x:v>
      </x:c>
      <x:c r="J20" s="84" t="str">
        <x:v>Média</x:v>
      </x:c>
      <x:c r="K20" s="89" t="n">
        <x:v>42583</x:v>
      </x:c>
      <x:c r="L20" s="84" t="str">
        <x:v>Ativo</x:v>
      </x:c>
      <x:c r="M20" s="91" t="n">
        <x:v>533066.52</x:v>
      </x:c>
    </x:row>
    <x:row r="21">
      <x:c r="A21" s="83" t="n">
        <x:v>20</x:v>
      </x:c>
      <x:c r="B21" s="84" t="str">
        <x:v>EQ-0020</x:v>
      </x:c>
      <x:c r="C21" s="84" t="str">
        <x:v>Injetora 20</x:v>
      </x:c>
      <x:c r="D21" s="84" t="str">
        <x:v>Injetora</x:v>
      </x:c>
      <x:c r="E21" s="84" t="str">
        <x:v>NovaMotion</x:v>
      </x:c>
      <x:c r="F21" s="84" t="str">
        <x:v>M399</x:v>
      </x:c>
      <x:c r="G21" s="84" t="n">
        <x:v>1</x:v>
      </x:c>
      <x:c r="H21" s="84" t="n">
        <x:v>2</x:v>
      </x:c>
      <x:c r="I21" s="84" t="n">
        <x:v>3</x:v>
      </x:c>
      <x:c r="J21" s="84" t="str">
        <x:v>Alta</x:v>
      </x:c>
      <x:c r="K21" s="89" t="n">
        <x:v>44866</x:v>
      </x:c>
      <x:c r="L21" s="84" t="str">
        <x:v>Ativo</x:v>
      </x:c>
      <x:c r="M21" s="91" t="n">
        <x:v>259053.52</x:v>
      </x:c>
    </x:row>
    <x:row r="22">
      <x:c r="A22" s="83" t="n">
        <x:v>21</x:v>
      </x:c>
      <x:c r="B22" s="84" t="str">
        <x:v>EQ-0021</x:v>
      </x:c>
      <x:c r="C22" s="84" t="str">
        <x:v>Torno CNC 21</x:v>
      </x:c>
      <x:c r="D22" s="84" t="str">
        <x:v>Torno CNC</x:v>
      </x:c>
      <x:c r="E22" s="84" t="str">
        <x:v>IndusTech</x:v>
      </x:c>
      <x:c r="F22" s="84" t="str">
        <x:v>M242</x:v>
      </x:c>
      <x:c r="G22" s="84" t="n">
        <x:v>2</x:v>
      </x:c>
      <x:c r="H22" s="84" t="n">
        <x:v>4</x:v>
      </x:c>
      <x:c r="I22" s="84" t="n">
        <x:v>6</x:v>
      </x:c>
      <x:c r="J22" s="84" t="str">
        <x:v>Média</x:v>
      </x:c>
      <x:c r="K22" s="89" t="n">
        <x:v>44105</x:v>
      </x:c>
      <x:c r="L22" s="84" t="str">
        <x:v>Ativo</x:v>
      </x:c>
      <x:c r="M22" s="91" t="n">
        <x:v>799101.44</x:v>
      </x:c>
    </x:row>
    <x:row r="23">
      <x:c r="A23" s="83" t="n">
        <x:v>22</x:v>
      </x:c>
      <x:c r="B23" s="84" t="str">
        <x:v>EQ-0022</x:v>
      </x:c>
      <x:c r="C23" s="84" t="str">
        <x:v>Forno 22</x:v>
      </x:c>
      <x:c r="D23" s="84" t="str">
        <x:v>Forno</x:v>
      </x:c>
      <x:c r="E23" s="84" t="str">
        <x:v>IndusTech</x:v>
      </x:c>
      <x:c r="F23" s="84" t="str">
        <x:v>M694</x:v>
      </x:c>
      <x:c r="G23" s="84" t="n">
        <x:v>2</x:v>
      </x:c>
      <x:c r="H23" s="84" t="n">
        <x:v>5</x:v>
      </x:c>
      <x:c r="I23" s="84" t="n">
        <x:v>7</x:v>
      </x:c>
      <x:c r="J23" s="84" t="str">
        <x:v>Média</x:v>
      </x:c>
      <x:c r="K23" s="89" t="n">
        <x:v>41000</x:v>
      </x:c>
      <x:c r="L23" s="84" t="str">
        <x:v>Ativo</x:v>
      </x:c>
      <x:c r="M23" s="91" t="n">
        <x:v>511376.66</x:v>
      </x:c>
    </x:row>
    <x:row r="24">
      <x:c r="A24" s="83" t="n">
        <x:v>23</x:v>
      </x:c>
      <x:c r="B24" s="84" t="str">
        <x:v>EQ-0023</x:v>
      </x:c>
      <x:c r="C24" s="84" t="str">
        <x:v>Prensa 23</x:v>
      </x:c>
      <x:c r="D24" s="84" t="str">
        <x:v>Prensa</x:v>
      </x:c>
      <x:c r="E24" s="84" t="str">
        <x:v>AtlasFict</x:v>
      </x:c>
      <x:c r="F24" s="84" t="str">
        <x:v>M134</x:v>
      </x:c>
      <x:c r="G24" s="84" t="n">
        <x:v>3</x:v>
      </x:c>
      <x:c r="H24" s="84" t="n">
        <x:v>7</x:v>
      </x:c>
      <x:c r="I24" s="84" t="n">
        <x:v>9</x:v>
      </x:c>
      <x:c r="J24" s="84" t="str">
        <x:v>Baixa</x:v>
      </x:c>
      <x:c r="K24" s="89" t="n">
        <x:v>43070</x:v>
      </x:c>
      <x:c r="L24" s="84" t="str">
        <x:v>Ativo</x:v>
      </x:c>
      <x:c r="M24" s="91" t="n">
        <x:v>191598.95</x:v>
      </x:c>
    </x:row>
    <x:row r="25">
      <x:c r="A25" s="83" t="n">
        <x:v>24</x:v>
      </x:c>
      <x:c r="B25" s="84" t="str">
        <x:v>EQ-0024</x:v>
      </x:c>
      <x:c r="C25" s="84" t="str">
        <x:v>Injetora 24</x:v>
      </x:c>
      <x:c r="D25" s="84" t="str">
        <x:v>Injetora</x:v>
      </x:c>
      <x:c r="E25" s="84" t="str">
        <x:v>IndusTech</x:v>
      </x:c>
      <x:c r="F25" s="84" t="str">
        <x:v>M948</x:v>
      </x:c>
      <x:c r="G25" s="84" t="n">
        <x:v>2</x:v>
      </x:c>
      <x:c r="H25" s="84" t="n">
        <x:v>4</x:v>
      </x:c>
      <x:c r="I25" s="84" t="n">
        <x:v>6</x:v>
      </x:c>
      <x:c r="J25" s="84" t="str">
        <x:v>Média</x:v>
      </x:c>
      <x:c r="K25" s="89" t="n">
        <x:v>44136</x:v>
      </x:c>
      <x:c r="L25" s="84" t="str">
        <x:v>Ativo</x:v>
      </x:c>
      <x:c r="M25" s="91" t="n">
        <x:v>835218.59</x:v>
      </x:c>
    </x:row>
    <x:row r="26">
      <x:c r="A26" s="83" t="n">
        <x:v>25</x:v>
      </x:c>
      <x:c r="B26" s="84" t="str">
        <x:v>EQ-0025</x:v>
      </x:c>
      <x:c r="C26" s="84" t="str">
        <x:v>Chiller 25</x:v>
      </x:c>
      <x:c r="D26" s="84" t="str">
        <x:v>Chiller</x:v>
      </x:c>
      <x:c r="E26" s="84" t="str">
        <x:v>NovaMotion</x:v>
      </x:c>
      <x:c r="F26" s="84" t="str">
        <x:v>M653</x:v>
      </x:c>
      <x:c r="G26" s="84" t="n">
        <x:v>1</x:v>
      </x:c>
      <x:c r="H26" s="84" t="n">
        <x:v>2</x:v>
      </x:c>
      <x:c r="I26" s="84" t="n">
        <x:v>4</x:v>
      </x:c>
      <x:c r="J26" s="84" t="str">
        <x:v>Média</x:v>
      </x:c>
      <x:c r="K26" s="89" t="n">
        <x:v>44075</x:v>
      </x:c>
      <x:c r="L26" s="84" t="str">
        <x:v>Ativo</x:v>
      </x:c>
      <x:c r="M26" s="91" t="n">
        <x:v>307988.01</x:v>
      </x:c>
    </x:row>
    <x:row r="27">
      <x:c r="A27" s="83" t="n">
        <x:v>26</x:v>
      </x:c>
      <x:c r="B27" s="84" t="str">
        <x:v>EQ-0026</x:v>
      </x:c>
      <x:c r="C27" s="84" t="str">
        <x:v>Esteira 26</x:v>
      </x:c>
      <x:c r="D27" s="84" t="str">
        <x:v>Esteira</x:v>
      </x:c>
      <x:c r="E27" s="84" t="str">
        <x:v>IndusTech</x:v>
      </x:c>
      <x:c r="F27" s="84" t="str">
        <x:v>M629</x:v>
      </x:c>
      <x:c r="G27" s="84" t="n">
        <x:v>1</x:v>
      </x:c>
      <x:c r="H27" s="84" t="n">
        <x:v>1</x:v>
      </x:c>
      <x:c r="I27" s="84" t="n">
        <x:v>2</x:v>
      </x:c>
      <x:c r="J27" s="84" t="str">
        <x:v>Média</x:v>
      </x:c>
      <x:c r="K27" s="89" t="n">
        <x:v>41699</x:v>
      </x:c>
      <x:c r="L27" s="84" t="str">
        <x:v>Ativo</x:v>
      </x:c>
      <x:c r="M27" s="91" t="n">
        <x:v>773995.68</x:v>
      </x:c>
    </x:row>
    <x:row r="28">
      <x:c r="A28" s="83" t="n">
        <x:v>27</x:v>
      </x:c>
      <x:c r="B28" s="84" t="str">
        <x:v>EQ-0027</x:v>
      </x:c>
      <x:c r="C28" s="84" t="str">
        <x:v>Chiller 27</x:v>
      </x:c>
      <x:c r="D28" s="84" t="str">
        <x:v>Chiller</x:v>
      </x:c>
      <x:c r="E28" s="84" t="str">
        <x:v>NovaMotion</x:v>
      </x:c>
      <x:c r="F28" s="84" t="str">
        <x:v>M344</x:v>
      </x:c>
      <x:c r="G28" s="84" t="n">
        <x:v>2</x:v>
      </x:c>
      <x:c r="H28" s="84" t="n">
        <x:v>5</x:v>
      </x:c>
      <x:c r="I28" s="84" t="n">
        <x:v>8</x:v>
      </x:c>
      <x:c r="J28" s="84" t="str">
        <x:v>Média</x:v>
      </x:c>
      <x:c r="K28" s="89" t="n">
        <x:v>41153</x:v>
      </x:c>
      <x:c r="L28" s="84" t="str">
        <x:v>Ativo</x:v>
      </x:c>
      <x:c r="M28" s="91" t="n">
        <x:v>515435.4</x:v>
      </x:c>
    </x:row>
    <x:row r="29">
      <x:c r="A29" s="83" t="n">
        <x:v>28</x:v>
      </x:c>
      <x:c r="B29" s="84" t="str">
        <x:v>EQ-0028</x:v>
      </x:c>
      <x:c r="C29" s="84" t="str">
        <x:v>Esteira 28</x:v>
      </x:c>
      <x:c r="D29" s="84" t="str">
        <x:v>Esteira</x:v>
      </x:c>
      <x:c r="E29" s="84" t="str">
        <x:v>IndusTech</x:v>
      </x:c>
      <x:c r="F29" s="84" t="str">
        <x:v>M816</x:v>
      </x:c>
      <x:c r="G29" s="84" t="n">
        <x:v>1</x:v>
      </x:c>
      <x:c r="H29" s="84" t="n">
        <x:v>1</x:v>
      </x:c>
      <x:c r="I29" s="84" t="n">
        <x:v>1</x:v>
      </x:c>
      <x:c r="J29" s="84" t="str">
        <x:v>Baixa</x:v>
      </x:c>
      <x:c r="K29" s="89" t="n">
        <x:v>43678</x:v>
      </x:c>
      <x:c r="L29" s="84" t="str">
        <x:v>Ativo</x:v>
      </x:c>
      <x:c r="M29" s="91" t="n">
        <x:v>747649.87</x:v>
      </x:c>
    </x:row>
    <x:row r="30">
      <x:c r="A30" s="83" t="n">
        <x:v>29</x:v>
      </x:c>
      <x:c r="B30" s="84" t="str">
        <x:v>EQ-0029</x:v>
      </x:c>
      <x:c r="C30" s="84" t="str">
        <x:v>Esteira 29</x:v>
      </x:c>
      <x:c r="D30" s="84" t="str">
        <x:v>Esteira</x:v>
      </x:c>
      <x:c r="E30" s="84" t="str">
        <x:v>Mecatron</x:v>
      </x:c>
      <x:c r="F30" s="84" t="str">
        <x:v>M579</x:v>
      </x:c>
      <x:c r="G30" s="84" t="n">
        <x:v>2</x:v>
      </x:c>
      <x:c r="H30" s="84" t="n">
        <x:v>4</x:v>
      </x:c>
      <x:c r="I30" s="84" t="n">
        <x:v>6</x:v>
      </x:c>
      <x:c r="J30" s="84" t="str">
        <x:v>Baixa</x:v>
      </x:c>
      <x:c r="K30" s="89" t="n">
        <x:v>41640</x:v>
      </x:c>
      <x:c r="L30" s="84" t="str">
        <x:v>Ativo</x:v>
      </x:c>
      <x:c r="M30" s="91" t="n">
        <x:v>345387.05</x:v>
      </x:c>
    </x:row>
    <x:row r="31">
      <x:c r="A31" s="83" t="n">
        <x:v>30</x:v>
      </x:c>
      <x:c r="B31" s="84" t="str">
        <x:v>EQ-0030</x:v>
      </x:c>
      <x:c r="C31" s="84" t="str">
        <x:v>Forno 30</x:v>
      </x:c>
      <x:c r="D31" s="84" t="str">
        <x:v>Forno</x:v>
      </x:c>
      <x:c r="E31" s="84" t="str">
        <x:v>Mecatron</x:v>
      </x:c>
      <x:c r="F31" s="84" t="str">
        <x:v>M955</x:v>
      </x:c>
      <x:c r="G31" s="84" t="n">
        <x:v>2</x:v>
      </x:c>
      <x:c r="H31" s="84" t="n">
        <x:v>5</x:v>
      </x:c>
      <x:c r="I31" s="84" t="n">
        <x:v>7</x:v>
      </x:c>
      <x:c r="J31" s="84" t="str">
        <x:v>Alta</x:v>
      </x:c>
      <x:c r="K31" s="89" t="n">
        <x:v>41640</x:v>
      </x:c>
      <x:c r="L31" s="84" t="str">
        <x:v>Ativo</x:v>
      </x:c>
      <x:c r="M31" s="91" t="n">
        <x:v>415952.15</x:v>
      </x:c>
    </x:row>
    <x:row r="32">
      <x:c r="A32" s="83" t="n">
        <x:v>31</x:v>
      </x:c>
      <x:c r="B32" s="84" t="str">
        <x:v>EQ-0031</x:v>
      </x:c>
      <x:c r="C32" s="84" t="str">
        <x:v>Centro de usinagem 31</x:v>
      </x:c>
      <x:c r="D32" s="84" t="str">
        <x:v>Centro de usinagem</x:v>
      </x:c>
      <x:c r="E32" s="84" t="str">
        <x:v>Mecatron</x:v>
      </x:c>
      <x:c r="F32" s="84" t="str">
        <x:v>M720</x:v>
      </x:c>
      <x:c r="G32" s="84" t="n">
        <x:v>1</x:v>
      </x:c>
      <x:c r="H32" s="84" t="n">
        <x:v>2</x:v>
      </x:c>
      <x:c r="I32" s="84" t="n">
        <x:v>4</x:v>
      </x:c>
      <x:c r="J32" s="84" t="str">
        <x:v>Média</x:v>
      </x:c>
      <x:c r="K32" s="89" t="n">
        <x:v>43070</x:v>
      </x:c>
      <x:c r="L32" s="84" t="str">
        <x:v>Ativo</x:v>
      </x:c>
      <x:c r="M32" s="91" t="n">
        <x:v>189303.17</x:v>
      </x:c>
    </x:row>
    <x:row r="33">
      <x:c r="A33" s="83" t="n">
        <x:v>32</x:v>
      </x:c>
      <x:c r="B33" s="84" t="str">
        <x:v>EQ-0032</x:v>
      </x:c>
      <x:c r="C33" s="84" t="str">
        <x:v>Bomba 32</x:v>
      </x:c>
      <x:c r="D33" s="84" t="str">
        <x:v>Bomba</x:v>
      </x:c>
      <x:c r="E33" s="84" t="str">
        <x:v>NovaMotion</x:v>
      </x:c>
      <x:c r="F33" s="84" t="str">
        <x:v>M312</x:v>
      </x:c>
      <x:c r="G33" s="84" t="n">
        <x:v>3</x:v>
      </x:c>
      <x:c r="H33" s="84" t="n">
        <x:v>7</x:v>
      </x:c>
      <x:c r="I33" s="84" t="n">
        <x:v>9</x:v>
      </x:c>
      <x:c r="J33" s="84" t="str">
        <x:v>Baixa</x:v>
      </x:c>
      <x:c r="K33" s="89" t="n">
        <x:v>41760</x:v>
      </x:c>
      <x:c r="L33" s="84" t="str">
        <x:v>Ativo</x:v>
      </x:c>
      <x:c r="M33" s="91" t="n">
        <x:v>731614.35</x:v>
      </x:c>
    </x:row>
    <x:row r="34">
      <x:c r="A34" s="83" t="n">
        <x:v>33</x:v>
      </x:c>
      <x:c r="B34" s="84" t="str">
        <x:v>EQ-0033</x:v>
      </x:c>
      <x:c r="C34" s="84" t="str">
        <x:v>Forno 33</x:v>
      </x:c>
      <x:c r="D34" s="84" t="str">
        <x:v>Forno</x:v>
      </x:c>
      <x:c r="E34" s="84" t="str">
        <x:v>NovaMotion</x:v>
      </x:c>
      <x:c r="F34" s="84" t="str">
        <x:v>M527</x:v>
      </x:c>
      <x:c r="G34" s="84" t="n">
        <x:v>1</x:v>
      </x:c>
      <x:c r="H34" s="84" t="n">
        <x:v>1</x:v>
      </x:c>
      <x:c r="I34" s="84" t="n">
        <x:v>2</x:v>
      </x:c>
      <x:c r="J34" s="84" t="str">
        <x:v>Alta</x:v>
      </x:c>
      <x:c r="K34" s="89" t="n">
        <x:v>41821</x:v>
      </x:c>
      <x:c r="L34" s="84" t="str">
        <x:v>Ativo</x:v>
      </x:c>
      <x:c r="M34" s="91" t="n">
        <x:v>803782.02</x:v>
      </x:c>
    </x:row>
    <x:row r="35">
      <x:c r="A35" s="83" t="n">
        <x:v>34</x:v>
      </x:c>
      <x:c r="B35" s="84" t="str">
        <x:v>EQ-0034</x:v>
      </x:c>
      <x:c r="C35" s="84" t="str">
        <x:v>Centro de usinagem 34</x:v>
      </x:c>
      <x:c r="D35" s="84" t="str">
        <x:v>Centro de usinagem</x:v>
      </x:c>
      <x:c r="E35" s="84" t="str">
        <x:v>Mecatron</x:v>
      </x:c>
      <x:c r="F35" s="84" t="str">
        <x:v>M689</x:v>
      </x:c>
      <x:c r="G35" s="84" t="n">
        <x:v>2</x:v>
      </x:c>
      <x:c r="H35" s="84" t="n">
        <x:v>5</x:v>
      </x:c>
      <x:c r="I35" s="84" t="n">
        <x:v>7</x:v>
      </x:c>
      <x:c r="J35" s="84" t="str">
        <x:v>Média</x:v>
      </x:c>
      <x:c r="K35" s="89" t="n">
        <x:v>41153</x:v>
      </x:c>
      <x:c r="L35" s="84" t="str">
        <x:v>Ativo</x:v>
      </x:c>
      <x:c r="M35" s="91" t="n">
        <x:v>440156.49</x:v>
      </x:c>
    </x:row>
    <x:row r="36">
      <x:c r="A36" s="83" t="n">
        <x:v>35</x:v>
      </x:c>
      <x:c r="B36" s="84" t="str">
        <x:v>EQ-0035</x:v>
      </x:c>
      <x:c r="C36" s="84" t="str">
        <x:v>Prensa 35</x:v>
      </x:c>
      <x:c r="D36" s="84" t="str">
        <x:v>Prensa</x:v>
      </x:c>
      <x:c r="E36" s="84" t="str">
        <x:v>NovaMotion</x:v>
      </x:c>
      <x:c r="F36" s="84" t="str">
        <x:v>M914</x:v>
      </x:c>
      <x:c r="G36" s="84" t="n">
        <x:v>3</x:v>
      </x:c>
      <x:c r="H36" s="84" t="n">
        <x:v>8</x:v>
      </x:c>
      <x:c r="I36" s="84" t="n">
        <x:v>12</x:v>
      </x:c>
      <x:c r="J36" s="84" t="str">
        <x:v>Baixa</x:v>
      </x:c>
      <x:c r="K36" s="89" t="n">
        <x:v>43586</x:v>
      </x:c>
      <x:c r="L36" s="84" t="str">
        <x:v>Ativo</x:v>
      </x:c>
      <x:c r="M36" s="91" t="n">
        <x:v>556545.18</x:v>
      </x:c>
    </x:row>
    <x:row r="37">
      <x:c r="A37" s="83" t="n">
        <x:v>36</x:v>
      </x:c>
      <x:c r="B37" s="84" t="str">
        <x:v>EQ-0036</x:v>
      </x:c>
      <x:c r="C37" s="84" t="str">
        <x:v>Torno CNC 36</x:v>
      </x:c>
      <x:c r="D37" s="84" t="str">
        <x:v>Torno CNC</x:v>
      </x:c>
      <x:c r="E37" s="84" t="str">
        <x:v>Mecatron</x:v>
      </x:c>
      <x:c r="F37" s="84" t="str">
        <x:v>M815</x:v>
      </x:c>
      <x:c r="G37" s="84" t="n">
        <x:v>3</x:v>
      </x:c>
      <x:c r="H37" s="84" t="n">
        <x:v>7</x:v>
      </x:c>
      <x:c r="I37" s="84" t="n">
        <x:v>10</x:v>
      </x:c>
      <x:c r="J37" s="84" t="str">
        <x:v>Média</x:v>
      </x:c>
      <x:c r="K37" s="89" t="n">
        <x:v>41821</x:v>
      </x:c>
      <x:c r="L37" s="84" t="str">
        <x:v>Ativo</x:v>
      </x:c>
      <x:c r="M37" s="91" t="n">
        <x:v>756233.71</x:v>
      </x:c>
    </x:row>
    <x:row r="38">
      <x:c r="A38" s="83" t="n">
        <x:v>37</x:v>
      </x:c>
      <x:c r="B38" s="84" t="str">
        <x:v>EQ-0037</x:v>
      </x:c>
      <x:c r="C38" s="84" t="str">
        <x:v>Torno CNC 37</x:v>
      </x:c>
      <x:c r="D38" s="84" t="str">
        <x:v>Torno CNC</x:v>
      </x:c>
      <x:c r="E38" s="84" t="str">
        <x:v>IndusTech</x:v>
      </x:c>
      <x:c r="F38" s="84" t="str">
        <x:v>M914</x:v>
      </x:c>
      <x:c r="G38" s="84" t="n">
        <x:v>1</x:v>
      </x:c>
      <x:c r="H38" s="84" t="n">
        <x:v>1</x:v>
      </x:c>
      <x:c r="I38" s="84" t="n">
        <x:v>1</x:v>
      </x:c>
      <x:c r="J38" s="84" t="str">
        <x:v>Baixa</x:v>
      </x:c>
      <x:c r="K38" s="89" t="n">
        <x:v>43952</x:v>
      </x:c>
      <x:c r="L38" s="84" t="str">
        <x:v>Ativo</x:v>
      </x:c>
      <x:c r="M38" s="91" t="n">
        <x:v>234907.33</x:v>
      </x:c>
    </x:row>
    <x:row r="39">
      <x:c r="A39" s="83" t="n">
        <x:v>38</x:v>
      </x:c>
      <x:c r="B39" s="84" t="str">
        <x:v>EQ-0038</x:v>
      </x:c>
      <x:c r="C39" s="84" t="str">
        <x:v>Forno 38</x:v>
      </x:c>
      <x:c r="D39" s="84" t="str">
        <x:v>Forno</x:v>
      </x:c>
      <x:c r="E39" s="84" t="str">
        <x:v>NovaMotion</x:v>
      </x:c>
      <x:c r="F39" s="84" t="str">
        <x:v>M656</x:v>
      </x:c>
      <x:c r="G39" s="84" t="n">
        <x:v>3</x:v>
      </x:c>
      <x:c r="H39" s="84" t="n">
        <x:v>7</x:v>
      </x:c>
      <x:c r="I39" s="84" t="n">
        <x:v>9</x:v>
      </x:c>
      <x:c r="J39" s="84" t="str">
        <x:v>Alta</x:v>
      </x:c>
      <x:c r="K39" s="89" t="n">
        <x:v>43221</x:v>
      </x:c>
      <x:c r="L39" s="84" t="str">
        <x:v>Ativo</x:v>
      </x:c>
      <x:c r="M39" s="91" t="n">
        <x:v>584001.16</x:v>
      </x:c>
    </x:row>
    <x:row r="40">
      <x:c r="A40" s="83" t="n">
        <x:v>39</x:v>
      </x:c>
      <x:c r="B40" s="84" t="str">
        <x:v>EQ-0039</x:v>
      </x:c>
      <x:c r="C40" s="84" t="str">
        <x:v>Injetora 39</x:v>
      </x:c>
      <x:c r="D40" s="84" t="str">
        <x:v>Injetora</x:v>
      </x:c>
      <x:c r="E40" s="84" t="str">
        <x:v>Mecatron</x:v>
      </x:c>
      <x:c r="F40" s="84" t="str">
        <x:v>M499</x:v>
      </x:c>
      <x:c r="G40" s="84" t="n">
        <x:v>3</x:v>
      </x:c>
      <x:c r="H40" s="84" t="n">
        <x:v>8</x:v>
      </x:c>
      <x:c r="I40" s="84" t="n">
        <x:v>11</x:v>
      </x:c>
      <x:c r="J40" s="84" t="str">
        <x:v>Alta</x:v>
      </x:c>
      <x:c r="K40" s="89" t="n">
        <x:v>44621</x:v>
      </x:c>
      <x:c r="L40" s="84" t="str">
        <x:v>Ativo</x:v>
      </x:c>
      <x:c r="M40" s="91" t="n">
        <x:v>73256.89</x:v>
      </x:c>
    </x:row>
    <x:row r="41">
      <x:c r="A41" s="83" t="n">
        <x:v>40</x:v>
      </x:c>
      <x:c r="B41" s="84" t="str">
        <x:v>EQ-0040</x:v>
      </x:c>
      <x:c r="C41" s="84" t="str">
        <x:v>Torno CNC 40</x:v>
      </x:c>
      <x:c r="D41" s="84" t="str">
        <x:v>Torno CNC</x:v>
      </x:c>
      <x:c r="E41" s="84" t="str">
        <x:v>NovaMotion</x:v>
      </x:c>
      <x:c r="F41" s="84" t="str">
        <x:v>M347</x:v>
      </x:c>
      <x:c r="G41" s="84" t="n">
        <x:v>2</x:v>
      </x:c>
      <x:c r="H41" s="84" t="n">
        <x:v>4</x:v>
      </x:c>
      <x:c r="I41" s="84" t="n">
        <x:v>6</x:v>
      </x:c>
      <x:c r="J41" s="84" t="str">
        <x:v>Média</x:v>
      </x:c>
      <x:c r="K41" s="89" t="n">
        <x:v>41913</x:v>
      </x:c>
      <x:c r="L41" s="84" t="str">
        <x:v>Ativo</x:v>
      </x:c>
      <x:c r="M41" s="91" t="n">
        <x:v>128365.22</x:v>
      </x:c>
    </x:row>
    <x:row r="42">
      <x:c r="A42" s="83" t="n">
        <x:v>41</x:v>
      </x:c>
      <x:c r="B42" s="84" t="str">
        <x:v>EQ-0041</x:v>
      </x:c>
      <x:c r="C42" s="84" t="str">
        <x:v>Prensa 41</x:v>
      </x:c>
      <x:c r="D42" s="84" t="str">
        <x:v>Prensa</x:v>
      </x:c>
      <x:c r="E42" s="84" t="str">
        <x:v>AtlasFict</x:v>
      </x:c>
      <x:c r="F42" s="84" t="str">
        <x:v>M867</x:v>
      </x:c>
      <x:c r="G42" s="84" t="n">
        <x:v>2</x:v>
      </x:c>
      <x:c r="H42" s="84" t="n">
        <x:v>5</x:v>
      </x:c>
      <x:c r="I42" s="84" t="n">
        <x:v>8</x:v>
      </x:c>
      <x:c r="J42" s="84" t="str">
        <x:v>Média</x:v>
      </x:c>
      <x:c r="K42" s="89" t="n">
        <x:v>41548</x:v>
      </x:c>
      <x:c r="L42" s="84" t="str">
        <x:v>Ativo</x:v>
      </x:c>
      <x:c r="M42" s="91" t="n">
        <x:v>281215.04</x:v>
      </x:c>
    </x:row>
    <x:row r="43">
      <x:c r="A43" s="83" t="n">
        <x:v>42</x:v>
      </x:c>
      <x:c r="B43" s="84" t="str">
        <x:v>EQ-0042</x:v>
      </x:c>
      <x:c r="C43" s="84" t="str">
        <x:v>Prensa 42</x:v>
      </x:c>
      <x:c r="D43" s="84" t="str">
        <x:v>Prensa</x:v>
      </x:c>
      <x:c r="E43" s="84" t="str">
        <x:v>Mecatron</x:v>
      </x:c>
      <x:c r="F43" s="84" t="str">
        <x:v>M324</x:v>
      </x:c>
      <x:c r="G43" s="84" t="n">
        <x:v>3</x:v>
      </x:c>
      <x:c r="H43" s="84" t="n">
        <x:v>8</x:v>
      </x:c>
      <x:c r="I43" s="84" t="n">
        <x:v>12</x:v>
      </x:c>
      <x:c r="J43" s="84" t="str">
        <x:v>Alta</x:v>
      </x:c>
      <x:c r="K43" s="89" t="n">
        <x:v>42948</x:v>
      </x:c>
      <x:c r="L43" s="84" t="str">
        <x:v>Ativo</x:v>
      </x:c>
      <x:c r="M43" s="91" t="n">
        <x:v>697809.08</x:v>
      </x:c>
    </x:row>
    <x:row r="44">
      <x:c r="A44" s="83" t="n">
        <x:v>43</x:v>
      </x:c>
      <x:c r="B44" s="84" t="str">
        <x:v>EQ-0043</x:v>
      </x:c>
      <x:c r="C44" s="84" t="str">
        <x:v>Injetora 43</x:v>
      </x:c>
      <x:c r="D44" s="84" t="str">
        <x:v>Injetora</x:v>
      </x:c>
      <x:c r="E44" s="84" t="str">
        <x:v>IndusTech</x:v>
      </x:c>
      <x:c r="F44" s="84" t="str">
        <x:v>M470</x:v>
      </x:c>
      <x:c r="G44" s="84" t="n">
        <x:v>1</x:v>
      </x:c>
      <x:c r="H44" s="84" t="n">
        <x:v>2</x:v>
      </x:c>
      <x:c r="I44" s="84" t="n">
        <x:v>3</x:v>
      </x:c>
      <x:c r="J44" s="84" t="str">
        <x:v>Baixa</x:v>
      </x:c>
      <x:c r="K44" s="89" t="n">
        <x:v>44075</x:v>
      </x:c>
      <x:c r="L44" s="84" t="str">
        <x:v>Ativo</x:v>
      </x:c>
      <x:c r="M44" s="91" t="n">
        <x:v>464356.09</x:v>
      </x:c>
    </x:row>
    <x:row r="45">
      <x:c r="A45" s="83" t="n">
        <x:v>44</x:v>
      </x:c>
      <x:c r="B45" s="84" t="str">
        <x:v>EQ-0044</x:v>
      </x:c>
      <x:c r="C45" s="84" t="str">
        <x:v>Prensa 44</x:v>
      </x:c>
      <x:c r="D45" s="84" t="str">
        <x:v>Prensa</x:v>
      </x:c>
      <x:c r="E45" s="84" t="str">
        <x:v>TecnoFab</x:v>
      </x:c>
      <x:c r="F45" s="84" t="str">
        <x:v>M837</x:v>
      </x:c>
      <x:c r="G45" s="84" t="n">
        <x:v>1</x:v>
      </x:c>
      <x:c r="H45" s="84" t="n">
        <x:v>1</x:v>
      </x:c>
      <x:c r="I45" s="84" t="n">
        <x:v>1</x:v>
      </x:c>
      <x:c r="J45" s="84" t="str">
        <x:v>Média</x:v>
      </x:c>
      <x:c r="K45" s="89" t="n">
        <x:v>43497</x:v>
      </x:c>
      <x:c r="L45" s="84" t="str">
        <x:v>Ativo</x:v>
      </x:c>
      <x:c r="M45" s="91" t="n">
        <x:v>730996.62</x:v>
      </x:c>
    </x:row>
    <x:row r="46">
      <x:c r="A46" s="83" t="n">
        <x:v>45</x:v>
      </x:c>
      <x:c r="B46" s="84" t="str">
        <x:v>EQ-0045</x:v>
      </x:c>
      <x:c r="C46" s="84" t="str">
        <x:v>Prensa 45</x:v>
      </x:c>
      <x:c r="D46" s="84" t="str">
        <x:v>Prensa</x:v>
      </x:c>
      <x:c r="E46" s="84" t="str">
        <x:v>IndusTech</x:v>
      </x:c>
      <x:c r="F46" s="84" t="str">
        <x:v>M111</x:v>
      </x:c>
      <x:c r="G46" s="84" t="n">
        <x:v>1</x:v>
      </x:c>
      <x:c r="H46" s="84" t="n">
        <x:v>1</x:v>
      </x:c>
      <x:c r="I46" s="84" t="n">
        <x:v>2</x:v>
      </x:c>
      <x:c r="J46" s="84" t="str">
        <x:v>Baixa</x:v>
      </x:c>
      <x:c r="K46" s="89" t="n">
        <x:v>42491</x:v>
      </x:c>
      <x:c r="L46" s="84" t="str">
        <x:v>Ativo</x:v>
      </x:c>
      <x:c r="M46" s="91" t="n">
        <x:v>767012.29</x:v>
      </x:c>
    </x:row>
    <x:row r="47">
      <x:c r="A47" s="83" t="n">
        <x:v>46</x:v>
      </x:c>
      <x:c r="B47" s="84" t="str">
        <x:v>EQ-0046</x:v>
      </x:c>
      <x:c r="C47" s="84" t="str">
        <x:v>Chiller 46</x:v>
      </x:c>
      <x:c r="D47" s="84" t="str">
        <x:v>Chiller</x:v>
      </x:c>
      <x:c r="E47" s="84" t="str">
        <x:v>NovaMotion</x:v>
      </x:c>
      <x:c r="F47" s="84" t="str">
        <x:v>M781</x:v>
      </x:c>
      <x:c r="G47" s="84" t="n">
        <x:v>2</x:v>
      </x:c>
      <x:c r="H47" s="84" t="n">
        <x:v>5</x:v>
      </x:c>
      <x:c r="I47" s="84" t="n">
        <x:v>7</x:v>
      </x:c>
      <x:c r="J47" s="84" t="str">
        <x:v>Alta</x:v>
      </x:c>
      <x:c r="K47" s="89" t="n">
        <x:v>44409</x:v>
      </x:c>
      <x:c r="L47" s="84" t="str">
        <x:v>Ativo</x:v>
      </x:c>
      <x:c r="M47" s="91" t="n">
        <x:v>216420.93</x:v>
      </x:c>
    </x:row>
    <x:row r="48">
      <x:c r="A48" s="83" t="n">
        <x:v>47</x:v>
      </x:c>
      <x:c r="B48" s="84" t="str">
        <x:v>EQ-0047</x:v>
      </x:c>
      <x:c r="C48" s="84" t="str">
        <x:v>Injetora 47</x:v>
      </x:c>
      <x:c r="D48" s="84" t="str">
        <x:v>Injetora</x:v>
      </x:c>
      <x:c r="E48" s="84" t="str">
        <x:v>AtlasFict</x:v>
      </x:c>
      <x:c r="F48" s="84" t="str">
        <x:v>M430</x:v>
      </x:c>
      <x:c r="G48" s="84" t="n">
        <x:v>1</x:v>
      </x:c>
      <x:c r="H48" s="84" t="n">
        <x:v>1</x:v>
      </x:c>
      <x:c r="I48" s="84" t="n">
        <x:v>1</x:v>
      </x:c>
      <x:c r="J48" s="84" t="str">
        <x:v>Média</x:v>
      </x:c>
      <x:c r="K48" s="89" t="n">
        <x:v>44105</x:v>
      </x:c>
      <x:c r="L48" s="84" t="str">
        <x:v>Ativo</x:v>
      </x:c>
      <x:c r="M48" s="91" t="n">
        <x:v>776518.86</x:v>
      </x:c>
    </x:row>
    <x:row r="49">
      <x:c r="A49" s="83" t="n">
        <x:v>48</x:v>
      </x:c>
      <x:c r="B49" s="84" t="str">
        <x:v>EQ-0048</x:v>
      </x:c>
      <x:c r="C49" s="84" t="str">
        <x:v>Chiller 48</x:v>
      </x:c>
      <x:c r="D49" s="84" t="str">
        <x:v>Chiller</x:v>
      </x:c>
      <x:c r="E49" s="84" t="str">
        <x:v>NovaMotion</x:v>
      </x:c>
      <x:c r="F49" s="84" t="str">
        <x:v>M799</x:v>
      </x:c>
      <x:c r="G49" s="84" t="n">
        <x:v>3</x:v>
      </x:c>
      <x:c r="H49" s="84" t="n">
        <x:v>8</x:v>
      </x:c>
      <x:c r="I49" s="84" t="n">
        <x:v>11</x:v>
      </x:c>
      <x:c r="J49" s="84" t="str">
        <x:v>Média</x:v>
      </x:c>
      <x:c r="K49" s="89" t="n">
        <x:v>41395</x:v>
      </x:c>
      <x:c r="L49" s="84" t="str">
        <x:v>Ativo</x:v>
      </x:c>
      <x:c r="M49" s="91" t="n">
        <x:v>133589.71</x:v>
      </x:c>
    </x:row>
    <x:row r="50">
      <x:c r="A50" s="83" t="n">
        <x:v>49</x:v>
      </x:c>
      <x:c r="B50" s="84" t="str">
        <x:v>EQ-0049</x:v>
      </x:c>
      <x:c r="C50" s="84" t="str">
        <x:v>Chiller 49</x:v>
      </x:c>
      <x:c r="D50" s="84" t="str">
        <x:v>Chiller</x:v>
      </x:c>
      <x:c r="E50" s="84" t="str">
        <x:v>TecnoFab</x:v>
      </x:c>
      <x:c r="F50" s="84" t="str">
        <x:v>M598</x:v>
      </x:c>
      <x:c r="G50" s="84" t="n">
        <x:v>2</x:v>
      </x:c>
      <x:c r="H50" s="84" t="n">
        <x:v>4</x:v>
      </x:c>
      <x:c r="I50" s="84" t="n">
        <x:v>5</x:v>
      </x:c>
      <x:c r="J50" s="84" t="str">
        <x:v>Alta</x:v>
      </x:c>
      <x:c r="K50" s="89" t="n">
        <x:v>43497</x:v>
      </x:c>
      <x:c r="L50" s="84" t="str">
        <x:v>Ativo</x:v>
      </x:c>
      <x:c r="M50" s="91" t="n">
        <x:v>294751.48</x:v>
      </x:c>
    </x:row>
    <x:row r="51">
      <x:c r="A51" s="83" t="n">
        <x:v>50</x:v>
      </x:c>
      <x:c r="B51" s="84" t="str">
        <x:v>EQ-0050</x:v>
      </x:c>
      <x:c r="C51" s="84" t="str">
        <x:v>Chiller 50</x:v>
      </x:c>
      <x:c r="D51" s="84" t="str">
        <x:v>Chiller</x:v>
      </x:c>
      <x:c r="E51" s="84" t="str">
        <x:v>Mecatron</x:v>
      </x:c>
      <x:c r="F51" s="84" t="str">
        <x:v>M666</x:v>
      </x:c>
      <x:c r="G51" s="84" t="n">
        <x:v>3</x:v>
      </x:c>
      <x:c r="H51" s="84" t="n">
        <x:v>8</x:v>
      </x:c>
      <x:c r="I51" s="84" t="n">
        <x:v>11</x:v>
      </x:c>
      <x:c r="J51" s="84" t="str">
        <x:v>Média</x:v>
      </x:c>
      <x:c r="K51" s="89" t="n">
        <x:v>44075</x:v>
      </x:c>
      <x:c r="L51" s="84" t="str">
        <x:v>Ativo</x:v>
      </x:c>
      <x:c r="M51" s="91" t="n">
        <x:v>315261.08</x:v>
      </x:c>
    </x:row>
    <x:row r="52">
      <x:c r="A52" s="83" t="n">
        <x:v>51</x:v>
      </x:c>
      <x:c r="B52" s="84" t="str">
        <x:v>EQ-0051</x:v>
      </x:c>
      <x:c r="C52" s="84" t="str">
        <x:v>Robô industrial 51</x:v>
      </x:c>
      <x:c r="D52" s="84" t="str">
        <x:v>Robô industrial</x:v>
      </x:c>
      <x:c r="E52" s="84" t="str">
        <x:v>IndusTech</x:v>
      </x:c>
      <x:c r="F52" s="84" t="str">
        <x:v>M197</x:v>
      </x:c>
      <x:c r="G52" s="84" t="n">
        <x:v>2</x:v>
      </x:c>
      <x:c r="H52" s="84" t="n">
        <x:v>5</x:v>
      </x:c>
      <x:c r="I52" s="84" t="n">
        <x:v>7</x:v>
      </x:c>
      <x:c r="J52" s="84" t="str">
        <x:v>Baixa</x:v>
      </x:c>
      <x:c r="K52" s="89" t="n">
        <x:v>44440</x:v>
      </x:c>
      <x:c r="L52" s="84" t="str">
        <x:v>Ativo</x:v>
      </x:c>
      <x:c r="M52" s="91" t="n">
        <x:v>231884.32</x:v>
      </x:c>
    </x:row>
    <x:row r="53">
      <x:c r="A53" s="83" t="n">
        <x:v>52</x:v>
      </x:c>
      <x:c r="B53" s="84" t="str">
        <x:v>EQ-0052</x:v>
      </x:c>
      <x:c r="C53" s="84" t="str">
        <x:v>Compressor 52</x:v>
      </x:c>
      <x:c r="D53" s="84" t="str">
        <x:v>Compressor</x:v>
      </x:c>
      <x:c r="E53" s="84" t="str">
        <x:v>AtlasFict</x:v>
      </x:c>
      <x:c r="F53" s="84" t="str">
        <x:v>M762</x:v>
      </x:c>
      <x:c r="G53" s="84" t="n">
        <x:v>1</x:v>
      </x:c>
      <x:c r="H53" s="84" t="n">
        <x:v>2</x:v>
      </x:c>
      <x:c r="I53" s="84" t="n">
        <x:v>3</x:v>
      </x:c>
      <x:c r="J53" s="84" t="str">
        <x:v>Baixa</x:v>
      </x:c>
      <x:c r="K53" s="89" t="n">
        <x:v>43983</x:v>
      </x:c>
      <x:c r="L53" s="84" t="str">
        <x:v>Ativo</x:v>
      </x:c>
      <x:c r="M53" s="91" t="n">
        <x:v>646770.5</x:v>
      </x:c>
    </x:row>
    <x:row r="54">
      <x:c r="A54" s="83" t="n">
        <x:v>53</x:v>
      </x:c>
      <x:c r="B54" s="84" t="str">
        <x:v>EQ-0053</x:v>
      </x:c>
      <x:c r="C54" s="84" t="str">
        <x:v>Injetora 53</x:v>
      </x:c>
      <x:c r="D54" s="84" t="str">
        <x:v>Injetora</x:v>
      </x:c>
      <x:c r="E54" s="84" t="str">
        <x:v>Mecatron</x:v>
      </x:c>
      <x:c r="F54" s="84" t="str">
        <x:v>M505</x:v>
      </x:c>
      <x:c r="G54" s="84" t="n">
        <x:v>2</x:v>
      </x:c>
      <x:c r="H54" s="84" t="n">
        <x:v>4</x:v>
      </x:c>
      <x:c r="I54" s="84" t="n">
        <x:v>5</x:v>
      </x:c>
      <x:c r="J54" s="84" t="str">
        <x:v>Média</x:v>
      </x:c>
      <x:c r="K54" s="89" t="n">
        <x:v>43282</x:v>
      </x:c>
      <x:c r="L54" s="84" t="str">
        <x:v>Ativo</x:v>
      </x:c>
      <x:c r="M54" s="91" t="n">
        <x:v>564470.89</x:v>
      </x:c>
    </x:row>
    <x:row r="55">
      <x:c r="A55" s="83" t="n">
        <x:v>54</x:v>
      </x:c>
      <x:c r="B55" s="84" t="str">
        <x:v>EQ-0054</x:v>
      </x:c>
      <x:c r="C55" s="84" t="str">
        <x:v>Esteira 54</x:v>
      </x:c>
      <x:c r="D55" s="84" t="str">
        <x:v>Esteira</x:v>
      </x:c>
      <x:c r="E55" s="84" t="str">
        <x:v>IndusTech</x:v>
      </x:c>
      <x:c r="F55" s="84" t="str">
        <x:v>M553</x:v>
      </x:c>
      <x:c r="G55" s="84" t="n">
        <x:v>3</x:v>
      </x:c>
      <x:c r="H55" s="84" t="n">
        <x:v>8</x:v>
      </x:c>
      <x:c r="I55" s="84" t="n">
        <x:v>12</x:v>
      </x:c>
      <x:c r="J55" s="84" t="str">
        <x:v>Média</x:v>
      </x:c>
      <x:c r="K55" s="89" t="n">
        <x:v>43831</x:v>
      </x:c>
      <x:c r="L55" s="84" t="str">
        <x:v>Ativo</x:v>
      </x:c>
      <x:c r="M55" s="91" t="n">
        <x:v>496505.58</x:v>
      </x:c>
    </x:row>
    <x:row r="56">
      <x:c r="A56" s="83" t="n">
        <x:v>55</x:v>
      </x:c>
      <x:c r="B56" s="84" t="str">
        <x:v>EQ-0055</x:v>
      </x:c>
      <x:c r="C56" s="84" t="str">
        <x:v>Injetora 55</x:v>
      </x:c>
      <x:c r="D56" s="84" t="str">
        <x:v>Injetora</x:v>
      </x:c>
      <x:c r="E56" s="84" t="str">
        <x:v>AtlasFict</x:v>
      </x:c>
      <x:c r="F56" s="84" t="str">
        <x:v>M693</x:v>
      </x:c>
      <x:c r="G56" s="84" t="n">
        <x:v>1</x:v>
      </x:c>
      <x:c r="H56" s="84" t="n">
        <x:v>2</x:v>
      </x:c>
      <x:c r="I56" s="84" t="n">
        <x:v>4</x:v>
      </x:c>
      <x:c r="J56" s="84" t="str">
        <x:v>Alta</x:v>
      </x:c>
      <x:c r="K56" s="89" t="n">
        <x:v>43862</x:v>
      </x:c>
      <x:c r="L56" s="84" t="str">
        <x:v>Ativo</x:v>
      </x:c>
      <x:c r="M56" s="91" t="n">
        <x:v>586935.62</x:v>
      </x:c>
    </x:row>
    <x:row r="57">
      <x:c r="A57" s="83" t="n">
        <x:v>56</x:v>
      </x:c>
      <x:c r="B57" s="84" t="str">
        <x:v>EQ-0056</x:v>
      </x:c>
      <x:c r="C57" s="84" t="str">
        <x:v>Centro de usinagem 56</x:v>
      </x:c>
      <x:c r="D57" s="84" t="str">
        <x:v>Centro de usinagem</x:v>
      </x:c>
      <x:c r="E57" s="84" t="str">
        <x:v>NovaMotion</x:v>
      </x:c>
      <x:c r="F57" s="84" t="str">
        <x:v>M550</x:v>
      </x:c>
      <x:c r="G57" s="84" t="n">
        <x:v>1</x:v>
      </x:c>
      <x:c r="H57" s="84" t="n">
        <x:v>1</x:v>
      </x:c>
      <x:c r="I57" s="84" t="n">
        <x:v>1</x:v>
      </x:c>
      <x:c r="J57" s="84" t="str">
        <x:v>Baixa</x:v>
      </x:c>
      <x:c r="K57" s="89" t="n">
        <x:v>42705</x:v>
      </x:c>
      <x:c r="L57" s="84" t="str">
        <x:v>Ativo</x:v>
      </x:c>
      <x:c r="M57" s="91" t="n">
        <x:v>768368.24</x:v>
      </x:c>
    </x:row>
    <x:row r="58">
      <x:c r="A58" s="83" t="n">
        <x:v>57</x:v>
      </x:c>
      <x:c r="B58" s="84" t="str">
        <x:v>EQ-0057</x:v>
      </x:c>
      <x:c r="C58" s="84" t="str">
        <x:v>Prensa 57</x:v>
      </x:c>
      <x:c r="D58" s="84" t="str">
        <x:v>Prensa</x:v>
      </x:c>
      <x:c r="E58" s="84" t="str">
        <x:v>IndusTech</x:v>
      </x:c>
      <x:c r="F58" s="84" t="str">
        <x:v>M940</x:v>
      </x:c>
      <x:c r="G58" s="84" t="n">
        <x:v>1</x:v>
      </x:c>
      <x:c r="H58" s="84" t="n">
        <x:v>1</x:v>
      </x:c>
      <x:c r="I58" s="84" t="n">
        <x:v>2</x:v>
      </x:c>
      <x:c r="J58" s="84" t="str">
        <x:v>Média</x:v>
      </x:c>
      <x:c r="K58" s="89" t="n">
        <x:v>43952</x:v>
      </x:c>
      <x:c r="L58" s="84" t="str">
        <x:v>Ativo</x:v>
      </x:c>
      <x:c r="M58" s="91" t="n">
        <x:v>650023.64</x:v>
      </x:c>
    </x:row>
    <x:row r="59">
      <x:c r="A59" s="83" t="n">
        <x:v>58</x:v>
      </x:c>
      <x:c r="B59" s="84" t="str">
        <x:v>EQ-0058</x:v>
      </x:c>
      <x:c r="C59" s="84" t="str">
        <x:v>Injetora 58</x:v>
      </x:c>
      <x:c r="D59" s="84" t="str">
        <x:v>Injetora</x:v>
      </x:c>
      <x:c r="E59" s="84" t="str">
        <x:v>Mecatron</x:v>
      </x:c>
      <x:c r="F59" s="84" t="str">
        <x:v>M750</x:v>
      </x:c>
      <x:c r="G59" s="84" t="n">
        <x:v>3</x:v>
      </x:c>
      <x:c r="H59" s="84" t="n">
        <x:v>8</x:v>
      </x:c>
      <x:c r="I59" s="84" t="n">
        <x:v>12</x:v>
      </x:c>
      <x:c r="J59" s="84" t="str">
        <x:v>Média</x:v>
      </x:c>
      <x:c r="K59" s="89" t="n">
        <x:v>41030</x:v>
      </x:c>
      <x:c r="L59" s="84" t="str">
        <x:v>Ativo</x:v>
      </x:c>
      <x:c r="M59" s="91" t="n">
        <x:v>450360.27</x:v>
      </x:c>
    </x:row>
    <x:row r="60">
      <x:c r="A60" s="83" t="n">
        <x:v>59</x:v>
      </x:c>
      <x:c r="B60" s="84" t="str">
        <x:v>EQ-0059</x:v>
      </x:c>
      <x:c r="C60" s="84" t="str">
        <x:v>Robô industrial 59</x:v>
      </x:c>
      <x:c r="D60" s="84" t="str">
        <x:v>Robô industrial</x:v>
      </x:c>
      <x:c r="E60" s="84" t="str">
        <x:v>TecnoFab</x:v>
      </x:c>
      <x:c r="F60" s="84" t="str">
        <x:v>M925</x:v>
      </x:c>
      <x:c r="G60" s="84" t="n">
        <x:v>2</x:v>
      </x:c>
      <x:c r="H60" s="84" t="n">
        <x:v>5</x:v>
      </x:c>
      <x:c r="I60" s="84" t="n">
        <x:v>8</x:v>
      </x:c>
      <x:c r="J60" s="84" t="str">
        <x:v>Alta</x:v>
      </x:c>
      <x:c r="K60" s="89" t="n">
        <x:v>43556</x:v>
      </x:c>
      <x:c r="L60" s="84" t="str">
        <x:v>Ativo</x:v>
      </x:c>
      <x:c r="M60" s="91" t="n">
        <x:v>162315.86</x:v>
      </x:c>
    </x:row>
    <x:row r="61">
      <x:c r="A61" s="83" t="n">
        <x:v>60</x:v>
      </x:c>
      <x:c r="B61" s="84" t="str">
        <x:v>EQ-0060</x:v>
      </x:c>
      <x:c r="C61" s="84" t="str">
        <x:v>Chiller 60</x:v>
      </x:c>
      <x:c r="D61" s="84" t="str">
        <x:v>Chiller</x:v>
      </x:c>
      <x:c r="E61" s="84" t="str">
        <x:v>NovaMotion</x:v>
      </x:c>
      <x:c r="F61" s="84" t="str">
        <x:v>M922</x:v>
      </x:c>
      <x:c r="G61" s="84" t="n">
        <x:v>3</x:v>
      </x:c>
      <x:c r="H61" s="84" t="n">
        <x:v>8</x:v>
      </x:c>
      <x:c r="I61" s="84" t="n">
        <x:v>12</x:v>
      </x:c>
      <x:c r="J61" s="84" t="str">
        <x:v>Média</x:v>
      </x:c>
      <x:c r="K61" s="89" t="n">
        <x:v>41640</x:v>
      </x:c>
      <x:c r="L61" s="84" t="str">
        <x:v>Ativo</x:v>
      </x:c>
      <x:c r="M61" s="91" t="n">
        <x:v>641646.53</x:v>
      </x:c>
    </x:row>
    <x:row r="62">
      <x:c r="A62" s="83" t="n">
        <x:v>61</x:v>
      </x:c>
      <x:c r="B62" s="84" t="str">
        <x:v>EQ-0061</x:v>
      </x:c>
      <x:c r="C62" s="84" t="str">
        <x:v>Chiller 61</x:v>
      </x:c>
      <x:c r="D62" s="84" t="str">
        <x:v>Chiller</x:v>
      </x:c>
      <x:c r="E62" s="84" t="str">
        <x:v>IndusTech</x:v>
      </x:c>
      <x:c r="F62" s="84" t="str">
        <x:v>M997</x:v>
      </x:c>
      <x:c r="G62" s="84" t="n">
        <x:v>1</x:v>
      </x:c>
      <x:c r="H62" s="84" t="n">
        <x:v>1</x:v>
      </x:c>
      <x:c r="I62" s="84" t="n">
        <x:v>2</x:v>
      </x:c>
      <x:c r="J62" s="84" t="str">
        <x:v>Média</x:v>
      </x:c>
      <x:c r="K62" s="89" t="n">
        <x:v>43405</x:v>
      </x:c>
      <x:c r="L62" s="84" t="str">
        <x:v>Ativo</x:v>
      </x:c>
      <x:c r="M62" s="91" t="n">
        <x:v>799081.17</x:v>
      </x:c>
    </x:row>
    <x:row r="63">
      <x:c r="A63" s="83" t="n">
        <x:v>62</x:v>
      </x:c>
      <x:c r="B63" s="84" t="str">
        <x:v>EQ-0062</x:v>
      </x:c>
      <x:c r="C63" s="84" t="str">
        <x:v>Robô industrial 62</x:v>
      </x:c>
      <x:c r="D63" s="84" t="str">
        <x:v>Robô industrial</x:v>
      </x:c>
      <x:c r="E63" s="84" t="str">
        <x:v>IndusTech</x:v>
      </x:c>
      <x:c r="F63" s="84" t="str">
        <x:v>M894</x:v>
      </x:c>
      <x:c r="G63" s="84" t="n">
        <x:v>2</x:v>
      </x:c>
      <x:c r="H63" s="84" t="n">
        <x:v>4</x:v>
      </x:c>
      <x:c r="I63" s="84" t="n">
        <x:v>6</x:v>
      </x:c>
      <x:c r="J63" s="84" t="str">
        <x:v>Média</x:v>
      </x:c>
      <x:c r="K63" s="89" t="n">
        <x:v>43586</x:v>
      </x:c>
      <x:c r="L63" s="84" t="str">
        <x:v>Ativo</x:v>
      </x:c>
      <x:c r="M63" s="91" t="n">
        <x:v>99310.21</x:v>
      </x:c>
    </x:row>
    <x:row r="64">
      <x:c r="A64" s="83" t="n">
        <x:v>63</x:v>
      </x:c>
      <x:c r="B64" s="84" t="str">
        <x:v>EQ-0063</x:v>
      </x:c>
      <x:c r="C64" s="84" t="str">
        <x:v>Robô industrial 63</x:v>
      </x:c>
      <x:c r="D64" s="84" t="str">
        <x:v>Robô industrial</x:v>
      </x:c>
      <x:c r="E64" s="84" t="str">
        <x:v>IndusTech</x:v>
      </x:c>
      <x:c r="F64" s="84" t="str">
        <x:v>M264</x:v>
      </x:c>
      <x:c r="G64" s="84" t="n">
        <x:v>1</x:v>
      </x:c>
      <x:c r="H64" s="84" t="n">
        <x:v>2</x:v>
      </x:c>
      <x:c r="I64" s="84" t="n">
        <x:v>4</x:v>
      </x:c>
      <x:c r="J64" s="84" t="str">
        <x:v>Média</x:v>
      </x:c>
      <x:c r="K64" s="89" t="n">
        <x:v>44256</x:v>
      </x:c>
      <x:c r="L64" s="84" t="str">
        <x:v>Ativo</x:v>
      </x:c>
      <x:c r="M64" s="91" t="n">
        <x:v>682896.7</x:v>
      </x:c>
    </x:row>
    <x:row r="65">
      <x:c r="A65" s="83" t="n">
        <x:v>64</x:v>
      </x:c>
      <x:c r="B65" s="84" t="str">
        <x:v>EQ-0064</x:v>
      </x:c>
      <x:c r="C65" s="84" t="str">
        <x:v>Compressor 64</x:v>
      </x:c>
      <x:c r="D65" s="84" t="str">
        <x:v>Compressor</x:v>
      </x:c>
      <x:c r="E65" s="84" t="str">
        <x:v>NovaMotion</x:v>
      </x:c>
      <x:c r="F65" s="84" t="str">
        <x:v>M377</x:v>
      </x:c>
      <x:c r="G65" s="84" t="n">
        <x:v>2</x:v>
      </x:c>
      <x:c r="H65" s="84" t="n">
        <x:v>5</x:v>
      </x:c>
      <x:c r="I65" s="84" t="n">
        <x:v>7</x:v>
      </x:c>
      <x:c r="J65" s="84" t="str">
        <x:v>Média</x:v>
      </x:c>
      <x:c r="K65" s="89" t="n">
        <x:v>44013</x:v>
      </x:c>
      <x:c r="L65" s="84" t="str">
        <x:v>Ativo</x:v>
      </x:c>
      <x:c r="M65" s="91" t="n">
        <x:v>811427.94</x:v>
      </x:c>
    </x:row>
    <x:row r="66">
      <x:c r="A66" s="83" t="n">
        <x:v>65</x:v>
      </x:c>
      <x:c r="B66" s="84" t="str">
        <x:v>EQ-0065</x:v>
      </x:c>
      <x:c r="C66" s="84" t="str">
        <x:v>Torno CNC 65</x:v>
      </x:c>
      <x:c r="D66" s="84" t="str">
        <x:v>Torno CNC</x:v>
      </x:c>
      <x:c r="E66" s="84" t="str">
        <x:v>IndusTech</x:v>
      </x:c>
      <x:c r="F66" s="84" t="str">
        <x:v>M130</x:v>
      </x:c>
      <x:c r="G66" s="84" t="n">
        <x:v>1</x:v>
      </x:c>
      <x:c r="H66" s="84" t="n">
        <x:v>1</x:v>
      </x:c>
      <x:c r="I66" s="84" t="n">
        <x:v>2</x:v>
      </x:c>
      <x:c r="J66" s="84" t="str">
        <x:v>Baixa</x:v>
      </x:c>
      <x:c r="K66" s="89" t="n">
        <x:v>43040</x:v>
      </x:c>
      <x:c r="L66" s="84" t="str">
        <x:v>Ativo</x:v>
      </x:c>
      <x:c r="M66" s="91" t="n">
        <x:v>694230.87</x:v>
      </x:c>
    </x:row>
    <x:row r="67">
      <x:c r="A67" s="83" t="n">
        <x:v>66</x:v>
      </x:c>
      <x:c r="B67" s="84" t="str">
        <x:v>EQ-0066</x:v>
      </x:c>
      <x:c r="C67" s="84" t="str">
        <x:v>Chiller 66</x:v>
      </x:c>
      <x:c r="D67" s="84" t="str">
        <x:v>Chiller</x:v>
      </x:c>
      <x:c r="E67" s="84" t="str">
        <x:v>IndusTech</x:v>
      </x:c>
      <x:c r="F67" s="84" t="str">
        <x:v>M605</x:v>
      </x:c>
      <x:c r="G67" s="84" t="n">
        <x:v>2</x:v>
      </x:c>
      <x:c r="H67" s="84" t="n">
        <x:v>4</x:v>
      </x:c>
      <x:c r="I67" s="84" t="n">
        <x:v>5</x:v>
      </x:c>
      <x:c r="J67" s="84" t="str">
        <x:v>Baixa</x:v>
      </x:c>
      <x:c r="K67" s="89" t="n">
        <x:v>41852</x:v>
      </x:c>
      <x:c r="L67" s="84" t="str">
        <x:v>Ativo</x:v>
      </x:c>
      <x:c r="M67" s="91" t="n">
        <x:v>539637.64</x:v>
      </x:c>
    </x:row>
    <x:row r="68">
      <x:c r="A68" s="83" t="n">
        <x:v>67</x:v>
      </x:c>
      <x:c r="B68" s="84" t="str">
        <x:v>EQ-0067</x:v>
      </x:c>
      <x:c r="C68" s="84" t="str">
        <x:v>Forno 67</x:v>
      </x:c>
      <x:c r="D68" s="84" t="str">
        <x:v>Forno</x:v>
      </x:c>
      <x:c r="E68" s="84" t="str">
        <x:v>TecnoFab</x:v>
      </x:c>
      <x:c r="F68" s="84" t="str">
        <x:v>M830</x:v>
      </x:c>
      <x:c r="G68" s="84" t="n">
        <x:v>3</x:v>
      </x:c>
      <x:c r="H68" s="84" t="n">
        <x:v>8</x:v>
      </x:c>
      <x:c r="I68" s="84" t="n">
        <x:v>11</x:v>
      </x:c>
      <x:c r="J68" s="84" t="str">
        <x:v>Alta</x:v>
      </x:c>
      <x:c r="K68" s="89" t="n">
        <x:v>42917</x:v>
      </x:c>
      <x:c r="L68" s="84" t="str">
        <x:v>Ativo</x:v>
      </x:c>
      <x:c r="M68" s="91" t="n">
        <x:v>302593.4</x:v>
      </x:c>
    </x:row>
    <x:row r="69">
      <x:c r="A69" s="83" t="n">
        <x:v>68</x:v>
      </x:c>
      <x:c r="B69" s="84" t="str">
        <x:v>EQ-0068</x:v>
      </x:c>
      <x:c r="C69" s="84" t="str">
        <x:v>Torno CNC 68</x:v>
      </x:c>
      <x:c r="D69" s="84" t="str">
        <x:v>Torno CNC</x:v>
      </x:c>
      <x:c r="E69" s="84" t="str">
        <x:v>IndusTech</x:v>
      </x:c>
      <x:c r="F69" s="84" t="str">
        <x:v>M276</x:v>
      </x:c>
      <x:c r="G69" s="84" t="n">
        <x:v>3</x:v>
      </x:c>
      <x:c r="H69" s="84" t="n">
        <x:v>7</x:v>
      </x:c>
      <x:c r="I69" s="84" t="n">
        <x:v>9</x:v>
      </x:c>
      <x:c r="J69" s="84" t="str">
        <x:v>Baixa</x:v>
      </x:c>
      <x:c r="K69" s="89" t="n">
        <x:v>43709</x:v>
      </x:c>
      <x:c r="L69" s="84" t="str">
        <x:v>Ativo</x:v>
      </x:c>
      <x:c r="M69" s="91" t="n">
        <x:v>273822.99</x:v>
      </x:c>
    </x:row>
    <x:row r="70">
      <x:c r="A70" s="83" t="n">
        <x:v>69</x:v>
      </x:c>
      <x:c r="B70" s="84" t="str">
        <x:v>EQ-0069</x:v>
      </x:c>
      <x:c r="C70" s="84" t="str">
        <x:v>Robô industrial 69</x:v>
      </x:c>
      <x:c r="D70" s="84" t="str">
        <x:v>Robô industrial</x:v>
      </x:c>
      <x:c r="E70" s="84" t="str">
        <x:v>NovaMotion</x:v>
      </x:c>
      <x:c r="F70" s="84" t="str">
        <x:v>M450</x:v>
      </x:c>
      <x:c r="G70" s="84" t="n">
        <x:v>3</x:v>
      </x:c>
      <x:c r="H70" s="84" t="n">
        <x:v>8</x:v>
      </x:c>
      <x:c r="I70" s="84" t="n">
        <x:v>11</x:v>
      </x:c>
      <x:c r="J70" s="84" t="str">
        <x:v>Alta</x:v>
      </x:c>
      <x:c r="K70" s="89" t="n">
        <x:v>41821</x:v>
      </x:c>
      <x:c r="L70" s="84" t="str">
        <x:v>Ativo</x:v>
      </x:c>
      <x:c r="M70" s="91" t="n">
        <x:v>165510.34</x:v>
      </x:c>
    </x:row>
    <x:row r="71">
      <x:c r="A71" s="83" t="n">
        <x:v>70</x:v>
      </x:c>
      <x:c r="B71" s="84" t="str">
        <x:v>EQ-0070</x:v>
      </x:c>
      <x:c r="C71" s="84" t="str">
        <x:v>Esteira 70</x:v>
      </x:c>
      <x:c r="D71" s="84" t="str">
        <x:v>Esteira</x:v>
      </x:c>
      <x:c r="E71" s="84" t="str">
        <x:v>Mecatron</x:v>
      </x:c>
      <x:c r="F71" s="84" t="str">
        <x:v>M638</x:v>
      </x:c>
      <x:c r="G71" s="84" t="n">
        <x:v>2</x:v>
      </x:c>
      <x:c r="H71" s="84" t="n">
        <x:v>4</x:v>
      </x:c>
      <x:c r="I71" s="84" t="n">
        <x:v>6</x:v>
      </x:c>
      <x:c r="J71" s="84" t="str">
        <x:v>Média</x:v>
      </x:c>
      <x:c r="K71" s="89" t="n">
        <x:v>42887</x:v>
      </x:c>
      <x:c r="L71" s="84" t="str">
        <x:v>Ativo</x:v>
      </x:c>
      <x:c r="M71" s="91" t="n">
        <x:v>325437.95</x:v>
      </x:c>
    </x:row>
    <x:row r="72">
      <x:c r="A72" s="83" t="n">
        <x:v>71</x:v>
      </x:c>
      <x:c r="B72" s="84" t="str">
        <x:v>EQ-0071</x:v>
      </x:c>
      <x:c r="C72" s="84" t="str">
        <x:v>Centro de usinagem 71</x:v>
      </x:c>
      <x:c r="D72" s="84" t="str">
        <x:v>Centro de usinagem</x:v>
      </x:c>
      <x:c r="E72" s="84" t="str">
        <x:v>NovaMotion</x:v>
      </x:c>
      <x:c r="F72" s="84" t="str">
        <x:v>M610</x:v>
      </x:c>
      <x:c r="G72" s="84" t="n">
        <x:v>1</x:v>
      </x:c>
      <x:c r="H72" s="84" t="n">
        <x:v>1</x:v>
      </x:c>
      <x:c r="I72" s="84" t="n">
        <x:v>2</x:v>
      </x:c>
      <x:c r="J72" s="84" t="str">
        <x:v>Média</x:v>
      </x:c>
      <x:c r="K72" s="89" t="n">
        <x:v>43435</x:v>
      </x:c>
      <x:c r="L72" s="84" t="str">
        <x:v>Ativo</x:v>
      </x:c>
      <x:c r="M72" s="91" t="n">
        <x:v>125714.85</x:v>
      </x:c>
    </x:row>
    <x:row r="73">
      <x:c r="A73" s="83" t="n">
        <x:v>72</x:v>
      </x:c>
      <x:c r="B73" s="84" t="str">
        <x:v>EQ-0072</x:v>
      </x:c>
      <x:c r="C73" s="84" t="str">
        <x:v>Prensa 72</x:v>
      </x:c>
      <x:c r="D73" s="84" t="str">
        <x:v>Prensa</x:v>
      </x:c>
      <x:c r="E73" s="84" t="str">
        <x:v>Mecatron</x:v>
      </x:c>
      <x:c r="F73" s="84" t="str">
        <x:v>M279</x:v>
      </x:c>
      <x:c r="G73" s="84" t="n">
        <x:v>2</x:v>
      </x:c>
      <x:c r="H73" s="84" t="n">
        <x:v>4</x:v>
      </x:c>
      <x:c r="I73" s="84" t="n">
        <x:v>5</x:v>
      </x:c>
      <x:c r="J73" s="84" t="str">
        <x:v>Baixa</x:v>
      </x:c>
      <x:c r="K73" s="89" t="n">
        <x:v>42644</x:v>
      </x:c>
      <x:c r="L73" s="84" t="str">
        <x:v>Ativo</x:v>
      </x:c>
      <x:c r="M73" s="91" t="n">
        <x:v>217437.84</x:v>
      </x:c>
    </x:row>
    <x:row r="74">
      <x:c r="A74" s="83" t="n">
        <x:v>73</x:v>
      </x:c>
      <x:c r="B74" s="84" t="str">
        <x:v>EQ-0073</x:v>
      </x:c>
      <x:c r="C74" s="84" t="str">
        <x:v>Bomba 73</x:v>
      </x:c>
      <x:c r="D74" s="84" t="str">
        <x:v>Bomba</x:v>
      </x:c>
      <x:c r="E74" s="84" t="str">
        <x:v>AtlasFict</x:v>
      </x:c>
      <x:c r="F74" s="84" t="str">
        <x:v>M871</x:v>
      </x:c>
      <x:c r="G74" s="84" t="n">
        <x:v>1</x:v>
      </x:c>
      <x:c r="H74" s="84" t="n">
        <x:v>1</x:v>
      </x:c>
      <x:c r="I74" s="84" t="n">
        <x:v>1</x:v>
      </x:c>
      <x:c r="J74" s="84" t="str">
        <x:v>Alta</x:v>
      </x:c>
      <x:c r="K74" s="89" t="n">
        <x:v>44256</x:v>
      </x:c>
      <x:c r="L74" s="84" t="str">
        <x:v>Ativo</x:v>
      </x:c>
      <x:c r="M74" s="91" t="n">
        <x:v>84162.66</x:v>
      </x:c>
    </x:row>
    <x:row r="75">
      <x:c r="A75" s="83" t="n">
        <x:v>74</x:v>
      </x:c>
      <x:c r="B75" s="84" t="str">
        <x:v>EQ-0074</x:v>
      </x:c>
      <x:c r="C75" s="84" t="str">
        <x:v>Forno 74</x:v>
      </x:c>
      <x:c r="D75" s="84" t="str">
        <x:v>Forno</x:v>
      </x:c>
      <x:c r="E75" s="84" t="str">
        <x:v>NovaMotion</x:v>
      </x:c>
      <x:c r="F75" s="84" t="str">
        <x:v>M255</x:v>
      </x:c>
      <x:c r="G75" s="84" t="n">
        <x:v>3</x:v>
      </x:c>
      <x:c r="H75" s="84" t="n">
        <x:v>8</x:v>
      </x:c>
      <x:c r="I75" s="84" t="n">
        <x:v>12</x:v>
      </x:c>
      <x:c r="J75" s="84" t="str">
        <x:v>Média</x:v>
      </x:c>
      <x:c r="K75" s="89" t="n">
        <x:v>42522</x:v>
      </x:c>
      <x:c r="L75" s="84" t="str">
        <x:v>Ativo</x:v>
      </x:c>
      <x:c r="M75" s="91" t="n">
        <x:v>298885.57</x:v>
      </x:c>
    </x:row>
    <x:row r="76">
      <x:c r="A76" s="83" t="n">
        <x:v>75</x:v>
      </x:c>
      <x:c r="B76" s="84" t="str">
        <x:v>EQ-0075</x:v>
      </x:c>
      <x:c r="C76" s="84" t="str">
        <x:v>Compressor 75</x:v>
      </x:c>
      <x:c r="D76" s="84" t="str">
        <x:v>Compressor</x:v>
      </x:c>
      <x:c r="E76" s="84" t="str">
        <x:v>NovaMotion</x:v>
      </x:c>
      <x:c r="F76" s="84" t="str">
        <x:v>M511</x:v>
      </x:c>
      <x:c r="G76" s="84" t="n">
        <x:v>3</x:v>
      </x:c>
      <x:c r="H76" s="84" t="n">
        <x:v>8</x:v>
      </x:c>
      <x:c r="I76" s="84" t="n">
        <x:v>11</x:v>
      </x:c>
      <x:c r="J76" s="84" t="str">
        <x:v>Média</x:v>
      </x:c>
      <x:c r="K76" s="89" t="n">
        <x:v>44835</x:v>
      </x:c>
      <x:c r="L76" s="84" t="str">
        <x:v>Ativo</x:v>
      </x:c>
      <x:c r="M76" s="91" t="n">
        <x:v>447501.47</x:v>
      </x:c>
    </x:row>
    <x:row r="77">
      <x:c r="A77" s="83" t="n">
        <x:v>76</x:v>
      </x:c>
      <x:c r="B77" s="84" t="str">
        <x:v>EQ-0076</x:v>
      </x:c>
      <x:c r="C77" s="84" t="str">
        <x:v>Compressor 76</x:v>
      </x:c>
      <x:c r="D77" s="84" t="str">
        <x:v>Compressor</x:v>
      </x:c>
      <x:c r="E77" s="84" t="str">
        <x:v>TecnoFab</x:v>
      </x:c>
      <x:c r="F77" s="84" t="str">
        <x:v>M277</x:v>
      </x:c>
      <x:c r="G77" s="84" t="n">
        <x:v>2</x:v>
      </x:c>
      <x:c r="H77" s="84" t="n">
        <x:v>4</x:v>
      </x:c>
      <x:c r="I77" s="84" t="n">
        <x:v>6</x:v>
      </x:c>
      <x:c r="J77" s="84" t="str">
        <x:v>Média</x:v>
      </x:c>
      <x:c r="K77" s="89" t="n">
        <x:v>44287</x:v>
      </x:c>
      <x:c r="L77" s="84" t="str">
        <x:v>Ativo</x:v>
      </x:c>
      <x:c r="M77" s="91" t="n">
        <x:v>48464.62</x:v>
      </x:c>
    </x:row>
    <x:row r="78">
      <x:c r="A78" s="83" t="n">
        <x:v>77</x:v>
      </x:c>
      <x:c r="B78" s="84" t="str">
        <x:v>EQ-0077</x:v>
      </x:c>
      <x:c r="C78" s="84" t="str">
        <x:v>Robô industrial 77</x:v>
      </x:c>
      <x:c r="D78" s="84" t="str">
        <x:v>Robô industrial</x:v>
      </x:c>
      <x:c r="E78" s="84" t="str">
        <x:v>IndusTech</x:v>
      </x:c>
      <x:c r="F78" s="84" t="str">
        <x:v>M853</x:v>
      </x:c>
      <x:c r="G78" s="84" t="n">
        <x:v>2</x:v>
      </x:c>
      <x:c r="H78" s="84" t="n">
        <x:v>4</x:v>
      </x:c>
      <x:c r="I78" s="84" t="n">
        <x:v>5</x:v>
      </x:c>
      <x:c r="J78" s="84" t="str">
        <x:v>Baixa</x:v>
      </x:c>
      <x:c r="K78" s="89" t="n">
        <x:v>42095</x:v>
      </x:c>
      <x:c r="L78" s="84" t="str">
        <x:v>Ativo</x:v>
      </x:c>
      <x:c r="M78" s="91" t="n">
        <x:v>392712.77</x:v>
      </x:c>
    </x:row>
    <x:row r="79">
      <x:c r="A79" s="83" t="n">
        <x:v>78</x:v>
      </x:c>
      <x:c r="B79" s="84" t="str">
        <x:v>EQ-0078</x:v>
      </x:c>
      <x:c r="C79" s="84" t="str">
        <x:v>Prensa 78</x:v>
      </x:c>
      <x:c r="D79" s="84" t="str">
        <x:v>Prensa</x:v>
      </x:c>
      <x:c r="E79" s="84" t="str">
        <x:v>Mecatron</x:v>
      </x:c>
      <x:c r="F79" s="84" t="str">
        <x:v>M350</x:v>
      </x:c>
      <x:c r="G79" s="84" t="n">
        <x:v>3</x:v>
      </x:c>
      <x:c r="H79" s="84" t="n">
        <x:v>8</x:v>
      </x:c>
      <x:c r="I79" s="84" t="n">
        <x:v>12</x:v>
      </x:c>
      <x:c r="J79" s="84" t="str">
        <x:v>Média</x:v>
      </x:c>
      <x:c r="K79" s="89" t="n">
        <x:v>42370</x:v>
      </x:c>
      <x:c r="L79" s="84" t="str">
        <x:v>Ativo</x:v>
      </x:c>
      <x:c r="M79" s="91" t="n">
        <x:v>334224.65</x:v>
      </x:c>
    </x:row>
    <x:row r="80">
      <x:c r="A80" s="83" t="n">
        <x:v>79</x:v>
      </x:c>
      <x:c r="B80" s="84" t="str">
        <x:v>EQ-0079</x:v>
      </x:c>
      <x:c r="C80" s="84" t="str">
        <x:v>Torno CNC 79</x:v>
      </x:c>
      <x:c r="D80" s="84" t="str">
        <x:v>Torno CNC</x:v>
      </x:c>
      <x:c r="E80" s="84" t="str">
        <x:v>Mecatron</x:v>
      </x:c>
      <x:c r="F80" s="84" t="str">
        <x:v>M113</x:v>
      </x:c>
      <x:c r="G80" s="84" t="n">
        <x:v>2</x:v>
      </x:c>
      <x:c r="H80" s="84" t="n">
        <x:v>4</x:v>
      </x:c>
      <x:c r="I80" s="84" t="n">
        <x:v>6</x:v>
      </x:c>
      <x:c r="J80" s="84" t="str">
        <x:v>Média</x:v>
      </x:c>
      <x:c r="K80" s="89" t="n">
        <x:v>43221</x:v>
      </x:c>
      <x:c r="L80" s="84" t="str">
        <x:v>Ativo</x:v>
      </x:c>
      <x:c r="M80" s="91" t="n">
        <x:v>339028.95</x:v>
      </x:c>
    </x:row>
    <x:row r="81">
      <x:c r="A81" s="83" t="n">
        <x:v>80</x:v>
      </x:c>
      <x:c r="B81" s="84" t="str">
        <x:v>EQ-0080</x:v>
      </x:c>
      <x:c r="C81" s="84" t="str">
        <x:v>Compressor 80</x:v>
      </x:c>
      <x:c r="D81" s="84" t="str">
        <x:v>Compressor</x:v>
      </x:c>
      <x:c r="E81" s="84" t="str">
        <x:v>TecnoFab</x:v>
      </x:c>
      <x:c r="F81" s="84" t="str">
        <x:v>M291</x:v>
      </x:c>
      <x:c r="G81" s="84" t="n">
        <x:v>1</x:v>
      </x:c>
      <x:c r="H81" s="84" t="n">
        <x:v>1</x:v>
      </x:c>
      <x:c r="I81" s="84" t="n">
        <x:v>2</x:v>
      </x:c>
      <x:c r="J81" s="84" t="str">
        <x:v>Alta</x:v>
      </x:c>
      <x:c r="K81" s="89" t="n">
        <x:v>41061</x:v>
      </x:c>
      <x:c r="L81" s="84" t="str">
        <x:v>Ativo</x:v>
      </x:c>
      <x:c r="M81" s="91" t="n">
        <x:v>381943.39</x:v>
      </x:c>
    </x:row>
    <x:row r="82">
      <x:c r="A82" s="83" t="n">
        <x:v>81</x:v>
      </x:c>
      <x:c r="B82" s="84" t="str">
        <x:v>EQ-0081</x:v>
      </x:c>
      <x:c r="C82" s="84" t="str">
        <x:v>Esteira 81</x:v>
      </x:c>
      <x:c r="D82" s="84" t="str">
        <x:v>Esteira</x:v>
      </x:c>
      <x:c r="E82" s="84" t="str">
        <x:v>IndusTech</x:v>
      </x:c>
      <x:c r="F82" s="84" t="str">
        <x:v>M896</x:v>
      </x:c>
      <x:c r="G82" s="84" t="n">
        <x:v>1</x:v>
      </x:c>
      <x:c r="H82" s="84" t="n">
        <x:v>1</x:v>
      </x:c>
      <x:c r="I82" s="84" t="n">
        <x:v>1</x:v>
      </x:c>
      <x:c r="J82" s="84" t="str">
        <x:v>Média</x:v>
      </x:c>
      <x:c r="K82" s="89" t="n">
        <x:v>41244</x:v>
      </x:c>
      <x:c r="L82" s="84" t="str">
        <x:v>Ativo</x:v>
      </x:c>
      <x:c r="M82" s="91" t="n">
        <x:v>340724.72</x:v>
      </x:c>
    </x:row>
    <x:row r="83">
      <x:c r="A83" s="83" t="n">
        <x:v>82</x:v>
      </x:c>
      <x:c r="B83" s="84" t="str">
        <x:v>EQ-0082</x:v>
      </x:c>
      <x:c r="C83" s="84" t="str">
        <x:v>Torno CNC 82</x:v>
      </x:c>
      <x:c r="D83" s="84" t="str">
        <x:v>Torno CNC</x:v>
      </x:c>
      <x:c r="E83" s="84" t="str">
        <x:v>NovaMotion</x:v>
      </x:c>
      <x:c r="F83" s="84" t="str">
        <x:v>M773</x:v>
      </x:c>
      <x:c r="G83" s="84" t="n">
        <x:v>3</x:v>
      </x:c>
      <x:c r="H83" s="84" t="n">
        <x:v>8</x:v>
      </x:c>
      <x:c r="I83" s="84" t="n">
        <x:v>11</x:v>
      </x:c>
      <x:c r="J83" s="84" t="str">
        <x:v>Baixa</x:v>
      </x:c>
      <x:c r="K83" s="89" t="n">
        <x:v>42767</x:v>
      </x:c>
      <x:c r="L83" s="84" t="str">
        <x:v>Ativo</x:v>
      </x:c>
      <x:c r="M83" s="91" t="n">
        <x:v>566025.36</x:v>
      </x:c>
    </x:row>
    <x:row r="84">
      <x:c r="A84" s="83" t="n">
        <x:v>83</x:v>
      </x:c>
      <x:c r="B84" s="84" t="str">
        <x:v>EQ-0083</x:v>
      </x:c>
      <x:c r="C84" s="84" t="str">
        <x:v>Bomba 83</x:v>
      </x:c>
      <x:c r="D84" s="84" t="str">
        <x:v>Bomba</x:v>
      </x:c>
      <x:c r="E84" s="84" t="str">
        <x:v>Mecatron</x:v>
      </x:c>
      <x:c r="F84" s="84" t="str">
        <x:v>M301</x:v>
      </x:c>
      <x:c r="G84" s="84" t="n">
        <x:v>3</x:v>
      </x:c>
      <x:c r="H84" s="84" t="n">
        <x:v>7</x:v>
      </x:c>
      <x:c r="I84" s="84" t="n">
        <x:v>10</x:v>
      </x:c>
      <x:c r="J84" s="84" t="str">
        <x:v>Média</x:v>
      </x:c>
      <x:c r="K84" s="89" t="n">
        <x:v>43739</x:v>
      </x:c>
      <x:c r="L84" s="84" t="str">
        <x:v>Ativo</x:v>
      </x:c>
      <x:c r="M84" s="91" t="n">
        <x:v>662097.31</x:v>
      </x:c>
    </x:row>
    <x:row r="85">
      <x:c r="A85" s="83" t="n">
        <x:v>84</x:v>
      </x:c>
      <x:c r="B85" s="84" t="str">
        <x:v>EQ-0084</x:v>
      </x:c>
      <x:c r="C85" s="84" t="str">
        <x:v>Forno 84</x:v>
      </x:c>
      <x:c r="D85" s="84" t="str">
        <x:v>Forno</x:v>
      </x:c>
      <x:c r="E85" s="84" t="str">
        <x:v>NovaMotion</x:v>
      </x:c>
      <x:c r="F85" s="84" t="str">
        <x:v>M365</x:v>
      </x:c>
      <x:c r="G85" s="84" t="n">
        <x:v>1</x:v>
      </x:c>
      <x:c r="H85" s="84" t="n">
        <x:v>2</x:v>
      </x:c>
      <x:c r="I85" s="84" t="n">
        <x:v>3</x:v>
      </x:c>
      <x:c r="J85" s="84" t="str">
        <x:v>Média</x:v>
      </x:c>
      <x:c r="K85" s="89" t="n">
        <x:v>44621</x:v>
      </x:c>
      <x:c r="L85" s="84" t="str">
        <x:v>Ativo</x:v>
      </x:c>
      <x:c r="M85" s="91" t="n">
        <x:v>117038.98</x:v>
      </x:c>
    </x:row>
    <x:row r="86">
      <x:c r="A86" s="83" t="n">
        <x:v>85</x:v>
      </x:c>
      <x:c r="B86" s="84" t="str">
        <x:v>EQ-0085</x:v>
      </x:c>
      <x:c r="C86" s="84" t="str">
        <x:v>Chiller 85</x:v>
      </x:c>
      <x:c r="D86" s="84" t="str">
        <x:v>Chiller</x:v>
      </x:c>
      <x:c r="E86" s="84" t="str">
        <x:v>Mecatron</x:v>
      </x:c>
      <x:c r="F86" s="84" t="str">
        <x:v>M574</x:v>
      </x:c>
      <x:c r="G86" s="84" t="n">
        <x:v>3</x:v>
      </x:c>
      <x:c r="H86" s="84" t="n">
        <x:v>8</x:v>
      </x:c>
      <x:c r="I86" s="84" t="n">
        <x:v>11</x:v>
      </x:c>
      <x:c r="J86" s="84" t="str">
        <x:v>Baixa</x:v>
      </x:c>
      <x:c r="K86" s="89" t="n">
        <x:v>44378</x:v>
      </x:c>
      <x:c r="L86" s="84" t="str">
        <x:v>Ativo</x:v>
      </x:c>
      <x:c r="M86" s="91" t="n">
        <x:v>564115.36</x:v>
      </x:c>
    </x:row>
    <x:row r="87">
      <x:c r="A87" s="83" t="n">
        <x:v>86</x:v>
      </x:c>
      <x:c r="B87" s="84" t="str">
        <x:v>EQ-0086</x:v>
      </x:c>
      <x:c r="C87" s="84" t="str">
        <x:v>Forno 86</x:v>
      </x:c>
      <x:c r="D87" s="84" t="str">
        <x:v>Forno</x:v>
      </x:c>
      <x:c r="E87" s="84" t="str">
        <x:v>Mecatron</x:v>
      </x:c>
      <x:c r="F87" s="84" t="str">
        <x:v>M191</x:v>
      </x:c>
      <x:c r="G87" s="84" t="n">
        <x:v>2</x:v>
      </x:c>
      <x:c r="H87" s="84" t="n">
        <x:v>5</x:v>
      </x:c>
      <x:c r="I87" s="84" t="n">
        <x:v>7</x:v>
      </x:c>
      <x:c r="J87" s="84" t="str">
        <x:v>Baixa</x:v>
      </x:c>
      <x:c r="K87" s="89" t="n">
        <x:v>41883</x:v>
      </x:c>
      <x:c r="L87" s="84" t="str">
        <x:v>Ativo</x:v>
      </x:c>
      <x:c r="M87" s="91" t="n">
        <x:v>726148.73</x:v>
      </x:c>
    </x:row>
    <x:row r="88">
      <x:c r="A88" s="83" t="n">
        <x:v>87</x:v>
      </x:c>
      <x:c r="B88" s="84" t="str">
        <x:v>EQ-0087</x:v>
      </x:c>
      <x:c r="C88" s="84" t="str">
        <x:v>Esteira 87</x:v>
      </x:c>
      <x:c r="D88" s="84" t="str">
        <x:v>Esteira</x:v>
      </x:c>
      <x:c r="E88" s="84" t="str">
        <x:v>Mecatron</x:v>
      </x:c>
      <x:c r="F88" s="84" t="str">
        <x:v>M444</x:v>
      </x:c>
      <x:c r="G88" s="84" t="n">
        <x:v>1</x:v>
      </x:c>
      <x:c r="H88" s="84" t="n">
        <x:v>1</x:v>
      </x:c>
      <x:c r="I88" s="84" t="n">
        <x:v>1</x:v>
      </x:c>
      <x:c r="J88" s="84" t="str">
        <x:v>Média</x:v>
      </x:c>
      <x:c r="K88" s="89" t="n">
        <x:v>43252</x:v>
      </x:c>
      <x:c r="L88" s="84" t="str">
        <x:v>Ativo</x:v>
      </x:c>
      <x:c r="M88" s="91" t="n">
        <x:v>444077.24</x:v>
      </x:c>
    </x:row>
    <x:row r="89">
      <x:c r="A89" s="83" t="n">
        <x:v>88</x:v>
      </x:c>
      <x:c r="B89" s="84" t="str">
        <x:v>EQ-0088</x:v>
      </x:c>
      <x:c r="C89" s="84" t="str">
        <x:v>Robô industrial 88</x:v>
      </x:c>
      <x:c r="D89" s="84" t="str">
        <x:v>Robô industrial</x:v>
      </x:c>
      <x:c r="E89" s="84" t="str">
        <x:v>TecnoFab</x:v>
      </x:c>
      <x:c r="F89" s="84" t="str">
        <x:v>M312</x:v>
      </x:c>
      <x:c r="G89" s="84" t="n">
        <x:v>1</x:v>
      </x:c>
      <x:c r="H89" s="84" t="n">
        <x:v>2</x:v>
      </x:c>
      <x:c r="I89" s="84" t="n">
        <x:v>4</x:v>
      </x:c>
      <x:c r="J89" s="84" t="str">
        <x:v>Alta</x:v>
      </x:c>
      <x:c r="K89" s="89" t="n">
        <x:v>43435</x:v>
      </x:c>
      <x:c r="L89" s="84" t="str">
        <x:v>Ativo</x:v>
      </x:c>
      <x:c r="M89" s="91" t="n">
        <x:v>208204</x:v>
      </x:c>
    </x:row>
    <x:row r="90">
      <x:c r="A90" s="83" t="n">
        <x:v>89</x:v>
      </x:c>
      <x:c r="B90" s="84" t="str">
        <x:v>EQ-0089</x:v>
      </x:c>
      <x:c r="C90" s="84" t="str">
        <x:v>Injetora 89</x:v>
      </x:c>
      <x:c r="D90" s="84" t="str">
        <x:v>Injetora</x:v>
      </x:c>
      <x:c r="E90" s="84" t="str">
        <x:v>Mecatron</x:v>
      </x:c>
      <x:c r="F90" s="84" t="str">
        <x:v>M698</x:v>
      </x:c>
      <x:c r="G90" s="84" t="n">
        <x:v>2</x:v>
      </x:c>
      <x:c r="H90" s="84" t="n">
        <x:v>5</x:v>
      </x:c>
      <x:c r="I90" s="84" t="n">
        <x:v>8</x:v>
      </x:c>
      <x:c r="J90" s="84" t="str">
        <x:v>Média</x:v>
      </x:c>
      <x:c r="K90" s="89" t="n">
        <x:v>41244</x:v>
      </x:c>
      <x:c r="L90" s="84" t="str">
        <x:v>Ativo</x:v>
      </x:c>
      <x:c r="M90" s="91" t="n">
        <x:v>150983.45</x:v>
      </x:c>
    </x:row>
    <x:row r="91">
      <x:c r="A91" s="86" t="n">
        <x:v>90</x:v>
      </x:c>
      <x:c r="B91" s="87" t="str">
        <x:v>EQ-0090</x:v>
      </x:c>
      <x:c r="C91" s="87" t="str">
        <x:v>Prensa 90</x:v>
      </x:c>
      <x:c r="D91" s="87" t="str">
        <x:v>Prensa</x:v>
      </x:c>
      <x:c r="E91" s="87" t="str">
        <x:v>Mecatron</x:v>
      </x:c>
      <x:c r="F91" s="87" t="str">
        <x:v>M392</x:v>
      </x:c>
      <x:c r="G91" s="87" t="n">
        <x:v>2</x:v>
      </x:c>
      <x:c r="H91" s="87" t="n">
        <x:v>4</x:v>
      </x:c>
      <x:c r="I91" s="87" t="n">
        <x:v>6</x:v>
      </x:c>
      <x:c r="J91" s="87" t="str">
        <x:v>Média</x:v>
      </x:c>
      <x:c r="K91" s="90" t="n">
        <x:v>42614</x:v>
      </x:c>
      <x:c r="L91" s="87" t="str">
        <x:v>Ativo</x:v>
      </x:c>
      <x:c r="M91" s="92" t="n">
        <x:v>842981.91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29999923706055" hidden="0" customWidth="1"/>
    <x:col min="2" max="2" width="16.440000534057617" hidden="0" customWidth="1"/>
    <x:col min="3" max="3" width="10.670000076293945" hidden="0" customWidth="1"/>
    <x:col min="4" max="4" width="8" hidden="0" customWidth="1"/>
    <x:col min="5" max="5" width="10.890000343322754" hidden="0" customWidth="1"/>
  </x:cols>
  <x:sheetData>
    <x:row r="1">
      <x:c r="A1" s="80" t="str">
        <x:v>id_tipo_manutencao</x:v>
      </x:c>
      <x:c r="B1" s="81" t="str">
        <x:v>tipo_manutencao</x:v>
      </x:c>
      <x:c r="C1" s="81" t="str">
        <x:v>classificacao</x:v>
      </x:c>
      <x:c r="D1" s="81" t="str">
        <x:v>planejada</x:v>
      </x:c>
      <x:c r="E1" s="82" t="str">
        <x:v>exige_parada</x:v>
      </x:c>
    </x:row>
    <x:row r="2">
      <x:c r="A2" s="83" t="n">
        <x:v>1</x:v>
      </x:c>
      <x:c r="B2" s="84" t="str">
        <x:v>Preventiva</x:v>
      </x:c>
      <x:c r="C2" s="84" t="str">
        <x:v>Preventiva</x:v>
      </x:c>
      <x:c r="D2" s="84" t="n">
        <x:v>1</x:v>
      </x:c>
      <x:c r="E2" s="85" t="n">
        <x:v>1</x:v>
      </x:c>
    </x:row>
    <x:row r="3">
      <x:c r="A3" s="83" t="n">
        <x:v>2</x:v>
      </x:c>
      <x:c r="B3" s="84" t="str">
        <x:v>Corretiva planejada</x:v>
      </x:c>
      <x:c r="C3" s="84" t="str">
        <x:v>Corretiva</x:v>
      </x:c>
      <x:c r="D3" s="84" t="n">
        <x:v>1</x:v>
      </x:c>
      <x:c r="E3" s="85" t="n">
        <x:v>1</x:v>
      </x:c>
    </x:row>
    <x:row r="4">
      <x:c r="A4" s="83" t="n">
        <x:v>3</x:v>
      </x:c>
      <x:c r="B4" s="84" t="str">
        <x:v>Corretiva emergencial</x:v>
      </x:c>
      <x:c r="C4" s="84" t="str">
        <x:v>Corretiva</x:v>
      </x:c>
      <x:c r="D4" s="84" t="n">
        <x:v>0</x:v>
      </x:c>
      <x:c r="E4" s="85" t="n">
        <x:v>1</x:v>
      </x:c>
    </x:row>
    <x:row r="5">
      <x:c r="A5" s="83" t="n">
        <x:v>4</x:v>
      </x:c>
      <x:c r="B5" s="84" t="str">
        <x:v>Preditiva</x:v>
      </x:c>
      <x:c r="C5" s="84" t="str">
        <x:v>Preditiva</x:v>
      </x:c>
      <x:c r="D5" s="84" t="n">
        <x:v>1</x:v>
      </x:c>
      <x:c r="E5" s="85" t="n">
        <x:v>0</x:v>
      </x:c>
    </x:row>
    <x:row r="6">
      <x:c r="A6" s="83" t="n">
        <x:v>5</x:v>
      </x:c>
      <x:c r="B6" s="84" t="str">
        <x:v>Inspeção</x:v>
      </x:c>
      <x:c r="C6" s="84" t="str">
        <x:v>Preventiva</x:v>
      </x:c>
      <x:c r="D6" s="84" t="n">
        <x:v>1</x:v>
      </x:c>
      <x:c r="E6" s="85" t="n">
        <x:v>0</x:v>
      </x:c>
    </x:row>
    <x:row r="7">
      <x:c r="A7" s="83" t="n">
        <x:v>6</x:v>
      </x:c>
      <x:c r="B7" s="84" t="str">
        <x:v>Calibração</x:v>
      </x:c>
      <x:c r="C7" s="84" t="str">
        <x:v>Preventiva</x:v>
      </x:c>
      <x:c r="D7" s="84" t="n">
        <x:v>1</x:v>
      </x:c>
      <x:c r="E7" s="85" t="n">
        <x:v>1</x:v>
      </x:c>
    </x:row>
    <x:row r="8">
      <x:c r="A8" s="83" t="n">
        <x:v>7</x:v>
      </x:c>
      <x:c r="B8" s="84" t="str">
        <x:v>Lubrificação</x:v>
      </x:c>
      <x:c r="C8" s="84" t="str">
        <x:v>Preventiva</x:v>
      </x:c>
      <x:c r="D8" s="84" t="n">
        <x:v>1</x:v>
      </x:c>
      <x:c r="E8" s="85" t="n">
        <x:v>0</x:v>
      </x:c>
    </x:row>
    <x:row r="9">
      <x:c r="A9" s="83" t="n">
        <x:v>8</x:v>
      </x:c>
      <x:c r="B9" s="84" t="str">
        <x:v>Melhoria</x:v>
      </x:c>
      <x:c r="C9" s="84" t="str">
        <x:v>Engenharia</x:v>
      </x:c>
      <x:c r="D9" s="84" t="n">
        <x:v>1</x:v>
      </x:c>
      <x:c r="E9" s="85" t="n">
        <x:v>1</x:v>
      </x:c>
    </x:row>
    <x:row r="10">
      <x:c r="A10" s="86" t="n">
        <x:v>9</x:v>
      </x:c>
      <x:c r="B10" s="87" t="str">
        <x:v>Reforma</x:v>
      </x:c>
      <x:c r="C10" s="87" t="str">
        <x:v>Engenharia</x:v>
      </x:c>
      <x:c r="D10" s="87" t="n">
        <x:v>1</x:v>
      </x:c>
      <x:c r="E10" s="88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3" hidden="0" customWidth="1"/>
    <x:col min="3" max="3" width="18.559999465942383" hidden="0" customWidth="1"/>
    <x:col min="4" max="4" width="15.220000267028809" hidden="0" customWidth="1"/>
    <x:col min="5" max="5" width="18.780000686645508" hidden="0" customWidth="1"/>
    <x:col min="6" max="6" width="17.889999389648438" hidden="0" customWidth="1"/>
    <x:col min="7" max="7" width="19.440000534057617" hidden="0" customWidth="1"/>
    <x:col min="8" max="8" width="10.5600004196167" hidden="0" customWidth="1"/>
  </x:cols>
  <x:sheetData>
    <x:row r="1">
      <x:c r="A1" s="80" t="str">
        <x:v>id_plano</x:v>
      </x:c>
      <x:c r="B1" s="81" t="str">
        <x:v>id_equipamento</x:v>
      </x:c>
      <x:c r="C1" s="81" t="str">
        <x:v>nome_plano</x:v>
      </x:c>
      <x:c r="D1" s="81" t="str">
        <x:v>periodicidade_dias</x:v>
      </x:c>
      <x:c r="E1" s="81" t="str">
        <x:v>tempo_estimado_horas</x:v>
      </x:c>
      <x:c r="F1" s="81" t="str">
        <x:v>data_ultima_execucao</x:v>
      </x:c>
      <x:c r="G1" s="81" t="str">
        <x:v>data_proxima_execucao</x:v>
      </x:c>
      <x:c r="H1" s="82" t="str">
        <x:v>status_plano</x:v>
      </x:c>
    </x:row>
    <x:row r="2">
      <x:c r="A2" s="83" t="n">
        <x:v>1</x:v>
      </x:c>
      <x:c r="B2" s="84" t="n">
        <x:v>1</x:v>
      </x:c>
      <x:c r="C2" s="84" t="str">
        <x:v>Inspeção geral</x:v>
      </x:c>
      <x:c r="D2" s="84" t="n">
        <x:v>30</x:v>
      </x:c>
      <x:c r="E2" s="84" t="n">
        <x:v>3</x:v>
      </x:c>
      <x:c r="F2" s="89" t="n">
        <x:v>45977</x:v>
      </x:c>
      <x:c r="G2" s="89" t="n">
        <x:v>46007</x:v>
      </x:c>
      <x:c r="H2" s="85" t="str">
        <x:v>Vencido</x:v>
      </x:c>
    </x:row>
    <x:row r="3">
      <x:c r="A3" s="83" t="n">
        <x:v>2</x:v>
      </x:c>
      <x:c r="B3" s="84" t="n">
        <x:v>1</x:v>
      </x:c>
      <x:c r="C3" s="84" t="str">
        <x:v>Lubrificação programada</x:v>
      </x:c>
      <x:c r="D3" s="84" t="n">
        <x:v>60</x:v>
      </x:c>
      <x:c r="E3" s="84" t="n">
        <x:v>4</x:v>
      </x:c>
      <x:c r="F3" s="89" t="n">
        <x:v>45999</x:v>
      </x:c>
      <x:c r="G3" s="89" t="n">
        <x:v>46059</x:v>
      </x:c>
      <x:c r="H3" s="85" t="str">
        <x:v>Ativo</x:v>
      </x:c>
    </x:row>
    <x:row r="4">
      <x:c r="A4" s="83" t="n">
        <x:v>3</x:v>
      </x:c>
      <x:c r="B4" s="84" t="n">
        <x:v>2</x:v>
      </x:c>
      <x:c r="C4" s="84" t="str">
        <x:v>Inspeção geral</x:v>
      </x:c>
      <x:c r="D4" s="84" t="n">
        <x:v>30</x:v>
      </x:c>
      <x:c r="E4" s="84" t="n">
        <x:v>2</x:v>
      </x:c>
      <x:c r="F4" s="89" t="n">
        <x:v>45980</x:v>
      </x:c>
      <x:c r="G4" s="89" t="n">
        <x:v>46010</x:v>
      </x:c>
      <x:c r="H4" s="85" t="str">
        <x:v>Vencido</x:v>
      </x:c>
    </x:row>
    <x:row r="5">
      <x:c r="A5" s="83" t="n">
        <x:v>4</x:v>
      </x:c>
      <x:c r="B5" s="84" t="n">
        <x:v>2</x:v>
      </x:c>
      <x:c r="C5" s="84" t="str">
        <x:v>Lubrificação programada</x:v>
      </x:c>
      <x:c r="D5" s="84" t="n">
        <x:v>60</x:v>
      </x:c>
      <x:c r="E5" s="84" t="n">
        <x:v>1</x:v>
      </x:c>
      <x:c r="F5" s="89" t="n">
        <x:v>45951</x:v>
      </x:c>
      <x:c r="G5" s="89" t="n">
        <x:v>46011</x:v>
      </x:c>
      <x:c r="H5" s="85" t="str">
        <x:v>Vencido</x:v>
      </x:c>
    </x:row>
    <x:row r="6">
      <x:c r="A6" s="83" t="n">
        <x:v>5</x:v>
      </x:c>
      <x:c r="B6" s="84" t="n">
        <x:v>3</x:v>
      </x:c>
      <x:c r="C6" s="84" t="str">
        <x:v>Inspeção geral</x:v>
      </x:c>
      <x:c r="D6" s="84" t="n">
        <x:v>30</x:v>
      </x:c>
      <x:c r="E6" s="84" t="n">
        <x:v>4</x:v>
      </x:c>
      <x:c r="F6" s="89" t="n">
        <x:v>46003</x:v>
      </x:c>
      <x:c r="G6" s="89" t="n">
        <x:v>46033</x:v>
      </x:c>
      <x:c r="H6" s="85" t="str">
        <x:v>Ativo</x:v>
      </x:c>
    </x:row>
    <x:row r="7">
      <x:c r="A7" s="83" t="n">
        <x:v>6</x:v>
      </x:c>
      <x:c r="B7" s="84" t="n">
        <x:v>3</x:v>
      </x:c>
      <x:c r="C7" s="84" t="str">
        <x:v>Lubrificação programada</x:v>
      </x:c>
      <x:c r="D7" s="84" t="n">
        <x:v>60</x:v>
      </x:c>
      <x:c r="E7" s="84" t="n">
        <x:v>4</x:v>
      </x:c>
      <x:c r="F7" s="89" t="n">
        <x:v>45965</x:v>
      </x:c>
      <x:c r="G7" s="89" t="n">
        <x:v>46025</x:v>
      </x:c>
      <x:c r="H7" s="85" t="str">
        <x:v>Ativo</x:v>
      </x:c>
    </x:row>
    <x:row r="8">
      <x:c r="A8" s="83" t="n">
        <x:v>7</x:v>
      </x:c>
      <x:c r="B8" s="84" t="n">
        <x:v>4</x:v>
      </x:c>
      <x:c r="C8" s="84" t="str">
        <x:v>Inspeção geral</x:v>
      </x:c>
      <x:c r="D8" s="84" t="n">
        <x:v>30</x:v>
      </x:c>
      <x:c r="E8" s="84" t="n">
        <x:v>4</x:v>
      </x:c>
      <x:c r="F8" s="89" t="n">
        <x:v>45991</x:v>
      </x:c>
      <x:c r="G8" s="89" t="n">
        <x:v>46021</x:v>
      </x:c>
      <x:c r="H8" s="85" t="str">
        <x:v>Vencido</x:v>
      </x:c>
    </x:row>
    <x:row r="9">
      <x:c r="A9" s="83" t="n">
        <x:v>8</x:v>
      </x:c>
      <x:c r="B9" s="84" t="n">
        <x:v>4</x:v>
      </x:c>
      <x:c r="C9" s="84" t="str">
        <x:v>Lubrificação programada</x:v>
      </x:c>
      <x:c r="D9" s="84" t="n">
        <x:v>60</x:v>
      </x:c>
      <x:c r="E9" s="84" t="n">
        <x:v>4</x:v>
      </x:c>
      <x:c r="F9" s="89" t="n">
        <x:v>45981</x:v>
      </x:c>
      <x:c r="G9" s="89" t="n">
        <x:v>46041</x:v>
      </x:c>
      <x:c r="H9" s="85" t="str">
        <x:v>Ativo</x:v>
      </x:c>
    </x:row>
    <x:row r="10">
      <x:c r="A10" s="83" t="n">
        <x:v>9</x:v>
      </x:c>
      <x:c r="B10" s="84" t="n">
        <x:v>5</x:v>
      </x:c>
      <x:c r="C10" s="84" t="str">
        <x:v>Inspeção geral</x:v>
      </x:c>
      <x:c r="D10" s="84" t="n">
        <x:v>30</x:v>
      </x:c>
      <x:c r="E10" s="84" t="n">
        <x:v>2</x:v>
      </x:c>
      <x:c r="F10" s="89" t="n">
        <x:v>46015</x:v>
      </x:c>
      <x:c r="G10" s="89" t="n">
        <x:v>46045</x:v>
      </x:c>
      <x:c r="H10" s="85" t="str">
        <x:v>Ativo</x:v>
      </x:c>
    </x:row>
    <x:row r="11">
      <x:c r="A11" s="83" t="n">
        <x:v>10</x:v>
      </x:c>
      <x:c r="B11" s="84" t="n">
        <x:v>5</x:v>
      </x:c>
      <x:c r="C11" s="84" t="str">
        <x:v>Lubrificação programada</x:v>
      </x:c>
      <x:c r="D11" s="84" t="n">
        <x:v>60</x:v>
      </x:c>
      <x:c r="E11" s="84" t="n">
        <x:v>1</x:v>
      </x:c>
      <x:c r="F11" s="89" t="n">
        <x:v>45992</x:v>
      </x:c>
      <x:c r="G11" s="89" t="n">
        <x:v>46052</x:v>
      </x:c>
      <x:c r="H11" s="85" t="str">
        <x:v>Ativo</x:v>
      </x:c>
    </x:row>
    <x:row r="12">
      <x:c r="A12" s="83" t="n">
        <x:v>11</x:v>
      </x:c>
      <x:c r="B12" s="84" t="n">
        <x:v>6</x:v>
      </x:c>
      <x:c r="C12" s="84" t="str">
        <x:v>Inspeção geral</x:v>
      </x:c>
      <x:c r="D12" s="84" t="n">
        <x:v>30</x:v>
      </x:c>
      <x:c r="E12" s="84" t="n">
        <x:v>1</x:v>
      </x:c>
      <x:c r="F12" s="89" t="n">
        <x:v>46017</x:v>
      </x:c>
      <x:c r="G12" s="89" t="n">
        <x:v>46047</x:v>
      </x:c>
      <x:c r="H12" s="85" t="str">
        <x:v>Ativo</x:v>
      </x:c>
    </x:row>
    <x:row r="13">
      <x:c r="A13" s="83" t="n">
        <x:v>12</x:v>
      </x:c>
      <x:c r="B13" s="84" t="n">
        <x:v>6</x:v>
      </x:c>
      <x:c r="C13" s="84" t="str">
        <x:v>Lubrificação programada</x:v>
      </x:c>
      <x:c r="D13" s="84" t="n">
        <x:v>60</x:v>
      </x:c>
      <x:c r="E13" s="84" t="n">
        <x:v>4</x:v>
      </x:c>
      <x:c r="F13" s="89" t="n">
        <x:v>45985</x:v>
      </x:c>
      <x:c r="G13" s="89" t="n">
        <x:v>46045</x:v>
      </x:c>
      <x:c r="H13" s="85" t="str">
        <x:v>Ativo</x:v>
      </x:c>
    </x:row>
    <x:row r="14">
      <x:c r="A14" s="83" t="n">
        <x:v>13</x:v>
      </x:c>
      <x:c r="B14" s="84" t="n">
        <x:v>7</x:v>
      </x:c>
      <x:c r="C14" s="84" t="str">
        <x:v>Inspeção geral</x:v>
      </x:c>
      <x:c r="D14" s="84" t="n">
        <x:v>30</x:v>
      </x:c>
      <x:c r="E14" s="84" t="n">
        <x:v>2</x:v>
      </x:c>
      <x:c r="F14" s="89" t="n">
        <x:v>46002</x:v>
      </x:c>
      <x:c r="G14" s="89" t="n">
        <x:v>46032</x:v>
      </x:c>
      <x:c r="H14" s="85" t="str">
        <x:v>Ativo</x:v>
      </x:c>
    </x:row>
    <x:row r="15">
      <x:c r="A15" s="83" t="n">
        <x:v>14</x:v>
      </x:c>
      <x:c r="B15" s="84" t="n">
        <x:v>7</x:v>
      </x:c>
      <x:c r="C15" s="84" t="str">
        <x:v>Lubrificação programada</x:v>
      </x:c>
      <x:c r="D15" s="84" t="n">
        <x:v>60</x:v>
      </x:c>
      <x:c r="E15" s="84" t="n">
        <x:v>2</x:v>
      </x:c>
      <x:c r="F15" s="89" t="n">
        <x:v>45987</x:v>
      </x:c>
      <x:c r="G15" s="89" t="n">
        <x:v>46047</x:v>
      </x:c>
      <x:c r="H15" s="85" t="str">
        <x:v>Ativo</x:v>
      </x:c>
    </x:row>
    <x:row r="16">
      <x:c r="A16" s="83" t="n">
        <x:v>15</x:v>
      </x:c>
      <x:c r="B16" s="84" t="n">
        <x:v>8</x:v>
      </x:c>
      <x:c r="C16" s="84" t="str">
        <x:v>Inspeção geral</x:v>
      </x:c>
      <x:c r="D16" s="84" t="n">
        <x:v>30</x:v>
      </x:c>
      <x:c r="E16" s="84" t="n">
        <x:v>2</x:v>
      </x:c>
      <x:c r="F16" s="89" t="n">
        <x:v>45980</x:v>
      </x:c>
      <x:c r="G16" s="89" t="n">
        <x:v>46010</x:v>
      </x:c>
      <x:c r="H16" s="85" t="str">
        <x:v>Vencido</x:v>
      </x:c>
    </x:row>
    <x:row r="17">
      <x:c r="A17" s="83" t="n">
        <x:v>16</x:v>
      </x:c>
      <x:c r="B17" s="84" t="n">
        <x:v>8</x:v>
      </x:c>
      <x:c r="C17" s="84" t="str">
        <x:v>Lubrificação programada</x:v>
      </x:c>
      <x:c r="D17" s="84" t="n">
        <x:v>60</x:v>
      </x:c>
      <x:c r="E17" s="84" t="n">
        <x:v>4</x:v>
      </x:c>
      <x:c r="F17" s="89" t="n">
        <x:v>45985</x:v>
      </x:c>
      <x:c r="G17" s="89" t="n">
        <x:v>46045</x:v>
      </x:c>
      <x:c r="H17" s="85" t="str">
        <x:v>Ativo</x:v>
      </x:c>
    </x:row>
    <x:row r="18">
      <x:c r="A18" s="83" t="n">
        <x:v>17</x:v>
      </x:c>
      <x:c r="B18" s="84" t="n">
        <x:v>9</x:v>
      </x:c>
      <x:c r="C18" s="84" t="str">
        <x:v>Inspeção geral</x:v>
      </x:c>
      <x:c r="D18" s="84" t="n">
        <x:v>30</x:v>
      </x:c>
      <x:c r="E18" s="84" t="n">
        <x:v>4</x:v>
      </x:c>
      <x:c r="F18" s="89" t="n">
        <x:v>45982</x:v>
      </x:c>
      <x:c r="G18" s="89" t="n">
        <x:v>46012</x:v>
      </x:c>
      <x:c r="H18" s="85" t="str">
        <x:v>Vencido</x:v>
      </x:c>
    </x:row>
    <x:row r="19">
      <x:c r="A19" s="83" t="n">
        <x:v>18</x:v>
      </x:c>
      <x:c r="B19" s="84" t="n">
        <x:v>9</x:v>
      </x:c>
      <x:c r="C19" s="84" t="str">
        <x:v>Lubrificação programada</x:v>
      </x:c>
      <x:c r="D19" s="84" t="n">
        <x:v>60</x:v>
      </x:c>
      <x:c r="E19" s="84" t="n">
        <x:v>4</x:v>
      </x:c>
      <x:c r="F19" s="89" t="n">
        <x:v>45951</x:v>
      </x:c>
      <x:c r="G19" s="89" t="n">
        <x:v>46011</x:v>
      </x:c>
      <x:c r="H19" s="85" t="str">
        <x:v>Vencido</x:v>
      </x:c>
    </x:row>
    <x:row r="20">
      <x:c r="A20" s="83" t="n">
        <x:v>19</x:v>
      </x:c>
      <x:c r="B20" s="84" t="n">
        <x:v>10</x:v>
      </x:c>
      <x:c r="C20" s="84" t="str">
        <x:v>Inspeção geral</x:v>
      </x:c>
      <x:c r="D20" s="84" t="n">
        <x:v>30</x:v>
      </x:c>
      <x:c r="E20" s="84" t="n">
        <x:v>2</x:v>
      </x:c>
      <x:c r="F20" s="89" t="n">
        <x:v>45980</x:v>
      </x:c>
      <x:c r="G20" s="89" t="n">
        <x:v>46010</x:v>
      </x:c>
      <x:c r="H20" s="85" t="str">
        <x:v>Vencido</x:v>
      </x:c>
    </x:row>
    <x:row r="21">
      <x:c r="A21" s="83" t="n">
        <x:v>20</x:v>
      </x:c>
      <x:c r="B21" s="84" t="n">
        <x:v>10</x:v>
      </x:c>
      <x:c r="C21" s="84" t="str">
        <x:v>Lubrificação programada</x:v>
      </x:c>
      <x:c r="D21" s="84" t="n">
        <x:v>60</x:v>
      </x:c>
      <x:c r="E21" s="84" t="n">
        <x:v>4</x:v>
      </x:c>
      <x:c r="F21" s="89" t="n">
        <x:v>46015</x:v>
      </x:c>
      <x:c r="G21" s="89" t="n">
        <x:v>46075</x:v>
      </x:c>
      <x:c r="H21" s="85" t="str">
        <x:v>Ativo</x:v>
      </x:c>
    </x:row>
    <x:row r="22">
      <x:c r="A22" s="83" t="n">
        <x:v>21</x:v>
      </x:c>
      <x:c r="B22" s="84" t="n">
        <x:v>11</x:v>
      </x:c>
      <x:c r="C22" s="84" t="str">
        <x:v>Inspeção geral</x:v>
      </x:c>
      <x:c r="D22" s="84" t="n">
        <x:v>30</x:v>
      </x:c>
      <x:c r="E22" s="84" t="n">
        <x:v>3</x:v>
      </x:c>
      <x:c r="F22" s="89" t="n">
        <x:v>46010</x:v>
      </x:c>
      <x:c r="G22" s="89" t="n">
        <x:v>46040</x:v>
      </x:c>
      <x:c r="H22" s="85" t="str">
        <x:v>Ativo</x:v>
      </x:c>
    </x:row>
    <x:row r="23">
      <x:c r="A23" s="83" t="n">
        <x:v>22</x:v>
      </x:c>
      <x:c r="B23" s="84" t="n">
        <x:v>11</x:v>
      </x:c>
      <x:c r="C23" s="84" t="str">
        <x:v>Lubrificação programada</x:v>
      </x:c>
      <x:c r="D23" s="84" t="n">
        <x:v>60</x:v>
      </x:c>
      <x:c r="E23" s="84" t="n">
        <x:v>2</x:v>
      </x:c>
      <x:c r="F23" s="89" t="n">
        <x:v>45985</x:v>
      </x:c>
      <x:c r="G23" s="89" t="n">
        <x:v>46045</x:v>
      </x:c>
      <x:c r="H23" s="85" t="str">
        <x:v>Ativo</x:v>
      </x:c>
    </x:row>
    <x:row r="24">
      <x:c r="A24" s="83" t="n">
        <x:v>23</x:v>
      </x:c>
      <x:c r="B24" s="84" t="n">
        <x:v>12</x:v>
      </x:c>
      <x:c r="C24" s="84" t="str">
        <x:v>Inspeção geral</x:v>
      </x:c>
      <x:c r="D24" s="84" t="n">
        <x:v>30</x:v>
      </x:c>
      <x:c r="E24" s="84" t="n">
        <x:v>4</x:v>
      </x:c>
      <x:c r="F24" s="89" t="n">
        <x:v>46015</x:v>
      </x:c>
      <x:c r="G24" s="89" t="n">
        <x:v>46045</x:v>
      </x:c>
      <x:c r="H24" s="85" t="str">
        <x:v>Ativo</x:v>
      </x:c>
    </x:row>
    <x:row r="25">
      <x:c r="A25" s="83" t="n">
        <x:v>24</x:v>
      </x:c>
      <x:c r="B25" s="84" t="n">
        <x:v>12</x:v>
      </x:c>
      <x:c r="C25" s="84" t="str">
        <x:v>Lubrificação programada</x:v>
      </x:c>
      <x:c r="D25" s="84" t="n">
        <x:v>60</x:v>
      </x:c>
      <x:c r="E25" s="84" t="n">
        <x:v>4</x:v>
      </x:c>
      <x:c r="F25" s="89" t="n">
        <x:v>45956</x:v>
      </x:c>
      <x:c r="G25" s="89" t="n">
        <x:v>46016</x:v>
      </x:c>
      <x:c r="H25" s="85" t="str">
        <x:v>Vencido</x:v>
      </x:c>
    </x:row>
    <x:row r="26">
      <x:c r="A26" s="83" t="n">
        <x:v>25</x:v>
      </x:c>
      <x:c r="B26" s="84" t="n">
        <x:v>13</x:v>
      </x:c>
      <x:c r="C26" s="84" t="str">
        <x:v>Inspeção geral</x:v>
      </x:c>
      <x:c r="D26" s="84" t="n">
        <x:v>30</x:v>
      </x:c>
      <x:c r="E26" s="84" t="n">
        <x:v>2</x:v>
      </x:c>
      <x:c r="F26" s="89" t="n">
        <x:v>45992</x:v>
      </x:c>
      <x:c r="G26" s="89" t="n">
        <x:v>46022</x:v>
      </x:c>
      <x:c r="H26" s="85" t="str">
        <x:v>Ativo</x:v>
      </x:c>
    </x:row>
    <x:row r="27">
      <x:c r="A27" s="83" t="n">
        <x:v>26</x:v>
      </x:c>
      <x:c r="B27" s="84" t="n">
        <x:v>13</x:v>
      </x:c>
      <x:c r="C27" s="84" t="str">
        <x:v>Lubrificação programada</x:v>
      </x:c>
      <x:c r="D27" s="84" t="n">
        <x:v>60</x:v>
      </x:c>
      <x:c r="E27" s="84" t="n">
        <x:v>1</x:v>
      </x:c>
      <x:c r="F27" s="89" t="n">
        <x:v>45953</x:v>
      </x:c>
      <x:c r="G27" s="89" t="n">
        <x:v>46013</x:v>
      </x:c>
      <x:c r="H27" s="85" t="str">
        <x:v>Vencido</x:v>
      </x:c>
    </x:row>
    <x:row r="28">
      <x:c r="A28" s="83" t="n">
        <x:v>27</x:v>
      </x:c>
      <x:c r="B28" s="84" t="n">
        <x:v>14</x:v>
      </x:c>
      <x:c r="C28" s="84" t="str">
        <x:v>Inspeção geral</x:v>
      </x:c>
      <x:c r="D28" s="84" t="n">
        <x:v>30</x:v>
      </x:c>
      <x:c r="E28" s="84" t="n">
        <x:v>4</x:v>
      </x:c>
      <x:c r="F28" s="89" t="n">
        <x:v>45995</x:v>
      </x:c>
      <x:c r="G28" s="89" t="n">
        <x:v>46025</x:v>
      </x:c>
      <x:c r="H28" s="85" t="str">
        <x:v>Ativo</x:v>
      </x:c>
    </x:row>
    <x:row r="29">
      <x:c r="A29" s="83" t="n">
        <x:v>28</x:v>
      </x:c>
      <x:c r="B29" s="84" t="n">
        <x:v>14</x:v>
      </x:c>
      <x:c r="C29" s="84" t="str">
        <x:v>Lubrificação programada</x:v>
      </x:c>
      <x:c r="D29" s="84" t="n">
        <x:v>60</x:v>
      </x:c>
      <x:c r="E29" s="84" t="n">
        <x:v>1</x:v>
      </x:c>
      <x:c r="F29" s="89" t="n">
        <x:v>46012</x:v>
      </x:c>
      <x:c r="G29" s="89" t="n">
        <x:v>46072</x:v>
      </x:c>
      <x:c r="H29" s="85" t="str">
        <x:v>Ativo</x:v>
      </x:c>
    </x:row>
    <x:row r="30">
      <x:c r="A30" s="83" t="n">
        <x:v>29</x:v>
      </x:c>
      <x:c r="B30" s="84" t="n">
        <x:v>15</x:v>
      </x:c>
      <x:c r="C30" s="84" t="str">
        <x:v>Inspeção geral</x:v>
      </x:c>
      <x:c r="D30" s="84" t="n">
        <x:v>30</x:v>
      </x:c>
      <x:c r="E30" s="84" t="n">
        <x:v>1</x:v>
      </x:c>
      <x:c r="F30" s="89" t="n">
        <x:v>46011</x:v>
      </x:c>
      <x:c r="G30" s="89" t="n">
        <x:v>46041</x:v>
      </x:c>
      <x:c r="H30" s="85" t="str">
        <x:v>Ativo</x:v>
      </x:c>
    </x:row>
    <x:row r="31">
      <x:c r="A31" s="83" t="n">
        <x:v>30</x:v>
      </x:c>
      <x:c r="B31" s="84" t="n">
        <x:v>15</x:v>
      </x:c>
      <x:c r="C31" s="84" t="str">
        <x:v>Lubrificação programada</x:v>
      </x:c>
      <x:c r="D31" s="84" t="n">
        <x:v>60</x:v>
      </x:c>
      <x:c r="E31" s="84" t="n">
        <x:v>1</x:v>
      </x:c>
      <x:c r="F31" s="89" t="n">
        <x:v>45979</x:v>
      </x:c>
      <x:c r="G31" s="89" t="n">
        <x:v>46039</x:v>
      </x:c>
      <x:c r="H31" s="85" t="str">
        <x:v>Ativo</x:v>
      </x:c>
    </x:row>
    <x:row r="32">
      <x:c r="A32" s="83" t="n">
        <x:v>31</x:v>
      </x:c>
      <x:c r="B32" s="84" t="n">
        <x:v>16</x:v>
      </x:c>
      <x:c r="C32" s="84" t="str">
        <x:v>Inspeção geral</x:v>
      </x:c>
      <x:c r="D32" s="84" t="n">
        <x:v>30</x:v>
      </x:c>
      <x:c r="E32" s="84" t="n">
        <x:v>4</x:v>
      </x:c>
      <x:c r="F32" s="89" t="n">
        <x:v>46005</x:v>
      </x:c>
      <x:c r="G32" s="89" t="n">
        <x:v>46035</x:v>
      </x:c>
      <x:c r="H32" s="85" t="str">
        <x:v>Ativo</x:v>
      </x:c>
    </x:row>
    <x:row r="33">
      <x:c r="A33" s="83" t="n">
        <x:v>32</x:v>
      </x:c>
      <x:c r="B33" s="84" t="n">
        <x:v>16</x:v>
      </x:c>
      <x:c r="C33" s="84" t="str">
        <x:v>Lubrificação programada</x:v>
      </x:c>
      <x:c r="D33" s="84" t="n">
        <x:v>60</x:v>
      </x:c>
      <x:c r="E33" s="84" t="n">
        <x:v>4</x:v>
      </x:c>
      <x:c r="F33" s="89" t="n">
        <x:v>46017</x:v>
      </x:c>
      <x:c r="G33" s="89" t="n">
        <x:v>46077</x:v>
      </x:c>
      <x:c r="H33" s="85" t="str">
        <x:v>Ativo</x:v>
      </x:c>
    </x:row>
    <x:row r="34">
      <x:c r="A34" s="83" t="n">
        <x:v>33</x:v>
      </x:c>
      <x:c r="B34" s="84" t="n">
        <x:v>17</x:v>
      </x:c>
      <x:c r="C34" s="84" t="str">
        <x:v>Inspeção geral</x:v>
      </x:c>
      <x:c r="D34" s="84" t="n">
        <x:v>30</x:v>
      </x:c>
      <x:c r="E34" s="84" t="n">
        <x:v>2</x:v>
      </x:c>
      <x:c r="F34" s="89" t="n">
        <x:v>46012</x:v>
      </x:c>
      <x:c r="G34" s="89" t="n">
        <x:v>46042</x:v>
      </x:c>
      <x:c r="H34" s="85" t="str">
        <x:v>Ativo</x:v>
      </x:c>
    </x:row>
    <x:row r="35">
      <x:c r="A35" s="83" t="n">
        <x:v>34</x:v>
      </x:c>
      <x:c r="B35" s="84" t="n">
        <x:v>17</x:v>
      </x:c>
      <x:c r="C35" s="84" t="str">
        <x:v>Lubrificação programada</x:v>
      </x:c>
      <x:c r="D35" s="84" t="n">
        <x:v>60</x:v>
      </x:c>
      <x:c r="E35" s="84" t="n">
        <x:v>2</x:v>
      </x:c>
      <x:c r="F35" s="89" t="n">
        <x:v>45950</x:v>
      </x:c>
      <x:c r="G35" s="89" t="n">
        <x:v>46010</x:v>
      </x:c>
      <x:c r="H35" s="85" t="str">
        <x:v>Vencido</x:v>
      </x:c>
    </x:row>
    <x:row r="36">
      <x:c r="A36" s="83" t="n">
        <x:v>35</x:v>
      </x:c>
      <x:c r="B36" s="84" t="n">
        <x:v>18</x:v>
      </x:c>
      <x:c r="C36" s="84" t="str">
        <x:v>Inspeção geral</x:v>
      </x:c>
      <x:c r="D36" s="84" t="n">
        <x:v>30</x:v>
      </x:c>
      <x:c r="E36" s="84" t="n">
        <x:v>1</x:v>
      </x:c>
      <x:c r="F36" s="89" t="n">
        <x:v>46009</x:v>
      </x:c>
      <x:c r="G36" s="89" t="n">
        <x:v>46039</x:v>
      </x:c>
      <x:c r="H36" s="85" t="str">
        <x:v>Ativo</x:v>
      </x:c>
    </x:row>
    <x:row r="37">
      <x:c r="A37" s="83" t="n">
        <x:v>36</x:v>
      </x:c>
      <x:c r="B37" s="84" t="n">
        <x:v>18</x:v>
      </x:c>
      <x:c r="C37" s="84" t="str">
        <x:v>Lubrificação programada</x:v>
      </x:c>
      <x:c r="D37" s="84" t="n">
        <x:v>60</x:v>
      </x:c>
      <x:c r="E37" s="84" t="n">
        <x:v>3</x:v>
      </x:c>
      <x:c r="F37" s="89" t="n">
        <x:v>45981</x:v>
      </x:c>
      <x:c r="G37" s="89" t="n">
        <x:v>46041</x:v>
      </x:c>
      <x:c r="H37" s="85" t="str">
        <x:v>Ativo</x:v>
      </x:c>
    </x:row>
    <x:row r="38">
      <x:c r="A38" s="83" t="n">
        <x:v>37</x:v>
      </x:c>
      <x:c r="B38" s="84" t="n">
        <x:v>19</x:v>
      </x:c>
      <x:c r="C38" s="84" t="str">
        <x:v>Inspeção geral</x:v>
      </x:c>
      <x:c r="D38" s="84" t="n">
        <x:v>30</x:v>
      </x:c>
      <x:c r="E38" s="84" t="n">
        <x:v>3</x:v>
      </x:c>
      <x:c r="F38" s="89" t="n">
        <x:v>45990</x:v>
      </x:c>
      <x:c r="G38" s="89" t="n">
        <x:v>46020</x:v>
      </x:c>
      <x:c r="H38" s="85" t="str">
        <x:v>Vencido</x:v>
      </x:c>
    </x:row>
    <x:row r="39">
      <x:c r="A39" s="83" t="n">
        <x:v>38</x:v>
      </x:c>
      <x:c r="B39" s="84" t="n">
        <x:v>19</x:v>
      </x:c>
      <x:c r="C39" s="84" t="str">
        <x:v>Lubrificação programada</x:v>
      </x:c>
      <x:c r="D39" s="84" t="n">
        <x:v>60</x:v>
      </x:c>
      <x:c r="E39" s="84" t="n">
        <x:v>2</x:v>
      </x:c>
      <x:c r="F39" s="89" t="n">
        <x:v>46012</x:v>
      </x:c>
      <x:c r="G39" s="89" t="n">
        <x:v>46072</x:v>
      </x:c>
      <x:c r="H39" s="85" t="str">
        <x:v>Ativo</x:v>
      </x:c>
    </x:row>
    <x:row r="40">
      <x:c r="A40" s="83" t="n">
        <x:v>39</x:v>
      </x:c>
      <x:c r="B40" s="84" t="n">
        <x:v>20</x:v>
      </x:c>
      <x:c r="C40" s="84" t="str">
        <x:v>Inspeção geral</x:v>
      </x:c>
      <x:c r="D40" s="84" t="n">
        <x:v>30</x:v>
      </x:c>
      <x:c r="E40" s="84" t="n">
        <x:v>3</x:v>
      </x:c>
      <x:c r="F40" s="89" t="n">
        <x:v>46022</x:v>
      </x:c>
      <x:c r="G40" s="89" t="n">
        <x:v>46052</x:v>
      </x:c>
      <x:c r="H40" s="85" t="str">
        <x:v>Ativo</x:v>
      </x:c>
    </x:row>
    <x:row r="41">
      <x:c r="A41" s="83" t="n">
        <x:v>40</x:v>
      </x:c>
      <x:c r="B41" s="84" t="n">
        <x:v>20</x:v>
      </x:c>
      <x:c r="C41" s="84" t="str">
        <x:v>Lubrificação programada</x:v>
      </x:c>
      <x:c r="D41" s="84" t="n">
        <x:v>60</x:v>
      </x:c>
      <x:c r="E41" s="84" t="n">
        <x:v>1</x:v>
      </x:c>
      <x:c r="F41" s="89" t="n">
        <x:v>45993</x:v>
      </x:c>
      <x:c r="G41" s="89" t="n">
        <x:v>46053</x:v>
      </x:c>
      <x:c r="H41" s="85" t="str">
        <x:v>Ativo</x:v>
      </x:c>
    </x:row>
    <x:row r="42">
      <x:c r="A42" s="83" t="n">
        <x:v>41</x:v>
      </x:c>
      <x:c r="B42" s="84" t="n">
        <x:v>21</x:v>
      </x:c>
      <x:c r="C42" s="84" t="str">
        <x:v>Inspeção geral</x:v>
      </x:c>
      <x:c r="D42" s="84" t="n">
        <x:v>30</x:v>
      </x:c>
      <x:c r="E42" s="84" t="n">
        <x:v>1</x:v>
      </x:c>
      <x:c r="F42" s="89" t="n">
        <x:v>45989</x:v>
      </x:c>
      <x:c r="G42" s="89" t="n">
        <x:v>46019</x:v>
      </x:c>
      <x:c r="H42" s="85" t="str">
        <x:v>Vencido</x:v>
      </x:c>
    </x:row>
    <x:row r="43">
      <x:c r="A43" s="83" t="n">
        <x:v>42</x:v>
      </x:c>
      <x:c r="B43" s="84" t="n">
        <x:v>21</x:v>
      </x:c>
      <x:c r="C43" s="84" t="str">
        <x:v>Lubrificação programada</x:v>
      </x:c>
      <x:c r="D43" s="84" t="n">
        <x:v>60</x:v>
      </x:c>
      <x:c r="E43" s="84" t="n">
        <x:v>1</x:v>
      </x:c>
      <x:c r="F43" s="89" t="n">
        <x:v>45963</x:v>
      </x:c>
      <x:c r="G43" s="89" t="n">
        <x:v>46023</x:v>
      </x:c>
      <x:c r="H43" s="85" t="str">
        <x:v>Ativo</x:v>
      </x:c>
    </x:row>
    <x:row r="44">
      <x:c r="A44" s="83" t="n">
        <x:v>43</x:v>
      </x:c>
      <x:c r="B44" s="84" t="n">
        <x:v>22</x:v>
      </x:c>
      <x:c r="C44" s="84" t="str">
        <x:v>Inspeção geral</x:v>
      </x:c>
      <x:c r="D44" s="84" t="n">
        <x:v>30</x:v>
      </x:c>
      <x:c r="E44" s="84" t="n">
        <x:v>1</x:v>
      </x:c>
      <x:c r="F44" s="89" t="n">
        <x:v>45996</x:v>
      </x:c>
      <x:c r="G44" s="89" t="n">
        <x:v>46026</x:v>
      </x:c>
      <x:c r="H44" s="85" t="str">
        <x:v>Ativo</x:v>
      </x:c>
    </x:row>
    <x:row r="45">
      <x:c r="A45" s="83" t="n">
        <x:v>44</x:v>
      </x:c>
      <x:c r="B45" s="84" t="n">
        <x:v>22</x:v>
      </x:c>
      <x:c r="C45" s="84" t="str">
        <x:v>Lubrificação programada</x:v>
      </x:c>
      <x:c r="D45" s="84" t="n">
        <x:v>60</x:v>
      </x:c>
      <x:c r="E45" s="84" t="n">
        <x:v>1</x:v>
      </x:c>
      <x:c r="F45" s="89" t="n">
        <x:v>45959</x:v>
      </x:c>
      <x:c r="G45" s="89" t="n">
        <x:v>46019</x:v>
      </x:c>
      <x:c r="H45" s="85" t="str">
        <x:v>Vencido</x:v>
      </x:c>
    </x:row>
    <x:row r="46">
      <x:c r="A46" s="83" t="n">
        <x:v>45</x:v>
      </x:c>
      <x:c r="B46" s="84" t="n">
        <x:v>23</x:v>
      </x:c>
      <x:c r="C46" s="84" t="str">
        <x:v>Inspeção geral</x:v>
      </x:c>
      <x:c r="D46" s="84" t="n">
        <x:v>30</x:v>
      </x:c>
      <x:c r="E46" s="84" t="n">
        <x:v>3</x:v>
      </x:c>
      <x:c r="F46" s="89" t="n">
        <x:v>46005</x:v>
      </x:c>
      <x:c r="G46" s="89" t="n">
        <x:v>46035</x:v>
      </x:c>
      <x:c r="H46" s="85" t="str">
        <x:v>Ativo</x:v>
      </x:c>
    </x:row>
    <x:row r="47">
      <x:c r="A47" s="83" t="n">
        <x:v>46</x:v>
      </x:c>
      <x:c r="B47" s="84" t="n">
        <x:v>23</x:v>
      </x:c>
      <x:c r="C47" s="84" t="str">
        <x:v>Lubrificação programada</x:v>
      </x:c>
      <x:c r="D47" s="84" t="n">
        <x:v>60</x:v>
      </x:c>
      <x:c r="E47" s="84" t="n">
        <x:v>4</x:v>
      </x:c>
      <x:c r="F47" s="89" t="n">
        <x:v>45966</x:v>
      </x:c>
      <x:c r="G47" s="89" t="n">
        <x:v>46026</x:v>
      </x:c>
      <x:c r="H47" s="85" t="str">
        <x:v>Ativo</x:v>
      </x:c>
    </x:row>
    <x:row r="48">
      <x:c r="A48" s="83" t="n">
        <x:v>47</x:v>
      </x:c>
      <x:c r="B48" s="84" t="n">
        <x:v>24</x:v>
      </x:c>
      <x:c r="C48" s="84" t="str">
        <x:v>Inspeção geral</x:v>
      </x:c>
      <x:c r="D48" s="84" t="n">
        <x:v>30</x:v>
      </x:c>
      <x:c r="E48" s="84" t="n">
        <x:v>2</x:v>
      </x:c>
      <x:c r="F48" s="89" t="n">
        <x:v>46002</x:v>
      </x:c>
      <x:c r="G48" s="89" t="n">
        <x:v>46032</x:v>
      </x:c>
      <x:c r="H48" s="85" t="str">
        <x:v>Ativo</x:v>
      </x:c>
    </x:row>
    <x:row r="49">
      <x:c r="A49" s="83" t="n">
        <x:v>48</x:v>
      </x:c>
      <x:c r="B49" s="84" t="n">
        <x:v>24</x:v>
      </x:c>
      <x:c r="C49" s="84" t="str">
        <x:v>Lubrificação programada</x:v>
      </x:c>
      <x:c r="D49" s="84" t="n">
        <x:v>60</x:v>
      </x:c>
      <x:c r="E49" s="84" t="n">
        <x:v>3</x:v>
      </x:c>
      <x:c r="F49" s="89" t="n">
        <x:v>45958</x:v>
      </x:c>
      <x:c r="G49" s="89" t="n">
        <x:v>46018</x:v>
      </x:c>
      <x:c r="H49" s="85" t="str">
        <x:v>Vencido</x:v>
      </x:c>
    </x:row>
    <x:row r="50">
      <x:c r="A50" s="83" t="n">
        <x:v>49</x:v>
      </x:c>
      <x:c r="B50" s="84" t="n">
        <x:v>25</x:v>
      </x:c>
      <x:c r="C50" s="84" t="str">
        <x:v>Inspeção geral</x:v>
      </x:c>
      <x:c r="D50" s="84" t="n">
        <x:v>30</x:v>
      </x:c>
      <x:c r="E50" s="84" t="n">
        <x:v>2</x:v>
      </x:c>
      <x:c r="F50" s="89" t="n">
        <x:v>46018</x:v>
      </x:c>
      <x:c r="G50" s="89" t="n">
        <x:v>46048</x:v>
      </x:c>
      <x:c r="H50" s="85" t="str">
        <x:v>Ativo</x:v>
      </x:c>
    </x:row>
    <x:row r="51">
      <x:c r="A51" s="83" t="n">
        <x:v>50</x:v>
      </x:c>
      <x:c r="B51" s="84" t="n">
        <x:v>25</x:v>
      </x:c>
      <x:c r="C51" s="84" t="str">
        <x:v>Lubrificação programada</x:v>
      </x:c>
      <x:c r="D51" s="84" t="n">
        <x:v>60</x:v>
      </x:c>
      <x:c r="E51" s="84" t="n">
        <x:v>4</x:v>
      </x:c>
      <x:c r="F51" s="89" t="n">
        <x:v>45979</x:v>
      </x:c>
      <x:c r="G51" s="89" t="n">
        <x:v>46039</x:v>
      </x:c>
      <x:c r="H51" s="85" t="str">
        <x:v>Ativo</x:v>
      </x:c>
    </x:row>
    <x:row r="52">
      <x:c r="A52" s="83" t="n">
        <x:v>51</x:v>
      </x:c>
      <x:c r="B52" s="84" t="n">
        <x:v>26</x:v>
      </x:c>
      <x:c r="C52" s="84" t="str">
        <x:v>Inspeção geral</x:v>
      </x:c>
      <x:c r="D52" s="84" t="n">
        <x:v>30</x:v>
      </x:c>
      <x:c r="E52" s="84" t="n">
        <x:v>3</x:v>
      </x:c>
      <x:c r="F52" s="89" t="n">
        <x:v>46013</x:v>
      </x:c>
      <x:c r="G52" s="89" t="n">
        <x:v>46043</x:v>
      </x:c>
      <x:c r="H52" s="85" t="str">
        <x:v>Ativo</x:v>
      </x:c>
    </x:row>
    <x:row r="53">
      <x:c r="A53" s="83" t="n">
        <x:v>52</x:v>
      </x:c>
      <x:c r="B53" s="84" t="n">
        <x:v>26</x:v>
      </x:c>
      <x:c r="C53" s="84" t="str">
        <x:v>Lubrificação programada</x:v>
      </x:c>
      <x:c r="D53" s="84" t="n">
        <x:v>60</x:v>
      </x:c>
      <x:c r="E53" s="84" t="n">
        <x:v>4</x:v>
      </x:c>
      <x:c r="F53" s="89" t="n">
        <x:v>45969</x:v>
      </x:c>
      <x:c r="G53" s="89" t="n">
        <x:v>46029</x:v>
      </x:c>
      <x:c r="H53" s="85" t="str">
        <x:v>Ativo</x:v>
      </x:c>
    </x:row>
    <x:row r="54">
      <x:c r="A54" s="83" t="n">
        <x:v>53</x:v>
      </x:c>
      <x:c r="B54" s="84" t="n">
        <x:v>27</x:v>
      </x:c>
      <x:c r="C54" s="84" t="str">
        <x:v>Inspeção geral</x:v>
      </x:c>
      <x:c r="D54" s="84" t="n">
        <x:v>30</x:v>
      </x:c>
      <x:c r="E54" s="84" t="n">
        <x:v>4</x:v>
      </x:c>
      <x:c r="F54" s="89" t="n">
        <x:v>46002</x:v>
      </x:c>
      <x:c r="G54" s="89" t="n">
        <x:v>46032</x:v>
      </x:c>
      <x:c r="H54" s="85" t="str">
        <x:v>Ativo</x:v>
      </x:c>
    </x:row>
    <x:row r="55">
      <x:c r="A55" s="83" t="n">
        <x:v>54</x:v>
      </x:c>
      <x:c r="B55" s="84" t="n">
        <x:v>27</x:v>
      </x:c>
      <x:c r="C55" s="84" t="str">
        <x:v>Lubrificação programada</x:v>
      </x:c>
      <x:c r="D55" s="84" t="n">
        <x:v>60</x:v>
      </x:c>
      <x:c r="E55" s="84" t="n">
        <x:v>2</x:v>
      </x:c>
      <x:c r="F55" s="89" t="n">
        <x:v>45975</x:v>
      </x:c>
      <x:c r="G55" s="89" t="n">
        <x:v>46035</x:v>
      </x:c>
      <x:c r="H55" s="85" t="str">
        <x:v>Ativo</x:v>
      </x:c>
    </x:row>
    <x:row r="56">
      <x:c r="A56" s="83" t="n">
        <x:v>55</x:v>
      </x:c>
      <x:c r="B56" s="84" t="n">
        <x:v>28</x:v>
      </x:c>
      <x:c r="C56" s="84" t="str">
        <x:v>Inspeção geral</x:v>
      </x:c>
      <x:c r="D56" s="84" t="n">
        <x:v>30</x:v>
      </x:c>
      <x:c r="E56" s="84" t="n">
        <x:v>3</x:v>
      </x:c>
      <x:c r="F56" s="89" t="n">
        <x:v>45980</x:v>
      </x:c>
      <x:c r="G56" s="89" t="n">
        <x:v>46010</x:v>
      </x:c>
      <x:c r="H56" s="85" t="str">
        <x:v>Vencido</x:v>
      </x:c>
    </x:row>
    <x:row r="57">
      <x:c r="A57" s="83" t="n">
        <x:v>56</x:v>
      </x:c>
      <x:c r="B57" s="84" t="n">
        <x:v>28</x:v>
      </x:c>
      <x:c r="C57" s="84" t="str">
        <x:v>Lubrificação programada</x:v>
      </x:c>
      <x:c r="D57" s="84" t="n">
        <x:v>60</x:v>
      </x:c>
      <x:c r="E57" s="84" t="n">
        <x:v>2</x:v>
      </x:c>
      <x:c r="F57" s="89" t="n">
        <x:v>46006</x:v>
      </x:c>
      <x:c r="G57" s="89" t="n">
        <x:v>46066</x:v>
      </x:c>
      <x:c r="H57" s="85" t="str">
        <x:v>Ativo</x:v>
      </x:c>
    </x:row>
    <x:row r="58">
      <x:c r="A58" s="83" t="n">
        <x:v>57</x:v>
      </x:c>
      <x:c r="B58" s="84" t="n">
        <x:v>29</x:v>
      </x:c>
      <x:c r="C58" s="84" t="str">
        <x:v>Inspeção geral</x:v>
      </x:c>
      <x:c r="D58" s="84" t="n">
        <x:v>30</x:v>
      </x:c>
      <x:c r="E58" s="84" t="n">
        <x:v>3</x:v>
      </x:c>
      <x:c r="F58" s="89" t="n">
        <x:v>45986</x:v>
      </x:c>
      <x:c r="G58" s="89" t="n">
        <x:v>46016</x:v>
      </x:c>
      <x:c r="H58" s="85" t="str">
        <x:v>Vencido</x:v>
      </x:c>
    </x:row>
    <x:row r="59">
      <x:c r="A59" s="83" t="n">
        <x:v>58</x:v>
      </x:c>
      <x:c r="B59" s="84" t="n">
        <x:v>29</x:v>
      </x:c>
      <x:c r="C59" s="84" t="str">
        <x:v>Lubrificação programada</x:v>
      </x:c>
      <x:c r="D59" s="84" t="n">
        <x:v>60</x:v>
      </x:c>
      <x:c r="E59" s="84" t="n">
        <x:v>3</x:v>
      </x:c>
      <x:c r="F59" s="89" t="n">
        <x:v>46016</x:v>
      </x:c>
      <x:c r="G59" s="89" t="n">
        <x:v>46076</x:v>
      </x:c>
      <x:c r="H59" s="85" t="str">
        <x:v>Ativo</x:v>
      </x:c>
    </x:row>
    <x:row r="60">
      <x:c r="A60" s="83" t="n">
        <x:v>59</x:v>
      </x:c>
      <x:c r="B60" s="84" t="n">
        <x:v>30</x:v>
      </x:c>
      <x:c r="C60" s="84" t="str">
        <x:v>Inspeção geral</x:v>
      </x:c>
      <x:c r="D60" s="84" t="n">
        <x:v>30</x:v>
      </x:c>
      <x:c r="E60" s="84" t="n">
        <x:v>1</x:v>
      </x:c>
      <x:c r="F60" s="89" t="n">
        <x:v>45977</x:v>
      </x:c>
      <x:c r="G60" s="89" t="n">
        <x:v>46007</x:v>
      </x:c>
      <x:c r="H60" s="85" t="str">
        <x:v>Vencido</x:v>
      </x:c>
    </x:row>
    <x:row r="61">
      <x:c r="A61" s="83" t="n">
        <x:v>60</x:v>
      </x:c>
      <x:c r="B61" s="84" t="n">
        <x:v>30</x:v>
      </x:c>
      <x:c r="C61" s="84" t="str">
        <x:v>Lubrificação programada</x:v>
      </x:c>
      <x:c r="D61" s="84" t="n">
        <x:v>60</x:v>
      </x:c>
      <x:c r="E61" s="84" t="n">
        <x:v>2</x:v>
      </x:c>
      <x:c r="F61" s="89" t="n">
        <x:v>45975</x:v>
      </x:c>
      <x:c r="G61" s="89" t="n">
        <x:v>46035</x:v>
      </x:c>
      <x:c r="H61" s="85" t="str">
        <x:v>Ativo</x:v>
      </x:c>
    </x:row>
    <x:row r="62">
      <x:c r="A62" s="83" t="n">
        <x:v>61</x:v>
      </x:c>
      <x:c r="B62" s="84" t="n">
        <x:v>31</x:v>
      </x:c>
      <x:c r="C62" s="84" t="str">
        <x:v>Inspeção geral</x:v>
      </x:c>
      <x:c r="D62" s="84" t="n">
        <x:v>30</x:v>
      </x:c>
      <x:c r="E62" s="84" t="n">
        <x:v>2</x:v>
      </x:c>
      <x:c r="F62" s="89" t="n">
        <x:v>46007</x:v>
      </x:c>
      <x:c r="G62" s="89" t="n">
        <x:v>46037</x:v>
      </x:c>
      <x:c r="H62" s="85" t="str">
        <x:v>Ativo</x:v>
      </x:c>
    </x:row>
    <x:row r="63">
      <x:c r="A63" s="83" t="n">
        <x:v>62</x:v>
      </x:c>
      <x:c r="B63" s="84" t="n">
        <x:v>31</x:v>
      </x:c>
      <x:c r="C63" s="84" t="str">
        <x:v>Lubrificação programada</x:v>
      </x:c>
      <x:c r="D63" s="84" t="n">
        <x:v>60</x:v>
      </x:c>
      <x:c r="E63" s="84" t="n">
        <x:v>3</x:v>
      </x:c>
      <x:c r="F63" s="89" t="n">
        <x:v>45973</x:v>
      </x:c>
      <x:c r="G63" s="89" t="n">
        <x:v>46033</x:v>
      </x:c>
      <x:c r="H63" s="85" t="str">
        <x:v>Ativo</x:v>
      </x:c>
    </x:row>
    <x:row r="64">
      <x:c r="A64" s="83" t="n">
        <x:v>63</x:v>
      </x:c>
      <x:c r="B64" s="84" t="n">
        <x:v>32</x:v>
      </x:c>
      <x:c r="C64" s="84" t="str">
        <x:v>Inspeção geral</x:v>
      </x:c>
      <x:c r="D64" s="84" t="n">
        <x:v>30</x:v>
      </x:c>
      <x:c r="E64" s="84" t="n">
        <x:v>4</x:v>
      </x:c>
      <x:c r="F64" s="89" t="n">
        <x:v>46016</x:v>
      </x:c>
      <x:c r="G64" s="89" t="n">
        <x:v>46046</x:v>
      </x:c>
      <x:c r="H64" s="85" t="str">
        <x:v>Ativo</x:v>
      </x:c>
    </x:row>
    <x:row r="65">
      <x:c r="A65" s="83" t="n">
        <x:v>64</x:v>
      </x:c>
      <x:c r="B65" s="84" t="n">
        <x:v>32</x:v>
      </x:c>
      <x:c r="C65" s="84" t="str">
        <x:v>Lubrificação programada</x:v>
      </x:c>
      <x:c r="D65" s="84" t="n">
        <x:v>60</x:v>
      </x:c>
      <x:c r="E65" s="84" t="n">
        <x:v>2</x:v>
      </x:c>
      <x:c r="F65" s="89" t="n">
        <x:v>45996</x:v>
      </x:c>
      <x:c r="G65" s="89" t="n">
        <x:v>46056</x:v>
      </x:c>
      <x:c r="H65" s="85" t="str">
        <x:v>Ativo</x:v>
      </x:c>
    </x:row>
    <x:row r="66">
      <x:c r="A66" s="83" t="n">
        <x:v>65</x:v>
      </x:c>
      <x:c r="B66" s="84" t="n">
        <x:v>33</x:v>
      </x:c>
      <x:c r="C66" s="84" t="str">
        <x:v>Inspeção geral</x:v>
      </x:c>
      <x:c r="D66" s="84" t="n">
        <x:v>30</x:v>
      </x:c>
      <x:c r="E66" s="84" t="n">
        <x:v>1</x:v>
      </x:c>
      <x:c r="F66" s="89" t="n">
        <x:v>46009</x:v>
      </x:c>
      <x:c r="G66" s="89" t="n">
        <x:v>46039</x:v>
      </x:c>
      <x:c r="H66" s="85" t="str">
        <x:v>Ativo</x:v>
      </x:c>
    </x:row>
    <x:row r="67">
      <x:c r="A67" s="83" t="n">
        <x:v>66</x:v>
      </x:c>
      <x:c r="B67" s="84" t="n">
        <x:v>33</x:v>
      </x:c>
      <x:c r="C67" s="84" t="str">
        <x:v>Lubrificação programada</x:v>
      </x:c>
      <x:c r="D67" s="84" t="n">
        <x:v>60</x:v>
      </x:c>
      <x:c r="E67" s="84" t="n">
        <x:v>2</x:v>
      </x:c>
      <x:c r="F67" s="89" t="n">
        <x:v>45952</x:v>
      </x:c>
      <x:c r="G67" s="89" t="n">
        <x:v>46012</x:v>
      </x:c>
      <x:c r="H67" s="85" t="str">
        <x:v>Vencido</x:v>
      </x:c>
    </x:row>
    <x:row r="68">
      <x:c r="A68" s="83" t="n">
        <x:v>67</x:v>
      </x:c>
      <x:c r="B68" s="84" t="n">
        <x:v>34</x:v>
      </x:c>
      <x:c r="C68" s="84" t="str">
        <x:v>Inspeção geral</x:v>
      </x:c>
      <x:c r="D68" s="84" t="n">
        <x:v>30</x:v>
      </x:c>
      <x:c r="E68" s="84" t="n">
        <x:v>4</x:v>
      </x:c>
      <x:c r="F68" s="89" t="n">
        <x:v>46009</x:v>
      </x:c>
      <x:c r="G68" s="89" t="n">
        <x:v>46039</x:v>
      </x:c>
      <x:c r="H68" s="85" t="str">
        <x:v>Ativo</x:v>
      </x:c>
    </x:row>
    <x:row r="69">
      <x:c r="A69" s="83" t="n">
        <x:v>68</x:v>
      </x:c>
      <x:c r="B69" s="84" t="n">
        <x:v>34</x:v>
      </x:c>
      <x:c r="C69" s="84" t="str">
        <x:v>Lubrificação programada</x:v>
      </x:c>
      <x:c r="D69" s="84" t="n">
        <x:v>60</x:v>
      </x:c>
      <x:c r="E69" s="84" t="n">
        <x:v>2</x:v>
      </x:c>
      <x:c r="F69" s="89" t="n">
        <x:v>45965</x:v>
      </x:c>
      <x:c r="G69" s="89" t="n">
        <x:v>46025</x:v>
      </x:c>
      <x:c r="H69" s="85" t="str">
        <x:v>Ativo</x:v>
      </x:c>
    </x:row>
    <x:row r="70">
      <x:c r="A70" s="83" t="n">
        <x:v>69</x:v>
      </x:c>
      <x:c r="B70" s="84" t="n">
        <x:v>35</x:v>
      </x:c>
      <x:c r="C70" s="84" t="str">
        <x:v>Inspeção geral</x:v>
      </x:c>
      <x:c r="D70" s="84" t="n">
        <x:v>30</x:v>
      </x:c>
      <x:c r="E70" s="84" t="n">
        <x:v>3</x:v>
      </x:c>
      <x:c r="F70" s="89" t="n">
        <x:v>45985</x:v>
      </x:c>
      <x:c r="G70" s="89" t="n">
        <x:v>46015</x:v>
      </x:c>
      <x:c r="H70" s="85" t="str">
        <x:v>Vencido</x:v>
      </x:c>
    </x:row>
    <x:row r="71">
      <x:c r="A71" s="83" t="n">
        <x:v>70</x:v>
      </x:c>
      <x:c r="B71" s="84" t="n">
        <x:v>35</x:v>
      </x:c>
      <x:c r="C71" s="84" t="str">
        <x:v>Lubrificação programada</x:v>
      </x:c>
      <x:c r="D71" s="84" t="n">
        <x:v>60</x:v>
      </x:c>
      <x:c r="E71" s="84" t="n">
        <x:v>2</x:v>
      </x:c>
      <x:c r="F71" s="89" t="n">
        <x:v>45948</x:v>
      </x:c>
      <x:c r="G71" s="89" t="n">
        <x:v>46008</x:v>
      </x:c>
      <x:c r="H71" s="85" t="str">
        <x:v>Vencido</x:v>
      </x:c>
    </x:row>
    <x:row r="72">
      <x:c r="A72" s="83" t="n">
        <x:v>71</x:v>
      </x:c>
      <x:c r="B72" s="84" t="n">
        <x:v>36</x:v>
      </x:c>
      <x:c r="C72" s="84" t="str">
        <x:v>Inspeção geral</x:v>
      </x:c>
      <x:c r="D72" s="84" t="n">
        <x:v>30</x:v>
      </x:c>
      <x:c r="E72" s="84" t="n">
        <x:v>1</x:v>
      </x:c>
      <x:c r="F72" s="89" t="n">
        <x:v>46006</x:v>
      </x:c>
      <x:c r="G72" s="89" t="n">
        <x:v>46036</x:v>
      </x:c>
      <x:c r="H72" s="85" t="str">
        <x:v>Ativo</x:v>
      </x:c>
    </x:row>
    <x:row r="73">
      <x:c r="A73" s="83" t="n">
        <x:v>72</x:v>
      </x:c>
      <x:c r="B73" s="84" t="n">
        <x:v>36</x:v>
      </x:c>
      <x:c r="C73" s="84" t="str">
        <x:v>Lubrificação programada</x:v>
      </x:c>
      <x:c r="D73" s="84" t="n">
        <x:v>60</x:v>
      </x:c>
      <x:c r="E73" s="84" t="n">
        <x:v>2</x:v>
      </x:c>
      <x:c r="F73" s="89" t="n">
        <x:v>45948</x:v>
      </x:c>
      <x:c r="G73" s="89" t="n">
        <x:v>46008</x:v>
      </x:c>
      <x:c r="H73" s="85" t="str">
        <x:v>Vencido</x:v>
      </x:c>
    </x:row>
    <x:row r="74">
      <x:c r="A74" s="83" t="n">
        <x:v>73</x:v>
      </x:c>
      <x:c r="B74" s="84" t="n">
        <x:v>37</x:v>
      </x:c>
      <x:c r="C74" s="84" t="str">
        <x:v>Inspeção geral</x:v>
      </x:c>
      <x:c r="D74" s="84" t="n">
        <x:v>30</x:v>
      </x:c>
      <x:c r="E74" s="84" t="n">
        <x:v>3</x:v>
      </x:c>
      <x:c r="F74" s="89" t="n">
        <x:v>45994</x:v>
      </x:c>
      <x:c r="G74" s="89" t="n">
        <x:v>46024</x:v>
      </x:c>
      <x:c r="H74" s="85" t="str">
        <x:v>Ativo</x:v>
      </x:c>
    </x:row>
    <x:row r="75">
      <x:c r="A75" s="83" t="n">
        <x:v>74</x:v>
      </x:c>
      <x:c r="B75" s="84" t="n">
        <x:v>37</x:v>
      </x:c>
      <x:c r="C75" s="84" t="str">
        <x:v>Lubrificação programada</x:v>
      </x:c>
      <x:c r="D75" s="84" t="n">
        <x:v>60</x:v>
      </x:c>
      <x:c r="E75" s="84" t="n">
        <x:v>1</x:v>
      </x:c>
      <x:c r="F75" s="89" t="n">
        <x:v>45953</x:v>
      </x:c>
      <x:c r="G75" s="89" t="n">
        <x:v>46013</x:v>
      </x:c>
      <x:c r="H75" s="85" t="str">
        <x:v>Vencido</x:v>
      </x:c>
    </x:row>
    <x:row r="76">
      <x:c r="A76" s="83" t="n">
        <x:v>75</x:v>
      </x:c>
      <x:c r="B76" s="84" t="n">
        <x:v>38</x:v>
      </x:c>
      <x:c r="C76" s="84" t="str">
        <x:v>Inspeção geral</x:v>
      </x:c>
      <x:c r="D76" s="84" t="n">
        <x:v>30</x:v>
      </x:c>
      <x:c r="E76" s="84" t="n">
        <x:v>3</x:v>
      </x:c>
      <x:c r="F76" s="89" t="n">
        <x:v>45992</x:v>
      </x:c>
      <x:c r="G76" s="89" t="n">
        <x:v>46022</x:v>
      </x:c>
      <x:c r="H76" s="85" t="str">
        <x:v>Ativo</x:v>
      </x:c>
    </x:row>
    <x:row r="77">
      <x:c r="A77" s="83" t="n">
        <x:v>76</x:v>
      </x:c>
      <x:c r="B77" s="84" t="n">
        <x:v>38</x:v>
      </x:c>
      <x:c r="C77" s="84" t="str">
        <x:v>Lubrificação programada</x:v>
      </x:c>
      <x:c r="D77" s="84" t="n">
        <x:v>60</x:v>
      </x:c>
      <x:c r="E77" s="84" t="n">
        <x:v>4</x:v>
      </x:c>
      <x:c r="F77" s="89" t="n">
        <x:v>45985</x:v>
      </x:c>
      <x:c r="G77" s="89" t="n">
        <x:v>46045</x:v>
      </x:c>
      <x:c r="H77" s="85" t="str">
        <x:v>Ativo</x:v>
      </x:c>
    </x:row>
    <x:row r="78">
      <x:c r="A78" s="83" t="n">
        <x:v>77</x:v>
      </x:c>
      <x:c r="B78" s="84" t="n">
        <x:v>39</x:v>
      </x:c>
      <x:c r="C78" s="84" t="str">
        <x:v>Inspeção geral</x:v>
      </x:c>
      <x:c r="D78" s="84" t="n">
        <x:v>30</x:v>
      </x:c>
      <x:c r="E78" s="84" t="n">
        <x:v>3</x:v>
      </x:c>
      <x:c r="F78" s="89" t="n">
        <x:v>46005</x:v>
      </x:c>
      <x:c r="G78" s="89" t="n">
        <x:v>46035</x:v>
      </x:c>
      <x:c r="H78" s="85" t="str">
        <x:v>Ativo</x:v>
      </x:c>
    </x:row>
    <x:row r="79">
      <x:c r="A79" s="83" t="n">
        <x:v>78</x:v>
      </x:c>
      <x:c r="B79" s="84" t="n">
        <x:v>39</x:v>
      </x:c>
      <x:c r="C79" s="84" t="str">
        <x:v>Lubrificação programada</x:v>
      </x:c>
      <x:c r="D79" s="84" t="n">
        <x:v>60</x:v>
      </x:c>
      <x:c r="E79" s="84" t="n">
        <x:v>1</x:v>
      </x:c>
      <x:c r="F79" s="89" t="n">
        <x:v>45948</x:v>
      </x:c>
      <x:c r="G79" s="89" t="n">
        <x:v>46008</x:v>
      </x:c>
      <x:c r="H79" s="85" t="str">
        <x:v>Vencido</x:v>
      </x:c>
    </x:row>
    <x:row r="80">
      <x:c r="A80" s="83" t="n">
        <x:v>79</x:v>
      </x:c>
      <x:c r="B80" s="84" t="n">
        <x:v>40</x:v>
      </x:c>
      <x:c r="C80" s="84" t="str">
        <x:v>Inspeção geral</x:v>
      </x:c>
      <x:c r="D80" s="84" t="n">
        <x:v>30</x:v>
      </x:c>
      <x:c r="E80" s="84" t="n">
        <x:v>3</x:v>
      </x:c>
      <x:c r="F80" s="89" t="n">
        <x:v>46006</x:v>
      </x:c>
      <x:c r="G80" s="89" t="n">
        <x:v>46036</x:v>
      </x:c>
      <x:c r="H80" s="85" t="str">
        <x:v>Ativo</x:v>
      </x:c>
    </x:row>
    <x:row r="81">
      <x:c r="A81" s="83" t="n">
        <x:v>80</x:v>
      </x:c>
      <x:c r="B81" s="84" t="n">
        <x:v>40</x:v>
      </x:c>
      <x:c r="C81" s="84" t="str">
        <x:v>Lubrificação programada</x:v>
      </x:c>
      <x:c r="D81" s="84" t="n">
        <x:v>60</x:v>
      </x:c>
      <x:c r="E81" s="84" t="n">
        <x:v>4</x:v>
      </x:c>
      <x:c r="F81" s="89" t="n">
        <x:v>46003</x:v>
      </x:c>
      <x:c r="G81" s="89" t="n">
        <x:v>46063</x:v>
      </x:c>
      <x:c r="H81" s="85" t="str">
        <x:v>Ativo</x:v>
      </x:c>
    </x:row>
    <x:row r="82">
      <x:c r="A82" s="83" t="n">
        <x:v>81</x:v>
      </x:c>
      <x:c r="B82" s="84" t="n">
        <x:v>41</x:v>
      </x:c>
      <x:c r="C82" s="84" t="str">
        <x:v>Inspeção geral</x:v>
      </x:c>
      <x:c r="D82" s="84" t="n">
        <x:v>30</x:v>
      </x:c>
      <x:c r="E82" s="84" t="n">
        <x:v>3</x:v>
      </x:c>
      <x:c r="F82" s="89" t="n">
        <x:v>46011</x:v>
      </x:c>
      <x:c r="G82" s="89" t="n">
        <x:v>46041</x:v>
      </x:c>
      <x:c r="H82" s="85" t="str">
        <x:v>Ativo</x:v>
      </x:c>
    </x:row>
    <x:row r="83">
      <x:c r="A83" s="83" t="n">
        <x:v>82</x:v>
      </x:c>
      <x:c r="B83" s="84" t="n">
        <x:v>41</x:v>
      </x:c>
      <x:c r="C83" s="84" t="str">
        <x:v>Lubrificação programada</x:v>
      </x:c>
      <x:c r="D83" s="84" t="n">
        <x:v>60</x:v>
      </x:c>
      <x:c r="E83" s="84" t="n">
        <x:v>3</x:v>
      </x:c>
      <x:c r="F83" s="89" t="n">
        <x:v>45952</x:v>
      </x:c>
      <x:c r="G83" s="89" t="n">
        <x:v>46012</x:v>
      </x:c>
      <x:c r="H83" s="85" t="str">
        <x:v>Vencido</x:v>
      </x:c>
    </x:row>
    <x:row r="84">
      <x:c r="A84" s="83" t="n">
        <x:v>83</x:v>
      </x:c>
      <x:c r="B84" s="84" t="n">
        <x:v>42</x:v>
      </x:c>
      <x:c r="C84" s="84" t="str">
        <x:v>Inspeção geral</x:v>
      </x:c>
      <x:c r="D84" s="84" t="n">
        <x:v>30</x:v>
      </x:c>
      <x:c r="E84" s="84" t="n">
        <x:v>2</x:v>
      </x:c>
      <x:c r="F84" s="89" t="n">
        <x:v>45998</x:v>
      </x:c>
      <x:c r="G84" s="89" t="n">
        <x:v>46028</x:v>
      </x:c>
      <x:c r="H84" s="85" t="str">
        <x:v>Ativo</x:v>
      </x:c>
    </x:row>
    <x:row r="85">
      <x:c r="A85" s="83" t="n">
        <x:v>84</x:v>
      </x:c>
      <x:c r="B85" s="84" t="n">
        <x:v>42</x:v>
      </x:c>
      <x:c r="C85" s="84" t="str">
        <x:v>Lubrificação programada</x:v>
      </x:c>
      <x:c r="D85" s="84" t="n">
        <x:v>60</x:v>
      </x:c>
      <x:c r="E85" s="84" t="n">
        <x:v>2</x:v>
      </x:c>
      <x:c r="F85" s="89" t="n">
        <x:v>45992</x:v>
      </x:c>
      <x:c r="G85" s="89" t="n">
        <x:v>46052</x:v>
      </x:c>
      <x:c r="H85" s="85" t="str">
        <x:v>Ativo</x:v>
      </x:c>
    </x:row>
    <x:row r="86">
      <x:c r="A86" s="83" t="n">
        <x:v>85</x:v>
      </x:c>
      <x:c r="B86" s="84" t="n">
        <x:v>43</x:v>
      </x:c>
      <x:c r="C86" s="84" t="str">
        <x:v>Inspeção geral</x:v>
      </x:c>
      <x:c r="D86" s="84" t="n">
        <x:v>30</x:v>
      </x:c>
      <x:c r="E86" s="84" t="n">
        <x:v>1</x:v>
      </x:c>
      <x:c r="F86" s="89" t="n">
        <x:v>45991</x:v>
      </x:c>
      <x:c r="G86" s="89" t="n">
        <x:v>46021</x:v>
      </x:c>
      <x:c r="H86" s="85" t="str">
        <x:v>Vencido</x:v>
      </x:c>
    </x:row>
    <x:row r="87">
      <x:c r="A87" s="83" t="n">
        <x:v>86</x:v>
      </x:c>
      <x:c r="B87" s="84" t="n">
        <x:v>43</x:v>
      </x:c>
      <x:c r="C87" s="84" t="str">
        <x:v>Lubrificação programada</x:v>
      </x:c>
      <x:c r="D87" s="84" t="n">
        <x:v>60</x:v>
      </x:c>
      <x:c r="E87" s="84" t="n">
        <x:v>3</x:v>
      </x:c>
      <x:c r="F87" s="89" t="n">
        <x:v>45977</x:v>
      </x:c>
      <x:c r="G87" s="89" t="n">
        <x:v>46037</x:v>
      </x:c>
      <x:c r="H87" s="85" t="str">
        <x:v>Ativo</x:v>
      </x:c>
    </x:row>
    <x:row r="88">
      <x:c r="A88" s="83" t="n">
        <x:v>87</x:v>
      </x:c>
      <x:c r="B88" s="84" t="n">
        <x:v>44</x:v>
      </x:c>
      <x:c r="C88" s="84" t="str">
        <x:v>Inspeção geral</x:v>
      </x:c>
      <x:c r="D88" s="84" t="n">
        <x:v>30</x:v>
      </x:c>
      <x:c r="E88" s="84" t="n">
        <x:v>4</x:v>
      </x:c>
      <x:c r="F88" s="89" t="n">
        <x:v>46016</x:v>
      </x:c>
      <x:c r="G88" s="89" t="n">
        <x:v>46046</x:v>
      </x:c>
      <x:c r="H88" s="85" t="str">
        <x:v>Ativo</x:v>
      </x:c>
    </x:row>
    <x:row r="89">
      <x:c r="A89" s="83" t="n">
        <x:v>88</x:v>
      </x:c>
      <x:c r="B89" s="84" t="n">
        <x:v>44</x:v>
      </x:c>
      <x:c r="C89" s="84" t="str">
        <x:v>Lubrificação programada</x:v>
      </x:c>
      <x:c r="D89" s="84" t="n">
        <x:v>60</x:v>
      </x:c>
      <x:c r="E89" s="84" t="n">
        <x:v>4</x:v>
      </x:c>
      <x:c r="F89" s="89" t="n">
        <x:v>45995</x:v>
      </x:c>
      <x:c r="G89" s="89" t="n">
        <x:v>46055</x:v>
      </x:c>
      <x:c r="H89" s="85" t="str">
        <x:v>Ativo</x:v>
      </x:c>
    </x:row>
    <x:row r="90">
      <x:c r="A90" s="83" t="n">
        <x:v>89</x:v>
      </x:c>
      <x:c r="B90" s="84" t="n">
        <x:v>45</x:v>
      </x:c>
      <x:c r="C90" s="84" t="str">
        <x:v>Inspeção geral</x:v>
      </x:c>
      <x:c r="D90" s="84" t="n">
        <x:v>30</x:v>
      </x:c>
      <x:c r="E90" s="84" t="n">
        <x:v>1</x:v>
      </x:c>
      <x:c r="F90" s="89" t="n">
        <x:v>46020</x:v>
      </x:c>
      <x:c r="G90" s="89" t="n">
        <x:v>46050</x:v>
      </x:c>
      <x:c r="H90" s="85" t="str">
        <x:v>Ativo</x:v>
      </x:c>
    </x:row>
    <x:row r="91">
      <x:c r="A91" s="83" t="n">
        <x:v>90</x:v>
      </x:c>
      <x:c r="B91" s="84" t="n">
        <x:v>45</x:v>
      </x:c>
      <x:c r="C91" s="84" t="str">
        <x:v>Lubrificação programada</x:v>
      </x:c>
      <x:c r="D91" s="84" t="n">
        <x:v>60</x:v>
      </x:c>
      <x:c r="E91" s="84" t="n">
        <x:v>4</x:v>
      </x:c>
      <x:c r="F91" s="89" t="n">
        <x:v>45956</x:v>
      </x:c>
      <x:c r="G91" s="89" t="n">
        <x:v>46016</x:v>
      </x:c>
      <x:c r="H91" s="85" t="str">
        <x:v>Vencido</x:v>
      </x:c>
    </x:row>
    <x:row r="92">
      <x:c r="A92" s="83" t="n">
        <x:v>91</x:v>
      </x:c>
      <x:c r="B92" s="84" t="n">
        <x:v>46</x:v>
      </x:c>
      <x:c r="C92" s="84" t="str">
        <x:v>Inspeção geral</x:v>
      </x:c>
      <x:c r="D92" s="84" t="n">
        <x:v>30</x:v>
      </x:c>
      <x:c r="E92" s="84" t="n">
        <x:v>4</x:v>
      </x:c>
      <x:c r="F92" s="89" t="n">
        <x:v>45981</x:v>
      </x:c>
      <x:c r="G92" s="89" t="n">
        <x:v>46011</x:v>
      </x:c>
      <x:c r="H92" s="85" t="str">
        <x:v>Vencido</x:v>
      </x:c>
    </x:row>
    <x:row r="93">
      <x:c r="A93" s="83" t="n">
        <x:v>92</x:v>
      </x:c>
      <x:c r="B93" s="84" t="n">
        <x:v>46</x:v>
      </x:c>
      <x:c r="C93" s="84" t="str">
        <x:v>Lubrificação programada</x:v>
      </x:c>
      <x:c r="D93" s="84" t="n">
        <x:v>60</x:v>
      </x:c>
      <x:c r="E93" s="84" t="n">
        <x:v>1</x:v>
      </x:c>
      <x:c r="F93" s="89" t="n">
        <x:v>45967</x:v>
      </x:c>
      <x:c r="G93" s="89" t="n">
        <x:v>46027</x:v>
      </x:c>
      <x:c r="H93" s="85" t="str">
        <x:v>Ativo</x:v>
      </x:c>
    </x:row>
    <x:row r="94">
      <x:c r="A94" s="83" t="n">
        <x:v>93</x:v>
      </x:c>
      <x:c r="B94" s="84" t="n">
        <x:v>47</x:v>
      </x:c>
      <x:c r="C94" s="84" t="str">
        <x:v>Inspeção geral</x:v>
      </x:c>
      <x:c r="D94" s="84" t="n">
        <x:v>30</x:v>
      </x:c>
      <x:c r="E94" s="84" t="n">
        <x:v>4</x:v>
      </x:c>
      <x:c r="F94" s="89" t="n">
        <x:v>46021</x:v>
      </x:c>
      <x:c r="G94" s="89" t="n">
        <x:v>46051</x:v>
      </x:c>
      <x:c r="H94" s="85" t="str">
        <x:v>Ativo</x:v>
      </x:c>
    </x:row>
    <x:row r="95">
      <x:c r="A95" s="83" t="n">
        <x:v>94</x:v>
      </x:c>
      <x:c r="B95" s="84" t="n">
        <x:v>47</x:v>
      </x:c>
      <x:c r="C95" s="84" t="str">
        <x:v>Lubrificação programada</x:v>
      </x:c>
      <x:c r="D95" s="84" t="n">
        <x:v>60</x:v>
      </x:c>
      <x:c r="E95" s="84" t="n">
        <x:v>3</x:v>
      </x:c>
      <x:c r="F95" s="89" t="n">
        <x:v>45991</x:v>
      </x:c>
      <x:c r="G95" s="89" t="n">
        <x:v>46051</x:v>
      </x:c>
      <x:c r="H95" s="85" t="str">
        <x:v>Ativo</x:v>
      </x:c>
    </x:row>
    <x:row r="96">
      <x:c r="A96" s="83" t="n">
        <x:v>95</x:v>
      </x:c>
      <x:c r="B96" s="84" t="n">
        <x:v>48</x:v>
      </x:c>
      <x:c r="C96" s="84" t="str">
        <x:v>Inspeção geral</x:v>
      </x:c>
      <x:c r="D96" s="84" t="n">
        <x:v>30</x:v>
      </x:c>
      <x:c r="E96" s="84" t="n">
        <x:v>1</x:v>
      </x:c>
      <x:c r="F96" s="89" t="n">
        <x:v>45986</x:v>
      </x:c>
      <x:c r="G96" s="89" t="n">
        <x:v>46016</x:v>
      </x:c>
      <x:c r="H96" s="85" t="str">
        <x:v>Vencido</x:v>
      </x:c>
    </x:row>
    <x:row r="97">
      <x:c r="A97" s="83" t="n">
        <x:v>96</x:v>
      </x:c>
      <x:c r="B97" s="84" t="n">
        <x:v>48</x:v>
      </x:c>
      <x:c r="C97" s="84" t="str">
        <x:v>Lubrificação programada</x:v>
      </x:c>
      <x:c r="D97" s="84" t="n">
        <x:v>60</x:v>
      </x:c>
      <x:c r="E97" s="84" t="n">
        <x:v>1</x:v>
      </x:c>
      <x:c r="F97" s="89" t="n">
        <x:v>46002</x:v>
      </x:c>
      <x:c r="G97" s="89" t="n">
        <x:v>46062</x:v>
      </x:c>
      <x:c r="H97" s="85" t="str">
        <x:v>Ativo</x:v>
      </x:c>
    </x:row>
    <x:row r="98">
      <x:c r="A98" s="83" t="n">
        <x:v>97</x:v>
      </x:c>
      <x:c r="B98" s="84" t="n">
        <x:v>49</x:v>
      </x:c>
      <x:c r="C98" s="84" t="str">
        <x:v>Inspeção geral</x:v>
      </x:c>
      <x:c r="D98" s="84" t="n">
        <x:v>30</x:v>
      </x:c>
      <x:c r="E98" s="84" t="n">
        <x:v>3</x:v>
      </x:c>
      <x:c r="F98" s="89" t="n">
        <x:v>46021</x:v>
      </x:c>
      <x:c r="G98" s="89" t="n">
        <x:v>46051</x:v>
      </x:c>
      <x:c r="H98" s="85" t="str">
        <x:v>Ativo</x:v>
      </x:c>
    </x:row>
    <x:row r="99">
      <x:c r="A99" s="83" t="n">
        <x:v>98</x:v>
      </x:c>
      <x:c r="B99" s="84" t="n">
        <x:v>49</x:v>
      </x:c>
      <x:c r="C99" s="84" t="str">
        <x:v>Lubrificação programada</x:v>
      </x:c>
      <x:c r="D99" s="84" t="n">
        <x:v>60</x:v>
      </x:c>
      <x:c r="E99" s="84" t="n">
        <x:v>2</x:v>
      </x:c>
      <x:c r="F99" s="89" t="n">
        <x:v>45974</x:v>
      </x:c>
      <x:c r="G99" s="89" t="n">
        <x:v>46034</x:v>
      </x:c>
      <x:c r="H99" s="85" t="str">
        <x:v>Ativo</x:v>
      </x:c>
    </x:row>
    <x:row r="100">
      <x:c r="A100" s="83" t="n">
        <x:v>99</x:v>
      </x:c>
      <x:c r="B100" s="84" t="n">
        <x:v>50</x:v>
      </x:c>
      <x:c r="C100" s="84" t="str">
        <x:v>Inspeção geral</x:v>
      </x:c>
      <x:c r="D100" s="84" t="n">
        <x:v>30</x:v>
      </x:c>
      <x:c r="E100" s="84" t="n">
        <x:v>2</x:v>
      </x:c>
      <x:c r="F100" s="89" t="n">
        <x:v>45992</x:v>
      </x:c>
      <x:c r="G100" s="89" t="n">
        <x:v>46022</x:v>
      </x:c>
      <x:c r="H100" s="85" t="str">
        <x:v>Ativo</x:v>
      </x:c>
    </x:row>
    <x:row r="101">
      <x:c r="A101" s="83" t="n">
        <x:v>100</x:v>
      </x:c>
      <x:c r="B101" s="84" t="n">
        <x:v>50</x:v>
      </x:c>
      <x:c r="C101" s="84" t="str">
        <x:v>Lubrificação programada</x:v>
      </x:c>
      <x:c r="D101" s="84" t="n">
        <x:v>60</x:v>
      </x:c>
      <x:c r="E101" s="84" t="n">
        <x:v>4</x:v>
      </x:c>
      <x:c r="F101" s="89" t="n">
        <x:v>46012</x:v>
      </x:c>
      <x:c r="G101" s="89" t="n">
        <x:v>46072</x:v>
      </x:c>
      <x:c r="H101" s="85" t="str">
        <x:v>Ativo</x:v>
      </x:c>
    </x:row>
    <x:row r="102">
      <x:c r="A102" s="83" t="n">
        <x:v>101</x:v>
      </x:c>
      <x:c r="B102" s="84" t="n">
        <x:v>51</x:v>
      </x:c>
      <x:c r="C102" s="84" t="str">
        <x:v>Inspeção geral</x:v>
      </x:c>
      <x:c r="D102" s="84" t="n">
        <x:v>30</x:v>
      </x:c>
      <x:c r="E102" s="84" t="n">
        <x:v>1</x:v>
      </x:c>
      <x:c r="F102" s="89" t="n">
        <x:v>46016</x:v>
      </x:c>
      <x:c r="G102" s="89" t="n">
        <x:v>46046</x:v>
      </x:c>
      <x:c r="H102" s="85" t="str">
        <x:v>Ativo</x:v>
      </x:c>
    </x:row>
    <x:row r="103">
      <x:c r="A103" s="83" t="n">
        <x:v>102</x:v>
      </x:c>
      <x:c r="B103" s="84" t="n">
        <x:v>51</x:v>
      </x:c>
      <x:c r="C103" s="84" t="str">
        <x:v>Lubrificação programada</x:v>
      </x:c>
      <x:c r="D103" s="84" t="n">
        <x:v>60</x:v>
      </x:c>
      <x:c r="E103" s="84" t="n">
        <x:v>4</x:v>
      </x:c>
      <x:c r="F103" s="89" t="n">
        <x:v>45979</x:v>
      </x:c>
      <x:c r="G103" s="89" t="n">
        <x:v>46039</x:v>
      </x:c>
      <x:c r="H103" s="85" t="str">
        <x:v>Ativo</x:v>
      </x:c>
    </x:row>
    <x:row r="104">
      <x:c r="A104" s="83" t="n">
        <x:v>103</x:v>
      </x:c>
      <x:c r="B104" s="84" t="n">
        <x:v>52</x:v>
      </x:c>
      <x:c r="C104" s="84" t="str">
        <x:v>Inspeção geral</x:v>
      </x:c>
      <x:c r="D104" s="84" t="n">
        <x:v>30</x:v>
      </x:c>
      <x:c r="E104" s="84" t="n">
        <x:v>2</x:v>
      </x:c>
      <x:c r="F104" s="89" t="n">
        <x:v>46007</x:v>
      </x:c>
      <x:c r="G104" s="89" t="n">
        <x:v>46037</x:v>
      </x:c>
      <x:c r="H104" s="85" t="str">
        <x:v>Ativo</x:v>
      </x:c>
    </x:row>
    <x:row r="105">
      <x:c r="A105" s="83" t="n">
        <x:v>104</x:v>
      </x:c>
      <x:c r="B105" s="84" t="n">
        <x:v>52</x:v>
      </x:c>
      <x:c r="C105" s="84" t="str">
        <x:v>Lubrificação programada</x:v>
      </x:c>
      <x:c r="D105" s="84" t="n">
        <x:v>60</x:v>
      </x:c>
      <x:c r="E105" s="84" t="n">
        <x:v>1</x:v>
      </x:c>
      <x:c r="F105" s="89" t="n">
        <x:v>46011</x:v>
      </x:c>
      <x:c r="G105" s="89" t="n">
        <x:v>46071</x:v>
      </x:c>
      <x:c r="H105" s="85" t="str">
        <x:v>Ativo</x:v>
      </x:c>
    </x:row>
    <x:row r="106">
      <x:c r="A106" s="83" t="n">
        <x:v>105</x:v>
      </x:c>
      <x:c r="B106" s="84" t="n">
        <x:v>53</x:v>
      </x:c>
      <x:c r="C106" s="84" t="str">
        <x:v>Inspeção geral</x:v>
      </x:c>
      <x:c r="D106" s="84" t="n">
        <x:v>30</x:v>
      </x:c>
      <x:c r="E106" s="84" t="n">
        <x:v>2</x:v>
      </x:c>
      <x:c r="F106" s="89" t="n">
        <x:v>45982</x:v>
      </x:c>
      <x:c r="G106" s="89" t="n">
        <x:v>46012</x:v>
      </x:c>
      <x:c r="H106" s="85" t="str">
        <x:v>Vencido</x:v>
      </x:c>
    </x:row>
    <x:row r="107">
      <x:c r="A107" s="83" t="n">
        <x:v>106</x:v>
      </x:c>
      <x:c r="B107" s="84" t="n">
        <x:v>53</x:v>
      </x:c>
      <x:c r="C107" s="84" t="str">
        <x:v>Lubrificação programada</x:v>
      </x:c>
      <x:c r="D107" s="84" t="n">
        <x:v>60</x:v>
      </x:c>
      <x:c r="E107" s="84" t="n">
        <x:v>4</x:v>
      </x:c>
      <x:c r="F107" s="89" t="n">
        <x:v>46021</x:v>
      </x:c>
      <x:c r="G107" s="89" t="n">
        <x:v>46081</x:v>
      </x:c>
      <x:c r="H107" s="85" t="str">
        <x:v>Ativo</x:v>
      </x:c>
    </x:row>
    <x:row r="108">
      <x:c r="A108" s="83" t="n">
        <x:v>107</x:v>
      </x:c>
      <x:c r="B108" s="84" t="n">
        <x:v>54</x:v>
      </x:c>
      <x:c r="C108" s="84" t="str">
        <x:v>Inspeção geral</x:v>
      </x:c>
      <x:c r="D108" s="84" t="n">
        <x:v>30</x:v>
      </x:c>
      <x:c r="E108" s="84" t="n">
        <x:v>1</x:v>
      </x:c>
      <x:c r="F108" s="89" t="n">
        <x:v>46011</x:v>
      </x:c>
      <x:c r="G108" s="89" t="n">
        <x:v>46041</x:v>
      </x:c>
      <x:c r="H108" s="85" t="str">
        <x:v>Ativo</x:v>
      </x:c>
    </x:row>
    <x:row r="109">
      <x:c r="A109" s="83" t="n">
        <x:v>108</x:v>
      </x:c>
      <x:c r="B109" s="84" t="n">
        <x:v>54</x:v>
      </x:c>
      <x:c r="C109" s="84" t="str">
        <x:v>Lubrificação programada</x:v>
      </x:c>
      <x:c r="D109" s="84" t="n">
        <x:v>60</x:v>
      </x:c>
      <x:c r="E109" s="84" t="n">
        <x:v>1</x:v>
      </x:c>
      <x:c r="F109" s="89" t="n">
        <x:v>45965</x:v>
      </x:c>
      <x:c r="G109" s="89" t="n">
        <x:v>46025</x:v>
      </x:c>
      <x:c r="H109" s="85" t="str">
        <x:v>Ativo</x:v>
      </x:c>
    </x:row>
    <x:row r="110">
      <x:c r="A110" s="83" t="n">
        <x:v>109</x:v>
      </x:c>
      <x:c r="B110" s="84" t="n">
        <x:v>55</x:v>
      </x:c>
      <x:c r="C110" s="84" t="str">
        <x:v>Inspeção geral</x:v>
      </x:c>
      <x:c r="D110" s="84" t="n">
        <x:v>30</x:v>
      </x:c>
      <x:c r="E110" s="84" t="n">
        <x:v>2</x:v>
      </x:c>
      <x:c r="F110" s="89" t="n">
        <x:v>45985</x:v>
      </x:c>
      <x:c r="G110" s="89" t="n">
        <x:v>46015</x:v>
      </x:c>
      <x:c r="H110" s="85" t="str">
        <x:v>Vencido</x:v>
      </x:c>
    </x:row>
    <x:row r="111">
      <x:c r="A111" s="83" t="n">
        <x:v>110</x:v>
      </x:c>
      <x:c r="B111" s="84" t="n">
        <x:v>55</x:v>
      </x:c>
      <x:c r="C111" s="84" t="str">
        <x:v>Lubrificação programada</x:v>
      </x:c>
      <x:c r="D111" s="84" t="n">
        <x:v>60</x:v>
      </x:c>
      <x:c r="E111" s="84" t="n">
        <x:v>2</x:v>
      </x:c>
      <x:c r="F111" s="89" t="n">
        <x:v>45992</x:v>
      </x:c>
      <x:c r="G111" s="89" t="n">
        <x:v>46052</x:v>
      </x:c>
      <x:c r="H111" s="85" t="str">
        <x:v>Ativo</x:v>
      </x:c>
    </x:row>
    <x:row r="112">
      <x:c r="A112" s="83" t="n">
        <x:v>111</x:v>
      </x:c>
      <x:c r="B112" s="84" t="n">
        <x:v>56</x:v>
      </x:c>
      <x:c r="C112" s="84" t="str">
        <x:v>Inspeção geral</x:v>
      </x:c>
      <x:c r="D112" s="84" t="n">
        <x:v>30</x:v>
      </x:c>
      <x:c r="E112" s="84" t="n">
        <x:v>4</x:v>
      </x:c>
      <x:c r="F112" s="89" t="n">
        <x:v>46002</x:v>
      </x:c>
      <x:c r="G112" s="89" t="n">
        <x:v>46032</x:v>
      </x:c>
      <x:c r="H112" s="85" t="str">
        <x:v>Ativo</x:v>
      </x:c>
    </x:row>
    <x:row r="113">
      <x:c r="A113" s="83" t="n">
        <x:v>112</x:v>
      </x:c>
      <x:c r="B113" s="84" t="n">
        <x:v>56</x:v>
      </x:c>
      <x:c r="C113" s="84" t="str">
        <x:v>Lubrificação programada</x:v>
      </x:c>
      <x:c r="D113" s="84" t="n">
        <x:v>60</x:v>
      </x:c>
      <x:c r="E113" s="84" t="n">
        <x:v>3</x:v>
      </x:c>
      <x:c r="F113" s="89" t="n">
        <x:v>45956</x:v>
      </x:c>
      <x:c r="G113" s="89" t="n">
        <x:v>46016</x:v>
      </x:c>
      <x:c r="H113" s="85" t="str">
        <x:v>Vencido</x:v>
      </x:c>
    </x:row>
    <x:row r="114">
      <x:c r="A114" s="83" t="n">
        <x:v>113</x:v>
      </x:c>
      <x:c r="B114" s="84" t="n">
        <x:v>57</x:v>
      </x:c>
      <x:c r="C114" s="84" t="str">
        <x:v>Inspeção geral</x:v>
      </x:c>
      <x:c r="D114" s="84" t="n">
        <x:v>30</x:v>
      </x:c>
      <x:c r="E114" s="84" t="n">
        <x:v>3</x:v>
      </x:c>
      <x:c r="F114" s="89" t="n">
        <x:v>45988</x:v>
      </x:c>
      <x:c r="G114" s="89" t="n">
        <x:v>46018</x:v>
      </x:c>
      <x:c r="H114" s="85" t="str">
        <x:v>Vencido</x:v>
      </x:c>
    </x:row>
    <x:row r="115">
      <x:c r="A115" s="83" t="n">
        <x:v>114</x:v>
      </x:c>
      <x:c r="B115" s="84" t="n">
        <x:v>57</x:v>
      </x:c>
      <x:c r="C115" s="84" t="str">
        <x:v>Lubrificação programada</x:v>
      </x:c>
      <x:c r="D115" s="84" t="n">
        <x:v>60</x:v>
      </x:c>
      <x:c r="E115" s="84" t="n">
        <x:v>2</x:v>
      </x:c>
      <x:c r="F115" s="89" t="n">
        <x:v>45996</x:v>
      </x:c>
      <x:c r="G115" s="89" t="n">
        <x:v>46056</x:v>
      </x:c>
      <x:c r="H115" s="85" t="str">
        <x:v>Ativo</x:v>
      </x:c>
    </x:row>
    <x:row r="116">
      <x:c r="A116" s="83" t="n">
        <x:v>115</x:v>
      </x:c>
      <x:c r="B116" s="84" t="n">
        <x:v>58</x:v>
      </x:c>
      <x:c r="C116" s="84" t="str">
        <x:v>Inspeção geral</x:v>
      </x:c>
      <x:c r="D116" s="84" t="n">
        <x:v>30</x:v>
      </x:c>
      <x:c r="E116" s="84" t="n">
        <x:v>4</x:v>
      </x:c>
      <x:c r="F116" s="89" t="n">
        <x:v>46008</x:v>
      </x:c>
      <x:c r="G116" s="89" t="n">
        <x:v>46038</x:v>
      </x:c>
      <x:c r="H116" s="85" t="str">
        <x:v>Ativo</x:v>
      </x:c>
    </x:row>
    <x:row r="117">
      <x:c r="A117" s="83" t="n">
        <x:v>116</x:v>
      </x:c>
      <x:c r="B117" s="84" t="n">
        <x:v>58</x:v>
      </x:c>
      <x:c r="C117" s="84" t="str">
        <x:v>Lubrificação programada</x:v>
      </x:c>
      <x:c r="D117" s="84" t="n">
        <x:v>60</x:v>
      </x:c>
      <x:c r="E117" s="84" t="n">
        <x:v>3</x:v>
      </x:c>
      <x:c r="F117" s="89" t="n">
        <x:v>46000</x:v>
      </x:c>
      <x:c r="G117" s="89" t="n">
        <x:v>46060</x:v>
      </x:c>
      <x:c r="H117" s="85" t="str">
        <x:v>Ativo</x:v>
      </x:c>
    </x:row>
    <x:row r="118">
      <x:c r="A118" s="83" t="n">
        <x:v>117</x:v>
      </x:c>
      <x:c r="B118" s="84" t="n">
        <x:v>59</x:v>
      </x:c>
      <x:c r="C118" s="84" t="str">
        <x:v>Inspeção geral</x:v>
      </x:c>
      <x:c r="D118" s="84" t="n">
        <x:v>30</x:v>
      </x:c>
      <x:c r="E118" s="84" t="n">
        <x:v>1</x:v>
      </x:c>
      <x:c r="F118" s="89" t="n">
        <x:v>45992</x:v>
      </x:c>
      <x:c r="G118" s="89" t="n">
        <x:v>46022</x:v>
      </x:c>
      <x:c r="H118" s="85" t="str">
        <x:v>Ativo</x:v>
      </x:c>
    </x:row>
    <x:row r="119">
      <x:c r="A119" s="83" t="n">
        <x:v>118</x:v>
      </x:c>
      <x:c r="B119" s="84" t="n">
        <x:v>59</x:v>
      </x:c>
      <x:c r="C119" s="84" t="str">
        <x:v>Lubrificação programada</x:v>
      </x:c>
      <x:c r="D119" s="84" t="n">
        <x:v>60</x:v>
      </x:c>
      <x:c r="E119" s="84" t="n">
        <x:v>2</x:v>
      </x:c>
      <x:c r="F119" s="89" t="n">
        <x:v>45994</x:v>
      </x:c>
      <x:c r="G119" s="89" t="n">
        <x:v>46054</x:v>
      </x:c>
      <x:c r="H119" s="85" t="str">
        <x:v>Ativo</x:v>
      </x:c>
    </x:row>
    <x:row r="120">
      <x:c r="A120" s="83" t="n">
        <x:v>119</x:v>
      </x:c>
      <x:c r="B120" s="84" t="n">
        <x:v>60</x:v>
      </x:c>
      <x:c r="C120" s="84" t="str">
        <x:v>Inspeção geral</x:v>
      </x:c>
      <x:c r="D120" s="84" t="n">
        <x:v>30</x:v>
      </x:c>
      <x:c r="E120" s="84" t="n">
        <x:v>2</x:v>
      </x:c>
      <x:c r="F120" s="89" t="n">
        <x:v>46000</x:v>
      </x:c>
      <x:c r="G120" s="89" t="n">
        <x:v>46030</x:v>
      </x:c>
      <x:c r="H120" s="85" t="str">
        <x:v>Ativo</x:v>
      </x:c>
    </x:row>
    <x:row r="121">
      <x:c r="A121" s="83" t="n">
        <x:v>120</x:v>
      </x:c>
      <x:c r="B121" s="84" t="n">
        <x:v>60</x:v>
      </x:c>
      <x:c r="C121" s="84" t="str">
        <x:v>Lubrificação programada</x:v>
      </x:c>
      <x:c r="D121" s="84" t="n">
        <x:v>60</x:v>
      </x:c>
      <x:c r="E121" s="84" t="n">
        <x:v>2</x:v>
      </x:c>
      <x:c r="F121" s="89" t="n">
        <x:v>45999</x:v>
      </x:c>
      <x:c r="G121" s="89" t="n">
        <x:v>46059</x:v>
      </x:c>
      <x:c r="H121" s="85" t="str">
        <x:v>Ativo</x:v>
      </x:c>
    </x:row>
    <x:row r="122">
      <x:c r="A122" s="83" t="n">
        <x:v>121</x:v>
      </x:c>
      <x:c r="B122" s="84" t="n">
        <x:v>61</x:v>
      </x:c>
      <x:c r="C122" s="84" t="str">
        <x:v>Inspeção geral</x:v>
      </x:c>
      <x:c r="D122" s="84" t="n">
        <x:v>30</x:v>
      </x:c>
      <x:c r="E122" s="84" t="n">
        <x:v>1</x:v>
      </x:c>
      <x:c r="F122" s="89" t="n">
        <x:v>46017</x:v>
      </x:c>
      <x:c r="G122" s="89" t="n">
        <x:v>46047</x:v>
      </x:c>
      <x:c r="H122" s="85" t="str">
        <x:v>Ativo</x:v>
      </x:c>
    </x:row>
    <x:row r="123">
      <x:c r="A123" s="83" t="n">
        <x:v>122</x:v>
      </x:c>
      <x:c r="B123" s="84" t="n">
        <x:v>61</x:v>
      </x:c>
      <x:c r="C123" s="84" t="str">
        <x:v>Lubrificação programada</x:v>
      </x:c>
      <x:c r="D123" s="84" t="n">
        <x:v>60</x:v>
      </x:c>
      <x:c r="E123" s="84" t="n">
        <x:v>1</x:v>
      </x:c>
      <x:c r="F123" s="89" t="n">
        <x:v>46018</x:v>
      </x:c>
      <x:c r="G123" s="89" t="n">
        <x:v>46078</x:v>
      </x:c>
      <x:c r="H123" s="85" t="str">
        <x:v>Ativo</x:v>
      </x:c>
    </x:row>
    <x:row r="124">
      <x:c r="A124" s="83" t="n">
        <x:v>123</x:v>
      </x:c>
      <x:c r="B124" s="84" t="n">
        <x:v>62</x:v>
      </x:c>
      <x:c r="C124" s="84" t="str">
        <x:v>Inspeção geral</x:v>
      </x:c>
      <x:c r="D124" s="84" t="n">
        <x:v>30</x:v>
      </x:c>
      <x:c r="E124" s="84" t="n">
        <x:v>1</x:v>
      </x:c>
      <x:c r="F124" s="89" t="n">
        <x:v>45980</x:v>
      </x:c>
      <x:c r="G124" s="89" t="n">
        <x:v>46010</x:v>
      </x:c>
      <x:c r="H124" s="85" t="str">
        <x:v>Vencido</x:v>
      </x:c>
    </x:row>
    <x:row r="125">
      <x:c r="A125" s="83" t="n">
        <x:v>124</x:v>
      </x:c>
      <x:c r="B125" s="84" t="n">
        <x:v>62</x:v>
      </x:c>
      <x:c r="C125" s="84" t="str">
        <x:v>Lubrificação programada</x:v>
      </x:c>
      <x:c r="D125" s="84" t="n">
        <x:v>60</x:v>
      </x:c>
      <x:c r="E125" s="84" t="n">
        <x:v>2</x:v>
      </x:c>
      <x:c r="F125" s="89" t="n">
        <x:v>45999</x:v>
      </x:c>
      <x:c r="G125" s="89" t="n">
        <x:v>46059</x:v>
      </x:c>
      <x:c r="H125" s="85" t="str">
        <x:v>Ativo</x:v>
      </x:c>
    </x:row>
    <x:row r="126">
      <x:c r="A126" s="83" t="n">
        <x:v>125</x:v>
      </x:c>
      <x:c r="B126" s="84" t="n">
        <x:v>63</x:v>
      </x:c>
      <x:c r="C126" s="84" t="str">
        <x:v>Inspeção geral</x:v>
      </x:c>
      <x:c r="D126" s="84" t="n">
        <x:v>30</x:v>
      </x:c>
      <x:c r="E126" s="84" t="n">
        <x:v>1</x:v>
      </x:c>
      <x:c r="F126" s="89" t="n">
        <x:v>46011</x:v>
      </x:c>
      <x:c r="G126" s="89" t="n">
        <x:v>46041</x:v>
      </x:c>
      <x:c r="H126" s="85" t="str">
        <x:v>Ativo</x:v>
      </x:c>
    </x:row>
    <x:row r="127">
      <x:c r="A127" s="83" t="n">
        <x:v>126</x:v>
      </x:c>
      <x:c r="B127" s="84" t="n">
        <x:v>63</x:v>
      </x:c>
      <x:c r="C127" s="84" t="str">
        <x:v>Lubrificação programada</x:v>
      </x:c>
      <x:c r="D127" s="84" t="n">
        <x:v>60</x:v>
      </x:c>
      <x:c r="E127" s="84" t="n">
        <x:v>3</x:v>
      </x:c>
      <x:c r="F127" s="89" t="n">
        <x:v>45977</x:v>
      </x:c>
      <x:c r="G127" s="89" t="n">
        <x:v>46037</x:v>
      </x:c>
      <x:c r="H127" s="85" t="str">
        <x:v>Ativo</x:v>
      </x:c>
    </x:row>
    <x:row r="128">
      <x:c r="A128" s="83" t="n">
        <x:v>127</x:v>
      </x:c>
      <x:c r="B128" s="84" t="n">
        <x:v>64</x:v>
      </x:c>
      <x:c r="C128" s="84" t="str">
        <x:v>Inspeção geral</x:v>
      </x:c>
      <x:c r="D128" s="84" t="n">
        <x:v>30</x:v>
      </x:c>
      <x:c r="E128" s="84" t="n">
        <x:v>2</x:v>
      </x:c>
      <x:c r="F128" s="89" t="n">
        <x:v>46010</x:v>
      </x:c>
      <x:c r="G128" s="89" t="n">
        <x:v>46040</x:v>
      </x:c>
      <x:c r="H128" s="85" t="str">
        <x:v>Ativo</x:v>
      </x:c>
    </x:row>
    <x:row r="129">
      <x:c r="A129" s="83" t="n">
        <x:v>128</x:v>
      </x:c>
      <x:c r="B129" s="84" t="n">
        <x:v>64</x:v>
      </x:c>
      <x:c r="C129" s="84" t="str">
        <x:v>Lubrificação programada</x:v>
      </x:c>
      <x:c r="D129" s="84" t="n">
        <x:v>60</x:v>
      </x:c>
      <x:c r="E129" s="84" t="n">
        <x:v>4</x:v>
      </x:c>
      <x:c r="F129" s="89" t="n">
        <x:v>45971</x:v>
      </x:c>
      <x:c r="G129" s="89" t="n">
        <x:v>46031</x:v>
      </x:c>
      <x:c r="H129" s="85" t="str">
        <x:v>Ativo</x:v>
      </x:c>
    </x:row>
    <x:row r="130">
      <x:c r="A130" s="83" t="n">
        <x:v>129</x:v>
      </x:c>
      <x:c r="B130" s="84" t="n">
        <x:v>65</x:v>
      </x:c>
      <x:c r="C130" s="84" t="str">
        <x:v>Inspeção geral</x:v>
      </x:c>
      <x:c r="D130" s="84" t="n">
        <x:v>30</x:v>
      </x:c>
      <x:c r="E130" s="84" t="n">
        <x:v>2</x:v>
      </x:c>
      <x:c r="F130" s="89" t="n">
        <x:v>46008</x:v>
      </x:c>
      <x:c r="G130" s="89" t="n">
        <x:v>46038</x:v>
      </x:c>
      <x:c r="H130" s="85" t="str">
        <x:v>Ativo</x:v>
      </x:c>
    </x:row>
    <x:row r="131">
      <x:c r="A131" s="83" t="n">
        <x:v>130</x:v>
      </x:c>
      <x:c r="B131" s="84" t="n">
        <x:v>65</x:v>
      </x:c>
      <x:c r="C131" s="84" t="str">
        <x:v>Lubrificação programada</x:v>
      </x:c>
      <x:c r="D131" s="84" t="n">
        <x:v>60</x:v>
      </x:c>
      <x:c r="E131" s="84" t="n">
        <x:v>1</x:v>
      </x:c>
      <x:c r="F131" s="89" t="n">
        <x:v>46013</x:v>
      </x:c>
      <x:c r="G131" s="89" t="n">
        <x:v>46073</x:v>
      </x:c>
      <x:c r="H131" s="85" t="str">
        <x:v>Ativo</x:v>
      </x:c>
    </x:row>
    <x:row r="132">
      <x:c r="A132" s="83" t="n">
        <x:v>131</x:v>
      </x:c>
      <x:c r="B132" s="84" t="n">
        <x:v>66</x:v>
      </x:c>
      <x:c r="C132" s="84" t="str">
        <x:v>Inspeção geral</x:v>
      </x:c>
      <x:c r="D132" s="84" t="n">
        <x:v>30</x:v>
      </x:c>
      <x:c r="E132" s="84" t="n">
        <x:v>1</x:v>
      </x:c>
      <x:c r="F132" s="89" t="n">
        <x:v>46007</x:v>
      </x:c>
      <x:c r="G132" s="89" t="n">
        <x:v>46037</x:v>
      </x:c>
      <x:c r="H132" s="85" t="str">
        <x:v>Ativo</x:v>
      </x:c>
    </x:row>
    <x:row r="133">
      <x:c r="A133" s="83" t="n">
        <x:v>132</x:v>
      </x:c>
      <x:c r="B133" s="84" t="n">
        <x:v>66</x:v>
      </x:c>
      <x:c r="C133" s="84" t="str">
        <x:v>Lubrificação programada</x:v>
      </x:c>
      <x:c r="D133" s="84" t="n">
        <x:v>60</x:v>
      </x:c>
      <x:c r="E133" s="84" t="n">
        <x:v>1</x:v>
      </x:c>
      <x:c r="F133" s="89" t="n">
        <x:v>45963</x:v>
      </x:c>
      <x:c r="G133" s="89" t="n">
        <x:v>46023</x:v>
      </x:c>
      <x:c r="H133" s="85" t="str">
        <x:v>Ativo</x:v>
      </x:c>
    </x:row>
    <x:row r="134">
      <x:c r="A134" s="83" t="n">
        <x:v>133</x:v>
      </x:c>
      <x:c r="B134" s="84" t="n">
        <x:v>67</x:v>
      </x:c>
      <x:c r="C134" s="84" t="str">
        <x:v>Inspeção geral</x:v>
      </x:c>
      <x:c r="D134" s="84" t="n">
        <x:v>30</x:v>
      </x:c>
      <x:c r="E134" s="84" t="n">
        <x:v>2</x:v>
      </x:c>
      <x:c r="F134" s="89" t="n">
        <x:v>45997</x:v>
      </x:c>
      <x:c r="G134" s="89" t="n">
        <x:v>46027</x:v>
      </x:c>
      <x:c r="H134" s="85" t="str">
        <x:v>Ativo</x:v>
      </x:c>
    </x:row>
    <x:row r="135">
      <x:c r="A135" s="83" t="n">
        <x:v>134</x:v>
      </x:c>
      <x:c r="B135" s="84" t="n">
        <x:v>67</x:v>
      </x:c>
      <x:c r="C135" s="84" t="str">
        <x:v>Lubrificação programada</x:v>
      </x:c>
      <x:c r="D135" s="84" t="n">
        <x:v>60</x:v>
      </x:c>
      <x:c r="E135" s="84" t="n">
        <x:v>3</x:v>
      </x:c>
      <x:c r="F135" s="89" t="n">
        <x:v>45991</x:v>
      </x:c>
      <x:c r="G135" s="89" t="n">
        <x:v>46051</x:v>
      </x:c>
      <x:c r="H135" s="85" t="str">
        <x:v>Ativo</x:v>
      </x:c>
    </x:row>
    <x:row r="136">
      <x:c r="A136" s="83" t="n">
        <x:v>135</x:v>
      </x:c>
      <x:c r="B136" s="84" t="n">
        <x:v>68</x:v>
      </x:c>
      <x:c r="C136" s="84" t="str">
        <x:v>Inspeção geral</x:v>
      </x:c>
      <x:c r="D136" s="84" t="n">
        <x:v>30</x:v>
      </x:c>
      <x:c r="E136" s="84" t="n">
        <x:v>3</x:v>
      </x:c>
      <x:c r="F136" s="89" t="n">
        <x:v>46011</x:v>
      </x:c>
      <x:c r="G136" s="89" t="n">
        <x:v>46041</x:v>
      </x:c>
      <x:c r="H136" s="85" t="str">
        <x:v>Ativo</x:v>
      </x:c>
    </x:row>
    <x:row r="137">
      <x:c r="A137" s="83" t="n">
        <x:v>136</x:v>
      </x:c>
      <x:c r="B137" s="84" t="n">
        <x:v>68</x:v>
      </x:c>
      <x:c r="C137" s="84" t="str">
        <x:v>Lubrificação programada</x:v>
      </x:c>
      <x:c r="D137" s="84" t="n">
        <x:v>60</x:v>
      </x:c>
      <x:c r="E137" s="84" t="n">
        <x:v>4</x:v>
      </x:c>
      <x:c r="F137" s="89" t="n">
        <x:v>45970</x:v>
      </x:c>
      <x:c r="G137" s="89" t="n">
        <x:v>46030</x:v>
      </x:c>
      <x:c r="H137" s="85" t="str">
        <x:v>Ativo</x:v>
      </x:c>
    </x:row>
    <x:row r="138">
      <x:c r="A138" s="83" t="n">
        <x:v>137</x:v>
      </x:c>
      <x:c r="B138" s="84" t="n">
        <x:v>69</x:v>
      </x:c>
      <x:c r="C138" s="84" t="str">
        <x:v>Inspeção geral</x:v>
      </x:c>
      <x:c r="D138" s="84" t="n">
        <x:v>30</x:v>
      </x:c>
      <x:c r="E138" s="84" t="n">
        <x:v>2</x:v>
      </x:c>
      <x:c r="F138" s="89" t="n">
        <x:v>45995</x:v>
      </x:c>
      <x:c r="G138" s="89" t="n">
        <x:v>46025</x:v>
      </x:c>
      <x:c r="H138" s="85" t="str">
        <x:v>Ativo</x:v>
      </x:c>
    </x:row>
    <x:row r="139">
      <x:c r="A139" s="83" t="n">
        <x:v>138</x:v>
      </x:c>
      <x:c r="B139" s="84" t="n">
        <x:v>69</x:v>
      </x:c>
      <x:c r="C139" s="84" t="str">
        <x:v>Lubrificação programada</x:v>
      </x:c>
      <x:c r="D139" s="84" t="n">
        <x:v>60</x:v>
      </x:c>
      <x:c r="E139" s="84" t="n">
        <x:v>1</x:v>
      </x:c>
      <x:c r="F139" s="89" t="n">
        <x:v>46014</x:v>
      </x:c>
      <x:c r="G139" s="89" t="n">
        <x:v>46074</x:v>
      </x:c>
      <x:c r="H139" s="85" t="str">
        <x:v>Ativo</x:v>
      </x:c>
    </x:row>
    <x:row r="140">
      <x:c r="A140" s="83" t="n">
        <x:v>139</x:v>
      </x:c>
      <x:c r="B140" s="84" t="n">
        <x:v>70</x:v>
      </x:c>
      <x:c r="C140" s="84" t="str">
        <x:v>Inspeção geral</x:v>
      </x:c>
      <x:c r="D140" s="84" t="n">
        <x:v>30</x:v>
      </x:c>
      <x:c r="E140" s="84" t="n">
        <x:v>4</x:v>
      </x:c>
      <x:c r="F140" s="89" t="n">
        <x:v>46004</x:v>
      </x:c>
      <x:c r="G140" s="89" t="n">
        <x:v>46034</x:v>
      </x:c>
      <x:c r="H140" s="85" t="str">
        <x:v>Ativo</x:v>
      </x:c>
    </x:row>
    <x:row r="141">
      <x:c r="A141" s="83" t="n">
        <x:v>140</x:v>
      </x:c>
      <x:c r="B141" s="84" t="n">
        <x:v>70</x:v>
      </x:c>
      <x:c r="C141" s="84" t="str">
        <x:v>Lubrificação programada</x:v>
      </x:c>
      <x:c r="D141" s="84" t="n">
        <x:v>60</x:v>
      </x:c>
      <x:c r="E141" s="84" t="n">
        <x:v>2</x:v>
      </x:c>
      <x:c r="F141" s="89" t="n">
        <x:v>45954</x:v>
      </x:c>
      <x:c r="G141" s="89" t="n">
        <x:v>46014</x:v>
      </x:c>
      <x:c r="H141" s="85" t="str">
        <x:v>Vencido</x:v>
      </x:c>
    </x:row>
    <x:row r="142">
      <x:c r="A142" s="83" t="n">
        <x:v>141</x:v>
      </x:c>
      <x:c r="B142" s="84" t="n">
        <x:v>71</x:v>
      </x:c>
      <x:c r="C142" s="84" t="str">
        <x:v>Inspeção geral</x:v>
      </x:c>
      <x:c r="D142" s="84" t="n">
        <x:v>30</x:v>
      </x:c>
      <x:c r="E142" s="84" t="n">
        <x:v>1</x:v>
      </x:c>
      <x:c r="F142" s="89" t="n">
        <x:v>46005</x:v>
      </x:c>
      <x:c r="G142" s="89" t="n">
        <x:v>46035</x:v>
      </x:c>
      <x:c r="H142" s="85" t="str">
        <x:v>Ativo</x:v>
      </x:c>
    </x:row>
    <x:row r="143">
      <x:c r="A143" s="83" t="n">
        <x:v>142</x:v>
      </x:c>
      <x:c r="B143" s="84" t="n">
        <x:v>71</x:v>
      </x:c>
      <x:c r="C143" s="84" t="str">
        <x:v>Lubrificação programada</x:v>
      </x:c>
      <x:c r="D143" s="84" t="n">
        <x:v>60</x:v>
      </x:c>
      <x:c r="E143" s="84" t="n">
        <x:v>4</x:v>
      </x:c>
      <x:c r="F143" s="89" t="n">
        <x:v>45972</x:v>
      </x:c>
      <x:c r="G143" s="89" t="n">
        <x:v>46032</x:v>
      </x:c>
      <x:c r="H143" s="85" t="str">
        <x:v>Ativo</x:v>
      </x:c>
    </x:row>
    <x:row r="144">
      <x:c r="A144" s="83" t="n">
        <x:v>143</x:v>
      </x:c>
      <x:c r="B144" s="84" t="n">
        <x:v>72</x:v>
      </x:c>
      <x:c r="C144" s="84" t="str">
        <x:v>Inspeção geral</x:v>
      </x:c>
      <x:c r="D144" s="84" t="n">
        <x:v>30</x:v>
      </x:c>
      <x:c r="E144" s="84" t="n">
        <x:v>1</x:v>
      </x:c>
      <x:c r="F144" s="89" t="n">
        <x:v>46020</x:v>
      </x:c>
      <x:c r="G144" s="89" t="n">
        <x:v>46050</x:v>
      </x:c>
      <x:c r="H144" s="85" t="str">
        <x:v>Ativo</x:v>
      </x:c>
    </x:row>
    <x:row r="145">
      <x:c r="A145" s="83" t="n">
        <x:v>144</x:v>
      </x:c>
      <x:c r="B145" s="84" t="n">
        <x:v>72</x:v>
      </x:c>
      <x:c r="C145" s="84" t="str">
        <x:v>Lubrificação programada</x:v>
      </x:c>
      <x:c r="D145" s="84" t="n">
        <x:v>60</x:v>
      </x:c>
      <x:c r="E145" s="84" t="n">
        <x:v>1</x:v>
      </x:c>
      <x:c r="F145" s="89" t="n">
        <x:v>45958</x:v>
      </x:c>
      <x:c r="G145" s="89" t="n">
        <x:v>46018</x:v>
      </x:c>
      <x:c r="H145" s="85" t="str">
        <x:v>Vencido</x:v>
      </x:c>
    </x:row>
    <x:row r="146">
      <x:c r="A146" s="83" t="n">
        <x:v>145</x:v>
      </x:c>
      <x:c r="B146" s="84" t="n">
        <x:v>73</x:v>
      </x:c>
      <x:c r="C146" s="84" t="str">
        <x:v>Inspeção geral</x:v>
      </x:c>
      <x:c r="D146" s="84" t="n">
        <x:v>30</x:v>
      </x:c>
      <x:c r="E146" s="84" t="n">
        <x:v>1</x:v>
      </x:c>
      <x:c r="F146" s="89" t="n">
        <x:v>45979</x:v>
      </x:c>
      <x:c r="G146" s="89" t="n">
        <x:v>46009</x:v>
      </x:c>
      <x:c r="H146" s="85" t="str">
        <x:v>Vencido</x:v>
      </x:c>
    </x:row>
    <x:row r="147">
      <x:c r="A147" s="83" t="n">
        <x:v>146</x:v>
      </x:c>
      <x:c r="B147" s="84" t="n">
        <x:v>73</x:v>
      </x:c>
      <x:c r="C147" s="84" t="str">
        <x:v>Lubrificação programada</x:v>
      </x:c>
      <x:c r="D147" s="84" t="n">
        <x:v>60</x:v>
      </x:c>
      <x:c r="E147" s="84" t="n">
        <x:v>3</x:v>
      </x:c>
      <x:c r="F147" s="89" t="n">
        <x:v>45998</x:v>
      </x:c>
      <x:c r="G147" s="89" t="n">
        <x:v>46058</x:v>
      </x:c>
      <x:c r="H147" s="85" t="str">
        <x:v>Ativo</x:v>
      </x:c>
    </x:row>
    <x:row r="148">
      <x:c r="A148" s="83" t="n">
        <x:v>147</x:v>
      </x:c>
      <x:c r="B148" s="84" t="n">
        <x:v>74</x:v>
      </x:c>
      <x:c r="C148" s="84" t="str">
        <x:v>Inspeção geral</x:v>
      </x:c>
      <x:c r="D148" s="84" t="n">
        <x:v>30</x:v>
      </x:c>
      <x:c r="E148" s="84" t="n">
        <x:v>2</x:v>
      </x:c>
      <x:c r="F148" s="89" t="n">
        <x:v>46018</x:v>
      </x:c>
      <x:c r="G148" s="89" t="n">
        <x:v>46048</x:v>
      </x:c>
      <x:c r="H148" s="85" t="str">
        <x:v>Ativo</x:v>
      </x:c>
    </x:row>
    <x:row r="149">
      <x:c r="A149" s="83" t="n">
        <x:v>148</x:v>
      </x:c>
      <x:c r="B149" s="84" t="n">
        <x:v>74</x:v>
      </x:c>
      <x:c r="C149" s="84" t="str">
        <x:v>Lubrificação programada</x:v>
      </x:c>
      <x:c r="D149" s="84" t="n">
        <x:v>60</x:v>
      </x:c>
      <x:c r="E149" s="84" t="n">
        <x:v>1</x:v>
      </x:c>
      <x:c r="F149" s="89" t="n">
        <x:v>45957</x:v>
      </x:c>
      <x:c r="G149" s="89" t="n">
        <x:v>46017</x:v>
      </x:c>
      <x:c r="H149" s="85" t="str">
        <x:v>Vencido</x:v>
      </x:c>
    </x:row>
    <x:row r="150">
      <x:c r="A150" s="83" t="n">
        <x:v>149</x:v>
      </x:c>
      <x:c r="B150" s="84" t="n">
        <x:v>75</x:v>
      </x:c>
      <x:c r="C150" s="84" t="str">
        <x:v>Inspeção geral</x:v>
      </x:c>
      <x:c r="D150" s="84" t="n">
        <x:v>30</x:v>
      </x:c>
      <x:c r="E150" s="84" t="n">
        <x:v>2</x:v>
      </x:c>
      <x:c r="F150" s="89" t="n">
        <x:v>46013</x:v>
      </x:c>
      <x:c r="G150" s="89" t="n">
        <x:v>46043</x:v>
      </x:c>
      <x:c r="H150" s="85" t="str">
        <x:v>Ativo</x:v>
      </x:c>
    </x:row>
    <x:row r="151">
      <x:c r="A151" s="83" t="n">
        <x:v>150</x:v>
      </x:c>
      <x:c r="B151" s="84" t="n">
        <x:v>75</x:v>
      </x:c>
      <x:c r="C151" s="84" t="str">
        <x:v>Lubrificação programada</x:v>
      </x:c>
      <x:c r="D151" s="84" t="n">
        <x:v>60</x:v>
      </x:c>
      <x:c r="E151" s="84" t="n">
        <x:v>1</x:v>
      </x:c>
      <x:c r="F151" s="89" t="n">
        <x:v>46007</x:v>
      </x:c>
      <x:c r="G151" s="89" t="n">
        <x:v>46067</x:v>
      </x:c>
      <x:c r="H151" s="85" t="str">
        <x:v>Ativo</x:v>
      </x:c>
    </x:row>
    <x:row r="152">
      <x:c r="A152" s="83" t="n">
        <x:v>151</x:v>
      </x:c>
      <x:c r="B152" s="84" t="n">
        <x:v>76</x:v>
      </x:c>
      <x:c r="C152" s="84" t="str">
        <x:v>Inspeção geral</x:v>
      </x:c>
      <x:c r="D152" s="84" t="n">
        <x:v>30</x:v>
      </x:c>
      <x:c r="E152" s="84" t="n">
        <x:v>3</x:v>
      </x:c>
      <x:c r="F152" s="89" t="n">
        <x:v>45980</x:v>
      </x:c>
      <x:c r="G152" s="89" t="n">
        <x:v>46010</x:v>
      </x:c>
      <x:c r="H152" s="85" t="str">
        <x:v>Vencido</x:v>
      </x:c>
    </x:row>
    <x:row r="153">
      <x:c r="A153" s="83" t="n">
        <x:v>152</x:v>
      </x:c>
      <x:c r="B153" s="84" t="n">
        <x:v>76</x:v>
      </x:c>
      <x:c r="C153" s="84" t="str">
        <x:v>Lubrificação programada</x:v>
      </x:c>
      <x:c r="D153" s="84" t="n">
        <x:v>60</x:v>
      </x:c>
      <x:c r="E153" s="84" t="n">
        <x:v>4</x:v>
      </x:c>
      <x:c r="F153" s="89" t="n">
        <x:v>45949</x:v>
      </x:c>
      <x:c r="G153" s="89" t="n">
        <x:v>46009</x:v>
      </x:c>
      <x:c r="H153" s="85" t="str">
        <x:v>Vencido</x:v>
      </x:c>
    </x:row>
    <x:row r="154">
      <x:c r="A154" s="83" t="n">
        <x:v>153</x:v>
      </x:c>
      <x:c r="B154" s="84" t="n">
        <x:v>77</x:v>
      </x:c>
      <x:c r="C154" s="84" t="str">
        <x:v>Inspeção geral</x:v>
      </x:c>
      <x:c r="D154" s="84" t="n">
        <x:v>30</x:v>
      </x:c>
      <x:c r="E154" s="84" t="n">
        <x:v>1</x:v>
      </x:c>
      <x:c r="F154" s="89" t="n">
        <x:v>45987</x:v>
      </x:c>
      <x:c r="G154" s="89" t="n">
        <x:v>46017</x:v>
      </x:c>
      <x:c r="H154" s="85" t="str">
        <x:v>Vencido</x:v>
      </x:c>
    </x:row>
    <x:row r="155">
      <x:c r="A155" s="83" t="n">
        <x:v>154</x:v>
      </x:c>
      <x:c r="B155" s="84" t="n">
        <x:v>77</x:v>
      </x:c>
      <x:c r="C155" s="84" t="str">
        <x:v>Lubrificação programada</x:v>
      </x:c>
      <x:c r="D155" s="84" t="n">
        <x:v>60</x:v>
      </x:c>
      <x:c r="E155" s="84" t="n">
        <x:v>2</x:v>
      </x:c>
      <x:c r="F155" s="89" t="n">
        <x:v>45988</x:v>
      </x:c>
      <x:c r="G155" s="89" t="n">
        <x:v>46048</x:v>
      </x:c>
      <x:c r="H155" s="85" t="str">
        <x:v>Ativo</x:v>
      </x:c>
    </x:row>
    <x:row r="156">
      <x:c r="A156" s="83" t="n">
        <x:v>155</x:v>
      </x:c>
      <x:c r="B156" s="84" t="n">
        <x:v>78</x:v>
      </x:c>
      <x:c r="C156" s="84" t="str">
        <x:v>Inspeção geral</x:v>
      </x:c>
      <x:c r="D156" s="84" t="n">
        <x:v>30</x:v>
      </x:c>
      <x:c r="E156" s="84" t="n">
        <x:v>2</x:v>
      </x:c>
      <x:c r="F156" s="89" t="n">
        <x:v>45990</x:v>
      </x:c>
      <x:c r="G156" s="89" t="n">
        <x:v>46020</x:v>
      </x:c>
      <x:c r="H156" s="85" t="str">
        <x:v>Vencido</x:v>
      </x:c>
    </x:row>
    <x:row r="157">
      <x:c r="A157" s="83" t="n">
        <x:v>156</x:v>
      </x:c>
      <x:c r="B157" s="84" t="n">
        <x:v>78</x:v>
      </x:c>
      <x:c r="C157" s="84" t="str">
        <x:v>Lubrificação programada</x:v>
      </x:c>
      <x:c r="D157" s="84" t="n">
        <x:v>60</x:v>
      </x:c>
      <x:c r="E157" s="84" t="n">
        <x:v>4</x:v>
      </x:c>
      <x:c r="F157" s="89" t="n">
        <x:v>45994</x:v>
      </x:c>
      <x:c r="G157" s="89" t="n">
        <x:v>46054</x:v>
      </x:c>
      <x:c r="H157" s="85" t="str">
        <x:v>Ativo</x:v>
      </x:c>
    </x:row>
    <x:row r="158">
      <x:c r="A158" s="83" t="n">
        <x:v>157</x:v>
      </x:c>
      <x:c r="B158" s="84" t="n">
        <x:v>79</x:v>
      </x:c>
      <x:c r="C158" s="84" t="str">
        <x:v>Inspeção geral</x:v>
      </x:c>
      <x:c r="D158" s="84" t="n">
        <x:v>30</x:v>
      </x:c>
      <x:c r="E158" s="84" t="n">
        <x:v>4</x:v>
      </x:c>
      <x:c r="F158" s="89" t="n">
        <x:v>46006</x:v>
      </x:c>
      <x:c r="G158" s="89" t="n">
        <x:v>46036</x:v>
      </x:c>
      <x:c r="H158" s="85" t="str">
        <x:v>Ativo</x:v>
      </x:c>
    </x:row>
    <x:row r="159">
      <x:c r="A159" s="83" t="n">
        <x:v>158</x:v>
      </x:c>
      <x:c r="B159" s="84" t="n">
        <x:v>79</x:v>
      </x:c>
      <x:c r="C159" s="84" t="str">
        <x:v>Lubrificação programada</x:v>
      </x:c>
      <x:c r="D159" s="84" t="n">
        <x:v>60</x:v>
      </x:c>
      <x:c r="E159" s="84" t="n">
        <x:v>2</x:v>
      </x:c>
      <x:c r="F159" s="89" t="n">
        <x:v>45951</x:v>
      </x:c>
      <x:c r="G159" s="89" t="n">
        <x:v>46011</x:v>
      </x:c>
      <x:c r="H159" s="85" t="str">
        <x:v>Vencido</x:v>
      </x:c>
    </x:row>
    <x:row r="160">
      <x:c r="A160" s="83" t="n">
        <x:v>159</x:v>
      </x:c>
      <x:c r="B160" s="84" t="n">
        <x:v>80</x:v>
      </x:c>
      <x:c r="C160" s="84" t="str">
        <x:v>Inspeção geral</x:v>
      </x:c>
      <x:c r="D160" s="84" t="n">
        <x:v>30</x:v>
      </x:c>
      <x:c r="E160" s="84" t="n">
        <x:v>2</x:v>
      </x:c>
      <x:c r="F160" s="89" t="n">
        <x:v>46002</x:v>
      </x:c>
      <x:c r="G160" s="89" t="n">
        <x:v>46032</x:v>
      </x:c>
      <x:c r="H160" s="85" t="str">
        <x:v>Ativo</x:v>
      </x:c>
    </x:row>
    <x:row r="161">
      <x:c r="A161" s="83" t="n">
        <x:v>160</x:v>
      </x:c>
      <x:c r="B161" s="84" t="n">
        <x:v>80</x:v>
      </x:c>
      <x:c r="C161" s="84" t="str">
        <x:v>Lubrificação programada</x:v>
      </x:c>
      <x:c r="D161" s="84" t="n">
        <x:v>60</x:v>
      </x:c>
      <x:c r="E161" s="84" t="n">
        <x:v>3</x:v>
      </x:c>
      <x:c r="F161" s="89" t="n">
        <x:v>45977</x:v>
      </x:c>
      <x:c r="G161" s="89" t="n">
        <x:v>46037</x:v>
      </x:c>
      <x:c r="H161" s="85" t="str">
        <x:v>Ativo</x:v>
      </x:c>
    </x:row>
    <x:row r="162">
      <x:c r="A162" s="83" t="n">
        <x:v>161</x:v>
      </x:c>
      <x:c r="B162" s="84" t="n">
        <x:v>81</x:v>
      </x:c>
      <x:c r="C162" s="84" t="str">
        <x:v>Inspeção geral</x:v>
      </x:c>
      <x:c r="D162" s="84" t="n">
        <x:v>30</x:v>
      </x:c>
      <x:c r="E162" s="84" t="n">
        <x:v>3</x:v>
      </x:c>
      <x:c r="F162" s="89" t="n">
        <x:v>46012</x:v>
      </x:c>
      <x:c r="G162" s="89" t="n">
        <x:v>46042</x:v>
      </x:c>
      <x:c r="H162" s="85" t="str">
        <x:v>Ativo</x:v>
      </x:c>
    </x:row>
    <x:row r="163">
      <x:c r="A163" s="83" t="n">
        <x:v>162</x:v>
      </x:c>
      <x:c r="B163" s="84" t="n">
        <x:v>81</x:v>
      </x:c>
      <x:c r="C163" s="84" t="str">
        <x:v>Lubrificação programada</x:v>
      </x:c>
      <x:c r="D163" s="84" t="n">
        <x:v>60</x:v>
      </x:c>
      <x:c r="E163" s="84" t="n">
        <x:v>1</x:v>
      </x:c>
      <x:c r="F163" s="89" t="n">
        <x:v>45980</x:v>
      </x:c>
      <x:c r="G163" s="89" t="n">
        <x:v>46040</x:v>
      </x:c>
      <x:c r="H163" s="85" t="str">
        <x:v>Ativo</x:v>
      </x:c>
    </x:row>
    <x:row r="164">
      <x:c r="A164" s="83" t="n">
        <x:v>163</x:v>
      </x:c>
      <x:c r="B164" s="84" t="n">
        <x:v>82</x:v>
      </x:c>
      <x:c r="C164" s="84" t="str">
        <x:v>Inspeção geral</x:v>
      </x:c>
      <x:c r="D164" s="84" t="n">
        <x:v>30</x:v>
      </x:c>
      <x:c r="E164" s="84" t="n">
        <x:v>2</x:v>
      </x:c>
      <x:c r="F164" s="89" t="n">
        <x:v>46021</x:v>
      </x:c>
      <x:c r="G164" s="89" t="n">
        <x:v>46051</x:v>
      </x:c>
      <x:c r="H164" s="85" t="str">
        <x:v>Ativo</x:v>
      </x:c>
    </x:row>
    <x:row r="165">
      <x:c r="A165" s="83" t="n">
        <x:v>164</x:v>
      </x:c>
      <x:c r="B165" s="84" t="n">
        <x:v>82</x:v>
      </x:c>
      <x:c r="C165" s="84" t="str">
        <x:v>Lubrificação programada</x:v>
      </x:c>
      <x:c r="D165" s="84" t="n">
        <x:v>60</x:v>
      </x:c>
      <x:c r="E165" s="84" t="n">
        <x:v>3</x:v>
      </x:c>
      <x:c r="F165" s="89" t="n">
        <x:v>45972</x:v>
      </x:c>
      <x:c r="G165" s="89" t="n">
        <x:v>46032</x:v>
      </x:c>
      <x:c r="H165" s="85" t="str">
        <x:v>Ativo</x:v>
      </x:c>
    </x:row>
    <x:row r="166">
      <x:c r="A166" s="83" t="n">
        <x:v>165</x:v>
      </x:c>
      <x:c r="B166" s="84" t="n">
        <x:v>83</x:v>
      </x:c>
      <x:c r="C166" s="84" t="str">
        <x:v>Inspeção geral</x:v>
      </x:c>
      <x:c r="D166" s="84" t="n">
        <x:v>30</x:v>
      </x:c>
      <x:c r="E166" s="84" t="n">
        <x:v>3</x:v>
      </x:c>
      <x:c r="F166" s="89" t="n">
        <x:v>45996</x:v>
      </x:c>
      <x:c r="G166" s="89" t="n">
        <x:v>46026</x:v>
      </x:c>
      <x:c r="H166" s="85" t="str">
        <x:v>Ativo</x:v>
      </x:c>
    </x:row>
    <x:row r="167">
      <x:c r="A167" s="83" t="n">
        <x:v>166</x:v>
      </x:c>
      <x:c r="B167" s="84" t="n">
        <x:v>83</x:v>
      </x:c>
      <x:c r="C167" s="84" t="str">
        <x:v>Lubrificação programada</x:v>
      </x:c>
      <x:c r="D167" s="84" t="n">
        <x:v>60</x:v>
      </x:c>
      <x:c r="E167" s="84" t="n">
        <x:v>3</x:v>
      </x:c>
      <x:c r="F167" s="89" t="n">
        <x:v>45963</x:v>
      </x:c>
      <x:c r="G167" s="89" t="n">
        <x:v>46023</x:v>
      </x:c>
      <x:c r="H167" s="85" t="str">
        <x:v>Ativo</x:v>
      </x:c>
    </x:row>
    <x:row r="168">
      <x:c r="A168" s="83" t="n">
        <x:v>167</x:v>
      </x:c>
      <x:c r="B168" s="84" t="n">
        <x:v>84</x:v>
      </x:c>
      <x:c r="C168" s="84" t="str">
        <x:v>Inspeção geral</x:v>
      </x:c>
      <x:c r="D168" s="84" t="n">
        <x:v>30</x:v>
      </x:c>
      <x:c r="E168" s="84" t="n">
        <x:v>3</x:v>
      </x:c>
      <x:c r="F168" s="89" t="n">
        <x:v>45989</x:v>
      </x:c>
      <x:c r="G168" s="89" t="n">
        <x:v>46019</x:v>
      </x:c>
      <x:c r="H168" s="85" t="str">
        <x:v>Vencido</x:v>
      </x:c>
    </x:row>
    <x:row r="169">
      <x:c r="A169" s="83" t="n">
        <x:v>168</x:v>
      </x:c>
      <x:c r="B169" s="84" t="n">
        <x:v>84</x:v>
      </x:c>
      <x:c r="C169" s="84" t="str">
        <x:v>Lubrificação programada</x:v>
      </x:c>
      <x:c r="D169" s="84" t="n">
        <x:v>60</x:v>
      </x:c>
      <x:c r="E169" s="84" t="n">
        <x:v>1</x:v>
      </x:c>
      <x:c r="F169" s="89" t="n">
        <x:v>45972</x:v>
      </x:c>
      <x:c r="G169" s="89" t="n">
        <x:v>46032</x:v>
      </x:c>
      <x:c r="H169" s="85" t="str">
        <x:v>Ativo</x:v>
      </x:c>
    </x:row>
    <x:row r="170">
      <x:c r="A170" s="83" t="n">
        <x:v>169</x:v>
      </x:c>
      <x:c r="B170" s="84" t="n">
        <x:v>85</x:v>
      </x:c>
      <x:c r="C170" s="84" t="str">
        <x:v>Inspeção geral</x:v>
      </x:c>
      <x:c r="D170" s="84" t="n">
        <x:v>30</x:v>
      </x:c>
      <x:c r="E170" s="84" t="n">
        <x:v>4</x:v>
      </x:c>
      <x:c r="F170" s="89" t="n">
        <x:v>45985</x:v>
      </x:c>
      <x:c r="G170" s="89" t="n">
        <x:v>46015</x:v>
      </x:c>
      <x:c r="H170" s="85" t="str">
        <x:v>Vencido</x:v>
      </x:c>
    </x:row>
    <x:row r="171">
      <x:c r="A171" s="83" t="n">
        <x:v>170</x:v>
      </x:c>
      <x:c r="B171" s="84" t="n">
        <x:v>85</x:v>
      </x:c>
      <x:c r="C171" s="84" t="str">
        <x:v>Lubrificação programada</x:v>
      </x:c>
      <x:c r="D171" s="84" t="n">
        <x:v>60</x:v>
      </x:c>
      <x:c r="E171" s="84" t="n">
        <x:v>1</x:v>
      </x:c>
      <x:c r="F171" s="89" t="n">
        <x:v>45954</x:v>
      </x:c>
      <x:c r="G171" s="89" t="n">
        <x:v>46014</x:v>
      </x:c>
      <x:c r="H171" s="85" t="str">
        <x:v>Vencido</x:v>
      </x:c>
    </x:row>
    <x:row r="172">
      <x:c r="A172" s="83" t="n">
        <x:v>171</x:v>
      </x:c>
      <x:c r="B172" s="84" t="n">
        <x:v>86</x:v>
      </x:c>
      <x:c r="C172" s="84" t="str">
        <x:v>Inspeção geral</x:v>
      </x:c>
      <x:c r="D172" s="84" t="n">
        <x:v>30</x:v>
      </x:c>
      <x:c r="E172" s="84" t="n">
        <x:v>3</x:v>
      </x:c>
      <x:c r="F172" s="89" t="n">
        <x:v>46004</x:v>
      </x:c>
      <x:c r="G172" s="89" t="n">
        <x:v>46034</x:v>
      </x:c>
      <x:c r="H172" s="85" t="str">
        <x:v>Ativo</x:v>
      </x:c>
    </x:row>
    <x:row r="173">
      <x:c r="A173" s="83" t="n">
        <x:v>172</x:v>
      </x:c>
      <x:c r="B173" s="84" t="n">
        <x:v>86</x:v>
      </x:c>
      <x:c r="C173" s="84" t="str">
        <x:v>Lubrificação programada</x:v>
      </x:c>
      <x:c r="D173" s="84" t="n">
        <x:v>60</x:v>
      </x:c>
      <x:c r="E173" s="84" t="n">
        <x:v>3</x:v>
      </x:c>
      <x:c r="F173" s="89" t="n">
        <x:v>45990</x:v>
      </x:c>
      <x:c r="G173" s="89" t="n">
        <x:v>46050</x:v>
      </x:c>
      <x:c r="H173" s="85" t="str">
        <x:v>Ativo</x:v>
      </x:c>
    </x:row>
    <x:row r="174">
      <x:c r="A174" s="83" t="n">
        <x:v>173</x:v>
      </x:c>
      <x:c r="B174" s="84" t="n">
        <x:v>87</x:v>
      </x:c>
      <x:c r="C174" s="84" t="str">
        <x:v>Inspeção geral</x:v>
      </x:c>
      <x:c r="D174" s="84" t="n">
        <x:v>30</x:v>
      </x:c>
      <x:c r="E174" s="84" t="n">
        <x:v>2</x:v>
      </x:c>
      <x:c r="F174" s="89" t="n">
        <x:v>45989</x:v>
      </x:c>
      <x:c r="G174" s="89" t="n">
        <x:v>46019</x:v>
      </x:c>
      <x:c r="H174" s="85" t="str">
        <x:v>Vencido</x:v>
      </x:c>
    </x:row>
    <x:row r="175">
      <x:c r="A175" s="83" t="n">
        <x:v>174</x:v>
      </x:c>
      <x:c r="B175" s="84" t="n">
        <x:v>87</x:v>
      </x:c>
      <x:c r="C175" s="84" t="str">
        <x:v>Lubrificação programada</x:v>
      </x:c>
      <x:c r="D175" s="84" t="n">
        <x:v>60</x:v>
      </x:c>
      <x:c r="E175" s="84" t="n">
        <x:v>4</x:v>
      </x:c>
      <x:c r="F175" s="89" t="n">
        <x:v>45962</x:v>
      </x:c>
      <x:c r="G175" s="89" t="n">
        <x:v>46022</x:v>
      </x:c>
      <x:c r="H175" s="85" t="str">
        <x:v>Ativo</x:v>
      </x:c>
    </x:row>
    <x:row r="176">
      <x:c r="A176" s="83" t="n">
        <x:v>175</x:v>
      </x:c>
      <x:c r="B176" s="84" t="n">
        <x:v>88</x:v>
      </x:c>
      <x:c r="C176" s="84" t="str">
        <x:v>Inspeção geral</x:v>
      </x:c>
      <x:c r="D176" s="84" t="n">
        <x:v>30</x:v>
      </x:c>
      <x:c r="E176" s="84" t="n">
        <x:v>3</x:v>
      </x:c>
      <x:c r="F176" s="89" t="n">
        <x:v>46021</x:v>
      </x:c>
      <x:c r="G176" s="89" t="n">
        <x:v>46051</x:v>
      </x:c>
      <x:c r="H176" s="85" t="str">
        <x:v>Ativo</x:v>
      </x:c>
    </x:row>
    <x:row r="177">
      <x:c r="A177" s="83" t="n">
        <x:v>176</x:v>
      </x:c>
      <x:c r="B177" s="84" t="n">
        <x:v>88</x:v>
      </x:c>
      <x:c r="C177" s="84" t="str">
        <x:v>Lubrificação programada</x:v>
      </x:c>
      <x:c r="D177" s="84" t="n">
        <x:v>60</x:v>
      </x:c>
      <x:c r="E177" s="84" t="n">
        <x:v>2</x:v>
      </x:c>
      <x:c r="F177" s="89" t="n">
        <x:v>45990</x:v>
      </x:c>
      <x:c r="G177" s="89" t="n">
        <x:v>46050</x:v>
      </x:c>
      <x:c r="H177" s="85" t="str">
        <x:v>Ativo</x:v>
      </x:c>
    </x:row>
    <x:row r="178">
      <x:c r="A178" s="83" t="n">
        <x:v>177</x:v>
      </x:c>
      <x:c r="B178" s="84" t="n">
        <x:v>89</x:v>
      </x:c>
      <x:c r="C178" s="84" t="str">
        <x:v>Inspeção geral</x:v>
      </x:c>
      <x:c r="D178" s="84" t="n">
        <x:v>30</x:v>
      </x:c>
      <x:c r="E178" s="84" t="n">
        <x:v>4</x:v>
      </x:c>
      <x:c r="F178" s="89" t="n">
        <x:v>45992</x:v>
      </x:c>
      <x:c r="G178" s="89" t="n">
        <x:v>46022</x:v>
      </x:c>
      <x:c r="H178" s="85" t="str">
        <x:v>Ativo</x:v>
      </x:c>
    </x:row>
    <x:row r="179">
      <x:c r="A179" s="83" t="n">
        <x:v>178</x:v>
      </x:c>
      <x:c r="B179" s="84" t="n">
        <x:v>89</x:v>
      </x:c>
      <x:c r="C179" s="84" t="str">
        <x:v>Lubrificação programada</x:v>
      </x:c>
      <x:c r="D179" s="84" t="n">
        <x:v>60</x:v>
      </x:c>
      <x:c r="E179" s="84" t="n">
        <x:v>4</x:v>
      </x:c>
      <x:c r="F179" s="89" t="n">
        <x:v>45992</x:v>
      </x:c>
      <x:c r="G179" s="89" t="n">
        <x:v>46052</x:v>
      </x:c>
      <x:c r="H179" s="85" t="str">
        <x:v>Ativo</x:v>
      </x:c>
    </x:row>
    <x:row r="180">
      <x:c r="A180" s="83" t="n">
        <x:v>179</x:v>
      </x:c>
      <x:c r="B180" s="84" t="n">
        <x:v>90</x:v>
      </x:c>
      <x:c r="C180" s="84" t="str">
        <x:v>Inspeção geral</x:v>
      </x:c>
      <x:c r="D180" s="84" t="n">
        <x:v>30</x:v>
      </x:c>
      <x:c r="E180" s="84" t="n">
        <x:v>4</x:v>
      </x:c>
      <x:c r="F180" s="89" t="n">
        <x:v>46020</x:v>
      </x:c>
      <x:c r="G180" s="89" t="n">
        <x:v>46050</x:v>
      </x:c>
      <x:c r="H180" s="85" t="str">
        <x:v>Ativo</x:v>
      </x:c>
    </x:row>
    <x:row r="181">
      <x:c r="A181" s="86" t="n">
        <x:v>180</x:v>
      </x:c>
      <x:c r="B181" s="87" t="n">
        <x:v>90</x:v>
      </x:c>
      <x:c r="C181" s="87" t="str">
        <x:v>Lubrificação programada</x:v>
      </x:c>
      <x:c r="D181" s="87" t="n">
        <x:v>60</x:v>
      </x:c>
      <x:c r="E181" s="87" t="n">
        <x:v>3</x:v>
      </x:c>
      <x:c r="F181" s="90" t="n">
        <x:v>45958</x:v>
      </x:c>
      <x:c r="G181" s="90" t="n">
        <x:v>46018</x:v>
      </x:c>
      <x:c r="H181" s="88" t="str">
        <x:v>Vencido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12.109999656677246" hidden="0" customWidth="1"/>
    <x:col min="3" max="3" width="13" hidden="0" customWidth="1"/>
    <x:col min="4" max="4" width="16.329999923706055" hidden="0" customWidth="1"/>
    <x:col min="5" max="5" width="7.21999979019165" hidden="0" customWidth="1"/>
    <x:col min="6" max="6" width="11.220000267028809" hidden="0" customWidth="1"/>
    <x:col min="7" max="7" width="14.109999656677246" hidden="0" customWidth="1"/>
    <x:col min="8" max="8" width="9" hidden="0" customWidth="1"/>
    <x:col min="9" max="9" width="12.779999732971191" hidden="0" customWidth="1"/>
    <x:col min="10" max="10" width="8.4399995803833" hidden="0" customWidth="1"/>
    <x:col min="11" max="11" width="13.329999923706055" hidden="0" customWidth="1"/>
    <x:col min="12" max="12" width="28" hidden="0" customWidth="1"/>
    <x:col min="13" max="13" width="17.670000076293945" hidden="0" customWidth="1"/>
    <x:col min="14" max="14" width="28" hidden="0" customWidth="1"/>
    <x:col min="15" max="15" width="8.4399995803833" hidden="0" customWidth="1"/>
    <x:col min="16" max="16" width="13.5600004196167" hidden="0" customWidth="1"/>
    <x:col min="17" max="17" width="10.329999923706055" hidden="0" customWidth="1"/>
    <x:col min="18" max="18" width="12.670000076293945" hidden="0" customWidth="1"/>
  </x:cols>
  <x:sheetData>
    <x:row r="1">
      <x:c r="A1" s="80" t="str">
        <x:v>id_os</x:v>
      </x:c>
      <x:c r="B1" s="81" t="str">
        <x:v>numero_os</x:v>
      </x:c>
      <x:c r="C1" s="81" t="str">
        <x:v>id_equipamento</x:v>
      </x:c>
      <x:c r="D1" s="81" t="str">
        <x:v>id_tipo_manutencao</x:v>
      </x:c>
      <x:c r="E1" s="81" t="str">
        <x:v>id_plano</x:v>
      </x:c>
      <x:c r="F1" s="81" t="str">
        <x:v>data_abertura</x:v>
      </x:c>
      <x:c r="G1" s="81" t="str">
        <x:v>data_programada</x:v>
      </x:c>
      <x:c r="H1" s="81" t="str">
        <x:v>data_inicio</x:v>
      </x:c>
      <x:c r="I1" s="81" t="str">
        <x:v>data_conclusao</x:v>
      </x:c>
      <x:c r="J1" s="81" t="str">
        <x:v>prioridade</x:v>
      </x:c>
      <x:c r="K1" s="81" t="str">
        <x:v>status_os</x:v>
      </x:c>
      <x:c r="L1" s="81" t="str">
        <x:v>descricao_problema</x:v>
      </x:c>
      <x:c r="M1" s="81" t="str">
        <x:v>causa_identificada</x:v>
      </x:c>
      <x:c r="N1" s="81" t="str">
        <x:v>solucao_aplicada</x:v>
      </x:c>
      <x:c r="O1" s="81" t="str">
        <x:v>retrabalho</x:v>
      </x:c>
      <x:c r="P1" s="81" t="str">
        <x:v>custo_mao_obra</x:v>
      </x:c>
      <x:c r="Q1" s="81" t="str">
        <x:v>custo_pecas</x:v>
      </x:c>
      <x:c r="R1" s="82" t="str">
        <x:v>custo_terceiros</x:v>
      </x:c>
    </x:row>
    <x:row r="2">
      <x:c r="A2" s="83" t="n">
        <x:v>1</x:v>
      </x:c>
      <x:c r="B2" s="84" t="str">
        <x:v>OS-2024-00001</x:v>
      </x:c>
      <x:c r="C2" s="84" t="n">
        <x:v>7</x:v>
      </x:c>
      <x:c r="D2" s="84" t="n">
        <x:v>1</x:v>
      </x:c>
      <x:c r="E2" s="84" t="n">
        <x:v>14</x:v>
      </x:c>
      <x:c r="F2" s="89" t="n">
        <x:v>45599.0421875</x:v>
      </x:c>
      <x:c r="G2" s="89" t="n">
        <x:v>45610.0421875</x:v>
      </x:c>
      <x:c r="H2" s="89" t="n">
        <x:v>45599.45885416667</x:v>
      </x:c>
      <x:c r="I2" s="89" t="n">
        <x:v>45599.6671875</x:v>
      </x:c>
      <x:c r="J2" s="84" t="str">
        <x:v>Alta</x:v>
      </x:c>
      <x:c r="K2" s="84" t="str">
        <x:v>Encerrada</x:v>
      </x:c>
      <x:c r="L2" s="84" t="str">
        <x:v>Ruído anormal</x:v>
      </x:c>
      <x:c r="M2" s="84" t="str">
        <x:v>Ajuste incorreto</x:v>
      </x:c>
      <x:c r="N2" s="84" t="str">
        <x:v>Componente ajustado ou substituído</x:v>
      </x:c>
      <x:c r="O2" s="84" t="n">
        <x:v>0</x:v>
      </x:c>
      <x:c r="P2" s="93" t="n">
        <x:v>228.48</x:v>
      </x:c>
      <x:c r="Q2" s="93" t="n">
        <x:v>11532.2</x:v>
      </x:c>
      <x:c r="R2" s="91" t="n">
        <x:v>0</x:v>
      </x:c>
    </x:row>
    <x:row r="3">
      <x:c r="A3" s="83" t="n">
        <x:v>2</x:v>
      </x:c>
      <x:c r="B3" s="84" t="str">
        <x:v>OS-2023-00002</x:v>
      </x:c>
      <x:c r="C3" s="84" t="n">
        <x:v>67</x:v>
      </x:c>
      <x:c r="D3" s="84" t="n">
        <x:v>7</x:v>
      </x:c>
      <x:c r="E3" s="84" t="n">
        <x:v>133</x:v>
      </x:c>
      <x:c r="F3" s="89" t="n">
        <x:v>44987.646469907406</x:v>
      </x:c>
      <x:c r="G3" s="89" t="n">
        <x:v>44991.646469907406</x:v>
      </x:c>
      <x:c r="H3" s="89" t="n">
        <x:v>44989.10480324074</x:v>
      </x:c>
      <x:c r="I3" s="89" t="n">
        <x:v>44989.22980324074</x:v>
      </x:c>
      <x:c r="J3" s="84" t="str">
        <x:v>Baixa</x:v>
      </x:c>
      <x:c r="K3" s="84" t="str">
        <x:v>Encerrada</x:v>
      </x:c>
      <x:c r="L3" s="84" t="str">
        <x:v>Desalinhamento</x:v>
      </x:c>
      <x:c r="M3" s="84" t="str">
        <x:v>Conexão frouxa</x:v>
      </x:c>
      <x:c r="N3" s="84" t="str">
        <x:v>Componente ajustado ou substituído</x:v>
      </x:c>
      <x:c r="O3" s="84" t="n">
        <x:v>0</x:v>
      </x:c>
      <x:c r="P3" s="93" t="n">
        <x:v>358.42</x:v>
      </x:c>
      <x:c r="Q3" s="93" t="n">
        <x:v>8513.9</x:v>
      </x:c>
      <x:c r="R3" s="91" t="n">
        <x:v>0</x:v>
      </x:c>
    </x:row>
    <x:row r="4">
      <x:c r="A4" s="83" t="n">
        <x:v>3</x:v>
      </x:c>
      <x:c r="B4" s="84" t="str">
        <x:v>OS-2025-00003</x:v>
      </x:c>
      <x:c r="C4" s="84" t="n">
        <x:v>1</x:v>
      </x:c>
      <x:c r="D4" s="84" t="n">
        <x:v>1</x:v>
      </x:c>
      <x:c r="E4" s="84" t="n">
        <x:v>1</x:v>
      </x:c>
      <x:c r="F4" s="89" t="n">
        <x:v>45661.227222222224</x:v>
      </x:c>
      <x:c r="G4" s="89" t="n">
        <x:v>45669.227222222224</x:v>
      </x:c>
      <x:c r="H4" s="89" t="n">
        <x:v>45664.01888888889</x:v>
      </x:c>
      <x:c r="I4" s="89" t="n">
        <x:v>45664.43555555555</x:v>
      </x:c>
      <x:c r="J4" s="84" t="str">
        <x:v>Baixa</x:v>
      </x:c>
      <x:c r="K4" s="84" t="str">
        <x:v>Concluída</x:v>
      </x:c>
      <x:c r="L4" s="84" t="str">
        <x:v>Falha elétrica</x:v>
      </x:c>
      <x:c r="M4" s="84" t="str">
        <x:v>Componente danificado</x:v>
      </x:c>
      <x:c r="N4" s="84" t="str">
        <x:v>Componente ajustado ou substituído</x:v>
      </x:c>
      <x:c r="O4" s="84" t="n">
        <x:v>0</x:v>
      </x:c>
      <x:c r="P4" s="93" t="n">
        <x:v>176.37</x:v>
      </x:c>
      <x:c r="Q4" s="93" t="n">
        <x:v>11300.04</x:v>
      </x:c>
      <x:c r="R4" s="91" t="n">
        <x:v>5937.68</x:v>
      </x:c>
    </x:row>
    <x:row r="5">
      <x:c r="A5" s="83" t="n">
        <x:v>4</x:v>
      </x:c>
      <x:c r="B5" s="84" t="str">
        <x:v>OS-2024-00004</x:v>
      </x:c>
      <x:c r="C5" s="84" t="n">
        <x:v>11</x:v>
      </x:c>
      <x:c r="D5" s="84" t="n">
        <x:v>2</x:v>
      </x:c>
      <x:c r="E5" s="84"/>
      <x:c r="F5" s="89" t="n">
        <x:v>45520.72219907407</x:v>
      </x:c>
      <x:c r="G5" s="89" t="n">
        <x:v>45529.72219907407</x:v>
      </x:c>
      <x:c r="H5" s="89" t="n">
        <x:v>45522.55553240741</x:v>
      </x:c>
      <x:c r="I5" s="89" t="n">
        <x:v>45523.013865740744</x:v>
      </x:c>
      <x:c r="J5" s="84" t="str">
        <x:v>Alta</x:v>
      </x:c>
      <x:c r="K5" s="84" t="str">
        <x:v>Encerrada</x:v>
      </x:c>
      <x:c r="L5" s="84" t="str">
        <x:v>Baixa pressão</x:v>
      </x:c>
      <x:c r="M5" s="84" t="str">
        <x:v>Contaminação</x:v>
      </x:c>
      <x:c r="N5" s="84" t="str">
        <x:v>Componente ajustado ou substituído</x:v>
      </x:c>
      <x:c r="O5" s="84" t="n">
        <x:v>0</x:v>
      </x:c>
      <x:c r="P5" s="93" t="n">
        <x:v>713.69</x:v>
      </x:c>
      <x:c r="Q5" s="93" t="n">
        <x:v>6857.06</x:v>
      </x:c>
      <x:c r="R5" s="91" t="n">
        <x:v>14030.54</x:v>
      </x:c>
    </x:row>
    <x:row r="6">
      <x:c r="A6" s="83" t="n">
        <x:v>5</x:v>
      </x:c>
      <x:c r="B6" s="84" t="str">
        <x:v>OS-2025-00005</x:v>
      </x:c>
      <x:c r="C6" s="84" t="n">
        <x:v>61</x:v>
      </x:c>
      <x:c r="D6" s="84" t="n">
        <x:v>7</x:v>
      </x:c>
      <x:c r="E6" s="84" t="n">
        <x:v>121</x:v>
      </x:c>
      <x:c r="F6" s="89" t="n">
        <x:v>45696.44894675926</x:v>
      </x:c>
      <x:c r="G6" s="89" t="n">
        <x:v>45701.44894675926</x:v>
      </x:c>
      <x:c r="H6" s="89"/>
      <x:c r="I6" s="89"/>
      <x:c r="J6" s="84" t="str">
        <x:v>Crítica</x:v>
      </x:c>
      <x:c r="K6" s="84" t="str">
        <x:v>Cancelada</x:v>
      </x:c>
      <x:c r="L6" s="84" t="str">
        <x:v>Vazamento</x:v>
      </x:c>
      <x:c r="M6" s="84"/>
      <x:c r="N6" s="84"/>
      <x:c r="O6" s="84" t="n">
        <x:v>0</x:v>
      </x:c>
      <x:c r="P6" s="93" t="n">
        <x:v>0</x:v>
      </x:c>
      <x:c r="Q6" s="93" t="n">
        <x:v>0</x:v>
      </x:c>
      <x:c r="R6" s="91" t="n">
        <x:v>0</x:v>
      </x:c>
    </x:row>
    <x:row r="7">
      <x:c r="A7" s="83" t="n">
        <x:v>6</x:v>
      </x:c>
      <x:c r="B7" s="84" t="str">
        <x:v>OS-2023-00006</x:v>
      </x:c>
      <x:c r="C7" s="84" t="n">
        <x:v>58</x:v>
      </x:c>
      <x:c r="D7" s="84" t="n">
        <x:v>1</x:v>
      </x:c>
      <x:c r="E7" s="84" t="n">
        <x:v>115</x:v>
      </x:c>
      <x:c r="F7" s="89" t="n">
        <x:v>45036.689467592594</x:v>
      </x:c>
      <x:c r="G7" s="89" t="n">
        <x:v>45043.689467592594</x:v>
      </x:c>
      <x:c r="H7" s="89"/>
      <x:c r="I7" s="89"/>
      <x:c r="J7" s="84" t="str">
        <x:v>Média</x:v>
      </x:c>
      <x:c r="K7" s="84" t="str">
        <x:v>Cancelada</x:v>
      </x:c>
      <x:c r="L7" s="84" t="str">
        <x:v>Vazamento</x:v>
      </x:c>
      <x:c r="M7" s="84"/>
      <x:c r="N7" s="84"/>
      <x:c r="O7" s="84" t="n">
        <x:v>0</x:v>
      </x:c>
      <x:c r="P7" s="93" t="n">
        <x:v>0</x:v>
      </x:c>
      <x:c r="Q7" s="93" t="n">
        <x:v>0</x:v>
      </x:c>
      <x:c r="R7" s="91" t="n">
        <x:v>0</x:v>
      </x:c>
    </x:row>
    <x:row r="8">
      <x:c r="A8" s="83" t="n">
        <x:v>7</x:v>
      </x:c>
      <x:c r="B8" s="84" t="str">
        <x:v>OS-2024-00007</x:v>
      </x:c>
      <x:c r="C8" s="84" t="n">
        <x:v>87</x:v>
      </x:c>
      <x:c r="D8" s="84" t="n">
        <x:v>1</x:v>
      </x:c>
      <x:c r="E8" s="84" t="n">
        <x:v>174</x:v>
      </x:c>
      <x:c r="F8" s="89" t="n">
        <x:v>45514.48054398148</x:v>
      </x:c>
      <x:c r="G8" s="89" t="n">
        <x:v>45518.48054398148</x:v>
      </x:c>
      <x:c r="H8" s="89" t="n">
        <x:v>45514.98054398148</x:v>
      </x:c>
      <x:c r="I8" s="89"/>
      <x:c r="J8" s="84" t="str">
        <x:v>Baixa</x:v>
      </x:c>
      <x:c r="K8" s="84" t="str">
        <x:v>Aguardando peça</x:v>
      </x:c>
      <x:c r="L8" s="84" t="str">
        <x:v>Falha elétrica</x:v>
      </x:c>
      <x:c r="M8" s="84" t="str">
        <x:v>Falta de lubrificação</x:v>
      </x:c>
      <x:c r="N8" s="84"/>
      <x:c r="O8" s="84" t="n">
        <x:v>0</x:v>
      </x:c>
      <x:c r="P8" s="93" t="n">
        <x:v>81.65</x:v>
      </x:c>
      <x:c r="Q8" s="93" t="n">
        <x:v>3281.88</x:v>
      </x:c>
      <x:c r="R8" s="91" t="n">
        <x:v>0</x:v>
      </x:c>
    </x:row>
    <x:row r="9">
      <x:c r="A9" s="83" t="n">
        <x:v>8</x:v>
      </x:c>
      <x:c r="B9" s="84" t="str">
        <x:v>OS-2023-00008</x:v>
      </x:c>
      <x:c r="C9" s="84" t="n">
        <x:v>74</x:v>
      </x:c>
      <x:c r="D9" s="84" t="n">
        <x:v>5</x:v>
      </x:c>
      <x:c r="E9" s="84" t="n">
        <x:v>147</x:v>
      </x:c>
      <x:c r="F9" s="89" t="n">
        <x:v>45283.36462962963</x:v>
      </x:c>
      <x:c r="G9" s="89" t="n">
        <x:v>45291.36462962963</x:v>
      </x:c>
      <x:c r="H9" s="89"/>
      <x:c r="I9" s="89"/>
      <x:c r="J9" s="84" t="str">
        <x:v>Baixa</x:v>
      </x:c>
      <x:c r="K9" s="84" t="str">
        <x:v>Planejada</x:v>
      </x:c>
      <x:c r="L9" s="84" t="str">
        <x:v>Superaquecimento</x:v>
      </x:c>
      <x:c r="M9" s="84"/>
      <x:c r="N9" s="84"/>
      <x:c r="O9" s="84" t="n">
        <x:v>0</x:v>
      </x:c>
      <x:c r="P9" s="93" t="n">
        <x:v>0</x:v>
      </x:c>
      <x:c r="Q9" s="93" t="n">
        <x:v>0</x:v>
      </x:c>
      <x:c r="R9" s="91" t="n">
        <x:v>0</x:v>
      </x:c>
    </x:row>
    <x:row r="10">
      <x:c r="A10" s="83" t="n">
        <x:v>9</x:v>
      </x:c>
      <x:c r="B10" s="84" t="str">
        <x:v>OS-2023-00009</x:v>
      </x:c>
      <x:c r="C10" s="84" t="n">
        <x:v>6</x:v>
      </x:c>
      <x:c r="D10" s="84" t="n">
        <x:v>5</x:v>
      </x:c>
      <x:c r="E10" s="84" t="n">
        <x:v>11</x:v>
      </x:c>
      <x:c r="F10" s="89" t="n">
        <x:v>45185.47041666666</x:v>
      </x:c>
      <x:c r="G10" s="89" t="n">
        <x:v>45188.47041666666</x:v>
      </x:c>
      <x:c r="H10" s="89" t="n">
        <x:v>45186.22041666666</x:v>
      </x:c>
      <x:c r="I10" s="89" t="n">
        <x:v>45186.512083333335</x:v>
      </x:c>
      <x:c r="J10" s="84" t="str">
        <x:v>Baixa</x:v>
      </x:c>
      <x:c r="K10" s="84" t="str">
        <x:v>Encerrada</x:v>
      </x:c>
      <x:c r="L10" s="84" t="str">
        <x:v>Falha elétrica</x:v>
      </x:c>
      <x:c r="M10" s="84" t="str">
        <x:v>Ajuste incorreto</x:v>
      </x:c>
      <x:c r="N10" s="84" t="str">
        <x:v>Componente ajustado ou substituído</x:v>
      </x:c>
      <x:c r="O10" s="84" t="n">
        <x:v>0</x:v>
      </x:c>
      <x:c r="P10" s="93" t="n">
        <x:v>398.84</x:v>
      </x:c>
      <x:c r="Q10" s="93" t="n">
        <x:v>8845.04</x:v>
      </x:c>
      <x:c r="R10" s="91" t="n">
        <x:v>0</x:v>
      </x:c>
    </x:row>
    <x:row r="11">
      <x:c r="A11" s="83" t="n">
        <x:v>10</x:v>
      </x:c>
      <x:c r="B11" s="84" t="str">
        <x:v>OS-2024-00010</x:v>
      </x:c>
      <x:c r="C11" s="84" t="n">
        <x:v>9</x:v>
      </x:c>
      <x:c r="D11" s="84" t="n">
        <x:v>3</x:v>
      </x:c>
      <x:c r="E11" s="84"/>
      <x:c r="F11" s="89" t="n">
        <x:v>45494.44100694444</x:v>
      </x:c>
      <x:c r="G11" s="89"/>
      <x:c r="H11" s="89" t="n">
        <x:v>45496.60767361111</x:v>
      </x:c>
      <x:c r="I11" s="89" t="n">
        <x:v>45497.19100694444</x:v>
      </x:c>
      <x:c r="J11" s="84" t="str">
        <x:v>Crítica</x:v>
      </x:c>
      <x:c r="K11" s="84" t="str">
        <x:v>Encerrada</x:v>
      </x:c>
      <x:c r="L11" s="84" t="str">
        <x:v>Ruído anormal</x:v>
      </x:c>
      <x:c r="M11" s="84" t="str">
        <x:v>Ajuste incorreto</x:v>
      </x:c>
      <x:c r="N11" s="84" t="str">
        <x:v>Componente ajustado ou substituído</x:v>
      </x:c>
      <x:c r="O11" s="84" t="n">
        <x:v>0</x:v>
      </x:c>
      <x:c r="P11" s="93" t="n">
        <x:v>567.33</x:v>
      </x:c>
      <x:c r="Q11" s="93" t="n">
        <x:v>0</x:v>
      </x:c>
      <x:c r="R11" s="91" t="n">
        <x:v>3821.72</x:v>
      </x:c>
    </x:row>
    <x:row r="12">
      <x:c r="A12" s="83" t="n">
        <x:v>11</x:v>
      </x:c>
      <x:c r="B12" s="84" t="str">
        <x:v>OS-2024-00011</x:v>
      </x:c>
      <x:c r="C12" s="84" t="n">
        <x:v>73</x:v>
      </x:c>
      <x:c r="D12" s="84" t="n">
        <x:v>1</x:v>
      </x:c>
      <x:c r="E12" s="84" t="n">
        <x:v>145</x:v>
      </x:c>
      <x:c r="F12" s="89" t="n">
        <x:v>45432.621412037035</x:v>
      </x:c>
      <x:c r="G12" s="89" t="n">
        <x:v>45442.621412037035</x:v>
      </x:c>
      <x:c r="H12" s="89" t="n">
        <x:v>45432.82974537037</x:v>
      </x:c>
      <x:c r="I12" s="89" t="n">
        <x:v>45433.41307870371</x:v>
      </x:c>
      <x:c r="J12" s="84" t="str">
        <x:v>Baixa</x:v>
      </x:c>
      <x:c r="K12" s="84" t="str">
        <x:v>Encerrada</x:v>
      </x:c>
      <x:c r="L12" s="84" t="str">
        <x:v>Ruído anormal</x:v>
      </x:c>
      <x:c r="M12" s="84" t="str">
        <x:v>Conexão frouxa</x:v>
      </x:c>
      <x:c r="N12" s="84" t="str">
        <x:v>Componente ajustado ou substituído</x:v>
      </x:c>
      <x:c r="O12" s="84" t="n">
        <x:v>0</x:v>
      </x:c>
      <x:c r="P12" s="93" t="n">
        <x:v>74.07</x:v>
      </x:c>
      <x:c r="Q12" s="93" t="n">
        <x:v>1211.56</x:v>
      </x:c>
      <x:c r="R12" s="91" t="n">
        <x:v>0</x:v>
      </x:c>
    </x:row>
    <x:row r="13">
      <x:c r="A13" s="83" t="n">
        <x:v>12</x:v>
      </x:c>
      <x:c r="B13" s="84" t="str">
        <x:v>OS-2024-00012</x:v>
      </x:c>
      <x:c r="C13" s="84" t="n">
        <x:v>27</x:v>
      </x:c>
      <x:c r="D13" s="84" t="n">
        <x:v>1</x:v>
      </x:c>
      <x:c r="E13" s="84" t="n">
        <x:v>53</x:v>
      </x:c>
      <x:c r="F13" s="89" t="n">
        <x:v>45627.93146990741</x:v>
      </x:c>
      <x:c r="G13" s="89" t="n">
        <x:v>45629.93146990741</x:v>
      </x:c>
      <x:c r="H13" s="89" t="n">
        <x:v>45630.80646990741</x:v>
      </x:c>
      <x:c r="I13" s="89" t="n">
        <x:v>45630.84813657407</x:v>
      </x:c>
      <x:c r="J13" s="84" t="str">
        <x:v>Alta</x:v>
      </x:c>
      <x:c r="K13" s="84" t="str">
        <x:v>Concluída</x:v>
      </x:c>
      <x:c r="L13" s="84" t="str">
        <x:v>Baixa pressão</x:v>
      </x:c>
      <x:c r="M13" s="84" t="str">
        <x:v>Desgaste natural</x:v>
      </x:c>
      <x:c r="N13" s="84" t="str">
        <x:v>Componente ajustado ou substituído</x:v>
      </x:c>
      <x:c r="O13" s="84" t="n">
        <x:v>0</x:v>
      </x:c>
      <x:c r="P13" s="93" t="n">
        <x:v>151.52</x:v>
      </x:c>
      <x:c r="Q13" s="93" t="n">
        <x:v>9988.98</x:v>
      </x:c>
      <x:c r="R13" s="91" t="n">
        <x:v>0</x:v>
      </x:c>
    </x:row>
    <x:row r="14">
      <x:c r="A14" s="83" t="n">
        <x:v>13</x:v>
      </x:c>
      <x:c r="B14" s="84" t="str">
        <x:v>OS-2023-00013</x:v>
      </x:c>
      <x:c r="C14" s="84" t="n">
        <x:v>80</x:v>
      </x:c>
      <x:c r="D14" s="84" t="n">
        <x:v>1</x:v>
      </x:c>
      <x:c r="E14" s="84" t="n">
        <x:v>159</x:v>
      </x:c>
      <x:c r="F14" s="89" t="n">
        <x:v>45277.6528587963</x:v>
      </x:c>
      <x:c r="G14" s="89" t="n">
        <x:v>45290.6528587963</x:v>
      </x:c>
      <x:c r="H14" s="89" t="n">
        <x:v>45278.86119212963</x:v>
      </x:c>
      <x:c r="I14" s="89" t="n">
        <x:v>45279.48619212963</x:v>
      </x:c>
      <x:c r="J14" s="84" t="str">
        <x:v>Alta</x:v>
      </x:c>
      <x:c r="K14" s="84" t="str">
        <x:v>Encerrada</x:v>
      </x:c>
      <x:c r="L14" s="84" t="str">
        <x:v>Alarme intermitente</x:v>
      </x:c>
      <x:c r="M14" s="84" t="str">
        <x:v>Contaminação</x:v>
      </x:c>
      <x:c r="N14" s="84" t="str">
        <x:v>Componente ajustado ou substituído</x:v>
      </x:c>
      <x:c r="O14" s="84" t="n">
        <x:v>0</x:v>
      </x:c>
      <x:c r="P14" s="93" t="n">
        <x:v>89.86</x:v>
      </x:c>
      <x:c r="Q14" s="93" t="n">
        <x:v>13269.42</x:v>
      </x:c>
      <x:c r="R14" s="91" t="n">
        <x:v>0</x:v>
      </x:c>
    </x:row>
    <x:row r="15">
      <x:c r="A15" s="83" t="n">
        <x:v>14</x:v>
      </x:c>
      <x:c r="B15" s="84" t="str">
        <x:v>OS-2025-00014</x:v>
      </x:c>
      <x:c r="C15" s="84" t="n">
        <x:v>34</x:v>
      </x:c>
      <x:c r="D15" s="84" t="n">
        <x:v>5</x:v>
      </x:c>
      <x:c r="E15" s="84" t="n">
        <x:v>68</x:v>
      </x:c>
      <x:c r="F15" s="89" t="n">
        <x:v>45989.63822916667</x:v>
      </x:c>
      <x:c r="G15" s="89" t="n">
        <x:v>46000.63822916667</x:v>
      </x:c>
      <x:c r="H15" s="89" t="n">
        <x:v>45989.88822916667</x:v>
      </x:c>
      <x:c r="I15" s="89" t="n">
        <x:v>45989.9715625</x:v>
      </x:c>
      <x:c r="J15" s="84" t="str">
        <x:v>Média</x:v>
      </x:c>
      <x:c r="K15" s="84" t="str">
        <x:v>Concluída</x:v>
      </x:c>
      <x:c r="L15" s="84" t="str">
        <x:v>Alarme intermitente</x:v>
      </x:c>
      <x:c r="M15" s="84" t="str">
        <x:v>Contaminação</x:v>
      </x:c>
      <x:c r="N15" s="84" t="str">
        <x:v>Componente ajustado ou substituído</x:v>
      </x:c>
      <x:c r="O15" s="84" t="n">
        <x:v>0</x:v>
      </x:c>
      <x:c r="P15" s="93" t="n">
        <x:v>445.69</x:v>
      </x:c>
      <x:c r="Q15" s="93" t="n">
        <x:v>184.16</x:v>
      </x:c>
      <x:c r="R15" s="91" t="n">
        <x:v>0</x:v>
      </x:c>
    </x:row>
    <x:row r="16">
      <x:c r="A16" s="83" t="n">
        <x:v>15</x:v>
      </x:c>
      <x:c r="B16" s="84" t="str">
        <x:v>OS-2023-00015</x:v>
      </x:c>
      <x:c r="C16" s="84" t="n">
        <x:v>54</x:v>
      </x:c>
      <x:c r="D16" s="84" t="n">
        <x:v>8</x:v>
      </x:c>
      <x:c r="E16" s="84"/>
      <x:c r="F16" s="89" t="n">
        <x:v>45195.502488425926</x:v>
      </x:c>
      <x:c r="G16" s="89" t="n">
        <x:v>45197.502488425926</x:v>
      </x:c>
      <x:c r="H16" s="89" t="n">
        <x:v>45197.877488425926</x:v>
      </x:c>
      <x:c r="I16" s="89" t="n">
        <x:v>45198.627488425926</x:v>
      </x:c>
      <x:c r="J16" s="84" t="str">
        <x:v>Baixa</x:v>
      </x:c>
      <x:c r="K16" s="84" t="str">
        <x:v>Encerrada</x:v>
      </x:c>
      <x:c r="L16" s="84" t="str">
        <x:v>Desalinhamento</x:v>
      </x:c>
      <x:c r="M16" s="84" t="str">
        <x:v>Componente danificado</x:v>
      </x:c>
      <x:c r="N16" s="84" t="str">
        <x:v>Componente ajustado ou substituído</x:v>
      </x:c>
      <x:c r="O16" s="84" t="n">
        <x:v>0</x:v>
      </x:c>
      <x:c r="P16" s="93" t="n">
        <x:v>536.2</x:v>
      </x:c>
      <x:c r="Q16" s="93" t="n">
        <x:v>0</x:v>
      </x:c>
      <x:c r="R16" s="91" t="n">
        <x:v>2175</x:v>
      </x:c>
    </x:row>
    <x:row r="17">
      <x:c r="A17" s="83" t="n">
        <x:v>16</x:v>
      </x:c>
      <x:c r="B17" s="84" t="str">
        <x:v>OS-2024-00016</x:v>
      </x:c>
      <x:c r="C17" s="84" t="n">
        <x:v>38</x:v>
      </x:c>
      <x:c r="D17" s="84" t="n">
        <x:v>5</x:v>
      </x:c>
      <x:c r="E17" s="84" t="n">
        <x:v>75</x:v>
      </x:c>
      <x:c r="F17" s="89" t="n">
        <x:v>45589.36002314815</x:v>
      </x:c>
      <x:c r="G17" s="89" t="n">
        <x:v>45597.36002314815</x:v>
      </x:c>
      <x:c r="H17" s="89" t="n">
        <x:v>45590.23502314815</x:v>
      </x:c>
      <x:c r="I17" s="89" t="n">
        <x:v>45590.86002314815</x:v>
      </x:c>
      <x:c r="J17" s="84" t="str">
        <x:v>Baixa</x:v>
      </x:c>
      <x:c r="K17" s="84" t="str">
        <x:v>Concluída</x:v>
      </x:c>
      <x:c r="L17" s="84" t="str">
        <x:v>Desalinhamento</x:v>
      </x:c>
      <x:c r="M17" s="84" t="str">
        <x:v>Conexão frouxa</x:v>
      </x:c>
      <x:c r="N17" s="84" t="str">
        <x:v>Componente ajustado ou substituído</x:v>
      </x:c>
      <x:c r="O17" s="84" t="n">
        <x:v>0</x:v>
      </x:c>
      <x:c r="P17" s="93" t="n">
        <x:v>97.99</x:v>
      </x:c>
      <x:c r="Q17" s="93" t="n">
        <x:v>0</x:v>
      </x:c>
      <x:c r="R17" s="91" t="n">
        <x:v>0</x:v>
      </x:c>
    </x:row>
    <x:row r="18">
      <x:c r="A18" s="83" t="n">
        <x:v>17</x:v>
      </x:c>
      <x:c r="B18" s="84" t="str">
        <x:v>OS-2024-00017</x:v>
      </x:c>
      <x:c r="C18" s="84" t="n">
        <x:v>25</x:v>
      </x:c>
      <x:c r="D18" s="84" t="n">
        <x:v>2</x:v>
      </x:c>
      <x:c r="E18" s="84"/>
      <x:c r="F18" s="89" t="n">
        <x:v>45308.118414351855</x:v>
      </x:c>
      <x:c r="G18" s="89" t="n">
        <x:v>45311.118414351855</x:v>
      </x:c>
      <x:c r="H18" s="89" t="n">
        <x:v>45309.45174768518</x:v>
      </x:c>
      <x:c r="I18" s="89" t="n">
        <x:v>45309.993414351855</x:v>
      </x:c>
      <x:c r="J18" s="84" t="str">
        <x:v>Média</x:v>
      </x:c>
      <x:c r="K18" s="84" t="str">
        <x:v>Concluída</x:v>
      </x:c>
      <x:c r="L18" s="84" t="str">
        <x:v>Falha elétrica</x:v>
      </x:c>
      <x:c r="M18" s="84" t="str">
        <x:v>Componente danificado</x:v>
      </x:c>
      <x:c r="N18" s="84" t="str">
        <x:v>Componente ajustado ou substituído</x:v>
      </x:c>
      <x:c r="O18" s="84" t="n">
        <x:v>0</x:v>
      </x:c>
      <x:c r="P18" s="93" t="n">
        <x:v>269.16</x:v>
      </x:c>
      <x:c r="Q18" s="93" t="n">
        <x:v>13321.22</x:v>
      </x:c>
      <x:c r="R18" s="91" t="n">
        <x:v>9071.19</x:v>
      </x:c>
    </x:row>
    <x:row r="19">
      <x:c r="A19" s="83" t="n">
        <x:v>18</x:v>
      </x:c>
      <x:c r="B19" s="84" t="str">
        <x:v>OS-2024-00018</x:v>
      </x:c>
      <x:c r="C19" s="84" t="n">
        <x:v>45</x:v>
      </x:c>
      <x:c r="D19" s="84" t="n">
        <x:v>1</x:v>
      </x:c>
      <x:c r="E19" s="84" t="n">
        <x:v>90</x:v>
      </x:c>
      <x:c r="F19" s="89" t="n">
        <x:v>45650.221180555556</x:v>
      </x:c>
      <x:c r="G19" s="89" t="n">
        <x:v>45660.221180555556</x:v>
      </x:c>
      <x:c r="H19" s="89" t="n">
        <x:v>45652.92951388889</x:v>
      </x:c>
      <x:c r="I19" s="89"/>
      <x:c r="J19" s="84" t="str">
        <x:v>Alta</x:v>
      </x:c>
      <x:c r="K19" s="84" t="str">
        <x:v>Em execução</x:v>
      </x:c>
      <x:c r="L19" s="84" t="str">
        <x:v>Baixa pressão</x:v>
      </x:c>
      <x:c r="M19" s="84" t="str">
        <x:v>Componente danificado</x:v>
      </x:c>
      <x:c r="N19" s="84"/>
      <x:c r="O19" s="84" t="n">
        <x:v>0</x:v>
      </x:c>
      <x:c r="P19" s="93" t="n">
        <x:v>318.2</x:v>
      </x:c>
      <x:c r="Q19" s="93" t="n">
        <x:v>2509.68</x:v>
      </x:c>
      <x:c r="R19" s="91" t="n">
        <x:v>0</x:v>
      </x:c>
    </x:row>
    <x:row r="20">
      <x:c r="A20" s="83" t="n">
        <x:v>19</x:v>
      </x:c>
      <x:c r="B20" s="84" t="str">
        <x:v>OS-2025-00019</x:v>
      </x:c>
      <x:c r="C20" s="84" t="n">
        <x:v>48</x:v>
      </x:c>
      <x:c r="D20" s="84" t="n">
        <x:v>1</x:v>
      </x:c>
      <x:c r="E20" s="84" t="n">
        <x:v>95</x:v>
      </x:c>
      <x:c r="F20" s="89" t="n">
        <x:v>45901.72582175926</x:v>
      </x:c>
      <x:c r="G20" s="89" t="n">
        <x:v>45906.72582175926</x:v>
      </x:c>
      <x:c r="H20" s="89" t="n">
        <x:v>45901.767488425925</x:v>
      </x:c>
      <x:c r="I20" s="89" t="n">
        <x:v>45902.017488425925</x:v>
      </x:c>
      <x:c r="J20" s="84" t="str">
        <x:v>Crítica</x:v>
      </x:c>
      <x:c r="K20" s="84" t="str">
        <x:v>Encerrada</x:v>
      </x:c>
      <x:c r="L20" s="84" t="str">
        <x:v>Superaquecimento</x:v>
      </x:c>
      <x:c r="M20" s="84" t="str">
        <x:v>Desgaste natural</x:v>
      </x:c>
      <x:c r="N20" s="84" t="str">
        <x:v>Componente ajustado ou substituído</x:v>
      </x:c>
      <x:c r="O20" s="84" t="n">
        <x:v>0</x:v>
      </x:c>
      <x:c r="P20" s="93" t="n">
        <x:v>624.6</x:v>
      </x:c>
      <x:c r="Q20" s="93" t="n">
        <x:v>6778.32</x:v>
      </x:c>
      <x:c r="R20" s="91" t="n">
        <x:v>0</x:v>
      </x:c>
    </x:row>
    <x:row r="21">
      <x:c r="A21" s="83" t="n">
        <x:v>20</x:v>
      </x:c>
      <x:c r="B21" s="84" t="str">
        <x:v>OS-2023-00020</x:v>
      </x:c>
      <x:c r="C21" s="84" t="n">
        <x:v>30</x:v>
      </x:c>
      <x:c r="D21" s="84" t="n">
        <x:v>3</x:v>
      </x:c>
      <x:c r="E21" s="84"/>
      <x:c r="F21" s="89" t="n">
        <x:v>45210.01185185185</x:v>
      </x:c>
      <x:c r="G21" s="89"/>
      <x:c r="H21" s="89" t="n">
        <x:v>45210.720185185186</x:v>
      </x:c>
      <x:c r="I21" s="89" t="n">
        <x:v>45211.470185185186</x:v>
      </x:c>
      <x:c r="J21" s="84" t="str">
        <x:v>Alta</x:v>
      </x:c>
      <x:c r="K21" s="84" t="str">
        <x:v>Encerrada</x:v>
      </x:c>
      <x:c r="L21" s="84" t="str">
        <x:v>Alarme intermitente</x:v>
      </x:c>
      <x:c r="M21" s="84" t="str">
        <x:v>Desgaste natural</x:v>
      </x:c>
      <x:c r="N21" s="84" t="str">
        <x:v>Componente ajustado ou substituído</x:v>
      </x:c>
      <x:c r="O21" s="84" t="n">
        <x:v>0</x:v>
      </x:c>
      <x:c r="P21" s="93" t="n">
        <x:v>315.58</x:v>
      </x:c>
      <x:c r="Q21" s="93" t="n">
        <x:v>12344.48</x:v>
      </x:c>
      <x:c r="R21" s="91" t="n">
        <x:v>0</x:v>
      </x:c>
    </x:row>
    <x:row r="22">
      <x:c r="A22" s="83" t="n">
        <x:v>21</x:v>
      </x:c>
      <x:c r="B22" s="84" t="str">
        <x:v>OS-2023-00021</x:v>
      </x:c>
      <x:c r="C22" s="84" t="n">
        <x:v>73</x:v>
      </x:c>
      <x:c r="D22" s="84" t="n">
        <x:v>1</x:v>
      </x:c>
      <x:c r="E22" s="84" t="n">
        <x:v>146</x:v>
      </x:c>
      <x:c r="F22" s="89" t="n">
        <x:v>45153.58868055556</x:v>
      </x:c>
      <x:c r="G22" s="89" t="n">
        <x:v>45153.58868055556</x:v>
      </x:c>
      <x:c r="H22" s="89" t="n">
        <x:v>45154.96368055556</x:v>
      </x:c>
      <x:c r="I22" s="89" t="n">
        <x:v>45155.54701388889</x:v>
      </x:c>
      <x:c r="J22" s="84" t="str">
        <x:v>Baixa</x:v>
      </x:c>
      <x:c r="K22" s="84" t="str">
        <x:v>Concluída</x:v>
      </x:c>
      <x:c r="L22" s="84" t="str">
        <x:v>Falha elétrica</x:v>
      </x:c>
      <x:c r="M22" s="84" t="str">
        <x:v>Contaminação</x:v>
      </x:c>
      <x:c r="N22" s="84" t="str">
        <x:v>Componente ajustado ou substituído</x:v>
      </x:c>
      <x:c r="O22" s="84" t="n">
        <x:v>0</x:v>
      </x:c>
      <x:c r="P22" s="93" t="n">
        <x:v>270.63</x:v>
      </x:c>
      <x:c r="Q22" s="93" t="n">
        <x:v>6621.35</x:v>
      </x:c>
      <x:c r="R22" s="91" t="n">
        <x:v>0</x:v>
      </x:c>
    </x:row>
    <x:row r="23">
      <x:c r="A23" s="83" t="n">
        <x:v>22</x:v>
      </x:c>
      <x:c r="B23" s="84" t="str">
        <x:v>OS-2025-00022</x:v>
      </x:c>
      <x:c r="C23" s="84" t="n">
        <x:v>87</x:v>
      </x:c>
      <x:c r="D23" s="84" t="n">
        <x:v>3</x:v>
      </x:c>
      <x:c r="E23" s="84"/>
      <x:c r="F23" s="89" t="n">
        <x:v>45997.80515046296</x:v>
      </x:c>
      <x:c r="G23" s="89"/>
      <x:c r="H23" s="89" t="n">
        <x:v>46000.6384837963</x:v>
      </x:c>
      <x:c r="I23" s="89" t="n">
        <x:v>46001.18015046296</x:v>
      </x:c>
      <x:c r="J23" s="84" t="str">
        <x:v>Média</x:v>
      </x:c>
      <x:c r="K23" s="84" t="str">
        <x:v>Encerrada</x:v>
      </x:c>
      <x:c r="L23" s="84" t="str">
        <x:v>Falha elétrica</x:v>
      </x:c>
      <x:c r="M23" s="84" t="str">
        <x:v>Falta de lubrificação</x:v>
      </x:c>
      <x:c r="N23" s="84" t="str">
        <x:v>Componente ajustado ou substituído</x:v>
      </x:c>
      <x:c r="O23" s="84" t="n">
        <x:v>0</x:v>
      </x:c>
      <x:c r="P23" s="93" t="n">
        <x:v>54.77</x:v>
      </x:c>
      <x:c r="Q23" s="93" t="n">
        <x:v>0</x:v>
      </x:c>
      <x:c r="R23" s="91" t="n">
        <x:v>0</x:v>
      </x:c>
    </x:row>
    <x:row r="24">
      <x:c r="A24" s="83" t="n">
        <x:v>23</x:v>
      </x:c>
      <x:c r="B24" s="84" t="str">
        <x:v>OS-2024-00023</x:v>
      </x:c>
      <x:c r="C24" s="84" t="n">
        <x:v>62</x:v>
      </x:c>
      <x:c r="D24" s="84" t="n">
        <x:v>3</x:v>
      </x:c>
      <x:c r="E24" s="84"/>
      <x:c r="F24" s="89" t="n">
        <x:v>45406.00818287037</x:v>
      </x:c>
      <x:c r="G24" s="89"/>
      <x:c r="H24" s="89" t="n">
        <x:v>45407.88318287037</x:v>
      </x:c>
      <x:c r="I24" s="89" t="n">
        <x:v>45408.591516203705</x:v>
      </x:c>
      <x:c r="J24" s="84" t="str">
        <x:v>Alta</x:v>
      </x:c>
      <x:c r="K24" s="84" t="str">
        <x:v>Concluída</x:v>
      </x:c>
      <x:c r="L24" s="84" t="str">
        <x:v>Alarme intermitente</x:v>
      </x:c>
      <x:c r="M24" s="84" t="str">
        <x:v>Ajuste incorreto</x:v>
      </x:c>
      <x:c r="N24" s="84" t="str">
        <x:v>Componente ajustado ou substituído</x:v>
      </x:c>
      <x:c r="O24" s="84" t="n">
        <x:v>0</x:v>
      </x:c>
      <x:c r="P24" s="93" t="n">
        <x:v>497.83</x:v>
      </x:c>
      <x:c r="Q24" s="93" t="n">
        <x:v>4871.58</x:v>
      </x:c>
      <x:c r="R24" s="91" t="n">
        <x:v>0</x:v>
      </x:c>
    </x:row>
    <x:row r="25">
      <x:c r="A25" s="83" t="n">
        <x:v>24</x:v>
      </x:c>
      <x:c r="B25" s="84" t="str">
        <x:v>OS-2025-00024</x:v>
      </x:c>
      <x:c r="C25" s="84" t="n">
        <x:v>76</x:v>
      </x:c>
      <x:c r="D25" s="84" t="n">
        <x:v>3</x:v>
      </x:c>
      <x:c r="E25" s="84"/>
      <x:c r="F25" s="89" t="n">
        <x:v>45849.99967592592</x:v>
      </x:c>
      <x:c r="G25" s="89"/>
      <x:c r="H25" s="89" t="n">
        <x:v>45850.33300925926</x:v>
      </x:c>
      <x:c r="I25" s="89" t="n">
        <x:v>45850.49967592592</x:v>
      </x:c>
      <x:c r="J25" s="84" t="str">
        <x:v>Alta</x:v>
      </x:c>
      <x:c r="K25" s="84" t="str">
        <x:v>Encerrada</x:v>
      </x:c>
      <x:c r="L25" s="84" t="str">
        <x:v>Falha elétrica</x:v>
      </x:c>
      <x:c r="M25" s="84" t="str">
        <x:v>Desgaste natural</x:v>
      </x:c>
      <x:c r="N25" s="84" t="str">
        <x:v>Componente ajustado ou substituído</x:v>
      </x:c>
      <x:c r="O25" s="84" t="n">
        <x:v>0</x:v>
      </x:c>
      <x:c r="P25" s="93" t="n">
        <x:v>344.3</x:v>
      </x:c>
      <x:c r="Q25" s="93" t="n">
        <x:v>8526.97</x:v>
      </x:c>
      <x:c r="R25" s="91" t="n">
        <x:v>0</x:v>
      </x:c>
    </x:row>
    <x:row r="26">
      <x:c r="A26" s="83" t="n">
        <x:v>25</x:v>
      </x:c>
      <x:c r="B26" s="84" t="str">
        <x:v>OS-2024-00025</x:v>
      </x:c>
      <x:c r="C26" s="84" t="n">
        <x:v>59</x:v>
      </x:c>
      <x:c r="D26" s="84" t="n">
        <x:v>1</x:v>
      </x:c>
      <x:c r="E26" s="84" t="n">
        <x:v>117</x:v>
      </x:c>
      <x:c r="F26" s="89" t="n">
        <x:v>45413.953148148146</x:v>
      </x:c>
      <x:c r="G26" s="89" t="n">
        <x:v>45426.953148148146</x:v>
      </x:c>
      <x:c r="H26" s="89"/>
      <x:c r="I26" s="89"/>
      <x:c r="J26" s="84" t="str">
        <x:v>Média</x:v>
      </x:c>
      <x:c r="K26" s="84" t="str">
        <x:v>Cancelada</x:v>
      </x:c>
      <x:c r="L26" s="84" t="str">
        <x:v>Ruído anormal</x:v>
      </x:c>
      <x:c r="M26" s="84"/>
      <x:c r="N26" s="84"/>
      <x:c r="O26" s="84" t="n">
        <x:v>0</x:v>
      </x:c>
      <x:c r="P26" s="93" t="n">
        <x:v>0</x:v>
      </x:c>
      <x:c r="Q26" s="93" t="n">
        <x:v>0</x:v>
      </x:c>
      <x:c r="R26" s="91" t="n">
        <x:v>0</x:v>
      </x:c>
    </x:row>
    <x:row r="27">
      <x:c r="A27" s="83" t="n">
        <x:v>26</x:v>
      </x:c>
      <x:c r="B27" s="84" t="str">
        <x:v>OS-2023-00026</x:v>
      </x:c>
      <x:c r="C27" s="84" t="n">
        <x:v>66</x:v>
      </x:c>
      <x:c r="D27" s="84" t="n">
        <x:v>1</x:v>
      </x:c>
      <x:c r="E27" s="84" t="n">
        <x:v>132</x:v>
      </x:c>
      <x:c r="F27" s="89" t="n">
        <x:v>45038.18645833333</x:v>
      </x:c>
      <x:c r="G27" s="89" t="n">
        <x:v>45039.18645833333</x:v>
      </x:c>
      <x:c r="H27" s="89" t="n">
        <x:v>45038.228125</x:v>
      </x:c>
      <x:c r="I27" s="89" t="n">
        <x:v>45038.93645833333</x:v>
      </x:c>
      <x:c r="J27" s="84" t="str">
        <x:v>Baixa</x:v>
      </x:c>
      <x:c r="K27" s="84" t="str">
        <x:v>Encerrada</x:v>
      </x:c>
      <x:c r="L27" s="84" t="str">
        <x:v>Vazamento</x:v>
      </x:c>
      <x:c r="M27" s="84" t="str">
        <x:v>Componente danificado</x:v>
      </x:c>
      <x:c r="N27" s="84" t="str">
        <x:v>Componente ajustado ou substituído</x:v>
      </x:c>
      <x:c r="O27" s="84" t="n">
        <x:v>0</x:v>
      </x:c>
      <x:c r="P27" s="93" t="n">
        <x:v>209.9</x:v>
      </x:c>
      <x:c r="Q27" s="93" t="n">
        <x:v>1988.62</x:v>
      </x:c>
      <x:c r="R27" s="91" t="n">
        <x:v>0</x:v>
      </x:c>
    </x:row>
    <x:row r="28">
      <x:c r="A28" s="83" t="n">
        <x:v>27</x:v>
      </x:c>
      <x:c r="B28" s="84" t="str">
        <x:v>OS-2025-00027</x:v>
      </x:c>
      <x:c r="C28" s="84" t="n">
        <x:v>79</x:v>
      </x:c>
      <x:c r="D28" s="84" t="n">
        <x:v>3</x:v>
      </x:c>
      <x:c r="E28" s="84"/>
      <x:c r="F28" s="89" t="n">
        <x:v>45855.193773148145</x:v>
      </x:c>
      <x:c r="G28" s="89"/>
      <x:c r="H28" s="89" t="n">
        <x:v>45857.068773148145</x:v>
      </x:c>
      <x:c r="I28" s="89" t="n">
        <x:v>45857.443773148145</x:v>
      </x:c>
      <x:c r="J28" s="84" t="str">
        <x:v>Alta</x:v>
      </x:c>
      <x:c r="K28" s="84" t="str">
        <x:v>Encerrada</x:v>
      </x:c>
      <x:c r="L28" s="84" t="str">
        <x:v>Desalinhamento</x:v>
      </x:c>
      <x:c r="M28" s="84" t="str">
        <x:v>Conexão frouxa</x:v>
      </x:c>
      <x:c r="N28" s="84" t="str">
        <x:v>Componente ajustado ou substituído</x:v>
      </x:c>
      <x:c r="O28" s="84" t="n">
        <x:v>0</x:v>
      </x:c>
      <x:c r="P28" s="93" t="n">
        <x:v>371.18</x:v>
      </x:c>
      <x:c r="Q28" s="93" t="n">
        <x:v>5785.66</x:v>
      </x:c>
      <x:c r="R28" s="91" t="n">
        <x:v>0</x:v>
      </x:c>
    </x:row>
    <x:row r="29">
      <x:c r="A29" s="83" t="n">
        <x:v>28</x:v>
      </x:c>
      <x:c r="B29" s="84" t="str">
        <x:v>OS-2025-00028</x:v>
      </x:c>
      <x:c r="C29" s="84" t="n">
        <x:v>49</x:v>
      </x:c>
      <x:c r="D29" s="84" t="n">
        <x:v>3</x:v>
      </x:c>
      <x:c r="E29" s="84"/>
      <x:c r="F29" s="89" t="n">
        <x:v>45992.060636574075</x:v>
      </x:c>
      <x:c r="G29" s="89"/>
      <x:c r="H29" s="89" t="n">
        <x:v>45993.47730324074</x:v>
      </x:c>
      <x:c r="I29" s="89" t="n">
        <x:v>45993.76896990741</x:v>
      </x:c>
      <x:c r="J29" s="84" t="str">
        <x:v>Baixa</x:v>
      </x:c>
      <x:c r="K29" s="84" t="str">
        <x:v>Encerrada</x:v>
      </x:c>
      <x:c r="L29" s="84" t="str">
        <x:v>Desalinhamento</x:v>
      </x:c>
      <x:c r="M29" s="84" t="str">
        <x:v>Contaminação</x:v>
      </x:c>
      <x:c r="N29" s="84" t="str">
        <x:v>Componente ajustado ou substituído</x:v>
      </x:c>
      <x:c r="O29" s="84" t="n">
        <x:v>0</x:v>
      </x:c>
      <x:c r="P29" s="93" t="n">
        <x:v>266.85</x:v>
      </x:c>
      <x:c r="Q29" s="93" t="n">
        <x:v>0</x:v>
      </x:c>
      <x:c r="R29" s="91" t="n">
        <x:v>0</x:v>
      </x:c>
    </x:row>
    <x:row r="30">
      <x:c r="A30" s="83" t="n">
        <x:v>29</x:v>
      </x:c>
      <x:c r="B30" s="84" t="str">
        <x:v>OS-2024-00029</x:v>
      </x:c>
      <x:c r="C30" s="84" t="n">
        <x:v>36</x:v>
      </x:c>
      <x:c r="D30" s="84" t="n">
        <x:v>1</x:v>
      </x:c>
      <x:c r="E30" s="84" t="n">
        <x:v>72</x:v>
      </x:c>
      <x:c r="F30" s="89" t="n">
        <x:v>45561.14748842592</x:v>
      </x:c>
      <x:c r="G30" s="89" t="n">
        <x:v>45566.14748842592</x:v>
      </x:c>
      <x:c r="H30" s="89"/>
      <x:c r="I30" s="89"/>
      <x:c r="J30" s="84" t="str">
        <x:v>Alta</x:v>
      </x:c>
      <x:c r="K30" s="84" t="str">
        <x:v>Planejada</x:v>
      </x:c>
      <x:c r="L30" s="84" t="str">
        <x:v>Baixa pressão</x:v>
      </x:c>
      <x:c r="M30" s="84"/>
      <x:c r="N30" s="84"/>
      <x:c r="O30" s="84" t="n">
        <x:v>0</x:v>
      </x:c>
      <x:c r="P30" s="93" t="n">
        <x:v>0</x:v>
      </x:c>
      <x:c r="Q30" s="93" t="n">
        <x:v>0</x:v>
      </x:c>
      <x:c r="R30" s="91" t="n">
        <x:v>0</x:v>
      </x:c>
    </x:row>
    <x:row r="31">
      <x:c r="A31" s="83" t="n">
        <x:v>30</x:v>
      </x:c>
      <x:c r="B31" s="84" t="str">
        <x:v>OS-2025-00030</x:v>
      </x:c>
      <x:c r="C31" s="84" t="n">
        <x:v>34</x:v>
      </x:c>
      <x:c r="D31" s="84" t="n">
        <x:v>1</x:v>
      </x:c>
      <x:c r="E31" s="84" t="n">
        <x:v>68</x:v>
      </x:c>
      <x:c r="F31" s="89" t="n">
        <x:v>45668.60796296296</x:v>
      </x:c>
      <x:c r="G31" s="89" t="n">
        <x:v>45673.60796296296</x:v>
      </x:c>
      <x:c r="H31" s="89" t="n">
        <x:v>45669.816296296296</x:v>
      </x:c>
      <x:c r="I31" s="89" t="n">
        <x:v>45669.98296296296</x:v>
      </x:c>
      <x:c r="J31" s="84" t="str">
        <x:v>Alta</x:v>
      </x:c>
      <x:c r="K31" s="84" t="str">
        <x:v>Encerrada</x:v>
      </x:c>
      <x:c r="L31" s="84" t="str">
        <x:v>Superaquecimento</x:v>
      </x:c>
      <x:c r="M31" s="84" t="str">
        <x:v>Falta de lubrificação</x:v>
      </x:c>
      <x:c r="N31" s="84" t="str">
        <x:v>Componente ajustado ou substituído</x:v>
      </x:c>
      <x:c r="O31" s="84" t="n">
        <x:v>0</x:v>
      </x:c>
      <x:c r="P31" s="93" t="n">
        <x:v>174.23</x:v>
      </x:c>
      <x:c r="Q31" s="93" t="n">
        <x:v>10908.33</x:v>
      </x:c>
      <x:c r="R31" s="91" t="n">
        <x:v>9335.53</x:v>
      </x:c>
    </x:row>
    <x:row r="32">
      <x:c r="A32" s="83" t="n">
        <x:v>31</x:v>
      </x:c>
      <x:c r="B32" s="84" t="str">
        <x:v>OS-2024-00031</x:v>
      </x:c>
      <x:c r="C32" s="84" t="n">
        <x:v>73</x:v>
      </x:c>
      <x:c r="D32" s="84" t="n">
        <x:v>1</x:v>
      </x:c>
      <x:c r="E32" s="84" t="n">
        <x:v>146</x:v>
      </x:c>
      <x:c r="F32" s="89" t="n">
        <x:v>45559.572534722225</x:v>
      </x:c>
      <x:c r="G32" s="89" t="n">
        <x:v>45566.572534722225</x:v>
      </x:c>
      <x:c r="H32" s="89" t="n">
        <x:v>45559.98920138889</x:v>
      </x:c>
      <x:c r="I32" s="89" t="n">
        <x:v>45560.36420138889</x:v>
      </x:c>
      <x:c r="J32" s="84" t="str">
        <x:v>Crítica</x:v>
      </x:c>
      <x:c r="K32" s="84" t="str">
        <x:v>Concluída</x:v>
      </x:c>
      <x:c r="L32" s="84" t="str">
        <x:v>Baixa pressão</x:v>
      </x:c>
      <x:c r="M32" s="84" t="str">
        <x:v>Contaminação</x:v>
      </x:c>
      <x:c r="N32" s="84" t="str">
        <x:v>Componente ajustado ou substituído</x:v>
      </x:c>
      <x:c r="O32" s="84" t="n">
        <x:v>0</x:v>
      </x:c>
      <x:c r="P32" s="93" t="n">
        <x:v>364.41</x:v>
      </x:c>
      <x:c r="Q32" s="93" t="n">
        <x:v>4988.92</x:v>
      </x:c>
      <x:c r="R32" s="91" t="n">
        <x:v>0</x:v>
      </x:c>
    </x:row>
    <x:row r="33">
      <x:c r="A33" s="83" t="n">
        <x:v>32</x:v>
      </x:c>
      <x:c r="B33" s="84" t="str">
        <x:v>OS-2025-00032</x:v>
      </x:c>
      <x:c r="C33" s="84" t="n">
        <x:v>45</x:v>
      </x:c>
      <x:c r="D33" s="84" t="n">
        <x:v>3</x:v>
      </x:c>
      <x:c r="E33" s="84"/>
      <x:c r="F33" s="89" t="n">
        <x:v>45785.27474537037</x:v>
      </x:c>
      <x:c r="G33" s="89"/>
      <x:c r="H33" s="89" t="n">
        <x:v>45787.39974537037</x:v>
      </x:c>
      <x:c r="I33" s="89" t="n">
        <x:v>45788.191412037035</x:v>
      </x:c>
      <x:c r="J33" s="84" t="str">
        <x:v>Baixa</x:v>
      </x:c>
      <x:c r="K33" s="84" t="str">
        <x:v>Concluída</x:v>
      </x:c>
      <x:c r="L33" s="84" t="str">
        <x:v>Ruído anormal</x:v>
      </x:c>
      <x:c r="M33" s="84" t="str">
        <x:v>Falta de lubrificação</x:v>
      </x:c>
      <x:c r="N33" s="84" t="str">
        <x:v>Componente ajustado ou substituído</x:v>
      </x:c>
      <x:c r="O33" s="84" t="n">
        <x:v>0</x:v>
      </x:c>
      <x:c r="P33" s="93" t="n">
        <x:v>283.06</x:v>
      </x:c>
      <x:c r="Q33" s="93" t="n">
        <x:v>5999.4</x:v>
      </x:c>
      <x:c r="R33" s="91" t="n">
        <x:v>7989.93</x:v>
      </x:c>
    </x:row>
    <x:row r="34">
      <x:c r="A34" s="83" t="n">
        <x:v>33</x:v>
      </x:c>
      <x:c r="B34" s="84" t="str">
        <x:v>OS-2024-00033</x:v>
      </x:c>
      <x:c r="C34" s="84" t="n">
        <x:v>72</x:v>
      </x:c>
      <x:c r="D34" s="84" t="n">
        <x:v>7</x:v>
      </x:c>
      <x:c r="E34" s="84" t="n">
        <x:v>143</x:v>
      </x:c>
      <x:c r="F34" s="89" t="n">
        <x:v>45431.36193287037</x:v>
      </x:c>
      <x:c r="G34" s="89" t="n">
        <x:v>45433.36193287037</x:v>
      </x:c>
      <x:c r="H34" s="89" t="n">
        <x:v>45432.36193287037</x:v>
      </x:c>
      <x:c r="I34" s="89" t="n">
        <x:v>45432.73693287037</x:v>
      </x:c>
      <x:c r="J34" s="84" t="str">
        <x:v>Crítica</x:v>
      </x:c>
      <x:c r="K34" s="84" t="str">
        <x:v>Concluída</x:v>
      </x:c>
      <x:c r="L34" s="84" t="str">
        <x:v>Falha elétrica</x:v>
      </x:c>
      <x:c r="M34" s="84" t="str">
        <x:v>Conexão frouxa</x:v>
      </x:c>
      <x:c r="N34" s="84" t="str">
        <x:v>Componente ajustado ou substituído</x:v>
      </x:c>
      <x:c r="O34" s="84" t="n">
        <x:v>0</x:v>
      </x:c>
      <x:c r="P34" s="93" t="n">
        <x:v>333.22</x:v>
      </x:c>
      <x:c r="Q34" s="93" t="n">
        <x:v>0</x:v>
      </x:c>
      <x:c r="R34" s="91" t="n">
        <x:v>0</x:v>
      </x:c>
    </x:row>
    <x:row r="35">
      <x:c r="A35" s="83" t="n">
        <x:v>34</x:v>
      </x:c>
      <x:c r="B35" s="84" t="str">
        <x:v>OS-2023-00034</x:v>
      </x:c>
      <x:c r="C35" s="84" t="n">
        <x:v>66</x:v>
      </x:c>
      <x:c r="D35" s="84" t="n">
        <x:v>4</x:v>
      </x:c>
      <x:c r="E35" s="84"/>
      <x:c r="F35" s="89" t="n">
        <x:v>44981.29010416667</x:v>
      </x:c>
      <x:c r="G35" s="89" t="n">
        <x:v>44989.29010416667</x:v>
      </x:c>
      <x:c r="H35" s="89" t="n">
        <x:v>44981.79010416667</x:v>
      </x:c>
      <x:c r="I35" s="89" t="n">
        <x:v>44981.956770833334</x:v>
      </x:c>
      <x:c r="J35" s="84" t="str">
        <x:v>Baixa</x:v>
      </x:c>
      <x:c r="K35" s="84" t="str">
        <x:v>Encerrada</x:v>
      </x:c>
      <x:c r="L35" s="84" t="str">
        <x:v>Vazamento</x:v>
      </x:c>
      <x:c r="M35" s="84" t="str">
        <x:v>Conexão frouxa</x:v>
      </x:c>
      <x:c r="N35" s="84" t="str">
        <x:v>Componente ajustado ou substituído</x:v>
      </x:c>
      <x:c r="O35" s="84" t="n">
        <x:v>0</x:v>
      </x:c>
      <x:c r="P35" s="93" t="n">
        <x:v>250.01</x:v>
      </x:c>
      <x:c r="Q35" s="93" t="n">
        <x:v>0</x:v>
      </x:c>
      <x:c r="R35" s="91" t="n">
        <x:v>0</x:v>
      </x:c>
    </x:row>
    <x:row r="36">
      <x:c r="A36" s="83" t="n">
        <x:v>35</x:v>
      </x:c>
      <x:c r="B36" s="84" t="str">
        <x:v>OS-2024-00035</x:v>
      </x:c>
      <x:c r="C36" s="84" t="n">
        <x:v>6</x:v>
      </x:c>
      <x:c r="D36" s="84" t="n">
        <x:v>1</x:v>
      </x:c>
      <x:c r="E36" s="84" t="n">
        <x:v>11</x:v>
      </x:c>
      <x:c r="F36" s="89" t="n">
        <x:v>45424.46686342593</x:v>
      </x:c>
      <x:c r="G36" s="89" t="n">
        <x:v>45427.46686342593</x:v>
      </x:c>
      <x:c r="H36" s="89" t="n">
        <x:v>45427.46686342593</x:v>
      </x:c>
      <x:c r="I36" s="89" t="n">
        <x:v>45427.92519675926</x:v>
      </x:c>
      <x:c r="J36" s="84" t="str">
        <x:v>Média</x:v>
      </x:c>
      <x:c r="K36" s="84" t="str">
        <x:v>Encerrada</x:v>
      </x:c>
      <x:c r="L36" s="84" t="str">
        <x:v>Vazamento</x:v>
      </x:c>
      <x:c r="M36" s="84" t="str">
        <x:v>Desgaste natural</x:v>
      </x:c>
      <x:c r="N36" s="84" t="str">
        <x:v>Componente ajustado ou substituído</x:v>
      </x:c>
      <x:c r="O36" s="84" t="n">
        <x:v>0</x:v>
      </x:c>
      <x:c r="P36" s="93" t="n">
        <x:v>419.25</x:v>
      </x:c>
      <x:c r="Q36" s="93" t="n">
        <x:v>2288.87</x:v>
      </x:c>
      <x:c r="R36" s="91" t="n">
        <x:v>0</x:v>
      </x:c>
    </x:row>
    <x:row r="37">
      <x:c r="A37" s="83" t="n">
        <x:v>36</x:v>
      </x:c>
      <x:c r="B37" s="84" t="str">
        <x:v>OS-2025-00036</x:v>
      </x:c>
      <x:c r="C37" s="84" t="n">
        <x:v>16</x:v>
      </x:c>
      <x:c r="D37" s="84" t="n">
        <x:v>4</x:v>
      </x:c>
      <x:c r="E37" s="84"/>
      <x:c r="F37" s="89" t="n">
        <x:v>45728.75239583333</x:v>
      </x:c>
      <x:c r="G37" s="89" t="n">
        <x:v>45729.75239583333</x:v>
      </x:c>
      <x:c r="H37" s="89" t="n">
        <x:v>45729.50239583333</x:v>
      </x:c>
      <x:c r="I37" s="89" t="n">
        <x:v>45730.1690625</x:v>
      </x:c>
      <x:c r="J37" s="84" t="str">
        <x:v>Crítica</x:v>
      </x:c>
      <x:c r="K37" s="84" t="str">
        <x:v>Encerrada</x:v>
      </x:c>
      <x:c r="L37" s="84" t="str">
        <x:v>Falha elétrica</x:v>
      </x:c>
      <x:c r="M37" s="84" t="str">
        <x:v>Componente danificado</x:v>
      </x:c>
      <x:c r="N37" s="84" t="str">
        <x:v>Componente ajustado ou substituído</x:v>
      </x:c>
      <x:c r="O37" s="84" t="n">
        <x:v>1</x:v>
      </x:c>
      <x:c r="P37" s="93" t="n">
        <x:v>227.49</x:v>
      </x:c>
      <x:c r="Q37" s="93" t="n">
        <x:v>0</x:v>
      </x:c>
      <x:c r="R37" s="91" t="n">
        <x:v>0</x:v>
      </x:c>
    </x:row>
    <x:row r="38">
      <x:c r="A38" s="83" t="n">
        <x:v>37</x:v>
      </x:c>
      <x:c r="B38" s="84" t="str">
        <x:v>OS-2024-00037</x:v>
      </x:c>
      <x:c r="C38" s="84" t="n">
        <x:v>5</x:v>
      </x:c>
      <x:c r="D38" s="84" t="n">
        <x:v>5</x:v>
      </x:c>
      <x:c r="E38" s="84" t="n">
        <x:v>9</x:v>
      </x:c>
      <x:c r="F38" s="89" t="n">
        <x:v>45393.610243055555</x:v>
      </x:c>
      <x:c r="G38" s="89" t="n">
        <x:v>45399.610243055555</x:v>
      </x:c>
      <x:c r="H38" s="89" t="n">
        <x:v>45396.40190972222</x:v>
      </x:c>
      <x:c r="I38" s="89" t="n">
        <x:v>45396.44357638889</x:v>
      </x:c>
      <x:c r="J38" s="84" t="str">
        <x:v>Baixa</x:v>
      </x:c>
      <x:c r="K38" s="84" t="str">
        <x:v>Encerrada</x:v>
      </x:c>
      <x:c r="L38" s="84" t="str">
        <x:v>Baixa pressão</x:v>
      </x:c>
      <x:c r="M38" s="84" t="str">
        <x:v>Ajuste incorreto</x:v>
      </x:c>
      <x:c r="N38" s="84" t="str">
        <x:v>Componente ajustado ou substituído</x:v>
      </x:c>
      <x:c r="O38" s="84" t="n">
        <x:v>0</x:v>
      </x:c>
      <x:c r="P38" s="93" t="n">
        <x:v>567.2</x:v>
      </x:c>
      <x:c r="Q38" s="93" t="n">
        <x:v>0</x:v>
      </x:c>
      <x:c r="R38" s="91" t="n">
        <x:v>0</x:v>
      </x:c>
    </x:row>
    <x:row r="39">
      <x:c r="A39" s="83" t="n">
        <x:v>38</x:v>
      </x:c>
      <x:c r="B39" s="84" t="str">
        <x:v>OS-2024-00038</x:v>
      </x:c>
      <x:c r="C39" s="84" t="n">
        <x:v>56</x:v>
      </x:c>
      <x:c r="D39" s="84" t="n">
        <x:v>2</x:v>
      </x:c>
      <x:c r="E39" s="84"/>
      <x:c r="F39" s="89" t="n">
        <x:v>45292.452199074076</x:v>
      </x:c>
      <x:c r="G39" s="89" t="n">
        <x:v>45294.452199074076</x:v>
      </x:c>
      <x:c r="H39" s="89" t="n">
        <x:v>45292.61886574074</x:v>
      </x:c>
      <x:c r="I39" s="89" t="n">
        <x:v>45292.910532407404</x:v>
      </x:c>
      <x:c r="J39" s="84" t="str">
        <x:v>Baixa</x:v>
      </x:c>
      <x:c r="K39" s="84" t="str">
        <x:v>Encerrada</x:v>
      </x:c>
      <x:c r="L39" s="84" t="str">
        <x:v>Vazamento</x:v>
      </x:c>
      <x:c r="M39" s="84" t="str">
        <x:v>Falta de lubrificação</x:v>
      </x:c>
      <x:c r="N39" s="84" t="str">
        <x:v>Componente ajustado ou substituído</x:v>
      </x:c>
      <x:c r="O39" s="84" t="n">
        <x:v>0</x:v>
      </x:c>
      <x:c r="P39" s="93" t="n">
        <x:v>260.32</x:v>
      </x:c>
      <x:c r="Q39" s="93" t="n">
        <x:v>6508.89</x:v>
      </x:c>
      <x:c r="R39" s="91" t="n">
        <x:v>0</x:v>
      </x:c>
    </x:row>
    <x:row r="40">
      <x:c r="A40" s="83" t="n">
        <x:v>39</x:v>
      </x:c>
      <x:c r="B40" s="84" t="str">
        <x:v>OS-2024-00039</x:v>
      </x:c>
      <x:c r="C40" s="84" t="n">
        <x:v>48</x:v>
      </x:c>
      <x:c r="D40" s="84" t="n">
        <x:v>5</x:v>
      </x:c>
      <x:c r="E40" s="84" t="n">
        <x:v>96</x:v>
      </x:c>
      <x:c r="F40" s="89" t="n">
        <x:v>45579.54403935185</x:v>
      </x:c>
      <x:c r="G40" s="89" t="n">
        <x:v>45591.54403935185</x:v>
      </x:c>
      <x:c r="H40" s="89" t="n">
        <x:v>45580.37737268519</x:v>
      </x:c>
      <x:c r="I40" s="89" t="n">
        <x:v>45581.16903935185</x:v>
      </x:c>
      <x:c r="J40" s="84" t="str">
        <x:v>Crítica</x:v>
      </x:c>
      <x:c r="K40" s="84" t="str">
        <x:v>Concluída</x:v>
      </x:c>
      <x:c r="L40" s="84" t="str">
        <x:v>Alarme intermitente</x:v>
      </x:c>
      <x:c r="M40" s="84" t="str">
        <x:v>Ajuste incorreto</x:v>
      </x:c>
      <x:c r="N40" s="84" t="str">
        <x:v>Componente ajustado ou substituído</x:v>
      </x:c>
      <x:c r="O40" s="84" t="n">
        <x:v>0</x:v>
      </x:c>
      <x:c r="P40" s="93" t="n">
        <x:v>266.87</x:v>
      </x:c>
      <x:c r="Q40" s="93" t="n">
        <x:v>0</x:v>
      </x:c>
      <x:c r="R40" s="91" t="n">
        <x:v>0</x:v>
      </x:c>
    </x:row>
    <x:row r="41">
      <x:c r="A41" s="83" t="n">
        <x:v>40</x:v>
      </x:c>
      <x:c r="B41" s="84" t="str">
        <x:v>OS-2023-00040</x:v>
      </x:c>
      <x:c r="C41" s="84" t="n">
        <x:v>86</x:v>
      </x:c>
      <x:c r="D41" s="84" t="n">
        <x:v>3</x:v>
      </x:c>
      <x:c r="E41" s="84"/>
      <x:c r="F41" s="89" t="n">
        <x:v>45231.10314814815</x:v>
      </x:c>
      <x:c r="G41" s="89"/>
      <x:c r="H41" s="89"/>
      <x:c r="I41" s="89"/>
      <x:c r="J41" s="84" t="str">
        <x:v>Crítica</x:v>
      </x:c>
      <x:c r="K41" s="84" t="str">
        <x:v>Planejada</x:v>
      </x:c>
      <x:c r="L41" s="84" t="str">
        <x:v>Falha elétrica</x:v>
      </x:c>
      <x:c r="M41" s="84"/>
      <x:c r="N41" s="84"/>
      <x:c r="O41" s="84" t="n">
        <x:v>0</x:v>
      </x:c>
      <x:c r="P41" s="93" t="n">
        <x:v>0</x:v>
      </x:c>
      <x:c r="Q41" s="93" t="n">
        <x:v>0</x:v>
      </x:c>
      <x:c r="R41" s="91" t="n">
        <x:v>0</x:v>
      </x:c>
    </x:row>
    <x:row r="42">
      <x:c r="A42" s="83" t="n">
        <x:v>41</x:v>
      </x:c>
      <x:c r="B42" s="84" t="str">
        <x:v>OS-2024-00041</x:v>
      </x:c>
      <x:c r="C42" s="84" t="n">
        <x:v>59</x:v>
      </x:c>
      <x:c r="D42" s="84" t="n">
        <x:v>3</x:v>
      </x:c>
      <x:c r="E42" s="84"/>
      <x:c r="F42" s="89" t="n">
        <x:v>45563.434270833335</x:v>
      </x:c>
      <x:c r="G42" s="89"/>
      <x:c r="H42" s="89" t="n">
        <x:v>45564.934270833335</x:v>
      </x:c>
      <x:c r="I42" s="89" t="n">
        <x:v>45565.4759375</x:v>
      </x:c>
      <x:c r="J42" s="84" t="str">
        <x:v>Crítica</x:v>
      </x:c>
      <x:c r="K42" s="84" t="str">
        <x:v>Encerrada</x:v>
      </x:c>
      <x:c r="L42" s="84" t="str">
        <x:v>Vazamento</x:v>
      </x:c>
      <x:c r="M42" s="84" t="str">
        <x:v>Ajuste incorreto</x:v>
      </x:c>
      <x:c r="N42" s="84" t="str">
        <x:v>Componente ajustado ou substituído</x:v>
      </x:c>
      <x:c r="O42" s="84" t="n">
        <x:v>0</x:v>
      </x:c>
      <x:c r="P42" s="93" t="n">
        <x:v>697.42</x:v>
      </x:c>
      <x:c r="Q42" s="93" t="n">
        <x:v>7707.26</x:v>
      </x:c>
      <x:c r="R42" s="91" t="n">
        <x:v>0</x:v>
      </x:c>
    </x:row>
    <x:row r="43">
      <x:c r="A43" s="83" t="n">
        <x:v>42</x:v>
      </x:c>
      <x:c r="B43" s="84" t="str">
        <x:v>OS-2023-00042</x:v>
      </x:c>
      <x:c r="C43" s="84" t="n">
        <x:v>2</x:v>
      </x:c>
      <x:c r="D43" s="84" t="n">
        <x:v>7</x:v>
      </x:c>
      <x:c r="E43" s="84" t="n">
        <x:v>4</x:v>
      </x:c>
      <x:c r="F43" s="89" t="n">
        <x:v>44953.03019675926</x:v>
      </x:c>
      <x:c r="G43" s="89" t="n">
        <x:v>44962.03019675926</x:v>
      </x:c>
      <x:c r="H43" s="89" t="n">
        <x:v>44954.696863425925</x:v>
      </x:c>
      <x:c r="I43" s="89"/>
      <x:c r="J43" s="84" t="str">
        <x:v>Média</x:v>
      </x:c>
      <x:c r="K43" s="84" t="str">
        <x:v>Aguardando peça</x:v>
      </x:c>
      <x:c r="L43" s="84" t="str">
        <x:v>Desalinhamento</x:v>
      </x:c>
      <x:c r="M43" s="84" t="str">
        <x:v>Ajuste incorreto</x:v>
      </x:c>
      <x:c r="N43" s="84"/>
      <x:c r="O43" s="84" t="n">
        <x:v>0</x:v>
      </x:c>
      <x:c r="P43" s="93" t="n">
        <x:v>169.98</x:v>
      </x:c>
      <x:c r="Q43" s="93" t="n">
        <x:v>1061.4</x:v>
      </x:c>
      <x:c r="R43" s="91" t="n">
        <x:v>0</x:v>
      </x:c>
    </x:row>
    <x:row r="44">
      <x:c r="A44" s="83" t="n">
        <x:v>43</x:v>
      </x:c>
      <x:c r="B44" s="84" t="str">
        <x:v>OS-2023-00043</x:v>
      </x:c>
      <x:c r="C44" s="84" t="n">
        <x:v>42</x:v>
      </x:c>
      <x:c r="D44" s="84" t="n">
        <x:v>3</x:v>
      </x:c>
      <x:c r="E44" s="84"/>
      <x:c r="F44" s="89" t="n">
        <x:v>45055.53518518519</x:v>
      </x:c>
      <x:c r="G44" s="89"/>
      <x:c r="H44" s="89" t="n">
        <x:v>45058.16018518519</x:v>
      </x:c>
      <x:c r="I44" s="89" t="n">
        <x:v>45058.95185185185</x:v>
      </x:c>
      <x:c r="J44" s="84" t="str">
        <x:v>Média</x:v>
      </x:c>
      <x:c r="K44" s="84" t="str">
        <x:v>Encerrada</x:v>
      </x:c>
      <x:c r="L44" s="84" t="str">
        <x:v>Baixa pressão</x:v>
      </x:c>
      <x:c r="M44" s="84" t="str">
        <x:v>Desgaste natural</x:v>
      </x:c>
      <x:c r="N44" s="84" t="str">
        <x:v>Componente ajustado ou substituído</x:v>
      </x:c>
      <x:c r="O44" s="84" t="n">
        <x:v>0</x:v>
      </x:c>
      <x:c r="P44" s="93" t="n">
        <x:v>246.34</x:v>
      </x:c>
      <x:c r="Q44" s="93" t="n">
        <x:v>10338.44</x:v>
      </x:c>
      <x:c r="R44" s="91" t="n">
        <x:v>0</x:v>
      </x:c>
    </x:row>
    <x:row r="45">
      <x:c r="A45" s="83" t="n">
        <x:v>44</x:v>
      </x:c>
      <x:c r="B45" s="84" t="str">
        <x:v>OS-2024-00044</x:v>
      </x:c>
      <x:c r="C45" s="84" t="n">
        <x:v>12</x:v>
      </x:c>
      <x:c r="D45" s="84" t="n">
        <x:v>1</x:v>
      </x:c>
      <x:c r="E45" s="84" t="n">
        <x:v>23</x:v>
      </x:c>
      <x:c r="F45" s="89" t="n">
        <x:v>45568.117476851854</x:v>
      </x:c>
      <x:c r="G45" s="89" t="n">
        <x:v>45569.117476851854</x:v>
      </x:c>
      <x:c r="H45" s="89" t="n">
        <x:v>45570.45081018518</x:v>
      </x:c>
      <x:c r="I45" s="89" t="n">
        <x:v>45571.242476851854</x:v>
      </x:c>
      <x:c r="J45" s="84" t="str">
        <x:v>Crítica</x:v>
      </x:c>
      <x:c r="K45" s="84" t="str">
        <x:v>Encerrada</x:v>
      </x:c>
      <x:c r="L45" s="84" t="str">
        <x:v>Desalinhamento</x:v>
      </x:c>
      <x:c r="M45" s="84" t="str">
        <x:v>Falta de lubrificação</x:v>
      </x:c>
      <x:c r="N45" s="84" t="str">
        <x:v>Componente ajustado ou substituído</x:v>
      </x:c>
      <x:c r="O45" s="84" t="n">
        <x:v>0</x:v>
      </x:c>
      <x:c r="P45" s="93" t="n">
        <x:v>308.62</x:v>
      </x:c>
      <x:c r="Q45" s="93" t="n">
        <x:v>7001.85</x:v>
      </x:c>
      <x:c r="R45" s="91" t="n">
        <x:v>0</x:v>
      </x:c>
    </x:row>
    <x:row r="46">
      <x:c r="A46" s="83" t="n">
        <x:v>45</x:v>
      </x:c>
      <x:c r="B46" s="84" t="str">
        <x:v>OS-2025-00045</x:v>
      </x:c>
      <x:c r="C46" s="84" t="n">
        <x:v>70</x:v>
      </x:c>
      <x:c r="D46" s="84" t="n">
        <x:v>4</x:v>
      </x:c>
      <x:c r="E46" s="84"/>
      <x:c r="F46" s="89" t="n">
        <x:v>45740.47175925926</x:v>
      </x:c>
      <x:c r="G46" s="89" t="n">
        <x:v>45753.47175925926</x:v>
      </x:c>
      <x:c r="H46" s="89" t="n">
        <x:v>45743.09675925926</x:v>
      </x:c>
      <x:c r="I46" s="89" t="n">
        <x:v>45743.43009259259</x:v>
      </x:c>
      <x:c r="J46" s="84" t="str">
        <x:v>Crítica</x:v>
      </x:c>
      <x:c r="K46" s="84" t="str">
        <x:v>Encerrada</x:v>
      </x:c>
      <x:c r="L46" s="84" t="str">
        <x:v>Baixa pressão</x:v>
      </x:c>
      <x:c r="M46" s="84" t="str">
        <x:v>Desgaste natural</x:v>
      </x:c>
      <x:c r="N46" s="84" t="str">
        <x:v>Componente ajustado ou substituído</x:v>
      </x:c>
      <x:c r="O46" s="84" t="n">
        <x:v>0</x:v>
      </x:c>
      <x:c r="P46" s="93" t="n">
        <x:v>284.18</x:v>
      </x:c>
      <x:c r="Q46" s="93" t="n">
        <x:v>9227.82</x:v>
      </x:c>
      <x:c r="R46" s="91" t="n">
        <x:v>0</x:v>
      </x:c>
    </x:row>
    <x:row r="47">
      <x:c r="A47" s="83" t="n">
        <x:v>46</x:v>
      </x:c>
      <x:c r="B47" s="84" t="str">
        <x:v>OS-2023-00046</x:v>
      </x:c>
      <x:c r="C47" s="84" t="n">
        <x:v>1</x:v>
      </x:c>
      <x:c r="D47" s="84" t="n">
        <x:v>1</x:v>
      </x:c>
      <x:c r="E47" s="84" t="n">
        <x:v>2</x:v>
      </x:c>
      <x:c r="F47" s="89" t="n">
        <x:v>45073.432534722226</x:v>
      </x:c>
      <x:c r="G47" s="89" t="n">
        <x:v>45085.432534722226</x:v>
      </x:c>
      <x:c r="H47" s="89" t="n">
        <x:v>45074.72420138889</x:v>
      </x:c>
      <x:c r="I47" s="89" t="n">
        <x:v>45075.265868055554</x:v>
      </x:c>
      <x:c r="J47" s="84" t="str">
        <x:v>Baixa</x:v>
      </x:c>
      <x:c r="K47" s="84" t="str">
        <x:v>Encerrada</x:v>
      </x:c>
      <x:c r="L47" s="84" t="str">
        <x:v>Desalinhamento</x:v>
      </x:c>
      <x:c r="M47" s="84" t="str">
        <x:v>Conexão frouxa</x:v>
      </x:c>
      <x:c r="N47" s="84" t="str">
        <x:v>Componente ajustado ou substituído</x:v>
      </x:c>
      <x:c r="O47" s="84" t="n">
        <x:v>0</x:v>
      </x:c>
      <x:c r="P47" s="93" t="n">
        <x:v>20.7</x:v>
      </x:c>
      <x:c r="Q47" s="93" t="n">
        <x:v>0</x:v>
      </x:c>
      <x:c r="R47" s="91" t="n">
        <x:v>0</x:v>
      </x:c>
    </x:row>
    <x:row r="48">
      <x:c r="A48" s="83" t="n">
        <x:v>47</x:v>
      </x:c>
      <x:c r="B48" s="84" t="str">
        <x:v>OS-2023-00047</x:v>
      </x:c>
      <x:c r="C48" s="84" t="n">
        <x:v>9</x:v>
      </x:c>
      <x:c r="D48" s="84" t="n">
        <x:v>2</x:v>
      </x:c>
      <x:c r="E48" s="84"/>
      <x:c r="F48" s="89" t="n">
        <x:v>45001.32450231481</x:v>
      </x:c>
      <x:c r="G48" s="89" t="n">
        <x:v>45001.32450231481</x:v>
      </x:c>
      <x:c r="H48" s="89" t="n">
        <x:v>45002.65783564815</x:v>
      </x:c>
      <x:c r="I48" s="89" t="n">
        <x:v>45002.90783564815</x:v>
      </x:c>
      <x:c r="J48" s="84" t="str">
        <x:v>Baixa</x:v>
      </x:c>
      <x:c r="K48" s="84" t="str">
        <x:v>Encerrada</x:v>
      </x:c>
      <x:c r="L48" s="84" t="str">
        <x:v>Vazamento</x:v>
      </x:c>
      <x:c r="M48" s="84" t="str">
        <x:v>Ajuste incorreto</x:v>
      </x:c>
      <x:c r="N48" s="84" t="str">
        <x:v>Componente ajustado ou substituído</x:v>
      </x:c>
      <x:c r="O48" s="84" t="n">
        <x:v>0</x:v>
      </x:c>
      <x:c r="P48" s="93" t="n">
        <x:v>523.4</x:v>
      </x:c>
      <x:c r="Q48" s="93" t="n">
        <x:v>16088.36</x:v>
      </x:c>
      <x:c r="R48" s="91" t="n">
        <x:v>0</x:v>
      </x:c>
    </x:row>
    <x:row r="49">
      <x:c r="A49" s="83" t="n">
        <x:v>48</x:v>
      </x:c>
      <x:c r="B49" s="84" t="str">
        <x:v>OS-2025-00048</x:v>
      </x:c>
      <x:c r="C49" s="84" t="n">
        <x:v>67</x:v>
      </x:c>
      <x:c r="D49" s="84" t="n">
        <x:v>1</x:v>
      </x:c>
      <x:c r="E49" s="84" t="n">
        <x:v>133</x:v>
      </x:c>
      <x:c r="F49" s="89" t="n">
        <x:v>45977.45291666667</x:v>
      </x:c>
      <x:c r="G49" s="89" t="n">
        <x:v>45979.45291666667</x:v>
      </x:c>
      <x:c r="H49" s="89" t="n">
        <x:v>45979.20291666667</x:v>
      </x:c>
      <x:c r="I49" s="89" t="n">
        <x:v>45979.53625</x:v>
      </x:c>
      <x:c r="J49" s="84" t="str">
        <x:v>Baixa</x:v>
      </x:c>
      <x:c r="K49" s="84" t="str">
        <x:v>Concluída</x:v>
      </x:c>
      <x:c r="L49" s="84" t="str">
        <x:v>Alarme intermitente</x:v>
      </x:c>
      <x:c r="M49" s="84" t="str">
        <x:v>Ajuste incorreto</x:v>
      </x:c>
      <x:c r="N49" s="84" t="str">
        <x:v>Componente ajustado ou substituído</x:v>
      </x:c>
      <x:c r="O49" s="84" t="n">
        <x:v>0</x:v>
      </x:c>
      <x:c r="P49" s="93" t="n">
        <x:v>357.67</x:v>
      </x:c>
      <x:c r="Q49" s="93" t="n">
        <x:v>1100.4</x:v>
      </x:c>
      <x:c r="R49" s="91" t="n">
        <x:v>0</x:v>
      </x:c>
    </x:row>
    <x:row r="50">
      <x:c r="A50" s="83" t="n">
        <x:v>49</x:v>
      </x:c>
      <x:c r="B50" s="84" t="str">
        <x:v>OS-2024-00049</x:v>
      </x:c>
      <x:c r="C50" s="84" t="n">
        <x:v>38</x:v>
      </x:c>
      <x:c r="D50" s="84" t="n">
        <x:v>4</x:v>
      </x:c>
      <x:c r="E50" s="84"/>
      <x:c r="F50" s="89" t="n">
        <x:v>45583.50575231481</x:v>
      </x:c>
      <x:c r="G50" s="89" t="n">
        <x:v>45592.50575231481</x:v>
      </x:c>
      <x:c r="H50" s="89"/>
      <x:c r="I50" s="89"/>
      <x:c r="J50" s="84" t="str">
        <x:v>Baixa</x:v>
      </x:c>
      <x:c r="K50" s="84" t="str">
        <x:v>Planejada</x:v>
      </x:c>
      <x:c r="L50" s="84" t="str">
        <x:v>Baixa pressão</x:v>
      </x:c>
      <x:c r="M50" s="84"/>
      <x:c r="N50" s="84"/>
      <x:c r="O50" s="84" t="n">
        <x:v>0</x:v>
      </x:c>
      <x:c r="P50" s="93" t="n">
        <x:v>0</x:v>
      </x:c>
      <x:c r="Q50" s="93" t="n">
        <x:v>0</x:v>
      </x:c>
      <x:c r="R50" s="91" t="n">
        <x:v>0</x:v>
      </x:c>
    </x:row>
    <x:row r="51">
      <x:c r="A51" s="83" t="n">
        <x:v>50</x:v>
      </x:c>
      <x:c r="B51" s="84" t="str">
        <x:v>OS-2023-00050</x:v>
      </x:c>
      <x:c r="C51" s="84" t="n">
        <x:v>9</x:v>
      </x:c>
      <x:c r="D51" s="84" t="n">
        <x:v>3</x:v>
      </x:c>
      <x:c r="E51" s="84"/>
      <x:c r="F51" s="89" t="n">
        <x:v>44944.74444444444</x:v>
      </x:c>
      <x:c r="G51" s="89"/>
      <x:c r="H51" s="89"/>
      <x:c r="I51" s="89"/>
      <x:c r="J51" s="84" t="str">
        <x:v>Crítica</x:v>
      </x:c>
      <x:c r="K51" s="84" t="str">
        <x:v>Planejada</x:v>
      </x:c>
      <x:c r="L51" s="84" t="str">
        <x:v>Desalinhamento</x:v>
      </x:c>
      <x:c r="M51" s="84"/>
      <x:c r="N51" s="84"/>
      <x:c r="O51" s="84" t="n">
        <x:v>0</x:v>
      </x:c>
      <x:c r="P51" s="93" t="n">
        <x:v>0</x:v>
      </x:c>
      <x:c r="Q51" s="93" t="n">
        <x:v>0</x:v>
      </x:c>
      <x:c r="R51" s="91" t="n">
        <x:v>0</x:v>
      </x:c>
    </x:row>
    <x:row r="52">
      <x:c r="A52" s="83" t="n">
        <x:v>51</x:v>
      </x:c>
      <x:c r="B52" s="84" t="str">
        <x:v>OS-2025-00051</x:v>
      </x:c>
      <x:c r="C52" s="84" t="n">
        <x:v>42</x:v>
      </x:c>
      <x:c r="D52" s="84" t="n">
        <x:v>5</x:v>
      </x:c>
      <x:c r="E52" s="84" t="n">
        <x:v>83</x:v>
      </x:c>
      <x:c r="F52" s="89" t="n">
        <x:v>45828.38319444445</x:v>
      </x:c>
      <x:c r="G52" s="89" t="n">
        <x:v>45836.38319444445</x:v>
      </x:c>
      <x:c r="H52" s="89" t="n">
        <x:v>45828.63319444445</x:v>
      </x:c>
      <x:c r="I52" s="89" t="n">
        <x:v>45829.216527777775</x:v>
      </x:c>
      <x:c r="J52" s="84" t="str">
        <x:v>Baixa</x:v>
      </x:c>
      <x:c r="K52" s="84" t="str">
        <x:v>Encerrada</x:v>
      </x:c>
      <x:c r="L52" s="84" t="str">
        <x:v>Vazamento</x:v>
      </x:c>
      <x:c r="M52" s="84" t="str">
        <x:v>Conexão frouxa</x:v>
      </x:c>
      <x:c r="N52" s="84" t="str">
        <x:v>Componente ajustado ou substituído</x:v>
      </x:c>
      <x:c r="O52" s="84" t="n">
        <x:v>0</x:v>
      </x:c>
      <x:c r="P52" s="93" t="n">
        <x:v>111.81</x:v>
      </x:c>
      <x:c r="Q52" s="93" t="n">
        <x:v>2792.11</x:v>
      </x:c>
      <x:c r="R52" s="91" t="n">
        <x:v>5874.71</x:v>
      </x:c>
    </x:row>
    <x:row r="53">
      <x:c r="A53" s="83" t="n">
        <x:v>52</x:v>
      </x:c>
      <x:c r="B53" s="84" t="str">
        <x:v>OS-2023-00052</x:v>
      </x:c>
      <x:c r="C53" s="84" t="n">
        <x:v>89</x:v>
      </x:c>
      <x:c r="D53" s="84" t="n">
        <x:v>8</x:v>
      </x:c>
      <x:c r="E53" s="84"/>
      <x:c r="F53" s="89" t="n">
        <x:v>45167.48297453704</x:v>
      </x:c>
      <x:c r="G53" s="89" t="n">
        <x:v>45175.48297453704</x:v>
      </x:c>
      <x:c r="H53" s="89"/>
      <x:c r="I53" s="89"/>
      <x:c r="J53" s="84" t="str">
        <x:v>Crítica</x:v>
      </x:c>
      <x:c r="K53" s="84" t="str">
        <x:v>Planejada</x:v>
      </x:c>
      <x:c r="L53" s="84" t="str">
        <x:v>Vazamento</x:v>
      </x:c>
      <x:c r="M53" s="84"/>
      <x:c r="N53" s="84"/>
      <x:c r="O53" s="84" t="n">
        <x:v>0</x:v>
      </x:c>
      <x:c r="P53" s="93" t="n">
        <x:v>0</x:v>
      </x:c>
      <x:c r="Q53" s="93" t="n">
        <x:v>0</x:v>
      </x:c>
      <x:c r="R53" s="91" t="n">
        <x:v>0</x:v>
      </x:c>
    </x:row>
    <x:row r="54">
      <x:c r="A54" s="83" t="n">
        <x:v>53</x:v>
      </x:c>
      <x:c r="B54" s="84" t="str">
        <x:v>OS-2025-00053</x:v>
      </x:c>
      <x:c r="C54" s="84" t="n">
        <x:v>81</x:v>
      </x:c>
      <x:c r="D54" s="84" t="n">
        <x:v>1</x:v>
      </x:c>
      <x:c r="E54" s="84" t="n">
        <x:v>162</x:v>
      </x:c>
      <x:c r="F54" s="89" t="n">
        <x:v>45858.985451388886</x:v>
      </x:c>
      <x:c r="G54" s="89" t="n">
        <x:v>45859.985451388886</x:v>
      </x:c>
      <x:c r="H54" s="89" t="n">
        <x:v>45861.77711805556</x:v>
      </x:c>
      <x:c r="I54" s="89"/>
      <x:c r="J54" s="84" t="str">
        <x:v>Alta</x:v>
      </x:c>
      <x:c r="K54" s="84" t="str">
        <x:v>Em execução</x:v>
      </x:c>
      <x:c r="L54" s="84" t="str">
        <x:v>Falha elétrica</x:v>
      </x:c>
      <x:c r="M54" s="84" t="str">
        <x:v>Desgaste natural</x:v>
      </x:c>
      <x:c r="N54" s="84"/>
      <x:c r="O54" s="84" t="n">
        <x:v>0</x:v>
      </x:c>
      <x:c r="P54" s="93" t="n">
        <x:v>147.72</x:v>
      </x:c>
      <x:c r="Q54" s="93" t="n">
        <x:v>11150.22</x:v>
      </x:c>
      <x:c r="R54" s="91" t="n">
        <x:v>0</x:v>
      </x:c>
    </x:row>
    <x:row r="55">
      <x:c r="A55" s="83" t="n">
        <x:v>54</x:v>
      </x:c>
      <x:c r="B55" s="84" t="str">
        <x:v>OS-2023-00054</x:v>
      </x:c>
      <x:c r="C55" s="84" t="n">
        <x:v>57</x:v>
      </x:c>
      <x:c r="D55" s="84" t="n">
        <x:v>2</x:v>
      </x:c>
      <x:c r="E55" s="84"/>
      <x:c r="F55" s="89" t="n">
        <x:v>44989.01909722222</x:v>
      </x:c>
      <x:c r="G55" s="89" t="n">
        <x:v>44998.01909722222</x:v>
      </x:c>
      <x:c r="H55" s="89"/>
      <x:c r="I55" s="89"/>
      <x:c r="J55" s="84" t="str">
        <x:v>Crítica</x:v>
      </x:c>
      <x:c r="K55" s="84" t="str">
        <x:v>Planejada</x:v>
      </x:c>
      <x:c r="L55" s="84" t="str">
        <x:v>Ruído anormal</x:v>
      </x:c>
      <x:c r="M55" s="84"/>
      <x:c r="N55" s="84"/>
      <x:c r="O55" s="84" t="n">
        <x:v>1</x:v>
      </x:c>
      <x:c r="P55" s="93" t="n">
        <x:v>0</x:v>
      </x:c>
      <x:c r="Q55" s="93" t="n">
        <x:v>0</x:v>
      </x:c>
      <x:c r="R55" s="91" t="n">
        <x:v>0</x:v>
      </x:c>
    </x:row>
    <x:row r="56">
      <x:c r="A56" s="83" t="n">
        <x:v>55</x:v>
      </x:c>
      <x:c r="B56" s="84" t="str">
        <x:v>OS-2024-00055</x:v>
      </x:c>
      <x:c r="C56" s="84" t="n">
        <x:v>15</x:v>
      </x:c>
      <x:c r="D56" s="84" t="n">
        <x:v>1</x:v>
      </x:c>
      <x:c r="E56" s="84" t="n">
        <x:v>30</x:v>
      </x:c>
      <x:c r="F56" s="89" t="n">
        <x:v>45367.58261574074</x:v>
      </x:c>
      <x:c r="G56" s="89" t="n">
        <x:v>45382.58261574074</x:v>
      </x:c>
      <x:c r="H56" s="89" t="n">
        <x:v>45368.08261574074</x:v>
      </x:c>
      <x:c r="I56" s="89" t="n">
        <x:v>45368.70761574074</x:v>
      </x:c>
      <x:c r="J56" s="84" t="str">
        <x:v>Média</x:v>
      </x:c>
      <x:c r="K56" s="84" t="str">
        <x:v>Encerrada</x:v>
      </x:c>
      <x:c r="L56" s="84" t="str">
        <x:v>Falha elétrica</x:v>
      </x:c>
      <x:c r="M56" s="84" t="str">
        <x:v>Falta de lubrificação</x:v>
      </x:c>
      <x:c r="N56" s="84" t="str">
        <x:v>Componente ajustado ou substituído</x:v>
      </x:c>
      <x:c r="O56" s="84" t="n">
        <x:v>0</x:v>
      </x:c>
      <x:c r="P56" s="93" t="n">
        <x:v>72.05</x:v>
      </x:c>
      <x:c r="Q56" s="93" t="n">
        <x:v>7551.72</x:v>
      </x:c>
      <x:c r="R56" s="91" t="n">
        <x:v>0</x:v>
      </x:c>
    </x:row>
    <x:row r="57">
      <x:c r="A57" s="83" t="n">
        <x:v>56</x:v>
      </x:c>
      <x:c r="B57" s="84" t="str">
        <x:v>OS-2023-00056</x:v>
      </x:c>
      <x:c r="C57" s="84" t="n">
        <x:v>21</x:v>
      </x:c>
      <x:c r="D57" s="84" t="n">
        <x:v>3</x:v>
      </x:c>
      <x:c r="E57" s="84"/>
      <x:c r="F57" s="89" t="n">
        <x:v>44954.63177083333</x:v>
      </x:c>
      <x:c r="G57" s="89"/>
      <x:c r="H57" s="89" t="n">
        <x:v>44957.50677083333</x:v>
      </x:c>
      <x:c r="I57" s="89" t="n">
        <x:v>44958.090104166666</x:v>
      </x:c>
      <x:c r="J57" s="84" t="str">
        <x:v>Baixa</x:v>
      </x:c>
      <x:c r="K57" s="84" t="str">
        <x:v>Encerrada</x:v>
      </x:c>
      <x:c r="L57" s="84" t="str">
        <x:v>Ruído anormal</x:v>
      </x:c>
      <x:c r="M57" s="84" t="str">
        <x:v>Conexão frouxa</x:v>
      </x:c>
      <x:c r="N57" s="84" t="str">
        <x:v>Componente ajustado ou substituído</x:v>
      </x:c>
      <x:c r="O57" s="84" t="n">
        <x:v>0</x:v>
      </x:c>
      <x:c r="P57" s="93" t="n">
        <x:v>951.76</x:v>
      </x:c>
      <x:c r="Q57" s="93" t="n">
        <x:v>5457.66</x:v>
      </x:c>
      <x:c r="R57" s="91" t="n">
        <x:v>0</x:v>
      </x:c>
    </x:row>
    <x:row r="58">
      <x:c r="A58" s="83" t="n">
        <x:v>57</x:v>
      </x:c>
      <x:c r="B58" s="84" t="str">
        <x:v>OS-2023-00057</x:v>
      </x:c>
      <x:c r="C58" s="84" t="n">
        <x:v>60</x:v>
      </x:c>
      <x:c r="D58" s="84" t="n">
        <x:v>3</x:v>
      </x:c>
      <x:c r="E58" s="84"/>
      <x:c r="F58" s="89" t="n">
        <x:v>44978.44053240741</x:v>
      </x:c>
      <x:c r="G58" s="89"/>
      <x:c r="H58" s="89" t="n">
        <x:v>44979.52386574074</x:v>
      </x:c>
      <x:c r="I58" s="89" t="n">
        <x:v>44979.77386574074</x:v>
      </x:c>
      <x:c r="J58" s="84" t="str">
        <x:v>Crítica</x:v>
      </x:c>
      <x:c r="K58" s="84" t="str">
        <x:v>Concluída</x:v>
      </x:c>
      <x:c r="L58" s="84" t="str">
        <x:v>Alarme intermitente</x:v>
      </x:c>
      <x:c r="M58" s="84" t="str">
        <x:v>Componente danificado</x:v>
      </x:c>
      <x:c r="N58" s="84" t="str">
        <x:v>Componente ajustado ou substituído</x:v>
      </x:c>
      <x:c r="O58" s="84" t="n">
        <x:v>0</x:v>
      </x:c>
      <x:c r="P58" s="93" t="n">
        <x:v>265.81</x:v>
      </x:c>
      <x:c r="Q58" s="93" t="n">
        <x:v>11195.61</x:v>
      </x:c>
      <x:c r="R58" s="91" t="n">
        <x:v>0</x:v>
      </x:c>
    </x:row>
    <x:row r="59">
      <x:c r="A59" s="83" t="n">
        <x:v>58</x:v>
      </x:c>
      <x:c r="B59" s="84" t="str">
        <x:v>OS-2023-00058</x:v>
      </x:c>
      <x:c r="C59" s="84" t="n">
        <x:v>47</x:v>
      </x:c>
      <x:c r="D59" s="84" t="n">
        <x:v>1</x:v>
      </x:c>
      <x:c r="E59" s="84" t="n">
        <x:v>93</x:v>
      </x:c>
      <x:c r="F59" s="89" t="n">
        <x:v>44935.19715277778</x:v>
      </x:c>
      <x:c r="G59" s="89" t="n">
        <x:v>44946.19715277778</x:v>
      </x:c>
      <x:c r="H59" s="89" t="n">
        <x:v>44935.61381944444</x:v>
      </x:c>
      <x:c r="I59" s="89" t="n">
        <x:v>44936.44715277778</x:v>
      </x:c>
      <x:c r="J59" s="84" t="str">
        <x:v>Média</x:v>
      </x:c>
      <x:c r="K59" s="84" t="str">
        <x:v>Encerrada</x:v>
      </x:c>
      <x:c r="L59" s="84" t="str">
        <x:v>Baixa pressão</x:v>
      </x:c>
      <x:c r="M59" s="84" t="str">
        <x:v>Conexão frouxa</x:v>
      </x:c>
      <x:c r="N59" s="84" t="str">
        <x:v>Componente ajustado ou substituído</x:v>
      </x:c>
      <x:c r="O59" s="84" t="n">
        <x:v>0</x:v>
      </x:c>
      <x:c r="P59" s="93" t="n">
        <x:v>88.46</x:v>
      </x:c>
      <x:c r="Q59" s="93" t="n">
        <x:v>0</x:v>
      </x:c>
      <x:c r="R59" s="91" t="n">
        <x:v>0</x:v>
      </x:c>
    </x:row>
    <x:row r="60">
      <x:c r="A60" s="83" t="n">
        <x:v>59</x:v>
      </x:c>
      <x:c r="B60" s="84" t="str">
        <x:v>OS-2025-00059</x:v>
      </x:c>
      <x:c r="C60" s="84" t="n">
        <x:v>15</x:v>
      </x:c>
      <x:c r="D60" s="84" t="n">
        <x:v>5</x:v>
      </x:c>
      <x:c r="E60" s="84" t="n">
        <x:v>29</x:v>
      </x:c>
      <x:c r="F60" s="89" t="n">
        <x:v>45790.25094907408</x:v>
      </x:c>
      <x:c r="G60" s="89" t="n">
        <x:v>45805.25094907408</x:v>
      </x:c>
      <x:c r="H60" s="89" t="n">
        <x:v>45791.87594907408</x:v>
      </x:c>
      <x:c r="I60" s="89" t="n">
        <x:v>45792.29261574074</x:v>
      </x:c>
      <x:c r="J60" s="84" t="str">
        <x:v>Alta</x:v>
      </x:c>
      <x:c r="K60" s="84" t="str">
        <x:v>Encerrada</x:v>
      </x:c>
      <x:c r="L60" s="84" t="str">
        <x:v>Ruído anormal</x:v>
      </x:c>
      <x:c r="M60" s="84" t="str">
        <x:v>Falta de lubrificação</x:v>
      </x:c>
      <x:c r="N60" s="84" t="str">
        <x:v>Componente ajustado ou substituído</x:v>
      </x:c>
      <x:c r="O60" s="84" t="n">
        <x:v>0</x:v>
      </x:c>
      <x:c r="P60" s="93" t="n">
        <x:v>551.29</x:v>
      </x:c>
      <x:c r="Q60" s="93" t="n">
        <x:v>0</x:v>
      </x:c>
      <x:c r="R60" s="91" t="n">
        <x:v>0</x:v>
      </x:c>
    </x:row>
    <x:row r="61">
      <x:c r="A61" s="83" t="n">
        <x:v>60</x:v>
      </x:c>
      <x:c r="B61" s="84" t="str">
        <x:v>OS-2024-00060</x:v>
      </x:c>
      <x:c r="C61" s="84" t="n">
        <x:v>82</x:v>
      </x:c>
      <x:c r="D61" s="84" t="n">
        <x:v>1</x:v>
      </x:c>
      <x:c r="E61" s="84" t="n">
        <x:v>164</x:v>
      </x:c>
      <x:c r="F61" s="89" t="n">
        <x:v>45332.391076388885</x:v>
      </x:c>
      <x:c r="G61" s="89" t="n">
        <x:v>45334.391076388885</x:v>
      </x:c>
      <x:c r="H61" s="89" t="n">
        <x:v>45332.72440972222</x:v>
      </x:c>
      <x:c r="I61" s="89" t="n">
        <x:v>45333.22440972222</x:v>
      </x:c>
      <x:c r="J61" s="84" t="str">
        <x:v>Média</x:v>
      </x:c>
      <x:c r="K61" s="84" t="str">
        <x:v>Encerrada</x:v>
      </x:c>
      <x:c r="L61" s="84" t="str">
        <x:v>Ruído anormal</x:v>
      </x:c>
      <x:c r="M61" s="84" t="str">
        <x:v>Contaminação</x:v>
      </x:c>
      <x:c r="N61" s="84" t="str">
        <x:v>Componente ajustado ou substituído</x:v>
      </x:c>
      <x:c r="O61" s="84" t="n">
        <x:v>0</x:v>
      </x:c>
      <x:c r="P61" s="93" t="n">
        <x:v>212.68</x:v>
      </x:c>
      <x:c r="Q61" s="93" t="n">
        <x:v>7006.44</x:v>
      </x:c>
      <x:c r="R61" s="91" t="n">
        <x:v>0</x:v>
      </x:c>
    </x:row>
    <x:row r="62">
      <x:c r="A62" s="83" t="n">
        <x:v>61</x:v>
      </x:c>
      <x:c r="B62" s="84" t="str">
        <x:v>OS-2023-00061</x:v>
      </x:c>
      <x:c r="C62" s="84" t="n">
        <x:v>72</x:v>
      </x:c>
      <x:c r="D62" s="84" t="n">
        <x:v>1</x:v>
      </x:c>
      <x:c r="E62" s="84" t="n">
        <x:v>143</x:v>
      </x:c>
      <x:c r="F62" s="89" t="n">
        <x:v>45146.30291666667</x:v>
      </x:c>
      <x:c r="G62" s="89" t="n">
        <x:v>45154.30291666667</x:v>
      </x:c>
      <x:c r="H62" s="89" t="n">
        <x:v>45149.30291666667</x:v>
      </x:c>
      <x:c r="I62" s="89" t="n">
        <x:v>45149.84458333333</x:v>
      </x:c>
      <x:c r="J62" s="84" t="str">
        <x:v>Média</x:v>
      </x:c>
      <x:c r="K62" s="84" t="str">
        <x:v>Encerrada</x:v>
      </x:c>
      <x:c r="L62" s="84" t="str">
        <x:v>Ruído anormal</x:v>
      </x:c>
      <x:c r="M62" s="84" t="str">
        <x:v>Contaminação</x:v>
      </x:c>
      <x:c r="N62" s="84" t="str">
        <x:v>Componente ajustado ou substituído</x:v>
      </x:c>
      <x:c r="O62" s="84" t="n">
        <x:v>0</x:v>
      </x:c>
      <x:c r="P62" s="93" t="n">
        <x:v>466.35</x:v>
      </x:c>
      <x:c r="Q62" s="93" t="n">
        <x:v>9429.08</x:v>
      </x:c>
      <x:c r="R62" s="91" t="n">
        <x:v>0</x:v>
      </x:c>
    </x:row>
    <x:row r="63">
      <x:c r="A63" s="83" t="n">
        <x:v>62</x:v>
      </x:c>
      <x:c r="B63" s="84" t="str">
        <x:v>OS-2023-00062</x:v>
      </x:c>
      <x:c r="C63" s="84" t="n">
        <x:v>17</x:v>
      </x:c>
      <x:c r="D63" s="84" t="n">
        <x:v>9</x:v>
      </x:c>
      <x:c r="E63" s="84"/>
      <x:c r="F63" s="89" t="n">
        <x:v>45260.58136574074</x:v>
      </x:c>
      <x:c r="G63" s="89" t="n">
        <x:v>45267.58136574074</x:v>
      </x:c>
      <x:c r="H63" s="89" t="n">
        <x:v>45261.498032407406</x:v>
      </x:c>
      <x:c r="I63" s="89" t="n">
        <x:v>45262.20636574074</x:v>
      </x:c>
      <x:c r="J63" s="84" t="str">
        <x:v>Média</x:v>
      </x:c>
      <x:c r="K63" s="84" t="str">
        <x:v>Encerrada</x:v>
      </x:c>
      <x:c r="L63" s="84" t="str">
        <x:v>Falha elétrica</x:v>
      </x:c>
      <x:c r="M63" s="84" t="str">
        <x:v>Componente danificado</x:v>
      </x:c>
      <x:c r="N63" s="84" t="str">
        <x:v>Componente ajustado ou substituído</x:v>
      </x:c>
      <x:c r="O63" s="84" t="n">
        <x:v>0</x:v>
      </x:c>
      <x:c r="P63" s="93" t="n">
        <x:v>105.03</x:v>
      </x:c>
      <x:c r="Q63" s="93" t="n">
        <x:v>7010.43</x:v>
      </x:c>
      <x:c r="R63" s="91" t="n">
        <x:v>0</x:v>
      </x:c>
    </x:row>
    <x:row r="64">
      <x:c r="A64" s="83" t="n">
        <x:v>63</x:v>
      </x:c>
      <x:c r="B64" s="84" t="str">
        <x:v>OS-2025-00063</x:v>
      </x:c>
      <x:c r="C64" s="84" t="n">
        <x:v>56</x:v>
      </x:c>
      <x:c r="D64" s="84" t="n">
        <x:v>1</x:v>
      </x:c>
      <x:c r="E64" s="84" t="n">
        <x:v>111</x:v>
      </x:c>
      <x:c r="F64" s="89" t="n">
        <x:v>45709.32288194444</x:v>
      </x:c>
      <x:c r="G64" s="89" t="n">
        <x:v>45722.32288194444</x:v>
      </x:c>
      <x:c r="H64" s="89" t="n">
        <x:v>45711.73954861111</x:v>
      </x:c>
      <x:c r="I64" s="89" t="n">
        <x:v>45712.40621527778</x:v>
      </x:c>
      <x:c r="J64" s="84" t="str">
        <x:v>Baixa</x:v>
      </x:c>
      <x:c r="K64" s="84" t="str">
        <x:v>Encerrada</x:v>
      </x:c>
      <x:c r="L64" s="84" t="str">
        <x:v>Ruído anormal</x:v>
      </x:c>
      <x:c r="M64" s="84" t="str">
        <x:v>Ajuste incorreto</x:v>
      </x:c>
      <x:c r="N64" s="84" t="str">
        <x:v>Componente ajustado ou substituído</x:v>
      </x:c>
      <x:c r="O64" s="84" t="n">
        <x:v>0</x:v>
      </x:c>
      <x:c r="P64" s="93" t="n">
        <x:v>374.58</x:v>
      </x:c>
      <x:c r="Q64" s="93" t="n">
        <x:v>2999.7</x:v>
      </x:c>
      <x:c r="R64" s="91" t="n">
        <x:v>0</x:v>
      </x:c>
    </x:row>
    <x:row r="65">
      <x:c r="A65" s="83" t="n">
        <x:v>64</x:v>
      </x:c>
      <x:c r="B65" s="84" t="str">
        <x:v>OS-2025-00064</x:v>
      </x:c>
      <x:c r="C65" s="84" t="n">
        <x:v>40</x:v>
      </x:c>
      <x:c r="D65" s="84" t="n">
        <x:v>1</x:v>
      </x:c>
      <x:c r="E65" s="84" t="n">
        <x:v>79</x:v>
      </x:c>
      <x:c r="F65" s="89" t="n">
        <x:v>45849.62265046296</x:v>
      </x:c>
      <x:c r="G65" s="89" t="n">
        <x:v>45858.62265046296</x:v>
      </x:c>
      <x:c r="H65" s="89" t="n">
        <x:v>45851.705983796295</x:v>
      </x:c>
      <x:c r="I65" s="89" t="n">
        <x:v>45852.41431712963</x:v>
      </x:c>
      <x:c r="J65" s="84" t="str">
        <x:v>Baixa</x:v>
      </x:c>
      <x:c r="K65" s="84" t="str">
        <x:v>Encerrada</x:v>
      </x:c>
      <x:c r="L65" s="84" t="str">
        <x:v>Vazamento</x:v>
      </x:c>
      <x:c r="M65" s="84" t="str">
        <x:v>Desgaste natural</x:v>
      </x:c>
      <x:c r="N65" s="84" t="str">
        <x:v>Componente ajustado ou substituído</x:v>
      </x:c>
      <x:c r="O65" s="84" t="n">
        <x:v>0</x:v>
      </x:c>
      <x:c r="P65" s="93" t="n">
        <x:v>487.09</x:v>
      </x:c>
      <x:c r="Q65" s="93" t="n">
        <x:v>2222.73</x:v>
      </x:c>
      <x:c r="R65" s="91" t="n">
        <x:v>0</x:v>
      </x:c>
    </x:row>
    <x:row r="66">
      <x:c r="A66" s="83" t="n">
        <x:v>65</x:v>
      </x:c>
      <x:c r="B66" s="84" t="str">
        <x:v>OS-2024-00065</x:v>
      </x:c>
      <x:c r="C66" s="84" t="n">
        <x:v>37</x:v>
      </x:c>
      <x:c r="D66" s="84" t="n">
        <x:v>1</x:v>
      </x:c>
      <x:c r="E66" s="84" t="n">
        <x:v>74</x:v>
      </x:c>
      <x:c r="F66" s="89" t="n">
        <x:v>45414.05769675926</x:v>
      </x:c>
      <x:c r="G66" s="89" t="n">
        <x:v>45422.05769675926</x:v>
      </x:c>
      <x:c r="H66" s="89"/>
      <x:c r="I66" s="89"/>
      <x:c r="J66" s="84" t="str">
        <x:v>Baixa</x:v>
      </x:c>
      <x:c r="K66" s="84" t="str">
        <x:v>Planejada</x:v>
      </x:c>
      <x:c r="L66" s="84" t="str">
        <x:v>Superaquecimento</x:v>
      </x:c>
      <x:c r="M66" s="84"/>
      <x:c r="N66" s="84"/>
      <x:c r="O66" s="84" t="n">
        <x:v>0</x:v>
      </x:c>
      <x:c r="P66" s="93" t="n">
        <x:v>0</x:v>
      </x:c>
      <x:c r="Q66" s="93" t="n">
        <x:v>0</x:v>
      </x:c>
      <x:c r="R66" s="91" t="n">
        <x:v>0</x:v>
      </x:c>
    </x:row>
    <x:row r="67">
      <x:c r="A67" s="83" t="n">
        <x:v>66</x:v>
      </x:c>
      <x:c r="B67" s="84" t="str">
        <x:v>OS-2024-00066</x:v>
      </x:c>
      <x:c r="C67" s="84" t="n">
        <x:v>18</x:v>
      </x:c>
      <x:c r="D67" s="84" t="n">
        <x:v>2</x:v>
      </x:c>
      <x:c r="E67" s="84"/>
      <x:c r="F67" s="89" t="n">
        <x:v>45541.55857638889</x:v>
      </x:c>
      <x:c r="G67" s="89" t="n">
        <x:v>45548.55857638889</x:v>
      </x:c>
      <x:c r="H67" s="89"/>
      <x:c r="I67" s="89"/>
      <x:c r="J67" s="84" t="str">
        <x:v>Baixa</x:v>
      </x:c>
      <x:c r="K67" s="84" t="str">
        <x:v>Planejada</x:v>
      </x:c>
      <x:c r="L67" s="84" t="str">
        <x:v>Desalinhamento</x:v>
      </x:c>
      <x:c r="M67" s="84"/>
      <x:c r="N67" s="84"/>
      <x:c r="O67" s="84" t="n">
        <x:v>0</x:v>
      </x:c>
      <x:c r="P67" s="93" t="n">
        <x:v>0</x:v>
      </x:c>
      <x:c r="Q67" s="93" t="n">
        <x:v>0</x:v>
      </x:c>
      <x:c r="R67" s="91" t="n">
        <x:v>0</x:v>
      </x:c>
    </x:row>
    <x:row r="68">
      <x:c r="A68" s="83" t="n">
        <x:v>67</x:v>
      </x:c>
      <x:c r="B68" s="84" t="str">
        <x:v>OS-2023-00067</x:v>
      </x:c>
      <x:c r="C68" s="84" t="n">
        <x:v>86</x:v>
      </x:c>
      <x:c r="D68" s="84" t="n">
        <x:v>9</x:v>
      </x:c>
      <x:c r="E68" s="84"/>
      <x:c r="F68" s="89" t="n">
        <x:v>45221.589791666665</x:v>
      </x:c>
      <x:c r="G68" s="89" t="n">
        <x:v>45223.589791666665</x:v>
      </x:c>
      <x:c r="H68" s="89" t="n">
        <x:v>45222.173125</x:v>
      </x:c>
      <x:c r="I68" s="89" t="n">
        <x:v>45222.673125</x:v>
      </x:c>
      <x:c r="J68" s="84" t="str">
        <x:v>Média</x:v>
      </x:c>
      <x:c r="K68" s="84" t="str">
        <x:v>Encerrada</x:v>
      </x:c>
      <x:c r="L68" s="84" t="str">
        <x:v>Vazamento</x:v>
      </x:c>
      <x:c r="M68" s="84" t="str">
        <x:v>Contaminação</x:v>
      </x:c>
      <x:c r="N68" s="84" t="str">
        <x:v>Componente ajustado ou substituído</x:v>
      </x:c>
      <x:c r="O68" s="84" t="n">
        <x:v>0</x:v>
      </x:c>
      <x:c r="P68" s="93" t="n">
        <x:v>375.27</x:v>
      </x:c>
      <x:c r="Q68" s="93" t="n">
        <x:v>0</x:v>
      </x:c>
      <x:c r="R68" s="91" t="n">
        <x:v>0</x:v>
      </x:c>
    </x:row>
    <x:row r="69">
      <x:c r="A69" s="83" t="n">
        <x:v>68</x:v>
      </x:c>
      <x:c r="B69" s="84" t="str">
        <x:v>OS-2023-00068</x:v>
      </x:c>
      <x:c r="C69" s="84" t="n">
        <x:v>8</x:v>
      </x:c>
      <x:c r="D69" s="84" t="n">
        <x:v>3</x:v>
      </x:c>
      <x:c r="E69" s="84"/>
      <x:c r="F69" s="89" t="n">
        <x:v>45279.19611111111</x:v>
      </x:c>
      <x:c r="G69" s="89"/>
      <x:c r="H69" s="89" t="n">
        <x:v>45279.61277777778</x:v>
      </x:c>
      <x:c r="I69" s="89" t="n">
        <x:v>45279.69611111111</x:v>
      </x:c>
      <x:c r="J69" s="84" t="str">
        <x:v>Alta</x:v>
      </x:c>
      <x:c r="K69" s="84" t="str">
        <x:v>Concluída</x:v>
      </x:c>
      <x:c r="L69" s="84" t="str">
        <x:v>Alarme intermitente</x:v>
      </x:c>
      <x:c r="M69" s="84" t="str">
        <x:v>Desgaste natural</x:v>
      </x:c>
      <x:c r="N69" s="84" t="str">
        <x:v>Componente ajustado ou substituído</x:v>
      </x:c>
      <x:c r="O69" s="84" t="n">
        <x:v>0</x:v>
      </x:c>
      <x:c r="P69" s="93" t="n">
        <x:v>711.78</x:v>
      </x:c>
      <x:c r="Q69" s="93" t="n">
        <x:v>0</x:v>
      </x:c>
      <x:c r="R69" s="91" t="n">
        <x:v>0</x:v>
      </x:c>
    </x:row>
    <x:row r="70">
      <x:c r="A70" s="83" t="n">
        <x:v>69</x:v>
      </x:c>
      <x:c r="B70" s="84" t="str">
        <x:v>OS-2025-00069</x:v>
      </x:c>
      <x:c r="C70" s="84" t="n">
        <x:v>22</x:v>
      </x:c>
      <x:c r="D70" s="84" t="n">
        <x:v>1</x:v>
      </x:c>
      <x:c r="E70" s="84" t="n">
        <x:v>44</x:v>
      </x:c>
      <x:c r="F70" s="89" t="n">
        <x:v>45759.165300925924</x:v>
      </x:c>
      <x:c r="G70" s="89" t="n">
        <x:v>45766.165300925924</x:v>
      </x:c>
      <x:c r="H70" s="89" t="n">
        <x:v>45761.040300925924</x:v>
      </x:c>
      <x:c r="I70" s="89" t="n">
        <x:v>45761.165300925924</x:v>
      </x:c>
      <x:c r="J70" s="84" t="str">
        <x:v>Alta</x:v>
      </x:c>
      <x:c r="K70" s="84" t="str">
        <x:v>Encerrada</x:v>
      </x:c>
      <x:c r="L70" s="84" t="str">
        <x:v>Desalinhamento</x:v>
      </x:c>
      <x:c r="M70" s="84" t="str">
        <x:v>Desgaste natural</x:v>
      </x:c>
      <x:c r="N70" s="84" t="str">
        <x:v>Componente ajustado ou substituído</x:v>
      </x:c>
      <x:c r="O70" s="84" t="n">
        <x:v>1</x:v>
      </x:c>
      <x:c r="P70" s="93" t="n">
        <x:v>237.01</x:v>
      </x:c>
      <x:c r="Q70" s="93" t="n">
        <x:v>6120.18</x:v>
      </x:c>
      <x:c r="R70" s="91" t="n">
        <x:v>0</x:v>
      </x:c>
    </x:row>
    <x:row r="71">
      <x:c r="A71" s="83" t="n">
        <x:v>70</x:v>
      </x:c>
      <x:c r="B71" s="84" t="str">
        <x:v>OS-2024-00070</x:v>
      </x:c>
      <x:c r="C71" s="84" t="n">
        <x:v>49</x:v>
      </x:c>
      <x:c r="D71" s="84" t="n">
        <x:v>5</x:v>
      </x:c>
      <x:c r="E71" s="84" t="n">
        <x:v>97</x:v>
      </x:c>
      <x:c r="F71" s="89" t="n">
        <x:v>45338.5069212963</x:v>
      </x:c>
      <x:c r="G71" s="89" t="n">
        <x:v>45340.5069212963</x:v>
      </x:c>
      <x:c r="H71" s="89" t="n">
        <x:v>45339.5069212963</x:v>
      </x:c>
      <x:c r="I71" s="89" t="n">
        <x:v>45339.71525462963</x:v>
      </x:c>
      <x:c r="J71" s="84" t="str">
        <x:v>Crítica</x:v>
      </x:c>
      <x:c r="K71" s="84" t="str">
        <x:v>Concluída</x:v>
      </x:c>
      <x:c r="L71" s="84" t="str">
        <x:v>Alarme intermitente</x:v>
      </x:c>
      <x:c r="M71" s="84" t="str">
        <x:v>Falta de lubrificação</x:v>
      </x:c>
      <x:c r="N71" s="84" t="str">
        <x:v>Componente ajustado ou substituído</x:v>
      </x:c>
      <x:c r="O71" s="84" t="n">
        <x:v>0</x:v>
      </x:c>
      <x:c r="P71" s="93" t="n">
        <x:v>46.5</x:v>
      </x:c>
      <x:c r="Q71" s="93" t="n">
        <x:v>2820.62</x:v>
      </x:c>
      <x:c r="R71" s="91" t="n">
        <x:v>0</x:v>
      </x:c>
    </x:row>
    <x:row r="72">
      <x:c r="A72" s="83" t="n">
        <x:v>71</x:v>
      </x:c>
      <x:c r="B72" s="84" t="str">
        <x:v>OS-2024-00071</x:v>
      </x:c>
      <x:c r="C72" s="84" t="n">
        <x:v>10</x:v>
      </x:c>
      <x:c r="D72" s="84" t="n">
        <x:v>2</x:v>
      </x:c>
      <x:c r="E72" s="84"/>
      <x:c r="F72" s="89" t="n">
        <x:v>45611.88133101852</x:v>
      </x:c>
      <x:c r="G72" s="89" t="n">
        <x:v>45611.88133101852</x:v>
      </x:c>
      <x:c r="H72" s="89" t="n">
        <x:v>45613.96466435185</x:v>
      </x:c>
      <x:c r="I72" s="89" t="n">
        <x:v>45614.172997685186</x:v>
      </x:c>
      <x:c r="J72" s="84" t="str">
        <x:v>Crítica</x:v>
      </x:c>
      <x:c r="K72" s="84" t="str">
        <x:v>Encerrada</x:v>
      </x:c>
      <x:c r="L72" s="84" t="str">
        <x:v>Ruído anormal</x:v>
      </x:c>
      <x:c r="M72" s="84" t="str">
        <x:v>Desgaste natural</x:v>
      </x:c>
      <x:c r="N72" s="84" t="str">
        <x:v>Componente ajustado ou substituído</x:v>
      </x:c>
      <x:c r="O72" s="84" t="n">
        <x:v>0</x:v>
      </x:c>
      <x:c r="P72" s="93" t="n">
        <x:v>80.39</x:v>
      </x:c>
      <x:c r="Q72" s="93" t="n">
        <x:v>2364.04</x:v>
      </x:c>
      <x:c r="R72" s="91" t="n">
        <x:v>0</x:v>
      </x:c>
    </x:row>
    <x:row r="73">
      <x:c r="A73" s="83" t="n">
        <x:v>72</x:v>
      </x:c>
      <x:c r="B73" s="84" t="str">
        <x:v>OS-2024-00072</x:v>
      </x:c>
      <x:c r="C73" s="84" t="n">
        <x:v>74</x:v>
      </x:c>
      <x:c r="D73" s="84" t="n">
        <x:v>5</x:v>
      </x:c>
      <x:c r="E73" s="84" t="n">
        <x:v>147</x:v>
      </x:c>
      <x:c r="F73" s="89" t="n">
        <x:v>45340.80498842592</x:v>
      </x:c>
      <x:c r="G73" s="89" t="n">
        <x:v>45347.80498842592</x:v>
      </x:c>
      <x:c r="H73" s="89"/>
      <x:c r="I73" s="89"/>
      <x:c r="J73" s="84" t="str">
        <x:v>Alta</x:v>
      </x:c>
      <x:c r="K73" s="84" t="str">
        <x:v>Cancelada</x:v>
      </x:c>
      <x:c r="L73" s="84" t="str">
        <x:v>Desalinhamento</x:v>
      </x:c>
      <x:c r="M73" s="84"/>
      <x:c r="N73" s="84"/>
      <x:c r="O73" s="84" t="n">
        <x:v>0</x:v>
      </x:c>
      <x:c r="P73" s="93" t="n">
        <x:v>0</x:v>
      </x:c>
      <x:c r="Q73" s="93" t="n">
        <x:v>0</x:v>
      </x:c>
      <x:c r="R73" s="91" t="n">
        <x:v>0</x:v>
      </x:c>
    </x:row>
    <x:row r="74">
      <x:c r="A74" s="83" t="n">
        <x:v>73</x:v>
      </x:c>
      <x:c r="B74" s="84" t="str">
        <x:v>OS-2024-00073</x:v>
      </x:c>
      <x:c r="C74" s="84" t="n">
        <x:v>48</x:v>
      </x:c>
      <x:c r="D74" s="84" t="n">
        <x:v>1</x:v>
      </x:c>
      <x:c r="E74" s="84" t="n">
        <x:v>96</x:v>
      </x:c>
      <x:c r="F74" s="89" t="n">
        <x:v>45430.88805555556</x:v>
      </x:c>
      <x:c r="G74" s="89" t="n">
        <x:v>45437.88805555556</x:v>
      </x:c>
      <x:c r="H74" s="89" t="n">
        <x:v>45431.59638888889</x:v>
      </x:c>
      <x:c r="I74" s="89"/>
      <x:c r="J74" s="84" t="str">
        <x:v>Média</x:v>
      </x:c>
      <x:c r="K74" s="84" t="str">
        <x:v>Aguardando peça</x:v>
      </x:c>
      <x:c r="L74" s="84" t="str">
        <x:v>Vazamento</x:v>
      </x:c>
      <x:c r="M74" s="84" t="str">
        <x:v>Ajuste incorreto</x:v>
      </x:c>
      <x:c r="N74" s="84"/>
      <x:c r="O74" s="84" t="n">
        <x:v>0</x:v>
      </x:c>
      <x:c r="P74" s="93" t="n">
        <x:v>431.41</x:v>
      </x:c>
      <x:c r="Q74" s="93" t="n">
        <x:v>7378.79</x:v>
      </x:c>
      <x:c r="R74" s="91" t="n">
        <x:v>0</x:v>
      </x:c>
    </x:row>
    <x:row r="75">
      <x:c r="A75" s="83" t="n">
        <x:v>74</x:v>
      </x:c>
      <x:c r="B75" s="84" t="str">
        <x:v>OS-2024-00074</x:v>
      </x:c>
      <x:c r="C75" s="84" t="n">
        <x:v>28</x:v>
      </x:c>
      <x:c r="D75" s="84" t="n">
        <x:v>7</x:v>
      </x:c>
      <x:c r="E75" s="84" t="n">
        <x:v>55</x:v>
      </x:c>
      <x:c r="F75" s="89" t="n">
        <x:v>45410.73106481481</x:v>
      </x:c>
      <x:c r="G75" s="89" t="n">
        <x:v>45411.73106481481</x:v>
      </x:c>
      <x:c r="H75" s="89" t="n">
        <x:v>45412.647731481484</x:v>
      </x:c>
      <x:c r="I75" s="89" t="n">
        <x:v>45413.18939814815</x:v>
      </x:c>
      <x:c r="J75" s="84" t="str">
        <x:v>Baixa</x:v>
      </x:c>
      <x:c r="K75" s="84" t="str">
        <x:v>Encerrada</x:v>
      </x:c>
      <x:c r="L75" s="84" t="str">
        <x:v>Baixa pressão</x:v>
      </x:c>
      <x:c r="M75" s="84" t="str">
        <x:v>Falta de lubrificação</x:v>
      </x:c>
      <x:c r="N75" s="84" t="str">
        <x:v>Componente ajustado ou substituído</x:v>
      </x:c>
      <x:c r="O75" s="84" t="n">
        <x:v>0</x:v>
      </x:c>
      <x:c r="P75" s="93" t="n">
        <x:v>503.25</x:v>
      </x:c>
      <x:c r="Q75" s="93" t="n">
        <x:v>7390.64</x:v>
      </x:c>
      <x:c r="R75" s="91" t="n">
        <x:v>0</x:v>
      </x:c>
    </x:row>
    <x:row r="76">
      <x:c r="A76" s="83" t="n">
        <x:v>75</x:v>
      </x:c>
      <x:c r="B76" s="84" t="str">
        <x:v>OS-2023-00075</x:v>
      </x:c>
      <x:c r="C76" s="84" t="n">
        <x:v>7</x:v>
      </x:c>
      <x:c r="D76" s="84" t="n">
        <x:v>1</x:v>
      </x:c>
      <x:c r="E76" s="84" t="n">
        <x:v>13</x:v>
      </x:c>
      <x:c r="F76" s="89" t="n">
        <x:v>45091.46773148148</x:v>
      </x:c>
      <x:c r="G76" s="89" t="n">
        <x:v>45098.46773148148</x:v>
      </x:c>
      <x:c r="H76" s="89" t="n">
        <x:v>45092.63439814815</x:v>
      </x:c>
      <x:c r="I76" s="89" t="n">
        <x:v>45092.96773148148</x:v>
      </x:c>
      <x:c r="J76" s="84" t="str">
        <x:v>Alta</x:v>
      </x:c>
      <x:c r="K76" s="84" t="str">
        <x:v>Concluída</x:v>
      </x:c>
      <x:c r="L76" s="84" t="str">
        <x:v>Falha elétrica</x:v>
      </x:c>
      <x:c r="M76" s="84" t="str">
        <x:v>Desgaste natural</x:v>
      </x:c>
      <x:c r="N76" s="84" t="str">
        <x:v>Componente ajustado ou substituído</x:v>
      </x:c>
      <x:c r="O76" s="84" t="n">
        <x:v>0</x:v>
      </x:c>
      <x:c r="P76" s="93" t="n">
        <x:v>271.29</x:v>
      </x:c>
      <x:c r="Q76" s="93" t="n">
        <x:v>13470.25</x:v>
      </x:c>
      <x:c r="R76" s="91" t="n">
        <x:v>0</x:v>
      </x:c>
    </x:row>
    <x:row r="77">
      <x:c r="A77" s="83" t="n">
        <x:v>76</x:v>
      </x:c>
      <x:c r="B77" s="84" t="str">
        <x:v>OS-2024-00076</x:v>
      </x:c>
      <x:c r="C77" s="84" t="n">
        <x:v>78</x:v>
      </x:c>
      <x:c r="D77" s="84" t="n">
        <x:v>3</x:v>
      </x:c>
      <x:c r="E77" s="84"/>
      <x:c r="F77" s="89" t="n">
        <x:v>45294.5615625</x:v>
      </x:c>
      <x:c r="G77" s="89"/>
      <x:c r="H77" s="89" t="n">
        <x:v>45295.019895833335</x:v>
      </x:c>
      <x:c r="I77" s="89" t="n">
        <x:v>45295.269895833335</x:v>
      </x:c>
      <x:c r="J77" s="84" t="str">
        <x:v>Crítica</x:v>
      </x:c>
      <x:c r="K77" s="84" t="str">
        <x:v>Encerrada</x:v>
      </x:c>
      <x:c r="L77" s="84" t="str">
        <x:v>Alarme intermitente</x:v>
      </x:c>
      <x:c r="M77" s="84" t="str">
        <x:v>Ajuste incorreto</x:v>
      </x:c>
      <x:c r="N77" s="84" t="str">
        <x:v>Componente ajustado ou substituído</x:v>
      </x:c>
      <x:c r="O77" s="84" t="n">
        <x:v>0</x:v>
      </x:c>
      <x:c r="P77" s="93" t="n">
        <x:v>621.09</x:v>
      </x:c>
      <x:c r="Q77" s="93" t="n">
        <x:v>4725.18</x:v>
      </x:c>
      <x:c r="R77" s="91" t="n">
        <x:v>0</x:v>
      </x:c>
    </x:row>
    <x:row r="78">
      <x:c r="A78" s="83" t="n">
        <x:v>77</x:v>
      </x:c>
      <x:c r="B78" s="84" t="str">
        <x:v>OS-2025-00077</x:v>
      </x:c>
      <x:c r="C78" s="84" t="n">
        <x:v>55</x:v>
      </x:c>
      <x:c r="D78" s="84" t="n">
        <x:v>1</x:v>
      </x:c>
      <x:c r="E78" s="84" t="n">
        <x:v>109</x:v>
      </x:c>
      <x:c r="F78" s="89" t="n">
        <x:v>45690.18864583333</x:v>
      </x:c>
      <x:c r="G78" s="89" t="n">
        <x:v>45703.18864583333</x:v>
      </x:c>
      <x:c r="H78" s="89"/>
      <x:c r="I78" s="89"/>
      <x:c r="J78" s="84" t="str">
        <x:v>Média</x:v>
      </x:c>
      <x:c r="K78" s="84" t="str">
        <x:v>Planejada</x:v>
      </x:c>
      <x:c r="L78" s="84" t="str">
        <x:v>Vazamento</x:v>
      </x:c>
      <x:c r="M78" s="84"/>
      <x:c r="N78" s="84"/>
      <x:c r="O78" s="84" t="n">
        <x:v>0</x:v>
      </x:c>
      <x:c r="P78" s="93" t="n">
        <x:v>0</x:v>
      </x:c>
      <x:c r="Q78" s="93" t="n">
        <x:v>0</x:v>
      </x:c>
      <x:c r="R78" s="91" t="n">
        <x:v>0</x:v>
      </x:c>
    </x:row>
    <x:row r="79">
      <x:c r="A79" s="83" t="n">
        <x:v>78</x:v>
      </x:c>
      <x:c r="B79" s="84" t="str">
        <x:v>OS-2023-00078</x:v>
      </x:c>
      <x:c r="C79" s="84" t="n">
        <x:v>41</x:v>
      </x:c>
      <x:c r="D79" s="84" t="n">
        <x:v>2</x:v>
      </x:c>
      <x:c r="E79" s="84"/>
      <x:c r="F79" s="89" t="n">
        <x:v>45204.94797453703</x:v>
      </x:c>
      <x:c r="G79" s="89" t="n">
        <x:v>45204.94797453703</x:v>
      </x:c>
      <x:c r="H79" s="89" t="n">
        <x:v>45206.364641203705</x:v>
      </x:c>
      <x:c r="I79" s="89" t="n">
        <x:v>45206.94797453703</x:v>
      </x:c>
      <x:c r="J79" s="84" t="str">
        <x:v>Média</x:v>
      </x:c>
      <x:c r="K79" s="84" t="str">
        <x:v>Encerrada</x:v>
      </x:c>
      <x:c r="L79" s="84" t="str">
        <x:v>Vazamento</x:v>
      </x:c>
      <x:c r="M79" s="84" t="str">
        <x:v>Falta de lubrificação</x:v>
      </x:c>
      <x:c r="N79" s="84" t="str">
        <x:v>Componente ajustado ou substituído</x:v>
      </x:c>
      <x:c r="O79" s="84" t="n">
        <x:v>0</x:v>
      </x:c>
      <x:c r="P79" s="93" t="n">
        <x:v>389.38</x:v>
      </x:c>
      <x:c r="Q79" s="93" t="n">
        <x:v>1565.67</x:v>
      </x:c>
      <x:c r="R79" s="91" t="n">
        <x:v>0</x:v>
      </x:c>
    </x:row>
    <x:row r="80">
      <x:c r="A80" s="83" t="n">
        <x:v>79</x:v>
      </x:c>
      <x:c r="B80" s="84" t="str">
        <x:v>OS-2023-00079</x:v>
      </x:c>
      <x:c r="C80" s="84" t="n">
        <x:v>71</x:v>
      </x:c>
      <x:c r="D80" s="84" t="n">
        <x:v>1</x:v>
      </x:c>
      <x:c r="E80" s="84" t="n">
        <x:v>141</x:v>
      </x:c>
      <x:c r="F80" s="89" t="n">
        <x:v>45095.41268518518</x:v>
      </x:c>
      <x:c r="G80" s="89" t="n">
        <x:v>45095.41268518518</x:v>
      </x:c>
      <x:c r="H80" s="89" t="n">
        <x:v>45096.66268518518</x:v>
      </x:c>
      <x:c r="I80" s="89" t="n">
        <x:v>45097.41268518518</x:v>
      </x:c>
      <x:c r="J80" s="84" t="str">
        <x:v>Média</x:v>
      </x:c>
      <x:c r="K80" s="84" t="str">
        <x:v>Encerrada</x:v>
      </x:c>
      <x:c r="L80" s="84" t="str">
        <x:v>Superaquecimento</x:v>
      </x:c>
      <x:c r="M80" s="84" t="str">
        <x:v>Contaminação</x:v>
      </x:c>
      <x:c r="N80" s="84" t="str">
        <x:v>Componente ajustado ou substituído</x:v>
      </x:c>
      <x:c r="O80" s="84" t="n">
        <x:v>0</x:v>
      </x:c>
      <x:c r="P80" s="93" t="n">
        <x:v>249.55</x:v>
      </x:c>
      <x:c r="Q80" s="93" t="n">
        <x:v>4339.26</x:v>
      </x:c>
      <x:c r="R80" s="91" t="n">
        <x:v>0</x:v>
      </x:c>
    </x:row>
    <x:row r="81">
      <x:c r="A81" s="83" t="n">
        <x:v>80</x:v>
      </x:c>
      <x:c r="B81" s="84" t="str">
        <x:v>OS-2025-00080</x:v>
      </x:c>
      <x:c r="C81" s="84" t="n">
        <x:v>74</x:v>
      </x:c>
      <x:c r="D81" s="84" t="n">
        <x:v>5</x:v>
      </x:c>
      <x:c r="E81" s="84" t="n">
        <x:v>148</x:v>
      </x:c>
      <x:c r="F81" s="89" t="n">
        <x:v>45803.19789351852</x:v>
      </x:c>
      <x:c r="G81" s="89" t="n">
        <x:v>45813.19789351852</x:v>
      </x:c>
      <x:c r="H81" s="89" t="n">
        <x:v>45804.48956018518</x:v>
      </x:c>
      <x:c r="I81" s="89" t="n">
        <x:v>45804.656226851854</x:v>
      </x:c>
      <x:c r="J81" s="84" t="str">
        <x:v>Média</x:v>
      </x:c>
      <x:c r="K81" s="84" t="str">
        <x:v>Encerrada</x:v>
      </x:c>
      <x:c r="L81" s="84" t="str">
        <x:v>Vazamento</x:v>
      </x:c>
      <x:c r="M81" s="84" t="str">
        <x:v>Falta de lubrificação</x:v>
      </x:c>
      <x:c r="N81" s="84" t="str">
        <x:v>Componente ajustado ou substituído</x:v>
      </x:c>
      <x:c r="O81" s="84" t="n">
        <x:v>0</x:v>
      </x:c>
      <x:c r="P81" s="93" t="n">
        <x:v>203.03</x:v>
      </x:c>
      <x:c r="Q81" s="93" t="n">
        <x:v>0</x:v>
      </x:c>
      <x:c r="R81" s="91" t="n">
        <x:v>0</x:v>
      </x:c>
    </x:row>
    <x:row r="82">
      <x:c r="A82" s="83" t="n">
        <x:v>81</x:v>
      </x:c>
      <x:c r="B82" s="84" t="str">
        <x:v>OS-2025-00081</x:v>
      </x:c>
      <x:c r="C82" s="84" t="n">
        <x:v>65</x:v>
      </x:c>
      <x:c r="D82" s="84" t="n">
        <x:v>3</x:v>
      </x:c>
      <x:c r="E82" s="84"/>
      <x:c r="F82" s="89" t="n">
        <x:v>45895.20092592593</x:v>
      </x:c>
      <x:c r="G82" s="89"/>
      <x:c r="H82" s="89" t="n">
        <x:v>45897.40925925926</x:v>
      </x:c>
      <x:c r="I82" s="89"/>
      <x:c r="J82" s="84" t="str">
        <x:v>Média</x:v>
      </x:c>
      <x:c r="K82" s="84" t="str">
        <x:v>Em execução</x:v>
      </x:c>
      <x:c r="L82" s="84" t="str">
        <x:v>Desalinhamento</x:v>
      </x:c>
      <x:c r="M82" s="84" t="str">
        <x:v>Conexão frouxa</x:v>
      </x:c>
      <x:c r="N82" s="84"/>
      <x:c r="O82" s="84" t="n">
        <x:v>0</x:v>
      </x:c>
      <x:c r="P82" s="93" t="n">
        <x:v>248.2</x:v>
      </x:c>
      <x:c r="Q82" s="93" t="n">
        <x:v>5185.62</x:v>
      </x:c>
      <x:c r="R82" s="91" t="n">
        <x:v>0</x:v>
      </x:c>
    </x:row>
    <x:row r="83">
      <x:c r="A83" s="83" t="n">
        <x:v>82</x:v>
      </x:c>
      <x:c r="B83" s="84" t="str">
        <x:v>OS-2024-00082</x:v>
      </x:c>
      <x:c r="C83" s="84" t="n">
        <x:v>90</x:v>
      </x:c>
      <x:c r="D83" s="84" t="n">
        <x:v>3</x:v>
      </x:c>
      <x:c r="E83" s="84"/>
      <x:c r="F83" s="89" t="n">
        <x:v>45417.117789351854</x:v>
      </x:c>
      <x:c r="G83" s="89"/>
      <x:c r="H83" s="89" t="n">
        <x:v>45417.90945601852</x:v>
      </x:c>
      <x:c r="I83" s="89" t="n">
        <x:v>45418.117789351854</x:v>
      </x:c>
      <x:c r="J83" s="84" t="str">
        <x:v>Média</x:v>
      </x:c>
      <x:c r="K83" s="84" t="str">
        <x:v>Encerrada</x:v>
      </x:c>
      <x:c r="L83" s="84" t="str">
        <x:v>Desalinhamento</x:v>
      </x:c>
      <x:c r="M83" s="84" t="str">
        <x:v>Desgaste natural</x:v>
      </x:c>
      <x:c r="N83" s="84" t="str">
        <x:v>Componente ajustado ou substituído</x:v>
      </x:c>
      <x:c r="O83" s="84" t="n">
        <x:v>0</x:v>
      </x:c>
      <x:c r="P83" s="93" t="n">
        <x:v>266.87</x:v>
      </x:c>
      <x:c r="Q83" s="93" t="n">
        <x:v>892.16</x:v>
      </x:c>
      <x:c r="R83" s="91" t="n">
        <x:v>0</x:v>
      </x:c>
    </x:row>
    <x:row r="84">
      <x:c r="A84" s="83" t="n">
        <x:v>83</x:v>
      </x:c>
      <x:c r="B84" s="84" t="str">
        <x:v>OS-2025-00083</x:v>
      </x:c>
      <x:c r="C84" s="84" t="n">
        <x:v>35</x:v>
      </x:c>
      <x:c r="D84" s="84" t="n">
        <x:v>8</x:v>
      </x:c>
      <x:c r="E84" s="84"/>
      <x:c r="F84" s="89" t="n">
        <x:v>45982.770370370374</x:v>
      </x:c>
      <x:c r="G84" s="89" t="n">
        <x:v>45996.770370370374</x:v>
      </x:c>
      <x:c r="H84" s="89" t="n">
        <x:v>45984.645370370374</x:v>
      </x:c>
      <x:c r="I84" s="89" t="n">
        <x:v>45985.395370370374</x:v>
      </x:c>
      <x:c r="J84" s="84" t="str">
        <x:v>Baixa</x:v>
      </x:c>
      <x:c r="K84" s="84" t="str">
        <x:v>Encerrada</x:v>
      </x:c>
      <x:c r="L84" s="84" t="str">
        <x:v>Alarme intermitente</x:v>
      </x:c>
      <x:c r="M84" s="84" t="str">
        <x:v>Desgaste natural</x:v>
      </x:c>
      <x:c r="N84" s="84" t="str">
        <x:v>Componente ajustado ou substituído</x:v>
      </x:c>
      <x:c r="O84" s="84" t="n">
        <x:v>0</x:v>
      </x:c>
      <x:c r="P84" s="93" t="n">
        <x:v>224.8</x:v>
      </x:c>
      <x:c r="Q84" s="93" t="n">
        <x:v>4294.44</x:v>
      </x:c>
      <x:c r="R84" s="91" t="n">
        <x:v>7984.53</x:v>
      </x:c>
    </x:row>
    <x:row r="85">
      <x:c r="A85" s="83" t="n">
        <x:v>84</x:v>
      </x:c>
      <x:c r="B85" s="84" t="str">
        <x:v>OS-2025-00084</x:v>
      </x:c>
      <x:c r="C85" s="84" t="n">
        <x:v>20</x:v>
      </x:c>
      <x:c r="D85" s="84" t="n">
        <x:v>1</x:v>
      </x:c>
      <x:c r="E85" s="84" t="n">
        <x:v>39</x:v>
      </x:c>
      <x:c r="F85" s="89" t="n">
        <x:v>45950.48978009259</x:v>
      </x:c>
      <x:c r="G85" s="89" t="n">
        <x:v>45962.48978009259</x:v>
      </x:c>
      <x:c r="H85" s="89" t="n">
        <x:v>45953.198113425926</x:v>
      </x:c>
      <x:c r="I85" s="89" t="n">
        <x:v>45953.48978009259</x:v>
      </x:c>
      <x:c r="J85" s="84" t="str">
        <x:v>Baixa</x:v>
      </x:c>
      <x:c r="K85" s="84" t="str">
        <x:v>Encerrada</x:v>
      </x:c>
      <x:c r="L85" s="84" t="str">
        <x:v>Ruído anormal</x:v>
      </x:c>
      <x:c r="M85" s="84" t="str">
        <x:v>Ajuste incorreto</x:v>
      </x:c>
      <x:c r="N85" s="84" t="str">
        <x:v>Componente ajustado ou substituído</x:v>
      </x:c>
      <x:c r="O85" s="84" t="n">
        <x:v>1</x:v>
      </x:c>
      <x:c r="P85" s="93" t="n">
        <x:v>597.09</x:v>
      </x:c>
      <x:c r="Q85" s="93" t="n">
        <x:v>12973.34</x:v>
      </x:c>
      <x:c r="R85" s="91" t="n">
        <x:v>0</x:v>
      </x:c>
    </x:row>
    <x:row r="86">
      <x:c r="A86" s="83" t="n">
        <x:v>85</x:v>
      </x:c>
      <x:c r="B86" s="84" t="str">
        <x:v>OS-2023-00085</x:v>
      </x:c>
      <x:c r="C86" s="84" t="n">
        <x:v>57</x:v>
      </x:c>
      <x:c r="D86" s="84" t="n">
        <x:v>1</x:v>
      </x:c>
      <x:c r="E86" s="84" t="n">
        <x:v>114</x:v>
      </x:c>
      <x:c r="F86" s="89" t="n">
        <x:v>45252.44929398148</x:v>
      </x:c>
      <x:c r="G86" s="89" t="n">
        <x:v>45252.44929398148</x:v>
      </x:c>
      <x:c r="H86" s="89" t="n">
        <x:v>45254.28262731482</x:v>
      </x:c>
      <x:c r="I86" s="89" t="n">
        <x:v>45254.32429398148</x:v>
      </x:c>
      <x:c r="J86" s="84" t="str">
        <x:v>Crítica</x:v>
      </x:c>
      <x:c r="K86" s="84" t="str">
        <x:v>Encerrada</x:v>
      </x:c>
      <x:c r="L86" s="84" t="str">
        <x:v>Desalinhamento</x:v>
      </x:c>
      <x:c r="M86" s="84" t="str">
        <x:v>Contaminação</x:v>
      </x:c>
      <x:c r="N86" s="84" t="str">
        <x:v>Componente ajustado ou substituído</x:v>
      </x:c>
      <x:c r="O86" s="84" t="n">
        <x:v>0</x:v>
      </x:c>
      <x:c r="P86" s="93" t="n">
        <x:v>75.9</x:v>
      </x:c>
      <x:c r="Q86" s="93" t="n">
        <x:v>5808.06</x:v>
      </x:c>
      <x:c r="R86" s="91" t="n">
        <x:v>0</x:v>
      </x:c>
    </x:row>
    <x:row r="87">
      <x:c r="A87" s="83" t="n">
        <x:v>86</x:v>
      </x:c>
      <x:c r="B87" s="84" t="str">
        <x:v>OS-2023-00086</x:v>
      </x:c>
      <x:c r="C87" s="84" t="n">
        <x:v>88</x:v>
      </x:c>
      <x:c r="D87" s="84" t="n">
        <x:v>1</x:v>
      </x:c>
      <x:c r="E87" s="84" t="n">
        <x:v>176</x:v>
      </x:c>
      <x:c r="F87" s="89" t="n">
        <x:v>44949.35086805555</x:v>
      </x:c>
      <x:c r="G87" s="89" t="n">
        <x:v>44955.35086805555</x:v>
      </x:c>
      <x:c r="H87" s="89" t="n">
        <x:v>44949.55920138889</x:v>
      </x:c>
      <x:c r="I87" s="89" t="n">
        <x:v>44950.18420138889</x:v>
      </x:c>
      <x:c r="J87" s="84" t="str">
        <x:v>Alta</x:v>
      </x:c>
      <x:c r="K87" s="84" t="str">
        <x:v>Encerrada</x:v>
      </x:c>
      <x:c r="L87" s="84" t="str">
        <x:v>Desalinhamento</x:v>
      </x:c>
      <x:c r="M87" s="84" t="str">
        <x:v>Componente danificado</x:v>
      </x:c>
      <x:c r="N87" s="84" t="str">
        <x:v>Componente ajustado ou substituído</x:v>
      </x:c>
      <x:c r="O87" s="84" t="n">
        <x:v>0</x:v>
      </x:c>
      <x:c r="P87" s="93" t="n">
        <x:v>811.03</x:v>
      </x:c>
      <x:c r="Q87" s="93" t="n">
        <x:v>3737.03</x:v>
      </x:c>
      <x:c r="R87" s="91" t="n">
        <x:v>0</x:v>
      </x:c>
    </x:row>
    <x:row r="88">
      <x:c r="A88" s="83" t="n">
        <x:v>87</x:v>
      </x:c>
      <x:c r="B88" s="84" t="str">
        <x:v>OS-2024-00087</x:v>
      </x:c>
      <x:c r="C88" s="84" t="n">
        <x:v>18</x:v>
      </x:c>
      <x:c r="D88" s="84" t="n">
        <x:v>1</x:v>
      </x:c>
      <x:c r="E88" s="84" t="n">
        <x:v>36</x:v>
      </x:c>
      <x:c r="F88" s="89" t="n">
        <x:v>45538.381527777776</x:v>
      </x:c>
      <x:c r="G88" s="89" t="n">
        <x:v>45542.381527777776</x:v>
      </x:c>
      <x:c r="H88" s="89" t="n">
        <x:v>45539.756527777776</x:v>
      </x:c>
      <x:c r="I88" s="89" t="n">
        <x:v>45539.96486111111</x:v>
      </x:c>
      <x:c r="J88" s="84" t="str">
        <x:v>Baixa</x:v>
      </x:c>
      <x:c r="K88" s="84" t="str">
        <x:v>Encerrada</x:v>
      </x:c>
      <x:c r="L88" s="84" t="str">
        <x:v>Ruído anormal</x:v>
      </x:c>
      <x:c r="M88" s="84" t="str">
        <x:v>Conexão frouxa</x:v>
      </x:c>
      <x:c r="N88" s="84" t="str">
        <x:v>Componente ajustado ou substituído</x:v>
      </x:c>
      <x:c r="O88" s="84" t="n">
        <x:v>0</x:v>
      </x:c>
      <x:c r="P88" s="93" t="n">
        <x:v>88.63</x:v>
      </x:c>
      <x:c r="Q88" s="93" t="n">
        <x:v>0</x:v>
      </x:c>
      <x:c r="R88" s="91" t="n">
        <x:v>0</x:v>
      </x:c>
    </x:row>
    <x:row r="89">
      <x:c r="A89" s="83" t="n">
        <x:v>88</x:v>
      </x:c>
      <x:c r="B89" s="84" t="str">
        <x:v>OS-2025-00088</x:v>
      </x:c>
      <x:c r="C89" s="84" t="n">
        <x:v>42</x:v>
      </x:c>
      <x:c r="D89" s="84" t="n">
        <x:v>4</x:v>
      </x:c>
      <x:c r="E89" s="84"/>
      <x:c r="F89" s="89" t="n">
        <x:v>45701.82921296296</x:v>
      </x:c>
      <x:c r="G89" s="89" t="n">
        <x:v>45701.82921296296</x:v>
      </x:c>
      <x:c r="H89" s="89" t="n">
        <x:v>45703.45421296296</x:v>
      </x:c>
      <x:c r="I89" s="89" t="n">
        <x:v>45704.12087962963</x:v>
      </x:c>
      <x:c r="J89" s="84" t="str">
        <x:v>Baixa</x:v>
      </x:c>
      <x:c r="K89" s="84" t="str">
        <x:v>Encerrada</x:v>
      </x:c>
      <x:c r="L89" s="84" t="str">
        <x:v>Desalinhamento</x:v>
      </x:c>
      <x:c r="M89" s="84" t="str">
        <x:v>Contaminação</x:v>
      </x:c>
      <x:c r="N89" s="84" t="str">
        <x:v>Componente ajustado ou substituído</x:v>
      </x:c>
      <x:c r="O89" s="84" t="n">
        <x:v>0</x:v>
      </x:c>
      <x:c r="P89" s="93" t="n">
        <x:v>544.64</x:v>
      </x:c>
      <x:c r="Q89" s="93" t="n">
        <x:v>5791.8</x:v>
      </x:c>
      <x:c r="R89" s="91" t="n">
        <x:v>0</x:v>
      </x:c>
    </x:row>
    <x:row r="90">
      <x:c r="A90" s="83" t="n">
        <x:v>89</x:v>
      </x:c>
      <x:c r="B90" s="84" t="str">
        <x:v>OS-2025-00089</x:v>
      </x:c>
      <x:c r="C90" s="84" t="n">
        <x:v>61</x:v>
      </x:c>
      <x:c r="D90" s="84" t="n">
        <x:v>2</x:v>
      </x:c>
      <x:c r="E90" s="84"/>
      <x:c r="F90" s="89" t="n">
        <x:v>45843.55378472222</x:v>
      </x:c>
      <x:c r="G90" s="89" t="n">
        <x:v>45850.55378472222</x:v>
      </x:c>
      <x:c r="H90" s="89" t="n">
        <x:v>45846.13711805556</x:v>
      </x:c>
      <x:c r="I90" s="89" t="n">
        <x:v>45846.84545138889</x:v>
      </x:c>
      <x:c r="J90" s="84" t="str">
        <x:v>Alta</x:v>
      </x:c>
      <x:c r="K90" s="84" t="str">
        <x:v>Concluída</x:v>
      </x:c>
      <x:c r="L90" s="84" t="str">
        <x:v>Vazamento</x:v>
      </x:c>
      <x:c r="M90" s="84" t="str">
        <x:v>Ajuste incorreto</x:v>
      </x:c>
      <x:c r="N90" s="84" t="str">
        <x:v>Componente ajustado ou substituído</x:v>
      </x:c>
      <x:c r="O90" s="84" t="n">
        <x:v>0</x:v>
      </x:c>
      <x:c r="P90" s="93" t="n">
        <x:v>404.12</x:v>
      </x:c>
      <x:c r="Q90" s="93" t="n">
        <x:v>6209.84</x:v>
      </x:c>
      <x:c r="R90" s="91" t="n">
        <x:v>0</x:v>
      </x:c>
    </x:row>
    <x:row r="91">
      <x:c r="A91" s="83" t="n">
        <x:v>90</x:v>
      </x:c>
      <x:c r="B91" s="84" t="str">
        <x:v>OS-2023-00090</x:v>
      </x:c>
      <x:c r="C91" s="84" t="n">
        <x:v>74</x:v>
      </x:c>
      <x:c r="D91" s="84" t="n">
        <x:v>1</x:v>
      </x:c>
      <x:c r="E91" s="84" t="n">
        <x:v>148</x:v>
      </x:c>
      <x:c r="F91" s="89" t="n">
        <x:v>45221.31418981482</x:v>
      </x:c>
      <x:c r="G91" s="89" t="n">
        <x:v>45233.31418981482</x:v>
      </x:c>
      <x:c r="H91" s="89" t="n">
        <x:v>45224.147523148145</x:v>
      </x:c>
      <x:c r="I91" s="89" t="n">
        <x:v>45224.73085648148</x:v>
      </x:c>
      <x:c r="J91" s="84" t="str">
        <x:v>Baixa</x:v>
      </x:c>
      <x:c r="K91" s="84" t="str">
        <x:v>Encerrada</x:v>
      </x:c>
      <x:c r="L91" s="84" t="str">
        <x:v>Vazamento</x:v>
      </x:c>
      <x:c r="M91" s="84" t="str">
        <x:v>Contaminação</x:v>
      </x:c>
      <x:c r="N91" s="84" t="str">
        <x:v>Componente ajustado ou substituído</x:v>
      </x:c>
      <x:c r="O91" s="84" t="n">
        <x:v>0</x:v>
      </x:c>
      <x:c r="P91" s="93" t="n">
        <x:v>288.97</x:v>
      </x:c>
      <x:c r="Q91" s="93" t="n">
        <x:v>2936.92</x:v>
      </x:c>
      <x:c r="R91" s="91" t="n">
        <x:v>7678.64</x:v>
      </x:c>
    </x:row>
    <x:row r="92">
      <x:c r="A92" s="83" t="n">
        <x:v>91</x:v>
      </x:c>
      <x:c r="B92" s="84" t="str">
        <x:v>OS-2025-00091</x:v>
      </x:c>
      <x:c r="C92" s="84" t="n">
        <x:v>61</x:v>
      </x:c>
      <x:c r="D92" s="84" t="n">
        <x:v>5</x:v>
      </x:c>
      <x:c r="E92" s="84" t="n">
        <x:v>121</x:v>
      </x:c>
      <x:c r="F92" s="89" t="n">
        <x:v>45988.20171296296</x:v>
      </x:c>
      <x:c r="G92" s="89" t="n">
        <x:v>45998.20171296296</x:v>
      </x:c>
      <x:c r="H92" s="89" t="n">
        <x:v>45990.410046296296</x:v>
      </x:c>
      <x:c r="I92" s="89" t="n">
        <x:v>45990.49337962963</x:v>
      </x:c>
      <x:c r="J92" s="84" t="str">
        <x:v>Crítica</x:v>
      </x:c>
      <x:c r="K92" s="84" t="str">
        <x:v>Encerrada</x:v>
      </x:c>
      <x:c r="L92" s="84" t="str">
        <x:v>Desalinhamento</x:v>
      </x:c>
      <x:c r="M92" s="84" t="str">
        <x:v>Contaminação</x:v>
      </x:c>
      <x:c r="N92" s="84" t="str">
        <x:v>Componente ajustado ou substituído</x:v>
      </x:c>
      <x:c r="O92" s="84" t="n">
        <x:v>0</x:v>
      </x:c>
      <x:c r="P92" s="93" t="n">
        <x:v>374.61</x:v>
      </x:c>
      <x:c r="Q92" s="93" t="n">
        <x:v>10270.7</x:v>
      </x:c>
      <x:c r="R92" s="91" t="n">
        <x:v>0</x:v>
      </x:c>
    </x:row>
    <x:row r="93">
      <x:c r="A93" s="83" t="n">
        <x:v>92</x:v>
      </x:c>
      <x:c r="B93" s="84" t="str">
        <x:v>OS-2025-00092</x:v>
      </x:c>
      <x:c r="C93" s="84" t="n">
        <x:v>36</x:v>
      </x:c>
      <x:c r="D93" s="84" t="n">
        <x:v>6</x:v>
      </x:c>
      <x:c r="E93" s="84"/>
      <x:c r="F93" s="89" t="n">
        <x:v>45820.0981712963</x:v>
      </x:c>
      <x:c r="G93" s="89" t="n">
        <x:v>45826.0981712963</x:v>
      </x:c>
      <x:c r="H93" s="89" t="n">
        <x:v>45822.7231712963</x:v>
      </x:c>
      <x:c r="I93" s="89" t="n">
        <x:v>45823.38983796296</x:v>
      </x:c>
      <x:c r="J93" s="84" t="str">
        <x:v>Baixa</x:v>
      </x:c>
      <x:c r="K93" s="84" t="str">
        <x:v>Encerrada</x:v>
      </x:c>
      <x:c r="L93" s="84" t="str">
        <x:v>Baixa pressão</x:v>
      </x:c>
      <x:c r="M93" s="84" t="str">
        <x:v>Contaminação</x:v>
      </x:c>
      <x:c r="N93" s="84" t="str">
        <x:v>Componente ajustado ou substituído</x:v>
      </x:c>
      <x:c r="O93" s="84" t="n">
        <x:v>0</x:v>
      </x:c>
      <x:c r="P93" s="93" t="n">
        <x:v>287.87</x:v>
      </x:c>
      <x:c r="Q93" s="93" t="n">
        <x:v>6586</x:v>
      </x:c>
      <x:c r="R93" s="91" t="n">
        <x:v>0</x:v>
      </x:c>
    </x:row>
    <x:row r="94">
      <x:c r="A94" s="83" t="n">
        <x:v>93</x:v>
      </x:c>
      <x:c r="B94" s="84" t="str">
        <x:v>OS-2023-00093</x:v>
      </x:c>
      <x:c r="C94" s="84" t="n">
        <x:v>29</x:v>
      </x:c>
      <x:c r="D94" s="84" t="n">
        <x:v>3</x:v>
      </x:c>
      <x:c r="E94" s="84"/>
      <x:c r="F94" s="89" t="n">
        <x:v>45072.51645833333</x:v>
      </x:c>
      <x:c r="G94" s="89"/>
      <x:c r="H94" s="89" t="n">
        <x:v>45073.84979166667</x:v>
      </x:c>
      <x:c r="I94" s="89" t="n">
        <x:v>45074.51645833333</x:v>
      </x:c>
      <x:c r="J94" s="84" t="str">
        <x:v>Média</x:v>
      </x:c>
      <x:c r="K94" s="84" t="str">
        <x:v>Encerrada</x:v>
      </x:c>
      <x:c r="L94" s="84" t="str">
        <x:v>Ruído anormal</x:v>
      </x:c>
      <x:c r="M94" s="84" t="str">
        <x:v>Contaminação</x:v>
      </x:c>
      <x:c r="N94" s="84" t="str">
        <x:v>Componente ajustado ou substituído</x:v>
      </x:c>
      <x:c r="O94" s="84" t="n">
        <x:v>0</x:v>
      </x:c>
      <x:c r="P94" s="93" t="n">
        <x:v>252.6</x:v>
      </x:c>
      <x:c r="Q94" s="93" t="n">
        <x:v>3568.64</x:v>
      </x:c>
      <x:c r="R94" s="91" t="n">
        <x:v>0</x:v>
      </x:c>
    </x:row>
    <x:row r="95">
      <x:c r="A95" s="83" t="n">
        <x:v>94</x:v>
      </x:c>
      <x:c r="B95" s="84" t="str">
        <x:v>OS-2025-00094</x:v>
      </x:c>
      <x:c r="C95" s="84" t="n">
        <x:v>63</x:v>
      </x:c>
      <x:c r="D95" s="84" t="n">
        <x:v>2</x:v>
      </x:c>
      <x:c r="E95" s="84"/>
      <x:c r="F95" s="89" t="n">
        <x:v>45759.56502314815</x:v>
      </x:c>
      <x:c r="G95" s="89" t="n">
        <x:v>45771.56502314815</x:v>
      </x:c>
      <x:c r="H95" s="89" t="n">
        <x:v>45759.69002314815</x:v>
      </x:c>
      <x:c r="I95" s="89" t="n">
        <x:v>45760.31502314815</x:v>
      </x:c>
      <x:c r="J95" s="84" t="str">
        <x:v>Alta</x:v>
      </x:c>
      <x:c r="K95" s="84" t="str">
        <x:v>Concluída</x:v>
      </x:c>
      <x:c r="L95" s="84" t="str">
        <x:v>Alarme intermitente</x:v>
      </x:c>
      <x:c r="M95" s="84" t="str">
        <x:v>Falta de lubrificação</x:v>
      </x:c>
      <x:c r="N95" s="84" t="str">
        <x:v>Componente ajustado ou substituído</x:v>
      </x:c>
      <x:c r="O95" s="84" t="n">
        <x:v>0</x:v>
      </x:c>
      <x:c r="P95" s="93" t="n">
        <x:v>111.28</x:v>
      </x:c>
      <x:c r="Q95" s="93" t="n">
        <x:v>5477.97</x:v>
      </x:c>
      <x:c r="R95" s="91" t="n">
        <x:v>0</x:v>
      </x:c>
    </x:row>
    <x:row r="96">
      <x:c r="A96" s="83" t="n">
        <x:v>95</x:v>
      </x:c>
      <x:c r="B96" s="84" t="str">
        <x:v>OS-2024-00095</x:v>
      </x:c>
      <x:c r="C96" s="84" t="n">
        <x:v>40</x:v>
      </x:c>
      <x:c r="D96" s="84" t="n">
        <x:v>2</x:v>
      </x:c>
      <x:c r="E96" s="84"/>
      <x:c r="F96" s="89" t="n">
        <x:v>45359.80358796296</x:v>
      </x:c>
      <x:c r="G96" s="89" t="n">
        <x:v>45360.80358796296</x:v>
      </x:c>
      <x:c r="H96" s="89" t="n">
        <x:v>45362.42858796296</x:v>
      </x:c>
      <x:c r="I96" s="89" t="n">
        <x:v>45363.22025462963</x:v>
      </x:c>
      <x:c r="J96" s="84" t="str">
        <x:v>Média</x:v>
      </x:c>
      <x:c r="K96" s="84" t="str">
        <x:v>Encerrada</x:v>
      </x:c>
      <x:c r="L96" s="84" t="str">
        <x:v>Superaquecimento</x:v>
      </x:c>
      <x:c r="M96" s="84" t="str">
        <x:v>Componente danificado</x:v>
      </x:c>
      <x:c r="N96" s="84" t="str">
        <x:v>Componente ajustado ou substituído</x:v>
      </x:c>
      <x:c r="O96" s="84" t="n">
        <x:v>0</x:v>
      </x:c>
      <x:c r="P96" s="93" t="n">
        <x:v>346.42</x:v>
      </x:c>
      <x:c r="Q96" s="93" t="n">
        <x:v>4604.56</x:v>
      </x:c>
      <x:c r="R96" s="91" t="n">
        <x:v>0</x:v>
      </x:c>
    </x:row>
    <x:row r="97">
      <x:c r="A97" s="83" t="n">
        <x:v>96</x:v>
      </x:c>
      <x:c r="B97" s="84" t="str">
        <x:v>OS-2024-00096</x:v>
      </x:c>
      <x:c r="C97" s="84" t="n">
        <x:v>7</x:v>
      </x:c>
      <x:c r="D97" s="84" t="n">
        <x:v>3</x:v>
      </x:c>
      <x:c r="E97" s="84"/>
      <x:c r="F97" s="89" t="n">
        <x:v>45405.2753125</x:v>
      </x:c>
      <x:c r="G97" s="89"/>
      <x:c r="H97" s="89" t="n">
        <x:v>45406.941979166666</x:v>
      </x:c>
      <x:c r="I97" s="89" t="n">
        <x:v>45407.691979166666</x:v>
      </x:c>
      <x:c r="J97" s="84" t="str">
        <x:v>Média</x:v>
      </x:c>
      <x:c r="K97" s="84" t="str">
        <x:v>Concluída</x:v>
      </x:c>
      <x:c r="L97" s="84" t="str">
        <x:v>Falha elétrica</x:v>
      </x:c>
      <x:c r="M97" s="84" t="str">
        <x:v>Contaminação</x:v>
      </x:c>
      <x:c r="N97" s="84" t="str">
        <x:v>Componente ajustado ou substituído</x:v>
      </x:c>
      <x:c r="O97" s="84" t="n">
        <x:v>0</x:v>
      </x:c>
      <x:c r="P97" s="93" t="n">
        <x:v>313.78</x:v>
      </x:c>
      <x:c r="Q97" s="93" t="n">
        <x:v>6584.97</x:v>
      </x:c>
      <x:c r="R97" s="91" t="n">
        <x:v>0</x:v>
      </x:c>
    </x:row>
    <x:row r="98">
      <x:c r="A98" s="83" t="n">
        <x:v>97</x:v>
      </x:c>
      <x:c r="B98" s="84" t="str">
        <x:v>OS-2024-00097</x:v>
      </x:c>
      <x:c r="C98" s="84" t="n">
        <x:v>13</x:v>
      </x:c>
      <x:c r="D98" s="84" t="n">
        <x:v>2</x:v>
      </x:c>
      <x:c r="E98" s="84"/>
      <x:c r="F98" s="89" t="n">
        <x:v>45520.79733796296</x:v>
      </x:c>
      <x:c r="G98" s="89" t="n">
        <x:v>45525.79733796296</x:v>
      </x:c>
      <x:c r="H98" s="89" t="n">
        <x:v>45522.17233796296</x:v>
      </x:c>
      <x:c r="I98" s="89" t="n">
        <x:v>45523.0056712963</x:v>
      </x:c>
      <x:c r="J98" s="84" t="str">
        <x:v>Média</x:v>
      </x:c>
      <x:c r="K98" s="84" t="str">
        <x:v>Concluída</x:v>
      </x:c>
      <x:c r="L98" s="84" t="str">
        <x:v>Baixa pressão</x:v>
      </x:c>
      <x:c r="M98" s="84" t="str">
        <x:v>Desgaste natural</x:v>
      </x:c>
      <x:c r="N98" s="84" t="str">
        <x:v>Componente ajustado ou substituído</x:v>
      </x:c>
      <x:c r="O98" s="84" t="n">
        <x:v>0</x:v>
      </x:c>
      <x:c r="P98" s="93" t="n">
        <x:v>46.5</x:v>
      </x:c>
      <x:c r="Q98" s="93" t="n">
        <x:v>10962.12</x:v>
      </x:c>
      <x:c r="R98" s="91" t="n">
        <x:v>0</x:v>
      </x:c>
    </x:row>
    <x:row r="99">
      <x:c r="A99" s="83" t="n">
        <x:v>98</x:v>
      </x:c>
      <x:c r="B99" s="84" t="str">
        <x:v>OS-2024-00098</x:v>
      </x:c>
      <x:c r="C99" s="84" t="n">
        <x:v>21</x:v>
      </x:c>
      <x:c r="D99" s="84" t="n">
        <x:v>1</x:v>
      </x:c>
      <x:c r="E99" s="84" t="n">
        <x:v>42</x:v>
      </x:c>
      <x:c r="F99" s="89" t="n">
        <x:v>45335.54740740741</x:v>
      </x:c>
      <x:c r="G99" s="89" t="n">
        <x:v>45342.54740740741</x:v>
      </x:c>
      <x:c r="H99" s="89" t="n">
        <x:v>45338.46407407407</x:v>
      </x:c>
      <x:c r="I99" s="89" t="n">
        <x:v>45338.96407407407</x:v>
      </x:c>
      <x:c r="J99" s="84" t="str">
        <x:v>Baixa</x:v>
      </x:c>
      <x:c r="K99" s="84" t="str">
        <x:v>Concluída</x:v>
      </x:c>
      <x:c r="L99" s="84" t="str">
        <x:v>Baixa pressão</x:v>
      </x:c>
      <x:c r="M99" s="84" t="str">
        <x:v>Desgaste natural</x:v>
      </x:c>
      <x:c r="N99" s="84" t="str">
        <x:v>Componente ajustado ou substituído</x:v>
      </x:c>
      <x:c r="O99" s="84" t="n">
        <x:v>0</x:v>
      </x:c>
      <x:c r="P99" s="93" t="n">
        <x:v>681.25</x:v>
      </x:c>
      <x:c r="Q99" s="93" t="n">
        <x:v>0</x:v>
      </x:c>
      <x:c r="R99" s="91" t="n">
        <x:v>0</x:v>
      </x:c>
    </x:row>
    <x:row r="100">
      <x:c r="A100" s="83" t="n">
        <x:v>99</x:v>
      </x:c>
      <x:c r="B100" s="84" t="str">
        <x:v>OS-2025-00099</x:v>
      </x:c>
      <x:c r="C100" s="84" t="n">
        <x:v>31</x:v>
      </x:c>
      <x:c r="D100" s="84" t="n">
        <x:v>1</x:v>
      </x:c>
      <x:c r="E100" s="84" t="n">
        <x:v>61</x:v>
      </x:c>
      <x:c r="F100" s="89" t="n">
        <x:v>45879.99481481482</x:v>
      </x:c>
      <x:c r="G100" s="89" t="n">
        <x:v>45887.99481481482</x:v>
      </x:c>
      <x:c r="H100" s="89"/>
      <x:c r="I100" s="89"/>
      <x:c r="J100" s="84" t="str">
        <x:v>Crítica</x:v>
      </x:c>
      <x:c r="K100" s="84" t="str">
        <x:v>Planejada</x:v>
      </x:c>
      <x:c r="L100" s="84" t="str">
        <x:v>Alarme intermitente</x:v>
      </x:c>
      <x:c r="M100" s="84"/>
      <x:c r="N100" s="84"/>
      <x:c r="O100" s="84" t="n">
        <x:v>0</x:v>
      </x:c>
      <x:c r="P100" s="93" t="n">
        <x:v>0</x:v>
      </x:c>
      <x:c r="Q100" s="93" t="n">
        <x:v>0</x:v>
      </x:c>
      <x:c r="R100" s="91" t="n">
        <x:v>0</x:v>
      </x:c>
    </x:row>
    <x:row r="101">
      <x:c r="A101" s="83" t="n">
        <x:v>100</x:v>
      </x:c>
      <x:c r="B101" s="84" t="str">
        <x:v>OS-2023-00100</x:v>
      </x:c>
      <x:c r="C101" s="84" t="n">
        <x:v>65</x:v>
      </x:c>
      <x:c r="D101" s="84" t="n">
        <x:v>1</x:v>
      </x:c>
      <x:c r="E101" s="84" t="n">
        <x:v>129</x:v>
      </x:c>
      <x:c r="F101" s="89" t="n">
        <x:v>45238.947800925926</x:v>
      </x:c>
      <x:c r="G101" s="89" t="n">
        <x:v>45249.947800925926</x:v>
      </x:c>
      <x:c r="H101" s="89" t="n">
        <x:v>45239.947800925926</x:v>
      </x:c>
      <x:c r="I101" s="89" t="n">
        <x:v>45240.03113425926</x:v>
      </x:c>
      <x:c r="J101" s="84" t="str">
        <x:v>Média</x:v>
      </x:c>
      <x:c r="K101" s="84" t="str">
        <x:v>Concluída</x:v>
      </x:c>
      <x:c r="L101" s="84" t="str">
        <x:v>Baixa pressão</x:v>
      </x:c>
      <x:c r="M101" s="84" t="str">
        <x:v>Conexão frouxa</x:v>
      </x:c>
      <x:c r="N101" s="84" t="str">
        <x:v>Componente ajustado ou substituído</x:v>
      </x:c>
      <x:c r="O101" s="84" t="n">
        <x:v>0</x:v>
      </x:c>
      <x:c r="P101" s="93" t="n">
        <x:v>580.67</x:v>
      </x:c>
      <x:c r="Q101" s="93" t="n">
        <x:v>7253</x:v>
      </x:c>
      <x:c r="R101" s="91" t="n">
        <x:v>0</x:v>
      </x:c>
    </x:row>
    <x:row r="102">
      <x:c r="A102" s="83" t="n">
        <x:v>101</x:v>
      </x:c>
      <x:c r="B102" s="84" t="str">
        <x:v>OS-2023-00101</x:v>
      </x:c>
      <x:c r="C102" s="84" t="n">
        <x:v>70</x:v>
      </x:c>
      <x:c r="D102" s="84" t="n">
        <x:v>1</x:v>
      </x:c>
      <x:c r="E102" s="84" t="n">
        <x:v>140</x:v>
      </x:c>
      <x:c r="F102" s="89" t="n">
        <x:v>44945.81390046296</x:v>
      </x:c>
      <x:c r="G102" s="89" t="n">
        <x:v>44956.81390046296</x:v>
      </x:c>
      <x:c r="H102" s="89" t="n">
        <x:v>44948.23056712963</x:v>
      </x:c>
      <x:c r="I102" s="89" t="n">
        <x:v>44948.56390046296</x:v>
      </x:c>
      <x:c r="J102" s="84" t="str">
        <x:v>Alta</x:v>
      </x:c>
      <x:c r="K102" s="84" t="str">
        <x:v>Encerrada</x:v>
      </x:c>
      <x:c r="L102" s="84" t="str">
        <x:v>Baixa pressão</x:v>
      </x:c>
      <x:c r="M102" s="84" t="str">
        <x:v>Falta de lubrificação</x:v>
      </x:c>
      <x:c r="N102" s="84" t="str">
        <x:v>Componente ajustado ou substituído</x:v>
      </x:c>
      <x:c r="O102" s="84" t="n">
        <x:v>0</x:v>
      </x:c>
      <x:c r="P102" s="93" t="n">
        <x:v>483.75</x:v>
      </x:c>
      <x:c r="Q102" s="93" t="n">
        <x:v>9155.48</x:v>
      </x:c>
      <x:c r="R102" s="91" t="n">
        <x:v>0</x:v>
      </x:c>
    </x:row>
    <x:row r="103">
      <x:c r="A103" s="83" t="n">
        <x:v>102</x:v>
      </x:c>
      <x:c r="B103" s="84" t="str">
        <x:v>OS-2023-00102</x:v>
      </x:c>
      <x:c r="C103" s="84" t="n">
        <x:v>43</x:v>
      </x:c>
      <x:c r="D103" s="84" t="n">
        <x:v>1</x:v>
      </x:c>
      <x:c r="E103" s="84" t="n">
        <x:v>86</x:v>
      </x:c>
      <x:c r="F103" s="89" t="n">
        <x:v>45011.616793981484</x:v>
      </x:c>
      <x:c r="G103" s="89" t="n">
        <x:v>45018.616793981484</x:v>
      </x:c>
      <x:c r="H103" s="89" t="n">
        <x:v>45012.991793981484</x:v>
      </x:c>
      <x:c r="I103" s="89" t="n">
        <x:v>45013.28346064815</x:v>
      </x:c>
      <x:c r="J103" s="84" t="str">
        <x:v>Crítica</x:v>
      </x:c>
      <x:c r="K103" s="84" t="str">
        <x:v>Encerrada</x:v>
      </x:c>
      <x:c r="L103" s="84" t="str">
        <x:v>Vazamento</x:v>
      </x:c>
      <x:c r="M103" s="84" t="str">
        <x:v>Conexão frouxa</x:v>
      </x:c>
      <x:c r="N103" s="84" t="str">
        <x:v>Componente ajustado ou substituído</x:v>
      </x:c>
      <x:c r="O103" s="84" t="n">
        <x:v>0</x:v>
      </x:c>
      <x:c r="P103" s="93" t="n">
        <x:v>716.36</x:v>
      </x:c>
      <x:c r="Q103" s="93" t="n">
        <x:v>4160.36</x:v>
      </x:c>
      <x:c r="R103" s="91" t="n">
        <x:v>0</x:v>
      </x:c>
    </x:row>
    <x:row r="104">
      <x:c r="A104" s="83" t="n">
        <x:v>103</x:v>
      </x:c>
      <x:c r="B104" s="84" t="str">
        <x:v>OS-2025-00103</x:v>
      </x:c>
      <x:c r="C104" s="84" t="n">
        <x:v>49</x:v>
      </x:c>
      <x:c r="D104" s="84" t="n">
        <x:v>1</x:v>
      </x:c>
      <x:c r="E104" s="84" t="n">
        <x:v>97</x:v>
      </x:c>
      <x:c r="F104" s="89" t="n">
        <x:v>45756.068657407406</x:v>
      </x:c>
      <x:c r="G104" s="89" t="n">
        <x:v>45760.068657407406</x:v>
      </x:c>
      <x:c r="H104" s="89" t="n">
        <x:v>45757.27699074074</x:v>
      </x:c>
      <x:c r="I104" s="89" t="n">
        <x:v>45757.36032407408</x:v>
      </x:c>
      <x:c r="J104" s="84" t="str">
        <x:v>Baixa</x:v>
      </x:c>
      <x:c r="K104" s="84" t="str">
        <x:v>Encerrada</x:v>
      </x:c>
      <x:c r="L104" s="84" t="str">
        <x:v>Ruído anormal</x:v>
      </x:c>
      <x:c r="M104" s="84" t="str">
        <x:v>Ajuste incorreto</x:v>
      </x:c>
      <x:c r="N104" s="84" t="str">
        <x:v>Componente ajustado ou substituído</x:v>
      </x:c>
      <x:c r="O104" s="84" t="n">
        <x:v>0</x:v>
      </x:c>
      <x:c r="P104" s="93" t="n">
        <x:v>250.08</x:v>
      </x:c>
      <x:c r="Q104" s="93" t="n">
        <x:v>5873.84</x:v>
      </x:c>
      <x:c r="R104" s="91" t="n">
        <x:v>10311.34</x:v>
      </x:c>
    </x:row>
    <x:row r="105">
      <x:c r="A105" s="83" t="n">
        <x:v>104</x:v>
      </x:c>
      <x:c r="B105" s="84" t="str">
        <x:v>OS-2024-00104</x:v>
      </x:c>
      <x:c r="C105" s="84" t="n">
        <x:v>43</x:v>
      </x:c>
      <x:c r="D105" s="84" t="n">
        <x:v>1</x:v>
      </x:c>
      <x:c r="E105" s="84" t="n">
        <x:v>86</x:v>
      </x:c>
      <x:c r="F105" s="89" t="n">
        <x:v>45603.68502314815</x:v>
      </x:c>
      <x:c r="G105" s="89" t="n">
        <x:v>45609.68502314815</x:v>
      </x:c>
      <x:c r="H105" s="89" t="n">
        <x:v>45604.01835648148</x:v>
      </x:c>
      <x:c r="I105" s="89" t="n">
        <x:v>45604.601689814815</x:v>
      </x:c>
      <x:c r="J105" s="84" t="str">
        <x:v>Média</x:v>
      </x:c>
      <x:c r="K105" s="84" t="str">
        <x:v>Concluída</x:v>
      </x:c>
      <x:c r="L105" s="84" t="str">
        <x:v>Superaquecimento</x:v>
      </x:c>
      <x:c r="M105" s="84" t="str">
        <x:v>Contaminação</x:v>
      </x:c>
      <x:c r="N105" s="84" t="str">
        <x:v>Componente ajustado ou substituído</x:v>
      </x:c>
      <x:c r="O105" s="84" t="n">
        <x:v>0</x:v>
      </x:c>
      <x:c r="P105" s="93" t="n">
        <x:v>106.78</x:v>
      </x:c>
      <x:c r="Q105" s="93" t="n">
        <x:v>6200.16</x:v>
      </x:c>
      <x:c r="R105" s="91" t="n">
        <x:v>0</x:v>
      </x:c>
    </x:row>
    <x:row r="106">
      <x:c r="A106" s="83" t="n">
        <x:v>105</x:v>
      </x:c>
      <x:c r="B106" s="84" t="str">
        <x:v>OS-2023-00105</x:v>
      </x:c>
      <x:c r="C106" s="84" t="n">
        <x:v>46</x:v>
      </x:c>
      <x:c r="D106" s="84" t="n">
        <x:v>1</x:v>
      </x:c>
      <x:c r="E106" s="84" t="n">
        <x:v>91</x:v>
      </x:c>
      <x:c r="F106" s="89" t="n">
        <x:v>44944.80836805556</x:v>
      </x:c>
      <x:c r="G106" s="89" t="n">
        <x:v>44951.80836805556</x:v>
      </x:c>
      <x:c r="H106" s="89" t="n">
        <x:v>44947.10003472222</x:v>
      </x:c>
      <x:c r="I106" s="89" t="n">
        <x:v>44947.68336805556</x:v>
      </x:c>
      <x:c r="J106" s="84" t="str">
        <x:v>Baixa</x:v>
      </x:c>
      <x:c r="K106" s="84" t="str">
        <x:v>Encerrada</x:v>
      </x:c>
      <x:c r="L106" s="84" t="str">
        <x:v>Ruído anormal</x:v>
      </x:c>
      <x:c r="M106" s="84" t="str">
        <x:v>Contaminação</x:v>
      </x:c>
      <x:c r="N106" s="84" t="str">
        <x:v>Componente ajustado ou substituído</x:v>
      </x:c>
      <x:c r="O106" s="84" t="n">
        <x:v>0</x:v>
      </x:c>
      <x:c r="P106" s="93" t="n">
        <x:v>354.06</x:v>
      </x:c>
      <x:c r="Q106" s="93" t="n">
        <x:v>20050.48</x:v>
      </x:c>
      <x:c r="R106" s="91" t="n">
        <x:v>0</x:v>
      </x:c>
    </x:row>
    <x:row r="107">
      <x:c r="A107" s="83" t="n">
        <x:v>106</x:v>
      </x:c>
      <x:c r="B107" s="84" t="str">
        <x:v>OS-2023-00106</x:v>
      </x:c>
      <x:c r="C107" s="84" t="n">
        <x:v>58</x:v>
      </x:c>
      <x:c r="D107" s="84" t="n">
        <x:v>2</x:v>
      </x:c>
      <x:c r="E107" s="84"/>
      <x:c r="F107" s="89" t="n">
        <x:v>44974.60959490741</x:v>
      </x:c>
      <x:c r="G107" s="89" t="n">
        <x:v>44987.60959490741</x:v>
      </x:c>
      <x:c r="H107" s="89"/>
      <x:c r="I107" s="89"/>
      <x:c r="J107" s="84" t="str">
        <x:v>Alta</x:v>
      </x:c>
      <x:c r="K107" s="84" t="str">
        <x:v>Planejada</x:v>
      </x:c>
      <x:c r="L107" s="84" t="str">
        <x:v>Ruído anormal</x:v>
      </x:c>
      <x:c r="M107" s="84"/>
      <x:c r="N107" s="84"/>
      <x:c r="O107" s="84" t="n">
        <x:v>0</x:v>
      </x:c>
      <x:c r="P107" s="93" t="n">
        <x:v>0</x:v>
      </x:c>
      <x:c r="Q107" s="93" t="n">
        <x:v>0</x:v>
      </x:c>
      <x:c r="R107" s="91" t="n">
        <x:v>0</x:v>
      </x:c>
    </x:row>
    <x:row r="108">
      <x:c r="A108" s="83" t="n">
        <x:v>107</x:v>
      </x:c>
      <x:c r="B108" s="84" t="str">
        <x:v>OS-2024-00107</x:v>
      </x:c>
      <x:c r="C108" s="84" t="n">
        <x:v>72</x:v>
      </x:c>
      <x:c r="D108" s="84" t="n">
        <x:v>7</x:v>
      </x:c>
      <x:c r="E108" s="84" t="n">
        <x:v>144</x:v>
      </x:c>
      <x:c r="F108" s="89" t="n">
        <x:v>45610.07608796296</x:v>
      </x:c>
      <x:c r="G108" s="89" t="n">
        <x:v>45619.07608796296</x:v>
      </x:c>
      <x:c r="H108" s="89" t="n">
        <x:v>45610.82608796296</x:v>
      </x:c>
      <x:c r="I108" s="89" t="n">
        <x:v>45611.36775462963</x:v>
      </x:c>
      <x:c r="J108" s="84" t="str">
        <x:v>Alta</x:v>
      </x:c>
      <x:c r="K108" s="84" t="str">
        <x:v>Concluída</x:v>
      </x:c>
      <x:c r="L108" s="84" t="str">
        <x:v>Baixa pressão</x:v>
      </x:c>
      <x:c r="M108" s="84" t="str">
        <x:v>Componente danificado</x:v>
      </x:c>
      <x:c r="N108" s="84" t="str">
        <x:v>Componente ajustado ou substituído</x:v>
      </x:c>
      <x:c r="O108" s="84" t="n">
        <x:v>0</x:v>
      </x:c>
      <x:c r="P108" s="93" t="n">
        <x:v>369.73</x:v>
      </x:c>
      <x:c r="Q108" s="93" t="n">
        <x:v>11798.48</x:v>
      </x:c>
      <x:c r="R108" s="91" t="n">
        <x:v>0</x:v>
      </x:c>
    </x:row>
    <x:row r="109">
      <x:c r="A109" s="83" t="n">
        <x:v>108</x:v>
      </x:c>
      <x:c r="B109" s="84" t="str">
        <x:v>OS-2025-00108</x:v>
      </x:c>
      <x:c r="C109" s="84" t="n">
        <x:v>58</x:v>
      </x:c>
      <x:c r="D109" s="84" t="n">
        <x:v>1</x:v>
      </x:c>
      <x:c r="E109" s="84" t="n">
        <x:v>116</x:v>
      </x:c>
      <x:c r="F109" s="89" t="n">
        <x:v>45741.11574074074</x:v>
      </x:c>
      <x:c r="G109" s="89" t="n">
        <x:v>45746.11574074074</x:v>
      </x:c>
      <x:c r="H109" s="89" t="n">
        <x:v>45742.57407407407</x:v>
      </x:c>
      <x:c r="I109" s="89" t="n">
        <x:v>45742.94907407407</x:v>
      </x:c>
      <x:c r="J109" s="84" t="str">
        <x:v>Crítica</x:v>
      </x:c>
      <x:c r="K109" s="84" t="str">
        <x:v>Concluída</x:v>
      </x:c>
      <x:c r="L109" s="84" t="str">
        <x:v>Baixa pressão</x:v>
      </x:c>
      <x:c r="M109" s="84" t="str">
        <x:v>Ajuste incorreto</x:v>
      </x:c>
      <x:c r="N109" s="84" t="str">
        <x:v>Componente ajustado ou substituído</x:v>
      </x:c>
      <x:c r="O109" s="84" t="n">
        <x:v>0</x:v>
      </x:c>
      <x:c r="P109" s="93" t="n">
        <x:v>139.45</x:v>
      </x:c>
      <x:c r="Q109" s="93" t="n">
        <x:v>11391.21</x:v>
      </x:c>
      <x:c r="R109" s="91" t="n">
        <x:v>0</x:v>
      </x:c>
    </x:row>
    <x:row r="110">
      <x:c r="A110" s="83" t="n">
        <x:v>109</x:v>
      </x:c>
      <x:c r="B110" s="84" t="str">
        <x:v>OS-2023-00109</x:v>
      </x:c>
      <x:c r="C110" s="84" t="n">
        <x:v>17</x:v>
      </x:c>
      <x:c r="D110" s="84" t="n">
        <x:v>1</x:v>
      </x:c>
      <x:c r="E110" s="84" t="n">
        <x:v>33</x:v>
      </x:c>
      <x:c r="F110" s="89" t="n">
        <x:v>45223.922638888886</x:v>
      </x:c>
      <x:c r="G110" s="89" t="n">
        <x:v>45230.922638888886</x:v>
      </x:c>
      <x:c r="H110" s="89" t="n">
        <x:v>45225.797638888886</x:v>
      </x:c>
      <x:c r="I110" s="89" t="n">
        <x:v>45226.00597222222</x:v>
      </x:c>
      <x:c r="J110" s="84" t="str">
        <x:v>Alta</x:v>
      </x:c>
      <x:c r="K110" s="84" t="str">
        <x:v>Encerrada</x:v>
      </x:c>
      <x:c r="L110" s="84" t="str">
        <x:v>Alarme intermitente</x:v>
      </x:c>
      <x:c r="M110" s="84" t="str">
        <x:v>Falta de lubrificação</x:v>
      </x:c>
      <x:c r="N110" s="84" t="str">
        <x:v>Componente ajustado ou substituído</x:v>
      </x:c>
      <x:c r="O110" s="84" t="n">
        <x:v>1</x:v>
      </x:c>
      <x:c r="P110" s="93" t="n">
        <x:v>376.93</x:v>
      </x:c>
      <x:c r="Q110" s="93" t="n">
        <x:v>2171.74</x:v>
      </x:c>
      <x:c r="R110" s="91" t="n">
        <x:v>12995.06</x:v>
      </x:c>
    </x:row>
    <x:row r="111">
      <x:c r="A111" s="83" t="n">
        <x:v>110</x:v>
      </x:c>
      <x:c r="B111" s="84" t="str">
        <x:v>OS-2024-00110</x:v>
      </x:c>
      <x:c r="C111" s="84" t="n">
        <x:v>29</x:v>
      </x:c>
      <x:c r="D111" s="84" t="n">
        <x:v>3</x:v>
      </x:c>
      <x:c r="E111" s="84"/>
      <x:c r="F111" s="89" t="n">
        <x:v>45493.45408564815</x:v>
      </x:c>
      <x:c r="G111" s="89"/>
      <x:c r="H111" s="89"/>
      <x:c r="I111" s="89"/>
      <x:c r="J111" s="84" t="str">
        <x:v>Baixa</x:v>
      </x:c>
      <x:c r="K111" s="84" t="str">
        <x:v>Planejada</x:v>
      </x:c>
      <x:c r="L111" s="84" t="str">
        <x:v>Vazamento</x:v>
      </x:c>
      <x:c r="M111" s="84"/>
      <x:c r="N111" s="84"/>
      <x:c r="O111" s="84" t="n">
        <x:v>0</x:v>
      </x:c>
      <x:c r="P111" s="93" t="n">
        <x:v>0</x:v>
      </x:c>
      <x:c r="Q111" s="93" t="n">
        <x:v>0</x:v>
      </x:c>
      <x:c r="R111" s="91" t="n">
        <x:v>0</x:v>
      </x:c>
    </x:row>
    <x:row r="112">
      <x:c r="A112" s="83" t="n">
        <x:v>111</x:v>
      </x:c>
      <x:c r="B112" s="84" t="str">
        <x:v>OS-2023-00111</x:v>
      </x:c>
      <x:c r="C112" s="84" t="n">
        <x:v>67</x:v>
      </x:c>
      <x:c r="D112" s="84" t="n">
        <x:v>4</x:v>
      </x:c>
      <x:c r="E112" s="84"/>
      <x:c r="F112" s="89" t="n">
        <x:v>45038.713530092595</x:v>
      </x:c>
      <x:c r="G112" s="89" t="n">
        <x:v>45042.713530092595</x:v>
      </x:c>
      <x:c r="H112" s="89"/>
      <x:c r="I112" s="89"/>
      <x:c r="J112" s="84" t="str">
        <x:v>Alta</x:v>
      </x:c>
      <x:c r="K112" s="84" t="str">
        <x:v>Planejada</x:v>
      </x:c>
      <x:c r="L112" s="84" t="str">
        <x:v>Alarme intermitente</x:v>
      </x:c>
      <x:c r="M112" s="84"/>
      <x:c r="N112" s="84"/>
      <x:c r="O112" s="84" t="n">
        <x:v>0</x:v>
      </x:c>
      <x:c r="P112" s="93" t="n">
        <x:v>0</x:v>
      </x:c>
      <x:c r="Q112" s="93" t="n">
        <x:v>0</x:v>
      </x:c>
      <x:c r="R112" s="91" t="n">
        <x:v>0</x:v>
      </x:c>
    </x:row>
    <x:row r="113">
      <x:c r="A113" s="83" t="n">
        <x:v>112</x:v>
      </x:c>
      <x:c r="B113" s="84" t="str">
        <x:v>OS-2025-00112</x:v>
      </x:c>
      <x:c r="C113" s="84" t="n">
        <x:v>63</x:v>
      </x:c>
      <x:c r="D113" s="84" t="n">
        <x:v>1</x:v>
      </x:c>
      <x:c r="E113" s="84" t="n">
        <x:v>126</x:v>
      </x:c>
      <x:c r="F113" s="89" t="n">
        <x:v>45694.24685185185</x:v>
      </x:c>
      <x:c r="G113" s="89" t="n">
        <x:v>45695.24685185185</x:v>
      </x:c>
      <x:c r="H113" s="89"/>
      <x:c r="I113" s="89"/>
      <x:c r="J113" s="84" t="str">
        <x:v>Crítica</x:v>
      </x:c>
      <x:c r="K113" s="84" t="str">
        <x:v>Planejada</x:v>
      </x:c>
      <x:c r="L113" s="84" t="str">
        <x:v>Vazamento</x:v>
      </x:c>
      <x:c r="M113" s="84"/>
      <x:c r="N113" s="84"/>
      <x:c r="O113" s="84" t="n">
        <x:v>0</x:v>
      </x:c>
      <x:c r="P113" s="93" t="n">
        <x:v>0</x:v>
      </x:c>
      <x:c r="Q113" s="93" t="n">
        <x:v>0</x:v>
      </x:c>
      <x:c r="R113" s="91" t="n">
        <x:v>0</x:v>
      </x:c>
    </x:row>
    <x:row r="114">
      <x:c r="A114" s="83" t="n">
        <x:v>113</x:v>
      </x:c>
      <x:c r="B114" s="84" t="str">
        <x:v>OS-2023-00113</x:v>
      </x:c>
      <x:c r="C114" s="84" t="n">
        <x:v>77</x:v>
      </x:c>
      <x:c r="D114" s="84" t="n">
        <x:v>2</x:v>
      </x:c>
      <x:c r="E114" s="84"/>
      <x:c r="F114" s="89" t="n">
        <x:v>45197.592199074075</x:v>
      </x:c>
      <x:c r="G114" s="89" t="n">
        <x:v>45209.592199074075</x:v>
      </x:c>
      <x:c r="H114" s="89" t="n">
        <x:v>45199.425532407404</x:v>
      </x:c>
      <x:c r="I114" s="89"/>
      <x:c r="J114" s="84" t="str">
        <x:v>Alta</x:v>
      </x:c>
      <x:c r="K114" s="84" t="str">
        <x:v>Em execução</x:v>
      </x:c>
      <x:c r="L114" s="84" t="str">
        <x:v>Baixa pressão</x:v>
      </x:c>
      <x:c r="M114" s="84" t="str">
        <x:v>Conexão frouxa</x:v>
      </x:c>
      <x:c r="N114" s="84"/>
      <x:c r="O114" s="84" t="n">
        <x:v>0</x:v>
      </x:c>
      <x:c r="P114" s="93" t="n">
        <x:v>162.99</x:v>
      </x:c>
      <x:c r="Q114" s="93" t="n">
        <x:v>14630.67</x:v>
      </x:c>
      <x:c r="R114" s="91" t="n">
        <x:v>0</x:v>
      </x:c>
    </x:row>
    <x:row r="115">
      <x:c r="A115" s="83" t="n">
        <x:v>114</x:v>
      </x:c>
      <x:c r="B115" s="84" t="str">
        <x:v>OS-2024-00114</x:v>
      </x:c>
      <x:c r="C115" s="84" t="n">
        <x:v>72</x:v>
      </x:c>
      <x:c r="D115" s="84" t="n">
        <x:v>5</x:v>
      </x:c>
      <x:c r="E115" s="84" t="n">
        <x:v>143</x:v>
      </x:c>
      <x:c r="F115" s="89" t="n">
        <x:v>45475.37587962963</x:v>
      </x:c>
      <x:c r="G115" s="89" t="n">
        <x:v>45484.37587962963</x:v>
      </x:c>
      <x:c r="H115" s="89" t="n">
        <x:v>45478.12587962963</x:v>
      </x:c>
      <x:c r="I115" s="89" t="n">
        <x:v>45478.25087962963</x:v>
      </x:c>
      <x:c r="J115" s="84" t="str">
        <x:v>Alta</x:v>
      </x:c>
      <x:c r="K115" s="84" t="str">
        <x:v>Concluída</x:v>
      </x:c>
      <x:c r="L115" s="84" t="str">
        <x:v>Superaquecimento</x:v>
      </x:c>
      <x:c r="M115" s="84" t="str">
        <x:v>Componente danificado</x:v>
      </x:c>
      <x:c r="N115" s="84" t="str">
        <x:v>Componente ajustado ou substituído</x:v>
      </x:c>
      <x:c r="O115" s="84" t="n">
        <x:v>0</x:v>
      </x:c>
      <x:c r="P115" s="93" t="n">
        <x:v>501.92</x:v>
      </x:c>
      <x:c r="Q115" s="93" t="n">
        <x:v>1251.48</x:v>
      </x:c>
      <x:c r="R115" s="91" t="n">
        <x:v>0</x:v>
      </x:c>
    </x:row>
    <x:row r="116">
      <x:c r="A116" s="83" t="n">
        <x:v>115</x:v>
      </x:c>
      <x:c r="B116" s="84" t="str">
        <x:v>OS-2023-00115</x:v>
      </x:c>
      <x:c r="C116" s="84" t="n">
        <x:v>60</x:v>
      </x:c>
      <x:c r="D116" s="84" t="n">
        <x:v>1</x:v>
      </x:c>
      <x:c r="E116" s="84" t="n">
        <x:v>119</x:v>
      </x:c>
      <x:c r="F116" s="89" t="n">
        <x:v>44979.8553125</x:v>
      </x:c>
      <x:c r="G116" s="89" t="n">
        <x:v>44993.8553125</x:v>
      </x:c>
      <x:c r="H116" s="89" t="n">
        <x:v>44980.52197916667</x:v>
      </x:c>
      <x:c r="I116" s="89" t="n">
        <x:v>44981.18864583333</x:v>
      </x:c>
      <x:c r="J116" s="84" t="str">
        <x:v>Baixa</x:v>
      </x:c>
      <x:c r="K116" s="84" t="str">
        <x:v>Encerrada</x:v>
      </x:c>
      <x:c r="L116" s="84" t="str">
        <x:v>Alarme intermitente</x:v>
      </x:c>
      <x:c r="M116" s="84" t="str">
        <x:v>Contaminação</x:v>
      </x:c>
      <x:c r="N116" s="84" t="str">
        <x:v>Componente ajustado ou substituído</x:v>
      </x:c>
      <x:c r="O116" s="84" t="n">
        <x:v>0</x:v>
      </x:c>
      <x:c r="P116" s="93" t="n">
        <x:v>740.3</x:v>
      </x:c>
      <x:c r="Q116" s="93" t="n">
        <x:v>6873</x:v>
      </x:c>
      <x:c r="R116" s="91" t="n">
        <x:v>0</x:v>
      </x:c>
    </x:row>
    <x:row r="117">
      <x:c r="A117" s="83" t="n">
        <x:v>116</x:v>
      </x:c>
      <x:c r="B117" s="84" t="str">
        <x:v>OS-2025-00116</x:v>
      </x:c>
      <x:c r="C117" s="84" t="n">
        <x:v>17</x:v>
      </x:c>
      <x:c r="D117" s="84" t="n">
        <x:v>2</x:v>
      </x:c>
      <x:c r="E117" s="84"/>
      <x:c r="F117" s="89" t="n">
        <x:v>45766.336064814815</x:v>
      </x:c>
      <x:c r="G117" s="89" t="n">
        <x:v>45773.336064814815</x:v>
      </x:c>
      <x:c r="H117" s="89" t="n">
        <x:v>45766.836064814815</x:v>
      </x:c>
      <x:c r="I117" s="89" t="n">
        <x:v>45766.91939814815</x:v>
      </x:c>
      <x:c r="J117" s="84" t="str">
        <x:v>Média</x:v>
      </x:c>
      <x:c r="K117" s="84" t="str">
        <x:v>Concluída</x:v>
      </x:c>
      <x:c r="L117" s="84" t="str">
        <x:v>Ruído anormal</x:v>
      </x:c>
      <x:c r="M117" s="84" t="str">
        <x:v>Conexão frouxa</x:v>
      </x:c>
      <x:c r="N117" s="84" t="str">
        <x:v>Componente ajustado ou substituído</x:v>
      </x:c>
      <x:c r="O117" s="84" t="n">
        <x:v>0</x:v>
      </x:c>
      <x:c r="P117" s="93" t="n">
        <x:v>262.77</x:v>
      </x:c>
      <x:c r="Q117" s="93" t="n">
        <x:v>0</x:v>
      </x:c>
      <x:c r="R117" s="91" t="n">
        <x:v>0</x:v>
      </x:c>
    </x:row>
    <x:row r="118">
      <x:c r="A118" s="83" t="n">
        <x:v>117</x:v>
      </x:c>
      <x:c r="B118" s="84" t="str">
        <x:v>OS-2025-00117</x:v>
      </x:c>
      <x:c r="C118" s="84" t="n">
        <x:v>74</x:v>
      </x:c>
      <x:c r="D118" s="84" t="n">
        <x:v>1</x:v>
      </x:c>
      <x:c r="E118" s="84" t="n">
        <x:v>148</x:v>
      </x:c>
      <x:c r="F118" s="89" t="n">
        <x:v>46006.76542824074</x:v>
      </x:c>
      <x:c r="G118" s="89" t="n">
        <x:v>46020.76542824074</x:v>
      </x:c>
      <x:c r="H118" s="89" t="n">
        <x:v>46009.098761574074</x:v>
      </x:c>
      <x:c r="I118" s="89" t="n">
        <x:v>46009.43209490741</x:v>
      </x:c>
      <x:c r="J118" s="84" t="str">
        <x:v>Média</x:v>
      </x:c>
      <x:c r="K118" s="84" t="str">
        <x:v>Concluída</x:v>
      </x:c>
      <x:c r="L118" s="84" t="str">
        <x:v>Falha elétrica</x:v>
      </x:c>
      <x:c r="M118" s="84" t="str">
        <x:v>Desgaste natural</x:v>
      </x:c>
      <x:c r="N118" s="84" t="str">
        <x:v>Componente ajustado ou substituído</x:v>
      </x:c>
      <x:c r="O118" s="84" t="n">
        <x:v>0</x:v>
      </x:c>
      <x:c r="P118" s="93" t="n">
        <x:v>311.46</x:v>
      </x:c>
      <x:c r="Q118" s="93" t="n">
        <x:v>4296.84</x:v>
      </x:c>
      <x:c r="R118" s="91" t="n">
        <x:v>3763.71</x:v>
      </x:c>
    </x:row>
    <x:row r="119">
      <x:c r="A119" s="83" t="n">
        <x:v>118</x:v>
      </x:c>
      <x:c r="B119" s="84" t="str">
        <x:v>OS-2025-00118</x:v>
      </x:c>
      <x:c r="C119" s="84" t="n">
        <x:v>66</x:v>
      </x:c>
      <x:c r="D119" s="84" t="n">
        <x:v>1</x:v>
      </x:c>
      <x:c r="E119" s="84" t="n">
        <x:v>132</x:v>
      </x:c>
      <x:c r="F119" s="89" t="n">
        <x:v>45861.96545138889</x:v>
      </x:c>
      <x:c r="G119" s="89" t="n">
        <x:v>45868.96545138889</x:v>
      </x:c>
      <x:c r="H119" s="89" t="n">
        <x:v>45864.75711805555</x:v>
      </x:c>
      <x:c r="I119" s="89" t="n">
        <x:v>45864.798784722225</x:v>
      </x:c>
      <x:c r="J119" s="84" t="str">
        <x:v>Baixa</x:v>
      </x:c>
      <x:c r="K119" s="84" t="str">
        <x:v>Encerrada</x:v>
      </x:c>
      <x:c r="L119" s="84" t="str">
        <x:v>Ruído anormal</x:v>
      </x:c>
      <x:c r="M119" s="84" t="str">
        <x:v>Falta de lubrificação</x:v>
      </x:c>
      <x:c r="N119" s="84" t="str">
        <x:v>Componente ajustado ou substituído</x:v>
      </x:c>
      <x:c r="O119" s="84" t="n">
        <x:v>0</x:v>
      </x:c>
      <x:c r="P119" s="93" t="n">
        <x:v>321.95</x:v>
      </x:c>
      <x:c r="Q119" s="93" t="n">
        <x:v>4083.5</x:v>
      </x:c>
      <x:c r="R119" s="91" t="n">
        <x:v>0</x:v>
      </x:c>
    </x:row>
    <x:row r="120">
      <x:c r="A120" s="83" t="n">
        <x:v>119</x:v>
      </x:c>
      <x:c r="B120" s="84" t="str">
        <x:v>OS-2024-00119</x:v>
      </x:c>
      <x:c r="C120" s="84" t="n">
        <x:v>28</x:v>
      </x:c>
      <x:c r="D120" s="84" t="n">
        <x:v>5</x:v>
      </x:c>
      <x:c r="E120" s="84" t="n">
        <x:v>55</x:v>
      </x:c>
      <x:c r="F120" s="89" t="n">
        <x:v>45569.721967592595</x:v>
      </x:c>
      <x:c r="G120" s="89" t="n">
        <x:v>45581.721967592595</x:v>
      </x:c>
      <x:c r="H120" s="89" t="n">
        <x:v>45570.555300925924</x:v>
      </x:c>
      <x:c r="I120" s="89" t="n">
        <x:v>45571.221967592595</x:v>
      </x:c>
      <x:c r="J120" s="84" t="str">
        <x:v>Alta</x:v>
      </x:c>
      <x:c r="K120" s="84" t="str">
        <x:v>Encerrada</x:v>
      </x:c>
      <x:c r="L120" s="84" t="str">
        <x:v>Ruído anormal</x:v>
      </x:c>
      <x:c r="M120" s="84" t="str">
        <x:v>Falta de lubrificação</x:v>
      </x:c>
      <x:c r="N120" s="84" t="str">
        <x:v>Componente ajustado ou substituído</x:v>
      </x:c>
      <x:c r="O120" s="84" t="n">
        <x:v>0</x:v>
      </x:c>
      <x:c r="P120" s="93" t="n">
        <x:v>455.22</x:v>
      </x:c>
      <x:c r="Q120" s="93" t="n">
        <x:v>6759.05</x:v>
      </x:c>
      <x:c r="R120" s="91" t="n">
        <x:v>0</x:v>
      </x:c>
    </x:row>
    <x:row r="121">
      <x:c r="A121" s="83" t="n">
        <x:v>120</x:v>
      </x:c>
      <x:c r="B121" s="84" t="str">
        <x:v>OS-2025-00120</x:v>
      </x:c>
      <x:c r="C121" s="84" t="n">
        <x:v>12</x:v>
      </x:c>
      <x:c r="D121" s="84" t="n">
        <x:v>9</x:v>
      </x:c>
      <x:c r="E121" s="84"/>
      <x:c r="F121" s="89" t="n">
        <x:v>46003.70715277778</x:v>
      </x:c>
      <x:c r="G121" s="89" t="n">
        <x:v>46005.70715277778</x:v>
      </x:c>
      <x:c r="H121" s="89" t="n">
        <x:v>46005.08215277778</x:v>
      </x:c>
      <x:c r="I121" s="89" t="n">
        <x:v>46005.91548611111</x:v>
      </x:c>
      <x:c r="J121" s="84" t="str">
        <x:v>Baixa</x:v>
      </x:c>
      <x:c r="K121" s="84" t="str">
        <x:v>Encerrada</x:v>
      </x:c>
      <x:c r="L121" s="84" t="str">
        <x:v>Alarme intermitente</x:v>
      </x:c>
      <x:c r="M121" s="84" t="str">
        <x:v>Falta de lubrificação</x:v>
      </x:c>
      <x:c r="N121" s="84" t="str">
        <x:v>Componente ajustado ou substituído</x:v>
      </x:c>
      <x:c r="O121" s="84" t="n">
        <x:v>0</x:v>
      </x:c>
      <x:c r="P121" s="93" t="n">
        <x:v>459.33</x:v>
      </x:c>
      <x:c r="Q121" s="93" t="n">
        <x:v>14676.73</x:v>
      </x:c>
      <x:c r="R121" s="91" t="n">
        <x:v>0</x:v>
      </x:c>
    </x:row>
    <x:row r="122">
      <x:c r="A122" s="83" t="n">
        <x:v>121</x:v>
      </x:c>
      <x:c r="B122" s="84" t="str">
        <x:v>OS-2025-00121</x:v>
      </x:c>
      <x:c r="C122" s="84" t="n">
        <x:v>86</x:v>
      </x:c>
      <x:c r="D122" s="84" t="n">
        <x:v>1</x:v>
      </x:c>
      <x:c r="E122" s="84" t="n">
        <x:v>172</x:v>
      </x:c>
      <x:c r="F122" s="89" t="n">
        <x:v>46013.6268287037</x:v>
      </x:c>
      <x:c r="G122" s="89" t="n">
        <x:v>46020.6268287037</x:v>
      </x:c>
      <x:c r="H122" s="89" t="n">
        <x:v>46014.16849537037</x:v>
      </x:c>
      <x:c r="I122" s="89" t="n">
        <x:v>46014.29349537037</x:v>
      </x:c>
      <x:c r="J122" s="84" t="str">
        <x:v>Média</x:v>
      </x:c>
      <x:c r="K122" s="84" t="str">
        <x:v>Concluída</x:v>
      </x:c>
      <x:c r="L122" s="84" t="str">
        <x:v>Falha elétrica</x:v>
      </x:c>
      <x:c r="M122" s="84" t="str">
        <x:v>Componente danificado</x:v>
      </x:c>
      <x:c r="N122" s="84" t="str">
        <x:v>Componente ajustado ou substituído</x:v>
      </x:c>
      <x:c r="O122" s="84" t="n">
        <x:v>0</x:v>
      </x:c>
      <x:c r="P122" s="93" t="n">
        <x:v>112.47</x:v>
      </x:c>
      <x:c r="Q122" s="93" t="n">
        <x:v>4528.42</x:v>
      </x:c>
      <x:c r="R122" s="91" t="n">
        <x:v>0</x:v>
      </x:c>
    </x:row>
    <x:row r="123">
      <x:c r="A123" s="83" t="n">
        <x:v>122</x:v>
      </x:c>
      <x:c r="B123" s="84" t="str">
        <x:v>OS-2023-00122</x:v>
      </x:c>
      <x:c r="C123" s="84" t="n">
        <x:v>54</x:v>
      </x:c>
      <x:c r="D123" s="84" t="n">
        <x:v>6</x:v>
      </x:c>
      <x:c r="E123" s="84"/>
      <x:c r="F123" s="89" t="n">
        <x:v>44969.354467592595</x:v>
      </x:c>
      <x:c r="G123" s="89" t="n">
        <x:v>44978.354467592595</x:v>
      </x:c>
      <x:c r="H123" s="89" t="n">
        <x:v>44969.39613425926</x:v>
      </x:c>
      <x:c r="I123" s="89" t="n">
        <x:v>44969.854467592595</x:v>
      </x:c>
      <x:c r="J123" s="84" t="str">
        <x:v>Alta</x:v>
      </x:c>
      <x:c r="K123" s="84" t="str">
        <x:v>Encerrada</x:v>
      </x:c>
      <x:c r="L123" s="84" t="str">
        <x:v>Desalinhamento</x:v>
      </x:c>
      <x:c r="M123" s="84" t="str">
        <x:v>Falta de lubrificação</x:v>
      </x:c>
      <x:c r="N123" s="84" t="str">
        <x:v>Componente ajustado ou substituído</x:v>
      </x:c>
      <x:c r="O123" s="84" t="n">
        <x:v>0</x:v>
      </x:c>
      <x:c r="P123" s="93" t="n">
        <x:v>121.14</x:v>
      </x:c>
      <x:c r="Q123" s="93" t="n">
        <x:v>8277.06</x:v>
      </x:c>
      <x:c r="R123" s="91" t="n">
        <x:v>12017.94</x:v>
      </x:c>
    </x:row>
    <x:row r="124">
      <x:c r="A124" s="83" t="n">
        <x:v>123</x:v>
      </x:c>
      <x:c r="B124" s="84" t="str">
        <x:v>OS-2023-00123</x:v>
      </x:c>
      <x:c r="C124" s="84" t="n">
        <x:v>25</x:v>
      </x:c>
      <x:c r="D124" s="84" t="n">
        <x:v>7</x:v>
      </x:c>
      <x:c r="E124" s="84" t="n">
        <x:v>49</x:v>
      </x:c>
      <x:c r="F124" s="89" t="n">
        <x:v>44964.380266203705</x:v>
      </x:c>
      <x:c r="G124" s="89" t="n">
        <x:v>44967.380266203705</x:v>
      </x:c>
      <x:c r="H124" s="89" t="n">
        <x:v>44967.005266203705</x:v>
      </x:c>
      <x:c r="I124" s="89" t="n">
        <x:v>44967.67193287037</x:v>
      </x:c>
      <x:c r="J124" s="84" t="str">
        <x:v>Alta</x:v>
      </x:c>
      <x:c r="K124" s="84" t="str">
        <x:v>Encerrada</x:v>
      </x:c>
      <x:c r="L124" s="84" t="str">
        <x:v>Ruído anormal</x:v>
      </x:c>
      <x:c r="M124" s="84" t="str">
        <x:v>Ajuste incorreto</x:v>
      </x:c>
      <x:c r="N124" s="84" t="str">
        <x:v>Componente ajustado ou substituído</x:v>
      </x:c>
      <x:c r="O124" s="84" t="n">
        <x:v>0</x:v>
      </x:c>
      <x:c r="P124" s="93" t="n">
        <x:v>1122.35</x:v>
      </x:c>
      <x:c r="Q124" s="93" t="n">
        <x:v>10826.88</x:v>
      </x:c>
      <x:c r="R124" s="91" t="n">
        <x:v>0</x:v>
      </x:c>
    </x:row>
    <x:row r="125">
      <x:c r="A125" s="83" t="n">
        <x:v>124</x:v>
      </x:c>
      <x:c r="B125" s="84" t="str">
        <x:v>OS-2024-00124</x:v>
      </x:c>
      <x:c r="C125" s="84" t="n">
        <x:v>49</x:v>
      </x:c>
      <x:c r="D125" s="84" t="n">
        <x:v>6</x:v>
      </x:c>
      <x:c r="E125" s="84"/>
      <x:c r="F125" s="89" t="n">
        <x:v>45453.726435185185</x:v>
      </x:c>
      <x:c r="G125" s="89" t="n">
        <x:v>45461.726435185185</x:v>
      </x:c>
      <x:c r="H125" s="89" t="n">
        <x:v>45454.726435185185</x:v>
      </x:c>
      <x:c r="I125" s="89" t="n">
        <x:v>45455.101435185185</x:v>
      </x:c>
      <x:c r="J125" s="84" t="str">
        <x:v>Alta</x:v>
      </x:c>
      <x:c r="K125" s="84" t="str">
        <x:v>Concluída</x:v>
      </x:c>
      <x:c r="L125" s="84" t="str">
        <x:v>Falha elétrica</x:v>
      </x:c>
      <x:c r="M125" s="84" t="str">
        <x:v>Contaminação</x:v>
      </x:c>
      <x:c r="N125" s="84" t="str">
        <x:v>Componente ajustado ou substituído</x:v>
      </x:c>
      <x:c r="O125" s="84" t="n">
        <x:v>0</x:v>
      </x:c>
      <x:c r="P125" s="93" t="n">
        <x:v>404.48</x:v>
      </x:c>
      <x:c r="Q125" s="93" t="n">
        <x:v>702.88</x:v>
      </x:c>
      <x:c r="R125" s="91" t="n">
        <x:v>0</x:v>
      </x:c>
    </x:row>
    <x:row r="126">
      <x:c r="A126" s="83" t="n">
        <x:v>125</x:v>
      </x:c>
      <x:c r="B126" s="84" t="str">
        <x:v>OS-2024-00125</x:v>
      </x:c>
      <x:c r="C126" s="84" t="n">
        <x:v>37</x:v>
      </x:c>
      <x:c r="D126" s="84" t="n">
        <x:v>3</x:v>
      </x:c>
      <x:c r="E126" s="84"/>
      <x:c r="F126" s="89" t="n">
        <x:v>45490.739386574074</x:v>
      </x:c>
      <x:c r="G126" s="89"/>
      <x:c r="H126" s="89" t="n">
        <x:v>45491.82271990741</x:v>
      </x:c>
      <x:c r="I126" s="89" t="n">
        <x:v>45491.864386574074</x:v>
      </x:c>
      <x:c r="J126" s="84" t="str">
        <x:v>Baixa</x:v>
      </x:c>
      <x:c r="K126" s="84" t="str">
        <x:v>Concluída</x:v>
      </x:c>
      <x:c r="L126" s="84" t="str">
        <x:v>Baixa pressão</x:v>
      </x:c>
      <x:c r="M126" s="84" t="str">
        <x:v>Conexão frouxa</x:v>
      </x:c>
      <x:c r="N126" s="84" t="str">
        <x:v>Componente ajustado ou substituído</x:v>
      </x:c>
      <x:c r="O126" s="84" t="n">
        <x:v>0</x:v>
      </x:c>
      <x:c r="P126" s="93" t="n">
        <x:v>504.27</x:v>
      </x:c>
      <x:c r="Q126" s="93" t="n">
        <x:v>0</x:v>
      </x:c>
      <x:c r="R126" s="91" t="n">
        <x:v>14908.75</x:v>
      </x:c>
    </x:row>
    <x:row r="127">
      <x:c r="A127" s="83" t="n">
        <x:v>126</x:v>
      </x:c>
      <x:c r="B127" s="84" t="str">
        <x:v>OS-2023-00126</x:v>
      </x:c>
      <x:c r="C127" s="84" t="n">
        <x:v>19</x:v>
      </x:c>
      <x:c r="D127" s="84" t="n">
        <x:v>2</x:v>
      </x:c>
      <x:c r="E127" s="84"/>
      <x:c r="F127" s="89" t="n">
        <x:v>45210.83738425926</x:v>
      </x:c>
      <x:c r="G127" s="89" t="n">
        <x:v>45214.83738425926</x:v>
      </x:c>
      <x:c r="H127" s="89" t="n">
        <x:v>45213.67071759259</x:v>
      </x:c>
      <x:c r="I127" s="89" t="n">
        <x:v>45213.83738425926</x:v>
      </x:c>
      <x:c r="J127" s="84" t="str">
        <x:v>Baixa</x:v>
      </x:c>
      <x:c r="K127" s="84" t="str">
        <x:v>Concluída</x:v>
      </x:c>
      <x:c r="L127" s="84" t="str">
        <x:v>Superaquecimento</x:v>
      </x:c>
      <x:c r="M127" s="84" t="str">
        <x:v>Contaminação</x:v>
      </x:c>
      <x:c r="N127" s="84" t="str">
        <x:v>Componente ajustado ou substituído</x:v>
      </x:c>
      <x:c r="O127" s="84" t="n">
        <x:v>0</x:v>
      </x:c>
      <x:c r="P127" s="93" t="n">
        <x:v>602.58</x:v>
      </x:c>
      <x:c r="Q127" s="93" t="n">
        <x:v>1278.76</x:v>
      </x:c>
      <x:c r="R127" s="91" t="n">
        <x:v>10207.98</x:v>
      </x:c>
    </x:row>
    <x:row r="128">
      <x:c r="A128" s="83" t="n">
        <x:v>127</x:v>
      </x:c>
      <x:c r="B128" s="84" t="str">
        <x:v>OS-2025-00127</x:v>
      </x:c>
      <x:c r="C128" s="84" t="n">
        <x:v>86</x:v>
      </x:c>
      <x:c r="D128" s="84" t="n">
        <x:v>2</x:v>
      </x:c>
      <x:c r="E128" s="84"/>
      <x:c r="F128" s="89" t="n">
        <x:v>46014.348229166666</x:v>
      </x:c>
      <x:c r="G128" s="89" t="n">
        <x:v>46014.348229166666</x:v>
      </x:c>
      <x:c r="H128" s="89" t="n">
        <x:v>46016.3065625</x:v>
      </x:c>
      <x:c r="I128" s="89"/>
      <x:c r="J128" s="84" t="str">
        <x:v>Crítica</x:v>
      </x:c>
      <x:c r="K128" s="84" t="str">
        <x:v>Em execução</x:v>
      </x:c>
      <x:c r="L128" s="84" t="str">
        <x:v>Superaquecimento</x:v>
      </x:c>
      <x:c r="M128" s="84" t="str">
        <x:v>Falta de lubrificação</x:v>
      </x:c>
      <x:c r="N128" s="84"/>
      <x:c r="O128" s="84" t="n">
        <x:v>0</x:v>
      </x:c>
      <x:c r="P128" s="93" t="n">
        <x:v>838.33</x:v>
      </x:c>
      <x:c r="Q128" s="93" t="n">
        <x:v>6069.24</x:v>
      </x:c>
      <x:c r="R128" s="91" t="n">
        <x:v>5127.74</x:v>
      </x:c>
    </x:row>
    <x:row r="129">
      <x:c r="A129" s="83" t="n">
        <x:v>128</x:v>
      </x:c>
      <x:c r="B129" s="84" t="str">
        <x:v>OS-2025-00128</x:v>
      </x:c>
      <x:c r="C129" s="84" t="n">
        <x:v>82</x:v>
      </x:c>
      <x:c r="D129" s="84" t="n">
        <x:v>3</x:v>
      </x:c>
      <x:c r="E129" s="84"/>
      <x:c r="F129" s="89" t="n">
        <x:v>45777.770949074074</x:v>
      </x:c>
      <x:c r="G129" s="89"/>
      <x:c r="H129" s="89" t="n">
        <x:v>45778.770949074074</x:v>
      </x:c>
      <x:c r="I129" s="89" t="n">
        <x:v>45778.97928240741</x:v>
      </x:c>
      <x:c r="J129" s="84" t="str">
        <x:v>Baixa</x:v>
      </x:c>
      <x:c r="K129" s="84" t="str">
        <x:v>Encerrada</x:v>
      </x:c>
      <x:c r="L129" s="84" t="str">
        <x:v>Ruído anormal</x:v>
      </x:c>
      <x:c r="M129" s="84" t="str">
        <x:v>Falta de lubrificação</x:v>
      </x:c>
      <x:c r="N129" s="84" t="str">
        <x:v>Componente ajustado ou substituído</x:v>
      </x:c>
      <x:c r="O129" s="84" t="n">
        <x:v>0</x:v>
      </x:c>
      <x:c r="P129" s="93" t="n">
        <x:v>127.89</x:v>
      </x:c>
      <x:c r="Q129" s="93" t="n">
        <x:v>1151.14</x:v>
      </x:c>
      <x:c r="R129" s="91" t="n">
        <x:v>0</x:v>
      </x:c>
    </x:row>
    <x:row r="130">
      <x:c r="A130" s="83" t="n">
        <x:v>129</x:v>
      </x:c>
      <x:c r="B130" s="84" t="str">
        <x:v>OS-2023-00129</x:v>
      </x:c>
      <x:c r="C130" s="84" t="n">
        <x:v>76</x:v>
      </x:c>
      <x:c r="D130" s="84" t="n">
        <x:v>1</x:v>
      </x:c>
      <x:c r="E130" s="84" t="n">
        <x:v>152</x:v>
      </x:c>
      <x:c r="F130" s="89" t="n">
        <x:v>45184.29445601852</x:v>
      </x:c>
      <x:c r="G130" s="89" t="n">
        <x:v>45184.29445601852</x:v>
      </x:c>
      <x:c r="H130" s="89" t="n">
        <x:v>45185.00278935185</x:v>
      </x:c>
      <x:c r="I130" s="89" t="n">
        <x:v>45185.79445601852</x:v>
      </x:c>
      <x:c r="J130" s="84" t="str">
        <x:v>Alta</x:v>
      </x:c>
      <x:c r="K130" s="84" t="str">
        <x:v>Encerrada</x:v>
      </x:c>
      <x:c r="L130" s="84" t="str">
        <x:v>Baixa pressão</x:v>
      </x:c>
      <x:c r="M130" s="84" t="str">
        <x:v>Desgaste natural</x:v>
      </x:c>
      <x:c r="N130" s="84" t="str">
        <x:v>Componente ajustado ou substituído</x:v>
      </x:c>
      <x:c r="O130" s="84" t="n">
        <x:v>0</x:v>
      </x:c>
      <x:c r="P130" s="93" t="n">
        <x:v>210.62</x:v>
      </x:c>
      <x:c r="Q130" s="93" t="n">
        <x:v>6837.16</x:v>
      </x:c>
      <x:c r="R130" s="91" t="n">
        <x:v>0</x:v>
      </x:c>
    </x:row>
    <x:row r="131">
      <x:c r="A131" s="83" t="n">
        <x:v>130</x:v>
      </x:c>
      <x:c r="B131" s="84" t="str">
        <x:v>OS-2025-00130</x:v>
      </x:c>
      <x:c r="C131" s="84" t="n">
        <x:v>4</x:v>
      </x:c>
      <x:c r="D131" s="84" t="n">
        <x:v>5</x:v>
      </x:c>
      <x:c r="E131" s="84" t="n">
        <x:v>7</x:v>
      </x:c>
      <x:c r="F131" s="89" t="n">
        <x:v>45801.01981481481</x:v>
      </x:c>
      <x:c r="G131" s="89" t="n">
        <x:v>45814.01981481481</x:v>
      </x:c>
      <x:c r="H131" s="89" t="n">
        <x:v>45801.14481481481</x:v>
      </x:c>
      <x:c r="I131" s="89" t="n">
        <x:v>45801.47814814815</x:v>
      </x:c>
      <x:c r="J131" s="84" t="str">
        <x:v>Média</x:v>
      </x:c>
      <x:c r="K131" s="84" t="str">
        <x:v>Encerrada</x:v>
      </x:c>
      <x:c r="L131" s="84" t="str">
        <x:v>Vazamento</x:v>
      </x:c>
      <x:c r="M131" s="84" t="str">
        <x:v>Ajuste incorreto</x:v>
      </x:c>
      <x:c r="N131" s="84" t="str">
        <x:v>Componente ajustado ou substituído</x:v>
      </x:c>
      <x:c r="O131" s="84" t="n">
        <x:v>0</x:v>
      </x:c>
      <x:c r="P131" s="93" t="n">
        <x:v>305.73</x:v>
      </x:c>
      <x:c r="Q131" s="93" t="n">
        <x:v>3499.44</x:v>
      </x:c>
      <x:c r="R131" s="91" t="n">
        <x:v>0</x:v>
      </x:c>
    </x:row>
    <x:row r="132">
      <x:c r="A132" s="83" t="n">
        <x:v>131</x:v>
      </x:c>
      <x:c r="B132" s="84" t="str">
        <x:v>OS-2023-00131</x:v>
      </x:c>
      <x:c r="C132" s="84" t="n">
        <x:v>26</x:v>
      </x:c>
      <x:c r="D132" s="84" t="n">
        <x:v>4</x:v>
      </x:c>
      <x:c r="E132" s="84"/>
      <x:c r="F132" s="89" t="n">
        <x:v>45199.927708333336</x:v>
      </x:c>
      <x:c r="G132" s="89" t="n">
        <x:v>45204.927708333336</x:v>
      </x:c>
      <x:c r="H132" s="89" t="n">
        <x:v>45200.344375</x:v>
      </x:c>
      <x:c r="I132" s="89" t="n">
        <x:v>45201.052708333336</x:v>
      </x:c>
      <x:c r="J132" s="84" t="str">
        <x:v>Crítica</x:v>
      </x:c>
      <x:c r="K132" s="84" t="str">
        <x:v>Concluída</x:v>
      </x:c>
      <x:c r="L132" s="84" t="str">
        <x:v>Superaquecimento</x:v>
      </x:c>
      <x:c r="M132" s="84" t="str">
        <x:v>Componente danificado</x:v>
      </x:c>
      <x:c r="N132" s="84" t="str">
        <x:v>Componente ajustado ou substituído</x:v>
      </x:c>
      <x:c r="O132" s="84" t="n">
        <x:v>0</x:v>
      </x:c>
      <x:c r="P132" s="93" t="n">
        <x:v>927.09</x:v>
      </x:c>
      <x:c r="Q132" s="93" t="n">
        <x:v>0</x:v>
      </x:c>
      <x:c r="R132" s="91" t="n">
        <x:v>0</x:v>
      </x:c>
    </x:row>
    <x:row r="133">
      <x:c r="A133" s="83" t="n">
        <x:v>132</x:v>
      </x:c>
      <x:c r="B133" s="84" t="str">
        <x:v>OS-2024-00132</x:v>
      </x:c>
      <x:c r="C133" s="84" t="n">
        <x:v>29</x:v>
      </x:c>
      <x:c r="D133" s="84" t="n">
        <x:v>6</x:v>
      </x:c>
      <x:c r="E133" s="84"/>
      <x:c r="F133" s="89" t="n">
        <x:v>45617.06350694445</x:v>
      </x:c>
      <x:c r="G133" s="89" t="n">
        <x:v>45618.06350694445</x:v>
      </x:c>
      <x:c r="H133" s="89" t="n">
        <x:v>45617.48017361111</x:v>
      </x:c>
      <x:c r="I133" s="89" t="n">
        <x:v>45618.271840277775</x:v>
      </x:c>
      <x:c r="J133" s="84" t="str">
        <x:v>Baixa</x:v>
      </x:c>
      <x:c r="K133" s="84" t="str">
        <x:v>Encerrada</x:v>
      </x:c>
      <x:c r="L133" s="84" t="str">
        <x:v>Superaquecimento</x:v>
      </x:c>
      <x:c r="M133" s="84" t="str">
        <x:v>Falta de lubrificação</x:v>
      </x:c>
      <x:c r="N133" s="84" t="str">
        <x:v>Componente ajustado ou substituído</x:v>
      </x:c>
      <x:c r="O133" s="84" t="n">
        <x:v>0</x:v>
      </x:c>
      <x:c r="P133" s="93" t="n">
        <x:v>291.76</x:v>
      </x:c>
      <x:c r="Q133" s="93" t="n">
        <x:v>12637.26</x:v>
      </x:c>
      <x:c r="R133" s="91" t="n">
        <x:v>0</x:v>
      </x:c>
    </x:row>
    <x:row r="134">
      <x:c r="A134" s="83" t="n">
        <x:v>133</x:v>
      </x:c>
      <x:c r="B134" s="84" t="str">
        <x:v>OS-2024-00133</x:v>
      </x:c>
      <x:c r="C134" s="84" t="n">
        <x:v>21</x:v>
      </x:c>
      <x:c r="D134" s="84" t="n">
        <x:v>4</x:v>
      </x:c>
      <x:c r="E134" s="84"/>
      <x:c r="F134" s="89" t="n">
        <x:v>45500.59758101852</x:v>
      </x:c>
      <x:c r="G134" s="89" t="n">
        <x:v>45502.59758101852</x:v>
      </x:c>
      <x:c r="H134" s="89" t="n">
        <x:v>45503.34758101852</x:v>
      </x:c>
      <x:c r="I134" s="89" t="n">
        <x:v>45503.38924768518</x:v>
      </x:c>
      <x:c r="J134" s="84" t="str">
        <x:v>Baixa</x:v>
      </x:c>
      <x:c r="K134" s="84" t="str">
        <x:v>Concluída</x:v>
      </x:c>
      <x:c r="L134" s="84" t="str">
        <x:v>Vazamento</x:v>
      </x:c>
      <x:c r="M134" s="84" t="str">
        <x:v>Ajuste incorreto</x:v>
      </x:c>
      <x:c r="N134" s="84" t="str">
        <x:v>Componente ajustado ou substituído</x:v>
      </x:c>
      <x:c r="O134" s="84" t="n">
        <x:v>0</x:v>
      </x:c>
      <x:c r="P134" s="93" t="n">
        <x:v>86.53</x:v>
      </x:c>
      <x:c r="Q134" s="93" t="n">
        <x:v>12610.13</x:v>
      </x:c>
      <x:c r="R134" s="91" t="n">
        <x:v>0</x:v>
      </x:c>
    </x:row>
    <x:row r="135">
      <x:c r="A135" s="83" t="n">
        <x:v>134</x:v>
      </x:c>
      <x:c r="B135" s="84" t="str">
        <x:v>OS-2025-00134</x:v>
      </x:c>
      <x:c r="C135" s="84" t="n">
        <x:v>19</x:v>
      </x:c>
      <x:c r="D135" s="84" t="n">
        <x:v>4</x:v>
      </x:c>
      <x:c r="E135" s="84"/>
      <x:c r="F135" s="89" t="n">
        <x:v>45982.1668287037</x:v>
      </x:c>
      <x:c r="G135" s="89" t="n">
        <x:v>45984.1668287037</x:v>
      </x:c>
      <x:c r="H135" s="89" t="n">
        <x:v>45984.25016203704</x:v>
      </x:c>
      <x:c r="I135" s="89" t="n">
        <x:v>45984.83349537037</x:v>
      </x:c>
      <x:c r="J135" s="84" t="str">
        <x:v>Baixa</x:v>
      </x:c>
      <x:c r="K135" s="84" t="str">
        <x:v>Encerrada</x:v>
      </x:c>
      <x:c r="L135" s="84" t="str">
        <x:v>Vazamento</x:v>
      </x:c>
      <x:c r="M135" s="84" t="str">
        <x:v>Ajuste incorreto</x:v>
      </x:c>
      <x:c r="N135" s="84" t="str">
        <x:v>Componente ajustado ou substituído</x:v>
      </x:c>
      <x:c r="O135" s="84" t="n">
        <x:v>0</x:v>
      </x:c>
      <x:c r="P135" s="93" t="n">
        <x:v>458.54</x:v>
      </x:c>
      <x:c r="Q135" s="93" t="n">
        <x:v>0</x:v>
      </x:c>
      <x:c r="R135" s="91" t="n">
        <x:v>0</x:v>
      </x:c>
    </x:row>
    <x:row r="136">
      <x:c r="A136" s="83" t="n">
        <x:v>135</x:v>
      </x:c>
      <x:c r="B136" s="84" t="str">
        <x:v>OS-2024-00135</x:v>
      </x:c>
      <x:c r="C136" s="84" t="n">
        <x:v>31</x:v>
      </x:c>
      <x:c r="D136" s="84" t="n">
        <x:v>3</x:v>
      </x:c>
      <x:c r="E136" s="84"/>
      <x:c r="F136" s="89" t="n">
        <x:v>45566.616273148145</x:v>
      </x:c>
      <x:c r="G136" s="89"/>
      <x:c r="H136" s="89" t="n">
        <x:v>45569.366273148145</x:v>
      </x:c>
      <x:c r="I136" s="89" t="n">
        <x:v>45569.44960648148</x:v>
      </x:c>
      <x:c r="J136" s="84" t="str">
        <x:v>Média</x:v>
      </x:c>
      <x:c r="K136" s="84" t="str">
        <x:v>Encerrada</x:v>
      </x:c>
      <x:c r="L136" s="84" t="str">
        <x:v>Falha elétrica</x:v>
      </x:c>
      <x:c r="M136" s="84" t="str">
        <x:v>Contaminação</x:v>
      </x:c>
      <x:c r="N136" s="84" t="str">
        <x:v>Componente ajustado ou substituído</x:v>
      </x:c>
      <x:c r="O136" s="84" t="n">
        <x:v>0</x:v>
      </x:c>
      <x:c r="P136" s="93" t="n">
        <x:v>601.71</x:v>
      </x:c>
      <x:c r="Q136" s="93" t="n">
        <x:v>0</x:v>
      </x:c>
      <x:c r="R136" s="91" t="n">
        <x:v>0</x:v>
      </x:c>
    </x:row>
    <x:row r="137">
      <x:c r="A137" s="83" t="n">
        <x:v>136</x:v>
      </x:c>
      <x:c r="B137" s="84" t="str">
        <x:v>OS-2024-00136</x:v>
      </x:c>
      <x:c r="C137" s="84" t="n">
        <x:v>88</x:v>
      </x:c>
      <x:c r="D137" s="84" t="n">
        <x:v>1</x:v>
      </x:c>
      <x:c r="E137" s="84" t="n">
        <x:v>176</x:v>
      </x:c>
      <x:c r="F137" s="89" t="n">
        <x:v>45632.190520833334</x:v>
      </x:c>
      <x:c r="G137" s="89" t="n">
        <x:v>45644.190520833334</x:v>
      </x:c>
      <x:c r="H137" s="89" t="n">
        <x:v>45633.64885416667</x:v>
      </x:c>
      <x:c r="I137" s="89" t="n">
        <x:v>45634.14885416667</x:v>
      </x:c>
      <x:c r="J137" s="84" t="str">
        <x:v>Crítica</x:v>
      </x:c>
      <x:c r="K137" s="84" t="str">
        <x:v>Encerrada</x:v>
      </x:c>
      <x:c r="L137" s="84" t="str">
        <x:v>Alarme intermitente</x:v>
      </x:c>
      <x:c r="M137" s="84" t="str">
        <x:v>Desgaste natural</x:v>
      </x:c>
      <x:c r="N137" s="84" t="str">
        <x:v>Componente ajustado ou substituído</x:v>
      </x:c>
      <x:c r="O137" s="84" t="n">
        <x:v>0</x:v>
      </x:c>
      <x:c r="P137" s="93" t="n">
        <x:v>113.15</x:v>
      </x:c>
      <x:c r="Q137" s="93" t="n">
        <x:v>6832.79</x:v>
      </x:c>
      <x:c r="R137" s="91" t="n">
        <x:v>0</x:v>
      </x:c>
    </x:row>
    <x:row r="138">
      <x:c r="A138" s="83" t="n">
        <x:v>137</x:v>
      </x:c>
      <x:c r="B138" s="84" t="str">
        <x:v>OS-2024-00137</x:v>
      </x:c>
      <x:c r="C138" s="84" t="n">
        <x:v>36</x:v>
      </x:c>
      <x:c r="D138" s="84" t="n">
        <x:v>3</x:v>
      </x:c>
      <x:c r="E138" s="84"/>
      <x:c r="F138" s="89" t="n">
        <x:v>45545.54574074074</x:v>
      </x:c>
      <x:c r="G138" s="89"/>
      <x:c r="H138" s="89"/>
      <x:c r="I138" s="89"/>
      <x:c r="J138" s="84" t="str">
        <x:v>Baixa</x:v>
      </x:c>
      <x:c r="K138" s="84" t="str">
        <x:v>Planejada</x:v>
      </x:c>
      <x:c r="L138" s="84" t="str">
        <x:v>Desalinhamento</x:v>
      </x:c>
      <x:c r="M138" s="84"/>
      <x:c r="N138" s="84"/>
      <x:c r="O138" s="84" t="n">
        <x:v>0</x:v>
      </x:c>
      <x:c r="P138" s="93" t="n">
        <x:v>0</x:v>
      </x:c>
      <x:c r="Q138" s="93" t="n">
        <x:v>0</x:v>
      </x:c>
      <x:c r="R138" s="91" t="n">
        <x:v>0</x:v>
      </x:c>
    </x:row>
    <x:row r="139">
      <x:c r="A139" s="83" t="n">
        <x:v>138</x:v>
      </x:c>
      <x:c r="B139" s="84" t="str">
        <x:v>OS-2023-00138</x:v>
      </x:c>
      <x:c r="C139" s="84" t="n">
        <x:v>48</x:v>
      </x:c>
      <x:c r="D139" s="84" t="n">
        <x:v>3</x:v>
      </x:c>
      <x:c r="E139" s="84"/>
      <x:c r="F139" s="89" t="n">
        <x:v>45258.57234953704</x:v>
      </x:c>
      <x:c r="G139" s="89"/>
      <x:c r="H139" s="89" t="n">
        <x:v>45261.239016203705</x:v>
      </x:c>
      <x:c r="I139" s="89"/>
      <x:c r="J139" s="84" t="str">
        <x:v>Crítica</x:v>
      </x:c>
      <x:c r="K139" s="84" t="str">
        <x:v>Aguardando peça</x:v>
      </x:c>
      <x:c r="L139" s="84" t="str">
        <x:v>Alarme intermitente</x:v>
      </x:c>
      <x:c r="M139" s="84" t="str">
        <x:v>Componente danificado</x:v>
      </x:c>
      <x:c r="N139" s="84"/>
      <x:c r="O139" s="84" t="n">
        <x:v>0</x:v>
      </x:c>
      <x:c r="P139" s="93" t="n">
        <x:v>335.9</x:v>
      </x:c>
      <x:c r="Q139" s="93" t="n">
        <x:v>3824.9</x:v>
      </x:c>
      <x:c r="R139" s="91" t="n">
        <x:v>0</x:v>
      </x:c>
    </x:row>
    <x:row r="140">
      <x:c r="A140" s="83" t="n">
        <x:v>139</x:v>
      </x:c>
      <x:c r="B140" s="84" t="str">
        <x:v>OS-2023-00139</x:v>
      </x:c>
      <x:c r="C140" s="84" t="n">
        <x:v>32</x:v>
      </x:c>
      <x:c r="D140" s="84" t="n">
        <x:v>3</x:v>
      </x:c>
      <x:c r="E140" s="84"/>
      <x:c r="F140" s="89" t="n">
        <x:v>44942.72085648148</x:v>
      </x:c>
      <x:c r="G140" s="89"/>
      <x:c r="H140" s="89" t="n">
        <x:v>44944.13752314815</x:v>
      </x:c>
      <x:c r="I140" s="89" t="n">
        <x:v>44944.72085648148</x:v>
      </x:c>
      <x:c r="J140" s="84" t="str">
        <x:v>Alta</x:v>
      </x:c>
      <x:c r="K140" s="84" t="str">
        <x:v>Encerrada</x:v>
      </x:c>
      <x:c r="L140" s="84" t="str">
        <x:v>Desalinhamento</x:v>
      </x:c>
      <x:c r="M140" s="84" t="str">
        <x:v>Conexão frouxa</x:v>
      </x:c>
      <x:c r="N140" s="84" t="str">
        <x:v>Componente ajustado ou substituído</x:v>
      </x:c>
      <x:c r="O140" s="84" t="n">
        <x:v>0</x:v>
      </x:c>
      <x:c r="P140" s="93" t="n">
        <x:v>731.74</x:v>
      </x:c>
      <x:c r="Q140" s="93" t="n">
        <x:v>541.2</x:v>
      </x:c>
      <x:c r="R140" s="91" t="n">
        <x:v>0</x:v>
      </x:c>
    </x:row>
    <x:row r="141">
      <x:c r="A141" s="83" t="n">
        <x:v>140</x:v>
      </x:c>
      <x:c r="B141" s="84" t="str">
        <x:v>OS-2024-00140</x:v>
      </x:c>
      <x:c r="C141" s="84" t="n">
        <x:v>39</x:v>
      </x:c>
      <x:c r="D141" s="84" t="n">
        <x:v>7</x:v>
      </x:c>
      <x:c r="E141" s="84" t="n">
        <x:v>78</x:v>
      </x:c>
      <x:c r="F141" s="89" t="n">
        <x:v>45437.12375</x:v>
      </x:c>
      <x:c r="G141" s="89" t="n">
        <x:v>45446.12375</x:v>
      </x:c>
      <x:c r="H141" s="89"/>
      <x:c r="I141" s="89"/>
      <x:c r="J141" s="84" t="str">
        <x:v>Crítica</x:v>
      </x:c>
      <x:c r="K141" s="84" t="str">
        <x:v>Planejada</x:v>
      </x:c>
      <x:c r="L141" s="84" t="str">
        <x:v>Vazamento</x:v>
      </x:c>
      <x:c r="M141" s="84"/>
      <x:c r="N141" s="84"/>
      <x:c r="O141" s="84" t="n">
        <x:v>0</x:v>
      </x:c>
      <x:c r="P141" s="93" t="n">
        <x:v>0</x:v>
      </x:c>
      <x:c r="Q141" s="93" t="n">
        <x:v>0</x:v>
      </x:c>
      <x:c r="R141" s="91" t="n">
        <x:v>0</x:v>
      </x:c>
    </x:row>
    <x:row r="142">
      <x:c r="A142" s="83" t="n">
        <x:v>141</x:v>
      </x:c>
      <x:c r="B142" s="84" t="str">
        <x:v>OS-2023-00141</x:v>
      </x:c>
      <x:c r="C142" s="84" t="n">
        <x:v>54</x:v>
      </x:c>
      <x:c r="D142" s="84" t="n">
        <x:v>5</x:v>
      </x:c>
      <x:c r="E142" s="84" t="n">
        <x:v>108</x:v>
      </x:c>
      <x:c r="F142" s="89" t="n">
        <x:v>45172.857627314814</x:v>
      </x:c>
      <x:c r="G142" s="89" t="n">
        <x:v>45182.857627314814</x:v>
      </x:c>
      <x:c r="H142" s="89" t="n">
        <x:v>45175.482627314814</x:v>
      </x:c>
      <x:c r="I142" s="89" t="n">
        <x:v>45176.19096064815</x:v>
      </x:c>
      <x:c r="J142" s="84" t="str">
        <x:v>Baixa</x:v>
      </x:c>
      <x:c r="K142" s="84" t="str">
        <x:v>Encerrada</x:v>
      </x:c>
      <x:c r="L142" s="84" t="str">
        <x:v>Vazamento</x:v>
      </x:c>
      <x:c r="M142" s="84" t="str">
        <x:v>Ajuste incorreto</x:v>
      </x:c>
      <x:c r="N142" s="84" t="str">
        <x:v>Componente ajustado ou substituído</x:v>
      </x:c>
      <x:c r="O142" s="84" t="n">
        <x:v>0</x:v>
      </x:c>
      <x:c r="P142" s="93" t="n">
        <x:v>296.83</x:v>
      </x:c>
      <x:c r="Q142" s="93" t="n">
        <x:v>1467.2</x:v>
      </x:c>
      <x:c r="R142" s="91" t="n">
        <x:v>0</x:v>
      </x:c>
    </x:row>
    <x:row r="143">
      <x:c r="A143" s="83" t="n">
        <x:v>142</x:v>
      </x:c>
      <x:c r="B143" s="84" t="str">
        <x:v>OS-2025-00142</x:v>
      </x:c>
      <x:c r="C143" s="84" t="n">
        <x:v>70</x:v>
      </x:c>
      <x:c r="D143" s="84" t="n">
        <x:v>1</x:v>
      </x:c>
      <x:c r="E143" s="84" t="n">
        <x:v>140</x:v>
      </x:c>
      <x:c r="F143" s="89" t="n">
        <x:v>45772.9372337963</x:v>
      </x:c>
      <x:c r="G143" s="89" t="n">
        <x:v>45772.9372337963</x:v>
      </x:c>
      <x:c r="H143" s="89" t="n">
        <x:v>45773.978900462964</x:v>
      </x:c>
      <x:c r="I143" s="89" t="n">
        <x:v>45774.1872337963</x:v>
      </x:c>
      <x:c r="J143" s="84" t="str">
        <x:v>Alta</x:v>
      </x:c>
      <x:c r="K143" s="84" t="str">
        <x:v>Encerrada</x:v>
      </x:c>
      <x:c r="L143" s="84" t="str">
        <x:v>Vazamento</x:v>
      </x:c>
      <x:c r="M143" s="84" t="str">
        <x:v>Falta de lubrificação</x:v>
      </x:c>
      <x:c r="N143" s="84" t="str">
        <x:v>Componente ajustado ou substituído</x:v>
      </x:c>
      <x:c r="O143" s="84" t="n">
        <x:v>0</x:v>
      </x:c>
      <x:c r="P143" s="93" t="n">
        <x:v>539.75</x:v>
      </x:c>
      <x:c r="Q143" s="93" t="n">
        <x:v>16242.04</x:v>
      </x:c>
      <x:c r="R143" s="91" t="n">
        <x:v>0</x:v>
      </x:c>
    </x:row>
    <x:row r="144">
      <x:c r="A144" s="83" t="n">
        <x:v>143</x:v>
      </x:c>
      <x:c r="B144" s="84" t="str">
        <x:v>OS-2023-00143</x:v>
      </x:c>
      <x:c r="C144" s="84" t="n">
        <x:v>79</x:v>
      </x:c>
      <x:c r="D144" s="84" t="n">
        <x:v>3</x:v>
      </x:c>
      <x:c r="E144" s="84"/>
      <x:c r="F144" s="89" t="n">
        <x:v>45201.00792824074</x:v>
      </x:c>
      <x:c r="G144" s="89"/>
      <x:c r="H144" s="89" t="n">
        <x:v>45203.591261574074</x:v>
      </x:c>
      <x:c r="I144" s="89" t="n">
        <x:v>45204.29959490741</x:v>
      </x:c>
      <x:c r="J144" s="84" t="str">
        <x:v>Alta</x:v>
      </x:c>
      <x:c r="K144" s="84" t="str">
        <x:v>Encerrada</x:v>
      </x:c>
      <x:c r="L144" s="84" t="str">
        <x:v>Superaquecimento</x:v>
      </x:c>
      <x:c r="M144" s="84" t="str">
        <x:v>Desgaste natural</x:v>
      </x:c>
      <x:c r="N144" s="84" t="str">
        <x:v>Componente ajustado ou substituído</x:v>
      </x:c>
      <x:c r="O144" s="84" t="n">
        <x:v>0</x:v>
      </x:c>
      <x:c r="P144" s="93" t="n">
        <x:v>439.34</x:v>
      </x:c>
      <x:c r="Q144" s="93" t="n">
        <x:v>3022.58</x:v>
      </x:c>
      <x:c r="R144" s="91" t="n">
        <x:v>0</x:v>
      </x:c>
    </x:row>
    <x:row r="145">
      <x:c r="A145" s="83" t="n">
        <x:v>144</x:v>
      </x:c>
      <x:c r="B145" s="84" t="str">
        <x:v>OS-2023-00144</x:v>
      </x:c>
      <x:c r="C145" s="84" t="n">
        <x:v>28</x:v>
      </x:c>
      <x:c r="D145" s="84" t="n">
        <x:v>1</x:v>
      </x:c>
      <x:c r="E145" s="84" t="n">
        <x:v>56</x:v>
      </x:c>
      <x:c r="F145" s="89" t="n">
        <x:v>45180.225266203706</x:v>
      </x:c>
      <x:c r="G145" s="89" t="n">
        <x:v>45183.225266203706</x:v>
      </x:c>
      <x:c r="H145" s="89" t="n">
        <x:v>45182.350266203706</x:v>
      </x:c>
      <x:c r="I145" s="89"/>
      <x:c r="J145" s="84" t="str">
        <x:v>Média</x:v>
      </x:c>
      <x:c r="K145" s="84" t="str">
        <x:v>Aguardando peça</x:v>
      </x:c>
      <x:c r="L145" s="84" t="str">
        <x:v>Falha elétrica</x:v>
      </x:c>
      <x:c r="M145" s="84" t="str">
        <x:v>Componente danificado</x:v>
      </x:c>
      <x:c r="N145" s="84"/>
      <x:c r="O145" s="84" t="n">
        <x:v>0</x:v>
      </x:c>
      <x:c r="P145" s="93" t="n">
        <x:v>719.89</x:v>
      </x:c>
      <x:c r="Q145" s="93" t="n">
        <x:v>1134.4</x:v>
      </x:c>
      <x:c r="R145" s="91" t="n">
        <x:v>0</x:v>
      </x:c>
    </x:row>
    <x:row r="146">
      <x:c r="A146" s="83" t="n">
        <x:v>145</x:v>
      </x:c>
      <x:c r="B146" s="84" t="str">
        <x:v>OS-2024-00145</x:v>
      </x:c>
      <x:c r="C146" s="84" t="n">
        <x:v>71</x:v>
      </x:c>
      <x:c r="D146" s="84" t="n">
        <x:v>6</x:v>
      </x:c>
      <x:c r="E146" s="84"/>
      <x:c r="F146" s="89" t="n">
        <x:v>45630.923784722225</x:v>
      </x:c>
      <x:c r="G146" s="89" t="n">
        <x:v>45633.923784722225</x:v>
      </x:c>
      <x:c r="H146" s="89" t="n">
        <x:v>45633.798784722225</x:v>
      </x:c>
      <x:c r="I146" s="89" t="n">
        <x:v>45634.21545138889</x:v>
      </x:c>
      <x:c r="J146" s="84" t="str">
        <x:v>Baixa</x:v>
      </x:c>
      <x:c r="K146" s="84" t="str">
        <x:v>Encerrada</x:v>
      </x:c>
      <x:c r="L146" s="84" t="str">
        <x:v>Ruído anormal</x:v>
      </x:c>
      <x:c r="M146" s="84" t="str">
        <x:v>Falta de lubrificação</x:v>
      </x:c>
      <x:c r="N146" s="84" t="str">
        <x:v>Componente ajustado ou substituído</x:v>
      </x:c>
      <x:c r="O146" s="84" t="n">
        <x:v>0</x:v>
      </x:c>
      <x:c r="P146" s="93" t="n">
        <x:v>350.17</x:v>
      </x:c>
      <x:c r="Q146" s="93" t="n">
        <x:v>9219.61</x:v>
      </x:c>
      <x:c r="R146" s="91" t="n">
        <x:v>0</x:v>
      </x:c>
    </x:row>
    <x:row r="147">
      <x:c r="A147" s="83" t="n">
        <x:v>146</x:v>
      </x:c>
      <x:c r="B147" s="84" t="str">
        <x:v>OS-2023-00146</x:v>
      </x:c>
      <x:c r="C147" s="84" t="n">
        <x:v>23</x:v>
      </x:c>
      <x:c r="D147" s="84" t="n">
        <x:v>5</x:v>
      </x:c>
      <x:c r="E147" s="84" t="n">
        <x:v>46</x:v>
      </x:c>
      <x:c r="F147" s="89" t="n">
        <x:v>45214.10728009259</x:v>
      </x:c>
      <x:c r="G147" s="89" t="n">
        <x:v>45223.10728009259</x:v>
      </x:c>
      <x:c r="H147" s="89"/>
      <x:c r="I147" s="89"/>
      <x:c r="J147" s="84" t="str">
        <x:v>Média</x:v>
      </x:c>
      <x:c r="K147" s="84" t="str">
        <x:v>Planejada</x:v>
      </x:c>
      <x:c r="L147" s="84" t="str">
        <x:v>Desalinhamento</x:v>
      </x:c>
      <x:c r="M147" s="84"/>
      <x:c r="N147" s="84"/>
      <x:c r="O147" s="84" t="n">
        <x:v>0</x:v>
      </x:c>
      <x:c r="P147" s="93" t="n">
        <x:v>0</x:v>
      </x:c>
      <x:c r="Q147" s="93" t="n">
        <x:v>0</x:v>
      </x:c>
      <x:c r="R147" s="91" t="n">
        <x:v>0</x:v>
      </x:c>
    </x:row>
    <x:row r="148">
      <x:c r="A148" s="83" t="n">
        <x:v>147</x:v>
      </x:c>
      <x:c r="B148" s="84" t="str">
        <x:v>OS-2025-00147</x:v>
      </x:c>
      <x:c r="C148" s="84" t="n">
        <x:v>79</x:v>
      </x:c>
      <x:c r="D148" s="84" t="n">
        <x:v>1</x:v>
      </x:c>
      <x:c r="E148" s="84" t="n">
        <x:v>157</x:v>
      </x:c>
      <x:c r="F148" s="89" t="n">
        <x:v>45661.607083333336</x:v>
      </x:c>
      <x:c r="G148" s="89" t="n">
        <x:v>45661.607083333336</x:v>
      </x:c>
      <x:c r="H148" s="89" t="n">
        <x:v>45663.02375</x:v>
      </x:c>
      <x:c r="I148" s="89" t="n">
        <x:v>45663.315416666665</x:v>
      </x:c>
      <x:c r="J148" s="84" t="str">
        <x:v>Baixa</x:v>
      </x:c>
      <x:c r="K148" s="84" t="str">
        <x:v>Encerrada</x:v>
      </x:c>
      <x:c r="L148" s="84" t="str">
        <x:v>Alarme intermitente</x:v>
      </x:c>
      <x:c r="M148" s="84" t="str">
        <x:v>Falta de lubrificação</x:v>
      </x:c>
      <x:c r="N148" s="84" t="str">
        <x:v>Componente ajustado ou substituído</x:v>
      </x:c>
      <x:c r="O148" s="84" t="n">
        <x:v>0</x:v>
      </x:c>
      <x:c r="P148" s="93" t="n">
        <x:v>247.91</x:v>
      </x:c>
      <x:c r="Q148" s="93" t="n">
        <x:v>0</x:v>
      </x:c>
      <x:c r="R148" s="91" t="n">
        <x:v>0</x:v>
      </x:c>
    </x:row>
    <x:row r="149">
      <x:c r="A149" s="83" t="n">
        <x:v>148</x:v>
      </x:c>
      <x:c r="B149" s="84" t="str">
        <x:v>OS-2023-00148</x:v>
      </x:c>
      <x:c r="C149" s="84" t="n">
        <x:v>6</x:v>
      </x:c>
      <x:c r="D149" s="84" t="n">
        <x:v>2</x:v>
      </x:c>
      <x:c r="E149" s="84"/>
      <x:c r="F149" s="89" t="n">
        <x:v>44930.84297453704</x:v>
      </x:c>
      <x:c r="G149" s="89" t="n">
        <x:v>44945.84297453704</x:v>
      </x:c>
      <x:c r="H149" s="89" t="n">
        <x:v>44932.05130787037</x:v>
      </x:c>
      <x:c r="I149" s="89" t="n">
        <x:v>44932.8846412037</x:v>
      </x:c>
      <x:c r="J149" s="84" t="str">
        <x:v>Alta</x:v>
      </x:c>
      <x:c r="K149" s="84" t="str">
        <x:v>Encerrada</x:v>
      </x:c>
      <x:c r="L149" s="84" t="str">
        <x:v>Vazamento</x:v>
      </x:c>
      <x:c r="M149" s="84" t="str">
        <x:v>Falta de lubrificação</x:v>
      </x:c>
      <x:c r="N149" s="84" t="str">
        <x:v>Componente ajustado ou substituído</x:v>
      </x:c>
      <x:c r="O149" s="84" t="n">
        <x:v>0</x:v>
      </x:c>
      <x:c r="P149" s="93" t="n">
        <x:v>398.45</x:v>
      </x:c>
      <x:c r="Q149" s="93" t="n">
        <x:v>9001.18</x:v>
      </x:c>
      <x:c r="R149" s="91" t="n">
        <x:v>0</x:v>
      </x:c>
    </x:row>
    <x:row r="150">
      <x:c r="A150" s="83" t="n">
        <x:v>149</x:v>
      </x:c>
      <x:c r="B150" s="84" t="str">
        <x:v>OS-2025-00149</x:v>
      </x:c>
      <x:c r="C150" s="84" t="n">
        <x:v>8</x:v>
      </x:c>
      <x:c r="D150" s="84" t="n">
        <x:v>5</x:v>
      </x:c>
      <x:c r="E150" s="84" t="n">
        <x:v>16</x:v>
      </x:c>
      <x:c r="F150" s="89" t="n">
        <x:v>45757.76913194444</x:v>
      </x:c>
      <x:c r="G150" s="89" t="n">
        <x:v>45770.76913194444</x:v>
      </x:c>
      <x:c r="H150" s="89" t="n">
        <x:v>45758.51913194444</x:v>
      </x:c>
      <x:c r="I150" s="89" t="n">
        <x:v>45758.97746527778</x:v>
      </x:c>
      <x:c r="J150" s="84" t="str">
        <x:v>Baixa</x:v>
      </x:c>
      <x:c r="K150" s="84" t="str">
        <x:v>Concluída</x:v>
      </x:c>
      <x:c r="L150" s="84" t="str">
        <x:v>Alarme intermitente</x:v>
      </x:c>
      <x:c r="M150" s="84" t="str">
        <x:v>Contaminação</x:v>
      </x:c>
      <x:c r="N150" s="84" t="str">
        <x:v>Componente ajustado ou substituído</x:v>
      </x:c>
      <x:c r="O150" s="84" t="n">
        <x:v>0</x:v>
      </x:c>
      <x:c r="P150" s="93" t="n">
        <x:v>349.09</x:v>
      </x:c>
      <x:c r="Q150" s="93" t="n">
        <x:v>8199.5</x:v>
      </x:c>
      <x:c r="R150" s="91" t="n">
        <x:v>0</x:v>
      </x:c>
    </x:row>
    <x:row r="151">
      <x:c r="A151" s="83" t="n">
        <x:v>150</x:v>
      </x:c>
      <x:c r="B151" s="84" t="str">
        <x:v>OS-2024-00150</x:v>
      </x:c>
      <x:c r="C151" s="84" t="n">
        <x:v>51</x:v>
      </x:c>
      <x:c r="D151" s="84" t="n">
        <x:v>3</x:v>
      </x:c>
      <x:c r="E151" s="84"/>
      <x:c r="F151" s="89" t="n">
        <x:v>45577.9750462963</x:v>
      </x:c>
      <x:c r="G151" s="89"/>
      <x:c r="H151" s="89" t="n">
        <x:v>45578.39171296296</x:v>
      </x:c>
      <x:c r="I151" s="89" t="n">
        <x:v>45578.93337962963</x:v>
      </x:c>
      <x:c r="J151" s="84" t="str">
        <x:v>Alta</x:v>
      </x:c>
      <x:c r="K151" s="84" t="str">
        <x:v>Encerrada</x:v>
      </x:c>
      <x:c r="L151" s="84" t="str">
        <x:v>Baixa pressão</x:v>
      </x:c>
      <x:c r="M151" s="84" t="str">
        <x:v>Falta de lubrificação</x:v>
      </x:c>
      <x:c r="N151" s="84" t="str">
        <x:v>Componente ajustado ou substituído</x:v>
      </x:c>
      <x:c r="O151" s="84" t="n">
        <x:v>0</x:v>
      </x:c>
      <x:c r="P151" s="93" t="n">
        <x:v>375.17</x:v>
      </x:c>
      <x:c r="Q151" s="93" t="n">
        <x:v>8521.4</x:v>
      </x:c>
      <x:c r="R151" s="91" t="n">
        <x:v>0</x:v>
      </x:c>
    </x:row>
    <x:row r="152">
      <x:c r="A152" s="83" t="n">
        <x:v>151</x:v>
      </x:c>
      <x:c r="B152" s="84" t="str">
        <x:v>OS-2025-00151</x:v>
      </x:c>
      <x:c r="C152" s="84" t="n">
        <x:v>40</x:v>
      </x:c>
      <x:c r="D152" s="84" t="n">
        <x:v>4</x:v>
      </x:c>
      <x:c r="E152" s="84"/>
      <x:c r="F152" s="89" t="n">
        <x:v>46017.143796296295</x:v>
      </x:c>
      <x:c r="G152" s="89" t="n">
        <x:v>46024.143796296295</x:v>
      </x:c>
      <x:c r="H152" s="89" t="n">
        <x:v>46017.18546296296</x:v>
      </x:c>
      <x:c r="I152" s="89" t="n">
        <x:v>46017.60212962963</x:v>
      </x:c>
      <x:c r="J152" s="84" t="str">
        <x:v>Alta</x:v>
      </x:c>
      <x:c r="K152" s="84" t="str">
        <x:v>Encerrada</x:v>
      </x:c>
      <x:c r="L152" s="84" t="str">
        <x:v>Falha elétrica</x:v>
      </x:c>
      <x:c r="M152" s="84" t="str">
        <x:v>Desgaste natural</x:v>
      </x:c>
      <x:c r="N152" s="84" t="str">
        <x:v>Componente ajustado ou substituído</x:v>
      </x:c>
      <x:c r="O152" s="84" t="n">
        <x:v>0</x:v>
      </x:c>
      <x:c r="P152" s="93" t="n">
        <x:v>631.26</x:v>
      </x:c>
      <x:c r="Q152" s="93" t="n">
        <x:v>4405.5</x:v>
      </x:c>
      <x:c r="R152" s="91" t="n">
        <x:v>0</x:v>
      </x:c>
    </x:row>
    <x:row r="153">
      <x:c r="A153" s="83" t="n">
        <x:v>152</x:v>
      </x:c>
      <x:c r="B153" s="84" t="str">
        <x:v>OS-2024-00152</x:v>
      </x:c>
      <x:c r="C153" s="84" t="n">
        <x:v>89</x:v>
      </x:c>
      <x:c r="D153" s="84" t="n">
        <x:v>4</x:v>
      </x:c>
      <x:c r="E153" s="84"/>
      <x:c r="F153" s="89" t="n">
        <x:v>45294.79881944445</x:v>
      </x:c>
      <x:c r="G153" s="89" t="n">
        <x:v>45301.79881944445</x:v>
      </x:c>
      <x:c r="H153" s="89" t="n">
        <x:v>45296.96548611111</x:v>
      </x:c>
      <x:c r="I153" s="89"/>
      <x:c r="J153" s="84" t="str">
        <x:v>Alta</x:v>
      </x:c>
      <x:c r="K153" s="84" t="str">
        <x:v>Em execução</x:v>
      </x:c>
      <x:c r="L153" s="84" t="str">
        <x:v>Alarme intermitente</x:v>
      </x:c>
      <x:c r="M153" s="84" t="str">
        <x:v>Desgaste natural</x:v>
      </x:c>
      <x:c r="N153" s="84"/>
      <x:c r="O153" s="84" t="n">
        <x:v>0</x:v>
      </x:c>
      <x:c r="P153" s="93" t="n">
        <x:v>615.33</x:v>
      </x:c>
      <x:c r="Q153" s="93" t="n">
        <x:v>3101.34</x:v>
      </x:c>
      <x:c r="R153" s="91" t="n">
        <x:v>0</x:v>
      </x:c>
    </x:row>
    <x:row r="154">
      <x:c r="A154" s="83" t="n">
        <x:v>153</x:v>
      </x:c>
      <x:c r="B154" s="84" t="str">
        <x:v>OS-2024-00153</x:v>
      </x:c>
      <x:c r="C154" s="84" t="n">
        <x:v>27</x:v>
      </x:c>
      <x:c r="D154" s="84" t="n">
        <x:v>4</x:v>
      </x:c>
      <x:c r="E154" s="84"/>
      <x:c r="F154" s="89" t="n">
        <x:v>45566.29888888889</x:v>
      </x:c>
      <x:c r="G154" s="89" t="n">
        <x:v>45576.29888888889</x:v>
      </x:c>
      <x:c r="H154" s="89" t="n">
        <x:v>45568.25722222222</x:v>
      </x:c>
      <x:c r="I154" s="89" t="n">
        <x:v>45568.42388888889</x:v>
      </x:c>
      <x:c r="J154" s="84" t="str">
        <x:v>Alta</x:v>
      </x:c>
      <x:c r="K154" s="84" t="str">
        <x:v>Encerrada</x:v>
      </x:c>
      <x:c r="L154" s="84" t="str">
        <x:v>Baixa pressão</x:v>
      </x:c>
      <x:c r="M154" s="84" t="str">
        <x:v>Desgaste natural</x:v>
      </x:c>
      <x:c r="N154" s="84" t="str">
        <x:v>Componente ajustado ou substituído</x:v>
      </x:c>
      <x:c r="O154" s="84" t="n">
        <x:v>0</x:v>
      </x:c>
      <x:c r="P154" s="93" t="n">
        <x:v>33.34</x:v>
      </x:c>
      <x:c r="Q154" s="93" t="n">
        <x:v>10390.22</x:v>
      </x:c>
      <x:c r="R154" s="91" t="n">
        <x:v>0</x:v>
      </x:c>
    </x:row>
    <x:row r="155">
      <x:c r="A155" s="83" t="n">
        <x:v>154</x:v>
      </x:c>
      <x:c r="B155" s="84" t="str">
        <x:v>OS-2023-00154</x:v>
      </x:c>
      <x:c r="C155" s="84" t="n">
        <x:v>69</x:v>
      </x:c>
      <x:c r="D155" s="84" t="n">
        <x:v>3</x:v>
      </x:c>
      <x:c r="E155" s="84"/>
      <x:c r="F155" s="89" t="n">
        <x:v>45207.718877314815</x:v>
      </x:c>
      <x:c r="G155" s="89"/>
      <x:c r="H155" s="89" t="n">
        <x:v>45207.80221064815</x:v>
      </x:c>
      <x:c r="I155" s="89" t="n">
        <x:v>45208.093877314815</x:v>
      </x:c>
      <x:c r="J155" s="84" t="str">
        <x:v>Baixa</x:v>
      </x:c>
      <x:c r="K155" s="84" t="str">
        <x:v>Encerrada</x:v>
      </x:c>
      <x:c r="L155" s="84" t="str">
        <x:v>Ruído anormal</x:v>
      </x:c>
      <x:c r="M155" s="84" t="str">
        <x:v>Desgaste natural</x:v>
      </x:c>
      <x:c r="N155" s="84" t="str">
        <x:v>Componente ajustado ou substituído</x:v>
      </x:c>
      <x:c r="O155" s="84" t="n">
        <x:v>0</x:v>
      </x:c>
      <x:c r="P155" s="93" t="n">
        <x:v>270.63</x:v>
      </x:c>
      <x:c r="Q155" s="93" t="n">
        <x:v>0</x:v>
      </x:c>
      <x:c r="R155" s="91" t="n">
        <x:v>0</x:v>
      </x:c>
    </x:row>
    <x:row r="156">
      <x:c r="A156" s="83" t="n">
        <x:v>155</x:v>
      </x:c>
      <x:c r="B156" s="84" t="str">
        <x:v>OS-2024-00155</x:v>
      </x:c>
      <x:c r="C156" s="84" t="n">
        <x:v>77</x:v>
      </x:c>
      <x:c r="D156" s="84" t="n">
        <x:v>1</x:v>
      </x:c>
      <x:c r="E156" s="84" t="n">
        <x:v>154</x:v>
      </x:c>
      <x:c r="F156" s="89" t="n">
        <x:v>45584.858506944445</x:v>
      </x:c>
      <x:c r="G156" s="89" t="n">
        <x:v>45585.858506944445</x:v>
      </x:c>
      <x:c r="H156" s="89" t="n">
        <x:v>45587.65017361111</x:v>
      </x:c>
      <x:c r="I156" s="89" t="n">
        <x:v>45588.31684027778</x:v>
      </x:c>
      <x:c r="J156" s="84" t="str">
        <x:v>Alta</x:v>
      </x:c>
      <x:c r="K156" s="84" t="str">
        <x:v>Encerrada</x:v>
      </x:c>
      <x:c r="L156" s="84" t="str">
        <x:v>Vazamento</x:v>
      </x:c>
      <x:c r="M156" s="84" t="str">
        <x:v>Desgaste natural</x:v>
      </x:c>
      <x:c r="N156" s="84" t="str">
        <x:v>Componente ajustado ou substituído</x:v>
      </x:c>
      <x:c r="O156" s="84" t="n">
        <x:v>0</x:v>
      </x:c>
      <x:c r="P156" s="93" t="n">
        <x:v>205.16</x:v>
      </x:c>
      <x:c r="Q156" s="93" t="n">
        <x:v>0</x:v>
      </x:c>
      <x:c r="R156" s="91" t="n">
        <x:v>0</x:v>
      </x:c>
    </x:row>
    <x:row r="157">
      <x:c r="A157" s="83" t="n">
        <x:v>156</x:v>
      </x:c>
      <x:c r="B157" s="84" t="str">
        <x:v>OS-2023-00156</x:v>
      </x:c>
      <x:c r="C157" s="84" t="n">
        <x:v>20</x:v>
      </x:c>
      <x:c r="D157" s="84" t="n">
        <x:v>4</x:v>
      </x:c>
      <x:c r="E157" s="84"/>
      <x:c r="F157" s="89" t="n">
        <x:v>45260.7734375</x:v>
      </x:c>
      <x:c r="G157" s="89" t="n">
        <x:v>45274.7734375</x:v>
      </x:c>
      <x:c r="H157" s="89" t="n">
        <x:v>45263.481770833336</x:v>
      </x:c>
      <x:c r="I157" s="89" t="n">
        <x:v>45264.065104166664</x:v>
      </x:c>
      <x:c r="J157" s="84" t="str">
        <x:v>Média</x:v>
      </x:c>
      <x:c r="K157" s="84" t="str">
        <x:v>Concluída</x:v>
      </x:c>
      <x:c r="L157" s="84" t="str">
        <x:v>Baixa pressão</x:v>
      </x:c>
      <x:c r="M157" s="84" t="str">
        <x:v>Componente danificado</x:v>
      </x:c>
      <x:c r="N157" s="84" t="str">
        <x:v>Componente ajustado ou substituído</x:v>
      </x:c>
      <x:c r="O157" s="84" t="n">
        <x:v>0</x:v>
      </x:c>
      <x:c r="P157" s="93" t="n">
        <x:v>813.56</x:v>
      </x:c>
      <x:c r="Q157" s="93" t="n">
        <x:v>0</x:v>
      </x:c>
      <x:c r="R157" s="91" t="n">
        <x:v>0</x:v>
      </x:c>
    </x:row>
    <x:row r="158">
      <x:c r="A158" s="83" t="n">
        <x:v>157</x:v>
      </x:c>
      <x:c r="B158" s="84" t="str">
        <x:v>OS-2024-00157</x:v>
      </x:c>
      <x:c r="C158" s="84" t="n">
        <x:v>21</x:v>
      </x:c>
      <x:c r="D158" s="84" t="n">
        <x:v>8</x:v>
      </x:c>
      <x:c r="E158" s="84"/>
      <x:c r="F158" s="89" t="n">
        <x:v>45398.88798611111</x:v>
      </x:c>
      <x:c r="G158" s="89" t="n">
        <x:v>45400.88798611111</x:v>
      </x:c>
      <x:c r="H158" s="89" t="n">
        <x:v>45401.17965277778</x:v>
      </x:c>
      <x:c r="I158" s="89" t="n">
        <x:v>45401.38798611111</x:v>
      </x:c>
      <x:c r="J158" s="84" t="str">
        <x:v>Baixa</x:v>
      </x:c>
      <x:c r="K158" s="84" t="str">
        <x:v>Encerrada</x:v>
      </x:c>
      <x:c r="L158" s="84" t="str">
        <x:v>Baixa pressão</x:v>
      </x:c>
      <x:c r="M158" s="84" t="str">
        <x:v>Contaminação</x:v>
      </x:c>
      <x:c r="N158" s="84" t="str">
        <x:v>Componente ajustado ou substituído</x:v>
      </x:c>
      <x:c r="O158" s="84" t="n">
        <x:v>0</x:v>
      </x:c>
      <x:c r="P158" s="93" t="n">
        <x:v>177.16</x:v>
      </x:c>
      <x:c r="Q158" s="93" t="n">
        <x:v>3381.93</x:v>
      </x:c>
      <x:c r="R158" s="91" t="n">
        <x:v>0</x:v>
      </x:c>
    </x:row>
    <x:row r="159">
      <x:c r="A159" s="83" t="n">
        <x:v>158</x:v>
      </x:c>
      <x:c r="B159" s="84" t="str">
        <x:v>OS-2024-00158</x:v>
      </x:c>
      <x:c r="C159" s="84" t="n">
        <x:v>13</x:v>
      </x:c>
      <x:c r="D159" s="84" t="n">
        <x:v>7</x:v>
      </x:c>
      <x:c r="E159" s="84" t="n">
        <x:v>25</x:v>
      </x:c>
      <x:c r="F159" s="89" t="n">
        <x:v>45348.52688657407</x:v>
      </x:c>
      <x:c r="G159" s="89" t="n">
        <x:v>45348.52688657407</x:v>
      </x:c>
      <x:c r="H159" s="89"/>
      <x:c r="I159" s="89"/>
      <x:c r="J159" s="84" t="str">
        <x:v>Média</x:v>
      </x:c>
      <x:c r="K159" s="84" t="str">
        <x:v>Planejada</x:v>
      </x:c>
      <x:c r="L159" s="84" t="str">
        <x:v>Falha elétrica</x:v>
      </x:c>
      <x:c r="M159" s="84"/>
      <x:c r="N159" s="84"/>
      <x:c r="O159" s="84" t="n">
        <x:v>0</x:v>
      </x:c>
      <x:c r="P159" s="93" t="n">
        <x:v>0</x:v>
      </x:c>
      <x:c r="Q159" s="93" t="n">
        <x:v>0</x:v>
      </x:c>
      <x:c r="R159" s="91" t="n">
        <x:v>0</x:v>
      </x:c>
    </x:row>
    <x:row r="160">
      <x:c r="A160" s="83" t="n">
        <x:v>159</x:v>
      </x:c>
      <x:c r="B160" s="84" t="str">
        <x:v>OS-2023-00159</x:v>
      </x:c>
      <x:c r="C160" s="84" t="n">
        <x:v>79</x:v>
      </x:c>
      <x:c r="D160" s="84" t="n">
        <x:v>2</x:v>
      </x:c>
      <x:c r="E160" s="84"/>
      <x:c r="F160" s="89" t="n">
        <x:v>45198.428078703706</x:v>
      </x:c>
      <x:c r="G160" s="89" t="n">
        <x:v>45204.428078703706</x:v>
      </x:c>
      <x:c r="H160" s="89" t="n">
        <x:v>45199.71974537037</x:v>
      </x:c>
      <x:c r="I160" s="89" t="n">
        <x:v>45199.96974537037</x:v>
      </x:c>
      <x:c r="J160" s="84" t="str">
        <x:v>Média</x:v>
      </x:c>
      <x:c r="K160" s="84" t="str">
        <x:v>Encerrada</x:v>
      </x:c>
      <x:c r="L160" s="84" t="str">
        <x:v>Vazamento</x:v>
      </x:c>
      <x:c r="M160" s="84" t="str">
        <x:v>Contaminação</x:v>
      </x:c>
      <x:c r="N160" s="84" t="str">
        <x:v>Componente ajustado ou substituído</x:v>
      </x:c>
      <x:c r="O160" s="84" t="n">
        <x:v>0</x:v>
      </x:c>
      <x:c r="P160" s="93" t="n">
        <x:v>409.19</x:v>
      </x:c>
      <x:c r="Q160" s="93" t="n">
        <x:v>17750.48</x:v>
      </x:c>
      <x:c r="R160" s="91" t="n">
        <x:v>4094.07</x:v>
      </x:c>
    </x:row>
    <x:row r="161">
      <x:c r="A161" s="83" t="n">
        <x:v>160</x:v>
      </x:c>
      <x:c r="B161" s="84" t="str">
        <x:v>OS-2024-00160</x:v>
      </x:c>
      <x:c r="C161" s="84" t="n">
        <x:v>20</x:v>
      </x:c>
      <x:c r="D161" s="84" t="n">
        <x:v>5</x:v>
      </x:c>
      <x:c r="E161" s="84" t="n">
        <x:v>39</x:v>
      </x:c>
      <x:c r="F161" s="89" t="n">
        <x:v>45426.40972222222</x:v>
      </x:c>
      <x:c r="G161" s="89" t="n">
        <x:v>45430.40972222222</x:v>
      </x:c>
      <x:c r="H161" s="89" t="n">
        <x:v>45427.57638888889</x:v>
      </x:c>
      <x:c r="I161" s="89" t="n">
        <x:v>45428.118055555555</x:v>
      </x:c>
      <x:c r="J161" s="84" t="str">
        <x:v>Crítica</x:v>
      </x:c>
      <x:c r="K161" s="84" t="str">
        <x:v>Encerrada</x:v>
      </x:c>
      <x:c r="L161" s="84" t="str">
        <x:v>Alarme intermitente</x:v>
      </x:c>
      <x:c r="M161" s="84" t="str">
        <x:v>Falta de lubrificação</x:v>
      </x:c>
      <x:c r="N161" s="84" t="str">
        <x:v>Componente ajustado ou substituído</x:v>
      </x:c>
      <x:c r="O161" s="84" t="n">
        <x:v>0</x:v>
      </x:c>
      <x:c r="P161" s="93" t="n">
        <x:v>497.39</x:v>
      </x:c>
      <x:c r="Q161" s="93" t="n">
        <x:v>0</x:v>
      </x:c>
      <x:c r="R161" s="91" t="n">
        <x:v>0</x:v>
      </x:c>
    </x:row>
    <x:row r="162">
      <x:c r="A162" s="83" t="n">
        <x:v>161</x:v>
      </x:c>
      <x:c r="B162" s="84" t="str">
        <x:v>OS-2023-00161</x:v>
      </x:c>
      <x:c r="C162" s="84" t="n">
        <x:v>13</x:v>
      </x:c>
      <x:c r="D162" s="84" t="n">
        <x:v>4</x:v>
      </x:c>
      <x:c r="E162" s="84"/>
      <x:c r="F162" s="89" t="n">
        <x:v>45121.78555555556</x:v>
      </x:c>
      <x:c r="G162" s="89" t="n">
        <x:v>45136.78555555556</x:v>
      </x:c>
      <x:c r="H162" s="89" t="n">
        <x:v>45124.78555555556</x:v>
      </x:c>
      <x:c r="I162" s="89" t="n">
        <x:v>45125.03555555556</x:v>
      </x:c>
      <x:c r="J162" s="84" t="str">
        <x:v>Crítica</x:v>
      </x:c>
      <x:c r="K162" s="84" t="str">
        <x:v>Encerrada</x:v>
      </x:c>
      <x:c r="L162" s="84" t="str">
        <x:v>Desalinhamento</x:v>
      </x:c>
      <x:c r="M162" s="84" t="str">
        <x:v>Contaminação</x:v>
      </x:c>
      <x:c r="N162" s="84" t="str">
        <x:v>Componente ajustado ou substituído</x:v>
      </x:c>
      <x:c r="O162" s="84" t="n">
        <x:v>0</x:v>
      </x:c>
      <x:c r="P162" s="93" t="n">
        <x:v>152.75</x:v>
      </x:c>
      <x:c r="Q162" s="93" t="n">
        <x:v>5828.13</x:v>
      </x:c>
      <x:c r="R162" s="91" t="n">
        <x:v>0</x:v>
      </x:c>
    </x:row>
    <x:row r="163">
      <x:c r="A163" s="83" t="n">
        <x:v>162</x:v>
      </x:c>
      <x:c r="B163" s="84" t="str">
        <x:v>OS-2024-00162</x:v>
      </x:c>
      <x:c r="C163" s="84" t="n">
        <x:v>14</x:v>
      </x:c>
      <x:c r="D163" s="84" t="n">
        <x:v>2</x:v>
      </x:c>
      <x:c r="E163" s="84"/>
      <x:c r="F163" s="89" t="n">
        <x:v>45630.55394675926</x:v>
      </x:c>
      <x:c r="G163" s="89" t="n">
        <x:v>45630.55394675926</x:v>
      </x:c>
      <x:c r="H163" s="89" t="n">
        <x:v>45631.42894675926</x:v>
      </x:c>
      <x:c r="I163" s="89" t="n">
        <x:v>45631.720613425925</x:v>
      </x:c>
      <x:c r="J163" s="84" t="str">
        <x:v>Baixa</x:v>
      </x:c>
      <x:c r="K163" s="84" t="str">
        <x:v>Encerrada</x:v>
      </x:c>
      <x:c r="L163" s="84" t="str">
        <x:v>Falha elétrica</x:v>
      </x:c>
      <x:c r="M163" s="84" t="str">
        <x:v>Componente danificado</x:v>
      </x:c>
      <x:c r="N163" s="84" t="str">
        <x:v>Componente ajustado ou substituído</x:v>
      </x:c>
      <x:c r="O163" s="84" t="n">
        <x:v>0</x:v>
      </x:c>
      <x:c r="P163" s="93" t="n">
        <x:v>998.97</x:v>
      </x:c>
      <x:c r="Q163" s="93" t="n">
        <x:v>0</x:v>
      </x:c>
      <x:c r="R163" s="91" t="n">
        <x:v>0</x:v>
      </x:c>
    </x:row>
    <x:row r="164">
      <x:c r="A164" s="83" t="n">
        <x:v>163</x:v>
      </x:c>
      <x:c r="B164" s="84" t="str">
        <x:v>OS-2025-00163</x:v>
      </x:c>
      <x:c r="C164" s="84" t="n">
        <x:v>61</x:v>
      </x:c>
      <x:c r="D164" s="84" t="n">
        <x:v>5</x:v>
      </x:c>
      <x:c r="E164" s="84" t="n">
        <x:v>122</x:v>
      </x:c>
      <x:c r="F164" s="89" t="n">
        <x:v>45863.60290509259</x:v>
      </x:c>
      <x:c r="G164" s="89" t="n">
        <x:v>45865.60290509259</x:v>
      </x:c>
      <x:c r="H164" s="89" t="n">
        <x:v>45863.93623842593</x:v>
      </x:c>
      <x:c r="I164" s="89" t="n">
        <x:v>45864.22790509259</x:v>
      </x:c>
      <x:c r="J164" s="84" t="str">
        <x:v>Baixa</x:v>
      </x:c>
      <x:c r="K164" s="84" t="str">
        <x:v>Encerrada</x:v>
      </x:c>
      <x:c r="L164" s="84" t="str">
        <x:v>Falha elétrica</x:v>
      </x:c>
      <x:c r="M164" s="84" t="str">
        <x:v>Conexão frouxa</x:v>
      </x:c>
      <x:c r="N164" s="84" t="str">
        <x:v>Componente ajustado ou substituído</x:v>
      </x:c>
      <x:c r="O164" s="84" t="n">
        <x:v>0</x:v>
      </x:c>
      <x:c r="P164" s="93" t="n">
        <x:v>742.93</x:v>
      </x:c>
      <x:c r="Q164" s="93" t="n">
        <x:v>13472.47</x:v>
      </x:c>
      <x:c r="R164" s="91" t="n">
        <x:v>0</x:v>
      </x:c>
    </x:row>
    <x:row r="165">
      <x:c r="A165" s="83" t="n">
        <x:v>164</x:v>
      </x:c>
      <x:c r="B165" s="84" t="str">
        <x:v>OS-2025-00164</x:v>
      </x:c>
      <x:c r="C165" s="84" t="n">
        <x:v>44</x:v>
      </x:c>
      <x:c r="D165" s="84" t="n">
        <x:v>1</x:v>
      </x:c>
      <x:c r="E165" s="84" t="n">
        <x:v>87</x:v>
      </x:c>
      <x:c r="F165" s="89" t="n">
        <x:v>45803.928148148145</x:v>
      </x:c>
      <x:c r="G165" s="89" t="n">
        <x:v>45817.928148148145</x:v>
      </x:c>
      <x:c r="H165" s="89" t="n">
        <x:v>45806.469814814816</x:v>
      </x:c>
      <x:c r="I165" s="89" t="n">
        <x:v>45807.219814814816</x:v>
      </x:c>
      <x:c r="J165" s="84" t="str">
        <x:v>Crítica</x:v>
      </x:c>
      <x:c r="K165" s="84" t="str">
        <x:v>Encerrada</x:v>
      </x:c>
      <x:c r="L165" s="84" t="str">
        <x:v>Baixa pressão</x:v>
      </x:c>
      <x:c r="M165" s="84" t="str">
        <x:v>Contaminação</x:v>
      </x:c>
      <x:c r="N165" s="84" t="str">
        <x:v>Componente ajustado ou substituído</x:v>
      </x:c>
      <x:c r="O165" s="84" t="n">
        <x:v>0</x:v>
      </x:c>
      <x:c r="P165" s="93" t="n">
        <x:v>230.44</x:v>
      </x:c>
      <x:c r="Q165" s="93" t="n">
        <x:v>2164.8</x:v>
      </x:c>
      <x:c r="R165" s="91" t="n">
        <x:v>0</x:v>
      </x:c>
    </x:row>
    <x:row r="166">
      <x:c r="A166" s="83" t="n">
        <x:v>165</x:v>
      </x:c>
      <x:c r="B166" s="84" t="str">
        <x:v>OS-2025-00165</x:v>
      </x:c>
      <x:c r="C166" s="84" t="n">
        <x:v>25</x:v>
      </x:c>
      <x:c r="D166" s="84" t="n">
        <x:v>1</x:v>
      </x:c>
      <x:c r="E166" s="84" t="n">
        <x:v>50</x:v>
      </x:c>
      <x:c r="F166" s="89" t="n">
        <x:v>45674.96099537037</x:v>
      </x:c>
      <x:c r="G166" s="89" t="n">
        <x:v>45679.96099537037</x:v>
      </x:c>
      <x:c r="H166" s="89" t="n">
        <x:v>45676.00266203703</x:v>
      </x:c>
      <x:c r="I166" s="89"/>
      <x:c r="J166" s="84" t="str">
        <x:v>Crítica</x:v>
      </x:c>
      <x:c r="K166" s="84" t="str">
        <x:v>Em execução</x:v>
      </x:c>
      <x:c r="L166" s="84" t="str">
        <x:v>Desalinhamento</x:v>
      </x:c>
      <x:c r="M166" s="84" t="str">
        <x:v>Falta de lubrificação</x:v>
      </x:c>
      <x:c r="N166" s="84"/>
      <x:c r="O166" s="84" t="n">
        <x:v>0</x:v>
      </x:c>
      <x:c r="P166" s="93" t="n">
        <x:v>405.42</x:v>
      </x:c>
      <x:c r="Q166" s="93" t="n">
        <x:v>11232.67</x:v>
      </x:c>
      <x:c r="R166" s="91" t="n">
        <x:v>0</x:v>
      </x:c>
    </x:row>
    <x:row r="167">
      <x:c r="A167" s="83" t="n">
        <x:v>166</x:v>
      </x:c>
      <x:c r="B167" s="84" t="str">
        <x:v>OS-2024-00166</x:v>
      </x:c>
      <x:c r="C167" s="84" t="n">
        <x:v>77</x:v>
      </x:c>
      <x:c r="D167" s="84" t="n">
        <x:v>7</x:v>
      </x:c>
      <x:c r="E167" s="84" t="n">
        <x:v>153</x:v>
      </x:c>
      <x:c r="F167" s="89" t="n">
        <x:v>45485.54935185185</x:v>
      </x:c>
      <x:c r="G167" s="89" t="n">
        <x:v>45485.54935185185</x:v>
      </x:c>
      <x:c r="H167" s="89" t="n">
        <x:v>45487.67435185185</x:v>
      </x:c>
      <x:c r="I167" s="89" t="n">
        <x:v>45488.382685185185</x:v>
      </x:c>
      <x:c r="J167" s="84" t="str">
        <x:v>Média</x:v>
      </x:c>
      <x:c r="K167" s="84" t="str">
        <x:v>Encerrada</x:v>
      </x:c>
      <x:c r="L167" s="84" t="str">
        <x:v>Baixa pressão</x:v>
      </x:c>
      <x:c r="M167" s="84" t="str">
        <x:v>Ajuste incorreto</x:v>
      </x:c>
      <x:c r="N167" s="84" t="str">
        <x:v>Componente ajustado ou substituído</x:v>
      </x:c>
      <x:c r="O167" s="84" t="n">
        <x:v>0</x:v>
      </x:c>
      <x:c r="P167" s="93" t="n">
        <x:v>425.79</x:v>
      </x:c>
      <x:c r="Q167" s="93" t="n">
        <x:v>3341.7</x:v>
      </x:c>
      <x:c r="R167" s="91" t="n">
        <x:v>0</x:v>
      </x:c>
    </x:row>
    <x:row r="168">
      <x:c r="A168" s="83" t="n">
        <x:v>167</x:v>
      </x:c>
      <x:c r="B168" s="84" t="str">
        <x:v>OS-2024-00167</x:v>
      </x:c>
      <x:c r="C168" s="84" t="n">
        <x:v>63</x:v>
      </x:c>
      <x:c r="D168" s="84" t="n">
        <x:v>2</x:v>
      </x:c>
      <x:c r="E168" s="84"/>
      <x:c r="F168" s="89" t="n">
        <x:v>45338.792905092596</x:v>
      </x:c>
      <x:c r="G168" s="89" t="n">
        <x:v>45339.792905092596</x:v>
      </x:c>
      <x:c r="H168" s="89"/>
      <x:c r="I168" s="89"/>
      <x:c r="J168" s="84" t="str">
        <x:v>Alta</x:v>
      </x:c>
      <x:c r="K168" s="84" t="str">
        <x:v>Cancelada</x:v>
      </x:c>
      <x:c r="L168" s="84" t="str">
        <x:v>Falha elétrica</x:v>
      </x:c>
      <x:c r="M168" s="84"/>
      <x:c r="N168" s="84"/>
      <x:c r="O168" s="84" t="n">
        <x:v>0</x:v>
      </x:c>
      <x:c r="P168" s="93" t="n">
        <x:v>0</x:v>
      </x:c>
      <x:c r="Q168" s="93" t="n">
        <x:v>0</x:v>
      </x:c>
      <x:c r="R168" s="91" t="n">
        <x:v>0</x:v>
      </x:c>
    </x:row>
    <x:row r="169">
      <x:c r="A169" s="83" t="n">
        <x:v>168</x:v>
      </x:c>
      <x:c r="B169" s="84" t="str">
        <x:v>OS-2023-00168</x:v>
      </x:c>
      <x:c r="C169" s="84" t="n">
        <x:v>77</x:v>
      </x:c>
      <x:c r="D169" s="84" t="n">
        <x:v>1</x:v>
      </x:c>
      <x:c r="E169" s="84" t="n">
        <x:v>153</x:v>
      </x:c>
      <x:c r="F169" s="89" t="n">
        <x:v>45184.288831018515</x:v>
      </x:c>
      <x:c r="G169" s="89" t="n">
        <x:v>45185.288831018515</x:v>
      </x:c>
      <x:c r="H169" s="89" t="n">
        <x:v>45187.288831018515</x:v>
      </x:c>
      <x:c r="I169" s="89" t="n">
        <x:v>45187.33049768519</x:v>
      </x:c>
      <x:c r="J169" s="84" t="str">
        <x:v>Crítica</x:v>
      </x:c>
      <x:c r="K169" s="84" t="str">
        <x:v>Encerrada</x:v>
      </x:c>
      <x:c r="L169" s="84" t="str">
        <x:v>Baixa pressão</x:v>
      </x:c>
      <x:c r="M169" s="84" t="str">
        <x:v>Conexão frouxa</x:v>
      </x:c>
      <x:c r="N169" s="84" t="str">
        <x:v>Componente ajustado ou substituído</x:v>
      </x:c>
      <x:c r="O169" s="84" t="n">
        <x:v>1</x:v>
      </x:c>
      <x:c r="P169" s="93" t="n">
        <x:v>544.91</x:v>
      </x:c>
      <x:c r="Q169" s="93" t="n">
        <x:v>0</x:v>
      </x:c>
      <x:c r="R169" s="91" t="n">
        <x:v>0</x:v>
      </x:c>
    </x:row>
    <x:row r="170">
      <x:c r="A170" s="83" t="n">
        <x:v>169</x:v>
      </x:c>
      <x:c r="B170" s="84" t="str">
        <x:v>OS-2023-00169</x:v>
      </x:c>
      <x:c r="C170" s="84" t="n">
        <x:v>34</x:v>
      </x:c>
      <x:c r="D170" s="84" t="n">
        <x:v>3</x:v>
      </x:c>
      <x:c r="E170" s="84"/>
      <x:c r="F170" s="89" t="n">
        <x:v>45210.00672453704</x:v>
      </x:c>
      <x:c r="G170" s="89"/>
      <x:c r="H170" s="89" t="n">
        <x:v>45210.46505787037</x:v>
      </x:c>
      <x:c r="I170" s="89" t="n">
        <x:v>45210.59005787037</x:v>
      </x:c>
      <x:c r="J170" s="84" t="str">
        <x:v>Média</x:v>
      </x:c>
      <x:c r="K170" s="84" t="str">
        <x:v>Encerrada</x:v>
      </x:c>
      <x:c r="L170" s="84" t="str">
        <x:v>Baixa pressão</x:v>
      </x:c>
      <x:c r="M170" s="84" t="str">
        <x:v>Componente danificado</x:v>
      </x:c>
      <x:c r="N170" s="84" t="str">
        <x:v>Componente ajustado ou substituído</x:v>
      </x:c>
      <x:c r="O170" s="84" t="n">
        <x:v>0</x:v>
      </x:c>
      <x:c r="P170" s="93" t="n">
        <x:v>33.13</x:v>
      </x:c>
      <x:c r="Q170" s="93" t="n">
        <x:v>8615.96</x:v>
      </x:c>
      <x:c r="R170" s="91" t="n">
        <x:v>0</x:v>
      </x:c>
    </x:row>
    <x:row r="171">
      <x:c r="A171" s="83" t="n">
        <x:v>170</x:v>
      </x:c>
      <x:c r="B171" s="84" t="str">
        <x:v>OS-2025-00170</x:v>
      </x:c>
      <x:c r="C171" s="84" t="n">
        <x:v>72</x:v>
      </x:c>
      <x:c r="D171" s="84" t="n">
        <x:v>3</x:v>
      </x:c>
      <x:c r="E171" s="84"/>
      <x:c r="F171" s="89" t="n">
        <x:v>45673.39607638889</x:v>
      </x:c>
      <x:c r="G171" s="89"/>
      <x:c r="H171" s="89" t="n">
        <x:v>45673.812743055554</x:v>
      </x:c>
      <x:c r="I171" s="89" t="n">
        <x:v>45674.437743055554</x:v>
      </x:c>
      <x:c r="J171" s="84" t="str">
        <x:v>Crítica</x:v>
      </x:c>
      <x:c r="K171" s="84" t="str">
        <x:v>Encerrada</x:v>
      </x:c>
      <x:c r="L171" s="84" t="str">
        <x:v>Vazamento</x:v>
      </x:c>
      <x:c r="M171" s="84" t="str">
        <x:v>Desgaste natural</x:v>
      </x:c>
      <x:c r="N171" s="84" t="str">
        <x:v>Componente ajustado ou substituído</x:v>
      </x:c>
      <x:c r="O171" s="84" t="n">
        <x:v>0</x:v>
      </x:c>
      <x:c r="P171" s="93" t="n">
        <x:v>265.63</x:v>
      </x:c>
      <x:c r="Q171" s="93" t="n">
        <x:v>9907.83</x:v>
      </x:c>
      <x:c r="R171" s="91" t="n">
        <x:v>5489.41</x:v>
      </x:c>
    </x:row>
    <x:row r="172">
      <x:c r="A172" s="83" t="n">
        <x:v>171</x:v>
      </x:c>
      <x:c r="B172" s="84" t="str">
        <x:v>OS-2025-00171</x:v>
      </x:c>
      <x:c r="C172" s="84" t="n">
        <x:v>5</x:v>
      </x:c>
      <x:c r="D172" s="84" t="n">
        <x:v>8</x:v>
      </x:c>
      <x:c r="E172" s="84"/>
      <x:c r="F172" s="89" t="n">
        <x:v>45674.46561342593</x:v>
      </x:c>
      <x:c r="G172" s="89" t="n">
        <x:v>45684.46561342593</x:v>
      </x:c>
      <x:c r="H172" s="89" t="n">
        <x:v>45677.46561342593</x:v>
      </x:c>
      <x:c r="I172" s="89"/>
      <x:c r="J172" s="84" t="str">
        <x:v>Crítica</x:v>
      </x:c>
      <x:c r="K172" s="84" t="str">
        <x:v>Aguardando peça</x:v>
      </x:c>
      <x:c r="L172" s="84" t="str">
        <x:v>Falha elétrica</x:v>
      </x:c>
      <x:c r="M172" s="84" t="str">
        <x:v>Componente danificado</x:v>
      </x:c>
      <x:c r="N172" s="84"/>
      <x:c r="O172" s="84" t="n">
        <x:v>0</x:v>
      </x:c>
      <x:c r="P172" s="93" t="n">
        <x:v>470.72</x:v>
      </x:c>
      <x:c r="Q172" s="93" t="n">
        <x:v>6324.16</x:v>
      </x:c>
      <x:c r="R172" s="91" t="n">
        <x:v>0</x:v>
      </x:c>
    </x:row>
    <x:row r="173">
      <x:c r="A173" s="83" t="n">
        <x:v>172</x:v>
      </x:c>
      <x:c r="B173" s="84" t="str">
        <x:v>OS-2024-00172</x:v>
      </x:c>
      <x:c r="C173" s="84" t="n">
        <x:v>67</x:v>
      </x:c>
      <x:c r="D173" s="84" t="n">
        <x:v>1</x:v>
      </x:c>
      <x:c r="E173" s="84" t="n">
        <x:v>134</x:v>
      </x:c>
      <x:c r="F173" s="89" t="n">
        <x:v>45525.56684027778</x:v>
      </x:c>
      <x:c r="G173" s="89" t="n">
        <x:v>45525.56684027778</x:v>
      </x:c>
      <x:c r="H173" s="89" t="n">
        <x:v>45526.483506944445</x:v>
      </x:c>
      <x:c r="I173" s="89" t="n">
        <x:v>45526.65017361111</x:v>
      </x:c>
      <x:c r="J173" s="84" t="str">
        <x:v>Crítica</x:v>
      </x:c>
      <x:c r="K173" s="84" t="str">
        <x:v>Concluída</x:v>
      </x:c>
      <x:c r="L173" s="84" t="str">
        <x:v>Baixa pressão</x:v>
      </x:c>
      <x:c r="M173" s="84" t="str">
        <x:v>Conexão frouxa</x:v>
      </x:c>
      <x:c r="N173" s="84" t="str">
        <x:v>Componente ajustado ou substituído</x:v>
      </x:c>
      <x:c r="O173" s="84" t="n">
        <x:v>0</x:v>
      </x:c>
      <x:c r="P173" s="93" t="n">
        <x:v>215.38</x:v>
      </x:c>
      <x:c r="Q173" s="93" t="n">
        <x:v>12068.73</x:v>
      </x:c>
      <x:c r="R173" s="91" t="n">
        <x:v>0</x:v>
      </x:c>
    </x:row>
    <x:row r="174">
      <x:c r="A174" s="83" t="n">
        <x:v>173</x:v>
      </x:c>
      <x:c r="B174" s="84" t="str">
        <x:v>OS-2024-00173</x:v>
      </x:c>
      <x:c r="C174" s="84" t="n">
        <x:v>8</x:v>
      </x:c>
      <x:c r="D174" s="84" t="n">
        <x:v>2</x:v>
      </x:c>
      <x:c r="E174" s="84"/>
      <x:c r="F174" s="89" t="n">
        <x:v>45597.86206018519</x:v>
      </x:c>
      <x:c r="G174" s="89" t="n">
        <x:v>45597.86206018519</x:v>
      </x:c>
      <x:c r="H174" s="89" t="n">
        <x:v>45600.61206018519</x:v>
      </x:c>
      <x:c r="I174" s="89" t="n">
        <x:v>45600.65372685185</x:v>
      </x:c>
      <x:c r="J174" s="84" t="str">
        <x:v>Baixa</x:v>
      </x:c>
      <x:c r="K174" s="84" t="str">
        <x:v>Encerrada</x:v>
      </x:c>
      <x:c r="L174" s="84" t="str">
        <x:v>Desalinhamento</x:v>
      </x:c>
      <x:c r="M174" s="84" t="str">
        <x:v>Conexão frouxa</x:v>
      </x:c>
      <x:c r="N174" s="84" t="str">
        <x:v>Componente ajustado ou substituído</x:v>
      </x:c>
      <x:c r="O174" s="84" t="n">
        <x:v>0</x:v>
      </x:c>
      <x:c r="P174" s="93" t="n">
        <x:v>207.68</x:v>
      </x:c>
      <x:c r="Q174" s="93" t="n">
        <x:v>2969.8</x:v>
      </x:c>
      <x:c r="R174" s="91" t="n">
        <x:v>0</x:v>
      </x:c>
    </x:row>
    <x:row r="175">
      <x:c r="A175" s="83" t="n">
        <x:v>174</x:v>
      </x:c>
      <x:c r="B175" s="84" t="str">
        <x:v>OS-2023-00174</x:v>
      </x:c>
      <x:c r="C175" s="84" t="n">
        <x:v>59</x:v>
      </x:c>
      <x:c r="D175" s="84" t="n">
        <x:v>5</x:v>
      </x:c>
      <x:c r="E175" s="84" t="n">
        <x:v>118</x:v>
      </x:c>
      <x:c r="F175" s="89" t="n">
        <x:v>45029.89445601852</x:v>
      </x:c>
      <x:c r="G175" s="89" t="n">
        <x:v>45032.89445601852</x:v>
      </x:c>
      <x:c r="H175" s="89" t="n">
        <x:v>45030.76945601852</x:v>
      </x:c>
      <x:c r="I175" s="89" t="n">
        <x:v>45031.18612268518</x:v>
      </x:c>
      <x:c r="J175" s="84" t="str">
        <x:v>Crítica</x:v>
      </x:c>
      <x:c r="K175" s="84" t="str">
        <x:v>Encerrada</x:v>
      </x:c>
      <x:c r="L175" s="84" t="str">
        <x:v>Alarme intermitente</x:v>
      </x:c>
      <x:c r="M175" s="84" t="str">
        <x:v>Componente danificado</x:v>
      </x:c>
      <x:c r="N175" s="84" t="str">
        <x:v>Componente ajustado ou substituído</x:v>
      </x:c>
      <x:c r="O175" s="84" t="n">
        <x:v>0</x:v>
      </x:c>
      <x:c r="P175" s="93" t="n">
        <x:v>591.34</x:v>
      </x:c>
      <x:c r="Q175" s="93" t="n">
        <x:v>2586.34</x:v>
      </x:c>
      <x:c r="R175" s="91" t="n">
        <x:v>0</x:v>
      </x:c>
    </x:row>
    <x:row r="176">
      <x:c r="A176" s="83" t="n">
        <x:v>175</x:v>
      </x:c>
      <x:c r="B176" s="84" t="str">
        <x:v>OS-2023-00175</x:v>
      </x:c>
      <x:c r="C176" s="84" t="n">
        <x:v>4</x:v>
      </x:c>
      <x:c r="D176" s="84" t="n">
        <x:v>2</x:v>
      </x:c>
      <x:c r="E176" s="84"/>
      <x:c r="F176" s="89" t="n">
        <x:v>44968.88395833333</x:v>
      </x:c>
      <x:c r="G176" s="89" t="n">
        <x:v>44970.88395833333</x:v>
      </x:c>
      <x:c r="H176" s="89" t="n">
        <x:v>44971.46729166667</x:v>
      </x:c>
      <x:c r="I176" s="89" t="n">
        <x:v>44972.050625</x:v>
      </x:c>
      <x:c r="J176" s="84" t="str">
        <x:v>Baixa</x:v>
      </x:c>
      <x:c r="K176" s="84" t="str">
        <x:v>Encerrada</x:v>
      </x:c>
      <x:c r="L176" s="84" t="str">
        <x:v>Superaquecimento</x:v>
      </x:c>
      <x:c r="M176" s="84" t="str">
        <x:v>Conexão frouxa</x:v>
      </x:c>
      <x:c r="N176" s="84" t="str">
        <x:v>Componente ajustado ou substituído</x:v>
      </x:c>
      <x:c r="O176" s="84" t="n">
        <x:v>0</x:v>
      </x:c>
      <x:c r="P176" s="93" t="n">
        <x:v>434.66</x:v>
      </x:c>
      <x:c r="Q176" s="93" t="n">
        <x:v>22128.1</x:v>
      </x:c>
      <x:c r="R176" s="91" t="n">
        <x:v>0</x:v>
      </x:c>
    </x:row>
    <x:row r="177">
      <x:c r="A177" s="83" t="n">
        <x:v>176</x:v>
      </x:c>
      <x:c r="B177" s="84" t="str">
        <x:v>OS-2023-00176</x:v>
      </x:c>
      <x:c r="C177" s="84" t="n">
        <x:v>27</x:v>
      </x:c>
      <x:c r="D177" s="84" t="n">
        <x:v>3</x:v>
      </x:c>
      <x:c r="E177" s="84"/>
      <x:c r="F177" s="89" t="n">
        <x:v>45100.2262962963</x:v>
      </x:c>
      <x:c r="G177" s="89"/>
      <x:c r="H177" s="89"/>
      <x:c r="I177" s="89"/>
      <x:c r="J177" s="84" t="str">
        <x:v>Crítica</x:v>
      </x:c>
      <x:c r="K177" s="84" t="str">
        <x:v>Cancelada</x:v>
      </x:c>
      <x:c r="L177" s="84" t="str">
        <x:v>Superaquecimento</x:v>
      </x:c>
      <x:c r="M177" s="84"/>
      <x:c r="N177" s="84"/>
      <x:c r="O177" s="84" t="n">
        <x:v>0</x:v>
      </x:c>
      <x:c r="P177" s="93" t="n">
        <x:v>0</x:v>
      </x:c>
      <x:c r="Q177" s="93" t="n">
        <x:v>0</x:v>
      </x:c>
      <x:c r="R177" s="91" t="n">
        <x:v>0</x:v>
      </x:c>
    </x:row>
    <x:row r="178">
      <x:c r="A178" s="83" t="n">
        <x:v>177</x:v>
      </x:c>
      <x:c r="B178" s="84" t="str">
        <x:v>OS-2023-00177</x:v>
      </x:c>
      <x:c r="C178" s="84" t="n">
        <x:v>35</x:v>
      </x:c>
      <x:c r="D178" s="84" t="n">
        <x:v>2</x:v>
      </x:c>
      <x:c r="E178" s="84"/>
      <x:c r="F178" s="89" t="n">
        <x:v>44950.25200231482</x:v>
      </x:c>
      <x:c r="G178" s="89" t="n">
        <x:v>44956.25200231482</x:v>
      </x:c>
      <x:c r="H178" s="89" t="n">
        <x:v>44952.25200231482</x:v>
      </x:c>
      <x:c r="I178" s="89" t="n">
        <x:v>44952.75200231482</x:v>
      </x:c>
      <x:c r="J178" s="84" t="str">
        <x:v>Média</x:v>
      </x:c>
      <x:c r="K178" s="84" t="str">
        <x:v>Concluída</x:v>
      </x:c>
      <x:c r="L178" s="84" t="str">
        <x:v>Baixa pressão</x:v>
      </x:c>
      <x:c r="M178" s="84" t="str">
        <x:v>Componente danificado</x:v>
      </x:c>
      <x:c r="N178" s="84" t="str">
        <x:v>Componente ajustado ou substituído</x:v>
      </x:c>
      <x:c r="O178" s="84" t="n">
        <x:v>0</x:v>
      </x:c>
      <x:c r="P178" s="93" t="n">
        <x:v>155.4</x:v>
      </x:c>
      <x:c r="Q178" s="93" t="n">
        <x:v>0</x:v>
      </x:c>
      <x:c r="R178" s="91" t="n">
        <x:v>0</x:v>
      </x:c>
    </x:row>
    <x:row r="179">
      <x:c r="A179" s="83" t="n">
        <x:v>178</x:v>
      </x:c>
      <x:c r="B179" s="84" t="str">
        <x:v>OS-2025-00178</x:v>
      </x:c>
      <x:c r="C179" s="84" t="n">
        <x:v>90</x:v>
      </x:c>
      <x:c r="D179" s="84" t="n">
        <x:v>2</x:v>
      </x:c>
      <x:c r="E179" s="84"/>
      <x:c r="F179" s="89" t="n">
        <x:v>45769.48438657408</x:v>
      </x:c>
      <x:c r="G179" s="89" t="n">
        <x:v>45776.48438657408</x:v>
      </x:c>
      <x:c r="H179" s="89" t="n">
        <x:v>45770.48438657408</x:v>
      </x:c>
      <x:c r="I179" s="89" t="n">
        <x:v>45771.15105324074</x:v>
      </x:c>
      <x:c r="J179" s="84" t="str">
        <x:v>Crítica</x:v>
      </x:c>
      <x:c r="K179" s="84" t="str">
        <x:v>Encerrada</x:v>
      </x:c>
      <x:c r="L179" s="84" t="str">
        <x:v>Alarme intermitente</x:v>
      </x:c>
      <x:c r="M179" s="84" t="str">
        <x:v>Ajuste incorreto</x:v>
      </x:c>
      <x:c r="N179" s="84" t="str">
        <x:v>Componente ajustado ou substituído</x:v>
      </x:c>
      <x:c r="O179" s="84" t="n">
        <x:v>0</x:v>
      </x:c>
      <x:c r="P179" s="93" t="n">
        <x:v>240.41</x:v>
      </x:c>
      <x:c r="Q179" s="93" t="n">
        <x:v>0</x:v>
      </x:c>
      <x:c r="R179" s="91" t="n">
        <x:v>0</x:v>
      </x:c>
    </x:row>
    <x:row r="180">
      <x:c r="A180" s="83" t="n">
        <x:v>179</x:v>
      </x:c>
      <x:c r="B180" s="84" t="str">
        <x:v>OS-2023-00179</x:v>
      </x:c>
      <x:c r="C180" s="84" t="n">
        <x:v>58</x:v>
      </x:c>
      <x:c r="D180" s="84" t="n">
        <x:v>1</x:v>
      </x:c>
      <x:c r="E180" s="84" t="n">
        <x:v>116</x:v>
      </x:c>
      <x:c r="F180" s="89" t="n">
        <x:v>45230.75646990741</x:v>
      </x:c>
      <x:c r="G180" s="89" t="n">
        <x:v>45237.75646990741</x:v>
      </x:c>
      <x:c r="H180" s="89" t="n">
        <x:v>45233.38146990741</x:v>
      </x:c>
      <x:c r="I180" s="89" t="n">
        <x:v>45233.50646990741</x:v>
      </x:c>
      <x:c r="J180" s="84" t="str">
        <x:v>Baixa</x:v>
      </x:c>
      <x:c r="K180" s="84" t="str">
        <x:v>Concluída</x:v>
      </x:c>
      <x:c r="L180" s="84" t="str">
        <x:v>Falha elétrica</x:v>
      </x:c>
      <x:c r="M180" s="84" t="str">
        <x:v>Componente danificado</x:v>
      </x:c>
      <x:c r="N180" s="84" t="str">
        <x:v>Componente ajustado ou substituído</x:v>
      </x:c>
      <x:c r="O180" s="84" t="n">
        <x:v>0</x:v>
      </x:c>
      <x:c r="P180" s="93" t="n">
        <x:v>629.12</x:v>
      </x:c>
      <x:c r="Q180" s="93" t="n">
        <x:v>0</x:v>
      </x:c>
      <x:c r="R180" s="91" t="n">
        <x:v>0</x:v>
      </x:c>
    </x:row>
    <x:row r="181">
      <x:c r="A181" s="83" t="n">
        <x:v>180</x:v>
      </x:c>
      <x:c r="B181" s="84" t="str">
        <x:v>OS-2023-00180</x:v>
      </x:c>
      <x:c r="C181" s="84" t="n">
        <x:v>76</x:v>
      </x:c>
      <x:c r="D181" s="84" t="n">
        <x:v>1</x:v>
      </x:c>
      <x:c r="E181" s="84" t="n">
        <x:v>151</x:v>
      </x:c>
      <x:c r="F181" s="89" t="n">
        <x:v>45183.640185185184</x:v>
      </x:c>
      <x:c r="G181" s="89" t="n">
        <x:v>45183.640185185184</x:v>
      </x:c>
      <x:c r="H181" s="89" t="n">
        <x:v>45183.93185185185</x:v>
      </x:c>
      <x:c r="I181" s="89" t="n">
        <x:v>45184.765185185184</x:v>
      </x:c>
      <x:c r="J181" s="84" t="str">
        <x:v>Alta</x:v>
      </x:c>
      <x:c r="K181" s="84" t="str">
        <x:v>Encerrada</x:v>
      </x:c>
      <x:c r="L181" s="84" t="str">
        <x:v>Desalinhamento</x:v>
      </x:c>
      <x:c r="M181" s="84" t="str">
        <x:v>Falta de lubrificação</x:v>
      </x:c>
      <x:c r="N181" s="84" t="str">
        <x:v>Componente ajustado ou substituído</x:v>
      </x:c>
      <x:c r="O181" s="84" t="n">
        <x:v>0</x:v>
      </x:c>
      <x:c r="P181" s="93" t="n">
        <x:v>322.96</x:v>
      </x:c>
      <x:c r="Q181" s="93" t="n">
        <x:v>16067.93</x:v>
      </x:c>
      <x:c r="R181" s="91" t="n">
        <x:v>0</x:v>
      </x:c>
    </x:row>
    <x:row r="182">
      <x:c r="A182" s="83" t="n">
        <x:v>181</x:v>
      </x:c>
      <x:c r="B182" s="84" t="str">
        <x:v>OS-2025-00181</x:v>
      </x:c>
      <x:c r="C182" s="84" t="n">
        <x:v>48</x:v>
      </x:c>
      <x:c r="D182" s="84" t="n">
        <x:v>1</x:v>
      </x:c>
      <x:c r="E182" s="84" t="n">
        <x:v>95</x:v>
      </x:c>
      <x:c r="F182" s="89" t="n">
        <x:v>45946.032222222224</x:v>
      </x:c>
      <x:c r="G182" s="89" t="n">
        <x:v>45956.032222222224</x:v>
      </x:c>
      <x:c r="H182" s="89" t="n">
        <x:v>45946.11555555555</x:v>
      </x:c>
      <x:c r="I182" s="89"/>
      <x:c r="J182" s="84" t="str">
        <x:v>Crítica</x:v>
      </x:c>
      <x:c r="K182" s="84" t="str">
        <x:v>Aguardando peça</x:v>
      </x:c>
      <x:c r="L182" s="84" t="str">
        <x:v>Baixa pressão</x:v>
      </x:c>
      <x:c r="M182" s="84" t="str">
        <x:v>Falta de lubrificação</x:v>
      </x:c>
      <x:c r="N182" s="84"/>
      <x:c r="O182" s="84" t="n">
        <x:v>0</x:v>
      </x:c>
      <x:c r="P182" s="93" t="n">
        <x:v>597.97</x:v>
      </x:c>
      <x:c r="Q182" s="93" t="n">
        <x:v>7882.5</x:v>
      </x:c>
      <x:c r="R182" s="91" t="n">
        <x:v>0</x:v>
      </x:c>
    </x:row>
    <x:row r="183">
      <x:c r="A183" s="83" t="n">
        <x:v>182</x:v>
      </x:c>
      <x:c r="B183" s="84" t="str">
        <x:v>OS-2023-00182</x:v>
      </x:c>
      <x:c r="C183" s="84" t="n">
        <x:v>54</x:v>
      </x:c>
      <x:c r="D183" s="84" t="n">
        <x:v>3</x:v>
      </x:c>
      <x:c r="E183" s="84"/>
      <x:c r="F183" s="89" t="n">
        <x:v>45112.051770833335</x:v>
      </x:c>
      <x:c r="G183" s="89"/>
      <x:c r="H183" s="89" t="n">
        <x:v>45114.9684375</x:v>
      </x:c>
      <x:c r="I183" s="89" t="n">
        <x:v>45115.010104166664</x:v>
      </x:c>
      <x:c r="J183" s="84" t="str">
        <x:v>Alta</x:v>
      </x:c>
      <x:c r="K183" s="84" t="str">
        <x:v>Concluída</x:v>
      </x:c>
      <x:c r="L183" s="84" t="str">
        <x:v>Desalinhamento</x:v>
      </x:c>
      <x:c r="M183" s="84" t="str">
        <x:v>Desgaste natural</x:v>
      </x:c>
      <x:c r="N183" s="84" t="str">
        <x:v>Componente ajustado ou substituído</x:v>
      </x:c>
      <x:c r="O183" s="84" t="n">
        <x:v>0</x:v>
      </x:c>
      <x:c r="P183" s="93" t="n">
        <x:v>199.12</x:v>
      </x:c>
      <x:c r="Q183" s="93" t="n">
        <x:v>8294.38</x:v>
      </x:c>
      <x:c r="R183" s="91" t="n">
        <x:v>12278.73</x:v>
      </x:c>
    </x:row>
    <x:row r="184">
      <x:c r="A184" s="83" t="n">
        <x:v>183</x:v>
      </x:c>
      <x:c r="B184" s="84" t="str">
        <x:v>OS-2023-00183</x:v>
      </x:c>
      <x:c r="C184" s="84" t="n">
        <x:v>62</x:v>
      </x:c>
      <x:c r="D184" s="84" t="n">
        <x:v>6</x:v>
      </x:c>
      <x:c r="E184" s="84"/>
      <x:c r="F184" s="89" t="n">
        <x:v>44965.38416666666</x:v>
      </x:c>
      <x:c r="G184" s="89" t="n">
        <x:v>44975.38416666666</x:v>
      </x:c>
      <x:c r="H184" s="89" t="n">
        <x:v>44966.00916666666</x:v>
      </x:c>
      <x:c r="I184" s="89" t="n">
        <x:v>44966.300833333335</x:v>
      </x:c>
      <x:c r="J184" s="84" t="str">
        <x:v>Alta</x:v>
      </x:c>
      <x:c r="K184" s="84" t="str">
        <x:v>Encerrada</x:v>
      </x:c>
      <x:c r="L184" s="84" t="str">
        <x:v>Ruído anormal</x:v>
      </x:c>
      <x:c r="M184" s="84" t="str">
        <x:v>Falta de lubrificação</x:v>
      </x:c>
      <x:c r="N184" s="84" t="str">
        <x:v>Componente ajustado ou substituído</x:v>
      </x:c>
      <x:c r="O184" s="84" t="n">
        <x:v>0</x:v>
      </x:c>
      <x:c r="P184" s="93" t="n">
        <x:v>756.35</x:v>
      </x:c>
      <x:c r="Q184" s="93" t="n">
        <x:v>0</x:v>
      </x:c>
      <x:c r="R184" s="91" t="n">
        <x:v>0</x:v>
      </x:c>
    </x:row>
    <x:row r="185">
      <x:c r="A185" s="83" t="n">
        <x:v>184</x:v>
      </x:c>
      <x:c r="B185" s="84" t="str">
        <x:v>OS-2025-00184</x:v>
      </x:c>
      <x:c r="C185" s="84" t="n">
        <x:v>65</x:v>
      </x:c>
      <x:c r="D185" s="84" t="n">
        <x:v>1</x:v>
      </x:c>
      <x:c r="E185" s="84" t="n">
        <x:v>129</x:v>
      </x:c>
      <x:c r="F185" s="89" t="n">
        <x:v>45768.056238425925</x:v>
      </x:c>
      <x:c r="G185" s="89" t="n">
        <x:v>45771.056238425925</x:v>
      </x:c>
      <x:c r="H185" s="89" t="n">
        <x:v>45768.51457175926</x:v>
      </x:c>
      <x:c r="I185" s="89" t="n">
        <x:v>45769.222905092596</x:v>
      </x:c>
      <x:c r="J185" s="84" t="str">
        <x:v>Crítica</x:v>
      </x:c>
      <x:c r="K185" s="84" t="str">
        <x:v>Encerrada</x:v>
      </x:c>
      <x:c r="L185" s="84" t="str">
        <x:v>Alarme intermitente</x:v>
      </x:c>
      <x:c r="M185" s="84" t="str">
        <x:v>Conexão frouxa</x:v>
      </x:c>
      <x:c r="N185" s="84" t="str">
        <x:v>Componente ajustado ou substituído</x:v>
      </x:c>
      <x:c r="O185" s="84" t="n">
        <x:v>0</x:v>
      </x:c>
      <x:c r="P185" s="93" t="n">
        <x:v>493.18</x:v>
      </x:c>
      <x:c r="Q185" s="93" t="n">
        <x:v>0</x:v>
      </x:c>
      <x:c r="R185" s="91" t="n">
        <x:v>0</x:v>
      </x:c>
    </x:row>
    <x:row r="186">
      <x:c r="A186" s="83" t="n">
        <x:v>185</x:v>
      </x:c>
      <x:c r="B186" s="84" t="str">
        <x:v>OS-2025-00185</x:v>
      </x:c>
      <x:c r="C186" s="84" t="n">
        <x:v>83</x:v>
      </x:c>
      <x:c r="D186" s="84" t="n">
        <x:v>3</x:v>
      </x:c>
      <x:c r="E186" s="84"/>
      <x:c r="F186" s="89" t="n">
        <x:v>45772.949953703705</x:v>
      </x:c>
      <x:c r="G186" s="89"/>
      <x:c r="H186" s="89" t="n">
        <x:v>45775.449953703705</x:v>
      </x:c>
      <x:c r="I186" s="89" t="n">
        <x:v>45775.49162037037</x:v>
      </x:c>
      <x:c r="J186" s="84" t="str">
        <x:v>Baixa</x:v>
      </x:c>
      <x:c r="K186" s="84" t="str">
        <x:v>Concluída</x:v>
      </x:c>
      <x:c r="L186" s="84" t="str">
        <x:v>Vazamento</x:v>
      </x:c>
      <x:c r="M186" s="84" t="str">
        <x:v>Ajuste incorreto</x:v>
      </x:c>
      <x:c r="N186" s="84" t="str">
        <x:v>Componente ajustado ou substituído</x:v>
      </x:c>
      <x:c r="O186" s="84" t="n">
        <x:v>0</x:v>
      </x:c>
      <x:c r="P186" s="93" t="n">
        <x:v>405.37</x:v>
      </x:c>
      <x:c r="Q186" s="93" t="n">
        <x:v>0</x:v>
      </x:c>
      <x:c r="R186" s="91" t="n">
        <x:v>0</x:v>
      </x:c>
    </x:row>
    <x:row r="187">
      <x:c r="A187" s="83" t="n">
        <x:v>186</x:v>
      </x:c>
      <x:c r="B187" s="84" t="str">
        <x:v>OS-2025-00186</x:v>
      </x:c>
      <x:c r="C187" s="84" t="n">
        <x:v>50</x:v>
      </x:c>
      <x:c r="D187" s="84" t="n">
        <x:v>5</x:v>
      </x:c>
      <x:c r="E187" s="84" t="n">
        <x:v>100</x:v>
      </x:c>
      <x:c r="F187" s="89" t="n">
        <x:v>45833.62751157407</x:v>
      </x:c>
      <x:c r="G187" s="89" t="n">
        <x:v>45834.62751157407</x:v>
      </x:c>
      <x:c r="H187" s="89" t="n">
        <x:v>45834.08584490741</x:v>
      </x:c>
      <x:c r="I187" s="89" t="n">
        <x:v>45834.50251157407</x:v>
      </x:c>
      <x:c r="J187" s="84" t="str">
        <x:v>Alta</x:v>
      </x:c>
      <x:c r="K187" s="84" t="str">
        <x:v>Encerrada</x:v>
      </x:c>
      <x:c r="L187" s="84" t="str">
        <x:v>Alarme intermitente</x:v>
      </x:c>
      <x:c r="M187" s="84" t="str">
        <x:v>Ajuste incorreto</x:v>
      </x:c>
      <x:c r="N187" s="84" t="str">
        <x:v>Componente ajustado ou substituído</x:v>
      </x:c>
      <x:c r="O187" s="84" t="n">
        <x:v>0</x:v>
      </x:c>
      <x:c r="P187" s="93" t="n">
        <x:v>671.02</x:v>
      </x:c>
      <x:c r="Q187" s="93" t="n">
        <x:v>17498.83</x:v>
      </x:c>
      <x:c r="R187" s="91" t="n">
        <x:v>0</x:v>
      </x:c>
    </x:row>
    <x:row r="188">
      <x:c r="A188" s="83" t="n">
        <x:v>187</x:v>
      </x:c>
      <x:c r="B188" s="84" t="str">
        <x:v>OS-2023-00187</x:v>
      </x:c>
      <x:c r="C188" s="84" t="n">
        <x:v>70</x:v>
      </x:c>
      <x:c r="D188" s="84" t="n">
        <x:v>1</x:v>
      </x:c>
      <x:c r="E188" s="84" t="n">
        <x:v>140</x:v>
      </x:c>
      <x:c r="F188" s="89" t="n">
        <x:v>45022.292337962965</x:v>
      </x:c>
      <x:c r="G188" s="89" t="n">
        <x:v>45030.292337962965</x:v>
      </x:c>
      <x:c r="H188" s="89" t="n">
        <x:v>45024.792337962965</x:v>
      </x:c>
      <x:c r="I188" s="89" t="n">
        <x:v>45025.20900462963</x:v>
      </x:c>
      <x:c r="J188" s="84" t="str">
        <x:v>Baixa</x:v>
      </x:c>
      <x:c r="K188" s="84" t="str">
        <x:v>Encerrada</x:v>
      </x:c>
      <x:c r="L188" s="84" t="str">
        <x:v>Desalinhamento</x:v>
      </x:c>
      <x:c r="M188" s="84" t="str">
        <x:v>Componente danificado</x:v>
      </x:c>
      <x:c r="N188" s="84" t="str">
        <x:v>Componente ajustado ou substituído</x:v>
      </x:c>
      <x:c r="O188" s="84" t="n">
        <x:v>0</x:v>
      </x:c>
      <x:c r="P188" s="93" t="n">
        <x:v>172.2</x:v>
      </x:c>
      <x:c r="Q188" s="93" t="n">
        <x:v>5023.64</x:v>
      </x:c>
      <x:c r="R188" s="91" t="n">
        <x:v>0</x:v>
      </x:c>
    </x:row>
    <x:row r="189">
      <x:c r="A189" s="83" t="n">
        <x:v>188</x:v>
      </x:c>
      <x:c r="B189" s="84" t="str">
        <x:v>OS-2023-00188</x:v>
      </x:c>
      <x:c r="C189" s="84" t="n">
        <x:v>55</x:v>
      </x:c>
      <x:c r="D189" s="84" t="n">
        <x:v>5</x:v>
      </x:c>
      <x:c r="E189" s="84" t="n">
        <x:v>110</x:v>
      </x:c>
      <x:c r="F189" s="89" t="n">
        <x:v>45285.6749537037</x:v>
      </x:c>
      <x:c r="G189" s="89" t="n">
        <x:v>45287.6749537037</x:v>
      </x:c>
      <x:c r="H189" s="89" t="n">
        <x:v>45285.84162037037</x:v>
      </x:c>
      <x:c r="I189" s="89" t="n">
        <x:v>45286.25828703704</x:v>
      </x:c>
      <x:c r="J189" s="84" t="str">
        <x:v>Crítica</x:v>
      </x:c>
      <x:c r="K189" s="84" t="str">
        <x:v>Encerrada</x:v>
      </x:c>
      <x:c r="L189" s="84" t="str">
        <x:v>Vazamento</x:v>
      </x:c>
      <x:c r="M189" s="84" t="str">
        <x:v>Conexão frouxa</x:v>
      </x:c>
      <x:c r="N189" s="84" t="str">
        <x:v>Componente ajustado ou substituído</x:v>
      </x:c>
      <x:c r="O189" s="84" t="n">
        <x:v>0</x:v>
      </x:c>
      <x:c r="P189" s="93" t="n">
        <x:v>146.72</x:v>
      </x:c>
      <x:c r="Q189" s="93" t="n">
        <x:v>0</x:v>
      </x:c>
      <x:c r="R189" s="91" t="n">
        <x:v>0</x:v>
      </x:c>
    </x:row>
    <x:row r="190">
      <x:c r="A190" s="83" t="n">
        <x:v>189</x:v>
      </x:c>
      <x:c r="B190" s="84" t="str">
        <x:v>OS-2024-00189</x:v>
      </x:c>
      <x:c r="C190" s="84" t="n">
        <x:v>67</x:v>
      </x:c>
      <x:c r="D190" s="84" t="n">
        <x:v>9</x:v>
      </x:c>
      <x:c r="E190" s="84"/>
      <x:c r="F190" s="89" t="n">
        <x:v>45428.99951388889</x:v>
      </x:c>
      <x:c r="G190" s="89" t="n">
        <x:v>45440.99951388889</x:v>
      </x:c>
      <x:c r="H190" s="89" t="n">
        <x:v>45431.49951388889</x:v>
      </x:c>
      <x:c r="I190" s="89" t="n">
        <x:v>45431.83284722222</x:v>
      </x:c>
      <x:c r="J190" s="84" t="str">
        <x:v>Alta</x:v>
      </x:c>
      <x:c r="K190" s="84" t="str">
        <x:v>Encerrada</x:v>
      </x:c>
      <x:c r="L190" s="84" t="str">
        <x:v>Falha elétrica</x:v>
      </x:c>
      <x:c r="M190" s="84" t="str">
        <x:v>Falta de lubrificação</x:v>
      </x:c>
      <x:c r="N190" s="84" t="str">
        <x:v>Componente ajustado ou substituído</x:v>
      </x:c>
      <x:c r="O190" s="84" t="n">
        <x:v>0</x:v>
      </x:c>
      <x:c r="P190" s="93" t="n">
        <x:v>63.69</x:v>
      </x:c>
      <x:c r="Q190" s="93" t="n">
        <x:v>10637.9</x:v>
      </x:c>
      <x:c r="R190" s="91" t="n">
        <x:v>0</x:v>
      </x:c>
    </x:row>
    <x:row r="191">
      <x:c r="A191" s="83" t="n">
        <x:v>190</x:v>
      </x:c>
      <x:c r="B191" s="84" t="str">
        <x:v>OS-2023-00190</x:v>
      </x:c>
      <x:c r="C191" s="84" t="n">
        <x:v>26</x:v>
      </x:c>
      <x:c r="D191" s="84" t="n">
        <x:v>1</x:v>
      </x:c>
      <x:c r="E191" s="84" t="n">
        <x:v>51</x:v>
      </x:c>
      <x:c r="F191" s="89" t="n">
        <x:v>45004.00818287037</x:v>
      </x:c>
      <x:c r="G191" s="89" t="n">
        <x:v>45013.00818287037</x:v>
      </x:c>
      <x:c r="H191" s="89" t="n">
        <x:v>45005.174849537034</x:v>
      </x:c>
      <x:c r="I191" s="89" t="n">
        <x:v>45005.25818287037</x:v>
      </x:c>
      <x:c r="J191" s="84" t="str">
        <x:v>Crítica</x:v>
      </x:c>
      <x:c r="K191" s="84" t="str">
        <x:v>Encerrada</x:v>
      </x:c>
      <x:c r="L191" s="84" t="str">
        <x:v>Superaquecimento</x:v>
      </x:c>
      <x:c r="M191" s="84" t="str">
        <x:v>Falta de lubrificação</x:v>
      </x:c>
      <x:c r="N191" s="84" t="str">
        <x:v>Componente ajustado ou substituído</x:v>
      </x:c>
      <x:c r="O191" s="84" t="n">
        <x:v>0</x:v>
      </x:c>
      <x:c r="P191" s="93" t="n">
        <x:v>730.22</x:v>
      </x:c>
      <x:c r="Q191" s="93" t="n">
        <x:v>0</x:v>
      </x:c>
      <x:c r="R191" s="91" t="n">
        <x:v>0</x:v>
      </x:c>
    </x:row>
    <x:row r="192">
      <x:c r="A192" s="83" t="n">
        <x:v>191</x:v>
      </x:c>
      <x:c r="B192" s="84" t="str">
        <x:v>OS-2023-00191</x:v>
      </x:c>
      <x:c r="C192" s="84" t="n">
        <x:v>64</x:v>
      </x:c>
      <x:c r="D192" s="84" t="n">
        <x:v>5</x:v>
      </x:c>
      <x:c r="E192" s="84" t="n">
        <x:v>127</x:v>
      </x:c>
      <x:c r="F192" s="89" t="n">
        <x:v>45170.39045138889</x:v>
      </x:c>
      <x:c r="G192" s="89" t="n">
        <x:v>45176.39045138889</x:v>
      </x:c>
      <x:c r="H192" s="89" t="n">
        <x:v>45171.59878472222</x:v>
      </x:c>
      <x:c r="I192" s="89" t="n">
        <x:v>45171.682118055556</x:v>
      </x:c>
      <x:c r="J192" s="84" t="str">
        <x:v>Alta</x:v>
      </x:c>
      <x:c r="K192" s="84" t="str">
        <x:v>Encerrada</x:v>
      </x:c>
      <x:c r="L192" s="84" t="str">
        <x:v>Superaquecimento</x:v>
      </x:c>
      <x:c r="M192" s="84" t="str">
        <x:v>Contaminação</x:v>
      </x:c>
      <x:c r="N192" s="84" t="str">
        <x:v>Componente ajustado ou substituído</x:v>
      </x:c>
      <x:c r="O192" s="84" t="n">
        <x:v>0</x:v>
      </x:c>
      <x:c r="P192" s="93" t="n">
        <x:v>350.88</x:v>
      </x:c>
      <x:c r="Q192" s="93" t="n">
        <x:v>9387.68</x:v>
      </x:c>
      <x:c r="R192" s="91" t="n">
        <x:v>0</x:v>
      </x:c>
    </x:row>
    <x:row r="193">
      <x:c r="A193" s="83" t="n">
        <x:v>192</x:v>
      </x:c>
      <x:c r="B193" s="84" t="str">
        <x:v>OS-2025-00192</x:v>
      </x:c>
      <x:c r="C193" s="84" t="n">
        <x:v>26</x:v>
      </x:c>
      <x:c r="D193" s="84" t="n">
        <x:v>7</x:v>
      </x:c>
      <x:c r="E193" s="84" t="n">
        <x:v>52</x:v>
      </x:c>
      <x:c r="F193" s="89" t="n">
        <x:v>45938.102789351855</x:v>
      </x:c>
      <x:c r="G193" s="89" t="n">
        <x:v>45952.102789351855</x:v>
      </x:c>
      <x:c r="H193" s="89" t="n">
        <x:v>45940.43612268518</x:v>
      </x:c>
      <x:c r="I193" s="89" t="n">
        <x:v>45941.26945601852</x:v>
      </x:c>
      <x:c r="J193" s="84" t="str">
        <x:v>Média</x:v>
      </x:c>
      <x:c r="K193" s="84" t="str">
        <x:v>Concluída</x:v>
      </x:c>
      <x:c r="L193" s="84" t="str">
        <x:v>Baixa pressão</x:v>
      </x:c>
      <x:c r="M193" s="84" t="str">
        <x:v>Componente danificado</x:v>
      </x:c>
      <x:c r="N193" s="84" t="str">
        <x:v>Componente ajustado ou substituído</x:v>
      </x:c>
      <x:c r="O193" s="84" t="n">
        <x:v>0</x:v>
      </x:c>
      <x:c r="P193" s="93" t="n">
        <x:v>184.34</x:v>
      </x:c>
      <x:c r="Q193" s="93" t="n">
        <x:v>8611.04</x:v>
      </x:c>
      <x:c r="R193" s="91" t="n">
        <x:v>0</x:v>
      </x:c>
    </x:row>
    <x:row r="194">
      <x:c r="A194" s="83" t="n">
        <x:v>193</x:v>
      </x:c>
      <x:c r="B194" s="84" t="str">
        <x:v>OS-2023-00193</x:v>
      </x:c>
      <x:c r="C194" s="84" t="n">
        <x:v>51</x:v>
      </x:c>
      <x:c r="D194" s="84" t="n">
        <x:v>1</x:v>
      </x:c>
      <x:c r="E194" s="84" t="n">
        <x:v>101</x:v>
      </x:c>
      <x:c r="F194" s="89" t="n">
        <x:v>45062.16097222222</x:v>
      </x:c>
      <x:c r="G194" s="89" t="n">
        <x:v>45067.16097222222</x:v>
      </x:c>
      <x:c r="H194" s="89" t="n">
        <x:v>45063.45263888889</x:v>
      </x:c>
      <x:c r="I194" s="89" t="n">
        <x:v>45063.78597222222</x:v>
      </x:c>
      <x:c r="J194" s="84" t="str">
        <x:v>Alta</x:v>
      </x:c>
      <x:c r="K194" s="84" t="str">
        <x:v>Encerrada</x:v>
      </x:c>
      <x:c r="L194" s="84" t="str">
        <x:v>Ruído anormal</x:v>
      </x:c>
      <x:c r="M194" s="84" t="str">
        <x:v>Contaminação</x:v>
      </x:c>
      <x:c r="N194" s="84" t="str">
        <x:v>Componente ajustado ou substituído</x:v>
      </x:c>
      <x:c r="O194" s="84" t="n">
        <x:v>0</x:v>
      </x:c>
      <x:c r="P194" s="93" t="n">
        <x:v>426.49</x:v>
      </x:c>
      <x:c r="Q194" s="93" t="n">
        <x:v>2618.99</x:v>
      </x:c>
      <x:c r="R194" s="91" t="n">
        <x:v>0</x:v>
      </x:c>
    </x:row>
    <x:row r="195">
      <x:c r="A195" s="83" t="n">
        <x:v>194</x:v>
      </x:c>
      <x:c r="B195" s="84" t="str">
        <x:v>OS-2025-00194</x:v>
      </x:c>
      <x:c r="C195" s="84" t="n">
        <x:v>60</x:v>
      </x:c>
      <x:c r="D195" s="84" t="n">
        <x:v>4</x:v>
      </x:c>
      <x:c r="E195" s="84"/>
      <x:c r="F195" s="89" t="n">
        <x:v>45908.021157407406</x:v>
      </x:c>
      <x:c r="G195" s="89" t="n">
        <x:v>45920.021157407406</x:v>
      </x:c>
      <x:c r="H195" s="89" t="n">
        <x:v>45908.10449074074</x:v>
      </x:c>
      <x:c r="I195" s="89" t="n">
        <x:v>45908.771157407406</x:v>
      </x:c>
      <x:c r="J195" s="84" t="str">
        <x:v>Crítica</x:v>
      </x:c>
      <x:c r="K195" s="84" t="str">
        <x:v>Concluída</x:v>
      </x:c>
      <x:c r="L195" s="84" t="str">
        <x:v>Alarme intermitente</x:v>
      </x:c>
      <x:c r="M195" s="84" t="str">
        <x:v>Desgaste natural</x:v>
      </x:c>
      <x:c r="N195" s="84" t="str">
        <x:v>Componente ajustado ou substituído</x:v>
      </x:c>
      <x:c r="O195" s="84" t="n">
        <x:v>0</x:v>
      </x:c>
      <x:c r="P195" s="93" t="n">
        <x:v>119.87</x:v>
      </x:c>
      <x:c r="Q195" s="93" t="n">
        <x:v>1983.52</x:v>
      </x:c>
      <x:c r="R195" s="91" t="n">
        <x:v>0</x:v>
      </x:c>
    </x:row>
    <x:row r="196">
      <x:c r="A196" s="83" t="n">
        <x:v>195</x:v>
      </x:c>
      <x:c r="B196" s="84" t="str">
        <x:v>OS-2024-00195</x:v>
      </x:c>
      <x:c r="C196" s="84" t="n">
        <x:v>30</x:v>
      </x:c>
      <x:c r="D196" s="84" t="n">
        <x:v>2</x:v>
      </x:c>
      <x:c r="E196" s="84"/>
      <x:c r="F196" s="89" t="n">
        <x:v>45450.207453703704</x:v>
      </x:c>
      <x:c r="G196" s="89" t="n">
        <x:v>45452.207453703704</x:v>
      </x:c>
      <x:c r="H196" s="89"/>
      <x:c r="I196" s="89"/>
      <x:c r="J196" s="84" t="str">
        <x:v>Baixa</x:v>
      </x:c>
      <x:c r="K196" s="84" t="str">
        <x:v>Planejada</x:v>
      </x:c>
      <x:c r="L196" s="84" t="str">
        <x:v>Desalinhamento</x:v>
      </x:c>
      <x:c r="M196" s="84"/>
      <x:c r="N196" s="84"/>
      <x:c r="O196" s="84" t="n">
        <x:v>0</x:v>
      </x:c>
      <x:c r="P196" s="93" t="n">
        <x:v>0</x:v>
      </x:c>
      <x:c r="Q196" s="93" t="n">
        <x:v>0</x:v>
      </x:c>
      <x:c r="R196" s="91" t="n">
        <x:v>0</x:v>
      </x:c>
    </x:row>
    <x:row r="197">
      <x:c r="A197" s="83" t="n">
        <x:v>196</x:v>
      </x:c>
      <x:c r="B197" s="84" t="str">
        <x:v>OS-2024-00196</x:v>
      </x:c>
      <x:c r="C197" s="84" t="n">
        <x:v>54</x:v>
      </x:c>
      <x:c r="D197" s="84" t="n">
        <x:v>2</x:v>
      </x:c>
      <x:c r="E197" s="84"/>
      <x:c r="F197" s="89" t="n">
        <x:v>45334.786099537036</x:v>
      </x:c>
      <x:c r="G197" s="89" t="n">
        <x:v>45346.786099537036</x:v>
      </x:c>
      <x:c r="H197" s="89" t="n">
        <x:v>45335.61943287037</x:v>
      </x:c>
      <x:c r="I197" s="89" t="n">
        <x:v>45335.82776620371</x:v>
      </x:c>
      <x:c r="J197" s="84" t="str">
        <x:v>Baixa</x:v>
      </x:c>
      <x:c r="K197" s="84" t="str">
        <x:v>Encerrada</x:v>
      </x:c>
      <x:c r="L197" s="84" t="str">
        <x:v>Superaquecimento</x:v>
      </x:c>
      <x:c r="M197" s="84" t="str">
        <x:v>Componente danificado</x:v>
      </x:c>
      <x:c r="N197" s="84" t="str">
        <x:v>Componente ajustado ou substituído</x:v>
      </x:c>
      <x:c r="O197" s="84" t="n">
        <x:v>0</x:v>
      </x:c>
      <x:c r="P197" s="93" t="n">
        <x:v>514.86</x:v>
      </x:c>
      <x:c r="Q197" s="93" t="n">
        <x:v>9312.71</x:v>
      </x:c>
      <x:c r="R197" s="91" t="n">
        <x:v>0</x:v>
      </x:c>
    </x:row>
    <x:row r="198">
      <x:c r="A198" s="83" t="n">
        <x:v>197</x:v>
      </x:c>
      <x:c r="B198" s="84" t="str">
        <x:v>OS-2025-00197</x:v>
      </x:c>
      <x:c r="C198" s="84" t="n">
        <x:v>78</x:v>
      </x:c>
      <x:c r="D198" s="84" t="n">
        <x:v>7</x:v>
      </x:c>
      <x:c r="E198" s="84" t="n">
        <x:v>155</x:v>
      </x:c>
      <x:c r="F198" s="89" t="n">
        <x:v>46002.11804398148</x:v>
      </x:c>
      <x:c r="G198" s="89" t="n">
        <x:v>46015.11804398148</x:v>
      </x:c>
      <x:c r="H198" s="89" t="n">
        <x:v>46004.90971064815</x:v>
      </x:c>
      <x:c r="I198" s="89" t="n">
        <x:v>46005.576377314814</x:v>
      </x:c>
      <x:c r="J198" s="84" t="str">
        <x:v>Alta</x:v>
      </x:c>
      <x:c r="K198" s="84" t="str">
        <x:v>Concluída</x:v>
      </x:c>
      <x:c r="L198" s="84" t="str">
        <x:v>Alarme intermitente</x:v>
      </x:c>
      <x:c r="M198" s="84" t="str">
        <x:v>Conexão frouxa</x:v>
      </x:c>
      <x:c r="N198" s="84" t="str">
        <x:v>Componente ajustado ou substituído</x:v>
      </x:c>
      <x:c r="O198" s="84" t="n">
        <x:v>0</x:v>
      </x:c>
      <x:c r="P198" s="93" t="n">
        <x:v>204.92</x:v>
      </x:c>
      <x:c r="Q198" s="93" t="n">
        <x:v>13822.8</x:v>
      </x:c>
      <x:c r="R198" s="91" t="n">
        <x:v>0</x:v>
      </x:c>
    </x:row>
    <x:row r="199">
      <x:c r="A199" s="83" t="n">
        <x:v>198</x:v>
      </x:c>
      <x:c r="B199" s="84" t="str">
        <x:v>OS-2023-00198</x:v>
      </x:c>
      <x:c r="C199" s="84" t="n">
        <x:v>80</x:v>
      </x:c>
      <x:c r="D199" s="84" t="n">
        <x:v>6</x:v>
      </x:c>
      <x:c r="E199" s="84"/>
      <x:c r="F199" s="89" t="n">
        <x:v>45081.422106481485</x:v>
      </x:c>
      <x:c r="G199" s="89" t="n">
        <x:v>45085.422106481485</x:v>
      </x:c>
      <x:c r="H199" s="89" t="n">
        <x:v>45083.13043981481</x:v>
      </x:c>
      <x:c r="I199" s="89" t="n">
        <x:v>45083.547106481485</x:v>
      </x:c>
      <x:c r="J199" s="84" t="str">
        <x:v>Baixa</x:v>
      </x:c>
      <x:c r="K199" s="84" t="str">
        <x:v>Encerrada</x:v>
      </x:c>
      <x:c r="L199" s="84" t="str">
        <x:v>Falha elétrica</x:v>
      </x:c>
      <x:c r="M199" s="84" t="str">
        <x:v>Contaminação</x:v>
      </x:c>
      <x:c r="N199" s="84" t="str">
        <x:v>Componente ajustado ou substituído</x:v>
      </x:c>
      <x:c r="O199" s="84" t="n">
        <x:v>0</x:v>
      </x:c>
      <x:c r="P199" s="93" t="n">
        <x:v>289.79</x:v>
      </x:c>
      <x:c r="Q199" s="93" t="n">
        <x:v>14775.32</x:v>
      </x:c>
      <x:c r="R199" s="91" t="n">
        <x:v>0</x:v>
      </x:c>
    </x:row>
    <x:row r="200">
      <x:c r="A200" s="83" t="n">
        <x:v>199</x:v>
      </x:c>
      <x:c r="B200" s="84" t="str">
        <x:v>OS-2023-00199</x:v>
      </x:c>
      <x:c r="C200" s="84" t="n">
        <x:v>38</x:v>
      </x:c>
      <x:c r="D200" s="84" t="n">
        <x:v>3</x:v>
      </x:c>
      <x:c r="E200" s="84"/>
      <x:c r="F200" s="89" t="n">
        <x:v>45252.358935185184</x:v>
      </x:c>
      <x:c r="G200" s="89"/>
      <x:c r="H200" s="89" t="n">
        <x:v>45252.733935185184</x:v>
      </x:c>
      <x:c r="I200" s="89" t="n">
        <x:v>45253.483935185184</x:v>
      </x:c>
      <x:c r="J200" s="84" t="str">
        <x:v>Alta</x:v>
      </x:c>
      <x:c r="K200" s="84" t="str">
        <x:v>Concluída</x:v>
      </x:c>
      <x:c r="L200" s="84" t="str">
        <x:v>Vazamento</x:v>
      </x:c>
      <x:c r="M200" s="84" t="str">
        <x:v>Falta de lubrificação</x:v>
      </x:c>
      <x:c r="N200" s="84" t="str">
        <x:v>Componente ajustado ou substituído</x:v>
      </x:c>
      <x:c r="O200" s="84" t="n">
        <x:v>0</x:v>
      </x:c>
      <x:c r="P200" s="93" t="n">
        <x:v>310.21</x:v>
      </x:c>
      <x:c r="Q200" s="93" t="n">
        <x:v>0</x:v>
      </x:c>
      <x:c r="R200" s="91" t="n">
        <x:v>0</x:v>
      </x:c>
    </x:row>
    <x:row r="201">
      <x:c r="A201" s="83" t="n">
        <x:v>200</x:v>
      </x:c>
      <x:c r="B201" s="84" t="str">
        <x:v>OS-2025-00200</x:v>
      </x:c>
      <x:c r="C201" s="84" t="n">
        <x:v>49</x:v>
      </x:c>
      <x:c r="D201" s="84" t="n">
        <x:v>3</x:v>
      </x:c>
      <x:c r="E201" s="84"/>
      <x:c r="F201" s="89" t="n">
        <x:v>45814.67366898148</x:v>
      </x:c>
      <x:c r="G201" s="89"/>
      <x:c r="H201" s="89"/>
      <x:c r="I201" s="89"/>
      <x:c r="J201" s="84" t="str">
        <x:v>Média</x:v>
      </x:c>
      <x:c r="K201" s="84" t="str">
        <x:v>Cancelada</x:v>
      </x:c>
      <x:c r="L201" s="84" t="str">
        <x:v>Superaquecimento</x:v>
      </x:c>
      <x:c r="M201" s="84"/>
      <x:c r="N201" s="84"/>
      <x:c r="O201" s="84" t="n">
        <x:v>0</x:v>
      </x:c>
      <x:c r="P201" s="93" t="n">
        <x:v>0</x:v>
      </x:c>
      <x:c r="Q201" s="93" t="n">
        <x:v>0</x:v>
      </x:c>
      <x:c r="R201" s="91" t="n">
        <x:v>0</x:v>
      </x:c>
    </x:row>
    <x:row r="202">
      <x:c r="A202" s="83" t="n">
        <x:v>201</x:v>
      </x:c>
      <x:c r="B202" s="84" t="str">
        <x:v>OS-2023-00201</x:v>
      </x:c>
      <x:c r="C202" s="84" t="n">
        <x:v>29</x:v>
      </x:c>
      <x:c r="D202" s="84" t="n">
        <x:v>4</x:v>
      </x:c>
      <x:c r="E202" s="84"/>
      <x:c r="F202" s="89" t="n">
        <x:v>45248.82650462963</x:v>
      </x:c>
      <x:c r="G202" s="89" t="n">
        <x:v>45249.82650462963</x:v>
      </x:c>
      <x:c r="H202" s="89" t="n">
        <x:v>45248.909837962965</x:v>
      </x:c>
      <x:c r="I202" s="89" t="n">
        <x:v>45249.24317129629</x:v>
      </x:c>
      <x:c r="J202" s="84" t="str">
        <x:v>Alta</x:v>
      </x:c>
      <x:c r="K202" s="84" t="str">
        <x:v>Encerrada</x:v>
      </x:c>
      <x:c r="L202" s="84" t="str">
        <x:v>Baixa pressão</x:v>
      </x:c>
      <x:c r="M202" s="84" t="str">
        <x:v>Conexão frouxa</x:v>
      </x:c>
      <x:c r="N202" s="84" t="str">
        <x:v>Componente ajustado ou substituído</x:v>
      </x:c>
      <x:c r="O202" s="84" t="n">
        <x:v>0</x:v>
      </x:c>
      <x:c r="P202" s="93" t="n">
        <x:v>121.14</x:v>
      </x:c>
      <x:c r="Q202" s="93" t="n">
        <x:v>0</x:v>
      </x:c>
      <x:c r="R202" s="91" t="n">
        <x:v>7790.46</x:v>
      </x:c>
    </x:row>
    <x:row r="203">
      <x:c r="A203" s="83" t="n">
        <x:v>202</x:v>
      </x:c>
      <x:c r="B203" s="84" t="str">
        <x:v>OS-2024-00202</x:v>
      </x:c>
      <x:c r="C203" s="84" t="n">
        <x:v>77</x:v>
      </x:c>
      <x:c r="D203" s="84" t="n">
        <x:v>4</x:v>
      </x:c>
      <x:c r="E203" s="84"/>
      <x:c r="F203" s="89" t="n">
        <x:v>45504.43418981481</x:v>
      </x:c>
      <x:c r="G203" s="89" t="n">
        <x:v>45504.43418981481</x:v>
      </x:c>
      <x:c r="H203" s="89"/>
      <x:c r="I203" s="89"/>
      <x:c r="J203" s="84" t="str">
        <x:v>Alta</x:v>
      </x:c>
      <x:c r="K203" s="84" t="str">
        <x:v>Cancelada</x:v>
      </x:c>
      <x:c r="L203" s="84" t="str">
        <x:v>Vazamento</x:v>
      </x:c>
      <x:c r="M203" s="84"/>
      <x:c r="N203" s="84"/>
      <x:c r="O203" s="84" t="n">
        <x:v>0</x:v>
      </x:c>
      <x:c r="P203" s="93" t="n">
        <x:v>0</x:v>
      </x:c>
      <x:c r="Q203" s="93" t="n">
        <x:v>0</x:v>
      </x:c>
      <x:c r="R203" s="91" t="n">
        <x:v>0</x:v>
      </x:c>
    </x:row>
    <x:row r="204">
      <x:c r="A204" s="83" t="n">
        <x:v>203</x:v>
      </x:c>
      <x:c r="B204" s="84" t="str">
        <x:v>OS-2023-00203</x:v>
      </x:c>
      <x:c r="C204" s="84" t="n">
        <x:v>11</x:v>
      </x:c>
      <x:c r="D204" s="84" t="n">
        <x:v>2</x:v>
      </x:c>
      <x:c r="E204" s="84"/>
      <x:c r="F204" s="89" t="n">
        <x:v>45127.504699074074</x:v>
      </x:c>
      <x:c r="G204" s="89" t="n">
        <x:v>45138.504699074074</x:v>
      </x:c>
      <x:c r="H204" s="89"/>
      <x:c r="I204" s="89"/>
      <x:c r="J204" s="84" t="str">
        <x:v>Baixa</x:v>
      </x:c>
      <x:c r="K204" s="84" t="str">
        <x:v>Planejada</x:v>
      </x:c>
      <x:c r="L204" s="84" t="str">
        <x:v>Desalinhamento</x:v>
      </x:c>
      <x:c r="M204" s="84"/>
      <x:c r="N204" s="84"/>
      <x:c r="O204" s="84" t="n">
        <x:v>0</x:v>
      </x:c>
      <x:c r="P204" s="93" t="n">
        <x:v>0</x:v>
      </x:c>
      <x:c r="Q204" s="93" t="n">
        <x:v>0</x:v>
      </x:c>
      <x:c r="R204" s="91" t="n">
        <x:v>0</x:v>
      </x:c>
    </x:row>
    <x:row r="205">
      <x:c r="A205" s="83" t="n">
        <x:v>204</x:v>
      </x:c>
      <x:c r="B205" s="84" t="str">
        <x:v>OS-2025-00204</x:v>
      </x:c>
      <x:c r="C205" s="84" t="n">
        <x:v>59</x:v>
      </x:c>
      <x:c r="D205" s="84" t="n">
        <x:v>1</x:v>
      </x:c>
      <x:c r="E205" s="84" t="n">
        <x:v>118</x:v>
      </x:c>
      <x:c r="F205" s="89" t="n">
        <x:v>45943.14225694445</x:v>
      </x:c>
      <x:c r="G205" s="89" t="n">
        <x:v>45943.14225694445</x:v>
      </x:c>
      <x:c r="H205" s="89" t="n">
        <x:v>45944.39225694445</x:v>
      </x:c>
      <x:c r="I205" s="89" t="n">
        <x:v>45945.05892361111</x:v>
      </x:c>
      <x:c r="J205" s="84" t="str">
        <x:v>Crítica</x:v>
      </x:c>
      <x:c r="K205" s="84" t="str">
        <x:v>Concluída</x:v>
      </x:c>
      <x:c r="L205" s="84" t="str">
        <x:v>Ruído anormal</x:v>
      </x:c>
      <x:c r="M205" s="84" t="str">
        <x:v>Desgaste natural</x:v>
      </x:c>
      <x:c r="N205" s="84" t="str">
        <x:v>Componente ajustado ou substituído</x:v>
      </x:c>
      <x:c r="O205" s="84" t="n">
        <x:v>0</x:v>
      </x:c>
      <x:c r="P205" s="93" t="n">
        <x:v>277.16</x:v>
      </x:c>
      <x:c r="Q205" s="93" t="n">
        <x:v>4495.9</x:v>
      </x:c>
      <x:c r="R205" s="91" t="n">
        <x:v>0</x:v>
      </x:c>
    </x:row>
    <x:row r="206">
      <x:c r="A206" s="83" t="n">
        <x:v>205</x:v>
      </x:c>
      <x:c r="B206" s="84" t="str">
        <x:v>OS-2023-00205</x:v>
      </x:c>
      <x:c r="C206" s="84" t="n">
        <x:v>32</x:v>
      </x:c>
      <x:c r="D206" s="84" t="n">
        <x:v>1</x:v>
      </x:c>
      <x:c r="E206" s="84" t="n">
        <x:v>63</x:v>
      </x:c>
      <x:c r="F206" s="89" t="n">
        <x:v>45011.3396875</x:v>
      </x:c>
      <x:c r="G206" s="89" t="n">
        <x:v>45023.3396875</x:v>
      </x:c>
      <x:c r="H206" s="89" t="n">
        <x:v>45012.17302083333</x:v>
      </x:c>
      <x:c r="I206" s="89" t="n">
        <x:v>45012.88135416667</x:v>
      </x:c>
      <x:c r="J206" s="84" t="str">
        <x:v>Alta</x:v>
      </x:c>
      <x:c r="K206" s="84" t="str">
        <x:v>Encerrada</x:v>
      </x:c>
      <x:c r="L206" s="84" t="str">
        <x:v>Desalinhamento</x:v>
      </x:c>
      <x:c r="M206" s="84" t="str">
        <x:v>Contaminação</x:v>
      </x:c>
      <x:c r="N206" s="84" t="str">
        <x:v>Componente ajustado ou substituído</x:v>
      </x:c>
      <x:c r="O206" s="84" t="n">
        <x:v>0</x:v>
      </x:c>
      <x:c r="P206" s="93" t="n">
        <x:v>210.68</x:v>
      </x:c>
      <x:c r="Q206" s="93" t="n">
        <x:v>2991.11</x:v>
      </x:c>
      <x:c r="R206" s="91" t="n">
        <x:v>0</x:v>
      </x:c>
    </x:row>
    <x:row r="207">
      <x:c r="A207" s="83" t="n">
        <x:v>206</x:v>
      </x:c>
      <x:c r="B207" s="84" t="str">
        <x:v>OS-2024-00206</x:v>
      </x:c>
      <x:c r="C207" s="84" t="n">
        <x:v>63</x:v>
      </x:c>
      <x:c r="D207" s="84" t="n">
        <x:v>2</x:v>
      </x:c>
      <x:c r="E207" s="84"/>
      <x:c r="F207" s="89" t="n">
        <x:v>45446.35057870371</x:v>
      </x:c>
      <x:c r="G207" s="89" t="n">
        <x:v>45458.35057870371</x:v>
      </x:c>
      <x:c r="H207" s="89"/>
      <x:c r="I207" s="89"/>
      <x:c r="J207" s="84" t="str">
        <x:v>Média</x:v>
      </x:c>
      <x:c r="K207" s="84" t="str">
        <x:v>Planejada</x:v>
      </x:c>
      <x:c r="L207" s="84" t="str">
        <x:v>Ruído anormal</x:v>
      </x:c>
      <x:c r="M207" s="84"/>
      <x:c r="N207" s="84"/>
      <x:c r="O207" s="84" t="n">
        <x:v>0</x:v>
      </x:c>
      <x:c r="P207" s="93" t="n">
        <x:v>0</x:v>
      </x:c>
      <x:c r="Q207" s="93" t="n">
        <x:v>0</x:v>
      </x:c>
      <x:c r="R207" s="91" t="n">
        <x:v>0</x:v>
      </x:c>
    </x:row>
    <x:row r="208">
      <x:c r="A208" s="83" t="n">
        <x:v>207</x:v>
      </x:c>
      <x:c r="B208" s="84" t="str">
        <x:v>OS-2025-00207</x:v>
      </x:c>
      <x:c r="C208" s="84" t="n">
        <x:v>44</x:v>
      </x:c>
      <x:c r="D208" s="84" t="n">
        <x:v>1</x:v>
      </x:c>
      <x:c r="E208" s="84" t="n">
        <x:v>87</x:v>
      </x:c>
      <x:c r="F208" s="89" t="n">
        <x:v>45775.589791666665</x:v>
      </x:c>
      <x:c r="G208" s="89" t="n">
        <x:v>45783.589791666665</x:v>
      </x:c>
      <x:c r="H208" s="89" t="n">
        <x:v>45777.63145833334</x:v>
      </x:c>
      <x:c r="I208" s="89" t="n">
        <x:v>45777.714791666665</x:v>
      </x:c>
      <x:c r="J208" s="84" t="str">
        <x:v>Baixa</x:v>
      </x:c>
      <x:c r="K208" s="84" t="str">
        <x:v>Encerrada</x:v>
      </x:c>
      <x:c r="L208" s="84" t="str">
        <x:v>Ruído anormal</x:v>
      </x:c>
      <x:c r="M208" s="84" t="str">
        <x:v>Conexão frouxa</x:v>
      </x:c>
      <x:c r="N208" s="84" t="str">
        <x:v>Componente ajustado ou substituído</x:v>
      </x:c>
      <x:c r="O208" s="84" t="n">
        <x:v>0</x:v>
      </x:c>
      <x:c r="P208" s="93" t="n">
        <x:v>283.07</x:v>
      </x:c>
      <x:c r="Q208" s="93" t="n">
        <x:v>6714.29</x:v>
      </x:c>
      <x:c r="R208" s="91" t="n">
        <x:v>0</x:v>
      </x:c>
    </x:row>
    <x:row r="209">
      <x:c r="A209" s="83" t="n">
        <x:v>208</x:v>
      </x:c>
      <x:c r="B209" s="84" t="str">
        <x:v>OS-2025-00208</x:v>
      </x:c>
      <x:c r="C209" s="84" t="n">
        <x:v>32</x:v>
      </x:c>
      <x:c r="D209" s="84" t="n">
        <x:v>7</x:v>
      </x:c>
      <x:c r="E209" s="84" t="n">
        <x:v>63</x:v>
      </x:c>
      <x:c r="F209" s="89" t="n">
        <x:v>45843.96244212963</x:v>
      </x:c>
      <x:c r="G209" s="89" t="n">
        <x:v>45845.96244212963</x:v>
      </x:c>
      <x:c r="H209" s="89" t="n">
        <x:v>45844.17077546296</x:v>
      </x:c>
      <x:c r="I209" s="89"/>
      <x:c r="J209" s="84" t="str">
        <x:v>Baixa</x:v>
      </x:c>
      <x:c r="K209" s="84" t="str">
        <x:v>Aguardando peça</x:v>
      </x:c>
      <x:c r="L209" s="84" t="str">
        <x:v>Vazamento</x:v>
      </x:c>
      <x:c r="M209" s="84" t="str">
        <x:v>Falta de lubrificação</x:v>
      </x:c>
      <x:c r="N209" s="84"/>
      <x:c r="O209" s="84" t="n">
        <x:v>0</x:v>
      </x:c>
      <x:c r="P209" s="93" t="n">
        <x:v>114.48</x:v>
      </x:c>
      <x:c r="Q209" s="93" t="n">
        <x:v>0</x:v>
      </x:c>
      <x:c r="R209" s="91" t="n">
        <x:v>0</x:v>
      </x:c>
    </x:row>
    <x:row r="210">
      <x:c r="A210" s="83" t="n">
        <x:v>209</x:v>
      </x:c>
      <x:c r="B210" s="84" t="str">
        <x:v>OS-2023-00209</x:v>
      </x:c>
      <x:c r="C210" s="84" t="n">
        <x:v>1</x:v>
      </x:c>
      <x:c r="D210" s="84" t="n">
        <x:v>5</x:v>
      </x:c>
      <x:c r="E210" s="84" t="n">
        <x:v>1</x:v>
      </x:c>
      <x:c r="F210" s="89" t="n">
        <x:v>44942.27337962963</x:v>
      </x:c>
      <x:c r="G210" s="89" t="n">
        <x:v>44952.27337962963</x:v>
      </x:c>
      <x:c r="H210" s="89" t="n">
        <x:v>44943.815046296295</x:v>
      </x:c>
      <x:c r="I210" s="89" t="n">
        <x:v>44944.10671296297</x:v>
      </x:c>
      <x:c r="J210" s="84" t="str">
        <x:v>Crítica</x:v>
      </x:c>
      <x:c r="K210" s="84" t="str">
        <x:v>Encerrada</x:v>
      </x:c>
      <x:c r="L210" s="84" t="str">
        <x:v>Superaquecimento</x:v>
      </x:c>
      <x:c r="M210" s="84" t="str">
        <x:v>Ajuste incorreto</x:v>
      </x:c>
      <x:c r="N210" s="84" t="str">
        <x:v>Componente ajustado ou substituído</x:v>
      </x:c>
      <x:c r="O210" s="84" t="n">
        <x:v>0</x:v>
      </x:c>
      <x:c r="P210" s="93" t="n">
        <x:v>340.62</x:v>
      </x:c>
      <x:c r="Q210" s="93" t="n">
        <x:v>5218.8</x:v>
      </x:c>
      <x:c r="R210" s="91" t="n">
        <x:v>0</x:v>
      </x:c>
    </x:row>
    <x:row r="211">
      <x:c r="A211" s="83" t="n">
        <x:v>210</x:v>
      </x:c>
      <x:c r="B211" s="84" t="str">
        <x:v>OS-2024-00210</x:v>
      </x:c>
      <x:c r="C211" s="84" t="n">
        <x:v>3</x:v>
      </x:c>
      <x:c r="D211" s="84" t="n">
        <x:v>3</x:v>
      </x:c>
      <x:c r="E211" s="84"/>
      <x:c r="F211" s="89" t="n">
        <x:v>45645.67932870371</x:v>
      </x:c>
      <x:c r="G211" s="89"/>
      <x:c r="H211" s="89" t="n">
        <x:v>45647.887662037036</x:v>
      </x:c>
      <x:c r="I211" s="89" t="n">
        <x:v>45648.34599537037</x:v>
      </x:c>
      <x:c r="J211" s="84" t="str">
        <x:v>Baixa</x:v>
      </x:c>
      <x:c r="K211" s="84" t="str">
        <x:v>Encerrada</x:v>
      </x:c>
      <x:c r="L211" s="84" t="str">
        <x:v>Desalinhamento</x:v>
      </x:c>
      <x:c r="M211" s="84" t="str">
        <x:v>Desgaste natural</x:v>
      </x:c>
      <x:c r="N211" s="84" t="str">
        <x:v>Componente ajustado ou substituído</x:v>
      </x:c>
      <x:c r="O211" s="84" t="n">
        <x:v>0</x:v>
      </x:c>
      <x:c r="P211" s="93" t="n">
        <x:v>293.34</x:v>
      </x:c>
      <x:c r="Q211" s="93" t="n">
        <x:v>7253</x:v>
      </x:c>
      <x:c r="R211" s="91" t="n">
        <x:v>0</x:v>
      </x:c>
    </x:row>
    <x:row r="212">
      <x:c r="A212" s="83" t="n">
        <x:v>211</x:v>
      </x:c>
      <x:c r="B212" s="84" t="str">
        <x:v>OS-2025-00211</x:v>
      </x:c>
      <x:c r="C212" s="84" t="n">
        <x:v>78</x:v>
      </x:c>
      <x:c r="D212" s="84" t="n">
        <x:v>1</x:v>
      </x:c>
      <x:c r="E212" s="84" t="n">
        <x:v>156</x:v>
      </x:c>
      <x:c r="F212" s="89" t="n">
        <x:v>45865.3362037037</x:v>
      </x:c>
      <x:c r="G212" s="89" t="n">
        <x:v>45873.3362037037</x:v>
      </x:c>
      <x:c r="H212" s="89" t="n">
        <x:v>45867.37787037037</x:v>
      </x:c>
      <x:c r="I212" s="89" t="n">
        <x:v>45867.62787037037</x:v>
      </x:c>
      <x:c r="J212" s="84" t="str">
        <x:v>Crítica</x:v>
      </x:c>
      <x:c r="K212" s="84" t="str">
        <x:v>Encerrada</x:v>
      </x:c>
      <x:c r="L212" s="84" t="str">
        <x:v>Vazamento</x:v>
      </x:c>
      <x:c r="M212" s="84" t="str">
        <x:v>Conexão frouxa</x:v>
      </x:c>
      <x:c r="N212" s="84" t="str">
        <x:v>Componente ajustado ou substituído</x:v>
      </x:c>
      <x:c r="O212" s="84" t="n">
        <x:v>0</x:v>
      </x:c>
      <x:c r="P212" s="93" t="n">
        <x:v>965.47</x:v>
      </x:c>
      <x:c r="Q212" s="93" t="n">
        <x:v>5156.74</x:v>
      </x:c>
      <x:c r="R212" s="91" t="n">
        <x:v>0</x:v>
      </x:c>
    </x:row>
    <x:row r="213">
      <x:c r="A213" s="83" t="n">
        <x:v>212</x:v>
      </x:c>
      <x:c r="B213" s="84" t="str">
        <x:v>OS-2025-00212</x:v>
      </x:c>
      <x:c r="C213" s="84" t="n">
        <x:v>21</x:v>
      </x:c>
      <x:c r="D213" s="84" t="n">
        <x:v>5</x:v>
      </x:c>
      <x:c r="E213" s="84" t="n">
        <x:v>41</x:v>
      </x:c>
      <x:c r="F213" s="89" t="n">
        <x:v>45927.571921296294</x:v>
      </x:c>
      <x:c r="G213" s="89" t="n">
        <x:v>45937.571921296294</x:v>
      </x:c>
      <x:c r="H213" s="89" t="n">
        <x:v>45927.946921296294</x:v>
      </x:c>
      <x:c r="I213" s="89" t="n">
        <x:v>45928.40525462963</x:v>
      </x:c>
      <x:c r="J213" s="84" t="str">
        <x:v>Média</x:v>
      </x:c>
      <x:c r="K213" s="84" t="str">
        <x:v>Concluída</x:v>
      </x:c>
      <x:c r="L213" s="84" t="str">
        <x:v>Vazamento</x:v>
      </x:c>
      <x:c r="M213" s="84" t="str">
        <x:v>Contaminação</x:v>
      </x:c>
      <x:c r="N213" s="84" t="str">
        <x:v>Componente ajustado ou substituído</x:v>
      </x:c>
      <x:c r="O213" s="84" t="n">
        <x:v>0</x:v>
      </x:c>
      <x:c r="P213" s="93" t="n">
        <x:v>317.14</x:v>
      </x:c>
      <x:c r="Q213" s="93" t="n">
        <x:v>0</x:v>
      </x:c>
      <x:c r="R213" s="91" t="n">
        <x:v>0</x:v>
      </x:c>
    </x:row>
    <x:row r="214">
      <x:c r="A214" s="83" t="n">
        <x:v>213</x:v>
      </x:c>
      <x:c r="B214" s="84" t="str">
        <x:v>OS-2025-00213</x:v>
      </x:c>
      <x:c r="C214" s="84" t="n">
        <x:v>47</x:v>
      </x:c>
      <x:c r="D214" s="84" t="n">
        <x:v>1</x:v>
      </x:c>
      <x:c r="E214" s="84" t="n">
        <x:v>94</x:v>
      </x:c>
      <x:c r="F214" s="89" t="n">
        <x:v>45962.42016203704</x:v>
      </x:c>
      <x:c r="G214" s="89" t="n">
        <x:v>45973.42016203704</x:v>
      </x:c>
      <x:c r="H214" s="89"/>
      <x:c r="I214" s="89"/>
      <x:c r="J214" s="84" t="str">
        <x:v>Baixa</x:v>
      </x:c>
      <x:c r="K214" s="84" t="str">
        <x:v>Cancelada</x:v>
      </x:c>
      <x:c r="L214" s="84" t="str">
        <x:v>Superaquecimento</x:v>
      </x:c>
      <x:c r="M214" s="84"/>
      <x:c r="N214" s="84"/>
      <x:c r="O214" s="84" t="n">
        <x:v>0</x:v>
      </x:c>
      <x:c r="P214" s="93" t="n">
        <x:v>0</x:v>
      </x:c>
      <x:c r="Q214" s="93" t="n">
        <x:v>0</x:v>
      </x:c>
      <x:c r="R214" s="91" t="n">
        <x:v>0</x:v>
      </x:c>
    </x:row>
    <x:row r="215">
      <x:c r="A215" s="83" t="n">
        <x:v>214</x:v>
      </x:c>
      <x:c r="B215" s="84" t="str">
        <x:v>OS-2025-00214</x:v>
      </x:c>
      <x:c r="C215" s="84" t="n">
        <x:v>20</x:v>
      </x:c>
      <x:c r="D215" s="84" t="n">
        <x:v>1</x:v>
      </x:c>
      <x:c r="E215" s="84" t="n">
        <x:v>39</x:v>
      </x:c>
      <x:c r="F215" s="89" t="n">
        <x:v>45746.57380787037</x:v>
      </x:c>
      <x:c r="G215" s="89" t="n">
        <x:v>45752.57380787037</x:v>
      </x:c>
      <x:c r="H215" s="89" t="n">
        <x:v>45749.2821412037</x:v>
      </x:c>
      <x:c r="I215" s="89" t="n">
        <x:v>45749.6571412037</x:v>
      </x:c>
      <x:c r="J215" s="84" t="str">
        <x:v>Crítica</x:v>
      </x:c>
      <x:c r="K215" s="84" t="str">
        <x:v>Concluída</x:v>
      </x:c>
      <x:c r="L215" s="84" t="str">
        <x:v>Superaquecimento</x:v>
      </x:c>
      <x:c r="M215" s="84" t="str">
        <x:v>Desgaste natural</x:v>
      </x:c>
      <x:c r="N215" s="84" t="str">
        <x:v>Componente ajustado ou substituído</x:v>
      </x:c>
      <x:c r="O215" s="84" t="n">
        <x:v>0</x:v>
      </x:c>
      <x:c r="P215" s="93" t="n">
        <x:v>157.41</x:v>
      </x:c>
      <x:c r="Q215" s="93" t="n">
        <x:v>892.16</x:v>
      </x:c>
      <x:c r="R215" s="91" t="n">
        <x:v>0</x:v>
      </x:c>
    </x:row>
    <x:row r="216">
      <x:c r="A216" s="83" t="n">
        <x:v>215</x:v>
      </x:c>
      <x:c r="B216" s="84" t="str">
        <x:v>OS-2024-00215</x:v>
      </x:c>
      <x:c r="C216" s="84" t="n">
        <x:v>36</x:v>
      </x:c>
      <x:c r="D216" s="84" t="n">
        <x:v>1</x:v>
      </x:c>
      <x:c r="E216" s="84" t="n">
        <x:v>72</x:v>
      </x:c>
      <x:c r="F216" s="89" t="n">
        <x:v>45359.94505787037</x:v>
      </x:c>
      <x:c r="G216" s="89" t="n">
        <x:v>45374.94505787037</x:v>
      </x:c>
      <x:c r="H216" s="89" t="n">
        <x:v>45360.73672453704</x:v>
      </x:c>
      <x:c r="I216" s="89" t="n">
        <x:v>45360.94505787037</x:v>
      </x:c>
      <x:c r="J216" s="84" t="str">
        <x:v>Crítica</x:v>
      </x:c>
      <x:c r="K216" s="84" t="str">
        <x:v>Encerrada</x:v>
      </x:c>
      <x:c r="L216" s="84" t="str">
        <x:v>Alarme intermitente</x:v>
      </x:c>
      <x:c r="M216" s="84" t="str">
        <x:v>Conexão frouxa</x:v>
      </x:c>
      <x:c r="N216" s="84" t="str">
        <x:v>Componente ajustado ou substituído</x:v>
      </x:c>
      <x:c r="O216" s="84" t="n">
        <x:v>0</x:v>
      </x:c>
      <x:c r="P216" s="93" t="n">
        <x:v>567.45</x:v>
      </x:c>
      <x:c r="Q216" s="93" t="n">
        <x:v>0</x:v>
      </x:c>
      <x:c r="R216" s="91" t="n">
        <x:v>0</x:v>
      </x:c>
    </x:row>
    <x:row r="217">
      <x:c r="A217" s="83" t="n">
        <x:v>216</x:v>
      </x:c>
      <x:c r="B217" s="84" t="str">
        <x:v>OS-2023-00216</x:v>
      </x:c>
      <x:c r="C217" s="84" t="n">
        <x:v>42</x:v>
      </x:c>
      <x:c r="D217" s="84" t="n">
        <x:v>3</x:v>
      </x:c>
      <x:c r="E217" s="84"/>
      <x:c r="F217" s="89" t="n">
        <x:v>45210.42060185185</x:v>
      </x:c>
      <x:c r="G217" s="89"/>
      <x:c r="H217" s="89" t="n">
        <x:v>45210.87893518519</x:v>
      </x:c>
      <x:c r="I217" s="89" t="n">
        <x:v>45211.17060185185</x:v>
      </x:c>
      <x:c r="J217" s="84" t="str">
        <x:v>Baixa</x:v>
      </x:c>
      <x:c r="K217" s="84" t="str">
        <x:v>Encerrada</x:v>
      </x:c>
      <x:c r="L217" s="84" t="str">
        <x:v>Baixa pressão</x:v>
      </x:c>
      <x:c r="M217" s="84" t="str">
        <x:v>Ajuste incorreto</x:v>
      </x:c>
      <x:c r="N217" s="84" t="str">
        <x:v>Componente ajustado ou substituído</x:v>
      </x:c>
      <x:c r="O217" s="84" t="n">
        <x:v>0</x:v>
      </x:c>
      <x:c r="P217" s="93" t="n">
        <x:v>586.78</x:v>
      </x:c>
      <x:c r="Q217" s="93" t="n">
        <x:v>9155.48</x:v>
      </x:c>
      <x:c r="R217" s="91" t="n">
        <x:v>0</x:v>
      </x:c>
    </x:row>
    <x:row r="218">
      <x:c r="A218" s="83" t="n">
        <x:v>217</x:v>
      </x:c>
      <x:c r="B218" s="84" t="str">
        <x:v>OS-2023-00217</x:v>
      </x:c>
      <x:c r="C218" s="84" t="n">
        <x:v>53</x:v>
      </x:c>
      <x:c r="D218" s="84" t="n">
        <x:v>4</x:v>
      </x:c>
      <x:c r="E218" s="84"/>
      <x:c r="F218" s="89" t="n">
        <x:v>45220.79078703704</x:v>
      </x:c>
      <x:c r="G218" s="89" t="n">
        <x:v>45230.79078703704</x:v>
      </x:c>
      <x:c r="H218" s="89" t="n">
        <x:v>45223.04078703704</x:v>
      </x:c>
      <x:c r="I218" s="89" t="n">
        <x:v>45223.37412037037</x:v>
      </x:c>
      <x:c r="J218" s="84" t="str">
        <x:v>Alta</x:v>
      </x:c>
      <x:c r="K218" s="84" t="str">
        <x:v>Encerrada</x:v>
      </x:c>
      <x:c r="L218" s="84" t="str">
        <x:v>Vazamento</x:v>
      </x:c>
      <x:c r="M218" s="84" t="str">
        <x:v>Componente danificado</x:v>
      </x:c>
      <x:c r="N218" s="84" t="str">
        <x:v>Componente ajustado ou substituído</x:v>
      </x:c>
      <x:c r="O218" s="84" t="n">
        <x:v>0</x:v>
      </x:c>
      <x:c r="P218" s="93" t="n">
        <x:v>647.87</x:v>
      </x:c>
      <x:c r="Q218" s="93" t="n">
        <x:v>0</x:v>
      </x:c>
      <x:c r="R218" s="91" t="n">
        <x:v>0</x:v>
      </x:c>
    </x:row>
    <x:row r="219">
      <x:c r="A219" s="83" t="n">
        <x:v>218</x:v>
      </x:c>
      <x:c r="B219" s="84" t="str">
        <x:v>OS-2024-00218</x:v>
      </x:c>
      <x:c r="C219" s="84" t="n">
        <x:v>72</x:v>
      </x:c>
      <x:c r="D219" s="84" t="n">
        <x:v>7</x:v>
      </x:c>
      <x:c r="E219" s="84" t="n">
        <x:v>143</x:v>
      </x:c>
      <x:c r="F219" s="89" t="n">
        <x:v>45382.604097222225</x:v>
      </x:c>
      <x:c r="G219" s="89" t="n">
        <x:v>45388.604097222225</x:v>
      </x:c>
      <x:c r="H219" s="89" t="n">
        <x:v>45384.77076388889</x:v>
      </x:c>
      <x:c r="I219" s="89" t="n">
        <x:v>45385.229097222225</x:v>
      </x:c>
      <x:c r="J219" s="84" t="str">
        <x:v>Baixa</x:v>
      </x:c>
      <x:c r="K219" s="84" t="str">
        <x:v>Encerrada</x:v>
      </x:c>
      <x:c r="L219" s="84" t="str">
        <x:v>Vazamento</x:v>
      </x:c>
      <x:c r="M219" s="84" t="str">
        <x:v>Conexão frouxa</x:v>
      </x:c>
      <x:c r="N219" s="84" t="str">
        <x:v>Componente ajustado ou substituído</x:v>
      </x:c>
      <x:c r="O219" s="84" t="n">
        <x:v>0</x:v>
      </x:c>
      <x:c r="P219" s="93" t="n">
        <x:v>211.65</x:v>
      </x:c>
      <x:c r="Q219" s="93" t="n">
        <x:v>10381.34</x:v>
      </x:c>
      <x:c r="R219" s="91" t="n">
        <x:v>0</x:v>
      </x:c>
    </x:row>
    <x:row r="220">
      <x:c r="A220" s="83" t="n">
        <x:v>219</x:v>
      </x:c>
      <x:c r="B220" s="84" t="str">
        <x:v>OS-2025-00219</x:v>
      </x:c>
      <x:c r="C220" s="84" t="n">
        <x:v>2</x:v>
      </x:c>
      <x:c r="D220" s="84" t="n">
        <x:v>1</x:v>
      </x:c>
      <x:c r="E220" s="84" t="n">
        <x:v>3</x:v>
      </x:c>
      <x:c r="F220" s="89" t="n">
        <x:v>45839.8203125</x:v>
      </x:c>
      <x:c r="G220" s="89" t="n">
        <x:v>45843.8203125</x:v>
      </x:c>
      <x:c r="H220" s="89" t="n">
        <x:v>45842.3203125</x:v>
      </x:c>
      <x:c r="I220" s="89" t="n">
        <x:v>45842.4453125</x:v>
      </x:c>
      <x:c r="J220" s="84" t="str">
        <x:v>Crítica</x:v>
      </x:c>
      <x:c r="K220" s="84" t="str">
        <x:v>Concluída</x:v>
      </x:c>
      <x:c r="L220" s="84" t="str">
        <x:v>Ruído anormal</x:v>
      </x:c>
      <x:c r="M220" s="84" t="str">
        <x:v>Desgaste natural</x:v>
      </x:c>
      <x:c r="N220" s="84" t="str">
        <x:v>Componente ajustado ou substituído</x:v>
      </x:c>
      <x:c r="O220" s="84" t="n">
        <x:v>0</x:v>
      </x:c>
      <x:c r="P220" s="93" t="n">
        <x:v>363.59</x:v>
      </x:c>
      <x:c r="Q220" s="93" t="n">
        <x:v>5519.97</x:v>
      </x:c>
      <x:c r="R220" s="91" t="n">
        <x:v>0</x:v>
      </x:c>
    </x:row>
    <x:row r="221">
      <x:c r="A221" s="83" t="n">
        <x:v>220</x:v>
      </x:c>
      <x:c r="B221" s="84" t="str">
        <x:v>OS-2024-00220</x:v>
      </x:c>
      <x:c r="C221" s="84" t="n">
        <x:v>73</x:v>
      </x:c>
      <x:c r="D221" s="84" t="n">
        <x:v>6</x:v>
      </x:c>
      <x:c r="E221" s="84"/>
      <x:c r="F221" s="89" t="n">
        <x:v>45416.032997685186</x:v>
      </x:c>
      <x:c r="G221" s="89" t="n">
        <x:v>45422.032997685186</x:v>
      </x:c>
      <x:c r="H221" s="89" t="n">
        <x:v>45418.32466435185</x:v>
      </x:c>
      <x:c r="I221" s="89" t="n">
        <x:v>45418.82466435185</x:v>
      </x:c>
      <x:c r="J221" s="84" t="str">
        <x:v>Alta</x:v>
      </x:c>
      <x:c r="K221" s="84" t="str">
        <x:v>Encerrada</x:v>
      </x:c>
      <x:c r="L221" s="84" t="str">
        <x:v>Falha elétrica</x:v>
      </x:c>
      <x:c r="M221" s="84" t="str">
        <x:v>Desgaste natural</x:v>
      </x:c>
      <x:c r="N221" s="84" t="str">
        <x:v>Componente ajustado ou substituído</x:v>
      </x:c>
      <x:c r="O221" s="84" t="n">
        <x:v>1</x:v>
      </x:c>
      <x:c r="P221" s="93" t="n">
        <x:v>238.2</x:v>
      </x:c>
      <x:c r="Q221" s="93" t="n">
        <x:v>874.86</x:v>
      </x:c>
      <x:c r="R221" s="91" t="n">
        <x:v>0</x:v>
      </x:c>
    </x:row>
    <x:row r="222">
      <x:c r="A222" s="83" t="n">
        <x:v>221</x:v>
      </x:c>
      <x:c r="B222" s="84" t="str">
        <x:v>OS-2025-00221</x:v>
      </x:c>
      <x:c r="C222" s="84" t="n">
        <x:v>77</x:v>
      </x:c>
      <x:c r="D222" s="84" t="n">
        <x:v>1</x:v>
      </x:c>
      <x:c r="E222" s="84" t="n">
        <x:v>153</x:v>
      </x:c>
      <x:c r="F222" s="89" t="n">
        <x:v>45913.40415509259</x:v>
      </x:c>
      <x:c r="G222" s="89" t="n">
        <x:v>45917.40415509259</x:v>
      </x:c>
      <x:c r="H222" s="89" t="n">
        <x:v>45915.15415509259</x:v>
      </x:c>
      <x:c r="I222" s="89" t="n">
        <x:v>45915.69582175926</x:v>
      </x:c>
      <x:c r="J222" s="84" t="str">
        <x:v>Baixa</x:v>
      </x:c>
      <x:c r="K222" s="84" t="str">
        <x:v>Encerrada</x:v>
      </x:c>
      <x:c r="L222" s="84" t="str">
        <x:v>Baixa pressão</x:v>
      </x:c>
      <x:c r="M222" s="84" t="str">
        <x:v>Falta de lubrificação</x:v>
      </x:c>
      <x:c r="N222" s="84" t="str">
        <x:v>Componente ajustado ou substituído</x:v>
      </x:c>
      <x:c r="O222" s="84" t="n">
        <x:v>0</x:v>
      </x:c>
      <x:c r="P222" s="93" t="n">
        <x:v>220.63</x:v>
      </x:c>
      <x:c r="Q222" s="93" t="n">
        <x:v>13510.75</x:v>
      </x:c>
      <x:c r="R222" s="91" t="n">
        <x:v>0</x:v>
      </x:c>
    </x:row>
    <x:row r="223">
      <x:c r="A223" s="83" t="n">
        <x:v>222</x:v>
      </x:c>
      <x:c r="B223" s="84" t="str">
        <x:v>OS-2023-00222</x:v>
      </x:c>
      <x:c r="C223" s="84" t="n">
        <x:v>79</x:v>
      </x:c>
      <x:c r="D223" s="84" t="n">
        <x:v>3</x:v>
      </x:c>
      <x:c r="E223" s="84"/>
      <x:c r="F223" s="89" t="n">
        <x:v>45247.46603009259</x:v>
      </x:c>
      <x:c r="G223" s="89"/>
      <x:c r="H223" s="89" t="n">
        <x:v>45247.71603009259</x:v>
      </x:c>
      <x:c r="I223" s="89" t="n">
        <x:v>45248.049363425926</x:v>
      </x:c>
      <x:c r="J223" s="84" t="str">
        <x:v>Alta</x:v>
      </x:c>
      <x:c r="K223" s="84" t="str">
        <x:v>Encerrada</x:v>
      </x:c>
      <x:c r="L223" s="84" t="str">
        <x:v>Desalinhamento</x:v>
      </x:c>
      <x:c r="M223" s="84" t="str">
        <x:v>Contaminação</x:v>
      </x:c>
      <x:c r="N223" s="84" t="str">
        <x:v>Componente ajustado ou substituído</x:v>
      </x:c>
      <x:c r="O223" s="84" t="n">
        <x:v>1</x:v>
      </x:c>
      <x:c r="P223" s="93" t="n">
        <x:v>673.28</x:v>
      </x:c>
      <x:c r="Q223" s="93" t="n">
        <x:v>8203.38</x:v>
      </x:c>
      <x:c r="R223" s="91" t="n">
        <x:v>0</x:v>
      </x:c>
    </x:row>
    <x:row r="224">
      <x:c r="A224" s="83" t="n">
        <x:v>223</x:v>
      </x:c>
      <x:c r="B224" s="84" t="str">
        <x:v>OS-2024-00223</x:v>
      </x:c>
      <x:c r="C224" s="84" t="n">
        <x:v>66</x:v>
      </x:c>
      <x:c r="D224" s="84" t="n">
        <x:v>1</x:v>
      </x:c>
      <x:c r="E224" s="84" t="n">
        <x:v>132</x:v>
      </x:c>
      <x:c r="F224" s="89" t="n">
        <x:v>45340.78556712963</x:v>
      </x:c>
      <x:c r="G224" s="89" t="n">
        <x:v>45341.78556712963</x:v>
      </x:c>
      <x:c r="H224" s="89" t="n">
        <x:v>45343.4522337963</x:v>
      </x:c>
      <x:c r="I224" s="89" t="n">
        <x:v>45344.0772337963</x:v>
      </x:c>
      <x:c r="J224" s="84" t="str">
        <x:v>Alta</x:v>
      </x:c>
      <x:c r="K224" s="84" t="str">
        <x:v>Encerrada</x:v>
      </x:c>
      <x:c r="L224" s="84" t="str">
        <x:v>Desalinhamento</x:v>
      </x:c>
      <x:c r="M224" s="84" t="str">
        <x:v>Contaminação</x:v>
      </x:c>
      <x:c r="N224" s="84" t="str">
        <x:v>Componente ajustado ou substituído</x:v>
      </x:c>
      <x:c r="O224" s="84" t="n">
        <x:v>0</x:v>
      </x:c>
      <x:c r="P224" s="93" t="n">
        <x:v>292.6</x:v>
      </x:c>
      <x:c r="Q224" s="93" t="n">
        <x:v>4307.98</x:v>
      </x:c>
      <x:c r="R224" s="91" t="n">
        <x:v>0</x:v>
      </x:c>
    </x:row>
    <x:row r="225">
      <x:c r="A225" s="83" t="n">
        <x:v>224</x:v>
      </x:c>
      <x:c r="B225" s="84" t="str">
        <x:v>OS-2025-00224</x:v>
      </x:c>
      <x:c r="C225" s="84" t="n">
        <x:v>90</x:v>
      </x:c>
      <x:c r="D225" s="84" t="n">
        <x:v>7</x:v>
      </x:c>
      <x:c r="E225" s="84" t="n">
        <x:v>180</x:v>
      </x:c>
      <x:c r="F225" s="89" t="n">
        <x:v>46010.29857638889</x:v>
      </x:c>
      <x:c r="G225" s="89" t="n">
        <x:v>46015.29857638889</x:v>
      </x:c>
      <x:c r="H225" s="89"/>
      <x:c r="I225" s="89"/>
      <x:c r="J225" s="84" t="str">
        <x:v>Baixa</x:v>
      </x:c>
      <x:c r="K225" s="84" t="str">
        <x:v>Planejada</x:v>
      </x:c>
      <x:c r="L225" s="84" t="str">
        <x:v>Vazamento</x:v>
      </x:c>
      <x:c r="M225" s="84"/>
      <x:c r="N225" s="84"/>
      <x:c r="O225" s="84" t="n">
        <x:v>0</x:v>
      </x:c>
      <x:c r="P225" s="93" t="n">
        <x:v>0</x:v>
      </x:c>
      <x:c r="Q225" s="93" t="n">
        <x:v>0</x:v>
      </x:c>
      <x:c r="R225" s="91" t="n">
        <x:v>0</x:v>
      </x:c>
    </x:row>
    <x:row r="226">
      <x:c r="A226" s="83" t="n">
        <x:v>225</x:v>
      </x:c>
      <x:c r="B226" s="84" t="str">
        <x:v>OS-2025-00225</x:v>
      </x:c>
      <x:c r="C226" s="84" t="n">
        <x:v>79</x:v>
      </x:c>
      <x:c r="D226" s="84" t="n">
        <x:v>2</x:v>
      </x:c>
      <x:c r="E226" s="84"/>
      <x:c r="F226" s="89" t="n">
        <x:v>45759.00622685185</x:v>
      </x:c>
      <x:c r="G226" s="89" t="n">
        <x:v>45760.00622685185</x:v>
      </x:c>
      <x:c r="H226" s="89" t="n">
        <x:v>45760.46456018519</x:v>
      </x:c>
      <x:c r="I226" s="89" t="n">
        <x:v>45760.58956018519</x:v>
      </x:c>
      <x:c r="J226" s="84" t="str">
        <x:v>Média</x:v>
      </x:c>
      <x:c r="K226" s="84" t="str">
        <x:v>Encerrada</x:v>
      </x:c>
      <x:c r="L226" s="84" t="str">
        <x:v>Ruído anormal</x:v>
      </x:c>
      <x:c r="M226" s="84" t="str">
        <x:v>Ajuste incorreto</x:v>
      </x:c>
      <x:c r="N226" s="84" t="str">
        <x:v>Componente ajustado ou substituído</x:v>
      </x:c>
      <x:c r="O226" s="84" t="n">
        <x:v>0</x:v>
      </x:c>
      <x:c r="P226" s="93" t="n">
        <x:v>355.77</x:v>
      </x:c>
      <x:c r="Q226" s="93" t="n">
        <x:v>8309.64</x:v>
      </x:c>
      <x:c r="R226" s="91" t="n">
        <x:v>0</x:v>
      </x:c>
    </x:row>
    <x:row r="227">
      <x:c r="A227" s="83" t="n">
        <x:v>226</x:v>
      </x:c>
      <x:c r="B227" s="84" t="str">
        <x:v>OS-2023-00226</x:v>
      </x:c>
      <x:c r="C227" s="84" t="n">
        <x:v>62</x:v>
      </x:c>
      <x:c r="D227" s="84" t="n">
        <x:v>1</x:v>
      </x:c>
      <x:c r="E227" s="84" t="n">
        <x:v>124</x:v>
      </x:c>
      <x:c r="F227" s="89" t="n">
        <x:v>45118.715844907405</x:v>
      </x:c>
      <x:c r="G227" s="89" t="n">
        <x:v>45129.715844907405</x:v>
      </x:c>
      <x:c r="H227" s="89" t="n">
        <x:v>45121.590844907405</x:v>
      </x:c>
      <x:c r="I227" s="89" t="n">
        <x:v>45121.67417824074</x:v>
      </x:c>
      <x:c r="J227" s="84" t="str">
        <x:v>Baixa</x:v>
      </x:c>
      <x:c r="K227" s="84" t="str">
        <x:v>Encerrada</x:v>
      </x:c>
      <x:c r="L227" s="84" t="str">
        <x:v>Baixa pressão</x:v>
      </x:c>
      <x:c r="M227" s="84" t="str">
        <x:v>Ajuste incorreto</x:v>
      </x:c>
      <x:c r="N227" s="84" t="str">
        <x:v>Componente ajustado ou substituído</x:v>
      </x:c>
      <x:c r="O227" s="84" t="n">
        <x:v>0</x:v>
      </x:c>
      <x:c r="P227" s="93" t="n">
        <x:v>383.02</x:v>
      </x:c>
      <x:c r="Q227" s="93" t="n">
        <x:v>8963.6</x:v>
      </x:c>
      <x:c r="R227" s="91" t="n">
        <x:v>0</x:v>
      </x:c>
    </x:row>
    <x:row r="228">
      <x:c r="A228" s="83" t="n">
        <x:v>227</x:v>
      </x:c>
      <x:c r="B228" s="84" t="str">
        <x:v>OS-2025-00227</x:v>
      </x:c>
      <x:c r="C228" s="84" t="n">
        <x:v>17</x:v>
      </x:c>
      <x:c r="D228" s="84" t="n">
        <x:v>4</x:v>
      </x:c>
      <x:c r="E228" s="84"/>
      <x:c r="F228" s="89" t="n">
        <x:v>45751.48302083334</x:v>
      </x:c>
      <x:c r="G228" s="89" t="n">
        <x:v>45757.48302083334</x:v>
      </x:c>
      <x:c r="H228" s="89" t="n">
        <x:v>45752.8996875</x:v>
      </x:c>
      <x:c r="I228" s="89"/>
      <x:c r="J228" s="84" t="str">
        <x:v>Média</x:v>
      </x:c>
      <x:c r="K228" s="84" t="str">
        <x:v>Em execução</x:v>
      </x:c>
      <x:c r="L228" s="84" t="str">
        <x:v>Vazamento</x:v>
      </x:c>
      <x:c r="M228" s="84" t="str">
        <x:v>Ajuste incorreto</x:v>
      </x:c>
      <x:c r="N228" s="84"/>
      <x:c r="O228" s="84" t="n">
        <x:v>0</x:v>
      </x:c>
      <x:c r="P228" s="93" t="n">
        <x:v>252.6</x:v>
      </x:c>
      <x:c r="Q228" s="93" t="n">
        <x:v>8659.77</x:v>
      </x:c>
      <x:c r="R228" s="91" t="n">
        <x:v>0</x:v>
      </x:c>
    </x:row>
    <x:row r="229">
      <x:c r="A229" s="83" t="n">
        <x:v>228</x:v>
      </x:c>
      <x:c r="B229" s="84" t="str">
        <x:v>OS-2023-00228</x:v>
      </x:c>
      <x:c r="C229" s="84" t="n">
        <x:v>52</x:v>
      </x:c>
      <x:c r="D229" s="84" t="n">
        <x:v>2</x:v>
      </x:c>
      <x:c r="E229" s="84"/>
      <x:c r="F229" s="89" t="n">
        <x:v>45145.44170138889</x:v>
      </x:c>
      <x:c r="G229" s="89" t="n">
        <x:v>45150.44170138889</x:v>
      </x:c>
      <x:c r="H229" s="89" t="n">
        <x:v>45145.94170138889</x:v>
      </x:c>
      <x:c r="I229" s="89" t="n">
        <x:v>45146.35836805555</x:v>
      </x:c>
      <x:c r="J229" s="84" t="str">
        <x:v>Média</x:v>
      </x:c>
      <x:c r="K229" s="84" t="str">
        <x:v>Encerrada</x:v>
      </x:c>
      <x:c r="L229" s="84" t="str">
        <x:v>Alarme intermitente</x:v>
      </x:c>
      <x:c r="M229" s="84" t="str">
        <x:v>Componente danificado</x:v>
      </x:c>
      <x:c r="N229" s="84" t="str">
        <x:v>Componente ajustado ou substituído</x:v>
      </x:c>
      <x:c r="O229" s="84" t="n">
        <x:v>0</x:v>
      </x:c>
      <x:c r="P229" s="93" t="n">
        <x:v>142.65</x:v>
      </x:c>
      <x:c r="Q229" s="93" t="n">
        <x:v>2171.74</x:v>
      </x:c>
      <x:c r="R229" s="91" t="n">
        <x:v>0</x:v>
      </x:c>
    </x:row>
    <x:row r="230">
      <x:c r="A230" s="83" t="n">
        <x:v>229</x:v>
      </x:c>
      <x:c r="B230" s="84" t="str">
        <x:v>OS-2023-00229</x:v>
      </x:c>
      <x:c r="C230" s="84" t="n">
        <x:v>41</x:v>
      </x:c>
      <x:c r="D230" s="84" t="n">
        <x:v>3</x:v>
      </x:c>
      <x:c r="E230" s="84"/>
      <x:c r="F230" s="89" t="n">
        <x:v>45265.18178240741</x:v>
      </x:c>
      <x:c r="G230" s="89"/>
      <x:c r="H230" s="89" t="n">
        <x:v>45266.39011574074</x:v>
      </x:c>
      <x:c r="I230" s="89" t="n">
        <x:v>45266.43178240741</x:v>
      </x:c>
      <x:c r="J230" s="84" t="str">
        <x:v>Crítica</x:v>
      </x:c>
      <x:c r="K230" s="84" t="str">
        <x:v>Encerrada</x:v>
      </x:c>
      <x:c r="L230" s="84" t="str">
        <x:v>Superaquecimento</x:v>
      </x:c>
      <x:c r="M230" s="84" t="str">
        <x:v>Ajuste incorreto</x:v>
      </x:c>
      <x:c r="N230" s="84" t="str">
        <x:v>Componente ajustado ou substituído</x:v>
      </x:c>
      <x:c r="O230" s="84" t="n">
        <x:v>0</x:v>
      </x:c>
      <x:c r="P230" s="93" t="n">
        <x:v>292.66</x:v>
      </x:c>
      <x:c r="Q230" s="93" t="n">
        <x:v>9129.31</x:v>
      </x:c>
      <x:c r="R230" s="91" t="n">
        <x:v>0</x:v>
      </x:c>
    </x:row>
    <x:row r="231">
      <x:c r="A231" s="83" t="n">
        <x:v>230</x:v>
      </x:c>
      <x:c r="B231" s="84" t="str">
        <x:v>OS-2023-00230</x:v>
      </x:c>
      <x:c r="C231" s="84" t="n">
        <x:v>37</x:v>
      </x:c>
      <x:c r="D231" s="84" t="n">
        <x:v>5</x:v>
      </x:c>
      <x:c r="E231" s="84" t="n">
        <x:v>74</x:v>
      </x:c>
      <x:c r="F231" s="89" t="n">
        <x:v>45168.68209490741</x:v>
      </x:c>
      <x:c r="G231" s="89" t="n">
        <x:v>45177.68209490741</x:v>
      </x:c>
      <x:c r="H231" s="89"/>
      <x:c r="I231" s="89"/>
      <x:c r="J231" s="84" t="str">
        <x:v>Alta</x:v>
      </x:c>
      <x:c r="K231" s="84" t="str">
        <x:v>Planejada</x:v>
      </x:c>
      <x:c r="L231" s="84" t="str">
        <x:v>Ruído anormal</x:v>
      </x:c>
      <x:c r="M231" s="84"/>
      <x:c r="N231" s="84"/>
      <x:c r="O231" s="84" t="n">
        <x:v>0</x:v>
      </x:c>
      <x:c r="P231" s="93" t="n">
        <x:v>0</x:v>
      </x:c>
      <x:c r="Q231" s="93" t="n">
        <x:v>0</x:v>
      </x:c>
      <x:c r="R231" s="91" t="n">
        <x:v>0</x:v>
      </x:c>
    </x:row>
    <x:row r="232">
      <x:c r="A232" s="83" t="n">
        <x:v>231</x:v>
      </x:c>
      <x:c r="B232" s="84" t="str">
        <x:v>OS-2023-00231</x:v>
      </x:c>
      <x:c r="C232" s="84" t="n">
        <x:v>75</x:v>
      </x:c>
      <x:c r="D232" s="84" t="n">
        <x:v>1</x:v>
      </x:c>
      <x:c r="E232" s="84" t="n">
        <x:v>149</x:v>
      </x:c>
      <x:c r="F232" s="89" t="n">
        <x:v>44928.68346064815</x:v>
      </x:c>
      <x:c r="G232" s="89" t="n">
        <x:v>44943.68346064815</x:v>
      </x:c>
      <x:c r="H232" s="89" t="n">
        <x:v>44929.93346064815</x:v>
      </x:c>
      <x:c r="I232" s="89" t="n">
        <x:v>44930.14179398148</x:v>
      </x:c>
      <x:c r="J232" s="84" t="str">
        <x:v>Alta</x:v>
      </x:c>
      <x:c r="K232" s="84" t="str">
        <x:v>Concluída</x:v>
      </x:c>
      <x:c r="L232" s="84" t="str">
        <x:v>Superaquecimento</x:v>
      </x:c>
      <x:c r="M232" s="84" t="str">
        <x:v>Ajuste incorreto</x:v>
      </x:c>
      <x:c r="N232" s="84" t="str">
        <x:v>Componente ajustado ou substituído</x:v>
      </x:c>
      <x:c r="O232" s="84" t="n">
        <x:v>0</x:v>
      </x:c>
      <x:c r="P232" s="93" t="n">
        <x:v>383.68</x:v>
      </x:c>
      <x:c r="Q232" s="93" t="n">
        <x:v>1087.71</x:v>
      </x:c>
      <x:c r="R232" s="91" t="n">
        <x:v>7460.1</x:v>
      </x:c>
    </x:row>
    <x:row r="233">
      <x:c r="A233" s="83" t="n">
        <x:v>232</x:v>
      </x:c>
      <x:c r="B233" s="84" t="str">
        <x:v>OS-2023-00232</x:v>
      </x:c>
      <x:c r="C233" s="84" t="n">
        <x:v>55</x:v>
      </x:c>
      <x:c r="D233" s="84" t="n">
        <x:v>1</x:v>
      </x:c>
      <x:c r="E233" s="84" t="n">
        <x:v>109</x:v>
      </x:c>
      <x:c r="F233" s="89" t="n">
        <x:v>45117.145844907405</x:v>
      </x:c>
      <x:c r="G233" s="89" t="n">
        <x:v>45121.145844907405</x:v>
      </x:c>
      <x:c r="H233" s="89" t="n">
        <x:v>45119.18751157408</x:v>
      </x:c>
      <x:c r="I233" s="89" t="n">
        <x:v>45119.770844907405</x:v>
      </x:c>
      <x:c r="J233" s="84" t="str">
        <x:v>Baixa</x:v>
      </x:c>
      <x:c r="K233" s="84" t="str">
        <x:v>Encerrada</x:v>
      </x:c>
      <x:c r="L233" s="84" t="str">
        <x:v>Superaquecimento</x:v>
      </x:c>
      <x:c r="M233" s="84" t="str">
        <x:v>Falta de lubrificação</x:v>
      </x:c>
      <x:c r="N233" s="84" t="str">
        <x:v>Componente ajustado ou substituído</x:v>
      </x:c>
      <x:c r="O233" s="84" t="n">
        <x:v>0</x:v>
      </x:c>
      <x:c r="P233" s="93" t="n">
        <x:v>687.06</x:v>
      </x:c>
      <x:c r="Q233" s="93" t="n">
        <x:v>0</x:v>
      </x:c>
      <x:c r="R233" s="91" t="n">
        <x:v>0</x:v>
      </x:c>
    </x:row>
    <x:row r="234">
      <x:c r="A234" s="83" t="n">
        <x:v>233</x:v>
      </x:c>
      <x:c r="B234" s="84" t="str">
        <x:v>OS-2025-00233</x:v>
      </x:c>
      <x:c r="C234" s="84" t="n">
        <x:v>70</x:v>
      </x:c>
      <x:c r="D234" s="84" t="n">
        <x:v>5</x:v>
      </x:c>
      <x:c r="E234" s="84" t="n">
        <x:v>139</x:v>
      </x:c>
      <x:c r="F234" s="89" t="n">
        <x:v>45929.808587962965</x:v>
      </x:c>
      <x:c r="G234" s="89" t="n">
        <x:v>45935.808587962965</x:v>
      </x:c>
      <x:c r="H234" s="89" t="n">
        <x:v>45932.47525462963</x:v>
      </x:c>
      <x:c r="I234" s="89" t="n">
        <x:v>45932.808587962965</x:v>
      </x:c>
      <x:c r="J234" s="84" t="str">
        <x:v>Crítica</x:v>
      </x:c>
      <x:c r="K234" s="84" t="str">
        <x:v>Encerrada</x:v>
      </x:c>
      <x:c r="L234" s="84" t="str">
        <x:v>Superaquecimento</x:v>
      </x:c>
      <x:c r="M234" s="84" t="str">
        <x:v>Ajuste incorreto</x:v>
      </x:c>
      <x:c r="N234" s="84" t="str">
        <x:v>Componente ajustado ou substituído</x:v>
      </x:c>
      <x:c r="O234" s="84" t="n">
        <x:v>0</x:v>
      </x:c>
      <x:c r="P234" s="93" t="n">
        <x:v>641.31</x:v>
      </x:c>
      <x:c r="Q234" s="93" t="n">
        <x:v>6526.86</x:v>
      </x:c>
      <x:c r="R234" s="91" t="n">
        <x:v>0</x:v>
      </x:c>
    </x:row>
    <x:row r="235">
      <x:c r="A235" s="83" t="n">
        <x:v>234</x:v>
      </x:c>
      <x:c r="B235" s="84" t="str">
        <x:v>OS-2023-00234</x:v>
      </x:c>
      <x:c r="C235" s="84" t="n">
        <x:v>50</x:v>
      </x:c>
      <x:c r="D235" s="84" t="n">
        <x:v>3</x:v>
      </x:c>
      <x:c r="E235" s="84"/>
      <x:c r="F235" s="89" t="n">
        <x:v>45155.22945601852</x:v>
      </x:c>
      <x:c r="G235" s="89"/>
      <x:c r="H235" s="89" t="n">
        <x:v>45157.812789351854</x:v>
      </x:c>
      <x:c r="I235" s="89" t="n">
        <x:v>45158.35445601852</x:v>
      </x:c>
      <x:c r="J235" s="84" t="str">
        <x:v>Média</x:v>
      </x:c>
      <x:c r="K235" s="84" t="str">
        <x:v>Encerrada</x:v>
      </x:c>
      <x:c r="L235" s="84" t="str">
        <x:v>Baixa pressão</x:v>
      </x:c>
      <x:c r="M235" s="84" t="str">
        <x:v>Conexão frouxa</x:v>
      </x:c>
      <x:c r="N235" s="84" t="str">
        <x:v>Componente ajustado ou substituído</x:v>
      </x:c>
      <x:c r="O235" s="84" t="n">
        <x:v>0</x:v>
      </x:c>
      <x:c r="P235" s="93" t="n">
        <x:v>560.72</x:v>
      </x:c>
      <x:c r="Q235" s="93" t="n">
        <x:v>8018.12</x:v>
      </x:c>
      <x:c r="R235" s="91" t="n">
        <x:v>0</x:v>
      </x:c>
    </x:row>
    <x:row r="236">
      <x:c r="A236" s="83" t="n">
        <x:v>235</x:v>
      </x:c>
      <x:c r="B236" s="84" t="str">
        <x:v>OS-2023-00235</x:v>
      </x:c>
      <x:c r="C236" s="84" t="n">
        <x:v>33</x:v>
      </x:c>
      <x:c r="D236" s="84" t="n">
        <x:v>1</x:v>
      </x:c>
      <x:c r="E236" s="84" t="n">
        <x:v>65</x:v>
      </x:c>
      <x:c r="F236" s="89" t="n">
        <x:v>45288.71894675926</x:v>
      </x:c>
      <x:c r="G236" s="89" t="n">
        <x:v>45303.71894675926</x:v>
      </x:c>
      <x:c r="H236" s="89" t="n">
        <x:v>45288.80228009259</x:v>
      </x:c>
      <x:c r="I236" s="89" t="n">
        <x:v>45289.010613425926</x:v>
      </x:c>
      <x:c r="J236" s="84" t="str">
        <x:v>Alta</x:v>
      </x:c>
      <x:c r="K236" s="84" t="str">
        <x:v>Encerrada</x:v>
      </x:c>
      <x:c r="L236" s="84" t="str">
        <x:v>Ruído anormal</x:v>
      </x:c>
      <x:c r="M236" s="84" t="str">
        <x:v>Falta de lubrificação</x:v>
      </x:c>
      <x:c r="N236" s="84" t="str">
        <x:v>Componente ajustado ou substituído</x:v>
      </x:c>
      <x:c r="O236" s="84" t="n">
        <x:v>0</x:v>
      </x:c>
      <x:c r="P236" s="93" t="n">
        <x:v>359.07</x:v>
      </x:c>
      <x:c r="Q236" s="93" t="n">
        <x:v>6937.52</x:v>
      </x:c>
      <x:c r="R236" s="91" t="n">
        <x:v>0</x:v>
      </x:c>
    </x:row>
    <x:row r="237">
      <x:c r="A237" s="83" t="n">
        <x:v>236</x:v>
      </x:c>
      <x:c r="B237" s="84" t="str">
        <x:v>OS-2023-00236</x:v>
      </x:c>
      <x:c r="C237" s="84" t="n">
        <x:v>30</x:v>
      </x:c>
      <x:c r="D237" s="84" t="n">
        <x:v>2</x:v>
      </x:c>
      <x:c r="E237" s="84"/>
      <x:c r="F237" s="89" t="n">
        <x:v>45164.683541666665</x:v>
      </x:c>
      <x:c r="G237" s="89" t="n">
        <x:v>45169.683541666665</x:v>
      </x:c>
      <x:c r="H237" s="89" t="n">
        <x:v>45166.85020833334</x:v>
      </x:c>
      <x:c r="I237" s="89" t="n">
        <x:v>45167.016875</x:v>
      </x:c>
      <x:c r="J237" s="84" t="str">
        <x:v>Crítica</x:v>
      </x:c>
      <x:c r="K237" s="84" t="str">
        <x:v>Encerrada</x:v>
      </x:c>
      <x:c r="L237" s="84" t="str">
        <x:v>Ruído anormal</x:v>
      </x:c>
      <x:c r="M237" s="84" t="str">
        <x:v>Desgaste natural</x:v>
      </x:c>
      <x:c r="N237" s="84" t="str">
        <x:v>Componente ajustado ou substituído</x:v>
      </x:c>
      <x:c r="O237" s="84" t="n">
        <x:v>0</x:v>
      </x:c>
      <x:c r="P237" s="93" t="n">
        <x:v>371.69</x:v>
      </x:c>
      <x:c r="Q237" s="93" t="n">
        <x:v>0</x:v>
      </x:c>
      <x:c r="R237" s="91" t="n">
        <x:v>0</x:v>
      </x:c>
    </x:row>
    <x:row r="238">
      <x:c r="A238" s="83" t="n">
        <x:v>237</x:v>
      </x:c>
      <x:c r="B238" s="84" t="str">
        <x:v>OS-2024-00237</x:v>
      </x:c>
      <x:c r="C238" s="84" t="n">
        <x:v>63</x:v>
      </x:c>
      <x:c r="D238" s="84" t="n">
        <x:v>3</x:v>
      </x:c>
      <x:c r="E238" s="84"/>
      <x:c r="F238" s="89" t="n">
        <x:v>45447.51961805556</x:v>
      </x:c>
      <x:c r="G238" s="89"/>
      <x:c r="H238" s="89" t="n">
        <x:v>45448.227951388886</x:v>
      </x:c>
      <x:c r="I238" s="89" t="n">
        <x:v>45448.68628472222</x:v>
      </x:c>
      <x:c r="J238" s="84" t="str">
        <x:v>Alta</x:v>
      </x:c>
      <x:c r="K238" s="84" t="str">
        <x:v>Encerrada</x:v>
      </x:c>
      <x:c r="L238" s="84" t="str">
        <x:v>Desalinhamento</x:v>
      </x:c>
      <x:c r="M238" s="84" t="str">
        <x:v>Desgaste natural</x:v>
      </x:c>
      <x:c r="N238" s="84" t="str">
        <x:v>Componente ajustado ou substituído</x:v>
      </x:c>
      <x:c r="O238" s="84" t="n">
        <x:v>0</x:v>
      </x:c>
      <x:c r="P238" s="93" t="n">
        <x:v>344.33</x:v>
      </x:c>
      <x:c r="Q238" s="93" t="n">
        <x:v>1279.53</x:v>
      </x:c>
      <x:c r="R238" s="91" t="n">
        <x:v>0</x:v>
      </x:c>
    </x:row>
    <x:row r="239">
      <x:c r="A239" s="83" t="n">
        <x:v>238</x:v>
      </x:c>
      <x:c r="B239" s="84" t="str">
        <x:v>OS-2023-00238</x:v>
      </x:c>
      <x:c r="C239" s="84" t="n">
        <x:v>38</x:v>
      </x:c>
      <x:c r="D239" s="84" t="n">
        <x:v>1</x:v>
      </x:c>
      <x:c r="E239" s="84" t="n">
        <x:v>76</x:v>
      </x:c>
      <x:c r="F239" s="89" t="n">
        <x:v>44943.67943287037</x:v>
      </x:c>
      <x:c r="G239" s="89" t="n">
        <x:v>44950.67943287037</x:v>
      </x:c>
      <x:c r="H239" s="89"/>
      <x:c r="I239" s="89"/>
      <x:c r="J239" s="84" t="str">
        <x:v>Média</x:v>
      </x:c>
      <x:c r="K239" s="84" t="str">
        <x:v>Planejada</x:v>
      </x:c>
      <x:c r="L239" s="84" t="str">
        <x:v>Superaquecimento</x:v>
      </x:c>
      <x:c r="M239" s="84"/>
      <x:c r="N239" s="84"/>
      <x:c r="O239" s="84" t="n">
        <x:v>0</x:v>
      </x:c>
      <x:c r="P239" s="93" t="n">
        <x:v>0</x:v>
      </x:c>
      <x:c r="Q239" s="93" t="n">
        <x:v>0</x:v>
      </x:c>
      <x:c r="R239" s="91" t="n">
        <x:v>0</x:v>
      </x:c>
    </x:row>
    <x:row r="240">
      <x:c r="A240" s="83" t="n">
        <x:v>239</x:v>
      </x:c>
      <x:c r="B240" s="84" t="str">
        <x:v>OS-2023-00239</x:v>
      </x:c>
      <x:c r="C240" s="84" t="n">
        <x:v>77</x:v>
      </x:c>
      <x:c r="D240" s="84" t="n">
        <x:v>7</x:v>
      </x:c>
      <x:c r="E240" s="84" t="n">
        <x:v>153</x:v>
      </x:c>
      <x:c r="F240" s="89" t="n">
        <x:v>45109.46429398148</x:v>
      </x:c>
      <x:c r="G240" s="89" t="n">
        <x:v>45119.46429398148</x:v>
      </x:c>
      <x:c r="H240" s="89" t="n">
        <x:v>45111.297627314816</x:v>
      </x:c>
      <x:c r="I240" s="89"/>
      <x:c r="J240" s="84" t="str">
        <x:v>Crítica</x:v>
      </x:c>
      <x:c r="K240" s="84" t="str">
        <x:v>Aguardando peça</x:v>
      </x:c>
      <x:c r="L240" s="84" t="str">
        <x:v>Ruído anormal</x:v>
      </x:c>
      <x:c r="M240" s="84" t="str">
        <x:v>Desgaste natural</x:v>
      </x:c>
      <x:c r="N240" s="84"/>
      <x:c r="O240" s="84" t="n">
        <x:v>0</x:v>
      </x:c>
      <x:c r="P240" s="93" t="n">
        <x:v>697.28</x:v>
      </x:c>
      <x:c r="Q240" s="93" t="n">
        <x:v>9073.83</x:v>
      </x:c>
      <x:c r="R240" s="91" t="n">
        <x:v>0</x:v>
      </x:c>
    </x:row>
    <x:row r="241">
      <x:c r="A241" s="83" t="n">
        <x:v>240</x:v>
      </x:c>
      <x:c r="B241" s="84" t="str">
        <x:v>OS-2024-00240</x:v>
      </x:c>
      <x:c r="C241" s="84" t="n">
        <x:v>84</x:v>
      </x:c>
      <x:c r="D241" s="84" t="n">
        <x:v>3</x:v>
      </x:c>
      <x:c r="E241" s="84"/>
      <x:c r="F241" s="89" t="n">
        <x:v>45448.79883101852</x:v>
      </x:c>
      <x:c r="G241" s="89"/>
      <x:c r="H241" s="89" t="n">
        <x:v>45449.59049768518</x:v>
      </x:c>
      <x:c r="I241" s="89" t="n">
        <x:v>45450.38216435185</x:v>
      </x:c>
      <x:c r="J241" s="84" t="str">
        <x:v>Crítica</x:v>
      </x:c>
      <x:c r="K241" s="84" t="str">
        <x:v>Encerrada</x:v>
      </x:c>
      <x:c r="L241" s="84" t="str">
        <x:v>Ruído anormal</x:v>
      </x:c>
      <x:c r="M241" s="84" t="str">
        <x:v>Desgaste natural</x:v>
      </x:c>
      <x:c r="N241" s="84" t="str">
        <x:v>Componente ajustado ou substituído</x:v>
      </x:c>
      <x:c r="O241" s="84" t="n">
        <x:v>0</x:v>
      </x:c>
      <x:c r="P241" s="93" t="n">
        <x:v>661.53</x:v>
      </x:c>
      <x:c r="Q241" s="93" t="n">
        <x:v>1134.4</x:v>
      </x:c>
      <x:c r="R241" s="91" t="n">
        <x:v>0</x:v>
      </x:c>
    </x:row>
    <x:row r="242">
      <x:c r="A242" s="83" t="n">
        <x:v>241</x:v>
      </x:c>
      <x:c r="B242" s="84" t="str">
        <x:v>OS-2023-00241</x:v>
      </x:c>
      <x:c r="C242" s="84" t="n">
        <x:v>70</x:v>
      </x:c>
      <x:c r="D242" s="84" t="n">
        <x:v>2</x:v>
      </x:c>
      <x:c r="E242" s="84"/>
      <x:c r="F242" s="89" t="n">
        <x:v>44990.79497685185</x:v>
      </x:c>
      <x:c r="G242" s="89" t="n">
        <x:v>44993.79497685185</x:v>
      </x:c>
      <x:c r="H242" s="89"/>
      <x:c r="I242" s="89"/>
      <x:c r="J242" s="84" t="str">
        <x:v>Baixa</x:v>
      </x:c>
      <x:c r="K242" s="84" t="str">
        <x:v>Planejada</x:v>
      </x:c>
      <x:c r="L242" s="84" t="str">
        <x:v>Baixa pressão</x:v>
      </x:c>
      <x:c r="M242" s="84"/>
      <x:c r="N242" s="84"/>
      <x:c r="O242" s="84" t="n">
        <x:v>0</x:v>
      </x:c>
      <x:c r="P242" s="93" t="n">
        <x:v>0</x:v>
      </x:c>
      <x:c r="Q242" s="93" t="n">
        <x:v>0</x:v>
      </x:c>
      <x:c r="R242" s="91" t="n">
        <x:v>0</x:v>
      </x:c>
    </x:row>
    <x:row r="243">
      <x:c r="A243" s="83" t="n">
        <x:v>242</x:v>
      </x:c>
      <x:c r="B243" s="84" t="str">
        <x:v>OS-2023-00242</x:v>
      </x:c>
      <x:c r="C243" s="84" t="n">
        <x:v>90</x:v>
      </x:c>
      <x:c r="D243" s="84" t="n">
        <x:v>3</x:v>
      </x:c>
      <x:c r="E243" s="84"/>
      <x:c r="F243" s="89" t="n">
        <x:v>45243.981620370374</x:v>
      </x:c>
      <x:c r="G243" s="89"/>
      <x:c r="H243" s="89" t="n">
        <x:v>45246.27328703704</x:v>
      </x:c>
      <x:c r="I243" s="89" t="n">
        <x:v>45246.731620370374</x:v>
      </x:c>
      <x:c r="J243" s="84" t="str">
        <x:v>Crítica</x:v>
      </x:c>
      <x:c r="K243" s="84" t="str">
        <x:v>Encerrada</x:v>
      </x:c>
      <x:c r="L243" s="84" t="str">
        <x:v>Desalinhamento</x:v>
      </x:c>
      <x:c r="M243" s="84" t="str">
        <x:v>Falta de lubrificação</x:v>
      </x:c>
      <x:c r="N243" s="84" t="str">
        <x:v>Componente ajustado ou substituído</x:v>
      </x:c>
      <x:c r="O243" s="84" t="n">
        <x:v>0</x:v>
      </x:c>
      <x:c r="P243" s="93" t="n">
        <x:v>412.54</x:v>
      </x:c>
      <x:c r="Q243" s="93" t="n">
        <x:v>4983.36</x:v>
      </x:c>
      <x:c r="R243" s="91" t="n">
        <x:v>1102.46</x:v>
      </x:c>
    </x:row>
    <x:row r="244">
      <x:c r="A244" s="83" t="n">
        <x:v>243</x:v>
      </x:c>
      <x:c r="B244" s="84" t="str">
        <x:v>OS-2024-00243</x:v>
      </x:c>
      <x:c r="C244" s="84" t="n">
        <x:v>2</x:v>
      </x:c>
      <x:c r="D244" s="84" t="n">
        <x:v>9</x:v>
      </x:c>
      <x:c r="E244" s="84"/>
      <x:c r="F244" s="89" t="n">
        <x:v>45515.33962962963</x:v>
      </x:c>
      <x:c r="G244" s="89" t="n">
        <x:v>45517.33962962963</x:v>
      </x:c>
      <x:c r="H244" s="89" t="n">
        <x:v>45517.5062962963</x:v>
      </x:c>
      <x:c r="I244" s="89" t="n">
        <x:v>45517.92296296296</x:v>
      </x:c>
      <x:c r="J244" s="84" t="str">
        <x:v>Baixa</x:v>
      </x:c>
      <x:c r="K244" s="84" t="str">
        <x:v>Encerrada</x:v>
      </x:c>
      <x:c r="L244" s="84" t="str">
        <x:v>Alarme intermitente</x:v>
      </x:c>
      <x:c r="M244" s="84" t="str">
        <x:v>Conexão frouxa</x:v>
      </x:c>
      <x:c r="N244" s="84" t="str">
        <x:v>Componente ajustado ou substituído</x:v>
      </x:c>
      <x:c r="O244" s="84" t="n">
        <x:v>1</x:v>
      </x:c>
      <x:c r="P244" s="93" t="n">
        <x:v>256.05</x:v>
      </x:c>
      <x:c r="Q244" s="93" t="n">
        <x:v>3535.92</x:v>
      </x:c>
      <x:c r="R244" s="91" t="n">
        <x:v>0</x:v>
      </x:c>
    </x:row>
    <x:row r="245">
      <x:c r="A245" s="83" t="n">
        <x:v>244</x:v>
      </x:c>
      <x:c r="B245" s="84" t="str">
        <x:v>OS-2024-00244</x:v>
      </x:c>
      <x:c r="C245" s="84" t="n">
        <x:v>60</x:v>
      </x:c>
      <x:c r="D245" s="84" t="n">
        <x:v>1</x:v>
      </x:c>
      <x:c r="E245" s="84" t="n">
        <x:v>120</x:v>
      </x:c>
      <x:c r="F245" s="89" t="n">
        <x:v>45650.080671296295</x:v>
      </x:c>
      <x:c r="G245" s="89" t="n">
        <x:v>45659.080671296295</x:v>
      </x:c>
      <x:c r="H245" s="89" t="n">
        <x:v>45650.28900462963</x:v>
      </x:c>
      <x:c r="I245" s="89" t="n">
        <x:v>45650.66400462963</x:v>
      </x:c>
      <x:c r="J245" s="84" t="str">
        <x:v>Baixa</x:v>
      </x:c>
      <x:c r="K245" s="84" t="str">
        <x:v>Encerrada</x:v>
      </x:c>
      <x:c r="L245" s="84" t="str">
        <x:v>Desalinhamento</x:v>
      </x:c>
      <x:c r="M245" s="84" t="str">
        <x:v>Falta de lubrificação</x:v>
      </x:c>
      <x:c r="N245" s="84" t="str">
        <x:v>Componente ajustado ou substituído</x:v>
      </x:c>
      <x:c r="O245" s="84" t="n">
        <x:v>0</x:v>
      </x:c>
      <x:c r="P245" s="93" t="n">
        <x:v>373.21</x:v>
      </x:c>
      <x:c r="Q245" s="93" t="n">
        <x:v>13049.54</x:v>
      </x:c>
      <x:c r="R245" s="91" t="n">
        <x:v>0</x:v>
      </x:c>
    </x:row>
    <x:row r="246">
      <x:c r="A246" s="83" t="n">
        <x:v>245</x:v>
      </x:c>
      <x:c r="B246" s="84" t="str">
        <x:v>OS-2024-00245</x:v>
      </x:c>
      <x:c r="C246" s="84" t="n">
        <x:v>11</x:v>
      </x:c>
      <x:c r="D246" s="84" t="n">
        <x:v>1</x:v>
      </x:c>
      <x:c r="E246" s="84" t="n">
        <x:v>22</x:v>
      </x:c>
      <x:c r="F246" s="89" t="n">
        <x:v>45506.74107638889</x:v>
      </x:c>
      <x:c r="G246" s="89" t="n">
        <x:v>45515.74107638889</x:v>
      </x:c>
      <x:c r="H246" s="89" t="n">
        <x:v>45509.032743055555</x:v>
      </x:c>
      <x:c r="I246" s="89" t="n">
        <x:v>45509.11607638889</x:v>
      </x:c>
      <x:c r="J246" s="84" t="str">
        <x:v>Baixa</x:v>
      </x:c>
      <x:c r="K246" s="84" t="str">
        <x:v>Encerrada</x:v>
      </x:c>
      <x:c r="L246" s="84" t="str">
        <x:v>Vazamento</x:v>
      </x:c>
      <x:c r="M246" s="84" t="str">
        <x:v>Contaminação</x:v>
      </x:c>
      <x:c r="N246" s="84" t="str">
        <x:v>Componente ajustado ou substituído</x:v>
      </x:c>
      <x:c r="O246" s="84" t="n">
        <x:v>0</x:v>
      </x:c>
      <x:c r="P246" s="93" t="n">
        <x:v>509.12</x:v>
      </x:c>
      <x:c r="Q246" s="93" t="n">
        <x:v>4500.04</x:v>
      </x:c>
      <x:c r="R246" s="91" t="n">
        <x:v>0</x:v>
      </x:c>
    </x:row>
    <x:row r="247">
      <x:c r="A247" s="83" t="n">
        <x:v>246</x:v>
      </x:c>
      <x:c r="B247" s="84" t="str">
        <x:v>OS-2024-00246</x:v>
      </x:c>
      <x:c r="C247" s="84" t="n">
        <x:v>3</x:v>
      </x:c>
      <x:c r="D247" s="84" t="n">
        <x:v>3</x:v>
      </x:c>
      <x:c r="E247" s="84"/>
      <x:c r="F247" s="89" t="n">
        <x:v>45461.95664351852</x:v>
      </x:c>
      <x:c r="G247" s="89"/>
      <x:c r="H247" s="89" t="n">
        <x:v>45464.58164351852</x:v>
      </x:c>
      <x:c r="I247" s="89"/>
      <x:c r="J247" s="84" t="str">
        <x:v>Crítica</x:v>
      </x:c>
      <x:c r="K247" s="84" t="str">
        <x:v>Aguardando peça</x:v>
      </x:c>
      <x:c r="L247" s="84" t="str">
        <x:v>Ruído anormal</x:v>
      </x:c>
      <x:c r="M247" s="84" t="str">
        <x:v>Conexão frouxa</x:v>
      </x:c>
      <x:c r="N247" s="84"/>
      <x:c r="O247" s="84" t="n">
        <x:v>0</x:v>
      </x:c>
      <x:c r="P247" s="93" t="n">
        <x:v>624.34</x:v>
      </x:c>
      <x:c r="Q247" s="93" t="n">
        <x:v>1539.08</x:v>
      </x:c>
      <x:c r="R247" s="91" t="n">
        <x:v>0</x:v>
      </x:c>
    </x:row>
    <x:row r="248">
      <x:c r="A248" s="83" t="n">
        <x:v>247</x:v>
      </x:c>
      <x:c r="B248" s="84" t="str">
        <x:v>OS-2025-00247</x:v>
      </x:c>
      <x:c r="C248" s="84" t="n">
        <x:v>86</x:v>
      </x:c>
      <x:c r="D248" s="84" t="n">
        <x:v>1</x:v>
      </x:c>
      <x:c r="E248" s="84" t="n">
        <x:v>171</x:v>
      </x:c>
      <x:c r="F248" s="89" t="n">
        <x:v>45809.70266203704</x:v>
      </x:c>
      <x:c r="G248" s="89" t="n">
        <x:v>45814.70266203704</x:v>
      </x:c>
      <x:c r="H248" s="89" t="n">
        <x:v>45812.57766203704</x:v>
      </x:c>
      <x:c r="I248" s="89" t="n">
        <x:v>45813.32766203704</x:v>
      </x:c>
      <x:c r="J248" s="84" t="str">
        <x:v>Baixa</x:v>
      </x:c>
      <x:c r="K248" s="84" t="str">
        <x:v>Concluída</x:v>
      </x:c>
      <x:c r="L248" s="84" t="str">
        <x:v>Falha elétrica</x:v>
      </x:c>
      <x:c r="M248" s="84" t="str">
        <x:v>Desgaste natural</x:v>
      </x:c>
      <x:c r="N248" s="84" t="str">
        <x:v>Componente ajustado ou substituído</x:v>
      </x:c>
      <x:c r="O248" s="84" t="n">
        <x:v>1</x:v>
      </x:c>
      <x:c r="P248" s="93" t="n">
        <x:v>296.52</x:v>
      </x:c>
      <x:c r="Q248" s="93" t="n">
        <x:v>5474.99</x:v>
      </x:c>
      <x:c r="R248" s="91" t="n">
        <x:v>943.83</x:v>
      </x:c>
    </x:row>
    <x:row r="249">
      <x:c r="A249" s="83" t="n">
        <x:v>248</x:v>
      </x:c>
      <x:c r="B249" s="84" t="str">
        <x:v>OS-2025-00248</x:v>
      </x:c>
      <x:c r="C249" s="84" t="n">
        <x:v>51</x:v>
      </x:c>
      <x:c r="D249" s="84" t="n">
        <x:v>7</x:v>
      </x:c>
      <x:c r="E249" s="84" t="n">
        <x:v>101</x:v>
      </x:c>
      <x:c r="F249" s="89" t="n">
        <x:v>45805.63724537037</x:v>
      </x:c>
      <x:c r="G249" s="89" t="n">
        <x:v>45805.63724537037</x:v>
      </x:c>
      <x:c r="H249" s="89" t="n">
        <x:v>45807.80391203704</x:v>
      </x:c>
      <x:c r="I249" s="89" t="n">
        <x:v>45808.2205787037</x:v>
      </x:c>
      <x:c r="J249" s="84" t="str">
        <x:v>Alta</x:v>
      </x:c>
      <x:c r="K249" s="84" t="str">
        <x:v>Encerrada</x:v>
      </x:c>
      <x:c r="L249" s="84" t="str">
        <x:v>Baixa pressão</x:v>
      </x:c>
      <x:c r="M249" s="84" t="str">
        <x:v>Componente danificado</x:v>
      </x:c>
      <x:c r="N249" s="84" t="str">
        <x:v>Componente ajustado ou substituído</x:v>
      </x:c>
      <x:c r="O249" s="84" t="n">
        <x:v>0</x:v>
      </x:c>
      <x:c r="P249" s="93" t="n">
        <x:v>343.82</x:v>
      </x:c>
      <x:c r="Q249" s="93" t="n">
        <x:v>4628.03</x:v>
      </x:c>
      <x:c r="R249" s="91" t="n">
        <x:v>0</x:v>
      </x:c>
    </x:row>
    <x:row r="250">
      <x:c r="A250" s="83" t="n">
        <x:v>249</x:v>
      </x:c>
      <x:c r="B250" s="84" t="str">
        <x:v>OS-2025-00249</x:v>
      </x:c>
      <x:c r="C250" s="84" t="n">
        <x:v>82</x:v>
      </x:c>
      <x:c r="D250" s="84" t="n">
        <x:v>7</x:v>
      </x:c>
      <x:c r="E250" s="84" t="n">
        <x:v>164</x:v>
      </x:c>
      <x:c r="F250" s="89" t="n">
        <x:v>45981.20636574074</x:v>
      </x:c>
      <x:c r="G250" s="89" t="n">
        <x:v>45990.20636574074</x:v>
      </x:c>
      <x:c r="H250" s="89"/>
      <x:c r="I250" s="89"/>
      <x:c r="J250" s="84" t="str">
        <x:v>Crítica</x:v>
      </x:c>
      <x:c r="K250" s="84" t="str">
        <x:v>Planejada</x:v>
      </x:c>
      <x:c r="L250" s="84" t="str">
        <x:v>Vazamento</x:v>
      </x:c>
      <x:c r="M250" s="84"/>
      <x:c r="N250" s="84"/>
      <x:c r="O250" s="84" t="n">
        <x:v>0</x:v>
      </x:c>
      <x:c r="P250" s="93" t="n">
        <x:v>0</x:v>
      </x:c>
      <x:c r="Q250" s="93" t="n">
        <x:v>0</x:v>
      </x:c>
      <x:c r="R250" s="91" t="n">
        <x:v>0</x:v>
      </x:c>
    </x:row>
    <x:row r="251">
      <x:c r="A251" s="83" t="n">
        <x:v>250</x:v>
      </x:c>
      <x:c r="B251" s="84" t="str">
        <x:v>OS-2025-00250</x:v>
      </x:c>
      <x:c r="C251" s="84" t="n">
        <x:v>85</x:v>
      </x:c>
      <x:c r="D251" s="84" t="n">
        <x:v>1</x:v>
      </x:c>
      <x:c r="E251" s="84" t="n">
        <x:v>169</x:v>
      </x:c>
      <x:c r="F251" s="89" t="n">
        <x:v>45691.7941087963</x:v>
      </x:c>
      <x:c r="G251" s="89" t="n">
        <x:v>45698.7941087963</x:v>
      </x:c>
      <x:c r="H251" s="89" t="n">
        <x:v>45693.37744212963</x:v>
      </x:c>
      <x:c r="I251" s="89" t="n">
        <x:v>45693.5441087963</x:v>
      </x:c>
      <x:c r="J251" s="84" t="str">
        <x:v>Crítica</x:v>
      </x:c>
      <x:c r="K251" s="84" t="str">
        <x:v>Encerrada</x:v>
      </x:c>
      <x:c r="L251" s="84" t="str">
        <x:v>Baixa pressão</x:v>
      </x:c>
      <x:c r="M251" s="84" t="str">
        <x:v>Componente danificado</x:v>
      </x:c>
      <x:c r="N251" s="84" t="str">
        <x:v>Componente ajustado ou substituído</x:v>
      </x:c>
      <x:c r="O251" s="84" t="n">
        <x:v>0</x:v>
      </x:c>
      <x:c r="P251" s="93" t="n">
        <x:v>356.35</x:v>
      </x:c>
      <x:c r="Q251" s="93" t="n">
        <x:v>3312.7</x:v>
      </x:c>
      <x:c r="R251" s="91" t="n">
        <x:v>0</x:v>
      </x:c>
    </x:row>
    <x:row r="252">
      <x:c r="A252" s="83" t="n">
        <x:v>251</x:v>
      </x:c>
      <x:c r="B252" s="84" t="str">
        <x:v>OS-2023-00251</x:v>
      </x:c>
      <x:c r="C252" s="84" t="n">
        <x:v>15</x:v>
      </x:c>
      <x:c r="D252" s="84" t="n">
        <x:v>3</x:v>
      </x:c>
      <x:c r="E252" s="84"/>
      <x:c r="F252" s="89" t="n">
        <x:v>45272.598599537036</x:v>
      </x:c>
      <x:c r="G252" s="89"/>
      <x:c r="H252" s="89" t="n">
        <x:v>45273.26526620371</x:v>
      </x:c>
      <x:c r="I252" s="89" t="n">
        <x:v>45273.51526620371</x:v>
      </x:c>
      <x:c r="J252" s="84" t="str">
        <x:v>Baixa</x:v>
      </x:c>
      <x:c r="K252" s="84" t="str">
        <x:v>Encerrada</x:v>
      </x:c>
      <x:c r="L252" s="84" t="str">
        <x:v>Ruído anormal</x:v>
      </x:c>
      <x:c r="M252" s="84" t="str">
        <x:v>Componente danificado</x:v>
      </x:c>
      <x:c r="N252" s="84" t="str">
        <x:v>Componente ajustado ou substituído</x:v>
      </x:c>
      <x:c r="O252" s="84" t="n">
        <x:v>0</x:v>
      </x:c>
      <x:c r="P252" s="93" t="n">
        <x:v>453.79</x:v>
      </x:c>
      <x:c r="Q252" s="93" t="n">
        <x:v>0</x:v>
      </x:c>
      <x:c r="R252" s="91" t="n">
        <x:v>0</x:v>
      </x:c>
    </x:row>
    <x:row r="253">
      <x:c r="A253" s="83" t="n">
        <x:v>252</x:v>
      </x:c>
      <x:c r="B253" s="84" t="str">
        <x:v>OS-2025-00252</x:v>
      </x:c>
      <x:c r="C253" s="84" t="n">
        <x:v>37</x:v>
      </x:c>
      <x:c r="D253" s="84" t="n">
        <x:v>1</x:v>
      </x:c>
      <x:c r="E253" s="84" t="n">
        <x:v>74</x:v>
      </x:c>
      <x:c r="F253" s="89" t="n">
        <x:v>45687.984930555554</x:v>
      </x:c>
      <x:c r="G253" s="89" t="n">
        <x:v>45700.984930555554</x:v>
      </x:c>
      <x:c r="H253" s="89" t="n">
        <x:v>45689.69326388889</x:v>
      </x:c>
      <x:c r="I253" s="89" t="n">
        <x:v>45689.859930555554</x:v>
      </x:c>
      <x:c r="J253" s="84" t="str">
        <x:v>Crítica</x:v>
      </x:c>
      <x:c r="K253" s="84" t="str">
        <x:v>Encerrada</x:v>
      </x:c>
      <x:c r="L253" s="84" t="str">
        <x:v>Desalinhamento</x:v>
      </x:c>
      <x:c r="M253" s="84" t="str">
        <x:v>Componente danificado</x:v>
      </x:c>
      <x:c r="N253" s="84" t="str">
        <x:v>Componente ajustado ou substituído</x:v>
      </x:c>
      <x:c r="O253" s="84" t="n">
        <x:v>0</x:v>
      </x:c>
      <x:c r="P253" s="93" t="n">
        <x:v>37.47</x:v>
      </x:c>
      <x:c r="Q253" s="93" t="n">
        <x:v>5310.99</x:v>
      </x:c>
      <x:c r="R253" s="91" t="n">
        <x:v>0</x:v>
      </x:c>
    </x:row>
    <x:row r="254">
      <x:c r="A254" s="83" t="n">
        <x:v>253</x:v>
      </x:c>
      <x:c r="B254" s="84" t="str">
        <x:v>OS-2023-00253</x:v>
      </x:c>
      <x:c r="C254" s="84" t="n">
        <x:v>38</x:v>
      </x:c>
      <x:c r="D254" s="84" t="n">
        <x:v>1</x:v>
      </x:c>
      <x:c r="E254" s="84" t="n">
        <x:v>76</x:v>
      </x:c>
      <x:c r="F254" s="89" t="n">
        <x:v>45201.38626157407</x:v>
      </x:c>
      <x:c r="G254" s="89" t="n">
        <x:v>45214.38626157407</x:v>
      </x:c>
      <x:c r="H254" s="89" t="n">
        <x:v>45204.01126157407</x:v>
      </x:c>
      <x:c r="I254" s="89" t="n">
        <x:v>45204.552928240744</x:v>
      </x:c>
      <x:c r="J254" s="84" t="str">
        <x:v>Baixa</x:v>
      </x:c>
      <x:c r="K254" s="84" t="str">
        <x:v>Concluída</x:v>
      </x:c>
      <x:c r="L254" s="84" t="str">
        <x:v>Superaquecimento</x:v>
      </x:c>
      <x:c r="M254" s="84" t="str">
        <x:v>Falta de lubrificação</x:v>
      </x:c>
      <x:c r="N254" s="84" t="str">
        <x:v>Componente ajustado ou substituído</x:v>
      </x:c>
      <x:c r="O254" s="84" t="n">
        <x:v>0</x:v>
      </x:c>
      <x:c r="P254" s="93" t="n">
        <x:v>156.48</x:v>
      </x:c>
      <x:c r="Q254" s="93" t="n">
        <x:v>5010.22</x:v>
      </x:c>
      <x:c r="R254" s="91" t="n">
        <x:v>0</x:v>
      </x:c>
    </x:row>
    <x:row r="255">
      <x:c r="A255" s="83" t="n">
        <x:v>254</x:v>
      </x:c>
      <x:c r="B255" s="84" t="str">
        <x:v>OS-2023-00254</x:v>
      </x:c>
      <x:c r="C255" s="84" t="n">
        <x:v>41</x:v>
      </x:c>
      <x:c r="D255" s="84" t="n">
        <x:v>7</x:v>
      </x:c>
      <x:c r="E255" s="84" t="n">
        <x:v>81</x:v>
      </x:c>
      <x:c r="F255" s="89" t="n">
        <x:v>45080.34643518519</x:v>
      </x:c>
      <x:c r="G255" s="89" t="n">
        <x:v>45082.34643518519</x:v>
      </x:c>
      <x:c r="H255" s="89" t="n">
        <x:v>45081.84643518519</x:v>
      </x:c>
      <x:c r="I255" s="89" t="n">
        <x:v>45082.59643518519</x:v>
      </x:c>
      <x:c r="J255" s="84" t="str">
        <x:v>Média</x:v>
      </x:c>
      <x:c r="K255" s="84" t="str">
        <x:v>Concluída</x:v>
      </x:c>
      <x:c r="L255" s="84" t="str">
        <x:v>Vazamento</x:v>
      </x:c>
      <x:c r="M255" s="84" t="str">
        <x:v>Falta de lubrificação</x:v>
      </x:c>
      <x:c r="N255" s="84" t="str">
        <x:v>Componente ajustado ou substituído</x:v>
      </x:c>
      <x:c r="O255" s="84" t="n">
        <x:v>0</x:v>
      </x:c>
      <x:c r="P255" s="93" t="n">
        <x:v>520.82</x:v>
      </x:c>
      <x:c r="Q255" s="93" t="n">
        <x:v>8795.58</x:v>
      </x:c>
      <x:c r="R255" s="91" t="n">
        <x:v>0</x:v>
      </x:c>
    </x:row>
    <x:row r="256">
      <x:c r="A256" s="83" t="n">
        <x:v>255</x:v>
      </x:c>
      <x:c r="B256" s="84" t="str">
        <x:v>OS-2025-00255</x:v>
      </x:c>
      <x:c r="C256" s="84" t="n">
        <x:v>37</x:v>
      </x:c>
      <x:c r="D256" s="84" t="n">
        <x:v>1</x:v>
      </x:c>
      <x:c r="E256" s="84" t="n">
        <x:v>73</x:v>
      </x:c>
      <x:c r="F256" s="89" t="n">
        <x:v>45665.55982638889</x:v>
      </x:c>
      <x:c r="G256" s="89" t="n">
        <x:v>45669.55982638889</x:v>
      </x:c>
      <x:c r="H256" s="89"/>
      <x:c r="I256" s="89"/>
      <x:c r="J256" s="84" t="str">
        <x:v>Crítica</x:v>
      </x:c>
      <x:c r="K256" s="84" t="str">
        <x:v>Cancelada</x:v>
      </x:c>
      <x:c r="L256" s="84" t="str">
        <x:v>Alarme intermitente</x:v>
      </x:c>
      <x:c r="M256" s="84"/>
      <x:c r="N256" s="84"/>
      <x:c r="O256" s="84" t="n">
        <x:v>0</x:v>
      </x:c>
      <x:c r="P256" s="93" t="n">
        <x:v>0</x:v>
      </x:c>
      <x:c r="Q256" s="93" t="n">
        <x:v>0</x:v>
      </x:c>
      <x:c r="R256" s="91" t="n">
        <x:v>0</x:v>
      </x:c>
    </x:row>
    <x:row r="257">
      <x:c r="A257" s="83" t="n">
        <x:v>256</x:v>
      </x:c>
      <x:c r="B257" s="84" t="str">
        <x:v>OS-2025-00256</x:v>
      </x:c>
      <x:c r="C257" s="84" t="n">
        <x:v>78</x:v>
      </x:c>
      <x:c r="D257" s="84" t="n">
        <x:v>1</x:v>
      </x:c>
      <x:c r="E257" s="84" t="n">
        <x:v>156</x:v>
      </x:c>
      <x:c r="F257" s="89" t="n">
        <x:v>45701.136030092595</x:v>
      </x:c>
      <x:c r="G257" s="89" t="n">
        <x:v>45703.136030092595</x:v>
      </x:c>
      <x:c r="H257" s="89" t="n">
        <x:v>45703.219363425924</x:v>
      </x:c>
      <x:c r="I257" s="89" t="n">
        <x:v>45703.969363425924</x:v>
      </x:c>
      <x:c r="J257" s="84" t="str">
        <x:v>Alta</x:v>
      </x:c>
      <x:c r="K257" s="84" t="str">
        <x:v>Encerrada</x:v>
      </x:c>
      <x:c r="L257" s="84" t="str">
        <x:v>Vazamento</x:v>
      </x:c>
      <x:c r="M257" s="84" t="str">
        <x:v>Desgaste natural</x:v>
      </x:c>
      <x:c r="N257" s="84" t="str">
        <x:v>Componente ajustado ou substituído</x:v>
      </x:c>
      <x:c r="O257" s="84" t="n">
        <x:v>0</x:v>
      </x:c>
      <x:c r="P257" s="93" t="n">
        <x:v>1053.32</x:v>
      </x:c>
      <x:c r="Q257" s="93" t="n">
        <x:v>5965.43</x:v>
      </x:c>
      <x:c r="R257" s="91" t="n">
        <x:v>0</x:v>
      </x:c>
    </x:row>
    <x:row r="258">
      <x:c r="A258" s="83" t="n">
        <x:v>257</x:v>
      </x:c>
      <x:c r="B258" s="84" t="str">
        <x:v>OS-2025-00257</x:v>
      </x:c>
      <x:c r="C258" s="84" t="n">
        <x:v>74</x:v>
      </x:c>
      <x:c r="D258" s="84" t="n">
        <x:v>1</x:v>
      </x:c>
      <x:c r="E258" s="84" t="n">
        <x:v>147</x:v>
      </x:c>
      <x:c r="F258" s="89" t="n">
        <x:v>45867.699479166666</x:v>
      </x:c>
      <x:c r="G258" s="89" t="n">
        <x:v>45867.699479166666</x:v>
      </x:c>
      <x:c r="H258" s="89" t="n">
        <x:v>45869.574479166666</x:v>
      </x:c>
      <x:c r="I258" s="89" t="n">
        <x:v>45869.824479166666</x:v>
      </x:c>
      <x:c r="J258" s="84" t="str">
        <x:v>Baixa</x:v>
      </x:c>
      <x:c r="K258" s="84" t="str">
        <x:v>Encerrada</x:v>
      </x:c>
      <x:c r="L258" s="84" t="str">
        <x:v>Desalinhamento</x:v>
      </x:c>
      <x:c r="M258" s="84" t="str">
        <x:v>Falta de lubrificação</x:v>
      </x:c>
      <x:c r="N258" s="84" t="str">
        <x:v>Componente ajustado ou substituído</x:v>
      </x:c>
      <x:c r="O258" s="84" t="n">
        <x:v>0</x:v>
      </x:c>
      <x:c r="P258" s="93" t="n">
        <x:v>616.73</x:v>
      </x:c>
      <x:c r="Q258" s="93" t="n">
        <x:v>19693.88</x:v>
      </x:c>
      <x:c r="R258" s="91" t="n">
        <x:v>0</x:v>
      </x:c>
    </x:row>
    <x:row r="259">
      <x:c r="A259" s="83" t="n">
        <x:v>258</x:v>
      </x:c>
      <x:c r="B259" s="84" t="str">
        <x:v>OS-2024-00258</x:v>
      </x:c>
      <x:c r="C259" s="84" t="n">
        <x:v>34</x:v>
      </x:c>
      <x:c r="D259" s="84" t="n">
        <x:v>7</x:v>
      </x:c>
      <x:c r="E259" s="84" t="n">
        <x:v>67</x:v>
      </x:c>
      <x:c r="F259" s="89" t="n">
        <x:v>45456.822060185186</x:v>
      </x:c>
      <x:c r="G259" s="89" t="n">
        <x:v>45463.822060185186</x:v>
      </x:c>
      <x:c r="H259" s="89" t="n">
        <x:v>45458.03039351852</x:v>
      </x:c>
      <x:c r="I259" s="89" t="n">
        <x:v>45458.36372685185</x:v>
      </x:c>
      <x:c r="J259" s="84" t="str">
        <x:v>Baixa</x:v>
      </x:c>
      <x:c r="K259" s="84" t="str">
        <x:v>Encerrada</x:v>
      </x:c>
      <x:c r="L259" s="84" t="str">
        <x:v>Alarme intermitente</x:v>
      </x:c>
      <x:c r="M259" s="84" t="str">
        <x:v>Falta de lubrificação</x:v>
      </x:c>
      <x:c r="N259" s="84" t="str">
        <x:v>Componente ajustado ou substituído</x:v>
      </x:c>
      <x:c r="O259" s="84" t="n">
        <x:v>0</x:v>
      </x:c>
      <x:c r="P259" s="93" t="n">
        <x:v>488.97</x:v>
      </x:c>
      <x:c r="Q259" s="93" t="n">
        <x:v>0</x:v>
      </x:c>
      <x:c r="R259" s="91" t="n">
        <x:v>0</x:v>
      </x:c>
    </x:row>
    <x:row r="260">
      <x:c r="A260" s="83" t="n">
        <x:v>259</x:v>
      </x:c>
      <x:c r="B260" s="84" t="str">
        <x:v>OS-2023-00259</x:v>
      </x:c>
      <x:c r="C260" s="84" t="n">
        <x:v>36</x:v>
      </x:c>
      <x:c r="D260" s="84" t="n">
        <x:v>1</x:v>
      </x:c>
      <x:c r="E260" s="84" t="n">
        <x:v>72</x:v>
      </x:c>
      <x:c r="F260" s="89" t="n">
        <x:v>45217.84408564815</x:v>
      </x:c>
      <x:c r="G260" s="89" t="n">
        <x:v>45217.84408564815</x:v>
      </x:c>
      <x:c r="H260" s="89" t="n">
        <x:v>45220.71908564815</x:v>
      </x:c>
      <x:c r="I260" s="89" t="n">
        <x:v>45221.34408564815</x:v>
      </x:c>
      <x:c r="J260" s="84" t="str">
        <x:v>Média</x:v>
      </x:c>
      <x:c r="K260" s="84" t="str">
        <x:v>Encerrada</x:v>
      </x:c>
      <x:c r="L260" s="84" t="str">
        <x:v>Ruído anormal</x:v>
      </x:c>
      <x:c r="M260" s="84" t="str">
        <x:v>Desgaste natural</x:v>
      </x:c>
      <x:c r="N260" s="84" t="str">
        <x:v>Componente ajustado ou substituído</x:v>
      </x:c>
      <x:c r="O260" s="84" t="n">
        <x:v>0</x:v>
      </x:c>
      <x:c r="P260" s="93" t="n">
        <x:v>975.37</x:v>
      </x:c>
      <x:c r="Q260" s="93" t="n">
        <x:v>0</x:v>
      </x:c>
      <x:c r="R260" s="91" t="n">
        <x:v>0</x:v>
      </x:c>
    </x:row>
    <x:row r="261">
      <x:c r="A261" s="83" t="n">
        <x:v>260</x:v>
      </x:c>
      <x:c r="B261" s="84" t="str">
        <x:v>OS-2024-00260</x:v>
      </x:c>
      <x:c r="C261" s="84" t="n">
        <x:v>21</x:v>
      </x:c>
      <x:c r="D261" s="84" t="n">
        <x:v>9</x:v>
      </x:c>
      <x:c r="E261" s="84"/>
      <x:c r="F261" s="89" t="n">
        <x:v>45632.6280787037</x:v>
      </x:c>
      <x:c r="G261" s="89" t="n">
        <x:v>45642.6280787037</x:v>
      </x:c>
      <x:c r="H261" s="89"/>
      <x:c r="I261" s="89"/>
      <x:c r="J261" s="84" t="str">
        <x:v>Alta</x:v>
      </x:c>
      <x:c r="K261" s="84" t="str">
        <x:v>Planejada</x:v>
      </x:c>
      <x:c r="L261" s="84" t="str">
        <x:v>Alarme intermitente</x:v>
      </x:c>
      <x:c r="M261" s="84"/>
      <x:c r="N261" s="84"/>
      <x:c r="O261" s="84" t="n">
        <x:v>0</x:v>
      </x:c>
      <x:c r="P261" s="93" t="n">
        <x:v>0</x:v>
      </x:c>
      <x:c r="Q261" s="93" t="n">
        <x:v>0</x:v>
      </x:c>
      <x:c r="R261" s="91" t="n">
        <x:v>0</x:v>
      </x:c>
    </x:row>
    <x:row r="262">
      <x:c r="A262" s="83" t="n">
        <x:v>261</x:v>
      </x:c>
      <x:c r="B262" s="84" t="str">
        <x:v>OS-2023-00261</x:v>
      </x:c>
      <x:c r="C262" s="84" t="n">
        <x:v>12</x:v>
      </x:c>
      <x:c r="D262" s="84" t="n">
        <x:v>2</x:v>
      </x:c>
      <x:c r="E262" s="84"/>
      <x:c r="F262" s="89" t="n">
        <x:v>45261.07171296296</x:v>
      </x:c>
      <x:c r="G262" s="89" t="n">
        <x:v>45268.07171296296</x:v>
      </x:c>
      <x:c r="H262" s="89"/>
      <x:c r="I262" s="89"/>
      <x:c r="J262" s="84" t="str">
        <x:v>Baixa</x:v>
      </x:c>
      <x:c r="K262" s="84" t="str">
        <x:v>Planejada</x:v>
      </x:c>
      <x:c r="L262" s="84" t="str">
        <x:v>Falha elétrica</x:v>
      </x:c>
      <x:c r="M262" s="84"/>
      <x:c r="N262" s="84"/>
      <x:c r="O262" s="84" t="n">
        <x:v>0</x:v>
      </x:c>
      <x:c r="P262" s="93" t="n">
        <x:v>0</x:v>
      </x:c>
      <x:c r="Q262" s="93" t="n">
        <x:v>0</x:v>
      </x:c>
      <x:c r="R262" s="91" t="n">
        <x:v>0</x:v>
      </x:c>
    </x:row>
    <x:row r="263">
      <x:c r="A263" s="83" t="n">
        <x:v>262</x:v>
      </x:c>
      <x:c r="B263" s="84" t="str">
        <x:v>OS-2023-00262</x:v>
      </x:c>
      <x:c r="C263" s="84" t="n">
        <x:v>25</x:v>
      </x:c>
      <x:c r="D263" s="84" t="n">
        <x:v>1</x:v>
      </x:c>
      <x:c r="E263" s="84" t="n">
        <x:v>50</x:v>
      </x:c>
      <x:c r="F263" s="89" t="n">
        <x:v>45082.534050925926</x:v>
      </x:c>
      <x:c r="G263" s="89" t="n">
        <x:v>45083.534050925926</x:v>
      </x:c>
      <x:c r="H263" s="89" t="n">
        <x:v>45082.57571759259</x:v>
      </x:c>
      <x:c r="I263" s="89" t="n">
        <x:v>45082.95071759259</x:v>
      </x:c>
      <x:c r="J263" s="84" t="str">
        <x:v>Baixa</x:v>
      </x:c>
      <x:c r="K263" s="84" t="str">
        <x:v>Encerrada</x:v>
      </x:c>
      <x:c r="L263" s="84" t="str">
        <x:v>Superaquecimento</x:v>
      </x:c>
      <x:c r="M263" s="84" t="str">
        <x:v>Conexão frouxa</x:v>
      </x:c>
      <x:c r="N263" s="84" t="str">
        <x:v>Componente ajustado ou substituído</x:v>
      </x:c>
      <x:c r="O263" s="84" t="n">
        <x:v>0</x:v>
      </x:c>
      <x:c r="P263" s="93" t="n">
        <x:v>352.03</x:v>
      </x:c>
      <x:c r="Q263" s="93" t="n">
        <x:v>7736.76</x:v>
      </x:c>
      <x:c r="R263" s="91" t="n">
        <x:v>0</x:v>
      </x:c>
    </x:row>
    <x:row r="264">
      <x:c r="A264" s="83" t="n">
        <x:v>263</x:v>
      </x:c>
      <x:c r="B264" s="84" t="str">
        <x:v>OS-2024-00263</x:v>
      </x:c>
      <x:c r="C264" s="84" t="n">
        <x:v>86</x:v>
      </x:c>
      <x:c r="D264" s="84" t="n">
        <x:v>2</x:v>
      </x:c>
      <x:c r="E264" s="84"/>
      <x:c r="F264" s="89" t="n">
        <x:v>45377.43498842593</x:v>
      </x:c>
      <x:c r="G264" s="89" t="n">
        <x:v>45389.43498842593</x:v>
      </x:c>
      <x:c r="H264" s="89" t="n">
        <x:v>45377.68498842593</x:v>
      </x:c>
      <x:c r="I264" s="89" t="n">
        <x:v>45378.39332175926</x:v>
      </x:c>
      <x:c r="J264" s="84" t="str">
        <x:v>Média</x:v>
      </x:c>
      <x:c r="K264" s="84" t="str">
        <x:v>Encerrada</x:v>
      </x:c>
      <x:c r="L264" s="84" t="str">
        <x:v>Ruído anormal</x:v>
      </x:c>
      <x:c r="M264" s="84" t="str">
        <x:v>Componente danificado</x:v>
      </x:c>
      <x:c r="N264" s="84" t="str">
        <x:v>Componente ajustado ou substituído</x:v>
      </x:c>
      <x:c r="O264" s="84" t="n">
        <x:v>0</x:v>
      </x:c>
      <x:c r="P264" s="93" t="n">
        <x:v>93.86</x:v>
      </x:c>
      <x:c r="Q264" s="93" t="n">
        <x:v>15193.94</x:v>
      </x:c>
      <x:c r="R264" s="91" t="n">
        <x:v>0</x:v>
      </x:c>
    </x:row>
    <x:row r="265">
      <x:c r="A265" s="83" t="n">
        <x:v>264</x:v>
      </x:c>
      <x:c r="B265" s="84" t="str">
        <x:v>OS-2024-00264</x:v>
      </x:c>
      <x:c r="C265" s="84" t="n">
        <x:v>80</x:v>
      </x:c>
      <x:c r="D265" s="84" t="n">
        <x:v>3</x:v>
      </x:c>
      <x:c r="E265" s="84"/>
      <x:c r="F265" s="89" t="n">
        <x:v>45501.63085648148</x:v>
      </x:c>
      <x:c r="G265" s="89"/>
      <x:c r="H265" s="89"/>
      <x:c r="I265" s="89"/>
      <x:c r="J265" s="84" t="str">
        <x:v>Baixa</x:v>
      </x:c>
      <x:c r="K265" s="84" t="str">
        <x:v>Planejada</x:v>
      </x:c>
      <x:c r="L265" s="84" t="str">
        <x:v>Falha elétrica</x:v>
      </x:c>
      <x:c r="M265" s="84"/>
      <x:c r="N265" s="84"/>
      <x:c r="O265" s="84" t="n">
        <x:v>0</x:v>
      </x:c>
      <x:c r="P265" s="93" t="n">
        <x:v>0</x:v>
      </x:c>
      <x:c r="Q265" s="93" t="n">
        <x:v>0</x:v>
      </x:c>
      <x:c r="R265" s="91" t="n">
        <x:v>0</x:v>
      </x:c>
    </x:row>
    <x:row r="266">
      <x:c r="A266" s="83" t="n">
        <x:v>265</x:v>
      </x:c>
      <x:c r="B266" s="84" t="str">
        <x:v>OS-2024-00265</x:v>
      </x:c>
      <x:c r="C266" s="84" t="n">
        <x:v>34</x:v>
      </x:c>
      <x:c r="D266" s="84" t="n">
        <x:v>5</x:v>
      </x:c>
      <x:c r="E266" s="84" t="n">
        <x:v>68</x:v>
      </x:c>
      <x:c r="F266" s="89" t="n">
        <x:v>45364.917037037034</x:v>
      </x:c>
      <x:c r="G266" s="89" t="n">
        <x:v>45364.917037037034</x:v>
      </x:c>
      <x:c r="H266" s="89" t="n">
        <x:v>45366.62537037037</x:v>
      </x:c>
      <x:c r="I266" s="89" t="n">
        <x:v>45367.25037037037</x:v>
      </x:c>
      <x:c r="J266" s="84" t="str">
        <x:v>Baixa</x:v>
      </x:c>
      <x:c r="K266" s="84" t="str">
        <x:v>Encerrada</x:v>
      </x:c>
      <x:c r="L266" s="84" t="str">
        <x:v>Ruído anormal</x:v>
      </x:c>
      <x:c r="M266" s="84" t="str">
        <x:v>Desgaste natural</x:v>
      </x:c>
      <x:c r="N266" s="84" t="str">
        <x:v>Componente ajustado ou substituído</x:v>
      </x:c>
      <x:c r="O266" s="84" t="n">
        <x:v>0</x:v>
      </x:c>
      <x:c r="P266" s="93" t="n">
        <x:v>687.2</x:v>
      </x:c>
      <x:c r="Q266" s="93" t="n">
        <x:v>20257.83</x:v>
      </x:c>
      <x:c r="R266" s="91" t="n">
        <x:v>0</x:v>
      </x:c>
    </x:row>
    <x:row r="267">
      <x:c r="A267" s="83" t="n">
        <x:v>266</x:v>
      </x:c>
      <x:c r="B267" s="84" t="str">
        <x:v>OS-2023-00266</x:v>
      </x:c>
      <x:c r="C267" s="84" t="n">
        <x:v>34</x:v>
      </x:c>
      <x:c r="D267" s="84" t="n">
        <x:v>5</x:v>
      </x:c>
      <x:c r="E267" s="84" t="n">
        <x:v>68</x:v>
      </x:c>
      <x:c r="F267" s="89" t="n">
        <x:v>45271.38935185185</x:v>
      </x:c>
      <x:c r="G267" s="89" t="n">
        <x:v>45283.38935185185</x:v>
      </x:c>
      <x:c r="H267" s="89" t="n">
        <x:v>45272.05601851852</x:v>
      </x:c>
      <x:c r="I267" s="89" t="n">
        <x:v>45272.43101851852</x:v>
      </x:c>
      <x:c r="J267" s="84" t="str">
        <x:v>Baixa</x:v>
      </x:c>
      <x:c r="K267" s="84" t="str">
        <x:v>Encerrada</x:v>
      </x:c>
      <x:c r="L267" s="84" t="str">
        <x:v>Desalinhamento</x:v>
      </x:c>
      <x:c r="M267" s="84" t="str">
        <x:v>Contaminação</x:v>
      </x:c>
      <x:c r="N267" s="84" t="str">
        <x:v>Componente ajustado ou substituído</x:v>
      </x:c>
      <x:c r="O267" s="84" t="n">
        <x:v>0</x:v>
      </x:c>
      <x:c r="P267" s="93" t="n">
        <x:v>146.16</x:v>
      </x:c>
      <x:c r="Q267" s="93" t="n">
        <x:v>10799.79</x:v>
      </x:c>
      <x:c r="R267" s="91" t="n">
        <x:v>0</x:v>
      </x:c>
    </x:row>
    <x:row r="268">
      <x:c r="A268" s="83" t="n">
        <x:v>267</x:v>
      </x:c>
      <x:c r="B268" s="84" t="str">
        <x:v>OS-2024-00267</x:v>
      </x:c>
      <x:c r="C268" s="84" t="n">
        <x:v>64</x:v>
      </x:c>
      <x:c r="D268" s="84" t="n">
        <x:v>6</x:v>
      </x:c>
      <x:c r="E268" s="84"/>
      <x:c r="F268" s="89" t="n">
        <x:v>45384.24606481481</x:v>
      </x:c>
      <x:c r="G268" s="89" t="n">
        <x:v>45391.24606481481</x:v>
      </x:c>
      <x:c r="H268" s="89" t="n">
        <x:v>45385.41273148148</x:v>
      </x:c>
      <x:c r="I268" s="89" t="n">
        <x:v>45385.99606481481</x:v>
      </x:c>
      <x:c r="J268" s="84" t="str">
        <x:v>Crítica</x:v>
      </x:c>
      <x:c r="K268" s="84" t="str">
        <x:v>Encerrada</x:v>
      </x:c>
      <x:c r="L268" s="84" t="str">
        <x:v>Baixa pressão</x:v>
      </x:c>
      <x:c r="M268" s="84" t="str">
        <x:v>Componente danificado</x:v>
      </x:c>
      <x:c r="N268" s="84" t="str">
        <x:v>Componente ajustado ou substituído</x:v>
      </x:c>
      <x:c r="O268" s="84" t="n">
        <x:v>0</x:v>
      </x:c>
      <x:c r="P268" s="93" t="n">
        <x:v>134.55</x:v>
      </x:c>
      <x:c r="Q268" s="93" t="n">
        <x:v>8802.02</x:v>
      </x:c>
      <x:c r="R268" s="91" t="n">
        <x:v>0</x:v>
      </x:c>
    </x:row>
    <x:row r="269">
      <x:c r="A269" s="83" t="n">
        <x:v>268</x:v>
      </x:c>
      <x:c r="B269" s="84" t="str">
        <x:v>OS-2023-00268</x:v>
      </x:c>
      <x:c r="C269" s="84" t="n">
        <x:v>53</x:v>
      </x:c>
      <x:c r="D269" s="84" t="n">
        <x:v>7</x:v>
      </x:c>
      <x:c r="E269" s="84" t="n">
        <x:v>105</x:v>
      </x:c>
      <x:c r="F269" s="89" t="n">
        <x:v>45190.53556712963</x:v>
      </x:c>
      <x:c r="G269" s="89" t="n">
        <x:v>45197.53556712963</x:v>
      </x:c>
      <x:c r="H269" s="89" t="n">
        <x:v>45192.03556712963</x:v>
      </x:c>
      <x:c r="I269" s="89" t="n">
        <x:v>45192.61890046296</x:v>
      </x:c>
      <x:c r="J269" s="84" t="str">
        <x:v>Alta</x:v>
      </x:c>
      <x:c r="K269" s="84" t="str">
        <x:v>Encerrada</x:v>
      </x:c>
      <x:c r="L269" s="84" t="str">
        <x:v>Vazamento</x:v>
      </x:c>
      <x:c r="M269" s="84" t="str">
        <x:v>Falta de lubrificação</x:v>
      </x:c>
      <x:c r="N269" s="84" t="str">
        <x:v>Componente ajustado ou substituído</x:v>
      </x:c>
      <x:c r="O269" s="84" t="n">
        <x:v>0</x:v>
      </x:c>
      <x:c r="P269" s="93" t="n">
        <x:v>366.22</x:v>
      </x:c>
      <x:c r="Q269" s="93" t="n">
        <x:v>0</x:v>
      </x:c>
      <x:c r="R269" s="91" t="n">
        <x:v>0</x:v>
      </x:c>
    </x:row>
    <x:row r="270">
      <x:c r="A270" s="83" t="n">
        <x:v>269</x:v>
      </x:c>
      <x:c r="B270" s="84" t="str">
        <x:v>OS-2025-00269</x:v>
      </x:c>
      <x:c r="C270" s="84" t="n">
        <x:v>60</x:v>
      </x:c>
      <x:c r="D270" s="84" t="n">
        <x:v>1</x:v>
      </x:c>
      <x:c r="E270" s="84" t="n">
        <x:v>120</x:v>
      </x:c>
      <x:c r="F270" s="89" t="n">
        <x:v>45945.454375</x:v>
      </x:c>
      <x:c r="G270" s="89" t="n">
        <x:v>45955.454375</x:v>
      </x:c>
      <x:c r="H270" s="89" t="n">
        <x:v>45946.91270833334</x:v>
      </x:c>
      <x:c r="I270" s="89" t="n">
        <x:v>45947.371041666665</x:v>
      </x:c>
      <x:c r="J270" s="84" t="str">
        <x:v>Crítica</x:v>
      </x:c>
      <x:c r="K270" s="84" t="str">
        <x:v>Encerrada</x:v>
      </x:c>
      <x:c r="L270" s="84" t="str">
        <x:v>Superaquecimento</x:v>
      </x:c>
      <x:c r="M270" s="84" t="str">
        <x:v>Contaminação</x:v>
      </x:c>
      <x:c r="N270" s="84" t="str">
        <x:v>Componente ajustado ou substituído</x:v>
      </x:c>
      <x:c r="O270" s="84" t="n">
        <x:v>0</x:v>
      </x:c>
      <x:c r="P270" s="93" t="n">
        <x:v>226.72</x:v>
      </x:c>
      <x:c r="Q270" s="93" t="n">
        <x:v>912.34</x:v>
      </x:c>
      <x:c r="R270" s="91" t="n">
        <x:v>3811.02</x:v>
      </x:c>
    </x:row>
    <x:row r="271">
      <x:c r="A271" s="83" t="n">
        <x:v>270</x:v>
      </x:c>
      <x:c r="B271" s="84" t="str">
        <x:v>OS-2023-00270</x:v>
      </x:c>
      <x:c r="C271" s="84" t="n">
        <x:v>47</x:v>
      </x:c>
      <x:c r="D271" s="84" t="n">
        <x:v>1</x:v>
      </x:c>
      <x:c r="E271" s="84" t="n">
        <x:v>94</x:v>
      </x:c>
      <x:c r="F271" s="89" t="n">
        <x:v>44929.937789351854</x:v>
      </x:c>
      <x:c r="G271" s="89" t="n">
        <x:v>44931.937789351854</x:v>
      </x:c>
      <x:c r="H271" s="89"/>
      <x:c r="I271" s="89"/>
      <x:c r="J271" s="84" t="str">
        <x:v>Baixa</x:v>
      </x:c>
      <x:c r="K271" s="84" t="str">
        <x:v>Planejada</x:v>
      </x:c>
      <x:c r="L271" s="84" t="str">
        <x:v>Baixa pressão</x:v>
      </x:c>
      <x:c r="M271" s="84"/>
      <x:c r="N271" s="84"/>
      <x:c r="O271" s="84" t="n">
        <x:v>0</x:v>
      </x:c>
      <x:c r="P271" s="93" t="n">
        <x:v>0</x:v>
      </x:c>
      <x:c r="Q271" s="93" t="n">
        <x:v>0</x:v>
      </x:c>
      <x:c r="R271" s="91" t="n">
        <x:v>0</x:v>
      </x:c>
    </x:row>
    <x:row r="272">
      <x:c r="A272" s="83" t="n">
        <x:v>271</x:v>
      </x:c>
      <x:c r="B272" s="84" t="str">
        <x:v>OS-2023-00271</x:v>
      </x:c>
      <x:c r="C272" s="84" t="n">
        <x:v>24</x:v>
      </x:c>
      <x:c r="D272" s="84" t="n">
        <x:v>3</x:v>
      </x:c>
      <x:c r="E272" s="84"/>
      <x:c r="F272" s="89" t="n">
        <x:v>44956.399502314816</x:v>
      </x:c>
      <x:c r="G272" s="89"/>
      <x:c r="H272" s="89"/>
      <x:c r="I272" s="89"/>
      <x:c r="J272" s="84" t="str">
        <x:v>Média</x:v>
      </x:c>
      <x:c r="K272" s="84" t="str">
        <x:v>Planejada</x:v>
      </x:c>
      <x:c r="L272" s="84" t="str">
        <x:v>Ruído anormal</x:v>
      </x:c>
      <x:c r="M272" s="84"/>
      <x:c r="N272" s="84"/>
      <x:c r="O272" s="84" t="n">
        <x:v>0</x:v>
      </x:c>
      <x:c r="P272" s="93" t="n">
        <x:v>0</x:v>
      </x:c>
      <x:c r="Q272" s="93" t="n">
        <x:v>0</x:v>
      </x:c>
      <x:c r="R272" s="91" t="n">
        <x:v>0</x:v>
      </x:c>
    </x:row>
    <x:row r="273">
      <x:c r="A273" s="83" t="n">
        <x:v>272</x:v>
      </x:c>
      <x:c r="B273" s="84" t="str">
        <x:v>OS-2024-00272</x:v>
      </x:c>
      <x:c r="C273" s="84" t="n">
        <x:v>47</x:v>
      </x:c>
      <x:c r="D273" s="84" t="n">
        <x:v>1</x:v>
      </x:c>
      <x:c r="E273" s="84" t="n">
        <x:v>93</x:v>
      </x:c>
      <x:c r="F273" s="89" t="n">
        <x:v>45516.57482638889</x:v>
      </x:c>
      <x:c r="G273" s="89" t="n">
        <x:v>45531.57482638889</x:v>
      </x:c>
      <x:c r="H273" s="89" t="n">
        <x:v>45518.82482638889</x:v>
      </x:c>
      <x:c r="I273" s="89" t="n">
        <x:v>45518.94982638889</x:v>
      </x:c>
      <x:c r="J273" s="84" t="str">
        <x:v>Alta</x:v>
      </x:c>
      <x:c r="K273" s="84" t="str">
        <x:v>Concluída</x:v>
      </x:c>
      <x:c r="L273" s="84" t="str">
        <x:v>Desalinhamento</x:v>
      </x:c>
      <x:c r="M273" s="84" t="str">
        <x:v>Falta de lubrificação</x:v>
      </x:c>
      <x:c r="N273" s="84" t="str">
        <x:v>Componente ajustado ou substituído</x:v>
      </x:c>
      <x:c r="O273" s="84" t="n">
        <x:v>1</x:v>
      </x:c>
      <x:c r="P273" s="93" t="n">
        <x:v>227.13</x:v>
      </x:c>
      <x:c r="Q273" s="93" t="n">
        <x:v>4716.24</x:v>
      </x:c>
      <x:c r="R273" s="91" t="n">
        <x:v>14704.91</x:v>
      </x:c>
    </x:row>
    <x:row r="274">
      <x:c r="A274" s="83" t="n">
        <x:v>273</x:v>
      </x:c>
      <x:c r="B274" s="84" t="str">
        <x:v>OS-2025-00273</x:v>
      </x:c>
      <x:c r="C274" s="84" t="n">
        <x:v>45</x:v>
      </x:c>
      <x:c r="D274" s="84" t="n">
        <x:v>3</x:v>
      </x:c>
      <x:c r="E274" s="84"/>
      <x:c r="F274" s="89" t="n">
        <x:v>45812.79771990741</x:v>
      </x:c>
      <x:c r="G274" s="89"/>
      <x:c r="H274" s="89" t="n">
        <x:v>45814.17271990741</x:v>
      </x:c>
      <x:c r="I274" s="89" t="n">
        <x:v>45814.29771990741</x:v>
      </x:c>
      <x:c r="J274" s="84" t="str">
        <x:v>Crítica</x:v>
      </x:c>
      <x:c r="K274" s="84" t="str">
        <x:v>Concluída</x:v>
      </x:c>
      <x:c r="L274" s="84" t="str">
        <x:v>Falha elétrica</x:v>
      </x:c>
      <x:c r="M274" s="84" t="str">
        <x:v>Componente danificado</x:v>
      </x:c>
      <x:c r="N274" s="84" t="str">
        <x:v>Componente ajustado ou substituído</x:v>
      </x:c>
      <x:c r="O274" s="84" t="n">
        <x:v>0</x:v>
      </x:c>
      <x:c r="P274" s="93" t="n">
        <x:v>82.02</x:v>
      </x:c>
      <x:c r="Q274" s="93" t="n">
        <x:v>9922.04</x:v>
      </x:c>
      <x:c r="R274" s="91" t="n">
        <x:v>12017.28</x:v>
      </x:c>
    </x:row>
    <x:row r="275">
      <x:c r="A275" s="83" t="n">
        <x:v>274</x:v>
      </x:c>
      <x:c r="B275" s="84" t="str">
        <x:v>OS-2025-00274</x:v>
      </x:c>
      <x:c r="C275" s="84" t="n">
        <x:v>6</x:v>
      </x:c>
      <x:c r="D275" s="84" t="n">
        <x:v>7</x:v>
      </x:c>
      <x:c r="E275" s="84" t="n">
        <x:v>12</x:v>
      </x:c>
      <x:c r="F275" s="89" t="n">
        <x:v>45889.01002314815</x:v>
      </x:c>
      <x:c r="G275" s="89" t="n">
        <x:v>45898.01002314815</x:v>
      </x:c>
      <x:c r="H275" s="89" t="n">
        <x:v>45891.51002314815</x:v>
      </x:c>
      <x:c r="I275" s="89" t="n">
        <x:v>45891.92668981481</x:v>
      </x:c>
      <x:c r="J275" s="84" t="str">
        <x:v>Média</x:v>
      </x:c>
      <x:c r="K275" s="84" t="str">
        <x:v>Encerrada</x:v>
      </x:c>
      <x:c r="L275" s="84" t="str">
        <x:v>Baixa pressão</x:v>
      </x:c>
      <x:c r="M275" s="84" t="str">
        <x:v>Ajuste incorreto</x:v>
      </x:c>
      <x:c r="N275" s="84" t="str">
        <x:v>Componente ajustado ou substituído</x:v>
      </x:c>
      <x:c r="O275" s="84" t="n">
        <x:v>0</x:v>
      </x:c>
      <x:c r="P275" s="93" t="n">
        <x:v>82.82</x:v>
      </x:c>
      <x:c r="Q275" s="93" t="n">
        <x:v>10285.9</x:v>
      </x:c>
      <x:c r="R275" s="91" t="n">
        <x:v>0</x:v>
      </x:c>
    </x:row>
    <x:row r="276">
      <x:c r="A276" s="83" t="n">
        <x:v>275</x:v>
      </x:c>
      <x:c r="B276" s="84" t="str">
        <x:v>OS-2025-00275</x:v>
      </x:c>
      <x:c r="C276" s="84" t="n">
        <x:v>73</x:v>
      </x:c>
      <x:c r="D276" s="84" t="n">
        <x:v>1</x:v>
      </x:c>
      <x:c r="E276" s="84" t="n">
        <x:v>146</x:v>
      </x:c>
      <x:c r="F276" s="89" t="n">
        <x:v>45726.62925925926</x:v>
      </x:c>
      <x:c r="G276" s="89" t="n">
        <x:v>45739.62925925926</x:v>
      </x:c>
      <x:c r="H276" s="89" t="n">
        <x:v>45727.17092592592</x:v>
      </x:c>
      <x:c r="I276" s="89" t="n">
        <x:v>45727.337592592594</x:v>
      </x:c>
      <x:c r="J276" s="84" t="str">
        <x:v>Média</x:v>
      </x:c>
      <x:c r="K276" s="84" t="str">
        <x:v>Encerrada</x:v>
      </x:c>
      <x:c r="L276" s="84" t="str">
        <x:v>Superaquecimento</x:v>
      </x:c>
      <x:c r="M276" s="84" t="str">
        <x:v>Falta de lubrificação</x:v>
      </x:c>
      <x:c r="N276" s="84" t="str">
        <x:v>Componente ajustado ou substituído</x:v>
      </x:c>
      <x:c r="O276" s="84" t="n">
        <x:v>0</x:v>
      </x:c>
      <x:c r="P276" s="93" t="n">
        <x:v>524.22</x:v>
      </x:c>
      <x:c r="Q276" s="93" t="n">
        <x:v>10275.06</x:v>
      </x:c>
      <x:c r="R276" s="91" t="n">
        <x:v>0</x:v>
      </x:c>
    </x:row>
    <x:row r="277">
      <x:c r="A277" s="83" t="n">
        <x:v>276</x:v>
      </x:c>
      <x:c r="B277" s="84" t="str">
        <x:v>OS-2023-00276</x:v>
      </x:c>
      <x:c r="C277" s="84" t="n">
        <x:v>59</x:v>
      </x:c>
      <x:c r="D277" s="84" t="n">
        <x:v>5</x:v>
      </x:c>
      <x:c r="E277" s="84" t="n">
        <x:v>118</x:v>
      </x:c>
      <x:c r="F277" s="89" t="n">
        <x:v>44993.37872685185</x:v>
      </x:c>
      <x:c r="G277" s="89" t="n">
        <x:v>44998.37872685185</x:v>
      </x:c>
      <x:c r="H277" s="89" t="n">
        <x:v>44996.12872685185</x:v>
      </x:c>
      <x:c r="I277" s="89" t="n">
        <x:v>44996.837060185186</x:v>
      </x:c>
      <x:c r="J277" s="84" t="str">
        <x:v>Alta</x:v>
      </x:c>
      <x:c r="K277" s="84" t="str">
        <x:v>Encerrada</x:v>
      </x:c>
      <x:c r="L277" s="84" t="str">
        <x:v>Superaquecimento</x:v>
      </x:c>
      <x:c r="M277" s="84" t="str">
        <x:v>Contaminação</x:v>
      </x:c>
      <x:c r="N277" s="84" t="str">
        <x:v>Componente ajustado ou substituído</x:v>
      </x:c>
      <x:c r="O277" s="84" t="n">
        <x:v>0</x:v>
      </x:c>
      <x:c r="P277" s="93" t="n">
        <x:v>485.33</x:v>
      </x:c>
      <x:c r="Q277" s="93" t="n">
        <x:v>9623.28</x:v>
      </x:c>
      <x:c r="R277" s="91" t="n">
        <x:v>0</x:v>
      </x:c>
    </x:row>
    <x:row r="278">
      <x:c r="A278" s="83" t="n">
        <x:v>277</x:v>
      </x:c>
      <x:c r="B278" s="84" t="str">
        <x:v>OS-2023-00277</x:v>
      </x:c>
      <x:c r="C278" s="84" t="n">
        <x:v>87</x:v>
      </x:c>
      <x:c r="D278" s="84" t="n">
        <x:v>4</x:v>
      </x:c>
      <x:c r="E278" s="84"/>
      <x:c r="F278" s="89" t="n">
        <x:v>45236.436273148145</x:v>
      </x:c>
      <x:c r="G278" s="89" t="n">
        <x:v>45245.436273148145</x:v>
      </x:c>
      <x:c r="H278" s="89" t="n">
        <x:v>45238.35293981482</x:v>
      </x:c>
      <x:c r="I278" s="89" t="n">
        <x:v>45238.60293981482</x:v>
      </x:c>
      <x:c r="J278" s="84" t="str">
        <x:v>Baixa</x:v>
      </x:c>
      <x:c r="K278" s="84" t="str">
        <x:v>Encerrada</x:v>
      </x:c>
      <x:c r="L278" s="84" t="str">
        <x:v>Alarme intermitente</x:v>
      </x:c>
      <x:c r="M278" s="84" t="str">
        <x:v>Componente danificado</x:v>
      </x:c>
      <x:c r="N278" s="84" t="str">
        <x:v>Componente ajustado ou substituído</x:v>
      </x:c>
      <x:c r="O278" s="84" t="n">
        <x:v>0</x:v>
      </x:c>
      <x:c r="P278" s="93" t="n">
        <x:v>65.16</x:v>
      </x:c>
      <x:c r="Q278" s="93" t="n">
        <x:v>0</x:v>
      </x:c>
      <x:c r="R278" s="91" t="n">
        <x:v>0</x:v>
      </x:c>
    </x:row>
    <x:row r="279">
      <x:c r="A279" s="83" t="n">
        <x:v>278</x:v>
      </x:c>
      <x:c r="B279" s="84" t="str">
        <x:v>OS-2025-00278</x:v>
      </x:c>
      <x:c r="C279" s="84" t="n">
        <x:v>19</x:v>
      </x:c>
      <x:c r="D279" s="84" t="n">
        <x:v>2</x:v>
      </x:c>
      <x:c r="E279" s="84"/>
      <x:c r="F279" s="89" t="n">
        <x:v>46010.08934027778</x:v>
      </x:c>
      <x:c r="G279" s="89" t="n">
        <x:v>46019.08934027778</x:v>
      </x:c>
      <x:c r="H279" s="89" t="n">
        <x:v>46013.006006944444</x:v>
      </x:c>
      <x:c r="I279" s="89"/>
      <x:c r="J279" s="84" t="str">
        <x:v>Baixa</x:v>
      </x:c>
      <x:c r="K279" s="84" t="str">
        <x:v>Em execução</x:v>
      </x:c>
      <x:c r="L279" s="84" t="str">
        <x:v>Vazamento</x:v>
      </x:c>
      <x:c r="M279" s="84" t="str">
        <x:v>Falta de lubrificação</x:v>
      </x:c>
      <x:c r="N279" s="84"/>
      <x:c r="O279" s="84" t="n">
        <x:v>0</x:v>
      </x:c>
      <x:c r="P279" s="93" t="n">
        <x:v>536.07</x:v>
      </x:c>
      <x:c r="Q279" s="93" t="n">
        <x:v>0</x:v>
      </x:c>
      <x:c r="R279" s="91" t="n">
        <x:v>0</x:v>
      </x:c>
    </x:row>
    <x:row r="280">
      <x:c r="A280" s="83" t="n">
        <x:v>279</x:v>
      </x:c>
      <x:c r="B280" s="84" t="str">
        <x:v>OS-2023-00279</x:v>
      </x:c>
      <x:c r="C280" s="84" t="n">
        <x:v>76</x:v>
      </x:c>
      <x:c r="D280" s="84" t="n">
        <x:v>3</x:v>
      </x:c>
      <x:c r="E280" s="84"/>
      <x:c r="F280" s="89" t="n">
        <x:v>45149.48296296296</x:v>
      </x:c>
      <x:c r="G280" s="89"/>
      <x:c r="H280" s="89" t="n">
        <x:v>45150.10796296296</x:v>
      </x:c>
      <x:c r="I280" s="89" t="n">
        <x:v>45150.191296296296</x:v>
      </x:c>
      <x:c r="J280" s="84" t="str">
        <x:v>Crítica</x:v>
      </x:c>
      <x:c r="K280" s="84" t="str">
        <x:v>Concluída</x:v>
      </x:c>
      <x:c r="L280" s="84" t="str">
        <x:v>Desalinhamento</x:v>
      </x:c>
      <x:c r="M280" s="84" t="str">
        <x:v>Falta de lubrificação</x:v>
      </x:c>
      <x:c r="N280" s="84" t="str">
        <x:v>Componente ajustado ou substituído</x:v>
      </x:c>
      <x:c r="O280" s="84" t="n">
        <x:v>0</x:v>
      </x:c>
      <x:c r="P280" s="93" t="n">
        <x:v>262.58</x:v>
      </x:c>
      <x:c r="Q280" s="93" t="n">
        <x:v>1439.62</x:v>
      </x:c>
      <x:c r="R280" s="91" t="n">
        <x:v>2414.22</x:v>
      </x:c>
    </x:row>
    <x:row r="281">
      <x:c r="A281" s="83" t="n">
        <x:v>280</x:v>
      </x:c>
      <x:c r="B281" s="84" t="str">
        <x:v>OS-2025-00280</x:v>
      </x:c>
      <x:c r="C281" s="84" t="n">
        <x:v>62</x:v>
      </x:c>
      <x:c r="D281" s="84" t="n">
        <x:v>7</x:v>
      </x:c>
      <x:c r="E281" s="84" t="n">
        <x:v>124</x:v>
      </x:c>
      <x:c r="F281" s="89" t="n">
        <x:v>46015.01527777778</x:v>
      </x:c>
      <x:c r="G281" s="89" t="n">
        <x:v>46030.01527777778</x:v>
      </x:c>
      <x:c r="H281" s="89" t="n">
        <x:v>46016.64027777778</x:v>
      </x:c>
      <x:c r="I281" s="89" t="n">
        <x:v>46016.89027777778</x:v>
      </x:c>
      <x:c r="J281" s="84" t="str">
        <x:v>Alta</x:v>
      </x:c>
      <x:c r="K281" s="84" t="str">
        <x:v>Concluída</x:v>
      </x:c>
      <x:c r="L281" s="84" t="str">
        <x:v>Vazamento</x:v>
      </x:c>
      <x:c r="M281" s="84" t="str">
        <x:v>Falta de lubrificação</x:v>
      </x:c>
      <x:c r="N281" s="84" t="str">
        <x:v>Componente ajustado ou substituído</x:v>
      </x:c>
      <x:c r="O281" s="84" t="n">
        <x:v>0</x:v>
      </x:c>
      <x:c r="P281" s="93" t="n">
        <x:v>505.44</x:v>
      </x:c>
      <x:c r="Q281" s="93" t="n">
        <x:v>10749.2</x:v>
      </x:c>
      <x:c r="R281" s="91" t="n">
        <x:v>0</x:v>
      </x:c>
    </x:row>
    <x:row r="282">
      <x:c r="A282" s="83" t="n">
        <x:v>281</x:v>
      </x:c>
      <x:c r="B282" s="84" t="str">
        <x:v>OS-2025-00281</x:v>
      </x:c>
      <x:c r="C282" s="84" t="n">
        <x:v>68</x:v>
      </x:c>
      <x:c r="D282" s="84" t="n">
        <x:v>3</x:v>
      </x:c>
      <x:c r="E282" s="84"/>
      <x:c r="F282" s="89" t="n">
        <x:v>45890.652094907404</x:v>
      </x:c>
      <x:c r="G282" s="89"/>
      <x:c r="H282" s="89" t="n">
        <x:v>45893.193761574075</x:v>
      </x:c>
      <x:c r="I282" s="89" t="n">
        <x:v>45893.61042824074</x:v>
      </x:c>
      <x:c r="J282" s="84" t="str">
        <x:v>Crítica</x:v>
      </x:c>
      <x:c r="K282" s="84" t="str">
        <x:v>Encerrada</x:v>
      </x:c>
      <x:c r="L282" s="84" t="str">
        <x:v>Falha elétrica</x:v>
      </x:c>
      <x:c r="M282" s="84" t="str">
        <x:v>Desgaste natural</x:v>
      </x:c>
      <x:c r="N282" s="84" t="str">
        <x:v>Componente ajustado ou substituído</x:v>
      </x:c>
      <x:c r="O282" s="84" t="n">
        <x:v>0</x:v>
      </x:c>
      <x:c r="P282" s="93" t="n">
        <x:v>510.48</x:v>
      </x:c>
      <x:c r="Q282" s="93" t="n">
        <x:v>9407.74</x:v>
      </x:c>
      <x:c r="R282" s="91" t="n">
        <x:v>0</x:v>
      </x:c>
    </x:row>
    <x:row r="283">
      <x:c r="A283" s="83" t="n">
        <x:v>282</x:v>
      </x:c>
      <x:c r="B283" s="84" t="str">
        <x:v>OS-2025-00282</x:v>
      </x:c>
      <x:c r="C283" s="84" t="n">
        <x:v>69</x:v>
      </x:c>
      <x:c r="D283" s="84" t="n">
        <x:v>4</x:v>
      </x:c>
      <x:c r="E283" s="84"/>
      <x:c r="F283" s="89" t="n">
        <x:v>45959.95730324074</x:v>
      </x:c>
      <x:c r="G283" s="89" t="n">
        <x:v>45974.95730324074</x:v>
      </x:c>
      <x:c r="H283" s="89" t="n">
        <x:v>45962.08230324074</x:v>
      </x:c>
      <x:c r="I283" s="89" t="n">
        <x:v>45962.12396990741</x:v>
      </x:c>
      <x:c r="J283" s="84" t="str">
        <x:v>Crítica</x:v>
      </x:c>
      <x:c r="K283" s="84" t="str">
        <x:v>Encerrada</x:v>
      </x:c>
      <x:c r="L283" s="84" t="str">
        <x:v>Ruído anormal</x:v>
      </x:c>
      <x:c r="M283" s="84" t="str">
        <x:v>Componente danificado</x:v>
      </x:c>
      <x:c r="N283" s="84" t="str">
        <x:v>Componente ajustado ou substituído</x:v>
      </x:c>
      <x:c r="O283" s="84" t="n">
        <x:v>0</x:v>
      </x:c>
      <x:c r="P283" s="93" t="n">
        <x:v>379.35</x:v>
      </x:c>
      <x:c r="Q283" s="93" t="n">
        <x:v>1100.4</x:v>
      </x:c>
      <x:c r="R283" s="91" t="n">
        <x:v>0</x:v>
      </x:c>
    </x:row>
    <x:row r="284">
      <x:c r="A284" s="83" t="n">
        <x:v>283</x:v>
      </x:c>
      <x:c r="B284" s="84" t="str">
        <x:v>OS-2025-00283</x:v>
      </x:c>
      <x:c r="C284" s="84" t="n">
        <x:v>13</x:v>
      </x:c>
      <x:c r="D284" s="84" t="n">
        <x:v>7</x:v>
      </x:c>
      <x:c r="E284" s="84" t="n">
        <x:v>25</x:v>
      </x:c>
      <x:c r="F284" s="89" t="n">
        <x:v>45846.21344907407</x:v>
      </x:c>
      <x:c r="G284" s="89" t="n">
        <x:v>45853.21344907407</x:v>
      </x:c>
      <x:c r="H284" s="89" t="n">
        <x:v>45849.04678240741</x:v>
      </x:c>
      <x:c r="I284" s="89" t="n">
        <x:v>45849.21344907407</x:v>
      </x:c>
      <x:c r="J284" s="84" t="str">
        <x:v>Crítica</x:v>
      </x:c>
      <x:c r="K284" s="84" t="str">
        <x:v>Encerrada</x:v>
      </x:c>
      <x:c r="L284" s="84" t="str">
        <x:v>Desalinhamento</x:v>
      </x:c>
      <x:c r="M284" s="84" t="str">
        <x:v>Ajuste incorreto</x:v>
      </x:c>
      <x:c r="N284" s="84" t="str">
        <x:v>Componente ajustado ou substituído</x:v>
      </x:c>
      <x:c r="O284" s="84" t="n">
        <x:v>0</x:v>
      </x:c>
      <x:c r="P284" s="93" t="n">
        <x:v>584.34</x:v>
      </x:c>
      <x:c r="Q284" s="93" t="n">
        <x:v>2624.58</x:v>
      </x:c>
      <x:c r="R284" s="91" t="n">
        <x:v>0</x:v>
      </x:c>
    </x:row>
    <x:row r="285">
      <x:c r="A285" s="83" t="n">
        <x:v>284</x:v>
      </x:c>
      <x:c r="B285" s="84" t="str">
        <x:v>OS-2025-00284</x:v>
      </x:c>
      <x:c r="C285" s="84" t="n">
        <x:v>25</x:v>
      </x:c>
      <x:c r="D285" s="84" t="n">
        <x:v>1</x:v>
      </x:c>
      <x:c r="E285" s="84" t="n">
        <x:v>50</x:v>
      </x:c>
      <x:c r="F285" s="89" t="n">
        <x:v>45930.143125</x:v>
      </x:c>
      <x:c r="G285" s="89" t="n">
        <x:v>45939.143125</x:v>
      </x:c>
      <x:c r="H285" s="89" t="n">
        <x:v>45931.643125</x:v>
      </x:c>
      <x:c r="I285" s="89" t="n">
        <x:v>45932.35145833333</x:v>
      </x:c>
      <x:c r="J285" s="84" t="str">
        <x:v>Alta</x:v>
      </x:c>
      <x:c r="K285" s="84" t="str">
        <x:v>Encerrada</x:v>
      </x:c>
      <x:c r="L285" s="84" t="str">
        <x:v>Desalinhamento</x:v>
      </x:c>
      <x:c r="M285" s="84" t="str">
        <x:v>Ajuste incorreto</x:v>
      </x:c>
      <x:c r="N285" s="84" t="str">
        <x:v>Componente ajustado ou substituído</x:v>
      </x:c>
      <x:c r="O285" s="84" t="n">
        <x:v>0</x:v>
      </x:c>
      <x:c r="P285" s="93" t="n">
        <x:v>445.19</x:v>
      </x:c>
      <x:c r="Q285" s="93" t="n">
        <x:v>2782.84</x:v>
      </x:c>
      <x:c r="R285" s="91" t="n">
        <x:v>0</x:v>
      </x:c>
    </x:row>
    <x:row r="286">
      <x:c r="A286" s="83" t="n">
        <x:v>285</x:v>
      </x:c>
      <x:c r="B286" s="84" t="str">
        <x:v>OS-2024-00285</x:v>
      </x:c>
      <x:c r="C286" s="84" t="n">
        <x:v>27</x:v>
      </x:c>
      <x:c r="D286" s="84" t="n">
        <x:v>1</x:v>
      </x:c>
      <x:c r="E286" s="84" t="n">
        <x:v>54</x:v>
      </x:c>
      <x:c r="F286" s="89" t="n">
        <x:v>45616.966770833336</x:v>
      </x:c>
      <x:c r="G286" s="89" t="n">
        <x:v>45624.966770833336</x:v>
      </x:c>
      <x:c r="H286" s="89" t="n">
        <x:v>45617.675104166665</x:v>
      </x:c>
      <x:c r="I286" s="89" t="n">
        <x:v>45618.0084375</x:v>
      </x:c>
      <x:c r="J286" s="84" t="str">
        <x:v>Alta</x:v>
      </x:c>
      <x:c r="K286" s="84" t="str">
        <x:v>Concluída</x:v>
      </x:c>
      <x:c r="L286" s="84" t="str">
        <x:v>Superaquecimento</x:v>
      </x:c>
      <x:c r="M286" s="84" t="str">
        <x:v>Contaminação</x:v>
      </x:c>
      <x:c r="N286" s="84" t="str">
        <x:v>Componente ajustado ou substituído</x:v>
      </x:c>
      <x:c r="O286" s="84" t="n">
        <x:v>0</x:v>
      </x:c>
      <x:c r="P286" s="93" t="n">
        <x:v>328.14</x:v>
      </x:c>
      <x:c r="Q286" s="93" t="n">
        <x:v>7596.76</x:v>
      </x:c>
      <x:c r="R286" s="91" t="n">
        <x:v>0</x:v>
      </x:c>
    </x:row>
    <x:row r="287">
      <x:c r="A287" s="83" t="n">
        <x:v>286</x:v>
      </x:c>
      <x:c r="B287" s="84" t="str">
        <x:v>OS-2023-00286</x:v>
      </x:c>
      <x:c r="C287" s="84" t="n">
        <x:v>86</x:v>
      </x:c>
      <x:c r="D287" s="84" t="n">
        <x:v>7</x:v>
      </x:c>
      <x:c r="E287" s="84" t="n">
        <x:v>172</x:v>
      </x:c>
      <x:c r="F287" s="89" t="n">
        <x:v>45094.30311342593</x:v>
      </x:c>
      <x:c r="G287" s="89" t="n">
        <x:v>45098.30311342593</x:v>
      </x:c>
      <x:c r="H287" s="89" t="n">
        <x:v>45095.21978009259</x:v>
      </x:c>
      <x:c r="I287" s="89" t="n">
        <x:v>45095.46978009259</x:v>
      </x:c>
      <x:c r="J287" s="84" t="str">
        <x:v>Alta</x:v>
      </x:c>
      <x:c r="K287" s="84" t="str">
        <x:v>Encerrada</x:v>
      </x:c>
      <x:c r="L287" s="84" t="str">
        <x:v>Superaquecimento</x:v>
      </x:c>
      <x:c r="M287" s="84" t="str">
        <x:v>Desgaste natural</x:v>
      </x:c>
      <x:c r="N287" s="84" t="str">
        <x:v>Componente ajustado ou substituído</x:v>
      </x:c>
      <x:c r="O287" s="84" t="n">
        <x:v>1</x:v>
      </x:c>
      <x:c r="P287" s="93" t="n">
        <x:v>295.69</x:v>
      </x:c>
      <x:c r="Q287" s="93" t="n">
        <x:v>0</x:v>
      </x:c>
      <x:c r="R287" s="91" t="n">
        <x:v>0</x:v>
      </x:c>
    </x:row>
    <x:row r="288">
      <x:c r="A288" s="83" t="n">
        <x:v>287</x:v>
      </x:c>
      <x:c r="B288" s="84" t="str">
        <x:v>OS-2025-00287</x:v>
      </x:c>
      <x:c r="C288" s="84" t="n">
        <x:v>27</x:v>
      </x:c>
      <x:c r="D288" s="84" t="n">
        <x:v>4</x:v>
      </x:c>
      <x:c r="E288" s="84"/>
      <x:c r="F288" s="89" t="n">
        <x:v>45663.79109953704</x:v>
      </x:c>
      <x:c r="G288" s="89" t="n">
        <x:v>45673.79109953704</x:v>
      </x:c>
      <x:c r="H288" s="89"/>
      <x:c r="I288" s="89"/>
      <x:c r="J288" s="84" t="str">
        <x:v>Baixa</x:v>
      </x:c>
      <x:c r="K288" s="84" t="str">
        <x:v>Planejada</x:v>
      </x:c>
      <x:c r="L288" s="84" t="str">
        <x:v>Desalinhamento</x:v>
      </x:c>
      <x:c r="M288" s="84"/>
      <x:c r="N288" s="84"/>
      <x:c r="O288" s="84" t="n">
        <x:v>0</x:v>
      </x:c>
      <x:c r="P288" s="93" t="n">
        <x:v>0</x:v>
      </x:c>
      <x:c r="Q288" s="93" t="n">
        <x:v>0</x:v>
      </x:c>
      <x:c r="R288" s="91" t="n">
        <x:v>0</x:v>
      </x:c>
    </x:row>
    <x:row r="289">
      <x:c r="A289" s="83" t="n">
        <x:v>288</x:v>
      </x:c>
      <x:c r="B289" s="84" t="str">
        <x:v>OS-2024-00288</x:v>
      </x:c>
      <x:c r="C289" s="84" t="n">
        <x:v>69</x:v>
      </x:c>
      <x:c r="D289" s="84" t="n">
        <x:v>3</x:v>
      </x:c>
      <x:c r="E289" s="84"/>
      <x:c r="F289" s="89" t="n">
        <x:v>45549.54604166667</x:v>
      </x:c>
      <x:c r="G289" s="89"/>
      <x:c r="H289" s="89" t="n">
        <x:v>45550.754375</x:v>
      </x:c>
      <x:c r="I289" s="89" t="n">
        <x:v>45551.58770833333</x:v>
      </x:c>
      <x:c r="J289" s="84" t="str">
        <x:v>Crítica</x:v>
      </x:c>
      <x:c r="K289" s="84" t="str">
        <x:v>Encerrada</x:v>
      </x:c>
      <x:c r="L289" s="84" t="str">
        <x:v>Baixa pressão</x:v>
      </x:c>
      <x:c r="M289" s="84" t="str">
        <x:v>Falta de lubrificação</x:v>
      </x:c>
      <x:c r="N289" s="84" t="str">
        <x:v>Componente ajustado ou substituído</x:v>
      </x:c>
      <x:c r="O289" s="84" t="n">
        <x:v>0</x:v>
      </x:c>
      <x:c r="P289" s="93" t="n">
        <x:v>391.93</x:v>
      </x:c>
      <x:c r="Q289" s="93" t="n">
        <x:v>0</x:v>
      </x:c>
      <x:c r="R289" s="91" t="n">
        <x:v>0</x:v>
      </x:c>
    </x:row>
    <x:row r="290">
      <x:c r="A290" s="83" t="n">
        <x:v>289</x:v>
      </x:c>
      <x:c r="B290" s="84" t="str">
        <x:v>OS-2025-00289</x:v>
      </x:c>
      <x:c r="C290" s="84" t="n">
        <x:v>7</x:v>
      </x:c>
      <x:c r="D290" s="84" t="n">
        <x:v>5</x:v>
      </x:c>
      <x:c r="E290" s="84" t="n">
        <x:v>13</x:v>
      </x:c>
      <x:c r="F290" s="89" t="n">
        <x:v>45668.25695601852</x:v>
      </x:c>
      <x:c r="G290" s="89" t="n">
        <x:v>45675.25695601852</x:v>
      </x:c>
      <x:c r="H290" s="89" t="n">
        <x:v>45670.38195601852</x:v>
      </x:c>
      <x:c r="I290" s="89"/>
      <x:c r="J290" s="84" t="str">
        <x:v>Baixa</x:v>
      </x:c>
      <x:c r="K290" s="84" t="str">
        <x:v>Em execução</x:v>
      </x:c>
      <x:c r="L290" s="84" t="str">
        <x:v>Vazamento</x:v>
      </x:c>
      <x:c r="M290" s="84" t="str">
        <x:v>Desgaste natural</x:v>
      </x:c>
      <x:c r="N290" s="84"/>
      <x:c r="O290" s="84" t="n">
        <x:v>0</x:v>
      </x:c>
      <x:c r="P290" s="93" t="n">
        <x:v>450.09</x:v>
      </x:c>
      <x:c r="Q290" s="93" t="n">
        <x:v>4933.2</x:v>
      </x:c>
      <x:c r="R290" s="91" t="n">
        <x:v>0</x:v>
      </x:c>
    </x:row>
    <x:row r="291">
      <x:c r="A291" s="83" t="n">
        <x:v>290</x:v>
      </x:c>
      <x:c r="B291" s="84" t="str">
        <x:v>OS-2024-00290</x:v>
      </x:c>
      <x:c r="C291" s="84" t="n">
        <x:v>39</x:v>
      </x:c>
      <x:c r="D291" s="84" t="n">
        <x:v>6</x:v>
      </x:c>
      <x:c r="E291" s="84"/>
      <x:c r="F291" s="89" t="n">
        <x:v>45617.55954861111</x:v>
      </x:c>
      <x:c r="G291" s="89" t="n">
        <x:v>45629.55954861111</x:v>
      </x:c>
      <x:c r="H291" s="89" t="n">
        <x:v>45617.64288194444</x:v>
      </x:c>
      <x:c r="I291" s="89" t="n">
        <x:v>45617.80954861111</x:v>
      </x:c>
      <x:c r="J291" s="84" t="str">
        <x:v>Média</x:v>
      </x:c>
      <x:c r="K291" s="84" t="str">
        <x:v>Encerrada</x:v>
      </x:c>
      <x:c r="L291" s="84" t="str">
        <x:v>Falha elétrica</x:v>
      </x:c>
      <x:c r="M291" s="84" t="str">
        <x:v>Conexão frouxa</x:v>
      </x:c>
      <x:c r="N291" s="84" t="str">
        <x:v>Componente ajustado ou substituído</x:v>
      </x:c>
      <x:c r="O291" s="84" t="n">
        <x:v>0</x:v>
      </x:c>
      <x:c r="P291" s="93" t="n">
        <x:v>889.44</x:v>
      </x:c>
      <x:c r="Q291" s="93" t="n">
        <x:v>733.6</x:v>
      </x:c>
      <x:c r="R291" s="91" t="n">
        <x:v>0</x:v>
      </x:c>
    </x:row>
    <x:row r="292">
      <x:c r="A292" s="83" t="n">
        <x:v>291</x:v>
      </x:c>
      <x:c r="B292" s="84" t="str">
        <x:v>OS-2023-00291</x:v>
      </x:c>
      <x:c r="C292" s="84" t="n">
        <x:v>84</x:v>
      </x:c>
      <x:c r="D292" s="84" t="n">
        <x:v>8</x:v>
      </x:c>
      <x:c r="E292" s="84"/>
      <x:c r="F292" s="89" t="n">
        <x:v>45206.777650462966</x:v>
      </x:c>
      <x:c r="G292" s="89" t="n">
        <x:v>45215.777650462966</x:v>
      </x:c>
      <x:c r="H292" s="89" t="n">
        <x:v>45209.06931712963</x:v>
      </x:c>
      <x:c r="I292" s="89" t="n">
        <x:v>45209.19431712963</x:v>
      </x:c>
      <x:c r="J292" s="84" t="str">
        <x:v>Alta</x:v>
      </x:c>
      <x:c r="K292" s="84" t="str">
        <x:v>Encerrada</x:v>
      </x:c>
      <x:c r="L292" s="84" t="str">
        <x:v>Baixa pressão</x:v>
      </x:c>
      <x:c r="M292" s="84" t="str">
        <x:v>Contaminação</x:v>
      </x:c>
      <x:c r="N292" s="84" t="str">
        <x:v>Componente ajustado ou substituído</x:v>
      </x:c>
      <x:c r="O292" s="84" t="n">
        <x:v>0</x:v>
      </x:c>
      <x:c r="P292" s="93" t="n">
        <x:v>294.01</x:v>
      </x:c>
      <x:c r="Q292" s="93" t="n">
        <x:v>5873.84</x:v>
      </x:c>
      <x:c r="R292" s="91" t="n">
        <x:v>0</x:v>
      </x:c>
    </x:row>
    <x:row r="293">
      <x:c r="A293" s="83" t="n">
        <x:v>292</x:v>
      </x:c>
      <x:c r="B293" s="84" t="str">
        <x:v>OS-2025-00292</x:v>
      </x:c>
      <x:c r="C293" s="84" t="n">
        <x:v>72</x:v>
      </x:c>
      <x:c r="D293" s="84" t="n">
        <x:v>2</x:v>
      </x:c>
      <x:c r="E293" s="84"/>
      <x:c r="F293" s="89" t="n">
        <x:v>46017.92585648148</x:v>
      </x:c>
      <x:c r="G293" s="89" t="n">
        <x:v>46023.92585648148</x:v>
      </x:c>
      <x:c r="H293" s="89" t="n">
        <x:v>46019.217523148145</x:v>
      </x:c>
      <x:c r="I293" s="89"/>
      <x:c r="J293" s="84" t="str">
        <x:v>Crítica</x:v>
      </x:c>
      <x:c r="K293" s="84" t="str">
        <x:v>Em execução</x:v>
      </x:c>
      <x:c r="L293" s="84" t="str">
        <x:v>Desalinhamento</x:v>
      </x:c>
      <x:c r="M293" s="84" t="str">
        <x:v>Desgaste natural</x:v>
      </x:c>
      <x:c r="N293" s="84"/>
      <x:c r="O293" s="84" t="n">
        <x:v>0</x:v>
      </x:c>
      <x:c r="P293" s="93" t="n">
        <x:v>576.93</x:v>
      </x:c>
      <x:c r="Q293" s="93" t="n">
        <x:v>1182.02</x:v>
      </x:c>
      <x:c r="R293" s="91" t="n">
        <x:v>0</x:v>
      </x:c>
    </x:row>
    <x:row r="294">
      <x:c r="A294" s="83" t="n">
        <x:v>293</x:v>
      </x:c>
      <x:c r="B294" s="84" t="str">
        <x:v>OS-2025-00293</x:v>
      </x:c>
      <x:c r="C294" s="84" t="n">
        <x:v>66</x:v>
      </x:c>
      <x:c r="D294" s="84" t="n">
        <x:v>3</x:v>
      </x:c>
      <x:c r="E294" s="84"/>
      <x:c r="F294" s="89" t="n">
        <x:v>45704.267858796295</x:v>
      </x:c>
      <x:c r="G294" s="89"/>
      <x:c r="H294" s="89" t="n">
        <x:v>45705.684525462966</x:v>
      </x:c>
      <x:c r="I294" s="89" t="n">
        <x:v>45705.72619212963</x:v>
      </x:c>
      <x:c r="J294" s="84" t="str">
        <x:v>Baixa</x:v>
      </x:c>
      <x:c r="K294" s="84" t="str">
        <x:v>Encerrada</x:v>
      </x:c>
      <x:c r="L294" s="84" t="str">
        <x:v>Baixa pressão</x:v>
      </x:c>
      <x:c r="M294" s="84" t="str">
        <x:v>Desgaste natural</x:v>
      </x:c>
      <x:c r="N294" s="84" t="str">
        <x:v>Componente ajustado ou substituído</x:v>
      </x:c>
      <x:c r="O294" s="84" t="n">
        <x:v>0</x:v>
      </x:c>
      <x:c r="P294" s="93" t="n">
        <x:v>513.74</x:v>
      </x:c>
      <x:c r="Q294" s="93" t="n">
        <x:v>4479.32</x:v>
      </x:c>
      <x:c r="R294" s="91" t="n">
        <x:v>14597.25</x:v>
      </x:c>
    </x:row>
    <x:row r="295">
      <x:c r="A295" s="83" t="n">
        <x:v>294</x:v>
      </x:c>
      <x:c r="B295" s="84" t="str">
        <x:v>OS-2024-00294</x:v>
      </x:c>
      <x:c r="C295" s="84" t="n">
        <x:v>86</x:v>
      </x:c>
      <x:c r="D295" s="84" t="n">
        <x:v>6</x:v>
      </x:c>
      <x:c r="E295" s="84"/>
      <x:c r="F295" s="89" t="n">
        <x:v>45561.35988425926</x:v>
      </x:c>
      <x:c r="G295" s="89" t="n">
        <x:v>45561.35988425926</x:v>
      </x:c>
      <x:c r="H295" s="89" t="n">
        <x:v>45563.10988425926</x:v>
      </x:c>
      <x:c r="I295" s="89" t="n">
        <x:v>45563.60988425926</x:v>
      </x:c>
      <x:c r="J295" s="84" t="str">
        <x:v>Baixa</x:v>
      </x:c>
      <x:c r="K295" s="84" t="str">
        <x:v>Encerrada</x:v>
      </x:c>
      <x:c r="L295" s="84" t="str">
        <x:v>Alarme intermitente</x:v>
      </x:c>
      <x:c r="M295" s="84" t="str">
        <x:v>Desgaste natural</x:v>
      </x:c>
      <x:c r="N295" s="84" t="str">
        <x:v>Componente ajustado ou substituído</x:v>
      </x:c>
      <x:c r="O295" s="84" t="n">
        <x:v>0</x:v>
      </x:c>
      <x:c r="P295" s="93" t="n">
        <x:v>617.36</x:v>
      </x:c>
      <x:c r="Q295" s="93" t="n">
        <x:v>0</x:v>
      </x:c>
      <x:c r="R295" s="91" t="n">
        <x:v>0</x:v>
      </x:c>
    </x:row>
    <x:row r="296">
      <x:c r="A296" s="83" t="n">
        <x:v>295</x:v>
      </x:c>
      <x:c r="B296" s="84" t="str">
        <x:v>OS-2023-00295</x:v>
      </x:c>
      <x:c r="C296" s="84" t="n">
        <x:v>80</x:v>
      </x:c>
      <x:c r="D296" s="84" t="n">
        <x:v>3</x:v>
      </x:c>
      <x:c r="E296" s="84"/>
      <x:c r="F296" s="89" t="n">
        <x:v>45227.49597222222</x:v>
      </x:c>
      <x:c r="G296" s="89"/>
      <x:c r="H296" s="89" t="n">
        <x:v>45229.28763888889</x:v>
      </x:c>
      <x:c r="I296" s="89" t="n">
        <x:v>45229.91263888889</x:v>
      </x:c>
      <x:c r="J296" s="84" t="str">
        <x:v>Alta</x:v>
      </x:c>
      <x:c r="K296" s="84" t="str">
        <x:v>Encerrada</x:v>
      </x:c>
      <x:c r="L296" s="84" t="str">
        <x:v>Falha elétrica</x:v>
      </x:c>
      <x:c r="M296" s="84" t="str">
        <x:v>Falta de lubrificação</x:v>
      </x:c>
      <x:c r="N296" s="84" t="str">
        <x:v>Componente ajustado ou substituído</x:v>
      </x:c>
      <x:c r="O296" s="84" t="n">
        <x:v>0</x:v>
      </x:c>
      <x:c r="P296" s="93" t="n">
        <x:v>220.75</x:v>
      </x:c>
      <x:c r="Q296" s="93" t="n">
        <x:v>6369.42</x:v>
      </x:c>
      <x:c r="R296" s="91" t="n">
        <x:v>0</x:v>
      </x:c>
    </x:row>
    <x:row r="297">
      <x:c r="A297" s="83" t="n">
        <x:v>296</x:v>
      </x:c>
      <x:c r="B297" s="84" t="str">
        <x:v>OS-2024-00296</x:v>
      </x:c>
      <x:c r="C297" s="84" t="n">
        <x:v>7</x:v>
      </x:c>
      <x:c r="D297" s="84" t="n">
        <x:v>1</x:v>
      </x:c>
      <x:c r="E297" s="84" t="n">
        <x:v>13</x:v>
      </x:c>
      <x:c r="F297" s="89" t="n">
        <x:v>45413.65435185185</x:v>
      </x:c>
      <x:c r="G297" s="89" t="n">
        <x:v>45426.65435185185</x:v>
      </x:c>
      <x:c r="H297" s="89" t="n">
        <x:v>45415.071018518516</x:v>
      </x:c>
      <x:c r="I297" s="89" t="n">
        <x:v>45415.446018518516</x:v>
      </x:c>
      <x:c r="J297" s="84" t="str">
        <x:v>Crítica</x:v>
      </x:c>
      <x:c r="K297" s="84" t="str">
        <x:v>Encerrada</x:v>
      </x:c>
      <x:c r="L297" s="84" t="str">
        <x:v>Superaquecimento</x:v>
      </x:c>
      <x:c r="M297" s="84" t="str">
        <x:v>Conexão frouxa</x:v>
      </x:c>
      <x:c r="N297" s="84" t="str">
        <x:v>Componente ajustado ou substituído</x:v>
      </x:c>
      <x:c r="O297" s="84" t="n">
        <x:v>0</x:v>
      </x:c>
      <x:c r="P297" s="93" t="n">
        <x:v>469.9</x:v>
      </x:c>
      <x:c r="Q297" s="93" t="n">
        <x:v>6069.24</x:v>
      </x:c>
      <x:c r="R297" s="91" t="n">
        <x:v>0</x:v>
      </x:c>
    </x:row>
    <x:row r="298">
      <x:c r="A298" s="83" t="n">
        <x:v>297</x:v>
      </x:c>
      <x:c r="B298" s="84" t="str">
        <x:v>OS-2024-00297</x:v>
      </x:c>
      <x:c r="C298" s="84" t="n">
        <x:v>90</x:v>
      </x:c>
      <x:c r="D298" s="84" t="n">
        <x:v>7</x:v>
      </x:c>
      <x:c r="E298" s="84" t="n">
        <x:v>179</x:v>
      </x:c>
      <x:c r="F298" s="89" t="n">
        <x:v>45334.73082175926</x:v>
      </x:c>
      <x:c r="G298" s="89" t="n">
        <x:v>45340.73082175926</x:v>
      </x:c>
      <x:c r="H298" s="89" t="n">
        <x:v>45335.314155092594</x:v>
      </x:c>
      <x:c r="I298" s="89" t="n">
        <x:v>45335.73082175926</x:v>
      </x:c>
      <x:c r="J298" s="84" t="str">
        <x:v>Crítica</x:v>
      </x:c>
      <x:c r="K298" s="84" t="str">
        <x:v>Encerrada</x:v>
      </x:c>
      <x:c r="L298" s="84" t="str">
        <x:v>Falha elétrica</x:v>
      </x:c>
      <x:c r="M298" s="84" t="str">
        <x:v>Ajuste incorreto</x:v>
      </x:c>
      <x:c r="N298" s="84" t="str">
        <x:v>Componente ajustado ou substituído</x:v>
      </x:c>
      <x:c r="O298" s="84" t="n">
        <x:v>0</x:v>
      </x:c>
      <x:c r="P298" s="93" t="n">
        <x:v>55.8</x:v>
      </x:c>
      <x:c r="Q298" s="93" t="n">
        <x:v>0</x:v>
      </x:c>
      <x:c r="R298" s="91" t="n">
        <x:v>0</x:v>
      </x:c>
    </x:row>
    <x:row r="299">
      <x:c r="A299" s="83" t="n">
        <x:v>298</x:v>
      </x:c>
      <x:c r="B299" s="84" t="str">
        <x:v>OS-2024-00298</x:v>
      </x:c>
      <x:c r="C299" s="84" t="n">
        <x:v>20</x:v>
      </x:c>
      <x:c r="D299" s="84" t="n">
        <x:v>1</x:v>
      </x:c>
      <x:c r="E299" s="84" t="n">
        <x:v>40</x:v>
      </x:c>
      <x:c r="F299" s="89" t="n">
        <x:v>45471.192766203705</x:v>
      </x:c>
      <x:c r="G299" s="89" t="n">
        <x:v>45472.192766203705</x:v>
      </x:c>
      <x:c r="H299" s="89" t="n">
        <x:v>45471.77609953703</x:v>
      </x:c>
      <x:c r="I299" s="89" t="n">
        <x:v>45472.52609953703</x:v>
      </x:c>
      <x:c r="J299" s="84" t="str">
        <x:v>Média</x:v>
      </x:c>
      <x:c r="K299" s="84" t="str">
        <x:v>Encerrada</x:v>
      </x:c>
      <x:c r="L299" s="84" t="str">
        <x:v>Falha elétrica</x:v>
      </x:c>
      <x:c r="M299" s="84" t="str">
        <x:v>Desgaste natural</x:v>
      </x:c>
      <x:c r="N299" s="84" t="str">
        <x:v>Componente ajustado ou substituído</x:v>
      </x:c>
      <x:c r="O299" s="84" t="n">
        <x:v>0</x:v>
      </x:c>
      <x:c r="P299" s="93" t="n">
        <x:v>486.15</x:v>
      </x:c>
      <x:c r="Q299" s="93" t="n">
        <x:v>2175.42</x:v>
      </x:c>
      <x:c r="R299" s="91" t="n">
        <x:v>0</x:v>
      </x:c>
    </x:row>
    <x:row r="300">
      <x:c r="A300" s="83" t="n">
        <x:v>299</x:v>
      </x:c>
      <x:c r="B300" s="84" t="str">
        <x:v>OS-2023-00299</x:v>
      </x:c>
      <x:c r="C300" s="84" t="n">
        <x:v>33</x:v>
      </x:c>
      <x:c r="D300" s="84" t="n">
        <x:v>3</x:v>
      </x:c>
      <x:c r="E300" s="84"/>
      <x:c r="F300" s="89" t="n">
        <x:v>45046.94498842592</x:v>
      </x:c>
      <x:c r="G300" s="89"/>
      <x:c r="H300" s="89"/>
      <x:c r="I300" s="89"/>
      <x:c r="J300" s="84" t="str">
        <x:v>Alta</x:v>
      </x:c>
      <x:c r="K300" s="84" t="str">
        <x:v>Cancelada</x:v>
      </x:c>
      <x:c r="L300" s="84" t="str">
        <x:v>Alarme intermitente</x:v>
      </x:c>
      <x:c r="M300" s="84"/>
      <x:c r="N300" s="84"/>
      <x:c r="O300" s="84" t="n">
        <x:v>0</x:v>
      </x:c>
      <x:c r="P300" s="93" t="n">
        <x:v>0</x:v>
      </x:c>
      <x:c r="Q300" s="93" t="n">
        <x:v>0</x:v>
      </x:c>
      <x:c r="R300" s="91" t="n">
        <x:v>0</x:v>
      </x:c>
    </x:row>
    <x:row r="301">
      <x:c r="A301" s="83" t="n">
        <x:v>300</x:v>
      </x:c>
      <x:c r="B301" s="84" t="str">
        <x:v>OS-2025-00300</x:v>
      </x:c>
      <x:c r="C301" s="84" t="n">
        <x:v>23</x:v>
      </x:c>
      <x:c r="D301" s="84" t="n">
        <x:v>7</x:v>
      </x:c>
      <x:c r="E301" s="84" t="n">
        <x:v>46</x:v>
      </x:c>
      <x:c r="F301" s="89" t="n">
        <x:v>45910.245983796296</x:v>
      </x:c>
      <x:c r="G301" s="89" t="n">
        <x:v>45920.245983796296</x:v>
      </x:c>
      <x:c r="H301" s="89" t="n">
        <x:v>45912.66265046296</x:v>
      </x:c>
      <x:c r="I301" s="89" t="n">
        <x:v>45913.03765046296</x:v>
      </x:c>
      <x:c r="J301" s="84" t="str">
        <x:v>Baixa</x:v>
      </x:c>
      <x:c r="K301" s="84" t="str">
        <x:v>Concluída</x:v>
      </x:c>
      <x:c r="L301" s="84" t="str">
        <x:v>Falha elétrica</x:v>
      </x:c>
      <x:c r="M301" s="84" t="str">
        <x:v>Componente danificado</x:v>
      </x:c>
      <x:c r="N301" s="84" t="str">
        <x:v>Componente ajustado ou substituído</x:v>
      </x:c>
      <x:c r="O301" s="84" t="n">
        <x:v>0</x:v>
      </x:c>
      <x:c r="P301" s="93" t="n">
        <x:v>269.16</x:v>
      </x:c>
      <x:c r="Q301" s="93" t="n">
        <x:v>7044.15</x:v>
      </x:c>
      <x:c r="R301" s="91" t="n">
        <x:v>0</x:v>
      </x:c>
    </x:row>
    <x:row r="302">
      <x:c r="A302" s="83" t="n">
        <x:v>301</x:v>
      </x:c>
      <x:c r="B302" s="84" t="str">
        <x:v>OS-2024-00301</x:v>
      </x:c>
      <x:c r="C302" s="84" t="n">
        <x:v>2</x:v>
      </x:c>
      <x:c r="D302" s="84" t="n">
        <x:v>1</x:v>
      </x:c>
      <x:c r="E302" s="84" t="n">
        <x:v>3</x:v>
      </x:c>
      <x:c r="F302" s="89" t="n">
        <x:v>45303.84421296296</x:v>
      </x:c>
      <x:c r="G302" s="89" t="n">
        <x:v>45309.84421296296</x:v>
      </x:c>
      <x:c r="H302" s="89" t="n">
        <x:v>45305.71921296296</x:v>
      </x:c>
      <x:c r="I302" s="89"/>
      <x:c r="J302" s="84" t="str">
        <x:v>Média</x:v>
      </x:c>
      <x:c r="K302" s="84" t="str">
        <x:v>Aguardando peça</x:v>
      </x:c>
      <x:c r="L302" s="84" t="str">
        <x:v>Ruído anormal</x:v>
      </x:c>
      <x:c r="M302" s="84" t="str">
        <x:v>Contaminação</x:v>
      </x:c>
      <x:c r="N302" s="84"/>
      <x:c r="O302" s="84" t="n">
        <x:v>0</x:v>
      </x:c>
      <x:c r="P302" s="93" t="n">
        <x:v>342.85</x:v>
      </x:c>
      <x:c r="Q302" s="93" t="n">
        <x:v>4396.26</x:v>
      </x:c>
      <x:c r="R302" s="91" t="n">
        <x:v>0</x:v>
      </x:c>
    </x:row>
    <x:row r="303">
      <x:c r="A303" s="83" t="n">
        <x:v>302</x:v>
      </x:c>
      <x:c r="B303" s="84" t="str">
        <x:v>OS-2024-00302</x:v>
      </x:c>
      <x:c r="C303" s="84" t="n">
        <x:v>84</x:v>
      </x:c>
      <x:c r="D303" s="84" t="n">
        <x:v>2</x:v>
      </x:c>
      <x:c r="E303" s="84"/>
      <x:c r="F303" s="89" t="n">
        <x:v>45554.63060185185</x:v>
      </x:c>
      <x:c r="G303" s="89" t="n">
        <x:v>45554.63060185185</x:v>
      </x:c>
      <x:c r="H303" s="89" t="n">
        <x:v>45555.88060185185</x:v>
      </x:c>
      <x:c r="I303" s="89" t="n">
        <x:v>45556.46393518519</x:v>
      </x:c>
      <x:c r="J303" s="84" t="str">
        <x:v>Alta</x:v>
      </x:c>
      <x:c r="K303" s="84" t="str">
        <x:v>Encerrada</x:v>
      </x:c>
      <x:c r="L303" s="84" t="str">
        <x:v>Baixa pressão</x:v>
      </x:c>
      <x:c r="M303" s="84" t="str">
        <x:v>Conexão frouxa</x:v>
      </x:c>
      <x:c r="N303" s="84" t="str">
        <x:v>Componente ajustado ou substituído</x:v>
      </x:c>
      <x:c r="O303" s="84" t="n">
        <x:v>0</x:v>
      </x:c>
      <x:c r="P303" s="93" t="n">
        <x:v>178.94</x:v>
      </x:c>
      <x:c r="Q303" s="93" t="n">
        <x:v>1527.61</x:v>
      </x:c>
      <x:c r="R303" s="91" t="n">
        <x:v>0</x:v>
      </x:c>
    </x:row>
    <x:row r="304">
      <x:c r="A304" s="83" t="n">
        <x:v>303</x:v>
      </x:c>
      <x:c r="B304" s="84" t="str">
        <x:v>OS-2024-00303</x:v>
      </x:c>
      <x:c r="C304" s="84" t="n">
        <x:v>77</x:v>
      </x:c>
      <x:c r="D304" s="84" t="n">
        <x:v>3</x:v>
      </x:c>
      <x:c r="E304" s="84"/>
      <x:c r="F304" s="89" t="n">
        <x:v>45616.092777777776</x:v>
      </x:c>
      <x:c r="G304" s="89"/>
      <x:c r="H304" s="89" t="n">
        <x:v>45616.38444444445</x:v>
      </x:c>
      <x:c r="I304" s="89"/>
      <x:c r="J304" s="84" t="str">
        <x:v>Crítica</x:v>
      </x:c>
      <x:c r="K304" s="84" t="str">
        <x:v>Em execução</x:v>
      </x:c>
      <x:c r="L304" s="84" t="str">
        <x:v>Vazamento</x:v>
      </x:c>
      <x:c r="M304" s="84" t="str">
        <x:v>Ajuste incorreto</x:v>
      </x:c>
      <x:c r="N304" s="84"/>
      <x:c r="O304" s="84" t="n">
        <x:v>0</x:v>
      </x:c>
      <x:c r="P304" s="93" t="n">
        <x:v>185.89</x:v>
      </x:c>
      <x:c r="Q304" s="93" t="n">
        <x:v>0</x:v>
      </x:c>
      <x:c r="R304" s="91" t="n">
        <x:v>0</x:v>
      </x:c>
    </x:row>
    <x:row r="305">
      <x:c r="A305" s="83" t="n">
        <x:v>304</x:v>
      </x:c>
      <x:c r="B305" s="84" t="str">
        <x:v>OS-2023-00304</x:v>
      </x:c>
      <x:c r="C305" s="84" t="n">
        <x:v>65</x:v>
      </x:c>
      <x:c r="D305" s="84" t="n">
        <x:v>3</x:v>
      </x:c>
      <x:c r="E305" s="84"/>
      <x:c r="F305" s="89" t="n">
        <x:v>45125.38521990741</x:v>
      </x:c>
      <x:c r="G305" s="89"/>
      <x:c r="H305" s="89" t="n">
        <x:v>45127.71855324074</x:v>
      </x:c>
      <x:c r="I305" s="89" t="n">
        <x:v>45127.84355324074</x:v>
      </x:c>
      <x:c r="J305" s="84" t="str">
        <x:v>Baixa</x:v>
      </x:c>
      <x:c r="K305" s="84" t="str">
        <x:v>Encerrada</x:v>
      </x:c>
      <x:c r="L305" s="84" t="str">
        <x:v>Vazamento</x:v>
      </x:c>
      <x:c r="M305" s="84" t="str">
        <x:v>Falta de lubrificação</x:v>
      </x:c>
      <x:c r="N305" s="84" t="str">
        <x:v>Componente ajustado ou substituído</x:v>
      </x:c>
      <x:c r="O305" s="84" t="n">
        <x:v>0</x:v>
      </x:c>
      <x:c r="P305" s="93" t="n">
        <x:v>164.3</x:v>
      </x:c>
      <x:c r="Q305" s="93" t="n">
        <x:v>6515.22</x:v>
      </x:c>
      <x:c r="R305" s="91" t="n">
        <x:v>0</x:v>
      </x:c>
    </x:row>
    <x:row r="306">
      <x:c r="A306" s="83" t="n">
        <x:v>305</x:v>
      </x:c>
      <x:c r="B306" s="84" t="str">
        <x:v>OS-2023-00305</x:v>
      </x:c>
      <x:c r="C306" s="84" t="n">
        <x:v>26</x:v>
      </x:c>
      <x:c r="D306" s="84" t="n">
        <x:v>4</x:v>
      </x:c>
      <x:c r="E306" s="84"/>
      <x:c r="F306" s="89" t="n">
        <x:v>45026.89160879629</x:v>
      </x:c>
      <x:c r="G306" s="89" t="n">
        <x:v>45039.89160879629</x:v>
      </x:c>
      <x:c r="H306" s="89" t="n">
        <x:v>45027.09994212963</x:v>
      </x:c>
      <x:c r="I306" s="89" t="n">
        <x:v>45027.39160879629</x:v>
      </x:c>
      <x:c r="J306" s="84" t="str">
        <x:v>Alta</x:v>
      </x:c>
      <x:c r="K306" s="84" t="str">
        <x:v>Encerrada</x:v>
      </x:c>
      <x:c r="L306" s="84" t="str">
        <x:v>Superaquecimento</x:v>
      </x:c>
      <x:c r="M306" s="84" t="str">
        <x:v>Conexão frouxa</x:v>
      </x:c>
      <x:c r="N306" s="84" t="str">
        <x:v>Componente ajustado ou substituído</x:v>
      </x:c>
      <x:c r="O306" s="84" t="n">
        <x:v>0</x:v>
      </x:c>
      <x:c r="P306" s="93" t="n">
        <x:v>728.04</x:v>
      </x:c>
      <x:c r="Q306" s="93" t="n">
        <x:v>0</x:v>
      </x:c>
      <x:c r="R306" s="91" t="n">
        <x:v>0</x:v>
      </x:c>
    </x:row>
    <x:row r="307">
      <x:c r="A307" s="83" t="n">
        <x:v>306</x:v>
      </x:c>
      <x:c r="B307" s="84" t="str">
        <x:v>OS-2025-00306</x:v>
      </x:c>
      <x:c r="C307" s="84" t="n">
        <x:v>10</x:v>
      </x:c>
      <x:c r="D307" s="84" t="n">
        <x:v>3</x:v>
      </x:c>
      <x:c r="E307" s="84"/>
      <x:c r="F307" s="89" t="n">
        <x:v>45942.7091087963</x:v>
      </x:c>
      <x:c r="G307" s="89"/>
      <x:c r="H307" s="89" t="n">
        <x:v>45944.29244212963</x:v>
      </x:c>
      <x:c r="I307" s="89" t="n">
        <x:v>45945.04244212963</x:v>
      </x:c>
      <x:c r="J307" s="84" t="str">
        <x:v>Baixa</x:v>
      </x:c>
      <x:c r="K307" s="84" t="str">
        <x:v>Encerrada</x:v>
      </x:c>
      <x:c r="L307" s="84" t="str">
        <x:v>Alarme intermitente</x:v>
      </x:c>
      <x:c r="M307" s="84" t="str">
        <x:v>Contaminação</x:v>
      </x:c>
      <x:c r="N307" s="84" t="str">
        <x:v>Componente ajustado ou substituído</x:v>
      </x:c>
      <x:c r="O307" s="84" t="n">
        <x:v>0</x:v>
      </x:c>
      <x:c r="P307" s="93" t="n">
        <x:v>483.93</x:v>
      </x:c>
      <x:c r="Q307" s="93" t="n">
        <x:v>10502.49</x:v>
      </x:c>
      <x:c r="R307" s="91" t="n">
        <x:v>0</x:v>
      </x:c>
    </x:row>
    <x:row r="308">
      <x:c r="A308" s="83" t="n">
        <x:v>307</x:v>
      </x:c>
      <x:c r="B308" s="84" t="str">
        <x:v>OS-2023-00307</x:v>
      </x:c>
      <x:c r="C308" s="84" t="n">
        <x:v>60</x:v>
      </x:c>
      <x:c r="D308" s="84" t="n">
        <x:v>1</x:v>
      </x:c>
      <x:c r="E308" s="84" t="n">
        <x:v>120</x:v>
      </x:c>
      <x:c r="F308" s="89" t="n">
        <x:v>45140.22393518518</x:v>
      </x:c>
      <x:c r="G308" s="89" t="n">
        <x:v>45152.22393518518</x:v>
      </x:c>
      <x:c r="H308" s="89" t="n">
        <x:v>45141.140601851854</x:v>
      </x:c>
      <x:c r="I308" s="89"/>
      <x:c r="J308" s="84" t="str">
        <x:v>Crítica</x:v>
      </x:c>
      <x:c r="K308" s="84" t="str">
        <x:v>Em execução</x:v>
      </x:c>
      <x:c r="L308" s="84" t="str">
        <x:v>Desalinhamento</x:v>
      </x:c>
      <x:c r="M308" s="84" t="str">
        <x:v>Componente danificado</x:v>
      </x:c>
      <x:c r="N308" s="84"/>
      <x:c r="O308" s="84" t="n">
        <x:v>0</x:v>
      </x:c>
      <x:c r="P308" s="93" t="n">
        <x:v>164.25</x:v>
      </x:c>
      <x:c r="Q308" s="93" t="n">
        <x:v>3322.8</x:v>
      </x:c>
      <x:c r="R308" s="91" t="n">
        <x:v>0</x:v>
      </x:c>
    </x:row>
    <x:row r="309">
      <x:c r="A309" s="83" t="n">
        <x:v>308</x:v>
      </x:c>
      <x:c r="B309" s="84" t="str">
        <x:v>OS-2023-00308</x:v>
      </x:c>
      <x:c r="C309" s="84" t="n">
        <x:v>8</x:v>
      </x:c>
      <x:c r="D309" s="84" t="n">
        <x:v>2</x:v>
      </x:c>
      <x:c r="E309" s="84"/>
      <x:c r="F309" s="89" t="n">
        <x:v>45101.26495370371</x:v>
      </x:c>
      <x:c r="G309" s="89" t="n">
        <x:v>45111.26495370371</x:v>
      </x:c>
      <x:c r="H309" s="89"/>
      <x:c r="I309" s="89"/>
      <x:c r="J309" s="84" t="str">
        <x:v>Alta</x:v>
      </x:c>
      <x:c r="K309" s="84" t="str">
        <x:v>Planejada</x:v>
      </x:c>
      <x:c r="L309" s="84" t="str">
        <x:v>Vazamento</x:v>
      </x:c>
      <x:c r="M309" s="84"/>
      <x:c r="N309" s="84"/>
      <x:c r="O309" s="84" t="n">
        <x:v>0</x:v>
      </x:c>
      <x:c r="P309" s="93" t="n">
        <x:v>0</x:v>
      </x:c>
      <x:c r="Q309" s="93" t="n">
        <x:v>0</x:v>
      </x:c>
      <x:c r="R309" s="91" t="n">
        <x:v>0</x:v>
      </x:c>
    </x:row>
    <x:row r="310">
      <x:c r="A310" s="83" t="n">
        <x:v>309</x:v>
      </x:c>
      <x:c r="B310" s="84" t="str">
        <x:v>OS-2024-00309</x:v>
      </x:c>
      <x:c r="C310" s="84" t="n">
        <x:v>78</x:v>
      </x:c>
      <x:c r="D310" s="84" t="n">
        <x:v>8</x:v>
      </x:c>
      <x:c r="E310" s="84"/>
      <x:c r="F310" s="89" t="n">
        <x:v>45645.03262731482</x:v>
      </x:c>
      <x:c r="G310" s="89" t="n">
        <x:v>45649.03262731482</x:v>
      </x:c>
      <x:c r="H310" s="89"/>
      <x:c r="I310" s="89"/>
      <x:c r="J310" s="84" t="str">
        <x:v>Baixa</x:v>
      </x:c>
      <x:c r="K310" s="84" t="str">
        <x:v>Planejada</x:v>
      </x:c>
      <x:c r="L310" s="84" t="str">
        <x:v>Baixa pressão</x:v>
      </x:c>
      <x:c r="M310" s="84"/>
      <x:c r="N310" s="84"/>
      <x:c r="O310" s="84" t="n">
        <x:v>0</x:v>
      </x:c>
      <x:c r="P310" s="93" t="n">
        <x:v>0</x:v>
      </x:c>
      <x:c r="Q310" s="93" t="n">
        <x:v>0</x:v>
      </x:c>
      <x:c r="R310" s="91" t="n">
        <x:v>0</x:v>
      </x:c>
    </x:row>
    <x:row r="311">
      <x:c r="A311" s="83" t="n">
        <x:v>310</x:v>
      </x:c>
      <x:c r="B311" s="84" t="str">
        <x:v>OS-2023-00310</x:v>
      </x:c>
      <x:c r="C311" s="84" t="n">
        <x:v>88</x:v>
      </x:c>
      <x:c r="D311" s="84" t="n">
        <x:v>4</x:v>
      </x:c>
      <x:c r="E311" s="84"/>
      <x:c r="F311" s="89" t="n">
        <x:v>45071.52853009259</x:v>
      </x:c>
      <x:c r="G311" s="89" t="n">
        <x:v>45074.52853009259</x:v>
      </x:c>
      <x:c r="H311" s="89" t="n">
        <x:v>45071.57019675926</x:v>
      </x:c>
      <x:c r="I311" s="89" t="n">
        <x:v>45071.986863425926</x:v>
      </x:c>
      <x:c r="J311" s="84" t="str">
        <x:v>Baixa</x:v>
      </x:c>
      <x:c r="K311" s="84" t="str">
        <x:v>Encerrada</x:v>
      </x:c>
      <x:c r="L311" s="84" t="str">
        <x:v>Superaquecimento</x:v>
      </x:c>
      <x:c r="M311" s="84" t="str">
        <x:v>Contaminação</x:v>
      </x:c>
      <x:c r="N311" s="84" t="str">
        <x:v>Componente ajustado ou substituído</x:v>
      </x:c>
      <x:c r="O311" s="84" t="n">
        <x:v>0</x:v>
      </x:c>
      <x:c r="P311" s="93" t="n">
        <x:v>379.71</x:v>
      </x:c>
      <x:c r="Q311" s="93" t="n">
        <x:v>892.16</x:v>
      </x:c>
      <x:c r="R311" s="91" t="n">
        <x:v>0</x:v>
      </x:c>
    </x:row>
    <x:row r="312">
      <x:c r="A312" s="83" t="n">
        <x:v>311</x:v>
      </x:c>
      <x:c r="B312" s="84" t="str">
        <x:v>OS-2023-00311</x:v>
      </x:c>
      <x:c r="C312" s="84" t="n">
        <x:v>90</x:v>
      </x:c>
      <x:c r="D312" s="84" t="n">
        <x:v>1</x:v>
      </x:c>
      <x:c r="E312" s="84" t="n">
        <x:v>180</x:v>
      </x:c>
      <x:c r="F312" s="89" t="n">
        <x:v>45229.62519675926</x:v>
      </x:c>
      <x:c r="G312" s="89" t="n">
        <x:v>45231.62519675926</x:v>
      </x:c>
      <x:c r="H312" s="89" t="n">
        <x:v>45232.166863425926</x:v>
      </x:c>
      <x:c r="I312" s="89" t="n">
        <x:v>45232.58353009259</x:v>
      </x:c>
      <x:c r="J312" s="84" t="str">
        <x:v>Média</x:v>
      </x:c>
      <x:c r="K312" s="84" t="str">
        <x:v>Concluída</x:v>
      </x:c>
      <x:c r="L312" s="84" t="str">
        <x:v>Baixa pressão</x:v>
      </x:c>
      <x:c r="M312" s="84" t="str">
        <x:v>Falta de lubrificação</x:v>
      </x:c>
      <x:c r="N312" s="84" t="str">
        <x:v>Componente ajustado ou substituído</x:v>
      </x:c>
      <x:c r="O312" s="84" t="n">
        <x:v>0</x:v>
      </x:c>
      <x:c r="P312" s="93" t="n">
        <x:v>415.17</x:v>
      </x:c>
      <x:c r="Q312" s="93" t="n">
        <x:v>8861.16</x:v>
      </x:c>
      <x:c r="R312" s="91" t="n">
        <x:v>0</x:v>
      </x:c>
    </x:row>
    <x:row r="313">
      <x:c r="A313" s="83" t="n">
        <x:v>312</x:v>
      </x:c>
      <x:c r="B313" s="84" t="str">
        <x:v>OS-2023-00312</x:v>
      </x:c>
      <x:c r="C313" s="84" t="n">
        <x:v>58</x:v>
      </x:c>
      <x:c r="D313" s="84" t="n">
        <x:v>3</x:v>
      </x:c>
      <x:c r="E313" s="84"/>
      <x:c r="F313" s="89" t="n">
        <x:v>45212.071284722224</x:v>
      </x:c>
      <x:c r="G313" s="89"/>
      <x:c r="H313" s="89" t="n">
        <x:v>45212.946284722224</x:v>
      </x:c>
      <x:c r="I313" s="89" t="n">
        <x:v>45213.23795138889</x:v>
      </x:c>
      <x:c r="J313" s="84" t="str">
        <x:v>Média</x:v>
      </x:c>
      <x:c r="K313" s="84" t="str">
        <x:v>Concluída</x:v>
      </x:c>
      <x:c r="L313" s="84" t="str">
        <x:v>Ruído anormal</x:v>
      </x:c>
      <x:c r="M313" s="84" t="str">
        <x:v>Falta de lubrificação</x:v>
      </x:c>
      <x:c r="N313" s="84" t="str">
        <x:v>Componente ajustado ou substituído</x:v>
      </x:c>
      <x:c r="O313" s="84" t="n">
        <x:v>0</x:v>
      </x:c>
      <x:c r="P313" s="93" t="n">
        <x:v>275.54</x:v>
      </x:c>
      <x:c r="Q313" s="93" t="n">
        <x:v>2032.8</x:v>
      </x:c>
      <x:c r="R313" s="91" t="n">
        <x:v>0</x:v>
      </x:c>
    </x:row>
    <x:row r="314">
      <x:c r="A314" s="83" t="n">
        <x:v>313</x:v>
      </x:c>
      <x:c r="B314" s="84" t="str">
        <x:v>OS-2024-00313</x:v>
      </x:c>
      <x:c r="C314" s="84" t="n">
        <x:v>28</x:v>
      </x:c>
      <x:c r="D314" s="84" t="n">
        <x:v>1</x:v>
      </x:c>
      <x:c r="E314" s="84" t="n">
        <x:v>56</x:v>
      </x:c>
      <x:c r="F314" s="89" t="n">
        <x:v>45470.633680555555</x:v>
      </x:c>
      <x:c r="G314" s="89" t="n">
        <x:v>45482.633680555555</x:v>
      </x:c>
      <x:c r="H314" s="89" t="n">
        <x:v>45473.133680555555</x:v>
      </x:c>
      <x:c r="I314" s="89"/>
      <x:c r="J314" s="84" t="str">
        <x:v>Crítica</x:v>
      </x:c>
      <x:c r="K314" s="84" t="str">
        <x:v>Em execução</x:v>
      </x:c>
      <x:c r="L314" s="84" t="str">
        <x:v>Ruído anormal</x:v>
      </x:c>
      <x:c r="M314" s="84" t="str">
        <x:v>Desgaste natural</x:v>
      </x:c>
      <x:c r="N314" s="84"/>
      <x:c r="O314" s="84" t="n">
        <x:v>0</x:v>
      </x:c>
      <x:c r="P314" s="93" t="n">
        <x:v>567.98</x:v>
      </x:c>
      <x:c r="Q314" s="93" t="n">
        <x:v>7886.58</x:v>
      </x:c>
      <x:c r="R314" s="91" t="n">
        <x:v>0</x:v>
      </x:c>
    </x:row>
    <x:row r="315">
      <x:c r="A315" s="83" t="n">
        <x:v>314</x:v>
      </x:c>
      <x:c r="B315" s="84" t="str">
        <x:v>OS-2023-00314</x:v>
      </x:c>
      <x:c r="C315" s="84" t="n">
        <x:v>21</x:v>
      </x:c>
      <x:c r="D315" s="84" t="n">
        <x:v>2</x:v>
      </x:c>
      <x:c r="E315" s="84"/>
      <x:c r="F315" s="89" t="n">
        <x:v>45014.96800925926</x:v>
      </x:c>
      <x:c r="G315" s="89" t="n">
        <x:v>45016.96800925926</x:v>
      </x:c>
      <x:c r="H315" s="89" t="n">
        <x:v>45016.759675925925</x:v>
      </x:c>
      <x:c r="I315" s="89" t="n">
        <x:v>45016.92634259259</x:v>
      </x:c>
      <x:c r="J315" s="84" t="str">
        <x:v>Alta</x:v>
      </x:c>
      <x:c r="K315" s="84" t="str">
        <x:v>Encerrada</x:v>
      </x:c>
      <x:c r="L315" s="84" t="str">
        <x:v>Desalinhamento</x:v>
      </x:c>
      <x:c r="M315" s="84" t="str">
        <x:v>Falta de lubrificação</x:v>
      </x:c>
      <x:c r="N315" s="84" t="str">
        <x:v>Componente ajustado ou substituído</x:v>
      </x:c>
      <x:c r="O315" s="84" t="n">
        <x:v>0</x:v>
      </x:c>
      <x:c r="P315" s="93" t="n">
        <x:v>563.34</x:v>
      </x:c>
      <x:c r="Q315" s="93" t="n">
        <x:v>11358.76</x:v>
      </x:c>
      <x:c r="R315" s="91" t="n">
        <x:v>0</x:v>
      </x:c>
    </x:row>
    <x:row r="316">
      <x:c r="A316" s="83" t="n">
        <x:v>315</x:v>
      </x:c>
      <x:c r="B316" s="84" t="str">
        <x:v>OS-2024-00315</x:v>
      </x:c>
      <x:c r="C316" s="84" t="n">
        <x:v>11</x:v>
      </x:c>
      <x:c r="D316" s="84" t="n">
        <x:v>5</x:v>
      </x:c>
      <x:c r="E316" s="84" t="n">
        <x:v>21</x:v>
      </x:c>
      <x:c r="F316" s="89" t="n">
        <x:v>45305.79148148148</x:v>
      </x:c>
      <x:c r="G316" s="89" t="n">
        <x:v>45313.79148148148</x:v>
      </x:c>
      <x:c r="H316" s="89" t="n">
        <x:v>45306.874814814815</x:v>
      </x:c>
      <x:c r="I316" s="89" t="n">
        <x:v>45307.70814814815</x:v>
      </x:c>
      <x:c r="J316" s="84" t="str">
        <x:v>Baixa</x:v>
      </x:c>
      <x:c r="K316" s="84" t="str">
        <x:v>Concluída</x:v>
      </x:c>
      <x:c r="L316" s="84" t="str">
        <x:v>Superaquecimento</x:v>
      </x:c>
      <x:c r="M316" s="84" t="str">
        <x:v>Desgaste natural</x:v>
      </x:c>
      <x:c r="N316" s="84" t="str">
        <x:v>Componente ajustado ou substituído</x:v>
      </x:c>
      <x:c r="O316" s="84" t="n">
        <x:v>0</x:v>
      </x:c>
      <x:c r="P316" s="93" t="n">
        <x:v>789.38</x:v>
      </x:c>
      <x:c r="Q316" s="93" t="n">
        <x:v>9423.87</x:v>
      </x:c>
      <x:c r="R316" s="91" t="n">
        <x:v>0</x:v>
      </x:c>
    </x:row>
    <x:row r="317">
      <x:c r="A317" s="83" t="n">
        <x:v>316</x:v>
      </x:c>
      <x:c r="B317" s="84" t="str">
        <x:v>OS-2024-00316</x:v>
      </x:c>
      <x:c r="C317" s="84" t="n">
        <x:v>48</x:v>
      </x:c>
      <x:c r="D317" s="84" t="n">
        <x:v>1</x:v>
      </x:c>
      <x:c r="E317" s="84" t="n">
        <x:v>95</x:v>
      </x:c>
      <x:c r="F317" s="89" t="n">
        <x:v>45585.16908564815</x:v>
      </x:c>
      <x:c r="G317" s="89" t="n">
        <x:v>45587.16908564815</x:v>
      </x:c>
      <x:c r="H317" s="89" t="n">
        <x:v>45586.710752314815</x:v>
      </x:c>
      <x:c r="I317" s="89" t="n">
        <x:v>45586.75241898148</x:v>
      </x:c>
      <x:c r="J317" s="84" t="str">
        <x:v>Baixa</x:v>
      </x:c>
      <x:c r="K317" s="84" t="str">
        <x:v>Encerrada</x:v>
      </x:c>
      <x:c r="L317" s="84" t="str">
        <x:v>Desalinhamento</x:v>
      </x:c>
      <x:c r="M317" s="84" t="str">
        <x:v>Componente danificado</x:v>
      </x:c>
      <x:c r="N317" s="84" t="str">
        <x:v>Componente ajustado ou substituído</x:v>
      </x:c>
      <x:c r="O317" s="84" t="n">
        <x:v>0</x:v>
      </x:c>
      <x:c r="P317" s="93" t="n">
        <x:v>288.84</x:v>
      </x:c>
      <x:c r="Q317" s="93" t="n">
        <x:v>13528.96</x:v>
      </x:c>
      <x:c r="R317" s="91" t="n">
        <x:v>0</x:v>
      </x:c>
    </x:row>
    <x:row r="318">
      <x:c r="A318" s="83" t="n">
        <x:v>317</x:v>
      </x:c>
      <x:c r="B318" s="84" t="str">
        <x:v>OS-2024-00317</x:v>
      </x:c>
      <x:c r="C318" s="84" t="n">
        <x:v>14</x:v>
      </x:c>
      <x:c r="D318" s="84" t="n">
        <x:v>1</x:v>
      </x:c>
      <x:c r="E318" s="84" t="n">
        <x:v>28</x:v>
      </x:c>
      <x:c r="F318" s="89" t="n">
        <x:v>45595.04797453704</x:v>
      </x:c>
      <x:c r="G318" s="89" t="n">
        <x:v>45609.04797453704</x:v>
      </x:c>
      <x:c r="H318" s="89" t="n">
        <x:v>45596.29797453704</x:v>
      </x:c>
      <x:c r="I318" s="89"/>
      <x:c r="J318" s="84" t="str">
        <x:v>Baixa</x:v>
      </x:c>
      <x:c r="K318" s="84" t="str">
        <x:v>Em execução</x:v>
      </x:c>
      <x:c r="L318" s="84" t="str">
        <x:v>Alarme intermitente</x:v>
      </x:c>
      <x:c r="M318" s="84" t="str">
        <x:v>Conexão frouxa</x:v>
      </x:c>
      <x:c r="N318" s="84"/>
      <x:c r="O318" s="84" t="n">
        <x:v>0</x:v>
      </x:c>
      <x:c r="P318" s="93" t="n">
        <x:v>145.87</x:v>
      </x:c>
      <x:c r="Q318" s="93" t="n">
        <x:v>7663.94</x:v>
      </x:c>
      <x:c r="R318" s="91" t="n">
        <x:v>0</x:v>
      </x:c>
    </x:row>
    <x:row r="319">
      <x:c r="A319" s="83" t="n">
        <x:v>318</x:v>
      </x:c>
      <x:c r="B319" s="84" t="str">
        <x:v>OS-2023-00318</x:v>
      </x:c>
      <x:c r="C319" s="84" t="n">
        <x:v>17</x:v>
      </x:c>
      <x:c r="D319" s="84" t="n">
        <x:v>8</x:v>
      </x:c>
      <x:c r="E319" s="84"/>
      <x:c r="F319" s="89" t="n">
        <x:v>45211.336388888885</x:v>
      </x:c>
      <x:c r="G319" s="89" t="n">
        <x:v>45222.336388888885</x:v>
      </x:c>
      <x:c r="H319" s="89" t="n">
        <x:v>45212.961388888885</x:v>
      </x:c>
      <x:c r="I319" s="89" t="n">
        <x:v>45213.79472222222</x:v>
      </x:c>
      <x:c r="J319" s="84" t="str">
        <x:v>Baixa</x:v>
      </x:c>
      <x:c r="K319" s="84" t="str">
        <x:v>Concluída</x:v>
      </x:c>
      <x:c r="L319" s="84" t="str">
        <x:v>Ruído anormal</x:v>
      </x:c>
      <x:c r="M319" s="84" t="str">
        <x:v>Contaminação</x:v>
      </x:c>
      <x:c r="N319" s="84" t="str">
        <x:v>Componente ajustado ou substituído</x:v>
      </x:c>
      <x:c r="O319" s="84" t="n">
        <x:v>0</x:v>
      </x:c>
      <x:c r="P319" s="93" t="n">
        <x:v>458.24</x:v>
      </x:c>
      <x:c r="Q319" s="93" t="n">
        <x:v>2902.36</x:v>
      </x:c>
      <x:c r="R319" s="91" t="n">
        <x:v>0</x:v>
      </x:c>
    </x:row>
    <x:row r="320">
      <x:c r="A320" s="83" t="n">
        <x:v>319</x:v>
      </x:c>
      <x:c r="B320" s="84" t="str">
        <x:v>OS-2024-00319</x:v>
      </x:c>
      <x:c r="C320" s="84" t="n">
        <x:v>77</x:v>
      </x:c>
      <x:c r="D320" s="84" t="n">
        <x:v>8</x:v>
      </x:c>
      <x:c r="E320" s="84"/>
      <x:c r="F320" s="89" t="n">
        <x:v>45361.586747685185</x:v>
      </x:c>
      <x:c r="G320" s="89" t="n">
        <x:v>45375.586747685185</x:v>
      </x:c>
      <x:c r="H320" s="89" t="n">
        <x:v>45362.04508101852</x:v>
      </x:c>
      <x:c r="I320" s="89" t="n">
        <x:v>45362.836747685185</x:v>
      </x:c>
      <x:c r="J320" s="84" t="str">
        <x:v>Crítica</x:v>
      </x:c>
      <x:c r="K320" s="84" t="str">
        <x:v>Encerrada</x:v>
      </x:c>
      <x:c r="L320" s="84" t="str">
        <x:v>Alarme intermitente</x:v>
      </x:c>
      <x:c r="M320" s="84" t="str">
        <x:v>Falta de lubrificação</x:v>
      </x:c>
      <x:c r="N320" s="84" t="str">
        <x:v>Componente ajustado ou substituído</x:v>
      </x:c>
      <x:c r="O320" s="84" t="n">
        <x:v>0</x:v>
      </x:c>
      <x:c r="P320" s="93" t="n">
        <x:v>427.73</x:v>
      </x:c>
      <x:c r="Q320" s="93" t="n">
        <x:v>5813</x:v>
      </x:c>
      <x:c r="R320" s="91" t="n">
        <x:v>0</x:v>
      </x:c>
    </x:row>
    <x:row r="321">
      <x:c r="A321" s="83" t="n">
        <x:v>320</x:v>
      </x:c>
      <x:c r="B321" s="84" t="str">
        <x:v>OS-2024-00320</x:v>
      </x:c>
      <x:c r="C321" s="84" t="n">
        <x:v>45</x:v>
      </x:c>
      <x:c r="D321" s="84" t="n">
        <x:v>4</x:v>
      </x:c>
      <x:c r="E321" s="84"/>
      <x:c r="F321" s="89" t="n">
        <x:v>45556.969039351854</x:v>
      </x:c>
      <x:c r="G321" s="89" t="n">
        <x:v>45565.969039351854</x:v>
      </x:c>
      <x:c r="H321" s="89" t="n">
        <x:v>45559.76070601852</x:v>
      </x:c>
      <x:c r="I321" s="89" t="n">
        <x:v>45560.344039351854</x:v>
      </x:c>
      <x:c r="J321" s="84" t="str">
        <x:v>Crítica</x:v>
      </x:c>
      <x:c r="K321" s="84" t="str">
        <x:v>Encerrada</x:v>
      </x:c>
      <x:c r="L321" s="84" t="str">
        <x:v>Alarme intermitente</x:v>
      </x:c>
      <x:c r="M321" s="84" t="str">
        <x:v>Conexão frouxa</x:v>
      </x:c>
      <x:c r="N321" s="84" t="str">
        <x:v>Componente ajustado ou substituído</x:v>
      </x:c>
      <x:c r="O321" s="84" t="n">
        <x:v>0</x:v>
      </x:c>
      <x:c r="P321" s="93" t="n">
        <x:v>362.26</x:v>
      </x:c>
      <x:c r="Q321" s="93" t="n">
        <x:v>6423.56</x:v>
      </x:c>
      <x:c r="R321" s="91" t="n">
        <x:v>2397.85</x:v>
      </x:c>
    </x:row>
    <x:row r="322">
      <x:c r="A322" s="83" t="n">
        <x:v>321</x:v>
      </x:c>
      <x:c r="B322" s="84" t="str">
        <x:v>OS-2024-00321</x:v>
      </x:c>
      <x:c r="C322" s="84" t="n">
        <x:v>20</x:v>
      </x:c>
      <x:c r="D322" s="84" t="n">
        <x:v>1</x:v>
      </x:c>
      <x:c r="E322" s="84" t="n">
        <x:v>39</x:v>
      </x:c>
      <x:c r="F322" s="89" t="n">
        <x:v>45627.93943287037</x:v>
      </x:c>
      <x:c r="G322" s="89" t="n">
        <x:v>45637.93943287037</x:v>
      </x:c>
      <x:c r="H322" s="89" t="n">
        <x:v>45629.481099537035</x:v>
      </x:c>
      <x:c r="I322" s="89"/>
      <x:c r="J322" s="84" t="str">
        <x:v>Baixa</x:v>
      </x:c>
      <x:c r="K322" s="84" t="str">
        <x:v>Aguardando peça</x:v>
      </x:c>
      <x:c r="L322" s="84" t="str">
        <x:v>Falha elétrica</x:v>
      </x:c>
      <x:c r="M322" s="84" t="str">
        <x:v>Conexão frouxa</x:v>
      </x:c>
      <x:c r="N322" s="84"/>
      <x:c r="O322" s="84" t="n">
        <x:v>0</x:v>
      </x:c>
      <x:c r="P322" s="93" t="n">
        <x:v>718.52</x:v>
      </x:c>
      <x:c r="Q322" s="93" t="n">
        <x:v>2151</x:v>
      </x:c>
      <x:c r="R322" s="91" t="n">
        <x:v>11028.79</x:v>
      </x:c>
    </x:row>
    <x:row r="323">
      <x:c r="A323" s="83" t="n">
        <x:v>322</x:v>
      </x:c>
      <x:c r="B323" s="84" t="str">
        <x:v>OS-2024-00322</x:v>
      </x:c>
      <x:c r="C323" s="84" t="n">
        <x:v>68</x:v>
      </x:c>
      <x:c r="D323" s="84" t="n">
        <x:v>2</x:v>
      </x:c>
      <x:c r="E323" s="84"/>
      <x:c r="F323" s="89" t="n">
        <x:v>45374.213321759256</x:v>
      </x:c>
      <x:c r="G323" s="89" t="n">
        <x:v>45376.213321759256</x:v>
      </x:c>
      <x:c r="H323" s="89" t="n">
        <x:v>45376.92165509259</x:v>
      </x:c>
      <x:c r="I323" s="89" t="n">
        <x:v>45377.713321759256</x:v>
      </x:c>
      <x:c r="J323" s="84" t="str">
        <x:v>Baixa</x:v>
      </x:c>
      <x:c r="K323" s="84" t="str">
        <x:v>Encerrada</x:v>
      </x:c>
      <x:c r="L323" s="84" t="str">
        <x:v>Desalinhamento</x:v>
      </x:c>
      <x:c r="M323" s="84" t="str">
        <x:v>Componente danificado</x:v>
      </x:c>
      <x:c r="N323" s="84" t="str">
        <x:v>Componente ajustado ou substituído</x:v>
      </x:c>
      <x:c r="O323" s="84" t="n">
        <x:v>0</x:v>
      </x:c>
      <x:c r="P323" s="93" t="n">
        <x:v>591.08</x:v>
      </x:c>
      <x:c r="Q323" s="93" t="n">
        <x:v>7931.47</x:v>
      </x:c>
      <x:c r="R323" s="91" t="n">
        <x:v>0</x:v>
      </x:c>
    </x:row>
    <x:row r="324">
      <x:c r="A324" s="83" t="n">
        <x:v>323</x:v>
      </x:c>
      <x:c r="B324" s="84" t="str">
        <x:v>OS-2024-00323</x:v>
      </x:c>
      <x:c r="C324" s="84" t="n">
        <x:v>3</x:v>
      </x:c>
      <x:c r="D324" s="84" t="n">
        <x:v>1</x:v>
      </x:c>
      <x:c r="E324" s="84" t="n">
        <x:v>5</x:v>
      </x:c>
      <x:c r="F324" s="89" t="n">
        <x:v>45327.235347222224</x:v>
      </x:c>
      <x:c r="G324" s="89" t="n">
        <x:v>45331.235347222224</x:v>
      </x:c>
      <x:c r="H324" s="89" t="n">
        <x:v>45327.40201388889</x:v>
      </x:c>
      <x:c r="I324" s="89" t="n">
        <x:v>45327.735347222224</x:v>
      </x:c>
      <x:c r="J324" s="84" t="str">
        <x:v>Média</x:v>
      </x:c>
      <x:c r="K324" s="84" t="str">
        <x:v>Encerrada</x:v>
      </x:c>
      <x:c r="L324" s="84" t="str">
        <x:v>Superaquecimento</x:v>
      </x:c>
      <x:c r="M324" s="84" t="str">
        <x:v>Ajuste incorreto</x:v>
      </x:c>
      <x:c r="N324" s="84" t="str">
        <x:v>Componente ajustado ou substituído</x:v>
      </x:c>
      <x:c r="O324" s="84" t="n">
        <x:v>0</x:v>
      </x:c>
      <x:c r="P324" s="93" t="n">
        <x:v>397.2</x:v>
      </x:c>
      <x:c r="Q324" s="93" t="n">
        <x:v>3552.3</x:v>
      </x:c>
      <x:c r="R324" s="91" t="n">
        <x:v>0</x:v>
      </x:c>
    </x:row>
    <x:row r="325">
      <x:c r="A325" s="83" t="n">
        <x:v>324</x:v>
      </x:c>
      <x:c r="B325" s="84" t="str">
        <x:v>OS-2025-00324</x:v>
      </x:c>
      <x:c r="C325" s="84" t="n">
        <x:v>59</x:v>
      </x:c>
      <x:c r="D325" s="84" t="n">
        <x:v>4</x:v>
      </x:c>
      <x:c r="E325" s="84"/>
      <x:c r="F325" s="89" t="n">
        <x:v>45995.17290509259</x:v>
      </x:c>
      <x:c r="G325" s="89" t="n">
        <x:v>45999.17290509259</x:v>
      </x:c>
      <x:c r="H325" s="89"/>
      <x:c r="I325" s="89"/>
      <x:c r="J325" s="84" t="str">
        <x:v>Alta</x:v>
      </x:c>
      <x:c r="K325" s="84" t="str">
        <x:v>Planejada</x:v>
      </x:c>
      <x:c r="L325" s="84" t="str">
        <x:v>Vazamento</x:v>
      </x:c>
      <x:c r="M325" s="84"/>
      <x:c r="N325" s="84"/>
      <x:c r="O325" s="84" t="n">
        <x:v>0</x:v>
      </x:c>
      <x:c r="P325" s="93" t="n">
        <x:v>0</x:v>
      </x:c>
      <x:c r="Q325" s="93" t="n">
        <x:v>0</x:v>
      </x:c>
      <x:c r="R325" s="91" t="n">
        <x:v>0</x:v>
      </x:c>
    </x:row>
    <x:row r="326">
      <x:c r="A326" s="83" t="n">
        <x:v>325</x:v>
      </x:c>
      <x:c r="B326" s="84" t="str">
        <x:v>OS-2024-00325</x:v>
      </x:c>
      <x:c r="C326" s="84" t="n">
        <x:v>15</x:v>
      </x:c>
      <x:c r="D326" s="84" t="n">
        <x:v>5</x:v>
      </x:c>
      <x:c r="E326" s="84" t="n">
        <x:v>29</x:v>
      </x:c>
      <x:c r="F326" s="89" t="n">
        <x:v>45325.69758101852</x:v>
      </x:c>
      <x:c r="G326" s="89" t="n">
        <x:v>45326.69758101852</x:v>
      </x:c>
      <x:c r="H326" s="89" t="n">
        <x:v>45327.44758101852</x:v>
      </x:c>
      <x:c r="I326" s="89" t="n">
        <x:v>45327.69758101852</x:v>
      </x:c>
      <x:c r="J326" s="84" t="str">
        <x:v>Baixa</x:v>
      </x:c>
      <x:c r="K326" s="84" t="str">
        <x:v>Encerrada</x:v>
      </x:c>
      <x:c r="L326" s="84" t="str">
        <x:v>Falha elétrica</x:v>
      </x:c>
      <x:c r="M326" s="84" t="str">
        <x:v>Desgaste natural</x:v>
      </x:c>
      <x:c r="N326" s="84" t="str">
        <x:v>Componente ajustado ou substituído</x:v>
      </x:c>
      <x:c r="O326" s="84" t="n">
        <x:v>0</x:v>
      </x:c>
      <x:c r="P326" s="93" t="n">
        <x:v>433.09</x:v>
      </x:c>
      <x:c r="Q326" s="93" t="n">
        <x:v>3962.97</x:v>
      </x:c>
      <x:c r="R326" s="91" t="n">
        <x:v>0</x:v>
      </x:c>
    </x:row>
    <x:row r="327">
      <x:c r="A327" s="83" t="n">
        <x:v>326</x:v>
      </x:c>
      <x:c r="B327" s="84" t="str">
        <x:v>OS-2024-00326</x:v>
      </x:c>
      <x:c r="C327" s="84" t="n">
        <x:v>43</x:v>
      </x:c>
      <x:c r="D327" s="84" t="n">
        <x:v>3</x:v>
      </x:c>
      <x:c r="E327" s="84"/>
      <x:c r="F327" s="89" t="n">
        <x:v>45593.67601851852</x:v>
      </x:c>
      <x:c r="G327" s="89"/>
      <x:c r="H327" s="89" t="n">
        <x:v>45595.259351851855</x:v>
      </x:c>
      <x:c r="I327" s="89" t="n">
        <x:v>45595.717685185184</x:v>
      </x:c>
      <x:c r="J327" s="84" t="str">
        <x:v>Alta</x:v>
      </x:c>
      <x:c r="K327" s="84" t="str">
        <x:v>Encerrada</x:v>
      </x:c>
      <x:c r="L327" s="84" t="str">
        <x:v>Superaquecimento</x:v>
      </x:c>
      <x:c r="M327" s="84" t="str">
        <x:v>Contaminação</x:v>
      </x:c>
      <x:c r="N327" s="84" t="str">
        <x:v>Componente ajustado ou substituído</x:v>
      </x:c>
      <x:c r="O327" s="84" t="n">
        <x:v>0</x:v>
      </x:c>
      <x:c r="P327" s="93" t="n">
        <x:v>196.83</x:v>
      </x:c>
      <x:c r="Q327" s="93" t="n">
        <x:v>8486.05</x:v>
      </x:c>
      <x:c r="R327" s="91" t="n">
        <x:v>0</x:v>
      </x:c>
    </x:row>
    <x:row r="328">
      <x:c r="A328" s="83" t="n">
        <x:v>327</x:v>
      </x:c>
      <x:c r="B328" s="84" t="str">
        <x:v>OS-2023-00327</x:v>
      </x:c>
      <x:c r="C328" s="84" t="n">
        <x:v>48</x:v>
      </x:c>
      <x:c r="D328" s="84" t="n">
        <x:v>1</x:v>
      </x:c>
      <x:c r="E328" s="84" t="n">
        <x:v>96</x:v>
      </x:c>
      <x:c r="F328" s="89" t="n">
        <x:v>44977.29138888889</x:v>
      </x:c>
      <x:c r="G328" s="89" t="n">
        <x:v>44983.29138888889</x:v>
      </x:c>
      <x:c r="H328" s="89" t="n">
        <x:v>44977.70805555556</x:v>
      </x:c>
      <x:c r="I328" s="89" t="n">
        <x:v>44978.16638888889</x:v>
      </x:c>
      <x:c r="J328" s="84" t="str">
        <x:v>Alta</x:v>
      </x:c>
      <x:c r="K328" s="84" t="str">
        <x:v>Concluída</x:v>
      </x:c>
      <x:c r="L328" s="84" t="str">
        <x:v>Alarme intermitente</x:v>
      </x:c>
      <x:c r="M328" s="84" t="str">
        <x:v>Contaminação</x:v>
      </x:c>
      <x:c r="N328" s="84" t="str">
        <x:v>Componente ajustado ou substituído</x:v>
      </x:c>
      <x:c r="O328" s="84" t="n">
        <x:v>0</x:v>
      </x:c>
      <x:c r="P328" s="93" t="n">
        <x:v>476.98</x:v>
      </x:c>
      <x:c r="Q328" s="93" t="n">
        <x:v>1322.9</x:v>
      </x:c>
      <x:c r="R328" s="91" t="n">
        <x:v>0</x:v>
      </x:c>
    </x:row>
    <x:row r="329">
      <x:c r="A329" s="83" t="n">
        <x:v>328</x:v>
      </x:c>
      <x:c r="B329" s="84" t="str">
        <x:v>OS-2025-00328</x:v>
      </x:c>
      <x:c r="C329" s="84" t="n">
        <x:v>73</x:v>
      </x:c>
      <x:c r="D329" s="84" t="n">
        <x:v>1</x:v>
      </x:c>
      <x:c r="E329" s="84" t="n">
        <x:v>146</x:v>
      </x:c>
      <x:c r="F329" s="89" t="n">
        <x:v>45731.22615740741</x:v>
      </x:c>
      <x:c r="G329" s="89" t="n">
        <x:v>45746.22615740741</x:v>
      </x:c>
      <x:c r="H329" s="89" t="n">
        <x:v>45733.30949074074</x:v>
      </x:c>
      <x:c r="I329" s="89" t="n">
        <x:v>45733.89282407407</x:v>
      </x:c>
      <x:c r="J329" s="84" t="str">
        <x:v>Média</x:v>
      </x:c>
      <x:c r="K329" s="84" t="str">
        <x:v>Concluída</x:v>
      </x:c>
      <x:c r="L329" s="84" t="str">
        <x:v>Falha elétrica</x:v>
      </x:c>
      <x:c r="M329" s="84" t="str">
        <x:v>Componente danificado</x:v>
      </x:c>
      <x:c r="N329" s="84" t="str">
        <x:v>Componente ajustado ou substituído</x:v>
      </x:c>
      <x:c r="O329" s="84" t="n">
        <x:v>0</x:v>
      </x:c>
      <x:c r="P329" s="93" t="n">
        <x:v>88.09</x:v>
      </x:c>
      <x:c r="Q329" s="93" t="n">
        <x:v>2067.42</x:v>
      </x:c>
      <x:c r="R329" s="91" t="n">
        <x:v>0</x:v>
      </x:c>
    </x:row>
    <x:row r="330">
      <x:c r="A330" s="83" t="n">
        <x:v>329</x:v>
      </x:c>
      <x:c r="B330" s="84" t="str">
        <x:v>OS-2023-00329</x:v>
      </x:c>
      <x:c r="C330" s="84" t="n">
        <x:v>78</x:v>
      </x:c>
      <x:c r="D330" s="84" t="n">
        <x:v>8</x:v>
      </x:c>
      <x:c r="E330" s="84"/>
      <x:c r="F330" s="89" t="n">
        <x:v>45032.48782407407</x:v>
      </x:c>
      <x:c r="G330" s="89" t="n">
        <x:v>45035.48782407407</x:v>
      </x:c>
      <x:c r="H330" s="89" t="n">
        <x:v>45034.23782407407</x:v>
      </x:c>
      <x:c r="I330" s="89"/>
      <x:c r="J330" s="84" t="str">
        <x:v>Crítica</x:v>
      </x:c>
      <x:c r="K330" s="84" t="str">
        <x:v>Em execução</x:v>
      </x:c>
      <x:c r="L330" s="84" t="str">
        <x:v>Alarme intermitente</x:v>
      </x:c>
      <x:c r="M330" s="84" t="str">
        <x:v>Componente danificado</x:v>
      </x:c>
      <x:c r="N330" s="84"/>
      <x:c r="O330" s="84" t="n">
        <x:v>0</x:v>
      </x:c>
      <x:c r="P330" s="93" t="n">
        <x:v>452.7</x:v>
      </x:c>
      <x:c r="Q330" s="93" t="n">
        <x:v>9509.7</x:v>
      </x:c>
      <x:c r="R330" s="91" t="n">
        <x:v>0</x:v>
      </x:c>
    </x:row>
    <x:row r="331">
      <x:c r="A331" s="83" t="n">
        <x:v>330</x:v>
      </x:c>
      <x:c r="B331" s="84" t="str">
        <x:v>OS-2023-00330</x:v>
      </x:c>
      <x:c r="C331" s="84" t="n">
        <x:v>53</x:v>
      </x:c>
      <x:c r="D331" s="84" t="n">
        <x:v>1</x:v>
      </x:c>
      <x:c r="E331" s="84" t="n">
        <x:v>105</x:v>
      </x:c>
      <x:c r="F331" s="89" t="n">
        <x:v>45188.716886574075</x:v>
      </x:c>
      <x:c r="G331" s="89" t="n">
        <x:v>45202.716886574075</x:v>
      </x:c>
      <x:c r="H331" s="89" t="n">
        <x:v>45190.091886574075</x:v>
      </x:c>
      <x:c r="I331" s="89" t="n">
        <x:v>45190.80021990741</x:v>
      </x:c>
      <x:c r="J331" s="84" t="str">
        <x:v>Média</x:v>
      </x:c>
      <x:c r="K331" s="84" t="str">
        <x:v>Encerrada</x:v>
      </x:c>
      <x:c r="L331" s="84" t="str">
        <x:v>Alarme intermitente</x:v>
      </x:c>
      <x:c r="M331" s="84" t="str">
        <x:v>Ajuste incorreto</x:v>
      </x:c>
      <x:c r="N331" s="84" t="str">
        <x:v>Componente ajustado ou substituído</x:v>
      </x:c>
      <x:c r="O331" s="84" t="n">
        <x:v>0</x:v>
      </x:c>
      <x:c r="P331" s="93" t="n">
        <x:v>378.29</x:v>
      </x:c>
      <x:c r="Q331" s="93" t="n">
        <x:v>8244.52</x:v>
      </x:c>
      <x:c r="R331" s="91" t="n">
        <x:v>0</x:v>
      </x:c>
    </x:row>
    <x:row r="332">
      <x:c r="A332" s="83" t="n">
        <x:v>331</x:v>
      </x:c>
      <x:c r="B332" s="84" t="str">
        <x:v>OS-2023-00331</x:v>
      </x:c>
      <x:c r="C332" s="84" t="n">
        <x:v>85</x:v>
      </x:c>
      <x:c r="D332" s="84" t="n">
        <x:v>7</x:v>
      </x:c>
      <x:c r="E332" s="84" t="n">
        <x:v>170</x:v>
      </x:c>
      <x:c r="F332" s="89" t="n">
        <x:v>45261.523368055554</x:v>
      </x:c>
      <x:c r="G332" s="89" t="n">
        <x:v>45268.523368055554</x:v>
      </x:c>
      <x:c r="H332" s="89" t="n">
        <x:v>45264.23170138889</x:v>
      </x:c>
      <x:c r="I332" s="89" t="n">
        <x:v>45264.85670138889</x:v>
      </x:c>
      <x:c r="J332" s="84" t="str">
        <x:v>Alta</x:v>
      </x:c>
      <x:c r="K332" s="84" t="str">
        <x:v>Concluída</x:v>
      </x:c>
      <x:c r="L332" s="84" t="str">
        <x:v>Superaquecimento</x:v>
      </x:c>
      <x:c r="M332" s="84" t="str">
        <x:v>Conexão frouxa</x:v>
      </x:c>
      <x:c r="N332" s="84" t="str">
        <x:v>Componente ajustado ou substituído</x:v>
      </x:c>
      <x:c r="O332" s="84" t="n">
        <x:v>0</x:v>
      </x:c>
      <x:c r="P332" s="93" t="n">
        <x:v>106.95</x:v>
      </x:c>
      <x:c r="Q332" s="93" t="n">
        <x:v>0</x:v>
      </x:c>
      <x:c r="R332" s="91" t="n">
        <x:v>0</x:v>
      </x:c>
    </x:row>
    <x:row r="333">
      <x:c r="A333" s="83" t="n">
        <x:v>332</x:v>
      </x:c>
      <x:c r="B333" s="84" t="str">
        <x:v>OS-2025-00332</x:v>
      </x:c>
      <x:c r="C333" s="84" t="n">
        <x:v>24</x:v>
      </x:c>
      <x:c r="D333" s="84" t="n">
        <x:v>5</x:v>
      </x:c>
      <x:c r="E333" s="84" t="n">
        <x:v>48</x:v>
      </x:c>
      <x:c r="F333" s="89" t="n">
        <x:v>45936.41297453704</x:v>
      </x:c>
      <x:c r="G333" s="89" t="n">
        <x:v>45948.41297453704</x:v>
      </x:c>
      <x:c r="H333" s="89" t="n">
        <x:v>45936.74630787037</x:v>
      </x:c>
      <x:c r="I333" s="89" t="n">
        <x:v>45937.4546412037</x:v>
      </x:c>
      <x:c r="J333" s="84" t="str">
        <x:v>Crítica</x:v>
      </x:c>
      <x:c r="K333" s="84" t="str">
        <x:v>Encerrada</x:v>
      </x:c>
      <x:c r="L333" s="84" t="str">
        <x:v>Ruído anormal</x:v>
      </x:c>
      <x:c r="M333" s="84" t="str">
        <x:v>Falta de lubrificação</x:v>
      </x:c>
      <x:c r="N333" s="84" t="str">
        <x:v>Componente ajustado ou substituído</x:v>
      </x:c>
      <x:c r="O333" s="84" t="n">
        <x:v>0</x:v>
      </x:c>
      <x:c r="P333" s="93" t="n">
        <x:v>374.72</x:v>
      </x:c>
      <x:c r="Q333" s="93" t="n">
        <x:v>9184.55</x:v>
      </x:c>
      <x:c r="R333" s="91" t="n">
        <x:v>0</x:v>
      </x:c>
    </x:row>
    <x:row r="334">
      <x:c r="A334" s="83" t="n">
        <x:v>333</x:v>
      </x:c>
      <x:c r="B334" s="84" t="str">
        <x:v>OS-2023-00333</x:v>
      </x:c>
      <x:c r="C334" s="84" t="n">
        <x:v>27</x:v>
      </x:c>
      <x:c r="D334" s="84" t="n">
        <x:v>4</x:v>
      </x:c>
      <x:c r="E334" s="84"/>
      <x:c r="F334" s="89" t="n">
        <x:v>45226.601122685184</x:v>
      </x:c>
      <x:c r="G334" s="89" t="n">
        <x:v>45235.601122685184</x:v>
      </x:c>
      <x:c r="H334" s="89" t="n">
        <x:v>45227.851122685184</x:v>
      </x:c>
      <x:c r="I334" s="89" t="n">
        <x:v>45227.89278935185</x:v>
      </x:c>
      <x:c r="J334" s="84" t="str">
        <x:v>Média</x:v>
      </x:c>
      <x:c r="K334" s="84" t="str">
        <x:v>Encerrada</x:v>
      </x:c>
      <x:c r="L334" s="84" t="str">
        <x:v>Ruído anormal</x:v>
      </x:c>
      <x:c r="M334" s="84" t="str">
        <x:v>Componente danificado</x:v>
      </x:c>
      <x:c r="N334" s="84" t="str">
        <x:v>Componente ajustado ou substituído</x:v>
      </x:c>
      <x:c r="O334" s="84" t="n">
        <x:v>0</x:v>
      </x:c>
      <x:c r="P334" s="93" t="n">
        <x:v>153.47</x:v>
      </x:c>
      <x:c r="Q334" s="93" t="n">
        <x:v>9997.95</x:v>
      </x:c>
      <x:c r="R334" s="91" t="n">
        <x:v>0</x:v>
      </x:c>
    </x:row>
    <x:row r="335">
      <x:c r="A335" s="83" t="n">
        <x:v>334</x:v>
      </x:c>
      <x:c r="B335" s="84" t="str">
        <x:v>OS-2025-00334</x:v>
      </x:c>
      <x:c r="C335" s="84" t="n">
        <x:v>4</x:v>
      </x:c>
      <x:c r="D335" s="84" t="n">
        <x:v>1</x:v>
      </x:c>
      <x:c r="E335" s="84" t="n">
        <x:v>8</x:v>
      </x:c>
      <x:c r="F335" s="89" t="n">
        <x:v>45748.05803240741</x:v>
      </x:c>
      <x:c r="G335" s="89" t="n">
        <x:v>45762.05803240741</x:v>
      </x:c>
      <x:c r="H335" s="89" t="n">
        <x:v>45748.55803240741</x:v>
      </x:c>
      <x:c r="I335" s="89" t="n">
        <x:v>45749.01636574074</x:v>
      </x:c>
      <x:c r="J335" s="84" t="str">
        <x:v>Crítica</x:v>
      </x:c>
      <x:c r="K335" s="84" t="str">
        <x:v>Encerrada</x:v>
      </x:c>
      <x:c r="L335" s="84" t="str">
        <x:v>Alarme intermitente</x:v>
      </x:c>
      <x:c r="M335" s="84" t="str">
        <x:v>Contaminação</x:v>
      </x:c>
      <x:c r="N335" s="84" t="str">
        <x:v>Componente ajustado ou substituído</x:v>
      </x:c>
      <x:c r="O335" s="84" t="n">
        <x:v>0</x:v>
      </x:c>
      <x:c r="P335" s="93" t="n">
        <x:v>433.03</x:v>
      </x:c>
      <x:c r="Q335" s="93" t="n">
        <x:v>10683.4</x:v>
      </x:c>
      <x:c r="R335" s="91" t="n">
        <x:v>0</x:v>
      </x:c>
    </x:row>
    <x:row r="336">
      <x:c r="A336" s="83" t="n">
        <x:v>335</x:v>
      </x:c>
      <x:c r="B336" s="84" t="str">
        <x:v>OS-2025-00335</x:v>
      </x:c>
      <x:c r="C336" s="84" t="n">
        <x:v>24</x:v>
      </x:c>
      <x:c r="D336" s="84" t="n">
        <x:v>6</x:v>
      </x:c>
      <x:c r="E336" s="84"/>
      <x:c r="F336" s="89" t="n">
        <x:v>45902.881215277775</x:v>
      </x:c>
      <x:c r="G336" s="89" t="n">
        <x:v>45907.881215277775</x:v>
      </x:c>
      <x:c r="H336" s="89"/>
      <x:c r="I336" s="89"/>
      <x:c r="J336" s="84" t="str">
        <x:v>Alta</x:v>
      </x:c>
      <x:c r="K336" s="84" t="str">
        <x:v>Cancelada</x:v>
      </x:c>
      <x:c r="L336" s="84" t="str">
        <x:v>Vazamento</x:v>
      </x:c>
      <x:c r="M336" s="84"/>
      <x:c r="N336" s="84"/>
      <x:c r="O336" s="84" t="n">
        <x:v>0</x:v>
      </x:c>
      <x:c r="P336" s="93" t="n">
        <x:v>0</x:v>
      </x:c>
      <x:c r="Q336" s="93" t="n">
        <x:v>0</x:v>
      </x:c>
      <x:c r="R336" s="91" t="n">
        <x:v>0</x:v>
      </x:c>
    </x:row>
    <x:row r="337">
      <x:c r="A337" s="83" t="n">
        <x:v>336</x:v>
      </x:c>
      <x:c r="B337" s="84" t="str">
        <x:v>OS-2025-00336</x:v>
      </x:c>
      <x:c r="C337" s="84" t="n">
        <x:v>78</x:v>
      </x:c>
      <x:c r="D337" s="84" t="n">
        <x:v>6</x:v>
      </x:c>
      <x:c r="E337" s="84"/>
      <x:c r="F337" s="89" t="n">
        <x:v>45864.72930555556</x:v>
      </x:c>
      <x:c r="G337" s="89" t="n">
        <x:v>45876.72930555556</x:v>
      </x:c>
      <x:c r="H337" s="89" t="n">
        <x:v>45867.39597222222</x:v>
      </x:c>
      <x:c r="I337" s="89" t="n">
        <x:v>45867.52097222222</x:v>
      </x:c>
      <x:c r="J337" s="84" t="str">
        <x:v>Média</x:v>
      </x:c>
      <x:c r="K337" s="84" t="str">
        <x:v>Encerrada</x:v>
      </x:c>
      <x:c r="L337" s="84" t="str">
        <x:v>Falha elétrica</x:v>
      </x:c>
      <x:c r="M337" s="84" t="str">
        <x:v>Ajuste incorreto</x:v>
      </x:c>
      <x:c r="N337" s="84" t="str">
        <x:v>Componente ajustado ou substituído</x:v>
      </x:c>
      <x:c r="O337" s="84" t="n">
        <x:v>0</x:v>
      </x:c>
      <x:c r="P337" s="93" t="n">
        <x:v>354.77</x:v>
      </x:c>
      <x:c r="Q337" s="93" t="n">
        <x:v>6956.42</x:v>
      </x:c>
      <x:c r="R337" s="91" t="n">
        <x:v>0</x:v>
      </x:c>
    </x:row>
    <x:row r="338">
      <x:c r="A338" s="83" t="n">
        <x:v>337</x:v>
      </x:c>
      <x:c r="B338" s="84" t="str">
        <x:v>OS-2025-00337</x:v>
      </x:c>
      <x:c r="C338" s="84" t="n">
        <x:v>62</x:v>
      </x:c>
      <x:c r="D338" s="84" t="n">
        <x:v>5</x:v>
      </x:c>
      <x:c r="E338" s="84" t="n">
        <x:v>123</x:v>
      </x:c>
      <x:c r="F338" s="89" t="n">
        <x:v>45688.17228009259</x:v>
      </x:c>
      <x:c r="G338" s="89" t="n">
        <x:v>45692.17228009259</x:v>
      </x:c>
      <x:c r="H338" s="89" t="n">
        <x:v>45690.88061342593</x:v>
      </x:c>
      <x:c r="I338" s="89" t="n">
        <x:v>45691.58894675926</x:v>
      </x:c>
      <x:c r="J338" s="84" t="str">
        <x:v>Média</x:v>
      </x:c>
      <x:c r="K338" s="84" t="str">
        <x:v>Encerrada</x:v>
      </x:c>
      <x:c r="L338" s="84" t="str">
        <x:v>Ruído anormal</x:v>
      </x:c>
      <x:c r="M338" s="84" t="str">
        <x:v>Contaminação</x:v>
      </x:c>
      <x:c r="N338" s="84" t="str">
        <x:v>Componente ajustado ou substituído</x:v>
      </x:c>
      <x:c r="O338" s="84" t="n">
        <x:v>0</x:v>
      </x:c>
      <x:c r="P338" s="93" t="n">
        <x:v>309.62</x:v>
      </x:c>
      <x:c r="Q338" s="93" t="n">
        <x:v>8870.06</x:v>
      </x:c>
      <x:c r="R338" s="91" t="n">
        <x:v>0</x:v>
      </x:c>
    </x:row>
    <x:row r="339">
      <x:c r="A339" s="83" t="n">
        <x:v>338</x:v>
      </x:c>
      <x:c r="B339" s="84" t="str">
        <x:v>OS-2025-00338</x:v>
      </x:c>
      <x:c r="C339" s="84" t="n">
        <x:v>8</x:v>
      </x:c>
      <x:c r="D339" s="84" t="n">
        <x:v>3</x:v>
      </x:c>
      <x:c r="E339" s="84"/>
      <x:c r="F339" s="89" t="n">
        <x:v>45807.42927083333</x:v>
      </x:c>
      <x:c r="G339" s="89"/>
      <x:c r="H339" s="89" t="n">
        <x:v>45809.17927083333</x:v>
      </x:c>
      <x:c r="I339" s="89" t="n">
        <x:v>45809.762604166666</x:v>
      </x:c>
      <x:c r="J339" s="84" t="str">
        <x:v>Crítica</x:v>
      </x:c>
      <x:c r="K339" s="84" t="str">
        <x:v>Encerrada</x:v>
      </x:c>
      <x:c r="L339" s="84" t="str">
        <x:v>Vazamento</x:v>
      </x:c>
      <x:c r="M339" s="84" t="str">
        <x:v>Desgaste natural</x:v>
      </x:c>
      <x:c r="N339" s="84" t="str">
        <x:v>Componente ajustado ou substituído</x:v>
      </x:c>
      <x:c r="O339" s="84" t="n">
        <x:v>0</x:v>
      </x:c>
      <x:c r="P339" s="93" t="n">
        <x:v>86.46</x:v>
      </x:c>
      <x:c r="Q339" s="93" t="n">
        <x:v>0</x:v>
      </x:c>
      <x:c r="R339" s="91" t="n">
        <x:v>0</x:v>
      </x:c>
    </x:row>
    <x:row r="340">
      <x:c r="A340" s="83" t="n">
        <x:v>339</x:v>
      </x:c>
      <x:c r="B340" s="84" t="str">
        <x:v>OS-2025-00339</x:v>
      </x:c>
      <x:c r="C340" s="84" t="n">
        <x:v>60</x:v>
      </x:c>
      <x:c r="D340" s="84" t="n">
        <x:v>5</x:v>
      </x:c>
      <x:c r="E340" s="84" t="n">
        <x:v>120</x:v>
      </x:c>
      <x:c r="F340" s="89" t="n">
        <x:v>45778.46896990741</x:v>
      </x:c>
      <x:c r="G340" s="89" t="n">
        <x:v>45781.46896990741</x:v>
      </x:c>
      <x:c r="H340" s="89" t="n">
        <x:v>45778.96896990741</x:v>
      </x:c>
      <x:c r="I340" s="89" t="n">
        <x:v>45779.59396990741</x:v>
      </x:c>
      <x:c r="J340" s="84" t="str">
        <x:v>Baixa</x:v>
      </x:c>
      <x:c r="K340" s="84" t="str">
        <x:v>Encerrada</x:v>
      </x:c>
      <x:c r="L340" s="84" t="str">
        <x:v>Superaquecimento</x:v>
      </x:c>
      <x:c r="M340" s="84" t="str">
        <x:v>Componente danificado</x:v>
      </x:c>
      <x:c r="N340" s="84" t="str">
        <x:v>Componente ajustado ou substituído</x:v>
      </x:c>
      <x:c r="O340" s="84" t="n">
        <x:v>0</x:v>
      </x:c>
      <x:c r="P340" s="93" t="n">
        <x:v>438.72</x:v>
      </x:c>
      <x:c r="Q340" s="93" t="n">
        <x:v>0</x:v>
      </x:c>
      <x:c r="R340" s="91" t="n">
        <x:v>0</x:v>
      </x:c>
    </x:row>
    <x:row r="341">
      <x:c r="A341" s="83" t="n">
        <x:v>340</x:v>
      </x:c>
      <x:c r="B341" s="84" t="str">
        <x:v>OS-2023-00340</x:v>
      </x:c>
      <x:c r="C341" s="84" t="n">
        <x:v>72</x:v>
      </x:c>
      <x:c r="D341" s="84" t="n">
        <x:v>5</x:v>
      </x:c>
      <x:c r="E341" s="84" t="n">
        <x:v>143</x:v>
      </x:c>
      <x:c r="F341" s="89" t="n">
        <x:v>45202.91804398148</x:v>
      </x:c>
      <x:c r="G341" s="89" t="n">
        <x:v>45203.91804398148</x:v>
      </x:c>
      <x:c r="H341" s="89" t="n">
        <x:v>45203.50137731482</x:v>
      </x:c>
      <x:c r="I341" s="89" t="n">
        <x:v>45203.66804398148</x:v>
      </x:c>
      <x:c r="J341" s="84" t="str">
        <x:v>Alta</x:v>
      </x:c>
      <x:c r="K341" s="84" t="str">
        <x:v>Encerrada</x:v>
      </x:c>
      <x:c r="L341" s="84" t="str">
        <x:v>Desalinhamento</x:v>
      </x:c>
      <x:c r="M341" s="84" t="str">
        <x:v>Contaminação</x:v>
      </x:c>
      <x:c r="N341" s="84" t="str">
        <x:v>Componente ajustado ou substituído</x:v>
      </x:c>
      <x:c r="O341" s="84" t="n">
        <x:v>0</x:v>
      </x:c>
      <x:c r="P341" s="93" t="n">
        <x:v>348.74</x:v>
      </x:c>
      <x:c r="Q341" s="93" t="n">
        <x:v>3510.54</x:v>
      </x:c>
      <x:c r="R341" s="91" t="n">
        <x:v>0</x:v>
      </x:c>
    </x:row>
    <x:row r="342">
      <x:c r="A342" s="83" t="n">
        <x:v>341</x:v>
      </x:c>
      <x:c r="B342" s="84" t="str">
        <x:v>OS-2024-00341</x:v>
      </x:c>
      <x:c r="C342" s="84" t="n">
        <x:v>48</x:v>
      </x:c>
      <x:c r="D342" s="84" t="n">
        <x:v>3</x:v>
      </x:c>
      <x:c r="E342" s="84"/>
      <x:c r="F342" s="89" t="n">
        <x:v>45312.13291666667</x:v>
      </x:c>
      <x:c r="G342" s="89"/>
      <x:c r="H342" s="89" t="n">
        <x:v>45314.46625</x:v>
      </x:c>
      <x:c r="I342" s="89" t="n">
        <x:v>45315.00791666667</x:v>
      </x:c>
      <x:c r="J342" s="84" t="str">
        <x:v>Crítica</x:v>
      </x:c>
      <x:c r="K342" s="84" t="str">
        <x:v>Concluída</x:v>
      </x:c>
      <x:c r="L342" s="84" t="str">
        <x:v>Superaquecimento</x:v>
      </x:c>
      <x:c r="M342" s="84" t="str">
        <x:v>Falta de lubrificação</x:v>
      </x:c>
      <x:c r="N342" s="84" t="str">
        <x:v>Componente ajustado ou substituído</x:v>
      </x:c>
      <x:c r="O342" s="84" t="n">
        <x:v>0</x:v>
      </x:c>
      <x:c r="P342" s="93" t="n">
        <x:v>206.6</x:v>
      </x:c>
      <x:c r="Q342" s="93" t="n">
        <x:v>0</x:v>
      </x:c>
      <x:c r="R342" s="91" t="n">
        <x:v>0</x:v>
      </x:c>
    </x:row>
    <x:row r="343">
      <x:c r="A343" s="83" t="n">
        <x:v>342</x:v>
      </x:c>
      <x:c r="B343" s="84" t="str">
        <x:v>OS-2024-00342</x:v>
      </x:c>
      <x:c r="C343" s="84" t="n">
        <x:v>54</x:v>
      </x:c>
      <x:c r="D343" s="84" t="n">
        <x:v>1</x:v>
      </x:c>
      <x:c r="E343" s="84" t="n">
        <x:v>108</x:v>
      </x:c>
      <x:c r="F343" s="89" t="n">
        <x:v>45384.36783564815</x:v>
      </x:c>
      <x:c r="G343" s="89" t="n">
        <x:v>45389.36783564815</x:v>
      </x:c>
      <x:c r="H343" s="89" t="n">
        <x:v>45385.82616898148</x:v>
      </x:c>
      <x:c r="I343" s="89" t="n">
        <x:v>45385.99283564815</x:v>
      </x:c>
      <x:c r="J343" s="84" t="str">
        <x:v>Média</x:v>
      </x:c>
      <x:c r="K343" s="84" t="str">
        <x:v>Encerrada</x:v>
      </x:c>
      <x:c r="L343" s="84" t="str">
        <x:v>Alarme intermitente</x:v>
      </x:c>
      <x:c r="M343" s="84" t="str">
        <x:v>Desgaste natural</x:v>
      </x:c>
      <x:c r="N343" s="84" t="str">
        <x:v>Componente ajustado ou substituído</x:v>
      </x:c>
      <x:c r="O343" s="84" t="n">
        <x:v>0</x:v>
      </x:c>
      <x:c r="P343" s="93" t="n">
        <x:v>92.92</x:v>
      </x:c>
      <x:c r="Q343" s="93" t="n">
        <x:v>6209.88</x:v>
      </x:c>
      <x:c r="R343" s="91" t="n">
        <x:v>0</x:v>
      </x:c>
    </x:row>
    <x:row r="344">
      <x:c r="A344" s="83" t="n">
        <x:v>343</x:v>
      </x:c>
      <x:c r="B344" s="84" t="str">
        <x:v>OS-2024-00343</x:v>
      </x:c>
      <x:c r="C344" s="84" t="n">
        <x:v>4</x:v>
      </x:c>
      <x:c r="D344" s="84" t="n">
        <x:v>1</x:v>
      </x:c>
      <x:c r="E344" s="84" t="n">
        <x:v>7</x:v>
      </x:c>
      <x:c r="F344" s="89" t="n">
        <x:v>45381.90746527778</x:v>
      </x:c>
      <x:c r="G344" s="89" t="n">
        <x:v>45387.90746527778</x:v>
      </x:c>
      <x:c r="H344" s="89" t="n">
        <x:v>45383.115798611114</x:v>
      </x:c>
      <x:c r="I344" s="89"/>
      <x:c r="J344" s="84" t="str">
        <x:v>Baixa</x:v>
      </x:c>
      <x:c r="K344" s="84" t="str">
        <x:v>Aguardando peça</x:v>
      </x:c>
      <x:c r="L344" s="84" t="str">
        <x:v>Superaquecimento</x:v>
      </x:c>
      <x:c r="M344" s="84" t="str">
        <x:v>Contaminação</x:v>
      </x:c>
      <x:c r="N344" s="84"/>
      <x:c r="O344" s="84" t="n">
        <x:v>0</x:v>
      </x:c>
      <x:c r="P344" s="93" t="n">
        <x:v>585.85</x:v>
      </x:c>
      <x:c r="Q344" s="93" t="n">
        <x:v>3071.23</x:v>
      </x:c>
      <x:c r="R344" s="91" t="n">
        <x:v>0</x:v>
      </x:c>
    </x:row>
    <x:row r="345">
      <x:c r="A345" s="83" t="n">
        <x:v>344</x:v>
      </x:c>
      <x:c r="B345" s="84" t="str">
        <x:v>OS-2025-00344</x:v>
      </x:c>
      <x:c r="C345" s="84" t="n">
        <x:v>50</x:v>
      </x:c>
      <x:c r="D345" s="84" t="n">
        <x:v>5</x:v>
      </x:c>
      <x:c r="E345" s="84" t="n">
        <x:v>99</x:v>
      </x:c>
      <x:c r="F345" s="89" t="n">
        <x:v>45916.52290509259</x:v>
      </x:c>
      <x:c r="G345" s="89" t="n">
        <x:v>45924.52290509259</x:v>
      </x:c>
      <x:c r="H345" s="89"/>
      <x:c r="I345" s="89"/>
      <x:c r="J345" s="84" t="str">
        <x:v>Média</x:v>
      </x:c>
      <x:c r="K345" s="84" t="str">
        <x:v>Planejada</x:v>
      </x:c>
      <x:c r="L345" s="84" t="str">
        <x:v>Alarme intermitente</x:v>
      </x:c>
      <x:c r="M345" s="84"/>
      <x:c r="N345" s="84"/>
      <x:c r="O345" s="84" t="n">
        <x:v>0</x:v>
      </x:c>
      <x:c r="P345" s="93" t="n">
        <x:v>0</x:v>
      </x:c>
      <x:c r="Q345" s="93" t="n">
        <x:v>0</x:v>
      </x:c>
      <x:c r="R345" s="91" t="n">
        <x:v>0</x:v>
      </x:c>
    </x:row>
    <x:row r="346">
      <x:c r="A346" s="83" t="n">
        <x:v>345</x:v>
      </x:c>
      <x:c r="B346" s="84" t="str">
        <x:v>OS-2024-00345</x:v>
      </x:c>
      <x:c r="C346" s="84" t="n">
        <x:v>81</x:v>
      </x:c>
      <x:c r="D346" s="84" t="n">
        <x:v>3</x:v>
      </x:c>
      <x:c r="E346" s="84"/>
      <x:c r="F346" s="89" t="n">
        <x:v>45309.81271990741</x:v>
      </x:c>
      <x:c r="G346" s="89"/>
      <x:c r="H346" s="89"/>
      <x:c r="I346" s="89"/>
      <x:c r="J346" s="84" t="str">
        <x:v>Alta</x:v>
      </x:c>
      <x:c r="K346" s="84" t="str">
        <x:v>Planejada</x:v>
      </x:c>
      <x:c r="L346" s="84" t="str">
        <x:v>Superaquecimento</x:v>
      </x:c>
      <x:c r="M346" s="84"/>
      <x:c r="N346" s="84"/>
      <x:c r="O346" s="84" t="n">
        <x:v>0</x:v>
      </x:c>
      <x:c r="P346" s="93" t="n">
        <x:v>0</x:v>
      </x:c>
      <x:c r="Q346" s="93" t="n">
        <x:v>0</x:v>
      </x:c>
      <x:c r="R346" s="91" t="n">
        <x:v>0</x:v>
      </x:c>
    </x:row>
    <x:row r="347">
      <x:c r="A347" s="83" t="n">
        <x:v>346</x:v>
      </x:c>
      <x:c r="B347" s="84" t="str">
        <x:v>OS-2025-00346</x:v>
      </x:c>
      <x:c r="C347" s="84" t="n">
        <x:v>70</x:v>
      </x:c>
      <x:c r="D347" s="84" t="n">
        <x:v>1</x:v>
      </x:c>
      <x:c r="E347" s="84" t="n">
        <x:v>139</x:v>
      </x:c>
      <x:c r="F347" s="89" t="n">
        <x:v>45832.491689814815</x:v>
      </x:c>
      <x:c r="G347" s="89" t="n">
        <x:v>45845.491689814815</x:v>
      </x:c>
      <x:c r="H347" s="89" t="n">
        <x:v>45835.07502314815</x:v>
      </x:c>
      <x:c r="I347" s="89" t="n">
        <x:v>45835.491689814815</x:v>
      </x:c>
      <x:c r="J347" s="84" t="str">
        <x:v>Crítica</x:v>
      </x:c>
      <x:c r="K347" s="84" t="str">
        <x:v>Encerrada</x:v>
      </x:c>
      <x:c r="L347" s="84" t="str">
        <x:v>Ruído anormal</x:v>
      </x:c>
      <x:c r="M347" s="84" t="str">
        <x:v>Falta de lubrificação</x:v>
      </x:c>
      <x:c r="N347" s="84" t="str">
        <x:v>Componente ajustado ou substituído</x:v>
      </x:c>
      <x:c r="O347" s="84" t="n">
        <x:v>0</x:v>
      </x:c>
      <x:c r="P347" s="93" t="n">
        <x:v>689.85</x:v>
      </x:c>
      <x:c r="Q347" s="93" t="n">
        <x:v>0</x:v>
      </x:c>
      <x:c r="R347" s="91" t="n">
        <x:v>0</x:v>
      </x:c>
    </x:row>
    <x:row r="348">
      <x:c r="A348" s="83" t="n">
        <x:v>347</x:v>
      </x:c>
      <x:c r="B348" s="84" t="str">
        <x:v>OS-2023-00347</x:v>
      </x:c>
      <x:c r="C348" s="84" t="n">
        <x:v>80</x:v>
      </x:c>
      <x:c r="D348" s="84" t="n">
        <x:v>1</x:v>
      </x:c>
      <x:c r="E348" s="84" t="n">
        <x:v>159</x:v>
      </x:c>
      <x:c r="F348" s="89" t="n">
        <x:v>45220.45379629629</x:v>
      </x:c>
      <x:c r="G348" s="89" t="n">
        <x:v>45225.45379629629</x:v>
      </x:c>
      <x:c r="H348" s="89" t="n">
        <x:v>45221.82879629629</x:v>
      </x:c>
      <x:c r="I348" s="89" t="n">
        <x:v>45222.45379629629</x:v>
      </x:c>
      <x:c r="J348" s="84" t="str">
        <x:v>Crítica</x:v>
      </x:c>
      <x:c r="K348" s="84" t="str">
        <x:v>Encerrada</x:v>
      </x:c>
      <x:c r="L348" s="84" t="str">
        <x:v>Superaquecimento</x:v>
      </x:c>
      <x:c r="M348" s="84" t="str">
        <x:v>Desgaste natural</x:v>
      </x:c>
      <x:c r="N348" s="84" t="str">
        <x:v>Componente ajustado ou substituído</x:v>
      </x:c>
      <x:c r="O348" s="84" t="n">
        <x:v>0</x:v>
      </x:c>
      <x:c r="P348" s="93" t="n">
        <x:v>563.61</x:v>
      </x:c>
      <x:c r="Q348" s="93" t="n">
        <x:v>11698.6</x:v>
      </x:c>
      <x:c r="R348" s="91" t="n">
        <x:v>0</x:v>
      </x:c>
    </x:row>
    <x:row r="349">
      <x:c r="A349" s="83" t="n">
        <x:v>348</x:v>
      </x:c>
      <x:c r="B349" s="84" t="str">
        <x:v>OS-2023-00348</x:v>
      </x:c>
      <x:c r="C349" s="84" t="n">
        <x:v>61</x:v>
      </x:c>
      <x:c r="D349" s="84" t="n">
        <x:v>3</x:v>
      </x:c>
      <x:c r="E349" s="84"/>
      <x:c r="F349" s="89" t="n">
        <x:v>45082.047002314815</x:v>
      </x:c>
      <x:c r="G349" s="89"/>
      <x:c r="H349" s="89" t="n">
        <x:v>45084.88033564815</x:v>
      </x:c>
      <x:c r="I349" s="89" t="n">
        <x:v>45085.71366898148</x:v>
      </x:c>
      <x:c r="J349" s="84" t="str">
        <x:v>Média</x:v>
      </x:c>
      <x:c r="K349" s="84" t="str">
        <x:v>Encerrada</x:v>
      </x:c>
      <x:c r="L349" s="84" t="str">
        <x:v>Baixa pressão</x:v>
      </x:c>
      <x:c r="M349" s="84" t="str">
        <x:v>Contaminação</x:v>
      </x:c>
      <x:c r="N349" s="84" t="str">
        <x:v>Componente ajustado ou substituído</x:v>
      </x:c>
      <x:c r="O349" s="84" t="n">
        <x:v>0</x:v>
      </x:c>
      <x:c r="P349" s="93" t="n">
        <x:v>363.11</x:v>
      </x:c>
      <x:c r="Q349" s="93" t="n">
        <x:v>0</x:v>
      </x:c>
      <x:c r="R349" s="91" t="n">
        <x:v>0</x:v>
      </x:c>
    </x:row>
    <x:row r="350">
      <x:c r="A350" s="83" t="n">
        <x:v>349</x:v>
      </x:c>
      <x:c r="B350" s="84" t="str">
        <x:v>OS-2025-00349</x:v>
      </x:c>
      <x:c r="C350" s="84" t="n">
        <x:v>6</x:v>
      </x:c>
      <x:c r="D350" s="84" t="n">
        <x:v>5</x:v>
      </x:c>
      <x:c r="E350" s="84" t="n">
        <x:v>11</x:v>
      </x:c>
      <x:c r="F350" s="89" t="n">
        <x:v>45954.101481481484</x:v>
      </x:c>
      <x:c r="G350" s="89" t="n">
        <x:v>45964.101481481484</x:v>
      </x:c>
      <x:c r="H350" s="89" t="n">
        <x:v>45956.01814814815</x:v>
      </x:c>
      <x:c r="I350" s="89" t="n">
        <x:v>45956.351481481484</x:v>
      </x:c>
      <x:c r="J350" s="84" t="str">
        <x:v>Crítica</x:v>
      </x:c>
      <x:c r="K350" s="84" t="str">
        <x:v>Encerrada</x:v>
      </x:c>
      <x:c r="L350" s="84" t="str">
        <x:v>Falha elétrica</x:v>
      </x:c>
      <x:c r="M350" s="84" t="str">
        <x:v>Ajuste incorreto</x:v>
      </x:c>
      <x:c r="N350" s="84" t="str">
        <x:v>Componente ajustado ou substituído</x:v>
      </x:c>
      <x:c r="O350" s="84" t="n">
        <x:v>0</x:v>
      </x:c>
      <x:c r="P350" s="93" t="n">
        <x:v>477.27</x:v>
      </x:c>
      <x:c r="Q350" s="93" t="n">
        <x:v>6978.54</x:v>
      </x:c>
      <x:c r="R350" s="91" t="n">
        <x:v>0</x:v>
      </x:c>
    </x:row>
    <x:row r="351">
      <x:c r="A351" s="83" t="n">
        <x:v>350</x:v>
      </x:c>
      <x:c r="B351" s="84" t="str">
        <x:v>OS-2025-00350</x:v>
      </x:c>
      <x:c r="C351" s="84" t="n">
        <x:v>22</x:v>
      </x:c>
      <x:c r="D351" s="84" t="n">
        <x:v>7</x:v>
      </x:c>
      <x:c r="E351" s="84" t="n">
        <x:v>43</x:v>
      </x:c>
      <x:c r="F351" s="89" t="n">
        <x:v>45824.152962962966</x:v>
      </x:c>
      <x:c r="G351" s="89" t="n">
        <x:v>45830.152962962966</x:v>
      </x:c>
      <x:c r="H351" s="89" t="n">
        <x:v>45825.31962962963</x:v>
      </x:c>
      <x:c r="I351" s="89" t="n">
        <x:v>45825.361296296294</x:v>
      </x:c>
      <x:c r="J351" s="84" t="str">
        <x:v>Média</x:v>
      </x:c>
      <x:c r="K351" s="84" t="str">
        <x:v>Encerrada</x:v>
      </x:c>
      <x:c r="L351" s="84" t="str">
        <x:v>Ruído anormal</x:v>
      </x:c>
      <x:c r="M351" s="84" t="str">
        <x:v>Desgaste natural</x:v>
      </x:c>
      <x:c r="N351" s="84" t="str">
        <x:v>Componente ajustado ou substituído</x:v>
      </x:c>
      <x:c r="O351" s="84" t="n">
        <x:v>0</x:v>
      </x:c>
      <x:c r="P351" s="93" t="n">
        <x:v>699.7</x:v>
      </x:c>
      <x:c r="Q351" s="93" t="n">
        <x:v>7312.8</x:v>
      </x:c>
      <x:c r="R351" s="91" t="n">
        <x:v>0</x:v>
      </x:c>
    </x:row>
    <x:row r="352">
      <x:c r="A352" s="83" t="n">
        <x:v>351</x:v>
      </x:c>
      <x:c r="B352" s="84" t="str">
        <x:v>OS-2024-00351</x:v>
      </x:c>
      <x:c r="C352" s="84" t="n">
        <x:v>46</x:v>
      </x:c>
      <x:c r="D352" s="84" t="n">
        <x:v>1</x:v>
      </x:c>
      <x:c r="E352" s="84" t="n">
        <x:v>92</x:v>
      </x:c>
      <x:c r="F352" s="89" t="n">
        <x:v>45338.53306712963</x:v>
      </x:c>
      <x:c r="G352" s="89" t="n">
        <x:v>45338.53306712963</x:v>
      </x:c>
      <x:c r="H352" s="89" t="n">
        <x:v>45340.74140046296</x:v>
      </x:c>
      <x:c r="I352" s="89" t="n">
        <x:v>45341.4497337963</x:v>
      </x:c>
      <x:c r="J352" s="84" t="str">
        <x:v>Alta</x:v>
      </x:c>
      <x:c r="K352" s="84" t="str">
        <x:v>Encerrada</x:v>
      </x:c>
      <x:c r="L352" s="84" t="str">
        <x:v>Falha elétrica</x:v>
      </x:c>
      <x:c r="M352" s="84" t="str">
        <x:v>Componente danificado</x:v>
      </x:c>
      <x:c r="N352" s="84" t="str">
        <x:v>Componente ajustado ou substituído</x:v>
      </x:c>
      <x:c r="O352" s="84" t="n">
        <x:v>0</x:v>
      </x:c>
      <x:c r="P352" s="93" t="n">
        <x:v>232.98</x:v>
      </x:c>
      <x:c r="Q352" s="93" t="n">
        <x:v>8357.68</x:v>
      </x:c>
      <x:c r="R352" s="91" t="n">
        <x:v>0</x:v>
      </x:c>
    </x:row>
    <x:row r="353">
      <x:c r="A353" s="83" t="n">
        <x:v>352</x:v>
      </x:c>
      <x:c r="B353" s="84" t="str">
        <x:v>OS-2024-00352</x:v>
      </x:c>
      <x:c r="C353" s="84" t="n">
        <x:v>19</x:v>
      </x:c>
      <x:c r="D353" s="84" t="n">
        <x:v>3</x:v>
      </x:c>
      <x:c r="E353" s="84"/>
      <x:c r="F353" s="89" t="n">
        <x:v>45377.40251157407</x:v>
      </x:c>
      <x:c r="G353" s="89"/>
      <x:c r="H353" s="89" t="n">
        <x:v>45377.65251157407</x:v>
      </x:c>
      <x:c r="I353" s="89" t="n">
        <x:v>45378.44417824074</x:v>
      </x:c>
      <x:c r="J353" s="84" t="str">
        <x:v>Crítica</x:v>
      </x:c>
      <x:c r="K353" s="84" t="str">
        <x:v>Encerrada</x:v>
      </x:c>
      <x:c r="L353" s="84" t="str">
        <x:v>Alarme intermitente</x:v>
      </x:c>
      <x:c r="M353" s="84" t="str">
        <x:v>Contaminação</x:v>
      </x:c>
      <x:c r="N353" s="84" t="str">
        <x:v>Componente ajustado ou substituído</x:v>
      </x:c>
      <x:c r="O353" s="84" t="n">
        <x:v>0</x:v>
      </x:c>
      <x:c r="P353" s="93" t="n">
        <x:v>135.15</x:v>
      </x:c>
      <x:c r="Q353" s="93" t="n">
        <x:v>5524.45</x:v>
      </x:c>
      <x:c r="R353" s="91" t="n">
        <x:v>0</x:v>
      </x:c>
    </x:row>
    <x:row r="354">
      <x:c r="A354" s="83" t="n">
        <x:v>353</x:v>
      </x:c>
      <x:c r="B354" s="84" t="str">
        <x:v>OS-2024-00353</x:v>
      </x:c>
      <x:c r="C354" s="84" t="n">
        <x:v>63</x:v>
      </x:c>
      <x:c r="D354" s="84" t="n">
        <x:v>3</x:v>
      </x:c>
      <x:c r="E354" s="84"/>
      <x:c r="F354" s="89" t="n">
        <x:v>45582.00435185185</x:v>
      </x:c>
      <x:c r="G354" s="89"/>
      <x:c r="H354" s="89" t="n">
        <x:v>45583.337685185186</x:v>
      </x:c>
      <x:c r="I354" s="89" t="n">
        <x:v>45583.37935185185</x:v>
      </x:c>
      <x:c r="J354" s="84" t="str">
        <x:v>Crítica</x:v>
      </x:c>
      <x:c r="K354" s="84" t="str">
        <x:v>Encerrada</x:v>
      </x:c>
      <x:c r="L354" s="84" t="str">
        <x:v>Baixa pressão</x:v>
      </x:c>
      <x:c r="M354" s="84" t="str">
        <x:v>Contaminação</x:v>
      </x:c>
      <x:c r="N354" s="84" t="str">
        <x:v>Componente ajustado ou substituído</x:v>
      </x:c>
      <x:c r="O354" s="84" t="n">
        <x:v>0</x:v>
      </x:c>
      <x:c r="P354" s="93" t="n">
        <x:v>467.29</x:v>
      </x:c>
      <x:c r="Q354" s="93" t="n">
        <x:v>0</x:v>
      </x:c>
      <x:c r="R354" s="91" t="n">
        <x:v>0</x:v>
      </x:c>
    </x:row>
    <x:row r="355">
      <x:c r="A355" s="83" t="n">
        <x:v>354</x:v>
      </x:c>
      <x:c r="B355" s="84" t="str">
        <x:v>OS-2023-00354</x:v>
      </x:c>
      <x:c r="C355" s="84" t="n">
        <x:v>25</x:v>
      </x:c>
      <x:c r="D355" s="84" t="n">
        <x:v>6</x:v>
      </x:c>
      <x:c r="E355" s="84"/>
      <x:c r="F355" s="89" t="n">
        <x:v>45127.4053125</x:v>
      </x:c>
      <x:c r="G355" s="89" t="n">
        <x:v>45134.4053125</x:v>
      </x:c>
      <x:c r="H355" s="89" t="n">
        <x:v>45128.57197916666</x:v>
      </x:c>
      <x:c r="I355" s="89" t="n">
        <x:v>45128.613645833335</x:v>
      </x:c>
      <x:c r="J355" s="84" t="str">
        <x:v>Média</x:v>
      </x:c>
      <x:c r="K355" s="84" t="str">
        <x:v>Encerrada</x:v>
      </x:c>
      <x:c r="L355" s="84" t="str">
        <x:v>Baixa pressão</x:v>
      </x:c>
      <x:c r="M355" s="84" t="str">
        <x:v>Conexão frouxa</x:v>
      </x:c>
      <x:c r="N355" s="84" t="str">
        <x:v>Componente ajustado ou substituído</x:v>
      </x:c>
      <x:c r="O355" s="84" t="n">
        <x:v>0</x:v>
      </x:c>
      <x:c r="P355" s="93" t="n">
        <x:v>296.87</x:v>
      </x:c>
      <x:c r="Q355" s="93" t="n">
        <x:v>0</x:v>
      </x:c>
      <x:c r="R355" s="91" t="n">
        <x:v>0</x:v>
      </x:c>
    </x:row>
    <x:row r="356">
      <x:c r="A356" s="83" t="n">
        <x:v>355</x:v>
      </x:c>
      <x:c r="B356" s="84" t="str">
        <x:v>OS-2024-00355</x:v>
      </x:c>
      <x:c r="C356" s="84" t="n">
        <x:v>13</x:v>
      </x:c>
      <x:c r="D356" s="84" t="n">
        <x:v>1</x:v>
      </x:c>
      <x:c r="E356" s="84" t="n">
        <x:v>26</x:v>
      </x:c>
      <x:c r="F356" s="89" t="n">
        <x:v>45308.553877314815</x:v>
      </x:c>
      <x:c r="G356" s="89" t="n">
        <x:v>45312.553877314815</x:v>
      </x:c>
      <x:c r="H356" s="89" t="n">
        <x:v>45309.13721064815</x:v>
      </x:c>
      <x:c r="I356" s="89" t="n">
        <x:v>45309.553877314815</x:v>
      </x:c>
      <x:c r="J356" s="84" t="str">
        <x:v>Média</x:v>
      </x:c>
      <x:c r="K356" s="84" t="str">
        <x:v>Encerrada</x:v>
      </x:c>
      <x:c r="L356" s="84" t="str">
        <x:v>Ruído anormal</x:v>
      </x:c>
      <x:c r="M356" s="84" t="str">
        <x:v>Desgaste natural</x:v>
      </x:c>
      <x:c r="N356" s="84" t="str">
        <x:v>Componente ajustado ou substituído</x:v>
      </x:c>
      <x:c r="O356" s="84" t="n">
        <x:v>0</x:v>
      </x:c>
      <x:c r="P356" s="93" t="n">
        <x:v>334.49</x:v>
      </x:c>
      <x:c r="Q356" s="93" t="n">
        <x:v>5218.8</x:v>
      </x:c>
      <x:c r="R356" s="91" t="n">
        <x:v>0</x:v>
      </x:c>
    </x:row>
    <x:row r="357">
      <x:c r="A357" s="83" t="n">
        <x:v>356</x:v>
      </x:c>
      <x:c r="B357" s="84" t="str">
        <x:v>OS-2024-00356</x:v>
      </x:c>
      <x:c r="C357" s="84" t="n">
        <x:v>1</x:v>
      </x:c>
      <x:c r="D357" s="84" t="n">
        <x:v>2</x:v>
      </x:c>
      <x:c r="E357" s="84"/>
      <x:c r="F357" s="89" t="n">
        <x:v>45395.79054398148</x:v>
      </x:c>
      <x:c r="G357" s="89" t="n">
        <x:v>45401.79054398148</x:v>
      </x:c>
      <x:c r="H357" s="89" t="n">
        <x:v>45397.123877314814</x:v>
      </x:c>
      <x:c r="I357" s="89" t="n">
        <x:v>45397.54054398148</x:v>
      </x:c>
      <x:c r="J357" s="84" t="str">
        <x:v>Crítica</x:v>
      </x:c>
      <x:c r="K357" s="84" t="str">
        <x:v>Concluída</x:v>
      </x:c>
      <x:c r="L357" s="84" t="str">
        <x:v>Baixa pressão</x:v>
      </x:c>
      <x:c r="M357" s="84" t="str">
        <x:v>Componente danificado</x:v>
      </x:c>
      <x:c r="N357" s="84" t="str">
        <x:v>Componente ajustado ou substituído</x:v>
      </x:c>
      <x:c r="O357" s="84" t="n">
        <x:v>0</x:v>
      </x:c>
      <x:c r="P357" s="93" t="n">
        <x:v>792.49</x:v>
      </x:c>
      <x:c r="Q357" s="93" t="n">
        <x:v>912.34</x:v>
      </x:c>
      <x:c r="R357" s="91" t="n">
        <x:v>0</x:v>
      </x:c>
    </x:row>
    <x:row r="358">
      <x:c r="A358" s="83" t="n">
        <x:v>357</x:v>
      </x:c>
      <x:c r="B358" s="84" t="str">
        <x:v>OS-2024-00357</x:v>
      </x:c>
      <x:c r="C358" s="84" t="n">
        <x:v>37</x:v>
      </x:c>
      <x:c r="D358" s="84" t="n">
        <x:v>1</x:v>
      </x:c>
      <x:c r="E358" s="84" t="n">
        <x:v>73</x:v>
      </x:c>
      <x:c r="F358" s="89" t="n">
        <x:v>45585.366481481484</x:v>
      </x:c>
      <x:c r="G358" s="89" t="n">
        <x:v>45592.366481481484</x:v>
      </x:c>
      <x:c r="H358" s="89"/>
      <x:c r="I358" s="89"/>
      <x:c r="J358" s="84" t="str">
        <x:v>Crítica</x:v>
      </x:c>
      <x:c r="K358" s="84" t="str">
        <x:v>Planejada</x:v>
      </x:c>
      <x:c r="L358" s="84" t="str">
        <x:v>Ruído anormal</x:v>
      </x:c>
      <x:c r="M358" s="84"/>
      <x:c r="N358" s="84"/>
      <x:c r="O358" s="84" t="n">
        <x:v>0</x:v>
      </x:c>
      <x:c r="P358" s="93" t="n">
        <x:v>0</x:v>
      </x:c>
      <x:c r="Q358" s="93" t="n">
        <x:v>0</x:v>
      </x:c>
      <x:c r="R358" s="91" t="n">
        <x:v>0</x:v>
      </x:c>
    </x:row>
    <x:row r="359">
      <x:c r="A359" s="83" t="n">
        <x:v>358</x:v>
      </x:c>
      <x:c r="B359" s="84" t="str">
        <x:v>OS-2024-00358</x:v>
      </x:c>
      <x:c r="C359" s="84" t="n">
        <x:v>38</x:v>
      </x:c>
      <x:c r="D359" s="84" t="n">
        <x:v>3</x:v>
      </x:c>
      <x:c r="E359" s="84"/>
      <x:c r="F359" s="89" t="n">
        <x:v>45465.509571759256</x:v>
      </x:c>
      <x:c r="G359" s="89"/>
      <x:c r="H359" s="89" t="n">
        <x:v>45467.509571759256</x:v>
      </x:c>
      <x:c r="I359" s="89" t="n">
        <x:v>45468.30123842593</x:v>
      </x:c>
      <x:c r="J359" s="84" t="str">
        <x:v>Baixa</x:v>
      </x:c>
      <x:c r="K359" s="84" t="str">
        <x:v>Encerrada</x:v>
      </x:c>
      <x:c r="L359" s="84" t="str">
        <x:v>Ruído anormal</x:v>
      </x:c>
      <x:c r="M359" s="84" t="str">
        <x:v>Falta de lubrificação</x:v>
      </x:c>
      <x:c r="N359" s="84" t="str">
        <x:v>Componente ajustado ou substituído</x:v>
      </x:c>
      <x:c r="O359" s="84" t="n">
        <x:v>0</x:v>
      </x:c>
      <x:c r="P359" s="93" t="n">
        <x:v>244.97</x:v>
      </x:c>
      <x:c r="Q359" s="93" t="n">
        <x:v>0</x:v>
      </x:c>
      <x:c r="R359" s="91" t="n">
        <x:v>0</x:v>
      </x:c>
    </x:row>
    <x:row r="360">
      <x:c r="A360" s="83" t="n">
        <x:v>359</x:v>
      </x:c>
      <x:c r="B360" s="84" t="str">
        <x:v>OS-2023-00359</x:v>
      </x:c>
      <x:c r="C360" s="84" t="n">
        <x:v>44</x:v>
      </x:c>
      <x:c r="D360" s="84" t="n">
        <x:v>1</x:v>
      </x:c>
      <x:c r="E360" s="84" t="n">
        <x:v>87</x:v>
      </x:c>
      <x:c r="F360" s="89" t="n">
        <x:v>45091.968356481484</x:v>
      </x:c>
      <x:c r="G360" s="89" t="n">
        <x:v>45096.968356481484</x:v>
      </x:c>
      <x:c r="H360" s="89" t="n">
        <x:v>45092.88502314815</x:v>
      </x:c>
      <x:c r="I360" s="89"/>
      <x:c r="J360" s="84" t="str">
        <x:v>Alta</x:v>
      </x:c>
      <x:c r="K360" s="84" t="str">
        <x:v>Em execução</x:v>
      </x:c>
      <x:c r="L360" s="84" t="str">
        <x:v>Desalinhamento</x:v>
      </x:c>
      <x:c r="M360" s="84" t="str">
        <x:v>Desgaste natural</x:v>
      </x:c>
      <x:c r="N360" s="84"/>
      <x:c r="O360" s="84" t="n">
        <x:v>0</x:v>
      </x:c>
      <x:c r="P360" s="93" t="n">
        <x:v>367.15</x:v>
      </x:c>
      <x:c r="Q360" s="93" t="n">
        <x:v>9425.68</x:v>
      </x:c>
      <x:c r="R360" s="91" t="n">
        <x:v>0</x:v>
      </x:c>
    </x:row>
    <x:row r="361">
      <x:c r="A361" s="83" t="n">
        <x:v>360</x:v>
      </x:c>
      <x:c r="B361" s="84" t="str">
        <x:v>OS-2024-00360</x:v>
      </x:c>
      <x:c r="C361" s="84" t="n">
        <x:v>24</x:v>
      </x:c>
      <x:c r="D361" s="84" t="n">
        <x:v>3</x:v>
      </x:c>
      <x:c r="E361" s="84"/>
      <x:c r="F361" s="89" t="n">
        <x:v>45317.15733796296</x:v>
      </x:c>
      <x:c r="G361" s="89"/>
      <x:c r="H361" s="89" t="n">
        <x:v>45318.8656712963</x:v>
      </x:c>
      <x:c r="I361" s="89" t="n">
        <x:v>45319.40733796296</x:v>
      </x:c>
      <x:c r="J361" s="84" t="str">
        <x:v>Baixa</x:v>
      </x:c>
      <x:c r="K361" s="84" t="str">
        <x:v>Encerrada</x:v>
      </x:c>
      <x:c r="L361" s="84" t="str">
        <x:v>Baixa pressão</x:v>
      </x:c>
      <x:c r="M361" s="84" t="str">
        <x:v>Componente danificado</x:v>
      </x:c>
      <x:c r="N361" s="84" t="str">
        <x:v>Componente ajustado ou substituído</x:v>
      </x:c>
      <x:c r="O361" s="84" t="n">
        <x:v>0</x:v>
      </x:c>
      <x:c r="P361" s="93" t="n">
        <x:v>49.24</x:v>
      </x:c>
      <x:c r="Q361" s="93" t="n">
        <x:v>10669.1</x:v>
      </x:c>
      <x:c r="R361" s="91" t="n">
        <x:v>7591.52</x:v>
      </x:c>
    </x:row>
    <x:row r="362">
      <x:c r="A362" s="83" t="n">
        <x:v>361</x:v>
      </x:c>
      <x:c r="B362" s="84" t="str">
        <x:v>OS-2024-00361</x:v>
      </x:c>
      <x:c r="C362" s="84" t="n">
        <x:v>26</x:v>
      </x:c>
      <x:c r="D362" s="84" t="n">
        <x:v>1</x:v>
      </x:c>
      <x:c r="E362" s="84" t="n">
        <x:v>51</x:v>
      </x:c>
      <x:c r="F362" s="89" t="n">
        <x:v>45332.648206018515</x:v>
      </x:c>
      <x:c r="G362" s="89" t="n">
        <x:v>45337.648206018515</x:v>
      </x:c>
      <x:c r="H362" s="89" t="n">
        <x:v>45334.398206018515</x:v>
      </x:c>
      <x:c r="I362" s="89"/>
      <x:c r="J362" s="84" t="str">
        <x:v>Média</x:v>
      </x:c>
      <x:c r="K362" s="84" t="str">
        <x:v>Aguardando peça</x:v>
      </x:c>
      <x:c r="L362" s="84" t="str">
        <x:v>Alarme intermitente</x:v>
      </x:c>
      <x:c r="M362" s="84" t="str">
        <x:v>Componente danificado</x:v>
      </x:c>
      <x:c r="N362" s="84"/>
      <x:c r="O362" s="84" t="n">
        <x:v>0</x:v>
      </x:c>
      <x:c r="P362" s="93" t="n">
        <x:v>34.92</x:v>
      </x:c>
      <x:c r="Q362" s="93" t="n">
        <x:v>9379.7</x:v>
      </x:c>
      <x:c r="R362" s="91" t="n">
        <x:v>5448.52</x:v>
      </x:c>
    </x:row>
    <x:row r="363">
      <x:c r="A363" s="83" t="n">
        <x:v>362</x:v>
      </x:c>
      <x:c r="B363" s="84" t="str">
        <x:v>OS-2025-00362</x:v>
      </x:c>
      <x:c r="C363" s="84" t="n">
        <x:v>45</x:v>
      </x:c>
      <x:c r="D363" s="84" t="n">
        <x:v>4</x:v>
      </x:c>
      <x:c r="E363" s="84"/>
      <x:c r="F363" s="89" t="n">
        <x:v>46016.265497685185</x:v>
      </x:c>
      <x:c r="G363" s="89" t="n">
        <x:v>46023.265497685185</x:v>
      </x:c>
      <x:c r="H363" s="89" t="n">
        <x:v>46018.18216435185</x:v>
      </x:c>
      <x:c r="I363" s="89" t="n">
        <x:v>46018.30716435185</x:v>
      </x:c>
      <x:c r="J363" s="84" t="str">
        <x:v>Crítica</x:v>
      </x:c>
      <x:c r="K363" s="84" t="str">
        <x:v>Encerrada</x:v>
      </x:c>
      <x:c r="L363" s="84" t="str">
        <x:v>Falha elétrica</x:v>
      </x:c>
      <x:c r="M363" s="84" t="str">
        <x:v>Falta de lubrificação</x:v>
      </x:c>
      <x:c r="N363" s="84" t="str">
        <x:v>Componente ajustado ou substituído</x:v>
      </x:c>
      <x:c r="O363" s="84" t="n">
        <x:v>0</x:v>
      </x:c>
      <x:c r="P363" s="93" t="n">
        <x:v>387.95</x:v>
      </x:c>
      <x:c r="Q363" s="93" t="n">
        <x:v>1636.98</x:v>
      </x:c>
      <x:c r="R363" s="91" t="n">
        <x:v>0</x:v>
      </x:c>
    </x:row>
    <x:row r="364">
      <x:c r="A364" s="83" t="n">
        <x:v>363</x:v>
      </x:c>
      <x:c r="B364" s="84" t="str">
        <x:v>OS-2024-00363</x:v>
      </x:c>
      <x:c r="C364" s="84" t="n">
        <x:v>55</x:v>
      </x:c>
      <x:c r="D364" s="84" t="n">
        <x:v>7</x:v>
      </x:c>
      <x:c r="E364" s="84" t="n">
        <x:v>109</x:v>
      </x:c>
      <x:c r="F364" s="89" t="n">
        <x:v>45615.006516203706</x:v>
      </x:c>
      <x:c r="G364" s="89" t="n">
        <x:v>45622.006516203706</x:v>
      </x:c>
      <x:c r="H364" s="89" t="n">
        <x:v>45615.089849537035</x:v>
      </x:c>
      <x:c r="I364" s="89" t="n">
        <x:v>45615.256516203706</x:v>
      </x:c>
      <x:c r="J364" s="84" t="str">
        <x:v>Alta</x:v>
      </x:c>
      <x:c r="K364" s="84" t="str">
        <x:v>Concluída</x:v>
      </x:c>
      <x:c r="L364" s="84" t="str">
        <x:v>Desalinhamento</x:v>
      </x:c>
      <x:c r="M364" s="84" t="str">
        <x:v>Conexão frouxa</x:v>
      </x:c>
      <x:c r="N364" s="84" t="str">
        <x:v>Componente ajustado ou substituído</x:v>
      </x:c>
      <x:c r="O364" s="84" t="n">
        <x:v>0</x:v>
      </x:c>
      <x:c r="P364" s="93" t="n">
        <x:v>555.14</x:v>
      </x:c>
      <x:c r="Q364" s="93" t="n">
        <x:v>9054.73</x:v>
      </x:c>
      <x:c r="R364" s="91" t="n">
        <x:v>0</x:v>
      </x:c>
    </x:row>
    <x:row r="365">
      <x:c r="A365" s="83" t="n">
        <x:v>364</x:v>
      </x:c>
      <x:c r="B365" s="84" t="str">
        <x:v>OS-2023-00364</x:v>
      </x:c>
      <x:c r="C365" s="84" t="n">
        <x:v>19</x:v>
      </x:c>
      <x:c r="D365" s="84" t="n">
        <x:v>6</x:v>
      </x:c>
      <x:c r="E365" s="84"/>
      <x:c r="F365" s="89" t="n">
        <x:v>45027.12489583333</x:v>
      </x:c>
      <x:c r="G365" s="89" t="n">
        <x:v>45027.12489583333</x:v>
      </x:c>
      <x:c r="H365" s="89" t="n">
        <x:v>45029.74989583333</x:v>
      </x:c>
      <x:c r="I365" s="89" t="n">
        <x:v>45030.08322916667</x:v>
      </x:c>
      <x:c r="J365" s="84" t="str">
        <x:v>Baixa</x:v>
      </x:c>
      <x:c r="K365" s="84" t="str">
        <x:v>Encerrada</x:v>
      </x:c>
      <x:c r="L365" s="84" t="str">
        <x:v>Alarme intermitente</x:v>
      </x:c>
      <x:c r="M365" s="84" t="str">
        <x:v>Contaminação</x:v>
      </x:c>
      <x:c r="N365" s="84" t="str">
        <x:v>Componente ajustado ou substituído</x:v>
      </x:c>
      <x:c r="O365" s="84" t="n">
        <x:v>0</x:v>
      </x:c>
      <x:c r="P365" s="93" t="n">
        <x:v>190.49</x:v>
      </x:c>
      <x:c r="Q365" s="93" t="n">
        <x:v>0</x:v>
      </x:c>
      <x:c r="R365" s="91" t="n">
        <x:v>0</x:v>
      </x:c>
    </x:row>
    <x:row r="366">
      <x:c r="A366" s="83" t="n">
        <x:v>365</x:v>
      </x:c>
      <x:c r="B366" s="84" t="str">
        <x:v>OS-2023-00365</x:v>
      </x:c>
      <x:c r="C366" s="84" t="n">
        <x:v>22</x:v>
      </x:c>
      <x:c r="D366" s="84" t="n">
        <x:v>5</x:v>
      </x:c>
      <x:c r="E366" s="84" t="n">
        <x:v>43</x:v>
      </x:c>
      <x:c r="F366" s="89" t="n">
        <x:v>44977.80259259259</x:v>
      </x:c>
      <x:c r="G366" s="89" t="n">
        <x:v>44989.80259259259</x:v>
      </x:c>
      <x:c r="H366" s="89" t="n">
        <x:v>44980.59425925926</x:v>
      </x:c>
      <x:c r="I366" s="89" t="n">
        <x:v>44980.67759259259</x:v>
      </x:c>
      <x:c r="J366" s="84" t="str">
        <x:v>Média</x:v>
      </x:c>
      <x:c r="K366" s="84" t="str">
        <x:v>Encerrada</x:v>
      </x:c>
      <x:c r="L366" s="84" t="str">
        <x:v>Alarme intermitente</x:v>
      </x:c>
      <x:c r="M366" s="84" t="str">
        <x:v>Conexão frouxa</x:v>
      </x:c>
      <x:c r="N366" s="84" t="str">
        <x:v>Componente ajustado ou substituído</x:v>
      </x:c>
      <x:c r="O366" s="84" t="n">
        <x:v>0</x:v>
      </x:c>
      <x:c r="P366" s="93" t="n">
        <x:v>523.24</x:v>
      </x:c>
      <x:c r="Q366" s="93" t="n">
        <x:v>4317.8</x:v>
      </x:c>
      <x:c r="R366" s="91" t="n">
        <x:v>0</x:v>
      </x:c>
    </x:row>
    <x:row r="367">
      <x:c r="A367" s="83" t="n">
        <x:v>366</x:v>
      </x:c>
      <x:c r="B367" s="84" t="str">
        <x:v>OS-2025-00366</x:v>
      </x:c>
      <x:c r="C367" s="84" t="n">
        <x:v>13</x:v>
      </x:c>
      <x:c r="D367" s="84" t="n">
        <x:v>7</x:v>
      </x:c>
      <x:c r="E367" s="84" t="n">
        <x:v>25</x:v>
      </x:c>
      <x:c r="F367" s="89" t="n">
        <x:v>45790.88287037037</x:v>
      </x:c>
      <x:c r="G367" s="89" t="n">
        <x:v>45799.88287037037</x:v>
      </x:c>
      <x:c r="H367" s="89" t="n">
        <x:v>45793.00787037037</x:v>
      </x:c>
      <x:c r="I367" s="89" t="n">
        <x:v>45793.841203703705</x:v>
      </x:c>
      <x:c r="J367" s="84" t="str">
        <x:v>Crítica</x:v>
      </x:c>
      <x:c r="K367" s="84" t="str">
        <x:v>Encerrada</x:v>
      </x:c>
      <x:c r="L367" s="84" t="str">
        <x:v>Baixa pressão</x:v>
      </x:c>
      <x:c r="M367" s="84" t="str">
        <x:v>Desgaste natural</x:v>
      </x:c>
      <x:c r="N367" s="84" t="str">
        <x:v>Componente ajustado ou substituído</x:v>
      </x:c>
      <x:c r="O367" s="84" t="n">
        <x:v>0</x:v>
      </x:c>
      <x:c r="P367" s="93" t="n">
        <x:v>450.3</x:v>
      </x:c>
      <x:c r="Q367" s="93" t="n">
        <x:v>10820.42</x:v>
      </x:c>
      <x:c r="R367" s="91" t="n">
        <x:v>0</x:v>
      </x:c>
    </x:row>
    <x:row r="368">
      <x:c r="A368" s="83" t="n">
        <x:v>367</x:v>
      </x:c>
      <x:c r="B368" s="84" t="str">
        <x:v>OS-2024-00367</x:v>
      </x:c>
      <x:c r="C368" s="84" t="n">
        <x:v>50</x:v>
      </x:c>
      <x:c r="D368" s="84" t="n">
        <x:v>5</x:v>
      </x:c>
      <x:c r="E368" s="84" t="n">
        <x:v>99</x:v>
      </x:c>
      <x:c r="F368" s="89" t="n">
        <x:v>45535.79739583333</x:v>
      </x:c>
      <x:c r="G368" s="89" t="n">
        <x:v>45547.79739583333</x:v>
      </x:c>
      <x:c r="H368" s="89" t="n">
        <x:v>45538.04739583333</x:v>
      </x:c>
      <x:c r="I368" s="89" t="n">
        <x:v>45538.38072916667</x:v>
      </x:c>
      <x:c r="J368" s="84" t="str">
        <x:v>Média</x:v>
      </x:c>
      <x:c r="K368" s="84" t="str">
        <x:v>Encerrada</x:v>
      </x:c>
      <x:c r="L368" s="84" t="str">
        <x:v>Baixa pressão</x:v>
      </x:c>
      <x:c r="M368" s="84" t="str">
        <x:v>Ajuste incorreto</x:v>
      </x:c>
      <x:c r="N368" s="84" t="str">
        <x:v>Componente ajustado ou substituído</x:v>
      </x:c>
      <x:c r="O368" s="84" t="n">
        <x:v>0</x:v>
      </x:c>
      <x:c r="P368" s="93" t="n">
        <x:v>265.57</x:v>
      </x:c>
      <x:c r="Q368" s="93" t="n">
        <x:v>5999.4</x:v>
      </x:c>
      <x:c r="R368" s="91" t="n">
        <x:v>0</x:v>
      </x:c>
    </x:row>
    <x:row r="369">
      <x:c r="A369" s="83" t="n">
        <x:v>368</x:v>
      </x:c>
      <x:c r="B369" s="84" t="str">
        <x:v>OS-2024-00368</x:v>
      </x:c>
      <x:c r="C369" s="84" t="n">
        <x:v>62</x:v>
      </x:c>
      <x:c r="D369" s="84" t="n">
        <x:v>6</x:v>
      </x:c>
      <x:c r="E369" s="84"/>
      <x:c r="F369" s="89" t="n">
        <x:v>45336.581770833334</x:v>
      </x:c>
      <x:c r="G369" s="89" t="n">
        <x:v>45351.581770833334</x:v>
      </x:c>
      <x:c r="H369" s="89" t="n">
        <x:v>45338.79010416667</x:v>
      </x:c>
      <x:c r="I369" s="89" t="n">
        <x:v>45339.4984375</x:v>
      </x:c>
      <x:c r="J369" s="84" t="str">
        <x:v>Baixa</x:v>
      </x:c>
      <x:c r="K369" s="84" t="str">
        <x:v>Encerrada</x:v>
      </x:c>
      <x:c r="L369" s="84" t="str">
        <x:v>Ruído anormal</x:v>
      </x:c>
      <x:c r="M369" s="84" t="str">
        <x:v>Contaminação</x:v>
      </x:c>
      <x:c r="N369" s="84" t="str">
        <x:v>Componente ajustado ou substituído</x:v>
      </x:c>
      <x:c r="O369" s="84" t="n">
        <x:v>0</x:v>
      </x:c>
      <x:c r="P369" s="93" t="n">
        <x:v>655.73</x:v>
      </x:c>
      <x:c r="Q369" s="93" t="n">
        <x:v>0</x:v>
      </x:c>
      <x:c r="R369" s="91" t="n">
        <x:v>0</x:v>
      </x:c>
    </x:row>
    <x:row r="370">
      <x:c r="A370" s="83" t="n">
        <x:v>369</x:v>
      </x:c>
      <x:c r="B370" s="84" t="str">
        <x:v>OS-2023-00369</x:v>
      </x:c>
      <x:c r="C370" s="84" t="n">
        <x:v>73</x:v>
      </x:c>
      <x:c r="D370" s="84" t="n">
        <x:v>3</x:v>
      </x:c>
      <x:c r="E370" s="84"/>
      <x:c r="F370" s="89" t="n">
        <x:v>45120.03037037037</x:v>
      </x:c>
      <x:c r="G370" s="89"/>
      <x:c r="H370" s="89" t="n">
        <x:v>45121.28037037037</x:v>
      </x:c>
      <x:c r="I370" s="89" t="n">
        <x:v>45121.988703703704</x:v>
      </x:c>
      <x:c r="J370" s="84" t="str">
        <x:v>Baixa</x:v>
      </x:c>
      <x:c r="K370" s="84" t="str">
        <x:v>Encerrada</x:v>
      </x:c>
      <x:c r="L370" s="84" t="str">
        <x:v>Baixa pressão</x:v>
      </x:c>
      <x:c r="M370" s="84" t="str">
        <x:v>Desgaste natural</x:v>
      </x:c>
      <x:c r="N370" s="84" t="str">
        <x:v>Componente ajustado ou substituído</x:v>
      </x:c>
      <x:c r="O370" s="84" t="n">
        <x:v>0</x:v>
      </x:c>
      <x:c r="P370" s="93" t="n">
        <x:v>1055.56</x:v>
      </x:c>
      <x:c r="Q370" s="93" t="n">
        <x:v>2827.31</x:v>
      </x:c>
      <x:c r="R370" s="91" t="n">
        <x:v>0</x:v>
      </x:c>
    </x:row>
    <x:row r="371">
      <x:c r="A371" s="83" t="n">
        <x:v>370</x:v>
      </x:c>
      <x:c r="B371" s="84" t="str">
        <x:v>OS-2023-00370</x:v>
      </x:c>
      <x:c r="C371" s="84" t="n">
        <x:v>90</x:v>
      </x:c>
      <x:c r="D371" s="84" t="n">
        <x:v>1</x:v>
      </x:c>
      <x:c r="E371" s="84" t="n">
        <x:v>180</x:v>
      </x:c>
      <x:c r="F371" s="89" t="n">
        <x:v>45111.62415509259</x:v>
      </x:c>
      <x:c r="G371" s="89" t="n">
        <x:v>45126.62415509259</x:v>
      </x:c>
      <x:c r="H371" s="89" t="n">
        <x:v>45111.95748842593</x:v>
      </x:c>
      <x:c r="I371" s="89" t="n">
        <x:v>45112.08248842593</x:v>
      </x:c>
      <x:c r="J371" s="84" t="str">
        <x:v>Média</x:v>
      </x:c>
      <x:c r="K371" s="84" t="str">
        <x:v>Encerrada</x:v>
      </x:c>
      <x:c r="L371" s="84" t="str">
        <x:v>Ruído anormal</x:v>
      </x:c>
      <x:c r="M371" s="84" t="str">
        <x:v>Componente danificado</x:v>
      </x:c>
      <x:c r="N371" s="84" t="str">
        <x:v>Componente ajustado ou substituído</x:v>
      </x:c>
      <x:c r="O371" s="84" t="n">
        <x:v>0</x:v>
      </x:c>
      <x:c r="P371" s="93" t="n">
        <x:v>324.87</x:v>
      </x:c>
      <x:c r="Q371" s="93" t="n">
        <x:v>10592.48</x:v>
      </x:c>
      <x:c r="R371" s="91" t="n">
        <x:v>4554.6</x:v>
      </x:c>
    </x:row>
    <x:row r="372">
      <x:c r="A372" s="83" t="n">
        <x:v>371</x:v>
      </x:c>
      <x:c r="B372" s="84" t="str">
        <x:v>OS-2023-00371</x:v>
      </x:c>
      <x:c r="C372" s="84" t="n">
        <x:v>52</x:v>
      </x:c>
      <x:c r="D372" s="84" t="n">
        <x:v>3</x:v>
      </x:c>
      <x:c r="E372" s="84"/>
      <x:c r="F372" s="89" t="n">
        <x:v>45040.48619212963</x:v>
      </x:c>
      <x:c r="G372" s="89"/>
      <x:c r="H372" s="89"/>
      <x:c r="I372" s="89"/>
      <x:c r="J372" s="84" t="str">
        <x:v>Média</x:v>
      </x:c>
      <x:c r="K372" s="84" t="str">
        <x:v>Planejada</x:v>
      </x:c>
      <x:c r="L372" s="84" t="str">
        <x:v>Desalinhamento</x:v>
      </x:c>
      <x:c r="M372" s="84"/>
      <x:c r="N372" s="84"/>
      <x:c r="O372" s="84" t="n">
        <x:v>0</x:v>
      </x:c>
      <x:c r="P372" s="93" t="n">
        <x:v>0</x:v>
      </x:c>
      <x:c r="Q372" s="93" t="n">
        <x:v>0</x:v>
      </x:c>
      <x:c r="R372" s="91" t="n">
        <x:v>0</x:v>
      </x:c>
    </x:row>
    <x:row r="373">
      <x:c r="A373" s="83" t="n">
        <x:v>372</x:v>
      </x:c>
      <x:c r="B373" s="84" t="str">
        <x:v>OS-2024-00372</x:v>
      </x:c>
      <x:c r="C373" s="84" t="n">
        <x:v>86</x:v>
      </x:c>
      <x:c r="D373" s="84" t="n">
        <x:v>2</x:v>
      </x:c>
      <x:c r="E373" s="84"/>
      <x:c r="F373" s="89" t="n">
        <x:v>45486.50858796296</x:v>
      </x:c>
      <x:c r="G373" s="89" t="n">
        <x:v>45501.50858796296</x:v>
      </x:c>
      <x:c r="H373" s="89" t="n">
        <x:v>45487.55025462963</x:v>
      </x:c>
      <x:c r="I373" s="89" t="n">
        <x:v>45488.3419212963</x:v>
      </x:c>
      <x:c r="J373" s="84" t="str">
        <x:v>Alta</x:v>
      </x:c>
      <x:c r="K373" s="84" t="str">
        <x:v>Encerrada</x:v>
      </x:c>
      <x:c r="L373" s="84" t="str">
        <x:v>Superaquecimento</x:v>
      </x:c>
      <x:c r="M373" s="84" t="str">
        <x:v>Componente danificado</x:v>
      </x:c>
      <x:c r="N373" s="84" t="str">
        <x:v>Componente ajustado ou substituído</x:v>
      </x:c>
      <x:c r="O373" s="84" t="n">
        <x:v>0</x:v>
      </x:c>
      <x:c r="P373" s="93" t="n">
        <x:v>190.57</x:v>
      </x:c>
      <x:c r="Q373" s="93" t="n">
        <x:v>8599.02</x:v>
      </x:c>
      <x:c r="R373" s="91" t="n">
        <x:v>0</x:v>
      </x:c>
    </x:row>
    <x:row r="374">
      <x:c r="A374" s="83" t="n">
        <x:v>373</x:v>
      </x:c>
      <x:c r="B374" s="84" t="str">
        <x:v>OS-2025-00373</x:v>
      </x:c>
      <x:c r="C374" s="84" t="n">
        <x:v>4</x:v>
      </x:c>
      <x:c r="D374" s="84" t="n">
        <x:v>4</x:v>
      </x:c>
      <x:c r="E374" s="84"/>
      <x:c r="F374" s="89" t="n">
        <x:v>45818.17428240741</x:v>
      </x:c>
      <x:c r="G374" s="89" t="n">
        <x:v>45828.17428240741</x:v>
      </x:c>
      <x:c r="H374" s="89" t="n">
        <x:v>45819.54928240741</x:v>
      </x:c>
      <x:c r="I374" s="89" t="n">
        <x:v>45819.92428240741</x:v>
      </x:c>
      <x:c r="J374" s="84" t="str">
        <x:v>Alta</x:v>
      </x:c>
      <x:c r="K374" s="84" t="str">
        <x:v>Encerrada</x:v>
      </x:c>
      <x:c r="L374" s="84" t="str">
        <x:v>Alarme intermitente</x:v>
      </x:c>
      <x:c r="M374" s="84" t="str">
        <x:v>Componente danificado</x:v>
      </x:c>
      <x:c r="N374" s="84" t="str">
        <x:v>Componente ajustado ou substituído</x:v>
      </x:c>
      <x:c r="O374" s="84" t="n">
        <x:v>0</x:v>
      </x:c>
      <x:c r="P374" s="93" t="n">
        <x:v>814.08</x:v>
      </x:c>
      <x:c r="Q374" s="93" t="n">
        <x:v>11619.58</x:v>
      </x:c>
      <x:c r="R374" s="91" t="n">
        <x:v>0</x:v>
      </x:c>
    </x:row>
    <x:row r="375">
      <x:c r="A375" s="83" t="n">
        <x:v>374</x:v>
      </x:c>
      <x:c r="B375" s="84" t="str">
        <x:v>OS-2025-00374</x:v>
      </x:c>
      <x:c r="C375" s="84" t="n">
        <x:v>34</x:v>
      </x:c>
      <x:c r="D375" s="84" t="n">
        <x:v>2</x:v>
      </x:c>
      <x:c r="E375" s="84"/>
      <x:c r="F375" s="89" t="n">
        <x:v>45843.781122685185</x:v>
      </x:c>
      <x:c r="G375" s="89" t="n">
        <x:v>45858.781122685185</x:v>
      </x:c>
      <x:c r="H375" s="89" t="n">
        <x:v>45845.82278935185</x:v>
      </x:c>
      <x:c r="I375" s="89" t="n">
        <x:v>45845.906122685185</x:v>
      </x:c>
      <x:c r="J375" s="84" t="str">
        <x:v>Alta</x:v>
      </x:c>
      <x:c r="K375" s="84" t="str">
        <x:v>Encerrada</x:v>
      </x:c>
      <x:c r="L375" s="84" t="str">
        <x:v>Ruído anormal</x:v>
      </x:c>
      <x:c r="M375" s="84" t="str">
        <x:v>Ajuste incorreto</x:v>
      </x:c>
      <x:c r="N375" s="84" t="str">
        <x:v>Componente ajustado ou substituído</x:v>
      </x:c>
      <x:c r="O375" s="84" t="n">
        <x:v>0</x:v>
      </x:c>
      <x:c r="P375" s="93" t="n">
        <x:v>110.6</x:v>
      </x:c>
      <x:c r="Q375" s="93" t="n">
        <x:v>7176.93</x:v>
      </x:c>
      <x:c r="R375" s="91" t="n">
        <x:v>0</x:v>
      </x:c>
    </x:row>
    <x:row r="376">
      <x:c r="A376" s="83" t="n">
        <x:v>375</x:v>
      </x:c>
      <x:c r="B376" s="84" t="str">
        <x:v>OS-2024-00375</x:v>
      </x:c>
      <x:c r="C376" s="84" t="n">
        <x:v>3</x:v>
      </x:c>
      <x:c r="D376" s="84" t="n">
        <x:v>1</x:v>
      </x:c>
      <x:c r="E376" s="84" t="n">
        <x:v>6</x:v>
      </x:c>
      <x:c r="F376" s="89" t="n">
        <x:v>45608.534953703704</x:v>
      </x:c>
      <x:c r="G376" s="89" t="n">
        <x:v>45612.534953703704</x:v>
      </x:c>
      <x:c r="H376" s="89" t="n">
        <x:v>45608.86828703704</x:v>
      </x:c>
      <x:c r="I376" s="89" t="n">
        <x:v>45609.49328703704</x:v>
      </x:c>
      <x:c r="J376" s="84" t="str">
        <x:v>Crítica</x:v>
      </x:c>
      <x:c r="K376" s="84" t="str">
        <x:v>Encerrada</x:v>
      </x:c>
      <x:c r="L376" s="84" t="str">
        <x:v>Alarme intermitente</x:v>
      </x:c>
      <x:c r="M376" s="84" t="str">
        <x:v>Falta de lubrificação</x:v>
      </x:c>
      <x:c r="N376" s="84" t="str">
        <x:v>Componente ajustado ou substituído</x:v>
      </x:c>
      <x:c r="O376" s="84" t="n">
        <x:v>0</x:v>
      </x:c>
      <x:c r="P376" s="93" t="n">
        <x:v>40.4</x:v>
      </x:c>
      <x:c r="Q376" s="93" t="n">
        <x:v>5118.12</x:v>
      </x:c>
      <x:c r="R376" s="91" t="n">
        <x:v>0</x:v>
      </x:c>
    </x:row>
    <x:row r="377">
      <x:c r="A377" s="83" t="n">
        <x:v>376</x:v>
      </x:c>
      <x:c r="B377" s="84" t="str">
        <x:v>OS-2025-00376</x:v>
      </x:c>
      <x:c r="C377" s="84" t="n">
        <x:v>29</x:v>
      </x:c>
      <x:c r="D377" s="84" t="n">
        <x:v>1</x:v>
      </x:c>
      <x:c r="E377" s="84" t="n">
        <x:v>58</x:v>
      </x:c>
      <x:c r="F377" s="89" t="n">
        <x:v>45995.11623842592</x:v>
      </x:c>
      <x:c r="G377" s="89" t="n">
        <x:v>46004.11623842592</x:v>
      </x:c>
      <x:c r="H377" s="89" t="n">
        <x:v>45996.657905092594</x:v>
      </x:c>
      <x:c r="I377" s="89" t="n">
        <x:v>45996.782905092594</x:v>
      </x:c>
      <x:c r="J377" s="84" t="str">
        <x:v>Média</x:v>
      </x:c>
      <x:c r="K377" s="84" t="str">
        <x:v>Encerrada</x:v>
      </x:c>
      <x:c r="L377" s="84" t="str">
        <x:v>Vazamento</x:v>
      </x:c>
      <x:c r="M377" s="84" t="str">
        <x:v>Desgaste natural</x:v>
      </x:c>
      <x:c r="N377" s="84" t="str">
        <x:v>Componente ajustado ou substituído</x:v>
      </x:c>
      <x:c r="O377" s="84" t="n">
        <x:v>0</x:v>
      </x:c>
      <x:c r="P377" s="93" t="n">
        <x:v>54.11</x:v>
      </x:c>
      <x:c r="Q377" s="93" t="n">
        <x:v>2670.18</x:v>
      </x:c>
      <x:c r="R377" s="91" t="n">
        <x:v>0</x:v>
      </x:c>
    </x:row>
    <x:row r="378">
      <x:c r="A378" s="83" t="n">
        <x:v>377</x:v>
      </x:c>
      <x:c r="B378" s="84" t="str">
        <x:v>OS-2023-00377</x:v>
      </x:c>
      <x:c r="C378" s="84" t="n">
        <x:v>23</x:v>
      </x:c>
      <x:c r="D378" s="84" t="n">
        <x:v>3</x:v>
      </x:c>
      <x:c r="E378" s="84"/>
      <x:c r="F378" s="89" t="n">
        <x:v>45011.36116898148</x:v>
      </x:c>
      <x:c r="G378" s="89"/>
      <x:c r="H378" s="89" t="n">
        <x:v>45011.52783564815</x:v>
      </x:c>
      <x:c r="I378" s="89" t="n">
        <x:v>45012.069502314815</x:v>
      </x:c>
      <x:c r="J378" s="84" t="str">
        <x:v>Crítica</x:v>
      </x:c>
      <x:c r="K378" s="84" t="str">
        <x:v>Concluída</x:v>
      </x:c>
      <x:c r="L378" s="84" t="str">
        <x:v>Vazamento</x:v>
      </x:c>
      <x:c r="M378" s="84" t="str">
        <x:v>Conexão frouxa</x:v>
      </x:c>
      <x:c r="N378" s="84" t="str">
        <x:v>Componente ajustado ou substituído</x:v>
      </x:c>
      <x:c r="O378" s="84" t="n">
        <x:v>0</x:v>
      </x:c>
      <x:c r="P378" s="93" t="n">
        <x:v>529.29</x:v>
      </x:c>
      <x:c r="Q378" s="93" t="n">
        <x:v>5565.68</x:v>
      </x:c>
      <x:c r="R378" s="91" t="n">
        <x:v>0</x:v>
      </x:c>
    </x:row>
    <x:row r="379">
      <x:c r="A379" s="83" t="n">
        <x:v>378</x:v>
      </x:c>
      <x:c r="B379" s="84" t="str">
        <x:v>OS-2025-00378</x:v>
      </x:c>
      <x:c r="C379" s="84" t="n">
        <x:v>73</x:v>
      </x:c>
      <x:c r="D379" s="84" t="n">
        <x:v>7</x:v>
      </x:c>
      <x:c r="E379" s="84" t="n">
        <x:v>145</x:v>
      </x:c>
      <x:c r="F379" s="89" t="n">
        <x:v>45806.48978009259</x:v>
      </x:c>
      <x:c r="G379" s="89" t="n">
        <x:v>45815.48978009259</x:v>
      </x:c>
      <x:c r="H379" s="89" t="n">
        <x:v>45808.61478009259</x:v>
      </x:c>
      <x:c r="I379" s="89" t="n">
        <x:v>45808.823113425926</x:v>
      </x:c>
      <x:c r="J379" s="84" t="str">
        <x:v>Baixa</x:v>
      </x:c>
      <x:c r="K379" s="84" t="str">
        <x:v>Concluída</x:v>
      </x:c>
      <x:c r="L379" s="84" t="str">
        <x:v>Desalinhamento</x:v>
      </x:c>
      <x:c r="M379" s="84" t="str">
        <x:v>Desgaste natural</x:v>
      </x:c>
      <x:c r="N379" s="84" t="str">
        <x:v>Componente ajustado ou substituído</x:v>
      </x:c>
      <x:c r="O379" s="84" t="n">
        <x:v>0</x:v>
      </x:c>
      <x:c r="P379" s="93" t="n">
        <x:v>309.32</x:v>
      </x:c>
      <x:c r="Q379" s="93" t="n">
        <x:v>5374.24</x:v>
      </x:c>
      <x:c r="R379" s="91" t="n">
        <x:v>6701.97</x:v>
      </x:c>
    </x:row>
    <x:row r="380">
      <x:c r="A380" s="83" t="n">
        <x:v>379</x:v>
      </x:c>
      <x:c r="B380" s="84" t="str">
        <x:v>OS-2023-00379</x:v>
      </x:c>
      <x:c r="C380" s="84" t="n">
        <x:v>30</x:v>
      </x:c>
      <x:c r="D380" s="84" t="n">
        <x:v>4</x:v>
      </x:c>
      <x:c r="E380" s="84"/>
      <x:c r="F380" s="89" t="n">
        <x:v>44991.87121527778</x:v>
      </x:c>
      <x:c r="G380" s="89" t="n">
        <x:v>44994.87121527778</x:v>
      </x:c>
      <x:c r="H380" s="89" t="n">
        <x:v>44992.57954861111</x:v>
      </x:c>
      <x:c r="I380" s="89" t="n">
        <x:v>44992.99621527778</x:v>
      </x:c>
      <x:c r="J380" s="84" t="str">
        <x:v>Média</x:v>
      </x:c>
      <x:c r="K380" s="84" t="str">
        <x:v>Encerrada</x:v>
      </x:c>
      <x:c r="L380" s="84" t="str">
        <x:v>Vazamento</x:v>
      </x:c>
      <x:c r="M380" s="84" t="str">
        <x:v>Falta de lubrificação</x:v>
      </x:c>
      <x:c r="N380" s="84" t="str">
        <x:v>Componente ajustado ou substituído</x:v>
      </x:c>
      <x:c r="O380" s="84" t="n">
        <x:v>0</x:v>
      </x:c>
      <x:c r="P380" s="93" t="n">
        <x:v>395.74</x:v>
      </x:c>
      <x:c r="Q380" s="93" t="n">
        <x:v>11724.24</x:v>
      </x:c>
      <x:c r="R380" s="91" t="n">
        <x:v>0</x:v>
      </x:c>
    </x:row>
    <x:row r="381">
      <x:c r="A381" s="83" t="n">
        <x:v>380</x:v>
      </x:c>
      <x:c r="B381" s="84" t="str">
        <x:v>OS-2025-00380</x:v>
      </x:c>
      <x:c r="C381" s="84" t="n">
        <x:v>71</x:v>
      </x:c>
      <x:c r="D381" s="84" t="n">
        <x:v>3</x:v>
      </x:c>
      <x:c r="E381" s="84"/>
      <x:c r="F381" s="89" t="n">
        <x:v>45794.16736111111</x:v>
      </x:c>
      <x:c r="G381" s="89"/>
      <x:c r="H381" s="89"/>
      <x:c r="I381" s="89"/>
      <x:c r="J381" s="84" t="str">
        <x:v>Média</x:v>
      </x:c>
      <x:c r="K381" s="84" t="str">
        <x:v>Planejada</x:v>
      </x:c>
      <x:c r="L381" s="84" t="str">
        <x:v>Superaquecimento</x:v>
      </x:c>
      <x:c r="M381" s="84"/>
      <x:c r="N381" s="84"/>
      <x:c r="O381" s="84" t="n">
        <x:v>0</x:v>
      </x:c>
      <x:c r="P381" s="93" t="n">
        <x:v>0</x:v>
      </x:c>
      <x:c r="Q381" s="93" t="n">
        <x:v>0</x:v>
      </x:c>
      <x:c r="R381" s="91" t="n">
        <x:v>0</x:v>
      </x:c>
    </x:row>
    <x:row r="382">
      <x:c r="A382" s="83" t="n">
        <x:v>381</x:v>
      </x:c>
      <x:c r="B382" s="84" t="str">
        <x:v>OS-2024-00381</x:v>
      </x:c>
      <x:c r="C382" s="84" t="n">
        <x:v>41</x:v>
      </x:c>
      <x:c r="D382" s="84" t="n">
        <x:v>2</x:v>
      </x:c>
      <x:c r="E382" s="84"/>
      <x:c r="F382" s="89" t="n">
        <x:v>45449.29961805556</x:v>
      </x:c>
      <x:c r="G382" s="89" t="n">
        <x:v>45450.29961805556</x:v>
      </x:c>
      <x:c r="H382" s="89" t="n">
        <x:v>45451.00795138889</x:v>
      </x:c>
      <x:c r="I382" s="89"/>
      <x:c r="J382" s="84" t="str">
        <x:v>Baixa</x:v>
      </x:c>
      <x:c r="K382" s="84" t="str">
        <x:v>Aguardando peça</x:v>
      </x:c>
      <x:c r="L382" s="84" t="str">
        <x:v>Falha elétrica</x:v>
      </x:c>
      <x:c r="M382" s="84" t="str">
        <x:v>Contaminação</x:v>
      </x:c>
      <x:c r="N382" s="84"/>
      <x:c r="O382" s="84" t="n">
        <x:v>0</x:v>
      </x:c>
      <x:c r="P382" s="93" t="n">
        <x:v>45.85</x:v>
      </x:c>
      <x:c r="Q382" s="93" t="n">
        <x:v>4472.9</x:v>
      </x:c>
      <x:c r="R382" s="91" t="n">
        <x:v>0</x:v>
      </x:c>
    </x:row>
    <x:row r="383">
      <x:c r="A383" s="83" t="n">
        <x:v>382</x:v>
      </x:c>
      <x:c r="B383" s="84" t="str">
        <x:v>OS-2023-00382</x:v>
      </x:c>
      <x:c r="C383" s="84" t="n">
        <x:v>60</x:v>
      </x:c>
      <x:c r="D383" s="84" t="n">
        <x:v>7</x:v>
      </x:c>
      <x:c r="E383" s="84" t="n">
        <x:v>120</x:v>
      </x:c>
      <x:c r="F383" s="89" t="n">
        <x:v>45137.9327662037</x:v>
      </x:c>
      <x:c r="G383" s="89" t="n">
        <x:v>45151.9327662037</x:v>
      </x:c>
      <x:c r="H383" s="89" t="n">
        <x:v>45138.72443287037</x:v>
      </x:c>
      <x:c r="I383" s="89" t="n">
        <x:v>45139.09943287037</x:v>
      </x:c>
      <x:c r="J383" s="84" t="str">
        <x:v>Crítica</x:v>
      </x:c>
      <x:c r="K383" s="84" t="str">
        <x:v>Encerrada</x:v>
      </x:c>
      <x:c r="L383" s="84" t="str">
        <x:v>Alarme intermitente</x:v>
      </x:c>
      <x:c r="M383" s="84" t="str">
        <x:v>Componente danificado</x:v>
      </x:c>
      <x:c r="N383" s="84" t="str">
        <x:v>Componente ajustado ou substituído</x:v>
      </x:c>
      <x:c r="O383" s="84" t="n">
        <x:v>0</x:v>
      </x:c>
      <x:c r="P383" s="93" t="n">
        <x:v>300.73</x:v>
      </x:c>
      <x:c r="Q383" s="93" t="n">
        <x:v>4666.04</x:v>
      </x:c>
      <x:c r="R383" s="91" t="n">
        <x:v>0</x:v>
      </x:c>
    </x:row>
    <x:row r="384">
      <x:c r="A384" s="83" t="n">
        <x:v>383</x:v>
      </x:c>
      <x:c r="B384" s="84" t="str">
        <x:v>OS-2025-00383</x:v>
      </x:c>
      <x:c r="C384" s="84" t="n">
        <x:v>24</x:v>
      </x:c>
      <x:c r="D384" s="84" t="n">
        <x:v>5</x:v>
      </x:c>
      <x:c r="E384" s="84" t="n">
        <x:v>48</x:v>
      </x:c>
      <x:c r="F384" s="89" t="n">
        <x:v>45887.463368055556</x:v>
      </x:c>
      <x:c r="G384" s="89" t="n">
        <x:v>45888.463368055556</x:v>
      </x:c>
      <x:c r="H384" s="89" t="n">
        <x:v>45890.088368055556</x:v>
      </x:c>
      <x:c r="I384" s="89"/>
      <x:c r="J384" s="84" t="str">
        <x:v>Média</x:v>
      </x:c>
      <x:c r="K384" s="84" t="str">
        <x:v>Aguardando peça</x:v>
      </x:c>
      <x:c r="L384" s="84" t="str">
        <x:v>Vazamento</x:v>
      </x:c>
      <x:c r="M384" s="84" t="str">
        <x:v>Componente danificado</x:v>
      </x:c>
      <x:c r="N384" s="84"/>
      <x:c r="O384" s="84" t="n">
        <x:v>1</x:v>
      </x:c>
      <x:c r="P384" s="93" t="n">
        <x:v>626.59</x:v>
      </x:c>
      <x:c r="Q384" s="93" t="n">
        <x:v>5086.63</x:v>
      </x:c>
      <x:c r="R384" s="91" t="n">
        <x:v>0</x:v>
      </x:c>
    </x:row>
    <x:row r="385">
      <x:c r="A385" s="83" t="n">
        <x:v>384</x:v>
      </x:c>
      <x:c r="B385" s="84" t="str">
        <x:v>OS-2023-00384</x:v>
      </x:c>
      <x:c r="C385" s="84" t="n">
        <x:v>82</x:v>
      </x:c>
      <x:c r="D385" s="84" t="n">
        <x:v>7</x:v>
      </x:c>
      <x:c r="E385" s="84" t="n">
        <x:v>163</x:v>
      </x:c>
      <x:c r="F385" s="89" t="n">
        <x:v>44999.85130787037</x:v>
      </x:c>
      <x:c r="G385" s="89" t="n">
        <x:v>45003.85130787037</x:v>
      </x:c>
      <x:c r="H385" s="89"/>
      <x:c r="I385" s="89"/>
      <x:c r="J385" s="84" t="str">
        <x:v>Alta</x:v>
      </x:c>
      <x:c r="K385" s="84" t="str">
        <x:v>Planejada</x:v>
      </x:c>
      <x:c r="L385" s="84" t="str">
        <x:v>Vazamento</x:v>
      </x:c>
      <x:c r="M385" s="84"/>
      <x:c r="N385" s="84"/>
      <x:c r="O385" s="84" t="n">
        <x:v>0</x:v>
      </x:c>
      <x:c r="P385" s="93" t="n">
        <x:v>0</x:v>
      </x:c>
      <x:c r="Q385" s="93" t="n">
        <x:v>0</x:v>
      </x:c>
      <x:c r="R385" s="91" t="n">
        <x:v>0</x:v>
      </x:c>
    </x:row>
    <x:row r="386">
      <x:c r="A386" s="83" t="n">
        <x:v>385</x:v>
      </x:c>
      <x:c r="B386" s="84" t="str">
        <x:v>OS-2025-00385</x:v>
      </x:c>
      <x:c r="C386" s="84" t="n">
        <x:v>14</x:v>
      </x:c>
      <x:c r="D386" s="84" t="n">
        <x:v>1</x:v>
      </x:c>
      <x:c r="E386" s="84" t="n">
        <x:v>28</x:v>
      </x:c>
      <x:c r="F386" s="89" t="n">
        <x:v>45773.15555555555</x:v>
      </x:c>
      <x:c r="G386" s="89" t="n">
        <x:v>45783.15555555555</x:v>
      </x:c>
      <x:c r="H386" s="89" t="n">
        <x:v>45773.28055555555</x:v>
      </x:c>
      <x:c r="I386" s="89"/>
      <x:c r="J386" s="84" t="str">
        <x:v>Crítica</x:v>
      </x:c>
      <x:c r="K386" s="84" t="str">
        <x:v>Aguardando peça</x:v>
      </x:c>
      <x:c r="L386" s="84" t="str">
        <x:v>Alarme intermitente</x:v>
      </x:c>
      <x:c r="M386" s="84" t="str">
        <x:v>Componente danificado</x:v>
      </x:c>
      <x:c r="N386" s="84"/>
      <x:c r="O386" s="84" t="n">
        <x:v>0</x:v>
      </x:c>
      <x:c r="P386" s="93" t="n">
        <x:v>203.55</x:v>
      </x:c>
      <x:c r="Q386" s="93" t="n">
        <x:v>2087.56</x:v>
      </x:c>
      <x:c r="R386" s="91" t="n">
        <x:v>0</x:v>
      </x:c>
    </x:row>
    <x:row r="387">
      <x:c r="A387" s="83" t="n">
        <x:v>386</x:v>
      </x:c>
      <x:c r="B387" s="84" t="str">
        <x:v>OS-2025-00386</x:v>
      </x:c>
      <x:c r="C387" s="84" t="n">
        <x:v>55</x:v>
      </x:c>
      <x:c r="D387" s="84" t="n">
        <x:v>3</x:v>
      </x:c>
      <x:c r="E387" s="84"/>
      <x:c r="F387" s="89" t="n">
        <x:v>45874.37949074074</x:v>
      </x:c>
      <x:c r="G387" s="89"/>
      <x:c r="H387" s="89"/>
      <x:c r="I387" s="89"/>
      <x:c r="J387" s="84" t="str">
        <x:v>Alta</x:v>
      </x:c>
      <x:c r="K387" s="84" t="str">
        <x:v>Planejada</x:v>
      </x:c>
      <x:c r="L387" s="84" t="str">
        <x:v>Baixa pressão</x:v>
      </x:c>
      <x:c r="M387" s="84"/>
      <x:c r="N387" s="84"/>
      <x:c r="O387" s="84" t="n">
        <x:v>0</x:v>
      </x:c>
      <x:c r="P387" s="93" t="n">
        <x:v>0</x:v>
      </x:c>
      <x:c r="Q387" s="93" t="n">
        <x:v>0</x:v>
      </x:c>
      <x:c r="R387" s="91" t="n">
        <x:v>0</x:v>
      </x:c>
    </x:row>
    <x:row r="388">
      <x:c r="A388" s="83" t="n">
        <x:v>387</x:v>
      </x:c>
      <x:c r="B388" s="84" t="str">
        <x:v>OS-2025-00387</x:v>
      </x:c>
      <x:c r="C388" s="84" t="n">
        <x:v>9</x:v>
      </x:c>
      <x:c r="D388" s="84" t="n">
        <x:v>2</x:v>
      </x:c>
      <x:c r="E388" s="84"/>
      <x:c r="F388" s="89" t="n">
        <x:v>45791.68341435185</x:v>
      </x:c>
      <x:c r="G388" s="89" t="n">
        <x:v>45805.68341435185</x:v>
      </x:c>
      <x:c r="H388" s="89" t="n">
        <x:v>45793.391747685186</x:v>
      </x:c>
      <x:c r="I388" s="89" t="n">
        <x:v>45793.891747685186</x:v>
      </x:c>
      <x:c r="J388" s="84" t="str">
        <x:v>Crítica</x:v>
      </x:c>
      <x:c r="K388" s="84" t="str">
        <x:v>Concluída</x:v>
      </x:c>
      <x:c r="L388" s="84" t="str">
        <x:v>Vazamento</x:v>
      </x:c>
      <x:c r="M388" s="84" t="str">
        <x:v>Falta de lubrificação</x:v>
      </x:c>
      <x:c r="N388" s="84" t="str">
        <x:v>Componente ajustado ou substituído</x:v>
      </x:c>
      <x:c r="O388" s="84" t="n">
        <x:v>0</x:v>
      </x:c>
      <x:c r="P388" s="93" t="n">
        <x:v>217.35</x:v>
      </x:c>
      <x:c r="Q388" s="93" t="n">
        <x:v>9721.7</x:v>
      </x:c>
      <x:c r="R388" s="91" t="n">
        <x:v>4071.72</x:v>
      </x:c>
    </x:row>
    <x:row r="389">
      <x:c r="A389" s="83" t="n">
        <x:v>388</x:v>
      </x:c>
      <x:c r="B389" s="84" t="str">
        <x:v>OS-2025-00388</x:v>
      </x:c>
      <x:c r="C389" s="84" t="n">
        <x:v>30</x:v>
      </x:c>
      <x:c r="D389" s="84" t="n">
        <x:v>1</x:v>
      </x:c>
      <x:c r="E389" s="84" t="n">
        <x:v>59</x:v>
      </x:c>
      <x:c r="F389" s="89" t="n">
        <x:v>46013.264027777775</x:v>
      </x:c>
      <x:c r="G389" s="89" t="n">
        <x:v>46025.264027777775</x:v>
      </x:c>
      <x:c r="H389" s="89" t="n">
        <x:v>46015.764027777775</x:v>
      </x:c>
      <x:c r="I389" s="89" t="n">
        <x:v>46015.93069444445</x:v>
      </x:c>
      <x:c r="J389" s="84" t="str">
        <x:v>Crítica</x:v>
      </x:c>
      <x:c r="K389" s="84" t="str">
        <x:v>Encerrada</x:v>
      </x:c>
      <x:c r="L389" s="84" t="str">
        <x:v>Superaquecimento</x:v>
      </x:c>
      <x:c r="M389" s="84" t="str">
        <x:v>Contaminação</x:v>
      </x:c>
      <x:c r="N389" s="84" t="str">
        <x:v>Componente ajustado ou substituído</x:v>
      </x:c>
      <x:c r="O389" s="84" t="n">
        <x:v>0</x:v>
      </x:c>
      <x:c r="P389" s="93" t="n">
        <x:v>719.75</x:v>
      </x:c>
      <x:c r="Q389" s="93" t="n">
        <x:v>9994</x:v>
      </x:c>
      <x:c r="R389" s="91" t="n">
        <x:v>0</x:v>
      </x:c>
    </x:row>
    <x:row r="390">
      <x:c r="A390" s="83" t="n">
        <x:v>389</x:v>
      </x:c>
      <x:c r="B390" s="84" t="str">
        <x:v>OS-2025-00389</x:v>
      </x:c>
      <x:c r="C390" s="84" t="n">
        <x:v>77</x:v>
      </x:c>
      <x:c r="D390" s="84" t="n">
        <x:v>7</x:v>
      </x:c>
      <x:c r="E390" s="84" t="n">
        <x:v>153</x:v>
      </x:c>
      <x:c r="F390" s="89" t="n">
        <x:v>45721.11237268519</x:v>
      </x:c>
      <x:c r="G390" s="89" t="n">
        <x:v>45721.11237268519</x:v>
      </x:c>
      <x:c r="H390" s="89" t="n">
        <x:v>45721.945706018516</x:v>
      </x:c>
      <x:c r="I390" s="89" t="n">
        <x:v>45722.195706018516</x:v>
      </x:c>
      <x:c r="J390" s="84" t="str">
        <x:v>Crítica</x:v>
      </x:c>
      <x:c r="K390" s="84" t="str">
        <x:v>Encerrada</x:v>
      </x:c>
      <x:c r="L390" s="84" t="str">
        <x:v>Falha elétrica</x:v>
      </x:c>
      <x:c r="M390" s="84" t="str">
        <x:v>Desgaste natural</x:v>
      </x:c>
      <x:c r="N390" s="84" t="str">
        <x:v>Componente ajustado ou substituído</x:v>
      </x:c>
      <x:c r="O390" s="84" t="n">
        <x:v>0</x:v>
      </x:c>
      <x:c r="P390" s="93" t="n">
        <x:v>537.46</x:v>
      </x:c>
      <x:c r="Q390" s="93" t="n">
        <x:v>0</x:v>
      </x:c>
      <x:c r="R390" s="91" t="n">
        <x:v>534.53</x:v>
      </x:c>
    </x:row>
    <x:row r="391">
      <x:c r="A391" s="83" t="n">
        <x:v>390</x:v>
      </x:c>
      <x:c r="B391" s="84" t="str">
        <x:v>OS-2024-00390</x:v>
      </x:c>
      <x:c r="C391" s="84" t="n">
        <x:v>12</x:v>
      </x:c>
      <x:c r="D391" s="84" t="n">
        <x:v>3</x:v>
      </x:c>
      <x:c r="E391" s="84"/>
      <x:c r="F391" s="89" t="n">
        <x:v>45432.728101851855</x:v>
      </x:c>
      <x:c r="G391" s="89"/>
      <x:c r="H391" s="89" t="n">
        <x:v>45433.811435185184</x:v>
      </x:c>
      <x:c r="I391" s="89" t="n">
        <x:v>45434.353101851855</x:v>
      </x:c>
      <x:c r="J391" s="84" t="str">
        <x:v>Alta</x:v>
      </x:c>
      <x:c r="K391" s="84" t="str">
        <x:v>Encerrada</x:v>
      </x:c>
      <x:c r="L391" s="84" t="str">
        <x:v>Desalinhamento</x:v>
      </x:c>
      <x:c r="M391" s="84" t="str">
        <x:v>Contaminação</x:v>
      </x:c>
      <x:c r="N391" s="84" t="str">
        <x:v>Componente ajustado ou substituído</x:v>
      </x:c>
      <x:c r="O391" s="84" t="n">
        <x:v>0</x:v>
      </x:c>
      <x:c r="P391" s="93" t="n">
        <x:v>818.8</x:v>
      </x:c>
      <x:c r="Q391" s="93" t="n">
        <x:v>1539.08</x:v>
      </x:c>
      <x:c r="R391" s="91" t="n">
        <x:v>0</x:v>
      </x:c>
    </x:row>
    <x:row r="392">
      <x:c r="A392" s="83" t="n">
        <x:v>391</x:v>
      </x:c>
      <x:c r="B392" s="84" t="str">
        <x:v>OS-2025-00391</x:v>
      </x:c>
      <x:c r="C392" s="84" t="n">
        <x:v>50</x:v>
      </x:c>
      <x:c r="D392" s="84" t="n">
        <x:v>2</x:v>
      </x:c>
      <x:c r="E392" s="84"/>
      <x:c r="F392" s="89" t="n">
        <x:v>45664.605416666665</x:v>
      </x:c>
      <x:c r="G392" s="89" t="n">
        <x:v>45667.605416666665</x:v>
      </x:c>
      <x:c r="H392" s="89" t="n">
        <x:v>45666.64708333334</x:v>
      </x:c>
      <x:c r="I392" s="89" t="n">
        <x:v>45667.27208333334</x:v>
      </x:c>
      <x:c r="J392" s="84" t="str">
        <x:v>Baixa</x:v>
      </x:c>
      <x:c r="K392" s="84" t="str">
        <x:v>Encerrada</x:v>
      </x:c>
      <x:c r="L392" s="84" t="str">
        <x:v>Ruído anormal</x:v>
      </x:c>
      <x:c r="M392" s="84" t="str">
        <x:v>Desgaste natural</x:v>
      </x:c>
      <x:c r="N392" s="84" t="str">
        <x:v>Componente ajustado ou substituído</x:v>
      </x:c>
      <x:c r="O392" s="84" t="n">
        <x:v>0</x:v>
      </x:c>
      <x:c r="P392" s="93" t="n">
        <x:v>481.66</x:v>
      </x:c>
      <x:c r="Q392" s="93" t="n">
        <x:v>0</x:v>
      </x:c>
      <x:c r="R392" s="91" t="n">
        <x:v>4679.55</x:v>
      </x:c>
    </x:row>
    <x:row r="393">
      <x:c r="A393" s="83" t="n">
        <x:v>392</x:v>
      </x:c>
      <x:c r="B393" s="84" t="str">
        <x:v>OS-2025-00392</x:v>
      </x:c>
      <x:c r="C393" s="84" t="n">
        <x:v>80</x:v>
      </x:c>
      <x:c r="D393" s="84" t="n">
        <x:v>5</x:v>
      </x:c>
      <x:c r="E393" s="84" t="n">
        <x:v>160</x:v>
      </x:c>
      <x:c r="F393" s="89" t="n">
        <x:v>45905.133726851855</x:v>
      </x:c>
      <x:c r="G393" s="89" t="n">
        <x:v>45911.133726851855</x:v>
      </x:c>
      <x:c r="H393" s="89" t="n">
        <x:v>45908.09206018518</x:v>
      </x:c>
      <x:c r="I393" s="89" t="n">
        <x:v>45908.71706018518</x:v>
      </x:c>
      <x:c r="J393" s="84" t="str">
        <x:v>Média</x:v>
      </x:c>
      <x:c r="K393" s="84" t="str">
        <x:v>Encerrada</x:v>
      </x:c>
      <x:c r="L393" s="84" t="str">
        <x:v>Superaquecimento</x:v>
      </x:c>
      <x:c r="M393" s="84" t="str">
        <x:v>Desgaste natural</x:v>
      </x:c>
      <x:c r="N393" s="84" t="str">
        <x:v>Componente ajustado ou substituído</x:v>
      </x:c>
      <x:c r="O393" s="84" t="n">
        <x:v>0</x:v>
      </x:c>
      <x:c r="P393" s="93" t="n">
        <x:v>430.01</x:v>
      </x:c>
      <x:c r="Q393" s="93" t="n">
        <x:v>4746.99</x:v>
      </x:c>
      <x:c r="R393" s="91" t="n">
        <x:v>0</x:v>
      </x:c>
    </x:row>
    <x:row r="394">
      <x:c r="A394" s="83" t="n">
        <x:v>393</x:v>
      </x:c>
      <x:c r="B394" s="84" t="str">
        <x:v>OS-2024-00393</x:v>
      </x:c>
      <x:c r="C394" s="84" t="n">
        <x:v>79</x:v>
      </x:c>
      <x:c r="D394" s="84" t="n">
        <x:v>1</x:v>
      </x:c>
      <x:c r="E394" s="84" t="n">
        <x:v>157</x:v>
      </x:c>
      <x:c r="F394" s="89" t="n">
        <x:v>45341.626921296294</x:v>
      </x:c>
      <x:c r="G394" s="89" t="n">
        <x:v>45348.626921296294</x:v>
      </x:c>
      <x:c r="H394" s="89" t="n">
        <x:v>45343.626921296294</x:v>
      </x:c>
      <x:c r="I394" s="89"/>
      <x:c r="J394" s="84" t="str">
        <x:v>Alta</x:v>
      </x:c>
      <x:c r="K394" s="84" t="str">
        <x:v>Em execução</x:v>
      </x:c>
      <x:c r="L394" s="84" t="str">
        <x:v>Falha elétrica</x:v>
      </x:c>
      <x:c r="M394" s="84" t="str">
        <x:v>Conexão frouxa</x:v>
      </x:c>
      <x:c r="N394" s="84"/>
      <x:c r="O394" s="84" t="n">
        <x:v>0</x:v>
      </x:c>
      <x:c r="P394" s="93" t="n">
        <x:v>169.24</x:v>
      </x:c>
      <x:c r="Q394" s="93" t="n">
        <x:v>9114.31</x:v>
      </x:c>
      <x:c r="R394" s="91" t="n">
        <x:v>0</x:v>
      </x:c>
    </x:row>
    <x:row r="395">
      <x:c r="A395" s="83" t="n">
        <x:v>394</x:v>
      </x:c>
      <x:c r="B395" s="84" t="str">
        <x:v>OS-2024-00394</x:v>
      </x:c>
      <x:c r="C395" s="84" t="n">
        <x:v>2</x:v>
      </x:c>
      <x:c r="D395" s="84" t="n">
        <x:v>1</x:v>
      </x:c>
      <x:c r="E395" s="84" t="n">
        <x:v>4</x:v>
      </x:c>
      <x:c r="F395" s="89" t="n">
        <x:v>45489.607465277775</x:v>
      </x:c>
      <x:c r="G395" s="89" t="n">
        <x:v>45492.607465277775</x:v>
      </x:c>
      <x:c r="H395" s="89" t="n">
        <x:v>45491.357465277775</x:v>
      </x:c>
      <x:c r="I395" s="89" t="n">
        <x:v>45491.89913194445</x:v>
      </x:c>
      <x:c r="J395" s="84" t="str">
        <x:v>Crítica</x:v>
      </x:c>
      <x:c r="K395" s="84" t="str">
        <x:v>Concluída</x:v>
      </x:c>
      <x:c r="L395" s="84" t="str">
        <x:v>Superaquecimento</x:v>
      </x:c>
      <x:c r="M395" s="84" t="str">
        <x:v>Contaminação</x:v>
      </x:c>
      <x:c r="N395" s="84" t="str">
        <x:v>Componente ajustado ou substituído</x:v>
      </x:c>
      <x:c r="O395" s="84" t="n">
        <x:v>0</x:v>
      </x:c>
      <x:c r="P395" s="93" t="n">
        <x:v>390.38</x:v>
      </x:c>
      <x:c r="Q395" s="93" t="n">
        <x:v>5286.54</x:v>
      </x:c>
      <x:c r="R395" s="91" t="n">
        <x:v>0</x:v>
      </x:c>
    </x:row>
    <x:row r="396">
      <x:c r="A396" s="83" t="n">
        <x:v>395</x:v>
      </x:c>
      <x:c r="B396" s="84" t="str">
        <x:v>OS-2024-00395</x:v>
      </x:c>
      <x:c r="C396" s="84" t="n">
        <x:v>86</x:v>
      </x:c>
      <x:c r="D396" s="84" t="n">
        <x:v>1</x:v>
      </x:c>
      <x:c r="E396" s="84" t="n">
        <x:v>172</x:v>
      </x:c>
      <x:c r="F396" s="89" t="n">
        <x:v>45617.0925</x:v>
      </x:c>
      <x:c r="G396" s="89" t="n">
        <x:v>45623.0925</x:v>
      </x:c>
      <x:c r="H396" s="89" t="n">
        <x:v>45617.4675</x:v>
      </x:c>
      <x:c r="I396" s="89" t="n">
        <x:v>45617.550833333335</x:v>
      </x:c>
      <x:c r="J396" s="84" t="str">
        <x:v>Média</x:v>
      </x:c>
      <x:c r="K396" s="84" t="str">
        <x:v>Encerrada</x:v>
      </x:c>
      <x:c r="L396" s="84" t="str">
        <x:v>Desalinhamento</x:v>
      </x:c>
      <x:c r="M396" s="84" t="str">
        <x:v>Falta de lubrificação</x:v>
      </x:c>
      <x:c r="N396" s="84" t="str">
        <x:v>Componente ajustado ou substituído</x:v>
      </x:c>
      <x:c r="O396" s="84" t="n">
        <x:v>0</x:v>
      </x:c>
      <x:c r="P396" s="93" t="n">
        <x:v>394.97</x:v>
      </x:c>
      <x:c r="Q396" s="93" t="n">
        <x:v>0</x:v>
      </x:c>
      <x:c r="R396" s="91" t="n">
        <x:v>0</x:v>
      </x:c>
    </x:row>
    <x:row r="397">
      <x:c r="A397" s="83" t="n">
        <x:v>396</x:v>
      </x:c>
      <x:c r="B397" s="84" t="str">
        <x:v>OS-2024-00396</x:v>
      </x:c>
      <x:c r="C397" s="84" t="n">
        <x:v>10</x:v>
      </x:c>
      <x:c r="D397" s="84" t="n">
        <x:v>5</x:v>
      </x:c>
      <x:c r="E397" s="84" t="n">
        <x:v>19</x:v>
      </x:c>
      <x:c r="F397" s="89" t="n">
        <x:v>45367.003217592595</x:v>
      </x:c>
      <x:c r="G397" s="89" t="n">
        <x:v>45372.003217592595</x:v>
      </x:c>
      <x:c r="H397" s="89" t="n">
        <x:v>45368.54488425926</x:v>
      </x:c>
      <x:c r="I397" s="89" t="n">
        <x:v>45369.086550925924</x:v>
      </x:c>
      <x:c r="J397" s="84" t="str">
        <x:v>Alta</x:v>
      </x:c>
      <x:c r="K397" s="84" t="str">
        <x:v>Encerrada</x:v>
      </x:c>
      <x:c r="L397" s="84" t="str">
        <x:v>Falha elétrica</x:v>
      </x:c>
      <x:c r="M397" s="84" t="str">
        <x:v>Componente danificado</x:v>
      </x:c>
      <x:c r="N397" s="84" t="str">
        <x:v>Componente ajustado ou substituído</x:v>
      </x:c>
      <x:c r="O397" s="84" t="n">
        <x:v>0</x:v>
      </x:c>
      <x:c r="P397" s="93" t="n">
        <x:v>756.15</x:v>
      </x:c>
      <x:c r="Q397" s="93" t="n">
        <x:v>14691.37</x:v>
      </x:c>
      <x:c r="R397" s="91" t="n">
        <x:v>0</x:v>
      </x:c>
    </x:row>
    <x:row r="398">
      <x:c r="A398" s="83" t="n">
        <x:v>397</x:v>
      </x:c>
      <x:c r="B398" s="84" t="str">
        <x:v>OS-2025-00397</x:v>
      </x:c>
      <x:c r="C398" s="84" t="n">
        <x:v>23</x:v>
      </x:c>
      <x:c r="D398" s="84" t="n">
        <x:v>7</x:v>
      </x:c>
      <x:c r="E398" s="84" t="n">
        <x:v>45</x:v>
      </x:c>
      <x:c r="F398" s="89" t="n">
        <x:v>45681.108935185184</x:v>
      </x:c>
      <x:c r="G398" s="89" t="n">
        <x:v>45692.108935185184</x:v>
      </x:c>
      <x:c r="H398" s="89" t="n">
        <x:v>45683.69226851852</x:v>
      </x:c>
      <x:c r="I398" s="89" t="n">
        <x:v>45684.483935185184</x:v>
      </x:c>
      <x:c r="J398" s="84" t="str">
        <x:v>Crítica</x:v>
      </x:c>
      <x:c r="K398" s="84" t="str">
        <x:v>Encerrada</x:v>
      </x:c>
      <x:c r="L398" s="84" t="str">
        <x:v>Falha elétrica</x:v>
      </x:c>
      <x:c r="M398" s="84" t="str">
        <x:v>Contaminação</x:v>
      </x:c>
      <x:c r="N398" s="84" t="str">
        <x:v>Componente ajustado ou substituído</x:v>
      </x:c>
      <x:c r="O398" s="84" t="n">
        <x:v>0</x:v>
      </x:c>
      <x:c r="P398" s="93" t="n">
        <x:v>714.9</x:v>
      </x:c>
      <x:c r="Q398" s="93" t="n">
        <x:v>0</x:v>
      </x:c>
      <x:c r="R398" s="91" t="n">
        <x:v>0</x:v>
      </x:c>
    </x:row>
    <x:row r="399">
      <x:c r="A399" s="83" t="n">
        <x:v>398</x:v>
      </x:c>
      <x:c r="B399" s="84" t="str">
        <x:v>OS-2025-00398</x:v>
      </x:c>
      <x:c r="C399" s="84" t="n">
        <x:v>65</x:v>
      </x:c>
      <x:c r="D399" s="84" t="n">
        <x:v>1</x:v>
      </x:c>
      <x:c r="E399" s="84" t="n">
        <x:v>130</x:v>
      </x:c>
      <x:c r="F399" s="89" t="n">
        <x:v>45712.5109375</x:v>
      </x:c>
      <x:c r="G399" s="89" t="n">
        <x:v>45721.5109375</x:v>
      </x:c>
      <x:c r="H399" s="89" t="n">
        <x:v>45715.30260416667</x:v>
      </x:c>
      <x:c r="I399" s="89" t="n">
        <x:v>45715.5109375</x:v>
      </x:c>
      <x:c r="J399" s="84" t="str">
        <x:v>Baixa</x:v>
      </x:c>
      <x:c r="K399" s="84" t="str">
        <x:v>Encerrada</x:v>
      </x:c>
      <x:c r="L399" s="84" t="str">
        <x:v>Desalinhamento</x:v>
      </x:c>
      <x:c r="M399" s="84" t="str">
        <x:v>Ajuste incorreto</x:v>
      </x:c>
      <x:c r="N399" s="84" t="str">
        <x:v>Componente ajustado ou substituído</x:v>
      </x:c>
      <x:c r="O399" s="84" t="n">
        <x:v>0</x:v>
      </x:c>
      <x:c r="P399" s="93" t="n">
        <x:v>458.39</x:v>
      </x:c>
      <x:c r="Q399" s="93" t="n">
        <x:v>7982.42</x:v>
      </x:c>
      <x:c r="R399" s="91" t="n">
        <x:v>0</x:v>
      </x:c>
    </x:row>
    <x:row r="400">
      <x:c r="A400" s="83" t="n">
        <x:v>399</x:v>
      </x:c>
      <x:c r="B400" s="84" t="str">
        <x:v>OS-2025-00399</x:v>
      </x:c>
      <x:c r="C400" s="84" t="n">
        <x:v>55</x:v>
      </x:c>
      <x:c r="D400" s="84" t="n">
        <x:v>6</x:v>
      </x:c>
      <x:c r="E400" s="84"/>
      <x:c r="F400" s="89" t="n">
        <x:v>45796.75561342593</x:v>
      </x:c>
      <x:c r="G400" s="89" t="n">
        <x:v>45811.75561342593</x:v>
      </x:c>
      <x:c r="H400" s="89" t="n">
        <x:v>45796.88061342593</x:v>
      </x:c>
      <x:c r="I400" s="89" t="n">
        <x:v>45797.29728009259</x:v>
      </x:c>
      <x:c r="J400" s="84" t="str">
        <x:v>Média</x:v>
      </x:c>
      <x:c r="K400" s="84" t="str">
        <x:v>Encerrada</x:v>
      </x:c>
      <x:c r="L400" s="84" t="str">
        <x:v>Falha elétrica</x:v>
      </x:c>
      <x:c r="M400" s="84" t="str">
        <x:v>Desgaste natural</x:v>
      </x:c>
      <x:c r="N400" s="84" t="str">
        <x:v>Componente ajustado ou substituído</x:v>
      </x:c>
      <x:c r="O400" s="84" t="n">
        <x:v>0</x:v>
      </x:c>
      <x:c r="P400" s="93" t="n">
        <x:v>641.81</x:v>
      </x:c>
      <x:c r="Q400" s="93" t="n">
        <x:v>1728.54</x:v>
      </x:c>
      <x:c r="R400" s="91" t="n">
        <x:v>8150.6</x:v>
      </x:c>
    </x:row>
    <x:row r="401">
      <x:c r="A401" s="83" t="n">
        <x:v>400</x:v>
      </x:c>
      <x:c r="B401" s="84" t="str">
        <x:v>OS-2023-00400</x:v>
      </x:c>
      <x:c r="C401" s="84" t="n">
        <x:v>36</x:v>
      </x:c>
      <x:c r="D401" s="84" t="n">
        <x:v>2</x:v>
      </x:c>
      <x:c r="E401" s="84"/>
      <x:c r="F401" s="89" t="n">
        <x:v>44939.281493055554</x:v>
      </x:c>
      <x:c r="G401" s="89" t="n">
        <x:v>44948.281493055554</x:v>
      </x:c>
      <x:c r="H401" s="89" t="n">
        <x:v>44939.906493055554</x:v>
      </x:c>
      <x:c r="I401" s="89" t="n">
        <x:v>44940.323159722226</x:v>
      </x:c>
      <x:c r="J401" s="84" t="str">
        <x:v>Alta</x:v>
      </x:c>
      <x:c r="K401" s="84" t="str">
        <x:v>Concluída</x:v>
      </x:c>
      <x:c r="L401" s="84" t="str">
        <x:v>Baixa pressão</x:v>
      </x:c>
      <x:c r="M401" s="84" t="str">
        <x:v>Falta de lubrificação</x:v>
      </x:c>
      <x:c r="N401" s="84" t="str">
        <x:v>Componente ajustado ou substituído</x:v>
      </x:c>
      <x:c r="O401" s="84" t="n">
        <x:v>0</x:v>
      </x:c>
      <x:c r="P401" s="93" t="n">
        <x:v>106.11</x:v>
      </x:c>
      <x:c r="Q401" s="93" t="n">
        <x:v>596.41</x:v>
      </x:c>
      <x:c r="R401" s="91" t="n">
        <x:v>0</x:v>
      </x:c>
    </x:row>
    <x:row r="402">
      <x:c r="A402" s="83" t="n">
        <x:v>401</x:v>
      </x:c>
      <x:c r="B402" s="84" t="str">
        <x:v>OS-2023-00401</x:v>
      </x:c>
      <x:c r="C402" s="84" t="n">
        <x:v>76</x:v>
      </x:c>
      <x:c r="D402" s="84" t="n">
        <x:v>7</x:v>
      </x:c>
      <x:c r="E402" s="84" t="n">
        <x:v>151</x:v>
      </x:c>
      <x:c r="F402" s="89" t="n">
        <x:v>45091.859398148146</x:v>
      </x:c>
      <x:c r="G402" s="89" t="n">
        <x:v>45091.859398148146</x:v>
      </x:c>
      <x:c r="H402" s="89" t="n">
        <x:v>45094.77606481482</x:v>
      </x:c>
      <x:c r="I402" s="89"/>
      <x:c r="J402" s="84" t="str">
        <x:v>Alta</x:v>
      </x:c>
      <x:c r="K402" s="84" t="str">
        <x:v>Aguardando peça</x:v>
      </x:c>
      <x:c r="L402" s="84" t="str">
        <x:v>Falha elétrica</x:v>
      </x:c>
      <x:c r="M402" s="84" t="str">
        <x:v>Componente danificado</x:v>
      </x:c>
      <x:c r="N402" s="84"/>
      <x:c r="O402" s="84" t="n">
        <x:v>0</x:v>
      </x:c>
      <x:c r="P402" s="93" t="n">
        <x:v>571.23</x:v>
      </x:c>
      <x:c r="Q402" s="93" t="n">
        <x:v>6172.99</x:v>
      </x:c>
      <x:c r="R402" s="91" t="n">
        <x:v>0</x:v>
      </x:c>
    </x:row>
    <x:row r="403">
      <x:c r="A403" s="83" t="n">
        <x:v>402</x:v>
      </x:c>
      <x:c r="B403" s="84" t="str">
        <x:v>OS-2024-00402</x:v>
      </x:c>
      <x:c r="C403" s="84" t="n">
        <x:v>87</x:v>
      </x:c>
      <x:c r="D403" s="84" t="n">
        <x:v>1</x:v>
      </x:c>
      <x:c r="E403" s="84" t="n">
        <x:v>173</x:v>
      </x:c>
      <x:c r="F403" s="89" t="n">
        <x:v>45402.60356481482</x:v>
      </x:c>
      <x:c r="G403" s="89" t="n">
        <x:v>45413.60356481482</x:v>
      </x:c>
      <x:c r="H403" s="89" t="n">
        <x:v>45403.22856481482</x:v>
      </x:c>
      <x:c r="I403" s="89"/>
      <x:c r="J403" s="84" t="str">
        <x:v>Média</x:v>
      </x:c>
      <x:c r="K403" s="84" t="str">
        <x:v>Em execução</x:v>
      </x:c>
      <x:c r="L403" s="84" t="str">
        <x:v>Desalinhamento</x:v>
      </x:c>
      <x:c r="M403" s="84" t="str">
        <x:v>Conexão frouxa</x:v>
      </x:c>
      <x:c r="N403" s="84"/>
      <x:c r="O403" s="84" t="n">
        <x:v>0</x:v>
      </x:c>
      <x:c r="P403" s="93" t="n">
        <x:v>477.51</x:v>
      </x:c>
      <x:c r="Q403" s="93" t="n">
        <x:v>5711.11</x:v>
      </x:c>
      <x:c r="R403" s="91" t="n">
        <x:v>0</x:v>
      </x:c>
    </x:row>
    <x:row r="404">
      <x:c r="A404" s="83" t="n">
        <x:v>403</x:v>
      </x:c>
      <x:c r="B404" s="84" t="str">
        <x:v>OS-2023-00403</x:v>
      </x:c>
      <x:c r="C404" s="84" t="n">
        <x:v>85</x:v>
      </x:c>
      <x:c r="D404" s="84" t="n">
        <x:v>1</x:v>
      </x:c>
      <x:c r="E404" s="84" t="n">
        <x:v>169</x:v>
      </x:c>
      <x:c r="F404" s="89" t="n">
        <x:v>44993.23023148148</x:v>
      </x:c>
      <x:c r="G404" s="89" t="n">
        <x:v>44997.23023148148</x:v>
      </x:c>
      <x:c r="H404" s="89" t="n">
        <x:v>44993.438564814816</x:v>
      </x:c>
      <x:c r="I404" s="89" t="n">
        <x:v>44993.938564814816</x:v>
      </x:c>
      <x:c r="J404" s="84" t="str">
        <x:v>Média</x:v>
      </x:c>
      <x:c r="K404" s="84" t="str">
        <x:v>Encerrada</x:v>
      </x:c>
      <x:c r="L404" s="84" t="str">
        <x:v>Superaquecimento</x:v>
      </x:c>
      <x:c r="M404" s="84" t="str">
        <x:v>Conexão frouxa</x:v>
      </x:c>
      <x:c r="N404" s="84" t="str">
        <x:v>Componente ajustado ou substituído</x:v>
      </x:c>
      <x:c r="O404" s="84" t="n">
        <x:v>0</x:v>
      </x:c>
      <x:c r="P404" s="93" t="n">
        <x:v>443.6</x:v>
      </x:c>
      <x:c r="Q404" s="93" t="n">
        <x:v>11935.16</x:v>
      </x:c>
      <x:c r="R404" s="91" t="n">
        <x:v>0</x:v>
      </x:c>
    </x:row>
    <x:row r="405">
      <x:c r="A405" s="83" t="n">
        <x:v>404</x:v>
      </x:c>
      <x:c r="B405" s="84" t="str">
        <x:v>OS-2024-00404</x:v>
      </x:c>
      <x:c r="C405" s="84" t="n">
        <x:v>66</x:v>
      </x:c>
      <x:c r="D405" s="84" t="n">
        <x:v>2</x:v>
      </x:c>
      <x:c r="E405" s="84"/>
      <x:c r="F405" s="89" t="n">
        <x:v>45526.3966087963</x:v>
      </x:c>
      <x:c r="G405" s="89" t="n">
        <x:v>45536.3966087963</x:v>
      </x:c>
      <x:c r="H405" s="89" t="n">
        <x:v>45526.5216087963</x:v>
      </x:c>
      <x:c r="I405" s="89" t="n">
        <x:v>45526.56327546296</x:v>
      </x:c>
      <x:c r="J405" s="84" t="str">
        <x:v>Média</x:v>
      </x:c>
      <x:c r="K405" s="84" t="str">
        <x:v>Encerrada</x:v>
      </x:c>
      <x:c r="L405" s="84" t="str">
        <x:v>Falha elétrica</x:v>
      </x:c>
      <x:c r="M405" s="84" t="str">
        <x:v>Componente danificado</x:v>
      </x:c>
      <x:c r="N405" s="84" t="str">
        <x:v>Componente ajustado ou substituído</x:v>
      </x:c>
      <x:c r="O405" s="84" t="n">
        <x:v>0</x:v>
      </x:c>
      <x:c r="P405" s="93" t="n">
        <x:v>235.71</x:v>
      </x:c>
      <x:c r="Q405" s="93" t="n">
        <x:v>5299.35</x:v>
      </x:c>
      <x:c r="R405" s="91" t="n">
        <x:v>0</x:v>
      </x:c>
    </x:row>
    <x:row r="406">
      <x:c r="A406" s="83" t="n">
        <x:v>405</x:v>
      </x:c>
      <x:c r="B406" s="84" t="str">
        <x:v>OS-2023-00405</x:v>
      </x:c>
      <x:c r="C406" s="84" t="n">
        <x:v>7</x:v>
      </x:c>
      <x:c r="D406" s="84" t="n">
        <x:v>2</x:v>
      </x:c>
      <x:c r="E406" s="84"/>
      <x:c r="F406" s="89" t="n">
        <x:v>45149.712326388886</x:v>
      </x:c>
      <x:c r="G406" s="89" t="n">
        <x:v>45164.712326388886</x:v>
      </x:c>
      <x:c r="H406" s="89"/>
      <x:c r="I406" s="89"/>
      <x:c r="J406" s="84" t="str">
        <x:v>Média</x:v>
      </x:c>
      <x:c r="K406" s="84" t="str">
        <x:v>Cancelada</x:v>
      </x:c>
      <x:c r="L406" s="84" t="str">
        <x:v>Alarme intermitente</x:v>
      </x:c>
      <x:c r="M406" s="84"/>
      <x:c r="N406" s="84"/>
      <x:c r="O406" s="84" t="n">
        <x:v>0</x:v>
      </x:c>
      <x:c r="P406" s="93" t="n">
        <x:v>0</x:v>
      </x:c>
      <x:c r="Q406" s="93" t="n">
        <x:v>0</x:v>
      </x:c>
      <x:c r="R406" s="91" t="n">
        <x:v>0</x:v>
      </x:c>
    </x:row>
    <x:row r="407">
      <x:c r="A407" s="83" t="n">
        <x:v>406</x:v>
      </x:c>
      <x:c r="B407" s="84" t="str">
        <x:v>OS-2023-00406</x:v>
      </x:c>
      <x:c r="C407" s="84" t="n">
        <x:v>1</x:v>
      </x:c>
      <x:c r="D407" s="84" t="n">
        <x:v>1</x:v>
      </x:c>
      <x:c r="E407" s="84" t="n">
        <x:v>2</x:v>
      </x:c>
      <x:c r="F407" s="89" t="n">
        <x:v>45198.623090277775</x:v>
      </x:c>
      <x:c r="G407" s="89" t="n">
        <x:v>45201.623090277775</x:v>
      </x:c>
      <x:c r="H407" s="89"/>
      <x:c r="I407" s="89"/>
      <x:c r="J407" s="84" t="str">
        <x:v>Crítica</x:v>
      </x:c>
      <x:c r="K407" s="84" t="str">
        <x:v>Cancelada</x:v>
      </x:c>
      <x:c r="L407" s="84" t="str">
        <x:v>Falha elétrica</x:v>
      </x:c>
      <x:c r="M407" s="84"/>
      <x:c r="N407" s="84"/>
      <x:c r="O407" s="84" t="n">
        <x:v>1</x:v>
      </x:c>
      <x:c r="P407" s="93" t="n">
        <x:v>0</x:v>
      </x:c>
      <x:c r="Q407" s="93" t="n">
        <x:v>0</x:v>
      </x:c>
      <x:c r="R407" s="91" t="n">
        <x:v>0</x:v>
      </x:c>
    </x:row>
    <x:row r="408">
      <x:c r="A408" s="83" t="n">
        <x:v>407</x:v>
      </x:c>
      <x:c r="B408" s="84" t="str">
        <x:v>OS-2023-00407</x:v>
      </x:c>
      <x:c r="C408" s="84" t="n">
        <x:v>75</x:v>
      </x:c>
      <x:c r="D408" s="84" t="n">
        <x:v>6</x:v>
      </x:c>
      <x:c r="E408" s="84"/>
      <x:c r="F408" s="89" t="n">
        <x:v>44976.842835648145</x:v>
      </x:c>
      <x:c r="G408" s="89" t="n">
        <x:v>44976.842835648145</x:v>
      </x:c>
      <x:c r="H408" s="89" t="n">
        <x:v>44977.55116898148</x:v>
      </x:c>
      <x:c r="I408" s="89" t="n">
        <x:v>44978.25950231482</x:v>
      </x:c>
      <x:c r="J408" s="84" t="str">
        <x:v>Baixa</x:v>
      </x:c>
      <x:c r="K408" s="84" t="str">
        <x:v>Encerrada</x:v>
      </x:c>
      <x:c r="L408" s="84" t="str">
        <x:v>Superaquecimento</x:v>
      </x:c>
      <x:c r="M408" s="84" t="str">
        <x:v>Desgaste natural</x:v>
      </x:c>
      <x:c r="N408" s="84" t="str">
        <x:v>Componente ajustado ou substituído</x:v>
      </x:c>
      <x:c r="O408" s="84" t="n">
        <x:v>0</x:v>
      </x:c>
      <x:c r="P408" s="93" t="n">
        <x:v>265.14</x:v>
      </x:c>
      <x:c r="Q408" s="93" t="n">
        <x:v>0</x:v>
      </x:c>
      <x:c r="R408" s="91" t="n">
        <x:v>0</x:v>
      </x:c>
    </x:row>
    <x:row r="409">
      <x:c r="A409" s="83" t="n">
        <x:v>408</x:v>
      </x:c>
      <x:c r="B409" s="84" t="str">
        <x:v>OS-2024-00408</x:v>
      </x:c>
      <x:c r="C409" s="84" t="n">
        <x:v>29</x:v>
      </x:c>
      <x:c r="D409" s="84" t="n">
        <x:v>3</x:v>
      </x:c>
      <x:c r="E409" s="84"/>
      <x:c r="F409" s="89" t="n">
        <x:v>45636.67138888889</x:v>
      </x:c>
      <x:c r="G409" s="89"/>
      <x:c r="H409" s="89" t="n">
        <x:v>45638.67138888889</x:v>
      </x:c>
      <x:c r="I409" s="89" t="n">
        <x:v>45638.79638888889</x:v>
      </x:c>
      <x:c r="J409" s="84" t="str">
        <x:v>Alta</x:v>
      </x:c>
      <x:c r="K409" s="84" t="str">
        <x:v>Encerrada</x:v>
      </x:c>
      <x:c r="L409" s="84" t="str">
        <x:v>Baixa pressão</x:v>
      </x:c>
      <x:c r="M409" s="84" t="str">
        <x:v>Ajuste incorreto</x:v>
      </x:c>
      <x:c r="N409" s="84" t="str">
        <x:v>Componente ajustado ou substituído</x:v>
      </x:c>
      <x:c r="O409" s="84" t="n">
        <x:v>0</x:v>
      </x:c>
      <x:c r="P409" s="93" t="n">
        <x:v>847.35</x:v>
      </x:c>
      <x:c r="Q409" s="93" t="n">
        <x:v>0</x:v>
      </x:c>
      <x:c r="R409" s="91" t="n">
        <x:v>0</x:v>
      </x:c>
    </x:row>
    <x:row r="410">
      <x:c r="A410" s="83" t="n">
        <x:v>409</x:v>
      </x:c>
      <x:c r="B410" s="84" t="str">
        <x:v>OS-2025-00409</x:v>
      </x:c>
      <x:c r="C410" s="84" t="n">
        <x:v>19</x:v>
      </x:c>
      <x:c r="D410" s="84" t="n">
        <x:v>1</x:v>
      </x:c>
      <x:c r="E410" s="84" t="n">
        <x:v>38</x:v>
      </x:c>
      <x:c r="F410" s="89" t="n">
        <x:v>45772.33363425926</x:v>
      </x:c>
      <x:c r="G410" s="89" t="n">
        <x:v>45786.33363425926</x:v>
      </x:c>
      <x:c r="H410" s="89" t="n">
        <x:v>45773.20863425926</x:v>
      </x:c>
      <x:c r="I410" s="89" t="n">
        <x:v>45773.25030092592</x:v>
      </x:c>
      <x:c r="J410" s="84" t="str">
        <x:v>Crítica</x:v>
      </x:c>
      <x:c r="K410" s="84" t="str">
        <x:v>Encerrada</x:v>
      </x:c>
      <x:c r="L410" s="84" t="str">
        <x:v>Ruído anormal</x:v>
      </x:c>
      <x:c r="M410" s="84" t="str">
        <x:v>Contaminação</x:v>
      </x:c>
      <x:c r="N410" s="84" t="str">
        <x:v>Componente ajustado ou substituído</x:v>
      </x:c>
      <x:c r="O410" s="84" t="n">
        <x:v>1</x:v>
      </x:c>
      <x:c r="P410" s="93" t="n">
        <x:v>245.95</x:v>
      </x:c>
      <x:c r="Q410" s="93" t="n">
        <x:v>13814.53</x:v>
      </x:c>
      <x:c r="R410" s="91" t="n">
        <x:v>0</x:v>
      </x:c>
    </x:row>
    <x:row r="411">
      <x:c r="A411" s="83" t="n">
        <x:v>410</x:v>
      </x:c>
      <x:c r="B411" s="84" t="str">
        <x:v>OS-2025-00410</x:v>
      </x:c>
      <x:c r="C411" s="84" t="n">
        <x:v>34</x:v>
      </x:c>
      <x:c r="D411" s="84" t="n">
        <x:v>6</x:v>
      </x:c>
      <x:c r="E411" s="84"/>
      <x:c r="F411" s="89" t="n">
        <x:v>45935.618842592594</x:v>
      </x:c>
      <x:c r="G411" s="89" t="n">
        <x:v>45943.618842592594</x:v>
      </x:c>
      <x:c r="H411" s="89" t="n">
        <x:v>45938.53550925926</x:v>
      </x:c>
      <x:c r="I411" s="89"/>
      <x:c r="J411" s="84" t="str">
        <x:v>Alta</x:v>
      </x:c>
      <x:c r="K411" s="84" t="str">
        <x:v>Em execução</x:v>
      </x:c>
      <x:c r="L411" s="84" t="str">
        <x:v>Baixa pressão</x:v>
      </x:c>
      <x:c r="M411" s="84" t="str">
        <x:v>Desgaste natural</x:v>
      </x:c>
      <x:c r="N411" s="84"/>
      <x:c r="O411" s="84" t="n">
        <x:v>0</x:v>
      </x:c>
      <x:c r="P411" s="93" t="n">
        <x:v>293.64</x:v>
      </x:c>
      <x:c r="Q411" s="93" t="n">
        <x:v>0</x:v>
      </x:c>
      <x:c r="R411" s="91" t="n">
        <x:v>0</x:v>
      </x:c>
    </x:row>
    <x:row r="412">
      <x:c r="A412" s="83" t="n">
        <x:v>411</x:v>
      </x:c>
      <x:c r="B412" s="84" t="str">
        <x:v>OS-2024-00411</x:v>
      </x:c>
      <x:c r="C412" s="84" t="n">
        <x:v>84</x:v>
      </x:c>
      <x:c r="D412" s="84" t="n">
        <x:v>2</x:v>
      </x:c>
      <x:c r="E412" s="84"/>
      <x:c r="F412" s="89" t="n">
        <x:v>45463.5378125</x:v>
      </x:c>
      <x:c r="G412" s="89" t="n">
        <x:v>45469.5378125</x:v>
      </x:c>
      <x:c r="H412" s="89" t="n">
        <x:v>45466.20447916666</x:v>
      </x:c>
      <x:c r="I412" s="89" t="n">
        <x:v>45466.621145833335</x:v>
      </x:c>
      <x:c r="J412" s="84" t="str">
        <x:v>Média</x:v>
      </x:c>
      <x:c r="K412" s="84" t="str">
        <x:v>Encerrada</x:v>
      </x:c>
      <x:c r="L412" s="84" t="str">
        <x:v>Ruído anormal</x:v>
      </x:c>
      <x:c r="M412" s="84" t="str">
        <x:v>Conexão frouxa</x:v>
      </x:c>
      <x:c r="N412" s="84" t="str">
        <x:v>Componente ajustado ou substituído</x:v>
      </x:c>
      <x:c r="O412" s="84" t="n">
        <x:v>0</x:v>
      </x:c>
      <x:c r="P412" s="93" t="n">
        <x:v>130.73</x:v>
      </x:c>
      <x:c r="Q412" s="93" t="n">
        <x:v>10411.42</x:v>
      </x:c>
      <x:c r="R412" s="91" t="n">
        <x:v>13274.56</x:v>
      </x:c>
    </x:row>
    <x:row r="413">
      <x:c r="A413" s="83" t="n">
        <x:v>412</x:v>
      </x:c>
      <x:c r="B413" s="84" t="str">
        <x:v>OS-2025-00412</x:v>
      </x:c>
      <x:c r="C413" s="84" t="n">
        <x:v>90</x:v>
      </x:c>
      <x:c r="D413" s="84" t="n">
        <x:v>1</x:v>
      </x:c>
      <x:c r="E413" s="84" t="n">
        <x:v>180</x:v>
      </x:c>
      <x:c r="F413" s="89" t="n">
        <x:v>45827.63730324074</x:v>
      </x:c>
      <x:c r="G413" s="89" t="n">
        <x:v>45836.63730324074</x:v>
      </x:c>
      <x:c r="H413" s="89" t="n">
        <x:v>45829.09563657407</x:v>
      </x:c>
      <x:c r="I413" s="89" t="n">
        <x:v>45829.80396990741</x:v>
      </x:c>
      <x:c r="J413" s="84" t="str">
        <x:v>Alta</x:v>
      </x:c>
      <x:c r="K413" s="84" t="str">
        <x:v>Encerrada</x:v>
      </x:c>
      <x:c r="L413" s="84" t="str">
        <x:v>Ruído anormal</x:v>
      </x:c>
      <x:c r="M413" s="84" t="str">
        <x:v>Contaminação</x:v>
      </x:c>
      <x:c r="N413" s="84" t="str">
        <x:v>Componente ajustado ou substituído</x:v>
      </x:c>
      <x:c r="O413" s="84" t="n">
        <x:v>0</x:v>
      </x:c>
      <x:c r="P413" s="93" t="n">
        <x:v>425</x:v>
      </x:c>
      <x:c r="Q413" s="93" t="n">
        <x:v>8625.07</x:v>
      </x:c>
      <x:c r="R413" s="91" t="n">
        <x:v>0</x:v>
      </x:c>
    </x:row>
    <x:row r="414">
      <x:c r="A414" s="83" t="n">
        <x:v>413</x:v>
      </x:c>
      <x:c r="B414" s="84" t="str">
        <x:v>OS-2025-00413</x:v>
      </x:c>
      <x:c r="C414" s="84" t="n">
        <x:v>10</x:v>
      </x:c>
      <x:c r="D414" s="84" t="n">
        <x:v>8</x:v>
      </x:c>
      <x:c r="E414" s="84"/>
      <x:c r="F414" s="89" t="n">
        <x:v>45707.891539351855</x:v>
      </x:c>
      <x:c r="G414" s="89" t="n">
        <x:v>45711.891539351855</x:v>
      </x:c>
      <x:c r="H414" s="89" t="n">
        <x:v>45708.641539351855</x:v>
      </x:c>
      <x:c r="I414" s="89" t="n">
        <x:v>45709.30820601852</x:v>
      </x:c>
      <x:c r="J414" s="84" t="str">
        <x:v>Média</x:v>
      </x:c>
      <x:c r="K414" s="84" t="str">
        <x:v>Concluída</x:v>
      </x:c>
      <x:c r="L414" s="84" t="str">
        <x:v>Superaquecimento</x:v>
      </x:c>
      <x:c r="M414" s="84" t="str">
        <x:v>Falta de lubrificação</x:v>
      </x:c>
      <x:c r="N414" s="84" t="str">
        <x:v>Componente ajustado ou substituído</x:v>
      </x:c>
      <x:c r="O414" s="84" t="n">
        <x:v>0</x:v>
      </x:c>
      <x:c r="P414" s="93" t="n">
        <x:v>163.3</x:v>
      </x:c>
      <x:c r="Q414" s="93" t="n">
        <x:v>6384.84</x:v>
      </x:c>
      <x:c r="R414" s="91" t="n">
        <x:v>0</x:v>
      </x:c>
    </x:row>
    <x:row r="415">
      <x:c r="A415" s="83" t="n">
        <x:v>414</x:v>
      </x:c>
      <x:c r="B415" s="84" t="str">
        <x:v>OS-2024-00414</x:v>
      </x:c>
      <x:c r="C415" s="84" t="n">
        <x:v>5</x:v>
      </x:c>
      <x:c r="D415" s="84" t="n">
        <x:v>1</x:v>
      </x:c>
      <x:c r="E415" s="84" t="n">
        <x:v>9</x:v>
      </x:c>
      <x:c r="F415" s="89" t="n">
        <x:v>45409.41815972222</x:v>
      </x:c>
      <x:c r="G415" s="89" t="n">
        <x:v>45417.41815972222</x:v>
      </x:c>
      <x:c r="H415" s="89" t="n">
        <x:v>45411.04315972222</x:v>
      </x:c>
      <x:c r="I415" s="89" t="n">
        <x:v>45411.16815972222</x:v>
      </x:c>
      <x:c r="J415" s="84" t="str">
        <x:v>Crítica</x:v>
      </x:c>
      <x:c r="K415" s="84" t="str">
        <x:v>Encerrada</x:v>
      </x:c>
      <x:c r="L415" s="84" t="str">
        <x:v>Falha elétrica</x:v>
      </x:c>
      <x:c r="M415" s="84" t="str">
        <x:v>Componente danificado</x:v>
      </x:c>
      <x:c r="N415" s="84" t="str">
        <x:v>Componente ajustado ou substituído</x:v>
      </x:c>
      <x:c r="O415" s="84" t="n">
        <x:v>0</x:v>
      </x:c>
      <x:c r="P415" s="93" t="n">
        <x:v>704.93</x:v>
      </x:c>
      <x:c r="Q415" s="93" t="n">
        <x:v>2982.93</x:v>
      </x:c>
      <x:c r="R415" s="91" t="n">
        <x:v>0</x:v>
      </x:c>
    </x:row>
    <x:row r="416">
      <x:c r="A416" s="83" t="n">
        <x:v>415</x:v>
      </x:c>
      <x:c r="B416" s="84" t="str">
        <x:v>OS-2025-00415</x:v>
      </x:c>
      <x:c r="C416" s="84" t="n">
        <x:v>12</x:v>
      </x:c>
      <x:c r="D416" s="84" t="n">
        <x:v>1</x:v>
      </x:c>
      <x:c r="E416" s="84" t="n">
        <x:v>23</x:v>
      </x:c>
      <x:c r="F416" s="89" t="n">
        <x:v>45888.95991898148</x:v>
      </x:c>
      <x:c r="G416" s="89" t="n">
        <x:v>45903.95991898148</x:v>
      </x:c>
      <x:c r="H416" s="89" t="n">
        <x:v>45889.45991898148</x:v>
      </x:c>
      <x:c r="I416" s="89" t="n">
        <x:v>45890.20991898148</x:v>
      </x:c>
      <x:c r="J416" s="84" t="str">
        <x:v>Média</x:v>
      </x:c>
      <x:c r="K416" s="84" t="str">
        <x:v>Encerrada</x:v>
      </x:c>
      <x:c r="L416" s="84" t="str">
        <x:v>Desalinhamento</x:v>
      </x:c>
      <x:c r="M416" s="84" t="str">
        <x:v>Componente danificado</x:v>
      </x:c>
      <x:c r="N416" s="84" t="str">
        <x:v>Componente ajustado ou substituído</x:v>
      </x:c>
      <x:c r="O416" s="84" t="n">
        <x:v>0</x:v>
      </x:c>
      <x:c r="P416" s="93" t="n">
        <x:v>328.96</x:v>
      </x:c>
      <x:c r="Q416" s="93" t="n">
        <x:v>1803.32</x:v>
      </x:c>
      <x:c r="R416" s="91" t="n">
        <x:v>0</x:v>
      </x:c>
    </x:row>
    <x:row r="417">
      <x:c r="A417" s="83" t="n">
        <x:v>416</x:v>
      </x:c>
      <x:c r="B417" s="84" t="str">
        <x:v>OS-2025-00416</x:v>
      </x:c>
      <x:c r="C417" s="84" t="n">
        <x:v>77</x:v>
      </x:c>
      <x:c r="D417" s="84" t="n">
        <x:v>1</x:v>
      </x:c>
      <x:c r="E417" s="84" t="n">
        <x:v>153</x:v>
      </x:c>
      <x:c r="F417" s="89" t="n">
        <x:v>45768.716516203705</x:v>
      </x:c>
      <x:c r="G417" s="89" t="n">
        <x:v>45778.716516203705</x:v>
      </x:c>
      <x:c r="H417" s="89" t="n">
        <x:v>45770.13318287037</x:v>
      </x:c>
      <x:c r="I417" s="89"/>
      <x:c r="J417" s="84" t="str">
        <x:v>Baixa</x:v>
      </x:c>
      <x:c r="K417" s="84" t="str">
        <x:v>Aguardando peça</x:v>
      </x:c>
      <x:c r="L417" s="84" t="str">
        <x:v>Baixa pressão</x:v>
      </x:c>
      <x:c r="M417" s="84" t="str">
        <x:v>Contaminação</x:v>
      </x:c>
      <x:c r="N417" s="84"/>
      <x:c r="O417" s="84" t="n">
        <x:v>0</x:v>
      </x:c>
      <x:c r="P417" s="93" t="n">
        <x:v>490.12</x:v>
      </x:c>
      <x:c r="Q417" s="93" t="n">
        <x:v>9698.74</x:v>
      </x:c>
      <x:c r="R417" s="91" t="n">
        <x:v>0</x:v>
      </x:c>
    </x:row>
    <x:row r="418">
      <x:c r="A418" s="83" t="n">
        <x:v>417</x:v>
      </x:c>
      <x:c r="B418" s="84" t="str">
        <x:v>OS-2023-00417</x:v>
      </x:c>
      <x:c r="C418" s="84" t="n">
        <x:v>62</x:v>
      </x:c>
      <x:c r="D418" s="84" t="n">
        <x:v>1</x:v>
      </x:c>
      <x:c r="E418" s="84" t="n">
        <x:v>123</x:v>
      </x:c>
      <x:c r="F418" s="89" t="n">
        <x:v>45185.90251157407</x:v>
      </x:c>
      <x:c r="G418" s="89" t="n">
        <x:v>45185.90251157407</x:v>
      </x:c>
      <x:c r="H418" s="89" t="n">
        <x:v>45186.86084490741</x:v>
      </x:c>
      <x:c r="I418" s="89" t="n">
        <x:v>45187.27751157407</x:v>
      </x:c>
      <x:c r="J418" s="84" t="str">
        <x:v>Alta</x:v>
      </x:c>
      <x:c r="K418" s="84" t="str">
        <x:v>Encerrada</x:v>
      </x:c>
      <x:c r="L418" s="84" t="str">
        <x:v>Vazamento</x:v>
      </x:c>
      <x:c r="M418" s="84" t="str">
        <x:v>Desgaste natural</x:v>
      </x:c>
      <x:c r="N418" s="84" t="str">
        <x:v>Componente ajustado ou substituído</x:v>
      </x:c>
      <x:c r="O418" s="84" t="n">
        <x:v>0</x:v>
      </x:c>
      <x:c r="P418" s="93" t="n">
        <x:v>87.53</x:v>
      </x:c>
      <x:c r="Q418" s="93" t="n">
        <x:v>13322.24</x:v>
      </x:c>
      <x:c r="R418" s="91" t="n">
        <x:v>0</x:v>
      </x:c>
    </x:row>
    <x:row r="419">
      <x:c r="A419" s="83" t="n">
        <x:v>418</x:v>
      </x:c>
      <x:c r="B419" s="84" t="str">
        <x:v>OS-2025-00418</x:v>
      </x:c>
      <x:c r="C419" s="84" t="n">
        <x:v>45</x:v>
      </x:c>
      <x:c r="D419" s="84" t="n">
        <x:v>4</x:v>
      </x:c>
      <x:c r="E419" s="84"/>
      <x:c r="F419" s="89" t="n">
        <x:v>45984.660775462966</x:v>
      </x:c>
      <x:c r="G419" s="89" t="n">
        <x:v>45986.660775462966</x:v>
      </x:c>
      <x:c r="H419" s="89" t="n">
        <x:v>45984.869108796294</x:v>
      </x:c>
      <x:c r="I419" s="89" t="n">
        <x:v>45985.035775462966</x:v>
      </x:c>
      <x:c r="J419" s="84" t="str">
        <x:v>Baixa</x:v>
      </x:c>
      <x:c r="K419" s="84" t="str">
        <x:v>Encerrada</x:v>
      </x:c>
      <x:c r="L419" s="84" t="str">
        <x:v>Vazamento</x:v>
      </x:c>
      <x:c r="M419" s="84" t="str">
        <x:v>Ajuste incorreto</x:v>
      </x:c>
      <x:c r="N419" s="84" t="str">
        <x:v>Componente ajustado ou substituído</x:v>
      </x:c>
      <x:c r="O419" s="84" t="n">
        <x:v>0</x:v>
      </x:c>
      <x:c r="P419" s="93" t="n">
        <x:v>417.85</x:v>
      </x:c>
      <x:c r="Q419" s="93" t="n">
        <x:v>5861.68</x:v>
      </x:c>
      <x:c r="R419" s="91" t="n">
        <x:v>0</x:v>
      </x:c>
    </x:row>
    <x:row r="420">
      <x:c r="A420" s="83" t="n">
        <x:v>419</x:v>
      </x:c>
      <x:c r="B420" s="84" t="str">
        <x:v>OS-2025-00419</x:v>
      </x:c>
      <x:c r="C420" s="84" t="n">
        <x:v>67</x:v>
      </x:c>
      <x:c r="D420" s="84" t="n">
        <x:v>5</x:v>
      </x:c>
      <x:c r="E420" s="84" t="n">
        <x:v>134</x:v>
      </x:c>
      <x:c r="F420" s="89" t="n">
        <x:v>45980.99787037037</x:v>
      </x:c>
      <x:c r="G420" s="89" t="n">
        <x:v>45987.99787037037</x:v>
      </x:c>
      <x:c r="H420" s="89" t="n">
        <x:v>45981.7062037037</x:v>
      </x:c>
      <x:c r="I420" s="89" t="n">
        <x:v>45982.2062037037</x:v>
      </x:c>
      <x:c r="J420" s="84" t="str">
        <x:v>Baixa</x:v>
      </x:c>
      <x:c r="K420" s="84" t="str">
        <x:v>Concluída</x:v>
      </x:c>
      <x:c r="L420" s="84" t="str">
        <x:v>Superaquecimento</x:v>
      </x:c>
      <x:c r="M420" s="84" t="str">
        <x:v>Componente danificado</x:v>
      </x:c>
      <x:c r="N420" s="84" t="str">
        <x:v>Componente ajustado ou substituído</x:v>
      </x:c>
      <x:c r="O420" s="84" t="n">
        <x:v>0</x:v>
      </x:c>
      <x:c r="P420" s="93" t="n">
        <x:v>573.81</x:v>
      </x:c>
      <x:c r="Q420" s="93" t="n">
        <x:v>9288.04</x:v>
      </x:c>
      <x:c r="R420" s="91" t="n">
        <x:v>0</x:v>
      </x:c>
    </x:row>
    <x:row r="421">
      <x:c r="A421" s="83" t="n">
        <x:v>420</x:v>
      </x:c>
      <x:c r="B421" s="84" t="str">
        <x:v>OS-2023-00420</x:v>
      </x:c>
      <x:c r="C421" s="84" t="n">
        <x:v>8</x:v>
      </x:c>
      <x:c r="D421" s="84" t="n">
        <x:v>2</x:v>
      </x:c>
      <x:c r="E421" s="84"/>
      <x:c r="F421" s="89" t="n">
        <x:v>45009.89225694445</x:v>
      </x:c>
      <x:c r="G421" s="89" t="n">
        <x:v>45015.89225694445</x:v>
      </x:c>
      <x:c r="H421" s="89" t="n">
        <x:v>45012.89225694445</x:v>
      </x:c>
      <x:c r="I421" s="89" t="n">
        <x:v>45013.51725694445</x:v>
      </x:c>
      <x:c r="J421" s="84" t="str">
        <x:v>Baixa</x:v>
      </x:c>
      <x:c r="K421" s="84" t="str">
        <x:v>Encerrada</x:v>
      </x:c>
      <x:c r="L421" s="84" t="str">
        <x:v>Alarme intermitente</x:v>
      </x:c>
      <x:c r="M421" s="84" t="str">
        <x:v>Conexão frouxa</x:v>
      </x:c>
      <x:c r="N421" s="84" t="str">
        <x:v>Componente ajustado ou substituído</x:v>
      </x:c>
      <x:c r="O421" s="84" t="n">
        <x:v>0</x:v>
      </x:c>
      <x:c r="P421" s="93" t="n">
        <x:v>227.7</x:v>
      </x:c>
      <x:c r="Q421" s="93" t="n">
        <x:v>1934.19</x:v>
      </x:c>
      <x:c r="R421" s="91" t="n">
        <x:v>0</x:v>
      </x:c>
    </x:row>
    <x:row r="422">
      <x:c r="A422" s="83" t="n">
        <x:v>421</x:v>
      </x:c>
      <x:c r="B422" s="84" t="str">
        <x:v>OS-2025-00421</x:v>
      </x:c>
      <x:c r="C422" s="84" t="n">
        <x:v>50</x:v>
      </x:c>
      <x:c r="D422" s="84" t="n">
        <x:v>5</x:v>
      </x:c>
      <x:c r="E422" s="84" t="n">
        <x:v>99</x:v>
      </x:c>
      <x:c r="F422" s="89" t="n">
        <x:v>45740.860289351855</x:v>
      </x:c>
      <x:c r="G422" s="89" t="n">
        <x:v>45747.860289351855</x:v>
      </x:c>
      <x:c r="H422" s="89"/>
      <x:c r="I422" s="89"/>
      <x:c r="J422" s="84" t="str">
        <x:v>Baixa</x:v>
      </x:c>
      <x:c r="K422" s="84" t="str">
        <x:v>Planejada</x:v>
      </x:c>
      <x:c r="L422" s="84" t="str">
        <x:v>Vazamento</x:v>
      </x:c>
      <x:c r="M422" s="84"/>
      <x:c r="N422" s="84"/>
      <x:c r="O422" s="84" t="n">
        <x:v>0</x:v>
      </x:c>
      <x:c r="P422" s="93" t="n">
        <x:v>0</x:v>
      </x:c>
      <x:c r="Q422" s="93" t="n">
        <x:v>0</x:v>
      </x:c>
      <x:c r="R422" s="91" t="n">
        <x:v>0</x:v>
      </x:c>
    </x:row>
    <x:row r="423">
      <x:c r="A423" s="83" t="n">
        <x:v>422</x:v>
      </x:c>
      <x:c r="B423" s="84" t="str">
        <x:v>OS-2024-00422</x:v>
      </x:c>
      <x:c r="C423" s="84" t="n">
        <x:v>54</x:v>
      </x:c>
      <x:c r="D423" s="84" t="n">
        <x:v>1</x:v>
      </x:c>
      <x:c r="E423" s="84" t="n">
        <x:v>107</x:v>
      </x:c>
      <x:c r="F423" s="89" t="n">
        <x:v>45637.76111111111</x:v>
      </x:c>
      <x:c r="G423" s="89" t="n">
        <x:v>45644.76111111111</x:v>
      </x:c>
      <x:c r="H423" s="89" t="n">
        <x:v>45638.052777777775</x:v>
      </x:c>
      <x:c r="I423" s="89" t="n">
        <x:v>45638.677777777775</x:v>
      </x:c>
      <x:c r="J423" s="84" t="str">
        <x:v>Alta</x:v>
      </x:c>
      <x:c r="K423" s="84" t="str">
        <x:v>Encerrada</x:v>
      </x:c>
      <x:c r="L423" s="84" t="str">
        <x:v>Vazamento</x:v>
      </x:c>
      <x:c r="M423" s="84" t="str">
        <x:v>Falta de lubrificação</x:v>
      </x:c>
      <x:c r="N423" s="84" t="str">
        <x:v>Componente ajustado ou substituído</x:v>
      </x:c>
      <x:c r="O423" s="84" t="n">
        <x:v>0</x:v>
      </x:c>
      <x:c r="P423" s="93" t="n">
        <x:v>440.84</x:v>
      </x:c>
      <x:c r="Q423" s="93" t="n">
        <x:v>8108</x:v>
      </x:c>
      <x:c r="R423" s="91" t="n">
        <x:v>0</x:v>
      </x:c>
    </x:row>
    <x:row r="424">
      <x:c r="A424" s="83" t="n">
        <x:v>423</x:v>
      </x:c>
      <x:c r="B424" s="84" t="str">
        <x:v>OS-2025-00423</x:v>
      </x:c>
      <x:c r="C424" s="84" t="n">
        <x:v>26</x:v>
      </x:c>
      <x:c r="D424" s="84" t="n">
        <x:v>1</x:v>
      </x:c>
      <x:c r="E424" s="84" t="n">
        <x:v>51</x:v>
      </x:c>
      <x:c r="F424" s="89" t="n">
        <x:v>46013.170648148145</x:v>
      </x:c>
      <x:c r="G424" s="89" t="n">
        <x:v>46027.170648148145</x:v>
      </x:c>
      <x:c r="H424" s="89"/>
      <x:c r="I424" s="89"/>
      <x:c r="J424" s="84" t="str">
        <x:v>Crítica</x:v>
      </x:c>
      <x:c r="K424" s="84" t="str">
        <x:v>Planejada</x:v>
      </x:c>
      <x:c r="L424" s="84" t="str">
        <x:v>Alarme intermitente</x:v>
      </x:c>
      <x:c r="M424" s="84"/>
      <x:c r="N424" s="84"/>
      <x:c r="O424" s="84" t="n">
        <x:v>0</x:v>
      </x:c>
      <x:c r="P424" s="93" t="n">
        <x:v>0</x:v>
      </x:c>
      <x:c r="Q424" s="93" t="n">
        <x:v>0</x:v>
      </x:c>
      <x:c r="R424" s="91" t="n">
        <x:v>0</x:v>
      </x:c>
    </x:row>
    <x:row r="425">
      <x:c r="A425" s="83" t="n">
        <x:v>424</x:v>
      </x:c>
      <x:c r="B425" s="84" t="str">
        <x:v>OS-2025-00424</x:v>
      </x:c>
      <x:c r="C425" s="84" t="n">
        <x:v>24</x:v>
      </x:c>
      <x:c r="D425" s="84" t="n">
        <x:v>1</x:v>
      </x:c>
      <x:c r="E425" s="84" t="n">
        <x:v>47</x:v>
      </x:c>
      <x:c r="F425" s="89" t="n">
        <x:v>45792.98434027778</x:v>
      </x:c>
      <x:c r="G425" s="89" t="n">
        <x:v>45798.98434027778</x:v>
      </x:c>
      <x:c r="H425" s="89"/>
      <x:c r="I425" s="89"/>
      <x:c r="J425" s="84" t="str">
        <x:v>Alta</x:v>
      </x:c>
      <x:c r="K425" s="84" t="str">
        <x:v>Planejada</x:v>
      </x:c>
      <x:c r="L425" s="84" t="str">
        <x:v>Falha elétrica</x:v>
      </x:c>
      <x:c r="M425" s="84"/>
      <x:c r="N425" s="84"/>
      <x:c r="O425" s="84" t="n">
        <x:v>0</x:v>
      </x:c>
      <x:c r="P425" s="93" t="n">
        <x:v>0</x:v>
      </x:c>
      <x:c r="Q425" s="93" t="n">
        <x:v>0</x:v>
      </x:c>
      <x:c r="R425" s="91" t="n">
        <x:v>0</x:v>
      </x:c>
    </x:row>
    <x:row r="426">
      <x:c r="A426" s="83" t="n">
        <x:v>425</x:v>
      </x:c>
      <x:c r="B426" s="84" t="str">
        <x:v>OS-2023-00425</x:v>
      </x:c>
      <x:c r="C426" s="84" t="n">
        <x:v>11</x:v>
      </x:c>
      <x:c r="D426" s="84" t="n">
        <x:v>3</x:v>
      </x:c>
      <x:c r="E426" s="84"/>
      <x:c r="F426" s="89" t="n">
        <x:v>45050.26152777778</x:v>
      </x:c>
      <x:c r="G426" s="89"/>
      <x:c r="H426" s="89" t="n">
        <x:v>45053.13652777778</x:v>
      </x:c>
      <x:c r="I426" s="89" t="n">
        <x:v>45053.428194444445</x:v>
      </x:c>
      <x:c r="J426" s="84" t="str">
        <x:v>Crítica</x:v>
      </x:c>
      <x:c r="K426" s="84" t="str">
        <x:v>Encerrada</x:v>
      </x:c>
      <x:c r="L426" s="84" t="str">
        <x:v>Desalinhamento</x:v>
      </x:c>
      <x:c r="M426" s="84" t="str">
        <x:v>Ajuste incorreto</x:v>
      </x:c>
      <x:c r="N426" s="84" t="str">
        <x:v>Componente ajustado ou substituído</x:v>
      </x:c>
      <x:c r="O426" s="84" t="n">
        <x:v>0</x:v>
      </x:c>
      <x:c r="P426" s="93" t="n">
        <x:v>708.79</x:v>
      </x:c>
      <x:c r="Q426" s="93" t="n">
        <x:v>3626.5</x:v>
      </x:c>
      <x:c r="R426" s="91" t="n">
        <x:v>1053.7</x:v>
      </x:c>
    </x:row>
    <x:row r="427">
      <x:c r="A427" s="83" t="n">
        <x:v>426</x:v>
      </x:c>
      <x:c r="B427" s="84" t="str">
        <x:v>OS-2023-00426</x:v>
      </x:c>
      <x:c r="C427" s="84" t="n">
        <x:v>20</x:v>
      </x:c>
      <x:c r="D427" s="84" t="n">
        <x:v>2</x:v>
      </x:c>
      <x:c r="E427" s="84"/>
      <x:c r="F427" s="89" t="n">
        <x:v>45222.46797453704</x:v>
      </x:c>
      <x:c r="G427" s="89" t="n">
        <x:v>45229.46797453704</x:v>
      </x:c>
      <x:c r="H427" s="89" t="n">
        <x:v>45224.7596412037</x:v>
      </x:c>
      <x:c r="I427" s="89" t="n">
        <x:v>45225.46797453704</x:v>
      </x:c>
      <x:c r="J427" s="84" t="str">
        <x:v>Alta</x:v>
      </x:c>
      <x:c r="K427" s="84" t="str">
        <x:v>Concluída</x:v>
      </x:c>
      <x:c r="L427" s="84" t="str">
        <x:v>Superaquecimento</x:v>
      </x:c>
      <x:c r="M427" s="84" t="str">
        <x:v>Conexão frouxa</x:v>
      </x:c>
      <x:c r="N427" s="84" t="str">
        <x:v>Componente ajustado ou substituído</x:v>
      </x:c>
      <x:c r="O427" s="84" t="n">
        <x:v>0</x:v>
      </x:c>
      <x:c r="P427" s="93" t="n">
        <x:v>785.39</x:v>
      </x:c>
      <x:c r="Q427" s="93" t="n">
        <x:v>12401.48</x:v>
      </x:c>
      <x:c r="R427" s="91" t="n">
        <x:v>0</x:v>
      </x:c>
    </x:row>
    <x:row r="428">
      <x:c r="A428" s="83" t="n">
        <x:v>427</x:v>
      </x:c>
      <x:c r="B428" s="84" t="str">
        <x:v>OS-2023-00427</x:v>
      </x:c>
      <x:c r="C428" s="84" t="n">
        <x:v>20</x:v>
      </x:c>
      <x:c r="D428" s="84" t="n">
        <x:v>1</x:v>
      </x:c>
      <x:c r="E428" s="84" t="n">
        <x:v>39</x:v>
      </x:c>
      <x:c r="F428" s="89" t="n">
        <x:v>45282.82430555556</x:v>
      </x:c>
      <x:c r="G428" s="89" t="n">
        <x:v>45289.82430555556</x:v>
      </x:c>
      <x:c r="H428" s="89" t="n">
        <x:v>45282.907638888886</x:v>
      </x:c>
      <x:c r="I428" s="89" t="n">
        <x:v>45283.657638888886</x:v>
      </x:c>
      <x:c r="J428" s="84" t="str">
        <x:v>Média</x:v>
      </x:c>
      <x:c r="K428" s="84" t="str">
        <x:v>Encerrada</x:v>
      </x:c>
      <x:c r="L428" s="84" t="str">
        <x:v>Superaquecimento</x:v>
      </x:c>
      <x:c r="M428" s="84" t="str">
        <x:v>Componente danificado</x:v>
      </x:c>
      <x:c r="N428" s="84" t="str">
        <x:v>Componente ajustado ou substituído</x:v>
      </x:c>
      <x:c r="O428" s="84" t="n">
        <x:v>0</x:v>
      </x:c>
      <x:c r="P428" s="93" t="n">
        <x:v>437.75</x:v>
      </x:c>
      <x:c r="Q428" s="93" t="n">
        <x:v>4602.35</x:v>
      </x:c>
      <x:c r="R428" s="91" t="n">
        <x:v>0</x:v>
      </x:c>
    </x:row>
    <x:row r="429">
      <x:c r="A429" s="83" t="n">
        <x:v>428</x:v>
      </x:c>
      <x:c r="B429" s="84" t="str">
        <x:v>OS-2024-00428</x:v>
      </x:c>
      <x:c r="C429" s="84" t="n">
        <x:v>64</x:v>
      </x:c>
      <x:c r="D429" s="84" t="n">
        <x:v>3</x:v>
      </x:c>
      <x:c r="E429" s="84"/>
      <x:c r="F429" s="89" t="n">
        <x:v>45622.94834490741</x:v>
      </x:c>
      <x:c r="G429" s="89"/>
      <x:c r="H429" s="89" t="n">
        <x:v>45624.90667824074</x:v>
      </x:c>
      <x:c r="I429" s="89" t="n">
        <x:v>45625.53167824074</x:v>
      </x:c>
      <x:c r="J429" s="84" t="str">
        <x:v>Crítica</x:v>
      </x:c>
      <x:c r="K429" s="84" t="str">
        <x:v>Concluída</x:v>
      </x:c>
      <x:c r="L429" s="84" t="str">
        <x:v>Desalinhamento</x:v>
      </x:c>
      <x:c r="M429" s="84" t="str">
        <x:v>Componente danificado</x:v>
      </x:c>
      <x:c r="N429" s="84" t="str">
        <x:v>Componente ajustado ou substituído</x:v>
      </x:c>
      <x:c r="O429" s="84" t="n">
        <x:v>0</x:v>
      </x:c>
      <x:c r="P429" s="93" t="n">
        <x:v>250.95</x:v>
      </x:c>
      <x:c r="Q429" s="93" t="n">
        <x:v>14162.89</x:v>
      </x:c>
      <x:c r="R429" s="91" t="n">
        <x:v>0</x:v>
      </x:c>
    </x:row>
    <x:row r="430">
      <x:c r="A430" s="83" t="n">
        <x:v>429</x:v>
      </x:c>
      <x:c r="B430" s="84" t="str">
        <x:v>OS-2025-00429</x:v>
      </x:c>
      <x:c r="C430" s="84" t="n">
        <x:v>55</x:v>
      </x:c>
      <x:c r="D430" s="84" t="n">
        <x:v>3</x:v>
      </x:c>
      <x:c r="E430" s="84"/>
      <x:c r="F430" s="89" t="n">
        <x:v>45816.0753125</x:v>
      </x:c>
      <x:c r="G430" s="89"/>
      <x:c r="H430" s="89" t="n">
        <x:v>45817.49197916667</x:v>
      </x:c>
      <x:c r="I430" s="89" t="n">
        <x:v>45817.8253125</x:v>
      </x:c>
      <x:c r="J430" s="84" t="str">
        <x:v>Crítica</x:v>
      </x:c>
      <x:c r="K430" s="84" t="str">
        <x:v>Encerrada</x:v>
      </x:c>
      <x:c r="L430" s="84" t="str">
        <x:v>Superaquecimento</x:v>
      </x:c>
      <x:c r="M430" s="84" t="str">
        <x:v>Desgaste natural</x:v>
      </x:c>
      <x:c r="N430" s="84" t="str">
        <x:v>Componente ajustado ou substituído</x:v>
      </x:c>
      <x:c r="O430" s="84" t="n">
        <x:v>0</x:v>
      </x:c>
      <x:c r="P430" s="93" t="n">
        <x:v>527.87</x:v>
      </x:c>
      <x:c r="Q430" s="93" t="n">
        <x:v>4649.57</x:v>
      </x:c>
      <x:c r="R430" s="91" t="n">
        <x:v>0</x:v>
      </x:c>
    </x:row>
    <x:row r="431">
      <x:c r="A431" s="83" t="n">
        <x:v>430</x:v>
      </x:c>
      <x:c r="B431" s="84" t="str">
        <x:v>OS-2023-00430</x:v>
      </x:c>
      <x:c r="C431" s="84" t="n">
        <x:v>70</x:v>
      </x:c>
      <x:c r="D431" s="84" t="n">
        <x:v>7</x:v>
      </x:c>
      <x:c r="E431" s="84" t="n">
        <x:v>140</x:v>
      </x:c>
      <x:c r="F431" s="89" t="n">
        <x:v>45143.6508912037</x:v>
      </x:c>
      <x:c r="G431" s="89" t="n">
        <x:v>45155.6508912037</x:v>
      </x:c>
      <x:c r="H431" s="89" t="n">
        <x:v>45146.4008912037</x:v>
      </x:c>
      <x:c r="I431" s="89"/>
      <x:c r="J431" s="84" t="str">
        <x:v>Baixa</x:v>
      </x:c>
      <x:c r="K431" s="84" t="str">
        <x:v>Aguardando peça</x:v>
      </x:c>
      <x:c r="L431" s="84" t="str">
        <x:v>Ruído anormal</x:v>
      </x:c>
      <x:c r="M431" s="84" t="str">
        <x:v>Componente danificado</x:v>
      </x:c>
      <x:c r="N431" s="84"/>
      <x:c r="O431" s="84" t="n">
        <x:v>0</x:v>
      </x:c>
      <x:c r="P431" s="93" t="n">
        <x:v>151.42</x:v>
      </x:c>
      <x:c r="Q431" s="93" t="n">
        <x:v>3506.1</x:v>
      </x:c>
      <x:c r="R431" s="91" t="n">
        <x:v>0</x:v>
      </x:c>
    </x:row>
    <x:row r="432">
      <x:c r="A432" s="83" t="n">
        <x:v>431</x:v>
      </x:c>
      <x:c r="B432" s="84" t="str">
        <x:v>OS-2024-00431</x:v>
      </x:c>
      <x:c r="C432" s="84" t="n">
        <x:v>16</x:v>
      </x:c>
      <x:c r="D432" s="84" t="n">
        <x:v>7</x:v>
      </x:c>
      <x:c r="E432" s="84" t="n">
        <x:v>32</x:v>
      </x:c>
      <x:c r="F432" s="89" t="n">
        <x:v>45569.93225694444</x:v>
      </x:c>
      <x:c r="G432" s="89" t="n">
        <x:v>45580.93225694444</x:v>
      </x:c>
      <x:c r="H432" s="89" t="n">
        <x:v>45572.55725694444</x:v>
      </x:c>
      <x:c r="I432" s="89" t="n">
        <x:v>45573.01559027778</x:v>
      </x:c>
      <x:c r="J432" s="84" t="str">
        <x:v>Alta</x:v>
      </x:c>
      <x:c r="K432" s="84" t="str">
        <x:v>Encerrada</x:v>
      </x:c>
      <x:c r="L432" s="84" t="str">
        <x:v>Baixa pressão</x:v>
      </x:c>
      <x:c r="M432" s="84" t="str">
        <x:v>Falta de lubrificação</x:v>
      </x:c>
      <x:c r="N432" s="84" t="str">
        <x:v>Componente ajustado ou substituído</x:v>
      </x:c>
      <x:c r="O432" s="84" t="n">
        <x:v>0</x:v>
      </x:c>
      <x:c r="P432" s="93" t="n">
        <x:v>227.55</x:v>
      </x:c>
      <x:c r="Q432" s="93" t="n">
        <x:v>6209.88</x:v>
      </x:c>
      <x:c r="R432" s="91" t="n">
        <x:v>0</x:v>
      </x:c>
    </x:row>
    <x:row r="433">
      <x:c r="A433" s="83" t="n">
        <x:v>432</x:v>
      </x:c>
      <x:c r="B433" s="84" t="str">
        <x:v>OS-2024-00432</x:v>
      </x:c>
      <x:c r="C433" s="84" t="n">
        <x:v>54</x:v>
      </x:c>
      <x:c r="D433" s="84" t="n">
        <x:v>1</x:v>
      </x:c>
      <x:c r="E433" s="84" t="n">
        <x:v>108</x:v>
      </x:c>
      <x:c r="F433" s="89" t="n">
        <x:v>45550.14408564815</x:v>
      </x:c>
      <x:c r="G433" s="89" t="n">
        <x:v>45551.14408564815</x:v>
      </x:c>
      <x:c r="H433" s="89"/>
      <x:c r="I433" s="89"/>
      <x:c r="J433" s="84" t="str">
        <x:v>Alta</x:v>
      </x:c>
      <x:c r="K433" s="84" t="str">
        <x:v>Planejada</x:v>
      </x:c>
      <x:c r="L433" s="84" t="str">
        <x:v>Ruído anormal</x:v>
      </x:c>
      <x:c r="M433" s="84"/>
      <x:c r="N433" s="84"/>
      <x:c r="O433" s="84" t="n">
        <x:v>0</x:v>
      </x:c>
      <x:c r="P433" s="93" t="n">
        <x:v>0</x:v>
      </x:c>
      <x:c r="Q433" s="93" t="n">
        <x:v>0</x:v>
      </x:c>
      <x:c r="R433" s="91" t="n">
        <x:v>0</x:v>
      </x:c>
    </x:row>
    <x:row r="434">
      <x:c r="A434" s="83" t="n">
        <x:v>433</x:v>
      </x:c>
      <x:c r="B434" s="84" t="str">
        <x:v>OS-2025-00433</x:v>
      </x:c>
      <x:c r="C434" s="84" t="n">
        <x:v>38</x:v>
      </x:c>
      <x:c r="D434" s="84" t="n">
        <x:v>1</x:v>
      </x:c>
      <x:c r="E434" s="84" t="n">
        <x:v>75</x:v>
      </x:c>
      <x:c r="F434" s="89" t="n">
        <x:v>45932.21822916667</x:v>
      </x:c>
      <x:c r="G434" s="89" t="n">
        <x:v>45946.21822916667</x:v>
      </x:c>
      <x:c r="H434" s="89" t="n">
        <x:v>45934.59322916667</x:v>
      </x:c>
      <x:c r="I434" s="89" t="n">
        <x:v>45935.1765625</x:v>
      </x:c>
      <x:c r="J434" s="84" t="str">
        <x:v>Crítica</x:v>
      </x:c>
      <x:c r="K434" s="84" t="str">
        <x:v>Encerrada</x:v>
      </x:c>
      <x:c r="L434" s="84" t="str">
        <x:v>Ruído anormal</x:v>
      </x:c>
      <x:c r="M434" s="84" t="str">
        <x:v>Contaminação</x:v>
      </x:c>
      <x:c r="N434" s="84" t="str">
        <x:v>Componente ajustado ou substituído</x:v>
      </x:c>
      <x:c r="O434" s="84" t="n">
        <x:v>0</x:v>
      </x:c>
      <x:c r="P434" s="93" t="n">
        <x:v>34.92</x:v>
      </x:c>
      <x:c r="Q434" s="93" t="n">
        <x:v>321.38</x:v>
      </x:c>
      <x:c r="R434" s="91" t="n">
        <x:v>0</x:v>
      </x:c>
    </x:row>
    <x:row r="435">
      <x:c r="A435" s="83" t="n">
        <x:v>434</x:v>
      </x:c>
      <x:c r="B435" s="84" t="str">
        <x:v>OS-2023-00434</x:v>
      </x:c>
      <x:c r="C435" s="84" t="n">
        <x:v>70</x:v>
      </x:c>
      <x:c r="D435" s="84" t="n">
        <x:v>1</x:v>
      </x:c>
      <x:c r="E435" s="84" t="n">
        <x:v>140</x:v>
      </x:c>
      <x:c r="F435" s="89" t="n">
        <x:v>45041.84533564815</x:v>
      </x:c>
      <x:c r="G435" s="89" t="n">
        <x:v>45054.84533564815</x:v>
      </x:c>
      <x:c r="H435" s="89" t="n">
        <x:v>45042.17866898148</x:v>
      </x:c>
      <x:c r="I435" s="89" t="n">
        <x:v>45042.97033564815</x:v>
      </x:c>
      <x:c r="J435" s="84" t="str">
        <x:v>Crítica</x:v>
      </x:c>
      <x:c r="K435" s="84" t="str">
        <x:v>Encerrada</x:v>
      </x:c>
      <x:c r="L435" s="84" t="str">
        <x:v>Baixa pressão</x:v>
      </x:c>
      <x:c r="M435" s="84" t="str">
        <x:v>Contaminação</x:v>
      </x:c>
      <x:c r="N435" s="84" t="str">
        <x:v>Componente ajustado ou substituído</x:v>
      </x:c>
      <x:c r="O435" s="84" t="n">
        <x:v>0</x:v>
      </x:c>
      <x:c r="P435" s="93" t="n">
        <x:v>306.02</x:v>
      </x:c>
      <x:c r="Q435" s="93" t="n">
        <x:v>0</x:v>
      </x:c>
      <x:c r="R435" s="91" t="n">
        <x:v>0</x:v>
      </x:c>
    </x:row>
    <x:row r="436">
      <x:c r="A436" s="83" t="n">
        <x:v>435</x:v>
      </x:c>
      <x:c r="B436" s="84" t="str">
        <x:v>OS-2025-00435</x:v>
      </x:c>
      <x:c r="C436" s="84" t="n">
        <x:v>36</x:v>
      </x:c>
      <x:c r="D436" s="84" t="n">
        <x:v>2</x:v>
      </x:c>
      <x:c r="E436" s="84"/>
      <x:c r="F436" s="89" t="n">
        <x:v>45948.53853009259</x:v>
      </x:c>
      <x:c r="G436" s="89" t="n">
        <x:v>45962.53853009259</x:v>
      </x:c>
      <x:c r="H436" s="89" t="n">
        <x:v>45948.91353009259</x:v>
      </x:c>
      <x:c r="I436" s="89" t="n">
        <x:v>45949.12186342593</x:v>
      </x:c>
      <x:c r="J436" s="84" t="str">
        <x:v>Alta</x:v>
      </x:c>
      <x:c r="K436" s="84" t="str">
        <x:v>Encerrada</x:v>
      </x:c>
      <x:c r="L436" s="84" t="str">
        <x:v>Baixa pressão</x:v>
      </x:c>
      <x:c r="M436" s="84" t="str">
        <x:v>Componente danificado</x:v>
      </x:c>
      <x:c r="N436" s="84" t="str">
        <x:v>Componente ajustado ou substituído</x:v>
      </x:c>
      <x:c r="O436" s="84" t="n">
        <x:v>0</x:v>
      </x:c>
      <x:c r="P436" s="93" t="n">
        <x:v>135.45</x:v>
      </x:c>
      <x:c r="Q436" s="93" t="n">
        <x:v>8236.42</x:v>
      </x:c>
      <x:c r="R436" s="91" t="n">
        <x:v>0</x:v>
      </x:c>
    </x:row>
    <x:row r="437">
      <x:c r="A437" s="83" t="n">
        <x:v>436</x:v>
      </x:c>
      <x:c r="B437" s="84" t="str">
        <x:v>OS-2024-00436</x:v>
      </x:c>
      <x:c r="C437" s="84" t="n">
        <x:v>55</x:v>
      </x:c>
      <x:c r="D437" s="84" t="n">
        <x:v>2</x:v>
      </x:c>
      <x:c r="E437" s="84"/>
      <x:c r="F437" s="89" t="n">
        <x:v>45370.4640162037</x:v>
      </x:c>
      <x:c r="G437" s="89" t="n">
        <x:v>45383.4640162037</x:v>
      </x:c>
      <x:c r="H437" s="89" t="n">
        <x:v>45373.25568287037</x:v>
      </x:c>
      <x:c r="I437" s="89" t="n">
        <x:v>45373.7140162037</x:v>
      </x:c>
      <x:c r="J437" s="84" t="str">
        <x:v>Baixa</x:v>
      </x:c>
      <x:c r="K437" s="84" t="str">
        <x:v>Encerrada</x:v>
      </x:c>
      <x:c r="L437" s="84" t="str">
        <x:v>Falha elétrica</x:v>
      </x:c>
      <x:c r="M437" s="84" t="str">
        <x:v>Ajuste incorreto</x:v>
      </x:c>
      <x:c r="N437" s="84" t="str">
        <x:v>Componente ajustado ou substituído</x:v>
      </x:c>
      <x:c r="O437" s="84" t="n">
        <x:v>0</x:v>
      </x:c>
      <x:c r="P437" s="93" t="n">
        <x:v>216.15</x:v>
      </x:c>
      <x:c r="Q437" s="93" t="n">
        <x:v>2949.22</x:v>
      </x:c>
      <x:c r="R437" s="91" t="n">
        <x:v>0</x:v>
      </x:c>
    </x:row>
    <x:row r="438">
      <x:c r="A438" s="83" t="n">
        <x:v>437</x:v>
      </x:c>
      <x:c r="B438" s="84" t="str">
        <x:v>OS-2024-00437</x:v>
      </x:c>
      <x:c r="C438" s="84" t="n">
        <x:v>86</x:v>
      </x:c>
      <x:c r="D438" s="84" t="n">
        <x:v>6</x:v>
      </x:c>
      <x:c r="E438" s="84"/>
      <x:c r="F438" s="89" t="n">
        <x:v>45342.56332175926</x:v>
      </x:c>
      <x:c r="G438" s="89" t="n">
        <x:v>45355.56332175926</x:v>
      </x:c>
      <x:c r="H438" s="89" t="n">
        <x:v>45344.52165509259</x:v>
      </x:c>
      <x:c r="I438" s="89" t="n">
        <x:v>45345.18832175926</x:v>
      </x:c>
      <x:c r="J438" s="84" t="str">
        <x:v>Baixa</x:v>
      </x:c>
      <x:c r="K438" s="84" t="str">
        <x:v>Encerrada</x:v>
      </x:c>
      <x:c r="L438" s="84" t="str">
        <x:v>Falha elétrica</x:v>
      </x:c>
      <x:c r="M438" s="84" t="str">
        <x:v>Ajuste incorreto</x:v>
      </x:c>
      <x:c r="N438" s="84" t="str">
        <x:v>Componente ajustado ou substituído</x:v>
      </x:c>
      <x:c r="O438" s="84" t="n">
        <x:v>0</x:v>
      </x:c>
      <x:c r="P438" s="93" t="n">
        <x:v>508.88</x:v>
      </x:c>
      <x:c r="Q438" s="93" t="n">
        <x:v>1468.46</x:v>
      </x:c>
      <x:c r="R438" s="91" t="n">
        <x:v>0</x:v>
      </x:c>
    </x:row>
    <x:row r="439">
      <x:c r="A439" s="83" t="n">
        <x:v>438</x:v>
      </x:c>
      <x:c r="B439" s="84" t="str">
        <x:v>OS-2025-00438</x:v>
      </x:c>
      <x:c r="C439" s="84" t="n">
        <x:v>37</x:v>
      </x:c>
      <x:c r="D439" s="84" t="n">
        <x:v>7</x:v>
      </x:c>
      <x:c r="E439" s="84" t="n">
        <x:v>74</x:v>
      </x:c>
      <x:c r="F439" s="89" t="n">
        <x:v>45958.991643518515</x:v>
      </x:c>
      <x:c r="G439" s="89" t="n">
        <x:v>45970.991643518515</x:v>
      </x:c>
      <x:c r="H439" s="89" t="n">
        <x:v>45960.241643518515</x:v>
      </x:c>
      <x:c r="I439" s="89" t="n">
        <x:v>45960.28331018519</x:v>
      </x:c>
      <x:c r="J439" s="84" t="str">
        <x:v>Crítica</x:v>
      </x:c>
      <x:c r="K439" s="84" t="str">
        <x:v>Encerrada</x:v>
      </x:c>
      <x:c r="L439" s="84" t="str">
        <x:v>Vazamento</x:v>
      </x:c>
      <x:c r="M439" s="84" t="str">
        <x:v>Contaminação</x:v>
      </x:c>
      <x:c r="N439" s="84" t="str">
        <x:v>Componente ajustado ou substituído</x:v>
      </x:c>
      <x:c r="O439" s="84" t="n">
        <x:v>0</x:v>
      </x:c>
      <x:c r="P439" s="93" t="n">
        <x:v>686.04</x:v>
      </x:c>
      <x:c r="Q439" s="93" t="n">
        <x:v>0</x:v>
      </x:c>
      <x:c r="R439" s="91" t="n">
        <x:v>0</x:v>
      </x:c>
    </x:row>
    <x:row r="440">
      <x:c r="A440" s="83" t="n">
        <x:v>439</x:v>
      </x:c>
      <x:c r="B440" s="84" t="str">
        <x:v>OS-2023-00439</x:v>
      </x:c>
      <x:c r="C440" s="84" t="n">
        <x:v>60</x:v>
      </x:c>
      <x:c r="D440" s="84" t="n">
        <x:v>1</x:v>
      </x:c>
      <x:c r="E440" s="84" t="n">
        <x:v>120</x:v>
      </x:c>
      <x:c r="F440" s="89" t="n">
        <x:v>45039.98800925926</x:v>
      </x:c>
      <x:c r="G440" s="89" t="n">
        <x:v>45049.98800925926</x:v>
      </x:c>
      <x:c r="H440" s="89" t="n">
        <x:v>45042.77967592593</x:v>
      </x:c>
      <x:c r="I440" s="89" t="n">
        <x:v>45043.07134259259</x:v>
      </x:c>
      <x:c r="J440" s="84" t="str">
        <x:v>Crítica</x:v>
      </x:c>
      <x:c r="K440" s="84" t="str">
        <x:v>Encerrada</x:v>
      </x:c>
      <x:c r="L440" s="84" t="str">
        <x:v>Falha elétrica</x:v>
      </x:c>
      <x:c r="M440" s="84" t="str">
        <x:v>Conexão frouxa</x:v>
      </x:c>
      <x:c r="N440" s="84" t="str">
        <x:v>Componente ajustado ou substituído</x:v>
      </x:c>
      <x:c r="O440" s="84" t="n">
        <x:v>0</x:v>
      </x:c>
      <x:c r="P440" s="93" t="n">
        <x:v>209.22</x:v>
      </x:c>
      <x:c r="Q440" s="93" t="n">
        <x:v>0</x:v>
      </x:c>
      <x:c r="R440" s="91" t="n">
        <x:v>0</x:v>
      </x:c>
    </x:row>
    <x:row r="441">
      <x:c r="A441" s="83" t="n">
        <x:v>440</x:v>
      </x:c>
      <x:c r="B441" s="84" t="str">
        <x:v>OS-2023-00440</x:v>
      </x:c>
      <x:c r="C441" s="84" t="n">
        <x:v>80</x:v>
      </x:c>
      <x:c r="D441" s="84" t="n">
        <x:v>7</x:v>
      </x:c>
      <x:c r="E441" s="84" t="n">
        <x:v>160</x:v>
      </x:c>
      <x:c r="F441" s="89" t="n">
        <x:v>45172.766377314816</x:v>
      </x:c>
      <x:c r="G441" s="89" t="n">
        <x:v>45176.766377314816</x:v>
      </x:c>
      <x:c r="H441" s="89" t="n">
        <x:v>45172.93304398148</x:v>
      </x:c>
      <x:c r="I441" s="89" t="n">
        <x:v>45173.016377314816</x:v>
      </x:c>
      <x:c r="J441" s="84" t="str">
        <x:v>Média</x:v>
      </x:c>
      <x:c r="K441" s="84" t="str">
        <x:v>Encerrada</x:v>
      </x:c>
      <x:c r="L441" s="84" t="str">
        <x:v>Vazamento</x:v>
      </x:c>
      <x:c r="M441" s="84" t="str">
        <x:v>Desgaste natural</x:v>
      </x:c>
      <x:c r="N441" s="84" t="str">
        <x:v>Componente ajustado ou substituído</x:v>
      </x:c>
      <x:c r="O441" s="84" t="n">
        <x:v>0</x:v>
      </x:c>
      <x:c r="P441" s="93" t="n">
        <x:v>99.54</x:v>
      </x:c>
      <x:c r="Q441" s="93" t="n">
        <x:v>6522.15</x:v>
      </x:c>
      <x:c r="R441" s="91" t="n">
        <x:v>0</x:v>
      </x:c>
    </x:row>
    <x:row r="442">
      <x:c r="A442" s="83" t="n">
        <x:v>441</x:v>
      </x:c>
      <x:c r="B442" s="84" t="str">
        <x:v>OS-2025-00441</x:v>
      </x:c>
      <x:c r="C442" s="84" t="n">
        <x:v>45</x:v>
      </x:c>
      <x:c r="D442" s="84" t="n">
        <x:v>3</x:v>
      </x:c>
      <x:c r="E442" s="84"/>
      <x:c r="F442" s="89" t="n">
        <x:v>45668.74092592593</x:v>
      </x:c>
      <x:c r="G442" s="89"/>
      <x:c r="H442" s="89" t="n">
        <x:v>45671.24092592593</x:v>
      </x:c>
      <x:c r="I442" s="89" t="n">
        <x:v>45671.74092592593</x:v>
      </x:c>
      <x:c r="J442" s="84" t="str">
        <x:v>Baixa</x:v>
      </x:c>
      <x:c r="K442" s="84" t="str">
        <x:v>Encerrada</x:v>
      </x:c>
      <x:c r="L442" s="84" t="str">
        <x:v>Ruído anormal</x:v>
      </x:c>
      <x:c r="M442" s="84" t="str">
        <x:v>Falta de lubrificação</x:v>
      </x:c>
      <x:c r="N442" s="84" t="str">
        <x:v>Componente ajustado ou substituído</x:v>
      </x:c>
      <x:c r="O442" s="84" t="n">
        <x:v>0</x:v>
      </x:c>
      <x:c r="P442" s="93" t="n">
        <x:v>98.84</x:v>
      </x:c>
      <x:c r="Q442" s="93" t="n">
        <x:v>10086.8</x:v>
      </x:c>
      <x:c r="R442" s="91" t="n">
        <x:v>0</x:v>
      </x:c>
    </x:row>
    <x:row r="443">
      <x:c r="A443" s="83" t="n">
        <x:v>442</x:v>
      </x:c>
      <x:c r="B443" s="84" t="str">
        <x:v>OS-2024-00442</x:v>
      </x:c>
      <x:c r="C443" s="84" t="n">
        <x:v>27</x:v>
      </x:c>
      <x:c r="D443" s="84" t="n">
        <x:v>1</x:v>
      </x:c>
      <x:c r="E443" s="84" t="n">
        <x:v>54</x:v>
      </x:c>
      <x:c r="F443" s="89" t="n">
        <x:v>45434.96532407407</x:v>
      </x:c>
      <x:c r="G443" s="89" t="n">
        <x:v>45442.96532407407</x:v>
      </x:c>
      <x:c r="H443" s="89" t="n">
        <x:v>45437.42365740741</x:v>
      </x:c>
      <x:c r="I443" s="89" t="n">
        <x:v>45438.04865740741</x:v>
      </x:c>
      <x:c r="J443" s="84" t="str">
        <x:v>Baixa</x:v>
      </x:c>
      <x:c r="K443" s="84" t="str">
        <x:v>Concluída</x:v>
      </x:c>
      <x:c r="L443" s="84" t="str">
        <x:v>Desalinhamento</x:v>
      </x:c>
      <x:c r="M443" s="84" t="str">
        <x:v>Conexão frouxa</x:v>
      </x:c>
      <x:c r="N443" s="84" t="str">
        <x:v>Componente ajustado ou substituído</x:v>
      </x:c>
      <x:c r="O443" s="84" t="n">
        <x:v>0</x:v>
      </x:c>
      <x:c r="P443" s="93" t="n">
        <x:v>325.65</x:v>
      </x:c>
      <x:c r="Q443" s="93" t="n">
        <x:v>10468.42</x:v>
      </x:c>
      <x:c r="R443" s="91" t="n">
        <x:v>0</x:v>
      </x:c>
    </x:row>
    <x:row r="444">
      <x:c r="A444" s="83" t="n">
        <x:v>443</x:v>
      </x:c>
      <x:c r="B444" s="84" t="str">
        <x:v>OS-2024-00443</x:v>
      </x:c>
      <x:c r="C444" s="84" t="n">
        <x:v>4</x:v>
      </x:c>
      <x:c r="D444" s="84" t="n">
        <x:v>1</x:v>
      </x:c>
      <x:c r="E444" s="84" t="n">
        <x:v>8</x:v>
      </x:c>
      <x:c r="F444" s="89" t="n">
        <x:v>45443.519791666666</x:v>
      </x:c>
      <x:c r="G444" s="89" t="n">
        <x:v>45446.519791666666</x:v>
      </x:c>
      <x:c r="H444" s="89"/>
      <x:c r="I444" s="89"/>
      <x:c r="J444" s="84" t="str">
        <x:v>Baixa</x:v>
      </x:c>
      <x:c r="K444" s="84" t="str">
        <x:v>Cancelada</x:v>
      </x:c>
      <x:c r="L444" s="84" t="str">
        <x:v>Ruído anormal</x:v>
      </x:c>
      <x:c r="M444" s="84"/>
      <x:c r="N444" s="84"/>
      <x:c r="O444" s="84" t="n">
        <x:v>0</x:v>
      </x:c>
      <x:c r="P444" s="93" t="n">
        <x:v>0</x:v>
      </x:c>
      <x:c r="Q444" s="93" t="n">
        <x:v>0</x:v>
      </x:c>
      <x:c r="R444" s="91" t="n">
        <x:v>0</x:v>
      </x:c>
    </x:row>
    <x:row r="445">
      <x:c r="A445" s="83" t="n">
        <x:v>444</x:v>
      </x:c>
      <x:c r="B445" s="84" t="str">
        <x:v>OS-2023-00444</x:v>
      </x:c>
      <x:c r="C445" s="84" t="n">
        <x:v>39</x:v>
      </x:c>
      <x:c r="D445" s="84" t="n">
        <x:v>1</x:v>
      </x:c>
      <x:c r="E445" s="84" t="n">
        <x:v>78</x:v>
      </x:c>
      <x:c r="F445" s="89" t="n">
        <x:v>45261.82319444444</x:v>
      </x:c>
      <x:c r="G445" s="89" t="n">
        <x:v>45266.82319444444</x:v>
      </x:c>
      <x:c r="H445" s="89"/>
      <x:c r="I445" s="89"/>
      <x:c r="J445" s="84" t="str">
        <x:v>Crítica</x:v>
      </x:c>
      <x:c r="K445" s="84" t="str">
        <x:v>Planejada</x:v>
      </x:c>
      <x:c r="L445" s="84" t="str">
        <x:v>Ruído anormal</x:v>
      </x:c>
      <x:c r="M445" s="84"/>
      <x:c r="N445" s="84"/>
      <x:c r="O445" s="84" t="n">
        <x:v>0</x:v>
      </x:c>
      <x:c r="P445" s="93" t="n">
        <x:v>0</x:v>
      </x:c>
      <x:c r="Q445" s="93" t="n">
        <x:v>0</x:v>
      </x:c>
      <x:c r="R445" s="91" t="n">
        <x:v>0</x:v>
      </x:c>
    </x:row>
    <x:row r="446">
      <x:c r="A446" s="83" t="n">
        <x:v>445</x:v>
      </x:c>
      <x:c r="B446" s="84" t="str">
        <x:v>OS-2025-00445</x:v>
      </x:c>
      <x:c r="C446" s="84" t="n">
        <x:v>38</x:v>
      </x:c>
      <x:c r="D446" s="84" t="n">
        <x:v>3</x:v>
      </x:c>
      <x:c r="E446" s="84"/>
      <x:c r="F446" s="89" t="n">
        <x:v>45687.010567129626</x:v>
      </x:c>
      <x:c r="G446" s="89"/>
      <x:c r="H446" s="89" t="n">
        <x:v>45687.385567129626</x:v>
      </x:c>
      <x:c r="I446" s="89" t="n">
        <x:v>45688.1772337963</x:v>
      </x:c>
      <x:c r="J446" s="84" t="str">
        <x:v>Baixa</x:v>
      </x:c>
      <x:c r="K446" s="84" t="str">
        <x:v>Encerrada</x:v>
      </x:c>
      <x:c r="L446" s="84" t="str">
        <x:v>Baixa pressão</x:v>
      </x:c>
      <x:c r="M446" s="84" t="str">
        <x:v>Ajuste incorreto</x:v>
      </x:c>
      <x:c r="N446" s="84" t="str">
        <x:v>Componente ajustado ou substituído</x:v>
      </x:c>
      <x:c r="O446" s="84" t="n">
        <x:v>0</x:v>
      </x:c>
      <x:c r="P446" s="93" t="n">
        <x:v>443.9</x:v>
      </x:c>
      <x:c r="Q446" s="93" t="n">
        <x:v>2576.65</x:v>
      </x:c>
      <x:c r="R446" s="91" t="n">
        <x:v>0</x:v>
      </x:c>
    </x:row>
    <x:row r="447">
      <x:c r="A447" s="83" t="n">
        <x:v>446</x:v>
      </x:c>
      <x:c r="B447" s="84" t="str">
        <x:v>OS-2023-00446</x:v>
      </x:c>
      <x:c r="C447" s="84" t="n">
        <x:v>7</x:v>
      </x:c>
      <x:c r="D447" s="84" t="n">
        <x:v>6</x:v>
      </x:c>
      <x:c r="E447" s="84"/>
      <x:c r="F447" s="89" t="n">
        <x:v>44993.93488425926</x:v>
      </x:c>
      <x:c r="G447" s="89" t="n">
        <x:v>45001.93488425926</x:v>
      </x:c>
      <x:c r="H447" s="89" t="n">
        <x:v>44996.35155092592</x:v>
      </x:c>
      <x:c r="I447" s="89" t="n">
        <x:v>44996.643217592595</x:v>
      </x:c>
      <x:c r="J447" s="84" t="str">
        <x:v>Alta</x:v>
      </x:c>
      <x:c r="K447" s="84" t="str">
        <x:v>Encerrada</x:v>
      </x:c>
      <x:c r="L447" s="84" t="str">
        <x:v>Desalinhamento</x:v>
      </x:c>
      <x:c r="M447" s="84" t="str">
        <x:v>Ajuste incorreto</x:v>
      </x:c>
      <x:c r="N447" s="84" t="str">
        <x:v>Componente ajustado ou substituído</x:v>
      </x:c>
      <x:c r="O447" s="84" t="n">
        <x:v>0</x:v>
      </x:c>
      <x:c r="P447" s="93" t="n">
        <x:v>623.01</x:v>
      </x:c>
      <x:c r="Q447" s="93" t="n">
        <x:v>10613.44</x:v>
      </x:c>
      <x:c r="R447" s="91" t="n">
        <x:v>0</x:v>
      </x:c>
    </x:row>
    <x:row r="448">
      <x:c r="A448" s="83" t="n">
        <x:v>447</x:v>
      </x:c>
      <x:c r="B448" s="84" t="str">
        <x:v>OS-2025-00447</x:v>
      </x:c>
      <x:c r="C448" s="84" t="n">
        <x:v>16</x:v>
      </x:c>
      <x:c r="D448" s="84" t="n">
        <x:v>4</x:v>
      </x:c>
      <x:c r="E448" s="84"/>
      <x:c r="F448" s="89" t="n">
        <x:v>45659.7584375</x:v>
      </x:c>
      <x:c r="G448" s="89" t="n">
        <x:v>45665.7584375</x:v>
      </x:c>
      <x:c r="H448" s="89" t="n">
        <x:v>45662.0084375</x:v>
      </x:c>
      <x:c r="I448" s="89" t="n">
        <x:v>45662.591770833336</x:v>
      </x:c>
      <x:c r="J448" s="84" t="str">
        <x:v>Média</x:v>
      </x:c>
      <x:c r="K448" s="84" t="str">
        <x:v>Encerrada</x:v>
      </x:c>
      <x:c r="L448" s="84" t="str">
        <x:v>Falha elétrica</x:v>
      </x:c>
      <x:c r="M448" s="84" t="str">
        <x:v>Contaminação</x:v>
      </x:c>
      <x:c r="N448" s="84" t="str">
        <x:v>Componente ajustado ou substituído</x:v>
      </x:c>
      <x:c r="O448" s="84" t="n">
        <x:v>0</x:v>
      </x:c>
      <x:c r="P448" s="93" t="n">
        <x:v>544.89</x:v>
      </x:c>
      <x:c r="Q448" s="93" t="n">
        <x:v>1368.51</x:v>
      </x:c>
      <x:c r="R448" s="91" t="n">
        <x:v>0</x:v>
      </x:c>
    </x:row>
    <x:row r="449">
      <x:c r="A449" s="83" t="n">
        <x:v>448</x:v>
      </x:c>
      <x:c r="B449" s="84" t="str">
        <x:v>OS-2025-00448</x:v>
      </x:c>
      <x:c r="C449" s="84" t="n">
        <x:v>70</x:v>
      </x:c>
      <x:c r="D449" s="84" t="n">
        <x:v>1</x:v>
      </x:c>
      <x:c r="E449" s="84" t="n">
        <x:v>140</x:v>
      </x:c>
      <x:c r="F449" s="89" t="n">
        <x:v>45739.83511574074</x:v>
      </x:c>
      <x:c r="G449" s="89" t="n">
        <x:v>45753.83511574074</x:v>
      </x:c>
      <x:c r="H449" s="89" t="n">
        <x:v>45742.79344907407</x:v>
      </x:c>
      <x:c r="I449" s="89"/>
      <x:c r="J449" s="84" t="str">
        <x:v>Alta</x:v>
      </x:c>
      <x:c r="K449" s="84" t="str">
        <x:v>Aguardando peça</x:v>
      </x:c>
      <x:c r="L449" s="84" t="str">
        <x:v>Desalinhamento</x:v>
      </x:c>
      <x:c r="M449" s="84" t="str">
        <x:v>Contaminação</x:v>
      </x:c>
      <x:c r="N449" s="84"/>
      <x:c r="O449" s="84" t="n">
        <x:v>0</x:v>
      </x:c>
      <x:c r="P449" s="93" t="n">
        <x:v>643.07</x:v>
      </x:c>
      <x:c r="Q449" s="93" t="n">
        <x:v>5356.27</x:v>
      </x:c>
      <x:c r="R449" s="91" t="n">
        <x:v>0</x:v>
      </x:c>
    </x:row>
    <x:row r="450">
      <x:c r="A450" s="83" t="n">
        <x:v>449</x:v>
      </x:c>
      <x:c r="B450" s="84" t="str">
        <x:v>OS-2023-00449</x:v>
      </x:c>
      <x:c r="C450" s="84" t="n">
        <x:v>22</x:v>
      </x:c>
      <x:c r="D450" s="84" t="n">
        <x:v>2</x:v>
      </x:c>
      <x:c r="E450" s="84"/>
      <x:c r="F450" s="89" t="n">
        <x:v>45036.384930555556</x:v>
      </x:c>
      <x:c r="G450" s="89" t="n">
        <x:v>45041.384930555556</x:v>
      </x:c>
      <x:c r="H450" s="89" t="n">
        <x:v>45037.884930555556</x:v>
      </x:c>
      <x:c r="I450" s="89" t="n">
        <x:v>45038.259930555556</x:v>
      </x:c>
      <x:c r="J450" s="84" t="str">
        <x:v>Crítica</x:v>
      </x:c>
      <x:c r="K450" s="84" t="str">
        <x:v>Concluída</x:v>
      </x:c>
      <x:c r="L450" s="84" t="str">
        <x:v>Superaquecimento</x:v>
      </x:c>
      <x:c r="M450" s="84" t="str">
        <x:v>Conexão frouxa</x:v>
      </x:c>
      <x:c r="N450" s="84" t="str">
        <x:v>Componente ajustado ou substituído</x:v>
      </x:c>
      <x:c r="O450" s="84" t="n">
        <x:v>0</x:v>
      </x:c>
      <x:c r="P450" s="93" t="n">
        <x:v>848.31</x:v>
      </x:c>
      <x:c r="Q450" s="93" t="n">
        <x:v>0</x:v>
      </x:c>
      <x:c r="R450" s="91" t="n">
        <x:v>0</x:v>
      </x:c>
    </x:row>
    <x:row r="451">
      <x:c r="A451" s="83" t="n">
        <x:v>450</x:v>
      </x:c>
      <x:c r="B451" s="84" t="str">
        <x:v>OS-2024-00450</x:v>
      </x:c>
      <x:c r="C451" s="84" t="n">
        <x:v>74</x:v>
      </x:c>
      <x:c r="D451" s="84" t="n">
        <x:v>1</x:v>
      </x:c>
      <x:c r="E451" s="84" t="n">
        <x:v>147</x:v>
      </x:c>
      <x:c r="F451" s="89" t="n">
        <x:v>45459.692824074074</x:v>
      </x:c>
      <x:c r="G451" s="89" t="n">
        <x:v>45466.692824074074</x:v>
      </x:c>
      <x:c r="H451" s="89" t="n">
        <x:v>45460.60949074074</x:v>
      </x:c>
      <x:c r="I451" s="89"/>
      <x:c r="J451" s="84" t="str">
        <x:v>Média</x:v>
      </x:c>
      <x:c r="K451" s="84" t="str">
        <x:v>Aguardando peça</x:v>
      </x:c>
      <x:c r="L451" s="84" t="str">
        <x:v>Ruído anormal</x:v>
      </x:c>
      <x:c r="M451" s="84" t="str">
        <x:v>Conexão frouxa</x:v>
      </x:c>
      <x:c r="N451" s="84"/>
      <x:c r="O451" s="84" t="n">
        <x:v>0</x:v>
      </x:c>
      <x:c r="P451" s="93" t="n">
        <x:v>655.23</x:v>
      </x:c>
      <x:c r="Q451" s="93" t="n">
        <x:v>10826.65</x:v>
      </x:c>
      <x:c r="R451" s="91" t="n">
        <x:v>0</x:v>
      </x:c>
    </x:row>
    <x:row r="452">
      <x:c r="A452" s="83" t="n">
        <x:v>451</x:v>
      </x:c>
      <x:c r="B452" s="84" t="str">
        <x:v>OS-2024-00451</x:v>
      </x:c>
      <x:c r="C452" s="84" t="n">
        <x:v>46</x:v>
      </x:c>
      <x:c r="D452" s="84" t="n">
        <x:v>6</x:v>
      </x:c>
      <x:c r="E452" s="84"/>
      <x:c r="F452" s="89" t="n">
        <x:v>45601.92574074074</x:v>
      </x:c>
      <x:c r="G452" s="89" t="n">
        <x:v>45607.92574074074</x:v>
      </x:c>
      <x:c r="H452" s="89" t="n">
        <x:v>45603.00907407407</x:v>
      </x:c>
      <x:c r="I452" s="89" t="n">
        <x:v>45603.75907407407</x:v>
      </x:c>
      <x:c r="J452" s="84" t="str">
        <x:v>Alta</x:v>
      </x:c>
      <x:c r="K452" s="84" t="str">
        <x:v>Encerrada</x:v>
      </x:c>
      <x:c r="L452" s="84" t="str">
        <x:v>Vazamento</x:v>
      </x:c>
      <x:c r="M452" s="84" t="str">
        <x:v>Falta de lubrificação</x:v>
      </x:c>
      <x:c r="N452" s="84" t="str">
        <x:v>Componente ajustado ou substituído</x:v>
      </x:c>
      <x:c r="O452" s="84" t="n">
        <x:v>0</x:v>
      </x:c>
      <x:c r="P452" s="93" t="n">
        <x:v>697.56</x:v>
      </x:c>
      <x:c r="Q452" s="93" t="n">
        <x:v>1666.19</x:v>
      </x:c>
      <x:c r="R452" s="91" t="n">
        <x:v>0</x:v>
      </x:c>
    </x:row>
    <x:row r="453">
      <x:c r="A453" s="83" t="n">
        <x:v>452</x:v>
      </x:c>
      <x:c r="B453" s="84" t="str">
        <x:v>OS-2023-00452</x:v>
      </x:c>
      <x:c r="C453" s="84" t="n">
        <x:v>8</x:v>
      </x:c>
      <x:c r="D453" s="84" t="n">
        <x:v>2</x:v>
      </x:c>
      <x:c r="E453" s="84"/>
      <x:c r="F453" s="89" t="n">
        <x:v>44927.535474537035</x:v>
      </x:c>
      <x:c r="G453" s="89" t="n">
        <x:v>44932.535474537035</x:v>
      </x:c>
      <x:c r="H453" s="89" t="n">
        <x:v>44929.910474537035</x:v>
      </x:c>
      <x:c r="I453" s="89" t="n">
        <x:v>44930.45214120371</x:v>
      </x:c>
      <x:c r="J453" s="84" t="str">
        <x:v>Média</x:v>
      </x:c>
      <x:c r="K453" s="84" t="str">
        <x:v>Encerrada</x:v>
      </x:c>
      <x:c r="L453" s="84" t="str">
        <x:v>Alarme intermitente</x:v>
      </x:c>
      <x:c r="M453" s="84" t="str">
        <x:v>Contaminação</x:v>
      </x:c>
      <x:c r="N453" s="84" t="str">
        <x:v>Componente ajustado ou substituído</x:v>
      </x:c>
      <x:c r="O453" s="84" t="n">
        <x:v>0</x:v>
      </x:c>
      <x:c r="P453" s="93" t="n">
        <x:v>93.86</x:v>
      </x:c>
      <x:c r="Q453" s="93" t="n">
        <x:v>9387.68</x:v>
      </x:c>
      <x:c r="R453" s="91" t="n">
        <x:v>0</x:v>
      </x:c>
    </x:row>
    <x:row r="454">
      <x:c r="A454" s="83" t="n">
        <x:v>453</x:v>
      </x:c>
      <x:c r="B454" s="84" t="str">
        <x:v>OS-2024-00453</x:v>
      </x:c>
      <x:c r="C454" s="84" t="n">
        <x:v>64</x:v>
      </x:c>
      <x:c r="D454" s="84" t="n">
        <x:v>3</x:v>
      </x:c>
      <x:c r="E454" s="84"/>
      <x:c r="F454" s="89" t="n">
        <x:v>45583.32708333333</x:v>
      </x:c>
      <x:c r="G454" s="89"/>
      <x:c r="H454" s="89" t="n">
        <x:v>45584.86875</x:v>
      </x:c>
      <x:c r="I454" s="89" t="n">
        <x:v>45585.535416666666</x:v>
      </x:c>
      <x:c r="J454" s="84" t="str">
        <x:v>Baixa</x:v>
      </x:c>
      <x:c r="K454" s="84" t="str">
        <x:v>Encerrada</x:v>
      </x:c>
      <x:c r="L454" s="84" t="str">
        <x:v>Desalinhamento</x:v>
      </x:c>
      <x:c r="M454" s="84" t="str">
        <x:v>Falta de lubrificação</x:v>
      </x:c>
      <x:c r="N454" s="84" t="str">
        <x:v>Componente ajustado ou substituído</x:v>
      </x:c>
      <x:c r="O454" s="84" t="n">
        <x:v>1</x:v>
      </x:c>
      <x:c r="P454" s="93" t="n">
        <x:v>287.94</x:v>
      </x:c>
      <x:c r="Q454" s="93" t="n">
        <x:v>0</x:v>
      </x:c>
      <x:c r="R454" s="91" t="n">
        <x:v>7740.89</x:v>
      </x:c>
    </x:row>
    <x:row r="455">
      <x:c r="A455" s="83" t="n">
        <x:v>454</x:v>
      </x:c>
      <x:c r="B455" s="84" t="str">
        <x:v>OS-2025-00454</x:v>
      </x:c>
      <x:c r="C455" s="84" t="n">
        <x:v>47</x:v>
      </x:c>
      <x:c r="D455" s="84" t="n">
        <x:v>1</x:v>
      </x:c>
      <x:c r="E455" s="84" t="n">
        <x:v>93</x:v>
      </x:c>
      <x:c r="F455" s="89" t="n">
        <x:v>45857.31597222222</x:v>
      </x:c>
      <x:c r="G455" s="89" t="n">
        <x:v>45862.31597222222</x:v>
      </x:c>
      <x:c r="H455" s="89" t="n">
        <x:v>45858.024305555555</x:v>
      </x:c>
      <x:c r="I455" s="89"/>
      <x:c r="J455" s="84" t="str">
        <x:v>Média</x:v>
      </x:c>
      <x:c r="K455" s="84" t="str">
        <x:v>Em execução</x:v>
      </x:c>
      <x:c r="L455" s="84" t="str">
        <x:v>Baixa pressão</x:v>
      </x:c>
      <x:c r="M455" s="84" t="str">
        <x:v>Conexão frouxa</x:v>
      </x:c>
      <x:c r="N455" s="84"/>
      <x:c r="O455" s="84" t="n">
        <x:v>0</x:v>
      </x:c>
      <x:c r="P455" s="93" t="n">
        <x:v>556.84</x:v>
      </x:c>
      <x:c r="Q455" s="93" t="n">
        <x:v>0</x:v>
      </x:c>
      <x:c r="R455" s="91" t="n">
        <x:v>0</x:v>
      </x:c>
    </x:row>
    <x:row r="456">
      <x:c r="A456" s="83" t="n">
        <x:v>455</x:v>
      </x:c>
      <x:c r="B456" s="84" t="str">
        <x:v>OS-2023-00455</x:v>
      </x:c>
      <x:c r="C456" s="84" t="n">
        <x:v>29</x:v>
      </x:c>
      <x:c r="D456" s="84" t="n">
        <x:v>7</x:v>
      </x:c>
      <x:c r="E456" s="84" t="n">
        <x:v>58</x:v>
      </x:c>
      <x:c r="F456" s="89" t="n">
        <x:v>45110.97787037037</x:v>
      </x:c>
      <x:c r="G456" s="89" t="n">
        <x:v>45117.97787037037</x:v>
      </x:c>
      <x:c r="H456" s="89" t="n">
        <x:v>45111.561203703706</x:v>
      </x:c>
      <x:c r="I456" s="89"/>
      <x:c r="J456" s="84" t="str">
        <x:v>Média</x:v>
      </x:c>
      <x:c r="K456" s="84" t="str">
        <x:v>Aguardando peça</x:v>
      </x:c>
      <x:c r="L456" s="84" t="str">
        <x:v>Desalinhamento</x:v>
      </x:c>
      <x:c r="M456" s="84" t="str">
        <x:v>Desgaste natural</x:v>
      </x:c>
      <x:c r="N456" s="84"/>
      <x:c r="O456" s="84" t="n">
        <x:v>0</x:v>
      </x:c>
      <x:c r="P456" s="93" t="n">
        <x:v>352.05</x:v>
      </x:c>
      <x:c r="Q456" s="93" t="n">
        <x:v>1394.74</x:v>
      </x:c>
      <x:c r="R456" s="91" t="n">
        <x:v>8618.75</x:v>
      </x:c>
    </x:row>
    <x:row r="457">
      <x:c r="A457" s="83" t="n">
        <x:v>456</x:v>
      </x:c>
      <x:c r="B457" s="84" t="str">
        <x:v>OS-2024-00456</x:v>
      </x:c>
      <x:c r="C457" s="84" t="n">
        <x:v>62</x:v>
      </x:c>
      <x:c r="D457" s="84" t="n">
        <x:v>3</x:v>
      </x:c>
      <x:c r="E457" s="84"/>
      <x:c r="F457" s="89" t="n">
        <x:v>45392.1802662037</x:v>
      </x:c>
      <x:c r="G457" s="89"/>
      <x:c r="H457" s="89"/>
      <x:c r="I457" s="89"/>
      <x:c r="J457" s="84" t="str">
        <x:v>Alta</x:v>
      </x:c>
      <x:c r="K457" s="84" t="str">
        <x:v>Cancelada</x:v>
      </x:c>
      <x:c r="L457" s="84" t="str">
        <x:v>Falha elétrica</x:v>
      </x:c>
      <x:c r="M457" s="84"/>
      <x:c r="N457" s="84"/>
      <x:c r="O457" s="84" t="n">
        <x:v>0</x:v>
      </x:c>
      <x:c r="P457" s="93" t="n">
        <x:v>0</x:v>
      </x:c>
      <x:c r="Q457" s="93" t="n">
        <x:v>0</x:v>
      </x:c>
      <x:c r="R457" s="91" t="n">
        <x:v>0</x:v>
      </x:c>
    </x:row>
    <x:row r="458">
      <x:c r="A458" s="83" t="n">
        <x:v>457</x:v>
      </x:c>
      <x:c r="B458" s="84" t="str">
        <x:v>OS-2025-00457</x:v>
      </x:c>
      <x:c r="C458" s="84" t="n">
        <x:v>69</x:v>
      </x:c>
      <x:c r="D458" s="84" t="n">
        <x:v>1</x:v>
      </x:c>
      <x:c r="E458" s="84" t="n">
        <x:v>137</x:v>
      </x:c>
      <x:c r="F458" s="89" t="n">
        <x:v>45701.85916666667</x:v>
      </x:c>
      <x:c r="G458" s="89" t="n">
        <x:v>45701.85916666667</x:v>
      </x:c>
      <x:c r="H458" s="89"/>
      <x:c r="I458" s="89"/>
      <x:c r="J458" s="84" t="str">
        <x:v>Baixa</x:v>
      </x:c>
      <x:c r="K458" s="84" t="str">
        <x:v>Planejada</x:v>
      </x:c>
      <x:c r="L458" s="84" t="str">
        <x:v>Vazamento</x:v>
      </x:c>
      <x:c r="M458" s="84"/>
      <x:c r="N458" s="84"/>
      <x:c r="O458" s="84" t="n">
        <x:v>0</x:v>
      </x:c>
      <x:c r="P458" s="93" t="n">
        <x:v>0</x:v>
      </x:c>
      <x:c r="Q458" s="93" t="n">
        <x:v>0</x:v>
      </x:c>
      <x:c r="R458" s="91" t="n">
        <x:v>0</x:v>
      </x:c>
    </x:row>
    <x:row r="459">
      <x:c r="A459" s="83" t="n">
        <x:v>458</x:v>
      </x:c>
      <x:c r="B459" s="84" t="str">
        <x:v>OS-2025-00458</x:v>
      </x:c>
      <x:c r="C459" s="84" t="n">
        <x:v>59</x:v>
      </x:c>
      <x:c r="D459" s="84" t="n">
        <x:v>4</x:v>
      </x:c>
      <x:c r="E459" s="84"/>
      <x:c r="F459" s="89" t="n">
        <x:v>45921.71973379629</x:v>
      </x:c>
      <x:c r="G459" s="89" t="n">
        <x:v>45935.71973379629</x:v>
      </x:c>
      <x:c r="H459" s="89" t="n">
        <x:v>45924.261400462965</x:v>
      </x:c>
      <x:c r="I459" s="89" t="n">
        <x:v>45924.34473379629</x:v>
      </x:c>
      <x:c r="J459" s="84" t="str">
        <x:v>Média</x:v>
      </x:c>
      <x:c r="K459" s="84" t="str">
        <x:v>Encerrada</x:v>
      </x:c>
      <x:c r="L459" s="84" t="str">
        <x:v>Ruído anormal</x:v>
      </x:c>
      <x:c r="M459" s="84" t="str">
        <x:v>Componente danificado</x:v>
      </x:c>
      <x:c r="N459" s="84" t="str">
        <x:v>Componente ajustado ou substituído</x:v>
      </x:c>
      <x:c r="O459" s="84" t="n">
        <x:v>0</x:v>
      </x:c>
      <x:c r="P459" s="93" t="n">
        <x:v>475.97</x:v>
      </x:c>
      <x:c r="Q459" s="93" t="n">
        <x:v>12796.31</x:v>
      </x:c>
      <x:c r="R459" s="91" t="n">
        <x:v>0</x:v>
      </x:c>
    </x:row>
    <x:row r="460">
      <x:c r="A460" s="83" t="n">
        <x:v>459</x:v>
      </x:c>
      <x:c r="B460" s="84" t="str">
        <x:v>OS-2025-00459</x:v>
      </x:c>
      <x:c r="C460" s="84" t="n">
        <x:v>77</x:v>
      </x:c>
      <x:c r="D460" s="84" t="n">
        <x:v>4</x:v>
      </x:c>
      <x:c r="E460" s="84"/>
      <x:c r="F460" s="89" t="n">
        <x:v>45833.524375</x:v>
      </x:c>
      <x:c r="G460" s="89" t="n">
        <x:v>45842.524375</x:v>
      </x:c>
      <x:c r="H460" s="89" t="n">
        <x:v>45835.399375</x:v>
      </x:c>
      <x:c r="I460" s="89" t="n">
        <x:v>45836.066041666665</x:v>
      </x:c>
      <x:c r="J460" s="84" t="str">
        <x:v>Crítica</x:v>
      </x:c>
      <x:c r="K460" s="84" t="str">
        <x:v>Encerrada</x:v>
      </x:c>
      <x:c r="L460" s="84" t="str">
        <x:v>Baixa pressão</x:v>
      </x:c>
      <x:c r="M460" s="84" t="str">
        <x:v>Ajuste incorreto</x:v>
      </x:c>
      <x:c r="N460" s="84" t="str">
        <x:v>Componente ajustado ou substituído</x:v>
      </x:c>
      <x:c r="O460" s="84" t="n">
        <x:v>0</x:v>
      </x:c>
      <x:c r="P460" s="93" t="n">
        <x:v>54.18</x:v>
      </x:c>
      <x:c r="Q460" s="93" t="n">
        <x:v>5216.07</x:v>
      </x:c>
      <x:c r="R460" s="91" t="n">
        <x:v>0</x:v>
      </x:c>
    </x:row>
    <x:row r="461">
      <x:c r="A461" s="83" t="n">
        <x:v>460</x:v>
      </x:c>
      <x:c r="B461" s="84" t="str">
        <x:v>OS-2023-00460</x:v>
      </x:c>
      <x:c r="C461" s="84" t="n">
        <x:v>26</x:v>
      </x:c>
      <x:c r="D461" s="84" t="n">
        <x:v>2</x:v>
      </x:c>
      <x:c r="E461" s="84"/>
      <x:c r="F461" s="89" t="n">
        <x:v>45024.62701388889</x:v>
      </x:c>
      <x:c r="G461" s="89" t="n">
        <x:v>45039.62701388889</x:v>
      </x:c>
      <x:c r="H461" s="89" t="n">
        <x:v>45026.50201388889</x:v>
      </x:c>
      <x:c r="I461" s="89" t="n">
        <x:v>45027.33534722222</x:v>
      </x:c>
      <x:c r="J461" s="84" t="str">
        <x:v>Crítica</x:v>
      </x:c>
      <x:c r="K461" s="84" t="str">
        <x:v>Concluída</x:v>
      </x:c>
      <x:c r="L461" s="84" t="str">
        <x:v>Alarme intermitente</x:v>
      </x:c>
      <x:c r="M461" s="84" t="str">
        <x:v>Contaminação</x:v>
      </x:c>
      <x:c r="N461" s="84" t="str">
        <x:v>Componente ajustado ou substituído</x:v>
      </x:c>
      <x:c r="O461" s="84" t="n">
        <x:v>0</x:v>
      </x:c>
      <x:c r="P461" s="93" t="n">
        <x:v>172.5</x:v>
      </x:c>
      <x:c r="Q461" s="93" t="n">
        <x:v>3457.08</x:v>
      </x:c>
      <x:c r="R461" s="91" t="n">
        <x:v>0</x:v>
      </x:c>
    </x:row>
    <x:row r="462">
      <x:c r="A462" s="83" t="n">
        <x:v>461</x:v>
      </x:c>
      <x:c r="B462" s="84" t="str">
        <x:v>OS-2023-00461</x:v>
      </x:c>
      <x:c r="C462" s="84" t="n">
        <x:v>55</x:v>
      </x:c>
      <x:c r="D462" s="84" t="n">
        <x:v>3</x:v>
      </x:c>
      <x:c r="E462" s="84"/>
      <x:c r="F462" s="89" t="n">
        <x:v>45010.751296296294</x:v>
      </x:c>
      <x:c r="G462" s="89"/>
      <x:c r="H462" s="89" t="n">
        <x:v>45011.251296296294</x:v>
      </x:c>
      <x:c r="I462" s="89" t="n">
        <x:v>45012.042962962965</x:v>
      </x:c>
      <x:c r="J462" s="84" t="str">
        <x:v>Média</x:v>
      </x:c>
      <x:c r="K462" s="84" t="str">
        <x:v>Encerrada</x:v>
      </x:c>
      <x:c r="L462" s="84" t="str">
        <x:v>Baixa pressão</x:v>
      </x:c>
      <x:c r="M462" s="84" t="str">
        <x:v>Desgaste natural</x:v>
      </x:c>
      <x:c r="N462" s="84" t="str">
        <x:v>Componente ajustado ou substituído</x:v>
      </x:c>
      <x:c r="O462" s="84" t="n">
        <x:v>0</x:v>
      </x:c>
      <x:c r="P462" s="93" t="n">
        <x:v>272.5</x:v>
      </x:c>
      <x:c r="Q462" s="93" t="n">
        <x:v>0</x:v>
      </x:c>
      <x:c r="R462" s="91" t="n">
        <x:v>0</x:v>
      </x:c>
    </x:row>
    <x:row r="463">
      <x:c r="A463" s="83" t="n">
        <x:v>462</x:v>
      </x:c>
      <x:c r="B463" s="84" t="str">
        <x:v>OS-2024-00462</x:v>
      </x:c>
      <x:c r="C463" s="84" t="n">
        <x:v>25</x:v>
      </x:c>
      <x:c r="D463" s="84" t="n">
        <x:v>1</x:v>
      </x:c>
      <x:c r="E463" s="84" t="n">
        <x:v>49</x:v>
      </x:c>
      <x:c r="F463" s="89" t="n">
        <x:v>45622.29048611111</x:v>
      </x:c>
      <x:c r="G463" s="89" t="n">
        <x:v>45627.29048611111</x:v>
      </x:c>
      <x:c r="H463" s="89" t="n">
        <x:v>45625.123819444445</x:v>
      </x:c>
      <x:c r="I463" s="89"/>
      <x:c r="J463" s="84" t="str">
        <x:v>Alta</x:v>
      </x:c>
      <x:c r="K463" s="84" t="str">
        <x:v>Aguardando peça</x:v>
      </x:c>
      <x:c r="L463" s="84" t="str">
        <x:v>Desalinhamento</x:v>
      </x:c>
      <x:c r="M463" s="84" t="str">
        <x:v>Contaminação</x:v>
      </x:c>
      <x:c r="N463" s="84"/>
      <x:c r="O463" s="84" t="n">
        <x:v>0</x:v>
      </x:c>
      <x:c r="P463" s="93" t="n">
        <x:v>275.52</x:v>
      </x:c>
      <x:c r="Q463" s="93" t="n">
        <x:v>7939.11</x:v>
      </x:c>
      <x:c r="R463" s="91" t="n">
        <x:v>0</x:v>
      </x:c>
    </x:row>
    <x:row r="464">
      <x:c r="A464" s="83" t="n">
        <x:v>463</x:v>
      </x:c>
      <x:c r="B464" s="84" t="str">
        <x:v>OS-2024-00463</x:v>
      </x:c>
      <x:c r="C464" s="84" t="n">
        <x:v>80</x:v>
      </x:c>
      <x:c r="D464" s="84" t="n">
        <x:v>2</x:v>
      </x:c>
      <x:c r="E464" s="84"/>
      <x:c r="F464" s="89" t="n">
        <x:v>45504.546805555554</x:v>
      </x:c>
      <x:c r="G464" s="89" t="n">
        <x:v>45516.546805555554</x:v>
      </x:c>
      <x:c r="H464" s="89" t="n">
        <x:v>45506.25513888889</x:v>
      </x:c>
      <x:c r="I464" s="89" t="n">
        <x:v>45506.38013888889</x:v>
      </x:c>
      <x:c r="J464" s="84" t="str">
        <x:v>Média</x:v>
      </x:c>
      <x:c r="K464" s="84" t="str">
        <x:v>Concluída</x:v>
      </x:c>
      <x:c r="L464" s="84" t="str">
        <x:v>Falha elétrica</x:v>
      </x:c>
      <x:c r="M464" s="84" t="str">
        <x:v>Componente danificado</x:v>
      </x:c>
      <x:c r="N464" s="84" t="str">
        <x:v>Componente ajustado ou substituído</x:v>
      </x:c>
      <x:c r="O464" s="84" t="n">
        <x:v>1</x:v>
      </x:c>
      <x:c r="P464" s="93" t="n">
        <x:v>328.77</x:v>
      </x:c>
      <x:c r="Q464" s="93" t="n">
        <x:v>880.63</x:v>
      </x:c>
      <x:c r="R464" s="91" t="n">
        <x:v>0</x:v>
      </x:c>
    </x:row>
    <x:row r="465">
      <x:c r="A465" s="83" t="n">
        <x:v>464</x:v>
      </x:c>
      <x:c r="B465" s="84" t="str">
        <x:v>OS-2025-00464</x:v>
      </x:c>
      <x:c r="C465" s="84" t="n">
        <x:v>77</x:v>
      </x:c>
      <x:c r="D465" s="84" t="n">
        <x:v>1</x:v>
      </x:c>
      <x:c r="E465" s="84" t="n">
        <x:v>153</x:v>
      </x:c>
      <x:c r="F465" s="89" t="n">
        <x:v>45916.57498842593</x:v>
      </x:c>
      <x:c r="G465" s="89" t="n">
        <x:v>45929.57498842593</x:v>
      </x:c>
      <x:c r="H465" s="89" t="n">
        <x:v>45917.24165509259</x:v>
      </x:c>
      <x:c r="I465" s="89" t="n">
        <x:v>45917.61665509259</x:v>
      </x:c>
      <x:c r="J465" s="84" t="str">
        <x:v>Alta</x:v>
      </x:c>
      <x:c r="K465" s="84" t="str">
        <x:v>Concluída</x:v>
      </x:c>
      <x:c r="L465" s="84" t="str">
        <x:v>Ruído anormal</x:v>
      </x:c>
      <x:c r="M465" s="84" t="str">
        <x:v>Contaminação</x:v>
      </x:c>
      <x:c r="N465" s="84" t="str">
        <x:v>Componente ajustado ou substituído</x:v>
      </x:c>
      <x:c r="O465" s="84" t="n">
        <x:v>0</x:v>
      </x:c>
      <x:c r="P465" s="93" t="n">
        <x:v>396.99</x:v>
      </x:c>
      <x:c r="Q465" s="93" t="n">
        <x:v>0</x:v>
      </x:c>
      <x:c r="R465" s="91" t="n">
        <x:v>0</x:v>
      </x:c>
    </x:row>
    <x:row r="466">
      <x:c r="A466" s="83" t="n">
        <x:v>465</x:v>
      </x:c>
      <x:c r="B466" s="84" t="str">
        <x:v>OS-2024-00465</x:v>
      </x:c>
      <x:c r="C466" s="84" t="n">
        <x:v>35</x:v>
      </x:c>
      <x:c r="D466" s="84" t="n">
        <x:v>7</x:v>
      </x:c>
      <x:c r="E466" s="84" t="n">
        <x:v>70</x:v>
      </x:c>
      <x:c r="F466" s="89" t="n">
        <x:v>45379.82325231482</x:v>
      </x:c>
      <x:c r="G466" s="89" t="n">
        <x:v>45379.82325231482</x:v>
      </x:c>
      <x:c r="H466" s="89" t="n">
        <x:v>45381.19825231482</x:v>
      </x:c>
      <x:c r="I466" s="89" t="n">
        <x:v>45381.86491898148</x:v>
      </x:c>
      <x:c r="J466" s="84" t="str">
        <x:v>Baixa</x:v>
      </x:c>
      <x:c r="K466" s="84" t="str">
        <x:v>Concluída</x:v>
      </x:c>
      <x:c r="L466" s="84" t="str">
        <x:v>Baixa pressão</x:v>
      </x:c>
      <x:c r="M466" s="84" t="str">
        <x:v>Falta de lubrificação</x:v>
      </x:c>
      <x:c r="N466" s="84" t="str">
        <x:v>Componente ajustado ou substituído</x:v>
      </x:c>
      <x:c r="O466" s="84" t="n">
        <x:v>0</x:v>
      </x:c>
      <x:c r="P466" s="93" t="n">
        <x:v>109.85</x:v>
      </x:c>
      <x:c r="Q466" s="93" t="n">
        <x:v>4074.96</x:v>
      </x:c>
      <x:c r="R466" s="91" t="n">
        <x:v>0</x:v>
      </x:c>
    </x:row>
    <x:row r="467">
      <x:c r="A467" s="83" t="n">
        <x:v>466</x:v>
      </x:c>
      <x:c r="B467" s="84" t="str">
        <x:v>OS-2024-00466</x:v>
      </x:c>
      <x:c r="C467" s="84" t="n">
        <x:v>55</x:v>
      </x:c>
      <x:c r="D467" s="84" t="n">
        <x:v>8</x:v>
      </x:c>
      <x:c r="E467" s="84"/>
      <x:c r="F467" s="89" t="n">
        <x:v>45350.83363425926</x:v>
      </x:c>
      <x:c r="G467" s="89" t="n">
        <x:v>45364.83363425926</x:v>
      </x:c>
      <x:c r="H467" s="89"/>
      <x:c r="I467" s="89"/>
      <x:c r="J467" s="84" t="str">
        <x:v>Baixa</x:v>
      </x:c>
      <x:c r="K467" s="84" t="str">
        <x:v>Cancelada</x:v>
      </x:c>
      <x:c r="L467" s="84" t="str">
        <x:v>Baixa pressão</x:v>
      </x:c>
      <x:c r="M467" s="84"/>
      <x:c r="N467" s="84"/>
      <x:c r="O467" s="84" t="n">
        <x:v>0</x:v>
      </x:c>
      <x:c r="P467" s="93" t="n">
        <x:v>0</x:v>
      </x:c>
      <x:c r="Q467" s="93" t="n">
        <x:v>0</x:v>
      </x:c>
      <x:c r="R467" s="91" t="n">
        <x:v>0</x:v>
      </x:c>
    </x:row>
    <x:row r="468">
      <x:c r="A468" s="83" t="n">
        <x:v>467</x:v>
      </x:c>
      <x:c r="B468" s="84" t="str">
        <x:v>OS-2024-00467</x:v>
      </x:c>
      <x:c r="C468" s="84" t="n">
        <x:v>3</x:v>
      </x:c>
      <x:c r="D468" s="84" t="n">
        <x:v>7</x:v>
      </x:c>
      <x:c r="E468" s="84" t="n">
        <x:v>6</x:v>
      </x:c>
      <x:c r="F468" s="89" t="n">
        <x:v>45336.829363425924</x:v>
      </x:c>
      <x:c r="G468" s="89" t="n">
        <x:v>45341.829363425924</x:v>
      </x:c>
      <x:c r="H468" s="89" t="n">
        <x:v>45338.871030092596</x:v>
      </x:c>
      <x:c r="I468" s="89" t="n">
        <x:v>45339.704363425924</x:v>
      </x:c>
      <x:c r="J468" s="84" t="str">
        <x:v>Crítica</x:v>
      </x:c>
      <x:c r="K468" s="84" t="str">
        <x:v>Encerrada</x:v>
      </x:c>
      <x:c r="L468" s="84" t="str">
        <x:v>Desalinhamento</x:v>
      </x:c>
      <x:c r="M468" s="84" t="str">
        <x:v>Desgaste natural</x:v>
      </x:c>
      <x:c r="N468" s="84" t="str">
        <x:v>Componente ajustado ou substituído</x:v>
      </x:c>
      <x:c r="O468" s="84" t="n">
        <x:v>0</x:v>
      </x:c>
      <x:c r="P468" s="93" t="n">
        <x:v>363.97</x:v>
      </x:c>
      <x:c r="Q468" s="93" t="n">
        <x:v>4772.76</x:v>
      </x:c>
      <x:c r="R468" s="91" t="n">
        <x:v>0</x:v>
      </x:c>
    </x:row>
    <x:row r="469">
      <x:c r="A469" s="83" t="n">
        <x:v>468</x:v>
      </x:c>
      <x:c r="B469" s="84" t="str">
        <x:v>OS-2024-00468</x:v>
      </x:c>
      <x:c r="C469" s="84" t="n">
        <x:v>63</x:v>
      </x:c>
      <x:c r="D469" s="84" t="n">
        <x:v>3</x:v>
      </x:c>
      <x:c r="E469" s="84"/>
      <x:c r="F469" s="89" t="n">
        <x:v>45636.070127314815</x:v>
      </x:c>
      <x:c r="G469" s="89"/>
      <x:c r="H469" s="89" t="n">
        <x:v>45636.11179398148</x:v>
      </x:c>
      <x:c r="I469" s="89" t="n">
        <x:v>45636.320127314815</x:v>
      </x:c>
      <x:c r="J469" s="84" t="str">
        <x:v>Média</x:v>
      </x:c>
      <x:c r="K469" s="84" t="str">
        <x:v>Encerrada</x:v>
      </x:c>
      <x:c r="L469" s="84" t="str">
        <x:v>Vazamento</x:v>
      </x:c>
      <x:c r="M469" s="84" t="str">
        <x:v>Desgaste natural</x:v>
      </x:c>
      <x:c r="N469" s="84" t="str">
        <x:v>Componente ajustado ou substituído</x:v>
      </x:c>
      <x:c r="O469" s="84" t="n">
        <x:v>0</x:v>
      </x:c>
      <x:c r="P469" s="93" t="n">
        <x:v>301.21</x:v>
      </x:c>
      <x:c r="Q469" s="93" t="n">
        <x:v>5999.4</x:v>
      </x:c>
      <x:c r="R469" s="91" t="n">
        <x:v>0</x:v>
      </x:c>
    </x:row>
    <x:row r="470">
      <x:c r="A470" s="83" t="n">
        <x:v>469</x:v>
      </x:c>
      <x:c r="B470" s="84" t="str">
        <x:v>OS-2023-00469</x:v>
      </x:c>
      <x:c r="C470" s="84" t="n">
        <x:v>26</x:v>
      </x:c>
      <x:c r="D470" s="84" t="n">
        <x:v>3</x:v>
      </x:c>
      <x:c r="E470" s="84"/>
      <x:c r="F470" s="89" t="n">
        <x:v>44949.038935185185</x:v>
      </x:c>
      <x:c r="G470" s="89"/>
      <x:c r="H470" s="89" t="n">
        <x:v>44949.99726851852</x:v>
      </x:c>
      <x:c r="I470" s="89" t="n">
        <x:v>44950.37226851852</x:v>
      </x:c>
      <x:c r="J470" s="84" t="str">
        <x:v>Alta</x:v>
      </x:c>
      <x:c r="K470" s="84" t="str">
        <x:v>Encerrada</x:v>
      </x:c>
      <x:c r="L470" s="84" t="str">
        <x:v>Vazamento</x:v>
      </x:c>
      <x:c r="M470" s="84" t="str">
        <x:v>Conexão frouxa</x:v>
      </x:c>
      <x:c r="N470" s="84" t="str">
        <x:v>Componente ajustado ou substituído</x:v>
      </x:c>
      <x:c r="O470" s="84" t="n">
        <x:v>0</x:v>
      </x:c>
      <x:c r="P470" s="93" t="n">
        <x:v>331.29</x:v>
      </x:c>
      <x:c r="Q470" s="93" t="n">
        <x:v>6722.84</x:v>
      </x:c>
      <x:c r="R470" s="91" t="n">
        <x:v>10138.42</x:v>
      </x:c>
    </x:row>
    <x:row r="471">
      <x:c r="A471" s="83" t="n">
        <x:v>470</x:v>
      </x:c>
      <x:c r="B471" s="84" t="str">
        <x:v>OS-2025-00470</x:v>
      </x:c>
      <x:c r="C471" s="84" t="n">
        <x:v>24</x:v>
      </x:c>
      <x:c r="D471" s="84" t="n">
        <x:v>4</x:v>
      </x:c>
      <x:c r="E471" s="84"/>
      <x:c r="F471" s="89" t="n">
        <x:v>45818.62210648148</x:v>
      </x:c>
      <x:c r="G471" s="89" t="n">
        <x:v>45822.62210648148</x:v>
      </x:c>
      <x:c r="H471" s="89"/>
      <x:c r="I471" s="89"/>
      <x:c r="J471" s="84" t="str">
        <x:v>Alta</x:v>
      </x:c>
      <x:c r="K471" s="84" t="str">
        <x:v>Planejada</x:v>
      </x:c>
      <x:c r="L471" s="84" t="str">
        <x:v>Baixa pressão</x:v>
      </x:c>
      <x:c r="M471" s="84"/>
      <x:c r="N471" s="84"/>
      <x:c r="O471" s="84" t="n">
        <x:v>0</x:v>
      </x:c>
      <x:c r="P471" s="93" t="n">
        <x:v>0</x:v>
      </x:c>
      <x:c r="Q471" s="93" t="n">
        <x:v>0</x:v>
      </x:c>
      <x:c r="R471" s="91" t="n">
        <x:v>0</x:v>
      </x:c>
    </x:row>
    <x:row r="472">
      <x:c r="A472" s="83" t="n">
        <x:v>471</x:v>
      </x:c>
      <x:c r="B472" s="84" t="str">
        <x:v>OS-2024-00471</x:v>
      </x:c>
      <x:c r="C472" s="84" t="n">
        <x:v>50</x:v>
      </x:c>
      <x:c r="D472" s="84" t="n">
        <x:v>5</x:v>
      </x:c>
      <x:c r="E472" s="84" t="n">
        <x:v>100</x:v>
      </x:c>
      <x:c r="F472" s="89" t="n">
        <x:v>45337.77332175926</x:v>
      </x:c>
      <x:c r="G472" s="89" t="n">
        <x:v>45352.77332175926</x:v>
      </x:c>
      <x:c r="H472" s="89" t="n">
        <x:v>45338.98165509259</x:v>
      </x:c>
      <x:c r="I472" s="89" t="n">
        <x:v>45339.52332175926</x:v>
      </x:c>
      <x:c r="J472" s="84" t="str">
        <x:v>Baixa</x:v>
      </x:c>
      <x:c r="K472" s="84" t="str">
        <x:v>Encerrada</x:v>
      </x:c>
      <x:c r="L472" s="84" t="str">
        <x:v>Ruído anormal</x:v>
      </x:c>
      <x:c r="M472" s="84" t="str">
        <x:v>Conexão frouxa</x:v>
      </x:c>
      <x:c r="N472" s="84" t="str">
        <x:v>Componente ajustado ou substituído</x:v>
      </x:c>
      <x:c r="O472" s="84" t="n">
        <x:v>0</x:v>
      </x:c>
      <x:c r="P472" s="93" t="n">
        <x:v>530.09</x:v>
      </x:c>
      <x:c r="Q472" s="93" t="n">
        <x:v>16716.29</x:v>
      </x:c>
      <x:c r="R472" s="91" t="n">
        <x:v>0</x:v>
      </x:c>
    </x:row>
    <x:row r="473">
      <x:c r="A473" s="83" t="n">
        <x:v>472</x:v>
      </x:c>
      <x:c r="B473" s="84" t="str">
        <x:v>OS-2023-00472</x:v>
      </x:c>
      <x:c r="C473" s="84" t="n">
        <x:v>72</x:v>
      </x:c>
      <x:c r="D473" s="84" t="n">
        <x:v>5</x:v>
      </x:c>
      <x:c r="E473" s="84" t="n">
        <x:v>143</x:v>
      </x:c>
      <x:c r="F473" s="89" t="n">
        <x:v>44975.4008912037</x:v>
      </x:c>
      <x:c r="G473" s="89" t="n">
        <x:v>44979.4008912037</x:v>
      </x:c>
      <x:c r="H473" s="89" t="n">
        <x:v>44977.9008912037</x:v>
      </x:c>
      <x:c r="I473" s="89"/>
      <x:c r="J473" s="84" t="str">
        <x:v>Baixa</x:v>
      </x:c>
      <x:c r="K473" s="84" t="str">
        <x:v>Aguardando peça</x:v>
      </x:c>
      <x:c r="L473" s="84" t="str">
        <x:v>Alarme intermitente</x:v>
      </x:c>
      <x:c r="M473" s="84" t="str">
        <x:v>Componente danificado</x:v>
      </x:c>
      <x:c r="N473" s="84"/>
      <x:c r="O473" s="84" t="n">
        <x:v>0</x:v>
      </x:c>
      <x:c r="P473" s="93" t="n">
        <x:v>542.25</x:v>
      </x:c>
      <x:c r="Q473" s="93" t="n">
        <x:v>3626.5</x:v>
      </x:c>
      <x:c r="R473" s="91" t="n">
        <x:v>0</x:v>
      </x:c>
    </x:row>
    <x:row r="474">
      <x:c r="A474" s="83" t="n">
        <x:v>473</x:v>
      </x:c>
      <x:c r="B474" s="84" t="str">
        <x:v>OS-2024-00473</x:v>
      </x:c>
      <x:c r="C474" s="84" t="n">
        <x:v>12</x:v>
      </x:c>
      <x:c r="D474" s="84" t="n">
        <x:v>8</x:v>
      </x:c>
      <x:c r="E474" s="84"/>
      <x:c r="F474" s="89" t="n">
        <x:v>45508.82239583333</x:v>
      </x:c>
      <x:c r="G474" s="89" t="n">
        <x:v>45510.82239583333</x:v>
      </x:c>
      <x:c r="H474" s="89" t="n">
        <x:v>45511.44739583333</x:v>
      </x:c>
      <x:c r="I474" s="89" t="n">
        <x:v>45512.1140625</x:v>
      </x:c>
      <x:c r="J474" s="84" t="str">
        <x:v>Baixa</x:v>
      </x:c>
      <x:c r="K474" s="84" t="str">
        <x:v>Encerrada</x:v>
      </x:c>
      <x:c r="L474" s="84" t="str">
        <x:v>Ruído anormal</x:v>
      </x:c>
      <x:c r="M474" s="84" t="str">
        <x:v>Contaminação</x:v>
      </x:c>
      <x:c r="N474" s="84" t="str">
        <x:v>Componente ajustado ou substituído</x:v>
      </x:c>
      <x:c r="O474" s="84" t="n">
        <x:v>0</x:v>
      </x:c>
      <x:c r="P474" s="93" t="n">
        <x:v>60.42</x:v>
      </x:c>
      <x:c r="Q474" s="93" t="n">
        <x:v>5179.58</x:v>
      </x:c>
      <x:c r="R474" s="91" t="n">
        <x:v>0</x:v>
      </x:c>
    </x:row>
    <x:row r="475">
      <x:c r="A475" s="83" t="n">
        <x:v>474</x:v>
      </x:c>
      <x:c r="B475" s="84" t="str">
        <x:v>OS-2024-00474</x:v>
      </x:c>
      <x:c r="C475" s="84" t="n">
        <x:v>19</x:v>
      </x:c>
      <x:c r="D475" s="84" t="n">
        <x:v>1</x:v>
      </x:c>
      <x:c r="E475" s="84" t="n">
        <x:v>37</x:v>
      </x:c>
      <x:c r="F475" s="89" t="n">
        <x:v>45444.829189814816</x:v>
      </x:c>
      <x:c r="G475" s="89" t="n">
        <x:v>45457.829189814816</x:v>
      </x:c>
      <x:c r="H475" s="89" t="n">
        <x:v>45447.079189814816</x:v>
      </x:c>
      <x:c r="I475" s="89"/>
      <x:c r="J475" s="84" t="str">
        <x:v>Alta</x:v>
      </x:c>
      <x:c r="K475" s="84" t="str">
        <x:v>Aguardando peça</x:v>
      </x:c>
      <x:c r="L475" s="84" t="str">
        <x:v>Vazamento</x:v>
      </x:c>
      <x:c r="M475" s="84" t="str">
        <x:v>Falta de lubrificação</x:v>
      </x:c>
      <x:c r="N475" s="84"/>
      <x:c r="O475" s="84" t="n">
        <x:v>0</x:v>
      </x:c>
      <x:c r="P475" s="93" t="n">
        <x:v>184.41</x:v>
      </x:c>
      <x:c r="Q475" s="93" t="n">
        <x:v>2235.95</x:v>
      </x:c>
      <x:c r="R475" s="91" t="n">
        <x:v>0</x:v>
      </x:c>
    </x:row>
    <x:row r="476">
      <x:c r="A476" s="83" t="n">
        <x:v>475</x:v>
      </x:c>
      <x:c r="B476" s="84" t="str">
        <x:v>OS-2025-00475</x:v>
      </x:c>
      <x:c r="C476" s="84" t="n">
        <x:v>71</x:v>
      </x:c>
      <x:c r="D476" s="84" t="n">
        <x:v>2</x:v>
      </x:c>
      <x:c r="E476" s="84"/>
      <x:c r="F476" s="89" t="n">
        <x:v>45928.09363425926</x:v>
      </x:c>
      <x:c r="G476" s="89" t="n">
        <x:v>45932.09363425926</x:v>
      </x:c>
      <x:c r="H476" s="89" t="n">
        <x:v>45929.135300925926</x:v>
      </x:c>
      <x:c r="I476" s="89" t="n">
        <x:v>45929.260300925926</x:v>
      </x:c>
      <x:c r="J476" s="84" t="str">
        <x:v>Alta</x:v>
      </x:c>
      <x:c r="K476" s="84" t="str">
        <x:v>Encerrada</x:v>
      </x:c>
      <x:c r="L476" s="84" t="str">
        <x:v>Ruído anormal</x:v>
      </x:c>
      <x:c r="M476" s="84" t="str">
        <x:v>Conexão frouxa</x:v>
      </x:c>
      <x:c r="N476" s="84" t="str">
        <x:v>Componente ajustado ou substituído</x:v>
      </x:c>
      <x:c r="O476" s="84" t="n">
        <x:v>0</x:v>
      </x:c>
      <x:c r="P476" s="93" t="n">
        <x:v>23.75</x:v>
      </x:c>
      <x:c r="Q476" s="93" t="n">
        <x:v>4725.18</x:v>
      </x:c>
      <x:c r="R476" s="91" t="n">
        <x:v>0</x:v>
      </x:c>
    </x:row>
    <x:row r="477">
      <x:c r="A477" s="83" t="n">
        <x:v>476</x:v>
      </x:c>
      <x:c r="B477" s="84" t="str">
        <x:v>OS-2025-00476</x:v>
      </x:c>
      <x:c r="C477" s="84" t="n">
        <x:v>52</x:v>
      </x:c>
      <x:c r="D477" s="84" t="n">
        <x:v>1</x:v>
      </x:c>
      <x:c r="E477" s="84" t="n">
        <x:v>103</x:v>
      </x:c>
      <x:c r="F477" s="89" t="n">
        <x:v>45891.489282407405</x:v>
      </x:c>
      <x:c r="G477" s="89" t="n">
        <x:v>45899.489282407405</x:v>
      </x:c>
      <x:c r="H477" s="89" t="n">
        <x:v>45892.53094907408</x:v>
      </x:c>
      <x:c r="I477" s="89"/>
      <x:c r="J477" s="84" t="str">
        <x:v>Baixa</x:v>
      </x:c>
      <x:c r="K477" s="84" t="str">
        <x:v>Aguardando peça</x:v>
      </x:c>
      <x:c r="L477" s="84" t="str">
        <x:v>Ruído anormal</x:v>
      </x:c>
      <x:c r="M477" s="84" t="str">
        <x:v>Ajuste incorreto</x:v>
      </x:c>
      <x:c r="N477" s="84"/>
      <x:c r="O477" s="84" t="n">
        <x:v>0</x:v>
      </x:c>
      <x:c r="P477" s="93" t="n">
        <x:v>388.74</x:v>
      </x:c>
      <x:c r="Q477" s="93" t="n">
        <x:v>8721.5</x:v>
      </x:c>
      <x:c r="R477" s="91" t="n">
        <x:v>0</x:v>
      </x:c>
    </x:row>
    <x:row r="478">
      <x:c r="A478" s="83" t="n">
        <x:v>477</x:v>
      </x:c>
      <x:c r="B478" s="84" t="str">
        <x:v>OS-2024-00477</x:v>
      </x:c>
      <x:c r="C478" s="84" t="n">
        <x:v>11</x:v>
      </x:c>
      <x:c r="D478" s="84" t="n">
        <x:v>6</x:v>
      </x:c>
      <x:c r="E478" s="84"/>
      <x:c r="F478" s="89" t="n">
        <x:v>45530.266550925924</x:v>
      </x:c>
      <x:c r="G478" s="89" t="n">
        <x:v>45530.266550925924</x:v>
      </x:c>
      <x:c r="H478" s="89" t="n">
        <x:v>45530.72488425926</x:v>
      </x:c>
      <x:c r="I478" s="89" t="n">
        <x:v>45531.34988425926</x:v>
      </x:c>
      <x:c r="J478" s="84" t="str">
        <x:v>Baixa</x:v>
      </x:c>
      <x:c r="K478" s="84" t="str">
        <x:v>Encerrada</x:v>
      </x:c>
      <x:c r="L478" s="84" t="str">
        <x:v>Falha elétrica</x:v>
      </x:c>
      <x:c r="M478" s="84" t="str">
        <x:v>Componente danificado</x:v>
      </x:c>
      <x:c r="N478" s="84" t="str">
        <x:v>Componente ajustado ou substituído</x:v>
      </x:c>
      <x:c r="O478" s="84" t="n">
        <x:v>0</x:v>
      </x:c>
      <x:c r="P478" s="93" t="n">
        <x:v>224.2</x:v>
      </x:c>
      <x:c r="Q478" s="93" t="n">
        <x:v>9387.68</x:v>
      </x:c>
      <x:c r="R478" s="91" t="n">
        <x:v>0</x:v>
      </x:c>
    </x:row>
    <x:row r="479">
      <x:c r="A479" s="83" t="n">
        <x:v>478</x:v>
      </x:c>
      <x:c r="B479" s="84" t="str">
        <x:v>OS-2024-00478</x:v>
      </x:c>
      <x:c r="C479" s="84" t="n">
        <x:v>50</x:v>
      </x:c>
      <x:c r="D479" s="84" t="n">
        <x:v>1</x:v>
      </x:c>
      <x:c r="E479" s="84" t="n">
        <x:v>100</x:v>
      </x:c>
      <x:c r="F479" s="89" t="n">
        <x:v>45615.8459375</x:v>
      </x:c>
      <x:c r="G479" s="89" t="n">
        <x:v>45620.8459375</x:v>
      </x:c>
      <x:c r="H479" s="89" t="n">
        <x:v>45616.05427083333</x:v>
      </x:c>
      <x:c r="I479" s="89" t="n">
        <x:v>45616.4709375</x:v>
      </x:c>
      <x:c r="J479" s="84" t="str">
        <x:v>Alta</x:v>
      </x:c>
      <x:c r="K479" s="84" t="str">
        <x:v>Concluída</x:v>
      </x:c>
      <x:c r="L479" s="84" t="str">
        <x:v>Baixa pressão</x:v>
      </x:c>
      <x:c r="M479" s="84" t="str">
        <x:v>Conexão frouxa</x:v>
      </x:c>
      <x:c r="N479" s="84" t="str">
        <x:v>Componente ajustado ou substituído</x:v>
      </x:c>
      <x:c r="O479" s="84" t="n">
        <x:v>0</x:v>
      </x:c>
      <x:c r="P479" s="93" t="n">
        <x:v>458.15</x:v>
      </x:c>
      <x:c r="Q479" s="93" t="n">
        <x:v>2540.72</x:v>
      </x:c>
      <x:c r="R479" s="91" t="n">
        <x:v>0</x:v>
      </x:c>
    </x:row>
    <x:row r="480">
      <x:c r="A480" s="83" t="n">
        <x:v>479</x:v>
      </x:c>
      <x:c r="B480" s="84" t="str">
        <x:v>OS-2025-00479</x:v>
      </x:c>
      <x:c r="C480" s="84" t="n">
        <x:v>10</x:v>
      </x:c>
      <x:c r="D480" s="84" t="n">
        <x:v>3</x:v>
      </x:c>
      <x:c r="E480" s="84"/>
      <x:c r="F480" s="89" t="n">
        <x:v>45866.301828703705</x:v>
      </x:c>
      <x:c r="G480" s="89"/>
      <x:c r="H480" s="89" t="n">
        <x:v>45867.676828703705</x:v>
      </x:c>
      <x:c r="I480" s="89"/>
      <x:c r="J480" s="84" t="str">
        <x:v>Alta</x:v>
      </x:c>
      <x:c r="K480" s="84" t="str">
        <x:v>Em execução</x:v>
      </x:c>
      <x:c r="L480" s="84" t="str">
        <x:v>Alarme intermitente</x:v>
      </x:c>
      <x:c r="M480" s="84" t="str">
        <x:v>Contaminação</x:v>
      </x:c>
      <x:c r="N480" s="84"/>
      <x:c r="O480" s="84" t="n">
        <x:v>0</x:v>
      </x:c>
      <x:c r="P480" s="93" t="n">
        <x:v>293.44</x:v>
      </x:c>
      <x:c r="Q480" s="93" t="n">
        <x:v>0</x:v>
      </x:c>
      <x:c r="R480" s="91" t="n">
        <x:v>0</x:v>
      </x:c>
    </x:row>
    <x:row r="481">
      <x:c r="A481" s="83" t="n">
        <x:v>480</x:v>
      </x:c>
      <x:c r="B481" s="84" t="str">
        <x:v>OS-2025-00480</x:v>
      </x:c>
      <x:c r="C481" s="84" t="n">
        <x:v>43</x:v>
      </x:c>
      <x:c r="D481" s="84" t="n">
        <x:v>7</x:v>
      </x:c>
      <x:c r="E481" s="84" t="n">
        <x:v>86</x:v>
      </x:c>
      <x:c r="F481" s="89" t="n">
        <x:v>45665.71616898148</x:v>
      </x:c>
      <x:c r="G481" s="89" t="n">
        <x:v>45678.71616898148</x:v>
      </x:c>
      <x:c r="H481" s="89" t="n">
        <x:v>45668.632835648146</x:v>
      </x:c>
      <x:c r="I481" s="89" t="n">
        <x:v>45669.46616898148</x:v>
      </x:c>
      <x:c r="J481" s="84" t="str">
        <x:v>Alta</x:v>
      </x:c>
      <x:c r="K481" s="84" t="str">
        <x:v>Encerrada</x:v>
      </x:c>
      <x:c r="L481" s="84" t="str">
        <x:v>Superaquecimento</x:v>
      </x:c>
      <x:c r="M481" s="84" t="str">
        <x:v>Falta de lubrificação</x:v>
      </x:c>
      <x:c r="N481" s="84" t="str">
        <x:v>Componente ajustado ou substituído</x:v>
      </x:c>
      <x:c r="O481" s="84" t="n">
        <x:v>0</x:v>
      </x:c>
      <x:c r="P481" s="93" t="n">
        <x:v>288.25</x:v>
      </x:c>
      <x:c r="Q481" s="93" t="n">
        <x:v>0</x:v>
      </x:c>
      <x:c r="R481" s="91" t="n">
        <x:v>0</x:v>
      </x:c>
    </x:row>
    <x:row r="482">
      <x:c r="A482" s="83" t="n">
        <x:v>481</x:v>
      </x:c>
      <x:c r="B482" s="84" t="str">
        <x:v>OS-2023-00481</x:v>
      </x:c>
      <x:c r="C482" s="84" t="n">
        <x:v>12</x:v>
      </x:c>
      <x:c r="D482" s="84" t="n">
        <x:v>3</x:v>
      </x:c>
      <x:c r="E482" s="84"/>
      <x:c r="F482" s="89" t="n">
        <x:v>45011.12008101852</x:v>
      </x:c>
      <x:c r="G482" s="89"/>
      <x:c r="H482" s="89" t="n">
        <x:v>45012.078414351854</x:v>
      </x:c>
      <x:c r="I482" s="89" t="n">
        <x:v>45012.578414351854</x:v>
      </x:c>
      <x:c r="J482" s="84" t="str">
        <x:v>Crítica</x:v>
      </x:c>
      <x:c r="K482" s="84" t="str">
        <x:v>Concluída</x:v>
      </x:c>
      <x:c r="L482" s="84" t="str">
        <x:v>Baixa pressão</x:v>
      </x:c>
      <x:c r="M482" s="84" t="str">
        <x:v>Ajuste incorreto</x:v>
      </x:c>
      <x:c r="N482" s="84" t="str">
        <x:v>Componente ajustado ou substituído</x:v>
      </x:c>
      <x:c r="O482" s="84" t="n">
        <x:v>0</x:v>
      </x:c>
      <x:c r="P482" s="93" t="n">
        <x:v>291.58</x:v>
      </x:c>
      <x:c r="Q482" s="93" t="n">
        <x:v>8621.68</x:v>
      </x:c>
      <x:c r="R482" s="91" t="n">
        <x:v>0</x:v>
      </x:c>
    </x:row>
    <x:row r="483">
      <x:c r="A483" s="83" t="n">
        <x:v>482</x:v>
      </x:c>
      <x:c r="B483" s="84" t="str">
        <x:v>OS-2024-00482</x:v>
      </x:c>
      <x:c r="C483" s="84" t="n">
        <x:v>35</x:v>
      </x:c>
      <x:c r="D483" s="84" t="n">
        <x:v>2</x:v>
      </x:c>
      <x:c r="E483" s="84"/>
      <x:c r="F483" s="89" t="n">
        <x:v>45413.11243055556</x:v>
      </x:c>
      <x:c r="G483" s="89" t="n">
        <x:v>45419.11243055556</x:v>
      </x:c>
      <x:c r="H483" s="89" t="n">
        <x:v>45413.86243055556</x:v>
      </x:c>
      <x:c r="I483" s="89" t="n">
        <x:v>45414.23743055556</x:v>
      </x:c>
      <x:c r="J483" s="84" t="str">
        <x:v>Baixa</x:v>
      </x:c>
      <x:c r="K483" s="84" t="str">
        <x:v>Encerrada</x:v>
      </x:c>
      <x:c r="L483" s="84" t="str">
        <x:v>Ruído anormal</x:v>
      </x:c>
      <x:c r="M483" s="84" t="str">
        <x:v>Conexão frouxa</x:v>
      </x:c>
      <x:c r="N483" s="84" t="str">
        <x:v>Componente ajustado ou substituído</x:v>
      </x:c>
      <x:c r="O483" s="84" t="n">
        <x:v>0</x:v>
      </x:c>
      <x:c r="P483" s="93" t="n">
        <x:v>272.9</x:v>
      </x:c>
      <x:c r="Q483" s="93" t="n">
        <x:v>7679.88</x:v>
      </x:c>
      <x:c r="R483" s="91" t="n">
        <x:v>0</x:v>
      </x:c>
    </x:row>
    <x:row r="484">
      <x:c r="A484" s="83" t="n">
        <x:v>483</x:v>
      </x:c>
      <x:c r="B484" s="84" t="str">
        <x:v>OS-2024-00483</x:v>
      </x:c>
      <x:c r="C484" s="84" t="n">
        <x:v>10</x:v>
      </x:c>
      <x:c r="D484" s="84" t="n">
        <x:v>5</x:v>
      </x:c>
      <x:c r="E484" s="84" t="n">
        <x:v>19</x:v>
      </x:c>
      <x:c r="F484" s="89" t="n">
        <x:v>45431.214421296296</x:v>
      </x:c>
      <x:c r="G484" s="89" t="n">
        <x:v>45438.214421296296</x:v>
      </x:c>
      <x:c r="H484" s="89" t="n">
        <x:v>45433.42275462963</x:v>
      </x:c>
      <x:c r="I484" s="89" t="n">
        <x:v>45433.964421296296</x:v>
      </x:c>
      <x:c r="J484" s="84" t="str">
        <x:v>Baixa</x:v>
      </x:c>
      <x:c r="K484" s="84" t="str">
        <x:v>Encerrada</x:v>
      </x:c>
      <x:c r="L484" s="84" t="str">
        <x:v>Falha elétrica</x:v>
      </x:c>
      <x:c r="M484" s="84" t="str">
        <x:v>Falta de lubrificação</x:v>
      </x:c>
      <x:c r="N484" s="84" t="str">
        <x:v>Componente ajustado ou substituído</x:v>
      </x:c>
      <x:c r="O484" s="84" t="n">
        <x:v>0</x:v>
      </x:c>
      <x:c r="P484" s="93" t="n">
        <x:v>211.24</x:v>
      </x:c>
      <x:c r="Q484" s="93" t="n">
        <x:v>11029.47</x:v>
      </x:c>
      <x:c r="R484" s="91" t="n">
        <x:v>0</x:v>
      </x:c>
    </x:row>
    <x:row r="485">
      <x:c r="A485" s="83" t="n">
        <x:v>484</x:v>
      </x:c>
      <x:c r="B485" s="84" t="str">
        <x:v>OS-2024-00484</x:v>
      </x:c>
      <x:c r="C485" s="84" t="n">
        <x:v>7</x:v>
      </x:c>
      <x:c r="D485" s="84" t="n">
        <x:v>1</x:v>
      </x:c>
      <x:c r="E485" s="84" t="n">
        <x:v>14</x:v>
      </x:c>
      <x:c r="F485" s="89" t="n">
        <x:v>45420.72368055556</x:v>
      </x:c>
      <x:c r="G485" s="89" t="n">
        <x:v>45420.72368055556</x:v>
      </x:c>
      <x:c r="H485" s="89"/>
      <x:c r="I485" s="89"/>
      <x:c r="J485" s="84" t="str">
        <x:v>Baixa</x:v>
      </x:c>
      <x:c r="K485" s="84" t="str">
        <x:v>Cancelada</x:v>
      </x:c>
      <x:c r="L485" s="84" t="str">
        <x:v>Desalinhamento</x:v>
      </x:c>
      <x:c r="M485" s="84"/>
      <x:c r="N485" s="84"/>
      <x:c r="O485" s="84" t="n">
        <x:v>0</x:v>
      </x:c>
      <x:c r="P485" s="93" t="n">
        <x:v>0</x:v>
      </x:c>
      <x:c r="Q485" s="93" t="n">
        <x:v>0</x:v>
      </x:c>
      <x:c r="R485" s="91" t="n">
        <x:v>0</x:v>
      </x:c>
    </x:row>
    <x:row r="486">
      <x:c r="A486" s="83" t="n">
        <x:v>485</x:v>
      </x:c>
      <x:c r="B486" s="84" t="str">
        <x:v>OS-2023-00485</x:v>
      </x:c>
      <x:c r="C486" s="84" t="n">
        <x:v>64</x:v>
      </x:c>
      <x:c r="D486" s="84" t="n">
        <x:v>1</x:v>
      </x:c>
      <x:c r="E486" s="84" t="n">
        <x:v>128</x:v>
      </x:c>
      <x:c r="F486" s="89" t="n">
        <x:v>45039.377905092595</x:v>
      </x:c>
      <x:c r="G486" s="89" t="n">
        <x:v>45051.377905092595</x:v>
      </x:c>
      <x:c r="H486" s="89" t="n">
        <x:v>45041.29457175926</x:v>
      </x:c>
      <x:c r="I486" s="89" t="n">
        <x:v>45041.627905092595</x:v>
      </x:c>
      <x:c r="J486" s="84" t="str">
        <x:v>Média</x:v>
      </x:c>
      <x:c r="K486" s="84" t="str">
        <x:v>Concluída</x:v>
      </x:c>
      <x:c r="L486" s="84" t="str">
        <x:v>Desalinhamento</x:v>
      </x:c>
      <x:c r="M486" s="84" t="str">
        <x:v>Desgaste natural</x:v>
      </x:c>
      <x:c r="N486" s="84" t="str">
        <x:v>Componente ajustado ou substituído</x:v>
      </x:c>
      <x:c r="O486" s="84" t="n">
        <x:v>0</x:v>
      </x:c>
      <x:c r="P486" s="93" t="n">
        <x:v>682.04</x:v>
      </x:c>
      <x:c r="Q486" s="93" t="n">
        <x:v>0</x:v>
      </x:c>
      <x:c r="R486" s="91" t="n">
        <x:v>0</x:v>
      </x:c>
    </x:row>
    <x:row r="487">
      <x:c r="A487" s="83" t="n">
        <x:v>486</x:v>
      </x:c>
      <x:c r="B487" s="84" t="str">
        <x:v>OS-2025-00486</x:v>
      </x:c>
      <x:c r="C487" s="84" t="n">
        <x:v>77</x:v>
      </x:c>
      <x:c r="D487" s="84" t="n">
        <x:v>4</x:v>
      </x:c>
      <x:c r="E487" s="84"/>
      <x:c r="F487" s="89" t="n">
        <x:v>45899.69341435185</x:v>
      </x:c>
      <x:c r="G487" s="89" t="n">
        <x:v>45913.69341435185</x:v>
      </x:c>
      <x:c r="H487" s="89" t="n">
        <x:v>45902.110081018516</x:v>
      </x:c>
      <x:c r="I487" s="89" t="n">
        <x:v>45902.485081018516</x:v>
      </x:c>
      <x:c r="J487" s="84" t="str">
        <x:v>Alta</x:v>
      </x:c>
      <x:c r="K487" s="84" t="str">
        <x:v>Encerrada</x:v>
      </x:c>
      <x:c r="L487" s="84" t="str">
        <x:v>Falha elétrica</x:v>
      </x:c>
      <x:c r="M487" s="84" t="str">
        <x:v>Conexão frouxa</x:v>
      </x:c>
      <x:c r="N487" s="84" t="str">
        <x:v>Componente ajustado ou substituído</x:v>
      </x:c>
      <x:c r="O487" s="84" t="n">
        <x:v>0</x:v>
      </x:c>
      <x:c r="P487" s="93" t="n">
        <x:v>123.1</x:v>
      </x:c>
      <x:c r="Q487" s="93" t="n">
        <x:v>6592.15</x:v>
      </x:c>
      <x:c r="R487" s="91" t="n">
        <x:v>0</x:v>
      </x:c>
    </x:row>
    <x:row r="488">
      <x:c r="A488" s="83" t="n">
        <x:v>487</x:v>
      </x:c>
      <x:c r="B488" s="84" t="str">
        <x:v>OS-2024-00487</x:v>
      </x:c>
      <x:c r="C488" s="84" t="n">
        <x:v>78</x:v>
      </x:c>
      <x:c r="D488" s="84" t="n">
        <x:v>1</x:v>
      </x:c>
      <x:c r="E488" s="84" t="n">
        <x:v>156</x:v>
      </x:c>
      <x:c r="F488" s="89" t="n">
        <x:v>45319.97987268519</x:v>
      </x:c>
      <x:c r="G488" s="89" t="n">
        <x:v>45327.97987268519</x:v>
      </x:c>
      <x:c r="H488" s="89" t="n">
        <x:v>45321.313206018516</x:v>
      </x:c>
      <x:c r="I488" s="89" t="n">
        <x:v>45321.52153935185</x:v>
      </x:c>
      <x:c r="J488" s="84" t="str">
        <x:v>Alta</x:v>
      </x:c>
      <x:c r="K488" s="84" t="str">
        <x:v>Encerrada</x:v>
      </x:c>
      <x:c r="L488" s="84" t="str">
        <x:v>Falha elétrica</x:v>
      </x:c>
      <x:c r="M488" s="84" t="str">
        <x:v>Desgaste natural</x:v>
      </x:c>
      <x:c r="N488" s="84" t="str">
        <x:v>Componente ajustado ou substituído</x:v>
      </x:c>
      <x:c r="O488" s="84" t="n">
        <x:v>0</x:v>
      </x:c>
      <x:c r="P488" s="93" t="n">
        <x:v>255.85</x:v>
      </x:c>
      <x:c r="Q488" s="93" t="n">
        <x:v>7523.8</x:v>
      </x:c>
      <x:c r="R488" s="91" t="n">
        <x:v>0</x:v>
      </x:c>
    </x:row>
    <x:row r="489">
      <x:c r="A489" s="83" t="n">
        <x:v>488</x:v>
      </x:c>
      <x:c r="B489" s="84" t="str">
        <x:v>OS-2023-00488</x:v>
      </x:c>
      <x:c r="C489" s="84" t="n">
        <x:v>2</x:v>
      </x:c>
      <x:c r="D489" s="84" t="n">
        <x:v>1</x:v>
      </x:c>
      <x:c r="E489" s="84" t="n">
        <x:v>3</x:v>
      </x:c>
      <x:c r="F489" s="89" t="n">
        <x:v>45182.378796296296</x:v>
      </x:c>
      <x:c r="G489" s="89" t="n">
        <x:v>45183.378796296296</x:v>
      </x:c>
      <x:c r="H489" s="89"/>
      <x:c r="I489" s="89"/>
      <x:c r="J489" s="84" t="str">
        <x:v>Baixa</x:v>
      </x:c>
      <x:c r="K489" s="84" t="str">
        <x:v>Planejada</x:v>
      </x:c>
      <x:c r="L489" s="84" t="str">
        <x:v>Falha elétrica</x:v>
      </x:c>
      <x:c r="M489" s="84"/>
      <x:c r="N489" s="84"/>
      <x:c r="O489" s="84" t="n">
        <x:v>0</x:v>
      </x:c>
      <x:c r="P489" s="93" t="n">
        <x:v>0</x:v>
      </x:c>
      <x:c r="Q489" s="93" t="n">
        <x:v>0</x:v>
      </x:c>
      <x:c r="R489" s="91" t="n">
        <x:v>0</x:v>
      </x:c>
    </x:row>
    <x:row r="490">
      <x:c r="A490" s="83" t="n">
        <x:v>489</x:v>
      </x:c>
      <x:c r="B490" s="84" t="str">
        <x:v>OS-2023-00489</x:v>
      </x:c>
      <x:c r="C490" s="84" t="n">
        <x:v>39</x:v>
      </x:c>
      <x:c r="D490" s="84" t="n">
        <x:v>1</x:v>
      </x:c>
      <x:c r="E490" s="84" t="n">
        <x:v>78</x:v>
      </x:c>
      <x:c r="F490" s="89" t="n">
        <x:v>45002.18305555556</x:v>
      </x:c>
      <x:c r="G490" s="89" t="n">
        <x:v>45002.18305555556</x:v>
      </x:c>
      <x:c r="H490" s="89" t="n">
        <x:v>45004.80805555556</x:v>
      </x:c>
      <x:c r="I490" s="89" t="n">
        <x:v>45005.55805555556</x:v>
      </x:c>
      <x:c r="J490" s="84" t="str">
        <x:v>Crítica</x:v>
      </x:c>
      <x:c r="K490" s="84" t="str">
        <x:v>Encerrada</x:v>
      </x:c>
      <x:c r="L490" s="84" t="str">
        <x:v>Baixa pressão</x:v>
      </x:c>
      <x:c r="M490" s="84" t="str">
        <x:v>Desgaste natural</x:v>
      </x:c>
      <x:c r="N490" s="84" t="str">
        <x:v>Componente ajustado ou substituído</x:v>
      </x:c>
      <x:c r="O490" s="84" t="n">
        <x:v>0</x:v>
      </x:c>
      <x:c r="P490" s="93" t="n">
        <x:v>152.46</x:v>
      </x:c>
      <x:c r="Q490" s="93" t="n">
        <x:v>11703.8</x:v>
      </x:c>
      <x:c r="R490" s="91" t="n">
        <x:v>0</x:v>
      </x:c>
    </x:row>
    <x:row r="491">
      <x:c r="A491" s="83" t="n">
        <x:v>490</x:v>
      </x:c>
      <x:c r="B491" s="84" t="str">
        <x:v>OS-2023-00490</x:v>
      </x:c>
      <x:c r="C491" s="84" t="n">
        <x:v>50</x:v>
      </x:c>
      <x:c r="D491" s="84" t="n">
        <x:v>4</x:v>
      </x:c>
      <x:c r="E491" s="84"/>
      <x:c r="F491" s="89" t="n">
        <x:v>45074.18392361111</x:v>
      </x:c>
      <x:c r="G491" s="89" t="n">
        <x:v>45084.18392361111</x:v>
      </x:c>
      <x:c r="H491" s="89" t="n">
        <x:v>45077.18392361111</x:v>
      </x:c>
      <x:c r="I491" s="89" t="n">
        <x:v>45077.850590277776</x:v>
      </x:c>
      <x:c r="J491" s="84" t="str">
        <x:v>Alta</x:v>
      </x:c>
      <x:c r="K491" s="84" t="str">
        <x:v>Encerrada</x:v>
      </x:c>
      <x:c r="L491" s="84" t="str">
        <x:v>Superaquecimento</x:v>
      </x:c>
      <x:c r="M491" s="84" t="str">
        <x:v>Conexão frouxa</x:v>
      </x:c>
      <x:c r="N491" s="84" t="str">
        <x:v>Componente ajustado ou substituído</x:v>
      </x:c>
      <x:c r="O491" s="84" t="n">
        <x:v>0</x:v>
      </x:c>
      <x:c r="P491" s="93" t="n">
        <x:v>685.63</x:v>
      </x:c>
      <x:c r="Q491" s="93" t="n">
        <x:v>1033.71</x:v>
      </x:c>
      <x:c r="R491" s="91" t="n">
        <x:v>0</x:v>
      </x:c>
    </x:row>
    <x:row r="492">
      <x:c r="A492" s="83" t="n">
        <x:v>491</x:v>
      </x:c>
      <x:c r="B492" s="84" t="str">
        <x:v>OS-2024-00491</x:v>
      </x:c>
      <x:c r="C492" s="84" t="n">
        <x:v>72</x:v>
      </x:c>
      <x:c r="D492" s="84" t="n">
        <x:v>5</x:v>
      </x:c>
      <x:c r="E492" s="84" t="n">
        <x:v>144</x:v>
      </x:c>
      <x:c r="F492" s="89" t="n">
        <x:v>45401.06511574074</x:v>
      </x:c>
      <x:c r="G492" s="89" t="n">
        <x:v>45406.06511574074</x:v>
      </x:c>
      <x:c r="H492" s="89" t="n">
        <x:v>45403.64844907408</x:v>
      </x:c>
      <x:c r="I492" s="89" t="n">
        <x:v>45404.14844907408</x:v>
      </x:c>
      <x:c r="J492" s="84" t="str">
        <x:v>Baixa</x:v>
      </x:c>
      <x:c r="K492" s="84" t="str">
        <x:v>Encerrada</x:v>
      </x:c>
      <x:c r="L492" s="84" t="str">
        <x:v>Alarme intermitente</x:v>
      </x:c>
      <x:c r="M492" s="84" t="str">
        <x:v>Ajuste incorreto</x:v>
      </x:c>
      <x:c r="N492" s="84" t="str">
        <x:v>Componente ajustado ou substituído</x:v>
      </x:c>
      <x:c r="O492" s="84" t="n">
        <x:v>0</x:v>
      </x:c>
      <x:c r="P492" s="93" t="n">
        <x:v>310.36</x:v>
      </x:c>
      <x:c r="Q492" s="93" t="n">
        <x:v>820.47</x:v>
      </x:c>
      <x:c r="R492" s="91" t="n">
        <x:v>0</x:v>
      </x:c>
    </x:row>
    <x:row r="493">
      <x:c r="A493" s="83" t="n">
        <x:v>492</x:v>
      </x:c>
      <x:c r="B493" s="84" t="str">
        <x:v>OS-2024-00492</x:v>
      </x:c>
      <x:c r="C493" s="84" t="n">
        <x:v>42</x:v>
      </x:c>
      <x:c r="D493" s="84" t="n">
        <x:v>3</x:v>
      </x:c>
      <x:c r="E493" s="84"/>
      <x:c r="F493" s="89" t="n">
        <x:v>45315.866064814814</x:v>
      </x:c>
      <x:c r="G493" s="89"/>
      <x:c r="H493" s="89" t="n">
        <x:v>45316.53273148148</x:v>
      </x:c>
      <x:c r="I493" s="89"/>
      <x:c r="J493" s="84" t="str">
        <x:v>Alta</x:v>
      </x:c>
      <x:c r="K493" s="84" t="str">
        <x:v>Em execução</x:v>
      </x:c>
      <x:c r="L493" s="84" t="str">
        <x:v>Desalinhamento</x:v>
      </x:c>
      <x:c r="M493" s="84" t="str">
        <x:v>Falta de lubrificação</x:v>
      </x:c>
      <x:c r="N493" s="84"/>
      <x:c r="O493" s="84" t="n">
        <x:v>0</x:v>
      </x:c>
      <x:c r="P493" s="93" t="n">
        <x:v>458.7</x:v>
      </x:c>
      <x:c r="Q493" s="93" t="n">
        <x:v>6031.44</x:v>
      </x:c>
      <x:c r="R493" s="91" t="n">
        <x:v>0</x:v>
      </x:c>
    </x:row>
    <x:row r="494">
      <x:c r="A494" s="83" t="n">
        <x:v>493</x:v>
      </x:c>
      <x:c r="B494" s="84" t="str">
        <x:v>OS-2025-00493</x:v>
      </x:c>
      <x:c r="C494" s="84" t="n">
        <x:v>61</x:v>
      </x:c>
      <x:c r="D494" s="84" t="n">
        <x:v>4</x:v>
      </x:c>
      <x:c r="E494" s="84"/>
      <x:c r="F494" s="89" t="n">
        <x:v>45764.860034722224</x:v>
      </x:c>
      <x:c r="G494" s="89" t="n">
        <x:v>45776.860034722224</x:v>
      </x:c>
      <x:c r="H494" s="89" t="n">
        <x:v>45765.19336805555</x:v>
      </x:c>
      <x:c r="I494" s="89" t="n">
        <x:v>45765.735034722224</x:v>
      </x:c>
      <x:c r="J494" s="84" t="str">
        <x:v>Alta</x:v>
      </x:c>
      <x:c r="K494" s="84" t="str">
        <x:v>Encerrada</x:v>
      </x:c>
      <x:c r="L494" s="84" t="str">
        <x:v>Vazamento</x:v>
      </x:c>
      <x:c r="M494" s="84" t="str">
        <x:v>Ajuste incorreto</x:v>
      </x:c>
      <x:c r="N494" s="84" t="str">
        <x:v>Componente ajustado ou substituído</x:v>
      </x:c>
      <x:c r="O494" s="84" t="n">
        <x:v>0</x:v>
      </x:c>
      <x:c r="P494" s="93" t="n">
        <x:v>219.22</x:v>
      </x:c>
      <x:c r="Q494" s="93" t="n">
        <x:v>11321.44</x:v>
      </x:c>
      <x:c r="R494" s="91" t="n">
        <x:v>11693.34</x:v>
      </x:c>
    </x:row>
    <x:row r="495">
      <x:c r="A495" s="83" t="n">
        <x:v>494</x:v>
      </x:c>
      <x:c r="B495" s="84" t="str">
        <x:v>OS-2024-00494</x:v>
      </x:c>
      <x:c r="C495" s="84" t="n">
        <x:v>64</x:v>
      </x:c>
      <x:c r="D495" s="84" t="n">
        <x:v>7</x:v>
      </x:c>
      <x:c r="E495" s="84" t="n">
        <x:v>127</x:v>
      </x:c>
      <x:c r="F495" s="89" t="n">
        <x:v>45490.02096064815</x:v>
      </x:c>
      <x:c r="G495" s="89" t="n">
        <x:v>45499.02096064815</x:v>
      </x:c>
      <x:c r="H495" s="89" t="n">
        <x:v>45492.27096064815</x:v>
      </x:c>
      <x:c r="I495" s="89" t="n">
        <x:v>45492.72929398148</x:v>
      </x:c>
      <x:c r="J495" s="84" t="str">
        <x:v>Alta</x:v>
      </x:c>
      <x:c r="K495" s="84" t="str">
        <x:v>Encerrada</x:v>
      </x:c>
      <x:c r="L495" s="84" t="str">
        <x:v>Desalinhamento</x:v>
      </x:c>
      <x:c r="M495" s="84" t="str">
        <x:v>Ajuste incorreto</x:v>
      </x:c>
      <x:c r="N495" s="84" t="str">
        <x:v>Componente ajustado ou substituído</x:v>
      </x:c>
      <x:c r="O495" s="84" t="n">
        <x:v>0</x:v>
      </x:c>
      <x:c r="P495" s="93" t="n">
        <x:v>401.93</x:v>
      </x:c>
      <x:c r="Q495" s="93" t="n">
        <x:v>9531.43</x:v>
      </x:c>
      <x:c r="R495" s="91" t="n">
        <x:v>0</x:v>
      </x:c>
    </x:row>
    <x:row r="496">
      <x:c r="A496" s="83" t="n">
        <x:v>495</x:v>
      </x:c>
      <x:c r="B496" s="84" t="str">
        <x:v>OS-2024-00495</x:v>
      </x:c>
      <x:c r="C496" s="84" t="n">
        <x:v>40</x:v>
      </x:c>
      <x:c r="D496" s="84" t="n">
        <x:v>1</x:v>
      </x:c>
      <x:c r="E496" s="84" t="n">
        <x:v>79</x:v>
      </x:c>
      <x:c r="F496" s="89" t="n">
        <x:v>45442.45212962963</x:v>
      </x:c>
      <x:c r="G496" s="89" t="n">
        <x:v>45448.45212962963</x:v>
      </x:c>
      <x:c r="H496" s="89"/>
      <x:c r="I496" s="89"/>
      <x:c r="J496" s="84" t="str">
        <x:v>Alta</x:v>
      </x:c>
      <x:c r="K496" s="84" t="str">
        <x:v>Planejada</x:v>
      </x:c>
      <x:c r="L496" s="84" t="str">
        <x:v>Baixa pressão</x:v>
      </x:c>
      <x:c r="M496" s="84"/>
      <x:c r="N496" s="84"/>
      <x:c r="O496" s="84" t="n">
        <x:v>1</x:v>
      </x:c>
      <x:c r="P496" s="93" t="n">
        <x:v>0</x:v>
      </x:c>
      <x:c r="Q496" s="93" t="n">
        <x:v>0</x:v>
      </x:c>
      <x:c r="R496" s="91" t="n">
        <x:v>0</x:v>
      </x:c>
    </x:row>
    <x:row r="497">
      <x:c r="A497" s="83" t="n">
        <x:v>496</x:v>
      </x:c>
      <x:c r="B497" s="84" t="str">
        <x:v>OS-2024-00496</x:v>
      </x:c>
      <x:c r="C497" s="84" t="n">
        <x:v>11</x:v>
      </x:c>
      <x:c r="D497" s="84" t="n">
        <x:v>2</x:v>
      </x:c>
      <x:c r="E497" s="84"/>
      <x:c r="F497" s="89" t="n">
        <x:v>45496.52576388889</x:v>
      </x:c>
      <x:c r="G497" s="89" t="n">
        <x:v>45506.52576388889</x:v>
      </x:c>
      <x:c r="H497" s="89" t="n">
        <x:v>45497.06743055556</x:v>
      </x:c>
      <x:c r="I497" s="89"/>
      <x:c r="J497" s="84" t="str">
        <x:v>Média</x:v>
      </x:c>
      <x:c r="K497" s="84" t="str">
        <x:v>Aguardando peça</x:v>
      </x:c>
      <x:c r="L497" s="84" t="str">
        <x:v>Alarme intermitente</x:v>
      </x:c>
      <x:c r="M497" s="84" t="str">
        <x:v>Desgaste natural</x:v>
      </x:c>
      <x:c r="N497" s="84"/>
      <x:c r="O497" s="84" t="n">
        <x:v>0</x:v>
      </x:c>
      <x:c r="P497" s="93" t="n">
        <x:v>164.92</x:v>
      </x:c>
      <x:c r="Q497" s="93" t="n">
        <x:v>4004.85</x:v>
      </x:c>
      <x:c r="R497" s="91" t="n">
        <x:v>0</x:v>
      </x:c>
    </x:row>
    <x:row r="498">
      <x:c r="A498" s="83" t="n">
        <x:v>497</x:v>
      </x:c>
      <x:c r="B498" s="84" t="str">
        <x:v>OS-2024-00497</x:v>
      </x:c>
      <x:c r="C498" s="84" t="n">
        <x:v>80</x:v>
      </x:c>
      <x:c r="D498" s="84" t="n">
        <x:v>3</x:v>
      </x:c>
      <x:c r="E498" s="84"/>
      <x:c r="F498" s="89" t="n">
        <x:v>45315.76020833333</x:v>
      </x:c>
      <x:c r="G498" s="89"/>
      <x:c r="H498" s="89" t="n">
        <x:v>45318.09354166667</x:v>
      </x:c>
      <x:c r="I498" s="89" t="n">
        <x:v>45318.551875</x:v>
      </x:c>
      <x:c r="J498" s="84" t="str">
        <x:v>Crítica</x:v>
      </x:c>
      <x:c r="K498" s="84" t="str">
        <x:v>Encerrada</x:v>
      </x:c>
      <x:c r="L498" s="84" t="str">
        <x:v>Vazamento</x:v>
      </x:c>
      <x:c r="M498" s="84" t="str">
        <x:v>Conexão frouxa</x:v>
      </x:c>
      <x:c r="N498" s="84" t="str">
        <x:v>Componente ajustado ou substituído</x:v>
      </x:c>
      <x:c r="O498" s="84" t="n">
        <x:v>0</x:v>
      </x:c>
      <x:c r="P498" s="93" t="n">
        <x:v>551.57</x:v>
      </x:c>
      <x:c r="Q498" s="93" t="n">
        <x:v>3588.82</x:v>
      </x:c>
      <x:c r="R498" s="91" t="n">
        <x:v>0</x:v>
      </x:c>
    </x:row>
    <x:row r="499">
      <x:c r="A499" s="83" t="n">
        <x:v>498</x:v>
      </x:c>
      <x:c r="B499" s="84" t="str">
        <x:v>OS-2024-00498</x:v>
      </x:c>
      <x:c r="C499" s="84" t="n">
        <x:v>50</x:v>
      </x:c>
      <x:c r="D499" s="84" t="n">
        <x:v>1</x:v>
      </x:c>
      <x:c r="E499" s="84" t="n">
        <x:v>99</x:v>
      </x:c>
      <x:c r="F499" s="89" t="n">
        <x:v>45526.34568287037</x:v>
      </x:c>
      <x:c r="G499" s="89" t="n">
        <x:v>45537.34568287037</x:v>
      </x:c>
      <x:c r="H499" s="89" t="n">
        <x:v>45527.97068287037</x:v>
      </x:c>
      <x:c r="I499" s="89"/>
      <x:c r="J499" s="84" t="str">
        <x:v>Baixa</x:v>
      </x:c>
      <x:c r="K499" s="84" t="str">
        <x:v>Em execução</x:v>
      </x:c>
      <x:c r="L499" s="84" t="str">
        <x:v>Alarme intermitente</x:v>
      </x:c>
      <x:c r="M499" s="84" t="str">
        <x:v>Conexão frouxa</x:v>
      </x:c>
      <x:c r="N499" s="84"/>
      <x:c r="O499" s="84" t="n">
        <x:v>0</x:v>
      </x:c>
      <x:c r="P499" s="93" t="n">
        <x:v>291.05</x:v>
      </x:c>
      <x:c r="Q499" s="93" t="n">
        <x:v>1653.7</x:v>
      </x:c>
      <x:c r="R499" s="91" t="n">
        <x:v>0</x:v>
      </x:c>
    </x:row>
    <x:row r="500">
      <x:c r="A500" s="83" t="n">
        <x:v>499</x:v>
      </x:c>
      <x:c r="B500" s="84" t="str">
        <x:v>OS-2023-00499</x:v>
      </x:c>
      <x:c r="C500" s="84" t="n">
        <x:v>3</x:v>
      </x:c>
      <x:c r="D500" s="84" t="n">
        <x:v>1</x:v>
      </x:c>
      <x:c r="E500" s="84" t="n">
        <x:v>6</x:v>
      </x:c>
      <x:c r="F500" s="89" t="n">
        <x:v>45125.99408564815</x:v>
      </x:c>
      <x:c r="G500" s="89" t="n">
        <x:v>45139.99408564815</x:v>
      </x:c>
      <x:c r="H500" s="89" t="n">
        <x:v>45128.61908564815</x:v>
      </x:c>
      <x:c r="I500" s="89" t="n">
        <x:v>45129.077418981484</x:v>
      </x:c>
      <x:c r="J500" s="84" t="str">
        <x:v>Baixa</x:v>
      </x:c>
      <x:c r="K500" s="84" t="str">
        <x:v>Encerrada</x:v>
      </x:c>
      <x:c r="L500" s="84" t="str">
        <x:v>Baixa pressão</x:v>
      </x:c>
      <x:c r="M500" s="84" t="str">
        <x:v>Componente danificado</x:v>
      </x:c>
      <x:c r="N500" s="84" t="str">
        <x:v>Componente ajustado ou substituído</x:v>
      </x:c>
      <x:c r="O500" s="84" t="n">
        <x:v>1</x:v>
      </x:c>
      <x:c r="P500" s="93" t="n">
        <x:v>172.97</x:v>
      </x:c>
      <x:c r="Q500" s="93" t="n">
        <x:v>0</x:v>
      </x:c>
      <x:c r="R500" s="91" t="n">
        <x:v>0</x:v>
      </x:c>
    </x:row>
    <x:row r="501">
      <x:c r="A501" s="83" t="n">
        <x:v>500</x:v>
      </x:c>
      <x:c r="B501" s="84" t="str">
        <x:v>OS-2023-00500</x:v>
      </x:c>
      <x:c r="C501" s="84" t="n">
        <x:v>10</x:v>
      </x:c>
      <x:c r="D501" s="84" t="n">
        <x:v>3</x:v>
      </x:c>
      <x:c r="E501" s="84"/>
      <x:c r="F501" s="89" t="n">
        <x:v>45036.64408564815</x:v>
      </x:c>
      <x:c r="G501" s="89"/>
      <x:c r="H501" s="89" t="n">
        <x:v>45036.97741898148</x:v>
      </x:c>
      <x:c r="I501" s="89"/>
      <x:c r="J501" s="84" t="str">
        <x:v>Crítica</x:v>
      </x:c>
      <x:c r="K501" s="84" t="str">
        <x:v>Em execução</x:v>
      </x:c>
      <x:c r="L501" s="84" t="str">
        <x:v>Baixa pressão</x:v>
      </x:c>
      <x:c r="M501" s="84" t="str">
        <x:v>Desgaste natural</x:v>
      </x:c>
      <x:c r="N501" s="84"/>
      <x:c r="O501" s="84" t="n">
        <x:v>0</x:v>
      </x:c>
      <x:c r="P501" s="93" t="n">
        <x:v>417.12</x:v>
      </x:c>
      <x:c r="Q501" s="93" t="n">
        <x:v>1813.25</x:v>
      </x:c>
      <x:c r="R501" s="91" t="n">
        <x:v>0</x:v>
      </x:c>
    </x:row>
    <x:row r="502">
      <x:c r="A502" s="83" t="n">
        <x:v>501</x:v>
      </x:c>
      <x:c r="B502" s="84" t="str">
        <x:v>OS-2023-00501</x:v>
      </x:c>
      <x:c r="C502" s="84" t="n">
        <x:v>45</x:v>
      </x:c>
      <x:c r="D502" s="84" t="n">
        <x:v>5</x:v>
      </x:c>
      <x:c r="E502" s="84" t="n">
        <x:v>90</x:v>
      </x:c>
      <x:c r="F502" s="89" t="n">
        <x:v>45139.292025462964</x:v>
      </x:c>
      <x:c r="G502" s="89" t="n">
        <x:v>45143.292025462964</x:v>
      </x:c>
      <x:c r="H502" s="89" t="n">
        <x:v>45140.792025462964</x:v>
      </x:c>
      <x:c r="I502" s="89" t="n">
        <x:v>45141.542025462964</x:v>
      </x:c>
      <x:c r="J502" s="84" t="str">
        <x:v>Crítica</x:v>
      </x:c>
      <x:c r="K502" s="84" t="str">
        <x:v>Encerrada</x:v>
      </x:c>
      <x:c r="L502" s="84" t="str">
        <x:v>Ruído anormal</x:v>
      </x:c>
      <x:c r="M502" s="84" t="str">
        <x:v>Componente danificado</x:v>
      </x:c>
      <x:c r="N502" s="84" t="str">
        <x:v>Componente ajustado ou substituído</x:v>
      </x:c>
      <x:c r="O502" s="84" t="n">
        <x:v>0</x:v>
      </x:c>
      <x:c r="P502" s="93" t="n">
        <x:v>304.74</x:v>
      </x:c>
      <x:c r="Q502" s="93" t="n">
        <x:v>5128.62</x:v>
      </x:c>
      <x:c r="R502" s="91" t="n">
        <x:v>0</x:v>
      </x:c>
    </x:row>
    <x:row r="503">
      <x:c r="A503" s="83" t="n">
        <x:v>502</x:v>
      </x:c>
      <x:c r="B503" s="84" t="str">
        <x:v>OS-2025-00502</x:v>
      </x:c>
      <x:c r="C503" s="84" t="n">
        <x:v>31</x:v>
      </x:c>
      <x:c r="D503" s="84" t="n">
        <x:v>4</x:v>
      </x:c>
      <x:c r="E503" s="84"/>
      <x:c r="F503" s="89" t="n">
        <x:v>45889.02179398148</x:v>
      </x:c>
      <x:c r="G503" s="89" t="n">
        <x:v>45889.02179398148</x:v>
      </x:c>
      <x:c r="H503" s="89" t="n">
        <x:v>45890.39679398148</x:v>
      </x:c>
      <x:c r="I503" s="89" t="n">
        <x:v>45890.98012731481</x:v>
      </x:c>
      <x:c r="J503" s="84" t="str">
        <x:v>Média</x:v>
      </x:c>
      <x:c r="K503" s="84" t="str">
        <x:v>Encerrada</x:v>
      </x:c>
      <x:c r="L503" s="84" t="str">
        <x:v>Vazamento</x:v>
      </x:c>
      <x:c r="M503" s="84" t="str">
        <x:v>Contaminação</x:v>
      </x:c>
      <x:c r="N503" s="84" t="str">
        <x:v>Componente ajustado ou substituído</x:v>
      </x:c>
      <x:c r="O503" s="84" t="n">
        <x:v>0</x:v>
      </x:c>
      <x:c r="P503" s="93" t="n">
        <x:v>402.53</x:v>
      </x:c>
      <x:c r="Q503" s="93" t="n">
        <x:v>0</x:v>
      </x:c>
      <x:c r="R503" s="91" t="n">
        <x:v>0</x:v>
      </x:c>
    </x:row>
    <x:row r="504">
      <x:c r="A504" s="83" t="n">
        <x:v>503</x:v>
      </x:c>
      <x:c r="B504" s="84" t="str">
        <x:v>OS-2023-00503</x:v>
      </x:c>
      <x:c r="C504" s="84" t="n">
        <x:v>36</x:v>
      </x:c>
      <x:c r="D504" s="84" t="n">
        <x:v>3</x:v>
      </x:c>
      <x:c r="E504" s="84"/>
      <x:c r="F504" s="89" t="n">
        <x:v>44928.73678240741</x:v>
      </x:c>
      <x:c r="G504" s="89"/>
      <x:c r="H504" s="89" t="n">
        <x:v>44929.028449074074</x:v>
      </x:c>
      <x:c r="I504" s="89" t="n">
        <x:v>44929.23678240741</x:v>
      </x:c>
      <x:c r="J504" s="84" t="str">
        <x:v>Alta</x:v>
      </x:c>
      <x:c r="K504" s="84" t="str">
        <x:v>Encerrada</x:v>
      </x:c>
      <x:c r="L504" s="84" t="str">
        <x:v>Baixa pressão</x:v>
      </x:c>
      <x:c r="M504" s="84" t="str">
        <x:v>Falta de lubrificação</x:v>
      </x:c>
      <x:c r="N504" s="84" t="str">
        <x:v>Componente ajustado ou substituído</x:v>
      </x:c>
      <x:c r="O504" s="84" t="n">
        <x:v>0</x:v>
      </x:c>
      <x:c r="P504" s="93" t="n">
        <x:v>588.43</x:v>
      </x:c>
      <x:c r="Q504" s="93" t="n">
        <x:v>0</x:v>
      </x:c>
      <x:c r="R504" s="91" t="n">
        <x:v>0</x:v>
      </x:c>
    </x:row>
    <x:row r="505">
      <x:c r="A505" s="83" t="n">
        <x:v>504</x:v>
      </x:c>
      <x:c r="B505" s="84" t="str">
        <x:v>OS-2024-00504</x:v>
      </x:c>
      <x:c r="C505" s="84" t="n">
        <x:v>59</x:v>
      </x:c>
      <x:c r="D505" s="84" t="n">
        <x:v>8</x:v>
      </x:c>
      <x:c r="E505" s="84"/>
      <x:c r="F505" s="89" t="n">
        <x:v>45646.18649305555</x:v>
      </x:c>
      <x:c r="G505" s="89" t="n">
        <x:v>45657.18649305555</x:v>
      </x:c>
      <x:c r="H505" s="89" t="n">
        <x:v>45647.353159722225</x:v>
      </x:c>
      <x:c r="I505" s="89"/>
      <x:c r="J505" s="84" t="str">
        <x:v>Baixa</x:v>
      </x:c>
      <x:c r="K505" s="84" t="str">
        <x:v>Aguardando peça</x:v>
      </x:c>
      <x:c r="L505" s="84" t="str">
        <x:v>Superaquecimento</x:v>
      </x:c>
      <x:c r="M505" s="84" t="str">
        <x:v>Contaminação</x:v>
      </x:c>
      <x:c r="N505" s="84"/>
      <x:c r="O505" s="84" t="n">
        <x:v>0</x:v>
      </x:c>
      <x:c r="P505" s="93" t="n">
        <x:v>315.11</x:v>
      </x:c>
      <x:c r="Q505" s="93" t="n">
        <x:v>2624.58</x:v>
      </x:c>
      <x:c r="R505" s="91" t="n">
        <x:v>0</x:v>
      </x:c>
    </x:row>
    <x:row r="506">
      <x:c r="A506" s="83" t="n">
        <x:v>505</x:v>
      </x:c>
      <x:c r="B506" s="84" t="str">
        <x:v>OS-2024-00505</x:v>
      </x:c>
      <x:c r="C506" s="84" t="n">
        <x:v>7</x:v>
      </x:c>
      <x:c r="D506" s="84" t="n">
        <x:v>1</x:v>
      </x:c>
      <x:c r="E506" s="84" t="n">
        <x:v>13</x:v>
      </x:c>
      <x:c r="F506" s="89" t="n">
        <x:v>45565.80265046296</x:v>
      </x:c>
      <x:c r="G506" s="89" t="n">
        <x:v>45569.80265046296</x:v>
      </x:c>
      <x:c r="H506" s="89" t="n">
        <x:v>45566.21931712963</x:v>
      </x:c>
      <x:c r="I506" s="89" t="n">
        <x:v>45566.55265046296</x:v>
      </x:c>
      <x:c r="J506" s="84" t="str">
        <x:v>Baixa</x:v>
      </x:c>
      <x:c r="K506" s="84" t="str">
        <x:v>Encerrada</x:v>
      </x:c>
      <x:c r="L506" s="84" t="str">
        <x:v>Falha elétrica</x:v>
      </x:c>
      <x:c r="M506" s="84" t="str">
        <x:v>Contaminação</x:v>
      </x:c>
      <x:c r="N506" s="84" t="str">
        <x:v>Componente ajustado ou substituído</x:v>
      </x:c>
      <x:c r="O506" s="84" t="n">
        <x:v>0</x:v>
      </x:c>
      <x:c r="P506" s="93" t="n">
        <x:v>191.94</x:v>
      </x:c>
      <x:c r="Q506" s="93" t="n">
        <x:v>9288.12</x:v>
      </x:c>
      <x:c r="R506" s="91" t="n">
        <x:v>0</x:v>
      </x:c>
    </x:row>
    <x:row r="507">
      <x:c r="A507" s="83" t="n">
        <x:v>506</x:v>
      </x:c>
      <x:c r="B507" s="84" t="str">
        <x:v>OS-2024-00506</x:v>
      </x:c>
      <x:c r="C507" s="84" t="n">
        <x:v>76</x:v>
      </x:c>
      <x:c r="D507" s="84" t="n">
        <x:v>1</x:v>
      </x:c>
      <x:c r="E507" s="84" t="n">
        <x:v>151</x:v>
      </x:c>
      <x:c r="F507" s="89" t="n">
        <x:v>45329.12805555556</x:v>
      </x:c>
      <x:c r="G507" s="89" t="n">
        <x:v>45340.12805555556</x:v>
      </x:c>
      <x:c r="H507" s="89" t="n">
        <x:v>45331.961388888885</x:v>
      </x:c>
      <x:c r="I507" s="89" t="n">
        <x:v>45332.086388888885</x:v>
      </x:c>
      <x:c r="J507" s="84" t="str">
        <x:v>Baixa</x:v>
      </x:c>
      <x:c r="K507" s="84" t="str">
        <x:v>Encerrada</x:v>
      </x:c>
      <x:c r="L507" s="84" t="str">
        <x:v>Desalinhamento</x:v>
      </x:c>
      <x:c r="M507" s="84" t="str">
        <x:v>Falta de lubrificação</x:v>
      </x:c>
      <x:c r="N507" s="84" t="str">
        <x:v>Componente ajustado ou substituído</x:v>
      </x:c>
      <x:c r="O507" s="84" t="n">
        <x:v>0</x:v>
      </x:c>
      <x:c r="P507" s="93" t="n">
        <x:v>289.7</x:v>
      </x:c>
      <x:c r="Q507" s="93" t="n">
        <x:v>5565.68</x:v>
      </x:c>
      <x:c r="R507" s="91" t="n">
        <x:v>0</x:v>
      </x:c>
    </x:row>
    <x:row r="508">
      <x:c r="A508" s="83" t="n">
        <x:v>507</x:v>
      </x:c>
      <x:c r="B508" s="84" t="str">
        <x:v>OS-2024-00507</x:v>
      </x:c>
      <x:c r="C508" s="84" t="n">
        <x:v>55</x:v>
      </x:c>
      <x:c r="D508" s="84" t="n">
        <x:v>6</x:v>
      </x:c>
      <x:c r="E508" s="84"/>
      <x:c r="F508" s="89" t="n">
        <x:v>45466.591412037036</x:v>
      </x:c>
      <x:c r="G508" s="89" t="n">
        <x:v>45469.591412037036</x:v>
      </x:c>
      <x:c r="H508" s="89"/>
      <x:c r="I508" s="89"/>
      <x:c r="J508" s="84" t="str">
        <x:v>Baixa</x:v>
      </x:c>
      <x:c r="K508" s="84" t="str">
        <x:v>Planejada</x:v>
      </x:c>
      <x:c r="L508" s="84" t="str">
        <x:v>Baixa pressão</x:v>
      </x:c>
      <x:c r="M508" s="84"/>
      <x:c r="N508" s="84"/>
      <x:c r="O508" s="84" t="n">
        <x:v>0</x:v>
      </x:c>
      <x:c r="P508" s="93" t="n">
        <x:v>0</x:v>
      </x:c>
      <x:c r="Q508" s="93" t="n">
        <x:v>0</x:v>
      </x:c>
      <x:c r="R508" s="91" t="n">
        <x:v>0</x:v>
      </x:c>
    </x:row>
    <x:row r="509">
      <x:c r="A509" s="83" t="n">
        <x:v>508</x:v>
      </x:c>
      <x:c r="B509" s="84" t="str">
        <x:v>OS-2024-00508</x:v>
      </x:c>
      <x:c r="C509" s="84" t="n">
        <x:v>13</x:v>
      </x:c>
      <x:c r="D509" s="84" t="n">
        <x:v>5</x:v>
      </x:c>
      <x:c r="E509" s="84" t="n">
        <x:v>26</x:v>
      </x:c>
      <x:c r="F509" s="89" t="n">
        <x:v>45540.31592592593</x:v>
      </x:c>
      <x:c r="G509" s="89" t="n">
        <x:v>45543.31592592593</x:v>
      </x:c>
      <x:c r="H509" s="89"/>
      <x:c r="I509" s="89"/>
      <x:c r="J509" s="84" t="str">
        <x:v>Média</x:v>
      </x:c>
      <x:c r="K509" s="84" t="str">
        <x:v>Cancelada</x:v>
      </x:c>
      <x:c r="L509" s="84" t="str">
        <x:v>Superaquecimento</x:v>
      </x:c>
      <x:c r="M509" s="84"/>
      <x:c r="N509" s="84"/>
      <x:c r="O509" s="84" t="n">
        <x:v>0</x:v>
      </x:c>
      <x:c r="P509" s="93" t="n">
        <x:v>0</x:v>
      </x:c>
      <x:c r="Q509" s="93" t="n">
        <x:v>0</x:v>
      </x:c>
      <x:c r="R509" s="91" t="n">
        <x:v>0</x:v>
      </x:c>
    </x:row>
    <x:row r="510">
      <x:c r="A510" s="83" t="n">
        <x:v>509</x:v>
      </x:c>
      <x:c r="B510" s="84" t="str">
        <x:v>OS-2025-00509</x:v>
      </x:c>
      <x:c r="C510" s="84" t="n">
        <x:v>28</x:v>
      </x:c>
      <x:c r="D510" s="84" t="n">
        <x:v>3</x:v>
      </x:c>
      <x:c r="E510" s="84"/>
      <x:c r="F510" s="89" t="n">
        <x:v>45974.033472222225</x:v>
      </x:c>
      <x:c r="G510" s="89"/>
      <x:c r="H510" s="89" t="n">
        <x:v>45976.32513888889</x:v>
      </x:c>
      <x:c r="I510" s="89" t="n">
        <x:v>45976.70013888889</x:v>
      </x:c>
      <x:c r="J510" s="84" t="str">
        <x:v>Baixa</x:v>
      </x:c>
      <x:c r="K510" s="84" t="str">
        <x:v>Encerrada</x:v>
      </x:c>
      <x:c r="L510" s="84" t="str">
        <x:v>Baixa pressão</x:v>
      </x:c>
      <x:c r="M510" s="84" t="str">
        <x:v>Contaminação</x:v>
      </x:c>
      <x:c r="N510" s="84" t="str">
        <x:v>Componente ajustado ou substituído</x:v>
      </x:c>
      <x:c r="O510" s="84" t="n">
        <x:v>0</x:v>
      </x:c>
      <x:c r="P510" s="93" t="n">
        <x:v>219.29</x:v>
      </x:c>
      <x:c r="Q510" s="93" t="n">
        <x:v>0</x:v>
      </x:c>
      <x:c r="R510" s="91" t="n">
        <x:v>0</x:v>
      </x:c>
    </x:row>
    <x:row r="511">
      <x:c r="A511" s="83" t="n">
        <x:v>510</x:v>
      </x:c>
      <x:c r="B511" s="84" t="str">
        <x:v>OS-2025-00510</x:v>
      </x:c>
      <x:c r="C511" s="84" t="n">
        <x:v>75</x:v>
      </x:c>
      <x:c r="D511" s="84" t="n">
        <x:v>6</x:v>
      </x:c>
      <x:c r="E511" s="84"/>
      <x:c r="F511" s="89" t="n">
        <x:v>45819.97791666666</x:v>
      </x:c>
      <x:c r="G511" s="89" t="n">
        <x:v>45823.97791666666</x:v>
      </x:c>
      <x:c r="H511" s="89" t="n">
        <x:v>45822.144583333335</x:v>
      </x:c>
      <x:c r="I511" s="89"/>
      <x:c r="J511" s="84" t="str">
        <x:v>Alta</x:v>
      </x:c>
      <x:c r="K511" s="84" t="str">
        <x:v>Em execução</x:v>
      </x:c>
      <x:c r="L511" s="84" t="str">
        <x:v>Ruído anormal</x:v>
      </x:c>
      <x:c r="M511" s="84" t="str">
        <x:v>Contaminação</x:v>
      </x:c>
      <x:c r="N511" s="84"/>
      <x:c r="O511" s="84" t="n">
        <x:v>0</x:v>
      </x:c>
      <x:c r="P511" s="93" t="n">
        <x:v>231.08</x:v>
      </x:c>
      <x:c r="Q511" s="93" t="n">
        <x:v>6494.37</x:v>
      </x:c>
      <x:c r="R511" s="91" t="n">
        <x:v>0</x:v>
      </x:c>
    </x:row>
    <x:row r="512">
      <x:c r="A512" s="83" t="n">
        <x:v>511</x:v>
      </x:c>
      <x:c r="B512" s="84" t="str">
        <x:v>OS-2023-00511</x:v>
      </x:c>
      <x:c r="C512" s="84" t="n">
        <x:v>67</x:v>
      </x:c>
      <x:c r="D512" s="84" t="n">
        <x:v>5</x:v>
      </x:c>
      <x:c r="E512" s="84" t="n">
        <x:v>134</x:v>
      </x:c>
      <x:c r="F512" s="89" t="n">
        <x:v>45259.8825</x:v>
      </x:c>
      <x:c r="G512" s="89" t="n">
        <x:v>45265.8825</x:v>
      </x:c>
      <x:c r="H512" s="89" t="n">
        <x:v>45260.715833333335</x:v>
      </x:c>
      <x:c r="I512" s="89"/>
      <x:c r="J512" s="84" t="str">
        <x:v>Média</x:v>
      </x:c>
      <x:c r="K512" s="84" t="str">
        <x:v>Em execução</x:v>
      </x:c>
      <x:c r="L512" s="84" t="str">
        <x:v>Superaquecimento</x:v>
      </x:c>
      <x:c r="M512" s="84" t="str">
        <x:v>Desgaste natural</x:v>
      </x:c>
      <x:c r="N512" s="84"/>
      <x:c r="O512" s="84" t="n">
        <x:v>0</x:v>
      </x:c>
      <x:c r="P512" s="93" t="n">
        <x:v>501.34</x:v>
      </x:c>
      <x:c r="Q512" s="93" t="n">
        <x:v>14201.92</x:v>
      </x:c>
      <x:c r="R512" s="91" t="n">
        <x:v>0</x:v>
      </x:c>
    </x:row>
    <x:row r="513">
      <x:c r="A513" s="83" t="n">
        <x:v>512</x:v>
      </x:c>
      <x:c r="B513" s="84" t="str">
        <x:v>OS-2023-00512</x:v>
      </x:c>
      <x:c r="C513" s="84" t="n">
        <x:v>4</x:v>
      </x:c>
      <x:c r="D513" s="84" t="n">
        <x:v>5</x:v>
      </x:c>
      <x:c r="E513" s="84" t="n">
        <x:v>8</x:v>
      </x:c>
      <x:c r="F513" s="89" t="n">
        <x:v>44959.56642361111</x:v>
      </x:c>
      <x:c r="G513" s="89" t="n">
        <x:v>44967.56642361111</x:v>
      </x:c>
      <x:c r="H513" s="89" t="n">
        <x:v>44959.858090277776</x:v>
      </x:c>
      <x:c r="I513" s="89" t="n">
        <x:v>44960.52475694445</x:v>
      </x:c>
      <x:c r="J513" s="84" t="str">
        <x:v>Baixa</x:v>
      </x:c>
      <x:c r="K513" s="84" t="str">
        <x:v>Encerrada</x:v>
      </x:c>
      <x:c r="L513" s="84" t="str">
        <x:v>Baixa pressão</x:v>
      </x:c>
      <x:c r="M513" s="84" t="str">
        <x:v>Componente danificado</x:v>
      </x:c>
      <x:c r="N513" s="84" t="str">
        <x:v>Componente ajustado ou substituído</x:v>
      </x:c>
      <x:c r="O513" s="84" t="n">
        <x:v>0</x:v>
      </x:c>
      <x:c r="P513" s="93" t="n">
        <x:v>356.62</x:v>
      </x:c>
      <x:c r="Q513" s="93" t="n">
        <x:v>5124.07</x:v>
      </x:c>
      <x:c r="R513" s="91" t="n">
        <x:v>0</x:v>
      </x:c>
    </x:row>
    <x:row r="514">
      <x:c r="A514" s="83" t="n">
        <x:v>513</x:v>
      </x:c>
      <x:c r="B514" s="84" t="str">
        <x:v>OS-2025-00513</x:v>
      </x:c>
      <x:c r="C514" s="84" t="n">
        <x:v>76</x:v>
      </x:c>
      <x:c r="D514" s="84" t="n">
        <x:v>1</x:v>
      </x:c>
      <x:c r="E514" s="84" t="n">
        <x:v>152</x:v>
      </x:c>
      <x:c r="F514" s="89" t="n">
        <x:v>45670.83556712963</x:v>
      </x:c>
      <x:c r="G514" s="89" t="n">
        <x:v>45685.83556712963</x:v>
      </x:c>
      <x:c r="H514" s="89" t="n">
        <x:v>45673.043900462966</x:v>
      </x:c>
      <x:c r="I514" s="89" t="n">
        <x:v>45673.252233796295</x:v>
      </x:c>
      <x:c r="J514" s="84" t="str">
        <x:v>Média</x:v>
      </x:c>
      <x:c r="K514" s="84" t="str">
        <x:v>Encerrada</x:v>
      </x:c>
      <x:c r="L514" s="84" t="str">
        <x:v>Vazamento</x:v>
      </x:c>
      <x:c r="M514" s="84" t="str">
        <x:v>Falta de lubrificação</x:v>
      </x:c>
      <x:c r="N514" s="84" t="str">
        <x:v>Componente ajustado ou substituído</x:v>
      </x:c>
      <x:c r="O514" s="84" t="n">
        <x:v>0</x:v>
      </x:c>
      <x:c r="P514" s="93" t="n">
        <x:v>919.05</x:v>
      </x:c>
      <x:c r="Q514" s="93" t="n">
        <x:v>0</x:v>
      </x:c>
      <x:c r="R514" s="91" t="n">
        <x:v>0</x:v>
      </x:c>
    </x:row>
    <x:row r="515">
      <x:c r="A515" s="83" t="n">
        <x:v>514</x:v>
      </x:c>
      <x:c r="B515" s="84" t="str">
        <x:v>OS-2023-00514</x:v>
      </x:c>
      <x:c r="C515" s="84" t="n">
        <x:v>1</x:v>
      </x:c>
      <x:c r="D515" s="84" t="n">
        <x:v>1</x:v>
      </x:c>
      <x:c r="E515" s="84" t="n">
        <x:v>1</x:v>
      </x:c>
      <x:c r="F515" s="89" t="n">
        <x:v>45156.33325231481</x:v>
      </x:c>
      <x:c r="G515" s="89" t="n">
        <x:v>45158.33325231481</x:v>
      </x:c>
      <x:c r="H515" s="89" t="n">
        <x:v>45158.249918981484</x:v>
      </x:c>
      <x:c r="I515" s="89" t="n">
        <x:v>45158.874918981484</x:v>
      </x:c>
      <x:c r="J515" s="84" t="str">
        <x:v>Média</x:v>
      </x:c>
      <x:c r="K515" s="84" t="str">
        <x:v>Encerrada</x:v>
      </x:c>
      <x:c r="L515" s="84" t="str">
        <x:v>Superaquecimento</x:v>
      </x:c>
      <x:c r="M515" s="84" t="str">
        <x:v>Componente danificado</x:v>
      </x:c>
      <x:c r="N515" s="84" t="str">
        <x:v>Componente ajustado ou substituído</x:v>
      </x:c>
      <x:c r="O515" s="84" t="n">
        <x:v>0</x:v>
      </x:c>
      <x:c r="P515" s="93" t="n">
        <x:v>214.84</x:v>
      </x:c>
      <x:c r="Q515" s="93" t="n">
        <x:v>5743.06</x:v>
      </x:c>
      <x:c r="R515" s="91" t="n">
        <x:v>0</x:v>
      </x:c>
    </x:row>
    <x:row r="516">
      <x:c r="A516" s="83" t="n">
        <x:v>515</x:v>
      </x:c>
      <x:c r="B516" s="84" t="str">
        <x:v>OS-2023-00515</x:v>
      </x:c>
      <x:c r="C516" s="84" t="n">
        <x:v>8</x:v>
      </x:c>
      <x:c r="D516" s="84" t="n">
        <x:v>5</x:v>
      </x:c>
      <x:c r="E516" s="84" t="n">
        <x:v>16</x:v>
      </x:c>
      <x:c r="F516" s="89" t="n">
        <x:v>45198.79440972222</x:v>
      </x:c>
      <x:c r="G516" s="89" t="n">
        <x:v>45203.79440972222</x:v>
      </x:c>
      <x:c r="H516" s="89"/>
      <x:c r="I516" s="89"/>
      <x:c r="J516" s="84" t="str">
        <x:v>Média</x:v>
      </x:c>
      <x:c r="K516" s="84" t="str">
        <x:v>Cancelada</x:v>
      </x:c>
      <x:c r="L516" s="84" t="str">
        <x:v>Falha elétrica</x:v>
      </x:c>
      <x:c r="M516" s="84"/>
      <x:c r="N516" s="84"/>
      <x:c r="O516" s="84" t="n">
        <x:v>0</x:v>
      </x:c>
      <x:c r="P516" s="93" t="n">
        <x:v>0</x:v>
      </x:c>
      <x:c r="Q516" s="93" t="n">
        <x:v>0</x:v>
      </x:c>
      <x:c r="R516" s="91" t="n">
        <x:v>0</x:v>
      </x:c>
    </x:row>
    <x:row r="517">
      <x:c r="A517" s="83" t="n">
        <x:v>516</x:v>
      </x:c>
      <x:c r="B517" s="84" t="str">
        <x:v>OS-2025-00516</x:v>
      </x:c>
      <x:c r="C517" s="84" t="n">
        <x:v>11</x:v>
      </x:c>
      <x:c r="D517" s="84" t="n">
        <x:v>1</x:v>
      </x:c>
      <x:c r="E517" s="84" t="n">
        <x:v>21</x:v>
      </x:c>
      <x:c r="F517" s="89" t="n">
        <x:v>45750.88148148148</x:v>
      </x:c>
      <x:c r="G517" s="89" t="n">
        <x:v>45758.88148148148</x:v>
      </x:c>
      <x:c r="H517" s="89" t="n">
        <x:v>45752.21481481481</x:v>
      </x:c>
      <x:c r="I517" s="89" t="n">
        <x:v>45752.25648148148</x:v>
      </x:c>
      <x:c r="J517" s="84" t="str">
        <x:v>Média</x:v>
      </x:c>
      <x:c r="K517" s="84" t="str">
        <x:v>Encerrada</x:v>
      </x:c>
      <x:c r="L517" s="84" t="str">
        <x:v>Superaquecimento</x:v>
      </x:c>
      <x:c r="M517" s="84" t="str">
        <x:v>Falta de lubrificação</x:v>
      </x:c>
      <x:c r="N517" s="84" t="str">
        <x:v>Componente ajustado ou substituído</x:v>
      </x:c>
      <x:c r="O517" s="84" t="n">
        <x:v>0</x:v>
      </x:c>
      <x:c r="P517" s="93" t="n">
        <x:v>383.04</x:v>
      </x:c>
      <x:c r="Q517" s="93" t="n">
        <x:v>6527.84</x:v>
      </x:c>
      <x:c r="R517" s="91" t="n">
        <x:v>0</x:v>
      </x:c>
    </x:row>
    <x:row r="518">
      <x:c r="A518" s="83" t="n">
        <x:v>517</x:v>
      </x:c>
      <x:c r="B518" s="84" t="str">
        <x:v>OS-2023-00517</x:v>
      </x:c>
      <x:c r="C518" s="84" t="n">
        <x:v>36</x:v>
      </x:c>
      <x:c r="D518" s="84" t="n">
        <x:v>1</x:v>
      </x:c>
      <x:c r="E518" s="84" t="n">
        <x:v>71</x:v>
      </x:c>
      <x:c r="F518" s="89" t="n">
        <x:v>45085.10706018518</x:v>
      </x:c>
      <x:c r="G518" s="89" t="n">
        <x:v>45098.10706018518</x:v>
      </x:c>
      <x:c r="H518" s="89"/>
      <x:c r="I518" s="89"/>
      <x:c r="J518" s="84" t="str">
        <x:v>Média</x:v>
      </x:c>
      <x:c r="K518" s="84" t="str">
        <x:v>Planejada</x:v>
      </x:c>
      <x:c r="L518" s="84" t="str">
        <x:v>Desalinhamento</x:v>
      </x:c>
      <x:c r="M518" s="84"/>
      <x:c r="N518" s="84"/>
      <x:c r="O518" s="84" t="n">
        <x:v>0</x:v>
      </x:c>
      <x:c r="P518" s="93" t="n">
        <x:v>0</x:v>
      </x:c>
      <x:c r="Q518" s="93" t="n">
        <x:v>0</x:v>
      </x:c>
      <x:c r="R518" s="91" t="n">
        <x:v>0</x:v>
      </x:c>
    </x:row>
    <x:row r="519">
      <x:c r="A519" s="83" t="n">
        <x:v>518</x:v>
      </x:c>
      <x:c r="B519" s="84" t="str">
        <x:v>OS-2024-00518</x:v>
      </x:c>
      <x:c r="C519" s="84" t="n">
        <x:v>76</x:v>
      </x:c>
      <x:c r="D519" s="84" t="n">
        <x:v>5</x:v>
      </x:c>
      <x:c r="E519" s="84" t="n">
        <x:v>152</x:v>
      </x:c>
      <x:c r="F519" s="89" t="n">
        <x:v>45523.092152777775</x:v>
      </x:c>
      <x:c r="G519" s="89" t="n">
        <x:v>45523.092152777775</x:v>
      </x:c>
      <x:c r="H519" s="89" t="n">
        <x:v>45524.55048611111</x:v>
      </x:c>
      <x:c r="I519" s="89" t="n">
        <x:v>45525.217152777775</x:v>
      </x:c>
      <x:c r="J519" s="84" t="str">
        <x:v>Alta</x:v>
      </x:c>
      <x:c r="K519" s="84" t="str">
        <x:v>Concluída</x:v>
      </x:c>
      <x:c r="L519" s="84" t="str">
        <x:v>Baixa pressão</x:v>
      </x:c>
      <x:c r="M519" s="84" t="str">
        <x:v>Componente danificado</x:v>
      </x:c>
      <x:c r="N519" s="84" t="str">
        <x:v>Componente ajustado ou substituído</x:v>
      </x:c>
      <x:c r="O519" s="84" t="n">
        <x:v>0</x:v>
      </x:c>
      <x:c r="P519" s="93" t="n">
        <x:v>346.2</x:v>
      </x:c>
      <x:c r="Q519" s="93" t="n">
        <x:v>7153.16</x:v>
      </x:c>
      <x:c r="R519" s="91" t="n">
        <x:v>0</x:v>
      </x:c>
    </x:row>
    <x:row r="520">
      <x:c r="A520" s="83" t="n">
        <x:v>519</x:v>
      </x:c>
      <x:c r="B520" s="84" t="str">
        <x:v>OS-2024-00519</x:v>
      </x:c>
      <x:c r="C520" s="84" t="n">
        <x:v>84</x:v>
      </x:c>
      <x:c r="D520" s="84" t="n">
        <x:v>1</x:v>
      </x:c>
      <x:c r="E520" s="84" t="n">
        <x:v>168</x:v>
      </x:c>
      <x:c r="F520" s="89" t="n">
        <x:v>45534.98994212963</x:v>
      </x:c>
      <x:c r="G520" s="89" t="n">
        <x:v>45540.98994212963</x:v>
      </x:c>
      <x:c r="H520" s="89" t="n">
        <x:v>45536.73994212963</x:v>
      </x:c>
      <x:c r="I520" s="89" t="n">
        <x:v>45536.78160879629</x:v>
      </x:c>
      <x:c r="J520" s="84" t="str">
        <x:v>Média</x:v>
      </x:c>
      <x:c r="K520" s="84" t="str">
        <x:v>Encerrada</x:v>
      </x:c>
      <x:c r="L520" s="84" t="str">
        <x:v>Alarme intermitente</x:v>
      </x:c>
      <x:c r="M520" s="84" t="str">
        <x:v>Componente danificado</x:v>
      </x:c>
      <x:c r="N520" s="84" t="str">
        <x:v>Componente ajustado ou substituído</x:v>
      </x:c>
      <x:c r="O520" s="84" t="n">
        <x:v>0</x:v>
      </x:c>
      <x:c r="P520" s="93" t="n">
        <x:v>781.85</x:v>
      </x:c>
      <x:c r="Q520" s="93" t="n">
        <x:v>5050.15</x:v>
      </x:c>
      <x:c r="R520" s="91" t="n">
        <x:v>0</x:v>
      </x:c>
    </x:row>
    <x:row r="521">
      <x:c r="A521" s="83" t="n">
        <x:v>520</x:v>
      </x:c>
      <x:c r="B521" s="84" t="str">
        <x:v>OS-2025-00520</x:v>
      </x:c>
      <x:c r="C521" s="84" t="n">
        <x:v>48</x:v>
      </x:c>
      <x:c r="D521" s="84" t="n">
        <x:v>1</x:v>
      </x:c>
      <x:c r="E521" s="84" t="n">
        <x:v>96</x:v>
      </x:c>
      <x:c r="F521" s="89" t="n">
        <x:v>45858.57674768518</x:v>
      </x:c>
      <x:c r="G521" s="89" t="n">
        <x:v>45872.57674768518</x:v>
      </x:c>
      <x:c r="H521" s="89" t="n">
        <x:v>45858.66008101852</x:v>
      </x:c>
      <x:c r="I521" s="89" t="n">
        <x:v>45858.95174768518</x:v>
      </x:c>
      <x:c r="J521" s="84" t="str">
        <x:v>Média</x:v>
      </x:c>
      <x:c r="K521" s="84" t="str">
        <x:v>Encerrada</x:v>
      </x:c>
      <x:c r="L521" s="84" t="str">
        <x:v>Superaquecimento</x:v>
      </x:c>
      <x:c r="M521" s="84" t="str">
        <x:v>Componente danificado</x:v>
      </x:c>
      <x:c r="N521" s="84" t="str">
        <x:v>Componente ajustado ou substituído</x:v>
      </x:c>
      <x:c r="O521" s="84" t="n">
        <x:v>0</x:v>
      </x:c>
      <x:c r="P521" s="93" t="n">
        <x:v>29.62</x:v>
      </x:c>
      <x:c r="Q521" s="93" t="n">
        <x:v>6209.88</x:v>
      </x:c>
      <x:c r="R521" s="91" t="n">
        <x:v>0</x:v>
      </x:c>
    </x:row>
    <x:row r="522">
      <x:c r="A522" s="83" t="n">
        <x:v>521</x:v>
      </x:c>
      <x:c r="B522" s="84" t="str">
        <x:v>OS-2023-00521</x:v>
      </x:c>
      <x:c r="C522" s="84" t="n">
        <x:v>43</x:v>
      </x:c>
      <x:c r="D522" s="84" t="n">
        <x:v>7</x:v>
      </x:c>
      <x:c r="E522" s="84" t="n">
        <x:v>85</x:v>
      </x:c>
      <x:c r="F522" s="89" t="n">
        <x:v>45054.76353009259</x:v>
      </x:c>
      <x:c r="G522" s="89" t="n">
        <x:v>45056.76353009259</x:v>
      </x:c>
      <x:c r="H522" s="89" t="n">
        <x:v>45056.68019675926</x:v>
      </x:c>
      <x:c r="I522" s="89" t="n">
        <x:v>45057.18019675926</x:v>
      </x:c>
      <x:c r="J522" s="84" t="str">
        <x:v>Alta</x:v>
      </x:c>
      <x:c r="K522" s="84" t="str">
        <x:v>Encerrada</x:v>
      </x:c>
      <x:c r="L522" s="84" t="str">
        <x:v>Baixa pressão</x:v>
      </x:c>
      <x:c r="M522" s="84" t="str">
        <x:v>Falta de lubrificação</x:v>
      </x:c>
      <x:c r="N522" s="84" t="str">
        <x:v>Componente ajustado ou substituído</x:v>
      </x:c>
      <x:c r="O522" s="84" t="n">
        <x:v>0</x:v>
      </x:c>
      <x:c r="P522" s="93" t="n">
        <x:v>271.75</x:v>
      </x:c>
      <x:c r="Q522" s="93" t="n">
        <x:v>0</x:v>
      </x:c>
      <x:c r="R522" s="91" t="n">
        <x:v>0</x:v>
      </x:c>
    </x:row>
    <x:row r="523">
      <x:c r="A523" s="83" t="n">
        <x:v>522</x:v>
      </x:c>
      <x:c r="B523" s="84" t="str">
        <x:v>OS-2025-00522</x:v>
      </x:c>
      <x:c r="C523" s="84" t="n">
        <x:v>42</x:v>
      </x:c>
      <x:c r="D523" s="84" t="n">
        <x:v>4</x:v>
      </x:c>
      <x:c r="E523" s="84"/>
      <x:c r="F523" s="89" t="n">
        <x:v>45874.044016203705</x:v>
      </x:c>
      <x:c r="G523" s="89" t="n">
        <x:v>45878.044016203705</x:v>
      </x:c>
      <x:c r="H523" s="89" t="n">
        <x:v>45875.12734953704</x:v>
      </x:c>
      <x:c r="I523" s="89" t="n">
        <x:v>45875.62734953704</x:v>
      </x:c>
      <x:c r="J523" s="84" t="str">
        <x:v>Alta</x:v>
      </x:c>
      <x:c r="K523" s="84" t="str">
        <x:v>Encerrada</x:v>
      </x:c>
      <x:c r="L523" s="84" t="str">
        <x:v>Ruído anormal</x:v>
      </x:c>
      <x:c r="M523" s="84" t="str">
        <x:v>Falta de lubrificação</x:v>
      </x:c>
      <x:c r="N523" s="84" t="str">
        <x:v>Componente ajustado ou substituído</x:v>
      </x:c>
      <x:c r="O523" s="84" t="n">
        <x:v>0</x:v>
      </x:c>
      <x:c r="P523" s="93" t="n">
        <x:v>223.12</x:v>
      </x:c>
      <x:c r="Q523" s="93" t="n">
        <x:v>9509.01</x:v>
      </x:c>
      <x:c r="R523" s="91" t="n">
        <x:v>0</x:v>
      </x:c>
    </x:row>
    <x:row r="524">
      <x:c r="A524" s="83" t="n">
        <x:v>523</x:v>
      </x:c>
      <x:c r="B524" s="84" t="str">
        <x:v>OS-2024-00523</x:v>
      </x:c>
      <x:c r="C524" s="84" t="n">
        <x:v>34</x:v>
      </x:c>
      <x:c r="D524" s="84" t="n">
        <x:v>2</x:v>
      </x:c>
      <x:c r="E524" s="84"/>
      <x:c r="F524" s="89" t="n">
        <x:v>45407.390810185185</x:v>
      </x:c>
      <x:c r="G524" s="89" t="n">
        <x:v>45420.390810185185</x:v>
      </x:c>
      <x:c r="H524" s="89"/>
      <x:c r="I524" s="89"/>
      <x:c r="J524" s="84" t="str">
        <x:v>Alta</x:v>
      </x:c>
      <x:c r="K524" s="84" t="str">
        <x:v>Planejada</x:v>
      </x:c>
      <x:c r="L524" s="84" t="str">
        <x:v>Desalinhamento</x:v>
      </x:c>
      <x:c r="M524" s="84"/>
      <x:c r="N524" s="84"/>
      <x:c r="O524" s="84" t="n">
        <x:v>0</x:v>
      </x:c>
      <x:c r="P524" s="93" t="n">
        <x:v>0</x:v>
      </x:c>
      <x:c r="Q524" s="93" t="n">
        <x:v>0</x:v>
      </x:c>
      <x:c r="R524" s="91" t="n">
        <x:v>0</x:v>
      </x:c>
    </x:row>
    <x:row r="525">
      <x:c r="A525" s="83" t="n">
        <x:v>524</x:v>
      </x:c>
      <x:c r="B525" s="84" t="str">
        <x:v>OS-2023-00524</x:v>
      </x:c>
      <x:c r="C525" s="84" t="n">
        <x:v>50</x:v>
      </x:c>
      <x:c r="D525" s="84" t="n">
        <x:v>5</x:v>
      </x:c>
      <x:c r="E525" s="84" t="n">
        <x:v>99</x:v>
      </x:c>
      <x:c r="F525" s="89" t="n">
        <x:v>45113.8983912037</x:v>
      </x:c>
      <x:c r="G525" s="89" t="n">
        <x:v>45119.8983912037</x:v>
      </x:c>
      <x:c r="H525" s="89" t="n">
        <x:v>45114.731724537036</x:v>
      </x:c>
      <x:c r="I525" s="89" t="n">
        <x:v>45115.0233912037</x:v>
      </x:c>
      <x:c r="J525" s="84" t="str">
        <x:v>Alta</x:v>
      </x:c>
      <x:c r="K525" s="84" t="str">
        <x:v>Concluída</x:v>
      </x:c>
      <x:c r="L525" s="84" t="str">
        <x:v>Falha elétrica</x:v>
      </x:c>
      <x:c r="M525" s="84" t="str">
        <x:v>Componente danificado</x:v>
      </x:c>
      <x:c r="N525" s="84" t="str">
        <x:v>Componente ajustado ou substituído</x:v>
      </x:c>
      <x:c r="O525" s="84" t="n">
        <x:v>0</x:v>
      </x:c>
      <x:c r="P525" s="93" t="n">
        <x:v>389.76</x:v>
      </x:c>
      <x:c r="Q525" s="93" t="n">
        <x:v>1770.33</x:v>
      </x:c>
      <x:c r="R525" s="91" t="n">
        <x:v>0</x:v>
      </x:c>
    </x:row>
    <x:row r="526">
      <x:c r="A526" s="83" t="n">
        <x:v>525</x:v>
      </x:c>
      <x:c r="B526" s="84" t="str">
        <x:v>OS-2024-00525</x:v>
      </x:c>
      <x:c r="C526" s="84" t="n">
        <x:v>87</x:v>
      </x:c>
      <x:c r="D526" s="84" t="n">
        <x:v>5</x:v>
      </x:c>
      <x:c r="E526" s="84" t="n">
        <x:v>174</x:v>
      </x:c>
      <x:c r="F526" s="89" t="n">
        <x:v>45540.83115740741</x:v>
      </x:c>
      <x:c r="G526" s="89" t="n">
        <x:v>45547.83115740741</x:v>
      </x:c>
      <x:c r="H526" s="89" t="n">
        <x:v>45540.95615740741</x:v>
      </x:c>
      <x:c r="I526" s="89" t="n">
        <x:v>45541.70615740741</x:v>
      </x:c>
      <x:c r="J526" s="84" t="str">
        <x:v>Crítica</x:v>
      </x:c>
      <x:c r="K526" s="84" t="str">
        <x:v>Encerrada</x:v>
      </x:c>
      <x:c r="L526" s="84" t="str">
        <x:v>Vazamento</x:v>
      </x:c>
      <x:c r="M526" s="84" t="str">
        <x:v>Conexão frouxa</x:v>
      </x:c>
      <x:c r="N526" s="84" t="str">
        <x:v>Componente ajustado ou substituído</x:v>
      </x:c>
      <x:c r="O526" s="84" t="n">
        <x:v>0</x:v>
      </x:c>
      <x:c r="P526" s="93" t="n">
        <x:v>873.97</x:v>
      </x:c>
      <x:c r="Q526" s="93" t="n">
        <x:v>7971.65</x:v>
      </x:c>
      <x:c r="R526" s="91" t="n">
        <x:v>0</x:v>
      </x:c>
    </x:row>
    <x:row r="527">
      <x:c r="A527" s="83" t="n">
        <x:v>526</x:v>
      </x:c>
      <x:c r="B527" s="84" t="str">
        <x:v>OS-2023-00526</x:v>
      </x:c>
      <x:c r="C527" s="84" t="n">
        <x:v>55</x:v>
      </x:c>
      <x:c r="D527" s="84" t="n">
        <x:v>3</x:v>
      </x:c>
      <x:c r="E527" s="84"/>
      <x:c r="F527" s="89" t="n">
        <x:v>44961.783472222225</x:v>
      </x:c>
      <x:c r="G527" s="89"/>
      <x:c r="H527" s="89" t="n">
        <x:v>44963.70013888889</x:v>
      </x:c>
      <x:c r="I527" s="89"/>
      <x:c r="J527" s="84" t="str">
        <x:v>Média</x:v>
      </x:c>
      <x:c r="K527" s="84" t="str">
        <x:v>Aguardando peça</x:v>
      </x:c>
      <x:c r="L527" s="84" t="str">
        <x:v>Vazamento</x:v>
      </x:c>
      <x:c r="M527" s="84" t="str">
        <x:v>Falta de lubrificação</x:v>
      </x:c>
      <x:c r="N527" s="84"/>
      <x:c r="O527" s="84" t="n">
        <x:v>0</x:v>
      </x:c>
      <x:c r="P527" s="93" t="n">
        <x:v>594.69</x:v>
      </x:c>
      <x:c r="Q527" s="93" t="n">
        <x:v>6054.54</x:v>
      </x:c>
      <x:c r="R527" s="91" t="n">
        <x:v>0</x:v>
      </x:c>
    </x:row>
    <x:row r="528">
      <x:c r="A528" s="83" t="n">
        <x:v>527</x:v>
      </x:c>
      <x:c r="B528" s="84" t="str">
        <x:v>OS-2023-00527</x:v>
      </x:c>
      <x:c r="C528" s="84" t="n">
        <x:v>45</x:v>
      </x:c>
      <x:c r="D528" s="84" t="n">
        <x:v>3</x:v>
      </x:c>
      <x:c r="E528" s="84"/>
      <x:c r="F528" s="89" t="n">
        <x:v>45088.667604166665</x:v>
      </x:c>
      <x:c r="G528" s="89"/>
      <x:c r="H528" s="89"/>
      <x:c r="I528" s="89"/>
      <x:c r="J528" s="84" t="str">
        <x:v>Alta</x:v>
      </x:c>
      <x:c r="K528" s="84" t="str">
        <x:v>Planejada</x:v>
      </x:c>
      <x:c r="L528" s="84" t="str">
        <x:v>Desalinhamento</x:v>
      </x:c>
      <x:c r="M528" s="84"/>
      <x:c r="N528" s="84"/>
      <x:c r="O528" s="84" t="n">
        <x:v>0</x:v>
      </x:c>
      <x:c r="P528" s="93" t="n">
        <x:v>0</x:v>
      </x:c>
      <x:c r="Q528" s="93" t="n">
        <x:v>0</x:v>
      </x:c>
      <x:c r="R528" s="91" t="n">
        <x:v>0</x:v>
      </x:c>
    </x:row>
    <x:row r="529">
      <x:c r="A529" s="83" t="n">
        <x:v>528</x:v>
      </x:c>
      <x:c r="B529" s="84" t="str">
        <x:v>OS-2023-00528</x:v>
      </x:c>
      <x:c r="C529" s="84" t="n">
        <x:v>71</x:v>
      </x:c>
      <x:c r="D529" s="84" t="n">
        <x:v>1</x:v>
      </x:c>
      <x:c r="E529" s="84" t="n">
        <x:v>141</x:v>
      </x:c>
      <x:c r="F529" s="89" t="n">
        <x:v>45209.83069444444</x:v>
      </x:c>
      <x:c r="G529" s="89" t="n">
        <x:v>45219.83069444444</x:v>
      </x:c>
      <x:c r="H529" s="89" t="n">
        <x:v>45211.20569444444</x:v>
      </x:c>
      <x:c r="I529" s="89" t="n">
        <x:v>45211.49736111111</x:v>
      </x:c>
      <x:c r="J529" s="84" t="str">
        <x:v>Baixa</x:v>
      </x:c>
      <x:c r="K529" s="84" t="str">
        <x:v>Encerrada</x:v>
      </x:c>
      <x:c r="L529" s="84" t="str">
        <x:v>Ruído anormal</x:v>
      </x:c>
      <x:c r="M529" s="84" t="str">
        <x:v>Conexão frouxa</x:v>
      </x:c>
      <x:c r="N529" s="84" t="str">
        <x:v>Componente ajustado ou substituído</x:v>
      </x:c>
      <x:c r="O529" s="84" t="n">
        <x:v>0</x:v>
      </x:c>
      <x:c r="P529" s="93" t="n">
        <x:v>577.59</x:v>
      </x:c>
      <x:c r="Q529" s="93" t="n">
        <x:v>2364.04</x:v>
      </x:c>
      <x:c r="R529" s="91" t="n">
        <x:v>0</x:v>
      </x:c>
    </x:row>
    <x:row r="530">
      <x:c r="A530" s="83" t="n">
        <x:v>529</x:v>
      </x:c>
      <x:c r="B530" s="84" t="str">
        <x:v>OS-2024-00529</x:v>
      </x:c>
      <x:c r="C530" s="84" t="n">
        <x:v>65</x:v>
      </x:c>
      <x:c r="D530" s="84" t="n">
        <x:v>3</x:v>
      </x:c>
      <x:c r="E530" s="84"/>
      <x:c r="F530" s="89" t="n">
        <x:v>45411.67972222222</x:v>
      </x:c>
      <x:c r="G530" s="89"/>
      <x:c r="H530" s="89"/>
      <x:c r="I530" s="89"/>
      <x:c r="J530" s="84" t="str">
        <x:v>Alta</x:v>
      </x:c>
      <x:c r="K530" s="84" t="str">
        <x:v>Planejada</x:v>
      </x:c>
      <x:c r="L530" s="84" t="str">
        <x:v>Baixa pressão</x:v>
      </x:c>
      <x:c r="M530" s="84"/>
      <x:c r="N530" s="84"/>
      <x:c r="O530" s="84" t="n">
        <x:v>0</x:v>
      </x:c>
      <x:c r="P530" s="93" t="n">
        <x:v>0</x:v>
      </x:c>
      <x:c r="Q530" s="93" t="n">
        <x:v>0</x:v>
      </x:c>
      <x:c r="R530" s="91" t="n">
        <x:v>0</x:v>
      </x:c>
    </x:row>
    <x:row r="531">
      <x:c r="A531" s="83" t="n">
        <x:v>530</x:v>
      </x:c>
      <x:c r="B531" s="84" t="str">
        <x:v>OS-2024-00530</x:v>
      </x:c>
      <x:c r="C531" s="84" t="n">
        <x:v>43</x:v>
      </x:c>
      <x:c r="D531" s="84" t="n">
        <x:v>1</x:v>
      </x:c>
      <x:c r="E531" s="84" t="n">
        <x:v>86</x:v>
      </x:c>
      <x:c r="F531" s="89" t="n">
        <x:v>45566.820289351854</x:v>
      </x:c>
      <x:c r="G531" s="89" t="n">
        <x:v>45576.820289351854</x:v>
      </x:c>
      <x:c r="H531" s="89" t="n">
        <x:v>45567.945289351854</x:v>
      </x:c>
      <x:c r="I531" s="89" t="n">
        <x:v>45568.65362268518</x:v>
      </x:c>
      <x:c r="J531" s="84" t="str">
        <x:v>Média</x:v>
      </x:c>
      <x:c r="K531" s="84" t="str">
        <x:v>Encerrada</x:v>
      </x:c>
      <x:c r="L531" s="84" t="str">
        <x:v>Ruído anormal</x:v>
      </x:c>
      <x:c r="M531" s="84" t="str">
        <x:v>Contaminação</x:v>
      </x:c>
      <x:c r="N531" s="84" t="str">
        <x:v>Componente ajustado ou substituído</x:v>
      </x:c>
      <x:c r="O531" s="84" t="n">
        <x:v>0</x:v>
      </x:c>
      <x:c r="P531" s="93" t="n">
        <x:v>459.39</x:v>
      </x:c>
      <x:c r="Q531" s="93" t="n">
        <x:v>2102.91</x:v>
      </x:c>
      <x:c r="R531" s="91" t="n">
        <x:v>0</x:v>
      </x:c>
    </x:row>
    <x:row r="532">
      <x:c r="A532" s="83" t="n">
        <x:v>531</x:v>
      </x:c>
      <x:c r="B532" s="84" t="str">
        <x:v>OS-2025-00531</x:v>
      </x:c>
      <x:c r="C532" s="84" t="n">
        <x:v>68</x:v>
      </x:c>
      <x:c r="D532" s="84" t="n">
        <x:v>5</x:v>
      </x:c>
      <x:c r="E532" s="84" t="n">
        <x:v>136</x:v>
      </x:c>
      <x:c r="F532" s="89" t="n">
        <x:v>45733.428460648145</x:v>
      </x:c>
      <x:c r="G532" s="89" t="n">
        <x:v>45735.428460648145</x:v>
      </x:c>
      <x:c r="H532" s="89" t="n">
        <x:v>45735.34512731482</x:v>
      </x:c>
      <x:c r="I532" s="89" t="n">
        <x:v>45735.928460648145</x:v>
      </x:c>
      <x:c r="J532" s="84" t="str">
        <x:v>Alta</x:v>
      </x:c>
      <x:c r="K532" s="84" t="str">
        <x:v>Concluída</x:v>
      </x:c>
      <x:c r="L532" s="84" t="str">
        <x:v>Vazamento</x:v>
      </x:c>
      <x:c r="M532" s="84" t="str">
        <x:v>Ajuste incorreto</x:v>
      </x:c>
      <x:c r="N532" s="84" t="str">
        <x:v>Componente ajustado ou substituído</x:v>
      </x:c>
      <x:c r="O532" s="84" t="n">
        <x:v>0</x:v>
      </x:c>
      <x:c r="P532" s="93" t="n">
        <x:v>301.29</x:v>
      </x:c>
      <x:c r="Q532" s="93" t="n">
        <x:v>8979.28</x:v>
      </x:c>
      <x:c r="R532" s="91" t="n">
        <x:v>0</x:v>
      </x:c>
    </x:row>
    <x:row r="533">
      <x:c r="A533" s="83" t="n">
        <x:v>532</x:v>
      </x:c>
      <x:c r="B533" s="84" t="str">
        <x:v>OS-2024-00532</x:v>
      </x:c>
      <x:c r="C533" s="84" t="n">
        <x:v>90</x:v>
      </x:c>
      <x:c r="D533" s="84" t="n">
        <x:v>3</x:v>
      </x:c>
      <x:c r="E533" s="84"/>
      <x:c r="F533" s="89" t="n">
        <x:v>45457.742164351854</x:v>
      </x:c>
      <x:c r="G533" s="89"/>
      <x:c r="H533" s="89" t="n">
        <x:v>45458.40883101852</x:v>
      </x:c>
      <x:c r="I533" s="89" t="n">
        <x:v>45458.742164351854</x:v>
      </x:c>
      <x:c r="J533" s="84" t="str">
        <x:v>Alta</x:v>
      </x:c>
      <x:c r="K533" s="84" t="str">
        <x:v>Encerrada</x:v>
      </x:c>
      <x:c r="L533" s="84" t="str">
        <x:v>Superaquecimento</x:v>
      </x:c>
      <x:c r="M533" s="84" t="str">
        <x:v>Desgaste natural</x:v>
      </x:c>
      <x:c r="N533" s="84" t="str">
        <x:v>Componente ajustado ou substituído</x:v>
      </x:c>
      <x:c r="O533" s="84" t="n">
        <x:v>0</x:v>
      </x:c>
      <x:c r="P533" s="93" t="n">
        <x:v>305.57</x:v>
      </x:c>
      <x:c r="Q533" s="93" t="n">
        <x:v>5861.68</x:v>
      </x:c>
      <x:c r="R533" s="91" t="n">
        <x:v>0</x:v>
      </x:c>
    </x:row>
    <x:row r="534">
      <x:c r="A534" s="83" t="n">
        <x:v>533</x:v>
      </x:c>
      <x:c r="B534" s="84" t="str">
        <x:v>OS-2024-00533</x:v>
      </x:c>
      <x:c r="C534" s="84" t="n">
        <x:v>53</x:v>
      </x:c>
      <x:c r="D534" s="84" t="n">
        <x:v>4</x:v>
      </x:c>
      <x:c r="E534" s="84"/>
      <x:c r="F534" s="89" t="n">
        <x:v>45302.69225694444</x:v>
      </x:c>
      <x:c r="G534" s="89" t="n">
        <x:v>45317.69225694444</x:v>
      </x:c>
      <x:c r="H534" s="89" t="n">
        <x:v>45305.56725694444</x:v>
      </x:c>
      <x:c r="I534" s="89" t="n">
        <x:v>45306.233923611115</x:v>
      </x:c>
      <x:c r="J534" s="84" t="str">
        <x:v>Baixa</x:v>
      </x:c>
      <x:c r="K534" s="84" t="str">
        <x:v>Encerrada</x:v>
      </x:c>
      <x:c r="L534" s="84" t="str">
        <x:v>Superaquecimento</x:v>
      </x:c>
      <x:c r="M534" s="84" t="str">
        <x:v>Ajuste incorreto</x:v>
      </x:c>
      <x:c r="N534" s="84" t="str">
        <x:v>Componente ajustado ou substituído</x:v>
      </x:c>
      <x:c r="O534" s="84" t="n">
        <x:v>0</x:v>
      </x:c>
      <x:c r="P534" s="93" t="n">
        <x:v>298.9</x:v>
      </x:c>
      <x:c r="Q534" s="93" t="n">
        <x:v>0</x:v>
      </x:c>
      <x:c r="R534" s="91" t="n">
        <x:v>2268.78</x:v>
      </x:c>
    </x:row>
    <x:row r="535">
      <x:c r="A535" s="83" t="n">
        <x:v>534</x:v>
      </x:c>
      <x:c r="B535" s="84" t="str">
        <x:v>OS-2024-00534</x:v>
      </x:c>
      <x:c r="C535" s="84" t="n">
        <x:v>68</x:v>
      </x:c>
      <x:c r="D535" s="84" t="n">
        <x:v>3</x:v>
      </x:c>
      <x:c r="E535" s="84"/>
      <x:c r="F535" s="89" t="n">
        <x:v>45373.47729166667</x:v>
      </x:c>
      <x:c r="G535" s="89"/>
      <x:c r="H535" s="89" t="n">
        <x:v>45375.47729166667</x:v>
      </x:c>
      <x:c r="I535" s="89" t="n">
        <x:v>45375.768958333334</x:v>
      </x:c>
      <x:c r="J535" s="84" t="str">
        <x:v>Baixa</x:v>
      </x:c>
      <x:c r="K535" s="84" t="str">
        <x:v>Encerrada</x:v>
      </x:c>
      <x:c r="L535" s="84" t="str">
        <x:v>Baixa pressão</x:v>
      </x:c>
      <x:c r="M535" s="84" t="str">
        <x:v>Desgaste natural</x:v>
      </x:c>
      <x:c r="N535" s="84" t="str">
        <x:v>Componente ajustado ou substituído</x:v>
      </x:c>
      <x:c r="O535" s="84" t="n">
        <x:v>0</x:v>
      </x:c>
      <x:c r="P535" s="93" t="n">
        <x:v>79</x:v>
      </x:c>
      <x:c r="Q535" s="93" t="n">
        <x:v>1817.34</x:v>
      </x:c>
      <x:c r="R535" s="91" t="n">
        <x:v>0</x:v>
      </x:c>
    </x:row>
    <x:row r="536">
      <x:c r="A536" s="83" t="n">
        <x:v>535</x:v>
      </x:c>
      <x:c r="B536" s="84" t="str">
        <x:v>OS-2024-00535</x:v>
      </x:c>
      <x:c r="C536" s="84" t="n">
        <x:v>37</x:v>
      </x:c>
      <x:c r="D536" s="84" t="n">
        <x:v>2</x:v>
      </x:c>
      <x:c r="E536" s="84"/>
      <x:c r="F536" s="89" t="n">
        <x:v>45632.906747685185</x:v>
      </x:c>
      <x:c r="G536" s="89" t="n">
        <x:v>45641.906747685185</x:v>
      </x:c>
      <x:c r="H536" s="89" t="n">
        <x:v>45635.44841435185</x:v>
      </x:c>
      <x:c r="I536" s="89" t="n">
        <x:v>45635.49008101852</x:v>
      </x:c>
      <x:c r="J536" s="84" t="str">
        <x:v>Alta</x:v>
      </x:c>
      <x:c r="K536" s="84" t="str">
        <x:v>Concluída</x:v>
      </x:c>
      <x:c r="L536" s="84" t="str">
        <x:v>Falha elétrica</x:v>
      </x:c>
      <x:c r="M536" s="84" t="str">
        <x:v>Desgaste natural</x:v>
      </x:c>
      <x:c r="N536" s="84" t="str">
        <x:v>Componente ajustado ou substituído</x:v>
      </x:c>
      <x:c r="O536" s="84" t="n">
        <x:v>0</x:v>
      </x:c>
      <x:c r="P536" s="93" t="n">
        <x:v>169.78</x:v>
      </x:c>
      <x:c r="Q536" s="93" t="n">
        <x:v>1415.2</x:v>
      </x:c>
      <x:c r="R536" s="91" t="n">
        <x:v>0</x:v>
      </x:c>
    </x:row>
    <x:row r="537">
      <x:c r="A537" s="83" t="n">
        <x:v>536</x:v>
      </x:c>
      <x:c r="B537" s="84" t="str">
        <x:v>OS-2024-00536</x:v>
      </x:c>
      <x:c r="C537" s="84" t="n">
        <x:v>42</x:v>
      </x:c>
      <x:c r="D537" s="84" t="n">
        <x:v>5</x:v>
      </x:c>
      <x:c r="E537" s="84" t="n">
        <x:v>84</x:v>
      </x:c>
      <x:c r="F537" s="89" t="n">
        <x:v>45557.714479166665</x:v>
      </x:c>
      <x:c r="G537" s="89" t="n">
        <x:v>45562.714479166665</x:v>
      </x:c>
      <x:c r="H537" s="89" t="n">
        <x:v>45559.714479166665</x:v>
      </x:c>
      <x:c r="I537" s="89" t="n">
        <x:v>45560.50614583334</x:v>
      </x:c>
      <x:c r="J537" s="84" t="str">
        <x:v>Crítica</x:v>
      </x:c>
      <x:c r="K537" s="84" t="str">
        <x:v>Encerrada</x:v>
      </x:c>
      <x:c r="L537" s="84" t="str">
        <x:v>Superaquecimento</x:v>
      </x:c>
      <x:c r="M537" s="84" t="str">
        <x:v>Contaminação</x:v>
      </x:c>
      <x:c r="N537" s="84" t="str">
        <x:v>Componente ajustado ou substituído</x:v>
      </x:c>
      <x:c r="O537" s="84" t="n">
        <x:v>0</x:v>
      </x:c>
      <x:c r="P537" s="93" t="n">
        <x:v>117.94</x:v>
      </x:c>
      <x:c r="Q537" s="93" t="n">
        <x:v>5069.16</x:v>
      </x:c>
      <x:c r="R537" s="91" t="n">
        <x:v>5408.78</x:v>
      </x:c>
    </x:row>
    <x:row r="538">
      <x:c r="A538" s="83" t="n">
        <x:v>537</x:v>
      </x:c>
      <x:c r="B538" s="84" t="str">
        <x:v>OS-2024-00537</x:v>
      </x:c>
      <x:c r="C538" s="84" t="n">
        <x:v>48</x:v>
      </x:c>
      <x:c r="D538" s="84" t="n">
        <x:v>3</x:v>
      </x:c>
      <x:c r="E538" s="84"/>
      <x:c r="F538" s="89" t="n">
        <x:v>45580.01090277778</x:v>
      </x:c>
      <x:c r="G538" s="89"/>
      <x:c r="H538" s="89" t="n">
        <x:v>45581.927569444444</x:v>
      </x:c>
      <x:c r="I538" s="89" t="n">
        <x:v>45582.51090277778</x:v>
      </x:c>
      <x:c r="J538" s="84" t="str">
        <x:v>Média</x:v>
      </x:c>
      <x:c r="K538" s="84" t="str">
        <x:v>Encerrada</x:v>
      </x:c>
      <x:c r="L538" s="84" t="str">
        <x:v>Desalinhamento</x:v>
      </x:c>
      <x:c r="M538" s="84" t="str">
        <x:v>Ajuste incorreto</x:v>
      </x:c>
      <x:c r="N538" s="84" t="str">
        <x:v>Componente ajustado ou substituído</x:v>
      </x:c>
      <x:c r="O538" s="84" t="n">
        <x:v>0</x:v>
      </x:c>
      <x:c r="P538" s="93" t="n">
        <x:v>296.16</x:v>
      </x:c>
      <x:c r="Q538" s="93" t="n">
        <x:v>0</x:v>
      </x:c>
      <x:c r="R538" s="91" t="n">
        <x:v>0</x:v>
      </x:c>
    </x:row>
    <x:row r="539">
      <x:c r="A539" s="83" t="n">
        <x:v>538</x:v>
      </x:c>
      <x:c r="B539" s="84" t="str">
        <x:v>OS-2024-00538</x:v>
      </x:c>
      <x:c r="C539" s="84" t="n">
        <x:v>52</x:v>
      </x:c>
      <x:c r="D539" s="84" t="n">
        <x:v>1</x:v>
      </x:c>
      <x:c r="E539" s="84" t="n">
        <x:v>103</x:v>
      </x:c>
      <x:c r="F539" s="89" t="n">
        <x:v>45354.95943287037</x:v>
      </x:c>
      <x:c r="G539" s="89" t="n">
        <x:v>45361.95943287037</x:v>
      </x:c>
      <x:c r="H539" s="89" t="n">
        <x:v>45357.50109953704</x:v>
      </x:c>
      <x:c r="I539" s="89" t="n">
        <x:v>45358.08443287037</x:v>
      </x:c>
      <x:c r="J539" s="84" t="str">
        <x:v>Média</x:v>
      </x:c>
      <x:c r="K539" s="84" t="str">
        <x:v>Encerrada</x:v>
      </x:c>
      <x:c r="L539" s="84" t="str">
        <x:v>Superaquecimento</x:v>
      </x:c>
      <x:c r="M539" s="84" t="str">
        <x:v>Componente danificado</x:v>
      </x:c>
      <x:c r="N539" s="84" t="str">
        <x:v>Componente ajustado ou substituído</x:v>
      </x:c>
      <x:c r="O539" s="84" t="n">
        <x:v>0</x:v>
      </x:c>
      <x:c r="P539" s="93" t="n">
        <x:v>319.23</x:v>
      </x:c>
      <x:c r="Q539" s="93" t="n">
        <x:v>18459.12</x:v>
      </x:c>
      <x:c r="R539" s="91" t="n">
        <x:v>0</x:v>
      </x:c>
    </x:row>
    <x:row r="540">
      <x:c r="A540" s="83" t="n">
        <x:v>539</x:v>
      </x:c>
      <x:c r="B540" s="84" t="str">
        <x:v>OS-2023-00539</x:v>
      </x:c>
      <x:c r="C540" s="84" t="n">
        <x:v>70</x:v>
      </x:c>
      <x:c r="D540" s="84" t="n">
        <x:v>2</x:v>
      </x:c>
      <x:c r="E540" s="84"/>
      <x:c r="F540" s="89" t="n">
        <x:v>45280.19269675926</x:v>
      </x:c>
      <x:c r="G540" s="89" t="n">
        <x:v>45288.19269675926</x:v>
      </x:c>
      <x:c r="H540" s="89" t="n">
        <x:v>45281.60936342592</x:v>
      </x:c>
      <x:c r="I540" s="89" t="n">
        <x:v>45282.31769675926</x:v>
      </x:c>
      <x:c r="J540" s="84" t="str">
        <x:v>Média</x:v>
      </x:c>
      <x:c r="K540" s="84" t="str">
        <x:v>Encerrada</x:v>
      </x:c>
      <x:c r="L540" s="84" t="str">
        <x:v>Superaquecimento</x:v>
      </x:c>
      <x:c r="M540" s="84" t="str">
        <x:v>Falta de lubrificação</x:v>
      </x:c>
      <x:c r="N540" s="84" t="str">
        <x:v>Componente ajustado ou substituído</x:v>
      </x:c>
      <x:c r="O540" s="84" t="n">
        <x:v>0</x:v>
      </x:c>
      <x:c r="P540" s="93" t="n">
        <x:v>373.12</x:v>
      </x:c>
      <x:c r="Q540" s="93" t="n">
        <x:v>17630.76</x:v>
      </x:c>
      <x:c r="R540" s="91" t="n">
        <x:v>0</x:v>
      </x:c>
    </x:row>
    <x:row r="541">
      <x:c r="A541" s="83" t="n">
        <x:v>540</x:v>
      </x:c>
      <x:c r="B541" s="84" t="str">
        <x:v>OS-2023-00540</x:v>
      </x:c>
      <x:c r="C541" s="84" t="n">
        <x:v>51</x:v>
      </x:c>
      <x:c r="D541" s="84" t="n">
        <x:v>1</x:v>
      </x:c>
      <x:c r="E541" s="84" t="n">
        <x:v>102</x:v>
      </x:c>
      <x:c r="F541" s="89" t="n">
        <x:v>45261.95658564815</x:v>
      </x:c>
      <x:c r="G541" s="89" t="n">
        <x:v>45266.95658564815</x:v>
      </x:c>
      <x:c r="H541" s="89" t="n">
        <x:v>45262.498252314814</x:v>
      </x:c>
      <x:c r="I541" s="89"/>
      <x:c r="J541" s="84" t="str">
        <x:v>Média</x:v>
      </x:c>
      <x:c r="K541" s="84" t="str">
        <x:v>Aguardando peça</x:v>
      </x:c>
      <x:c r="L541" s="84" t="str">
        <x:v>Desalinhamento</x:v>
      </x:c>
      <x:c r="M541" s="84" t="str">
        <x:v>Contaminação</x:v>
      </x:c>
      <x:c r="N541" s="84"/>
      <x:c r="O541" s="84" t="n">
        <x:v>0</x:v>
      </x:c>
      <x:c r="P541" s="93" t="n">
        <x:v>589.48</x:v>
      </x:c>
      <x:c r="Q541" s="93" t="n">
        <x:v>0</x:v>
      </x:c>
      <x:c r="R541" s="91" t="n">
        <x:v>5190.64</x:v>
      </x:c>
    </x:row>
    <x:row r="542">
      <x:c r="A542" s="83" t="n">
        <x:v>541</x:v>
      </x:c>
      <x:c r="B542" s="84" t="str">
        <x:v>OS-2024-00541</x:v>
      </x:c>
      <x:c r="C542" s="84" t="n">
        <x:v>70</x:v>
      </x:c>
      <x:c r="D542" s="84" t="n">
        <x:v>4</x:v>
      </x:c>
      <x:c r="E542" s="84"/>
      <x:c r="F542" s="89" t="n">
        <x:v>45321.61920138889</x:v>
      </x:c>
      <x:c r="G542" s="89" t="n">
        <x:v>45325.61920138889</x:v>
      </x:c>
      <x:c r="H542" s="89" t="n">
        <x:v>45324.36920138889</x:v>
      </x:c>
      <x:c r="I542" s="89" t="n">
        <x:v>45324.45253472222</x:v>
      </x:c>
      <x:c r="J542" s="84" t="str">
        <x:v>Alta</x:v>
      </x:c>
      <x:c r="K542" s="84" t="str">
        <x:v>Encerrada</x:v>
      </x:c>
      <x:c r="L542" s="84" t="str">
        <x:v>Desalinhamento</x:v>
      </x:c>
      <x:c r="M542" s="84" t="str">
        <x:v>Desgaste natural</x:v>
      </x:c>
      <x:c r="N542" s="84" t="str">
        <x:v>Componente ajustado ou substituído</x:v>
      </x:c>
      <x:c r="O542" s="84" t="n">
        <x:v>0</x:v>
      </x:c>
      <x:c r="P542" s="93" t="n">
        <x:v>176.78</x:v>
      </x:c>
      <x:c r="Q542" s="93" t="n">
        <x:v>0</x:v>
      </x:c>
      <x:c r="R542" s="91" t="n">
        <x:v>0</x:v>
      </x:c>
    </x:row>
    <x:row r="543">
      <x:c r="A543" s="83" t="n">
        <x:v>542</x:v>
      </x:c>
      <x:c r="B543" s="84" t="str">
        <x:v>OS-2025-00542</x:v>
      </x:c>
      <x:c r="C543" s="84" t="n">
        <x:v>50</x:v>
      </x:c>
      <x:c r="D543" s="84" t="n">
        <x:v>6</x:v>
      </x:c>
      <x:c r="E543" s="84"/>
      <x:c r="F543" s="89" t="n">
        <x:v>45914.9690625</x:v>
      </x:c>
      <x:c r="G543" s="89" t="n">
        <x:v>45914.9690625</x:v>
      </x:c>
      <x:c r="H543" s="89" t="n">
        <x:v>45915.9690625</x:v>
      </x:c>
      <x:c r="I543" s="89" t="n">
        <x:v>45916.2190625</x:v>
      </x:c>
      <x:c r="J543" s="84" t="str">
        <x:v>Baixa</x:v>
      </x:c>
      <x:c r="K543" s="84" t="str">
        <x:v>Encerrada</x:v>
      </x:c>
      <x:c r="L543" s="84" t="str">
        <x:v>Superaquecimento</x:v>
      </x:c>
      <x:c r="M543" s="84" t="str">
        <x:v>Ajuste incorreto</x:v>
      </x:c>
      <x:c r="N543" s="84" t="str">
        <x:v>Componente ajustado ou substituído</x:v>
      </x:c>
      <x:c r="O543" s="84" t="n">
        <x:v>0</x:v>
      </x:c>
      <x:c r="P543" s="93" t="n">
        <x:v>457.9</x:v>
      </x:c>
      <x:c r="Q543" s="93" t="n">
        <x:v>0</x:v>
      </x:c>
      <x:c r="R543" s="91" t="n">
        <x:v>0</x:v>
      </x:c>
    </x:row>
    <x:row r="544">
      <x:c r="A544" s="83" t="n">
        <x:v>543</x:v>
      </x:c>
      <x:c r="B544" s="84" t="str">
        <x:v>OS-2023-00543</x:v>
      </x:c>
      <x:c r="C544" s="84" t="n">
        <x:v>16</x:v>
      </x:c>
      <x:c r="D544" s="84" t="n">
        <x:v>2</x:v>
      </x:c>
      <x:c r="E544" s="84"/>
      <x:c r="F544" s="89" t="n">
        <x:v>45201.53090277778</x:v>
      </x:c>
      <x:c r="G544" s="89" t="n">
        <x:v>45206.53090277778</x:v>
      </x:c>
      <x:c r="H544" s="89" t="n">
        <x:v>45203.19756944444</x:v>
      </x:c>
      <x:c r="I544" s="89" t="n">
        <x:v>45203.86423611111</x:v>
      </x:c>
      <x:c r="J544" s="84" t="str">
        <x:v>Alta</x:v>
      </x:c>
      <x:c r="K544" s="84" t="str">
        <x:v>Encerrada</x:v>
      </x:c>
      <x:c r="L544" s="84" t="str">
        <x:v>Superaquecimento</x:v>
      </x:c>
      <x:c r="M544" s="84" t="str">
        <x:v>Conexão frouxa</x:v>
      </x:c>
      <x:c r="N544" s="84" t="str">
        <x:v>Componente ajustado ou substituído</x:v>
      </x:c>
      <x:c r="O544" s="84" t="n">
        <x:v>0</x:v>
      </x:c>
      <x:c r="P544" s="93" t="n">
        <x:v>296.52</x:v>
      </x:c>
      <x:c r="Q544" s="93" t="n">
        <x:v>0</x:v>
      </x:c>
      <x:c r="R544" s="91" t="n">
        <x:v>0</x:v>
      </x:c>
    </x:row>
    <x:row r="545">
      <x:c r="A545" s="83" t="n">
        <x:v>544</x:v>
      </x:c>
      <x:c r="B545" s="84" t="str">
        <x:v>OS-2023-00544</x:v>
      </x:c>
      <x:c r="C545" s="84" t="n">
        <x:v>80</x:v>
      </x:c>
      <x:c r="D545" s="84" t="n">
        <x:v>4</x:v>
      </x:c>
      <x:c r="E545" s="84"/>
      <x:c r="F545" s="89" t="n">
        <x:v>45006.44431712963</x:v>
      </x:c>
      <x:c r="G545" s="89" t="n">
        <x:v>45009.44431712963</x:v>
      </x:c>
      <x:c r="H545" s="89"/>
      <x:c r="I545" s="89"/>
      <x:c r="J545" s="84" t="str">
        <x:v>Crítica</x:v>
      </x:c>
      <x:c r="K545" s="84" t="str">
        <x:v>Cancelada</x:v>
      </x:c>
      <x:c r="L545" s="84" t="str">
        <x:v>Baixa pressão</x:v>
      </x:c>
      <x:c r="M545" s="84"/>
      <x:c r="N545" s="84"/>
      <x:c r="O545" s="84" t="n">
        <x:v>0</x:v>
      </x:c>
      <x:c r="P545" s="93" t="n">
        <x:v>0</x:v>
      </x:c>
      <x:c r="Q545" s="93" t="n">
        <x:v>0</x:v>
      </x:c>
      <x:c r="R545" s="91" t="n">
        <x:v>0</x:v>
      </x:c>
    </x:row>
    <x:row r="546">
      <x:c r="A546" s="83" t="n">
        <x:v>545</x:v>
      </x:c>
      <x:c r="B546" s="84" t="str">
        <x:v>OS-2024-00545</x:v>
      </x:c>
      <x:c r="C546" s="84" t="n">
        <x:v>86</x:v>
      </x:c>
      <x:c r="D546" s="84" t="n">
        <x:v>7</x:v>
      </x:c>
      <x:c r="E546" s="84" t="n">
        <x:v>172</x:v>
      </x:c>
      <x:c r="F546" s="89" t="n">
        <x:v>45450.29162037037</x:v>
      </x:c>
      <x:c r="G546" s="89" t="n">
        <x:v>45462.29162037037</x:v>
      </x:c>
      <x:c r="H546" s="89" t="n">
        <x:v>45452.1249537037</x:v>
      </x:c>
      <x:c r="I546" s="89" t="n">
        <x:v>45452.583287037036</x:v>
      </x:c>
      <x:c r="J546" s="84" t="str">
        <x:v>Crítica</x:v>
      </x:c>
      <x:c r="K546" s="84" t="str">
        <x:v>Encerrada</x:v>
      </x:c>
      <x:c r="L546" s="84" t="str">
        <x:v>Falha elétrica</x:v>
      </x:c>
      <x:c r="M546" s="84" t="str">
        <x:v>Ajuste incorreto</x:v>
      </x:c>
      <x:c r="N546" s="84" t="str">
        <x:v>Componente ajustado ou substituído</x:v>
      </x:c>
      <x:c r="O546" s="84" t="n">
        <x:v>0</x:v>
      </x:c>
      <x:c r="P546" s="93" t="n">
        <x:v>590.27</x:v>
      </x:c>
      <x:c r="Q546" s="93" t="n">
        <x:v>12302.97</x:v>
      </x:c>
      <x:c r="R546" s="91" t="n">
        <x:v>0</x:v>
      </x:c>
    </x:row>
    <x:row r="547">
      <x:c r="A547" s="83" t="n">
        <x:v>546</x:v>
      </x:c>
      <x:c r="B547" s="84" t="str">
        <x:v>OS-2024-00546</x:v>
      </x:c>
      <x:c r="C547" s="84" t="n">
        <x:v>63</x:v>
      </x:c>
      <x:c r="D547" s="84" t="n">
        <x:v>5</x:v>
      </x:c>
      <x:c r="E547" s="84" t="n">
        <x:v>126</x:v>
      </x:c>
      <x:c r="F547" s="89" t="n">
        <x:v>45314.09453703704</x:v>
      </x:c>
      <x:c r="G547" s="89" t="n">
        <x:v>45314.09453703704</x:v>
      </x:c>
      <x:c r="H547" s="89" t="n">
        <x:v>45315.46953703704</x:v>
      </x:c>
      <x:c r="I547" s="89"/>
      <x:c r="J547" s="84" t="str">
        <x:v>Baixa</x:v>
      </x:c>
      <x:c r="K547" s="84" t="str">
        <x:v>Aguardando peça</x:v>
      </x:c>
      <x:c r="L547" s="84" t="str">
        <x:v>Alarme intermitente</x:v>
      </x:c>
      <x:c r="M547" s="84" t="str">
        <x:v>Ajuste incorreto</x:v>
      </x:c>
      <x:c r="N547" s="84"/>
      <x:c r="O547" s="84" t="n">
        <x:v>0</x:v>
      </x:c>
      <x:c r="P547" s="93" t="n">
        <x:v>328.77</x:v>
      </x:c>
      <x:c r="Q547" s="93" t="n">
        <x:v>8599.63</x:v>
      </x:c>
      <x:c r="R547" s="91" t="n">
        <x:v>0</x:v>
      </x:c>
    </x:row>
    <x:row r="548">
      <x:c r="A548" s="83" t="n">
        <x:v>547</x:v>
      </x:c>
      <x:c r="B548" s="84" t="str">
        <x:v>OS-2023-00547</x:v>
      </x:c>
      <x:c r="C548" s="84" t="n">
        <x:v>89</x:v>
      </x:c>
      <x:c r="D548" s="84" t="n">
        <x:v>7</x:v>
      </x:c>
      <x:c r="E548" s="84" t="n">
        <x:v>178</x:v>
      </x:c>
      <x:c r="F548" s="89" t="n">
        <x:v>44958.96443287037</x:v>
      </x:c>
      <x:c r="G548" s="89" t="n">
        <x:v>44964.96443287037</x:v>
      </x:c>
      <x:c r="H548" s="89" t="n">
        <x:v>44960.08943287037</x:v>
      </x:c>
      <x:c r="I548" s="89"/>
      <x:c r="J548" s="84" t="str">
        <x:v>Alta</x:v>
      </x:c>
      <x:c r="K548" s="84" t="str">
        <x:v>Em execução</x:v>
      </x:c>
      <x:c r="L548" s="84" t="str">
        <x:v>Baixa pressão</x:v>
      </x:c>
      <x:c r="M548" s="84" t="str">
        <x:v>Contaminação</x:v>
      </x:c>
      <x:c r="N548" s="84"/>
      <x:c r="O548" s="84" t="n">
        <x:v>0</x:v>
      </x:c>
      <x:c r="P548" s="93" t="n">
        <x:v>662.48</x:v>
      </x:c>
      <x:c r="Q548" s="93" t="n">
        <x:v>0</x:v>
      </x:c>
      <x:c r="R548" s="91" t="n">
        <x:v>0</x:v>
      </x:c>
    </x:row>
    <x:row r="549">
      <x:c r="A549" s="83" t="n">
        <x:v>548</x:v>
      </x:c>
      <x:c r="B549" s="84" t="str">
        <x:v>OS-2024-00548</x:v>
      </x:c>
      <x:c r="C549" s="84" t="n">
        <x:v>71</x:v>
      </x:c>
      <x:c r="D549" s="84" t="n">
        <x:v>3</x:v>
      </x:c>
      <x:c r="E549" s="84"/>
      <x:c r="F549" s="89" t="n">
        <x:v>45424.52585648148</x:v>
      </x:c>
      <x:c r="G549" s="89"/>
      <x:c r="H549" s="89" t="n">
        <x:v>45424.94252314815</x:v>
      </x:c>
      <x:c r="I549" s="89" t="n">
        <x:v>45425.65085648148</x:v>
      </x:c>
      <x:c r="J549" s="84" t="str">
        <x:v>Alta</x:v>
      </x:c>
      <x:c r="K549" s="84" t="str">
        <x:v>Concluída</x:v>
      </x:c>
      <x:c r="L549" s="84" t="str">
        <x:v>Vazamento</x:v>
      </x:c>
      <x:c r="M549" s="84" t="str">
        <x:v>Conexão frouxa</x:v>
      </x:c>
      <x:c r="N549" s="84" t="str">
        <x:v>Componente ajustado ou substituído</x:v>
      </x:c>
      <x:c r="O549" s="84" t="n">
        <x:v>0</x:v>
      </x:c>
      <x:c r="P549" s="93" t="n">
        <x:v>738.66</x:v>
      </x:c>
      <x:c r="Q549" s="93" t="n">
        <x:v>8266.88</x:v>
      </x:c>
      <x:c r="R549" s="91" t="n">
        <x:v>0</x:v>
      </x:c>
    </x:row>
    <x:row r="550">
      <x:c r="A550" s="83" t="n">
        <x:v>549</x:v>
      </x:c>
      <x:c r="B550" s="84" t="str">
        <x:v>OS-2023-00549</x:v>
      </x:c>
      <x:c r="C550" s="84" t="n">
        <x:v>21</x:v>
      </x:c>
      <x:c r="D550" s="84" t="n">
        <x:v>1</x:v>
      </x:c>
      <x:c r="E550" s="84" t="n">
        <x:v>41</x:v>
      </x:c>
      <x:c r="F550" s="89" t="n">
        <x:v>45235.11854166666</x:v>
      </x:c>
      <x:c r="G550" s="89" t="n">
        <x:v>45249.11854166666</x:v>
      </x:c>
      <x:c r="H550" s="89" t="n">
        <x:v>45235.576875</x:v>
      </x:c>
      <x:c r="I550" s="89" t="n">
        <x:v>45235.826875</x:v>
      </x:c>
      <x:c r="J550" s="84" t="str">
        <x:v>Média</x:v>
      </x:c>
      <x:c r="K550" s="84" t="str">
        <x:v>Encerrada</x:v>
      </x:c>
      <x:c r="L550" s="84" t="str">
        <x:v>Vazamento</x:v>
      </x:c>
      <x:c r="M550" s="84" t="str">
        <x:v>Conexão frouxa</x:v>
      </x:c>
      <x:c r="N550" s="84" t="str">
        <x:v>Componente ajustado ou substituído</x:v>
      </x:c>
      <x:c r="O550" s="84" t="n">
        <x:v>0</x:v>
      </x:c>
      <x:c r="P550" s="93" t="n">
        <x:v>162.1</x:v>
      </x:c>
      <x:c r="Q550" s="93" t="n">
        <x:v>15910.08</x:v>
      </x:c>
      <x:c r="R550" s="91" t="n">
        <x:v>0</x:v>
      </x:c>
    </x:row>
    <x:row r="551">
      <x:c r="A551" s="83" t="n">
        <x:v>550</x:v>
      </x:c>
      <x:c r="B551" s="84" t="str">
        <x:v>OS-2025-00550</x:v>
      </x:c>
      <x:c r="C551" s="84" t="n">
        <x:v>30</x:v>
      </x:c>
      <x:c r="D551" s="84" t="n">
        <x:v>3</x:v>
      </x:c>
      <x:c r="E551" s="84"/>
      <x:c r="F551" s="89" t="n">
        <x:v>45896.87206018518</x:v>
      </x:c>
      <x:c r="G551" s="89"/>
      <x:c r="H551" s="89" t="n">
        <x:v>45898.12206018518</x:v>
      </x:c>
      <x:c r="I551" s="89" t="n">
        <x:v>45898.87206018518</x:v>
      </x:c>
      <x:c r="J551" s="84" t="str">
        <x:v>Baixa</x:v>
      </x:c>
      <x:c r="K551" s="84" t="str">
        <x:v>Encerrada</x:v>
      </x:c>
      <x:c r="L551" s="84" t="str">
        <x:v>Superaquecimento</x:v>
      </x:c>
      <x:c r="M551" s="84" t="str">
        <x:v>Falta de lubrificação</x:v>
      </x:c>
      <x:c r="N551" s="84" t="str">
        <x:v>Componente ajustado ou substituído</x:v>
      </x:c>
      <x:c r="O551" s="84" t="n">
        <x:v>0</x:v>
      </x:c>
      <x:c r="P551" s="93" t="n">
        <x:v>241.42</x:v>
      </x:c>
      <x:c r="Q551" s="93" t="n">
        <x:v>3945.24</x:v>
      </x:c>
      <x:c r="R551" s="91" t="n">
        <x:v>0</x:v>
      </x:c>
    </x:row>
    <x:row r="552">
      <x:c r="A552" s="83" t="n">
        <x:v>551</x:v>
      </x:c>
      <x:c r="B552" s="84" t="str">
        <x:v>OS-2025-00551</x:v>
      </x:c>
      <x:c r="C552" s="84" t="n">
        <x:v>51</x:v>
      </x:c>
      <x:c r="D552" s="84" t="n">
        <x:v>3</x:v>
      </x:c>
      <x:c r="E552" s="84"/>
      <x:c r="F552" s="89" t="n">
        <x:v>45665.30503472222</x:v>
      </x:c>
      <x:c r="G552" s="89"/>
      <x:c r="H552" s="89" t="n">
        <x:v>45666.22170138889</x:v>
      </x:c>
      <x:c r="I552" s="89" t="n">
        <x:v>45666.43003472222</x:v>
      </x:c>
      <x:c r="J552" s="84" t="str">
        <x:v>Baixa</x:v>
      </x:c>
      <x:c r="K552" s="84" t="str">
        <x:v>Encerrada</x:v>
      </x:c>
      <x:c r="L552" s="84" t="str">
        <x:v>Alarme intermitente</x:v>
      </x:c>
      <x:c r="M552" s="84" t="str">
        <x:v>Componente danificado</x:v>
      </x:c>
      <x:c r="N552" s="84" t="str">
        <x:v>Componente ajustado ou substituído</x:v>
      </x:c>
      <x:c r="O552" s="84" t="n">
        <x:v>0</x:v>
      </x:c>
      <x:c r="P552" s="93" t="n">
        <x:v>871.32</x:v>
      </x:c>
      <x:c r="Q552" s="93" t="n">
        <x:v>0</x:v>
      </x:c>
      <x:c r="R552" s="91" t="n">
        <x:v>0</x:v>
      </x:c>
    </x:row>
    <x:row r="553">
      <x:c r="A553" s="83" t="n">
        <x:v>552</x:v>
      </x:c>
      <x:c r="B553" s="84" t="str">
        <x:v>OS-2024-00552</x:v>
      </x:c>
      <x:c r="C553" s="84" t="n">
        <x:v>54</x:v>
      </x:c>
      <x:c r="D553" s="84" t="n">
        <x:v>3</x:v>
      </x:c>
      <x:c r="E553" s="84"/>
      <x:c r="F553" s="89" t="n">
        <x:v>45475.701585648145</x:v>
      </x:c>
      <x:c r="G553" s="89"/>
      <x:c r="H553" s="89" t="n">
        <x:v>45477.826585648145</x:v>
      </x:c>
      <x:c r="I553" s="89" t="n">
        <x:v>45478.53491898148</x:v>
      </x:c>
      <x:c r="J553" s="84" t="str">
        <x:v>Baixa</x:v>
      </x:c>
      <x:c r="K553" s="84" t="str">
        <x:v>Concluída</x:v>
      </x:c>
      <x:c r="L553" s="84" t="str">
        <x:v>Falha elétrica</x:v>
      </x:c>
      <x:c r="M553" s="84" t="str">
        <x:v>Ajuste incorreto</x:v>
      </x:c>
      <x:c r="N553" s="84" t="str">
        <x:v>Componente ajustado ou substituído</x:v>
      </x:c>
      <x:c r="O553" s="84" t="n">
        <x:v>0</x:v>
      </x:c>
      <x:c r="P553" s="93" t="n">
        <x:v>499.48</x:v>
      </x:c>
      <x:c r="Q553" s="93" t="n">
        <x:v>7601.16</x:v>
      </x:c>
      <x:c r="R553" s="91" t="n">
        <x:v>0</x:v>
      </x:c>
    </x:row>
    <x:row r="554">
      <x:c r="A554" s="83" t="n">
        <x:v>553</x:v>
      </x:c>
      <x:c r="B554" s="84" t="str">
        <x:v>OS-2024-00553</x:v>
      </x:c>
      <x:c r="C554" s="84" t="n">
        <x:v>45</x:v>
      </x:c>
      <x:c r="D554" s="84" t="n">
        <x:v>3</x:v>
      </x:c>
      <x:c r="E554" s="84"/>
      <x:c r="F554" s="89" t="n">
        <x:v>45610.56891203704</x:v>
      </x:c>
      <x:c r="G554" s="89"/>
      <x:c r="H554" s="89" t="n">
        <x:v>45612.65224537037</x:v>
      </x:c>
      <x:c r="I554" s="89" t="n">
        <x:v>45612.81891203704</x:v>
      </x:c>
      <x:c r="J554" s="84" t="str">
        <x:v>Média</x:v>
      </x:c>
      <x:c r="K554" s="84" t="str">
        <x:v>Encerrada</x:v>
      </x:c>
      <x:c r="L554" s="84" t="str">
        <x:v>Desalinhamento</x:v>
      </x:c>
      <x:c r="M554" s="84" t="str">
        <x:v>Desgaste natural</x:v>
      </x:c>
      <x:c r="N554" s="84" t="str">
        <x:v>Componente ajustado ou substituído</x:v>
      </x:c>
      <x:c r="O554" s="84" t="n">
        <x:v>0</x:v>
      </x:c>
      <x:c r="P554" s="93" t="n">
        <x:v>466.87</x:v>
      </x:c>
      <x:c r="Q554" s="93" t="n">
        <x:v>4159.96</x:v>
      </x:c>
      <x:c r="R554" s="91" t="n">
        <x:v>0</x:v>
      </x:c>
    </x:row>
    <x:row r="555">
      <x:c r="A555" s="83" t="n">
        <x:v>554</x:v>
      </x:c>
      <x:c r="B555" s="84" t="str">
        <x:v>OS-2025-00554</x:v>
      </x:c>
      <x:c r="C555" s="84" t="n">
        <x:v>30</x:v>
      </x:c>
      <x:c r="D555" s="84" t="n">
        <x:v>1</x:v>
      </x:c>
      <x:c r="E555" s="84" t="n">
        <x:v>60</x:v>
      </x:c>
      <x:c r="F555" s="89" t="n">
        <x:v>45781.96650462963</x:v>
      </x:c>
      <x:c r="G555" s="89" t="n">
        <x:v>45794.96650462963</x:v>
      </x:c>
      <x:c r="H555" s="89" t="n">
        <x:v>45783.21650462963</x:v>
      </x:c>
      <x:c r="I555" s="89" t="n">
        <x:v>45783.549837962964</x:v>
      </x:c>
      <x:c r="J555" s="84" t="str">
        <x:v>Baixa</x:v>
      </x:c>
      <x:c r="K555" s="84" t="str">
        <x:v>Encerrada</x:v>
      </x:c>
      <x:c r="L555" s="84" t="str">
        <x:v>Superaquecimento</x:v>
      </x:c>
      <x:c r="M555" s="84" t="str">
        <x:v>Componente danificado</x:v>
      </x:c>
      <x:c r="N555" s="84" t="str">
        <x:v>Componente ajustado ou substituído</x:v>
      </x:c>
      <x:c r="O555" s="84" t="n">
        <x:v>0</x:v>
      </x:c>
      <x:c r="P555" s="93" t="n">
        <x:v>498.67</x:v>
      </x:c>
      <x:c r="Q555" s="93" t="n">
        <x:v>2502.96</x:v>
      </x:c>
      <x:c r="R555" s="91" t="n">
        <x:v>0</x:v>
      </x:c>
    </x:row>
    <x:row r="556">
      <x:c r="A556" s="83" t="n">
        <x:v>555</x:v>
      </x:c>
      <x:c r="B556" s="84" t="str">
        <x:v>OS-2024-00555</x:v>
      </x:c>
      <x:c r="C556" s="84" t="n">
        <x:v>42</x:v>
      </x:c>
      <x:c r="D556" s="84" t="n">
        <x:v>3</x:v>
      </x:c>
      <x:c r="E556" s="84"/>
      <x:c r="F556" s="89" t="n">
        <x:v>45396.64693287037</x:v>
      </x:c>
      <x:c r="G556" s="89"/>
      <x:c r="H556" s="89" t="n">
        <x:v>45396.77193287037</x:v>
      </x:c>
      <x:c r="I556" s="89" t="n">
        <x:v>45397.02193287037</x:v>
      </x:c>
      <x:c r="J556" s="84" t="str">
        <x:v>Alta</x:v>
      </x:c>
      <x:c r="K556" s="84" t="str">
        <x:v>Encerrada</x:v>
      </x:c>
      <x:c r="L556" s="84" t="str">
        <x:v>Alarme intermitente</x:v>
      </x:c>
      <x:c r="M556" s="84" t="str">
        <x:v>Ajuste incorreto</x:v>
      </x:c>
      <x:c r="N556" s="84" t="str">
        <x:v>Componente ajustado ou substituído</x:v>
      </x:c>
      <x:c r="O556" s="84" t="n">
        <x:v>0</x:v>
      </x:c>
      <x:c r="P556" s="93" t="n">
        <x:v>290.63</x:v>
      </x:c>
      <x:c r="Q556" s="93" t="n">
        <x:v>1679.23</x:v>
      </x:c>
      <x:c r="R556" s="91" t="n">
        <x:v>0</x:v>
      </x:c>
    </x:row>
    <x:row r="557">
      <x:c r="A557" s="83" t="n">
        <x:v>556</x:v>
      </x:c>
      <x:c r="B557" s="84" t="str">
        <x:v>OS-2024-00556</x:v>
      </x:c>
      <x:c r="C557" s="84" t="n">
        <x:v>56</x:v>
      </x:c>
      <x:c r="D557" s="84" t="n">
        <x:v>1</x:v>
      </x:c>
      <x:c r="E557" s="84" t="n">
        <x:v>111</x:v>
      </x:c>
      <x:c r="F557" s="89" t="n">
        <x:v>45491.883518518516</x:v>
      </x:c>
      <x:c r="G557" s="89" t="n">
        <x:v>45499.883518518516</x:v>
      </x:c>
      <x:c r="H557" s="89" t="n">
        <x:v>45492.09185185185</x:v>
      </x:c>
      <x:c r="I557" s="89" t="n">
        <x:v>45492.42518518519</x:v>
      </x:c>
      <x:c r="J557" s="84" t="str">
        <x:v>Baixa</x:v>
      </x:c>
      <x:c r="K557" s="84" t="str">
        <x:v>Concluída</x:v>
      </x:c>
      <x:c r="L557" s="84" t="str">
        <x:v>Vazamento</x:v>
      </x:c>
      <x:c r="M557" s="84" t="str">
        <x:v>Ajuste incorreto</x:v>
      </x:c>
      <x:c r="N557" s="84" t="str">
        <x:v>Componente ajustado ou substituído</x:v>
      </x:c>
      <x:c r="O557" s="84" t="n">
        <x:v>0</x:v>
      </x:c>
      <x:c r="P557" s="93" t="n">
        <x:v>445.55</x:v>
      </x:c>
      <x:c r="Q557" s="93" t="n">
        <x:v>18681.6</x:v>
      </x:c>
      <x:c r="R557" s="91" t="n">
        <x:v>0</x:v>
      </x:c>
    </x:row>
    <x:row r="558">
      <x:c r="A558" s="83" t="n">
        <x:v>557</x:v>
      </x:c>
      <x:c r="B558" s="84" t="str">
        <x:v>OS-2025-00557</x:v>
      </x:c>
      <x:c r="C558" s="84" t="n">
        <x:v>69</x:v>
      </x:c>
      <x:c r="D558" s="84" t="n">
        <x:v>5</x:v>
      </x:c>
      <x:c r="E558" s="84" t="n">
        <x:v>138</x:v>
      </x:c>
      <x:c r="F558" s="89" t="n">
        <x:v>45708.42186342592</x:v>
      </x:c>
      <x:c r="G558" s="89" t="n">
        <x:v>45710.42186342592</x:v>
      </x:c>
      <x:c r="H558" s="89" t="n">
        <x:v>45710.63019675926</x:v>
      </x:c>
      <x:c r="I558" s="89" t="n">
        <x:v>45710.88019675926</x:v>
      </x:c>
      <x:c r="J558" s="84" t="str">
        <x:v>Alta</x:v>
      </x:c>
      <x:c r="K558" s="84" t="str">
        <x:v>Encerrada</x:v>
      </x:c>
      <x:c r="L558" s="84" t="str">
        <x:v>Desalinhamento</x:v>
      </x:c>
      <x:c r="M558" s="84" t="str">
        <x:v>Contaminação</x:v>
      </x:c>
      <x:c r="N558" s="84" t="str">
        <x:v>Componente ajustado ou substituído</x:v>
      </x:c>
      <x:c r="O558" s="84" t="n">
        <x:v>0</x:v>
      </x:c>
      <x:c r="P558" s="93" t="n">
        <x:v>493.62</x:v>
      </x:c>
      <x:c r="Q558" s="93" t="n">
        <x:v>1770.33</x:v>
      </x:c>
      <x:c r="R558" s="91" t="n">
        <x:v>0</x:v>
      </x:c>
    </x:row>
    <x:row r="559">
      <x:c r="A559" s="83" t="n">
        <x:v>558</x:v>
      </x:c>
      <x:c r="B559" s="84" t="str">
        <x:v>OS-2023-00558</x:v>
      </x:c>
      <x:c r="C559" s="84" t="n">
        <x:v>63</x:v>
      </x:c>
      <x:c r="D559" s="84" t="n">
        <x:v>1</x:v>
      </x:c>
      <x:c r="E559" s="84" t="n">
        <x:v>126</x:v>
      </x:c>
      <x:c r="F559" s="89" t="n">
        <x:v>45134.52108796296</x:v>
      </x:c>
      <x:c r="G559" s="89" t="n">
        <x:v>45149.52108796296</x:v>
      </x:c>
      <x:c r="H559" s="89" t="n">
        <x:v>45137.43775462963</x:v>
      </x:c>
      <x:c r="I559" s="89" t="n">
        <x:v>45137.93775462963</x:v>
      </x:c>
      <x:c r="J559" s="84" t="str">
        <x:v>Baixa</x:v>
      </x:c>
      <x:c r="K559" s="84" t="str">
        <x:v>Encerrada</x:v>
      </x:c>
      <x:c r="L559" s="84" t="str">
        <x:v>Alarme intermitente</x:v>
      </x:c>
      <x:c r="M559" s="84" t="str">
        <x:v>Componente danificado</x:v>
      </x:c>
      <x:c r="N559" s="84" t="str">
        <x:v>Componente ajustado ou substituído</x:v>
      </x:c>
      <x:c r="O559" s="84" t="n">
        <x:v>0</x:v>
      </x:c>
      <x:c r="P559" s="93" t="n">
        <x:v>79.07</x:v>
      </x:c>
      <x:c r="Q559" s="93" t="n">
        <x:v>0</x:v>
      </x:c>
      <x:c r="R559" s="91" t="n">
        <x:v>0</x:v>
      </x:c>
    </x:row>
    <x:row r="560">
      <x:c r="A560" s="83" t="n">
        <x:v>559</x:v>
      </x:c>
      <x:c r="B560" s="84" t="str">
        <x:v>OS-2023-00559</x:v>
      </x:c>
      <x:c r="C560" s="84" t="n">
        <x:v>79</x:v>
      </x:c>
      <x:c r="D560" s="84" t="n">
        <x:v>1</x:v>
      </x:c>
      <x:c r="E560" s="84" t="n">
        <x:v>157</x:v>
      </x:c>
      <x:c r="F560" s="89" t="n">
        <x:v>45184.613032407404</x:v>
      </x:c>
      <x:c r="G560" s="89" t="n">
        <x:v>45192.613032407404</x:v>
      </x:c>
      <x:c r="H560" s="89"/>
      <x:c r="I560" s="89"/>
      <x:c r="J560" s="84" t="str">
        <x:v>Alta</x:v>
      </x:c>
      <x:c r="K560" s="84" t="str">
        <x:v>Planejada</x:v>
      </x:c>
      <x:c r="L560" s="84" t="str">
        <x:v>Vazamento</x:v>
      </x:c>
      <x:c r="M560" s="84"/>
      <x:c r="N560" s="84"/>
      <x:c r="O560" s="84" t="n">
        <x:v>0</x:v>
      </x:c>
      <x:c r="P560" s="93" t="n">
        <x:v>0</x:v>
      </x:c>
      <x:c r="Q560" s="93" t="n">
        <x:v>0</x:v>
      </x:c>
      <x:c r="R560" s="91" t="n">
        <x:v>0</x:v>
      </x:c>
    </x:row>
    <x:row r="561">
      <x:c r="A561" s="83" t="n">
        <x:v>560</x:v>
      </x:c>
      <x:c r="B561" s="84" t="str">
        <x:v>OS-2024-00560</x:v>
      </x:c>
      <x:c r="C561" s="84" t="n">
        <x:v>3</x:v>
      </x:c>
      <x:c r="D561" s="84" t="n">
        <x:v>2</x:v>
      </x:c>
      <x:c r="E561" s="84"/>
      <x:c r="F561" s="89" t="n">
        <x:v>45361.23819444444</x:v>
      </x:c>
      <x:c r="G561" s="89" t="n">
        <x:v>45376.23819444444</x:v>
      </x:c>
      <x:c r="H561" s="89" t="n">
        <x:v>45363.404861111114</x:v>
      </x:c>
      <x:c r="I561" s="89" t="n">
        <x:v>45364.23819444444</x:v>
      </x:c>
      <x:c r="J561" s="84" t="str">
        <x:v>Alta</x:v>
      </x:c>
      <x:c r="K561" s="84" t="str">
        <x:v>Encerrada</x:v>
      </x:c>
      <x:c r="L561" s="84" t="str">
        <x:v>Falha elétrica</x:v>
      </x:c>
      <x:c r="M561" s="84" t="str">
        <x:v>Ajuste incorreto</x:v>
      </x:c>
      <x:c r="N561" s="84" t="str">
        <x:v>Componente ajustado ou substituído</x:v>
      </x:c>
      <x:c r="O561" s="84" t="n">
        <x:v>0</x:v>
      </x:c>
      <x:c r="P561" s="93" t="n">
        <x:v>99.79</x:v>
      </x:c>
      <x:c r="Q561" s="93" t="n">
        <x:v>7418.93</x:v>
      </x:c>
      <x:c r="R561" s="91" t="n">
        <x:v>0</x:v>
      </x:c>
    </x:row>
    <x:row r="562">
      <x:c r="A562" s="83" t="n">
        <x:v>561</x:v>
      </x:c>
      <x:c r="B562" s="84" t="str">
        <x:v>OS-2024-00561</x:v>
      </x:c>
      <x:c r="C562" s="84" t="n">
        <x:v>73</x:v>
      </x:c>
      <x:c r="D562" s="84" t="n">
        <x:v>7</x:v>
      </x:c>
      <x:c r="E562" s="84" t="n">
        <x:v>145</x:v>
      </x:c>
      <x:c r="F562" s="89" t="n">
        <x:v>45645.10050925926</x:v>
      </x:c>
      <x:c r="G562" s="89" t="n">
        <x:v>45655.10050925926</x:v>
      </x:c>
      <x:c r="H562" s="89" t="n">
        <x:v>45645.683842592596</x:v>
      </x:c>
      <x:c r="I562" s="89" t="n">
        <x:v>45646.433842592596</x:v>
      </x:c>
      <x:c r="J562" s="84" t="str">
        <x:v>Crítica</x:v>
      </x:c>
      <x:c r="K562" s="84" t="str">
        <x:v>Encerrada</x:v>
      </x:c>
      <x:c r="L562" s="84" t="str">
        <x:v>Falha elétrica</x:v>
      </x:c>
      <x:c r="M562" s="84" t="str">
        <x:v>Conexão frouxa</x:v>
      </x:c>
      <x:c r="N562" s="84" t="str">
        <x:v>Componente ajustado ou substituído</x:v>
      </x:c>
      <x:c r="O562" s="84" t="n">
        <x:v>0</x:v>
      </x:c>
      <x:c r="P562" s="93" t="n">
        <x:v>621.99</x:v>
      </x:c>
      <x:c r="Q562" s="93" t="n">
        <x:v>5208.79</x:v>
      </x:c>
      <x:c r="R562" s="91" t="n">
        <x:v>0</x:v>
      </x:c>
    </x:row>
    <x:row r="563">
      <x:c r="A563" s="83" t="n">
        <x:v>562</x:v>
      </x:c>
      <x:c r="B563" s="84" t="str">
        <x:v>OS-2025-00562</x:v>
      </x:c>
      <x:c r="C563" s="84" t="n">
        <x:v>31</x:v>
      </x:c>
      <x:c r="D563" s="84" t="n">
        <x:v>2</x:v>
      </x:c>
      <x:c r="E563" s="84"/>
      <x:c r="F563" s="89" t="n">
        <x:v>45685.812430555554</x:v>
      </x:c>
      <x:c r="G563" s="89" t="n">
        <x:v>45695.812430555554</x:v>
      </x:c>
      <x:c r="H563" s="89" t="n">
        <x:v>45687.27076388889</x:v>
      </x:c>
      <x:c r="I563" s="89" t="n">
        <x:v>45687.979097222225</x:v>
      </x:c>
      <x:c r="J563" s="84" t="str">
        <x:v>Alta</x:v>
      </x:c>
      <x:c r="K563" s="84" t="str">
        <x:v>Encerrada</x:v>
      </x:c>
      <x:c r="L563" s="84" t="str">
        <x:v>Ruído anormal</x:v>
      </x:c>
      <x:c r="M563" s="84" t="str">
        <x:v>Componente danificado</x:v>
      </x:c>
      <x:c r="N563" s="84" t="str">
        <x:v>Componente ajustado ou substituído</x:v>
      </x:c>
      <x:c r="O563" s="84" t="n">
        <x:v>0</x:v>
      </x:c>
      <x:c r="P563" s="93" t="n">
        <x:v>236.52</x:v>
      </x:c>
      <x:c r="Q563" s="93" t="n">
        <x:v>0</x:v>
      </x:c>
      <x:c r="R563" s="91" t="n">
        <x:v>0</x:v>
      </x:c>
    </x:row>
    <x:row r="564">
      <x:c r="A564" s="83" t="n">
        <x:v>563</x:v>
      </x:c>
      <x:c r="B564" s="84" t="str">
        <x:v>OS-2025-00563</x:v>
      </x:c>
      <x:c r="C564" s="84" t="n">
        <x:v>37</x:v>
      </x:c>
      <x:c r="D564" s="84" t="n">
        <x:v>1</x:v>
      </x:c>
      <x:c r="E564" s="84" t="n">
        <x:v>74</x:v>
      </x:c>
      <x:c r="F564" s="89" t="n">
        <x:v>45792.54715277778</x:v>
      </x:c>
      <x:c r="G564" s="89" t="n">
        <x:v>45807.54715277778</x:v>
      </x:c>
      <x:c r="H564" s="89"/>
      <x:c r="I564" s="89"/>
      <x:c r="J564" s="84" t="str">
        <x:v>Baixa</x:v>
      </x:c>
      <x:c r="K564" s="84" t="str">
        <x:v>Planejada</x:v>
      </x:c>
      <x:c r="L564" s="84" t="str">
        <x:v>Superaquecimento</x:v>
      </x:c>
      <x:c r="M564" s="84"/>
      <x:c r="N564" s="84"/>
      <x:c r="O564" s="84" t="n">
        <x:v>0</x:v>
      </x:c>
      <x:c r="P564" s="93" t="n">
        <x:v>0</x:v>
      </x:c>
      <x:c r="Q564" s="93" t="n">
        <x:v>0</x:v>
      </x:c>
      <x:c r="R564" s="91" t="n">
        <x:v>0</x:v>
      </x:c>
    </x:row>
    <x:row r="565">
      <x:c r="A565" s="83" t="n">
        <x:v>564</x:v>
      </x:c>
      <x:c r="B565" s="84" t="str">
        <x:v>OS-2023-00564</x:v>
      </x:c>
      <x:c r="C565" s="84" t="n">
        <x:v>51</x:v>
      </x:c>
      <x:c r="D565" s="84" t="n">
        <x:v>1</x:v>
      </x:c>
      <x:c r="E565" s="84" t="n">
        <x:v>101</x:v>
      </x:c>
      <x:c r="F565" s="89" t="n">
        <x:v>44990.234143518515</x:v>
      </x:c>
      <x:c r="G565" s="89" t="n">
        <x:v>44998.234143518515</x:v>
      </x:c>
      <x:c r="H565" s="89" t="n">
        <x:v>44992.81747685185</x:v>
      </x:c>
      <x:c r="I565" s="89" t="n">
        <x:v>44993.609143518515</x:v>
      </x:c>
      <x:c r="J565" s="84" t="str">
        <x:v>Crítica</x:v>
      </x:c>
      <x:c r="K565" s="84" t="str">
        <x:v>Encerrada</x:v>
      </x:c>
      <x:c r="L565" s="84" t="str">
        <x:v>Vazamento</x:v>
      </x:c>
      <x:c r="M565" s="84" t="str">
        <x:v>Contaminação</x:v>
      </x:c>
      <x:c r="N565" s="84" t="str">
        <x:v>Componente ajustado ou substituído</x:v>
      </x:c>
      <x:c r="O565" s="84" t="n">
        <x:v>0</x:v>
      </x:c>
      <x:c r="P565" s="93" t="n">
        <x:v>314.12</x:v>
      </x:c>
      <x:c r="Q565" s="93" t="n">
        <x:v>6101.24</x:v>
      </x:c>
      <x:c r="R565" s="91" t="n">
        <x:v>0</x:v>
      </x:c>
    </x:row>
    <x:row r="566">
      <x:c r="A566" s="83" t="n">
        <x:v>565</x:v>
      </x:c>
      <x:c r="B566" s="84" t="str">
        <x:v>OS-2024-00565</x:v>
      </x:c>
      <x:c r="C566" s="84" t="n">
        <x:v>57</x:v>
      </x:c>
      <x:c r="D566" s="84" t="n">
        <x:v>1</x:v>
      </x:c>
      <x:c r="E566" s="84" t="n">
        <x:v>113</x:v>
      </x:c>
      <x:c r="F566" s="89" t="n">
        <x:v>45487.06765046297</x:v>
      </x:c>
      <x:c r="G566" s="89" t="n">
        <x:v>45490.06765046297</x:v>
      </x:c>
      <x:c r="H566" s="89" t="n">
        <x:v>45488.775983796295</x:v>
      </x:c>
      <x:c r="I566" s="89" t="n">
        <x:v>45489.48431712963</x:v>
      </x:c>
      <x:c r="J566" s="84" t="str">
        <x:v>Média</x:v>
      </x:c>
      <x:c r="K566" s="84" t="str">
        <x:v>Encerrada</x:v>
      </x:c>
      <x:c r="L566" s="84" t="str">
        <x:v>Vazamento</x:v>
      </x:c>
      <x:c r="M566" s="84" t="str">
        <x:v>Ajuste incorreto</x:v>
      </x:c>
      <x:c r="N566" s="84" t="str">
        <x:v>Componente ajustado ou substituído</x:v>
      </x:c>
      <x:c r="O566" s="84" t="n">
        <x:v>0</x:v>
      </x:c>
      <x:c r="P566" s="93" t="n">
        <x:v>348.09</x:v>
      </x:c>
      <x:c r="Q566" s="93" t="n">
        <x:v>10474.3</x:v>
      </x:c>
      <x:c r="R566" s="91" t="n">
        <x:v>0</x:v>
      </x:c>
    </x:row>
    <x:row r="567">
      <x:c r="A567" s="83" t="n">
        <x:v>566</x:v>
      </x:c>
      <x:c r="B567" s="84" t="str">
        <x:v>OS-2023-00566</x:v>
      </x:c>
      <x:c r="C567" s="84" t="n">
        <x:v>9</x:v>
      </x:c>
      <x:c r="D567" s="84" t="n">
        <x:v>2</x:v>
      </x:c>
      <x:c r="E567" s="84"/>
      <x:c r="F567" s="89" t="n">
        <x:v>45140.811273148145</x:v>
      </x:c>
      <x:c r="G567" s="89" t="n">
        <x:v>45143.811273148145</x:v>
      </x:c>
      <x:c r="H567" s="89" t="n">
        <x:v>45142.72793981482</x:v>
      </x:c>
      <x:c r="I567" s="89" t="n">
        <x:v>45143.561273148145</x:v>
      </x:c>
      <x:c r="J567" s="84" t="str">
        <x:v>Baixa</x:v>
      </x:c>
      <x:c r="K567" s="84" t="str">
        <x:v>Encerrada</x:v>
      </x:c>
      <x:c r="L567" s="84" t="str">
        <x:v>Vazamento</x:v>
      </x:c>
      <x:c r="M567" s="84" t="str">
        <x:v>Contaminação</x:v>
      </x:c>
      <x:c r="N567" s="84" t="str">
        <x:v>Componente ajustado ou substituído</x:v>
      </x:c>
      <x:c r="O567" s="84" t="n">
        <x:v>0</x:v>
      </x:c>
      <x:c r="P567" s="93" t="n">
        <x:v>380.56</x:v>
      </x:c>
      <x:c r="Q567" s="93" t="n">
        <x:v>0</x:v>
      </x:c>
      <x:c r="R567" s="91" t="n">
        <x:v>0</x:v>
      </x:c>
    </x:row>
    <x:row r="568">
      <x:c r="A568" s="83" t="n">
        <x:v>567</x:v>
      </x:c>
      <x:c r="B568" s="84" t="str">
        <x:v>OS-2023-00567</x:v>
      </x:c>
      <x:c r="C568" s="84" t="n">
        <x:v>84</x:v>
      </x:c>
      <x:c r="D568" s="84" t="n">
        <x:v>2</x:v>
      </x:c>
      <x:c r="E568" s="84"/>
      <x:c r="F568" s="89" t="n">
        <x:v>45077.954363425924</x:v>
      </x:c>
      <x:c r="G568" s="89" t="n">
        <x:v>45088.954363425924</x:v>
      </x:c>
      <x:c r="H568" s="89" t="n">
        <x:v>45080.079363425924</x:v>
      </x:c>
      <x:c r="I568" s="89" t="n">
        <x:v>45080.829363425924</x:v>
      </x:c>
      <x:c r="J568" s="84" t="str">
        <x:v>Alta</x:v>
      </x:c>
      <x:c r="K568" s="84" t="str">
        <x:v>Encerrada</x:v>
      </x:c>
      <x:c r="L568" s="84" t="str">
        <x:v>Baixa pressão</x:v>
      </x:c>
      <x:c r="M568" s="84" t="str">
        <x:v>Conexão frouxa</x:v>
      </x:c>
      <x:c r="N568" s="84" t="str">
        <x:v>Componente ajustado ou substituído</x:v>
      </x:c>
      <x:c r="O568" s="84" t="n">
        <x:v>0</x:v>
      </x:c>
      <x:c r="P568" s="93" t="n">
        <x:v>743.31</x:v>
      </x:c>
      <x:c r="Q568" s="93" t="n">
        <x:v>0</x:v>
      </x:c>
      <x:c r="R568" s="91" t="n">
        <x:v>12399.26</x:v>
      </x:c>
    </x:row>
    <x:row r="569">
      <x:c r="A569" s="83" t="n">
        <x:v>568</x:v>
      </x:c>
      <x:c r="B569" s="84" t="str">
        <x:v>OS-2025-00568</x:v>
      </x:c>
      <x:c r="C569" s="84" t="n">
        <x:v>53</x:v>
      </x:c>
      <x:c r="D569" s="84" t="n">
        <x:v>1</x:v>
      </x:c>
      <x:c r="E569" s="84" t="n">
        <x:v>106</x:v>
      </x:c>
      <x:c r="F569" s="89" t="n">
        <x:v>45720.55112268519</x:v>
      </x:c>
      <x:c r="G569" s="89" t="n">
        <x:v>45726.55112268519</x:v>
      </x:c>
      <x:c r="H569" s="89" t="n">
        <x:v>45723.55112268519</x:v>
      </x:c>
      <x:c r="I569" s="89" t="n">
        <x:v>45724.05112268519</x:v>
      </x:c>
      <x:c r="J569" s="84" t="str">
        <x:v>Alta</x:v>
      </x:c>
      <x:c r="K569" s="84" t="str">
        <x:v>Encerrada</x:v>
      </x:c>
      <x:c r="L569" s="84" t="str">
        <x:v>Superaquecimento</x:v>
      </x:c>
      <x:c r="M569" s="84" t="str">
        <x:v>Contaminação</x:v>
      </x:c>
      <x:c r="N569" s="84" t="str">
        <x:v>Componente ajustado ou substituído</x:v>
      </x:c>
      <x:c r="O569" s="84" t="n">
        <x:v>0</x:v>
      </x:c>
      <x:c r="P569" s="93" t="n">
        <x:v>451.81</x:v>
      </x:c>
      <x:c r="Q569" s="93" t="n">
        <x:v>2774.32</x:v>
      </x:c>
      <x:c r="R569" s="91" t="n">
        <x:v>0</x:v>
      </x:c>
    </x:row>
    <x:row r="570">
      <x:c r="A570" s="83" t="n">
        <x:v>569</x:v>
      </x:c>
      <x:c r="B570" s="84" t="str">
        <x:v>OS-2024-00569</x:v>
      </x:c>
      <x:c r="C570" s="84" t="n">
        <x:v>81</x:v>
      </x:c>
      <x:c r="D570" s="84" t="n">
        <x:v>4</x:v>
      </x:c>
      <x:c r="E570" s="84"/>
      <x:c r="F570" s="89" t="n">
        <x:v>45453.555243055554</x:v>
      </x:c>
      <x:c r="G570" s="89" t="n">
        <x:v>45465.555243055554</x:v>
      </x:c>
      <x:c r="H570" s="89" t="n">
        <x:v>45455.805243055554</x:v>
      </x:c>
      <x:c r="I570" s="89" t="n">
        <x:v>45456.59690972222</x:v>
      </x:c>
      <x:c r="J570" s="84" t="str">
        <x:v>Média</x:v>
      </x:c>
      <x:c r="K570" s="84" t="str">
        <x:v>Encerrada</x:v>
      </x:c>
      <x:c r="L570" s="84" t="str">
        <x:v>Desalinhamento</x:v>
      </x:c>
      <x:c r="M570" s="84" t="str">
        <x:v>Conexão frouxa</x:v>
      </x:c>
      <x:c r="N570" s="84" t="str">
        <x:v>Componente ajustado ou substituído</x:v>
      </x:c>
      <x:c r="O570" s="84" t="n">
        <x:v>0</x:v>
      </x:c>
      <x:c r="P570" s="93" t="n">
        <x:v>379.47</x:v>
      </x:c>
      <x:c r="Q570" s="93" t="n">
        <x:v>18037.25</x:v>
      </x:c>
      <x:c r="R570" s="91" t="n">
        <x:v>0</x:v>
      </x:c>
    </x:row>
    <x:row r="571">
      <x:c r="A571" s="83" t="n">
        <x:v>570</x:v>
      </x:c>
      <x:c r="B571" s="84" t="str">
        <x:v>OS-2024-00570</x:v>
      </x:c>
      <x:c r="C571" s="84" t="n">
        <x:v>55</x:v>
      </x:c>
      <x:c r="D571" s="84" t="n">
        <x:v>5</x:v>
      </x:c>
      <x:c r="E571" s="84" t="n">
        <x:v>110</x:v>
      </x:c>
      <x:c r="F571" s="89" t="n">
        <x:v>45507.96716435185</x:v>
      </x:c>
      <x:c r="G571" s="89" t="n">
        <x:v>45521.96716435185</x:v>
      </x:c>
      <x:c r="H571" s="89" t="n">
        <x:v>45509.88383101852</x:v>
      </x:c>
      <x:c r="I571" s="89" t="n">
        <x:v>45510.38383101852</x:v>
      </x:c>
      <x:c r="J571" s="84" t="str">
        <x:v>Alta</x:v>
      </x:c>
      <x:c r="K571" s="84" t="str">
        <x:v>Concluída</x:v>
      </x:c>
      <x:c r="L571" s="84" t="str">
        <x:v>Vazamento</x:v>
      </x:c>
      <x:c r="M571" s="84" t="str">
        <x:v>Ajuste incorreto</x:v>
      </x:c>
      <x:c r="N571" s="84" t="str">
        <x:v>Componente ajustado ou substituído</x:v>
      </x:c>
      <x:c r="O571" s="84" t="n">
        <x:v>0</x:v>
      </x:c>
      <x:c r="P571" s="93" t="n">
        <x:v>413.29</x:v>
      </x:c>
      <x:c r="Q571" s="93" t="n">
        <x:v>7069.58</x:v>
      </x:c>
      <x:c r="R571" s="91" t="n">
        <x:v>0</x:v>
      </x:c>
    </x:row>
    <x:row r="572">
      <x:c r="A572" s="83" t="n">
        <x:v>571</x:v>
      </x:c>
      <x:c r="B572" s="84" t="str">
        <x:v>OS-2025-00571</x:v>
      </x:c>
      <x:c r="C572" s="84" t="n">
        <x:v>43</x:v>
      </x:c>
      <x:c r="D572" s="84" t="n">
        <x:v>3</x:v>
      </x:c>
      <x:c r="E572" s="84"/>
      <x:c r="F572" s="89" t="n">
        <x:v>45856.89960648148</x:v>
      </x:c>
      <x:c r="G572" s="89"/>
      <x:c r="H572" s="89" t="n">
        <x:v>45858.69127314815</x:v>
      </x:c>
      <x:c r="I572" s="89" t="n">
        <x:v>45859.357939814814</x:v>
      </x:c>
      <x:c r="J572" s="84" t="str">
        <x:v>Crítica</x:v>
      </x:c>
      <x:c r="K572" s="84" t="str">
        <x:v>Encerrada</x:v>
      </x:c>
      <x:c r="L572" s="84" t="str">
        <x:v>Ruído anormal</x:v>
      </x:c>
      <x:c r="M572" s="84" t="str">
        <x:v>Falta de lubrificação</x:v>
      </x:c>
      <x:c r="N572" s="84" t="str">
        <x:v>Componente ajustado ou substituído</x:v>
      </x:c>
      <x:c r="O572" s="84" t="n">
        <x:v>0</x:v>
      </x:c>
      <x:c r="P572" s="93" t="n">
        <x:v>441.82</x:v>
      </x:c>
      <x:c r="Q572" s="93" t="n">
        <x:v>5125.76</x:v>
      </x:c>
      <x:c r="R572" s="91" t="n">
        <x:v>0</x:v>
      </x:c>
    </x:row>
    <x:row r="573">
      <x:c r="A573" s="83" t="n">
        <x:v>572</x:v>
      </x:c>
      <x:c r="B573" s="84" t="str">
        <x:v>OS-2024-00572</x:v>
      </x:c>
      <x:c r="C573" s="84" t="n">
        <x:v>51</x:v>
      </x:c>
      <x:c r="D573" s="84" t="n">
        <x:v>1</x:v>
      </x:c>
      <x:c r="E573" s="84" t="n">
        <x:v>102</x:v>
      </x:c>
      <x:c r="F573" s="89" t="n">
        <x:v>45440.90576388889</x:v>
      </x:c>
      <x:c r="G573" s="89" t="n">
        <x:v>45451.90576388889</x:v>
      </x:c>
      <x:c r="H573" s="89" t="n">
        <x:v>45441.36409722222</x:v>
      </x:c>
      <x:c r="I573" s="89" t="n">
        <x:v>45441.947430555556</x:v>
      </x:c>
      <x:c r="J573" s="84" t="str">
        <x:v>Alta</x:v>
      </x:c>
      <x:c r="K573" s="84" t="str">
        <x:v>Concluída</x:v>
      </x:c>
      <x:c r="L573" s="84" t="str">
        <x:v>Superaquecimento</x:v>
      </x:c>
      <x:c r="M573" s="84" t="str">
        <x:v>Falta de lubrificação</x:v>
      </x:c>
      <x:c r="N573" s="84" t="str">
        <x:v>Componente ajustado ou substituído</x:v>
      </x:c>
      <x:c r="O573" s="84" t="n">
        <x:v>0</x:v>
      </x:c>
      <x:c r="P573" s="93" t="n">
        <x:v>608.62</x:v>
      </x:c>
      <x:c r="Q573" s="93" t="n">
        <x:v>6263.69</x:v>
      </x:c>
      <x:c r="R573" s="91" t="n">
        <x:v>0</x:v>
      </x:c>
    </x:row>
    <x:row r="574">
      <x:c r="A574" s="83" t="n">
        <x:v>573</x:v>
      </x:c>
      <x:c r="B574" s="84" t="str">
        <x:v>OS-2025-00573</x:v>
      </x:c>
      <x:c r="C574" s="84" t="n">
        <x:v>90</x:v>
      </x:c>
      <x:c r="D574" s="84" t="n">
        <x:v>2</x:v>
      </x:c>
      <x:c r="E574" s="84"/>
      <x:c r="F574" s="89" t="n">
        <x:v>45868.06927083333</x:v>
      </x:c>
      <x:c r="G574" s="89" t="n">
        <x:v>45880.06927083333</x:v>
      </x:c>
      <x:c r="H574" s="89" t="n">
        <x:v>45869.902604166666</x:v>
      </x:c>
      <x:c r="I574" s="89" t="n">
        <x:v>45870.6109375</x:v>
      </x:c>
      <x:c r="J574" s="84" t="str">
        <x:v>Média</x:v>
      </x:c>
      <x:c r="K574" s="84" t="str">
        <x:v>Encerrada</x:v>
      </x:c>
      <x:c r="L574" s="84" t="str">
        <x:v>Desalinhamento</x:v>
      </x:c>
      <x:c r="M574" s="84" t="str">
        <x:v>Contaminação</x:v>
      </x:c>
      <x:c r="N574" s="84" t="str">
        <x:v>Componente ajustado ou substituído</x:v>
      </x:c>
      <x:c r="O574" s="84" t="n">
        <x:v>0</x:v>
      </x:c>
      <x:c r="P574" s="93" t="n">
        <x:v>386.35</x:v>
      </x:c>
      <x:c r="Q574" s="93" t="n">
        <x:v>0</x:v>
      </x:c>
      <x:c r="R574" s="91" t="n">
        <x:v>0</x:v>
      </x:c>
    </x:row>
    <x:row r="575">
      <x:c r="A575" s="83" t="n">
        <x:v>574</x:v>
      </x:c>
      <x:c r="B575" s="84" t="str">
        <x:v>OS-2023-00574</x:v>
      </x:c>
      <x:c r="C575" s="84" t="n">
        <x:v>80</x:v>
      </x:c>
      <x:c r="D575" s="84" t="n">
        <x:v>1</x:v>
      </x:c>
      <x:c r="E575" s="84" t="n">
        <x:v>160</x:v>
      </x:c>
      <x:c r="F575" s="89" t="n">
        <x:v>44951.41795138889</x:v>
      </x:c>
      <x:c r="G575" s="89" t="n">
        <x:v>44957.41795138889</x:v>
      </x:c>
      <x:c r="H575" s="89" t="n">
        <x:v>44953.70961805555</x:v>
      </x:c>
      <x:c r="I575" s="89"/>
      <x:c r="J575" s="84" t="str">
        <x:v>Alta</x:v>
      </x:c>
      <x:c r="K575" s="84" t="str">
        <x:v>Em execução</x:v>
      </x:c>
      <x:c r="L575" s="84" t="str">
        <x:v>Vazamento</x:v>
      </x:c>
      <x:c r="M575" s="84" t="str">
        <x:v>Ajuste incorreto</x:v>
      </x:c>
      <x:c r="N575" s="84"/>
      <x:c r="O575" s="84" t="n">
        <x:v>0</x:v>
      </x:c>
      <x:c r="P575" s="93" t="n">
        <x:v>456</x:v>
      </x:c>
      <x:c r="Q575" s="93" t="n">
        <x:v>0</x:v>
      </x:c>
      <x:c r="R575" s="91" t="n">
        <x:v>3220.16</x:v>
      </x:c>
    </x:row>
    <x:row r="576">
      <x:c r="A576" s="83" t="n">
        <x:v>575</x:v>
      </x:c>
      <x:c r="B576" s="84" t="str">
        <x:v>OS-2025-00575</x:v>
      </x:c>
      <x:c r="C576" s="84" t="n">
        <x:v>52</x:v>
      </x:c>
      <x:c r="D576" s="84" t="n">
        <x:v>8</x:v>
      </x:c>
      <x:c r="E576" s="84"/>
      <x:c r="F576" s="89" t="n">
        <x:v>45925.95616898148</x:v>
      </x:c>
      <x:c r="G576" s="89" t="n">
        <x:v>45934.95616898148</x:v>
      </x:c>
      <x:c r="H576" s="89" t="n">
        <x:v>45927.164502314816</x:v>
      </x:c>
      <x:c r="I576" s="89" t="n">
        <x:v>45927.37283564815</x:v>
      </x:c>
      <x:c r="J576" s="84" t="str">
        <x:v>Crítica</x:v>
      </x:c>
      <x:c r="K576" s="84" t="str">
        <x:v>Encerrada</x:v>
      </x:c>
      <x:c r="L576" s="84" t="str">
        <x:v>Vazamento</x:v>
      </x:c>
      <x:c r="M576" s="84" t="str">
        <x:v>Conexão frouxa</x:v>
      </x:c>
      <x:c r="N576" s="84" t="str">
        <x:v>Componente ajustado ou substituído</x:v>
      </x:c>
      <x:c r="O576" s="84" t="n">
        <x:v>1</x:v>
      </x:c>
      <x:c r="P576" s="93" t="n">
        <x:v>770.42</x:v>
      </x:c>
      <x:c r="Q576" s="93" t="n">
        <x:v>11478.72</x:v>
      </x:c>
      <x:c r="R576" s="91" t="n">
        <x:v>0</x:v>
      </x:c>
    </x:row>
    <x:row r="577">
      <x:c r="A577" s="83" t="n">
        <x:v>576</x:v>
      </x:c>
      <x:c r="B577" s="84" t="str">
        <x:v>OS-2024-00576</x:v>
      </x:c>
      <x:c r="C577" s="84" t="n">
        <x:v>74</x:v>
      </x:c>
      <x:c r="D577" s="84" t="n">
        <x:v>3</x:v>
      </x:c>
      <x:c r="E577" s="84"/>
      <x:c r="F577" s="89" t="n">
        <x:v>45565.57854166667</x:v>
      </x:c>
      <x:c r="G577" s="89"/>
      <x:c r="H577" s="89" t="n">
        <x:v>45565.745208333334</x:v>
      </x:c>
      <x:c r="I577" s="89" t="n">
        <x:v>45565.870208333334</x:v>
      </x:c>
      <x:c r="J577" s="84" t="str">
        <x:v>Crítica</x:v>
      </x:c>
      <x:c r="K577" s="84" t="str">
        <x:v>Encerrada</x:v>
      </x:c>
      <x:c r="L577" s="84" t="str">
        <x:v>Desalinhamento</x:v>
      </x:c>
      <x:c r="M577" s="84" t="str">
        <x:v>Falta de lubrificação</x:v>
      </x:c>
      <x:c r="N577" s="84" t="str">
        <x:v>Componente ajustado ou substituído</x:v>
      </x:c>
      <x:c r="O577" s="84" t="n">
        <x:v>0</x:v>
      </x:c>
      <x:c r="P577" s="93" t="n">
        <x:v>400.97</x:v>
      </x:c>
      <x:c r="Q577" s="93" t="n">
        <x:v>15512.69</x:v>
      </x:c>
      <x:c r="R577" s="91" t="n">
        <x:v>0</x:v>
      </x:c>
    </x:row>
    <x:row r="578">
      <x:c r="A578" s="83" t="n">
        <x:v>577</x:v>
      </x:c>
      <x:c r="B578" s="84" t="str">
        <x:v>OS-2023-00577</x:v>
      </x:c>
      <x:c r="C578" s="84" t="n">
        <x:v>31</x:v>
      </x:c>
      <x:c r="D578" s="84" t="n">
        <x:v>1</x:v>
      </x:c>
      <x:c r="E578" s="84" t="n">
        <x:v>61</x:v>
      </x:c>
      <x:c r="F578" s="89" t="n">
        <x:v>45011.355578703704</x:v>
      </x:c>
      <x:c r="G578" s="89" t="n">
        <x:v>45020.355578703704</x:v>
      </x:c>
      <x:c r="H578" s="89" t="n">
        <x:v>45014.06391203704</x:v>
      </x:c>
      <x:c r="I578" s="89" t="n">
        <x:v>45014.105578703704</x:v>
      </x:c>
      <x:c r="J578" s="84" t="str">
        <x:v>Média</x:v>
      </x:c>
      <x:c r="K578" s="84" t="str">
        <x:v>Concluída</x:v>
      </x:c>
      <x:c r="L578" s="84" t="str">
        <x:v>Superaquecimento</x:v>
      </x:c>
      <x:c r="M578" s="84" t="str">
        <x:v>Componente danificado</x:v>
      </x:c>
      <x:c r="N578" s="84" t="str">
        <x:v>Componente ajustado ou substituído</x:v>
      </x:c>
      <x:c r="O578" s="84" t="n">
        <x:v>0</x:v>
      </x:c>
      <x:c r="P578" s="93" t="n">
        <x:v>179.39</x:v>
      </x:c>
      <x:c r="Q578" s="93" t="n">
        <x:v>6065.8</x:v>
      </x:c>
      <x:c r="R578" s="91" t="n">
        <x:v>0</x:v>
      </x:c>
    </x:row>
    <x:row r="579">
      <x:c r="A579" s="83" t="n">
        <x:v>578</x:v>
      </x:c>
      <x:c r="B579" s="84" t="str">
        <x:v>OS-2024-00578</x:v>
      </x:c>
      <x:c r="C579" s="84" t="n">
        <x:v>68</x:v>
      </x:c>
      <x:c r="D579" s="84" t="n">
        <x:v>5</x:v>
      </x:c>
      <x:c r="E579" s="84" t="n">
        <x:v>136</x:v>
      </x:c>
      <x:c r="F579" s="89" t="n">
        <x:v>45651.98263888889</x:v>
      </x:c>
      <x:c r="G579" s="89" t="n">
        <x:v>45652.98263888889</x:v>
      </x:c>
      <x:c r="H579" s="89" t="n">
        <x:v>45653.69097222222</x:v>
      </x:c>
      <x:c r="I579" s="89" t="n">
        <x:v>45653.81597222222</x:v>
      </x:c>
      <x:c r="J579" s="84" t="str">
        <x:v>Alta</x:v>
      </x:c>
      <x:c r="K579" s="84" t="str">
        <x:v>Encerrada</x:v>
      </x:c>
      <x:c r="L579" s="84" t="str">
        <x:v>Falha elétrica</x:v>
      </x:c>
      <x:c r="M579" s="84" t="str">
        <x:v>Componente danificado</x:v>
      </x:c>
      <x:c r="N579" s="84" t="str">
        <x:v>Componente ajustado ou substituído</x:v>
      </x:c>
      <x:c r="O579" s="84" t="n">
        <x:v>0</x:v>
      </x:c>
      <x:c r="P579" s="93" t="n">
        <x:v>667.39</x:v>
      </x:c>
      <x:c r="Q579" s="93" t="n">
        <x:v>14706.5</x:v>
      </x:c>
      <x:c r="R579" s="91" t="n">
        <x:v>0</x:v>
      </x:c>
    </x:row>
    <x:row r="580">
      <x:c r="A580" s="83" t="n">
        <x:v>579</x:v>
      </x:c>
      <x:c r="B580" s="84" t="str">
        <x:v>OS-2025-00579</x:v>
      </x:c>
      <x:c r="C580" s="84" t="n">
        <x:v>54</x:v>
      </x:c>
      <x:c r="D580" s="84" t="n">
        <x:v>1</x:v>
      </x:c>
      <x:c r="E580" s="84" t="n">
        <x:v>107</x:v>
      </x:c>
      <x:c r="F580" s="89" t="n">
        <x:v>45711.028229166666</x:v>
      </x:c>
      <x:c r="G580" s="89" t="n">
        <x:v>45712.028229166666</x:v>
      </x:c>
      <x:c r="H580" s="89" t="n">
        <x:v>45712.6115625</x:v>
      </x:c>
      <x:c r="I580" s="89" t="n">
        <x:v>45713.278229166666</x:v>
      </x:c>
      <x:c r="J580" s="84" t="str">
        <x:v>Crítica</x:v>
      </x:c>
      <x:c r="K580" s="84" t="str">
        <x:v>Concluída</x:v>
      </x:c>
      <x:c r="L580" s="84" t="str">
        <x:v>Baixa pressão</x:v>
      </x:c>
      <x:c r="M580" s="84" t="str">
        <x:v>Componente danificado</x:v>
      </x:c>
      <x:c r="N580" s="84" t="str">
        <x:v>Componente ajustado ou substituído</x:v>
      </x:c>
      <x:c r="O580" s="84" t="n">
        <x:v>0</x:v>
      </x:c>
      <x:c r="P580" s="93" t="n">
        <x:v>540.28</x:v>
      </x:c>
      <x:c r="Q580" s="93" t="n">
        <x:v>6899.22</x:v>
      </x:c>
      <x:c r="R580" s="91" t="n">
        <x:v>14251.5</x:v>
      </x:c>
    </x:row>
    <x:row r="581">
      <x:c r="A581" s="83" t="n">
        <x:v>580</x:v>
      </x:c>
      <x:c r="B581" s="84" t="str">
        <x:v>OS-2025-00580</x:v>
      </x:c>
      <x:c r="C581" s="84" t="n">
        <x:v>75</x:v>
      </x:c>
      <x:c r="D581" s="84" t="n">
        <x:v>1</x:v>
      </x:c>
      <x:c r="E581" s="84" t="n">
        <x:v>149</x:v>
      </x:c>
      <x:c r="F581" s="89" t="n">
        <x:v>45697.25796296296</x:v>
      </x:c>
      <x:c r="G581" s="89" t="n">
        <x:v>45698.25796296296</x:v>
      </x:c>
      <x:c r="H581" s="89" t="n">
        <x:v>45700.2162962963</x:v>
      </x:c>
      <x:c r="I581" s="89" t="n">
        <x:v>45700.5912962963</x:v>
      </x:c>
      <x:c r="J581" s="84" t="str">
        <x:v>Alta</x:v>
      </x:c>
      <x:c r="K581" s="84" t="str">
        <x:v>Encerrada</x:v>
      </x:c>
      <x:c r="L581" s="84" t="str">
        <x:v>Baixa pressão</x:v>
      </x:c>
      <x:c r="M581" s="84" t="str">
        <x:v>Ajuste incorreto</x:v>
      </x:c>
      <x:c r="N581" s="84" t="str">
        <x:v>Componente ajustado ou substituído</x:v>
      </x:c>
      <x:c r="O581" s="84" t="n">
        <x:v>0</x:v>
      </x:c>
      <x:c r="P581" s="93" t="n">
        <x:v>249.3</x:v>
      </x:c>
      <x:c r="Q581" s="93" t="n">
        <x:v>184.16</x:v>
      </x:c>
      <x:c r="R581" s="91" t="n">
        <x:v>0</x:v>
      </x:c>
    </x:row>
    <x:row r="582">
      <x:c r="A582" s="83" t="n">
        <x:v>581</x:v>
      </x:c>
      <x:c r="B582" s="84" t="str">
        <x:v>OS-2023-00581</x:v>
      </x:c>
      <x:c r="C582" s="84" t="n">
        <x:v>52</x:v>
      </x:c>
      <x:c r="D582" s="84" t="n">
        <x:v>1</x:v>
      </x:c>
      <x:c r="E582" s="84" t="n">
        <x:v>104</x:v>
      </x:c>
      <x:c r="F582" s="89" t="n">
        <x:v>45030.509571759256</x:v>
      </x:c>
      <x:c r="G582" s="89" t="n">
        <x:v>45045.509571759256</x:v>
      </x:c>
      <x:c r="H582" s="89" t="n">
        <x:v>45031.634571759256</x:v>
      </x:c>
      <x:c r="I582" s="89"/>
      <x:c r="J582" s="84" t="str">
        <x:v>Crítica</x:v>
      </x:c>
      <x:c r="K582" s="84" t="str">
        <x:v>Em execução</x:v>
      </x:c>
      <x:c r="L582" s="84" t="str">
        <x:v>Alarme intermitente</x:v>
      </x:c>
      <x:c r="M582" s="84" t="str">
        <x:v>Desgaste natural</x:v>
      </x:c>
      <x:c r="N582" s="84"/>
      <x:c r="O582" s="84" t="n">
        <x:v>0</x:v>
      </x:c>
      <x:c r="P582" s="93" t="n">
        <x:v>386.17</x:v>
      </x:c>
      <x:c r="Q582" s="93" t="n">
        <x:v>1114.97</x:v>
      </x:c>
      <x:c r="R582" s="91" t="n">
        <x:v>0</x:v>
      </x:c>
    </x:row>
    <x:row r="583">
      <x:c r="A583" s="83" t="n">
        <x:v>582</x:v>
      </x:c>
      <x:c r="B583" s="84" t="str">
        <x:v>OS-2023-00582</x:v>
      </x:c>
      <x:c r="C583" s="84" t="n">
        <x:v>25</x:v>
      </x:c>
      <x:c r="D583" s="84" t="n">
        <x:v>1</x:v>
      </x:c>
      <x:c r="E583" s="84" t="n">
        <x:v>50</x:v>
      </x:c>
      <x:c r="F583" s="89" t="n">
        <x:v>45261.36752314815</x:v>
      </x:c>
      <x:c r="G583" s="89" t="n">
        <x:v>45263.36752314815</x:v>
      </x:c>
      <x:c r="H583" s="89"/>
      <x:c r="I583" s="89"/>
      <x:c r="J583" s="84" t="str">
        <x:v>Média</x:v>
      </x:c>
      <x:c r="K583" s="84" t="str">
        <x:v>Planejada</x:v>
      </x:c>
      <x:c r="L583" s="84" t="str">
        <x:v>Superaquecimento</x:v>
      </x:c>
      <x:c r="M583" s="84"/>
      <x:c r="N583" s="84"/>
      <x:c r="O583" s="84" t="n">
        <x:v>0</x:v>
      </x:c>
      <x:c r="P583" s="93" t="n">
        <x:v>0</x:v>
      </x:c>
      <x:c r="Q583" s="93" t="n">
        <x:v>0</x:v>
      </x:c>
      <x:c r="R583" s="91" t="n">
        <x:v>0</x:v>
      </x:c>
    </x:row>
    <x:row r="584">
      <x:c r="A584" s="83" t="n">
        <x:v>583</x:v>
      </x:c>
      <x:c r="B584" s="84" t="str">
        <x:v>OS-2025-00583</x:v>
      </x:c>
      <x:c r="C584" s="84" t="n">
        <x:v>65</x:v>
      </x:c>
      <x:c r="D584" s="84" t="n">
        <x:v>2</x:v>
      </x:c>
      <x:c r="E584" s="84"/>
      <x:c r="F584" s="89" t="n">
        <x:v>45885.32157407407</x:v>
      </x:c>
      <x:c r="G584" s="89" t="n">
        <x:v>45891.32157407407</x:v>
      </x:c>
      <x:c r="H584" s="89" t="n">
        <x:v>45887.61324074074</x:v>
      </x:c>
      <x:c r="I584" s="89" t="n">
        <x:v>45887.90490740741</x:v>
      </x:c>
      <x:c r="J584" s="84" t="str">
        <x:v>Crítica</x:v>
      </x:c>
      <x:c r="K584" s="84" t="str">
        <x:v>Encerrada</x:v>
      </x:c>
      <x:c r="L584" s="84" t="str">
        <x:v>Alarme intermitente</x:v>
      </x:c>
      <x:c r="M584" s="84" t="str">
        <x:v>Falta de lubrificação</x:v>
      </x:c>
      <x:c r="N584" s="84" t="str">
        <x:v>Componente ajustado ou substituído</x:v>
      </x:c>
      <x:c r="O584" s="84" t="n">
        <x:v>0</x:v>
      </x:c>
      <x:c r="P584" s="93" t="n">
        <x:v>417.16</x:v>
      </x:c>
      <x:c r="Q584" s="93" t="n">
        <x:v>7400.2</x:v>
      </x:c>
      <x:c r="R584" s="91" t="n">
        <x:v>0</x:v>
      </x:c>
    </x:row>
    <x:row r="585">
      <x:c r="A585" s="83" t="n">
        <x:v>584</x:v>
      </x:c>
      <x:c r="B585" s="84" t="str">
        <x:v>OS-2025-00584</x:v>
      </x:c>
      <x:c r="C585" s="84" t="n">
        <x:v>55</x:v>
      </x:c>
      <x:c r="D585" s="84" t="n">
        <x:v>3</x:v>
      </x:c>
      <x:c r="E585" s="84"/>
      <x:c r="F585" s="89" t="n">
        <x:v>45953.108136574076</x:v>
      </x:c>
      <x:c r="G585" s="89"/>
      <x:c r="H585" s="89" t="n">
        <x:v>45955.233136574076</x:v>
      </x:c>
      <x:c r="I585" s="89" t="n">
        <x:v>45955.483136574076</x:v>
      </x:c>
      <x:c r="J585" s="84" t="str">
        <x:v>Crítica</x:v>
      </x:c>
      <x:c r="K585" s="84" t="str">
        <x:v>Encerrada</x:v>
      </x:c>
      <x:c r="L585" s="84" t="str">
        <x:v>Desalinhamento</x:v>
      </x:c>
      <x:c r="M585" s="84" t="str">
        <x:v>Componente danificado</x:v>
      </x:c>
      <x:c r="N585" s="84" t="str">
        <x:v>Componente ajustado ou substituído</x:v>
      </x:c>
      <x:c r="O585" s="84" t="n">
        <x:v>0</x:v>
      </x:c>
      <x:c r="P585" s="93" t="n">
        <x:v>317.5</x:v>
      </x:c>
      <x:c r="Q585" s="93" t="n">
        <x:v>12259.5</x:v>
      </x:c>
      <x:c r="R585" s="91" t="n">
        <x:v>0</x:v>
      </x:c>
    </x:row>
    <x:row r="586">
      <x:c r="A586" s="83" t="n">
        <x:v>585</x:v>
      </x:c>
      <x:c r="B586" s="84" t="str">
        <x:v>OS-2024-00585</x:v>
      </x:c>
      <x:c r="C586" s="84" t="n">
        <x:v>18</x:v>
      </x:c>
      <x:c r="D586" s="84" t="n">
        <x:v>1</x:v>
      </x:c>
      <x:c r="E586" s="84" t="n">
        <x:v>35</x:v>
      </x:c>
      <x:c r="F586" s="89" t="n">
        <x:v>45522.55488425926</x:v>
      </x:c>
      <x:c r="G586" s="89" t="n">
        <x:v>45529.55488425926</x:v>
      </x:c>
      <x:c r="H586" s="89" t="n">
        <x:v>45525.13821759259</x:v>
      </x:c>
      <x:c r="I586" s="89" t="n">
        <x:v>45525.30488425926</x:v>
      </x:c>
      <x:c r="J586" s="84" t="str">
        <x:v>Alta</x:v>
      </x:c>
      <x:c r="K586" s="84" t="str">
        <x:v>Concluída</x:v>
      </x:c>
      <x:c r="L586" s="84" t="str">
        <x:v>Falha elétrica</x:v>
      </x:c>
      <x:c r="M586" s="84" t="str">
        <x:v>Falta de lubrificação</x:v>
      </x:c>
      <x:c r="N586" s="84" t="str">
        <x:v>Componente ajustado ou substituído</x:v>
      </x:c>
      <x:c r="O586" s="84" t="n">
        <x:v>0</x:v>
      </x:c>
      <x:c r="P586" s="93" t="n">
        <x:v>289.89</x:v>
      </x:c>
      <x:c r="Q586" s="93" t="n">
        <x:v>2222.73</x:v>
      </x:c>
      <x:c r="R586" s="91" t="n">
        <x:v>0</x:v>
      </x:c>
    </x:row>
    <x:row r="587">
      <x:c r="A587" s="83" t="n">
        <x:v>586</x:v>
      </x:c>
      <x:c r="B587" s="84" t="str">
        <x:v>OS-2024-00586</x:v>
      </x:c>
      <x:c r="C587" s="84" t="n">
        <x:v>16</x:v>
      </x:c>
      <x:c r="D587" s="84" t="n">
        <x:v>7</x:v>
      </x:c>
      <x:c r="E587" s="84" t="n">
        <x:v>31</x:v>
      </x:c>
      <x:c r="F587" s="89" t="n">
        <x:v>45633.70107638889</x:v>
      </x:c>
      <x:c r="G587" s="89" t="n">
        <x:v>45643.70107638889</x:v>
      </x:c>
      <x:c r="H587" s="89" t="n">
        <x:v>45635.15940972222</x:v>
      </x:c>
      <x:c r="I587" s="89" t="n">
        <x:v>45635.32607638889</x:v>
      </x:c>
      <x:c r="J587" s="84" t="str">
        <x:v>Baixa</x:v>
      </x:c>
      <x:c r="K587" s="84" t="str">
        <x:v>Encerrada</x:v>
      </x:c>
      <x:c r="L587" s="84" t="str">
        <x:v>Baixa pressão</x:v>
      </x:c>
      <x:c r="M587" s="84" t="str">
        <x:v>Ajuste incorreto</x:v>
      </x:c>
      <x:c r="N587" s="84" t="str">
        <x:v>Componente ajustado ou substituído</x:v>
      </x:c>
      <x:c r="O587" s="84" t="n">
        <x:v>0</x:v>
      </x:c>
      <x:c r="P587" s="93" t="n">
        <x:v>227.75</x:v>
      </x:c>
      <x:c r="Q587" s="93" t="n">
        <x:v>0</x:v>
      </x:c>
      <x:c r="R587" s="91" t="n">
        <x:v>0</x:v>
      </x:c>
    </x:row>
    <x:row r="588">
      <x:c r="A588" s="83" t="n">
        <x:v>587</x:v>
      </x:c>
      <x:c r="B588" s="84" t="str">
        <x:v>OS-2023-00587</x:v>
      </x:c>
      <x:c r="C588" s="84" t="n">
        <x:v>66</x:v>
      </x:c>
      <x:c r="D588" s="84" t="n">
        <x:v>7</x:v>
      </x:c>
      <x:c r="E588" s="84" t="n">
        <x:v>131</x:v>
      </x:c>
      <x:c r="F588" s="89" t="n">
        <x:v>45050.63193287037</x:v>
      </x:c>
      <x:c r="G588" s="89" t="n">
        <x:v>45063.63193287037</x:v>
      </x:c>
      <x:c r="H588" s="89" t="n">
        <x:v>45052.42359953704</x:v>
      </x:c>
      <x:c r="I588" s="89" t="n">
        <x:v>45052.840266203704</x:v>
      </x:c>
      <x:c r="J588" s="84" t="str">
        <x:v>Alta</x:v>
      </x:c>
      <x:c r="K588" s="84" t="str">
        <x:v>Concluída</x:v>
      </x:c>
      <x:c r="L588" s="84" t="str">
        <x:v>Superaquecimento</x:v>
      </x:c>
      <x:c r="M588" s="84" t="str">
        <x:v>Componente danificado</x:v>
      </x:c>
      <x:c r="N588" s="84" t="str">
        <x:v>Componente ajustado ou substituído</x:v>
      </x:c>
      <x:c r="O588" s="84" t="n">
        <x:v>0</x:v>
      </x:c>
      <x:c r="P588" s="93" t="n">
        <x:v>341.16</x:v>
      </x:c>
      <x:c r="Q588" s="93" t="n">
        <x:v>0</x:v>
      </x:c>
      <x:c r="R588" s="91" t="n">
        <x:v>0</x:v>
      </x:c>
    </x:row>
    <x:row r="589">
      <x:c r="A589" s="83" t="n">
        <x:v>588</x:v>
      </x:c>
      <x:c r="B589" s="84" t="str">
        <x:v>OS-2023-00588</x:v>
      </x:c>
      <x:c r="C589" s="84" t="n">
        <x:v>89</x:v>
      </x:c>
      <x:c r="D589" s="84" t="n">
        <x:v>1</x:v>
      </x:c>
      <x:c r="E589" s="84" t="n">
        <x:v>178</x:v>
      </x:c>
      <x:c r="F589" s="89" t="n">
        <x:v>45226.6718287037</x:v>
      </x:c>
      <x:c r="G589" s="89" t="n">
        <x:v>45227.6718287037</x:v>
      </x:c>
      <x:c r="H589" s="89" t="n">
        <x:v>45227.96349537037</x:v>
      </x:c>
      <x:c r="I589" s="89" t="n">
        <x:v>45228.630162037036</x:v>
      </x:c>
      <x:c r="J589" s="84" t="str">
        <x:v>Baixa</x:v>
      </x:c>
      <x:c r="K589" s="84" t="str">
        <x:v>Concluída</x:v>
      </x:c>
      <x:c r="L589" s="84" t="str">
        <x:v>Alarme intermitente</x:v>
      </x:c>
      <x:c r="M589" s="84" t="str">
        <x:v>Contaminação</x:v>
      </x:c>
      <x:c r="N589" s="84" t="str">
        <x:v>Componente ajustado ou substituído</x:v>
      </x:c>
      <x:c r="O589" s="84" t="n">
        <x:v>0</x:v>
      </x:c>
      <x:c r="P589" s="93" t="n">
        <x:v>353.3</x:v>
      </x:c>
      <x:c r="Q589" s="93" t="n">
        <x:v>6138.56</x:v>
      </x:c>
      <x:c r="R589" s="91" t="n">
        <x:v>4696.4</x:v>
      </x:c>
    </x:row>
    <x:row r="590">
      <x:c r="A590" s="83" t="n">
        <x:v>589</x:v>
      </x:c>
      <x:c r="B590" s="84" t="str">
        <x:v>OS-2025-00589</x:v>
      </x:c>
      <x:c r="C590" s="84" t="n">
        <x:v>41</x:v>
      </x:c>
      <x:c r="D590" s="84" t="n">
        <x:v>9</x:v>
      </x:c>
      <x:c r="E590" s="84"/>
      <x:c r="F590" s="89" t="n">
        <x:v>45693.59866898148</x:v>
      </x:c>
      <x:c r="G590" s="89" t="n">
        <x:v>45699.59866898148</x:v>
      </x:c>
      <x:c r="H590" s="89" t="n">
        <x:v>45694.015335648146</x:v>
      </x:c>
      <x:c r="I590" s="89" t="n">
        <x:v>45694.515335648146</x:v>
      </x:c>
      <x:c r="J590" s="84" t="str">
        <x:v>Crítica</x:v>
      </x:c>
      <x:c r="K590" s="84" t="str">
        <x:v>Encerrada</x:v>
      </x:c>
      <x:c r="L590" s="84" t="str">
        <x:v>Baixa pressão</x:v>
      </x:c>
      <x:c r="M590" s="84" t="str">
        <x:v>Ajuste incorreto</x:v>
      </x:c>
      <x:c r="N590" s="84" t="str">
        <x:v>Componente ajustado ou substituído</x:v>
      </x:c>
      <x:c r="O590" s="84" t="n">
        <x:v>0</x:v>
      </x:c>
      <x:c r="P590" s="93" t="n">
        <x:v>41.83</x:v>
      </x:c>
      <x:c r="Q590" s="93" t="n">
        <x:v>12727.95</x:v>
      </x:c>
      <x:c r="R590" s="91" t="n">
        <x:v>0</x:v>
      </x:c>
    </x:row>
    <x:row r="591">
      <x:c r="A591" s="83" t="n">
        <x:v>590</x:v>
      </x:c>
      <x:c r="B591" s="84" t="str">
        <x:v>OS-2023-00590</x:v>
      </x:c>
      <x:c r="C591" s="84" t="n">
        <x:v>28</x:v>
      </x:c>
      <x:c r="D591" s="84" t="n">
        <x:v>1</x:v>
      </x:c>
      <x:c r="E591" s="84" t="n">
        <x:v>55</x:v>
      </x:c>
      <x:c r="F591" s="89" t="n">
        <x:v>44990.97969907407</x:v>
      </x:c>
      <x:c r="G591" s="89" t="n">
        <x:v>44995.97969907407</x:v>
      </x:c>
      <x:c r="H591" s="89" t="n">
        <x:v>44992.021365740744</x:v>
      </x:c>
      <x:c r="I591" s="89" t="n">
        <x:v>44992.22969907407</x:v>
      </x:c>
      <x:c r="J591" s="84" t="str">
        <x:v>Crítica</x:v>
      </x:c>
      <x:c r="K591" s="84" t="str">
        <x:v>Encerrada</x:v>
      </x:c>
      <x:c r="L591" s="84" t="str">
        <x:v>Alarme intermitente</x:v>
      </x:c>
      <x:c r="M591" s="84" t="str">
        <x:v>Desgaste natural</x:v>
      </x:c>
      <x:c r="N591" s="84" t="str">
        <x:v>Componente ajustado ou substituído</x:v>
      </x:c>
      <x:c r="O591" s="84" t="n">
        <x:v>0</x:v>
      </x:c>
      <x:c r="P591" s="93" t="n">
        <x:v>279.45</x:v>
      </x:c>
      <x:c r="Q591" s="93" t="n">
        <x:v>7934.08</x:v>
      </x:c>
      <x:c r="R591" s="91" t="n">
        <x:v>0</x:v>
      </x:c>
    </x:row>
    <x:row r="592">
      <x:c r="A592" s="83" t="n">
        <x:v>591</x:v>
      </x:c>
      <x:c r="B592" s="84" t="str">
        <x:v>OS-2025-00591</x:v>
      </x:c>
      <x:c r="C592" s="84" t="n">
        <x:v>48</x:v>
      </x:c>
      <x:c r="D592" s="84" t="n">
        <x:v>8</x:v>
      </x:c>
      <x:c r="E592" s="84"/>
      <x:c r="F592" s="89" t="n">
        <x:v>45987.93615740741</x:v>
      </x:c>
      <x:c r="G592" s="89" t="n">
        <x:v>45990.93615740741</x:v>
      </x:c>
      <x:c r="H592" s="89" t="n">
        <x:v>45990.01949074074</x:v>
      </x:c>
      <x:c r="I592" s="89"/>
      <x:c r="J592" s="84" t="str">
        <x:v>Baixa</x:v>
      </x:c>
      <x:c r="K592" s="84" t="str">
        <x:v>Aguardando peça</x:v>
      </x:c>
      <x:c r="L592" s="84" t="str">
        <x:v>Desalinhamento</x:v>
      </x:c>
      <x:c r="M592" s="84" t="str">
        <x:v>Falta de lubrificação</x:v>
      </x:c>
      <x:c r="N592" s="84"/>
      <x:c r="O592" s="84" t="n">
        <x:v>0</x:v>
      </x:c>
      <x:c r="P592" s="93" t="n">
        <x:v>285.37</x:v>
      </x:c>
      <x:c r="Q592" s="93" t="n">
        <x:v>3071.55</x:v>
      </x:c>
      <x:c r="R592" s="91" t="n">
        <x:v>0</x:v>
      </x:c>
    </x:row>
    <x:row r="593">
      <x:c r="A593" s="83" t="n">
        <x:v>592</x:v>
      </x:c>
      <x:c r="B593" s="84" t="str">
        <x:v>OS-2023-00592</x:v>
      </x:c>
      <x:c r="C593" s="84" t="n">
        <x:v>68</x:v>
      </x:c>
      <x:c r="D593" s="84" t="n">
        <x:v>7</x:v>
      </x:c>
      <x:c r="E593" s="84" t="n">
        <x:v>136</x:v>
      </x:c>
      <x:c r="F593" s="89" t="n">
        <x:v>44948.82908564815</x:v>
      </x:c>
      <x:c r="G593" s="89" t="n">
        <x:v>44957.82908564815</x:v>
      </x:c>
      <x:c r="H593" s="89" t="n">
        <x:v>44950.07908564815</x:v>
      </x:c>
      <x:c r="I593" s="89" t="n">
        <x:v>44950.70408564815</x:v>
      </x:c>
      <x:c r="J593" s="84" t="str">
        <x:v>Baixa</x:v>
      </x:c>
      <x:c r="K593" s="84" t="str">
        <x:v>Encerrada</x:v>
      </x:c>
      <x:c r="L593" s="84" t="str">
        <x:v>Falha elétrica</x:v>
      </x:c>
      <x:c r="M593" s="84" t="str">
        <x:v>Conexão frouxa</x:v>
      </x:c>
      <x:c r="N593" s="84" t="str">
        <x:v>Componente ajustado ou substituído</x:v>
      </x:c>
      <x:c r="O593" s="84" t="n">
        <x:v>0</x:v>
      </x:c>
      <x:c r="P593" s="93" t="n">
        <x:v>634.88</x:v>
      </x:c>
      <x:c r="Q593" s="93" t="n">
        <x:v>11764.63</x:v>
      </x:c>
      <x:c r="R593" s="91" t="n">
        <x:v>0</x:v>
      </x:c>
    </x:row>
    <x:row r="594">
      <x:c r="A594" s="83" t="n">
        <x:v>593</x:v>
      </x:c>
      <x:c r="B594" s="84" t="str">
        <x:v>OS-2024-00593</x:v>
      </x:c>
      <x:c r="C594" s="84" t="n">
        <x:v>62</x:v>
      </x:c>
      <x:c r="D594" s="84" t="n">
        <x:v>2</x:v>
      </x:c>
      <x:c r="E594" s="84"/>
      <x:c r="F594" s="89" t="n">
        <x:v>45491.719201388885</x:v>
      </x:c>
      <x:c r="G594" s="89" t="n">
        <x:v>45497.719201388885</x:v>
      </x:c>
      <x:c r="H594" s="89"/>
      <x:c r="I594" s="89"/>
      <x:c r="J594" s="84" t="str">
        <x:v>Baixa</x:v>
      </x:c>
      <x:c r="K594" s="84" t="str">
        <x:v>Planejada</x:v>
      </x:c>
      <x:c r="L594" s="84" t="str">
        <x:v>Falha elétrica</x:v>
      </x:c>
      <x:c r="M594" s="84"/>
      <x:c r="N594" s="84"/>
      <x:c r="O594" s="84" t="n">
        <x:v>0</x:v>
      </x:c>
      <x:c r="P594" s="93" t="n">
        <x:v>0</x:v>
      </x:c>
      <x:c r="Q594" s="93" t="n">
        <x:v>0</x:v>
      </x:c>
      <x:c r="R594" s="91" t="n">
        <x:v>0</x:v>
      </x:c>
    </x:row>
    <x:row r="595">
      <x:c r="A595" s="83" t="n">
        <x:v>594</x:v>
      </x:c>
      <x:c r="B595" s="84" t="str">
        <x:v>OS-2024-00594</x:v>
      </x:c>
      <x:c r="C595" s="84" t="n">
        <x:v>85</x:v>
      </x:c>
      <x:c r="D595" s="84" t="n">
        <x:v>3</x:v>
      </x:c>
      <x:c r="E595" s="84"/>
      <x:c r="F595" s="89" t="n">
        <x:v>45537.51719907407</x:v>
      </x:c>
      <x:c r="G595" s="89"/>
      <x:c r="H595" s="89" t="n">
        <x:v>45537.72553240741</x:v>
      </x:c>
      <x:c r="I595" s="89" t="n">
        <x:v>45538.51719907407</x:v>
      </x:c>
      <x:c r="J595" s="84" t="str">
        <x:v>Baixa</x:v>
      </x:c>
      <x:c r="K595" s="84" t="str">
        <x:v>Encerrada</x:v>
      </x:c>
      <x:c r="L595" s="84" t="str">
        <x:v>Superaquecimento</x:v>
      </x:c>
      <x:c r="M595" s="84" t="str">
        <x:v>Conexão frouxa</x:v>
      </x:c>
      <x:c r="N595" s="84" t="str">
        <x:v>Componente ajustado ou substituído</x:v>
      </x:c>
      <x:c r="O595" s="84" t="n">
        <x:v>0</x:v>
      </x:c>
      <x:c r="P595" s="93" t="n">
        <x:v>526.16</x:v>
      </x:c>
      <x:c r="Q595" s="93" t="n">
        <x:v>0</x:v>
      </x:c>
      <x:c r="R595" s="91" t="n">
        <x:v>0</x:v>
      </x:c>
    </x:row>
    <x:row r="596">
      <x:c r="A596" s="83" t="n">
        <x:v>595</x:v>
      </x:c>
      <x:c r="B596" s="84" t="str">
        <x:v>OS-2024-00595</x:v>
      </x:c>
      <x:c r="C596" s="84" t="n">
        <x:v>61</x:v>
      </x:c>
      <x:c r="D596" s="84" t="n">
        <x:v>1</x:v>
      </x:c>
      <x:c r="E596" s="84" t="n">
        <x:v>122</x:v>
      </x:c>
      <x:c r="F596" s="89" t="n">
        <x:v>45633.300162037034</x:v>
      </x:c>
      <x:c r="G596" s="89" t="n">
        <x:v>45645.300162037034</x:v>
      </x:c>
      <x:c r="H596" s="89" t="n">
        <x:v>45633.75849537037</x:v>
      </x:c>
      <x:c r="I596" s="89" t="n">
        <x:v>45634.591828703706</x:v>
      </x:c>
      <x:c r="J596" s="84" t="str">
        <x:v>Baixa</x:v>
      </x:c>
      <x:c r="K596" s="84" t="str">
        <x:v>Encerrada</x:v>
      </x:c>
      <x:c r="L596" s="84" t="str">
        <x:v>Desalinhamento</x:v>
      </x:c>
      <x:c r="M596" s="84" t="str">
        <x:v>Ajuste incorreto</x:v>
      </x:c>
      <x:c r="N596" s="84" t="str">
        <x:v>Componente ajustado ou substituído</x:v>
      </x:c>
      <x:c r="O596" s="84" t="n">
        <x:v>0</x:v>
      </x:c>
      <x:c r="P596" s="93" t="n">
        <x:v>252.31</x:v>
      </x:c>
      <x:c r="Q596" s="93" t="n">
        <x:v>596.41</x:v>
      </x:c>
      <x:c r="R596" s="91" t="n">
        <x:v>0</x:v>
      </x:c>
    </x:row>
    <x:row r="597">
      <x:c r="A597" s="83" t="n">
        <x:v>596</x:v>
      </x:c>
      <x:c r="B597" s="84" t="str">
        <x:v>OS-2025-00596</x:v>
      </x:c>
      <x:c r="C597" s="84" t="n">
        <x:v>5</x:v>
      </x:c>
      <x:c r="D597" s="84" t="n">
        <x:v>5</x:v>
      </x:c>
      <x:c r="E597" s="84" t="n">
        <x:v>9</x:v>
      </x:c>
      <x:c r="F597" s="89" t="n">
        <x:v>45718.104212962964</x:v>
      </x:c>
      <x:c r="G597" s="89" t="n">
        <x:v>45726.104212962964</x:v>
      </x:c>
      <x:c r="H597" s="89" t="n">
        <x:v>45720.854212962964</x:v>
      </x:c>
      <x:c r="I597" s="89"/>
      <x:c r="J597" s="84" t="str">
        <x:v>Média</x:v>
      </x:c>
      <x:c r="K597" s="84" t="str">
        <x:v>Em execução</x:v>
      </x:c>
      <x:c r="L597" s="84" t="str">
        <x:v>Vazamento</x:v>
      </x:c>
      <x:c r="M597" s="84" t="str">
        <x:v>Componente danificado</x:v>
      </x:c>
      <x:c r="N597" s="84"/>
      <x:c r="O597" s="84" t="n">
        <x:v>0</x:v>
      </x:c>
      <x:c r="P597" s="93" t="n">
        <x:v>670.69</x:v>
      </x:c>
      <x:c r="Q597" s="93" t="n">
        <x:v>13182.56</x:v>
      </x:c>
      <x:c r="R597" s="91" t="n">
        <x:v>0</x:v>
      </x:c>
    </x:row>
    <x:row r="598">
      <x:c r="A598" s="83" t="n">
        <x:v>597</x:v>
      </x:c>
      <x:c r="B598" s="84" t="str">
        <x:v>OS-2023-00597</x:v>
      </x:c>
      <x:c r="C598" s="84" t="n">
        <x:v>51</x:v>
      </x:c>
      <x:c r="D598" s="84" t="n">
        <x:v>2</x:v>
      </x:c>
      <x:c r="E598" s="84"/>
      <x:c r="F598" s="89" t="n">
        <x:v>45223.709699074076</x:v>
      </x:c>
      <x:c r="G598" s="89" t="n">
        <x:v>45236.709699074076</x:v>
      </x:c>
      <x:c r="H598" s="89" t="n">
        <x:v>45224.918032407404</x:v>
      </x:c>
      <x:c r="I598" s="89" t="n">
        <x:v>45225.543032407404</x:v>
      </x:c>
      <x:c r="J598" s="84" t="str">
        <x:v>Alta</x:v>
      </x:c>
      <x:c r="K598" s="84" t="str">
        <x:v>Encerrada</x:v>
      </x:c>
      <x:c r="L598" s="84" t="str">
        <x:v>Baixa pressão</x:v>
      </x:c>
      <x:c r="M598" s="84" t="str">
        <x:v>Contaminação</x:v>
      </x:c>
      <x:c r="N598" s="84" t="str">
        <x:v>Componente ajustado ou substituído</x:v>
      </x:c>
      <x:c r="O598" s="84" t="n">
        <x:v>0</x:v>
      </x:c>
      <x:c r="P598" s="93" t="n">
        <x:v>195.54</x:v>
      </x:c>
      <x:c r="Q598" s="93" t="n">
        <x:v>7016.21</x:v>
      </x:c>
      <x:c r="R598" s="91" t="n">
        <x:v>0</x:v>
      </x:c>
    </x:row>
    <x:row r="599">
      <x:c r="A599" s="83" t="n">
        <x:v>598</x:v>
      </x:c>
      <x:c r="B599" s="84" t="str">
        <x:v>OS-2024-00598</x:v>
      </x:c>
      <x:c r="C599" s="84" t="n">
        <x:v>76</x:v>
      </x:c>
      <x:c r="D599" s="84" t="n">
        <x:v>1</x:v>
      </x:c>
      <x:c r="E599" s="84" t="n">
        <x:v>152</x:v>
      </x:c>
      <x:c r="F599" s="89" t="n">
        <x:v>45588.83069444444</x:v>
      </x:c>
      <x:c r="G599" s="89" t="n">
        <x:v>45589.83069444444</x:v>
      </x:c>
      <x:c r="H599" s="89" t="n">
        <x:v>45589.58069444444</x:v>
      </x:c>
      <x:c r="I599" s="89" t="n">
        <x:v>45590.03902777778</x:v>
      </x:c>
      <x:c r="J599" s="84" t="str">
        <x:v>Crítica</x:v>
      </x:c>
      <x:c r="K599" s="84" t="str">
        <x:v>Encerrada</x:v>
      </x:c>
      <x:c r="L599" s="84" t="str">
        <x:v>Superaquecimento</x:v>
      </x:c>
      <x:c r="M599" s="84" t="str">
        <x:v>Conexão frouxa</x:v>
      </x:c>
      <x:c r="N599" s="84" t="str">
        <x:v>Componente ajustado ou substituído</x:v>
      </x:c>
      <x:c r="O599" s="84" t="n">
        <x:v>0</x:v>
      </x:c>
      <x:c r="P599" s="93" t="n">
        <x:v>46.32</x:v>
      </x:c>
      <x:c r="Q599" s="93" t="n">
        <x:v>7697.44</x:v>
      </x:c>
      <x:c r="R599" s="91" t="n">
        <x:v>0</x:v>
      </x:c>
    </x:row>
    <x:row r="600">
      <x:c r="A600" s="83" t="n">
        <x:v>599</x:v>
      </x:c>
      <x:c r="B600" s="84" t="str">
        <x:v>OS-2025-00599</x:v>
      </x:c>
      <x:c r="C600" s="84" t="n">
        <x:v>80</x:v>
      </x:c>
      <x:c r="D600" s="84" t="n">
        <x:v>1</x:v>
      </x:c>
      <x:c r="E600" s="84" t="n">
        <x:v>160</x:v>
      </x:c>
      <x:c r="F600" s="89" t="n">
        <x:v>45824.95925925926</x:v>
      </x:c>
      <x:c r="G600" s="89" t="n">
        <x:v>45837.95925925926</x:v>
      </x:c>
      <x:c r="H600" s="89" t="n">
        <x:v>45827.292592592596</x:v>
      </x:c>
      <x:c r="I600" s="89" t="n">
        <x:v>45827.625925925924</x:v>
      </x:c>
      <x:c r="J600" s="84" t="str">
        <x:v>Média</x:v>
      </x:c>
      <x:c r="K600" s="84" t="str">
        <x:v>Concluída</x:v>
      </x:c>
      <x:c r="L600" s="84" t="str">
        <x:v>Alarme intermitente</x:v>
      </x:c>
      <x:c r="M600" s="84" t="str">
        <x:v>Conexão frouxa</x:v>
      </x:c>
      <x:c r="N600" s="84" t="str">
        <x:v>Componente ajustado ou substituído</x:v>
      </x:c>
      <x:c r="O600" s="84" t="n">
        <x:v>0</x:v>
      </x:c>
      <x:c r="P600" s="93" t="n">
        <x:v>648.58</x:v>
      </x:c>
      <x:c r="Q600" s="93" t="n">
        <x:v>5019.36</x:v>
      </x:c>
      <x:c r="R600" s="91" t="n">
        <x:v>0</x:v>
      </x:c>
    </x:row>
    <x:row r="601">
      <x:c r="A601" s="83" t="n">
        <x:v>600</x:v>
      </x:c>
      <x:c r="B601" s="84" t="str">
        <x:v>OS-2025-00600</x:v>
      </x:c>
      <x:c r="C601" s="84" t="n">
        <x:v>20</x:v>
      </x:c>
      <x:c r="D601" s="84" t="n">
        <x:v>8</x:v>
      </x:c>
      <x:c r="E601" s="84"/>
      <x:c r="F601" s="89" t="n">
        <x:v>45967.07224537037</x:v>
      </x:c>
      <x:c r="G601" s="89" t="n">
        <x:v>45973.07224537037</x:v>
      </x:c>
      <x:c r="H601" s="89" t="n">
        <x:v>45969.78057870371</x:v>
      </x:c>
      <x:c r="I601" s="89"/>
      <x:c r="J601" s="84" t="str">
        <x:v>Crítica</x:v>
      </x:c>
      <x:c r="K601" s="84" t="str">
        <x:v>Em execução</x:v>
      </x:c>
      <x:c r="L601" s="84" t="str">
        <x:v>Baixa pressão</x:v>
      </x:c>
      <x:c r="M601" s="84" t="str">
        <x:v>Desgaste natural</x:v>
      </x:c>
      <x:c r="N601" s="84"/>
      <x:c r="O601" s="84" t="n">
        <x:v>0</x:v>
      </x:c>
      <x:c r="P601" s="93" t="n">
        <x:v>407.95</x:v>
      </x:c>
      <x:c r="Q601" s="93" t="n">
        <x:v>1355.2</x:v>
      </x:c>
      <x:c r="R601" s="91" t="n">
        <x:v>0</x:v>
      </x:c>
    </x:row>
    <x:row r="602">
      <x:c r="A602" s="83" t="n">
        <x:v>601</x:v>
      </x:c>
      <x:c r="B602" s="84" t="str">
        <x:v>OS-2023-00601</x:v>
      </x:c>
      <x:c r="C602" s="84" t="n">
        <x:v>21</x:v>
      </x:c>
      <x:c r="D602" s="84" t="n">
        <x:v>3</x:v>
      </x:c>
      <x:c r="E602" s="84"/>
      <x:c r="F602" s="89" t="n">
        <x:v>45247.48569444445</x:v>
      </x:c>
      <x:c r="G602" s="89"/>
      <x:c r="H602" s="89" t="n">
        <x:v>45249.23569444445</x:v>
      </x:c>
      <x:c r="I602" s="89"/>
      <x:c r="J602" s="84" t="str">
        <x:v>Média</x:v>
      </x:c>
      <x:c r="K602" s="84" t="str">
        <x:v>Aguardando peça</x:v>
      </x:c>
      <x:c r="L602" s="84" t="str">
        <x:v>Desalinhamento</x:v>
      </x:c>
      <x:c r="M602" s="84" t="str">
        <x:v>Contaminação</x:v>
      </x:c>
      <x:c r="N602" s="84"/>
      <x:c r="O602" s="84" t="n">
        <x:v>0</x:v>
      </x:c>
      <x:c r="P602" s="93" t="n">
        <x:v>295.82</x:v>
      </x:c>
      <x:c r="Q602" s="93" t="n">
        <x:v>9779.86</x:v>
      </x:c>
      <x:c r="R602" s="91" t="n">
        <x:v>5458.11</x:v>
      </x:c>
    </x:row>
    <x:row r="603">
      <x:c r="A603" s="83" t="n">
        <x:v>602</x:v>
      </x:c>
      <x:c r="B603" s="84" t="str">
        <x:v>OS-2025-00602</x:v>
      </x:c>
      <x:c r="C603" s="84" t="n">
        <x:v>52</x:v>
      </x:c>
      <x:c r="D603" s="84" t="n">
        <x:v>3</x:v>
      </x:c>
      <x:c r="E603" s="84"/>
      <x:c r="F603" s="89" t="n">
        <x:v>45985.81730324074</x:v>
      </x:c>
      <x:c r="G603" s="89"/>
      <x:c r="H603" s="89" t="n">
        <x:v>45986.56730324074</x:v>
      </x:c>
      <x:c r="I603" s="89" t="n">
        <x:v>45987.02563657407</x:v>
      </x:c>
      <x:c r="J603" s="84" t="str">
        <x:v>Alta</x:v>
      </x:c>
      <x:c r="K603" s="84" t="str">
        <x:v>Encerrada</x:v>
      </x:c>
      <x:c r="L603" s="84" t="str">
        <x:v>Alarme intermitente</x:v>
      </x:c>
      <x:c r="M603" s="84" t="str">
        <x:v>Conexão frouxa</x:v>
      </x:c>
      <x:c r="N603" s="84" t="str">
        <x:v>Componente ajustado ou substituído</x:v>
      </x:c>
      <x:c r="O603" s="84" t="n">
        <x:v>0</x:v>
      </x:c>
      <x:c r="P603" s="93" t="n">
        <x:v>96.03</x:v>
      </x:c>
      <x:c r="Q603" s="93" t="n">
        <x:v>1565.67</x:v>
      </x:c>
      <x:c r="R603" s="91" t="n">
        <x:v>0</x:v>
      </x:c>
    </x:row>
    <x:row r="604">
      <x:c r="A604" s="83" t="n">
        <x:v>603</x:v>
      </x:c>
      <x:c r="B604" s="84" t="str">
        <x:v>OS-2025-00603</x:v>
      </x:c>
      <x:c r="C604" s="84" t="n">
        <x:v>15</x:v>
      </x:c>
      <x:c r="D604" s="84" t="n">
        <x:v>8</x:v>
      </x:c>
      <x:c r="E604" s="84"/>
      <x:c r="F604" s="89" t="n">
        <x:v>45948.70337962963</x:v>
      </x:c>
      <x:c r="G604" s="89" t="n">
        <x:v>45961.70337962963</x:v>
      </x:c>
      <x:c r="H604" s="89" t="n">
        <x:v>45950.70337962963</x:v>
      </x:c>
      <x:c r="I604" s="89" t="n">
        <x:v>45950.870046296295</x:v>
      </x:c>
      <x:c r="J604" s="84" t="str">
        <x:v>Baixa</x:v>
      </x:c>
      <x:c r="K604" s="84" t="str">
        <x:v>Encerrada</x:v>
      </x:c>
      <x:c r="L604" s="84" t="str">
        <x:v>Superaquecimento</x:v>
      </x:c>
      <x:c r="M604" s="84" t="str">
        <x:v>Desgaste natural</x:v>
      </x:c>
      <x:c r="N604" s="84" t="str">
        <x:v>Componente ajustado ou substituído</x:v>
      </x:c>
      <x:c r="O604" s="84" t="n">
        <x:v>0</x:v>
      </x:c>
      <x:c r="P604" s="93" t="n">
        <x:v>275.91</x:v>
      </x:c>
      <x:c r="Q604" s="93" t="n">
        <x:v>3238.35</x:v>
      </x:c>
      <x:c r="R604" s="91" t="n">
        <x:v>0</x:v>
      </x:c>
    </x:row>
    <x:row r="605">
      <x:c r="A605" s="83" t="n">
        <x:v>604</x:v>
      </x:c>
      <x:c r="B605" s="84" t="str">
        <x:v>OS-2024-00604</x:v>
      </x:c>
      <x:c r="C605" s="84" t="n">
        <x:v>19</x:v>
      </x:c>
      <x:c r="D605" s="84" t="n">
        <x:v>1</x:v>
      </x:c>
      <x:c r="E605" s="84" t="n">
        <x:v>37</x:v>
      </x:c>
      <x:c r="F605" s="89" t="n">
        <x:v>45344.81408564815</x:v>
      </x:c>
      <x:c r="G605" s="89" t="n">
        <x:v>45346.81408564815</x:v>
      </x:c>
      <x:c r="H605" s="89" t="n">
        <x:v>45344.85575231481</x:v>
      </x:c>
      <x:c r="I605" s="89" t="n">
        <x:v>45345.27241898148</x:v>
      </x:c>
      <x:c r="J605" s="84" t="str">
        <x:v>Média</x:v>
      </x:c>
      <x:c r="K605" s="84" t="str">
        <x:v>Encerrada</x:v>
      </x:c>
      <x:c r="L605" s="84" t="str">
        <x:v>Ruído anormal</x:v>
      </x:c>
      <x:c r="M605" s="84" t="str">
        <x:v>Falta de lubrificação</x:v>
      </x:c>
      <x:c r="N605" s="84" t="str">
        <x:v>Componente ajustado ou substituído</x:v>
      </x:c>
      <x:c r="O605" s="84" t="n">
        <x:v>0</x:v>
      </x:c>
      <x:c r="P605" s="93" t="n">
        <x:v>534.59</x:v>
      </x:c>
      <x:c r="Q605" s="93" t="n">
        <x:v>0</x:v>
      </x:c>
      <x:c r="R605" s="91" t="n">
        <x:v>0</x:v>
      </x:c>
    </x:row>
    <x:row r="606">
      <x:c r="A606" s="83" t="n">
        <x:v>605</x:v>
      </x:c>
      <x:c r="B606" s="84" t="str">
        <x:v>OS-2024-00605</x:v>
      </x:c>
      <x:c r="C606" s="84" t="n">
        <x:v>15</x:v>
      </x:c>
      <x:c r="D606" s="84" t="n">
        <x:v>3</x:v>
      </x:c>
      <x:c r="E606" s="84"/>
      <x:c r="F606" s="89" t="n">
        <x:v>45339.18623842593</x:v>
      </x:c>
      <x:c r="G606" s="89"/>
      <x:c r="H606" s="89" t="n">
        <x:v>45340.81123842593</x:v>
      </x:c>
      <x:c r="I606" s="89" t="n">
        <x:v>45341.01957175926</x:v>
      </x:c>
      <x:c r="J606" s="84" t="str">
        <x:v>Média</x:v>
      </x:c>
      <x:c r="K606" s="84" t="str">
        <x:v>Encerrada</x:v>
      </x:c>
      <x:c r="L606" s="84" t="str">
        <x:v>Vazamento</x:v>
      </x:c>
      <x:c r="M606" s="84" t="str">
        <x:v>Contaminação</x:v>
      </x:c>
      <x:c r="N606" s="84" t="str">
        <x:v>Componente ajustado ou substituído</x:v>
      </x:c>
      <x:c r="O606" s="84" t="n">
        <x:v>0</x:v>
      </x:c>
      <x:c r="P606" s="93" t="n">
        <x:v>158.46</x:v>
      </x:c>
      <x:c r="Q606" s="93" t="n">
        <x:v>5224.29</x:v>
      </x:c>
      <x:c r="R606" s="91" t="n">
        <x:v>0</x:v>
      </x:c>
    </x:row>
    <x:row r="607">
      <x:c r="A607" s="83" t="n">
        <x:v>606</x:v>
      </x:c>
      <x:c r="B607" s="84" t="str">
        <x:v>OS-2024-00606</x:v>
      </x:c>
      <x:c r="C607" s="84" t="n">
        <x:v>17</x:v>
      </x:c>
      <x:c r="D607" s="84" t="n">
        <x:v>3</x:v>
      </x:c>
      <x:c r="E607" s="84"/>
      <x:c r="F607" s="89" t="n">
        <x:v>45342.16753472222</x:v>
      </x:c>
      <x:c r="G607" s="89"/>
      <x:c r="H607" s="89" t="n">
        <x:v>45342.79253472222</x:v>
      </x:c>
      <x:c r="I607" s="89" t="n">
        <x:v>45343.33420138889</x:v>
      </x:c>
      <x:c r="J607" s="84" t="str">
        <x:v>Média</x:v>
      </x:c>
      <x:c r="K607" s="84" t="str">
        <x:v>Encerrada</x:v>
      </x:c>
      <x:c r="L607" s="84" t="str">
        <x:v>Ruído anormal</x:v>
      </x:c>
      <x:c r="M607" s="84" t="str">
        <x:v>Componente danificado</x:v>
      </x:c>
      <x:c r="N607" s="84" t="str">
        <x:v>Componente ajustado ou substituído</x:v>
      </x:c>
      <x:c r="O607" s="84" t="n">
        <x:v>0</x:v>
      </x:c>
      <x:c r="P607" s="93" t="n">
        <x:v>249.52</x:v>
      </x:c>
      <x:c r="Q607" s="93" t="n">
        <x:v>7451.4</x:v>
      </x:c>
      <x:c r="R607" s="91" t="n">
        <x:v>0</x:v>
      </x:c>
    </x:row>
    <x:row r="608">
      <x:c r="A608" s="83" t="n">
        <x:v>607</x:v>
      </x:c>
      <x:c r="B608" s="84" t="str">
        <x:v>OS-2024-00607</x:v>
      </x:c>
      <x:c r="C608" s="84" t="n">
        <x:v>37</x:v>
      </x:c>
      <x:c r="D608" s="84" t="n">
        <x:v>1</x:v>
      </x:c>
      <x:c r="E608" s="84" t="n">
        <x:v>74</x:v>
      </x:c>
      <x:c r="F608" s="89" t="n">
        <x:v>45402.3119212963</x:v>
      </x:c>
      <x:c r="G608" s="89" t="n">
        <x:v>45407.3119212963</x:v>
      </x:c>
      <x:c r="H608" s="89" t="n">
        <x:v>45404.39525462963</x:v>
      </x:c>
      <x:c r="I608" s="89" t="n">
        <x:v>45405.10358796296</x:v>
      </x:c>
      <x:c r="J608" s="84" t="str">
        <x:v>Crítica</x:v>
      </x:c>
      <x:c r="K608" s="84" t="str">
        <x:v>Encerrada</x:v>
      </x:c>
      <x:c r="L608" s="84" t="str">
        <x:v>Falha elétrica</x:v>
      </x:c>
      <x:c r="M608" s="84" t="str">
        <x:v>Componente danificado</x:v>
      </x:c>
      <x:c r="N608" s="84" t="str">
        <x:v>Componente ajustado ou substituído</x:v>
      </x:c>
      <x:c r="O608" s="84" t="n">
        <x:v>0</x:v>
      </x:c>
      <x:c r="P608" s="93" t="n">
        <x:v>374.83</x:v>
      </x:c>
      <x:c r="Q608" s="93" t="n">
        <x:v>0</x:v>
      </x:c>
      <x:c r="R608" s="91" t="n">
        <x:v>0</x:v>
      </x:c>
    </x:row>
    <x:row r="609">
      <x:c r="A609" s="83" t="n">
        <x:v>608</x:v>
      </x:c>
      <x:c r="B609" s="84" t="str">
        <x:v>OS-2024-00608</x:v>
      </x:c>
      <x:c r="C609" s="84" t="n">
        <x:v>65</x:v>
      </x:c>
      <x:c r="D609" s="84" t="n">
        <x:v>2</x:v>
      </x:c>
      <x:c r="E609" s="84"/>
      <x:c r="F609" s="89" t="n">
        <x:v>45407.08696759259</x:v>
      </x:c>
      <x:c r="G609" s="89" t="n">
        <x:v>45408.08696759259</x:v>
      </x:c>
      <x:c r="H609" s="89" t="n">
        <x:v>45409.79530092593</x:v>
      </x:c>
      <x:c r="I609" s="89" t="n">
        <x:v>45410.37863425926</x:v>
      </x:c>
      <x:c r="J609" s="84" t="str">
        <x:v>Crítica</x:v>
      </x:c>
      <x:c r="K609" s="84" t="str">
        <x:v>Encerrada</x:v>
      </x:c>
      <x:c r="L609" s="84" t="str">
        <x:v>Desalinhamento</x:v>
      </x:c>
      <x:c r="M609" s="84" t="str">
        <x:v>Falta de lubrificação</x:v>
      </x:c>
      <x:c r="N609" s="84" t="str">
        <x:v>Componente ajustado ou substituído</x:v>
      </x:c>
      <x:c r="O609" s="84" t="n">
        <x:v>0</x:v>
      </x:c>
      <x:c r="P609" s="93" t="n">
        <x:v>580.89</x:v>
      </x:c>
      <x:c r="Q609" s="93" t="n">
        <x:v>2308.62</x:v>
      </x:c>
      <x:c r="R609" s="91" t="n">
        <x:v>0</x:v>
      </x:c>
    </x:row>
    <x:row r="610">
      <x:c r="A610" s="83" t="n">
        <x:v>609</x:v>
      </x:c>
      <x:c r="B610" s="84" t="str">
        <x:v>OS-2024-00609</x:v>
      </x:c>
      <x:c r="C610" s="84" t="n">
        <x:v>10</x:v>
      </x:c>
      <x:c r="D610" s="84" t="n">
        <x:v>1</x:v>
      </x:c>
      <x:c r="E610" s="84" t="n">
        <x:v>20</x:v>
      </x:c>
      <x:c r="F610" s="89" t="n">
        <x:v>45455.373252314814</x:v>
      </x:c>
      <x:c r="G610" s="89" t="n">
        <x:v>45467.373252314814</x:v>
      </x:c>
      <x:c r="H610" s="89" t="n">
        <x:v>45456.373252314814</x:v>
      </x:c>
      <x:c r="I610" s="89" t="n">
        <x:v>45456.95658564815</x:v>
      </x:c>
      <x:c r="J610" s="84" t="str">
        <x:v>Baixa</x:v>
      </x:c>
      <x:c r="K610" s="84" t="str">
        <x:v>Encerrada</x:v>
      </x:c>
      <x:c r="L610" s="84" t="str">
        <x:v>Baixa pressão</x:v>
      </x:c>
      <x:c r="M610" s="84" t="str">
        <x:v>Conexão frouxa</x:v>
      </x:c>
      <x:c r="N610" s="84" t="str">
        <x:v>Componente ajustado ou substituído</x:v>
      </x:c>
      <x:c r="O610" s="84" t="n">
        <x:v>0</x:v>
      </x:c>
      <x:c r="P610" s="93" t="n">
        <x:v>45.98</x:v>
      </x:c>
      <x:c r="Q610" s="93" t="n">
        <x:v>6032.6</x:v>
      </x:c>
      <x:c r="R610" s="91" t="n">
        <x:v>0</x:v>
      </x:c>
    </x:row>
    <x:row r="611">
      <x:c r="A611" s="83" t="n">
        <x:v>610</x:v>
      </x:c>
      <x:c r="B611" s="84" t="str">
        <x:v>OS-2025-00610</x:v>
      </x:c>
      <x:c r="C611" s="84" t="n">
        <x:v>76</x:v>
      </x:c>
      <x:c r="D611" s="84" t="n">
        <x:v>2</x:v>
      </x:c>
      <x:c r="E611" s="84"/>
      <x:c r="F611" s="89" t="n">
        <x:v>45663.37137731481</x:v>
      </x:c>
      <x:c r="G611" s="89" t="n">
        <x:v>45671.37137731481</x:v>
      </x:c>
      <x:c r="H611" s="89" t="n">
        <x:v>45664.57971064815</x:v>
      </x:c>
      <x:c r="I611" s="89" t="n">
        <x:v>45664.91304398148</x:v>
      </x:c>
      <x:c r="J611" s="84" t="str">
        <x:v>Crítica</x:v>
      </x:c>
      <x:c r="K611" s="84" t="str">
        <x:v>Encerrada</x:v>
      </x:c>
      <x:c r="L611" s="84" t="str">
        <x:v>Superaquecimento</x:v>
      </x:c>
      <x:c r="M611" s="84" t="str">
        <x:v>Conexão frouxa</x:v>
      </x:c>
      <x:c r="N611" s="84" t="str">
        <x:v>Componente ajustado ou substituído</x:v>
      </x:c>
      <x:c r="O611" s="84" t="n">
        <x:v>1</x:v>
      </x:c>
      <x:c r="P611" s="93" t="n">
        <x:v>814.94</x:v>
      </x:c>
      <x:c r="Q611" s="93" t="n">
        <x:v>7279.8</x:v>
      </x:c>
      <x:c r="R611" s="91" t="n">
        <x:v>0</x:v>
      </x:c>
    </x:row>
    <x:row r="612">
      <x:c r="A612" s="83" t="n">
        <x:v>611</x:v>
      </x:c>
      <x:c r="B612" s="84" t="str">
        <x:v>OS-2023-00611</x:v>
      </x:c>
      <x:c r="C612" s="84" t="n">
        <x:v>48</x:v>
      </x:c>
      <x:c r="D612" s="84" t="n">
        <x:v>2</x:v>
      </x:c>
      <x:c r="E612" s="84"/>
      <x:c r="F612" s="89" t="n">
        <x:v>45140.464849537035</x:v>
      </x:c>
      <x:c r="G612" s="89" t="n">
        <x:v>45141.464849537035</x:v>
      </x:c>
      <x:c r="H612" s="89" t="n">
        <x:v>45143.089849537035</x:v>
      </x:c>
      <x:c r="I612" s="89"/>
      <x:c r="J612" s="84" t="str">
        <x:v>Alta</x:v>
      </x:c>
      <x:c r="K612" s="84" t="str">
        <x:v>Em execução</x:v>
      </x:c>
      <x:c r="L612" s="84" t="str">
        <x:v>Falha elétrica</x:v>
      </x:c>
      <x:c r="M612" s="84" t="str">
        <x:v>Ajuste incorreto</x:v>
      </x:c>
      <x:c r="N612" s="84"/>
      <x:c r="O612" s="84" t="n">
        <x:v>0</x:v>
      </x:c>
      <x:c r="P612" s="93" t="n">
        <x:v>851.75</x:v>
      </x:c>
      <x:c r="Q612" s="93" t="n">
        <x:v>0</x:v>
      </x:c>
      <x:c r="R612" s="91" t="n">
        <x:v>10205.42</x:v>
      </x:c>
    </x:row>
    <x:row r="613">
      <x:c r="A613" s="83" t="n">
        <x:v>612</x:v>
      </x:c>
      <x:c r="B613" s="84" t="str">
        <x:v>OS-2024-00612</x:v>
      </x:c>
      <x:c r="C613" s="84" t="n">
        <x:v>1</x:v>
      </x:c>
      <x:c r="D613" s="84" t="n">
        <x:v>1</x:v>
      </x:c>
      <x:c r="E613" s="84" t="n">
        <x:v>1</x:v>
      </x:c>
      <x:c r="F613" s="89" t="n">
        <x:v>45324.63893518518</x:v>
      </x:c>
      <x:c r="G613" s="89" t="n">
        <x:v>45333.63893518518</x:v>
      </x:c>
      <x:c r="H613" s="89" t="n">
        <x:v>45326.13893518518</x:v>
      </x:c>
      <x:c r="I613" s="89" t="n">
        <x:v>45326.72226851852</x:v>
      </x:c>
      <x:c r="J613" s="84" t="str">
        <x:v>Média</x:v>
      </x:c>
      <x:c r="K613" s="84" t="str">
        <x:v>Encerrada</x:v>
      </x:c>
      <x:c r="L613" s="84" t="str">
        <x:v>Baixa pressão</x:v>
      </x:c>
      <x:c r="M613" s="84" t="str">
        <x:v>Desgaste natural</x:v>
      </x:c>
      <x:c r="N613" s="84" t="str">
        <x:v>Componente ajustado ou substituído</x:v>
      </x:c>
      <x:c r="O613" s="84" t="n">
        <x:v>0</x:v>
      </x:c>
      <x:c r="P613" s="93" t="n">
        <x:v>534.08</x:v>
      </x:c>
      <x:c r="Q613" s="93" t="n">
        <x:v>4870.08</x:v>
      </x:c>
      <x:c r="R613" s="91" t="n">
        <x:v>0</x:v>
      </x:c>
    </x:row>
    <x:row r="614">
      <x:c r="A614" s="83" t="n">
        <x:v>613</x:v>
      </x:c>
      <x:c r="B614" s="84" t="str">
        <x:v>OS-2024-00613</x:v>
      </x:c>
      <x:c r="C614" s="84" t="n">
        <x:v>89</x:v>
      </x:c>
      <x:c r="D614" s="84" t="n">
        <x:v>2</x:v>
      </x:c>
      <x:c r="E614" s="84"/>
      <x:c r="F614" s="89" t="n">
        <x:v>45521.14493055556</x:v>
      </x:c>
      <x:c r="G614" s="89" t="n">
        <x:v>45530.14493055556</x:v>
      </x:c>
      <x:c r="H614" s="89" t="n">
        <x:v>45521.35326388889</x:v>
      </x:c>
      <x:c r="I614" s="89" t="n">
        <x:v>45521.56159722222</x:v>
      </x:c>
      <x:c r="J614" s="84" t="str">
        <x:v>Média</x:v>
      </x:c>
      <x:c r="K614" s="84" t="str">
        <x:v>Encerrada</x:v>
      </x:c>
      <x:c r="L614" s="84" t="str">
        <x:v>Vazamento</x:v>
      </x:c>
      <x:c r="M614" s="84" t="str">
        <x:v>Contaminação</x:v>
      </x:c>
      <x:c r="N614" s="84" t="str">
        <x:v>Componente ajustado ou substituído</x:v>
      </x:c>
      <x:c r="O614" s="84" t="n">
        <x:v>0</x:v>
      </x:c>
      <x:c r="P614" s="93" t="n">
        <x:v>93.46</x:v>
      </x:c>
      <x:c r="Q614" s="93" t="n">
        <x:v>8336.88</x:v>
      </x:c>
      <x:c r="R614" s="91" t="n">
        <x:v>0</x:v>
      </x:c>
    </x:row>
    <x:row r="615">
      <x:c r="A615" s="83" t="n">
        <x:v>614</x:v>
      </x:c>
      <x:c r="B615" s="84" t="str">
        <x:v>OS-2024-00614</x:v>
      </x:c>
      <x:c r="C615" s="84" t="n">
        <x:v>73</x:v>
      </x:c>
      <x:c r="D615" s="84" t="n">
        <x:v>3</x:v>
      </x:c>
      <x:c r="E615" s="84"/>
      <x:c r="F615" s="89" t="n">
        <x:v>45604.398726851854</x:v>
      </x:c>
      <x:c r="G615" s="89"/>
      <x:c r="H615" s="89" t="n">
        <x:v>45604.44039351852</x:v>
      </x:c>
      <x:c r="I615" s="89" t="n">
        <x:v>45604.60706018518</x:v>
      </x:c>
      <x:c r="J615" s="84" t="str">
        <x:v>Alta</x:v>
      </x:c>
      <x:c r="K615" s="84" t="str">
        <x:v>Encerrada</x:v>
      </x:c>
      <x:c r="L615" s="84" t="str">
        <x:v>Baixa pressão</x:v>
      </x:c>
      <x:c r="M615" s="84" t="str">
        <x:v>Ajuste incorreto</x:v>
      </x:c>
      <x:c r="N615" s="84" t="str">
        <x:v>Componente ajustado ou substituído</x:v>
      </x:c>
      <x:c r="O615" s="84" t="n">
        <x:v>0</x:v>
      </x:c>
      <x:c r="P615" s="93" t="n">
        <x:v>301.77</x:v>
      </x:c>
      <x:c r="Q615" s="93" t="n">
        <x:v>4969.05</x:v>
      </x:c>
      <x:c r="R615" s="91" t="n">
        <x:v>0</x:v>
      </x:c>
    </x:row>
    <x:row r="616">
      <x:c r="A616" s="83" t="n">
        <x:v>615</x:v>
      </x:c>
      <x:c r="B616" s="84" t="str">
        <x:v>OS-2025-00615</x:v>
      </x:c>
      <x:c r="C616" s="84" t="n">
        <x:v>12</x:v>
      </x:c>
      <x:c r="D616" s="84" t="n">
        <x:v>3</x:v>
      </x:c>
      <x:c r="E616" s="84"/>
      <x:c r="F616" s="89" t="n">
        <x:v>45802.83497685185</x:v>
      </x:c>
      <x:c r="G616" s="89"/>
      <x:c r="H616" s="89" t="n">
        <x:v>45804.62664351852</x:v>
      </x:c>
      <x:c r="I616" s="89" t="n">
        <x:v>45804.70997685185</x:v>
      </x:c>
      <x:c r="J616" s="84" t="str">
        <x:v>Crítica</x:v>
      </x:c>
      <x:c r="K616" s="84" t="str">
        <x:v>Concluída</x:v>
      </x:c>
      <x:c r="L616" s="84" t="str">
        <x:v>Superaquecimento</x:v>
      </x:c>
      <x:c r="M616" s="84" t="str">
        <x:v>Falta de lubrificação</x:v>
      </x:c>
      <x:c r="N616" s="84" t="str">
        <x:v>Componente ajustado ou substituído</x:v>
      </x:c>
      <x:c r="O616" s="84" t="n">
        <x:v>0</x:v>
      </x:c>
      <x:c r="P616" s="93" t="n">
        <x:v>265.46</x:v>
      </x:c>
      <x:c r="Q616" s="93" t="n">
        <x:v>0</x:v>
      </x:c>
      <x:c r="R616" s="91" t="n">
        <x:v>0</x:v>
      </x:c>
    </x:row>
    <x:row r="617">
      <x:c r="A617" s="83" t="n">
        <x:v>616</x:v>
      </x:c>
      <x:c r="B617" s="84" t="str">
        <x:v>OS-2025-00616</x:v>
      </x:c>
      <x:c r="C617" s="84" t="n">
        <x:v>85</x:v>
      </x:c>
      <x:c r="D617" s="84" t="n">
        <x:v>5</x:v>
      </x:c>
      <x:c r="E617" s="84" t="n">
        <x:v>170</x:v>
      </x:c>
      <x:c r="F617" s="89" t="n">
        <x:v>45661.48658564815</x:v>
      </x:c>
      <x:c r="G617" s="89" t="n">
        <x:v>45670.48658564815</x:v>
      </x:c>
      <x:c r="H617" s="89" t="n">
        <x:v>45662.40325231481</x:v>
      </x:c>
      <x:c r="I617" s="89" t="n">
        <x:v>45663.23658564815</x:v>
      </x:c>
      <x:c r="J617" s="84" t="str">
        <x:v>Alta</x:v>
      </x:c>
      <x:c r="K617" s="84" t="str">
        <x:v>Encerrada</x:v>
      </x:c>
      <x:c r="L617" s="84" t="str">
        <x:v>Falha elétrica</x:v>
      </x:c>
      <x:c r="M617" s="84" t="str">
        <x:v>Ajuste incorreto</x:v>
      </x:c>
      <x:c r="N617" s="84" t="str">
        <x:v>Componente ajustado ou substituído</x:v>
      </x:c>
      <x:c r="O617" s="84" t="n">
        <x:v>0</x:v>
      </x:c>
      <x:c r="P617" s="93" t="n">
        <x:v>386.31</x:v>
      </x:c>
      <x:c r="Q617" s="93" t="n">
        <x:v>8225.63</x:v>
      </x:c>
      <x:c r="R617" s="91" t="n">
        <x:v>0</x:v>
      </x:c>
    </x:row>
    <x:row r="618">
      <x:c r="A618" s="83" t="n">
        <x:v>617</x:v>
      </x:c>
      <x:c r="B618" s="84" t="str">
        <x:v>OS-2023-00617</x:v>
      </x:c>
      <x:c r="C618" s="84" t="n">
        <x:v>39</x:v>
      </x:c>
      <x:c r="D618" s="84" t="n">
        <x:v>8</x:v>
      </x:c>
      <x:c r="E618" s="84"/>
      <x:c r="F618" s="89" t="n">
        <x:v>45060.82251157407</x:v>
      </x:c>
      <x:c r="G618" s="89" t="n">
        <x:v>45066.82251157407</x:v>
      </x:c>
      <x:c r="H618" s="89" t="n">
        <x:v>45063.78084490741</x:v>
      </x:c>
      <x:c r="I618" s="89" t="n">
        <x:v>45064.23917824074</x:v>
      </x:c>
      <x:c r="J618" s="84" t="str">
        <x:v>Baixa</x:v>
      </x:c>
      <x:c r="K618" s="84" t="str">
        <x:v>Encerrada</x:v>
      </x:c>
      <x:c r="L618" s="84" t="str">
        <x:v>Falha elétrica</x:v>
      </x:c>
      <x:c r="M618" s="84" t="str">
        <x:v>Ajuste incorreto</x:v>
      </x:c>
      <x:c r="N618" s="84" t="str">
        <x:v>Componente ajustado ou substituído</x:v>
      </x:c>
      <x:c r="O618" s="84" t="n">
        <x:v>0</x:v>
      </x:c>
      <x:c r="P618" s="93" t="n">
        <x:v>386.69</x:v>
      </x:c>
      <x:c r="Q618" s="93" t="n">
        <x:v>4929.32</x:v>
      </x:c>
      <x:c r="R618" s="91" t="n">
        <x:v>0</x:v>
      </x:c>
    </x:row>
    <x:row r="619">
      <x:c r="A619" s="83" t="n">
        <x:v>618</x:v>
      </x:c>
      <x:c r="B619" s="84" t="str">
        <x:v>OS-2024-00618</x:v>
      </x:c>
      <x:c r="C619" s="84" t="n">
        <x:v>33</x:v>
      </x:c>
      <x:c r="D619" s="84" t="n">
        <x:v>3</x:v>
      </x:c>
      <x:c r="E619" s="84"/>
      <x:c r="F619" s="89" t="n">
        <x:v>45653.02715277778</x:v>
      </x:c>
      <x:c r="G619" s="89"/>
      <x:c r="H619" s="89" t="n">
        <x:v>45656.02715277778</x:v>
      </x:c>
      <x:c r="I619" s="89" t="n">
        <x:v>45656.568819444445</x:v>
      </x:c>
      <x:c r="J619" s="84" t="str">
        <x:v>Crítica</x:v>
      </x:c>
      <x:c r="K619" s="84" t="str">
        <x:v>Encerrada</x:v>
      </x:c>
      <x:c r="L619" s="84" t="str">
        <x:v>Baixa pressão</x:v>
      </x:c>
      <x:c r="M619" s="84" t="str">
        <x:v>Componente danificado</x:v>
      </x:c>
      <x:c r="N619" s="84" t="str">
        <x:v>Componente ajustado ou substituído</x:v>
      </x:c>
      <x:c r="O619" s="84" t="n">
        <x:v>0</x:v>
      </x:c>
      <x:c r="P619" s="93" t="n">
        <x:v>241.42</x:v>
      </x:c>
      <x:c r="Q619" s="93" t="n">
        <x:v>131.72</x:v>
      </x:c>
      <x:c r="R619" s="91" t="n">
        <x:v>0</x:v>
      </x:c>
    </x:row>
    <x:row r="620">
      <x:c r="A620" s="83" t="n">
        <x:v>619</x:v>
      </x:c>
      <x:c r="B620" s="84" t="str">
        <x:v>OS-2025-00619</x:v>
      </x:c>
      <x:c r="C620" s="84" t="n">
        <x:v>79</x:v>
      </x:c>
      <x:c r="D620" s="84" t="n">
        <x:v>3</x:v>
      </x:c>
      <x:c r="E620" s="84"/>
      <x:c r="F620" s="89" t="n">
        <x:v>45761.48715277778</x:v>
      </x:c>
      <x:c r="G620" s="89"/>
      <x:c r="H620" s="89" t="n">
        <x:v>45763.32048611111</x:v>
      </x:c>
      <x:c r="I620" s="89" t="n">
        <x:v>45763.94548611111</x:v>
      </x:c>
      <x:c r="J620" s="84" t="str">
        <x:v>Crítica</x:v>
      </x:c>
      <x:c r="K620" s="84" t="str">
        <x:v>Encerrada</x:v>
      </x:c>
      <x:c r="L620" s="84" t="str">
        <x:v>Falha elétrica</x:v>
      </x:c>
      <x:c r="M620" s="84" t="str">
        <x:v>Falta de lubrificação</x:v>
      </x:c>
      <x:c r="N620" s="84" t="str">
        <x:v>Componente ajustado ou substituído</x:v>
      </x:c>
      <x:c r="O620" s="84" t="n">
        <x:v>0</x:v>
      </x:c>
      <x:c r="P620" s="93" t="n">
        <x:v>263.02</x:v>
      </x:c>
      <x:c r="Q620" s="93" t="n">
        <x:v>13945.51</x:v>
      </x:c>
      <x:c r="R620" s="91" t="n">
        <x:v>0</x:v>
      </x:c>
    </x:row>
    <x:row r="621">
      <x:c r="A621" s="83" t="n">
        <x:v>620</x:v>
      </x:c>
      <x:c r="B621" s="84" t="str">
        <x:v>OS-2024-00620</x:v>
      </x:c>
      <x:c r="C621" s="84" t="n">
        <x:v>37</x:v>
      </x:c>
      <x:c r="D621" s="84" t="n">
        <x:v>3</x:v>
      </x:c>
      <x:c r="E621" s="84"/>
      <x:c r="F621" s="89" t="n">
        <x:v>45591.50648148148</x:v>
      </x:c>
      <x:c r="G621" s="89"/>
      <x:c r="H621" s="89" t="n">
        <x:v>45592.96481481481</x:v>
      </x:c>
      <x:c r="I621" s="89" t="n">
        <x:v>45593.29814814815</x:v>
      </x:c>
      <x:c r="J621" s="84" t="str">
        <x:v>Crítica</x:v>
      </x:c>
      <x:c r="K621" s="84" t="str">
        <x:v>Encerrada</x:v>
      </x:c>
      <x:c r="L621" s="84" t="str">
        <x:v>Alarme intermitente</x:v>
      </x:c>
      <x:c r="M621" s="84" t="str">
        <x:v>Ajuste incorreto</x:v>
      </x:c>
      <x:c r="N621" s="84" t="str">
        <x:v>Componente ajustado ou substituído</x:v>
      </x:c>
      <x:c r="O621" s="84" t="n">
        <x:v>0</x:v>
      </x:c>
      <x:c r="P621" s="93" t="n">
        <x:v>261.53</x:v>
      </x:c>
      <x:c r="Q621" s="93" t="n">
        <x:v>3502.26</x:v>
      </x:c>
      <x:c r="R621" s="91" t="n">
        <x:v>0</x:v>
      </x:c>
    </x:row>
    <x:row r="622">
      <x:c r="A622" s="83" t="n">
        <x:v>621</x:v>
      </x:c>
      <x:c r="B622" s="84" t="str">
        <x:v>OS-2023-00621</x:v>
      </x:c>
      <x:c r="C622" s="84" t="n">
        <x:v>41</x:v>
      </x:c>
      <x:c r="D622" s="84" t="n">
        <x:v>1</x:v>
      </x:c>
      <x:c r="E622" s="84" t="n">
        <x:v>81</x:v>
      </x:c>
      <x:c r="F622" s="89" t="n">
        <x:v>45075.159421296295</x:v>
      </x:c>
      <x:c r="G622" s="89" t="n">
        <x:v>45081.159421296295</x:v>
      </x:c>
      <x:c r="H622" s="89"/>
      <x:c r="I622" s="89"/>
      <x:c r="J622" s="84" t="str">
        <x:v>Baixa</x:v>
      </x:c>
      <x:c r="K622" s="84" t="str">
        <x:v>Planejada</x:v>
      </x:c>
      <x:c r="L622" s="84" t="str">
        <x:v>Falha elétrica</x:v>
      </x:c>
      <x:c r="M622" s="84"/>
      <x:c r="N622" s="84"/>
      <x:c r="O622" s="84" t="n">
        <x:v>0</x:v>
      </x:c>
      <x:c r="P622" s="93" t="n">
        <x:v>0</x:v>
      </x:c>
      <x:c r="Q622" s="93" t="n">
        <x:v>0</x:v>
      </x:c>
      <x:c r="R622" s="91" t="n">
        <x:v>0</x:v>
      </x:c>
    </x:row>
    <x:row r="623">
      <x:c r="A623" s="83" t="n">
        <x:v>622</x:v>
      </x:c>
      <x:c r="B623" s="84" t="str">
        <x:v>OS-2023-00622</x:v>
      </x:c>
      <x:c r="C623" s="84" t="n">
        <x:v>57</x:v>
      </x:c>
      <x:c r="D623" s="84" t="n">
        <x:v>6</x:v>
      </x:c>
      <x:c r="E623" s="84"/>
      <x:c r="F623" s="89" t="n">
        <x:v>45203.95820601852</x:v>
      </x:c>
      <x:c r="G623" s="89" t="n">
        <x:v>45209.95820601852</x:v>
      </x:c>
      <x:c r="H623" s="89" t="n">
        <x:v>45206.874872685185</x:v>
      </x:c>
      <x:c r="I623" s="89" t="n">
        <x:v>45207.45820601852</x:v>
      </x:c>
      <x:c r="J623" s="84" t="str">
        <x:v>Crítica</x:v>
      </x:c>
      <x:c r="K623" s="84" t="str">
        <x:v>Encerrada</x:v>
      </x:c>
      <x:c r="L623" s="84" t="str">
        <x:v>Falha elétrica</x:v>
      </x:c>
      <x:c r="M623" s="84" t="str">
        <x:v>Desgaste natural</x:v>
      </x:c>
      <x:c r="N623" s="84" t="str">
        <x:v>Componente ajustado ou substituído</x:v>
      </x:c>
      <x:c r="O623" s="84" t="n">
        <x:v>0</x:v>
      </x:c>
      <x:c r="P623" s="93" t="n">
        <x:v>479.47</x:v>
      </x:c>
      <x:c r="Q623" s="93" t="n">
        <x:v>7535.8</x:v>
      </x:c>
      <x:c r="R623" s="91" t="n">
        <x:v>0</x:v>
      </x:c>
    </x:row>
    <x:row r="624">
      <x:c r="A624" s="83" t="n">
        <x:v>623</x:v>
      </x:c>
      <x:c r="B624" s="84" t="str">
        <x:v>OS-2023-00623</x:v>
      </x:c>
      <x:c r="C624" s="84" t="n">
        <x:v>83</x:v>
      </x:c>
      <x:c r="D624" s="84" t="n">
        <x:v>2</x:v>
      </x:c>
      <x:c r="E624" s="84"/>
      <x:c r="F624" s="89" t="n">
        <x:v>45143.7559375</x:v>
      </x:c>
      <x:c r="G624" s="89" t="n">
        <x:v>45146.7559375</x:v>
      </x:c>
      <x:c r="H624" s="89" t="n">
        <x:v>45145.29760416667</x:v>
      </x:c>
      <x:c r="I624" s="89" t="n">
        <x:v>45145.339270833334</x:v>
      </x:c>
      <x:c r="J624" s="84" t="str">
        <x:v>Média</x:v>
      </x:c>
      <x:c r="K624" s="84" t="str">
        <x:v>Encerrada</x:v>
      </x:c>
      <x:c r="L624" s="84" t="str">
        <x:v>Vazamento</x:v>
      </x:c>
      <x:c r="M624" s="84" t="str">
        <x:v>Conexão frouxa</x:v>
      </x:c>
      <x:c r="N624" s="84" t="str">
        <x:v>Componente ajustado ou substituído</x:v>
      </x:c>
      <x:c r="O624" s="84" t="n">
        <x:v>0</x:v>
      </x:c>
      <x:c r="P624" s="93" t="n">
        <x:v>196.24</x:v>
      </x:c>
      <x:c r="Q624" s="93" t="n">
        <x:v>4938.44</x:v>
      </x:c>
      <x:c r="R624" s="91" t="n">
        <x:v>0</x:v>
      </x:c>
    </x:row>
    <x:row r="625">
      <x:c r="A625" s="83" t="n">
        <x:v>624</x:v>
      </x:c>
      <x:c r="B625" s="84" t="str">
        <x:v>OS-2024-00624</x:v>
      </x:c>
      <x:c r="C625" s="84" t="n">
        <x:v>48</x:v>
      </x:c>
      <x:c r="D625" s="84" t="n">
        <x:v>1</x:v>
      </x:c>
      <x:c r="E625" s="84" t="n">
        <x:v>95</x:v>
      </x:c>
      <x:c r="F625" s="89" t="n">
        <x:v>45345.998460648145</x:v>
      </x:c>
      <x:c r="G625" s="89" t="n">
        <x:v>45356.998460648145</x:v>
      </x:c>
      <x:c r="H625" s="89" t="n">
        <x:v>45347.665127314816</x:v>
      </x:c>
      <x:c r="I625" s="89" t="n">
        <x:v>45347.915127314816</x:v>
      </x:c>
      <x:c r="J625" s="84" t="str">
        <x:v>Média</x:v>
      </x:c>
      <x:c r="K625" s="84" t="str">
        <x:v>Concluída</x:v>
      </x:c>
      <x:c r="L625" s="84" t="str">
        <x:v>Superaquecimento</x:v>
      </x:c>
      <x:c r="M625" s="84" t="str">
        <x:v>Ajuste incorreto</x:v>
      </x:c>
      <x:c r="N625" s="84" t="str">
        <x:v>Componente ajustado ou substituído</x:v>
      </x:c>
      <x:c r="O625" s="84" t="n">
        <x:v>0</x:v>
      </x:c>
      <x:c r="P625" s="93" t="n">
        <x:v>1101.12</x:v>
      </x:c>
      <x:c r="Q625" s="93" t="n">
        <x:v>11101.03</x:v>
      </x:c>
      <x:c r="R625" s="91" t="n">
        <x:v>0</x:v>
      </x:c>
    </x:row>
    <x:row r="626">
      <x:c r="A626" s="83" t="n">
        <x:v>625</x:v>
      </x:c>
      <x:c r="B626" s="84" t="str">
        <x:v>OS-2024-00625</x:v>
      </x:c>
      <x:c r="C626" s="84" t="n">
        <x:v>77</x:v>
      </x:c>
      <x:c r="D626" s="84" t="n">
        <x:v>3</x:v>
      </x:c>
      <x:c r="E626" s="84"/>
      <x:c r="F626" s="89" t="n">
        <x:v>45434.80025462963</x:v>
      </x:c>
      <x:c r="G626" s="89"/>
      <x:c r="H626" s="89" t="n">
        <x:v>45437.30025462963</x:v>
      </x:c>
      <x:c r="I626" s="89" t="n">
        <x:v>45437.50858796296</x:v>
      </x:c>
      <x:c r="J626" s="84" t="str">
        <x:v>Crítica</x:v>
      </x:c>
      <x:c r="K626" s="84" t="str">
        <x:v>Encerrada</x:v>
      </x:c>
      <x:c r="L626" s="84" t="str">
        <x:v>Vazamento</x:v>
      </x:c>
      <x:c r="M626" s="84" t="str">
        <x:v>Ajuste incorreto</x:v>
      </x:c>
      <x:c r="N626" s="84" t="str">
        <x:v>Componente ajustado ou substituído</x:v>
      </x:c>
      <x:c r="O626" s="84" t="n">
        <x:v>0</x:v>
      </x:c>
      <x:c r="P626" s="93" t="n">
        <x:v>89.14</x:v>
      </x:c>
      <x:c r="Q626" s="93" t="n">
        <x:v>0</x:v>
      </x:c>
      <x:c r="R626" s="91" t="n">
        <x:v>0</x:v>
      </x:c>
    </x:row>
    <x:row r="627">
      <x:c r="A627" s="83" t="n">
        <x:v>626</x:v>
      </x:c>
      <x:c r="B627" s="84" t="str">
        <x:v>OS-2024-00626</x:v>
      </x:c>
      <x:c r="C627" s="84" t="n">
        <x:v>68</x:v>
      </x:c>
      <x:c r="D627" s="84" t="n">
        <x:v>3</x:v>
      </x:c>
      <x:c r="E627" s="84"/>
      <x:c r="F627" s="89" t="n">
        <x:v>45362.153761574074</x:v>
      </x:c>
      <x:c r="G627" s="89"/>
      <x:c r="H627" s="89" t="n">
        <x:v>45363.44542824074</x:v>
      </x:c>
      <x:c r="I627" s="89" t="n">
        <x:v>45363.57042824074</x:v>
      </x:c>
      <x:c r="J627" s="84" t="str">
        <x:v>Crítica</x:v>
      </x:c>
      <x:c r="K627" s="84" t="str">
        <x:v>Encerrada</x:v>
      </x:c>
      <x:c r="L627" s="84" t="str">
        <x:v>Ruído anormal</x:v>
      </x:c>
      <x:c r="M627" s="84" t="str">
        <x:v>Contaminação</x:v>
      </x:c>
      <x:c r="N627" s="84" t="str">
        <x:v>Componente ajustado ou substituído</x:v>
      </x:c>
      <x:c r="O627" s="84" t="n">
        <x:v>0</x:v>
      </x:c>
      <x:c r="P627" s="93" t="n">
        <x:v>433.03</x:v>
      </x:c>
      <x:c r="Q627" s="93" t="n">
        <x:v>10782.42</x:v>
      </x:c>
      <x:c r="R627" s="91" t="n">
        <x:v>9340.17</x:v>
      </x:c>
    </x:row>
    <x:row r="628">
      <x:c r="A628" s="83" t="n">
        <x:v>627</x:v>
      </x:c>
      <x:c r="B628" s="84" t="str">
        <x:v>OS-2025-00627</x:v>
      </x:c>
      <x:c r="C628" s="84" t="n">
        <x:v>20</x:v>
      </x:c>
      <x:c r="D628" s="84" t="n">
        <x:v>1</x:v>
      </x:c>
      <x:c r="E628" s="84" t="n">
        <x:v>40</x:v>
      </x:c>
      <x:c r="F628" s="89" t="n">
        <x:v>45673.773043981484</x:v>
      </x:c>
      <x:c r="G628" s="89" t="n">
        <x:v>45675.773043981484</x:v>
      </x:c>
      <x:c r="H628" s="89"/>
      <x:c r="I628" s="89"/>
      <x:c r="J628" s="84" t="str">
        <x:v>Média</x:v>
      </x:c>
      <x:c r="K628" s="84" t="str">
        <x:v>Planejada</x:v>
      </x:c>
      <x:c r="L628" s="84" t="str">
        <x:v>Desalinhamento</x:v>
      </x:c>
      <x:c r="M628" s="84"/>
      <x:c r="N628" s="84"/>
      <x:c r="O628" s="84" t="n">
        <x:v>0</x:v>
      </x:c>
      <x:c r="P628" s="93" t="n">
        <x:v>0</x:v>
      </x:c>
      <x:c r="Q628" s="93" t="n">
        <x:v>0</x:v>
      </x:c>
      <x:c r="R628" s="91" t="n">
        <x:v>0</x:v>
      </x:c>
    </x:row>
    <x:row r="629">
      <x:c r="A629" s="83" t="n">
        <x:v>628</x:v>
      </x:c>
      <x:c r="B629" s="84" t="str">
        <x:v>OS-2024-00628</x:v>
      </x:c>
      <x:c r="C629" s="84" t="n">
        <x:v>62</x:v>
      </x:c>
      <x:c r="D629" s="84" t="n">
        <x:v>7</x:v>
      </x:c>
      <x:c r="E629" s="84" t="n">
        <x:v>123</x:v>
      </x:c>
      <x:c r="F629" s="89" t="n">
        <x:v>45382.78774305555</x:v>
      </x:c>
      <x:c r="G629" s="89" t="n">
        <x:v>45392.78774305555</x:v>
      </x:c>
      <x:c r="H629" s="89"/>
      <x:c r="I629" s="89"/>
      <x:c r="J629" s="84" t="str">
        <x:v>Alta</x:v>
      </x:c>
      <x:c r="K629" s="84" t="str">
        <x:v>Planejada</x:v>
      </x:c>
      <x:c r="L629" s="84" t="str">
        <x:v>Desalinhamento</x:v>
      </x:c>
      <x:c r="M629" s="84"/>
      <x:c r="N629" s="84"/>
      <x:c r="O629" s="84" t="n">
        <x:v>0</x:v>
      </x:c>
      <x:c r="P629" s="93" t="n">
        <x:v>0</x:v>
      </x:c>
      <x:c r="Q629" s="93" t="n">
        <x:v>0</x:v>
      </x:c>
      <x:c r="R629" s="91" t="n">
        <x:v>0</x:v>
      </x:c>
    </x:row>
    <x:row r="630">
      <x:c r="A630" s="83" t="n">
        <x:v>629</x:v>
      </x:c>
      <x:c r="B630" s="84" t="str">
        <x:v>OS-2023-00629</x:v>
      </x:c>
      <x:c r="C630" s="84" t="n">
        <x:v>90</x:v>
      </x:c>
      <x:c r="D630" s="84" t="n">
        <x:v>4</x:v>
      </x:c>
      <x:c r="E630" s="84"/>
      <x:c r="F630" s="89" t="n">
        <x:v>44934.68917824074</x:v>
      </x:c>
      <x:c r="G630" s="89" t="n">
        <x:v>44936.68917824074</x:v>
      </x:c>
      <x:c r="H630" s="89" t="n">
        <x:v>44937.397511574076</x:v>
      </x:c>
      <x:c r="I630" s="89"/>
      <x:c r="J630" s="84" t="str">
        <x:v>Crítica</x:v>
      </x:c>
      <x:c r="K630" s="84" t="str">
        <x:v>Aguardando peça</x:v>
      </x:c>
      <x:c r="L630" s="84" t="str">
        <x:v>Ruído anormal</x:v>
      </x:c>
      <x:c r="M630" s="84" t="str">
        <x:v>Conexão frouxa</x:v>
      </x:c>
      <x:c r="N630" s="84"/>
      <x:c r="O630" s="84" t="n">
        <x:v>0</x:v>
      </x:c>
      <x:c r="P630" s="93" t="n">
        <x:v>473.91</x:v>
      </x:c>
      <x:c r="Q630" s="93" t="n">
        <x:v>5737.35</x:v>
      </x:c>
      <x:c r="R630" s="91" t="n">
        <x:v>0</x:v>
      </x:c>
    </x:row>
    <x:row r="631">
      <x:c r="A631" s="83" t="n">
        <x:v>630</x:v>
      </x:c>
      <x:c r="B631" s="84" t="str">
        <x:v>OS-2023-00630</x:v>
      </x:c>
      <x:c r="C631" s="84" t="n">
        <x:v>86</x:v>
      </x:c>
      <x:c r="D631" s="84" t="n">
        <x:v>1</x:v>
      </x:c>
      <x:c r="E631" s="84" t="n">
        <x:v>171</x:v>
      </x:c>
      <x:c r="F631" s="89" t="n">
        <x:v>45243.37900462963</x:v>
      </x:c>
      <x:c r="G631" s="89" t="n">
        <x:v>45258.37900462963</x:v>
      </x:c>
      <x:c r="H631" s="89" t="n">
        <x:v>45243.50400462963</x:v>
      </x:c>
      <x:c r="I631" s="89" t="n">
        <x:v>45244.1706712963</x:v>
      </x:c>
      <x:c r="J631" s="84" t="str">
        <x:v>Alta</x:v>
      </x:c>
      <x:c r="K631" s="84" t="str">
        <x:v>Encerrada</x:v>
      </x:c>
      <x:c r="L631" s="84" t="str">
        <x:v>Falha elétrica</x:v>
      </x:c>
      <x:c r="M631" s="84" t="str">
        <x:v>Componente danificado</x:v>
      </x:c>
      <x:c r="N631" s="84" t="str">
        <x:v>Componente ajustado ou substituído</x:v>
      </x:c>
      <x:c r="O631" s="84" t="n">
        <x:v>0</x:v>
      </x:c>
      <x:c r="P631" s="93" t="n">
        <x:v>210.39</x:v>
      </x:c>
      <x:c r="Q631" s="93" t="n">
        <x:v>366.8</x:v>
      </x:c>
      <x:c r="R631" s="91" t="n">
        <x:v>0</x:v>
      </x:c>
    </x:row>
    <x:row r="632">
      <x:c r="A632" s="83" t="n">
        <x:v>631</x:v>
      </x:c>
      <x:c r="B632" s="84" t="str">
        <x:v>OS-2024-00631</x:v>
      </x:c>
      <x:c r="C632" s="84" t="n">
        <x:v>45</x:v>
      </x:c>
      <x:c r="D632" s="84" t="n">
        <x:v>7</x:v>
      </x:c>
      <x:c r="E632" s="84" t="n">
        <x:v>90</x:v>
      </x:c>
      <x:c r="F632" s="89" t="n">
        <x:v>45440.33520833333</x:v>
      </x:c>
      <x:c r="G632" s="89" t="n">
        <x:v>45444.33520833333</x:v>
      </x:c>
      <x:c r="H632" s="89" t="n">
        <x:v>45440.543541666666</x:v>
      </x:c>
      <x:c r="I632" s="89" t="n">
        <x:v>45440.918541666666</x:v>
      </x:c>
      <x:c r="J632" s="84" t="str">
        <x:v>Alta</x:v>
      </x:c>
      <x:c r="K632" s="84" t="str">
        <x:v>Concluída</x:v>
      </x:c>
      <x:c r="L632" s="84" t="str">
        <x:v>Superaquecimento</x:v>
      </x:c>
      <x:c r="M632" s="84" t="str">
        <x:v>Ajuste incorreto</x:v>
      </x:c>
      <x:c r="N632" s="84" t="str">
        <x:v>Componente ajustado ou substituído</x:v>
      </x:c>
      <x:c r="O632" s="84" t="n">
        <x:v>0</x:v>
      </x:c>
      <x:c r="P632" s="93" t="n">
        <x:v>292.07</x:v>
      </x:c>
      <x:c r="Q632" s="93" t="n">
        <x:v>11289.14</x:v>
      </x:c>
      <x:c r="R632" s="91" t="n">
        <x:v>0</x:v>
      </x:c>
    </x:row>
    <x:row r="633">
      <x:c r="A633" s="83" t="n">
        <x:v>632</x:v>
      </x:c>
      <x:c r="B633" s="84" t="str">
        <x:v>OS-2023-00632</x:v>
      </x:c>
      <x:c r="C633" s="84" t="n">
        <x:v>46</x:v>
      </x:c>
      <x:c r="D633" s="84" t="n">
        <x:v>3</x:v>
      </x:c>
      <x:c r="E633" s="84"/>
      <x:c r="F633" s="89" t="n">
        <x:v>45265.58604166667</x:v>
      </x:c>
      <x:c r="G633" s="89"/>
      <x:c r="H633" s="89"/>
      <x:c r="I633" s="89"/>
      <x:c r="J633" s="84" t="str">
        <x:v>Baixa</x:v>
      </x:c>
      <x:c r="K633" s="84" t="str">
        <x:v>Planejada</x:v>
      </x:c>
      <x:c r="L633" s="84" t="str">
        <x:v>Superaquecimento</x:v>
      </x:c>
      <x:c r="M633" s="84"/>
      <x:c r="N633" s="84"/>
      <x:c r="O633" s="84" t="n">
        <x:v>0</x:v>
      </x:c>
      <x:c r="P633" s="93" t="n">
        <x:v>0</x:v>
      </x:c>
      <x:c r="Q633" s="93" t="n">
        <x:v>0</x:v>
      </x:c>
      <x:c r="R633" s="91" t="n">
        <x:v>0</x:v>
      </x:c>
    </x:row>
    <x:row r="634">
      <x:c r="A634" s="83" t="n">
        <x:v>633</x:v>
      </x:c>
      <x:c r="B634" s="84" t="str">
        <x:v>OS-2023-00633</x:v>
      </x:c>
      <x:c r="C634" s="84" t="n">
        <x:v>7</x:v>
      </x:c>
      <x:c r="D634" s="84" t="n">
        <x:v>1</x:v>
      </x:c>
      <x:c r="E634" s="84" t="n">
        <x:v>13</x:v>
      </x:c>
      <x:c r="F634" s="89" t="n">
        <x:v>45063.556539351855</x:v>
      </x:c>
      <x:c r="G634" s="89" t="n">
        <x:v>45077.556539351855</x:v>
      </x:c>
      <x:c r="H634" s="89" t="n">
        <x:v>45066.431539351855</x:v>
      </x:c>
      <x:c r="I634" s="89"/>
      <x:c r="J634" s="84" t="str">
        <x:v>Alta</x:v>
      </x:c>
      <x:c r="K634" s="84" t="str">
        <x:v>Aguardando peça</x:v>
      </x:c>
      <x:c r="L634" s="84" t="str">
        <x:v>Superaquecimento</x:v>
      </x:c>
      <x:c r="M634" s="84" t="str">
        <x:v>Componente danificado</x:v>
      </x:c>
      <x:c r="N634" s="84"/>
      <x:c r="O634" s="84" t="n">
        <x:v>0</x:v>
      </x:c>
      <x:c r="P634" s="93" t="n">
        <x:v>373.21</x:v>
      </x:c>
      <x:c r="Q634" s="93" t="n">
        <x:v>0</x:v>
      </x:c>
      <x:c r="R634" s="91" t="n">
        <x:v>0</x:v>
      </x:c>
    </x:row>
    <x:row r="635">
      <x:c r="A635" s="83" t="n">
        <x:v>634</x:v>
      </x:c>
      <x:c r="B635" s="84" t="str">
        <x:v>OS-2025-00634</x:v>
      </x:c>
      <x:c r="C635" s="84" t="n">
        <x:v>50</x:v>
      </x:c>
      <x:c r="D635" s="84" t="n">
        <x:v>2</x:v>
      </x:c>
      <x:c r="E635" s="84"/>
      <x:c r="F635" s="89" t="n">
        <x:v>45877.38434027778</x:v>
      </x:c>
      <x:c r="G635" s="89" t="n">
        <x:v>45889.38434027778</x:v>
      </x:c>
      <x:c r="H635" s="89" t="n">
        <x:v>45877.92600694444</x:v>
      </x:c>
      <x:c r="I635" s="89" t="n">
        <x:v>45878.63434027778</x:v>
      </x:c>
      <x:c r="J635" s="84" t="str">
        <x:v>Alta</x:v>
      </x:c>
      <x:c r="K635" s="84" t="str">
        <x:v>Concluída</x:v>
      </x:c>
      <x:c r="L635" s="84" t="str">
        <x:v>Alarme intermitente</x:v>
      </x:c>
      <x:c r="M635" s="84" t="str">
        <x:v>Conexão frouxa</x:v>
      </x:c>
      <x:c r="N635" s="84" t="str">
        <x:v>Componente ajustado ou substituído</x:v>
      </x:c>
      <x:c r="O635" s="84" t="n">
        <x:v>0</x:v>
      </x:c>
      <x:c r="P635" s="93" t="n">
        <x:v>353.24</x:v>
      </x:c>
      <x:c r="Q635" s="93" t="n">
        <x:v>11978.42</x:v>
      </x:c>
      <x:c r="R635" s="91" t="n">
        <x:v>0</x:v>
      </x:c>
    </x:row>
    <x:row r="636">
      <x:c r="A636" s="83" t="n">
        <x:v>635</x:v>
      </x:c>
      <x:c r="B636" s="84" t="str">
        <x:v>OS-2024-00635</x:v>
      </x:c>
      <x:c r="C636" s="84" t="n">
        <x:v>27</x:v>
      </x:c>
      <x:c r="D636" s="84" t="n">
        <x:v>1</x:v>
      </x:c>
      <x:c r="E636" s="84" t="n">
        <x:v>54</x:v>
      </x:c>
      <x:c r="F636" s="89" t="n">
        <x:v>45580.20143518518</x:v>
      </x:c>
      <x:c r="G636" s="89" t="n">
        <x:v>45593.20143518518</x:v>
      </x:c>
      <x:c r="H636" s="89"/>
      <x:c r="I636" s="89"/>
      <x:c r="J636" s="84" t="str">
        <x:v>Baixa</x:v>
      </x:c>
      <x:c r="K636" s="84" t="str">
        <x:v>Planejada</x:v>
      </x:c>
      <x:c r="L636" s="84" t="str">
        <x:v>Alarme intermitente</x:v>
      </x:c>
      <x:c r="M636" s="84"/>
      <x:c r="N636" s="84"/>
      <x:c r="O636" s="84" t="n">
        <x:v>0</x:v>
      </x:c>
      <x:c r="P636" s="93" t="n">
        <x:v>0</x:v>
      </x:c>
      <x:c r="Q636" s="93" t="n">
        <x:v>0</x:v>
      </x:c>
      <x:c r="R636" s="91" t="n">
        <x:v>0</x:v>
      </x:c>
    </x:row>
    <x:row r="637">
      <x:c r="A637" s="83" t="n">
        <x:v>636</x:v>
      </x:c>
      <x:c r="B637" s="84" t="str">
        <x:v>OS-2024-00636</x:v>
      </x:c>
      <x:c r="C637" s="84" t="n">
        <x:v>34</x:v>
      </x:c>
      <x:c r="D637" s="84" t="n">
        <x:v>2</x:v>
      </x:c>
      <x:c r="E637" s="84"/>
      <x:c r="F637" s="89" t="n">
        <x:v>45625.12788194444</x:v>
      </x:c>
      <x:c r="G637" s="89" t="n">
        <x:v>45627.12788194444</x:v>
      </x:c>
      <x:c r="H637" s="89" t="n">
        <x:v>45625.91954861111</x:v>
      </x:c>
      <x:c r="I637" s="89" t="n">
        <x:v>45626.58621527778</x:v>
      </x:c>
      <x:c r="J637" s="84" t="str">
        <x:v>Baixa</x:v>
      </x:c>
      <x:c r="K637" s="84" t="str">
        <x:v>Encerrada</x:v>
      </x:c>
      <x:c r="L637" s="84" t="str">
        <x:v>Superaquecimento</x:v>
      </x:c>
      <x:c r="M637" s="84" t="str">
        <x:v>Ajuste incorreto</x:v>
      </x:c>
      <x:c r="N637" s="84" t="str">
        <x:v>Componente ajustado ou substituído</x:v>
      </x:c>
      <x:c r="O637" s="84" t="n">
        <x:v>0</x:v>
      </x:c>
      <x:c r="P637" s="93" t="n">
        <x:v>494.1</x:v>
      </x:c>
      <x:c r="Q637" s="93" t="n">
        <x:v>10765.14</x:v>
      </x:c>
      <x:c r="R637" s="91" t="n">
        <x:v>0</x:v>
      </x:c>
    </x:row>
    <x:row r="638">
      <x:c r="A638" s="83" t="n">
        <x:v>637</x:v>
      </x:c>
      <x:c r="B638" s="84" t="str">
        <x:v>OS-2024-00637</x:v>
      </x:c>
      <x:c r="C638" s="84" t="n">
        <x:v>88</x:v>
      </x:c>
      <x:c r="D638" s="84" t="n">
        <x:v>3</x:v>
      </x:c>
      <x:c r="E638" s="84"/>
      <x:c r="F638" s="89" t="n">
        <x:v>45640.23894675926</x:v>
      </x:c>
      <x:c r="G638" s="89"/>
      <x:c r="H638" s="89" t="n">
        <x:v>45641.197280092594</x:v>
      </x:c>
      <x:c r="I638" s="89" t="n">
        <x:v>45641.90561342592</x:v>
      </x:c>
      <x:c r="J638" s="84" t="str">
        <x:v>Média</x:v>
      </x:c>
      <x:c r="K638" s="84" t="str">
        <x:v>Concluída</x:v>
      </x:c>
      <x:c r="L638" s="84" t="str">
        <x:v>Alarme intermitente</x:v>
      </x:c>
      <x:c r="M638" s="84" t="str">
        <x:v>Componente danificado</x:v>
      </x:c>
      <x:c r="N638" s="84" t="str">
        <x:v>Componente ajustado ou substituído</x:v>
      </x:c>
      <x:c r="O638" s="84" t="n">
        <x:v>0</x:v>
      </x:c>
      <x:c r="P638" s="93" t="n">
        <x:v>196.72</x:v>
      </x:c>
      <x:c r="Q638" s="93" t="n">
        <x:v>456.17</x:v>
      </x:c>
      <x:c r="R638" s="91" t="n">
        <x:v>0</x:v>
      </x:c>
    </x:row>
    <x:row r="639">
      <x:c r="A639" s="83" t="n">
        <x:v>638</x:v>
      </x:c>
      <x:c r="B639" s="84" t="str">
        <x:v>OS-2023-00638</x:v>
      </x:c>
      <x:c r="C639" s="84" t="n">
        <x:v>5</x:v>
      </x:c>
      <x:c r="D639" s="84" t="n">
        <x:v>2</x:v>
      </x:c>
      <x:c r="E639" s="84"/>
      <x:c r="F639" s="89" t="n">
        <x:v>45095.35034722222</x:v>
      </x:c>
      <x:c r="G639" s="89" t="n">
        <x:v>45102.35034722222</x:v>
      </x:c>
      <x:c r="H639" s="89" t="n">
        <x:v>45095.68368055556</x:v>
      </x:c>
      <x:c r="I639" s="89" t="n">
        <x:v>45096.47534722222</x:v>
      </x:c>
      <x:c r="J639" s="84" t="str">
        <x:v>Alta</x:v>
      </x:c>
      <x:c r="K639" s="84" t="str">
        <x:v>Encerrada</x:v>
      </x:c>
      <x:c r="L639" s="84" t="str">
        <x:v>Falha elétrica</x:v>
      </x:c>
      <x:c r="M639" s="84" t="str">
        <x:v>Ajuste incorreto</x:v>
      </x:c>
      <x:c r="N639" s="84" t="str">
        <x:v>Componente ajustado ou substituído</x:v>
      </x:c>
      <x:c r="O639" s="84" t="n">
        <x:v>0</x:v>
      </x:c>
      <x:c r="P639" s="93" t="n">
        <x:v>329.24</x:v>
      </x:c>
      <x:c r="Q639" s="93" t="n">
        <x:v>0</x:v>
      </x:c>
      <x:c r="R639" s="91" t="n">
        <x:v>0</x:v>
      </x:c>
    </x:row>
    <x:row r="640">
      <x:c r="A640" s="83" t="n">
        <x:v>639</x:v>
      </x:c>
      <x:c r="B640" s="84" t="str">
        <x:v>OS-2024-00639</x:v>
      </x:c>
      <x:c r="C640" s="84" t="n">
        <x:v>12</x:v>
      </x:c>
      <x:c r="D640" s="84" t="n">
        <x:v>1</x:v>
      </x:c>
      <x:c r="E640" s="84" t="n">
        <x:v>23</x:v>
      </x:c>
      <x:c r="F640" s="89" t="n">
        <x:v>45436.751967592594</x:v>
      </x:c>
      <x:c r="G640" s="89" t="n">
        <x:v>45439.751967592594</x:v>
      </x:c>
      <x:c r="H640" s="89" t="n">
        <x:v>45439.58530092592</x:v>
      </x:c>
      <x:c r="I640" s="89" t="n">
        <x:v>45439.751967592594</x:v>
      </x:c>
      <x:c r="J640" s="84" t="str">
        <x:v>Média</x:v>
      </x:c>
      <x:c r="K640" s="84" t="str">
        <x:v>Encerrada</x:v>
      </x:c>
      <x:c r="L640" s="84" t="str">
        <x:v>Baixa pressão</x:v>
      </x:c>
      <x:c r="M640" s="84" t="str">
        <x:v>Componente danificado</x:v>
      </x:c>
      <x:c r="N640" s="84" t="str">
        <x:v>Componente ajustado ou substituído</x:v>
      </x:c>
      <x:c r="O640" s="84" t="n">
        <x:v>0</x:v>
      </x:c>
      <x:c r="P640" s="93" t="n">
        <x:v>90.53</x:v>
      </x:c>
      <x:c r="Q640" s="93" t="n">
        <x:v>0</x:v>
      </x:c>
      <x:c r="R640" s="91" t="n">
        <x:v>0</x:v>
      </x:c>
    </x:row>
    <x:row r="641">
      <x:c r="A641" s="83" t="n">
        <x:v>640</x:v>
      </x:c>
      <x:c r="B641" s="84" t="str">
        <x:v>OS-2023-00640</x:v>
      </x:c>
      <x:c r="C641" s="84" t="n">
        <x:v>61</x:v>
      </x:c>
      <x:c r="D641" s="84" t="n">
        <x:v>1</x:v>
      </x:c>
      <x:c r="E641" s="84" t="n">
        <x:v>121</x:v>
      </x:c>
      <x:c r="F641" s="89" t="n">
        <x:v>45286.077569444446</x:v>
      </x:c>
      <x:c r="G641" s="89" t="n">
        <x:v>45290.077569444446</x:v>
      </x:c>
      <x:c r="H641" s="89" t="n">
        <x:v>45287.53590277778</x:v>
      </x:c>
      <x:c r="I641" s="89" t="n">
        <x:v>45287.66090277778</x:v>
      </x:c>
      <x:c r="J641" s="84" t="str">
        <x:v>Média</x:v>
      </x:c>
      <x:c r="K641" s="84" t="str">
        <x:v>Encerrada</x:v>
      </x:c>
      <x:c r="L641" s="84" t="str">
        <x:v>Desalinhamento</x:v>
      </x:c>
      <x:c r="M641" s="84" t="str">
        <x:v>Ajuste incorreto</x:v>
      </x:c>
      <x:c r="N641" s="84" t="str">
        <x:v>Componente ajustado ou substituído</x:v>
      </x:c>
      <x:c r="O641" s="84" t="n">
        <x:v>0</x:v>
      </x:c>
      <x:c r="P641" s="93" t="n">
        <x:v>473.96</x:v>
      </x:c>
      <x:c r="Q641" s="93" t="n">
        <x:v>5014.56</x:v>
      </x:c>
      <x:c r="R641" s="91" t="n">
        <x:v>11319.41</x:v>
      </x:c>
    </x:row>
    <x:row r="642">
      <x:c r="A642" s="83" t="n">
        <x:v>641</x:v>
      </x:c>
      <x:c r="B642" s="84" t="str">
        <x:v>OS-2023-00641</x:v>
      </x:c>
      <x:c r="C642" s="84" t="n">
        <x:v>37</x:v>
      </x:c>
      <x:c r="D642" s="84" t="n">
        <x:v>1</x:v>
      </x:c>
      <x:c r="E642" s="84" t="n">
        <x:v>73</x:v>
      </x:c>
      <x:c r="F642" s="89" t="n">
        <x:v>45046.08070601852</x:v>
      </x:c>
      <x:c r="G642" s="89" t="n">
        <x:v>45054.08070601852</x:v>
      </x:c>
      <x:c r="H642" s="89" t="n">
        <x:v>45046.664039351854</x:v>
      </x:c>
      <x:c r="I642" s="89" t="n">
        <x:v>45046.83070601852</x:v>
      </x:c>
      <x:c r="J642" s="84" t="str">
        <x:v>Crítica</x:v>
      </x:c>
      <x:c r="K642" s="84" t="str">
        <x:v>Encerrada</x:v>
      </x:c>
      <x:c r="L642" s="84" t="str">
        <x:v>Superaquecimento</x:v>
      </x:c>
      <x:c r="M642" s="84" t="str">
        <x:v>Ajuste incorreto</x:v>
      </x:c>
      <x:c r="N642" s="84" t="str">
        <x:v>Componente ajustado ou substituído</x:v>
      </x:c>
      <x:c r="O642" s="84" t="n">
        <x:v>0</x:v>
      </x:c>
      <x:c r="P642" s="93" t="n">
        <x:v>482.44</x:v>
      </x:c>
      <x:c r="Q642" s="93" t="n">
        <x:v>3571.41</x:v>
      </x:c>
      <x:c r="R642" s="91" t="n">
        <x:v>0</x:v>
      </x:c>
    </x:row>
    <x:row r="643">
      <x:c r="A643" s="83" t="n">
        <x:v>642</x:v>
      </x:c>
      <x:c r="B643" s="84" t="str">
        <x:v>OS-2025-00642</x:v>
      </x:c>
      <x:c r="C643" s="84" t="n">
        <x:v>49</x:v>
      </x:c>
      <x:c r="D643" s="84" t="n">
        <x:v>7</x:v>
      </x:c>
      <x:c r="E643" s="84" t="n">
        <x:v>98</x:v>
      </x:c>
      <x:c r="F643" s="89" t="n">
        <x:v>46009.2103125</x:v>
      </x:c>
      <x:c r="G643" s="89" t="n">
        <x:v>46012.2103125</x:v>
      </x:c>
      <x:c r="H643" s="89" t="n">
        <x:v>46011.501979166664</x:v>
      </x:c>
      <x:c r="I643" s="89" t="n">
        <x:v>46012.126979166664</x:v>
      </x:c>
      <x:c r="J643" s="84" t="str">
        <x:v>Média</x:v>
      </x:c>
      <x:c r="K643" s="84" t="str">
        <x:v>Encerrada</x:v>
      </x:c>
      <x:c r="L643" s="84" t="str">
        <x:v>Vazamento</x:v>
      </x:c>
      <x:c r="M643" s="84" t="str">
        <x:v>Contaminação</x:v>
      </x:c>
      <x:c r="N643" s="84" t="str">
        <x:v>Componente ajustado ou substituído</x:v>
      </x:c>
      <x:c r="O643" s="84" t="n">
        <x:v>0</x:v>
      </x:c>
      <x:c r="P643" s="93" t="n">
        <x:v>524.36</x:v>
      </x:c>
      <x:c r="Q643" s="93" t="n">
        <x:v>13282.55</x:v>
      </x:c>
      <x:c r="R643" s="91" t="n">
        <x:v>0</x:v>
      </x:c>
    </x:row>
    <x:row r="644">
      <x:c r="A644" s="83" t="n">
        <x:v>643</x:v>
      </x:c>
      <x:c r="B644" s="84" t="str">
        <x:v>OS-2024-00643</x:v>
      </x:c>
      <x:c r="C644" s="84" t="n">
        <x:v>20</x:v>
      </x:c>
      <x:c r="D644" s="84" t="n">
        <x:v>2</x:v>
      </x:c>
      <x:c r="E644" s="84"/>
      <x:c r="F644" s="89" t="n">
        <x:v>45573.44359953704</x:v>
      </x:c>
      <x:c r="G644" s="89" t="n">
        <x:v>45586.44359953704</x:v>
      </x:c>
      <x:c r="H644" s="89" t="n">
        <x:v>45575.2352662037</x:v>
      </x:c>
      <x:c r="I644" s="89" t="n">
        <x:v>45575.56859953704</x:v>
      </x:c>
      <x:c r="J644" s="84" t="str">
        <x:v>Crítica</x:v>
      </x:c>
      <x:c r="K644" s="84" t="str">
        <x:v>Encerrada</x:v>
      </x:c>
      <x:c r="L644" s="84" t="str">
        <x:v>Baixa pressão</x:v>
      </x:c>
      <x:c r="M644" s="84" t="str">
        <x:v>Ajuste incorreto</x:v>
      </x:c>
      <x:c r="N644" s="84" t="str">
        <x:v>Componente ajustado ou substituído</x:v>
      </x:c>
      <x:c r="O644" s="84" t="n">
        <x:v>0</x:v>
      </x:c>
      <x:c r="P644" s="93" t="n">
        <x:v>86.96</x:v>
      </x:c>
      <x:c r="Q644" s="93" t="n">
        <x:v>6384.26</x:v>
      </x:c>
      <x:c r="R644" s="91" t="n">
        <x:v>0</x:v>
      </x:c>
    </x:row>
    <x:row r="645">
      <x:c r="A645" s="83" t="n">
        <x:v>644</x:v>
      </x:c>
      <x:c r="B645" s="84" t="str">
        <x:v>OS-2024-00644</x:v>
      </x:c>
      <x:c r="C645" s="84" t="n">
        <x:v>12</x:v>
      </x:c>
      <x:c r="D645" s="84" t="n">
        <x:v>7</x:v>
      </x:c>
      <x:c r="E645" s="84" t="n">
        <x:v>24</x:v>
      </x:c>
      <x:c r="F645" s="89" t="n">
        <x:v>45564.41572916666</x:v>
      </x:c>
      <x:c r="G645" s="89" t="n">
        <x:v>45568.41572916666</x:v>
      </x:c>
      <x:c r="H645" s="89" t="n">
        <x:v>45564.957395833335</x:v>
      </x:c>
      <x:c r="I645" s="89" t="n">
        <x:v>45565.2490625</x:v>
      </x:c>
      <x:c r="J645" s="84" t="str">
        <x:v>Crítica</x:v>
      </x:c>
      <x:c r="K645" s="84" t="str">
        <x:v>Concluída</x:v>
      </x:c>
      <x:c r="L645" s="84" t="str">
        <x:v>Ruído anormal</x:v>
      </x:c>
      <x:c r="M645" s="84" t="str">
        <x:v>Contaminação</x:v>
      </x:c>
      <x:c r="N645" s="84" t="str">
        <x:v>Componente ajustado ou substituído</x:v>
      </x:c>
      <x:c r="O645" s="84" t="n">
        <x:v>0</x:v>
      </x:c>
      <x:c r="P645" s="93" t="n">
        <x:v>633.44</x:v>
      </x:c>
      <x:c r="Q645" s="93" t="n">
        <x:v>5883.33</x:v>
      </x:c>
      <x:c r="R645" s="91" t="n">
        <x:v>0</x:v>
      </x:c>
    </x:row>
    <x:row r="646">
      <x:c r="A646" s="83" t="n">
        <x:v>645</x:v>
      </x:c>
      <x:c r="B646" s="84" t="str">
        <x:v>OS-2023-00645</x:v>
      </x:c>
      <x:c r="C646" s="84" t="n">
        <x:v>71</x:v>
      </x:c>
      <x:c r="D646" s="84" t="n">
        <x:v>1</x:v>
      </x:c>
      <x:c r="E646" s="84" t="n">
        <x:v>142</x:v>
      </x:c>
      <x:c r="F646" s="89" t="n">
        <x:v>45080.072858796295</x:v>
      </x:c>
      <x:c r="G646" s="89" t="n">
        <x:v>45083.072858796295</x:v>
      </x:c>
      <x:c r="H646" s="89" t="n">
        <x:v>45080.78119212963</x:v>
      </x:c>
      <x:c r="I646" s="89" t="n">
        <x:v>45081.28119212963</x:v>
      </x:c>
      <x:c r="J646" s="84" t="str">
        <x:v>Média</x:v>
      </x:c>
      <x:c r="K646" s="84" t="str">
        <x:v>Concluída</x:v>
      </x:c>
      <x:c r="L646" s="84" t="str">
        <x:v>Baixa pressão</x:v>
      </x:c>
      <x:c r="M646" s="84" t="str">
        <x:v>Conexão frouxa</x:v>
      </x:c>
      <x:c r="N646" s="84" t="str">
        <x:v>Componente ajustado ou substituído</x:v>
      </x:c>
      <x:c r="O646" s="84" t="n">
        <x:v>0</x:v>
      </x:c>
      <x:c r="P646" s="93" t="n">
        <x:v>158.1</x:v>
      </x:c>
      <x:c r="Q646" s="93" t="n">
        <x:v>263.44</x:v>
      </x:c>
      <x:c r="R646" s="91" t="n">
        <x:v>0</x:v>
      </x:c>
    </x:row>
    <x:row r="647">
      <x:c r="A647" s="83" t="n">
        <x:v>646</x:v>
      </x:c>
      <x:c r="B647" s="84" t="str">
        <x:v>OS-2024-00646</x:v>
      </x:c>
      <x:c r="C647" s="84" t="n">
        <x:v>75</x:v>
      </x:c>
      <x:c r="D647" s="84" t="n">
        <x:v>7</x:v>
      </x:c>
      <x:c r="E647" s="84" t="n">
        <x:v>150</x:v>
      </x:c>
      <x:c r="F647" s="89" t="n">
        <x:v>45318.38240740741</x:v>
      </x:c>
      <x:c r="G647" s="89" t="n">
        <x:v>45330.38240740741</x:v>
      </x:c>
      <x:c r="H647" s="89" t="n">
        <x:v>45320.71574074074</x:v>
      </x:c>
      <x:c r="I647" s="89" t="n">
        <x:v>45321.25740740741</x:v>
      </x:c>
      <x:c r="J647" s="84" t="str">
        <x:v>Baixa</x:v>
      </x:c>
      <x:c r="K647" s="84" t="str">
        <x:v>Encerrada</x:v>
      </x:c>
      <x:c r="L647" s="84" t="str">
        <x:v>Falha elétrica</x:v>
      </x:c>
      <x:c r="M647" s="84" t="str">
        <x:v>Conexão frouxa</x:v>
      </x:c>
      <x:c r="N647" s="84" t="str">
        <x:v>Componente ajustado ou substituído</x:v>
      </x:c>
      <x:c r="O647" s="84" t="n">
        <x:v>0</x:v>
      </x:c>
      <x:c r="P647" s="93" t="n">
        <x:v>335.82</x:v>
      </x:c>
      <x:c r="Q647" s="93" t="n">
        <x:v>1728.54</x:v>
      </x:c>
      <x:c r="R647" s="91" t="n">
        <x:v>0</x:v>
      </x:c>
    </x:row>
    <x:row r="648">
      <x:c r="A648" s="83" t="n">
        <x:v>647</x:v>
      </x:c>
      <x:c r="B648" s="84" t="str">
        <x:v>OS-2025-00647</x:v>
      </x:c>
      <x:c r="C648" s="84" t="n">
        <x:v>27</x:v>
      </x:c>
      <x:c r="D648" s="84" t="n">
        <x:v>2</x:v>
      </x:c>
      <x:c r="E648" s="84"/>
      <x:c r="F648" s="89" t="n">
        <x:v>45669.90484953704</x:v>
      </x:c>
      <x:c r="G648" s="89" t="n">
        <x:v>45679.90484953704</x:v>
      </x:c>
      <x:c r="H648" s="89"/>
      <x:c r="I648" s="89"/>
      <x:c r="J648" s="84" t="str">
        <x:v>Alta</x:v>
      </x:c>
      <x:c r="K648" s="84" t="str">
        <x:v>Planejada</x:v>
      </x:c>
      <x:c r="L648" s="84" t="str">
        <x:v>Falha elétrica</x:v>
      </x:c>
      <x:c r="M648" s="84"/>
      <x:c r="N648" s="84"/>
      <x:c r="O648" s="84" t="n">
        <x:v>0</x:v>
      </x:c>
      <x:c r="P648" s="93" t="n">
        <x:v>0</x:v>
      </x:c>
      <x:c r="Q648" s="93" t="n">
        <x:v>0</x:v>
      </x:c>
      <x:c r="R648" s="91" t="n">
        <x:v>0</x:v>
      </x:c>
    </x:row>
    <x:row r="649">
      <x:c r="A649" s="83" t="n">
        <x:v>648</x:v>
      </x:c>
      <x:c r="B649" s="84" t="str">
        <x:v>OS-2025-00648</x:v>
      </x:c>
      <x:c r="C649" s="84" t="n">
        <x:v>47</x:v>
      </x:c>
      <x:c r="D649" s="84" t="n">
        <x:v>1</x:v>
      </x:c>
      <x:c r="E649" s="84" t="n">
        <x:v>93</x:v>
      </x:c>
      <x:c r="F649" s="89" t="n">
        <x:v>45964.55202546297</x:v>
      </x:c>
      <x:c r="G649" s="89" t="n">
        <x:v>45975.55202546297</x:v>
      </x:c>
      <x:c r="H649" s="89"/>
      <x:c r="I649" s="89"/>
      <x:c r="J649" s="84" t="str">
        <x:v>Crítica</x:v>
      </x:c>
      <x:c r="K649" s="84" t="str">
        <x:v>Cancelada</x:v>
      </x:c>
      <x:c r="L649" s="84" t="str">
        <x:v>Falha elétrica</x:v>
      </x:c>
      <x:c r="M649" s="84"/>
      <x:c r="N649" s="84"/>
      <x:c r="O649" s="84" t="n">
        <x:v>0</x:v>
      </x:c>
      <x:c r="P649" s="93" t="n">
        <x:v>0</x:v>
      </x:c>
      <x:c r="Q649" s="93" t="n">
        <x:v>0</x:v>
      </x:c>
      <x:c r="R649" s="91" t="n">
        <x:v>0</x:v>
      </x:c>
    </x:row>
    <x:row r="650">
      <x:c r="A650" s="83" t="n">
        <x:v>649</x:v>
      </x:c>
      <x:c r="B650" s="84" t="str">
        <x:v>OS-2024-00649</x:v>
      </x:c>
      <x:c r="C650" s="84" t="n">
        <x:v>80</x:v>
      </x:c>
      <x:c r="D650" s="84" t="n">
        <x:v>1</x:v>
      </x:c>
      <x:c r="E650" s="84" t="n">
        <x:v>160</x:v>
      </x:c>
      <x:c r="F650" s="89" t="n">
        <x:v>45493.249444444446</x:v>
      </x:c>
      <x:c r="G650" s="89" t="n">
        <x:v>45494.249444444446</x:v>
      </x:c>
      <x:c r="H650" s="89" t="n">
        <x:v>45494.95777777778</x:v>
      </x:c>
      <x:c r="I650" s="89" t="n">
        <x:v>45495.33277777778</x:v>
      </x:c>
      <x:c r="J650" s="84" t="str">
        <x:v>Alta</x:v>
      </x:c>
      <x:c r="K650" s="84" t="str">
        <x:v>Encerrada</x:v>
      </x:c>
      <x:c r="L650" s="84" t="str">
        <x:v>Baixa pressão</x:v>
      </x:c>
      <x:c r="M650" s="84" t="str">
        <x:v>Conexão frouxa</x:v>
      </x:c>
      <x:c r="N650" s="84" t="str">
        <x:v>Componente ajustado ou substituído</x:v>
      </x:c>
      <x:c r="O650" s="84" t="n">
        <x:v>0</x:v>
      </x:c>
      <x:c r="P650" s="93" t="n">
        <x:v>358.06</x:v>
      </x:c>
      <x:c r="Q650" s="93" t="n">
        <x:v>9508.59</x:v>
      </x:c>
      <x:c r="R650" s="91" t="n">
        <x:v>0</x:v>
      </x:c>
    </x:row>
    <x:row r="651">
      <x:c r="A651" s="83" t="n">
        <x:v>650</x:v>
      </x:c>
      <x:c r="B651" s="84" t="str">
        <x:v>OS-2024-00650</x:v>
      </x:c>
      <x:c r="C651" s="84" t="n">
        <x:v>50</x:v>
      </x:c>
      <x:c r="D651" s="84" t="n">
        <x:v>2</x:v>
      </x:c>
      <x:c r="E651" s="84"/>
      <x:c r="F651" s="89" t="n">
        <x:v>45307.402407407404</x:v>
      </x:c>
      <x:c r="G651" s="89" t="n">
        <x:v>45314.402407407404</x:v>
      </x:c>
      <x:c r="H651" s="89" t="n">
        <x:v>45309.819074074076</x:v>
      </x:c>
      <x:c r="I651" s="89" t="n">
        <x:v>45310.527407407404</x:v>
      </x:c>
      <x:c r="J651" s="84" t="str">
        <x:v>Alta</x:v>
      </x:c>
      <x:c r="K651" s="84" t="str">
        <x:v>Encerrada</x:v>
      </x:c>
      <x:c r="L651" s="84" t="str">
        <x:v>Desalinhamento</x:v>
      </x:c>
      <x:c r="M651" s="84" t="str">
        <x:v>Conexão frouxa</x:v>
      </x:c>
      <x:c r="N651" s="84" t="str">
        <x:v>Componente ajustado ou substituído</x:v>
      </x:c>
      <x:c r="O651" s="84" t="n">
        <x:v>0</x:v>
      </x:c>
      <x:c r="P651" s="93" t="n">
        <x:v>266.11</x:v>
      </x:c>
      <x:c r="Q651" s="93" t="n">
        <x:v>16822.57</x:v>
      </x:c>
      <x:c r="R651" s="91" t="n">
        <x:v>0</x:v>
      </x:c>
    </x:row>
    <x:row r="652">
      <x:c r="A652" s="83" t="n">
        <x:v>651</x:v>
      </x:c>
      <x:c r="B652" s="84" t="str">
        <x:v>OS-2023-00651</x:v>
      </x:c>
      <x:c r="C652" s="84" t="n">
        <x:v>45</x:v>
      </x:c>
      <x:c r="D652" s="84" t="n">
        <x:v>7</x:v>
      </x:c>
      <x:c r="E652" s="84" t="n">
        <x:v>89</x:v>
      </x:c>
      <x:c r="F652" s="89" t="n">
        <x:v>45174.5709375</x:v>
      </x:c>
      <x:c r="G652" s="89" t="n">
        <x:v>45189.5709375</x:v>
      </x:c>
      <x:c r="H652" s="89" t="n">
        <x:v>45177.5709375</x:v>
      </x:c>
      <x:c r="I652" s="89" t="n">
        <x:v>45178.1959375</x:v>
      </x:c>
      <x:c r="J652" s="84" t="str">
        <x:v>Crítica</x:v>
      </x:c>
      <x:c r="K652" s="84" t="str">
        <x:v>Encerrada</x:v>
      </x:c>
      <x:c r="L652" s="84" t="str">
        <x:v>Ruído anormal</x:v>
      </x:c>
      <x:c r="M652" s="84" t="str">
        <x:v>Contaminação</x:v>
      </x:c>
      <x:c r="N652" s="84" t="str">
        <x:v>Componente ajustado ou substituído</x:v>
      </x:c>
      <x:c r="O652" s="84" t="n">
        <x:v>0</x:v>
      </x:c>
      <x:c r="P652" s="93" t="n">
        <x:v>428.44</x:v>
      </x:c>
      <x:c r="Q652" s="93" t="n">
        <x:v>13412.92</x:v>
      </x:c>
      <x:c r="R652" s="91" t="n">
        <x:v>0</x:v>
      </x:c>
    </x:row>
    <x:row r="653">
      <x:c r="A653" s="83" t="n">
        <x:v>652</x:v>
      </x:c>
      <x:c r="B653" s="84" t="str">
        <x:v>OS-2024-00652</x:v>
      </x:c>
      <x:c r="C653" s="84" t="n">
        <x:v>78</x:v>
      </x:c>
      <x:c r="D653" s="84" t="n">
        <x:v>2</x:v>
      </x:c>
      <x:c r="E653" s="84"/>
      <x:c r="F653" s="89" t="n">
        <x:v>45597.65574074074</x:v>
      </x:c>
      <x:c r="G653" s="89" t="n">
        <x:v>45599.65574074074</x:v>
      </x:c>
      <x:c r="H653" s="89"/>
      <x:c r="I653" s="89"/>
      <x:c r="J653" s="84" t="str">
        <x:v>Média</x:v>
      </x:c>
      <x:c r="K653" s="84" t="str">
        <x:v>Planejada</x:v>
      </x:c>
      <x:c r="L653" s="84" t="str">
        <x:v>Vazamento</x:v>
      </x:c>
      <x:c r="M653" s="84"/>
      <x:c r="N653" s="84"/>
      <x:c r="O653" s="84" t="n">
        <x:v>0</x:v>
      </x:c>
      <x:c r="P653" s="93" t="n">
        <x:v>0</x:v>
      </x:c>
      <x:c r="Q653" s="93" t="n">
        <x:v>0</x:v>
      </x:c>
      <x:c r="R653" s="91" t="n">
        <x:v>0</x:v>
      </x:c>
    </x:row>
    <x:row r="654">
      <x:c r="A654" s="83" t="n">
        <x:v>653</x:v>
      </x:c>
      <x:c r="B654" s="84" t="str">
        <x:v>OS-2024-00653</x:v>
      </x:c>
      <x:c r="C654" s="84" t="n">
        <x:v>43</x:v>
      </x:c>
      <x:c r="D654" s="84" t="n">
        <x:v>1</x:v>
      </x:c>
      <x:c r="E654" s="84" t="n">
        <x:v>86</x:v>
      </x:c>
      <x:c r="F654" s="89" t="n">
        <x:v>45496.48818287037</x:v>
      </x:c>
      <x:c r="G654" s="89" t="n">
        <x:v>45500.48818287037</x:v>
      </x:c>
      <x:c r="H654" s="89" t="n">
        <x:v>45498.0715162037</x:v>
      </x:c>
      <x:c r="I654" s="89" t="n">
        <x:v>45498.11318287037</x:v>
      </x:c>
      <x:c r="J654" s="84" t="str">
        <x:v>Baixa</x:v>
      </x:c>
      <x:c r="K654" s="84" t="str">
        <x:v>Encerrada</x:v>
      </x:c>
      <x:c r="L654" s="84" t="str">
        <x:v>Falha elétrica</x:v>
      </x:c>
      <x:c r="M654" s="84" t="str">
        <x:v>Conexão frouxa</x:v>
      </x:c>
      <x:c r="N654" s="84" t="str">
        <x:v>Componente ajustado ou substituído</x:v>
      </x:c>
      <x:c r="O654" s="84" t="n">
        <x:v>0</x:v>
      </x:c>
      <x:c r="P654" s="93" t="n">
        <x:v>166.01</x:v>
      </x:c>
      <x:c r="Q654" s="93" t="n">
        <x:v>3677.38</x:v>
      </x:c>
      <x:c r="R654" s="91" t="n">
        <x:v>0</x:v>
      </x:c>
    </x:row>
    <x:row r="655">
      <x:c r="A655" s="83" t="n">
        <x:v>654</x:v>
      </x:c>
      <x:c r="B655" s="84" t="str">
        <x:v>OS-2023-00654</x:v>
      </x:c>
      <x:c r="C655" s="84" t="n">
        <x:v>79</x:v>
      </x:c>
      <x:c r="D655" s="84" t="n">
        <x:v>7</x:v>
      </x:c>
      <x:c r="E655" s="84" t="n">
        <x:v>158</x:v>
      </x:c>
      <x:c r="F655" s="89" t="n">
        <x:v>44928.81961805555</x:v>
      </x:c>
      <x:c r="G655" s="89" t="n">
        <x:v>44935.81961805555</x:v>
      </x:c>
      <x:c r="H655" s="89" t="n">
        <x:v>44928.94461805555</x:v>
      </x:c>
      <x:c r="I655" s="89" t="n">
        <x:v>44929.31961805555</x:v>
      </x:c>
      <x:c r="J655" s="84" t="str">
        <x:v>Alta</x:v>
      </x:c>
      <x:c r="K655" s="84" t="str">
        <x:v>Encerrada</x:v>
      </x:c>
      <x:c r="L655" s="84" t="str">
        <x:v>Baixa pressão</x:v>
      </x:c>
      <x:c r="M655" s="84" t="str">
        <x:v>Desgaste natural</x:v>
      </x:c>
      <x:c r="N655" s="84" t="str">
        <x:v>Componente ajustado ou substituído</x:v>
      </x:c>
      <x:c r="O655" s="84" t="n">
        <x:v>0</x:v>
      </x:c>
      <x:c r="P655" s="93" t="n">
        <x:v>402.81</x:v>
      </x:c>
      <x:c r="Q655" s="93" t="n">
        <x:v>2169.63</x:v>
      </x:c>
      <x:c r="R655" s="91" t="n">
        <x:v>0</x:v>
      </x:c>
    </x:row>
    <x:row r="656">
      <x:c r="A656" s="83" t="n">
        <x:v>655</x:v>
      </x:c>
      <x:c r="B656" s="84" t="str">
        <x:v>OS-2025-00655</x:v>
      </x:c>
      <x:c r="C656" s="84" t="n">
        <x:v>66</x:v>
      </x:c>
      <x:c r="D656" s="84" t="n">
        <x:v>3</x:v>
      </x:c>
      <x:c r="E656" s="84"/>
      <x:c r="F656" s="89" t="n">
        <x:v>45759.79315972222</x:v>
      </x:c>
      <x:c r="G656" s="89"/>
      <x:c r="H656" s="89"/>
      <x:c r="I656" s="89"/>
      <x:c r="J656" s="84" t="str">
        <x:v>Crítica</x:v>
      </x:c>
      <x:c r="K656" s="84" t="str">
        <x:v>Planejada</x:v>
      </x:c>
      <x:c r="L656" s="84" t="str">
        <x:v>Vazamento</x:v>
      </x:c>
      <x:c r="M656" s="84"/>
      <x:c r="N656" s="84"/>
      <x:c r="O656" s="84" t="n">
        <x:v>0</x:v>
      </x:c>
      <x:c r="P656" s="93" t="n">
        <x:v>0</x:v>
      </x:c>
      <x:c r="Q656" s="93" t="n">
        <x:v>0</x:v>
      </x:c>
      <x:c r="R656" s="91" t="n">
        <x:v>0</x:v>
      </x:c>
    </x:row>
    <x:row r="657">
      <x:c r="A657" s="83" t="n">
        <x:v>656</x:v>
      </x:c>
      <x:c r="B657" s="84" t="str">
        <x:v>OS-2023-00656</x:v>
      </x:c>
      <x:c r="C657" s="84" t="n">
        <x:v>22</x:v>
      </x:c>
      <x:c r="D657" s="84" t="n">
        <x:v>1</x:v>
      </x:c>
      <x:c r="E657" s="84" t="n">
        <x:v>43</x:v>
      </x:c>
      <x:c r="F657" s="89" t="n">
        <x:v>45207.98583333333</x:v>
      </x:c>
      <x:c r="G657" s="89" t="n">
        <x:v>45209.98583333333</x:v>
      </x:c>
      <x:c r="H657" s="89" t="n">
        <x:v>45210.94416666667</x:v>
      </x:c>
      <x:c r="I657" s="89" t="n">
        <x:v>45211.2775</x:v>
      </x:c>
      <x:c r="J657" s="84" t="str">
        <x:v>Crítica</x:v>
      </x:c>
      <x:c r="K657" s="84" t="str">
        <x:v>Encerrada</x:v>
      </x:c>
      <x:c r="L657" s="84" t="str">
        <x:v>Ruído anormal</x:v>
      </x:c>
      <x:c r="M657" s="84" t="str">
        <x:v>Falta de lubrificação</x:v>
      </x:c>
      <x:c r="N657" s="84" t="str">
        <x:v>Componente ajustado ou substituído</x:v>
      </x:c>
      <x:c r="O657" s="84" t="n">
        <x:v>0</x:v>
      </x:c>
      <x:c r="P657" s="93" t="n">
        <x:v>205.15</x:v>
      </x:c>
      <x:c r="Q657" s="93" t="n">
        <x:v>9935.52</x:v>
      </x:c>
      <x:c r="R657" s="91" t="n">
        <x:v>0</x:v>
      </x:c>
    </x:row>
    <x:row r="658">
      <x:c r="A658" s="83" t="n">
        <x:v>657</x:v>
      </x:c>
      <x:c r="B658" s="84" t="str">
        <x:v>OS-2025-00657</x:v>
      </x:c>
      <x:c r="C658" s="84" t="n">
        <x:v>78</x:v>
      </x:c>
      <x:c r="D658" s="84" t="n">
        <x:v>5</x:v>
      </x:c>
      <x:c r="E658" s="84" t="n">
        <x:v>156</x:v>
      </x:c>
      <x:c r="F658" s="89" t="n">
        <x:v>45963.57032407408</x:v>
      </x:c>
      <x:c r="G658" s="89" t="n">
        <x:v>45970.57032407408</x:v>
      </x:c>
      <x:c r="H658" s="89" t="n">
        <x:v>45966.23699074074</x:v>
      </x:c>
      <x:c r="I658" s="89" t="n">
        <x:v>45967.07032407408</x:v>
      </x:c>
      <x:c r="J658" s="84" t="str">
        <x:v>Crítica</x:v>
      </x:c>
      <x:c r="K658" s="84" t="str">
        <x:v>Encerrada</x:v>
      </x:c>
      <x:c r="L658" s="84" t="str">
        <x:v>Vazamento</x:v>
      </x:c>
      <x:c r="M658" s="84" t="str">
        <x:v>Contaminação</x:v>
      </x:c>
      <x:c r="N658" s="84" t="str">
        <x:v>Componente ajustado ou substituído</x:v>
      </x:c>
      <x:c r="O658" s="84" t="n">
        <x:v>1</x:v>
      </x:c>
      <x:c r="P658" s="93" t="n">
        <x:v>94.28</x:v>
      </x:c>
      <x:c r="Q658" s="93" t="n">
        <x:v>2092.11</x:v>
      </x:c>
      <x:c r="R658" s="91" t="n">
        <x:v>0</x:v>
      </x:c>
    </x:row>
    <x:row r="659">
      <x:c r="A659" s="83" t="n">
        <x:v>658</x:v>
      </x:c>
      <x:c r="B659" s="84" t="str">
        <x:v>OS-2025-00658</x:v>
      </x:c>
      <x:c r="C659" s="84" t="n">
        <x:v>21</x:v>
      </x:c>
      <x:c r="D659" s="84" t="n">
        <x:v>9</x:v>
      </x:c>
      <x:c r="E659" s="84"/>
      <x:c r="F659" s="89" t="n">
        <x:v>45913.386099537034</x:v>
      </x:c>
      <x:c r="G659" s="89" t="n">
        <x:v>45916.386099537034</x:v>
      </x:c>
      <x:c r="H659" s="89"/>
      <x:c r="I659" s="89"/>
      <x:c r="J659" s="84" t="str">
        <x:v>Crítica</x:v>
      </x:c>
      <x:c r="K659" s="84" t="str">
        <x:v>Planejada</x:v>
      </x:c>
      <x:c r="L659" s="84" t="str">
        <x:v>Falha elétrica</x:v>
      </x:c>
      <x:c r="M659" s="84"/>
      <x:c r="N659" s="84"/>
      <x:c r="O659" s="84" t="n">
        <x:v>0</x:v>
      </x:c>
      <x:c r="P659" s="93" t="n">
        <x:v>0</x:v>
      </x:c>
      <x:c r="Q659" s="93" t="n">
        <x:v>0</x:v>
      </x:c>
      <x:c r="R659" s="91" t="n">
        <x:v>0</x:v>
      </x:c>
    </x:row>
    <x:row r="660">
      <x:c r="A660" s="83" t="n">
        <x:v>659</x:v>
      </x:c>
      <x:c r="B660" s="84" t="str">
        <x:v>OS-2024-00659</x:v>
      </x:c>
      <x:c r="C660" s="84" t="n">
        <x:v>39</x:v>
      </x:c>
      <x:c r="D660" s="84" t="n">
        <x:v>1</x:v>
      </x:c>
      <x:c r="E660" s="84" t="n">
        <x:v>77</x:v>
      </x:c>
      <x:c r="F660" s="89" t="n">
        <x:v>45369.52868055556</x:v>
      </x:c>
      <x:c r="G660" s="89" t="n">
        <x:v>45374.52868055556</x:v>
      </x:c>
      <x:c r="H660" s="89" t="n">
        <x:v>45372.36201388889</x:v>
      </x:c>
      <x:c r="I660" s="89" t="n">
        <x:v>45372.98701388889</x:v>
      </x:c>
      <x:c r="J660" s="84" t="str">
        <x:v>Crítica</x:v>
      </x:c>
      <x:c r="K660" s="84" t="str">
        <x:v>Encerrada</x:v>
      </x:c>
      <x:c r="L660" s="84" t="str">
        <x:v>Vazamento</x:v>
      </x:c>
      <x:c r="M660" s="84" t="str">
        <x:v>Desgaste natural</x:v>
      </x:c>
      <x:c r="N660" s="84" t="str">
        <x:v>Componente ajustado ou substituído</x:v>
      </x:c>
      <x:c r="O660" s="84" t="n">
        <x:v>0</x:v>
      </x:c>
      <x:c r="P660" s="93" t="n">
        <x:v>442.02</x:v>
      </x:c>
      <x:c r="Q660" s="93" t="n">
        <x:v>3754.44</x:v>
      </x:c>
      <x:c r="R660" s="91" t="n">
        <x:v>0</x:v>
      </x:c>
    </x:row>
    <x:row r="661">
      <x:c r="A661" s="83" t="n">
        <x:v>660</x:v>
      </x:c>
      <x:c r="B661" s="84" t="str">
        <x:v>OS-2024-00660</x:v>
      </x:c>
      <x:c r="C661" s="84" t="n">
        <x:v>26</x:v>
      </x:c>
      <x:c r="D661" s="84" t="n">
        <x:v>3</x:v>
      </x:c>
      <x:c r="E661" s="84"/>
      <x:c r="F661" s="89" t="n">
        <x:v>45380.58231481481</x:v>
      </x:c>
      <x:c r="G661" s="89"/>
      <x:c r="H661" s="89" t="n">
        <x:v>45382.49898148148</x:v>
      </x:c>
      <x:c r="I661" s="89" t="n">
        <x:v>45382.70731481481</x:v>
      </x:c>
      <x:c r="J661" s="84" t="str">
        <x:v>Alta</x:v>
      </x:c>
      <x:c r="K661" s="84" t="str">
        <x:v>Encerrada</x:v>
      </x:c>
      <x:c r="L661" s="84" t="str">
        <x:v>Baixa pressão</x:v>
      </x:c>
      <x:c r="M661" s="84" t="str">
        <x:v>Ajuste incorreto</x:v>
      </x:c>
      <x:c r="N661" s="84" t="str">
        <x:v>Componente ajustado ou substituído</x:v>
      </x:c>
      <x:c r="O661" s="84" t="n">
        <x:v>0</x:v>
      </x:c>
      <x:c r="P661" s="93" t="n">
        <x:v>280.67</x:v>
      </x:c>
      <x:c r="Q661" s="93" t="n">
        <x:v>0</x:v>
      </x:c>
      <x:c r="R661" s="91" t="n">
        <x:v>0</x:v>
      </x:c>
    </x:row>
    <x:row r="662">
      <x:c r="A662" s="83" t="n">
        <x:v>661</x:v>
      </x:c>
      <x:c r="B662" s="84" t="str">
        <x:v>OS-2023-00661</x:v>
      </x:c>
      <x:c r="C662" s="84" t="n">
        <x:v>19</x:v>
      </x:c>
      <x:c r="D662" s="84" t="n">
        <x:v>1</x:v>
      </x:c>
      <x:c r="E662" s="84" t="n">
        <x:v>37</x:v>
      </x:c>
      <x:c r="F662" s="89" t="n">
        <x:v>45257.93702546296</x:v>
      </x:c>
      <x:c r="G662" s="89" t="n">
        <x:v>45263.93702546296</x:v>
      </x:c>
      <x:c r="H662" s="89"/>
      <x:c r="I662" s="89"/>
      <x:c r="J662" s="84" t="str">
        <x:v>Média</x:v>
      </x:c>
      <x:c r="K662" s="84" t="str">
        <x:v>Planejada</x:v>
      </x:c>
      <x:c r="L662" s="84" t="str">
        <x:v>Desalinhamento</x:v>
      </x:c>
      <x:c r="M662" s="84"/>
      <x:c r="N662" s="84"/>
      <x:c r="O662" s="84" t="n">
        <x:v>0</x:v>
      </x:c>
      <x:c r="P662" s="93" t="n">
        <x:v>0</x:v>
      </x:c>
      <x:c r="Q662" s="93" t="n">
        <x:v>0</x:v>
      </x:c>
      <x:c r="R662" s="91" t="n">
        <x:v>0</x:v>
      </x:c>
    </x:row>
    <x:row r="663">
      <x:c r="A663" s="83" t="n">
        <x:v>662</x:v>
      </x:c>
      <x:c r="B663" s="84" t="str">
        <x:v>OS-2025-00662</x:v>
      </x:c>
      <x:c r="C663" s="84" t="n">
        <x:v>87</x:v>
      </x:c>
      <x:c r="D663" s="84" t="n">
        <x:v>3</x:v>
      </x:c>
      <x:c r="E663" s="84"/>
      <x:c r="F663" s="89" t="n">
        <x:v>45708.65189814815</x:v>
      </x:c>
      <x:c r="G663" s="89"/>
      <x:c r="H663" s="89" t="n">
        <x:v>45709.23523148148</x:v>
      </x:c>
      <x:c r="I663" s="89" t="n">
        <x:v>45709.943564814814</x:v>
      </x:c>
      <x:c r="J663" s="84" t="str">
        <x:v>Crítica</x:v>
      </x:c>
      <x:c r="K663" s="84" t="str">
        <x:v>Encerrada</x:v>
      </x:c>
      <x:c r="L663" s="84" t="str">
        <x:v>Alarme intermitente</x:v>
      </x:c>
      <x:c r="M663" s="84" t="str">
        <x:v>Ajuste incorreto</x:v>
      </x:c>
      <x:c r="N663" s="84" t="str">
        <x:v>Componente ajustado ou substituído</x:v>
      </x:c>
      <x:c r="O663" s="84" t="n">
        <x:v>0</x:v>
      </x:c>
      <x:c r="P663" s="93" t="n">
        <x:v>66.5</x:v>
      </x:c>
      <x:c r="Q663" s="93" t="n">
        <x:v>10729.47</x:v>
      </x:c>
      <x:c r="R663" s="91" t="n">
        <x:v>0</x:v>
      </x:c>
    </x:row>
    <x:row r="664">
      <x:c r="A664" s="83" t="n">
        <x:v>663</x:v>
      </x:c>
      <x:c r="B664" s="84" t="str">
        <x:v>OS-2024-00663</x:v>
      </x:c>
      <x:c r="C664" s="84" t="n">
        <x:v>19</x:v>
      </x:c>
      <x:c r="D664" s="84" t="n">
        <x:v>8</x:v>
      </x:c>
      <x:c r="E664" s="84"/>
      <x:c r="F664" s="89" t="n">
        <x:v>45363.97274305556</x:v>
      </x:c>
      <x:c r="G664" s="89" t="n">
        <x:v>45374.97274305556</x:v>
      </x:c>
      <x:c r="H664" s="89" t="n">
        <x:v>45364.806076388886</x:v>
      </x:c>
      <x:c r="I664" s="89" t="n">
        <x:v>45365.13940972222</x:v>
      </x:c>
      <x:c r="J664" s="84" t="str">
        <x:v>Crítica</x:v>
      </x:c>
      <x:c r="K664" s="84" t="str">
        <x:v>Encerrada</x:v>
      </x:c>
      <x:c r="L664" s="84" t="str">
        <x:v>Baixa pressão</x:v>
      </x:c>
      <x:c r="M664" s="84" t="str">
        <x:v>Componente danificado</x:v>
      </x:c>
      <x:c r="N664" s="84" t="str">
        <x:v>Componente ajustado ou substituído</x:v>
      </x:c>
      <x:c r="O664" s="84" t="n">
        <x:v>0</x:v>
      </x:c>
      <x:c r="P664" s="93" t="n">
        <x:v>339.79</x:v>
      </x:c>
      <x:c r="Q664" s="93" t="n">
        <x:v>0</x:v>
      </x:c>
      <x:c r="R664" s="91" t="n">
        <x:v>0</x:v>
      </x:c>
    </x:row>
    <x:row r="665">
      <x:c r="A665" s="83" t="n">
        <x:v>664</x:v>
      </x:c>
      <x:c r="B665" s="84" t="str">
        <x:v>OS-2024-00664</x:v>
      </x:c>
      <x:c r="C665" s="84" t="n">
        <x:v>78</x:v>
      </x:c>
      <x:c r="D665" s="84" t="n">
        <x:v>1</x:v>
      </x:c>
      <x:c r="E665" s="84" t="n">
        <x:v>156</x:v>
      </x:c>
      <x:c r="F665" s="89" t="n">
        <x:v>45441.673634259256</x:v>
      </x:c>
      <x:c r="G665" s="89" t="n">
        <x:v>45453.673634259256</x:v>
      </x:c>
      <x:c r="H665" s="89" t="n">
        <x:v>45443.048634259256</x:v>
      </x:c>
      <x:c r="I665" s="89" t="n">
        <x:v>45443.298634259256</x:v>
      </x:c>
      <x:c r="J665" s="84" t="str">
        <x:v>Alta</x:v>
      </x:c>
      <x:c r="K665" s="84" t="str">
        <x:v>Encerrada</x:v>
      </x:c>
      <x:c r="L665" s="84" t="str">
        <x:v>Alarme intermitente</x:v>
      </x:c>
      <x:c r="M665" s="84" t="str">
        <x:v>Falta de lubrificação</x:v>
      </x:c>
      <x:c r="N665" s="84" t="str">
        <x:v>Componente ajustado ou substituído</x:v>
      </x:c>
      <x:c r="O665" s="84" t="n">
        <x:v>0</x:v>
      </x:c>
      <x:c r="P665" s="93" t="n">
        <x:v>393.57</x:v>
      </x:c>
      <x:c r="Q665" s="93" t="n">
        <x:v>1784.32</x:v>
      </x:c>
      <x:c r="R665" s="91" t="n">
        <x:v>0</x:v>
      </x:c>
    </x:row>
    <x:row r="666">
      <x:c r="A666" s="83" t="n">
        <x:v>665</x:v>
      </x:c>
      <x:c r="B666" s="84" t="str">
        <x:v>OS-2023-00665</x:v>
      </x:c>
      <x:c r="C666" s="84" t="n">
        <x:v>62</x:v>
      </x:c>
      <x:c r="D666" s="84" t="n">
        <x:v>1</x:v>
      </x:c>
      <x:c r="E666" s="84" t="n">
        <x:v>124</x:v>
      </x:c>
      <x:c r="F666" s="89" t="n">
        <x:v>45199.4955787037</x:v>
      </x:c>
      <x:c r="G666" s="89" t="n">
        <x:v>45203.4955787037</x:v>
      </x:c>
      <x:c r="H666" s="89" t="n">
        <x:v>45200.45391203704</x:v>
      </x:c>
      <x:c r="I666" s="89" t="n">
        <x:v>45201.1205787037</x:v>
      </x:c>
      <x:c r="J666" s="84" t="str">
        <x:v>Baixa</x:v>
      </x:c>
      <x:c r="K666" s="84" t="str">
        <x:v>Encerrada</x:v>
      </x:c>
      <x:c r="L666" s="84" t="str">
        <x:v>Desalinhamento</x:v>
      </x:c>
      <x:c r="M666" s="84" t="str">
        <x:v>Ajuste incorreto</x:v>
      </x:c>
      <x:c r="N666" s="84" t="str">
        <x:v>Componente ajustado ou substituído</x:v>
      </x:c>
      <x:c r="O666" s="84" t="n">
        <x:v>0</x:v>
      </x:c>
      <x:c r="P666" s="93" t="n">
        <x:v>581.02</x:v>
      </x:c>
      <x:c r="Q666" s="93" t="n">
        <x:v>9586.37</x:v>
      </x:c>
      <x:c r="R666" s="91" t="n">
        <x:v>0</x:v>
      </x:c>
    </x:row>
    <x:row r="667">
      <x:c r="A667" s="83" t="n">
        <x:v>666</x:v>
      </x:c>
      <x:c r="B667" s="84" t="str">
        <x:v>OS-2024-00666</x:v>
      </x:c>
      <x:c r="C667" s="84" t="n">
        <x:v>78</x:v>
      </x:c>
      <x:c r="D667" s="84" t="n">
        <x:v>1</x:v>
      </x:c>
      <x:c r="E667" s="84" t="n">
        <x:v>155</x:v>
      </x:c>
      <x:c r="F667" s="89" t="n">
        <x:v>45644.909849537034</x:v>
      </x:c>
      <x:c r="G667" s="89" t="n">
        <x:v>45652.909849537034</x:v>
      </x:c>
      <x:c r="H667" s="89" t="n">
        <x:v>45647.451516203706</x:v>
      </x:c>
      <x:c r="I667" s="89" t="n">
        <x:v>45647.701516203706</x:v>
      </x:c>
      <x:c r="J667" s="84" t="str">
        <x:v>Alta</x:v>
      </x:c>
      <x:c r="K667" s="84" t="str">
        <x:v>Concluída</x:v>
      </x:c>
      <x:c r="L667" s="84" t="str">
        <x:v>Desalinhamento</x:v>
      </x:c>
      <x:c r="M667" s="84" t="str">
        <x:v>Ajuste incorreto</x:v>
      </x:c>
      <x:c r="N667" s="84" t="str">
        <x:v>Componente ajustado ou substituído</x:v>
      </x:c>
      <x:c r="O667" s="84" t="n">
        <x:v>0</x:v>
      </x:c>
      <x:c r="P667" s="93" t="n">
        <x:v>760.4</x:v>
      </x:c>
      <x:c r="Q667" s="93" t="n">
        <x:v>6374.06</x:v>
      </x:c>
      <x:c r="R667" s="91" t="n">
        <x:v>0</x:v>
      </x:c>
    </x:row>
    <x:row r="668">
      <x:c r="A668" s="83" t="n">
        <x:v>667</x:v>
      </x:c>
      <x:c r="B668" s="84" t="str">
        <x:v>OS-2025-00667</x:v>
      </x:c>
      <x:c r="C668" s="84" t="n">
        <x:v>18</x:v>
      </x:c>
      <x:c r="D668" s="84" t="n">
        <x:v>3</x:v>
      </x:c>
      <x:c r="E668" s="84"/>
      <x:c r="F668" s="89" t="n">
        <x:v>45762.49146990741</x:v>
      </x:c>
      <x:c r="G668" s="89"/>
      <x:c r="H668" s="89"/>
      <x:c r="I668" s="89"/>
      <x:c r="J668" s="84" t="str">
        <x:v>Crítica</x:v>
      </x:c>
      <x:c r="K668" s="84" t="str">
        <x:v>Planejada</x:v>
      </x:c>
      <x:c r="L668" s="84" t="str">
        <x:v>Superaquecimento</x:v>
      </x:c>
      <x:c r="M668" s="84"/>
      <x:c r="N668" s="84"/>
      <x:c r="O668" s="84" t="n">
        <x:v>0</x:v>
      </x:c>
      <x:c r="P668" s="93" t="n">
        <x:v>0</x:v>
      </x:c>
      <x:c r="Q668" s="93" t="n">
        <x:v>0</x:v>
      </x:c>
      <x:c r="R668" s="91" t="n">
        <x:v>0</x:v>
      </x:c>
    </x:row>
    <x:row r="669">
      <x:c r="A669" s="83" t="n">
        <x:v>668</x:v>
      </x:c>
      <x:c r="B669" s="84" t="str">
        <x:v>OS-2024-00668</x:v>
      </x:c>
      <x:c r="C669" s="84" t="n">
        <x:v>32</x:v>
      </x:c>
      <x:c r="D669" s="84" t="n">
        <x:v>3</x:v>
      </x:c>
      <x:c r="E669" s="84"/>
      <x:c r="F669" s="89" t="n">
        <x:v>45330.96501157407</x:v>
      </x:c>
      <x:c r="G669" s="89"/>
      <x:c r="H669" s="89" t="n">
        <x:v>45332.71501157407</x:v>
      </x:c>
      <x:c r="I669" s="89" t="n">
        <x:v>45332.79834490741</x:v>
      </x:c>
      <x:c r="J669" s="84" t="str">
        <x:v>Crítica</x:v>
      </x:c>
      <x:c r="K669" s="84" t="str">
        <x:v>Encerrada</x:v>
      </x:c>
      <x:c r="L669" s="84" t="str">
        <x:v>Baixa pressão</x:v>
      </x:c>
      <x:c r="M669" s="84" t="str">
        <x:v>Desgaste natural</x:v>
      </x:c>
      <x:c r="N669" s="84" t="str">
        <x:v>Componente ajustado ou substituído</x:v>
      </x:c>
      <x:c r="O669" s="84" t="n">
        <x:v>0</x:v>
      </x:c>
      <x:c r="P669" s="93" t="n">
        <x:v>471.32</x:v>
      </x:c>
      <x:c r="Q669" s="93" t="n">
        <x:v>3626.5</x:v>
      </x:c>
      <x:c r="R669" s="91" t="n">
        <x:v>0</x:v>
      </x:c>
    </x:row>
    <x:row r="670">
      <x:c r="A670" s="83" t="n">
        <x:v>669</x:v>
      </x:c>
      <x:c r="B670" s="84" t="str">
        <x:v>OS-2023-00669</x:v>
      </x:c>
      <x:c r="C670" s="84" t="n">
        <x:v>78</x:v>
      </x:c>
      <x:c r="D670" s="84" t="n">
        <x:v>2</x:v>
      </x:c>
      <x:c r="E670" s="84"/>
      <x:c r="F670" s="89" t="n">
        <x:v>45265.20586805556</x:v>
      </x:c>
      <x:c r="G670" s="89" t="n">
        <x:v>45270.20586805556</x:v>
      </x:c>
      <x:c r="H670" s="89" t="n">
        <x:v>45267.70586805556</x:v>
      </x:c>
      <x:c r="I670" s="89" t="n">
        <x:v>45267.99753472222</x:v>
      </x:c>
      <x:c r="J670" s="84" t="str">
        <x:v>Baixa</x:v>
      </x:c>
      <x:c r="K670" s="84" t="str">
        <x:v>Encerrada</x:v>
      </x:c>
      <x:c r="L670" s="84" t="str">
        <x:v>Vazamento</x:v>
      </x:c>
      <x:c r="M670" s="84" t="str">
        <x:v>Falta de lubrificação</x:v>
      </x:c>
      <x:c r="N670" s="84" t="str">
        <x:v>Componente ajustado ou substituído</x:v>
      </x:c>
      <x:c r="O670" s="84" t="n">
        <x:v>0</x:v>
      </x:c>
      <x:c r="P670" s="93" t="n">
        <x:v>801.26</x:v>
      </x:c>
      <x:c r="Q670" s="93" t="n">
        <x:v>12067.83</x:v>
      </x:c>
      <x:c r="R670" s="91" t="n">
        <x:v>0</x:v>
      </x:c>
    </x:row>
    <x:row r="671">
      <x:c r="A671" s="83" t="n">
        <x:v>670</x:v>
      </x:c>
      <x:c r="B671" s="84" t="str">
        <x:v>OS-2024-00670</x:v>
      </x:c>
      <x:c r="C671" s="84" t="n">
        <x:v>7</x:v>
      </x:c>
      <x:c r="D671" s="84" t="n">
        <x:v>5</x:v>
      </x:c>
      <x:c r="E671" s="84" t="n">
        <x:v>14</x:v>
      </x:c>
      <x:c r="F671" s="89" t="n">
        <x:v>45632.67118055555</x:v>
      </x:c>
      <x:c r="G671" s="89" t="n">
        <x:v>45643.67118055555</x:v>
      </x:c>
      <x:c r="H671" s="89" t="n">
        <x:v>45632.79618055555</x:v>
      </x:c>
      <x:c r="I671" s="89" t="n">
        <x:v>45633.50451388889</x:v>
      </x:c>
      <x:c r="J671" s="84" t="str">
        <x:v>Baixa</x:v>
      </x:c>
      <x:c r="K671" s="84" t="str">
        <x:v>Encerrada</x:v>
      </x:c>
      <x:c r="L671" s="84" t="str">
        <x:v>Ruído anormal</x:v>
      </x:c>
      <x:c r="M671" s="84" t="str">
        <x:v>Desgaste natural</x:v>
      </x:c>
      <x:c r="N671" s="84" t="str">
        <x:v>Componente ajustado ou substituído</x:v>
      </x:c>
      <x:c r="O671" s="84" t="n">
        <x:v>0</x:v>
      </x:c>
      <x:c r="P671" s="93" t="n">
        <x:v>768.07</x:v>
      </x:c>
      <x:c r="Q671" s="93" t="n">
        <x:v>13927.72</x:v>
      </x:c>
      <x:c r="R671" s="91" t="n">
        <x:v>3185.1</x:v>
      </x:c>
    </x:row>
    <x:row r="672">
      <x:c r="A672" s="83" t="n">
        <x:v>671</x:v>
      </x:c>
      <x:c r="B672" s="84" t="str">
        <x:v>OS-2023-00671</x:v>
      </x:c>
      <x:c r="C672" s="84" t="n">
        <x:v>39</x:v>
      </x:c>
      <x:c r="D672" s="84" t="n">
        <x:v>1</x:v>
      </x:c>
      <x:c r="E672" s="84" t="n">
        <x:v>78</x:v>
      </x:c>
      <x:c r="F672" s="89" t="n">
        <x:v>44941.586006944446</x:v>
      </x:c>
      <x:c r="G672" s="89" t="n">
        <x:v>44946.586006944446</x:v>
      </x:c>
      <x:c r="H672" s="89"/>
      <x:c r="I672" s="89"/>
      <x:c r="J672" s="84" t="str">
        <x:v>Crítica</x:v>
      </x:c>
      <x:c r="K672" s="84" t="str">
        <x:v>Planejada</x:v>
      </x:c>
      <x:c r="L672" s="84" t="str">
        <x:v>Desalinhamento</x:v>
      </x:c>
      <x:c r="M672" s="84"/>
      <x:c r="N672" s="84"/>
      <x:c r="O672" s="84" t="n">
        <x:v>0</x:v>
      </x:c>
      <x:c r="P672" s="93" t="n">
        <x:v>0</x:v>
      </x:c>
      <x:c r="Q672" s="93" t="n">
        <x:v>0</x:v>
      </x:c>
      <x:c r="R672" s="91" t="n">
        <x:v>0</x:v>
      </x:c>
    </x:row>
    <x:row r="673">
      <x:c r="A673" s="83" t="n">
        <x:v>672</x:v>
      </x:c>
      <x:c r="B673" s="84" t="str">
        <x:v>OS-2025-00672</x:v>
      </x:c>
      <x:c r="C673" s="84" t="n">
        <x:v>17</x:v>
      </x:c>
      <x:c r="D673" s="84" t="n">
        <x:v>1</x:v>
      </x:c>
      <x:c r="E673" s="84" t="n">
        <x:v>34</x:v>
      </x:c>
      <x:c r="F673" s="89" t="n">
        <x:v>45847.743472222224</x:v>
      </x:c>
      <x:c r="G673" s="89" t="n">
        <x:v>45850.743472222224</x:v>
      </x:c>
      <x:c r="H673" s="89" t="n">
        <x:v>45848.66013888889</x:v>
      </x:c>
      <x:c r="I673" s="89" t="n">
        <x:v>45849.03513888889</x:v>
      </x:c>
      <x:c r="J673" s="84" t="str">
        <x:v>Baixa</x:v>
      </x:c>
      <x:c r="K673" s="84" t="str">
        <x:v>Encerrada</x:v>
      </x:c>
      <x:c r="L673" s="84" t="str">
        <x:v>Ruído anormal</x:v>
      </x:c>
      <x:c r="M673" s="84" t="str">
        <x:v>Falta de lubrificação</x:v>
      </x:c>
      <x:c r="N673" s="84" t="str">
        <x:v>Componente ajustado ou substituído</x:v>
      </x:c>
      <x:c r="O673" s="84" t="n">
        <x:v>0</x:v>
      </x:c>
      <x:c r="P673" s="93" t="n">
        <x:v>622.82</x:v>
      </x:c>
      <x:c r="Q673" s="93" t="n">
        <x:v>0</x:v>
      </x:c>
      <x:c r="R673" s="91" t="n">
        <x:v>0</x:v>
      </x:c>
    </x:row>
    <x:row r="674">
      <x:c r="A674" s="83" t="n">
        <x:v>673</x:v>
      </x:c>
      <x:c r="B674" s="84" t="str">
        <x:v>OS-2023-00673</x:v>
      </x:c>
      <x:c r="C674" s="84" t="n">
        <x:v>89</x:v>
      </x:c>
      <x:c r="D674" s="84" t="n">
        <x:v>3</x:v>
      </x:c>
      <x:c r="E674" s="84"/>
      <x:c r="F674" s="89" t="n">
        <x:v>45068.09700231482</x:v>
      </x:c>
      <x:c r="G674" s="89"/>
      <x:c r="H674" s="89" t="n">
        <x:v>45070.18033564815</x:v>
      </x:c>
      <x:c r="I674" s="89" t="n">
        <x:v>45070.88866898148</x:v>
      </x:c>
      <x:c r="J674" s="84" t="str">
        <x:v>Baixa</x:v>
      </x:c>
      <x:c r="K674" s="84" t="str">
        <x:v>Encerrada</x:v>
      </x:c>
      <x:c r="L674" s="84" t="str">
        <x:v>Desalinhamento</x:v>
      </x:c>
      <x:c r="M674" s="84" t="str">
        <x:v>Conexão frouxa</x:v>
      </x:c>
      <x:c r="N674" s="84" t="str">
        <x:v>Componente ajustado ou substituído</x:v>
      </x:c>
      <x:c r="O674" s="84" t="n">
        <x:v>0</x:v>
      </x:c>
      <x:c r="P674" s="93" t="n">
        <x:v>918.56</x:v>
      </x:c>
      <x:c r="Q674" s="93" t="n">
        <x:v>0</x:v>
      </x:c>
      <x:c r="R674" s="91" t="n">
        <x:v>0</x:v>
      </x:c>
    </x:row>
    <x:row r="675">
      <x:c r="A675" s="83" t="n">
        <x:v>674</x:v>
      </x:c>
      <x:c r="B675" s="84" t="str">
        <x:v>OS-2025-00674</x:v>
      </x:c>
      <x:c r="C675" s="84" t="n">
        <x:v>23</x:v>
      </x:c>
      <x:c r="D675" s="84" t="n">
        <x:v>3</x:v>
      </x:c>
      <x:c r="E675" s="84"/>
      <x:c r="F675" s="89" t="n">
        <x:v>45994.16668981482</x:v>
      </x:c>
      <x:c r="G675" s="89"/>
      <x:c r="H675" s="89" t="n">
        <x:v>45997.125023148146</x:v>
      </x:c>
      <x:c r="I675" s="89" t="n">
        <x:v>45997.375023148146</x:v>
      </x:c>
      <x:c r="J675" s="84" t="str">
        <x:v>Baixa</x:v>
      </x:c>
      <x:c r="K675" s="84" t="str">
        <x:v>Encerrada</x:v>
      </x:c>
      <x:c r="L675" s="84" t="str">
        <x:v>Ruído anormal</x:v>
      </x:c>
      <x:c r="M675" s="84" t="str">
        <x:v>Conexão frouxa</x:v>
      </x:c>
      <x:c r="N675" s="84" t="str">
        <x:v>Componente ajustado ou substituído</x:v>
      </x:c>
      <x:c r="O675" s="84" t="n">
        <x:v>0</x:v>
      </x:c>
      <x:c r="P675" s="93" t="n">
        <x:v>706.78</x:v>
      </x:c>
      <x:c r="Q675" s="93" t="n">
        <x:v>4305.72</x:v>
      </x:c>
      <x:c r="R675" s="91" t="n">
        <x:v>0</x:v>
      </x:c>
    </x:row>
    <x:row r="676">
      <x:c r="A676" s="83" t="n">
        <x:v>675</x:v>
      </x:c>
      <x:c r="B676" s="84" t="str">
        <x:v>OS-2025-00675</x:v>
      </x:c>
      <x:c r="C676" s="84" t="n">
        <x:v>21</x:v>
      </x:c>
      <x:c r="D676" s="84" t="n">
        <x:v>1</x:v>
      </x:c>
      <x:c r="E676" s="84" t="n">
        <x:v>41</x:v>
      </x:c>
      <x:c r="F676" s="89" t="n">
        <x:v>45766.272210648145</x:v>
      </x:c>
      <x:c r="G676" s="89" t="n">
        <x:v>45767.272210648145</x:v>
      </x:c>
      <x:c r="H676" s="89" t="n">
        <x:v>45766.81387731482</x:v>
      </x:c>
      <x:c r="I676" s="89" t="n">
        <x:v>45767.10554398148</x:v>
      </x:c>
      <x:c r="J676" s="84" t="str">
        <x:v>Alta</x:v>
      </x:c>
      <x:c r="K676" s="84" t="str">
        <x:v>Concluída</x:v>
      </x:c>
      <x:c r="L676" s="84" t="str">
        <x:v>Ruído anormal</x:v>
      </x:c>
      <x:c r="M676" s="84" t="str">
        <x:v>Componente danificado</x:v>
      </x:c>
      <x:c r="N676" s="84" t="str">
        <x:v>Componente ajustado ou substituído</x:v>
      </x:c>
      <x:c r="O676" s="84" t="n">
        <x:v>0</x:v>
      </x:c>
      <x:c r="P676" s="93" t="n">
        <x:v>582.81</x:v>
      </x:c>
      <x:c r="Q676" s="93" t="n">
        <x:v>5561.25</x:v>
      </x:c>
      <x:c r="R676" s="91" t="n">
        <x:v>0</x:v>
      </x:c>
    </x:row>
    <x:row r="677">
      <x:c r="A677" s="83" t="n">
        <x:v>676</x:v>
      </x:c>
      <x:c r="B677" s="84" t="str">
        <x:v>OS-2025-00676</x:v>
      </x:c>
      <x:c r="C677" s="84" t="n">
        <x:v>39</x:v>
      </x:c>
      <x:c r="D677" s="84" t="n">
        <x:v>5</x:v>
      </x:c>
      <x:c r="E677" s="84" t="n">
        <x:v>78</x:v>
      </x:c>
      <x:c r="F677" s="89" t="n">
        <x:v>45777.30570601852</x:v>
      </x:c>
      <x:c r="G677" s="89" t="n">
        <x:v>45787.30570601852</x:v>
      </x:c>
      <x:c r="H677" s="89" t="n">
        <x:v>45777.84737268519</x:v>
      </x:c>
      <x:c r="I677" s="89" t="n">
        <x:v>45778.05570601852</x:v>
      </x:c>
      <x:c r="J677" s="84" t="str">
        <x:v>Alta</x:v>
      </x:c>
      <x:c r="K677" s="84" t="str">
        <x:v>Encerrada</x:v>
      </x:c>
      <x:c r="L677" s="84" t="str">
        <x:v>Desalinhamento</x:v>
      </x:c>
      <x:c r="M677" s="84" t="str">
        <x:v>Falta de lubrificação</x:v>
      </x:c>
      <x:c r="N677" s="84" t="str">
        <x:v>Componente ajustado ou substituído</x:v>
      </x:c>
      <x:c r="O677" s="84" t="n">
        <x:v>0</x:v>
      </x:c>
      <x:c r="P677" s="93" t="n">
        <x:v>136.25</x:v>
      </x:c>
      <x:c r="Q677" s="93" t="n">
        <x:v>769.54</x:v>
      </x:c>
      <x:c r="R677" s="91" t="n">
        <x:v>0</x:v>
      </x:c>
    </x:row>
    <x:row r="678">
      <x:c r="A678" s="83" t="n">
        <x:v>677</x:v>
      </x:c>
      <x:c r="B678" s="84" t="str">
        <x:v>OS-2024-00677</x:v>
      </x:c>
      <x:c r="C678" s="84" t="n">
        <x:v>80</x:v>
      </x:c>
      <x:c r="D678" s="84" t="n">
        <x:v>5</x:v>
      </x:c>
      <x:c r="E678" s="84" t="n">
        <x:v>159</x:v>
      </x:c>
      <x:c r="F678" s="89" t="n">
        <x:v>45575.95108796296</x:v>
      </x:c>
      <x:c r="G678" s="89" t="n">
        <x:v>45578.95108796296</x:v>
      </x:c>
      <x:c r="H678" s="89" t="n">
        <x:v>45577.32608796296</x:v>
      </x:c>
      <x:c r="I678" s="89" t="n">
        <x:v>45578.11775462963</x:v>
      </x:c>
      <x:c r="J678" s="84" t="str">
        <x:v>Média</x:v>
      </x:c>
      <x:c r="K678" s="84" t="str">
        <x:v>Encerrada</x:v>
      </x:c>
      <x:c r="L678" s="84" t="str">
        <x:v>Falha elétrica</x:v>
      </x:c>
      <x:c r="M678" s="84" t="str">
        <x:v>Desgaste natural</x:v>
      </x:c>
      <x:c r="N678" s="84" t="str">
        <x:v>Componente ajustado ou substituído</x:v>
      </x:c>
      <x:c r="O678" s="84" t="n">
        <x:v>0</x:v>
      </x:c>
      <x:c r="P678" s="93" t="n">
        <x:v>634.86</x:v>
      </x:c>
      <x:c r="Q678" s="93" t="n">
        <x:v>5088.68</x:v>
      </x:c>
      <x:c r="R678" s="91" t="n">
        <x:v>0</x:v>
      </x:c>
    </x:row>
    <x:row r="679">
      <x:c r="A679" s="83" t="n">
        <x:v>678</x:v>
      </x:c>
      <x:c r="B679" s="84" t="str">
        <x:v>OS-2025-00678</x:v>
      </x:c>
      <x:c r="C679" s="84" t="n">
        <x:v>59</x:v>
      </x:c>
      <x:c r="D679" s="84" t="n">
        <x:v>2</x:v>
      </x:c>
      <x:c r="E679" s="84"/>
      <x:c r="F679" s="89" t="n">
        <x:v>45739.150983796295</x:v>
      </x:c>
      <x:c r="G679" s="89" t="n">
        <x:v>45739.150983796295</x:v>
      </x:c>
      <x:c r="H679" s="89"/>
      <x:c r="I679" s="89"/>
      <x:c r="J679" s="84" t="str">
        <x:v>Alta</x:v>
      </x:c>
      <x:c r="K679" s="84" t="str">
        <x:v>Planejada</x:v>
      </x:c>
      <x:c r="L679" s="84" t="str">
        <x:v>Superaquecimento</x:v>
      </x:c>
      <x:c r="M679" s="84"/>
      <x:c r="N679" s="84"/>
      <x:c r="O679" s="84" t="n">
        <x:v>0</x:v>
      </x:c>
      <x:c r="P679" s="93" t="n">
        <x:v>0</x:v>
      </x:c>
      <x:c r="Q679" s="93" t="n">
        <x:v>0</x:v>
      </x:c>
      <x:c r="R679" s="91" t="n">
        <x:v>0</x:v>
      </x:c>
    </x:row>
    <x:row r="680">
      <x:c r="A680" s="83" t="n">
        <x:v>679</x:v>
      </x:c>
      <x:c r="B680" s="84" t="str">
        <x:v>OS-2024-00679</x:v>
      </x:c>
      <x:c r="C680" s="84" t="n">
        <x:v>71</x:v>
      </x:c>
      <x:c r="D680" s="84" t="n">
        <x:v>4</x:v>
      </x:c>
      <x:c r="E680" s="84"/>
      <x:c r="F680" s="89" t="n">
        <x:v>45321.81681712963</x:v>
      </x:c>
      <x:c r="G680" s="89" t="n">
        <x:v>45326.81681712963</x:v>
      </x:c>
      <x:c r="H680" s="89" t="n">
        <x:v>45322.8584837963</x:v>
      </x:c>
      <x:c r="I680" s="89" t="n">
        <x:v>45323.19181712963</x:v>
      </x:c>
      <x:c r="J680" s="84" t="str">
        <x:v>Média</x:v>
      </x:c>
      <x:c r="K680" s="84" t="str">
        <x:v>Concluída</x:v>
      </x:c>
      <x:c r="L680" s="84" t="str">
        <x:v>Falha elétrica</x:v>
      </x:c>
      <x:c r="M680" s="84" t="str">
        <x:v>Contaminação</x:v>
      </x:c>
      <x:c r="N680" s="84" t="str">
        <x:v>Componente ajustado ou substituído</x:v>
      </x:c>
      <x:c r="O680" s="84" t="n">
        <x:v>0</x:v>
      </x:c>
      <x:c r="P680" s="93" t="n">
        <x:v>153.28</x:v>
      </x:c>
      <x:c r="Q680" s="93" t="n">
        <x:v>0</x:v>
      </x:c>
      <x:c r="R680" s="91" t="n">
        <x:v>0</x:v>
      </x:c>
    </x:row>
    <x:row r="681">
      <x:c r="A681" s="83" t="n">
        <x:v>680</x:v>
      </x:c>
      <x:c r="B681" s="84" t="str">
        <x:v>OS-2023-00680</x:v>
      </x:c>
      <x:c r="C681" s="84" t="n">
        <x:v>41</x:v>
      </x:c>
      <x:c r="D681" s="84" t="n">
        <x:v>1</x:v>
      </x:c>
      <x:c r="E681" s="84" t="n">
        <x:v>82</x:v>
      </x:c>
      <x:c r="F681" s="89" t="n">
        <x:v>45165.50252314815</x:v>
      </x:c>
      <x:c r="G681" s="89" t="n">
        <x:v>45173.50252314815</x:v>
      </x:c>
      <x:c r="H681" s="89"/>
      <x:c r="I681" s="89"/>
      <x:c r="J681" s="84" t="str">
        <x:v>Baixa</x:v>
      </x:c>
      <x:c r="K681" s="84" t="str">
        <x:v>Planejada</x:v>
      </x:c>
      <x:c r="L681" s="84" t="str">
        <x:v>Baixa pressão</x:v>
      </x:c>
      <x:c r="M681" s="84"/>
      <x:c r="N681" s="84"/>
      <x:c r="O681" s="84" t="n">
        <x:v>0</x:v>
      </x:c>
      <x:c r="P681" s="93" t="n">
        <x:v>0</x:v>
      </x:c>
      <x:c r="Q681" s="93" t="n">
        <x:v>0</x:v>
      </x:c>
      <x:c r="R681" s="91" t="n">
        <x:v>0</x:v>
      </x:c>
    </x:row>
    <x:row r="682">
      <x:c r="A682" s="83" t="n">
        <x:v>681</x:v>
      </x:c>
      <x:c r="B682" s="84" t="str">
        <x:v>OS-2023-00681</x:v>
      </x:c>
      <x:c r="C682" s="84" t="n">
        <x:v>69</x:v>
      </x:c>
      <x:c r="D682" s="84" t="n">
        <x:v>7</x:v>
      </x:c>
      <x:c r="E682" s="84" t="n">
        <x:v>137</x:v>
      </x:c>
      <x:c r="F682" s="89" t="n">
        <x:v>45198.61969907407</x:v>
      </x:c>
      <x:c r="G682" s="89" t="n">
        <x:v>45200.61969907407</x:v>
      </x:c>
      <x:c r="H682" s="89" t="n">
        <x:v>45200.28636574074</x:v>
      </x:c>
      <x:c r="I682" s="89" t="n">
        <x:v>45200.61969907407</x:v>
      </x:c>
      <x:c r="J682" s="84" t="str">
        <x:v>Média</x:v>
      </x:c>
      <x:c r="K682" s="84" t="str">
        <x:v>Concluída</x:v>
      </x:c>
      <x:c r="L682" s="84" t="str">
        <x:v>Superaquecimento</x:v>
      </x:c>
      <x:c r="M682" s="84" t="str">
        <x:v>Ajuste incorreto</x:v>
      </x:c>
      <x:c r="N682" s="84" t="str">
        <x:v>Componente ajustado ou substituído</x:v>
      </x:c>
      <x:c r="O682" s="84" t="n">
        <x:v>0</x:v>
      </x:c>
      <x:c r="P682" s="93" t="n">
        <x:v>360.87</x:v>
      </x:c>
      <x:c r="Q682" s="93" t="n">
        <x:v>3732.03</x:v>
      </x:c>
      <x:c r="R682" s="91" t="n">
        <x:v>0</x:v>
      </x:c>
    </x:row>
    <x:row r="683">
      <x:c r="A683" s="83" t="n">
        <x:v>682</x:v>
      </x:c>
      <x:c r="B683" s="84" t="str">
        <x:v>OS-2025-00682</x:v>
      </x:c>
      <x:c r="C683" s="84" t="n">
        <x:v>3</x:v>
      </x:c>
      <x:c r="D683" s="84" t="n">
        <x:v>3</x:v>
      </x:c>
      <x:c r="E683" s="84"/>
      <x:c r="F683" s="89" t="n">
        <x:v>45699.24868055555</x:v>
      </x:c>
      <x:c r="G683" s="89"/>
      <x:c r="H683" s="89" t="n">
        <x:v>45700.62368055555</x:v>
      </x:c>
      <x:c r="I683" s="89" t="n">
        <x:v>45701.415347222224</x:v>
      </x:c>
      <x:c r="J683" s="84" t="str">
        <x:v>Média</x:v>
      </x:c>
      <x:c r="K683" s="84" t="str">
        <x:v>Encerrada</x:v>
      </x:c>
      <x:c r="L683" s="84" t="str">
        <x:v>Baixa pressão</x:v>
      </x:c>
      <x:c r="M683" s="84" t="str">
        <x:v>Desgaste natural</x:v>
      </x:c>
      <x:c r="N683" s="84" t="str">
        <x:v>Componente ajustado ou substituído</x:v>
      </x:c>
      <x:c r="O683" s="84" t="n">
        <x:v>0</x:v>
      </x:c>
      <x:c r="P683" s="93" t="n">
        <x:v>339.25</x:v>
      </x:c>
      <x:c r="Q683" s="93" t="n">
        <x:v>9155.48</x:v>
      </x:c>
      <x:c r="R683" s="91" t="n">
        <x:v>0</x:v>
      </x:c>
    </x:row>
    <x:row r="684">
      <x:c r="A684" s="83" t="n">
        <x:v>683</x:v>
      </x:c>
      <x:c r="B684" s="84" t="str">
        <x:v>OS-2023-00683</x:v>
      </x:c>
      <x:c r="C684" s="84" t="n">
        <x:v>67</x:v>
      </x:c>
      <x:c r="D684" s="84" t="n">
        <x:v>7</x:v>
      </x:c>
      <x:c r="E684" s="84" t="n">
        <x:v>133</x:v>
      </x:c>
      <x:c r="F684" s="89" t="n">
        <x:v>44977.26818287037</x:v>
      </x:c>
      <x:c r="G684" s="89" t="n">
        <x:v>44991.26818287037</x:v>
      </x:c>
      <x:c r="H684" s="89" t="n">
        <x:v>44979.89318287037</x:v>
      </x:c>
      <x:c r="I684" s="89" t="n">
        <x:v>44980.64318287037</x:v>
      </x:c>
      <x:c r="J684" s="84" t="str">
        <x:v>Média</x:v>
      </x:c>
      <x:c r="K684" s="84" t="str">
        <x:v>Encerrada</x:v>
      </x:c>
      <x:c r="L684" s="84" t="str">
        <x:v>Ruído anormal</x:v>
      </x:c>
      <x:c r="M684" s="84" t="str">
        <x:v>Ajuste incorreto</x:v>
      </x:c>
      <x:c r="N684" s="84" t="str">
        <x:v>Componente ajustado ou substituído</x:v>
      </x:c>
      <x:c r="O684" s="84" t="n">
        <x:v>0</x:v>
      </x:c>
      <x:c r="P684" s="93" t="n">
        <x:v>489.13</x:v>
      </x:c>
      <x:c r="Q684" s="93" t="n">
        <x:v>8929.22</x:v>
      </x:c>
      <x:c r="R684" s="91" t="n">
        <x:v>4388.8</x:v>
      </x:c>
    </x:row>
    <x:row r="685">
      <x:c r="A685" s="83" t="n">
        <x:v>684</x:v>
      </x:c>
      <x:c r="B685" s="84" t="str">
        <x:v>OS-2023-00684</x:v>
      </x:c>
      <x:c r="C685" s="84" t="n">
        <x:v>20</x:v>
      </x:c>
      <x:c r="D685" s="84" t="n">
        <x:v>5</x:v>
      </x:c>
      <x:c r="E685" s="84" t="n">
        <x:v>40</x:v>
      </x:c>
      <x:c r="F685" s="89" t="n">
        <x:v>45072.87746527778</x:v>
      </x:c>
      <x:c r="G685" s="89" t="n">
        <x:v>45074.87746527778</x:v>
      </x:c>
      <x:c r="H685" s="89" t="n">
        <x:v>45074.66913194444</x:v>
      </x:c>
      <x:c r="I685" s="89" t="n">
        <x:v>45075.46079861111</x:v>
      </x:c>
      <x:c r="J685" s="84" t="str">
        <x:v>Crítica</x:v>
      </x:c>
      <x:c r="K685" s="84" t="str">
        <x:v>Encerrada</x:v>
      </x:c>
      <x:c r="L685" s="84" t="str">
        <x:v>Ruído anormal</x:v>
      </x:c>
      <x:c r="M685" s="84" t="str">
        <x:v>Ajuste incorreto</x:v>
      </x:c>
      <x:c r="N685" s="84" t="str">
        <x:v>Componente ajustado ou substituído</x:v>
      </x:c>
      <x:c r="O685" s="84" t="n">
        <x:v>0</x:v>
      </x:c>
      <x:c r="P685" s="93" t="n">
        <x:v>129.73</x:v>
      </x:c>
      <x:c r="Q685" s="93" t="n">
        <x:v>15519.63</x:v>
      </x:c>
      <x:c r="R685" s="91" t="n">
        <x:v>0</x:v>
      </x:c>
    </x:row>
    <x:row r="686">
      <x:c r="A686" s="83" t="n">
        <x:v>685</x:v>
      </x:c>
      <x:c r="B686" s="84" t="str">
        <x:v>OS-2023-00685</x:v>
      </x:c>
      <x:c r="C686" s="84" t="n">
        <x:v>73</x:v>
      </x:c>
      <x:c r="D686" s="84" t="n">
        <x:v>1</x:v>
      </x:c>
      <x:c r="E686" s="84" t="n">
        <x:v>145</x:v>
      </x:c>
      <x:c r="F686" s="89" t="n">
        <x:v>45291.655185185184</x:v>
      </x:c>
      <x:c r="G686" s="89" t="n">
        <x:v>45291.655185185184</x:v>
      </x:c>
      <x:c r="H686" s="89"/>
      <x:c r="I686" s="89"/>
      <x:c r="J686" s="84" t="str">
        <x:v>Baixa</x:v>
      </x:c>
      <x:c r="K686" s="84" t="str">
        <x:v>Cancelada</x:v>
      </x:c>
      <x:c r="L686" s="84" t="str">
        <x:v>Ruído anormal</x:v>
      </x:c>
      <x:c r="M686" s="84"/>
      <x:c r="N686" s="84"/>
      <x:c r="O686" s="84" t="n">
        <x:v>0</x:v>
      </x:c>
      <x:c r="P686" s="93" t="n">
        <x:v>0</x:v>
      </x:c>
      <x:c r="Q686" s="93" t="n">
        <x:v>0</x:v>
      </x:c>
      <x:c r="R686" s="91" t="n">
        <x:v>0</x:v>
      </x:c>
    </x:row>
    <x:row r="687">
      <x:c r="A687" s="83" t="n">
        <x:v>686</x:v>
      </x:c>
      <x:c r="B687" s="84" t="str">
        <x:v>OS-2023-00686</x:v>
      </x:c>
      <x:c r="C687" s="84" t="n">
        <x:v>75</x:v>
      </x:c>
      <x:c r="D687" s="84" t="n">
        <x:v>3</x:v>
      </x:c>
      <x:c r="E687" s="84"/>
      <x:c r="F687" s="89" t="n">
        <x:v>45194.3484837963</x:v>
      </x:c>
      <x:c r="G687" s="89"/>
      <x:c r="H687" s="89" t="n">
        <x:v>45194.7234837963</x:v>
      </x:c>
      <x:c r="I687" s="89" t="n">
        <x:v>45195.01515046296</x:v>
      </x:c>
      <x:c r="J687" s="84" t="str">
        <x:v>Média</x:v>
      </x:c>
      <x:c r="K687" s="84" t="str">
        <x:v>Encerrada</x:v>
      </x:c>
      <x:c r="L687" s="84" t="str">
        <x:v>Baixa pressão</x:v>
      </x:c>
      <x:c r="M687" s="84" t="str">
        <x:v>Conexão frouxa</x:v>
      </x:c>
      <x:c r="N687" s="84" t="str">
        <x:v>Componente ajustado ou substituído</x:v>
      </x:c>
      <x:c r="O687" s="84" t="n">
        <x:v>0</x:v>
      </x:c>
      <x:c r="P687" s="93" t="n">
        <x:v>246.01</x:v>
      </x:c>
      <x:c r="Q687" s="93" t="n">
        <x:v>9651.28</x:v>
      </x:c>
      <x:c r="R687" s="91" t="n">
        <x:v>0</x:v>
      </x:c>
    </x:row>
    <x:row r="688">
      <x:c r="A688" s="83" t="n">
        <x:v>687</x:v>
      </x:c>
      <x:c r="B688" s="84" t="str">
        <x:v>OS-2024-00687</x:v>
      </x:c>
      <x:c r="C688" s="84" t="n">
        <x:v>23</x:v>
      </x:c>
      <x:c r="D688" s="84" t="n">
        <x:v>1</x:v>
      </x:c>
      <x:c r="E688" s="84" t="n">
        <x:v>46</x:v>
      </x:c>
      <x:c r="F688" s="89" t="n">
        <x:v>45595.82412037037</x:v>
      </x:c>
      <x:c r="G688" s="89" t="n">
        <x:v>45599.82412037037</x:v>
      </x:c>
      <x:c r="H688" s="89" t="n">
        <x:v>45596.24078703704</x:v>
      </x:c>
      <x:c r="I688" s="89" t="n">
        <x:v>45597.07412037037</x:v>
      </x:c>
      <x:c r="J688" s="84" t="str">
        <x:v>Baixa</x:v>
      </x:c>
      <x:c r="K688" s="84" t="str">
        <x:v>Concluída</x:v>
      </x:c>
      <x:c r="L688" s="84" t="str">
        <x:v>Vazamento</x:v>
      </x:c>
      <x:c r="M688" s="84" t="str">
        <x:v>Falta de lubrificação</x:v>
      </x:c>
      <x:c r="N688" s="84" t="str">
        <x:v>Componente ajustado ou substituído</x:v>
      </x:c>
      <x:c r="O688" s="84" t="n">
        <x:v>0</x:v>
      </x:c>
      <x:c r="P688" s="93" t="n">
        <x:v>442.92</x:v>
      </x:c>
      <x:c r="Q688" s="93" t="n">
        <x:v>3111.2</x:v>
      </x:c>
      <x:c r="R688" s="91" t="n">
        <x:v>0</x:v>
      </x:c>
    </x:row>
    <x:row r="689">
      <x:c r="A689" s="83" t="n">
        <x:v>688</x:v>
      </x:c>
      <x:c r="B689" s="84" t="str">
        <x:v>OS-2024-00688</x:v>
      </x:c>
      <x:c r="C689" s="84" t="n">
        <x:v>3</x:v>
      </x:c>
      <x:c r="D689" s="84" t="n">
        <x:v>5</x:v>
      </x:c>
      <x:c r="E689" s="84" t="n">
        <x:v>6</x:v>
      </x:c>
      <x:c r="F689" s="89" t="n">
        <x:v>45543.638645833336</x:v>
      </x:c>
      <x:c r="G689" s="89" t="n">
        <x:v>45553.638645833336</x:v>
      </x:c>
      <x:c r="H689" s="89" t="n">
        <x:v>45545.3053125</x:v>
      </x:c>
      <x:c r="I689" s="89" t="n">
        <x:v>45545.4303125</x:v>
      </x:c>
      <x:c r="J689" s="84" t="str">
        <x:v>Alta</x:v>
      </x:c>
      <x:c r="K689" s="84" t="str">
        <x:v>Encerrada</x:v>
      </x:c>
      <x:c r="L689" s="84" t="str">
        <x:v>Alarme intermitente</x:v>
      </x:c>
      <x:c r="M689" s="84" t="str">
        <x:v>Componente danificado</x:v>
      </x:c>
      <x:c r="N689" s="84" t="str">
        <x:v>Componente ajustado ou substituído</x:v>
      </x:c>
      <x:c r="O689" s="84" t="n">
        <x:v>1</x:v>
      </x:c>
      <x:c r="P689" s="93" t="n">
        <x:v>220.05</x:v>
      </x:c>
      <x:c r="Q689" s="93" t="n">
        <x:v>0</x:v>
      </x:c>
      <x:c r="R689" s="91" t="n">
        <x:v>0</x:v>
      </x:c>
    </x:row>
    <x:row r="690">
      <x:c r="A690" s="83" t="n">
        <x:v>689</x:v>
      </x:c>
      <x:c r="B690" s="84" t="str">
        <x:v>OS-2023-00689</x:v>
      </x:c>
      <x:c r="C690" s="84" t="n">
        <x:v>48</x:v>
      </x:c>
      <x:c r="D690" s="84" t="n">
        <x:v>1</x:v>
      </x:c>
      <x:c r="E690" s="84" t="n">
        <x:v>95</x:v>
      </x:c>
      <x:c r="F690" s="89" t="n">
        <x:v>45017.77099537037</x:v>
      </x:c>
      <x:c r="G690" s="89" t="n">
        <x:v>45022.77099537037</x:v>
      </x:c>
      <x:c r="H690" s="89" t="n">
        <x:v>45020.77099537037</x:v>
      </x:c>
      <x:c r="I690" s="89" t="n">
        <x:v>45021.6043287037</x:v>
      </x:c>
      <x:c r="J690" s="84" t="str">
        <x:v>Baixa</x:v>
      </x:c>
      <x:c r="K690" s="84" t="str">
        <x:v>Encerrada</x:v>
      </x:c>
      <x:c r="L690" s="84" t="str">
        <x:v>Alarme intermitente</x:v>
      </x:c>
      <x:c r="M690" s="84" t="str">
        <x:v>Desgaste natural</x:v>
      </x:c>
      <x:c r="N690" s="84" t="str">
        <x:v>Componente ajustado ou substituído</x:v>
      </x:c>
      <x:c r="O690" s="84" t="n">
        <x:v>0</x:v>
      </x:c>
      <x:c r="P690" s="93" t="n">
        <x:v>543.1</x:v>
      </x:c>
      <x:c r="Q690" s="93" t="n">
        <x:v>5439.75</x:v>
      </x:c>
      <x:c r="R690" s="91" t="n">
        <x:v>0</x:v>
      </x:c>
    </x:row>
    <x:row r="691">
      <x:c r="A691" s="83" t="n">
        <x:v>690</x:v>
      </x:c>
      <x:c r="B691" s="84" t="str">
        <x:v>OS-2023-00690</x:v>
      </x:c>
      <x:c r="C691" s="84" t="n">
        <x:v>78</x:v>
      </x:c>
      <x:c r="D691" s="84" t="n">
        <x:v>1</x:v>
      </x:c>
      <x:c r="E691" s="84" t="n">
        <x:v>155</x:v>
      </x:c>
      <x:c r="F691" s="89" t="n">
        <x:v>45193.203622685185</x:v>
      </x:c>
      <x:c r="G691" s="89" t="n">
        <x:v>45205.203622685185</x:v>
      </x:c>
      <x:c r="H691" s="89" t="n">
        <x:v>45194.203622685185</x:v>
      </x:c>
      <x:c r="I691" s="89" t="n">
        <x:v>45194.578622685185</x:v>
      </x:c>
      <x:c r="J691" s="84" t="str">
        <x:v>Crítica</x:v>
      </x:c>
      <x:c r="K691" s="84" t="str">
        <x:v>Encerrada</x:v>
      </x:c>
      <x:c r="L691" s="84" t="str">
        <x:v>Alarme intermitente</x:v>
      </x:c>
      <x:c r="M691" s="84" t="str">
        <x:v>Desgaste natural</x:v>
      </x:c>
      <x:c r="N691" s="84" t="str">
        <x:v>Componente ajustado ou substituído</x:v>
      </x:c>
      <x:c r="O691" s="84" t="n">
        <x:v>0</x:v>
      </x:c>
      <x:c r="P691" s="93" t="n">
        <x:v>320.79</x:v>
      </x:c>
      <x:c r="Q691" s="93" t="n">
        <x:v>0</x:v>
      </x:c>
      <x:c r="R691" s="91" t="n">
        <x:v>12124.85</x:v>
      </x:c>
    </x:row>
    <x:row r="692">
      <x:c r="A692" s="83" t="n">
        <x:v>691</x:v>
      </x:c>
      <x:c r="B692" s="84" t="str">
        <x:v>OS-2024-00691</x:v>
      </x:c>
      <x:c r="C692" s="84" t="n">
        <x:v>76</x:v>
      </x:c>
      <x:c r="D692" s="84" t="n">
        <x:v>1</x:v>
      </x:c>
      <x:c r="E692" s="84" t="n">
        <x:v>152</x:v>
      </x:c>
      <x:c r="F692" s="89" t="n">
        <x:v>45302.61667824074</x:v>
      </x:c>
      <x:c r="G692" s="89" t="n">
        <x:v>45313.61667824074</x:v>
      </x:c>
      <x:c r="H692" s="89"/>
      <x:c r="I692" s="89"/>
      <x:c r="J692" s="84" t="str">
        <x:v>Média</x:v>
      </x:c>
      <x:c r="K692" s="84" t="str">
        <x:v>Cancelada</x:v>
      </x:c>
      <x:c r="L692" s="84" t="str">
        <x:v>Baixa pressão</x:v>
      </x:c>
      <x:c r="M692" s="84"/>
      <x:c r="N692" s="84"/>
      <x:c r="O692" s="84" t="n">
        <x:v>0</x:v>
      </x:c>
      <x:c r="P692" s="93" t="n">
        <x:v>0</x:v>
      </x:c>
      <x:c r="Q692" s="93" t="n">
        <x:v>0</x:v>
      </x:c>
      <x:c r="R692" s="91" t="n">
        <x:v>0</x:v>
      </x:c>
    </x:row>
    <x:row r="693">
      <x:c r="A693" s="83" t="n">
        <x:v>692</x:v>
      </x:c>
      <x:c r="B693" s="84" t="str">
        <x:v>OS-2024-00692</x:v>
      </x:c>
      <x:c r="C693" s="84" t="n">
        <x:v>77</x:v>
      </x:c>
      <x:c r="D693" s="84" t="n">
        <x:v>3</x:v>
      </x:c>
      <x:c r="E693" s="84"/>
      <x:c r="F693" s="89" t="n">
        <x:v>45382.44938657407</x:v>
      </x:c>
      <x:c r="G693" s="89"/>
      <x:c r="H693" s="89" t="n">
        <x:v>45383.07438657407</x:v>
      </x:c>
      <x:c r="I693" s="89" t="n">
        <x:v>45383.24105324074</x:v>
      </x:c>
      <x:c r="J693" s="84" t="str">
        <x:v>Alta</x:v>
      </x:c>
      <x:c r="K693" s="84" t="str">
        <x:v>Encerrada</x:v>
      </x:c>
      <x:c r="L693" s="84" t="str">
        <x:v>Ruído anormal</x:v>
      </x:c>
      <x:c r="M693" s="84" t="str">
        <x:v>Desgaste natural</x:v>
      </x:c>
      <x:c r="N693" s="84" t="str">
        <x:v>Componente ajustado ou substituído</x:v>
      </x:c>
      <x:c r="O693" s="84" t="n">
        <x:v>0</x:v>
      </x:c>
      <x:c r="P693" s="93" t="n">
        <x:v>245.86</x:v>
      </x:c>
      <x:c r="Q693" s="93" t="n">
        <x:v>1575.06</x:v>
      </x:c>
      <x:c r="R693" s="91" t="n">
        <x:v>0</x:v>
      </x:c>
    </x:row>
    <x:row r="694">
      <x:c r="A694" s="83" t="n">
        <x:v>693</x:v>
      </x:c>
      <x:c r="B694" s="84" t="str">
        <x:v>OS-2023-00693</x:v>
      </x:c>
      <x:c r="C694" s="84" t="n">
        <x:v>36</x:v>
      </x:c>
      <x:c r="D694" s="84" t="n">
        <x:v>6</x:v>
      </x:c>
      <x:c r="E694" s="84"/>
      <x:c r="F694" s="89" t="n">
        <x:v>45213.734305555554</x:v>
      </x:c>
      <x:c r="G694" s="89" t="n">
        <x:v>45217.734305555554</x:v>
      </x:c>
      <x:c r="H694" s="89" t="n">
        <x:v>45214.56763888889</x:v>
      </x:c>
      <x:c r="I694" s="89"/>
      <x:c r="J694" s="84" t="str">
        <x:v>Crítica</x:v>
      </x:c>
      <x:c r="K694" s="84" t="str">
        <x:v>Em execução</x:v>
      </x:c>
      <x:c r="L694" s="84" t="str">
        <x:v>Falha elétrica</x:v>
      </x:c>
      <x:c r="M694" s="84" t="str">
        <x:v>Conexão frouxa</x:v>
      </x:c>
      <x:c r="N694" s="84"/>
      <x:c r="O694" s="84" t="n">
        <x:v>0</x:v>
      </x:c>
      <x:c r="P694" s="93" t="n">
        <x:v>628.09</x:v>
      </x:c>
      <x:c r="Q694" s="93" t="n">
        <x:v>0</x:v>
      </x:c>
      <x:c r="R694" s="91" t="n">
        <x:v>0</x:v>
      </x:c>
    </x:row>
    <x:row r="695">
      <x:c r="A695" s="83" t="n">
        <x:v>694</x:v>
      </x:c>
      <x:c r="B695" s="84" t="str">
        <x:v>OS-2025-00694</x:v>
      </x:c>
      <x:c r="C695" s="84" t="n">
        <x:v>20</x:v>
      </x:c>
      <x:c r="D695" s="84" t="n">
        <x:v>5</x:v>
      </x:c>
      <x:c r="E695" s="84" t="n">
        <x:v>39</x:v>
      </x:c>
      <x:c r="F695" s="89" t="n">
        <x:v>45696.958020833335</x:v>
      </x:c>
      <x:c r="G695" s="89" t="n">
        <x:v>45700.958020833335</x:v>
      </x:c>
      <x:c r="H695" s="89" t="n">
        <x:v>45699.041354166664</x:v>
      </x:c>
      <x:c r="I695" s="89"/>
      <x:c r="J695" s="84" t="str">
        <x:v>Alta</x:v>
      </x:c>
      <x:c r="K695" s="84" t="str">
        <x:v>Em execução</x:v>
      </x:c>
      <x:c r="L695" s="84" t="str">
        <x:v>Baixa pressão</x:v>
      </x:c>
      <x:c r="M695" s="84" t="str">
        <x:v>Componente danificado</x:v>
      </x:c>
      <x:c r="N695" s="84"/>
      <x:c r="O695" s="84" t="n">
        <x:v>0</x:v>
      </x:c>
      <x:c r="P695" s="93" t="n">
        <x:v>419.47</x:v>
      </x:c>
      <x:c r="Q695" s="93" t="n">
        <x:v>4176.17</x:v>
      </x:c>
      <x:c r="R695" s="91" t="n">
        <x:v>3214.43</x:v>
      </x:c>
    </x:row>
    <x:row r="696">
      <x:c r="A696" s="83" t="n">
        <x:v>695</x:v>
      </x:c>
      <x:c r="B696" s="84" t="str">
        <x:v>OS-2023-00695</x:v>
      </x:c>
      <x:c r="C696" s="84" t="n">
        <x:v>80</x:v>
      </x:c>
      <x:c r="D696" s="84" t="n">
        <x:v>3</x:v>
      </x:c>
      <x:c r="E696" s="84"/>
      <x:c r="F696" s="89" t="n">
        <x:v>45088.47673611111</x:v>
      </x:c>
      <x:c r="G696" s="89"/>
      <x:c r="H696" s="89" t="n">
        <x:v>45089.185069444444</x:v>
      </x:c>
      <x:c r="I696" s="89"/>
      <x:c r="J696" s="84" t="str">
        <x:v>Baixa</x:v>
      </x:c>
      <x:c r="K696" s="84" t="str">
        <x:v>Em execução</x:v>
      </x:c>
      <x:c r="L696" s="84" t="str">
        <x:v>Vazamento</x:v>
      </x:c>
      <x:c r="M696" s="84" t="str">
        <x:v>Conexão frouxa</x:v>
      </x:c>
      <x:c r="N696" s="84"/>
      <x:c r="O696" s="84" t="n">
        <x:v>0</x:v>
      </x:c>
      <x:c r="P696" s="93" t="n">
        <x:v>483.72</x:v>
      </x:c>
      <x:c r="Q696" s="93" t="n">
        <x:v>5956.4</x:v>
      </x:c>
      <x:c r="R696" s="91" t="n">
        <x:v>0</x:v>
      </x:c>
    </x:row>
    <x:row r="697">
      <x:c r="A697" s="83" t="n">
        <x:v>696</x:v>
      </x:c>
      <x:c r="B697" s="84" t="str">
        <x:v>OS-2023-00696</x:v>
      </x:c>
      <x:c r="C697" s="84" t="n">
        <x:v>22</x:v>
      </x:c>
      <x:c r="D697" s="84" t="n">
        <x:v>7</x:v>
      </x:c>
      <x:c r="E697" s="84" t="n">
        <x:v>44</x:v>
      </x:c>
      <x:c r="F697" s="89" t="n">
        <x:v>44963.252974537034</x:v>
      </x:c>
      <x:c r="G697" s="89" t="n">
        <x:v>44976.252974537034</x:v>
      </x:c>
      <x:c r="H697" s="89" t="n">
        <x:v>44964.877974537034</x:v>
      </x:c>
      <x:c r="I697" s="89" t="n">
        <x:v>44965.21130787037</x:v>
      </x:c>
      <x:c r="J697" s="84" t="str">
        <x:v>Crítica</x:v>
      </x:c>
      <x:c r="K697" s="84" t="str">
        <x:v>Encerrada</x:v>
      </x:c>
      <x:c r="L697" s="84" t="str">
        <x:v>Superaquecimento</x:v>
      </x:c>
      <x:c r="M697" s="84" t="str">
        <x:v>Conexão frouxa</x:v>
      </x:c>
      <x:c r="N697" s="84" t="str">
        <x:v>Componente ajustado ou substituído</x:v>
      </x:c>
      <x:c r="O697" s="84" t="n">
        <x:v>1</x:v>
      </x:c>
      <x:c r="P697" s="93" t="n">
        <x:v>789.26</x:v>
      </x:c>
      <x:c r="Q697" s="93" t="n">
        <x:v>1394.74</x:v>
      </x:c>
      <x:c r="R697" s="91" t="n">
        <x:v>0</x:v>
      </x:c>
    </x:row>
    <x:row r="698">
      <x:c r="A698" s="83" t="n">
        <x:v>697</x:v>
      </x:c>
      <x:c r="B698" s="84" t="str">
        <x:v>OS-2025-00697</x:v>
      </x:c>
      <x:c r="C698" s="84" t="n">
        <x:v>49</x:v>
      </x:c>
      <x:c r="D698" s="84" t="n">
        <x:v>3</x:v>
      </x:c>
      <x:c r="E698" s="84"/>
      <x:c r="F698" s="89" t="n">
        <x:v>45962.65194444444</x:v>
      </x:c>
      <x:c r="G698" s="89"/>
      <x:c r="H698" s="89"/>
      <x:c r="I698" s="89"/>
      <x:c r="J698" s="84" t="str">
        <x:v>Alta</x:v>
      </x:c>
      <x:c r="K698" s="84" t="str">
        <x:v>Planejada</x:v>
      </x:c>
      <x:c r="L698" s="84" t="str">
        <x:v>Falha elétrica</x:v>
      </x:c>
      <x:c r="M698" s="84"/>
      <x:c r="N698" s="84"/>
      <x:c r="O698" s="84" t="n">
        <x:v>0</x:v>
      </x:c>
      <x:c r="P698" s="93" t="n">
        <x:v>0</x:v>
      </x:c>
      <x:c r="Q698" s="93" t="n">
        <x:v>0</x:v>
      </x:c>
      <x:c r="R698" s="91" t="n">
        <x:v>0</x:v>
      </x:c>
    </x:row>
    <x:row r="699">
      <x:c r="A699" s="83" t="n">
        <x:v>698</x:v>
      </x:c>
      <x:c r="B699" s="84" t="str">
        <x:v>OS-2023-00698</x:v>
      </x:c>
      <x:c r="C699" s="84" t="n">
        <x:v>55</x:v>
      </x:c>
      <x:c r="D699" s="84" t="n">
        <x:v>8</x:v>
      </x:c>
      <x:c r="E699" s="84"/>
      <x:c r="F699" s="89" t="n">
        <x:v>44957.16837962963</x:v>
      </x:c>
      <x:c r="G699" s="89" t="n">
        <x:v>44960.16837962963</x:v>
      </x:c>
      <x:c r="H699" s="89" t="n">
        <x:v>44958.54337962963</x:v>
      </x:c>
      <x:c r="I699" s="89" t="n">
        <x:v>44958.75171296296</x:v>
      </x:c>
      <x:c r="J699" s="84" t="str">
        <x:v>Alta</x:v>
      </x:c>
      <x:c r="K699" s="84" t="str">
        <x:v>Encerrada</x:v>
      </x:c>
      <x:c r="L699" s="84" t="str">
        <x:v>Falha elétrica</x:v>
      </x:c>
      <x:c r="M699" s="84" t="str">
        <x:v>Componente danificado</x:v>
      </x:c>
      <x:c r="N699" s="84" t="str">
        <x:v>Componente ajustado ou substituído</x:v>
      </x:c>
      <x:c r="O699" s="84" t="n">
        <x:v>0</x:v>
      </x:c>
      <x:c r="P699" s="93" t="n">
        <x:v>275.74</x:v>
      </x:c>
      <x:c r="Q699" s="93" t="n">
        <x:v>9154.2</x:v>
      </x:c>
      <x:c r="R699" s="91" t="n">
        <x:v>5529.98</x:v>
      </x:c>
    </x:row>
    <x:row r="700">
      <x:c r="A700" s="83" t="n">
        <x:v>699</x:v>
      </x:c>
      <x:c r="B700" s="84" t="str">
        <x:v>OS-2023-00699</x:v>
      </x:c>
      <x:c r="C700" s="84" t="n">
        <x:v>72</x:v>
      </x:c>
      <x:c r="D700" s="84" t="n">
        <x:v>4</x:v>
      </x:c>
      <x:c r="E700" s="84"/>
      <x:c r="F700" s="89" t="n">
        <x:v>45000.059745370374</x:v>
      </x:c>
      <x:c r="G700" s="89" t="n">
        <x:v>45002.059745370374</x:v>
      </x:c>
      <x:c r="H700" s="89" t="n">
        <x:v>45001.35141203704</x:v>
      </x:c>
      <x:c r="I700" s="89"/>
      <x:c r="J700" s="84" t="str">
        <x:v>Baixa</x:v>
      </x:c>
      <x:c r="K700" s="84" t="str">
        <x:v>Em execução</x:v>
      </x:c>
      <x:c r="L700" s="84" t="str">
        <x:v>Superaquecimento</x:v>
      </x:c>
      <x:c r="M700" s="84" t="str">
        <x:v>Componente danificado</x:v>
      </x:c>
      <x:c r="N700" s="84"/>
      <x:c r="O700" s="84" t="n">
        <x:v>0</x:v>
      </x:c>
      <x:c r="P700" s="93" t="n">
        <x:v>353.9</x:v>
      </x:c>
      <x:c r="Q700" s="93" t="n">
        <x:v>8627.8</x:v>
      </x:c>
      <x:c r="R700" s="91" t="n">
        <x:v>0</x:v>
      </x:c>
    </x:row>
    <x:row r="701">
      <x:c r="A701" s="83" t="n">
        <x:v>700</x:v>
      </x:c>
      <x:c r="B701" s="84" t="str">
        <x:v>OS-2023-00700</x:v>
      </x:c>
      <x:c r="C701" s="84" t="n">
        <x:v>33</x:v>
      </x:c>
      <x:c r="D701" s="84" t="n">
        <x:v>4</x:v>
      </x:c>
      <x:c r="E701" s="84"/>
      <x:c r="F701" s="89" t="n">
        <x:v>45038.315787037034</x:v>
      </x:c>
      <x:c r="G701" s="89" t="n">
        <x:v>45053.315787037034</x:v>
      </x:c>
      <x:c r="H701" s="89" t="n">
        <x:v>45039.815787037034</x:v>
      </x:c>
      <x:c r="I701" s="89" t="n">
        <x:v>45040.190787037034</x:v>
      </x:c>
      <x:c r="J701" s="84" t="str">
        <x:v>Baixa</x:v>
      </x:c>
      <x:c r="K701" s="84" t="str">
        <x:v>Concluída</x:v>
      </x:c>
      <x:c r="L701" s="84" t="str">
        <x:v>Baixa pressão</x:v>
      </x:c>
      <x:c r="M701" s="84" t="str">
        <x:v>Falta de lubrificação</x:v>
      </x:c>
      <x:c r="N701" s="84" t="str">
        <x:v>Componente ajustado ou substituído</x:v>
      </x:c>
      <x:c r="O701" s="84" t="n">
        <x:v>0</x:v>
      </x:c>
      <x:c r="P701" s="93" t="n">
        <x:v>31.83</x:v>
      </x:c>
      <x:c r="Q701" s="93" t="n">
        <x:v>0</x:v>
      </x:c>
      <x:c r="R701" s="91" t="n">
        <x:v>0</x:v>
      </x:c>
    </x:row>
    <x:row r="702">
      <x:c r="A702" s="83" t="n">
        <x:v>701</x:v>
      </x:c>
      <x:c r="B702" s="84" t="str">
        <x:v>OS-2024-00701</x:v>
      </x:c>
      <x:c r="C702" s="84" t="n">
        <x:v>26</x:v>
      </x:c>
      <x:c r="D702" s="84" t="n">
        <x:v>3</x:v>
      </x:c>
      <x:c r="E702" s="84"/>
      <x:c r="F702" s="89" t="n">
        <x:v>45411.49107638889</x:v>
      </x:c>
      <x:c r="G702" s="89"/>
      <x:c r="H702" s="89"/>
      <x:c r="I702" s="89"/>
      <x:c r="J702" s="84" t="str">
        <x:v>Crítica</x:v>
      </x:c>
      <x:c r="K702" s="84" t="str">
        <x:v>Cancelada</x:v>
      </x:c>
      <x:c r="L702" s="84" t="str">
        <x:v>Ruído anormal</x:v>
      </x:c>
      <x:c r="M702" s="84"/>
      <x:c r="N702" s="84"/>
      <x:c r="O702" s="84" t="n">
        <x:v>0</x:v>
      </x:c>
      <x:c r="P702" s="93" t="n">
        <x:v>0</x:v>
      </x:c>
      <x:c r="Q702" s="93" t="n">
        <x:v>0</x:v>
      </x:c>
      <x:c r="R702" s="91" t="n">
        <x:v>0</x:v>
      </x:c>
    </x:row>
    <x:row r="703">
      <x:c r="A703" s="83" t="n">
        <x:v>702</x:v>
      </x:c>
      <x:c r="B703" s="84" t="str">
        <x:v>OS-2024-00702</x:v>
      </x:c>
      <x:c r="C703" s="84" t="n">
        <x:v>20</x:v>
      </x:c>
      <x:c r="D703" s="84" t="n">
        <x:v>4</x:v>
      </x:c>
      <x:c r="E703" s="84"/>
      <x:c r="F703" s="89" t="n">
        <x:v>45562.44881944444</x:v>
      </x:c>
      <x:c r="G703" s="89" t="n">
        <x:v>45564.44881944444</x:v>
      </x:c>
      <x:c r="H703" s="89" t="n">
        <x:v>45565.03215277778</x:v>
      </x:c>
      <x:c r="I703" s="89" t="n">
        <x:v>45565.57381944444</x:v>
      </x:c>
      <x:c r="J703" s="84" t="str">
        <x:v>Baixa</x:v>
      </x:c>
      <x:c r="K703" s="84" t="str">
        <x:v>Encerrada</x:v>
      </x:c>
      <x:c r="L703" s="84" t="str">
        <x:v>Baixa pressão</x:v>
      </x:c>
      <x:c r="M703" s="84" t="str">
        <x:v>Contaminação</x:v>
      </x:c>
      <x:c r="N703" s="84" t="str">
        <x:v>Componente ajustado ou substituído</x:v>
      </x:c>
      <x:c r="O703" s="84" t="n">
        <x:v>0</x:v>
      </x:c>
      <x:c r="P703" s="93" t="n">
        <x:v>402.51</x:v>
      </x:c>
      <x:c r="Q703" s="93" t="n">
        <x:v>10121.8</x:v>
      </x:c>
      <x:c r="R703" s="91" t="n">
        <x:v>0</x:v>
      </x:c>
    </x:row>
    <x:row r="704">
      <x:c r="A704" s="83" t="n">
        <x:v>703</x:v>
      </x:c>
      <x:c r="B704" s="84" t="str">
        <x:v>OS-2023-00703</x:v>
      </x:c>
      <x:c r="C704" s="84" t="n">
        <x:v>33</x:v>
      </x:c>
      <x:c r="D704" s="84" t="n">
        <x:v>2</x:v>
      </x:c>
      <x:c r="E704" s="84"/>
      <x:c r="F704" s="89" t="n">
        <x:v>45159.40829861111</x:v>
      </x:c>
      <x:c r="G704" s="89" t="n">
        <x:v>45165.40829861111</x:v>
      </x:c>
      <x:c r="H704" s="89" t="n">
        <x:v>45162.241631944446</x:v>
      </x:c>
      <x:c r="I704" s="89" t="n">
        <x:v>45163.03329861111</x:v>
      </x:c>
      <x:c r="J704" s="84" t="str">
        <x:v>Média</x:v>
      </x:c>
      <x:c r="K704" s="84" t="str">
        <x:v>Concluída</x:v>
      </x:c>
      <x:c r="L704" s="84" t="str">
        <x:v>Ruído anormal</x:v>
      </x:c>
      <x:c r="M704" s="84" t="str">
        <x:v>Desgaste natural</x:v>
      </x:c>
      <x:c r="N704" s="84" t="str">
        <x:v>Componente ajustado ou substituído</x:v>
      </x:c>
      <x:c r="O704" s="84" t="n">
        <x:v>0</x:v>
      </x:c>
      <x:c r="P704" s="93" t="n">
        <x:v>333.13</x:v>
      </x:c>
      <x:c r="Q704" s="93" t="n">
        <x:v>7904.94</x:v>
      </x:c>
      <x:c r="R704" s="91" t="n">
        <x:v>0</x:v>
      </x:c>
    </x:row>
    <x:row r="705">
      <x:c r="A705" s="83" t="n">
        <x:v>704</x:v>
      </x:c>
      <x:c r="B705" s="84" t="str">
        <x:v>OS-2024-00704</x:v>
      </x:c>
      <x:c r="C705" s="84" t="n">
        <x:v>69</x:v>
      </x:c>
      <x:c r="D705" s="84" t="n">
        <x:v>8</x:v>
      </x:c>
      <x:c r="E705" s="84"/>
      <x:c r="F705" s="89" t="n">
        <x:v>45397.07435185185</x:v>
      </x:c>
      <x:c r="G705" s="89" t="n">
        <x:v>45408.07435185185</x:v>
      </x:c>
      <x:c r="H705" s="89" t="n">
        <x:v>45398.07435185185</x:v>
      </x:c>
      <x:c r="I705" s="89" t="n">
        <x:v>45398.36601851852</x:v>
      </x:c>
      <x:c r="J705" s="84" t="str">
        <x:v>Alta</x:v>
      </x:c>
      <x:c r="K705" s="84" t="str">
        <x:v>Encerrada</x:v>
      </x:c>
      <x:c r="L705" s="84" t="str">
        <x:v>Alarme intermitente</x:v>
      </x:c>
      <x:c r="M705" s="84" t="str">
        <x:v>Componente danificado</x:v>
      </x:c>
      <x:c r="N705" s="84" t="str">
        <x:v>Componente ajustado ou substituído</x:v>
      </x:c>
      <x:c r="O705" s="84" t="n">
        <x:v>0</x:v>
      </x:c>
      <x:c r="P705" s="93" t="n">
        <x:v>449.41</x:v>
      </x:c>
      <x:c r="Q705" s="93" t="n">
        <x:v>0</x:v>
      </x:c>
      <x:c r="R705" s="91" t="n">
        <x:v>0</x:v>
      </x:c>
    </x:row>
    <x:row r="706">
      <x:c r="A706" s="83" t="n">
        <x:v>705</x:v>
      </x:c>
      <x:c r="B706" s="84" t="str">
        <x:v>OS-2025-00705</x:v>
      </x:c>
      <x:c r="C706" s="84" t="n">
        <x:v>66</x:v>
      </x:c>
      <x:c r="D706" s="84" t="n">
        <x:v>1</x:v>
      </x:c>
      <x:c r="E706" s="84" t="n">
        <x:v>131</x:v>
      </x:c>
      <x:c r="F706" s="89" t="n">
        <x:v>45905.67728009259</x:v>
      </x:c>
      <x:c r="G706" s="89" t="n">
        <x:v>45918.67728009259</x:v>
      </x:c>
      <x:c r="H706" s="89" t="n">
        <x:v>45907.010613425926</x:v>
      </x:c>
      <x:c r="I706" s="89" t="n">
        <x:v>45907.42728009259</x:v>
      </x:c>
      <x:c r="J706" s="84" t="str">
        <x:v>Crítica</x:v>
      </x:c>
      <x:c r="K706" s="84" t="str">
        <x:v>Encerrada</x:v>
      </x:c>
      <x:c r="L706" s="84" t="str">
        <x:v>Alarme intermitente</x:v>
      </x:c>
      <x:c r="M706" s="84" t="str">
        <x:v>Contaminação</x:v>
      </x:c>
      <x:c r="N706" s="84" t="str">
        <x:v>Componente ajustado ou substituído</x:v>
      </x:c>
      <x:c r="O706" s="84" t="n">
        <x:v>0</x:v>
      </x:c>
      <x:c r="P706" s="93" t="n">
        <x:v>27.89</x:v>
      </x:c>
      <x:c r="Q706" s="93" t="n">
        <x:v>2313.24</x:v>
      </x:c>
      <x:c r="R706" s="91" t="n">
        <x:v>0</x:v>
      </x:c>
    </x:row>
    <x:row r="707">
      <x:c r="A707" s="83" t="n">
        <x:v>706</x:v>
      </x:c>
      <x:c r="B707" s="84" t="str">
        <x:v>OS-2024-00706</x:v>
      </x:c>
      <x:c r="C707" s="84" t="n">
        <x:v>4</x:v>
      </x:c>
      <x:c r="D707" s="84" t="n">
        <x:v>2</x:v>
      </x:c>
      <x:c r="E707" s="84"/>
      <x:c r="F707" s="89" t="n">
        <x:v>45546.72827546296</x:v>
      </x:c>
      <x:c r="G707" s="89" t="n">
        <x:v>45555.72827546296</x:v>
      </x:c>
      <x:c r="H707" s="89" t="n">
        <x:v>45548.10327546296</x:v>
      </x:c>
      <x:c r="I707" s="89" t="n">
        <x:v>45548.5616087963</x:v>
      </x:c>
      <x:c r="J707" s="84" t="str">
        <x:v>Média</x:v>
      </x:c>
      <x:c r="K707" s="84" t="str">
        <x:v>Concluída</x:v>
      </x:c>
      <x:c r="L707" s="84" t="str">
        <x:v>Ruído anormal</x:v>
      </x:c>
      <x:c r="M707" s="84" t="str">
        <x:v>Conexão frouxa</x:v>
      </x:c>
      <x:c r="N707" s="84" t="str">
        <x:v>Componente ajustado ou substituído</x:v>
      </x:c>
      <x:c r="O707" s="84" t="n">
        <x:v>0</x:v>
      </x:c>
      <x:c r="P707" s="93" t="n">
        <x:v>499.11</x:v>
      </x:c>
      <x:c r="Q707" s="93" t="n">
        <x:v>2782.84</x:v>
      </x:c>
      <x:c r="R707" s="91" t="n">
        <x:v>0</x:v>
      </x:c>
    </x:row>
    <x:row r="708">
      <x:c r="A708" s="83" t="n">
        <x:v>707</x:v>
      </x:c>
      <x:c r="B708" s="84" t="str">
        <x:v>OS-2024-00707</x:v>
      </x:c>
      <x:c r="C708" s="84" t="n">
        <x:v>73</x:v>
      </x:c>
      <x:c r="D708" s="84" t="n">
        <x:v>5</x:v>
      </x:c>
      <x:c r="E708" s="84" t="n">
        <x:v>145</x:v>
      </x:c>
      <x:c r="F708" s="89" t="n">
        <x:v>45422.85863425926</x:v>
      </x:c>
      <x:c r="G708" s="89" t="n">
        <x:v>45429.85863425926</x:v>
      </x:c>
      <x:c r="H708" s="89" t="n">
        <x:v>45424.31696759259</x:v>
      </x:c>
      <x:c r="I708" s="89" t="n">
        <x:v>45424.69196759259</x:v>
      </x:c>
      <x:c r="J708" s="84" t="str">
        <x:v>Média</x:v>
      </x:c>
      <x:c r="K708" s="84" t="str">
        <x:v>Encerrada</x:v>
      </x:c>
      <x:c r="L708" s="84" t="str">
        <x:v>Desalinhamento</x:v>
      </x:c>
      <x:c r="M708" s="84" t="str">
        <x:v>Ajuste incorreto</x:v>
      </x:c>
      <x:c r="N708" s="84" t="str">
        <x:v>Componente ajustado ou substituído</x:v>
      </x:c>
      <x:c r="O708" s="84" t="n">
        <x:v>0</x:v>
      </x:c>
      <x:c r="P708" s="93" t="n">
        <x:v>292.82</x:v>
      </x:c>
      <x:c r="Q708" s="93" t="n">
        <x:v>4549.86</x:v>
      </x:c>
      <x:c r="R708" s="91" t="n">
        <x:v>0</x:v>
      </x:c>
    </x:row>
    <x:row r="709">
      <x:c r="A709" s="83" t="n">
        <x:v>708</x:v>
      </x:c>
      <x:c r="B709" s="84" t="str">
        <x:v>OS-2025-00708</x:v>
      </x:c>
      <x:c r="C709" s="84" t="n">
        <x:v>42</x:v>
      </x:c>
      <x:c r="D709" s="84" t="n">
        <x:v>2</x:v>
      </x:c>
      <x:c r="E709" s="84"/>
      <x:c r="F709" s="89" t="n">
        <x:v>45702.76988425926</x:v>
      </x:c>
      <x:c r="G709" s="89" t="n">
        <x:v>45707.76988425926</x:v>
      </x:c>
      <x:c r="H709" s="89" t="n">
        <x:v>45705.353217592594</x:v>
      </x:c>
      <x:c r="I709" s="89" t="n">
        <x:v>45705.978217592594</x:v>
      </x:c>
      <x:c r="J709" s="84" t="str">
        <x:v>Média</x:v>
      </x:c>
      <x:c r="K709" s="84" t="str">
        <x:v>Encerrada</x:v>
      </x:c>
      <x:c r="L709" s="84" t="str">
        <x:v>Vazamento</x:v>
      </x:c>
      <x:c r="M709" s="84" t="str">
        <x:v>Desgaste natural</x:v>
      </x:c>
      <x:c r="N709" s="84" t="str">
        <x:v>Componente ajustado ou substituído</x:v>
      </x:c>
      <x:c r="O709" s="84" t="n">
        <x:v>0</x:v>
      </x:c>
      <x:c r="P709" s="93" t="n">
        <x:v>447.09</x:v>
      </x:c>
      <x:c r="Q709" s="93" t="n">
        <x:v>4133.44</x:v>
      </x:c>
      <x:c r="R709" s="91" t="n">
        <x:v>0</x:v>
      </x:c>
    </x:row>
    <x:row r="710">
      <x:c r="A710" s="83" t="n">
        <x:v>709</x:v>
      </x:c>
      <x:c r="B710" s="84" t="str">
        <x:v>OS-2023-00709</x:v>
      </x:c>
      <x:c r="C710" s="84" t="n">
        <x:v>83</x:v>
      </x:c>
      <x:c r="D710" s="84" t="n">
        <x:v>3</x:v>
      </x:c>
      <x:c r="E710" s="84"/>
      <x:c r="F710" s="89" t="n">
        <x:v>45119.33826388889</x:v>
      </x:c>
      <x:c r="G710" s="89"/>
      <x:c r="H710" s="89" t="n">
        <x:v>45119.83826388889</x:v>
      </x:c>
      <x:c r="I710" s="89" t="n">
        <x:v>45120.42159722222</x:v>
      </x:c>
      <x:c r="J710" s="84" t="str">
        <x:v>Crítica</x:v>
      </x:c>
      <x:c r="K710" s="84" t="str">
        <x:v>Encerrada</x:v>
      </x:c>
      <x:c r="L710" s="84" t="str">
        <x:v>Ruído anormal</x:v>
      </x:c>
      <x:c r="M710" s="84" t="str">
        <x:v>Falta de lubrificação</x:v>
      </x:c>
      <x:c r="N710" s="84" t="str">
        <x:v>Componente ajustado ou substituído</x:v>
      </x:c>
      <x:c r="O710" s="84" t="n">
        <x:v>1</x:v>
      </x:c>
      <x:c r="P710" s="93" t="n">
        <x:v>401.92</x:v>
      </x:c>
      <x:c r="Q710" s="93" t="n">
        <x:v>7640.34</x:v>
      </x:c>
      <x:c r="R710" s="91" t="n">
        <x:v>0</x:v>
      </x:c>
    </x:row>
    <x:row r="711">
      <x:c r="A711" s="83" t="n">
        <x:v>710</x:v>
      </x:c>
      <x:c r="B711" s="84" t="str">
        <x:v>OS-2024-00710</x:v>
      </x:c>
      <x:c r="C711" s="84" t="n">
        <x:v>89</x:v>
      </x:c>
      <x:c r="D711" s="84" t="n">
        <x:v>2</x:v>
      </x:c>
      <x:c r="E711" s="84"/>
      <x:c r="F711" s="89" t="n">
        <x:v>45653.020949074074</x:v>
      </x:c>
      <x:c r="G711" s="89" t="n">
        <x:v>45668.020949074074</x:v>
      </x:c>
      <x:c r="H711" s="89" t="n">
        <x:v>45654.520949074074</x:v>
      </x:c>
      <x:c r="I711" s="89" t="n">
        <x:v>45654.97928240741</x:v>
      </x:c>
      <x:c r="J711" s="84" t="str">
        <x:v>Alta</x:v>
      </x:c>
      <x:c r="K711" s="84" t="str">
        <x:v>Encerrada</x:v>
      </x:c>
      <x:c r="L711" s="84" t="str">
        <x:v>Desalinhamento</x:v>
      </x:c>
      <x:c r="M711" s="84" t="str">
        <x:v>Ajuste incorreto</x:v>
      </x:c>
      <x:c r="N711" s="84" t="str">
        <x:v>Componente ajustado ou substituído</x:v>
      </x:c>
      <x:c r="O711" s="84" t="n">
        <x:v>0</x:v>
      </x:c>
      <x:c r="P711" s="93" t="n">
        <x:v>60.35</x:v>
      </x:c>
      <x:c r="Q711" s="93" t="n">
        <x:v>3104.94</x:v>
      </x:c>
      <x:c r="R711" s="91" t="n">
        <x:v>0</x:v>
      </x:c>
    </x:row>
    <x:row r="712">
      <x:c r="A712" s="83" t="n">
        <x:v>711</x:v>
      </x:c>
      <x:c r="B712" s="84" t="str">
        <x:v>OS-2024-00711</x:v>
      </x:c>
      <x:c r="C712" s="84" t="n">
        <x:v>80</x:v>
      </x:c>
      <x:c r="D712" s="84" t="n">
        <x:v>3</x:v>
      </x:c>
      <x:c r="E712" s="84"/>
      <x:c r="F712" s="89" t="n">
        <x:v>45440.59693287037</x:v>
      </x:c>
      <x:c r="G712" s="89"/>
      <x:c r="H712" s="89"/>
      <x:c r="I712" s="89"/>
      <x:c r="J712" s="84" t="str">
        <x:v>Crítica</x:v>
      </x:c>
      <x:c r="K712" s="84" t="str">
        <x:v>Planejada</x:v>
      </x:c>
      <x:c r="L712" s="84" t="str">
        <x:v>Baixa pressão</x:v>
      </x:c>
      <x:c r="M712" s="84"/>
      <x:c r="N712" s="84"/>
      <x:c r="O712" s="84" t="n">
        <x:v>0</x:v>
      </x:c>
      <x:c r="P712" s="93" t="n">
        <x:v>0</x:v>
      </x:c>
      <x:c r="Q712" s="93" t="n">
        <x:v>0</x:v>
      </x:c>
      <x:c r="R712" s="91" t="n">
        <x:v>0</x:v>
      </x:c>
    </x:row>
    <x:row r="713">
      <x:c r="A713" s="83" t="n">
        <x:v>712</x:v>
      </x:c>
      <x:c r="B713" s="84" t="str">
        <x:v>OS-2024-00712</x:v>
      </x:c>
      <x:c r="C713" s="84" t="n">
        <x:v>17</x:v>
      </x:c>
      <x:c r="D713" s="84" t="n">
        <x:v>5</x:v>
      </x:c>
      <x:c r="E713" s="84" t="n">
        <x:v>34</x:v>
      </x:c>
      <x:c r="F713" s="89" t="n">
        <x:v>45318.611805555556</x:v>
      </x:c>
      <x:c r="G713" s="89" t="n">
        <x:v>45327.611805555556</x:v>
      </x:c>
      <x:c r="H713" s="89" t="n">
        <x:v>45319.02847222222</x:v>
      </x:c>
      <x:c r="I713" s="89" t="n">
        <x:v>45319.44513888889</x:v>
      </x:c>
      <x:c r="J713" s="84" t="str">
        <x:v>Média</x:v>
      </x:c>
      <x:c r="K713" s="84" t="str">
        <x:v>Encerrada</x:v>
      </x:c>
      <x:c r="L713" s="84" t="str">
        <x:v>Superaquecimento</x:v>
      </x:c>
      <x:c r="M713" s="84" t="str">
        <x:v>Componente danificado</x:v>
      </x:c>
      <x:c r="N713" s="84" t="str">
        <x:v>Componente ajustado ou substituído</x:v>
      </x:c>
      <x:c r="O713" s="84" t="n">
        <x:v>0</x:v>
      </x:c>
      <x:c r="P713" s="93" t="n">
        <x:v>594.61</x:v>
      </x:c>
      <x:c r="Q713" s="93" t="n">
        <x:v>0</x:v>
      </x:c>
      <x:c r="R713" s="91" t="n">
        <x:v>0</x:v>
      </x:c>
    </x:row>
    <x:row r="714">
      <x:c r="A714" s="83" t="n">
        <x:v>713</x:v>
      </x:c>
      <x:c r="B714" s="84" t="str">
        <x:v>OS-2025-00713</x:v>
      </x:c>
      <x:c r="C714" s="84" t="n">
        <x:v>5</x:v>
      </x:c>
      <x:c r="D714" s="84" t="n">
        <x:v>1</x:v>
      </x:c>
      <x:c r="E714" s="84" t="n">
        <x:v>9</x:v>
      </x:c>
      <x:c r="F714" s="89" t="n">
        <x:v>45707.19569444445</x:v>
      </x:c>
      <x:c r="G714" s="89" t="n">
        <x:v>45708.19569444445</x:v>
      </x:c>
      <x:c r="H714" s="89" t="n">
        <x:v>45709.279027777775</x:v>
      </x:c>
      <x:c r="I714" s="89"/>
      <x:c r="J714" s="84" t="str">
        <x:v>Média</x:v>
      </x:c>
      <x:c r="K714" s="84" t="str">
        <x:v>Em execução</x:v>
      </x:c>
      <x:c r="L714" s="84" t="str">
        <x:v>Alarme intermitente</x:v>
      </x:c>
      <x:c r="M714" s="84" t="str">
        <x:v>Ajuste incorreto</x:v>
      </x:c>
      <x:c r="N714" s="84"/>
      <x:c r="O714" s="84" t="n">
        <x:v>0</x:v>
      </x:c>
      <x:c r="P714" s="93" t="n">
        <x:v>398.7</x:v>
      </x:c>
      <x:c r="Q714" s="93" t="n">
        <x:v>8611.2</x:v>
      </x:c>
      <x:c r="R714" s="91" t="n">
        <x:v>0</x:v>
      </x:c>
    </x:row>
    <x:row r="715">
      <x:c r="A715" s="83" t="n">
        <x:v>714</x:v>
      </x:c>
      <x:c r="B715" s="84" t="str">
        <x:v>OS-2023-00714</x:v>
      </x:c>
      <x:c r="C715" s="84" t="n">
        <x:v>71</x:v>
      </x:c>
      <x:c r="D715" s="84" t="n">
        <x:v>5</x:v>
      </x:c>
      <x:c r="E715" s="84" t="n">
        <x:v>141</x:v>
      </x:c>
      <x:c r="F715" s="89" t="n">
        <x:v>45170.517534722225</x:v>
      </x:c>
      <x:c r="G715" s="89" t="n">
        <x:v>45177.517534722225</x:v>
      </x:c>
      <x:c r="H715" s="89" t="n">
        <x:v>45172.767534722225</x:v>
      </x:c>
      <x:c r="I715" s="89"/>
      <x:c r="J715" s="84" t="str">
        <x:v>Alta</x:v>
      </x:c>
      <x:c r="K715" s="84" t="str">
        <x:v>Aguardando peça</x:v>
      </x:c>
      <x:c r="L715" s="84" t="str">
        <x:v>Superaquecimento</x:v>
      </x:c>
      <x:c r="M715" s="84" t="str">
        <x:v>Conexão frouxa</x:v>
      </x:c>
      <x:c r="N715" s="84"/>
      <x:c r="O715" s="84" t="n">
        <x:v>0</x:v>
      </x:c>
      <x:c r="P715" s="93" t="n">
        <x:v>270.15</x:v>
      </x:c>
      <x:c r="Q715" s="93" t="n">
        <x:v>0</x:v>
      </x:c>
      <x:c r="R715" s="91" t="n">
        <x:v>0</x:v>
      </x:c>
    </x:row>
    <x:row r="716">
      <x:c r="A716" s="83" t="n">
        <x:v>715</x:v>
      </x:c>
      <x:c r="B716" s="84" t="str">
        <x:v>OS-2023-00715</x:v>
      </x:c>
      <x:c r="C716" s="84" t="n">
        <x:v>23</x:v>
      </x:c>
      <x:c r="D716" s="84" t="n">
        <x:v>3</x:v>
      </x:c>
      <x:c r="E716" s="84"/>
      <x:c r="F716" s="89" t="n">
        <x:v>45167.260034722225</x:v>
      </x:c>
      <x:c r="G716" s="89"/>
      <x:c r="H716" s="89" t="n">
        <x:v>45169.84336805555</x:v>
      </x:c>
      <x:c r="I716" s="89" t="n">
        <x:v>45170.385034722225</x:v>
      </x:c>
      <x:c r="J716" s="84" t="str">
        <x:v>Crítica</x:v>
      </x:c>
      <x:c r="K716" s="84" t="str">
        <x:v>Encerrada</x:v>
      </x:c>
      <x:c r="L716" s="84" t="str">
        <x:v>Vazamento</x:v>
      </x:c>
      <x:c r="M716" s="84" t="str">
        <x:v>Conexão frouxa</x:v>
      </x:c>
      <x:c r="N716" s="84" t="str">
        <x:v>Componente ajustado ou substituído</x:v>
      </x:c>
      <x:c r="O716" s="84" t="n">
        <x:v>0</x:v>
      </x:c>
      <x:c r="P716" s="93" t="n">
        <x:v>422.45</x:v>
      </x:c>
      <x:c r="Q716" s="93" t="n">
        <x:v>0</x:v>
      </x:c>
      <x:c r="R716" s="91" t="n">
        <x:v>0</x:v>
      </x:c>
    </x:row>
    <x:row r="717">
      <x:c r="A717" s="83" t="n">
        <x:v>716</x:v>
      </x:c>
      <x:c r="B717" s="84" t="str">
        <x:v>OS-2023-00716</x:v>
      </x:c>
      <x:c r="C717" s="84" t="n">
        <x:v>8</x:v>
      </x:c>
      <x:c r="D717" s="84" t="n">
        <x:v>5</x:v>
      </x:c>
      <x:c r="E717" s="84" t="n">
        <x:v>15</x:v>
      </x:c>
      <x:c r="F717" s="89" t="n">
        <x:v>45027.18902777778</x:v>
      </x:c>
      <x:c r="G717" s="89" t="n">
        <x:v>45039.18902777778</x:v>
      </x:c>
      <x:c r="H717" s="89"/>
      <x:c r="I717" s="89"/>
      <x:c r="J717" s="84" t="str">
        <x:v>Média</x:v>
      </x:c>
      <x:c r="K717" s="84" t="str">
        <x:v>Planejada</x:v>
      </x:c>
      <x:c r="L717" s="84" t="str">
        <x:v>Vazamento</x:v>
      </x:c>
      <x:c r="M717" s="84"/>
      <x:c r="N717" s="84"/>
      <x:c r="O717" s="84" t="n">
        <x:v>0</x:v>
      </x:c>
      <x:c r="P717" s="93" t="n">
        <x:v>0</x:v>
      </x:c>
      <x:c r="Q717" s="93" t="n">
        <x:v>0</x:v>
      </x:c>
      <x:c r="R717" s="91" t="n">
        <x:v>0</x:v>
      </x:c>
    </x:row>
    <x:row r="718">
      <x:c r="A718" s="83" t="n">
        <x:v>717</x:v>
      </x:c>
      <x:c r="B718" s="84" t="str">
        <x:v>OS-2023-00717</x:v>
      </x:c>
      <x:c r="C718" s="84" t="n">
        <x:v>2</x:v>
      </x:c>
      <x:c r="D718" s="84" t="n">
        <x:v>3</x:v>
      </x:c>
      <x:c r="E718" s="84"/>
      <x:c r="F718" s="89" t="n">
        <x:v>44959.84861111111</x:v>
      </x:c>
      <x:c r="G718" s="89"/>
      <x:c r="H718" s="89" t="n">
        <x:v>44962.47361111111</x:v>
      </x:c>
      <x:c r="I718" s="89" t="n">
        <x:v>44962.68194444444</x:v>
      </x:c>
      <x:c r="J718" s="84" t="str">
        <x:v>Crítica</x:v>
      </x:c>
      <x:c r="K718" s="84" t="str">
        <x:v>Encerrada</x:v>
      </x:c>
      <x:c r="L718" s="84" t="str">
        <x:v>Ruído anormal</x:v>
      </x:c>
      <x:c r="M718" s="84" t="str">
        <x:v>Falta de lubrificação</x:v>
      </x:c>
      <x:c r="N718" s="84" t="str">
        <x:v>Componente ajustado ou substituído</x:v>
      </x:c>
      <x:c r="O718" s="84" t="n">
        <x:v>0</x:v>
      </x:c>
      <x:c r="P718" s="93" t="n">
        <x:v>379.16</x:v>
      </x:c>
      <x:c r="Q718" s="93" t="n">
        <x:v>10415.68</x:v>
      </x:c>
      <x:c r="R718" s="91" t="n">
        <x:v>0</x:v>
      </x:c>
    </x:row>
    <x:row r="719">
      <x:c r="A719" s="83" t="n">
        <x:v>718</x:v>
      </x:c>
      <x:c r="B719" s="84" t="str">
        <x:v>OS-2023-00718</x:v>
      </x:c>
      <x:c r="C719" s="84" t="n">
        <x:v>58</x:v>
      </x:c>
      <x:c r="D719" s="84" t="n">
        <x:v>8</x:v>
      </x:c>
      <x:c r="E719" s="84"/>
      <x:c r="F719" s="89" t="n">
        <x:v>45179.4165162037</x:v>
      </x:c>
      <x:c r="G719" s="89" t="n">
        <x:v>45187.4165162037</x:v>
      </x:c>
      <x:c r="H719" s="89" t="n">
        <x:v>45181.083182870374</x:v>
      </x:c>
      <x:c r="I719" s="89" t="n">
        <x:v>45181.87484953704</x:v>
      </x:c>
      <x:c r="J719" s="84" t="str">
        <x:v>Média</x:v>
      </x:c>
      <x:c r="K719" s="84" t="str">
        <x:v>Encerrada</x:v>
      </x:c>
      <x:c r="L719" s="84" t="str">
        <x:v>Baixa pressão</x:v>
      </x:c>
      <x:c r="M719" s="84" t="str">
        <x:v>Ajuste incorreto</x:v>
      </x:c>
      <x:c r="N719" s="84" t="str">
        <x:v>Componente ajustado ou substituído</x:v>
      </x:c>
      <x:c r="O719" s="84" t="n">
        <x:v>0</x:v>
      </x:c>
      <x:c r="P719" s="93" t="n">
        <x:v>915.13</x:v>
      </x:c>
      <x:c r="Q719" s="93" t="n">
        <x:v>4792.02</x:v>
      </x:c>
      <x:c r="R719" s="91" t="n">
        <x:v>0</x:v>
      </x:c>
    </x:row>
    <x:row r="720">
      <x:c r="A720" s="83" t="n">
        <x:v>719</x:v>
      </x:c>
      <x:c r="B720" s="84" t="str">
        <x:v>OS-2024-00719</x:v>
      </x:c>
      <x:c r="C720" s="84" t="n">
        <x:v>14</x:v>
      </x:c>
      <x:c r="D720" s="84" t="n">
        <x:v>9</x:v>
      </x:c>
      <x:c r="E720" s="84"/>
      <x:c r="F720" s="89" t="n">
        <x:v>45584.697604166664</x:v>
      </x:c>
      <x:c r="G720" s="89" t="n">
        <x:v>45586.697604166664</x:v>
      </x:c>
      <x:c r="H720" s="89" t="n">
        <x:v>45586.1559375</x:v>
      </x:c>
      <x:c r="I720" s="89" t="n">
        <x:v>45586.989270833335</x:v>
      </x:c>
      <x:c r="J720" s="84" t="str">
        <x:v>Crítica</x:v>
      </x:c>
      <x:c r="K720" s="84" t="str">
        <x:v>Encerrada</x:v>
      </x:c>
      <x:c r="L720" s="84" t="str">
        <x:v>Baixa pressão</x:v>
      </x:c>
      <x:c r="M720" s="84" t="str">
        <x:v>Conexão frouxa</x:v>
      </x:c>
      <x:c r="N720" s="84" t="str">
        <x:v>Componente ajustado ou substituído</x:v>
      </x:c>
      <x:c r="O720" s="84" t="n">
        <x:v>0</x:v>
      </x:c>
      <x:c r="P720" s="93" t="n">
        <x:v>485.77</x:v>
      </x:c>
      <x:c r="Q720" s="93" t="n">
        <x:v>3967.27</x:v>
      </x:c>
      <x:c r="R720" s="91" t="n">
        <x:v>0</x:v>
      </x:c>
    </x:row>
    <x:row r="721">
      <x:c r="A721" s="83" t="n">
        <x:v>720</x:v>
      </x:c>
      <x:c r="B721" s="84" t="str">
        <x:v>OS-2025-00720</x:v>
      </x:c>
      <x:c r="C721" s="84" t="n">
        <x:v>42</x:v>
      </x:c>
      <x:c r="D721" s="84" t="n">
        <x:v>3</x:v>
      </x:c>
      <x:c r="E721" s="84"/>
      <x:c r="F721" s="89" t="n">
        <x:v>45984.401967592596</x:v>
      </x:c>
      <x:c r="G721" s="89"/>
      <x:c r="H721" s="89" t="n">
        <x:v>45987.19363425926</x:v>
      </x:c>
      <x:c r="I721" s="89" t="n">
        <x:v>45987.276967592596</x:v>
      </x:c>
      <x:c r="J721" s="84" t="str">
        <x:v>Média</x:v>
      </x:c>
      <x:c r="K721" s="84" t="str">
        <x:v>Concluída</x:v>
      </x:c>
      <x:c r="L721" s="84" t="str">
        <x:v>Desalinhamento</x:v>
      </x:c>
      <x:c r="M721" s="84" t="str">
        <x:v>Conexão frouxa</x:v>
      </x:c>
      <x:c r="N721" s="84" t="str">
        <x:v>Componente ajustado ou substituído</x:v>
      </x:c>
      <x:c r="O721" s="84" t="n">
        <x:v>0</x:v>
      </x:c>
      <x:c r="P721" s="93" t="n">
        <x:v>677.43</x:v>
      </x:c>
      <x:c r="Q721" s="93" t="n">
        <x:v>880.63</x:v>
      </x:c>
      <x:c r="R721" s="91" t="n">
        <x:v>0</x:v>
      </x:c>
    </x:row>
    <x:row r="722">
      <x:c r="A722" s="83" t="n">
        <x:v>721</x:v>
      </x:c>
      <x:c r="B722" s="84" t="str">
        <x:v>OS-2025-00721</x:v>
      </x:c>
      <x:c r="C722" s="84" t="n">
        <x:v>81</x:v>
      </x:c>
      <x:c r="D722" s="84" t="n">
        <x:v>4</x:v>
      </x:c>
      <x:c r="E722" s="84"/>
      <x:c r="F722" s="89" t="n">
        <x:v>45777.64208333333</x:v>
      </x:c>
      <x:c r="G722" s="89" t="n">
        <x:v>45784.64208333333</x:v>
      </x:c>
      <x:c r="H722" s="89" t="n">
        <x:v>45780.39208333333</x:v>
      </x:c>
      <x:c r="I722" s="89"/>
      <x:c r="J722" s="84" t="str">
        <x:v>Alta</x:v>
      </x:c>
      <x:c r="K722" s="84" t="str">
        <x:v>Aguardando peça</x:v>
      </x:c>
      <x:c r="L722" s="84" t="str">
        <x:v>Alarme intermitente</x:v>
      </x:c>
      <x:c r="M722" s="84" t="str">
        <x:v>Componente danificado</x:v>
      </x:c>
      <x:c r="N722" s="84"/>
      <x:c r="O722" s="84" t="n">
        <x:v>0</x:v>
      </x:c>
      <x:c r="P722" s="93" t="n">
        <x:v>342.09</x:v>
      </x:c>
      <x:c r="Q722" s="93" t="n">
        <x:v>1590.92</x:v>
      </x:c>
      <x:c r="R722" s="91" t="n">
        <x:v>0</x:v>
      </x:c>
    </x:row>
    <x:row r="723">
      <x:c r="A723" s="83" t="n">
        <x:v>722</x:v>
      </x:c>
      <x:c r="B723" s="84" t="str">
        <x:v>OS-2025-00722</x:v>
      </x:c>
      <x:c r="C723" s="84" t="n">
        <x:v>8</x:v>
      </x:c>
      <x:c r="D723" s="84" t="n">
        <x:v>8</x:v>
      </x:c>
      <x:c r="E723" s="84"/>
      <x:c r="F723" s="89" t="n">
        <x:v>45706.239340277774</x:v>
      </x:c>
      <x:c r="G723" s="89" t="n">
        <x:v>45708.239340277774</x:v>
      </x:c>
      <x:c r="H723" s="89" t="n">
        <x:v>45708.57267361111</x:v>
      </x:c>
      <x:c r="I723" s="89"/>
      <x:c r="J723" s="84" t="str">
        <x:v>Alta</x:v>
      </x:c>
      <x:c r="K723" s="84" t="str">
        <x:v>Aguardando peça</x:v>
      </x:c>
      <x:c r="L723" s="84" t="str">
        <x:v>Vazamento</x:v>
      </x:c>
      <x:c r="M723" s="84" t="str">
        <x:v>Conexão frouxa</x:v>
      </x:c>
      <x:c r="N723" s="84"/>
      <x:c r="O723" s="84" t="n">
        <x:v>0</x:v>
      </x:c>
      <x:c r="P723" s="93" t="n">
        <x:v>383.6</x:v>
      </x:c>
      <x:c r="Q723" s="93" t="n">
        <x:v>0</x:v>
      </x:c>
      <x:c r="R723" s="91" t="n">
        <x:v>0</x:v>
      </x:c>
    </x:row>
    <x:row r="724">
      <x:c r="A724" s="83" t="n">
        <x:v>723</x:v>
      </x:c>
      <x:c r="B724" s="84" t="str">
        <x:v>OS-2025-00723</x:v>
      </x:c>
      <x:c r="C724" s="84" t="n">
        <x:v>22</x:v>
      </x:c>
      <x:c r="D724" s="84" t="n">
        <x:v>7</x:v>
      </x:c>
      <x:c r="E724" s="84" t="n">
        <x:v>43</x:v>
      </x:c>
      <x:c r="F724" s="89" t="n">
        <x:v>45662.84306712963</x:v>
      </x:c>
      <x:c r="G724" s="89" t="n">
        <x:v>45670.84306712963</x:v>
      </x:c>
      <x:c r="H724" s="89" t="n">
        <x:v>45665.801400462966</x:v>
      </x:c>
      <x:c r="I724" s="89" t="n">
        <x:v>45666.259733796294</x:v>
      </x:c>
      <x:c r="J724" s="84" t="str">
        <x:v>Alta</x:v>
      </x:c>
      <x:c r="K724" s="84" t="str">
        <x:v>Encerrada</x:v>
      </x:c>
      <x:c r="L724" s="84" t="str">
        <x:v>Ruído anormal</x:v>
      </x:c>
      <x:c r="M724" s="84" t="str">
        <x:v>Componente danificado</x:v>
      </x:c>
      <x:c r="N724" s="84" t="str">
        <x:v>Componente ajustado ou substituído</x:v>
      </x:c>
      <x:c r="O724" s="84" t="n">
        <x:v>0</x:v>
      </x:c>
      <x:c r="P724" s="93" t="n">
        <x:v>479.94</x:v>
      </x:c>
      <x:c r="Q724" s="93" t="n">
        <x:v>1179.06</x:v>
      </x:c>
      <x:c r="R724" s="91" t="n">
        <x:v>0</x:v>
      </x:c>
    </x:row>
    <x:row r="725">
      <x:c r="A725" s="83" t="n">
        <x:v>724</x:v>
      </x:c>
      <x:c r="B725" s="84" t="str">
        <x:v>OS-2024-00724</x:v>
      </x:c>
      <x:c r="C725" s="84" t="n">
        <x:v>3</x:v>
      </x:c>
      <x:c r="D725" s="84" t="n">
        <x:v>2</x:v>
      </x:c>
      <x:c r="E725" s="84"/>
      <x:c r="F725" s="89" t="n">
        <x:v>45644.81219907408</x:v>
      </x:c>
      <x:c r="G725" s="89" t="n">
        <x:v>45659.81219907408</x:v>
      </x:c>
      <x:c r="H725" s="89"/>
      <x:c r="I725" s="89"/>
      <x:c r="J725" s="84" t="str">
        <x:v>Alta</x:v>
      </x:c>
      <x:c r="K725" s="84" t="str">
        <x:v>Planejada</x:v>
      </x:c>
      <x:c r="L725" s="84" t="str">
        <x:v>Alarme intermitente</x:v>
      </x:c>
      <x:c r="M725" s="84"/>
      <x:c r="N725" s="84"/>
      <x:c r="O725" s="84" t="n">
        <x:v>0</x:v>
      </x:c>
      <x:c r="P725" s="93" t="n">
        <x:v>0</x:v>
      </x:c>
      <x:c r="Q725" s="93" t="n">
        <x:v>0</x:v>
      </x:c>
      <x:c r="R725" s="91" t="n">
        <x:v>0</x:v>
      </x:c>
    </x:row>
    <x:row r="726">
      <x:c r="A726" s="83" t="n">
        <x:v>725</x:v>
      </x:c>
      <x:c r="B726" s="84" t="str">
        <x:v>OS-2023-00725</x:v>
      </x:c>
      <x:c r="C726" s="84" t="n">
        <x:v>34</x:v>
      </x:c>
      <x:c r="D726" s="84" t="n">
        <x:v>7</x:v>
      </x:c>
      <x:c r="E726" s="84" t="n">
        <x:v>68</x:v>
      </x:c>
      <x:c r="F726" s="89" t="n">
        <x:v>45080.474594907406</x:v>
      </x:c>
      <x:c r="G726" s="89" t="n">
        <x:v>45088.474594907406</x:v>
      </x:c>
      <x:c r="H726" s="89" t="n">
        <x:v>45081.30792824074</x:v>
      </x:c>
      <x:c r="I726" s="89"/>
      <x:c r="J726" s="84" t="str">
        <x:v>Crítica</x:v>
      </x:c>
      <x:c r="K726" s="84" t="str">
        <x:v>Em execução</x:v>
      </x:c>
      <x:c r="L726" s="84" t="str">
        <x:v>Superaquecimento</x:v>
      </x:c>
      <x:c r="M726" s="84" t="str">
        <x:v>Conexão frouxa</x:v>
      </x:c>
      <x:c r="N726" s="84"/>
      <x:c r="O726" s="84" t="n">
        <x:v>0</x:v>
      </x:c>
      <x:c r="P726" s="93" t="n">
        <x:v>213.81</x:v>
      </x:c>
      <x:c r="Q726" s="93" t="n">
        <x:v>11630.65</x:v>
      </x:c>
      <x:c r="R726" s="91" t="n">
        <x:v>0</x:v>
      </x:c>
    </x:row>
    <x:row r="727">
      <x:c r="A727" s="83" t="n">
        <x:v>726</x:v>
      </x:c>
      <x:c r="B727" s="84" t="str">
        <x:v>OS-2025-00726</x:v>
      </x:c>
      <x:c r="C727" s="84" t="n">
        <x:v>32</x:v>
      </x:c>
      <x:c r="D727" s="84" t="n">
        <x:v>7</x:v>
      </x:c>
      <x:c r="E727" s="84" t="n">
        <x:v>64</x:v>
      </x:c>
      <x:c r="F727" s="89" t="n">
        <x:v>45733.12290509259</x:v>
      </x:c>
      <x:c r="G727" s="89" t="n">
        <x:v>45744.12290509259</x:v>
      </x:c>
      <x:c r="H727" s="89" t="n">
        <x:v>45733.99790509259</x:v>
      </x:c>
      <x:c r="I727" s="89" t="n">
        <x:v>45734.37290509259</x:v>
      </x:c>
      <x:c r="J727" s="84" t="str">
        <x:v>Crítica</x:v>
      </x:c>
      <x:c r="K727" s="84" t="str">
        <x:v>Concluída</x:v>
      </x:c>
      <x:c r="L727" s="84" t="str">
        <x:v>Desalinhamento</x:v>
      </x:c>
      <x:c r="M727" s="84" t="str">
        <x:v>Desgaste natural</x:v>
      </x:c>
      <x:c r="N727" s="84" t="str">
        <x:v>Componente ajustado ou substituído</x:v>
      </x:c>
      <x:c r="O727" s="84" t="n">
        <x:v>0</x:v>
      </x:c>
      <x:c r="P727" s="93" t="n">
        <x:v>414.94</x:v>
      </x:c>
      <x:c r="Q727" s="93" t="n">
        <x:v>0</x:v>
      </x:c>
      <x:c r="R727" s="91" t="n">
        <x:v>0</x:v>
      </x:c>
    </x:row>
    <x:row r="728">
      <x:c r="A728" s="83" t="n">
        <x:v>727</x:v>
      </x:c>
      <x:c r="B728" s="84" t="str">
        <x:v>OS-2025-00727</x:v>
      </x:c>
      <x:c r="C728" s="84" t="n">
        <x:v>57</x:v>
      </x:c>
      <x:c r="D728" s="84" t="n">
        <x:v>1</x:v>
      </x:c>
      <x:c r="E728" s="84" t="n">
        <x:v>113</x:v>
      </x:c>
      <x:c r="F728" s="89" t="n">
        <x:v>45946.39910879629</x:v>
      </x:c>
      <x:c r="G728" s="89" t="n">
        <x:v>45953.39910879629</x:v>
      </x:c>
      <x:c r="H728" s="89" t="n">
        <x:v>45947.815775462965</x:v>
      </x:c>
      <x:c r="I728" s="89" t="n">
        <x:v>45948.39910879629</x:v>
      </x:c>
      <x:c r="J728" s="84" t="str">
        <x:v>Alta</x:v>
      </x:c>
      <x:c r="K728" s="84" t="str">
        <x:v>Encerrada</x:v>
      </x:c>
      <x:c r="L728" s="84" t="str">
        <x:v>Vazamento</x:v>
      </x:c>
      <x:c r="M728" s="84" t="str">
        <x:v>Contaminação</x:v>
      </x:c>
      <x:c r="N728" s="84" t="str">
        <x:v>Componente ajustado ou substituído</x:v>
      </x:c>
      <x:c r="O728" s="84" t="n">
        <x:v>0</x:v>
      </x:c>
      <x:c r="P728" s="93" t="n">
        <x:v>745.84</x:v>
      </x:c>
      <x:c r="Q728" s="93" t="n">
        <x:v>8413.26</x:v>
      </x:c>
      <x:c r="R728" s="91" t="n">
        <x:v>0</x:v>
      </x:c>
    </x:row>
    <x:row r="729">
      <x:c r="A729" s="83" t="n">
        <x:v>728</x:v>
      </x:c>
      <x:c r="B729" s="84" t="str">
        <x:v>OS-2024-00728</x:v>
      </x:c>
      <x:c r="C729" s="84" t="n">
        <x:v>30</x:v>
      </x:c>
      <x:c r="D729" s="84" t="n">
        <x:v>3</x:v>
      </x:c>
      <x:c r="E729" s="84"/>
      <x:c r="F729" s="89" t="n">
        <x:v>45300.953368055554</x:v>
      </x:c>
      <x:c r="G729" s="89"/>
      <x:c r="H729" s="89" t="n">
        <x:v>45301.28670138889</x:v>
      </x:c>
      <x:c r="I729" s="89" t="n">
        <x:v>45302.03670138889</x:v>
      </x:c>
      <x:c r="J729" s="84" t="str">
        <x:v>Média</x:v>
      </x:c>
      <x:c r="K729" s="84" t="str">
        <x:v>Encerrada</x:v>
      </x:c>
      <x:c r="L729" s="84" t="str">
        <x:v>Falha elétrica</x:v>
      </x:c>
      <x:c r="M729" s="84" t="str">
        <x:v>Desgaste natural</x:v>
      </x:c>
      <x:c r="N729" s="84" t="str">
        <x:v>Componente ajustado ou substituído</x:v>
      </x:c>
      <x:c r="O729" s="84" t="n">
        <x:v>0</x:v>
      </x:c>
      <x:c r="P729" s="93" t="n">
        <x:v>468</x:v>
      </x:c>
      <x:c r="Q729" s="93" t="n">
        <x:v>0</x:v>
      </x:c>
      <x:c r="R729" s="91" t="n">
        <x:v>2299.03</x:v>
      </x:c>
    </x:row>
    <x:row r="730">
      <x:c r="A730" s="83" t="n">
        <x:v>729</x:v>
      </x:c>
      <x:c r="B730" s="84" t="str">
        <x:v>OS-2024-00729</x:v>
      </x:c>
      <x:c r="C730" s="84" t="n">
        <x:v>63</x:v>
      </x:c>
      <x:c r="D730" s="84" t="n">
        <x:v>9</x:v>
      </x:c>
      <x:c r="E730" s="84"/>
      <x:c r="F730" s="89" t="n">
        <x:v>45472.825266203705</x:v>
      </x:c>
      <x:c r="G730" s="89" t="n">
        <x:v>45485.825266203705</x:v>
      </x:c>
      <x:c r="H730" s="89" t="n">
        <x:v>45475.15859953704</x:v>
      </x:c>
      <x:c r="I730" s="89"/>
      <x:c r="J730" s="84" t="str">
        <x:v>Alta</x:v>
      </x:c>
      <x:c r="K730" s="84" t="str">
        <x:v>Aguardando peça</x:v>
      </x:c>
      <x:c r="L730" s="84" t="str">
        <x:v>Baixa pressão</x:v>
      </x:c>
      <x:c r="M730" s="84" t="str">
        <x:v>Conexão frouxa</x:v>
      </x:c>
      <x:c r="N730" s="84"/>
      <x:c r="O730" s="84" t="n">
        <x:v>0</x:v>
      </x:c>
      <x:c r="P730" s="93" t="n">
        <x:v>21.22</x:v>
      </x:c>
      <x:c r="Q730" s="93" t="n">
        <x:v>9438.99</x:v>
      </x:c>
      <x:c r="R730" s="91" t="n">
        <x:v>0</x:v>
      </x:c>
    </x:row>
    <x:row r="731">
      <x:c r="A731" s="83" t="n">
        <x:v>730</x:v>
      </x:c>
      <x:c r="B731" s="84" t="str">
        <x:v>OS-2025-00730</x:v>
      </x:c>
      <x:c r="C731" s="84" t="n">
        <x:v>10</x:v>
      </x:c>
      <x:c r="D731" s="84" t="n">
        <x:v>5</x:v>
      </x:c>
      <x:c r="E731" s="84" t="n">
        <x:v>20</x:v>
      </x:c>
      <x:c r="F731" s="89" t="n">
        <x:v>45817.64811342592</x:v>
      </x:c>
      <x:c r="G731" s="89" t="n">
        <x:v>45829.64811342592</x:v>
      </x:c>
      <x:c r="H731" s="89" t="n">
        <x:v>45817.814780092594</x:v>
      </x:c>
      <x:c r="I731" s="89" t="n">
        <x:v>45818.02311342592</x:v>
      </x:c>
      <x:c r="J731" s="84" t="str">
        <x:v>Média</x:v>
      </x:c>
      <x:c r="K731" s="84" t="str">
        <x:v>Encerrada</x:v>
      </x:c>
      <x:c r="L731" s="84" t="str">
        <x:v>Desalinhamento</x:v>
      </x:c>
      <x:c r="M731" s="84" t="str">
        <x:v>Desgaste natural</x:v>
      </x:c>
      <x:c r="N731" s="84" t="str">
        <x:v>Componente ajustado ou substituído</x:v>
      </x:c>
      <x:c r="O731" s="84" t="n">
        <x:v>0</x:v>
      </x:c>
      <x:c r="P731" s="93" t="n">
        <x:v>72.9</x:v>
      </x:c>
      <x:c r="Q731" s="93" t="n">
        <x:v>13817.2</x:v>
      </x:c>
      <x:c r="R731" s="91" t="n">
        <x:v>0</x:v>
      </x:c>
    </x:row>
    <x:row r="732">
      <x:c r="A732" s="83" t="n">
        <x:v>731</x:v>
      </x:c>
      <x:c r="B732" s="84" t="str">
        <x:v>OS-2025-00731</x:v>
      </x:c>
      <x:c r="C732" s="84" t="n">
        <x:v>10</x:v>
      </x:c>
      <x:c r="D732" s="84" t="n">
        <x:v>4</x:v>
      </x:c>
      <x:c r="E732" s="84"/>
      <x:c r="F732" s="89" t="n">
        <x:v>45671.09915509259</x:v>
      </x:c>
      <x:c r="G732" s="89" t="n">
        <x:v>45684.09915509259</x:v>
      </x:c>
      <x:c r="H732" s="89"/>
      <x:c r="I732" s="89"/>
      <x:c r="J732" s="84" t="str">
        <x:v>Baixa</x:v>
      </x:c>
      <x:c r="K732" s="84" t="str">
        <x:v>Planejada</x:v>
      </x:c>
      <x:c r="L732" s="84" t="str">
        <x:v>Baixa pressão</x:v>
      </x:c>
      <x:c r="M732" s="84"/>
      <x:c r="N732" s="84"/>
      <x:c r="O732" s="84" t="n">
        <x:v>0</x:v>
      </x:c>
      <x:c r="P732" s="93" t="n">
        <x:v>0</x:v>
      </x:c>
      <x:c r="Q732" s="93" t="n">
        <x:v>0</x:v>
      </x:c>
      <x:c r="R732" s="91" t="n">
        <x:v>0</x:v>
      </x:c>
    </x:row>
    <x:row r="733">
      <x:c r="A733" s="83" t="n">
        <x:v>732</x:v>
      </x:c>
      <x:c r="B733" s="84" t="str">
        <x:v>OS-2023-00732</x:v>
      </x:c>
      <x:c r="C733" s="84" t="n">
        <x:v>6</x:v>
      </x:c>
      <x:c r="D733" s="84" t="n">
        <x:v>6</x:v>
      </x:c>
      <x:c r="E733" s="84"/>
      <x:c r="F733" s="89" t="n">
        <x:v>45059.95966435185</x:v>
      </x:c>
      <x:c r="G733" s="89" t="n">
        <x:v>45062.95966435185</x:v>
      </x:c>
      <x:c r="H733" s="89"/>
      <x:c r="I733" s="89"/>
      <x:c r="J733" s="84" t="str">
        <x:v>Baixa</x:v>
      </x:c>
      <x:c r="K733" s="84" t="str">
        <x:v>Planejada</x:v>
      </x:c>
      <x:c r="L733" s="84" t="str">
        <x:v>Baixa pressão</x:v>
      </x:c>
      <x:c r="M733" s="84"/>
      <x:c r="N733" s="84"/>
      <x:c r="O733" s="84" t="n">
        <x:v>0</x:v>
      </x:c>
      <x:c r="P733" s="93" t="n">
        <x:v>0</x:v>
      </x:c>
      <x:c r="Q733" s="93" t="n">
        <x:v>0</x:v>
      </x:c>
      <x:c r="R733" s="91" t="n">
        <x:v>0</x:v>
      </x:c>
    </x:row>
    <x:row r="734">
      <x:c r="A734" s="83" t="n">
        <x:v>733</x:v>
      </x:c>
      <x:c r="B734" s="84" t="str">
        <x:v>OS-2024-00733</x:v>
      </x:c>
      <x:c r="C734" s="84" t="n">
        <x:v>1</x:v>
      </x:c>
      <x:c r="D734" s="84" t="n">
        <x:v>1</x:v>
      </x:c>
      <x:c r="E734" s="84" t="n">
        <x:v>1</x:v>
      </x:c>
      <x:c r="F734" s="89" t="n">
        <x:v>45454.32047453704</x:v>
      </x:c>
      <x:c r="G734" s="89" t="n">
        <x:v>45461.32047453704</x:v>
      </x:c>
      <x:c r="H734" s="89" t="n">
        <x:v>45456.77880787037</x:v>
      </x:c>
      <x:c r="I734" s="89"/>
      <x:c r="J734" s="84" t="str">
        <x:v>Baixa</x:v>
      </x:c>
      <x:c r="K734" s="84" t="str">
        <x:v>Em execução</x:v>
      </x:c>
      <x:c r="L734" s="84" t="str">
        <x:v>Falha elétrica</x:v>
      </x:c>
      <x:c r="M734" s="84" t="str">
        <x:v>Conexão frouxa</x:v>
      </x:c>
      <x:c r="N734" s="84"/>
      <x:c r="O734" s="84" t="n">
        <x:v>0</x:v>
      </x:c>
      <x:c r="P734" s="93" t="n">
        <x:v>58.63</x:v>
      </x:c>
      <x:c r="Q734" s="93" t="n">
        <x:v>719.81</x:v>
      </x:c>
      <x:c r="R734" s="91" t="n">
        <x:v>11909.99</x:v>
      </x:c>
    </x:row>
    <x:row r="735">
      <x:c r="A735" s="83" t="n">
        <x:v>734</x:v>
      </x:c>
      <x:c r="B735" s="84" t="str">
        <x:v>OS-2023-00734</x:v>
      </x:c>
      <x:c r="C735" s="84" t="n">
        <x:v>16</x:v>
      </x:c>
      <x:c r="D735" s="84" t="n">
        <x:v>8</x:v>
      </x:c>
      <x:c r="E735" s="84"/>
      <x:c r="F735" s="89" t="n">
        <x:v>45139.76478009259</x:v>
      </x:c>
      <x:c r="G735" s="89" t="n">
        <x:v>45140.76478009259</x:v>
      </x:c>
      <x:c r="H735" s="89" t="n">
        <x:v>45139.84811342593</x:v>
      </x:c>
      <x:c r="I735" s="89" t="n">
        <x:v>45140.34811342593</x:v>
      </x:c>
      <x:c r="J735" s="84" t="str">
        <x:v>Baixa</x:v>
      </x:c>
      <x:c r="K735" s="84" t="str">
        <x:v>Encerrada</x:v>
      </x:c>
      <x:c r="L735" s="84" t="str">
        <x:v>Falha elétrica</x:v>
      </x:c>
      <x:c r="M735" s="84" t="str">
        <x:v>Componente danificado</x:v>
      </x:c>
      <x:c r="N735" s="84" t="str">
        <x:v>Componente ajustado ou substituído</x:v>
      </x:c>
      <x:c r="O735" s="84" t="n">
        <x:v>0</x:v>
      </x:c>
      <x:c r="P735" s="93" t="n">
        <x:v>196.5</x:v>
      </x:c>
      <x:c r="Q735" s="93" t="n">
        <x:v>4229.91</x:v>
      </x:c>
      <x:c r="R735" s="91" t="n">
        <x:v>0</x:v>
      </x:c>
    </x:row>
    <x:row r="736">
      <x:c r="A736" s="83" t="n">
        <x:v>735</x:v>
      </x:c>
      <x:c r="B736" s="84" t="str">
        <x:v>OS-2024-00735</x:v>
      </x:c>
      <x:c r="C736" s="84" t="n">
        <x:v>22</x:v>
      </x:c>
      <x:c r="D736" s="84" t="n">
        <x:v>5</x:v>
      </x:c>
      <x:c r="E736" s="84" t="n">
        <x:v>43</x:v>
      </x:c>
      <x:c r="F736" s="89" t="n">
        <x:v>45551.07880787037</x:v>
      </x:c>
      <x:c r="G736" s="89" t="n">
        <x:v>45558.07880787037</x:v>
      </x:c>
      <x:c r="H736" s="89"/>
      <x:c r="I736" s="89"/>
      <x:c r="J736" s="84" t="str">
        <x:v>Alta</x:v>
      </x:c>
      <x:c r="K736" s="84" t="str">
        <x:v>Planejada</x:v>
      </x:c>
      <x:c r="L736" s="84" t="str">
        <x:v>Baixa pressão</x:v>
      </x:c>
      <x:c r="M736" s="84"/>
      <x:c r="N736" s="84"/>
      <x:c r="O736" s="84" t="n">
        <x:v>0</x:v>
      </x:c>
      <x:c r="P736" s="93" t="n">
        <x:v>0</x:v>
      </x:c>
      <x:c r="Q736" s="93" t="n">
        <x:v>0</x:v>
      </x:c>
      <x:c r="R736" s="91" t="n">
        <x:v>0</x:v>
      </x:c>
    </x:row>
    <x:row r="737">
      <x:c r="A737" s="83" t="n">
        <x:v>736</x:v>
      </x:c>
      <x:c r="B737" s="84" t="str">
        <x:v>OS-2025-00736</x:v>
      </x:c>
      <x:c r="C737" s="84" t="n">
        <x:v>15</x:v>
      </x:c>
      <x:c r="D737" s="84" t="n">
        <x:v>4</x:v>
      </x:c>
      <x:c r="E737" s="84"/>
      <x:c r="F737" s="89" t="n">
        <x:v>45755.731099537035</x:v>
      </x:c>
      <x:c r="G737" s="89" t="n">
        <x:v>45770.731099537035</x:v>
      </x:c>
      <x:c r="H737" s="89"/>
      <x:c r="I737" s="89"/>
      <x:c r="J737" s="84" t="str">
        <x:v>Média</x:v>
      </x:c>
      <x:c r="K737" s="84" t="str">
        <x:v>Planejada</x:v>
      </x:c>
      <x:c r="L737" s="84" t="str">
        <x:v>Vazamento</x:v>
      </x:c>
      <x:c r="M737" s="84"/>
      <x:c r="N737" s="84"/>
      <x:c r="O737" s="84" t="n">
        <x:v>0</x:v>
      </x:c>
      <x:c r="P737" s="93" t="n">
        <x:v>0</x:v>
      </x:c>
      <x:c r="Q737" s="93" t="n">
        <x:v>0</x:v>
      </x:c>
      <x:c r="R737" s="91" t="n">
        <x:v>0</x:v>
      </x:c>
    </x:row>
    <x:row r="738">
      <x:c r="A738" s="83" t="n">
        <x:v>737</x:v>
      </x:c>
      <x:c r="B738" s="84" t="str">
        <x:v>OS-2025-00737</x:v>
      </x:c>
      <x:c r="C738" s="84" t="n">
        <x:v>27</x:v>
      </x:c>
      <x:c r="D738" s="84" t="n">
        <x:v>3</x:v>
      </x:c>
      <x:c r="E738" s="84"/>
      <x:c r="F738" s="89" t="n">
        <x:v>45677.76809027778</x:v>
      </x:c>
      <x:c r="G738" s="89"/>
      <x:c r="H738" s="89" t="n">
        <x:v>45678.93475694444</x:v>
      </x:c>
      <x:c r="I738" s="89" t="n">
        <x:v>45679.76809027778</x:v>
      </x:c>
      <x:c r="J738" s="84" t="str">
        <x:v>Média</x:v>
      </x:c>
      <x:c r="K738" s="84" t="str">
        <x:v>Encerrada</x:v>
      </x:c>
      <x:c r="L738" s="84" t="str">
        <x:v>Falha elétrica</x:v>
      </x:c>
      <x:c r="M738" s="84" t="str">
        <x:v>Conexão frouxa</x:v>
      </x:c>
      <x:c r="N738" s="84" t="str">
        <x:v>Componente ajustado ou substituído</x:v>
      </x:c>
      <x:c r="O738" s="84" t="n">
        <x:v>0</x:v>
      </x:c>
      <x:c r="P738" s="93" t="n">
        <x:v>28.04</x:v>
      </x:c>
      <x:c r="Q738" s="93" t="n">
        <x:v>0</x:v>
      </x:c>
      <x:c r="R738" s="91" t="n">
        <x:v>0</x:v>
      </x:c>
    </x:row>
    <x:row r="739">
      <x:c r="A739" s="83" t="n">
        <x:v>738</x:v>
      </x:c>
      <x:c r="B739" s="84" t="str">
        <x:v>OS-2025-00738</x:v>
      </x:c>
      <x:c r="C739" s="84" t="n">
        <x:v>72</x:v>
      </x:c>
      <x:c r="D739" s="84" t="n">
        <x:v>1</x:v>
      </x:c>
      <x:c r="E739" s="84" t="n">
        <x:v>143</x:v>
      </x:c>
      <x:c r="F739" s="89" t="n">
        <x:v>45934.28086805555</x:v>
      </x:c>
      <x:c r="G739" s="89" t="n">
        <x:v>45944.28086805555</x:v>
      </x:c>
      <x:c r="H739" s="89" t="n">
        <x:v>45936.53086805555</x:v>
      </x:c>
      <x:c r="I739" s="89" t="n">
        <x:v>45937.11420138889</x:v>
      </x:c>
      <x:c r="J739" s="84" t="str">
        <x:v>Média</x:v>
      </x:c>
      <x:c r="K739" s="84" t="str">
        <x:v>Encerrada</x:v>
      </x:c>
      <x:c r="L739" s="84" t="str">
        <x:v>Superaquecimento</x:v>
      </x:c>
      <x:c r="M739" s="84" t="str">
        <x:v>Contaminação</x:v>
      </x:c>
      <x:c r="N739" s="84" t="str">
        <x:v>Componente ajustado ou substituído</x:v>
      </x:c>
      <x:c r="O739" s="84" t="n">
        <x:v>0</x:v>
      </x:c>
      <x:c r="P739" s="93" t="n">
        <x:v>706.49</x:v>
      </x:c>
      <x:c r="Q739" s="93" t="n">
        <x:v>11483.54</x:v>
      </x:c>
      <x:c r="R739" s="91" t="n">
        <x:v>9240.97</x:v>
      </x:c>
    </x:row>
    <x:row r="740">
      <x:c r="A740" s="83" t="n">
        <x:v>739</x:v>
      </x:c>
      <x:c r="B740" s="84" t="str">
        <x:v>OS-2023-00739</x:v>
      </x:c>
      <x:c r="C740" s="84" t="n">
        <x:v>12</x:v>
      </x:c>
      <x:c r="D740" s="84" t="n">
        <x:v>6</x:v>
      </x:c>
      <x:c r="E740" s="84"/>
      <x:c r="F740" s="89" t="n">
        <x:v>45113.325902777775</x:v>
      </x:c>
      <x:c r="G740" s="89" t="n">
        <x:v>45123.325902777775</x:v>
      </x:c>
      <x:c r="H740" s="89" t="n">
        <x:v>45114.78423611111</x:v>
      </x:c>
      <x:c r="I740" s="89" t="n">
        <x:v>45114.950902777775</x:v>
      </x:c>
      <x:c r="J740" s="84" t="str">
        <x:v>Crítica</x:v>
      </x:c>
      <x:c r="K740" s="84" t="str">
        <x:v>Encerrada</x:v>
      </x:c>
      <x:c r="L740" s="84" t="str">
        <x:v>Vazamento</x:v>
      </x:c>
      <x:c r="M740" s="84" t="str">
        <x:v>Componente danificado</x:v>
      </x:c>
      <x:c r="N740" s="84" t="str">
        <x:v>Componente ajustado ou substituído</x:v>
      </x:c>
      <x:c r="O740" s="84" t="n">
        <x:v>0</x:v>
      </x:c>
      <x:c r="P740" s="93" t="n">
        <x:v>819.34</x:v>
      </x:c>
      <x:c r="Q740" s="93" t="n">
        <x:v>0</x:v>
      </x:c>
      <x:c r="R740" s="91" t="n">
        <x:v>0</x:v>
      </x:c>
    </x:row>
    <x:row r="741">
      <x:c r="A741" s="83" t="n">
        <x:v>740</x:v>
      </x:c>
      <x:c r="B741" s="84" t="str">
        <x:v>OS-2023-00740</x:v>
      </x:c>
      <x:c r="C741" s="84" t="n">
        <x:v>63</x:v>
      </x:c>
      <x:c r="D741" s="84" t="n">
        <x:v>3</x:v>
      </x:c>
      <x:c r="E741" s="84"/>
      <x:c r="F741" s="89" t="n">
        <x:v>45031.72620370371</x:v>
      </x:c>
      <x:c r="G741" s="89"/>
      <x:c r="H741" s="89" t="n">
        <x:v>45034.559537037036</x:v>
      </x:c>
      <x:c r="I741" s="89" t="n">
        <x:v>45035.22620370371</x:v>
      </x:c>
      <x:c r="J741" s="84" t="str">
        <x:v>Alta</x:v>
      </x:c>
      <x:c r="K741" s="84" t="str">
        <x:v>Concluída</x:v>
      </x:c>
      <x:c r="L741" s="84" t="str">
        <x:v>Falha elétrica</x:v>
      </x:c>
      <x:c r="M741" s="84" t="str">
        <x:v>Componente danificado</x:v>
      </x:c>
      <x:c r="N741" s="84" t="str">
        <x:v>Componente ajustado ou substituído</x:v>
      </x:c>
      <x:c r="O741" s="84" t="n">
        <x:v>0</x:v>
      </x:c>
      <x:c r="P741" s="93" t="n">
        <x:v>272.17</x:v>
      </x:c>
      <x:c r="Q741" s="93" t="n">
        <x:v>4918.19</x:v>
      </x:c>
      <x:c r="R741" s="91" t="n">
        <x:v>0</x:v>
      </x:c>
    </x:row>
    <x:row r="742">
      <x:c r="A742" s="83" t="n">
        <x:v>741</x:v>
      </x:c>
      <x:c r="B742" s="84" t="str">
        <x:v>OS-2023-00741</x:v>
      </x:c>
      <x:c r="C742" s="84" t="n">
        <x:v>75</x:v>
      </x:c>
      <x:c r="D742" s="84" t="n">
        <x:v>1</x:v>
      </x:c>
      <x:c r="E742" s="84" t="n">
        <x:v>150</x:v>
      </x:c>
      <x:c r="F742" s="89" t="n">
        <x:v>45111.331967592596</x:v>
      </x:c>
      <x:c r="G742" s="89" t="n">
        <x:v>45114.331967592596</x:v>
      </x:c>
      <x:c r="H742" s="89" t="n">
        <x:v>45114.290300925924</x:v>
      </x:c>
      <x:c r="I742" s="89" t="n">
        <x:v>45114.331967592596</x:v>
      </x:c>
      <x:c r="J742" s="84" t="str">
        <x:v>Alta</x:v>
      </x:c>
      <x:c r="K742" s="84" t="str">
        <x:v>Encerrada</x:v>
      </x:c>
      <x:c r="L742" s="84" t="str">
        <x:v>Ruído anormal</x:v>
      </x:c>
      <x:c r="M742" s="84" t="str">
        <x:v>Contaminação</x:v>
      </x:c>
      <x:c r="N742" s="84" t="str">
        <x:v>Componente ajustado ou substituído</x:v>
      </x:c>
      <x:c r="O742" s="84" t="n">
        <x:v>0</x:v>
      </x:c>
      <x:c r="P742" s="93" t="n">
        <x:v>112.47</x:v>
      </x:c>
      <x:c r="Q742" s="93" t="n">
        <x:v>12716.58</x:v>
      </x:c>
      <x:c r="R742" s="91" t="n">
        <x:v>0</x:v>
      </x:c>
    </x:row>
    <x:row r="743">
      <x:c r="A743" s="83" t="n">
        <x:v>742</x:v>
      </x:c>
      <x:c r="B743" s="84" t="str">
        <x:v>OS-2025-00742</x:v>
      </x:c>
      <x:c r="C743" s="84" t="n">
        <x:v>3</x:v>
      </x:c>
      <x:c r="D743" s="84" t="n">
        <x:v>4</x:v>
      </x:c>
      <x:c r="E743" s="84"/>
      <x:c r="F743" s="89" t="n">
        <x:v>45824.10721064815</x:v>
      </x:c>
      <x:c r="G743" s="89" t="n">
        <x:v>45834.10721064815</x:v>
      </x:c>
      <x:c r="H743" s="89" t="n">
        <x:v>45826.85721064815</x:v>
      </x:c>
      <x:c r="I743" s="89" t="n">
        <x:v>45827.10721064815</x:v>
      </x:c>
      <x:c r="J743" s="84" t="str">
        <x:v>Média</x:v>
      </x:c>
      <x:c r="K743" s="84" t="str">
        <x:v>Encerrada</x:v>
      </x:c>
      <x:c r="L743" s="84" t="str">
        <x:v>Superaquecimento</x:v>
      </x:c>
      <x:c r="M743" s="84" t="str">
        <x:v>Falta de lubrificação</x:v>
      </x:c>
      <x:c r="N743" s="84" t="str">
        <x:v>Componente ajustado ou substituído</x:v>
      </x:c>
      <x:c r="O743" s="84" t="n">
        <x:v>0</x:v>
      </x:c>
      <x:c r="P743" s="93" t="n">
        <x:v>510.39</x:v>
      </x:c>
      <x:c r="Q743" s="93" t="n">
        <x:v>3526.77</x:v>
      </x:c>
      <x:c r="R743" s="91" t="n">
        <x:v>0</x:v>
      </x:c>
    </x:row>
    <x:row r="744">
      <x:c r="A744" s="83" t="n">
        <x:v>743</x:v>
      </x:c>
      <x:c r="B744" s="84" t="str">
        <x:v>OS-2025-00743</x:v>
      </x:c>
      <x:c r="C744" s="84" t="n">
        <x:v>79</x:v>
      </x:c>
      <x:c r="D744" s="84" t="n">
        <x:v>3</x:v>
      </x:c>
      <x:c r="E744" s="84"/>
      <x:c r="F744" s="89" t="n">
        <x:v>45773.16543981482</x:v>
      </x:c>
      <x:c r="G744" s="89"/>
      <x:c r="H744" s="89"/>
      <x:c r="I744" s="89"/>
      <x:c r="J744" s="84" t="str">
        <x:v>Alta</x:v>
      </x:c>
      <x:c r="K744" s="84" t="str">
        <x:v>Planejada</x:v>
      </x:c>
      <x:c r="L744" s="84" t="str">
        <x:v>Ruído anormal</x:v>
      </x:c>
      <x:c r="M744" s="84"/>
      <x:c r="N744" s="84"/>
      <x:c r="O744" s="84" t="n">
        <x:v>0</x:v>
      </x:c>
      <x:c r="P744" s="93" t="n">
        <x:v>0</x:v>
      </x:c>
      <x:c r="Q744" s="93" t="n">
        <x:v>0</x:v>
      </x:c>
      <x:c r="R744" s="91" t="n">
        <x:v>0</x:v>
      </x:c>
    </x:row>
    <x:row r="745">
      <x:c r="A745" s="83" t="n">
        <x:v>744</x:v>
      </x:c>
      <x:c r="B745" s="84" t="str">
        <x:v>OS-2023-00744</x:v>
      </x:c>
      <x:c r="C745" s="84" t="n">
        <x:v>27</x:v>
      </x:c>
      <x:c r="D745" s="84" t="n">
        <x:v>5</x:v>
      </x:c>
      <x:c r="E745" s="84" t="n">
        <x:v>53</x:v>
      </x:c>
      <x:c r="F745" s="89" t="n">
        <x:v>45087.68181712963</x:v>
      </x:c>
      <x:c r="G745" s="89" t="n">
        <x:v>45097.68181712963</x:v>
      </x:c>
      <x:c r="H745" s="89" t="n">
        <x:v>45089.51515046296</x:v>
      </x:c>
      <x:c r="I745" s="89" t="n">
        <x:v>45089.8484837963</x:v>
      </x:c>
      <x:c r="J745" s="84" t="str">
        <x:v>Alta</x:v>
      </x:c>
      <x:c r="K745" s="84" t="str">
        <x:v>Encerrada</x:v>
      </x:c>
      <x:c r="L745" s="84" t="str">
        <x:v>Desalinhamento</x:v>
      </x:c>
      <x:c r="M745" s="84" t="str">
        <x:v>Ajuste incorreto</x:v>
      </x:c>
      <x:c r="N745" s="84" t="str">
        <x:v>Componente ajustado ou substituído</x:v>
      </x:c>
      <x:c r="O745" s="84" t="n">
        <x:v>0</x:v>
      </x:c>
      <x:c r="P745" s="93" t="n">
        <x:v>153.2</x:v>
      </x:c>
      <x:c r="Q745" s="93" t="n">
        <x:v>11282.52</x:v>
      </x:c>
      <x:c r="R745" s="91" t="n">
        <x:v>0</x:v>
      </x:c>
    </x:row>
    <x:row r="746">
      <x:c r="A746" s="83" t="n">
        <x:v>745</x:v>
      </x:c>
      <x:c r="B746" s="84" t="str">
        <x:v>OS-2023-00745</x:v>
      </x:c>
      <x:c r="C746" s="84" t="n">
        <x:v>13</x:v>
      </x:c>
      <x:c r="D746" s="84" t="n">
        <x:v>3</x:v>
      </x:c>
      <x:c r="E746" s="84"/>
      <x:c r="F746" s="89" t="n">
        <x:v>45244.26476851852</x:v>
      </x:c>
      <x:c r="G746" s="89"/>
      <x:c r="H746" s="89" t="n">
        <x:v>45246.01476851852</x:v>
      </x:c>
      <x:c r="I746" s="89" t="n">
        <x:v>45246.72310185185</x:v>
      </x:c>
      <x:c r="J746" s="84" t="str">
        <x:v>Crítica</x:v>
      </x:c>
      <x:c r="K746" s="84" t="str">
        <x:v>Concluída</x:v>
      </x:c>
      <x:c r="L746" s="84" t="str">
        <x:v>Ruído anormal</x:v>
      </x:c>
      <x:c r="M746" s="84" t="str">
        <x:v>Falta de lubrificação</x:v>
      </x:c>
      <x:c r="N746" s="84" t="str">
        <x:v>Componente ajustado ou substituído</x:v>
      </x:c>
      <x:c r="O746" s="84" t="n">
        <x:v>0</x:v>
      </x:c>
      <x:c r="P746" s="93" t="n">
        <x:v>742.41</x:v>
      </x:c>
      <x:c r="Q746" s="93" t="n">
        <x:v>0</x:v>
      </x:c>
      <x:c r="R746" s="91" t="n">
        <x:v>0</x:v>
      </x:c>
    </x:row>
    <x:row r="747">
      <x:c r="A747" s="83" t="n">
        <x:v>746</x:v>
      </x:c>
      <x:c r="B747" s="84" t="str">
        <x:v>OS-2025-00746</x:v>
      </x:c>
      <x:c r="C747" s="84" t="n">
        <x:v>27</x:v>
      </x:c>
      <x:c r="D747" s="84" t="n">
        <x:v>6</x:v>
      </x:c>
      <x:c r="E747" s="84"/>
      <x:c r="F747" s="89" t="n">
        <x:v>45943.67576388889</x:v>
      </x:c>
      <x:c r="G747" s="89" t="n">
        <x:v>45948.67576388889</x:v>
      </x:c>
      <x:c r="H747" s="89"/>
      <x:c r="I747" s="89"/>
      <x:c r="J747" s="84" t="str">
        <x:v>Crítica</x:v>
      </x:c>
      <x:c r="K747" s="84" t="str">
        <x:v>Planejada</x:v>
      </x:c>
      <x:c r="L747" s="84" t="str">
        <x:v>Falha elétrica</x:v>
      </x:c>
      <x:c r="M747" s="84"/>
      <x:c r="N747" s="84"/>
      <x:c r="O747" s="84" t="n">
        <x:v>0</x:v>
      </x:c>
      <x:c r="P747" s="93" t="n">
        <x:v>0</x:v>
      </x:c>
      <x:c r="Q747" s="93" t="n">
        <x:v>0</x:v>
      </x:c>
      <x:c r="R747" s="91" t="n">
        <x:v>0</x:v>
      </x:c>
    </x:row>
    <x:row r="748">
      <x:c r="A748" s="83" t="n">
        <x:v>747</x:v>
      </x:c>
      <x:c r="B748" s="84" t="str">
        <x:v>OS-2023-00747</x:v>
      </x:c>
      <x:c r="C748" s="84" t="n">
        <x:v>42</x:v>
      </x:c>
      <x:c r="D748" s="84" t="n">
        <x:v>3</x:v>
      </x:c>
      <x:c r="E748" s="84"/>
      <x:c r="F748" s="89" t="n">
        <x:v>45126.26478009259</x:v>
      </x:c>
      <x:c r="G748" s="89"/>
      <x:c r="H748" s="89" t="n">
        <x:v>45127.51478009259</x:v>
      </x:c>
      <x:c r="I748" s="89" t="n">
        <x:v>45127.59811342593</x:v>
      </x:c>
      <x:c r="J748" s="84" t="str">
        <x:v>Baixa</x:v>
      </x:c>
      <x:c r="K748" s="84" t="str">
        <x:v>Encerrada</x:v>
      </x:c>
      <x:c r="L748" s="84" t="str">
        <x:v>Vazamento</x:v>
      </x:c>
      <x:c r="M748" s="84" t="str">
        <x:v>Componente danificado</x:v>
      </x:c>
      <x:c r="N748" s="84" t="str">
        <x:v>Componente ajustado ou substituído</x:v>
      </x:c>
      <x:c r="O748" s="84" t="n">
        <x:v>0</x:v>
      </x:c>
      <x:c r="P748" s="93" t="n">
        <x:v>745.06</x:v>
      </x:c>
      <x:c r="Q748" s="93" t="n">
        <x:v>0</x:v>
      </x:c>
      <x:c r="R748" s="91" t="n">
        <x:v>0</x:v>
      </x:c>
    </x:row>
    <x:row r="749">
      <x:c r="A749" s="83" t="n">
        <x:v>748</x:v>
      </x:c>
      <x:c r="B749" s="84" t="str">
        <x:v>OS-2023-00748</x:v>
      </x:c>
      <x:c r="C749" s="84" t="n">
        <x:v>8</x:v>
      </x:c>
      <x:c r="D749" s="84" t="n">
        <x:v>5</x:v>
      </x:c>
      <x:c r="E749" s="84" t="n">
        <x:v>15</x:v>
      </x:c>
      <x:c r="F749" s="89" t="n">
        <x:v>45162.287199074075</x:v>
      </x:c>
      <x:c r="G749" s="89" t="n">
        <x:v>45177.287199074075</x:v>
      </x:c>
      <x:c r="H749" s="89" t="n">
        <x:v>45162.62053240741</x:v>
      </x:c>
      <x:c r="I749" s="89" t="n">
        <x:v>45162.912199074075</x:v>
      </x:c>
      <x:c r="J749" s="84" t="str">
        <x:v>Alta</x:v>
      </x:c>
      <x:c r="K749" s="84" t="str">
        <x:v>Encerrada</x:v>
      </x:c>
      <x:c r="L749" s="84" t="str">
        <x:v>Falha elétrica</x:v>
      </x:c>
      <x:c r="M749" s="84" t="str">
        <x:v>Ajuste incorreto</x:v>
      </x:c>
      <x:c r="N749" s="84" t="str">
        <x:v>Componente ajustado ou substituído</x:v>
      </x:c>
      <x:c r="O749" s="84" t="n">
        <x:v>0</x:v>
      </x:c>
      <x:c r="P749" s="93" t="n">
        <x:v>609.18</x:v>
      </x:c>
      <x:c r="Q749" s="93" t="n">
        <x:v>2921.44</x:v>
      </x:c>
      <x:c r="R749" s="91" t="n">
        <x:v>0</x:v>
      </x:c>
    </x:row>
    <x:row r="750">
      <x:c r="A750" s="83" t="n">
        <x:v>749</x:v>
      </x:c>
      <x:c r="B750" s="84" t="str">
        <x:v>OS-2025-00749</x:v>
      </x:c>
      <x:c r="C750" s="84" t="n">
        <x:v>23</x:v>
      </x:c>
      <x:c r="D750" s="84" t="n">
        <x:v>3</x:v>
      </x:c>
      <x:c r="E750" s="84"/>
      <x:c r="F750" s="89" t="n">
        <x:v>45907.74829861111</x:v>
      </x:c>
      <x:c r="G750" s="89"/>
      <x:c r="H750" s="89" t="n">
        <x:v>45909.37329861111</x:v>
      </x:c>
      <x:c r="I750" s="89" t="n">
        <x:v>45910.03996527778</x:v>
      </x:c>
      <x:c r="J750" s="84" t="str">
        <x:v>Crítica</x:v>
      </x:c>
      <x:c r="K750" s="84" t="str">
        <x:v>Encerrada</x:v>
      </x:c>
      <x:c r="L750" s="84" t="str">
        <x:v>Vazamento</x:v>
      </x:c>
      <x:c r="M750" s="84" t="str">
        <x:v>Ajuste incorreto</x:v>
      </x:c>
      <x:c r="N750" s="84" t="str">
        <x:v>Componente ajustado ou substituído</x:v>
      </x:c>
      <x:c r="O750" s="84" t="n">
        <x:v>0</x:v>
      </x:c>
      <x:c r="P750" s="93" t="n">
        <x:v>495.11</x:v>
      </x:c>
      <x:c r="Q750" s="93" t="n">
        <x:v>10795.52</x:v>
      </x:c>
      <x:c r="R750" s="91" t="n">
        <x:v>0</x:v>
      </x:c>
    </x:row>
    <x:row r="751">
      <x:c r="A751" s="83" t="n">
        <x:v>750</x:v>
      </x:c>
      <x:c r="B751" s="84" t="str">
        <x:v>OS-2024-00750</x:v>
      </x:c>
      <x:c r="C751" s="84" t="n">
        <x:v>27</x:v>
      </x:c>
      <x:c r="D751" s="84" t="n">
        <x:v>1</x:v>
      </x:c>
      <x:c r="E751" s="84" t="n">
        <x:v>53</x:v>
      </x:c>
      <x:c r="F751" s="89" t="n">
        <x:v>45608.49277777778</x:v>
      </x:c>
      <x:c r="G751" s="89" t="n">
        <x:v>45609.49277777778</x:v>
      </x:c>
      <x:c r="H751" s="89" t="n">
        <x:v>45609.03444444444</x:v>
      </x:c>
      <x:c r="I751" s="89" t="n">
        <x:v>45609.40944444444</x:v>
      </x:c>
      <x:c r="J751" s="84" t="str">
        <x:v>Alta</x:v>
      </x:c>
      <x:c r="K751" s="84" t="str">
        <x:v>Encerrada</x:v>
      </x:c>
      <x:c r="L751" s="84" t="str">
        <x:v>Falha elétrica</x:v>
      </x:c>
      <x:c r="M751" s="84" t="str">
        <x:v>Ajuste incorreto</x:v>
      </x:c>
      <x:c r="N751" s="84" t="str">
        <x:v>Componente ajustado ou substituído</x:v>
      </x:c>
      <x:c r="O751" s="84" t="n">
        <x:v>0</x:v>
      </x:c>
      <x:c r="P751" s="93" t="n">
        <x:v>269.95</x:v>
      </x:c>
      <x:c r="Q751" s="93" t="n">
        <x:v>6770.01</x:v>
      </x:c>
      <x:c r="R751" s="91" t="n">
        <x:v>0</x:v>
      </x:c>
    </x:row>
    <x:row r="752">
      <x:c r="A752" s="83" t="n">
        <x:v>751</x:v>
      </x:c>
      <x:c r="B752" s="84" t="str">
        <x:v>OS-2024-00751</x:v>
      </x:c>
      <x:c r="C752" s="84" t="n">
        <x:v>86</x:v>
      </x:c>
      <x:c r="D752" s="84" t="n">
        <x:v>2</x:v>
      </x:c>
      <x:c r="E752" s="84"/>
      <x:c r="F752" s="89" t="n">
        <x:v>45415.93314814815</x:v>
      </x:c>
      <x:c r="G752" s="89" t="n">
        <x:v>45417.93314814815</x:v>
      </x:c>
      <x:c r="H752" s="89" t="n">
        <x:v>45418.76648148148</x:v>
      </x:c>
      <x:c r="I752" s="89" t="n">
        <x:v>45419.349814814814</x:v>
      </x:c>
      <x:c r="J752" s="84" t="str">
        <x:v>Baixa</x:v>
      </x:c>
      <x:c r="K752" s="84" t="str">
        <x:v>Encerrada</x:v>
      </x:c>
      <x:c r="L752" s="84" t="str">
        <x:v>Baixa pressão</x:v>
      </x:c>
      <x:c r="M752" s="84" t="str">
        <x:v>Componente danificado</x:v>
      </x:c>
      <x:c r="N752" s="84" t="str">
        <x:v>Componente ajustado ou substituído</x:v>
      </x:c>
      <x:c r="O752" s="84" t="n">
        <x:v>0</x:v>
      </x:c>
      <x:c r="P752" s="93" t="n">
        <x:v>637.9</x:v>
      </x:c>
      <x:c r="Q752" s="93" t="n">
        <x:v>0</x:v>
      </x:c>
      <x:c r="R752" s="91" t="n">
        <x:v>0</x:v>
      </x:c>
    </x:row>
    <x:row r="753">
      <x:c r="A753" s="83" t="n">
        <x:v>752</x:v>
      </x:c>
      <x:c r="B753" s="84" t="str">
        <x:v>OS-2025-00752</x:v>
      </x:c>
      <x:c r="C753" s="84" t="n">
        <x:v>28</x:v>
      </x:c>
      <x:c r="D753" s="84" t="n">
        <x:v>3</x:v>
      </x:c>
      <x:c r="E753" s="84"/>
      <x:c r="F753" s="89" t="n">
        <x:v>45724.40752314815</x:v>
      </x:c>
      <x:c r="G753" s="89"/>
      <x:c r="H753" s="89" t="n">
        <x:v>45725.07418981481</x:v>
      </x:c>
      <x:c r="I753" s="89" t="n">
        <x:v>45725.53252314815</x:v>
      </x:c>
      <x:c r="J753" s="84" t="str">
        <x:v>Crítica</x:v>
      </x:c>
      <x:c r="K753" s="84" t="str">
        <x:v>Encerrada</x:v>
      </x:c>
      <x:c r="L753" s="84" t="str">
        <x:v>Alarme intermitente</x:v>
      </x:c>
      <x:c r="M753" s="84" t="str">
        <x:v>Falta de lubrificação</x:v>
      </x:c>
      <x:c r="N753" s="84" t="str">
        <x:v>Componente ajustado ou substituído</x:v>
      </x:c>
      <x:c r="O753" s="84" t="n">
        <x:v>0</x:v>
      </x:c>
      <x:c r="P753" s="93" t="n">
        <x:v>123.26</x:v>
      </x:c>
      <x:c r="Q753" s="93" t="n">
        <x:v>0</x:v>
      </x:c>
      <x:c r="R753" s="91" t="n">
        <x:v>12172.87</x:v>
      </x:c>
    </x:row>
    <x:row r="754">
      <x:c r="A754" s="83" t="n">
        <x:v>753</x:v>
      </x:c>
      <x:c r="B754" s="84" t="str">
        <x:v>OS-2024-00753</x:v>
      </x:c>
      <x:c r="C754" s="84" t="n">
        <x:v>39</x:v>
      </x:c>
      <x:c r="D754" s="84" t="n">
        <x:v>2</x:v>
      </x:c>
      <x:c r="E754" s="84"/>
      <x:c r="F754" s="89" t="n">
        <x:v>45562.87125</x:v>
      </x:c>
      <x:c r="G754" s="89" t="n">
        <x:v>45577.87125</x:v>
      </x:c>
      <x:c r="H754" s="89" t="n">
        <x:v>45564.45458333333</x:v>
      </x:c>
      <x:c r="I754" s="89" t="n">
        <x:v>45564.49625</x:v>
      </x:c>
      <x:c r="J754" s="84" t="str">
        <x:v>Média</x:v>
      </x:c>
      <x:c r="K754" s="84" t="str">
        <x:v>Encerrada</x:v>
      </x:c>
      <x:c r="L754" s="84" t="str">
        <x:v>Baixa pressão</x:v>
      </x:c>
      <x:c r="M754" s="84" t="str">
        <x:v>Ajuste incorreto</x:v>
      </x:c>
      <x:c r="N754" s="84" t="str">
        <x:v>Componente ajustado ou substituído</x:v>
      </x:c>
      <x:c r="O754" s="84" t="n">
        <x:v>0</x:v>
      </x:c>
      <x:c r="P754" s="93" t="n">
        <x:v>398.61</x:v>
      </x:c>
      <x:c r="Q754" s="93" t="n">
        <x:v>5040.8</x:v>
      </x:c>
      <x:c r="R754" s="91" t="n">
        <x:v>13579.31</x:v>
      </x:c>
    </x:row>
    <x:row r="755">
      <x:c r="A755" s="83" t="n">
        <x:v>754</x:v>
      </x:c>
      <x:c r="B755" s="84" t="str">
        <x:v>OS-2023-00754</x:v>
      </x:c>
      <x:c r="C755" s="84" t="n">
        <x:v>64</x:v>
      </x:c>
      <x:c r="D755" s="84" t="n">
        <x:v>2</x:v>
      </x:c>
      <x:c r="E755" s="84"/>
      <x:c r="F755" s="89" t="n">
        <x:v>45068.06151620371</x:v>
      </x:c>
      <x:c r="G755" s="89" t="n">
        <x:v>45078.06151620371</x:v>
      </x:c>
      <x:c r="H755" s="89" t="n">
        <x:v>45070.97818287037</x:v>
      </x:c>
      <x:c r="I755" s="89" t="n">
        <x:v>45071.60318287037</x:v>
      </x:c>
      <x:c r="J755" s="84" t="str">
        <x:v>Alta</x:v>
      </x:c>
      <x:c r="K755" s="84" t="str">
        <x:v>Encerrada</x:v>
      </x:c>
      <x:c r="L755" s="84" t="str">
        <x:v>Baixa pressão</x:v>
      </x:c>
      <x:c r="M755" s="84" t="str">
        <x:v>Ajuste incorreto</x:v>
      </x:c>
      <x:c r="N755" s="84" t="str">
        <x:v>Componente ajustado ou substituído</x:v>
      </x:c>
      <x:c r="O755" s="84" t="n">
        <x:v>0</x:v>
      </x:c>
      <x:c r="P755" s="93" t="n">
        <x:v>383.7</x:v>
      </x:c>
      <x:c r="Q755" s="93" t="n">
        <x:v>1452.98</x:v>
      </x:c>
      <x:c r="R755" s="91" t="n">
        <x:v>0</x:v>
      </x:c>
    </x:row>
    <x:row r="756">
      <x:c r="A756" s="83" t="n">
        <x:v>755</x:v>
      </x:c>
      <x:c r="B756" s="84" t="str">
        <x:v>OS-2025-00755</x:v>
      </x:c>
      <x:c r="C756" s="84" t="n">
        <x:v>85</x:v>
      </x:c>
      <x:c r="D756" s="84" t="n">
        <x:v>3</x:v>
      </x:c>
      <x:c r="E756" s="84"/>
      <x:c r="F756" s="89" t="n">
        <x:v>45743.969988425924</x:v>
      </x:c>
      <x:c r="G756" s="89"/>
      <x:c r="H756" s="89" t="n">
        <x:v>45744.05332175926</x:v>
      </x:c>
      <x:c r="I756" s="89"/>
      <x:c r="J756" s="84" t="str">
        <x:v>Média</x:v>
      </x:c>
      <x:c r="K756" s="84" t="str">
        <x:v>Aguardando peça</x:v>
      </x:c>
      <x:c r="L756" s="84" t="str">
        <x:v>Ruído anormal</x:v>
      </x:c>
      <x:c r="M756" s="84" t="str">
        <x:v>Conexão frouxa</x:v>
      </x:c>
      <x:c r="N756" s="84"/>
      <x:c r="O756" s="84" t="n">
        <x:v>0</x:v>
      </x:c>
      <x:c r="P756" s="93" t="n">
        <x:v>330.01</x:v>
      </x:c>
      <x:c r="Q756" s="93" t="n">
        <x:v>9173.12</x:v>
      </x:c>
      <x:c r="R756" s="91" t="n">
        <x:v>0</x:v>
      </x:c>
    </x:row>
    <x:row r="757">
      <x:c r="A757" s="83" t="n">
        <x:v>756</x:v>
      </x:c>
      <x:c r="B757" s="84" t="str">
        <x:v>OS-2024-00756</x:v>
      </x:c>
      <x:c r="C757" s="84" t="n">
        <x:v>42</x:v>
      </x:c>
      <x:c r="D757" s="84" t="n">
        <x:v>1</x:v>
      </x:c>
      <x:c r="E757" s="84" t="n">
        <x:v>83</x:v>
      </x:c>
      <x:c r="F757" s="89" t="n">
        <x:v>45494.62357638889</x:v>
      </x:c>
      <x:c r="G757" s="89" t="n">
        <x:v>45502.62357638889</x:v>
      </x:c>
      <x:c r="H757" s="89" t="n">
        <x:v>45497.58190972222</x:v>
      </x:c>
      <x:c r="I757" s="89" t="n">
        <x:v>45498.12357638889</x:v>
      </x:c>
      <x:c r="J757" s="84" t="str">
        <x:v>Baixa</x:v>
      </x:c>
      <x:c r="K757" s="84" t="str">
        <x:v>Encerrada</x:v>
      </x:c>
      <x:c r="L757" s="84" t="str">
        <x:v>Baixa pressão</x:v>
      </x:c>
      <x:c r="M757" s="84" t="str">
        <x:v>Conexão frouxa</x:v>
      </x:c>
      <x:c r="N757" s="84" t="str">
        <x:v>Componente ajustado ou substituído</x:v>
      </x:c>
      <x:c r="O757" s="84" t="n">
        <x:v>0</x:v>
      </x:c>
      <x:c r="P757" s="93" t="n">
        <x:v>420.71</x:v>
      </x:c>
      <x:c r="Q757" s="93" t="n">
        <x:v>12967.9</x:v>
      </x:c>
      <x:c r="R757" s="91" t="n">
        <x:v>0</x:v>
      </x:c>
    </x:row>
    <x:row r="758">
      <x:c r="A758" s="83" t="n">
        <x:v>757</x:v>
      </x:c>
      <x:c r="B758" s="84" t="str">
        <x:v>OS-2023-00757</x:v>
      </x:c>
      <x:c r="C758" s="84" t="n">
        <x:v>57</x:v>
      </x:c>
      <x:c r="D758" s="84" t="n">
        <x:v>2</x:v>
      </x:c>
      <x:c r="E758" s="84"/>
      <x:c r="F758" s="89" t="n">
        <x:v>45170.807025462964</x:v>
      </x:c>
      <x:c r="G758" s="89" t="n">
        <x:v>45170.807025462964</x:v>
      </x:c>
      <x:c r="H758" s="89" t="n">
        <x:v>45172.72369212963</x:v>
      </x:c>
      <x:c r="I758" s="89" t="n">
        <x:v>45173.2653587963</x:v>
      </x:c>
      <x:c r="J758" s="84" t="str">
        <x:v>Crítica</x:v>
      </x:c>
      <x:c r="K758" s="84" t="str">
        <x:v>Encerrada</x:v>
      </x:c>
      <x:c r="L758" s="84" t="str">
        <x:v>Baixa pressão</x:v>
      </x:c>
      <x:c r="M758" s="84" t="str">
        <x:v>Conexão frouxa</x:v>
      </x:c>
      <x:c r="N758" s="84" t="str">
        <x:v>Componente ajustado ou substituído</x:v>
      </x:c>
      <x:c r="O758" s="84" t="n">
        <x:v>0</x:v>
      </x:c>
      <x:c r="P758" s="93" t="n">
        <x:v>67.3</x:v>
      </x:c>
      <x:c r="Q758" s="93" t="n">
        <x:v>2151.84</x:v>
      </x:c>
      <x:c r="R758" s="91" t="n">
        <x:v>0</x:v>
      </x:c>
    </x:row>
    <x:row r="759">
      <x:c r="A759" s="83" t="n">
        <x:v>758</x:v>
      </x:c>
      <x:c r="B759" s="84" t="str">
        <x:v>OS-2023-00758</x:v>
      </x:c>
      <x:c r="C759" s="84" t="n">
        <x:v>32</x:v>
      </x:c>
      <x:c r="D759" s="84" t="n">
        <x:v>1</x:v>
      </x:c>
      <x:c r="E759" s="84" t="n">
        <x:v>63</x:v>
      </x:c>
      <x:c r="F759" s="89" t="n">
        <x:v>45237.84425925926</x:v>
      </x:c>
      <x:c r="G759" s="89" t="n">
        <x:v>45251.84425925926</x:v>
      </x:c>
      <x:c r="H759" s="89" t="n">
        <x:v>45239.84425925926</x:v>
      </x:c>
      <x:c r="I759" s="89" t="n">
        <x:v>45240.09425925926</x:v>
      </x:c>
      <x:c r="J759" s="84" t="str">
        <x:v>Baixa</x:v>
      </x:c>
      <x:c r="K759" s="84" t="str">
        <x:v>Encerrada</x:v>
      </x:c>
      <x:c r="L759" s="84" t="str">
        <x:v>Desalinhamento</x:v>
      </x:c>
      <x:c r="M759" s="84" t="str">
        <x:v>Falta de lubrificação</x:v>
      </x:c>
      <x:c r="N759" s="84" t="str">
        <x:v>Componente ajustado ou substituído</x:v>
      </x:c>
      <x:c r="O759" s="84" t="n">
        <x:v>0</x:v>
      </x:c>
      <x:c r="P759" s="93" t="n">
        <x:v>305.08</x:v>
      </x:c>
      <x:c r="Q759" s="93" t="n">
        <x:v>12216.79</x:v>
      </x:c>
      <x:c r="R759" s="91" t="n">
        <x:v>0</x:v>
      </x:c>
    </x:row>
    <x:row r="760">
      <x:c r="A760" s="83" t="n">
        <x:v>759</x:v>
      </x:c>
      <x:c r="B760" s="84" t="str">
        <x:v>OS-2023-00759</x:v>
      </x:c>
      <x:c r="C760" s="84" t="n">
        <x:v>32</x:v>
      </x:c>
      <x:c r="D760" s="84" t="n">
        <x:v>2</x:v>
      </x:c>
      <x:c r="E760" s="84"/>
      <x:c r="F760" s="89" t="n">
        <x:v>45250.79127314815</x:v>
      </x:c>
      <x:c r="G760" s="89" t="n">
        <x:v>45251.79127314815</x:v>
      </x:c>
      <x:c r="H760" s="89" t="n">
        <x:v>45250.83293981481</x:v>
      </x:c>
      <x:c r="I760" s="89" t="n">
        <x:v>45251.54127314815</x:v>
      </x:c>
      <x:c r="J760" s="84" t="str">
        <x:v>Baixa</x:v>
      </x:c>
      <x:c r="K760" s="84" t="str">
        <x:v>Encerrada</x:v>
      </x:c>
      <x:c r="L760" s="84" t="str">
        <x:v>Superaquecimento</x:v>
      </x:c>
      <x:c r="M760" s="84" t="str">
        <x:v>Contaminação</x:v>
      </x:c>
      <x:c r="N760" s="84" t="str">
        <x:v>Componente ajustado ou substituído</x:v>
      </x:c>
      <x:c r="O760" s="84" t="n">
        <x:v>0</x:v>
      </x:c>
      <x:c r="P760" s="93" t="n">
        <x:v>225.81</x:v>
      </x:c>
      <x:c r="Q760" s="93" t="n">
        <x:v>2630.52</x:v>
      </x:c>
      <x:c r="R760" s="91" t="n">
        <x:v>0</x:v>
      </x:c>
    </x:row>
    <x:row r="761">
      <x:c r="A761" s="83" t="n">
        <x:v>760</x:v>
      </x:c>
      <x:c r="B761" s="84" t="str">
        <x:v>OS-2024-00760</x:v>
      </x:c>
      <x:c r="C761" s="84" t="n">
        <x:v>25</x:v>
      </x:c>
      <x:c r="D761" s="84" t="n">
        <x:v>2</x:v>
      </x:c>
      <x:c r="E761" s="84"/>
      <x:c r="F761" s="89" t="n">
        <x:v>45433.817025462966</x:v>
      </x:c>
      <x:c r="G761" s="89" t="n">
        <x:v>45446.817025462966</x:v>
      </x:c>
      <x:c r="H761" s="89" t="n">
        <x:v>45435.10869212963</x:v>
      </x:c>
      <x:c r="I761" s="89" t="n">
        <x:v>45435.48369212963</x:v>
      </x:c>
      <x:c r="J761" s="84" t="str">
        <x:v>Crítica</x:v>
      </x:c>
      <x:c r="K761" s="84" t="str">
        <x:v>Concluída</x:v>
      </x:c>
      <x:c r="L761" s="84" t="str">
        <x:v>Baixa pressão</x:v>
      </x:c>
      <x:c r="M761" s="84" t="str">
        <x:v>Falta de lubrificação</x:v>
      </x:c>
      <x:c r="N761" s="84" t="str">
        <x:v>Componente ajustado ou substituído</x:v>
      </x:c>
      <x:c r="O761" s="84" t="n">
        <x:v>0</x:v>
      </x:c>
      <x:c r="P761" s="93" t="n">
        <x:v>406.41</x:v>
      </x:c>
      <x:c r="Q761" s="93" t="n">
        <x:v>14314.54</x:v>
      </x:c>
      <x:c r="R761" s="91" t="n">
        <x:v>0</x:v>
      </x:c>
    </x:row>
    <x:row r="762">
      <x:c r="A762" s="83" t="n">
        <x:v>761</x:v>
      </x:c>
      <x:c r="B762" s="84" t="str">
        <x:v>OS-2023-00761</x:v>
      </x:c>
      <x:c r="C762" s="84" t="n">
        <x:v>61</x:v>
      </x:c>
      <x:c r="D762" s="84" t="n">
        <x:v>4</x:v>
      </x:c>
      <x:c r="E762" s="84"/>
      <x:c r="F762" s="89" t="n">
        <x:v>44970.43004629629</x:v>
      </x:c>
      <x:c r="G762" s="89" t="n">
        <x:v>44979.43004629629</x:v>
      </x:c>
      <x:c r="H762" s="89" t="n">
        <x:v>44971.63837962963</x:v>
      </x:c>
      <x:c r="I762" s="89"/>
      <x:c r="J762" s="84" t="str">
        <x:v>Baixa</x:v>
      </x:c>
      <x:c r="K762" s="84" t="str">
        <x:v>Aguardando peça</x:v>
      </x:c>
      <x:c r="L762" s="84" t="str">
        <x:v>Baixa pressão</x:v>
      </x:c>
      <x:c r="M762" s="84" t="str">
        <x:v>Componente danificado</x:v>
      </x:c>
      <x:c r="N762" s="84"/>
      <x:c r="O762" s="84" t="n">
        <x:v>0</x:v>
      </x:c>
      <x:c r="P762" s="93" t="n">
        <x:v>141.48</x:v>
      </x:c>
      <x:c r="Q762" s="93" t="n">
        <x:v>9285.8</x:v>
      </x:c>
      <x:c r="R762" s="91" t="n">
        <x:v>5564.36</x:v>
      </x:c>
    </x:row>
    <x:row r="763">
      <x:c r="A763" s="83" t="n">
        <x:v>762</x:v>
      </x:c>
      <x:c r="B763" s="84" t="str">
        <x:v>OS-2024-00762</x:v>
      </x:c>
      <x:c r="C763" s="84" t="n">
        <x:v>9</x:v>
      </x:c>
      <x:c r="D763" s="84" t="n">
        <x:v>8</x:v>
      </x:c>
      <x:c r="E763" s="84"/>
      <x:c r="F763" s="89" t="n">
        <x:v>45334.36263888889</x:v>
      </x:c>
      <x:c r="G763" s="89" t="n">
        <x:v>45337.36263888889</x:v>
      </x:c>
      <x:c r="H763" s="89" t="n">
        <x:v>45336.23763888889</x:v>
      </x:c>
      <x:c r="I763" s="89" t="n">
        <x:v>45336.73763888889</x:v>
      </x:c>
      <x:c r="J763" s="84" t="str">
        <x:v>Média</x:v>
      </x:c>
      <x:c r="K763" s="84" t="str">
        <x:v>Encerrada</x:v>
      </x:c>
      <x:c r="L763" s="84" t="str">
        <x:v>Superaquecimento</x:v>
      </x:c>
      <x:c r="M763" s="84" t="str">
        <x:v>Conexão frouxa</x:v>
      </x:c>
      <x:c r="N763" s="84" t="str">
        <x:v>Componente ajustado ou substituído</x:v>
      </x:c>
      <x:c r="O763" s="84" t="n">
        <x:v>0</x:v>
      </x:c>
      <x:c r="P763" s="93" t="n">
        <x:v>407.95</x:v>
      </x:c>
      <x:c r="Q763" s="93" t="n">
        <x:v>2102.91</x:v>
      </x:c>
      <x:c r="R763" s="91" t="n">
        <x:v>0</x:v>
      </x:c>
    </x:row>
    <x:row r="764">
      <x:c r="A764" s="83" t="n">
        <x:v>763</x:v>
      </x:c>
      <x:c r="B764" s="84" t="str">
        <x:v>OS-2023-00763</x:v>
      </x:c>
      <x:c r="C764" s="84" t="n">
        <x:v>53</x:v>
      </x:c>
      <x:c r="D764" s="84" t="n">
        <x:v>1</x:v>
      </x:c>
      <x:c r="E764" s="84" t="n">
        <x:v>106</x:v>
      </x:c>
      <x:c r="F764" s="89" t="n">
        <x:v>45252.44351851852</x:v>
      </x:c>
      <x:c r="G764" s="89" t="n">
        <x:v>45265.44351851852</x:v>
      </x:c>
      <x:c r="H764" s="89" t="n">
        <x:v>45254.610185185185</x:v>
      </x:c>
      <x:c r="I764" s="89" t="n">
        <x:v>45254.90185185185</x:v>
      </x:c>
      <x:c r="J764" s="84" t="str">
        <x:v>Baixa</x:v>
      </x:c>
      <x:c r="K764" s="84" t="str">
        <x:v>Encerrada</x:v>
      </x:c>
      <x:c r="L764" s="84" t="str">
        <x:v>Alarme intermitente</x:v>
      </x:c>
      <x:c r="M764" s="84" t="str">
        <x:v>Desgaste natural</x:v>
      </x:c>
      <x:c r="N764" s="84" t="str">
        <x:v>Componente ajustado ou substituído</x:v>
      </x:c>
      <x:c r="O764" s="84" t="n">
        <x:v>0</x:v>
      </x:c>
      <x:c r="P764" s="93" t="n">
        <x:v>296.2</x:v>
      </x:c>
      <x:c r="Q764" s="93" t="n">
        <x:v>0</x:v>
      </x:c>
      <x:c r="R764" s="91" t="n">
        <x:v>0</x:v>
      </x:c>
    </x:row>
    <x:row r="765">
      <x:c r="A765" s="83" t="n">
        <x:v>764</x:v>
      </x:c>
      <x:c r="B765" s="84" t="str">
        <x:v>OS-2025-00764</x:v>
      </x:c>
      <x:c r="C765" s="84" t="n">
        <x:v>78</x:v>
      </x:c>
      <x:c r="D765" s="84" t="n">
        <x:v>6</x:v>
      </x:c>
      <x:c r="E765" s="84"/>
      <x:c r="F765" s="89" t="n">
        <x:v>45657.943090277775</x:v>
      </x:c>
      <x:c r="G765" s="89" t="n">
        <x:v>45662.943090277775</x:v>
      </x:c>
      <x:c r="H765" s="89"/>
      <x:c r="I765" s="89"/>
      <x:c r="J765" s="84" t="str">
        <x:v>Média</x:v>
      </x:c>
      <x:c r="K765" s="84" t="str">
        <x:v>Planejada</x:v>
      </x:c>
      <x:c r="L765" s="84" t="str">
        <x:v>Vazamento</x:v>
      </x:c>
      <x:c r="M765" s="84"/>
      <x:c r="N765" s="84"/>
      <x:c r="O765" s="84" t="n">
        <x:v>0</x:v>
      </x:c>
      <x:c r="P765" s="93" t="n">
        <x:v>0</x:v>
      </x:c>
      <x:c r="Q765" s="93" t="n">
        <x:v>0</x:v>
      </x:c>
      <x:c r="R765" s="91" t="n">
        <x:v>0</x:v>
      </x:c>
    </x:row>
    <x:row r="766">
      <x:c r="A766" s="83" t="n">
        <x:v>765</x:v>
      </x:c>
      <x:c r="B766" s="84" t="str">
        <x:v>OS-2023-00765</x:v>
      </x:c>
      <x:c r="C766" s="84" t="n">
        <x:v>37</x:v>
      </x:c>
      <x:c r="D766" s="84" t="n">
        <x:v>1</x:v>
      </x:c>
      <x:c r="E766" s="84" t="n">
        <x:v>73</x:v>
      </x:c>
      <x:c r="F766" s="89" t="n">
        <x:v>45125.863703703704</x:v>
      </x:c>
      <x:c r="G766" s="89" t="n">
        <x:v>45129.863703703704</x:v>
      </x:c>
      <x:c r="H766" s="89" t="n">
        <x:v>45128.238703703704</x:v>
      </x:c>
      <x:c r="I766" s="89" t="n">
        <x:v>45128.738703703704</x:v>
      </x:c>
      <x:c r="J766" s="84" t="str">
        <x:v>Média</x:v>
      </x:c>
      <x:c r="K766" s="84" t="str">
        <x:v>Concluída</x:v>
      </x:c>
      <x:c r="L766" s="84" t="str">
        <x:v>Baixa pressão</x:v>
      </x:c>
      <x:c r="M766" s="84" t="str">
        <x:v>Conexão frouxa</x:v>
      </x:c>
      <x:c r="N766" s="84" t="str">
        <x:v>Componente ajustado ou substituído</x:v>
      </x:c>
      <x:c r="O766" s="84" t="n">
        <x:v>0</x:v>
      </x:c>
      <x:c r="P766" s="93" t="n">
        <x:v>199.95</x:v>
      </x:c>
      <x:c r="Q766" s="93" t="n">
        <x:v>8604</x:v>
      </x:c>
      <x:c r="R766" s="91" t="n">
        <x:v>0</x:v>
      </x:c>
    </x:row>
    <x:row r="767">
      <x:c r="A767" s="83" t="n">
        <x:v>766</x:v>
      </x:c>
      <x:c r="B767" s="84" t="str">
        <x:v>OS-2023-00766</x:v>
      </x:c>
      <x:c r="C767" s="84" t="n">
        <x:v>27</x:v>
      </x:c>
      <x:c r="D767" s="84" t="n">
        <x:v>1</x:v>
      </x:c>
      <x:c r="E767" s="84" t="n">
        <x:v>53</x:v>
      </x:c>
      <x:c r="F767" s="89" t="n">
        <x:v>45288.21229166666</x:v>
      </x:c>
      <x:c r="G767" s="89" t="n">
        <x:v>45301.21229166666</x:v>
      </x:c>
      <x:c r="H767" s="89" t="n">
        <x:v>45290.545625</x:v>
      </x:c>
      <x:c r="I767" s="89" t="n">
        <x:v>45290.96229166666</x:v>
      </x:c>
      <x:c r="J767" s="84" t="str">
        <x:v>Alta</x:v>
      </x:c>
      <x:c r="K767" s="84" t="str">
        <x:v>Encerrada</x:v>
      </x:c>
      <x:c r="L767" s="84" t="str">
        <x:v>Superaquecimento</x:v>
      </x:c>
      <x:c r="M767" s="84" t="str">
        <x:v>Componente danificado</x:v>
      </x:c>
      <x:c r="N767" s="84" t="str">
        <x:v>Componente ajustado ou substituído</x:v>
      </x:c>
      <x:c r="O767" s="84" t="n">
        <x:v>0</x:v>
      </x:c>
      <x:c r="P767" s="93" t="n">
        <x:v>365.83</x:v>
      </x:c>
      <x:c r="Q767" s="93" t="n">
        <x:v>8944.13</x:v>
      </x:c>
      <x:c r="R767" s="91" t="n">
        <x:v>0</x:v>
      </x:c>
    </x:row>
    <x:row r="768">
      <x:c r="A768" s="83" t="n">
        <x:v>767</x:v>
      </x:c>
      <x:c r="B768" s="84" t="str">
        <x:v>OS-2024-00767</x:v>
      </x:c>
      <x:c r="C768" s="84" t="n">
        <x:v>80</x:v>
      </x:c>
      <x:c r="D768" s="84" t="n">
        <x:v>3</x:v>
      </x:c>
      <x:c r="E768" s="84"/>
      <x:c r="F768" s="89" t="n">
        <x:v>45558.32640046296</x:v>
      </x:c>
      <x:c r="G768" s="89"/>
      <x:c r="H768" s="89" t="n">
        <x:v>45559.24306712963</x:v>
      </x:c>
      <x:c r="I768" s="89" t="n">
        <x:v>45559.36806712963</x:v>
      </x:c>
      <x:c r="J768" s="84" t="str">
        <x:v>Baixa</x:v>
      </x:c>
      <x:c r="K768" s="84" t="str">
        <x:v>Encerrada</x:v>
      </x:c>
      <x:c r="L768" s="84" t="str">
        <x:v>Desalinhamento</x:v>
      </x:c>
      <x:c r="M768" s="84" t="str">
        <x:v>Ajuste incorreto</x:v>
      </x:c>
      <x:c r="N768" s="84" t="str">
        <x:v>Componente ajustado ou substituído</x:v>
      </x:c>
      <x:c r="O768" s="84" t="n">
        <x:v>0</x:v>
      </x:c>
      <x:c r="P768" s="93" t="n">
        <x:v>251.1</x:v>
      </x:c>
      <x:c r="Q768" s="93" t="n">
        <x:v>2782.84</x:v>
      </x:c>
      <x:c r="R768" s="91" t="n">
        <x:v>0</x:v>
      </x:c>
    </x:row>
    <x:row r="769">
      <x:c r="A769" s="83" t="n">
        <x:v>768</x:v>
      </x:c>
      <x:c r="B769" s="84" t="str">
        <x:v>OS-2024-00768</x:v>
      </x:c>
      <x:c r="C769" s="84" t="n">
        <x:v>14</x:v>
      </x:c>
      <x:c r="D769" s="84" t="n">
        <x:v>6</x:v>
      </x:c>
      <x:c r="E769" s="84"/>
      <x:c r="F769" s="89" t="n">
        <x:v>45337.58143518519</x:v>
      </x:c>
      <x:c r="G769" s="89" t="n">
        <x:v>45344.58143518519</x:v>
      </x:c>
      <x:c r="H769" s="89" t="n">
        <x:v>45337.62310185185</x:v>
      </x:c>
      <x:c r="I769" s="89" t="n">
        <x:v>45338.20643518519</x:v>
      </x:c>
      <x:c r="J769" s="84" t="str">
        <x:v>Média</x:v>
      </x:c>
      <x:c r="K769" s="84" t="str">
        <x:v>Encerrada</x:v>
      </x:c>
      <x:c r="L769" s="84" t="str">
        <x:v>Baixa pressão</x:v>
      </x:c>
      <x:c r="M769" s="84" t="str">
        <x:v>Conexão frouxa</x:v>
      </x:c>
      <x:c r="N769" s="84" t="str">
        <x:v>Componente ajustado ou substituído</x:v>
      </x:c>
      <x:c r="O769" s="84" t="n">
        <x:v>0</x:v>
      </x:c>
      <x:c r="P769" s="93" t="n">
        <x:v>479.59</x:v>
      </x:c>
      <x:c r="Q769" s="93" t="n">
        <x:v>8129.28</x:v>
      </x:c>
      <x:c r="R769" s="91" t="n">
        <x:v>0</x:v>
      </x:c>
    </x:row>
    <x:row r="770">
      <x:c r="A770" s="83" t="n">
        <x:v>769</x:v>
      </x:c>
      <x:c r="B770" s="84" t="str">
        <x:v>OS-2025-00769</x:v>
      </x:c>
      <x:c r="C770" s="84" t="n">
        <x:v>8</x:v>
      </x:c>
      <x:c r="D770" s="84" t="n">
        <x:v>3</x:v>
      </x:c>
      <x:c r="E770" s="84"/>
      <x:c r="F770" s="89" t="n">
        <x:v>45969.81537037037</x:v>
      </x:c>
      <x:c r="G770" s="89"/>
      <x:c r="H770" s="89" t="n">
        <x:v>45970.69037037037</x:v>
      </x:c>
      <x:c r="I770" s="89" t="n">
        <x:v>45971.0237037037</x:v>
      </x:c>
      <x:c r="J770" s="84" t="str">
        <x:v>Baixa</x:v>
      </x:c>
      <x:c r="K770" s="84" t="str">
        <x:v>Encerrada</x:v>
      </x:c>
      <x:c r="L770" s="84" t="str">
        <x:v>Vazamento</x:v>
      </x:c>
      <x:c r="M770" s="84" t="str">
        <x:v>Falta de lubrificação</x:v>
      </x:c>
      <x:c r="N770" s="84" t="str">
        <x:v>Componente ajustado ou substituído</x:v>
      </x:c>
      <x:c r="O770" s="84" t="n">
        <x:v>0</x:v>
      </x:c>
      <x:c r="P770" s="93" t="n">
        <x:v>663.79</x:v>
      </x:c>
      <x:c r="Q770" s="93" t="n">
        <x:v>184.16</x:v>
      </x:c>
      <x:c r="R770" s="91" t="n">
        <x:v>8809.43</x:v>
      </x:c>
    </x:row>
    <x:row r="771">
      <x:c r="A771" s="83" t="n">
        <x:v>770</x:v>
      </x:c>
      <x:c r="B771" s="84" t="str">
        <x:v>OS-2025-00770</x:v>
      </x:c>
      <x:c r="C771" s="84" t="n">
        <x:v>1</x:v>
      </x:c>
      <x:c r="D771" s="84" t="n">
        <x:v>3</x:v>
      </x:c>
      <x:c r="E771" s="84"/>
      <x:c r="F771" s="89" t="n">
        <x:v>45812.72542824074</x:v>
      </x:c>
      <x:c r="G771" s="89"/>
      <x:c r="H771" s="89" t="n">
        <x:v>45813.80876157407</x:v>
      </x:c>
      <x:c r="I771" s="89" t="n">
        <x:v>45814.39209490741</x:v>
      </x:c>
      <x:c r="J771" s="84" t="str">
        <x:v>Alta</x:v>
      </x:c>
      <x:c r="K771" s="84" t="str">
        <x:v>Encerrada</x:v>
      </x:c>
      <x:c r="L771" s="84" t="str">
        <x:v>Baixa pressão</x:v>
      </x:c>
      <x:c r="M771" s="84" t="str">
        <x:v>Contaminação</x:v>
      </x:c>
      <x:c r="N771" s="84" t="str">
        <x:v>Componente ajustado ou substituído</x:v>
      </x:c>
      <x:c r="O771" s="84" t="n">
        <x:v>0</x:v>
      </x:c>
      <x:c r="P771" s="93" t="n">
        <x:v>311.05</x:v>
      </x:c>
      <x:c r="Q771" s="93" t="n">
        <x:v>0</x:v>
      </x:c>
      <x:c r="R771" s="91" t="n">
        <x:v>0</x:v>
      </x:c>
    </x:row>
    <x:row r="772">
      <x:c r="A772" s="83" t="n">
        <x:v>771</x:v>
      </x:c>
      <x:c r="B772" s="84" t="str">
        <x:v>OS-2025-00771</x:v>
      </x:c>
      <x:c r="C772" s="84" t="n">
        <x:v>82</x:v>
      </x:c>
      <x:c r="D772" s="84" t="n">
        <x:v>5</x:v>
      </x:c>
      <x:c r="E772" s="84" t="n">
        <x:v>164</x:v>
      </x:c>
      <x:c r="F772" s="89" t="n">
        <x:v>45815.05983796297</x:v>
      </x:c>
      <x:c r="G772" s="89" t="n">
        <x:v>45830.05983796297</x:v>
      </x:c>
      <x:c r="H772" s="89" t="n">
        <x:v>45816.10150462963</x:v>
      </x:c>
      <x:c r="I772" s="89"/>
      <x:c r="J772" s="84" t="str">
        <x:v>Crítica</x:v>
      </x:c>
      <x:c r="K772" s="84" t="str">
        <x:v>Aguardando peça</x:v>
      </x:c>
      <x:c r="L772" s="84" t="str">
        <x:v>Falha elétrica</x:v>
      </x:c>
      <x:c r="M772" s="84" t="str">
        <x:v>Contaminação</x:v>
      </x:c>
      <x:c r="N772" s="84"/>
      <x:c r="O772" s="84" t="n">
        <x:v>0</x:v>
      </x:c>
      <x:c r="P772" s="93" t="n">
        <x:v>570.7</x:v>
      </x:c>
      <x:c r="Q772" s="93" t="n">
        <x:v>8055.3</x:v>
      </x:c>
      <x:c r="R772" s="91" t="n">
        <x:v>0</x:v>
      </x:c>
    </x:row>
    <x:row r="773">
      <x:c r="A773" s="83" t="n">
        <x:v>772</x:v>
      </x:c>
      <x:c r="B773" s="84" t="str">
        <x:v>OS-2023-00772</x:v>
      </x:c>
      <x:c r="C773" s="84" t="n">
        <x:v>37</x:v>
      </x:c>
      <x:c r="D773" s="84" t="n">
        <x:v>6</x:v>
      </x:c>
      <x:c r="E773" s="84"/>
      <x:c r="F773" s="89" t="n">
        <x:v>45256.026875</x:v>
      </x:c>
      <x:c r="G773" s="89" t="n">
        <x:v>45256.026875</x:v>
      </x:c>
      <x:c r="H773" s="89" t="n">
        <x:v>45257.19354166667</x:v>
      </x:c>
      <x:c r="I773" s="89"/>
      <x:c r="J773" s="84" t="str">
        <x:v>Média</x:v>
      </x:c>
      <x:c r="K773" s="84" t="str">
        <x:v>Em execução</x:v>
      </x:c>
      <x:c r="L773" s="84" t="str">
        <x:v>Superaquecimento</x:v>
      </x:c>
      <x:c r="M773" s="84" t="str">
        <x:v>Conexão frouxa</x:v>
      </x:c>
      <x:c r="N773" s="84"/>
      <x:c r="O773" s="84" t="n">
        <x:v>0</x:v>
      </x:c>
      <x:c r="P773" s="93" t="n">
        <x:v>424.93</x:v>
      </x:c>
      <x:c r="Q773" s="93" t="n">
        <x:v>6988.94</x:v>
      </x:c>
      <x:c r="R773" s="91" t="n">
        <x:v>0</x:v>
      </x:c>
    </x:row>
    <x:row r="774">
      <x:c r="A774" s="83" t="n">
        <x:v>773</x:v>
      </x:c>
      <x:c r="B774" s="84" t="str">
        <x:v>OS-2025-00773</x:v>
      </x:c>
      <x:c r="C774" s="84" t="n">
        <x:v>46</x:v>
      </x:c>
      <x:c r="D774" s="84" t="n">
        <x:v>5</x:v>
      </x:c>
      <x:c r="E774" s="84" t="n">
        <x:v>92</x:v>
      </x:c>
      <x:c r="F774" s="89" t="n">
        <x:v>45698.12116898148</x:v>
      </x:c>
      <x:c r="G774" s="89" t="n">
        <x:v>45703.12116898148</x:v>
      </x:c>
      <x:c r="H774" s="89" t="n">
        <x:v>45699.99616898148</x:v>
      </x:c>
      <x:c r="I774" s="89" t="n">
        <x:v>45700.62116898148</x:v>
      </x:c>
      <x:c r="J774" s="84" t="str">
        <x:v>Alta</x:v>
      </x:c>
      <x:c r="K774" s="84" t="str">
        <x:v>Encerrada</x:v>
      </x:c>
      <x:c r="L774" s="84" t="str">
        <x:v>Desalinhamento</x:v>
      </x:c>
      <x:c r="M774" s="84" t="str">
        <x:v>Falta de lubrificação</x:v>
      </x:c>
      <x:c r="N774" s="84" t="str">
        <x:v>Componente ajustado ou substituído</x:v>
      </x:c>
      <x:c r="O774" s="84" t="n">
        <x:v>0</x:v>
      </x:c>
      <x:c r="P774" s="93" t="n">
        <x:v>796.11</x:v>
      </x:c>
      <x:c r="Q774" s="93" t="n">
        <x:v>10067.3</x:v>
      </x:c>
      <x:c r="R774" s="91" t="n">
        <x:v>0</x:v>
      </x:c>
    </x:row>
    <x:row r="775">
      <x:c r="A775" s="83" t="n">
        <x:v>774</x:v>
      </x:c>
      <x:c r="B775" s="84" t="str">
        <x:v>OS-2023-00774</x:v>
      </x:c>
      <x:c r="C775" s="84" t="n">
        <x:v>87</x:v>
      </x:c>
      <x:c r="D775" s="84" t="n">
        <x:v>8</x:v>
      </x:c>
      <x:c r="E775" s="84"/>
      <x:c r="F775" s="89" t="n">
        <x:v>45144.53025462963</x:v>
      </x:c>
      <x:c r="G775" s="89" t="n">
        <x:v>45156.53025462963</x:v>
      </x:c>
      <x:c r="H775" s="89"/>
      <x:c r="I775" s="89"/>
      <x:c r="J775" s="84" t="str">
        <x:v>Baixa</x:v>
      </x:c>
      <x:c r="K775" s="84" t="str">
        <x:v>Planejada</x:v>
      </x:c>
      <x:c r="L775" s="84" t="str">
        <x:v>Alarme intermitente</x:v>
      </x:c>
      <x:c r="M775" s="84"/>
      <x:c r="N775" s="84"/>
      <x:c r="O775" s="84" t="n">
        <x:v>0</x:v>
      </x:c>
      <x:c r="P775" s="93" t="n">
        <x:v>0</x:v>
      </x:c>
      <x:c r="Q775" s="93" t="n">
        <x:v>0</x:v>
      </x:c>
      <x:c r="R775" s="91" t="n">
        <x:v>0</x:v>
      </x:c>
    </x:row>
    <x:row r="776">
      <x:c r="A776" s="83" t="n">
        <x:v>775</x:v>
      </x:c>
      <x:c r="B776" s="84" t="str">
        <x:v>OS-2025-00775</x:v>
      </x:c>
      <x:c r="C776" s="84" t="n">
        <x:v>77</x:v>
      </x:c>
      <x:c r="D776" s="84" t="n">
        <x:v>2</x:v>
      </x:c>
      <x:c r="E776" s="84"/>
      <x:c r="F776" s="89" t="n">
        <x:v>45721.010925925926</x:v>
      </x:c>
      <x:c r="G776" s="89" t="n">
        <x:v>45726.010925925926</x:v>
      </x:c>
      <x:c r="H776" s="89" t="n">
        <x:v>45722.71925925926</x:v>
      </x:c>
      <x:c r="I776" s="89" t="n">
        <x:v>45723.09425925926</x:v>
      </x:c>
      <x:c r="J776" s="84" t="str">
        <x:v>Crítica</x:v>
      </x:c>
      <x:c r="K776" s="84" t="str">
        <x:v>Concluída</x:v>
      </x:c>
      <x:c r="L776" s="84" t="str">
        <x:v>Superaquecimento</x:v>
      </x:c>
      <x:c r="M776" s="84" t="str">
        <x:v>Falta de lubrificação</x:v>
      </x:c>
      <x:c r="N776" s="84" t="str">
        <x:v>Componente ajustado ou substituído</x:v>
      </x:c>
      <x:c r="O776" s="84" t="n">
        <x:v>0</x:v>
      </x:c>
      <x:c r="P776" s="93" t="n">
        <x:v>448.92</x:v>
      </x:c>
      <x:c r="Q776" s="93" t="n">
        <x:v>1998.48</x:v>
      </x:c>
      <x:c r="R776" s="91" t="n">
        <x:v>0</x:v>
      </x:c>
    </x:row>
    <x:row r="777">
      <x:c r="A777" s="83" t="n">
        <x:v>776</x:v>
      </x:c>
      <x:c r="B777" s="84" t="str">
        <x:v>OS-2025-00776</x:v>
      </x:c>
      <x:c r="C777" s="84" t="n">
        <x:v>25</x:v>
      </x:c>
      <x:c r="D777" s="84" t="n">
        <x:v>9</x:v>
      </x:c>
      <x:c r="E777" s="84"/>
      <x:c r="F777" s="89" t="n">
        <x:v>45938.08315972222</x:v>
      </x:c>
      <x:c r="G777" s="89" t="n">
        <x:v>45943.08315972222</x:v>
      </x:c>
      <x:c r="H777" s="89"/>
      <x:c r="I777" s="89"/>
      <x:c r="J777" s="84" t="str">
        <x:v>Alta</x:v>
      </x:c>
      <x:c r="K777" s="84" t="str">
        <x:v>Cancelada</x:v>
      </x:c>
      <x:c r="L777" s="84" t="str">
        <x:v>Falha elétrica</x:v>
      </x:c>
      <x:c r="M777" s="84"/>
      <x:c r="N777" s="84"/>
      <x:c r="O777" s="84" t="n">
        <x:v>0</x:v>
      </x:c>
      <x:c r="P777" s="93" t="n">
        <x:v>0</x:v>
      </x:c>
      <x:c r="Q777" s="93" t="n">
        <x:v>0</x:v>
      </x:c>
      <x:c r="R777" s="91" t="n">
        <x:v>0</x:v>
      </x:c>
    </x:row>
    <x:row r="778">
      <x:c r="A778" s="83" t="n">
        <x:v>777</x:v>
      </x:c>
      <x:c r="B778" s="84" t="str">
        <x:v>OS-2025-00777</x:v>
      </x:c>
      <x:c r="C778" s="84" t="n">
        <x:v>19</x:v>
      </x:c>
      <x:c r="D778" s="84" t="n">
        <x:v>7</x:v>
      </x:c>
      <x:c r="E778" s="84" t="n">
        <x:v>38</x:v>
      </x:c>
      <x:c r="F778" s="89" t="n">
        <x:v>45800.95056712963</x:v>
      </x:c>
      <x:c r="G778" s="89" t="n">
        <x:v>45804.95056712963</x:v>
      </x:c>
      <x:c r="H778" s="89" t="n">
        <x:v>45801.1172337963</x:v>
      </x:c>
      <x:c r="I778" s="89"/>
      <x:c r="J778" s="84" t="str">
        <x:v>Baixa</x:v>
      </x:c>
      <x:c r="K778" s="84" t="str">
        <x:v>Em execução</x:v>
      </x:c>
      <x:c r="L778" s="84" t="str">
        <x:v>Falha elétrica</x:v>
      </x:c>
      <x:c r="M778" s="84" t="str">
        <x:v>Contaminação</x:v>
      </x:c>
      <x:c r="N778" s="84"/>
      <x:c r="O778" s="84" t="n">
        <x:v>0</x:v>
      </x:c>
      <x:c r="P778" s="93" t="n">
        <x:v>479.38</x:v>
      </x:c>
      <x:c r="Q778" s="93" t="n">
        <x:v>3612.65</x:v>
      </x:c>
      <x:c r="R778" s="91" t="n">
        <x:v>0</x:v>
      </x:c>
    </x:row>
    <x:row r="779">
      <x:c r="A779" s="83" t="n">
        <x:v>778</x:v>
      </x:c>
      <x:c r="B779" s="84" t="str">
        <x:v>OS-2024-00778</x:v>
      </x:c>
      <x:c r="C779" s="84" t="n">
        <x:v>1</x:v>
      </x:c>
      <x:c r="D779" s="84" t="n">
        <x:v>3</x:v>
      </x:c>
      <x:c r="E779" s="84"/>
      <x:c r="F779" s="89" t="n">
        <x:v>45476.85857638889</x:v>
      </x:c>
      <x:c r="G779" s="89"/>
      <x:c r="H779" s="89" t="n">
        <x:v>45479.10857638889</x:v>
      </x:c>
      <x:c r="I779" s="89" t="n">
        <x:v>45479.900243055556</x:v>
      </x:c>
      <x:c r="J779" s="84" t="str">
        <x:v>Média</x:v>
      </x:c>
      <x:c r="K779" s="84" t="str">
        <x:v>Concluída</x:v>
      </x:c>
      <x:c r="L779" s="84" t="str">
        <x:v>Baixa pressão</x:v>
      </x:c>
      <x:c r="M779" s="84" t="str">
        <x:v>Desgaste natural</x:v>
      </x:c>
      <x:c r="N779" s="84" t="str">
        <x:v>Componente ajustado ou substituído</x:v>
      </x:c>
      <x:c r="O779" s="84" t="n">
        <x:v>0</x:v>
      </x:c>
      <x:c r="P779" s="93" t="n">
        <x:v>509.74</x:v>
      </x:c>
      <x:c r="Q779" s="93" t="n">
        <x:v>11033.73</x:v>
      </x:c>
      <x:c r="R779" s="91" t="n">
        <x:v>0</x:v>
      </x:c>
    </x:row>
    <x:row r="780">
      <x:c r="A780" s="83" t="n">
        <x:v>779</x:v>
      </x:c>
      <x:c r="B780" s="84" t="str">
        <x:v>OS-2024-00779</x:v>
      </x:c>
      <x:c r="C780" s="84" t="n">
        <x:v>44</x:v>
      </x:c>
      <x:c r="D780" s="84" t="n">
        <x:v>5</x:v>
      </x:c>
      <x:c r="E780" s="84" t="n">
        <x:v>87</x:v>
      </x:c>
      <x:c r="F780" s="89" t="n">
        <x:v>45419.91261574074</x:v>
      </x:c>
      <x:c r="G780" s="89" t="n">
        <x:v>45422.91261574074</x:v>
      </x:c>
      <x:c r="H780" s="89" t="n">
        <x:v>45422.32928240741</x:v>
      </x:c>
      <x:c r="I780" s="89" t="n">
        <x:v>45423.03761574074</x:v>
      </x:c>
      <x:c r="J780" s="84" t="str">
        <x:v>Baixa</x:v>
      </x:c>
      <x:c r="K780" s="84" t="str">
        <x:v>Concluída</x:v>
      </x:c>
      <x:c r="L780" s="84" t="str">
        <x:v>Alarme intermitente</x:v>
      </x:c>
      <x:c r="M780" s="84" t="str">
        <x:v>Contaminação</x:v>
      </x:c>
      <x:c r="N780" s="84" t="str">
        <x:v>Componente ajustado ou substituído</x:v>
      </x:c>
      <x:c r="O780" s="84" t="n">
        <x:v>1</x:v>
      </x:c>
      <x:c r="P780" s="93" t="n">
        <x:v>317.3</x:v>
      </x:c>
      <x:c r="Q780" s="93" t="n">
        <x:v>0</x:v>
      </x:c>
      <x:c r="R780" s="91" t="n">
        <x:v>0</x:v>
      </x:c>
    </x:row>
    <x:row r="781">
      <x:c r="A781" s="83" t="n">
        <x:v>780</x:v>
      </x:c>
      <x:c r="B781" s="84" t="str">
        <x:v>OS-2025-00780</x:v>
      </x:c>
      <x:c r="C781" s="84" t="n">
        <x:v>16</x:v>
      </x:c>
      <x:c r="D781" s="84" t="n">
        <x:v>9</x:v>
      </x:c>
      <x:c r="E781" s="84"/>
      <x:c r="F781" s="89" t="n">
        <x:v>45710.35267361111</x:v>
      </x:c>
      <x:c r="G781" s="89" t="n">
        <x:v>45716.35267361111</x:v>
      </x:c>
      <x:c r="H781" s="89" t="n">
        <x:v>45711.311006944445</x:v>
      </x:c>
      <x:c r="I781" s="89" t="n">
        <x:v>45711.39434027778</x:v>
      </x:c>
      <x:c r="J781" s="84" t="str">
        <x:v>Baixa</x:v>
      </x:c>
      <x:c r="K781" s="84" t="str">
        <x:v>Encerrada</x:v>
      </x:c>
      <x:c r="L781" s="84" t="str">
        <x:v>Superaquecimento</x:v>
      </x:c>
      <x:c r="M781" s="84" t="str">
        <x:v>Contaminação</x:v>
      </x:c>
      <x:c r="N781" s="84" t="str">
        <x:v>Componente ajustado ou substituído</x:v>
      </x:c>
      <x:c r="O781" s="84" t="n">
        <x:v>0</x:v>
      </x:c>
      <x:c r="P781" s="93" t="n">
        <x:v>276.35</x:v>
      </x:c>
      <x:c r="Q781" s="93" t="n">
        <x:v>4473.56</x:v>
      </x:c>
      <x:c r="R781" s="91" t="n">
        <x:v>0</x:v>
      </x:c>
    </x:row>
    <x:row r="782">
      <x:c r="A782" s="83" t="n">
        <x:v>781</x:v>
      </x:c>
      <x:c r="B782" s="84" t="str">
        <x:v>OS-2025-00781</x:v>
      </x:c>
      <x:c r="C782" s="84" t="n">
        <x:v>82</x:v>
      </x:c>
      <x:c r="D782" s="84" t="n">
        <x:v>3</x:v>
      </x:c>
      <x:c r="E782" s="84"/>
      <x:c r="F782" s="89" t="n">
        <x:v>45766.04918981482</x:v>
      </x:c>
      <x:c r="G782" s="89"/>
      <x:c r="H782" s="89" t="n">
        <x:v>45769.007523148146</x:v>
      </x:c>
      <x:c r="I782" s="89" t="n">
        <x:v>45769.04918981482</x:v>
      </x:c>
      <x:c r="J782" s="84" t="str">
        <x:v>Média</x:v>
      </x:c>
      <x:c r="K782" s="84" t="str">
        <x:v>Concluída</x:v>
      </x:c>
      <x:c r="L782" s="84" t="str">
        <x:v>Superaquecimento</x:v>
      </x:c>
      <x:c r="M782" s="84" t="str">
        <x:v>Ajuste incorreto</x:v>
      </x:c>
      <x:c r="N782" s="84" t="str">
        <x:v>Componente ajustado ou substituído</x:v>
      </x:c>
      <x:c r="O782" s="84" t="n">
        <x:v>0</x:v>
      </x:c>
      <x:c r="P782" s="93" t="n">
        <x:v>148.97</x:v>
      </x:c>
      <x:c r="Q782" s="93" t="n">
        <x:v>0</x:v>
      </x:c>
      <x:c r="R782" s="91" t="n">
        <x:v>728.86</x:v>
      </x:c>
    </x:row>
    <x:row r="783">
      <x:c r="A783" s="83" t="n">
        <x:v>782</x:v>
      </x:c>
      <x:c r="B783" s="84" t="str">
        <x:v>OS-2024-00782</x:v>
      </x:c>
      <x:c r="C783" s="84" t="n">
        <x:v>37</x:v>
      </x:c>
      <x:c r="D783" s="84" t="n">
        <x:v>2</x:v>
      </x:c>
      <x:c r="E783" s="84"/>
      <x:c r="F783" s="89" t="n">
        <x:v>45515.674791666665</x:v>
      </x:c>
      <x:c r="G783" s="89" t="n">
        <x:v>45530.674791666665</x:v>
      </x:c>
      <x:c r="H783" s="89" t="n">
        <x:v>45517.091458333336</x:v>
      </x:c>
      <x:c r="I783" s="89" t="n">
        <x:v>45517.924791666665</x:v>
      </x:c>
      <x:c r="J783" s="84" t="str">
        <x:v>Alta</x:v>
      </x:c>
      <x:c r="K783" s="84" t="str">
        <x:v>Encerrada</x:v>
      </x:c>
      <x:c r="L783" s="84" t="str">
        <x:v>Ruído anormal</x:v>
      </x:c>
      <x:c r="M783" s="84" t="str">
        <x:v>Conexão frouxa</x:v>
      </x:c>
      <x:c r="N783" s="84" t="str">
        <x:v>Componente ajustado ou substituído</x:v>
      </x:c>
      <x:c r="O783" s="84" t="n">
        <x:v>0</x:v>
      </x:c>
      <x:c r="P783" s="93" t="n">
        <x:v>277.75</x:v>
      </x:c>
      <x:c r="Q783" s="93" t="n">
        <x:v>1977.09</x:v>
      </x:c>
      <x:c r="R783" s="91" t="n">
        <x:v>0</x:v>
      </x:c>
    </x:row>
    <x:row r="784">
      <x:c r="A784" s="83" t="n">
        <x:v>783</x:v>
      </x:c>
      <x:c r="B784" s="84" t="str">
        <x:v>OS-2023-00783</x:v>
      </x:c>
      <x:c r="C784" s="84" t="n">
        <x:v>59</x:v>
      </x:c>
      <x:c r="D784" s="84" t="n">
        <x:v>3</x:v>
      </x:c>
      <x:c r="E784" s="84"/>
      <x:c r="F784" s="89" t="n">
        <x:v>45167.58498842592</x:v>
      </x:c>
      <x:c r="G784" s="89"/>
      <x:c r="H784" s="89"/>
      <x:c r="I784" s="89"/>
      <x:c r="J784" s="84" t="str">
        <x:v>Baixa</x:v>
      </x:c>
      <x:c r="K784" s="84" t="str">
        <x:v>Planejada</x:v>
      </x:c>
      <x:c r="L784" s="84" t="str">
        <x:v>Vazamento</x:v>
      </x:c>
      <x:c r="M784" s="84"/>
      <x:c r="N784" s="84"/>
      <x:c r="O784" s="84" t="n">
        <x:v>0</x:v>
      </x:c>
      <x:c r="P784" s="93" t="n">
        <x:v>0</x:v>
      </x:c>
      <x:c r="Q784" s="93" t="n">
        <x:v>0</x:v>
      </x:c>
      <x:c r="R784" s="91" t="n">
        <x:v>0</x:v>
      </x:c>
    </x:row>
    <x:row r="785">
      <x:c r="A785" s="83" t="n">
        <x:v>784</x:v>
      </x:c>
      <x:c r="B785" s="84" t="str">
        <x:v>OS-2023-00784</x:v>
      </x:c>
      <x:c r="C785" s="84" t="n">
        <x:v>36</x:v>
      </x:c>
      <x:c r="D785" s="84" t="n">
        <x:v>5</x:v>
      </x:c>
      <x:c r="E785" s="84" t="n">
        <x:v>72</x:v>
      </x:c>
      <x:c r="F785" s="89" t="n">
        <x:v>45007.80060185185</x:v>
      </x:c>
      <x:c r="G785" s="89" t="n">
        <x:v>45008.80060185185</x:v>
      </x:c>
      <x:c r="H785" s="89" t="n">
        <x:v>45009.258935185186</x:v>
      </x:c>
      <x:c r="I785" s="89" t="n">
        <x:v>45009.34226851852</x:v>
      </x:c>
      <x:c r="J785" s="84" t="str">
        <x:v>Alta</x:v>
      </x:c>
      <x:c r="K785" s="84" t="str">
        <x:v>Encerrada</x:v>
      </x:c>
      <x:c r="L785" s="84" t="str">
        <x:v>Vazamento</x:v>
      </x:c>
      <x:c r="M785" s="84" t="str">
        <x:v>Componente danificado</x:v>
      </x:c>
      <x:c r="N785" s="84" t="str">
        <x:v>Componente ajustado ou substituído</x:v>
      </x:c>
      <x:c r="O785" s="84" t="n">
        <x:v>0</x:v>
      </x:c>
      <x:c r="P785" s="93" t="n">
        <x:v>85.09</x:v>
      </x:c>
      <x:c r="Q785" s="93" t="n">
        <x:v>0</x:v>
      </x:c>
      <x:c r="R785" s="91" t="n">
        <x:v>14907.98</x:v>
      </x:c>
    </x:row>
    <x:row r="786">
      <x:c r="A786" s="83" t="n">
        <x:v>785</x:v>
      </x:c>
      <x:c r="B786" s="84" t="str">
        <x:v>OS-2025-00785</x:v>
      </x:c>
      <x:c r="C786" s="84" t="n">
        <x:v>85</x:v>
      </x:c>
      <x:c r="D786" s="84" t="n">
        <x:v>1</x:v>
      </x:c>
      <x:c r="E786" s="84" t="n">
        <x:v>169</x:v>
      </x:c>
      <x:c r="F786" s="89" t="n">
        <x:v>45852.109456018516</x:v>
      </x:c>
      <x:c r="G786" s="89" t="n">
        <x:v>45852.109456018516</x:v>
      </x:c>
      <x:c r="H786" s="89" t="n">
        <x:v>45855.02612268519</x:v>
      </x:c>
      <x:c r="I786" s="89" t="n">
        <x:v>45855.19278935185</x:v>
      </x:c>
      <x:c r="J786" s="84" t="str">
        <x:v>Crítica</x:v>
      </x:c>
      <x:c r="K786" s="84" t="str">
        <x:v>Encerrada</x:v>
      </x:c>
      <x:c r="L786" s="84" t="str">
        <x:v>Baixa pressão</x:v>
      </x:c>
      <x:c r="M786" s="84" t="str">
        <x:v>Conexão frouxa</x:v>
      </x:c>
      <x:c r="N786" s="84" t="str">
        <x:v>Componente ajustado ou substituído</x:v>
      </x:c>
      <x:c r="O786" s="84" t="n">
        <x:v>0</x:v>
      </x:c>
      <x:c r="P786" s="93" t="n">
        <x:v>267.41</x:v>
      </x:c>
      <x:c r="Q786" s="93" t="n">
        <x:v>13613.42</x:v>
      </x:c>
      <x:c r="R786" s="91" t="n">
        <x:v>0</x:v>
      </x:c>
    </x:row>
    <x:row r="787">
      <x:c r="A787" s="83" t="n">
        <x:v>786</x:v>
      </x:c>
      <x:c r="B787" s="84" t="str">
        <x:v>OS-2024-00786</x:v>
      </x:c>
      <x:c r="C787" s="84" t="n">
        <x:v>10</x:v>
      </x:c>
      <x:c r="D787" s="84" t="n">
        <x:v>3</x:v>
      </x:c>
      <x:c r="E787" s="84"/>
      <x:c r="F787" s="89" t="n">
        <x:v>45587.62604166667</x:v>
      </x:c>
      <x:c r="G787" s="89"/>
      <x:c r="H787" s="89" t="n">
        <x:v>45587.75104166667</x:v>
      </x:c>
      <x:c r="I787" s="89" t="n">
        <x:v>45588.209375</x:v>
      </x:c>
      <x:c r="J787" s="84" t="str">
        <x:v>Crítica</x:v>
      </x:c>
      <x:c r="K787" s="84" t="str">
        <x:v>Concluída</x:v>
      </x:c>
      <x:c r="L787" s="84" t="str">
        <x:v>Desalinhamento</x:v>
      </x:c>
      <x:c r="M787" s="84" t="str">
        <x:v>Contaminação</x:v>
      </x:c>
      <x:c r="N787" s="84" t="str">
        <x:v>Componente ajustado ou substituído</x:v>
      </x:c>
      <x:c r="O787" s="84" t="n">
        <x:v>0</x:v>
      </x:c>
      <x:c r="P787" s="93" t="n">
        <x:v>792.56</x:v>
      </x:c>
      <x:c r="Q787" s="93" t="n">
        <x:v>4111.64</x:v>
      </x:c>
      <x:c r="R787" s="91" t="n">
        <x:v>0</x:v>
      </x:c>
    </x:row>
    <x:row r="788">
      <x:c r="A788" s="83" t="n">
        <x:v>787</x:v>
      </x:c>
      <x:c r="B788" s="84" t="str">
        <x:v>OS-2024-00787</x:v>
      </x:c>
      <x:c r="C788" s="84" t="n">
        <x:v>46</x:v>
      </x:c>
      <x:c r="D788" s="84" t="n">
        <x:v>1</x:v>
      </x:c>
      <x:c r="E788" s="84" t="n">
        <x:v>92</x:v>
      </x:c>
      <x:c r="F788" s="89" t="n">
        <x:v>45361.10523148148</x:v>
      </x:c>
      <x:c r="G788" s="89" t="n">
        <x:v>45374.10523148148</x:v>
      </x:c>
      <x:c r="H788" s="89"/>
      <x:c r="I788" s="89"/>
      <x:c r="J788" s="84" t="str">
        <x:v>Baixa</x:v>
      </x:c>
      <x:c r="K788" s="84" t="str">
        <x:v>Cancelada</x:v>
      </x:c>
      <x:c r="L788" s="84" t="str">
        <x:v>Desalinhamento</x:v>
      </x:c>
      <x:c r="M788" s="84"/>
      <x:c r="N788" s="84"/>
      <x:c r="O788" s="84" t="n">
        <x:v>0</x:v>
      </x:c>
      <x:c r="P788" s="93" t="n">
        <x:v>0</x:v>
      </x:c>
      <x:c r="Q788" s="93" t="n">
        <x:v>0</x:v>
      </x:c>
      <x:c r="R788" s="91" t="n">
        <x:v>0</x:v>
      </x:c>
    </x:row>
    <x:row r="789">
      <x:c r="A789" s="83" t="n">
        <x:v>788</x:v>
      </x:c>
      <x:c r="B789" s="84" t="str">
        <x:v>OS-2023-00788</x:v>
      </x:c>
      <x:c r="C789" s="84" t="n">
        <x:v>5</x:v>
      </x:c>
      <x:c r="D789" s="84" t="n">
        <x:v>3</x:v>
      </x:c>
      <x:c r="E789" s="84"/>
      <x:c r="F789" s="89" t="n">
        <x:v>45233.61640046296</x:v>
      </x:c>
      <x:c r="G789" s="89"/>
      <x:c r="H789" s="89" t="n">
        <x:v>45235.5747337963</x:v>
      </x:c>
      <x:c r="I789" s="89"/>
      <x:c r="J789" s="84" t="str">
        <x:v>Crítica</x:v>
      </x:c>
      <x:c r="K789" s="84" t="str">
        <x:v>Aguardando peça</x:v>
      </x:c>
      <x:c r="L789" s="84" t="str">
        <x:v>Alarme intermitente</x:v>
      </x:c>
      <x:c r="M789" s="84" t="str">
        <x:v>Componente danificado</x:v>
      </x:c>
      <x:c r="N789" s="84"/>
      <x:c r="O789" s="84" t="n">
        <x:v>0</x:v>
      </x:c>
      <x:c r="P789" s="93" t="n">
        <x:v>803.2</x:v>
      </x:c>
      <x:c r="Q789" s="93" t="n">
        <x:v>6716.55</x:v>
      </x:c>
      <x:c r="R789" s="91" t="n">
        <x:v>0</x:v>
      </x:c>
    </x:row>
    <x:row r="790">
      <x:c r="A790" s="83" t="n">
        <x:v>789</x:v>
      </x:c>
      <x:c r="B790" s="84" t="str">
        <x:v>OS-2023-00789</x:v>
      </x:c>
      <x:c r="C790" s="84" t="n">
        <x:v>41</x:v>
      </x:c>
      <x:c r="D790" s="84" t="n">
        <x:v>8</x:v>
      </x:c>
      <x:c r="E790" s="84"/>
      <x:c r="F790" s="89" t="n">
        <x:v>45130.96412037037</x:v>
      </x:c>
      <x:c r="G790" s="89" t="n">
        <x:v>45132.96412037037</x:v>
      </x:c>
      <x:c r="H790" s="89"/>
      <x:c r="I790" s="89"/>
      <x:c r="J790" s="84" t="str">
        <x:v>Média</x:v>
      </x:c>
      <x:c r="K790" s="84" t="str">
        <x:v>Planejada</x:v>
      </x:c>
      <x:c r="L790" s="84" t="str">
        <x:v>Ruído anormal</x:v>
      </x:c>
      <x:c r="M790" s="84"/>
      <x:c r="N790" s="84"/>
      <x:c r="O790" s="84" t="n">
        <x:v>0</x:v>
      </x:c>
      <x:c r="P790" s="93" t="n">
        <x:v>0</x:v>
      </x:c>
      <x:c r="Q790" s="93" t="n">
        <x:v>0</x:v>
      </x:c>
      <x:c r="R790" s="91" t="n">
        <x:v>0</x:v>
      </x:c>
    </x:row>
    <x:row r="791">
      <x:c r="A791" s="83" t="n">
        <x:v>790</x:v>
      </x:c>
      <x:c r="B791" s="84" t="str">
        <x:v>OS-2024-00790</x:v>
      </x:c>
      <x:c r="C791" s="84" t="n">
        <x:v>23</x:v>
      </x:c>
      <x:c r="D791" s="84" t="n">
        <x:v>7</x:v>
      </x:c>
      <x:c r="E791" s="84" t="n">
        <x:v>45</x:v>
      </x:c>
      <x:c r="F791" s="89" t="n">
        <x:v>45365.033854166664</x:v>
      </x:c>
      <x:c r="G791" s="89" t="n">
        <x:v>45368.033854166664</x:v>
      </x:c>
      <x:c r="H791" s="89"/>
      <x:c r="I791" s="89"/>
      <x:c r="J791" s="84" t="str">
        <x:v>Crítica</x:v>
      </x:c>
      <x:c r="K791" s="84" t="str">
        <x:v>Planejada</x:v>
      </x:c>
      <x:c r="L791" s="84" t="str">
        <x:v>Baixa pressão</x:v>
      </x:c>
      <x:c r="M791" s="84"/>
      <x:c r="N791" s="84"/>
      <x:c r="O791" s="84" t="n">
        <x:v>0</x:v>
      </x:c>
      <x:c r="P791" s="93" t="n">
        <x:v>0</x:v>
      </x:c>
      <x:c r="Q791" s="93" t="n">
        <x:v>0</x:v>
      </x:c>
      <x:c r="R791" s="91" t="n">
        <x:v>0</x:v>
      </x:c>
    </x:row>
    <x:row r="792">
      <x:c r="A792" s="83" t="n">
        <x:v>791</x:v>
      </x:c>
      <x:c r="B792" s="84" t="str">
        <x:v>OS-2023-00791</x:v>
      </x:c>
      <x:c r="C792" s="84" t="n">
        <x:v>61</x:v>
      </x:c>
      <x:c r="D792" s="84" t="n">
        <x:v>6</x:v>
      </x:c>
      <x:c r="E792" s="84"/>
      <x:c r="F792" s="89" t="n">
        <x:v>44954.542592592596</x:v>
      </x:c>
      <x:c r="G792" s="89" t="n">
        <x:v>44959.542592592596</x:v>
      </x:c>
      <x:c r="H792" s="89" t="n">
        <x:v>44955.625925925924</x:v>
      </x:c>
      <x:c r="I792" s="89" t="n">
        <x:v>44956.08425925926</x:v>
      </x:c>
      <x:c r="J792" s="84" t="str">
        <x:v>Média</x:v>
      </x:c>
      <x:c r="K792" s="84" t="str">
        <x:v>Encerrada</x:v>
      </x:c>
      <x:c r="L792" s="84" t="str">
        <x:v>Superaquecimento</x:v>
      </x:c>
      <x:c r="M792" s="84" t="str">
        <x:v>Contaminação</x:v>
      </x:c>
      <x:c r="N792" s="84" t="str">
        <x:v>Componente ajustado ou substituído</x:v>
      </x:c>
      <x:c r="O792" s="84" t="n">
        <x:v>0</x:v>
      </x:c>
      <x:c r="P792" s="93" t="n">
        <x:v>296.57</x:v>
      </x:c>
      <x:c r="Q792" s="93" t="n">
        <x:v>0</x:v>
      </x:c>
      <x:c r="R792" s="91" t="n">
        <x:v>0</x:v>
      </x:c>
    </x:row>
    <x:row r="793">
      <x:c r="A793" s="83" t="n">
        <x:v>792</x:v>
      </x:c>
      <x:c r="B793" s="84" t="str">
        <x:v>OS-2023-00792</x:v>
      </x:c>
      <x:c r="C793" s="84" t="n">
        <x:v>37</x:v>
      </x:c>
      <x:c r="D793" s="84" t="n">
        <x:v>8</x:v>
      </x:c>
      <x:c r="E793" s="84"/>
      <x:c r="F793" s="89" t="n">
        <x:v>45080.576527777775</x:v>
      </x:c>
      <x:c r="G793" s="89" t="n">
        <x:v>45086.576527777775</x:v>
      </x:c>
      <x:c r="H793" s="89" t="n">
        <x:v>45080.701527777775</x:v>
      </x:c>
      <x:c r="I793" s="89" t="n">
        <x:v>45081.15986111111</x:v>
      </x:c>
      <x:c r="J793" s="84" t="str">
        <x:v>Média</x:v>
      </x:c>
      <x:c r="K793" s="84" t="str">
        <x:v>Encerrada</x:v>
      </x:c>
      <x:c r="L793" s="84" t="str">
        <x:v>Vazamento</x:v>
      </x:c>
      <x:c r="M793" s="84" t="str">
        <x:v>Desgaste natural</x:v>
      </x:c>
      <x:c r="N793" s="84" t="str">
        <x:v>Componente ajustado ou substituído</x:v>
      </x:c>
      <x:c r="O793" s="84" t="n">
        <x:v>0</x:v>
      </x:c>
      <x:c r="P793" s="93" t="n">
        <x:v>679.01</x:v>
      </x:c>
      <x:c r="Q793" s="93" t="n">
        <x:v>0</x:v>
      </x:c>
      <x:c r="R793" s="91" t="n">
        <x:v>0</x:v>
      </x:c>
    </x:row>
    <x:row r="794">
      <x:c r="A794" s="83" t="n">
        <x:v>793</x:v>
      </x:c>
      <x:c r="B794" s="84" t="str">
        <x:v>OS-2023-00793</x:v>
      </x:c>
      <x:c r="C794" s="84" t="n">
        <x:v>44</x:v>
      </x:c>
      <x:c r="D794" s="84" t="n">
        <x:v>2</x:v>
      </x:c>
      <x:c r="E794" s="84"/>
      <x:c r="F794" s="89" t="n">
        <x:v>45207.39579861111</x:v>
      </x:c>
      <x:c r="G794" s="89" t="n">
        <x:v>45222.39579861111</x:v>
      </x:c>
      <x:c r="H794" s="89" t="n">
        <x:v>45210.27079861111</x:v>
      </x:c>
      <x:c r="I794" s="89" t="n">
        <x:v>45211.02079861111</x:v>
      </x:c>
      <x:c r="J794" s="84" t="str">
        <x:v>Baixa</x:v>
      </x:c>
      <x:c r="K794" s="84" t="str">
        <x:v>Encerrada</x:v>
      </x:c>
      <x:c r="L794" s="84" t="str">
        <x:v>Vazamento</x:v>
      </x:c>
      <x:c r="M794" s="84" t="str">
        <x:v>Conexão frouxa</x:v>
      </x:c>
      <x:c r="N794" s="84" t="str">
        <x:v>Componente ajustado ou substituído</x:v>
      </x:c>
      <x:c r="O794" s="84" t="n">
        <x:v>0</x:v>
      </x:c>
      <x:c r="P794" s="93" t="n">
        <x:v>168.16</x:v>
      </x:c>
      <x:c r="Q794" s="93" t="n">
        <x:v>2222.73</x:v>
      </x:c>
      <x:c r="R794" s="91" t="n">
        <x:v>0</x:v>
      </x:c>
    </x:row>
    <x:row r="795">
      <x:c r="A795" s="83" t="n">
        <x:v>794</x:v>
      </x:c>
      <x:c r="B795" s="84" t="str">
        <x:v>OS-2023-00794</x:v>
      </x:c>
      <x:c r="C795" s="84" t="n">
        <x:v>39</x:v>
      </x:c>
      <x:c r="D795" s="84" t="n">
        <x:v>3</x:v>
      </x:c>
      <x:c r="E795" s="84"/>
      <x:c r="F795" s="89" t="n">
        <x:v>45004.87762731482</x:v>
      </x:c>
      <x:c r="G795" s="89"/>
      <x:c r="H795" s="89" t="n">
        <x:v>45006.04429398148</x:v>
      </x:c>
      <x:c r="I795" s="89" t="n">
        <x:v>45006.66929398148</x:v>
      </x:c>
      <x:c r="J795" s="84" t="str">
        <x:v>Média</x:v>
      </x:c>
      <x:c r="K795" s="84" t="str">
        <x:v>Encerrada</x:v>
      </x:c>
      <x:c r="L795" s="84" t="str">
        <x:v>Baixa pressão</x:v>
      </x:c>
      <x:c r="M795" s="84" t="str">
        <x:v>Contaminação</x:v>
      </x:c>
      <x:c r="N795" s="84" t="str">
        <x:v>Componente ajustado ou substituído</x:v>
      </x:c>
      <x:c r="O795" s="84" t="n">
        <x:v>0</x:v>
      </x:c>
      <x:c r="P795" s="93" t="n">
        <x:v>513.26</x:v>
      </x:c>
      <x:c r="Q795" s="93" t="n">
        <x:v>10217.84</x:v>
      </x:c>
      <x:c r="R795" s="91" t="n">
        <x:v>0</x:v>
      </x:c>
    </x:row>
    <x:row r="796">
      <x:c r="A796" s="83" t="n">
        <x:v>795</x:v>
      </x:c>
      <x:c r="B796" s="84" t="str">
        <x:v>OS-2024-00795</x:v>
      </x:c>
      <x:c r="C796" s="84" t="n">
        <x:v>1</x:v>
      </x:c>
      <x:c r="D796" s="84" t="n">
        <x:v>1</x:v>
      </x:c>
      <x:c r="E796" s="84" t="n">
        <x:v>1</x:v>
      </x:c>
      <x:c r="F796" s="89" t="n">
        <x:v>45552.46403935185</x:v>
      </x:c>
      <x:c r="G796" s="89" t="n">
        <x:v>45556.46403935185</x:v>
      </x:c>
      <x:c r="H796" s="89" t="n">
        <x:v>45553.71403935185</x:v>
      </x:c>
      <x:c r="I796" s="89" t="n">
        <x:v>45554.38070601852</x:v>
      </x:c>
      <x:c r="J796" s="84" t="str">
        <x:v>Baixa</x:v>
      </x:c>
      <x:c r="K796" s="84" t="str">
        <x:v>Encerrada</x:v>
      </x:c>
      <x:c r="L796" s="84" t="str">
        <x:v>Vazamento</x:v>
      </x:c>
      <x:c r="M796" s="84" t="str">
        <x:v>Componente danificado</x:v>
      </x:c>
      <x:c r="N796" s="84" t="str">
        <x:v>Componente ajustado ou substituído</x:v>
      </x:c>
      <x:c r="O796" s="84" t="n">
        <x:v>0</x:v>
      </x:c>
      <x:c r="P796" s="93" t="n">
        <x:v>425.78</x:v>
      </x:c>
      <x:c r="Q796" s="93" t="n">
        <x:v>0</x:v>
      </x:c>
      <x:c r="R796" s="91" t="n">
        <x:v>0</x:v>
      </x:c>
    </x:row>
    <x:row r="797">
      <x:c r="A797" s="83" t="n">
        <x:v>796</x:v>
      </x:c>
      <x:c r="B797" s="84" t="str">
        <x:v>OS-2023-00796</x:v>
      </x:c>
      <x:c r="C797" s="84" t="n">
        <x:v>70</x:v>
      </x:c>
      <x:c r="D797" s="84" t="n">
        <x:v>7</x:v>
      </x:c>
      <x:c r="E797" s="84" t="n">
        <x:v>139</x:v>
      </x:c>
      <x:c r="F797" s="89" t="n">
        <x:v>44939.89493055556</x:v>
      </x:c>
      <x:c r="G797" s="89" t="n">
        <x:v>44952.89493055556</x:v>
      </x:c>
      <x:c r="H797" s="89" t="n">
        <x:v>44941.85326388889</x:v>
      </x:c>
      <x:c r="I797" s="89"/>
      <x:c r="J797" s="84" t="str">
        <x:v>Crítica</x:v>
      </x:c>
      <x:c r="K797" s="84" t="str">
        <x:v>Em execução</x:v>
      </x:c>
      <x:c r="L797" s="84" t="str">
        <x:v>Desalinhamento</x:v>
      </x:c>
      <x:c r="M797" s="84" t="str">
        <x:v>Falta de lubrificação</x:v>
      </x:c>
      <x:c r="N797" s="84"/>
      <x:c r="O797" s="84" t="n">
        <x:v>0</x:v>
      </x:c>
      <x:c r="P797" s="93" t="n">
        <x:v>872.05</x:v>
      </x:c>
      <x:c r="Q797" s="93" t="n">
        <x:v>4343.48</x:v>
      </x:c>
      <x:c r="R797" s="91" t="n">
        <x:v>0</x:v>
      </x:c>
    </x:row>
    <x:row r="798">
      <x:c r="A798" s="83" t="n">
        <x:v>797</x:v>
      </x:c>
      <x:c r="B798" s="84" t="str">
        <x:v>OS-2024-00797</x:v>
      </x:c>
      <x:c r="C798" s="84" t="n">
        <x:v>6</x:v>
      </x:c>
      <x:c r="D798" s="84" t="n">
        <x:v>2</x:v>
      </x:c>
      <x:c r="E798" s="84"/>
      <x:c r="F798" s="89" t="n">
        <x:v>45575.18744212963</x:v>
      </x:c>
      <x:c r="G798" s="89" t="n">
        <x:v>45578.18744212963</x:v>
      </x:c>
      <x:c r="H798" s="89" t="n">
        <x:v>45577.604108796295</x:v>
      </x:c>
      <x:c r="I798" s="89"/>
      <x:c r="J798" s="84" t="str">
        <x:v>Alta</x:v>
      </x:c>
      <x:c r="K798" s="84" t="str">
        <x:v>Em execução</x:v>
      </x:c>
      <x:c r="L798" s="84" t="str">
        <x:v>Vazamento</x:v>
      </x:c>
      <x:c r="M798" s="84" t="str">
        <x:v>Conexão frouxa</x:v>
      </x:c>
      <x:c r="N798" s="84"/>
      <x:c r="O798" s="84" t="n">
        <x:v>0</x:v>
      </x:c>
      <x:c r="P798" s="93" t="n">
        <x:v>374.33</x:v>
      </x:c>
      <x:c r="Q798" s="93" t="n">
        <x:v>0</x:v>
      </x:c>
      <x:c r="R798" s="91" t="n">
        <x:v>0</x:v>
      </x:c>
    </x:row>
    <x:row r="799">
      <x:c r="A799" s="83" t="n">
        <x:v>798</x:v>
      </x:c>
      <x:c r="B799" s="84" t="str">
        <x:v>OS-2025-00798</x:v>
      </x:c>
      <x:c r="C799" s="84" t="n">
        <x:v>61</x:v>
      </x:c>
      <x:c r="D799" s="84" t="n">
        <x:v>5</x:v>
      </x:c>
      <x:c r="E799" s="84" t="n">
        <x:v>122</x:v>
      </x:c>
      <x:c r="F799" s="89" t="n">
        <x:v>45979.53980324074</x:v>
      </x:c>
      <x:c r="G799" s="89" t="n">
        <x:v>45985.53980324074</x:v>
      </x:c>
      <x:c r="H799" s="89" t="n">
        <x:v>45981.28980324074</x:v>
      </x:c>
      <x:c r="I799" s="89" t="n">
        <x:v>45982.03980324074</x:v>
      </x:c>
      <x:c r="J799" s="84" t="str">
        <x:v>Alta</x:v>
      </x:c>
      <x:c r="K799" s="84" t="str">
        <x:v>Encerrada</x:v>
      </x:c>
      <x:c r="L799" s="84" t="str">
        <x:v>Baixa pressão</x:v>
      </x:c>
      <x:c r="M799" s="84" t="str">
        <x:v>Componente danificado</x:v>
      </x:c>
      <x:c r="N799" s="84" t="str">
        <x:v>Componente ajustado ou substituído</x:v>
      </x:c>
      <x:c r="O799" s="84" t="n">
        <x:v>0</x:v>
      </x:c>
      <x:c r="P799" s="93" t="n">
        <x:v>37.95</x:v>
      </x:c>
      <x:c r="Q799" s="93" t="n">
        <x:v>3513.51</x:v>
      </x:c>
      <x:c r="R799" s="91" t="n">
        <x:v>0</x:v>
      </x:c>
    </x:row>
    <x:row r="800">
      <x:c r="A800" s="83" t="n">
        <x:v>799</x:v>
      </x:c>
      <x:c r="B800" s="84" t="str">
        <x:v>OS-2023-00799</x:v>
      </x:c>
      <x:c r="C800" s="84" t="n">
        <x:v>18</x:v>
      </x:c>
      <x:c r="D800" s="84" t="n">
        <x:v>4</x:v>
      </x:c>
      <x:c r="E800" s="84"/>
      <x:c r="F800" s="89" t="n">
        <x:v>45038.44474537037</x:v>
      </x:c>
      <x:c r="G800" s="89" t="n">
        <x:v>45047.44474537037</x:v>
      </x:c>
      <x:c r="H800" s="89" t="n">
        <x:v>45038.94474537037</x:v>
      </x:c>
      <x:c r="I800" s="89" t="n">
        <x:v>45039.11141203704</x:v>
      </x:c>
      <x:c r="J800" s="84" t="str">
        <x:v>Média</x:v>
      </x:c>
      <x:c r="K800" s="84" t="str">
        <x:v>Encerrada</x:v>
      </x:c>
      <x:c r="L800" s="84" t="str">
        <x:v>Alarme intermitente</x:v>
      </x:c>
      <x:c r="M800" s="84" t="str">
        <x:v>Ajuste incorreto</x:v>
      </x:c>
      <x:c r="N800" s="84" t="str">
        <x:v>Componente ajustado ou substituído</x:v>
      </x:c>
      <x:c r="O800" s="84" t="n">
        <x:v>1</x:v>
      </x:c>
      <x:c r="P800" s="93" t="n">
        <x:v>339.49</x:v>
      </x:c>
      <x:c r="Q800" s="93" t="n">
        <x:v>8604</x:v>
      </x:c>
      <x:c r="R800" s="91" t="n">
        <x:v>0</x:v>
      </x:c>
    </x:row>
    <x:row r="801">
      <x:c r="A801" s="83" t="n">
        <x:v>800</x:v>
      </x:c>
      <x:c r="B801" s="84" t="str">
        <x:v>OS-2023-00800</x:v>
      </x:c>
      <x:c r="C801" s="84" t="n">
        <x:v>21</x:v>
      </x:c>
      <x:c r="D801" s="84" t="n">
        <x:v>3</x:v>
      </x:c>
      <x:c r="E801" s="84"/>
      <x:c r="F801" s="89" t="n">
        <x:v>44976.160995370374</x:v>
      </x:c>
      <x:c r="G801" s="89"/>
      <x:c r="H801" s="89" t="n">
        <x:v>44979.035995370374</x:v>
      </x:c>
      <x:c r="I801" s="89" t="n">
        <x:v>44979.20266203704</x:v>
      </x:c>
      <x:c r="J801" s="84" t="str">
        <x:v>Baixa</x:v>
      </x:c>
      <x:c r="K801" s="84" t="str">
        <x:v>Encerrada</x:v>
      </x:c>
      <x:c r="L801" s="84" t="str">
        <x:v>Vazamento</x:v>
      </x:c>
      <x:c r="M801" s="84" t="str">
        <x:v>Contaminação</x:v>
      </x:c>
      <x:c r="N801" s="84" t="str">
        <x:v>Componente ajustado ou substituído</x:v>
      </x:c>
      <x:c r="O801" s="84" t="n">
        <x:v>0</x:v>
      </x:c>
      <x:c r="P801" s="93" t="n">
        <x:v>158.65</x:v>
      </x:c>
      <x:c r="Q801" s="93" t="n">
        <x:v>9581.68</x:v>
      </x:c>
      <x:c r="R801" s="91" t="n">
        <x:v>0</x:v>
      </x:c>
    </x:row>
    <x:row r="802">
      <x:c r="A802" s="83" t="n">
        <x:v>801</x:v>
      </x:c>
      <x:c r="B802" s="84" t="str">
        <x:v>OS-2023-00801</x:v>
      </x:c>
      <x:c r="C802" s="84" t="n">
        <x:v>44</x:v>
      </x:c>
      <x:c r="D802" s="84" t="n">
        <x:v>3</x:v>
      </x:c>
      <x:c r="E802" s="84"/>
      <x:c r="F802" s="89" t="n">
        <x:v>45060.53275462963</x:v>
      </x:c>
      <x:c r="G802" s="89"/>
      <x:c r="H802" s="89" t="n">
        <x:v>45062.449421296296</x:v>
      </x:c>
      <x:c r="I802" s="89" t="n">
        <x:v>45063.24108796296</x:v>
      </x:c>
      <x:c r="J802" s="84" t="str">
        <x:v>Média</x:v>
      </x:c>
      <x:c r="K802" s="84" t="str">
        <x:v>Encerrada</x:v>
      </x:c>
      <x:c r="L802" s="84" t="str">
        <x:v>Ruído anormal</x:v>
      </x:c>
      <x:c r="M802" s="84" t="str">
        <x:v>Conexão frouxa</x:v>
      </x:c>
      <x:c r="N802" s="84" t="str">
        <x:v>Componente ajustado ou substituído</x:v>
      </x:c>
      <x:c r="O802" s="84" t="n">
        <x:v>0</x:v>
      </x:c>
      <x:c r="P802" s="93" t="n">
        <x:v>394.87</x:v>
      </x:c>
      <x:c r="Q802" s="93" t="n">
        <x:v>3263.13</x:v>
      </x:c>
      <x:c r="R802" s="91" t="n">
        <x:v>0</x:v>
      </x:c>
    </x:row>
    <x:row r="803">
      <x:c r="A803" s="83" t="n">
        <x:v>802</x:v>
      </x:c>
      <x:c r="B803" s="84" t="str">
        <x:v>OS-2024-00802</x:v>
      </x:c>
      <x:c r="C803" s="84" t="n">
        <x:v>44</x:v>
      </x:c>
      <x:c r="D803" s="84" t="n">
        <x:v>5</x:v>
      </x:c>
      <x:c r="E803" s="84" t="n">
        <x:v>88</x:v>
      </x:c>
      <x:c r="F803" s="89" t="n">
        <x:v>45600.54709490741</x:v>
      </x:c>
      <x:c r="G803" s="89" t="n">
        <x:v>45606.54709490741</x:v>
      </x:c>
      <x:c r="H803" s="89" t="n">
        <x:v>45603.380428240744</x:v>
      </x:c>
      <x:c r="I803" s="89"/>
      <x:c r="J803" s="84" t="str">
        <x:v>Média</x:v>
      </x:c>
      <x:c r="K803" s="84" t="str">
        <x:v>Em execução</x:v>
      </x:c>
      <x:c r="L803" s="84" t="str">
        <x:v>Baixa pressão</x:v>
      </x:c>
      <x:c r="M803" s="84" t="str">
        <x:v>Componente danificado</x:v>
      </x:c>
      <x:c r="N803" s="84"/>
      <x:c r="O803" s="84" t="n">
        <x:v>0</x:v>
      </x:c>
      <x:c r="P803" s="93" t="n">
        <x:v>434.33</x:v>
      </x:c>
      <x:c r="Q803" s="93" t="n">
        <x:v>2171.74</x:v>
      </x:c>
      <x:c r="R803" s="91" t="n">
        <x:v>0</x:v>
      </x:c>
    </x:row>
    <x:row r="804">
      <x:c r="A804" s="83" t="n">
        <x:v>803</x:v>
      </x:c>
      <x:c r="B804" s="84" t="str">
        <x:v>OS-2025-00803</x:v>
      </x:c>
      <x:c r="C804" s="84" t="n">
        <x:v>55</x:v>
      </x:c>
      <x:c r="D804" s="84" t="n">
        <x:v>3</x:v>
      </x:c>
      <x:c r="E804" s="84"/>
      <x:c r="F804" s="89" t="n">
        <x:v>45659.96335648148</x:v>
      </x:c>
      <x:c r="G804" s="89"/>
      <x:c r="H804" s="89"/>
      <x:c r="I804" s="89"/>
      <x:c r="J804" s="84" t="str">
        <x:v>Média</x:v>
      </x:c>
      <x:c r="K804" s="84" t="str">
        <x:v>Cancelada</x:v>
      </x:c>
      <x:c r="L804" s="84" t="str">
        <x:v>Falha elétrica</x:v>
      </x:c>
      <x:c r="M804" s="84"/>
      <x:c r="N804" s="84"/>
      <x:c r="O804" s="84" t="n">
        <x:v>1</x:v>
      </x:c>
      <x:c r="P804" s="93" t="n">
        <x:v>0</x:v>
      </x:c>
      <x:c r="Q804" s="93" t="n">
        <x:v>0</x:v>
      </x:c>
      <x:c r="R804" s="91" t="n">
        <x:v>0</x:v>
      </x:c>
    </x:row>
    <x:row r="805">
      <x:c r="A805" s="83" t="n">
        <x:v>804</x:v>
      </x:c>
      <x:c r="B805" s="84" t="str">
        <x:v>OS-2024-00804</x:v>
      </x:c>
      <x:c r="C805" s="84" t="n">
        <x:v>71</x:v>
      </x:c>
      <x:c r="D805" s="84" t="n">
        <x:v>3</x:v>
      </x:c>
      <x:c r="E805" s="84"/>
      <x:c r="F805" s="89" t="n">
        <x:v>45596.133726851855</x:v>
      </x:c>
      <x:c r="G805" s="89"/>
      <x:c r="H805" s="89" t="n">
        <x:v>45599.09206018518</x:v>
      </x:c>
      <x:c r="I805" s="89"/>
      <x:c r="J805" s="84" t="str">
        <x:v>Baixa</x:v>
      </x:c>
      <x:c r="K805" s="84" t="str">
        <x:v>Em execução</x:v>
      </x:c>
      <x:c r="L805" s="84" t="str">
        <x:v>Ruído anormal</x:v>
      </x:c>
      <x:c r="M805" s="84" t="str">
        <x:v>Falta de lubrificação</x:v>
      </x:c>
      <x:c r="N805" s="84"/>
      <x:c r="O805" s="84" t="n">
        <x:v>0</x:v>
      </x:c>
      <x:c r="P805" s="93" t="n">
        <x:v>698.71</x:v>
      </x:c>
      <x:c r="Q805" s="93" t="n">
        <x:v>0</x:v>
      </x:c>
      <x:c r="R805" s="91" t="n">
        <x:v>0</x:v>
      </x:c>
    </x:row>
    <x:row r="806">
      <x:c r="A806" s="83" t="n">
        <x:v>805</x:v>
      </x:c>
      <x:c r="B806" s="84" t="str">
        <x:v>OS-2024-00805</x:v>
      </x:c>
      <x:c r="C806" s="84" t="n">
        <x:v>73</x:v>
      </x:c>
      <x:c r="D806" s="84" t="n">
        <x:v>3</x:v>
      </x:c>
      <x:c r="E806" s="84"/>
      <x:c r="F806" s="89" t="n">
        <x:v>45458.24085648148</x:v>
      </x:c>
      <x:c r="G806" s="89"/>
      <x:c r="H806" s="89" t="n">
        <x:v>45460.40752314815</x:v>
      </x:c>
      <x:c r="I806" s="89" t="n">
        <x:v>45460.86585648148</x:v>
      </x:c>
      <x:c r="J806" s="84" t="str">
        <x:v>Baixa</x:v>
      </x:c>
      <x:c r="K806" s="84" t="str">
        <x:v>Encerrada</x:v>
      </x:c>
      <x:c r="L806" s="84" t="str">
        <x:v>Baixa pressão</x:v>
      </x:c>
      <x:c r="M806" s="84" t="str">
        <x:v>Falta de lubrificação</x:v>
      </x:c>
      <x:c r="N806" s="84" t="str">
        <x:v>Componente ajustado ou substituído</x:v>
      </x:c>
      <x:c r="O806" s="84" t="n">
        <x:v>0</x:v>
      </x:c>
      <x:c r="P806" s="93" t="n">
        <x:v>544.07</x:v>
      </x:c>
      <x:c r="Q806" s="93" t="n">
        <x:v>3626.5</x:v>
      </x:c>
      <x:c r="R806" s="91" t="n">
        <x:v>0</x:v>
      </x:c>
    </x:row>
    <x:row r="807">
      <x:c r="A807" s="83" t="n">
        <x:v>806</x:v>
      </x:c>
      <x:c r="B807" s="84" t="str">
        <x:v>OS-2023-00806</x:v>
      </x:c>
      <x:c r="C807" s="84" t="n">
        <x:v>16</x:v>
      </x:c>
      <x:c r="D807" s="84" t="n">
        <x:v>6</x:v>
      </x:c>
      <x:c r="E807" s="84"/>
      <x:c r="F807" s="89" t="n">
        <x:v>45239.110300925924</x:v>
      </x:c>
      <x:c r="G807" s="89" t="n">
        <x:v>45239.110300925924</x:v>
      </x:c>
      <x:c r="H807" s="89" t="n">
        <x:v>45240.31863425926</x:v>
      </x:c>
      <x:c r="I807" s="89" t="n">
        <x:v>45241.151967592596</x:v>
      </x:c>
      <x:c r="J807" s="84" t="str">
        <x:v>Alta</x:v>
      </x:c>
      <x:c r="K807" s="84" t="str">
        <x:v>Encerrada</x:v>
      </x:c>
      <x:c r="L807" s="84" t="str">
        <x:v>Falha elétrica</x:v>
      </x:c>
      <x:c r="M807" s="84" t="str">
        <x:v>Falta de lubrificação</x:v>
      </x:c>
      <x:c r="N807" s="84" t="str">
        <x:v>Componente ajustado ou substituído</x:v>
      </x:c>
      <x:c r="O807" s="84" t="n">
        <x:v>0</x:v>
      </x:c>
      <x:c r="P807" s="93" t="n">
        <x:v>649.44</x:v>
      </x:c>
      <x:c r="Q807" s="93" t="n">
        <x:v>0</x:v>
      </x:c>
      <x:c r="R807" s="91" t="n">
        <x:v>0</x:v>
      </x:c>
    </x:row>
    <x:row r="808">
      <x:c r="A808" s="83" t="n">
        <x:v>807</x:v>
      </x:c>
      <x:c r="B808" s="84" t="str">
        <x:v>OS-2025-00807</x:v>
      </x:c>
      <x:c r="C808" s="84" t="n">
        <x:v>51</x:v>
      </x:c>
      <x:c r="D808" s="84" t="n">
        <x:v>3</x:v>
      </x:c>
      <x:c r="E808" s="84"/>
      <x:c r="F808" s="89" t="n">
        <x:v>45659.36332175926</x:v>
      </x:c>
      <x:c r="G808" s="89"/>
      <x:c r="H808" s="89" t="n">
        <x:v>45660.40498842593</x:v>
      </x:c>
      <x:c r="I808" s="89" t="n">
        <x:v>45660.73832175926</x:v>
      </x:c>
      <x:c r="J808" s="84" t="str">
        <x:v>Crítica</x:v>
      </x:c>
      <x:c r="K808" s="84" t="str">
        <x:v>Encerrada</x:v>
      </x:c>
      <x:c r="L808" s="84" t="str">
        <x:v>Falha elétrica</x:v>
      </x:c>
      <x:c r="M808" s="84" t="str">
        <x:v>Ajuste incorreto</x:v>
      </x:c>
      <x:c r="N808" s="84" t="str">
        <x:v>Componente ajustado ou substituído</x:v>
      </x:c>
      <x:c r="O808" s="84" t="n">
        <x:v>0</x:v>
      </x:c>
      <x:c r="P808" s="93" t="n">
        <x:v>336.64</x:v>
      </x:c>
      <x:c r="Q808" s="93" t="n">
        <x:v>175.72</x:v>
      </x:c>
      <x:c r="R808" s="91" t="n">
        <x:v>0</x:v>
      </x:c>
    </x:row>
    <x:row r="809">
      <x:c r="A809" s="83" t="n">
        <x:v>808</x:v>
      </x:c>
      <x:c r="B809" s="84" t="str">
        <x:v>OS-2025-00808</x:v>
      </x:c>
      <x:c r="C809" s="84" t="n">
        <x:v>24</x:v>
      </x:c>
      <x:c r="D809" s="84" t="n">
        <x:v>3</x:v>
      </x:c>
      <x:c r="E809" s="84"/>
      <x:c r="F809" s="89" t="n">
        <x:v>45841.405856481484</x:v>
      </x:c>
      <x:c r="G809" s="89"/>
      <x:c r="H809" s="89" t="n">
        <x:v>45842.94752314815</x:v>
      </x:c>
      <x:c r="I809" s="89" t="n">
        <x:v>45843.48918981481</x:v>
      </x:c>
      <x:c r="J809" s="84" t="str">
        <x:v>Média</x:v>
      </x:c>
      <x:c r="K809" s="84" t="str">
        <x:v>Encerrada</x:v>
      </x:c>
      <x:c r="L809" s="84" t="str">
        <x:v>Superaquecimento</x:v>
      </x:c>
      <x:c r="M809" s="84" t="str">
        <x:v>Falta de lubrificação</x:v>
      </x:c>
      <x:c r="N809" s="84" t="str">
        <x:v>Componente ajustado ou substituído</x:v>
      </x:c>
      <x:c r="O809" s="84" t="n">
        <x:v>0</x:v>
      </x:c>
      <x:c r="P809" s="93" t="n">
        <x:v>142.3</x:v>
      </x:c>
      <x:c r="Q809" s="93" t="n">
        <x:v>0</x:v>
      </x:c>
      <x:c r="R809" s="91" t="n">
        <x:v>0</x:v>
      </x:c>
    </x:row>
    <x:row r="810">
      <x:c r="A810" s="83" t="n">
        <x:v>809</x:v>
      </x:c>
      <x:c r="B810" s="84" t="str">
        <x:v>OS-2023-00809</x:v>
      </x:c>
      <x:c r="C810" s="84" t="n">
        <x:v>19</x:v>
      </x:c>
      <x:c r="D810" s="84" t="n">
        <x:v>1</x:v>
      </x:c>
      <x:c r="E810" s="84" t="n">
        <x:v>37</x:v>
      </x:c>
      <x:c r="F810" s="89" t="n">
        <x:v>45204.90069444444</x:v>
      </x:c>
      <x:c r="G810" s="89" t="n">
        <x:v>45208.90069444444</x:v>
      </x:c>
      <x:c r="H810" s="89"/>
      <x:c r="I810" s="89"/>
      <x:c r="J810" s="84" t="str">
        <x:v>Crítica</x:v>
      </x:c>
      <x:c r="K810" s="84" t="str">
        <x:v>Planejada</x:v>
      </x:c>
      <x:c r="L810" s="84" t="str">
        <x:v>Superaquecimento</x:v>
      </x:c>
      <x:c r="M810" s="84"/>
      <x:c r="N810" s="84"/>
      <x:c r="O810" s="84" t="n">
        <x:v>0</x:v>
      </x:c>
      <x:c r="P810" s="93" t="n">
        <x:v>0</x:v>
      </x:c>
      <x:c r="Q810" s="93" t="n">
        <x:v>0</x:v>
      </x:c>
      <x:c r="R810" s="91" t="n">
        <x:v>0</x:v>
      </x:c>
    </x:row>
    <x:row r="811">
      <x:c r="A811" s="83" t="n">
        <x:v>810</x:v>
      </x:c>
      <x:c r="B811" s="84" t="str">
        <x:v>OS-2024-00810</x:v>
      </x:c>
      <x:c r="C811" s="84" t="n">
        <x:v>50</x:v>
      </x:c>
      <x:c r="D811" s="84" t="n">
        <x:v>2</x:v>
      </x:c>
      <x:c r="E811" s="84"/>
      <x:c r="F811" s="89" t="n">
        <x:v>45402.02825231481</x:v>
      </x:c>
      <x:c r="G811" s="89" t="n">
        <x:v>45417.02825231481</x:v>
      </x:c>
      <x:c r="H811" s="89"/>
      <x:c r="I811" s="89"/>
      <x:c r="J811" s="84" t="str">
        <x:v>Alta</x:v>
      </x:c>
      <x:c r="K811" s="84" t="str">
        <x:v>Cancelada</x:v>
      </x:c>
      <x:c r="L811" s="84" t="str">
        <x:v>Ruído anormal</x:v>
      </x:c>
      <x:c r="M811" s="84"/>
      <x:c r="N811" s="84"/>
      <x:c r="O811" s="84" t="n">
        <x:v>0</x:v>
      </x:c>
      <x:c r="P811" s="93" t="n">
        <x:v>0</x:v>
      </x:c>
      <x:c r="Q811" s="93" t="n">
        <x:v>0</x:v>
      </x:c>
      <x:c r="R811" s="91" t="n">
        <x:v>0</x:v>
      </x:c>
    </x:row>
    <x:row r="812">
      <x:c r="A812" s="83" t="n">
        <x:v>811</x:v>
      </x:c>
      <x:c r="B812" s="84" t="str">
        <x:v>OS-2025-00811</x:v>
      </x:c>
      <x:c r="C812" s="84" t="n">
        <x:v>85</x:v>
      </x:c>
      <x:c r="D812" s="84" t="n">
        <x:v>1</x:v>
      </x:c>
      <x:c r="E812" s="84" t="n">
        <x:v>170</x:v>
      </x:c>
      <x:c r="F812" s="89" t="n">
        <x:v>45687.942453703705</x:v>
      </x:c>
      <x:c r="G812" s="89" t="n">
        <x:v>45693.942453703705</x:v>
      </x:c>
      <x:c r="H812" s="89" t="n">
        <x:v>45690.567453703705</x:v>
      </x:c>
      <x:c r="I812" s="89" t="n">
        <x:v>45690.98412037037</x:v>
      </x:c>
      <x:c r="J812" s="84" t="str">
        <x:v>Crítica</x:v>
      </x:c>
      <x:c r="K812" s="84" t="str">
        <x:v>Encerrada</x:v>
      </x:c>
      <x:c r="L812" s="84" t="str">
        <x:v>Falha elétrica</x:v>
      </x:c>
      <x:c r="M812" s="84" t="str">
        <x:v>Contaminação</x:v>
      </x:c>
      <x:c r="N812" s="84" t="str">
        <x:v>Componente ajustado ou substituído</x:v>
      </x:c>
      <x:c r="O812" s="84" t="n">
        <x:v>0</x:v>
      </x:c>
      <x:c r="P812" s="93" t="n">
        <x:v>587.84</x:v>
      </x:c>
      <x:c r="Q812" s="93" t="n">
        <x:v>1452.98</x:v>
      </x:c>
      <x:c r="R812" s="91" t="n">
        <x:v>0</x:v>
      </x:c>
    </x:row>
    <x:row r="813">
      <x:c r="A813" s="83" t="n">
        <x:v>812</x:v>
      </x:c>
      <x:c r="B813" s="84" t="str">
        <x:v>OS-2025-00812</x:v>
      </x:c>
      <x:c r="C813" s="84" t="n">
        <x:v>80</x:v>
      </x:c>
      <x:c r="D813" s="84" t="n">
        <x:v>2</x:v>
      </x:c>
      <x:c r="E813" s="84"/>
      <x:c r="F813" s="89" t="n">
        <x:v>45751.0003125</x:v>
      </x:c>
      <x:c r="G813" s="89" t="n">
        <x:v>45752.0003125</x:v>
      </x:c>
      <x:c r="H813" s="89" t="n">
        <x:v>45751.916979166665</x:v>
      </x:c>
      <x:c r="I813" s="89" t="n">
        <x:v>45752.416979166665</x:v>
      </x:c>
      <x:c r="J813" s="84" t="str">
        <x:v>Baixa</x:v>
      </x:c>
      <x:c r="K813" s="84" t="str">
        <x:v>Encerrada</x:v>
      </x:c>
      <x:c r="L813" s="84" t="str">
        <x:v>Baixa pressão</x:v>
      </x:c>
      <x:c r="M813" s="84" t="str">
        <x:v>Desgaste natural</x:v>
      </x:c>
      <x:c r="N813" s="84" t="str">
        <x:v>Componente ajustado ou substituído</x:v>
      </x:c>
      <x:c r="O813" s="84" t="n">
        <x:v>0</x:v>
      </x:c>
      <x:c r="P813" s="93" t="n">
        <x:v>301.01</x:v>
      </x:c>
      <x:c r="Q813" s="93" t="n">
        <x:v>0</x:v>
      </x:c>
      <x:c r="R813" s="91" t="n">
        <x:v>0</x:v>
      </x:c>
    </x:row>
    <x:row r="814">
      <x:c r="A814" s="83" t="n">
        <x:v>813</x:v>
      </x:c>
      <x:c r="B814" s="84" t="str">
        <x:v>OS-2023-00813</x:v>
      </x:c>
      <x:c r="C814" s="84" t="n">
        <x:v>25</x:v>
      </x:c>
      <x:c r="D814" s="84" t="n">
        <x:v>3</x:v>
      </x:c>
      <x:c r="E814" s="84"/>
      <x:c r="F814" s="89" t="n">
        <x:v>45036.52427083333</x:v>
      </x:c>
      <x:c r="G814" s="89"/>
      <x:c r="H814" s="89"/>
      <x:c r="I814" s="89"/>
      <x:c r="J814" s="84" t="str">
        <x:v>Baixa</x:v>
      </x:c>
      <x:c r="K814" s="84" t="str">
        <x:v>Cancelada</x:v>
      </x:c>
      <x:c r="L814" s="84" t="str">
        <x:v>Desalinhamento</x:v>
      </x:c>
      <x:c r="M814" s="84"/>
      <x:c r="N814" s="84"/>
      <x:c r="O814" s="84" t="n">
        <x:v>0</x:v>
      </x:c>
      <x:c r="P814" s="93" t="n">
        <x:v>0</x:v>
      </x:c>
      <x:c r="Q814" s="93" t="n">
        <x:v>0</x:v>
      </x:c>
      <x:c r="R814" s="91" t="n">
        <x:v>0</x:v>
      </x:c>
    </x:row>
    <x:row r="815">
      <x:c r="A815" s="83" t="n">
        <x:v>814</x:v>
      </x:c>
      <x:c r="B815" s="84" t="str">
        <x:v>OS-2025-00814</x:v>
      </x:c>
      <x:c r="C815" s="84" t="n">
        <x:v>70</x:v>
      </x:c>
      <x:c r="D815" s="84" t="n">
        <x:v>2</x:v>
      </x:c>
      <x:c r="E815" s="84"/>
      <x:c r="F815" s="89" t="n">
        <x:v>46007.21755787037</x:v>
      </x:c>
      <x:c r="G815" s="89" t="n">
        <x:v>46010.21755787037</x:v>
      </x:c>
      <x:c r="H815" s="89" t="n">
        <x:v>46009.88422453704</x:v>
      </x:c>
      <x:c r="I815" s="89"/>
      <x:c r="J815" s="84" t="str">
        <x:v>Crítica</x:v>
      </x:c>
      <x:c r="K815" s="84" t="str">
        <x:v>Em execução</x:v>
      </x:c>
      <x:c r="L815" s="84" t="str">
        <x:v>Superaquecimento</x:v>
      </x:c>
      <x:c r="M815" s="84" t="str">
        <x:v>Contaminação</x:v>
      </x:c>
      <x:c r="N815" s="84"/>
      <x:c r="O815" s="84" t="n">
        <x:v>0</x:v>
      </x:c>
      <x:c r="P815" s="93" t="n">
        <x:v>234.22</x:v>
      </x:c>
      <x:c r="Q815" s="93" t="n">
        <x:v>0</x:v>
      </x:c>
      <x:c r="R815" s="91" t="n">
        <x:v>0</x:v>
      </x:c>
    </x:row>
    <x:row r="816">
      <x:c r="A816" s="83" t="n">
        <x:v>815</x:v>
      </x:c>
      <x:c r="B816" s="84" t="str">
        <x:v>OS-2024-00815</x:v>
      </x:c>
      <x:c r="C816" s="84" t="n">
        <x:v>59</x:v>
      </x:c>
      <x:c r="D816" s="84" t="n">
        <x:v>7</x:v>
      </x:c>
      <x:c r="E816" s="84" t="n">
        <x:v>118</x:v>
      </x:c>
      <x:c r="F816" s="89" t="n">
        <x:v>45423.19850694444</x:v>
      </x:c>
      <x:c r="G816" s="89" t="n">
        <x:v>45428.19850694444</x:v>
      </x:c>
      <x:c r="H816" s="89" t="n">
        <x:v>45425.44850694444</x:v>
      </x:c>
      <x:c r="I816" s="89" t="n">
        <x:v>45425.53184027778</x:v>
      </x:c>
      <x:c r="J816" s="84" t="str">
        <x:v>Baixa</x:v>
      </x:c>
      <x:c r="K816" s="84" t="str">
        <x:v>Encerrada</x:v>
      </x:c>
      <x:c r="L816" s="84" t="str">
        <x:v>Falha elétrica</x:v>
      </x:c>
      <x:c r="M816" s="84" t="str">
        <x:v>Falta de lubrificação</x:v>
      </x:c>
      <x:c r="N816" s="84" t="str">
        <x:v>Componente ajustado ou substituído</x:v>
      </x:c>
      <x:c r="O816" s="84" t="n">
        <x:v>0</x:v>
      </x:c>
      <x:c r="P816" s="93" t="n">
        <x:v>108.05</x:v>
      </x:c>
      <x:c r="Q816" s="93" t="n">
        <x:v>4317.8</x:v>
      </x:c>
      <x:c r="R816" s="91" t="n">
        <x:v>0</x:v>
      </x:c>
    </x:row>
    <x:row r="817">
      <x:c r="A817" s="83" t="n">
        <x:v>816</x:v>
      </x:c>
      <x:c r="B817" s="84" t="str">
        <x:v>OS-2023-00816</x:v>
      </x:c>
      <x:c r="C817" s="84" t="n">
        <x:v>88</x:v>
      </x:c>
      <x:c r="D817" s="84" t="n">
        <x:v>3</x:v>
      </x:c>
      <x:c r="E817" s="84"/>
      <x:c r="F817" s="89" t="n">
        <x:v>45012.91127314815</x:v>
      </x:c>
      <x:c r="G817" s="89"/>
      <x:c r="H817" s="89" t="n">
        <x:v>45015.36960648148</x:v>
      </x:c>
      <x:c r="I817" s="89"/>
      <x:c r="J817" s="84" t="str">
        <x:v>Crítica</x:v>
      </x:c>
      <x:c r="K817" s="84" t="str">
        <x:v>Em execução</x:v>
      </x:c>
      <x:c r="L817" s="84" t="str">
        <x:v>Superaquecimento</x:v>
      </x:c>
      <x:c r="M817" s="84" t="str">
        <x:v>Contaminação</x:v>
      </x:c>
      <x:c r="N817" s="84"/>
      <x:c r="O817" s="84" t="n">
        <x:v>0</x:v>
      </x:c>
      <x:c r="P817" s="93" t="n">
        <x:v>117.84</x:v>
      </x:c>
      <x:c r="Q817" s="93" t="n">
        <x:v>10376.67</x:v>
      </x:c>
      <x:c r="R817" s="91" t="n">
        <x:v>0</x:v>
      </x:c>
    </x:row>
    <x:row r="818">
      <x:c r="A818" s="83" t="n">
        <x:v>817</x:v>
      </x:c>
      <x:c r="B818" s="84" t="str">
        <x:v>OS-2024-00817</x:v>
      </x:c>
      <x:c r="C818" s="84" t="n">
        <x:v>19</x:v>
      </x:c>
      <x:c r="D818" s="84" t="n">
        <x:v>1</x:v>
      </x:c>
      <x:c r="E818" s="84" t="n">
        <x:v>38</x:v>
      </x:c>
      <x:c r="F818" s="89" t="n">
        <x:v>45637.11846064815</x:v>
      </x:c>
      <x:c r="G818" s="89" t="n">
        <x:v>45644.11846064815</x:v>
      </x:c>
      <x:c r="H818" s="89" t="n">
        <x:v>45639.45179398148</x:v>
      </x:c>
      <x:c r="I818" s="89" t="n">
        <x:v>45639.49346064815</x:v>
      </x:c>
      <x:c r="J818" s="84" t="str">
        <x:v>Alta</x:v>
      </x:c>
      <x:c r="K818" s="84" t="str">
        <x:v>Encerrada</x:v>
      </x:c>
      <x:c r="L818" s="84" t="str">
        <x:v>Alarme intermitente</x:v>
      </x:c>
      <x:c r="M818" s="84" t="str">
        <x:v>Componente danificado</x:v>
      </x:c>
      <x:c r="N818" s="84" t="str">
        <x:v>Componente ajustado ou substituído</x:v>
      </x:c>
      <x:c r="O818" s="84" t="n">
        <x:v>0</x:v>
      </x:c>
      <x:c r="P818" s="93" t="n">
        <x:v>319.9</x:v>
      </x:c>
      <x:c r="Q818" s="93" t="n">
        <x:v>10965.58</x:v>
      </x:c>
      <x:c r="R818" s="91" t="n">
        <x:v>0</x:v>
      </x:c>
    </x:row>
    <x:row r="819">
      <x:c r="A819" s="83" t="n">
        <x:v>818</x:v>
      </x:c>
      <x:c r="B819" s="84" t="str">
        <x:v>OS-2023-00818</x:v>
      </x:c>
      <x:c r="C819" s="84" t="n">
        <x:v>80</x:v>
      </x:c>
      <x:c r="D819" s="84" t="n">
        <x:v>2</x:v>
      </x:c>
      <x:c r="E819" s="84"/>
      <x:c r="F819" s="89" t="n">
        <x:v>45147.07430555556</x:v>
      </x:c>
      <x:c r="G819" s="89" t="n">
        <x:v>45155.07430555556</x:v>
      </x:c>
      <x:c r="H819" s="89" t="n">
        <x:v>45148.532638888886</x:v>
      </x:c>
      <x:c r="I819" s="89" t="n">
        <x:v>45149.157638888886</x:v>
      </x:c>
      <x:c r="J819" s="84" t="str">
        <x:v>Baixa</x:v>
      </x:c>
      <x:c r="K819" s="84" t="str">
        <x:v>Concluída</x:v>
      </x:c>
      <x:c r="L819" s="84" t="str">
        <x:v>Superaquecimento</x:v>
      </x:c>
      <x:c r="M819" s="84" t="str">
        <x:v>Conexão frouxa</x:v>
      </x:c>
      <x:c r="N819" s="84" t="str">
        <x:v>Componente ajustado ou substituído</x:v>
      </x:c>
      <x:c r="O819" s="84" t="n">
        <x:v>0</x:v>
      </x:c>
      <x:c r="P819" s="93" t="n">
        <x:v>357.47</x:v>
      </x:c>
      <x:c r="Q819" s="93" t="n">
        <x:v>8985.21</x:v>
      </x:c>
      <x:c r="R819" s="91" t="n">
        <x:v>881.11</x:v>
      </x:c>
    </x:row>
    <x:row r="820">
      <x:c r="A820" s="83" t="n">
        <x:v>819</x:v>
      </x:c>
      <x:c r="B820" s="84" t="str">
        <x:v>OS-2025-00819</x:v>
      </x:c>
      <x:c r="C820" s="84" t="n">
        <x:v>73</x:v>
      </x:c>
      <x:c r="D820" s="84" t="n">
        <x:v>1</x:v>
      </x:c>
      <x:c r="E820" s="84" t="n">
        <x:v>146</x:v>
      </x:c>
      <x:c r="F820" s="89" t="n">
        <x:v>45955.01291666667</x:v>
      </x:c>
      <x:c r="G820" s="89" t="n">
        <x:v>45956.01291666667</x:v>
      </x:c>
      <x:c r="H820" s="89" t="n">
        <x:v>45956.30458333333</x:v>
      </x:c>
      <x:c r="I820" s="89" t="n">
        <x:v>45956.76291666667</x:v>
      </x:c>
      <x:c r="J820" s="84" t="str">
        <x:v>Baixa</x:v>
      </x:c>
      <x:c r="K820" s="84" t="str">
        <x:v>Concluída</x:v>
      </x:c>
      <x:c r="L820" s="84" t="str">
        <x:v>Alarme intermitente</x:v>
      </x:c>
      <x:c r="M820" s="84" t="str">
        <x:v>Ajuste incorreto</x:v>
      </x:c>
      <x:c r="N820" s="84" t="str">
        <x:v>Componente ajustado ou substituído</x:v>
      </x:c>
      <x:c r="O820" s="84" t="n">
        <x:v>0</x:v>
      </x:c>
      <x:c r="P820" s="93" t="n">
        <x:v>564.29</x:v>
      </x:c>
      <x:c r="Q820" s="93" t="n">
        <x:v>9910.36</x:v>
      </x:c>
      <x:c r="R820" s="91" t="n">
        <x:v>0</x:v>
      </x:c>
    </x:row>
    <x:row r="821">
      <x:c r="A821" s="83" t="n">
        <x:v>820</x:v>
      </x:c>
      <x:c r="B821" s="84" t="str">
        <x:v>OS-2023-00820</x:v>
      </x:c>
      <x:c r="C821" s="84" t="n">
        <x:v>46</x:v>
      </x:c>
      <x:c r="D821" s="84" t="n">
        <x:v>1</x:v>
      </x:c>
      <x:c r="E821" s="84" t="n">
        <x:v>92</x:v>
      </x:c>
      <x:c r="F821" s="89" t="n">
        <x:v>45160.907326388886</x:v>
      </x:c>
      <x:c r="G821" s="89" t="n">
        <x:v>45174.907326388886</x:v>
      </x:c>
      <x:c r="H821" s="89"/>
      <x:c r="I821" s="89"/>
      <x:c r="J821" s="84" t="str">
        <x:v>Alta</x:v>
      </x:c>
      <x:c r="K821" s="84" t="str">
        <x:v>Planejada</x:v>
      </x:c>
      <x:c r="L821" s="84" t="str">
        <x:v>Falha elétrica</x:v>
      </x:c>
      <x:c r="M821" s="84"/>
      <x:c r="N821" s="84"/>
      <x:c r="O821" s="84" t="n">
        <x:v>0</x:v>
      </x:c>
      <x:c r="P821" s="93" t="n">
        <x:v>0</x:v>
      </x:c>
      <x:c r="Q821" s="93" t="n">
        <x:v>0</x:v>
      </x:c>
      <x:c r="R821" s="91" t="n">
        <x:v>0</x:v>
      </x:c>
    </x:row>
    <x:row r="822">
      <x:c r="A822" s="83" t="n">
        <x:v>821</x:v>
      </x:c>
      <x:c r="B822" s="84" t="str">
        <x:v>OS-2025-00821</x:v>
      </x:c>
      <x:c r="C822" s="84" t="n">
        <x:v>78</x:v>
      </x:c>
      <x:c r="D822" s="84" t="n">
        <x:v>7</x:v>
      </x:c>
      <x:c r="E822" s="84" t="n">
        <x:v>156</x:v>
      </x:c>
      <x:c r="F822" s="89" t="n">
        <x:v>45799.33467592593</x:v>
      </x:c>
      <x:c r="G822" s="89" t="n">
        <x:v>45799.33467592593</x:v>
      </x:c>
      <x:c r="H822" s="89" t="n">
        <x:v>45801.29300925926</x:v>
      </x:c>
      <x:c r="I822" s="89" t="n">
        <x:v>45801.95967592593</x:v>
      </x:c>
      <x:c r="J822" s="84" t="str">
        <x:v>Média</x:v>
      </x:c>
      <x:c r="K822" s="84" t="str">
        <x:v>Encerrada</x:v>
      </x:c>
      <x:c r="L822" s="84" t="str">
        <x:v>Superaquecimento</x:v>
      </x:c>
      <x:c r="M822" s="84" t="str">
        <x:v>Desgaste natural</x:v>
      </x:c>
      <x:c r="N822" s="84" t="str">
        <x:v>Componente ajustado ou substituído</x:v>
      </x:c>
      <x:c r="O822" s="84" t="n">
        <x:v>0</x:v>
      </x:c>
      <x:c r="P822" s="93" t="n">
        <x:v>508.16</x:v>
      </x:c>
      <x:c r="Q822" s="93" t="n">
        <x:v>0</x:v>
      </x:c>
      <x:c r="R822" s="91" t="n">
        <x:v>0</x:v>
      </x:c>
    </x:row>
    <x:row r="823">
      <x:c r="A823" s="83" t="n">
        <x:v>822</x:v>
      </x:c>
      <x:c r="B823" s="84" t="str">
        <x:v>OS-2025-00822</x:v>
      </x:c>
      <x:c r="C823" s="84" t="n">
        <x:v>8</x:v>
      </x:c>
      <x:c r="D823" s="84" t="n">
        <x:v>4</x:v>
      </x:c>
      <x:c r="E823" s="84"/>
      <x:c r="F823" s="89" t="n">
        <x:v>45962.49903935185</x:v>
      </x:c>
      <x:c r="G823" s="89" t="n">
        <x:v>45966.49903935185</x:v>
      </x:c>
      <x:c r="H823" s="89" t="n">
        <x:v>45964.04070601852</x:v>
      </x:c>
      <x:c r="I823" s="89" t="n">
        <x:v>45964.45737268519</x:v>
      </x:c>
      <x:c r="J823" s="84" t="str">
        <x:v>Baixa</x:v>
      </x:c>
      <x:c r="K823" s="84" t="str">
        <x:v>Encerrada</x:v>
      </x:c>
      <x:c r="L823" s="84" t="str">
        <x:v>Alarme intermitente</x:v>
      </x:c>
      <x:c r="M823" s="84" t="str">
        <x:v>Contaminação</x:v>
      </x:c>
      <x:c r="N823" s="84" t="str">
        <x:v>Componente ajustado ou substituído</x:v>
      </x:c>
      <x:c r="O823" s="84" t="n">
        <x:v>0</x:v>
      </x:c>
      <x:c r="P823" s="93" t="n">
        <x:v>353.82</x:v>
      </x:c>
      <x:c r="Q823" s="93" t="n">
        <x:v>4350.84</x:v>
      </x:c>
      <x:c r="R823" s="91" t="n">
        <x:v>0</x:v>
      </x:c>
    </x:row>
    <x:row r="824">
      <x:c r="A824" s="83" t="n">
        <x:v>823</x:v>
      </x:c>
      <x:c r="B824" s="84" t="str">
        <x:v>OS-2025-00823</x:v>
      </x:c>
      <x:c r="C824" s="84" t="n">
        <x:v>59</x:v>
      </x:c>
      <x:c r="D824" s="84" t="n">
        <x:v>6</x:v>
      </x:c>
      <x:c r="E824" s="84"/>
      <x:c r="F824" s="89" t="n">
        <x:v>46015.236666666664</x:v>
      </x:c>
      <x:c r="G824" s="89" t="n">
        <x:v>46017.236666666664</x:v>
      </x:c>
      <x:c r="H824" s="89" t="n">
        <x:v>46016.861666666664</x:v>
      </x:c>
      <x:c r="I824" s="89" t="n">
        <x:v>46017.486666666664</x:v>
      </x:c>
      <x:c r="J824" s="84" t="str">
        <x:v>Crítica</x:v>
      </x:c>
      <x:c r="K824" s="84" t="str">
        <x:v>Concluída</x:v>
      </x:c>
      <x:c r="L824" s="84" t="str">
        <x:v>Vazamento</x:v>
      </x:c>
      <x:c r="M824" s="84" t="str">
        <x:v>Conexão frouxa</x:v>
      </x:c>
      <x:c r="N824" s="84" t="str">
        <x:v>Componente ajustado ou substituído</x:v>
      </x:c>
      <x:c r="O824" s="84" t="n">
        <x:v>0</x:v>
      </x:c>
      <x:c r="P824" s="93" t="n">
        <x:v>40.66</x:v>
      </x:c>
      <x:c r="Q824" s="93" t="n">
        <x:v>5950.56</x:v>
      </x:c>
      <x:c r="R824" s="91" t="n">
        <x:v>0</x:v>
      </x:c>
    </x:row>
    <x:row r="825">
      <x:c r="A825" s="83" t="n">
        <x:v>824</x:v>
      </x:c>
      <x:c r="B825" s="84" t="str">
        <x:v>OS-2023-00824</x:v>
      </x:c>
      <x:c r="C825" s="84" t="n">
        <x:v>17</x:v>
      </x:c>
      <x:c r="D825" s="84" t="n">
        <x:v>3</x:v>
      </x:c>
      <x:c r="E825" s="84"/>
      <x:c r="F825" s="89" t="n">
        <x:v>44992.54337962963</x:v>
      </x:c>
      <x:c r="G825" s="89"/>
      <x:c r="H825" s="89" t="n">
        <x:v>44993.0850462963</x:v>
      </x:c>
      <x:c r="I825" s="89" t="n">
        <x:v>44993.25171296296</x:v>
      </x:c>
      <x:c r="J825" s="84" t="str">
        <x:v>Alta</x:v>
      </x:c>
      <x:c r="K825" s="84" t="str">
        <x:v>Encerrada</x:v>
      </x:c>
      <x:c r="L825" s="84" t="str">
        <x:v>Desalinhamento</x:v>
      </x:c>
      <x:c r="M825" s="84" t="str">
        <x:v>Ajuste incorreto</x:v>
      </x:c>
      <x:c r="N825" s="84" t="str">
        <x:v>Componente ajustado ou substituído</x:v>
      </x:c>
      <x:c r="O825" s="84" t="n">
        <x:v>0</x:v>
      </x:c>
      <x:c r="P825" s="93" t="n">
        <x:v>516.4</x:v>
      </x:c>
      <x:c r="Q825" s="93" t="n">
        <x:v>0</x:v>
      </x:c>
      <x:c r="R825" s="91" t="n">
        <x:v>0</x:v>
      </x:c>
    </x:row>
    <x:row r="826">
      <x:c r="A826" s="83" t="n">
        <x:v>825</x:v>
      </x:c>
      <x:c r="B826" s="84" t="str">
        <x:v>OS-2023-00825</x:v>
      </x:c>
      <x:c r="C826" s="84" t="n">
        <x:v>87</x:v>
      </x:c>
      <x:c r="D826" s="84" t="n">
        <x:v>5</x:v>
      </x:c>
      <x:c r="E826" s="84" t="n">
        <x:v>174</x:v>
      </x:c>
      <x:c r="F826" s="89" t="n">
        <x:v>44933.0237037037</x:v>
      </x:c>
      <x:c r="G826" s="89" t="n">
        <x:v>44940.0237037037</x:v>
      </x:c>
      <x:c r="H826" s="89" t="n">
        <x:v>44935.5237037037</x:v>
      </x:c>
      <x:c r="I826" s="89" t="n">
        <x:v>44936.232037037036</x:v>
      </x:c>
      <x:c r="J826" s="84" t="str">
        <x:v>Alta</x:v>
      </x:c>
      <x:c r="K826" s="84" t="str">
        <x:v>Encerrada</x:v>
      </x:c>
      <x:c r="L826" s="84" t="str">
        <x:v>Alarme intermitente</x:v>
      </x:c>
      <x:c r="M826" s="84" t="str">
        <x:v>Ajuste incorreto</x:v>
      </x:c>
      <x:c r="N826" s="84" t="str">
        <x:v>Componente ajustado ou substituído</x:v>
      </x:c>
      <x:c r="O826" s="84" t="n">
        <x:v>0</x:v>
      </x:c>
      <x:c r="P826" s="93" t="n">
        <x:v>345.84</x:v>
      </x:c>
      <x:c r="Q826" s="93" t="n">
        <x:v>7919.41</x:v>
      </x:c>
      <x:c r="R826" s="91" t="n">
        <x:v>12108.02</x:v>
      </x:c>
    </x:row>
    <x:row r="827">
      <x:c r="A827" s="83" t="n">
        <x:v>826</x:v>
      </x:c>
      <x:c r="B827" s="84" t="str">
        <x:v>OS-2025-00826</x:v>
      </x:c>
      <x:c r="C827" s="84" t="n">
        <x:v>8</x:v>
      </x:c>
      <x:c r="D827" s="84" t="n">
        <x:v>9</x:v>
      </x:c>
      <x:c r="E827" s="84"/>
      <x:c r="F827" s="89" t="n">
        <x:v>45961.85895833333</x:v>
      </x:c>
      <x:c r="G827" s="89" t="n">
        <x:v>45974.85895833333</x:v>
      </x:c>
      <x:c r="H827" s="89" t="n">
        <x:v>45964.525625</x:v>
      </x:c>
      <x:c r="I827" s="89" t="n">
        <x:v>45964.60895833333</x:v>
      </x:c>
      <x:c r="J827" s="84" t="str">
        <x:v>Crítica</x:v>
      </x:c>
      <x:c r="K827" s="84" t="str">
        <x:v>Encerrada</x:v>
      </x:c>
      <x:c r="L827" s="84" t="str">
        <x:v>Desalinhamento</x:v>
      </x:c>
      <x:c r="M827" s="84" t="str">
        <x:v>Desgaste natural</x:v>
      </x:c>
      <x:c r="N827" s="84" t="str">
        <x:v>Componente ajustado ou substituído</x:v>
      </x:c>
      <x:c r="O827" s="84" t="n">
        <x:v>0</x:v>
      </x:c>
      <x:c r="P827" s="93" t="n">
        <x:v>80.36</x:v>
      </x:c>
      <x:c r="Q827" s="93" t="n">
        <x:v>1234.61</x:v>
      </x:c>
      <x:c r="R827" s="91" t="n">
        <x:v>0</x:v>
      </x:c>
    </x:row>
    <x:row r="828">
      <x:c r="A828" s="83" t="n">
        <x:v>827</x:v>
      </x:c>
      <x:c r="B828" s="84" t="str">
        <x:v>OS-2024-00827</x:v>
      </x:c>
      <x:c r="C828" s="84" t="n">
        <x:v>19</x:v>
      </x:c>
      <x:c r="D828" s="84" t="n">
        <x:v>1</x:v>
      </x:c>
      <x:c r="E828" s="84" t="n">
        <x:v>37</x:v>
      </x:c>
      <x:c r="F828" s="89" t="n">
        <x:v>45600.146053240744</x:v>
      </x:c>
      <x:c r="G828" s="89" t="n">
        <x:v>45614.146053240744</x:v>
      </x:c>
      <x:c r="H828" s="89" t="n">
        <x:v>45602.47938657407</x:v>
      </x:c>
      <x:c r="I828" s="89" t="n">
        <x:v>45602.896053240744</x:v>
      </x:c>
      <x:c r="J828" s="84" t="str">
        <x:v>Média</x:v>
      </x:c>
      <x:c r="K828" s="84" t="str">
        <x:v>Encerrada</x:v>
      </x:c>
      <x:c r="L828" s="84" t="str">
        <x:v>Falha elétrica</x:v>
      </x:c>
      <x:c r="M828" s="84" t="str">
        <x:v>Falta de lubrificação</x:v>
      </x:c>
      <x:c r="N828" s="84" t="str">
        <x:v>Componente ajustado ou substituído</x:v>
      </x:c>
      <x:c r="O828" s="84" t="n">
        <x:v>0</x:v>
      </x:c>
      <x:c r="P828" s="93" t="n">
        <x:v>643</x:v>
      </x:c>
      <x:c r="Q828" s="93" t="n">
        <x:v>15530.98</x:v>
      </x:c>
      <x:c r="R828" s="91" t="n">
        <x:v>0</x:v>
      </x:c>
    </x:row>
    <x:row r="829">
      <x:c r="A829" s="83" t="n">
        <x:v>828</x:v>
      </x:c>
      <x:c r="B829" s="84" t="str">
        <x:v>OS-2024-00828</x:v>
      </x:c>
      <x:c r="C829" s="84" t="n">
        <x:v>87</x:v>
      </x:c>
      <x:c r="D829" s="84" t="n">
        <x:v>5</x:v>
      </x:c>
      <x:c r="E829" s="84" t="n">
        <x:v>173</x:v>
      </x:c>
      <x:c r="F829" s="89" t="n">
        <x:v>45404.627754629626</x:v>
      </x:c>
      <x:c r="G829" s="89" t="n">
        <x:v>45412.627754629626</x:v>
      </x:c>
      <x:c r="H829" s="89" t="n">
        <x:v>45406.002754629626</x:v>
      </x:c>
      <x:c r="I829" s="89" t="n">
        <x:v>45406.71108796296</x:v>
      </x:c>
      <x:c r="J829" s="84" t="str">
        <x:v>Média</x:v>
      </x:c>
      <x:c r="K829" s="84" t="str">
        <x:v>Encerrada</x:v>
      </x:c>
      <x:c r="L829" s="84" t="str">
        <x:v>Ruído anormal</x:v>
      </x:c>
      <x:c r="M829" s="84" t="str">
        <x:v>Falta de lubrificação</x:v>
      </x:c>
      <x:c r="N829" s="84" t="str">
        <x:v>Componente ajustado ou substituído</x:v>
      </x:c>
      <x:c r="O829" s="84" t="n">
        <x:v>0</x:v>
      </x:c>
      <x:c r="P829" s="93" t="n">
        <x:v>792.17</x:v>
      </x:c>
      <x:c r="Q829" s="93" t="n">
        <x:v>1391.42</x:v>
      </x:c>
      <x:c r="R829" s="91" t="n">
        <x:v>14116.28</x:v>
      </x:c>
    </x:row>
    <x:row r="830">
      <x:c r="A830" s="83" t="n">
        <x:v>829</x:v>
      </x:c>
      <x:c r="B830" s="84" t="str">
        <x:v>OS-2025-00829</x:v>
      </x:c>
      <x:c r="C830" s="84" t="n">
        <x:v>82</x:v>
      </x:c>
      <x:c r="D830" s="84" t="n">
        <x:v>1</x:v>
      </x:c>
      <x:c r="E830" s="84" t="n">
        <x:v>163</x:v>
      </x:c>
      <x:c r="F830" s="89" t="n">
        <x:v>45970.2846875</x:v>
      </x:c>
      <x:c r="G830" s="89" t="n">
        <x:v>45973.2846875</x:v>
      </x:c>
      <x:c r="H830" s="89" t="n">
        <x:v>45970.36802083333</x:v>
      </x:c>
      <x:c r="I830" s="89" t="n">
        <x:v>45970.74302083333</x:v>
      </x:c>
      <x:c r="J830" s="84" t="str">
        <x:v>Média</x:v>
      </x:c>
      <x:c r="K830" s="84" t="str">
        <x:v>Encerrada</x:v>
      </x:c>
      <x:c r="L830" s="84" t="str">
        <x:v>Vazamento</x:v>
      </x:c>
      <x:c r="M830" s="84" t="str">
        <x:v>Componente danificado</x:v>
      </x:c>
      <x:c r="N830" s="84" t="str">
        <x:v>Componente ajustado ou substituído</x:v>
      </x:c>
      <x:c r="O830" s="84" t="n">
        <x:v>0</x:v>
      </x:c>
      <x:c r="P830" s="93" t="n">
        <x:v>672.22</x:v>
      </x:c>
      <x:c r="Q830" s="93" t="n">
        <x:v>6924.32</x:v>
      </x:c>
      <x:c r="R830" s="91" t="n">
        <x:v>0</x:v>
      </x:c>
    </x:row>
    <x:row r="831">
      <x:c r="A831" s="83" t="n">
        <x:v>830</x:v>
      </x:c>
      <x:c r="B831" s="84" t="str">
        <x:v>OS-2025-00830</x:v>
      </x:c>
      <x:c r="C831" s="84" t="n">
        <x:v>83</x:v>
      </x:c>
      <x:c r="D831" s="84" t="n">
        <x:v>6</x:v>
      </x:c>
      <x:c r="E831" s="84"/>
      <x:c r="F831" s="89" t="n">
        <x:v>45676.02903935185</x:v>
      </x:c>
      <x:c r="G831" s="89" t="n">
        <x:v>45681.02903935185</x:v>
      </x:c>
      <x:c r="H831" s="89" t="n">
        <x:v>45677.48737268519</x:v>
      </x:c>
      <x:c r="I831" s="89" t="n">
        <x:v>45677.98737268519</x:v>
      </x:c>
      <x:c r="J831" s="84" t="str">
        <x:v>Crítica</x:v>
      </x:c>
      <x:c r="K831" s="84" t="str">
        <x:v>Encerrada</x:v>
      </x:c>
      <x:c r="L831" s="84" t="str">
        <x:v>Alarme intermitente</x:v>
      </x:c>
      <x:c r="M831" s="84" t="str">
        <x:v>Componente danificado</x:v>
      </x:c>
      <x:c r="N831" s="84" t="str">
        <x:v>Componente ajustado ou substituído</x:v>
      </x:c>
      <x:c r="O831" s="84" t="n">
        <x:v>0</x:v>
      </x:c>
      <x:c r="P831" s="93" t="n">
        <x:v>732.88</x:v>
      </x:c>
      <x:c r="Q831" s="93" t="n">
        <x:v>12613.44</x:v>
      </x:c>
      <x:c r="R831" s="91" t="n">
        <x:v>0</x:v>
      </x:c>
    </x:row>
    <x:row r="832">
      <x:c r="A832" s="83" t="n">
        <x:v>831</x:v>
      </x:c>
      <x:c r="B832" s="84" t="str">
        <x:v>OS-2024-00831</x:v>
      </x:c>
      <x:c r="C832" s="84" t="n">
        <x:v>18</x:v>
      </x:c>
      <x:c r="D832" s="84" t="n">
        <x:v>1</x:v>
      </x:c>
      <x:c r="E832" s="84" t="n">
        <x:v>36</x:v>
      </x:c>
      <x:c r="F832" s="89" t="n">
        <x:v>45653.49951388889</x:v>
      </x:c>
      <x:c r="G832" s="89" t="n">
        <x:v>45665.49951388889</x:v>
      </x:c>
      <x:c r="H832" s="89"/>
      <x:c r="I832" s="89"/>
      <x:c r="J832" s="84" t="str">
        <x:v>Média</x:v>
      </x:c>
      <x:c r="K832" s="84" t="str">
        <x:v>Planejada</x:v>
      </x:c>
      <x:c r="L832" s="84" t="str">
        <x:v>Alarme intermitente</x:v>
      </x:c>
      <x:c r="M832" s="84"/>
      <x:c r="N832" s="84"/>
      <x:c r="O832" s="84" t="n">
        <x:v>0</x:v>
      </x:c>
      <x:c r="P832" s="93" t="n">
        <x:v>0</x:v>
      </x:c>
      <x:c r="Q832" s="93" t="n">
        <x:v>0</x:v>
      </x:c>
      <x:c r="R832" s="91" t="n">
        <x:v>0</x:v>
      </x:c>
    </x:row>
    <x:row r="833">
      <x:c r="A833" s="83" t="n">
        <x:v>832</x:v>
      </x:c>
      <x:c r="B833" s="84" t="str">
        <x:v>OS-2024-00832</x:v>
      </x:c>
      <x:c r="C833" s="84" t="n">
        <x:v>9</x:v>
      </x:c>
      <x:c r="D833" s="84" t="n">
        <x:v>4</x:v>
      </x:c>
      <x:c r="E833" s="84"/>
      <x:c r="F833" s="89" t="n">
        <x:v>45609.33491898148</x:v>
      </x:c>
      <x:c r="G833" s="89" t="n">
        <x:v>45619.33491898148</x:v>
      </x:c>
      <x:c r="H833" s="89" t="n">
        <x:v>45611.87658564815</x:v>
      </x:c>
      <x:c r="I833" s="89" t="n">
        <x:v>45611.95991898148</x:v>
      </x:c>
      <x:c r="J833" s="84" t="str">
        <x:v>Alta</x:v>
      </x:c>
      <x:c r="K833" s="84" t="str">
        <x:v>Encerrada</x:v>
      </x:c>
      <x:c r="L833" s="84" t="str">
        <x:v>Falha elétrica</x:v>
      </x:c>
      <x:c r="M833" s="84" t="str">
        <x:v>Ajuste incorreto</x:v>
      </x:c>
      <x:c r="N833" s="84" t="str">
        <x:v>Componente ajustado ou substituído</x:v>
      </x:c>
      <x:c r="O833" s="84" t="n">
        <x:v>0</x:v>
      </x:c>
      <x:c r="P833" s="93" t="n">
        <x:v>360.56</x:v>
      </x:c>
      <x:c r="Q833" s="93" t="n">
        <x:v>2169.63</x:v>
      </x:c>
      <x:c r="R833" s="91" t="n">
        <x:v>0</x:v>
      </x:c>
    </x:row>
    <x:row r="834">
      <x:c r="A834" s="83" t="n">
        <x:v>833</x:v>
      </x:c>
      <x:c r="B834" s="84" t="str">
        <x:v>OS-2025-00833</x:v>
      </x:c>
      <x:c r="C834" s="84" t="n">
        <x:v>63</x:v>
      </x:c>
      <x:c r="D834" s="84" t="n">
        <x:v>1</x:v>
      </x:c>
      <x:c r="E834" s="84" t="n">
        <x:v>126</x:v>
      </x:c>
      <x:c r="F834" s="89" t="n">
        <x:v>45722.866319444445</x:v>
      </x:c>
      <x:c r="G834" s="89" t="n">
        <x:v>45723.866319444445</x:v>
      </x:c>
      <x:c r="H834" s="89" t="n">
        <x:v>45724.94965277778</x:v>
      </x:c>
      <x:c r="I834" s="89" t="n">
        <x:v>45725.15798611111</x:v>
      </x:c>
      <x:c r="J834" s="84" t="str">
        <x:v>Alta</x:v>
      </x:c>
      <x:c r="K834" s="84" t="str">
        <x:v>Encerrada</x:v>
      </x:c>
      <x:c r="L834" s="84" t="str">
        <x:v>Ruído anormal</x:v>
      </x:c>
      <x:c r="M834" s="84" t="str">
        <x:v>Contaminação</x:v>
      </x:c>
      <x:c r="N834" s="84" t="str">
        <x:v>Componente ajustado ou substituído</x:v>
      </x:c>
      <x:c r="O834" s="84" t="n">
        <x:v>0</x:v>
      </x:c>
      <x:c r="P834" s="93" t="n">
        <x:v>572.23</x:v>
      </x:c>
      <x:c r="Q834" s="93" t="n">
        <x:v>2930.84</x:v>
      </x:c>
      <x:c r="R834" s="91" t="n">
        <x:v>0</x:v>
      </x:c>
    </x:row>
    <x:row r="835">
      <x:c r="A835" s="83" t="n">
        <x:v>834</x:v>
      </x:c>
      <x:c r="B835" s="84" t="str">
        <x:v>OS-2023-00834</x:v>
      </x:c>
      <x:c r="C835" s="84" t="n">
        <x:v>84</x:v>
      </x:c>
      <x:c r="D835" s="84" t="n">
        <x:v>1</x:v>
      </x:c>
      <x:c r="E835" s="84" t="n">
        <x:v>167</x:v>
      </x:c>
      <x:c r="F835" s="89" t="n">
        <x:v>45012.60543981481</x:v>
      </x:c>
      <x:c r="G835" s="89" t="n">
        <x:v>45021.60543981481</x:v>
      </x:c>
      <x:c r="H835" s="89" t="n">
        <x:v>45014.73043981481</x:v>
      </x:c>
      <x:c r="I835" s="89" t="n">
        <x:v>45014.77210648148</x:v>
      </x:c>
      <x:c r="J835" s="84" t="str">
        <x:v>Crítica</x:v>
      </x:c>
      <x:c r="K835" s="84" t="str">
        <x:v>Encerrada</x:v>
      </x:c>
      <x:c r="L835" s="84" t="str">
        <x:v>Ruído anormal</x:v>
      </x:c>
      <x:c r="M835" s="84" t="str">
        <x:v>Contaminação</x:v>
      </x:c>
      <x:c r="N835" s="84" t="str">
        <x:v>Componente ajustado ou substituído</x:v>
      </x:c>
      <x:c r="O835" s="84" t="n">
        <x:v>0</x:v>
      </x:c>
      <x:c r="P835" s="93" t="n">
        <x:v>241.09</x:v>
      </x:c>
      <x:c r="Q835" s="93" t="n">
        <x:v>4414.86</x:v>
      </x:c>
      <x:c r="R835" s="91" t="n">
        <x:v>0</x:v>
      </x:c>
    </x:row>
    <x:row r="836">
      <x:c r="A836" s="83" t="n">
        <x:v>835</x:v>
      </x:c>
      <x:c r="B836" s="84" t="str">
        <x:v>OS-2023-00835</x:v>
      </x:c>
      <x:c r="C836" s="84" t="n">
        <x:v>12</x:v>
      </x:c>
      <x:c r="D836" s="84" t="n">
        <x:v>1</x:v>
      </x:c>
      <x:c r="E836" s="84" t="n">
        <x:v>24</x:v>
      </x:c>
      <x:c r="F836" s="89" t="n">
        <x:v>45180.354050925926</x:v>
      </x:c>
      <x:c r="G836" s="89" t="n">
        <x:v>45188.354050925926</x:v>
      </x:c>
      <x:c r="H836" s="89" t="n">
        <x:v>45181.604050925926</x:v>
      </x:c>
      <x:c r="I836" s="89" t="n">
        <x:v>45182.104050925926</x:v>
      </x:c>
      <x:c r="J836" s="84" t="str">
        <x:v>Crítica</x:v>
      </x:c>
      <x:c r="K836" s="84" t="str">
        <x:v>Encerrada</x:v>
      </x:c>
      <x:c r="L836" s="84" t="str">
        <x:v>Vazamento</x:v>
      </x:c>
      <x:c r="M836" s="84" t="str">
        <x:v>Contaminação</x:v>
      </x:c>
      <x:c r="N836" s="84" t="str">
        <x:v>Componente ajustado ou substituído</x:v>
      </x:c>
      <x:c r="O836" s="84" t="n">
        <x:v>0</x:v>
      </x:c>
      <x:c r="P836" s="93" t="n">
        <x:v>519.21</x:v>
      </x:c>
      <x:c r="Q836" s="93" t="n">
        <x:v>0</x:v>
      </x:c>
      <x:c r="R836" s="91" t="n">
        <x:v>0</x:v>
      </x:c>
    </x:row>
    <x:row r="837">
      <x:c r="A837" s="83" t="n">
        <x:v>836</x:v>
      </x:c>
      <x:c r="B837" s="84" t="str">
        <x:v>OS-2025-00836</x:v>
      </x:c>
      <x:c r="C837" s="84" t="n">
        <x:v>6</x:v>
      </x:c>
      <x:c r="D837" s="84" t="n">
        <x:v>1</x:v>
      </x:c>
      <x:c r="E837" s="84" t="n">
        <x:v>11</x:v>
      </x:c>
      <x:c r="F837" s="89" t="n">
        <x:v>45893.32232638889</x:v>
      </x:c>
      <x:c r="G837" s="89" t="n">
        <x:v>45907.32232638889</x:v>
      </x:c>
      <x:c r="H837" s="89" t="n">
        <x:v>45893.44732638889</x:v>
      </x:c>
      <x:c r="I837" s="89"/>
      <x:c r="J837" s="84" t="str">
        <x:v>Baixa</x:v>
      </x:c>
      <x:c r="K837" s="84" t="str">
        <x:v>Aguardando peça</x:v>
      </x:c>
      <x:c r="L837" s="84" t="str">
        <x:v>Falha elétrica</x:v>
      </x:c>
      <x:c r="M837" s="84" t="str">
        <x:v>Componente danificado</x:v>
      </x:c>
      <x:c r="N837" s="84"/>
      <x:c r="O837" s="84" t="n">
        <x:v>0</x:v>
      </x:c>
      <x:c r="P837" s="93" t="n">
        <x:v>787.11</x:v>
      </x:c>
      <x:c r="Q837" s="93" t="n">
        <x:v>0</x:v>
      </x:c>
      <x:c r="R837" s="91" t="n">
        <x:v>0</x:v>
      </x:c>
    </x:row>
    <x:row r="838">
      <x:c r="A838" s="83" t="n">
        <x:v>837</x:v>
      </x:c>
      <x:c r="B838" s="84" t="str">
        <x:v>OS-2025-00837</x:v>
      </x:c>
      <x:c r="C838" s="84" t="n">
        <x:v>58</x:v>
      </x:c>
      <x:c r="D838" s="84" t="n">
        <x:v>3</x:v>
      </x:c>
      <x:c r="E838" s="84"/>
      <x:c r="F838" s="89" t="n">
        <x:v>45820.73253472222</x:v>
      </x:c>
      <x:c r="G838" s="89"/>
      <x:c r="H838" s="89" t="n">
        <x:v>45823.23253472222</x:v>
      </x:c>
      <x:c r="I838" s="89" t="n">
        <x:v>45824.06586805556</x:v>
      </x:c>
      <x:c r="J838" s="84" t="str">
        <x:v>Alta</x:v>
      </x:c>
      <x:c r="K838" s="84" t="str">
        <x:v>Concluída</x:v>
      </x:c>
      <x:c r="L838" s="84" t="str">
        <x:v>Alarme intermitente</x:v>
      </x:c>
      <x:c r="M838" s="84" t="str">
        <x:v>Conexão frouxa</x:v>
      </x:c>
      <x:c r="N838" s="84" t="str">
        <x:v>Componente ajustado ou substituído</x:v>
      </x:c>
      <x:c r="O838" s="84" t="n">
        <x:v>0</x:v>
      </x:c>
      <x:c r="P838" s="93" t="n">
        <x:v>276.87</x:v>
      </x:c>
      <x:c r="Q838" s="93" t="n">
        <x:v>9536.7</x:v>
      </x:c>
      <x:c r="R838" s="91" t="n">
        <x:v>0</x:v>
      </x:c>
    </x:row>
    <x:row r="839">
      <x:c r="A839" s="83" t="n">
        <x:v>838</x:v>
      </x:c>
      <x:c r="B839" s="84" t="str">
        <x:v>OS-2024-00838</x:v>
      </x:c>
      <x:c r="C839" s="84" t="n">
        <x:v>36</x:v>
      </x:c>
      <x:c r="D839" s="84" t="n">
        <x:v>4</x:v>
      </x:c>
      <x:c r="E839" s="84"/>
      <x:c r="F839" s="89" t="n">
        <x:v>45523.15467592593</x:v>
      </x:c>
      <x:c r="G839" s="89" t="n">
        <x:v>45527.15467592593</x:v>
      </x:c>
      <x:c r="H839" s="89" t="n">
        <x:v>45523.52967592593</x:v>
      </x:c>
      <x:c r="I839" s="89" t="n">
        <x:v>45523.65467592593</x:v>
      </x:c>
      <x:c r="J839" s="84" t="str">
        <x:v>Baixa</x:v>
      </x:c>
      <x:c r="K839" s="84" t="str">
        <x:v>Encerrada</x:v>
      </x:c>
      <x:c r="L839" s="84" t="str">
        <x:v>Falha elétrica</x:v>
      </x:c>
      <x:c r="M839" s="84" t="str">
        <x:v>Conexão frouxa</x:v>
      </x:c>
      <x:c r="N839" s="84" t="str">
        <x:v>Componente ajustado ou substituído</x:v>
      </x:c>
      <x:c r="O839" s="84" t="n">
        <x:v>0</x:v>
      </x:c>
      <x:c r="P839" s="93" t="n">
        <x:v>408.69</x:v>
      </x:c>
      <x:c r="Q839" s="93" t="n">
        <x:v>6025.03</x:v>
      </x:c>
      <x:c r="R839" s="91" t="n">
        <x:v>0</x:v>
      </x:c>
    </x:row>
    <x:row r="840">
      <x:c r="A840" s="83" t="n">
        <x:v>839</x:v>
      </x:c>
      <x:c r="B840" s="84" t="str">
        <x:v>OS-2024-00839</x:v>
      </x:c>
      <x:c r="C840" s="84" t="n">
        <x:v>60</x:v>
      </x:c>
      <x:c r="D840" s="84" t="n">
        <x:v>1</x:v>
      </x:c>
      <x:c r="E840" s="84" t="n">
        <x:v>119</x:v>
      </x:c>
      <x:c r="F840" s="89" t="n">
        <x:v>45453.28474537037</x:v>
      </x:c>
      <x:c r="G840" s="89" t="n">
        <x:v>45468.28474537037</x:v>
      </x:c>
      <x:c r="H840" s="89" t="n">
        <x:v>45454.2430787037</x:v>
      </x:c>
      <x:c r="I840" s="89" t="n">
        <x:v>45454.82641203704</x:v>
      </x:c>
      <x:c r="J840" s="84" t="str">
        <x:v>Crítica</x:v>
      </x:c>
      <x:c r="K840" s="84" t="str">
        <x:v>Encerrada</x:v>
      </x:c>
      <x:c r="L840" s="84" t="str">
        <x:v>Baixa pressão</x:v>
      </x:c>
      <x:c r="M840" s="84" t="str">
        <x:v>Conexão frouxa</x:v>
      </x:c>
      <x:c r="N840" s="84" t="str">
        <x:v>Componente ajustado ou substituído</x:v>
      </x:c>
      <x:c r="O840" s="84" t="n">
        <x:v>0</x:v>
      </x:c>
      <x:c r="P840" s="93" t="n">
        <x:v>257.3</x:v>
      </x:c>
      <x:c r="Q840" s="93" t="n">
        <x:v>1470.78</x:v>
      </x:c>
      <x:c r="R840" s="91" t="n">
        <x:v>14564.7</x:v>
      </x:c>
    </x:row>
    <x:row r="841">
      <x:c r="A841" s="83" t="n">
        <x:v>840</x:v>
      </x:c>
      <x:c r="B841" s="84" t="str">
        <x:v>OS-2023-00840</x:v>
      </x:c>
      <x:c r="C841" s="84" t="n">
        <x:v>62</x:v>
      </x:c>
      <x:c r="D841" s="84" t="n">
        <x:v>1</x:v>
      </x:c>
      <x:c r="E841" s="84" t="n">
        <x:v>124</x:v>
      </x:c>
      <x:c r="F841" s="89" t="n">
        <x:v>44962.89840277778</x:v>
      </x:c>
      <x:c r="G841" s="89" t="n">
        <x:v>44976.89840277778</x:v>
      </x:c>
      <x:c r="H841" s="89" t="n">
        <x:v>44963.14840277778</x:v>
      </x:c>
      <x:c r="I841" s="89" t="n">
        <x:v>44963.31506944444</x:v>
      </x:c>
      <x:c r="J841" s="84" t="str">
        <x:v>Alta</x:v>
      </x:c>
      <x:c r="K841" s="84" t="str">
        <x:v>Encerrada</x:v>
      </x:c>
      <x:c r="L841" s="84" t="str">
        <x:v>Vazamento</x:v>
      </x:c>
      <x:c r="M841" s="84" t="str">
        <x:v>Ajuste incorreto</x:v>
      </x:c>
      <x:c r="N841" s="84" t="str">
        <x:v>Componente ajustado ou substituído</x:v>
      </x:c>
      <x:c r="O841" s="84" t="n">
        <x:v>0</x:v>
      </x:c>
      <x:c r="P841" s="93" t="n">
        <x:v>721.64</x:v>
      </x:c>
      <x:c r="Q841" s="93" t="n">
        <x:v>12910.74</x:v>
      </x:c>
      <x:c r="R841" s="91" t="n">
        <x:v>0</x:v>
      </x:c>
    </x:row>
    <x:row r="842">
      <x:c r="A842" s="83" t="n">
        <x:v>841</x:v>
      </x:c>
      <x:c r="B842" s="84" t="str">
        <x:v>OS-2024-00841</x:v>
      </x:c>
      <x:c r="C842" s="84" t="n">
        <x:v>7</x:v>
      </x:c>
      <x:c r="D842" s="84" t="n">
        <x:v>3</x:v>
      </x:c>
      <x:c r="E842" s="84"/>
      <x:c r="F842" s="89" t="n">
        <x:v>45585.637349537035</x:v>
      </x:c>
      <x:c r="G842" s="89"/>
      <x:c r="H842" s="89" t="n">
        <x:v>45586.59568287037</x:v>
      </x:c>
      <x:c r="I842" s="89" t="n">
        <x:v>45586.762349537035</x:v>
      </x:c>
      <x:c r="J842" s="84" t="str">
        <x:v>Crítica</x:v>
      </x:c>
      <x:c r="K842" s="84" t="str">
        <x:v>Encerrada</x:v>
      </x:c>
      <x:c r="L842" s="84" t="str">
        <x:v>Baixa pressão</x:v>
      </x:c>
      <x:c r="M842" s="84" t="str">
        <x:v>Conexão frouxa</x:v>
      </x:c>
      <x:c r="N842" s="84" t="str">
        <x:v>Componente ajustado ou substituído</x:v>
      </x:c>
      <x:c r="O842" s="84" t="n">
        <x:v>0</x:v>
      </x:c>
      <x:c r="P842" s="93" t="n">
        <x:v>530.15</x:v>
      </x:c>
      <x:c r="Q842" s="93" t="n">
        <x:v>4090.13</x:v>
      </x:c>
      <x:c r="R842" s="91" t="n">
        <x:v>0</x:v>
      </x:c>
    </x:row>
    <x:row r="843">
      <x:c r="A843" s="83" t="n">
        <x:v>842</x:v>
      </x:c>
      <x:c r="B843" s="84" t="str">
        <x:v>OS-2024-00842</x:v>
      </x:c>
      <x:c r="C843" s="84" t="n">
        <x:v>47</x:v>
      </x:c>
      <x:c r="D843" s="84" t="n">
        <x:v>1</x:v>
      </x:c>
      <x:c r="E843" s="84" t="n">
        <x:v>93</x:v>
      </x:c>
      <x:c r="F843" s="89" t="n">
        <x:v>45414.30505787037</x:v>
      </x:c>
      <x:c r="G843" s="89" t="n">
        <x:v>45423.30505787037</x:v>
      </x:c>
      <x:c r="H843" s="89" t="n">
        <x:v>45415.721724537034</x:v>
      </x:c>
      <x:c r="I843" s="89" t="n">
        <x:v>45416.43005787037</x:v>
      </x:c>
      <x:c r="J843" s="84" t="str">
        <x:v>Crítica</x:v>
      </x:c>
      <x:c r="K843" s="84" t="str">
        <x:v>Encerrada</x:v>
      </x:c>
      <x:c r="L843" s="84" t="str">
        <x:v>Baixa pressão</x:v>
      </x:c>
      <x:c r="M843" s="84" t="str">
        <x:v>Desgaste natural</x:v>
      </x:c>
      <x:c r="N843" s="84" t="str">
        <x:v>Componente ajustado ou substituído</x:v>
      </x:c>
      <x:c r="O843" s="84" t="n">
        <x:v>1</x:v>
      </x:c>
      <x:c r="P843" s="93" t="n">
        <x:v>528.41</x:v>
      </x:c>
      <x:c r="Q843" s="93" t="n">
        <x:v>0</x:v>
      </x:c>
      <x:c r="R843" s="91" t="n">
        <x:v>0</x:v>
      </x:c>
    </x:row>
    <x:row r="844">
      <x:c r="A844" s="83" t="n">
        <x:v>843</x:v>
      </x:c>
      <x:c r="B844" s="84" t="str">
        <x:v>OS-2025-00843</x:v>
      </x:c>
      <x:c r="C844" s="84" t="n">
        <x:v>70</x:v>
      </x:c>
      <x:c r="D844" s="84" t="n">
        <x:v>1</x:v>
      </x:c>
      <x:c r="E844" s="84" t="n">
        <x:v>139</x:v>
      </x:c>
      <x:c r="F844" s="89" t="n">
        <x:v>45788.503842592596</x:v>
      </x:c>
      <x:c r="G844" s="89" t="n">
        <x:v>45796.503842592596</x:v>
      </x:c>
      <x:c r="H844" s="89" t="n">
        <x:v>45791.17050925926</x:v>
      </x:c>
      <x:c r="I844" s="89" t="n">
        <x:v>45791.92050925926</x:v>
      </x:c>
      <x:c r="J844" s="84" t="str">
        <x:v>Média</x:v>
      </x:c>
      <x:c r="K844" s="84" t="str">
        <x:v>Encerrada</x:v>
      </x:c>
      <x:c r="L844" s="84" t="str">
        <x:v>Superaquecimento</x:v>
      </x:c>
      <x:c r="M844" s="84" t="str">
        <x:v>Falta de lubrificação</x:v>
      </x:c>
      <x:c r="N844" s="84" t="str">
        <x:v>Componente ajustado ou substituído</x:v>
      </x:c>
      <x:c r="O844" s="84" t="n">
        <x:v>0</x:v>
      </x:c>
      <x:c r="P844" s="93" t="n">
        <x:v>656.39</x:v>
      </x:c>
      <x:c r="Q844" s="93" t="n">
        <x:v>7515.2</x:v>
      </x:c>
      <x:c r="R844" s="91" t="n">
        <x:v>0</x:v>
      </x:c>
    </x:row>
    <x:row r="845">
      <x:c r="A845" s="83" t="n">
        <x:v>844</x:v>
      </x:c>
      <x:c r="B845" s="84" t="str">
        <x:v>OS-2025-00844</x:v>
      </x:c>
      <x:c r="C845" s="84" t="n">
        <x:v>31</x:v>
      </x:c>
      <x:c r="D845" s="84" t="n">
        <x:v>1</x:v>
      </x:c>
      <x:c r="E845" s="84" t="n">
        <x:v>61</x:v>
      </x:c>
      <x:c r="F845" s="89" t="n">
        <x:v>45709.634421296294</x:v>
      </x:c>
      <x:c r="G845" s="89" t="n">
        <x:v>45710.634421296294</x:v>
      </x:c>
      <x:c r="H845" s="89" t="n">
        <x:v>45711.634421296294</x:v>
      </x:c>
      <x:c r="I845" s="89" t="n">
        <x:v>45711.96775462963</x:v>
      </x:c>
      <x:c r="J845" s="84" t="str">
        <x:v>Baixa</x:v>
      </x:c>
      <x:c r="K845" s="84" t="str">
        <x:v>Encerrada</x:v>
      </x:c>
      <x:c r="L845" s="84" t="str">
        <x:v>Superaquecimento</x:v>
      </x:c>
      <x:c r="M845" s="84" t="str">
        <x:v>Conexão frouxa</x:v>
      </x:c>
      <x:c r="N845" s="84" t="str">
        <x:v>Componente ajustado ou substituído</x:v>
      </x:c>
      <x:c r="O845" s="84" t="n">
        <x:v>0</x:v>
      </x:c>
      <x:c r="P845" s="93" t="n">
        <x:v>196.38</x:v>
      </x:c>
      <x:c r="Q845" s="93" t="n">
        <x:v>4350.84</x:v>
      </x:c>
      <x:c r="R845" s="91" t="n">
        <x:v>0</x:v>
      </x:c>
    </x:row>
    <x:row r="846">
      <x:c r="A846" s="83" t="n">
        <x:v>845</x:v>
      </x:c>
      <x:c r="B846" s="84" t="str">
        <x:v>OS-2023-00845</x:v>
      </x:c>
      <x:c r="C846" s="84" t="n">
        <x:v>33</x:v>
      </x:c>
      <x:c r="D846" s="84" t="n">
        <x:v>6</x:v>
      </x:c>
      <x:c r="E846" s="84"/>
      <x:c r="F846" s="89" t="n">
        <x:v>44980.36173611111</x:v>
      </x:c>
      <x:c r="G846" s="89" t="n">
        <x:v>44993.36173611111</x:v>
      </x:c>
      <x:c r="H846" s="89" t="n">
        <x:v>44982.903402777774</x:v>
      </x:c>
      <x:c r="I846" s="89" t="n">
        <x:v>44983.36173611111</x:v>
      </x:c>
      <x:c r="J846" s="84" t="str">
        <x:v>Crítica</x:v>
      </x:c>
      <x:c r="K846" s="84" t="str">
        <x:v>Encerrada</x:v>
      </x:c>
      <x:c r="L846" s="84" t="str">
        <x:v>Baixa pressão</x:v>
      </x:c>
      <x:c r="M846" s="84" t="str">
        <x:v>Desgaste natural</x:v>
      </x:c>
      <x:c r="N846" s="84" t="str">
        <x:v>Componente ajustado ou substituído</x:v>
      </x:c>
      <x:c r="O846" s="84" t="n">
        <x:v>0</x:v>
      </x:c>
      <x:c r="P846" s="93" t="n">
        <x:v>220.22</x:v>
      </x:c>
      <x:c r="Q846" s="93" t="n">
        <x:v>10602.64</x:v>
      </x:c>
      <x:c r="R846" s="91" t="n">
        <x:v>0</x:v>
      </x:c>
    </x:row>
    <x:row r="847">
      <x:c r="A847" s="83" t="n">
        <x:v>846</x:v>
      </x:c>
      <x:c r="B847" s="84" t="str">
        <x:v>OS-2024-00846</x:v>
      </x:c>
      <x:c r="C847" s="84" t="n">
        <x:v>87</x:v>
      </x:c>
      <x:c r="D847" s="84" t="n">
        <x:v>1</x:v>
      </x:c>
      <x:c r="E847" s="84" t="n">
        <x:v>174</x:v>
      </x:c>
      <x:c r="F847" s="89" t="n">
        <x:v>45616.94914351852</x:v>
      </x:c>
      <x:c r="G847" s="89" t="n">
        <x:v>45627.94914351852</x:v>
      </x:c>
      <x:c r="H847" s="89" t="n">
        <x:v>45619.532476851855</x:v>
      </x:c>
      <x:c r="I847" s="89"/>
      <x:c r="J847" s="84" t="str">
        <x:v>Alta</x:v>
      </x:c>
      <x:c r="K847" s="84" t="str">
        <x:v>Aguardando peça</x:v>
      </x:c>
      <x:c r="L847" s="84" t="str">
        <x:v>Alarme intermitente</x:v>
      </x:c>
      <x:c r="M847" s="84" t="str">
        <x:v>Componente danificado</x:v>
      </x:c>
      <x:c r="N847" s="84"/>
      <x:c r="O847" s="84" t="n">
        <x:v>0</x:v>
      </x:c>
      <x:c r="P847" s="93" t="n">
        <x:v>374.56</x:v>
      </x:c>
      <x:c r="Q847" s="93" t="n">
        <x:v>2066.72</x:v>
      </x:c>
      <x:c r="R847" s="91" t="n">
        <x:v>3787.1</x:v>
      </x:c>
    </x:row>
    <x:row r="848">
      <x:c r="A848" s="83" t="n">
        <x:v>847</x:v>
      </x:c>
      <x:c r="B848" s="84" t="str">
        <x:v>OS-2025-00847</x:v>
      </x:c>
      <x:c r="C848" s="84" t="n">
        <x:v>62</x:v>
      </x:c>
      <x:c r="D848" s="84" t="n">
        <x:v>3</x:v>
      </x:c>
      <x:c r="E848" s="84"/>
      <x:c r="F848" s="89" t="n">
        <x:v>46002.85894675926</x:v>
      </x:c>
      <x:c r="G848" s="89"/>
      <x:c r="H848" s="89" t="n">
        <x:v>46005.81728009259</x:v>
      </x:c>
      <x:c r="I848" s="89"/>
      <x:c r="J848" s="84" t="str">
        <x:v>Crítica</x:v>
      </x:c>
      <x:c r="K848" s="84" t="str">
        <x:v>Aguardando peça</x:v>
      </x:c>
      <x:c r="L848" s="84" t="str">
        <x:v>Vazamento</x:v>
      </x:c>
      <x:c r="M848" s="84" t="str">
        <x:v>Ajuste incorreto</x:v>
      </x:c>
      <x:c r="N848" s="84"/>
      <x:c r="O848" s="84" t="n">
        <x:v>0</x:v>
      </x:c>
      <x:c r="P848" s="93" t="n">
        <x:v>581.73</x:v>
      </x:c>
      <x:c r="Q848" s="93" t="n">
        <x:v>9221.08</x:v>
      </x:c>
      <x:c r="R848" s="91" t="n">
        <x:v>0</x:v>
      </x:c>
    </x:row>
    <x:row r="849">
      <x:c r="A849" s="83" t="n">
        <x:v>848</x:v>
      </x:c>
      <x:c r="B849" s="84" t="str">
        <x:v>OS-2023-00848</x:v>
      </x:c>
      <x:c r="C849" s="84" t="n">
        <x:v>25</x:v>
      </x:c>
      <x:c r="D849" s="84" t="n">
        <x:v>1</x:v>
      </x:c>
      <x:c r="E849" s="84" t="n">
        <x:v>50</x:v>
      </x:c>
      <x:c r="F849" s="89" t="n">
        <x:v>45118.71059027778</x:v>
      </x:c>
      <x:c r="G849" s="89" t="n">
        <x:v>45124.71059027778</x:v>
      </x:c>
      <x:c r="H849" s="89" t="n">
        <x:v>45120.21059027778</x:v>
      </x:c>
      <x:c r="I849" s="89" t="n">
        <x:v>45120.25225694444</x:v>
      </x:c>
      <x:c r="J849" s="84" t="str">
        <x:v>Baixa</x:v>
      </x:c>
      <x:c r="K849" s="84" t="str">
        <x:v>Encerrada</x:v>
      </x:c>
      <x:c r="L849" s="84" t="str">
        <x:v>Desalinhamento</x:v>
      </x:c>
      <x:c r="M849" s="84" t="str">
        <x:v>Conexão frouxa</x:v>
      </x:c>
      <x:c r="N849" s="84" t="str">
        <x:v>Componente ajustado ou substituído</x:v>
      </x:c>
      <x:c r="O849" s="84" t="n">
        <x:v>0</x:v>
      </x:c>
      <x:c r="P849" s="93" t="n">
        <x:v>520.73</x:v>
      </x:c>
      <x:c r="Q849" s="93" t="n">
        <x:v>16557.16</x:v>
      </x:c>
      <x:c r="R849" s="91" t="n">
        <x:v>0</x:v>
      </x:c>
    </x:row>
    <x:row r="850">
      <x:c r="A850" s="83" t="n">
        <x:v>849</x:v>
      </x:c>
      <x:c r="B850" s="84" t="str">
        <x:v>OS-2024-00849</x:v>
      </x:c>
      <x:c r="C850" s="84" t="n">
        <x:v>23</x:v>
      </x:c>
      <x:c r="D850" s="84" t="n">
        <x:v>3</x:v>
      </x:c>
      <x:c r="E850" s="84"/>
      <x:c r="F850" s="89" t="n">
        <x:v>45401.27138888889</x:v>
      </x:c>
      <x:c r="G850" s="89"/>
      <x:c r="H850" s="89" t="n">
        <x:v>45403.89638888889</x:v>
      </x:c>
      <x:c r="I850" s="89" t="n">
        <x:v>45404.60472222222</x:v>
      </x:c>
      <x:c r="J850" s="84" t="str">
        <x:v>Alta</x:v>
      </x:c>
      <x:c r="K850" s="84" t="str">
        <x:v>Concluída</x:v>
      </x:c>
      <x:c r="L850" s="84" t="str">
        <x:v>Vazamento</x:v>
      </x:c>
      <x:c r="M850" s="84" t="str">
        <x:v>Desgaste natural</x:v>
      </x:c>
      <x:c r="N850" s="84" t="str">
        <x:v>Componente ajustado ou substituído</x:v>
      </x:c>
      <x:c r="O850" s="84" t="n">
        <x:v>0</x:v>
      </x:c>
      <x:c r="P850" s="93" t="n">
        <x:v>792.39</x:v>
      </x:c>
      <x:c r="Q850" s="93" t="n">
        <x:v>0</x:v>
      </x:c>
      <x:c r="R850" s="91" t="n">
        <x:v>0</x:v>
      </x:c>
    </x:row>
    <x:row r="851">
      <x:c r="A851" s="83" t="n">
        <x:v>850</x:v>
      </x:c>
      <x:c r="B851" s="84" t="str">
        <x:v>OS-2025-00850</x:v>
      </x:c>
      <x:c r="C851" s="84" t="n">
        <x:v>10</x:v>
      </x:c>
      <x:c r="D851" s="84" t="n">
        <x:v>5</x:v>
      </x:c>
      <x:c r="E851" s="84" t="n">
        <x:v>20</x:v>
      </x:c>
      <x:c r="F851" s="89" t="n">
        <x:v>45864.90304398148</x:v>
      </x:c>
      <x:c r="G851" s="89" t="n">
        <x:v>45870.90304398148</x:v>
      </x:c>
      <x:c r="H851" s="89" t="n">
        <x:v>45865.694710648146</x:v>
      </x:c>
      <x:c r="I851" s="89" t="n">
        <x:v>45865.77804398148</x:v>
      </x:c>
      <x:c r="J851" s="84" t="str">
        <x:v>Média</x:v>
      </x:c>
      <x:c r="K851" s="84" t="str">
        <x:v>Encerrada</x:v>
      </x:c>
      <x:c r="L851" s="84" t="str">
        <x:v>Baixa pressão</x:v>
      </x:c>
      <x:c r="M851" s="84" t="str">
        <x:v>Falta de lubrificação</x:v>
      </x:c>
      <x:c r="N851" s="84" t="str">
        <x:v>Componente ajustado ou substituído</x:v>
      </x:c>
      <x:c r="O851" s="84" t="n">
        <x:v>0</x:v>
      </x:c>
      <x:c r="P851" s="93" t="n">
        <x:v>301.59</x:v>
      </x:c>
      <x:c r="Q851" s="93" t="n">
        <x:v>8024.84</x:v>
      </x:c>
      <x:c r="R851" s="91" t="n">
        <x:v>0</x:v>
      </x:c>
    </x:row>
    <x:row r="852">
      <x:c r="A852" s="83" t="n">
        <x:v>851</x:v>
      </x:c>
      <x:c r="B852" s="84" t="str">
        <x:v>OS-2025-00851</x:v>
      </x:c>
      <x:c r="C852" s="84" t="n">
        <x:v>49</x:v>
      </x:c>
      <x:c r="D852" s="84" t="n">
        <x:v>3</x:v>
      </x:c>
      <x:c r="E852" s="84"/>
      <x:c r="F852" s="89" t="n">
        <x:v>45730.143587962964</x:v>
      </x:c>
      <x:c r="G852" s="89"/>
      <x:c r="H852" s="89" t="n">
        <x:v>45731.018587962964</x:v>
      </x:c>
      <x:c r="I852" s="89"/>
      <x:c r="J852" s="84" t="str">
        <x:v>Baixa</x:v>
      </x:c>
      <x:c r="K852" s="84" t="str">
        <x:v>Aguardando peça</x:v>
      </x:c>
      <x:c r="L852" s="84" t="str">
        <x:v>Ruído anormal</x:v>
      </x:c>
      <x:c r="M852" s="84" t="str">
        <x:v>Ajuste incorreto</x:v>
      </x:c>
      <x:c r="N852" s="84"/>
      <x:c r="O852" s="84" t="n">
        <x:v>0</x:v>
      </x:c>
      <x:c r="P852" s="93" t="n">
        <x:v>678.42</x:v>
      </x:c>
      <x:c r="Q852" s="93" t="n">
        <x:v>0</x:v>
      </x:c>
      <x:c r="R852" s="91" t="n">
        <x:v>0</x:v>
      </x:c>
    </x:row>
    <x:row r="853">
      <x:c r="A853" s="83" t="n">
        <x:v>852</x:v>
      </x:c>
      <x:c r="B853" s="84" t="str">
        <x:v>OS-2023-00852</x:v>
      </x:c>
      <x:c r="C853" s="84" t="n">
        <x:v>42</x:v>
      </x:c>
      <x:c r="D853" s="84" t="n">
        <x:v>2</x:v>
      </x:c>
      <x:c r="E853" s="84"/>
      <x:c r="F853" s="89" t="n">
        <x:v>45061.573969907404</x:v>
      </x:c>
      <x:c r="G853" s="89" t="n">
        <x:v>45066.573969907404</x:v>
      </x:c>
      <x:c r="H853" s="89" t="n">
        <x:v>45061.740636574075</x:v>
      </x:c>
      <x:c r="I853" s="89"/>
      <x:c r="J853" s="84" t="str">
        <x:v>Crítica</x:v>
      </x:c>
      <x:c r="K853" s="84" t="str">
        <x:v>Em execução</x:v>
      </x:c>
      <x:c r="L853" s="84" t="str">
        <x:v>Superaquecimento</x:v>
      </x:c>
      <x:c r="M853" s="84" t="str">
        <x:v>Falta de lubrificação</x:v>
      </x:c>
      <x:c r="N853" s="84"/>
      <x:c r="O853" s="84" t="n">
        <x:v>0</x:v>
      </x:c>
      <x:c r="P853" s="93" t="n">
        <x:v>250.72</x:v>
      </x:c>
      <x:c r="Q853" s="93" t="n">
        <x:v>0</x:v>
      </x:c>
      <x:c r="R853" s="91" t="n">
        <x:v>0</x:v>
      </x:c>
    </x:row>
    <x:row r="854">
      <x:c r="A854" s="83" t="n">
        <x:v>853</x:v>
      </x:c>
      <x:c r="B854" s="84" t="str">
        <x:v>OS-2024-00853</x:v>
      </x:c>
      <x:c r="C854" s="84" t="n">
        <x:v>46</x:v>
      </x:c>
      <x:c r="D854" s="84" t="n">
        <x:v>1</x:v>
      </x:c>
      <x:c r="E854" s="84" t="n">
        <x:v>92</x:v>
      </x:c>
      <x:c r="F854" s="89" t="n">
        <x:v>45439.199467592596</x:v>
      </x:c>
      <x:c r="G854" s="89" t="n">
        <x:v>45453.199467592596</x:v>
      </x:c>
      <x:c r="H854" s="89" t="n">
        <x:v>45440.324467592596</x:v>
      </x:c>
      <x:c r="I854" s="89"/>
      <x:c r="J854" s="84" t="str">
        <x:v>Média</x:v>
      </x:c>
      <x:c r="K854" s="84" t="str">
        <x:v>Aguardando peça</x:v>
      </x:c>
      <x:c r="L854" s="84" t="str">
        <x:v>Baixa pressão</x:v>
      </x:c>
      <x:c r="M854" s="84" t="str">
        <x:v>Conexão frouxa</x:v>
      </x:c>
      <x:c r="N854" s="84"/>
      <x:c r="O854" s="84" t="n">
        <x:v>0</x:v>
      </x:c>
      <x:c r="P854" s="93" t="n">
        <x:v>420.18</x:v>
      </x:c>
      <x:c r="Q854" s="93" t="n">
        <x:v>351.44</x:v>
      </x:c>
      <x:c r="R854" s="91" t="n">
        <x:v>0</x:v>
      </x:c>
    </x:row>
    <x:row r="855">
      <x:c r="A855" s="83" t="n">
        <x:v>854</x:v>
      </x:c>
      <x:c r="B855" s="84" t="str">
        <x:v>OS-2023-00854</x:v>
      </x:c>
      <x:c r="C855" s="84" t="n">
        <x:v>12</x:v>
      </x:c>
      <x:c r="D855" s="84" t="n">
        <x:v>1</x:v>
      </x:c>
      <x:c r="E855" s="84" t="n">
        <x:v>24</x:v>
      </x:c>
      <x:c r="F855" s="89" t="n">
        <x:v>45278.42287037037</x:v>
      </x:c>
      <x:c r="G855" s="89" t="n">
        <x:v>45290.42287037037</x:v>
      </x:c>
      <x:c r="H855" s="89"/>
      <x:c r="I855" s="89"/>
      <x:c r="J855" s="84" t="str">
        <x:v>Alta</x:v>
      </x:c>
      <x:c r="K855" s="84" t="str">
        <x:v>Planejada</x:v>
      </x:c>
      <x:c r="L855" s="84" t="str">
        <x:v>Superaquecimento</x:v>
      </x:c>
      <x:c r="M855" s="84"/>
      <x:c r="N855" s="84"/>
      <x:c r="O855" s="84" t="n">
        <x:v>0</x:v>
      </x:c>
      <x:c r="P855" s="93" t="n">
        <x:v>0</x:v>
      </x:c>
      <x:c r="Q855" s="93" t="n">
        <x:v>0</x:v>
      </x:c>
      <x:c r="R855" s="91" t="n">
        <x:v>0</x:v>
      </x:c>
    </x:row>
    <x:row r="856">
      <x:c r="A856" s="83" t="n">
        <x:v>855</x:v>
      </x:c>
      <x:c r="B856" s="84" t="str">
        <x:v>OS-2023-00855</x:v>
      </x:c>
      <x:c r="C856" s="84" t="n">
        <x:v>8</x:v>
      </x:c>
      <x:c r="D856" s="84" t="n">
        <x:v>1</x:v>
      </x:c>
      <x:c r="E856" s="84" t="n">
        <x:v>16</x:v>
      </x:c>
      <x:c r="F856" s="89" t="n">
        <x:v>45114.787210648145</x:v>
      </x:c>
      <x:c r="G856" s="89" t="n">
        <x:v>45129.787210648145</x:v>
      </x:c>
      <x:c r="H856" s="89" t="n">
        <x:v>45116.37054398148</x:v>
      </x:c>
      <x:c r="I856" s="89" t="n">
        <x:v>45117.078877314816</x:v>
      </x:c>
      <x:c r="J856" s="84" t="str">
        <x:v>Média</x:v>
      </x:c>
      <x:c r="K856" s="84" t="str">
        <x:v>Encerrada</x:v>
      </x:c>
      <x:c r="L856" s="84" t="str">
        <x:v>Alarme intermitente</x:v>
      </x:c>
      <x:c r="M856" s="84" t="str">
        <x:v>Desgaste natural</x:v>
      </x:c>
      <x:c r="N856" s="84" t="str">
        <x:v>Componente ajustado ou substituído</x:v>
      </x:c>
      <x:c r="O856" s="84" t="n">
        <x:v>0</x:v>
      </x:c>
      <x:c r="P856" s="93" t="n">
        <x:v>761.03</x:v>
      </x:c>
      <x:c r="Q856" s="93" t="n">
        <x:v>0</x:v>
      </x:c>
      <x:c r="R856" s="91" t="n">
        <x:v>3348.58</x:v>
      </x:c>
    </x:row>
    <x:row r="857">
      <x:c r="A857" s="83" t="n">
        <x:v>856</x:v>
      </x:c>
      <x:c r="B857" s="84" t="str">
        <x:v>OS-2024-00856</x:v>
      </x:c>
      <x:c r="C857" s="84" t="n">
        <x:v>24</x:v>
      </x:c>
      <x:c r="D857" s="84" t="n">
        <x:v>3</x:v>
      </x:c>
      <x:c r="E857" s="84"/>
      <x:c r="F857" s="89" t="n">
        <x:v>45444.233310185184</x:v>
      </x:c>
      <x:c r="G857" s="89"/>
      <x:c r="H857" s="89" t="n">
        <x:v>45446.81664351852</x:v>
      </x:c>
      <x:c r="I857" s="89"/>
      <x:c r="J857" s="84" t="str">
        <x:v>Alta</x:v>
      </x:c>
      <x:c r="K857" s="84" t="str">
        <x:v>Aguardando peça</x:v>
      </x:c>
      <x:c r="L857" s="84" t="str">
        <x:v>Baixa pressão</x:v>
      </x:c>
      <x:c r="M857" s="84" t="str">
        <x:v>Contaminação</x:v>
      </x:c>
      <x:c r="N857" s="84"/>
      <x:c r="O857" s="84" t="n">
        <x:v>0</x:v>
      </x:c>
      <x:c r="P857" s="93" t="n">
        <x:v>219.83</x:v>
      </x:c>
      <x:c r="Q857" s="93" t="n">
        <x:v>5950.56</x:v>
      </x:c>
      <x:c r="R857" s="91" t="n">
        <x:v>0</x:v>
      </x:c>
    </x:row>
    <x:row r="858">
      <x:c r="A858" s="83" t="n">
        <x:v>857</x:v>
      </x:c>
      <x:c r="B858" s="84" t="str">
        <x:v>OS-2025-00857</x:v>
      </x:c>
      <x:c r="C858" s="84" t="n">
        <x:v>89</x:v>
      </x:c>
      <x:c r="D858" s="84" t="n">
        <x:v>7</x:v>
      </x:c>
      <x:c r="E858" s="84" t="n">
        <x:v>178</x:v>
      </x:c>
      <x:c r="F858" s="89" t="n">
        <x:v>45762.080671296295</x:v>
      </x:c>
      <x:c r="G858" s="89" t="n">
        <x:v>45770.080671296295</x:v>
      </x:c>
      <x:c r="H858" s="89" t="n">
        <x:v>45764.455671296295</x:v>
      </x:c>
      <x:c r="I858" s="89" t="n">
        <x:v>45764.705671296295</x:v>
      </x:c>
      <x:c r="J858" s="84" t="str">
        <x:v>Baixa</x:v>
      </x:c>
      <x:c r="K858" s="84" t="str">
        <x:v>Encerrada</x:v>
      </x:c>
      <x:c r="L858" s="84" t="str">
        <x:v>Superaquecimento</x:v>
      </x:c>
      <x:c r="M858" s="84" t="str">
        <x:v>Componente danificado</x:v>
      </x:c>
      <x:c r="N858" s="84" t="str">
        <x:v>Componente ajustado ou substituído</x:v>
      </x:c>
      <x:c r="O858" s="84" t="n">
        <x:v>0</x:v>
      </x:c>
      <x:c r="P858" s="93" t="n">
        <x:v>100.84</x:v>
      </x:c>
      <x:c r="Q858" s="93" t="n">
        <x:v>15760.09</x:v>
      </x:c>
      <x:c r="R858" s="91" t="n">
        <x:v>0</x:v>
      </x:c>
    </x:row>
    <x:row r="859">
      <x:c r="A859" s="83" t="n">
        <x:v>858</x:v>
      </x:c>
      <x:c r="B859" s="84" t="str">
        <x:v>OS-2024-00858</x:v>
      </x:c>
      <x:c r="C859" s="84" t="n">
        <x:v>70</x:v>
      </x:c>
      <x:c r="D859" s="84" t="n">
        <x:v>2</x:v>
      </x:c>
      <x:c r="E859" s="84"/>
      <x:c r="F859" s="89" t="n">
        <x:v>45608.89204861111</x:v>
      </x:c>
      <x:c r="G859" s="89" t="n">
        <x:v>45610.89204861111</x:v>
      </x:c>
      <x:c r="H859" s="89" t="n">
        <x:v>45610.600381944445</x:v>
      </x:c>
      <x:c r="I859" s="89" t="n">
        <x:v>45610.93371527778</x:v>
      </x:c>
      <x:c r="J859" s="84" t="str">
        <x:v>Crítica</x:v>
      </x:c>
      <x:c r="K859" s="84" t="str">
        <x:v>Encerrada</x:v>
      </x:c>
      <x:c r="L859" s="84" t="str">
        <x:v>Desalinhamento</x:v>
      </x:c>
      <x:c r="M859" s="84" t="str">
        <x:v>Componente danificado</x:v>
      </x:c>
      <x:c r="N859" s="84" t="str">
        <x:v>Componente ajustado ou substituído</x:v>
      </x:c>
      <x:c r="O859" s="84" t="n">
        <x:v>0</x:v>
      </x:c>
      <x:c r="P859" s="93" t="n">
        <x:v>343.21</x:v>
      </x:c>
      <x:c r="Q859" s="93" t="n">
        <x:v>3523.08</x:v>
      </x:c>
      <x:c r="R859" s="91" t="n">
        <x:v>0</x:v>
      </x:c>
    </x:row>
    <x:row r="860">
      <x:c r="A860" s="83" t="n">
        <x:v>859</x:v>
      </x:c>
      <x:c r="B860" s="84" t="str">
        <x:v>OS-2025-00859</x:v>
      </x:c>
      <x:c r="C860" s="84" t="n">
        <x:v>88</x:v>
      </x:c>
      <x:c r="D860" s="84" t="n">
        <x:v>1</x:v>
      </x:c>
      <x:c r="E860" s="84" t="n">
        <x:v>175</x:v>
      </x:c>
      <x:c r="F860" s="89" t="n">
        <x:v>45843.84028935185</x:v>
      </x:c>
      <x:c r="G860" s="89" t="n">
        <x:v>45852.84028935185</x:v>
      </x:c>
      <x:c r="H860" s="89" t="n">
        <x:v>45846.34028935185</x:v>
      </x:c>
      <x:c r="I860" s="89" t="n">
        <x:v>45846.63195601852</x:v>
      </x:c>
      <x:c r="J860" s="84" t="str">
        <x:v>Alta</x:v>
      </x:c>
      <x:c r="K860" s="84" t="str">
        <x:v>Encerrada</x:v>
      </x:c>
      <x:c r="L860" s="84" t="str">
        <x:v>Vazamento</x:v>
      </x:c>
      <x:c r="M860" s="84" t="str">
        <x:v>Contaminação</x:v>
      </x:c>
      <x:c r="N860" s="84" t="str">
        <x:v>Componente ajustado ou substituído</x:v>
      </x:c>
      <x:c r="O860" s="84" t="n">
        <x:v>0</x:v>
      </x:c>
      <x:c r="P860" s="93" t="n">
        <x:v>164.27</x:v>
      </x:c>
      <x:c r="Q860" s="93" t="n">
        <x:v>2443.54</x:v>
      </x:c>
      <x:c r="R860" s="91" t="n">
        <x:v>562.1</x:v>
      </x:c>
    </x:row>
    <x:row r="861">
      <x:c r="A861" s="83" t="n">
        <x:v>860</x:v>
      </x:c>
      <x:c r="B861" s="84" t="str">
        <x:v>OS-2023-00860</x:v>
      </x:c>
      <x:c r="C861" s="84" t="n">
        <x:v>34</x:v>
      </x:c>
      <x:c r="D861" s="84" t="n">
        <x:v>2</x:v>
      </x:c>
      <x:c r="E861" s="84"/>
      <x:c r="F861" s="89" t="n">
        <x:v>45133.89604166667</x:v>
      </x:c>
      <x:c r="G861" s="89" t="n">
        <x:v>45139.89604166667</x:v>
      </x:c>
      <x:c r="H861" s="89" t="n">
        <x:v>45134.39604166667</x:v>
      </x:c>
      <x:c r="I861" s="89" t="n">
        <x:v>45135.229375</x:v>
      </x:c>
      <x:c r="J861" s="84" t="str">
        <x:v>Alta</x:v>
      </x:c>
      <x:c r="K861" s="84" t="str">
        <x:v>Encerrada</x:v>
      </x:c>
      <x:c r="L861" s="84" t="str">
        <x:v>Superaquecimento</x:v>
      </x:c>
      <x:c r="M861" s="84" t="str">
        <x:v>Falta de lubrificação</x:v>
      </x:c>
      <x:c r="N861" s="84" t="str">
        <x:v>Componente ajustado ou substituído</x:v>
      </x:c>
      <x:c r="O861" s="84" t="n">
        <x:v>0</x:v>
      </x:c>
      <x:c r="P861" s="93" t="n">
        <x:v>264.26</x:v>
      </x:c>
      <x:c r="Q861" s="93" t="n">
        <x:v>1372.8</x:v>
      </x:c>
      <x:c r="R861" s="91" t="n">
        <x:v>0</x:v>
      </x:c>
    </x:row>
    <x:row r="862">
      <x:c r="A862" s="83" t="n">
        <x:v>861</x:v>
      </x:c>
      <x:c r="B862" s="84" t="str">
        <x:v>OS-2025-00861</x:v>
      </x:c>
      <x:c r="C862" s="84" t="n">
        <x:v>69</x:v>
      </x:c>
      <x:c r="D862" s="84" t="n">
        <x:v>1</x:v>
      </x:c>
      <x:c r="E862" s="84" t="n">
        <x:v>138</x:v>
      </x:c>
      <x:c r="F862" s="89" t="n">
        <x:v>45773.747094907405</x:v>
      </x:c>
      <x:c r="G862" s="89" t="n">
        <x:v>45776.747094907405</x:v>
      </x:c>
      <x:c r="H862" s="89"/>
      <x:c r="I862" s="89"/>
      <x:c r="J862" s="84" t="str">
        <x:v>Alta</x:v>
      </x:c>
      <x:c r="K862" s="84" t="str">
        <x:v>Planejada</x:v>
      </x:c>
      <x:c r="L862" s="84" t="str">
        <x:v>Baixa pressão</x:v>
      </x:c>
      <x:c r="M862" s="84"/>
      <x:c r="N862" s="84"/>
      <x:c r="O862" s="84" t="n">
        <x:v>0</x:v>
      </x:c>
      <x:c r="P862" s="93" t="n">
        <x:v>0</x:v>
      </x:c>
      <x:c r="Q862" s="93" t="n">
        <x:v>0</x:v>
      </x:c>
      <x:c r="R862" s="91" t="n">
        <x:v>0</x:v>
      </x:c>
    </x:row>
    <x:row r="863">
      <x:c r="A863" s="83" t="n">
        <x:v>862</x:v>
      </x:c>
      <x:c r="B863" s="84" t="str">
        <x:v>OS-2024-00862</x:v>
      </x:c>
      <x:c r="C863" s="84" t="n">
        <x:v>56</x:v>
      </x:c>
      <x:c r="D863" s="84" t="n">
        <x:v>1</x:v>
      </x:c>
      <x:c r="E863" s="84" t="n">
        <x:v>112</x:v>
      </x:c>
      <x:c r="F863" s="89" t="n">
        <x:v>45656.04137731482</x:v>
      </x:c>
      <x:c r="G863" s="89" t="n">
        <x:v>45664.04137731482</x:v>
      </x:c>
      <x:c r="H863" s="89" t="n">
        <x:v>45657.95804398148</x:v>
      </x:c>
      <x:c r="I863" s="89" t="n">
        <x:v>45658.66637731482</x:v>
      </x:c>
      <x:c r="J863" s="84" t="str">
        <x:v>Crítica</x:v>
      </x:c>
      <x:c r="K863" s="84" t="str">
        <x:v>Encerrada</x:v>
      </x:c>
      <x:c r="L863" s="84" t="str">
        <x:v>Baixa pressão</x:v>
      </x:c>
      <x:c r="M863" s="84" t="str">
        <x:v>Ajuste incorreto</x:v>
      </x:c>
      <x:c r="N863" s="84" t="str">
        <x:v>Componente ajustado ou substituído</x:v>
      </x:c>
      <x:c r="O863" s="84" t="n">
        <x:v>0</x:v>
      </x:c>
      <x:c r="P863" s="93" t="n">
        <x:v>623.87</x:v>
      </x:c>
      <x:c r="Q863" s="93" t="n">
        <x:v>6054.54</x:v>
      </x:c>
      <x:c r="R863" s="91" t="n">
        <x:v>0</x:v>
      </x:c>
    </x:row>
    <x:row r="864">
      <x:c r="A864" s="83" t="n">
        <x:v>863</x:v>
      </x:c>
      <x:c r="B864" s="84" t="str">
        <x:v>OS-2024-00863</x:v>
      </x:c>
      <x:c r="C864" s="84" t="n">
        <x:v>10</x:v>
      </x:c>
      <x:c r="D864" s="84" t="n">
        <x:v>1</x:v>
      </x:c>
      <x:c r="E864" s="84" t="n">
        <x:v>20</x:v>
      </x:c>
      <x:c r="F864" s="89" t="n">
        <x:v>45577.44189814815</x:v>
      </x:c>
      <x:c r="G864" s="89" t="n">
        <x:v>45587.44189814815</x:v>
      </x:c>
      <x:c r="H864" s="89"/>
      <x:c r="I864" s="89"/>
      <x:c r="J864" s="84" t="str">
        <x:v>Crítica</x:v>
      </x:c>
      <x:c r="K864" s="84" t="str">
        <x:v>Planejada</x:v>
      </x:c>
      <x:c r="L864" s="84" t="str">
        <x:v>Desalinhamento</x:v>
      </x:c>
      <x:c r="M864" s="84"/>
      <x:c r="N864" s="84"/>
      <x:c r="O864" s="84" t="n">
        <x:v>0</x:v>
      </x:c>
      <x:c r="P864" s="93" t="n">
        <x:v>0</x:v>
      </x:c>
      <x:c r="Q864" s="93" t="n">
        <x:v>0</x:v>
      </x:c>
      <x:c r="R864" s="91" t="n">
        <x:v>0</x:v>
      </x:c>
    </x:row>
    <x:row r="865">
      <x:c r="A865" s="83" t="n">
        <x:v>864</x:v>
      </x:c>
      <x:c r="B865" s="84" t="str">
        <x:v>OS-2023-00864</x:v>
      </x:c>
      <x:c r="C865" s="84" t="n">
        <x:v>38</x:v>
      </x:c>
      <x:c r="D865" s="84" t="n">
        <x:v>4</x:v>
      </x:c>
      <x:c r="E865" s="84"/>
      <x:c r="F865" s="89" t="n">
        <x:v>45078.162986111114</x:v>
      </x:c>
      <x:c r="G865" s="89" t="n">
        <x:v>45087.162986111114</x:v>
      </x:c>
      <x:c r="H865" s="89" t="n">
        <x:v>45080.49631944444</x:v>
      </x:c>
      <x:c r="I865" s="89" t="n">
        <x:v>45080.912986111114</x:v>
      </x:c>
      <x:c r="J865" s="84" t="str">
        <x:v>Baixa</x:v>
      </x:c>
      <x:c r="K865" s="84" t="str">
        <x:v>Encerrada</x:v>
      </x:c>
      <x:c r="L865" s="84" t="str">
        <x:v>Vazamento</x:v>
      </x:c>
      <x:c r="M865" s="84" t="str">
        <x:v>Componente danificado</x:v>
      </x:c>
      <x:c r="N865" s="84" t="str">
        <x:v>Componente ajustado ou substituído</x:v>
      </x:c>
      <x:c r="O865" s="84" t="n">
        <x:v>0</x:v>
      </x:c>
      <x:c r="P865" s="93" t="n">
        <x:v>515.73</x:v>
      </x:c>
      <x:c r="Q865" s="93" t="n">
        <x:v>2159.43</x:v>
      </x:c>
      <x:c r="R865" s="91" t="n">
        <x:v>12041.67</x:v>
      </x:c>
    </x:row>
    <x:row r="866">
      <x:c r="A866" s="83" t="n">
        <x:v>865</x:v>
      </x:c>
      <x:c r="B866" s="84" t="str">
        <x:v>OS-2023-00865</x:v>
      </x:c>
      <x:c r="C866" s="84" t="n">
        <x:v>21</x:v>
      </x:c>
      <x:c r="D866" s="84" t="n">
        <x:v>5</x:v>
      </x:c>
      <x:c r="E866" s="84" t="n">
        <x:v>42</x:v>
      </x:c>
      <x:c r="F866" s="89" t="n">
        <x:v>45257.96915509259</x:v>
      </x:c>
      <x:c r="G866" s="89" t="n">
        <x:v>45268.96915509259</x:v>
      </x:c>
      <x:c r="H866" s="89" t="n">
        <x:v>45260.38582175926</x:v>
      </x:c>
      <x:c r="I866" s="89" t="n">
        <x:v>45260.67748842593</x:v>
      </x:c>
      <x:c r="J866" s="84" t="str">
        <x:v>Alta</x:v>
      </x:c>
      <x:c r="K866" s="84" t="str">
        <x:v>Encerrada</x:v>
      </x:c>
      <x:c r="L866" s="84" t="str">
        <x:v>Baixa pressão</x:v>
      </x:c>
      <x:c r="M866" s="84" t="str">
        <x:v>Contaminação</x:v>
      </x:c>
      <x:c r="N866" s="84" t="str">
        <x:v>Componente ajustado ou substituído</x:v>
      </x:c>
      <x:c r="O866" s="84" t="n">
        <x:v>1</x:v>
      </x:c>
      <x:c r="P866" s="93" t="n">
        <x:v>483.39</x:v>
      </x:c>
      <x:c r="Q866" s="93" t="n">
        <x:v>4448.1</x:v>
      </x:c>
      <x:c r="R866" s="91" t="n">
        <x:v>0</x:v>
      </x:c>
    </x:row>
    <x:row r="867">
      <x:c r="A867" s="83" t="n">
        <x:v>866</x:v>
      </x:c>
      <x:c r="B867" s="84" t="str">
        <x:v>OS-2024-00866</x:v>
      </x:c>
      <x:c r="C867" s="84" t="n">
        <x:v>75</x:v>
      </x:c>
      <x:c r="D867" s="84" t="n">
        <x:v>5</x:v>
      </x:c>
      <x:c r="E867" s="84" t="n">
        <x:v>150</x:v>
      </x:c>
      <x:c r="F867" s="89" t="n">
        <x:v>45654.610983796294</x:v>
      </x:c>
      <x:c r="G867" s="89" t="n">
        <x:v>45656.610983796294</x:v>
      </x:c>
      <x:c r="H867" s="89"/>
      <x:c r="I867" s="89"/>
      <x:c r="J867" s="84" t="str">
        <x:v>Alta</x:v>
      </x:c>
      <x:c r="K867" s="84" t="str">
        <x:v>Cancelada</x:v>
      </x:c>
      <x:c r="L867" s="84" t="str">
        <x:v>Baixa pressão</x:v>
      </x:c>
      <x:c r="M867" s="84"/>
      <x:c r="N867" s="84"/>
      <x:c r="O867" s="84" t="n">
        <x:v>0</x:v>
      </x:c>
      <x:c r="P867" s="93" t="n">
        <x:v>0</x:v>
      </x:c>
      <x:c r="Q867" s="93" t="n">
        <x:v>0</x:v>
      </x:c>
      <x:c r="R867" s="91" t="n">
        <x:v>0</x:v>
      </x:c>
    </x:row>
    <x:row r="868">
      <x:c r="A868" s="83" t="n">
        <x:v>867</x:v>
      </x:c>
      <x:c r="B868" s="84" t="str">
        <x:v>OS-2024-00867</x:v>
      </x:c>
      <x:c r="C868" s="84" t="n">
        <x:v>48</x:v>
      </x:c>
      <x:c r="D868" s="84" t="n">
        <x:v>1</x:v>
      </x:c>
      <x:c r="E868" s="84" t="n">
        <x:v>95</x:v>
      </x:c>
      <x:c r="F868" s="89" t="n">
        <x:v>45467.155694444446</x:v>
      </x:c>
      <x:c r="G868" s="89" t="n">
        <x:v>45479.155694444446</x:v>
      </x:c>
      <x:c r="H868" s="89" t="n">
        <x:v>45467.405694444446</x:v>
      </x:c>
      <x:c r="I868" s="89"/>
      <x:c r="J868" s="84" t="str">
        <x:v>Média</x:v>
      </x:c>
      <x:c r="K868" s="84" t="str">
        <x:v>Aguardando peça</x:v>
      </x:c>
      <x:c r="L868" s="84" t="str">
        <x:v>Superaquecimento</x:v>
      </x:c>
      <x:c r="M868" s="84" t="str">
        <x:v>Componente danificado</x:v>
      </x:c>
      <x:c r="N868" s="84"/>
      <x:c r="O868" s="84" t="n">
        <x:v>0</x:v>
      </x:c>
      <x:c r="P868" s="93" t="n">
        <x:v>709.68</x:v>
      </x:c>
      <x:c r="Q868" s="93" t="n">
        <x:v>8096.51</x:v>
      </x:c>
      <x:c r="R868" s="91" t="n">
        <x:v>0</x:v>
      </x:c>
    </x:row>
    <x:row r="869">
      <x:c r="A869" s="83" t="n">
        <x:v>868</x:v>
      </x:c>
      <x:c r="B869" s="84" t="str">
        <x:v>OS-2025-00868</x:v>
      </x:c>
      <x:c r="C869" s="84" t="n">
        <x:v>6</x:v>
      </x:c>
      <x:c r="D869" s="84" t="n">
        <x:v>7</x:v>
      </x:c>
      <x:c r="E869" s="84" t="n">
        <x:v>12</x:v>
      </x:c>
      <x:c r="F869" s="89" t="n">
        <x:v>45778.643645833334</x:v>
      </x:c>
      <x:c r="G869" s="89" t="n">
        <x:v>45780.643645833334</x:v>
      </x:c>
      <x:c r="H869" s="89" t="n">
        <x:v>45778.72697916667</x:v>
      </x:c>
      <x:c r="I869" s="89" t="n">
        <x:v>45778.768645833334</x:v>
      </x:c>
      <x:c r="J869" s="84" t="str">
        <x:v>Baixa</x:v>
      </x:c>
      <x:c r="K869" s="84" t="str">
        <x:v>Concluída</x:v>
      </x:c>
      <x:c r="L869" s="84" t="str">
        <x:v>Falha elétrica</x:v>
      </x:c>
      <x:c r="M869" s="84" t="str">
        <x:v>Componente danificado</x:v>
      </x:c>
      <x:c r="N869" s="84" t="str">
        <x:v>Componente ajustado ou substituído</x:v>
      </x:c>
      <x:c r="O869" s="84" t="n">
        <x:v>0</x:v>
      </x:c>
      <x:c r="P869" s="93" t="n">
        <x:v>724.72</x:v>
      </x:c>
      <x:c r="Q869" s="93" t="n">
        <x:v>3873.96</x:v>
      </x:c>
      <x:c r="R869" s="91" t="n">
        <x:v>0</x:v>
      </x:c>
    </x:row>
    <x:row r="870">
      <x:c r="A870" s="83" t="n">
        <x:v>869</x:v>
      </x:c>
      <x:c r="B870" s="84" t="str">
        <x:v>OS-2024-00869</x:v>
      </x:c>
      <x:c r="C870" s="84" t="n">
        <x:v>79</x:v>
      </x:c>
      <x:c r="D870" s="84" t="n">
        <x:v>2</x:v>
      </x:c>
      <x:c r="E870" s="84"/>
      <x:c r="F870" s="89" t="n">
        <x:v>45361.95072916667</x:v>
      </x:c>
      <x:c r="G870" s="89" t="n">
        <x:v>45366.95072916667</x:v>
      </x:c>
      <x:c r="H870" s="89"/>
      <x:c r="I870" s="89"/>
      <x:c r="J870" s="84" t="str">
        <x:v>Crítica</x:v>
      </x:c>
      <x:c r="K870" s="84" t="str">
        <x:v>Planejada</x:v>
      </x:c>
      <x:c r="L870" s="84" t="str">
        <x:v>Alarme intermitente</x:v>
      </x:c>
      <x:c r="M870" s="84"/>
      <x:c r="N870" s="84"/>
      <x:c r="O870" s="84" t="n">
        <x:v>0</x:v>
      </x:c>
      <x:c r="P870" s="93" t="n">
        <x:v>0</x:v>
      </x:c>
      <x:c r="Q870" s="93" t="n">
        <x:v>0</x:v>
      </x:c>
      <x:c r="R870" s="91" t="n">
        <x:v>0</x:v>
      </x:c>
    </x:row>
    <x:row r="871">
      <x:c r="A871" s="83" t="n">
        <x:v>870</x:v>
      </x:c>
      <x:c r="B871" s="84" t="str">
        <x:v>OS-2024-00870</x:v>
      </x:c>
      <x:c r="C871" s="84" t="n">
        <x:v>56</x:v>
      </x:c>
      <x:c r="D871" s="84" t="n">
        <x:v>1</x:v>
      </x:c>
      <x:c r="E871" s="84" t="n">
        <x:v>112</x:v>
      </x:c>
      <x:c r="F871" s="89" t="n">
        <x:v>45394.81234953704</x:v>
      </x:c>
      <x:c r="G871" s="89" t="n">
        <x:v>45401.81234953704</x:v>
      </x:c>
      <x:c r="H871" s="89" t="n">
        <x:v>45397.020682870374</x:v>
      </x:c>
      <x:c r="I871" s="89" t="n">
        <x:v>45397.1040162037</x:v>
      </x:c>
      <x:c r="J871" s="84" t="str">
        <x:v>Média</x:v>
      </x:c>
      <x:c r="K871" s="84" t="str">
        <x:v>Encerrada</x:v>
      </x:c>
      <x:c r="L871" s="84" t="str">
        <x:v>Vazamento</x:v>
      </x:c>
      <x:c r="M871" s="84" t="str">
        <x:v>Ajuste incorreto</x:v>
      </x:c>
      <x:c r="N871" s="84" t="str">
        <x:v>Componente ajustado ou substituído</x:v>
      </x:c>
      <x:c r="O871" s="84" t="n">
        <x:v>0</x:v>
      </x:c>
      <x:c r="P871" s="93" t="n">
        <x:v>617.49</x:v>
      </x:c>
      <x:c r="Q871" s="93" t="n">
        <x:v>5950.56</x:v>
      </x:c>
      <x:c r="R871" s="91" t="n">
        <x:v>0</x:v>
      </x:c>
    </x:row>
    <x:row r="872">
      <x:c r="A872" s="83" t="n">
        <x:v>871</x:v>
      </x:c>
      <x:c r="B872" s="84" t="str">
        <x:v>OS-2025-00871</x:v>
      </x:c>
      <x:c r="C872" s="84" t="n">
        <x:v>51</x:v>
      </x:c>
      <x:c r="D872" s="84" t="n">
        <x:v>1</x:v>
      </x:c>
      <x:c r="E872" s="84" t="n">
        <x:v>102</x:v>
      </x:c>
      <x:c r="F872" s="89" t="n">
        <x:v>45773.652708333335</x:v>
      </x:c>
      <x:c r="G872" s="89" t="n">
        <x:v>45788.652708333335</x:v>
      </x:c>
      <x:c r="H872" s="89" t="n">
        <x:v>45776.027708333335</x:v>
      </x:c>
      <x:c r="I872" s="89" t="n">
        <x:v>45776.069375</x:v>
      </x:c>
      <x:c r="J872" s="84" t="str">
        <x:v>Média</x:v>
      </x:c>
      <x:c r="K872" s="84" t="str">
        <x:v>Encerrada</x:v>
      </x:c>
      <x:c r="L872" s="84" t="str">
        <x:v>Alarme intermitente</x:v>
      </x:c>
      <x:c r="M872" s="84" t="str">
        <x:v>Conexão frouxa</x:v>
      </x:c>
      <x:c r="N872" s="84" t="str">
        <x:v>Componente ajustado ou substituído</x:v>
      </x:c>
      <x:c r="O872" s="84" t="n">
        <x:v>0</x:v>
      </x:c>
      <x:c r="P872" s="93" t="n">
        <x:v>452.59</x:v>
      </x:c>
      <x:c r="Q872" s="93" t="n">
        <x:v>6372.06</x:v>
      </x:c>
      <x:c r="R872" s="91" t="n">
        <x:v>0</x:v>
      </x:c>
    </x:row>
    <x:row r="873">
      <x:c r="A873" s="83" t="n">
        <x:v>872</x:v>
      </x:c>
      <x:c r="B873" s="84" t="str">
        <x:v>OS-2024-00872</x:v>
      </x:c>
      <x:c r="C873" s="84" t="n">
        <x:v>34</x:v>
      </x:c>
      <x:c r="D873" s="84" t="n">
        <x:v>3</x:v>
      </x:c>
      <x:c r="E873" s="84"/>
      <x:c r="F873" s="89" t="n">
        <x:v>45489.41085648148</x:v>
      </x:c>
      <x:c r="G873" s="89"/>
      <x:c r="H873" s="89" t="n">
        <x:v>45491.452523148146</x:v>
      </x:c>
      <x:c r="I873" s="89" t="n">
        <x:v>45491.74418981482</x:v>
      </x:c>
      <x:c r="J873" s="84" t="str">
        <x:v>Média</x:v>
      </x:c>
      <x:c r="K873" s="84" t="str">
        <x:v>Concluída</x:v>
      </x:c>
      <x:c r="L873" s="84" t="str">
        <x:v>Vazamento</x:v>
      </x:c>
      <x:c r="M873" s="84" t="str">
        <x:v>Desgaste natural</x:v>
      </x:c>
      <x:c r="N873" s="84" t="str">
        <x:v>Componente ajustado ou substituído</x:v>
      </x:c>
      <x:c r="O873" s="84" t="n">
        <x:v>0</x:v>
      </x:c>
      <x:c r="P873" s="93" t="n">
        <x:v>720.02</x:v>
      </x:c>
      <x:c r="Q873" s="93" t="n">
        <x:v>0</x:v>
      </x:c>
      <x:c r="R873" s="91" t="n">
        <x:v>0</x:v>
      </x:c>
    </x:row>
    <x:row r="874">
      <x:c r="A874" s="83" t="n">
        <x:v>873</x:v>
      </x:c>
      <x:c r="B874" s="84" t="str">
        <x:v>OS-2024-00873</x:v>
      </x:c>
      <x:c r="C874" s="84" t="n">
        <x:v>29</x:v>
      </x:c>
      <x:c r="D874" s="84" t="n">
        <x:v>2</x:v>
      </x:c>
      <x:c r="E874" s="84"/>
      <x:c r="F874" s="89" t="n">
        <x:v>45625.76329861111</x:v>
      </x:c>
      <x:c r="G874" s="89" t="n">
        <x:v>45626.76329861111</x:v>
      </x:c>
      <x:c r="H874" s="89"/>
      <x:c r="I874" s="89"/>
      <x:c r="J874" s="84" t="str">
        <x:v>Baixa</x:v>
      </x:c>
      <x:c r="K874" s="84" t="str">
        <x:v>Planejada</x:v>
      </x:c>
      <x:c r="L874" s="84" t="str">
        <x:v>Alarme intermitente</x:v>
      </x:c>
      <x:c r="M874" s="84"/>
      <x:c r="N874" s="84"/>
      <x:c r="O874" s="84" t="n">
        <x:v>0</x:v>
      </x:c>
      <x:c r="P874" s="93" t="n">
        <x:v>0</x:v>
      </x:c>
      <x:c r="Q874" s="93" t="n">
        <x:v>0</x:v>
      </x:c>
      <x:c r="R874" s="91" t="n">
        <x:v>0</x:v>
      </x:c>
    </x:row>
    <x:row r="875">
      <x:c r="A875" s="83" t="n">
        <x:v>874</x:v>
      </x:c>
      <x:c r="B875" s="84" t="str">
        <x:v>OS-2025-00874</x:v>
      </x:c>
      <x:c r="C875" s="84" t="n">
        <x:v>18</x:v>
      </x:c>
      <x:c r="D875" s="84" t="n">
        <x:v>1</x:v>
      </x:c>
      <x:c r="E875" s="84" t="n">
        <x:v>36</x:v>
      </x:c>
      <x:c r="F875" s="89" t="n">
        <x:v>45975.89969907407</x:v>
      </x:c>
      <x:c r="G875" s="89" t="n">
        <x:v>45979.89969907407</x:v>
      </x:c>
      <x:c r="H875" s="89" t="n">
        <x:v>45978.44136574074</x:v>
      </x:c>
      <x:c r="I875" s="89" t="n">
        <x:v>45979.23303240741</x:v>
      </x:c>
      <x:c r="J875" s="84" t="str">
        <x:v>Crítica</x:v>
      </x:c>
      <x:c r="K875" s="84" t="str">
        <x:v>Encerrada</x:v>
      </x:c>
      <x:c r="L875" s="84" t="str">
        <x:v>Desalinhamento</x:v>
      </x:c>
      <x:c r="M875" s="84" t="str">
        <x:v>Componente danificado</x:v>
      </x:c>
      <x:c r="N875" s="84" t="str">
        <x:v>Componente ajustado ou substituído</x:v>
      </x:c>
      <x:c r="O875" s="84" t="n">
        <x:v>0</x:v>
      </x:c>
      <x:c r="P875" s="93" t="n">
        <x:v>863.58</x:v>
      </x:c>
      <x:c r="Q875" s="93" t="n">
        <x:v>0</x:v>
      </x:c>
      <x:c r="R875" s="91" t="n">
        <x:v>0</x:v>
      </x:c>
    </x:row>
    <x:row r="876">
      <x:c r="A876" s="83" t="n">
        <x:v>875</x:v>
      </x:c>
      <x:c r="B876" s="84" t="str">
        <x:v>OS-2025-00875</x:v>
      </x:c>
      <x:c r="C876" s="84" t="n">
        <x:v>72</x:v>
      </x:c>
      <x:c r="D876" s="84" t="n">
        <x:v>8</x:v>
      </x:c>
      <x:c r="E876" s="84"/>
      <x:c r="F876" s="89" t="n">
        <x:v>45667.80633101852</x:v>
      </x:c>
      <x:c r="G876" s="89" t="n">
        <x:v>45670.80633101852</x:v>
      </x:c>
      <x:c r="H876" s="89" t="n">
        <x:v>45668.26466435185</x:v>
      </x:c>
      <x:c r="I876" s="89" t="n">
        <x:v>45668.38966435185</x:v>
      </x:c>
      <x:c r="J876" s="84" t="str">
        <x:v>Crítica</x:v>
      </x:c>
      <x:c r="K876" s="84" t="str">
        <x:v>Encerrada</x:v>
      </x:c>
      <x:c r="L876" s="84" t="str">
        <x:v>Superaquecimento</x:v>
      </x:c>
      <x:c r="M876" s="84" t="str">
        <x:v>Componente danificado</x:v>
      </x:c>
      <x:c r="N876" s="84" t="str">
        <x:v>Componente ajustado ou substituído</x:v>
      </x:c>
      <x:c r="O876" s="84" t="n">
        <x:v>0</x:v>
      </x:c>
      <x:c r="P876" s="93" t="n">
        <x:v>637.03</x:v>
      </x:c>
      <x:c r="Q876" s="93" t="n">
        <x:v>0</x:v>
      </x:c>
      <x:c r="R876" s="91" t="n">
        <x:v>12890.27</x:v>
      </x:c>
    </x:row>
    <x:row r="877">
      <x:c r="A877" s="83" t="n">
        <x:v>876</x:v>
      </x:c>
      <x:c r="B877" s="84" t="str">
        <x:v>OS-2023-00876</x:v>
      </x:c>
      <x:c r="C877" s="84" t="n">
        <x:v>45</x:v>
      </x:c>
      <x:c r="D877" s="84" t="n">
        <x:v>1</x:v>
      </x:c>
      <x:c r="E877" s="84" t="n">
        <x:v>89</x:v>
      </x:c>
      <x:c r="F877" s="89" t="n">
        <x:v>45212.225648148145</x:v>
      </x:c>
      <x:c r="G877" s="89" t="n">
        <x:v>45225.225648148145</x:v>
      </x:c>
      <x:c r="H877" s="89" t="n">
        <x:v>45213.725648148145</x:v>
      </x:c>
      <x:c r="I877" s="89" t="n">
        <x:v>45214.100648148145</x:v>
      </x:c>
      <x:c r="J877" s="84" t="str">
        <x:v>Baixa</x:v>
      </x:c>
      <x:c r="K877" s="84" t="str">
        <x:v>Concluída</x:v>
      </x:c>
      <x:c r="L877" s="84" t="str">
        <x:v>Alarme intermitente</x:v>
      </x:c>
      <x:c r="M877" s="84" t="str">
        <x:v>Ajuste incorreto</x:v>
      </x:c>
      <x:c r="N877" s="84" t="str">
        <x:v>Componente ajustado ou substituído</x:v>
      </x:c>
      <x:c r="O877" s="84" t="n">
        <x:v>0</x:v>
      </x:c>
      <x:c r="P877" s="93" t="n">
        <x:v>413.54</x:v>
      </x:c>
      <x:c r="Q877" s="93" t="n">
        <x:v>7958.34</x:v>
      </x:c>
      <x:c r="R877" s="91" t="n">
        <x:v>0</x:v>
      </x:c>
    </x:row>
    <x:row r="878">
      <x:c r="A878" s="83" t="n">
        <x:v>877</x:v>
      </x:c>
      <x:c r="B878" s="84" t="str">
        <x:v>OS-2024-00877</x:v>
      </x:c>
      <x:c r="C878" s="84" t="n">
        <x:v>76</x:v>
      </x:c>
      <x:c r="D878" s="84" t="n">
        <x:v>1</x:v>
      </x:c>
      <x:c r="E878" s="84" t="n">
        <x:v>151</x:v>
      </x:c>
      <x:c r="F878" s="89" t="n">
        <x:v>45292.474490740744</x:v>
      </x:c>
      <x:c r="G878" s="89" t="n">
        <x:v>45305.474490740744</x:v>
      </x:c>
      <x:c r="H878" s="89"/>
      <x:c r="I878" s="89"/>
      <x:c r="J878" s="84" t="str">
        <x:v>Baixa</x:v>
      </x:c>
      <x:c r="K878" s="84" t="str">
        <x:v>Cancelada</x:v>
      </x:c>
      <x:c r="L878" s="84" t="str">
        <x:v>Falha elétrica</x:v>
      </x:c>
      <x:c r="M878" s="84"/>
      <x:c r="N878" s="84"/>
      <x:c r="O878" s="84" t="n">
        <x:v>0</x:v>
      </x:c>
      <x:c r="P878" s="93" t="n">
        <x:v>0</x:v>
      </x:c>
      <x:c r="Q878" s="93" t="n">
        <x:v>0</x:v>
      </x:c>
      <x:c r="R878" s="91" t="n">
        <x:v>0</x:v>
      </x:c>
    </x:row>
    <x:row r="879">
      <x:c r="A879" s="83" t="n">
        <x:v>878</x:v>
      </x:c>
      <x:c r="B879" s="84" t="str">
        <x:v>OS-2025-00878</x:v>
      </x:c>
      <x:c r="C879" s="84" t="n">
        <x:v>64</x:v>
      </x:c>
      <x:c r="D879" s="84" t="n">
        <x:v>7</x:v>
      </x:c>
      <x:c r="E879" s="84" t="n">
        <x:v>127</x:v>
      </x:c>
      <x:c r="F879" s="89" t="n">
        <x:v>45679.565358796295</x:v>
      </x:c>
      <x:c r="G879" s="89" t="n">
        <x:v>45684.565358796295</x:v>
      </x:c>
      <x:c r="H879" s="89" t="n">
        <x:v>45682.35702546296</x:v>
      </x:c>
      <x:c r="I879" s="89" t="n">
        <x:v>45682.73202546296</x:v>
      </x:c>
      <x:c r="J879" s="84" t="str">
        <x:v>Crítica</x:v>
      </x:c>
      <x:c r="K879" s="84" t="str">
        <x:v>Encerrada</x:v>
      </x:c>
      <x:c r="L879" s="84" t="str">
        <x:v>Falha elétrica</x:v>
      </x:c>
      <x:c r="M879" s="84" t="str">
        <x:v>Falta de lubrificação</x:v>
      </x:c>
      <x:c r="N879" s="84" t="str">
        <x:v>Componente ajustado ou substituído</x:v>
      </x:c>
      <x:c r="O879" s="84" t="n">
        <x:v>0</x:v>
      </x:c>
      <x:c r="P879" s="93" t="n">
        <x:v>369.42</x:v>
      </x:c>
      <x:c r="Q879" s="93" t="n">
        <x:v>6193.86</x:v>
      </x:c>
      <x:c r="R879" s="91" t="n">
        <x:v>0</x:v>
      </x:c>
    </x:row>
    <x:row r="880">
      <x:c r="A880" s="83" t="n">
        <x:v>879</x:v>
      </x:c>
      <x:c r="B880" s="84" t="str">
        <x:v>OS-2025-00879</x:v>
      </x:c>
      <x:c r="C880" s="84" t="n">
        <x:v>24</x:v>
      </x:c>
      <x:c r="D880" s="84" t="n">
        <x:v>3</x:v>
      </x:c>
      <x:c r="E880" s="84"/>
      <x:c r="F880" s="89" t="n">
        <x:v>45837.51855324074</x:v>
      </x:c>
      <x:c r="G880" s="89"/>
      <x:c r="H880" s="89"/>
      <x:c r="I880" s="89"/>
      <x:c r="J880" s="84" t="str">
        <x:v>Alta</x:v>
      </x:c>
      <x:c r="K880" s="84" t="str">
        <x:v>Planejada</x:v>
      </x:c>
      <x:c r="L880" s="84" t="str">
        <x:v>Superaquecimento</x:v>
      </x:c>
      <x:c r="M880" s="84"/>
      <x:c r="N880" s="84"/>
      <x:c r="O880" s="84" t="n">
        <x:v>0</x:v>
      </x:c>
      <x:c r="P880" s="93" t="n">
        <x:v>0</x:v>
      </x:c>
      <x:c r="Q880" s="93" t="n">
        <x:v>0</x:v>
      </x:c>
      <x:c r="R880" s="91" t="n">
        <x:v>0</x:v>
      </x:c>
    </x:row>
    <x:row r="881">
      <x:c r="A881" s="83" t="n">
        <x:v>880</x:v>
      </x:c>
      <x:c r="B881" s="84" t="str">
        <x:v>OS-2023-00880</x:v>
      </x:c>
      <x:c r="C881" s="84" t="n">
        <x:v>22</x:v>
      </x:c>
      <x:c r="D881" s="84" t="n">
        <x:v>3</x:v>
      </x:c>
      <x:c r="E881" s="84"/>
      <x:c r="F881" s="89" t="n">
        <x:v>45100.29295138889</x:v>
      </x:c>
      <x:c r="G881" s="89"/>
      <x:c r="H881" s="89"/>
      <x:c r="I881" s="89"/>
      <x:c r="J881" s="84" t="str">
        <x:v>Baixa</x:v>
      </x:c>
      <x:c r="K881" s="84" t="str">
        <x:v>Cancelada</x:v>
      </x:c>
      <x:c r="L881" s="84" t="str">
        <x:v>Ruído anormal</x:v>
      </x:c>
      <x:c r="M881" s="84"/>
      <x:c r="N881" s="84"/>
      <x:c r="O881" s="84" t="n">
        <x:v>1</x:v>
      </x:c>
      <x:c r="P881" s="93" t="n">
        <x:v>0</x:v>
      </x:c>
      <x:c r="Q881" s="93" t="n">
        <x:v>0</x:v>
      </x:c>
      <x:c r="R881" s="91" t="n">
        <x:v>0</x:v>
      </x:c>
    </x:row>
    <x:row r="882">
      <x:c r="A882" s="83" t="n">
        <x:v>881</x:v>
      </x:c>
      <x:c r="B882" s="84" t="str">
        <x:v>OS-2024-00881</x:v>
      </x:c>
      <x:c r="C882" s="84" t="n">
        <x:v>33</x:v>
      </x:c>
      <x:c r="D882" s="84" t="n">
        <x:v>1</x:v>
      </x:c>
      <x:c r="E882" s="84" t="n">
        <x:v>66</x:v>
      </x:c>
      <x:c r="F882" s="89" t="n">
        <x:v>45625.71971064815</x:v>
      </x:c>
      <x:c r="G882" s="89" t="n">
        <x:v>45636.71971064815</x:v>
      </x:c>
      <x:c r="H882" s="89" t="n">
        <x:v>45627.34471064815</x:v>
      </x:c>
      <x:c r="I882" s="89" t="n">
        <x:v>45628.01137731481</x:v>
      </x:c>
      <x:c r="J882" s="84" t="str">
        <x:v>Alta</x:v>
      </x:c>
      <x:c r="K882" s="84" t="str">
        <x:v>Encerrada</x:v>
      </x:c>
      <x:c r="L882" s="84" t="str">
        <x:v>Baixa pressão</x:v>
      </x:c>
      <x:c r="M882" s="84" t="str">
        <x:v>Componente danificado</x:v>
      </x:c>
      <x:c r="N882" s="84" t="str">
        <x:v>Componente ajustado ou substituído</x:v>
      </x:c>
      <x:c r="O882" s="84" t="n">
        <x:v>0</x:v>
      </x:c>
      <x:c r="P882" s="93" t="n">
        <x:v>98.29</x:v>
      </x:c>
      <x:c r="Q882" s="93" t="n">
        <x:v>0</x:v>
      </x:c>
      <x:c r="R882" s="91" t="n">
        <x:v>0</x:v>
      </x:c>
    </x:row>
    <x:row r="883">
      <x:c r="A883" s="83" t="n">
        <x:v>882</x:v>
      </x:c>
      <x:c r="B883" s="84" t="str">
        <x:v>OS-2025-00882</x:v>
      </x:c>
      <x:c r="C883" s="84" t="n">
        <x:v>52</x:v>
      </x:c>
      <x:c r="D883" s="84" t="n">
        <x:v>1</x:v>
      </x:c>
      <x:c r="E883" s="84" t="n">
        <x:v>104</x:v>
      </x:c>
      <x:c r="F883" s="89" t="n">
        <x:v>45695.51880787037</x:v>
      </x:c>
      <x:c r="G883" s="89" t="n">
        <x:v>45705.51880787037</x:v>
      </x:c>
      <x:c r="H883" s="89" t="n">
        <x:v>45695.89380787037</x:v>
      </x:c>
      <x:c r="I883" s="89" t="n">
        <x:v>45696.6021412037</x:v>
      </x:c>
      <x:c r="J883" s="84" t="str">
        <x:v>Média</x:v>
      </x:c>
      <x:c r="K883" s="84" t="str">
        <x:v>Encerrada</x:v>
      </x:c>
      <x:c r="L883" s="84" t="str">
        <x:v>Falha elétrica</x:v>
      </x:c>
      <x:c r="M883" s="84" t="str">
        <x:v>Desgaste natural</x:v>
      </x:c>
      <x:c r="N883" s="84" t="str">
        <x:v>Componente ajustado ou substituído</x:v>
      </x:c>
      <x:c r="O883" s="84" t="n">
        <x:v>0</x:v>
      </x:c>
      <x:c r="P883" s="93" t="n">
        <x:v>143.52</x:v>
      </x:c>
      <x:c r="Q883" s="93" t="n">
        <x:v>0</x:v>
      </x:c>
      <x:c r="R883" s="91" t="n">
        <x:v>0</x:v>
      </x:c>
    </x:row>
    <x:row r="884">
      <x:c r="A884" s="83" t="n">
        <x:v>883</x:v>
      </x:c>
      <x:c r="B884" s="84" t="str">
        <x:v>OS-2023-00883</x:v>
      </x:c>
      <x:c r="C884" s="84" t="n">
        <x:v>22</x:v>
      </x:c>
      <x:c r="D884" s="84" t="n">
        <x:v>5</x:v>
      </x:c>
      <x:c r="E884" s="84" t="n">
        <x:v>43</x:v>
      </x:c>
      <x:c r="F884" s="89" t="n">
        <x:v>45157.94744212963</x:v>
      </x:c>
      <x:c r="G884" s="89" t="n">
        <x:v>45160.94744212963</x:v>
      </x:c>
      <x:c r="H884" s="89" t="n">
        <x:v>45160.03077546296</x:v>
      </x:c>
      <x:c r="I884" s="89" t="n">
        <x:v>45160.44744212963</x:v>
      </x:c>
      <x:c r="J884" s="84" t="str">
        <x:v>Média</x:v>
      </x:c>
      <x:c r="K884" s="84" t="str">
        <x:v>Encerrada</x:v>
      </x:c>
      <x:c r="L884" s="84" t="str">
        <x:v>Vazamento</x:v>
      </x:c>
      <x:c r="M884" s="84" t="str">
        <x:v>Contaminação</x:v>
      </x:c>
      <x:c r="N884" s="84" t="str">
        <x:v>Componente ajustado ou substituído</x:v>
      </x:c>
      <x:c r="O884" s="84" t="n">
        <x:v>1</x:v>
      </x:c>
      <x:c r="P884" s="93" t="n">
        <x:v>360</x:v>
      </x:c>
      <x:c r="Q884" s="93" t="n">
        <x:v>5999.4</x:v>
      </x:c>
      <x:c r="R884" s="91" t="n">
        <x:v>0</x:v>
      </x:c>
    </x:row>
    <x:row r="885">
      <x:c r="A885" s="83" t="n">
        <x:v>884</x:v>
      </x:c>
      <x:c r="B885" s="84" t="str">
        <x:v>OS-2024-00884</x:v>
      </x:c>
      <x:c r="C885" s="84" t="n">
        <x:v>48</x:v>
      </x:c>
      <x:c r="D885" s="84" t="n">
        <x:v>3</x:v>
      </x:c>
      <x:c r="E885" s="84"/>
      <x:c r="F885" s="89" t="n">
        <x:v>45597.31452546296</x:v>
      </x:c>
      <x:c r="G885" s="89"/>
      <x:c r="H885" s="89" t="n">
        <x:v>45600.18952546296</x:v>
      </x:c>
      <x:c r="I885" s="89" t="n">
        <x:v>45600.81452546296</x:v>
      </x:c>
      <x:c r="J885" s="84" t="str">
        <x:v>Baixa</x:v>
      </x:c>
      <x:c r="K885" s="84" t="str">
        <x:v>Concluída</x:v>
      </x:c>
      <x:c r="L885" s="84" t="str">
        <x:v>Superaquecimento</x:v>
      </x:c>
      <x:c r="M885" s="84" t="str">
        <x:v>Desgaste natural</x:v>
      </x:c>
      <x:c r="N885" s="84" t="str">
        <x:v>Componente ajustado ou substituído</x:v>
      </x:c>
      <x:c r="O885" s="84" t="n">
        <x:v>0</x:v>
      </x:c>
      <x:c r="P885" s="93" t="n">
        <x:v>315.25</x:v>
      </x:c>
      <x:c r="Q885" s="93" t="n">
        <x:v>2677.04</x:v>
      </x:c>
      <x:c r="R885" s="91" t="n">
        <x:v>0</x:v>
      </x:c>
    </x:row>
    <x:row r="886">
      <x:c r="A886" s="83" t="n">
        <x:v>885</x:v>
      </x:c>
      <x:c r="B886" s="84" t="str">
        <x:v>OS-2023-00885</x:v>
      </x:c>
      <x:c r="C886" s="84" t="n">
        <x:v>17</x:v>
      </x:c>
      <x:c r="D886" s="84" t="n">
        <x:v>1</x:v>
      </x:c>
      <x:c r="E886" s="84" t="n">
        <x:v>33</x:v>
      </x:c>
      <x:c r="F886" s="89" t="n">
        <x:v>45089.416446759256</x:v>
      </x:c>
      <x:c r="G886" s="89" t="n">
        <x:v>45096.416446759256</x:v>
      </x:c>
      <x:c r="H886" s="89" t="n">
        <x:v>45090.37478009259</x:v>
      </x:c>
      <x:c r="I886" s="89" t="n">
        <x:v>45091.20811342593</x:v>
      </x:c>
      <x:c r="J886" s="84" t="str">
        <x:v>Crítica</x:v>
      </x:c>
      <x:c r="K886" s="84" t="str">
        <x:v>Encerrada</x:v>
      </x:c>
      <x:c r="L886" s="84" t="str">
        <x:v>Desalinhamento</x:v>
      </x:c>
      <x:c r="M886" s="84" t="str">
        <x:v>Componente danificado</x:v>
      </x:c>
      <x:c r="N886" s="84" t="str">
        <x:v>Componente ajustado ou substituído</x:v>
      </x:c>
      <x:c r="O886" s="84" t="n">
        <x:v>0</x:v>
      </x:c>
      <x:c r="P886" s="93" t="n">
        <x:v>528.89</x:v>
      </x:c>
      <x:c r="Q886" s="93" t="n">
        <x:v>1813.25</x:v>
      </x:c>
      <x:c r="R886" s="91" t="n">
        <x:v>0</x:v>
      </x:c>
    </x:row>
    <x:row r="887">
      <x:c r="A887" s="83" t="n">
        <x:v>886</x:v>
      </x:c>
      <x:c r="B887" s="84" t="str">
        <x:v>OS-2024-00886</x:v>
      </x:c>
      <x:c r="C887" s="84" t="n">
        <x:v>82</x:v>
      </x:c>
      <x:c r="D887" s="84" t="n">
        <x:v>1</x:v>
      </x:c>
      <x:c r="E887" s="84" t="n">
        <x:v>164</x:v>
      </x:c>
      <x:c r="F887" s="89" t="n">
        <x:v>45636.0328125</x:v>
      </x:c>
      <x:c r="G887" s="89" t="n">
        <x:v>45650.0328125</x:v>
      </x:c>
      <x:c r="H887" s="89" t="n">
        <x:v>45638.11614583333</x:v>
      </x:c>
      <x:c r="I887" s="89" t="n">
        <x:v>45638.449479166666</x:v>
      </x:c>
      <x:c r="J887" s="84" t="str">
        <x:v>Crítica</x:v>
      </x:c>
      <x:c r="K887" s="84" t="str">
        <x:v>Encerrada</x:v>
      </x:c>
      <x:c r="L887" s="84" t="str">
        <x:v>Baixa pressão</x:v>
      </x:c>
      <x:c r="M887" s="84" t="str">
        <x:v>Contaminação</x:v>
      </x:c>
      <x:c r="N887" s="84" t="str">
        <x:v>Componente ajustado ou substituído</x:v>
      </x:c>
      <x:c r="O887" s="84" t="n">
        <x:v>0</x:v>
      </x:c>
      <x:c r="P887" s="93" t="n">
        <x:v>272.84</x:v>
      </x:c>
      <x:c r="Q887" s="93" t="n">
        <x:v>10778.17</x:v>
      </x:c>
      <x:c r="R887" s="91" t="n">
        <x:v>8404.24</x:v>
      </x:c>
    </x:row>
    <x:row r="888">
      <x:c r="A888" s="83" t="n">
        <x:v>887</x:v>
      </x:c>
      <x:c r="B888" s="84" t="str">
        <x:v>OS-2025-00887</x:v>
      </x:c>
      <x:c r="C888" s="84" t="n">
        <x:v>73</x:v>
      </x:c>
      <x:c r="D888" s="84" t="n">
        <x:v>9</x:v>
      </x:c>
      <x:c r="E888" s="84"/>
      <x:c r="F888" s="89" t="n">
        <x:v>45981.85769675926</x:v>
      </x:c>
      <x:c r="G888" s="89" t="n">
        <x:v>45991.85769675926</x:v>
      </x:c>
      <x:c r="H888" s="89" t="n">
        <x:v>45983.35769675926</x:v>
      </x:c>
      <x:c r="I888" s="89"/>
      <x:c r="J888" s="84" t="str">
        <x:v>Média</x:v>
      </x:c>
      <x:c r="K888" s="84" t="str">
        <x:v>Aguardando peça</x:v>
      </x:c>
      <x:c r="L888" s="84" t="str">
        <x:v>Baixa pressão</x:v>
      </x:c>
      <x:c r="M888" s="84" t="str">
        <x:v>Conexão frouxa</x:v>
      </x:c>
      <x:c r="N888" s="84"/>
      <x:c r="O888" s="84" t="n">
        <x:v>0</x:v>
      </x:c>
      <x:c r="P888" s="93" t="n">
        <x:v>376.27</x:v>
      </x:c>
      <x:c r="Q888" s="93" t="n">
        <x:v>11724.24</x:v>
      </x:c>
      <x:c r="R888" s="91" t="n">
        <x:v>0</x:v>
      </x:c>
    </x:row>
    <x:row r="889">
      <x:c r="A889" s="83" t="n">
        <x:v>888</x:v>
      </x:c>
      <x:c r="B889" s="84" t="str">
        <x:v>OS-2024-00888</x:v>
      </x:c>
      <x:c r="C889" s="84" t="n">
        <x:v>36</x:v>
      </x:c>
      <x:c r="D889" s="84" t="n">
        <x:v>5</x:v>
      </x:c>
      <x:c r="E889" s="84" t="n">
        <x:v>71</x:v>
      </x:c>
      <x:c r="F889" s="89" t="n">
        <x:v>45305.36863425926</x:v>
      </x:c>
      <x:c r="G889" s="89" t="n">
        <x:v>45316.36863425926</x:v>
      </x:c>
      <x:c r="H889" s="89" t="n">
        <x:v>45306.95196759259</x:v>
      </x:c>
      <x:c r="I889" s="89" t="n">
        <x:v>45307.36863425926</x:v>
      </x:c>
      <x:c r="J889" s="84" t="str">
        <x:v>Média</x:v>
      </x:c>
      <x:c r="K889" s="84" t="str">
        <x:v>Encerrada</x:v>
      </x:c>
      <x:c r="L889" s="84" t="str">
        <x:v>Falha elétrica</x:v>
      </x:c>
      <x:c r="M889" s="84" t="str">
        <x:v>Componente danificado</x:v>
      </x:c>
      <x:c r="N889" s="84" t="str">
        <x:v>Componente ajustado ou substituído</x:v>
      </x:c>
      <x:c r="O889" s="84" t="n">
        <x:v>0</x:v>
      </x:c>
      <x:c r="P889" s="93" t="n">
        <x:v>258.42</x:v>
      </x:c>
      <x:c r="Q889" s="93" t="n">
        <x:v>4113.93</x:v>
      </x:c>
      <x:c r="R889" s="91" t="n">
        <x:v>0</x:v>
      </x:c>
    </x:row>
    <x:row r="890">
      <x:c r="A890" s="83" t="n">
        <x:v>889</x:v>
      </x:c>
      <x:c r="B890" s="84" t="str">
        <x:v>OS-2025-00889</x:v>
      </x:c>
      <x:c r="C890" s="84" t="n">
        <x:v>44</x:v>
      </x:c>
      <x:c r="D890" s="84" t="n">
        <x:v>1</x:v>
      </x:c>
      <x:c r="E890" s="84" t="n">
        <x:v>87</x:v>
      </x:c>
      <x:c r="F890" s="89" t="n">
        <x:v>45678.63092592593</x:v>
      </x:c>
      <x:c r="G890" s="89" t="n">
        <x:v>45683.63092592593</x:v>
      </x:c>
      <x:c r="H890" s="89" t="n">
        <x:v>45679.67259259259</x:v>
      </x:c>
      <x:c r="I890" s="89" t="n">
        <x:v>45679.83925925926</x:v>
      </x:c>
      <x:c r="J890" s="84" t="str">
        <x:v>Média</x:v>
      </x:c>
      <x:c r="K890" s="84" t="str">
        <x:v>Concluída</x:v>
      </x:c>
      <x:c r="L890" s="84" t="str">
        <x:v>Ruído anormal</x:v>
      </x:c>
      <x:c r="M890" s="84" t="str">
        <x:v>Conexão frouxa</x:v>
      </x:c>
      <x:c r="N890" s="84" t="str">
        <x:v>Componente ajustado ou substituído</x:v>
      </x:c>
      <x:c r="O890" s="84" t="n">
        <x:v>0</x:v>
      </x:c>
      <x:c r="P890" s="93" t="n">
        <x:v>838.32</x:v>
      </x:c>
      <x:c r="Q890" s="93" t="n">
        <x:v>5152.8</x:v>
      </x:c>
      <x:c r="R890" s="91" t="n">
        <x:v>0</x:v>
      </x:c>
    </x:row>
    <x:row r="891">
      <x:c r="A891" s="83" t="n">
        <x:v>890</x:v>
      </x:c>
      <x:c r="B891" s="84" t="str">
        <x:v>OS-2024-00890</x:v>
      </x:c>
      <x:c r="C891" s="84" t="n">
        <x:v>19</x:v>
      </x:c>
      <x:c r="D891" s="84" t="n">
        <x:v>5</x:v>
      </x:c>
      <x:c r="E891" s="84" t="n">
        <x:v>37</x:v>
      </x:c>
      <x:c r="F891" s="89" t="n">
        <x:v>45331.97460648148</x:v>
      </x:c>
      <x:c r="G891" s="89" t="n">
        <x:v>45345.97460648148</x:v>
      </x:c>
      <x:c r="H891" s="89" t="n">
        <x:v>45334.97460648148</x:v>
      </x:c>
      <x:c r="I891" s="89" t="n">
        <x:v>45335.14127314815</x:v>
      </x:c>
      <x:c r="J891" s="84" t="str">
        <x:v>Baixa</x:v>
      </x:c>
      <x:c r="K891" s="84" t="str">
        <x:v>Encerrada</x:v>
      </x:c>
      <x:c r="L891" s="84" t="str">
        <x:v>Falha elétrica</x:v>
      </x:c>
      <x:c r="M891" s="84" t="str">
        <x:v>Contaminação</x:v>
      </x:c>
      <x:c r="N891" s="84" t="str">
        <x:v>Componente ajustado ou substituído</x:v>
      </x:c>
      <x:c r="O891" s="84" t="n">
        <x:v>0</x:v>
      </x:c>
      <x:c r="P891" s="93" t="n">
        <x:v>337.32</x:v>
      </x:c>
      <x:c r="Q891" s="93" t="n">
        <x:v>6300.24</x:v>
      </x:c>
      <x:c r="R891" s="91" t="n">
        <x:v>0</x:v>
      </x:c>
    </x:row>
    <x:row r="892">
      <x:c r="A892" s="83" t="n">
        <x:v>891</x:v>
      </x:c>
      <x:c r="B892" s="84" t="str">
        <x:v>OS-2023-00891</x:v>
      </x:c>
      <x:c r="C892" s="84" t="n">
        <x:v>47</x:v>
      </x:c>
      <x:c r="D892" s="84" t="n">
        <x:v>1</x:v>
      </x:c>
      <x:c r="E892" s="84" t="n">
        <x:v>93</x:v>
      </x:c>
      <x:c r="F892" s="89" t="n">
        <x:v>45080.14498842593</x:v>
      </x:c>
      <x:c r="G892" s="89" t="n">
        <x:v>45090.14498842593</x:v>
      </x:c>
      <x:c r="H892" s="89" t="n">
        <x:v>45080.39498842593</x:v>
      </x:c>
      <x:c r="I892" s="89" t="n">
        <x:v>45080.853321759256</x:v>
      </x:c>
      <x:c r="J892" s="84" t="str">
        <x:v>Crítica</x:v>
      </x:c>
      <x:c r="K892" s="84" t="str">
        <x:v>Concluída</x:v>
      </x:c>
      <x:c r="L892" s="84" t="str">
        <x:v>Baixa pressão</x:v>
      </x:c>
      <x:c r="M892" s="84" t="str">
        <x:v>Componente danificado</x:v>
      </x:c>
      <x:c r="N892" s="84" t="str">
        <x:v>Componente ajustado ou substituído</x:v>
      </x:c>
      <x:c r="O892" s="84" t="n">
        <x:v>0</x:v>
      </x:c>
      <x:c r="P892" s="93" t="n">
        <x:v>158.51</x:v>
      </x:c>
      <x:c r="Q892" s="93" t="n">
        <x:v>5571.47</x:v>
      </x:c>
      <x:c r="R892" s="91" t="n">
        <x:v>0</x:v>
      </x:c>
    </x:row>
    <x:row r="893">
      <x:c r="A893" s="83" t="n">
        <x:v>892</x:v>
      </x:c>
      <x:c r="B893" s="84" t="str">
        <x:v>OS-2025-00892</x:v>
      </x:c>
      <x:c r="C893" s="84" t="n">
        <x:v>48</x:v>
      </x:c>
      <x:c r="D893" s="84" t="n">
        <x:v>1</x:v>
      </x:c>
      <x:c r="E893" s="84" t="n">
        <x:v>96</x:v>
      </x:c>
      <x:c r="F893" s="89" t="n">
        <x:v>45856.60392361111</x:v>
      </x:c>
      <x:c r="G893" s="89" t="n">
        <x:v>45861.60392361111</x:v>
      </x:c>
      <x:c r="H893" s="89"/>
      <x:c r="I893" s="89"/>
      <x:c r="J893" s="84" t="str">
        <x:v>Alta</x:v>
      </x:c>
      <x:c r="K893" s="84" t="str">
        <x:v>Planejada</x:v>
      </x:c>
      <x:c r="L893" s="84" t="str">
        <x:v>Desalinhamento</x:v>
      </x:c>
      <x:c r="M893" s="84"/>
      <x:c r="N893" s="84"/>
      <x:c r="O893" s="84" t="n">
        <x:v>0</x:v>
      </x:c>
      <x:c r="P893" s="93" t="n">
        <x:v>0</x:v>
      </x:c>
      <x:c r="Q893" s="93" t="n">
        <x:v>0</x:v>
      </x:c>
      <x:c r="R893" s="91" t="n">
        <x:v>0</x:v>
      </x:c>
    </x:row>
    <x:row r="894">
      <x:c r="A894" s="83" t="n">
        <x:v>893</x:v>
      </x:c>
      <x:c r="B894" s="84" t="str">
        <x:v>OS-2025-00893</x:v>
      </x:c>
      <x:c r="C894" s="84" t="n">
        <x:v>74</x:v>
      </x:c>
      <x:c r="D894" s="84" t="n">
        <x:v>3</x:v>
      </x:c>
      <x:c r="E894" s="84"/>
      <x:c r="F894" s="89" t="n">
        <x:v>45729.66550925926</x:v>
      </x:c>
      <x:c r="G894" s="89"/>
      <x:c r="H894" s="89" t="n">
        <x:v>45729.87384259259</x:v>
      </x:c>
      <x:c r="I894" s="89" t="n">
        <x:v>45730.29050925926</x:v>
      </x:c>
      <x:c r="J894" s="84" t="str">
        <x:v>Baixa</x:v>
      </x:c>
      <x:c r="K894" s="84" t="str">
        <x:v>Encerrada</x:v>
      </x:c>
      <x:c r="L894" s="84" t="str">
        <x:v>Vazamento</x:v>
      </x:c>
      <x:c r="M894" s="84" t="str">
        <x:v>Contaminação</x:v>
      </x:c>
      <x:c r="N894" s="84" t="str">
        <x:v>Componente ajustado ou substituído</x:v>
      </x:c>
      <x:c r="O894" s="84" t="n">
        <x:v>0</x:v>
      </x:c>
      <x:c r="P894" s="93" t="n">
        <x:v>134.55</x:v>
      </x:c>
      <x:c r="Q894" s="93" t="n">
        <x:v>1656.35</x:v>
      </x:c>
      <x:c r="R894" s="91" t="n">
        <x:v>0</x:v>
      </x:c>
    </x:row>
    <x:row r="895">
      <x:c r="A895" s="83" t="n">
        <x:v>894</x:v>
      </x:c>
      <x:c r="B895" s="84" t="str">
        <x:v>OS-2025-00894</x:v>
      </x:c>
      <x:c r="C895" s="84" t="n">
        <x:v>7</x:v>
      </x:c>
      <x:c r="D895" s="84" t="n">
        <x:v>1</x:v>
      </x:c>
      <x:c r="E895" s="84" t="n">
        <x:v>13</x:v>
      </x:c>
      <x:c r="F895" s="89" t="n">
        <x:v>45829.66324074074</x:v>
      </x:c>
      <x:c r="G895" s="89" t="n">
        <x:v>45829.66324074074</x:v>
      </x:c>
      <x:c r="H895" s="89"/>
      <x:c r="I895" s="89"/>
      <x:c r="J895" s="84" t="str">
        <x:v>Crítica</x:v>
      </x:c>
      <x:c r="K895" s="84" t="str">
        <x:v>Planejada</x:v>
      </x:c>
      <x:c r="L895" s="84" t="str">
        <x:v>Falha elétrica</x:v>
      </x:c>
      <x:c r="M895" s="84"/>
      <x:c r="N895" s="84"/>
      <x:c r="O895" s="84" t="n">
        <x:v>0</x:v>
      </x:c>
      <x:c r="P895" s="93" t="n">
        <x:v>0</x:v>
      </x:c>
      <x:c r="Q895" s="93" t="n">
        <x:v>0</x:v>
      </x:c>
      <x:c r="R895" s="91" t="n">
        <x:v>0</x:v>
      </x:c>
    </x:row>
    <x:row r="896">
      <x:c r="A896" s="83" t="n">
        <x:v>895</x:v>
      </x:c>
      <x:c r="B896" s="84" t="str">
        <x:v>OS-2023-00895</x:v>
      </x:c>
      <x:c r="C896" s="84" t="n">
        <x:v>43</x:v>
      </x:c>
      <x:c r="D896" s="84" t="n">
        <x:v>1</x:v>
      </x:c>
      <x:c r="E896" s="84" t="n">
        <x:v>85</x:v>
      </x:c>
      <x:c r="F896" s="89" t="n">
        <x:v>45257.17638888889</x:v>
      </x:c>
      <x:c r="G896" s="89" t="n">
        <x:v>45257.17638888889</x:v>
      </x:c>
      <x:c r="H896" s="89" t="n">
        <x:v>45257.384722222225</x:v>
      </x:c>
      <x:c r="I896" s="89" t="n">
        <x:v>45257.46805555555</x:v>
      </x:c>
      <x:c r="J896" s="84" t="str">
        <x:v>Baixa</x:v>
      </x:c>
      <x:c r="K896" s="84" t="str">
        <x:v>Concluída</x:v>
      </x:c>
      <x:c r="L896" s="84" t="str">
        <x:v>Desalinhamento</x:v>
      </x:c>
      <x:c r="M896" s="84" t="str">
        <x:v>Ajuste incorreto</x:v>
      </x:c>
      <x:c r="N896" s="84" t="str">
        <x:v>Componente ajustado ou substituído</x:v>
      </x:c>
      <x:c r="O896" s="84" t="n">
        <x:v>0</x:v>
      </x:c>
      <x:c r="P896" s="93" t="n">
        <x:v>103.78</x:v>
      </x:c>
      <x:c r="Q896" s="93" t="n">
        <x:v>0</x:v>
      </x:c>
      <x:c r="R896" s="91" t="n">
        <x:v>0</x:v>
      </x:c>
    </x:row>
    <x:row r="897">
      <x:c r="A897" s="83" t="n">
        <x:v>896</x:v>
      </x:c>
      <x:c r="B897" s="84" t="str">
        <x:v>OS-2023-00896</x:v>
      </x:c>
      <x:c r="C897" s="84" t="n">
        <x:v>45</x:v>
      </x:c>
      <x:c r="D897" s="84" t="n">
        <x:v>3</x:v>
      </x:c>
      <x:c r="E897" s="84"/>
      <x:c r="F897" s="89" t="n">
        <x:v>45069.98001157407</x:v>
      </x:c>
      <x:c r="G897" s="89"/>
      <x:c r="H897" s="89" t="n">
        <x:v>45072.23001157407</x:v>
      </x:c>
      <x:c r="I897" s="89" t="n">
        <x:v>45072.646678240744</x:v>
      </x:c>
      <x:c r="J897" s="84" t="str">
        <x:v>Baixa</x:v>
      </x:c>
      <x:c r="K897" s="84" t="str">
        <x:v>Encerrada</x:v>
      </x:c>
      <x:c r="L897" s="84" t="str">
        <x:v>Vazamento</x:v>
      </x:c>
      <x:c r="M897" s="84" t="str">
        <x:v>Falta de lubrificação</x:v>
      </x:c>
      <x:c r="N897" s="84" t="str">
        <x:v>Componente ajustado ou substituído</x:v>
      </x:c>
      <x:c r="O897" s="84" t="n">
        <x:v>0</x:v>
      </x:c>
      <x:c r="P897" s="93" t="n">
        <x:v>578.22</x:v>
      </x:c>
      <x:c r="Q897" s="93" t="n">
        <x:v>5528.76</x:v>
      </x:c>
      <x:c r="R897" s="91" t="n">
        <x:v>0</x:v>
      </x:c>
    </x:row>
    <x:row r="898">
      <x:c r="A898" s="83" t="n">
        <x:v>897</x:v>
      </x:c>
      <x:c r="B898" s="84" t="str">
        <x:v>OS-2023-00897</x:v>
      </x:c>
      <x:c r="C898" s="84" t="n">
        <x:v>41</x:v>
      </x:c>
      <x:c r="D898" s="84" t="n">
        <x:v>1</x:v>
      </x:c>
      <x:c r="E898" s="84" t="n">
        <x:v>82</x:v>
      </x:c>
      <x:c r="F898" s="89" t="n">
        <x:v>45001.544270833336</x:v>
      </x:c>
      <x:c r="G898" s="89" t="n">
        <x:v>45016.544270833336</x:v>
      </x:c>
      <x:c r="H898" s="89" t="n">
        <x:v>45001.752604166664</x:v>
      </x:c>
      <x:c r="I898" s="89" t="n">
        <x:v>45001.877604166664</x:v>
      </x:c>
      <x:c r="J898" s="84" t="str">
        <x:v>Média</x:v>
      </x:c>
      <x:c r="K898" s="84" t="str">
        <x:v>Encerrada</x:v>
      </x:c>
      <x:c r="L898" s="84" t="str">
        <x:v>Desalinhamento</x:v>
      </x:c>
      <x:c r="M898" s="84" t="str">
        <x:v>Contaminação</x:v>
      </x:c>
      <x:c r="N898" s="84" t="str">
        <x:v>Componente ajustado ou substituído</x:v>
      </x:c>
      <x:c r="O898" s="84" t="n">
        <x:v>0</x:v>
      </x:c>
      <x:c r="P898" s="93" t="n">
        <x:v>524.36</x:v>
      </x:c>
      <x:c r="Q898" s="93" t="n">
        <x:v>2351.96</x:v>
      </x:c>
      <x:c r="R898" s="91" t="n">
        <x:v>12196.54</x:v>
      </x:c>
    </x:row>
    <x:row r="899">
      <x:c r="A899" s="83" t="n">
        <x:v>898</x:v>
      </x:c>
      <x:c r="B899" s="84" t="str">
        <x:v>OS-2025-00898</x:v>
      </x:c>
      <x:c r="C899" s="84" t="n">
        <x:v>48</x:v>
      </x:c>
      <x:c r="D899" s="84" t="n">
        <x:v>3</x:v>
      </x:c>
      <x:c r="E899" s="84"/>
      <x:c r="F899" s="89" t="n">
        <x:v>45996.617314814815</x:v>
      </x:c>
      <x:c r="G899" s="89"/>
      <x:c r="H899" s="89"/>
      <x:c r="I899" s="89"/>
      <x:c r="J899" s="84" t="str">
        <x:v>Crítica</x:v>
      </x:c>
      <x:c r="K899" s="84" t="str">
        <x:v>Planejada</x:v>
      </x:c>
      <x:c r="L899" s="84" t="str">
        <x:v>Superaquecimento</x:v>
      </x:c>
      <x:c r="M899" s="84"/>
      <x:c r="N899" s="84"/>
      <x:c r="O899" s="84" t="n">
        <x:v>1</x:v>
      </x:c>
      <x:c r="P899" s="93" t="n">
        <x:v>0</x:v>
      </x:c>
      <x:c r="Q899" s="93" t="n">
        <x:v>0</x:v>
      </x:c>
      <x:c r="R899" s="91" t="n">
        <x:v>0</x:v>
      </x:c>
    </x:row>
    <x:row r="900">
      <x:c r="A900" s="83" t="n">
        <x:v>899</x:v>
      </x:c>
      <x:c r="B900" s="84" t="str">
        <x:v>OS-2025-00899</x:v>
      </x:c>
      <x:c r="C900" s="84" t="n">
        <x:v>62</x:v>
      </x:c>
      <x:c r="D900" s="84" t="n">
        <x:v>2</x:v>
      </x:c>
      <x:c r="E900" s="84"/>
      <x:c r="F900" s="89" t="n">
        <x:v>45857.93429398148</x:v>
      </x:c>
      <x:c r="G900" s="89" t="n">
        <x:v>45862.93429398148</x:v>
      </x:c>
      <x:c r="H900" s="89" t="n">
        <x:v>45859.93429398148</x:v>
      </x:c>
      <x:c r="I900" s="89" t="n">
        <x:v>45860.475960648146</x:v>
      </x:c>
      <x:c r="J900" s="84" t="str">
        <x:v>Média</x:v>
      </x:c>
      <x:c r="K900" s="84" t="str">
        <x:v>Encerrada</x:v>
      </x:c>
      <x:c r="L900" s="84" t="str">
        <x:v>Alarme intermitente</x:v>
      </x:c>
      <x:c r="M900" s="84" t="str">
        <x:v>Falta de lubrificação</x:v>
      </x:c>
      <x:c r="N900" s="84" t="str">
        <x:v>Componente ajustado ou substituído</x:v>
      </x:c>
      <x:c r="O900" s="84" t="n">
        <x:v>0</x:v>
      </x:c>
      <x:c r="P900" s="93" t="n">
        <x:v>187.37</x:v>
      </x:c>
      <x:c r="Q900" s="93" t="n">
        <x:v>4582.83</x:v>
      </x:c>
      <x:c r="R900" s="91" t="n">
        <x:v>0</x:v>
      </x:c>
    </x:row>
    <x:row r="901">
      <x:c r="A901" s="83" t="n">
        <x:v>900</x:v>
      </x:c>
      <x:c r="B901" s="84" t="str">
        <x:v>OS-2023-00900</x:v>
      </x:c>
      <x:c r="C901" s="84" t="n">
        <x:v>32</x:v>
      </x:c>
      <x:c r="D901" s="84" t="n">
        <x:v>1</x:v>
      </x:c>
      <x:c r="E901" s="84" t="n">
        <x:v>64</x:v>
      </x:c>
      <x:c r="F901" s="89" t="n">
        <x:v>45124.89543981481</x:v>
      </x:c>
      <x:c r="G901" s="89" t="n">
        <x:v>45127.89543981481</x:v>
      </x:c>
      <x:c r="H901" s="89" t="n">
        <x:v>45125.437106481484</x:v>
      </x:c>
      <x:c r="I901" s="89" t="n">
        <x:v>45125.77043981481</x:v>
      </x:c>
      <x:c r="J901" s="84" t="str">
        <x:v>Baixa</x:v>
      </x:c>
      <x:c r="K901" s="84" t="str">
        <x:v>Encerrada</x:v>
      </x:c>
      <x:c r="L901" s="84" t="str">
        <x:v>Ruído anormal</x:v>
      </x:c>
      <x:c r="M901" s="84" t="str">
        <x:v>Componente danificado</x:v>
      </x:c>
      <x:c r="N901" s="84" t="str">
        <x:v>Componente ajustado ou substituído</x:v>
      </x:c>
      <x:c r="O901" s="84" t="n">
        <x:v>0</x:v>
      </x:c>
      <x:c r="P901" s="93" t="n">
        <x:v>79.49</x:v>
      </x:c>
      <x:c r="Q901" s="93" t="n">
        <x:v>10272.48</x:v>
      </x:c>
      <x:c r="R901" s="91" t="n">
        <x:v>0</x:v>
      </x:c>
    </x:row>
    <x:row r="902">
      <x:c r="A902" s="83" t="n">
        <x:v>901</x:v>
      </x:c>
      <x:c r="B902" s="84" t="str">
        <x:v>OS-2023-00901</x:v>
      </x:c>
      <x:c r="C902" s="84" t="n">
        <x:v>51</x:v>
      </x:c>
      <x:c r="D902" s="84" t="n">
        <x:v>1</x:v>
      </x:c>
      <x:c r="E902" s="84" t="n">
        <x:v>102</x:v>
      </x:c>
      <x:c r="F902" s="89" t="n">
        <x:v>45225.31047453704</x:v>
      </x:c>
      <x:c r="G902" s="89" t="n">
        <x:v>45227.31047453704</x:v>
      </x:c>
      <x:c r="H902" s="89" t="n">
        <x:v>45226.6021412037</x:v>
      </x:c>
      <x:c r="I902" s="89"/>
      <x:c r="J902" s="84" t="str">
        <x:v>Baixa</x:v>
      </x:c>
      <x:c r="K902" s="84" t="str">
        <x:v>Aguardando peça</x:v>
      </x:c>
      <x:c r="L902" s="84" t="str">
        <x:v>Alarme intermitente</x:v>
      </x:c>
      <x:c r="M902" s="84" t="str">
        <x:v>Componente danificado</x:v>
      </x:c>
      <x:c r="N902" s="84"/>
      <x:c r="O902" s="84" t="n">
        <x:v>0</x:v>
      </x:c>
      <x:c r="P902" s="93" t="n">
        <x:v>439.74</x:v>
      </x:c>
      <x:c r="Q902" s="93" t="n">
        <x:v>0</x:v>
      </x:c>
      <x:c r="R902" s="91" t="n">
        <x:v>0</x:v>
      </x:c>
    </x:row>
    <x:row r="903">
      <x:c r="A903" s="83" t="n">
        <x:v>902</x:v>
      </x:c>
      <x:c r="B903" s="84" t="str">
        <x:v>OS-2024-00902</x:v>
      </x:c>
      <x:c r="C903" s="84" t="n">
        <x:v>18</x:v>
      </x:c>
      <x:c r="D903" s="84" t="n">
        <x:v>9</x:v>
      </x:c>
      <x:c r="E903" s="84"/>
      <x:c r="F903" s="89" t="n">
        <x:v>45299.59627314815</x:v>
      </x:c>
      <x:c r="G903" s="89" t="n">
        <x:v>45309.59627314815</x:v>
      </x:c>
      <x:c r="H903" s="89" t="n">
        <x:v>45301.429606481484</x:v>
      </x:c>
      <x:c r="I903" s="89" t="n">
        <x:v>45301.88793981481</x:v>
      </x:c>
      <x:c r="J903" s="84" t="str">
        <x:v>Média</x:v>
      </x:c>
      <x:c r="K903" s="84" t="str">
        <x:v>Encerrada</x:v>
      </x:c>
      <x:c r="L903" s="84" t="str">
        <x:v>Baixa pressão</x:v>
      </x:c>
      <x:c r="M903" s="84" t="str">
        <x:v>Desgaste natural</x:v>
      </x:c>
      <x:c r="N903" s="84" t="str">
        <x:v>Componente ajustado ou substituído</x:v>
      </x:c>
      <x:c r="O903" s="84" t="n">
        <x:v>0</x:v>
      </x:c>
      <x:c r="P903" s="93" t="n">
        <x:v>593.7</x:v>
      </x:c>
      <x:c r="Q903" s="93" t="n">
        <x:v>4849.52</x:v>
      </x:c>
      <x:c r="R903" s="91" t="n">
        <x:v>0</x:v>
      </x:c>
    </x:row>
    <x:row r="904">
      <x:c r="A904" s="83" t="n">
        <x:v>903</x:v>
      </x:c>
      <x:c r="B904" s="84" t="str">
        <x:v>OS-2024-00903</x:v>
      </x:c>
      <x:c r="C904" s="84" t="n">
        <x:v>36</x:v>
      </x:c>
      <x:c r="D904" s="84" t="n">
        <x:v>4</x:v>
      </x:c>
      <x:c r="E904" s="84"/>
      <x:c r="F904" s="89" t="n">
        <x:v>45655.25371527778</x:v>
      </x:c>
      <x:c r="G904" s="89" t="n">
        <x:v>45660.25371527778</x:v>
      </x:c>
      <x:c r="H904" s="89" t="n">
        <x:v>45655.96204861111</x:v>
      </x:c>
      <x:c r="I904" s="89"/>
      <x:c r="J904" s="84" t="str">
        <x:v>Média</x:v>
      </x:c>
      <x:c r="K904" s="84" t="str">
        <x:v>Em execução</x:v>
      </x:c>
      <x:c r="L904" s="84" t="str">
        <x:v>Vazamento</x:v>
      </x:c>
      <x:c r="M904" s="84" t="str">
        <x:v>Ajuste incorreto</x:v>
      </x:c>
      <x:c r="N904" s="84"/>
      <x:c r="O904" s="84" t="n">
        <x:v>0</x:v>
      </x:c>
      <x:c r="P904" s="93" t="n">
        <x:v>663.17</x:v>
      </x:c>
      <x:c r="Q904" s="93" t="n">
        <x:v>12831.95</x:v>
      </x:c>
      <x:c r="R904" s="91" t="n">
        <x:v>0</x:v>
      </x:c>
    </x:row>
    <x:row r="905">
      <x:c r="A905" s="83" t="n">
        <x:v>904</x:v>
      </x:c>
      <x:c r="B905" s="84" t="str">
        <x:v>OS-2025-00904</x:v>
      </x:c>
      <x:c r="C905" s="84" t="n">
        <x:v>49</x:v>
      </x:c>
      <x:c r="D905" s="84" t="n">
        <x:v>1</x:v>
      </x:c>
      <x:c r="E905" s="84" t="n">
        <x:v>97</x:v>
      </x:c>
      <x:c r="F905" s="89" t="n">
        <x:v>45861.458344907405</x:v>
      </x:c>
      <x:c r="G905" s="89" t="n">
        <x:v>45874.458344907405</x:v>
      </x:c>
      <x:c r="H905" s="89" t="n">
        <x:v>45861.91667824074</x:v>
      </x:c>
      <x:c r="I905" s="89" t="n">
        <x:v>45862.25001157408</x:v>
      </x:c>
      <x:c r="J905" s="84" t="str">
        <x:v>Baixa</x:v>
      </x:c>
      <x:c r="K905" s="84" t="str">
        <x:v>Encerrada</x:v>
      </x:c>
      <x:c r="L905" s="84" t="str">
        <x:v>Ruído anormal</x:v>
      </x:c>
      <x:c r="M905" s="84" t="str">
        <x:v>Conexão frouxa</x:v>
      </x:c>
      <x:c r="N905" s="84" t="str">
        <x:v>Componente ajustado ou substituído</x:v>
      </x:c>
      <x:c r="O905" s="84" t="n">
        <x:v>0</x:v>
      </x:c>
      <x:c r="P905" s="93" t="n">
        <x:v>685.1</x:v>
      </x:c>
      <x:c r="Q905" s="93" t="n">
        <x:v>0</x:v>
      </x:c>
      <x:c r="R905" s="91" t="n">
        <x:v>10425.79</x:v>
      </x:c>
    </x:row>
    <x:row r="906">
      <x:c r="A906" s="83" t="n">
        <x:v>905</x:v>
      </x:c>
      <x:c r="B906" s="84" t="str">
        <x:v>OS-2025-00905</x:v>
      </x:c>
      <x:c r="C906" s="84" t="n">
        <x:v>55</x:v>
      </x:c>
      <x:c r="D906" s="84" t="n">
        <x:v>5</x:v>
      </x:c>
      <x:c r="E906" s="84" t="n">
        <x:v>110</x:v>
      </x:c>
      <x:c r="F906" s="89" t="n">
        <x:v>45779.50115740741</x:v>
      </x:c>
      <x:c r="G906" s="89" t="n">
        <x:v>45792.50115740741</x:v>
      </x:c>
      <x:c r="H906" s="89" t="n">
        <x:v>45779.58449074074</x:v>
      </x:c>
      <x:c r="I906" s="89"/>
      <x:c r="J906" s="84" t="str">
        <x:v>Crítica</x:v>
      </x:c>
      <x:c r="K906" s="84" t="str">
        <x:v>Em execução</x:v>
      </x:c>
      <x:c r="L906" s="84" t="str">
        <x:v>Superaquecimento</x:v>
      </x:c>
      <x:c r="M906" s="84" t="str">
        <x:v>Conexão frouxa</x:v>
      </x:c>
      <x:c r="N906" s="84"/>
      <x:c r="O906" s="84" t="n">
        <x:v>0</x:v>
      </x:c>
      <x:c r="P906" s="93" t="n">
        <x:v>309.9</x:v>
      </x:c>
      <x:c r="Q906" s="93" t="n">
        <x:v>3032.9</x:v>
      </x:c>
      <x:c r="R906" s="91" t="n">
        <x:v>0</x:v>
      </x:c>
    </x:row>
    <x:row r="907">
      <x:c r="A907" s="83" t="n">
        <x:v>906</x:v>
      </x:c>
      <x:c r="B907" s="84" t="str">
        <x:v>OS-2023-00906</x:v>
      </x:c>
      <x:c r="C907" s="84" t="n">
        <x:v>38</x:v>
      </x:c>
      <x:c r="D907" s="84" t="n">
        <x:v>4</x:v>
      </x:c>
      <x:c r="E907" s="84"/>
      <x:c r="F907" s="89" t="n">
        <x:v>45264.87893518519</x:v>
      </x:c>
      <x:c r="G907" s="89" t="n">
        <x:v>45268.87893518519</x:v>
      </x:c>
      <x:c r="H907" s="89"/>
      <x:c r="I907" s="89"/>
      <x:c r="J907" s="84" t="str">
        <x:v>Alta</x:v>
      </x:c>
      <x:c r="K907" s="84" t="str">
        <x:v>Planejada</x:v>
      </x:c>
      <x:c r="L907" s="84" t="str">
        <x:v>Falha elétrica</x:v>
      </x:c>
      <x:c r="M907" s="84"/>
      <x:c r="N907" s="84"/>
      <x:c r="O907" s="84" t="n">
        <x:v>0</x:v>
      </x:c>
      <x:c r="P907" s="93" t="n">
        <x:v>0</x:v>
      </x:c>
      <x:c r="Q907" s="93" t="n">
        <x:v>0</x:v>
      </x:c>
      <x:c r="R907" s="91" t="n">
        <x:v>0</x:v>
      </x:c>
    </x:row>
    <x:row r="908">
      <x:c r="A908" s="83" t="n">
        <x:v>907</x:v>
      </x:c>
      <x:c r="B908" s="84" t="str">
        <x:v>OS-2024-00907</x:v>
      </x:c>
      <x:c r="C908" s="84" t="n">
        <x:v>41</x:v>
      </x:c>
      <x:c r="D908" s="84" t="n">
        <x:v>7</x:v>
      </x:c>
      <x:c r="E908" s="84" t="n">
        <x:v>82</x:v>
      </x:c>
      <x:c r="F908" s="89" t="n">
        <x:v>45360.77306712963</x:v>
      </x:c>
      <x:c r="G908" s="89" t="n">
        <x:v>45369.77306712963</x:v>
      </x:c>
      <x:c r="H908" s="89" t="n">
        <x:v>45363.439733796295</x:v>
      </x:c>
      <x:c r="I908" s="89"/>
      <x:c r="J908" s="84" t="str">
        <x:v>Média</x:v>
      </x:c>
      <x:c r="K908" s="84" t="str">
        <x:v>Aguardando peça</x:v>
      </x:c>
      <x:c r="L908" s="84" t="str">
        <x:v>Baixa pressão</x:v>
      </x:c>
      <x:c r="M908" s="84" t="str">
        <x:v>Ajuste incorreto</x:v>
      </x:c>
      <x:c r="N908" s="84"/>
      <x:c r="O908" s="84" t="n">
        <x:v>0</x:v>
      </x:c>
      <x:c r="P908" s="93" t="n">
        <x:v>619.34</x:v>
      </x:c>
      <x:c r="Q908" s="93" t="n">
        <x:v>2035.04</x:v>
      </x:c>
      <x:c r="R908" s="91" t="n">
        <x:v>0</x:v>
      </x:c>
    </x:row>
    <x:row r="909">
      <x:c r="A909" s="83" t="n">
        <x:v>908</x:v>
      </x:c>
      <x:c r="B909" s="84" t="str">
        <x:v>OS-2024-00908</x:v>
      </x:c>
      <x:c r="C909" s="84" t="n">
        <x:v>19</x:v>
      </x:c>
      <x:c r="D909" s="84" t="n">
        <x:v>5</x:v>
      </x:c>
      <x:c r="E909" s="84" t="n">
        <x:v>38</x:v>
      </x:c>
      <x:c r="F909" s="89" t="n">
        <x:v>45385.743576388886</x:v>
      </x:c>
      <x:c r="G909" s="89" t="n">
        <x:v>45392.743576388886</x:v>
      </x:c>
      <x:c r="H909" s="89" t="n">
        <x:v>45386.20190972222</x:v>
      </x:c>
      <x:c r="I909" s="89" t="n">
        <x:v>45386.368576388886</x:v>
      </x:c>
      <x:c r="J909" s="84" t="str">
        <x:v>Crítica</x:v>
      </x:c>
      <x:c r="K909" s="84" t="str">
        <x:v>Concluída</x:v>
      </x:c>
      <x:c r="L909" s="84" t="str">
        <x:v>Superaquecimento</x:v>
      </x:c>
      <x:c r="M909" s="84" t="str">
        <x:v>Falta de lubrificação</x:v>
      </x:c>
      <x:c r="N909" s="84" t="str">
        <x:v>Componente ajustado ou substituído</x:v>
      </x:c>
      <x:c r="O909" s="84" t="n">
        <x:v>0</x:v>
      </x:c>
      <x:c r="P909" s="93" t="n">
        <x:v>769.45</x:v>
      </x:c>
      <x:c r="Q909" s="93" t="n">
        <x:v>6664.76</x:v>
      </x:c>
      <x:c r="R909" s="91" t="n">
        <x:v>0</x:v>
      </x:c>
    </x:row>
    <x:row r="910">
      <x:c r="A910" s="83" t="n">
        <x:v>909</x:v>
      </x:c>
      <x:c r="B910" s="84" t="str">
        <x:v>OS-2023-00909</x:v>
      </x:c>
      <x:c r="C910" s="84" t="n">
        <x:v>33</x:v>
      </x:c>
      <x:c r="D910" s="84" t="n">
        <x:v>7</x:v>
      </x:c>
      <x:c r="E910" s="84" t="n">
        <x:v>65</x:v>
      </x:c>
      <x:c r="F910" s="89" t="n">
        <x:v>45228.735601851855</x:v>
      </x:c>
      <x:c r="G910" s="89" t="n">
        <x:v>45228.735601851855</x:v>
      </x:c>
      <x:c r="H910" s="89" t="n">
        <x:v>45230.77726851852</x:v>
      </x:c>
      <x:c r="I910" s="89" t="n">
        <x:v>45231.52726851852</x:v>
      </x:c>
      <x:c r="J910" s="84" t="str">
        <x:v>Crítica</x:v>
      </x:c>
      <x:c r="K910" s="84" t="str">
        <x:v>Encerrada</x:v>
      </x:c>
      <x:c r="L910" s="84" t="str">
        <x:v>Vazamento</x:v>
      </x:c>
      <x:c r="M910" s="84" t="str">
        <x:v>Conexão frouxa</x:v>
      </x:c>
      <x:c r="N910" s="84" t="str">
        <x:v>Componente ajustado ou substituído</x:v>
      </x:c>
      <x:c r="O910" s="84" t="n">
        <x:v>0</x:v>
      </x:c>
      <x:c r="P910" s="93" t="n">
        <x:v>197.36</x:v>
      </x:c>
      <x:c r="Q910" s="93" t="n">
        <x:v>874.86</x:v>
      </x:c>
      <x:c r="R910" s="91" t="n">
        <x:v>0</x:v>
      </x:c>
    </x:row>
    <x:row r="911">
      <x:c r="A911" s="83" t="n">
        <x:v>910</x:v>
      </x:c>
      <x:c r="B911" s="84" t="str">
        <x:v>OS-2024-00910</x:v>
      </x:c>
      <x:c r="C911" s="84" t="n">
        <x:v>68</x:v>
      </x:c>
      <x:c r="D911" s="84" t="n">
        <x:v>3</x:v>
      </x:c>
      <x:c r="E911" s="84"/>
      <x:c r="F911" s="89" t="n">
        <x:v>45505.582037037035</x:v>
      </x:c>
      <x:c r="G911" s="89"/>
      <x:c r="H911" s="89"/>
      <x:c r="I911" s="89"/>
      <x:c r="J911" s="84" t="str">
        <x:v>Alta</x:v>
      </x:c>
      <x:c r="K911" s="84" t="str">
        <x:v>Planejada</x:v>
      </x:c>
      <x:c r="L911" s="84" t="str">
        <x:v>Vazamento</x:v>
      </x:c>
      <x:c r="M911" s="84"/>
      <x:c r="N911" s="84"/>
      <x:c r="O911" s="84" t="n">
        <x:v>0</x:v>
      </x:c>
      <x:c r="P911" s="93" t="n">
        <x:v>0</x:v>
      </x:c>
      <x:c r="Q911" s="93" t="n">
        <x:v>0</x:v>
      </x:c>
      <x:c r="R911" s="91" t="n">
        <x:v>0</x:v>
      </x:c>
    </x:row>
    <x:row r="912">
      <x:c r="A912" s="83" t="n">
        <x:v>911</x:v>
      </x:c>
      <x:c r="B912" s="84" t="str">
        <x:v>OS-2024-00911</x:v>
      </x:c>
      <x:c r="C912" s="84" t="n">
        <x:v>37</x:v>
      </x:c>
      <x:c r="D912" s="84" t="n">
        <x:v>6</x:v>
      </x:c>
      <x:c r="E912" s="84"/>
      <x:c r="F912" s="89" t="n">
        <x:v>45477.46123842592</x:v>
      </x:c>
      <x:c r="G912" s="89" t="n">
        <x:v>45480.46123842592</x:v>
      </x:c>
      <x:c r="H912" s="89" t="n">
        <x:v>45480.002905092595</x:v>
      </x:c>
      <x:c r="I912" s="89" t="n">
        <x:v>45480.21123842592</x:v>
      </x:c>
      <x:c r="J912" s="84" t="str">
        <x:v>Baixa</x:v>
      </x:c>
      <x:c r="K912" s="84" t="str">
        <x:v>Encerrada</x:v>
      </x:c>
      <x:c r="L912" s="84" t="str">
        <x:v>Desalinhamento</x:v>
      </x:c>
      <x:c r="M912" s="84" t="str">
        <x:v>Ajuste incorreto</x:v>
      </x:c>
      <x:c r="N912" s="84" t="str">
        <x:v>Componente ajustado ou substituído</x:v>
      </x:c>
      <x:c r="O912" s="84" t="n">
        <x:v>0</x:v>
      </x:c>
      <x:c r="P912" s="93" t="n">
        <x:v>465.57</x:v>
      </x:c>
      <x:c r="Q912" s="93" t="n">
        <x:v>642.76</x:v>
      </x:c>
      <x:c r="R912" s="91" t="n">
        <x:v>0</x:v>
      </x:c>
    </x:row>
    <x:row r="913">
      <x:c r="A913" s="83" t="n">
        <x:v>912</x:v>
      </x:c>
      <x:c r="B913" s="84" t="str">
        <x:v>OS-2024-00912</x:v>
      </x:c>
      <x:c r="C913" s="84" t="n">
        <x:v>62</x:v>
      </x:c>
      <x:c r="D913" s="84" t="n">
        <x:v>1</x:v>
      </x:c>
      <x:c r="E913" s="84" t="n">
        <x:v>124</x:v>
      </x:c>
      <x:c r="F913" s="89" t="n">
        <x:v>45557.31028935185</x:v>
      </x:c>
      <x:c r="G913" s="89" t="n">
        <x:v>45557.31028935185</x:v>
      </x:c>
      <x:c r="H913" s="89" t="n">
        <x:v>45559.39362268519</x:v>
      </x:c>
      <x:c r="I913" s="89" t="n">
        <x:v>45559.68528935185</x:v>
      </x:c>
      <x:c r="J913" s="84" t="str">
        <x:v>Alta</x:v>
      </x:c>
      <x:c r="K913" s="84" t="str">
        <x:v>Concluída</x:v>
      </x:c>
      <x:c r="L913" s="84" t="str">
        <x:v>Desalinhamento</x:v>
      </x:c>
      <x:c r="M913" s="84" t="str">
        <x:v>Contaminação</x:v>
      </x:c>
      <x:c r="N913" s="84" t="str">
        <x:v>Componente ajustado ou substituído</x:v>
      </x:c>
      <x:c r="O913" s="84" t="n">
        <x:v>0</x:v>
      </x:c>
      <x:c r="P913" s="93" t="n">
        <x:v>79.02</x:v>
      </x:c>
      <x:c r="Q913" s="93" t="n">
        <x:v>0</x:v>
      </x:c>
      <x:c r="R913" s="91" t="n">
        <x:v>0</x:v>
      </x:c>
    </x:row>
    <x:row r="914">
      <x:c r="A914" s="83" t="n">
        <x:v>913</x:v>
      </x:c>
      <x:c r="B914" s="84" t="str">
        <x:v>OS-2024-00913</x:v>
      </x:c>
      <x:c r="C914" s="84" t="n">
        <x:v>57</x:v>
      </x:c>
      <x:c r="D914" s="84" t="n">
        <x:v>7</x:v>
      </x:c>
      <x:c r="E914" s="84" t="n">
        <x:v>113</x:v>
      </x:c>
      <x:c r="F914" s="89" t="n">
        <x:v>45551.20434027778</x:v>
      </x:c>
      <x:c r="G914" s="89" t="n">
        <x:v>45557.20434027778</x:v>
      </x:c>
      <x:c r="H914" s="89" t="n">
        <x:v>45553.32934027778</x:v>
      </x:c>
      <x:c r="I914" s="89" t="n">
        <x:v>45554.037673611114</x:v>
      </x:c>
      <x:c r="J914" s="84" t="str">
        <x:v>Alta</x:v>
      </x:c>
      <x:c r="K914" s="84" t="str">
        <x:v>Encerrada</x:v>
      </x:c>
      <x:c r="L914" s="84" t="str">
        <x:v>Superaquecimento</x:v>
      </x:c>
      <x:c r="M914" s="84" t="str">
        <x:v>Contaminação</x:v>
      </x:c>
      <x:c r="N914" s="84" t="str">
        <x:v>Componente ajustado ou substituído</x:v>
      </x:c>
      <x:c r="O914" s="84" t="n">
        <x:v>0</x:v>
      </x:c>
      <x:c r="P914" s="93" t="n">
        <x:v>569.77</x:v>
      </x:c>
      <x:c r="Q914" s="93" t="n">
        <x:v>4209.06</x:v>
      </x:c>
      <x:c r="R914" s="91" t="n">
        <x:v>0</x:v>
      </x:c>
    </x:row>
    <x:row r="915">
      <x:c r="A915" s="83" t="n">
        <x:v>914</x:v>
      </x:c>
      <x:c r="B915" s="84" t="str">
        <x:v>OS-2023-00914</x:v>
      </x:c>
      <x:c r="C915" s="84" t="n">
        <x:v>10</x:v>
      </x:c>
      <x:c r="D915" s="84" t="n">
        <x:v>1</x:v>
      </x:c>
      <x:c r="E915" s="84" t="n">
        <x:v>19</x:v>
      </x:c>
      <x:c r="F915" s="89" t="n">
        <x:v>45226.21496527778</x:v>
      </x:c>
      <x:c r="G915" s="89" t="n">
        <x:v>45237.21496527778</x:v>
      </x:c>
      <x:c r="H915" s="89" t="n">
        <x:v>45228.04829861111</x:v>
      </x:c>
      <x:c r="I915" s="89" t="n">
        <x:v>45228.67329861111</x:v>
      </x:c>
      <x:c r="J915" s="84" t="str">
        <x:v>Baixa</x:v>
      </x:c>
      <x:c r="K915" s="84" t="str">
        <x:v>Encerrada</x:v>
      </x:c>
      <x:c r="L915" s="84" t="str">
        <x:v>Falha elétrica</x:v>
      </x:c>
      <x:c r="M915" s="84" t="str">
        <x:v>Desgaste natural</x:v>
      </x:c>
      <x:c r="N915" s="84" t="str">
        <x:v>Componente ajustado ou substituído</x:v>
      </x:c>
      <x:c r="O915" s="84" t="n">
        <x:v>0</x:v>
      </x:c>
      <x:c r="P915" s="93" t="n">
        <x:v>719.9</x:v>
      </x:c>
      <x:c r="Q915" s="93" t="n">
        <x:v>4078.02</x:v>
      </x:c>
      <x:c r="R915" s="91" t="n">
        <x:v>0</x:v>
      </x:c>
    </x:row>
    <x:row r="916">
      <x:c r="A916" s="83" t="n">
        <x:v>915</x:v>
      </x:c>
      <x:c r="B916" s="84" t="str">
        <x:v>OS-2023-00915</x:v>
      </x:c>
      <x:c r="C916" s="84" t="n">
        <x:v>31</x:v>
      </x:c>
      <x:c r="D916" s="84" t="n">
        <x:v>4</x:v>
      </x:c>
      <x:c r="E916" s="84"/>
      <x:c r="F916" s="89" t="n">
        <x:v>45003.92381944445</x:v>
      </x:c>
      <x:c r="G916" s="89" t="n">
        <x:v>45007.92381944445</x:v>
      </x:c>
      <x:c r="H916" s="89" t="n">
        <x:v>45004.96548611111</x:v>
      </x:c>
      <x:c r="I916" s="89" t="n">
        <x:v>45005.04881944445</x:v>
      </x:c>
      <x:c r="J916" s="84" t="str">
        <x:v>Alta</x:v>
      </x:c>
      <x:c r="K916" s="84" t="str">
        <x:v>Encerrada</x:v>
      </x:c>
      <x:c r="L916" s="84" t="str">
        <x:v>Baixa pressão</x:v>
      </x:c>
      <x:c r="M916" s="84" t="str">
        <x:v>Ajuste incorreto</x:v>
      </x:c>
      <x:c r="N916" s="84" t="str">
        <x:v>Componente ajustado ou substituído</x:v>
      </x:c>
      <x:c r="O916" s="84" t="n">
        <x:v>0</x:v>
      </x:c>
      <x:c r="P916" s="93" t="n">
        <x:v>501.09</x:v>
      </x:c>
      <x:c r="Q916" s="93" t="n">
        <x:v>3754.44</x:v>
      </x:c>
      <x:c r="R916" s="91" t="n">
        <x:v>0</x:v>
      </x:c>
    </x:row>
    <x:row r="917">
      <x:c r="A917" s="83" t="n">
        <x:v>916</x:v>
      </x:c>
      <x:c r="B917" s="84" t="str">
        <x:v>OS-2025-00916</x:v>
      </x:c>
      <x:c r="C917" s="84" t="n">
        <x:v>84</x:v>
      </x:c>
      <x:c r="D917" s="84" t="n">
        <x:v>1</x:v>
      </x:c>
      <x:c r="E917" s="84" t="n">
        <x:v>167</x:v>
      </x:c>
      <x:c r="F917" s="89" t="n">
        <x:v>45915.900196759256</x:v>
      </x:c>
      <x:c r="G917" s="89" t="n">
        <x:v>45920.900196759256</x:v>
      </x:c>
      <x:c r="H917" s="89" t="n">
        <x:v>45916.81686342593</x:v>
      </x:c>
      <x:c r="I917" s="89"/>
      <x:c r="J917" s="84" t="str">
        <x:v>Média</x:v>
      </x:c>
      <x:c r="K917" s="84" t="str">
        <x:v>Aguardando peça</x:v>
      </x:c>
      <x:c r="L917" s="84" t="str">
        <x:v>Falha elétrica</x:v>
      </x:c>
      <x:c r="M917" s="84" t="str">
        <x:v>Falta de lubrificação</x:v>
      </x:c>
      <x:c r="N917" s="84"/>
      <x:c r="O917" s="84" t="n">
        <x:v>0</x:v>
      </x:c>
      <x:c r="P917" s="93" t="n">
        <x:v>428.07</x:v>
      </x:c>
      <x:c r="Q917" s="93" t="n">
        <x:v>0</x:v>
      </x:c>
      <x:c r="R917" s="91" t="n">
        <x:v>0</x:v>
      </x:c>
    </x:row>
    <x:row r="918">
      <x:c r="A918" s="83" t="n">
        <x:v>917</x:v>
      </x:c>
      <x:c r="B918" s="84" t="str">
        <x:v>OS-2025-00917</x:v>
      </x:c>
      <x:c r="C918" s="84" t="n">
        <x:v>4</x:v>
      </x:c>
      <x:c r="D918" s="84" t="n">
        <x:v>2</x:v>
      </x:c>
      <x:c r="E918" s="84"/>
      <x:c r="F918" s="89" t="n">
        <x:v>45686.783321759256</x:v>
      </x:c>
      <x:c r="G918" s="89" t="n">
        <x:v>45686.783321759256</x:v>
      </x:c>
      <x:c r="H918" s="89" t="n">
        <x:v>45689.24165509259</x:v>
      </x:c>
      <x:c r="I918" s="89" t="n">
        <x:v>45690.07498842593</x:v>
      </x:c>
      <x:c r="J918" s="84" t="str">
        <x:v>Baixa</x:v>
      </x:c>
      <x:c r="K918" s="84" t="str">
        <x:v>Concluída</x:v>
      </x:c>
      <x:c r="L918" s="84" t="str">
        <x:v>Falha elétrica</x:v>
      </x:c>
      <x:c r="M918" s="84" t="str">
        <x:v>Componente danificado</x:v>
      </x:c>
      <x:c r="N918" s="84" t="str">
        <x:v>Componente ajustado ou substituído</x:v>
      </x:c>
      <x:c r="O918" s="84" t="n">
        <x:v>0</x:v>
      </x:c>
      <x:c r="P918" s="93" t="n">
        <x:v>796.97</x:v>
      </x:c>
      <x:c r="Q918" s="93" t="n">
        <x:v>0</x:v>
      </x:c>
      <x:c r="R918" s="91" t="n">
        <x:v>0</x:v>
      </x:c>
    </x:row>
    <x:row r="919">
      <x:c r="A919" s="83" t="n">
        <x:v>918</x:v>
      </x:c>
      <x:c r="B919" s="84" t="str">
        <x:v>OS-2023-00918</x:v>
      </x:c>
      <x:c r="C919" s="84" t="n">
        <x:v>63</x:v>
      </x:c>
      <x:c r="D919" s="84" t="n">
        <x:v>1</x:v>
      </x:c>
      <x:c r="E919" s="84" t="n">
        <x:v>126</x:v>
      </x:c>
      <x:c r="F919" s="89" t="n">
        <x:v>45245.72678240741</x:v>
      </x:c>
      <x:c r="G919" s="89" t="n">
        <x:v>45258.72678240741</x:v>
      </x:c>
      <x:c r="H919" s="89" t="n">
        <x:v>45247.60178240741</x:v>
      </x:c>
      <x:c r="I919" s="89" t="n">
        <x:v>45248.185115740744</x:v>
      </x:c>
      <x:c r="J919" s="84" t="str">
        <x:v>Média</x:v>
      </x:c>
      <x:c r="K919" s="84" t="str">
        <x:v>Encerrada</x:v>
      </x:c>
      <x:c r="L919" s="84" t="str">
        <x:v>Alarme intermitente</x:v>
      </x:c>
      <x:c r="M919" s="84" t="str">
        <x:v>Contaminação</x:v>
      </x:c>
      <x:c r="N919" s="84" t="str">
        <x:v>Componente ajustado ou substituído</x:v>
      </x:c>
      <x:c r="O919" s="84" t="n">
        <x:v>0</x:v>
      </x:c>
      <x:c r="P919" s="93" t="n">
        <x:v>162.68</x:v>
      </x:c>
      <x:c r="Q919" s="93" t="n">
        <x:v>0</x:v>
      </x:c>
      <x:c r="R919" s="91" t="n">
        <x:v>0</x:v>
      </x:c>
    </x:row>
    <x:row r="920">
      <x:c r="A920" s="83" t="n">
        <x:v>919</x:v>
      </x:c>
      <x:c r="B920" s="84" t="str">
        <x:v>OS-2023-00919</x:v>
      </x:c>
      <x:c r="C920" s="84" t="n">
        <x:v>45</x:v>
      </x:c>
      <x:c r="D920" s="84" t="n">
        <x:v>3</x:v>
      </x:c>
      <x:c r="E920" s="84"/>
      <x:c r="F920" s="89" t="n">
        <x:v>45166.40116898148</x:v>
      </x:c>
      <x:c r="G920" s="89"/>
      <x:c r="H920" s="89" t="n">
        <x:v>45167.56783564815</x:v>
      </x:c>
      <x:c r="I920" s="89" t="n">
        <x:v>45167.984502314815</x:v>
      </x:c>
      <x:c r="J920" s="84" t="str">
        <x:v>Média</x:v>
      </x:c>
      <x:c r="K920" s="84" t="str">
        <x:v>Encerrada</x:v>
      </x:c>
      <x:c r="L920" s="84" t="str">
        <x:v>Ruído anormal</x:v>
      </x:c>
      <x:c r="M920" s="84" t="str">
        <x:v>Falta de lubrificação</x:v>
      </x:c>
      <x:c r="N920" s="84" t="str">
        <x:v>Componente ajustado ou substituído</x:v>
      </x:c>
      <x:c r="O920" s="84" t="n">
        <x:v>0</x:v>
      </x:c>
      <x:c r="P920" s="93" t="n">
        <x:v>218.06</x:v>
      </x:c>
      <x:c r="Q920" s="93" t="n">
        <x:v>1079.45</x:v>
      </x:c>
      <x:c r="R920" s="91" t="n">
        <x:v>0</x:v>
      </x:c>
    </x:row>
    <x:row r="921">
      <x:c r="A921" s="83" t="n">
        <x:v>920</x:v>
      </x:c>
      <x:c r="B921" s="84" t="str">
        <x:v>OS-2024-00920</x:v>
      </x:c>
      <x:c r="C921" s="84" t="n">
        <x:v>61</x:v>
      </x:c>
      <x:c r="D921" s="84" t="n">
        <x:v>1</x:v>
      </x:c>
      <x:c r="E921" s="84" t="n">
        <x:v>121</x:v>
      </x:c>
      <x:c r="F921" s="89" t="n">
        <x:v>45422.275925925926</x:v>
      </x:c>
      <x:c r="G921" s="89" t="n">
        <x:v>45428.275925925926</x:v>
      </x:c>
      <x:c r="H921" s="89" t="n">
        <x:v>45423.94259259259</x:v>
      </x:c>
      <x:c r="I921" s="89" t="n">
        <x:v>45424.525925925926</x:v>
      </x:c>
      <x:c r="J921" s="84" t="str">
        <x:v>Alta</x:v>
      </x:c>
      <x:c r="K921" s="84" t="str">
        <x:v>Encerrada</x:v>
      </x:c>
      <x:c r="L921" s="84" t="str">
        <x:v>Baixa pressão</x:v>
      </x:c>
      <x:c r="M921" s="84" t="str">
        <x:v>Desgaste natural</x:v>
      </x:c>
      <x:c r="N921" s="84" t="str">
        <x:v>Componente ajustado ou substituído</x:v>
      </x:c>
      <x:c r="O921" s="84" t="n">
        <x:v>0</x:v>
      </x:c>
      <x:c r="P921" s="93" t="n">
        <x:v>190.51</x:v>
      </x:c>
      <x:c r="Q921" s="93" t="n">
        <x:v>0</x:v>
      </x:c>
      <x:c r="R921" s="91" t="n">
        <x:v>0</x:v>
      </x:c>
    </x:row>
    <x:row r="922">
      <x:c r="A922" s="83" t="n">
        <x:v>921</x:v>
      </x:c>
      <x:c r="B922" s="84" t="str">
        <x:v>OS-2025-00921</x:v>
      </x:c>
      <x:c r="C922" s="84" t="n">
        <x:v>73</x:v>
      </x:c>
      <x:c r="D922" s="84" t="n">
        <x:v>5</x:v>
      </x:c>
      <x:c r="E922" s="84" t="n">
        <x:v>145</x:v>
      </x:c>
      <x:c r="F922" s="89" t="n">
        <x:v>45720.96912037037</x:v>
      </x:c>
      <x:c r="G922" s="89" t="n">
        <x:v>45723.96912037037</x:v>
      </x:c>
      <x:c r="H922" s="89" t="n">
        <x:v>45721.96912037037</x:v>
      </x:c>
      <x:c r="I922" s="89" t="n">
        <x:v>45722.71912037037</x:v>
      </x:c>
      <x:c r="J922" s="84" t="str">
        <x:v>Média</x:v>
      </x:c>
      <x:c r="K922" s="84" t="str">
        <x:v>Encerrada</x:v>
      </x:c>
      <x:c r="L922" s="84" t="str">
        <x:v>Alarme intermitente</x:v>
      </x:c>
      <x:c r="M922" s="84" t="str">
        <x:v>Conexão frouxa</x:v>
      </x:c>
      <x:c r="N922" s="84" t="str">
        <x:v>Componente ajustado ou substituído</x:v>
      </x:c>
      <x:c r="O922" s="84" t="n">
        <x:v>0</x:v>
      </x:c>
      <x:c r="P922" s="93" t="n">
        <x:v>247.67</x:v>
      </x:c>
      <x:c r="Q922" s="93" t="n">
        <x:v>5028.48</x:v>
      </x:c>
      <x:c r="R922" s="91" t="n">
        <x:v>0</x:v>
      </x:c>
    </x:row>
    <x:row r="923">
      <x:c r="A923" s="83" t="n">
        <x:v>922</x:v>
      </x:c>
      <x:c r="B923" s="84" t="str">
        <x:v>OS-2025-00922</x:v>
      </x:c>
      <x:c r="C923" s="84" t="n">
        <x:v>20</x:v>
      </x:c>
      <x:c r="D923" s="84" t="n">
        <x:v>8</x:v>
      </x:c>
      <x:c r="E923" s="84"/>
      <x:c r="F923" s="89" t="n">
        <x:v>45946.8272337963</x:v>
      </x:c>
      <x:c r="G923" s="89" t="n">
        <x:v>45955.8272337963</x:v>
      </x:c>
      <x:c r="H923" s="89" t="n">
        <x:v>45948.03556712963</x:v>
      </x:c>
      <x:c r="I923" s="89" t="n">
        <x:v>45948.66056712963</x:v>
      </x:c>
      <x:c r="J923" s="84" t="str">
        <x:v>Média</x:v>
      </x:c>
      <x:c r="K923" s="84" t="str">
        <x:v>Concluída</x:v>
      </x:c>
      <x:c r="L923" s="84" t="str">
        <x:v>Baixa pressão</x:v>
      </x:c>
      <x:c r="M923" s="84" t="str">
        <x:v>Contaminação</x:v>
      </x:c>
      <x:c r="N923" s="84" t="str">
        <x:v>Componente ajustado ou substituído</x:v>
      </x:c>
      <x:c r="O923" s="84" t="n">
        <x:v>0</x:v>
      </x:c>
      <x:c r="P923" s="93" t="n">
        <x:v>356.43</x:v>
      </x:c>
      <x:c r="Q923" s="93" t="n">
        <x:v>4396.26</x:v>
      </x:c>
      <x:c r="R923" s="91" t="n">
        <x:v>0</x:v>
      </x:c>
    </x:row>
    <x:row r="924">
      <x:c r="A924" s="83" t="n">
        <x:v>923</x:v>
      </x:c>
      <x:c r="B924" s="84" t="str">
        <x:v>OS-2023-00923</x:v>
      </x:c>
      <x:c r="C924" s="84" t="n">
        <x:v>49</x:v>
      </x:c>
      <x:c r="D924" s="84" t="n">
        <x:v>3</x:v>
      </x:c>
      <x:c r="E924" s="84"/>
      <x:c r="F924" s="89" t="n">
        <x:v>45071.25114583333</x:v>
      </x:c>
      <x:c r="G924" s="89"/>
      <x:c r="H924" s="89" t="n">
        <x:v>45071.7928125</x:v>
      </x:c>
      <x:c r="I924" s="89" t="n">
        <x:v>45071.87614583333</x:v>
      </x:c>
      <x:c r="J924" s="84" t="str">
        <x:v>Baixa</x:v>
      </x:c>
      <x:c r="K924" s="84" t="str">
        <x:v>Encerrada</x:v>
      </x:c>
      <x:c r="L924" s="84" t="str">
        <x:v>Falha elétrica</x:v>
      </x:c>
      <x:c r="M924" s="84" t="str">
        <x:v>Contaminação</x:v>
      </x:c>
      <x:c r="N924" s="84" t="str">
        <x:v>Componente ajustado ou substituído</x:v>
      </x:c>
      <x:c r="O924" s="84" t="n">
        <x:v>0</x:v>
      </x:c>
      <x:c r="P924" s="93" t="n">
        <x:v>366.46</x:v>
      </x:c>
      <x:c r="Q924" s="93" t="n">
        <x:v>7939.62</x:v>
      </x:c>
      <x:c r="R924" s="91" t="n">
        <x:v>14618.21</x:v>
      </x:c>
    </x:row>
    <x:row r="925">
      <x:c r="A925" s="83" t="n">
        <x:v>924</x:v>
      </x:c>
      <x:c r="B925" s="84" t="str">
        <x:v>OS-2024-00924</x:v>
      </x:c>
      <x:c r="C925" s="84" t="n">
        <x:v>47</x:v>
      </x:c>
      <x:c r="D925" s="84" t="n">
        <x:v>7</x:v>
      </x:c>
      <x:c r="E925" s="84" t="n">
        <x:v>93</x:v>
      </x:c>
      <x:c r="F925" s="89" t="n">
        <x:v>45585.29340277778</x:v>
      </x:c>
      <x:c r="G925" s="89" t="n">
        <x:v>45587.29340277778</x:v>
      </x:c>
      <x:c r="H925" s="89" t="n">
        <x:v>45586.710069444445</x:v>
      </x:c>
      <x:c r="I925" s="89" t="n">
        <x:v>45587.16840277778</x:v>
      </x:c>
      <x:c r="J925" s="84" t="str">
        <x:v>Alta</x:v>
      </x:c>
      <x:c r="K925" s="84" t="str">
        <x:v>Encerrada</x:v>
      </x:c>
      <x:c r="L925" s="84" t="str">
        <x:v>Desalinhamento</x:v>
      </x:c>
      <x:c r="M925" s="84" t="str">
        <x:v>Conexão frouxa</x:v>
      </x:c>
      <x:c r="N925" s="84" t="str">
        <x:v>Componente ajustado ou substituído</x:v>
      </x:c>
      <x:c r="O925" s="84" t="n">
        <x:v>0</x:v>
      </x:c>
      <x:c r="P925" s="93" t="n">
        <x:v>545.34</x:v>
      </x:c>
      <x:c r="Q925" s="93" t="n">
        <x:v>7530.28</x:v>
      </x:c>
      <x:c r="R925" s="91" t="n">
        <x:v>0</x:v>
      </x:c>
    </x:row>
    <x:row r="926">
      <x:c r="A926" s="83" t="n">
        <x:v>925</x:v>
      </x:c>
      <x:c r="B926" s="84" t="str">
        <x:v>OS-2023-00925</x:v>
      </x:c>
      <x:c r="C926" s="84" t="n">
        <x:v>12</x:v>
      </x:c>
      <x:c r="D926" s="84" t="n">
        <x:v>1</x:v>
      </x:c>
      <x:c r="E926" s="84" t="n">
        <x:v>23</x:v>
      </x:c>
      <x:c r="F926" s="89" t="n">
        <x:v>45289.838159722225</x:v>
      </x:c>
      <x:c r="G926" s="89" t="n">
        <x:v>45293.838159722225</x:v>
      </x:c>
      <x:c r="H926" s="89" t="n">
        <x:v>45292.54649305555</x:v>
      </x:c>
      <x:c r="I926" s="89" t="n">
        <x:v>45292.713159722225</x:v>
      </x:c>
      <x:c r="J926" s="84" t="str">
        <x:v>Baixa</x:v>
      </x:c>
      <x:c r="K926" s="84" t="str">
        <x:v>Encerrada</x:v>
      </x:c>
      <x:c r="L926" s="84" t="str">
        <x:v>Alarme intermitente</x:v>
      </x:c>
      <x:c r="M926" s="84" t="str">
        <x:v>Falta de lubrificação</x:v>
      </x:c>
      <x:c r="N926" s="84" t="str">
        <x:v>Componente ajustado ou substituído</x:v>
      </x:c>
      <x:c r="O926" s="84" t="n">
        <x:v>0</x:v>
      </x:c>
      <x:c r="P926" s="93" t="n">
        <x:v>432.88</x:v>
      </x:c>
      <x:c r="Q926" s="93" t="n">
        <x:v>1666.19</x:v>
      </x:c>
      <x:c r="R926" s="91" t="n">
        <x:v>0</x:v>
      </x:c>
    </x:row>
    <x:row r="927">
      <x:c r="A927" s="83" t="n">
        <x:v>926</x:v>
      </x:c>
      <x:c r="B927" s="84" t="str">
        <x:v>OS-2025-00926</x:v>
      </x:c>
      <x:c r="C927" s="84" t="n">
        <x:v>55</x:v>
      </x:c>
      <x:c r="D927" s="84" t="n">
        <x:v>7</x:v>
      </x:c>
      <x:c r="E927" s="84" t="n">
        <x:v>110</x:v>
      </x:c>
      <x:c r="F927" s="89" t="n">
        <x:v>46003.3181712963</x:v>
      </x:c>
      <x:c r="G927" s="89" t="n">
        <x:v>46013.3181712963</x:v>
      </x:c>
      <x:c r="H927" s="89" t="n">
        <x:v>46003.8181712963</x:v>
      </x:c>
      <x:c r="I927" s="89" t="n">
        <x:v>46004.10983796296</x:v>
      </x:c>
      <x:c r="J927" s="84" t="str">
        <x:v>Crítica</x:v>
      </x:c>
      <x:c r="K927" s="84" t="str">
        <x:v>Encerrada</x:v>
      </x:c>
      <x:c r="L927" s="84" t="str">
        <x:v>Desalinhamento</x:v>
      </x:c>
      <x:c r="M927" s="84" t="str">
        <x:v>Conexão frouxa</x:v>
      </x:c>
      <x:c r="N927" s="84" t="str">
        <x:v>Componente ajustado ou substituído</x:v>
      </x:c>
      <x:c r="O927" s="84" t="n">
        <x:v>0</x:v>
      </x:c>
      <x:c r="P927" s="93" t="n">
        <x:v>411.22</x:v>
      </x:c>
      <x:c r="Q927" s="93" t="n">
        <x:v>1161.45</x:v>
      </x:c>
      <x:c r="R927" s="91" t="n">
        <x:v>0</x:v>
      </x:c>
    </x:row>
    <x:row r="928">
      <x:c r="A928" s="83" t="n">
        <x:v>927</x:v>
      </x:c>
      <x:c r="B928" s="84" t="str">
        <x:v>OS-2024-00927</x:v>
      </x:c>
      <x:c r="C928" s="84" t="n">
        <x:v>67</x:v>
      </x:c>
      <x:c r="D928" s="84" t="n">
        <x:v>1</x:v>
      </x:c>
      <x:c r="E928" s="84" t="n">
        <x:v>134</x:v>
      </x:c>
      <x:c r="F928" s="89" t="n">
        <x:v>45616.31521990741</x:v>
      </x:c>
      <x:c r="G928" s="89" t="n">
        <x:v>45628.31521990741</x:v>
      </x:c>
      <x:c r="H928" s="89"/>
      <x:c r="I928" s="89"/>
      <x:c r="J928" s="84" t="str">
        <x:v>Média</x:v>
      </x:c>
      <x:c r="K928" s="84" t="str">
        <x:v>Planejada</x:v>
      </x:c>
      <x:c r="L928" s="84" t="str">
        <x:v>Ruído anormal</x:v>
      </x:c>
      <x:c r="M928" s="84"/>
      <x:c r="N928" s="84"/>
      <x:c r="O928" s="84" t="n">
        <x:v>1</x:v>
      </x:c>
      <x:c r="P928" s="93" t="n">
        <x:v>0</x:v>
      </x:c>
      <x:c r="Q928" s="93" t="n">
        <x:v>0</x:v>
      </x:c>
      <x:c r="R928" s="91" t="n">
        <x:v>0</x:v>
      </x:c>
    </x:row>
    <x:row r="929">
      <x:c r="A929" s="83" t="n">
        <x:v>928</x:v>
      </x:c>
      <x:c r="B929" s="84" t="str">
        <x:v>OS-2025-00928</x:v>
      </x:c>
      <x:c r="C929" s="84" t="n">
        <x:v>39</x:v>
      </x:c>
      <x:c r="D929" s="84" t="n">
        <x:v>7</x:v>
      </x:c>
      <x:c r="E929" s="84" t="n">
        <x:v>78</x:v>
      </x:c>
      <x:c r="F929" s="89" t="n">
        <x:v>45767.152395833335</x:v>
      </x:c>
      <x:c r="G929" s="89" t="n">
        <x:v>45782.152395833335</x:v>
      </x:c>
      <x:c r="H929" s="89" t="n">
        <x:v>45767.61072916666</x:v>
      </x:c>
      <x:c r="I929" s="89" t="n">
        <x:v>45768.3190625</x:v>
      </x:c>
      <x:c r="J929" s="84" t="str">
        <x:v>Crítica</x:v>
      </x:c>
      <x:c r="K929" s="84" t="str">
        <x:v>Encerrada</x:v>
      </x:c>
      <x:c r="L929" s="84" t="str">
        <x:v>Baixa pressão</x:v>
      </x:c>
      <x:c r="M929" s="84" t="str">
        <x:v>Desgaste natural</x:v>
      </x:c>
      <x:c r="N929" s="84" t="str">
        <x:v>Componente ajustado ou substituído</x:v>
      </x:c>
      <x:c r="O929" s="84" t="n">
        <x:v>0</x:v>
      </x:c>
      <x:c r="P929" s="93" t="n">
        <x:v>45.36</x:v>
      </x:c>
      <x:c r="Q929" s="93" t="n">
        <x:v>7571.05</x:v>
      </x:c>
      <x:c r="R929" s="91" t="n">
        <x:v>6884.02</x:v>
      </x:c>
    </x:row>
    <x:row r="930">
      <x:c r="A930" s="83" t="n">
        <x:v>929</x:v>
      </x:c>
      <x:c r="B930" s="84" t="str">
        <x:v>OS-2024-00929</x:v>
      </x:c>
      <x:c r="C930" s="84" t="n">
        <x:v>20</x:v>
      </x:c>
      <x:c r="D930" s="84" t="n">
        <x:v>1</x:v>
      </x:c>
      <x:c r="E930" s="84" t="n">
        <x:v>40</x:v>
      </x:c>
      <x:c r="F930" s="89" t="n">
        <x:v>45375.1171412037</x:v>
      </x:c>
      <x:c r="G930" s="89" t="n">
        <x:v>45387.1171412037</x:v>
      </x:c>
      <x:c r="H930" s="89" t="n">
        <x:v>45376.575474537036</x:v>
      </x:c>
      <x:c r="I930" s="89" t="n">
        <x:v>45377.15880787037</x:v>
      </x:c>
      <x:c r="J930" s="84" t="str">
        <x:v>Média</x:v>
      </x:c>
      <x:c r="K930" s="84" t="str">
        <x:v>Encerrada</x:v>
      </x:c>
      <x:c r="L930" s="84" t="str">
        <x:v>Falha elétrica</x:v>
      </x:c>
      <x:c r="M930" s="84" t="str">
        <x:v>Contaminação</x:v>
      </x:c>
      <x:c r="N930" s="84" t="str">
        <x:v>Componente ajustado ou substituído</x:v>
      </x:c>
      <x:c r="O930" s="84" t="n">
        <x:v>0</x:v>
      </x:c>
      <x:c r="P930" s="93" t="n">
        <x:v>74.07</x:v>
      </x:c>
      <x:c r="Q930" s="93" t="n">
        <x:v>6751.87</x:v>
      </x:c>
      <x:c r="R930" s="91" t="n">
        <x:v>0</x:v>
      </x:c>
    </x:row>
    <x:row r="931">
      <x:c r="A931" s="83" t="n">
        <x:v>930</x:v>
      </x:c>
      <x:c r="B931" s="84" t="str">
        <x:v>OS-2024-00930</x:v>
      </x:c>
      <x:c r="C931" s="84" t="n">
        <x:v>6</x:v>
      </x:c>
      <x:c r="D931" s="84" t="n">
        <x:v>5</x:v>
      </x:c>
      <x:c r="E931" s="84" t="n">
        <x:v>12</x:v>
      </x:c>
      <x:c r="F931" s="89" t="n">
        <x:v>45596.19287037037</x:v>
      </x:c>
      <x:c r="G931" s="89" t="n">
        <x:v>45606.19287037037</x:v>
      </x:c>
      <x:c r="H931" s="89"/>
      <x:c r="I931" s="89"/>
      <x:c r="J931" s="84" t="str">
        <x:v>Média</x:v>
      </x:c>
      <x:c r="K931" s="84" t="str">
        <x:v>Planejada</x:v>
      </x:c>
      <x:c r="L931" s="84" t="str">
        <x:v>Desalinhamento</x:v>
      </x:c>
      <x:c r="M931" s="84"/>
      <x:c r="N931" s="84"/>
      <x:c r="O931" s="84" t="n">
        <x:v>0</x:v>
      </x:c>
      <x:c r="P931" s="93" t="n">
        <x:v>0</x:v>
      </x:c>
      <x:c r="Q931" s="93" t="n">
        <x:v>0</x:v>
      </x:c>
      <x:c r="R931" s="91" t="n">
        <x:v>0</x:v>
      </x:c>
    </x:row>
    <x:row r="932">
      <x:c r="A932" s="83" t="n">
        <x:v>931</x:v>
      </x:c>
      <x:c r="B932" s="84" t="str">
        <x:v>OS-2025-00931</x:v>
      </x:c>
      <x:c r="C932" s="84" t="n">
        <x:v>59</x:v>
      </x:c>
      <x:c r="D932" s="84" t="n">
        <x:v>1</x:v>
      </x:c>
      <x:c r="E932" s="84" t="n">
        <x:v>118</x:v>
      </x:c>
      <x:c r="F932" s="89" t="n">
        <x:v>45844.561215277776</x:v>
      </x:c>
      <x:c r="G932" s="89" t="n">
        <x:v>45849.561215277776</x:v>
      </x:c>
      <x:c r="H932" s="89" t="n">
        <x:v>45844.686215277776</x:v>
      </x:c>
      <x:c r="I932" s="89" t="n">
        <x:v>45844.72788194445</x:v>
      </x:c>
      <x:c r="J932" s="84" t="str">
        <x:v>Alta</x:v>
      </x:c>
      <x:c r="K932" s="84" t="str">
        <x:v>Encerrada</x:v>
      </x:c>
      <x:c r="L932" s="84" t="str">
        <x:v>Ruído anormal</x:v>
      </x:c>
      <x:c r="M932" s="84" t="str">
        <x:v>Falta de lubrificação</x:v>
      </x:c>
      <x:c r="N932" s="84" t="str">
        <x:v>Componente ajustado ou substituído</x:v>
      </x:c>
      <x:c r="O932" s="84" t="n">
        <x:v>0</x:v>
      </x:c>
      <x:c r="P932" s="93" t="n">
        <x:v>415.92</x:v>
      </x:c>
      <x:c r="Q932" s="93" t="n">
        <x:v>6110.44</x:v>
      </x:c>
      <x:c r="R932" s="91" t="n">
        <x:v>0</x:v>
      </x:c>
    </x:row>
    <x:row r="933">
      <x:c r="A933" s="83" t="n">
        <x:v>932</x:v>
      </x:c>
      <x:c r="B933" s="84" t="str">
        <x:v>OS-2024-00932</x:v>
      </x:c>
      <x:c r="C933" s="84" t="n">
        <x:v>32</x:v>
      </x:c>
      <x:c r="D933" s="84" t="n">
        <x:v>1</x:v>
      </x:c>
      <x:c r="E933" s="84" t="n">
        <x:v>64</x:v>
      </x:c>
      <x:c r="F933" s="89" t="n">
        <x:v>45376.13091435185</x:v>
      </x:c>
      <x:c r="G933" s="89" t="n">
        <x:v>45388.13091435185</x:v>
      </x:c>
      <x:c r="H933" s="89"/>
      <x:c r="I933" s="89"/>
      <x:c r="J933" s="84" t="str">
        <x:v>Baixa</x:v>
      </x:c>
      <x:c r="K933" s="84" t="str">
        <x:v>Cancelada</x:v>
      </x:c>
      <x:c r="L933" s="84" t="str">
        <x:v>Superaquecimento</x:v>
      </x:c>
      <x:c r="M933" s="84"/>
      <x:c r="N933" s="84"/>
      <x:c r="O933" s="84" t="n">
        <x:v>0</x:v>
      </x:c>
      <x:c r="P933" s="93" t="n">
        <x:v>0</x:v>
      </x:c>
      <x:c r="Q933" s="93" t="n">
        <x:v>0</x:v>
      </x:c>
      <x:c r="R933" s="91" t="n">
        <x:v>0</x:v>
      </x:c>
    </x:row>
    <x:row r="934">
      <x:c r="A934" s="83" t="n">
        <x:v>933</x:v>
      </x:c>
      <x:c r="B934" s="84" t="str">
        <x:v>OS-2023-00933</x:v>
      </x:c>
      <x:c r="C934" s="84" t="n">
        <x:v>6</x:v>
      </x:c>
      <x:c r="D934" s="84" t="n">
        <x:v>4</x:v>
      </x:c>
      <x:c r="E934" s="84"/>
      <x:c r="F934" s="89" t="n">
        <x:v>45190.42762731481</x:v>
      </x:c>
      <x:c r="G934" s="89" t="n">
        <x:v>45202.42762731481</x:v>
      </x:c>
      <x:c r="H934" s="89" t="n">
        <x:v>45192.469293981485</x:v>
      </x:c>
      <x:c r="I934" s="89"/>
      <x:c r="J934" s="84" t="str">
        <x:v>Baixa</x:v>
      </x:c>
      <x:c r="K934" s="84" t="str">
        <x:v>Aguardando peça</x:v>
      </x:c>
      <x:c r="L934" s="84" t="str">
        <x:v>Ruído anormal</x:v>
      </x:c>
      <x:c r="M934" s="84" t="str">
        <x:v>Contaminação</x:v>
      </x:c>
      <x:c r="N934" s="84"/>
      <x:c r="O934" s="84" t="n">
        <x:v>0</x:v>
      </x:c>
      <x:c r="P934" s="93" t="n">
        <x:v>237.58</x:v>
      </x:c>
      <x:c r="Q934" s="93" t="n">
        <x:v>12073.44</x:v>
      </x:c>
      <x:c r="R934" s="91" t="n">
        <x:v>0</x:v>
      </x:c>
    </x:row>
    <x:row r="935">
      <x:c r="A935" s="83" t="n">
        <x:v>934</x:v>
      </x:c>
      <x:c r="B935" s="84" t="str">
        <x:v>OS-2023-00934</x:v>
      </x:c>
      <x:c r="C935" s="84" t="n">
        <x:v>89</x:v>
      </x:c>
      <x:c r="D935" s="84" t="n">
        <x:v>3</x:v>
      </x:c>
      <x:c r="E935" s="84"/>
      <x:c r="F935" s="89" t="n">
        <x:v>44982.70607638889</x:v>
      </x:c>
      <x:c r="G935" s="89"/>
      <x:c r="H935" s="89" t="n">
        <x:v>44984.41440972222</x:v>
      </x:c>
      <x:c r="I935" s="89" t="n">
        <x:v>44985.20607638889</x:v>
      </x:c>
      <x:c r="J935" s="84" t="str">
        <x:v>Baixa</x:v>
      </x:c>
      <x:c r="K935" s="84" t="str">
        <x:v>Encerrada</x:v>
      </x:c>
      <x:c r="L935" s="84" t="str">
        <x:v>Desalinhamento</x:v>
      </x:c>
      <x:c r="M935" s="84" t="str">
        <x:v>Desgaste natural</x:v>
      </x:c>
      <x:c r="N935" s="84" t="str">
        <x:v>Componente ajustado ou substituído</x:v>
      </x:c>
      <x:c r="O935" s="84" t="n">
        <x:v>0</x:v>
      </x:c>
      <x:c r="P935" s="93" t="n">
        <x:v>198.43</x:v>
      </x:c>
      <x:c r="Q935" s="93" t="n">
        <x:v>1983.52</x:v>
      </x:c>
      <x:c r="R935" s="91" t="n">
        <x:v>0</x:v>
      </x:c>
    </x:row>
    <x:row r="936">
      <x:c r="A936" s="83" t="n">
        <x:v>935</x:v>
      </x:c>
      <x:c r="B936" s="84" t="str">
        <x:v>OS-2025-00935</x:v>
      </x:c>
      <x:c r="C936" s="84" t="n">
        <x:v>84</x:v>
      </x:c>
      <x:c r="D936" s="84" t="n">
        <x:v>1</x:v>
      </x:c>
      <x:c r="E936" s="84" t="n">
        <x:v>167</x:v>
      </x:c>
      <x:c r="F936" s="89" t="n">
        <x:v>45819.2275</x:v>
      </x:c>
      <x:c r="G936" s="89" t="n">
        <x:v>45830.2275</x:v>
      </x:c>
      <x:c r="H936" s="89" t="n">
        <x:v>45820.4775</x:v>
      </x:c>
      <x:c r="I936" s="89" t="n">
        <x:v>45820.7275</x:v>
      </x:c>
      <x:c r="J936" s="84" t="str">
        <x:v>Média</x:v>
      </x:c>
      <x:c r="K936" s="84" t="str">
        <x:v>Encerrada</x:v>
      </x:c>
      <x:c r="L936" s="84" t="str">
        <x:v>Baixa pressão</x:v>
      </x:c>
      <x:c r="M936" s="84" t="str">
        <x:v>Componente danificado</x:v>
      </x:c>
      <x:c r="N936" s="84" t="str">
        <x:v>Componente ajustado ou substituído</x:v>
      </x:c>
      <x:c r="O936" s="84" t="n">
        <x:v>0</x:v>
      </x:c>
      <x:c r="P936" s="93" t="n">
        <x:v>213.47</x:v>
      </x:c>
      <x:c r="Q936" s="93" t="n">
        <x:v>14720.81</x:v>
      </x:c>
      <x:c r="R936" s="91" t="n">
        <x:v>0</x:v>
      </x:c>
    </x:row>
    <x:row r="937">
      <x:c r="A937" s="83" t="n">
        <x:v>936</x:v>
      </x:c>
      <x:c r="B937" s="84" t="str">
        <x:v>OS-2024-00936</x:v>
      </x:c>
      <x:c r="C937" s="84" t="n">
        <x:v>78</x:v>
      </x:c>
      <x:c r="D937" s="84" t="n">
        <x:v>9</x:v>
      </x:c>
      <x:c r="E937" s="84"/>
      <x:c r="F937" s="89" t="n">
        <x:v>45339.03759259259</x:v>
      </x:c>
      <x:c r="G937" s="89" t="n">
        <x:v>45348.03759259259</x:v>
      </x:c>
      <x:c r="H937" s="89"/>
      <x:c r="I937" s="89"/>
      <x:c r="J937" s="84" t="str">
        <x:v>Crítica</x:v>
      </x:c>
      <x:c r="K937" s="84" t="str">
        <x:v>Planejada</x:v>
      </x:c>
      <x:c r="L937" s="84" t="str">
        <x:v>Desalinhamento</x:v>
      </x:c>
      <x:c r="M937" s="84"/>
      <x:c r="N937" s="84"/>
      <x:c r="O937" s="84" t="n">
        <x:v>0</x:v>
      </x:c>
      <x:c r="P937" s="93" t="n">
        <x:v>0</x:v>
      </x:c>
      <x:c r="Q937" s="93" t="n">
        <x:v>0</x:v>
      </x:c>
      <x:c r="R937" s="91" t="n">
        <x:v>0</x:v>
      </x:c>
    </x:row>
    <x:row r="938">
      <x:c r="A938" s="83" t="n">
        <x:v>937</x:v>
      </x:c>
      <x:c r="B938" s="84" t="str">
        <x:v>OS-2025-00937</x:v>
      </x:c>
      <x:c r="C938" s="84" t="n">
        <x:v>1</x:v>
      </x:c>
      <x:c r="D938" s="84" t="n">
        <x:v>5</x:v>
      </x:c>
      <x:c r="E938" s="84" t="n">
        <x:v>2</x:v>
      </x:c>
      <x:c r="F938" s="89" t="n">
        <x:v>45710.68734953704</x:v>
      </x:c>
      <x:c r="G938" s="89" t="n">
        <x:v>45710.68734953704</x:v>
      </x:c>
      <x:c r="H938" s="89" t="n">
        <x:v>45713.18734953704</x:v>
      </x:c>
      <x:c r="I938" s="89" t="n">
        <x:v>45713.6040162037</x:v>
      </x:c>
      <x:c r="J938" s="84" t="str">
        <x:v>Alta</x:v>
      </x:c>
      <x:c r="K938" s="84" t="str">
        <x:v>Encerrada</x:v>
      </x:c>
      <x:c r="L938" s="84" t="str">
        <x:v>Falha elétrica</x:v>
      </x:c>
      <x:c r="M938" s="84" t="str">
        <x:v>Ajuste incorreto</x:v>
      </x:c>
      <x:c r="N938" s="84" t="str">
        <x:v>Componente ajustado ou substituído</x:v>
      </x:c>
      <x:c r="O938" s="84" t="n">
        <x:v>0</x:v>
      </x:c>
      <x:c r="P938" s="93" t="n">
        <x:v>488.5</x:v>
      </x:c>
      <x:c r="Q938" s="93" t="n">
        <x:v>8426.35</x:v>
      </x:c>
      <x:c r="R938" s="91" t="n">
        <x:v>0</x:v>
      </x:c>
    </x:row>
    <x:row r="939">
      <x:c r="A939" s="83" t="n">
        <x:v>938</x:v>
      </x:c>
      <x:c r="B939" s="84" t="str">
        <x:v>OS-2024-00938</x:v>
      </x:c>
      <x:c r="C939" s="84" t="n">
        <x:v>36</x:v>
      </x:c>
      <x:c r="D939" s="84" t="n">
        <x:v>4</x:v>
      </x:c>
      <x:c r="E939" s="84"/>
      <x:c r="F939" s="89" t="n">
        <x:v>45295.184166666666</x:v>
      </x:c>
      <x:c r="G939" s="89" t="n">
        <x:v>45302.184166666666</x:v>
      </x:c>
      <x:c r="H939" s="89" t="n">
        <x:v>45296.2675</x:v>
      </x:c>
      <x:c r="I939" s="89" t="n">
        <x:v>45296.6425</x:v>
      </x:c>
      <x:c r="J939" s="84" t="str">
        <x:v>Alta</x:v>
      </x:c>
      <x:c r="K939" s="84" t="str">
        <x:v>Encerrada</x:v>
      </x:c>
      <x:c r="L939" s="84" t="str">
        <x:v>Superaquecimento</x:v>
      </x:c>
      <x:c r="M939" s="84" t="str">
        <x:v>Ajuste incorreto</x:v>
      </x:c>
      <x:c r="N939" s="84" t="str">
        <x:v>Componente ajustado ou substituído</x:v>
      </x:c>
      <x:c r="O939" s="84" t="n">
        <x:v>0</x:v>
      </x:c>
      <x:c r="P939" s="93" t="n">
        <x:v>178.14</x:v>
      </x:c>
      <x:c r="Q939" s="93" t="n">
        <x:v>8179.11</x:v>
      </x:c>
      <x:c r="R939" s="91" t="n">
        <x:v>0</x:v>
      </x:c>
    </x:row>
    <x:row r="940">
      <x:c r="A940" s="83" t="n">
        <x:v>939</x:v>
      </x:c>
      <x:c r="B940" s="84" t="str">
        <x:v>OS-2023-00939</x:v>
      </x:c>
      <x:c r="C940" s="84" t="n">
        <x:v>39</x:v>
      </x:c>
      <x:c r="D940" s="84" t="n">
        <x:v>7</x:v>
      </x:c>
      <x:c r="E940" s="84" t="n">
        <x:v>77</x:v>
      </x:c>
      <x:c r="F940" s="89" t="n">
        <x:v>45122.423796296294</x:v>
      </x:c>
      <x:c r="G940" s="89" t="n">
        <x:v>45129.423796296294</x:v>
      </x:c>
      <x:c r="H940" s="89" t="n">
        <x:v>45123.465462962966</x:v>
      </x:c>
      <x:c r="I940" s="89" t="n">
        <x:v>45124.298796296294</x:v>
      </x:c>
      <x:c r="J940" s="84" t="str">
        <x:v>Alta</x:v>
      </x:c>
      <x:c r="K940" s="84" t="str">
        <x:v>Encerrada</x:v>
      </x:c>
      <x:c r="L940" s="84" t="str">
        <x:v>Vazamento</x:v>
      </x:c>
      <x:c r="M940" s="84" t="str">
        <x:v>Ajuste incorreto</x:v>
      </x:c>
      <x:c r="N940" s="84" t="str">
        <x:v>Componente ajustado ou substituído</x:v>
      </x:c>
      <x:c r="O940" s="84" t="n">
        <x:v>0</x:v>
      </x:c>
      <x:c r="P940" s="93" t="n">
        <x:v>705.27</x:v>
      </x:c>
      <x:c r="Q940" s="93" t="n">
        <x:v>0</x:v>
      </x:c>
      <x:c r="R940" s="91" t="n">
        <x:v>0</x:v>
      </x:c>
    </x:row>
    <x:row r="941">
      <x:c r="A941" s="83" t="n">
        <x:v>940</x:v>
      </x:c>
      <x:c r="B941" s="84" t="str">
        <x:v>OS-2025-00940</x:v>
      </x:c>
      <x:c r="C941" s="84" t="n">
        <x:v>47</x:v>
      </x:c>
      <x:c r="D941" s="84" t="n">
        <x:v>1</x:v>
      </x:c>
      <x:c r="E941" s="84" t="n">
        <x:v>94</x:v>
      </x:c>
      <x:c r="F941" s="89" t="n">
        <x:v>45744.086805555555</x:v>
      </x:c>
      <x:c r="G941" s="89" t="n">
        <x:v>45754.086805555555</x:v>
      </x:c>
      <x:c r="H941" s="89" t="n">
        <x:v>45746.87847222222</x:v>
      </x:c>
      <x:c r="I941" s="89" t="n">
        <x:v>45746.92013888889</x:v>
      </x:c>
      <x:c r="J941" s="84" t="str">
        <x:v>Baixa</x:v>
      </x:c>
      <x:c r="K941" s="84" t="str">
        <x:v>Concluída</x:v>
      </x:c>
      <x:c r="L941" s="84" t="str">
        <x:v>Desalinhamento</x:v>
      </x:c>
      <x:c r="M941" s="84" t="str">
        <x:v>Desgaste natural</x:v>
      </x:c>
      <x:c r="N941" s="84" t="str">
        <x:v>Componente ajustado ou substituído</x:v>
      </x:c>
      <x:c r="O941" s="84" t="n">
        <x:v>0</x:v>
      </x:c>
      <x:c r="P941" s="93" t="n">
        <x:v>410.33</x:v>
      </x:c>
      <x:c r="Q941" s="93" t="n">
        <x:v>0</x:v>
      </x:c>
      <x:c r="R941" s="91" t="n">
        <x:v>0</x:v>
      </x:c>
    </x:row>
    <x:row r="942">
      <x:c r="A942" s="83" t="n">
        <x:v>941</x:v>
      </x:c>
      <x:c r="B942" s="84" t="str">
        <x:v>OS-2025-00941</x:v>
      </x:c>
      <x:c r="C942" s="84" t="n">
        <x:v>12</x:v>
      </x:c>
      <x:c r="D942" s="84" t="n">
        <x:v>7</x:v>
      </x:c>
      <x:c r="E942" s="84" t="n">
        <x:v>24</x:v>
      </x:c>
      <x:c r="F942" s="89" t="n">
        <x:v>46020.999768518515</x:v>
      </x:c>
      <x:c r="G942" s="89" t="n">
        <x:v>46028.999768518515</x:v>
      </x:c>
      <x:c r="H942" s="89" t="n">
        <x:v>46022.999768518515</x:v>
      </x:c>
      <x:c r="I942" s="89" t="n">
        <x:v>46023.41643518519</x:v>
      </x:c>
      <x:c r="J942" s="84" t="str">
        <x:v>Baixa</x:v>
      </x:c>
      <x:c r="K942" s="84" t="str">
        <x:v>Encerrada</x:v>
      </x:c>
      <x:c r="L942" s="84" t="str">
        <x:v>Baixa pressão</x:v>
      </x:c>
      <x:c r="M942" s="84" t="str">
        <x:v>Falta de lubrificação</x:v>
      </x:c>
      <x:c r="N942" s="84" t="str">
        <x:v>Componente ajustado ou substituído</x:v>
      </x:c>
      <x:c r="O942" s="84" t="n">
        <x:v>0</x:v>
      </x:c>
      <x:c r="P942" s="93" t="n">
        <x:v>225.92</x:v>
      </x:c>
      <x:c r="Q942" s="93" t="n">
        <x:v>11314.82</x:v>
      </x:c>
      <x:c r="R942" s="91" t="n">
        <x:v>0</x:v>
      </x:c>
    </x:row>
    <x:row r="943">
      <x:c r="A943" s="83" t="n">
        <x:v>942</x:v>
      </x:c>
      <x:c r="B943" s="84" t="str">
        <x:v>OS-2023-00942</x:v>
      </x:c>
      <x:c r="C943" s="84" t="n">
        <x:v>17</x:v>
      </x:c>
      <x:c r="D943" s="84" t="n">
        <x:v>5</x:v>
      </x:c>
      <x:c r="E943" s="84" t="n">
        <x:v>33</x:v>
      </x:c>
      <x:c r="F943" s="89" t="n">
        <x:v>45104.86471064815</x:v>
      </x:c>
      <x:c r="G943" s="89" t="n">
        <x:v>45112.86471064815</x:v>
      </x:c>
      <x:c r="H943" s="89" t="n">
        <x:v>45106.98971064815</x:v>
      </x:c>
      <x:c r="I943" s="89" t="n">
        <x:v>45107.32304398148</x:v>
      </x:c>
      <x:c r="J943" s="84" t="str">
        <x:v>Baixa</x:v>
      </x:c>
      <x:c r="K943" s="84" t="str">
        <x:v>Encerrada</x:v>
      </x:c>
      <x:c r="L943" s="84" t="str">
        <x:v>Alarme intermitente</x:v>
      </x:c>
      <x:c r="M943" s="84" t="str">
        <x:v>Contaminação</x:v>
      </x:c>
      <x:c r="N943" s="84" t="str">
        <x:v>Componente ajustado ou substituído</x:v>
      </x:c>
      <x:c r="O943" s="84" t="n">
        <x:v>0</x:v>
      </x:c>
      <x:c r="P943" s="93" t="n">
        <x:v>301.53</x:v>
      </x:c>
      <x:c r="Q943" s="93" t="n">
        <x:v>3158.47</x:v>
      </x:c>
      <x:c r="R943" s="91" t="n">
        <x:v>6092.22</x:v>
      </x:c>
    </x:row>
    <x:row r="944">
      <x:c r="A944" s="83" t="n">
        <x:v>943</x:v>
      </x:c>
      <x:c r="B944" s="84" t="str">
        <x:v>OS-2025-00943</x:v>
      </x:c>
      <x:c r="C944" s="84" t="n">
        <x:v>77</x:v>
      </x:c>
      <x:c r="D944" s="84" t="n">
        <x:v>5</x:v>
      </x:c>
      <x:c r="E944" s="84" t="n">
        <x:v>153</x:v>
      </x:c>
      <x:c r="F944" s="89" t="n">
        <x:v>46005.189988425926</x:v>
      </x:c>
      <x:c r="G944" s="89" t="n">
        <x:v>46016.189988425926</x:v>
      </x:c>
      <x:c r="H944" s="89" t="n">
        <x:v>46006.314988425926</x:v>
      </x:c>
      <x:c r="I944" s="89"/>
      <x:c r="J944" s="84" t="str">
        <x:v>Alta</x:v>
      </x:c>
      <x:c r="K944" s="84" t="str">
        <x:v>Aguardando peça</x:v>
      </x:c>
      <x:c r="L944" s="84" t="str">
        <x:v>Falha elétrica</x:v>
      </x:c>
      <x:c r="M944" s="84" t="str">
        <x:v>Contaminação</x:v>
      </x:c>
      <x:c r="N944" s="84"/>
      <x:c r="O944" s="84" t="n">
        <x:v>0</x:v>
      </x:c>
      <x:c r="P944" s="93" t="n">
        <x:v>694.49</x:v>
      </x:c>
      <x:c r="Q944" s="93" t="n">
        <x:v>0</x:v>
      </x:c>
      <x:c r="R944" s="91" t="n">
        <x:v>0</x:v>
      </x:c>
    </x:row>
    <x:row r="945">
      <x:c r="A945" s="83" t="n">
        <x:v>944</x:v>
      </x:c>
      <x:c r="B945" s="84" t="str">
        <x:v>OS-2024-00944</x:v>
      </x:c>
      <x:c r="C945" s="84" t="n">
        <x:v>23</x:v>
      </x:c>
      <x:c r="D945" s="84" t="n">
        <x:v>3</x:v>
      </x:c>
      <x:c r="E945" s="84"/>
      <x:c r="F945" s="89" t="n">
        <x:v>45492.16541666666</x:v>
      </x:c>
      <x:c r="G945" s="89"/>
      <x:c r="H945" s="89" t="n">
        <x:v>45492.41541666666</x:v>
      </x:c>
      <x:c r="I945" s="89" t="n">
        <x:v>45492.49875</x:v>
      </x:c>
      <x:c r="J945" s="84" t="str">
        <x:v>Média</x:v>
      </x:c>
      <x:c r="K945" s="84" t="str">
        <x:v>Concluída</x:v>
      </x:c>
      <x:c r="L945" s="84" t="str">
        <x:v>Alarme intermitente</x:v>
      </x:c>
      <x:c r="M945" s="84" t="str">
        <x:v>Contaminação</x:v>
      </x:c>
      <x:c r="N945" s="84" t="str">
        <x:v>Componente ajustado ou substituído</x:v>
      </x:c>
      <x:c r="O945" s="84" t="n">
        <x:v>0</x:v>
      </x:c>
      <x:c r="P945" s="93" t="n">
        <x:v>196.28</x:v>
      </x:c>
      <x:c r="Q945" s="93" t="n">
        <x:v>769.54</x:v>
      </x:c>
      <x:c r="R945" s="91" t="n">
        <x:v>0</x:v>
      </x:c>
    </x:row>
    <x:row r="946">
      <x:c r="A946" s="83" t="n">
        <x:v>945</x:v>
      </x:c>
      <x:c r="B946" s="84" t="str">
        <x:v>OS-2023-00945</x:v>
      </x:c>
      <x:c r="C946" s="84" t="n">
        <x:v>87</x:v>
      </x:c>
      <x:c r="D946" s="84" t="n">
        <x:v>1</x:v>
      </x:c>
      <x:c r="E946" s="84" t="n">
        <x:v>174</x:v>
      </x:c>
      <x:c r="F946" s="89" t="n">
        <x:v>45175.732511574075</x:v>
      </x:c>
      <x:c r="G946" s="89" t="n">
        <x:v>45184.732511574075</x:v>
      </x:c>
      <x:c r="H946" s="89" t="n">
        <x:v>45175.857511574075</x:v>
      </x:c>
      <x:c r="I946" s="89" t="n">
        <x:v>45176.56584490741</x:v>
      </x:c>
      <x:c r="J946" s="84" t="str">
        <x:v>Média</x:v>
      </x:c>
      <x:c r="K946" s="84" t="str">
        <x:v>Encerrada</x:v>
      </x:c>
      <x:c r="L946" s="84" t="str">
        <x:v>Baixa pressão</x:v>
      </x:c>
      <x:c r="M946" s="84" t="str">
        <x:v>Contaminação</x:v>
      </x:c>
      <x:c r="N946" s="84" t="str">
        <x:v>Componente ajustado ou substituído</x:v>
      </x:c>
      <x:c r="O946" s="84" t="n">
        <x:v>0</x:v>
      </x:c>
      <x:c r="P946" s="93" t="n">
        <x:v>241.34</x:v>
      </x:c>
      <x:c r="Q946" s="93" t="n">
        <x:v>0</x:v>
      </x:c>
      <x:c r="R946" s="91" t="n">
        <x:v>0</x:v>
      </x:c>
    </x:row>
    <x:row r="947">
      <x:c r="A947" s="83" t="n">
        <x:v>946</x:v>
      </x:c>
      <x:c r="B947" s="84" t="str">
        <x:v>OS-2024-00946</x:v>
      </x:c>
      <x:c r="C947" s="84" t="n">
        <x:v>78</x:v>
      </x:c>
      <x:c r="D947" s="84" t="n">
        <x:v>6</x:v>
      </x:c>
      <x:c r="E947" s="84"/>
      <x:c r="F947" s="89" t="n">
        <x:v>45297.562268518515</x:v>
      </x:c>
      <x:c r="G947" s="89" t="n">
        <x:v>45304.562268518515</x:v>
      </x:c>
      <x:c r="H947" s="89" t="n">
        <x:v>45298.812268518515</x:v>
      </x:c>
      <x:c r="I947" s="89" t="n">
        <x:v>45299.312268518515</x:v>
      </x:c>
      <x:c r="J947" s="84" t="str">
        <x:v>Baixa</x:v>
      </x:c>
      <x:c r="K947" s="84" t="str">
        <x:v>Encerrada</x:v>
      </x:c>
      <x:c r="L947" s="84" t="str">
        <x:v>Ruído anormal</x:v>
      </x:c>
      <x:c r="M947" s="84" t="str">
        <x:v>Componente danificado</x:v>
      </x:c>
      <x:c r="N947" s="84" t="str">
        <x:v>Componente ajustado ou substituído</x:v>
      </x:c>
      <x:c r="O947" s="84" t="n">
        <x:v>0</x:v>
      </x:c>
      <x:c r="P947" s="93" t="n">
        <x:v>345.78</x:v>
      </x:c>
      <x:c r="Q947" s="93" t="n">
        <x:v>853.47</x:v>
      </x:c>
      <x:c r="R947" s="91" t="n">
        <x:v>0</x:v>
      </x:c>
    </x:row>
    <x:row r="948">
      <x:c r="A948" s="83" t="n">
        <x:v>947</x:v>
      </x:c>
      <x:c r="B948" s="84" t="str">
        <x:v>OS-2024-00947</x:v>
      </x:c>
      <x:c r="C948" s="84" t="n">
        <x:v>38</x:v>
      </x:c>
      <x:c r="D948" s="84" t="n">
        <x:v>2</x:v>
      </x:c>
      <x:c r="E948" s="84"/>
      <x:c r="F948" s="89" t="n">
        <x:v>45646.07199074074</x:v>
      </x:c>
      <x:c r="G948" s="89" t="n">
        <x:v>45651.07199074074</x:v>
      </x:c>
      <x:c r="H948" s="89" t="n">
        <x:v>45646.155324074076</x:v>
      </x:c>
      <x:c r="I948" s="89" t="n">
        <x:v>45646.405324074076</x:v>
      </x:c>
      <x:c r="J948" s="84" t="str">
        <x:v>Alta</x:v>
      </x:c>
      <x:c r="K948" s="84" t="str">
        <x:v>Encerrada</x:v>
      </x:c>
      <x:c r="L948" s="84" t="str">
        <x:v>Ruído anormal</x:v>
      </x:c>
      <x:c r="M948" s="84" t="str">
        <x:v>Contaminação</x:v>
      </x:c>
      <x:c r="N948" s="84" t="str">
        <x:v>Componente ajustado ou substituído</x:v>
      </x:c>
      <x:c r="O948" s="84" t="n">
        <x:v>0</x:v>
      </x:c>
      <x:c r="P948" s="93" t="n">
        <x:v>79.02</x:v>
      </x:c>
      <x:c r="Q948" s="93" t="n">
        <x:v>3568.64</x:v>
      </x:c>
      <x:c r="R948" s="91" t="n">
        <x:v>8065.62</x:v>
      </x:c>
    </x:row>
    <x:row r="949">
      <x:c r="A949" s="83" t="n">
        <x:v>948</x:v>
      </x:c>
      <x:c r="B949" s="84" t="str">
        <x:v>OS-2025-00948</x:v>
      </x:c>
      <x:c r="C949" s="84" t="n">
        <x:v>2</x:v>
      </x:c>
      <x:c r="D949" s="84" t="n">
        <x:v>1</x:v>
      </x:c>
      <x:c r="E949" s="84" t="n">
        <x:v>4</x:v>
      </x:c>
      <x:c r="F949" s="89" t="n">
        <x:v>45941.044490740744</x:v>
      </x:c>
      <x:c r="G949" s="89" t="n">
        <x:v>45947.044490740744</x:v>
      </x:c>
      <x:c r="H949" s="89" t="n">
        <x:v>45943.21115740741</x:v>
      </x:c>
      <x:c r="I949" s="89" t="n">
        <x:v>45943.294490740744</x:v>
      </x:c>
      <x:c r="J949" s="84" t="str">
        <x:v>Baixa</x:v>
      </x:c>
      <x:c r="K949" s="84" t="str">
        <x:v>Concluída</x:v>
      </x:c>
      <x:c r="L949" s="84" t="str">
        <x:v>Desalinhamento</x:v>
      </x:c>
      <x:c r="M949" s="84" t="str">
        <x:v>Ajuste incorreto</x:v>
      </x:c>
      <x:c r="N949" s="84" t="str">
        <x:v>Componente ajustado ou substituído</x:v>
      </x:c>
      <x:c r="O949" s="84" t="n">
        <x:v>0</x:v>
      </x:c>
      <x:c r="P949" s="93" t="n">
        <x:v>198.31</x:v>
      </x:c>
      <x:c r="Q949" s="93" t="n">
        <x:v>2169.63</x:v>
      </x:c>
      <x:c r="R949" s="91" t="n">
        <x:v>0</x:v>
      </x:c>
    </x:row>
    <x:row r="950">
      <x:c r="A950" s="83" t="n">
        <x:v>949</x:v>
      </x:c>
      <x:c r="B950" s="84" t="str">
        <x:v>OS-2023-00949</x:v>
      </x:c>
      <x:c r="C950" s="84" t="n">
        <x:v>31</x:v>
      </x:c>
      <x:c r="D950" s="84" t="n">
        <x:v>7</x:v>
      </x:c>
      <x:c r="E950" s="84" t="n">
        <x:v>61</x:v>
      </x:c>
      <x:c r="F950" s="89" t="n">
        <x:v>45031.30564814815</x:v>
      </x:c>
      <x:c r="G950" s="89" t="n">
        <x:v>45033.30564814815</x:v>
      </x:c>
      <x:c r="H950" s="89"/>
      <x:c r="I950" s="89"/>
      <x:c r="J950" s="84" t="str">
        <x:v>Média</x:v>
      </x:c>
      <x:c r="K950" s="84" t="str">
        <x:v>Cancelada</x:v>
      </x:c>
      <x:c r="L950" s="84" t="str">
        <x:v>Superaquecimento</x:v>
      </x:c>
      <x:c r="M950" s="84"/>
      <x:c r="N950" s="84"/>
      <x:c r="O950" s="84" t="n">
        <x:v>0</x:v>
      </x:c>
      <x:c r="P950" s="93" t="n">
        <x:v>0</x:v>
      </x:c>
      <x:c r="Q950" s="93" t="n">
        <x:v>0</x:v>
      </x:c>
      <x:c r="R950" s="91" t="n">
        <x:v>0</x:v>
      </x:c>
    </x:row>
    <x:row r="951">
      <x:c r="A951" s="83" t="n">
        <x:v>950</x:v>
      </x:c>
      <x:c r="B951" s="84" t="str">
        <x:v>OS-2023-00950</x:v>
      </x:c>
      <x:c r="C951" s="84" t="n">
        <x:v>21</x:v>
      </x:c>
      <x:c r="D951" s="84" t="n">
        <x:v>4</x:v>
      </x:c>
      <x:c r="E951" s="84"/>
      <x:c r="F951" s="89" t="n">
        <x:v>45041.308912037035</x:v>
      </x:c>
      <x:c r="G951" s="89" t="n">
        <x:v>45043.308912037035</x:v>
      </x:c>
      <x:c r="H951" s="89" t="n">
        <x:v>45043.558912037035</x:v>
      </x:c>
      <x:c r="I951" s="89" t="n">
        <x:v>45043.89224537037</x:v>
      </x:c>
      <x:c r="J951" s="84" t="str">
        <x:v>Alta</x:v>
      </x:c>
      <x:c r="K951" s="84" t="str">
        <x:v>Encerrada</x:v>
      </x:c>
      <x:c r="L951" s="84" t="str">
        <x:v>Ruído anormal</x:v>
      </x:c>
      <x:c r="M951" s="84" t="str">
        <x:v>Desgaste natural</x:v>
      </x:c>
      <x:c r="N951" s="84" t="str">
        <x:v>Componente ajustado ou substituído</x:v>
      </x:c>
      <x:c r="O951" s="84" t="n">
        <x:v>0</x:v>
      </x:c>
      <x:c r="P951" s="93" t="n">
        <x:v>345.53</x:v>
      </x:c>
      <x:c r="Q951" s="93" t="n">
        <x:v>5999.4</x:v>
      </x:c>
      <x:c r="R951" s="91" t="n">
        <x:v>0</x:v>
      </x:c>
    </x:row>
    <x:row r="952">
      <x:c r="A952" s="83" t="n">
        <x:v>951</x:v>
      </x:c>
      <x:c r="B952" s="84" t="str">
        <x:v>OS-2024-00951</x:v>
      </x:c>
      <x:c r="C952" s="84" t="n">
        <x:v>2</x:v>
      </x:c>
      <x:c r="D952" s="84" t="n">
        <x:v>3</x:v>
      </x:c>
      <x:c r="E952" s="84"/>
      <x:c r="F952" s="89" t="n">
        <x:v>45364.82693287037</x:v>
      </x:c>
      <x:c r="G952" s="89"/>
      <x:c r="H952" s="89" t="n">
        <x:v>45366.410266203704</x:v>
      </x:c>
      <x:c r="I952" s="89" t="n">
        <x:v>45367.07693287037</x:v>
      </x:c>
      <x:c r="J952" s="84" t="str">
        <x:v>Alta</x:v>
      </x:c>
      <x:c r="K952" s="84" t="str">
        <x:v>Concluída</x:v>
      </x:c>
      <x:c r="L952" s="84" t="str">
        <x:v>Alarme intermitente</x:v>
      </x:c>
      <x:c r="M952" s="84" t="str">
        <x:v>Falta de lubrificação</x:v>
      </x:c>
      <x:c r="N952" s="84" t="str">
        <x:v>Componente ajustado ou substituído</x:v>
      </x:c>
      <x:c r="O952" s="84" t="n">
        <x:v>0</x:v>
      </x:c>
      <x:c r="P952" s="93" t="n">
        <x:v>353.99</x:v>
      </x:c>
      <x:c r="Q952" s="93" t="n">
        <x:v>0</x:v>
      </x:c>
      <x:c r="R952" s="91" t="n">
        <x:v>4697.07</x:v>
      </x:c>
    </x:row>
    <x:row r="953">
      <x:c r="A953" s="83" t="n">
        <x:v>952</x:v>
      </x:c>
      <x:c r="B953" s="84" t="str">
        <x:v>OS-2023-00952</x:v>
      </x:c>
      <x:c r="C953" s="84" t="n">
        <x:v>44</x:v>
      </x:c>
      <x:c r="D953" s="84" t="n">
        <x:v>8</x:v>
      </x:c>
      <x:c r="E953" s="84"/>
      <x:c r="F953" s="89" t="n">
        <x:v>44974.97347222222</x:v>
      </x:c>
      <x:c r="G953" s="89" t="n">
        <x:v>44982.97347222222</x:v>
      </x:c>
      <x:c r="H953" s="89"/>
      <x:c r="I953" s="89"/>
      <x:c r="J953" s="84" t="str">
        <x:v>Crítica</x:v>
      </x:c>
      <x:c r="K953" s="84" t="str">
        <x:v>Planejada</x:v>
      </x:c>
      <x:c r="L953" s="84" t="str">
        <x:v>Superaquecimento</x:v>
      </x:c>
      <x:c r="M953" s="84"/>
      <x:c r="N953" s="84"/>
      <x:c r="O953" s="84" t="n">
        <x:v>0</x:v>
      </x:c>
      <x:c r="P953" s="93" t="n">
        <x:v>0</x:v>
      </x:c>
      <x:c r="Q953" s="93" t="n">
        <x:v>0</x:v>
      </x:c>
      <x:c r="R953" s="91" t="n">
        <x:v>0</x:v>
      </x:c>
    </x:row>
    <x:row r="954">
      <x:c r="A954" s="83" t="n">
        <x:v>953</x:v>
      </x:c>
      <x:c r="B954" s="84" t="str">
        <x:v>OS-2025-00953</x:v>
      </x:c>
      <x:c r="C954" s="84" t="n">
        <x:v>8</x:v>
      </x:c>
      <x:c r="D954" s="84" t="n">
        <x:v>3</x:v>
      </x:c>
      <x:c r="E954" s="84"/>
      <x:c r="F954" s="89" t="n">
        <x:v>45848.29987268519</x:v>
      </x:c>
      <x:c r="G954" s="89"/>
      <x:c r="H954" s="89" t="n">
        <x:v>45849.21653935185</x:v>
      </x:c>
      <x:c r="I954" s="89" t="n">
        <x:v>45850.04987268519</x:v>
      </x:c>
      <x:c r="J954" s="84" t="str">
        <x:v>Crítica</x:v>
      </x:c>
      <x:c r="K954" s="84" t="str">
        <x:v>Concluída</x:v>
      </x:c>
      <x:c r="L954" s="84" t="str">
        <x:v>Desalinhamento</x:v>
      </x:c>
      <x:c r="M954" s="84" t="str">
        <x:v>Falta de lubrificação</x:v>
      </x:c>
      <x:c r="N954" s="84" t="str">
        <x:v>Componente ajustado ou substituído</x:v>
      </x:c>
      <x:c r="O954" s="84" t="n">
        <x:v>0</x:v>
      </x:c>
      <x:c r="P954" s="93" t="n">
        <x:v>342.19</x:v>
      </x:c>
      <x:c r="Q954" s="93" t="n">
        <x:v>686.4</x:v>
      </x:c>
      <x:c r="R954" s="91" t="n">
        <x:v>0</x:v>
      </x:c>
    </x:row>
    <x:row r="955">
      <x:c r="A955" s="83" t="n">
        <x:v>954</x:v>
      </x:c>
      <x:c r="B955" s="84" t="str">
        <x:v>OS-2024-00954</x:v>
      </x:c>
      <x:c r="C955" s="84" t="n">
        <x:v>76</x:v>
      </x:c>
      <x:c r="D955" s="84" t="n">
        <x:v>1</x:v>
      </x:c>
      <x:c r="E955" s="84" t="n">
        <x:v>152</x:v>
      </x:c>
      <x:c r="F955" s="89" t="n">
        <x:v>45478.62709490741</x:v>
      </x:c>
      <x:c r="G955" s="89" t="n">
        <x:v>45491.62709490741</x:v>
      </x:c>
      <x:c r="H955" s="89"/>
      <x:c r="I955" s="89"/>
      <x:c r="J955" s="84" t="str">
        <x:v>Alta</x:v>
      </x:c>
      <x:c r="K955" s="84" t="str">
        <x:v>Planejada</x:v>
      </x:c>
      <x:c r="L955" s="84" t="str">
        <x:v>Vazamento</x:v>
      </x:c>
      <x:c r="M955" s="84"/>
      <x:c r="N955" s="84"/>
      <x:c r="O955" s="84" t="n">
        <x:v>0</x:v>
      </x:c>
      <x:c r="P955" s="93" t="n">
        <x:v>0</x:v>
      </x:c>
      <x:c r="Q955" s="93" t="n">
        <x:v>0</x:v>
      </x:c>
      <x:c r="R955" s="91" t="n">
        <x:v>0</x:v>
      </x:c>
    </x:row>
    <x:row r="956">
      <x:c r="A956" s="83" t="n">
        <x:v>955</x:v>
      </x:c>
      <x:c r="B956" s="84" t="str">
        <x:v>OS-2023-00955</x:v>
      </x:c>
      <x:c r="C956" s="84" t="n">
        <x:v>38</x:v>
      </x:c>
      <x:c r="D956" s="84" t="n">
        <x:v>4</x:v>
      </x:c>
      <x:c r="E956" s="84"/>
      <x:c r="F956" s="89" t="n">
        <x:v>45273.91390046296</x:v>
      </x:c>
      <x:c r="G956" s="89" t="n">
        <x:v>45275.91390046296</x:v>
      </x:c>
      <x:c r="H956" s="89"/>
      <x:c r="I956" s="89"/>
      <x:c r="J956" s="84" t="str">
        <x:v>Baixa</x:v>
      </x:c>
      <x:c r="K956" s="84" t="str">
        <x:v>Planejada</x:v>
      </x:c>
      <x:c r="L956" s="84" t="str">
        <x:v>Ruído anormal</x:v>
      </x:c>
      <x:c r="M956" s="84"/>
      <x:c r="N956" s="84"/>
      <x:c r="O956" s="84" t="n">
        <x:v>0</x:v>
      </x:c>
      <x:c r="P956" s="93" t="n">
        <x:v>0</x:v>
      </x:c>
      <x:c r="Q956" s="93" t="n">
        <x:v>0</x:v>
      </x:c>
      <x:c r="R956" s="91" t="n">
        <x:v>0</x:v>
      </x:c>
    </x:row>
    <x:row r="957">
      <x:c r="A957" s="83" t="n">
        <x:v>956</x:v>
      </x:c>
      <x:c r="B957" s="84" t="str">
        <x:v>OS-2024-00956</x:v>
      </x:c>
      <x:c r="C957" s="84" t="n">
        <x:v>26</x:v>
      </x:c>
      <x:c r="D957" s="84" t="n">
        <x:v>1</x:v>
      </x:c>
      <x:c r="E957" s="84" t="n">
        <x:v>52</x:v>
      </x:c>
      <x:c r="F957" s="89" t="n">
        <x:v>45408.535844907405</x:v>
      </x:c>
      <x:c r="G957" s="89" t="n">
        <x:v>45422.535844907405</x:v>
      </x:c>
      <x:c r="H957" s="89" t="n">
        <x:v>45409.452511574076</x:v>
      </x:c>
      <x:c r="I957" s="89" t="n">
        <x:v>45409.99417824074</x:v>
      </x:c>
      <x:c r="J957" s="84" t="str">
        <x:v>Crítica</x:v>
      </x:c>
      <x:c r="K957" s="84" t="str">
        <x:v>Encerrada</x:v>
      </x:c>
      <x:c r="L957" s="84" t="str">
        <x:v>Vazamento</x:v>
      </x:c>
      <x:c r="M957" s="84" t="str">
        <x:v>Componente danificado</x:v>
      </x:c>
      <x:c r="N957" s="84" t="str">
        <x:v>Componente ajustado ou substituído</x:v>
      </x:c>
      <x:c r="O957" s="84" t="n">
        <x:v>0</x:v>
      </x:c>
      <x:c r="P957" s="93" t="n">
        <x:v>599.03</x:v>
      </x:c>
      <x:c r="Q957" s="93" t="n">
        <x:v>3690.08</x:v>
      </x:c>
      <x:c r="R957" s="91" t="n">
        <x:v>0</x:v>
      </x:c>
    </x:row>
    <x:row r="958">
      <x:c r="A958" s="83" t="n">
        <x:v>957</x:v>
      </x:c>
      <x:c r="B958" s="84" t="str">
        <x:v>OS-2024-00957</x:v>
      </x:c>
      <x:c r="C958" s="84" t="n">
        <x:v>80</x:v>
      </x:c>
      <x:c r="D958" s="84" t="n">
        <x:v>2</x:v>
      </x:c>
      <x:c r="E958" s="84"/>
      <x:c r="F958" s="89" t="n">
        <x:v>45595.28157407408</x:v>
      </x:c>
      <x:c r="G958" s="89" t="n">
        <x:v>45603.28157407408</x:v>
      </x:c>
      <x:c r="H958" s="89" t="n">
        <x:v>45597.114907407406</x:v>
      </x:c>
      <x:c r="I958" s="89"/>
      <x:c r="J958" s="84" t="str">
        <x:v>Média</x:v>
      </x:c>
      <x:c r="K958" s="84" t="str">
        <x:v>Em execução</x:v>
      </x:c>
      <x:c r="L958" s="84" t="str">
        <x:v>Falha elétrica</x:v>
      </x:c>
      <x:c r="M958" s="84" t="str">
        <x:v>Componente danificado</x:v>
      </x:c>
      <x:c r="N958" s="84"/>
      <x:c r="O958" s="84" t="n">
        <x:v>0</x:v>
      </x:c>
      <x:c r="P958" s="93" t="n">
        <x:v>696.76</x:v>
      </x:c>
      <x:c r="Q958" s="93" t="n">
        <x:v>7657.59</x:v>
      </x:c>
      <x:c r="R958" s="91" t="n">
        <x:v>0</x:v>
      </x:c>
    </x:row>
    <x:row r="959">
      <x:c r="A959" s="83" t="n">
        <x:v>958</x:v>
      </x:c>
      <x:c r="B959" s="84" t="str">
        <x:v>OS-2024-00958</x:v>
      </x:c>
      <x:c r="C959" s="84" t="n">
        <x:v>44</x:v>
      </x:c>
      <x:c r="D959" s="84" t="n">
        <x:v>3</x:v>
      </x:c>
      <x:c r="E959" s="84"/>
      <x:c r="F959" s="89" t="n">
        <x:v>45518.290613425925</x:v>
      </x:c>
      <x:c r="G959" s="89"/>
      <x:c r="H959" s="89" t="n">
        <x:v>45518.49894675926</x:v>
      </x:c>
      <x:c r="I959" s="89"/>
      <x:c r="J959" s="84" t="str">
        <x:v>Crítica</x:v>
      </x:c>
      <x:c r="K959" s="84" t="str">
        <x:v>Em execução</x:v>
      </x:c>
      <x:c r="L959" s="84" t="str">
        <x:v>Vazamento</x:v>
      </x:c>
      <x:c r="M959" s="84" t="str">
        <x:v>Conexão frouxa</x:v>
      </x:c>
      <x:c r="N959" s="84"/>
      <x:c r="O959" s="84" t="n">
        <x:v>0</x:v>
      </x:c>
      <x:c r="P959" s="93" t="n">
        <x:v>254.31</x:v>
      </x:c>
      <x:c r="Q959" s="93" t="n">
        <x:v>15831.55</x:v>
      </x:c>
      <x:c r="R959" s="91" t="n">
        <x:v>0</x:v>
      </x:c>
    </x:row>
    <x:row r="960">
      <x:c r="A960" s="83" t="n">
        <x:v>959</x:v>
      </x:c>
      <x:c r="B960" s="84" t="str">
        <x:v>OS-2023-00959</x:v>
      </x:c>
      <x:c r="C960" s="84" t="n">
        <x:v>85</x:v>
      </x:c>
      <x:c r="D960" s="84" t="n">
        <x:v>2</x:v>
      </x:c>
      <x:c r="E960" s="84"/>
      <x:c r="F960" s="89" t="n">
        <x:v>44962.823969907404</x:v>
      </x:c>
      <x:c r="G960" s="89" t="n">
        <x:v>44974.823969907404</x:v>
      </x:c>
      <x:c r="H960" s="89" t="n">
        <x:v>44963.823969907404</x:v>
      </x:c>
      <x:c r="I960" s="89" t="n">
        <x:v>44964.03230324074</x:v>
      </x:c>
      <x:c r="J960" s="84" t="str">
        <x:v>Crítica</x:v>
      </x:c>
      <x:c r="K960" s="84" t="str">
        <x:v>Concluída</x:v>
      </x:c>
      <x:c r="L960" s="84" t="str">
        <x:v>Ruído anormal</x:v>
      </x:c>
      <x:c r="M960" s="84" t="str">
        <x:v>Contaminação</x:v>
      </x:c>
      <x:c r="N960" s="84" t="str">
        <x:v>Componente ajustado ou substituído</x:v>
      </x:c>
      <x:c r="O960" s="84" t="n">
        <x:v>0</x:v>
      </x:c>
      <x:c r="P960" s="93" t="n">
        <x:v>411.09</x:v>
      </x:c>
      <x:c r="Q960" s="93" t="n">
        <x:v>7994.74</x:v>
      </x:c>
      <x:c r="R960" s="91" t="n">
        <x:v>0</x:v>
      </x:c>
    </x:row>
    <x:row r="961">
      <x:c r="A961" s="83" t="n">
        <x:v>960</x:v>
      </x:c>
      <x:c r="B961" s="84" t="str">
        <x:v>OS-2025-00960</x:v>
      </x:c>
      <x:c r="C961" s="84" t="n">
        <x:v>73</x:v>
      </x:c>
      <x:c r="D961" s="84" t="n">
        <x:v>3</x:v>
      </x:c>
      <x:c r="E961" s="84"/>
      <x:c r="F961" s="89" t="n">
        <x:v>45816.589733796296</x:v>
      </x:c>
      <x:c r="G961" s="89"/>
      <x:c r="H961" s="89" t="n">
        <x:v>45819.13140046296</x:v>
      </x:c>
      <x:c r="I961" s="89" t="n">
        <x:v>45819.42306712963</x:v>
      </x:c>
      <x:c r="J961" s="84" t="str">
        <x:v>Alta</x:v>
      </x:c>
      <x:c r="K961" s="84" t="str">
        <x:v>Concluída</x:v>
      </x:c>
      <x:c r="L961" s="84" t="str">
        <x:v>Desalinhamento</x:v>
      </x:c>
      <x:c r="M961" s="84" t="str">
        <x:v>Ajuste incorreto</x:v>
      </x:c>
      <x:c r="N961" s="84" t="str">
        <x:v>Componente ajustado ou substituído</x:v>
      </x:c>
      <x:c r="O961" s="84" t="n">
        <x:v>0</x:v>
      </x:c>
      <x:c r="P961" s="93" t="n">
        <x:v>613.04</x:v>
      </x:c>
      <x:c r="Q961" s="93" t="n">
        <x:v>0</x:v>
      </x:c>
      <x:c r="R961" s="91" t="n">
        <x:v>0</x:v>
      </x:c>
    </x:row>
    <x:row r="962">
      <x:c r="A962" s="83" t="n">
        <x:v>961</x:v>
      </x:c>
      <x:c r="B962" s="84" t="str">
        <x:v>OS-2025-00961</x:v>
      </x:c>
      <x:c r="C962" s="84" t="n">
        <x:v>71</x:v>
      </x:c>
      <x:c r="D962" s="84" t="n">
        <x:v>1</x:v>
      </x:c>
      <x:c r="E962" s="84" t="n">
        <x:v>142</x:v>
      </x:c>
      <x:c r="F962" s="89" t="n">
        <x:v>45720.28159722222</x:v>
      </x:c>
      <x:c r="G962" s="89" t="n">
        <x:v>45734.28159722222</x:v>
      </x:c>
      <x:c r="H962" s="89" t="n">
        <x:v>45721.03159722222</x:v>
      </x:c>
      <x:c r="I962" s="89" t="n">
        <x:v>45721.86493055556</x:v>
      </x:c>
      <x:c r="J962" s="84" t="str">
        <x:v>Alta</x:v>
      </x:c>
      <x:c r="K962" s="84" t="str">
        <x:v>Concluída</x:v>
      </x:c>
      <x:c r="L962" s="84" t="str">
        <x:v>Alarme intermitente</x:v>
      </x:c>
      <x:c r="M962" s="84" t="str">
        <x:v>Desgaste natural</x:v>
      </x:c>
      <x:c r="N962" s="84" t="str">
        <x:v>Componente ajustado ou substituído</x:v>
      </x:c>
      <x:c r="O962" s="84" t="n">
        <x:v>0</x:v>
      </x:c>
      <x:c r="P962" s="93" t="n">
        <x:v>136.65</x:v>
      </x:c>
      <x:c r="Q962" s="93" t="n">
        <x:v>4969.05</x:v>
      </x:c>
      <x:c r="R962" s="91" t="n">
        <x:v>0</x:v>
      </x:c>
    </x:row>
    <x:row r="963">
      <x:c r="A963" s="83" t="n">
        <x:v>962</x:v>
      </x:c>
      <x:c r="B963" s="84" t="str">
        <x:v>OS-2024-00962</x:v>
      </x:c>
      <x:c r="C963" s="84" t="n">
        <x:v>82</x:v>
      </x:c>
      <x:c r="D963" s="84" t="n">
        <x:v>3</x:v>
      </x:c>
      <x:c r="E963" s="84"/>
      <x:c r="F963" s="89" t="n">
        <x:v>45428.420023148145</x:v>
      </x:c>
      <x:c r="G963" s="89"/>
      <x:c r="H963" s="89" t="n">
        <x:v>45429.836689814816</x:v>
      </x:c>
      <x:c r="I963" s="89" t="n">
        <x:v>45430.295023148145</x:v>
      </x:c>
      <x:c r="J963" s="84" t="str">
        <x:v>Alta</x:v>
      </x:c>
      <x:c r="K963" s="84" t="str">
        <x:v>Encerrada</x:v>
      </x:c>
      <x:c r="L963" s="84" t="str">
        <x:v>Vazamento</x:v>
      </x:c>
      <x:c r="M963" s="84" t="str">
        <x:v>Conexão frouxa</x:v>
      </x:c>
      <x:c r="N963" s="84" t="str">
        <x:v>Componente ajustado ou substituído</x:v>
      </x:c>
      <x:c r="O963" s="84" t="n">
        <x:v>0</x:v>
      </x:c>
      <x:c r="P963" s="93" t="n">
        <x:v>301.68</x:v>
      </x:c>
      <x:c r="Q963" s="93" t="n">
        <x:v>1983.52</x:v>
      </x:c>
      <x:c r="R963" s="91" t="n">
        <x:v>0</x:v>
      </x:c>
    </x:row>
    <x:row r="964">
      <x:c r="A964" s="83" t="n">
        <x:v>963</x:v>
      </x:c>
      <x:c r="B964" s="84" t="str">
        <x:v>OS-2023-00963</x:v>
      </x:c>
      <x:c r="C964" s="84" t="n">
        <x:v>55</x:v>
      </x:c>
      <x:c r="D964" s="84" t="n">
        <x:v>2</x:v>
      </x:c>
      <x:c r="E964" s="84"/>
      <x:c r="F964" s="89" t="n">
        <x:v>45125.06513888889</x:v>
      </x:c>
      <x:c r="G964" s="89" t="n">
        <x:v>45129.06513888889</x:v>
      </x:c>
      <x:c r="H964" s="89" t="n">
        <x:v>45127.77347222222</x:v>
      </x:c>
      <x:c r="I964" s="89" t="n">
        <x:v>45128.48180555556</x:v>
      </x:c>
      <x:c r="J964" s="84" t="str">
        <x:v>Baixa</x:v>
      </x:c>
      <x:c r="K964" s="84" t="str">
        <x:v>Encerrada</x:v>
      </x:c>
      <x:c r="L964" s="84" t="str">
        <x:v>Ruído anormal</x:v>
      </x:c>
      <x:c r="M964" s="84" t="str">
        <x:v>Desgaste natural</x:v>
      </x:c>
      <x:c r="N964" s="84" t="str">
        <x:v>Componente ajustado ou substituído</x:v>
      </x:c>
      <x:c r="O964" s="84" t="n">
        <x:v>0</x:v>
      </x:c>
      <x:c r="P964" s="93" t="n">
        <x:v>330.2</x:v>
      </x:c>
      <x:c r="Q964" s="93" t="n">
        <x:v>0</x:v>
      </x:c>
      <x:c r="R964" s="91" t="n">
        <x:v>0</x:v>
      </x:c>
    </x:row>
    <x:row r="965">
      <x:c r="A965" s="83" t="n">
        <x:v>964</x:v>
      </x:c>
      <x:c r="B965" s="84" t="str">
        <x:v>OS-2024-00964</x:v>
      </x:c>
      <x:c r="C965" s="84" t="n">
        <x:v>86</x:v>
      </x:c>
      <x:c r="D965" s="84" t="n">
        <x:v>4</x:v>
      </x:c>
      <x:c r="E965" s="84"/>
      <x:c r="F965" s="89" t="n">
        <x:v>45356.34318287037</x:v>
      </x:c>
      <x:c r="G965" s="89" t="n">
        <x:v>45359.34318287037</x:v>
      </x:c>
      <x:c r="H965" s="89" t="n">
        <x:v>45357.84318287037</x:v>
      </x:c>
      <x:c r="I965" s="89" t="n">
        <x:v>45358.176516203705</x:v>
      </x:c>
      <x:c r="J965" s="84" t="str">
        <x:v>Alta</x:v>
      </x:c>
      <x:c r="K965" s="84" t="str">
        <x:v>Encerrada</x:v>
      </x:c>
      <x:c r="L965" s="84" t="str">
        <x:v>Ruído anormal</x:v>
      </x:c>
      <x:c r="M965" s="84" t="str">
        <x:v>Conexão frouxa</x:v>
      </x:c>
      <x:c r="N965" s="84" t="str">
        <x:v>Componente ajustado ou substituído</x:v>
      </x:c>
      <x:c r="O965" s="84" t="n">
        <x:v>0</x:v>
      </x:c>
      <x:c r="P965" s="93" t="n">
        <x:v>433.14</x:v>
      </x:c>
      <x:c r="Q965" s="93" t="n">
        <x:v>5197.7</x:v>
      </x:c>
      <x:c r="R965" s="91" t="n">
        <x:v>0</x:v>
      </x:c>
    </x:row>
    <x:row r="966">
      <x:c r="A966" s="83" t="n">
        <x:v>965</x:v>
      </x:c>
      <x:c r="B966" s="84" t="str">
        <x:v>OS-2024-00965</x:v>
      </x:c>
      <x:c r="C966" s="84" t="n">
        <x:v>35</x:v>
      </x:c>
      <x:c r="D966" s="84" t="n">
        <x:v>3</x:v>
      </x:c>
      <x:c r="E966" s="84"/>
      <x:c r="F966" s="89" t="n">
        <x:v>45366.607939814814</x:v>
      </x:c>
      <x:c r="G966" s="89"/>
      <x:c r="H966" s="89" t="n">
        <x:v>45368.857939814814</x:v>
      </x:c>
      <x:c r="I966" s="89" t="n">
        <x:v>45369.56627314815</x:v>
      </x:c>
      <x:c r="J966" s="84" t="str">
        <x:v>Alta</x:v>
      </x:c>
      <x:c r="K966" s="84" t="str">
        <x:v>Encerrada</x:v>
      </x:c>
      <x:c r="L966" s="84" t="str">
        <x:v>Vazamento</x:v>
      </x:c>
      <x:c r="M966" s="84" t="str">
        <x:v>Componente danificado</x:v>
      </x:c>
      <x:c r="N966" s="84" t="str">
        <x:v>Componente ajustado ou substituído</x:v>
      </x:c>
      <x:c r="O966" s="84" t="n">
        <x:v>0</x:v>
      </x:c>
      <x:c r="P966" s="93" t="n">
        <x:v>281.95</x:v>
      </x:c>
      <x:c r="Q966" s="93" t="n">
        <x:v>0</x:v>
      </x:c>
      <x:c r="R966" s="91" t="n">
        <x:v>0</x:v>
      </x:c>
    </x:row>
    <x:row r="967">
      <x:c r="A967" s="83" t="n">
        <x:v>966</x:v>
      </x:c>
      <x:c r="B967" s="84" t="str">
        <x:v>OS-2024-00966</x:v>
      </x:c>
      <x:c r="C967" s="84" t="n">
        <x:v>31</x:v>
      </x:c>
      <x:c r="D967" s="84" t="n">
        <x:v>8</x:v>
      </x:c>
      <x:c r="E967" s="84"/>
      <x:c r="F967" s="89" t="n">
        <x:v>45549.35359953704</x:v>
      </x:c>
      <x:c r="G967" s="89" t="n">
        <x:v>45552.35359953704</x:v>
      </x:c>
      <x:c r="H967" s="89" t="n">
        <x:v>45551.770266203705</x:v>
      </x:c>
      <x:c r="I967" s="89" t="n">
        <x:v>45552.31193287037</x:v>
      </x:c>
      <x:c r="J967" s="84" t="str">
        <x:v>Crítica</x:v>
      </x:c>
      <x:c r="K967" s="84" t="str">
        <x:v>Encerrada</x:v>
      </x:c>
      <x:c r="L967" s="84" t="str">
        <x:v>Falha elétrica</x:v>
      </x:c>
      <x:c r="M967" s="84" t="str">
        <x:v>Contaminação</x:v>
      </x:c>
      <x:c r="N967" s="84" t="str">
        <x:v>Componente ajustado ou substituído</x:v>
      </x:c>
      <x:c r="O967" s="84" t="n">
        <x:v>0</x:v>
      </x:c>
      <x:c r="P967" s="93" t="n">
        <x:v>200.16</x:v>
      </x:c>
      <x:c r="Q967" s="93" t="n">
        <x:v>8622.57</x:v>
      </x:c>
      <x:c r="R967" s="91" t="n">
        <x:v>0</x:v>
      </x:c>
    </x:row>
    <x:row r="968">
      <x:c r="A968" s="83" t="n">
        <x:v>967</x:v>
      </x:c>
      <x:c r="B968" s="84" t="str">
        <x:v>OS-2025-00967</x:v>
      </x:c>
      <x:c r="C968" s="84" t="n">
        <x:v>79</x:v>
      </x:c>
      <x:c r="D968" s="84" t="n">
        <x:v>1</x:v>
      </x:c>
      <x:c r="E968" s="84" t="n">
        <x:v>158</x:v>
      </x:c>
      <x:c r="F968" s="89" t="n">
        <x:v>45799.07278935185</x:v>
      </x:c>
      <x:c r="G968" s="89" t="n">
        <x:v>45802.07278935185</x:v>
      </x:c>
      <x:c r="H968" s="89" t="n">
        <x:v>45799.19778935185</x:v>
      </x:c>
      <x:c r="I968" s="89" t="n">
        <x:v>45799.32278935185</x:v>
      </x:c>
      <x:c r="J968" s="84" t="str">
        <x:v>Alta</x:v>
      </x:c>
      <x:c r="K968" s="84" t="str">
        <x:v>Encerrada</x:v>
      </x:c>
      <x:c r="L968" s="84" t="str">
        <x:v>Vazamento</x:v>
      </x:c>
      <x:c r="M968" s="84" t="str">
        <x:v>Contaminação</x:v>
      </x:c>
      <x:c r="N968" s="84" t="str">
        <x:v>Componente ajustado ou substituído</x:v>
      </x:c>
      <x:c r="O968" s="84" t="n">
        <x:v>0</x:v>
      </x:c>
      <x:c r="P968" s="93" t="n">
        <x:v>158.46</x:v>
      </x:c>
      <x:c r="Q968" s="93" t="n">
        <x:v>0</x:v>
      </x:c>
      <x:c r="R968" s="91" t="n">
        <x:v>0</x:v>
      </x:c>
    </x:row>
    <x:row r="969">
      <x:c r="A969" s="83" t="n">
        <x:v>968</x:v>
      </x:c>
      <x:c r="B969" s="84" t="str">
        <x:v>OS-2023-00968</x:v>
      </x:c>
      <x:c r="C969" s="84" t="n">
        <x:v>38</x:v>
      </x:c>
      <x:c r="D969" s="84" t="n">
        <x:v>1</x:v>
      </x:c>
      <x:c r="E969" s="84" t="n">
        <x:v>75</x:v>
      </x:c>
      <x:c r="F969" s="89" t="n">
        <x:v>45050.262453703705</x:v>
      </x:c>
      <x:c r="G969" s="89" t="n">
        <x:v>45061.262453703705</x:v>
      </x:c>
      <x:c r="H969" s="89" t="n">
        <x:v>45053.262453703705</x:v>
      </x:c>
      <x:c r="I969" s="89" t="n">
        <x:v>45053.80412037037</x:v>
      </x:c>
      <x:c r="J969" s="84" t="str">
        <x:v>Média</x:v>
      </x:c>
      <x:c r="K969" s="84" t="str">
        <x:v>Encerrada</x:v>
      </x:c>
      <x:c r="L969" s="84" t="str">
        <x:v>Superaquecimento</x:v>
      </x:c>
      <x:c r="M969" s="84" t="str">
        <x:v>Conexão frouxa</x:v>
      </x:c>
      <x:c r="N969" s="84" t="str">
        <x:v>Componente ajustado ou substituído</x:v>
      </x:c>
      <x:c r="O969" s="84" t="n">
        <x:v>0</x:v>
      </x:c>
      <x:c r="P969" s="93" t="n">
        <x:v>43.11</x:v>
      </x:c>
      <x:c r="Q969" s="93" t="n">
        <x:v>0</x:v>
      </x:c>
      <x:c r="R969" s="91" t="n">
        <x:v>0</x:v>
      </x:c>
    </x:row>
    <x:row r="970">
      <x:c r="A970" s="83" t="n">
        <x:v>969</x:v>
      </x:c>
      <x:c r="B970" s="84" t="str">
        <x:v>OS-2023-00969</x:v>
      </x:c>
      <x:c r="C970" s="84" t="n">
        <x:v>68</x:v>
      </x:c>
      <x:c r="D970" s="84" t="n">
        <x:v>2</x:v>
      </x:c>
      <x:c r="E970" s="84"/>
      <x:c r="F970" s="89" t="n">
        <x:v>45113.218981481485</x:v>
      </x:c>
      <x:c r="G970" s="89" t="n">
        <x:v>45122.218981481485</x:v>
      </x:c>
      <x:c r="H970" s="89"/>
      <x:c r="I970" s="89"/>
      <x:c r="J970" s="84" t="str">
        <x:v>Crítica</x:v>
      </x:c>
      <x:c r="K970" s="84" t="str">
        <x:v>Planejada</x:v>
      </x:c>
      <x:c r="L970" s="84" t="str">
        <x:v>Alarme intermitente</x:v>
      </x:c>
      <x:c r="M970" s="84"/>
      <x:c r="N970" s="84"/>
      <x:c r="O970" s="84" t="n">
        <x:v>0</x:v>
      </x:c>
      <x:c r="P970" s="93" t="n">
        <x:v>0</x:v>
      </x:c>
      <x:c r="Q970" s="93" t="n">
        <x:v>0</x:v>
      </x:c>
      <x:c r="R970" s="91" t="n">
        <x:v>0</x:v>
      </x:c>
    </x:row>
    <x:row r="971">
      <x:c r="A971" s="83" t="n">
        <x:v>970</x:v>
      </x:c>
      <x:c r="B971" s="84" t="str">
        <x:v>OS-2025-00970</x:v>
      </x:c>
      <x:c r="C971" s="84" t="n">
        <x:v>21</x:v>
      </x:c>
      <x:c r="D971" s="84" t="n">
        <x:v>1</x:v>
      </x:c>
      <x:c r="E971" s="84" t="n">
        <x:v>42</x:v>
      </x:c>
      <x:c r="F971" s="89" t="n">
        <x:v>45918.364699074074</x:v>
      </x:c>
      <x:c r="G971" s="89" t="n">
        <x:v>45923.364699074074</x:v>
      </x:c>
      <x:c r="H971" s="89" t="n">
        <x:v>45918.53136574074</x:v>
      </x:c>
      <x:c r="I971" s="89" t="n">
        <x:v>45919.15636574074</x:v>
      </x:c>
      <x:c r="J971" s="84" t="str">
        <x:v>Baixa</x:v>
      </x:c>
      <x:c r="K971" s="84" t="str">
        <x:v>Encerrada</x:v>
      </x:c>
      <x:c r="L971" s="84" t="str">
        <x:v>Ruído anormal</x:v>
      </x:c>
      <x:c r="M971" s="84" t="str">
        <x:v>Falta de lubrificação</x:v>
      </x:c>
      <x:c r="N971" s="84" t="str">
        <x:v>Componente ajustado ou substituído</x:v>
      </x:c>
      <x:c r="O971" s="84" t="n">
        <x:v>0</x:v>
      </x:c>
      <x:c r="P971" s="93" t="n">
        <x:v>404.44</x:v>
      </x:c>
      <x:c r="Q971" s="93" t="n">
        <x:v>8832.08</x:v>
      </x:c>
      <x:c r="R971" s="91" t="n">
        <x:v>0</x:v>
      </x:c>
    </x:row>
    <x:row r="972">
      <x:c r="A972" s="83" t="n">
        <x:v>971</x:v>
      </x:c>
      <x:c r="B972" s="84" t="str">
        <x:v>OS-2023-00971</x:v>
      </x:c>
      <x:c r="C972" s="84" t="n">
        <x:v>8</x:v>
      </x:c>
      <x:c r="D972" s="84" t="n">
        <x:v>2</x:v>
      </x:c>
      <x:c r="E972" s="84"/>
      <x:c r="F972" s="89" t="n">
        <x:v>45181.74302083333</x:v>
      </x:c>
      <x:c r="G972" s="89" t="n">
        <x:v>45187.74302083333</x:v>
      </x:c>
      <x:c r="H972" s="89" t="n">
        <x:v>45183.1596875</x:v>
      </x:c>
      <x:c r="I972" s="89"/>
      <x:c r="J972" s="84" t="str">
        <x:v>Baixa</x:v>
      </x:c>
      <x:c r="K972" s="84" t="str">
        <x:v>Em execução</x:v>
      </x:c>
      <x:c r="L972" s="84" t="str">
        <x:v>Falha elétrica</x:v>
      </x:c>
      <x:c r="M972" s="84" t="str">
        <x:v>Contaminação</x:v>
      </x:c>
      <x:c r="N972" s="84"/>
      <x:c r="O972" s="84" t="n">
        <x:v>0</x:v>
      </x:c>
      <x:c r="P972" s="93" t="n">
        <x:v>892.79</x:v>
      </x:c>
      <x:c r="Q972" s="93" t="n">
        <x:v>4189.71</x:v>
      </x:c>
      <x:c r="R972" s="91" t="n">
        <x:v>0</x:v>
      </x:c>
    </x:row>
    <x:row r="973">
      <x:c r="A973" s="83" t="n">
        <x:v>972</x:v>
      </x:c>
      <x:c r="B973" s="84" t="str">
        <x:v>OS-2024-00972</x:v>
      </x:c>
      <x:c r="C973" s="84" t="n">
        <x:v>54</x:v>
      </x:c>
      <x:c r="D973" s="84" t="n">
        <x:v>7</x:v>
      </x:c>
      <x:c r="E973" s="84" t="n">
        <x:v>107</x:v>
      </x:c>
      <x:c r="F973" s="89" t="n">
        <x:v>45336.25533564815</x:v>
      </x:c>
      <x:c r="G973" s="89" t="n">
        <x:v>45338.25533564815</x:v>
      </x:c>
      <x:c r="H973" s="89" t="n">
        <x:v>45337.00533564815</x:v>
      </x:c>
      <x:c r="I973" s="89" t="n">
        <x:v>45337.38033564815</x:v>
      </x:c>
      <x:c r="J973" s="84" t="str">
        <x:v>Crítica</x:v>
      </x:c>
      <x:c r="K973" s="84" t="str">
        <x:v>Encerrada</x:v>
      </x:c>
      <x:c r="L973" s="84" t="str">
        <x:v>Superaquecimento</x:v>
      </x:c>
      <x:c r="M973" s="84" t="str">
        <x:v>Desgaste natural</x:v>
      </x:c>
      <x:c r="N973" s="84" t="str">
        <x:v>Componente ajustado ou substituído</x:v>
      </x:c>
      <x:c r="O973" s="84" t="n">
        <x:v>0</x:v>
      </x:c>
      <x:c r="P973" s="93" t="n">
        <x:v>334.38</x:v>
      </x:c>
      <x:c r="Q973" s="93" t="n">
        <x:v>0</x:v>
      </x:c>
      <x:c r="R973" s="91" t="n">
        <x:v>0</x:v>
      </x:c>
    </x:row>
    <x:row r="974">
      <x:c r="A974" s="83" t="n">
        <x:v>973</x:v>
      </x:c>
      <x:c r="B974" s="84" t="str">
        <x:v>OS-2023-00973</x:v>
      </x:c>
      <x:c r="C974" s="84" t="n">
        <x:v>70</x:v>
      </x:c>
      <x:c r="D974" s="84" t="n">
        <x:v>1</x:v>
      </x:c>
      <x:c r="E974" s="84" t="n">
        <x:v>140</x:v>
      </x:c>
      <x:c r="F974" s="89" t="n">
        <x:v>45093.99015046296</x:v>
      </x:c>
      <x:c r="G974" s="89" t="n">
        <x:v>45103.99015046296</x:v>
      </x:c>
      <x:c r="H974" s="89" t="n">
        <x:v>45096.698483796295</x:v>
      </x:c>
      <x:c r="I974" s="89" t="n">
        <x:v>45097.03181712963</x:v>
      </x:c>
      <x:c r="J974" s="84" t="str">
        <x:v>Baixa</x:v>
      </x:c>
      <x:c r="K974" s="84" t="str">
        <x:v>Encerrada</x:v>
      </x:c>
      <x:c r="L974" s="84" t="str">
        <x:v>Desalinhamento</x:v>
      </x:c>
      <x:c r="M974" s="84" t="str">
        <x:v>Falta de lubrificação</x:v>
      </x:c>
      <x:c r="N974" s="84" t="str">
        <x:v>Componente ajustado ou substituído</x:v>
      </x:c>
      <x:c r="O974" s="84" t="n">
        <x:v>0</x:v>
      </x:c>
      <x:c r="P974" s="93" t="n">
        <x:v>490.89</x:v>
      </x:c>
      <x:c r="Q974" s="93" t="n">
        <x:v>6394.74</x:v>
      </x:c>
      <x:c r="R974" s="91" t="n">
        <x:v>0</x:v>
      </x:c>
    </x:row>
    <x:row r="975">
      <x:c r="A975" s="83" t="n">
        <x:v>974</x:v>
      </x:c>
      <x:c r="B975" s="84" t="str">
        <x:v>OS-2024-00974</x:v>
      </x:c>
      <x:c r="C975" s="84" t="n">
        <x:v>77</x:v>
      </x:c>
      <x:c r="D975" s="84" t="n">
        <x:v>1</x:v>
      </x:c>
      <x:c r="E975" s="84" t="n">
        <x:v>153</x:v>
      </x:c>
      <x:c r="F975" s="89" t="n">
        <x:v>45461.02532407407</x:v>
      </x:c>
      <x:c r="G975" s="89" t="n">
        <x:v>45465.02532407407</x:v>
      </x:c>
      <x:c r="H975" s="89" t="n">
        <x:v>45462.02532407407</x:v>
      </x:c>
      <x:c r="I975" s="89" t="n">
        <x:v>45462.10865740741</x:v>
      </x:c>
      <x:c r="J975" s="84" t="str">
        <x:v>Alta</x:v>
      </x:c>
      <x:c r="K975" s="84" t="str">
        <x:v>Concluída</x:v>
      </x:c>
      <x:c r="L975" s="84" t="str">
        <x:v>Baixa pressão</x:v>
      </x:c>
      <x:c r="M975" s="84" t="str">
        <x:v>Conexão frouxa</x:v>
      </x:c>
      <x:c r="N975" s="84" t="str">
        <x:v>Componente ajustado ou substituído</x:v>
      </x:c>
      <x:c r="O975" s="84" t="n">
        <x:v>0</x:v>
      </x:c>
      <x:c r="P975" s="93" t="n">
        <x:v>880.22</x:v>
      </x:c>
      <x:c r="Q975" s="93" t="n">
        <x:v>6815.82</x:v>
      </x:c>
      <x:c r="R975" s="91" t="n">
        <x:v>0</x:v>
      </x:c>
    </x:row>
    <x:row r="976">
      <x:c r="A976" s="83" t="n">
        <x:v>975</x:v>
      </x:c>
      <x:c r="B976" s="84" t="str">
        <x:v>OS-2024-00975</x:v>
      </x:c>
      <x:c r="C976" s="84" t="n">
        <x:v>71</x:v>
      </x:c>
      <x:c r="D976" s="84" t="n">
        <x:v>7</x:v>
      </x:c>
      <x:c r="E976" s="84" t="n">
        <x:v>141</x:v>
      </x:c>
      <x:c r="F976" s="89" t="n">
        <x:v>45582.06542824074</x:v>
      </x:c>
      <x:c r="G976" s="89" t="n">
        <x:v>45584.06542824074</x:v>
      </x:c>
      <x:c r="H976" s="89" t="n">
        <x:v>45583.857094907406</x:v>
      </x:c>
      <x:c r="I976" s="89" t="n">
        <x:v>45584.357094907406</x:v>
      </x:c>
      <x:c r="J976" s="84" t="str">
        <x:v>Média</x:v>
      </x:c>
      <x:c r="K976" s="84" t="str">
        <x:v>Encerrada</x:v>
      </x:c>
      <x:c r="L976" s="84" t="str">
        <x:v>Desalinhamento</x:v>
      </x:c>
      <x:c r="M976" s="84" t="str">
        <x:v>Falta de lubrificação</x:v>
      </x:c>
      <x:c r="N976" s="84" t="str">
        <x:v>Componente ajustado ou substituído</x:v>
      </x:c>
      <x:c r="O976" s="84" t="n">
        <x:v>0</x:v>
      </x:c>
      <x:c r="P976" s="93" t="n">
        <x:v>390.57</x:v>
      </x:c>
      <x:c r="Q976" s="93" t="n">
        <x:v>0</x:v>
      </x:c>
      <x:c r="R976" s="91" t="n">
        <x:v>7639.5</x:v>
      </x:c>
    </x:row>
    <x:row r="977">
      <x:c r="A977" s="83" t="n">
        <x:v>976</x:v>
      </x:c>
      <x:c r="B977" s="84" t="str">
        <x:v>OS-2023-00976</x:v>
      </x:c>
      <x:c r="C977" s="84" t="n">
        <x:v>74</x:v>
      </x:c>
      <x:c r="D977" s="84" t="n">
        <x:v>2</x:v>
      </x:c>
      <x:c r="E977" s="84"/>
      <x:c r="F977" s="89" t="n">
        <x:v>45092.52101851852</x:v>
      </x:c>
      <x:c r="G977" s="89" t="n">
        <x:v>45105.52101851852</x:v>
      </x:c>
      <x:c r="H977" s="89"/>
      <x:c r="I977" s="89"/>
      <x:c r="J977" s="84" t="str">
        <x:v>Média</x:v>
      </x:c>
      <x:c r="K977" s="84" t="str">
        <x:v>Planejada</x:v>
      </x:c>
      <x:c r="L977" s="84" t="str">
        <x:v>Superaquecimento</x:v>
      </x:c>
      <x:c r="M977" s="84"/>
      <x:c r="N977" s="84"/>
      <x:c r="O977" s="84" t="n">
        <x:v>0</x:v>
      </x:c>
      <x:c r="P977" s="93" t="n">
        <x:v>0</x:v>
      </x:c>
      <x:c r="Q977" s="93" t="n">
        <x:v>0</x:v>
      </x:c>
      <x:c r="R977" s="91" t="n">
        <x:v>0</x:v>
      </x:c>
    </x:row>
    <x:row r="978">
      <x:c r="A978" s="83" t="n">
        <x:v>977</x:v>
      </x:c>
      <x:c r="B978" s="84" t="str">
        <x:v>OS-2025-00977</x:v>
      </x:c>
      <x:c r="C978" s="84" t="n">
        <x:v>7</x:v>
      </x:c>
      <x:c r="D978" s="84" t="n">
        <x:v>3</x:v>
      </x:c>
      <x:c r="E978" s="84"/>
      <x:c r="F978" s="89" t="n">
        <x:v>45702.42222222222</x:v>
      </x:c>
      <x:c r="G978" s="89"/>
      <x:c r="H978" s="89" t="n">
        <x:v>45703.67222222222</x:v>
      </x:c>
      <x:c r="I978" s="89" t="n">
        <x:v>45704.17222222222</x:v>
      </x:c>
      <x:c r="J978" s="84" t="str">
        <x:v>Baixa</x:v>
      </x:c>
      <x:c r="K978" s="84" t="str">
        <x:v>Encerrada</x:v>
      </x:c>
      <x:c r="L978" s="84" t="str">
        <x:v>Superaquecimento</x:v>
      </x:c>
      <x:c r="M978" s="84" t="str">
        <x:v>Falta de lubrificação</x:v>
      </x:c>
      <x:c r="N978" s="84" t="str">
        <x:v>Componente ajustado ou substituído</x:v>
      </x:c>
      <x:c r="O978" s="84" t="n">
        <x:v>0</x:v>
      </x:c>
      <x:c r="P978" s="93" t="n">
        <x:v>178.14</x:v>
      </x:c>
      <x:c r="Q978" s="93" t="n">
        <x:v>12265.85</x:v>
      </x:c>
      <x:c r="R978" s="91" t="n">
        <x:v>0</x:v>
      </x:c>
    </x:row>
    <x:row r="979">
      <x:c r="A979" s="83" t="n">
        <x:v>978</x:v>
      </x:c>
      <x:c r="B979" s="84" t="str">
        <x:v>OS-2025-00978</x:v>
      </x:c>
      <x:c r="C979" s="84" t="n">
        <x:v>19</x:v>
      </x:c>
      <x:c r="D979" s="84" t="n">
        <x:v>5</x:v>
      </x:c>
      <x:c r="E979" s="84" t="n">
        <x:v>37</x:v>
      </x:c>
      <x:c r="F979" s="89" t="n">
        <x:v>45833.93677083333</x:v>
      </x:c>
      <x:c r="G979" s="89" t="n">
        <x:v>45835.93677083333</x:v>
      </x:c>
      <x:c r="H979" s="89" t="n">
        <x:v>45835.395104166666</x:v>
      </x:c>
      <x:c r="I979" s="89" t="n">
        <x:v>45836.020104166666</x:v>
      </x:c>
      <x:c r="J979" s="84" t="str">
        <x:v>Crítica</x:v>
      </x:c>
      <x:c r="K979" s="84" t="str">
        <x:v>Encerrada</x:v>
      </x:c>
      <x:c r="L979" s="84" t="str">
        <x:v>Baixa pressão</x:v>
      </x:c>
      <x:c r="M979" s="84" t="str">
        <x:v>Ajuste incorreto</x:v>
      </x:c>
      <x:c r="N979" s="84" t="str">
        <x:v>Componente ajustado ou substituído</x:v>
      </x:c>
      <x:c r="O979" s="84" t="n">
        <x:v>0</x:v>
      </x:c>
      <x:c r="P979" s="93" t="n">
        <x:v>33.26</x:v>
      </x:c>
      <x:c r="Q979" s="93" t="n">
        <x:v>6684.86</x:v>
      </x:c>
      <x:c r="R979" s="91" t="n">
        <x:v>0</x:v>
      </x:c>
    </x:row>
    <x:row r="980">
      <x:c r="A980" s="83" t="n">
        <x:v>979</x:v>
      </x:c>
      <x:c r="B980" s="84" t="str">
        <x:v>OS-2025-00979</x:v>
      </x:c>
      <x:c r="C980" s="84" t="n">
        <x:v>41</x:v>
      </x:c>
      <x:c r="D980" s="84" t="n">
        <x:v>3</x:v>
      </x:c>
      <x:c r="E980" s="84"/>
      <x:c r="F980" s="89" t="n">
        <x:v>45989.13675925926</x:v>
      </x:c>
      <x:c r="G980" s="89"/>
      <x:c r="H980" s="89" t="n">
        <x:v>45990.34509259259</x:v>
      </x:c>
      <x:c r="I980" s="89" t="n">
        <x:v>45990.51175925926</x:v>
      </x:c>
      <x:c r="J980" s="84" t="str">
        <x:v>Crítica</x:v>
      </x:c>
      <x:c r="K980" s="84" t="str">
        <x:v>Encerrada</x:v>
      </x:c>
      <x:c r="L980" s="84" t="str">
        <x:v>Ruído anormal</x:v>
      </x:c>
      <x:c r="M980" s="84" t="str">
        <x:v>Desgaste natural</x:v>
      </x:c>
      <x:c r="N980" s="84" t="str">
        <x:v>Componente ajustado ou substituído</x:v>
      </x:c>
      <x:c r="O980" s="84" t="n">
        <x:v>0</x:v>
      </x:c>
      <x:c r="P980" s="93" t="n">
        <x:v>224.99</x:v>
      </x:c>
      <x:c r="Q980" s="93" t="n">
        <x:v>3754.44</x:v>
      </x:c>
      <x:c r="R980" s="91" t="n">
        <x:v>0</x:v>
      </x:c>
    </x:row>
    <x:row r="981">
      <x:c r="A981" s="83" t="n">
        <x:v>980</x:v>
      </x:c>
      <x:c r="B981" s="84" t="str">
        <x:v>OS-2024-00980</x:v>
      </x:c>
      <x:c r="C981" s="84" t="n">
        <x:v>22</x:v>
      </x:c>
      <x:c r="D981" s="84" t="n">
        <x:v>7</x:v>
      </x:c>
      <x:c r="E981" s="84" t="n">
        <x:v>44</x:v>
      </x:c>
      <x:c r="F981" s="89" t="n">
        <x:v>45388.551412037035</x:v>
      </x:c>
      <x:c r="G981" s="89" t="n">
        <x:v>45397.551412037035</x:v>
      </x:c>
      <x:c r="H981" s="89" t="n">
        <x:v>45391.051412037035</x:v>
      </x:c>
      <x:c r="I981" s="89" t="n">
        <x:v>45391.88474537037</x:v>
      </x:c>
      <x:c r="J981" s="84" t="str">
        <x:v>Média</x:v>
      </x:c>
      <x:c r="K981" s="84" t="str">
        <x:v>Encerrada</x:v>
      </x:c>
      <x:c r="L981" s="84" t="str">
        <x:v>Superaquecimento</x:v>
      </x:c>
      <x:c r="M981" s="84" t="str">
        <x:v>Desgaste natural</x:v>
      </x:c>
      <x:c r="N981" s="84" t="str">
        <x:v>Componente ajustado ou substituído</x:v>
      </x:c>
      <x:c r="O981" s="84" t="n">
        <x:v>0</x:v>
      </x:c>
      <x:c r="P981" s="93" t="n">
        <x:v>310.06</x:v>
      </x:c>
      <x:c r="Q981" s="93" t="n">
        <x:v>4725.18</x:v>
      </x:c>
      <x:c r="R981" s="91" t="n">
        <x:v>0</x:v>
      </x:c>
    </x:row>
    <x:row r="982">
      <x:c r="A982" s="83" t="n">
        <x:v>981</x:v>
      </x:c>
      <x:c r="B982" s="84" t="str">
        <x:v>OS-2023-00981</x:v>
      </x:c>
      <x:c r="C982" s="84" t="n">
        <x:v>33</x:v>
      </x:c>
      <x:c r="D982" s="84" t="n">
        <x:v>7</x:v>
      </x:c>
      <x:c r="E982" s="84" t="n">
        <x:v>66</x:v>
      </x:c>
      <x:c r="F982" s="89" t="n">
        <x:v>45067.84181712963</x:v>
      </x:c>
      <x:c r="G982" s="89" t="n">
        <x:v>45070.84181712963</x:v>
      </x:c>
      <x:c r="H982" s="89" t="n">
        <x:v>45069.34181712963</x:v>
      </x:c>
      <x:c r="I982" s="89"/>
      <x:c r="J982" s="84" t="str">
        <x:v>Média</x:v>
      </x:c>
      <x:c r="K982" s="84" t="str">
        <x:v>Aguardando peça</x:v>
      </x:c>
      <x:c r="L982" s="84" t="str">
        <x:v>Desalinhamento</x:v>
      </x:c>
      <x:c r="M982" s="84" t="str">
        <x:v>Contaminação</x:v>
      </x:c>
      <x:c r="N982" s="84"/>
      <x:c r="O982" s="84" t="n">
        <x:v>0</x:v>
      </x:c>
      <x:c r="P982" s="93" t="n">
        <x:v>348.6</x:v>
      </x:c>
      <x:c r="Q982" s="93" t="n">
        <x:v>6307.86</x:v>
      </x:c>
      <x:c r="R982" s="91" t="n">
        <x:v>0</x:v>
      </x:c>
    </x:row>
    <x:row r="983">
      <x:c r="A983" s="83" t="n">
        <x:v>982</x:v>
      </x:c>
      <x:c r="B983" s="84" t="str">
        <x:v>OS-2025-00982</x:v>
      </x:c>
      <x:c r="C983" s="84" t="n">
        <x:v>66</x:v>
      </x:c>
      <x:c r="D983" s="84" t="n">
        <x:v>8</x:v>
      </x:c>
      <x:c r="E983" s="84"/>
      <x:c r="F983" s="89" t="n">
        <x:v>45988.84232638889</x:v>
      </x:c>
      <x:c r="G983" s="89" t="n">
        <x:v>45997.84232638889</x:v>
      </x:c>
      <x:c r="H983" s="89" t="n">
        <x:v>45991.55065972222</x:v>
      </x:c>
      <x:c r="I983" s="89" t="n">
        <x:v>45991.84232638889</x:v>
      </x:c>
      <x:c r="J983" s="84" t="str">
        <x:v>Alta</x:v>
      </x:c>
      <x:c r="K983" s="84" t="str">
        <x:v>Encerrada</x:v>
      </x:c>
      <x:c r="L983" s="84" t="str">
        <x:v>Superaquecimento</x:v>
      </x:c>
      <x:c r="M983" s="84" t="str">
        <x:v>Contaminação</x:v>
      </x:c>
      <x:c r="N983" s="84" t="str">
        <x:v>Componente ajustado ou substituído</x:v>
      </x:c>
      <x:c r="O983" s="84" t="n">
        <x:v>0</x:v>
      </x:c>
      <x:c r="P983" s="93" t="n">
        <x:v>298.29</x:v>
      </x:c>
      <x:c r="Q983" s="93" t="n">
        <x:v>8702.48</x:v>
      </x:c>
      <x:c r="R983" s="91" t="n">
        <x:v>5554.15</x:v>
      </x:c>
    </x:row>
    <x:row r="984">
      <x:c r="A984" s="83" t="n">
        <x:v>983</x:v>
      </x:c>
      <x:c r="B984" s="84" t="str">
        <x:v>OS-2023-00983</x:v>
      </x:c>
      <x:c r="C984" s="84" t="n">
        <x:v>36</x:v>
      </x:c>
      <x:c r="D984" s="84" t="n">
        <x:v>4</x:v>
      </x:c>
      <x:c r="E984" s="84"/>
      <x:c r="F984" s="89" t="n">
        <x:v>45180.58631944445</x:v>
      </x:c>
      <x:c r="G984" s="89" t="n">
        <x:v>45192.58631944445</x:v>
      </x:c>
      <x:c r="H984" s="89" t="n">
        <x:v>45182.25298611111</x:v>
      </x:c>
      <x:c r="I984" s="89" t="n">
        <x:v>45182.75298611111</x:v>
      </x:c>
      <x:c r="J984" s="84" t="str">
        <x:v>Média</x:v>
      </x:c>
      <x:c r="K984" s="84" t="str">
        <x:v>Encerrada</x:v>
      </x:c>
      <x:c r="L984" s="84" t="str">
        <x:v>Ruído anormal</x:v>
      </x:c>
      <x:c r="M984" s="84" t="str">
        <x:v>Desgaste natural</x:v>
      </x:c>
      <x:c r="N984" s="84" t="str">
        <x:v>Componente ajustado ou substituído</x:v>
      </x:c>
      <x:c r="O984" s="84" t="n">
        <x:v>0</x:v>
      </x:c>
      <x:c r="P984" s="93" t="n">
        <x:v>130.41</x:v>
      </x:c>
      <x:c r="Q984" s="93" t="n">
        <x:v>8991.6</x:v>
      </x:c>
      <x:c r="R984" s="91" t="n">
        <x:v>0</x:v>
      </x:c>
    </x:row>
    <x:row r="985">
      <x:c r="A985" s="83" t="n">
        <x:v>984</x:v>
      </x:c>
      <x:c r="B985" s="84" t="str">
        <x:v>OS-2024-00984</x:v>
      </x:c>
      <x:c r="C985" s="84" t="n">
        <x:v>50</x:v>
      </x:c>
      <x:c r="D985" s="84" t="n">
        <x:v>7</x:v>
      </x:c>
      <x:c r="E985" s="84" t="n">
        <x:v>100</x:v>
      </x:c>
      <x:c r="F985" s="89" t="n">
        <x:v>45655.06491898148</x:v>
      </x:c>
      <x:c r="G985" s="89" t="n">
        <x:v>45666.06491898148</x:v>
      </x:c>
      <x:c r="H985" s="89" t="n">
        <x:v>45656.23158564815</x:v>
      </x:c>
      <x:c r="I985" s="89" t="n">
        <x:v>45656.773252314815</x:v>
      </x:c>
      <x:c r="J985" s="84" t="str">
        <x:v>Média</x:v>
      </x:c>
      <x:c r="K985" s="84" t="str">
        <x:v>Encerrada</x:v>
      </x:c>
      <x:c r="L985" s="84" t="str">
        <x:v>Superaquecimento</x:v>
      </x:c>
      <x:c r="M985" s="84" t="str">
        <x:v>Componente danificado</x:v>
      </x:c>
      <x:c r="N985" s="84" t="str">
        <x:v>Componente ajustado ou substituído</x:v>
      </x:c>
      <x:c r="O985" s="84" t="n">
        <x:v>0</x:v>
      </x:c>
      <x:c r="P985" s="93" t="n">
        <x:v>35.38</x:v>
      </x:c>
      <x:c r="Q985" s="93" t="n">
        <x:v>733.6</x:v>
      </x:c>
      <x:c r="R985" s="91" t="n">
        <x:v>0</x:v>
      </x:c>
    </x:row>
    <x:row r="986">
      <x:c r="A986" s="83" t="n">
        <x:v>985</x:v>
      </x:c>
      <x:c r="B986" s="84" t="str">
        <x:v>OS-2024-00985</x:v>
      </x:c>
      <x:c r="C986" s="84" t="n">
        <x:v>51</x:v>
      </x:c>
      <x:c r="D986" s="84" t="n">
        <x:v>4</x:v>
      </x:c>
      <x:c r="E986" s="84"/>
      <x:c r="F986" s="89" t="n">
        <x:v>45336.868113425924</x:v>
      </x:c>
      <x:c r="G986" s="89" t="n">
        <x:v>45336.868113425924</x:v>
      </x:c>
      <x:c r="H986" s="89" t="n">
        <x:v>45337.45144675926</x:v>
      </x:c>
      <x:c r="I986" s="89" t="n">
        <x:v>45337.70144675926</x:v>
      </x:c>
      <x:c r="J986" s="84" t="str">
        <x:v>Alta</x:v>
      </x:c>
      <x:c r="K986" s="84" t="str">
        <x:v>Encerrada</x:v>
      </x:c>
      <x:c r="L986" s="84" t="str">
        <x:v>Baixa pressão</x:v>
      </x:c>
      <x:c r="M986" s="84" t="str">
        <x:v>Desgaste natural</x:v>
      </x:c>
      <x:c r="N986" s="84" t="str">
        <x:v>Componente ajustado ou substituído</x:v>
      </x:c>
      <x:c r="O986" s="84" t="n">
        <x:v>0</x:v>
      </x:c>
      <x:c r="P986" s="93" t="n">
        <x:v>725.96</x:v>
      </x:c>
      <x:c r="Q986" s="93" t="n">
        <x:v>24158.2</x:v>
      </x:c>
      <x:c r="R986" s="91" t="n">
        <x:v>4033.72</x:v>
      </x:c>
    </x:row>
    <x:row r="987">
      <x:c r="A987" s="83" t="n">
        <x:v>986</x:v>
      </x:c>
      <x:c r="B987" s="84" t="str">
        <x:v>OS-2025-00986</x:v>
      </x:c>
      <x:c r="C987" s="84" t="n">
        <x:v>38</x:v>
      </x:c>
      <x:c r="D987" s="84" t="n">
        <x:v>3</x:v>
      </x:c>
      <x:c r="E987" s="84"/>
      <x:c r="F987" s="89" t="n">
        <x:v>45681.990891203706</x:v>
      </x:c>
      <x:c r="G987" s="89"/>
      <x:c r="H987" s="89" t="n">
        <x:v>45682.28255787037</x:v>
      </x:c>
      <x:c r="I987" s="89" t="n">
        <x:v>45682.90755787037</x:v>
      </x:c>
      <x:c r="J987" s="84" t="str">
        <x:v>Baixa</x:v>
      </x:c>
      <x:c r="K987" s="84" t="str">
        <x:v>Encerrada</x:v>
      </x:c>
      <x:c r="L987" s="84" t="str">
        <x:v>Falha elétrica</x:v>
      </x:c>
      <x:c r="M987" s="84" t="str">
        <x:v>Falta de lubrificação</x:v>
      </x:c>
      <x:c r="N987" s="84" t="str">
        <x:v>Componente ajustado ou substituído</x:v>
      </x:c>
      <x:c r="O987" s="84" t="n">
        <x:v>1</x:v>
      </x:c>
      <x:c r="P987" s="93" t="n">
        <x:v>776.33</x:v>
      </x:c>
      <x:c r="Q987" s="93" t="n">
        <x:v>8987.87</x:v>
      </x:c>
      <x:c r="R987" s="91" t="n">
        <x:v>8362.82</x:v>
      </x:c>
    </x:row>
    <x:row r="988">
      <x:c r="A988" s="83" t="n">
        <x:v>987</x:v>
      </x:c>
      <x:c r="B988" s="84" t="str">
        <x:v>OS-2023-00987</x:v>
      </x:c>
      <x:c r="C988" s="84" t="n">
        <x:v>38</x:v>
      </x:c>
      <x:c r="D988" s="84" t="n">
        <x:v>1</x:v>
      </x:c>
      <x:c r="E988" s="84" t="n">
        <x:v>75</x:v>
      </x:c>
      <x:c r="F988" s="89" t="n">
        <x:v>45291.58640046296</x:v>
      </x:c>
      <x:c r="G988" s="89" t="n">
        <x:v>45303.58640046296</x:v>
      </x:c>
      <x:c r="H988" s="89" t="n">
        <x:v>45292.08640046296</x:v>
      </x:c>
      <x:c r="I988" s="89" t="n">
        <x:v>45292.71140046296</x:v>
      </x:c>
      <x:c r="J988" s="84" t="str">
        <x:v>Média</x:v>
      </x:c>
      <x:c r="K988" s="84" t="str">
        <x:v>Encerrada</x:v>
      </x:c>
      <x:c r="L988" s="84" t="str">
        <x:v>Falha elétrica</x:v>
      </x:c>
      <x:c r="M988" s="84" t="str">
        <x:v>Conexão frouxa</x:v>
      </x:c>
      <x:c r="N988" s="84" t="str">
        <x:v>Componente ajustado ou substituído</x:v>
      </x:c>
      <x:c r="O988" s="84" t="n">
        <x:v>0</x:v>
      </x:c>
      <x:c r="P988" s="93" t="n">
        <x:v>190.21</x:v>
      </x:c>
      <x:c r="Q988" s="93" t="n">
        <x:v>8579.66</x:v>
      </x:c>
      <x:c r="R988" s="91" t="n">
        <x:v>0</x:v>
      </x:c>
    </x:row>
    <x:row r="989">
      <x:c r="A989" s="83" t="n">
        <x:v>988</x:v>
      </x:c>
      <x:c r="B989" s="84" t="str">
        <x:v>OS-2025-00988</x:v>
      </x:c>
      <x:c r="C989" s="84" t="n">
        <x:v>24</x:v>
      </x:c>
      <x:c r="D989" s="84" t="n">
        <x:v>6</x:v>
      </x:c>
      <x:c r="E989" s="84"/>
      <x:c r="F989" s="89" t="n">
        <x:v>45975.96152777778</x:v>
      </x:c>
      <x:c r="G989" s="89" t="n">
        <x:v>45976.96152777778</x:v>
      </x:c>
      <x:c r="H989" s="89" t="n">
        <x:v>45978.83652777778</x:v>
      </x:c>
      <x:c r="I989" s="89" t="n">
        <x:v>45979.33652777778</x:v>
      </x:c>
      <x:c r="J989" s="84" t="str">
        <x:v>Alta</x:v>
      </x:c>
      <x:c r="K989" s="84" t="str">
        <x:v>Encerrada</x:v>
      </x:c>
      <x:c r="L989" s="84" t="str">
        <x:v>Ruído anormal</x:v>
      </x:c>
      <x:c r="M989" s="84" t="str">
        <x:v>Falta de lubrificação</x:v>
      </x:c>
      <x:c r="N989" s="84" t="str">
        <x:v>Componente ajustado ou substituído</x:v>
      </x:c>
      <x:c r="O989" s="84" t="n">
        <x:v>0</x:v>
      </x:c>
      <x:c r="P989" s="93" t="n">
        <x:v>891.65</x:v>
      </x:c>
      <x:c r="Q989" s="93" t="n">
        <x:v>9570.46</x:v>
      </x:c>
      <x:c r="R989" s="91" t="n">
        <x:v>0</x:v>
      </x:c>
    </x:row>
    <x:row r="990">
      <x:c r="A990" s="83" t="n">
        <x:v>989</x:v>
      </x:c>
      <x:c r="B990" s="84" t="str">
        <x:v>OS-2023-00989</x:v>
      </x:c>
      <x:c r="C990" s="84" t="n">
        <x:v>36</x:v>
      </x:c>
      <x:c r="D990" s="84" t="n">
        <x:v>3</x:v>
      </x:c>
      <x:c r="E990" s="84"/>
      <x:c r="F990" s="89" t="n">
        <x:v>45101.816041666665</x:v>
      </x:c>
      <x:c r="G990" s="89"/>
      <x:c r="H990" s="89" t="n">
        <x:v>45103.899375</x:v>
      </x:c>
      <x:c r="I990" s="89"/>
      <x:c r="J990" s="84" t="str">
        <x:v>Alta</x:v>
      </x:c>
      <x:c r="K990" s="84" t="str">
        <x:v>Aguardando peça</x:v>
      </x:c>
      <x:c r="L990" s="84" t="str">
        <x:v>Falha elétrica</x:v>
      </x:c>
      <x:c r="M990" s="84" t="str">
        <x:v>Falta de lubrificação</x:v>
      </x:c>
      <x:c r="N990" s="84"/>
      <x:c r="O990" s="84" t="n">
        <x:v>0</x:v>
      </x:c>
      <x:c r="P990" s="93" t="n">
        <x:v>869.01</x:v>
      </x:c>
      <x:c r="Q990" s="93" t="n">
        <x:v>15707.7</x:v>
      </x:c>
      <x:c r="R990" s="91" t="n">
        <x:v>0</x:v>
      </x:c>
    </x:row>
    <x:row r="991">
      <x:c r="A991" s="83" t="n">
        <x:v>990</x:v>
      </x:c>
      <x:c r="B991" s="84" t="str">
        <x:v>OS-2023-00990</x:v>
      </x:c>
      <x:c r="C991" s="84" t="n">
        <x:v>62</x:v>
      </x:c>
      <x:c r="D991" s="84" t="n">
        <x:v>3</x:v>
      </x:c>
      <x:c r="E991" s="84"/>
      <x:c r="F991" s="89" t="n">
        <x:v>45273.11059027778</x:v>
      </x:c>
      <x:c r="G991" s="89"/>
      <x:c r="H991" s="89" t="n">
        <x:v>45275.443923611114</x:v>
      </x:c>
      <x:c r="I991" s="89"/>
      <x:c r="J991" s="84" t="str">
        <x:v>Média</x:v>
      </x:c>
      <x:c r="K991" s="84" t="str">
        <x:v>Em execução</x:v>
      </x:c>
      <x:c r="L991" s="84" t="str">
        <x:v>Falha elétrica</x:v>
      </x:c>
      <x:c r="M991" s="84" t="str">
        <x:v>Desgaste natural</x:v>
      </x:c>
      <x:c r="N991" s="84"/>
      <x:c r="O991" s="84" t="n">
        <x:v>0</x:v>
      </x:c>
      <x:c r="P991" s="93" t="n">
        <x:v>112.71</x:v>
      </x:c>
      <x:c r="Q991" s="93" t="n">
        <x:v>10198.83</x:v>
      </x:c>
      <x:c r="R991" s="91" t="n">
        <x:v>0</x:v>
      </x:c>
    </x:row>
    <x:row r="992">
      <x:c r="A992" s="83" t="n">
        <x:v>991</x:v>
      </x:c>
      <x:c r="B992" s="84" t="str">
        <x:v>OS-2023-00991</x:v>
      </x:c>
      <x:c r="C992" s="84" t="n">
        <x:v>14</x:v>
      </x:c>
      <x:c r="D992" s="84" t="n">
        <x:v>7</x:v>
      </x:c>
      <x:c r="E992" s="84" t="n">
        <x:v>27</x:v>
      </x:c>
      <x:c r="F992" s="89" t="n">
        <x:v>44986.92996527778</x:v>
      </x:c>
      <x:c r="G992" s="89" t="n">
        <x:v>44998.92996527778</x:v>
      </x:c>
      <x:c r="H992" s="89" t="n">
        <x:v>44988.72163194444</x:v>
      </x:c>
      <x:c r="I992" s="89" t="n">
        <x:v>44989.05496527778</x:v>
      </x:c>
      <x:c r="J992" s="84" t="str">
        <x:v>Baixa</x:v>
      </x:c>
      <x:c r="K992" s="84" t="str">
        <x:v>Encerrada</x:v>
      </x:c>
      <x:c r="L992" s="84" t="str">
        <x:v>Desalinhamento</x:v>
      </x:c>
      <x:c r="M992" s="84" t="str">
        <x:v>Falta de lubrificação</x:v>
      </x:c>
      <x:c r="N992" s="84" t="str">
        <x:v>Componente ajustado ou substituído</x:v>
      </x:c>
      <x:c r="O992" s="84" t="n">
        <x:v>0</x:v>
      </x:c>
      <x:c r="P992" s="93" t="n">
        <x:v>82.48</x:v>
      </x:c>
      <x:c r="Q992" s="93" t="n">
        <x:v>9336.74</x:v>
      </x:c>
      <x:c r="R992" s="91" t="n">
        <x:v>0</x:v>
      </x:c>
    </x:row>
    <x:row r="993">
      <x:c r="A993" s="83" t="n">
        <x:v>992</x:v>
      </x:c>
      <x:c r="B993" s="84" t="str">
        <x:v>OS-2024-00992</x:v>
      </x:c>
      <x:c r="C993" s="84" t="n">
        <x:v>48</x:v>
      </x:c>
      <x:c r="D993" s="84" t="n">
        <x:v>3</x:v>
      </x:c>
      <x:c r="E993" s="84"/>
      <x:c r="F993" s="89" t="n">
        <x:v>45527.30451388889</x:v>
      </x:c>
      <x:c r="G993" s="89"/>
      <x:c r="H993" s="89" t="n">
        <x:v>45530.05451388889</x:v>
      </x:c>
      <x:c r="I993" s="89" t="n">
        <x:v>45530.846180555556</x:v>
      </x:c>
      <x:c r="J993" s="84" t="str">
        <x:v>Crítica</x:v>
      </x:c>
      <x:c r="K993" s="84" t="str">
        <x:v>Encerrada</x:v>
      </x:c>
      <x:c r="L993" s="84" t="str">
        <x:v>Superaquecimento</x:v>
      </x:c>
      <x:c r="M993" s="84" t="str">
        <x:v>Ajuste incorreto</x:v>
      </x:c>
      <x:c r="N993" s="84" t="str">
        <x:v>Componente ajustado ou substituído</x:v>
      </x:c>
      <x:c r="O993" s="84" t="n">
        <x:v>0</x:v>
      </x:c>
      <x:c r="P993" s="93" t="n">
        <x:v>279.46</x:v>
      </x:c>
      <x:c r="Q993" s="93" t="n">
        <x:v>3556.5</x:v>
      </x:c>
      <x:c r="R993" s="91" t="n">
        <x:v>7181.84</x:v>
      </x:c>
    </x:row>
    <x:row r="994">
      <x:c r="A994" s="83" t="n">
        <x:v>993</x:v>
      </x:c>
      <x:c r="B994" s="84" t="str">
        <x:v>OS-2024-00993</x:v>
      </x:c>
      <x:c r="C994" s="84" t="n">
        <x:v>82</x:v>
      </x:c>
      <x:c r="D994" s="84" t="n">
        <x:v>1</x:v>
      </x:c>
      <x:c r="E994" s="84" t="n">
        <x:v>163</x:v>
      </x:c>
      <x:c r="F994" s="89" t="n">
        <x:v>45392.08042824074</x:v>
      </x:c>
      <x:c r="G994" s="89" t="n">
        <x:v>45405.08042824074</x:v>
      </x:c>
      <x:c r="H994" s="89" t="n">
        <x:v>45392.45542824074</x:v>
      </x:c>
      <x:c r="I994" s="89" t="n">
        <x:v>45392.70542824074</x:v>
      </x:c>
      <x:c r="J994" s="84" t="str">
        <x:v>Média</x:v>
      </x:c>
      <x:c r="K994" s="84" t="str">
        <x:v>Encerrada</x:v>
      </x:c>
      <x:c r="L994" s="84" t="str">
        <x:v>Falha elétrica</x:v>
      </x:c>
      <x:c r="M994" s="84" t="str">
        <x:v>Ajuste incorreto</x:v>
      </x:c>
      <x:c r="N994" s="84" t="str">
        <x:v>Componente ajustado ou substituído</x:v>
      </x:c>
      <x:c r="O994" s="84" t="n">
        <x:v>0</x:v>
      </x:c>
      <x:c r="P994" s="93" t="n">
        <x:v>261.93</x:v>
      </x:c>
      <x:c r="Q994" s="93" t="n">
        <x:v>0</x:v>
      </x:c>
      <x:c r="R994" s="91" t="n">
        <x:v>0</x:v>
      </x:c>
    </x:row>
    <x:row r="995">
      <x:c r="A995" s="83" t="n">
        <x:v>994</x:v>
      </x:c>
      <x:c r="B995" s="84" t="str">
        <x:v>OS-2023-00994</x:v>
      </x:c>
      <x:c r="C995" s="84" t="n">
        <x:v>21</x:v>
      </x:c>
      <x:c r="D995" s="84" t="n">
        <x:v>1</x:v>
      </x:c>
      <x:c r="E995" s="84" t="n">
        <x:v>41</x:v>
      </x:c>
      <x:c r="F995" s="89" t="n">
        <x:v>44946.16800925926</x:v>
      </x:c>
      <x:c r="G995" s="89" t="n">
        <x:v>44953.16800925926</x:v>
      </x:c>
      <x:c r="H995" s="89" t="n">
        <x:v>44948.20967592593</x:v>
      </x:c>
      <x:c r="I995" s="89" t="n">
        <x:v>44948.62634259259</x:v>
      </x:c>
      <x:c r="J995" s="84" t="str">
        <x:v>Alta</x:v>
      </x:c>
      <x:c r="K995" s="84" t="str">
        <x:v>Concluída</x:v>
      </x:c>
      <x:c r="L995" s="84" t="str">
        <x:v>Baixa pressão</x:v>
      </x:c>
      <x:c r="M995" s="84" t="str">
        <x:v>Conexão frouxa</x:v>
      </x:c>
      <x:c r="N995" s="84" t="str">
        <x:v>Componente ajustado ou substituído</x:v>
      </x:c>
      <x:c r="O995" s="84" t="n">
        <x:v>0</x:v>
      </x:c>
      <x:c r="P995" s="93" t="n">
        <x:v>233.43</x:v>
      </x:c>
      <x:c r="Q995" s="93" t="n">
        <x:v>17499.32</x:v>
      </x:c>
      <x:c r="R995" s="91" t="n">
        <x:v>0</x:v>
      </x:c>
    </x:row>
    <x:row r="996">
      <x:c r="A996" s="83" t="n">
        <x:v>995</x:v>
      </x:c>
      <x:c r="B996" s="84" t="str">
        <x:v>OS-2023-00995</x:v>
      </x:c>
      <x:c r="C996" s="84" t="n">
        <x:v>32</x:v>
      </x:c>
      <x:c r="D996" s="84" t="n">
        <x:v>1</x:v>
      </x:c>
      <x:c r="E996" s="84" t="n">
        <x:v>64</x:v>
      </x:c>
      <x:c r="F996" s="89" t="n">
        <x:v>44985.12291666667</x:v>
      </x:c>
      <x:c r="G996" s="89" t="n">
        <x:v>44995.12291666667</x:v>
      </x:c>
      <x:c r="H996" s="89"/>
      <x:c r="I996" s="89"/>
      <x:c r="J996" s="84" t="str">
        <x:v>Crítica</x:v>
      </x:c>
      <x:c r="K996" s="84" t="str">
        <x:v>Planejada</x:v>
      </x:c>
      <x:c r="L996" s="84" t="str">
        <x:v>Vazamento</x:v>
      </x:c>
      <x:c r="M996" s="84"/>
      <x:c r="N996" s="84"/>
      <x:c r="O996" s="84" t="n">
        <x:v>0</x:v>
      </x:c>
      <x:c r="P996" s="93" t="n">
        <x:v>0</x:v>
      </x:c>
      <x:c r="Q996" s="93" t="n">
        <x:v>0</x:v>
      </x:c>
      <x:c r="R996" s="91" t="n">
        <x:v>0</x:v>
      </x:c>
    </x:row>
    <x:row r="997">
      <x:c r="A997" s="83" t="n">
        <x:v>996</x:v>
      </x:c>
      <x:c r="B997" s="84" t="str">
        <x:v>OS-2024-00996</x:v>
      </x:c>
      <x:c r="C997" s="84" t="n">
        <x:v>47</x:v>
      </x:c>
      <x:c r="D997" s="84" t="n">
        <x:v>6</x:v>
      </x:c>
      <x:c r="E997" s="84"/>
      <x:c r="F997" s="89" t="n">
        <x:v>45622.51152777778</x:v>
      </x:c>
      <x:c r="G997" s="89" t="n">
        <x:v>45637.51152777778</x:v>
      </x:c>
      <x:c r="H997" s="89" t="n">
        <x:v>45625.13652777778</x:v>
      </x:c>
      <x:c r="I997" s="89" t="n">
        <x:v>45625.803194444445</x:v>
      </x:c>
      <x:c r="J997" s="84" t="str">
        <x:v>Alta</x:v>
      </x:c>
      <x:c r="K997" s="84" t="str">
        <x:v>Encerrada</x:v>
      </x:c>
      <x:c r="L997" s="84" t="str">
        <x:v>Desalinhamento</x:v>
      </x:c>
      <x:c r="M997" s="84" t="str">
        <x:v>Componente danificado</x:v>
      </x:c>
      <x:c r="N997" s="84" t="str">
        <x:v>Componente ajustado ou substituído</x:v>
      </x:c>
      <x:c r="O997" s="84" t="n">
        <x:v>0</x:v>
      </x:c>
      <x:c r="P997" s="93" t="n">
        <x:v>441.41</x:v>
      </x:c>
      <x:c r="Q997" s="93" t="n">
        <x:v>4210.94</x:v>
      </x:c>
      <x:c r="R997" s="91" t="n">
        <x:v>0</x:v>
      </x:c>
    </x:row>
    <x:row r="998">
      <x:c r="A998" s="83" t="n">
        <x:v>997</x:v>
      </x:c>
      <x:c r="B998" s="84" t="str">
        <x:v>OS-2025-00997</x:v>
      </x:c>
      <x:c r="C998" s="84" t="n">
        <x:v>51</x:v>
      </x:c>
      <x:c r="D998" s="84" t="n">
        <x:v>2</x:v>
      </x:c>
      <x:c r="E998" s="84"/>
      <x:c r="F998" s="89" t="n">
        <x:v>45951.005474537036</x:v>
      </x:c>
      <x:c r="G998" s="89" t="n">
        <x:v>45961.005474537036</x:v>
      </x:c>
      <x:c r="H998" s="89" t="n">
        <x:v>45952.5471412037</x:v>
      </x:c>
      <x:c r="I998" s="89"/>
      <x:c r="J998" s="84" t="str">
        <x:v>Média</x:v>
      </x:c>
      <x:c r="K998" s="84" t="str">
        <x:v>Aguardando peça</x:v>
      </x:c>
      <x:c r="L998" s="84" t="str">
        <x:v>Superaquecimento</x:v>
      </x:c>
      <x:c r="M998" s="84" t="str">
        <x:v>Desgaste natural</x:v>
      </x:c>
      <x:c r="N998" s="84"/>
      <x:c r="O998" s="84" t="n">
        <x:v>0</x:v>
      </x:c>
      <x:c r="P998" s="93" t="n">
        <x:v>166.13</x:v>
      </x:c>
      <x:c r="Q998" s="93" t="n">
        <x:v>0</x:v>
      </x:c>
      <x:c r="R998" s="91" t="n">
        <x:v>13502.02</x:v>
      </x:c>
    </x:row>
    <x:row r="999">
      <x:c r="A999" s="83" t="n">
        <x:v>998</x:v>
      </x:c>
      <x:c r="B999" s="84" t="str">
        <x:v>OS-2025-00998</x:v>
      </x:c>
      <x:c r="C999" s="84" t="n">
        <x:v>46</x:v>
      </x:c>
      <x:c r="D999" s="84" t="n">
        <x:v>7</x:v>
      </x:c>
      <x:c r="E999" s="84" t="n">
        <x:v>91</x:v>
      </x:c>
      <x:c r="F999" s="89" t="n">
        <x:v>45709.68785879629</x:v>
      </x:c>
      <x:c r="G999" s="89" t="n">
        <x:v>45720.68785879629</x:v>
      </x:c>
      <x:c r="H999" s="89"/>
      <x:c r="I999" s="89"/>
      <x:c r="J999" s="84" t="str">
        <x:v>Média</x:v>
      </x:c>
      <x:c r="K999" s="84" t="str">
        <x:v>Cancelada</x:v>
      </x:c>
      <x:c r="L999" s="84" t="str">
        <x:v>Baixa pressão</x:v>
      </x:c>
      <x:c r="M999" s="84"/>
      <x:c r="N999" s="84"/>
      <x:c r="O999" s="84" t="n">
        <x:v>0</x:v>
      </x:c>
      <x:c r="P999" s="93" t="n">
        <x:v>0</x:v>
      </x:c>
      <x:c r="Q999" s="93" t="n">
        <x:v>0</x:v>
      </x:c>
      <x:c r="R999" s="91" t="n">
        <x:v>0</x:v>
      </x:c>
    </x:row>
    <x:row r="1000">
      <x:c r="A1000" s="83" t="n">
        <x:v>999</x:v>
      </x:c>
      <x:c r="B1000" s="84" t="str">
        <x:v>OS-2023-00999</x:v>
      </x:c>
      <x:c r="C1000" s="84" t="n">
        <x:v>38</x:v>
      </x:c>
      <x:c r="D1000" s="84" t="n">
        <x:v>9</x:v>
      </x:c>
      <x:c r="E1000" s="84"/>
      <x:c r="F1000" s="89" t="n">
        <x:v>45213.71738425926</x:v>
      </x:c>
      <x:c r="G1000" s="89" t="n">
        <x:v>45226.71738425926</x:v>
      </x:c>
      <x:c r="H1000" s="89" t="n">
        <x:v>45215.759050925924</x:v>
      </x:c>
      <x:c r="I1000" s="89" t="n">
        <x:v>45216.134050925924</x:v>
      </x:c>
      <x:c r="J1000" s="84" t="str">
        <x:v>Média</x:v>
      </x:c>
      <x:c r="K1000" s="84" t="str">
        <x:v>Encerrada</x:v>
      </x:c>
      <x:c r="L1000" s="84" t="str">
        <x:v>Alarme intermitente</x:v>
      </x:c>
      <x:c r="M1000" s="84" t="str">
        <x:v>Contaminação</x:v>
      </x:c>
      <x:c r="N1000" s="84" t="str">
        <x:v>Componente ajustado ou substituído</x:v>
      </x:c>
      <x:c r="O1000" s="84" t="n">
        <x:v>0</x:v>
      </x:c>
      <x:c r="P1000" s="93" t="n">
        <x:v>481.56</x:v>
      </x:c>
      <x:c r="Q1000" s="93" t="n">
        <x:v>3167.68</x:v>
      </x:c>
      <x:c r="R1000" s="91" t="n">
        <x:v>0</x:v>
      </x:c>
    </x:row>
    <x:row r="1001">
      <x:c r="A1001" s="83" t="n">
        <x:v>1000</x:v>
      </x:c>
      <x:c r="B1001" s="84" t="str">
        <x:v>OS-2024-01000</x:v>
      </x:c>
      <x:c r="C1001" s="84" t="n">
        <x:v>70</x:v>
      </x:c>
      <x:c r="D1001" s="84" t="n">
        <x:v>5</x:v>
      </x:c>
      <x:c r="E1001" s="84" t="n">
        <x:v>140</x:v>
      </x:c>
      <x:c r="F1001" s="89" t="n">
        <x:v>45630.97635416667</x:v>
      </x:c>
      <x:c r="G1001" s="89" t="n">
        <x:v>45638.97635416667</x:v>
      </x:c>
      <x:c r="H1001" s="89" t="n">
        <x:v>45633.47635416667</x:v>
      </x:c>
      <x:c r="I1001" s="89" t="n">
        <x:v>45634.1846875</x:v>
      </x:c>
      <x:c r="J1001" s="84" t="str">
        <x:v>Média</x:v>
      </x:c>
      <x:c r="K1001" s="84" t="str">
        <x:v>Encerrada</x:v>
      </x:c>
      <x:c r="L1001" s="84" t="str">
        <x:v>Alarme intermitente</x:v>
      </x:c>
      <x:c r="M1001" s="84" t="str">
        <x:v>Contaminação</x:v>
      </x:c>
      <x:c r="N1001" s="84" t="str">
        <x:v>Componente ajustado ou substituído</x:v>
      </x:c>
      <x:c r="O1001" s="84" t="n">
        <x:v>0</x:v>
      </x:c>
      <x:c r="P1001" s="93" t="n">
        <x:v>201.12</x:v>
      </x:c>
      <x:c r="Q1001" s="93" t="n">
        <x:v>11346.3</x:v>
      </x:c>
      <x:c r="R1001" s="91" t="n">
        <x:v>0</x:v>
      </x:c>
    </x:row>
    <x:row r="1002">
      <x:c r="A1002" s="83" t="n">
        <x:v>1001</x:v>
      </x:c>
      <x:c r="B1002" s="84" t="str">
        <x:v>OS-2025-01001</x:v>
      </x:c>
      <x:c r="C1002" s="84" t="n">
        <x:v>81</x:v>
      </x:c>
      <x:c r="D1002" s="84" t="n">
        <x:v>3</x:v>
      </x:c>
      <x:c r="E1002" s="84"/>
      <x:c r="F1002" s="89" t="n">
        <x:v>45998.90824074074</x:v>
      </x:c>
      <x:c r="G1002" s="89"/>
      <x:c r="H1002" s="89" t="n">
        <x:v>45999.28324074074</x:v>
      </x:c>
      <x:c r="I1002" s="89" t="n">
        <x:v>45999.991574074076</x:v>
      </x:c>
      <x:c r="J1002" s="84" t="str">
        <x:v>Alta</x:v>
      </x:c>
      <x:c r="K1002" s="84" t="str">
        <x:v>Encerrada</x:v>
      </x:c>
      <x:c r="L1002" s="84" t="str">
        <x:v>Superaquecimento</x:v>
      </x:c>
      <x:c r="M1002" s="84" t="str">
        <x:v>Contaminação</x:v>
      </x:c>
      <x:c r="N1002" s="84" t="str">
        <x:v>Componente ajustado ou substituído</x:v>
      </x:c>
      <x:c r="O1002" s="84" t="n">
        <x:v>0</x:v>
      </x:c>
      <x:c r="P1002" s="93" t="n">
        <x:v>615.19</x:v>
      </x:c>
      <x:c r="Q1002" s="93" t="n">
        <x:v>6518.41</x:v>
      </x:c>
      <x:c r="R1002" s="91" t="n">
        <x:v>0</x:v>
      </x:c>
    </x:row>
    <x:row r="1003">
      <x:c r="A1003" s="83" t="n">
        <x:v>1002</x:v>
      </x:c>
      <x:c r="B1003" s="84" t="str">
        <x:v>OS-2023-01002</x:v>
      </x:c>
      <x:c r="C1003" s="84" t="n">
        <x:v>29</x:v>
      </x:c>
      <x:c r="D1003" s="84" t="n">
        <x:v>4</x:v>
      </x:c>
      <x:c r="E1003" s="84"/>
      <x:c r="F1003" s="89" t="n">
        <x:v>45117.01813657407</x:v>
      </x:c>
      <x:c r="G1003" s="89" t="n">
        <x:v>45123.01813657407</x:v>
      </x:c>
      <x:c r="H1003" s="89" t="n">
        <x:v>45117.30980324074</x:v>
      </x:c>
      <x:c r="I1003" s="89"/>
      <x:c r="J1003" s="84" t="str">
        <x:v>Crítica</x:v>
      </x:c>
      <x:c r="K1003" s="84" t="str">
        <x:v>Em execução</x:v>
      </x:c>
      <x:c r="L1003" s="84" t="str">
        <x:v>Vazamento</x:v>
      </x:c>
      <x:c r="M1003" s="84" t="str">
        <x:v>Ajuste incorreto</x:v>
      </x:c>
      <x:c r="N1003" s="84"/>
      <x:c r="O1003" s="84" t="n">
        <x:v>0</x:v>
      </x:c>
      <x:c r="P1003" s="93" t="n">
        <x:v>169.64</x:v>
      </x:c>
      <x:c r="Q1003" s="93" t="n">
        <x:v>4762.01</x:v>
      </x:c>
      <x:c r="R1003" s="91" t="n">
        <x:v>0</x:v>
      </x:c>
    </x:row>
    <x:row r="1004">
      <x:c r="A1004" s="83" t="n">
        <x:v>1003</x:v>
      </x:c>
      <x:c r="B1004" s="84" t="str">
        <x:v>OS-2024-01003</x:v>
      </x:c>
      <x:c r="C1004" s="84" t="n">
        <x:v>37</x:v>
      </x:c>
      <x:c r="D1004" s="84" t="n">
        <x:v>5</x:v>
      </x:c>
      <x:c r="E1004" s="84" t="n">
        <x:v>73</x:v>
      </x:c>
      <x:c r="F1004" s="89" t="n">
        <x:v>45494.4666087963</x:v>
      </x:c>
      <x:c r="G1004" s="89" t="n">
        <x:v>45498.4666087963</x:v>
      </x:c>
      <x:c r="H1004" s="89" t="n">
        <x:v>45495.9666087963</x:v>
      </x:c>
      <x:c r="I1004" s="89" t="n">
        <x:v>45496.2166087963</x:v>
      </x:c>
      <x:c r="J1004" s="84" t="str">
        <x:v>Média</x:v>
      </x:c>
      <x:c r="K1004" s="84" t="str">
        <x:v>Encerrada</x:v>
      </x:c>
      <x:c r="L1004" s="84" t="str">
        <x:v>Superaquecimento</x:v>
      </x:c>
      <x:c r="M1004" s="84" t="str">
        <x:v>Contaminação</x:v>
      </x:c>
      <x:c r="N1004" s="84" t="str">
        <x:v>Componente ajustado ou substituído</x:v>
      </x:c>
      <x:c r="O1004" s="84" t="n">
        <x:v>0</x:v>
      </x:c>
      <x:c r="P1004" s="93" t="n">
        <x:v>335.51</x:v>
      </x:c>
      <x:c r="Q1004" s="93" t="n">
        <x:v>0</x:v>
      </x:c>
      <x:c r="R1004" s="91" t="n">
        <x:v>13663.1</x:v>
      </x:c>
    </x:row>
    <x:row r="1005">
      <x:c r="A1005" s="83" t="n">
        <x:v>1004</x:v>
      </x:c>
      <x:c r="B1005" s="84" t="str">
        <x:v>OS-2025-01004</x:v>
      </x:c>
      <x:c r="C1005" s="84" t="n">
        <x:v>29</x:v>
      </x:c>
      <x:c r="D1005" s="84" t="n">
        <x:v>7</x:v>
      </x:c>
      <x:c r="E1005" s="84" t="n">
        <x:v>57</x:v>
      </x:c>
      <x:c r="F1005" s="89" t="n">
        <x:v>45906.891921296294</x:v>
      </x:c>
      <x:c r="G1005" s="89" t="n">
        <x:v>45907.891921296294</x:v>
      </x:c>
      <x:c r="H1005" s="89"/>
      <x:c r="I1005" s="89"/>
      <x:c r="J1005" s="84" t="str">
        <x:v>Alta</x:v>
      </x:c>
      <x:c r="K1005" s="84" t="str">
        <x:v>Planejada</x:v>
      </x:c>
      <x:c r="L1005" s="84" t="str">
        <x:v>Baixa pressão</x:v>
      </x:c>
      <x:c r="M1005" s="84"/>
      <x:c r="N1005" s="84"/>
      <x:c r="O1005" s="84" t="n">
        <x:v>0</x:v>
      </x:c>
      <x:c r="P1005" s="93" t="n">
        <x:v>0</x:v>
      </x:c>
      <x:c r="Q1005" s="93" t="n">
        <x:v>0</x:v>
      </x:c>
      <x:c r="R1005" s="91" t="n">
        <x:v>0</x:v>
      </x:c>
    </x:row>
    <x:row r="1006">
      <x:c r="A1006" s="83" t="n">
        <x:v>1005</x:v>
      </x:c>
      <x:c r="B1006" s="84" t="str">
        <x:v>OS-2025-01005</x:v>
      </x:c>
      <x:c r="C1006" s="84" t="n">
        <x:v>65</x:v>
      </x:c>
      <x:c r="D1006" s="84" t="n">
        <x:v>1</x:v>
      </x:c>
      <x:c r="E1006" s="84" t="n">
        <x:v>129</x:v>
      </x:c>
      <x:c r="F1006" s="89" t="n">
        <x:v>45790.76525462963</x:v>
      </x:c>
      <x:c r="G1006" s="89" t="n">
        <x:v>45802.76525462963</x:v>
      </x:c>
      <x:c r="H1006" s="89" t="n">
        <x:v>45792.76525462963</x:v>
      </x:c>
      <x:c r="I1006" s="89" t="n">
        <x:v>45793.01525462963</x:v>
      </x:c>
      <x:c r="J1006" s="84" t="str">
        <x:v>Crítica</x:v>
      </x:c>
      <x:c r="K1006" s="84" t="str">
        <x:v>Encerrada</x:v>
      </x:c>
      <x:c r="L1006" s="84" t="str">
        <x:v>Falha elétrica</x:v>
      </x:c>
      <x:c r="M1006" s="84" t="str">
        <x:v>Conexão frouxa</x:v>
      </x:c>
      <x:c r="N1006" s="84" t="str">
        <x:v>Componente ajustado ou substituído</x:v>
      </x:c>
      <x:c r="O1006" s="84" t="n">
        <x:v>0</x:v>
      </x:c>
      <x:c r="P1006" s="93" t="n">
        <x:v>463.4</x:v>
      </x:c>
      <x:c r="Q1006" s="93" t="n">
        <x:v>0</x:v>
      </x:c>
      <x:c r="R1006" s="91" t="n">
        <x:v>0</x:v>
      </x:c>
    </x:row>
    <x:row r="1007">
      <x:c r="A1007" s="83" t="n">
        <x:v>1006</x:v>
      </x:c>
      <x:c r="B1007" s="84" t="str">
        <x:v>OS-2025-01006</x:v>
      </x:c>
      <x:c r="C1007" s="84" t="n">
        <x:v>9</x:v>
      </x:c>
      <x:c r="D1007" s="84" t="n">
        <x:v>3</x:v>
      </x:c>
      <x:c r="E1007" s="84"/>
      <x:c r="F1007" s="89" t="n">
        <x:v>45809.12644675926</x:v>
      </x:c>
      <x:c r="G1007" s="89"/>
      <x:c r="H1007" s="89" t="n">
        <x:v>45810.58478009259</x:v>
      </x:c>
      <x:c r="I1007" s="89" t="n">
        <x:v>45811.00144675926</x:v>
      </x:c>
      <x:c r="J1007" s="84" t="str">
        <x:v>Média</x:v>
      </x:c>
      <x:c r="K1007" s="84" t="str">
        <x:v>Encerrada</x:v>
      </x:c>
      <x:c r="L1007" s="84" t="str">
        <x:v>Baixa pressão</x:v>
      </x:c>
      <x:c r="M1007" s="84" t="str">
        <x:v>Conexão frouxa</x:v>
      </x:c>
      <x:c r="N1007" s="84" t="str">
        <x:v>Componente ajustado ou substituído</x:v>
      </x:c>
      <x:c r="O1007" s="84" t="n">
        <x:v>0</x:v>
      </x:c>
      <x:c r="P1007" s="93" t="n">
        <x:v>340.34</x:v>
      </x:c>
      <x:c r="Q1007" s="93" t="n">
        <x:v>1234.61</x:v>
      </x:c>
      <x:c r="R1007" s="91" t="n">
        <x:v>0</x:v>
      </x:c>
    </x:row>
    <x:row r="1008">
      <x:c r="A1008" s="83" t="n">
        <x:v>1007</x:v>
      </x:c>
      <x:c r="B1008" s="84" t="str">
        <x:v>OS-2025-01007</x:v>
      </x:c>
      <x:c r="C1008" s="84" t="n">
        <x:v>88</x:v>
      </x:c>
      <x:c r="D1008" s="84" t="n">
        <x:v>3</x:v>
      </x:c>
      <x:c r="E1008" s="84"/>
      <x:c r="F1008" s="89" t="n">
        <x:v>45709.107199074075</x:v>
      </x:c>
      <x:c r="G1008" s="89"/>
      <x:c r="H1008" s="89" t="n">
        <x:v>45711.27386574074</x:v>
      </x:c>
      <x:c r="I1008" s="89" t="n">
        <x:v>45711.357199074075</x:v>
      </x:c>
      <x:c r="J1008" s="84" t="str">
        <x:v>Média</x:v>
      </x:c>
      <x:c r="K1008" s="84" t="str">
        <x:v>Encerrada</x:v>
      </x:c>
      <x:c r="L1008" s="84" t="str">
        <x:v>Alarme intermitente</x:v>
      </x:c>
      <x:c r="M1008" s="84" t="str">
        <x:v>Componente danificado</x:v>
      </x:c>
      <x:c r="N1008" s="84" t="str">
        <x:v>Componente ajustado ou substituído</x:v>
      </x:c>
      <x:c r="O1008" s="84" t="n">
        <x:v>0</x:v>
      </x:c>
      <x:c r="P1008" s="93" t="n">
        <x:v>650.63</x:v>
      </x:c>
      <x:c r="Q1008" s="93" t="n">
        <x:v>13258.64</x:v>
      </x:c>
      <x:c r="R1008" s="91" t="n">
        <x:v>0</x:v>
      </x:c>
    </x:row>
    <x:row r="1009">
      <x:c r="A1009" s="83" t="n">
        <x:v>1008</x:v>
      </x:c>
      <x:c r="B1009" s="84" t="str">
        <x:v>OS-2024-01008</x:v>
      </x:c>
      <x:c r="C1009" s="84" t="n">
        <x:v>65</x:v>
      </x:c>
      <x:c r="D1009" s="84" t="n">
        <x:v>5</x:v>
      </x:c>
      <x:c r="E1009" s="84" t="n">
        <x:v>130</x:v>
      </x:c>
      <x:c r="F1009" s="89" t="n">
        <x:v>45433.9425462963</x:v>
      </x:c>
      <x:c r="G1009" s="89" t="n">
        <x:v>45445.9425462963</x:v>
      </x:c>
      <x:c r="H1009" s="89" t="n">
        <x:v>45435.5675462963</x:v>
      </x:c>
      <x:c r="I1009" s="89" t="n">
        <x:v>45435.8175462963</x:v>
      </x:c>
      <x:c r="J1009" s="84" t="str">
        <x:v>Crítica</x:v>
      </x:c>
      <x:c r="K1009" s="84" t="str">
        <x:v>Concluída</x:v>
      </x:c>
      <x:c r="L1009" s="84" t="str">
        <x:v>Vazamento</x:v>
      </x:c>
      <x:c r="M1009" s="84" t="str">
        <x:v>Conexão frouxa</x:v>
      </x:c>
      <x:c r="N1009" s="84" t="str">
        <x:v>Componente ajustado ou substituído</x:v>
      </x:c>
      <x:c r="O1009" s="84" t="n">
        <x:v>0</x:v>
      </x:c>
      <x:c r="P1009" s="93" t="n">
        <x:v>202.65</x:v>
      </x:c>
      <x:c r="Q1009" s="93" t="n">
        <x:v>9753.57</x:v>
      </x:c>
      <x:c r="R1009" s="91" t="n">
        <x:v>0</x:v>
      </x:c>
    </x:row>
    <x:row r="1010">
      <x:c r="A1010" s="83" t="n">
        <x:v>1009</x:v>
      </x:c>
      <x:c r="B1010" s="84" t="str">
        <x:v>OS-2024-01009</x:v>
      </x:c>
      <x:c r="C1010" s="84" t="n">
        <x:v>79</x:v>
      </x:c>
      <x:c r="D1010" s="84" t="n">
        <x:v>2</x:v>
      </x:c>
      <x:c r="E1010" s="84"/>
      <x:c r="F1010" s="89" t="n">
        <x:v>45597.32538194444</x:v>
      </x:c>
      <x:c r="G1010" s="89" t="n">
        <x:v>45598.32538194444</x:v>
      </x:c>
      <x:c r="H1010" s="89"/>
      <x:c r="I1010" s="89"/>
      <x:c r="J1010" s="84" t="str">
        <x:v>Média</x:v>
      </x:c>
      <x:c r="K1010" s="84" t="str">
        <x:v>Planejada</x:v>
      </x:c>
      <x:c r="L1010" s="84" t="str">
        <x:v>Ruído anormal</x:v>
      </x:c>
      <x:c r="M1010" s="84"/>
      <x:c r="N1010" s="84"/>
      <x:c r="O1010" s="84" t="n">
        <x:v>0</x:v>
      </x:c>
      <x:c r="P1010" s="93" t="n">
        <x:v>0</x:v>
      </x:c>
      <x:c r="Q1010" s="93" t="n">
        <x:v>0</x:v>
      </x:c>
      <x:c r="R1010" s="91" t="n">
        <x:v>0</x:v>
      </x:c>
    </x:row>
    <x:row r="1011">
      <x:c r="A1011" s="83" t="n">
        <x:v>1010</x:v>
      </x:c>
      <x:c r="B1011" s="84" t="str">
        <x:v>OS-2025-01010</x:v>
      </x:c>
      <x:c r="C1011" s="84" t="n">
        <x:v>8</x:v>
      </x:c>
      <x:c r="D1011" s="84" t="n">
        <x:v>1</x:v>
      </x:c>
      <x:c r="E1011" s="84" t="n">
        <x:v>15</x:v>
      </x:c>
      <x:c r="F1011" s="89" t="n">
        <x:v>45701.85246527778</x:v>
      </x:c>
      <x:c r="G1011" s="89" t="n">
        <x:v>45704.85246527778</x:v>
      </x:c>
      <x:c r="H1011" s="89" t="n">
        <x:v>45702.22746527778</x:v>
      </x:c>
      <x:c r="I1011" s="89" t="n">
        <x:v>45702.89413194444</x:v>
      </x:c>
      <x:c r="J1011" s="84" t="str">
        <x:v>Baixa</x:v>
      </x:c>
      <x:c r="K1011" s="84" t="str">
        <x:v>Encerrada</x:v>
      </x:c>
      <x:c r="L1011" s="84" t="str">
        <x:v>Vazamento</x:v>
      </x:c>
      <x:c r="M1011" s="84" t="str">
        <x:v>Ajuste incorreto</x:v>
      </x:c>
      <x:c r="N1011" s="84" t="str">
        <x:v>Componente ajustado ou substituído</x:v>
      </x:c>
      <x:c r="O1011" s="84" t="n">
        <x:v>0</x:v>
      </x:c>
      <x:c r="P1011" s="93" t="n">
        <x:v>80.16</x:v>
      </x:c>
      <x:c r="Q1011" s="93" t="n">
        <x:v>0</x:v>
      </x:c>
      <x:c r="R1011" s="91" t="n">
        <x:v>7180.45</x:v>
      </x:c>
    </x:row>
    <x:row r="1012">
      <x:c r="A1012" s="83" t="n">
        <x:v>1011</x:v>
      </x:c>
      <x:c r="B1012" s="84" t="str">
        <x:v>OS-2025-01011</x:v>
      </x:c>
      <x:c r="C1012" s="84" t="n">
        <x:v>36</x:v>
      </x:c>
      <x:c r="D1012" s="84" t="n">
        <x:v>3</x:v>
      </x:c>
      <x:c r="E1012" s="84"/>
      <x:c r="F1012" s="89" t="n">
        <x:v>46011.3653125</x:v>
      </x:c>
      <x:c r="G1012" s="89"/>
      <x:c r="H1012" s="89" t="n">
        <x:v>46013.65697916667</x:v>
      </x:c>
      <x:c r="I1012" s="89"/>
      <x:c r="J1012" s="84" t="str">
        <x:v>Baixa</x:v>
      </x:c>
      <x:c r="K1012" s="84" t="str">
        <x:v>Em execução</x:v>
      </x:c>
      <x:c r="L1012" s="84" t="str">
        <x:v>Vazamento</x:v>
      </x:c>
      <x:c r="M1012" s="84" t="str">
        <x:v>Desgaste natural</x:v>
      </x:c>
      <x:c r="N1012" s="84"/>
      <x:c r="O1012" s="84" t="n">
        <x:v>1</x:v>
      </x:c>
      <x:c r="P1012" s="93" t="n">
        <x:v>103.91</x:v>
      </x:c>
      <x:c r="Q1012" s="93" t="n">
        <x:v>1439.62</x:v>
      </x:c>
      <x:c r="R1012" s="91" t="n">
        <x:v>0</x:v>
      </x:c>
    </x:row>
    <x:row r="1013">
      <x:c r="A1013" s="83" t="n">
        <x:v>1012</x:v>
      </x:c>
      <x:c r="B1013" s="84" t="str">
        <x:v>OS-2023-01012</x:v>
      </x:c>
      <x:c r="C1013" s="84" t="n">
        <x:v>77</x:v>
      </x:c>
      <x:c r="D1013" s="84" t="n">
        <x:v>7</x:v>
      </x:c>
      <x:c r="E1013" s="84" t="n">
        <x:v>153</x:v>
      </x:c>
      <x:c r="F1013" s="89" t="n">
        <x:v>44936.48800925926</x:v>
      </x:c>
      <x:c r="G1013" s="89" t="n">
        <x:v>44938.48800925926</x:v>
      </x:c>
      <x:c r="H1013" s="89" t="n">
        <x:v>44938.27967592593</x:v>
      </x:c>
      <x:c r="I1013" s="89"/>
      <x:c r="J1013" s="84" t="str">
        <x:v>Média</x:v>
      </x:c>
      <x:c r="K1013" s="84" t="str">
        <x:v>Em execução</x:v>
      </x:c>
      <x:c r="L1013" s="84" t="str">
        <x:v>Baixa pressão</x:v>
      </x:c>
      <x:c r="M1013" s="84" t="str">
        <x:v>Contaminação</x:v>
      </x:c>
      <x:c r="N1013" s="84"/>
      <x:c r="O1013" s="84" t="n">
        <x:v>0</x:v>
      </x:c>
      <x:c r="P1013" s="93" t="n">
        <x:v>360.57</x:v>
      </x:c>
      <x:c r="Q1013" s="93" t="n">
        <x:v>5616.36</x:v>
      </x:c>
      <x:c r="R1013" s="91" t="n">
        <x:v>0</x:v>
      </x:c>
    </x:row>
    <x:row r="1014">
      <x:c r="A1014" s="83" t="n">
        <x:v>1013</x:v>
      </x:c>
      <x:c r="B1014" s="84" t="str">
        <x:v>OS-2023-01013</x:v>
      </x:c>
      <x:c r="C1014" s="84" t="n">
        <x:v>60</x:v>
      </x:c>
      <x:c r="D1014" s="84" t="n">
        <x:v>6</x:v>
      </x:c>
      <x:c r="E1014" s="84"/>
      <x:c r="F1014" s="89" t="n">
        <x:v>45187.650196759256</x:v>
      </x:c>
      <x:c r="G1014" s="89" t="n">
        <x:v>45193.650196759256</x:v>
      </x:c>
      <x:c r="H1014" s="89" t="n">
        <x:v>45189.98353009259</x:v>
      </x:c>
      <x:c r="I1014" s="89" t="n">
        <x:v>45190.775196759256</x:v>
      </x:c>
      <x:c r="J1014" s="84" t="str">
        <x:v>Baixa</x:v>
      </x:c>
      <x:c r="K1014" s="84" t="str">
        <x:v>Concluída</x:v>
      </x:c>
      <x:c r="L1014" s="84" t="str">
        <x:v>Vazamento</x:v>
      </x:c>
      <x:c r="M1014" s="84" t="str">
        <x:v>Ajuste incorreto</x:v>
      </x:c>
      <x:c r="N1014" s="84" t="str">
        <x:v>Componente ajustado ou substituído</x:v>
      </x:c>
      <x:c r="O1014" s="84" t="n">
        <x:v>0</x:v>
      </x:c>
      <x:c r="P1014" s="93" t="n">
        <x:v>115.19</x:v>
      </x:c>
      <x:c r="Q1014" s="93" t="n">
        <x:v>820.47</x:v>
      </x:c>
      <x:c r="R1014" s="91" t="n">
        <x:v>0</x:v>
      </x:c>
    </x:row>
    <x:row r="1015">
      <x:c r="A1015" s="83" t="n">
        <x:v>1014</x:v>
      </x:c>
      <x:c r="B1015" s="84" t="str">
        <x:v>OS-2025-01014</x:v>
      </x:c>
      <x:c r="C1015" s="84" t="n">
        <x:v>9</x:v>
      </x:c>
      <x:c r="D1015" s="84" t="n">
        <x:v>3</x:v>
      </x:c>
      <x:c r="E1015" s="84"/>
      <x:c r="F1015" s="89" t="n">
        <x:v>45948.07493055556</x:v>
      </x:c>
      <x:c r="G1015" s="89"/>
      <x:c r="H1015" s="89" t="n">
        <x:v>45949.57493055556</x:v>
      </x:c>
      <x:c r="I1015" s="89" t="n">
        <x:v>45949.90826388889</x:v>
      </x:c>
      <x:c r="J1015" s="84" t="str">
        <x:v>Crítica</x:v>
      </x:c>
      <x:c r="K1015" s="84" t="str">
        <x:v>Concluída</x:v>
      </x:c>
      <x:c r="L1015" s="84" t="str">
        <x:v>Superaquecimento</x:v>
      </x:c>
      <x:c r="M1015" s="84" t="str">
        <x:v>Conexão frouxa</x:v>
      </x:c>
      <x:c r="N1015" s="84" t="str">
        <x:v>Componente ajustado ou substituído</x:v>
      </x:c>
      <x:c r="O1015" s="84" t="n">
        <x:v>0</x:v>
      </x:c>
      <x:c r="P1015" s="93" t="n">
        <x:v>289.87</x:v>
      </x:c>
      <x:c r="Q1015" s="93" t="n">
        <x:v>0</x:v>
      </x:c>
      <x:c r="R1015" s="91" t="n">
        <x:v>0</x:v>
      </x:c>
    </x:row>
    <x:row r="1016">
      <x:c r="A1016" s="83" t="n">
        <x:v>1015</x:v>
      </x:c>
      <x:c r="B1016" s="84" t="str">
        <x:v>OS-2023-01015</x:v>
      </x:c>
      <x:c r="C1016" s="84" t="n">
        <x:v>14</x:v>
      </x:c>
      <x:c r="D1016" s="84" t="n">
        <x:v>3</x:v>
      </x:c>
      <x:c r="E1016" s="84"/>
      <x:c r="F1016" s="89" t="n">
        <x:v>45241.40199074074</x:v>
      </x:c>
      <x:c r="G1016" s="89"/>
      <x:c r="H1016" s="89" t="n">
        <x:v>45244.068657407406</x:v>
      </x:c>
      <x:c r="I1016" s="89" t="n">
        <x:v>45244.61032407408</x:v>
      </x:c>
      <x:c r="J1016" s="84" t="str">
        <x:v>Média</x:v>
      </x:c>
      <x:c r="K1016" s="84" t="str">
        <x:v>Encerrada</x:v>
      </x:c>
      <x:c r="L1016" s="84" t="str">
        <x:v>Ruído anormal</x:v>
      </x:c>
      <x:c r="M1016" s="84" t="str">
        <x:v>Ajuste incorreto</x:v>
      </x:c>
      <x:c r="N1016" s="84" t="str">
        <x:v>Componente ajustado ou substituído</x:v>
      </x:c>
      <x:c r="O1016" s="84" t="n">
        <x:v>0</x:v>
      </x:c>
      <x:c r="P1016" s="93" t="n">
        <x:v>339.41</x:v>
      </x:c>
      <x:c r="Q1016" s="93" t="n">
        <x:v>10037.31</x:v>
      </x:c>
      <x:c r="R1016" s="91" t="n">
        <x:v>0</x:v>
      </x:c>
    </x:row>
    <x:row r="1017">
      <x:c r="A1017" s="83" t="n">
        <x:v>1016</x:v>
      </x:c>
      <x:c r="B1017" s="84" t="str">
        <x:v>OS-2025-01016</x:v>
      </x:c>
      <x:c r="C1017" s="84" t="n">
        <x:v>47</x:v>
      </x:c>
      <x:c r="D1017" s="84" t="n">
        <x:v>1</x:v>
      </x:c>
      <x:c r="E1017" s="84" t="n">
        <x:v>94</x:v>
      </x:c>
      <x:c r="F1017" s="89" t="n">
        <x:v>45954.90446759259</x:v>
      </x:c>
      <x:c r="G1017" s="89" t="n">
        <x:v>45963.90446759259</x:v>
      </x:c>
      <x:c r="H1017" s="89" t="n">
        <x:v>45957.52946759259</x:v>
      </x:c>
      <x:c r="I1017" s="89" t="n">
        <x:v>45957.73780092593</x:v>
      </x:c>
      <x:c r="J1017" s="84" t="str">
        <x:v>Média</x:v>
      </x:c>
      <x:c r="K1017" s="84" t="str">
        <x:v>Concluída</x:v>
      </x:c>
      <x:c r="L1017" s="84" t="str">
        <x:v>Falha elétrica</x:v>
      </x:c>
      <x:c r="M1017" s="84" t="str">
        <x:v>Falta de lubrificação</x:v>
      </x:c>
      <x:c r="N1017" s="84" t="str">
        <x:v>Componente ajustado ou substituído</x:v>
      </x:c>
      <x:c r="O1017" s="84" t="n">
        <x:v>0</x:v>
      </x:c>
      <x:c r="P1017" s="93" t="n">
        <x:v>166.13</x:v>
      </x:c>
      <x:c r="Q1017" s="93" t="n">
        <x:v>7591.94</x:v>
      </x:c>
      <x:c r="R1017" s="91" t="n">
        <x:v>0</x:v>
      </x:c>
    </x:row>
    <x:row r="1018">
      <x:c r="A1018" s="83" t="n">
        <x:v>1017</x:v>
      </x:c>
      <x:c r="B1018" s="84" t="str">
        <x:v>OS-2024-01017</x:v>
      </x:c>
      <x:c r="C1018" s="84" t="n">
        <x:v>15</x:v>
      </x:c>
      <x:c r="D1018" s="84" t="n">
        <x:v>1</x:v>
      </x:c>
      <x:c r="E1018" s="84" t="n">
        <x:v>29</x:v>
      </x:c>
      <x:c r="F1018" s="89" t="n">
        <x:v>45583.872349537036</x:v>
      </x:c>
      <x:c r="G1018" s="89" t="n">
        <x:v>45585.872349537036</x:v>
      </x:c>
      <x:c r="H1018" s="89" t="n">
        <x:v>45585.2890162037</x:v>
      </x:c>
      <x:c r="I1018" s="89" t="n">
        <x:v>45585.622349537036</x:v>
      </x:c>
      <x:c r="J1018" s="84" t="str">
        <x:v>Média</x:v>
      </x:c>
      <x:c r="K1018" s="84" t="str">
        <x:v>Encerrada</x:v>
      </x:c>
      <x:c r="L1018" s="84" t="str">
        <x:v>Superaquecimento</x:v>
      </x:c>
      <x:c r="M1018" s="84" t="str">
        <x:v>Ajuste incorreto</x:v>
      </x:c>
      <x:c r="N1018" s="84" t="str">
        <x:v>Componente ajustado ou substituído</x:v>
      </x:c>
      <x:c r="O1018" s="84" t="n">
        <x:v>0</x:v>
      </x:c>
      <x:c r="P1018" s="93" t="n">
        <x:v>87.31</x:v>
      </x:c>
      <x:c r="Q1018" s="93" t="n">
        <x:v>2580.07</x:v>
      </x:c>
      <x:c r="R1018" s="91" t="n">
        <x:v>0</x:v>
      </x:c>
    </x:row>
    <x:row r="1019">
      <x:c r="A1019" s="83" t="n">
        <x:v>1018</x:v>
      </x:c>
      <x:c r="B1019" s="84" t="str">
        <x:v>OS-2024-01018</x:v>
      </x:c>
      <x:c r="C1019" s="84" t="n">
        <x:v>31</x:v>
      </x:c>
      <x:c r="D1019" s="84" t="n">
        <x:v>4</x:v>
      </x:c>
      <x:c r="E1019" s="84"/>
      <x:c r="F1019" s="89" t="n">
        <x:v>45394.33163194444</x:v>
      </x:c>
      <x:c r="G1019" s="89" t="n">
        <x:v>45395.33163194444</x:v>
      </x:c>
      <x:c r="H1019" s="89" t="n">
        <x:v>45396.78996527778</x:v>
      </x:c>
      <x:c r="I1019" s="89" t="n">
        <x:v>45397.03996527778</x:v>
      </x:c>
      <x:c r="J1019" s="84" t="str">
        <x:v>Crítica</x:v>
      </x:c>
      <x:c r="K1019" s="84" t="str">
        <x:v>Encerrada</x:v>
      </x:c>
      <x:c r="L1019" s="84" t="str">
        <x:v>Vazamento</x:v>
      </x:c>
      <x:c r="M1019" s="84" t="str">
        <x:v>Desgaste natural</x:v>
      </x:c>
      <x:c r="N1019" s="84" t="str">
        <x:v>Componente ajustado ou substituído</x:v>
      </x:c>
      <x:c r="O1019" s="84" t="n">
        <x:v>0</x:v>
      </x:c>
      <x:c r="P1019" s="93" t="n">
        <x:v>534.72</x:v>
      </x:c>
      <x:c r="Q1019" s="93" t="n">
        <x:v>552.48</x:v>
      </x:c>
      <x:c r="R1019" s="91" t="n">
        <x:v>11720.43</x:v>
      </x:c>
    </x:row>
    <x:row r="1020">
      <x:c r="A1020" s="83" t="n">
        <x:v>1019</x:v>
      </x:c>
      <x:c r="B1020" s="84" t="str">
        <x:v>OS-2023-01019</x:v>
      </x:c>
      <x:c r="C1020" s="84" t="n">
        <x:v>56</x:v>
      </x:c>
      <x:c r="D1020" s="84" t="n">
        <x:v>6</x:v>
      </x:c>
      <x:c r="E1020" s="84"/>
      <x:c r="F1020" s="89" t="n">
        <x:v>44999.4909837963</x:v>
      </x:c>
      <x:c r="G1020" s="89" t="n">
        <x:v>45000.4909837963</x:v>
      </x:c>
      <x:c r="H1020" s="89" t="n">
        <x:v>44999.6159837963</x:v>
      </x:c>
      <x:c r="I1020" s="89" t="n">
        <x:v>44999.65765046296</x:v>
      </x:c>
      <x:c r="J1020" s="84" t="str">
        <x:v>Alta</x:v>
      </x:c>
      <x:c r="K1020" s="84" t="str">
        <x:v>Encerrada</x:v>
      </x:c>
      <x:c r="L1020" s="84" t="str">
        <x:v>Ruído anormal</x:v>
      </x:c>
      <x:c r="M1020" s="84" t="str">
        <x:v>Componente danificado</x:v>
      </x:c>
      <x:c r="N1020" s="84" t="str">
        <x:v>Componente ajustado ou substituído</x:v>
      </x:c>
      <x:c r="O1020" s="84" t="n">
        <x:v>0</x:v>
      </x:c>
      <x:c r="P1020" s="93" t="n">
        <x:v>937.82</x:v>
      </x:c>
      <x:c r="Q1020" s="93" t="n">
        <x:v>0</x:v>
      </x:c>
      <x:c r="R1020" s="91" t="n">
        <x:v>5043.93</x:v>
      </x:c>
    </x:row>
    <x:row r="1021">
      <x:c r="A1021" s="83" t="n">
        <x:v>1020</x:v>
      </x:c>
      <x:c r="B1021" s="84" t="str">
        <x:v>OS-2024-01020</x:v>
      </x:c>
      <x:c r="C1021" s="84" t="n">
        <x:v>18</x:v>
      </x:c>
      <x:c r="D1021" s="84" t="n">
        <x:v>3</x:v>
      </x:c>
      <x:c r="E1021" s="84"/>
      <x:c r="F1021" s="89" t="n">
        <x:v>45391.07420138889</x:v>
      </x:c>
      <x:c r="G1021" s="89"/>
      <x:c r="H1021" s="89" t="n">
        <x:v>45392.44920138889</x:v>
      </x:c>
      <x:c r="I1021" s="89" t="n">
        <x:v>45392.532534722224</x:v>
      </x:c>
      <x:c r="J1021" s="84" t="str">
        <x:v>Baixa</x:v>
      </x:c>
      <x:c r="K1021" s="84" t="str">
        <x:v>Encerrada</x:v>
      </x:c>
      <x:c r="L1021" s="84" t="str">
        <x:v>Falha elétrica</x:v>
      </x:c>
      <x:c r="M1021" s="84" t="str">
        <x:v>Conexão frouxa</x:v>
      </x:c>
      <x:c r="N1021" s="84" t="str">
        <x:v>Componente ajustado ou substituído</x:v>
      </x:c>
      <x:c r="O1021" s="84" t="n">
        <x:v>0</x:v>
      </x:c>
      <x:c r="P1021" s="93" t="n">
        <x:v>683.41</x:v>
      </x:c>
      <x:c r="Q1021" s="93" t="n">
        <x:v>736.64</x:v>
      </x:c>
      <x:c r="R1021" s="91" t="n">
        <x:v>0</x:v>
      </x:c>
    </x:row>
    <x:row r="1022">
      <x:c r="A1022" s="83" t="n">
        <x:v>1021</x:v>
      </x:c>
      <x:c r="B1022" s="84" t="str">
        <x:v>OS-2023-01021</x:v>
      </x:c>
      <x:c r="C1022" s="84" t="n">
        <x:v>4</x:v>
      </x:c>
      <x:c r="D1022" s="84" t="n">
        <x:v>5</x:v>
      </x:c>
      <x:c r="E1022" s="84" t="n">
        <x:v>7</x:v>
      </x:c>
      <x:c r="F1022" s="89" t="n">
        <x:v>45214.0053587963</x:v>
      </x:c>
      <x:c r="G1022" s="89" t="n">
        <x:v>45222.0053587963</x:v>
      </x:c>
      <x:c r="H1022" s="89" t="n">
        <x:v>45215.92202546296</x:v>
      </x:c>
      <x:c r="I1022" s="89" t="n">
        <x:v>45216.54702546296</x:v>
      </x:c>
      <x:c r="J1022" s="84" t="str">
        <x:v>Alta</x:v>
      </x:c>
      <x:c r="K1022" s="84" t="str">
        <x:v>Encerrada</x:v>
      </x:c>
      <x:c r="L1022" s="84" t="str">
        <x:v>Baixa pressão</x:v>
      </x:c>
      <x:c r="M1022" s="84" t="str">
        <x:v>Falta de lubrificação</x:v>
      </x:c>
      <x:c r="N1022" s="84" t="str">
        <x:v>Componente ajustado ou substituído</x:v>
      </x:c>
      <x:c r="O1022" s="84" t="n">
        <x:v>0</x:v>
      </x:c>
      <x:c r="P1022" s="93" t="n">
        <x:v>236.02</x:v>
      </x:c>
      <x:c r="Q1022" s="93" t="n">
        <x:v>2710.4</x:v>
      </x:c>
      <x:c r="R1022" s="91" t="n">
        <x:v>0</x:v>
      </x:c>
    </x:row>
    <x:row r="1023">
      <x:c r="A1023" s="83" t="n">
        <x:v>1022</x:v>
      </x:c>
      <x:c r="B1023" s="84" t="str">
        <x:v>OS-2023-01022</x:v>
      </x:c>
      <x:c r="C1023" s="84" t="n">
        <x:v>23</x:v>
      </x:c>
      <x:c r="D1023" s="84" t="n">
        <x:v>3</x:v>
      </x:c>
      <x:c r="E1023" s="84"/>
      <x:c r="F1023" s="89" t="n">
        <x:v>45051.92790509259</x:v>
      </x:c>
      <x:c r="G1023" s="89"/>
      <x:c r="H1023" s="89" t="n">
        <x:v>45052.34457175926</x:v>
      </x:c>
      <x:c r="I1023" s="89" t="n">
        <x:v>45052.67790509259</x:v>
      </x:c>
      <x:c r="J1023" s="84" t="str">
        <x:v>Baixa</x:v>
      </x:c>
      <x:c r="K1023" s="84" t="str">
        <x:v>Encerrada</x:v>
      </x:c>
      <x:c r="L1023" s="84" t="str">
        <x:v>Vazamento</x:v>
      </x:c>
      <x:c r="M1023" s="84" t="str">
        <x:v>Contaminação</x:v>
      </x:c>
      <x:c r="N1023" s="84" t="str">
        <x:v>Componente ajustado ou substituído</x:v>
      </x:c>
      <x:c r="O1023" s="84" t="n">
        <x:v>0</x:v>
      </x:c>
      <x:c r="P1023" s="93" t="n">
        <x:v>172.92</x:v>
      </x:c>
      <x:c r="Q1023" s="93" t="n">
        <x:v>3090.92</x:v>
      </x:c>
      <x:c r="R1023" s="91" t="n">
        <x:v>11763.31</x:v>
      </x:c>
    </x:row>
    <x:row r="1024">
      <x:c r="A1024" s="83" t="n">
        <x:v>1023</x:v>
      </x:c>
      <x:c r="B1024" s="84" t="str">
        <x:v>OS-2025-01023</x:v>
      </x:c>
      <x:c r="C1024" s="84" t="n">
        <x:v>13</x:v>
      </x:c>
      <x:c r="D1024" s="84" t="n">
        <x:v>5</x:v>
      </x:c>
      <x:c r="E1024" s="84" t="n">
        <x:v>25</x:v>
      </x:c>
      <x:c r="F1024" s="89" t="n">
        <x:v>45941.51768518519</x:v>
      </x:c>
      <x:c r="G1024" s="89" t="n">
        <x:v>45947.51768518519</x:v>
      </x:c>
      <x:c r="H1024" s="89" t="n">
        <x:v>45942.351018518515</x:v>
      </x:c>
      <x:c r="I1024" s="89" t="n">
        <x:v>45943.18435185185</x:v>
      </x:c>
      <x:c r="J1024" s="84" t="str">
        <x:v>Crítica</x:v>
      </x:c>
      <x:c r="K1024" s="84" t="str">
        <x:v>Concluída</x:v>
      </x:c>
      <x:c r="L1024" s="84" t="str">
        <x:v>Ruído anormal</x:v>
      </x:c>
      <x:c r="M1024" s="84" t="str">
        <x:v>Contaminação</x:v>
      </x:c>
      <x:c r="N1024" s="84" t="str">
        <x:v>Componente ajustado ou substituído</x:v>
      </x:c>
      <x:c r="O1024" s="84" t="n">
        <x:v>0</x:v>
      </x:c>
      <x:c r="P1024" s="93" t="n">
        <x:v>395.23</x:v>
      </x:c>
      <x:c r="Q1024" s="93" t="n">
        <x:v>0</x:v>
      </x:c>
      <x:c r="R1024" s="91" t="n">
        <x:v>0</x:v>
      </x:c>
    </x:row>
    <x:row r="1025">
      <x:c r="A1025" s="83" t="n">
        <x:v>1024</x:v>
      </x:c>
      <x:c r="B1025" s="84" t="str">
        <x:v>OS-2024-01024</x:v>
      </x:c>
      <x:c r="C1025" s="84" t="n">
        <x:v>19</x:v>
      </x:c>
      <x:c r="D1025" s="84" t="n">
        <x:v>3</x:v>
      </x:c>
      <x:c r="E1025" s="84"/>
      <x:c r="F1025" s="89" t="n">
        <x:v>45407.06835648148</x:v>
      </x:c>
      <x:c r="G1025" s="89"/>
      <x:c r="H1025" s="89" t="n">
        <x:v>45408.77668981482</x:v>
      </x:c>
      <x:c r="I1025" s="89" t="n">
        <x:v>45409.48502314815</x:v>
      </x:c>
      <x:c r="J1025" s="84" t="str">
        <x:v>Alta</x:v>
      </x:c>
      <x:c r="K1025" s="84" t="str">
        <x:v>Encerrada</x:v>
      </x:c>
      <x:c r="L1025" s="84" t="str">
        <x:v>Vazamento</x:v>
      </x:c>
      <x:c r="M1025" s="84" t="str">
        <x:v>Falta de lubrificação</x:v>
      </x:c>
      <x:c r="N1025" s="84" t="str">
        <x:v>Componente ajustado ou substituído</x:v>
      </x:c>
      <x:c r="O1025" s="84" t="n">
        <x:v>0</x:v>
      </x:c>
      <x:c r="P1025" s="93" t="n">
        <x:v>405.3</x:v>
      </x:c>
      <x:c r="Q1025" s="93" t="n">
        <x:v>9838.1</x:v>
      </x:c>
      <x:c r="R1025" s="91" t="n">
        <x:v>0</x:v>
      </x:c>
    </x:row>
    <x:row r="1026">
      <x:c r="A1026" s="83" t="n">
        <x:v>1025</x:v>
      </x:c>
      <x:c r="B1026" s="84" t="str">
        <x:v>OS-2023-01025</x:v>
      </x:c>
      <x:c r="C1026" s="84" t="n">
        <x:v>12</x:v>
      </x:c>
      <x:c r="D1026" s="84" t="n">
        <x:v>1</x:v>
      </x:c>
      <x:c r="E1026" s="84" t="n">
        <x:v>23</x:v>
      </x:c>
      <x:c r="F1026" s="89" t="n">
        <x:v>45249.209814814814</x:v>
      </x:c>
      <x:c r="G1026" s="89" t="n">
        <x:v>45263.209814814814</x:v>
      </x:c>
      <x:c r="H1026" s="89" t="n">
        <x:v>45249.79314814815</x:v>
      </x:c>
      <x:c r="I1026" s="89" t="n">
        <x:v>45250.25148148148</x:v>
      </x:c>
      <x:c r="J1026" s="84" t="str">
        <x:v>Crítica</x:v>
      </x:c>
      <x:c r="K1026" s="84" t="str">
        <x:v>Concluída</x:v>
      </x:c>
      <x:c r="L1026" s="84" t="str">
        <x:v>Baixa pressão</x:v>
      </x:c>
      <x:c r="M1026" s="84" t="str">
        <x:v>Desgaste natural</x:v>
      </x:c>
      <x:c r="N1026" s="84" t="str">
        <x:v>Componente ajustado ou substituído</x:v>
      </x:c>
      <x:c r="O1026" s="84" t="n">
        <x:v>0</x:v>
      </x:c>
      <x:c r="P1026" s="93" t="n">
        <x:v>133.01</x:v>
      </x:c>
      <x:c r="Q1026" s="93" t="n">
        <x:v>184.16</x:v>
      </x:c>
      <x:c r="R1026" s="91" t="n">
        <x:v>0</x:v>
      </x:c>
    </x:row>
    <x:row r="1027">
      <x:c r="A1027" s="83" t="n">
        <x:v>1026</x:v>
      </x:c>
      <x:c r="B1027" s="84" t="str">
        <x:v>OS-2025-01026</x:v>
      </x:c>
      <x:c r="C1027" s="84" t="n">
        <x:v>17</x:v>
      </x:c>
      <x:c r="D1027" s="84" t="n">
        <x:v>7</x:v>
      </x:c>
      <x:c r="E1027" s="84" t="n">
        <x:v>33</x:v>
      </x:c>
      <x:c r="F1027" s="89" t="n">
        <x:v>46007.412523148145</x:v>
      </x:c>
      <x:c r="G1027" s="89" t="n">
        <x:v>46021.412523148145</x:v>
      </x:c>
      <x:c r="H1027" s="89" t="n">
        <x:v>46009.954189814816</x:v>
      </x:c>
      <x:c r="I1027" s="89" t="n">
        <x:v>46010.579189814816</x:v>
      </x:c>
      <x:c r="J1027" s="84" t="str">
        <x:v>Baixa</x:v>
      </x:c>
      <x:c r="K1027" s="84" t="str">
        <x:v>Encerrada</x:v>
      </x:c>
      <x:c r="L1027" s="84" t="str">
        <x:v>Ruído anormal</x:v>
      </x:c>
      <x:c r="M1027" s="84" t="str">
        <x:v>Conexão frouxa</x:v>
      </x:c>
      <x:c r="N1027" s="84" t="str">
        <x:v>Componente ajustado ou substituído</x:v>
      </x:c>
      <x:c r="O1027" s="84" t="n">
        <x:v>0</x:v>
      </x:c>
      <x:c r="P1027" s="93" t="n">
        <x:v>430.48</x:v>
      </x:c>
      <x:c r="Q1027" s="93" t="n">
        <x:v>10818.39</x:v>
      </x:c>
      <x:c r="R1027" s="91" t="n">
        <x:v>0</x:v>
      </x:c>
    </x:row>
    <x:row r="1028">
      <x:c r="A1028" s="83" t="n">
        <x:v>1027</x:v>
      </x:c>
      <x:c r="B1028" s="84" t="str">
        <x:v>OS-2024-01027</x:v>
      </x:c>
      <x:c r="C1028" s="84" t="n">
        <x:v>60</x:v>
      </x:c>
      <x:c r="D1028" s="84" t="n">
        <x:v>1</x:v>
      </x:c>
      <x:c r="E1028" s="84" t="n">
        <x:v>119</x:v>
      </x:c>
      <x:c r="F1028" s="89" t="n">
        <x:v>45295.57609953704</x:v>
      </x:c>
      <x:c r="G1028" s="89" t="n">
        <x:v>45309.57609953704</x:v>
      </x:c>
      <x:c r="H1028" s="89" t="n">
        <x:v>45298.15943287037</x:v>
      </x:c>
      <x:c r="I1028" s="89"/>
      <x:c r="J1028" s="84" t="str">
        <x:v>Média</x:v>
      </x:c>
      <x:c r="K1028" s="84" t="str">
        <x:v>Aguardando peça</x:v>
      </x:c>
      <x:c r="L1028" s="84" t="str">
        <x:v>Baixa pressão</x:v>
      </x:c>
      <x:c r="M1028" s="84" t="str">
        <x:v>Componente danificado</x:v>
      </x:c>
      <x:c r="N1028" s="84"/>
      <x:c r="O1028" s="84" t="n">
        <x:v>0</x:v>
      </x:c>
      <x:c r="P1028" s="93" t="n">
        <x:v>412.9</x:v>
      </x:c>
      <x:c r="Q1028" s="93" t="n">
        <x:v>12834.16</x:v>
      </x:c>
      <x:c r="R1028" s="91" t="n">
        <x:v>0</x:v>
      </x:c>
    </x:row>
    <x:row r="1029">
      <x:c r="A1029" s="83" t="n">
        <x:v>1028</x:v>
      </x:c>
      <x:c r="B1029" s="84" t="str">
        <x:v>OS-2024-01028</x:v>
      </x:c>
      <x:c r="C1029" s="84" t="n">
        <x:v>79</x:v>
      </x:c>
      <x:c r="D1029" s="84" t="n">
        <x:v>5</x:v>
      </x:c>
      <x:c r="E1029" s="84" t="n">
        <x:v>157</x:v>
      </x:c>
      <x:c r="F1029" s="89" t="n">
        <x:v>45311.84490740741</x:v>
      </x:c>
      <x:c r="G1029" s="89" t="n">
        <x:v>45322.84490740741</x:v>
      </x:c>
      <x:c r="H1029" s="89" t="n">
        <x:v>45313.55324074074</x:v>
      </x:c>
      <x:c r="I1029" s="89" t="n">
        <x:v>45314.05324074074</x:v>
      </x:c>
      <x:c r="J1029" s="84" t="str">
        <x:v>Crítica</x:v>
      </x:c>
      <x:c r="K1029" s="84" t="str">
        <x:v>Concluída</x:v>
      </x:c>
      <x:c r="L1029" s="84" t="str">
        <x:v>Superaquecimento</x:v>
      </x:c>
      <x:c r="M1029" s="84" t="str">
        <x:v>Desgaste natural</x:v>
      </x:c>
      <x:c r="N1029" s="84" t="str">
        <x:v>Componente ajustado ou substituído</x:v>
      </x:c>
      <x:c r="O1029" s="84" t="n">
        <x:v>0</x:v>
      </x:c>
      <x:c r="P1029" s="93" t="n">
        <x:v>360.2</x:v>
      </x:c>
      <x:c r="Q1029" s="93" t="n">
        <x:v>12271.87</x:v>
      </x:c>
      <x:c r="R1029" s="91" t="n">
        <x:v>0</x:v>
      </x:c>
    </x:row>
    <x:row r="1030">
      <x:c r="A1030" s="83" t="n">
        <x:v>1029</x:v>
      </x:c>
      <x:c r="B1030" s="84" t="str">
        <x:v>OS-2025-01029</x:v>
      </x:c>
      <x:c r="C1030" s="84" t="n">
        <x:v>34</x:v>
      </x:c>
      <x:c r="D1030" s="84" t="n">
        <x:v>4</x:v>
      </x:c>
      <x:c r="E1030" s="84"/>
      <x:c r="F1030" s="89" t="n">
        <x:v>45889.35967592592</x:v>
      </x:c>
      <x:c r="G1030" s="89" t="n">
        <x:v>45890.35967592592</x:v>
      </x:c>
      <x:c r="H1030" s="89"/>
      <x:c r="I1030" s="89"/>
      <x:c r="J1030" s="84" t="str">
        <x:v>Média</x:v>
      </x:c>
      <x:c r="K1030" s="84" t="str">
        <x:v>Planejada</x:v>
      </x:c>
      <x:c r="L1030" s="84" t="str">
        <x:v>Baixa pressão</x:v>
      </x:c>
      <x:c r="M1030" s="84"/>
      <x:c r="N1030" s="84"/>
      <x:c r="O1030" s="84" t="n">
        <x:v>0</x:v>
      </x:c>
      <x:c r="P1030" s="93" t="n">
        <x:v>0</x:v>
      </x:c>
      <x:c r="Q1030" s="93" t="n">
        <x:v>0</x:v>
      </x:c>
      <x:c r="R1030" s="91" t="n">
        <x:v>0</x:v>
      </x:c>
    </x:row>
    <x:row r="1031">
      <x:c r="A1031" s="83" t="n">
        <x:v>1030</x:v>
      </x:c>
      <x:c r="B1031" s="84" t="str">
        <x:v>OS-2024-01030</x:v>
      </x:c>
      <x:c r="C1031" s="84" t="n">
        <x:v>83</x:v>
      </x:c>
      <x:c r="D1031" s="84" t="n">
        <x:v>1</x:v>
      </x:c>
      <x:c r="E1031" s="84" t="n">
        <x:v>165</x:v>
      </x:c>
      <x:c r="F1031" s="89" t="n">
        <x:v>45606.563310185185</x:v>
      </x:c>
      <x:c r="G1031" s="89" t="n">
        <x:v>45620.563310185185</x:v>
      </x:c>
      <x:c r="H1031" s="89" t="n">
        <x:v>45608.77164351852</x:v>
      </x:c>
      <x:c r="I1031" s="89" t="n">
        <x:v>45609.14664351852</x:v>
      </x:c>
      <x:c r="J1031" s="84" t="str">
        <x:v>Crítica</x:v>
      </x:c>
      <x:c r="K1031" s="84" t="str">
        <x:v>Encerrada</x:v>
      </x:c>
      <x:c r="L1031" s="84" t="str">
        <x:v>Alarme intermitente</x:v>
      </x:c>
      <x:c r="M1031" s="84" t="str">
        <x:v>Falta de lubrificação</x:v>
      </x:c>
      <x:c r="N1031" s="84" t="str">
        <x:v>Componente ajustado ou substituído</x:v>
      </x:c>
      <x:c r="O1031" s="84" t="n">
        <x:v>0</x:v>
      </x:c>
      <x:c r="P1031" s="93" t="n">
        <x:v>236.99</x:v>
      </x:c>
      <x:c r="Q1031" s="93" t="n">
        <x:v>9540.25</x:v>
      </x:c>
      <x:c r="R1031" s="91" t="n">
        <x:v>0</x:v>
      </x:c>
    </x:row>
    <x:row r="1032">
      <x:c r="A1032" s="83" t="n">
        <x:v>1031</x:v>
      </x:c>
      <x:c r="B1032" s="84" t="str">
        <x:v>OS-2024-01031</x:v>
      </x:c>
      <x:c r="C1032" s="84" t="n">
        <x:v>76</x:v>
      </x:c>
      <x:c r="D1032" s="84" t="n">
        <x:v>1</x:v>
      </x:c>
      <x:c r="E1032" s="84" t="n">
        <x:v>151</x:v>
      </x:c>
      <x:c r="F1032" s="89" t="n">
        <x:v>45316.31055555555</x:v>
      </x:c>
      <x:c r="G1032" s="89" t="n">
        <x:v>45326.31055555555</x:v>
      </x:c>
      <x:c r="H1032" s="89" t="n">
        <x:v>45318.51888888889</x:v>
      </x:c>
      <x:c r="I1032" s="89" t="n">
        <x:v>45318.89388888889</x:v>
      </x:c>
      <x:c r="J1032" s="84" t="str">
        <x:v>Média</x:v>
      </x:c>
      <x:c r="K1032" s="84" t="str">
        <x:v>Encerrada</x:v>
      </x:c>
      <x:c r="L1032" s="84" t="str">
        <x:v>Desalinhamento</x:v>
      </x:c>
      <x:c r="M1032" s="84" t="str">
        <x:v>Ajuste incorreto</x:v>
      </x:c>
      <x:c r="N1032" s="84" t="str">
        <x:v>Componente ajustado ou substituído</x:v>
      </x:c>
      <x:c r="O1032" s="84" t="n">
        <x:v>0</x:v>
      </x:c>
      <x:c r="P1032" s="93" t="n">
        <x:v>438.46</x:v>
      </x:c>
      <x:c r="Q1032" s="93" t="n">
        <x:v>0</x:v>
      </x:c>
      <x:c r="R1032" s="91" t="n">
        <x:v>0</x:v>
      </x:c>
    </x:row>
    <x:row r="1033">
      <x:c r="A1033" s="83" t="n">
        <x:v>1032</x:v>
      </x:c>
      <x:c r="B1033" s="84" t="str">
        <x:v>OS-2024-01032</x:v>
      </x:c>
      <x:c r="C1033" s="84" t="n">
        <x:v>68</x:v>
      </x:c>
      <x:c r="D1033" s="84" t="n">
        <x:v>1</x:v>
      </x:c>
      <x:c r="E1033" s="84" t="n">
        <x:v>136</x:v>
      </x:c>
      <x:c r="F1033" s="89" t="n">
        <x:v>45536.32168981482</x:v>
      </x:c>
      <x:c r="G1033" s="89" t="n">
        <x:v>45551.32168981482</x:v>
      </x:c>
      <x:c r="H1033" s="89" t="n">
        <x:v>45537.655023148145</x:v>
      </x:c>
      <x:c r="I1033" s="89" t="n">
        <x:v>45538.32168981482</x:v>
      </x:c>
      <x:c r="J1033" s="84" t="str">
        <x:v>Alta</x:v>
      </x:c>
      <x:c r="K1033" s="84" t="str">
        <x:v>Encerrada</x:v>
      </x:c>
      <x:c r="L1033" s="84" t="str">
        <x:v>Falha elétrica</x:v>
      </x:c>
      <x:c r="M1033" s="84" t="str">
        <x:v>Contaminação</x:v>
      </x:c>
      <x:c r="N1033" s="84" t="str">
        <x:v>Componente ajustado ou substituído</x:v>
      </x:c>
      <x:c r="O1033" s="84" t="n">
        <x:v>0</x:v>
      </x:c>
      <x:c r="P1033" s="93" t="n">
        <x:v>396.91</x:v>
      </x:c>
      <x:c r="Q1033" s="93" t="n">
        <x:v>1761.26</x:v>
      </x:c>
      <x:c r="R1033" s="91" t="n">
        <x:v>0</x:v>
      </x:c>
    </x:row>
    <x:row r="1034">
      <x:c r="A1034" s="83" t="n">
        <x:v>1033</x:v>
      </x:c>
      <x:c r="B1034" s="84" t="str">
        <x:v>OS-2024-01033</x:v>
      </x:c>
      <x:c r="C1034" s="84" t="n">
        <x:v>87</x:v>
      </x:c>
      <x:c r="D1034" s="84" t="n">
        <x:v>1</x:v>
      </x:c>
      <x:c r="E1034" s="84" t="n">
        <x:v>174</x:v>
      </x:c>
      <x:c r="F1034" s="89" t="n">
        <x:v>45608.88261574074</x:v>
      </x:c>
      <x:c r="G1034" s="89" t="n">
        <x:v>45618.88261574074</x:v>
      </x:c>
      <x:c r="H1034" s="89"/>
      <x:c r="I1034" s="89"/>
      <x:c r="J1034" s="84" t="str">
        <x:v>Média</x:v>
      </x:c>
      <x:c r="K1034" s="84" t="str">
        <x:v>Planejada</x:v>
      </x:c>
      <x:c r="L1034" s="84" t="str">
        <x:v>Falha elétrica</x:v>
      </x:c>
      <x:c r="M1034" s="84"/>
      <x:c r="N1034" s="84"/>
      <x:c r="O1034" s="84" t="n">
        <x:v>0</x:v>
      </x:c>
      <x:c r="P1034" s="93" t="n">
        <x:v>0</x:v>
      </x:c>
      <x:c r="Q1034" s="93" t="n">
        <x:v>0</x:v>
      </x:c>
      <x:c r="R1034" s="91" t="n">
        <x:v>0</x:v>
      </x:c>
    </x:row>
    <x:row r="1035">
      <x:c r="A1035" s="83" t="n">
        <x:v>1034</x:v>
      </x:c>
      <x:c r="B1035" s="84" t="str">
        <x:v>OS-2024-01034</x:v>
      </x:c>
      <x:c r="C1035" s="84" t="n">
        <x:v>2</x:v>
      </x:c>
      <x:c r="D1035" s="84" t="n">
        <x:v>3</x:v>
      </x:c>
      <x:c r="E1035" s="84"/>
      <x:c r="F1035" s="89" t="n">
        <x:v>45615.876539351855</x:v>
      </x:c>
      <x:c r="G1035" s="89"/>
      <x:c r="H1035" s="89" t="n">
        <x:v>45617.54320601852</x:v>
      </x:c>
      <x:c r="I1035" s="89"/>
      <x:c r="J1035" s="84" t="str">
        <x:v>Alta</x:v>
      </x:c>
      <x:c r="K1035" s="84" t="str">
        <x:v>Em execução</x:v>
      </x:c>
      <x:c r="L1035" s="84" t="str">
        <x:v>Desalinhamento</x:v>
      </x:c>
      <x:c r="M1035" s="84" t="str">
        <x:v>Conexão frouxa</x:v>
      </x:c>
      <x:c r="N1035" s="84"/>
      <x:c r="O1035" s="84" t="n">
        <x:v>0</x:v>
      </x:c>
      <x:c r="P1035" s="93" t="n">
        <x:v>363.15</x:v>
      </x:c>
      <x:c r="Q1035" s="93" t="n">
        <x:v>12549.86</x:v>
      </x:c>
      <x:c r="R1035" s="91" t="n">
        <x:v>0</x:v>
      </x:c>
    </x:row>
    <x:row r="1036">
      <x:c r="A1036" s="83" t="n">
        <x:v>1035</x:v>
      </x:c>
      <x:c r="B1036" s="84" t="str">
        <x:v>OS-2023-01035</x:v>
      </x:c>
      <x:c r="C1036" s="84" t="n">
        <x:v>34</x:v>
      </x:c>
      <x:c r="D1036" s="84" t="n">
        <x:v>5</x:v>
      </x:c>
      <x:c r="E1036" s="84" t="n">
        <x:v>67</x:v>
      </x:c>
      <x:c r="F1036" s="89" t="n">
        <x:v>44947.34813657407</x:v>
      </x:c>
      <x:c r="G1036" s="89" t="n">
        <x:v>44958.34813657407</x:v>
      </x:c>
      <x:c r="H1036" s="89" t="n">
        <x:v>44948.51480324074</x:v>
      </x:c>
      <x:c r="I1036" s="89" t="n">
        <x:v>44948.80646990741</x:v>
      </x:c>
      <x:c r="J1036" s="84" t="str">
        <x:v>Média</x:v>
      </x:c>
      <x:c r="K1036" s="84" t="str">
        <x:v>Encerrada</x:v>
      </x:c>
      <x:c r="L1036" s="84" t="str">
        <x:v>Desalinhamento</x:v>
      </x:c>
      <x:c r="M1036" s="84" t="str">
        <x:v>Conexão frouxa</x:v>
      </x:c>
      <x:c r="N1036" s="84" t="str">
        <x:v>Componente ajustado ou substituído</x:v>
      </x:c>
      <x:c r="O1036" s="84" t="n">
        <x:v>0</x:v>
      </x:c>
      <x:c r="P1036" s="93" t="n">
        <x:v>383.99</x:v>
      </x:c>
      <x:c r="Q1036" s="93" t="n">
        <x:v>0</x:v>
      </x:c>
      <x:c r="R1036" s="91" t="n">
        <x:v>0</x:v>
      </x:c>
    </x:row>
    <x:row r="1037">
      <x:c r="A1037" s="83" t="n">
        <x:v>1036</x:v>
      </x:c>
      <x:c r="B1037" s="84" t="str">
        <x:v>OS-2025-01036</x:v>
      </x:c>
      <x:c r="C1037" s="84" t="n">
        <x:v>43</x:v>
      </x:c>
      <x:c r="D1037" s="84" t="n">
        <x:v>8</x:v>
      </x:c>
      <x:c r="E1037" s="84"/>
      <x:c r="F1037" s="89" t="n">
        <x:v>45987.574212962965</x:v>
      </x:c>
      <x:c r="G1037" s="89" t="n">
        <x:v>45994.574212962965</x:v>
      </x:c>
      <x:c r="H1037" s="89" t="n">
        <x:v>45988.824212962965</x:v>
      </x:c>
      <x:c r="I1037" s="89" t="n">
        <x:v>45989.574212962965</x:v>
      </x:c>
      <x:c r="J1037" s="84" t="str">
        <x:v>Crítica</x:v>
      </x:c>
      <x:c r="K1037" s="84" t="str">
        <x:v>Concluída</x:v>
      </x:c>
      <x:c r="L1037" s="84" t="str">
        <x:v>Alarme intermitente</x:v>
      </x:c>
      <x:c r="M1037" s="84" t="str">
        <x:v>Componente danificado</x:v>
      </x:c>
      <x:c r="N1037" s="84" t="str">
        <x:v>Componente ajustado ou substituído</x:v>
      </x:c>
      <x:c r="O1037" s="84" t="n">
        <x:v>0</x:v>
      </x:c>
      <x:c r="P1037" s="93" t="n">
        <x:v>534.1</x:v>
      </x:c>
      <x:c r="Q1037" s="93" t="n">
        <x:v>0</x:v>
      </x:c>
      <x:c r="R1037" s="91" t="n">
        <x:v>3319.28</x:v>
      </x:c>
    </x:row>
    <x:row r="1038">
      <x:c r="A1038" s="83" t="n">
        <x:v>1037</x:v>
      </x:c>
      <x:c r="B1038" s="84" t="str">
        <x:v>OS-2023-01037</x:v>
      </x:c>
      <x:c r="C1038" s="84" t="n">
        <x:v>23</x:v>
      </x:c>
      <x:c r="D1038" s="84" t="n">
        <x:v>2</x:v>
      </x:c>
      <x:c r="E1038" s="84"/>
      <x:c r="F1038" s="89" t="n">
        <x:v>45288.62185185185</x:v>
      </x:c>
      <x:c r="G1038" s="89" t="n">
        <x:v>45292.62185185185</x:v>
      </x:c>
      <x:c r="H1038" s="89" t="n">
        <x:v>45290.288518518515</x:v>
      </x:c>
      <x:c r="I1038" s="89" t="n">
        <x:v>45290.49685185185</x:v>
      </x:c>
      <x:c r="J1038" s="84" t="str">
        <x:v>Média</x:v>
      </x:c>
      <x:c r="K1038" s="84" t="str">
        <x:v>Encerrada</x:v>
      </x:c>
      <x:c r="L1038" s="84" t="str">
        <x:v>Ruído anormal</x:v>
      </x:c>
      <x:c r="M1038" s="84" t="str">
        <x:v>Conexão frouxa</x:v>
      </x:c>
      <x:c r="N1038" s="84" t="str">
        <x:v>Componente ajustado ou substituído</x:v>
      </x:c>
      <x:c r="O1038" s="84" t="n">
        <x:v>0</x:v>
      </x:c>
      <x:c r="P1038" s="93" t="n">
        <x:v>383.98</x:v>
      </x:c>
      <x:c r="Q1038" s="93" t="n">
        <x:v>4638.57</x:v>
      </x:c>
      <x:c r="R1038" s="91" t="n">
        <x:v>0</x:v>
      </x:c>
    </x:row>
    <x:row r="1039">
      <x:c r="A1039" s="83" t="n">
        <x:v>1038</x:v>
      </x:c>
      <x:c r="B1039" s="84" t="str">
        <x:v>OS-2025-01038</x:v>
      </x:c>
      <x:c r="C1039" s="84" t="n">
        <x:v>18</x:v>
      </x:c>
      <x:c r="D1039" s="84" t="n">
        <x:v>2</x:v>
      </x:c>
      <x:c r="E1039" s="84"/>
      <x:c r="F1039" s="89" t="n">
        <x:v>45837.090092592596</x:v>
      </x:c>
      <x:c r="G1039" s="89" t="n">
        <x:v>45842.090092592596</x:v>
      </x:c>
      <x:c r="H1039" s="89" t="n">
        <x:v>45837.715092592596</x:v>
      </x:c>
      <x:c r="I1039" s="89" t="n">
        <x:v>45838.090092592596</x:v>
      </x:c>
      <x:c r="J1039" s="84" t="str">
        <x:v>Crítica</x:v>
      </x:c>
      <x:c r="K1039" s="84" t="str">
        <x:v>Concluída</x:v>
      </x:c>
      <x:c r="L1039" s="84" t="str">
        <x:v>Superaquecimento</x:v>
      </x:c>
      <x:c r="M1039" s="84" t="str">
        <x:v>Conexão frouxa</x:v>
      </x:c>
      <x:c r="N1039" s="84" t="str">
        <x:v>Componente ajustado ou substituído</x:v>
      </x:c>
      <x:c r="O1039" s="84" t="n">
        <x:v>0</x:v>
      </x:c>
      <x:c r="P1039" s="93" t="n">
        <x:v>733.48</x:v>
      </x:c>
      <x:c r="Q1039" s="93" t="n">
        <x:v>7802.72</x:v>
      </x:c>
      <x:c r="R1039" s="91" t="n">
        <x:v>3841.01</x:v>
      </x:c>
    </x:row>
    <x:row r="1040">
      <x:c r="A1040" s="83" t="n">
        <x:v>1039</x:v>
      </x:c>
      <x:c r="B1040" s="84" t="str">
        <x:v>OS-2025-01039</x:v>
      </x:c>
      <x:c r="C1040" s="84" t="n">
        <x:v>90</x:v>
      </x:c>
      <x:c r="D1040" s="84" t="n">
        <x:v>2</x:v>
      </x:c>
      <x:c r="E1040" s="84"/>
      <x:c r="F1040" s="89" t="n">
        <x:v>45671.762094907404</x:v>
      </x:c>
      <x:c r="G1040" s="89" t="n">
        <x:v>45676.762094907404</x:v>
      </x:c>
      <x:c r="H1040" s="89" t="n">
        <x:v>45674.47042824074</x:v>
      </x:c>
      <x:c r="I1040" s="89" t="n">
        <x:v>45675.053761574076</x:v>
      </x:c>
      <x:c r="J1040" s="84" t="str">
        <x:v>Média</x:v>
      </x:c>
      <x:c r="K1040" s="84" t="str">
        <x:v>Encerrada</x:v>
      </x:c>
      <x:c r="L1040" s="84" t="str">
        <x:v>Falha elétrica</x:v>
      </x:c>
      <x:c r="M1040" s="84" t="str">
        <x:v>Desgaste natural</x:v>
      </x:c>
      <x:c r="N1040" s="84" t="str">
        <x:v>Componente ajustado ou substituído</x:v>
      </x:c>
      <x:c r="O1040" s="84" t="n">
        <x:v>0</x:v>
      </x:c>
      <x:c r="P1040" s="93" t="n">
        <x:v>393.55</x:v>
      </x:c>
      <x:c r="Q1040" s="93" t="n">
        <x:v>0</x:v>
      </x:c>
      <x:c r="R1040" s="91" t="n">
        <x:v>0</x:v>
      </x:c>
    </x:row>
    <x:row r="1041">
      <x:c r="A1041" s="83" t="n">
        <x:v>1040</x:v>
      </x:c>
      <x:c r="B1041" s="84" t="str">
        <x:v>OS-2025-01040</x:v>
      </x:c>
      <x:c r="C1041" s="84" t="n">
        <x:v>42</x:v>
      </x:c>
      <x:c r="D1041" s="84" t="n">
        <x:v>8</x:v>
      </x:c>
      <x:c r="E1041" s="84"/>
      <x:c r="F1041" s="89" t="n">
        <x:v>45771.07439814815</x:v>
      </x:c>
      <x:c r="G1041" s="89" t="n">
        <x:v>45779.07439814815</x:v>
      </x:c>
      <x:c r="H1041" s="89" t="n">
        <x:v>45772.866064814814</x:v>
      </x:c>
      <x:c r="I1041" s="89" t="n">
        <x:v>45773.616064814814</x:v>
      </x:c>
      <x:c r="J1041" s="84" t="str">
        <x:v>Baixa</x:v>
      </x:c>
      <x:c r="K1041" s="84" t="str">
        <x:v>Encerrada</x:v>
      </x:c>
      <x:c r="L1041" s="84" t="str">
        <x:v>Vazamento</x:v>
      </x:c>
      <x:c r="M1041" s="84" t="str">
        <x:v>Conexão frouxa</x:v>
      </x:c>
      <x:c r="N1041" s="84" t="str">
        <x:v>Componente ajustado ou substituído</x:v>
      </x:c>
      <x:c r="O1041" s="84" t="n">
        <x:v>0</x:v>
      </x:c>
      <x:c r="P1041" s="93" t="n">
        <x:v>564.97</x:v>
      </x:c>
      <x:c r="Q1041" s="93" t="n">
        <x:v>0</x:v>
      </x:c>
      <x:c r="R1041" s="91" t="n">
        <x:v>0</x:v>
      </x:c>
    </x:row>
    <x:row r="1042">
      <x:c r="A1042" s="83" t="n">
        <x:v>1041</x:v>
      </x:c>
      <x:c r="B1042" s="84" t="str">
        <x:v>OS-2023-01041</x:v>
      </x:c>
      <x:c r="C1042" s="84" t="n">
        <x:v>33</x:v>
      </x:c>
      <x:c r="D1042" s="84" t="n">
        <x:v>2</x:v>
      </x:c>
      <x:c r="E1042" s="84"/>
      <x:c r="F1042" s="89" t="n">
        <x:v>45226.653020833335</x:v>
      </x:c>
      <x:c r="G1042" s="89" t="n">
        <x:v>45237.653020833335</x:v>
      </x:c>
      <x:c r="H1042" s="89" t="n">
        <x:v>45227.9446875</x:v>
      </x:c>
      <x:c r="I1042" s="89" t="n">
        <x:v>45228.6946875</x:v>
      </x:c>
      <x:c r="J1042" s="84" t="str">
        <x:v>Alta</x:v>
      </x:c>
      <x:c r="K1042" s="84" t="str">
        <x:v>Encerrada</x:v>
      </x:c>
      <x:c r="L1042" s="84" t="str">
        <x:v>Superaquecimento</x:v>
      </x:c>
      <x:c r="M1042" s="84" t="str">
        <x:v>Desgaste natural</x:v>
      </x:c>
      <x:c r="N1042" s="84" t="str">
        <x:v>Componente ajustado ou substituído</x:v>
      </x:c>
      <x:c r="O1042" s="84" t="n">
        <x:v>0</x:v>
      </x:c>
      <x:c r="P1042" s="93" t="n">
        <x:v>437.23</x:v>
      </x:c>
      <x:c r="Q1042" s="93" t="n">
        <x:v>0</x:v>
      </x:c>
      <x:c r="R1042" s="91" t="n">
        <x:v>0</x:v>
      </x:c>
    </x:row>
    <x:row r="1043">
      <x:c r="A1043" s="83" t="n">
        <x:v>1042</x:v>
      </x:c>
      <x:c r="B1043" s="84" t="str">
        <x:v>OS-2023-01042</x:v>
      </x:c>
      <x:c r="C1043" s="84" t="n">
        <x:v>43</x:v>
      </x:c>
      <x:c r="D1043" s="84" t="n">
        <x:v>1</x:v>
      </x:c>
      <x:c r="E1043" s="84" t="n">
        <x:v>86</x:v>
      </x:c>
      <x:c r="F1043" s="89" t="n">
        <x:v>45067.733194444445</x:v>
      </x:c>
      <x:c r="G1043" s="89" t="n">
        <x:v>45070.733194444445</x:v>
      </x:c>
      <x:c r="H1043" s="89" t="n">
        <x:v>45069.27486111111</x:v>
      </x:c>
      <x:c r="I1043" s="89" t="n">
        <x:v>45069.483194444445</x:v>
      </x:c>
      <x:c r="J1043" s="84" t="str">
        <x:v>Alta</x:v>
      </x:c>
      <x:c r="K1043" s="84" t="str">
        <x:v>Concluída</x:v>
      </x:c>
      <x:c r="L1043" s="84" t="str">
        <x:v>Desalinhamento</x:v>
      </x:c>
      <x:c r="M1043" s="84" t="str">
        <x:v>Desgaste natural</x:v>
      </x:c>
      <x:c r="N1043" s="84" t="str">
        <x:v>Componente ajustado ou substituído</x:v>
      </x:c>
      <x:c r="O1043" s="84" t="n">
        <x:v>0</x:v>
      </x:c>
      <x:c r="P1043" s="93" t="n">
        <x:v>173.92</x:v>
      </x:c>
      <x:c r="Q1043" s="93" t="n">
        <x:v>0</x:v>
      </x:c>
      <x:c r="R1043" s="91" t="n">
        <x:v>0</x:v>
      </x:c>
    </x:row>
    <x:row r="1044">
      <x:c r="A1044" s="83" t="n">
        <x:v>1043</x:v>
      </x:c>
      <x:c r="B1044" s="84" t="str">
        <x:v>OS-2023-01043</x:v>
      </x:c>
      <x:c r="C1044" s="84" t="n">
        <x:v>19</x:v>
      </x:c>
      <x:c r="D1044" s="84" t="n">
        <x:v>3</x:v>
      </x:c>
      <x:c r="E1044" s="84"/>
      <x:c r="F1044" s="89" t="n">
        <x:v>45084.63392361111</x:v>
      </x:c>
      <x:c r="G1044" s="89"/>
      <x:c r="H1044" s="89" t="n">
        <x:v>45085.25892361111</x:v>
      </x:c>
      <x:c r="I1044" s="89" t="n">
        <x:v>45085.30059027778</x:v>
      </x:c>
      <x:c r="J1044" s="84" t="str">
        <x:v>Baixa</x:v>
      </x:c>
      <x:c r="K1044" s="84" t="str">
        <x:v>Encerrada</x:v>
      </x:c>
      <x:c r="L1044" s="84" t="str">
        <x:v>Superaquecimento</x:v>
      </x:c>
      <x:c r="M1044" s="84" t="str">
        <x:v>Componente danificado</x:v>
      </x:c>
      <x:c r="N1044" s="84" t="str">
        <x:v>Componente ajustado ou substituído</x:v>
      </x:c>
      <x:c r="O1044" s="84" t="n">
        <x:v>0</x:v>
      </x:c>
      <x:c r="P1044" s="93" t="n">
        <x:v>77.81</x:v>
      </x:c>
      <x:c r="Q1044" s="93" t="n">
        <x:v>3196.78</x:v>
      </x:c>
      <x:c r="R1044" s="91" t="n">
        <x:v>0</x:v>
      </x:c>
    </x:row>
    <x:row r="1045">
      <x:c r="A1045" s="83" t="n">
        <x:v>1044</x:v>
      </x:c>
      <x:c r="B1045" s="84" t="str">
        <x:v>OS-2023-01044</x:v>
      </x:c>
      <x:c r="C1045" s="84" t="n">
        <x:v>74</x:v>
      </x:c>
      <x:c r="D1045" s="84" t="n">
        <x:v>1</x:v>
      </x:c>
      <x:c r="E1045" s="84" t="n">
        <x:v>147</x:v>
      </x:c>
      <x:c r="F1045" s="89" t="n">
        <x:v>44950.96990740741</x:v>
      </x:c>
      <x:c r="G1045" s="89" t="n">
        <x:v>44954.96990740741</x:v>
      </x:c>
      <x:c r="H1045" s="89" t="n">
        <x:v>44951.38657407407</x:v>
      </x:c>
      <x:c r="I1045" s="89" t="n">
        <x:v>44951.46990740741</x:v>
      </x:c>
      <x:c r="J1045" s="84" t="str">
        <x:v>Baixa</x:v>
      </x:c>
      <x:c r="K1045" s="84" t="str">
        <x:v>Encerrada</x:v>
      </x:c>
      <x:c r="L1045" s="84" t="str">
        <x:v>Alarme intermitente</x:v>
      </x:c>
      <x:c r="M1045" s="84" t="str">
        <x:v>Componente danificado</x:v>
      </x:c>
      <x:c r="N1045" s="84" t="str">
        <x:v>Componente ajustado ou substituído</x:v>
      </x:c>
      <x:c r="O1045" s="84" t="n">
        <x:v>0</x:v>
      </x:c>
      <x:c r="P1045" s="93" t="n">
        <x:v>436.15</x:v>
      </x:c>
      <x:c r="Q1045" s="93" t="n">
        <x:v>1233.72</x:v>
      </x:c>
      <x:c r="R1045" s="91" t="n">
        <x:v>0</x:v>
      </x:c>
    </x:row>
    <x:row r="1046">
      <x:c r="A1046" s="83" t="n">
        <x:v>1045</x:v>
      </x:c>
      <x:c r="B1046" s="84" t="str">
        <x:v>OS-2023-01045</x:v>
      </x:c>
      <x:c r="C1046" s="84" t="n">
        <x:v>36</x:v>
      </x:c>
      <x:c r="D1046" s="84" t="n">
        <x:v>1</x:v>
      </x:c>
      <x:c r="E1046" s="84" t="n">
        <x:v>71</x:v>
      </x:c>
      <x:c r="F1046" s="89" t="n">
        <x:v>44987.34079861111</x:v>
      </x:c>
      <x:c r="G1046" s="89" t="n">
        <x:v>44993.34079861111</x:v>
      </x:c>
      <x:c r="H1046" s="89" t="n">
        <x:v>44987.38246527778</x:v>
      </x:c>
      <x:c r="I1046" s="89" t="n">
        <x:v>44987.71579861111</x:v>
      </x:c>
      <x:c r="J1046" s="84" t="str">
        <x:v>Crítica</x:v>
      </x:c>
      <x:c r="K1046" s="84" t="str">
        <x:v>Concluída</x:v>
      </x:c>
      <x:c r="L1046" s="84" t="str">
        <x:v>Ruído anormal</x:v>
      </x:c>
      <x:c r="M1046" s="84" t="str">
        <x:v>Ajuste incorreto</x:v>
      </x:c>
      <x:c r="N1046" s="84" t="str">
        <x:v>Componente ajustado ou substituído</x:v>
      </x:c>
      <x:c r="O1046" s="84" t="n">
        <x:v>0</x:v>
      </x:c>
      <x:c r="P1046" s="93" t="n">
        <x:v>448.62</x:v>
      </x:c>
      <x:c r="Q1046" s="93" t="n">
        <x:v>4205.82</x:v>
      </x:c>
      <x:c r="R1046" s="91" t="n">
        <x:v>0</x:v>
      </x:c>
    </x:row>
    <x:row r="1047">
      <x:c r="A1047" s="83" t="n">
        <x:v>1046</x:v>
      </x:c>
      <x:c r="B1047" s="84" t="str">
        <x:v>OS-2025-01046</x:v>
      </x:c>
      <x:c r="C1047" s="84" t="n">
        <x:v>35</x:v>
      </x:c>
      <x:c r="D1047" s="84" t="n">
        <x:v>3</x:v>
      </x:c>
      <x:c r="E1047" s="84"/>
      <x:c r="F1047" s="89" t="n">
        <x:v>45825.543229166666</x:v>
      </x:c>
      <x:c r="G1047" s="89"/>
      <x:c r="H1047" s="89" t="n">
        <x:v>45827.043229166666</x:v>
      </x:c>
      <x:c r="I1047" s="89" t="n">
        <x:v>45827.33489583333</x:v>
      </x:c>
      <x:c r="J1047" s="84" t="str">
        <x:v>Crítica</x:v>
      </x:c>
      <x:c r="K1047" s="84" t="str">
        <x:v>Encerrada</x:v>
      </x:c>
      <x:c r="L1047" s="84" t="str">
        <x:v>Baixa pressão</x:v>
      </x:c>
      <x:c r="M1047" s="84" t="str">
        <x:v>Conexão frouxa</x:v>
      </x:c>
      <x:c r="N1047" s="84" t="str">
        <x:v>Componente ajustado ou substituído</x:v>
      </x:c>
      <x:c r="O1047" s="84" t="n">
        <x:v>0</x:v>
      </x:c>
      <x:c r="P1047" s="93" t="n">
        <x:v>348.75</x:v>
      </x:c>
      <x:c r="Q1047" s="93" t="n">
        <x:v>8454.05</x:v>
      </x:c>
      <x:c r="R1047" s="91" t="n">
        <x:v>14303.96</x:v>
      </x:c>
    </x:row>
    <x:row r="1048">
      <x:c r="A1048" s="83" t="n">
        <x:v>1047</x:v>
      </x:c>
      <x:c r="B1048" s="84" t="str">
        <x:v>OS-2023-01047</x:v>
      </x:c>
      <x:c r="C1048" s="84" t="n">
        <x:v>33</x:v>
      </x:c>
      <x:c r="D1048" s="84" t="n">
        <x:v>1</x:v>
      </x:c>
      <x:c r="E1048" s="84" t="n">
        <x:v>65</x:v>
      </x:c>
      <x:c r="F1048" s="89" t="n">
        <x:v>45099.71865740741</x:v>
      </x:c>
      <x:c r="G1048" s="89" t="n">
        <x:v>45108.71865740741</x:v>
      </x:c>
      <x:c r="H1048" s="89" t="n">
        <x:v>45100.92699074074</x:v>
      </x:c>
      <x:c r="I1048" s="89" t="n">
        <x:v>45101.26032407407</x:v>
      </x:c>
      <x:c r="J1048" s="84" t="str">
        <x:v>Alta</x:v>
      </x:c>
      <x:c r="K1048" s="84" t="str">
        <x:v>Encerrada</x:v>
      </x:c>
      <x:c r="L1048" s="84" t="str">
        <x:v>Desalinhamento</x:v>
      </x:c>
      <x:c r="M1048" s="84" t="str">
        <x:v>Ajuste incorreto</x:v>
      </x:c>
      <x:c r="N1048" s="84" t="str">
        <x:v>Componente ajustado ou substituído</x:v>
      </x:c>
      <x:c r="O1048" s="84" t="n">
        <x:v>0</x:v>
      </x:c>
      <x:c r="P1048" s="93" t="n">
        <x:v>414.13</x:v>
      </x:c>
      <x:c r="Q1048" s="93" t="n">
        <x:v>5565.68</x:v>
      </x:c>
      <x:c r="R1048" s="91" t="n">
        <x:v>0</x:v>
      </x:c>
    </x:row>
    <x:row r="1049">
      <x:c r="A1049" s="83" t="n">
        <x:v>1048</x:v>
      </x:c>
      <x:c r="B1049" s="84" t="str">
        <x:v>OS-2023-01048</x:v>
      </x:c>
      <x:c r="C1049" s="84" t="n">
        <x:v>68</x:v>
      </x:c>
      <x:c r="D1049" s="84" t="n">
        <x:v>1</x:v>
      </x:c>
      <x:c r="E1049" s="84" t="n">
        <x:v>136</x:v>
      </x:c>
      <x:c r="F1049" s="89" t="n">
        <x:v>45091.21283564815</x:v>
      </x:c>
      <x:c r="G1049" s="89" t="n">
        <x:v>45097.21283564815</x:v>
      </x:c>
      <x:c r="H1049" s="89" t="n">
        <x:v>45092.58783564815</x:v>
      </x:c>
      <x:c r="I1049" s="89" t="n">
        <x:v>45093.37950231481</x:v>
      </x:c>
      <x:c r="J1049" s="84" t="str">
        <x:v>Alta</x:v>
      </x:c>
      <x:c r="K1049" s="84" t="str">
        <x:v>Encerrada</x:v>
      </x:c>
      <x:c r="L1049" s="84" t="str">
        <x:v>Ruído anormal</x:v>
      </x:c>
      <x:c r="M1049" s="84" t="str">
        <x:v>Desgaste natural</x:v>
      </x:c>
      <x:c r="N1049" s="84" t="str">
        <x:v>Componente ajustado ou substituído</x:v>
      </x:c>
      <x:c r="O1049" s="84" t="n">
        <x:v>0</x:v>
      </x:c>
      <x:c r="P1049" s="93" t="n">
        <x:v>234.81</x:v>
      </x:c>
      <x:c r="Q1049" s="93" t="n">
        <x:v>11205.02</x:v>
      </x:c>
      <x:c r="R1049" s="91" t="n">
        <x:v>0</x:v>
      </x:c>
    </x:row>
    <x:row r="1050">
      <x:c r="A1050" s="83" t="n">
        <x:v>1049</x:v>
      </x:c>
      <x:c r="B1050" s="84" t="str">
        <x:v>OS-2023-01049</x:v>
      </x:c>
      <x:c r="C1050" s="84" t="n">
        <x:v>51</x:v>
      </x:c>
      <x:c r="D1050" s="84" t="n">
        <x:v>3</x:v>
      </x:c>
      <x:c r="E1050" s="84"/>
      <x:c r="F1050" s="89" t="n">
        <x:v>45054.39818287037</x:v>
      </x:c>
      <x:c r="G1050" s="89"/>
      <x:c r="H1050" s="89" t="n">
        <x:v>45054.64818287037</x:v>
      </x:c>
      <x:c r="I1050" s="89" t="n">
        <x:v>45054.856516203705</x:v>
      </x:c>
      <x:c r="J1050" s="84" t="str">
        <x:v>Média</x:v>
      </x:c>
      <x:c r="K1050" s="84" t="str">
        <x:v>Encerrada</x:v>
      </x:c>
      <x:c r="L1050" s="84" t="str">
        <x:v>Alarme intermitente</x:v>
      </x:c>
      <x:c r="M1050" s="84" t="str">
        <x:v>Conexão frouxa</x:v>
      </x:c>
      <x:c r="N1050" s="84" t="str">
        <x:v>Componente ajustado ou substituído</x:v>
      </x:c>
      <x:c r="O1050" s="84" t="n">
        <x:v>0</x:v>
      </x:c>
      <x:c r="P1050" s="93" t="n">
        <x:v>311.73</x:v>
      </x:c>
      <x:c r="Q1050" s="93" t="n">
        <x:v>5844.61</x:v>
      </x:c>
      <x:c r="R1050" s="91" t="n">
        <x:v>0</x:v>
      </x:c>
    </x:row>
    <x:row r="1051">
      <x:c r="A1051" s="83" t="n">
        <x:v>1050</x:v>
      </x:c>
      <x:c r="B1051" s="84" t="str">
        <x:v>OS-2025-01050</x:v>
      </x:c>
      <x:c r="C1051" s="84" t="n">
        <x:v>79</x:v>
      </x:c>
      <x:c r="D1051" s="84" t="n">
        <x:v>3</x:v>
      </x:c>
      <x:c r="E1051" s="84"/>
      <x:c r="F1051" s="89" t="n">
        <x:v>45974.748564814814</x:v>
      </x:c>
      <x:c r="G1051" s="89"/>
      <x:c r="H1051" s="89" t="n">
        <x:v>45975.83189814815</x:v>
      </x:c>
      <x:c r="I1051" s="89" t="n">
        <x:v>45976.58189814815</x:v>
      </x:c>
      <x:c r="J1051" s="84" t="str">
        <x:v>Média</x:v>
      </x:c>
      <x:c r="K1051" s="84" t="str">
        <x:v>Encerrada</x:v>
      </x:c>
      <x:c r="L1051" s="84" t="str">
        <x:v>Desalinhamento</x:v>
      </x:c>
      <x:c r="M1051" s="84" t="str">
        <x:v>Ajuste incorreto</x:v>
      </x:c>
      <x:c r="N1051" s="84" t="str">
        <x:v>Componente ajustado ou substituído</x:v>
      </x:c>
      <x:c r="O1051" s="84" t="n">
        <x:v>0</x:v>
      </x:c>
      <x:c r="P1051" s="93" t="n">
        <x:v>133.61</x:v>
      </x:c>
      <x:c r="Q1051" s="93" t="n">
        <x:v>3065.52</x:v>
      </x:c>
      <x:c r="R1051" s="91" t="n">
        <x:v>0</x:v>
      </x:c>
    </x:row>
    <x:row r="1052">
      <x:c r="A1052" s="83" t="n">
        <x:v>1051</x:v>
      </x:c>
      <x:c r="B1052" s="84" t="str">
        <x:v>OS-2025-01051</x:v>
      </x:c>
      <x:c r="C1052" s="84" t="n">
        <x:v>22</x:v>
      </x:c>
      <x:c r="D1052" s="84" t="n">
        <x:v>2</x:v>
      </x:c>
      <x:c r="E1052" s="84"/>
      <x:c r="F1052" s="89" t="n">
        <x:v>45729.32753472222</x:v>
      </x:c>
      <x:c r="G1052" s="89" t="n">
        <x:v>45731.32753472222</x:v>
      </x:c>
      <x:c r="H1052" s="89"/>
      <x:c r="I1052" s="89"/>
      <x:c r="J1052" s="84" t="str">
        <x:v>Crítica</x:v>
      </x:c>
      <x:c r="K1052" s="84" t="str">
        <x:v>Planejada</x:v>
      </x:c>
      <x:c r="L1052" s="84" t="str">
        <x:v>Desalinhamento</x:v>
      </x:c>
      <x:c r="M1052" s="84"/>
      <x:c r="N1052" s="84"/>
      <x:c r="O1052" s="84" t="n">
        <x:v>0</x:v>
      </x:c>
      <x:c r="P1052" s="93" t="n">
        <x:v>0</x:v>
      </x:c>
      <x:c r="Q1052" s="93" t="n">
        <x:v>0</x:v>
      </x:c>
      <x:c r="R1052" s="91" t="n">
        <x:v>0</x:v>
      </x:c>
    </x:row>
    <x:row r="1053">
      <x:c r="A1053" s="83" t="n">
        <x:v>1052</x:v>
      </x:c>
      <x:c r="B1053" s="84" t="str">
        <x:v>OS-2025-01052</x:v>
      </x:c>
      <x:c r="C1053" s="84" t="n">
        <x:v>10</x:v>
      </x:c>
      <x:c r="D1053" s="84" t="n">
        <x:v>1</x:v>
      </x:c>
      <x:c r="E1053" s="84" t="n">
        <x:v>20</x:v>
      </x:c>
      <x:c r="F1053" s="89" t="n">
        <x:v>45721.61618055555</x:v>
      </x:c>
      <x:c r="G1053" s="89" t="n">
        <x:v>45727.61618055555</x:v>
      </x:c>
      <x:c r="H1053" s="89" t="n">
        <x:v>45722.11618055555</x:v>
      </x:c>
      <x:c r="I1053" s="89" t="n">
        <x:v>45722.282847222225</x:v>
      </x:c>
      <x:c r="J1053" s="84" t="str">
        <x:v>Média</x:v>
      </x:c>
      <x:c r="K1053" s="84" t="str">
        <x:v>Encerrada</x:v>
      </x:c>
      <x:c r="L1053" s="84" t="str">
        <x:v>Desalinhamento</x:v>
      </x:c>
      <x:c r="M1053" s="84" t="str">
        <x:v>Desgaste natural</x:v>
      </x:c>
      <x:c r="N1053" s="84" t="str">
        <x:v>Componente ajustado ou substituído</x:v>
      </x:c>
      <x:c r="O1053" s="84" t="n">
        <x:v>0</x:v>
      </x:c>
      <x:c r="P1053" s="93" t="n">
        <x:v>459.41</x:v>
      </x:c>
      <x:c r="Q1053" s="93" t="n">
        <x:v>14219.65</x:v>
      </x:c>
      <x:c r="R1053" s="91" t="n">
        <x:v>0</x:v>
      </x:c>
    </x:row>
    <x:row r="1054">
      <x:c r="A1054" s="83" t="n">
        <x:v>1053</x:v>
      </x:c>
      <x:c r="B1054" s="84" t="str">
        <x:v>OS-2024-01053</x:v>
      </x:c>
      <x:c r="C1054" s="84" t="n">
        <x:v>87</x:v>
      </x:c>
      <x:c r="D1054" s="84" t="n">
        <x:v>7</x:v>
      </x:c>
      <x:c r="E1054" s="84" t="n">
        <x:v>173</x:v>
      </x:c>
      <x:c r="F1054" s="89" t="n">
        <x:v>45294.23699074074</x:v>
      </x:c>
      <x:c r="G1054" s="89" t="n">
        <x:v>45303.23699074074</x:v>
      </x:c>
      <x:c r="H1054" s="89" t="n">
        <x:v>45297.11199074074</x:v>
      </x:c>
      <x:c r="I1054" s="89"/>
      <x:c r="J1054" s="84" t="str">
        <x:v>Média</x:v>
      </x:c>
      <x:c r="K1054" s="84" t="str">
        <x:v>Aguardando peça</x:v>
      </x:c>
      <x:c r="L1054" s="84" t="str">
        <x:v>Alarme intermitente</x:v>
      </x:c>
      <x:c r="M1054" s="84" t="str">
        <x:v>Ajuste incorreto</x:v>
      </x:c>
      <x:c r="N1054" s="84"/>
      <x:c r="O1054" s="84" t="n">
        <x:v>0</x:v>
      </x:c>
      <x:c r="P1054" s="93" t="n">
        <x:v>327.96</x:v>
      </x:c>
      <x:c r="Q1054" s="93" t="n">
        <x:v>1983.52</x:v>
      </x:c>
      <x:c r="R1054" s="91" t="n">
        <x:v>13463.97</x:v>
      </x:c>
    </x:row>
    <x:row r="1055">
      <x:c r="A1055" s="83" t="n">
        <x:v>1054</x:v>
      </x:c>
      <x:c r="B1055" s="84" t="str">
        <x:v>OS-2025-01054</x:v>
      </x:c>
      <x:c r="C1055" s="84" t="n">
        <x:v>67</x:v>
      </x:c>
      <x:c r="D1055" s="84" t="n">
        <x:v>1</x:v>
      </x:c>
      <x:c r="E1055" s="84" t="n">
        <x:v>133</x:v>
      </x:c>
      <x:c r="F1055" s="89" t="n">
        <x:v>45716.469872685186</x:v>
      </x:c>
      <x:c r="G1055" s="89" t="n">
        <x:v>45720.469872685186</x:v>
      </x:c>
      <x:c r="H1055" s="89"/>
      <x:c r="I1055" s="89"/>
      <x:c r="J1055" s="84" t="str">
        <x:v>Crítica</x:v>
      </x:c>
      <x:c r="K1055" s="84" t="str">
        <x:v>Planejada</x:v>
      </x:c>
      <x:c r="L1055" s="84" t="str">
        <x:v>Desalinhamento</x:v>
      </x:c>
      <x:c r="M1055" s="84"/>
      <x:c r="N1055" s="84"/>
      <x:c r="O1055" s="84" t="n">
        <x:v>0</x:v>
      </x:c>
      <x:c r="P1055" s="93" t="n">
        <x:v>0</x:v>
      </x:c>
      <x:c r="Q1055" s="93" t="n">
        <x:v>0</x:v>
      </x:c>
      <x:c r="R1055" s="91" t="n">
        <x:v>0</x:v>
      </x:c>
    </x:row>
    <x:row r="1056">
      <x:c r="A1056" s="83" t="n">
        <x:v>1055</x:v>
      </x:c>
      <x:c r="B1056" s="84" t="str">
        <x:v>OS-2025-01055</x:v>
      </x:c>
      <x:c r="C1056" s="84" t="n">
        <x:v>80</x:v>
      </x:c>
      <x:c r="D1056" s="84" t="n">
        <x:v>8</x:v>
      </x:c>
      <x:c r="E1056" s="84"/>
      <x:c r="F1056" s="89" t="n">
        <x:v>45968.80017361111</x:v>
      </x:c>
      <x:c r="G1056" s="89" t="n">
        <x:v>45972.80017361111</x:v>
      </x:c>
      <x:c r="H1056" s="89" t="n">
        <x:v>45970.55017361111</x:v>
      </x:c>
      <x:c r="I1056" s="89" t="n">
        <x:v>45970.841840277775</x:v>
      </x:c>
      <x:c r="J1056" s="84" t="str">
        <x:v>Baixa</x:v>
      </x:c>
      <x:c r="K1056" s="84" t="str">
        <x:v>Encerrada</x:v>
      </x:c>
      <x:c r="L1056" s="84" t="str">
        <x:v>Baixa pressão</x:v>
      </x:c>
      <x:c r="M1056" s="84" t="str">
        <x:v>Falta de lubrificação</x:v>
      </x:c>
      <x:c r="N1056" s="84" t="str">
        <x:v>Componente ajustado ou substituído</x:v>
      </x:c>
      <x:c r="O1056" s="84" t="n">
        <x:v>0</x:v>
      </x:c>
      <x:c r="P1056" s="93" t="n">
        <x:v>600.91</x:v>
      </x:c>
      <x:c r="Q1056" s="93" t="n">
        <x:v>2175.62</x:v>
      </x:c>
      <x:c r="R1056" s="91" t="n">
        <x:v>0</x:v>
      </x:c>
    </x:row>
    <x:row r="1057">
      <x:c r="A1057" s="83" t="n">
        <x:v>1056</x:v>
      </x:c>
      <x:c r="B1057" s="84" t="str">
        <x:v>OS-2025-01056</x:v>
      </x:c>
      <x:c r="C1057" s="84" t="n">
        <x:v>58</x:v>
      </x:c>
      <x:c r="D1057" s="84" t="n">
        <x:v>3</x:v>
      </x:c>
      <x:c r="E1057" s="84"/>
      <x:c r="F1057" s="89" t="n">
        <x:v>45724.917962962965</x:v>
      </x:c>
      <x:c r="G1057" s="89"/>
      <x:c r="H1057" s="89" t="n">
        <x:v>45726.001296296294</x:v>
      </x:c>
      <x:c r="I1057" s="89"/>
      <x:c r="J1057" s="84" t="str">
        <x:v>Alta</x:v>
      </x:c>
      <x:c r="K1057" s="84" t="str">
        <x:v>Aguardando peça</x:v>
      </x:c>
      <x:c r="L1057" s="84" t="str">
        <x:v>Falha elétrica</x:v>
      </x:c>
      <x:c r="M1057" s="84" t="str">
        <x:v>Contaminação</x:v>
      </x:c>
      <x:c r="N1057" s="84"/>
      <x:c r="O1057" s="84" t="n">
        <x:v>0</x:v>
      </x:c>
      <x:c r="P1057" s="93" t="n">
        <x:v>103.91</x:v>
      </x:c>
      <x:c r="Q1057" s="93" t="n">
        <x:v>0</x:v>
      </x:c>
      <x:c r="R1057" s="91" t="n">
        <x:v>0</x:v>
      </x:c>
    </x:row>
    <x:row r="1058">
      <x:c r="A1058" s="83" t="n">
        <x:v>1057</x:v>
      </x:c>
      <x:c r="B1058" s="84" t="str">
        <x:v>OS-2024-01057</x:v>
      </x:c>
      <x:c r="C1058" s="84" t="n">
        <x:v>49</x:v>
      </x:c>
      <x:c r="D1058" s="84" t="n">
        <x:v>1</x:v>
      </x:c>
      <x:c r="E1058" s="84" t="n">
        <x:v>97</x:v>
      </x:c>
      <x:c r="F1058" s="89" t="n">
        <x:v>45603.49903935185</x:v>
      </x:c>
      <x:c r="G1058" s="89" t="n">
        <x:v>45607.49903935185</x:v>
      </x:c>
      <x:c r="H1058" s="89" t="n">
        <x:v>45604.16570601852</x:v>
      </x:c>
      <x:c r="I1058" s="89" t="n">
        <x:v>45604.20737268519</x:v>
      </x:c>
      <x:c r="J1058" s="84" t="str">
        <x:v>Média</x:v>
      </x:c>
      <x:c r="K1058" s="84" t="str">
        <x:v>Encerrada</x:v>
      </x:c>
      <x:c r="L1058" s="84" t="str">
        <x:v>Baixa pressão</x:v>
      </x:c>
      <x:c r="M1058" s="84" t="str">
        <x:v>Contaminação</x:v>
      </x:c>
      <x:c r="N1058" s="84" t="str">
        <x:v>Componente ajustado ou substituído</x:v>
      </x:c>
      <x:c r="O1058" s="84" t="n">
        <x:v>0</x:v>
      </x:c>
      <x:c r="P1058" s="93" t="n">
        <x:v>88.63</x:v>
      </x:c>
      <x:c r="Q1058" s="93" t="n">
        <x:v>4205.82</x:v>
      </x:c>
      <x:c r="R1058" s="91" t="n">
        <x:v>0</x:v>
      </x:c>
    </x:row>
    <x:row r="1059">
      <x:c r="A1059" s="83" t="n">
        <x:v>1058</x:v>
      </x:c>
      <x:c r="B1059" s="84" t="str">
        <x:v>OS-2023-01058</x:v>
      </x:c>
      <x:c r="C1059" s="84" t="n">
        <x:v>13</x:v>
      </x:c>
      <x:c r="D1059" s="84" t="n">
        <x:v>8</x:v>
      </x:c>
      <x:c r="E1059" s="84"/>
      <x:c r="F1059" s="89" t="n">
        <x:v>45060.25403935185</x:v>
      </x:c>
      <x:c r="G1059" s="89" t="n">
        <x:v>45071.25403935185</x:v>
      </x:c>
      <x:c r="H1059" s="89" t="n">
        <x:v>45062.712372685186</x:v>
      </x:c>
      <x:c r="I1059" s="89" t="n">
        <x:v>45063.337372685186</x:v>
      </x:c>
      <x:c r="J1059" s="84" t="str">
        <x:v>Baixa</x:v>
      </x:c>
      <x:c r="K1059" s="84" t="str">
        <x:v>Encerrada</x:v>
      </x:c>
      <x:c r="L1059" s="84" t="str">
        <x:v>Vazamento</x:v>
      </x:c>
      <x:c r="M1059" s="84" t="str">
        <x:v>Componente danificado</x:v>
      </x:c>
      <x:c r="N1059" s="84" t="str">
        <x:v>Componente ajustado ou substituído</x:v>
      </x:c>
      <x:c r="O1059" s="84" t="n">
        <x:v>0</x:v>
      </x:c>
      <x:c r="P1059" s="93" t="n">
        <x:v>531.9</x:v>
      </x:c>
      <x:c r="Q1059" s="93" t="n">
        <x:v>8542.39</x:v>
      </x:c>
      <x:c r="R1059" s="91" t="n">
        <x:v>0</x:v>
      </x:c>
    </x:row>
    <x:row r="1060">
      <x:c r="A1060" s="83" t="n">
        <x:v>1059</x:v>
      </x:c>
      <x:c r="B1060" s="84" t="str">
        <x:v>OS-2024-01059</x:v>
      </x:c>
      <x:c r="C1060" s="84" t="n">
        <x:v>25</x:v>
      </x:c>
      <x:c r="D1060" s="84" t="n">
        <x:v>5</x:v>
      </x:c>
      <x:c r="E1060" s="84" t="n">
        <x:v>49</x:v>
      </x:c>
      <x:c r="F1060" s="89" t="n">
        <x:v>45525.18690972222</x:v>
      </x:c>
      <x:c r="G1060" s="89" t="n">
        <x:v>45527.18690972222</x:v>
      </x:c>
      <x:c r="H1060" s="89" t="n">
        <x:v>45525.22857638889</x:v>
      </x:c>
      <x:c r="I1060" s="89"/>
      <x:c r="J1060" s="84" t="str">
        <x:v>Média</x:v>
      </x:c>
      <x:c r="K1060" s="84" t="str">
        <x:v>Em execução</x:v>
      </x:c>
      <x:c r="L1060" s="84" t="str">
        <x:v>Ruído anormal</x:v>
      </x:c>
      <x:c r="M1060" s="84" t="str">
        <x:v>Falta de lubrificação</x:v>
      </x:c>
      <x:c r="N1060" s="84"/>
      <x:c r="O1060" s="84" t="n">
        <x:v>0</x:v>
      </x:c>
      <x:c r="P1060" s="93" t="n">
        <x:v>239.36</x:v>
      </x:c>
      <x:c r="Q1060" s="93" t="n">
        <x:v>9850.16</x:v>
      </x:c>
      <x:c r="R1060" s="91" t="n">
        <x:v>0</x:v>
      </x:c>
    </x:row>
    <x:row r="1061">
      <x:c r="A1061" s="83" t="n">
        <x:v>1060</x:v>
      </x:c>
      <x:c r="B1061" s="84" t="str">
        <x:v>OS-2025-01060</x:v>
      </x:c>
      <x:c r="C1061" s="84" t="n">
        <x:v>61</x:v>
      </x:c>
      <x:c r="D1061" s="84" t="n">
        <x:v>3</x:v>
      </x:c>
      <x:c r="E1061" s="84"/>
      <x:c r="F1061" s="89" t="n">
        <x:v>45940.380960648145</x:v>
      </x:c>
      <x:c r="G1061" s="89"/>
      <x:c r="H1061" s="89" t="n">
        <x:v>45942.380960648145</x:v>
      </x:c>
      <x:c r="I1061" s="89" t="n">
        <x:v>45943.21429398148</x:v>
      </x:c>
      <x:c r="J1061" s="84" t="str">
        <x:v>Média</x:v>
      </x:c>
      <x:c r="K1061" s="84" t="str">
        <x:v>Encerrada</x:v>
      </x:c>
      <x:c r="L1061" s="84" t="str">
        <x:v>Alarme intermitente</x:v>
      </x:c>
      <x:c r="M1061" s="84" t="str">
        <x:v>Falta de lubrificação</x:v>
      </x:c>
      <x:c r="N1061" s="84" t="str">
        <x:v>Componente ajustado ou substituído</x:v>
      </x:c>
      <x:c r="O1061" s="84" t="n">
        <x:v>0</x:v>
      </x:c>
      <x:c r="P1061" s="93" t="n">
        <x:v>117.86</x:v>
      </x:c>
      <x:c r="Q1061" s="93" t="n">
        <x:v>11214.1</x:v>
      </x:c>
      <x:c r="R1061" s="91" t="n">
        <x:v>2205.43</x:v>
      </x:c>
    </x:row>
    <x:row r="1062">
      <x:c r="A1062" s="83" t="n">
        <x:v>1061</x:v>
      </x:c>
      <x:c r="B1062" s="84" t="str">
        <x:v>OS-2025-01061</x:v>
      </x:c>
      <x:c r="C1062" s="84" t="n">
        <x:v>82</x:v>
      </x:c>
      <x:c r="D1062" s="84" t="n">
        <x:v>4</x:v>
      </x:c>
      <x:c r="E1062" s="84"/>
      <x:c r="F1062" s="89" t="n">
        <x:v>45774.59961805555</x:v>
      </x:c>
      <x:c r="G1062" s="89" t="n">
        <x:v>45781.59961805555</x:v>
      </x:c>
      <x:c r="H1062" s="89" t="n">
        <x:v>45774.97461805555</x:v>
      </x:c>
      <x:c r="I1062" s="89" t="n">
        <x:v>45775.266284722224</x:v>
      </x:c>
      <x:c r="J1062" s="84" t="str">
        <x:v>Crítica</x:v>
      </x:c>
      <x:c r="K1062" s="84" t="str">
        <x:v>Encerrada</x:v>
      </x:c>
      <x:c r="L1062" s="84" t="str">
        <x:v>Desalinhamento</x:v>
      </x:c>
      <x:c r="M1062" s="84" t="str">
        <x:v>Falta de lubrificação</x:v>
      </x:c>
      <x:c r="N1062" s="84" t="str">
        <x:v>Componente ajustado ou substituído</x:v>
      </x:c>
      <x:c r="O1062" s="84" t="n">
        <x:v>0</x:v>
      </x:c>
      <x:c r="P1062" s="93" t="n">
        <x:v>506.58</x:v>
      </x:c>
      <x:c r="Q1062" s="93" t="n">
        <x:v>8109.88</x:v>
      </x:c>
      <x:c r="R1062" s="91" t="n">
        <x:v>0</x:v>
      </x:c>
    </x:row>
    <x:row r="1063">
      <x:c r="A1063" s="83" t="n">
        <x:v>1062</x:v>
      </x:c>
      <x:c r="B1063" s="84" t="str">
        <x:v>OS-2023-01062</x:v>
      </x:c>
      <x:c r="C1063" s="84" t="n">
        <x:v>85</x:v>
      </x:c>
      <x:c r="D1063" s="84" t="n">
        <x:v>1</x:v>
      </x:c>
      <x:c r="E1063" s="84" t="n">
        <x:v>169</x:v>
      </x:c>
      <x:c r="F1063" s="89" t="n">
        <x:v>45074.31596064815</x:v>
      </x:c>
      <x:c r="G1063" s="89" t="n">
        <x:v>45083.31596064815</x:v>
      </x:c>
      <x:c r="H1063" s="89" t="n">
        <x:v>45075.56596064815</x:v>
      </x:c>
      <x:c r="I1063" s="89" t="n">
        <x:v>45075.89929398148</x:v>
      </x:c>
      <x:c r="J1063" s="84" t="str">
        <x:v>Média</x:v>
      </x:c>
      <x:c r="K1063" s="84" t="str">
        <x:v>Encerrada</x:v>
      </x:c>
      <x:c r="L1063" s="84" t="str">
        <x:v>Baixa pressão</x:v>
      </x:c>
      <x:c r="M1063" s="84" t="str">
        <x:v>Componente danificado</x:v>
      </x:c>
      <x:c r="N1063" s="84" t="str">
        <x:v>Componente ajustado ou substituído</x:v>
      </x:c>
      <x:c r="O1063" s="84" t="n">
        <x:v>0</x:v>
      </x:c>
      <x:c r="P1063" s="93" t="n">
        <x:v>132.81</x:v>
      </x:c>
      <x:c r="Q1063" s="93" t="n">
        <x:v>0</x:v>
      </x:c>
      <x:c r="R1063" s="91" t="n">
        <x:v>0</x:v>
      </x:c>
    </x:row>
    <x:row r="1064">
      <x:c r="A1064" s="83" t="n">
        <x:v>1063</x:v>
      </x:c>
      <x:c r="B1064" s="84" t="str">
        <x:v>OS-2024-01063</x:v>
      </x:c>
      <x:c r="C1064" s="84" t="n">
        <x:v>78</x:v>
      </x:c>
      <x:c r="D1064" s="84" t="n">
        <x:v>3</x:v>
      </x:c>
      <x:c r="E1064" s="84"/>
      <x:c r="F1064" s="89" t="n">
        <x:v>45312.64884259259</x:v>
      </x:c>
      <x:c r="G1064" s="89"/>
      <x:c r="H1064" s="89" t="n">
        <x:v>45313.85717592593</x:v>
      </x:c>
      <x:c r="I1064" s="89" t="n">
        <x:v>45314.10717592593</x:v>
      </x:c>
      <x:c r="J1064" s="84" t="str">
        <x:v>Alta</x:v>
      </x:c>
      <x:c r="K1064" s="84" t="str">
        <x:v>Encerrada</x:v>
      </x:c>
      <x:c r="L1064" s="84" t="str">
        <x:v>Baixa pressão</x:v>
      </x:c>
      <x:c r="M1064" s="84" t="str">
        <x:v>Contaminação</x:v>
      </x:c>
      <x:c r="N1064" s="84" t="str">
        <x:v>Componente ajustado ou substituído</x:v>
      </x:c>
      <x:c r="O1064" s="84" t="n">
        <x:v>0</x:v>
      </x:c>
      <x:c r="P1064" s="93" t="n">
        <x:v>337.67</x:v>
      </x:c>
      <x:c r="Q1064" s="93" t="n">
        <x:v>0</x:v>
      </x:c>
      <x:c r="R1064" s="91" t="n">
        <x:v>0</x:v>
      </x:c>
    </x:row>
    <x:row r="1065">
      <x:c r="A1065" s="83" t="n">
        <x:v>1064</x:v>
      </x:c>
      <x:c r="B1065" s="84" t="str">
        <x:v>OS-2024-01064</x:v>
      </x:c>
      <x:c r="C1065" s="84" t="n">
        <x:v>6</x:v>
      </x:c>
      <x:c r="D1065" s="84" t="n">
        <x:v>1</x:v>
      </x:c>
      <x:c r="E1065" s="84" t="n">
        <x:v>12</x:v>
      </x:c>
      <x:c r="F1065" s="89" t="n">
        <x:v>45401.49002314815</x:v>
      </x:c>
      <x:c r="G1065" s="89" t="n">
        <x:v>45409.49002314815</x:v>
      </x:c>
      <x:c r="H1065" s="89" t="n">
        <x:v>45403.11502314815</x:v>
      </x:c>
      <x:c r="I1065" s="89" t="n">
        <x:v>45403.32335648148</x:v>
      </x:c>
      <x:c r="J1065" s="84" t="str">
        <x:v>Alta</x:v>
      </x:c>
      <x:c r="K1065" s="84" t="str">
        <x:v>Encerrada</x:v>
      </x:c>
      <x:c r="L1065" s="84" t="str">
        <x:v>Desalinhamento</x:v>
      </x:c>
      <x:c r="M1065" s="84" t="str">
        <x:v>Componente danificado</x:v>
      </x:c>
      <x:c r="N1065" s="84" t="str">
        <x:v>Componente ajustado ou substituído</x:v>
      </x:c>
      <x:c r="O1065" s="84" t="n">
        <x:v>0</x:v>
      </x:c>
      <x:c r="P1065" s="93" t="n">
        <x:v>93.12</x:v>
      </x:c>
      <x:c r="Q1065" s="93" t="n">
        <x:v>0</x:v>
      </x:c>
      <x:c r="R1065" s="91" t="n">
        <x:v>0</x:v>
      </x:c>
    </x:row>
    <x:row r="1066">
      <x:c r="A1066" s="83" t="n">
        <x:v>1065</x:v>
      </x:c>
      <x:c r="B1066" s="84" t="str">
        <x:v>OS-2024-01065</x:v>
      </x:c>
      <x:c r="C1066" s="84" t="n">
        <x:v>45</x:v>
      </x:c>
      <x:c r="D1066" s="84" t="n">
        <x:v>1</x:v>
      </x:c>
      <x:c r="E1066" s="84" t="n">
        <x:v>90</x:v>
      </x:c>
      <x:c r="F1066" s="89" t="n">
        <x:v>45460.3415625</x:v>
      </x:c>
      <x:c r="G1066" s="89" t="n">
        <x:v>45469.3415625</x:v>
      </x:c>
      <x:c r="H1066" s="89" t="n">
        <x:v>45461.8415625</x:v>
      </x:c>
      <x:c r="I1066" s="89" t="n">
        <x:v>45462.4665625</x:v>
      </x:c>
      <x:c r="J1066" s="84" t="str">
        <x:v>Crítica</x:v>
      </x:c>
      <x:c r="K1066" s="84" t="str">
        <x:v>Encerrada</x:v>
      </x:c>
      <x:c r="L1066" s="84" t="str">
        <x:v>Vazamento</x:v>
      </x:c>
      <x:c r="M1066" s="84" t="str">
        <x:v>Ajuste incorreto</x:v>
      </x:c>
      <x:c r="N1066" s="84" t="str">
        <x:v>Componente ajustado ou substituído</x:v>
      </x:c>
      <x:c r="O1066" s="84" t="n">
        <x:v>0</x:v>
      </x:c>
      <x:c r="P1066" s="93" t="n">
        <x:v>500.63</x:v>
      </x:c>
      <x:c r="Q1066" s="93" t="n">
        <x:v>0</x:v>
      </x:c>
      <x:c r="R1066" s="91" t="n">
        <x:v>8615.77</x:v>
      </x:c>
    </x:row>
    <x:row r="1067">
      <x:c r="A1067" s="83" t="n">
        <x:v>1066</x:v>
      </x:c>
      <x:c r="B1067" s="84" t="str">
        <x:v>OS-2025-01066</x:v>
      </x:c>
      <x:c r="C1067" s="84" t="n">
        <x:v>46</x:v>
      </x:c>
      <x:c r="D1067" s="84" t="n">
        <x:v>5</x:v>
      </x:c>
      <x:c r="E1067" s="84" t="n">
        <x:v>91</x:v>
      </x:c>
      <x:c r="F1067" s="89" t="n">
        <x:v>45746.87703703704</x:v>
      </x:c>
      <x:c r="G1067" s="89" t="n">
        <x:v>45761.87703703704</x:v>
      </x:c>
      <x:c r="H1067" s="89"/>
      <x:c r="I1067" s="89"/>
      <x:c r="J1067" s="84" t="str">
        <x:v>Média</x:v>
      </x:c>
      <x:c r="K1067" s="84" t="str">
        <x:v>Planejada</x:v>
      </x:c>
      <x:c r="L1067" s="84" t="str">
        <x:v>Falha elétrica</x:v>
      </x:c>
      <x:c r="M1067" s="84"/>
      <x:c r="N1067" s="84"/>
      <x:c r="O1067" s="84" t="n">
        <x:v>0</x:v>
      </x:c>
      <x:c r="P1067" s="93" t="n">
        <x:v>0</x:v>
      </x:c>
      <x:c r="Q1067" s="93" t="n">
        <x:v>0</x:v>
      </x:c>
      <x:c r="R1067" s="91" t="n">
        <x:v>0</x:v>
      </x:c>
    </x:row>
    <x:row r="1068">
      <x:c r="A1068" s="83" t="n">
        <x:v>1067</x:v>
      </x:c>
      <x:c r="B1068" s="84" t="str">
        <x:v>OS-2023-01067</x:v>
      </x:c>
      <x:c r="C1068" s="84" t="n">
        <x:v>68</x:v>
      </x:c>
      <x:c r="D1068" s="84" t="n">
        <x:v>3</x:v>
      </x:c>
      <x:c r="E1068" s="84"/>
      <x:c r="F1068" s="89" t="n">
        <x:v>44988.354525462964</x:v>
      </x:c>
      <x:c r="G1068" s="89"/>
      <x:c r="H1068" s="89" t="n">
        <x:v>44988.52119212963</x:v>
      </x:c>
      <x:c r="I1068" s="89" t="n">
        <x:v>44989.354525462964</x:v>
      </x:c>
      <x:c r="J1068" s="84" t="str">
        <x:v>Média</x:v>
      </x:c>
      <x:c r="K1068" s="84" t="str">
        <x:v>Encerrada</x:v>
      </x:c>
      <x:c r="L1068" s="84" t="str">
        <x:v>Superaquecimento</x:v>
      </x:c>
      <x:c r="M1068" s="84" t="str">
        <x:v>Falta de lubrificação</x:v>
      </x:c>
      <x:c r="N1068" s="84" t="str">
        <x:v>Componente ajustado ou substituído</x:v>
      </x:c>
      <x:c r="O1068" s="84" t="n">
        <x:v>0</x:v>
      </x:c>
      <x:c r="P1068" s="93" t="n">
        <x:v>251.2</x:v>
      </x:c>
      <x:c r="Q1068" s="93" t="n">
        <x:v>0</x:v>
      </x:c>
      <x:c r="R1068" s="91" t="n">
        <x:v>8478.53</x:v>
      </x:c>
    </x:row>
    <x:row r="1069">
      <x:c r="A1069" s="83" t="n">
        <x:v>1068</x:v>
      </x:c>
      <x:c r="B1069" s="84" t="str">
        <x:v>OS-2023-01068</x:v>
      </x:c>
      <x:c r="C1069" s="84" t="n">
        <x:v>89</x:v>
      </x:c>
      <x:c r="D1069" s="84" t="n">
        <x:v>1</x:v>
      </x:c>
      <x:c r="E1069" s="84" t="n">
        <x:v>178</x:v>
      </x:c>
      <x:c r="F1069" s="89" t="n">
        <x:v>45002.337546296294</x:v>
      </x:c>
      <x:c r="G1069" s="89" t="n">
        <x:v>45010.337546296294</x:v>
      </x:c>
      <x:c r="H1069" s="89" t="n">
        <x:v>45003.087546296294</x:v>
      </x:c>
      <x:c r="I1069" s="89" t="n">
        <x:v>45003.754212962966</x:v>
      </x:c>
      <x:c r="J1069" s="84" t="str">
        <x:v>Crítica</x:v>
      </x:c>
      <x:c r="K1069" s="84" t="str">
        <x:v>Encerrada</x:v>
      </x:c>
      <x:c r="L1069" s="84" t="str">
        <x:v>Desalinhamento</x:v>
      </x:c>
      <x:c r="M1069" s="84" t="str">
        <x:v>Ajuste incorreto</x:v>
      </x:c>
      <x:c r="N1069" s="84" t="str">
        <x:v>Componente ajustado ou substituído</x:v>
      </x:c>
      <x:c r="O1069" s="84" t="n">
        <x:v>0</x:v>
      </x:c>
      <x:c r="P1069" s="93" t="n">
        <x:v>353.25</x:v>
      </x:c>
      <x:c r="Q1069" s="93" t="n">
        <x:v>0</x:v>
      </x:c>
      <x:c r="R1069" s="91" t="n">
        <x:v>0</x:v>
      </x:c>
    </x:row>
    <x:row r="1070">
      <x:c r="A1070" s="83" t="n">
        <x:v>1069</x:v>
      </x:c>
      <x:c r="B1070" s="84" t="str">
        <x:v>OS-2025-01069</x:v>
      </x:c>
      <x:c r="C1070" s="84" t="n">
        <x:v>22</x:v>
      </x:c>
      <x:c r="D1070" s="84" t="n">
        <x:v>6</x:v>
      </x:c>
      <x:c r="E1070" s="84"/>
      <x:c r="F1070" s="89" t="n">
        <x:v>45698.358611111114</x:v>
      </x:c>
      <x:c r="G1070" s="89" t="n">
        <x:v>45710.358611111114</x:v>
      </x:c>
      <x:c r="H1070" s="89" t="n">
        <x:v>45699.65027777778</x:v>
      </x:c>
      <x:c r="I1070" s="89" t="n">
        <x:v>45699.94194444444</x:v>
      </x:c>
      <x:c r="J1070" s="84" t="str">
        <x:v>Alta</x:v>
      </x:c>
      <x:c r="K1070" s="84" t="str">
        <x:v>Encerrada</x:v>
      </x:c>
      <x:c r="L1070" s="84" t="str">
        <x:v>Superaquecimento</x:v>
      </x:c>
      <x:c r="M1070" s="84" t="str">
        <x:v>Componente danificado</x:v>
      </x:c>
      <x:c r="N1070" s="84" t="str">
        <x:v>Componente ajustado ou substituído</x:v>
      </x:c>
      <x:c r="O1070" s="84" t="n">
        <x:v>0</x:v>
      </x:c>
      <x:c r="P1070" s="93" t="n">
        <x:v>142.3</x:v>
      </x:c>
      <x:c r="Q1070" s="93" t="n">
        <x:v>9761.26</x:v>
      </x:c>
      <x:c r="R1070" s="91" t="n">
        <x:v>0</x:v>
      </x:c>
    </x:row>
    <x:row r="1071">
      <x:c r="A1071" s="83" t="n">
        <x:v>1070</x:v>
      </x:c>
      <x:c r="B1071" s="84" t="str">
        <x:v>OS-2023-01070</x:v>
      </x:c>
      <x:c r="C1071" s="84" t="n">
        <x:v>50</x:v>
      </x:c>
      <x:c r="D1071" s="84" t="n">
        <x:v>5</x:v>
      </x:c>
      <x:c r="E1071" s="84" t="n">
        <x:v>99</x:v>
      </x:c>
      <x:c r="F1071" s="89" t="n">
        <x:v>45097.87678240741</x:v>
      </x:c>
      <x:c r="G1071" s="89" t="n">
        <x:v>45106.87678240741</x:v>
      </x:c>
      <x:c r="H1071" s="89" t="n">
        <x:v>45100.16844907407</x:v>
      </x:c>
      <x:c r="I1071" s="89" t="n">
        <x:v>45100.41844907407</x:v>
      </x:c>
      <x:c r="J1071" s="84" t="str">
        <x:v>Baixa</x:v>
      </x:c>
      <x:c r="K1071" s="84" t="str">
        <x:v>Concluída</x:v>
      </x:c>
      <x:c r="L1071" s="84" t="str">
        <x:v>Baixa pressão</x:v>
      </x:c>
      <x:c r="M1071" s="84" t="str">
        <x:v>Conexão frouxa</x:v>
      </x:c>
      <x:c r="N1071" s="84" t="str">
        <x:v>Componente ajustado ou substituído</x:v>
      </x:c>
      <x:c r="O1071" s="84" t="n">
        <x:v>0</x:v>
      </x:c>
      <x:c r="P1071" s="93" t="n">
        <x:v>44.48</x:v>
      </x:c>
      <x:c r="Q1071" s="93" t="n">
        <x:v>10636.52</x:v>
      </x:c>
      <x:c r="R1071" s="91" t="n">
        <x:v>0</x:v>
      </x:c>
    </x:row>
    <x:row r="1072">
      <x:c r="A1072" s="83" t="n">
        <x:v>1071</x:v>
      </x:c>
      <x:c r="B1072" s="84" t="str">
        <x:v>OS-2023-01071</x:v>
      </x:c>
      <x:c r="C1072" s="84" t="n">
        <x:v>43</x:v>
      </x:c>
      <x:c r="D1072" s="84" t="n">
        <x:v>1</x:v>
      </x:c>
      <x:c r="E1072" s="84" t="n">
        <x:v>85</x:v>
      </x:c>
      <x:c r="F1072" s="89" t="n">
        <x:v>45206.61408564815</x:v>
      </x:c>
      <x:c r="G1072" s="89" t="n">
        <x:v>45218.61408564815</x:v>
      </x:c>
      <x:c r="H1072" s="89" t="n">
        <x:v>45207.655752314815</x:v>
      </x:c>
      <x:c r="I1072" s="89" t="n">
        <x:v>45208.19741898148</x:v>
      </x:c>
      <x:c r="J1072" s="84" t="str">
        <x:v>Alta</x:v>
      </x:c>
      <x:c r="K1072" s="84" t="str">
        <x:v>Concluída</x:v>
      </x:c>
      <x:c r="L1072" s="84" t="str">
        <x:v>Desalinhamento</x:v>
      </x:c>
      <x:c r="M1072" s="84" t="str">
        <x:v>Componente danificado</x:v>
      </x:c>
      <x:c r="N1072" s="84" t="str">
        <x:v>Componente ajustado ou substituído</x:v>
      </x:c>
      <x:c r="O1072" s="84" t="n">
        <x:v>0</x:v>
      </x:c>
      <x:c r="P1072" s="93" t="n">
        <x:v>74.54</x:v>
      </x:c>
      <x:c r="Q1072" s="93" t="n">
        <x:v>4604.56</x:v>
      </x:c>
      <x:c r="R1072" s="91" t="n">
        <x:v>0</x:v>
      </x:c>
    </x:row>
    <x:row r="1073">
      <x:c r="A1073" s="83" t="n">
        <x:v>1072</x:v>
      </x:c>
      <x:c r="B1073" s="84" t="str">
        <x:v>OS-2024-01072</x:v>
      </x:c>
      <x:c r="C1073" s="84" t="n">
        <x:v>67</x:v>
      </x:c>
      <x:c r="D1073" s="84" t="n">
        <x:v>8</x:v>
      </x:c>
      <x:c r="E1073" s="84"/>
      <x:c r="F1073" s="89" t="n">
        <x:v>45315.361354166664</x:v>
      </x:c>
      <x:c r="G1073" s="89" t="n">
        <x:v>45327.361354166664</x:v>
      </x:c>
      <x:c r="H1073" s="89" t="n">
        <x:v>45318.278020833335</x:v>
      </x:c>
      <x:c r="I1073" s="89" t="n">
        <x:v>45318.778020833335</x:v>
      </x:c>
      <x:c r="J1073" s="84" t="str">
        <x:v>Baixa</x:v>
      </x:c>
      <x:c r="K1073" s="84" t="str">
        <x:v>Encerrada</x:v>
      </x:c>
      <x:c r="L1073" s="84" t="str">
        <x:v>Alarme intermitente</x:v>
      </x:c>
      <x:c r="M1073" s="84" t="str">
        <x:v>Contaminação</x:v>
      </x:c>
      <x:c r="N1073" s="84" t="str">
        <x:v>Componente ajustado ou substituído</x:v>
      </x:c>
      <x:c r="O1073" s="84" t="n">
        <x:v>0</x:v>
      </x:c>
      <x:c r="P1073" s="93" t="n">
        <x:v>787.25</x:v>
      </x:c>
      <x:c r="Q1073" s="93" t="n">
        <x:v>2131.38</x:v>
      </x:c>
      <x:c r="R1073" s="91" t="n">
        <x:v>0</x:v>
      </x:c>
    </x:row>
    <x:row r="1074">
      <x:c r="A1074" s="83" t="n">
        <x:v>1073</x:v>
      </x:c>
      <x:c r="B1074" s="84" t="str">
        <x:v>OS-2025-01073</x:v>
      </x:c>
      <x:c r="C1074" s="84" t="n">
        <x:v>58</x:v>
      </x:c>
      <x:c r="D1074" s="84" t="n">
        <x:v>1</x:v>
      </x:c>
      <x:c r="E1074" s="84" t="n">
        <x:v>115</x:v>
      </x:c>
      <x:c r="F1074" s="89" t="n">
        <x:v>45907.974803240744</x:v>
      </x:c>
      <x:c r="G1074" s="89" t="n">
        <x:v>45922.974803240744</x:v>
      </x:c>
      <x:c r="H1074" s="89"/>
      <x:c r="I1074" s="89"/>
      <x:c r="J1074" s="84" t="str">
        <x:v>Alta</x:v>
      </x:c>
      <x:c r="K1074" s="84" t="str">
        <x:v>Planejada</x:v>
      </x:c>
      <x:c r="L1074" s="84" t="str">
        <x:v>Vazamento</x:v>
      </x:c>
      <x:c r="M1074" s="84"/>
      <x:c r="N1074" s="84"/>
      <x:c r="O1074" s="84" t="n">
        <x:v>0</x:v>
      </x:c>
      <x:c r="P1074" s="93" t="n">
        <x:v>0</x:v>
      </x:c>
      <x:c r="Q1074" s="93" t="n">
        <x:v>0</x:v>
      </x:c>
      <x:c r="R1074" s="91" t="n">
        <x:v>0</x:v>
      </x:c>
    </x:row>
    <x:row r="1075">
      <x:c r="A1075" s="83" t="n">
        <x:v>1074</x:v>
      </x:c>
      <x:c r="B1075" s="84" t="str">
        <x:v>OS-2024-01074</x:v>
      </x:c>
      <x:c r="C1075" s="84" t="n">
        <x:v>88</x:v>
      </x:c>
      <x:c r="D1075" s="84" t="n">
        <x:v>5</x:v>
      </x:c>
      <x:c r="E1075" s="84" t="n">
        <x:v>175</x:v>
      </x:c>
      <x:c r="F1075" s="89" t="n">
        <x:v>45478.60184027778</x:v>
      </x:c>
      <x:c r="G1075" s="89" t="n">
        <x:v>45484.60184027778</x:v>
      </x:c>
      <x:c r="H1075" s="89" t="n">
        <x:v>45479.81017361111</x:v>
      </x:c>
      <x:c r="I1075" s="89" t="n">
        <x:v>45480.39350694444</x:v>
      </x:c>
      <x:c r="J1075" s="84" t="str">
        <x:v>Crítica</x:v>
      </x:c>
      <x:c r="K1075" s="84" t="str">
        <x:v>Encerrada</x:v>
      </x:c>
      <x:c r="L1075" s="84" t="str">
        <x:v>Superaquecimento</x:v>
      </x:c>
      <x:c r="M1075" s="84" t="str">
        <x:v>Ajuste incorreto</x:v>
      </x:c>
      <x:c r="N1075" s="84" t="str">
        <x:v>Componente ajustado ou substituído</x:v>
      </x:c>
      <x:c r="O1075" s="84" t="n">
        <x:v>0</x:v>
      </x:c>
      <x:c r="P1075" s="93" t="n">
        <x:v>587.91</x:v>
      </x:c>
      <x:c r="Q1075" s="93" t="n">
        <x:v>0</x:v>
      </x:c>
      <x:c r="R1075" s="91" t="n">
        <x:v>0</x:v>
      </x:c>
    </x:row>
    <x:row r="1076">
      <x:c r="A1076" s="83" t="n">
        <x:v>1075</x:v>
      </x:c>
      <x:c r="B1076" s="84" t="str">
        <x:v>OS-2025-01075</x:v>
      </x:c>
      <x:c r="C1076" s="84" t="n">
        <x:v>2</x:v>
      </x:c>
      <x:c r="D1076" s="84" t="n">
        <x:v>9</x:v>
      </x:c>
      <x:c r="E1076" s="84"/>
      <x:c r="F1076" s="89" t="n">
        <x:v>45792.90114583333</x:v>
      </x:c>
      <x:c r="G1076" s="89" t="n">
        <x:v>45806.90114583333</x:v>
      </x:c>
      <x:c r="H1076" s="89"/>
      <x:c r="I1076" s="89"/>
      <x:c r="J1076" s="84" t="str">
        <x:v>Crítica</x:v>
      </x:c>
      <x:c r="K1076" s="84" t="str">
        <x:v>Planejada</x:v>
      </x:c>
      <x:c r="L1076" s="84" t="str">
        <x:v>Ruído anormal</x:v>
      </x:c>
      <x:c r="M1076" s="84"/>
      <x:c r="N1076" s="84"/>
      <x:c r="O1076" s="84" t="n">
        <x:v>0</x:v>
      </x:c>
      <x:c r="P1076" s="93" t="n">
        <x:v>0</x:v>
      </x:c>
      <x:c r="Q1076" s="93" t="n">
        <x:v>0</x:v>
      </x:c>
      <x:c r="R1076" s="91" t="n">
        <x:v>0</x:v>
      </x:c>
    </x:row>
    <x:row r="1077">
      <x:c r="A1077" s="83" t="n">
        <x:v>1076</x:v>
      </x:c>
      <x:c r="B1077" s="84" t="str">
        <x:v>OS-2024-01076</x:v>
      </x:c>
      <x:c r="C1077" s="84" t="n">
        <x:v>64</x:v>
      </x:c>
      <x:c r="D1077" s="84" t="n">
        <x:v>1</x:v>
      </x:c>
      <x:c r="E1077" s="84" t="n">
        <x:v>127</x:v>
      </x:c>
      <x:c r="F1077" s="89" t="n">
        <x:v>45514.65497685185</x:v>
      </x:c>
      <x:c r="G1077" s="89" t="n">
        <x:v>45517.65497685185</x:v>
      </x:c>
      <x:c r="H1077" s="89" t="n">
        <x:v>45515.36331018519</x:v>
      </x:c>
      <x:c r="I1077" s="89" t="n">
        <x:v>45516.15497685185</x:v>
      </x:c>
      <x:c r="J1077" s="84" t="str">
        <x:v>Média</x:v>
      </x:c>
      <x:c r="K1077" s="84" t="str">
        <x:v>Encerrada</x:v>
      </x:c>
      <x:c r="L1077" s="84" t="str">
        <x:v>Alarme intermitente</x:v>
      </x:c>
      <x:c r="M1077" s="84" t="str">
        <x:v>Ajuste incorreto</x:v>
      </x:c>
      <x:c r="N1077" s="84" t="str">
        <x:v>Componente ajustado ou substituído</x:v>
      </x:c>
      <x:c r="O1077" s="84" t="n">
        <x:v>0</x:v>
      </x:c>
      <x:c r="P1077" s="93" t="n">
        <x:v>730.5</x:v>
      </x:c>
      <x:c r="Q1077" s="93" t="n">
        <x:v>6259.71</x:v>
      </x:c>
      <x:c r="R1077" s="91" t="n">
        <x:v>0</x:v>
      </x:c>
    </x:row>
    <x:row r="1078">
      <x:c r="A1078" s="83" t="n">
        <x:v>1077</x:v>
      </x:c>
      <x:c r="B1078" s="84" t="str">
        <x:v>OS-2024-01077</x:v>
      </x:c>
      <x:c r="C1078" s="84" t="n">
        <x:v>64</x:v>
      </x:c>
      <x:c r="D1078" s="84" t="n">
        <x:v>3</x:v>
      </x:c>
      <x:c r="E1078" s="84"/>
      <x:c r="F1078" s="89" t="n">
        <x:v>45436.11618055555</x:v>
      </x:c>
      <x:c r="G1078" s="89"/>
      <x:c r="H1078" s="89" t="n">
        <x:v>45437.36618055555</x:v>
      </x:c>
      <x:c r="I1078" s="89" t="n">
        <x:v>45438.07451388889</x:v>
      </x:c>
      <x:c r="J1078" s="84" t="str">
        <x:v>Alta</x:v>
      </x:c>
      <x:c r="K1078" s="84" t="str">
        <x:v>Concluída</x:v>
      </x:c>
      <x:c r="L1078" s="84" t="str">
        <x:v>Falha elétrica</x:v>
      </x:c>
      <x:c r="M1078" s="84" t="str">
        <x:v>Falta de lubrificação</x:v>
      </x:c>
      <x:c r="N1078" s="84" t="str">
        <x:v>Componente ajustado ou substituído</x:v>
      </x:c>
      <x:c r="O1078" s="84" t="n">
        <x:v>0</x:v>
      </x:c>
      <x:c r="P1078" s="93" t="n">
        <x:v>129</x:v>
      </x:c>
      <x:c r="Q1078" s="93" t="n">
        <x:v>4699.02</x:v>
      </x:c>
      <x:c r="R1078" s="91" t="n">
        <x:v>0</x:v>
      </x:c>
    </x:row>
    <x:row r="1079">
      <x:c r="A1079" s="83" t="n">
        <x:v>1078</x:v>
      </x:c>
      <x:c r="B1079" s="84" t="str">
        <x:v>OS-2025-01078</x:v>
      </x:c>
      <x:c r="C1079" s="84" t="n">
        <x:v>33</x:v>
      </x:c>
      <x:c r="D1079" s="84" t="n">
        <x:v>8</x:v>
      </x:c>
      <x:c r="E1079" s="84"/>
      <x:c r="F1079" s="89" t="n">
        <x:v>45866.24674768518</x:v>
      </x:c>
      <x:c r="G1079" s="89" t="n">
        <x:v>45872.24674768518</x:v>
      </x:c>
      <x:c r="H1079" s="89" t="n">
        <x:v>45867.91341435185</x:v>
      </x:c>
      <x:c r="I1079" s="89" t="n">
        <x:v>45868.20508101852</x:v>
      </x:c>
      <x:c r="J1079" s="84" t="str">
        <x:v>Baixa</x:v>
      </x:c>
      <x:c r="K1079" s="84" t="str">
        <x:v>Encerrada</x:v>
      </x:c>
      <x:c r="L1079" s="84" t="str">
        <x:v>Baixa pressão</x:v>
      </x:c>
      <x:c r="M1079" s="84" t="str">
        <x:v>Falta de lubrificação</x:v>
      </x:c>
      <x:c r="N1079" s="84" t="str">
        <x:v>Componente ajustado ou substituído</x:v>
      </x:c>
      <x:c r="O1079" s="84" t="n">
        <x:v>0</x:v>
      </x:c>
      <x:c r="P1079" s="93" t="n">
        <x:v>148.31</x:v>
      </x:c>
      <x:c r="Q1079" s="93" t="n">
        <x:v>0</x:v>
      </x:c>
      <x:c r="R1079" s="91" t="n">
        <x:v>0</x:v>
      </x:c>
    </x:row>
    <x:row r="1080">
      <x:c r="A1080" s="83" t="n">
        <x:v>1079</x:v>
      </x:c>
      <x:c r="B1080" s="84" t="str">
        <x:v>OS-2024-01079</x:v>
      </x:c>
      <x:c r="C1080" s="84" t="n">
        <x:v>60</x:v>
      </x:c>
      <x:c r="D1080" s="84" t="n">
        <x:v>3</x:v>
      </x:c>
      <x:c r="E1080" s="84"/>
      <x:c r="F1080" s="89" t="n">
        <x:v>45555.97130787037</x:v>
      </x:c>
      <x:c r="G1080" s="89"/>
      <x:c r="H1080" s="89" t="n">
        <x:v>45556.34630787037</x:v>
      </x:c>
      <x:c r="I1080" s="89" t="n">
        <x:v>45556.9296412037</x:v>
      </x:c>
      <x:c r="J1080" s="84" t="str">
        <x:v>Média</x:v>
      </x:c>
      <x:c r="K1080" s="84" t="str">
        <x:v>Encerrada</x:v>
      </x:c>
      <x:c r="L1080" s="84" t="str">
        <x:v>Desalinhamento</x:v>
      </x:c>
      <x:c r="M1080" s="84" t="str">
        <x:v>Conexão frouxa</x:v>
      </x:c>
      <x:c r="N1080" s="84" t="str">
        <x:v>Componente ajustado ou substituído</x:v>
      </x:c>
      <x:c r="O1080" s="84" t="n">
        <x:v>0</x:v>
      </x:c>
      <x:c r="P1080" s="93" t="n">
        <x:v>153.75</x:v>
      </x:c>
      <x:c r="Q1080" s="93" t="n">
        <x:v>3864.46</x:v>
      </x:c>
      <x:c r="R1080" s="91" t="n">
        <x:v>0</x:v>
      </x:c>
    </x:row>
    <x:row r="1081">
      <x:c r="A1081" s="83" t="n">
        <x:v>1080</x:v>
      </x:c>
      <x:c r="B1081" s="84" t="str">
        <x:v>OS-2023-01080</x:v>
      </x:c>
      <x:c r="C1081" s="84" t="n">
        <x:v>88</x:v>
      </x:c>
      <x:c r="D1081" s="84" t="n">
        <x:v>8</x:v>
      </x:c>
      <x:c r="E1081" s="84"/>
      <x:c r="F1081" s="89" t="n">
        <x:v>45117.266226851854</x:v>
      </x:c>
      <x:c r="G1081" s="89" t="n">
        <x:v>45118.266226851854</x:v>
      </x:c>
      <x:c r="H1081" s="89" t="n">
        <x:v>45117.97456018518</x:v>
      </x:c>
      <x:c r="I1081" s="89" t="n">
        <x:v>45118.55789351852</x:v>
      </x:c>
      <x:c r="J1081" s="84" t="str">
        <x:v>Média</x:v>
      </x:c>
      <x:c r="K1081" s="84" t="str">
        <x:v>Encerrada</x:v>
      </x:c>
      <x:c r="L1081" s="84" t="str">
        <x:v>Falha elétrica</x:v>
      </x:c>
      <x:c r="M1081" s="84" t="str">
        <x:v>Conexão frouxa</x:v>
      </x:c>
      <x:c r="N1081" s="84" t="str">
        <x:v>Componente ajustado ou substituído</x:v>
      </x:c>
      <x:c r="O1081" s="84" t="n">
        <x:v>0</x:v>
      </x:c>
      <x:c r="P1081" s="93" t="n">
        <x:v>661.61</x:v>
      </x:c>
      <x:c r="Q1081" s="93" t="n">
        <x:v>14153.09</x:v>
      </x:c>
      <x:c r="R1081" s="91" t="n">
        <x:v>0</x:v>
      </x:c>
    </x:row>
    <x:row r="1082">
      <x:c r="A1082" s="83" t="n">
        <x:v>1081</x:v>
      </x:c>
      <x:c r="B1082" s="84" t="str">
        <x:v>OS-2023-01081</x:v>
      </x:c>
      <x:c r="C1082" s="84" t="n">
        <x:v>68</x:v>
      </x:c>
      <x:c r="D1082" s="84" t="n">
        <x:v>1</x:v>
      </x:c>
      <x:c r="E1082" s="84" t="n">
        <x:v>135</x:v>
      </x:c>
      <x:c r="F1082" s="89" t="n">
        <x:v>45194.59174768518</x:v>
      </x:c>
      <x:c r="G1082" s="89" t="n">
        <x:v>45201.59174768518</x:v>
      </x:c>
      <x:c r="H1082" s="89" t="n">
        <x:v>45197.17508101852</x:v>
      </x:c>
      <x:c r="I1082" s="89" t="n">
        <x:v>45197.42508101852</x:v>
      </x:c>
      <x:c r="J1082" s="84" t="str">
        <x:v>Crítica</x:v>
      </x:c>
      <x:c r="K1082" s="84" t="str">
        <x:v>Encerrada</x:v>
      </x:c>
      <x:c r="L1082" s="84" t="str">
        <x:v>Baixa pressão</x:v>
      </x:c>
      <x:c r="M1082" s="84" t="str">
        <x:v>Componente danificado</x:v>
      </x:c>
      <x:c r="N1082" s="84" t="str">
        <x:v>Componente ajustado ou substituído</x:v>
      </x:c>
      <x:c r="O1082" s="84" t="n">
        <x:v>0</x:v>
      </x:c>
      <x:c r="P1082" s="93" t="n">
        <x:v>140.87</x:v>
      </x:c>
      <x:c r="Q1082" s="93" t="n">
        <x:v>5608.34</x:v>
      </x:c>
      <x:c r="R1082" s="91" t="n">
        <x:v>0</x:v>
      </x:c>
    </x:row>
    <x:row r="1083">
      <x:c r="A1083" s="83" t="n">
        <x:v>1082</x:v>
      </x:c>
      <x:c r="B1083" s="84" t="str">
        <x:v>OS-2025-01082</x:v>
      </x:c>
      <x:c r="C1083" s="84" t="n">
        <x:v>66</x:v>
      </x:c>
      <x:c r="D1083" s="84" t="n">
        <x:v>5</x:v>
      </x:c>
      <x:c r="E1083" s="84" t="n">
        <x:v>132</x:v>
      </x:c>
      <x:c r="F1083" s="89" t="n">
        <x:v>45984.89790509259</x:v>
      </x:c>
      <x:c r="G1083" s="89" t="n">
        <x:v>45993.89790509259</x:v>
      </x:c>
      <x:c r="H1083" s="89"/>
      <x:c r="I1083" s="89"/>
      <x:c r="J1083" s="84" t="str">
        <x:v>Baixa</x:v>
      </x:c>
      <x:c r="K1083" s="84" t="str">
        <x:v>Cancelada</x:v>
      </x:c>
      <x:c r="L1083" s="84" t="str">
        <x:v>Falha elétrica</x:v>
      </x:c>
      <x:c r="M1083" s="84"/>
      <x:c r="N1083" s="84"/>
      <x:c r="O1083" s="84" t="n">
        <x:v>0</x:v>
      </x:c>
      <x:c r="P1083" s="93" t="n">
        <x:v>0</x:v>
      </x:c>
      <x:c r="Q1083" s="93" t="n">
        <x:v>0</x:v>
      </x:c>
      <x:c r="R1083" s="91" t="n">
        <x:v>0</x:v>
      </x:c>
    </x:row>
    <x:row r="1084">
      <x:c r="A1084" s="83" t="n">
        <x:v>1083</x:v>
      </x:c>
      <x:c r="B1084" s="84" t="str">
        <x:v>OS-2025-01083</x:v>
      </x:c>
      <x:c r="C1084" s="84" t="n">
        <x:v>41</x:v>
      </x:c>
      <x:c r="D1084" s="84" t="n">
        <x:v>5</x:v>
      </x:c>
      <x:c r="E1084" s="84" t="n">
        <x:v>81</x:v>
      </x:c>
      <x:c r="F1084" s="89" t="n">
        <x:v>45673.76100694444</x:v>
      </x:c>
      <x:c r="G1084" s="89" t="n">
        <x:v>45688.76100694444</x:v>
      </x:c>
      <x:c r="H1084" s="89" t="n">
        <x:v>45674.05267361111</x:v>
      </x:c>
      <x:c r="I1084" s="89" t="n">
        <x:v>45674.34434027778</x:v>
      </x:c>
      <x:c r="J1084" s="84" t="str">
        <x:v>Baixa</x:v>
      </x:c>
      <x:c r="K1084" s="84" t="str">
        <x:v>Concluída</x:v>
      </x:c>
      <x:c r="L1084" s="84" t="str">
        <x:v>Alarme intermitente</x:v>
      </x:c>
      <x:c r="M1084" s="84" t="str">
        <x:v>Desgaste natural</x:v>
      </x:c>
      <x:c r="N1084" s="84" t="str">
        <x:v>Componente ajustado ou substituído</x:v>
      </x:c>
      <x:c r="O1084" s="84" t="n">
        <x:v>0</x:v>
      </x:c>
      <x:c r="P1084" s="93" t="n">
        <x:v>54.76</x:v>
      </x:c>
      <x:c r="Q1084" s="93" t="n">
        <x:v>4205.82</x:v>
      </x:c>
      <x:c r="R1084" s="91" t="n">
        <x:v>0</x:v>
      </x:c>
    </x:row>
    <x:row r="1085">
      <x:c r="A1085" s="83" t="n">
        <x:v>1084</x:v>
      </x:c>
      <x:c r="B1085" s="84" t="str">
        <x:v>OS-2025-01084</x:v>
      </x:c>
      <x:c r="C1085" s="84" t="n">
        <x:v>32</x:v>
      </x:c>
      <x:c r="D1085" s="84" t="n">
        <x:v>1</x:v>
      </x:c>
      <x:c r="E1085" s="84" t="n">
        <x:v>63</x:v>
      </x:c>
      <x:c r="F1085" s="89" t="n">
        <x:v>45887.969814814816</x:v>
      </x:c>
      <x:c r="G1085" s="89" t="n">
        <x:v>45892.969814814816</x:v>
      </x:c>
      <x:c r="H1085" s="89" t="n">
        <x:v>45890.76148148148</x:v>
      </x:c>
      <x:c r="I1085" s="89" t="n">
        <x:v>45891.13648148148</x:v>
      </x:c>
      <x:c r="J1085" s="84" t="str">
        <x:v>Baixa</x:v>
      </x:c>
      <x:c r="K1085" s="84" t="str">
        <x:v>Encerrada</x:v>
      </x:c>
      <x:c r="L1085" s="84" t="str">
        <x:v>Baixa pressão</x:v>
      </x:c>
      <x:c r="M1085" s="84" t="str">
        <x:v>Ajuste incorreto</x:v>
      </x:c>
      <x:c r="N1085" s="84" t="str">
        <x:v>Componente ajustado ou substituído</x:v>
      </x:c>
      <x:c r="O1085" s="84" t="n">
        <x:v>0</x:v>
      </x:c>
      <x:c r="P1085" s="93" t="n">
        <x:v>505.16</x:v>
      </x:c>
      <x:c r="Q1085" s="93" t="n">
        <x:v>6363.68</x:v>
      </x:c>
      <x:c r="R1085" s="91" t="n">
        <x:v>0</x:v>
      </x:c>
    </x:row>
    <x:row r="1086">
      <x:c r="A1086" s="83" t="n">
        <x:v>1085</x:v>
      </x:c>
      <x:c r="B1086" s="84" t="str">
        <x:v>OS-2023-01085</x:v>
      </x:c>
      <x:c r="C1086" s="84" t="n">
        <x:v>37</x:v>
      </x:c>
      <x:c r="D1086" s="84" t="n">
        <x:v>5</x:v>
      </x:c>
      <x:c r="E1086" s="84" t="n">
        <x:v>73</x:v>
      </x:c>
      <x:c r="F1086" s="89" t="n">
        <x:v>45221.84663194444</x:v>
      </x:c>
      <x:c r="G1086" s="89" t="n">
        <x:v>45227.84663194444</x:v>
      </x:c>
      <x:c r="H1086" s="89" t="n">
        <x:v>45224.09663194444</x:v>
      </x:c>
      <x:c r="I1086" s="89" t="n">
        <x:v>45224.34663194444</x:v>
      </x:c>
      <x:c r="J1086" s="84" t="str">
        <x:v>Alta</x:v>
      </x:c>
      <x:c r="K1086" s="84" t="str">
        <x:v>Encerrada</x:v>
      </x:c>
      <x:c r="L1086" s="84" t="str">
        <x:v>Alarme intermitente</x:v>
      </x:c>
      <x:c r="M1086" s="84" t="str">
        <x:v>Componente danificado</x:v>
      </x:c>
      <x:c r="N1086" s="84" t="str">
        <x:v>Componente ajustado ou substituído</x:v>
      </x:c>
      <x:c r="O1086" s="84" t="n">
        <x:v>0</x:v>
      </x:c>
      <x:c r="P1086" s="93" t="n">
        <x:v>329.71</x:v>
      </x:c>
      <x:c r="Q1086" s="93" t="n">
        <x:v>9287.2</x:v>
      </x:c>
      <x:c r="R1086" s="91" t="n">
        <x:v>0</x:v>
      </x:c>
    </x:row>
    <x:row r="1087">
      <x:c r="A1087" s="83" t="n">
        <x:v>1086</x:v>
      </x:c>
      <x:c r="B1087" s="84" t="str">
        <x:v>OS-2023-01086</x:v>
      </x:c>
      <x:c r="C1087" s="84" t="n">
        <x:v>22</x:v>
      </x:c>
      <x:c r="D1087" s="84" t="n">
        <x:v>1</x:v>
      </x:c>
      <x:c r="E1087" s="84" t="n">
        <x:v>43</x:v>
      </x:c>
      <x:c r="F1087" s="89" t="n">
        <x:v>45044.15697916667</x:v>
      </x:c>
      <x:c r="G1087" s="89" t="n">
        <x:v>45044.15697916667</x:v>
      </x:c>
      <x:c r="H1087" s="89" t="n">
        <x:v>45044.823645833334</x:v>
      </x:c>
      <x:c r="I1087" s="89" t="n">
        <x:v>45045.6153125</x:v>
      </x:c>
      <x:c r="J1087" s="84" t="str">
        <x:v>Crítica</x:v>
      </x:c>
      <x:c r="K1087" s="84" t="str">
        <x:v>Encerrada</x:v>
      </x:c>
      <x:c r="L1087" s="84" t="str">
        <x:v>Falha elétrica</x:v>
      </x:c>
      <x:c r="M1087" s="84" t="str">
        <x:v>Falta de lubrificação</x:v>
      </x:c>
      <x:c r="N1087" s="84" t="str">
        <x:v>Componente ajustado ou substituído</x:v>
      </x:c>
      <x:c r="O1087" s="84" t="n">
        <x:v>0</x:v>
      </x:c>
      <x:c r="P1087" s="93" t="n">
        <x:v>246.34</x:v>
      </x:c>
      <x:c r="Q1087" s="93" t="n">
        <x:v>5408.83</x:v>
      </x:c>
      <x:c r="R1087" s="91" t="n">
        <x:v>0</x:v>
      </x:c>
    </x:row>
    <x:row r="1088">
      <x:c r="A1088" s="83" t="n">
        <x:v>1087</x:v>
      </x:c>
      <x:c r="B1088" s="84" t="str">
        <x:v>OS-2024-01087</x:v>
      </x:c>
      <x:c r="C1088" s="84" t="n">
        <x:v>23</x:v>
      </x:c>
      <x:c r="D1088" s="84" t="n">
        <x:v>3</x:v>
      </x:c>
      <x:c r="E1088" s="84"/>
      <x:c r="F1088" s="89" t="n">
        <x:v>45589.75240740741</x:v>
      </x:c>
      <x:c r="G1088" s="89"/>
      <x:c r="H1088" s="89" t="n">
        <x:v>45591.294074074074</x:v>
      </x:c>
      <x:c r="I1088" s="89" t="n">
        <x:v>45591.33574074074</x:v>
      </x:c>
      <x:c r="J1088" s="84" t="str">
        <x:v>Alta</x:v>
      </x:c>
      <x:c r="K1088" s="84" t="str">
        <x:v>Encerrada</x:v>
      </x:c>
      <x:c r="L1088" s="84" t="str">
        <x:v>Falha elétrica</x:v>
      </x:c>
      <x:c r="M1088" s="84" t="str">
        <x:v>Contaminação</x:v>
      </x:c>
      <x:c r="N1088" s="84" t="str">
        <x:v>Componente ajustado ou substituído</x:v>
      </x:c>
      <x:c r="O1088" s="84" t="n">
        <x:v>0</x:v>
      </x:c>
      <x:c r="P1088" s="93" t="n">
        <x:v>152.77</x:v>
      </x:c>
      <x:c r="Q1088" s="93" t="n">
        <x:v>0</x:v>
      </x:c>
      <x:c r="R1088" s="91" t="n">
        <x:v>0</x:v>
      </x:c>
    </x:row>
    <x:row r="1089">
      <x:c r="A1089" s="83" t="n">
        <x:v>1088</x:v>
      </x:c>
      <x:c r="B1089" s="84" t="str">
        <x:v>OS-2023-01088</x:v>
      </x:c>
      <x:c r="C1089" s="84" t="n">
        <x:v>39</x:v>
      </x:c>
      <x:c r="D1089" s="84" t="n">
        <x:v>1</x:v>
      </x:c>
      <x:c r="E1089" s="84" t="n">
        <x:v>78</x:v>
      </x:c>
      <x:c r="F1089" s="89" t="n">
        <x:v>44946.016284722224</x:v>
      </x:c>
      <x:c r="G1089" s="89" t="n">
        <x:v>44959.016284722224</x:v>
      </x:c>
      <x:c r="H1089" s="89" t="n">
        <x:v>44948.22461805555</x:v>
      </x:c>
      <x:c r="I1089" s="89" t="n">
        <x:v>44948.68295138889</x:v>
      </x:c>
      <x:c r="J1089" s="84" t="str">
        <x:v>Média</x:v>
      </x:c>
      <x:c r="K1089" s="84" t="str">
        <x:v>Encerrada</x:v>
      </x:c>
      <x:c r="L1089" s="84" t="str">
        <x:v>Alarme intermitente</x:v>
      </x:c>
      <x:c r="M1089" s="84" t="str">
        <x:v>Desgaste natural</x:v>
      </x:c>
      <x:c r="N1089" s="84" t="str">
        <x:v>Componente ajustado ou substituído</x:v>
      </x:c>
      <x:c r="O1089" s="84" t="n">
        <x:v>0</x:v>
      </x:c>
      <x:c r="P1089" s="93" t="n">
        <x:v>452.5</x:v>
      </x:c>
      <x:c r="Q1089" s="93" t="n">
        <x:v>7534.85</x:v>
      </x:c>
      <x:c r="R1089" s="91" t="n">
        <x:v>0</x:v>
      </x:c>
    </x:row>
    <x:row r="1090">
      <x:c r="A1090" s="83" t="n">
        <x:v>1089</x:v>
      </x:c>
      <x:c r="B1090" s="84" t="str">
        <x:v>OS-2023-01089</x:v>
      </x:c>
      <x:c r="C1090" s="84" t="n">
        <x:v>40</x:v>
      </x:c>
      <x:c r="D1090" s="84" t="n">
        <x:v>5</x:v>
      </x:c>
      <x:c r="E1090" s="84" t="n">
        <x:v>79</x:v>
      </x:c>
      <x:c r="F1090" s="89" t="n">
        <x:v>45074.06349537037</x:v>
      </x:c>
      <x:c r="G1090" s="89" t="n">
        <x:v>45085.06349537037</x:v>
      </x:c>
      <x:c r="H1090" s="89" t="n">
        <x:v>45075.355162037034</x:v>
      </x:c>
      <x:c r="I1090" s="89" t="n">
        <x:v>45075.855162037034</x:v>
      </x:c>
      <x:c r="J1090" s="84" t="str">
        <x:v>Baixa</x:v>
      </x:c>
      <x:c r="K1090" s="84" t="str">
        <x:v>Encerrada</x:v>
      </x:c>
      <x:c r="L1090" s="84" t="str">
        <x:v>Alarme intermitente</x:v>
      </x:c>
      <x:c r="M1090" s="84" t="str">
        <x:v>Desgaste natural</x:v>
      </x:c>
      <x:c r="N1090" s="84" t="str">
        <x:v>Componente ajustado ou substituído</x:v>
      </x:c>
      <x:c r="O1090" s="84" t="n">
        <x:v>0</x:v>
      </x:c>
      <x:c r="P1090" s="93" t="n">
        <x:v>1016.21</x:v>
      </x:c>
      <x:c r="Q1090" s="93" t="n">
        <x:v>11853.95</x:v>
      </x:c>
      <x:c r="R1090" s="91" t="n">
        <x:v>7314.81</x:v>
      </x:c>
    </x:row>
    <x:row r="1091">
      <x:c r="A1091" s="83" t="n">
        <x:v>1090</x:v>
      </x:c>
      <x:c r="B1091" s="84" t="str">
        <x:v>OS-2024-01090</x:v>
      </x:c>
      <x:c r="C1091" s="84" t="n">
        <x:v>89</x:v>
      </x:c>
      <x:c r="D1091" s="84" t="n">
        <x:v>1</x:v>
      </x:c>
      <x:c r="E1091" s="84" t="n">
        <x:v>177</x:v>
      </x:c>
      <x:c r="F1091" s="89" t="n">
        <x:v>45605.20736111111</x:v>
      </x:c>
      <x:c r="G1091" s="89" t="n">
        <x:v>45617.20736111111</x:v>
      </x:c>
      <x:c r="H1091" s="89" t="n">
        <x:v>45606.54069444445</x:v>
      </x:c>
      <x:c r="I1091" s="89" t="n">
        <x:v>45607.33236111111</x:v>
      </x:c>
      <x:c r="J1091" s="84" t="str">
        <x:v>Crítica</x:v>
      </x:c>
      <x:c r="K1091" s="84" t="str">
        <x:v>Encerrada</x:v>
      </x:c>
      <x:c r="L1091" s="84" t="str">
        <x:v>Falha elétrica</x:v>
      </x:c>
      <x:c r="M1091" s="84" t="str">
        <x:v>Ajuste incorreto</x:v>
      </x:c>
      <x:c r="N1091" s="84" t="str">
        <x:v>Componente ajustado ou substituído</x:v>
      </x:c>
      <x:c r="O1091" s="84" t="n">
        <x:v>0</x:v>
      </x:c>
      <x:c r="P1091" s="93" t="n">
        <x:v>447.94</x:v>
      </x:c>
      <x:c r="Q1091" s="93" t="n">
        <x:v>6429.42</x:v>
      </x:c>
      <x:c r="R1091" s="91" t="n">
        <x:v>0</x:v>
      </x:c>
    </x:row>
    <x:row r="1092">
      <x:c r="A1092" s="83" t="n">
        <x:v>1091</x:v>
      </x:c>
      <x:c r="B1092" s="84" t="str">
        <x:v>OS-2023-01091</x:v>
      </x:c>
      <x:c r="C1092" s="84" t="n">
        <x:v>80</x:v>
      </x:c>
      <x:c r="D1092" s="84" t="n">
        <x:v>4</x:v>
      </x:c>
      <x:c r="E1092" s="84"/>
      <x:c r="F1092" s="89" t="n">
        <x:v>45178.292708333334</x:v>
      </x:c>
      <x:c r="G1092" s="89" t="n">
        <x:v>45178.292708333334</x:v>
      </x:c>
      <x:c r="H1092" s="89" t="n">
        <x:v>45180.87604166667</x:v>
      </x:c>
      <x:c r="I1092" s="89"/>
      <x:c r="J1092" s="84" t="str">
        <x:v>Crítica</x:v>
      </x:c>
      <x:c r="K1092" s="84" t="str">
        <x:v>Em execução</x:v>
      </x:c>
      <x:c r="L1092" s="84" t="str">
        <x:v>Falha elétrica</x:v>
      </x:c>
      <x:c r="M1092" s="84" t="str">
        <x:v>Desgaste natural</x:v>
      </x:c>
      <x:c r="N1092" s="84"/>
      <x:c r="O1092" s="84" t="n">
        <x:v>0</x:v>
      </x:c>
      <x:c r="P1092" s="93" t="n">
        <x:v>113.89</x:v>
      </x:c>
      <x:c r="Q1092" s="93" t="n">
        <x:v>0</x:v>
      </x:c>
      <x:c r="R1092" s="91" t="n">
        <x:v>0</x:v>
      </x:c>
    </x:row>
    <x:row r="1093">
      <x:c r="A1093" s="83" t="n">
        <x:v>1092</x:v>
      </x:c>
      <x:c r="B1093" s="84" t="str">
        <x:v>OS-2023-01092</x:v>
      </x:c>
      <x:c r="C1093" s="84" t="n">
        <x:v>35</x:v>
      </x:c>
      <x:c r="D1093" s="84" t="n">
        <x:v>6</x:v>
      </x:c>
      <x:c r="E1093" s="84"/>
      <x:c r="F1093" s="89" t="n">
        <x:v>44940.29542824074</x:v>
      </x:c>
      <x:c r="G1093" s="89" t="n">
        <x:v>44953.29542824074</x:v>
      </x:c>
      <x:c r="H1093" s="89" t="n">
        <x:v>44941.17042824074</x:v>
      </x:c>
      <x:c r="I1093" s="89" t="n">
        <x:v>44941.92042824074</x:v>
      </x:c>
      <x:c r="J1093" s="84" t="str">
        <x:v>Crítica</x:v>
      </x:c>
      <x:c r="K1093" s="84" t="str">
        <x:v>Encerrada</x:v>
      </x:c>
      <x:c r="L1093" s="84" t="str">
        <x:v>Superaquecimento</x:v>
      </x:c>
      <x:c r="M1093" s="84" t="str">
        <x:v>Contaminação</x:v>
      </x:c>
      <x:c r="N1093" s="84" t="str">
        <x:v>Componente ajustado ou substituído</x:v>
      </x:c>
      <x:c r="O1093" s="84" t="n">
        <x:v>0</x:v>
      </x:c>
      <x:c r="P1093" s="93" t="n">
        <x:v>726.17</x:v>
      </x:c>
      <x:c r="Q1093" s="93" t="n">
        <x:v>14527.19</x:v>
      </x:c>
      <x:c r="R1093" s="91" t="n">
        <x:v>0</x:v>
      </x:c>
    </x:row>
    <x:row r="1094">
      <x:c r="A1094" s="83" t="n">
        <x:v>1093</x:v>
      </x:c>
      <x:c r="B1094" s="84" t="str">
        <x:v>OS-2023-01093</x:v>
      </x:c>
      <x:c r="C1094" s="84" t="n">
        <x:v>73</x:v>
      </x:c>
      <x:c r="D1094" s="84" t="n">
        <x:v>2</x:v>
      </x:c>
      <x:c r="E1094" s="84"/>
      <x:c r="F1094" s="89" t="n">
        <x:v>45049.51511574074</x:v>
      </x:c>
      <x:c r="G1094" s="89" t="n">
        <x:v>45055.51511574074</x:v>
      </x:c>
      <x:c r="H1094" s="89" t="n">
        <x:v>45051.68178240741</x:v>
      </x:c>
      <x:c r="I1094" s="89"/>
      <x:c r="J1094" s="84" t="str">
        <x:v>Baixa</x:v>
      </x:c>
      <x:c r="K1094" s="84" t="str">
        <x:v>Aguardando peça</x:v>
      </x:c>
      <x:c r="L1094" s="84" t="str">
        <x:v>Alarme intermitente</x:v>
      </x:c>
      <x:c r="M1094" s="84" t="str">
        <x:v>Contaminação</x:v>
      </x:c>
      <x:c r="N1094" s="84"/>
      <x:c r="O1094" s="84" t="n">
        <x:v>0</x:v>
      </x:c>
      <x:c r="P1094" s="93" t="n">
        <x:v>515.02</x:v>
      </x:c>
      <x:c r="Q1094" s="93" t="n">
        <x:v>1824.68</x:v>
      </x:c>
      <x:c r="R1094" s="91" t="n">
        <x:v>0</x:v>
      </x:c>
    </x:row>
    <x:row r="1095">
      <x:c r="A1095" s="83" t="n">
        <x:v>1094</x:v>
      </x:c>
      <x:c r="B1095" s="84" t="str">
        <x:v>OS-2024-01094</x:v>
      </x:c>
      <x:c r="C1095" s="84" t="n">
        <x:v>54</x:v>
      </x:c>
      <x:c r="D1095" s="84" t="n">
        <x:v>5</x:v>
      </x:c>
      <x:c r="E1095" s="84" t="n">
        <x:v>107</x:v>
      </x:c>
      <x:c r="F1095" s="89" t="n">
        <x:v>45612.67894675926</x:v>
      </x:c>
      <x:c r="G1095" s="89" t="n">
        <x:v>45623.67894675926</x:v>
      </x:c>
      <x:c r="H1095" s="89" t="n">
        <x:v>45615.095613425925</x:v>
      </x:c>
      <x:c r="I1095" s="89" t="n">
        <x:v>45615.51228009259</x:v>
      </x:c>
      <x:c r="J1095" s="84" t="str">
        <x:v>Crítica</x:v>
      </x:c>
      <x:c r="K1095" s="84" t="str">
        <x:v>Encerrada</x:v>
      </x:c>
      <x:c r="L1095" s="84" t="str">
        <x:v>Vazamento</x:v>
      </x:c>
      <x:c r="M1095" s="84" t="str">
        <x:v>Desgaste natural</x:v>
      </x:c>
      <x:c r="N1095" s="84" t="str">
        <x:v>Componente ajustado ou substituído</x:v>
      </x:c>
      <x:c r="O1095" s="84" t="n">
        <x:v>0</x:v>
      </x:c>
      <x:c r="P1095" s="93" t="n">
        <x:v>378.87</x:v>
      </x:c>
      <x:c r="Q1095" s="93" t="n">
        <x:v>5212.89</x:v>
      </x:c>
      <x:c r="R1095" s="91" t="n">
        <x:v>14216.19</x:v>
      </x:c>
    </x:row>
    <x:row r="1096">
      <x:c r="A1096" s="83" t="n">
        <x:v>1095</x:v>
      </x:c>
      <x:c r="B1096" s="84" t="str">
        <x:v>OS-2025-01095</x:v>
      </x:c>
      <x:c r="C1096" s="84" t="n">
        <x:v>12</x:v>
      </x:c>
      <x:c r="D1096" s="84" t="n">
        <x:v>1</x:v>
      </x:c>
      <x:c r="E1096" s="84" t="n">
        <x:v>23</x:v>
      </x:c>
      <x:c r="F1096" s="89" t="n">
        <x:v>45855.526712962965</x:v>
      </x:c>
      <x:c r="G1096" s="89" t="n">
        <x:v>45862.526712962965</x:v>
      </x:c>
      <x:c r="H1096" s="89"/>
      <x:c r="I1096" s="89"/>
      <x:c r="J1096" s="84" t="str">
        <x:v>Alta</x:v>
      </x:c>
      <x:c r="K1096" s="84" t="str">
        <x:v>Planejada</x:v>
      </x:c>
      <x:c r="L1096" s="84" t="str">
        <x:v>Ruído anormal</x:v>
      </x:c>
      <x:c r="M1096" s="84"/>
      <x:c r="N1096" s="84"/>
      <x:c r="O1096" s="84" t="n">
        <x:v>0</x:v>
      </x:c>
      <x:c r="P1096" s="93" t="n">
        <x:v>0</x:v>
      </x:c>
      <x:c r="Q1096" s="93" t="n">
        <x:v>0</x:v>
      </x:c>
      <x:c r="R1096" s="91" t="n">
        <x:v>0</x:v>
      </x:c>
    </x:row>
    <x:row r="1097">
      <x:c r="A1097" s="83" t="n">
        <x:v>1096</x:v>
      </x:c>
      <x:c r="B1097" s="84" t="str">
        <x:v>OS-2024-01096</x:v>
      </x:c>
      <x:c r="C1097" s="84" t="n">
        <x:v>40</x:v>
      </x:c>
      <x:c r="D1097" s="84" t="n">
        <x:v>6</x:v>
      </x:c>
      <x:c r="E1097" s="84"/>
      <x:c r="F1097" s="89" t="n">
        <x:v>45415.20359953704</x:v>
      </x:c>
      <x:c r="G1097" s="89" t="n">
        <x:v>45417.20359953704</x:v>
      </x:c>
      <x:c r="H1097" s="89" t="n">
        <x:v>45417.70359953704</x:v>
      </x:c>
      <x:c r="I1097" s="89" t="n">
        <x:v>45417.7452662037</x:v>
      </x:c>
      <x:c r="J1097" s="84" t="str">
        <x:v>Crítica</x:v>
      </x:c>
      <x:c r="K1097" s="84" t="str">
        <x:v>Concluída</x:v>
      </x:c>
      <x:c r="L1097" s="84" t="str">
        <x:v>Falha elétrica</x:v>
      </x:c>
      <x:c r="M1097" s="84" t="str">
        <x:v>Ajuste incorreto</x:v>
      </x:c>
      <x:c r="N1097" s="84" t="str">
        <x:v>Componente ajustado ou substituído</x:v>
      </x:c>
      <x:c r="O1097" s="84" t="n">
        <x:v>0</x:v>
      </x:c>
      <x:c r="P1097" s="93" t="n">
        <x:v>173.85</x:v>
      </x:c>
      <x:c r="Q1097" s="93" t="n">
        <x:v>0</x:v>
      </x:c>
      <x:c r="R1097" s="91" t="n">
        <x:v>0</x:v>
      </x:c>
    </x:row>
    <x:row r="1098">
      <x:c r="A1098" s="83" t="n">
        <x:v>1097</x:v>
      </x:c>
      <x:c r="B1098" s="84" t="str">
        <x:v>OS-2024-01097</x:v>
      </x:c>
      <x:c r="C1098" s="84" t="n">
        <x:v>46</x:v>
      </x:c>
      <x:c r="D1098" s="84" t="n">
        <x:v>1</x:v>
      </x:c>
      <x:c r="E1098" s="84" t="n">
        <x:v>92</x:v>
      </x:c>
      <x:c r="F1098" s="89" t="n">
        <x:v>45606.71888888889</x:v>
      </x:c>
      <x:c r="G1098" s="89" t="n">
        <x:v>45609.71888888889</x:v>
      </x:c>
      <x:c r="H1098" s="89" t="n">
        <x:v>45607.38555555556</x:v>
      </x:c>
      <x:c r="I1098" s="89" t="n">
        <x:v>45607.55222222222</x:v>
      </x:c>
      <x:c r="J1098" s="84" t="str">
        <x:v>Média</x:v>
      </x:c>
      <x:c r="K1098" s="84" t="str">
        <x:v>Concluída</x:v>
      </x:c>
      <x:c r="L1098" s="84" t="str">
        <x:v>Vazamento</x:v>
      </x:c>
      <x:c r="M1098" s="84" t="str">
        <x:v>Contaminação</x:v>
      </x:c>
      <x:c r="N1098" s="84" t="str">
        <x:v>Componente ajustado ou substituído</x:v>
      </x:c>
      <x:c r="O1098" s="84" t="n">
        <x:v>0</x:v>
      </x:c>
      <x:c r="P1098" s="93" t="n">
        <x:v>824.76</x:v>
      </x:c>
      <x:c r="Q1098" s="93" t="n">
        <x:v>5158.3</x:v>
      </x:c>
      <x:c r="R1098" s="91" t="n">
        <x:v>5857.75</x:v>
      </x:c>
    </x:row>
    <x:row r="1099">
      <x:c r="A1099" s="83" t="n">
        <x:v>1098</x:v>
      </x:c>
      <x:c r="B1099" s="84" t="str">
        <x:v>OS-2023-01098</x:v>
      </x:c>
      <x:c r="C1099" s="84" t="n">
        <x:v>65</x:v>
      </x:c>
      <x:c r="D1099" s="84" t="n">
        <x:v>4</x:v>
      </x:c>
      <x:c r="E1099" s="84"/>
      <x:c r="F1099" s="89" t="n">
        <x:v>45283.27857638889</x:v>
      </x:c>
      <x:c r="G1099" s="89" t="n">
        <x:v>45294.27857638889</x:v>
      </x:c>
      <x:c r="H1099" s="89" t="n">
        <x:v>45285.070243055554</x:v>
      </x:c>
      <x:c r="I1099" s="89"/>
      <x:c r="J1099" s="84" t="str">
        <x:v>Média</x:v>
      </x:c>
      <x:c r="K1099" s="84" t="str">
        <x:v>Aguardando peça</x:v>
      </x:c>
      <x:c r="L1099" s="84" t="str">
        <x:v>Ruído anormal</x:v>
      </x:c>
      <x:c r="M1099" s="84" t="str">
        <x:v>Contaminação</x:v>
      </x:c>
      <x:c r="N1099" s="84"/>
      <x:c r="O1099" s="84" t="n">
        <x:v>0</x:v>
      </x:c>
      <x:c r="P1099" s="93" t="n">
        <x:v>509.85</x:v>
      </x:c>
      <x:c r="Q1099" s="93" t="n">
        <x:v>0</x:v>
      </x:c>
      <x:c r="R1099" s="91" t="n">
        <x:v>0</x:v>
      </x:c>
    </x:row>
    <x:row r="1100">
      <x:c r="A1100" s="83" t="n">
        <x:v>1099</x:v>
      </x:c>
      <x:c r="B1100" s="84" t="str">
        <x:v>OS-2024-01099</x:v>
      </x:c>
      <x:c r="C1100" s="84" t="n">
        <x:v>72</x:v>
      </x:c>
      <x:c r="D1100" s="84" t="n">
        <x:v>8</x:v>
      </x:c>
      <x:c r="E1100" s="84"/>
      <x:c r="F1100" s="89" t="n">
        <x:v>45450.59284722222</x:v>
      </x:c>
      <x:c r="G1100" s="89" t="n">
        <x:v>45451.59284722222</x:v>
      </x:c>
      <x:c r="H1100" s="89" t="n">
        <x:v>45450.67618055556</x:v>
      </x:c>
      <x:c r="I1100" s="89" t="n">
        <x:v>45450.75951388889</x:v>
      </x:c>
      <x:c r="J1100" s="84" t="str">
        <x:v>Média</x:v>
      </x:c>
      <x:c r="K1100" s="84" t="str">
        <x:v>Encerrada</x:v>
      </x:c>
      <x:c r="L1100" s="84" t="str">
        <x:v>Vazamento</x:v>
      </x:c>
      <x:c r="M1100" s="84" t="str">
        <x:v>Falta de lubrificação</x:v>
      </x:c>
      <x:c r="N1100" s="84" t="str">
        <x:v>Componente ajustado ou substituído</x:v>
      </x:c>
      <x:c r="O1100" s="84" t="n">
        <x:v>0</x:v>
      </x:c>
      <x:c r="P1100" s="93" t="n">
        <x:v>818.9</x:v>
      </x:c>
      <x:c r="Q1100" s="93" t="n">
        <x:v>8508.26</x:v>
      </x:c>
      <x:c r="R1100" s="91" t="n">
        <x:v>0</x:v>
      </x:c>
    </x:row>
    <x:row r="1101">
      <x:c r="A1101" s="83" t="n">
        <x:v>1100</x:v>
      </x:c>
      <x:c r="B1101" s="84" t="str">
        <x:v>OS-2025-01100</x:v>
      </x:c>
      <x:c r="C1101" s="84" t="n">
        <x:v>7</x:v>
      </x:c>
      <x:c r="D1101" s="84" t="n">
        <x:v>1</x:v>
      </x:c>
      <x:c r="E1101" s="84" t="n">
        <x:v>14</x:v>
      </x:c>
      <x:c r="F1101" s="89" t="n">
        <x:v>45955.99863425926</x:v>
      </x:c>
      <x:c r="G1101" s="89" t="n">
        <x:v>45965.99863425926</x:v>
      </x:c>
      <x:c r="H1101" s="89" t="n">
        <x:v>45957.49863425926</x:v>
      </x:c>
      <x:c r="I1101" s="89" t="n">
        <x:v>45958.081967592596</x:v>
      </x:c>
      <x:c r="J1101" s="84" t="str">
        <x:v>Média</x:v>
      </x:c>
      <x:c r="K1101" s="84" t="str">
        <x:v>Encerrada</x:v>
      </x:c>
      <x:c r="L1101" s="84" t="str">
        <x:v>Falha elétrica</x:v>
      </x:c>
      <x:c r="M1101" s="84" t="str">
        <x:v>Ajuste incorreto</x:v>
      </x:c>
      <x:c r="N1101" s="84" t="str">
        <x:v>Componente ajustado ou substituído</x:v>
      </x:c>
      <x:c r="O1101" s="84" t="n">
        <x:v>0</x:v>
      </x:c>
      <x:c r="P1101" s="93" t="n">
        <x:v>320.16</x:v>
      </x:c>
      <x:c r="Q1101" s="93" t="n">
        <x:v>5802.25</x:v>
      </x:c>
      <x:c r="R1101" s="91" t="n">
        <x:v>12002.32</x:v>
      </x:c>
    </x:row>
    <x:row r="1102">
      <x:c r="A1102" s="83" t="n">
        <x:v>1101</x:v>
      </x:c>
      <x:c r="B1102" s="84" t="str">
        <x:v>OS-2023-01101</x:v>
      </x:c>
      <x:c r="C1102" s="84" t="n">
        <x:v>82</x:v>
      </x:c>
      <x:c r="D1102" s="84" t="n">
        <x:v>1</x:v>
      </x:c>
      <x:c r="E1102" s="84" t="n">
        <x:v>164</x:v>
      </x:c>
      <x:c r="F1102" s="89" t="n">
        <x:v>45150.23164351852</x:v>
      </x:c>
      <x:c r="G1102" s="89" t="n">
        <x:v>45153.23164351852</x:v>
      </x:c>
      <x:c r="H1102" s="89" t="n">
        <x:v>45153.148310185185</x:v>
      </x:c>
      <x:c r="I1102" s="89" t="n">
        <x:v>45153.56497685185</x:v>
      </x:c>
      <x:c r="J1102" s="84" t="str">
        <x:v>Baixa</x:v>
      </x:c>
      <x:c r="K1102" s="84" t="str">
        <x:v>Concluída</x:v>
      </x:c>
      <x:c r="L1102" s="84" t="str">
        <x:v>Alarme intermitente</x:v>
      </x:c>
      <x:c r="M1102" s="84" t="str">
        <x:v>Contaminação</x:v>
      </x:c>
      <x:c r="N1102" s="84" t="str">
        <x:v>Componente ajustado ou substituído</x:v>
      </x:c>
      <x:c r="O1102" s="84" t="n">
        <x:v>0</x:v>
      </x:c>
      <x:c r="P1102" s="93" t="n">
        <x:v>103.3</x:v>
      </x:c>
      <x:c r="Q1102" s="93" t="n">
        <x:v>4350.85</x:v>
      </x:c>
      <x:c r="R1102" s="91" t="n">
        <x:v>0</x:v>
      </x:c>
    </x:row>
    <x:row r="1103">
      <x:c r="A1103" s="83" t="n">
        <x:v>1102</x:v>
      </x:c>
      <x:c r="B1103" s="84" t="str">
        <x:v>OS-2023-01102</x:v>
      </x:c>
      <x:c r="C1103" s="84" t="n">
        <x:v>83</x:v>
      </x:c>
      <x:c r="D1103" s="84" t="n">
        <x:v>2</x:v>
      </x:c>
      <x:c r="E1103" s="84"/>
      <x:c r="F1103" s="89" t="n">
        <x:v>45106.59079861111</x:v>
      </x:c>
      <x:c r="G1103" s="89" t="n">
        <x:v>45116.59079861111</x:v>
      </x:c>
      <x:c r="H1103" s="89" t="n">
        <x:v>45106.79913194444</x:v>
      </x:c>
      <x:c r="I1103" s="89" t="n">
        <x:v>45107.00746527778</x:v>
      </x:c>
      <x:c r="J1103" s="84" t="str">
        <x:v>Média</x:v>
      </x:c>
      <x:c r="K1103" s="84" t="str">
        <x:v>Encerrada</x:v>
      </x:c>
      <x:c r="L1103" s="84" t="str">
        <x:v>Vazamento</x:v>
      </x:c>
      <x:c r="M1103" s="84" t="str">
        <x:v>Desgaste natural</x:v>
      </x:c>
      <x:c r="N1103" s="84" t="str">
        <x:v>Componente ajustado ou substituído</x:v>
      </x:c>
      <x:c r="O1103" s="84" t="n">
        <x:v>0</x:v>
      </x:c>
      <x:c r="P1103" s="93" t="n">
        <x:v>166.26</x:v>
      </x:c>
      <x:c r="Q1103" s="93" t="n">
        <x:v>131.72</x:v>
      </x:c>
      <x:c r="R1103" s="91" t="n">
        <x:v>0</x:v>
      </x:c>
    </x:row>
    <x:row r="1104">
      <x:c r="A1104" s="83" t="n">
        <x:v>1103</x:v>
      </x:c>
      <x:c r="B1104" s="84" t="str">
        <x:v>OS-2024-01103</x:v>
      </x:c>
      <x:c r="C1104" s="84" t="n">
        <x:v>14</x:v>
      </x:c>
      <x:c r="D1104" s="84" t="n">
        <x:v>3</x:v>
      </x:c>
      <x:c r="E1104" s="84"/>
      <x:c r="F1104" s="89" t="n">
        <x:v>45634.02159722222</x:v>
      </x:c>
      <x:c r="G1104" s="89"/>
      <x:c r="H1104" s="89" t="n">
        <x:v>45634.813263888886</x:v>
      </x:c>
      <x:c r="I1104" s="89"/>
      <x:c r="J1104" s="84" t="str">
        <x:v>Baixa</x:v>
      </x:c>
      <x:c r="K1104" s="84" t="str">
        <x:v>Em execução</x:v>
      </x:c>
      <x:c r="L1104" s="84" t="str">
        <x:v>Alarme intermitente</x:v>
      </x:c>
      <x:c r="M1104" s="84" t="str">
        <x:v>Falta de lubrificação</x:v>
      </x:c>
      <x:c r="N1104" s="84"/>
      <x:c r="O1104" s="84" t="n">
        <x:v>0</x:v>
      </x:c>
      <x:c r="P1104" s="93" t="n">
        <x:v>609.6</x:v>
      </x:c>
      <x:c r="Q1104" s="93" t="n">
        <x:v>9284.98</x:v>
      </x:c>
      <x:c r="R1104" s="91" t="n">
        <x:v>0</x:v>
      </x:c>
    </x:row>
    <x:row r="1105">
      <x:c r="A1105" s="83" t="n">
        <x:v>1104</x:v>
      </x:c>
      <x:c r="B1105" s="84" t="str">
        <x:v>OS-2024-01104</x:v>
      </x:c>
      <x:c r="C1105" s="84" t="n">
        <x:v>13</x:v>
      </x:c>
      <x:c r="D1105" s="84" t="n">
        <x:v>1</x:v>
      </x:c>
      <x:c r="E1105" s="84" t="n">
        <x:v>26</x:v>
      </x:c>
      <x:c r="F1105" s="89" t="n">
        <x:v>45360.42107638889</x:v>
      </x:c>
      <x:c r="G1105" s="89" t="n">
        <x:v>45372.42107638889</x:v>
      </x:c>
      <x:c r="H1105" s="89" t="n">
        <x:v>45362.587743055556</x:v>
      </x:c>
      <x:c r="I1105" s="89" t="n">
        <x:v>45362.712743055556</x:v>
      </x:c>
      <x:c r="J1105" s="84" t="str">
        <x:v>Média</x:v>
      </x:c>
      <x:c r="K1105" s="84" t="str">
        <x:v>Encerrada</x:v>
      </x:c>
      <x:c r="L1105" s="84" t="str">
        <x:v>Falha elétrica</x:v>
      </x:c>
      <x:c r="M1105" s="84" t="str">
        <x:v>Ajuste incorreto</x:v>
      </x:c>
      <x:c r="N1105" s="84" t="str">
        <x:v>Componente ajustado ou substituído</x:v>
      </x:c>
      <x:c r="O1105" s="84" t="n">
        <x:v>0</x:v>
      </x:c>
      <x:c r="P1105" s="93" t="n">
        <x:v>94.07</x:v>
      </x:c>
      <x:c r="Q1105" s="93" t="n">
        <x:v>0</x:v>
      </x:c>
      <x:c r="R1105" s="91" t="n">
        <x:v>0</x:v>
      </x:c>
    </x:row>
    <x:row r="1106">
      <x:c r="A1106" s="83" t="n">
        <x:v>1105</x:v>
      </x:c>
      <x:c r="B1106" s="84" t="str">
        <x:v>OS-2024-01105</x:v>
      </x:c>
      <x:c r="C1106" s="84" t="n">
        <x:v>67</x:v>
      </x:c>
      <x:c r="D1106" s="84" t="n">
        <x:v>1</x:v>
      </x:c>
      <x:c r="E1106" s="84" t="n">
        <x:v>133</x:v>
      </x:c>
      <x:c r="F1106" s="89" t="n">
        <x:v>45542.70533564815</x:v>
      </x:c>
      <x:c r="G1106" s="89" t="n">
        <x:v>45556.70533564815</x:v>
      </x:c>
      <x:c r="H1106" s="89"/>
      <x:c r="I1106" s="89"/>
      <x:c r="J1106" s="84" t="str">
        <x:v>Alta</x:v>
      </x:c>
      <x:c r="K1106" s="84" t="str">
        <x:v>Planejada</x:v>
      </x:c>
      <x:c r="L1106" s="84" t="str">
        <x:v>Falha elétrica</x:v>
      </x:c>
      <x:c r="M1106" s="84"/>
      <x:c r="N1106" s="84"/>
      <x:c r="O1106" s="84" t="n">
        <x:v>0</x:v>
      </x:c>
      <x:c r="P1106" s="93" t="n">
        <x:v>0</x:v>
      </x:c>
      <x:c r="Q1106" s="93" t="n">
        <x:v>0</x:v>
      </x:c>
      <x:c r="R1106" s="91" t="n">
        <x:v>0</x:v>
      </x:c>
    </x:row>
    <x:row r="1107">
      <x:c r="A1107" s="83" t="n">
        <x:v>1106</x:v>
      </x:c>
      <x:c r="B1107" s="84" t="str">
        <x:v>OS-2025-01106</x:v>
      </x:c>
      <x:c r="C1107" s="84" t="n">
        <x:v>57</x:v>
      </x:c>
      <x:c r="D1107" s="84" t="n">
        <x:v>3</x:v>
      </x:c>
      <x:c r="E1107" s="84"/>
      <x:c r="F1107" s="89" t="n">
        <x:v>46004.339479166665</x:v>
      </x:c>
      <x:c r="G1107" s="89"/>
      <x:c r="H1107" s="89" t="n">
        <x:v>46007.089479166665</x:v>
      </x:c>
      <x:c r="I1107" s="89"/>
      <x:c r="J1107" s="84" t="str">
        <x:v>Crítica</x:v>
      </x:c>
      <x:c r="K1107" s="84" t="str">
        <x:v>Aguardando peça</x:v>
      </x:c>
      <x:c r="L1107" s="84" t="str">
        <x:v>Vazamento</x:v>
      </x:c>
      <x:c r="M1107" s="84" t="str">
        <x:v>Contaminação</x:v>
      </x:c>
      <x:c r="N1107" s="84"/>
      <x:c r="O1107" s="84" t="n">
        <x:v>0</x:v>
      </x:c>
      <x:c r="P1107" s="93" t="n">
        <x:v>379.15</x:v>
      </x:c>
      <x:c r="Q1107" s="93" t="n">
        <x:v>4350.84</x:v>
      </x:c>
      <x:c r="R1107" s="91" t="n">
        <x:v>0</x:v>
      </x:c>
    </x:row>
    <x:row r="1108">
      <x:c r="A1108" s="83" t="n">
        <x:v>1107</x:v>
      </x:c>
      <x:c r="B1108" s="84" t="str">
        <x:v>OS-2023-01107</x:v>
      </x:c>
      <x:c r="C1108" s="84" t="n">
        <x:v>41</x:v>
      </x:c>
      <x:c r="D1108" s="84" t="n">
        <x:v>3</x:v>
      </x:c>
      <x:c r="E1108" s="84"/>
      <x:c r="F1108" s="89" t="n">
        <x:v>45175.55480324074</x:v>
      </x:c>
      <x:c r="G1108" s="89"/>
      <x:c r="H1108" s="89" t="n">
        <x:v>45178.263136574074</x:v>
      </x:c>
      <x:c r="I1108" s="89" t="n">
        <x:v>45178.638136574074</x:v>
      </x:c>
      <x:c r="J1108" s="84" t="str">
        <x:v>Crítica</x:v>
      </x:c>
      <x:c r="K1108" s="84" t="str">
        <x:v>Encerrada</x:v>
      </x:c>
      <x:c r="L1108" s="84" t="str">
        <x:v>Desalinhamento</x:v>
      </x:c>
      <x:c r="M1108" s="84" t="str">
        <x:v>Falta de lubrificação</x:v>
      </x:c>
      <x:c r="N1108" s="84" t="str">
        <x:v>Componente ajustado ou substituído</x:v>
      </x:c>
      <x:c r="O1108" s="84" t="n">
        <x:v>0</x:v>
      </x:c>
      <x:c r="P1108" s="93" t="n">
        <x:v>164.3</x:v>
      </x:c>
      <x:c r="Q1108" s="93" t="n">
        <x:v>8723.61</x:v>
      </x:c>
      <x:c r="R1108" s="91" t="n">
        <x:v>0</x:v>
      </x:c>
    </x:row>
    <x:row r="1109">
      <x:c r="A1109" s="83" t="n">
        <x:v>1108</x:v>
      </x:c>
      <x:c r="B1109" s="84" t="str">
        <x:v>OS-2023-01108</x:v>
      </x:c>
      <x:c r="C1109" s="84" t="n">
        <x:v>30</x:v>
      </x:c>
      <x:c r="D1109" s="84" t="n">
        <x:v>5</x:v>
      </x:c>
      <x:c r="E1109" s="84" t="n">
        <x:v>59</x:v>
      </x:c>
      <x:c r="F1109" s="89" t="n">
        <x:v>45069.00655092593</x:v>
      </x:c>
      <x:c r="G1109" s="89" t="n">
        <x:v>45075.00655092593</x:v>
      </x:c>
      <x:c r="H1109" s="89" t="n">
        <x:v>45070.29821759259</x:v>
      </x:c>
      <x:c r="I1109" s="89" t="n">
        <x:v>45070.38155092593</x:v>
      </x:c>
      <x:c r="J1109" s="84" t="str">
        <x:v>Média</x:v>
      </x:c>
      <x:c r="K1109" s="84" t="str">
        <x:v>Concluída</x:v>
      </x:c>
      <x:c r="L1109" s="84" t="str">
        <x:v>Ruído anormal</x:v>
      </x:c>
      <x:c r="M1109" s="84" t="str">
        <x:v>Contaminação</x:v>
      </x:c>
      <x:c r="N1109" s="84" t="str">
        <x:v>Componente ajustado ou substituído</x:v>
      </x:c>
      <x:c r="O1109" s="84" t="n">
        <x:v>0</x:v>
      </x:c>
      <x:c r="P1109" s="93" t="n">
        <x:v>643.15</x:v>
      </x:c>
      <x:c r="Q1109" s="93" t="n">
        <x:v>0</x:v>
      </x:c>
      <x:c r="R1109" s="91" t="n">
        <x:v>5754.68</x:v>
      </x:c>
    </x:row>
    <x:row r="1110">
      <x:c r="A1110" s="83" t="n">
        <x:v>1109</x:v>
      </x:c>
      <x:c r="B1110" s="84" t="str">
        <x:v>OS-2024-01109</x:v>
      </x:c>
      <x:c r="C1110" s="84" t="n">
        <x:v>90</x:v>
      </x:c>
      <x:c r="D1110" s="84" t="n">
        <x:v>1</x:v>
      </x:c>
      <x:c r="E1110" s="84" t="n">
        <x:v>179</x:v>
      </x:c>
      <x:c r="F1110" s="89" t="n">
        <x:v>45472.76547453704</x:v>
      </x:c>
      <x:c r="G1110" s="89" t="n">
        <x:v>45487.76547453704</x:v>
      </x:c>
      <x:c r="H1110" s="89" t="n">
        <x:v>45474.973807870374</x:v>
      </x:c>
      <x:c r="I1110" s="89" t="n">
        <x:v>45475.64047453704</x:v>
      </x:c>
      <x:c r="J1110" s="84" t="str">
        <x:v>Média</x:v>
      </x:c>
      <x:c r="K1110" s="84" t="str">
        <x:v>Encerrada</x:v>
      </x:c>
      <x:c r="L1110" s="84" t="str">
        <x:v>Falha elétrica</x:v>
      </x:c>
      <x:c r="M1110" s="84" t="str">
        <x:v>Ajuste incorreto</x:v>
      </x:c>
      <x:c r="N1110" s="84" t="str">
        <x:v>Componente ajustado ou substituído</x:v>
      </x:c>
      <x:c r="O1110" s="84" t="n">
        <x:v>0</x:v>
      </x:c>
      <x:c r="P1110" s="93" t="n">
        <x:v>95.5</x:v>
      </x:c>
      <x:c r="Q1110" s="93" t="n">
        <x:v>6526.86</x:v>
      </x:c>
      <x:c r="R1110" s="91" t="n">
        <x:v>0</x:v>
      </x:c>
    </x:row>
    <x:row r="1111">
      <x:c r="A1111" s="83" t="n">
        <x:v>1110</x:v>
      </x:c>
      <x:c r="B1111" s="84" t="str">
        <x:v>OS-2023-01110</x:v>
      </x:c>
      <x:c r="C1111" s="84" t="n">
        <x:v>85</x:v>
      </x:c>
      <x:c r="D1111" s="84" t="n">
        <x:v>1</x:v>
      </x:c>
      <x:c r="E1111" s="84" t="n">
        <x:v>170</x:v>
      </x:c>
      <x:c r="F1111" s="89" t="n">
        <x:v>44955.15017361111</x:v>
      </x:c>
      <x:c r="G1111" s="89" t="n">
        <x:v>44958.15017361111</x:v>
      </x:c>
      <x:c r="H1111" s="89" t="n">
        <x:v>44956.483506944445</x:v>
      </x:c>
      <x:c r="I1111" s="89" t="n">
        <x:v>44956.52517361111</x:v>
      </x:c>
      <x:c r="J1111" s="84" t="str">
        <x:v>Média</x:v>
      </x:c>
      <x:c r="K1111" s="84" t="str">
        <x:v>Encerrada</x:v>
      </x:c>
      <x:c r="L1111" s="84" t="str">
        <x:v>Ruído anormal</x:v>
      </x:c>
      <x:c r="M1111" s="84" t="str">
        <x:v>Componente danificado</x:v>
      </x:c>
      <x:c r="N1111" s="84" t="str">
        <x:v>Componente ajustado ou substituído</x:v>
      </x:c>
      <x:c r="O1111" s="84" t="n">
        <x:v>0</x:v>
      </x:c>
      <x:c r="P1111" s="93" t="n">
        <x:v>210.69</x:v>
      </x:c>
      <x:c r="Q1111" s="93" t="n">
        <x:v>0</x:v>
      </x:c>
      <x:c r="R1111" s="91" t="n">
        <x:v>0</x:v>
      </x:c>
    </x:row>
    <x:row r="1112">
      <x:c r="A1112" s="83" t="n">
        <x:v>1111</x:v>
      </x:c>
      <x:c r="B1112" s="84" t="str">
        <x:v>OS-2023-01111</x:v>
      </x:c>
      <x:c r="C1112" s="84" t="n">
        <x:v>35</x:v>
      </x:c>
      <x:c r="D1112" s="84" t="n">
        <x:v>7</x:v>
      </x:c>
      <x:c r="E1112" s="84" t="n">
        <x:v>69</x:v>
      </x:c>
      <x:c r="F1112" s="89" t="n">
        <x:v>45177.271145833336</x:v>
      </x:c>
      <x:c r="G1112" s="89" t="n">
        <x:v>45186.271145833336</x:v>
      </x:c>
      <x:c r="H1112" s="89" t="n">
        <x:v>45180.146145833336</x:v>
      </x:c>
      <x:c r="I1112" s="89"/>
      <x:c r="J1112" s="84" t="str">
        <x:v>Alta</x:v>
      </x:c>
      <x:c r="K1112" s="84" t="str">
        <x:v>Em execução</x:v>
      </x:c>
      <x:c r="L1112" s="84" t="str">
        <x:v>Desalinhamento</x:v>
      </x:c>
      <x:c r="M1112" s="84" t="str">
        <x:v>Conexão frouxa</x:v>
      </x:c>
      <x:c r="N1112" s="84"/>
      <x:c r="O1112" s="84" t="n">
        <x:v>0</x:v>
      </x:c>
      <x:c r="P1112" s="93" t="n">
        <x:v>606.35</x:v>
      </x:c>
      <x:c r="Q1112" s="93" t="n">
        <x:v>5816.66</x:v>
      </x:c>
      <x:c r="R1112" s="91" t="n">
        <x:v>0</x:v>
      </x:c>
    </x:row>
    <x:row r="1113">
      <x:c r="A1113" s="83" t="n">
        <x:v>1112</x:v>
      </x:c>
      <x:c r="B1113" s="84" t="str">
        <x:v>OS-2023-01112</x:v>
      </x:c>
      <x:c r="C1113" s="84" t="n">
        <x:v>74</x:v>
      </x:c>
      <x:c r="D1113" s="84" t="n">
        <x:v>1</x:v>
      </x:c>
      <x:c r="E1113" s="84" t="n">
        <x:v>147</x:v>
      </x:c>
      <x:c r="F1113" s="89" t="n">
        <x:v>45084.75623842593</x:v>
      </x:c>
      <x:c r="G1113" s="89" t="n">
        <x:v>45099.75623842593</x:v>
      </x:c>
      <x:c r="H1113" s="89" t="n">
        <x:v>45085.08957175926</x:v>
      </x:c>
      <x:c r="I1113" s="89" t="n">
        <x:v>45085.13123842593</x:v>
      </x:c>
      <x:c r="J1113" s="84" t="str">
        <x:v>Alta</x:v>
      </x:c>
      <x:c r="K1113" s="84" t="str">
        <x:v>Concluída</x:v>
      </x:c>
      <x:c r="L1113" s="84" t="str">
        <x:v>Ruído anormal</x:v>
      </x:c>
      <x:c r="M1113" s="84" t="str">
        <x:v>Falta de lubrificação</x:v>
      </x:c>
      <x:c r="N1113" s="84" t="str">
        <x:v>Componente ajustado ou substituído</x:v>
      </x:c>
      <x:c r="O1113" s="84" t="n">
        <x:v>0</x:v>
      </x:c>
      <x:c r="P1113" s="93" t="n">
        <x:v>888.73</x:v>
      </x:c>
      <x:c r="Q1113" s="93" t="n">
        <x:v>8806.32</x:v>
      </x:c>
      <x:c r="R1113" s="91" t="n">
        <x:v>0</x:v>
      </x:c>
    </x:row>
    <x:row r="1114">
      <x:c r="A1114" s="83" t="n">
        <x:v>1113</x:v>
      </x:c>
      <x:c r="B1114" s="84" t="str">
        <x:v>OS-2025-01113</x:v>
      </x:c>
      <x:c r="C1114" s="84" t="n">
        <x:v>45</x:v>
      </x:c>
      <x:c r="D1114" s="84" t="n">
        <x:v>5</x:v>
      </x:c>
      <x:c r="E1114" s="84" t="n">
        <x:v>90</x:v>
      </x:c>
      <x:c r="F1114" s="89" t="n">
        <x:v>45893.76060185185</x:v>
      </x:c>
      <x:c r="G1114" s="89" t="n">
        <x:v>45896.76060185185</x:v>
      </x:c>
      <x:c r="H1114" s="89" t="n">
        <x:v>45894.843935185185</x:v>
      </x:c>
      <x:c r="I1114" s="89" t="n">
        <x:v>45895.38560185185</x:v>
      </x:c>
      <x:c r="J1114" s="84" t="str">
        <x:v>Média</x:v>
      </x:c>
      <x:c r="K1114" s="84" t="str">
        <x:v>Encerrada</x:v>
      </x:c>
      <x:c r="L1114" s="84" t="str">
        <x:v>Falha elétrica</x:v>
      </x:c>
      <x:c r="M1114" s="84" t="str">
        <x:v>Falta de lubrificação</x:v>
      </x:c>
      <x:c r="N1114" s="84" t="str">
        <x:v>Componente ajustado ou substituído</x:v>
      </x:c>
      <x:c r="O1114" s="84" t="n">
        <x:v>0</x:v>
      </x:c>
      <x:c r="P1114" s="93" t="n">
        <x:v>227.29</x:v>
      </x:c>
      <x:c r="Q1114" s="93" t="n">
        <x:v>0</x:v>
      </x:c>
      <x:c r="R1114" s="91" t="n">
        <x:v>4666.42</x:v>
      </x:c>
    </x:row>
    <x:row r="1115">
      <x:c r="A1115" s="83" t="n">
        <x:v>1114</x:v>
      </x:c>
      <x:c r="B1115" s="84" t="str">
        <x:v>OS-2023-01114</x:v>
      </x:c>
      <x:c r="C1115" s="84" t="n">
        <x:v>49</x:v>
      </x:c>
      <x:c r="D1115" s="84" t="n">
        <x:v>4</x:v>
      </x:c>
      <x:c r="E1115" s="84"/>
      <x:c r="F1115" s="89" t="n">
        <x:v>45284.254583333335</x:v>
      </x:c>
      <x:c r="G1115" s="89" t="n">
        <x:v>45285.254583333335</x:v>
      </x:c>
      <x:c r="H1115" s="89" t="n">
        <x:v>45285.504583333335</x:v>
      </x:c>
      <x:c r="I1115" s="89" t="n">
        <x:v>45286.17125</x:v>
      </x:c>
      <x:c r="J1115" s="84" t="str">
        <x:v>Alta</x:v>
      </x:c>
      <x:c r="K1115" s="84" t="str">
        <x:v>Encerrada</x:v>
      </x:c>
      <x:c r="L1115" s="84" t="str">
        <x:v>Alarme intermitente</x:v>
      </x:c>
      <x:c r="M1115" s="84" t="str">
        <x:v>Conexão frouxa</x:v>
      </x:c>
      <x:c r="N1115" s="84" t="str">
        <x:v>Componente ajustado ou substituído</x:v>
      </x:c>
      <x:c r="O1115" s="84" t="n">
        <x:v>0</x:v>
      </x:c>
      <x:c r="P1115" s="93" t="n">
        <x:v>542.14</x:v>
      </x:c>
      <x:c r="Q1115" s="93" t="n">
        <x:v>8411.64</x:v>
      </x:c>
      <x:c r="R1115" s="91" t="n">
        <x:v>13112.27</x:v>
      </x:c>
    </x:row>
    <x:row r="1116">
      <x:c r="A1116" s="83" t="n">
        <x:v>1115</x:v>
      </x:c>
      <x:c r="B1116" s="84" t="str">
        <x:v>OS-2024-01115</x:v>
      </x:c>
      <x:c r="C1116" s="84" t="n">
        <x:v>72</x:v>
      </x:c>
      <x:c r="D1116" s="84" t="n">
        <x:v>6</x:v>
      </x:c>
      <x:c r="E1116" s="84"/>
      <x:c r="F1116" s="89" t="n">
        <x:v>45463.77613425926</x:v>
      </x:c>
      <x:c r="G1116" s="89" t="n">
        <x:v>45463.77613425926</x:v>
      </x:c>
      <x:c r="H1116" s="89"/>
      <x:c r="I1116" s="89"/>
      <x:c r="J1116" s="84" t="str">
        <x:v>Crítica</x:v>
      </x:c>
      <x:c r="K1116" s="84" t="str">
        <x:v>Planejada</x:v>
      </x:c>
      <x:c r="L1116" s="84" t="str">
        <x:v>Baixa pressão</x:v>
      </x:c>
      <x:c r="M1116" s="84"/>
      <x:c r="N1116" s="84"/>
      <x:c r="O1116" s="84" t="n">
        <x:v>0</x:v>
      </x:c>
      <x:c r="P1116" s="93" t="n">
        <x:v>0</x:v>
      </x:c>
      <x:c r="Q1116" s="93" t="n">
        <x:v>0</x:v>
      </x:c>
      <x:c r="R1116" s="91" t="n">
        <x:v>0</x:v>
      </x:c>
    </x:row>
    <x:row r="1117">
      <x:c r="A1117" s="83" t="n">
        <x:v>1116</x:v>
      </x:c>
      <x:c r="B1117" s="84" t="str">
        <x:v>OS-2025-01116</x:v>
      </x:c>
      <x:c r="C1117" s="84" t="n">
        <x:v>79</x:v>
      </x:c>
      <x:c r="D1117" s="84" t="n">
        <x:v>1</x:v>
      </x:c>
      <x:c r="E1117" s="84" t="n">
        <x:v>158</x:v>
      </x:c>
      <x:c r="F1117" s="89" t="n">
        <x:v>45919.86649305555</x:v>
      </x:c>
      <x:c r="G1117" s="89" t="n">
        <x:v>45928.86649305555</x:v>
      </x:c>
      <x:c r="H1117" s="89" t="n">
        <x:v>45920.783159722225</x:v>
      </x:c>
      <x:c r="I1117" s="89" t="n">
        <x:v>45921.61649305555</x:v>
      </x:c>
      <x:c r="J1117" s="84" t="str">
        <x:v>Baixa</x:v>
      </x:c>
      <x:c r="K1117" s="84" t="str">
        <x:v>Concluída</x:v>
      </x:c>
      <x:c r="L1117" s="84" t="str">
        <x:v>Alarme intermitente</x:v>
      </x:c>
      <x:c r="M1117" s="84" t="str">
        <x:v>Componente danificado</x:v>
      </x:c>
      <x:c r="N1117" s="84" t="str">
        <x:v>Componente ajustado ou substituído</x:v>
      </x:c>
      <x:c r="O1117" s="84" t="n">
        <x:v>0</x:v>
      </x:c>
      <x:c r="P1117" s="93" t="n">
        <x:v>145.03</x:v>
      </x:c>
      <x:c r="Q1117" s="93" t="n">
        <x:v>8266.88</x:v>
      </x:c>
      <x:c r="R1117" s="91" t="n">
        <x:v>0</x:v>
      </x:c>
    </x:row>
    <x:row r="1118">
      <x:c r="A1118" s="83" t="n">
        <x:v>1117</x:v>
      </x:c>
      <x:c r="B1118" s="84" t="str">
        <x:v>OS-2023-01117</x:v>
      </x:c>
      <x:c r="C1118" s="84" t="n">
        <x:v>82</x:v>
      </x:c>
      <x:c r="D1118" s="84" t="n">
        <x:v>1</x:v>
      </x:c>
      <x:c r="E1118" s="84" t="n">
        <x:v>164</x:v>
      </x:c>
      <x:c r="F1118" s="89" t="n">
        <x:v>45103.063368055555</x:v>
      </x:c>
      <x:c r="G1118" s="89" t="n">
        <x:v>45103.063368055555</x:v>
      </x:c>
      <x:c r="H1118" s="89" t="n">
        <x:v>45104.35503472222</x:v>
      </x:c>
      <x:c r="I1118" s="89" t="n">
        <x:v>45104.39670138889</x:v>
      </x:c>
      <x:c r="J1118" s="84" t="str">
        <x:v>Baixa</x:v>
      </x:c>
      <x:c r="K1118" s="84" t="str">
        <x:v>Encerrada</x:v>
      </x:c>
      <x:c r="L1118" s="84" t="str">
        <x:v>Baixa pressão</x:v>
      </x:c>
      <x:c r="M1118" s="84" t="str">
        <x:v>Desgaste natural</x:v>
      </x:c>
      <x:c r="N1118" s="84" t="str">
        <x:v>Componente ajustado ou substituído</x:v>
      </x:c>
      <x:c r="O1118" s="84" t="n">
        <x:v>0</x:v>
      </x:c>
      <x:c r="P1118" s="93" t="n">
        <x:v>354.37</x:v>
      </x:c>
      <x:c r="Q1118" s="93" t="n">
        <x:v>4293.95</x:v>
      </x:c>
      <x:c r="R1118" s="91" t="n">
        <x:v>0</x:v>
      </x:c>
    </x:row>
    <x:row r="1119">
      <x:c r="A1119" s="83" t="n">
        <x:v>1118</x:v>
      </x:c>
      <x:c r="B1119" s="84" t="str">
        <x:v>OS-2024-01118</x:v>
      </x:c>
      <x:c r="C1119" s="84" t="n">
        <x:v>76</x:v>
      </x:c>
      <x:c r="D1119" s="84" t="n">
        <x:v>2</x:v>
      </x:c>
      <x:c r="E1119" s="84"/>
      <x:c r="F1119" s="89" t="n">
        <x:v>45315.85570601852</x:v>
      </x:c>
      <x:c r="G1119" s="89" t="n">
        <x:v>45321.85570601852</x:v>
      </x:c>
      <x:c r="H1119" s="89" t="n">
        <x:v>45317.48070601852</x:v>
      </x:c>
      <x:c r="I1119" s="89" t="n">
        <x:v>45318.147372685184</x:v>
      </x:c>
      <x:c r="J1119" s="84" t="str">
        <x:v>Crítica</x:v>
      </x:c>
      <x:c r="K1119" s="84" t="str">
        <x:v>Encerrada</x:v>
      </x:c>
      <x:c r="L1119" s="84" t="str">
        <x:v>Falha elétrica</x:v>
      </x:c>
      <x:c r="M1119" s="84" t="str">
        <x:v>Desgaste natural</x:v>
      </x:c>
      <x:c r="N1119" s="84" t="str">
        <x:v>Componente ajustado ou substituído</x:v>
      </x:c>
      <x:c r="O1119" s="84" t="n">
        <x:v>0</x:v>
      </x:c>
      <x:c r="P1119" s="93" t="n">
        <x:v>711.02</x:v>
      </x:c>
      <x:c r="Q1119" s="93" t="n">
        <x:v>1074.4</x:v>
      </x:c>
      <x:c r="R1119" s="91" t="n">
        <x:v>0</x:v>
      </x:c>
    </x:row>
    <x:row r="1120">
      <x:c r="A1120" s="83" t="n">
        <x:v>1119</x:v>
      </x:c>
      <x:c r="B1120" s="84" t="str">
        <x:v>OS-2025-01119</x:v>
      </x:c>
      <x:c r="C1120" s="84" t="n">
        <x:v>31</x:v>
      </x:c>
      <x:c r="D1120" s="84" t="n">
        <x:v>1</x:v>
      </x:c>
      <x:c r="E1120" s="84" t="n">
        <x:v>61</x:v>
      </x:c>
      <x:c r="F1120" s="89" t="n">
        <x:v>45711.35974537037</x:v>
      </x:c>
      <x:c r="G1120" s="89" t="n">
        <x:v>45718.35974537037</x:v>
      </x:c>
      <x:c r="H1120" s="89"/>
      <x:c r="I1120" s="89"/>
      <x:c r="J1120" s="84" t="str">
        <x:v>Baixa</x:v>
      </x:c>
      <x:c r="K1120" s="84" t="str">
        <x:v>Planejada</x:v>
      </x:c>
      <x:c r="L1120" s="84" t="str">
        <x:v>Baixa pressão</x:v>
      </x:c>
      <x:c r="M1120" s="84"/>
      <x:c r="N1120" s="84"/>
      <x:c r="O1120" s="84" t="n">
        <x:v>0</x:v>
      </x:c>
      <x:c r="P1120" s="93" t="n">
        <x:v>0</x:v>
      </x:c>
      <x:c r="Q1120" s="93" t="n">
        <x:v>0</x:v>
      </x:c>
      <x:c r="R1120" s="91" t="n">
        <x:v>0</x:v>
      </x:c>
    </x:row>
    <x:row r="1121">
      <x:c r="A1121" s="83" t="n">
        <x:v>1120</x:v>
      </x:c>
      <x:c r="B1121" s="84" t="str">
        <x:v>OS-2023-01120</x:v>
      </x:c>
      <x:c r="C1121" s="84" t="n">
        <x:v>26</x:v>
      </x:c>
      <x:c r="D1121" s="84" t="n">
        <x:v>1</x:v>
      </x:c>
      <x:c r="E1121" s="84" t="n">
        <x:v>52</x:v>
      </x:c>
      <x:c r="F1121" s="89" t="n">
        <x:v>45025.54195601852</x:v>
      </x:c>
      <x:c r="G1121" s="89" t="n">
        <x:v>45031.54195601852</x:v>
      </x:c>
      <x:c r="H1121" s="89" t="n">
        <x:v>45027.91695601852</x:v>
      </x:c>
      <x:c r="I1121" s="89" t="n">
        <x:v>45028.625289351854</x:v>
      </x:c>
      <x:c r="J1121" s="84" t="str">
        <x:v>Média</x:v>
      </x:c>
      <x:c r="K1121" s="84" t="str">
        <x:v>Encerrada</x:v>
      </x:c>
      <x:c r="L1121" s="84" t="str">
        <x:v>Alarme intermitente</x:v>
      </x:c>
      <x:c r="M1121" s="84" t="str">
        <x:v>Componente danificado</x:v>
      </x:c>
      <x:c r="N1121" s="84" t="str">
        <x:v>Componente ajustado ou substituído</x:v>
      </x:c>
      <x:c r="O1121" s="84" t="n">
        <x:v>0</x:v>
      </x:c>
      <x:c r="P1121" s="93" t="n">
        <x:v>669.93</x:v>
      </x:c>
      <x:c r="Q1121" s="93" t="n">
        <x:v>7847.37</x:v>
      </x:c>
      <x:c r="R1121" s="91" t="n">
        <x:v>0</x:v>
      </x:c>
    </x:row>
    <x:row r="1122">
      <x:c r="A1122" s="83" t="n">
        <x:v>1121</x:v>
      </x:c>
      <x:c r="B1122" s="84" t="str">
        <x:v>OS-2025-01121</x:v>
      </x:c>
      <x:c r="C1122" s="84" t="n">
        <x:v>87</x:v>
      </x:c>
      <x:c r="D1122" s="84" t="n">
        <x:v>1</x:v>
      </x:c>
      <x:c r="E1122" s="84" t="n">
        <x:v>174</x:v>
      </x:c>
      <x:c r="F1122" s="89" t="n">
        <x:v>45722.85039351852</x:v>
      </x:c>
      <x:c r="G1122" s="89" t="n">
        <x:v>45725.85039351852</x:v>
      </x:c>
      <x:c r="H1122" s="89" t="n">
        <x:v>45725.05872685185</x:v>
      </x:c>
      <x:c r="I1122" s="89" t="n">
        <x:v>45725.68372685185</x:v>
      </x:c>
      <x:c r="J1122" s="84" t="str">
        <x:v>Alta</x:v>
      </x:c>
      <x:c r="K1122" s="84" t="str">
        <x:v>Encerrada</x:v>
      </x:c>
      <x:c r="L1122" s="84" t="str">
        <x:v>Desalinhamento</x:v>
      </x:c>
      <x:c r="M1122" s="84" t="str">
        <x:v>Componente danificado</x:v>
      </x:c>
      <x:c r="N1122" s="84" t="str">
        <x:v>Componente ajustado ou substituído</x:v>
      </x:c>
      <x:c r="O1122" s="84" t="n">
        <x:v>0</x:v>
      </x:c>
      <x:c r="P1122" s="93" t="n">
        <x:v>394.04</x:v>
      </x:c>
      <x:c r="Q1122" s="93" t="n">
        <x:v>6580.05</x:v>
      </x:c>
      <x:c r="R1122" s="91" t="n">
        <x:v>0</x:v>
      </x:c>
    </x:row>
    <x:row r="1123">
      <x:c r="A1123" s="83" t="n">
        <x:v>1122</x:v>
      </x:c>
      <x:c r="B1123" s="84" t="str">
        <x:v>OS-2025-01122</x:v>
      </x:c>
      <x:c r="C1123" s="84" t="n">
        <x:v>76</x:v>
      </x:c>
      <x:c r="D1123" s="84" t="n">
        <x:v>1</x:v>
      </x:c>
      <x:c r="E1123" s="84" t="n">
        <x:v>152</x:v>
      </x:c>
      <x:c r="F1123" s="89" t="n">
        <x:v>45810.2003125</x:v>
      </x:c>
      <x:c r="G1123" s="89" t="n">
        <x:v>45820.2003125</x:v>
      </x:c>
      <x:c r="H1123" s="89"/>
      <x:c r="I1123" s="89"/>
      <x:c r="J1123" s="84" t="str">
        <x:v>Média</x:v>
      </x:c>
      <x:c r="K1123" s="84" t="str">
        <x:v>Planejada</x:v>
      </x:c>
      <x:c r="L1123" s="84" t="str">
        <x:v>Vazamento</x:v>
      </x:c>
      <x:c r="M1123" s="84"/>
      <x:c r="N1123" s="84"/>
      <x:c r="O1123" s="84" t="n">
        <x:v>0</x:v>
      </x:c>
      <x:c r="P1123" s="93" t="n">
        <x:v>0</x:v>
      </x:c>
      <x:c r="Q1123" s="93" t="n">
        <x:v>0</x:v>
      </x:c>
      <x:c r="R1123" s="91" t="n">
        <x:v>0</x:v>
      </x:c>
    </x:row>
    <x:row r="1124">
      <x:c r="A1124" s="83" t="n">
        <x:v>1123</x:v>
      </x:c>
      <x:c r="B1124" s="84" t="str">
        <x:v>OS-2025-01123</x:v>
      </x:c>
      <x:c r="C1124" s="84" t="n">
        <x:v>85</x:v>
      </x:c>
      <x:c r="D1124" s="84" t="n">
        <x:v>1</x:v>
      </x:c>
      <x:c r="E1124" s="84" t="n">
        <x:v>170</x:v>
      </x:c>
      <x:c r="F1124" s="89" t="n">
        <x:v>45757.193761574075</x:v>
      </x:c>
      <x:c r="G1124" s="89" t="n">
        <x:v>45762.193761574075</x:v>
      </x:c>
      <x:c r="H1124" s="89" t="n">
        <x:v>45759.48542824074</x:v>
      </x:c>
      <x:c r="I1124" s="89" t="n">
        <x:v>45760.068761574075</x:v>
      </x:c>
      <x:c r="J1124" s="84" t="str">
        <x:v>Crítica</x:v>
      </x:c>
      <x:c r="K1124" s="84" t="str">
        <x:v>Encerrada</x:v>
      </x:c>
      <x:c r="L1124" s="84" t="str">
        <x:v>Falha elétrica</x:v>
      </x:c>
      <x:c r="M1124" s="84" t="str">
        <x:v>Falta de lubrificação</x:v>
      </x:c>
      <x:c r="N1124" s="84" t="str">
        <x:v>Componente ajustado ou substituído</x:v>
      </x:c>
      <x:c r="O1124" s="84" t="n">
        <x:v>0</x:v>
      </x:c>
      <x:c r="P1124" s="93" t="n">
        <x:v>361.18</x:v>
      </x:c>
      <x:c r="Q1124" s="93" t="n">
        <x:v>0</x:v>
      </x:c>
      <x:c r="R1124" s="91" t="n">
        <x:v>0</x:v>
      </x:c>
    </x:row>
    <x:row r="1125">
      <x:c r="A1125" s="83" t="n">
        <x:v>1124</x:v>
      </x:c>
      <x:c r="B1125" s="84" t="str">
        <x:v>OS-2024-01124</x:v>
      </x:c>
      <x:c r="C1125" s="84" t="n">
        <x:v>24</x:v>
      </x:c>
      <x:c r="D1125" s="84" t="n">
        <x:v>1</x:v>
      </x:c>
      <x:c r="E1125" s="84" t="n">
        <x:v>47</x:v>
      </x:c>
      <x:c r="F1125" s="89" t="n">
        <x:v>45411.32283564815</x:v>
      </x:c>
      <x:c r="G1125" s="89" t="n">
        <x:v>45417.32283564815</x:v>
      </x:c>
      <x:c r="H1125" s="89"/>
      <x:c r="I1125" s="89"/>
      <x:c r="J1125" s="84" t="str">
        <x:v>Alta</x:v>
      </x:c>
      <x:c r="K1125" s="84" t="str">
        <x:v>Planejada</x:v>
      </x:c>
      <x:c r="L1125" s="84" t="str">
        <x:v>Baixa pressão</x:v>
      </x:c>
      <x:c r="M1125" s="84"/>
      <x:c r="N1125" s="84"/>
      <x:c r="O1125" s="84" t="n">
        <x:v>0</x:v>
      </x:c>
      <x:c r="P1125" s="93" t="n">
        <x:v>0</x:v>
      </x:c>
      <x:c r="Q1125" s="93" t="n">
        <x:v>0</x:v>
      </x:c>
      <x:c r="R1125" s="91" t="n">
        <x:v>0</x:v>
      </x:c>
    </x:row>
    <x:row r="1126">
      <x:c r="A1126" s="83" t="n">
        <x:v>1125</x:v>
      </x:c>
      <x:c r="B1126" s="84" t="str">
        <x:v>OS-2023-01125</x:v>
      </x:c>
      <x:c r="C1126" s="84" t="n">
        <x:v>46</x:v>
      </x:c>
      <x:c r="D1126" s="84" t="n">
        <x:v>2</x:v>
      </x:c>
      <x:c r="E1126" s="84"/>
      <x:c r="F1126" s="89" t="n">
        <x:v>45151.86004629629</x:v>
      </x:c>
      <x:c r="G1126" s="89" t="n">
        <x:v>45158.86004629629</x:v>
      </x:c>
      <x:c r="H1126" s="89" t="n">
        <x:v>45152.776712962965</x:v>
      </x:c>
      <x:c r="I1126" s="89" t="n">
        <x:v>45153.11004629629</x:v>
      </x:c>
      <x:c r="J1126" s="84" t="str">
        <x:v>Crítica</x:v>
      </x:c>
      <x:c r="K1126" s="84" t="str">
        <x:v>Encerrada</x:v>
      </x:c>
      <x:c r="L1126" s="84" t="str">
        <x:v>Superaquecimento</x:v>
      </x:c>
      <x:c r="M1126" s="84" t="str">
        <x:v>Desgaste natural</x:v>
      </x:c>
      <x:c r="N1126" s="84" t="str">
        <x:v>Componente ajustado ou substituído</x:v>
      </x:c>
      <x:c r="O1126" s="84" t="n">
        <x:v>0</x:v>
      </x:c>
      <x:c r="P1126" s="93" t="n">
        <x:v>226.9</x:v>
      </x:c>
      <x:c r="Q1126" s="93" t="n">
        <x:v>0</x:v>
      </x:c>
      <x:c r="R1126" s="91" t="n">
        <x:v>0</x:v>
      </x:c>
    </x:row>
    <x:row r="1127">
      <x:c r="A1127" s="83" t="n">
        <x:v>1126</x:v>
      </x:c>
      <x:c r="B1127" s="84" t="str">
        <x:v>OS-2023-01126</x:v>
      </x:c>
      <x:c r="C1127" s="84" t="n">
        <x:v>45</x:v>
      </x:c>
      <x:c r="D1127" s="84" t="n">
        <x:v>7</x:v>
      </x:c>
      <x:c r="E1127" s="84" t="n">
        <x:v>89</x:v>
      </x:c>
      <x:c r="F1127" s="89" t="n">
        <x:v>45121.440520833334</x:v>
      </x:c>
      <x:c r="G1127" s="89" t="n">
        <x:v>45135.440520833334</x:v>
      </x:c>
      <x:c r="H1127" s="89" t="n">
        <x:v>45122.52385416667</x:v>
      </x:c>
      <x:c r="I1127" s="89" t="n">
        <x:v>45122.64885416667</x:v>
      </x:c>
      <x:c r="J1127" s="84" t="str">
        <x:v>Média</x:v>
      </x:c>
      <x:c r="K1127" s="84" t="str">
        <x:v>Encerrada</x:v>
      </x:c>
      <x:c r="L1127" s="84" t="str">
        <x:v>Superaquecimento</x:v>
      </x:c>
      <x:c r="M1127" s="84" t="str">
        <x:v>Ajuste incorreto</x:v>
      </x:c>
      <x:c r="N1127" s="84" t="str">
        <x:v>Componente ajustado ou substituído</x:v>
      </x:c>
      <x:c r="O1127" s="84" t="n">
        <x:v>0</x:v>
      </x:c>
      <x:c r="P1127" s="93" t="n">
        <x:v>253.79</x:v>
      </x:c>
      <x:c r="Q1127" s="93" t="n">
        <x:v>10609.62</x:v>
      </x:c>
      <x:c r="R1127" s="91" t="n">
        <x:v>0</x:v>
      </x:c>
    </x:row>
    <x:row r="1128">
      <x:c r="A1128" s="83" t="n">
        <x:v>1127</x:v>
      </x:c>
      <x:c r="B1128" s="84" t="str">
        <x:v>OS-2025-01127</x:v>
      </x:c>
      <x:c r="C1128" s="84" t="n">
        <x:v>89</x:v>
      </x:c>
      <x:c r="D1128" s="84" t="n">
        <x:v>1</x:v>
      </x:c>
      <x:c r="E1128" s="84" t="n">
        <x:v>178</x:v>
      </x:c>
      <x:c r="F1128" s="89" t="n">
        <x:v>45710.343518518515</x:v>
      </x:c>
      <x:c r="G1128" s="89" t="n">
        <x:v>45716.343518518515</x:v>
      </x:c>
      <x:c r="H1128" s="89" t="n">
        <x:v>45712.51018518519</x:v>
      </x:c>
      <x:c r="I1128" s="89" t="n">
        <x:v>45712.968518518515</x:v>
      </x:c>
      <x:c r="J1128" s="84" t="str">
        <x:v>Crítica</x:v>
      </x:c>
      <x:c r="K1128" s="84" t="str">
        <x:v>Encerrada</x:v>
      </x:c>
      <x:c r="L1128" s="84" t="str">
        <x:v>Ruído anormal</x:v>
      </x:c>
      <x:c r="M1128" s="84" t="str">
        <x:v>Ajuste incorreto</x:v>
      </x:c>
      <x:c r="N1128" s="84" t="str">
        <x:v>Componente ajustado ou substituído</x:v>
      </x:c>
      <x:c r="O1128" s="84" t="n">
        <x:v>0</x:v>
      </x:c>
      <x:c r="P1128" s="93" t="n">
        <x:v>349</x:v>
      </x:c>
      <x:c r="Q1128" s="93" t="n">
        <x:v>0</x:v>
      </x:c>
      <x:c r="R1128" s="91" t="n">
        <x:v>14875.76</x:v>
      </x:c>
    </x:row>
    <x:row r="1129">
      <x:c r="A1129" s="83" t="n">
        <x:v>1128</x:v>
      </x:c>
      <x:c r="B1129" s="84" t="str">
        <x:v>OS-2025-01128</x:v>
      </x:c>
      <x:c r="C1129" s="84" t="n">
        <x:v>37</x:v>
      </x:c>
      <x:c r="D1129" s="84" t="n">
        <x:v>1</x:v>
      </x:c>
      <x:c r="E1129" s="84" t="n">
        <x:v>73</x:v>
      </x:c>
      <x:c r="F1129" s="89" t="n">
        <x:v>45849.067974537036</x:v>
      </x:c>
      <x:c r="G1129" s="89" t="n">
        <x:v>45857.067974537036</x:v>
      </x:c>
      <x:c r="H1129" s="89" t="n">
        <x:v>45851.2346412037</x:v>
      </x:c>
      <x:c r="I1129" s="89" t="n">
        <x:v>45851.692974537036</x:v>
      </x:c>
      <x:c r="J1129" s="84" t="str">
        <x:v>Alta</x:v>
      </x:c>
      <x:c r="K1129" s="84" t="str">
        <x:v>Encerrada</x:v>
      </x:c>
      <x:c r="L1129" s="84" t="str">
        <x:v>Superaquecimento</x:v>
      </x:c>
      <x:c r="M1129" s="84" t="str">
        <x:v>Conexão frouxa</x:v>
      </x:c>
      <x:c r="N1129" s="84" t="str">
        <x:v>Componente ajustado ou substituído</x:v>
      </x:c>
      <x:c r="O1129" s="84" t="n">
        <x:v>0</x:v>
      </x:c>
      <x:c r="P1129" s="93" t="n">
        <x:v>242.54</x:v>
      </x:c>
      <x:c r="Q1129" s="93" t="n">
        <x:v>12867.43</x:v>
      </x:c>
      <x:c r="R1129" s="91" t="n">
        <x:v>0</x:v>
      </x:c>
    </x:row>
    <x:row r="1130">
      <x:c r="A1130" s="83" t="n">
        <x:v>1129</x:v>
      </x:c>
      <x:c r="B1130" s="84" t="str">
        <x:v>OS-2024-01129</x:v>
      </x:c>
      <x:c r="C1130" s="84" t="n">
        <x:v>89</x:v>
      </x:c>
      <x:c r="D1130" s="84" t="n">
        <x:v>5</x:v>
      </x:c>
      <x:c r="E1130" s="84" t="n">
        <x:v>178</x:v>
      </x:c>
      <x:c r="F1130" s="89" t="n">
        <x:v>45324.80399305555</x:v>
      </x:c>
      <x:c r="G1130" s="89" t="n">
        <x:v>45330.80399305555</x:v>
      </x:c>
      <x:c r="H1130" s="89" t="n">
        <x:v>45326.63732638889</x:v>
      </x:c>
      <x:c r="I1130" s="89" t="n">
        <x:v>45327.220659722225</x:v>
      </x:c>
      <x:c r="J1130" s="84" t="str">
        <x:v>Alta</x:v>
      </x:c>
      <x:c r="K1130" s="84" t="str">
        <x:v>Encerrada</x:v>
      </x:c>
      <x:c r="L1130" s="84" t="str">
        <x:v>Desalinhamento</x:v>
      </x:c>
      <x:c r="M1130" s="84" t="str">
        <x:v>Componente danificado</x:v>
      </x:c>
      <x:c r="N1130" s="84" t="str">
        <x:v>Componente ajustado ou substituído</x:v>
      </x:c>
      <x:c r="O1130" s="84" t="n">
        <x:v>0</x:v>
      </x:c>
      <x:c r="P1130" s="93" t="n">
        <x:v>487.05</x:v>
      </x:c>
      <x:c r="Q1130" s="93" t="n">
        <x:v>8449.14</x:v>
      </x:c>
      <x:c r="R1130" s="91" t="n">
        <x:v>0</x:v>
      </x:c>
    </x:row>
    <x:row r="1131">
      <x:c r="A1131" s="83" t="n">
        <x:v>1130</x:v>
      </x:c>
      <x:c r="B1131" s="84" t="str">
        <x:v>OS-2025-01130</x:v>
      </x:c>
      <x:c r="C1131" s="84" t="n">
        <x:v>84</x:v>
      </x:c>
      <x:c r="D1131" s="84" t="n">
        <x:v>9</x:v>
      </x:c>
      <x:c r="E1131" s="84"/>
      <x:c r="F1131" s="89" t="n">
        <x:v>45810.16951388889</x:v>
      </x:c>
      <x:c r="G1131" s="89" t="n">
        <x:v>45815.16951388889</x:v>
      </x:c>
      <x:c r="H1131" s="89" t="n">
        <x:v>45811.711180555554</x:v>
      </x:c>
      <x:c r="I1131" s="89" t="n">
        <x:v>45812.336180555554</x:v>
      </x:c>
      <x:c r="J1131" s="84" t="str">
        <x:v>Média</x:v>
      </x:c>
      <x:c r="K1131" s="84" t="str">
        <x:v>Encerrada</x:v>
      </x:c>
      <x:c r="L1131" s="84" t="str">
        <x:v>Falha elétrica</x:v>
      </x:c>
      <x:c r="M1131" s="84" t="str">
        <x:v>Desgaste natural</x:v>
      </x:c>
      <x:c r="N1131" s="84" t="str">
        <x:v>Componente ajustado ou substituído</x:v>
      </x:c>
      <x:c r="O1131" s="84" t="n">
        <x:v>0</x:v>
      </x:c>
      <x:c r="P1131" s="93" t="n">
        <x:v>680.21</x:v>
      </x:c>
      <x:c r="Q1131" s="93" t="n">
        <x:v>1824.36</x:v>
      </x:c>
      <x:c r="R1131" s="91" t="n">
        <x:v>0</x:v>
      </x:c>
    </x:row>
    <x:row r="1132">
      <x:c r="A1132" s="83" t="n">
        <x:v>1131</x:v>
      </x:c>
      <x:c r="B1132" s="84" t="str">
        <x:v>OS-2025-01131</x:v>
      </x:c>
      <x:c r="C1132" s="84" t="n">
        <x:v>43</x:v>
      </x:c>
      <x:c r="D1132" s="84" t="n">
        <x:v>5</x:v>
      </x:c>
      <x:c r="E1132" s="84" t="n">
        <x:v>86</x:v>
      </x:c>
      <x:c r="F1132" s="89" t="n">
        <x:v>45872.81092592593</x:v>
      </x:c>
      <x:c r="G1132" s="89" t="n">
        <x:v>45878.81092592593</x:v>
      </x:c>
      <x:c r="H1132" s="89" t="n">
        <x:v>45875.39425925926</x:v>
      </x:c>
      <x:c r="I1132" s="89"/>
      <x:c r="J1132" s="84" t="str">
        <x:v>Alta</x:v>
      </x:c>
      <x:c r="K1132" s="84" t="str">
        <x:v>Aguardando peça</x:v>
      </x:c>
      <x:c r="L1132" s="84" t="str">
        <x:v>Ruído anormal</x:v>
      </x:c>
      <x:c r="M1132" s="84" t="str">
        <x:v>Ajuste incorreto</x:v>
      </x:c>
      <x:c r="N1132" s="84"/>
      <x:c r="O1132" s="84" t="n">
        <x:v>0</x:v>
      </x:c>
      <x:c r="P1132" s="93" t="n">
        <x:v>473.44</x:v>
      </x:c>
      <x:c r="Q1132" s="93" t="n">
        <x:v>4666.57</x:v>
      </x:c>
      <x:c r="R1132" s="91" t="n">
        <x:v>0</x:v>
      </x:c>
    </x:row>
    <x:row r="1133">
      <x:c r="A1133" s="83" t="n">
        <x:v>1132</x:v>
      </x:c>
      <x:c r="B1133" s="84" t="str">
        <x:v>OS-2025-01132</x:v>
      </x:c>
      <x:c r="C1133" s="84" t="n">
        <x:v>34</x:v>
      </x:c>
      <x:c r="D1133" s="84" t="n">
        <x:v>1</x:v>
      </x:c>
      <x:c r="E1133" s="84" t="n">
        <x:v>68</x:v>
      </x:c>
      <x:c r="F1133" s="89" t="n">
        <x:v>46019.498564814814</x:v>
      </x:c>
      <x:c r="G1133" s="89" t="n">
        <x:v>46024.498564814814</x:v>
      </x:c>
      <x:c r="H1133" s="89" t="n">
        <x:v>46020.373564814814</x:v>
      </x:c>
      <x:c r="I1133" s="89" t="n">
        <x:v>46021.123564814814</x:v>
      </x:c>
      <x:c r="J1133" s="84" t="str">
        <x:v>Baixa</x:v>
      </x:c>
      <x:c r="K1133" s="84" t="str">
        <x:v>Concluída</x:v>
      </x:c>
      <x:c r="L1133" s="84" t="str">
        <x:v>Alarme intermitente</x:v>
      </x:c>
      <x:c r="M1133" s="84" t="str">
        <x:v>Contaminação</x:v>
      </x:c>
      <x:c r="N1133" s="84" t="str">
        <x:v>Componente ajustado ou substituído</x:v>
      </x:c>
      <x:c r="O1133" s="84" t="n">
        <x:v>0</x:v>
      </x:c>
      <x:c r="P1133" s="93" t="n">
        <x:v>252.41</x:v>
      </x:c>
      <x:c r="Q1133" s="93" t="n">
        <x:v>0</x:v>
      </x:c>
      <x:c r="R1133" s="91" t="n">
        <x:v>0</x:v>
      </x:c>
    </x:row>
    <x:row r="1134">
      <x:c r="A1134" s="83" t="n">
        <x:v>1133</x:v>
      </x:c>
      <x:c r="B1134" s="84" t="str">
        <x:v>OS-2025-01133</x:v>
      </x:c>
      <x:c r="C1134" s="84" t="n">
        <x:v>43</x:v>
      </x:c>
      <x:c r="D1134" s="84" t="n">
        <x:v>7</x:v>
      </x:c>
      <x:c r="E1134" s="84" t="n">
        <x:v>85</x:v>
      </x:c>
      <x:c r="F1134" s="89" t="n">
        <x:v>45995.91107638889</x:v>
      </x:c>
      <x:c r="G1134" s="89" t="n">
        <x:v>46002.91107638889</x:v>
      </x:c>
      <x:c r="H1134" s="89" t="n">
        <x:v>45997.82774305555</x:v>
      </x:c>
      <x:c r="I1134" s="89" t="n">
        <x:v>45997.91107638889</x:v>
      </x:c>
      <x:c r="J1134" s="84" t="str">
        <x:v>Baixa</x:v>
      </x:c>
      <x:c r="K1134" s="84" t="str">
        <x:v>Encerrada</x:v>
      </x:c>
      <x:c r="L1134" s="84" t="str">
        <x:v>Falha elétrica</x:v>
      </x:c>
      <x:c r="M1134" s="84" t="str">
        <x:v>Ajuste incorreto</x:v>
      </x:c>
      <x:c r="N1134" s="84" t="str">
        <x:v>Componente ajustado ou substituído</x:v>
      </x:c>
      <x:c r="O1134" s="84" t="n">
        <x:v>0</x:v>
      </x:c>
      <x:c r="P1134" s="93" t="n">
        <x:v>685.14</x:v>
      </x:c>
      <x:c r="Q1134" s="93" t="n">
        <x:v>0</x:v>
      </x:c>
      <x:c r="R1134" s="91" t="n">
        <x:v>0</x:v>
      </x:c>
    </x:row>
    <x:row r="1135">
      <x:c r="A1135" s="83" t="n">
        <x:v>1134</x:v>
      </x:c>
      <x:c r="B1135" s="84" t="str">
        <x:v>OS-2025-01134</x:v>
      </x:c>
      <x:c r="C1135" s="84" t="n">
        <x:v>30</x:v>
      </x:c>
      <x:c r="D1135" s="84" t="n">
        <x:v>1</x:v>
      </x:c>
      <x:c r="E1135" s="84" t="n">
        <x:v>60</x:v>
      </x:c>
      <x:c r="F1135" s="89" t="n">
        <x:v>45828.021145833336</x:v>
      </x:c>
      <x:c r="G1135" s="89" t="n">
        <x:v>45838.021145833336</x:v>
      </x:c>
      <x:c r="H1135" s="89" t="n">
        <x:v>45830.5628125</x:v>
      </x:c>
      <x:c r="I1135" s="89" t="n">
        <x:v>45831.021145833336</x:v>
      </x:c>
      <x:c r="J1135" s="84" t="str">
        <x:v>Crítica</x:v>
      </x:c>
      <x:c r="K1135" s="84" t="str">
        <x:v>Encerrada</x:v>
      </x:c>
      <x:c r="L1135" s="84" t="str">
        <x:v>Ruído anormal</x:v>
      </x:c>
      <x:c r="M1135" s="84" t="str">
        <x:v>Ajuste incorreto</x:v>
      </x:c>
      <x:c r="N1135" s="84" t="str">
        <x:v>Componente ajustado ou substituído</x:v>
      </x:c>
      <x:c r="O1135" s="84" t="n">
        <x:v>0</x:v>
      </x:c>
      <x:c r="P1135" s="93" t="n">
        <x:v>397.63</x:v>
      </x:c>
      <x:c r="Q1135" s="93" t="n">
        <x:v>8207.28</x:v>
      </x:c>
      <x:c r="R1135" s="91" t="n">
        <x:v>0</x:v>
      </x:c>
    </x:row>
    <x:row r="1136">
      <x:c r="A1136" s="83" t="n">
        <x:v>1135</x:v>
      </x:c>
      <x:c r="B1136" s="84" t="str">
        <x:v>OS-2024-01135</x:v>
      </x:c>
      <x:c r="C1136" s="84" t="n">
        <x:v>36</x:v>
      </x:c>
      <x:c r="D1136" s="84" t="n">
        <x:v>2</x:v>
      </x:c>
      <x:c r="E1136" s="84"/>
      <x:c r="F1136" s="89" t="n">
        <x:v>45589.59824074074</x:v>
      </x:c>
      <x:c r="G1136" s="89" t="n">
        <x:v>45594.59824074074</x:v>
      </x:c>
      <x:c r="H1136" s="89"/>
      <x:c r="I1136" s="89"/>
      <x:c r="J1136" s="84" t="str">
        <x:v>Alta</x:v>
      </x:c>
      <x:c r="K1136" s="84" t="str">
        <x:v>Planejada</x:v>
      </x:c>
      <x:c r="L1136" s="84" t="str">
        <x:v>Alarme intermitente</x:v>
      </x:c>
      <x:c r="M1136" s="84"/>
      <x:c r="N1136" s="84"/>
      <x:c r="O1136" s="84" t="n">
        <x:v>0</x:v>
      </x:c>
      <x:c r="P1136" s="93" t="n">
        <x:v>0</x:v>
      </x:c>
      <x:c r="Q1136" s="93" t="n">
        <x:v>0</x:v>
      </x:c>
      <x:c r="R1136" s="91" t="n">
        <x:v>0</x:v>
      </x:c>
    </x:row>
    <x:row r="1137">
      <x:c r="A1137" s="83" t="n">
        <x:v>1136</x:v>
      </x:c>
      <x:c r="B1137" s="84" t="str">
        <x:v>OS-2025-01136</x:v>
      </x:c>
      <x:c r="C1137" s="84" t="n">
        <x:v>35</x:v>
      </x:c>
      <x:c r="D1137" s="84" t="n">
        <x:v>4</x:v>
      </x:c>
      <x:c r="E1137" s="84"/>
      <x:c r="F1137" s="89" t="n">
        <x:v>45853.686840277776</x:v>
      </x:c>
      <x:c r="G1137" s="89" t="n">
        <x:v>45863.686840277776</x:v>
      </x:c>
      <x:c r="H1137" s="89" t="n">
        <x:v>45854.436840277776</x:v>
      </x:c>
      <x:c r="I1137" s="89" t="n">
        <x:v>45854.52017361111</x:v>
      </x:c>
      <x:c r="J1137" s="84" t="str">
        <x:v>Crítica</x:v>
      </x:c>
      <x:c r="K1137" s="84" t="str">
        <x:v>Concluída</x:v>
      </x:c>
      <x:c r="L1137" s="84" t="str">
        <x:v>Vazamento</x:v>
      </x:c>
      <x:c r="M1137" s="84" t="str">
        <x:v>Conexão frouxa</x:v>
      </x:c>
      <x:c r="N1137" s="84" t="str">
        <x:v>Componente ajustado ou substituído</x:v>
      </x:c>
      <x:c r="O1137" s="84" t="n">
        <x:v>0</x:v>
      </x:c>
      <x:c r="P1137" s="93" t="n">
        <x:v>26.33</x:v>
      </x:c>
      <x:c r="Q1137" s="93" t="n">
        <x:v>13354.8</x:v>
      </x:c>
      <x:c r="R1137" s="91" t="n">
        <x:v>0</x:v>
      </x:c>
    </x:row>
    <x:row r="1138">
      <x:c r="A1138" s="83" t="n">
        <x:v>1137</x:v>
      </x:c>
      <x:c r="B1138" s="84" t="str">
        <x:v>OS-2025-01137</x:v>
      </x:c>
      <x:c r="C1138" s="84" t="n">
        <x:v>26</x:v>
      </x:c>
      <x:c r="D1138" s="84" t="n">
        <x:v>4</x:v>
      </x:c>
      <x:c r="E1138" s="84"/>
      <x:c r="F1138" s="89" t="n">
        <x:v>45941.72298611111</x:v>
      </x:c>
      <x:c r="G1138" s="89" t="n">
        <x:v>45943.72298611111</x:v>
      </x:c>
      <x:c r="H1138" s="89" t="n">
        <x:v>45943.264652777776</x:v>
      </x:c>
      <x:c r="I1138" s="89" t="n">
        <x:v>45943.97298611111</x:v>
      </x:c>
      <x:c r="J1138" s="84" t="str">
        <x:v>Baixa</x:v>
      </x:c>
      <x:c r="K1138" s="84" t="str">
        <x:v>Concluída</x:v>
      </x:c>
      <x:c r="L1138" s="84" t="str">
        <x:v>Desalinhamento</x:v>
      </x:c>
      <x:c r="M1138" s="84" t="str">
        <x:v>Ajuste incorreto</x:v>
      </x:c>
      <x:c r="N1138" s="84" t="str">
        <x:v>Componente ajustado ou substituído</x:v>
      </x:c>
      <x:c r="O1138" s="84" t="n">
        <x:v>0</x:v>
      </x:c>
      <x:c r="P1138" s="93" t="n">
        <x:v>695.35</x:v>
      </x:c>
      <x:c r="Q1138" s="93" t="n">
        <x:v>4790.96</x:v>
      </x:c>
      <x:c r="R1138" s="91" t="n">
        <x:v>0</x:v>
      </x:c>
    </x:row>
    <x:row r="1139">
      <x:c r="A1139" s="83" t="n">
        <x:v>1138</x:v>
      </x:c>
      <x:c r="B1139" s="84" t="str">
        <x:v>OS-2024-01138</x:v>
      </x:c>
      <x:c r="C1139" s="84" t="n">
        <x:v>81</x:v>
      </x:c>
      <x:c r="D1139" s="84" t="n">
        <x:v>1</x:v>
      </x:c>
      <x:c r="E1139" s="84" t="n">
        <x:v>162</x:v>
      </x:c>
      <x:c r="F1139" s="89" t="n">
        <x:v>45573.26050925926</x:v>
      </x:c>
      <x:c r="G1139" s="89" t="n">
        <x:v>45579.26050925926</x:v>
      </x:c>
      <x:c r="H1139" s="89" t="n">
        <x:v>45573.88550925926</x:v>
      </x:c>
      <x:c r="I1139" s="89" t="n">
        <x:v>45574.59384259259</x:v>
      </x:c>
      <x:c r="J1139" s="84" t="str">
        <x:v>Média</x:v>
      </x:c>
      <x:c r="K1139" s="84" t="str">
        <x:v>Encerrada</x:v>
      </x:c>
      <x:c r="L1139" s="84" t="str">
        <x:v>Baixa pressão</x:v>
      </x:c>
      <x:c r="M1139" s="84" t="str">
        <x:v>Conexão frouxa</x:v>
      </x:c>
      <x:c r="N1139" s="84" t="str">
        <x:v>Componente ajustado ou substituído</x:v>
      </x:c>
      <x:c r="O1139" s="84" t="n">
        <x:v>0</x:v>
      </x:c>
      <x:c r="P1139" s="93" t="n">
        <x:v>324.75</x:v>
      </x:c>
      <x:c r="Q1139" s="93" t="n">
        <x:v>6249.12</x:v>
      </x:c>
      <x:c r="R1139" s="91" t="n">
        <x:v>0</x:v>
      </x:c>
    </x:row>
    <x:row r="1140">
      <x:c r="A1140" s="83" t="n">
        <x:v>1139</x:v>
      </x:c>
      <x:c r="B1140" s="84" t="str">
        <x:v>OS-2025-01139</x:v>
      </x:c>
      <x:c r="C1140" s="84" t="n">
        <x:v>10</x:v>
      </x:c>
      <x:c r="D1140" s="84" t="n">
        <x:v>5</x:v>
      </x:c>
      <x:c r="E1140" s="84" t="n">
        <x:v>19</x:v>
      </x:c>
      <x:c r="F1140" s="89" t="n">
        <x:v>45759.24841435185</x:v>
      </x:c>
      <x:c r="G1140" s="89" t="n">
        <x:v>45767.24841435185</x:v>
      </x:c>
      <x:c r="H1140" s="89" t="n">
        <x:v>45761.99841435185</x:v>
      </x:c>
      <x:c r="I1140" s="89"/>
      <x:c r="J1140" s="84" t="str">
        <x:v>Baixa</x:v>
      </x:c>
      <x:c r="K1140" s="84" t="str">
        <x:v>Em execução</x:v>
      </x:c>
      <x:c r="L1140" s="84" t="str">
        <x:v>Alarme intermitente</x:v>
      </x:c>
      <x:c r="M1140" s="84" t="str">
        <x:v>Ajuste incorreto</x:v>
      </x:c>
      <x:c r="N1140" s="84"/>
      <x:c r="O1140" s="84" t="n">
        <x:v>0</x:v>
      </x:c>
      <x:c r="P1140" s="93" t="n">
        <x:v>50.82</x:v>
      </x:c>
      <x:c r="Q1140" s="93" t="n">
        <x:v>3979.78</x:v>
      </x:c>
      <x:c r="R1140" s="91" t="n">
        <x:v>0</x:v>
      </x:c>
    </x:row>
    <x:row r="1141">
      <x:c r="A1141" s="83" t="n">
        <x:v>1140</x:v>
      </x:c>
      <x:c r="B1141" s="84" t="str">
        <x:v>OS-2025-01140</x:v>
      </x:c>
      <x:c r="C1141" s="84" t="n">
        <x:v>65</x:v>
      </x:c>
      <x:c r="D1141" s="84" t="n">
        <x:v>1</x:v>
      </x:c>
      <x:c r="E1141" s="84" t="n">
        <x:v>130</x:v>
      </x:c>
      <x:c r="F1141" s="89" t="n">
        <x:v>45695.76075231482</x:v>
      </x:c>
      <x:c r="G1141" s="89" t="n">
        <x:v>45695.76075231482</x:v>
      </x:c>
      <x:c r="H1141" s="89" t="n">
        <x:v>45696.46908564815</x:v>
      </x:c>
      <x:c r="I1141" s="89" t="n">
        <x:v>45696.51075231482</x:v>
      </x:c>
      <x:c r="J1141" s="84" t="str">
        <x:v>Baixa</x:v>
      </x:c>
      <x:c r="K1141" s="84" t="str">
        <x:v>Encerrada</x:v>
      </x:c>
      <x:c r="L1141" s="84" t="str">
        <x:v>Ruído anormal</x:v>
      </x:c>
      <x:c r="M1141" s="84" t="str">
        <x:v>Conexão frouxa</x:v>
      </x:c>
      <x:c r="N1141" s="84" t="str">
        <x:v>Componente ajustado ou substituído</x:v>
      </x:c>
      <x:c r="O1141" s="84" t="n">
        <x:v>0</x:v>
      </x:c>
      <x:c r="P1141" s="93" t="n">
        <x:v>860.95</x:v>
      </x:c>
      <x:c r="Q1141" s="93" t="n">
        <x:v>1998.48</x:v>
      </x:c>
      <x:c r="R1141" s="91" t="n">
        <x:v>0</x:v>
      </x:c>
    </x:row>
    <x:row r="1142">
      <x:c r="A1142" s="83" t="n">
        <x:v>1141</x:v>
      </x:c>
      <x:c r="B1142" s="84" t="str">
        <x:v>OS-2025-01141</x:v>
      </x:c>
      <x:c r="C1142" s="84" t="n">
        <x:v>5</x:v>
      </x:c>
      <x:c r="D1142" s="84" t="n">
        <x:v>3</x:v>
      </x:c>
      <x:c r="E1142" s="84"/>
      <x:c r="F1142" s="89" t="n">
        <x:v>45859.33850694444</x:v>
      </x:c>
      <x:c r="G1142" s="89"/>
      <x:c r="H1142" s="89" t="n">
        <x:v>45861.42184027778</x:v>
      </x:c>
      <x:c r="I1142" s="89"/>
      <x:c r="J1142" s="84" t="str">
        <x:v>Crítica</x:v>
      </x:c>
      <x:c r="K1142" s="84" t="str">
        <x:v>Em execução</x:v>
      </x:c>
      <x:c r="L1142" s="84" t="str">
        <x:v>Ruído anormal</x:v>
      </x:c>
      <x:c r="M1142" s="84" t="str">
        <x:v>Componente danificado</x:v>
      </x:c>
      <x:c r="N1142" s="84"/>
      <x:c r="O1142" s="84" t="n">
        <x:v>0</x:v>
      </x:c>
      <x:c r="P1142" s="93" t="n">
        <x:v>143.32</x:v>
      </x:c>
      <x:c r="Q1142" s="93" t="n">
        <x:v>0</x:v>
      </x:c>
      <x:c r="R1142" s="91" t="n">
        <x:v>0</x:v>
      </x:c>
    </x:row>
    <x:row r="1143">
      <x:c r="A1143" s="83" t="n">
        <x:v>1142</x:v>
      </x:c>
      <x:c r="B1143" s="84" t="str">
        <x:v>OS-2023-01142</x:v>
      </x:c>
      <x:c r="C1143" s="84" t="n">
        <x:v>77</x:v>
      </x:c>
      <x:c r="D1143" s="84" t="n">
        <x:v>1</x:v>
      </x:c>
      <x:c r="E1143" s="84" t="n">
        <x:v>153</x:v>
      </x:c>
      <x:c r="F1143" s="89" t="n">
        <x:v>45034.189421296294</x:v>
      </x:c>
      <x:c r="G1143" s="89" t="n">
        <x:v>45041.189421296294</x:v>
      </x:c>
      <x:c r="H1143" s="89" t="n">
        <x:v>45036.606087962966</x:v>
      </x:c>
      <x:c r="I1143" s="89" t="n">
        <x:v>45037.39775462963</x:v>
      </x:c>
      <x:c r="J1143" s="84" t="str">
        <x:v>Média</x:v>
      </x:c>
      <x:c r="K1143" s="84" t="str">
        <x:v>Concluída</x:v>
      </x:c>
      <x:c r="L1143" s="84" t="str">
        <x:v>Desalinhamento</x:v>
      </x:c>
      <x:c r="M1143" s="84" t="str">
        <x:v>Componente danificado</x:v>
      </x:c>
      <x:c r="N1143" s="84" t="str">
        <x:v>Componente ajustado ou substituído</x:v>
      </x:c>
      <x:c r="O1143" s="84" t="n">
        <x:v>0</x:v>
      </x:c>
      <x:c r="P1143" s="93" t="n">
        <x:v>626.52</x:v>
      </x:c>
      <x:c r="Q1143" s="93" t="n">
        <x:v>6366.2</x:v>
      </x:c>
      <x:c r="R1143" s="91" t="n">
        <x:v>0</x:v>
      </x:c>
    </x:row>
    <x:row r="1144">
      <x:c r="A1144" s="83" t="n">
        <x:v>1143</x:v>
      </x:c>
      <x:c r="B1144" s="84" t="str">
        <x:v>OS-2023-01143</x:v>
      </x:c>
      <x:c r="C1144" s="84" t="n">
        <x:v>58</x:v>
      </x:c>
      <x:c r="D1144" s="84" t="n">
        <x:v>3</x:v>
      </x:c>
      <x:c r="E1144" s="84"/>
      <x:c r="F1144" s="89" t="n">
        <x:v>45055.820543981485</x:v>
      </x:c>
      <x:c r="G1144" s="89"/>
      <x:c r="H1144" s="89" t="n">
        <x:v>45056.195543981485</x:v>
      </x:c>
      <x:c r="I1144" s="89" t="n">
        <x:v>45056.73721064815</x:v>
      </x:c>
      <x:c r="J1144" s="84" t="str">
        <x:v>Crítica</x:v>
      </x:c>
      <x:c r="K1144" s="84" t="str">
        <x:v>Encerrada</x:v>
      </x:c>
      <x:c r="L1144" s="84" t="str">
        <x:v>Desalinhamento</x:v>
      </x:c>
      <x:c r="M1144" s="84" t="str">
        <x:v>Contaminação</x:v>
      </x:c>
      <x:c r="N1144" s="84" t="str">
        <x:v>Componente ajustado ou substituído</x:v>
      </x:c>
      <x:c r="O1144" s="84" t="n">
        <x:v>0</x:v>
      </x:c>
      <x:c r="P1144" s="93" t="n">
        <x:v>537.31</x:v>
      </x:c>
      <x:c r="Q1144" s="93" t="n">
        <x:v>7635.97</x:v>
      </x:c>
      <x:c r="R1144" s="91" t="n">
        <x:v>0</x:v>
      </x:c>
    </x:row>
    <x:row r="1145">
      <x:c r="A1145" s="83" t="n">
        <x:v>1144</x:v>
      </x:c>
      <x:c r="B1145" s="84" t="str">
        <x:v>OS-2024-01144</x:v>
      </x:c>
      <x:c r="C1145" s="84" t="n">
        <x:v>68</x:v>
      </x:c>
      <x:c r="D1145" s="84" t="n">
        <x:v>5</x:v>
      </x:c>
      <x:c r="E1145" s="84" t="n">
        <x:v>135</x:v>
      </x:c>
      <x:c r="F1145" s="89" t="n">
        <x:v>45410.9206712963</x:v>
      </x:c>
      <x:c r="G1145" s="89" t="n">
        <x:v>45418.9206712963</x:v>
      </x:c>
      <x:c r="H1145" s="89" t="n">
        <x:v>45411.4206712963</x:v>
      </x:c>
      <x:c r="I1145" s="89" t="n">
        <x:v>45411.7956712963</x:v>
      </x:c>
      <x:c r="J1145" s="84" t="str">
        <x:v>Baixa</x:v>
      </x:c>
      <x:c r="K1145" s="84" t="str">
        <x:v>Encerrada</x:v>
      </x:c>
      <x:c r="L1145" s="84" t="str">
        <x:v>Vazamento</x:v>
      </x:c>
      <x:c r="M1145" s="84" t="str">
        <x:v>Contaminação</x:v>
      </x:c>
      <x:c r="N1145" s="84" t="str">
        <x:v>Componente ajustado ou substituído</x:v>
      </x:c>
      <x:c r="O1145" s="84" t="n">
        <x:v>0</x:v>
      </x:c>
      <x:c r="P1145" s="93" t="n">
        <x:v>656.04</x:v>
      </x:c>
      <x:c r="Q1145" s="93" t="n">
        <x:v>0</x:v>
      </x:c>
      <x:c r="R1145" s="91" t="n">
        <x:v>0</x:v>
      </x:c>
    </x:row>
    <x:row r="1146">
      <x:c r="A1146" s="83" t="n">
        <x:v>1145</x:v>
      </x:c>
      <x:c r="B1146" s="84" t="str">
        <x:v>OS-2023-01145</x:v>
      </x:c>
      <x:c r="C1146" s="84" t="n">
        <x:v>38</x:v>
      </x:c>
      <x:c r="D1146" s="84" t="n">
        <x:v>8</x:v>
      </x:c>
      <x:c r="E1146" s="84"/>
      <x:c r="F1146" s="89" t="n">
        <x:v>45127.46230324074</x:v>
      </x:c>
      <x:c r="G1146" s="89" t="n">
        <x:v>45132.46230324074</x:v>
      </x:c>
      <x:c r="H1146" s="89"/>
      <x:c r="I1146" s="89"/>
      <x:c r="J1146" s="84" t="str">
        <x:v>Média</x:v>
      </x:c>
      <x:c r="K1146" s="84" t="str">
        <x:v>Cancelada</x:v>
      </x:c>
      <x:c r="L1146" s="84" t="str">
        <x:v>Superaquecimento</x:v>
      </x:c>
      <x:c r="M1146" s="84"/>
      <x:c r="N1146" s="84"/>
      <x:c r="O1146" s="84" t="n">
        <x:v>1</x:v>
      </x:c>
      <x:c r="P1146" s="93" t="n">
        <x:v>0</x:v>
      </x:c>
      <x:c r="Q1146" s="93" t="n">
        <x:v>0</x:v>
      </x:c>
      <x:c r="R1146" s="91" t="n">
        <x:v>0</x:v>
      </x:c>
    </x:row>
    <x:row r="1147">
      <x:c r="A1147" s="83" t="n">
        <x:v>1146</x:v>
      </x:c>
      <x:c r="B1147" s="84" t="str">
        <x:v>OS-2024-01146</x:v>
      </x:c>
      <x:c r="C1147" s="84" t="n">
        <x:v>28</x:v>
      </x:c>
      <x:c r="D1147" s="84" t="n">
        <x:v>1</x:v>
      </x:c>
      <x:c r="E1147" s="84" t="n">
        <x:v>56</x:v>
      </x:c>
      <x:c r="F1147" s="89" t="n">
        <x:v>45581.03481481481</x:v>
      </x:c>
      <x:c r="G1147" s="89" t="n">
        <x:v>45585.03481481481</x:v>
      </x:c>
      <x:c r="H1147" s="89" t="n">
        <x:v>45581.32648148148</x:v>
      </x:c>
      <x:c r="I1147" s="89" t="n">
        <x:v>45581.65981481481</x:v>
      </x:c>
      <x:c r="J1147" s="84" t="str">
        <x:v>Crítica</x:v>
      </x:c>
      <x:c r="K1147" s="84" t="str">
        <x:v>Encerrada</x:v>
      </x:c>
      <x:c r="L1147" s="84" t="str">
        <x:v>Baixa pressão</x:v>
      </x:c>
      <x:c r="M1147" s="84" t="str">
        <x:v>Desgaste natural</x:v>
      </x:c>
      <x:c r="N1147" s="84" t="str">
        <x:v>Componente ajustado ou substituído</x:v>
      </x:c>
      <x:c r="O1147" s="84" t="n">
        <x:v>0</x:v>
      </x:c>
      <x:c r="P1147" s="93" t="n">
        <x:v>520.17</x:v>
      </x:c>
      <x:c r="Q1147" s="93" t="n">
        <x:v>2302.28</x:v>
      </x:c>
      <x:c r="R1147" s="91" t="n">
        <x:v>0</x:v>
      </x:c>
    </x:row>
    <x:row r="1148">
      <x:c r="A1148" s="83" t="n">
        <x:v>1147</x:v>
      </x:c>
      <x:c r="B1148" s="84" t="str">
        <x:v>OS-2024-01147</x:v>
      </x:c>
      <x:c r="C1148" s="84" t="n">
        <x:v>3</x:v>
      </x:c>
      <x:c r="D1148" s="84" t="n">
        <x:v>3</x:v>
      </x:c>
      <x:c r="E1148" s="84"/>
      <x:c r="F1148" s="89" t="n">
        <x:v>45401.79523148148</x:v>
      </x:c>
      <x:c r="G1148" s="89"/>
      <x:c r="H1148" s="89"/>
      <x:c r="I1148" s="89"/>
      <x:c r="J1148" s="84" t="str">
        <x:v>Alta</x:v>
      </x:c>
      <x:c r="K1148" s="84" t="str">
        <x:v>Cancelada</x:v>
      </x:c>
      <x:c r="L1148" s="84" t="str">
        <x:v>Baixa pressão</x:v>
      </x:c>
      <x:c r="M1148" s="84"/>
      <x:c r="N1148" s="84"/>
      <x:c r="O1148" s="84" t="n">
        <x:v>0</x:v>
      </x:c>
      <x:c r="P1148" s="93" t="n">
        <x:v>0</x:v>
      </x:c>
      <x:c r="Q1148" s="93" t="n">
        <x:v>0</x:v>
      </x:c>
      <x:c r="R1148" s="91" t="n">
        <x:v>0</x:v>
      </x:c>
    </x:row>
    <x:row r="1149">
      <x:c r="A1149" s="83" t="n">
        <x:v>1148</x:v>
      </x:c>
      <x:c r="B1149" s="84" t="str">
        <x:v>OS-2024-01148</x:v>
      </x:c>
      <x:c r="C1149" s="84" t="n">
        <x:v>3</x:v>
      </x:c>
      <x:c r="D1149" s="84" t="n">
        <x:v>7</x:v>
      </x:c>
      <x:c r="E1149" s="84" t="n">
        <x:v>5</x:v>
      </x:c>
      <x:c r="F1149" s="89" t="n">
        <x:v>45494.35334490741</x:v>
      </x:c>
      <x:c r="G1149" s="89" t="n">
        <x:v>45507.35334490741</x:v>
      </x:c>
      <x:c r="H1149" s="89" t="n">
        <x:v>45495.22834490741</x:v>
      </x:c>
      <x:c r="I1149" s="89" t="n">
        <x:v>45495.81167824074</x:v>
      </x:c>
      <x:c r="J1149" s="84" t="str">
        <x:v>Baixa</x:v>
      </x:c>
      <x:c r="K1149" s="84" t="str">
        <x:v>Encerrada</x:v>
      </x:c>
      <x:c r="L1149" s="84" t="str">
        <x:v>Alarme intermitente</x:v>
      </x:c>
      <x:c r="M1149" s="84" t="str">
        <x:v>Ajuste incorreto</x:v>
      </x:c>
      <x:c r="N1149" s="84" t="str">
        <x:v>Componente ajustado ou substituído</x:v>
      </x:c>
      <x:c r="O1149" s="84" t="n">
        <x:v>0</x:v>
      </x:c>
      <x:c r="P1149" s="93" t="n">
        <x:v>259.38</x:v>
      </x:c>
      <x:c r="Q1149" s="93" t="n">
        <x:v>0</x:v>
      </x:c>
      <x:c r="R1149" s="91" t="n">
        <x:v>0</x:v>
      </x:c>
    </x:row>
    <x:row r="1150">
      <x:c r="A1150" s="83" t="n">
        <x:v>1149</x:v>
      </x:c>
      <x:c r="B1150" s="84" t="str">
        <x:v>OS-2023-01149</x:v>
      </x:c>
      <x:c r="C1150" s="84" t="n">
        <x:v>82</x:v>
      </x:c>
      <x:c r="D1150" s="84" t="n">
        <x:v>1</x:v>
      </x:c>
      <x:c r="E1150" s="84" t="n">
        <x:v>163</x:v>
      </x:c>
      <x:c r="F1150" s="89" t="n">
        <x:v>45291.22804398148</x:v>
      </x:c>
      <x:c r="G1150" s="89" t="n">
        <x:v>45292.22804398148</x:v>
      </x:c>
      <x:c r="H1150" s="89" t="n">
        <x:v>45293.85304398148</x:v>
      </x:c>
      <x:c r="I1150" s="89" t="n">
        <x:v>45294.01971064815</x:v>
      </x:c>
      <x:c r="J1150" s="84" t="str">
        <x:v>Crítica</x:v>
      </x:c>
      <x:c r="K1150" s="84" t="str">
        <x:v>Encerrada</x:v>
      </x:c>
      <x:c r="L1150" s="84" t="str">
        <x:v>Falha elétrica</x:v>
      </x:c>
      <x:c r="M1150" s="84" t="str">
        <x:v>Contaminação</x:v>
      </x:c>
      <x:c r="N1150" s="84" t="str">
        <x:v>Componente ajustado ou substituído</x:v>
      </x:c>
      <x:c r="O1150" s="84" t="n">
        <x:v>0</x:v>
      </x:c>
      <x:c r="P1150" s="93" t="n">
        <x:v>172.05</x:v>
      </x:c>
      <x:c r="Q1150" s="93" t="n">
        <x:v>15332.14</x:v>
      </x:c>
      <x:c r="R1150" s="91" t="n">
        <x:v>1047.49</x:v>
      </x:c>
    </x:row>
    <x:row r="1151">
      <x:c r="A1151" s="83" t="n">
        <x:v>1150</x:v>
      </x:c>
      <x:c r="B1151" s="84" t="str">
        <x:v>OS-2025-01150</x:v>
      </x:c>
      <x:c r="C1151" s="84" t="n">
        <x:v>64</x:v>
      </x:c>
      <x:c r="D1151" s="84" t="n">
        <x:v>1</x:v>
      </x:c>
      <x:c r="E1151" s="84" t="n">
        <x:v>128</x:v>
      </x:c>
      <x:c r="F1151" s="89" t="n">
        <x:v>45954.87100694444</x:v>
      </x:c>
      <x:c r="G1151" s="89" t="n">
        <x:v>45957.87100694444</x:v>
      </x:c>
      <x:c r="H1151" s="89" t="n">
        <x:v>45956.912673611114</x:v>
      </x:c>
      <x:c r="I1151" s="89" t="n">
        <x:v>45956.95434027778</x:v>
      </x:c>
      <x:c r="J1151" s="84" t="str">
        <x:v>Alta</x:v>
      </x:c>
      <x:c r="K1151" s="84" t="str">
        <x:v>Encerrada</x:v>
      </x:c>
      <x:c r="L1151" s="84" t="str">
        <x:v>Alarme intermitente</x:v>
      </x:c>
      <x:c r="M1151" s="84" t="str">
        <x:v>Falta de lubrificação</x:v>
      </x:c>
      <x:c r="N1151" s="84" t="str">
        <x:v>Componente ajustado ou substituído</x:v>
      </x:c>
      <x:c r="O1151" s="84" t="n">
        <x:v>0</x:v>
      </x:c>
      <x:c r="P1151" s="93" t="n">
        <x:v>542.63</x:v>
      </x:c>
      <x:c r="Q1151" s="93" t="n">
        <x:v>11161.67</x:v>
      </x:c>
      <x:c r="R1151" s="91" t="n">
        <x:v>0</x:v>
      </x:c>
    </x:row>
    <x:row r="1152">
      <x:c r="A1152" s="83" t="n">
        <x:v>1151</x:v>
      </x:c>
      <x:c r="B1152" s="84" t="str">
        <x:v>OS-2023-01151</x:v>
      </x:c>
      <x:c r="C1152" s="84" t="n">
        <x:v>74</x:v>
      </x:c>
      <x:c r="D1152" s="84" t="n">
        <x:v>2</x:v>
      </x:c>
      <x:c r="E1152" s="84"/>
      <x:c r="F1152" s="89" t="n">
        <x:v>45003.046631944446</x:v>
      </x:c>
      <x:c r="G1152" s="89" t="n">
        <x:v>45018.046631944446</x:v>
      </x:c>
      <x:c r="H1152" s="89" t="n">
        <x:v>45003.296631944446</x:v>
      </x:c>
      <x:c r="I1152" s="89" t="n">
        <x:v>45003.921631944446</x:v>
      </x:c>
      <x:c r="J1152" s="84" t="str">
        <x:v>Baixa</x:v>
      </x:c>
      <x:c r="K1152" s="84" t="str">
        <x:v>Encerrada</x:v>
      </x:c>
      <x:c r="L1152" s="84" t="str">
        <x:v>Vazamento</x:v>
      </x:c>
      <x:c r="M1152" s="84" t="str">
        <x:v>Conexão frouxa</x:v>
      </x:c>
      <x:c r="N1152" s="84" t="str">
        <x:v>Componente ajustado ou substituído</x:v>
      </x:c>
      <x:c r="O1152" s="84" t="n">
        <x:v>0</x:v>
      </x:c>
      <x:c r="P1152" s="93" t="n">
        <x:v>218.71</x:v>
      </x:c>
      <x:c r="Q1152" s="93" t="n">
        <x:v>9988.09</x:v>
      </x:c>
      <x:c r="R1152" s="91" t="n">
        <x:v>0</x:v>
      </x:c>
    </x:row>
    <x:row r="1153">
      <x:c r="A1153" s="83" t="n">
        <x:v>1152</x:v>
      </x:c>
      <x:c r="B1153" s="84" t="str">
        <x:v>OS-2024-01152</x:v>
      </x:c>
      <x:c r="C1153" s="84" t="n">
        <x:v>9</x:v>
      </x:c>
      <x:c r="D1153" s="84" t="n">
        <x:v>3</x:v>
      </x:c>
      <x:c r="E1153" s="84"/>
      <x:c r="F1153" s="89" t="n">
        <x:v>45476.92303240741</x:v>
      </x:c>
      <x:c r="G1153" s="89"/>
      <x:c r="H1153" s="89" t="n">
        <x:v>45479.58969907407</x:v>
      </x:c>
      <x:c r="I1153" s="89" t="n">
        <x:v>45480.17303240741</x:v>
      </x:c>
      <x:c r="J1153" s="84" t="str">
        <x:v>Crítica</x:v>
      </x:c>
      <x:c r="K1153" s="84" t="str">
        <x:v>Concluída</x:v>
      </x:c>
      <x:c r="L1153" s="84" t="str">
        <x:v>Alarme intermitente</x:v>
      </x:c>
      <x:c r="M1153" s="84" t="str">
        <x:v>Componente danificado</x:v>
      </x:c>
      <x:c r="N1153" s="84" t="str">
        <x:v>Componente ajustado ou substituído</x:v>
      </x:c>
      <x:c r="O1153" s="84" t="n">
        <x:v>0</x:v>
      </x:c>
      <x:c r="P1153" s="93" t="n">
        <x:v>260.39</x:v>
      </x:c>
      <x:c r="Q1153" s="93" t="n">
        <x:v>9765.75</x:v>
      </x:c>
      <x:c r="R1153" s="91" t="n">
        <x:v>0</x:v>
      </x:c>
    </x:row>
    <x:row r="1154">
      <x:c r="A1154" s="83" t="n">
        <x:v>1153</x:v>
      </x:c>
      <x:c r="B1154" s="84" t="str">
        <x:v>OS-2023-01153</x:v>
      </x:c>
      <x:c r="C1154" s="84" t="n">
        <x:v>71</x:v>
      </x:c>
      <x:c r="D1154" s="84" t="n">
        <x:v>4</x:v>
      </x:c>
      <x:c r="E1154" s="84"/>
      <x:c r="F1154" s="89" t="n">
        <x:v>44971.29152777778</x:v>
      </x:c>
      <x:c r="G1154" s="89" t="n">
        <x:v>44977.29152777778</x:v>
      </x:c>
      <x:c r="H1154" s="89"/>
      <x:c r="I1154" s="89"/>
      <x:c r="J1154" s="84" t="str">
        <x:v>Crítica</x:v>
      </x:c>
      <x:c r="K1154" s="84" t="str">
        <x:v>Planejada</x:v>
      </x:c>
      <x:c r="L1154" s="84" t="str">
        <x:v>Superaquecimento</x:v>
      </x:c>
      <x:c r="M1154" s="84"/>
      <x:c r="N1154" s="84"/>
      <x:c r="O1154" s="84" t="n">
        <x:v>0</x:v>
      </x:c>
      <x:c r="P1154" s="93" t="n">
        <x:v>0</x:v>
      </x:c>
      <x:c r="Q1154" s="93" t="n">
        <x:v>0</x:v>
      </x:c>
      <x:c r="R1154" s="91" t="n">
        <x:v>0</x:v>
      </x:c>
    </x:row>
    <x:row r="1155">
      <x:c r="A1155" s="83" t="n">
        <x:v>1154</x:v>
      </x:c>
      <x:c r="B1155" s="84" t="str">
        <x:v>OS-2025-01154</x:v>
      </x:c>
      <x:c r="C1155" s="84" t="n">
        <x:v>16</x:v>
      </x:c>
      <x:c r="D1155" s="84" t="n">
        <x:v>3</x:v>
      </x:c>
      <x:c r="E1155" s="84"/>
      <x:c r="F1155" s="89" t="n">
        <x:v>45980.39780092592</x:v>
      </x:c>
      <x:c r="G1155" s="89"/>
      <x:c r="H1155" s="89" t="n">
        <x:v>45981.98113425926</x:v>
      </x:c>
      <x:c r="I1155" s="89"/>
      <x:c r="J1155" s="84" t="str">
        <x:v>Média</x:v>
      </x:c>
      <x:c r="K1155" s="84" t="str">
        <x:v>Aguardando peça</x:v>
      </x:c>
      <x:c r="L1155" s="84" t="str">
        <x:v>Baixa pressão</x:v>
      </x:c>
      <x:c r="M1155" s="84" t="str">
        <x:v>Desgaste natural</x:v>
      </x:c>
      <x:c r="N1155" s="84"/>
      <x:c r="O1155" s="84" t="n">
        <x:v>0</x:v>
      </x:c>
      <x:c r="P1155" s="93" t="n">
        <x:v>602.17</x:v>
      </x:c>
      <x:c r="Q1155" s="93" t="n">
        <x:v>1134.4</x:v>
      </x:c>
      <x:c r="R1155" s="91" t="n">
        <x:v>0</x:v>
      </x:c>
    </x:row>
    <x:row r="1156">
      <x:c r="A1156" s="83" t="n">
        <x:v>1155</x:v>
      </x:c>
      <x:c r="B1156" s="84" t="str">
        <x:v>OS-2024-01155</x:v>
      </x:c>
      <x:c r="C1156" s="84" t="n">
        <x:v>45</x:v>
      </x:c>
      <x:c r="D1156" s="84" t="n">
        <x:v>8</x:v>
      </x:c>
      <x:c r="E1156" s="84"/>
      <x:c r="F1156" s="89" t="n">
        <x:v>45474.93740740741</x:v>
      </x:c>
      <x:c r="G1156" s="89" t="n">
        <x:v>45486.93740740741</x:v>
      </x:c>
      <x:c r="H1156" s="89" t="n">
        <x:v>45477.10407407407</x:v>
      </x:c>
      <x:c r="I1156" s="89" t="n">
        <x:v>45477.14574074074</x:v>
      </x:c>
      <x:c r="J1156" s="84" t="str">
        <x:v>Crítica</x:v>
      </x:c>
      <x:c r="K1156" s="84" t="str">
        <x:v>Encerrada</x:v>
      </x:c>
      <x:c r="L1156" s="84" t="str">
        <x:v>Vazamento</x:v>
      </x:c>
      <x:c r="M1156" s="84" t="str">
        <x:v>Desgaste natural</x:v>
      </x:c>
      <x:c r="N1156" s="84" t="str">
        <x:v>Componente ajustado ou substituído</x:v>
      </x:c>
      <x:c r="O1156" s="84" t="n">
        <x:v>0</x:v>
      </x:c>
      <x:c r="P1156" s="93" t="n">
        <x:v>387.38</x:v>
      </x:c>
      <x:c r="Q1156" s="93" t="n">
        <x:v>0</x:v>
      </x:c>
      <x:c r="R1156" s="91" t="n">
        <x:v>13022.63</x:v>
      </x:c>
    </x:row>
    <x:row r="1157">
      <x:c r="A1157" s="83" t="n">
        <x:v>1156</x:v>
      </x:c>
      <x:c r="B1157" s="84" t="str">
        <x:v>OS-2025-01156</x:v>
      </x:c>
      <x:c r="C1157" s="84" t="n">
        <x:v>83</x:v>
      </x:c>
      <x:c r="D1157" s="84" t="n">
        <x:v>7</x:v>
      </x:c>
      <x:c r="E1157" s="84" t="n">
        <x:v>166</x:v>
      </x:c>
      <x:c r="F1157" s="89" t="n">
        <x:v>45728.71859953704</x:v>
      </x:c>
      <x:c r="G1157" s="89" t="n">
        <x:v>45740.71859953704</x:v>
      </x:c>
      <x:c r="H1157" s="89" t="n">
        <x:v>45730.09359953704</x:v>
      </x:c>
      <x:c r="I1157" s="89" t="n">
        <x:v>45730.676932870374</x:v>
      </x:c>
      <x:c r="J1157" s="84" t="str">
        <x:v>Alta</x:v>
      </x:c>
      <x:c r="K1157" s="84" t="str">
        <x:v>Encerrada</x:v>
      </x:c>
      <x:c r="L1157" s="84" t="str">
        <x:v>Vazamento</x:v>
      </x:c>
      <x:c r="M1157" s="84" t="str">
        <x:v>Desgaste natural</x:v>
      </x:c>
      <x:c r="N1157" s="84" t="str">
        <x:v>Componente ajustado ou substituído</x:v>
      </x:c>
      <x:c r="O1157" s="84" t="n">
        <x:v>0</x:v>
      </x:c>
      <x:c r="P1157" s="93" t="n">
        <x:v>128.75</x:v>
      </x:c>
      <x:c r="Q1157" s="93" t="n">
        <x:v>0</x:v>
      </x:c>
      <x:c r="R1157" s="91" t="n">
        <x:v>13681.86</x:v>
      </x:c>
    </x:row>
    <x:row r="1158">
      <x:c r="A1158" s="83" t="n">
        <x:v>1157</x:v>
      </x:c>
      <x:c r="B1158" s="84" t="str">
        <x:v>OS-2025-01157</x:v>
      </x:c>
      <x:c r="C1158" s="84" t="n">
        <x:v>15</x:v>
      </x:c>
      <x:c r="D1158" s="84" t="n">
        <x:v>3</x:v>
      </x:c>
      <x:c r="E1158" s="84"/>
      <x:c r="F1158" s="89" t="n">
        <x:v>45669.19101851852</x:v>
      </x:c>
      <x:c r="G1158" s="89"/>
      <x:c r="H1158" s="89" t="n">
        <x:v>45671.73268518518</x:v>
      </x:c>
      <x:c r="I1158" s="89" t="n">
        <x:v>45672.524351851855</x:v>
      </x:c>
      <x:c r="J1158" s="84" t="str">
        <x:v>Alta</x:v>
      </x:c>
      <x:c r="K1158" s="84" t="str">
        <x:v>Encerrada</x:v>
      </x:c>
      <x:c r="L1158" s="84" t="str">
        <x:v>Desalinhamento</x:v>
      </x:c>
      <x:c r="M1158" s="84" t="str">
        <x:v>Desgaste natural</x:v>
      </x:c>
      <x:c r="N1158" s="84" t="str">
        <x:v>Componente ajustado ou substituído</x:v>
      </x:c>
      <x:c r="O1158" s="84" t="n">
        <x:v>0</x:v>
      </x:c>
      <x:c r="P1158" s="93" t="n">
        <x:v>515.94</x:v>
      </x:c>
      <x:c r="Q1158" s="93" t="n">
        <x:v>0</x:v>
      </x:c>
      <x:c r="R1158" s="91" t="n">
        <x:v>0</x:v>
      </x:c>
    </x:row>
    <x:row r="1159">
      <x:c r="A1159" s="83" t="n">
        <x:v>1158</x:v>
      </x:c>
      <x:c r="B1159" s="84" t="str">
        <x:v>OS-2023-01158</x:v>
      </x:c>
      <x:c r="C1159" s="84" t="n">
        <x:v>17</x:v>
      </x:c>
      <x:c r="D1159" s="84" t="n">
        <x:v>1</x:v>
      </x:c>
      <x:c r="E1159" s="84" t="n">
        <x:v>33</x:v>
      </x:c>
      <x:c r="F1159" s="89" t="n">
        <x:v>45099.17349537037</x:v>
      </x:c>
      <x:c r="G1159" s="89" t="n">
        <x:v>45105.17349537037</x:v>
      </x:c>
      <x:c r="H1159" s="89"/>
      <x:c r="I1159" s="89"/>
      <x:c r="J1159" s="84" t="str">
        <x:v>Baixa</x:v>
      </x:c>
      <x:c r="K1159" s="84" t="str">
        <x:v>Planejada</x:v>
      </x:c>
      <x:c r="L1159" s="84" t="str">
        <x:v>Baixa pressão</x:v>
      </x:c>
      <x:c r="M1159" s="84"/>
      <x:c r="N1159" s="84"/>
      <x:c r="O1159" s="84" t="n">
        <x:v>0</x:v>
      </x:c>
      <x:c r="P1159" s="93" t="n">
        <x:v>0</x:v>
      </x:c>
      <x:c r="Q1159" s="93" t="n">
        <x:v>0</x:v>
      </x:c>
      <x:c r="R1159" s="91" t="n">
        <x:v>0</x:v>
      </x:c>
    </x:row>
    <x:row r="1160">
      <x:c r="A1160" s="83" t="n">
        <x:v>1159</x:v>
      </x:c>
      <x:c r="B1160" s="84" t="str">
        <x:v>OS-2023-01159</x:v>
      </x:c>
      <x:c r="C1160" s="84" t="n">
        <x:v>48</x:v>
      </x:c>
      <x:c r="D1160" s="84" t="n">
        <x:v>5</x:v>
      </x:c>
      <x:c r="E1160" s="84" t="n">
        <x:v>96</x:v>
      </x:c>
      <x:c r="F1160" s="89" t="n">
        <x:v>45169.373020833336</x:v>
      </x:c>
      <x:c r="G1160" s="89" t="n">
        <x:v>45177.373020833336</x:v>
      </x:c>
      <x:c r="H1160" s="89" t="n">
        <x:v>45172.2896875</x:v>
      </x:c>
      <x:c r="I1160" s="89" t="n">
        <x:v>45172.498020833336</x:v>
      </x:c>
      <x:c r="J1160" s="84" t="str">
        <x:v>Alta</x:v>
      </x:c>
      <x:c r="K1160" s="84" t="str">
        <x:v>Encerrada</x:v>
      </x:c>
      <x:c r="L1160" s="84" t="str">
        <x:v>Ruído anormal</x:v>
      </x:c>
      <x:c r="M1160" s="84" t="str">
        <x:v>Desgaste natural</x:v>
      </x:c>
      <x:c r="N1160" s="84" t="str">
        <x:v>Componente ajustado ou substituído</x:v>
      </x:c>
      <x:c r="O1160" s="84" t="n">
        <x:v>0</x:v>
      </x:c>
      <x:c r="P1160" s="93" t="n">
        <x:v>111.81</x:v>
      </x:c>
      <x:c r="Q1160" s="93" t="n">
        <x:v>0</x:v>
      </x:c>
      <x:c r="R1160" s="91" t="n">
        <x:v>0</x:v>
      </x:c>
    </x:row>
    <x:row r="1161">
      <x:c r="A1161" s="83" t="n">
        <x:v>1160</x:v>
      </x:c>
      <x:c r="B1161" s="84" t="str">
        <x:v>OS-2023-01160</x:v>
      </x:c>
      <x:c r="C1161" s="84" t="n">
        <x:v>84</x:v>
      </x:c>
      <x:c r="D1161" s="84" t="n">
        <x:v>8</x:v>
      </x:c>
      <x:c r="E1161" s="84"/>
      <x:c r="F1161" s="89" t="n">
        <x:v>45214.47925925926</x:v>
      </x:c>
      <x:c r="G1161" s="89" t="n">
        <x:v>45222.47925925926</x:v>
      </x:c>
      <x:c r="H1161" s="89" t="n">
        <x:v>45215.89592592593</x:v>
      </x:c>
      <x:c r="I1161" s="89" t="n">
        <x:v>45216.64592592593</x:v>
      </x:c>
      <x:c r="J1161" s="84" t="str">
        <x:v>Baixa</x:v>
      </x:c>
      <x:c r="K1161" s="84" t="str">
        <x:v>Encerrada</x:v>
      </x:c>
      <x:c r="L1161" s="84" t="str">
        <x:v>Alarme intermitente</x:v>
      </x:c>
      <x:c r="M1161" s="84" t="str">
        <x:v>Desgaste natural</x:v>
      </x:c>
      <x:c r="N1161" s="84" t="str">
        <x:v>Componente ajustado ou substituído</x:v>
      </x:c>
      <x:c r="O1161" s="84" t="n">
        <x:v>0</x:v>
      </x:c>
      <x:c r="P1161" s="93" t="n">
        <x:v>644.83</x:v>
      </x:c>
      <x:c r="Q1161" s="93" t="n">
        <x:v>9155.48</x:v>
      </x:c>
      <x:c r="R1161" s="91" t="n">
        <x:v>0</x:v>
      </x:c>
    </x:row>
    <x:row r="1162">
      <x:c r="A1162" s="83" t="n">
        <x:v>1161</x:v>
      </x:c>
      <x:c r="B1162" s="84" t="str">
        <x:v>OS-2025-01161</x:v>
      </x:c>
      <x:c r="C1162" s="84" t="n">
        <x:v>20</x:v>
      </x:c>
      <x:c r="D1162" s="84" t="n">
        <x:v>1</x:v>
      </x:c>
      <x:c r="E1162" s="84" t="n">
        <x:v>39</x:v>
      </x:c>
      <x:c r="F1162" s="89" t="n">
        <x:v>46017.2872337963</x:v>
      </x:c>
      <x:c r="G1162" s="89" t="n">
        <x:v>46023.2872337963</x:v>
      </x:c>
      <x:c r="H1162" s="89" t="n">
        <x:v>46018.45390046296</x:v>
      </x:c>
      <x:c r="I1162" s="89" t="n">
        <x:v>46019.12056712963</x:v>
      </x:c>
      <x:c r="J1162" s="84" t="str">
        <x:v>Baixa</x:v>
      </x:c>
      <x:c r="K1162" s="84" t="str">
        <x:v>Encerrada</x:v>
      </x:c>
      <x:c r="L1162" s="84" t="str">
        <x:v>Falha elétrica</x:v>
      </x:c>
      <x:c r="M1162" s="84" t="str">
        <x:v>Falta de lubrificação</x:v>
      </x:c>
      <x:c r="N1162" s="84" t="str">
        <x:v>Componente ajustado ou substituído</x:v>
      </x:c>
      <x:c r="O1162" s="84" t="n">
        <x:v>0</x:v>
      </x:c>
      <x:c r="P1162" s="93" t="n">
        <x:v>644.87</x:v>
      </x:c>
      <x:c r="Q1162" s="93" t="n">
        <x:v>3824.9</x:v>
      </x:c>
      <x:c r="R1162" s="91" t="n">
        <x:v>0</x:v>
      </x:c>
    </x:row>
    <x:row r="1163">
      <x:c r="A1163" s="83" t="n">
        <x:v>1162</x:v>
      </x:c>
      <x:c r="B1163" s="84" t="str">
        <x:v>OS-2023-01162</x:v>
      </x:c>
      <x:c r="C1163" s="84" t="n">
        <x:v>28</x:v>
      </x:c>
      <x:c r="D1163" s="84" t="n">
        <x:v>1</x:v>
      </x:c>
      <x:c r="E1163" s="84" t="n">
        <x:v>56</x:v>
      </x:c>
      <x:c r="F1163" s="89" t="n">
        <x:v>45206.53387731482</x:v>
      </x:c>
      <x:c r="G1163" s="89" t="n">
        <x:v>45217.53387731482</x:v>
      </x:c>
      <x:c r="H1163" s="89" t="n">
        <x:v>45208.53387731482</x:v>
      </x:c>
      <x:c r="I1163" s="89" t="n">
        <x:v>45208.90887731482</x:v>
      </x:c>
      <x:c r="J1163" s="84" t="str">
        <x:v>Crítica</x:v>
      </x:c>
      <x:c r="K1163" s="84" t="str">
        <x:v>Encerrada</x:v>
      </x:c>
      <x:c r="L1163" s="84" t="str">
        <x:v>Alarme intermitente</x:v>
      </x:c>
      <x:c r="M1163" s="84" t="str">
        <x:v>Conexão frouxa</x:v>
      </x:c>
      <x:c r="N1163" s="84" t="str">
        <x:v>Componente ajustado ou substituído</x:v>
      </x:c>
      <x:c r="O1163" s="84" t="n">
        <x:v>0</x:v>
      </x:c>
      <x:c r="P1163" s="93" t="n">
        <x:v>93.9</x:v>
      </x:c>
      <x:c r="Q1163" s="93" t="n">
        <x:v>0</x:v>
      </x:c>
      <x:c r="R1163" s="91" t="n">
        <x:v>0</x:v>
      </x:c>
    </x:row>
    <x:row r="1164">
      <x:c r="A1164" s="83" t="n">
        <x:v>1163</x:v>
      </x:c>
      <x:c r="B1164" s="84" t="str">
        <x:v>OS-2023-01163</x:v>
      </x:c>
      <x:c r="C1164" s="84" t="n">
        <x:v>78</x:v>
      </x:c>
      <x:c r="D1164" s="84" t="n">
        <x:v>2</x:v>
      </x:c>
      <x:c r="E1164" s="84"/>
      <x:c r="F1164" s="89" t="n">
        <x:v>45187.64439814815</x:v>
      </x:c>
      <x:c r="G1164" s="89" t="n">
        <x:v>45201.64439814815</x:v>
      </x:c>
      <x:c r="H1164" s="89"/>
      <x:c r="I1164" s="89"/>
      <x:c r="J1164" s="84" t="str">
        <x:v>Média</x:v>
      </x:c>
      <x:c r="K1164" s="84" t="str">
        <x:v>Planejada</x:v>
      </x:c>
      <x:c r="L1164" s="84" t="str">
        <x:v>Baixa pressão</x:v>
      </x:c>
      <x:c r="M1164" s="84"/>
      <x:c r="N1164" s="84"/>
      <x:c r="O1164" s="84" t="n">
        <x:v>0</x:v>
      </x:c>
      <x:c r="P1164" s="93" t="n">
        <x:v>0</x:v>
      </x:c>
      <x:c r="Q1164" s="93" t="n">
        <x:v>0</x:v>
      </x:c>
      <x:c r="R1164" s="91" t="n">
        <x:v>0</x:v>
      </x:c>
    </x:row>
    <x:row r="1165">
      <x:c r="A1165" s="83" t="n">
        <x:v>1164</x:v>
      </x:c>
      <x:c r="B1165" s="84" t="str">
        <x:v>OS-2023-01164</x:v>
      </x:c>
      <x:c r="C1165" s="84" t="n">
        <x:v>52</x:v>
      </x:c>
      <x:c r="D1165" s="84" t="n">
        <x:v>1</x:v>
      </x:c>
      <x:c r="E1165" s="84" t="n">
        <x:v>104</x:v>
      </x:c>
      <x:c r="F1165" s="89" t="n">
        <x:v>44953.694918981484</x:v>
      </x:c>
      <x:c r="G1165" s="89" t="n">
        <x:v>44958.694918981484</x:v>
      </x:c>
      <x:c r="H1165" s="89"/>
      <x:c r="I1165" s="89"/>
      <x:c r="J1165" s="84" t="str">
        <x:v>Alta</x:v>
      </x:c>
      <x:c r="K1165" s="84" t="str">
        <x:v>Planejada</x:v>
      </x:c>
      <x:c r="L1165" s="84" t="str">
        <x:v>Vazamento</x:v>
      </x:c>
      <x:c r="M1165" s="84"/>
      <x:c r="N1165" s="84"/>
      <x:c r="O1165" s="84" t="n">
        <x:v>0</x:v>
      </x:c>
      <x:c r="P1165" s="93" t="n">
        <x:v>0</x:v>
      </x:c>
      <x:c r="Q1165" s="93" t="n">
        <x:v>0</x:v>
      </x:c>
      <x:c r="R1165" s="91" t="n">
        <x:v>0</x:v>
      </x:c>
    </x:row>
    <x:row r="1166">
      <x:c r="A1166" s="83" t="n">
        <x:v>1165</x:v>
      </x:c>
      <x:c r="B1166" s="84" t="str">
        <x:v>OS-2023-01165</x:v>
      </x:c>
      <x:c r="C1166" s="84" t="n">
        <x:v>63</x:v>
      </x:c>
      <x:c r="D1166" s="84" t="n">
        <x:v>6</x:v>
      </x:c>
      <x:c r="E1166" s="84"/>
      <x:c r="F1166" s="89" t="n">
        <x:v>45014.881944444445</x:v>
      </x:c>
      <x:c r="G1166" s="89" t="n">
        <x:v>45022.881944444445</x:v>
      </x:c>
      <x:c r="H1166" s="89" t="n">
        <x:v>45016.96527777778</x:v>
      </x:c>
      <x:c r="I1166" s="89" t="n">
        <x:v>45017.59027777778</x:v>
      </x:c>
      <x:c r="J1166" s="84" t="str">
        <x:v>Alta</x:v>
      </x:c>
      <x:c r="K1166" s="84" t="str">
        <x:v>Encerrada</x:v>
      </x:c>
      <x:c r="L1166" s="84" t="str">
        <x:v>Superaquecimento</x:v>
      </x:c>
      <x:c r="M1166" s="84" t="str">
        <x:v>Desgaste natural</x:v>
      </x:c>
      <x:c r="N1166" s="84" t="str">
        <x:v>Componente ajustado ou substituído</x:v>
      </x:c>
      <x:c r="O1166" s="84" t="n">
        <x:v>0</x:v>
      </x:c>
      <x:c r="P1166" s="93" t="n">
        <x:v>696.14</x:v>
      </x:c>
      <x:c r="Q1166" s="93" t="n">
        <x:v>6065.95</x:v>
      </x:c>
      <x:c r="R1166" s="91" t="n">
        <x:v>0</x:v>
      </x:c>
    </x:row>
    <x:row r="1167">
      <x:c r="A1167" s="83" t="n">
        <x:v>1166</x:v>
      </x:c>
      <x:c r="B1167" s="84" t="str">
        <x:v>OS-2025-01166</x:v>
      </x:c>
      <x:c r="C1167" s="84" t="n">
        <x:v>88</x:v>
      </x:c>
      <x:c r="D1167" s="84" t="n">
        <x:v>3</x:v>
      </x:c>
      <x:c r="E1167" s="84"/>
      <x:c r="F1167" s="89" t="n">
        <x:v>45659.552407407406</x:v>
      </x:c>
      <x:c r="G1167" s="89"/>
      <x:c r="H1167" s="89" t="n">
        <x:v>45661.21907407408</x:v>
      </x:c>
      <x:c r="I1167" s="89" t="n">
        <x:v>45661.552407407406</x:v>
      </x:c>
      <x:c r="J1167" s="84" t="str">
        <x:v>Baixa</x:v>
      </x:c>
      <x:c r="K1167" s="84" t="str">
        <x:v>Concluída</x:v>
      </x:c>
      <x:c r="L1167" s="84" t="str">
        <x:v>Superaquecimento</x:v>
      </x:c>
      <x:c r="M1167" s="84" t="str">
        <x:v>Componente danificado</x:v>
      </x:c>
      <x:c r="N1167" s="84" t="str">
        <x:v>Componente ajustado ou substituído</x:v>
      </x:c>
      <x:c r="O1167" s="84" t="n">
        <x:v>0</x:v>
      </x:c>
      <x:c r="P1167" s="93" t="n">
        <x:v>658.79</x:v>
      </x:c>
      <x:c r="Q1167" s="93" t="n">
        <x:v>7895.88</x:v>
      </x:c>
      <x:c r="R1167" s="91" t="n">
        <x:v>0</x:v>
      </x:c>
    </x:row>
    <x:row r="1168">
      <x:c r="A1168" s="83" t="n">
        <x:v>1167</x:v>
      </x:c>
      <x:c r="B1168" s="84" t="str">
        <x:v>OS-2023-01167</x:v>
      </x:c>
      <x:c r="C1168" s="84" t="n">
        <x:v>90</x:v>
      </x:c>
      <x:c r="D1168" s="84" t="n">
        <x:v>3</x:v>
      </x:c>
      <x:c r="E1168" s="84"/>
      <x:c r="F1168" s="89" t="n">
        <x:v>45096.2821412037</x:v>
      </x:c>
      <x:c r="G1168" s="89"/>
      <x:c r="H1168" s="89"/>
      <x:c r="I1168" s="89"/>
      <x:c r="J1168" s="84" t="str">
        <x:v>Média</x:v>
      </x:c>
      <x:c r="K1168" s="84" t="str">
        <x:v>Planejada</x:v>
      </x:c>
      <x:c r="L1168" s="84" t="str">
        <x:v>Alarme intermitente</x:v>
      </x:c>
      <x:c r="M1168" s="84"/>
      <x:c r="N1168" s="84"/>
      <x:c r="O1168" s="84" t="n">
        <x:v>0</x:v>
      </x:c>
      <x:c r="P1168" s="93" t="n">
        <x:v>0</x:v>
      </x:c>
      <x:c r="Q1168" s="93" t="n">
        <x:v>0</x:v>
      </x:c>
      <x:c r="R1168" s="91" t="n">
        <x:v>0</x:v>
      </x:c>
    </x:row>
    <x:row r="1169">
      <x:c r="A1169" s="83" t="n">
        <x:v>1168</x:v>
      </x:c>
      <x:c r="B1169" s="84" t="str">
        <x:v>OS-2025-01168</x:v>
      </x:c>
      <x:c r="C1169" s="84" t="n">
        <x:v>52</x:v>
      </x:c>
      <x:c r="D1169" s="84" t="n">
        <x:v>1</x:v>
      </x:c>
      <x:c r="E1169" s="84" t="n">
        <x:v>103</x:v>
      </x:c>
      <x:c r="F1169" s="89" t="n">
        <x:v>45839.35491898148</x:v>
      </x:c>
      <x:c r="G1169" s="89" t="n">
        <x:v>45847.35491898148</x:v>
      </x:c>
      <x:c r="H1169" s="89" t="n">
        <x:v>45840.97991898148</x:v>
      </x:c>
      <x:c r="I1169" s="89" t="n">
        <x:v>45841.646585648145</x:v>
      </x:c>
      <x:c r="J1169" s="84" t="str">
        <x:v>Baixa</x:v>
      </x:c>
      <x:c r="K1169" s="84" t="str">
        <x:v>Encerrada</x:v>
      </x:c>
      <x:c r="L1169" s="84" t="str">
        <x:v>Vazamento</x:v>
      </x:c>
      <x:c r="M1169" s="84" t="str">
        <x:v>Ajuste incorreto</x:v>
      </x:c>
      <x:c r="N1169" s="84" t="str">
        <x:v>Componente ajustado ou substituído</x:v>
      </x:c>
      <x:c r="O1169" s="84" t="n">
        <x:v>0</x:v>
      </x:c>
      <x:c r="P1169" s="93" t="n">
        <x:v>206.6</x:v>
      </x:c>
      <x:c r="Q1169" s="93" t="n">
        <x:v>0</x:v>
      </x:c>
      <x:c r="R1169" s="91" t="n">
        <x:v>0</x:v>
      </x:c>
    </x:row>
    <x:row r="1170">
      <x:c r="A1170" s="83" t="n">
        <x:v>1169</x:v>
      </x:c>
      <x:c r="B1170" s="84" t="str">
        <x:v>OS-2023-01169</x:v>
      </x:c>
      <x:c r="C1170" s="84" t="n">
        <x:v>29</x:v>
      </x:c>
      <x:c r="D1170" s="84" t="n">
        <x:v>3</x:v>
      </x:c>
      <x:c r="E1170" s="84"/>
      <x:c r="F1170" s="89" t="n">
        <x:v>45203.80159722222</x:v>
      </x:c>
      <x:c r="G1170" s="89"/>
      <x:c r="H1170" s="89" t="n">
        <x:v>45205.30159722222</x:v>
      </x:c>
      <x:c r="I1170" s="89" t="n">
        <x:v>45206.05159722222</x:v>
      </x:c>
      <x:c r="J1170" s="84" t="str">
        <x:v>Crítica</x:v>
      </x:c>
      <x:c r="K1170" s="84" t="str">
        <x:v>Encerrada</x:v>
      </x:c>
      <x:c r="L1170" s="84" t="str">
        <x:v>Desalinhamento</x:v>
      </x:c>
      <x:c r="M1170" s="84" t="str">
        <x:v>Contaminação</x:v>
      </x:c>
      <x:c r="N1170" s="84" t="str">
        <x:v>Componente ajustado ou substituído</x:v>
      </x:c>
      <x:c r="O1170" s="84" t="n">
        <x:v>0</x:v>
      </x:c>
      <x:c r="P1170" s="93" t="n">
        <x:v>682.92</x:v>
      </x:c>
      <x:c r="Q1170" s="93" t="n">
        <x:v>6673.75</x:v>
      </x:c>
      <x:c r="R1170" s="91" t="n">
        <x:v>0</x:v>
      </x:c>
    </x:row>
    <x:row r="1171">
      <x:c r="A1171" s="83" t="n">
        <x:v>1170</x:v>
      </x:c>
      <x:c r="B1171" s="84" t="str">
        <x:v>OS-2023-01170</x:v>
      </x:c>
      <x:c r="C1171" s="84" t="n">
        <x:v>71</x:v>
      </x:c>
      <x:c r="D1171" s="84" t="n">
        <x:v>1</x:v>
      </x:c>
      <x:c r="E1171" s="84" t="n">
        <x:v>142</x:v>
      </x:c>
      <x:c r="F1171" s="89" t="n">
        <x:v>45216.48168981481</x:v>
      </x:c>
      <x:c r="G1171" s="89" t="n">
        <x:v>45226.48168981481</x:v>
      </x:c>
      <x:c r="H1171" s="89" t="n">
        <x:v>45217.06502314815</x:v>
      </x:c>
      <x:c r="I1171" s="89" t="n">
        <x:v>45217.23168981481</x:v>
      </x:c>
      <x:c r="J1171" s="84" t="str">
        <x:v>Crítica</x:v>
      </x:c>
      <x:c r="K1171" s="84" t="str">
        <x:v>Encerrada</x:v>
      </x:c>
      <x:c r="L1171" s="84" t="str">
        <x:v>Ruído anormal</x:v>
      </x:c>
      <x:c r="M1171" s="84" t="str">
        <x:v>Componente danificado</x:v>
      </x:c>
      <x:c r="N1171" s="84" t="str">
        <x:v>Componente ajustado ou substituído</x:v>
      </x:c>
      <x:c r="O1171" s="84" t="n">
        <x:v>0</x:v>
      </x:c>
      <x:c r="P1171" s="93" t="n">
        <x:v>212.51</x:v>
      </x:c>
      <x:c r="Q1171" s="93" t="n">
        <x:v>1749.72</x:v>
      </x:c>
      <x:c r="R1171" s="91" t="n">
        <x:v>0</x:v>
      </x:c>
    </x:row>
    <x:row r="1172">
      <x:c r="A1172" s="83" t="n">
        <x:v>1171</x:v>
      </x:c>
      <x:c r="B1172" s="84" t="str">
        <x:v>OS-2023-01171</x:v>
      </x:c>
      <x:c r="C1172" s="84" t="n">
        <x:v>12</x:v>
      </x:c>
      <x:c r="D1172" s="84" t="n">
        <x:v>1</x:v>
      </x:c>
      <x:c r="E1172" s="84" t="n">
        <x:v>24</x:v>
      </x:c>
      <x:c r="F1172" s="89" t="n">
        <x:v>45136.283738425926</x:v>
      </x:c>
      <x:c r="G1172" s="89" t="n">
        <x:v>45151.283738425926</x:v>
      </x:c>
      <x:c r="H1172" s="89" t="n">
        <x:v>45139.283738425926</x:v>
      </x:c>
      <x:c r="I1172" s="89" t="n">
        <x:v>45139.74207175926</x:v>
      </x:c>
      <x:c r="J1172" s="84" t="str">
        <x:v>Alta</x:v>
      </x:c>
      <x:c r="K1172" s="84" t="str">
        <x:v>Encerrada</x:v>
      </x:c>
      <x:c r="L1172" s="84" t="str">
        <x:v>Falha elétrica</x:v>
      </x:c>
      <x:c r="M1172" s="84" t="str">
        <x:v>Conexão frouxa</x:v>
      </x:c>
      <x:c r="N1172" s="84" t="str">
        <x:v>Componente ajustado ou substituído</x:v>
      </x:c>
      <x:c r="O1172" s="84" t="n">
        <x:v>0</x:v>
      </x:c>
      <x:c r="P1172" s="93" t="n">
        <x:v>113.89</x:v>
      </x:c>
      <x:c r="Q1172" s="93" t="n">
        <x:v>10930.32</x:v>
      </x:c>
      <x:c r="R1172" s="91" t="n">
        <x:v>0</x:v>
      </x:c>
    </x:row>
    <x:row r="1173">
      <x:c r="A1173" s="83" t="n">
        <x:v>1172</x:v>
      </x:c>
      <x:c r="B1173" s="84" t="str">
        <x:v>OS-2024-01172</x:v>
      </x:c>
      <x:c r="C1173" s="84" t="n">
        <x:v>54</x:v>
      </x:c>
      <x:c r="D1173" s="84" t="n">
        <x:v>6</x:v>
      </x:c>
      <x:c r="E1173" s="84"/>
      <x:c r="F1173" s="89" t="n">
        <x:v>45348.19017361111</x:v>
      </x:c>
      <x:c r="G1173" s="89" t="n">
        <x:v>45352.19017361111</x:v>
      </x:c>
      <x:c r="H1173" s="89" t="n">
        <x:v>45349.731840277775</x:v>
      </x:c>
      <x:c r="I1173" s="89" t="n">
        <x:v>45350.356840277775</x:v>
      </x:c>
      <x:c r="J1173" s="84" t="str">
        <x:v>Baixa</x:v>
      </x:c>
      <x:c r="K1173" s="84" t="str">
        <x:v>Encerrada</x:v>
      </x:c>
      <x:c r="L1173" s="84" t="str">
        <x:v>Ruído anormal</x:v>
      </x:c>
      <x:c r="M1173" s="84" t="str">
        <x:v>Desgaste natural</x:v>
      </x:c>
      <x:c r="N1173" s="84" t="str">
        <x:v>Componente ajustado ou substituído</x:v>
      </x:c>
      <x:c r="O1173" s="84" t="n">
        <x:v>0</x:v>
      </x:c>
      <x:c r="P1173" s="93" t="n">
        <x:v>619.43</x:v>
      </x:c>
      <x:c r="Q1173" s="93" t="n">
        <x:v>8726.5</x:v>
      </x:c>
      <x:c r="R1173" s="91" t="n">
        <x:v>0</x:v>
      </x:c>
    </x:row>
    <x:row r="1174">
      <x:c r="A1174" s="83" t="n">
        <x:v>1173</x:v>
      </x:c>
      <x:c r="B1174" s="84" t="str">
        <x:v>OS-2024-01173</x:v>
      </x:c>
      <x:c r="C1174" s="84" t="n">
        <x:v>32</x:v>
      </x:c>
      <x:c r="D1174" s="84" t="n">
        <x:v>1</x:v>
      </x:c>
      <x:c r="E1174" s="84" t="n">
        <x:v>63</x:v>
      </x:c>
      <x:c r="F1174" s="89" t="n">
        <x:v>45496.791550925926</x:v>
      </x:c>
      <x:c r="G1174" s="89" t="n">
        <x:v>45504.791550925926</x:v>
      </x:c>
      <x:c r="H1174" s="89" t="n">
        <x:v>45499.58321759259</x:v>
      </x:c>
      <x:c r="I1174" s="89"/>
      <x:c r="J1174" s="84" t="str">
        <x:v>Média</x:v>
      </x:c>
      <x:c r="K1174" s="84" t="str">
        <x:v>Aguardando peça</x:v>
      </x:c>
      <x:c r="L1174" s="84" t="str">
        <x:v>Ruído anormal</x:v>
      </x:c>
      <x:c r="M1174" s="84" t="str">
        <x:v>Desgaste natural</x:v>
      </x:c>
      <x:c r="N1174" s="84"/>
      <x:c r="O1174" s="84" t="n">
        <x:v>0</x:v>
      </x:c>
      <x:c r="P1174" s="93" t="n">
        <x:v>709.64</x:v>
      </x:c>
      <x:c r="Q1174" s="93" t="n">
        <x:v>12542.96</x:v>
      </x:c>
      <x:c r="R1174" s="91" t="n">
        <x:v>0</x:v>
      </x:c>
    </x:row>
    <x:row r="1175">
      <x:c r="A1175" s="83" t="n">
        <x:v>1174</x:v>
      </x:c>
      <x:c r="B1175" s="84" t="str">
        <x:v>OS-2024-01174</x:v>
      </x:c>
      <x:c r="C1175" s="84" t="n">
        <x:v>9</x:v>
      </x:c>
      <x:c r="D1175" s="84" t="n">
        <x:v>1</x:v>
      </x:c>
      <x:c r="E1175" s="84" t="n">
        <x:v>18</x:v>
      </x:c>
      <x:c r="F1175" s="89" t="n">
        <x:v>45545.04310185185</x:v>
      </x:c>
      <x:c r="G1175" s="89" t="n">
        <x:v>45560.04310185185</x:v>
      </x:c>
      <x:c r="H1175" s="89" t="n">
        <x:v>45546.251435185186</x:v>
      </x:c>
      <x:c r="I1175" s="89" t="n">
        <x:v>45546.79310185185</x:v>
      </x:c>
      <x:c r="J1175" s="84" t="str">
        <x:v>Crítica</x:v>
      </x:c>
      <x:c r="K1175" s="84" t="str">
        <x:v>Encerrada</x:v>
      </x:c>
      <x:c r="L1175" s="84" t="str">
        <x:v>Desalinhamento</x:v>
      </x:c>
      <x:c r="M1175" s="84" t="str">
        <x:v>Contaminação</x:v>
      </x:c>
      <x:c r="N1175" s="84" t="str">
        <x:v>Componente ajustado ou substituído</x:v>
      </x:c>
      <x:c r="O1175" s="84" t="n">
        <x:v>0</x:v>
      </x:c>
      <x:c r="P1175" s="93" t="n">
        <x:v>720.61</x:v>
      </x:c>
      <x:c r="Q1175" s="93" t="n">
        <x:v>14608.2</x:v>
      </x:c>
      <x:c r="R1175" s="91" t="n">
        <x:v>0</x:v>
      </x:c>
    </x:row>
    <x:row r="1176">
      <x:c r="A1176" s="83" t="n">
        <x:v>1175</x:v>
      </x:c>
      <x:c r="B1176" s="84" t="str">
        <x:v>OS-2023-01175</x:v>
      </x:c>
      <x:c r="C1176" s="84" t="n">
        <x:v>55</x:v>
      </x:c>
      <x:c r="D1176" s="84" t="n">
        <x:v>3</x:v>
      </x:c>
      <x:c r="E1176" s="84"/>
      <x:c r="F1176" s="89" t="n">
        <x:v>45191.60193287037</x:v>
      </x:c>
      <x:c r="G1176" s="89"/>
      <x:c r="H1176" s="89" t="n">
        <x:v>45194.310266203705</x:v>
      </x:c>
      <x:c r="I1176" s="89"/>
      <x:c r="J1176" s="84" t="str">
        <x:v>Baixa</x:v>
      </x:c>
      <x:c r="K1176" s="84" t="str">
        <x:v>Aguardando peça</x:v>
      </x:c>
      <x:c r="L1176" s="84" t="str">
        <x:v>Desalinhamento</x:v>
      </x:c>
      <x:c r="M1176" s="84" t="str">
        <x:v>Falta de lubrificação</x:v>
      </x:c>
      <x:c r="N1176" s="84"/>
      <x:c r="O1176" s="84" t="n">
        <x:v>0</x:v>
      </x:c>
      <x:c r="P1176" s="93" t="n">
        <x:v>573.62</x:v>
      </x:c>
      <x:c r="Q1176" s="93" t="n">
        <x:v>0</x:v>
      </x:c>
      <x:c r="R1176" s="91" t="n">
        <x:v>0</x:v>
      </x:c>
    </x:row>
    <x:row r="1177">
      <x:c r="A1177" s="83" t="n">
        <x:v>1176</x:v>
      </x:c>
      <x:c r="B1177" s="84" t="str">
        <x:v>OS-2025-01176</x:v>
      </x:c>
      <x:c r="C1177" s="84" t="n">
        <x:v>21</x:v>
      </x:c>
      <x:c r="D1177" s="84" t="n">
        <x:v>2</x:v>
      </x:c>
      <x:c r="E1177" s="84"/>
      <x:c r="F1177" s="89" t="n">
        <x:v>45876.45412037037</x:v>
      </x:c>
      <x:c r="G1177" s="89" t="n">
        <x:v>45891.45412037037</x:v>
      </x:c>
      <x:c r="H1177" s="89" t="n">
        <x:v>45876.57912037037</x:v>
      </x:c>
      <x:c r="I1177" s="89" t="n">
        <x:v>45876.745787037034</x:v>
      </x:c>
      <x:c r="J1177" s="84" t="str">
        <x:v>Baixa</x:v>
      </x:c>
      <x:c r="K1177" s="84" t="str">
        <x:v>Encerrada</x:v>
      </x:c>
      <x:c r="L1177" s="84" t="str">
        <x:v>Baixa pressão</x:v>
      </x:c>
      <x:c r="M1177" s="84" t="str">
        <x:v>Componente danificado</x:v>
      </x:c>
      <x:c r="N1177" s="84" t="str">
        <x:v>Componente ajustado ou substituído</x:v>
      </x:c>
      <x:c r="O1177" s="84" t="n">
        <x:v>0</x:v>
      </x:c>
      <x:c r="P1177" s="93" t="n">
        <x:v>280.55</x:v>
      </x:c>
      <x:c r="Q1177" s="93" t="n">
        <x:v>5185.62</x:v>
      </x:c>
      <x:c r="R1177" s="91" t="n">
        <x:v>0</x:v>
      </x:c>
    </x:row>
    <x:row r="1178">
      <x:c r="A1178" s="83" t="n">
        <x:v>1177</x:v>
      </x:c>
      <x:c r="B1178" s="84" t="str">
        <x:v>OS-2023-01177</x:v>
      </x:c>
      <x:c r="C1178" s="84" t="n">
        <x:v>69</x:v>
      </x:c>
      <x:c r="D1178" s="84" t="n">
        <x:v>2</x:v>
      </x:c>
      <x:c r="E1178" s="84"/>
      <x:c r="F1178" s="89" t="n">
        <x:v>45006.896099537036</x:v>
      </x:c>
      <x:c r="G1178" s="89" t="n">
        <x:v>45010.896099537036</x:v>
      </x:c>
      <x:c r="H1178" s="89" t="n">
        <x:v>45009.521099537036</x:v>
      </x:c>
      <x:c r="I1178" s="89" t="n">
        <x:v>45009.97943287037</x:v>
      </x:c>
      <x:c r="J1178" s="84" t="str">
        <x:v>Crítica</x:v>
      </x:c>
      <x:c r="K1178" s="84" t="str">
        <x:v>Concluída</x:v>
      </x:c>
      <x:c r="L1178" s="84" t="str">
        <x:v>Alarme intermitente</x:v>
      </x:c>
      <x:c r="M1178" s="84" t="str">
        <x:v>Falta de lubrificação</x:v>
      </x:c>
      <x:c r="N1178" s="84" t="str">
        <x:v>Componente ajustado ou substituído</x:v>
      </x:c>
      <x:c r="O1178" s="84" t="n">
        <x:v>0</x:v>
      </x:c>
      <x:c r="P1178" s="93" t="n">
        <x:v>620.5</x:v>
      </x:c>
      <x:c r="Q1178" s="93" t="n">
        <x:v>8195.21</x:v>
      </x:c>
      <x:c r="R1178" s="91" t="n">
        <x:v>0</x:v>
      </x:c>
    </x:row>
    <x:row r="1179">
      <x:c r="A1179" s="83" t="n">
        <x:v>1178</x:v>
      </x:c>
      <x:c r="B1179" s="84" t="str">
        <x:v>OS-2025-01178</x:v>
      </x:c>
      <x:c r="C1179" s="84" t="n">
        <x:v>23</x:v>
      </x:c>
      <x:c r="D1179" s="84" t="n">
        <x:v>2</x:v>
      </x:c>
      <x:c r="E1179" s="84"/>
      <x:c r="F1179" s="89" t="n">
        <x:v>45961.15583333333</x:v>
      </x:c>
      <x:c r="G1179" s="89" t="n">
        <x:v>45964.15583333333</x:v>
      </x:c>
      <x:c r="H1179" s="89" t="n">
        <x:v>45962.5725</x:v>
      </x:c>
      <x:c r="I1179" s="89" t="n">
        <x:v>45962.6975</x:v>
      </x:c>
      <x:c r="J1179" s="84" t="str">
        <x:v>Média</x:v>
      </x:c>
      <x:c r="K1179" s="84" t="str">
        <x:v>Concluída</x:v>
      </x:c>
      <x:c r="L1179" s="84" t="str">
        <x:v>Desalinhamento</x:v>
      </x:c>
      <x:c r="M1179" s="84" t="str">
        <x:v>Falta de lubrificação</x:v>
      </x:c>
      <x:c r="N1179" s="84" t="str">
        <x:v>Componente ajustado ou substituído</x:v>
      </x:c>
      <x:c r="O1179" s="84" t="n">
        <x:v>0</x:v>
      </x:c>
      <x:c r="P1179" s="93" t="n">
        <x:v>418.69</x:v>
      </x:c>
      <x:c r="Q1179" s="93" t="n">
        <x:v>5578.88</x:v>
      </x:c>
      <x:c r="R1179" s="91" t="n">
        <x:v>0</x:v>
      </x:c>
    </x:row>
    <x:row r="1180">
      <x:c r="A1180" s="83" t="n">
        <x:v>1179</x:v>
      </x:c>
      <x:c r="B1180" s="84" t="str">
        <x:v>OS-2023-01179</x:v>
      </x:c>
      <x:c r="C1180" s="84" t="n">
        <x:v>33</x:v>
      </x:c>
      <x:c r="D1180" s="84" t="n">
        <x:v>1</x:v>
      </x:c>
      <x:c r="E1180" s="84" t="n">
        <x:v>65</x:v>
      </x:c>
      <x:c r="F1180" s="89" t="n">
        <x:v>45168.854363425926</x:v>
      </x:c>
      <x:c r="G1180" s="89" t="n">
        <x:v>45176.854363425926</x:v>
      </x:c>
      <x:c r="H1180" s="89" t="n">
        <x:v>45171.229363425926</x:v>
      </x:c>
      <x:c r="I1180" s="89"/>
      <x:c r="J1180" s="84" t="str">
        <x:v>Crítica</x:v>
      </x:c>
      <x:c r="K1180" s="84" t="str">
        <x:v>Em execução</x:v>
      </x:c>
      <x:c r="L1180" s="84" t="str">
        <x:v>Superaquecimento</x:v>
      </x:c>
      <x:c r="M1180" s="84" t="str">
        <x:v>Ajuste incorreto</x:v>
      </x:c>
      <x:c r="N1180" s="84"/>
      <x:c r="O1180" s="84" t="n">
        <x:v>0</x:v>
      </x:c>
      <x:c r="P1180" s="93" t="n">
        <x:v>449.57</x:v>
      </x:c>
      <x:c r="Q1180" s="93" t="n">
        <x:v>0</x:v>
      </x:c>
      <x:c r="R1180" s="91" t="n">
        <x:v>0</x:v>
      </x:c>
    </x:row>
    <x:row r="1181">
      <x:c r="A1181" s="83" t="n">
        <x:v>1180</x:v>
      </x:c>
      <x:c r="B1181" s="84" t="str">
        <x:v>OS-2023-01180</x:v>
      </x:c>
      <x:c r="C1181" s="84" t="n">
        <x:v>71</x:v>
      </x:c>
      <x:c r="D1181" s="84" t="n">
        <x:v>7</x:v>
      </x:c>
      <x:c r="E1181" s="84" t="n">
        <x:v>142</x:v>
      </x:c>
      <x:c r="F1181" s="89" t="n">
        <x:v>45138.16736111111</x:v>
      </x:c>
      <x:c r="G1181" s="89" t="n">
        <x:v>45143.16736111111</x:v>
      </x:c>
      <x:c r="H1181" s="89" t="n">
        <x:v>45138.459027777775</x:v>
      </x:c>
      <x:c r="I1181" s="89" t="n">
        <x:v>45138.62569444445</x:v>
      </x:c>
      <x:c r="J1181" s="84" t="str">
        <x:v>Alta</x:v>
      </x:c>
      <x:c r="K1181" s="84" t="str">
        <x:v>Encerrada</x:v>
      </x:c>
      <x:c r="L1181" s="84" t="str">
        <x:v>Baixa pressão</x:v>
      </x:c>
      <x:c r="M1181" s="84" t="str">
        <x:v>Desgaste natural</x:v>
      </x:c>
      <x:c r="N1181" s="84" t="str">
        <x:v>Componente ajustado ou substituído</x:v>
      </x:c>
      <x:c r="O1181" s="84" t="n">
        <x:v>0</x:v>
      </x:c>
      <x:c r="P1181" s="93" t="n">
        <x:v>294.35</x:v>
      </x:c>
      <x:c r="Q1181" s="93" t="n">
        <x:v>0</x:v>
      </x:c>
      <x:c r="R1181" s="91" t="n">
        <x:v>0</x:v>
      </x:c>
    </x:row>
    <x:row r="1182">
      <x:c r="A1182" s="83" t="n">
        <x:v>1181</x:v>
      </x:c>
      <x:c r="B1182" s="84" t="str">
        <x:v>OS-2023-01181</x:v>
      </x:c>
      <x:c r="C1182" s="84" t="n">
        <x:v>71</x:v>
      </x:c>
      <x:c r="D1182" s="84" t="n">
        <x:v>4</x:v>
      </x:c>
      <x:c r="E1182" s="84"/>
      <x:c r="F1182" s="89" t="n">
        <x:v>45068.99979166667</x:v>
      </x:c>
      <x:c r="G1182" s="89" t="n">
        <x:v>45080.99979166667</x:v>
      </x:c>
      <x:c r="H1182" s="89" t="n">
        <x:v>45071.208125</x:v>
      </x:c>
      <x:c r="I1182" s="89" t="n">
        <x:v>45071.79145833333</x:v>
      </x:c>
      <x:c r="J1182" s="84" t="str">
        <x:v>Crítica</x:v>
      </x:c>
      <x:c r="K1182" s="84" t="str">
        <x:v>Concluída</x:v>
      </x:c>
      <x:c r="L1182" s="84" t="str">
        <x:v>Ruído anormal</x:v>
      </x:c>
      <x:c r="M1182" s="84" t="str">
        <x:v>Ajuste incorreto</x:v>
      </x:c>
      <x:c r="N1182" s="84" t="str">
        <x:v>Componente ajustado ou substituído</x:v>
      </x:c>
      <x:c r="O1182" s="84" t="n">
        <x:v>0</x:v>
      </x:c>
      <x:c r="P1182" s="93" t="n">
        <x:v>316.02</x:v>
      </x:c>
      <x:c r="Q1182" s="93" t="n">
        <x:v>2358.12</x:v>
      </x:c>
      <x:c r="R1182" s="91" t="n">
        <x:v>0</x:v>
      </x:c>
    </x:row>
    <x:row r="1183">
      <x:c r="A1183" s="83" t="n">
        <x:v>1182</x:v>
      </x:c>
      <x:c r="B1183" s="84" t="str">
        <x:v>OS-2023-01182</x:v>
      </x:c>
      <x:c r="C1183" s="84" t="n">
        <x:v>35</x:v>
      </x:c>
      <x:c r="D1183" s="84" t="n">
        <x:v>1</x:v>
      </x:c>
      <x:c r="E1183" s="84" t="n">
        <x:v>70</x:v>
      </x:c>
      <x:c r="F1183" s="89" t="n">
        <x:v>45241.3822337963</x:v>
      </x:c>
      <x:c r="G1183" s="89" t="n">
        <x:v>45251.3822337963</x:v>
      </x:c>
      <x:c r="H1183" s="89" t="n">
        <x:v>45243.2572337963</x:v>
      </x:c>
      <x:c r="I1183" s="89"/>
      <x:c r="J1183" s="84" t="str">
        <x:v>Baixa</x:v>
      </x:c>
      <x:c r="K1183" s="84" t="str">
        <x:v>Em execução</x:v>
      </x:c>
      <x:c r="L1183" s="84" t="str">
        <x:v>Desalinhamento</x:v>
      </x:c>
      <x:c r="M1183" s="84" t="str">
        <x:v>Componente danificado</x:v>
      </x:c>
      <x:c r="N1183" s="84"/>
      <x:c r="O1183" s="84" t="n">
        <x:v>0</x:v>
      </x:c>
      <x:c r="P1183" s="93" t="n">
        <x:v>355.29</x:v>
      </x:c>
      <x:c r="Q1183" s="93" t="n">
        <x:v>8093.05</x:v>
      </x:c>
      <x:c r="R1183" s="91" t="n">
        <x:v>0</x:v>
      </x:c>
    </x:row>
    <x:row r="1184">
      <x:c r="A1184" s="83" t="n">
        <x:v>1183</x:v>
      </x:c>
      <x:c r="B1184" s="84" t="str">
        <x:v>OS-2023-01183</x:v>
      </x:c>
      <x:c r="C1184" s="84" t="n">
        <x:v>43</x:v>
      </x:c>
      <x:c r="D1184" s="84" t="n">
        <x:v>9</x:v>
      </x:c>
      <x:c r="E1184" s="84"/>
      <x:c r="F1184" s="89" t="n">
        <x:v>45224.060844907406</x:v>
      </x:c>
      <x:c r="G1184" s="89" t="n">
        <x:v>45233.060844907406</x:v>
      </x:c>
      <x:c r="H1184" s="89"/>
      <x:c r="I1184" s="89"/>
      <x:c r="J1184" s="84" t="str">
        <x:v>Média</x:v>
      </x:c>
      <x:c r="K1184" s="84" t="str">
        <x:v>Cancelada</x:v>
      </x:c>
      <x:c r="L1184" s="84" t="str">
        <x:v>Vazamento</x:v>
      </x:c>
      <x:c r="M1184" s="84"/>
      <x:c r="N1184" s="84"/>
      <x:c r="O1184" s="84" t="n">
        <x:v>0</x:v>
      </x:c>
      <x:c r="P1184" s="93" t="n">
        <x:v>0</x:v>
      </x:c>
      <x:c r="Q1184" s="93" t="n">
        <x:v>0</x:v>
      </x:c>
      <x:c r="R1184" s="91" t="n">
        <x:v>0</x:v>
      </x:c>
    </x:row>
    <x:row r="1185">
      <x:c r="A1185" s="83" t="n">
        <x:v>1184</x:v>
      </x:c>
      <x:c r="B1185" s="84" t="str">
        <x:v>OS-2025-01184</x:v>
      </x:c>
      <x:c r="C1185" s="84" t="n">
        <x:v>7</x:v>
      </x:c>
      <x:c r="D1185" s="84" t="n">
        <x:v>8</x:v>
      </x:c>
      <x:c r="E1185" s="84"/>
      <x:c r="F1185" s="89" t="n">
        <x:v>45786.79158564815</x:v>
      </x:c>
      <x:c r="G1185" s="89" t="n">
        <x:v>45790.79158564815</x:v>
      </x:c>
      <x:c r="H1185" s="89" t="n">
        <x:v>45788.83325231481</x:v>
      </x:c>
      <x:c r="I1185" s="89"/>
      <x:c r="J1185" s="84" t="str">
        <x:v>Média</x:v>
      </x:c>
      <x:c r="K1185" s="84" t="str">
        <x:v>Em execução</x:v>
      </x:c>
      <x:c r="L1185" s="84" t="str">
        <x:v>Alarme intermitente</x:v>
      </x:c>
      <x:c r="M1185" s="84" t="str">
        <x:v>Componente danificado</x:v>
      </x:c>
      <x:c r="N1185" s="84"/>
      <x:c r="O1185" s="84" t="n">
        <x:v>0</x:v>
      </x:c>
      <x:c r="P1185" s="93" t="n">
        <x:v>828.28</x:v>
      </x:c>
      <x:c r="Q1185" s="93" t="n">
        <x:v>2364.04</x:v>
      </x:c>
      <x:c r="R1185" s="91" t="n">
        <x:v>0</x:v>
      </x:c>
    </x:row>
    <x:row r="1186">
      <x:c r="A1186" s="83" t="n">
        <x:v>1185</x:v>
      </x:c>
      <x:c r="B1186" s="84" t="str">
        <x:v>OS-2024-01185</x:v>
      </x:c>
      <x:c r="C1186" s="84" t="n">
        <x:v>35</x:v>
      </x:c>
      <x:c r="D1186" s="84" t="n">
        <x:v>1</x:v>
      </x:c>
      <x:c r="E1186" s="84" t="n">
        <x:v>69</x:v>
      </x:c>
      <x:c r="F1186" s="89" t="n">
        <x:v>45427.640648148146</x:v>
      </x:c>
      <x:c r="G1186" s="89" t="n">
        <x:v>45427.640648148146</x:v>
      </x:c>
      <x:c r="H1186" s="89" t="n">
        <x:v>45429.47398148148</x:v>
      </x:c>
      <x:c r="I1186" s="89" t="n">
        <x:v>45430.09898148148</x:v>
      </x:c>
      <x:c r="J1186" s="84" t="str">
        <x:v>Crítica</x:v>
      </x:c>
      <x:c r="K1186" s="84" t="str">
        <x:v>Encerrada</x:v>
      </x:c>
      <x:c r="L1186" s="84" t="str">
        <x:v>Superaquecimento</x:v>
      </x:c>
      <x:c r="M1186" s="84" t="str">
        <x:v>Componente danificado</x:v>
      </x:c>
      <x:c r="N1186" s="84" t="str">
        <x:v>Componente ajustado ou substituído</x:v>
      </x:c>
      <x:c r="O1186" s="84" t="n">
        <x:v>0</x:v>
      </x:c>
      <x:c r="P1186" s="93" t="n">
        <x:v>891.98</x:v>
      </x:c>
      <x:c r="Q1186" s="93" t="n">
        <x:v>8026.22</x:v>
      </x:c>
      <x:c r="R1186" s="91" t="n">
        <x:v>0</x:v>
      </x:c>
    </x:row>
    <x:row r="1187">
      <x:c r="A1187" s="83" t="n">
        <x:v>1186</x:v>
      </x:c>
      <x:c r="B1187" s="84" t="str">
        <x:v>OS-2025-01186</x:v>
      </x:c>
      <x:c r="C1187" s="84" t="n">
        <x:v>22</x:v>
      </x:c>
      <x:c r="D1187" s="84" t="n">
        <x:v>1</x:v>
      </x:c>
      <x:c r="E1187" s="84" t="n">
        <x:v>44</x:v>
      </x:c>
      <x:c r="F1187" s="89" t="n">
        <x:v>45991.06013888889</x:v>
      </x:c>
      <x:c r="G1187" s="89" t="n">
        <x:v>45994.06013888889</x:v>
      </x:c>
      <x:c r="H1187" s="89" t="n">
        <x:v>45992.101805555554</x:v>
      </x:c>
      <x:c r="I1187" s="89" t="n">
        <x:v>45992.18513888889</x:v>
      </x:c>
      <x:c r="J1187" s="84" t="str">
        <x:v>Baixa</x:v>
      </x:c>
      <x:c r="K1187" s="84" t="str">
        <x:v>Encerrada</x:v>
      </x:c>
      <x:c r="L1187" s="84" t="str">
        <x:v>Vazamento</x:v>
      </x:c>
      <x:c r="M1187" s="84" t="str">
        <x:v>Falta de lubrificação</x:v>
      </x:c>
      <x:c r="N1187" s="84" t="str">
        <x:v>Componente ajustado ou substituído</x:v>
      </x:c>
      <x:c r="O1187" s="84" t="n">
        <x:v>0</x:v>
      </x:c>
      <x:c r="P1187" s="93" t="n">
        <x:v>452.08</x:v>
      </x:c>
      <x:c r="Q1187" s="93" t="n">
        <x:v>0</x:v>
      </x:c>
      <x:c r="R1187" s="91" t="n">
        <x:v>0</x:v>
      </x:c>
    </x:row>
    <x:row r="1188">
      <x:c r="A1188" s="83" t="n">
        <x:v>1187</x:v>
      </x:c>
      <x:c r="B1188" s="84" t="str">
        <x:v>OS-2025-01187</x:v>
      </x:c>
      <x:c r="C1188" s="84" t="n">
        <x:v>4</x:v>
      </x:c>
      <x:c r="D1188" s="84" t="n">
        <x:v>9</x:v>
      </x:c>
      <x:c r="E1188" s="84"/>
      <x:c r="F1188" s="89" t="n">
        <x:v>45735.74074074074</x:v>
      </x:c>
      <x:c r="G1188" s="89" t="n">
        <x:v>45736.74074074074</x:v>
      </x:c>
      <x:c r="H1188" s="89" t="n">
        <x:v>45736.82407407407</x:v>
      </x:c>
      <x:c r="I1188" s="89" t="n">
        <x:v>45737.28240740741</x:v>
      </x:c>
      <x:c r="J1188" s="84" t="str">
        <x:v>Baixa</x:v>
      </x:c>
      <x:c r="K1188" s="84" t="str">
        <x:v>Encerrada</x:v>
      </x:c>
      <x:c r="L1188" s="84" t="str">
        <x:v>Falha elétrica</x:v>
      </x:c>
      <x:c r="M1188" s="84" t="str">
        <x:v>Falta de lubrificação</x:v>
      </x:c>
      <x:c r="N1188" s="84" t="str">
        <x:v>Componente ajustado ou substituído</x:v>
      </x:c>
      <x:c r="O1188" s="84" t="n">
        <x:v>0</x:v>
      </x:c>
      <x:c r="P1188" s="93" t="n">
        <x:v>346.51</x:v>
      </x:c>
      <x:c r="Q1188" s="93" t="n">
        <x:v>1813.25</x:v>
      </x:c>
      <x:c r="R1188" s="91" t="n">
        <x:v>0</x:v>
      </x:c>
    </x:row>
    <x:row r="1189">
      <x:c r="A1189" s="83" t="n">
        <x:v>1188</x:v>
      </x:c>
      <x:c r="B1189" s="84" t="str">
        <x:v>OS-2023-01188</x:v>
      </x:c>
      <x:c r="C1189" s="84" t="n">
        <x:v>13</x:v>
      </x:c>
      <x:c r="D1189" s="84" t="n">
        <x:v>6</x:v>
      </x:c>
      <x:c r="E1189" s="84"/>
      <x:c r="F1189" s="89" t="n">
        <x:v>45060.422372685185</x:v>
      </x:c>
      <x:c r="G1189" s="89" t="n">
        <x:v>45071.422372685185</x:v>
      </x:c>
      <x:c r="H1189" s="89" t="n">
        <x:v>45062.08903935185</x:v>
      </x:c>
      <x:c r="I1189" s="89" t="n">
        <x:v>45062.547372685185</x:v>
      </x:c>
      <x:c r="J1189" s="84" t="str">
        <x:v>Média</x:v>
      </x:c>
      <x:c r="K1189" s="84" t="str">
        <x:v>Encerrada</x:v>
      </x:c>
      <x:c r="L1189" s="84" t="str">
        <x:v>Desalinhamento</x:v>
      </x:c>
      <x:c r="M1189" s="84" t="str">
        <x:v>Componente danificado</x:v>
      </x:c>
      <x:c r="N1189" s="84" t="str">
        <x:v>Componente ajustado ou substituído</x:v>
      </x:c>
      <x:c r="O1189" s="84" t="n">
        <x:v>0</x:v>
      </x:c>
      <x:c r="P1189" s="93" t="n">
        <x:v>575.01</x:v>
      </x:c>
      <x:c r="Q1189" s="93" t="n">
        <x:v>0</x:v>
      </x:c>
      <x:c r="R1189" s="91" t="n">
        <x:v>0</x:v>
      </x:c>
    </x:row>
    <x:row r="1190">
      <x:c r="A1190" s="83" t="n">
        <x:v>1189</x:v>
      </x:c>
      <x:c r="B1190" s="84" t="str">
        <x:v>OS-2024-01189</x:v>
      </x:c>
      <x:c r="C1190" s="84" t="n">
        <x:v>86</x:v>
      </x:c>
      <x:c r="D1190" s="84" t="n">
        <x:v>3</x:v>
      </x:c>
      <x:c r="E1190" s="84"/>
      <x:c r="F1190" s="89" t="n">
        <x:v>45501.46488425926</x:v>
      </x:c>
      <x:c r="G1190" s="89"/>
      <x:c r="H1190" s="89"/>
      <x:c r="I1190" s="89"/>
      <x:c r="J1190" s="84" t="str">
        <x:v>Crítica</x:v>
      </x:c>
      <x:c r="K1190" s="84" t="str">
        <x:v>Planejada</x:v>
      </x:c>
      <x:c r="L1190" s="84" t="str">
        <x:v>Desalinhamento</x:v>
      </x:c>
      <x:c r="M1190" s="84"/>
      <x:c r="N1190" s="84"/>
      <x:c r="O1190" s="84" t="n">
        <x:v>0</x:v>
      </x:c>
      <x:c r="P1190" s="93" t="n">
        <x:v>0</x:v>
      </x:c>
      <x:c r="Q1190" s="93" t="n">
        <x:v>0</x:v>
      </x:c>
      <x:c r="R1190" s="91" t="n">
        <x:v>0</x:v>
      </x:c>
    </x:row>
    <x:row r="1191">
      <x:c r="A1191" s="83" t="n">
        <x:v>1190</x:v>
      </x:c>
      <x:c r="B1191" s="84" t="str">
        <x:v>OS-2025-01190</x:v>
      </x:c>
      <x:c r="C1191" s="84" t="n">
        <x:v>51</x:v>
      </x:c>
      <x:c r="D1191" s="84" t="n">
        <x:v>6</x:v>
      </x:c>
      <x:c r="E1191" s="84"/>
      <x:c r="F1191" s="89" t="n">
        <x:v>45799.224178240744</x:v>
      </x:c>
      <x:c r="G1191" s="89" t="n">
        <x:v>45809.224178240744</x:v>
      </x:c>
      <x:c r="H1191" s="89" t="n">
        <x:v>45801.099178240744</x:v>
      </x:c>
      <x:c r="I1191" s="89" t="n">
        <x:v>45801.224178240744</x:v>
      </x:c>
      <x:c r="J1191" s="84" t="str">
        <x:v>Alta</x:v>
      </x:c>
      <x:c r="K1191" s="84" t="str">
        <x:v>Concluída</x:v>
      </x:c>
      <x:c r="L1191" s="84" t="str">
        <x:v>Vazamento</x:v>
      </x:c>
      <x:c r="M1191" s="84" t="str">
        <x:v>Contaminação</x:v>
      </x:c>
      <x:c r="N1191" s="84" t="str">
        <x:v>Componente ajustado ou substituído</x:v>
      </x:c>
      <x:c r="O1191" s="84" t="n">
        <x:v>0</x:v>
      </x:c>
      <x:c r="P1191" s="93" t="n">
        <x:v>339.41</x:v>
      </x:c>
      <x:c r="Q1191" s="93" t="n">
        <x:v>6046.96</x:v>
      </x:c>
      <x:c r="R1191" s="91" t="n">
        <x:v>0</x:v>
      </x:c>
    </x:row>
    <x:row r="1192">
      <x:c r="A1192" s="83" t="n">
        <x:v>1191</x:v>
      </x:c>
      <x:c r="B1192" s="84" t="str">
        <x:v>OS-2024-01191</x:v>
      </x:c>
      <x:c r="C1192" s="84" t="n">
        <x:v>4</x:v>
      </x:c>
      <x:c r="D1192" s="84" t="n">
        <x:v>6</x:v>
      </x:c>
      <x:c r="E1192" s="84"/>
      <x:c r="F1192" s="89" t="n">
        <x:v>45473.839155092595</x:v>
      </x:c>
      <x:c r="G1192" s="89" t="n">
        <x:v>45477.839155092595</x:v>
      </x:c>
      <x:c r="H1192" s="89" t="n">
        <x:v>45476.25582175926</x:v>
      </x:c>
      <x:c r="I1192" s="89" t="n">
        <x:v>45476.964155092595</x:v>
      </x:c>
      <x:c r="J1192" s="84" t="str">
        <x:v>Alta</x:v>
      </x:c>
      <x:c r="K1192" s="84" t="str">
        <x:v>Encerrada</x:v>
      </x:c>
      <x:c r="L1192" s="84" t="str">
        <x:v>Baixa pressão</x:v>
      </x:c>
      <x:c r="M1192" s="84" t="str">
        <x:v>Desgaste natural</x:v>
      </x:c>
      <x:c r="N1192" s="84" t="str">
        <x:v>Componente ajustado ou substituído</x:v>
      </x:c>
      <x:c r="O1192" s="84" t="n">
        <x:v>0</x:v>
      </x:c>
      <x:c r="P1192" s="93" t="n">
        <x:v>361.62</x:v>
      </x:c>
      <x:c r="Q1192" s="93" t="n">
        <x:v>2346.92</x:v>
      </x:c>
      <x:c r="R1192" s="91" t="n">
        <x:v>5559.2</x:v>
      </x:c>
    </x:row>
    <x:row r="1193">
      <x:c r="A1193" s="83" t="n">
        <x:v>1192</x:v>
      </x:c>
      <x:c r="B1193" s="84" t="str">
        <x:v>OS-2025-01192</x:v>
      </x:c>
      <x:c r="C1193" s="84" t="n">
        <x:v>64</x:v>
      </x:c>
      <x:c r="D1193" s="84" t="n">
        <x:v>1</x:v>
      </x:c>
      <x:c r="E1193" s="84" t="n">
        <x:v>127</x:v>
      </x:c>
      <x:c r="F1193" s="89" t="n">
        <x:v>45799.315787037034</x:v>
      </x:c>
      <x:c r="G1193" s="89" t="n">
        <x:v>45811.315787037034</x:v>
      </x:c>
      <x:c r="H1193" s="89"/>
      <x:c r="I1193" s="89"/>
      <x:c r="J1193" s="84" t="str">
        <x:v>Média</x:v>
      </x:c>
      <x:c r="K1193" s="84" t="str">
        <x:v>Cancelada</x:v>
      </x:c>
      <x:c r="L1193" s="84" t="str">
        <x:v>Vazamento</x:v>
      </x:c>
      <x:c r="M1193" s="84"/>
      <x:c r="N1193" s="84"/>
      <x:c r="O1193" s="84" t="n">
        <x:v>0</x:v>
      </x:c>
      <x:c r="P1193" s="93" t="n">
        <x:v>0</x:v>
      </x:c>
      <x:c r="Q1193" s="93" t="n">
        <x:v>0</x:v>
      </x:c>
      <x:c r="R1193" s="91" t="n">
        <x:v>0</x:v>
      </x:c>
    </x:row>
    <x:row r="1194">
      <x:c r="A1194" s="83" t="n">
        <x:v>1193</x:v>
      </x:c>
      <x:c r="B1194" s="84" t="str">
        <x:v>OS-2024-01193</x:v>
      </x:c>
      <x:c r="C1194" s="84" t="n">
        <x:v>17</x:v>
      </x:c>
      <x:c r="D1194" s="84" t="n">
        <x:v>1</x:v>
      </x:c>
      <x:c r="E1194" s="84" t="n">
        <x:v>34</x:v>
      </x:c>
      <x:c r="F1194" s="89" t="n">
        <x:v>45316.899930555555</x:v>
      </x:c>
      <x:c r="G1194" s="89" t="n">
        <x:v>45323.899930555555</x:v>
      </x:c>
      <x:c r="H1194" s="89" t="n">
        <x:v>45318.81659722222</x:v>
      </x:c>
      <x:c r="I1194" s="89" t="n">
        <x:v>45319.274930555555</x:v>
      </x:c>
      <x:c r="J1194" s="84" t="str">
        <x:v>Alta</x:v>
      </x:c>
      <x:c r="K1194" s="84" t="str">
        <x:v>Concluída</x:v>
      </x:c>
      <x:c r="L1194" s="84" t="str">
        <x:v>Superaquecimento</x:v>
      </x:c>
      <x:c r="M1194" s="84" t="str">
        <x:v>Conexão frouxa</x:v>
      </x:c>
      <x:c r="N1194" s="84" t="str">
        <x:v>Componente ajustado ou substituído</x:v>
      </x:c>
      <x:c r="O1194" s="84" t="n">
        <x:v>0</x:v>
      </x:c>
      <x:c r="P1194" s="93" t="n">
        <x:v>449</x:v>
      </x:c>
      <x:c r="Q1194" s="93" t="n">
        <x:v>10700.42</x:v>
      </x:c>
      <x:c r="R1194" s="91" t="n">
        <x:v>8770.87</x:v>
      </x:c>
    </x:row>
    <x:row r="1195">
      <x:c r="A1195" s="83" t="n">
        <x:v>1194</x:v>
      </x:c>
      <x:c r="B1195" s="84" t="str">
        <x:v>OS-2025-01194</x:v>
      </x:c>
      <x:c r="C1195" s="84" t="n">
        <x:v>65</x:v>
      </x:c>
      <x:c r="D1195" s="84" t="n">
        <x:v>4</x:v>
      </x:c>
      <x:c r="E1195" s="84"/>
      <x:c r="F1195" s="89" t="n">
        <x:v>45925.351481481484</x:v>
      </x:c>
      <x:c r="G1195" s="89" t="n">
        <x:v>45934.351481481484</x:v>
      </x:c>
      <x:c r="H1195" s="89" t="n">
        <x:v>45927.76814814815</x:v>
      </x:c>
      <x:c r="I1195" s="89" t="n">
        <x:v>45927.89314814815</x:v>
      </x:c>
      <x:c r="J1195" s="84" t="str">
        <x:v>Alta</x:v>
      </x:c>
      <x:c r="K1195" s="84" t="str">
        <x:v>Encerrada</x:v>
      </x:c>
      <x:c r="L1195" s="84" t="str">
        <x:v>Falha elétrica</x:v>
      </x:c>
      <x:c r="M1195" s="84" t="str">
        <x:v>Contaminação</x:v>
      </x:c>
      <x:c r="N1195" s="84" t="str">
        <x:v>Componente ajustado ou substituído</x:v>
      </x:c>
      <x:c r="O1195" s="84" t="n">
        <x:v>0</x:v>
      </x:c>
      <x:c r="P1195" s="93" t="n">
        <x:v>308.46</x:v>
      </x:c>
      <x:c r="Q1195" s="93" t="n">
        <x:v>18074.64</x:v>
      </x:c>
      <x:c r="R1195" s="91" t="n">
        <x:v>8345.39</x:v>
      </x:c>
    </x:row>
    <x:row r="1196">
      <x:c r="A1196" s="83" t="n">
        <x:v>1195</x:v>
      </x:c>
      <x:c r="B1196" s="84" t="str">
        <x:v>OS-2023-01195</x:v>
      </x:c>
      <x:c r="C1196" s="84" t="n">
        <x:v>66</x:v>
      </x:c>
      <x:c r="D1196" s="84" t="n">
        <x:v>1</x:v>
      </x:c>
      <x:c r="E1196" s="84" t="n">
        <x:v>132</x:v>
      </x:c>
      <x:c r="F1196" s="89" t="n">
        <x:v>44939.36545138889</x:v>
      </x:c>
      <x:c r="G1196" s="89" t="n">
        <x:v>44948.36545138889</x:v>
      </x:c>
      <x:c r="H1196" s="89" t="n">
        <x:v>44941.32378472222</x:v>
      </x:c>
      <x:c r="I1196" s="89"/>
      <x:c r="J1196" s="84" t="str">
        <x:v>Crítica</x:v>
      </x:c>
      <x:c r="K1196" s="84" t="str">
        <x:v>Em execução</x:v>
      </x:c>
      <x:c r="L1196" s="84" t="str">
        <x:v>Ruído anormal</x:v>
      </x:c>
      <x:c r="M1196" s="84" t="str">
        <x:v>Ajuste incorreto</x:v>
      </x:c>
      <x:c r="N1196" s="84"/>
      <x:c r="O1196" s="84" t="n">
        <x:v>0</x:v>
      </x:c>
      <x:c r="P1196" s="93" t="n">
        <x:v>574.37</x:v>
      </x:c>
      <x:c r="Q1196" s="93" t="n">
        <x:v>11739.48</x:v>
      </x:c>
      <x:c r="R1196" s="91" t="n">
        <x:v>0</x:v>
      </x:c>
    </x:row>
    <x:row r="1197">
      <x:c r="A1197" s="83" t="n">
        <x:v>1196</x:v>
      </x:c>
      <x:c r="B1197" s="84" t="str">
        <x:v>OS-2024-01196</x:v>
      </x:c>
      <x:c r="C1197" s="84" t="n">
        <x:v>67</x:v>
      </x:c>
      <x:c r="D1197" s="84" t="n">
        <x:v>2</x:v>
      </x:c>
      <x:c r="E1197" s="84"/>
      <x:c r="F1197" s="89" t="n">
        <x:v>45647.05125</x:v>
      </x:c>
      <x:c r="G1197" s="89" t="n">
        <x:v>45653.05125</x:v>
      </x:c>
      <x:c r="H1197" s="89" t="n">
        <x:v>45648.17625</x:v>
      </x:c>
      <x:c r="I1197" s="89" t="n">
        <x:v>45648.25958333333</x:v>
      </x:c>
      <x:c r="J1197" s="84" t="str">
        <x:v>Baixa</x:v>
      </x:c>
      <x:c r="K1197" s="84" t="str">
        <x:v>Encerrada</x:v>
      </x:c>
      <x:c r="L1197" s="84" t="str">
        <x:v>Baixa pressão</x:v>
      </x:c>
      <x:c r="M1197" s="84" t="str">
        <x:v>Desgaste natural</x:v>
      </x:c>
      <x:c r="N1197" s="84" t="str">
        <x:v>Componente ajustado ou substituído</x:v>
      </x:c>
      <x:c r="O1197" s="84" t="n">
        <x:v>0</x:v>
      </x:c>
      <x:c r="P1197" s="93" t="n">
        <x:v>364.01</x:v>
      </x:c>
      <x:c r="Q1197" s="93" t="n">
        <x:v>9072.56</x:v>
      </x:c>
      <x:c r="R1197" s="91" t="n">
        <x:v>0</x:v>
      </x:c>
    </x:row>
    <x:row r="1198">
      <x:c r="A1198" s="83" t="n">
        <x:v>1197</x:v>
      </x:c>
      <x:c r="B1198" s="84" t="str">
        <x:v>OS-2023-01197</x:v>
      </x:c>
      <x:c r="C1198" s="84" t="n">
        <x:v>85</x:v>
      </x:c>
      <x:c r="D1198" s="84" t="n">
        <x:v>2</x:v>
      </x:c>
      <x:c r="E1198" s="84"/>
      <x:c r="F1198" s="89" t="n">
        <x:v>45066.32466435185</x:v>
      </x:c>
      <x:c r="G1198" s="89" t="n">
        <x:v>45079.32466435185</x:v>
      </x:c>
      <x:c r="H1198" s="89" t="n">
        <x:v>45067.07466435185</x:v>
      </x:c>
      <x:c r="I1198" s="89" t="n">
        <x:v>45067.32466435185</x:v>
      </x:c>
      <x:c r="J1198" s="84" t="str">
        <x:v>Média</x:v>
      </x:c>
      <x:c r="K1198" s="84" t="str">
        <x:v>Encerrada</x:v>
      </x:c>
      <x:c r="L1198" s="84" t="str">
        <x:v>Vazamento</x:v>
      </x:c>
      <x:c r="M1198" s="84" t="str">
        <x:v>Desgaste natural</x:v>
      </x:c>
      <x:c r="N1198" s="84" t="str">
        <x:v>Componente ajustado ou substituído</x:v>
      </x:c>
      <x:c r="O1198" s="84" t="n">
        <x:v>0</x:v>
      </x:c>
      <x:c r="P1198" s="93" t="n">
        <x:v>139.4</x:v>
      </x:c>
      <x:c r="Q1198" s="93" t="n">
        <x:v>4422.52</x:v>
      </x:c>
      <x:c r="R1198" s="91" t="n">
        <x:v>1083.27</x:v>
      </x:c>
    </x:row>
    <x:row r="1199">
      <x:c r="A1199" s="83" t="n">
        <x:v>1198</x:v>
      </x:c>
      <x:c r="B1199" s="84" t="str">
        <x:v>OS-2023-01198</x:v>
      </x:c>
      <x:c r="C1199" s="84" t="n">
        <x:v>89</x:v>
      </x:c>
      <x:c r="D1199" s="84" t="n">
        <x:v>6</x:v>
      </x:c>
      <x:c r="E1199" s="84"/>
      <x:c r="F1199" s="89" t="n">
        <x:v>45232.27174768518</x:v>
      </x:c>
      <x:c r="G1199" s="89" t="n">
        <x:v>45241.27174768518</x:v>
      </x:c>
      <x:c r="H1199" s="89"/>
      <x:c r="I1199" s="89"/>
      <x:c r="J1199" s="84" t="str">
        <x:v>Baixa</x:v>
      </x:c>
      <x:c r="K1199" s="84" t="str">
        <x:v>Cancelada</x:v>
      </x:c>
      <x:c r="L1199" s="84" t="str">
        <x:v>Vazamento</x:v>
      </x:c>
      <x:c r="M1199" s="84"/>
      <x:c r="N1199" s="84"/>
      <x:c r="O1199" s="84" t="n">
        <x:v>0</x:v>
      </x:c>
      <x:c r="P1199" s="93" t="n">
        <x:v>0</x:v>
      </x:c>
      <x:c r="Q1199" s="93" t="n">
        <x:v>0</x:v>
      </x:c>
      <x:c r="R1199" s="91" t="n">
        <x:v>0</x:v>
      </x:c>
    </x:row>
    <x:row r="1200">
      <x:c r="A1200" s="83" t="n">
        <x:v>1199</x:v>
      </x:c>
      <x:c r="B1200" s="84" t="str">
        <x:v>OS-2025-01199</x:v>
      </x:c>
      <x:c r="C1200" s="84" t="n">
        <x:v>34</x:v>
      </x:c>
      <x:c r="D1200" s="84" t="n">
        <x:v>8</x:v>
      </x:c>
      <x:c r="E1200" s="84"/>
      <x:c r="F1200" s="89" t="n">
        <x:v>45821.4453587963</x:v>
      </x:c>
      <x:c r="G1200" s="89" t="n">
        <x:v>45823.4453587963</x:v>
      </x:c>
      <x:c r="H1200" s="89" t="n">
        <x:v>45821.737025462964</x:v>
      </x:c>
      <x:c r="I1200" s="89" t="n">
        <x:v>45821.862025462964</x:v>
      </x:c>
      <x:c r="J1200" s="84" t="str">
        <x:v>Baixa</x:v>
      </x:c>
      <x:c r="K1200" s="84" t="str">
        <x:v>Encerrada</x:v>
      </x:c>
      <x:c r="L1200" s="84" t="str">
        <x:v>Ruído anormal</x:v>
      </x:c>
      <x:c r="M1200" s="84" t="str">
        <x:v>Desgaste natural</x:v>
      </x:c>
      <x:c r="N1200" s="84" t="str">
        <x:v>Componente ajustado ou substituído</x:v>
      </x:c>
      <x:c r="O1200" s="84" t="n">
        <x:v>0</x:v>
      </x:c>
      <x:c r="P1200" s="93" t="n">
        <x:v>88.09</x:v>
      </x:c>
      <x:c r="Q1200" s="93" t="n">
        <x:v>1925.62</x:v>
      </x:c>
      <x:c r="R1200" s="91" t="n">
        <x:v>7494.58</x:v>
      </x:c>
    </x:row>
    <x:row r="1201">
      <x:c r="A1201" s="83" t="n">
        <x:v>1200</x:v>
      </x:c>
      <x:c r="B1201" s="84" t="str">
        <x:v>OS-2025-01200</x:v>
      </x:c>
      <x:c r="C1201" s="84" t="n">
        <x:v>17</x:v>
      </x:c>
      <x:c r="D1201" s="84" t="n">
        <x:v>7</x:v>
      </x:c>
      <x:c r="E1201" s="84" t="n">
        <x:v>33</x:v>
      </x:c>
      <x:c r="F1201" s="89" t="n">
        <x:v>45890.962233796294</x:v>
      </x:c>
      <x:c r="G1201" s="89" t="n">
        <x:v>45894.962233796294</x:v>
      </x:c>
      <x:c r="H1201" s="89" t="n">
        <x:v>45891.962233796294</x:v>
      </x:c>
      <x:c r="I1201" s="89" t="n">
        <x:v>45892.003900462965</x:v>
      </x:c>
      <x:c r="J1201" s="84" t="str">
        <x:v>Baixa</x:v>
      </x:c>
      <x:c r="K1201" s="84" t="str">
        <x:v>Encerrada</x:v>
      </x:c>
      <x:c r="L1201" s="84" t="str">
        <x:v>Baixa pressão</x:v>
      </x:c>
      <x:c r="M1201" s="84" t="str">
        <x:v>Contaminação</x:v>
      </x:c>
      <x:c r="N1201" s="84" t="str">
        <x:v>Componente ajustado ou substituído</x:v>
      </x:c>
      <x:c r="O1201" s="84" t="n">
        <x:v>0</x:v>
      </x:c>
      <x:c r="P1201" s="93" t="n">
        <x:v>551.66</x:v>
      </x:c>
      <x:c r="Q1201" s="93" t="n">
        <x:v>1033.71</x:v>
      </x:c>
      <x:c r="R1201" s="91" t="n">
        <x:v>0</x:v>
      </x:c>
    </x:row>
    <x:row r="1202">
      <x:c r="A1202" s="83" t="n">
        <x:v>1201</x:v>
      </x:c>
      <x:c r="B1202" s="84" t="str">
        <x:v>OS-2023-01201</x:v>
      </x:c>
      <x:c r="C1202" s="84" t="n">
        <x:v>41</x:v>
      </x:c>
      <x:c r="D1202" s="84" t="n">
        <x:v>1</x:v>
      </x:c>
      <x:c r="E1202" s="84" t="n">
        <x:v>81</x:v>
      </x:c>
      <x:c r="F1202" s="89" t="n">
        <x:v>45050.58048611111</x:v>
      </x:c>
      <x:c r="G1202" s="89" t="n">
        <x:v>45058.58048611111</x:v>
      </x:c>
      <x:c r="H1202" s="89" t="n">
        <x:v>45050.83048611111</x:v>
      </x:c>
      <x:c r="I1202" s="89" t="n">
        <x:v>45051.58048611111</x:v>
      </x:c>
      <x:c r="J1202" s="84" t="str">
        <x:v>Crítica</x:v>
      </x:c>
      <x:c r="K1202" s="84" t="str">
        <x:v>Concluída</x:v>
      </x:c>
      <x:c r="L1202" s="84" t="str">
        <x:v>Superaquecimento</x:v>
      </x:c>
      <x:c r="M1202" s="84" t="str">
        <x:v>Ajuste incorreto</x:v>
      </x:c>
      <x:c r="N1202" s="84" t="str">
        <x:v>Componente ajustado ou substituído</x:v>
      </x:c>
      <x:c r="O1202" s="84" t="n">
        <x:v>0</x:v>
      </x:c>
      <x:c r="P1202" s="93" t="n">
        <x:v>94.91</x:v>
      </x:c>
      <x:c r="Q1202" s="93" t="n">
        <x:v>2425.13</x:v>
      </x:c>
      <x:c r="R1202" s="91" t="n">
        <x:v>0</x:v>
      </x:c>
    </x:row>
    <x:row r="1203">
      <x:c r="A1203" s="83" t="n">
        <x:v>1202</x:v>
      </x:c>
      <x:c r="B1203" s="84" t="str">
        <x:v>OS-2023-01202</x:v>
      </x:c>
      <x:c r="C1203" s="84" t="n">
        <x:v>87</x:v>
      </x:c>
      <x:c r="D1203" s="84" t="n">
        <x:v>1</x:v>
      </x:c>
      <x:c r="E1203" s="84" t="n">
        <x:v>173</x:v>
      </x:c>
      <x:c r="F1203" s="89" t="n">
        <x:v>45259.729108796295</x:v>
      </x:c>
      <x:c r="G1203" s="89" t="n">
        <x:v>45268.729108796295</x:v>
      </x:c>
      <x:c r="H1203" s="89"/>
      <x:c r="I1203" s="89"/>
      <x:c r="J1203" s="84" t="str">
        <x:v>Baixa</x:v>
      </x:c>
      <x:c r="K1203" s="84" t="str">
        <x:v>Planejada</x:v>
      </x:c>
      <x:c r="L1203" s="84" t="str">
        <x:v>Vazamento</x:v>
      </x:c>
      <x:c r="M1203" s="84"/>
      <x:c r="N1203" s="84"/>
      <x:c r="O1203" s="84" t="n">
        <x:v>0</x:v>
      </x:c>
      <x:c r="P1203" s="93" t="n">
        <x:v>0</x:v>
      </x:c>
      <x:c r="Q1203" s="93" t="n">
        <x:v>0</x:v>
      </x:c>
      <x:c r="R1203" s="91" t="n">
        <x:v>0</x:v>
      </x:c>
    </x:row>
    <x:row r="1204">
      <x:c r="A1204" s="83" t="n">
        <x:v>1203</x:v>
      </x:c>
      <x:c r="B1204" s="84" t="str">
        <x:v>OS-2025-01203</x:v>
      </x:c>
      <x:c r="C1204" s="84" t="n">
        <x:v>9</x:v>
      </x:c>
      <x:c r="D1204" s="84" t="n">
        <x:v>3</x:v>
      </x:c>
      <x:c r="E1204" s="84"/>
      <x:c r="F1204" s="89" t="n">
        <x:v>45927.92802083334</x:v>
      </x:c>
      <x:c r="G1204" s="89"/>
      <x:c r="H1204" s="89" t="n">
        <x:v>45928.511354166665</x:v>
      </x:c>
      <x:c r="I1204" s="89" t="n">
        <x:v>45929.0946875</x:v>
      </x:c>
      <x:c r="J1204" s="84" t="str">
        <x:v>Crítica</x:v>
      </x:c>
      <x:c r="K1204" s="84" t="str">
        <x:v>Concluída</x:v>
      </x:c>
      <x:c r="L1204" s="84" t="str">
        <x:v>Alarme intermitente</x:v>
      </x:c>
      <x:c r="M1204" s="84" t="str">
        <x:v>Contaminação</x:v>
      </x:c>
      <x:c r="N1204" s="84" t="str">
        <x:v>Componente ajustado ou substituído</x:v>
      </x:c>
      <x:c r="O1204" s="84" t="n">
        <x:v>0</x:v>
      </x:c>
      <x:c r="P1204" s="93" t="n">
        <x:v>132.51</x:v>
      </x:c>
      <x:c r="Q1204" s="93" t="n">
        <x:v>0</x:v>
      </x:c>
      <x:c r="R1204" s="91" t="n">
        <x:v>0</x:v>
      </x:c>
    </x:row>
    <x:row r="1205">
      <x:c r="A1205" s="83" t="n">
        <x:v>1204</x:v>
      </x:c>
      <x:c r="B1205" s="84" t="str">
        <x:v>OS-2025-01204</x:v>
      </x:c>
      <x:c r="C1205" s="84" t="n">
        <x:v>68</x:v>
      </x:c>
      <x:c r="D1205" s="84" t="n">
        <x:v>2</x:v>
      </x:c>
      <x:c r="E1205" s="84"/>
      <x:c r="F1205" s="89" t="n">
        <x:v>45746.145844907405</x:v>
      </x:c>
      <x:c r="G1205" s="89" t="n">
        <x:v>45756.145844907405</x:v>
      </x:c>
      <x:c r="H1205" s="89" t="n">
        <x:v>45747.81251157408</x:v>
      </x:c>
      <x:c r="I1205" s="89" t="n">
        <x:v>45748.270844907405</x:v>
      </x:c>
      <x:c r="J1205" s="84" t="str">
        <x:v>Alta</x:v>
      </x:c>
      <x:c r="K1205" s="84" t="str">
        <x:v>Encerrada</x:v>
      </x:c>
      <x:c r="L1205" s="84" t="str">
        <x:v>Desalinhamento</x:v>
      </x:c>
      <x:c r="M1205" s="84" t="str">
        <x:v>Desgaste natural</x:v>
      </x:c>
      <x:c r="N1205" s="84" t="str">
        <x:v>Componente ajustado ou substituído</x:v>
      </x:c>
      <x:c r="O1205" s="84" t="n">
        <x:v>0</x:v>
      </x:c>
      <x:c r="P1205" s="93" t="n">
        <x:v>582.91</x:v>
      </x:c>
      <x:c r="Q1205" s="93" t="n">
        <x:v>7137.9</x:v>
      </x:c>
      <x:c r="R1205" s="91" t="n">
        <x:v>0</x:v>
      </x:c>
    </x:row>
    <x:row r="1206">
      <x:c r="A1206" s="83" t="n">
        <x:v>1205</x:v>
      </x:c>
      <x:c r="B1206" s="84" t="str">
        <x:v>OS-2023-01205</x:v>
      </x:c>
      <x:c r="C1206" s="84" t="n">
        <x:v>29</x:v>
      </x:c>
      <x:c r="D1206" s="84" t="n">
        <x:v>2</x:v>
      </x:c>
      <x:c r="E1206" s="84"/>
      <x:c r="F1206" s="89" t="n">
        <x:v>45140.104212962964</x:v>
      </x:c>
      <x:c r="G1206" s="89" t="n">
        <x:v>45144.104212962964</x:v>
      </x:c>
      <x:c r="H1206" s="89"/>
      <x:c r="I1206" s="89"/>
      <x:c r="J1206" s="84" t="str">
        <x:v>Baixa</x:v>
      </x:c>
      <x:c r="K1206" s="84" t="str">
        <x:v>Planejada</x:v>
      </x:c>
      <x:c r="L1206" s="84" t="str">
        <x:v>Falha elétrica</x:v>
      </x:c>
      <x:c r="M1206" s="84"/>
      <x:c r="N1206" s="84"/>
      <x:c r="O1206" s="84" t="n">
        <x:v>0</x:v>
      </x:c>
      <x:c r="P1206" s="93" t="n">
        <x:v>0</x:v>
      </x:c>
      <x:c r="Q1206" s="93" t="n">
        <x:v>0</x:v>
      </x:c>
      <x:c r="R1206" s="91" t="n">
        <x:v>0</x:v>
      </x:c>
    </x:row>
    <x:row r="1207">
      <x:c r="A1207" s="83" t="n">
        <x:v>1206</x:v>
      </x:c>
      <x:c r="B1207" s="84" t="str">
        <x:v>OS-2024-01206</x:v>
      </x:c>
      <x:c r="C1207" s="84" t="n">
        <x:v>16</x:v>
      </x:c>
      <x:c r="D1207" s="84" t="n">
        <x:v>7</x:v>
      </x:c>
      <x:c r="E1207" s="84" t="n">
        <x:v>32</x:v>
      </x:c>
      <x:c r="F1207" s="89" t="n">
        <x:v>45506.25136574074</x:v>
      </x:c>
      <x:c r="G1207" s="89" t="n">
        <x:v>45510.25136574074</x:v>
      </x:c>
      <x:c r="H1207" s="89" t="n">
        <x:v>45508.918032407404</x:v>
      </x:c>
      <x:c r="I1207" s="89" t="n">
        <x:v>45509.334699074076</x:v>
      </x:c>
      <x:c r="J1207" s="84" t="str">
        <x:v>Baixa</x:v>
      </x:c>
      <x:c r="K1207" s="84" t="str">
        <x:v>Encerrada</x:v>
      </x:c>
      <x:c r="L1207" s="84" t="str">
        <x:v>Baixa pressão</x:v>
      </x:c>
      <x:c r="M1207" s="84" t="str">
        <x:v>Conexão frouxa</x:v>
      </x:c>
      <x:c r="N1207" s="84" t="str">
        <x:v>Componente ajustado ou substituído</x:v>
      </x:c>
      <x:c r="O1207" s="84" t="n">
        <x:v>0</x:v>
      </x:c>
      <x:c r="P1207" s="93" t="n">
        <x:v>417.77</x:v>
      </x:c>
      <x:c r="Q1207" s="93" t="n">
        <x:v>5106.56</x:v>
      </x:c>
      <x:c r="R1207" s="91" t="n">
        <x:v>0</x:v>
      </x:c>
    </x:row>
    <x:row r="1208">
      <x:c r="A1208" s="83" t="n">
        <x:v>1207</x:v>
      </x:c>
      <x:c r="B1208" s="84" t="str">
        <x:v>OS-2025-01207</x:v>
      </x:c>
      <x:c r="C1208" s="84" t="n">
        <x:v>42</x:v>
      </x:c>
      <x:c r="D1208" s="84" t="n">
        <x:v>1</x:v>
      </x:c>
      <x:c r="E1208" s="84" t="n">
        <x:v>84</x:v>
      </x:c>
      <x:c r="F1208" s="89" t="n">
        <x:v>45985.12930555556</x:v>
      </x:c>
      <x:c r="G1208" s="89" t="n">
        <x:v>45986.12930555556</x:v>
      </x:c>
      <x:c r="H1208" s="89" t="n">
        <x:v>45985.21263888889</x:v>
      </x:c>
      <x:c r="I1208" s="89" t="n">
        <x:v>45985.37930555556</x:v>
      </x:c>
      <x:c r="J1208" s="84" t="str">
        <x:v>Média</x:v>
      </x:c>
      <x:c r="K1208" s="84" t="str">
        <x:v>Encerrada</x:v>
      </x:c>
      <x:c r="L1208" s="84" t="str">
        <x:v>Alarme intermitente</x:v>
      </x:c>
      <x:c r="M1208" s="84" t="str">
        <x:v>Ajuste incorreto</x:v>
      </x:c>
      <x:c r="N1208" s="84" t="str">
        <x:v>Componente ajustado ou substituído</x:v>
      </x:c>
      <x:c r="O1208" s="84" t="n">
        <x:v>0</x:v>
      </x:c>
      <x:c r="P1208" s="93" t="n">
        <x:v>667.79</x:v>
      </x:c>
      <x:c r="Q1208" s="93" t="n">
        <x:v>9907.83</x:v>
      </x:c>
      <x:c r="R1208" s="91" t="n">
        <x:v>4251.3</x:v>
      </x:c>
    </x:row>
    <x:row r="1209">
      <x:c r="A1209" s="83" t="n">
        <x:v>1208</x:v>
      </x:c>
      <x:c r="B1209" s="84" t="str">
        <x:v>OS-2023-01208</x:v>
      </x:c>
      <x:c r="C1209" s="84" t="n">
        <x:v>25</x:v>
      </x:c>
      <x:c r="D1209" s="84" t="n">
        <x:v>3</x:v>
      </x:c>
      <x:c r="E1209" s="84"/>
      <x:c r="F1209" s="89" t="n">
        <x:v>45217.12976851852</x:v>
      </x:c>
      <x:c r="G1209" s="89"/>
      <x:c r="H1209" s="89" t="n">
        <x:v>45217.21310185185</x:v>
      </x:c>
      <x:c r="I1209" s="89"/>
      <x:c r="J1209" s="84" t="str">
        <x:v>Baixa</x:v>
      </x:c>
      <x:c r="K1209" s="84" t="str">
        <x:v>Aguardando peça</x:v>
      </x:c>
      <x:c r="L1209" s="84" t="str">
        <x:v>Baixa pressão</x:v>
      </x:c>
      <x:c r="M1209" s="84" t="str">
        <x:v>Componente danificado</x:v>
      </x:c>
      <x:c r="N1209" s="84"/>
      <x:c r="O1209" s="84" t="n">
        <x:v>0</x:v>
      </x:c>
      <x:c r="P1209" s="93" t="n">
        <x:v>370.65</x:v>
      </x:c>
      <x:c r="Q1209" s="93" t="n">
        <x:v>4315.25</x:v>
      </x:c>
      <x:c r="R1209" s="91" t="n">
        <x:v>0</x:v>
      </x:c>
    </x:row>
    <x:row r="1210">
      <x:c r="A1210" s="83" t="n">
        <x:v>1209</x:v>
      </x:c>
      <x:c r="B1210" s="84" t="str">
        <x:v>OS-2024-01209</x:v>
      </x:c>
      <x:c r="C1210" s="84" t="n">
        <x:v>28</x:v>
      </x:c>
      <x:c r="D1210" s="84" t="n">
        <x:v>1</x:v>
      </x:c>
      <x:c r="E1210" s="84" t="n">
        <x:v>56</x:v>
      </x:c>
      <x:c r="F1210" s="89" t="n">
        <x:v>45476.98847222222</x:v>
      </x:c>
      <x:c r="G1210" s="89" t="n">
        <x:v>45480.98847222222</x:v>
      </x:c>
      <x:c r="H1210" s="89" t="n">
        <x:v>45479.696805555555</x:v>
      </x:c>
      <x:c r="I1210" s="89" t="n">
        <x:v>45480.40513888889</x:v>
      </x:c>
      <x:c r="J1210" s="84" t="str">
        <x:v>Alta</x:v>
      </x:c>
      <x:c r="K1210" s="84" t="str">
        <x:v>Concluída</x:v>
      </x:c>
      <x:c r="L1210" s="84" t="str">
        <x:v>Superaquecimento</x:v>
      </x:c>
      <x:c r="M1210" s="84" t="str">
        <x:v>Componente danificado</x:v>
      </x:c>
      <x:c r="N1210" s="84" t="str">
        <x:v>Componente ajustado ou substituído</x:v>
      </x:c>
      <x:c r="O1210" s="84" t="n">
        <x:v>0</x:v>
      </x:c>
      <x:c r="P1210" s="93" t="n">
        <x:v>186.86</x:v>
      </x:c>
      <x:c r="Q1210" s="93" t="n">
        <x:v>10560.52</x:v>
      </x:c>
      <x:c r="R1210" s="91" t="n">
        <x:v>0</x:v>
      </x:c>
    </x:row>
    <x:row r="1211">
      <x:c r="A1211" s="83" t="n">
        <x:v>1210</x:v>
      </x:c>
      <x:c r="B1211" s="84" t="str">
        <x:v>OS-2023-01210</x:v>
      </x:c>
      <x:c r="C1211" s="84" t="n">
        <x:v>40</x:v>
      </x:c>
      <x:c r="D1211" s="84" t="n">
        <x:v>1</x:v>
      </x:c>
      <x:c r="E1211" s="84" t="n">
        <x:v>80</x:v>
      </x:c>
      <x:c r="F1211" s="89" t="n">
        <x:v>45119.27543981482</x:v>
      </x:c>
      <x:c r="G1211" s="89" t="n">
        <x:v>45131.27543981482</x:v>
      </x:c>
      <x:c r="H1211" s="89" t="n">
        <x:v>45120.983773148146</x:v>
      </x:c>
      <x:c r="I1211" s="89" t="n">
        <x:v>45121.77543981482</x:v>
      </x:c>
      <x:c r="J1211" s="84" t="str">
        <x:v>Média</x:v>
      </x:c>
      <x:c r="K1211" s="84" t="str">
        <x:v>Encerrada</x:v>
      </x:c>
      <x:c r="L1211" s="84" t="str">
        <x:v>Falha elétrica</x:v>
      </x:c>
      <x:c r="M1211" s="84" t="str">
        <x:v>Ajuste incorreto</x:v>
      </x:c>
      <x:c r="N1211" s="84" t="str">
        <x:v>Componente ajustado ou substituído</x:v>
      </x:c>
      <x:c r="O1211" s="84" t="n">
        <x:v>0</x:v>
      </x:c>
      <x:c r="P1211" s="93" t="n">
        <x:v>594.22</x:v>
      </x:c>
      <x:c r="Q1211" s="93" t="n">
        <x:v>0</x:v>
      </x:c>
      <x:c r="R1211" s="91" t="n">
        <x:v>0</x:v>
      </x:c>
    </x:row>
    <x:row r="1212">
      <x:c r="A1212" s="83" t="n">
        <x:v>1211</x:v>
      </x:c>
      <x:c r="B1212" s="84" t="str">
        <x:v>OS-2023-01211</x:v>
      </x:c>
      <x:c r="C1212" s="84" t="n">
        <x:v>72</x:v>
      </x:c>
      <x:c r="D1212" s="84" t="n">
        <x:v>7</x:v>
      </x:c>
      <x:c r="E1212" s="84" t="n">
        <x:v>143</x:v>
      </x:c>
      <x:c r="F1212" s="89" t="n">
        <x:v>45084.439479166664</x:v>
      </x:c>
      <x:c r="G1212" s="89" t="n">
        <x:v>45094.439479166664</x:v>
      </x:c>
      <x:c r="H1212" s="89" t="n">
        <x:v>45086.2728125</x:v>
      </x:c>
      <x:c r="I1212" s="89" t="n">
        <x:v>45086.856145833335</x:v>
      </x:c>
      <x:c r="J1212" s="84" t="str">
        <x:v>Alta</x:v>
      </x:c>
      <x:c r="K1212" s="84" t="str">
        <x:v>Encerrada</x:v>
      </x:c>
      <x:c r="L1212" s="84" t="str">
        <x:v>Ruído anormal</x:v>
      </x:c>
      <x:c r="M1212" s="84" t="str">
        <x:v>Desgaste natural</x:v>
      </x:c>
      <x:c r="N1212" s="84" t="str">
        <x:v>Componente ajustado ou substituído</x:v>
      </x:c>
      <x:c r="O1212" s="84" t="n">
        <x:v>0</x:v>
      </x:c>
      <x:c r="P1212" s="93" t="n">
        <x:v>661.84</x:v>
      </x:c>
      <x:c r="Q1212" s="93" t="n">
        <x:v>0</x:v>
      </x:c>
      <x:c r="R1212" s="91" t="n">
        <x:v>0</x:v>
      </x:c>
    </x:row>
    <x:row r="1213">
      <x:c r="A1213" s="83" t="n">
        <x:v>1212</x:v>
      </x:c>
      <x:c r="B1213" s="84" t="str">
        <x:v>OS-2025-01212</x:v>
      </x:c>
      <x:c r="C1213" s="84" t="n">
        <x:v>55</x:v>
      </x:c>
      <x:c r="D1213" s="84" t="n">
        <x:v>8</x:v>
      </x:c>
      <x:c r="E1213" s="84"/>
      <x:c r="F1213" s="89" t="n">
        <x:v>45704.34679398148</x:v>
      </x:c>
      <x:c r="G1213" s="89" t="n">
        <x:v>45709.34679398148</x:v>
      </x:c>
      <x:c r="H1213" s="89" t="n">
        <x:v>45706.88846064815</x:v>
      </x:c>
      <x:c r="I1213" s="89" t="n">
        <x:v>45707.680127314816</x:v>
      </x:c>
      <x:c r="J1213" s="84" t="str">
        <x:v>Média</x:v>
      </x:c>
      <x:c r="K1213" s="84" t="str">
        <x:v>Encerrada</x:v>
      </x:c>
      <x:c r="L1213" s="84" t="str">
        <x:v>Falha elétrica</x:v>
      </x:c>
      <x:c r="M1213" s="84" t="str">
        <x:v>Ajuste incorreto</x:v>
      </x:c>
      <x:c r="N1213" s="84" t="str">
        <x:v>Componente ajustado ou substituído</x:v>
      </x:c>
      <x:c r="O1213" s="84" t="n">
        <x:v>0</x:v>
      </x:c>
      <x:c r="P1213" s="93" t="n">
        <x:v>442.88</x:v>
      </x:c>
      <x:c r="Q1213" s="93" t="n">
        <x:v>0</x:v>
      </x:c>
      <x:c r="R1213" s="91" t="n">
        <x:v>0</x:v>
      </x:c>
    </x:row>
    <x:row r="1214">
      <x:c r="A1214" s="83" t="n">
        <x:v>1213</x:v>
      </x:c>
      <x:c r="B1214" s="84" t="str">
        <x:v>OS-2024-01213</x:v>
      </x:c>
      <x:c r="C1214" s="84" t="n">
        <x:v>22</x:v>
      </x:c>
      <x:c r="D1214" s="84" t="n">
        <x:v>2</x:v>
      </x:c>
      <x:c r="E1214" s="84"/>
      <x:c r="F1214" s="89" t="n">
        <x:v>45624.46554398148</x:v>
      </x:c>
      <x:c r="G1214" s="89" t="n">
        <x:v>45625.46554398148</x:v>
      </x:c>
      <x:c r="H1214" s="89" t="n">
        <x:v>45625.92387731482</x:v>
      </x:c>
      <x:c r="I1214" s="89" t="n">
        <x:v>45625.96554398148</x:v>
      </x:c>
      <x:c r="J1214" s="84" t="str">
        <x:v>Média</x:v>
      </x:c>
      <x:c r="K1214" s="84" t="str">
        <x:v>Encerrada</x:v>
      </x:c>
      <x:c r="L1214" s="84" t="str">
        <x:v>Vazamento</x:v>
      </x:c>
      <x:c r="M1214" s="84" t="str">
        <x:v>Conexão frouxa</x:v>
      </x:c>
      <x:c r="N1214" s="84" t="str">
        <x:v>Componente ajustado ou substituído</x:v>
      </x:c>
      <x:c r="O1214" s="84" t="n">
        <x:v>0</x:v>
      </x:c>
      <x:c r="P1214" s="93" t="n">
        <x:v>276.37</x:v>
      </x:c>
      <x:c r="Q1214" s="93" t="n">
        <x:v>9846.02</x:v>
      </x:c>
      <x:c r="R1214" s="91" t="n">
        <x:v>0</x:v>
      </x:c>
    </x:row>
    <x:row r="1215">
      <x:c r="A1215" s="83" t="n">
        <x:v>1214</x:v>
      </x:c>
      <x:c r="B1215" s="84" t="str">
        <x:v>OS-2023-01214</x:v>
      </x:c>
      <x:c r="C1215" s="84" t="n">
        <x:v>33</x:v>
      </x:c>
      <x:c r="D1215" s="84" t="n">
        <x:v>3</x:v>
      </x:c>
      <x:c r="E1215" s="84"/>
      <x:c r="F1215" s="89" t="n">
        <x:v>44953.54</x:v>
      </x:c>
      <x:c r="G1215" s="89"/>
      <x:c r="H1215" s="89" t="n">
        <x:v>44955.831666666665</x:v>
      </x:c>
      <x:c r="I1215" s="89"/>
      <x:c r="J1215" s="84" t="str">
        <x:v>Alta</x:v>
      </x:c>
      <x:c r="K1215" s="84" t="str">
        <x:v>Em execução</x:v>
      </x:c>
      <x:c r="L1215" s="84" t="str">
        <x:v>Alarme intermitente</x:v>
      </x:c>
      <x:c r="M1215" s="84" t="str">
        <x:v>Contaminação</x:v>
      </x:c>
      <x:c r="N1215" s="84"/>
      <x:c r="O1215" s="84" t="n">
        <x:v>0</x:v>
      </x:c>
      <x:c r="P1215" s="93" t="n">
        <x:v>276.98</x:v>
      </x:c>
      <x:c r="Q1215" s="93" t="n">
        <x:v>6026.62</x:v>
      </x:c>
      <x:c r="R1215" s="91" t="n">
        <x:v>0</x:v>
      </x:c>
    </x:row>
    <x:row r="1216">
      <x:c r="A1216" s="83" t="n">
        <x:v>1215</x:v>
      </x:c>
      <x:c r="B1216" s="84" t="str">
        <x:v>OS-2025-01215</x:v>
      </x:c>
      <x:c r="C1216" s="84" t="n">
        <x:v>46</x:v>
      </x:c>
      <x:c r="D1216" s="84" t="n">
        <x:v>1</x:v>
      </x:c>
      <x:c r="E1216" s="84" t="n">
        <x:v>92</x:v>
      </x:c>
      <x:c r="F1216" s="89" t="n">
        <x:v>45828.9896875</x:v>
      </x:c>
      <x:c r="G1216" s="89" t="n">
        <x:v>45833.9896875</x:v>
      </x:c>
      <x:c r="H1216" s="89" t="n">
        <x:v>45830.6146875</x:v>
      </x:c>
      <x:c r="I1216" s="89" t="n">
        <x:v>45831.40635416667</x:v>
      </x:c>
      <x:c r="J1216" s="84" t="str">
        <x:v>Alta</x:v>
      </x:c>
      <x:c r="K1216" s="84" t="str">
        <x:v>Concluída</x:v>
      </x:c>
      <x:c r="L1216" s="84" t="str">
        <x:v>Baixa pressão</x:v>
      </x:c>
      <x:c r="M1216" s="84" t="str">
        <x:v>Contaminação</x:v>
      </x:c>
      <x:c r="N1216" s="84" t="str">
        <x:v>Componente ajustado ou substituído</x:v>
      </x:c>
      <x:c r="O1216" s="84" t="n">
        <x:v>0</x:v>
      </x:c>
      <x:c r="P1216" s="93" t="n">
        <x:v>50.42</x:v>
      </x:c>
      <x:c r="Q1216" s="93" t="n">
        <x:v>912.34</x:v>
      </x:c>
      <x:c r="R1216" s="91" t="n">
        <x:v>0</x:v>
      </x:c>
    </x:row>
    <x:row r="1217">
      <x:c r="A1217" s="83" t="n">
        <x:v>1216</x:v>
      </x:c>
      <x:c r="B1217" s="84" t="str">
        <x:v>OS-2023-01216</x:v>
      </x:c>
      <x:c r="C1217" s="84" t="n">
        <x:v>43</x:v>
      </x:c>
      <x:c r="D1217" s="84" t="n">
        <x:v>1</x:v>
      </x:c>
      <x:c r="E1217" s="84" t="n">
        <x:v>86</x:v>
      </x:c>
      <x:c r="F1217" s="89" t="n">
        <x:v>45028.86902777778</x:v>
      </x:c>
      <x:c r="G1217" s="89" t="n">
        <x:v>45034.86902777778</x:v>
      </x:c>
      <x:c r="H1217" s="89" t="n">
        <x:v>45030.53569444444</x:v>
      </x:c>
      <x:c r="I1217" s="89" t="n">
        <x:v>45030.952361111114</x:v>
      </x:c>
      <x:c r="J1217" s="84" t="str">
        <x:v>Alta</x:v>
      </x:c>
      <x:c r="K1217" s="84" t="str">
        <x:v>Encerrada</x:v>
      </x:c>
      <x:c r="L1217" s="84" t="str">
        <x:v>Baixa pressão</x:v>
      </x:c>
      <x:c r="M1217" s="84" t="str">
        <x:v>Contaminação</x:v>
      </x:c>
      <x:c r="N1217" s="84" t="str">
        <x:v>Componente ajustado ou substituído</x:v>
      </x:c>
      <x:c r="O1217" s="84" t="n">
        <x:v>0</x:v>
      </x:c>
      <x:c r="P1217" s="93" t="n">
        <x:v>382.94</x:v>
      </x:c>
      <x:c r="Q1217" s="93" t="n">
        <x:v>4195.38</x:v>
      </x:c>
      <x:c r="R1217" s="91" t="n">
        <x:v>0</x:v>
      </x:c>
    </x:row>
    <x:row r="1218">
      <x:c r="A1218" s="83" t="n">
        <x:v>1217</x:v>
      </x:c>
      <x:c r="B1218" s="84" t="str">
        <x:v>OS-2024-01217</x:v>
      </x:c>
      <x:c r="C1218" s="84" t="n">
        <x:v>33</x:v>
      </x:c>
      <x:c r="D1218" s="84" t="n">
        <x:v>1</x:v>
      </x:c>
      <x:c r="E1218" s="84" t="n">
        <x:v>65</x:v>
      </x:c>
      <x:c r="F1218" s="89" t="n">
        <x:v>45611.6391087963</x:v>
      </x:c>
      <x:c r="G1218" s="89" t="n">
        <x:v>45620.6391087963</x:v>
      </x:c>
      <x:c r="H1218" s="89" t="n">
        <x:v>45614.6391087963</x:v>
      </x:c>
      <x:c r="I1218" s="89" t="n">
        <x:v>45614.7641087963</x:v>
      </x:c>
      <x:c r="J1218" s="84" t="str">
        <x:v>Baixa</x:v>
      </x:c>
      <x:c r="K1218" s="84" t="str">
        <x:v>Encerrada</x:v>
      </x:c>
      <x:c r="L1218" s="84" t="str">
        <x:v>Superaquecimento</x:v>
      </x:c>
      <x:c r="M1218" s="84" t="str">
        <x:v>Ajuste incorreto</x:v>
      </x:c>
      <x:c r="N1218" s="84" t="str">
        <x:v>Componente ajustado ou substituído</x:v>
      </x:c>
      <x:c r="O1218" s="84" t="n">
        <x:v>0</x:v>
      </x:c>
      <x:c r="P1218" s="93" t="n">
        <x:v>356.61</x:v>
      </x:c>
      <x:c r="Q1218" s="93" t="n">
        <x:v>5028.68</x:v>
      </x:c>
      <x:c r="R1218" s="91" t="n">
        <x:v>7971.39</x:v>
      </x:c>
    </x:row>
    <x:row r="1219">
      <x:c r="A1219" s="83" t="n">
        <x:v>1218</x:v>
      </x:c>
      <x:c r="B1219" s="84" t="str">
        <x:v>OS-2025-01218</x:v>
      </x:c>
      <x:c r="C1219" s="84" t="n">
        <x:v>82</x:v>
      </x:c>
      <x:c r="D1219" s="84" t="n">
        <x:v>1</x:v>
      </x:c>
      <x:c r="E1219" s="84" t="n">
        <x:v>163</x:v>
      </x:c>
      <x:c r="F1219" s="89" t="n">
        <x:v>45931.60706018518</x:v>
      </x:c>
      <x:c r="G1219" s="89" t="n">
        <x:v>45932.60706018518</x:v>
      </x:c>
      <x:c r="H1219" s="89" t="n">
        <x:v>45932.648726851854</x:v>
      </x:c>
      <x:c r="I1219" s="89" t="n">
        <x:v>45932.85706018518</x:v>
      </x:c>
      <x:c r="J1219" s="84" t="str">
        <x:v>Média</x:v>
      </x:c>
      <x:c r="K1219" s="84" t="str">
        <x:v>Encerrada</x:v>
      </x:c>
      <x:c r="L1219" s="84" t="str">
        <x:v>Desalinhamento</x:v>
      </x:c>
      <x:c r="M1219" s="84" t="str">
        <x:v>Componente danificado</x:v>
      </x:c>
      <x:c r="N1219" s="84" t="str">
        <x:v>Componente ajustado ou substituído</x:v>
      </x:c>
      <x:c r="O1219" s="84" t="n">
        <x:v>0</x:v>
      </x:c>
      <x:c r="P1219" s="93" t="n">
        <x:v>163.41</x:v>
      </x:c>
      <x:c r="Q1219" s="93" t="n">
        <x:v>0</x:v>
      </x:c>
      <x:c r="R1219" s="91" t="n">
        <x:v>0</x:v>
      </x:c>
    </x:row>
    <x:row r="1220">
      <x:c r="A1220" s="83" t="n">
        <x:v>1219</x:v>
      </x:c>
      <x:c r="B1220" s="84" t="str">
        <x:v>OS-2024-01219</x:v>
      </x:c>
      <x:c r="C1220" s="84" t="n">
        <x:v>1</x:v>
      </x:c>
      <x:c r="D1220" s="84" t="n">
        <x:v>6</x:v>
      </x:c>
      <x:c r="E1220" s="84"/>
      <x:c r="F1220" s="89" t="n">
        <x:v>45331.513553240744</x:v>
      </x:c>
      <x:c r="G1220" s="89" t="n">
        <x:v>45338.513553240744</x:v>
      </x:c>
      <x:c r="H1220" s="89"/>
      <x:c r="I1220" s="89"/>
      <x:c r="J1220" s="84" t="str">
        <x:v>Média</x:v>
      </x:c>
      <x:c r="K1220" s="84" t="str">
        <x:v>Planejada</x:v>
      </x:c>
      <x:c r="L1220" s="84" t="str">
        <x:v>Superaquecimento</x:v>
      </x:c>
      <x:c r="M1220" s="84"/>
      <x:c r="N1220" s="84"/>
      <x:c r="O1220" s="84" t="n">
        <x:v>0</x:v>
      </x:c>
      <x:c r="P1220" s="93" t="n">
        <x:v>0</x:v>
      </x:c>
      <x:c r="Q1220" s="93" t="n">
        <x:v>0</x:v>
      </x:c>
      <x:c r="R1220" s="91" t="n">
        <x:v>0</x:v>
      </x:c>
    </x:row>
    <x:row r="1221">
      <x:c r="A1221" s="83" t="n">
        <x:v>1220</x:v>
      </x:c>
      <x:c r="B1221" s="84" t="str">
        <x:v>OS-2025-01220</x:v>
      </x:c>
      <x:c r="C1221" s="84" t="n">
        <x:v>84</x:v>
      </x:c>
      <x:c r="D1221" s="84" t="n">
        <x:v>3</x:v>
      </x:c>
      <x:c r="E1221" s="84"/>
      <x:c r="F1221" s="89" t="n">
        <x:v>45792.97837962963</x:v>
      </x:c>
      <x:c r="G1221" s="89"/>
      <x:c r="H1221" s="89" t="n">
        <x:v>45793.5200462963</x:v>
      </x:c>
      <x:c r="I1221" s="89" t="n">
        <x:v>45793.85337962963</x:v>
      </x:c>
      <x:c r="J1221" s="84" t="str">
        <x:v>Média</x:v>
      </x:c>
      <x:c r="K1221" s="84" t="str">
        <x:v>Concluída</x:v>
      </x:c>
      <x:c r="L1221" s="84" t="str">
        <x:v>Baixa pressão</x:v>
      </x:c>
      <x:c r="M1221" s="84" t="str">
        <x:v>Componente danificado</x:v>
      </x:c>
      <x:c r="N1221" s="84" t="str">
        <x:v>Componente ajustado ou substituído</x:v>
      </x:c>
      <x:c r="O1221" s="84" t="n">
        <x:v>0</x:v>
      </x:c>
      <x:c r="P1221" s="93" t="n">
        <x:v>342.71</x:v>
      </x:c>
      <x:c r="Q1221" s="93" t="n">
        <x:v>9789.15</x:v>
      </x:c>
      <x:c r="R1221" s="91" t="n">
        <x:v>0</x:v>
      </x:c>
    </x:row>
    <x:row r="1222">
      <x:c r="A1222" s="83" t="n">
        <x:v>1221</x:v>
      </x:c>
      <x:c r="B1222" s="84" t="str">
        <x:v>OS-2023-01221</x:v>
      </x:c>
      <x:c r="C1222" s="84" t="n">
        <x:v>36</x:v>
      </x:c>
      <x:c r="D1222" s="84" t="n">
        <x:v>6</x:v>
      </x:c>
      <x:c r="E1222" s="84"/>
      <x:c r="F1222" s="89" t="n">
        <x:v>45145.19043981482</x:v>
      </x:c>
      <x:c r="G1222" s="89" t="n">
        <x:v>45148.19043981482</x:v>
      </x:c>
      <x:c r="H1222" s="89" t="n">
        <x:v>45147.60710648148</x:v>
      </x:c>
      <x:c r="I1222" s="89" t="n">
        <x:v>45147.64877314815</x:v>
      </x:c>
      <x:c r="J1222" s="84" t="str">
        <x:v>Crítica</x:v>
      </x:c>
      <x:c r="K1222" s="84" t="str">
        <x:v>Encerrada</x:v>
      </x:c>
      <x:c r="L1222" s="84" t="str">
        <x:v>Superaquecimento</x:v>
      </x:c>
      <x:c r="M1222" s="84" t="str">
        <x:v>Falta de lubrificação</x:v>
      </x:c>
      <x:c r="N1222" s="84" t="str">
        <x:v>Componente ajustado ou substituído</x:v>
      </x:c>
      <x:c r="O1222" s="84" t="n">
        <x:v>0</x:v>
      </x:c>
      <x:c r="P1222" s="93" t="n">
        <x:v>333.22</x:v>
      </x:c>
      <x:c r="Q1222" s="93" t="n">
        <x:v>1934.19</x:v>
      </x:c>
      <x:c r="R1222" s="91" t="n">
        <x:v>0</x:v>
      </x:c>
    </x:row>
    <x:row r="1223">
      <x:c r="A1223" s="83" t="n">
        <x:v>1222</x:v>
      </x:c>
      <x:c r="B1223" s="84" t="str">
        <x:v>OS-2024-01222</x:v>
      </x:c>
      <x:c r="C1223" s="84" t="n">
        <x:v>15</x:v>
      </x:c>
      <x:c r="D1223" s="84" t="n">
        <x:v>1</x:v>
      </x:c>
      <x:c r="E1223" s="84" t="n">
        <x:v>30</x:v>
      </x:c>
      <x:c r="F1223" s="89" t="n">
        <x:v>45587.86017361111</x:v>
      </x:c>
      <x:c r="G1223" s="89" t="n">
        <x:v>45587.86017361111</x:v>
      </x:c>
      <x:c r="H1223" s="89" t="n">
        <x:v>45588.77684027778</x:v>
      </x:c>
      <x:c r="I1223" s="89" t="n">
        <x:v>45589.27684027778</x:v>
      </x:c>
      <x:c r="J1223" s="84" t="str">
        <x:v>Baixa</x:v>
      </x:c>
      <x:c r="K1223" s="84" t="str">
        <x:v>Encerrada</x:v>
      </x:c>
      <x:c r="L1223" s="84" t="str">
        <x:v>Ruído anormal</x:v>
      </x:c>
      <x:c r="M1223" s="84" t="str">
        <x:v>Ajuste incorreto</x:v>
      </x:c>
      <x:c r="N1223" s="84" t="str">
        <x:v>Componente ajustado ou substituído</x:v>
      </x:c>
      <x:c r="O1223" s="84" t="n">
        <x:v>0</x:v>
      </x:c>
      <x:c r="P1223" s="93" t="n">
        <x:v>759.15</x:v>
      </x:c>
      <x:c r="Q1223" s="93" t="n">
        <x:v>686.4</x:v>
      </x:c>
      <x:c r="R1223" s="91" t="n">
        <x:v>0</x:v>
      </x:c>
    </x:row>
    <x:row r="1224">
      <x:c r="A1224" s="83" t="n">
        <x:v>1223</x:v>
      </x:c>
      <x:c r="B1224" s="84" t="str">
        <x:v>OS-2023-01223</x:v>
      </x:c>
      <x:c r="C1224" s="84" t="n">
        <x:v>1</x:v>
      </x:c>
      <x:c r="D1224" s="84" t="n">
        <x:v>1</x:v>
      </x:c>
      <x:c r="E1224" s="84" t="n">
        <x:v>1</x:v>
      </x:c>
      <x:c r="F1224" s="89" t="n">
        <x:v>45063.40491898148</x:v>
      </x:c>
      <x:c r="G1224" s="89" t="n">
        <x:v>45070.40491898148</x:v>
      </x:c>
      <x:c r="H1224" s="89" t="n">
        <x:v>45066.15491898148</x:v>
      </x:c>
      <x:c r="I1224" s="89" t="n">
        <x:v>45066.90491898148</x:v>
      </x:c>
      <x:c r="J1224" s="84" t="str">
        <x:v>Baixa</x:v>
      </x:c>
      <x:c r="K1224" s="84" t="str">
        <x:v>Encerrada</x:v>
      </x:c>
      <x:c r="L1224" s="84" t="str">
        <x:v>Ruído anormal</x:v>
      </x:c>
      <x:c r="M1224" s="84" t="str">
        <x:v>Ajuste incorreto</x:v>
      </x:c>
      <x:c r="N1224" s="84" t="str">
        <x:v>Componente ajustado ou substituído</x:v>
      </x:c>
      <x:c r="O1224" s="84" t="n">
        <x:v>0</x:v>
      </x:c>
      <x:c r="P1224" s="93" t="n">
        <x:v>430.39</x:v>
      </x:c>
      <x:c r="Q1224" s="93" t="n">
        <x:v>3754.44</x:v>
      </x:c>
      <x:c r="R1224" s="91" t="n">
        <x:v>0</x:v>
      </x:c>
    </x:row>
    <x:row r="1225">
      <x:c r="A1225" s="83" t="n">
        <x:v>1224</x:v>
      </x:c>
      <x:c r="B1225" s="84" t="str">
        <x:v>OS-2024-01224</x:v>
      </x:c>
      <x:c r="C1225" s="84" t="n">
        <x:v>4</x:v>
      </x:c>
      <x:c r="D1225" s="84" t="n">
        <x:v>1</x:v>
      </x:c>
      <x:c r="E1225" s="84" t="n">
        <x:v>7</x:v>
      </x:c>
      <x:c r="F1225" s="89" t="n">
        <x:v>45317.61195601852</x:v>
      </x:c>
      <x:c r="G1225" s="89" t="n">
        <x:v>45318.61195601852</x:v>
      </x:c>
      <x:c r="H1225" s="89" t="n">
        <x:v>45318.36195601852</x:v>
      </x:c>
      <x:c r="I1225" s="89" t="n">
        <x:v>45318.570289351854</x:v>
      </x:c>
      <x:c r="J1225" s="84" t="str">
        <x:v>Baixa</x:v>
      </x:c>
      <x:c r="K1225" s="84" t="str">
        <x:v>Encerrada</x:v>
      </x:c>
      <x:c r="L1225" s="84" t="str">
        <x:v>Falha elétrica</x:v>
      </x:c>
      <x:c r="M1225" s="84" t="str">
        <x:v>Ajuste incorreto</x:v>
      </x:c>
      <x:c r="N1225" s="84" t="str">
        <x:v>Componente ajustado ou substituído</x:v>
      </x:c>
      <x:c r="O1225" s="84" t="n">
        <x:v>0</x:v>
      </x:c>
      <x:c r="P1225" s="93" t="n">
        <x:v>26.94</x:v>
      </x:c>
      <x:c r="Q1225" s="93" t="n">
        <x:v>2808.75</x:v>
      </x:c>
      <x:c r="R1225" s="91" t="n">
        <x:v>0</x:v>
      </x:c>
    </x:row>
    <x:row r="1226">
      <x:c r="A1226" s="83" t="n">
        <x:v>1225</x:v>
      </x:c>
      <x:c r="B1226" s="84" t="str">
        <x:v>OS-2025-01225</x:v>
      </x:c>
      <x:c r="C1226" s="84" t="n">
        <x:v>79</x:v>
      </x:c>
      <x:c r="D1226" s="84" t="n">
        <x:v>5</x:v>
      </x:c>
      <x:c r="E1226" s="84" t="n">
        <x:v>158</x:v>
      </x:c>
      <x:c r="F1226" s="89" t="n">
        <x:v>45981.91789351852</x:v>
      </x:c>
      <x:c r="G1226" s="89" t="n">
        <x:v>45991.91789351852</x:v>
      </x:c>
      <x:c r="H1226" s="89"/>
      <x:c r="I1226" s="89"/>
      <x:c r="J1226" s="84" t="str">
        <x:v>Baixa</x:v>
      </x:c>
      <x:c r="K1226" s="84" t="str">
        <x:v>Planejada</x:v>
      </x:c>
      <x:c r="L1226" s="84" t="str">
        <x:v>Vazamento</x:v>
      </x:c>
      <x:c r="M1226" s="84"/>
      <x:c r="N1226" s="84"/>
      <x:c r="O1226" s="84" t="n">
        <x:v>0</x:v>
      </x:c>
      <x:c r="P1226" s="93" t="n">
        <x:v>0</x:v>
      </x:c>
      <x:c r="Q1226" s="93" t="n">
        <x:v>0</x:v>
      </x:c>
      <x:c r="R1226" s="91" t="n">
        <x:v>0</x:v>
      </x:c>
    </x:row>
    <x:row r="1227">
      <x:c r="A1227" s="83" t="n">
        <x:v>1226</x:v>
      </x:c>
      <x:c r="B1227" s="84" t="str">
        <x:v>OS-2023-01226</x:v>
      </x:c>
      <x:c r="C1227" s="84" t="n">
        <x:v>39</x:v>
      </x:c>
      <x:c r="D1227" s="84" t="n">
        <x:v>1</x:v>
      </x:c>
      <x:c r="E1227" s="84" t="n">
        <x:v>78</x:v>
      </x:c>
      <x:c r="F1227" s="89" t="n">
        <x:v>45026.40880787037</x:v>
      </x:c>
      <x:c r="G1227" s="89" t="n">
        <x:v>45036.40880787037</x:v>
      </x:c>
      <x:c r="H1227" s="89"/>
      <x:c r="I1227" s="89"/>
      <x:c r="J1227" s="84" t="str">
        <x:v>Baixa</x:v>
      </x:c>
      <x:c r="K1227" s="84" t="str">
        <x:v>Planejada</x:v>
      </x:c>
      <x:c r="L1227" s="84" t="str">
        <x:v>Baixa pressão</x:v>
      </x:c>
      <x:c r="M1227" s="84"/>
      <x:c r="N1227" s="84"/>
      <x:c r="O1227" s="84" t="n">
        <x:v>0</x:v>
      </x:c>
      <x:c r="P1227" s="93" t="n">
        <x:v>0</x:v>
      </x:c>
      <x:c r="Q1227" s="93" t="n">
        <x:v>0</x:v>
      </x:c>
      <x:c r="R1227" s="91" t="n">
        <x:v>0</x:v>
      </x:c>
    </x:row>
    <x:row r="1228">
      <x:c r="A1228" s="83" t="n">
        <x:v>1227</x:v>
      </x:c>
      <x:c r="B1228" s="84" t="str">
        <x:v>OS-2023-01227</x:v>
      </x:c>
      <x:c r="C1228" s="84" t="n">
        <x:v>83</x:v>
      </x:c>
      <x:c r="D1228" s="84" t="n">
        <x:v>1</x:v>
      </x:c>
      <x:c r="E1228" s="84" t="n">
        <x:v>166</x:v>
      </x:c>
      <x:c r="F1228" s="89" t="n">
        <x:v>45107.05228009259</x:v>
      </x:c>
      <x:c r="G1228" s="89" t="n">
        <x:v>45116.05228009259</x:v>
      </x:c>
      <x:c r="H1228" s="89" t="n">
        <x:v>45109.010613425926</x:v>
      </x:c>
      <x:c r="I1228" s="89" t="n">
        <x:v>45109.385613425926</x:v>
      </x:c>
      <x:c r="J1228" s="84" t="str">
        <x:v>Crítica</x:v>
      </x:c>
      <x:c r="K1228" s="84" t="str">
        <x:v>Concluída</x:v>
      </x:c>
      <x:c r="L1228" s="84" t="str">
        <x:v>Baixa pressão</x:v>
      </x:c>
      <x:c r="M1228" s="84" t="str">
        <x:v>Conexão frouxa</x:v>
      </x:c>
      <x:c r="N1228" s="84" t="str">
        <x:v>Componente ajustado ou substituído</x:v>
      </x:c>
      <x:c r="O1228" s="84" t="n">
        <x:v>0</x:v>
      </x:c>
      <x:c r="P1228" s="93" t="n">
        <x:v>248.05</x:v>
      </x:c>
      <x:c r="Q1228" s="93" t="n">
        <x:v>4657.41</x:v>
      </x:c>
      <x:c r="R1228" s="91" t="n">
        <x:v>3521.14</x:v>
      </x:c>
    </x:row>
    <x:row r="1229">
      <x:c r="A1229" s="83" t="n">
        <x:v>1228</x:v>
      </x:c>
      <x:c r="B1229" s="84" t="str">
        <x:v>OS-2025-01228</x:v>
      </x:c>
      <x:c r="C1229" s="84" t="n">
        <x:v>6</x:v>
      </x:c>
      <x:c r="D1229" s="84" t="n">
        <x:v>6</x:v>
      </x:c>
      <x:c r="E1229" s="84"/>
      <x:c r="F1229" s="89" t="n">
        <x:v>45788.43833333333</x:v>
      </x:c>
      <x:c r="G1229" s="89" t="n">
        <x:v>45799.43833333333</x:v>
      </x:c>
      <x:c r="H1229" s="89" t="n">
        <x:v>45790.605</x:v>
      </x:c>
      <x:c r="I1229" s="89" t="n">
        <x:v>45791.02166666667</x:v>
      </x:c>
      <x:c r="J1229" s="84" t="str">
        <x:v>Média</x:v>
      </x:c>
      <x:c r="K1229" s="84" t="str">
        <x:v>Encerrada</x:v>
      </x:c>
      <x:c r="L1229" s="84" t="str">
        <x:v>Desalinhamento</x:v>
      </x:c>
      <x:c r="M1229" s="84" t="str">
        <x:v>Contaminação</x:v>
      </x:c>
      <x:c r="N1229" s="84" t="str">
        <x:v>Componente ajustado ou substituído</x:v>
      </x:c>
      <x:c r="O1229" s="84" t="n">
        <x:v>0</x:v>
      </x:c>
      <x:c r="P1229" s="93" t="n">
        <x:v>490.41</x:v>
      </x:c>
      <x:c r="Q1229" s="93" t="n">
        <x:v>3312.7</x:v>
      </x:c>
      <x:c r="R1229" s="91" t="n">
        <x:v>0</x:v>
      </x:c>
    </x:row>
    <x:row r="1230">
      <x:c r="A1230" s="83" t="n">
        <x:v>1229</x:v>
      </x:c>
      <x:c r="B1230" s="84" t="str">
        <x:v>OS-2024-01229</x:v>
      </x:c>
      <x:c r="C1230" s="84" t="n">
        <x:v>8</x:v>
      </x:c>
      <x:c r="D1230" s="84" t="n">
        <x:v>1</x:v>
      </x:c>
      <x:c r="E1230" s="84" t="n">
        <x:v>15</x:v>
      </x:c>
      <x:c r="F1230" s="89" t="n">
        <x:v>45370.013761574075</x:v>
      </x:c>
      <x:c r="G1230" s="89" t="n">
        <x:v>45380.013761574075</x:v>
      </x:c>
      <x:c r="H1230" s="89" t="n">
        <x:v>45371.22209490741</x:v>
      </x:c>
      <x:c r="I1230" s="89" t="n">
        <x:v>45371.55542824074</x:v>
      </x:c>
      <x:c r="J1230" s="84" t="str">
        <x:v>Média</x:v>
      </x:c>
      <x:c r="K1230" s="84" t="str">
        <x:v>Encerrada</x:v>
      </x:c>
      <x:c r="L1230" s="84" t="str">
        <x:v>Falha elétrica</x:v>
      </x:c>
      <x:c r="M1230" s="84" t="str">
        <x:v>Ajuste incorreto</x:v>
      </x:c>
      <x:c r="N1230" s="84" t="str">
        <x:v>Componente ajustado ou substituído</x:v>
      </x:c>
      <x:c r="O1230" s="84" t="n">
        <x:v>0</x:v>
      </x:c>
      <x:c r="P1230" s="93" t="n">
        <x:v>725.18</x:v>
      </x:c>
      <x:c r="Q1230" s="93" t="n">
        <x:v>8978.11</x:v>
      </x:c>
      <x:c r="R1230" s="91" t="n">
        <x:v>0</x:v>
      </x:c>
    </x:row>
    <x:row r="1231">
      <x:c r="A1231" s="83" t="n">
        <x:v>1230</x:v>
      </x:c>
      <x:c r="B1231" s="84" t="str">
        <x:v>OS-2025-01230</x:v>
      </x:c>
      <x:c r="C1231" s="84" t="n">
        <x:v>34</x:v>
      </x:c>
      <x:c r="D1231" s="84" t="n">
        <x:v>1</x:v>
      </x:c>
      <x:c r="E1231" s="84" t="n">
        <x:v>67</x:v>
      </x:c>
      <x:c r="F1231" s="89" t="n">
        <x:v>45800.08552083333</x:v>
      </x:c>
      <x:c r="G1231" s="89" t="n">
        <x:v>45808.08552083333</x:v>
      </x:c>
      <x:c r="H1231" s="89" t="n">
        <x:v>45800.543854166666</x:v>
      </x:c>
      <x:c r="I1231" s="89" t="n">
        <x:v>45801.0021875</x:v>
      </x:c>
      <x:c r="J1231" s="84" t="str">
        <x:v>Crítica</x:v>
      </x:c>
      <x:c r="K1231" s="84" t="str">
        <x:v>Concluída</x:v>
      </x:c>
      <x:c r="L1231" s="84" t="str">
        <x:v>Baixa pressão</x:v>
      </x:c>
      <x:c r="M1231" s="84" t="str">
        <x:v>Componente danificado</x:v>
      </x:c>
      <x:c r="N1231" s="84" t="str">
        <x:v>Componente ajustado ou substituído</x:v>
      </x:c>
      <x:c r="O1231" s="84" t="n">
        <x:v>0</x:v>
      </x:c>
      <x:c r="P1231" s="93" t="n">
        <x:v>117.86</x:v>
      </x:c>
      <x:c r="Q1231" s="93" t="n">
        <x:v>6625.4</x:v>
      </x:c>
      <x:c r="R1231" s="91" t="n">
        <x:v>0</x:v>
      </x:c>
    </x:row>
    <x:row r="1232">
      <x:c r="A1232" s="83" t="n">
        <x:v>1231</x:v>
      </x:c>
      <x:c r="B1232" s="84" t="str">
        <x:v>OS-2024-01231</x:v>
      </x:c>
      <x:c r="C1232" s="84" t="n">
        <x:v>32</x:v>
      </x:c>
      <x:c r="D1232" s="84" t="n">
        <x:v>5</x:v>
      </x:c>
      <x:c r="E1232" s="84" t="n">
        <x:v>64</x:v>
      </x:c>
      <x:c r="F1232" s="89" t="n">
        <x:v>45458.81820601852</x:v>
      </x:c>
      <x:c r="G1232" s="89" t="n">
        <x:v>45471.81820601852</x:v>
      </x:c>
      <x:c r="H1232" s="89" t="n">
        <x:v>45459.27653935185</x:v>
      </x:c>
      <x:c r="I1232" s="89"/>
      <x:c r="J1232" s="84" t="str">
        <x:v>Média</x:v>
      </x:c>
      <x:c r="K1232" s="84" t="str">
        <x:v>Em execução</x:v>
      </x:c>
      <x:c r="L1232" s="84" t="str">
        <x:v>Superaquecimento</x:v>
      </x:c>
      <x:c r="M1232" s="84" t="str">
        <x:v>Componente danificado</x:v>
      </x:c>
      <x:c r="N1232" s="84"/>
      <x:c r="O1232" s="84" t="n">
        <x:v>0</x:v>
      </x:c>
      <x:c r="P1232" s="93" t="n">
        <x:v>213.77</x:v>
      </x:c>
      <x:c r="Q1232" s="93" t="n">
        <x:v>1439.62</x:v>
      </x:c>
      <x:c r="R1232" s="91" t="n">
        <x:v>0</x:v>
      </x:c>
    </x:row>
    <x:row r="1233">
      <x:c r="A1233" s="83" t="n">
        <x:v>1232</x:v>
      </x:c>
      <x:c r="B1233" s="84" t="str">
        <x:v>OS-2023-01232</x:v>
      </x:c>
      <x:c r="C1233" s="84" t="n">
        <x:v>34</x:v>
      </x:c>
      <x:c r="D1233" s="84" t="n">
        <x:v>2</x:v>
      </x:c>
      <x:c r="E1233" s="84"/>
      <x:c r="F1233" s="89" t="n">
        <x:v>45151.37805555556</x:v>
      </x:c>
      <x:c r="G1233" s="89" t="n">
        <x:v>45162.37805555556</x:v>
      </x:c>
      <x:c r="H1233" s="89" t="n">
        <x:v>45152.37805555556</x:v>
      </x:c>
      <x:c r="I1233" s="89" t="n">
        <x:v>45152.62805555556</x:v>
      </x:c>
      <x:c r="J1233" s="84" t="str">
        <x:v>Crítica</x:v>
      </x:c>
      <x:c r="K1233" s="84" t="str">
        <x:v>Encerrada</x:v>
      </x:c>
      <x:c r="L1233" s="84" t="str">
        <x:v>Superaquecimento</x:v>
      </x:c>
      <x:c r="M1233" s="84" t="str">
        <x:v>Ajuste incorreto</x:v>
      </x:c>
      <x:c r="N1233" s="84" t="str">
        <x:v>Componente ajustado ou substituído</x:v>
      </x:c>
      <x:c r="O1233" s="84" t="n">
        <x:v>0</x:v>
      </x:c>
      <x:c r="P1233" s="93" t="n">
        <x:v>184.34</x:v>
      </x:c>
      <x:c r="Q1233" s="93" t="n">
        <x:v>3269.66</x:v>
      </x:c>
      <x:c r="R1233" s="91" t="n">
        <x:v>0</x:v>
      </x:c>
    </x:row>
    <x:row r="1234">
      <x:c r="A1234" s="83" t="n">
        <x:v>1233</x:v>
      </x:c>
      <x:c r="B1234" s="84" t="str">
        <x:v>OS-2025-01233</x:v>
      </x:c>
      <x:c r="C1234" s="84" t="n">
        <x:v>22</x:v>
      </x:c>
      <x:c r="D1234" s="84" t="n">
        <x:v>2</x:v>
      </x:c>
      <x:c r="E1234" s="84"/>
      <x:c r="F1234" s="89" t="n">
        <x:v>45750.39387731482</x:v>
      </x:c>
      <x:c r="G1234" s="89" t="n">
        <x:v>45751.39387731482</x:v>
      </x:c>
      <x:c r="H1234" s="89" t="n">
        <x:v>45751.35221064815</x:v>
      </x:c>
      <x:c r="I1234" s="89" t="n">
        <x:v>45751.43554398148</x:v>
      </x:c>
      <x:c r="J1234" s="84" t="str">
        <x:v>Alta</x:v>
      </x:c>
      <x:c r="K1234" s="84" t="str">
        <x:v>Encerrada</x:v>
      </x:c>
      <x:c r="L1234" s="84" t="str">
        <x:v>Ruído anormal</x:v>
      </x:c>
      <x:c r="M1234" s="84" t="str">
        <x:v>Desgaste natural</x:v>
      </x:c>
      <x:c r="N1234" s="84" t="str">
        <x:v>Componente ajustado ou substituído</x:v>
      </x:c>
      <x:c r="O1234" s="84" t="n">
        <x:v>0</x:v>
      </x:c>
      <x:c r="P1234" s="93" t="n">
        <x:v>345.99</x:v>
      </x:c>
      <x:c r="Q1234" s="93" t="n">
        <x:v>6999.64</x:v>
      </x:c>
      <x:c r="R1234" s="91" t="n">
        <x:v>0</x:v>
      </x:c>
    </x:row>
    <x:row r="1235">
      <x:c r="A1235" s="83" t="n">
        <x:v>1234</x:v>
      </x:c>
      <x:c r="B1235" s="84" t="str">
        <x:v>OS-2025-01234</x:v>
      </x:c>
      <x:c r="C1235" s="84" t="n">
        <x:v>38</x:v>
      </x:c>
      <x:c r="D1235" s="84" t="n">
        <x:v>2</x:v>
      </x:c>
      <x:c r="E1235" s="84"/>
      <x:c r="F1235" s="89" t="n">
        <x:v>45981.710011574076</x:v>
      </x:c>
      <x:c r="G1235" s="89" t="n">
        <x:v>45994.710011574076</x:v>
      </x:c>
      <x:c r="H1235" s="89" t="n">
        <x:v>45982.168344907404</x:v>
      </x:c>
      <x:c r="I1235" s="89" t="n">
        <x:v>45982.835011574076</x:v>
      </x:c>
      <x:c r="J1235" s="84" t="str">
        <x:v>Baixa</x:v>
      </x:c>
      <x:c r="K1235" s="84" t="str">
        <x:v>Encerrada</x:v>
      </x:c>
      <x:c r="L1235" s="84" t="str">
        <x:v>Alarme intermitente</x:v>
      </x:c>
      <x:c r="M1235" s="84" t="str">
        <x:v>Componente danificado</x:v>
      </x:c>
      <x:c r="N1235" s="84" t="str">
        <x:v>Componente ajustado ou substituído</x:v>
      </x:c>
      <x:c r="O1235" s="84" t="n">
        <x:v>0</x:v>
      </x:c>
      <x:c r="P1235" s="93" t="n">
        <x:v>749.77</x:v>
      </x:c>
      <x:c r="Q1235" s="93" t="n">
        <x:v>8543.52</x:v>
      </x:c>
      <x:c r="R1235" s="91" t="n">
        <x:v>0</x:v>
      </x:c>
    </x:row>
    <x:row r="1236">
      <x:c r="A1236" s="83" t="n">
        <x:v>1235</x:v>
      </x:c>
      <x:c r="B1236" s="84" t="str">
        <x:v>OS-2024-01235</x:v>
      </x:c>
      <x:c r="C1236" s="84" t="n">
        <x:v>22</x:v>
      </x:c>
      <x:c r="D1236" s="84" t="n">
        <x:v>2</x:v>
      </x:c>
      <x:c r="E1236" s="84"/>
      <x:c r="F1236" s="89" t="n">
        <x:v>45571.63284722222</x:v>
      </x:c>
      <x:c r="G1236" s="89" t="n">
        <x:v>45581.63284722222</x:v>
      </x:c>
      <x:c r="H1236" s="89" t="n">
        <x:v>45574.13284722222</x:v>
      </x:c>
      <x:c r="I1236" s="89" t="n">
        <x:v>45574.92451388889</x:v>
      </x:c>
      <x:c r="J1236" s="84" t="str">
        <x:v>Baixa</x:v>
      </x:c>
      <x:c r="K1236" s="84" t="str">
        <x:v>Encerrada</x:v>
      </x:c>
      <x:c r="L1236" s="84" t="str">
        <x:v>Alarme intermitente</x:v>
      </x:c>
      <x:c r="M1236" s="84" t="str">
        <x:v>Desgaste natural</x:v>
      </x:c>
      <x:c r="N1236" s="84" t="str">
        <x:v>Componente ajustado ou substituído</x:v>
      </x:c>
      <x:c r="O1236" s="84" t="n">
        <x:v>0</x:v>
      </x:c>
      <x:c r="P1236" s="93" t="n">
        <x:v>565.09</x:v>
      </x:c>
      <x:c r="Q1236" s="93" t="n">
        <x:v>6225.44</x:v>
      </x:c>
      <x:c r="R1236" s="91" t="n">
        <x:v>0</x:v>
      </x:c>
    </x:row>
    <x:row r="1237">
      <x:c r="A1237" s="83" t="n">
        <x:v>1236</x:v>
      </x:c>
      <x:c r="B1237" s="84" t="str">
        <x:v>OS-2023-01236</x:v>
      </x:c>
      <x:c r="C1237" s="84" t="n">
        <x:v>58</x:v>
      </x:c>
      <x:c r="D1237" s="84" t="n">
        <x:v>3</x:v>
      </x:c>
      <x:c r="E1237" s="84"/>
      <x:c r="F1237" s="89" t="n">
        <x:v>45026.6521875</x:v>
      </x:c>
      <x:c r="G1237" s="89"/>
      <x:c r="H1237" s="89"/>
      <x:c r="I1237" s="89"/>
      <x:c r="J1237" s="84" t="str">
        <x:v>Baixa</x:v>
      </x:c>
      <x:c r="K1237" s="84" t="str">
        <x:v>Planejada</x:v>
      </x:c>
      <x:c r="L1237" s="84" t="str">
        <x:v>Vazamento</x:v>
      </x:c>
      <x:c r="M1237" s="84"/>
      <x:c r="N1237" s="84"/>
      <x:c r="O1237" s="84" t="n">
        <x:v>0</x:v>
      </x:c>
      <x:c r="P1237" s="93" t="n">
        <x:v>0</x:v>
      </x:c>
      <x:c r="Q1237" s="93" t="n">
        <x:v>0</x:v>
      </x:c>
      <x:c r="R1237" s="91" t="n">
        <x:v>0</x:v>
      </x:c>
    </x:row>
    <x:row r="1238">
      <x:c r="A1238" s="83" t="n">
        <x:v>1237</x:v>
      </x:c>
      <x:c r="B1238" s="84" t="str">
        <x:v>OS-2023-01237</x:v>
      </x:c>
      <x:c r="C1238" s="84" t="n">
        <x:v>4</x:v>
      </x:c>
      <x:c r="D1238" s="84" t="n">
        <x:v>2</x:v>
      </x:c>
      <x:c r="E1238" s="84"/>
      <x:c r="F1238" s="89" t="n">
        <x:v>45023.316400462965</x:v>
      </x:c>
      <x:c r="G1238" s="89" t="n">
        <x:v>45027.316400462965</x:v>
      </x:c>
      <x:c r="H1238" s="89" t="n">
        <x:v>45024.524733796294</x:v>
      </x:c>
      <x:c r="I1238" s="89" t="n">
        <x:v>45025.274733796294</x:v>
      </x:c>
      <x:c r="J1238" s="84" t="str">
        <x:v>Baixa</x:v>
      </x:c>
      <x:c r="K1238" s="84" t="str">
        <x:v>Encerrada</x:v>
      </x:c>
      <x:c r="L1238" s="84" t="str">
        <x:v>Superaquecimento</x:v>
      </x:c>
      <x:c r="M1238" s="84" t="str">
        <x:v>Componente danificado</x:v>
      </x:c>
      <x:c r="N1238" s="84" t="str">
        <x:v>Componente ajustado ou substituído</x:v>
      </x:c>
      <x:c r="O1238" s="84" t="n">
        <x:v>0</x:v>
      </x:c>
      <x:c r="P1238" s="93" t="n">
        <x:v>577.06</x:v>
      </x:c>
      <x:c r="Q1238" s="93" t="n">
        <x:v>4728.08</x:v>
      </x:c>
      <x:c r="R1238" s="91" t="n">
        <x:v>0</x:v>
      </x:c>
    </x:row>
    <x:row r="1239">
      <x:c r="A1239" s="83" t="n">
        <x:v>1238</x:v>
      </x:c>
      <x:c r="B1239" s="84" t="str">
        <x:v>OS-2025-01238</x:v>
      </x:c>
      <x:c r="C1239" s="84" t="n">
        <x:v>53</x:v>
      </x:c>
      <x:c r="D1239" s="84" t="n">
        <x:v>5</x:v>
      </x:c>
      <x:c r="E1239" s="84" t="n">
        <x:v>105</x:v>
      </x:c>
      <x:c r="F1239" s="89" t="n">
        <x:v>45787.35234953704</x:v>
      </x:c>
      <x:c r="G1239" s="89" t="n">
        <x:v>45795.35234953704</x:v>
      </x:c>
      <x:c r="H1239" s="89"/>
      <x:c r="I1239" s="89"/>
      <x:c r="J1239" s="84" t="str">
        <x:v>Crítica</x:v>
      </x:c>
      <x:c r="K1239" s="84" t="str">
        <x:v>Cancelada</x:v>
      </x:c>
      <x:c r="L1239" s="84" t="str">
        <x:v>Ruído anormal</x:v>
      </x:c>
      <x:c r="M1239" s="84"/>
      <x:c r="N1239" s="84"/>
      <x:c r="O1239" s="84" t="n">
        <x:v>0</x:v>
      </x:c>
      <x:c r="P1239" s="93" t="n">
        <x:v>0</x:v>
      </x:c>
      <x:c r="Q1239" s="93" t="n">
        <x:v>0</x:v>
      </x:c>
      <x:c r="R1239" s="91" t="n">
        <x:v>0</x:v>
      </x:c>
    </x:row>
    <x:row r="1240">
      <x:c r="A1240" s="83" t="n">
        <x:v>1239</x:v>
      </x:c>
      <x:c r="B1240" s="84" t="str">
        <x:v>OS-2024-01239</x:v>
      </x:c>
      <x:c r="C1240" s="84" t="n">
        <x:v>49</x:v>
      </x:c>
      <x:c r="D1240" s="84" t="n">
        <x:v>2</x:v>
      </x:c>
      <x:c r="E1240" s="84"/>
      <x:c r="F1240" s="89" t="n">
        <x:v>45438.022569444445</x:v>
      </x:c>
      <x:c r="G1240" s="89" t="n">
        <x:v>45446.022569444445</x:v>
      </x:c>
      <x:c r="H1240" s="89" t="n">
        <x:v>45440.147569444445</x:v>
      </x:c>
      <x:c r="I1240" s="89"/>
      <x:c r="J1240" s="84" t="str">
        <x:v>Crítica</x:v>
      </x:c>
      <x:c r="K1240" s="84" t="str">
        <x:v>Aguardando peça</x:v>
      </x:c>
      <x:c r="L1240" s="84" t="str">
        <x:v>Alarme intermitente</x:v>
      </x:c>
      <x:c r="M1240" s="84" t="str">
        <x:v>Conexão frouxa</x:v>
      </x:c>
      <x:c r="N1240" s="84"/>
      <x:c r="O1240" s="84" t="n">
        <x:v>0</x:v>
      </x:c>
      <x:c r="P1240" s="93" t="n">
        <x:v>431.41</x:v>
      </x:c>
      <x:c r="Q1240" s="93" t="n">
        <x:v>7462.07</x:v>
      </x:c>
      <x:c r="R1240" s="91" t="n">
        <x:v>0</x:v>
      </x:c>
    </x:row>
    <x:row r="1241">
      <x:c r="A1241" s="83" t="n">
        <x:v>1240</x:v>
      </x:c>
      <x:c r="B1241" s="84" t="str">
        <x:v>OS-2023-01240</x:v>
      </x:c>
      <x:c r="C1241" s="84" t="n">
        <x:v>3</x:v>
      </x:c>
      <x:c r="D1241" s="84" t="n">
        <x:v>7</x:v>
      </x:c>
      <x:c r="E1241" s="84" t="n">
        <x:v>6</x:v>
      </x:c>
      <x:c r="F1241" s="89" t="n">
        <x:v>45010.68646990741</x:v>
      </x:c>
      <x:c r="G1241" s="89" t="n">
        <x:v>45014.68646990741</x:v>
      </x:c>
      <x:c r="H1241" s="89" t="n">
        <x:v>45012.39480324074</x:v>
      </x:c>
      <x:c r="I1241" s="89"/>
      <x:c r="J1241" s="84" t="str">
        <x:v>Alta</x:v>
      </x:c>
      <x:c r="K1241" s="84" t="str">
        <x:v>Em execução</x:v>
      </x:c>
      <x:c r="L1241" s="84" t="str">
        <x:v>Ruído anormal</x:v>
      </x:c>
      <x:c r="M1241" s="84" t="str">
        <x:v>Desgaste natural</x:v>
      </x:c>
      <x:c r="N1241" s="84"/>
      <x:c r="O1241" s="84" t="n">
        <x:v>0</x:v>
      </x:c>
      <x:c r="P1241" s="93" t="n">
        <x:v>79</x:v>
      </x:c>
      <x:c r="Q1241" s="93" t="n">
        <x:v>4343.48</x:v>
      </x:c>
      <x:c r="R1241" s="91" t="n">
        <x:v>0</x:v>
      </x:c>
    </x:row>
    <x:row r="1242">
      <x:c r="A1242" s="83" t="n">
        <x:v>1241</x:v>
      </x:c>
      <x:c r="B1242" s="84" t="str">
        <x:v>OS-2023-01241</x:v>
      </x:c>
      <x:c r="C1242" s="84" t="n">
        <x:v>62</x:v>
      </x:c>
      <x:c r="D1242" s="84" t="n">
        <x:v>2</x:v>
      </x:c>
      <x:c r="E1242" s="84"/>
      <x:c r="F1242" s="89" t="n">
        <x:v>45078.89053240741</x:v>
      </x:c>
      <x:c r="G1242" s="89" t="n">
        <x:v>45087.89053240741</x:v>
      </x:c>
      <x:c r="H1242" s="89" t="n">
        <x:v>45079.01553240741</x:v>
      </x:c>
      <x:c r="I1242" s="89" t="n">
        <x:v>45079.64053240741</x:v>
      </x:c>
      <x:c r="J1242" s="84" t="str">
        <x:v>Média</x:v>
      </x:c>
      <x:c r="K1242" s="84" t="str">
        <x:v>Encerrada</x:v>
      </x:c>
      <x:c r="L1242" s="84" t="str">
        <x:v>Ruído anormal</x:v>
      </x:c>
      <x:c r="M1242" s="84" t="str">
        <x:v>Componente danificado</x:v>
      </x:c>
      <x:c r="N1242" s="84" t="str">
        <x:v>Componente ajustado ou substituído</x:v>
      </x:c>
      <x:c r="O1242" s="84" t="n">
        <x:v>0</x:v>
      </x:c>
      <x:c r="P1242" s="93" t="n">
        <x:v>427.25</x:v>
      </x:c>
      <x:c r="Q1242" s="93" t="n">
        <x:v>2175.62</x:v>
      </x:c>
      <x:c r="R1242" s="91" t="n">
        <x:v>7747.88</x:v>
      </x:c>
    </x:row>
    <x:row r="1243">
      <x:c r="A1243" s="83" t="n">
        <x:v>1242</x:v>
      </x:c>
      <x:c r="B1243" s="84" t="str">
        <x:v>OS-2023-01242</x:v>
      </x:c>
      <x:c r="C1243" s="84" t="n">
        <x:v>61</x:v>
      </x:c>
      <x:c r="D1243" s="84" t="n">
        <x:v>5</x:v>
      </x:c>
      <x:c r="E1243" s="84" t="n">
        <x:v>122</x:v>
      </x:c>
      <x:c r="F1243" s="89" t="n">
        <x:v>45185.12517361111</x:v>
      </x:c>
      <x:c r="G1243" s="89" t="n">
        <x:v>45192.12517361111</x:v>
      </x:c>
      <x:c r="H1243" s="89" t="n">
        <x:v>45188.00017361111</x:v>
      </x:c>
      <x:c r="I1243" s="89" t="n">
        <x:v>45188.583506944444</x:v>
      </x:c>
      <x:c r="J1243" s="84" t="str">
        <x:v>Média</x:v>
      </x:c>
      <x:c r="K1243" s="84" t="str">
        <x:v>Encerrada</x:v>
      </x:c>
      <x:c r="L1243" s="84" t="str">
        <x:v>Vazamento</x:v>
      </x:c>
      <x:c r="M1243" s="84" t="str">
        <x:v>Ajuste incorreto</x:v>
      </x:c>
      <x:c r="N1243" s="84" t="str">
        <x:v>Componente ajustado ou substituído</x:v>
      </x:c>
      <x:c r="O1243" s="84" t="n">
        <x:v>0</x:v>
      </x:c>
      <x:c r="P1243" s="93" t="n">
        <x:v>570.85</x:v>
      </x:c>
      <x:c r="Q1243" s="93" t="n">
        <x:v>5029.03</x:v>
      </x:c>
      <x:c r="R1243" s="91" t="n">
        <x:v>0</x:v>
      </x:c>
    </x:row>
    <x:row r="1244">
      <x:c r="A1244" s="83" t="n">
        <x:v>1243</x:v>
      </x:c>
      <x:c r="B1244" s="84" t="str">
        <x:v>OS-2025-01243</x:v>
      </x:c>
      <x:c r="C1244" s="84" t="n">
        <x:v>3</x:v>
      </x:c>
      <x:c r="D1244" s="84" t="n">
        <x:v>3</x:v>
      </x:c>
      <x:c r="E1244" s="84"/>
      <x:c r="F1244" s="89" t="n">
        <x:v>45767.86449074074</x:v>
      </x:c>
      <x:c r="G1244" s="89"/>
      <x:c r="H1244" s="89"/>
      <x:c r="I1244" s="89"/>
      <x:c r="J1244" s="84" t="str">
        <x:v>Baixa</x:v>
      </x:c>
      <x:c r="K1244" s="84" t="str">
        <x:v>Cancelada</x:v>
      </x:c>
      <x:c r="L1244" s="84" t="str">
        <x:v>Vazamento</x:v>
      </x:c>
      <x:c r="M1244" s="84"/>
      <x:c r="N1244" s="84"/>
      <x:c r="O1244" s="84" t="n">
        <x:v>0</x:v>
      </x:c>
      <x:c r="P1244" s="93" t="n">
        <x:v>0</x:v>
      </x:c>
      <x:c r="Q1244" s="93" t="n">
        <x:v>0</x:v>
      </x:c>
      <x:c r="R1244" s="91" t="n">
        <x:v>0</x:v>
      </x:c>
    </x:row>
    <x:row r="1245">
      <x:c r="A1245" s="83" t="n">
        <x:v>1244</x:v>
      </x:c>
      <x:c r="B1245" s="84" t="str">
        <x:v>OS-2023-01244</x:v>
      </x:c>
      <x:c r="C1245" s="84" t="n">
        <x:v>87</x:v>
      </x:c>
      <x:c r="D1245" s="84" t="n">
        <x:v>1</x:v>
      </x:c>
      <x:c r="E1245" s="84" t="n">
        <x:v>174</x:v>
      </x:c>
      <x:c r="F1245" s="89" t="n">
        <x:v>45012.96326388889</x:v>
      </x:c>
      <x:c r="G1245" s="89" t="n">
        <x:v>45012.96326388889</x:v>
      </x:c>
      <x:c r="H1245" s="89" t="n">
        <x:v>45015.87993055556</x:v>
      </x:c>
      <x:c r="I1245" s="89"/>
      <x:c r="J1245" s="84" t="str">
        <x:v>Crítica</x:v>
      </x:c>
      <x:c r="K1245" s="84" t="str">
        <x:v>Aguardando peça</x:v>
      </x:c>
      <x:c r="L1245" s="84" t="str">
        <x:v>Desalinhamento</x:v>
      </x:c>
      <x:c r="M1245" s="84" t="str">
        <x:v>Conexão frouxa</x:v>
      </x:c>
      <x:c r="N1245" s="84"/>
      <x:c r="O1245" s="84" t="n">
        <x:v>0</x:v>
      </x:c>
      <x:c r="P1245" s="93" t="n">
        <x:v>234.6</x:v>
      </x:c>
      <x:c r="Q1245" s="93" t="n">
        <x:v>6923.73</x:v>
      </x:c>
      <x:c r="R1245" s="91" t="n">
        <x:v>0</x:v>
      </x:c>
    </x:row>
    <x:row r="1246">
      <x:c r="A1246" s="83" t="n">
        <x:v>1245</x:v>
      </x:c>
      <x:c r="B1246" s="84" t="str">
        <x:v>OS-2025-01245</x:v>
      </x:c>
      <x:c r="C1246" s="84" t="n">
        <x:v>67</x:v>
      </x:c>
      <x:c r="D1246" s="84" t="n">
        <x:v>1</x:v>
      </x:c>
      <x:c r="E1246" s="84" t="n">
        <x:v>133</x:v>
      </x:c>
      <x:c r="F1246" s="89" t="n">
        <x:v>45864.020902777775</x:v>
      </x:c>
      <x:c r="G1246" s="89" t="n">
        <x:v>45879.020902777775</x:v>
      </x:c>
      <x:c r="H1246" s="89"/>
      <x:c r="I1246" s="89"/>
      <x:c r="J1246" s="84" t="str">
        <x:v>Crítica</x:v>
      </x:c>
      <x:c r="K1246" s="84" t="str">
        <x:v>Planejada</x:v>
      </x:c>
      <x:c r="L1246" s="84" t="str">
        <x:v>Superaquecimento</x:v>
      </x:c>
      <x:c r="M1246" s="84"/>
      <x:c r="N1246" s="84"/>
      <x:c r="O1246" s="84" t="n">
        <x:v>0</x:v>
      </x:c>
      <x:c r="P1246" s="93" t="n">
        <x:v>0</x:v>
      </x:c>
      <x:c r="Q1246" s="93" t="n">
        <x:v>0</x:v>
      </x:c>
      <x:c r="R1246" s="91" t="n">
        <x:v>0</x:v>
      </x:c>
    </x:row>
    <x:row r="1247">
      <x:c r="A1247" s="83" t="n">
        <x:v>1246</x:v>
      </x:c>
      <x:c r="B1247" s="84" t="str">
        <x:v>OS-2024-01246</x:v>
      </x:c>
      <x:c r="C1247" s="84" t="n">
        <x:v>33</x:v>
      </x:c>
      <x:c r="D1247" s="84" t="n">
        <x:v>1</x:v>
      </x:c>
      <x:c r="E1247" s="84" t="n">
        <x:v>65</x:v>
      </x:c>
      <x:c r="F1247" s="89" t="n">
        <x:v>45377.18068287037</x:v>
      </x:c>
      <x:c r="G1247" s="89" t="n">
        <x:v>45383.18068287037</x:v>
      </x:c>
      <x:c r="H1247" s="89" t="n">
        <x:v>45378.264016203706</x:v>
      </x:c>
      <x:c r="I1247" s="89"/>
      <x:c r="J1247" s="84" t="str">
        <x:v>Baixa</x:v>
      </x:c>
      <x:c r="K1247" s="84" t="str">
        <x:v>Aguardando peça</x:v>
      </x:c>
      <x:c r="L1247" s="84" t="str">
        <x:v>Ruído anormal</x:v>
      </x:c>
      <x:c r="M1247" s="84" t="str">
        <x:v>Contaminação</x:v>
      </x:c>
      <x:c r="N1247" s="84"/>
      <x:c r="O1247" s="84" t="n">
        <x:v>0</x:v>
      </x:c>
      <x:c r="P1247" s="93" t="n">
        <x:v>450.92</x:v>
      </x:c>
      <x:c r="Q1247" s="93" t="n">
        <x:v>0</x:v>
      </x:c>
      <x:c r="R1247" s="91" t="n">
        <x:v>0</x:v>
      </x:c>
    </x:row>
    <x:row r="1248">
      <x:c r="A1248" s="83" t="n">
        <x:v>1247</x:v>
      </x:c>
      <x:c r="B1248" s="84" t="str">
        <x:v>OS-2024-01247</x:v>
      </x:c>
      <x:c r="C1248" s="84" t="n">
        <x:v>57</x:v>
      </x:c>
      <x:c r="D1248" s="84" t="n">
        <x:v>3</x:v>
      </x:c>
      <x:c r="E1248" s="84"/>
      <x:c r="F1248" s="89" t="n">
        <x:v>45510.881747685184</x:v>
      </x:c>
      <x:c r="G1248" s="89"/>
      <x:c r="H1248" s="89" t="n">
        <x:v>45512.673414351855</x:v>
      </x:c>
      <x:c r="I1248" s="89" t="n">
        <x:v>45513.006747685184</x:v>
      </x:c>
      <x:c r="J1248" s="84" t="str">
        <x:v>Crítica</x:v>
      </x:c>
      <x:c r="K1248" s="84" t="str">
        <x:v>Encerrada</x:v>
      </x:c>
      <x:c r="L1248" s="84" t="str">
        <x:v>Desalinhamento</x:v>
      </x:c>
      <x:c r="M1248" s="84" t="str">
        <x:v>Falta de lubrificação</x:v>
      </x:c>
      <x:c r="N1248" s="84" t="str">
        <x:v>Componente ajustado ou substituído</x:v>
      </x:c>
      <x:c r="O1248" s="84" t="n">
        <x:v>0</x:v>
      </x:c>
      <x:c r="P1248" s="93" t="n">
        <x:v>231.04</x:v>
      </x:c>
      <x:c r="Q1248" s="93" t="n">
        <x:v>4187.21</x:v>
      </x:c>
      <x:c r="R1248" s="91" t="n">
        <x:v>0</x:v>
      </x:c>
    </x:row>
    <x:row r="1249">
      <x:c r="A1249" s="83" t="n">
        <x:v>1248</x:v>
      </x:c>
      <x:c r="B1249" s="84" t="str">
        <x:v>OS-2024-01248</x:v>
      </x:c>
      <x:c r="C1249" s="84" t="n">
        <x:v>76</x:v>
      </x:c>
      <x:c r="D1249" s="84" t="n">
        <x:v>8</x:v>
      </x:c>
      <x:c r="E1249" s="84"/>
      <x:c r="F1249" s="89" t="n">
        <x:v>45525.79179398148</x:v>
      </x:c>
      <x:c r="G1249" s="89" t="n">
        <x:v>45535.79179398148</x:v>
      </x:c>
      <x:c r="H1249" s="89" t="n">
        <x:v>45526.20846064815</x:v>
      </x:c>
      <x:c r="I1249" s="89" t="n">
        <x:v>45526.41679398148</x:v>
      </x:c>
      <x:c r="J1249" s="84" t="str">
        <x:v>Média</x:v>
      </x:c>
      <x:c r="K1249" s="84" t="str">
        <x:v>Encerrada</x:v>
      </x:c>
      <x:c r="L1249" s="84" t="str">
        <x:v>Vazamento</x:v>
      </x:c>
      <x:c r="M1249" s="84" t="str">
        <x:v>Desgaste natural</x:v>
      </x:c>
      <x:c r="N1249" s="84" t="str">
        <x:v>Componente ajustado ou substituído</x:v>
      </x:c>
      <x:c r="O1249" s="84" t="n">
        <x:v>0</x:v>
      </x:c>
      <x:c r="P1249" s="93" t="n">
        <x:v>512.03</x:v>
      </x:c>
      <x:c r="Q1249" s="93" t="n">
        <x:v>0</x:v>
      </x:c>
      <x:c r="R1249" s="91" t="n">
        <x:v>0</x:v>
      </x:c>
    </x:row>
    <x:row r="1250">
      <x:c r="A1250" s="83" t="n">
        <x:v>1249</x:v>
      </x:c>
      <x:c r="B1250" s="84" t="str">
        <x:v>OS-2023-01249</x:v>
      </x:c>
      <x:c r="C1250" s="84" t="n">
        <x:v>6</x:v>
      </x:c>
      <x:c r="D1250" s="84" t="n">
        <x:v>3</x:v>
      </x:c>
      <x:c r="E1250" s="84"/>
      <x:c r="F1250" s="89" t="n">
        <x:v>45186.4262962963</x:v>
      </x:c>
      <x:c r="G1250" s="89"/>
      <x:c r="H1250" s="89"/>
      <x:c r="I1250" s="89"/>
      <x:c r="J1250" s="84" t="str">
        <x:v>Crítica</x:v>
      </x:c>
      <x:c r="K1250" s="84" t="str">
        <x:v>Planejada</x:v>
      </x:c>
      <x:c r="L1250" s="84" t="str">
        <x:v>Ruído anormal</x:v>
      </x:c>
      <x:c r="M1250" s="84"/>
      <x:c r="N1250" s="84"/>
      <x:c r="O1250" s="84" t="n">
        <x:v>1</x:v>
      </x:c>
      <x:c r="P1250" s="93" t="n">
        <x:v>0</x:v>
      </x:c>
      <x:c r="Q1250" s="93" t="n">
        <x:v>0</x:v>
      </x:c>
      <x:c r="R1250" s="91" t="n">
        <x:v>0</x:v>
      </x:c>
    </x:row>
    <x:row r="1251">
      <x:c r="A1251" s="83" t="n">
        <x:v>1250</x:v>
      </x:c>
      <x:c r="B1251" s="84" t="str">
        <x:v>OS-2025-01250</x:v>
      </x:c>
      <x:c r="C1251" s="84" t="n">
        <x:v>28</x:v>
      </x:c>
      <x:c r="D1251" s="84" t="n">
        <x:v>3</x:v>
      </x:c>
      <x:c r="E1251" s="84"/>
      <x:c r="F1251" s="89" t="n">
        <x:v>45950.75033564815</x:v>
      </x:c>
      <x:c r="G1251" s="89"/>
      <x:c r="H1251" s="89" t="n">
        <x:v>45952.50033564815</x:v>
      </x:c>
      <x:c r="I1251" s="89"/>
      <x:c r="J1251" s="84" t="str">
        <x:v>Crítica</x:v>
      </x:c>
      <x:c r="K1251" s="84" t="str">
        <x:v>Em execução</x:v>
      </x:c>
      <x:c r="L1251" s="84" t="str">
        <x:v>Baixa pressão</x:v>
      </x:c>
      <x:c r="M1251" s="84" t="str">
        <x:v>Componente danificado</x:v>
      </x:c>
      <x:c r="N1251" s="84"/>
      <x:c r="O1251" s="84" t="n">
        <x:v>0</x:v>
      </x:c>
      <x:c r="P1251" s="93" t="n">
        <x:v>437.25</x:v>
      </x:c>
      <x:c r="Q1251" s="93" t="n">
        <x:v>482.07</x:v>
      </x:c>
      <x:c r="R1251" s="91" t="n">
        <x:v>0</x:v>
      </x:c>
    </x:row>
    <x:row r="1252">
      <x:c r="A1252" s="83" t="n">
        <x:v>1251</x:v>
      </x:c>
      <x:c r="B1252" s="84" t="str">
        <x:v>OS-2023-01251</x:v>
      </x:c>
      <x:c r="C1252" s="84" t="n">
        <x:v>31</x:v>
      </x:c>
      <x:c r="D1252" s="84" t="n">
        <x:v>2</x:v>
      </x:c>
      <x:c r="E1252" s="84"/>
      <x:c r="F1252" s="89" t="n">
        <x:v>45098.178622685184</x:v>
      </x:c>
      <x:c r="G1252" s="89" t="n">
        <x:v>45101.178622685184</x:v>
      </x:c>
      <x:c r="H1252" s="89" t="n">
        <x:v>45099.845289351855</x:v>
      </x:c>
      <x:c r="I1252" s="89" t="n">
        <x:v>45100.053622685184</x:v>
      </x:c>
      <x:c r="J1252" s="84" t="str">
        <x:v>Crítica</x:v>
      </x:c>
      <x:c r="K1252" s="84" t="str">
        <x:v>Encerrada</x:v>
      </x:c>
      <x:c r="L1252" s="84" t="str">
        <x:v>Ruído anormal</x:v>
      </x:c>
      <x:c r="M1252" s="84" t="str">
        <x:v>Ajuste incorreto</x:v>
      </x:c>
      <x:c r="N1252" s="84" t="str">
        <x:v>Componente ajustado ou substituído</x:v>
      </x:c>
      <x:c r="O1252" s="84" t="n">
        <x:v>0</x:v>
      </x:c>
      <x:c r="P1252" s="93" t="n">
        <x:v>140.28</x:v>
      </x:c>
      <x:c r="Q1252" s="93" t="n">
        <x:v>0</x:v>
      </x:c>
      <x:c r="R1252" s="91" t="n">
        <x:v>0</x:v>
      </x:c>
    </x:row>
    <x:row r="1253">
      <x:c r="A1253" s="83" t="n">
        <x:v>1252</x:v>
      </x:c>
      <x:c r="B1253" s="84" t="str">
        <x:v>OS-2023-01252</x:v>
      </x:c>
      <x:c r="C1253" s="84" t="n">
        <x:v>32</x:v>
      </x:c>
      <x:c r="D1253" s="84" t="n">
        <x:v>4</x:v>
      </x:c>
      <x:c r="E1253" s="84"/>
      <x:c r="F1253" s="89" t="n">
        <x:v>45213.31285879629</x:v>
      </x:c>
      <x:c r="G1253" s="89" t="n">
        <x:v>45221.31285879629</x:v>
      </x:c>
      <x:c r="H1253" s="89" t="n">
        <x:v>45214.31285879629</x:v>
      </x:c>
      <x:c r="I1253" s="89" t="n">
        <x:v>45214.81285879629</x:v>
      </x:c>
      <x:c r="J1253" s="84" t="str">
        <x:v>Baixa</x:v>
      </x:c>
      <x:c r="K1253" s="84" t="str">
        <x:v>Concluída</x:v>
      </x:c>
      <x:c r="L1253" s="84" t="str">
        <x:v>Vazamento</x:v>
      </x:c>
      <x:c r="M1253" s="84" t="str">
        <x:v>Conexão frouxa</x:v>
      </x:c>
      <x:c r="N1253" s="84" t="str">
        <x:v>Componente ajustado ou substituído</x:v>
      </x:c>
      <x:c r="O1253" s="84" t="n">
        <x:v>0</x:v>
      </x:c>
      <x:c r="P1253" s="93" t="n">
        <x:v>157.36</x:v>
      </x:c>
      <x:c r="Q1253" s="93" t="n">
        <x:v>7736.76</x:v>
      </x:c>
      <x:c r="R1253" s="91" t="n">
        <x:v>0</x:v>
      </x:c>
    </x:row>
    <x:row r="1254">
      <x:c r="A1254" s="83" t="n">
        <x:v>1253</x:v>
      </x:c>
      <x:c r="B1254" s="84" t="str">
        <x:v>OS-2025-01253</x:v>
      </x:c>
      <x:c r="C1254" s="84" t="n">
        <x:v>31</x:v>
      </x:c>
      <x:c r="D1254" s="84" t="n">
        <x:v>2</x:v>
      </x:c>
      <x:c r="E1254" s="84"/>
      <x:c r="F1254" s="89" t="n">
        <x:v>45719.88868055555</x:v>
      </x:c>
      <x:c r="G1254" s="89" t="n">
        <x:v>45726.88868055555</x:v>
      </x:c>
      <x:c r="H1254" s="89" t="n">
        <x:v>45721.51368055555</x:v>
      </x:c>
      <x:c r="I1254" s="89"/>
      <x:c r="J1254" s="84" t="str">
        <x:v>Crítica</x:v>
      </x:c>
      <x:c r="K1254" s="84" t="str">
        <x:v>Aguardando peça</x:v>
      </x:c>
      <x:c r="L1254" s="84" t="str">
        <x:v>Alarme intermitente</x:v>
      </x:c>
      <x:c r="M1254" s="84" t="str">
        <x:v>Contaminação</x:v>
      </x:c>
      <x:c r="N1254" s="84"/>
      <x:c r="O1254" s="84" t="n">
        <x:v>1</x:v>
      </x:c>
      <x:c r="P1254" s="93" t="n">
        <x:v>566.59</x:v>
      </x:c>
      <x:c r="Q1254" s="93" t="n">
        <x:v>3484.35</x:v>
      </x:c>
      <x:c r="R1254" s="91" t="n">
        <x:v>0</x:v>
      </x:c>
    </x:row>
    <x:row r="1255">
      <x:c r="A1255" s="83" t="n">
        <x:v>1254</x:v>
      </x:c>
      <x:c r="B1255" s="84" t="str">
        <x:v>OS-2024-01254</x:v>
      </x:c>
      <x:c r="C1255" s="84" t="n">
        <x:v>15</x:v>
      </x:c>
      <x:c r="D1255" s="84" t="n">
        <x:v>5</x:v>
      </x:c>
      <x:c r="E1255" s="84" t="n">
        <x:v>29</x:v>
      </x:c>
      <x:c r="F1255" s="89" t="n">
        <x:v>45656.97318287037</x:v>
      </x:c>
      <x:c r="G1255" s="89" t="n">
        <x:v>45657.97318287037</x:v>
      </x:c>
      <x:c r="H1255" s="89" t="n">
        <x:v>45658.1815162037</x:v>
      </x:c>
      <x:c r="I1255" s="89"/>
      <x:c r="J1255" s="84" t="str">
        <x:v>Baixa</x:v>
      </x:c>
      <x:c r="K1255" s="84" t="str">
        <x:v>Aguardando peça</x:v>
      </x:c>
      <x:c r="L1255" s="84" t="str">
        <x:v>Falha elétrica</x:v>
      </x:c>
      <x:c r="M1255" s="84" t="str">
        <x:v>Contaminação</x:v>
      </x:c>
      <x:c r="N1255" s="84"/>
      <x:c r="O1255" s="84" t="n">
        <x:v>0</x:v>
      </x:c>
      <x:c r="P1255" s="93" t="n">
        <x:v>113.82</x:v>
      </x:c>
      <x:c r="Q1255" s="93" t="n">
        <x:v>5874</x:v>
      </x:c>
      <x:c r="R1255" s="91" t="n">
        <x:v>11497.46</x:v>
      </x:c>
    </x:row>
    <x:row r="1256">
      <x:c r="A1256" s="83" t="n">
        <x:v>1255</x:v>
      </x:c>
      <x:c r="B1256" s="84" t="str">
        <x:v>OS-2023-01255</x:v>
      </x:c>
      <x:c r="C1256" s="84" t="n">
        <x:v>60</x:v>
      </x:c>
      <x:c r="D1256" s="84" t="n">
        <x:v>5</x:v>
      </x:c>
      <x:c r="E1256" s="84" t="n">
        <x:v>120</x:v>
      </x:c>
      <x:c r="F1256" s="89" t="n">
        <x:v>45144.22295138889</x:v>
      </x:c>
      <x:c r="G1256" s="89" t="n">
        <x:v>45145.22295138889</x:v>
      </x:c>
      <x:c r="H1256" s="89" t="n">
        <x:v>45146.88961805555</x:v>
      </x:c>
      <x:c r="I1256" s="89" t="n">
        <x:v>45147.09795138889</x:v>
      </x:c>
      <x:c r="J1256" s="84" t="str">
        <x:v>Média</x:v>
      </x:c>
      <x:c r="K1256" s="84" t="str">
        <x:v>Encerrada</x:v>
      </x:c>
      <x:c r="L1256" s="84" t="str">
        <x:v>Vazamento</x:v>
      </x:c>
      <x:c r="M1256" s="84" t="str">
        <x:v>Desgaste natural</x:v>
      </x:c>
      <x:c r="N1256" s="84" t="str">
        <x:v>Componente ajustado ou substituído</x:v>
      </x:c>
      <x:c r="O1256" s="84" t="n">
        <x:v>0</x:v>
      </x:c>
      <x:c r="P1256" s="93" t="n">
        <x:v>647.61</x:v>
      </x:c>
      <x:c r="Q1256" s="93" t="n">
        <x:v>10221.96</x:v>
      </x:c>
      <x:c r="R1256" s="91" t="n">
        <x:v>0</x:v>
      </x:c>
    </x:row>
    <x:row r="1257">
      <x:c r="A1257" s="83" t="n">
        <x:v>1256</x:v>
      </x:c>
      <x:c r="B1257" s="84" t="str">
        <x:v>OS-2025-01256</x:v>
      </x:c>
      <x:c r="C1257" s="84" t="n">
        <x:v>10</x:v>
      </x:c>
      <x:c r="D1257" s="84" t="n">
        <x:v>3</x:v>
      </x:c>
      <x:c r="E1257" s="84"/>
      <x:c r="F1257" s="89" t="n">
        <x:v>45780.528715277775</x:v>
      </x:c>
      <x:c r="G1257" s="89"/>
      <x:c r="H1257" s="89" t="n">
        <x:v>45783.445381944446</x:v>
      </x:c>
      <x:c r="I1257" s="89"/>
      <x:c r="J1257" s="84" t="str">
        <x:v>Alta</x:v>
      </x:c>
      <x:c r="K1257" s="84" t="str">
        <x:v>Em execução</x:v>
      </x:c>
      <x:c r="L1257" s="84" t="str">
        <x:v>Desalinhamento</x:v>
      </x:c>
      <x:c r="M1257" s="84" t="str">
        <x:v>Falta de lubrificação</x:v>
      </x:c>
      <x:c r="N1257" s="84"/>
      <x:c r="O1257" s="84" t="n">
        <x:v>0</x:v>
      </x:c>
      <x:c r="P1257" s="93" t="n">
        <x:v>356.99</x:v>
      </x:c>
      <x:c r="Q1257" s="93" t="n">
        <x:v>6410.21</x:v>
      </x:c>
      <x:c r="R1257" s="91" t="n">
        <x:v>0</x:v>
      </x:c>
    </x:row>
    <x:row r="1258">
      <x:c r="A1258" s="83" t="n">
        <x:v>1257</x:v>
      </x:c>
      <x:c r="B1258" s="84" t="str">
        <x:v>OS-2025-01257</x:v>
      </x:c>
      <x:c r="C1258" s="84" t="n">
        <x:v>3</x:v>
      </x:c>
      <x:c r="D1258" s="84" t="n">
        <x:v>5</x:v>
      </x:c>
      <x:c r="E1258" s="84" t="n">
        <x:v>5</x:v>
      </x:c>
      <x:c r="F1258" s="89" t="n">
        <x:v>45886.42631944444</x:v>
      </x:c>
      <x:c r="G1258" s="89" t="n">
        <x:v>45890.42631944444</x:v>
      </x:c>
      <x:c r="H1258" s="89" t="n">
        <x:v>45886.717986111114</x:v>
      </x:c>
      <x:c r="I1258" s="89" t="n">
        <x:v>45887.38465277778</x:v>
      </x:c>
      <x:c r="J1258" s="84" t="str">
        <x:v>Baixa</x:v>
      </x:c>
      <x:c r="K1258" s="84" t="str">
        <x:v>Encerrada</x:v>
      </x:c>
      <x:c r="L1258" s="84" t="str">
        <x:v>Ruído anormal</x:v>
      </x:c>
      <x:c r="M1258" s="84" t="str">
        <x:v>Contaminação</x:v>
      </x:c>
      <x:c r="N1258" s="84" t="str">
        <x:v>Componente ajustado ou substituído</x:v>
      </x:c>
      <x:c r="O1258" s="84" t="n">
        <x:v>0</x:v>
      </x:c>
      <x:c r="P1258" s="93" t="n">
        <x:v>397.67</x:v>
      </x:c>
      <x:c r="Q1258" s="93" t="n">
        <x:v>0</x:v>
      </x:c>
      <x:c r="R1258" s="91" t="n">
        <x:v>0</x:v>
      </x:c>
    </x:row>
    <x:row r="1259">
      <x:c r="A1259" s="83" t="n">
        <x:v>1258</x:v>
      </x:c>
      <x:c r="B1259" s="84" t="str">
        <x:v>OS-2025-01258</x:v>
      </x:c>
      <x:c r="C1259" s="84" t="n">
        <x:v>79</x:v>
      </x:c>
      <x:c r="D1259" s="84" t="n">
        <x:v>1</x:v>
      </x:c>
      <x:c r="E1259" s="84" t="n">
        <x:v>157</x:v>
      </x:c>
      <x:c r="F1259" s="89" t="n">
        <x:v>45818.56628472222</x:v>
      </x:c>
      <x:c r="G1259" s="89" t="n">
        <x:v>45819.56628472222</x:v>
      </x:c>
      <x:c r="H1259" s="89" t="n">
        <x:v>45820.73295138889</x:v>
      </x:c>
      <x:c r="I1259" s="89" t="n">
        <x:v>45821.524618055555</x:v>
      </x:c>
      <x:c r="J1259" s="84" t="str">
        <x:v>Crítica</x:v>
      </x:c>
      <x:c r="K1259" s="84" t="str">
        <x:v>Encerrada</x:v>
      </x:c>
      <x:c r="L1259" s="84" t="str">
        <x:v>Superaquecimento</x:v>
      </x:c>
      <x:c r="M1259" s="84" t="str">
        <x:v>Desgaste natural</x:v>
      </x:c>
      <x:c r="N1259" s="84" t="str">
        <x:v>Componente ajustado ou substituído</x:v>
      </x:c>
      <x:c r="O1259" s="84" t="n">
        <x:v>0</x:v>
      </x:c>
      <x:c r="P1259" s="93" t="n">
        <x:v>107.14</x:v>
      </x:c>
      <x:c r="Q1259" s="93" t="n">
        <x:v>0</x:v>
      </x:c>
      <x:c r="R1259" s="91" t="n">
        <x:v>0</x:v>
      </x:c>
    </x:row>
    <x:row r="1260">
      <x:c r="A1260" s="83" t="n">
        <x:v>1259</x:v>
      </x:c>
      <x:c r="B1260" s="84" t="str">
        <x:v>OS-2024-01259</x:v>
      </x:c>
      <x:c r="C1260" s="84" t="n">
        <x:v>27</x:v>
      </x:c>
      <x:c r="D1260" s="84" t="n">
        <x:v>6</x:v>
      </x:c>
      <x:c r="E1260" s="84"/>
      <x:c r="F1260" s="89" t="n">
        <x:v>45302.725439814814</x:v>
      </x:c>
      <x:c r="G1260" s="89" t="n">
        <x:v>45305.725439814814</x:v>
      </x:c>
      <x:c r="H1260" s="89" t="n">
        <x:v>45304.850439814814</x:v>
      </x:c>
      <x:c r="I1260" s="89" t="n">
        <x:v>45305.475439814814</x:v>
      </x:c>
      <x:c r="J1260" s="84" t="str">
        <x:v>Crítica</x:v>
      </x:c>
      <x:c r="K1260" s="84" t="str">
        <x:v>Encerrada</x:v>
      </x:c>
      <x:c r="L1260" s="84" t="str">
        <x:v>Alarme intermitente</x:v>
      </x:c>
      <x:c r="M1260" s="84" t="str">
        <x:v>Componente danificado</x:v>
      </x:c>
      <x:c r="N1260" s="84" t="str">
        <x:v>Componente ajustado ou substituído</x:v>
      </x:c>
      <x:c r="O1260" s="84" t="n">
        <x:v>0</x:v>
      </x:c>
      <x:c r="P1260" s="93" t="n">
        <x:v>324.33</x:v>
      </x:c>
      <x:c r="Q1260" s="93" t="n">
        <x:v>9420.46</x:v>
      </x:c>
      <x:c r="R1260" s="91" t="n">
        <x:v>0</x:v>
      </x:c>
    </x:row>
    <x:row r="1261">
      <x:c r="A1261" s="83" t="n">
        <x:v>1260</x:v>
      </x:c>
      <x:c r="B1261" s="84" t="str">
        <x:v>OS-2024-01260</x:v>
      </x:c>
      <x:c r="C1261" s="84" t="n">
        <x:v>27</x:v>
      </x:c>
      <x:c r="D1261" s="84" t="n">
        <x:v>3</x:v>
      </x:c>
      <x:c r="E1261" s="84"/>
      <x:c r="F1261" s="89" t="n">
        <x:v>45302.2983912037</x:v>
      </x:c>
      <x:c r="G1261" s="89"/>
      <x:c r="H1261" s="89" t="n">
        <x:v>45303.7983912037</x:v>
      </x:c>
      <x:c r="I1261" s="89" t="n">
        <x:v>45304.21505787037</x:v>
      </x:c>
      <x:c r="J1261" s="84" t="str">
        <x:v>Alta</x:v>
      </x:c>
      <x:c r="K1261" s="84" t="str">
        <x:v>Concluída</x:v>
      </x:c>
      <x:c r="L1261" s="84" t="str">
        <x:v>Vazamento</x:v>
      </x:c>
      <x:c r="M1261" s="84" t="str">
        <x:v>Ajuste incorreto</x:v>
      </x:c>
      <x:c r="N1261" s="84" t="str">
        <x:v>Componente ajustado ou substituído</x:v>
      </x:c>
      <x:c r="O1261" s="84" t="n">
        <x:v>0</x:v>
      </x:c>
      <x:c r="P1261" s="93" t="n">
        <x:v>172.37</x:v>
      </x:c>
      <x:c r="Q1261" s="93" t="n">
        <x:v>0</x:v>
      </x:c>
      <x:c r="R1261" s="91" t="n">
        <x:v>0</x:v>
      </x:c>
    </x:row>
    <x:row r="1262">
      <x:c r="A1262" s="83" t="n">
        <x:v>1261</x:v>
      </x:c>
      <x:c r="B1262" s="84" t="str">
        <x:v>OS-2023-01261</x:v>
      </x:c>
      <x:c r="C1262" s="84" t="n">
        <x:v>28</x:v>
      </x:c>
      <x:c r="D1262" s="84" t="n">
        <x:v>7</x:v>
      </x:c>
      <x:c r="E1262" s="84" t="n">
        <x:v>55</x:v>
      </x:c>
      <x:c r="F1262" s="89" t="n">
        <x:v>44964.63113425926</x:v>
      </x:c>
      <x:c r="G1262" s="89" t="n">
        <x:v>44966.63113425926</x:v>
      </x:c>
      <x:c r="H1262" s="89" t="n">
        <x:v>44965.589467592596</x:v>
      </x:c>
      <x:c r="I1262" s="89" t="n">
        <x:v>44965.922800925924</x:v>
      </x:c>
      <x:c r="J1262" s="84" t="str">
        <x:v>Baixa</x:v>
      </x:c>
      <x:c r="K1262" s="84" t="str">
        <x:v>Encerrada</x:v>
      </x:c>
      <x:c r="L1262" s="84" t="str">
        <x:v>Baixa pressão</x:v>
      </x:c>
      <x:c r="M1262" s="84" t="str">
        <x:v>Ajuste incorreto</x:v>
      </x:c>
      <x:c r="N1262" s="84" t="str">
        <x:v>Componente ajustado ou substituído</x:v>
      </x:c>
      <x:c r="O1262" s="84" t="n">
        <x:v>0</x:v>
      </x:c>
      <x:c r="P1262" s="93" t="n">
        <x:v>309.11</x:v>
      </x:c>
      <x:c r="Q1262" s="93" t="n">
        <x:v>0</x:v>
      </x:c>
      <x:c r="R1262" s="91" t="n">
        <x:v>0</x:v>
      </x:c>
    </x:row>
    <x:row r="1263">
      <x:c r="A1263" s="83" t="n">
        <x:v>1262</x:v>
      </x:c>
      <x:c r="B1263" s="84" t="str">
        <x:v>OS-2025-01262</x:v>
      </x:c>
      <x:c r="C1263" s="84" t="n">
        <x:v>90</x:v>
      </x:c>
      <x:c r="D1263" s="84" t="n">
        <x:v>2</x:v>
      </x:c>
      <x:c r="E1263" s="84"/>
      <x:c r="F1263" s="89" t="n">
        <x:v>45666.701828703706</x:v>
      </x:c>
      <x:c r="G1263" s="89" t="n">
        <x:v>45666.701828703706</x:v>
      </x:c>
      <x:c r="H1263" s="89" t="n">
        <x:v>45667.285162037035</x:v>
      </x:c>
      <x:c r="I1263" s="89" t="n">
        <x:v>45667.660162037035</x:v>
      </x:c>
      <x:c r="J1263" s="84" t="str">
        <x:v>Média</x:v>
      </x:c>
      <x:c r="K1263" s="84" t="str">
        <x:v>Encerrada</x:v>
      </x:c>
      <x:c r="L1263" s="84" t="str">
        <x:v>Vazamento</x:v>
      </x:c>
      <x:c r="M1263" s="84" t="str">
        <x:v>Falta de lubrificação</x:v>
      </x:c>
      <x:c r="N1263" s="84" t="str">
        <x:v>Componente ajustado ou substituído</x:v>
      </x:c>
      <x:c r="O1263" s="84" t="n">
        <x:v>0</x:v>
      </x:c>
      <x:c r="P1263" s="93" t="n">
        <x:v>509.41</x:v>
      </x:c>
      <x:c r="Q1263" s="93" t="n">
        <x:v>11024.52</x:v>
      </x:c>
      <x:c r="R1263" s="91" t="n">
        <x:v>0</x:v>
      </x:c>
    </x:row>
    <x:row r="1264">
      <x:c r="A1264" s="83" t="n">
        <x:v>1263</x:v>
      </x:c>
      <x:c r="B1264" s="84" t="str">
        <x:v>OS-2025-01263</x:v>
      </x:c>
      <x:c r="C1264" s="84" t="n">
        <x:v>58</x:v>
      </x:c>
      <x:c r="D1264" s="84" t="n">
        <x:v>2</x:v>
      </x:c>
      <x:c r="E1264" s="84"/>
      <x:c r="F1264" s="89" t="n">
        <x:v>45845.063368055555</x:v>
      </x:c>
      <x:c r="G1264" s="89" t="n">
        <x:v>45859.063368055555</x:v>
      </x:c>
      <x:c r="H1264" s="89" t="n">
        <x:v>45845.98003472222</x:v>
      </x:c>
      <x:c r="I1264" s="89" t="n">
        <x:v>45846.48003472222</x:v>
      </x:c>
      <x:c r="J1264" s="84" t="str">
        <x:v>Crítica</x:v>
      </x:c>
      <x:c r="K1264" s="84" t="str">
        <x:v>Encerrada</x:v>
      </x:c>
      <x:c r="L1264" s="84" t="str">
        <x:v>Vazamento</x:v>
      </x:c>
      <x:c r="M1264" s="84" t="str">
        <x:v>Conexão frouxa</x:v>
      </x:c>
      <x:c r="N1264" s="84" t="str">
        <x:v>Componente ajustado ou substituído</x:v>
      </x:c>
      <x:c r="O1264" s="84" t="n">
        <x:v>0</x:v>
      </x:c>
      <x:c r="P1264" s="93" t="n">
        <x:v>240.41</x:v>
      </x:c>
      <x:c r="Q1264" s="93" t="n">
        <x:v>10067.52</x:v>
      </x:c>
      <x:c r="R1264" s="91" t="n">
        <x:v>0</x:v>
      </x:c>
    </x:row>
    <x:row r="1265">
      <x:c r="A1265" s="83" t="n">
        <x:v>1264</x:v>
      </x:c>
      <x:c r="B1265" s="84" t="str">
        <x:v>OS-2025-01264</x:v>
      </x:c>
      <x:c r="C1265" s="84" t="n">
        <x:v>51</x:v>
      </x:c>
      <x:c r="D1265" s="84" t="n">
        <x:v>3</x:v>
      </x:c>
      <x:c r="E1265" s="84"/>
      <x:c r="F1265" s="89" t="n">
        <x:v>45789.79346064815</x:v>
      </x:c>
      <x:c r="G1265" s="89"/>
      <x:c r="H1265" s="89" t="n">
        <x:v>45792.79346064815</x:v>
      </x:c>
      <x:c r="I1265" s="89" t="n">
        <x:v>45793.00179398148</x:v>
      </x:c>
      <x:c r="J1265" s="84" t="str">
        <x:v>Crítica</x:v>
      </x:c>
      <x:c r="K1265" s="84" t="str">
        <x:v>Encerrada</x:v>
      </x:c>
      <x:c r="L1265" s="84" t="str">
        <x:v>Baixa pressão</x:v>
      </x:c>
      <x:c r="M1265" s="84" t="str">
        <x:v>Conexão frouxa</x:v>
      </x:c>
      <x:c r="N1265" s="84" t="str">
        <x:v>Componente ajustado ou substituído</x:v>
      </x:c>
      <x:c r="O1265" s="84" t="n">
        <x:v>0</x:v>
      </x:c>
      <x:c r="P1265" s="93" t="n">
        <x:v>417.07</x:v>
      </x:c>
      <x:c r="Q1265" s="93" t="n">
        <x:v>0</x:v>
      </x:c>
      <x:c r="R1265" s="91" t="n">
        <x:v>0</x:v>
      </x:c>
    </x:row>
    <x:row r="1266">
      <x:c r="A1266" s="83" t="n">
        <x:v>1265</x:v>
      </x:c>
      <x:c r="B1266" s="84" t="str">
        <x:v>OS-2023-01265</x:v>
      </x:c>
      <x:c r="C1266" s="84" t="n">
        <x:v>11</x:v>
      </x:c>
      <x:c r="D1266" s="84" t="n">
        <x:v>3</x:v>
      </x:c>
      <x:c r="E1266" s="84"/>
      <x:c r="F1266" s="89" t="n">
        <x:v>45109.92828703704</x:v>
      </x:c>
      <x:c r="G1266" s="89"/>
      <x:c r="H1266" s="89" t="n">
        <x:v>45111.05328703704</x:v>
      </x:c>
      <x:c r="I1266" s="89" t="n">
        <x:v>45111.30328703704</x:v>
      </x:c>
      <x:c r="J1266" s="84" t="str">
        <x:v>Baixa</x:v>
      </x:c>
      <x:c r="K1266" s="84" t="str">
        <x:v>Encerrada</x:v>
      </x:c>
      <x:c r="L1266" s="84" t="str">
        <x:v>Falha elétrica</x:v>
      </x:c>
      <x:c r="M1266" s="84" t="str">
        <x:v>Desgaste natural</x:v>
      </x:c>
      <x:c r="N1266" s="84" t="str">
        <x:v>Componente ajustado ou substituído</x:v>
      </x:c>
      <x:c r="O1266" s="84" t="n">
        <x:v>0</x:v>
      </x:c>
      <x:c r="P1266" s="93" t="n">
        <x:v>28.99</x:v>
      </x:c>
      <x:c r="Q1266" s="93" t="n">
        <x:v>0</x:v>
      </x:c>
      <x:c r="R1266" s="91" t="n">
        <x:v>0</x:v>
      </x:c>
    </x:row>
    <x:row r="1267">
      <x:c r="A1267" s="83" t="n">
        <x:v>1266</x:v>
      </x:c>
      <x:c r="B1267" s="84" t="str">
        <x:v>OS-2023-01266</x:v>
      </x:c>
      <x:c r="C1267" s="84" t="n">
        <x:v>83</x:v>
      </x:c>
      <x:c r="D1267" s="84" t="n">
        <x:v>4</x:v>
      </x:c>
      <x:c r="E1267" s="84"/>
      <x:c r="F1267" s="89" t="n">
        <x:v>45081.40329861111</x:v>
      </x:c>
      <x:c r="G1267" s="89" t="n">
        <x:v>45086.40329861111</x:v>
      </x:c>
      <x:c r="H1267" s="89" t="n">
        <x:v>45083.73663194444</x:v>
      </x:c>
      <x:c r="I1267" s="89" t="n">
        <x:v>45084.02829861111</x:v>
      </x:c>
      <x:c r="J1267" s="84" t="str">
        <x:v>Alta</x:v>
      </x:c>
      <x:c r="K1267" s="84" t="str">
        <x:v>Encerrada</x:v>
      </x:c>
      <x:c r="L1267" s="84" t="str">
        <x:v>Ruído anormal</x:v>
      </x:c>
      <x:c r="M1267" s="84" t="str">
        <x:v>Desgaste natural</x:v>
      </x:c>
      <x:c r="N1267" s="84" t="str">
        <x:v>Componente ajustado ou substituído</x:v>
      </x:c>
      <x:c r="O1267" s="84" t="n">
        <x:v>0</x:v>
      </x:c>
      <x:c r="P1267" s="93" t="n">
        <x:v>253.28</x:v>
      </x:c>
      <x:c r="Q1267" s="93" t="n">
        <x:v>1527.61</x:v>
      </x:c>
      <x:c r="R1267" s="91" t="n">
        <x:v>0</x:v>
      </x:c>
    </x:row>
    <x:row r="1268">
      <x:c r="A1268" s="83" t="n">
        <x:v>1267</x:v>
      </x:c>
      <x:c r="B1268" s="84" t="str">
        <x:v>OS-2025-01267</x:v>
      </x:c>
      <x:c r="C1268" s="84" t="n">
        <x:v>14</x:v>
      </x:c>
      <x:c r="D1268" s="84" t="n">
        <x:v>7</x:v>
      </x:c>
      <x:c r="E1268" s="84" t="n">
        <x:v>27</x:v>
      </x:c>
      <x:c r="F1268" s="89" t="n">
        <x:v>45809.82439814815</x:v>
      </x:c>
      <x:c r="G1268" s="89" t="n">
        <x:v>45812.82439814815</x:v>
      </x:c>
      <x:c r="H1268" s="89" t="n">
        <x:v>45810.69939814815</x:v>
      </x:c>
      <x:c r="I1268" s="89" t="n">
        <x:v>45810.90773148148</x:v>
      </x:c>
      <x:c r="J1268" s="84" t="str">
        <x:v>Crítica</x:v>
      </x:c>
      <x:c r="K1268" s="84" t="str">
        <x:v>Concluída</x:v>
      </x:c>
      <x:c r="L1268" s="84" t="str">
        <x:v>Desalinhamento</x:v>
      </x:c>
      <x:c r="M1268" s="84" t="str">
        <x:v>Conexão frouxa</x:v>
      </x:c>
      <x:c r="N1268" s="84" t="str">
        <x:v>Componente ajustado ou substituído</x:v>
      </x:c>
      <x:c r="O1268" s="84" t="n">
        <x:v>0</x:v>
      </x:c>
      <x:c r="P1268" s="93" t="n">
        <x:v>805.23</x:v>
      </x:c>
      <x:c r="Q1268" s="93" t="n">
        <x:v>0</x:v>
      </x:c>
      <x:c r="R1268" s="91" t="n">
        <x:v>0</x:v>
      </x:c>
    </x:row>
    <x:row r="1269">
      <x:c r="A1269" s="83" t="n">
        <x:v>1268</x:v>
      </x:c>
      <x:c r="B1269" s="84" t="str">
        <x:v>OS-2025-01268</x:v>
      </x:c>
      <x:c r="C1269" s="84" t="n">
        <x:v>70</x:v>
      </x:c>
      <x:c r="D1269" s="84" t="n">
        <x:v>3</x:v>
      </x:c>
      <x:c r="E1269" s="84"/>
      <x:c r="F1269" s="89" t="n">
        <x:v>45922.46965277778</x:v>
      </x:c>
      <x:c r="G1269" s="89"/>
      <x:c r="H1269" s="89" t="n">
        <x:v>45924.17798611111</x:v>
      </x:c>
      <x:c r="I1269" s="89" t="n">
        <x:v>45924.92798611111</x:v>
      </x:c>
      <x:c r="J1269" s="84" t="str">
        <x:v>Média</x:v>
      </x:c>
      <x:c r="K1269" s="84" t="str">
        <x:v>Encerrada</x:v>
      </x:c>
      <x:c r="L1269" s="84" t="str">
        <x:v>Alarme intermitente</x:v>
      </x:c>
      <x:c r="M1269" s="84" t="str">
        <x:v>Falta de lubrificação</x:v>
      </x:c>
      <x:c r="N1269" s="84" t="str">
        <x:v>Componente ajustado ou substituído</x:v>
      </x:c>
      <x:c r="O1269" s="84" t="n">
        <x:v>0</x:v>
      </x:c>
      <x:c r="P1269" s="93" t="n">
        <x:v>41.68</x:v>
      </x:c>
      <x:c r="Q1269" s="93" t="n">
        <x:v>7295.67</x:v>
      </x:c>
      <x:c r="R1269" s="91" t="n">
        <x:v>0</x:v>
      </x:c>
    </x:row>
    <x:row r="1270">
      <x:c r="A1270" s="83" t="n">
        <x:v>1269</x:v>
      </x:c>
      <x:c r="B1270" s="84" t="str">
        <x:v>OS-2024-01269</x:v>
      </x:c>
      <x:c r="C1270" s="84" t="n">
        <x:v>44</x:v>
      </x:c>
      <x:c r="D1270" s="84" t="n">
        <x:v>1</x:v>
      </x:c>
      <x:c r="E1270" s="84" t="n">
        <x:v>87</x:v>
      </x:c>
      <x:c r="F1270" s="89" t="n">
        <x:v>45301.96042824074</x:v>
      </x:c>
      <x:c r="G1270" s="89" t="n">
        <x:v>45301.96042824074</x:v>
      </x:c>
      <x:c r="H1270" s="89" t="n">
        <x:v>45302.46042824074</x:v>
      </x:c>
      <x:c r="I1270" s="89" t="n">
        <x:v>45302.83542824074</x:v>
      </x:c>
      <x:c r="J1270" s="84" t="str">
        <x:v>Média</x:v>
      </x:c>
      <x:c r="K1270" s="84" t="str">
        <x:v>Encerrada</x:v>
      </x:c>
      <x:c r="L1270" s="84" t="str">
        <x:v>Alarme intermitente</x:v>
      </x:c>
      <x:c r="M1270" s="84" t="str">
        <x:v>Contaminação</x:v>
      </x:c>
      <x:c r="N1270" s="84" t="str">
        <x:v>Componente ajustado ou substituído</x:v>
      </x:c>
      <x:c r="O1270" s="84" t="n">
        <x:v>0</x:v>
      </x:c>
      <x:c r="P1270" s="93" t="n">
        <x:v>257.96</x:v>
      </x:c>
      <x:c r="Q1270" s="93" t="n">
        <x:v>4396.26</x:v>
      </x:c>
      <x:c r="R1270" s="91" t="n">
        <x:v>0</x:v>
      </x:c>
    </x:row>
    <x:row r="1271">
      <x:c r="A1271" s="83" t="n">
        <x:v>1270</x:v>
      </x:c>
      <x:c r="B1271" s="84" t="str">
        <x:v>OS-2023-01270</x:v>
      </x:c>
      <x:c r="C1271" s="84" t="n">
        <x:v>58</x:v>
      </x:c>
      <x:c r="D1271" s="84" t="n">
        <x:v>3</x:v>
      </x:c>
      <x:c r="E1271" s="84"/>
      <x:c r="F1271" s="89" t="n">
        <x:v>45254.151238425926</x:v>
      </x:c>
      <x:c r="G1271" s="89"/>
      <x:c r="H1271" s="89" t="n">
        <x:v>45255.73457175926</x:v>
      </x:c>
      <x:c r="I1271" s="89"/>
      <x:c r="J1271" s="84" t="str">
        <x:v>Baixa</x:v>
      </x:c>
      <x:c r="K1271" s="84" t="str">
        <x:v>Aguardando peça</x:v>
      </x:c>
      <x:c r="L1271" s="84" t="str">
        <x:v>Superaquecimento</x:v>
      </x:c>
      <x:c r="M1271" s="84" t="str">
        <x:v>Ajuste incorreto</x:v>
      </x:c>
      <x:c r="N1271" s="84"/>
      <x:c r="O1271" s="84" t="n">
        <x:v>0</x:v>
      </x:c>
      <x:c r="P1271" s="93" t="n">
        <x:v>176.05</x:v>
      </x:c>
      <x:c r="Q1271" s="93" t="n">
        <x:v>0</x:v>
      </x:c>
      <x:c r="R1271" s="91" t="n">
        <x:v>12491.57</x:v>
      </x:c>
    </x:row>
    <x:row r="1272">
      <x:c r="A1272" s="83" t="n">
        <x:v>1271</x:v>
      </x:c>
      <x:c r="B1272" s="84" t="str">
        <x:v>OS-2024-01271</x:v>
      </x:c>
      <x:c r="C1272" s="84" t="n">
        <x:v>6</x:v>
      </x:c>
      <x:c r="D1272" s="84" t="n">
        <x:v>1</x:v>
      </x:c>
      <x:c r="E1272" s="84" t="n">
        <x:v>12</x:v>
      </x:c>
      <x:c r="F1272" s="89" t="n">
        <x:v>45551.65474537037</x:v>
      </x:c>
      <x:c r="G1272" s="89" t="n">
        <x:v>45551.65474537037</x:v>
      </x:c>
      <x:c r="H1272" s="89" t="n">
        <x:v>45554.52974537037</x:v>
      </x:c>
      <x:c r="I1272" s="89" t="n">
        <x:v>45555.238078703704</x:v>
      </x:c>
      <x:c r="J1272" s="84" t="str">
        <x:v>Alta</x:v>
      </x:c>
      <x:c r="K1272" s="84" t="str">
        <x:v>Encerrada</x:v>
      </x:c>
      <x:c r="L1272" s="84" t="str">
        <x:v>Alarme intermitente</x:v>
      </x:c>
      <x:c r="M1272" s="84" t="str">
        <x:v>Falta de lubrificação</x:v>
      </x:c>
      <x:c r="N1272" s="84" t="str">
        <x:v>Componente ajustado ou substituído</x:v>
      </x:c>
      <x:c r="O1272" s="84" t="n">
        <x:v>0</x:v>
      </x:c>
      <x:c r="P1272" s="93" t="n">
        <x:v>103.68</x:v>
      </x:c>
      <x:c r="Q1272" s="93" t="n">
        <x:v>9984.09</x:v>
      </x:c>
      <x:c r="R1272" s="91" t="n">
        <x:v>0</x:v>
      </x:c>
    </x:row>
    <x:row r="1273">
      <x:c r="A1273" s="83" t="n">
        <x:v>1272</x:v>
      </x:c>
      <x:c r="B1273" s="84" t="str">
        <x:v>OS-2023-01272</x:v>
      </x:c>
      <x:c r="C1273" s="84" t="n">
        <x:v>10</x:v>
      </x:c>
      <x:c r="D1273" s="84" t="n">
        <x:v>4</x:v>
      </x:c>
      <x:c r="E1273" s="84"/>
      <x:c r="F1273" s="89" t="n">
        <x:v>45126.509618055556</x:v>
      </x:c>
      <x:c r="G1273" s="89" t="n">
        <x:v>45135.509618055556</x:v>
      </x:c>
      <x:c r="H1273" s="89" t="n">
        <x:v>45128.009618055556</x:v>
      </x:c>
      <x:c r="I1273" s="89" t="n">
        <x:v>45128.384618055556</x:v>
      </x:c>
      <x:c r="J1273" s="84" t="str">
        <x:v>Alta</x:v>
      </x:c>
      <x:c r="K1273" s="84" t="str">
        <x:v>Concluída</x:v>
      </x:c>
      <x:c r="L1273" s="84" t="str">
        <x:v>Falha elétrica</x:v>
      </x:c>
      <x:c r="M1273" s="84" t="str">
        <x:v>Falta de lubrificação</x:v>
      </x:c>
      <x:c r="N1273" s="84" t="str">
        <x:v>Componente ajustado ou substituído</x:v>
      </x:c>
      <x:c r="O1273" s="84" t="n">
        <x:v>0</x:v>
      </x:c>
      <x:c r="P1273" s="93" t="n">
        <x:v>211.4</x:v>
      </x:c>
      <x:c r="Q1273" s="93" t="n">
        <x:v>5618.22</x:v>
      </x:c>
      <x:c r="R1273" s="91" t="n">
        <x:v>0</x:v>
      </x:c>
    </x:row>
    <x:row r="1274">
      <x:c r="A1274" s="83" t="n">
        <x:v>1273</x:v>
      </x:c>
      <x:c r="B1274" s="84" t="str">
        <x:v>OS-2023-01273</x:v>
      </x:c>
      <x:c r="C1274" s="84" t="n">
        <x:v>77</x:v>
      </x:c>
      <x:c r="D1274" s="84" t="n">
        <x:v>3</x:v>
      </x:c>
      <x:c r="E1274" s="84"/>
      <x:c r="F1274" s="89" t="n">
        <x:v>44930.95165509259</x:v>
      </x:c>
      <x:c r="G1274" s="89"/>
      <x:c r="H1274" s="89" t="n">
        <x:v>44932.03498842593</x:v>
      </x:c>
      <x:c r="I1274" s="89" t="n">
        <x:v>44932.82665509259</x:v>
      </x:c>
      <x:c r="J1274" s="84" t="str">
        <x:v>Crítica</x:v>
      </x:c>
      <x:c r="K1274" s="84" t="str">
        <x:v>Encerrada</x:v>
      </x:c>
      <x:c r="L1274" s="84" t="str">
        <x:v>Alarme intermitente</x:v>
      </x:c>
      <x:c r="M1274" s="84" t="str">
        <x:v>Componente danificado</x:v>
      </x:c>
      <x:c r="N1274" s="84" t="str">
        <x:v>Componente ajustado ou substituído</x:v>
      </x:c>
      <x:c r="O1274" s="84" t="n">
        <x:v>0</x:v>
      </x:c>
      <x:c r="P1274" s="93" t="n">
        <x:v>958.25</x:v>
      </x:c>
      <x:c r="Q1274" s="93" t="n">
        <x:v>6101.24</x:v>
      </x:c>
      <x:c r="R1274" s="91" t="n">
        <x:v>0</x:v>
      </x:c>
    </x:row>
    <x:row r="1275">
      <x:c r="A1275" s="83" t="n">
        <x:v>1274</x:v>
      </x:c>
      <x:c r="B1275" s="84" t="str">
        <x:v>OS-2024-01274</x:v>
      </x:c>
      <x:c r="C1275" s="84" t="n">
        <x:v>74</x:v>
      </x:c>
      <x:c r="D1275" s="84" t="n">
        <x:v>2</x:v>
      </x:c>
      <x:c r="E1275" s="84"/>
      <x:c r="F1275" s="89" t="n">
        <x:v>45611.46292824074</x:v>
      </x:c>
      <x:c r="G1275" s="89" t="n">
        <x:v>45612.46292824074</x:v>
      </x:c>
      <x:c r="H1275" s="89" t="n">
        <x:v>45613.46292824074</x:v>
      </x:c>
      <x:c r="I1275" s="89" t="n">
        <x:v>45613.754594907405</x:v>
      </x:c>
      <x:c r="J1275" s="84" t="str">
        <x:v>Crítica</x:v>
      </x:c>
      <x:c r="K1275" s="84" t="str">
        <x:v>Encerrada</x:v>
      </x:c>
      <x:c r="L1275" s="84" t="str">
        <x:v>Superaquecimento</x:v>
      </x:c>
      <x:c r="M1275" s="84" t="str">
        <x:v>Ajuste incorreto</x:v>
      </x:c>
      <x:c r="N1275" s="84" t="str">
        <x:v>Componente ajustado ou substituído</x:v>
      </x:c>
      <x:c r="O1275" s="84" t="n">
        <x:v>0</x:v>
      </x:c>
      <x:c r="P1275" s="93" t="n">
        <x:v>546.08</x:v>
      </x:c>
      <x:c r="Q1275" s="93" t="n">
        <x:v>4693.84</x:v>
      </x:c>
      <x:c r="R1275" s="91" t="n">
        <x:v>0</x:v>
      </x:c>
    </x:row>
    <x:row r="1276">
      <x:c r="A1276" s="83" t="n">
        <x:v>1275</x:v>
      </x:c>
      <x:c r="B1276" s="84" t="str">
        <x:v>OS-2024-01275</x:v>
      </x:c>
      <x:c r="C1276" s="84" t="n">
        <x:v>22</x:v>
      </x:c>
      <x:c r="D1276" s="84" t="n">
        <x:v>2</x:v>
      </x:c>
      <x:c r="E1276" s="84"/>
      <x:c r="F1276" s="89" t="n">
        <x:v>45375.75378472222</x:v>
      </x:c>
      <x:c r="G1276" s="89" t="n">
        <x:v>45382.75378472222</x:v>
      </x:c>
      <x:c r="H1276" s="89" t="n">
        <x:v>45376.712118055555</x:v>
      </x:c>
      <x:c r="I1276" s="89" t="n">
        <x:v>45376.962118055555</x:v>
      </x:c>
      <x:c r="J1276" s="84" t="str">
        <x:v>Crítica</x:v>
      </x:c>
      <x:c r="K1276" s="84" t="str">
        <x:v>Encerrada</x:v>
      </x:c>
      <x:c r="L1276" s="84" t="str">
        <x:v>Alarme intermitente</x:v>
      </x:c>
      <x:c r="M1276" s="84" t="str">
        <x:v>Falta de lubrificação</x:v>
      </x:c>
      <x:c r="N1276" s="84" t="str">
        <x:v>Componente ajustado ou substituído</x:v>
      </x:c>
      <x:c r="O1276" s="84" t="n">
        <x:v>0</x:v>
      </x:c>
      <x:c r="P1276" s="93" t="n">
        <x:v>481.06</x:v>
      </x:c>
      <x:c r="Q1276" s="93" t="n">
        <x:v>0</x:v>
      </x:c>
      <x:c r="R1276" s="91" t="n">
        <x:v>0</x:v>
      </x:c>
    </x:row>
    <x:row r="1277">
      <x:c r="A1277" s="83" t="n">
        <x:v>1276</x:v>
      </x:c>
      <x:c r="B1277" s="84" t="str">
        <x:v>OS-2024-01276</x:v>
      </x:c>
      <x:c r="C1277" s="84" t="n">
        <x:v>23</x:v>
      </x:c>
      <x:c r="D1277" s="84" t="n">
        <x:v>3</x:v>
      </x:c>
      <x:c r="E1277" s="84"/>
      <x:c r="F1277" s="89" t="n">
        <x:v>45436.39333333333</x:v>
      </x:c>
      <x:c r="G1277" s="89"/>
      <x:c r="H1277" s="89" t="n">
        <x:v>45437.31</x:v>
      </x:c>
      <x:c r="I1277" s="89" t="n">
        <x:v>45437.76833333333</x:v>
      </x:c>
      <x:c r="J1277" s="84" t="str">
        <x:v>Crítica</x:v>
      </x:c>
      <x:c r="K1277" s="84" t="str">
        <x:v>Encerrada</x:v>
      </x:c>
      <x:c r="L1277" s="84" t="str">
        <x:v>Alarme intermitente</x:v>
      </x:c>
      <x:c r="M1277" s="84" t="str">
        <x:v>Ajuste incorreto</x:v>
      </x:c>
      <x:c r="N1277" s="84" t="str">
        <x:v>Componente ajustado ou substituído</x:v>
      </x:c>
      <x:c r="O1277" s="84" t="n">
        <x:v>0</x:v>
      </x:c>
      <x:c r="P1277" s="93" t="n">
        <x:v>21.17</x:v>
      </x:c>
      <x:c r="Q1277" s="93" t="n">
        <x:v>0</x:v>
      </x:c>
      <x:c r="R1277" s="91" t="n">
        <x:v>7538.14</x:v>
      </x:c>
    </x:row>
    <x:row r="1278">
      <x:c r="A1278" s="83" t="n">
        <x:v>1277</x:v>
      </x:c>
      <x:c r="B1278" s="84" t="str">
        <x:v>OS-2025-01277</x:v>
      </x:c>
      <x:c r="C1278" s="84" t="n">
        <x:v>80</x:v>
      </x:c>
      <x:c r="D1278" s="84" t="n">
        <x:v>8</x:v>
      </x:c>
      <x:c r="E1278" s="84"/>
      <x:c r="F1278" s="89" t="n">
        <x:v>45827.35983796296</x:v>
      </x:c>
      <x:c r="G1278" s="89" t="n">
        <x:v>45841.35983796296</x:v>
      </x:c>
      <x:c r="H1278" s="89" t="n">
        <x:v>45827.4431712963</x:v>
      </x:c>
      <x:c r="I1278" s="89"/>
      <x:c r="J1278" s="84" t="str">
        <x:v>Crítica</x:v>
      </x:c>
      <x:c r="K1278" s="84" t="str">
        <x:v>Aguardando peça</x:v>
      </x:c>
      <x:c r="L1278" s="84" t="str">
        <x:v>Falha elétrica</x:v>
      </x:c>
      <x:c r="M1278" s="84" t="str">
        <x:v>Desgaste natural</x:v>
      </x:c>
      <x:c r="N1278" s="84"/>
      <x:c r="O1278" s="84" t="n">
        <x:v>0</x:v>
      </x:c>
      <x:c r="P1278" s="93" t="n">
        <x:v>161.5</x:v>
      </x:c>
      <x:c r="Q1278" s="93" t="n">
        <x:v>4941.38</x:v>
      </x:c>
      <x:c r="R1278" s="91" t="n">
        <x:v>0</x:v>
      </x:c>
    </x:row>
    <x:row r="1279">
      <x:c r="A1279" s="83" t="n">
        <x:v>1278</x:v>
      </x:c>
      <x:c r="B1279" s="84" t="str">
        <x:v>OS-2024-01278</x:v>
      </x:c>
      <x:c r="C1279" s="84" t="n">
        <x:v>47</x:v>
      </x:c>
      <x:c r="D1279" s="84" t="n">
        <x:v>1</x:v>
      </x:c>
      <x:c r="E1279" s="84" t="n">
        <x:v>94</x:v>
      </x:c>
      <x:c r="F1279" s="89" t="n">
        <x:v>45428.40997685185</x:v>
      </x:c>
      <x:c r="G1279" s="89" t="n">
        <x:v>45438.40997685185</x:v>
      </x:c>
      <x:c r="H1279" s="89" t="n">
        <x:v>45429.993310185186</x:v>
      </x:c>
      <x:c r="I1279" s="89" t="n">
        <x:v>45430.45164351852</x:v>
      </x:c>
      <x:c r="J1279" s="84" t="str">
        <x:v>Baixa</x:v>
      </x:c>
      <x:c r="K1279" s="84" t="str">
        <x:v>Concluída</x:v>
      </x:c>
      <x:c r="L1279" s="84" t="str">
        <x:v>Desalinhamento</x:v>
      </x:c>
      <x:c r="M1279" s="84" t="str">
        <x:v>Componente danificado</x:v>
      </x:c>
      <x:c r="N1279" s="84" t="str">
        <x:v>Componente ajustado ou substituído</x:v>
      </x:c>
      <x:c r="O1279" s="84" t="n">
        <x:v>0</x:v>
      </x:c>
      <x:c r="P1279" s="93" t="n">
        <x:v>683.76</x:v>
      </x:c>
      <x:c r="Q1279" s="93" t="n">
        <x:v>527.16</x:v>
      </x:c>
      <x:c r="R1279" s="91" t="n">
        <x:v>0</x:v>
      </x:c>
    </x:row>
    <x:row r="1280">
      <x:c r="A1280" s="83" t="n">
        <x:v>1279</x:v>
      </x:c>
      <x:c r="B1280" s="84" t="str">
        <x:v>OS-2024-01279</x:v>
      </x:c>
      <x:c r="C1280" s="84" t="n">
        <x:v>67</x:v>
      </x:c>
      <x:c r="D1280" s="84" t="n">
        <x:v>1</x:v>
      </x:c>
      <x:c r="E1280" s="84" t="n">
        <x:v>133</x:v>
      </x:c>
      <x:c r="F1280" s="89" t="n">
        <x:v>45464.51278935185</x:v>
      </x:c>
      <x:c r="G1280" s="89" t="n">
        <x:v>45465.51278935185</x:v>
      </x:c>
      <x:c r="H1280" s="89" t="n">
        <x:v>45466.13778935185</x:v>
      </x:c>
      <x:c r="I1280" s="89" t="n">
        <x:v>45466.47112268519</x:v>
      </x:c>
      <x:c r="J1280" s="84" t="str">
        <x:v>Baixa</x:v>
      </x:c>
      <x:c r="K1280" s="84" t="str">
        <x:v>Encerrada</x:v>
      </x:c>
      <x:c r="L1280" s="84" t="str">
        <x:v>Vazamento</x:v>
      </x:c>
      <x:c r="M1280" s="84" t="str">
        <x:v>Componente danificado</x:v>
      </x:c>
      <x:c r="N1280" s="84" t="str">
        <x:v>Componente ajustado ou substituído</x:v>
      </x:c>
      <x:c r="O1280" s="84" t="n">
        <x:v>0</x:v>
      </x:c>
      <x:c r="P1280" s="93" t="n">
        <x:v>351.59</x:v>
      </x:c>
      <x:c r="Q1280" s="93" t="n">
        <x:v>7966.31</x:v>
      </x:c>
      <x:c r="R1280" s="91" t="n">
        <x:v>0</x:v>
      </x:c>
    </x:row>
    <x:row r="1281">
      <x:c r="A1281" s="83" t="n">
        <x:v>1280</x:v>
      </x:c>
      <x:c r="B1281" s="84" t="str">
        <x:v>OS-2023-01280</x:v>
      </x:c>
      <x:c r="C1281" s="84" t="n">
        <x:v>85</x:v>
      </x:c>
      <x:c r="D1281" s="84" t="n">
        <x:v>7</x:v>
      </x:c>
      <x:c r="E1281" s="84" t="n">
        <x:v>170</x:v>
      </x:c>
      <x:c r="F1281" s="89" t="n">
        <x:v>45263.12479166667</x:v>
      </x:c>
      <x:c r="G1281" s="89" t="n">
        <x:v>45278.12479166667</x:v>
      </x:c>
      <x:c r="H1281" s="89"/>
      <x:c r="I1281" s="89"/>
      <x:c r="J1281" s="84" t="str">
        <x:v>Média</x:v>
      </x:c>
      <x:c r="K1281" s="84" t="str">
        <x:v>Planejada</x:v>
      </x:c>
      <x:c r="L1281" s="84" t="str">
        <x:v>Vazamento</x:v>
      </x:c>
      <x:c r="M1281" s="84"/>
      <x:c r="N1281" s="84"/>
      <x:c r="O1281" s="84" t="n">
        <x:v>0</x:v>
      </x:c>
      <x:c r="P1281" s="93" t="n">
        <x:v>0</x:v>
      </x:c>
      <x:c r="Q1281" s="93" t="n">
        <x:v>0</x:v>
      </x:c>
      <x:c r="R1281" s="91" t="n">
        <x:v>0</x:v>
      </x:c>
    </x:row>
    <x:row r="1282">
      <x:c r="A1282" s="83" t="n">
        <x:v>1281</x:v>
      </x:c>
      <x:c r="B1282" s="84" t="str">
        <x:v>OS-2024-01281</x:v>
      </x:c>
      <x:c r="C1282" s="84" t="n">
        <x:v>1</x:v>
      </x:c>
      <x:c r="D1282" s="84" t="n">
        <x:v>1</x:v>
      </x:c>
      <x:c r="E1282" s="84" t="n">
        <x:v>1</x:v>
      </x:c>
      <x:c r="F1282" s="89" t="n">
        <x:v>45370.312951388885</x:v>
      </x:c>
      <x:c r="G1282" s="89" t="n">
        <x:v>45379.312951388885</x:v>
      </x:c>
      <x:c r="H1282" s="89" t="n">
        <x:v>45373.312951388885</x:v>
      </x:c>
      <x:c r="I1282" s="89" t="n">
        <x:v>45374.10461805556</x:v>
      </x:c>
      <x:c r="J1282" s="84" t="str">
        <x:v>Média</x:v>
      </x:c>
      <x:c r="K1282" s="84" t="str">
        <x:v>Concluída</x:v>
      </x:c>
      <x:c r="L1282" s="84" t="str">
        <x:v>Desalinhamento</x:v>
      </x:c>
      <x:c r="M1282" s="84" t="str">
        <x:v>Falta de lubrificação</x:v>
      </x:c>
      <x:c r="N1282" s="84" t="str">
        <x:v>Componente ajustado ou substituído</x:v>
      </x:c>
      <x:c r="O1282" s="84" t="n">
        <x:v>0</x:v>
      </x:c>
      <x:c r="P1282" s="93" t="n">
        <x:v>460.5</x:v>
      </x:c>
      <x:c r="Q1282" s="93" t="n">
        <x:v>0</x:v>
      </x:c>
      <x:c r="R1282" s="91" t="n">
        <x:v>0</x:v>
      </x:c>
    </x:row>
    <x:row r="1283">
      <x:c r="A1283" s="83" t="n">
        <x:v>1282</x:v>
      </x:c>
      <x:c r="B1283" s="84" t="str">
        <x:v>OS-2023-01282</x:v>
      </x:c>
      <x:c r="C1283" s="84" t="n">
        <x:v>12</x:v>
      </x:c>
      <x:c r="D1283" s="84" t="n">
        <x:v>3</x:v>
      </x:c>
      <x:c r="E1283" s="84"/>
      <x:c r="F1283" s="89" t="n">
        <x:v>45046.070763888885</x:v>
      </x:c>
      <x:c r="G1283" s="89"/>
      <x:c r="H1283" s="89" t="n">
        <x:v>45047.945763888885</x:v>
      </x:c>
      <x:c r="I1283" s="89" t="n">
        <x:v>45048.40409722222</x:v>
      </x:c>
      <x:c r="J1283" s="84" t="str">
        <x:v>Crítica</x:v>
      </x:c>
      <x:c r="K1283" s="84" t="str">
        <x:v>Concluída</x:v>
      </x:c>
      <x:c r="L1283" s="84" t="str">
        <x:v>Falha elétrica</x:v>
      </x:c>
      <x:c r="M1283" s="84" t="str">
        <x:v>Ajuste incorreto</x:v>
      </x:c>
      <x:c r="N1283" s="84" t="str">
        <x:v>Componente ajustado ou substituído</x:v>
      </x:c>
      <x:c r="O1283" s="84" t="n">
        <x:v>0</x:v>
      </x:c>
      <x:c r="P1283" s="93" t="n">
        <x:v>412.49</x:v>
      </x:c>
      <x:c r="Q1283" s="93" t="n">
        <x:v>1539.08</x:v>
      </x:c>
      <x:c r="R1283" s="91" t="n">
        <x:v>0</x:v>
      </x:c>
    </x:row>
    <x:row r="1284">
      <x:c r="A1284" s="83" t="n">
        <x:v>1283</x:v>
      </x:c>
      <x:c r="B1284" s="84" t="str">
        <x:v>OS-2024-01283</x:v>
      </x:c>
      <x:c r="C1284" s="84" t="n">
        <x:v>81</x:v>
      </x:c>
      <x:c r="D1284" s="84" t="n">
        <x:v>4</x:v>
      </x:c>
      <x:c r="E1284" s="84"/>
      <x:c r="F1284" s="89" t="n">
        <x:v>45547.92702546297</x:v>
      </x:c>
      <x:c r="G1284" s="89" t="n">
        <x:v>45561.92702546297</x:v>
      </x:c>
      <x:c r="H1284" s="89" t="n">
        <x:v>45550.34369212963</x:v>
      </x:c>
      <x:c r="I1284" s="89" t="n">
        <x:v>45550.42702546297</x:v>
      </x:c>
      <x:c r="J1284" s="84" t="str">
        <x:v>Alta</x:v>
      </x:c>
      <x:c r="K1284" s="84" t="str">
        <x:v>Encerrada</x:v>
      </x:c>
      <x:c r="L1284" s="84" t="str">
        <x:v>Baixa pressão</x:v>
      </x:c>
      <x:c r="M1284" s="84" t="str">
        <x:v>Conexão frouxa</x:v>
      </x:c>
      <x:c r="N1284" s="84" t="str">
        <x:v>Componente ajustado ou substituído</x:v>
      </x:c>
      <x:c r="O1284" s="84" t="n">
        <x:v>0</x:v>
      </x:c>
      <x:c r="P1284" s="93" t="n">
        <x:v>141.59</x:v>
      </x:c>
      <x:c r="Q1284" s="93" t="n">
        <x:v>4817.95</x:v>
      </x:c>
      <x:c r="R1284" s="91" t="n">
        <x:v>0</x:v>
      </x:c>
    </x:row>
    <x:row r="1285">
      <x:c r="A1285" s="83" t="n">
        <x:v>1284</x:v>
      </x:c>
      <x:c r="B1285" s="84" t="str">
        <x:v>OS-2024-01284</x:v>
      </x:c>
      <x:c r="C1285" s="84" t="n">
        <x:v>51</x:v>
      </x:c>
      <x:c r="D1285" s="84" t="n">
        <x:v>8</x:v>
      </x:c>
      <x:c r="E1285" s="84"/>
      <x:c r="F1285" s="89" t="n">
        <x:v>45561.84193287037</x:v>
      </x:c>
      <x:c r="G1285" s="89" t="n">
        <x:v>45575.84193287037</x:v>
      </x:c>
      <x:c r="H1285" s="89" t="n">
        <x:v>45563.4252662037</x:v>
      </x:c>
      <x:c r="I1285" s="89" t="n">
        <x:v>45563.84193287037</x:v>
      </x:c>
      <x:c r="J1285" s="84" t="str">
        <x:v>Média</x:v>
      </x:c>
      <x:c r="K1285" s="84" t="str">
        <x:v>Encerrada</x:v>
      </x:c>
      <x:c r="L1285" s="84" t="str">
        <x:v>Alarme intermitente</x:v>
      </x:c>
      <x:c r="M1285" s="84" t="str">
        <x:v>Ajuste incorreto</x:v>
      </x:c>
      <x:c r="N1285" s="84" t="str">
        <x:v>Componente ajustado ou substituído</x:v>
      </x:c>
      <x:c r="O1285" s="84" t="n">
        <x:v>0</x:v>
      </x:c>
      <x:c r="P1285" s="93" t="n">
        <x:v>558.84</x:v>
      </x:c>
      <x:c r="Q1285" s="93" t="n">
        <x:v>9427.75</x:v>
      </x:c>
      <x:c r="R1285" s="91" t="n">
        <x:v>0</x:v>
      </x:c>
    </x:row>
    <x:row r="1286">
      <x:c r="A1286" s="83" t="n">
        <x:v>1285</x:v>
      </x:c>
      <x:c r="B1286" s="84" t="str">
        <x:v>OS-2023-01285</x:v>
      </x:c>
      <x:c r="C1286" s="84" t="n">
        <x:v>5</x:v>
      </x:c>
      <x:c r="D1286" s="84" t="n">
        <x:v>3</x:v>
      </x:c>
      <x:c r="E1286" s="84"/>
      <x:c r="F1286" s="89" t="n">
        <x:v>44935.5262037037</x:v>
      </x:c>
      <x:c r="G1286" s="89"/>
      <x:c r="H1286" s="89"/>
      <x:c r="I1286" s="89"/>
      <x:c r="J1286" s="84" t="str">
        <x:v>Crítica</x:v>
      </x:c>
      <x:c r="K1286" s="84" t="str">
        <x:v>Planejada</x:v>
      </x:c>
      <x:c r="L1286" s="84" t="str">
        <x:v>Baixa pressão</x:v>
      </x:c>
      <x:c r="M1286" s="84"/>
      <x:c r="N1286" s="84"/>
      <x:c r="O1286" s="84" t="n">
        <x:v>0</x:v>
      </x:c>
      <x:c r="P1286" s="93" t="n">
        <x:v>0</x:v>
      </x:c>
      <x:c r="Q1286" s="93" t="n">
        <x:v>0</x:v>
      </x:c>
      <x:c r="R1286" s="91" t="n">
        <x:v>0</x:v>
      </x:c>
    </x:row>
    <x:row r="1287">
      <x:c r="A1287" s="83" t="n">
        <x:v>1286</x:v>
      </x:c>
      <x:c r="B1287" s="84" t="str">
        <x:v>OS-2025-01286</x:v>
      </x:c>
      <x:c r="C1287" s="84" t="n">
        <x:v>69</x:v>
      </x:c>
      <x:c r="D1287" s="84" t="n">
        <x:v>2</x:v>
      </x:c>
      <x:c r="E1287" s="84"/>
      <x:c r="F1287" s="89" t="n">
        <x:v>46009.290983796294</x:v>
      </x:c>
      <x:c r="G1287" s="89" t="n">
        <x:v>46021.290983796294</x:v>
      </x:c>
      <x:c r="H1287" s="89" t="n">
        <x:v>46010.665983796294</x:v>
      </x:c>
      <x:c r="I1287" s="89" t="n">
        <x:v>46010.707650462966</x:v>
      </x:c>
      <x:c r="J1287" s="84" t="str">
        <x:v>Crítica</x:v>
      </x:c>
      <x:c r="K1287" s="84" t="str">
        <x:v>Encerrada</x:v>
      </x:c>
      <x:c r="L1287" s="84" t="str">
        <x:v>Superaquecimento</x:v>
      </x:c>
      <x:c r="M1287" s="84" t="str">
        <x:v>Componente danificado</x:v>
      </x:c>
      <x:c r="N1287" s="84" t="str">
        <x:v>Componente ajustado ou substituído</x:v>
      </x:c>
      <x:c r="O1287" s="84" t="n">
        <x:v>0</x:v>
      </x:c>
      <x:c r="P1287" s="93" t="n">
        <x:v>820.72</x:v>
      </x:c>
      <x:c r="Q1287" s="93" t="n">
        <x:v>707.6</x:v>
      </x:c>
      <x:c r="R1287" s="91" t="n">
        <x:v>12993.05</x:v>
      </x:c>
    </x:row>
    <x:row r="1288">
      <x:c r="A1288" s="83" t="n">
        <x:v>1287</x:v>
      </x:c>
      <x:c r="B1288" s="84" t="str">
        <x:v>OS-2024-01287</x:v>
      </x:c>
      <x:c r="C1288" s="84" t="n">
        <x:v>4</x:v>
      </x:c>
      <x:c r="D1288" s="84" t="n">
        <x:v>3</x:v>
      </x:c>
      <x:c r="E1288" s="84"/>
      <x:c r="F1288" s="89" t="n">
        <x:v>45654.99511574074</x:v>
      </x:c>
      <x:c r="G1288" s="89"/>
      <x:c r="H1288" s="89"/>
      <x:c r="I1288" s="89"/>
      <x:c r="J1288" s="84" t="str">
        <x:v>Crítica</x:v>
      </x:c>
      <x:c r="K1288" s="84" t="str">
        <x:v>Planejada</x:v>
      </x:c>
      <x:c r="L1288" s="84" t="str">
        <x:v>Ruído anormal</x:v>
      </x:c>
      <x:c r="M1288" s="84"/>
      <x:c r="N1288" s="84"/>
      <x:c r="O1288" s="84" t="n">
        <x:v>0</x:v>
      </x:c>
      <x:c r="P1288" s="93" t="n">
        <x:v>0</x:v>
      </x:c>
      <x:c r="Q1288" s="93" t="n">
        <x:v>0</x:v>
      </x:c>
      <x:c r="R1288" s="91" t="n">
        <x:v>0</x:v>
      </x:c>
    </x:row>
    <x:row r="1289">
      <x:c r="A1289" s="83" t="n">
        <x:v>1288</x:v>
      </x:c>
      <x:c r="B1289" s="84" t="str">
        <x:v>OS-2023-01288</x:v>
      </x:c>
      <x:c r="C1289" s="84" t="n">
        <x:v>61</x:v>
      </x:c>
      <x:c r="D1289" s="84" t="n">
        <x:v>1</x:v>
      </x:c>
      <x:c r="E1289" s="84" t="n">
        <x:v>121</x:v>
      </x:c>
      <x:c r="F1289" s="89" t="n">
        <x:v>45260.936215277776</x:v>
      </x:c>
      <x:c r="G1289" s="89" t="n">
        <x:v>45269.936215277776</x:v>
      </x:c>
      <x:c r="H1289" s="89" t="n">
        <x:v>45262.72788194445</x:v>
      </x:c>
      <x:c r="I1289" s="89" t="n">
        <x:v>45263.26954861111</x:v>
      </x:c>
      <x:c r="J1289" s="84" t="str">
        <x:v>Crítica</x:v>
      </x:c>
      <x:c r="K1289" s="84" t="str">
        <x:v>Concluída</x:v>
      </x:c>
      <x:c r="L1289" s="84" t="str">
        <x:v>Alarme intermitente</x:v>
      </x:c>
      <x:c r="M1289" s="84" t="str">
        <x:v>Ajuste incorreto</x:v>
      </x:c>
      <x:c r="N1289" s="84" t="str">
        <x:v>Componente ajustado ou substituído</x:v>
      </x:c>
      <x:c r="O1289" s="84" t="n">
        <x:v>0</x:v>
      </x:c>
      <x:c r="P1289" s="93" t="n">
        <x:v>133.72</x:v>
      </x:c>
      <x:c r="Q1289" s="93" t="n">
        <x:v>3812.34</x:v>
      </x:c>
      <x:c r="R1289" s="91" t="n">
        <x:v>0</x:v>
      </x:c>
    </x:row>
    <x:row r="1290">
      <x:c r="A1290" s="83" t="n">
        <x:v>1289</x:v>
      </x:c>
      <x:c r="B1290" s="84" t="str">
        <x:v>OS-2024-01289</x:v>
      </x:c>
      <x:c r="C1290" s="84" t="n">
        <x:v>67</x:v>
      </x:c>
      <x:c r="D1290" s="84" t="n">
        <x:v>5</x:v>
      </x:c>
      <x:c r="E1290" s="84" t="n">
        <x:v>134</x:v>
      </x:c>
      <x:c r="F1290" s="89" t="n">
        <x:v>45508.353055555555</x:v>
      </x:c>
      <x:c r="G1290" s="89" t="n">
        <x:v>45517.353055555555</x:v>
      </x:c>
      <x:c r="H1290" s="89" t="n">
        <x:v>45508.978055555555</x:v>
      </x:c>
      <x:c r="I1290" s="89" t="n">
        <x:v>45509.76972222222</x:v>
      </x:c>
      <x:c r="J1290" s="84" t="str">
        <x:v>Alta</x:v>
      </x:c>
      <x:c r="K1290" s="84" t="str">
        <x:v>Encerrada</x:v>
      </x:c>
      <x:c r="L1290" s="84" t="str">
        <x:v>Alarme intermitente</x:v>
      </x:c>
      <x:c r="M1290" s="84" t="str">
        <x:v>Falta de lubrificação</x:v>
      </x:c>
      <x:c r="N1290" s="84" t="str">
        <x:v>Componente ajustado ou substituído</x:v>
      </x:c>
      <x:c r="O1290" s="84" t="n">
        <x:v>0</x:v>
      </x:c>
      <x:c r="P1290" s="93" t="n">
        <x:v>812.92</x:v>
      </x:c>
      <x:c r="Q1290" s="93" t="n">
        <x:v>8748.97</x:v>
      </x:c>
      <x:c r="R1290" s="91" t="n">
        <x:v>0</x:v>
      </x:c>
    </x:row>
    <x:row r="1291">
      <x:c r="A1291" s="83" t="n">
        <x:v>1290</x:v>
      </x:c>
      <x:c r="B1291" s="84" t="str">
        <x:v>OS-2025-01290</x:v>
      </x:c>
      <x:c r="C1291" s="84" t="n">
        <x:v>22</x:v>
      </x:c>
      <x:c r="D1291" s="84" t="n">
        <x:v>1</x:v>
      </x:c>
      <x:c r="E1291" s="84" t="n">
        <x:v>44</x:v>
      </x:c>
      <x:c r="F1291" s="89" t="n">
        <x:v>45881.02916666667</x:v>
      </x:c>
      <x:c r="G1291" s="89" t="n">
        <x:v>45892.02916666667</x:v>
      </x:c>
      <x:c r="H1291" s="89"/>
      <x:c r="I1291" s="89"/>
      <x:c r="J1291" s="84" t="str">
        <x:v>Média</x:v>
      </x:c>
      <x:c r="K1291" s="84" t="str">
        <x:v>Planejada</x:v>
      </x:c>
      <x:c r="L1291" s="84" t="str">
        <x:v>Superaquecimento</x:v>
      </x:c>
      <x:c r="M1291" s="84"/>
      <x:c r="N1291" s="84"/>
      <x:c r="O1291" s="84" t="n">
        <x:v>0</x:v>
      </x:c>
      <x:c r="P1291" s="93" t="n">
        <x:v>0</x:v>
      </x:c>
      <x:c r="Q1291" s="93" t="n">
        <x:v>0</x:v>
      </x:c>
      <x:c r="R1291" s="91" t="n">
        <x:v>0</x:v>
      </x:c>
    </x:row>
    <x:row r="1292">
      <x:c r="A1292" s="83" t="n">
        <x:v>1291</x:v>
      </x:c>
      <x:c r="B1292" s="84" t="str">
        <x:v>OS-2025-01291</x:v>
      </x:c>
      <x:c r="C1292" s="84" t="n">
        <x:v>57</x:v>
      </x:c>
      <x:c r="D1292" s="84" t="n">
        <x:v>2</x:v>
      </x:c>
      <x:c r="E1292" s="84"/>
      <x:c r="F1292" s="89" t="n">
        <x:v>45841.65078703704</x:v>
      </x:c>
      <x:c r="G1292" s="89" t="n">
        <x:v>45848.65078703704</x:v>
      </x:c>
      <x:c r="H1292" s="89" t="n">
        <x:v>45842.15078703704</x:v>
      </x:c>
      <x:c r="I1292" s="89"/>
      <x:c r="J1292" s="84" t="str">
        <x:v>Média</x:v>
      </x:c>
      <x:c r="K1292" s="84" t="str">
        <x:v>Em execução</x:v>
      </x:c>
      <x:c r="L1292" s="84" t="str">
        <x:v>Superaquecimento</x:v>
      </x:c>
      <x:c r="M1292" s="84" t="str">
        <x:v>Falta de lubrificação</x:v>
      </x:c>
      <x:c r="N1292" s="84"/>
      <x:c r="O1292" s="84" t="n">
        <x:v>0</x:v>
      </x:c>
      <x:c r="P1292" s="93" t="n">
        <x:v>255.23</x:v>
      </x:c>
      <x:c r="Q1292" s="93" t="n">
        <x:v>8678.52</x:v>
      </x:c>
      <x:c r="R1292" s="91" t="n">
        <x:v>0</x:v>
      </x:c>
    </x:row>
    <x:row r="1293">
      <x:c r="A1293" s="83" t="n">
        <x:v>1292</x:v>
      </x:c>
      <x:c r="B1293" s="84" t="str">
        <x:v>OS-2025-01292</x:v>
      </x:c>
      <x:c r="C1293" s="84" t="n">
        <x:v>44</x:v>
      </x:c>
      <x:c r="D1293" s="84" t="n">
        <x:v>3</x:v>
      </x:c>
      <x:c r="E1293" s="84"/>
      <x:c r="F1293" s="89" t="n">
        <x:v>45932.575833333336</x:v>
      </x:c>
      <x:c r="G1293" s="89"/>
      <x:c r="H1293" s="89" t="n">
        <x:v>45932.8675</x:v>
      </x:c>
      <x:c r="I1293" s="89" t="n">
        <x:v>45932.909166666665</x:v>
      </x:c>
      <x:c r="J1293" s="84" t="str">
        <x:v>Crítica</x:v>
      </x:c>
      <x:c r="K1293" s="84" t="str">
        <x:v>Encerrada</x:v>
      </x:c>
      <x:c r="L1293" s="84" t="str">
        <x:v>Alarme intermitente</x:v>
      </x:c>
      <x:c r="M1293" s="84" t="str">
        <x:v>Desgaste natural</x:v>
      </x:c>
      <x:c r="N1293" s="84" t="str">
        <x:v>Componente ajustado ou substituído</x:v>
      </x:c>
      <x:c r="O1293" s="84" t="n">
        <x:v>0</x:v>
      </x:c>
      <x:c r="P1293" s="93" t="n">
        <x:v>569.77</x:v>
      </x:c>
      <x:c r="Q1293" s="93" t="n">
        <x:v>0</x:v>
      </x:c>
      <x:c r="R1293" s="91" t="n">
        <x:v>0</x:v>
      </x:c>
    </x:row>
    <x:row r="1294">
      <x:c r="A1294" s="83" t="n">
        <x:v>1293</x:v>
      </x:c>
      <x:c r="B1294" s="84" t="str">
        <x:v>OS-2023-01293</x:v>
      </x:c>
      <x:c r="C1294" s="84" t="n">
        <x:v>66</x:v>
      </x:c>
      <x:c r="D1294" s="84" t="n">
        <x:v>7</x:v>
      </x:c>
      <x:c r="E1294" s="84" t="n">
        <x:v>131</x:v>
      </x:c>
      <x:c r="F1294" s="89" t="n">
        <x:v>45150.7993287037</x:v>
      </x:c>
      <x:c r="G1294" s="89" t="n">
        <x:v>45161.7993287037</x:v>
      </x:c>
      <x:c r="H1294" s="89" t="n">
        <x:v>45150.965995370374</x:v>
      </x:c>
      <x:c r="I1294" s="89"/>
      <x:c r="J1294" s="84" t="str">
        <x:v>Alta</x:v>
      </x:c>
      <x:c r="K1294" s="84" t="str">
        <x:v>Aguardando peça</x:v>
      </x:c>
      <x:c r="L1294" s="84" t="str">
        <x:v>Superaquecimento</x:v>
      </x:c>
      <x:c r="M1294" s="84" t="str">
        <x:v>Contaminação</x:v>
      </x:c>
      <x:c r="N1294" s="84"/>
      <x:c r="O1294" s="84" t="n">
        <x:v>0</x:v>
      </x:c>
      <x:c r="P1294" s="93" t="n">
        <x:v>361.36</x:v>
      </x:c>
      <x:c r="Q1294" s="93" t="n">
        <x:v>1467.2</x:v>
      </x:c>
      <x:c r="R1294" s="91" t="n">
        <x:v>0</x:v>
      </x:c>
    </x:row>
    <x:row r="1295">
      <x:c r="A1295" s="83" t="n">
        <x:v>1294</x:v>
      </x:c>
      <x:c r="B1295" s="84" t="str">
        <x:v>OS-2025-01294</x:v>
      </x:c>
      <x:c r="C1295" s="84" t="n">
        <x:v>33</x:v>
      </x:c>
      <x:c r="D1295" s="84" t="n">
        <x:v>3</x:v>
      </x:c>
      <x:c r="E1295" s="84"/>
      <x:c r="F1295" s="89" t="n">
        <x:v>45747.70376157408</x:v>
      </x:c>
      <x:c r="G1295" s="89"/>
      <x:c r="H1295" s="89" t="n">
        <x:v>45749.99542824074</x:v>
      </x:c>
      <x:c r="I1295" s="89" t="n">
        <x:v>45750.74542824074</x:v>
      </x:c>
      <x:c r="J1295" s="84" t="str">
        <x:v>Crítica</x:v>
      </x:c>
      <x:c r="K1295" s="84" t="str">
        <x:v>Concluída</x:v>
      </x:c>
      <x:c r="L1295" s="84" t="str">
        <x:v>Alarme intermitente</x:v>
      </x:c>
      <x:c r="M1295" s="84" t="str">
        <x:v>Componente danificado</x:v>
      </x:c>
      <x:c r="N1295" s="84" t="str">
        <x:v>Componente ajustado ou substituído</x:v>
      </x:c>
      <x:c r="O1295" s="84" t="n">
        <x:v>0</x:v>
      </x:c>
      <x:c r="P1295" s="93" t="n">
        <x:v>39.26</x:v>
      </x:c>
      <x:c r="Q1295" s="93" t="n">
        <x:v>1522.65</x:v>
      </x:c>
      <x:c r="R1295" s="91" t="n">
        <x:v>8334.02</x:v>
      </x:c>
    </x:row>
    <x:row r="1296">
      <x:c r="A1296" s="83" t="n">
        <x:v>1295</x:v>
      </x:c>
      <x:c r="B1296" s="84" t="str">
        <x:v>OS-2024-01295</x:v>
      </x:c>
      <x:c r="C1296" s="84" t="n">
        <x:v>57</x:v>
      </x:c>
      <x:c r="D1296" s="84" t="n">
        <x:v>5</x:v>
      </x:c>
      <x:c r="E1296" s="84" t="n">
        <x:v>114</x:v>
      </x:c>
      <x:c r="F1296" s="89" t="n">
        <x:v>45654.781226851854</x:v>
      </x:c>
      <x:c r="G1296" s="89" t="n">
        <x:v>45666.781226851854</x:v>
      </x:c>
      <x:c r="H1296" s="89" t="n">
        <x:v>45656.031226851854</x:v>
      </x:c>
      <x:c r="I1296" s="89" t="n">
        <x:v>45656.07289351852</x:v>
      </x:c>
      <x:c r="J1296" s="84" t="str">
        <x:v>Média</x:v>
      </x:c>
      <x:c r="K1296" s="84" t="str">
        <x:v>Encerrada</x:v>
      </x:c>
      <x:c r="L1296" s="84" t="str">
        <x:v>Baixa pressão</x:v>
      </x:c>
      <x:c r="M1296" s="84" t="str">
        <x:v>Componente danificado</x:v>
      </x:c>
      <x:c r="N1296" s="84" t="str">
        <x:v>Componente ajustado ou substituído</x:v>
      </x:c>
      <x:c r="O1296" s="84" t="n">
        <x:v>0</x:v>
      </x:c>
      <x:c r="P1296" s="93" t="n">
        <x:v>534.34</x:v>
      </x:c>
      <x:c r="Q1296" s="93" t="n">
        <x:v>0</x:v>
      </x:c>
      <x:c r="R1296" s="91" t="n">
        <x:v>0</x:v>
      </x:c>
    </x:row>
    <x:row r="1297">
      <x:c r="A1297" s="83" t="n">
        <x:v>1296</x:v>
      </x:c>
      <x:c r="B1297" s="84" t="str">
        <x:v>OS-2023-01296</x:v>
      </x:c>
      <x:c r="C1297" s="84" t="n">
        <x:v>70</x:v>
      </x:c>
      <x:c r="D1297" s="84" t="n">
        <x:v>1</x:v>
      </x:c>
      <x:c r="E1297" s="84" t="n">
        <x:v>140</x:v>
      </x:c>
      <x:c r="F1297" s="89" t="n">
        <x:v>44998.20560185185</x:v>
      </x:c>
      <x:c r="G1297" s="89" t="n">
        <x:v>44999.20560185185</x:v>
      </x:c>
      <x:c r="H1297" s="89" t="n">
        <x:v>44998.913935185185</x:v>
      </x:c>
      <x:c r="I1297" s="89" t="n">
        <x:v>44999.58060185185</x:v>
      </x:c>
      <x:c r="J1297" s="84" t="str">
        <x:v>Crítica</x:v>
      </x:c>
      <x:c r="K1297" s="84" t="str">
        <x:v>Encerrada</x:v>
      </x:c>
      <x:c r="L1297" s="84" t="str">
        <x:v>Baixa pressão</x:v>
      </x:c>
      <x:c r="M1297" s="84" t="str">
        <x:v>Componente danificado</x:v>
      </x:c>
      <x:c r="N1297" s="84" t="str">
        <x:v>Componente ajustado ou substituído</x:v>
      </x:c>
      <x:c r="O1297" s="84" t="n">
        <x:v>0</x:v>
      </x:c>
      <x:c r="P1297" s="93" t="n">
        <x:v>217.05</x:v>
      </x:c>
      <x:c r="Q1297" s="93" t="n">
        <x:v>8686.94</x:v>
      </x:c>
      <x:c r="R1297" s="91" t="n">
        <x:v>0</x:v>
      </x:c>
    </x:row>
    <x:row r="1298">
      <x:c r="A1298" s="83" t="n">
        <x:v>1297</x:v>
      </x:c>
      <x:c r="B1298" s="84" t="str">
        <x:v>OS-2025-01297</x:v>
      </x:c>
      <x:c r="C1298" s="84" t="n">
        <x:v>28</x:v>
      </x:c>
      <x:c r="D1298" s="84" t="n">
        <x:v>1</x:v>
      </x:c>
      <x:c r="E1298" s="84" t="n">
        <x:v>56</x:v>
      </x:c>
      <x:c r="F1298" s="89" t="n">
        <x:v>45857.08621527778</x:v>
      </x:c>
      <x:c r="G1298" s="89" t="n">
        <x:v>45865.08621527778</x:v>
      </x:c>
      <x:c r="H1298" s="89" t="n">
        <x:v>45859.91954861111</x:v>
      </x:c>
      <x:c r="I1298" s="89" t="n">
        <x:v>45860.21121527778</x:v>
      </x:c>
      <x:c r="J1298" s="84" t="str">
        <x:v>Média</x:v>
      </x:c>
      <x:c r="K1298" s="84" t="str">
        <x:v>Concluída</x:v>
      </x:c>
      <x:c r="L1298" s="84" t="str">
        <x:v>Ruído anormal</x:v>
      </x:c>
      <x:c r="M1298" s="84" t="str">
        <x:v>Ajuste incorreto</x:v>
      </x:c>
      <x:c r="N1298" s="84" t="str">
        <x:v>Componente ajustado ou substituído</x:v>
      </x:c>
      <x:c r="O1298" s="84" t="n">
        <x:v>0</x:v>
      </x:c>
      <x:c r="P1298" s="93" t="n">
        <x:v>250.73</x:v>
      </x:c>
      <x:c r="Q1298" s="93" t="n">
        <x:v>4134.84</x:v>
      </x:c>
      <x:c r="R1298" s="91" t="n">
        <x:v>0</x:v>
      </x:c>
    </x:row>
    <x:row r="1299">
      <x:c r="A1299" s="83" t="n">
        <x:v>1298</x:v>
      </x:c>
      <x:c r="B1299" s="84" t="str">
        <x:v>OS-2024-01298</x:v>
      </x:c>
      <x:c r="C1299" s="84" t="n">
        <x:v>21</x:v>
      </x:c>
      <x:c r="D1299" s="84" t="n">
        <x:v>5</x:v>
      </x:c>
      <x:c r="E1299" s="84" t="n">
        <x:v>42</x:v>
      </x:c>
      <x:c r="F1299" s="89" t="n">
        <x:v>45542.27626157407</x:v>
      </x:c>
      <x:c r="G1299" s="89" t="n">
        <x:v>45548.27626157407</x:v>
      </x:c>
      <x:c r="H1299" s="89" t="n">
        <x:v>45544.692928240744</x:v>
      </x:c>
      <x:c r="I1299" s="89" t="n">
        <x:v>45545.317928240744</x:v>
      </x:c>
      <x:c r="J1299" s="84" t="str">
        <x:v>Média</x:v>
      </x:c>
      <x:c r="K1299" s="84" t="str">
        <x:v>Encerrada</x:v>
      </x:c>
      <x:c r="L1299" s="84" t="str">
        <x:v>Superaquecimento</x:v>
      </x:c>
      <x:c r="M1299" s="84" t="str">
        <x:v>Ajuste incorreto</x:v>
      </x:c>
      <x:c r="N1299" s="84" t="str">
        <x:v>Componente ajustado ou substituído</x:v>
      </x:c>
      <x:c r="O1299" s="84" t="n">
        <x:v>0</x:v>
      </x:c>
      <x:c r="P1299" s="93" t="n">
        <x:v>120.57</x:v>
      </x:c>
      <x:c r="Q1299" s="93" t="n">
        <x:v>2509.68</x:v>
      </x:c>
      <x:c r="R1299" s="91" t="n">
        <x:v>0</x:v>
      </x:c>
    </x:row>
    <x:row r="1300">
      <x:c r="A1300" s="83" t="n">
        <x:v>1299</x:v>
      </x:c>
      <x:c r="B1300" s="84" t="str">
        <x:v>OS-2025-01299</x:v>
      </x:c>
      <x:c r="C1300" s="84" t="n">
        <x:v>21</x:v>
      </x:c>
      <x:c r="D1300" s="84" t="n">
        <x:v>2</x:v>
      </x:c>
      <x:c r="E1300" s="84"/>
      <x:c r="F1300" s="89" t="n">
        <x:v>45793.11157407407</x:v>
      </x:c>
      <x:c r="G1300" s="89" t="n">
        <x:v>45806.11157407407</x:v>
      </x:c>
      <x:c r="H1300" s="89" t="n">
        <x:v>45793.23657407407</x:v>
      </x:c>
      <x:c r="I1300" s="89" t="n">
        <x:v>45793.94490740741</x:v>
      </x:c>
      <x:c r="J1300" s="84" t="str">
        <x:v>Baixa</x:v>
      </x:c>
      <x:c r="K1300" s="84" t="str">
        <x:v>Encerrada</x:v>
      </x:c>
      <x:c r="L1300" s="84" t="str">
        <x:v>Alarme intermitente</x:v>
      </x:c>
      <x:c r="M1300" s="84" t="str">
        <x:v>Desgaste natural</x:v>
      </x:c>
      <x:c r="N1300" s="84" t="str">
        <x:v>Componente ajustado ou substituído</x:v>
      </x:c>
      <x:c r="O1300" s="84" t="n">
        <x:v>0</x:v>
      </x:c>
      <x:c r="P1300" s="93" t="n">
        <x:v>686.67</x:v>
      </x:c>
      <x:c r="Q1300" s="93" t="n">
        <x:v>2358.12</x:v>
      </x:c>
      <x:c r="R1300" s="91" t="n">
        <x:v>0</x:v>
      </x:c>
    </x:row>
    <x:row r="1301">
      <x:c r="A1301" s="83" t="n">
        <x:v>1300</x:v>
      </x:c>
      <x:c r="B1301" s="84" t="str">
        <x:v>OS-2025-01300</x:v>
      </x:c>
      <x:c r="C1301" s="84" t="n">
        <x:v>54</x:v>
      </x:c>
      <x:c r="D1301" s="84" t="n">
        <x:v>4</x:v>
      </x:c>
      <x:c r="E1301" s="84"/>
      <x:c r="F1301" s="89" t="n">
        <x:v>45960.86547453704</x:v>
      </x:c>
      <x:c r="G1301" s="89" t="n">
        <x:v>45961.86547453704</x:v>
      </x:c>
      <x:c r="H1301" s="89" t="n">
        <x:v>45961.57380787037</x:v>
      </x:c>
      <x:c r="I1301" s="89" t="n">
        <x:v>45962.11547453704</x:v>
      </x:c>
      <x:c r="J1301" s="84" t="str">
        <x:v>Baixa</x:v>
      </x:c>
      <x:c r="K1301" s="84" t="str">
        <x:v>Encerrada</x:v>
      </x:c>
      <x:c r="L1301" s="84" t="str">
        <x:v>Baixa pressão</x:v>
      </x:c>
      <x:c r="M1301" s="84" t="str">
        <x:v>Desgaste natural</x:v>
      </x:c>
      <x:c r="N1301" s="84" t="str">
        <x:v>Componente ajustado ou substituído</x:v>
      </x:c>
      <x:c r="O1301" s="84" t="n">
        <x:v>0</x:v>
      </x:c>
      <x:c r="P1301" s="93" t="n">
        <x:v>204.69</x:v>
      </x:c>
      <x:c r="Q1301" s="93" t="n">
        <x:v>0</x:v>
      </x:c>
      <x:c r="R1301" s="91" t="n">
        <x:v>0</x:v>
      </x:c>
    </x:row>
    <x:row r="1302">
      <x:c r="A1302" s="83" t="n">
        <x:v>1301</x:v>
      </x:c>
      <x:c r="B1302" s="84" t="str">
        <x:v>OS-2023-01301</x:v>
      </x:c>
      <x:c r="C1302" s="84" t="n">
        <x:v>89</x:v>
      </x:c>
      <x:c r="D1302" s="84" t="n">
        <x:v>5</x:v>
      </x:c>
      <x:c r="E1302" s="84" t="n">
        <x:v>178</x:v>
      </x:c>
      <x:c r="F1302" s="89" t="n">
        <x:v>45061.73841435185</x:v>
      </x:c>
      <x:c r="G1302" s="89" t="n">
        <x:v>45070.73841435185</x:v>
      </x:c>
      <x:c r="H1302" s="89"/>
      <x:c r="I1302" s="89"/>
      <x:c r="J1302" s="84" t="str">
        <x:v>Média</x:v>
      </x:c>
      <x:c r="K1302" s="84" t="str">
        <x:v>Cancelada</x:v>
      </x:c>
      <x:c r="L1302" s="84" t="str">
        <x:v>Baixa pressão</x:v>
      </x:c>
      <x:c r="M1302" s="84"/>
      <x:c r="N1302" s="84"/>
      <x:c r="O1302" s="84" t="n">
        <x:v>0</x:v>
      </x:c>
      <x:c r="P1302" s="93" t="n">
        <x:v>0</x:v>
      </x:c>
      <x:c r="Q1302" s="93" t="n">
        <x:v>0</x:v>
      </x:c>
      <x:c r="R1302" s="91" t="n">
        <x:v>0</x:v>
      </x:c>
    </x:row>
    <x:row r="1303">
      <x:c r="A1303" s="83" t="n">
        <x:v>1302</x:v>
      </x:c>
      <x:c r="B1303" s="84" t="str">
        <x:v>OS-2025-01302</x:v>
      </x:c>
      <x:c r="C1303" s="84" t="n">
        <x:v>65</x:v>
      </x:c>
      <x:c r="D1303" s="84" t="n">
        <x:v>3</x:v>
      </x:c>
      <x:c r="E1303" s="84"/>
      <x:c r="F1303" s="89" t="n">
        <x:v>45778.70946759259</x:v>
      </x:c>
      <x:c r="G1303" s="89"/>
      <x:c r="H1303" s="89" t="n">
        <x:v>45780.41780092593</x:v>
      </x:c>
      <x:c r="I1303" s="89" t="n">
        <x:v>45780.54280092593</x:v>
      </x:c>
      <x:c r="J1303" s="84" t="str">
        <x:v>Média</x:v>
      </x:c>
      <x:c r="K1303" s="84" t="str">
        <x:v>Concluída</x:v>
      </x:c>
      <x:c r="L1303" s="84" t="str">
        <x:v>Vazamento</x:v>
      </x:c>
      <x:c r="M1303" s="84" t="str">
        <x:v>Falta de lubrificação</x:v>
      </x:c>
      <x:c r="N1303" s="84" t="str">
        <x:v>Componente ajustado ou substituído</x:v>
      </x:c>
      <x:c r="O1303" s="84" t="n">
        <x:v>0</x:v>
      </x:c>
      <x:c r="P1303" s="93" t="n">
        <x:v>407.11</x:v>
      </x:c>
      <x:c r="Q1303" s="93" t="n">
        <x:v>0</x:v>
      </x:c>
      <x:c r="R1303" s="91" t="n">
        <x:v>0</x:v>
      </x:c>
    </x:row>
    <x:row r="1304">
      <x:c r="A1304" s="83" t="n">
        <x:v>1303</x:v>
      </x:c>
      <x:c r="B1304" s="84" t="str">
        <x:v>OS-2024-01303</x:v>
      </x:c>
      <x:c r="C1304" s="84" t="n">
        <x:v>68</x:v>
      </x:c>
      <x:c r="D1304" s="84" t="n">
        <x:v>1</x:v>
      </x:c>
      <x:c r="E1304" s="84" t="n">
        <x:v>135</x:v>
      </x:c>
      <x:c r="F1304" s="89" t="n">
        <x:v>45460.91677083333</x:v>
      </x:c>
      <x:c r="G1304" s="89" t="n">
        <x:v>45463.91677083333</x:v>
      </x:c>
      <x:c r="H1304" s="89" t="n">
        <x:v>45463.87510416667</x:v>
      </x:c>
      <x:c r="I1304" s="89"/>
      <x:c r="J1304" s="84" t="str">
        <x:v>Alta</x:v>
      </x:c>
      <x:c r="K1304" s="84" t="str">
        <x:v>Em execução</x:v>
      </x:c>
      <x:c r="L1304" s="84" t="str">
        <x:v>Vazamento</x:v>
      </x:c>
      <x:c r="M1304" s="84" t="str">
        <x:v>Falta de lubrificação</x:v>
      </x:c>
      <x:c r="N1304" s="84"/>
      <x:c r="O1304" s="84" t="n">
        <x:v>0</x:v>
      </x:c>
      <x:c r="P1304" s="93" t="n">
        <x:v>352.66</x:v>
      </x:c>
      <x:c r="Q1304" s="93" t="n">
        <x:v>6156.09</x:v>
      </x:c>
      <x:c r="R1304" s="91" t="n">
        <x:v>0</x:v>
      </x:c>
    </x:row>
    <x:row r="1305">
      <x:c r="A1305" s="83" t="n">
        <x:v>1304</x:v>
      </x:c>
      <x:c r="B1305" s="84" t="str">
        <x:v>OS-2024-01304</x:v>
      </x:c>
      <x:c r="C1305" s="84" t="n">
        <x:v>67</x:v>
      </x:c>
      <x:c r="D1305" s="84" t="n">
        <x:v>3</x:v>
      </x:c>
      <x:c r="E1305" s="84"/>
      <x:c r="F1305" s="89" t="n">
        <x:v>45521.14697916667</x:v>
      </x:c>
      <x:c r="G1305" s="89"/>
      <x:c r="H1305" s="89" t="n">
        <x:v>45521.27197916667</x:v>
      </x:c>
      <x:c r="I1305" s="89" t="n">
        <x:v>45521.4803125</x:v>
      </x:c>
      <x:c r="J1305" s="84" t="str">
        <x:v>Baixa</x:v>
      </x:c>
      <x:c r="K1305" s="84" t="str">
        <x:v>Encerrada</x:v>
      </x:c>
      <x:c r="L1305" s="84" t="str">
        <x:v>Alarme intermitente</x:v>
      </x:c>
      <x:c r="M1305" s="84" t="str">
        <x:v>Componente danificado</x:v>
      </x:c>
      <x:c r="N1305" s="84" t="str">
        <x:v>Componente ajustado ou substituído</x:v>
      </x:c>
      <x:c r="O1305" s="84" t="n">
        <x:v>0</x:v>
      </x:c>
      <x:c r="P1305" s="93" t="n">
        <x:v>363.59</x:v>
      </x:c>
      <x:c r="Q1305" s="93" t="n">
        <x:v>8824.68</x:v>
      </x:c>
      <x:c r="R1305" s="91" t="n">
        <x:v>0</x:v>
      </x:c>
    </x:row>
    <x:row r="1306">
      <x:c r="A1306" s="83" t="n">
        <x:v>1305</x:v>
      </x:c>
      <x:c r="B1306" s="84" t="str">
        <x:v>OS-2024-01305</x:v>
      </x:c>
      <x:c r="C1306" s="84" t="n">
        <x:v>68</x:v>
      </x:c>
      <x:c r="D1306" s="84" t="n">
        <x:v>5</x:v>
      </x:c>
      <x:c r="E1306" s="84" t="n">
        <x:v>136</x:v>
      </x:c>
      <x:c r="F1306" s="89" t="n">
        <x:v>45596.82745370371</x:v>
      </x:c>
      <x:c r="G1306" s="89" t="n">
        <x:v>45605.82745370371</x:v>
      </x:c>
      <x:c r="H1306" s="89" t="n">
        <x:v>45599.07745370371</x:v>
      </x:c>
      <x:c r="I1306" s="89" t="n">
        <x:v>45599.57745370371</x:v>
      </x:c>
      <x:c r="J1306" s="84" t="str">
        <x:v>Baixa</x:v>
      </x:c>
      <x:c r="K1306" s="84" t="str">
        <x:v>Encerrada</x:v>
      </x:c>
      <x:c r="L1306" s="84" t="str">
        <x:v>Superaquecimento</x:v>
      </x:c>
      <x:c r="M1306" s="84" t="str">
        <x:v>Ajuste incorreto</x:v>
      </x:c>
      <x:c r="N1306" s="84" t="str">
        <x:v>Componente ajustado ou substituído</x:v>
      </x:c>
      <x:c r="O1306" s="84" t="n">
        <x:v>0</x:v>
      </x:c>
      <x:c r="P1306" s="93" t="n">
        <x:v>20.26</x:v>
      </x:c>
      <x:c r="Q1306" s="93" t="n">
        <x:v>0</x:v>
      </x:c>
      <x:c r="R1306" s="91" t="n">
        <x:v>0</x:v>
      </x:c>
    </x:row>
    <x:row r="1307">
      <x:c r="A1307" s="83" t="n">
        <x:v>1306</x:v>
      </x:c>
      <x:c r="B1307" s="84" t="str">
        <x:v>OS-2023-01306</x:v>
      </x:c>
      <x:c r="C1307" s="84" t="n">
        <x:v>33</x:v>
      </x:c>
      <x:c r="D1307" s="84" t="n">
        <x:v>3</x:v>
      </x:c>
      <x:c r="E1307" s="84"/>
      <x:c r="F1307" s="89" t="n">
        <x:v>44995.98351851852</x:v>
      </x:c>
      <x:c r="G1307" s="89"/>
      <x:c r="H1307" s="89" t="n">
        <x:v>44996.525185185186</x:v>
      </x:c>
      <x:c r="I1307" s="89" t="n">
        <x:v>44996.85851851852</x:v>
      </x:c>
      <x:c r="J1307" s="84" t="str">
        <x:v>Baixa</x:v>
      </x:c>
      <x:c r="K1307" s="84" t="str">
        <x:v>Encerrada</x:v>
      </x:c>
      <x:c r="L1307" s="84" t="str">
        <x:v>Falha elétrica</x:v>
      </x:c>
      <x:c r="M1307" s="84" t="str">
        <x:v>Contaminação</x:v>
      </x:c>
      <x:c r="N1307" s="84" t="str">
        <x:v>Componente ajustado ou substituído</x:v>
      </x:c>
      <x:c r="O1307" s="84" t="n">
        <x:v>0</x:v>
      </x:c>
      <x:c r="P1307" s="93" t="n">
        <x:v>358.92</x:v>
      </x:c>
      <x:c r="Q1307" s="93" t="n">
        <x:v>0</x:v>
      </x:c>
      <x:c r="R1307" s="91" t="n">
        <x:v>0</x:v>
      </x:c>
    </x:row>
    <x:row r="1308">
      <x:c r="A1308" s="83" t="n">
        <x:v>1307</x:v>
      </x:c>
      <x:c r="B1308" s="84" t="str">
        <x:v>OS-2025-01307</x:v>
      </x:c>
      <x:c r="C1308" s="84" t="n">
        <x:v>57</x:v>
      </x:c>
      <x:c r="D1308" s="84" t="n">
        <x:v>1</x:v>
      </x:c>
      <x:c r="E1308" s="84" t="n">
        <x:v>113</x:v>
      </x:c>
      <x:c r="F1308" s="89" t="n">
        <x:v>45858.48265046296</x:v>
      </x:c>
      <x:c r="G1308" s="89" t="n">
        <x:v>45860.48265046296</x:v>
      </x:c>
      <x:c r="H1308" s="89" t="n">
        <x:v>45859.565983796296</x:v>
      </x:c>
      <x:c r="I1308" s="89" t="n">
        <x:v>45860.315983796296</x:v>
      </x:c>
      <x:c r="J1308" s="84" t="str">
        <x:v>Alta</x:v>
      </x:c>
      <x:c r="K1308" s="84" t="str">
        <x:v>Concluída</x:v>
      </x:c>
      <x:c r="L1308" s="84" t="str">
        <x:v>Superaquecimento</x:v>
      </x:c>
      <x:c r="M1308" s="84" t="str">
        <x:v>Componente danificado</x:v>
      </x:c>
      <x:c r="N1308" s="84" t="str">
        <x:v>Componente ajustado ou substituído</x:v>
      </x:c>
      <x:c r="O1308" s="84" t="n">
        <x:v>0</x:v>
      </x:c>
      <x:c r="P1308" s="93" t="n">
        <x:v>268.76</x:v>
      </x:c>
      <x:c r="Q1308" s="93" t="n">
        <x:v>9134.02</x:v>
      </x:c>
      <x:c r="R1308" s="91" t="n">
        <x:v>0</x:v>
      </x:c>
    </x:row>
    <x:row r="1309">
      <x:c r="A1309" s="83" t="n">
        <x:v>1308</x:v>
      </x:c>
      <x:c r="B1309" s="84" t="str">
        <x:v>OS-2024-01308</x:v>
      </x:c>
      <x:c r="C1309" s="84" t="n">
        <x:v>64</x:v>
      </x:c>
      <x:c r="D1309" s="84" t="n">
        <x:v>8</x:v>
      </x:c>
      <x:c r="E1309" s="84"/>
      <x:c r="F1309" s="89" t="n">
        <x:v>45348.86761574074</x:v>
      </x:c>
      <x:c r="G1309" s="89" t="n">
        <x:v>45352.86761574074</x:v>
      </x:c>
      <x:c r="H1309" s="89" t="n">
        <x:v>45351.40928240741</x:v>
      </x:c>
      <x:c r="I1309" s="89" t="n">
        <x:v>45351.49261574074</x:v>
      </x:c>
      <x:c r="J1309" s="84" t="str">
        <x:v>Baixa</x:v>
      </x:c>
      <x:c r="K1309" s="84" t="str">
        <x:v>Concluída</x:v>
      </x:c>
      <x:c r="L1309" s="84" t="str">
        <x:v>Alarme intermitente</x:v>
      </x:c>
      <x:c r="M1309" s="84" t="str">
        <x:v>Falta de lubrificação</x:v>
      </x:c>
      <x:c r="N1309" s="84" t="str">
        <x:v>Componente ajustado ou substituído</x:v>
      </x:c>
      <x:c r="O1309" s="84" t="n">
        <x:v>0</x:v>
      </x:c>
      <x:c r="P1309" s="93" t="n">
        <x:v>305.28</x:v>
      </x:c>
      <x:c r="Q1309" s="93" t="n">
        <x:v>3558.58</x:v>
      </x:c>
      <x:c r="R1309" s="91" t="n">
        <x:v>0</x:v>
      </x:c>
    </x:row>
    <x:row r="1310">
      <x:c r="A1310" s="83" t="n">
        <x:v>1309</x:v>
      </x:c>
      <x:c r="B1310" s="84" t="str">
        <x:v>OS-2024-01309</x:v>
      </x:c>
      <x:c r="C1310" s="84" t="n">
        <x:v>3</x:v>
      </x:c>
      <x:c r="D1310" s="84" t="n">
        <x:v>2</x:v>
      </x:c>
      <x:c r="E1310" s="84"/>
      <x:c r="F1310" s="89" t="n">
        <x:v>45545.60701388889</x:v>
      </x:c>
      <x:c r="G1310" s="89" t="n">
        <x:v>45545.60701388889</x:v>
      </x:c>
      <x:c r="H1310" s="89" t="n">
        <x:v>45546.273680555554</x:v>
      </x:c>
      <x:c r="I1310" s="89" t="n">
        <x:v>45546.690347222226</x:v>
      </x:c>
      <x:c r="J1310" s="84" t="str">
        <x:v>Crítica</x:v>
      </x:c>
      <x:c r="K1310" s="84" t="str">
        <x:v>Encerrada</x:v>
      </x:c>
      <x:c r="L1310" s="84" t="str">
        <x:v>Ruído anormal</x:v>
      </x:c>
      <x:c r="M1310" s="84" t="str">
        <x:v>Conexão frouxa</x:v>
      </x:c>
      <x:c r="N1310" s="84" t="str">
        <x:v>Componente ajustado ou substituído</x:v>
      </x:c>
      <x:c r="O1310" s="84" t="n">
        <x:v>0</x:v>
      </x:c>
      <x:c r="P1310" s="93" t="n">
        <x:v>231.96</x:v>
      </x:c>
      <x:c r="Q1310" s="93" t="n">
        <x:v>4969.05</x:v>
      </x:c>
      <x:c r="R1310" s="91" t="n">
        <x:v>0</x:v>
      </x:c>
    </x:row>
    <x:row r="1311">
      <x:c r="A1311" s="83" t="n">
        <x:v>1310</x:v>
      </x:c>
      <x:c r="B1311" s="84" t="str">
        <x:v>OS-2025-01310</x:v>
      </x:c>
      <x:c r="C1311" s="84" t="n">
        <x:v>57</x:v>
      </x:c>
      <x:c r="D1311" s="84" t="n">
        <x:v>1</x:v>
      </x:c>
      <x:c r="E1311" s="84" t="n">
        <x:v>114</x:v>
      </x:c>
      <x:c r="F1311" s="89" t="n">
        <x:v>45943.06181712963</x:v>
      </x:c>
      <x:c r="G1311" s="89" t="n">
        <x:v>45945.06181712963</x:v>
      </x:c>
      <x:c r="H1311" s="89"/>
      <x:c r="I1311" s="89"/>
      <x:c r="J1311" s="84" t="str">
        <x:v>Média</x:v>
      </x:c>
      <x:c r="K1311" s="84" t="str">
        <x:v>Cancelada</x:v>
      </x:c>
      <x:c r="L1311" s="84" t="str">
        <x:v>Vazamento</x:v>
      </x:c>
      <x:c r="M1311" s="84"/>
      <x:c r="N1311" s="84"/>
      <x:c r="O1311" s="84" t="n">
        <x:v>0</x:v>
      </x:c>
      <x:c r="P1311" s="93" t="n">
        <x:v>0</x:v>
      </x:c>
      <x:c r="Q1311" s="93" t="n">
        <x:v>0</x:v>
      </x:c>
      <x:c r="R1311" s="91" t="n">
        <x:v>0</x:v>
      </x:c>
    </x:row>
    <x:row r="1312">
      <x:c r="A1312" s="83" t="n">
        <x:v>1311</x:v>
      </x:c>
      <x:c r="B1312" s="84" t="str">
        <x:v>OS-2023-01311</x:v>
      </x:c>
      <x:c r="C1312" s="84" t="n">
        <x:v>45</x:v>
      </x:c>
      <x:c r="D1312" s="84" t="n">
        <x:v>3</x:v>
      </x:c>
      <x:c r="E1312" s="84"/>
      <x:c r="F1312" s="89" t="n">
        <x:v>45211.89256944445</x:v>
      </x:c>
      <x:c r="G1312" s="89"/>
      <x:c r="H1312" s="89"/>
      <x:c r="I1312" s="89"/>
      <x:c r="J1312" s="84" t="str">
        <x:v>Média</x:v>
      </x:c>
      <x:c r="K1312" s="84" t="str">
        <x:v>Planejada</x:v>
      </x:c>
      <x:c r="L1312" s="84" t="str">
        <x:v>Desalinhamento</x:v>
      </x:c>
      <x:c r="M1312" s="84"/>
      <x:c r="N1312" s="84"/>
      <x:c r="O1312" s="84" t="n">
        <x:v>0</x:v>
      </x:c>
      <x:c r="P1312" s="93" t="n">
        <x:v>0</x:v>
      </x:c>
      <x:c r="Q1312" s="93" t="n">
        <x:v>0</x:v>
      </x:c>
      <x:c r="R1312" s="91" t="n">
        <x:v>0</x:v>
      </x:c>
    </x:row>
    <x:row r="1313">
      <x:c r="A1313" s="83" t="n">
        <x:v>1312</x:v>
      </x:c>
      <x:c r="B1313" s="84" t="str">
        <x:v>OS-2024-01312</x:v>
      </x:c>
      <x:c r="C1313" s="84" t="n">
        <x:v>81</x:v>
      </x:c>
      <x:c r="D1313" s="84" t="n">
        <x:v>3</x:v>
      </x:c>
      <x:c r="E1313" s="84"/>
      <x:c r="F1313" s="89" t="n">
        <x:v>45602.43636574074</x:v>
      </x:c>
      <x:c r="G1313" s="89"/>
      <x:c r="H1313" s="89" t="n">
        <x:v>45605.31136574074</x:v>
      </x:c>
      <x:c r="I1313" s="89" t="n">
        <x:v>45605.51969907407</x:v>
      </x:c>
      <x:c r="J1313" s="84" t="str">
        <x:v>Crítica</x:v>
      </x:c>
      <x:c r="K1313" s="84" t="str">
        <x:v>Concluída</x:v>
      </x:c>
      <x:c r="L1313" s="84" t="str">
        <x:v>Vazamento</x:v>
      </x:c>
      <x:c r="M1313" s="84" t="str">
        <x:v>Falta de lubrificação</x:v>
      </x:c>
      <x:c r="N1313" s="84" t="str">
        <x:v>Componente ajustado ou substituído</x:v>
      </x:c>
      <x:c r="O1313" s="84" t="n">
        <x:v>0</x:v>
      </x:c>
      <x:c r="P1313" s="93" t="n">
        <x:v>424.93</x:v>
      </x:c>
      <x:c r="Q1313" s="93" t="n">
        <x:v>15987.9</x:v>
      </x:c>
      <x:c r="R1313" s="91" t="n">
        <x:v>0</x:v>
      </x:c>
    </x:row>
    <x:row r="1314">
      <x:c r="A1314" s="83" t="n">
        <x:v>1313</x:v>
      </x:c>
      <x:c r="B1314" s="84" t="str">
        <x:v>OS-2024-01313</x:v>
      </x:c>
      <x:c r="C1314" s="84" t="n">
        <x:v>87</x:v>
      </x:c>
      <x:c r="D1314" s="84" t="n">
        <x:v>4</x:v>
      </x:c>
      <x:c r="E1314" s="84"/>
      <x:c r="F1314" s="89" t="n">
        <x:v>45645.046261574076</x:v>
      </x:c>
      <x:c r="G1314" s="89" t="n">
        <x:v>45647.046261574076</x:v>
      </x:c>
      <x:c r="H1314" s="89" t="n">
        <x:v>45645.379594907405</x:v>
      </x:c>
      <x:c r="I1314" s="89" t="n">
        <x:v>45646.129594907405</x:v>
      </x:c>
      <x:c r="J1314" s="84" t="str">
        <x:v>Média</x:v>
      </x:c>
      <x:c r="K1314" s="84" t="str">
        <x:v>Encerrada</x:v>
      </x:c>
      <x:c r="L1314" s="84" t="str">
        <x:v>Superaquecimento</x:v>
      </x:c>
      <x:c r="M1314" s="84" t="str">
        <x:v>Componente danificado</x:v>
      </x:c>
      <x:c r="N1314" s="84" t="str">
        <x:v>Componente ajustado ou substituído</x:v>
      </x:c>
      <x:c r="O1314" s="84" t="n">
        <x:v>0</x:v>
      </x:c>
      <x:c r="P1314" s="93" t="n">
        <x:v>259.44</x:v>
      </x:c>
      <x:c r="Q1314" s="93" t="n">
        <x:v>1539.08</x:v>
      </x:c>
      <x:c r="R1314" s="91" t="n">
        <x:v>0</x:v>
      </x:c>
    </x:row>
    <x:row r="1315">
      <x:c r="A1315" s="83" t="n">
        <x:v>1314</x:v>
      </x:c>
      <x:c r="B1315" s="84" t="str">
        <x:v>OS-2024-01314</x:v>
      </x:c>
      <x:c r="C1315" s="84" t="n">
        <x:v>85</x:v>
      </x:c>
      <x:c r="D1315" s="84" t="n">
        <x:v>3</x:v>
      </x:c>
      <x:c r="E1315" s="84"/>
      <x:c r="F1315" s="89" t="n">
        <x:v>45293.39331018519</x:v>
      </x:c>
      <x:c r="G1315" s="89"/>
      <x:c r="H1315" s="89" t="n">
        <x:v>45294.39331018519</x:v>
      </x:c>
      <x:c r="I1315" s="89" t="n">
        <x:v>45294.601643518516</x:v>
      </x:c>
      <x:c r="J1315" s="84" t="str">
        <x:v>Alta</x:v>
      </x:c>
      <x:c r="K1315" s="84" t="str">
        <x:v>Encerrada</x:v>
      </x:c>
      <x:c r="L1315" s="84" t="str">
        <x:v>Falha elétrica</x:v>
      </x:c>
      <x:c r="M1315" s="84" t="str">
        <x:v>Desgaste natural</x:v>
      </x:c>
      <x:c r="N1315" s="84" t="str">
        <x:v>Componente ajustado ou substituído</x:v>
      </x:c>
      <x:c r="O1315" s="84" t="n">
        <x:v>0</x:v>
      </x:c>
      <x:c r="P1315" s="93" t="n">
        <x:v>204.47</x:v>
      </x:c>
      <x:c r="Q1315" s="93" t="n">
        <x:v>10936.69</x:v>
      </x:c>
      <x:c r="R1315" s="91" t="n">
        <x:v>0</x:v>
      </x:c>
    </x:row>
    <x:row r="1316">
      <x:c r="A1316" s="83" t="n">
        <x:v>1315</x:v>
      </x:c>
      <x:c r="B1316" s="84" t="str">
        <x:v>OS-2024-01315</x:v>
      </x:c>
      <x:c r="C1316" s="84" t="n">
        <x:v>39</x:v>
      </x:c>
      <x:c r="D1316" s="84" t="n">
        <x:v>1</x:v>
      </x:c>
      <x:c r="E1316" s="84" t="n">
        <x:v>77</x:v>
      </x:c>
      <x:c r="F1316" s="89" t="n">
        <x:v>45328.90226851852</x:v>
      </x:c>
      <x:c r="G1316" s="89" t="n">
        <x:v>45338.90226851852</x:v>
      </x:c>
      <x:c r="H1316" s="89" t="n">
        <x:v>45329.40226851852</x:v>
      </x:c>
      <x:c r="I1316" s="89"/>
      <x:c r="J1316" s="84" t="str">
        <x:v>Média</x:v>
      </x:c>
      <x:c r="K1316" s="84" t="str">
        <x:v>Em execução</x:v>
      </x:c>
      <x:c r="L1316" s="84" t="str">
        <x:v>Falha elétrica</x:v>
      </x:c>
      <x:c r="M1316" s="84" t="str">
        <x:v>Contaminação</x:v>
      </x:c>
      <x:c r="N1316" s="84"/>
      <x:c r="O1316" s="84" t="n">
        <x:v>0</x:v>
      </x:c>
      <x:c r="P1316" s="93" t="n">
        <x:v>59.32</x:v>
      </x:c>
      <x:c r="Q1316" s="93" t="n">
        <x:v>6352.19</x:v>
      </x:c>
      <x:c r="R1316" s="91" t="n">
        <x:v>0</x:v>
      </x:c>
    </x:row>
    <x:row r="1317">
      <x:c r="A1317" s="83" t="n">
        <x:v>1316</x:v>
      </x:c>
      <x:c r="B1317" s="84" t="str">
        <x:v>OS-2025-01316</x:v>
      </x:c>
      <x:c r="C1317" s="84" t="n">
        <x:v>65</x:v>
      </x:c>
      <x:c r="D1317" s="84" t="n">
        <x:v>5</x:v>
      </x:c>
      <x:c r="E1317" s="84" t="n">
        <x:v>129</x:v>
      </x:c>
      <x:c r="F1317" s="89" t="n">
        <x:v>45684.747094907405</x:v>
      </x:c>
      <x:c r="G1317" s="89" t="n">
        <x:v>45689.747094907405</x:v>
      </x:c>
      <x:c r="H1317" s="89" t="n">
        <x:v>45685.91376157408</x:v>
      </x:c>
      <x:c r="I1317" s="89" t="n">
        <x:v>45686.247094907405</x:v>
      </x:c>
      <x:c r="J1317" s="84" t="str">
        <x:v>Alta</x:v>
      </x:c>
      <x:c r="K1317" s="84" t="str">
        <x:v>Encerrada</x:v>
      </x:c>
      <x:c r="L1317" s="84" t="str">
        <x:v>Vazamento</x:v>
      </x:c>
      <x:c r="M1317" s="84" t="str">
        <x:v>Conexão frouxa</x:v>
      </x:c>
      <x:c r="N1317" s="84" t="str">
        <x:v>Componente ajustado ou substituído</x:v>
      </x:c>
      <x:c r="O1317" s="84" t="n">
        <x:v>0</x:v>
      </x:c>
      <x:c r="P1317" s="93" t="n">
        <x:v>251.12</x:v>
      </x:c>
      <x:c r="Q1317" s="93" t="n">
        <x:v>0</x:v>
      </x:c>
      <x:c r="R1317" s="91" t="n">
        <x:v>0</x:v>
      </x:c>
    </x:row>
    <x:row r="1318">
      <x:c r="A1318" s="83" t="n">
        <x:v>1317</x:v>
      </x:c>
      <x:c r="B1318" s="84" t="str">
        <x:v>OS-2024-01317</x:v>
      </x:c>
      <x:c r="C1318" s="84" t="n">
        <x:v>14</x:v>
      </x:c>
      <x:c r="D1318" s="84" t="n">
        <x:v>4</x:v>
      </x:c>
      <x:c r="E1318" s="84"/>
      <x:c r="F1318" s="89" t="n">
        <x:v>45515.16201388889</x:v>
      </x:c>
      <x:c r="G1318" s="89" t="n">
        <x:v>45520.16201388889</x:v>
      </x:c>
      <x:c r="H1318" s="89"/>
      <x:c r="I1318" s="89"/>
      <x:c r="J1318" s="84" t="str">
        <x:v>Baixa</x:v>
      </x:c>
      <x:c r="K1318" s="84" t="str">
        <x:v>Cancelada</x:v>
      </x:c>
      <x:c r="L1318" s="84" t="str">
        <x:v>Baixa pressão</x:v>
      </x:c>
      <x:c r="M1318" s="84"/>
      <x:c r="N1318" s="84"/>
      <x:c r="O1318" s="84" t="n">
        <x:v>0</x:v>
      </x:c>
      <x:c r="P1318" s="93" t="n">
        <x:v>0</x:v>
      </x:c>
      <x:c r="Q1318" s="93" t="n">
        <x:v>0</x:v>
      </x:c>
      <x:c r="R1318" s="91" t="n">
        <x:v>0</x:v>
      </x:c>
    </x:row>
    <x:row r="1319">
      <x:c r="A1319" s="83" t="n">
        <x:v>1318</x:v>
      </x:c>
      <x:c r="B1319" s="84" t="str">
        <x:v>OS-2025-01318</x:v>
      </x:c>
      <x:c r="C1319" s="84" t="n">
        <x:v>8</x:v>
      </x:c>
      <x:c r="D1319" s="84" t="n">
        <x:v>3</x:v>
      </x:c>
      <x:c r="E1319" s="84"/>
      <x:c r="F1319" s="89" t="n">
        <x:v>45857.16372685185</x:v>
      </x:c>
      <x:c r="G1319" s="89"/>
      <x:c r="H1319" s="89" t="n">
        <x:v>45857.53872685185</x:v>
      </x:c>
      <x:c r="I1319" s="89" t="n">
        <x:v>45857.87206018518</x:v>
      </x:c>
      <x:c r="J1319" s="84" t="str">
        <x:v>Crítica</x:v>
      </x:c>
      <x:c r="K1319" s="84" t="str">
        <x:v>Encerrada</x:v>
      </x:c>
      <x:c r="L1319" s="84" t="str">
        <x:v>Ruído anormal</x:v>
      </x:c>
      <x:c r="M1319" s="84" t="str">
        <x:v>Desgaste natural</x:v>
      </x:c>
      <x:c r="N1319" s="84" t="str">
        <x:v>Componente ajustado ou substituído</x:v>
      </x:c>
      <x:c r="O1319" s="84" t="n">
        <x:v>0</x:v>
      </x:c>
      <x:c r="P1319" s="93" t="n">
        <x:v>162.12</x:v>
      </x:c>
      <x:c r="Q1319" s="93" t="n">
        <x:v>4400.75</x:v>
      </x:c>
      <x:c r="R1319" s="91" t="n">
        <x:v>0</x:v>
      </x:c>
    </x:row>
    <x:row r="1320">
      <x:c r="A1320" s="83" t="n">
        <x:v>1319</x:v>
      </x:c>
      <x:c r="B1320" s="84" t="str">
        <x:v>OS-2024-01319</x:v>
      </x:c>
      <x:c r="C1320" s="84" t="n">
        <x:v>89</x:v>
      </x:c>
      <x:c r="D1320" s="84" t="n">
        <x:v>4</x:v>
      </x:c>
      <x:c r="E1320" s="84"/>
      <x:c r="F1320" s="89" t="n">
        <x:v>45529.75678240741</x:v>
      </x:c>
      <x:c r="G1320" s="89" t="n">
        <x:v>45534.75678240741</x:v>
      </x:c>
      <x:c r="H1320" s="89" t="n">
        <x:v>45530.88178240741</x:v>
      </x:c>
      <x:c r="I1320" s="89"/>
      <x:c r="J1320" s="84" t="str">
        <x:v>Alta</x:v>
      </x:c>
      <x:c r="K1320" s="84" t="str">
        <x:v>Em execução</x:v>
      </x:c>
      <x:c r="L1320" s="84" t="str">
        <x:v>Vazamento</x:v>
      </x:c>
      <x:c r="M1320" s="84" t="str">
        <x:v>Componente danificado</x:v>
      </x:c>
      <x:c r="N1320" s="84"/>
      <x:c r="O1320" s="84" t="n">
        <x:v>0</x:v>
      </x:c>
      <x:c r="P1320" s="93" t="n">
        <x:v>613.63</x:v>
      </x:c>
      <x:c r="Q1320" s="93" t="n">
        <x:v>0</x:v>
      </x:c>
      <x:c r="R1320" s="91" t="n">
        <x:v>0</x:v>
      </x:c>
    </x:row>
    <x:row r="1321">
      <x:c r="A1321" s="83" t="n">
        <x:v>1320</x:v>
      </x:c>
      <x:c r="B1321" s="84" t="str">
        <x:v>OS-2024-01320</x:v>
      </x:c>
      <x:c r="C1321" s="84" t="n">
        <x:v>43</x:v>
      </x:c>
      <x:c r="D1321" s="84" t="n">
        <x:v>2</x:v>
      </x:c>
      <x:c r="E1321" s="84"/>
      <x:c r="F1321" s="89" t="n">
        <x:v>45318.78226851852</x:v>
      </x:c>
      <x:c r="G1321" s="89" t="n">
        <x:v>45318.78226851852</x:v>
      </x:c>
      <x:c r="H1321" s="89" t="n">
        <x:v>45319.57393518519</x:v>
      </x:c>
      <x:c r="I1321" s="89" t="n">
        <x:v>45319.78226851852</x:v>
      </x:c>
      <x:c r="J1321" s="84" t="str">
        <x:v>Alta</x:v>
      </x:c>
      <x:c r="K1321" s="84" t="str">
        <x:v>Encerrada</x:v>
      </x:c>
      <x:c r="L1321" s="84" t="str">
        <x:v>Desalinhamento</x:v>
      </x:c>
      <x:c r="M1321" s="84" t="str">
        <x:v>Ajuste incorreto</x:v>
      </x:c>
      <x:c r="N1321" s="84" t="str">
        <x:v>Componente ajustado ou substituído</x:v>
      </x:c>
      <x:c r="O1321" s="84" t="n">
        <x:v>0</x:v>
      </x:c>
      <x:c r="P1321" s="93" t="n">
        <x:v>113.32</x:v>
      </x:c>
      <x:c r="Q1321" s="93" t="n">
        <x:v>5883.12</x:v>
      </x:c>
      <x:c r="R1321" s="91" t="n">
        <x:v>0</x:v>
      </x:c>
    </x:row>
    <x:row r="1322">
      <x:c r="A1322" s="83" t="n">
        <x:v>1321</x:v>
      </x:c>
      <x:c r="B1322" s="84" t="str">
        <x:v>OS-2023-01321</x:v>
      </x:c>
      <x:c r="C1322" s="84" t="n">
        <x:v>77</x:v>
      </x:c>
      <x:c r="D1322" s="84" t="n">
        <x:v>1</x:v>
      </x:c>
      <x:c r="E1322" s="84" t="n">
        <x:v>154</x:v>
      </x:c>
      <x:c r="F1322" s="89" t="n">
        <x:v>45163.91951388889</x:v>
      </x:c>
      <x:c r="G1322" s="89" t="n">
        <x:v>45164.91951388889</x:v>
      </x:c>
      <x:c r="H1322" s="89" t="n">
        <x:v>45166.211180555554</x:v>
      </x:c>
      <x:c r="I1322" s="89" t="n">
        <x:v>45166.961180555554</x:v>
      </x:c>
      <x:c r="J1322" s="84" t="str">
        <x:v>Baixa</x:v>
      </x:c>
      <x:c r="K1322" s="84" t="str">
        <x:v>Encerrada</x:v>
      </x:c>
      <x:c r="L1322" s="84" t="str">
        <x:v>Ruído anormal</x:v>
      </x:c>
      <x:c r="M1322" s="84" t="str">
        <x:v>Desgaste natural</x:v>
      </x:c>
      <x:c r="N1322" s="84" t="str">
        <x:v>Componente ajustado ou substituído</x:v>
      </x:c>
      <x:c r="O1322" s="84" t="n">
        <x:v>0</x:v>
      </x:c>
      <x:c r="P1322" s="93" t="n">
        <x:v>425</x:v>
      </x:c>
      <x:c r="Q1322" s="93" t="n">
        <x:v>4721.32</x:v>
      </x:c>
      <x:c r="R1322" s="91" t="n">
        <x:v>0</x:v>
      </x:c>
    </x:row>
    <x:row r="1323">
      <x:c r="A1323" s="83" t="n">
        <x:v>1322</x:v>
      </x:c>
      <x:c r="B1323" s="84" t="str">
        <x:v>OS-2023-01322</x:v>
      </x:c>
      <x:c r="C1323" s="84" t="n">
        <x:v>57</x:v>
      </x:c>
      <x:c r="D1323" s="84" t="n">
        <x:v>1</x:v>
      </x:c>
      <x:c r="E1323" s="84" t="n">
        <x:v>113</x:v>
      </x:c>
      <x:c r="F1323" s="89" t="n">
        <x:v>45130.69766203704</x:v>
      </x:c>
      <x:c r="G1323" s="89" t="n">
        <x:v>45133.69766203704</x:v>
      </x:c>
      <x:c r="H1323" s="89"/>
      <x:c r="I1323" s="89"/>
      <x:c r="J1323" s="84" t="str">
        <x:v>Crítica</x:v>
      </x:c>
      <x:c r="K1323" s="84" t="str">
        <x:v>Cancelada</x:v>
      </x:c>
      <x:c r="L1323" s="84" t="str">
        <x:v>Vazamento</x:v>
      </x:c>
      <x:c r="M1323" s="84"/>
      <x:c r="N1323" s="84"/>
      <x:c r="O1323" s="84" t="n">
        <x:v>0</x:v>
      </x:c>
      <x:c r="P1323" s="93" t="n">
        <x:v>0</x:v>
      </x:c>
      <x:c r="Q1323" s="93" t="n">
        <x:v>0</x:v>
      </x:c>
      <x:c r="R1323" s="91" t="n">
        <x:v>0</x:v>
      </x:c>
    </x:row>
    <x:row r="1324">
      <x:c r="A1324" s="83" t="n">
        <x:v>1323</x:v>
      </x:c>
      <x:c r="B1324" s="84" t="str">
        <x:v>OS-2025-01323</x:v>
      </x:c>
      <x:c r="C1324" s="84" t="n">
        <x:v>1</x:v>
      </x:c>
      <x:c r="D1324" s="84" t="n">
        <x:v>2</x:v>
      </x:c>
      <x:c r="E1324" s="84"/>
      <x:c r="F1324" s="89" t="n">
        <x:v>45953.507152777776</x:v>
      </x:c>
      <x:c r="G1324" s="89" t="n">
        <x:v>45968.507152777776</x:v>
      </x:c>
      <x:c r="H1324" s="89" t="n">
        <x:v>45954.54881944445</x:v>
      </x:c>
      <x:c r="I1324" s="89" t="n">
        <x:v>45954.96548611111</x:v>
      </x:c>
      <x:c r="J1324" s="84" t="str">
        <x:v>Crítica</x:v>
      </x:c>
      <x:c r="K1324" s="84" t="str">
        <x:v>Encerrada</x:v>
      </x:c>
      <x:c r="L1324" s="84" t="str">
        <x:v>Ruído anormal</x:v>
      </x:c>
      <x:c r="M1324" s="84" t="str">
        <x:v>Falta de lubrificação</x:v>
      </x:c>
      <x:c r="N1324" s="84" t="str">
        <x:v>Componente ajustado ou substituído</x:v>
      </x:c>
      <x:c r="O1324" s="84" t="n">
        <x:v>1</x:v>
      </x:c>
      <x:c r="P1324" s="93" t="n">
        <x:v>519.88</x:v>
      </x:c>
      <x:c r="Q1324" s="93" t="n">
        <x:v>12296.62</x:v>
      </x:c>
      <x:c r="R1324" s="91" t="n">
        <x:v>7558.56</x:v>
      </x:c>
    </x:row>
    <x:row r="1325">
      <x:c r="A1325" s="83" t="n">
        <x:v>1324</x:v>
      </x:c>
      <x:c r="B1325" s="84" t="str">
        <x:v>OS-2025-01324</x:v>
      </x:c>
      <x:c r="C1325" s="84" t="n">
        <x:v>9</x:v>
      </x:c>
      <x:c r="D1325" s="84" t="n">
        <x:v>3</x:v>
      </x:c>
      <x:c r="E1325" s="84"/>
      <x:c r="F1325" s="89" t="n">
        <x:v>45866.635567129626</x:v>
      </x:c>
      <x:c r="G1325" s="89"/>
      <x:c r="H1325" s="89" t="n">
        <x:v>45868.71890046296</x:v>
      </x:c>
      <x:c r="I1325" s="89" t="n">
        <x:v>45869.010567129626</x:v>
      </x:c>
      <x:c r="J1325" s="84" t="str">
        <x:v>Baixa</x:v>
      </x:c>
      <x:c r="K1325" s="84" t="str">
        <x:v>Encerrada</x:v>
      </x:c>
      <x:c r="L1325" s="84" t="str">
        <x:v>Falha elétrica</x:v>
      </x:c>
      <x:c r="M1325" s="84" t="str">
        <x:v>Desgaste natural</x:v>
      </x:c>
      <x:c r="N1325" s="84" t="str">
        <x:v>Componente ajustado ou substituído</x:v>
      </x:c>
      <x:c r="O1325" s="84" t="n">
        <x:v>0</x:v>
      </x:c>
      <x:c r="P1325" s="93" t="n">
        <x:v>399.42</x:v>
      </x:c>
      <x:c r="Q1325" s="93" t="n">
        <x:v>8490.76</x:v>
      </x:c>
      <x:c r="R1325" s="91" t="n">
        <x:v>0</x:v>
      </x:c>
    </x:row>
    <x:row r="1326">
      <x:c r="A1326" s="83" t="n">
        <x:v>1325</x:v>
      </x:c>
      <x:c r="B1326" s="84" t="str">
        <x:v>OS-2023-01325</x:v>
      </x:c>
      <x:c r="C1326" s="84" t="n">
        <x:v>78</x:v>
      </x:c>
      <x:c r="D1326" s="84" t="n">
        <x:v>1</x:v>
      </x:c>
      <x:c r="E1326" s="84" t="n">
        <x:v>155</x:v>
      </x:c>
      <x:c r="F1326" s="89" t="n">
        <x:v>45236.47201388889</x:v>
      </x:c>
      <x:c r="G1326" s="89" t="n">
        <x:v>45244.47201388889</x:v>
      </x:c>
      <x:c r="H1326" s="89"/>
      <x:c r="I1326" s="89"/>
      <x:c r="J1326" s="84" t="str">
        <x:v>Alta</x:v>
      </x:c>
      <x:c r="K1326" s="84" t="str">
        <x:v>Cancelada</x:v>
      </x:c>
      <x:c r="L1326" s="84" t="str">
        <x:v>Falha elétrica</x:v>
      </x:c>
      <x:c r="M1326" s="84"/>
      <x:c r="N1326" s="84"/>
      <x:c r="O1326" s="84" t="n">
        <x:v>0</x:v>
      </x:c>
      <x:c r="P1326" s="93" t="n">
        <x:v>0</x:v>
      </x:c>
      <x:c r="Q1326" s="93" t="n">
        <x:v>0</x:v>
      </x:c>
      <x:c r="R1326" s="91" t="n">
        <x:v>0</x:v>
      </x:c>
    </x:row>
    <x:row r="1327">
      <x:c r="A1327" s="83" t="n">
        <x:v>1326</x:v>
      </x:c>
      <x:c r="B1327" s="84" t="str">
        <x:v>OS-2025-01326</x:v>
      </x:c>
      <x:c r="C1327" s="84" t="n">
        <x:v>71</x:v>
      </x:c>
      <x:c r="D1327" s="84" t="n">
        <x:v>9</x:v>
      </x:c>
      <x:c r="E1327" s="84"/>
      <x:c r="F1327" s="89" t="n">
        <x:v>45666.44875</x:v>
      </x:c>
      <x:c r="G1327" s="89" t="n">
        <x:v>45676.44875</x:v>
      </x:c>
      <x:c r="H1327" s="89" t="n">
        <x:v>45667.15708333333</x:v>
      </x:c>
      <x:c r="I1327" s="89" t="n">
        <x:v>45667.69875</x:v>
      </x:c>
      <x:c r="J1327" s="84" t="str">
        <x:v>Baixa</x:v>
      </x:c>
      <x:c r="K1327" s="84" t="str">
        <x:v>Concluída</x:v>
      </x:c>
      <x:c r="L1327" s="84" t="str">
        <x:v>Ruído anormal</x:v>
      </x:c>
      <x:c r="M1327" s="84" t="str">
        <x:v>Componente danificado</x:v>
      </x:c>
      <x:c r="N1327" s="84" t="str">
        <x:v>Componente ajustado ou substituído</x:v>
      </x:c>
      <x:c r="O1327" s="84" t="n">
        <x:v>0</x:v>
      </x:c>
      <x:c r="P1327" s="93" t="n">
        <x:v>671.33</x:v>
      </x:c>
      <x:c r="Q1327" s="93" t="n">
        <x:v>1749.72</x:v>
      </x:c>
      <x:c r="R1327" s="91" t="n">
        <x:v>0</x:v>
      </x:c>
    </x:row>
    <x:row r="1328">
      <x:c r="A1328" s="83" t="n">
        <x:v>1327</x:v>
      </x:c>
      <x:c r="B1328" s="84" t="str">
        <x:v>OS-2023-01327</x:v>
      </x:c>
      <x:c r="C1328" s="84" t="n">
        <x:v>13</x:v>
      </x:c>
      <x:c r="D1328" s="84" t="n">
        <x:v>1</x:v>
      </x:c>
      <x:c r="E1328" s="84" t="n">
        <x:v>25</x:v>
      </x:c>
      <x:c r="F1328" s="89" t="n">
        <x:v>45206.02594907407</x:v>
      </x:c>
      <x:c r="G1328" s="89" t="n">
        <x:v>45211.02594907407</x:v>
      </x:c>
      <x:c r="H1328" s="89" t="n">
        <x:v>45208.81761574074</x:v>
      </x:c>
      <x:c r="I1328" s="89" t="n">
        <x:v>45209.15094907407</x:v>
      </x:c>
      <x:c r="J1328" s="84" t="str">
        <x:v>Crítica</x:v>
      </x:c>
      <x:c r="K1328" s="84" t="str">
        <x:v>Encerrada</x:v>
      </x:c>
      <x:c r="L1328" s="84" t="str">
        <x:v>Baixa pressão</x:v>
      </x:c>
      <x:c r="M1328" s="84" t="str">
        <x:v>Conexão frouxa</x:v>
      </x:c>
      <x:c r="N1328" s="84" t="str">
        <x:v>Componente ajustado ou substituído</x:v>
      </x:c>
      <x:c r="O1328" s="84" t="n">
        <x:v>0</x:v>
      </x:c>
      <x:c r="P1328" s="93" t="n">
        <x:v>686.02</x:v>
      </x:c>
      <x:c r="Q1328" s="93" t="n">
        <x:v>1465.42</x:v>
      </x:c>
      <x:c r="R1328" s="91" t="n">
        <x:v>0</x:v>
      </x:c>
    </x:row>
    <x:row r="1329">
      <x:c r="A1329" s="83" t="n">
        <x:v>1328</x:v>
      </x:c>
      <x:c r="B1329" s="84" t="str">
        <x:v>OS-2023-01328</x:v>
      </x:c>
      <x:c r="C1329" s="84" t="n">
        <x:v>77</x:v>
      </x:c>
      <x:c r="D1329" s="84" t="n">
        <x:v>1</x:v>
      </x:c>
      <x:c r="E1329" s="84" t="n">
        <x:v>153</x:v>
      </x:c>
      <x:c r="F1329" s="89" t="n">
        <x:v>45248.804502314815</x:v>
      </x:c>
      <x:c r="G1329" s="89" t="n">
        <x:v>45250.804502314815</x:v>
      </x:c>
      <x:c r="H1329" s="89" t="n">
        <x:v>45249.38783564815</x:v>
      </x:c>
      <x:c r="I1329" s="89" t="n">
        <x:v>45249.88783564815</x:v>
      </x:c>
      <x:c r="J1329" s="84" t="str">
        <x:v>Média</x:v>
      </x:c>
      <x:c r="K1329" s="84" t="str">
        <x:v>Encerrada</x:v>
      </x:c>
      <x:c r="L1329" s="84" t="str">
        <x:v>Alarme intermitente</x:v>
      </x:c>
      <x:c r="M1329" s="84" t="str">
        <x:v>Ajuste incorreto</x:v>
      </x:c>
      <x:c r="N1329" s="84" t="str">
        <x:v>Componente ajustado ou substituído</x:v>
      </x:c>
      <x:c r="O1329" s="84" t="n">
        <x:v>0</x:v>
      </x:c>
      <x:c r="P1329" s="93" t="n">
        <x:v>964.33</x:v>
      </x:c>
      <x:c r="Q1329" s="93" t="n">
        <x:v>1332.32</x:v>
      </x:c>
      <x:c r="R1329" s="91" t="n">
        <x:v>0</x:v>
      </x:c>
    </x:row>
    <x:row r="1330">
      <x:c r="A1330" s="83" t="n">
        <x:v>1329</x:v>
      </x:c>
      <x:c r="B1330" s="84" t="str">
        <x:v>OS-2025-01329</x:v>
      </x:c>
      <x:c r="C1330" s="84" t="n">
        <x:v>39</x:v>
      </x:c>
      <x:c r="D1330" s="84" t="n">
        <x:v>5</x:v>
      </x:c>
      <x:c r="E1330" s="84" t="n">
        <x:v>78</x:v>
      </x:c>
      <x:c r="F1330" s="89" t="n">
        <x:v>46019.14408564815</x:v>
      </x:c>
      <x:c r="G1330" s="89" t="n">
        <x:v>46031.14408564815</x:v>
      </x:c>
      <x:c r="H1330" s="89"/>
      <x:c r="I1330" s="89"/>
      <x:c r="J1330" s="84" t="str">
        <x:v>Alta</x:v>
      </x:c>
      <x:c r="K1330" s="84" t="str">
        <x:v>Planejada</x:v>
      </x:c>
      <x:c r="L1330" s="84" t="str">
        <x:v>Alarme intermitente</x:v>
      </x:c>
      <x:c r="M1330" s="84"/>
      <x:c r="N1330" s="84"/>
      <x:c r="O1330" s="84" t="n">
        <x:v>0</x:v>
      </x:c>
      <x:c r="P1330" s="93" t="n">
        <x:v>0</x:v>
      </x:c>
      <x:c r="Q1330" s="93" t="n">
        <x:v>0</x:v>
      </x:c>
      <x:c r="R1330" s="91" t="n">
        <x:v>0</x:v>
      </x:c>
    </x:row>
    <x:row r="1331">
      <x:c r="A1331" s="83" t="n">
        <x:v>1330</x:v>
      </x:c>
      <x:c r="B1331" s="84" t="str">
        <x:v>OS-2025-01330</x:v>
      </x:c>
      <x:c r="C1331" s="84" t="n">
        <x:v>78</x:v>
      </x:c>
      <x:c r="D1331" s="84" t="n">
        <x:v>3</x:v>
      </x:c>
      <x:c r="E1331" s="84"/>
      <x:c r="F1331" s="89" t="n">
        <x:v>45901.2602662037</x:v>
      </x:c>
      <x:c r="G1331" s="89"/>
      <x:c r="H1331" s="89" t="n">
        <x:v>45902.6352662037</x:v>
      </x:c>
      <x:c r="I1331" s="89" t="n">
        <x:v>45903.46859953704</x:v>
      </x:c>
      <x:c r="J1331" s="84" t="str">
        <x:v>Crítica</x:v>
      </x:c>
      <x:c r="K1331" s="84" t="str">
        <x:v>Encerrada</x:v>
      </x:c>
      <x:c r="L1331" s="84" t="str">
        <x:v>Baixa pressão</x:v>
      </x:c>
      <x:c r="M1331" s="84" t="str">
        <x:v>Contaminação</x:v>
      </x:c>
      <x:c r="N1331" s="84" t="str">
        <x:v>Componente ajustado ou substituído</x:v>
      </x:c>
      <x:c r="O1331" s="84" t="n">
        <x:v>0</x:v>
      </x:c>
      <x:c r="P1331" s="93" t="n">
        <x:v>353.56</x:v>
      </x:c>
      <x:c r="Q1331" s="93" t="n">
        <x:v>0</x:v>
      </x:c>
      <x:c r="R1331" s="91" t="n">
        <x:v>0</x:v>
      </x:c>
    </x:row>
    <x:row r="1332">
      <x:c r="A1332" s="83" t="n">
        <x:v>1331</x:v>
      </x:c>
      <x:c r="B1332" s="84" t="str">
        <x:v>OS-2024-01331</x:v>
      </x:c>
      <x:c r="C1332" s="84" t="n">
        <x:v>26</x:v>
      </x:c>
      <x:c r="D1332" s="84" t="n">
        <x:v>3</x:v>
      </x:c>
      <x:c r="E1332" s="84"/>
      <x:c r="F1332" s="89" t="n">
        <x:v>45354.64127314815</x:v>
      </x:c>
      <x:c r="G1332" s="89"/>
      <x:c r="H1332" s="89" t="n">
        <x:v>45355.14127314815</x:v>
      </x:c>
      <x:c r="I1332" s="89" t="n">
        <x:v>45355.68293981482</x:v>
      </x:c>
      <x:c r="J1332" s="84" t="str">
        <x:v>Crítica</x:v>
      </x:c>
      <x:c r="K1332" s="84" t="str">
        <x:v>Concluída</x:v>
      </x:c>
      <x:c r="L1332" s="84" t="str">
        <x:v>Falha elétrica</x:v>
      </x:c>
      <x:c r="M1332" s="84" t="str">
        <x:v>Contaminação</x:v>
      </x:c>
      <x:c r="N1332" s="84" t="str">
        <x:v>Componente ajustado ou substituído</x:v>
      </x:c>
      <x:c r="O1332" s="84" t="n">
        <x:v>0</x:v>
      </x:c>
      <x:c r="P1332" s="93" t="n">
        <x:v>224.72</x:v>
      </x:c>
      <x:c r="Q1332" s="93" t="n">
        <x:v>10025.17</x:v>
      </x:c>
      <x:c r="R1332" s="91" t="n">
        <x:v>0</x:v>
      </x:c>
    </x:row>
    <x:row r="1333">
      <x:c r="A1333" s="83" t="n">
        <x:v>1332</x:v>
      </x:c>
      <x:c r="B1333" s="84" t="str">
        <x:v>OS-2024-01332</x:v>
      </x:c>
      <x:c r="C1333" s="84" t="n">
        <x:v>11</x:v>
      </x:c>
      <x:c r="D1333" s="84" t="n">
        <x:v>2</x:v>
      </x:c>
      <x:c r="E1333" s="84"/>
      <x:c r="F1333" s="89" t="n">
        <x:v>45449.20321759259</x:v>
      </x:c>
      <x:c r="G1333" s="89" t="n">
        <x:v>45453.20321759259</x:v>
      </x:c>
      <x:c r="H1333" s="89" t="n">
        <x:v>45450.95321759259</x:v>
      </x:c>
      <x:c r="I1333" s="89" t="n">
        <x:v>45451.74488425926</x:v>
      </x:c>
      <x:c r="J1333" s="84" t="str">
        <x:v>Baixa</x:v>
      </x:c>
      <x:c r="K1333" s="84" t="str">
        <x:v>Concluída</x:v>
      </x:c>
      <x:c r="L1333" s="84" t="str">
        <x:v>Superaquecimento</x:v>
      </x:c>
      <x:c r="M1333" s="84" t="str">
        <x:v>Conexão frouxa</x:v>
      </x:c>
      <x:c r="N1333" s="84" t="str">
        <x:v>Componente ajustado ou substituído</x:v>
      </x:c>
      <x:c r="O1333" s="84" t="n">
        <x:v>0</x:v>
      </x:c>
      <x:c r="P1333" s="93" t="n">
        <x:v>156.09</x:v>
      </x:c>
      <x:c r="Q1333" s="93" t="n">
        <x:v>5502.4</x:v>
      </x:c>
      <x:c r="R1333" s="91" t="n">
        <x:v>0</x:v>
      </x:c>
    </x:row>
    <x:row r="1334">
      <x:c r="A1334" s="83" t="n">
        <x:v>1333</x:v>
      </x:c>
      <x:c r="B1334" s="84" t="str">
        <x:v>OS-2025-01333</x:v>
      </x:c>
      <x:c r="C1334" s="84" t="n">
        <x:v>8</x:v>
      </x:c>
      <x:c r="D1334" s="84" t="n">
        <x:v>7</x:v>
      </x:c>
      <x:c r="E1334" s="84" t="n">
        <x:v>15</x:v>
      </x:c>
      <x:c r="F1334" s="89" t="n">
        <x:v>45918.39255787037</x:v>
      </x:c>
      <x:c r="G1334" s="89" t="n">
        <x:v>45928.39255787037</x:v>
      </x:c>
      <x:c r="H1334" s="89" t="n">
        <x:v>45920.39255787037</x:v>
      </x:c>
      <x:c r="I1334" s="89" t="n">
        <x:v>45920.809224537035</x:v>
      </x:c>
      <x:c r="J1334" s="84" t="str">
        <x:v>Alta</x:v>
      </x:c>
      <x:c r="K1334" s="84" t="str">
        <x:v>Encerrada</x:v>
      </x:c>
      <x:c r="L1334" s="84" t="str">
        <x:v>Baixa pressão</x:v>
      </x:c>
      <x:c r="M1334" s="84" t="str">
        <x:v>Conexão frouxa</x:v>
      </x:c>
      <x:c r="N1334" s="84" t="str">
        <x:v>Componente ajustado ou substituído</x:v>
      </x:c>
      <x:c r="O1334" s="84" t="n">
        <x:v>0</x:v>
      </x:c>
      <x:c r="P1334" s="93" t="n">
        <x:v>441.15</x:v>
      </x:c>
      <x:c r="Q1334" s="93" t="n">
        <x:v>0</x:v>
      </x:c>
      <x:c r="R1334" s="91" t="n">
        <x:v>0</x:v>
      </x:c>
    </x:row>
    <x:row r="1335">
      <x:c r="A1335" s="83" t="n">
        <x:v>1334</x:v>
      </x:c>
      <x:c r="B1335" s="84" t="str">
        <x:v>OS-2023-01334</x:v>
      </x:c>
      <x:c r="C1335" s="84" t="n">
        <x:v>52</x:v>
      </x:c>
      <x:c r="D1335" s="84" t="n">
        <x:v>1</x:v>
      </x:c>
      <x:c r="E1335" s="84" t="n">
        <x:v>104</x:v>
      </x:c>
      <x:c r="F1335" s="89" t="n">
        <x:v>44998.43064814815</x:v>
      </x:c>
      <x:c r="G1335" s="89" t="n">
        <x:v>44999.43064814815</x:v>
      </x:c>
      <x:c r="H1335" s="89" t="n">
        <x:v>45001.18064814815</x:v>
      </x:c>
      <x:c r="I1335" s="89"/>
      <x:c r="J1335" s="84" t="str">
        <x:v>Baixa</x:v>
      </x:c>
      <x:c r="K1335" s="84" t="str">
        <x:v>Aguardando peça</x:v>
      </x:c>
      <x:c r="L1335" s="84" t="str">
        <x:v>Baixa pressão</x:v>
      </x:c>
      <x:c r="M1335" s="84" t="str">
        <x:v>Conexão frouxa</x:v>
      </x:c>
      <x:c r="N1335" s="84"/>
      <x:c r="O1335" s="84" t="n">
        <x:v>0</x:v>
      </x:c>
      <x:c r="P1335" s="93" t="n">
        <x:v>522.47</x:v>
      </x:c>
      <x:c r="Q1335" s="93" t="n">
        <x:v>2358.12</x:v>
      </x:c>
      <x:c r="R1335" s="91" t="n">
        <x:v>0</x:v>
      </x:c>
    </x:row>
    <x:row r="1336">
      <x:c r="A1336" s="83" t="n">
        <x:v>1335</x:v>
      </x:c>
      <x:c r="B1336" s="84" t="str">
        <x:v>OS-2025-01335</x:v>
      </x:c>
      <x:c r="C1336" s="84" t="n">
        <x:v>10</x:v>
      </x:c>
      <x:c r="D1336" s="84" t="n">
        <x:v>9</x:v>
      </x:c>
      <x:c r="E1336" s="84"/>
      <x:c r="F1336" s="89" t="n">
        <x:v>45871.47769675926</x:v>
      </x:c>
      <x:c r="G1336" s="89" t="n">
        <x:v>45873.47769675926</x:v>
      </x:c>
      <x:c r="H1336" s="89" t="n">
        <x:v>45873.18603009259</x:v>
      </x:c>
      <x:c r="I1336" s="89"/>
      <x:c r="J1336" s="84" t="str">
        <x:v>Média</x:v>
      </x:c>
      <x:c r="K1336" s="84" t="str">
        <x:v>Em execução</x:v>
      </x:c>
      <x:c r="L1336" s="84" t="str">
        <x:v>Baixa pressão</x:v>
      </x:c>
      <x:c r="M1336" s="84" t="str">
        <x:v>Falta de lubrificação</x:v>
      </x:c>
      <x:c r="N1336" s="84"/>
      <x:c r="O1336" s="84" t="n">
        <x:v>0</x:v>
      </x:c>
      <x:c r="P1336" s="93" t="n">
        <x:v>334.19</x:v>
      </x:c>
      <x:c r="Q1336" s="93" t="n">
        <x:v>8340.28</x:v>
      </x:c>
      <x:c r="R1336" s="91" t="n">
        <x:v>0</x:v>
      </x:c>
    </x:row>
    <x:row r="1337">
      <x:c r="A1337" s="83" t="n">
        <x:v>1336</x:v>
      </x:c>
      <x:c r="B1337" s="84" t="str">
        <x:v>OS-2024-01336</x:v>
      </x:c>
      <x:c r="C1337" s="84" t="n">
        <x:v>27</x:v>
      </x:c>
      <x:c r="D1337" s="84" t="n">
        <x:v>3</x:v>
      </x:c>
      <x:c r="E1337" s="84"/>
      <x:c r="F1337" s="89" t="n">
        <x:v>45391.42471064815</x:v>
      </x:c>
      <x:c r="G1337" s="89"/>
      <x:c r="H1337" s="89" t="n">
        <x:v>45393.17471064815</x:v>
      </x:c>
      <x:c r="I1337" s="89" t="n">
        <x:v>45393.59137731481</x:v>
      </x:c>
      <x:c r="J1337" s="84" t="str">
        <x:v>Baixa</x:v>
      </x:c>
      <x:c r="K1337" s="84" t="str">
        <x:v>Encerrada</x:v>
      </x:c>
      <x:c r="L1337" s="84" t="str">
        <x:v>Vazamento</x:v>
      </x:c>
      <x:c r="M1337" s="84" t="str">
        <x:v>Componente danificado</x:v>
      </x:c>
      <x:c r="N1337" s="84" t="str">
        <x:v>Componente ajustado ou substituído</x:v>
      </x:c>
      <x:c r="O1337" s="84" t="n">
        <x:v>0</x:v>
      </x:c>
      <x:c r="P1337" s="93" t="n">
        <x:v>703.84</x:v>
      </x:c>
      <x:c r="Q1337" s="93" t="n">
        <x:v>8366.96</x:v>
      </x:c>
      <x:c r="R1337" s="91" t="n">
        <x:v>0</x:v>
      </x:c>
    </x:row>
    <x:row r="1338">
      <x:c r="A1338" s="83" t="n">
        <x:v>1337</x:v>
      </x:c>
      <x:c r="B1338" s="84" t="str">
        <x:v>OS-2023-01337</x:v>
      </x:c>
      <x:c r="C1338" s="84" t="n">
        <x:v>45</x:v>
      </x:c>
      <x:c r="D1338" s="84" t="n">
        <x:v>7</x:v>
      </x:c>
      <x:c r="E1338" s="84" t="n">
        <x:v>89</x:v>
      </x:c>
      <x:c r="F1338" s="89" t="n">
        <x:v>45213.33001157407</x:v>
      </x:c>
      <x:c r="G1338" s="89" t="n">
        <x:v>45217.33001157407</x:v>
      </x:c>
      <x:c r="H1338" s="89" t="n">
        <x:v>45214.83001157407</x:v>
      </x:c>
      <x:c r="I1338" s="89" t="n">
        <x:v>45215.45501157407</x:v>
      </x:c>
      <x:c r="J1338" s="84" t="str">
        <x:v>Baixa</x:v>
      </x:c>
      <x:c r="K1338" s="84" t="str">
        <x:v>Encerrada</x:v>
      </x:c>
      <x:c r="L1338" s="84" t="str">
        <x:v>Falha elétrica</x:v>
      </x:c>
      <x:c r="M1338" s="84" t="str">
        <x:v>Componente danificado</x:v>
      </x:c>
      <x:c r="N1338" s="84" t="str">
        <x:v>Componente ajustado ou substituído</x:v>
      </x:c>
      <x:c r="O1338" s="84" t="n">
        <x:v>0</x:v>
      </x:c>
      <x:c r="P1338" s="93" t="n">
        <x:v>348.34</x:v>
      </x:c>
      <x:c r="Q1338" s="93" t="n">
        <x:v>7634.91</x:v>
      </x:c>
      <x:c r="R1338" s="91" t="n">
        <x:v>0</x:v>
      </x:c>
    </x:row>
    <x:row r="1339">
      <x:c r="A1339" s="83" t="n">
        <x:v>1338</x:v>
      </x:c>
      <x:c r="B1339" s="84" t="str">
        <x:v>OS-2023-01338</x:v>
      </x:c>
      <x:c r="C1339" s="84" t="n">
        <x:v>73</x:v>
      </x:c>
      <x:c r="D1339" s="84" t="n">
        <x:v>1</x:v>
      </x:c>
      <x:c r="E1339" s="84" t="n">
        <x:v>145</x:v>
      </x:c>
      <x:c r="F1339" s="89" t="n">
        <x:v>45245.224131944444</x:v>
      </x:c>
      <x:c r="G1339" s="89" t="n">
        <x:v>45260.224131944444</x:v>
      </x:c>
      <x:c r="H1339" s="89" t="n">
        <x:v>45246.26579861111</x:v>
      </x:c>
      <x:c r="I1339" s="89" t="n">
        <x:v>45246.64079861111</x:v>
      </x:c>
      <x:c r="J1339" s="84" t="str">
        <x:v>Média</x:v>
      </x:c>
      <x:c r="K1339" s="84" t="str">
        <x:v>Encerrada</x:v>
      </x:c>
      <x:c r="L1339" s="84" t="str">
        <x:v>Baixa pressão</x:v>
      </x:c>
      <x:c r="M1339" s="84" t="str">
        <x:v>Componente danificado</x:v>
      </x:c>
      <x:c r="N1339" s="84" t="str">
        <x:v>Componente ajustado ou substituído</x:v>
      </x:c>
      <x:c r="O1339" s="84" t="n">
        <x:v>0</x:v>
      </x:c>
      <x:c r="P1339" s="93" t="n">
        <x:v>487.07</x:v>
      </x:c>
      <x:c r="Q1339" s="93" t="n">
        <x:v>0</x:v>
      </x:c>
      <x:c r="R1339" s="91" t="n">
        <x:v>0</x:v>
      </x:c>
    </x:row>
    <x:row r="1340">
      <x:c r="A1340" s="83" t="n">
        <x:v>1339</x:v>
      </x:c>
      <x:c r="B1340" s="84" t="str">
        <x:v>OS-2024-01339</x:v>
      </x:c>
      <x:c r="C1340" s="84" t="n">
        <x:v>66</x:v>
      </x:c>
      <x:c r="D1340" s="84" t="n">
        <x:v>2</x:v>
      </x:c>
      <x:c r="E1340" s="84"/>
      <x:c r="F1340" s="89" t="n">
        <x:v>45656.10787037037</x:v>
      </x:c>
      <x:c r="G1340" s="89" t="n">
        <x:v>45665.10787037037</x:v>
      </x:c>
      <x:c r="H1340" s="89"/>
      <x:c r="I1340" s="89"/>
      <x:c r="J1340" s="84" t="str">
        <x:v>Alta</x:v>
      </x:c>
      <x:c r="K1340" s="84" t="str">
        <x:v>Planejada</x:v>
      </x:c>
      <x:c r="L1340" s="84" t="str">
        <x:v>Desalinhamento</x:v>
      </x:c>
      <x:c r="M1340" s="84"/>
      <x:c r="N1340" s="84"/>
      <x:c r="O1340" s="84" t="n">
        <x:v>0</x:v>
      </x:c>
      <x:c r="P1340" s="93" t="n">
        <x:v>0</x:v>
      </x:c>
      <x:c r="Q1340" s="93" t="n">
        <x:v>0</x:v>
      </x:c>
      <x:c r="R1340" s="91" t="n">
        <x:v>0</x:v>
      </x:c>
    </x:row>
    <x:row r="1341">
      <x:c r="A1341" s="83" t="n">
        <x:v>1340</x:v>
      </x:c>
      <x:c r="B1341" s="84" t="str">
        <x:v>OS-2024-01340</x:v>
      </x:c>
      <x:c r="C1341" s="84" t="n">
        <x:v>45</x:v>
      </x:c>
      <x:c r="D1341" s="84" t="n">
        <x:v>7</x:v>
      </x:c>
      <x:c r="E1341" s="84" t="n">
        <x:v>89</x:v>
      </x:c>
      <x:c r="F1341" s="89" t="n">
        <x:v>45395.24759259259</x:v>
      </x:c>
      <x:c r="G1341" s="89" t="n">
        <x:v>45398.24759259259</x:v>
      </x:c>
      <x:c r="H1341" s="89" t="n">
        <x:v>45395.830925925926</x:v>
      </x:c>
      <x:c r="I1341" s="89"/>
      <x:c r="J1341" s="84" t="str">
        <x:v>Crítica</x:v>
      </x:c>
      <x:c r="K1341" s="84" t="str">
        <x:v>Em execução</x:v>
      </x:c>
      <x:c r="L1341" s="84" t="str">
        <x:v>Superaquecimento</x:v>
      </x:c>
      <x:c r="M1341" s="84" t="str">
        <x:v>Falta de lubrificação</x:v>
      </x:c>
      <x:c r="N1341" s="84"/>
      <x:c r="O1341" s="84" t="n">
        <x:v>0</x:v>
      </x:c>
      <x:c r="P1341" s="93" t="n">
        <x:v>211.19</x:v>
      </x:c>
      <x:c r="Q1341" s="93" t="n">
        <x:v>0</x:v>
      </x:c>
      <x:c r="R1341" s="91" t="n">
        <x:v>0</x:v>
      </x:c>
    </x:row>
    <x:row r="1342">
      <x:c r="A1342" s="83" t="n">
        <x:v>1341</x:v>
      </x:c>
      <x:c r="B1342" s="84" t="str">
        <x:v>OS-2024-01341</x:v>
      </x:c>
      <x:c r="C1342" s="84" t="n">
        <x:v>12</x:v>
      </x:c>
      <x:c r="D1342" s="84" t="n">
        <x:v>3</x:v>
      </x:c>
      <x:c r="E1342" s="84"/>
      <x:c r="F1342" s="89" t="n">
        <x:v>45333.266689814816</x:v>
      </x:c>
      <x:c r="G1342" s="89"/>
      <x:c r="H1342" s="89" t="n">
        <x:v>45333.391689814816</x:v>
      </x:c>
      <x:c r="I1342" s="89"/>
      <x:c r="J1342" s="84" t="str">
        <x:v>Média</x:v>
      </x:c>
      <x:c r="K1342" s="84" t="str">
        <x:v>Em execução</x:v>
      </x:c>
      <x:c r="L1342" s="84" t="str">
        <x:v>Baixa pressão</x:v>
      </x:c>
      <x:c r="M1342" s="84" t="str">
        <x:v>Falta de lubrificação</x:v>
      </x:c>
      <x:c r="N1342" s="84"/>
      <x:c r="O1342" s="84" t="n">
        <x:v>0</x:v>
      </x:c>
      <x:c r="P1342" s="93" t="n">
        <x:v>141.45</x:v>
      </x:c>
      <x:c r="Q1342" s="93" t="n">
        <x:v>5383.85</x:v>
      </x:c>
      <x:c r="R1342" s="91" t="n">
        <x:v>13871.28</x:v>
      </x:c>
    </x:row>
    <x:row r="1343">
      <x:c r="A1343" s="83" t="n">
        <x:v>1342</x:v>
      </x:c>
      <x:c r="B1343" s="84" t="str">
        <x:v>OS-2025-01342</x:v>
      </x:c>
      <x:c r="C1343" s="84" t="n">
        <x:v>62</x:v>
      </x:c>
      <x:c r="D1343" s="84" t="n">
        <x:v>7</x:v>
      </x:c>
      <x:c r="E1343" s="84" t="n">
        <x:v>124</x:v>
      </x:c>
      <x:c r="F1343" s="89" t="n">
        <x:v>45840.678252314814</x:v>
      </x:c>
      <x:c r="G1343" s="89" t="n">
        <x:v>45851.678252314814</x:v>
      </x:c>
      <x:c r="H1343" s="89" t="n">
        <x:v>45842.26158564815</x:v>
      </x:c>
      <x:c r="I1343" s="89" t="n">
        <x:v>45842.428252314814</x:v>
      </x:c>
      <x:c r="J1343" s="84" t="str">
        <x:v>Crítica</x:v>
      </x:c>
      <x:c r="K1343" s="84" t="str">
        <x:v>Encerrada</x:v>
      </x:c>
      <x:c r="L1343" s="84" t="str">
        <x:v>Superaquecimento</x:v>
      </x:c>
      <x:c r="M1343" s="84" t="str">
        <x:v>Desgaste natural</x:v>
      </x:c>
      <x:c r="N1343" s="84" t="str">
        <x:v>Componente ajustado ou substituído</x:v>
      </x:c>
      <x:c r="O1343" s="84" t="n">
        <x:v>0</x:v>
      </x:c>
      <x:c r="P1343" s="93" t="n">
        <x:v>610.96</x:v>
      </x:c>
      <x:c r="Q1343" s="93" t="n">
        <x:v>0</x:v>
      </x:c>
      <x:c r="R1343" s="91" t="n">
        <x:v>0</x:v>
      </x:c>
    </x:row>
    <x:row r="1344">
      <x:c r="A1344" s="83" t="n">
        <x:v>1343</x:v>
      </x:c>
      <x:c r="B1344" s="84" t="str">
        <x:v>OS-2025-01343</x:v>
      </x:c>
      <x:c r="C1344" s="84" t="n">
        <x:v>35</x:v>
      </x:c>
      <x:c r="D1344" s="84" t="n">
        <x:v>4</x:v>
      </x:c>
      <x:c r="E1344" s="84"/>
      <x:c r="F1344" s="89" t="n">
        <x:v>45687.76521990741</x:v>
      </x:c>
      <x:c r="G1344" s="89" t="n">
        <x:v>45701.76521990741</x:v>
      </x:c>
      <x:c r="H1344" s="89"/>
      <x:c r="I1344" s="89"/>
      <x:c r="J1344" s="84" t="str">
        <x:v>Crítica</x:v>
      </x:c>
      <x:c r="K1344" s="84" t="str">
        <x:v>Planejada</x:v>
      </x:c>
      <x:c r="L1344" s="84" t="str">
        <x:v>Falha elétrica</x:v>
      </x:c>
      <x:c r="M1344" s="84"/>
      <x:c r="N1344" s="84"/>
      <x:c r="O1344" s="84" t="n">
        <x:v>0</x:v>
      </x:c>
      <x:c r="P1344" s="93" t="n">
        <x:v>0</x:v>
      </x:c>
      <x:c r="Q1344" s="93" t="n">
        <x:v>0</x:v>
      </x:c>
      <x:c r="R1344" s="91" t="n">
        <x:v>0</x:v>
      </x:c>
    </x:row>
    <x:row r="1345">
      <x:c r="A1345" s="83" t="n">
        <x:v>1344</x:v>
      </x:c>
      <x:c r="B1345" s="84" t="str">
        <x:v>OS-2023-01344</x:v>
      </x:c>
      <x:c r="C1345" s="84" t="n">
        <x:v>4</x:v>
      </x:c>
      <x:c r="D1345" s="84" t="n">
        <x:v>9</x:v>
      </x:c>
      <x:c r="E1345" s="84"/>
      <x:c r="F1345" s="89" t="n">
        <x:v>45041.31680555556</x:v>
      </x:c>
      <x:c r="G1345" s="89" t="n">
        <x:v>45043.31680555556</x:v>
      </x:c>
      <x:c r="H1345" s="89" t="n">
        <x:v>45044.06680555556</x:v>
      </x:c>
      <x:c r="I1345" s="89" t="n">
        <x:v>45044.81680555556</x:v>
      </x:c>
      <x:c r="J1345" s="84" t="str">
        <x:v>Alta</x:v>
      </x:c>
      <x:c r="K1345" s="84" t="str">
        <x:v>Encerrada</x:v>
      </x:c>
      <x:c r="L1345" s="84" t="str">
        <x:v>Baixa pressão</x:v>
      </x:c>
      <x:c r="M1345" s="84" t="str">
        <x:v>Conexão frouxa</x:v>
      </x:c>
      <x:c r="N1345" s="84" t="str">
        <x:v>Componente ajustado ou substituído</x:v>
      </x:c>
      <x:c r="O1345" s="84" t="n">
        <x:v>0</x:v>
      </x:c>
      <x:c r="P1345" s="93" t="n">
        <x:v>249.99</x:v>
      </x:c>
      <x:c r="Q1345" s="93" t="n">
        <x:v>7011.4</x:v>
      </x:c>
      <x:c r="R1345" s="91" t="n">
        <x:v>0</x:v>
      </x:c>
    </x:row>
    <x:row r="1346">
      <x:c r="A1346" s="83" t="n">
        <x:v>1345</x:v>
      </x:c>
      <x:c r="B1346" s="84" t="str">
        <x:v>OS-2024-01345</x:v>
      </x:c>
      <x:c r="C1346" s="84" t="n">
        <x:v>58</x:v>
      </x:c>
      <x:c r="D1346" s="84" t="n">
        <x:v>7</x:v>
      </x:c>
      <x:c r="E1346" s="84" t="n">
        <x:v>116</x:v>
      </x:c>
      <x:c r="F1346" s="89" t="n">
        <x:v>45572.62679398148</x:v>
      </x:c>
      <x:c r="G1346" s="89" t="n">
        <x:v>45577.62679398148</x:v>
      </x:c>
      <x:c r="H1346" s="89"/>
      <x:c r="I1346" s="89"/>
      <x:c r="J1346" s="84" t="str">
        <x:v>Alta</x:v>
      </x:c>
      <x:c r="K1346" s="84" t="str">
        <x:v>Planejada</x:v>
      </x:c>
      <x:c r="L1346" s="84" t="str">
        <x:v>Superaquecimento</x:v>
      </x:c>
      <x:c r="M1346" s="84"/>
      <x:c r="N1346" s="84"/>
      <x:c r="O1346" s="84" t="n">
        <x:v>0</x:v>
      </x:c>
      <x:c r="P1346" s="93" t="n">
        <x:v>0</x:v>
      </x:c>
      <x:c r="Q1346" s="93" t="n">
        <x:v>0</x:v>
      </x:c>
      <x:c r="R1346" s="91" t="n">
        <x:v>0</x:v>
      </x:c>
    </x:row>
    <x:row r="1347">
      <x:c r="A1347" s="83" t="n">
        <x:v>1346</x:v>
      </x:c>
      <x:c r="B1347" s="84" t="str">
        <x:v>OS-2023-01346</x:v>
      </x:c>
      <x:c r="C1347" s="84" t="n">
        <x:v>18</x:v>
      </x:c>
      <x:c r="D1347" s="84" t="n">
        <x:v>7</x:v>
      </x:c>
      <x:c r="E1347" s="84" t="n">
        <x:v>36</x:v>
      </x:c>
      <x:c r="F1347" s="89" t="n">
        <x:v>45139.15505787037</x:v>
      </x:c>
      <x:c r="G1347" s="89" t="n">
        <x:v>45151.15505787037</x:v>
      </x:c>
      <x:c r="H1347" s="89" t="n">
        <x:v>45140.738391203704</x:v>
      </x:c>
      <x:c r="I1347" s="89" t="n">
        <x:v>45140.90505787037</x:v>
      </x:c>
      <x:c r="J1347" s="84" t="str">
        <x:v>Alta</x:v>
      </x:c>
      <x:c r="K1347" s="84" t="str">
        <x:v>Encerrada</x:v>
      </x:c>
      <x:c r="L1347" s="84" t="str">
        <x:v>Alarme intermitente</x:v>
      </x:c>
      <x:c r="M1347" s="84" t="str">
        <x:v>Desgaste natural</x:v>
      </x:c>
      <x:c r="N1347" s="84" t="str">
        <x:v>Componente ajustado ou substituído</x:v>
      </x:c>
      <x:c r="O1347" s="84" t="n">
        <x:v>0</x:v>
      </x:c>
      <x:c r="P1347" s="93" t="n">
        <x:v>680.93</x:v>
      </x:c>
      <x:c r="Q1347" s="93" t="n">
        <x:v>12881.98</x:v>
      </x:c>
      <x:c r="R1347" s="91" t="n">
        <x:v>0</x:v>
      </x:c>
    </x:row>
    <x:row r="1348">
      <x:c r="A1348" s="83" t="n">
        <x:v>1347</x:v>
      </x:c>
      <x:c r="B1348" s="84" t="str">
        <x:v>OS-2023-01347</x:v>
      </x:c>
      <x:c r="C1348" s="84" t="n">
        <x:v>23</x:v>
      </x:c>
      <x:c r="D1348" s="84" t="n">
        <x:v>3</x:v>
      </x:c>
      <x:c r="E1348" s="84"/>
      <x:c r="F1348" s="89" t="n">
        <x:v>45118.094664351855</x:v>
      </x:c>
      <x:c r="G1348" s="89"/>
      <x:c r="H1348" s="89" t="n">
        <x:v>45118.969664351855</x:v>
      </x:c>
      <x:c r="I1348" s="89" t="n">
        <x:v>45119.42799768518</x:v>
      </x:c>
      <x:c r="J1348" s="84" t="str">
        <x:v>Alta</x:v>
      </x:c>
      <x:c r="K1348" s="84" t="str">
        <x:v>Encerrada</x:v>
      </x:c>
      <x:c r="L1348" s="84" t="str">
        <x:v>Superaquecimento</x:v>
      </x:c>
      <x:c r="M1348" s="84" t="str">
        <x:v>Falta de lubrificação</x:v>
      </x:c>
      <x:c r="N1348" s="84" t="str">
        <x:v>Componente ajustado ou substituído</x:v>
      </x:c>
      <x:c r="O1348" s="84" t="n">
        <x:v>0</x:v>
      </x:c>
      <x:c r="P1348" s="93" t="n">
        <x:v>473.32</x:v>
      </x:c>
      <x:c r="Q1348" s="93" t="n">
        <x:v>5883.12</x:v>
      </x:c>
      <x:c r="R1348" s="91" t="n">
        <x:v>0</x:v>
      </x:c>
    </x:row>
    <x:row r="1349">
      <x:c r="A1349" s="83" t="n">
        <x:v>1348</x:v>
      </x:c>
      <x:c r="B1349" s="84" t="str">
        <x:v>OS-2023-01348</x:v>
      </x:c>
      <x:c r="C1349" s="84" t="n">
        <x:v>55</x:v>
      </x:c>
      <x:c r="D1349" s="84" t="n">
        <x:v>5</x:v>
      </x:c>
      <x:c r="E1349" s="84" t="n">
        <x:v>109</x:v>
      </x:c>
      <x:c r="F1349" s="89" t="n">
        <x:v>44970.79584490741</x:v>
      </x:c>
      <x:c r="G1349" s="89" t="n">
        <x:v>44983.79584490741</x:v>
      </x:c>
      <x:c r="H1349" s="89"/>
      <x:c r="I1349" s="89"/>
      <x:c r="J1349" s="84" t="str">
        <x:v>Baixa</x:v>
      </x:c>
      <x:c r="K1349" s="84" t="str">
        <x:v>Cancelada</x:v>
      </x:c>
      <x:c r="L1349" s="84" t="str">
        <x:v>Desalinhamento</x:v>
      </x:c>
      <x:c r="M1349" s="84"/>
      <x:c r="N1349" s="84"/>
      <x:c r="O1349" s="84" t="n">
        <x:v>0</x:v>
      </x:c>
      <x:c r="P1349" s="93" t="n">
        <x:v>0</x:v>
      </x:c>
      <x:c r="Q1349" s="93" t="n">
        <x:v>0</x:v>
      </x:c>
      <x:c r="R1349" s="91" t="n">
        <x:v>0</x:v>
      </x:c>
    </x:row>
    <x:row r="1350">
      <x:c r="A1350" s="83" t="n">
        <x:v>1349</x:v>
      </x:c>
      <x:c r="B1350" s="84" t="str">
        <x:v>OS-2024-01349</x:v>
      </x:c>
      <x:c r="C1350" s="84" t="n">
        <x:v>4</x:v>
      </x:c>
      <x:c r="D1350" s="84" t="n">
        <x:v>1</x:v>
      </x:c>
      <x:c r="E1350" s="84" t="n">
        <x:v>7</x:v>
      </x:c>
      <x:c r="F1350" s="89" t="n">
        <x:v>45333.42810185185</x:v>
      </x:c>
      <x:c r="G1350" s="89" t="n">
        <x:v>45337.42810185185</x:v>
      </x:c>
      <x:c r="H1350" s="89" t="n">
        <x:v>45334.80310185185</x:v>
      </x:c>
      <x:c r="I1350" s="89" t="n">
        <x:v>45335.05310185185</x:v>
      </x:c>
      <x:c r="J1350" s="84" t="str">
        <x:v>Média</x:v>
      </x:c>
      <x:c r="K1350" s="84" t="str">
        <x:v>Encerrada</x:v>
      </x:c>
      <x:c r="L1350" s="84" t="str">
        <x:v>Desalinhamento</x:v>
      </x:c>
      <x:c r="M1350" s="84" t="str">
        <x:v>Ajuste incorreto</x:v>
      </x:c>
      <x:c r="N1350" s="84" t="str">
        <x:v>Componente ajustado ou substituído</x:v>
      </x:c>
      <x:c r="O1350" s="84" t="n">
        <x:v>0</x:v>
      </x:c>
      <x:c r="P1350" s="93" t="n">
        <x:v>529.83</x:v>
      </x:c>
      <x:c r="Q1350" s="93" t="n">
        <x:v>0</x:v>
      </x:c>
      <x:c r="R1350" s="91" t="n">
        <x:v>0</x:v>
      </x:c>
    </x:row>
    <x:row r="1351">
      <x:c r="A1351" s="83" t="n">
        <x:v>1350</x:v>
      </x:c>
      <x:c r="B1351" s="84" t="str">
        <x:v>OS-2024-01350</x:v>
      </x:c>
      <x:c r="C1351" s="84" t="n">
        <x:v>64</x:v>
      </x:c>
      <x:c r="D1351" s="84" t="n">
        <x:v>3</x:v>
      </x:c>
      <x:c r="E1351" s="84"/>
      <x:c r="F1351" s="89" t="n">
        <x:v>45512.878796296296</x:v>
      </x:c>
      <x:c r="G1351" s="89"/>
      <x:c r="H1351" s="89" t="n">
        <x:v>45514.42046296296</x:v>
      </x:c>
      <x:c r="I1351" s="89" t="n">
        <x:v>45514.79546296296</x:v>
      </x:c>
      <x:c r="J1351" s="84" t="str">
        <x:v>Média</x:v>
      </x:c>
      <x:c r="K1351" s="84" t="str">
        <x:v>Encerrada</x:v>
      </x:c>
      <x:c r="L1351" s="84" t="str">
        <x:v>Vazamento</x:v>
      </x:c>
      <x:c r="M1351" s="84" t="str">
        <x:v>Desgaste natural</x:v>
      </x:c>
      <x:c r="N1351" s="84" t="str">
        <x:v>Componente ajustado ou substituído</x:v>
      </x:c>
      <x:c r="O1351" s="84" t="n">
        <x:v>0</x:v>
      </x:c>
      <x:c r="P1351" s="93" t="n">
        <x:v>211.25</x:v>
      </x:c>
      <x:c r="Q1351" s="93" t="n">
        <x:v>9360.36</x:v>
      </x:c>
      <x:c r="R1351" s="91" t="n">
        <x:v>0</x:v>
      </x:c>
    </x:row>
    <x:row r="1352">
      <x:c r="A1352" s="83" t="n">
        <x:v>1351</x:v>
      </x:c>
      <x:c r="B1352" s="84" t="str">
        <x:v>OS-2023-01351</x:v>
      </x:c>
      <x:c r="C1352" s="84" t="n">
        <x:v>74</x:v>
      </x:c>
      <x:c r="D1352" s="84" t="n">
        <x:v>1</x:v>
      </x:c>
      <x:c r="E1352" s="84" t="n">
        <x:v>148</x:v>
      </x:c>
      <x:c r="F1352" s="89" t="n">
        <x:v>45205.485613425924</x:v>
      </x:c>
      <x:c r="G1352" s="89" t="n">
        <x:v>45205.485613425924</x:v>
      </x:c>
      <x:c r="H1352" s="89" t="n">
        <x:v>45207.152280092596</x:v>
      </x:c>
      <x:c r="I1352" s="89" t="n">
        <x:v>45207.610613425924</x:v>
      </x:c>
      <x:c r="J1352" s="84" t="str">
        <x:v>Alta</x:v>
      </x:c>
      <x:c r="K1352" s="84" t="str">
        <x:v>Encerrada</x:v>
      </x:c>
      <x:c r="L1352" s="84" t="str">
        <x:v>Alarme intermitente</x:v>
      </x:c>
      <x:c r="M1352" s="84" t="str">
        <x:v>Ajuste incorreto</x:v>
      </x:c>
      <x:c r="N1352" s="84" t="str">
        <x:v>Componente ajustado ou substituído</x:v>
      </x:c>
      <x:c r="O1352" s="84" t="n">
        <x:v>0</x:v>
      </x:c>
      <x:c r="P1352" s="93" t="n">
        <x:v>156.53</x:v>
      </x:c>
      <x:c r="Q1352" s="93" t="n">
        <x:v>0</x:v>
      </x:c>
      <x:c r="R1352" s="91" t="n">
        <x:v>0</x:v>
      </x:c>
    </x:row>
    <x:row r="1353">
      <x:c r="A1353" s="83" t="n">
        <x:v>1352</x:v>
      </x:c>
      <x:c r="B1353" s="84" t="str">
        <x:v>OS-2023-01352</x:v>
      </x:c>
      <x:c r="C1353" s="84" t="n">
        <x:v>65</x:v>
      </x:c>
      <x:c r="D1353" s="84" t="n">
        <x:v>5</x:v>
      </x:c>
      <x:c r="E1353" s="84" t="n">
        <x:v>129</x:v>
      </x:c>
      <x:c r="F1353" s="89" t="n">
        <x:v>45199.32202546296</x:v>
      </x:c>
      <x:c r="G1353" s="89" t="n">
        <x:v>45206.32202546296</x:v>
      </x:c>
      <x:c r="H1353" s="89" t="n">
        <x:v>45201.44702546296</x:v>
      </x:c>
      <x:c r="I1353" s="89" t="n">
        <x:v>45202.11369212963</x:v>
      </x:c>
      <x:c r="J1353" s="84" t="str">
        <x:v>Baixa</x:v>
      </x:c>
      <x:c r="K1353" s="84" t="str">
        <x:v>Encerrada</x:v>
      </x:c>
      <x:c r="L1353" s="84" t="str">
        <x:v>Ruído anormal</x:v>
      </x:c>
      <x:c r="M1353" s="84" t="str">
        <x:v>Conexão frouxa</x:v>
      </x:c>
      <x:c r="N1353" s="84" t="str">
        <x:v>Componente ajustado ou substituído</x:v>
      </x:c>
      <x:c r="O1353" s="84" t="n">
        <x:v>0</x:v>
      </x:c>
      <x:c r="P1353" s="93" t="n">
        <x:v>190.21</x:v>
      </x:c>
      <x:c r="Q1353" s="93" t="n">
        <x:v>0</x:v>
      </x:c>
      <x:c r="R1353" s="91" t="n">
        <x:v>9275.36</x:v>
      </x:c>
    </x:row>
    <x:row r="1354">
      <x:c r="A1354" s="83" t="n">
        <x:v>1353</x:v>
      </x:c>
      <x:c r="B1354" s="84" t="str">
        <x:v>OS-2025-01353</x:v>
      </x:c>
      <x:c r="C1354" s="84" t="n">
        <x:v>47</x:v>
      </x:c>
      <x:c r="D1354" s="84" t="n">
        <x:v>1</x:v>
      </x:c>
      <x:c r="E1354" s="84" t="n">
        <x:v>93</x:v>
      </x:c>
      <x:c r="F1354" s="89" t="n">
        <x:v>45765.6893287037</x:v>
      </x:c>
      <x:c r="G1354" s="89" t="n">
        <x:v>45775.6893287037</x:v>
      </x:c>
      <x:c r="H1354" s="89" t="n">
        <x:v>45767.23099537037</x:v>
      </x:c>
      <x:c r="I1354" s="89" t="n">
        <x:v>45767.48099537037</x:v>
      </x:c>
      <x:c r="J1354" s="84" t="str">
        <x:v>Crítica</x:v>
      </x:c>
      <x:c r="K1354" s="84" t="str">
        <x:v>Encerrada</x:v>
      </x:c>
      <x:c r="L1354" s="84" t="str">
        <x:v>Vazamento</x:v>
      </x:c>
      <x:c r="M1354" s="84" t="str">
        <x:v>Ajuste incorreto</x:v>
      </x:c>
      <x:c r="N1354" s="84" t="str">
        <x:v>Componente ajustado ou substituído</x:v>
      </x:c>
      <x:c r="O1354" s="84" t="n">
        <x:v>0</x:v>
      </x:c>
      <x:c r="P1354" s="93" t="n">
        <x:v>857.62</x:v>
      </x:c>
      <x:c r="Q1354" s="93" t="n">
        <x:v>8557.88</x:v>
      </x:c>
      <x:c r="R1354" s="91" t="n">
        <x:v>0</x:v>
      </x:c>
    </x:row>
    <x:row r="1355">
      <x:c r="A1355" s="83" t="n">
        <x:v>1354</x:v>
      </x:c>
      <x:c r="B1355" s="84" t="str">
        <x:v>OS-2024-01354</x:v>
      </x:c>
      <x:c r="C1355" s="84" t="n">
        <x:v>78</x:v>
      </x:c>
      <x:c r="D1355" s="84" t="n">
        <x:v>2</x:v>
      </x:c>
      <x:c r="E1355" s="84"/>
      <x:c r="F1355" s="89" t="n">
        <x:v>45546.706412037034</x:v>
      </x:c>
      <x:c r="G1355" s="89" t="n">
        <x:v>45546.706412037034</x:v>
      </x:c>
      <x:c r="H1355" s="89" t="n">
        <x:v>45546.831412037034</x:v>
      </x:c>
      <x:c r="I1355" s="89" t="n">
        <x:v>45546.956412037034</x:v>
      </x:c>
      <x:c r="J1355" s="84" t="str">
        <x:v>Alta</x:v>
      </x:c>
      <x:c r="K1355" s="84" t="str">
        <x:v>Concluída</x:v>
      </x:c>
      <x:c r="L1355" s="84" t="str">
        <x:v>Vazamento</x:v>
      </x:c>
      <x:c r="M1355" s="84" t="str">
        <x:v>Desgaste natural</x:v>
      </x:c>
      <x:c r="N1355" s="84" t="str">
        <x:v>Componente ajustado ou substituído</x:v>
      </x:c>
      <x:c r="O1355" s="84" t="n">
        <x:v>0</x:v>
      </x:c>
      <x:c r="P1355" s="93" t="n">
        <x:v>590.43</x:v>
      </x:c>
      <x:c r="Q1355" s="93" t="n">
        <x:v>7580.31</x:v>
      </x:c>
      <x:c r="R1355" s="91" t="n">
        <x:v>13445.32</x:v>
      </x:c>
    </x:row>
    <x:row r="1356">
      <x:c r="A1356" s="83" t="n">
        <x:v>1355</x:v>
      </x:c>
      <x:c r="B1356" s="84" t="str">
        <x:v>OS-2023-01355</x:v>
      </x:c>
      <x:c r="C1356" s="84" t="n">
        <x:v>7</x:v>
      </x:c>
      <x:c r="D1356" s="84" t="n">
        <x:v>1</x:v>
      </x:c>
      <x:c r="E1356" s="84" t="n">
        <x:v>13</x:v>
      </x:c>
      <x:c r="F1356" s="89" t="n">
        <x:v>45125.56047453704</x:v>
      </x:c>
      <x:c r="G1356" s="89" t="n">
        <x:v>45134.56047453704</x:v>
      </x:c>
      <x:c r="H1356" s="89" t="n">
        <x:v>45126.1021412037</x:v>
      </x:c>
      <x:c r="I1356" s="89" t="n">
        <x:v>45126.26880787037</x:v>
      </x:c>
      <x:c r="J1356" s="84" t="str">
        <x:v>Média</x:v>
      </x:c>
      <x:c r="K1356" s="84" t="str">
        <x:v>Encerrada</x:v>
      </x:c>
      <x:c r="L1356" s="84" t="str">
        <x:v>Vazamento</x:v>
      </x:c>
      <x:c r="M1356" s="84" t="str">
        <x:v>Contaminação</x:v>
      </x:c>
      <x:c r="N1356" s="84" t="str">
        <x:v>Componente ajustado ou substituído</x:v>
      </x:c>
      <x:c r="O1356" s="84" t="n">
        <x:v>0</x:v>
      </x:c>
      <x:c r="P1356" s="93" t="n">
        <x:v>441.31</x:v>
      </x:c>
      <x:c r="Q1356" s="93" t="n">
        <x:v>0</x:v>
      </x:c>
      <x:c r="R1356" s="91" t="n">
        <x:v>0</x:v>
      </x:c>
    </x:row>
    <x:row r="1357">
      <x:c r="A1357" s="83" t="n">
        <x:v>1356</x:v>
      </x:c>
      <x:c r="B1357" s="84" t="str">
        <x:v>OS-2025-01356</x:v>
      </x:c>
      <x:c r="C1357" s="84" t="n">
        <x:v>4</x:v>
      </x:c>
      <x:c r="D1357" s="84" t="n">
        <x:v>9</x:v>
      </x:c>
      <x:c r="E1357" s="84"/>
      <x:c r="F1357" s="89" t="n">
        <x:v>45965.42138888889</x:v>
      </x:c>
      <x:c r="G1357" s="89" t="n">
        <x:v>45967.42138888889</x:v>
      </x:c>
      <x:c r="H1357" s="89" t="n">
        <x:v>45966.463055555556</x:v>
      </x:c>
      <x:c r="I1357" s="89" t="n">
        <x:v>45967.213055555556</x:v>
      </x:c>
      <x:c r="J1357" s="84" t="str">
        <x:v>Média</x:v>
      </x:c>
      <x:c r="K1357" s="84" t="str">
        <x:v>Concluída</x:v>
      </x:c>
      <x:c r="L1357" s="84" t="str">
        <x:v>Vazamento</x:v>
      </x:c>
      <x:c r="M1357" s="84" t="str">
        <x:v>Conexão frouxa</x:v>
      </x:c>
      <x:c r="N1357" s="84" t="str">
        <x:v>Componente ajustado ou substituído</x:v>
      </x:c>
      <x:c r="O1357" s="84" t="n">
        <x:v>0</x:v>
      </x:c>
      <x:c r="P1357" s="93" t="n">
        <x:v>661.07</x:v>
      </x:c>
      <x:c r="Q1357" s="93" t="n">
        <x:v>0</x:v>
      </x:c>
      <x:c r="R1357" s="91" t="n">
        <x:v>0</x:v>
      </x:c>
    </x:row>
    <x:row r="1358">
      <x:c r="A1358" s="83" t="n">
        <x:v>1357</x:v>
      </x:c>
      <x:c r="B1358" s="84" t="str">
        <x:v>OS-2025-01357</x:v>
      </x:c>
      <x:c r="C1358" s="84" t="n">
        <x:v>7</x:v>
      </x:c>
      <x:c r="D1358" s="84" t="n">
        <x:v>2</x:v>
      </x:c>
      <x:c r="E1358" s="84"/>
      <x:c r="F1358" s="89" t="n">
        <x:v>45745.20552083333</x:v>
      </x:c>
      <x:c r="G1358" s="89" t="n">
        <x:v>45756.20552083333</x:v>
      </x:c>
      <x:c r="H1358" s="89" t="n">
        <x:v>45747.78885416667</x:v>
      </x:c>
      <x:c r="I1358" s="89" t="n">
        <x:v>45748.6221875</x:v>
      </x:c>
      <x:c r="J1358" s="84" t="str">
        <x:v>Crítica</x:v>
      </x:c>
      <x:c r="K1358" s="84" t="str">
        <x:v>Encerrada</x:v>
      </x:c>
      <x:c r="L1358" s="84" t="str">
        <x:v>Alarme intermitente</x:v>
      </x:c>
      <x:c r="M1358" s="84" t="str">
        <x:v>Ajuste incorreto</x:v>
      </x:c>
      <x:c r="N1358" s="84" t="str">
        <x:v>Componente ajustado ou substituído</x:v>
      </x:c>
      <x:c r="O1358" s="84" t="n">
        <x:v>0</x:v>
      </x:c>
      <x:c r="P1358" s="93" t="n">
        <x:v>109.54</x:v>
      </x:c>
      <x:c r="Q1358" s="93" t="n">
        <x:v>9478.3</x:v>
      </x:c>
      <x:c r="R1358" s="91" t="n">
        <x:v>2975.27</x:v>
      </x:c>
    </x:row>
    <x:row r="1359">
      <x:c r="A1359" s="83" t="n">
        <x:v>1358</x:v>
      </x:c>
      <x:c r="B1359" s="84" t="str">
        <x:v>OS-2024-01358</x:v>
      </x:c>
      <x:c r="C1359" s="84" t="n">
        <x:v>28</x:v>
      </x:c>
      <x:c r="D1359" s="84" t="n">
        <x:v>1</x:v>
      </x:c>
      <x:c r="E1359" s="84" t="n">
        <x:v>55</x:v>
      </x:c>
      <x:c r="F1359" s="89" t="n">
        <x:v>45611.15049768519</x:v>
      </x:c>
      <x:c r="G1359" s="89" t="n">
        <x:v>45625.15049768519</x:v>
      </x:c>
      <x:c r="H1359" s="89" t="n">
        <x:v>45612.65049768519</x:v>
      </x:c>
      <x:c r="I1359" s="89" t="n">
        <x:v>45613.44216435185</x:v>
      </x:c>
      <x:c r="J1359" s="84" t="str">
        <x:v>Baixa</x:v>
      </x:c>
      <x:c r="K1359" s="84" t="str">
        <x:v>Encerrada</x:v>
      </x:c>
      <x:c r="L1359" s="84" t="str">
        <x:v>Alarme intermitente</x:v>
      </x:c>
      <x:c r="M1359" s="84" t="str">
        <x:v>Ajuste incorreto</x:v>
      </x:c>
      <x:c r="N1359" s="84" t="str">
        <x:v>Componente ajustado ou substituído</x:v>
      </x:c>
      <x:c r="O1359" s="84" t="n">
        <x:v>0</x:v>
      </x:c>
      <x:c r="P1359" s="93" t="n">
        <x:v>742.93</x:v>
      </x:c>
      <x:c r="Q1359" s="93" t="n">
        <x:v>2803.1</x:v>
      </x:c>
      <x:c r="R1359" s="91" t="n">
        <x:v>0</x:v>
      </x:c>
    </x:row>
    <x:row r="1360">
      <x:c r="A1360" s="83" t="n">
        <x:v>1359</x:v>
      </x:c>
      <x:c r="B1360" s="84" t="str">
        <x:v>OS-2024-01359</x:v>
      </x:c>
      <x:c r="C1360" s="84" t="n">
        <x:v>9</x:v>
      </x:c>
      <x:c r="D1360" s="84" t="n">
        <x:v>2</x:v>
      </x:c>
      <x:c r="E1360" s="84"/>
      <x:c r="F1360" s="89" t="n">
        <x:v>45540.47222222222</x:v>
      </x:c>
      <x:c r="G1360" s="89" t="n">
        <x:v>45549.47222222222</x:v>
      </x:c>
      <x:c r="H1360" s="89"/>
      <x:c r="I1360" s="89"/>
      <x:c r="J1360" s="84" t="str">
        <x:v>Baixa</x:v>
      </x:c>
      <x:c r="K1360" s="84" t="str">
        <x:v>Planejada</x:v>
      </x:c>
      <x:c r="L1360" s="84" t="str">
        <x:v>Alarme intermitente</x:v>
      </x:c>
      <x:c r="M1360" s="84"/>
      <x:c r="N1360" s="84"/>
      <x:c r="O1360" s="84" t="n">
        <x:v>0</x:v>
      </x:c>
      <x:c r="P1360" s="93" t="n">
        <x:v>0</x:v>
      </x:c>
      <x:c r="Q1360" s="93" t="n">
        <x:v>0</x:v>
      </x:c>
      <x:c r="R1360" s="91" t="n">
        <x:v>0</x:v>
      </x:c>
    </x:row>
    <x:row r="1361">
      <x:c r="A1361" s="83" t="n">
        <x:v>1360</x:v>
      </x:c>
      <x:c r="B1361" s="84" t="str">
        <x:v>OS-2025-01360</x:v>
      </x:c>
      <x:c r="C1361" s="84" t="n">
        <x:v>50</x:v>
      </x:c>
      <x:c r="D1361" s="84" t="n">
        <x:v>2</x:v>
      </x:c>
      <x:c r="E1361" s="84"/>
      <x:c r="F1361" s="89" t="n">
        <x:v>45816.514236111114</x:v>
      </x:c>
      <x:c r="G1361" s="89" t="n">
        <x:v>45822.514236111114</x:v>
      </x:c>
      <x:c r="H1361" s="89" t="n">
        <x:v>45817.84756944444</x:v>
      </x:c>
      <x:c r="I1361" s="89"/>
      <x:c r="J1361" s="84" t="str">
        <x:v>Média</x:v>
      </x:c>
      <x:c r="K1361" s="84" t="str">
        <x:v>Em execução</x:v>
      </x:c>
      <x:c r="L1361" s="84" t="str">
        <x:v>Ruído anormal</x:v>
      </x:c>
      <x:c r="M1361" s="84" t="str">
        <x:v>Contaminação</x:v>
      </x:c>
      <x:c r="N1361" s="84"/>
      <x:c r="O1361" s="84" t="n">
        <x:v>1</x:v>
      </x:c>
      <x:c r="P1361" s="93" t="n">
        <x:v>94.91</x:v>
      </x:c>
      <x:c r="Q1361" s="93" t="n">
        <x:v>0</x:v>
      </x:c>
      <x:c r="R1361" s="91" t="n">
        <x:v>0</x:v>
      </x:c>
    </x:row>
    <x:row r="1362">
      <x:c r="A1362" s="83" t="n">
        <x:v>1361</x:v>
      </x:c>
      <x:c r="B1362" s="84" t="str">
        <x:v>OS-2023-01361</x:v>
      </x:c>
      <x:c r="C1362" s="84" t="n">
        <x:v>44</x:v>
      </x:c>
      <x:c r="D1362" s="84" t="n">
        <x:v>1</x:v>
      </x:c>
      <x:c r="E1362" s="84" t="n">
        <x:v>87</x:v>
      </x:c>
      <x:c r="F1362" s="89" t="n">
        <x:v>45093.13381944445</x:v>
      </x:c>
      <x:c r="G1362" s="89" t="n">
        <x:v>45099.13381944445</x:v>
      </x:c>
      <x:c r="H1362" s="89" t="n">
        <x:v>45093.42548611111</x:v>
      </x:c>
      <x:c r="I1362" s="89" t="n">
        <x:v>45093.467152777775</x:v>
      </x:c>
      <x:c r="J1362" s="84" t="str">
        <x:v>Média</x:v>
      </x:c>
      <x:c r="K1362" s="84" t="str">
        <x:v>Encerrada</x:v>
      </x:c>
      <x:c r="L1362" s="84" t="str">
        <x:v>Baixa pressão</x:v>
      </x:c>
      <x:c r="M1362" s="84" t="str">
        <x:v>Conexão frouxa</x:v>
      </x:c>
      <x:c r="N1362" s="84" t="str">
        <x:v>Componente ajustado ou substituído</x:v>
      </x:c>
      <x:c r="O1362" s="84" t="n">
        <x:v>0</x:v>
      </x:c>
      <x:c r="P1362" s="93" t="n">
        <x:v>570.75</x:v>
      </x:c>
      <x:c r="Q1362" s="93" t="n">
        <x:v>1813.25</x:v>
      </x:c>
      <x:c r="R1362" s="91" t="n">
        <x:v>0</x:v>
      </x:c>
    </x:row>
    <x:row r="1363">
      <x:c r="A1363" s="83" t="n">
        <x:v>1362</x:v>
      </x:c>
      <x:c r="B1363" s="84" t="str">
        <x:v>OS-2025-01362</x:v>
      </x:c>
      <x:c r="C1363" s="84" t="n">
        <x:v>69</x:v>
      </x:c>
      <x:c r="D1363" s="84" t="n">
        <x:v>1</x:v>
      </x:c>
      <x:c r="E1363" s="84" t="n">
        <x:v>138</x:v>
      </x:c>
      <x:c r="F1363" s="89" t="n">
        <x:v>46011.45990740741</x:v>
      </x:c>
      <x:c r="G1363" s="89" t="n">
        <x:v>46023.45990740741</x:v>
      </x:c>
      <x:c r="H1363" s="89" t="n">
        <x:v>46012.95990740741</x:v>
      </x:c>
      <x:c r="I1363" s="89" t="n">
        <x:v>46013.29324074074</x:v>
      </x:c>
      <x:c r="J1363" s="84" t="str">
        <x:v>Crítica</x:v>
      </x:c>
      <x:c r="K1363" s="84" t="str">
        <x:v>Concluída</x:v>
      </x:c>
      <x:c r="L1363" s="84" t="str">
        <x:v>Ruído anormal</x:v>
      </x:c>
      <x:c r="M1363" s="84" t="str">
        <x:v>Ajuste incorreto</x:v>
      </x:c>
      <x:c r="N1363" s="84" t="str">
        <x:v>Componente ajustado ou substituído</x:v>
      </x:c>
      <x:c r="O1363" s="84" t="n">
        <x:v>0</x:v>
      </x:c>
      <x:c r="P1363" s="93" t="n">
        <x:v>256.07</x:v>
      </x:c>
      <x:c r="Q1363" s="93" t="n">
        <x:v>3448.39</x:v>
      </x:c>
      <x:c r="R1363" s="91" t="n">
        <x:v>0</x:v>
      </x:c>
    </x:row>
    <x:row r="1364">
      <x:c r="A1364" s="83" t="n">
        <x:v>1363</x:v>
      </x:c>
      <x:c r="B1364" s="84" t="str">
        <x:v>OS-2025-01363</x:v>
      </x:c>
      <x:c r="C1364" s="84" t="n">
        <x:v>68</x:v>
      </x:c>
      <x:c r="D1364" s="84" t="n">
        <x:v>4</x:v>
      </x:c>
      <x:c r="E1364" s="84"/>
      <x:c r="F1364" s="89" t="n">
        <x:v>45933.42380787037</x:v>
      </x:c>
      <x:c r="G1364" s="89" t="n">
        <x:v>45940.42380787037</x:v>
      </x:c>
      <x:c r="H1364" s="89" t="n">
        <x:v>45935.92380787037</x:v>
      </x:c>
      <x:c r="I1364" s="89" t="n">
        <x:v>45936.75714120371</x:v>
      </x:c>
      <x:c r="J1364" s="84" t="str">
        <x:v>Baixa</x:v>
      </x:c>
      <x:c r="K1364" s="84" t="str">
        <x:v>Encerrada</x:v>
      </x:c>
      <x:c r="L1364" s="84" t="str">
        <x:v>Alarme intermitente</x:v>
      </x:c>
      <x:c r="M1364" s="84" t="str">
        <x:v>Desgaste natural</x:v>
      </x:c>
      <x:c r="N1364" s="84" t="str">
        <x:v>Componente ajustado ou substituído</x:v>
      </x:c>
      <x:c r="O1364" s="84" t="n">
        <x:v>0</x:v>
      </x:c>
      <x:c r="P1364" s="93" t="n">
        <x:v>422.61</x:v>
      </x:c>
      <x:c r="Q1364" s="93" t="n">
        <x:v>13226.42</x:v>
      </x:c>
      <x:c r="R1364" s="91" t="n">
        <x:v>0</x:v>
      </x:c>
    </x:row>
    <x:row r="1365">
      <x:c r="A1365" s="83" t="n">
        <x:v>1364</x:v>
      </x:c>
      <x:c r="B1365" s="84" t="str">
        <x:v>OS-2023-01364</x:v>
      </x:c>
      <x:c r="C1365" s="84" t="n">
        <x:v>84</x:v>
      </x:c>
      <x:c r="D1365" s="84" t="n">
        <x:v>1</x:v>
      </x:c>
      <x:c r="E1365" s="84" t="n">
        <x:v>168</x:v>
      </x:c>
      <x:c r="F1365" s="89" t="n">
        <x:v>45155.4134375</x:v>
      </x:c>
      <x:c r="G1365" s="89" t="n">
        <x:v>45166.4134375</x:v>
      </x:c>
      <x:c r="H1365" s="89" t="n">
        <x:v>45157.996770833335</x:v>
      </x:c>
      <x:c r="I1365" s="89" t="n">
        <x:v>45158.121770833335</x:v>
      </x:c>
      <x:c r="J1365" s="84" t="str">
        <x:v>Baixa</x:v>
      </x:c>
      <x:c r="K1365" s="84" t="str">
        <x:v>Concluída</x:v>
      </x:c>
      <x:c r="L1365" s="84" t="str">
        <x:v>Vazamento</x:v>
      </x:c>
      <x:c r="M1365" s="84" t="str">
        <x:v>Ajuste incorreto</x:v>
      </x:c>
      <x:c r="N1365" s="84" t="str">
        <x:v>Componente ajustado ou substituído</x:v>
      </x:c>
      <x:c r="O1365" s="84" t="n">
        <x:v>0</x:v>
      </x:c>
      <x:c r="P1365" s="93" t="n">
        <x:v>298.82</x:v>
      </x:c>
      <x:c r="Q1365" s="93" t="n">
        <x:v>6819.06</x:v>
      </x:c>
      <x:c r="R1365" s="91" t="n">
        <x:v>0</x:v>
      </x:c>
    </x:row>
    <x:row r="1366">
      <x:c r="A1366" s="83" t="n">
        <x:v>1365</x:v>
      </x:c>
      <x:c r="B1366" s="84" t="str">
        <x:v>OS-2025-01365</x:v>
      </x:c>
      <x:c r="C1366" s="84" t="n">
        <x:v>88</x:v>
      </x:c>
      <x:c r="D1366" s="84" t="n">
        <x:v>7</x:v>
      </x:c>
      <x:c r="E1366" s="84" t="n">
        <x:v>175</x:v>
      </x:c>
      <x:c r="F1366" s="89" t="n">
        <x:v>45948.448287037034</x:v>
      </x:c>
      <x:c r="G1366" s="89" t="n">
        <x:v>45950.448287037034</x:v>
      </x:c>
      <x:c r="H1366" s="89" t="n">
        <x:v>45948.53162037037</x:v>
      </x:c>
      <x:c r="I1366" s="89" t="n">
        <x:v>45948.823287037034</x:v>
      </x:c>
      <x:c r="J1366" s="84" t="str">
        <x:v>Média</x:v>
      </x:c>
      <x:c r="K1366" s="84" t="str">
        <x:v>Encerrada</x:v>
      </x:c>
      <x:c r="L1366" s="84" t="str">
        <x:v>Desalinhamento</x:v>
      </x:c>
      <x:c r="M1366" s="84" t="str">
        <x:v>Falta de lubrificação</x:v>
      </x:c>
      <x:c r="N1366" s="84" t="str">
        <x:v>Componente ajustado ou substituído</x:v>
      </x:c>
      <x:c r="O1366" s="84" t="n">
        <x:v>0</x:v>
      </x:c>
      <x:c r="P1366" s="93" t="n">
        <x:v>130.86</x:v>
      </x:c>
      <x:c r="Q1366" s="93" t="n">
        <x:v>0</x:v>
      </x:c>
      <x:c r="R1366" s="91" t="n">
        <x:v>0</x:v>
      </x:c>
    </x:row>
    <x:row r="1367">
      <x:c r="A1367" s="83" t="n">
        <x:v>1366</x:v>
      </x:c>
      <x:c r="B1367" s="84" t="str">
        <x:v>OS-2025-01366</x:v>
      </x:c>
      <x:c r="C1367" s="84" t="n">
        <x:v>23</x:v>
      </x:c>
      <x:c r="D1367" s="84" t="n">
        <x:v>1</x:v>
      </x:c>
      <x:c r="E1367" s="84" t="n">
        <x:v>46</x:v>
      </x:c>
      <x:c r="F1367" s="89" t="n">
        <x:v>46000.87614583333</x:v>
      </x:c>
      <x:c r="G1367" s="89" t="n">
        <x:v>46003.87614583333</x:v>
      </x:c>
      <x:c r="H1367" s="89" t="n">
        <x:v>46002.37614583333</x:v>
      </x:c>
      <x:c r="I1367" s="89" t="n">
        <x:v>46002.58447916667</x:v>
      </x:c>
      <x:c r="J1367" s="84" t="str">
        <x:v>Média</x:v>
      </x:c>
      <x:c r="K1367" s="84" t="str">
        <x:v>Encerrada</x:v>
      </x:c>
      <x:c r="L1367" s="84" t="str">
        <x:v>Superaquecimento</x:v>
      </x:c>
      <x:c r="M1367" s="84" t="str">
        <x:v>Falta de lubrificação</x:v>
      </x:c>
      <x:c r="N1367" s="84" t="str">
        <x:v>Componente ajustado ou substituído</x:v>
      </x:c>
      <x:c r="O1367" s="84" t="n">
        <x:v>0</x:v>
      </x:c>
      <x:c r="P1367" s="93" t="n">
        <x:v>382.68</x:v>
      </x:c>
      <x:c r="Q1367" s="93" t="n">
        <x:v>8795.72</x:v>
      </x:c>
      <x:c r="R1367" s="91" t="n">
        <x:v>0</x:v>
      </x:c>
    </x:row>
    <x:row r="1368">
      <x:c r="A1368" s="83" t="n">
        <x:v>1367</x:v>
      </x:c>
      <x:c r="B1368" s="84" t="str">
        <x:v>OS-2024-01367</x:v>
      </x:c>
      <x:c r="C1368" s="84" t="n">
        <x:v>69</x:v>
      </x:c>
      <x:c r="D1368" s="84" t="n">
        <x:v>3</x:v>
      </x:c>
      <x:c r="E1368" s="84"/>
      <x:c r="F1368" s="89" t="n">
        <x:v>45652.11891203704</x:v>
      </x:c>
      <x:c r="G1368" s="89"/>
      <x:c r="H1368" s="89"/>
      <x:c r="I1368" s="89"/>
      <x:c r="J1368" s="84" t="str">
        <x:v>Baixa</x:v>
      </x:c>
      <x:c r="K1368" s="84" t="str">
        <x:v>Planejada</x:v>
      </x:c>
      <x:c r="L1368" s="84" t="str">
        <x:v>Baixa pressão</x:v>
      </x:c>
      <x:c r="M1368" s="84"/>
      <x:c r="N1368" s="84"/>
      <x:c r="O1368" s="84" t="n">
        <x:v>0</x:v>
      </x:c>
      <x:c r="P1368" s="93" t="n">
        <x:v>0</x:v>
      </x:c>
      <x:c r="Q1368" s="93" t="n">
        <x:v>0</x:v>
      </x:c>
      <x:c r="R1368" s="91" t="n">
        <x:v>0</x:v>
      </x:c>
    </x:row>
    <x:row r="1369">
      <x:c r="A1369" s="83" t="n">
        <x:v>1368</x:v>
      </x:c>
      <x:c r="B1369" s="84" t="str">
        <x:v>OS-2024-01368</x:v>
      </x:c>
      <x:c r="C1369" s="84" t="n">
        <x:v>80</x:v>
      </x:c>
      <x:c r="D1369" s="84" t="n">
        <x:v>3</x:v>
      </x:c>
      <x:c r="E1369" s="84"/>
      <x:c r="F1369" s="89" t="n">
        <x:v>45475.470972222225</x:v>
      </x:c>
      <x:c r="G1369" s="89"/>
      <x:c r="H1369" s="89" t="n">
        <x:v>45478.01263888889</x:v>
      </x:c>
      <x:c r="I1369" s="89" t="n">
        <x:v>45478.80430555555</x:v>
      </x:c>
      <x:c r="J1369" s="84" t="str">
        <x:v>Alta</x:v>
      </x:c>
      <x:c r="K1369" s="84" t="str">
        <x:v>Encerrada</x:v>
      </x:c>
      <x:c r="L1369" s="84" t="str">
        <x:v>Vazamento</x:v>
      </x:c>
      <x:c r="M1369" s="84" t="str">
        <x:v>Falta de lubrificação</x:v>
      </x:c>
      <x:c r="N1369" s="84" t="str">
        <x:v>Componente ajustado ou substituído</x:v>
      </x:c>
      <x:c r="O1369" s="84" t="n">
        <x:v>0</x:v>
      </x:c>
      <x:c r="P1369" s="93" t="n">
        <x:v>599.08</x:v>
      </x:c>
      <x:c r="Q1369" s="93" t="n">
        <x:v>3787.19</x:v>
      </x:c>
      <x:c r="R1369" s="91" t="n">
        <x:v>0</x:v>
      </x:c>
    </x:row>
    <x:row r="1370">
      <x:c r="A1370" s="83" t="n">
        <x:v>1369</x:v>
      </x:c>
      <x:c r="B1370" s="84" t="str">
        <x:v>OS-2025-01369</x:v>
      </x:c>
      <x:c r="C1370" s="84" t="n">
        <x:v>2</x:v>
      </x:c>
      <x:c r="D1370" s="84" t="n">
        <x:v>3</x:v>
      </x:c>
      <x:c r="E1370" s="84"/>
      <x:c r="F1370" s="89" t="n">
        <x:v>45838.86146990741</x:v>
      </x:c>
      <x:c r="G1370" s="89"/>
      <x:c r="H1370" s="89" t="n">
        <x:v>45840.81980324074</x:v>
      </x:c>
      <x:c r="I1370" s="89" t="n">
        <x:v>45841.11146990741</x:v>
      </x:c>
      <x:c r="J1370" s="84" t="str">
        <x:v>Alta</x:v>
      </x:c>
      <x:c r="K1370" s="84" t="str">
        <x:v>Encerrada</x:v>
      </x:c>
      <x:c r="L1370" s="84" t="str">
        <x:v>Falha elétrica</x:v>
      </x:c>
      <x:c r="M1370" s="84" t="str">
        <x:v>Falta de lubrificação</x:v>
      </x:c>
      <x:c r="N1370" s="84" t="str">
        <x:v>Componente ajustado ou substituído</x:v>
      </x:c>
      <x:c r="O1370" s="84" t="n">
        <x:v>0</x:v>
      </x:c>
      <x:c r="P1370" s="93" t="n">
        <x:v>410.24</x:v>
      </x:c>
      <x:c r="Q1370" s="93" t="n">
        <x:v>456.17</x:v>
      </x:c>
      <x:c r="R1370" s="91" t="n">
        <x:v>0</x:v>
      </x:c>
    </x:row>
    <x:row r="1371">
      <x:c r="A1371" s="83" t="n">
        <x:v>1370</x:v>
      </x:c>
      <x:c r="B1371" s="84" t="str">
        <x:v>OS-2025-01370</x:v>
      </x:c>
      <x:c r="C1371" s="84" t="n">
        <x:v>60</x:v>
      </x:c>
      <x:c r="D1371" s="84" t="n">
        <x:v>1</x:v>
      </x:c>
      <x:c r="E1371" s="84" t="n">
        <x:v>119</x:v>
      </x:c>
      <x:c r="F1371" s="89" t="n">
        <x:v>45769.69997685185</x:v>
      </x:c>
      <x:c r="G1371" s="89" t="n">
        <x:v>45778.69997685185</x:v>
      </x:c>
      <x:c r="H1371" s="89" t="n">
        <x:v>45771.15831018519</x:v>
      </x:c>
      <x:c r="I1371" s="89" t="n">
        <x:v>45771.94997685185</x:v>
      </x:c>
      <x:c r="J1371" s="84" t="str">
        <x:v>Alta</x:v>
      </x:c>
      <x:c r="K1371" s="84" t="str">
        <x:v>Encerrada</x:v>
      </x:c>
      <x:c r="L1371" s="84" t="str">
        <x:v>Alarme intermitente</x:v>
      </x:c>
      <x:c r="M1371" s="84" t="str">
        <x:v>Ajuste incorreto</x:v>
      </x:c>
      <x:c r="N1371" s="84" t="str">
        <x:v>Componente ajustado ou substituído</x:v>
      </x:c>
      <x:c r="O1371" s="84" t="n">
        <x:v>0</x:v>
      </x:c>
      <x:c r="P1371" s="93" t="n">
        <x:v>342.85</x:v>
      </x:c>
      <x:c r="Q1371" s="93" t="n">
        <x:v>1749.72</x:v>
      </x:c>
      <x:c r="R1371" s="91" t="n">
        <x:v>0</x:v>
      </x:c>
    </x:row>
    <x:row r="1372">
      <x:c r="A1372" s="83" t="n">
        <x:v>1371</x:v>
      </x:c>
      <x:c r="B1372" s="84" t="str">
        <x:v>OS-2024-01371</x:v>
      </x:c>
      <x:c r="C1372" s="84" t="n">
        <x:v>28</x:v>
      </x:c>
      <x:c r="D1372" s="84" t="n">
        <x:v>9</x:v>
      </x:c>
      <x:c r="E1372" s="84"/>
      <x:c r="F1372" s="89" t="n">
        <x:v>45628.872465277775</x:v>
      </x:c>
      <x:c r="G1372" s="89" t="n">
        <x:v>45633.872465277775</x:v>
      </x:c>
      <x:c r="H1372" s="89" t="n">
        <x:v>45631.872465277775</x:v>
      </x:c>
      <x:c r="I1372" s="89" t="n">
        <x:v>45632.164131944446</x:v>
      </x:c>
      <x:c r="J1372" s="84" t="str">
        <x:v>Alta</x:v>
      </x:c>
      <x:c r="K1372" s="84" t="str">
        <x:v>Encerrada</x:v>
      </x:c>
      <x:c r="L1372" s="84" t="str">
        <x:v>Superaquecimento</x:v>
      </x:c>
      <x:c r="M1372" s="84" t="str">
        <x:v>Conexão frouxa</x:v>
      </x:c>
      <x:c r="N1372" s="84" t="str">
        <x:v>Componente ajustado ou substituído</x:v>
      </x:c>
      <x:c r="O1372" s="84" t="n">
        <x:v>0</x:v>
      </x:c>
      <x:c r="P1372" s="93" t="n">
        <x:v>440.39</x:v>
      </x:c>
      <x:c r="Q1372" s="93" t="n">
        <x:v>9948.11</x:v>
      </x:c>
      <x:c r="R1372" s="91" t="n">
        <x:v>0</x:v>
      </x:c>
    </x:row>
    <x:row r="1373">
      <x:c r="A1373" s="83" t="n">
        <x:v>1372</x:v>
      </x:c>
      <x:c r="B1373" s="84" t="str">
        <x:v>OS-2023-01372</x:v>
      </x:c>
      <x:c r="C1373" s="84" t="n">
        <x:v>11</x:v>
      </x:c>
      <x:c r="D1373" s="84" t="n">
        <x:v>8</x:v>
      </x:c>
      <x:c r="E1373" s="84"/>
      <x:c r="F1373" s="89" t="n">
        <x:v>45120.58599537037</x:v>
      </x:c>
      <x:c r="G1373" s="89" t="n">
        <x:v>45122.58599537037</x:v>
      </x:c>
      <x:c r="H1373" s="89" t="n">
        <x:v>45122.169328703705</x:v>
      </x:c>
      <x:c r="I1373" s="89"/>
      <x:c r="J1373" s="84" t="str">
        <x:v>Crítica</x:v>
      </x:c>
      <x:c r="K1373" s="84" t="str">
        <x:v>Em execução</x:v>
      </x:c>
      <x:c r="L1373" s="84" t="str">
        <x:v>Ruído anormal</x:v>
      </x:c>
      <x:c r="M1373" s="84" t="str">
        <x:v>Conexão frouxa</x:v>
      </x:c>
      <x:c r="N1373" s="84"/>
      <x:c r="O1373" s="84" t="n">
        <x:v>0</x:v>
      </x:c>
      <x:c r="P1373" s="93" t="n">
        <x:v>270.65</x:v>
      </x:c>
      <x:c r="Q1373" s="93" t="n">
        <x:v>11786.69</x:v>
      </x:c>
      <x:c r="R1373" s="91" t="n">
        <x:v>0</x:v>
      </x:c>
    </x:row>
    <x:row r="1374">
      <x:c r="A1374" s="83" t="n">
        <x:v>1373</x:v>
      </x:c>
      <x:c r="B1374" s="84" t="str">
        <x:v>OS-2025-01373</x:v>
      </x:c>
      <x:c r="C1374" s="84" t="n">
        <x:v>72</x:v>
      </x:c>
      <x:c r="D1374" s="84" t="n">
        <x:v>8</x:v>
      </x:c>
      <x:c r="E1374" s="84"/>
      <x:c r="F1374" s="89" t="n">
        <x:v>45668.446388888886</x:v>
      </x:c>
      <x:c r="G1374" s="89" t="n">
        <x:v>45676.446388888886</x:v>
      </x:c>
      <x:c r="H1374" s="89" t="n">
        <x:v>45668.86305555556</x:v>
      </x:c>
      <x:c r="I1374" s="89"/>
      <x:c r="J1374" s="84" t="str">
        <x:v>Crítica</x:v>
      </x:c>
      <x:c r="K1374" s="84" t="str">
        <x:v>Em execução</x:v>
      </x:c>
      <x:c r="L1374" s="84" t="str">
        <x:v>Superaquecimento</x:v>
      </x:c>
      <x:c r="M1374" s="84" t="str">
        <x:v>Falta de lubrificação</x:v>
      </x:c>
      <x:c r="N1374" s="84"/>
      <x:c r="O1374" s="84" t="n">
        <x:v>0</x:v>
      </x:c>
      <x:c r="P1374" s="93" t="n">
        <x:v>749.12</x:v>
      </x:c>
      <x:c r="Q1374" s="93" t="n">
        <x:v>0</x:v>
      </x:c>
      <x:c r="R1374" s="91" t="n">
        <x:v>0</x:v>
      </x:c>
    </x:row>
    <x:row r="1375">
      <x:c r="A1375" s="83" t="n">
        <x:v>1374</x:v>
      </x:c>
      <x:c r="B1375" s="84" t="str">
        <x:v>OS-2025-01374</x:v>
      </x:c>
      <x:c r="C1375" s="84" t="n">
        <x:v>3</x:v>
      </x:c>
      <x:c r="D1375" s="84" t="n">
        <x:v>1</x:v>
      </x:c>
      <x:c r="E1375" s="84" t="n">
        <x:v>6</x:v>
      </x:c>
      <x:c r="F1375" s="89" t="n">
        <x:v>45885.077893518515</x:v>
      </x:c>
      <x:c r="G1375" s="89" t="n">
        <x:v>45895.077893518515</x:v>
      </x:c>
      <x:c r="H1375" s="89" t="n">
        <x:v>45887.49456018519</x:v>
      </x:c>
      <x:c r="I1375" s="89" t="n">
        <x:v>45888.11956018519</x:v>
      </x:c>
      <x:c r="J1375" s="84" t="str">
        <x:v>Crítica</x:v>
      </x:c>
      <x:c r="K1375" s="84" t="str">
        <x:v>Encerrada</x:v>
      </x:c>
      <x:c r="L1375" s="84" t="str">
        <x:v>Falha elétrica</x:v>
      </x:c>
      <x:c r="M1375" s="84" t="str">
        <x:v>Componente danificado</x:v>
      </x:c>
      <x:c r="N1375" s="84" t="str">
        <x:v>Componente ajustado ou substituído</x:v>
      </x:c>
      <x:c r="O1375" s="84" t="n">
        <x:v>0</x:v>
      </x:c>
      <x:c r="P1375" s="93" t="n">
        <x:v>617.15</x:v>
      </x:c>
      <x:c r="Q1375" s="93" t="n">
        <x:v>7721.59</x:v>
      </x:c>
      <x:c r="R1375" s="91" t="n">
        <x:v>0</x:v>
      </x:c>
    </x:row>
    <x:row r="1376">
      <x:c r="A1376" s="83" t="n">
        <x:v>1375</x:v>
      </x:c>
      <x:c r="B1376" s="84" t="str">
        <x:v>OS-2023-01375</x:v>
      </x:c>
      <x:c r="C1376" s="84" t="n">
        <x:v>43</x:v>
      </x:c>
      <x:c r="D1376" s="84" t="n">
        <x:v>1</x:v>
      </x:c>
      <x:c r="E1376" s="84" t="n">
        <x:v>85</x:v>
      </x:c>
      <x:c r="F1376" s="89" t="n">
        <x:v>45265.929918981485</x:v>
      </x:c>
      <x:c r="G1376" s="89" t="n">
        <x:v>45273.929918981485</x:v>
      </x:c>
      <x:c r="H1376" s="89"/>
      <x:c r="I1376" s="89"/>
      <x:c r="J1376" s="84" t="str">
        <x:v>Média</x:v>
      </x:c>
      <x:c r="K1376" s="84" t="str">
        <x:v>Planejada</x:v>
      </x:c>
      <x:c r="L1376" s="84" t="str">
        <x:v>Baixa pressão</x:v>
      </x:c>
      <x:c r="M1376" s="84"/>
      <x:c r="N1376" s="84"/>
      <x:c r="O1376" s="84" t="n">
        <x:v>0</x:v>
      </x:c>
      <x:c r="P1376" s="93" t="n">
        <x:v>0</x:v>
      </x:c>
      <x:c r="Q1376" s="93" t="n">
        <x:v>0</x:v>
      </x:c>
      <x:c r="R1376" s="91" t="n">
        <x:v>0</x:v>
      </x:c>
    </x:row>
    <x:row r="1377">
      <x:c r="A1377" s="83" t="n">
        <x:v>1376</x:v>
      </x:c>
      <x:c r="B1377" s="84" t="str">
        <x:v>OS-2025-01376</x:v>
      </x:c>
      <x:c r="C1377" s="84" t="n">
        <x:v>62</x:v>
      </x:c>
      <x:c r="D1377" s="84" t="n">
        <x:v>5</x:v>
      </x:c>
      <x:c r="E1377" s="84" t="n">
        <x:v>123</x:v>
      </x:c>
      <x:c r="F1377" s="89" t="n">
        <x:v>45941.43258101852</x:v>
      </x:c>
      <x:c r="G1377" s="89" t="n">
        <x:v>45945.43258101852</x:v>
      </x:c>
      <x:c r="H1377" s="89"/>
      <x:c r="I1377" s="89"/>
      <x:c r="J1377" s="84" t="str">
        <x:v>Crítica</x:v>
      </x:c>
      <x:c r="K1377" s="84" t="str">
        <x:v>Planejada</x:v>
      </x:c>
      <x:c r="L1377" s="84" t="str">
        <x:v>Ruído anormal</x:v>
      </x:c>
      <x:c r="M1377" s="84"/>
      <x:c r="N1377" s="84"/>
      <x:c r="O1377" s="84" t="n">
        <x:v>0</x:v>
      </x:c>
      <x:c r="P1377" s="93" t="n">
        <x:v>0</x:v>
      </x:c>
      <x:c r="Q1377" s="93" t="n">
        <x:v>0</x:v>
      </x:c>
      <x:c r="R1377" s="91" t="n">
        <x:v>0</x:v>
      </x:c>
    </x:row>
    <x:row r="1378">
      <x:c r="A1378" s="83" t="n">
        <x:v>1377</x:v>
      </x:c>
      <x:c r="B1378" s="84" t="str">
        <x:v>OS-2024-01377</x:v>
      </x:c>
      <x:c r="C1378" s="84" t="n">
        <x:v>54</x:v>
      </x:c>
      <x:c r="D1378" s="84" t="n">
        <x:v>1</x:v>
      </x:c>
      <x:c r="E1378" s="84" t="n">
        <x:v>107</x:v>
      </x:c>
      <x:c r="F1378" s="89" t="n">
        <x:v>45379.997083333335</x:v>
      </x:c>
      <x:c r="G1378" s="89" t="n">
        <x:v>45387.997083333335</x:v>
      </x:c>
      <x:c r="H1378" s="89" t="n">
        <x:v>45380.747083333335</x:v>
      </x:c>
      <x:c r="I1378" s="89"/>
      <x:c r="J1378" s="84" t="str">
        <x:v>Média</x:v>
      </x:c>
      <x:c r="K1378" s="84" t="str">
        <x:v>Aguardando peça</x:v>
      </x:c>
      <x:c r="L1378" s="84" t="str">
        <x:v>Baixa pressão</x:v>
      </x:c>
      <x:c r="M1378" s="84" t="str">
        <x:v>Ajuste incorreto</x:v>
      </x:c>
      <x:c r="N1378" s="84"/>
      <x:c r="O1378" s="84" t="n">
        <x:v>0</x:v>
      </x:c>
      <x:c r="P1378" s="93" t="n">
        <x:v>212.94</x:v>
      </x:c>
      <x:c r="Q1378" s="93" t="n">
        <x:v>0</x:v>
      </x:c>
      <x:c r="R1378" s="91" t="n">
        <x:v>0</x:v>
      </x:c>
    </x:row>
    <x:row r="1379">
      <x:c r="A1379" s="83" t="n">
        <x:v>1378</x:v>
      </x:c>
      <x:c r="B1379" s="84" t="str">
        <x:v>OS-2025-01378</x:v>
      </x:c>
      <x:c r="C1379" s="84" t="n">
        <x:v>52</x:v>
      </x:c>
      <x:c r="D1379" s="84" t="n">
        <x:v>2</x:v>
      </x:c>
      <x:c r="E1379" s="84"/>
      <x:c r="F1379" s="89" t="n">
        <x:v>45675.07304398148</x:v>
      </x:c>
      <x:c r="G1379" s="89" t="n">
        <x:v>45686.07304398148</x:v>
      </x:c>
      <x:c r="H1379" s="89" t="n">
        <x:v>45675.23971064815</x:v>
      </x:c>
      <x:c r="I1379" s="89" t="n">
        <x:v>45675.48971064815</x:v>
      </x:c>
      <x:c r="J1379" s="84" t="str">
        <x:v>Crítica</x:v>
      </x:c>
      <x:c r="K1379" s="84" t="str">
        <x:v>Encerrada</x:v>
      </x:c>
      <x:c r="L1379" s="84" t="str">
        <x:v>Ruído anormal</x:v>
      </x:c>
      <x:c r="M1379" s="84" t="str">
        <x:v>Ajuste incorreto</x:v>
      </x:c>
      <x:c r="N1379" s="84" t="str">
        <x:v>Componente ajustado ou substituído</x:v>
      </x:c>
      <x:c r="O1379" s="84" t="n">
        <x:v>0</x:v>
      </x:c>
      <x:c r="P1379" s="93" t="n">
        <x:v>728.91</x:v>
      </x:c>
      <x:c r="Q1379" s="93" t="n">
        <x:v>1465.42</x:v>
      </x:c>
      <x:c r="R1379" s="91" t="n">
        <x:v>0</x:v>
      </x:c>
    </x:row>
    <x:row r="1380">
      <x:c r="A1380" s="83" t="n">
        <x:v>1379</x:v>
      </x:c>
      <x:c r="B1380" s="84" t="str">
        <x:v>OS-2024-01379</x:v>
      </x:c>
      <x:c r="C1380" s="84" t="n">
        <x:v>70</x:v>
      </x:c>
      <x:c r="D1380" s="84" t="n">
        <x:v>1</x:v>
      </x:c>
      <x:c r="E1380" s="84" t="n">
        <x:v>140</x:v>
      </x:c>
      <x:c r="F1380" s="89" t="n">
        <x:v>45516.871412037035</x:v>
      </x:c>
      <x:c r="G1380" s="89" t="n">
        <x:v>45519.871412037035</x:v>
      </x:c>
      <x:c r="H1380" s="89" t="n">
        <x:v>45517.871412037035</x:v>
      </x:c>
      <x:c r="I1380" s="89" t="n">
        <x:v>45518.246412037035</x:v>
      </x:c>
      <x:c r="J1380" s="84" t="str">
        <x:v>Média</x:v>
      </x:c>
      <x:c r="K1380" s="84" t="str">
        <x:v>Encerrada</x:v>
      </x:c>
      <x:c r="L1380" s="84" t="str">
        <x:v>Vazamento</x:v>
      </x:c>
      <x:c r="M1380" s="84" t="str">
        <x:v>Ajuste incorreto</x:v>
      </x:c>
      <x:c r="N1380" s="84" t="str">
        <x:v>Componente ajustado ou substituído</x:v>
      </x:c>
      <x:c r="O1380" s="84" t="n">
        <x:v>0</x:v>
      </x:c>
      <x:c r="P1380" s="93" t="n">
        <x:v>339.27</x:v>
      </x:c>
      <x:c r="Q1380" s="93" t="n">
        <x:v>6373.67</x:v>
      </x:c>
      <x:c r="R1380" s="91" t="n">
        <x:v>0</x:v>
      </x:c>
    </x:row>
    <x:row r="1381">
      <x:c r="A1381" s="83" t="n">
        <x:v>1380</x:v>
      </x:c>
      <x:c r="B1381" s="84" t="str">
        <x:v>OS-2025-01380</x:v>
      </x:c>
      <x:c r="C1381" s="84" t="n">
        <x:v>7</x:v>
      </x:c>
      <x:c r="D1381" s="84" t="n">
        <x:v>2</x:v>
      </x:c>
      <x:c r="E1381" s="84"/>
      <x:c r="F1381" s="89" t="n">
        <x:v>45812.02501157407</x:v>
      </x:c>
      <x:c r="G1381" s="89" t="n">
        <x:v>45817.02501157407</x:v>
      </x:c>
      <x:c r="H1381" s="89" t="n">
        <x:v>45813.40001157407</x:v>
      </x:c>
      <x:c r="I1381" s="89" t="n">
        <x:v>45814.06667824074</x:v>
      </x:c>
      <x:c r="J1381" s="84" t="str">
        <x:v>Média</x:v>
      </x:c>
      <x:c r="K1381" s="84" t="str">
        <x:v>Encerrada</x:v>
      </x:c>
      <x:c r="L1381" s="84" t="str">
        <x:v>Ruído anormal</x:v>
      </x:c>
      <x:c r="M1381" s="84" t="str">
        <x:v>Falta de lubrificação</x:v>
      </x:c>
      <x:c r="N1381" s="84" t="str">
        <x:v>Componente ajustado ou substituído</x:v>
      </x:c>
      <x:c r="O1381" s="84" t="n">
        <x:v>0</x:v>
      </x:c>
      <x:c r="P1381" s="93" t="n">
        <x:v>648.97</x:v>
      </x:c>
      <x:c r="Q1381" s="93" t="n">
        <x:v>0</x:v>
      </x:c>
      <x:c r="R1381" s="91" t="n">
        <x:v>0</x:v>
      </x:c>
    </x:row>
    <x:row r="1382">
      <x:c r="A1382" s="83" t="n">
        <x:v>1381</x:v>
      </x:c>
      <x:c r="B1382" s="84" t="str">
        <x:v>OS-2025-01381</x:v>
      </x:c>
      <x:c r="C1382" s="84" t="n">
        <x:v>20</x:v>
      </x:c>
      <x:c r="D1382" s="84" t="n">
        <x:v>4</x:v>
      </x:c>
      <x:c r="E1382" s="84"/>
      <x:c r="F1382" s="89" t="n">
        <x:v>45812.557592592595</x:v>
      </x:c>
      <x:c r="G1382" s="89" t="n">
        <x:v>45819.557592592595</x:v>
      </x:c>
      <x:c r="H1382" s="89" t="n">
        <x:v>45813.01592592592</x:v>
      </x:c>
      <x:c r="I1382" s="89" t="n">
        <x:v>45813.057592592595</x:v>
      </x:c>
      <x:c r="J1382" s="84" t="str">
        <x:v>Crítica</x:v>
      </x:c>
      <x:c r="K1382" s="84" t="str">
        <x:v>Encerrada</x:v>
      </x:c>
      <x:c r="L1382" s="84" t="str">
        <x:v>Superaquecimento</x:v>
      </x:c>
      <x:c r="M1382" s="84" t="str">
        <x:v>Contaminação</x:v>
      </x:c>
      <x:c r="N1382" s="84" t="str">
        <x:v>Componente ajustado ou substituído</x:v>
      </x:c>
      <x:c r="O1382" s="84" t="n">
        <x:v>0</x:v>
      </x:c>
      <x:c r="P1382" s="93" t="n">
        <x:v>310.67</x:v>
      </x:c>
      <x:c r="Q1382" s="93" t="n">
        <x:v>0</x:v>
      </x:c>
      <x:c r="R1382" s="91" t="n">
        <x:v>0</x:v>
      </x:c>
    </x:row>
    <x:row r="1383">
      <x:c r="A1383" s="83" t="n">
        <x:v>1382</x:v>
      </x:c>
      <x:c r="B1383" s="84" t="str">
        <x:v>OS-2023-01382</x:v>
      </x:c>
      <x:c r="C1383" s="84" t="n">
        <x:v>32</x:v>
      </x:c>
      <x:c r="D1383" s="84" t="n">
        <x:v>3</x:v>
      </x:c>
      <x:c r="E1383" s="84"/>
      <x:c r="F1383" s="89" t="n">
        <x:v>45003.943715277775</x:v>
      </x:c>
      <x:c r="G1383" s="89"/>
      <x:c r="H1383" s="89" t="n">
        <x:v>45004.193715277775</x:v>
      </x:c>
      <x:c r="I1383" s="89" t="n">
        <x:v>45004.943715277775</x:v>
      </x:c>
      <x:c r="J1383" s="84" t="str">
        <x:v>Média</x:v>
      </x:c>
      <x:c r="K1383" s="84" t="str">
        <x:v>Encerrada</x:v>
      </x:c>
      <x:c r="L1383" s="84" t="str">
        <x:v>Ruído anormal</x:v>
      </x:c>
      <x:c r="M1383" s="84" t="str">
        <x:v>Falta de lubrificação</x:v>
      </x:c>
      <x:c r="N1383" s="84" t="str">
        <x:v>Componente ajustado ou substituído</x:v>
      </x:c>
      <x:c r="O1383" s="84" t="n">
        <x:v>0</x:v>
      </x:c>
      <x:c r="P1383" s="93" t="n">
        <x:v>198.61</x:v>
      </x:c>
      <x:c r="Q1383" s="93" t="n">
        <x:v>1151.14</x:v>
      </x:c>
      <x:c r="R1383" s="91" t="n">
        <x:v>0</x:v>
      </x:c>
    </x:row>
    <x:row r="1384">
      <x:c r="A1384" s="83" t="n">
        <x:v>1383</x:v>
      </x:c>
      <x:c r="B1384" s="84" t="str">
        <x:v>OS-2025-01383</x:v>
      </x:c>
      <x:c r="C1384" s="84" t="n">
        <x:v>61</x:v>
      </x:c>
      <x:c r="D1384" s="84" t="n">
        <x:v>2</x:v>
      </x:c>
      <x:c r="E1384" s="84"/>
      <x:c r="F1384" s="89" t="n">
        <x:v>45993.736180555556</x:v>
      </x:c>
      <x:c r="G1384" s="89" t="n">
        <x:v>46007.736180555556</x:v>
      </x:c>
      <x:c r="H1384" s="89" t="n">
        <x:v>45994.986180555556</x:v>
      </x:c>
      <x:c r="I1384" s="89" t="n">
        <x:v>45995.361180555556</x:v>
      </x:c>
      <x:c r="J1384" s="84" t="str">
        <x:v>Média</x:v>
      </x:c>
      <x:c r="K1384" s="84" t="str">
        <x:v>Encerrada</x:v>
      </x:c>
      <x:c r="L1384" s="84" t="str">
        <x:v>Superaquecimento</x:v>
      </x:c>
      <x:c r="M1384" s="84" t="str">
        <x:v>Ajuste incorreto</x:v>
      </x:c>
      <x:c r="N1384" s="84" t="str">
        <x:v>Componente ajustado ou substituído</x:v>
      </x:c>
      <x:c r="O1384" s="84" t="n">
        <x:v>0</x:v>
      </x:c>
      <x:c r="P1384" s="93" t="n">
        <x:v>90.66</x:v>
      </x:c>
      <x:c r="Q1384" s="93" t="n">
        <x:v>0</x:v>
      </x:c>
      <x:c r="R1384" s="91" t="n">
        <x:v>12354.63</x:v>
      </x:c>
    </x:row>
    <x:row r="1385">
      <x:c r="A1385" s="83" t="n">
        <x:v>1384</x:v>
      </x:c>
      <x:c r="B1385" s="84" t="str">
        <x:v>OS-2025-01384</x:v>
      </x:c>
      <x:c r="C1385" s="84" t="n">
        <x:v>50</x:v>
      </x:c>
      <x:c r="D1385" s="84" t="n">
        <x:v>4</x:v>
      </x:c>
      <x:c r="E1385" s="84"/>
      <x:c r="F1385" s="89" t="n">
        <x:v>45779.712916666664</x:v>
      </x:c>
      <x:c r="G1385" s="89" t="n">
        <x:v>45779.712916666664</x:v>
      </x:c>
      <x:c r="H1385" s="89"/>
      <x:c r="I1385" s="89"/>
      <x:c r="J1385" s="84" t="str">
        <x:v>Média</x:v>
      </x:c>
      <x:c r="K1385" s="84" t="str">
        <x:v>Planejada</x:v>
      </x:c>
      <x:c r="L1385" s="84" t="str">
        <x:v>Alarme intermitente</x:v>
      </x:c>
      <x:c r="M1385" s="84"/>
      <x:c r="N1385" s="84"/>
      <x:c r="O1385" s="84" t="n">
        <x:v>0</x:v>
      </x:c>
      <x:c r="P1385" s="93" t="n">
        <x:v>0</x:v>
      </x:c>
      <x:c r="Q1385" s="93" t="n">
        <x:v>0</x:v>
      </x:c>
      <x:c r="R1385" s="91" t="n">
        <x:v>0</x:v>
      </x:c>
    </x:row>
    <x:row r="1386">
      <x:c r="A1386" s="83" t="n">
        <x:v>1385</x:v>
      </x:c>
      <x:c r="B1386" s="84" t="str">
        <x:v>OS-2024-01385</x:v>
      </x:c>
      <x:c r="C1386" s="84" t="n">
        <x:v>45</x:v>
      </x:c>
      <x:c r="D1386" s="84" t="n">
        <x:v>3</x:v>
      </x:c>
      <x:c r="E1386" s="84"/>
      <x:c r="F1386" s="89" t="n">
        <x:v>45592.80042824074</x:v>
      </x:c>
      <x:c r="G1386" s="89"/>
      <x:c r="H1386" s="89" t="n">
        <x:v>45595.25876157408</x:v>
      </x:c>
      <x:c r="I1386" s="89" t="n">
        <x:v>45595.80042824074</x:v>
      </x:c>
      <x:c r="J1386" s="84" t="str">
        <x:v>Crítica</x:v>
      </x:c>
      <x:c r="K1386" s="84" t="str">
        <x:v>Encerrada</x:v>
      </x:c>
      <x:c r="L1386" s="84" t="str">
        <x:v>Vazamento</x:v>
      </x:c>
      <x:c r="M1386" s="84" t="str">
        <x:v>Desgaste natural</x:v>
      </x:c>
      <x:c r="N1386" s="84" t="str">
        <x:v>Componente ajustado ou substituído</x:v>
      </x:c>
      <x:c r="O1386" s="84" t="n">
        <x:v>0</x:v>
      </x:c>
      <x:c r="P1386" s="93" t="n">
        <x:v>153.57</x:v>
      </x:c>
      <x:c r="Q1386" s="93" t="n">
        <x:v>3499.44</x:v>
      </x:c>
      <x:c r="R1386" s="91" t="n">
        <x:v>0</x:v>
      </x:c>
    </x:row>
    <x:row r="1387">
      <x:c r="A1387" s="83" t="n">
        <x:v>1386</x:v>
      </x:c>
      <x:c r="B1387" s="84" t="str">
        <x:v>OS-2023-01386</x:v>
      </x:c>
      <x:c r="C1387" s="84" t="n">
        <x:v>31</x:v>
      </x:c>
      <x:c r="D1387" s="84" t="n">
        <x:v>4</x:v>
      </x:c>
      <x:c r="E1387" s="84"/>
      <x:c r="F1387" s="89" t="n">
        <x:v>45281.20663194444</x:v>
      </x:c>
      <x:c r="G1387" s="89" t="n">
        <x:v>45296.20663194444</x:v>
      </x:c>
      <x:c r="H1387" s="89" t="n">
        <x:v>45282.03996527778</x:v>
      </x:c>
      <x:c r="I1387" s="89" t="n">
        <x:v>45282.20663194444</x:v>
      </x:c>
      <x:c r="J1387" s="84" t="str">
        <x:v>Crítica</x:v>
      </x:c>
      <x:c r="K1387" s="84" t="str">
        <x:v>Encerrada</x:v>
      </x:c>
      <x:c r="L1387" s="84" t="str">
        <x:v>Ruído anormal</x:v>
      </x:c>
      <x:c r="M1387" s="84" t="str">
        <x:v>Ajuste incorreto</x:v>
      </x:c>
      <x:c r="N1387" s="84" t="str">
        <x:v>Componente ajustado ou substituído</x:v>
      </x:c>
      <x:c r="O1387" s="84" t="n">
        <x:v>0</x:v>
      </x:c>
      <x:c r="P1387" s="93" t="n">
        <x:v>592.42</x:v>
      </x:c>
      <x:c r="Q1387" s="93" t="n">
        <x:v>2905.96</x:v>
      </x:c>
      <x:c r="R1387" s="91" t="n">
        <x:v>0</x:v>
      </x:c>
    </x:row>
    <x:row r="1388">
      <x:c r="A1388" s="83" t="n">
        <x:v>1387</x:v>
      </x:c>
      <x:c r="B1388" s="84" t="str">
        <x:v>OS-2025-01387</x:v>
      </x:c>
      <x:c r="C1388" s="84" t="n">
        <x:v>11</x:v>
      </x:c>
      <x:c r="D1388" s="84" t="n">
        <x:v>1</x:v>
      </x:c>
      <x:c r="E1388" s="84" t="n">
        <x:v>22</x:v>
      </x:c>
      <x:c r="F1388" s="89" t="n">
        <x:v>45893.38804398148</x:v>
      </x:c>
      <x:c r="G1388" s="89" t="n">
        <x:v>45908.38804398148</x:v>
      </x:c>
      <x:c r="H1388" s="89" t="n">
        <x:v>45894.97137731482</x:v>
      </x:c>
      <x:c r="I1388" s="89" t="n">
        <x:v>45895.804710648146</x:v>
      </x:c>
      <x:c r="J1388" s="84" t="str">
        <x:v>Alta</x:v>
      </x:c>
      <x:c r="K1388" s="84" t="str">
        <x:v>Concluída</x:v>
      </x:c>
      <x:c r="L1388" s="84" t="str">
        <x:v>Baixa pressão</x:v>
      </x:c>
      <x:c r="M1388" s="84" t="str">
        <x:v>Ajuste incorreto</x:v>
      </x:c>
      <x:c r="N1388" s="84" t="str">
        <x:v>Componente ajustado ou substituído</x:v>
      </x:c>
      <x:c r="O1388" s="84" t="n">
        <x:v>0</x:v>
      </x:c>
      <x:c r="P1388" s="93" t="n">
        <x:v>932.71</x:v>
      </x:c>
      <x:c r="Q1388" s="93" t="n">
        <x:v>10706.95</x:v>
      </x:c>
      <x:c r="R1388" s="91" t="n">
        <x:v>0</x:v>
      </x:c>
    </x:row>
    <x:row r="1389">
      <x:c r="A1389" s="83" t="n">
        <x:v>1388</x:v>
      </x:c>
      <x:c r="B1389" s="84" t="str">
        <x:v>OS-2025-01388</x:v>
      </x:c>
      <x:c r="C1389" s="84" t="n">
        <x:v>63</x:v>
      </x:c>
      <x:c r="D1389" s="84" t="n">
        <x:v>4</x:v>
      </x:c>
      <x:c r="E1389" s="84"/>
      <x:c r="F1389" s="89" t="n">
        <x:v>46007.22944444444</x:v>
      </x:c>
      <x:c r="G1389" s="89" t="n">
        <x:v>46017.22944444444</x:v>
      </x:c>
      <x:c r="H1389" s="89" t="n">
        <x:v>46009.27111111111</x:v>
      </x:c>
      <x:c r="I1389" s="89" t="n">
        <x:v>46009.72944444444</x:v>
      </x:c>
      <x:c r="J1389" s="84" t="str">
        <x:v>Baixa</x:v>
      </x:c>
      <x:c r="K1389" s="84" t="str">
        <x:v>Encerrada</x:v>
      </x:c>
      <x:c r="L1389" s="84" t="str">
        <x:v>Desalinhamento</x:v>
      </x:c>
      <x:c r="M1389" s="84" t="str">
        <x:v>Falta de lubrificação</x:v>
      </x:c>
      <x:c r="N1389" s="84" t="str">
        <x:v>Componente ajustado ou substituído</x:v>
      </x:c>
      <x:c r="O1389" s="84" t="n">
        <x:v>0</x:v>
      </x:c>
      <x:c r="P1389" s="93" t="n">
        <x:v>709.41</x:v>
      </x:c>
      <x:c r="Q1389" s="93" t="n">
        <x:v>8544.69</x:v>
      </x:c>
      <x:c r="R1389" s="91" t="n">
        <x:v>0</x:v>
      </x:c>
    </x:row>
    <x:row r="1390">
      <x:c r="A1390" s="83" t="n">
        <x:v>1389</x:v>
      </x:c>
      <x:c r="B1390" s="84" t="str">
        <x:v>OS-2025-01389</x:v>
      </x:c>
      <x:c r="C1390" s="84" t="n">
        <x:v>53</x:v>
      </x:c>
      <x:c r="D1390" s="84" t="n">
        <x:v>4</x:v>
      </x:c>
      <x:c r="E1390" s="84"/>
      <x:c r="F1390" s="89" t="n">
        <x:v>45828.14976851852</x:v>
      </x:c>
      <x:c r="G1390" s="89" t="n">
        <x:v>45841.14976851852</x:v>
      </x:c>
      <x:c r="H1390" s="89" t="n">
        <x:v>45829.27476851852</x:v>
      </x:c>
      <x:c r="I1390" s="89"/>
      <x:c r="J1390" s="84" t="str">
        <x:v>Média</x:v>
      </x:c>
      <x:c r="K1390" s="84" t="str">
        <x:v>Em execução</x:v>
      </x:c>
      <x:c r="L1390" s="84" t="str">
        <x:v>Baixa pressão</x:v>
      </x:c>
      <x:c r="M1390" s="84" t="str">
        <x:v>Ajuste incorreto</x:v>
      </x:c>
      <x:c r="N1390" s="84"/>
      <x:c r="O1390" s="84" t="n">
        <x:v>0</x:v>
      </x:c>
      <x:c r="P1390" s="93" t="n">
        <x:v>104.33</x:v>
      </x:c>
      <x:c r="Q1390" s="93" t="n">
        <x:v>0</x:v>
      </x:c>
      <x:c r="R1390" s="91" t="n">
        <x:v>0</x:v>
      </x:c>
    </x:row>
    <x:row r="1391">
      <x:c r="A1391" s="83" t="n">
        <x:v>1390</x:v>
      </x:c>
      <x:c r="B1391" s="84" t="str">
        <x:v>OS-2025-01390</x:v>
      </x:c>
      <x:c r="C1391" s="84" t="n">
        <x:v>5</x:v>
      </x:c>
      <x:c r="D1391" s="84" t="n">
        <x:v>3</x:v>
      </x:c>
      <x:c r="E1391" s="84"/>
      <x:c r="F1391" s="89" t="n">
        <x:v>45987.07648148148</x:v>
      </x:c>
      <x:c r="G1391" s="89"/>
      <x:c r="H1391" s="89" t="n">
        <x:v>45988.03481481481</x:v>
      </x:c>
      <x:c r="I1391" s="89" t="n">
        <x:v>45988.11814814815</x:v>
      </x:c>
      <x:c r="J1391" s="84" t="str">
        <x:v>Média</x:v>
      </x:c>
      <x:c r="K1391" s="84" t="str">
        <x:v>Encerrada</x:v>
      </x:c>
      <x:c r="L1391" s="84" t="str">
        <x:v>Desalinhamento</x:v>
      </x:c>
      <x:c r="M1391" s="84" t="str">
        <x:v>Conexão frouxa</x:v>
      </x:c>
      <x:c r="N1391" s="84" t="str">
        <x:v>Componente ajustado ou substituído</x:v>
      </x:c>
      <x:c r="O1391" s="84" t="n">
        <x:v>0</x:v>
      </x:c>
      <x:c r="P1391" s="93" t="n">
        <x:v>707.01</x:v>
      </x:c>
      <x:c r="Q1391" s="93" t="n">
        <x:v>2937</x:v>
      </x:c>
      <x:c r="R1391" s="91" t="n">
        <x:v>0</x:v>
      </x:c>
    </x:row>
    <x:row r="1392">
      <x:c r="A1392" s="83" t="n">
        <x:v>1391</x:v>
      </x:c>
      <x:c r="B1392" s="84" t="str">
        <x:v>OS-2024-01391</x:v>
      </x:c>
      <x:c r="C1392" s="84" t="n">
        <x:v>52</x:v>
      </x:c>
      <x:c r="D1392" s="84" t="n">
        <x:v>3</x:v>
      </x:c>
      <x:c r="E1392" s="84"/>
      <x:c r="F1392" s="89" t="n">
        <x:v>45340.038611111115</x:v>
      </x:c>
      <x:c r="G1392" s="89"/>
      <x:c r="H1392" s="89"/>
      <x:c r="I1392" s="89"/>
      <x:c r="J1392" s="84" t="str">
        <x:v>Crítica</x:v>
      </x:c>
      <x:c r="K1392" s="84" t="str">
        <x:v>Planejada</x:v>
      </x:c>
      <x:c r="L1392" s="84" t="str">
        <x:v>Baixa pressão</x:v>
      </x:c>
      <x:c r="M1392" s="84"/>
      <x:c r="N1392" s="84"/>
      <x:c r="O1392" s="84" t="n">
        <x:v>0</x:v>
      </x:c>
      <x:c r="P1392" s="93" t="n">
        <x:v>0</x:v>
      </x:c>
      <x:c r="Q1392" s="93" t="n">
        <x:v>0</x:v>
      </x:c>
      <x:c r="R1392" s="91" t="n">
        <x:v>0</x:v>
      </x:c>
    </x:row>
    <x:row r="1393">
      <x:c r="A1393" s="83" t="n">
        <x:v>1392</x:v>
      </x:c>
      <x:c r="B1393" s="84" t="str">
        <x:v>OS-2024-01392</x:v>
      </x:c>
      <x:c r="C1393" s="84" t="n">
        <x:v>41</x:v>
      </x:c>
      <x:c r="D1393" s="84" t="n">
        <x:v>5</x:v>
      </x:c>
      <x:c r="E1393" s="84" t="n">
        <x:v>82</x:v>
      </x:c>
      <x:c r="F1393" s="89" t="n">
        <x:v>45545.72329861111</x:v>
      </x:c>
      <x:c r="G1393" s="89" t="n">
        <x:v>45557.72329861111</x:v>
      </x:c>
      <x:c r="H1393" s="89" t="n">
        <x:v>45548.09829861111</x:v>
      </x:c>
      <x:c r="I1393" s="89" t="n">
        <x:v>45548.639965277776</x:v>
      </x:c>
      <x:c r="J1393" s="84" t="str">
        <x:v>Crítica</x:v>
      </x:c>
      <x:c r="K1393" s="84" t="str">
        <x:v>Concluída</x:v>
      </x:c>
      <x:c r="L1393" s="84" t="str">
        <x:v>Ruído anormal</x:v>
      </x:c>
      <x:c r="M1393" s="84" t="str">
        <x:v>Falta de lubrificação</x:v>
      </x:c>
      <x:c r="N1393" s="84" t="str">
        <x:v>Componente ajustado ou substituído</x:v>
      </x:c>
      <x:c r="O1393" s="84" t="n">
        <x:v>0</x:v>
      </x:c>
      <x:c r="P1393" s="93" t="n">
        <x:v>180.69</x:v>
      </x:c>
      <x:c r="Q1393" s="93" t="n">
        <x:v>6658.42</x:v>
      </x:c>
      <x:c r="R1393" s="91" t="n">
        <x:v>0</x:v>
      </x:c>
    </x:row>
    <x:row r="1394">
      <x:c r="A1394" s="83" t="n">
        <x:v>1393</x:v>
      </x:c>
      <x:c r="B1394" s="84" t="str">
        <x:v>OS-2024-01393</x:v>
      </x:c>
      <x:c r="C1394" s="84" t="n">
        <x:v>72</x:v>
      </x:c>
      <x:c r="D1394" s="84" t="n">
        <x:v>3</x:v>
      </x:c>
      <x:c r="E1394" s="84"/>
      <x:c r="F1394" s="89" t="n">
        <x:v>45306.65923611111</x:v>
      </x:c>
      <x:c r="G1394" s="89"/>
      <x:c r="H1394" s="89" t="n">
        <x:v>45309.325902777775</x:v>
      </x:c>
      <x:c r="I1394" s="89" t="n">
        <x:v>45309.49256944445</x:v>
      </x:c>
      <x:c r="J1394" s="84" t="str">
        <x:v>Crítica</x:v>
      </x:c>
      <x:c r="K1394" s="84" t="str">
        <x:v>Encerrada</x:v>
      </x:c>
      <x:c r="L1394" s="84" t="str">
        <x:v>Superaquecimento</x:v>
      </x:c>
      <x:c r="M1394" s="84" t="str">
        <x:v>Conexão frouxa</x:v>
      </x:c>
      <x:c r="N1394" s="84" t="str">
        <x:v>Componente ajustado ou substituído</x:v>
      </x:c>
      <x:c r="O1394" s="84" t="n">
        <x:v>0</x:v>
      </x:c>
      <x:c r="P1394" s="93" t="n">
        <x:v>416.39</x:v>
      </x:c>
      <x:c r="Q1394" s="93" t="n">
        <x:v>0</x:v>
      </x:c>
      <x:c r="R1394" s="91" t="n">
        <x:v>0</x:v>
      </x:c>
    </x:row>
    <x:row r="1395">
      <x:c r="A1395" s="83" t="n">
        <x:v>1394</x:v>
      </x:c>
      <x:c r="B1395" s="84" t="str">
        <x:v>OS-2023-01394</x:v>
      </x:c>
      <x:c r="C1395" s="84" t="n">
        <x:v>10</x:v>
      </x:c>
      <x:c r="D1395" s="84" t="n">
        <x:v>2</x:v>
      </x:c>
      <x:c r="E1395" s="84"/>
      <x:c r="F1395" s="89" t="n">
        <x:v>45015.48306712963</x:v>
      </x:c>
      <x:c r="G1395" s="89" t="n">
        <x:v>45017.48306712963</x:v>
      </x:c>
      <x:c r="H1395" s="89" t="n">
        <x:v>45017.066400462965</x:v>
      </x:c>
      <x:c r="I1395" s="89" t="n">
        <x:v>45017.774733796294</x:v>
      </x:c>
      <x:c r="J1395" s="84" t="str">
        <x:v>Crítica</x:v>
      </x:c>
      <x:c r="K1395" s="84" t="str">
        <x:v>Concluída</x:v>
      </x:c>
      <x:c r="L1395" s="84" t="str">
        <x:v>Alarme intermitente</x:v>
      </x:c>
      <x:c r="M1395" s="84" t="str">
        <x:v>Ajuste incorreto</x:v>
      </x:c>
      <x:c r="N1395" s="84" t="str">
        <x:v>Componente ajustado ou substituído</x:v>
      </x:c>
      <x:c r="O1395" s="84" t="n">
        <x:v>0</x:v>
      </x:c>
      <x:c r="P1395" s="93" t="n">
        <x:v>414.73</x:v>
      </x:c>
      <x:c r="Q1395" s="93" t="n">
        <x:v>12380.77</x:v>
      </x:c>
      <x:c r="R1395" s="91" t="n">
        <x:v>0</x:v>
      </x:c>
    </x:row>
    <x:row r="1396">
      <x:c r="A1396" s="83" t="n">
        <x:v>1395</x:v>
      </x:c>
      <x:c r="B1396" s="84" t="str">
        <x:v>OS-2024-01395</x:v>
      </x:c>
      <x:c r="C1396" s="84" t="n">
        <x:v>13</x:v>
      </x:c>
      <x:c r="D1396" s="84" t="n">
        <x:v>2</x:v>
      </x:c>
      <x:c r="E1396" s="84"/>
      <x:c r="F1396" s="89" t="n">
        <x:v>45312.77978009259</x:v>
      </x:c>
      <x:c r="G1396" s="89" t="n">
        <x:v>45317.77978009259</x:v>
      </x:c>
      <x:c r="H1396" s="89" t="n">
        <x:v>45313.77978009259</x:v>
      </x:c>
      <x:c r="I1396" s="89" t="n">
        <x:v>45314.27978009259</x:v>
      </x:c>
      <x:c r="J1396" s="84" t="str">
        <x:v>Baixa</x:v>
      </x:c>
      <x:c r="K1396" s="84" t="str">
        <x:v>Encerrada</x:v>
      </x:c>
      <x:c r="L1396" s="84" t="str">
        <x:v>Vazamento</x:v>
      </x:c>
      <x:c r="M1396" s="84" t="str">
        <x:v>Falta de lubrificação</x:v>
      </x:c>
      <x:c r="N1396" s="84" t="str">
        <x:v>Componente ajustado ou substituído</x:v>
      </x:c>
      <x:c r="O1396" s="84" t="n">
        <x:v>0</x:v>
      </x:c>
      <x:c r="P1396" s="93" t="n">
        <x:v>556.65</x:v>
      </x:c>
      <x:c r="Q1396" s="93" t="n">
        <x:v>6040.54</x:v>
      </x:c>
      <x:c r="R1396" s="91" t="n">
        <x:v>0</x:v>
      </x:c>
    </x:row>
    <x:row r="1397">
      <x:c r="A1397" s="83" t="n">
        <x:v>1396</x:v>
      </x:c>
      <x:c r="B1397" s="84" t="str">
        <x:v>OS-2023-01396</x:v>
      </x:c>
      <x:c r="C1397" s="84" t="n">
        <x:v>2</x:v>
      </x:c>
      <x:c r="D1397" s="84" t="n">
        <x:v>9</x:v>
      </x:c>
      <x:c r="E1397" s="84"/>
      <x:c r="F1397" s="89" t="n">
        <x:v>45066.53295138889</x:v>
      </x:c>
      <x:c r="G1397" s="89" t="n">
        <x:v>45066.53295138889</x:v>
      </x:c>
      <x:c r="H1397" s="89" t="n">
        <x:v>45068.19961805556</x:v>
      </x:c>
      <x:c r="I1397" s="89"/>
      <x:c r="J1397" s="84" t="str">
        <x:v>Alta</x:v>
      </x:c>
      <x:c r="K1397" s="84" t="str">
        <x:v>Aguardando peça</x:v>
      </x:c>
      <x:c r="L1397" s="84" t="str">
        <x:v>Desalinhamento</x:v>
      </x:c>
      <x:c r="M1397" s="84" t="str">
        <x:v>Componente danificado</x:v>
      </x:c>
      <x:c r="N1397" s="84"/>
      <x:c r="O1397" s="84" t="n">
        <x:v>1</x:v>
      </x:c>
      <x:c r="P1397" s="93" t="n">
        <x:v>693.09</x:v>
      </x:c>
      <x:c r="Q1397" s="93" t="n">
        <x:v>6853.46</x:v>
      </x:c>
      <x:c r="R1397" s="91" t="n">
        <x:v>0</x:v>
      </x:c>
    </x:row>
    <x:row r="1398">
      <x:c r="A1398" s="83" t="n">
        <x:v>1397</x:v>
      </x:c>
      <x:c r="B1398" s="84" t="str">
        <x:v>OS-2023-01397</x:v>
      </x:c>
      <x:c r="C1398" s="84" t="n">
        <x:v>43</x:v>
      </x:c>
      <x:c r="D1398" s="84" t="n">
        <x:v>3</x:v>
      </x:c>
      <x:c r="E1398" s="84"/>
      <x:c r="F1398" s="89" t="n">
        <x:v>45088.37363425926</x:v>
      </x:c>
      <x:c r="G1398" s="89"/>
      <x:c r="H1398" s="89" t="n">
        <x:v>45089.12363425926</x:v>
      </x:c>
      <x:c r="I1398" s="89" t="n">
        <x:v>45089.62363425926</x:v>
      </x:c>
      <x:c r="J1398" s="84" t="str">
        <x:v>Crítica</x:v>
      </x:c>
      <x:c r="K1398" s="84" t="str">
        <x:v>Encerrada</x:v>
      </x:c>
      <x:c r="L1398" s="84" t="str">
        <x:v>Desalinhamento</x:v>
      </x:c>
      <x:c r="M1398" s="84" t="str">
        <x:v>Falta de lubrificação</x:v>
      </x:c>
      <x:c r="N1398" s="84" t="str">
        <x:v>Componente ajustado ou substituído</x:v>
      </x:c>
      <x:c r="O1398" s="84" t="n">
        <x:v>0</x:v>
      </x:c>
      <x:c r="P1398" s="93" t="n">
        <x:v>465.86</x:v>
      </x:c>
      <x:c r="Q1398" s="93" t="n">
        <x:v>0</x:v>
      </x:c>
      <x:c r="R1398" s="91" t="n">
        <x:v>0</x:v>
      </x:c>
    </x:row>
    <x:row r="1399">
      <x:c r="A1399" s="83" t="n">
        <x:v>1398</x:v>
      </x:c>
      <x:c r="B1399" s="84" t="str">
        <x:v>OS-2023-01398</x:v>
      </x:c>
      <x:c r="C1399" s="84" t="n">
        <x:v>7</x:v>
      </x:c>
      <x:c r="D1399" s="84" t="n">
        <x:v>1</x:v>
      </x:c>
      <x:c r="E1399" s="84" t="n">
        <x:v>14</x:v>
      </x:c>
      <x:c r="F1399" s="89" t="n">
        <x:v>44939.42045138889</x:v>
      </x:c>
      <x:c r="G1399" s="89" t="n">
        <x:v>44953.42045138889</x:v>
      </x:c>
      <x:c r="H1399" s="89" t="n">
        <x:v>44939.587118055555</x:v>
      </x:c>
      <x:c r="I1399" s="89" t="n">
        <x:v>44939.837118055555</x:v>
      </x:c>
      <x:c r="J1399" s="84" t="str">
        <x:v>Alta</x:v>
      </x:c>
      <x:c r="K1399" s="84" t="str">
        <x:v>Concluída</x:v>
      </x:c>
      <x:c r="L1399" s="84" t="str">
        <x:v>Vazamento</x:v>
      </x:c>
      <x:c r="M1399" s="84" t="str">
        <x:v>Componente danificado</x:v>
      </x:c>
      <x:c r="N1399" s="84" t="str">
        <x:v>Componente ajustado ou substituído</x:v>
      </x:c>
      <x:c r="O1399" s="84" t="n">
        <x:v>0</x:v>
      </x:c>
      <x:c r="P1399" s="93" t="n">
        <x:v>868.32</x:v>
      </x:c>
      <x:c r="Q1399" s="93" t="n">
        <x:v>10970.72</x:v>
      </x:c>
      <x:c r="R1399" s="91" t="n">
        <x:v>0</x:v>
      </x:c>
    </x:row>
    <x:row r="1400">
      <x:c r="A1400" s="83" t="n">
        <x:v>1399</x:v>
      </x:c>
      <x:c r="B1400" s="84" t="str">
        <x:v>OS-2025-01399</x:v>
      </x:c>
      <x:c r="C1400" s="84" t="n">
        <x:v>10</x:v>
      </x:c>
      <x:c r="D1400" s="84" t="n">
        <x:v>3</x:v>
      </x:c>
      <x:c r="E1400" s="84"/>
      <x:c r="F1400" s="89" t="n">
        <x:v>45914.374872685185</x:v>
      </x:c>
      <x:c r="G1400" s="89"/>
      <x:c r="H1400" s="89" t="n">
        <x:v>45915.499872685185</x:v>
      </x:c>
      <x:c r="I1400" s="89" t="n">
        <x:v>45916.08320601852</x:v>
      </x:c>
      <x:c r="J1400" s="84" t="str">
        <x:v>Alta</x:v>
      </x:c>
      <x:c r="K1400" s="84" t="str">
        <x:v>Encerrada</x:v>
      </x:c>
      <x:c r="L1400" s="84" t="str">
        <x:v>Alarme intermitente</x:v>
      </x:c>
      <x:c r="M1400" s="84" t="str">
        <x:v>Falta de lubrificação</x:v>
      </x:c>
      <x:c r="N1400" s="84" t="str">
        <x:v>Componente ajustado ou substituído</x:v>
      </x:c>
      <x:c r="O1400" s="84" t="n">
        <x:v>0</x:v>
      </x:c>
      <x:c r="P1400" s="93" t="n">
        <x:v>454.52</x:v>
      </x:c>
      <x:c r="Q1400" s="93" t="n">
        <x:v>3043.28</x:v>
      </x:c>
      <x:c r="R1400" s="91" t="n">
        <x:v>14770.76</x:v>
      </x:c>
    </x:row>
    <x:row r="1401">
      <x:c r="A1401" s="83" t="n">
        <x:v>1400</x:v>
      </x:c>
      <x:c r="B1401" s="84" t="str">
        <x:v>OS-2023-01400</x:v>
      </x:c>
      <x:c r="C1401" s="84" t="n">
        <x:v>24</x:v>
      </x:c>
      <x:c r="D1401" s="84" t="n">
        <x:v>2</x:v>
      </x:c>
      <x:c r="E1401" s="84"/>
      <x:c r="F1401" s="89" t="n">
        <x:v>45098.115324074075</x:v>
      </x:c>
      <x:c r="G1401" s="89" t="n">
        <x:v>45106.115324074075</x:v>
      </x:c>
      <x:c r="H1401" s="89" t="n">
        <x:v>45099.78199074074</x:v>
      </x:c>
      <x:c r="I1401" s="89" t="n">
        <x:v>45100.57365740741</x:v>
      </x:c>
      <x:c r="J1401" s="84" t="str">
        <x:v>Média</x:v>
      </x:c>
      <x:c r="K1401" s="84" t="str">
        <x:v>Encerrada</x:v>
      </x:c>
      <x:c r="L1401" s="84" t="str">
        <x:v>Superaquecimento</x:v>
      </x:c>
      <x:c r="M1401" s="84" t="str">
        <x:v>Ajuste incorreto</x:v>
      </x:c>
      <x:c r="N1401" s="84" t="str">
        <x:v>Componente ajustado ou substituído</x:v>
      </x:c>
      <x:c r="O1401" s="84" t="n">
        <x:v>0</x:v>
      </x:c>
      <x:c r="P1401" s="93" t="n">
        <x:v>491.1</x:v>
      </x:c>
      <x:c r="Q1401" s="93" t="n">
        <x:v>3868.38</x:v>
      </x:c>
      <x:c r="R1401" s="91" t="n">
        <x:v>0</x:v>
      </x:c>
    </x:row>
    <x:row r="1402">
      <x:c r="A1402" s="83" t="n">
        <x:v>1401</x:v>
      </x:c>
      <x:c r="B1402" s="84" t="str">
        <x:v>OS-2023-01401</x:v>
      </x:c>
      <x:c r="C1402" s="84" t="n">
        <x:v>55</x:v>
      </x:c>
      <x:c r="D1402" s="84" t="n">
        <x:v>3</x:v>
      </x:c>
      <x:c r="E1402" s="84"/>
      <x:c r="F1402" s="89" t="n">
        <x:v>45141.612662037034</x:v>
      </x:c>
      <x:c r="G1402" s="89"/>
      <x:c r="H1402" s="89"/>
      <x:c r="I1402" s="89"/>
      <x:c r="J1402" s="84" t="str">
        <x:v>Crítica</x:v>
      </x:c>
      <x:c r="K1402" s="84" t="str">
        <x:v>Planejada</x:v>
      </x:c>
      <x:c r="L1402" s="84" t="str">
        <x:v>Baixa pressão</x:v>
      </x:c>
      <x:c r="M1402" s="84"/>
      <x:c r="N1402" s="84"/>
      <x:c r="O1402" s="84" t="n">
        <x:v>0</x:v>
      </x:c>
      <x:c r="P1402" s="93" t="n">
        <x:v>0</x:v>
      </x:c>
      <x:c r="Q1402" s="93" t="n">
        <x:v>0</x:v>
      </x:c>
      <x:c r="R1402" s="91" t="n">
        <x:v>0</x:v>
      </x:c>
    </x:row>
    <x:row r="1403">
      <x:c r="A1403" s="83" t="n">
        <x:v>1402</x:v>
      </x:c>
      <x:c r="B1403" s="84" t="str">
        <x:v>OS-2025-01402</x:v>
      </x:c>
      <x:c r="C1403" s="84" t="n">
        <x:v>8</x:v>
      </x:c>
      <x:c r="D1403" s="84" t="n">
        <x:v>3</x:v>
      </x:c>
      <x:c r="E1403" s="84"/>
      <x:c r="F1403" s="89" t="n">
        <x:v>45910.10878472222</x:v>
      </x:c>
      <x:c r="G1403" s="89"/>
      <x:c r="H1403" s="89"/>
      <x:c r="I1403" s="89"/>
      <x:c r="J1403" s="84" t="str">
        <x:v>Baixa</x:v>
      </x:c>
      <x:c r="K1403" s="84" t="str">
        <x:v>Cancelada</x:v>
      </x:c>
      <x:c r="L1403" s="84" t="str">
        <x:v>Ruído anormal</x:v>
      </x:c>
      <x:c r="M1403" s="84"/>
      <x:c r="N1403" s="84"/>
      <x:c r="O1403" s="84" t="n">
        <x:v>0</x:v>
      </x:c>
      <x:c r="P1403" s="93" t="n">
        <x:v>0</x:v>
      </x:c>
      <x:c r="Q1403" s="93" t="n">
        <x:v>0</x:v>
      </x:c>
      <x:c r="R1403" s="91" t="n">
        <x:v>0</x:v>
      </x:c>
    </x:row>
    <x:row r="1404">
      <x:c r="A1404" s="83" t="n">
        <x:v>1403</x:v>
      </x:c>
      <x:c r="B1404" s="84" t="str">
        <x:v>OS-2023-01403</x:v>
      </x:c>
      <x:c r="C1404" s="84" t="n">
        <x:v>61</x:v>
      </x:c>
      <x:c r="D1404" s="84" t="n">
        <x:v>1</x:v>
      </x:c>
      <x:c r="E1404" s="84" t="n">
        <x:v>122</x:v>
      </x:c>
      <x:c r="F1404" s="89" t="n">
        <x:v>45258.660625</x:v>
      </x:c>
      <x:c r="G1404" s="89" t="n">
        <x:v>45264.660625</x:v>
      </x:c>
      <x:c r="H1404" s="89"/>
      <x:c r="I1404" s="89"/>
      <x:c r="J1404" s="84" t="str">
        <x:v>Baixa</x:v>
      </x:c>
      <x:c r="K1404" s="84" t="str">
        <x:v>Cancelada</x:v>
      </x:c>
      <x:c r="L1404" s="84" t="str">
        <x:v>Alarme intermitente</x:v>
      </x:c>
      <x:c r="M1404" s="84"/>
      <x:c r="N1404" s="84"/>
      <x:c r="O1404" s="84" t="n">
        <x:v>0</x:v>
      </x:c>
      <x:c r="P1404" s="93" t="n">
        <x:v>0</x:v>
      </x:c>
      <x:c r="Q1404" s="93" t="n">
        <x:v>0</x:v>
      </x:c>
      <x:c r="R1404" s="91" t="n">
        <x:v>0</x:v>
      </x:c>
    </x:row>
    <x:row r="1405">
      <x:c r="A1405" s="83" t="n">
        <x:v>1404</x:v>
      </x:c>
      <x:c r="B1405" s="84" t="str">
        <x:v>OS-2024-01404</x:v>
      </x:c>
      <x:c r="C1405" s="84" t="n">
        <x:v>10</x:v>
      </x:c>
      <x:c r="D1405" s="84" t="n">
        <x:v>3</x:v>
      </x:c>
      <x:c r="E1405" s="84"/>
      <x:c r="F1405" s="89" t="n">
        <x:v>45580.87201388889</x:v>
      </x:c>
      <x:c r="G1405" s="89"/>
      <x:c r="H1405" s="89" t="n">
        <x:v>45581.24701388889</x:v>
      </x:c>
      <x:c r="I1405" s="89" t="n">
        <x:v>45581.41368055555</x:v>
      </x:c>
      <x:c r="J1405" s="84" t="str">
        <x:v>Crítica</x:v>
      </x:c>
      <x:c r="K1405" s="84" t="str">
        <x:v>Concluída</x:v>
      </x:c>
      <x:c r="L1405" s="84" t="str">
        <x:v>Falha elétrica</x:v>
      </x:c>
      <x:c r="M1405" s="84" t="str">
        <x:v>Falta de lubrificação</x:v>
      </x:c>
      <x:c r="N1405" s="84" t="str">
        <x:v>Componente ajustado ou substituído</x:v>
      </x:c>
      <x:c r="O1405" s="84" t="n">
        <x:v>0</x:v>
      </x:c>
      <x:c r="P1405" s="93" t="n">
        <x:v>677.96</x:v>
      </x:c>
      <x:c r="Q1405" s="93" t="n">
        <x:v>2059.2</x:v>
      </x:c>
      <x:c r="R1405" s="91" t="n">
        <x:v>0</x:v>
      </x:c>
    </x:row>
    <x:row r="1406">
      <x:c r="A1406" s="83" t="n">
        <x:v>1405</x:v>
      </x:c>
      <x:c r="B1406" s="84" t="str">
        <x:v>OS-2023-01405</x:v>
      </x:c>
      <x:c r="C1406" s="84" t="n">
        <x:v>47</x:v>
      </x:c>
      <x:c r="D1406" s="84" t="n">
        <x:v>2</x:v>
      </x:c>
      <x:c r="E1406" s="84"/>
      <x:c r="F1406" s="89" t="n">
        <x:v>44945.02667824074</x:v>
      </x:c>
      <x:c r="G1406" s="89" t="n">
        <x:v>44945.02667824074</x:v>
      </x:c>
      <x:c r="H1406" s="89" t="n">
        <x:v>44945.40167824074</x:v>
      </x:c>
      <x:c r="I1406" s="89" t="n">
        <x:v>44946.193344907406</x:v>
      </x:c>
      <x:c r="J1406" s="84" t="str">
        <x:v>Crítica</x:v>
      </x:c>
      <x:c r="K1406" s="84" t="str">
        <x:v>Encerrada</x:v>
      </x:c>
      <x:c r="L1406" s="84" t="str">
        <x:v>Ruído anormal</x:v>
      </x:c>
      <x:c r="M1406" s="84" t="str">
        <x:v>Falta de lubrificação</x:v>
      </x:c>
      <x:c r="N1406" s="84" t="str">
        <x:v>Componente ajustado ou substituído</x:v>
      </x:c>
      <x:c r="O1406" s="84" t="n">
        <x:v>0</x:v>
      </x:c>
      <x:c r="P1406" s="93" t="n">
        <x:v>125.02</x:v>
      </x:c>
      <x:c r="Q1406" s="93" t="n">
        <x:v>8140.16</x:v>
      </x:c>
      <x:c r="R1406" s="91" t="n">
        <x:v>0</x:v>
      </x:c>
    </x:row>
    <x:row r="1407">
      <x:c r="A1407" s="83" t="n">
        <x:v>1406</x:v>
      </x:c>
      <x:c r="B1407" s="84" t="str">
        <x:v>OS-2023-01406</x:v>
      </x:c>
      <x:c r="C1407" s="84" t="n">
        <x:v>24</x:v>
      </x:c>
      <x:c r="D1407" s="84" t="n">
        <x:v>7</x:v>
      </x:c>
      <x:c r="E1407" s="84" t="n">
        <x:v>48</x:v>
      </x:c>
      <x:c r="F1407" s="89" t="n">
        <x:v>45142.23887731481</x:v>
      </x:c>
      <x:c r="G1407" s="89" t="n">
        <x:v>45152.23887731481</x:v>
      </x:c>
      <x:c r="H1407" s="89" t="n">
        <x:v>45143.94721064815</x:v>
      </x:c>
      <x:c r="I1407" s="89" t="n">
        <x:v>45144.280543981484</x:v>
      </x:c>
      <x:c r="J1407" s="84" t="str">
        <x:v>Alta</x:v>
      </x:c>
      <x:c r="K1407" s="84" t="str">
        <x:v>Encerrada</x:v>
      </x:c>
      <x:c r="L1407" s="84" t="str">
        <x:v>Superaquecimento</x:v>
      </x:c>
      <x:c r="M1407" s="84" t="str">
        <x:v>Ajuste incorreto</x:v>
      </x:c>
      <x:c r="N1407" s="84" t="str">
        <x:v>Componente ajustado ou substituído</x:v>
      </x:c>
      <x:c r="O1407" s="84" t="n">
        <x:v>0</x:v>
      </x:c>
      <x:c r="P1407" s="93" t="n">
        <x:v>319.1</x:v>
      </x:c>
      <x:c r="Q1407" s="93" t="n">
        <x:v>0</x:v>
      </x:c>
      <x:c r="R1407" s="91" t="n">
        <x:v>564.91</x:v>
      </x:c>
    </x:row>
    <x:row r="1408">
      <x:c r="A1408" s="83" t="n">
        <x:v>1407</x:v>
      </x:c>
      <x:c r="B1408" s="84" t="str">
        <x:v>OS-2024-01407</x:v>
      </x:c>
      <x:c r="C1408" s="84" t="n">
        <x:v>28</x:v>
      </x:c>
      <x:c r="D1408" s="84" t="n">
        <x:v>3</x:v>
      </x:c>
      <x:c r="E1408" s="84"/>
      <x:c r="F1408" s="89" t="n">
        <x:v>45381.77736111111</x:v>
      </x:c>
      <x:c r="G1408" s="89"/>
      <x:c r="H1408" s="89" t="n">
        <x:v>45384.319027777776</x:v>
      </x:c>
      <x:c r="I1408" s="89" t="n">
        <x:v>45385.15236111111</x:v>
      </x:c>
      <x:c r="J1408" s="84" t="str">
        <x:v>Crítica</x:v>
      </x:c>
      <x:c r="K1408" s="84" t="str">
        <x:v>Encerrada</x:v>
      </x:c>
      <x:c r="L1408" s="84" t="str">
        <x:v>Superaquecimento</x:v>
      </x:c>
      <x:c r="M1408" s="84" t="str">
        <x:v>Componente danificado</x:v>
      </x:c>
      <x:c r="N1408" s="84" t="str">
        <x:v>Componente ajustado ou substituído</x:v>
      </x:c>
      <x:c r="O1408" s="84" t="n">
        <x:v>0</x:v>
      </x:c>
      <x:c r="P1408" s="93" t="n">
        <x:v>339.6</x:v>
      </x:c>
      <x:c r="Q1408" s="93" t="n">
        <x:v>10804.8</x:v>
      </x:c>
      <x:c r="R1408" s="91" t="n">
        <x:v>0</x:v>
      </x:c>
    </x:row>
    <x:row r="1409">
      <x:c r="A1409" s="83" t="n">
        <x:v>1408</x:v>
      </x:c>
      <x:c r="B1409" s="84" t="str">
        <x:v>OS-2023-01408</x:v>
      </x:c>
      <x:c r="C1409" s="84" t="n">
        <x:v>7</x:v>
      </x:c>
      <x:c r="D1409" s="84" t="n">
        <x:v>3</x:v>
      </x:c>
      <x:c r="E1409" s="84"/>
      <x:c r="F1409" s="89" t="n">
        <x:v>44940.91363425926</x:v>
      </x:c>
      <x:c r="G1409" s="89"/>
      <x:c r="H1409" s="89" t="n">
        <x:v>44943.41363425926</x:v>
      </x:c>
      <x:c r="I1409" s="89" t="n">
        <x:v>44943.91363425926</x:v>
      </x:c>
      <x:c r="J1409" s="84" t="str">
        <x:v>Baixa</x:v>
      </x:c>
      <x:c r="K1409" s="84" t="str">
        <x:v>Encerrada</x:v>
      </x:c>
      <x:c r="L1409" s="84" t="str">
        <x:v>Ruído anormal</x:v>
      </x:c>
      <x:c r="M1409" s="84" t="str">
        <x:v>Falta de lubrificação</x:v>
      </x:c>
      <x:c r="N1409" s="84" t="str">
        <x:v>Componente ajustado ou substituído</x:v>
      </x:c>
      <x:c r="O1409" s="84" t="n">
        <x:v>0</x:v>
      </x:c>
      <x:c r="P1409" s="93" t="n">
        <x:v>106.92</x:v>
      </x:c>
      <x:c r="Q1409" s="93" t="n">
        <x:v>0</x:v>
      </x:c>
      <x:c r="R1409" s="91" t="n">
        <x:v>0</x:v>
      </x:c>
    </x:row>
    <x:row r="1410">
      <x:c r="A1410" s="83" t="n">
        <x:v>1409</x:v>
      </x:c>
      <x:c r="B1410" s="84" t="str">
        <x:v>OS-2025-01409</x:v>
      </x:c>
      <x:c r="C1410" s="84" t="n">
        <x:v>81</x:v>
      </x:c>
      <x:c r="D1410" s="84" t="n">
        <x:v>2</x:v>
      </x:c>
      <x:c r="E1410" s="84"/>
      <x:c r="F1410" s="89" t="n">
        <x:v>45763.5366087963</x:v>
      </x:c>
      <x:c r="G1410" s="89" t="n">
        <x:v>45773.5366087963</x:v>
      </x:c>
      <x:c r="H1410" s="89" t="n">
        <x:v>45763.7866087963</x:v>
      </x:c>
      <x:c r="I1410" s="89" t="n">
        <x:v>45764.0366087963</x:v>
      </x:c>
      <x:c r="J1410" s="84" t="str">
        <x:v>Alta</x:v>
      </x:c>
      <x:c r="K1410" s="84" t="str">
        <x:v>Encerrada</x:v>
      </x:c>
      <x:c r="L1410" s="84" t="str">
        <x:v>Vazamento</x:v>
      </x:c>
      <x:c r="M1410" s="84" t="str">
        <x:v>Componente danificado</x:v>
      </x:c>
      <x:c r="N1410" s="84" t="str">
        <x:v>Componente ajustado ou substituído</x:v>
      </x:c>
      <x:c r="O1410" s="84" t="n">
        <x:v>0</x:v>
      </x:c>
      <x:c r="P1410" s="93" t="n">
        <x:v>650.71</x:v>
      </x:c>
      <x:c r="Q1410" s="93" t="n">
        <x:v>0</x:v>
      </x:c>
      <x:c r="R1410" s="91" t="n">
        <x:v>0</x:v>
      </x:c>
    </x:row>
    <x:row r="1411">
      <x:c r="A1411" s="83" t="n">
        <x:v>1410</x:v>
      </x:c>
      <x:c r="B1411" s="84" t="str">
        <x:v>OS-2024-01410</x:v>
      </x:c>
      <x:c r="C1411" s="84" t="n">
        <x:v>5</x:v>
      </x:c>
      <x:c r="D1411" s="84" t="n">
        <x:v>2</x:v>
      </x:c>
      <x:c r="E1411" s="84"/>
      <x:c r="F1411" s="89" t="n">
        <x:v>45492.75576388889</x:v>
      </x:c>
      <x:c r="G1411" s="89" t="n">
        <x:v>45507.75576388889</x:v>
      </x:c>
      <x:c r="H1411" s="89" t="n">
        <x:v>45493.75576388889</x:v>
      </x:c>
      <x:c r="I1411" s="89"/>
      <x:c r="J1411" s="84" t="str">
        <x:v>Crítica</x:v>
      </x:c>
      <x:c r="K1411" s="84" t="str">
        <x:v>Em execução</x:v>
      </x:c>
      <x:c r="L1411" s="84" t="str">
        <x:v>Falha elétrica</x:v>
      </x:c>
      <x:c r="M1411" s="84" t="str">
        <x:v>Ajuste incorreto</x:v>
      </x:c>
      <x:c r="N1411" s="84"/>
      <x:c r="O1411" s="84" t="n">
        <x:v>0</x:v>
      </x:c>
      <x:c r="P1411" s="93" t="n">
        <x:v>692.74</x:v>
      </x:c>
      <x:c r="Q1411" s="93" t="n">
        <x:v>3055.22</x:v>
      </x:c>
      <x:c r="R1411" s="91" t="n">
        <x:v>0</x:v>
      </x:c>
    </x:row>
    <x:row r="1412">
      <x:c r="A1412" s="83" t="n">
        <x:v>1411</x:v>
      </x:c>
      <x:c r="B1412" s="84" t="str">
        <x:v>OS-2025-01411</x:v>
      </x:c>
      <x:c r="C1412" s="84" t="n">
        <x:v>51</x:v>
      </x:c>
      <x:c r="D1412" s="84" t="n">
        <x:v>3</x:v>
      </x:c>
      <x:c r="E1412" s="84"/>
      <x:c r="F1412" s="89" t="n">
        <x:v>45874.53346064815</x:v>
      </x:c>
      <x:c r="G1412" s="89"/>
      <x:c r="H1412" s="89" t="n">
        <x:v>45875.28346064815</x:v>
      </x:c>
      <x:c r="I1412" s="89" t="n">
        <x:v>45875.45012731481</x:v>
      </x:c>
      <x:c r="J1412" s="84" t="str">
        <x:v>Crítica</x:v>
      </x:c>
      <x:c r="K1412" s="84" t="str">
        <x:v>Encerrada</x:v>
      </x:c>
      <x:c r="L1412" s="84" t="str">
        <x:v>Superaquecimento</x:v>
      </x:c>
      <x:c r="M1412" s="84" t="str">
        <x:v>Contaminação</x:v>
      </x:c>
      <x:c r="N1412" s="84" t="str">
        <x:v>Componente ajustado ou substituído</x:v>
      </x:c>
      <x:c r="O1412" s="84" t="n">
        <x:v>0</x:v>
      </x:c>
      <x:c r="P1412" s="93" t="n">
        <x:v>695.39</x:v>
      </x:c>
      <x:c r="Q1412" s="93" t="n">
        <x:v>0</x:v>
      </x:c>
      <x:c r="R1412" s="91" t="n">
        <x:v>0</x:v>
      </x:c>
    </x:row>
    <x:row r="1413">
      <x:c r="A1413" s="83" t="n">
        <x:v>1412</x:v>
      </x:c>
      <x:c r="B1413" s="84" t="str">
        <x:v>OS-2023-01412</x:v>
      </x:c>
      <x:c r="C1413" s="84" t="n">
        <x:v>44</x:v>
      </x:c>
      <x:c r="D1413" s="84" t="n">
        <x:v>4</x:v>
      </x:c>
      <x:c r="E1413" s="84"/>
      <x:c r="F1413" s="89" t="n">
        <x:v>45216.74564814815</x:v>
      </x:c>
      <x:c r="G1413" s="89" t="n">
        <x:v>45222.74564814815</x:v>
      </x:c>
      <x:c r="H1413" s="89" t="n">
        <x:v>45217.287314814814</x:v>
      </x:c>
      <x:c r="I1413" s="89" t="n">
        <x:v>45217.95398148148</x:v>
      </x:c>
      <x:c r="J1413" s="84" t="str">
        <x:v>Crítica</x:v>
      </x:c>
      <x:c r="K1413" s="84" t="str">
        <x:v>Concluída</x:v>
      </x:c>
      <x:c r="L1413" s="84" t="str">
        <x:v>Falha elétrica</x:v>
      </x:c>
      <x:c r="M1413" s="84" t="str">
        <x:v>Ajuste incorreto</x:v>
      </x:c>
      <x:c r="N1413" s="84" t="str">
        <x:v>Componente ajustado ou substituído</x:v>
      </x:c>
      <x:c r="O1413" s="84" t="n">
        <x:v>0</x:v>
      </x:c>
      <x:c r="P1413" s="93" t="n">
        <x:v>209.04</x:v>
      </x:c>
      <x:c r="Q1413" s="93" t="n">
        <x:v>7967.24</x:v>
      </x:c>
      <x:c r="R1413" s="91" t="n">
        <x:v>0</x:v>
      </x:c>
    </x:row>
    <x:row r="1414">
      <x:c r="A1414" s="83" t="n">
        <x:v>1413</x:v>
      </x:c>
      <x:c r="B1414" s="84" t="str">
        <x:v>OS-2025-01413</x:v>
      </x:c>
      <x:c r="C1414" s="84" t="n">
        <x:v>61</x:v>
      </x:c>
      <x:c r="D1414" s="84" t="n">
        <x:v>3</x:v>
      </x:c>
      <x:c r="E1414" s="84"/>
      <x:c r="F1414" s="89" t="n">
        <x:v>45704.5221875</x:v>
      </x:c>
      <x:c r="G1414" s="89"/>
      <x:c r="H1414" s="89" t="n">
        <x:v>45705.18885416666</x:v>
      </x:c>
      <x:c r="I1414" s="89" t="n">
        <x:v>45705.81385416666</x:v>
      </x:c>
      <x:c r="J1414" s="84" t="str">
        <x:v>Média</x:v>
      </x:c>
      <x:c r="K1414" s="84" t="str">
        <x:v>Encerrada</x:v>
      </x:c>
      <x:c r="L1414" s="84" t="str">
        <x:v>Alarme intermitente</x:v>
      </x:c>
      <x:c r="M1414" s="84" t="str">
        <x:v>Contaminação</x:v>
      </x:c>
      <x:c r="N1414" s="84" t="str">
        <x:v>Componente ajustado ou substituído</x:v>
      </x:c>
      <x:c r="O1414" s="84" t="n">
        <x:v>0</x:v>
      </x:c>
      <x:c r="P1414" s="93" t="n">
        <x:v>247.98</x:v>
      </x:c>
      <x:c r="Q1414" s="93" t="n">
        <x:v>0</x:v>
      </x:c>
      <x:c r="R1414" s="91" t="n">
        <x:v>0</x:v>
      </x:c>
    </x:row>
    <x:row r="1415">
      <x:c r="A1415" s="83" t="n">
        <x:v>1414</x:v>
      </x:c>
      <x:c r="B1415" s="84" t="str">
        <x:v>OS-2023-01414</x:v>
      </x:c>
      <x:c r="C1415" s="84" t="n">
        <x:v>45</x:v>
      </x:c>
      <x:c r="D1415" s="84" t="n">
        <x:v>1</x:v>
      </x:c>
      <x:c r="E1415" s="84" t="n">
        <x:v>89</x:v>
      </x:c>
      <x:c r="F1415" s="89" t="n">
        <x:v>45266.805659722224</x:v>
      </x:c>
      <x:c r="G1415" s="89" t="n">
        <x:v>45280.805659722224</x:v>
      </x:c>
      <x:c r="H1415" s="89" t="n">
        <x:v>45269.09732638889</x:v>
      </x:c>
      <x:c r="I1415" s="89" t="n">
        <x:v>45269.22232638889</x:v>
      </x:c>
      <x:c r="J1415" s="84" t="str">
        <x:v>Média</x:v>
      </x:c>
      <x:c r="K1415" s="84" t="str">
        <x:v>Encerrada</x:v>
      </x:c>
      <x:c r="L1415" s="84" t="str">
        <x:v>Alarme intermitente</x:v>
      </x:c>
      <x:c r="M1415" s="84" t="str">
        <x:v>Componente danificado</x:v>
      </x:c>
      <x:c r="N1415" s="84" t="str">
        <x:v>Componente ajustado ou substituído</x:v>
      </x:c>
      <x:c r="O1415" s="84" t="n">
        <x:v>0</x:v>
      </x:c>
      <x:c r="P1415" s="93" t="n">
        <x:v>533.36</x:v>
      </x:c>
      <x:c r="Q1415" s="93" t="n">
        <x:v>0</x:v>
      </x:c>
      <x:c r="R1415" s="91" t="n">
        <x:v>0</x:v>
      </x:c>
    </x:row>
    <x:row r="1416">
      <x:c r="A1416" s="83" t="n">
        <x:v>1415</x:v>
      </x:c>
      <x:c r="B1416" s="84" t="str">
        <x:v>OS-2024-01415</x:v>
      </x:c>
      <x:c r="C1416" s="84" t="n">
        <x:v>10</x:v>
      </x:c>
      <x:c r="D1416" s="84" t="n">
        <x:v>3</x:v>
      </x:c>
      <x:c r="E1416" s="84"/>
      <x:c r="F1416" s="89" t="n">
        <x:v>45373.79148148148</x:v>
      </x:c>
      <x:c r="G1416" s="89"/>
      <x:c r="H1416" s="89" t="n">
        <x:v>45373.874814814815</x:v>
      </x:c>
      <x:c r="I1416" s="89" t="n">
        <x:v>45374.08314814815</x:v>
      </x:c>
      <x:c r="J1416" s="84" t="str">
        <x:v>Alta</x:v>
      </x:c>
      <x:c r="K1416" s="84" t="str">
        <x:v>Encerrada</x:v>
      </x:c>
      <x:c r="L1416" s="84" t="str">
        <x:v>Baixa pressão</x:v>
      </x:c>
      <x:c r="M1416" s="84" t="str">
        <x:v>Contaminação</x:v>
      </x:c>
      <x:c r="N1416" s="84" t="str">
        <x:v>Componente ajustado ou substituído</x:v>
      </x:c>
      <x:c r="O1416" s="84" t="n">
        <x:v>0</x:v>
      </x:c>
      <x:c r="P1416" s="93" t="n">
        <x:v>75.6</x:v>
      </x:c>
      <x:c r="Q1416" s="93" t="n">
        <x:v>10121.08</x:v>
      </x:c>
      <x:c r="R1416" s="91" t="n">
        <x:v>5204.28</x:v>
      </x:c>
    </x:row>
    <x:row r="1417">
      <x:c r="A1417" s="83" t="n">
        <x:v>1416</x:v>
      </x:c>
      <x:c r="B1417" s="84" t="str">
        <x:v>OS-2023-01416</x:v>
      </x:c>
      <x:c r="C1417" s="84" t="n">
        <x:v>45</x:v>
      </x:c>
      <x:c r="D1417" s="84" t="n">
        <x:v>1</x:v>
      </x:c>
      <x:c r="E1417" s="84" t="n">
        <x:v>89</x:v>
      </x:c>
      <x:c r="F1417" s="89" t="n">
        <x:v>45072.93025462963</x:v>
      </x:c>
      <x:c r="G1417" s="89" t="n">
        <x:v>45075.93025462963</x:v>
      </x:c>
      <x:c r="H1417" s="89" t="n">
        <x:v>45074.88858796296</x:v>
      </x:c>
      <x:c r="I1417" s="89" t="n">
        <x:v>45075.221921296295</x:v>
      </x:c>
      <x:c r="J1417" s="84" t="str">
        <x:v>Alta</x:v>
      </x:c>
      <x:c r="K1417" s="84" t="str">
        <x:v>Encerrada</x:v>
      </x:c>
      <x:c r="L1417" s="84" t="str">
        <x:v>Superaquecimento</x:v>
      </x:c>
      <x:c r="M1417" s="84" t="str">
        <x:v>Ajuste incorreto</x:v>
      </x:c>
      <x:c r="N1417" s="84" t="str">
        <x:v>Componente ajustado ou substituído</x:v>
      </x:c>
      <x:c r="O1417" s="84" t="n">
        <x:v>0</x:v>
      </x:c>
      <x:c r="P1417" s="93" t="n">
        <x:v>423.3</x:v>
      </x:c>
      <x:c r="Q1417" s="93" t="n">
        <x:v>7761.94</x:v>
      </x:c>
      <x:c r="R1417" s="91" t="n">
        <x:v>0</x:v>
      </x:c>
    </x:row>
    <x:row r="1418">
      <x:c r="A1418" s="83" t="n">
        <x:v>1417</x:v>
      </x:c>
      <x:c r="B1418" s="84" t="str">
        <x:v>OS-2025-01417</x:v>
      </x:c>
      <x:c r="C1418" s="84" t="n">
        <x:v>48</x:v>
      </x:c>
      <x:c r="D1418" s="84" t="n">
        <x:v>3</x:v>
      </x:c>
      <x:c r="E1418" s="84"/>
      <x:c r="F1418" s="89" t="n">
        <x:v>45976.177407407406</x:v>
      </x:c>
      <x:c r="G1418" s="89"/>
      <x:c r="H1418" s="89" t="n">
        <x:v>45978.96907407408</x:v>
      </x:c>
      <x:c r="I1418" s="89" t="n">
        <x:v>45979.46907407408</x:v>
      </x:c>
      <x:c r="J1418" s="84" t="str">
        <x:v>Crítica</x:v>
      </x:c>
      <x:c r="K1418" s="84" t="str">
        <x:v>Encerrada</x:v>
      </x:c>
      <x:c r="L1418" s="84" t="str">
        <x:v>Baixa pressão</x:v>
      </x:c>
      <x:c r="M1418" s="84" t="str">
        <x:v>Componente danificado</x:v>
      </x:c>
      <x:c r="N1418" s="84" t="str">
        <x:v>Componente ajustado ou substituído</x:v>
      </x:c>
      <x:c r="O1418" s="84" t="n">
        <x:v>0</x:v>
      </x:c>
      <x:c r="P1418" s="93" t="n">
        <x:v>263.14</x:v>
      </x:c>
      <x:c r="Q1418" s="93" t="n">
        <x:v>4412.34</x:v>
      </x:c>
      <x:c r="R1418" s="91" t="n">
        <x:v>0</x:v>
      </x:c>
    </x:row>
    <x:row r="1419">
      <x:c r="A1419" s="83" t="n">
        <x:v>1418</x:v>
      </x:c>
      <x:c r="B1419" s="84" t="str">
        <x:v>OS-2025-01418</x:v>
      </x:c>
      <x:c r="C1419" s="84" t="n">
        <x:v>66</x:v>
      </x:c>
      <x:c r="D1419" s="84" t="n">
        <x:v>1</x:v>
      </x:c>
      <x:c r="E1419" s="84" t="n">
        <x:v>131</x:v>
      </x:c>
      <x:c r="F1419" s="89" t="n">
        <x:v>45867.651666666665</x:v>
      </x:c>
      <x:c r="G1419" s="89" t="n">
        <x:v>45880.651666666665</x:v>
      </x:c>
      <x:c r="H1419" s="89"/>
      <x:c r="I1419" s="89"/>
      <x:c r="J1419" s="84" t="str">
        <x:v>Alta</x:v>
      </x:c>
      <x:c r="K1419" s="84" t="str">
        <x:v>Planejada</x:v>
      </x:c>
      <x:c r="L1419" s="84" t="str">
        <x:v>Vazamento</x:v>
      </x:c>
      <x:c r="M1419" s="84"/>
      <x:c r="N1419" s="84"/>
      <x:c r="O1419" s="84" t="n">
        <x:v>0</x:v>
      </x:c>
      <x:c r="P1419" s="93" t="n">
        <x:v>0</x:v>
      </x:c>
      <x:c r="Q1419" s="93" t="n">
        <x:v>0</x:v>
      </x:c>
      <x:c r="R1419" s="91" t="n">
        <x:v>0</x:v>
      </x:c>
    </x:row>
    <x:row r="1420">
      <x:c r="A1420" s="83" t="n">
        <x:v>1419</x:v>
      </x:c>
      <x:c r="B1420" s="84" t="str">
        <x:v>OS-2024-01419</x:v>
      </x:c>
      <x:c r="C1420" s="84" t="n">
        <x:v>85</x:v>
      </x:c>
      <x:c r="D1420" s="84" t="n">
        <x:v>3</x:v>
      </x:c>
      <x:c r="E1420" s="84"/>
      <x:c r="F1420" s="89" t="n">
        <x:v>45526.53086805555</x:v>
      </x:c>
      <x:c r="G1420" s="89"/>
      <x:c r="H1420" s="89" t="n">
        <x:v>45529.197534722225</x:v>
      </x:c>
      <x:c r="I1420" s="89" t="n">
        <x:v>45529.697534722225</x:v>
      </x:c>
      <x:c r="J1420" s="84" t="str">
        <x:v>Baixa</x:v>
      </x:c>
      <x:c r="K1420" s="84" t="str">
        <x:v>Concluída</x:v>
      </x:c>
      <x:c r="L1420" s="84" t="str">
        <x:v>Desalinhamento</x:v>
      </x:c>
      <x:c r="M1420" s="84" t="str">
        <x:v>Falta de lubrificação</x:v>
      </x:c>
      <x:c r="N1420" s="84" t="str">
        <x:v>Componente ajustado ou substituído</x:v>
      </x:c>
      <x:c r="O1420" s="84" t="n">
        <x:v>0</x:v>
      </x:c>
      <x:c r="P1420" s="93" t="n">
        <x:v>136.92</x:v>
      </x:c>
      <x:c r="Q1420" s="93" t="n">
        <x:v>5950.56</x:v>
      </x:c>
      <x:c r="R1420" s="91" t="n">
        <x:v>0</x:v>
      </x:c>
    </x:row>
    <x:row r="1421">
      <x:c r="A1421" s="83" t="n">
        <x:v>1420</x:v>
      </x:c>
      <x:c r="B1421" s="84" t="str">
        <x:v>OS-2025-01420</x:v>
      </x:c>
      <x:c r="C1421" s="84" t="n">
        <x:v>72</x:v>
      </x:c>
      <x:c r="D1421" s="84" t="n">
        <x:v>2</x:v>
      </x:c>
      <x:c r="E1421" s="84"/>
      <x:c r="F1421" s="89" t="n">
        <x:v>45879.76211805556</x:v>
      </x:c>
      <x:c r="G1421" s="89" t="n">
        <x:v>45881.76211805556</x:v>
      </x:c>
      <x:c r="H1421" s="89" t="n">
        <x:v>45882.76211805556</x:v>
      </x:c>
      <x:c r="I1421" s="89" t="n">
        <x:v>45883.34545138889</x:v>
      </x:c>
      <x:c r="J1421" s="84" t="str">
        <x:v>Crítica</x:v>
      </x:c>
      <x:c r="K1421" s="84" t="str">
        <x:v>Concluída</x:v>
      </x:c>
      <x:c r="L1421" s="84" t="str">
        <x:v>Alarme intermitente</x:v>
      </x:c>
      <x:c r="M1421" s="84" t="str">
        <x:v>Contaminação</x:v>
      </x:c>
      <x:c r="N1421" s="84" t="str">
        <x:v>Componente ajustado ou substituído</x:v>
      </x:c>
      <x:c r="O1421" s="84" t="n">
        <x:v>0</x:v>
      </x:c>
      <x:c r="P1421" s="93" t="n">
        <x:v>705.79</x:v>
      </x:c>
      <x:c r="Q1421" s="93" t="n">
        <x:v>2358.12</x:v>
      </x:c>
      <x:c r="R1421" s="91" t="n">
        <x:v>0</x:v>
      </x:c>
    </x:row>
    <x:row r="1422">
      <x:c r="A1422" s="83" t="n">
        <x:v>1421</x:v>
      </x:c>
      <x:c r="B1422" s="84" t="str">
        <x:v>OS-2024-01421</x:v>
      </x:c>
      <x:c r="C1422" s="84" t="n">
        <x:v>85</x:v>
      </x:c>
      <x:c r="D1422" s="84" t="n">
        <x:v>1</x:v>
      </x:c>
      <x:c r="E1422" s="84" t="n">
        <x:v>170</x:v>
      </x:c>
      <x:c r="F1422" s="89" t="n">
        <x:v>45518.83491898148</x:v>
      </x:c>
      <x:c r="G1422" s="89" t="n">
        <x:v>45533.83491898148</x:v>
      </x:c>
      <x:c r="H1422" s="89" t="n">
        <x:v>45520.79325231481</x:v>
      </x:c>
      <x:c r="I1422" s="89" t="n">
        <x:v>45521.45991898148</x:v>
      </x:c>
      <x:c r="J1422" s="84" t="str">
        <x:v>Alta</x:v>
      </x:c>
      <x:c r="K1422" s="84" t="str">
        <x:v>Encerrada</x:v>
      </x:c>
      <x:c r="L1422" s="84" t="str">
        <x:v>Baixa pressão</x:v>
      </x:c>
      <x:c r="M1422" s="84" t="str">
        <x:v>Ajuste incorreto</x:v>
      </x:c>
      <x:c r="N1422" s="84" t="str">
        <x:v>Componente ajustado ou substituído</x:v>
      </x:c>
      <x:c r="O1422" s="84" t="n">
        <x:v>0</x:v>
      </x:c>
      <x:c r="P1422" s="93" t="n">
        <x:v>461.76</x:v>
      </x:c>
      <x:c r="Q1422" s="93" t="n">
        <x:v>2430.46</x:v>
      </x:c>
      <x:c r="R1422" s="91" t="n">
        <x:v>4307.6</x:v>
      </x:c>
    </x:row>
    <x:row r="1423">
      <x:c r="A1423" s="83" t="n">
        <x:v>1422</x:v>
      </x:c>
      <x:c r="B1423" s="84" t="str">
        <x:v>OS-2025-01422</x:v>
      </x:c>
      <x:c r="C1423" s="84" t="n">
        <x:v>17</x:v>
      </x:c>
      <x:c r="D1423" s="84" t="n">
        <x:v>5</x:v>
      </x:c>
      <x:c r="E1423" s="84" t="n">
        <x:v>33</x:v>
      </x:c>
      <x:c r="F1423" s="89" t="n">
        <x:v>45705.68505787037</x:v>
      </x:c>
      <x:c r="G1423" s="89" t="n">
        <x:v>45716.68505787037</x:v>
      </x:c>
      <x:c r="H1423" s="89" t="n">
        <x:v>45707.31005787037</x:v>
      </x:c>
      <x:c r="I1423" s="89" t="n">
        <x:v>45707.8933912037</x:v>
      </x:c>
      <x:c r="J1423" s="84" t="str">
        <x:v>Crítica</x:v>
      </x:c>
      <x:c r="K1423" s="84" t="str">
        <x:v>Encerrada</x:v>
      </x:c>
      <x:c r="L1423" s="84" t="str">
        <x:v>Falha elétrica</x:v>
      </x:c>
      <x:c r="M1423" s="84" t="str">
        <x:v>Componente danificado</x:v>
      </x:c>
      <x:c r="N1423" s="84" t="str">
        <x:v>Componente ajustado ou substituído</x:v>
      </x:c>
      <x:c r="O1423" s="84" t="n">
        <x:v>0</x:v>
      </x:c>
      <x:c r="P1423" s="93" t="n">
        <x:v>315.02</x:v>
      </x:c>
      <x:c r="Q1423" s="93" t="n">
        <x:v>7540.71</x:v>
      </x:c>
      <x:c r="R1423" s="91" t="n">
        <x:v>0</x:v>
      </x:c>
    </x:row>
    <x:row r="1424">
      <x:c r="A1424" s="83" t="n">
        <x:v>1423</x:v>
      </x:c>
      <x:c r="B1424" s="84" t="str">
        <x:v>OS-2024-01423</x:v>
      </x:c>
      <x:c r="C1424" s="84" t="n">
        <x:v>38</x:v>
      </x:c>
      <x:c r="D1424" s="84" t="n">
        <x:v>3</x:v>
      </x:c>
      <x:c r="E1424" s="84"/>
      <x:c r="F1424" s="89" t="n">
        <x:v>45330.347546296296</x:v>
      </x:c>
      <x:c r="G1424" s="89"/>
      <x:c r="H1424" s="89" t="n">
        <x:v>45331.13921296296</x:v>
      </x:c>
      <x:c r="I1424" s="89" t="n">
        <x:v>45331.26421296296</x:v>
      </x:c>
      <x:c r="J1424" s="84" t="str">
        <x:v>Média</x:v>
      </x:c>
      <x:c r="K1424" s="84" t="str">
        <x:v>Concluída</x:v>
      </x:c>
      <x:c r="L1424" s="84" t="str">
        <x:v>Falha elétrica</x:v>
      </x:c>
      <x:c r="M1424" s="84" t="str">
        <x:v>Contaminação</x:v>
      </x:c>
      <x:c r="N1424" s="84" t="str">
        <x:v>Componente ajustado ou substituído</x:v>
      </x:c>
      <x:c r="O1424" s="84" t="n">
        <x:v>0</x:v>
      </x:c>
      <x:c r="P1424" s="93" t="n">
        <x:v>500.76</x:v>
      </x:c>
      <x:c r="Q1424" s="93" t="n">
        <x:v>0</x:v>
      </x:c>
      <x:c r="R1424" s="91" t="n">
        <x:v>0</x:v>
      </x:c>
    </x:row>
    <x:row r="1425">
      <x:c r="A1425" s="83" t="n">
        <x:v>1424</x:v>
      </x:c>
      <x:c r="B1425" s="84" t="str">
        <x:v>OS-2025-01424</x:v>
      </x:c>
      <x:c r="C1425" s="84" t="n">
        <x:v>13</x:v>
      </x:c>
      <x:c r="D1425" s="84" t="n">
        <x:v>3</x:v>
      </x:c>
      <x:c r="E1425" s="84"/>
      <x:c r="F1425" s="89" t="n">
        <x:v>45745.32103009259</x:v>
      </x:c>
      <x:c r="G1425" s="89"/>
      <x:c r="H1425" s="89" t="n">
        <x:v>45746.82103009259</x:v>
      </x:c>
      <x:c r="I1425" s="89" t="n">
        <x:v>45747.32103009259</x:v>
      </x:c>
      <x:c r="J1425" s="84" t="str">
        <x:v>Baixa</x:v>
      </x:c>
      <x:c r="K1425" s="84" t="str">
        <x:v>Encerrada</x:v>
      </x:c>
      <x:c r="L1425" s="84" t="str">
        <x:v>Alarme intermitente</x:v>
      </x:c>
      <x:c r="M1425" s="84" t="str">
        <x:v>Componente danificado</x:v>
      </x:c>
      <x:c r="N1425" s="84" t="str">
        <x:v>Componente ajustado ou substituído</x:v>
      </x:c>
      <x:c r="O1425" s="84" t="n">
        <x:v>0</x:v>
      </x:c>
      <x:c r="P1425" s="93" t="n">
        <x:v>677.26</x:v>
      </x:c>
      <x:c r="Q1425" s="93" t="n">
        <x:v>2930.84</x:v>
      </x:c>
      <x:c r="R1425" s="91" t="n">
        <x:v>3066.06</x:v>
      </x:c>
    </x:row>
    <x:row r="1426">
      <x:c r="A1426" s="83" t="n">
        <x:v>1425</x:v>
      </x:c>
      <x:c r="B1426" s="84" t="str">
        <x:v>OS-2025-01425</x:v>
      </x:c>
      <x:c r="C1426" s="84" t="n">
        <x:v>87</x:v>
      </x:c>
      <x:c r="D1426" s="84" t="n">
        <x:v>1</x:v>
      </x:c>
      <x:c r="E1426" s="84" t="n">
        <x:v>173</x:v>
      </x:c>
      <x:c r="F1426" s="89" t="n">
        <x:v>45809.764560185184</x:v>
      </x:c>
      <x:c r="G1426" s="89" t="n">
        <x:v>45813.764560185184</x:v>
      </x:c>
      <x:c r="H1426" s="89" t="n">
        <x:v>45810.09789351852</x:v>
      </x:c>
      <x:c r="I1426" s="89" t="n">
        <x:v>45810.556226851855</x:v>
      </x:c>
      <x:c r="J1426" s="84" t="str">
        <x:v>Alta</x:v>
      </x:c>
      <x:c r="K1426" s="84" t="str">
        <x:v>Concluída</x:v>
      </x:c>
      <x:c r="L1426" s="84" t="str">
        <x:v>Alarme intermitente</x:v>
      </x:c>
      <x:c r="M1426" s="84" t="str">
        <x:v>Contaminação</x:v>
      </x:c>
      <x:c r="N1426" s="84" t="str">
        <x:v>Componente ajustado ou substituído</x:v>
      </x:c>
      <x:c r="O1426" s="84" t="n">
        <x:v>0</x:v>
      </x:c>
      <x:c r="P1426" s="93" t="n">
        <x:v>374.6</x:v>
      </x:c>
      <x:c r="Q1426" s="93" t="n">
        <x:v>4761.58</x:v>
      </x:c>
      <x:c r="R1426" s="91" t="n">
        <x:v>0</x:v>
      </x:c>
    </x:row>
    <x:row r="1427">
      <x:c r="A1427" s="83" t="n">
        <x:v>1426</x:v>
      </x:c>
      <x:c r="B1427" s="84" t="str">
        <x:v>OS-2023-01426</x:v>
      </x:c>
      <x:c r="C1427" s="84" t="n">
        <x:v>52</x:v>
      </x:c>
      <x:c r="D1427" s="84" t="n">
        <x:v>3</x:v>
      </x:c>
      <x:c r="E1427" s="84"/>
      <x:c r="F1427" s="89" t="n">
        <x:v>44979.6983912037</x:v>
      </x:c>
      <x:c r="G1427" s="89"/>
      <x:c r="H1427" s="89" t="n">
        <x:v>44979.78172453704</x:v>
      </x:c>
      <x:c r="I1427" s="89" t="n">
        <x:v>44980.3233912037</x:v>
      </x:c>
      <x:c r="J1427" s="84" t="str">
        <x:v>Baixa</x:v>
      </x:c>
      <x:c r="K1427" s="84" t="str">
        <x:v>Encerrada</x:v>
      </x:c>
      <x:c r="L1427" s="84" t="str">
        <x:v>Baixa pressão</x:v>
      </x:c>
      <x:c r="M1427" s="84" t="str">
        <x:v>Ajuste incorreto</x:v>
      </x:c>
      <x:c r="N1427" s="84" t="str">
        <x:v>Componente ajustado ou substituído</x:v>
      </x:c>
      <x:c r="O1427" s="84" t="n">
        <x:v>0</x:v>
      </x:c>
      <x:c r="P1427" s="93" t="n">
        <x:v>597.73</x:v>
      </x:c>
      <x:c r="Q1427" s="93" t="n">
        <x:v>5802.57</x:v>
      </x:c>
      <x:c r="R1427" s="91" t="n">
        <x:v>0</x:v>
      </x:c>
    </x:row>
    <x:row r="1428">
      <x:c r="A1428" s="83" t="n">
        <x:v>1427</x:v>
      </x:c>
      <x:c r="B1428" s="84" t="str">
        <x:v>OS-2025-01427</x:v>
      </x:c>
      <x:c r="C1428" s="84" t="n">
        <x:v>27</x:v>
      </x:c>
      <x:c r="D1428" s="84" t="n">
        <x:v>3</x:v>
      </x:c>
      <x:c r="E1428" s="84"/>
      <x:c r="F1428" s="89" t="n">
        <x:v>46021.403495370374</x:v>
      </x:c>
      <x:c r="G1428" s="89"/>
      <x:c r="H1428" s="89" t="n">
        <x:v>46021.653495370374</x:v>
      </x:c>
      <x:c r="I1428" s="89" t="n">
        <x:v>46022.028495370374</x:v>
      </x:c>
      <x:c r="J1428" s="84" t="str">
        <x:v>Crítica</x:v>
      </x:c>
      <x:c r="K1428" s="84" t="str">
        <x:v>Encerrada</x:v>
      </x:c>
      <x:c r="L1428" s="84" t="str">
        <x:v>Falha elétrica</x:v>
      </x:c>
      <x:c r="M1428" s="84" t="str">
        <x:v>Desgaste natural</x:v>
      </x:c>
      <x:c r="N1428" s="84" t="str">
        <x:v>Componente ajustado ou substituído</x:v>
      </x:c>
      <x:c r="O1428" s="84" t="n">
        <x:v>0</x:v>
      </x:c>
      <x:c r="P1428" s="93" t="n">
        <x:v>237.35</x:v>
      </x:c>
      <x:c r="Q1428" s="93" t="n">
        <x:v>5348.06</x:v>
      </x:c>
      <x:c r="R1428" s="91" t="n">
        <x:v>0</x:v>
      </x:c>
    </x:row>
    <x:row r="1429">
      <x:c r="A1429" s="83" t="n">
        <x:v>1428</x:v>
      </x:c>
      <x:c r="B1429" s="84" t="str">
        <x:v>OS-2023-01428</x:v>
      </x:c>
      <x:c r="C1429" s="84" t="n">
        <x:v>81</x:v>
      </x:c>
      <x:c r="D1429" s="84" t="n">
        <x:v>1</x:v>
      </x:c>
      <x:c r="E1429" s="84" t="n">
        <x:v>162</x:v>
      </x:c>
      <x:c r="F1429" s="89" t="n">
        <x:v>45192.59648148148</x:v>
      </x:c>
      <x:c r="G1429" s="89" t="n">
        <x:v>45206.59648148148</x:v>
      </x:c>
      <x:c r="H1429" s="89" t="n">
        <x:v>45194.97148148148</x:v>
      </x:c>
      <x:c r="I1429" s="89" t="n">
        <x:v>45195.13814814815</x:v>
      </x:c>
      <x:c r="J1429" s="84" t="str">
        <x:v>Alta</x:v>
      </x:c>
      <x:c r="K1429" s="84" t="str">
        <x:v>Concluída</x:v>
      </x:c>
      <x:c r="L1429" s="84" t="str">
        <x:v>Desalinhamento</x:v>
      </x:c>
      <x:c r="M1429" s="84" t="str">
        <x:v>Falta de lubrificação</x:v>
      </x:c>
      <x:c r="N1429" s="84" t="str">
        <x:v>Componente ajustado ou substituído</x:v>
      </x:c>
      <x:c r="O1429" s="84" t="n">
        <x:v>0</x:v>
      </x:c>
      <x:c r="P1429" s="93" t="n">
        <x:v>499.35</x:v>
      </x:c>
      <x:c r="Q1429" s="93" t="n">
        <x:v>1481.82</x:v>
      </x:c>
      <x:c r="R1429" s="91" t="n">
        <x:v>0</x:v>
      </x:c>
    </x:row>
    <x:row r="1430">
      <x:c r="A1430" s="83" t="n">
        <x:v>1429</x:v>
      </x:c>
      <x:c r="B1430" s="84" t="str">
        <x:v>OS-2024-01429</x:v>
      </x:c>
      <x:c r="C1430" s="84" t="n">
        <x:v>41</x:v>
      </x:c>
      <x:c r="D1430" s="84" t="n">
        <x:v>9</x:v>
      </x:c>
      <x:c r="E1430" s="84"/>
      <x:c r="F1430" s="89" t="n">
        <x:v>45584.4753125</x:v>
      </x:c>
      <x:c r="G1430" s="89" t="n">
        <x:v>45592.4753125</x:v>
      </x:c>
      <x:c r="H1430" s="89" t="n">
        <x:v>45584.89197916666</x:v>
      </x:c>
      <x:c r="I1430" s="89" t="n">
        <x:v>45585.183645833335</x:v>
      </x:c>
      <x:c r="J1430" s="84" t="str">
        <x:v>Baixa</x:v>
      </x:c>
      <x:c r="K1430" s="84" t="str">
        <x:v>Encerrada</x:v>
      </x:c>
      <x:c r="L1430" s="84" t="str">
        <x:v>Alarme intermitente</x:v>
      </x:c>
      <x:c r="M1430" s="84" t="str">
        <x:v>Contaminação</x:v>
      </x:c>
      <x:c r="N1430" s="84" t="str">
        <x:v>Componente ajustado ou substituído</x:v>
      </x:c>
      <x:c r="O1430" s="84" t="n">
        <x:v>0</x:v>
      </x:c>
      <x:c r="P1430" s="93" t="n">
        <x:v>581.41</x:v>
      </x:c>
      <x:c r="Q1430" s="93" t="n">
        <x:v>10599.18</x:v>
      </x:c>
      <x:c r="R1430" s="91" t="n">
        <x:v>0</x:v>
      </x:c>
    </x:row>
    <x:row r="1431">
      <x:c r="A1431" s="83" t="n">
        <x:v>1430</x:v>
      </x:c>
      <x:c r="B1431" s="84" t="str">
        <x:v>OS-2025-01430</x:v>
      </x:c>
      <x:c r="C1431" s="84" t="n">
        <x:v>25</x:v>
      </x:c>
      <x:c r="D1431" s="84" t="n">
        <x:v>2</x:v>
      </x:c>
      <x:c r="E1431" s="84"/>
      <x:c r="F1431" s="89" t="n">
        <x:v>45898.29797453704</x:v>
      </x:c>
      <x:c r="G1431" s="89" t="n">
        <x:v>45904.29797453704</x:v>
      </x:c>
      <x:c r="H1431" s="89" t="n">
        <x:v>45900.67297453704</x:v>
      </x:c>
      <x:c r="I1431" s="89"/>
      <x:c r="J1431" s="84" t="str">
        <x:v>Baixa</x:v>
      </x:c>
      <x:c r="K1431" s="84" t="str">
        <x:v>Aguardando peça</x:v>
      </x:c>
      <x:c r="L1431" s="84" t="str">
        <x:v>Superaquecimento</x:v>
      </x:c>
      <x:c r="M1431" s="84" t="str">
        <x:v>Ajuste incorreto</x:v>
      </x:c>
      <x:c r="N1431" s="84"/>
      <x:c r="O1431" s="84" t="n">
        <x:v>1</x:v>
      </x:c>
      <x:c r="P1431" s="93" t="n">
        <x:v>882.55</x:v>
      </x:c>
      <x:c r="Q1431" s="93" t="n">
        <x:v>769.54</x:v>
      </x:c>
      <x:c r="R1431" s="91" t="n">
        <x:v>0</x:v>
      </x:c>
    </x:row>
    <x:row r="1432">
      <x:c r="A1432" s="83" t="n">
        <x:v>1431</x:v>
      </x:c>
      <x:c r="B1432" s="84" t="str">
        <x:v>OS-2025-01431</x:v>
      </x:c>
      <x:c r="C1432" s="84" t="n">
        <x:v>18</x:v>
      </x:c>
      <x:c r="D1432" s="84" t="n">
        <x:v>2</x:v>
      </x:c>
      <x:c r="E1432" s="84"/>
      <x:c r="F1432" s="89" t="n">
        <x:v>45767.813310185185</x:v>
      </x:c>
      <x:c r="G1432" s="89" t="n">
        <x:v>45769.813310185185</x:v>
      </x:c>
      <x:c r="H1432" s="89" t="n">
        <x:v>45769.10497685185</x:v>
      </x:c>
      <x:c r="I1432" s="89" t="n">
        <x:v>45769.39664351852</x:v>
      </x:c>
      <x:c r="J1432" s="84" t="str">
        <x:v>Alta</x:v>
      </x:c>
      <x:c r="K1432" s="84" t="str">
        <x:v>Encerrada</x:v>
      </x:c>
      <x:c r="L1432" s="84" t="str">
        <x:v>Alarme intermitente</x:v>
      </x:c>
      <x:c r="M1432" s="84" t="str">
        <x:v>Contaminação</x:v>
      </x:c>
      <x:c r="N1432" s="84" t="str">
        <x:v>Componente ajustado ou substituído</x:v>
      </x:c>
      <x:c r="O1432" s="84" t="n">
        <x:v>0</x:v>
      </x:c>
      <x:c r="P1432" s="93" t="n">
        <x:v>165.85</x:v>
      </x:c>
      <x:c r="Q1432" s="93" t="n">
        <x:v>4393.46</x:v>
      </x:c>
      <x:c r="R1432" s="91" t="n">
        <x:v>0</x:v>
      </x:c>
    </x:row>
    <x:row r="1433">
      <x:c r="A1433" s="83" t="n">
        <x:v>1432</x:v>
      </x:c>
      <x:c r="B1433" s="84" t="str">
        <x:v>OS-2024-01432</x:v>
      </x:c>
      <x:c r="C1433" s="84" t="n">
        <x:v>14</x:v>
      </x:c>
      <x:c r="D1433" s="84" t="n">
        <x:v>1</x:v>
      </x:c>
      <x:c r="E1433" s="84" t="n">
        <x:v>28</x:v>
      </x:c>
      <x:c r="F1433" s="89" t="n">
        <x:v>45399.9137962963</x:v>
      </x:c>
      <x:c r="G1433" s="89" t="n">
        <x:v>45404.9137962963</x:v>
      </x:c>
      <x:c r="H1433" s="89" t="n">
        <x:v>45400.5387962963</x:v>
      </x:c>
      <x:c r="I1433" s="89" t="n">
        <x:v>45400.7887962963</x:v>
      </x:c>
      <x:c r="J1433" s="84" t="str">
        <x:v>Média</x:v>
      </x:c>
      <x:c r="K1433" s="84" t="str">
        <x:v>Encerrada</x:v>
      </x:c>
      <x:c r="L1433" s="84" t="str">
        <x:v>Alarme intermitente</x:v>
      </x:c>
      <x:c r="M1433" s="84" t="str">
        <x:v>Conexão frouxa</x:v>
      </x:c>
      <x:c r="N1433" s="84" t="str">
        <x:v>Componente ajustado ou substituído</x:v>
      </x:c>
      <x:c r="O1433" s="84" t="n">
        <x:v>0</x:v>
      </x:c>
      <x:c r="P1433" s="93" t="n">
        <x:v>186.3</x:v>
      </x:c>
      <x:c r="Q1433" s="93" t="n">
        <x:v>7255.16</x:v>
      </x:c>
      <x:c r="R1433" s="91" t="n">
        <x:v>0</x:v>
      </x:c>
    </x:row>
    <x:row r="1434">
      <x:c r="A1434" s="83" t="n">
        <x:v>1433</x:v>
      </x:c>
      <x:c r="B1434" s="84" t="str">
        <x:v>OS-2023-01433</x:v>
      </x:c>
      <x:c r="C1434" s="84" t="n">
        <x:v>2</x:v>
      </x:c>
      <x:c r="D1434" s="84" t="n">
        <x:v>3</x:v>
      </x:c>
      <x:c r="E1434" s="84"/>
      <x:c r="F1434" s="89" t="n">
        <x:v>45213.42159722222</x:v>
      </x:c>
      <x:c r="G1434" s="89"/>
      <x:c r="H1434" s="89" t="n">
        <x:v>45215.96326388889</x:v>
      </x:c>
      <x:c r="I1434" s="89" t="n">
        <x:v>45216.29659722222</x:v>
      </x:c>
      <x:c r="J1434" s="84" t="str">
        <x:v>Média</x:v>
      </x:c>
      <x:c r="K1434" s="84" t="str">
        <x:v>Encerrada</x:v>
      </x:c>
      <x:c r="L1434" s="84" t="str">
        <x:v>Baixa pressão</x:v>
      </x:c>
      <x:c r="M1434" s="84" t="str">
        <x:v>Falta de lubrificação</x:v>
      </x:c>
      <x:c r="N1434" s="84" t="str">
        <x:v>Componente ajustado ou substituído</x:v>
      </x:c>
      <x:c r="O1434" s="84" t="n">
        <x:v>0</x:v>
      </x:c>
      <x:c r="P1434" s="93" t="n">
        <x:v>235.76</x:v>
      </x:c>
      <x:c r="Q1434" s="93" t="n">
        <x:v>8788.86</x:v>
      </x:c>
      <x:c r="R1434" s="91" t="n">
        <x:v>0</x:v>
      </x:c>
    </x:row>
    <x:row r="1435">
      <x:c r="A1435" s="83" t="n">
        <x:v>1434</x:v>
      </x:c>
      <x:c r="B1435" s="84" t="str">
        <x:v>OS-2023-01434</x:v>
      </x:c>
      <x:c r="C1435" s="84" t="n">
        <x:v>81</x:v>
      </x:c>
      <x:c r="D1435" s="84" t="n">
        <x:v>1</x:v>
      </x:c>
      <x:c r="E1435" s="84" t="n">
        <x:v>161</x:v>
      </x:c>
      <x:c r="F1435" s="89" t="n">
        <x:v>45060.6541087963</x:v>
      </x:c>
      <x:c r="G1435" s="89" t="n">
        <x:v>45072.6541087963</x:v>
      </x:c>
      <x:c r="H1435" s="89" t="n">
        <x:v>45061.5291087963</x:v>
      </x:c>
      <x:c r="I1435" s="89" t="n">
        <x:v>45062.1541087963</x:v>
      </x:c>
      <x:c r="J1435" s="84" t="str">
        <x:v>Baixa</x:v>
      </x:c>
      <x:c r="K1435" s="84" t="str">
        <x:v>Encerrada</x:v>
      </x:c>
      <x:c r="L1435" s="84" t="str">
        <x:v>Vazamento</x:v>
      </x:c>
      <x:c r="M1435" s="84" t="str">
        <x:v>Contaminação</x:v>
      </x:c>
      <x:c r="N1435" s="84" t="str">
        <x:v>Componente ajustado ou substituído</x:v>
      </x:c>
      <x:c r="O1435" s="84" t="n">
        <x:v>0</x:v>
      </x:c>
      <x:c r="P1435" s="93" t="n">
        <x:v>465.88</x:v>
      </x:c>
      <x:c r="Q1435" s="93" t="n">
        <x:v>6863.97</x:v>
      </x:c>
      <x:c r="R1435" s="91" t="n">
        <x:v>0</x:v>
      </x:c>
    </x:row>
    <x:row r="1436">
      <x:c r="A1436" s="83" t="n">
        <x:v>1435</x:v>
      </x:c>
      <x:c r="B1436" s="84" t="str">
        <x:v>OS-2023-01435</x:v>
      </x:c>
      <x:c r="C1436" s="84" t="n">
        <x:v>89</x:v>
      </x:c>
      <x:c r="D1436" s="84" t="n">
        <x:v>1</x:v>
      </x:c>
      <x:c r="E1436" s="84" t="n">
        <x:v>177</x:v>
      </x:c>
      <x:c r="F1436" s="89" t="n">
        <x:v>45044.526724537034</x:v>
      </x:c>
      <x:c r="G1436" s="89" t="n">
        <x:v>45053.526724537034</x:v>
      </x:c>
      <x:c r="H1436" s="89" t="n">
        <x:v>45045.818391203706</x:v>
      </x:c>
      <x:c r="I1436" s="89" t="n">
        <x:v>45046.401724537034</x:v>
      </x:c>
      <x:c r="J1436" s="84" t="str">
        <x:v>Alta</x:v>
      </x:c>
      <x:c r="K1436" s="84" t="str">
        <x:v>Encerrada</x:v>
      </x:c>
      <x:c r="L1436" s="84" t="str">
        <x:v>Alarme intermitente</x:v>
      </x:c>
      <x:c r="M1436" s="84" t="str">
        <x:v>Componente danificado</x:v>
      </x:c>
      <x:c r="N1436" s="84" t="str">
        <x:v>Componente ajustado ou substituído</x:v>
      </x:c>
      <x:c r="O1436" s="84" t="n">
        <x:v>0</x:v>
      </x:c>
      <x:c r="P1436" s="93" t="n">
        <x:v>138</x:v>
      </x:c>
      <x:c r="Q1436" s="93" t="n">
        <x:v>6408.74</x:v>
      </x:c>
      <x:c r="R1436" s="91" t="n">
        <x:v>0</x:v>
      </x:c>
    </x:row>
    <x:row r="1437">
      <x:c r="A1437" s="83" t="n">
        <x:v>1436</x:v>
      </x:c>
      <x:c r="B1437" s="84" t="str">
        <x:v>OS-2024-01436</x:v>
      </x:c>
      <x:c r="C1437" s="84" t="n">
        <x:v>36</x:v>
      </x:c>
      <x:c r="D1437" s="84" t="n">
        <x:v>4</x:v>
      </x:c>
      <x:c r="E1437" s="84"/>
      <x:c r="F1437" s="89" t="n">
        <x:v>45412.078564814816</x:v>
      </x:c>
      <x:c r="G1437" s="89" t="n">
        <x:v>45416.078564814816</x:v>
      </x:c>
      <x:c r="H1437" s="89" t="n">
        <x:v>45413.66189814815</x:v>
      </x:c>
      <x:c r="I1437" s="89" t="n">
        <x:v>45414.37023148148</x:v>
      </x:c>
      <x:c r="J1437" s="84" t="str">
        <x:v>Baixa</x:v>
      </x:c>
      <x:c r="K1437" s="84" t="str">
        <x:v>Encerrada</x:v>
      </x:c>
      <x:c r="L1437" s="84" t="str">
        <x:v>Superaquecimento</x:v>
      </x:c>
      <x:c r="M1437" s="84" t="str">
        <x:v>Desgaste natural</x:v>
      </x:c>
      <x:c r="N1437" s="84" t="str">
        <x:v>Componente ajustado ou substituído</x:v>
      </x:c>
      <x:c r="O1437" s="84" t="n">
        <x:v>0</x:v>
      </x:c>
      <x:c r="P1437" s="93" t="n">
        <x:v>355</x:v>
      </x:c>
      <x:c r="Q1437" s="93" t="n">
        <x:v>0</x:v>
      </x:c>
      <x:c r="R1437" s="91" t="n">
        <x:v>0</x:v>
      </x:c>
    </x:row>
    <x:row r="1438">
      <x:c r="A1438" s="83" t="n">
        <x:v>1437</x:v>
      </x:c>
      <x:c r="B1438" s="84" t="str">
        <x:v>OS-2025-01437</x:v>
      </x:c>
      <x:c r="C1438" s="84" t="n">
        <x:v>24</x:v>
      </x:c>
      <x:c r="D1438" s="84" t="n">
        <x:v>3</x:v>
      </x:c>
      <x:c r="E1438" s="84"/>
      <x:c r="F1438" s="89" t="n">
        <x:v>45850.09386574074</x:v>
      </x:c>
      <x:c r="G1438" s="89"/>
      <x:c r="H1438" s="89"/>
      <x:c r="I1438" s="89"/>
      <x:c r="J1438" s="84" t="str">
        <x:v>Média</x:v>
      </x:c>
      <x:c r="K1438" s="84" t="str">
        <x:v>Planejada</x:v>
      </x:c>
      <x:c r="L1438" s="84" t="str">
        <x:v>Superaquecimento</x:v>
      </x:c>
      <x:c r="M1438" s="84"/>
      <x:c r="N1438" s="84"/>
      <x:c r="O1438" s="84" t="n">
        <x:v>0</x:v>
      </x:c>
      <x:c r="P1438" s="93" t="n">
        <x:v>0</x:v>
      </x:c>
      <x:c r="Q1438" s="93" t="n">
        <x:v>0</x:v>
      </x:c>
      <x:c r="R1438" s="91" t="n">
        <x:v>0</x:v>
      </x:c>
    </x:row>
    <x:row r="1439">
      <x:c r="A1439" s="83" t="n">
        <x:v>1438</x:v>
      </x:c>
      <x:c r="B1439" s="84" t="str">
        <x:v>OS-2024-01438</x:v>
      </x:c>
      <x:c r="C1439" s="84" t="n">
        <x:v>80</x:v>
      </x:c>
      <x:c r="D1439" s="84" t="n">
        <x:v>3</x:v>
      </x:c>
      <x:c r="E1439" s="84"/>
      <x:c r="F1439" s="89" t="n">
        <x:v>45547.248611111114</x:v>
      </x:c>
      <x:c r="G1439" s="89"/>
      <x:c r="H1439" s="89" t="n">
        <x:v>45547.54027777778</x:v>
      </x:c>
      <x:c r="I1439" s="89" t="n">
        <x:v>45548.29027777778</x:v>
      </x:c>
      <x:c r="J1439" s="84" t="str">
        <x:v>Alta</x:v>
      </x:c>
      <x:c r="K1439" s="84" t="str">
        <x:v>Concluída</x:v>
      </x:c>
      <x:c r="L1439" s="84" t="str">
        <x:v>Falha elétrica</x:v>
      </x:c>
      <x:c r="M1439" s="84" t="str">
        <x:v>Conexão frouxa</x:v>
      </x:c>
      <x:c r="N1439" s="84" t="str">
        <x:v>Componente ajustado ou substituído</x:v>
      </x:c>
      <x:c r="O1439" s="84" t="n">
        <x:v>0</x:v>
      </x:c>
      <x:c r="P1439" s="93" t="n">
        <x:v>359.24</x:v>
      </x:c>
      <x:c r="Q1439" s="93" t="n">
        <x:v>0</x:v>
      </x:c>
      <x:c r="R1439" s="91" t="n">
        <x:v>0</x:v>
      </x:c>
    </x:row>
    <x:row r="1440">
      <x:c r="A1440" s="83" t="n">
        <x:v>1439</x:v>
      </x:c>
      <x:c r="B1440" s="84" t="str">
        <x:v>OS-2025-01439</x:v>
      </x:c>
      <x:c r="C1440" s="84" t="n">
        <x:v>42</x:v>
      </x:c>
      <x:c r="D1440" s="84" t="n">
        <x:v>1</x:v>
      </x:c>
      <x:c r="E1440" s="84" t="n">
        <x:v>84</x:v>
      </x:c>
      <x:c r="F1440" s="89" t="n">
        <x:v>45960.720555555556</x:v>
      </x:c>
      <x:c r="G1440" s="89" t="n">
        <x:v>45965.720555555556</x:v>
      </x:c>
      <x:c r="H1440" s="89" t="n">
        <x:v>45961.92888888889</x:v>
      </x:c>
      <x:c r="I1440" s="89" t="n">
        <x:v>45962.17888888889</x:v>
      </x:c>
      <x:c r="J1440" s="84" t="str">
        <x:v>Crítica</x:v>
      </x:c>
      <x:c r="K1440" s="84" t="str">
        <x:v>Encerrada</x:v>
      </x:c>
      <x:c r="L1440" s="84" t="str">
        <x:v>Falha elétrica</x:v>
      </x:c>
      <x:c r="M1440" s="84" t="str">
        <x:v>Componente danificado</x:v>
      </x:c>
      <x:c r="N1440" s="84" t="str">
        <x:v>Componente ajustado ou substituído</x:v>
      </x:c>
      <x:c r="O1440" s="84" t="n">
        <x:v>0</x:v>
      </x:c>
      <x:c r="P1440" s="93" t="n">
        <x:v>528.5</x:v>
      </x:c>
      <x:c r="Q1440" s="93" t="n">
        <x:v>8771.65</x:v>
      </x:c>
      <x:c r="R1440" s="91" t="n">
        <x:v>0</x:v>
      </x:c>
    </x:row>
    <x:row r="1441">
      <x:c r="A1441" s="83" t="n">
        <x:v>1440</x:v>
      </x:c>
      <x:c r="B1441" s="84" t="str">
        <x:v>OS-2024-01440</x:v>
      </x:c>
      <x:c r="C1441" s="84" t="n">
        <x:v>20</x:v>
      </x:c>
      <x:c r="D1441" s="84" t="n">
        <x:v>1</x:v>
      </x:c>
      <x:c r="E1441" s="84" t="n">
        <x:v>39</x:v>
      </x:c>
      <x:c r="F1441" s="89" t="n">
        <x:v>45359.117372685185</x:v>
      </x:c>
      <x:c r="G1441" s="89" t="n">
        <x:v>45374.117372685185</x:v>
      </x:c>
      <x:c r="H1441" s="89"/>
      <x:c r="I1441" s="89"/>
      <x:c r="J1441" s="84" t="str">
        <x:v>Média</x:v>
      </x:c>
      <x:c r="K1441" s="84" t="str">
        <x:v>Planejada</x:v>
      </x:c>
      <x:c r="L1441" s="84" t="str">
        <x:v>Baixa pressão</x:v>
      </x:c>
      <x:c r="M1441" s="84"/>
      <x:c r="N1441" s="84"/>
      <x:c r="O1441" s="84" t="n">
        <x:v>0</x:v>
      </x:c>
      <x:c r="P1441" s="93" t="n">
        <x:v>0</x:v>
      </x:c>
      <x:c r="Q1441" s="93" t="n">
        <x:v>0</x:v>
      </x:c>
      <x:c r="R1441" s="91" t="n">
        <x:v>0</x:v>
      </x:c>
    </x:row>
    <x:row r="1442">
      <x:c r="A1442" s="83" t="n">
        <x:v>1441</x:v>
      </x:c>
      <x:c r="B1442" s="84" t="str">
        <x:v>OS-2023-01441</x:v>
      </x:c>
      <x:c r="C1442" s="84" t="n">
        <x:v>71</x:v>
      </x:c>
      <x:c r="D1442" s="84" t="n">
        <x:v>3</x:v>
      </x:c>
      <x:c r="E1442" s="84"/>
      <x:c r="F1442" s="89" t="n">
        <x:v>45068.40721064815</x:v>
      </x:c>
      <x:c r="G1442" s="89"/>
      <x:c r="H1442" s="89" t="n">
        <x:v>45070.82387731481</x:v>
      </x:c>
      <x:c r="I1442" s="89" t="n">
        <x:v>45071.15721064815</x:v>
      </x:c>
      <x:c r="J1442" s="84" t="str">
        <x:v>Média</x:v>
      </x:c>
      <x:c r="K1442" s="84" t="str">
        <x:v>Encerrada</x:v>
      </x:c>
      <x:c r="L1442" s="84" t="str">
        <x:v>Ruído anormal</x:v>
      </x:c>
      <x:c r="M1442" s="84" t="str">
        <x:v>Ajuste incorreto</x:v>
      </x:c>
      <x:c r="N1442" s="84" t="str">
        <x:v>Componente ajustado ou substituído</x:v>
      </x:c>
      <x:c r="O1442" s="84" t="n">
        <x:v>0</x:v>
      </x:c>
      <x:c r="P1442" s="93" t="n">
        <x:v>481.83</x:v>
      </x:c>
      <x:c r="Q1442" s="93" t="n">
        <x:v>11874.08</x:v>
      </x:c>
      <x:c r="R1442" s="91" t="n">
        <x:v>0</x:v>
      </x:c>
    </x:row>
    <x:row r="1443">
      <x:c r="A1443" s="83" t="n">
        <x:v>1442</x:v>
      </x:c>
      <x:c r="B1443" s="84" t="str">
        <x:v>OS-2024-01442</x:v>
      </x:c>
      <x:c r="C1443" s="84" t="n">
        <x:v>38</x:v>
      </x:c>
      <x:c r="D1443" s="84" t="n">
        <x:v>2</x:v>
      </x:c>
      <x:c r="E1443" s="84"/>
      <x:c r="F1443" s="89" t="n">
        <x:v>45331.725752314815</x:v>
      </x:c>
      <x:c r="G1443" s="89" t="n">
        <x:v>45342.725752314815</x:v>
      </x:c>
      <x:c r="H1443" s="89" t="n">
        <x:v>45332.55908564815</x:v>
      </x:c>
      <x:c r="I1443" s="89" t="n">
        <x:v>45333.225752314815</x:v>
      </x:c>
      <x:c r="J1443" s="84" t="str">
        <x:v>Baixa</x:v>
      </x:c>
      <x:c r="K1443" s="84" t="str">
        <x:v>Encerrada</x:v>
      </x:c>
      <x:c r="L1443" s="84" t="str">
        <x:v>Desalinhamento</x:v>
      </x:c>
      <x:c r="M1443" s="84" t="str">
        <x:v>Contaminação</x:v>
      </x:c>
      <x:c r="N1443" s="84" t="str">
        <x:v>Componente ajustado ou substituído</x:v>
      </x:c>
      <x:c r="O1443" s="84" t="n">
        <x:v>0</x:v>
      </x:c>
      <x:c r="P1443" s="93" t="n">
        <x:v>669.89</x:v>
      </x:c>
      <x:c r="Q1443" s="93" t="n">
        <x:v>0</x:v>
      </x:c>
      <x:c r="R1443" s="91" t="n">
        <x:v>0</x:v>
      </x:c>
    </x:row>
    <x:row r="1444">
      <x:c r="A1444" s="83" t="n">
        <x:v>1443</x:v>
      </x:c>
      <x:c r="B1444" s="84" t="str">
        <x:v>OS-2025-01443</x:v>
      </x:c>
      <x:c r="C1444" s="84" t="n">
        <x:v>58</x:v>
      </x:c>
      <x:c r="D1444" s="84" t="n">
        <x:v>1</x:v>
      </x:c>
      <x:c r="E1444" s="84" t="n">
        <x:v>115</x:v>
      </x:c>
      <x:c r="F1444" s="89" t="n">
        <x:v>45964.89261574074</x:v>
      </x:c>
      <x:c r="G1444" s="89" t="n">
        <x:v>45965.89261574074</x:v>
      </x:c>
      <x:c r="H1444" s="89" t="n">
        <x:v>45966.600949074076</x:v>
      </x:c>
      <x:c r="I1444" s="89"/>
      <x:c r="J1444" s="84" t="str">
        <x:v>Média</x:v>
      </x:c>
      <x:c r="K1444" s="84" t="str">
        <x:v>Aguardando peça</x:v>
      </x:c>
      <x:c r="L1444" s="84" t="str">
        <x:v>Alarme intermitente</x:v>
      </x:c>
      <x:c r="M1444" s="84" t="str">
        <x:v>Componente danificado</x:v>
      </x:c>
      <x:c r="N1444" s="84"/>
      <x:c r="O1444" s="84" t="n">
        <x:v>0</x:v>
      </x:c>
      <x:c r="P1444" s="93" t="n">
        <x:v>395.02</x:v>
      </x:c>
      <x:c r="Q1444" s="93" t="n">
        <x:v>5321</x:v>
      </x:c>
      <x:c r="R1444" s="91" t="n">
        <x:v>0</x:v>
      </x:c>
    </x:row>
    <x:row r="1445">
      <x:c r="A1445" s="83" t="n">
        <x:v>1444</x:v>
      </x:c>
      <x:c r="B1445" s="84" t="str">
        <x:v>OS-2025-01444</x:v>
      </x:c>
      <x:c r="C1445" s="84" t="n">
        <x:v>20</x:v>
      </x:c>
      <x:c r="D1445" s="84" t="n">
        <x:v>5</x:v>
      </x:c>
      <x:c r="E1445" s="84" t="n">
        <x:v>39</x:v>
      </x:c>
      <x:c r="F1445" s="89" t="n">
        <x:v>45872.15697916667</x:v>
      </x:c>
      <x:c r="G1445" s="89" t="n">
        <x:v>45884.15697916667</x:v>
      </x:c>
      <x:c r="H1445" s="89" t="n">
        <x:v>45872.2403125</x:v>
      </x:c>
      <x:c r="I1445" s="89" t="n">
        <x:v>45872.9903125</x:v>
      </x:c>
      <x:c r="J1445" s="84" t="str">
        <x:v>Baixa</x:v>
      </x:c>
      <x:c r="K1445" s="84" t="str">
        <x:v>Concluída</x:v>
      </x:c>
      <x:c r="L1445" s="84" t="str">
        <x:v>Alarme intermitente</x:v>
      </x:c>
      <x:c r="M1445" s="84" t="str">
        <x:v>Componente danificado</x:v>
      </x:c>
      <x:c r="N1445" s="84" t="str">
        <x:v>Componente ajustado ou substituído</x:v>
      </x:c>
      <x:c r="O1445" s="84" t="n">
        <x:v>0</x:v>
      </x:c>
      <x:c r="P1445" s="93" t="n">
        <x:v>647.82</x:v>
      </x:c>
      <x:c r="Q1445" s="93" t="n">
        <x:v>2633.07</x:v>
      </x:c>
      <x:c r="R1445" s="91" t="n">
        <x:v>0</x:v>
      </x:c>
    </x:row>
    <x:row r="1446">
      <x:c r="A1446" s="83" t="n">
        <x:v>1445</x:v>
      </x:c>
      <x:c r="B1446" s="84" t="str">
        <x:v>OS-2024-01445</x:v>
      </x:c>
      <x:c r="C1446" s="84" t="n">
        <x:v>84</x:v>
      </x:c>
      <x:c r="D1446" s="84" t="n">
        <x:v>1</x:v>
      </x:c>
      <x:c r="E1446" s="84" t="n">
        <x:v>168</x:v>
      </x:c>
      <x:c r="F1446" s="89" t="n">
        <x:v>45581.16875</x:v>
      </x:c>
      <x:c r="G1446" s="89" t="n">
        <x:v>45584.16875</x:v>
      </x:c>
      <x:c r="H1446" s="89"/>
      <x:c r="I1446" s="89"/>
      <x:c r="J1446" s="84" t="str">
        <x:v>Alta</x:v>
      </x:c>
      <x:c r="K1446" s="84" t="str">
        <x:v>Planejada</x:v>
      </x:c>
      <x:c r="L1446" s="84" t="str">
        <x:v>Baixa pressão</x:v>
      </x:c>
      <x:c r="M1446" s="84"/>
      <x:c r="N1446" s="84"/>
      <x:c r="O1446" s="84" t="n">
        <x:v>0</x:v>
      </x:c>
      <x:c r="P1446" s="93" t="n">
        <x:v>0</x:v>
      </x:c>
      <x:c r="Q1446" s="93" t="n">
        <x:v>0</x:v>
      </x:c>
      <x:c r="R1446" s="91" t="n">
        <x:v>0</x:v>
      </x:c>
    </x:row>
    <x:row r="1447">
      <x:c r="A1447" s="83" t="n">
        <x:v>1446</x:v>
      </x:c>
      <x:c r="B1447" s="84" t="str">
        <x:v>OS-2023-01446</x:v>
      </x:c>
      <x:c r="C1447" s="84" t="n">
        <x:v>80</x:v>
      </x:c>
      <x:c r="D1447" s="84" t="n">
        <x:v>6</x:v>
      </x:c>
      <x:c r="E1447" s="84"/>
      <x:c r="F1447" s="89" t="n">
        <x:v>44990.653449074074</x:v>
      </x:c>
      <x:c r="G1447" s="89" t="n">
        <x:v>45003.653449074074</x:v>
      </x:c>
      <x:c r="H1447" s="89" t="n">
        <x:v>44993.528449074074</x:v>
      </x:c>
      <x:c r="I1447" s="89" t="n">
        <x:v>44994.07011574074</x:v>
      </x:c>
      <x:c r="J1447" s="84" t="str">
        <x:v>Baixa</x:v>
      </x:c>
      <x:c r="K1447" s="84" t="str">
        <x:v>Encerrada</x:v>
      </x:c>
      <x:c r="L1447" s="84" t="str">
        <x:v>Alarme intermitente</x:v>
      </x:c>
      <x:c r="M1447" s="84" t="str">
        <x:v>Desgaste natural</x:v>
      </x:c>
      <x:c r="N1447" s="84" t="str">
        <x:v>Componente ajustado ou substituído</x:v>
      </x:c>
      <x:c r="O1447" s="84" t="n">
        <x:v>0</x:v>
      </x:c>
      <x:c r="P1447" s="93" t="n">
        <x:v>112.54</x:v>
      </x:c>
      <x:c r="Q1447" s="93" t="n">
        <x:v>12393.18</x:v>
      </x:c>
      <x:c r="R1447" s="91" t="n">
        <x:v>13489.24</x:v>
      </x:c>
    </x:row>
    <x:row r="1448">
      <x:c r="A1448" s="83" t="n">
        <x:v>1447</x:v>
      </x:c>
      <x:c r="B1448" s="84" t="str">
        <x:v>OS-2024-01447</x:v>
      </x:c>
      <x:c r="C1448" s="84" t="n">
        <x:v>12</x:v>
      </x:c>
      <x:c r="D1448" s="84" t="n">
        <x:v>8</x:v>
      </x:c>
      <x:c r="E1448" s="84"/>
      <x:c r="F1448" s="89" t="n">
        <x:v>45446.047627314816</x:v>
      </x:c>
      <x:c r="G1448" s="89" t="n">
        <x:v>45454.047627314816</x:v>
      </x:c>
      <x:c r="H1448" s="89" t="n">
        <x:v>45448.255960648145</x:v>
      </x:c>
      <x:c r="I1448" s="89" t="n">
        <x:v>45449.005960648145</x:v>
      </x:c>
      <x:c r="J1448" s="84" t="str">
        <x:v>Média</x:v>
      </x:c>
      <x:c r="K1448" s="84" t="str">
        <x:v>Encerrada</x:v>
      </x:c>
      <x:c r="L1448" s="84" t="str">
        <x:v>Desalinhamento</x:v>
      </x:c>
      <x:c r="M1448" s="84" t="str">
        <x:v>Falta de lubrificação</x:v>
      </x:c>
      <x:c r="N1448" s="84" t="str">
        <x:v>Componente ajustado ou substituído</x:v>
      </x:c>
      <x:c r="O1448" s="84" t="n">
        <x:v>0</x:v>
      </x:c>
      <x:c r="P1448" s="93" t="n">
        <x:v>98.66</x:v>
      </x:c>
      <x:c r="Q1448" s="93" t="n">
        <x:v>0</x:v>
      </x:c>
      <x:c r="R1448" s="91" t="n">
        <x:v>0</x:v>
      </x:c>
    </x:row>
    <x:row r="1449">
      <x:c r="A1449" s="83" t="n">
        <x:v>1448</x:v>
      </x:c>
      <x:c r="B1449" s="84" t="str">
        <x:v>OS-2023-01448</x:v>
      </x:c>
      <x:c r="C1449" s="84" t="n">
        <x:v>51</x:v>
      </x:c>
      <x:c r="D1449" s="84" t="n">
        <x:v>3</x:v>
      </x:c>
      <x:c r="E1449" s="84"/>
      <x:c r="F1449" s="89" t="n">
        <x:v>45140.036157407405</x:v>
      </x:c>
      <x:c r="G1449" s="89"/>
      <x:c r="H1449" s="89" t="n">
        <x:v>45141.161157407405</x:v>
      </x:c>
      <x:c r="I1449" s="89" t="n">
        <x:v>45141.74449074074</x:v>
      </x:c>
      <x:c r="J1449" s="84" t="str">
        <x:v>Baixa</x:v>
      </x:c>
      <x:c r="K1449" s="84" t="str">
        <x:v>Encerrada</x:v>
      </x:c>
      <x:c r="L1449" s="84" t="str">
        <x:v>Ruído anormal</x:v>
      </x:c>
      <x:c r="M1449" s="84" t="str">
        <x:v>Conexão frouxa</x:v>
      </x:c>
      <x:c r="N1449" s="84" t="str">
        <x:v>Componente ajustado ou substituído</x:v>
      </x:c>
      <x:c r="O1449" s="84" t="n">
        <x:v>0</x:v>
      </x:c>
      <x:c r="P1449" s="93" t="n">
        <x:v>686.06</x:v>
      </x:c>
      <x:c r="Q1449" s="93" t="n">
        <x:v>0</x:v>
      </x:c>
      <x:c r="R1449" s="91" t="n">
        <x:v>631.35</x:v>
      </x:c>
    </x:row>
    <x:row r="1450">
      <x:c r="A1450" s="83" t="n">
        <x:v>1449</x:v>
      </x:c>
      <x:c r="B1450" s="84" t="str">
        <x:v>OS-2023-01449</x:v>
      </x:c>
      <x:c r="C1450" s="84" t="n">
        <x:v>39</x:v>
      </x:c>
      <x:c r="D1450" s="84" t="n">
        <x:v>3</x:v>
      </x:c>
      <x:c r="E1450" s="84"/>
      <x:c r="F1450" s="89" t="n">
        <x:v>45258.357824074075</x:v>
      </x:c>
      <x:c r="G1450" s="89"/>
      <x:c r="H1450" s="89" t="n">
        <x:v>45259.39949074074</x:v>
      </x:c>
      <x:c r="I1450" s="89"/>
      <x:c r="J1450" s="84" t="str">
        <x:v>Alta</x:v>
      </x:c>
      <x:c r="K1450" s="84" t="str">
        <x:v>Em execução</x:v>
      </x:c>
      <x:c r="L1450" s="84" t="str">
        <x:v>Alarme intermitente</x:v>
      </x:c>
      <x:c r="M1450" s="84" t="str">
        <x:v>Falta de lubrificação</x:v>
      </x:c>
      <x:c r="N1450" s="84"/>
      <x:c r="O1450" s="84" t="n">
        <x:v>0</x:v>
      </x:c>
      <x:c r="P1450" s="93" t="n">
        <x:v>398.91</x:v>
      </x:c>
      <x:c r="Q1450" s="93" t="n">
        <x:v>3824.9</x:v>
      </x:c>
      <x:c r="R1450" s="91" t="n">
        <x:v>0</x:v>
      </x:c>
    </x:row>
    <x:row r="1451">
      <x:c r="A1451" s="83" t="n">
        <x:v>1450</x:v>
      </x:c>
      <x:c r="B1451" s="84" t="str">
        <x:v>OS-2025-01450</x:v>
      </x:c>
      <x:c r="C1451" s="84" t="n">
        <x:v>75</x:v>
      </x:c>
      <x:c r="D1451" s="84" t="n">
        <x:v>4</x:v>
      </x:c>
      <x:c r="E1451" s="84"/>
      <x:c r="F1451" s="89" t="n">
        <x:v>45940.268009259256</x:v>
      </x:c>
      <x:c r="G1451" s="89" t="n">
        <x:v>45952.268009259256</x:v>
      </x:c>
      <x:c r="H1451" s="89" t="n">
        <x:v>45941.018009259256</x:v>
      </x:c>
      <x:c r="I1451" s="89" t="n">
        <x:v>45941.518009259256</x:v>
      </x:c>
      <x:c r="J1451" s="84" t="str">
        <x:v>Média</x:v>
      </x:c>
      <x:c r="K1451" s="84" t="str">
        <x:v>Encerrada</x:v>
      </x:c>
      <x:c r="L1451" s="84" t="str">
        <x:v>Desalinhamento</x:v>
      </x:c>
      <x:c r="M1451" s="84" t="str">
        <x:v>Conexão frouxa</x:v>
      </x:c>
      <x:c r="N1451" s="84" t="str">
        <x:v>Componente ajustado ou substituído</x:v>
      </x:c>
      <x:c r="O1451" s="84" t="n">
        <x:v>0</x:v>
      </x:c>
      <x:c r="P1451" s="93" t="n">
        <x:v>465.13</x:v>
      </x:c>
      <x:c r="Q1451" s="93" t="n">
        <x:v>3723.04</x:v>
      </x:c>
      <x:c r="R1451" s="91" t="n">
        <x:v>0</x:v>
      </x:c>
    </x:row>
    <x:row r="1452">
      <x:c r="A1452" s="83" t="n">
        <x:v>1451</x:v>
      </x:c>
      <x:c r="B1452" s="84" t="str">
        <x:v>OS-2025-01451</x:v>
      </x:c>
      <x:c r="C1452" s="84" t="n">
        <x:v>48</x:v>
      </x:c>
      <x:c r="D1452" s="84" t="n">
        <x:v>4</x:v>
      </x:c>
      <x:c r="E1452" s="84"/>
      <x:c r="F1452" s="89" t="n">
        <x:v>45867.69039351852</x:v>
      </x:c>
      <x:c r="G1452" s="89" t="n">
        <x:v>45878.69039351852</x:v>
      </x:c>
      <x:c r="H1452" s="89" t="n">
        <x:v>45869.648726851854</x:v>
      </x:c>
      <x:c r="I1452" s="89" t="n">
        <x:v>45869.773726851854</x:v>
      </x:c>
      <x:c r="J1452" s="84" t="str">
        <x:v>Crítica</x:v>
      </x:c>
      <x:c r="K1452" s="84" t="str">
        <x:v>Encerrada</x:v>
      </x:c>
      <x:c r="L1452" s="84" t="str">
        <x:v>Desalinhamento</x:v>
      </x:c>
      <x:c r="M1452" s="84" t="str">
        <x:v>Conexão frouxa</x:v>
      </x:c>
      <x:c r="N1452" s="84" t="str">
        <x:v>Componente ajustado ou substituído</x:v>
      </x:c>
      <x:c r="O1452" s="84" t="n">
        <x:v>0</x:v>
      </x:c>
      <x:c r="P1452" s="93" t="n">
        <x:v>605.4</x:v>
      </x:c>
      <x:c r="Q1452" s="93" t="n">
        <x:v>6664.76</x:v>
      </x:c>
      <x:c r="R1452" s="91" t="n">
        <x:v>0</x:v>
      </x:c>
    </x:row>
    <x:row r="1453">
      <x:c r="A1453" s="83" t="n">
        <x:v>1452</x:v>
      </x:c>
      <x:c r="B1453" s="84" t="str">
        <x:v>OS-2023-01452</x:v>
      </x:c>
      <x:c r="C1453" s="84" t="n">
        <x:v>66</x:v>
      </x:c>
      <x:c r="D1453" s="84" t="n">
        <x:v>6</x:v>
      </x:c>
      <x:c r="E1453" s="84"/>
      <x:c r="F1453" s="89" t="n">
        <x:v>45119.05048611111</x:v>
      </x:c>
      <x:c r="G1453" s="89" t="n">
        <x:v>45120.05048611111</x:v>
      </x:c>
      <x:c r="H1453" s="89" t="n">
        <x:v>45120.717152777775</x:v>
      </x:c>
      <x:c r="I1453" s="89"/>
      <x:c r="J1453" s="84" t="str">
        <x:v>Média</x:v>
      </x:c>
      <x:c r="K1453" s="84" t="str">
        <x:v>Aguardando peça</x:v>
      </x:c>
      <x:c r="L1453" s="84" t="str">
        <x:v>Baixa pressão</x:v>
      </x:c>
      <x:c r="M1453" s="84" t="str">
        <x:v>Falta de lubrificação</x:v>
      </x:c>
      <x:c r="N1453" s="84"/>
      <x:c r="O1453" s="84" t="n">
        <x:v>0</x:v>
      </x:c>
      <x:c r="P1453" s="93" t="n">
        <x:v>748.49</x:v>
      </x:c>
      <x:c r="Q1453" s="93" t="n">
        <x:v>12050.46</x:v>
      </x:c>
      <x:c r="R1453" s="91" t="n">
        <x:v>0</x:v>
      </x:c>
    </x:row>
    <x:row r="1454">
      <x:c r="A1454" s="83" t="n">
        <x:v>1453</x:v>
      </x:c>
      <x:c r="B1454" s="84" t="str">
        <x:v>OS-2023-01453</x:v>
      </x:c>
      <x:c r="C1454" s="84" t="n">
        <x:v>80</x:v>
      </x:c>
      <x:c r="D1454" s="84" t="n">
        <x:v>4</x:v>
      </x:c>
      <x:c r="E1454" s="84"/>
      <x:c r="F1454" s="89" t="n">
        <x:v>45145.36450231481</x:v>
      </x:c>
      <x:c r="G1454" s="89" t="n">
        <x:v>45158.36450231481</x:v>
      </x:c>
      <x:c r="H1454" s="89" t="n">
        <x:v>45148.281168981484</x:v>
      </x:c>
      <x:c r="I1454" s="89" t="n">
        <x:v>45148.57283564815</x:v>
      </x:c>
      <x:c r="J1454" s="84" t="str">
        <x:v>Baixa</x:v>
      </x:c>
      <x:c r="K1454" s="84" t="str">
        <x:v>Concluída</x:v>
      </x:c>
      <x:c r="L1454" s="84" t="str">
        <x:v>Vazamento</x:v>
      </x:c>
      <x:c r="M1454" s="84" t="str">
        <x:v>Componente danificado</x:v>
      </x:c>
      <x:c r="N1454" s="84" t="str">
        <x:v>Componente ajustado ou substituído</x:v>
      </x:c>
      <x:c r="O1454" s="84" t="n">
        <x:v>0</x:v>
      </x:c>
      <x:c r="P1454" s="93" t="n">
        <x:v>784.99</x:v>
      </x:c>
      <x:c r="Q1454" s="93" t="n">
        <x:v>4278.46</x:v>
      </x:c>
      <x:c r="R1454" s="91" t="n">
        <x:v>0</x:v>
      </x:c>
    </x:row>
    <x:row r="1455">
      <x:c r="A1455" s="83" t="n">
        <x:v>1454</x:v>
      </x:c>
      <x:c r="B1455" s="84" t="str">
        <x:v>OS-2024-01454</x:v>
      </x:c>
      <x:c r="C1455" s="84" t="n">
        <x:v>37</x:v>
      </x:c>
      <x:c r="D1455" s="84" t="n">
        <x:v>7</x:v>
      </x:c>
      <x:c r="E1455" s="84" t="n">
        <x:v>74</x:v>
      </x:c>
      <x:c r="F1455" s="89" t="n">
        <x:v>45465.878958333335</x:v>
      </x:c>
      <x:c r="G1455" s="89" t="n">
        <x:v>45476.878958333335</x:v>
      </x:c>
      <x:c r="H1455" s="89"/>
      <x:c r="I1455" s="89"/>
      <x:c r="J1455" s="84" t="str">
        <x:v>Alta</x:v>
      </x:c>
      <x:c r="K1455" s="84" t="str">
        <x:v>Planejada</x:v>
      </x:c>
      <x:c r="L1455" s="84" t="str">
        <x:v>Desalinhamento</x:v>
      </x:c>
      <x:c r="M1455" s="84"/>
      <x:c r="N1455" s="84"/>
      <x:c r="O1455" s="84" t="n">
        <x:v>0</x:v>
      </x:c>
      <x:c r="P1455" s="93" t="n">
        <x:v>0</x:v>
      </x:c>
      <x:c r="Q1455" s="93" t="n">
        <x:v>0</x:v>
      </x:c>
      <x:c r="R1455" s="91" t="n">
        <x:v>0</x:v>
      </x:c>
    </x:row>
    <x:row r="1456">
      <x:c r="A1456" s="83" t="n">
        <x:v>1455</x:v>
      </x:c>
      <x:c r="B1456" s="84" t="str">
        <x:v>OS-2024-01455</x:v>
      </x:c>
      <x:c r="C1456" s="84" t="n">
        <x:v>25</x:v>
      </x:c>
      <x:c r="D1456" s="84" t="n">
        <x:v>1</x:v>
      </x:c>
      <x:c r="E1456" s="84" t="n">
        <x:v>49</x:v>
      </x:c>
      <x:c r="F1456" s="89" t="n">
        <x:v>45304.27883101852</x:v>
      </x:c>
      <x:c r="G1456" s="89" t="n">
        <x:v>45315.27883101852</x:v>
      </x:c>
      <x:c r="H1456" s="89" t="n">
        <x:v>45306.27883101852</x:v>
      </x:c>
      <x:c r="I1456" s="89" t="n">
        <x:v>45306.65383101852</x:v>
      </x:c>
      <x:c r="J1456" s="84" t="str">
        <x:v>Baixa</x:v>
      </x:c>
      <x:c r="K1456" s="84" t="str">
        <x:v>Encerrada</x:v>
      </x:c>
      <x:c r="L1456" s="84" t="str">
        <x:v>Ruído anormal</x:v>
      </x:c>
      <x:c r="M1456" s="84" t="str">
        <x:v>Ajuste incorreto</x:v>
      </x:c>
      <x:c r="N1456" s="84" t="str">
        <x:v>Componente ajustado ou substituído</x:v>
      </x:c>
      <x:c r="O1456" s="84" t="n">
        <x:v>0</x:v>
      </x:c>
      <x:c r="P1456" s="93" t="n">
        <x:v>628.99</x:v>
      </x:c>
      <x:c r="Q1456" s="93" t="n">
        <x:v>7463.66</x:v>
      </x:c>
      <x:c r="R1456" s="91" t="n">
        <x:v>0</x:v>
      </x:c>
    </x:row>
    <x:row r="1457">
      <x:c r="A1457" s="83" t="n">
        <x:v>1456</x:v>
      </x:c>
      <x:c r="B1457" s="84" t="str">
        <x:v>OS-2024-01456</x:v>
      </x:c>
      <x:c r="C1457" s="84" t="n">
        <x:v>17</x:v>
      </x:c>
      <x:c r="D1457" s="84" t="n">
        <x:v>4</x:v>
      </x:c>
      <x:c r="E1457" s="84"/>
      <x:c r="F1457" s="89" t="n">
        <x:v>45495.72251157407</x:v>
      </x:c>
      <x:c r="G1457" s="89" t="n">
        <x:v>45508.72251157407</x:v>
      </x:c>
      <x:c r="H1457" s="89" t="n">
        <x:v>45496.97251157407</x:v>
      </x:c>
      <x:c r="I1457" s="89" t="n">
        <x:v>45497.80584490741</x:v>
      </x:c>
      <x:c r="J1457" s="84" t="str">
        <x:v>Média</x:v>
      </x:c>
      <x:c r="K1457" s="84" t="str">
        <x:v>Encerrada</x:v>
      </x:c>
      <x:c r="L1457" s="84" t="str">
        <x:v>Ruído anormal</x:v>
      </x:c>
      <x:c r="M1457" s="84" t="str">
        <x:v>Falta de lubrificação</x:v>
      </x:c>
      <x:c r="N1457" s="84" t="str">
        <x:v>Componente ajustado ou substituído</x:v>
      </x:c>
      <x:c r="O1457" s="84" t="n">
        <x:v>0</x:v>
      </x:c>
      <x:c r="P1457" s="93" t="n">
        <x:v>342.05</x:v>
      </x:c>
      <x:c r="Q1457" s="93" t="n">
        <x:v>7954.84</x:v>
      </x:c>
      <x:c r="R1457" s="91" t="n">
        <x:v>0</x:v>
      </x:c>
    </x:row>
    <x:row r="1458">
      <x:c r="A1458" s="83" t="n">
        <x:v>1457</x:v>
      </x:c>
      <x:c r="B1458" s="84" t="str">
        <x:v>OS-2024-01457</x:v>
      </x:c>
      <x:c r="C1458" s="84" t="n">
        <x:v>74</x:v>
      </x:c>
      <x:c r="D1458" s="84" t="n">
        <x:v>4</x:v>
      </x:c>
      <x:c r="E1458" s="84"/>
      <x:c r="F1458" s="89" t="n">
        <x:v>45394.78969907408</x:v>
      </x:c>
      <x:c r="G1458" s="89" t="n">
        <x:v>45395.78969907408</x:v>
      </x:c>
      <x:c r="H1458" s="89" t="n">
        <x:v>45397.53969907408</x:v>
      </x:c>
      <x:c r="I1458" s="89" t="n">
        <x:v>45397.623032407406</x:v>
      </x:c>
      <x:c r="J1458" s="84" t="str">
        <x:v>Alta</x:v>
      </x:c>
      <x:c r="K1458" s="84" t="str">
        <x:v>Encerrada</x:v>
      </x:c>
      <x:c r="L1458" s="84" t="str">
        <x:v>Baixa pressão</x:v>
      </x:c>
      <x:c r="M1458" s="84" t="str">
        <x:v>Falta de lubrificação</x:v>
      </x:c>
      <x:c r="N1458" s="84" t="str">
        <x:v>Componente ajustado ou substituído</x:v>
      </x:c>
      <x:c r="O1458" s="84" t="n">
        <x:v>0</x:v>
      </x:c>
      <x:c r="P1458" s="93" t="n">
        <x:v>59.32</x:v>
      </x:c>
      <x:c r="Q1458" s="93" t="n">
        <x:v>2168.3</x:v>
      </x:c>
      <x:c r="R1458" s="91" t="n">
        <x:v>0</x:v>
      </x:c>
    </x:row>
    <x:row r="1459">
      <x:c r="A1459" s="83" t="n">
        <x:v>1458</x:v>
      </x:c>
      <x:c r="B1459" s="84" t="str">
        <x:v>OS-2024-01458</x:v>
      </x:c>
      <x:c r="C1459" s="84" t="n">
        <x:v>46</x:v>
      </x:c>
      <x:c r="D1459" s="84" t="n">
        <x:v>2</x:v>
      </x:c>
      <x:c r="E1459" s="84"/>
      <x:c r="F1459" s="89" t="n">
        <x:v>45321.092199074075</x:v>
      </x:c>
      <x:c r="G1459" s="89" t="n">
        <x:v>45321.092199074075</x:v>
      </x:c>
      <x:c r="H1459" s="89" t="n">
        <x:v>45321.38386574074</x:v>
      </x:c>
      <x:c r="I1459" s="89"/>
      <x:c r="J1459" s="84" t="str">
        <x:v>Média</x:v>
      </x:c>
      <x:c r="K1459" s="84" t="str">
        <x:v>Aguardando peça</x:v>
      </x:c>
      <x:c r="L1459" s="84" t="str">
        <x:v>Vazamento</x:v>
      </x:c>
      <x:c r="M1459" s="84" t="str">
        <x:v>Desgaste natural</x:v>
      </x:c>
      <x:c r="N1459" s="84"/>
      <x:c r="O1459" s="84" t="n">
        <x:v>0</x:v>
      </x:c>
      <x:c r="P1459" s="93" t="n">
        <x:v>359.09</x:v>
      </x:c>
      <x:c r="Q1459" s="93" t="n">
        <x:v>0</x:v>
      </x:c>
      <x:c r="R1459" s="91" t="n">
        <x:v>0</x:v>
      </x:c>
    </x:row>
    <x:row r="1460">
      <x:c r="A1460" s="83" t="n">
        <x:v>1459</x:v>
      </x:c>
      <x:c r="B1460" s="84" t="str">
        <x:v>OS-2024-01459</x:v>
      </x:c>
      <x:c r="C1460" s="84" t="n">
        <x:v>7</x:v>
      </x:c>
      <x:c r="D1460" s="84" t="n">
        <x:v>1</x:v>
      </x:c>
      <x:c r="E1460" s="84" t="n">
        <x:v>14</x:v>
      </x:c>
      <x:c r="F1460" s="89" t="n">
        <x:v>45291.73805555556</x:v>
      </x:c>
      <x:c r="G1460" s="89" t="n">
        <x:v>45291.73805555556</x:v>
      </x:c>
      <x:c r="H1460" s="89" t="n">
        <x:v>45294.40472222222</x:v>
      </x:c>
      <x:c r="I1460" s="89" t="n">
        <x:v>45294.61305555556</x:v>
      </x:c>
      <x:c r="J1460" s="84" t="str">
        <x:v>Crítica</x:v>
      </x:c>
      <x:c r="K1460" s="84" t="str">
        <x:v>Encerrada</x:v>
      </x:c>
      <x:c r="L1460" s="84" t="str">
        <x:v>Falha elétrica</x:v>
      </x:c>
      <x:c r="M1460" s="84" t="str">
        <x:v>Conexão frouxa</x:v>
      </x:c>
      <x:c r="N1460" s="84" t="str">
        <x:v>Componente ajustado ou substituído</x:v>
      </x:c>
      <x:c r="O1460" s="84" t="n">
        <x:v>0</x:v>
      </x:c>
      <x:c r="P1460" s="93" t="n">
        <x:v>71.48</x:v>
      </x:c>
      <x:c r="Q1460" s="93" t="n">
        <x:v>2860.94</x:v>
      </x:c>
      <x:c r="R1460" s="91" t="n">
        <x:v>0</x:v>
      </x:c>
    </x:row>
    <x:row r="1461">
      <x:c r="A1461" s="83" t="n">
        <x:v>1460</x:v>
      </x:c>
      <x:c r="B1461" s="84" t="str">
        <x:v>OS-2025-01460</x:v>
      </x:c>
      <x:c r="C1461" s="84" t="n">
        <x:v>76</x:v>
      </x:c>
      <x:c r="D1461" s="84" t="n">
        <x:v>3</x:v>
      </x:c>
      <x:c r="E1461" s="84"/>
      <x:c r="F1461" s="89" t="n">
        <x:v>45977.96773148148</x:v>
      </x:c>
      <x:c r="G1461" s="89"/>
      <x:c r="H1461" s="89"/>
      <x:c r="I1461" s="89"/>
      <x:c r="J1461" s="84" t="str">
        <x:v>Alta</x:v>
      </x:c>
      <x:c r="K1461" s="84" t="str">
        <x:v>Planejada</x:v>
      </x:c>
      <x:c r="L1461" s="84" t="str">
        <x:v>Baixa pressão</x:v>
      </x:c>
      <x:c r="M1461" s="84"/>
      <x:c r="N1461" s="84"/>
      <x:c r="O1461" s="84" t="n">
        <x:v>0</x:v>
      </x:c>
      <x:c r="P1461" s="93" t="n">
        <x:v>0</x:v>
      </x:c>
      <x:c r="Q1461" s="93" t="n">
        <x:v>0</x:v>
      </x:c>
      <x:c r="R1461" s="91" t="n">
        <x:v>0</x:v>
      </x:c>
    </x:row>
    <x:row r="1462">
      <x:c r="A1462" s="83" t="n">
        <x:v>1461</x:v>
      </x:c>
      <x:c r="B1462" s="84" t="str">
        <x:v>OS-2024-01461</x:v>
      </x:c>
      <x:c r="C1462" s="84" t="n">
        <x:v>87</x:v>
      </x:c>
      <x:c r="D1462" s="84" t="n">
        <x:v>3</x:v>
      </x:c>
      <x:c r="E1462" s="84"/>
      <x:c r="F1462" s="89" t="n">
        <x:v>45594.81693287037</x:v>
      </x:c>
      <x:c r="G1462" s="89"/>
      <x:c r="H1462" s="89" t="n">
        <x:v>45595.4002662037</x:v>
      </x:c>
      <x:c r="I1462" s="89" t="n">
        <x:v>45596.06693287037</x:v>
      </x:c>
      <x:c r="J1462" s="84" t="str">
        <x:v>Alta</x:v>
      </x:c>
      <x:c r="K1462" s="84" t="str">
        <x:v>Encerrada</x:v>
      </x:c>
      <x:c r="L1462" s="84" t="str">
        <x:v>Baixa pressão</x:v>
      </x:c>
      <x:c r="M1462" s="84" t="str">
        <x:v>Falta de lubrificação</x:v>
      </x:c>
      <x:c r="N1462" s="84" t="str">
        <x:v>Componente ajustado ou substituído</x:v>
      </x:c>
      <x:c r="O1462" s="84" t="n">
        <x:v>0</x:v>
      </x:c>
      <x:c r="P1462" s="93" t="n">
        <x:v>632.92</x:v>
      </x:c>
      <x:c r="Q1462" s="93" t="n">
        <x:v>6305.62</x:v>
      </x:c>
      <x:c r="R1462" s="91" t="n">
        <x:v>0</x:v>
      </x:c>
    </x:row>
    <x:row r="1463">
      <x:c r="A1463" s="83" t="n">
        <x:v>1462</x:v>
      </x:c>
      <x:c r="B1463" s="84" t="str">
        <x:v>OS-2023-01462</x:v>
      </x:c>
      <x:c r="C1463" s="84" t="n">
        <x:v>31</x:v>
      </x:c>
      <x:c r="D1463" s="84" t="n">
        <x:v>2</x:v>
      </x:c>
      <x:c r="E1463" s="84"/>
      <x:c r="F1463" s="89" t="n">
        <x:v>45280.319340277776</x:v>
      </x:c>
      <x:c r="G1463" s="89" t="n">
        <x:v>45293.319340277776</x:v>
      </x:c>
      <x:c r="H1463" s="89" t="n">
        <x:v>45282.694340277776</x:v>
      </x:c>
      <x:c r="I1463" s="89" t="n">
        <x:v>45283.15267361111</x:v>
      </x:c>
      <x:c r="J1463" s="84" t="str">
        <x:v>Alta</x:v>
      </x:c>
      <x:c r="K1463" s="84" t="str">
        <x:v>Concluída</x:v>
      </x:c>
      <x:c r="L1463" s="84" t="str">
        <x:v>Alarme intermitente</x:v>
      </x:c>
      <x:c r="M1463" s="84" t="str">
        <x:v>Falta de lubrificação</x:v>
      </x:c>
      <x:c r="N1463" s="84" t="str">
        <x:v>Componente ajustado ou substituído</x:v>
      </x:c>
      <x:c r="O1463" s="84" t="n">
        <x:v>0</x:v>
      </x:c>
      <x:c r="P1463" s="93" t="n">
        <x:v>365.09</x:v>
      </x:c>
      <x:c r="Q1463" s="93" t="n">
        <x:v>8220.32</x:v>
      </x:c>
      <x:c r="R1463" s="91" t="n">
        <x:v>1591.45</x:v>
      </x:c>
    </x:row>
    <x:row r="1464">
      <x:c r="A1464" s="83" t="n">
        <x:v>1463</x:v>
      </x:c>
      <x:c r="B1464" s="84" t="str">
        <x:v>OS-2025-01463</x:v>
      </x:c>
      <x:c r="C1464" s="84" t="n">
        <x:v>17</x:v>
      </x:c>
      <x:c r="D1464" s="84" t="n">
        <x:v>8</x:v>
      </x:c>
      <x:c r="E1464" s="84"/>
      <x:c r="F1464" s="89" t="n">
        <x:v>45695.80616898148</x:v>
      </x:c>
      <x:c r="G1464" s="89" t="n">
        <x:v>45698.80616898148</x:v>
      </x:c>
      <x:c r="H1464" s="89" t="n">
        <x:v>45698.34783564815</x:v>
      </x:c>
      <x:c r="I1464" s="89" t="n">
        <x:v>45698.68116898148</x:v>
      </x:c>
      <x:c r="J1464" s="84" t="str">
        <x:v>Baixa</x:v>
      </x:c>
      <x:c r="K1464" s="84" t="str">
        <x:v>Encerrada</x:v>
      </x:c>
      <x:c r="L1464" s="84" t="str">
        <x:v>Falha elétrica</x:v>
      </x:c>
      <x:c r="M1464" s="84" t="str">
        <x:v>Componente danificado</x:v>
      </x:c>
      <x:c r="N1464" s="84" t="str">
        <x:v>Componente ajustado ou substituído</x:v>
      </x:c>
      <x:c r="O1464" s="84" t="n">
        <x:v>0</x:v>
      </x:c>
      <x:c r="P1464" s="93" t="n">
        <x:v>505.72</x:v>
      </x:c>
      <x:c r="Q1464" s="93" t="n">
        <x:v>0</x:v>
      </x:c>
      <x:c r="R1464" s="91" t="n">
        <x:v>0</x:v>
      </x:c>
    </x:row>
    <x:row r="1465">
      <x:c r="A1465" s="83" t="n">
        <x:v>1464</x:v>
      </x:c>
      <x:c r="B1465" s="84" t="str">
        <x:v>OS-2024-01464</x:v>
      </x:c>
      <x:c r="C1465" s="84" t="n">
        <x:v>65</x:v>
      </x:c>
      <x:c r="D1465" s="84" t="n">
        <x:v>1</x:v>
      </x:c>
      <x:c r="E1465" s="84" t="n">
        <x:v>129</x:v>
      </x:c>
      <x:c r="F1465" s="89" t="n">
        <x:v>45514.03052083333</x:v>
      </x:c>
      <x:c r="G1465" s="89" t="n">
        <x:v>45524.03052083333</x:v>
      </x:c>
      <x:c r="H1465" s="89" t="n">
        <x:v>45515.113854166666</x:v>
      </x:c>
      <x:c r="I1465" s="89" t="n">
        <x:v>45515.78052083333</x:v>
      </x:c>
      <x:c r="J1465" s="84" t="str">
        <x:v>Média</x:v>
      </x:c>
      <x:c r="K1465" s="84" t="str">
        <x:v>Encerrada</x:v>
      </x:c>
      <x:c r="L1465" s="84" t="str">
        <x:v>Falha elétrica</x:v>
      </x:c>
      <x:c r="M1465" s="84" t="str">
        <x:v>Contaminação</x:v>
      </x:c>
      <x:c r="N1465" s="84" t="str">
        <x:v>Componente ajustado ou substituído</x:v>
      </x:c>
      <x:c r="O1465" s="84" t="n">
        <x:v>0</x:v>
      </x:c>
      <x:c r="P1465" s="93" t="n">
        <x:v>459.19</x:v>
      </x:c>
      <x:c r="Q1465" s="93" t="n">
        <x:v>11665.9</x:v>
      </x:c>
      <x:c r="R1465" s="91" t="n">
        <x:v>0</x:v>
      </x:c>
    </x:row>
    <x:row r="1466">
      <x:c r="A1466" s="83" t="n">
        <x:v>1465</x:v>
      </x:c>
      <x:c r="B1466" s="84" t="str">
        <x:v>OS-2025-01465</x:v>
      </x:c>
      <x:c r="C1466" s="84" t="n">
        <x:v>67</x:v>
      </x:c>
      <x:c r="D1466" s="84" t="n">
        <x:v>3</x:v>
      </x:c>
      <x:c r="E1466" s="84"/>
      <x:c r="F1466" s="89" t="n">
        <x:v>45827.013194444444</x:v>
      </x:c>
      <x:c r="G1466" s="89"/>
      <x:c r="H1466" s="89" t="n">
        <x:v>45828.59652777778</x:v>
      </x:c>
      <x:c r="I1466" s="89" t="n">
        <x:v>45829.30486111111</x:v>
      </x:c>
      <x:c r="J1466" s="84" t="str">
        <x:v>Média</x:v>
      </x:c>
      <x:c r="K1466" s="84" t="str">
        <x:v>Concluída</x:v>
      </x:c>
      <x:c r="L1466" s="84" t="str">
        <x:v>Superaquecimento</x:v>
      </x:c>
      <x:c r="M1466" s="84" t="str">
        <x:v>Contaminação</x:v>
      </x:c>
      <x:c r="N1466" s="84" t="str">
        <x:v>Componente ajustado ou substituído</x:v>
      </x:c>
      <x:c r="O1466" s="84" t="n">
        <x:v>0</x:v>
      </x:c>
      <x:c r="P1466" s="93" t="n">
        <x:v>667.49</x:v>
      </x:c>
      <x:c r="Q1466" s="93" t="n">
        <x:v>0</x:v>
      </x:c>
      <x:c r="R1466" s="91" t="n">
        <x:v>0</x:v>
      </x:c>
    </x:row>
    <x:row r="1467">
      <x:c r="A1467" s="83" t="n">
        <x:v>1466</x:v>
      </x:c>
      <x:c r="B1467" s="84" t="str">
        <x:v>OS-2025-01466</x:v>
      </x:c>
      <x:c r="C1467" s="84" t="n">
        <x:v>4</x:v>
      </x:c>
      <x:c r="D1467" s="84" t="n">
        <x:v>4</x:v>
      </x:c>
      <x:c r="E1467" s="84"/>
      <x:c r="F1467" s="89" t="n">
        <x:v>45713.28366898148</x:v>
      </x:c>
      <x:c r="G1467" s="89" t="n">
        <x:v>45716.28366898148</x:v>
      </x:c>
      <x:c r="H1467" s="89" t="n">
        <x:v>45716.28366898148</x:v>
      </x:c>
      <x:c r="I1467" s="89" t="n">
        <x:v>45717.07533564815</x:v>
      </x:c>
      <x:c r="J1467" s="84" t="str">
        <x:v>Alta</x:v>
      </x:c>
      <x:c r="K1467" s="84" t="str">
        <x:v>Concluída</x:v>
      </x:c>
      <x:c r="L1467" s="84" t="str">
        <x:v>Falha elétrica</x:v>
      </x:c>
      <x:c r="M1467" s="84" t="str">
        <x:v>Conexão frouxa</x:v>
      </x:c>
      <x:c r="N1467" s="84" t="str">
        <x:v>Componente ajustado ou substituído</x:v>
      </x:c>
      <x:c r="O1467" s="84" t="n">
        <x:v>0</x:v>
      </x:c>
      <x:c r="P1467" s="93" t="n">
        <x:v>158.57</x:v>
      </x:c>
      <x:c r="Q1467" s="93" t="n">
        <x:v>8869.48</x:v>
      </x:c>
      <x:c r="R1467" s="91" t="n">
        <x:v>0</x:v>
      </x:c>
    </x:row>
    <x:row r="1468">
      <x:c r="A1468" s="83" t="n">
        <x:v>1467</x:v>
      </x:c>
      <x:c r="B1468" s="84" t="str">
        <x:v>OS-2023-01467</x:v>
      </x:c>
      <x:c r="C1468" s="84" t="n">
        <x:v>15</x:v>
      </x:c>
      <x:c r="D1468" s="84" t="n">
        <x:v>6</x:v>
      </x:c>
      <x:c r="E1468" s="84"/>
      <x:c r="F1468" s="89" t="n">
        <x:v>44980.58016203704</x:v>
      </x:c>
      <x:c r="G1468" s="89" t="n">
        <x:v>44990.58016203704</x:v>
      </x:c>
      <x:c r="H1468" s="89" t="n">
        <x:v>44982.871828703705</x:v>
      </x:c>
      <x:c r="I1468" s="89"/>
      <x:c r="J1468" s="84" t="str">
        <x:v>Alta</x:v>
      </x:c>
      <x:c r="K1468" s="84" t="str">
        <x:v>Em execução</x:v>
      </x:c>
      <x:c r="L1468" s="84" t="str">
        <x:v>Falha elétrica</x:v>
      </x:c>
      <x:c r="M1468" s="84" t="str">
        <x:v>Conexão frouxa</x:v>
      </x:c>
      <x:c r="N1468" s="84"/>
      <x:c r="O1468" s="84" t="n">
        <x:v>1</x:v>
      </x:c>
      <x:c r="P1468" s="93" t="n">
        <x:v>328.63</x:v>
      </x:c>
      <x:c r="Q1468" s="93" t="n">
        <x:v>5737.35</x:v>
      </x:c>
      <x:c r="R1468" s="91" t="n">
        <x:v>0</x:v>
      </x:c>
    </x:row>
    <x:row r="1469">
      <x:c r="A1469" s="83" t="n">
        <x:v>1468</x:v>
      </x:c>
      <x:c r="B1469" s="84" t="str">
        <x:v>OS-2025-01468</x:v>
      </x:c>
      <x:c r="C1469" s="84" t="n">
        <x:v>73</x:v>
      </x:c>
      <x:c r="D1469" s="84" t="n">
        <x:v>4</x:v>
      </x:c>
      <x:c r="E1469" s="84"/>
      <x:c r="F1469" s="89" t="n">
        <x:v>45766.875185185185</x:v>
      </x:c>
      <x:c r="G1469" s="89" t="n">
        <x:v>45772.875185185185</x:v>
      </x:c>
      <x:c r="H1469" s="89" t="n">
        <x:v>45767.000185185185</x:v>
      </x:c>
      <x:c r="I1469" s="89" t="n">
        <x:v>45767.16685185185</x:v>
      </x:c>
      <x:c r="J1469" s="84" t="str">
        <x:v>Crítica</x:v>
      </x:c>
      <x:c r="K1469" s="84" t="str">
        <x:v>Encerrada</x:v>
      </x:c>
      <x:c r="L1469" s="84" t="str">
        <x:v>Falha elétrica</x:v>
      </x:c>
      <x:c r="M1469" s="84" t="str">
        <x:v>Ajuste incorreto</x:v>
      </x:c>
      <x:c r="N1469" s="84" t="str">
        <x:v>Componente ajustado ou substituído</x:v>
      </x:c>
      <x:c r="O1469" s="84" t="n">
        <x:v>0</x:v>
      </x:c>
      <x:c r="P1469" s="93" t="n">
        <x:v>158.51</x:v>
      </x:c>
      <x:c r="Q1469" s="93" t="n">
        <x:v>9131.87</x:v>
      </x:c>
      <x:c r="R1469" s="91" t="n">
        <x:v>629.45</x:v>
      </x:c>
    </x:row>
    <x:row r="1470">
      <x:c r="A1470" s="83" t="n">
        <x:v>1469</x:v>
      </x:c>
      <x:c r="B1470" s="84" t="str">
        <x:v>OS-2023-01469</x:v>
      </x:c>
      <x:c r="C1470" s="84" t="n">
        <x:v>64</x:v>
      </x:c>
      <x:c r="D1470" s="84" t="n">
        <x:v>6</x:v>
      </x:c>
      <x:c r="E1470" s="84"/>
      <x:c r="F1470" s="89" t="n">
        <x:v>45099.650671296295</x:v>
      </x:c>
      <x:c r="G1470" s="89" t="n">
        <x:v>45107.650671296295</x:v>
      </x:c>
      <x:c r="H1470" s="89" t="n">
        <x:v>45100.817337962966</x:v>
      </x:c>
      <x:c r="I1470" s="89" t="n">
        <x:v>45101.192337962966</x:v>
      </x:c>
      <x:c r="J1470" s="84" t="str">
        <x:v>Alta</x:v>
      </x:c>
      <x:c r="K1470" s="84" t="str">
        <x:v>Encerrada</x:v>
      </x:c>
      <x:c r="L1470" s="84" t="str">
        <x:v>Ruído anormal</x:v>
      </x:c>
      <x:c r="M1470" s="84" t="str">
        <x:v>Contaminação</x:v>
      </x:c>
      <x:c r="N1470" s="84" t="str">
        <x:v>Componente ajustado ou substituído</x:v>
      </x:c>
      <x:c r="O1470" s="84" t="n">
        <x:v>0</x:v>
      </x:c>
      <x:c r="P1470" s="93" t="n">
        <x:v>414.27</x:v>
      </x:c>
      <x:c r="Q1470" s="93" t="n">
        <x:v>6069.24</x:v>
      </x:c>
      <x:c r="R1470" s="91" t="n">
        <x:v>2328.07</x:v>
      </x:c>
    </x:row>
    <x:row r="1471">
      <x:c r="A1471" s="83" t="n">
        <x:v>1470</x:v>
      </x:c>
      <x:c r="B1471" s="84" t="str">
        <x:v>OS-2023-01470</x:v>
      </x:c>
      <x:c r="C1471" s="84" t="n">
        <x:v>8</x:v>
      </x:c>
      <x:c r="D1471" s="84" t="n">
        <x:v>1</x:v>
      </x:c>
      <x:c r="E1471" s="84" t="n">
        <x:v>15</x:v>
      </x:c>
      <x:c r="F1471" s="89" t="n">
        <x:v>45039.88260416667</x:v>
      </x:c>
      <x:c r="G1471" s="89" t="n">
        <x:v>45054.88260416667</x:v>
      </x:c>
      <x:c r="H1471" s="89" t="n">
        <x:v>45041.04927083333</x:v>
      </x:c>
      <x:c r="I1471" s="89"/>
      <x:c r="J1471" s="84" t="str">
        <x:v>Baixa</x:v>
      </x:c>
      <x:c r="K1471" s="84" t="str">
        <x:v>Aguardando peça</x:v>
      </x:c>
      <x:c r="L1471" s="84" t="str">
        <x:v>Ruído anormal</x:v>
      </x:c>
      <x:c r="M1471" s="84" t="str">
        <x:v>Ajuste incorreto</x:v>
      </x:c>
      <x:c r="N1471" s="84"/>
      <x:c r="O1471" s="84" t="n">
        <x:v>0</x:v>
      </x:c>
      <x:c r="P1471" s="93" t="n">
        <x:v>43.23</x:v>
      </x:c>
      <x:c r="Q1471" s="93" t="n">
        <x:v>5874</x:v>
      </x:c>
      <x:c r="R1471" s="91" t="n">
        <x:v>0</x:v>
      </x:c>
    </x:row>
    <x:row r="1472">
      <x:c r="A1472" s="83" t="n">
        <x:v>1471</x:v>
      </x:c>
      <x:c r="B1472" s="84" t="str">
        <x:v>OS-2025-01471</x:v>
      </x:c>
      <x:c r="C1472" s="84" t="n">
        <x:v>51</x:v>
      </x:c>
      <x:c r="D1472" s="84" t="n">
        <x:v>5</x:v>
      </x:c>
      <x:c r="E1472" s="84" t="n">
        <x:v>102</x:v>
      </x:c>
      <x:c r="F1472" s="89" t="n">
        <x:v>45992.94646990741</x:v>
      </x:c>
      <x:c r="G1472" s="89" t="n">
        <x:v>46007.94646990741</x:v>
      </x:c>
      <x:c r="H1472" s="89" t="n">
        <x:v>45994.90480324074</x:v>
      </x:c>
      <x:c r="I1472" s="89"/>
      <x:c r="J1472" s="84" t="str">
        <x:v>Baixa</x:v>
      </x:c>
      <x:c r="K1472" s="84" t="str">
        <x:v>Aguardando peça</x:v>
      </x:c>
      <x:c r="L1472" s="84" t="str">
        <x:v>Desalinhamento</x:v>
      </x:c>
      <x:c r="M1472" s="84" t="str">
        <x:v>Contaminação</x:v>
      </x:c>
      <x:c r="N1472" s="84"/>
      <x:c r="O1472" s="84" t="n">
        <x:v>0</x:v>
      </x:c>
      <x:c r="P1472" s="93" t="n">
        <x:v>525.92</x:v>
      </x:c>
      <x:c r="Q1472" s="93" t="n">
        <x:v>0</x:v>
      </x:c>
      <x:c r="R1472" s="91" t="n">
        <x:v>0</x:v>
      </x:c>
    </x:row>
    <x:row r="1473">
      <x:c r="A1473" s="83" t="n">
        <x:v>1472</x:v>
      </x:c>
      <x:c r="B1473" s="84" t="str">
        <x:v>OS-2025-01472</x:v>
      </x:c>
      <x:c r="C1473" s="84" t="n">
        <x:v>77</x:v>
      </x:c>
      <x:c r="D1473" s="84" t="n">
        <x:v>2</x:v>
      </x:c>
      <x:c r="E1473" s="84"/>
      <x:c r="F1473" s="89" t="n">
        <x:v>45778.29545138889</x:v>
      </x:c>
      <x:c r="G1473" s="89" t="n">
        <x:v>45781.29545138889</x:v>
      </x:c>
      <x:c r="H1473" s="89" t="n">
        <x:v>45779.29545138889</x:v>
      </x:c>
      <x:c r="I1473" s="89"/>
      <x:c r="J1473" s="84" t="str">
        <x:v>Média</x:v>
      </x:c>
      <x:c r="K1473" s="84" t="str">
        <x:v>Aguardando peça</x:v>
      </x:c>
      <x:c r="L1473" s="84" t="str">
        <x:v>Ruído anormal</x:v>
      </x:c>
      <x:c r="M1473" s="84" t="str">
        <x:v>Componente danificado</x:v>
      </x:c>
      <x:c r="N1473" s="84"/>
      <x:c r="O1473" s="84" t="n">
        <x:v>0</x:v>
      </x:c>
      <x:c r="P1473" s="93" t="n">
        <x:v>509.83</x:v>
      </x:c>
      <x:c r="Q1473" s="93" t="n">
        <x:v>2171.74</x:v>
      </x:c>
      <x:c r="R1473" s="91" t="n">
        <x:v>0</x:v>
      </x:c>
    </x:row>
    <x:row r="1474">
      <x:c r="A1474" s="83" t="n">
        <x:v>1473</x:v>
      </x:c>
      <x:c r="B1474" s="84" t="str">
        <x:v>OS-2024-01473</x:v>
      </x:c>
      <x:c r="C1474" s="84" t="n">
        <x:v>28</x:v>
      </x:c>
      <x:c r="D1474" s="84" t="n">
        <x:v>1</x:v>
      </x:c>
      <x:c r="E1474" s="84" t="n">
        <x:v>55</x:v>
      </x:c>
      <x:c r="F1474" s="89" t="n">
        <x:v>45327.14200231482</x:v>
      </x:c>
      <x:c r="G1474" s="89" t="n">
        <x:v>45335.14200231482</x:v>
      </x:c>
      <x:c r="H1474" s="89" t="n">
        <x:v>45329.43366898148</x:v>
      </x:c>
      <x:c r="I1474" s="89" t="n">
        <x:v>45329.51700231482</x:v>
      </x:c>
      <x:c r="J1474" s="84" t="str">
        <x:v>Crítica</x:v>
      </x:c>
      <x:c r="K1474" s="84" t="str">
        <x:v>Encerrada</x:v>
      </x:c>
      <x:c r="L1474" s="84" t="str">
        <x:v>Ruído anormal</x:v>
      </x:c>
      <x:c r="M1474" s="84" t="str">
        <x:v>Componente danificado</x:v>
      </x:c>
      <x:c r="N1474" s="84" t="str">
        <x:v>Componente ajustado ou substituído</x:v>
      </x:c>
      <x:c r="O1474" s="84" t="n">
        <x:v>0</x:v>
      </x:c>
      <x:c r="P1474" s="93" t="n">
        <x:v>610.67</x:v>
      </x:c>
      <x:c r="Q1474" s="93" t="n">
        <x:v>4764.3</x:v>
      </x:c>
      <x:c r="R1474" s="91" t="n">
        <x:v>0</x:v>
      </x:c>
    </x:row>
    <x:row r="1475">
      <x:c r="A1475" s="83" t="n">
        <x:v>1474</x:v>
      </x:c>
      <x:c r="B1475" s="84" t="str">
        <x:v>OS-2024-01474</x:v>
      </x:c>
      <x:c r="C1475" s="84" t="n">
        <x:v>5</x:v>
      </x:c>
      <x:c r="D1475" s="84" t="n">
        <x:v>1</x:v>
      </x:c>
      <x:c r="E1475" s="84" t="n">
        <x:v>9</x:v>
      </x:c>
      <x:c r="F1475" s="89" t="n">
        <x:v>45603.500451388885</x:v>
      </x:c>
      <x:c r="G1475" s="89" t="n">
        <x:v>45609.500451388885</x:v>
      </x:c>
      <x:c r="H1475" s="89" t="n">
        <x:v>45604.79211805556</x:v>
      </x:c>
      <x:c r="I1475" s="89" t="n">
        <x:v>45605.58378472222</x:v>
      </x:c>
      <x:c r="J1475" s="84" t="str">
        <x:v>Média</x:v>
      </x:c>
      <x:c r="K1475" s="84" t="str">
        <x:v>Concluída</x:v>
      </x:c>
      <x:c r="L1475" s="84" t="str">
        <x:v>Falha elétrica</x:v>
      </x:c>
      <x:c r="M1475" s="84" t="str">
        <x:v>Contaminação</x:v>
      </x:c>
      <x:c r="N1475" s="84" t="str">
        <x:v>Componente ajustado ou substituído</x:v>
      </x:c>
      <x:c r="O1475" s="84" t="n">
        <x:v>0</x:v>
      </x:c>
      <x:c r="P1475" s="93" t="n">
        <x:v>722.03</x:v>
      </x:c>
      <x:c r="Q1475" s="93" t="n">
        <x:v>5436.4</x:v>
      </x:c>
      <x:c r="R1475" s="91" t="n">
        <x:v>0</x:v>
      </x:c>
    </x:row>
    <x:row r="1476">
      <x:c r="A1476" s="83" t="n">
        <x:v>1475</x:v>
      </x:c>
      <x:c r="B1476" s="84" t="str">
        <x:v>OS-2023-01475</x:v>
      </x:c>
      <x:c r="C1476" s="84" t="n">
        <x:v>38</x:v>
      </x:c>
      <x:c r="D1476" s="84" t="n">
        <x:v>3</x:v>
      </x:c>
      <x:c r="E1476" s="84"/>
      <x:c r="F1476" s="89" t="n">
        <x:v>45291.58128472222</x:v>
      </x:c>
      <x:c r="G1476" s="89"/>
      <x:c r="H1476" s="89" t="n">
        <x:v>45293.58128472222</x:v>
      </x:c>
      <x:c r="I1476" s="89" t="n">
        <x:v>45294.164618055554</x:v>
      </x:c>
      <x:c r="J1476" s="84" t="str">
        <x:v>Baixa</x:v>
      </x:c>
      <x:c r="K1476" s="84" t="str">
        <x:v>Encerrada</x:v>
      </x:c>
      <x:c r="L1476" s="84" t="str">
        <x:v>Ruído anormal</x:v>
      </x:c>
      <x:c r="M1476" s="84" t="str">
        <x:v>Desgaste natural</x:v>
      </x:c>
      <x:c r="N1476" s="84" t="str">
        <x:v>Componente ajustado ou substituído</x:v>
      </x:c>
      <x:c r="O1476" s="84" t="n">
        <x:v>0</x:v>
      </x:c>
      <x:c r="P1476" s="93" t="n">
        <x:v>41.41</x:v>
      </x:c>
      <x:c r="Q1476" s="93" t="n">
        <x:v>4604.56</x:v>
      </x:c>
      <x:c r="R1476" s="91" t="n">
        <x:v>0</x:v>
      </x:c>
    </x:row>
    <x:row r="1477">
      <x:c r="A1477" s="83" t="n">
        <x:v>1476</x:v>
      </x:c>
      <x:c r="B1477" s="84" t="str">
        <x:v>OS-2024-01476</x:v>
      </x:c>
      <x:c r="C1477" s="84" t="n">
        <x:v>85</x:v>
      </x:c>
      <x:c r="D1477" s="84" t="n">
        <x:v>1</x:v>
      </x:c>
      <x:c r="E1477" s="84" t="n">
        <x:v>170</x:v>
      </x:c>
      <x:c r="F1477" s="89" t="n">
        <x:v>45469.32157407407</x:v>
      </x:c>
      <x:c r="G1477" s="89" t="n">
        <x:v>45469.32157407407</x:v>
      </x:c>
      <x:c r="H1477" s="89" t="n">
        <x:v>45471.44657407407</x:v>
      </x:c>
      <x:c r="I1477" s="89" t="n">
        <x:v>45471.57157407407</x:v>
      </x:c>
      <x:c r="J1477" s="84" t="str">
        <x:v>Crítica</x:v>
      </x:c>
      <x:c r="K1477" s="84" t="str">
        <x:v>Encerrada</x:v>
      </x:c>
      <x:c r="L1477" s="84" t="str">
        <x:v>Falha elétrica</x:v>
      </x:c>
      <x:c r="M1477" s="84" t="str">
        <x:v>Componente danificado</x:v>
      </x:c>
      <x:c r="N1477" s="84" t="str">
        <x:v>Componente ajustado ou substituído</x:v>
      </x:c>
      <x:c r="O1477" s="84" t="n">
        <x:v>0</x:v>
      </x:c>
      <x:c r="P1477" s="93" t="n">
        <x:v>292.45</x:v>
      </x:c>
      <x:c r="Q1477" s="93" t="n">
        <x:v>13057.12</x:v>
      </x:c>
      <x:c r="R1477" s="91" t="n">
        <x:v>10573.15</x:v>
      </x:c>
    </x:row>
    <x:row r="1478">
      <x:c r="A1478" s="83" t="n">
        <x:v>1477</x:v>
      </x:c>
      <x:c r="B1478" s="84" t="str">
        <x:v>OS-2025-01477</x:v>
      </x:c>
      <x:c r="C1478" s="84" t="n">
        <x:v>14</x:v>
      </x:c>
      <x:c r="D1478" s="84" t="n">
        <x:v>6</x:v>
      </x:c>
      <x:c r="E1478" s="84"/>
      <x:c r="F1478" s="89" t="n">
        <x:v>45709.65416666667</x:v>
      </x:c>
      <x:c r="G1478" s="89" t="n">
        <x:v>45716.65416666667</x:v>
      </x:c>
      <x:c r="H1478" s="89" t="n">
        <x:v>45711.82083333333</x:v>
      </x:c>
      <x:c r="I1478" s="89" t="n">
        <x:v>45712.65416666667</x:v>
      </x:c>
      <x:c r="J1478" s="84" t="str">
        <x:v>Média</x:v>
      </x:c>
      <x:c r="K1478" s="84" t="str">
        <x:v>Encerrada</x:v>
      </x:c>
      <x:c r="L1478" s="84" t="str">
        <x:v>Falha elétrica</x:v>
      </x:c>
      <x:c r="M1478" s="84" t="str">
        <x:v>Falta de lubrificação</x:v>
      </x:c>
      <x:c r="N1478" s="84" t="str">
        <x:v>Componente ajustado ou substituído</x:v>
      </x:c>
      <x:c r="O1478" s="84" t="n">
        <x:v>0</x:v>
      </x:c>
      <x:c r="P1478" s="93" t="n">
        <x:v>492.82</x:v>
      </x:c>
      <x:c r="Q1478" s="93" t="n">
        <x:v>1468.5</x:v>
      </x:c>
      <x:c r="R1478" s="91" t="n">
        <x:v>0</x:v>
      </x:c>
    </x:row>
    <x:row r="1479">
      <x:c r="A1479" s="83" t="n">
        <x:v>1478</x:v>
      </x:c>
      <x:c r="B1479" s="84" t="str">
        <x:v>OS-2025-01478</x:v>
      </x:c>
      <x:c r="C1479" s="84" t="n">
        <x:v>4</x:v>
      </x:c>
      <x:c r="D1479" s="84" t="n">
        <x:v>9</x:v>
      </x:c>
      <x:c r="E1479" s="84"/>
      <x:c r="F1479" s="89" t="n">
        <x:v>45759.249560185184</x:v>
      </x:c>
      <x:c r="G1479" s="89" t="n">
        <x:v>45766.249560185184</x:v>
      </x:c>
      <x:c r="H1479" s="89"/>
      <x:c r="I1479" s="89"/>
      <x:c r="J1479" s="84" t="str">
        <x:v>Alta</x:v>
      </x:c>
      <x:c r="K1479" s="84" t="str">
        <x:v>Planejada</x:v>
      </x:c>
      <x:c r="L1479" s="84" t="str">
        <x:v>Desalinhamento</x:v>
      </x:c>
      <x:c r="M1479" s="84"/>
      <x:c r="N1479" s="84"/>
      <x:c r="O1479" s="84" t="n">
        <x:v>0</x:v>
      </x:c>
      <x:c r="P1479" s="93" t="n">
        <x:v>0</x:v>
      </x:c>
      <x:c r="Q1479" s="93" t="n">
        <x:v>0</x:v>
      </x:c>
      <x:c r="R1479" s="91" t="n">
        <x:v>0</x:v>
      </x:c>
    </x:row>
    <x:row r="1480">
      <x:c r="A1480" s="83" t="n">
        <x:v>1479</x:v>
      </x:c>
      <x:c r="B1480" s="84" t="str">
        <x:v>OS-2023-01479</x:v>
      </x:c>
      <x:c r="C1480" s="84" t="n">
        <x:v>41</x:v>
      </x:c>
      <x:c r="D1480" s="84" t="n">
        <x:v>2</x:v>
      </x:c>
      <x:c r="E1480" s="84"/>
      <x:c r="F1480" s="89" t="n">
        <x:v>45180.07738425926</x:v>
      </x:c>
      <x:c r="G1480" s="89" t="n">
        <x:v>45189.07738425926</x:v>
      </x:c>
      <x:c r="H1480" s="89" t="n">
        <x:v>45182.20238425926</x:v>
      </x:c>
      <x:c r="I1480" s="89" t="n">
        <x:v>45182.57738425926</x:v>
      </x:c>
      <x:c r="J1480" s="84" t="str">
        <x:v>Baixa</x:v>
      </x:c>
      <x:c r="K1480" s="84" t="str">
        <x:v>Encerrada</x:v>
      </x:c>
      <x:c r="L1480" s="84" t="str">
        <x:v>Baixa pressão</x:v>
      </x:c>
      <x:c r="M1480" s="84" t="str">
        <x:v>Falta de lubrificação</x:v>
      </x:c>
      <x:c r="N1480" s="84" t="str">
        <x:v>Componente ajustado ou substituído</x:v>
      </x:c>
      <x:c r="O1480" s="84" t="n">
        <x:v>0</x:v>
      </x:c>
      <x:c r="P1480" s="93" t="n">
        <x:v>403.17</x:v>
      </x:c>
      <x:c r="Q1480" s="93" t="n">
        <x:v>0</x:v>
      </x:c>
      <x:c r="R1480" s="91" t="n">
        <x:v>4435</x:v>
      </x:c>
    </x:row>
    <x:row r="1481">
      <x:c r="A1481" s="83" t="n">
        <x:v>1480</x:v>
      </x:c>
      <x:c r="B1481" s="84" t="str">
        <x:v>OS-2023-01480</x:v>
      </x:c>
      <x:c r="C1481" s="84" t="n">
        <x:v>50</x:v>
      </x:c>
      <x:c r="D1481" s="84" t="n">
        <x:v>3</x:v>
      </x:c>
      <x:c r="E1481" s="84"/>
      <x:c r="F1481" s="89" t="n">
        <x:v>45022.25806712963</x:v>
      </x:c>
      <x:c r="G1481" s="89"/>
      <x:c r="H1481" s="89" t="n">
        <x:v>45023.049733796295</x:v>
      </x:c>
      <x:c r="I1481" s="89" t="n">
        <x:v>45023.799733796295</x:v>
      </x:c>
      <x:c r="J1481" s="84" t="str">
        <x:v>Baixa</x:v>
      </x:c>
      <x:c r="K1481" s="84" t="str">
        <x:v>Encerrada</x:v>
      </x:c>
      <x:c r="L1481" s="84" t="str">
        <x:v>Ruído anormal</x:v>
      </x:c>
      <x:c r="M1481" s="84" t="str">
        <x:v>Conexão frouxa</x:v>
      </x:c>
      <x:c r="N1481" s="84" t="str">
        <x:v>Componente ajustado ou substituído</x:v>
      </x:c>
      <x:c r="O1481" s="84" t="n">
        <x:v>0</x:v>
      </x:c>
      <x:c r="P1481" s="93" t="n">
        <x:v>598.34</x:v>
      </x:c>
      <x:c r="Q1481" s="93" t="n">
        <x:v>0</x:v>
      </x:c>
      <x:c r="R1481" s="91" t="n">
        <x:v>0</x:v>
      </x:c>
    </x:row>
    <x:row r="1482">
      <x:c r="A1482" s="83" t="n">
        <x:v>1481</x:v>
      </x:c>
      <x:c r="B1482" s="84" t="str">
        <x:v>OS-2023-01481</x:v>
      </x:c>
      <x:c r="C1482" s="84" t="n">
        <x:v>63</x:v>
      </x:c>
      <x:c r="D1482" s="84" t="n">
        <x:v>5</x:v>
      </x:c>
      <x:c r="E1482" s="84" t="n">
        <x:v>125</x:v>
      </x:c>
      <x:c r="F1482" s="89" t="n">
        <x:v>45059.70891203704</x:v>
      </x:c>
      <x:c r="G1482" s="89" t="n">
        <x:v>45073.70891203704</x:v>
      </x:c>
      <x:c r="H1482" s="89" t="n">
        <x:v>45060.70891203704</x:v>
      </x:c>
      <x:c r="I1482" s="89"/>
      <x:c r="J1482" s="84" t="str">
        <x:v>Baixa</x:v>
      </x:c>
      <x:c r="K1482" s="84" t="str">
        <x:v>Aguardando peça</x:v>
      </x:c>
      <x:c r="L1482" s="84" t="str">
        <x:v>Desalinhamento</x:v>
      </x:c>
      <x:c r="M1482" s="84" t="str">
        <x:v>Desgaste natural</x:v>
      </x:c>
      <x:c r="N1482" s="84"/>
      <x:c r="O1482" s="84" t="n">
        <x:v>0</x:v>
      </x:c>
      <x:c r="P1482" s="93" t="n">
        <x:v>348.57</x:v>
      </x:c>
      <x:c r="Q1482" s="93" t="n">
        <x:v>8752</x:v>
      </x:c>
      <x:c r="R1482" s="91" t="n">
        <x:v>2569.11</x:v>
      </x:c>
    </x:row>
    <x:row r="1483">
      <x:c r="A1483" s="83" t="n">
        <x:v>1482</x:v>
      </x:c>
      <x:c r="B1483" s="84" t="str">
        <x:v>OS-2023-01482</x:v>
      </x:c>
      <x:c r="C1483" s="84" t="n">
        <x:v>59</x:v>
      </x:c>
      <x:c r="D1483" s="84" t="n">
        <x:v>3</x:v>
      </x:c>
      <x:c r="E1483" s="84"/>
      <x:c r="F1483" s="89" t="n">
        <x:v>45073.325057870374</x:v>
      </x:c>
      <x:c r="G1483" s="89"/>
      <x:c r="H1483" s="89" t="n">
        <x:v>45074.99172453704</x:v>
      </x:c>
      <x:c r="I1483" s="89" t="n">
        <x:v>45075.0333912037</x:v>
      </x:c>
      <x:c r="J1483" s="84" t="str">
        <x:v>Alta</x:v>
      </x:c>
      <x:c r="K1483" s="84" t="str">
        <x:v>Concluída</x:v>
      </x:c>
      <x:c r="L1483" s="84" t="str">
        <x:v>Baixa pressão</x:v>
      </x:c>
      <x:c r="M1483" s="84" t="str">
        <x:v>Falta de lubrificação</x:v>
      </x:c>
      <x:c r="N1483" s="84" t="str">
        <x:v>Componente ajustado ou substituído</x:v>
      </x:c>
      <x:c r="O1483" s="84" t="n">
        <x:v>0</x:v>
      </x:c>
      <x:c r="P1483" s="93" t="n">
        <x:v>221.91</x:v>
      </x:c>
      <x:c r="Q1483" s="93" t="n">
        <x:v>4657.41</x:v>
      </x:c>
      <x:c r="R1483" s="91" t="n">
        <x:v>12951.16</x:v>
      </x:c>
    </x:row>
    <x:row r="1484">
      <x:c r="A1484" s="83" t="n">
        <x:v>1483</x:v>
      </x:c>
      <x:c r="B1484" s="84" t="str">
        <x:v>OS-2023-01483</x:v>
      </x:c>
      <x:c r="C1484" s="84" t="n">
        <x:v>67</x:v>
      </x:c>
      <x:c r="D1484" s="84" t="n">
        <x:v>6</x:v>
      </x:c>
      <x:c r="E1484" s="84"/>
      <x:c r="F1484" s="89" t="n">
        <x:v>44951.86877314815</x:v>
      </x:c>
      <x:c r="G1484" s="89" t="n">
        <x:v>44952.86877314815</x:v>
      </x:c>
      <x:c r="H1484" s="89" t="n">
        <x:v>44954.11877314815</x:v>
      </x:c>
      <x:c r="I1484" s="89" t="n">
        <x:v>44954.53543981481</x:v>
      </x:c>
      <x:c r="J1484" s="84" t="str">
        <x:v>Média</x:v>
      </x:c>
      <x:c r="K1484" s="84" t="str">
        <x:v>Encerrada</x:v>
      </x:c>
      <x:c r="L1484" s="84" t="str">
        <x:v>Superaquecimento</x:v>
      </x:c>
      <x:c r="M1484" s="84" t="str">
        <x:v>Componente danificado</x:v>
      </x:c>
      <x:c r="N1484" s="84" t="str">
        <x:v>Componente ajustado ou substituído</x:v>
      </x:c>
      <x:c r="O1484" s="84" t="n">
        <x:v>0</x:v>
      </x:c>
      <x:c r="P1484" s="93" t="n">
        <x:v>476.73</x:v>
      </x:c>
      <x:c r="Q1484" s="93" t="n">
        <x:v>6437.32</x:v>
      </x:c>
      <x:c r="R1484" s="91" t="n">
        <x:v>0</x:v>
      </x:c>
    </x:row>
    <x:row r="1485">
      <x:c r="A1485" s="83" t="n">
        <x:v>1484</x:v>
      </x:c>
      <x:c r="B1485" s="84" t="str">
        <x:v>OS-2023-01484</x:v>
      </x:c>
      <x:c r="C1485" s="84" t="n">
        <x:v>66</x:v>
      </x:c>
      <x:c r="D1485" s="84" t="n">
        <x:v>1</x:v>
      </x:c>
      <x:c r="E1485" s="84" t="n">
        <x:v>132</x:v>
      </x:c>
      <x:c r="F1485" s="89" t="n">
        <x:v>45048.305810185186</x:v>
      </x:c>
      <x:c r="G1485" s="89" t="n">
        <x:v>45062.305810185186</x:v>
      </x:c>
      <x:c r="H1485" s="89" t="n">
        <x:v>45050.01414351852</x:v>
      </x:c>
      <x:c r="I1485" s="89" t="n">
        <x:v>45050.555810185186</x:v>
      </x:c>
      <x:c r="J1485" s="84" t="str">
        <x:v>Baixa</x:v>
      </x:c>
      <x:c r="K1485" s="84" t="str">
        <x:v>Encerrada</x:v>
      </x:c>
      <x:c r="L1485" s="84" t="str">
        <x:v>Ruído anormal</x:v>
      </x:c>
      <x:c r="M1485" s="84" t="str">
        <x:v>Desgaste natural</x:v>
      </x:c>
      <x:c r="N1485" s="84" t="str">
        <x:v>Componente ajustado ou substituído</x:v>
      </x:c>
      <x:c r="O1485" s="84" t="n">
        <x:v>0</x:v>
      </x:c>
      <x:c r="P1485" s="93" t="n">
        <x:v>304.98</x:v>
      </x:c>
      <x:c r="Q1485" s="93" t="n">
        <x:v>10104.22</x:v>
      </x:c>
      <x:c r="R1485" s="91" t="n">
        <x:v>0</x:v>
      </x:c>
    </x:row>
    <x:row r="1486">
      <x:c r="A1486" s="83" t="n">
        <x:v>1485</x:v>
      </x:c>
      <x:c r="B1486" s="84" t="str">
        <x:v>OS-2024-01485</x:v>
      </x:c>
      <x:c r="C1486" s="84" t="n">
        <x:v>22</x:v>
      </x:c>
      <x:c r="D1486" s="84" t="n">
        <x:v>3</x:v>
      </x:c>
      <x:c r="E1486" s="84"/>
      <x:c r="F1486" s="89" t="n">
        <x:v>45567.487337962964</x:v>
      </x:c>
      <x:c r="G1486" s="89"/>
      <x:c r="H1486" s="89" t="n">
        <x:v>45570.15400462963</x:v>
      </x:c>
      <x:c r="I1486" s="89" t="n">
        <x:v>45570.65400462963</x:v>
      </x:c>
      <x:c r="J1486" s="84" t="str">
        <x:v>Média</x:v>
      </x:c>
      <x:c r="K1486" s="84" t="str">
        <x:v>Encerrada</x:v>
      </x:c>
      <x:c r="L1486" s="84" t="str">
        <x:v>Ruído anormal</x:v>
      </x:c>
      <x:c r="M1486" s="84" t="str">
        <x:v>Componente danificado</x:v>
      </x:c>
      <x:c r="N1486" s="84" t="str">
        <x:v>Componente ajustado ou substituído</x:v>
      </x:c>
      <x:c r="O1486" s="84" t="n">
        <x:v>0</x:v>
      </x:c>
      <x:c r="P1486" s="93" t="n">
        <x:v>179.11</x:v>
      </x:c>
      <x:c r="Q1486" s="93" t="n">
        <x:v>0</x:v>
      </x:c>
      <x:c r="R1486" s="91" t="n">
        <x:v>0</x:v>
      </x:c>
    </x:row>
    <x:row r="1487">
      <x:c r="A1487" s="83" t="n">
        <x:v>1486</x:v>
      </x:c>
      <x:c r="B1487" s="84" t="str">
        <x:v>OS-2025-01486</x:v>
      </x:c>
      <x:c r="C1487" s="84" t="n">
        <x:v>58</x:v>
      </x:c>
      <x:c r="D1487" s="84" t="n">
        <x:v>4</x:v>
      </x:c>
      <x:c r="E1487" s="84"/>
      <x:c r="F1487" s="89" t="n">
        <x:v>45890.00234953704</x:v>
      </x:c>
      <x:c r="G1487" s="89" t="n">
        <x:v>45904.00234953704</x:v>
      </x:c>
      <x:c r="H1487" s="89" t="n">
        <x:v>45890.08568287037</x:v>
      </x:c>
      <x:c r="I1487" s="89" t="n">
        <x:v>45890.544016203705</x:v>
      </x:c>
      <x:c r="J1487" s="84" t="str">
        <x:v>Crítica</x:v>
      </x:c>
      <x:c r="K1487" s="84" t="str">
        <x:v>Encerrada</x:v>
      </x:c>
      <x:c r="L1487" s="84" t="str">
        <x:v>Baixa pressão</x:v>
      </x:c>
      <x:c r="M1487" s="84" t="str">
        <x:v>Falta de lubrificação</x:v>
      </x:c>
      <x:c r="N1487" s="84" t="str">
        <x:v>Componente ajustado ou substituído</x:v>
      </x:c>
      <x:c r="O1487" s="84" t="n">
        <x:v>0</x:v>
      </x:c>
      <x:c r="P1487" s="93" t="n">
        <x:v>373.21</x:v>
      </x:c>
      <x:c r="Q1487" s="93" t="n">
        <x:v>10822.66</x:v>
      </x:c>
      <x:c r="R1487" s="91" t="n">
        <x:v>0</x:v>
      </x:c>
    </x:row>
    <x:row r="1488">
      <x:c r="A1488" s="83" t="n">
        <x:v>1487</x:v>
      </x:c>
      <x:c r="B1488" s="84" t="str">
        <x:v>OS-2024-01487</x:v>
      </x:c>
      <x:c r="C1488" s="84" t="n">
        <x:v>56</x:v>
      </x:c>
      <x:c r="D1488" s="84" t="n">
        <x:v>1</x:v>
      </x:c>
      <x:c r="E1488" s="84" t="n">
        <x:v>111</x:v>
      </x:c>
      <x:c r="F1488" s="89" t="n">
        <x:v>45574.57099537037</x:v>
      </x:c>
      <x:c r="G1488" s="89" t="n">
        <x:v>45577.57099537037</x:v>
      </x:c>
      <x:c r="H1488" s="89" t="n">
        <x:v>45575.69599537037</x:v>
      </x:c>
      <x:c r="I1488" s="89" t="n">
        <x:v>45575.987662037034</x:v>
      </x:c>
      <x:c r="J1488" s="84" t="str">
        <x:v>Baixa</x:v>
      </x:c>
      <x:c r="K1488" s="84" t="str">
        <x:v>Concluída</x:v>
      </x:c>
      <x:c r="L1488" s="84" t="str">
        <x:v>Ruído anormal</x:v>
      </x:c>
      <x:c r="M1488" s="84" t="str">
        <x:v>Componente danificado</x:v>
      </x:c>
      <x:c r="N1488" s="84" t="str">
        <x:v>Componente ajustado ou substituído</x:v>
      </x:c>
      <x:c r="O1488" s="84" t="n">
        <x:v>0</x:v>
      </x:c>
      <x:c r="P1488" s="93" t="n">
        <x:v>403.88</x:v>
      </x:c>
      <x:c r="Q1488" s="93" t="n">
        <x:v>3457.08</x:v>
      </x:c>
      <x:c r="R1488" s="91" t="n">
        <x:v>0</x:v>
      </x:c>
    </x:row>
    <x:row r="1489">
      <x:c r="A1489" s="83" t="n">
        <x:v>1488</x:v>
      </x:c>
      <x:c r="B1489" s="84" t="str">
        <x:v>OS-2023-01488</x:v>
      </x:c>
      <x:c r="C1489" s="84" t="n">
        <x:v>86</x:v>
      </x:c>
      <x:c r="D1489" s="84" t="n">
        <x:v>2</x:v>
      </x:c>
      <x:c r="E1489" s="84"/>
      <x:c r="F1489" s="89" t="n">
        <x:v>44956.891064814816</x:v>
      </x:c>
      <x:c r="G1489" s="89" t="n">
        <x:v>44970.891064814816</x:v>
      </x:c>
      <x:c r="H1489" s="89" t="n">
        <x:v>44958.80773148148</x:v>
      </x:c>
      <x:c r="I1489" s="89" t="n">
        <x:v>44959.43273148148</x:v>
      </x:c>
      <x:c r="J1489" s="84" t="str">
        <x:v>Média</x:v>
      </x:c>
      <x:c r="K1489" s="84" t="str">
        <x:v>Encerrada</x:v>
      </x:c>
      <x:c r="L1489" s="84" t="str">
        <x:v>Superaquecimento</x:v>
      </x:c>
      <x:c r="M1489" s="84" t="str">
        <x:v>Ajuste incorreto</x:v>
      </x:c>
      <x:c r="N1489" s="84" t="str">
        <x:v>Componente ajustado ou substituído</x:v>
      </x:c>
      <x:c r="O1489" s="84" t="n">
        <x:v>0</x:v>
      </x:c>
      <x:c r="P1489" s="93" t="n">
        <x:v>21.22</x:v>
      </x:c>
      <x:c r="Q1489" s="93" t="n">
        <x:v>0</x:v>
      </x:c>
      <x:c r="R1489" s="91" t="n">
        <x:v>0</x:v>
      </x:c>
    </x:row>
    <x:row r="1490">
      <x:c r="A1490" s="83" t="n">
        <x:v>1489</x:v>
      </x:c>
      <x:c r="B1490" s="84" t="str">
        <x:v>OS-2023-01489</x:v>
      </x:c>
      <x:c r="C1490" s="84" t="n">
        <x:v>82</x:v>
      </x:c>
      <x:c r="D1490" s="84" t="n">
        <x:v>1</x:v>
      </x:c>
      <x:c r="E1490" s="84" t="n">
        <x:v>163</x:v>
      </x:c>
      <x:c r="F1490" s="89" t="n">
        <x:v>45276.88099537037</x:v>
      </x:c>
      <x:c r="G1490" s="89" t="n">
        <x:v>45290.88099537037</x:v>
      </x:c>
      <x:c r="H1490" s="89" t="n">
        <x:v>45279.0893287037</x:v>
      </x:c>
      <x:c r="I1490" s="89" t="n">
        <x:v>45279.88099537037</x:v>
      </x:c>
      <x:c r="J1490" s="84" t="str">
        <x:v>Crítica</x:v>
      </x:c>
      <x:c r="K1490" s="84" t="str">
        <x:v>Encerrada</x:v>
      </x:c>
      <x:c r="L1490" s="84" t="str">
        <x:v>Baixa pressão</x:v>
      </x:c>
      <x:c r="M1490" s="84" t="str">
        <x:v>Desgaste natural</x:v>
      </x:c>
      <x:c r="N1490" s="84" t="str">
        <x:v>Componente ajustado ou substituído</x:v>
      </x:c>
      <x:c r="O1490" s="84" t="n">
        <x:v>0</x:v>
      </x:c>
      <x:c r="P1490" s="93" t="n">
        <x:v>412.64</x:v>
      </x:c>
      <x:c r="Q1490" s="93" t="n">
        <x:v>13343.99</x:v>
      </x:c>
      <x:c r="R1490" s="91" t="n">
        <x:v>0</x:v>
      </x:c>
    </x:row>
    <x:row r="1491">
      <x:c r="A1491" s="83" t="n">
        <x:v>1490</x:v>
      </x:c>
      <x:c r="B1491" s="84" t="str">
        <x:v>OS-2025-01490</x:v>
      </x:c>
      <x:c r="C1491" s="84" t="n">
        <x:v>17</x:v>
      </x:c>
      <x:c r="D1491" s="84" t="n">
        <x:v>8</x:v>
      </x:c>
      <x:c r="E1491" s="84"/>
      <x:c r="F1491" s="89" t="n">
        <x:v>45843.690347222226</x:v>
      </x:c>
      <x:c r="G1491" s="89" t="n">
        <x:v>45853.690347222226</x:v>
      </x:c>
      <x:c r="H1491" s="89" t="n">
        <x:v>45845.73201388889</x:v>
      </x:c>
      <x:c r="I1491" s="89" t="n">
        <x:v>45846.398680555554</x:v>
      </x:c>
      <x:c r="J1491" s="84" t="str">
        <x:v>Alta</x:v>
      </x:c>
      <x:c r="K1491" s="84" t="str">
        <x:v>Encerrada</x:v>
      </x:c>
      <x:c r="L1491" s="84" t="str">
        <x:v>Alarme intermitente</x:v>
      </x:c>
      <x:c r="M1491" s="84" t="str">
        <x:v>Contaminação</x:v>
      </x:c>
      <x:c r="N1491" s="84" t="str">
        <x:v>Componente ajustado ou substituído</x:v>
      </x:c>
      <x:c r="O1491" s="84" t="n">
        <x:v>0</x:v>
      </x:c>
      <x:c r="P1491" s="93" t="n">
        <x:v>831.58</x:v>
      </x:c>
      <x:c r="Q1491" s="93" t="n">
        <x:v>8763.18</x:v>
      </x:c>
      <x:c r="R1491" s="91" t="n">
        <x:v>0</x:v>
      </x:c>
    </x:row>
    <x:row r="1492">
      <x:c r="A1492" s="83" t="n">
        <x:v>1491</x:v>
      </x:c>
      <x:c r="B1492" s="84" t="str">
        <x:v>OS-2024-01491</x:v>
      </x:c>
      <x:c r="C1492" s="84" t="n">
        <x:v>58</x:v>
      </x:c>
      <x:c r="D1492" s="84" t="n">
        <x:v>2</x:v>
      </x:c>
      <x:c r="E1492" s="84"/>
      <x:c r="F1492" s="89" t="n">
        <x:v>45655.087592592594</x:v>
      </x:c>
      <x:c r="G1492" s="89" t="n">
        <x:v>45666.087592592594</x:v>
      </x:c>
      <x:c r="H1492" s="89" t="n">
        <x:v>45657.67092592592</x:v>
      </x:c>
      <x:c r="I1492" s="89" t="n">
        <x:v>45657.712592592594</x:v>
      </x:c>
      <x:c r="J1492" s="84" t="str">
        <x:v>Alta</x:v>
      </x:c>
      <x:c r="K1492" s="84" t="str">
        <x:v>Encerrada</x:v>
      </x:c>
      <x:c r="L1492" s="84" t="str">
        <x:v>Superaquecimento</x:v>
      </x:c>
      <x:c r="M1492" s="84" t="str">
        <x:v>Falta de lubrificação</x:v>
      </x:c>
      <x:c r="N1492" s="84" t="str">
        <x:v>Componente ajustado ou substituído</x:v>
      </x:c>
      <x:c r="O1492" s="84" t="n">
        <x:v>0</x:v>
      </x:c>
      <x:c r="P1492" s="93" t="n">
        <x:v>726.78</x:v>
      </x:c>
      <x:c r="Q1492" s="93" t="n">
        <x:v>0</x:v>
      </x:c>
      <x:c r="R1492" s="91" t="n">
        <x:v>12043.62</x:v>
      </x:c>
    </x:row>
    <x:row r="1493">
      <x:c r="A1493" s="83" t="n">
        <x:v>1492</x:v>
      </x:c>
      <x:c r="B1493" s="84" t="str">
        <x:v>OS-2025-01492</x:v>
      </x:c>
      <x:c r="C1493" s="84" t="n">
        <x:v>85</x:v>
      </x:c>
      <x:c r="D1493" s="84" t="n">
        <x:v>8</x:v>
      </x:c>
      <x:c r="E1493" s="84"/>
      <x:c r="F1493" s="89" t="n">
        <x:v>45849.68959490741</x:v>
      </x:c>
      <x:c r="G1493" s="89" t="n">
        <x:v>45853.68959490741</x:v>
      </x:c>
      <x:c r="H1493" s="89" t="n">
        <x:v>45849.81459490741</x:v>
      </x:c>
      <x:c r="I1493" s="89" t="n">
        <x:v>45850.31459490741</x:v>
      </x:c>
      <x:c r="J1493" s="84" t="str">
        <x:v>Alta</x:v>
      </x:c>
      <x:c r="K1493" s="84" t="str">
        <x:v>Encerrada</x:v>
      </x:c>
      <x:c r="L1493" s="84" t="str">
        <x:v>Superaquecimento</x:v>
      </x:c>
      <x:c r="M1493" s="84" t="str">
        <x:v>Desgaste natural</x:v>
      </x:c>
      <x:c r="N1493" s="84" t="str">
        <x:v>Componente ajustado ou substituído</x:v>
      </x:c>
      <x:c r="O1493" s="84" t="n">
        <x:v>0</x:v>
      </x:c>
      <x:c r="P1493" s="93" t="n">
        <x:v>1003.24</x:v>
      </x:c>
      <x:c r="Q1493" s="93" t="n">
        <x:v>3538.95</x:v>
      </x:c>
      <x:c r="R1493" s="91" t="n">
        <x:v>0</x:v>
      </x:c>
    </x:row>
    <x:row r="1494">
      <x:c r="A1494" s="83" t="n">
        <x:v>1493</x:v>
      </x:c>
      <x:c r="B1494" s="84" t="str">
        <x:v>OS-2023-01493</x:v>
      </x:c>
      <x:c r="C1494" s="84" t="n">
        <x:v>90</x:v>
      </x:c>
      <x:c r="D1494" s="84" t="n">
        <x:v>1</x:v>
      </x:c>
      <x:c r="E1494" s="84" t="n">
        <x:v>180</x:v>
      </x:c>
      <x:c r="F1494" s="89" t="n">
        <x:v>45235.642743055556</x:v>
      </x:c>
      <x:c r="G1494" s="89" t="n">
        <x:v>45246.642743055556</x:v>
      </x:c>
      <x:c r="H1494" s="89" t="n">
        <x:v>45238.517743055556</x:v>
      </x:c>
      <x:c r="I1494" s="89" t="n">
        <x:v>45238.642743055556</x:v>
      </x:c>
      <x:c r="J1494" s="84" t="str">
        <x:v>Baixa</x:v>
      </x:c>
      <x:c r="K1494" s="84" t="str">
        <x:v>Encerrada</x:v>
      </x:c>
      <x:c r="L1494" s="84" t="str">
        <x:v>Desalinhamento</x:v>
      </x:c>
      <x:c r="M1494" s="84" t="str">
        <x:v>Desgaste natural</x:v>
      </x:c>
      <x:c r="N1494" s="84" t="str">
        <x:v>Componente ajustado ou substituído</x:v>
      </x:c>
      <x:c r="O1494" s="84" t="n">
        <x:v>0</x:v>
      </x:c>
      <x:c r="P1494" s="93" t="n">
        <x:v>201.89</x:v>
      </x:c>
      <x:c r="Q1494" s="93" t="n">
        <x:v>0</x:v>
      </x:c>
      <x:c r="R1494" s="91" t="n">
        <x:v>0</x:v>
      </x:c>
    </x:row>
    <x:row r="1495">
      <x:c r="A1495" s="83" t="n">
        <x:v>1494</x:v>
      </x:c>
      <x:c r="B1495" s="84" t="str">
        <x:v>OS-2025-01494</x:v>
      </x:c>
      <x:c r="C1495" s="84" t="n">
        <x:v>51</x:v>
      </x:c>
      <x:c r="D1495" s="84" t="n">
        <x:v>7</x:v>
      </x:c>
      <x:c r="E1495" s="84" t="n">
        <x:v>102</x:v>
      </x:c>
      <x:c r="F1495" s="89" t="n">
        <x:v>45991.21703703704</x:v>
      </x:c>
      <x:c r="G1495" s="89" t="n">
        <x:v>45993.21703703704</x:v>
      </x:c>
      <x:c r="H1495" s="89" t="n">
        <x:v>45992.6337037037</x:v>
      </x:c>
      <x:c r="I1495" s="89" t="n">
        <x:v>45993.1337037037</x:v>
      </x:c>
      <x:c r="J1495" s="84" t="str">
        <x:v>Alta</x:v>
      </x:c>
      <x:c r="K1495" s="84" t="str">
        <x:v>Encerrada</x:v>
      </x:c>
      <x:c r="L1495" s="84" t="str">
        <x:v>Baixa pressão</x:v>
      </x:c>
      <x:c r="M1495" s="84" t="str">
        <x:v>Ajuste incorreto</x:v>
      </x:c>
      <x:c r="N1495" s="84" t="str">
        <x:v>Componente ajustado ou substituído</x:v>
      </x:c>
      <x:c r="O1495" s="84" t="n">
        <x:v>0</x:v>
      </x:c>
      <x:c r="P1495" s="93" t="n">
        <x:v>770.66</x:v>
      </x:c>
      <x:c r="Q1495" s="93" t="n">
        <x:v>3961.9</x:v>
      </x:c>
      <x:c r="R1495" s="91" t="n">
        <x:v>0</x:v>
      </x:c>
    </x:row>
    <x:row r="1496">
      <x:c r="A1496" s="83" t="n">
        <x:v>1495</x:v>
      </x:c>
      <x:c r="B1496" s="84" t="str">
        <x:v>OS-2023-01495</x:v>
      </x:c>
      <x:c r="C1496" s="84" t="n">
        <x:v>30</x:v>
      </x:c>
      <x:c r="D1496" s="84" t="n">
        <x:v>1</x:v>
      </x:c>
      <x:c r="E1496" s="84" t="n">
        <x:v>59</x:v>
      </x:c>
      <x:c r="F1496" s="89" t="n">
        <x:v>45006.24335648148</x:v>
      </x:c>
      <x:c r="G1496" s="89" t="n">
        <x:v>45012.24335648148</x:v>
      </x:c>
      <x:c r="H1496" s="89" t="n">
        <x:v>45009.076689814814</x:v>
      </x:c>
      <x:c r="I1496" s="89" t="n">
        <x:v>45009.201689814814</x:v>
      </x:c>
      <x:c r="J1496" s="84" t="str">
        <x:v>Média</x:v>
      </x:c>
      <x:c r="K1496" s="84" t="str">
        <x:v>Encerrada</x:v>
      </x:c>
      <x:c r="L1496" s="84" t="str">
        <x:v>Superaquecimento</x:v>
      </x:c>
      <x:c r="M1496" s="84" t="str">
        <x:v>Conexão frouxa</x:v>
      </x:c>
      <x:c r="N1496" s="84" t="str">
        <x:v>Componente ajustado ou substituído</x:v>
      </x:c>
      <x:c r="O1496" s="84" t="n">
        <x:v>0</x:v>
      </x:c>
      <x:c r="P1496" s="93" t="n">
        <x:v>685.75</x:v>
      </x:c>
      <x:c r="Q1496" s="93" t="n">
        <x:v>1604.1</x:v>
      </x:c>
      <x:c r="R1496" s="91" t="n">
        <x:v>0</x:v>
      </x:c>
    </x:row>
    <x:row r="1497">
      <x:c r="A1497" s="83" t="n">
        <x:v>1496</x:v>
      </x:c>
      <x:c r="B1497" s="84" t="str">
        <x:v>OS-2024-01496</x:v>
      </x:c>
      <x:c r="C1497" s="84" t="n">
        <x:v>52</x:v>
      </x:c>
      <x:c r="D1497" s="84" t="n">
        <x:v>3</x:v>
      </x:c>
      <x:c r="E1497" s="84"/>
      <x:c r="F1497" s="89" t="n">
        <x:v>45546.75083333333</x:v>
      </x:c>
      <x:c r="G1497" s="89"/>
      <x:c r="H1497" s="89"/>
      <x:c r="I1497" s="89"/>
      <x:c r="J1497" s="84" t="str">
        <x:v>Alta</x:v>
      </x:c>
      <x:c r="K1497" s="84" t="str">
        <x:v>Planejada</x:v>
      </x:c>
      <x:c r="L1497" s="84" t="str">
        <x:v>Ruído anormal</x:v>
      </x:c>
      <x:c r="M1497" s="84"/>
      <x:c r="N1497" s="84"/>
      <x:c r="O1497" s="84" t="n">
        <x:v>0</x:v>
      </x:c>
      <x:c r="P1497" s="93" t="n">
        <x:v>0</x:v>
      </x:c>
      <x:c r="Q1497" s="93" t="n">
        <x:v>0</x:v>
      </x:c>
      <x:c r="R1497" s="91" t="n">
        <x:v>0</x:v>
      </x:c>
    </x:row>
    <x:row r="1498">
      <x:c r="A1498" s="83" t="n">
        <x:v>1497</x:v>
      </x:c>
      <x:c r="B1498" s="84" t="str">
        <x:v>OS-2024-01497</x:v>
      </x:c>
      <x:c r="C1498" s="84" t="n">
        <x:v>88</x:v>
      </x:c>
      <x:c r="D1498" s="84" t="n">
        <x:v>3</x:v>
      </x:c>
      <x:c r="E1498" s="84"/>
      <x:c r="F1498" s="89" t="n">
        <x:v>45522.32524305556</x:v>
      </x:c>
      <x:c r="G1498" s="89"/>
      <x:c r="H1498" s="89" t="n">
        <x:v>45524.45024305556</x:v>
      </x:c>
      <x:c r="I1498" s="89" t="n">
        <x:v>45524.61690972222</x:v>
      </x:c>
      <x:c r="J1498" s="84" t="str">
        <x:v>Alta</x:v>
      </x:c>
      <x:c r="K1498" s="84" t="str">
        <x:v>Encerrada</x:v>
      </x:c>
      <x:c r="L1498" s="84" t="str">
        <x:v>Vazamento</x:v>
      </x:c>
      <x:c r="M1498" s="84" t="str">
        <x:v>Conexão frouxa</x:v>
      </x:c>
      <x:c r="N1498" s="84" t="str">
        <x:v>Componente ajustado ou substituído</x:v>
      </x:c>
      <x:c r="O1498" s="84" t="n">
        <x:v>0</x:v>
      </x:c>
      <x:c r="P1498" s="93" t="n">
        <x:v>191.18</x:v>
      </x:c>
      <x:c r="Q1498" s="93" t="n">
        <x:v>3055.22</x:v>
      </x:c>
      <x:c r="R1498" s="91" t="n">
        <x:v>0</x:v>
      </x:c>
    </x:row>
    <x:row r="1499">
      <x:c r="A1499" s="83" t="n">
        <x:v>1498</x:v>
      </x:c>
      <x:c r="B1499" s="84" t="str">
        <x:v>OS-2025-01498</x:v>
      </x:c>
      <x:c r="C1499" s="84" t="n">
        <x:v>75</x:v>
      </x:c>
      <x:c r="D1499" s="84" t="n">
        <x:v>6</x:v>
      </x:c>
      <x:c r="E1499" s="84"/>
      <x:c r="F1499" s="89" t="n">
        <x:v>45838.424479166664</x:v>
      </x:c>
      <x:c r="G1499" s="89" t="n">
        <x:v>45842.424479166664</x:v>
      </x:c>
      <x:c r="H1499" s="89" t="n">
        <x:v>45839.8828125</x:v>
      </x:c>
      <x:c r="I1499" s="89" t="n">
        <x:v>45840.3828125</x:v>
      </x:c>
      <x:c r="J1499" s="84" t="str">
        <x:v>Baixa</x:v>
      </x:c>
      <x:c r="K1499" s="84" t="str">
        <x:v>Concluída</x:v>
      </x:c>
      <x:c r="L1499" s="84" t="str">
        <x:v>Superaquecimento</x:v>
      </x:c>
      <x:c r="M1499" s="84" t="str">
        <x:v>Componente danificado</x:v>
      </x:c>
      <x:c r="N1499" s="84" t="str">
        <x:v>Componente ajustado ou substituído</x:v>
      </x:c>
      <x:c r="O1499" s="84" t="n">
        <x:v>0</x:v>
      </x:c>
      <x:c r="P1499" s="93" t="n">
        <x:v>474.36</x:v>
      </x:c>
      <x:c r="Q1499" s="93" t="n">
        <x:v>8974.76</x:v>
      </x:c>
      <x:c r="R1499" s="91" t="n">
        <x:v>0</x:v>
      </x:c>
    </x:row>
    <x:row r="1500">
      <x:c r="A1500" s="83" t="n">
        <x:v>1499</x:v>
      </x:c>
      <x:c r="B1500" s="84" t="str">
        <x:v>OS-2025-01499</x:v>
      </x:c>
      <x:c r="C1500" s="84" t="n">
        <x:v>28</x:v>
      </x:c>
      <x:c r="D1500" s="84" t="n">
        <x:v>1</x:v>
      </x:c>
      <x:c r="E1500" s="84" t="n">
        <x:v>56</x:v>
      </x:c>
      <x:c r="F1500" s="89" t="n">
        <x:v>45963.320243055554</x:v>
      </x:c>
      <x:c r="G1500" s="89" t="n">
        <x:v>45976.320243055554</x:v>
      </x:c>
      <x:c r="H1500" s="89" t="n">
        <x:v>45964.361909722225</x:v>
      </x:c>
      <x:c r="I1500" s="89" t="n">
        <x:v>45964.40357638889</x:v>
      </x:c>
      <x:c r="J1500" s="84" t="str">
        <x:v>Crítica</x:v>
      </x:c>
      <x:c r="K1500" s="84" t="str">
        <x:v>Encerrada</x:v>
      </x:c>
      <x:c r="L1500" s="84" t="str">
        <x:v>Vazamento</x:v>
      </x:c>
      <x:c r="M1500" s="84" t="str">
        <x:v>Falta de lubrificação</x:v>
      </x:c>
      <x:c r="N1500" s="84" t="str">
        <x:v>Componente ajustado ou substituído</x:v>
      </x:c>
      <x:c r="O1500" s="84" t="n">
        <x:v>0</x:v>
      </x:c>
      <x:c r="P1500" s="93" t="n">
        <x:v>162.33</x:v>
      </x:c>
      <x:c r="Q1500" s="93" t="n">
        <x:v>5663.27</x:v>
      </x:c>
      <x:c r="R1500" s="91" t="n">
        <x:v>0</x:v>
      </x:c>
    </x:row>
    <x:row r="1501">
      <x:c r="A1501" s="83" t="n">
        <x:v>1500</x:v>
      </x:c>
      <x:c r="B1501" s="84" t="str">
        <x:v>OS-2023-01500</x:v>
      </x:c>
      <x:c r="C1501" s="84" t="n">
        <x:v>47</x:v>
      </x:c>
      <x:c r="D1501" s="84" t="n">
        <x:v>3</x:v>
      </x:c>
      <x:c r="E1501" s="84"/>
      <x:c r="F1501" s="89" t="n">
        <x:v>45077.607777777775</x:v>
      </x:c>
      <x:c r="G1501" s="89"/>
      <x:c r="H1501" s="89" t="n">
        <x:v>45079.56611111111</x:v>
      </x:c>
      <x:c r="I1501" s="89" t="n">
        <x:v>45079.732777777775</x:v>
      </x:c>
      <x:c r="J1501" s="84" t="str">
        <x:v>Média</x:v>
      </x:c>
      <x:c r="K1501" s="84" t="str">
        <x:v>Concluída</x:v>
      </x:c>
      <x:c r="L1501" s="84" t="str">
        <x:v>Falha elétrica</x:v>
      </x:c>
      <x:c r="M1501" s="84" t="str">
        <x:v>Desgaste natural</x:v>
      </x:c>
      <x:c r="N1501" s="84" t="str">
        <x:v>Componente ajustado ou substituído</x:v>
      </x:c>
      <x:c r="O1501" s="84" t="n">
        <x:v>0</x:v>
      </x:c>
      <x:c r="P1501" s="93" t="n">
        <x:v>300.06</x:v>
      </x:c>
      <x:c r="Q1501" s="93" t="n">
        <x:v>5778.91</x:v>
      </x:c>
      <x:c r="R1501" s="91" t="n">
        <x:v>12257.68</x:v>
      </x:c>
    </x:row>
    <x:row r="1502">
      <x:c r="A1502" s="83" t="n">
        <x:v>1501</x:v>
      </x:c>
      <x:c r="B1502" s="84" t="str">
        <x:v>OS-2024-01501</x:v>
      </x:c>
      <x:c r="C1502" s="84" t="n">
        <x:v>1</x:v>
      </x:c>
      <x:c r="D1502" s="84" t="n">
        <x:v>1</x:v>
      </x:c>
      <x:c r="E1502" s="84" t="n">
        <x:v>2</x:v>
      </x:c>
      <x:c r="F1502" s="89" t="n">
        <x:v>45420.70574074074</x:v>
      </x:c>
      <x:c r="G1502" s="89" t="n">
        <x:v>45431.70574074074</x:v>
      </x:c>
      <x:c r="H1502" s="89" t="n">
        <x:v>45421.91407407408</x:v>
      </x:c>
      <x:c r="I1502" s="89" t="n">
        <x:v>45422.747407407405</x:v>
      </x:c>
      <x:c r="J1502" s="84" t="str">
        <x:v>Crítica</x:v>
      </x:c>
      <x:c r="K1502" s="84" t="str">
        <x:v>Encerrada</x:v>
      </x:c>
      <x:c r="L1502" s="84" t="str">
        <x:v>Ruído anormal</x:v>
      </x:c>
      <x:c r="M1502" s="84" t="str">
        <x:v>Falta de lubrificação</x:v>
      </x:c>
      <x:c r="N1502" s="84" t="str">
        <x:v>Componente ajustado ou substituído</x:v>
      </x:c>
      <x:c r="O1502" s="84" t="n">
        <x:v>0</x:v>
      </x:c>
      <x:c r="P1502" s="93" t="n">
        <x:v>487.16</x:v>
      </x:c>
      <x:c r="Q1502" s="93" t="n">
        <x:v>3499.44</x:v>
      </x:c>
      <x:c r="R1502" s="91" t="n">
        <x:v>1719.88</x:v>
      </x:c>
    </x:row>
    <x:row r="1503">
      <x:c r="A1503" s="83" t="n">
        <x:v>1502</x:v>
      </x:c>
      <x:c r="B1503" s="84" t="str">
        <x:v>OS-2024-01502</x:v>
      </x:c>
      <x:c r="C1503" s="84" t="n">
        <x:v>73</x:v>
      </x:c>
      <x:c r="D1503" s="84" t="n">
        <x:v>3</x:v>
      </x:c>
      <x:c r="E1503" s="84"/>
      <x:c r="F1503" s="89" t="n">
        <x:v>45614.72523148148</x:v>
      </x:c>
      <x:c r="G1503" s="89"/>
      <x:c r="H1503" s="89" t="n">
        <x:v>45617.60023148148</x:v>
      </x:c>
      <x:c r="I1503" s="89" t="n">
        <x:v>45618.22523148148</x:v>
      </x:c>
      <x:c r="J1503" s="84" t="str">
        <x:v>Alta</x:v>
      </x:c>
      <x:c r="K1503" s="84" t="str">
        <x:v>Encerrada</x:v>
      </x:c>
      <x:c r="L1503" s="84" t="str">
        <x:v>Alarme intermitente</x:v>
      </x:c>
      <x:c r="M1503" s="84" t="str">
        <x:v>Falta de lubrificação</x:v>
      </x:c>
      <x:c r="N1503" s="84" t="str">
        <x:v>Componente ajustado ou substituído</x:v>
      </x:c>
      <x:c r="O1503" s="84" t="n">
        <x:v>0</x:v>
      </x:c>
      <x:c r="P1503" s="93" t="n">
        <x:v>400.56</x:v>
      </x:c>
      <x:c r="Q1503" s="93" t="n">
        <x:v>9015.12</x:v>
      </x:c>
      <x:c r="R1503" s="91" t="n">
        <x:v>0</x:v>
      </x:c>
    </x:row>
    <x:row r="1504">
      <x:c r="A1504" s="83" t="n">
        <x:v>1503</x:v>
      </x:c>
      <x:c r="B1504" s="84" t="str">
        <x:v>OS-2025-01503</x:v>
      </x:c>
      <x:c r="C1504" s="84" t="n">
        <x:v>68</x:v>
      </x:c>
      <x:c r="D1504" s="84" t="n">
        <x:v>1</x:v>
      </x:c>
      <x:c r="E1504" s="84" t="n">
        <x:v>136</x:v>
      </x:c>
      <x:c r="F1504" s="89" t="n">
        <x:v>45879.829189814816</x:v>
      </x:c>
      <x:c r="G1504" s="89" t="n">
        <x:v>45890.829189814816</x:v>
      </x:c>
      <x:c r="H1504" s="89"/>
      <x:c r="I1504" s="89"/>
      <x:c r="J1504" s="84" t="str">
        <x:v>Baixa</x:v>
      </x:c>
      <x:c r="K1504" s="84" t="str">
        <x:v>Cancelada</x:v>
      </x:c>
      <x:c r="L1504" s="84" t="str">
        <x:v>Alarme intermitente</x:v>
      </x:c>
      <x:c r="M1504" s="84"/>
      <x:c r="N1504" s="84"/>
      <x:c r="O1504" s="84" t="n">
        <x:v>0</x:v>
      </x:c>
      <x:c r="P1504" s="93" t="n">
        <x:v>0</x:v>
      </x:c>
      <x:c r="Q1504" s="93" t="n">
        <x:v>0</x:v>
      </x:c>
      <x:c r="R1504" s="91" t="n">
        <x:v>0</x:v>
      </x:c>
    </x:row>
    <x:row r="1505">
      <x:c r="A1505" s="83" t="n">
        <x:v>1504</x:v>
      </x:c>
      <x:c r="B1505" s="84" t="str">
        <x:v>OS-2023-01504</x:v>
      </x:c>
      <x:c r="C1505" s="84" t="n">
        <x:v>14</x:v>
      </x:c>
      <x:c r="D1505" s="84" t="n">
        <x:v>1</x:v>
      </x:c>
      <x:c r="E1505" s="84" t="n">
        <x:v>27</x:v>
      </x:c>
      <x:c r="F1505" s="89" t="n">
        <x:v>45214.751921296294</x:v>
      </x:c>
      <x:c r="G1505" s="89" t="n">
        <x:v>45215.751921296294</x:v>
      </x:c>
      <x:c r="H1505" s="89" t="n">
        <x:v>45215.293587962966</x:v>
      </x:c>
      <x:c r="I1505" s="89" t="n">
        <x:v>45215.876921296294</x:v>
      </x:c>
      <x:c r="J1505" s="84" t="str">
        <x:v>Baixa</x:v>
      </x:c>
      <x:c r="K1505" s="84" t="str">
        <x:v>Encerrada</x:v>
      </x:c>
      <x:c r="L1505" s="84" t="str">
        <x:v>Ruído anormal</x:v>
      </x:c>
      <x:c r="M1505" s="84" t="str">
        <x:v>Conexão frouxa</x:v>
      </x:c>
      <x:c r="N1505" s="84" t="str">
        <x:v>Componente ajustado ou substituído</x:v>
      </x:c>
      <x:c r="O1505" s="84" t="n">
        <x:v>0</x:v>
      </x:c>
      <x:c r="P1505" s="93" t="n">
        <x:v>794.54</x:v>
      </x:c>
      <x:c r="Q1505" s="93" t="n">
        <x:v>0</x:v>
      </x:c>
      <x:c r="R1505" s="91" t="n">
        <x:v>0</x:v>
      </x:c>
    </x:row>
    <x:row r="1506">
      <x:c r="A1506" s="83" t="n">
        <x:v>1505</x:v>
      </x:c>
      <x:c r="B1506" s="84" t="str">
        <x:v>OS-2023-01505</x:v>
      </x:c>
      <x:c r="C1506" s="84" t="n">
        <x:v>32</x:v>
      </x:c>
      <x:c r="D1506" s="84" t="n">
        <x:v>5</x:v>
      </x:c>
      <x:c r="E1506" s="84" t="n">
        <x:v>64</x:v>
      </x:c>
      <x:c r="F1506" s="89" t="n">
        <x:v>45167.279444444444</x:v>
      </x:c>
      <x:c r="G1506" s="89" t="n">
        <x:v>45178.279444444444</x:v>
      </x:c>
      <x:c r="H1506" s="89" t="n">
        <x:v>45169.44611111111</x:v>
      </x:c>
      <x:c r="I1506" s="89" t="n">
        <x:v>45169.48777777778</x:v>
      </x:c>
      <x:c r="J1506" s="84" t="str">
        <x:v>Baixa</x:v>
      </x:c>
      <x:c r="K1506" s="84" t="str">
        <x:v>Encerrada</x:v>
      </x:c>
      <x:c r="L1506" s="84" t="str">
        <x:v>Alarme intermitente</x:v>
      </x:c>
      <x:c r="M1506" s="84" t="str">
        <x:v>Ajuste incorreto</x:v>
      </x:c>
      <x:c r="N1506" s="84" t="str">
        <x:v>Componente ajustado ou substituído</x:v>
      </x:c>
      <x:c r="O1506" s="84" t="n">
        <x:v>0</x:v>
      </x:c>
      <x:c r="P1506" s="93" t="n">
        <x:v>79.86</x:v>
      </x:c>
      <x:c r="Q1506" s="93" t="n">
        <x:v>2775.95</x:v>
      </x:c>
      <x:c r="R1506" s="91" t="n">
        <x:v>0</x:v>
      </x:c>
    </x:row>
    <x:row r="1507">
      <x:c r="A1507" s="83" t="n">
        <x:v>1506</x:v>
      </x:c>
      <x:c r="B1507" s="84" t="str">
        <x:v>OS-2023-01506</x:v>
      </x:c>
      <x:c r="C1507" s="84" t="n">
        <x:v>28</x:v>
      </x:c>
      <x:c r="D1507" s="84" t="n">
        <x:v>3</x:v>
      </x:c>
      <x:c r="E1507" s="84"/>
      <x:c r="F1507" s="89" t="n">
        <x:v>45007.94758101852</x:v>
      </x:c>
      <x:c r="G1507" s="89"/>
      <x:c r="H1507" s="89" t="n">
        <x:v>45009.90591435185</x:v>
      </x:c>
      <x:c r="I1507" s="89" t="n">
        <x:v>45010.53091435185</x:v>
      </x:c>
      <x:c r="J1507" s="84" t="str">
        <x:v>Alta</x:v>
      </x:c>
      <x:c r="K1507" s="84" t="str">
        <x:v>Encerrada</x:v>
      </x:c>
      <x:c r="L1507" s="84" t="str">
        <x:v>Ruído anormal</x:v>
      </x:c>
      <x:c r="M1507" s="84" t="str">
        <x:v>Conexão frouxa</x:v>
      </x:c>
      <x:c r="N1507" s="84" t="str">
        <x:v>Componente ajustado ou substituído</x:v>
      </x:c>
      <x:c r="O1507" s="84" t="n">
        <x:v>0</x:v>
      </x:c>
      <x:c r="P1507" s="93" t="n">
        <x:v>330.23</x:v>
      </x:c>
      <x:c r="Q1507" s="93" t="n">
        <x:v>0</x:v>
      </x:c>
      <x:c r="R1507" s="91" t="n">
        <x:v>0</x:v>
      </x:c>
    </x:row>
    <x:row r="1508">
      <x:c r="A1508" s="83" t="n">
        <x:v>1507</x:v>
      </x:c>
      <x:c r="B1508" s="84" t="str">
        <x:v>OS-2023-01507</x:v>
      </x:c>
      <x:c r="C1508" s="84" t="n">
        <x:v>40</x:v>
      </x:c>
      <x:c r="D1508" s="84" t="n">
        <x:v>3</x:v>
      </x:c>
      <x:c r="E1508" s="84"/>
      <x:c r="F1508" s="89" t="n">
        <x:v>45073.56988425926</x:v>
      </x:c>
      <x:c r="G1508" s="89"/>
      <x:c r="H1508" s="89" t="n">
        <x:v>45074.31988425926</x:v>
      </x:c>
      <x:c r="I1508" s="89" t="n">
        <x:v>45074.986550925925</x:v>
      </x:c>
      <x:c r="J1508" s="84" t="str">
        <x:v>Média</x:v>
      </x:c>
      <x:c r="K1508" s="84" t="str">
        <x:v>Encerrada</x:v>
      </x:c>
      <x:c r="L1508" s="84" t="str">
        <x:v>Ruído anormal</x:v>
      </x:c>
      <x:c r="M1508" s="84" t="str">
        <x:v>Falta de lubrificação</x:v>
      </x:c>
      <x:c r="N1508" s="84" t="str">
        <x:v>Componente ajustado ou substituído</x:v>
      </x:c>
      <x:c r="O1508" s="84" t="n">
        <x:v>0</x:v>
      </x:c>
      <x:c r="P1508" s="93" t="n">
        <x:v>620.04</x:v>
      </x:c>
      <x:c r="Q1508" s="93" t="n">
        <x:v>0</x:v>
      </x:c>
      <x:c r="R1508" s="91" t="n">
        <x:v>0</x:v>
      </x:c>
    </x:row>
    <x:row r="1509">
      <x:c r="A1509" s="83" t="n">
        <x:v>1508</x:v>
      </x:c>
      <x:c r="B1509" s="84" t="str">
        <x:v>OS-2025-01508</x:v>
      </x:c>
      <x:c r="C1509" s="84" t="n">
        <x:v>55</x:v>
      </x:c>
      <x:c r="D1509" s="84" t="n">
        <x:v>1</x:v>
      </x:c>
      <x:c r="E1509" s="84" t="n">
        <x:v>109</x:v>
      </x:c>
      <x:c r="F1509" s="89" t="n">
        <x:v>45898.018854166665</x:v>
      </x:c>
      <x:c r="G1509" s="89" t="n">
        <x:v>45900.018854166665</x:v>
      </x:c>
      <x:c r="H1509" s="89" t="n">
        <x:v>45898.643854166665</x:v>
      </x:c>
      <x:c r="I1509" s="89" t="n">
        <x:v>45899.185520833336</x:v>
      </x:c>
      <x:c r="J1509" s="84" t="str">
        <x:v>Baixa</x:v>
      </x:c>
      <x:c r="K1509" s="84" t="str">
        <x:v>Encerrada</x:v>
      </x:c>
      <x:c r="L1509" s="84" t="str">
        <x:v>Alarme intermitente</x:v>
      </x:c>
      <x:c r="M1509" s="84" t="str">
        <x:v>Contaminação</x:v>
      </x:c>
      <x:c r="N1509" s="84" t="str">
        <x:v>Componente ajustado ou substituído</x:v>
      </x:c>
      <x:c r="O1509" s="84" t="n">
        <x:v>0</x:v>
      </x:c>
      <x:c r="P1509" s="93" t="n">
        <x:v>593.13</x:v>
      </x:c>
      <x:c r="Q1509" s="93" t="n">
        <x:v>6336.76</x:v>
      </x:c>
      <x:c r="R1509" s="91" t="n">
        <x:v>0</x:v>
      </x:c>
    </x:row>
    <x:row r="1510">
      <x:c r="A1510" s="83" t="n">
        <x:v>1509</x:v>
      </x:c>
      <x:c r="B1510" s="84" t="str">
        <x:v>OS-2024-01509</x:v>
      </x:c>
      <x:c r="C1510" s="84" t="n">
        <x:v>13</x:v>
      </x:c>
      <x:c r="D1510" s="84" t="n">
        <x:v>8</x:v>
      </x:c>
      <x:c r="E1510" s="84"/>
      <x:c r="F1510" s="89" t="n">
        <x:v>45568.6553125</x:v>
      </x:c>
      <x:c r="G1510" s="89" t="n">
        <x:v>45574.6553125</x:v>
      </x:c>
      <x:c r="H1510" s="89" t="n">
        <x:v>45568.82197916666</x:v>
      </x:c>
      <x:c r="I1510" s="89" t="n">
        <x:v>45569.57197916666</x:v>
      </x:c>
      <x:c r="J1510" s="84" t="str">
        <x:v>Média</x:v>
      </x:c>
      <x:c r="K1510" s="84" t="str">
        <x:v>Encerrada</x:v>
      </x:c>
      <x:c r="L1510" s="84" t="str">
        <x:v>Baixa pressão</x:v>
      </x:c>
      <x:c r="M1510" s="84" t="str">
        <x:v>Contaminação</x:v>
      </x:c>
      <x:c r="N1510" s="84" t="str">
        <x:v>Componente ajustado ou substituído</x:v>
      </x:c>
      <x:c r="O1510" s="84" t="n">
        <x:v>0</x:v>
      </x:c>
      <x:c r="P1510" s="93" t="n">
        <x:v>128.74</x:v>
      </x:c>
      <x:c r="Q1510" s="93" t="n">
        <x:v>7032.34</x:v>
      </x:c>
      <x:c r="R1510" s="91" t="n">
        <x:v>0</x:v>
      </x:c>
    </x:row>
    <x:row r="1511">
      <x:c r="A1511" s="83" t="n">
        <x:v>1510</x:v>
      </x:c>
      <x:c r="B1511" s="84" t="str">
        <x:v>OS-2024-01510</x:v>
      </x:c>
      <x:c r="C1511" s="84" t="n">
        <x:v>80</x:v>
      </x:c>
      <x:c r="D1511" s="84" t="n">
        <x:v>1</x:v>
      </x:c>
      <x:c r="E1511" s="84" t="n">
        <x:v>160</x:v>
      </x:c>
      <x:c r="F1511" s="89" t="n">
        <x:v>45386.21480324074</x:v>
      </x:c>
      <x:c r="G1511" s="89" t="n">
        <x:v>45401.21480324074</x:v>
      </x:c>
      <x:c r="H1511" s="89" t="n">
        <x:v>45387.96480324074</x:v>
      </x:c>
      <x:c r="I1511" s="89" t="n">
        <x:v>45388.33980324074</x:v>
      </x:c>
      <x:c r="J1511" s="84" t="str">
        <x:v>Alta</x:v>
      </x:c>
      <x:c r="K1511" s="84" t="str">
        <x:v>Concluída</x:v>
      </x:c>
      <x:c r="L1511" s="84" t="str">
        <x:v>Falha elétrica</x:v>
      </x:c>
      <x:c r="M1511" s="84" t="str">
        <x:v>Ajuste incorreto</x:v>
      </x:c>
      <x:c r="N1511" s="84" t="str">
        <x:v>Componente ajustado ou substituído</x:v>
      </x:c>
      <x:c r="O1511" s="84" t="n">
        <x:v>0</x:v>
      </x:c>
      <x:c r="P1511" s="93" t="n">
        <x:v>266.75</x:v>
      </x:c>
      <x:c r="Q1511" s="93" t="n">
        <x:v>5251.75</x:v>
      </x:c>
      <x:c r="R1511" s="91" t="n">
        <x:v>0</x:v>
      </x:c>
    </x:row>
    <x:row r="1512">
      <x:c r="A1512" s="83" t="n">
        <x:v>1511</x:v>
      </x:c>
      <x:c r="B1512" s="84" t="str">
        <x:v>OS-2024-01511</x:v>
      </x:c>
      <x:c r="C1512" s="84" t="n">
        <x:v>70</x:v>
      </x:c>
      <x:c r="D1512" s="84" t="n">
        <x:v>6</x:v>
      </x:c>
      <x:c r="E1512" s="84"/>
      <x:c r="F1512" s="89" t="n">
        <x:v>45442.035405092596</x:v>
      </x:c>
      <x:c r="G1512" s="89" t="n">
        <x:v>45450.035405092596</x:v>
      </x:c>
      <x:c r="H1512" s="89" t="n">
        <x:v>45444.160405092596</x:v>
      </x:c>
      <x:c r="I1512" s="89" t="n">
        <x:v>45444.95207175926</x:v>
      </x:c>
      <x:c r="J1512" s="84" t="str">
        <x:v>Crítica</x:v>
      </x:c>
      <x:c r="K1512" s="84" t="str">
        <x:v>Encerrada</x:v>
      </x:c>
      <x:c r="L1512" s="84" t="str">
        <x:v>Vazamento</x:v>
      </x:c>
      <x:c r="M1512" s="84" t="str">
        <x:v>Conexão frouxa</x:v>
      </x:c>
      <x:c r="N1512" s="84" t="str">
        <x:v>Componente ajustado ou substituído</x:v>
      </x:c>
      <x:c r="O1512" s="84" t="n">
        <x:v>0</x:v>
      </x:c>
      <x:c r="P1512" s="93" t="n">
        <x:v>334.68</x:v>
      </x:c>
      <x:c r="Q1512" s="93" t="n">
        <x:v>0</x:v>
      </x:c>
      <x:c r="R1512" s="91" t="n">
        <x:v>919.13</x:v>
      </x:c>
    </x:row>
    <x:row r="1513">
      <x:c r="A1513" s="83" t="n">
        <x:v>1512</x:v>
      </x:c>
      <x:c r="B1513" s="84" t="str">
        <x:v>OS-2024-01512</x:v>
      </x:c>
      <x:c r="C1513" s="84" t="n">
        <x:v>70</x:v>
      </x:c>
      <x:c r="D1513" s="84" t="n">
        <x:v>8</x:v>
      </x:c>
      <x:c r="E1513" s="84"/>
      <x:c r="F1513" s="89" t="n">
        <x:v>45312.24953703704</x:v>
      </x:c>
      <x:c r="G1513" s="89" t="n">
        <x:v>45315.24953703704</x:v>
      </x:c>
      <x:c r="H1513" s="89" t="n">
        <x:v>45312.7912037037</x:v>
      </x:c>
      <x:c r="I1513" s="89"/>
      <x:c r="J1513" s="84" t="str">
        <x:v>Baixa</x:v>
      </x:c>
      <x:c r="K1513" s="84" t="str">
        <x:v>Em execução</x:v>
      </x:c>
      <x:c r="L1513" s="84" t="str">
        <x:v>Superaquecimento</x:v>
      </x:c>
      <x:c r="M1513" s="84" t="str">
        <x:v>Contaminação</x:v>
      </x:c>
      <x:c r="N1513" s="84"/>
      <x:c r="O1513" s="84" t="n">
        <x:v>0</x:v>
      </x:c>
      <x:c r="P1513" s="93" t="n">
        <x:v>17.8</x:v>
      </x:c>
      <x:c r="Q1513" s="93" t="n">
        <x:v>0</x:v>
      </x:c>
      <x:c r="R1513" s="91" t="n">
        <x:v>0</x:v>
      </x:c>
    </x:row>
    <x:row r="1514">
      <x:c r="A1514" s="83" t="n">
        <x:v>1513</x:v>
      </x:c>
      <x:c r="B1514" s="84" t="str">
        <x:v>OS-2025-01513</x:v>
      </x:c>
      <x:c r="C1514" s="84" t="n">
        <x:v>10</x:v>
      </x:c>
      <x:c r="D1514" s="84" t="n">
        <x:v>1</x:v>
      </x:c>
      <x:c r="E1514" s="84" t="n">
        <x:v>19</x:v>
      </x:c>
      <x:c r="F1514" s="89" t="n">
        <x:v>45911.876909722225</x:v>
      </x:c>
      <x:c r="G1514" s="89" t="n">
        <x:v>45912.876909722225</x:v>
      </x:c>
      <x:c r="H1514" s="89" t="n">
        <x:v>45912.751909722225</x:v>
      </x:c>
      <x:c r="I1514" s="89" t="n">
        <x:v>45913.126909722225</x:v>
      </x:c>
      <x:c r="J1514" s="84" t="str">
        <x:v>Baixa</x:v>
      </x:c>
      <x:c r="K1514" s="84" t="str">
        <x:v>Concluída</x:v>
      </x:c>
      <x:c r="L1514" s="84" t="str">
        <x:v>Falha elétrica</x:v>
      </x:c>
      <x:c r="M1514" s="84" t="str">
        <x:v>Ajuste incorreto</x:v>
      </x:c>
      <x:c r="N1514" s="84" t="str">
        <x:v>Componente ajustado ou substituído</x:v>
      </x:c>
      <x:c r="O1514" s="84" t="n">
        <x:v>0</x:v>
      </x:c>
      <x:c r="P1514" s="93" t="n">
        <x:v>515.53</x:v>
      </x:c>
      <x:c r="Q1514" s="93" t="n">
        <x:v>0</x:v>
      </x:c>
      <x:c r="R1514" s="91" t="n">
        <x:v>0</x:v>
      </x:c>
    </x:row>
    <x:row r="1515">
      <x:c r="A1515" s="83" t="n">
        <x:v>1514</x:v>
      </x:c>
      <x:c r="B1515" s="84" t="str">
        <x:v>OS-2024-01514</x:v>
      </x:c>
      <x:c r="C1515" s="84" t="n">
        <x:v>55</x:v>
      </x:c>
      <x:c r="D1515" s="84" t="n">
        <x:v>3</x:v>
      </x:c>
      <x:c r="E1515" s="84"/>
      <x:c r="F1515" s="89" t="n">
        <x:v>45641.642847222225</x:v>
      </x:c>
      <x:c r="G1515" s="89"/>
      <x:c r="H1515" s="89" t="n">
        <x:v>45644.267847222225</x:v>
      </x:c>
      <x:c r="I1515" s="89" t="n">
        <x:v>45644.80951388889</x:v>
      </x:c>
      <x:c r="J1515" s="84" t="str">
        <x:v>Baixa</x:v>
      </x:c>
      <x:c r="K1515" s="84" t="str">
        <x:v>Encerrada</x:v>
      </x:c>
      <x:c r="L1515" s="84" t="str">
        <x:v>Falha elétrica</x:v>
      </x:c>
      <x:c r="M1515" s="84" t="str">
        <x:v>Desgaste natural</x:v>
      </x:c>
      <x:c r="N1515" s="84" t="str">
        <x:v>Componente ajustado ou substituído</x:v>
      </x:c>
      <x:c r="O1515" s="84" t="n">
        <x:v>0</x:v>
      </x:c>
      <x:c r="P1515" s="93" t="n">
        <x:v>685.15</x:v>
      </x:c>
      <x:c r="Q1515" s="93" t="n">
        <x:v>2999.7</x:v>
      </x:c>
      <x:c r="R1515" s="91" t="n">
        <x:v>0</x:v>
      </x:c>
    </x:row>
    <x:row r="1516">
      <x:c r="A1516" s="83" t="n">
        <x:v>1515</x:v>
      </x:c>
      <x:c r="B1516" s="84" t="str">
        <x:v>OS-2025-01515</x:v>
      </x:c>
      <x:c r="C1516" s="84" t="n">
        <x:v>33</x:v>
      </x:c>
      <x:c r="D1516" s="84" t="n">
        <x:v>4</x:v>
      </x:c>
      <x:c r="E1516" s="84"/>
      <x:c r="F1516" s="89" t="n">
        <x:v>45709.20836805556</x:v>
      </x:c>
      <x:c r="G1516" s="89" t="n">
        <x:v>45716.20836805556</x:v>
      </x:c>
      <x:c r="H1516" s="89"/>
      <x:c r="I1516" s="89"/>
      <x:c r="J1516" s="84" t="str">
        <x:v>Crítica</x:v>
      </x:c>
      <x:c r="K1516" s="84" t="str">
        <x:v>Planejada</x:v>
      </x:c>
      <x:c r="L1516" s="84" t="str">
        <x:v>Desalinhamento</x:v>
      </x:c>
      <x:c r="M1516" s="84"/>
      <x:c r="N1516" s="84"/>
      <x:c r="O1516" s="84" t="n">
        <x:v>0</x:v>
      </x:c>
      <x:c r="P1516" s="93" t="n">
        <x:v>0</x:v>
      </x:c>
      <x:c r="Q1516" s="93" t="n">
        <x:v>0</x:v>
      </x:c>
      <x:c r="R1516" s="91" t="n">
        <x:v>0</x:v>
      </x:c>
    </x:row>
    <x:row r="1517">
      <x:c r="A1517" s="83" t="n">
        <x:v>1516</x:v>
      </x:c>
      <x:c r="B1517" s="84" t="str">
        <x:v>OS-2025-01516</x:v>
      </x:c>
      <x:c r="C1517" s="84" t="n">
        <x:v>52</x:v>
      </x:c>
      <x:c r="D1517" s="84" t="n">
        <x:v>2</x:v>
      </x:c>
      <x:c r="E1517" s="84"/>
      <x:c r="F1517" s="89" t="n">
        <x:v>45768.21952546296</x:v>
      </x:c>
      <x:c r="G1517" s="89" t="n">
        <x:v>45768.21952546296</x:v>
      </x:c>
      <x:c r="H1517" s="89" t="n">
        <x:v>45768.8028587963</x:v>
      </x:c>
      <x:c r="I1517" s="89" t="n">
        <x:v>45769.4278587963</x:v>
      </x:c>
      <x:c r="J1517" s="84" t="str">
        <x:v>Média</x:v>
      </x:c>
      <x:c r="K1517" s="84" t="str">
        <x:v>Encerrada</x:v>
      </x:c>
      <x:c r="L1517" s="84" t="str">
        <x:v>Baixa pressão</x:v>
      </x:c>
      <x:c r="M1517" s="84" t="str">
        <x:v>Ajuste incorreto</x:v>
      </x:c>
      <x:c r="N1517" s="84" t="str">
        <x:v>Componente ajustado ou substituído</x:v>
      </x:c>
      <x:c r="O1517" s="84" t="n">
        <x:v>0</x:v>
      </x:c>
      <x:c r="P1517" s="93" t="n">
        <x:v>348.87</x:v>
      </x:c>
      <x:c r="Q1517" s="93" t="n">
        <x:v>3457.08</x:v>
      </x:c>
      <x:c r="R1517" s="91" t="n">
        <x:v>1623.61</x:v>
      </x:c>
    </x:row>
    <x:row r="1518">
      <x:c r="A1518" s="83" t="n">
        <x:v>1517</x:v>
      </x:c>
      <x:c r="B1518" s="84" t="str">
        <x:v>OS-2024-01517</x:v>
      </x:c>
      <x:c r="C1518" s="84" t="n">
        <x:v>56</x:v>
      </x:c>
      <x:c r="D1518" s="84" t="n">
        <x:v>2</x:v>
      </x:c>
      <x:c r="E1518" s="84"/>
      <x:c r="F1518" s="89" t="n">
        <x:v>45598.3687037037</x:v>
      </x:c>
      <x:c r="G1518" s="89" t="n">
        <x:v>45609.3687037037</x:v>
      </x:c>
      <x:c r="H1518" s="89" t="n">
        <x:v>45600.32703703704</x:v>
      </x:c>
      <x:c r="I1518" s="89" t="n">
        <x:v>45600.78537037037</x:v>
      </x:c>
      <x:c r="J1518" s="84" t="str">
        <x:v>Alta</x:v>
      </x:c>
      <x:c r="K1518" s="84" t="str">
        <x:v>Concluída</x:v>
      </x:c>
      <x:c r="L1518" s="84" t="str">
        <x:v>Falha elétrica</x:v>
      </x:c>
      <x:c r="M1518" s="84" t="str">
        <x:v>Ajuste incorreto</x:v>
      </x:c>
      <x:c r="N1518" s="84" t="str">
        <x:v>Componente ajustado ou substituído</x:v>
      </x:c>
      <x:c r="O1518" s="84" t="n">
        <x:v>0</x:v>
      </x:c>
      <x:c r="P1518" s="93" t="n">
        <x:v>353.56</x:v>
      </x:c>
      <x:c r="Q1518" s="93" t="n">
        <x:v>0</x:v>
      </x:c>
      <x:c r="R1518" s="91" t="n">
        <x:v>13346.24</x:v>
      </x:c>
    </x:row>
    <x:row r="1519">
      <x:c r="A1519" s="83" t="n">
        <x:v>1518</x:v>
      </x:c>
      <x:c r="B1519" s="84" t="str">
        <x:v>OS-2025-01518</x:v>
      </x:c>
      <x:c r="C1519" s="84" t="n">
        <x:v>32</x:v>
      </x:c>
      <x:c r="D1519" s="84" t="n">
        <x:v>1</x:v>
      </x:c>
      <x:c r="E1519" s="84" t="n">
        <x:v>64</x:v>
      </x:c>
      <x:c r="F1519" s="89" t="n">
        <x:v>45791.693240740744</x:v>
      </x:c>
      <x:c r="G1519" s="89" t="n">
        <x:v>45803.693240740744</x:v>
      </x:c>
      <x:c r="H1519" s="89" t="n">
        <x:v>45794.693240740744</x:v>
      </x:c>
      <x:c r="I1519" s="89" t="n">
        <x:v>45794.818240740744</x:v>
      </x:c>
      <x:c r="J1519" s="84" t="str">
        <x:v>Crítica</x:v>
      </x:c>
      <x:c r="K1519" s="84" t="str">
        <x:v>Encerrada</x:v>
      </x:c>
      <x:c r="L1519" s="84" t="str">
        <x:v>Vazamento</x:v>
      </x:c>
      <x:c r="M1519" s="84" t="str">
        <x:v>Ajuste incorreto</x:v>
      </x:c>
      <x:c r="N1519" s="84" t="str">
        <x:v>Componente ajustado ou substituído</x:v>
      </x:c>
      <x:c r="O1519" s="84" t="n">
        <x:v>0</x:v>
      </x:c>
      <x:c r="P1519" s="93" t="n">
        <x:v>495.94</x:v>
      </x:c>
      <x:c r="Q1519" s="93" t="n">
        <x:v>5893.3</x:v>
      </x:c>
      <x:c r="R1519" s="91" t="n">
        <x:v>0</x:v>
      </x:c>
    </x:row>
    <x:row r="1520">
      <x:c r="A1520" s="83" t="n">
        <x:v>1519</x:v>
      </x:c>
      <x:c r="B1520" s="84" t="str">
        <x:v>OS-2024-01519</x:v>
      </x:c>
      <x:c r="C1520" s="84" t="n">
        <x:v>61</x:v>
      </x:c>
      <x:c r="D1520" s="84" t="n">
        <x:v>1</x:v>
      </x:c>
      <x:c r="E1520" s="84" t="n">
        <x:v>122</x:v>
      </x:c>
      <x:c r="F1520" s="89" t="n">
        <x:v>45527.60283564815</x:v>
      </x:c>
      <x:c r="G1520" s="89" t="n">
        <x:v>45542.60283564815</x:v>
      </x:c>
      <x:c r="H1520" s="89" t="n">
        <x:v>45528.93616898148</x:v>
      </x:c>
      <x:c r="I1520" s="89" t="n">
        <x:v>45529.10283564815</x:v>
      </x:c>
      <x:c r="J1520" s="84" t="str">
        <x:v>Alta</x:v>
      </x:c>
      <x:c r="K1520" s="84" t="str">
        <x:v>Encerrada</x:v>
      </x:c>
      <x:c r="L1520" s="84" t="str">
        <x:v>Desalinhamento</x:v>
      </x:c>
      <x:c r="M1520" s="84" t="str">
        <x:v>Componente danificado</x:v>
      </x:c>
      <x:c r="N1520" s="84" t="str">
        <x:v>Componente ajustado ou substituído</x:v>
      </x:c>
      <x:c r="O1520" s="84" t="n">
        <x:v>0</x:v>
      </x:c>
      <x:c r="P1520" s="93" t="n">
        <x:v>420.6</x:v>
      </x:c>
      <x:c r="Q1520" s="93" t="n">
        <x:v>3177.14</x:v>
      </x:c>
      <x:c r="R1520" s="91" t="n">
        <x:v>0</x:v>
      </x:c>
    </x:row>
    <x:row r="1521">
      <x:c r="A1521" s="83" t="n">
        <x:v>1520</x:v>
      </x:c>
      <x:c r="B1521" s="84" t="str">
        <x:v>OS-2023-01520</x:v>
      </x:c>
      <x:c r="C1521" s="84" t="n">
        <x:v>73</x:v>
      </x:c>
      <x:c r="D1521" s="84" t="n">
        <x:v>1</x:v>
      </x:c>
      <x:c r="E1521" s="84" t="n">
        <x:v>145</x:v>
      </x:c>
      <x:c r="F1521" s="89" t="n">
        <x:v>45269.9584375</x:v>
      </x:c>
      <x:c r="G1521" s="89" t="n">
        <x:v>45284.9584375</x:v>
      </x:c>
      <x:c r="H1521" s="89"/>
      <x:c r="I1521" s="89"/>
      <x:c r="J1521" s="84" t="str">
        <x:v>Alta</x:v>
      </x:c>
      <x:c r="K1521" s="84" t="str">
        <x:v>Planejada</x:v>
      </x:c>
      <x:c r="L1521" s="84" t="str">
        <x:v>Vazamento</x:v>
      </x:c>
      <x:c r="M1521" s="84"/>
      <x:c r="N1521" s="84"/>
      <x:c r="O1521" s="84" t="n">
        <x:v>0</x:v>
      </x:c>
      <x:c r="P1521" s="93" t="n">
        <x:v>0</x:v>
      </x:c>
      <x:c r="Q1521" s="93" t="n">
        <x:v>0</x:v>
      </x:c>
      <x:c r="R1521" s="91" t="n">
        <x:v>0</x:v>
      </x:c>
    </x:row>
    <x:row r="1522">
      <x:c r="A1522" s="83" t="n">
        <x:v>1521</x:v>
      </x:c>
      <x:c r="B1522" s="84" t="str">
        <x:v>OS-2025-01521</x:v>
      </x:c>
      <x:c r="C1522" s="84" t="n">
        <x:v>68</x:v>
      </x:c>
      <x:c r="D1522" s="84" t="n">
        <x:v>8</x:v>
      </x:c>
      <x:c r="E1522" s="84"/>
      <x:c r="F1522" s="89" t="n">
        <x:v>45662.312418981484</x:v>
      </x:c>
      <x:c r="G1522" s="89" t="n">
        <x:v>45676.312418981484</x:v>
      </x:c>
      <x:c r="H1522" s="89" t="n">
        <x:v>45664.72908564815</x:v>
      </x:c>
      <x:c r="I1522" s="89" t="n">
        <x:v>45665.52075231481</x:v>
      </x:c>
      <x:c r="J1522" s="84" t="str">
        <x:v>Alta</x:v>
      </x:c>
      <x:c r="K1522" s="84" t="str">
        <x:v>Encerrada</x:v>
      </x:c>
      <x:c r="L1522" s="84" t="str">
        <x:v>Superaquecimento</x:v>
      </x:c>
      <x:c r="M1522" s="84" t="str">
        <x:v>Desgaste natural</x:v>
      </x:c>
      <x:c r="N1522" s="84" t="str">
        <x:v>Componente ajustado ou substituído</x:v>
      </x:c>
      <x:c r="O1522" s="84" t="n">
        <x:v>0</x:v>
      </x:c>
      <x:c r="P1522" s="93" t="n">
        <x:v>458.47</x:v>
      </x:c>
      <x:c r="Q1522" s="93" t="n">
        <x:v>3018.68</x:v>
      </x:c>
      <x:c r="R1522" s="91" t="n">
        <x:v>0</x:v>
      </x:c>
    </x:row>
    <x:row r="1523">
      <x:c r="A1523" s="83" t="n">
        <x:v>1522</x:v>
      </x:c>
      <x:c r="B1523" s="84" t="str">
        <x:v>OS-2025-01522</x:v>
      </x:c>
      <x:c r="C1523" s="84" t="n">
        <x:v>61</x:v>
      </x:c>
      <x:c r="D1523" s="84" t="n">
        <x:v>3</x:v>
      </x:c>
      <x:c r="E1523" s="84"/>
      <x:c r="F1523" s="89" t="n">
        <x:v>45889.00184027778</x:v>
      </x:c>
      <x:c r="G1523" s="89"/>
      <x:c r="H1523" s="89" t="n">
        <x:v>45891.00184027778</x:v>
      </x:c>
      <x:c r="I1523" s="89" t="n">
        <x:v>45891.62684027778</x:v>
      </x:c>
      <x:c r="J1523" s="84" t="str">
        <x:v>Baixa</x:v>
      </x:c>
      <x:c r="K1523" s="84" t="str">
        <x:v>Concluída</x:v>
      </x:c>
      <x:c r="L1523" s="84" t="str">
        <x:v>Baixa pressão</x:v>
      </x:c>
      <x:c r="M1523" s="84" t="str">
        <x:v>Contaminação</x:v>
      </x:c>
      <x:c r="N1523" s="84" t="str">
        <x:v>Componente ajustado ou substituído</x:v>
      </x:c>
      <x:c r="O1523" s="84" t="n">
        <x:v>0</x:v>
      </x:c>
      <x:c r="P1523" s="93" t="n">
        <x:v>355.39</x:v>
      </x:c>
      <x:c r="Q1523" s="93" t="n">
        <x:v>3733.83</x:v>
      </x:c>
      <x:c r="R1523" s="91" t="n">
        <x:v>0</x:v>
      </x:c>
    </x:row>
    <x:row r="1524">
      <x:c r="A1524" s="83" t="n">
        <x:v>1523</x:v>
      </x:c>
      <x:c r="B1524" s="84" t="str">
        <x:v>OS-2024-01523</x:v>
      </x:c>
      <x:c r="C1524" s="84" t="n">
        <x:v>35</x:v>
      </x:c>
      <x:c r="D1524" s="84" t="n">
        <x:v>1</x:v>
      </x:c>
      <x:c r="E1524" s="84" t="n">
        <x:v>70</x:v>
      </x:c>
      <x:c r="F1524" s="89" t="n">
        <x:v>45386.75350694444</x:v>
      </x:c>
      <x:c r="G1524" s="89" t="n">
        <x:v>45390.75350694444</x:v>
      </x:c>
      <x:c r="H1524" s="89"/>
      <x:c r="I1524" s="89"/>
      <x:c r="J1524" s="84" t="str">
        <x:v>Crítica</x:v>
      </x:c>
      <x:c r="K1524" s="84" t="str">
        <x:v>Cancelada</x:v>
      </x:c>
      <x:c r="L1524" s="84" t="str">
        <x:v>Vazamento</x:v>
      </x:c>
      <x:c r="M1524" s="84"/>
      <x:c r="N1524" s="84"/>
      <x:c r="O1524" s="84" t="n">
        <x:v>0</x:v>
      </x:c>
      <x:c r="P1524" s="93" t="n">
        <x:v>0</x:v>
      </x:c>
      <x:c r="Q1524" s="93" t="n">
        <x:v>0</x:v>
      </x:c>
      <x:c r="R1524" s="91" t="n">
        <x:v>0</x:v>
      </x:c>
    </x:row>
    <x:row r="1525">
      <x:c r="A1525" s="83" t="n">
        <x:v>1524</x:v>
      </x:c>
      <x:c r="B1525" s="84" t="str">
        <x:v>OS-2023-01524</x:v>
      </x:c>
      <x:c r="C1525" s="84" t="n">
        <x:v>13</x:v>
      </x:c>
      <x:c r="D1525" s="84" t="n">
        <x:v>6</x:v>
      </x:c>
      <x:c r="E1525" s="84"/>
      <x:c r="F1525" s="89" t="n">
        <x:v>45075.41945601852</x:v>
      </x:c>
      <x:c r="G1525" s="89" t="n">
        <x:v>45080.41945601852</x:v>
      </x:c>
      <x:c r="H1525" s="89" t="n">
        <x:v>45077.50278935185</x:v>
      </x:c>
      <x:c r="I1525" s="89" t="n">
        <x:v>45077.91945601852</x:v>
      </x:c>
      <x:c r="J1525" s="84" t="str">
        <x:v>Crítica</x:v>
      </x:c>
      <x:c r="K1525" s="84" t="str">
        <x:v>Concluída</x:v>
      </x:c>
      <x:c r="L1525" s="84" t="str">
        <x:v>Desalinhamento</x:v>
      </x:c>
      <x:c r="M1525" s="84" t="str">
        <x:v>Falta de lubrificação</x:v>
      </x:c>
      <x:c r="N1525" s="84" t="str">
        <x:v>Componente ajustado ou substituído</x:v>
      </x:c>
      <x:c r="O1525" s="84" t="n">
        <x:v>0</x:v>
      </x:c>
      <x:c r="P1525" s="93" t="n">
        <x:v>123.84</x:v>
      </x:c>
      <x:c r="Q1525" s="93" t="n">
        <x:v>0</x:v>
      </x:c>
      <x:c r="R1525" s="91" t="n">
        <x:v>0</x:v>
      </x:c>
    </x:row>
    <x:row r="1526">
      <x:c r="A1526" s="83" t="n">
        <x:v>1525</x:v>
      </x:c>
      <x:c r="B1526" s="84" t="str">
        <x:v>OS-2025-01525</x:v>
      </x:c>
      <x:c r="C1526" s="84" t="n">
        <x:v>76</x:v>
      </x:c>
      <x:c r="D1526" s="84" t="n">
        <x:v>6</x:v>
      </x:c>
      <x:c r="E1526" s="84"/>
      <x:c r="F1526" s="89" t="n">
        <x:v>45938.595497685186</x:v>
      </x:c>
      <x:c r="G1526" s="89" t="n">
        <x:v>45941.595497685186</x:v>
      </x:c>
      <x:c r="H1526" s="89" t="n">
        <x:v>45938.720497685186</x:v>
      </x:c>
      <x:c r="I1526" s="89"/>
      <x:c r="J1526" s="84" t="str">
        <x:v>Baixa</x:v>
      </x:c>
      <x:c r="K1526" s="84" t="str">
        <x:v>Aguardando peça</x:v>
      </x:c>
      <x:c r="L1526" s="84" t="str">
        <x:v>Desalinhamento</x:v>
      </x:c>
      <x:c r="M1526" s="84" t="str">
        <x:v>Componente danificado</x:v>
      </x:c>
      <x:c r="N1526" s="84"/>
      <x:c r="O1526" s="84" t="n">
        <x:v>0</x:v>
      </x:c>
      <x:c r="P1526" s="93" t="n">
        <x:v>485.28</x:v>
      </x:c>
      <x:c r="Q1526" s="93" t="n">
        <x:v>4122.6</x:v>
      </x:c>
      <x:c r="R1526" s="91" t="n">
        <x:v>0</x:v>
      </x:c>
    </x:row>
    <x:row r="1527">
      <x:c r="A1527" s="83" t="n">
        <x:v>1526</x:v>
      </x:c>
      <x:c r="B1527" s="84" t="str">
        <x:v>OS-2023-01526</x:v>
      </x:c>
      <x:c r="C1527" s="84" t="n">
        <x:v>73</x:v>
      </x:c>
      <x:c r="D1527" s="84" t="n">
        <x:v>3</x:v>
      </x:c>
      <x:c r="E1527" s="84"/>
      <x:c r="F1527" s="89" t="n">
        <x:v>45168.95443287037</x:v>
      </x:c>
      <x:c r="G1527" s="89"/>
      <x:c r="H1527" s="89" t="n">
        <x:v>45170.746099537035</x:v>
      </x:c>
      <x:c r="I1527" s="89" t="n">
        <x:v>45171.121099537035</x:v>
      </x:c>
      <x:c r="J1527" s="84" t="str">
        <x:v>Média</x:v>
      </x:c>
      <x:c r="K1527" s="84" t="str">
        <x:v>Concluída</x:v>
      </x:c>
      <x:c r="L1527" s="84" t="str">
        <x:v>Ruído anormal</x:v>
      </x:c>
      <x:c r="M1527" s="84" t="str">
        <x:v>Componente danificado</x:v>
      </x:c>
      <x:c r="N1527" s="84" t="str">
        <x:v>Componente ajustado ou substituído</x:v>
      </x:c>
      <x:c r="O1527" s="84" t="n">
        <x:v>0</x:v>
      </x:c>
      <x:c r="P1527" s="93" t="n">
        <x:v>766.61</x:v>
      </x:c>
      <x:c r="Q1527" s="93" t="n">
        <x:v>0</x:v>
      </x:c>
      <x:c r="R1527" s="91" t="n">
        <x:v>0</x:v>
      </x:c>
    </x:row>
    <x:row r="1528">
      <x:c r="A1528" s="83" t="n">
        <x:v>1527</x:v>
      </x:c>
      <x:c r="B1528" s="84" t="str">
        <x:v>OS-2023-01527</x:v>
      </x:c>
      <x:c r="C1528" s="84" t="n">
        <x:v>47</x:v>
      </x:c>
      <x:c r="D1528" s="84" t="n">
        <x:v>7</x:v>
      </x:c>
      <x:c r="E1528" s="84" t="n">
        <x:v>94</x:v>
      </x:c>
      <x:c r="F1528" s="89" t="n">
        <x:v>44972.714537037034</x:v>
      </x:c>
      <x:c r="G1528" s="89" t="n">
        <x:v>44983.714537037034</x:v>
      </x:c>
      <x:c r="H1528" s="89" t="n">
        <x:v>44973.506203703706</x:v>
      </x:c>
      <x:c r="I1528" s="89"/>
      <x:c r="J1528" s="84" t="str">
        <x:v>Média</x:v>
      </x:c>
      <x:c r="K1528" s="84" t="str">
        <x:v>Aguardando peça</x:v>
      </x:c>
      <x:c r="L1528" s="84" t="str">
        <x:v>Superaquecimento</x:v>
      </x:c>
      <x:c r="M1528" s="84" t="str">
        <x:v>Conexão frouxa</x:v>
      </x:c>
      <x:c r="N1528" s="84"/>
      <x:c r="O1528" s="84" t="n">
        <x:v>0</x:v>
      </x:c>
      <x:c r="P1528" s="93" t="n">
        <x:v>147.43</x:v>
      </x:c>
      <x:c r="Q1528" s="93" t="n">
        <x:v>7461.69</x:v>
      </x:c>
      <x:c r="R1528" s="91" t="n">
        <x:v>9180.37</x:v>
      </x:c>
    </x:row>
    <x:row r="1529">
      <x:c r="A1529" s="83" t="n">
        <x:v>1528</x:v>
      </x:c>
      <x:c r="B1529" s="84" t="str">
        <x:v>OS-2023-01528</x:v>
      </x:c>
      <x:c r="C1529" s="84" t="n">
        <x:v>64</x:v>
      </x:c>
      <x:c r="D1529" s="84" t="n">
        <x:v>1</x:v>
      </x:c>
      <x:c r="E1529" s="84" t="n">
        <x:v>127</x:v>
      </x:c>
      <x:c r="F1529" s="89" t="n">
        <x:v>45198.39533564815</x:v>
      </x:c>
      <x:c r="G1529" s="89" t="n">
        <x:v>45212.39533564815</x:v>
      </x:c>
      <x:c r="H1529" s="89" t="n">
        <x:v>45199.562002314815</x:v>
      </x:c>
      <x:c r="I1529" s="89" t="n">
        <x:v>45200.312002314815</x:v>
      </x:c>
      <x:c r="J1529" s="84" t="str">
        <x:v>Alta</x:v>
      </x:c>
      <x:c r="K1529" s="84" t="str">
        <x:v>Encerrada</x:v>
      </x:c>
      <x:c r="L1529" s="84" t="str">
        <x:v>Baixa pressão</x:v>
      </x:c>
      <x:c r="M1529" s="84" t="str">
        <x:v>Componente danificado</x:v>
      </x:c>
      <x:c r="N1529" s="84" t="str">
        <x:v>Componente ajustado ou substituído</x:v>
      </x:c>
      <x:c r="O1529" s="84" t="n">
        <x:v>0</x:v>
      </x:c>
      <x:c r="P1529" s="93" t="n">
        <x:v>508.22</x:v>
      </x:c>
      <x:c r="Q1529" s="93" t="n">
        <x:v>5477.24</x:v>
      </x:c>
      <x:c r="R1529" s="91" t="n">
        <x:v>0</x:v>
      </x:c>
    </x:row>
    <x:row r="1530">
      <x:c r="A1530" s="83" t="n">
        <x:v>1529</x:v>
      </x:c>
      <x:c r="B1530" s="84" t="str">
        <x:v>OS-2024-01529</x:v>
      </x:c>
      <x:c r="C1530" s="84" t="n">
        <x:v>54</x:v>
      </x:c>
      <x:c r="D1530" s="84" t="n">
        <x:v>5</x:v>
      </x:c>
      <x:c r="E1530" s="84" t="n">
        <x:v>108</x:v>
      </x:c>
      <x:c r="F1530" s="89" t="n">
        <x:v>45374.281863425924</x:v>
      </x:c>
      <x:c r="G1530" s="89" t="n">
        <x:v>45379.281863425924</x:v>
      </x:c>
      <x:c r="H1530" s="89" t="n">
        <x:v>45375.698530092595</x:v>
      </x:c>
      <x:c r="I1530" s="89"/>
      <x:c r="J1530" s="84" t="str">
        <x:v>Alta</x:v>
      </x:c>
      <x:c r="K1530" s="84" t="str">
        <x:v>Em execução</x:v>
      </x:c>
      <x:c r="L1530" s="84" t="str">
        <x:v>Alarme intermitente</x:v>
      </x:c>
      <x:c r="M1530" s="84" t="str">
        <x:v>Desgaste natural</x:v>
      </x:c>
      <x:c r="N1530" s="84"/>
      <x:c r="O1530" s="84" t="n">
        <x:v>0</x:v>
      </x:c>
      <x:c r="P1530" s="93" t="n">
        <x:v>252.9</x:v>
      </x:c>
      <x:c r="Q1530" s="93" t="n">
        <x:v>0</x:v>
      </x:c>
      <x:c r="R1530" s="91" t="n">
        <x:v>13370.64</x:v>
      </x:c>
    </x:row>
    <x:row r="1531">
      <x:c r="A1531" s="83" t="n">
        <x:v>1530</x:v>
      </x:c>
      <x:c r="B1531" s="84" t="str">
        <x:v>OS-2024-01530</x:v>
      </x:c>
      <x:c r="C1531" s="84" t="n">
        <x:v>90</x:v>
      </x:c>
      <x:c r="D1531" s="84" t="n">
        <x:v>6</x:v>
      </x:c>
      <x:c r="E1531" s="84"/>
      <x:c r="F1531" s="89" t="n">
        <x:v>45631.41105324074</x:v>
      </x:c>
      <x:c r="G1531" s="89" t="n">
        <x:v>45639.41105324074</x:v>
      </x:c>
      <x:c r="H1531" s="89" t="n">
        <x:v>45632.11938657407</x:v>
      </x:c>
      <x:c r="I1531" s="89" t="n">
        <x:v>45632.36938657407</x:v>
      </x:c>
      <x:c r="J1531" s="84" t="str">
        <x:v>Crítica</x:v>
      </x:c>
      <x:c r="K1531" s="84" t="str">
        <x:v>Concluída</x:v>
      </x:c>
      <x:c r="L1531" s="84" t="str">
        <x:v>Ruído anormal</x:v>
      </x:c>
      <x:c r="M1531" s="84" t="str">
        <x:v>Ajuste incorreto</x:v>
      </x:c>
      <x:c r="N1531" s="84" t="str">
        <x:v>Componente ajustado ou substituído</x:v>
      </x:c>
      <x:c r="O1531" s="84" t="n">
        <x:v>0</x:v>
      </x:c>
      <x:c r="P1531" s="93" t="n">
        <x:v>370.26</x:v>
      </x:c>
      <x:c r="Q1531" s="93" t="n">
        <x:v>2930.84</x:v>
      </x:c>
      <x:c r="R1531" s="91" t="n">
        <x:v>0</x:v>
      </x:c>
    </x:row>
    <x:row r="1532">
      <x:c r="A1532" s="83" t="n">
        <x:v>1531</x:v>
      </x:c>
      <x:c r="B1532" s="84" t="str">
        <x:v>OS-2024-01531</x:v>
      </x:c>
      <x:c r="C1532" s="84" t="n">
        <x:v>49</x:v>
      </x:c>
      <x:c r="D1532" s="84" t="n">
        <x:v>3</x:v>
      </x:c>
      <x:c r="E1532" s="84"/>
      <x:c r="F1532" s="89" t="n">
        <x:v>45433.34554398148</x:v>
      </x:c>
      <x:c r="G1532" s="89"/>
      <x:c r="H1532" s="89" t="n">
        <x:v>45433.84554398148</x:v>
      </x:c>
      <x:c r="I1532" s="89" t="n">
        <x:v>45434.47054398148</x:v>
      </x:c>
      <x:c r="J1532" s="84" t="str">
        <x:v>Média</x:v>
      </x:c>
      <x:c r="K1532" s="84" t="str">
        <x:v>Encerrada</x:v>
      </x:c>
      <x:c r="L1532" s="84" t="str">
        <x:v>Superaquecimento</x:v>
      </x:c>
      <x:c r="M1532" s="84" t="str">
        <x:v>Contaminação</x:v>
      </x:c>
      <x:c r="N1532" s="84" t="str">
        <x:v>Componente ajustado ou substituído</x:v>
      </x:c>
      <x:c r="O1532" s="84" t="n">
        <x:v>0</x:v>
      </x:c>
      <x:c r="P1532" s="93" t="n">
        <x:v>56.74</x:v>
      </x:c>
      <x:c r="Q1532" s="93" t="n">
        <x:v>0</x:v>
      </x:c>
      <x:c r="R1532" s="91" t="n">
        <x:v>0</x:v>
      </x:c>
    </x:row>
    <x:row r="1533">
      <x:c r="A1533" s="83" t="n">
        <x:v>1532</x:v>
      </x:c>
      <x:c r="B1533" s="84" t="str">
        <x:v>OS-2023-01532</x:v>
      </x:c>
      <x:c r="C1533" s="84" t="n">
        <x:v>61</x:v>
      </x:c>
      <x:c r="D1533" s="84" t="n">
        <x:v>1</x:v>
      </x:c>
      <x:c r="E1533" s="84" t="n">
        <x:v>121</x:v>
      </x:c>
      <x:c r="F1533" s="89" t="n">
        <x:v>45037.74832175926</x:v>
      </x:c>
      <x:c r="G1533" s="89" t="n">
        <x:v>45038.74832175926</x:v>
      </x:c>
      <x:c r="H1533" s="89" t="n">
        <x:v>45039.331655092596</x:v>
      </x:c>
      <x:c r="I1533" s="89" t="n">
        <x:v>45039.664988425924</x:v>
      </x:c>
      <x:c r="J1533" s="84" t="str">
        <x:v>Baixa</x:v>
      </x:c>
      <x:c r="K1533" s="84" t="str">
        <x:v>Encerrada</x:v>
      </x:c>
      <x:c r="L1533" s="84" t="str">
        <x:v>Alarme intermitente</x:v>
      </x:c>
      <x:c r="M1533" s="84" t="str">
        <x:v>Desgaste natural</x:v>
      </x:c>
      <x:c r="N1533" s="84" t="str">
        <x:v>Componente ajustado ou substituído</x:v>
      </x:c>
      <x:c r="O1533" s="84" t="n">
        <x:v>0</x:v>
      </x:c>
      <x:c r="P1533" s="93" t="n">
        <x:v>439.19</x:v>
      </x:c>
      <x:c r="Q1533" s="93" t="n">
        <x:v>0</x:v>
      </x:c>
      <x:c r="R1533" s="91" t="n">
        <x:v>0</x:v>
      </x:c>
    </x:row>
    <x:row r="1534">
      <x:c r="A1534" s="83" t="n">
        <x:v>1533</x:v>
      </x:c>
      <x:c r="B1534" s="84" t="str">
        <x:v>OS-2023-01533</x:v>
      </x:c>
      <x:c r="C1534" s="84" t="n">
        <x:v>39</x:v>
      </x:c>
      <x:c r="D1534" s="84" t="n">
        <x:v>1</x:v>
      </x:c>
      <x:c r="E1534" s="84" t="n">
        <x:v>78</x:v>
      </x:c>
      <x:c r="F1534" s="89" t="n">
        <x:v>45167.067407407405</x:v>
      </x:c>
      <x:c r="G1534" s="89" t="n">
        <x:v>45182.067407407405</x:v>
      </x:c>
      <x:c r="H1534" s="89" t="n">
        <x:v>45168.52574074074</x:v>
      </x:c>
      <x:c r="I1534" s="89" t="n">
        <x:v>45168.85907407408</x:v>
      </x:c>
      <x:c r="J1534" s="84" t="str">
        <x:v>Crítica</x:v>
      </x:c>
      <x:c r="K1534" s="84" t="str">
        <x:v>Encerrada</x:v>
      </x:c>
      <x:c r="L1534" s="84" t="str">
        <x:v>Alarme intermitente</x:v>
      </x:c>
      <x:c r="M1534" s="84" t="str">
        <x:v>Falta de lubrificação</x:v>
      </x:c>
      <x:c r="N1534" s="84" t="str">
        <x:v>Componente ajustado ou substituído</x:v>
      </x:c>
      <x:c r="O1534" s="84" t="n">
        <x:v>0</x:v>
      </x:c>
      <x:c r="P1534" s="93" t="n">
        <x:v>182.13</x:v>
      </x:c>
      <x:c r="Q1534" s="93" t="n">
        <x:v>12295.87</x:v>
      </x:c>
      <x:c r="R1534" s="91" t="n">
        <x:v>0</x:v>
      </x:c>
    </x:row>
    <x:row r="1535">
      <x:c r="A1535" s="83" t="n">
        <x:v>1534</x:v>
      </x:c>
      <x:c r="B1535" s="84" t="str">
        <x:v>OS-2023-01534</x:v>
      </x:c>
      <x:c r="C1535" s="84" t="n">
        <x:v>58</x:v>
      </x:c>
      <x:c r="D1535" s="84" t="n">
        <x:v>7</x:v>
      </x:c>
      <x:c r="E1535" s="84" t="n">
        <x:v>115</x:v>
      </x:c>
      <x:c r="F1535" s="89" t="n">
        <x:v>45001.36461805556</x:v>
      </x:c>
      <x:c r="G1535" s="89" t="n">
        <x:v>45013.36461805556</x:v>
      </x:c>
      <x:c r="H1535" s="89" t="n">
        <x:v>45003.19795138889</x:v>
      </x:c>
      <x:c r="I1535" s="89" t="n">
        <x:v>45003.44795138889</x:v>
      </x:c>
      <x:c r="J1535" s="84" t="str">
        <x:v>Crítica</x:v>
      </x:c>
      <x:c r="K1535" s="84" t="str">
        <x:v>Concluída</x:v>
      </x:c>
      <x:c r="L1535" s="84" t="str">
        <x:v>Superaquecimento</x:v>
      </x:c>
      <x:c r="M1535" s="84" t="str">
        <x:v>Contaminação</x:v>
      </x:c>
      <x:c r="N1535" s="84" t="str">
        <x:v>Componente ajustado ou substituído</x:v>
      </x:c>
      <x:c r="O1535" s="84" t="n">
        <x:v>0</x:v>
      </x:c>
      <x:c r="P1535" s="93" t="n">
        <x:v>837</x:v>
      </x:c>
      <x:c r="Q1535" s="93" t="n">
        <x:v>4174.26</x:v>
      </x:c>
      <x:c r="R1535" s="91" t="n">
        <x:v>11840.78</x:v>
      </x:c>
    </x:row>
    <x:row r="1536">
      <x:c r="A1536" s="83" t="n">
        <x:v>1535</x:v>
      </x:c>
      <x:c r="B1536" s="84" t="str">
        <x:v>OS-2025-01535</x:v>
      </x:c>
      <x:c r="C1536" s="84" t="n">
        <x:v>4</x:v>
      </x:c>
      <x:c r="D1536" s="84" t="n">
        <x:v>7</x:v>
      </x:c>
      <x:c r="E1536" s="84" t="n">
        <x:v>7</x:v>
      </x:c>
      <x:c r="F1536" s="89" t="n">
        <x:v>45770.52755787037</x:v>
      </x:c>
      <x:c r="G1536" s="89" t="n">
        <x:v>45775.52755787037</x:v>
      </x:c>
      <x:c r="H1536" s="89"/>
      <x:c r="I1536" s="89"/>
      <x:c r="J1536" s="84" t="str">
        <x:v>Baixa</x:v>
      </x:c>
      <x:c r="K1536" s="84" t="str">
        <x:v>Cancelada</x:v>
      </x:c>
      <x:c r="L1536" s="84" t="str">
        <x:v>Baixa pressão</x:v>
      </x:c>
      <x:c r="M1536" s="84"/>
      <x:c r="N1536" s="84"/>
      <x:c r="O1536" s="84" t="n">
        <x:v>0</x:v>
      </x:c>
      <x:c r="P1536" s="93" t="n">
        <x:v>0</x:v>
      </x:c>
      <x:c r="Q1536" s="93" t="n">
        <x:v>0</x:v>
      </x:c>
      <x:c r="R1536" s="91" t="n">
        <x:v>0</x:v>
      </x:c>
    </x:row>
    <x:row r="1537">
      <x:c r="A1537" s="83" t="n">
        <x:v>1536</x:v>
      </x:c>
      <x:c r="B1537" s="84" t="str">
        <x:v>OS-2025-01536</x:v>
      </x:c>
      <x:c r="C1537" s="84" t="n">
        <x:v>49</x:v>
      </x:c>
      <x:c r="D1537" s="84" t="n">
        <x:v>5</x:v>
      </x:c>
      <x:c r="E1537" s="84" t="n">
        <x:v>97</x:v>
      </x:c>
      <x:c r="F1537" s="89" t="n">
        <x:v>45726.23582175926</x:v>
      </x:c>
      <x:c r="G1537" s="89" t="n">
        <x:v>45738.23582175926</x:v>
      </x:c>
      <x:c r="H1537" s="89" t="n">
        <x:v>45727.52748842593</x:v>
      </x:c>
      <x:c r="I1537" s="89" t="n">
        <x:v>45727.86082175926</x:v>
      </x:c>
      <x:c r="J1537" s="84" t="str">
        <x:v>Alta</x:v>
      </x:c>
      <x:c r="K1537" s="84" t="str">
        <x:v>Concluída</x:v>
      </x:c>
      <x:c r="L1537" s="84" t="str">
        <x:v>Ruído anormal</x:v>
      </x:c>
      <x:c r="M1537" s="84" t="str">
        <x:v>Contaminação</x:v>
      </x:c>
      <x:c r="N1537" s="84" t="str">
        <x:v>Componente ajustado ou substituído</x:v>
      </x:c>
      <x:c r="O1537" s="84" t="n">
        <x:v>0</x:v>
      </x:c>
      <x:c r="P1537" s="93" t="n">
        <x:v>348.68</x:v>
      </x:c>
      <x:c r="Q1537" s="93" t="n">
        <x:v>8179.11</x:v>
      </x:c>
      <x:c r="R1537" s="91" t="n">
        <x:v>0</x:v>
      </x:c>
    </x:row>
    <x:row r="1538">
      <x:c r="A1538" s="83" t="n">
        <x:v>1537</x:v>
      </x:c>
      <x:c r="B1538" s="84" t="str">
        <x:v>OS-2024-01537</x:v>
      </x:c>
      <x:c r="C1538" s="84" t="n">
        <x:v>64</x:v>
      </x:c>
      <x:c r="D1538" s="84" t="n">
        <x:v>4</x:v>
      </x:c>
      <x:c r="E1538" s="84"/>
      <x:c r="F1538" s="89" t="n">
        <x:v>45314.62096064815</x:v>
      </x:c>
      <x:c r="G1538" s="89" t="n">
        <x:v>45321.62096064815</x:v>
      </x:c>
      <x:c r="H1538" s="89" t="n">
        <x:v>45317.20429398148</x:v>
      </x:c>
      <x:c r="I1538" s="89" t="n">
        <x:v>45317.82929398148</x:v>
      </x:c>
      <x:c r="J1538" s="84" t="str">
        <x:v>Crítica</x:v>
      </x:c>
      <x:c r="K1538" s="84" t="str">
        <x:v>Encerrada</x:v>
      </x:c>
      <x:c r="L1538" s="84" t="str">
        <x:v>Desalinhamento</x:v>
      </x:c>
      <x:c r="M1538" s="84" t="str">
        <x:v>Desgaste natural</x:v>
      </x:c>
      <x:c r="N1538" s="84" t="str">
        <x:v>Componente ajustado ou substituído</x:v>
      </x:c>
      <x:c r="O1538" s="84" t="n">
        <x:v>0</x:v>
      </x:c>
      <x:c r="P1538" s="93" t="n">
        <x:v>344.83</x:v>
      </x:c>
      <x:c r="Q1538" s="93" t="n">
        <x:v>0</x:v>
      </x:c>
      <x:c r="R1538" s="91" t="n">
        <x:v>0</x:v>
      </x:c>
    </x:row>
    <x:row r="1539">
      <x:c r="A1539" s="83" t="n">
        <x:v>1538</x:v>
      </x:c>
      <x:c r="B1539" s="84" t="str">
        <x:v>OS-2024-01538</x:v>
      </x:c>
      <x:c r="C1539" s="84" t="n">
        <x:v>76</x:v>
      </x:c>
      <x:c r="D1539" s="84" t="n">
        <x:v>4</x:v>
      </x:c>
      <x:c r="E1539" s="84"/>
      <x:c r="F1539" s="89" t="n">
        <x:v>45588.77112268518</x:v>
      </x:c>
      <x:c r="G1539" s="89" t="n">
        <x:v>45589.77112268518</x:v>
      </x:c>
      <x:c r="H1539" s="89" t="n">
        <x:v>45591.72945601852</x:v>
      </x:c>
      <x:c r="I1539" s="89" t="n">
        <x:v>45592.10445601852</x:v>
      </x:c>
      <x:c r="J1539" s="84" t="str">
        <x:v>Baixa</x:v>
      </x:c>
      <x:c r="K1539" s="84" t="str">
        <x:v>Encerrada</x:v>
      </x:c>
      <x:c r="L1539" s="84" t="str">
        <x:v>Desalinhamento</x:v>
      </x:c>
      <x:c r="M1539" s="84" t="str">
        <x:v>Conexão frouxa</x:v>
      </x:c>
      <x:c r="N1539" s="84" t="str">
        <x:v>Componente ajustado ou substituído</x:v>
      </x:c>
      <x:c r="O1539" s="84" t="n">
        <x:v>0</x:v>
      </x:c>
      <x:c r="P1539" s="93" t="n">
        <x:v>145.68</x:v>
      </x:c>
      <x:c r="Q1539" s="93" t="n">
        <x:v>4238.67</x:v>
      </x:c>
      <x:c r="R1539" s="91" t="n">
        <x:v>0</x:v>
      </x:c>
    </x:row>
    <x:row r="1540">
      <x:c r="A1540" s="83" t="n">
        <x:v>1539</x:v>
      </x:c>
      <x:c r="B1540" s="84" t="str">
        <x:v>OS-2024-01539</x:v>
      </x:c>
      <x:c r="C1540" s="84" t="n">
        <x:v>34</x:v>
      </x:c>
      <x:c r="D1540" s="84" t="n">
        <x:v>1</x:v>
      </x:c>
      <x:c r="E1540" s="84" t="n">
        <x:v>68</x:v>
      </x:c>
      <x:c r="F1540" s="89" t="n">
        <x:v>45420.93335648148</x:v>
      </x:c>
      <x:c r="G1540" s="89" t="n">
        <x:v>45433.93335648148</x:v>
      </x:c>
      <x:c r="H1540" s="89" t="n">
        <x:v>45420.975023148145</x:v>
      </x:c>
      <x:c r="I1540" s="89" t="n">
        <x:v>45421.68335648148</x:v>
      </x:c>
      <x:c r="J1540" s="84" t="str">
        <x:v>Alta</x:v>
      </x:c>
      <x:c r="K1540" s="84" t="str">
        <x:v>Encerrada</x:v>
      </x:c>
      <x:c r="L1540" s="84" t="str">
        <x:v>Falha elétrica</x:v>
      </x:c>
      <x:c r="M1540" s="84" t="str">
        <x:v>Componente danificado</x:v>
      </x:c>
      <x:c r="N1540" s="84" t="str">
        <x:v>Componente ajustado ou substituído</x:v>
      </x:c>
      <x:c r="O1540" s="84" t="n">
        <x:v>0</x:v>
      </x:c>
      <x:c r="P1540" s="93" t="n">
        <x:v>281.03</x:v>
      </x:c>
      <x:c r="Q1540" s="93" t="n">
        <x:v>2059.2</x:v>
      </x:c>
      <x:c r="R1540" s="91" t="n">
        <x:v>0</x:v>
      </x:c>
    </x:row>
    <x:row r="1541">
      <x:c r="A1541" s="83" t="n">
        <x:v>1540</x:v>
      </x:c>
      <x:c r="B1541" s="84" t="str">
        <x:v>OS-2025-01540</x:v>
      </x:c>
      <x:c r="C1541" s="84" t="n">
        <x:v>35</x:v>
      </x:c>
      <x:c r="D1541" s="84" t="n">
        <x:v>1</x:v>
      </x:c>
      <x:c r="E1541" s="84" t="n">
        <x:v>70</x:v>
      </x:c>
      <x:c r="F1541" s="89" t="n">
        <x:v>45827.949837962966</x:v>
      </x:c>
      <x:c r="G1541" s="89" t="n">
        <x:v>45829.949837962966</x:v>
      </x:c>
      <x:c r="H1541" s="89" t="n">
        <x:v>45828.908171296294</x:v>
      </x:c>
      <x:c r="I1541" s="89"/>
      <x:c r="J1541" s="84" t="str">
        <x:v>Baixa</x:v>
      </x:c>
      <x:c r="K1541" s="84" t="str">
        <x:v>Em execução</x:v>
      </x:c>
      <x:c r="L1541" s="84" t="str">
        <x:v>Ruído anormal</x:v>
      </x:c>
      <x:c r="M1541" s="84" t="str">
        <x:v>Falta de lubrificação</x:v>
      </x:c>
      <x:c r="N1541" s="84"/>
      <x:c r="O1541" s="84" t="n">
        <x:v>0</x:v>
      </x:c>
      <x:c r="P1541" s="93" t="n">
        <x:v>249.82</x:v>
      </x:c>
      <x:c r="Q1541" s="93" t="n">
        <x:v>2406.15</x:v>
      </x:c>
      <x:c r="R1541" s="91" t="n">
        <x:v>0</x:v>
      </x:c>
    </x:row>
    <x:row r="1542">
      <x:c r="A1542" s="83" t="n">
        <x:v>1541</x:v>
      </x:c>
      <x:c r="B1542" s="84" t="str">
        <x:v>OS-2024-01541</x:v>
      </x:c>
      <x:c r="C1542" s="84" t="n">
        <x:v>15</x:v>
      </x:c>
      <x:c r="D1542" s="84" t="n">
        <x:v>7</x:v>
      </x:c>
      <x:c r="E1542" s="84" t="n">
        <x:v>30</x:v>
      </x:c>
      <x:c r="F1542" s="89" t="n">
        <x:v>45563.53973379629</x:v>
      </x:c>
      <x:c r="G1542" s="89" t="n">
        <x:v>45568.53973379629</x:v>
      </x:c>
      <x:c r="H1542" s="89" t="n">
        <x:v>45566.41473379629</x:v>
      </x:c>
      <x:c r="I1542" s="89" t="n">
        <x:v>45567.03973379629</x:v>
      </x:c>
      <x:c r="J1542" s="84" t="str">
        <x:v>Alta</x:v>
      </x:c>
      <x:c r="K1542" s="84" t="str">
        <x:v>Encerrada</x:v>
      </x:c>
      <x:c r="L1542" s="84" t="str">
        <x:v>Falha elétrica</x:v>
      </x:c>
      <x:c r="M1542" s="84" t="str">
        <x:v>Ajuste incorreto</x:v>
      </x:c>
      <x:c r="N1542" s="84" t="str">
        <x:v>Componente ajustado ou substituído</x:v>
      </x:c>
      <x:c r="O1542" s="84" t="n">
        <x:v>0</x:v>
      </x:c>
      <x:c r="P1542" s="93" t="n">
        <x:v>497.83</x:v>
      </x:c>
      <x:c r="Q1542" s="93" t="n">
        <x:v>7414.04</x:v>
      </x:c>
      <x:c r="R1542" s="91" t="n">
        <x:v>0</x:v>
      </x:c>
    </x:row>
    <x:row r="1543">
      <x:c r="A1543" s="83" t="n">
        <x:v>1542</x:v>
      </x:c>
      <x:c r="B1543" s="84" t="str">
        <x:v>OS-2023-01542</x:v>
      </x:c>
      <x:c r="C1543" s="84" t="n">
        <x:v>82</x:v>
      </x:c>
      <x:c r="D1543" s="84" t="n">
        <x:v>5</x:v>
      </x:c>
      <x:c r="E1543" s="84" t="n">
        <x:v>163</x:v>
      </x:c>
      <x:c r="F1543" s="89" t="n">
        <x:v>45289.14381944444</x:v>
      </x:c>
      <x:c r="G1543" s="89" t="n">
        <x:v>45301.14381944444</x:v>
      </x:c>
      <x:c r="H1543" s="89" t="n">
        <x:v>45291.60215277778</x:v>
      </x:c>
      <x:c r="I1543" s="89" t="n">
        <x:v>45291.68548611111</x:v>
      </x:c>
      <x:c r="J1543" s="84" t="str">
        <x:v>Baixa</x:v>
      </x:c>
      <x:c r="K1543" s="84" t="str">
        <x:v>Concluída</x:v>
      </x:c>
      <x:c r="L1543" s="84" t="str">
        <x:v>Vazamento</x:v>
      </x:c>
      <x:c r="M1543" s="84" t="str">
        <x:v>Componente danificado</x:v>
      </x:c>
      <x:c r="N1543" s="84" t="str">
        <x:v>Componente ajustado ou substituído</x:v>
      </x:c>
      <x:c r="O1543" s="84" t="n">
        <x:v>0</x:v>
      </x:c>
      <x:c r="P1543" s="93" t="n">
        <x:v>652.77</x:v>
      </x:c>
      <x:c r="Q1543" s="93" t="n">
        <x:v>6560.52</x:v>
      </x:c>
      <x:c r="R1543" s="91" t="n">
        <x:v>0</x:v>
      </x:c>
    </x:row>
    <x:row r="1544">
      <x:c r="A1544" s="83" t="n">
        <x:v>1543</x:v>
      </x:c>
      <x:c r="B1544" s="84" t="str">
        <x:v>OS-2025-01543</x:v>
      </x:c>
      <x:c r="C1544" s="84" t="n">
        <x:v>86</x:v>
      </x:c>
      <x:c r="D1544" s="84" t="n">
        <x:v>7</x:v>
      </x:c>
      <x:c r="E1544" s="84" t="n">
        <x:v>172</x:v>
      </x:c>
      <x:c r="F1544" s="89" t="n">
        <x:v>45874.61219907407</x:v>
      </x:c>
      <x:c r="G1544" s="89" t="n">
        <x:v>45880.61219907407</x:v>
      </x:c>
      <x:c r="H1544" s="89" t="n">
        <x:v>45874.86219907407</x:v>
      </x:c>
      <x:c r="I1544" s="89"/>
      <x:c r="J1544" s="84" t="str">
        <x:v>Crítica</x:v>
      </x:c>
      <x:c r="K1544" s="84" t="str">
        <x:v>Em execução</x:v>
      </x:c>
      <x:c r="L1544" s="84" t="str">
        <x:v>Falha elétrica</x:v>
      </x:c>
      <x:c r="M1544" s="84" t="str">
        <x:v>Componente danificado</x:v>
      </x:c>
      <x:c r="N1544" s="84"/>
      <x:c r="O1544" s="84" t="n">
        <x:v>0</x:v>
      </x:c>
      <x:c r="P1544" s="93" t="n">
        <x:v>303.7</x:v>
      </x:c>
      <x:c r="Q1544" s="93" t="n">
        <x:v>6701.21</x:v>
      </x:c>
      <x:c r="R1544" s="91" t="n">
        <x:v>7074.24</x:v>
      </x:c>
    </x:row>
    <x:row r="1545">
      <x:c r="A1545" s="83" t="n">
        <x:v>1544</x:v>
      </x:c>
      <x:c r="B1545" s="84" t="str">
        <x:v>OS-2025-01544</x:v>
      </x:c>
      <x:c r="C1545" s="84" t="n">
        <x:v>23</x:v>
      </x:c>
      <x:c r="D1545" s="84" t="n">
        <x:v>1</x:v>
      </x:c>
      <x:c r="E1545" s="84" t="n">
        <x:v>45</x:v>
      </x:c>
      <x:c r="F1545" s="89" t="n">
        <x:v>45829.28648148148</x:v>
      </x:c>
      <x:c r="G1545" s="89" t="n">
        <x:v>45844.28648148148</x:v>
      </x:c>
      <x:c r="H1545" s="89" t="n">
        <x:v>45830.91148148148</x:v>
      </x:c>
      <x:c r="I1545" s="89"/>
      <x:c r="J1545" s="84" t="str">
        <x:v>Crítica</x:v>
      </x:c>
      <x:c r="K1545" s="84" t="str">
        <x:v>Aguardando peça</x:v>
      </x:c>
      <x:c r="L1545" s="84" t="str">
        <x:v>Alarme intermitente</x:v>
      </x:c>
      <x:c r="M1545" s="84" t="str">
        <x:v>Componente danificado</x:v>
      </x:c>
      <x:c r="N1545" s="84"/>
      <x:c r="O1545" s="84" t="n">
        <x:v>0</x:v>
      </x:c>
      <x:c r="P1545" s="93" t="n">
        <x:v>562.72</x:v>
      </x:c>
      <x:c r="Q1545" s="93" t="n">
        <x:v>10083.98</x:v>
      </x:c>
      <x:c r="R1545" s="91" t="n">
        <x:v>13952.63</x:v>
      </x:c>
    </x:row>
    <x:row r="1546">
      <x:c r="A1546" s="83" t="n">
        <x:v>1545</x:v>
      </x:c>
      <x:c r="B1546" s="84" t="str">
        <x:v>OS-2025-01545</x:v>
      </x:c>
      <x:c r="C1546" s="84" t="n">
        <x:v>21</x:v>
      </x:c>
      <x:c r="D1546" s="84" t="n">
        <x:v>1</x:v>
      </x:c>
      <x:c r="E1546" s="84" t="n">
        <x:v>42</x:v>
      </x:c>
      <x:c r="F1546" s="89" t="n">
        <x:v>45768.56099537037</x:v>
      </x:c>
      <x:c r="G1546" s="89" t="n">
        <x:v>45771.56099537037</x:v>
      </x:c>
      <x:c r="H1546" s="89" t="n">
        <x:v>45769.85266203704</x:v>
      </x:c>
      <x:c r="I1546" s="89" t="n">
        <x:v>45770.644328703704</x:v>
      </x:c>
      <x:c r="J1546" s="84" t="str">
        <x:v>Crítica</x:v>
      </x:c>
      <x:c r="K1546" s="84" t="str">
        <x:v>Encerrada</x:v>
      </x:c>
      <x:c r="L1546" s="84" t="str">
        <x:v>Desalinhamento</x:v>
      </x:c>
      <x:c r="M1546" s="84" t="str">
        <x:v>Componente danificado</x:v>
      </x:c>
      <x:c r="N1546" s="84" t="str">
        <x:v>Componente ajustado ou substituído</x:v>
      </x:c>
      <x:c r="O1546" s="84" t="n">
        <x:v>0</x:v>
      </x:c>
      <x:c r="P1546" s="93" t="n">
        <x:v>391.95</x:v>
      </x:c>
      <x:c r="Q1546" s="93" t="n">
        <x:v>8604</x:v>
      </x:c>
      <x:c r="R1546" s="91" t="n">
        <x:v>0</x:v>
      </x:c>
    </x:row>
    <x:row r="1547">
      <x:c r="A1547" s="83" t="n">
        <x:v>1546</x:v>
      </x:c>
      <x:c r="B1547" s="84" t="str">
        <x:v>OS-2023-01546</x:v>
      </x:c>
      <x:c r="C1547" s="84" t="n">
        <x:v>23</x:v>
      </x:c>
      <x:c r="D1547" s="84" t="n">
        <x:v>1</x:v>
      </x:c>
      <x:c r="E1547" s="84" t="n">
        <x:v>45</x:v>
      </x:c>
      <x:c r="F1547" s="89" t="n">
        <x:v>44989.90826388889</x:v>
      </x:c>
      <x:c r="G1547" s="89" t="n">
        <x:v>44996.90826388889</x:v>
      </x:c>
      <x:c r="H1547" s="89" t="n">
        <x:v>44991.28326388889</x:v>
      </x:c>
      <x:c r="I1547" s="89" t="n">
        <x:v>44991.82493055556</x:v>
      </x:c>
      <x:c r="J1547" s="84" t="str">
        <x:v>Crítica</x:v>
      </x:c>
      <x:c r="K1547" s="84" t="str">
        <x:v>Encerrada</x:v>
      </x:c>
      <x:c r="L1547" s="84" t="str">
        <x:v>Ruído anormal</x:v>
      </x:c>
      <x:c r="M1547" s="84" t="str">
        <x:v>Contaminação</x:v>
      </x:c>
      <x:c r="N1547" s="84" t="str">
        <x:v>Componente ajustado ou substituído</x:v>
      </x:c>
      <x:c r="O1547" s="84" t="n">
        <x:v>0</x:v>
      </x:c>
      <x:c r="P1547" s="93" t="n">
        <x:v>353.11</x:v>
      </x:c>
      <x:c r="Q1547" s="93" t="n">
        <x:v>8273.68</x:v>
      </x:c>
      <x:c r="R1547" s="91" t="n">
        <x:v>0</x:v>
      </x:c>
    </x:row>
    <x:row r="1548">
      <x:c r="A1548" s="83" t="n">
        <x:v>1547</x:v>
      </x:c>
      <x:c r="B1548" s="84" t="str">
        <x:v>OS-2024-01547</x:v>
      </x:c>
      <x:c r="C1548" s="84" t="n">
        <x:v>48</x:v>
      </x:c>
      <x:c r="D1548" s="84" t="n">
        <x:v>1</x:v>
      </x:c>
      <x:c r="E1548" s="84" t="n">
        <x:v>96</x:v>
      </x:c>
      <x:c r="F1548" s="89" t="n">
        <x:v>45632.96207175926</x:v>
      </x:c>
      <x:c r="G1548" s="89" t="n">
        <x:v>45640.96207175926</x:v>
      </x:c>
      <x:c r="H1548" s="89" t="n">
        <x:v>45635.67040509259</x:v>
      </x:c>
      <x:c r="I1548" s="89" t="n">
        <x:v>45635.83707175926</x:v>
      </x:c>
      <x:c r="J1548" s="84" t="str">
        <x:v>Média</x:v>
      </x:c>
      <x:c r="K1548" s="84" t="str">
        <x:v>Encerrada</x:v>
      </x:c>
      <x:c r="L1548" s="84" t="str">
        <x:v>Alarme intermitente</x:v>
      </x:c>
      <x:c r="M1548" s="84" t="str">
        <x:v>Desgaste natural</x:v>
      </x:c>
      <x:c r="N1548" s="84" t="str">
        <x:v>Componente ajustado ou substituído</x:v>
      </x:c>
      <x:c r="O1548" s="84" t="n">
        <x:v>0</x:v>
      </x:c>
      <x:c r="P1548" s="93" t="n">
        <x:v>487.74</x:v>
      </x:c>
      <x:c r="Q1548" s="93" t="n">
        <x:v>0</x:v>
      </x:c>
      <x:c r="R1548" s="91" t="n">
        <x:v>0</x:v>
      </x:c>
    </x:row>
    <x:row r="1549">
      <x:c r="A1549" s="83" t="n">
        <x:v>1548</x:v>
      </x:c>
      <x:c r="B1549" s="84" t="str">
        <x:v>OS-2023-01548</x:v>
      </x:c>
      <x:c r="C1549" s="84" t="n">
        <x:v>17</x:v>
      </x:c>
      <x:c r="D1549" s="84" t="n">
        <x:v>1</x:v>
      </x:c>
      <x:c r="E1549" s="84" t="n">
        <x:v>34</x:v>
      </x:c>
      <x:c r="F1549" s="89" t="n">
        <x:v>44975.05186342593</x:v>
      </x:c>
      <x:c r="G1549" s="89" t="n">
        <x:v>44987.05186342593</x:v>
      </x:c>
      <x:c r="H1549" s="89"/>
      <x:c r="I1549" s="89"/>
      <x:c r="J1549" s="84" t="str">
        <x:v>Média</x:v>
      </x:c>
      <x:c r="K1549" s="84" t="str">
        <x:v>Planejada</x:v>
      </x:c>
      <x:c r="L1549" s="84" t="str">
        <x:v>Ruído anormal</x:v>
      </x:c>
      <x:c r="M1549" s="84"/>
      <x:c r="N1549" s="84"/>
      <x:c r="O1549" s="84" t="n">
        <x:v>0</x:v>
      </x:c>
      <x:c r="P1549" s="93" t="n">
        <x:v>0</x:v>
      </x:c>
      <x:c r="Q1549" s="93" t="n">
        <x:v>0</x:v>
      </x:c>
      <x:c r="R1549" s="91" t="n">
        <x:v>0</x:v>
      </x:c>
    </x:row>
    <x:row r="1550">
      <x:c r="A1550" s="83" t="n">
        <x:v>1549</x:v>
      </x:c>
      <x:c r="B1550" s="84" t="str">
        <x:v>OS-2024-01549</x:v>
      </x:c>
      <x:c r="C1550" s="84" t="n">
        <x:v>40</x:v>
      </x:c>
      <x:c r="D1550" s="84" t="n">
        <x:v>2</x:v>
      </x:c>
      <x:c r="E1550" s="84"/>
      <x:c r="F1550" s="89" t="n">
        <x:v>45476.01797453704</x:v>
      </x:c>
      <x:c r="G1550" s="89" t="n">
        <x:v>45481.01797453704</x:v>
      </x:c>
      <x:c r="H1550" s="89" t="n">
        <x:v>45476.184641203705</x:v>
      </x:c>
      <x:c r="I1550" s="89" t="n">
        <x:v>45476.809641203705</x:v>
      </x:c>
      <x:c r="J1550" s="84" t="str">
        <x:v>Alta</x:v>
      </x:c>
      <x:c r="K1550" s="84" t="str">
        <x:v>Encerrada</x:v>
      </x:c>
      <x:c r="L1550" s="84" t="str">
        <x:v>Falha elétrica</x:v>
      </x:c>
      <x:c r="M1550" s="84" t="str">
        <x:v>Ajuste incorreto</x:v>
      </x:c>
      <x:c r="N1550" s="84" t="str">
        <x:v>Componente ajustado ou substituído</x:v>
      </x:c>
      <x:c r="O1550" s="84" t="n">
        <x:v>0</x:v>
      </x:c>
      <x:c r="P1550" s="93" t="n">
        <x:v>358.74</x:v>
      </x:c>
      <x:c r="Q1550" s="93" t="n">
        <x:v>4971.5</x:v>
      </x:c>
      <x:c r="R1550" s="91" t="n">
        <x:v>0</x:v>
      </x:c>
    </x:row>
    <x:row r="1551">
      <x:c r="A1551" s="83" t="n">
        <x:v>1550</x:v>
      </x:c>
      <x:c r="B1551" s="84" t="str">
        <x:v>OS-2025-01550</x:v>
      </x:c>
      <x:c r="C1551" s="84" t="n">
        <x:v>6</x:v>
      </x:c>
      <x:c r="D1551" s="84" t="n">
        <x:v>1</x:v>
      </x:c>
      <x:c r="E1551" s="84" t="n">
        <x:v>12</x:v>
      </x:c>
      <x:c r="F1551" s="89" t="n">
        <x:v>45842.892858796295</x:v>
      </x:c>
      <x:c r="G1551" s="89" t="n">
        <x:v>45851.892858796295</x:v>
      </x:c>
      <x:c r="H1551" s="89" t="n">
        <x:v>45843.934525462966</x:v>
      </x:c>
      <x:c r="I1551" s="89" t="n">
        <x:v>45844.60119212963</x:v>
      </x:c>
      <x:c r="J1551" s="84" t="str">
        <x:v>Média</x:v>
      </x:c>
      <x:c r="K1551" s="84" t="str">
        <x:v>Encerrada</x:v>
      </x:c>
      <x:c r="L1551" s="84" t="str">
        <x:v>Falha elétrica</x:v>
      </x:c>
      <x:c r="M1551" s="84" t="str">
        <x:v>Contaminação</x:v>
      </x:c>
      <x:c r="N1551" s="84" t="str">
        <x:v>Componente ajustado ou substituído</x:v>
      </x:c>
      <x:c r="O1551" s="84" t="n">
        <x:v>0</x:v>
      </x:c>
      <x:c r="P1551" s="93" t="n">
        <x:v>630.82</x:v>
      </x:c>
      <x:c r="Q1551" s="93" t="n">
        <x:v>6526.1</x:v>
      </x:c>
      <x:c r="R1551" s="91" t="n">
        <x:v>0</x:v>
      </x:c>
    </x:row>
    <x:row r="1552">
      <x:c r="A1552" s="83" t="n">
        <x:v>1551</x:v>
      </x:c>
      <x:c r="B1552" s="84" t="str">
        <x:v>OS-2025-01551</x:v>
      </x:c>
      <x:c r="C1552" s="84" t="n">
        <x:v>27</x:v>
      </x:c>
      <x:c r="D1552" s="84" t="n">
        <x:v>6</x:v>
      </x:c>
      <x:c r="E1552" s="84"/>
      <x:c r="F1552" s="89" t="n">
        <x:v>45960.26584490741</x:v>
      </x:c>
      <x:c r="G1552" s="89" t="n">
        <x:v>45971.26584490741</x:v>
      </x:c>
      <x:c r="H1552" s="89" t="n">
        <x:v>45960.30751157407</x:v>
      </x:c>
      <x:c r="I1552" s="89"/>
      <x:c r="J1552" s="84" t="str">
        <x:v>Alta</x:v>
      </x:c>
      <x:c r="K1552" s="84" t="str">
        <x:v>Em execução</x:v>
      </x:c>
      <x:c r="L1552" s="84" t="str">
        <x:v>Ruído anormal</x:v>
      </x:c>
      <x:c r="M1552" s="84" t="str">
        <x:v>Conexão frouxa</x:v>
      </x:c>
      <x:c r="N1552" s="84"/>
      <x:c r="O1552" s="84" t="n">
        <x:v>0</x:v>
      </x:c>
      <x:c r="P1552" s="93" t="n">
        <x:v>446.73</x:v>
      </x:c>
      <x:c r="Q1552" s="93" t="n">
        <x:v>1334.95</x:v>
      </x:c>
      <x:c r="R1552" s="91" t="n">
        <x:v>0</x:v>
      </x:c>
    </x:row>
    <x:row r="1553">
      <x:c r="A1553" s="83" t="n">
        <x:v>1552</x:v>
      </x:c>
      <x:c r="B1553" s="84" t="str">
        <x:v>OS-2023-01552</x:v>
      </x:c>
      <x:c r="C1553" s="84" t="n">
        <x:v>25</x:v>
      </x:c>
      <x:c r="D1553" s="84" t="n">
        <x:v>6</x:v>
      </x:c>
      <x:c r="E1553" s="84"/>
      <x:c r="F1553" s="89" t="n">
        <x:v>45182.66798611111</x:v>
      </x:c>
      <x:c r="G1553" s="89" t="n">
        <x:v>45185.66798611111</x:v>
      </x:c>
      <x:c r="H1553" s="89" t="n">
        <x:v>45185.084652777776</x:v>
      </x:c>
      <x:c r="I1553" s="89" t="n">
        <x:v>45185.25131944445</x:v>
      </x:c>
      <x:c r="J1553" s="84" t="str">
        <x:v>Crítica</x:v>
      </x:c>
      <x:c r="K1553" s="84" t="str">
        <x:v>Concluída</x:v>
      </x:c>
      <x:c r="L1553" s="84" t="str">
        <x:v>Desalinhamento</x:v>
      </x:c>
      <x:c r="M1553" s="84" t="str">
        <x:v>Contaminação</x:v>
      </x:c>
      <x:c r="N1553" s="84" t="str">
        <x:v>Componente ajustado ou substituído</x:v>
      </x:c>
      <x:c r="O1553" s="84" t="n">
        <x:v>0</x:v>
      </x:c>
      <x:c r="P1553" s="93" t="n">
        <x:v>293.29</x:v>
      </x:c>
      <x:c r="Q1553" s="93" t="n">
        <x:v>5651.84</x:v>
      </x:c>
      <x:c r="R1553" s="91" t="n">
        <x:v>0</x:v>
      </x:c>
    </x:row>
    <x:row r="1554">
      <x:c r="A1554" s="83" t="n">
        <x:v>1553</x:v>
      </x:c>
      <x:c r="B1554" s="84" t="str">
        <x:v>OS-2023-01553</x:v>
      </x:c>
      <x:c r="C1554" s="84" t="n">
        <x:v>39</x:v>
      </x:c>
      <x:c r="D1554" s="84" t="n">
        <x:v>1</x:v>
      </x:c>
      <x:c r="E1554" s="84" t="n">
        <x:v>78</x:v>
      </x:c>
      <x:c r="F1554" s="89" t="n">
        <x:v>44972.43645833333</x:v>
      </x:c>
      <x:c r="G1554" s="89" t="n">
        <x:v>44985.43645833333</x:v>
      </x:c>
      <x:c r="H1554" s="89" t="n">
        <x:v>44974.769791666666</x:v>
      </x:c>
      <x:c r="I1554" s="89" t="n">
        <x:v>44974.93645833333</x:v>
      </x:c>
      <x:c r="J1554" s="84" t="str">
        <x:v>Média</x:v>
      </x:c>
      <x:c r="K1554" s="84" t="str">
        <x:v>Encerrada</x:v>
      </x:c>
      <x:c r="L1554" s="84" t="str">
        <x:v>Falha elétrica</x:v>
      </x:c>
      <x:c r="M1554" s="84" t="str">
        <x:v>Ajuste incorreto</x:v>
      </x:c>
      <x:c r="N1554" s="84" t="str">
        <x:v>Componente ajustado ou substituído</x:v>
      </x:c>
      <x:c r="O1554" s="84" t="n">
        <x:v>0</x:v>
      </x:c>
      <x:c r="P1554" s="93" t="n">
        <x:v>147.43</x:v>
      </x:c>
      <x:c r="Q1554" s="93" t="n">
        <x:v>4401.6</x:v>
      </x:c>
      <x:c r="R1554" s="91" t="n">
        <x:v>0</x:v>
      </x:c>
    </x:row>
    <x:row r="1555">
      <x:c r="A1555" s="83" t="n">
        <x:v>1554</x:v>
      </x:c>
      <x:c r="B1555" s="84" t="str">
        <x:v>OS-2025-01554</x:v>
      </x:c>
      <x:c r="C1555" s="84" t="n">
        <x:v>45</x:v>
      </x:c>
      <x:c r="D1555" s="84" t="n">
        <x:v>7</x:v>
      </x:c>
      <x:c r="E1555" s="84" t="n">
        <x:v>89</x:v>
      </x:c>
      <x:c r="F1555" s="89" t="n">
        <x:v>45711.93393518519</x:v>
      </x:c>
      <x:c r="G1555" s="89" t="n">
        <x:v>45724.93393518519</x:v>
      </x:c>
      <x:c r="H1555" s="89" t="n">
        <x:v>45714.22560185185</x:v>
      </x:c>
      <x:c r="I1555" s="89" t="n">
        <x:v>45714.68393518519</x:v>
      </x:c>
      <x:c r="J1555" s="84" t="str">
        <x:v>Crítica</x:v>
      </x:c>
      <x:c r="K1555" s="84" t="str">
        <x:v>Encerrada</x:v>
      </x:c>
      <x:c r="L1555" s="84" t="str">
        <x:v>Falha elétrica</x:v>
      </x:c>
      <x:c r="M1555" s="84" t="str">
        <x:v>Ajuste incorreto</x:v>
      </x:c>
      <x:c r="N1555" s="84" t="str">
        <x:v>Componente ajustado ou substituído</x:v>
      </x:c>
      <x:c r="O1555" s="84" t="n">
        <x:v>0</x:v>
      </x:c>
      <x:c r="P1555" s="93" t="n">
        <x:v>355.39</x:v>
      </x:c>
      <x:c r="Q1555" s="93" t="n">
        <x:v>0</x:v>
      </x:c>
      <x:c r="R1555" s="91" t="n">
        <x:v>0</x:v>
      </x:c>
    </x:row>
    <x:row r="1556">
      <x:c r="A1556" s="83" t="n">
        <x:v>1555</x:v>
      </x:c>
      <x:c r="B1556" s="84" t="str">
        <x:v>OS-2024-01555</x:v>
      </x:c>
      <x:c r="C1556" s="84" t="n">
        <x:v>16</x:v>
      </x:c>
      <x:c r="D1556" s="84" t="n">
        <x:v>2</x:v>
      </x:c>
      <x:c r="E1556" s="84"/>
      <x:c r="F1556" s="89" t="n">
        <x:v>45548.105891203704</x:v>
      </x:c>
      <x:c r="G1556" s="89" t="n">
        <x:v>45563.105891203704</x:v>
      </x:c>
      <x:c r="H1556" s="89" t="n">
        <x:v>45549.605891203704</x:v>
      </x:c>
      <x:c r="I1556" s="89" t="n">
        <x:v>45549.68922453704</x:v>
      </x:c>
      <x:c r="J1556" s="84" t="str">
        <x:v>Alta</x:v>
      </x:c>
      <x:c r="K1556" s="84" t="str">
        <x:v>Concluída</x:v>
      </x:c>
      <x:c r="L1556" s="84" t="str">
        <x:v>Falha elétrica</x:v>
      </x:c>
      <x:c r="M1556" s="84" t="str">
        <x:v>Ajuste incorreto</x:v>
      </x:c>
      <x:c r="N1556" s="84" t="str">
        <x:v>Componente ajustado ou substituído</x:v>
      </x:c>
      <x:c r="O1556" s="84" t="n">
        <x:v>0</x:v>
      </x:c>
      <x:c r="P1556" s="93" t="n">
        <x:v>831.81</x:v>
      </x:c>
      <x:c r="Q1556" s="93" t="n">
        <x:v>4554.63</x:v>
      </x:c>
      <x:c r="R1556" s="91" t="n">
        <x:v>3369.23</x:v>
      </x:c>
    </x:row>
    <x:row r="1557">
      <x:c r="A1557" s="83" t="n">
        <x:v>1556</x:v>
      </x:c>
      <x:c r="B1557" s="84" t="str">
        <x:v>OS-2024-01556</x:v>
      </x:c>
      <x:c r="C1557" s="84" t="n">
        <x:v>18</x:v>
      </x:c>
      <x:c r="D1557" s="84" t="n">
        <x:v>1</x:v>
      </x:c>
      <x:c r="E1557" s="84" t="n">
        <x:v>35</x:v>
      </x:c>
      <x:c r="F1557" s="89" t="n">
        <x:v>45382.12143518519</x:v>
      </x:c>
      <x:c r="G1557" s="89" t="n">
        <x:v>45385.12143518519</x:v>
      </x:c>
      <x:c r="H1557" s="89"/>
      <x:c r="I1557" s="89"/>
      <x:c r="J1557" s="84" t="str">
        <x:v>Baixa</x:v>
      </x:c>
      <x:c r="K1557" s="84" t="str">
        <x:v>Planejada</x:v>
      </x:c>
      <x:c r="L1557" s="84" t="str">
        <x:v>Ruído anormal</x:v>
      </x:c>
      <x:c r="M1557" s="84"/>
      <x:c r="N1557" s="84"/>
      <x:c r="O1557" s="84" t="n">
        <x:v>0</x:v>
      </x:c>
      <x:c r="P1557" s="93" t="n">
        <x:v>0</x:v>
      </x:c>
      <x:c r="Q1557" s="93" t="n">
        <x:v>0</x:v>
      </x:c>
      <x:c r="R1557" s="91" t="n">
        <x:v>0</x:v>
      </x:c>
    </x:row>
    <x:row r="1558">
      <x:c r="A1558" s="83" t="n">
        <x:v>1557</x:v>
      </x:c>
      <x:c r="B1558" s="84" t="str">
        <x:v>OS-2023-01557</x:v>
      </x:c>
      <x:c r="C1558" s="84" t="n">
        <x:v>61</x:v>
      </x:c>
      <x:c r="D1558" s="84" t="n">
        <x:v>1</x:v>
      </x:c>
      <x:c r="E1558" s="84" t="n">
        <x:v>122</x:v>
      </x:c>
      <x:c r="F1558" s="89" t="n">
        <x:v>45050.38269675926</x:v>
      </x:c>
      <x:c r="G1558" s="89" t="n">
        <x:v>45059.38269675926</x:v>
      </x:c>
      <x:c r="H1558" s="89" t="n">
        <x:v>45050.84103009259</x:v>
      </x:c>
      <x:c r="I1558" s="89" t="n">
        <x:v>45051.424363425926</x:v>
      </x:c>
      <x:c r="J1558" s="84" t="str">
        <x:v>Média</x:v>
      </x:c>
      <x:c r="K1558" s="84" t="str">
        <x:v>Encerrada</x:v>
      </x:c>
      <x:c r="L1558" s="84" t="str">
        <x:v>Vazamento</x:v>
      </x:c>
      <x:c r="M1558" s="84" t="str">
        <x:v>Conexão frouxa</x:v>
      </x:c>
      <x:c r="N1558" s="84" t="str">
        <x:v>Componente ajustado ou substituído</x:v>
      </x:c>
      <x:c r="O1558" s="84" t="n">
        <x:v>0</x:v>
      </x:c>
      <x:c r="P1558" s="93" t="n">
        <x:v>135.15</x:v>
      </x:c>
      <x:c r="Q1558" s="93" t="n">
        <x:v>1465.42</x:v>
      </x:c>
      <x:c r="R1558" s="91" t="n">
        <x:v>0</x:v>
      </x:c>
    </x:row>
    <x:row r="1559">
      <x:c r="A1559" s="83" t="n">
        <x:v>1558</x:v>
      </x:c>
      <x:c r="B1559" s="84" t="str">
        <x:v>OS-2024-01558</x:v>
      </x:c>
      <x:c r="C1559" s="84" t="n">
        <x:v>48</x:v>
      </x:c>
      <x:c r="D1559" s="84" t="n">
        <x:v>5</x:v>
      </x:c>
      <x:c r="E1559" s="84" t="n">
        <x:v>95</x:v>
      </x:c>
      <x:c r="F1559" s="89" t="n">
        <x:v>45333.558391203704</x:v>
      </x:c>
      <x:c r="G1559" s="89" t="n">
        <x:v>45339.558391203704</x:v>
      </x:c>
      <x:c r="H1559" s="89" t="n">
        <x:v>45336.14172453704</x:v>
      </x:c>
      <x:c r="I1559" s="89" t="n">
        <x:v>45336.35005787037</x:v>
      </x:c>
      <x:c r="J1559" s="84" t="str">
        <x:v>Baixa</x:v>
      </x:c>
      <x:c r="K1559" s="84" t="str">
        <x:v>Encerrada</x:v>
      </x:c>
      <x:c r="L1559" s="84" t="str">
        <x:v>Superaquecimento</x:v>
      </x:c>
      <x:c r="M1559" s="84" t="str">
        <x:v>Componente danificado</x:v>
      </x:c>
      <x:c r="N1559" s="84" t="str">
        <x:v>Componente ajustado ou substituído</x:v>
      </x:c>
      <x:c r="O1559" s="84" t="n">
        <x:v>0</x:v>
      </x:c>
      <x:c r="P1559" s="93" t="n">
        <x:v>633.01</x:v>
      </x:c>
      <x:c r="Q1559" s="93" t="n">
        <x:v>6165.51</x:v>
      </x:c>
      <x:c r="R1559" s="91" t="n">
        <x:v>0</x:v>
      </x:c>
    </x:row>
    <x:row r="1560">
      <x:c r="A1560" s="83" t="n">
        <x:v>1559</x:v>
      </x:c>
      <x:c r="B1560" s="84" t="str">
        <x:v>OS-2023-01559</x:v>
      </x:c>
      <x:c r="C1560" s="84" t="n">
        <x:v>43</x:v>
      </x:c>
      <x:c r="D1560" s="84" t="n">
        <x:v>1</x:v>
      </x:c>
      <x:c r="E1560" s="84" t="n">
        <x:v>86</x:v>
      </x:c>
      <x:c r="F1560" s="89" t="n">
        <x:v>45072.55596064815</x:v>
      </x:c>
      <x:c r="G1560" s="89" t="n">
        <x:v>45081.55596064815</x:v>
      </x:c>
      <x:c r="H1560" s="89"/>
      <x:c r="I1560" s="89"/>
      <x:c r="J1560" s="84" t="str">
        <x:v>Alta</x:v>
      </x:c>
      <x:c r="K1560" s="84" t="str">
        <x:v>Planejada</x:v>
      </x:c>
      <x:c r="L1560" s="84" t="str">
        <x:v>Ruído anormal</x:v>
      </x:c>
      <x:c r="M1560" s="84"/>
      <x:c r="N1560" s="84"/>
      <x:c r="O1560" s="84" t="n">
        <x:v>0</x:v>
      </x:c>
      <x:c r="P1560" s="93" t="n">
        <x:v>0</x:v>
      </x:c>
      <x:c r="Q1560" s="93" t="n">
        <x:v>0</x:v>
      </x:c>
      <x:c r="R1560" s="91" t="n">
        <x:v>0</x:v>
      </x:c>
    </x:row>
    <x:row r="1561">
      <x:c r="A1561" s="83" t="n">
        <x:v>1560</x:v>
      </x:c>
      <x:c r="B1561" s="84" t="str">
        <x:v>OS-2024-01560</x:v>
      </x:c>
      <x:c r="C1561" s="84" t="n">
        <x:v>6</x:v>
      </x:c>
      <x:c r="D1561" s="84" t="n">
        <x:v>1</x:v>
      </x:c>
      <x:c r="E1561" s="84" t="n">
        <x:v>11</x:v>
      </x:c>
      <x:c r="F1561" s="89" t="n">
        <x:v>45616.19310185185</x:v>
      </x:c>
      <x:c r="G1561" s="89" t="n">
        <x:v>45630.19310185185</x:v>
      </x:c>
      <x:c r="H1561" s="89" t="n">
        <x:v>45616.77643518519</x:v>
      </x:c>
      <x:c r="I1561" s="89" t="n">
        <x:v>45617.19310185185</x:v>
      </x:c>
      <x:c r="J1561" s="84" t="str">
        <x:v>Baixa</x:v>
      </x:c>
      <x:c r="K1561" s="84" t="str">
        <x:v>Encerrada</x:v>
      </x:c>
      <x:c r="L1561" s="84" t="str">
        <x:v>Baixa pressão</x:v>
      </x:c>
      <x:c r="M1561" s="84" t="str">
        <x:v>Falta de lubrificação</x:v>
      </x:c>
      <x:c r="N1561" s="84" t="str">
        <x:v>Componente ajustado ou substituído</x:v>
      </x:c>
      <x:c r="O1561" s="84" t="n">
        <x:v>0</x:v>
      </x:c>
      <x:c r="P1561" s="93" t="n">
        <x:v>263.79</x:v>
      </x:c>
      <x:c r="Q1561" s="93" t="n">
        <x:v>0</x:v>
      </x:c>
      <x:c r="R1561" s="91" t="n">
        <x:v>0</x:v>
      </x:c>
    </x:row>
    <x:row r="1562">
      <x:c r="A1562" s="83" t="n">
        <x:v>1561</x:v>
      </x:c>
      <x:c r="B1562" s="84" t="str">
        <x:v>OS-2025-01561</x:v>
      </x:c>
      <x:c r="C1562" s="84" t="n">
        <x:v>59</x:v>
      </x:c>
      <x:c r="D1562" s="84" t="n">
        <x:v>4</x:v>
      </x:c>
      <x:c r="E1562" s="84"/>
      <x:c r="F1562" s="89" t="n">
        <x:v>45808.19305555556</x:v>
      </x:c>
      <x:c r="G1562" s="89" t="n">
        <x:v>45820.19305555556</x:v>
      </x:c>
      <x:c r="H1562" s="89" t="n">
        <x:v>45809.48472222222</x:v>
      </x:c>
      <x:c r="I1562" s="89" t="n">
        <x:v>45809.56805555556</x:v>
      </x:c>
      <x:c r="J1562" s="84" t="str">
        <x:v>Crítica</x:v>
      </x:c>
      <x:c r="K1562" s="84" t="str">
        <x:v>Encerrada</x:v>
      </x:c>
      <x:c r="L1562" s="84" t="str">
        <x:v>Ruído anormal</x:v>
      </x:c>
      <x:c r="M1562" s="84" t="str">
        <x:v>Componente danificado</x:v>
      </x:c>
      <x:c r="N1562" s="84" t="str">
        <x:v>Componente ajustado ou substituído</x:v>
      </x:c>
      <x:c r="O1562" s="84" t="n">
        <x:v>0</x:v>
      </x:c>
      <x:c r="P1562" s="93" t="n">
        <x:v>848.08</x:v>
      </x:c>
      <x:c r="Q1562" s="93" t="n">
        <x:v>450.83</x:v>
      </x:c>
      <x:c r="R1562" s="91" t="n">
        <x:v>0</x:v>
      </x:c>
    </x:row>
    <x:row r="1563">
      <x:c r="A1563" s="83" t="n">
        <x:v>1562</x:v>
      </x:c>
      <x:c r="B1563" s="84" t="str">
        <x:v>OS-2025-01562</x:v>
      </x:c>
      <x:c r="C1563" s="84" t="n">
        <x:v>25</x:v>
      </x:c>
      <x:c r="D1563" s="84" t="n">
        <x:v>3</x:v>
      </x:c>
      <x:c r="E1563" s="84"/>
      <x:c r="F1563" s="89" t="n">
        <x:v>45697.77379629629</x:v>
      </x:c>
      <x:c r="G1563" s="89"/>
      <x:c r="H1563" s="89" t="n">
        <x:v>45700.60712962963</x:v>
      </x:c>
      <x:c r="I1563" s="89" t="n">
        <x:v>45701.39879629629</x:v>
      </x:c>
      <x:c r="J1563" s="84" t="str">
        <x:v>Baixa</x:v>
      </x:c>
      <x:c r="K1563" s="84" t="str">
        <x:v>Encerrada</x:v>
      </x:c>
      <x:c r="L1563" s="84" t="str">
        <x:v>Falha elétrica</x:v>
      </x:c>
      <x:c r="M1563" s="84" t="str">
        <x:v>Contaminação</x:v>
      </x:c>
      <x:c r="N1563" s="84" t="str">
        <x:v>Componente ajustado ou substituído</x:v>
      </x:c>
      <x:c r="O1563" s="84" t="n">
        <x:v>0</x:v>
      </x:c>
      <x:c r="P1563" s="93" t="n">
        <x:v>81.49</x:v>
      </x:c>
      <x:c r="Q1563" s="93" t="n">
        <x:v>6988.06</x:v>
      </x:c>
      <x:c r="R1563" s="91" t="n">
        <x:v>0</x:v>
      </x:c>
    </x:row>
    <x:row r="1564">
      <x:c r="A1564" s="83" t="n">
        <x:v>1563</x:v>
      </x:c>
      <x:c r="B1564" s="84" t="str">
        <x:v>OS-2025-01563</x:v>
      </x:c>
      <x:c r="C1564" s="84" t="n">
        <x:v>9</x:v>
      </x:c>
      <x:c r="D1564" s="84" t="n">
        <x:v>1</x:v>
      </x:c>
      <x:c r="E1564" s="84" t="n">
        <x:v>17</x:v>
      </x:c>
      <x:c r="F1564" s="89" t="n">
        <x:v>45706.33175925926</x:v>
      </x:c>
      <x:c r="G1564" s="89" t="n">
        <x:v>45712.33175925926</x:v>
      </x:c>
      <x:c r="H1564" s="89" t="n">
        <x:v>45709.08175925926</x:v>
      </x:c>
      <x:c r="I1564" s="89" t="n">
        <x:v>45709.16509259259</x:v>
      </x:c>
      <x:c r="J1564" s="84" t="str">
        <x:v>Crítica</x:v>
      </x:c>
      <x:c r="K1564" s="84" t="str">
        <x:v>Concluída</x:v>
      </x:c>
      <x:c r="L1564" s="84" t="str">
        <x:v>Alarme intermitente</x:v>
      </x:c>
      <x:c r="M1564" s="84" t="str">
        <x:v>Contaminação</x:v>
      </x:c>
      <x:c r="N1564" s="84" t="str">
        <x:v>Componente ajustado ou substituído</x:v>
      </x:c>
      <x:c r="O1564" s="84" t="n">
        <x:v>0</x:v>
      </x:c>
      <x:c r="P1564" s="93" t="n">
        <x:v>269.1</x:v>
      </x:c>
      <x:c r="Q1564" s="93" t="n">
        <x:v>0</x:v>
      </x:c>
      <x:c r="R1564" s="91" t="n">
        <x:v>0</x:v>
      </x:c>
    </x:row>
    <x:row r="1565">
      <x:c r="A1565" s="83" t="n">
        <x:v>1564</x:v>
      </x:c>
      <x:c r="B1565" s="84" t="str">
        <x:v>OS-2024-01564</x:v>
      </x:c>
      <x:c r="C1565" s="84" t="n">
        <x:v>90</x:v>
      </x:c>
      <x:c r="D1565" s="84" t="n">
        <x:v>3</x:v>
      </x:c>
      <x:c r="E1565" s="84"/>
      <x:c r="F1565" s="89" t="n">
        <x:v>45574.277650462966</x:v>
      </x:c>
      <x:c r="G1565" s="89"/>
      <x:c r="H1565" s="89" t="n">
        <x:v>45575.485983796294</x:v>
      </x:c>
      <x:c r="I1565" s="89"/>
      <x:c r="J1565" s="84" t="str">
        <x:v>Baixa</x:v>
      </x:c>
      <x:c r="K1565" s="84" t="str">
        <x:v>Aguardando peça</x:v>
      </x:c>
      <x:c r="L1565" s="84" t="str">
        <x:v>Ruído anormal</x:v>
      </x:c>
      <x:c r="M1565" s="84" t="str">
        <x:v>Desgaste natural</x:v>
      </x:c>
      <x:c r="N1565" s="84"/>
      <x:c r="O1565" s="84" t="n">
        <x:v>0</x:v>
      </x:c>
      <x:c r="P1565" s="93" t="n">
        <x:v>755.81</x:v>
      </x:c>
      <x:c r="Q1565" s="93" t="n">
        <x:v>0</x:v>
      </x:c>
      <x:c r="R1565" s="91" t="n">
        <x:v>0</x:v>
      </x:c>
    </x:row>
    <x:row r="1566">
      <x:c r="A1566" s="83" t="n">
        <x:v>1565</x:v>
      </x:c>
      <x:c r="B1566" s="84" t="str">
        <x:v>OS-2023-01565</x:v>
      </x:c>
      <x:c r="C1566" s="84" t="n">
        <x:v>84</x:v>
      </x:c>
      <x:c r="D1566" s="84" t="n">
        <x:v>1</x:v>
      </x:c>
      <x:c r="E1566" s="84" t="n">
        <x:v>167</x:v>
      </x:c>
      <x:c r="F1566" s="89" t="n">
        <x:v>45288.212858796294</x:v>
      </x:c>
      <x:c r="G1566" s="89" t="n">
        <x:v>45292.212858796294</x:v>
      </x:c>
      <x:c r="H1566" s="89" t="n">
        <x:v>45289.67119212963</x:v>
      </x:c>
      <x:c r="I1566" s="89" t="n">
        <x:v>45290.212858796294</x:v>
      </x:c>
      <x:c r="J1566" s="84" t="str">
        <x:v>Crítica</x:v>
      </x:c>
      <x:c r="K1566" s="84" t="str">
        <x:v>Encerrada</x:v>
      </x:c>
      <x:c r="L1566" s="84" t="str">
        <x:v>Vazamento</x:v>
      </x:c>
      <x:c r="M1566" s="84" t="str">
        <x:v>Ajuste incorreto</x:v>
      </x:c>
      <x:c r="N1566" s="84" t="str">
        <x:v>Componente ajustado ou substituído</x:v>
      </x:c>
      <x:c r="O1566" s="84" t="n">
        <x:v>0</x:v>
      </x:c>
      <x:c r="P1566" s="93" t="n">
        <x:v>131.1</x:v>
      </x:c>
      <x:c r="Q1566" s="93" t="n">
        <x:v>677.6</x:v>
      </x:c>
      <x:c r="R1566" s="91" t="n">
        <x:v>5271.57</x:v>
      </x:c>
    </x:row>
    <x:row r="1567">
      <x:c r="A1567" s="83" t="n">
        <x:v>1566</x:v>
      </x:c>
      <x:c r="B1567" s="84" t="str">
        <x:v>OS-2024-01566</x:v>
      </x:c>
      <x:c r="C1567" s="84" t="n">
        <x:v>59</x:v>
      </x:c>
      <x:c r="D1567" s="84" t="n">
        <x:v>5</x:v>
      </x:c>
      <x:c r="E1567" s="84" t="n">
        <x:v>117</x:v>
      </x:c>
      <x:c r="F1567" s="89" t="n">
        <x:v>45378.68462962963</x:v>
      </x:c>
      <x:c r="G1567" s="89" t="n">
        <x:v>45378.68462962963</x:v>
      </x:c>
      <x:c r="H1567" s="89" t="n">
        <x:v>45379.8512962963</x:v>
      </x:c>
      <x:c r="I1567" s="89" t="n">
        <x:v>45380.3512962963</x:v>
      </x:c>
      <x:c r="J1567" s="84" t="str">
        <x:v>Alta</x:v>
      </x:c>
      <x:c r="K1567" s="84" t="str">
        <x:v>Encerrada</x:v>
      </x:c>
      <x:c r="L1567" s="84" t="str">
        <x:v>Falha elétrica</x:v>
      </x:c>
      <x:c r="M1567" s="84" t="str">
        <x:v>Contaminação</x:v>
      </x:c>
      <x:c r="N1567" s="84" t="str">
        <x:v>Componente ajustado ou substituído</x:v>
      </x:c>
      <x:c r="O1567" s="84" t="n">
        <x:v>0</x:v>
      </x:c>
      <x:c r="P1567" s="93" t="n">
        <x:v>200.06</x:v>
      </x:c>
      <x:c r="Q1567" s="93" t="n">
        <x:v>2222.73</x:v>
      </x:c>
      <x:c r="R1567" s="91" t="n">
        <x:v>0</x:v>
      </x:c>
    </x:row>
    <x:row r="1568">
      <x:c r="A1568" s="83" t="n">
        <x:v>1567</x:v>
      </x:c>
      <x:c r="B1568" s="84" t="str">
        <x:v>OS-2023-01567</x:v>
      </x:c>
      <x:c r="C1568" s="84" t="n">
        <x:v>72</x:v>
      </x:c>
      <x:c r="D1568" s="84" t="n">
        <x:v>8</x:v>
      </x:c>
      <x:c r="E1568" s="84"/>
      <x:c r="F1568" s="89" t="n">
        <x:v>45273.20725694444</x:v>
      </x:c>
      <x:c r="G1568" s="89" t="n">
        <x:v>45277.20725694444</x:v>
      </x:c>
      <x:c r="H1568" s="89" t="n">
        <x:v>45274.41559027778</x:v>
      </x:c>
      <x:c r="I1568" s="89" t="n">
        <x:v>45274.498923611114</x:v>
      </x:c>
      <x:c r="J1568" s="84" t="str">
        <x:v>Crítica</x:v>
      </x:c>
      <x:c r="K1568" s="84" t="str">
        <x:v>Encerrada</x:v>
      </x:c>
      <x:c r="L1568" s="84" t="str">
        <x:v>Falha elétrica</x:v>
      </x:c>
      <x:c r="M1568" s="84" t="str">
        <x:v>Falta de lubrificação</x:v>
      </x:c>
      <x:c r="N1568" s="84" t="str">
        <x:v>Componente ajustado ou substituído</x:v>
      </x:c>
      <x:c r="O1568" s="84" t="n">
        <x:v>0</x:v>
      </x:c>
      <x:c r="P1568" s="93" t="n">
        <x:v>339.66</x:v>
      </x:c>
      <x:c r="Q1568" s="93" t="n">
        <x:v>4065.43</x:v>
      </x:c>
      <x:c r="R1568" s="91" t="n">
        <x:v>0</x:v>
      </x:c>
    </x:row>
    <x:row r="1569">
      <x:c r="A1569" s="83" t="n">
        <x:v>1568</x:v>
      </x:c>
      <x:c r="B1569" s="84" t="str">
        <x:v>OS-2025-01568</x:v>
      </x:c>
      <x:c r="C1569" s="84" t="n">
        <x:v>19</x:v>
      </x:c>
      <x:c r="D1569" s="84" t="n">
        <x:v>3</x:v>
      </x:c>
      <x:c r="E1569" s="84"/>
      <x:c r="F1569" s="89" t="n">
        <x:v>45911.07908564815</x:v>
      </x:c>
      <x:c r="G1569" s="89"/>
      <x:c r="H1569" s="89" t="n">
        <x:v>45912.87075231481</x:v>
      </x:c>
      <x:c r="I1569" s="89" t="n">
        <x:v>45913.12075231481</x:v>
      </x:c>
      <x:c r="J1569" s="84" t="str">
        <x:v>Crítica</x:v>
      </x:c>
      <x:c r="K1569" s="84" t="str">
        <x:v>Encerrada</x:v>
      </x:c>
      <x:c r="L1569" s="84" t="str">
        <x:v>Alarme intermitente</x:v>
      </x:c>
      <x:c r="M1569" s="84" t="str">
        <x:v>Conexão frouxa</x:v>
      </x:c>
      <x:c r="N1569" s="84" t="str">
        <x:v>Componente ajustado ou substituído</x:v>
      </x:c>
      <x:c r="O1569" s="84" t="n">
        <x:v>0</x:v>
      </x:c>
      <x:c r="P1569" s="93" t="n">
        <x:v>101.78</x:v>
      </x:c>
      <x:c r="Q1569" s="93" t="n">
        <x:v>1846.26</x:v>
      </x:c>
      <x:c r="R1569" s="91" t="n">
        <x:v>0</x:v>
      </x:c>
    </x:row>
    <x:row r="1570">
      <x:c r="A1570" s="83" t="n">
        <x:v>1569</x:v>
      </x:c>
      <x:c r="B1570" s="84" t="str">
        <x:v>OS-2023-01569</x:v>
      </x:c>
      <x:c r="C1570" s="84" t="n">
        <x:v>35</x:v>
      </x:c>
      <x:c r="D1570" s="84" t="n">
        <x:v>1</x:v>
      </x:c>
      <x:c r="E1570" s="84" t="n">
        <x:v>69</x:v>
      </x:c>
      <x:c r="F1570" s="89" t="n">
        <x:v>45160.54849537037</x:v>
      </x:c>
      <x:c r="G1570" s="89" t="n">
        <x:v>45166.54849537037</x:v>
      </x:c>
      <x:c r="H1570" s="89" t="n">
        <x:v>45161.54849537037</x:v>
      </x:c>
      <x:c r="I1570" s="89" t="n">
        <x:v>45162.00682870371</x:v>
      </x:c>
      <x:c r="J1570" s="84" t="str">
        <x:v>Média</x:v>
      </x:c>
      <x:c r="K1570" s="84" t="str">
        <x:v>Concluída</x:v>
      </x:c>
      <x:c r="L1570" s="84" t="str">
        <x:v>Vazamento</x:v>
      </x:c>
      <x:c r="M1570" s="84" t="str">
        <x:v>Desgaste natural</x:v>
      </x:c>
      <x:c r="N1570" s="84" t="str">
        <x:v>Componente ajustado ou substituído</x:v>
      </x:c>
      <x:c r="O1570" s="84" t="n">
        <x:v>0</x:v>
      </x:c>
      <x:c r="P1570" s="93" t="n">
        <x:v>108.22</x:v>
      </x:c>
      <x:c r="Q1570" s="93" t="n">
        <x:v>0</x:v>
      </x:c>
      <x:c r="R1570" s="91" t="n">
        <x:v>0</x:v>
      </x:c>
    </x:row>
    <x:row r="1571">
      <x:c r="A1571" s="83" t="n">
        <x:v>1570</x:v>
      </x:c>
      <x:c r="B1571" s="84" t="str">
        <x:v>OS-2025-01570</x:v>
      </x:c>
      <x:c r="C1571" s="84" t="n">
        <x:v>10</x:v>
      </x:c>
      <x:c r="D1571" s="84" t="n">
        <x:v>3</x:v>
      </x:c>
      <x:c r="E1571" s="84"/>
      <x:c r="F1571" s="89" t="n">
        <x:v>45905.72409722222</x:v>
      </x:c>
      <x:c r="G1571" s="89"/>
      <x:c r="H1571" s="89"/>
      <x:c r="I1571" s="89"/>
      <x:c r="J1571" s="84" t="str">
        <x:v>Média</x:v>
      </x:c>
      <x:c r="K1571" s="84" t="str">
        <x:v>Cancelada</x:v>
      </x:c>
      <x:c r="L1571" s="84" t="str">
        <x:v>Ruído anormal</x:v>
      </x:c>
      <x:c r="M1571" s="84"/>
      <x:c r="N1571" s="84"/>
      <x:c r="O1571" s="84" t="n">
        <x:v>0</x:v>
      </x:c>
      <x:c r="P1571" s="93" t="n">
        <x:v>0</x:v>
      </x:c>
      <x:c r="Q1571" s="93" t="n">
        <x:v>0</x:v>
      </x:c>
      <x:c r="R1571" s="91" t="n">
        <x:v>0</x:v>
      </x:c>
    </x:row>
    <x:row r="1572">
      <x:c r="A1572" s="83" t="n">
        <x:v>1571</x:v>
      </x:c>
      <x:c r="B1572" s="84" t="str">
        <x:v>OS-2023-01571</x:v>
      </x:c>
      <x:c r="C1572" s="84" t="n">
        <x:v>50</x:v>
      </x:c>
      <x:c r="D1572" s="84" t="n">
        <x:v>2</x:v>
      </x:c>
      <x:c r="E1572" s="84"/>
      <x:c r="F1572" s="89" t="n">
        <x:v>45084.515081018515</x:v>
      </x:c>
      <x:c r="G1572" s="89" t="n">
        <x:v>45091.515081018515</x:v>
      </x:c>
      <x:c r="H1572" s="89" t="n">
        <x:v>45086.55674768519</x:v>
      </x:c>
      <x:c r="I1572" s="89" t="n">
        <x:v>45087.22341435185</x:v>
      </x:c>
      <x:c r="J1572" s="84" t="str">
        <x:v>Média</x:v>
      </x:c>
      <x:c r="K1572" s="84" t="str">
        <x:v>Encerrada</x:v>
      </x:c>
      <x:c r="L1572" s="84" t="str">
        <x:v>Superaquecimento</x:v>
      </x:c>
      <x:c r="M1572" s="84" t="str">
        <x:v>Falta de lubrificação</x:v>
      </x:c>
      <x:c r="N1572" s="84" t="str">
        <x:v>Componente ajustado ou substituído</x:v>
      </x:c>
      <x:c r="O1572" s="84" t="n">
        <x:v>0</x:v>
      </x:c>
      <x:c r="P1572" s="93" t="n">
        <x:v>635</x:v>
      </x:c>
      <x:c r="Q1572" s="93" t="n">
        <x:v>6608.73</x:v>
      </x:c>
      <x:c r="R1572" s="91" t="n">
        <x:v>7436.6</x:v>
      </x:c>
    </x:row>
    <x:row r="1573">
      <x:c r="A1573" s="83" t="n">
        <x:v>1572</x:v>
      </x:c>
      <x:c r="B1573" s="84" t="str">
        <x:v>OS-2024-01572</x:v>
      </x:c>
      <x:c r="C1573" s="84" t="n">
        <x:v>25</x:v>
      </x:c>
      <x:c r="D1573" s="84" t="n">
        <x:v>5</x:v>
      </x:c>
      <x:c r="E1573" s="84" t="n">
        <x:v>50</x:v>
      </x:c>
      <x:c r="F1573" s="89" t="n">
        <x:v>45497.92836805555</x:v>
      </x:c>
      <x:c r="G1573" s="89" t="n">
        <x:v>45510.92836805555</x:v>
      </x:c>
      <x:c r="H1573" s="89" t="n">
        <x:v>45499.63670138889</x:v>
      </x:c>
      <x:c r="I1573" s="89" t="n">
        <x:v>45500.095034722224</x:v>
      </x:c>
      <x:c r="J1573" s="84" t="str">
        <x:v>Média</x:v>
      </x:c>
      <x:c r="K1573" s="84" t="str">
        <x:v>Encerrada</x:v>
      </x:c>
      <x:c r="L1573" s="84" t="str">
        <x:v>Vazamento</x:v>
      </x:c>
      <x:c r="M1573" s="84" t="str">
        <x:v>Conexão frouxa</x:v>
      </x:c>
      <x:c r="N1573" s="84" t="str">
        <x:v>Componente ajustado ou substituído</x:v>
      </x:c>
      <x:c r="O1573" s="84" t="n">
        <x:v>0</x:v>
      </x:c>
      <x:c r="P1573" s="93" t="n">
        <x:v>326.15</x:v>
      </x:c>
      <x:c r="Q1573" s="93" t="n">
        <x:v>0</x:v>
      </x:c>
      <x:c r="R1573" s="91" t="n">
        <x:v>0</x:v>
      </x:c>
    </x:row>
    <x:row r="1574">
      <x:c r="A1574" s="83" t="n">
        <x:v>1573</x:v>
      </x:c>
      <x:c r="B1574" s="84" t="str">
        <x:v>OS-2025-01573</x:v>
      </x:c>
      <x:c r="C1574" s="84" t="n">
        <x:v>89</x:v>
      </x:c>
      <x:c r="D1574" s="84" t="n">
        <x:v>5</x:v>
      </x:c>
      <x:c r="E1574" s="84" t="n">
        <x:v>177</x:v>
      </x:c>
      <x:c r="F1574" s="89" t="n">
        <x:v>45864.919965277775</x:v>
      </x:c>
      <x:c r="G1574" s="89" t="n">
        <x:v>45873.919965277775</x:v>
      </x:c>
      <x:c r="H1574" s="89" t="n">
        <x:v>45866.37829861111</x:v>
      </x:c>
      <x:c r="I1574" s="89" t="n">
        <x:v>45867.08663194445</x:v>
      </x:c>
      <x:c r="J1574" s="84" t="str">
        <x:v>Média</x:v>
      </x:c>
      <x:c r="K1574" s="84" t="str">
        <x:v>Encerrada</x:v>
      </x:c>
      <x:c r="L1574" s="84" t="str">
        <x:v>Superaquecimento</x:v>
      </x:c>
      <x:c r="M1574" s="84" t="str">
        <x:v>Ajuste incorreto</x:v>
      </x:c>
      <x:c r="N1574" s="84" t="str">
        <x:v>Componente ajustado ou substituído</x:v>
      </x:c>
      <x:c r="O1574" s="84" t="n">
        <x:v>0</x:v>
      </x:c>
      <x:c r="P1574" s="93" t="n">
        <x:v>228.25</x:v>
      </x:c>
      <x:c r="Q1574" s="93" t="n">
        <x:v>5873.84</x:v>
      </x:c>
      <x:c r="R1574" s="91" t="n">
        <x:v>0</x:v>
      </x:c>
    </x:row>
    <x:row r="1575">
      <x:c r="A1575" s="83" t="n">
        <x:v>1574</x:v>
      </x:c>
      <x:c r="B1575" s="84" t="str">
        <x:v>OS-2023-01574</x:v>
      </x:c>
      <x:c r="C1575" s="84" t="n">
        <x:v>12</x:v>
      </x:c>
      <x:c r="D1575" s="84" t="n">
        <x:v>1</x:v>
      </x:c>
      <x:c r="E1575" s="84" t="n">
        <x:v>23</x:v>
      </x:c>
      <x:c r="F1575" s="89" t="n">
        <x:v>45279.31880787037</x:v>
      </x:c>
      <x:c r="G1575" s="89" t="n">
        <x:v>45290.31880787037</x:v>
      </x:c>
      <x:c r="H1575" s="89"/>
      <x:c r="I1575" s="89"/>
      <x:c r="J1575" s="84" t="str">
        <x:v>Média</x:v>
      </x:c>
      <x:c r="K1575" s="84" t="str">
        <x:v>Cancelada</x:v>
      </x:c>
      <x:c r="L1575" s="84" t="str">
        <x:v>Falha elétrica</x:v>
      </x:c>
      <x:c r="M1575" s="84"/>
      <x:c r="N1575" s="84"/>
      <x:c r="O1575" s="84" t="n">
        <x:v>0</x:v>
      </x:c>
      <x:c r="P1575" s="93" t="n">
        <x:v>0</x:v>
      </x:c>
      <x:c r="Q1575" s="93" t="n">
        <x:v>0</x:v>
      </x:c>
      <x:c r="R1575" s="91" t="n">
        <x:v>0</x:v>
      </x:c>
    </x:row>
    <x:row r="1576">
      <x:c r="A1576" s="83" t="n">
        <x:v>1575</x:v>
      </x:c>
      <x:c r="B1576" s="84" t="str">
        <x:v>OS-2023-01575</x:v>
      </x:c>
      <x:c r="C1576" s="84" t="n">
        <x:v>60</x:v>
      </x:c>
      <x:c r="D1576" s="84" t="n">
        <x:v>1</x:v>
      </x:c>
      <x:c r="E1576" s="84" t="n">
        <x:v>120</x:v>
      </x:c>
      <x:c r="F1576" s="89" t="n">
        <x:v>44952.22584490741</x:v>
      </x:c>
      <x:c r="G1576" s="89" t="n">
        <x:v>44954.22584490741</x:v>
      </x:c>
      <x:c r="H1576" s="89" t="n">
        <x:v>44954.89251157407</x:v>
      </x:c>
      <x:c r="I1576" s="89"/>
      <x:c r="J1576" s="84" t="str">
        <x:v>Baixa</x:v>
      </x:c>
      <x:c r="K1576" s="84" t="str">
        <x:v>Aguardando peça</x:v>
      </x:c>
      <x:c r="L1576" s="84" t="str">
        <x:v>Ruído anormal</x:v>
      </x:c>
      <x:c r="M1576" s="84" t="str">
        <x:v>Contaminação</x:v>
      </x:c>
      <x:c r="N1576" s="84"/>
      <x:c r="O1576" s="84" t="n">
        <x:v>0</x:v>
      </x:c>
      <x:c r="P1576" s="93" t="n">
        <x:v>295.14</x:v>
      </x:c>
      <x:c r="Q1576" s="93" t="n">
        <x:v>1803.32</x:v>
      </x:c>
      <x:c r="R1576" s="91" t="n">
        <x:v>0</x:v>
      </x:c>
    </x:row>
    <x:row r="1577">
      <x:c r="A1577" s="83" t="n">
        <x:v>1576</x:v>
      </x:c>
      <x:c r="B1577" s="84" t="str">
        <x:v>OS-2024-01576</x:v>
      </x:c>
      <x:c r="C1577" s="84" t="n">
        <x:v>28</x:v>
      </x:c>
      <x:c r="D1577" s="84" t="n">
        <x:v>4</x:v>
      </x:c>
      <x:c r="E1577" s="84"/>
      <x:c r="F1577" s="89" t="n">
        <x:v>45364.17864583333</x:v>
      </x:c>
      <x:c r="G1577" s="89" t="n">
        <x:v>45373.17864583333</x:v>
      </x:c>
      <x:c r="H1577" s="89" t="n">
        <x:v>45364.2203125</x:v>
      </x:c>
      <x:c r="I1577" s="89" t="n">
        <x:v>45364.30364583333</x:v>
      </x:c>
      <x:c r="J1577" s="84" t="str">
        <x:v>Baixa</x:v>
      </x:c>
      <x:c r="K1577" s="84" t="str">
        <x:v>Encerrada</x:v>
      </x:c>
      <x:c r="L1577" s="84" t="str">
        <x:v>Ruído anormal</x:v>
      </x:c>
      <x:c r="M1577" s="84" t="str">
        <x:v>Conexão frouxa</x:v>
      </x:c>
      <x:c r="N1577" s="84" t="str">
        <x:v>Componente ajustado ou substituído</x:v>
      </x:c>
      <x:c r="O1577" s="84" t="n">
        <x:v>0</x:v>
      </x:c>
      <x:c r="P1577" s="93" t="n">
        <x:v>475.93</x:v>
      </x:c>
      <x:c r="Q1577" s="93" t="n">
        <x:v>0</x:v>
      </x:c>
      <x:c r="R1577" s="91" t="n">
        <x:v>0</x:v>
      </x:c>
    </x:row>
    <x:row r="1578">
      <x:c r="A1578" s="83" t="n">
        <x:v>1577</x:v>
      </x:c>
      <x:c r="B1578" s="84" t="str">
        <x:v>OS-2023-01577</x:v>
      </x:c>
      <x:c r="C1578" s="84" t="n">
        <x:v>6</x:v>
      </x:c>
      <x:c r="D1578" s="84" t="n">
        <x:v>2</x:v>
      </x:c>
      <x:c r="E1578" s="84"/>
      <x:c r="F1578" s="89" t="n">
        <x:v>45115.14313657407</x:v>
      </x:c>
      <x:c r="G1578" s="89" t="n">
        <x:v>45115.14313657407</x:v>
      </x:c>
      <x:c r="H1578" s="89" t="n">
        <x:v>45115.85146990741</x:v>
      </x:c>
      <x:c r="I1578" s="89" t="n">
        <x:v>45116.10146990741</x:v>
      </x:c>
      <x:c r="J1578" s="84" t="str">
        <x:v>Crítica</x:v>
      </x:c>
      <x:c r="K1578" s="84" t="str">
        <x:v>Encerrada</x:v>
      </x:c>
      <x:c r="L1578" s="84" t="str">
        <x:v>Baixa pressão</x:v>
      </x:c>
      <x:c r="M1578" s="84" t="str">
        <x:v>Contaminação</x:v>
      </x:c>
      <x:c r="N1578" s="84" t="str">
        <x:v>Componente ajustado ou substituído</x:v>
      </x:c>
      <x:c r="O1578" s="84" t="n">
        <x:v>0</x:v>
      </x:c>
      <x:c r="P1578" s="93" t="n">
        <x:v>360.53</x:v>
      </x:c>
      <x:c r="Q1578" s="93" t="n">
        <x:v>7649.8</x:v>
      </x:c>
      <x:c r="R1578" s="91" t="n">
        <x:v>0</x:v>
      </x:c>
    </x:row>
    <x:row r="1579">
      <x:c r="A1579" s="83" t="n">
        <x:v>1578</x:v>
      </x:c>
      <x:c r="B1579" s="84" t="str">
        <x:v>OS-2024-01578</x:v>
      </x:c>
      <x:c r="C1579" s="84" t="n">
        <x:v>70</x:v>
      </x:c>
      <x:c r="D1579" s="84" t="n">
        <x:v>2</x:v>
      </x:c>
      <x:c r="E1579" s="84"/>
      <x:c r="F1579" s="89" t="n">
        <x:v>45311.59174768518</x:v>
      </x:c>
      <x:c r="G1579" s="89" t="n">
        <x:v>45324.59174768518</x:v>
      </x:c>
      <x:c r="H1579" s="89" t="n">
        <x:v>45312.633414351854</x:v>
      </x:c>
      <x:c r="I1579" s="89" t="n">
        <x:v>45313.258414351854</x:v>
      </x:c>
      <x:c r="J1579" s="84" t="str">
        <x:v>Média</x:v>
      </x:c>
      <x:c r="K1579" s="84" t="str">
        <x:v>Concluída</x:v>
      </x:c>
      <x:c r="L1579" s="84" t="str">
        <x:v>Alarme intermitente</x:v>
      </x:c>
      <x:c r="M1579" s="84" t="str">
        <x:v>Componente danificado</x:v>
      </x:c>
      <x:c r="N1579" s="84" t="str">
        <x:v>Componente ajustado ou substituído</x:v>
      </x:c>
      <x:c r="O1579" s="84" t="n">
        <x:v>1</x:v>
      </x:c>
      <x:c r="P1579" s="93" t="n">
        <x:v>258.68</x:v>
      </x:c>
      <x:c r="Q1579" s="93" t="n">
        <x:v>11113.08</x:v>
      </x:c>
      <x:c r="R1579" s="91" t="n">
        <x:v>0</x:v>
      </x:c>
    </x:row>
    <x:row r="1580">
      <x:c r="A1580" s="83" t="n">
        <x:v>1579</x:v>
      </x:c>
      <x:c r="B1580" s="84" t="str">
        <x:v>OS-2024-01579</x:v>
      </x:c>
      <x:c r="C1580" s="84" t="n">
        <x:v>68</x:v>
      </x:c>
      <x:c r="D1580" s="84" t="n">
        <x:v>1</x:v>
      </x:c>
      <x:c r="E1580" s="84" t="n">
        <x:v>135</x:v>
      </x:c>
      <x:c r="F1580" s="89" t="n">
        <x:v>45472.371157407404</x:v>
      </x:c>
      <x:c r="G1580" s="89" t="n">
        <x:v>45474.371157407404</x:v>
      </x:c>
      <x:c r="H1580" s="89" t="n">
        <x:v>45473.871157407404</x:v>
      </x:c>
      <x:c r="I1580" s="89" t="n">
        <x:v>45474.162824074076</x:v>
      </x:c>
      <x:c r="J1580" s="84" t="str">
        <x:v>Baixa</x:v>
      </x:c>
      <x:c r="K1580" s="84" t="str">
        <x:v>Encerrada</x:v>
      </x:c>
      <x:c r="L1580" s="84" t="str">
        <x:v>Falha elétrica</x:v>
      </x:c>
      <x:c r="M1580" s="84" t="str">
        <x:v>Contaminação</x:v>
      </x:c>
      <x:c r="N1580" s="84" t="str">
        <x:v>Componente ajustado ou substituído</x:v>
      </x:c>
      <x:c r="O1580" s="84" t="n">
        <x:v>0</x:v>
      </x:c>
      <x:c r="P1580" s="93" t="n">
        <x:v>882.3</x:v>
      </x:c>
      <x:c r="Q1580" s="93" t="n">
        <x:v>7040.38</x:v>
      </x:c>
      <x:c r="R1580" s="91" t="n">
        <x:v>0</x:v>
      </x:c>
    </x:row>
    <x:row r="1581">
      <x:c r="A1581" s="83" t="n">
        <x:v>1580</x:v>
      </x:c>
      <x:c r="B1581" s="84" t="str">
        <x:v>OS-2023-01580</x:v>
      </x:c>
      <x:c r="C1581" s="84" t="n">
        <x:v>32</x:v>
      </x:c>
      <x:c r="D1581" s="84" t="n">
        <x:v>7</x:v>
      </x:c>
      <x:c r="E1581" s="84" t="n">
        <x:v>64</x:v>
      </x:c>
      <x:c r="F1581" s="89" t="n">
        <x:v>45264.77365740741</x:v>
      </x:c>
      <x:c r="G1581" s="89" t="n">
        <x:v>45265.77365740741</x:v>
      </x:c>
      <x:c r="H1581" s="89" t="n">
        <x:v>45267.31532407407</x:v>
      </x:c>
      <x:c r="I1581" s="89" t="n">
        <x:v>45267.39865740741</x:v>
      </x:c>
      <x:c r="J1581" s="84" t="str">
        <x:v>Baixa</x:v>
      </x:c>
      <x:c r="K1581" s="84" t="str">
        <x:v>Encerrada</x:v>
      </x:c>
      <x:c r="L1581" s="84" t="str">
        <x:v>Superaquecimento</x:v>
      </x:c>
      <x:c r="M1581" s="84" t="str">
        <x:v>Desgaste natural</x:v>
      </x:c>
      <x:c r="N1581" s="84" t="str">
        <x:v>Componente ajustado ou substituído</x:v>
      </x:c>
      <x:c r="O1581" s="84" t="n">
        <x:v>0</x:v>
      </x:c>
      <x:c r="P1581" s="93" t="n">
        <x:v>126.42</x:v>
      </x:c>
      <x:c r="Q1581" s="93" t="n">
        <x:v>9811.7</x:v>
      </x:c>
      <x:c r="R1581" s="91" t="n">
        <x:v>0</x:v>
      </x:c>
    </x:row>
    <x:row r="1582">
      <x:c r="A1582" s="83" t="n">
        <x:v>1581</x:v>
      </x:c>
      <x:c r="B1582" s="84" t="str">
        <x:v>OS-2024-01581</x:v>
      </x:c>
      <x:c r="C1582" s="84" t="n">
        <x:v>57</x:v>
      </x:c>
      <x:c r="D1582" s="84" t="n">
        <x:v>8</x:v>
      </x:c>
      <x:c r="E1582" s="84"/>
      <x:c r="F1582" s="89" t="n">
        <x:v>45442.26613425926</x:v>
      </x:c>
      <x:c r="G1582" s="89" t="n">
        <x:v>45456.26613425926</x:v>
      </x:c>
      <x:c r="H1582" s="89" t="n">
        <x:v>45444.22446759259</x:v>
      </x:c>
      <x:c r="I1582" s="89" t="n">
        <x:v>45444.39113425926</x:v>
      </x:c>
      <x:c r="J1582" s="84" t="str">
        <x:v>Baixa</x:v>
      </x:c>
      <x:c r="K1582" s="84" t="str">
        <x:v>Encerrada</x:v>
      </x:c>
      <x:c r="L1582" s="84" t="str">
        <x:v>Falha elétrica</x:v>
      </x:c>
      <x:c r="M1582" s="84" t="str">
        <x:v>Falta de lubrificação</x:v>
      </x:c>
      <x:c r="N1582" s="84" t="str">
        <x:v>Componente ajustado ou substituído</x:v>
      </x:c>
      <x:c r="O1582" s="84" t="n">
        <x:v>0</x:v>
      </x:c>
      <x:c r="P1582" s="93" t="n">
        <x:v>118.99</x:v>
      </x:c>
      <x:c r="Q1582" s="93" t="n">
        <x:v>0</x:v>
      </x:c>
      <x:c r="R1582" s="91" t="n">
        <x:v>0</x:v>
      </x:c>
    </x:row>
    <x:row r="1583">
      <x:c r="A1583" s="83" t="n">
        <x:v>1582</x:v>
      </x:c>
      <x:c r="B1583" s="84" t="str">
        <x:v>OS-2025-01582</x:v>
      </x:c>
      <x:c r="C1583" s="84" t="n">
        <x:v>60</x:v>
      </x:c>
      <x:c r="D1583" s="84" t="n">
        <x:v>1</x:v>
      </x:c>
      <x:c r="E1583" s="84" t="n">
        <x:v>120</x:v>
      </x:c>
      <x:c r="F1583" s="89" t="n">
        <x:v>45849.06043981481</x:v>
      </x:c>
      <x:c r="G1583" s="89" t="n">
        <x:v>45860.06043981481</x:v>
      </x:c>
      <x:c r="H1583" s="89" t="n">
        <x:v>45850.727106481485</x:v>
      </x:c>
      <x:c r="I1583" s="89" t="n">
        <x:v>45851.14377314815</x:v>
      </x:c>
      <x:c r="J1583" s="84" t="str">
        <x:v>Alta</x:v>
      </x:c>
      <x:c r="K1583" s="84" t="str">
        <x:v>Encerrada</x:v>
      </x:c>
      <x:c r="L1583" s="84" t="str">
        <x:v>Falha elétrica</x:v>
      </x:c>
      <x:c r="M1583" s="84" t="str">
        <x:v>Ajuste incorreto</x:v>
      </x:c>
      <x:c r="N1583" s="84" t="str">
        <x:v>Componente ajustado ou substituído</x:v>
      </x:c>
      <x:c r="O1583" s="84" t="n">
        <x:v>0</x:v>
      </x:c>
      <x:c r="P1583" s="93" t="n">
        <x:v>605.2</x:v>
      </x:c>
      <x:c r="Q1583" s="93" t="n">
        <x:v>3682.11</x:v>
      </x:c>
      <x:c r="R1583" s="91" t="n">
        <x:v>0</x:v>
      </x:c>
    </x:row>
    <x:row r="1584">
      <x:c r="A1584" s="83" t="n">
        <x:v>1583</x:v>
      </x:c>
      <x:c r="B1584" s="84" t="str">
        <x:v>OS-2025-01583</x:v>
      </x:c>
      <x:c r="C1584" s="84" t="n">
        <x:v>48</x:v>
      </x:c>
      <x:c r="D1584" s="84" t="n">
        <x:v>5</x:v>
      </x:c>
      <x:c r="E1584" s="84" t="n">
        <x:v>95</x:v>
      </x:c>
      <x:c r="F1584" s="89" t="n">
        <x:v>45714.36115740741</x:v>
      </x:c>
      <x:c r="G1584" s="89" t="n">
        <x:v>45717.36115740741</x:v>
      </x:c>
      <x:c r="H1584" s="89" t="n">
        <x:v>45715.69449074074</x:v>
      </x:c>
      <x:c r="I1584" s="89" t="n">
        <x:v>45716.06949074074</x:v>
      </x:c>
      <x:c r="J1584" s="84" t="str">
        <x:v>Crítica</x:v>
      </x:c>
      <x:c r="K1584" s="84" t="str">
        <x:v>Encerrada</x:v>
      </x:c>
      <x:c r="L1584" s="84" t="str">
        <x:v>Falha elétrica</x:v>
      </x:c>
      <x:c r="M1584" s="84" t="str">
        <x:v>Conexão frouxa</x:v>
      </x:c>
      <x:c r="N1584" s="84" t="str">
        <x:v>Componente ajustado ou substituído</x:v>
      </x:c>
      <x:c r="O1584" s="84" t="n">
        <x:v>0</x:v>
      </x:c>
      <x:c r="P1584" s="93" t="n">
        <x:v>229.74</x:v>
      </x:c>
      <x:c r="Q1584" s="93" t="n">
        <x:v>2983.38</x:v>
      </x:c>
      <x:c r="R1584" s="91" t="n">
        <x:v>0</x:v>
      </x:c>
    </x:row>
    <x:row r="1585">
      <x:c r="A1585" s="83" t="n">
        <x:v>1584</x:v>
      </x:c>
      <x:c r="B1585" s="84" t="str">
        <x:v>OS-2025-01584</x:v>
      </x:c>
      <x:c r="C1585" s="84" t="n">
        <x:v>44</x:v>
      </x:c>
      <x:c r="D1585" s="84" t="n">
        <x:v>1</x:v>
      </x:c>
      <x:c r="E1585" s="84" t="n">
        <x:v>88</x:v>
      </x:c>
      <x:c r="F1585" s="89" t="n">
        <x:v>45982.60413194444</x:v>
      </x:c>
      <x:c r="G1585" s="89" t="n">
        <x:v>45985.60413194444</x:v>
      </x:c>
      <x:c r="H1585" s="89" t="n">
        <x:v>45983.60413194444</x:v>
      </x:c>
      <x:c r="I1585" s="89" t="n">
        <x:v>45984.22913194444</x:v>
      </x:c>
      <x:c r="J1585" s="84" t="str">
        <x:v>Baixa</x:v>
      </x:c>
      <x:c r="K1585" s="84" t="str">
        <x:v>Encerrada</x:v>
      </x:c>
      <x:c r="L1585" s="84" t="str">
        <x:v>Falha elétrica</x:v>
      </x:c>
      <x:c r="M1585" s="84" t="str">
        <x:v>Falta de lubrificação</x:v>
      </x:c>
      <x:c r="N1585" s="84" t="str">
        <x:v>Componente ajustado ou substituído</x:v>
      </x:c>
      <x:c r="O1585" s="84" t="n">
        <x:v>0</x:v>
      </x:c>
      <x:c r="P1585" s="93" t="n">
        <x:v>293.4</x:v>
      </x:c>
      <x:c r="Q1585" s="93" t="n">
        <x:v>7970.31</x:v>
      </x:c>
      <x:c r="R1585" s="91" t="n">
        <x:v>0</x:v>
      </x:c>
    </x:row>
    <x:row r="1586">
      <x:c r="A1586" s="83" t="n">
        <x:v>1585</x:v>
      </x:c>
      <x:c r="B1586" s="84" t="str">
        <x:v>OS-2025-01585</x:v>
      </x:c>
      <x:c r="C1586" s="84" t="n">
        <x:v>60</x:v>
      </x:c>
      <x:c r="D1586" s="84" t="n">
        <x:v>8</x:v>
      </x:c>
      <x:c r="E1586" s="84"/>
      <x:c r="F1586" s="89" t="n">
        <x:v>45805.56193287037</x:v>
      </x:c>
      <x:c r="G1586" s="89" t="n">
        <x:v>45808.56193287037</x:v>
      </x:c>
      <x:c r="H1586" s="89" t="n">
        <x:v>45805.68693287037</x:v>
      </x:c>
      <x:c r="I1586" s="89" t="n">
        <x:v>45805.895266203705</x:v>
      </x:c>
      <x:c r="J1586" s="84" t="str">
        <x:v>Alta</x:v>
      </x:c>
      <x:c r="K1586" s="84" t="str">
        <x:v>Encerrada</x:v>
      </x:c>
      <x:c r="L1586" s="84" t="str">
        <x:v>Vazamento</x:v>
      </x:c>
      <x:c r="M1586" s="84" t="str">
        <x:v>Desgaste natural</x:v>
      </x:c>
      <x:c r="N1586" s="84" t="str">
        <x:v>Componente ajustado ou substituído</x:v>
      </x:c>
      <x:c r="O1586" s="84" t="n">
        <x:v>0</x:v>
      </x:c>
      <x:c r="P1586" s="93" t="n">
        <x:v>372.25</x:v>
      </x:c>
      <x:c r="Q1586" s="93" t="n">
        <x:v>0</x:v>
      </x:c>
      <x:c r="R1586" s="91" t="n">
        <x:v>0</x:v>
      </x:c>
    </x:row>
    <x:row r="1587">
      <x:c r="A1587" s="83" t="n">
        <x:v>1586</x:v>
      </x:c>
      <x:c r="B1587" s="84" t="str">
        <x:v>OS-2024-01586</x:v>
      </x:c>
      <x:c r="C1587" s="84" t="n">
        <x:v>41</x:v>
      </x:c>
      <x:c r="D1587" s="84" t="n">
        <x:v>7</x:v>
      </x:c>
      <x:c r="E1587" s="84" t="n">
        <x:v>81</x:v>
      </x:c>
      <x:c r="F1587" s="89" t="n">
        <x:v>45409.543344907404</x:v>
      </x:c>
      <x:c r="G1587" s="89" t="n">
        <x:v>45418.543344907404</x:v>
      </x:c>
      <x:c r="H1587" s="89" t="n">
        <x:v>45411.37667824074</x:v>
      </x:c>
      <x:c r="I1587" s="89" t="n">
        <x:v>45411.835011574076</x:v>
      </x:c>
      <x:c r="J1587" s="84" t="str">
        <x:v>Média</x:v>
      </x:c>
      <x:c r="K1587" s="84" t="str">
        <x:v>Encerrada</x:v>
      </x:c>
      <x:c r="L1587" s="84" t="str">
        <x:v>Vazamento</x:v>
      </x:c>
      <x:c r="M1587" s="84" t="str">
        <x:v>Falta de lubrificação</x:v>
      </x:c>
      <x:c r="N1587" s="84" t="str">
        <x:v>Componente ajustado ou substituído</x:v>
      </x:c>
      <x:c r="O1587" s="84" t="n">
        <x:v>0</x:v>
      </x:c>
      <x:c r="P1587" s="93" t="n">
        <x:v>340.47</x:v>
      </x:c>
      <x:c r="Q1587" s="93" t="n">
        <x:v>10496.87</x:v>
      </x:c>
      <x:c r="R1587" s="91" t="n">
        <x:v>0</x:v>
      </x:c>
    </x:row>
    <x:row r="1588">
      <x:c r="A1588" s="83" t="n">
        <x:v>1587</x:v>
      </x:c>
      <x:c r="B1588" s="84" t="str">
        <x:v>OS-2025-01587</x:v>
      </x:c>
      <x:c r="C1588" s="84" t="n">
        <x:v>59</x:v>
      </x:c>
      <x:c r="D1588" s="84" t="n">
        <x:v>5</x:v>
      </x:c>
      <x:c r="E1588" s="84" t="n">
        <x:v>117</x:v>
      </x:c>
      <x:c r="F1588" s="89" t="n">
        <x:v>45855.44369212963</x:v>
      </x:c>
      <x:c r="G1588" s="89" t="n">
        <x:v>45860.44369212963</x:v>
      </x:c>
      <x:c r="H1588" s="89" t="n">
        <x:v>45858.36035879629</x:v>
      </x:c>
      <x:c r="I1588" s="89" t="n">
        <x:v>45858.44369212963</x:v>
      </x:c>
      <x:c r="J1588" s="84" t="str">
        <x:v>Alta</x:v>
      </x:c>
      <x:c r="K1588" s="84" t="str">
        <x:v>Encerrada</x:v>
      </x:c>
      <x:c r="L1588" s="84" t="str">
        <x:v>Superaquecimento</x:v>
      </x:c>
      <x:c r="M1588" s="84" t="str">
        <x:v>Conexão frouxa</x:v>
      </x:c>
      <x:c r="N1588" s="84" t="str">
        <x:v>Componente ajustado ou substituído</x:v>
      </x:c>
      <x:c r="O1588" s="84" t="n">
        <x:v>0</x:v>
      </x:c>
      <x:c r="P1588" s="93" t="n">
        <x:v>367.03</x:v>
      </x:c>
      <x:c r="Q1588" s="93" t="n">
        <x:v>8641.08</x:v>
      </x:c>
      <x:c r="R1588" s="91" t="n">
        <x:v>0</x:v>
      </x:c>
    </x:row>
    <x:row r="1589">
      <x:c r="A1589" s="83" t="n">
        <x:v>1588</x:v>
      </x:c>
      <x:c r="B1589" s="84" t="str">
        <x:v>OS-2023-01588</x:v>
      </x:c>
      <x:c r="C1589" s="84" t="n">
        <x:v>59</x:v>
      </x:c>
      <x:c r="D1589" s="84" t="n">
        <x:v>1</x:v>
      </x:c>
      <x:c r="E1589" s="84" t="n">
        <x:v>118</x:v>
      </x:c>
      <x:c r="F1589" s="89" t="n">
        <x:v>44979.167974537035</x:v>
      </x:c>
      <x:c r="G1589" s="89" t="n">
        <x:v>44991.167974537035</x:v>
      </x:c>
      <x:c r="H1589" s="89" t="n">
        <x:v>44980.792974537035</x:v>
      </x:c>
      <x:c r="I1589" s="89" t="n">
        <x:v>44981.292974537035</x:v>
      </x:c>
      <x:c r="J1589" s="84" t="str">
        <x:v>Baixa</x:v>
      </x:c>
      <x:c r="K1589" s="84" t="str">
        <x:v>Encerrada</x:v>
      </x:c>
      <x:c r="L1589" s="84" t="str">
        <x:v>Ruído anormal</x:v>
      </x:c>
      <x:c r="M1589" s="84" t="str">
        <x:v>Componente danificado</x:v>
      </x:c>
      <x:c r="N1589" s="84" t="str">
        <x:v>Componente ajustado ou substituído</x:v>
      </x:c>
      <x:c r="O1589" s="84" t="n">
        <x:v>0</x:v>
      </x:c>
      <x:c r="P1589" s="93" t="n">
        <x:v>760.99</x:v>
      </x:c>
      <x:c r="Q1589" s="93" t="n">
        <x:v>2130.22</x:v>
      </x:c>
      <x:c r="R1589" s="91" t="n">
        <x:v>0</x:v>
      </x:c>
    </x:row>
    <x:row r="1590">
      <x:c r="A1590" s="83" t="n">
        <x:v>1589</x:v>
      </x:c>
      <x:c r="B1590" s="84" t="str">
        <x:v>OS-2024-01589</x:v>
      </x:c>
      <x:c r="C1590" s="84" t="n">
        <x:v>55</x:v>
      </x:c>
      <x:c r="D1590" s="84" t="n">
        <x:v>2</x:v>
      </x:c>
      <x:c r="E1590" s="84"/>
      <x:c r="F1590" s="89" t="n">
        <x:v>45613.39393518519</x:v>
      </x:c>
      <x:c r="G1590" s="89" t="n">
        <x:v>45626.39393518519</x:v>
      </x:c>
      <x:c r="H1590" s="89" t="n">
        <x:v>45616.14393518519</x:v>
      </x:c>
      <x:c r="I1590" s="89" t="n">
        <x:v>45616.43560185185</x:v>
      </x:c>
      <x:c r="J1590" s="84" t="str">
        <x:v>Média</x:v>
      </x:c>
      <x:c r="K1590" s="84" t="str">
        <x:v>Concluída</x:v>
      </x:c>
      <x:c r="L1590" s="84" t="str">
        <x:v>Vazamento</x:v>
      </x:c>
      <x:c r="M1590" s="84" t="str">
        <x:v>Contaminação</x:v>
      </x:c>
      <x:c r="N1590" s="84" t="str">
        <x:v>Componente ajustado ou substituído</x:v>
      </x:c>
      <x:c r="O1590" s="84" t="n">
        <x:v>0</x:v>
      </x:c>
      <x:c r="P1590" s="93" t="n">
        <x:v>311.46</x:v>
      </x:c>
      <x:c r="Q1590" s="93" t="n">
        <x:v>10279.84</x:v>
      </x:c>
      <x:c r="R1590" s="91" t="n">
        <x:v>0</x:v>
      </x:c>
    </x:row>
    <x:row r="1591">
      <x:c r="A1591" s="83" t="n">
        <x:v>1590</x:v>
      </x:c>
      <x:c r="B1591" s="84" t="str">
        <x:v>OS-2023-01590</x:v>
      </x:c>
      <x:c r="C1591" s="84" t="n">
        <x:v>9</x:v>
      </x:c>
      <x:c r="D1591" s="84" t="n">
        <x:v>1</x:v>
      </x:c>
      <x:c r="E1591" s="84" t="n">
        <x:v>18</x:v>
      </x:c>
      <x:c r="F1591" s="89" t="n">
        <x:v>45258.12416666667</x:v>
      </x:c>
      <x:c r="G1591" s="89" t="n">
        <x:v>45258.12416666667</x:v>
      </x:c>
      <x:c r="H1591" s="89" t="n">
        <x:v>45260.66583333333</x:v>
      </x:c>
      <x:c r="I1591" s="89" t="n">
        <x:v>45261.16583333333</x:v>
      </x:c>
      <x:c r="J1591" s="84" t="str">
        <x:v>Baixa</x:v>
      </x:c>
      <x:c r="K1591" s="84" t="str">
        <x:v>Encerrada</x:v>
      </x:c>
      <x:c r="L1591" s="84" t="str">
        <x:v>Baixa pressão</x:v>
      </x:c>
      <x:c r="M1591" s="84" t="str">
        <x:v>Desgaste natural</x:v>
      </x:c>
      <x:c r="N1591" s="84" t="str">
        <x:v>Componente ajustado ou substituído</x:v>
      </x:c>
      <x:c r="O1591" s="84" t="n">
        <x:v>0</x:v>
      </x:c>
      <x:c r="P1591" s="93" t="n">
        <x:v>488</x:v>
      </x:c>
      <x:c r="Q1591" s="93" t="n">
        <x:v>9464.81</x:v>
      </x:c>
      <x:c r="R1591" s="91" t="n">
        <x:v>0</x:v>
      </x:c>
    </x:row>
    <x:row r="1592">
      <x:c r="A1592" s="83" t="n">
        <x:v>1591</x:v>
      </x:c>
      <x:c r="B1592" s="84" t="str">
        <x:v>OS-2025-01591</x:v>
      </x:c>
      <x:c r="C1592" s="84" t="n">
        <x:v>12</x:v>
      </x:c>
      <x:c r="D1592" s="84" t="n">
        <x:v>1</x:v>
      </x:c>
      <x:c r="E1592" s="84" t="n">
        <x:v>24</x:v>
      </x:c>
      <x:c r="F1592" s="89" t="n">
        <x:v>45763.09197916667</x:v>
      </x:c>
      <x:c r="G1592" s="89" t="n">
        <x:v>45776.09197916667</x:v>
      </x:c>
      <x:c r="H1592" s="89" t="n">
        <x:v>45765.38364583333</x:v>
      </x:c>
      <x:c r="I1592" s="89" t="n">
        <x:v>45765.50864583333</x:v>
      </x:c>
      <x:c r="J1592" s="84" t="str">
        <x:v>Baixa</x:v>
      </x:c>
      <x:c r="K1592" s="84" t="str">
        <x:v>Concluída</x:v>
      </x:c>
      <x:c r="L1592" s="84" t="str">
        <x:v>Alarme intermitente</x:v>
      </x:c>
      <x:c r="M1592" s="84" t="str">
        <x:v>Contaminação</x:v>
      </x:c>
      <x:c r="N1592" s="84" t="str">
        <x:v>Componente ajustado ou substituído</x:v>
      </x:c>
      <x:c r="O1592" s="84" t="n">
        <x:v>0</x:v>
      </x:c>
      <x:c r="P1592" s="93" t="n">
        <x:v>780.97</x:v>
      </x:c>
      <x:c r="Q1592" s="93" t="n">
        <x:v>8924.82</x:v>
      </x:c>
      <x:c r="R1592" s="91" t="n">
        <x:v>0</x:v>
      </x:c>
    </x:row>
    <x:row r="1593">
      <x:c r="A1593" s="83" t="n">
        <x:v>1592</x:v>
      </x:c>
      <x:c r="B1593" s="84" t="str">
        <x:v>OS-2023-01592</x:v>
      </x:c>
      <x:c r="C1593" s="84" t="n">
        <x:v>6</x:v>
      </x:c>
      <x:c r="D1593" s="84" t="n">
        <x:v>3</x:v>
      </x:c>
      <x:c r="E1593" s="84"/>
      <x:c r="F1593" s="89" t="n">
        <x:v>45135.24072916667</x:v>
      </x:c>
      <x:c r="G1593" s="89"/>
      <x:c r="H1593" s="89" t="n">
        <x:v>45137.53239583333</x:v>
      </x:c>
      <x:c r="I1593" s="89" t="n">
        <x:v>45137.86572916667</x:v>
      </x:c>
      <x:c r="J1593" s="84" t="str">
        <x:v>Média</x:v>
      </x:c>
      <x:c r="K1593" s="84" t="str">
        <x:v>Concluída</x:v>
      </x:c>
      <x:c r="L1593" s="84" t="str">
        <x:v>Desalinhamento</x:v>
      </x:c>
      <x:c r="M1593" s="84" t="str">
        <x:v>Componente danificado</x:v>
      </x:c>
      <x:c r="N1593" s="84" t="str">
        <x:v>Componente ajustado ou substituído</x:v>
      </x:c>
      <x:c r="O1593" s="84" t="n">
        <x:v>0</x:v>
      </x:c>
      <x:c r="P1593" s="93" t="n">
        <x:v>736.54</x:v>
      </x:c>
      <x:c r="Q1593" s="93" t="n">
        <x:v>0</x:v>
      </x:c>
      <x:c r="R1593" s="91" t="n">
        <x:v>6410.09</x:v>
      </x:c>
    </x:row>
    <x:row r="1594">
      <x:c r="A1594" s="83" t="n">
        <x:v>1593</x:v>
      </x:c>
      <x:c r="B1594" s="84" t="str">
        <x:v>OS-2025-01593</x:v>
      </x:c>
      <x:c r="C1594" s="84" t="n">
        <x:v>6</x:v>
      </x:c>
      <x:c r="D1594" s="84" t="n">
        <x:v>2</x:v>
      </x:c>
      <x:c r="E1594" s="84"/>
      <x:c r="F1594" s="89" t="n">
        <x:v>45874.931655092594</x:v>
      </x:c>
      <x:c r="G1594" s="89" t="n">
        <x:v>45875.931655092594</x:v>
      </x:c>
      <x:c r="H1594" s="89" t="n">
        <x:v>45877.38998842592</x:v>
      </x:c>
      <x:c r="I1594" s="89" t="n">
        <x:v>45877.681655092594</x:v>
      </x:c>
      <x:c r="J1594" s="84" t="str">
        <x:v>Crítica</x:v>
      </x:c>
      <x:c r="K1594" s="84" t="str">
        <x:v>Concluída</x:v>
      </x:c>
      <x:c r="L1594" s="84" t="str">
        <x:v>Ruído anormal</x:v>
      </x:c>
      <x:c r="M1594" s="84" t="str">
        <x:v>Ajuste incorreto</x:v>
      </x:c>
      <x:c r="N1594" s="84" t="str">
        <x:v>Componente ajustado ou substituído</x:v>
      </x:c>
      <x:c r="O1594" s="84" t="n">
        <x:v>0</x:v>
      </x:c>
      <x:c r="P1594" s="93" t="n">
        <x:v>41.85</x:v>
      </x:c>
      <x:c r="Q1594" s="93" t="n">
        <x:v>9253.65</x:v>
      </x:c>
      <x:c r="R1594" s="91" t="n">
        <x:v>0</x:v>
      </x:c>
    </x:row>
    <x:row r="1595">
      <x:c r="A1595" s="83" t="n">
        <x:v>1594</x:v>
      </x:c>
      <x:c r="B1595" s="84" t="str">
        <x:v>OS-2025-01594</x:v>
      </x:c>
      <x:c r="C1595" s="84" t="n">
        <x:v>70</x:v>
      </x:c>
      <x:c r="D1595" s="84" t="n">
        <x:v>7</x:v>
      </x:c>
      <x:c r="E1595" s="84" t="n">
        <x:v>139</x:v>
      </x:c>
      <x:c r="F1595" s="89" t="n">
        <x:v>45801.79704861111</x:v>
      </x:c>
      <x:c r="G1595" s="89" t="n">
        <x:v>45812.79704861111</x:v>
      </x:c>
      <x:c r="H1595" s="89" t="n">
        <x:v>45803.58871527778</x:v>
      </x:c>
      <x:c r="I1595" s="89" t="n">
        <x:v>45803.880381944444</x:v>
      </x:c>
      <x:c r="J1595" s="84" t="str">
        <x:v>Alta</x:v>
      </x:c>
      <x:c r="K1595" s="84" t="str">
        <x:v>Encerrada</x:v>
      </x:c>
      <x:c r="L1595" s="84" t="str">
        <x:v>Desalinhamento</x:v>
      </x:c>
      <x:c r="M1595" s="84" t="str">
        <x:v>Contaminação</x:v>
      </x:c>
      <x:c r="N1595" s="84" t="str">
        <x:v>Componente ajustado ou substituído</x:v>
      </x:c>
      <x:c r="O1595" s="84" t="n">
        <x:v>0</x:v>
      </x:c>
      <x:c r="P1595" s="93" t="n">
        <x:v>353.25</x:v>
      </x:c>
      <x:c r="Q1595" s="93" t="n">
        <x:v>4326.17</x:v>
      </x:c>
      <x:c r="R1595" s="91" t="n">
        <x:v>0</x:v>
      </x:c>
    </x:row>
    <x:row r="1596">
      <x:c r="A1596" s="83" t="n">
        <x:v>1595</x:v>
      </x:c>
      <x:c r="B1596" s="84" t="str">
        <x:v>OS-2023-01595</x:v>
      </x:c>
      <x:c r="C1596" s="84" t="n">
        <x:v>18</x:v>
      </x:c>
      <x:c r="D1596" s="84" t="n">
        <x:v>3</x:v>
      </x:c>
      <x:c r="E1596" s="84"/>
      <x:c r="F1596" s="89" t="n">
        <x:v>45108.079097222224</x:v>
      </x:c>
      <x:c r="G1596" s="89"/>
      <x:c r="H1596" s="89" t="n">
        <x:v>45111.03743055555</x:v>
      </x:c>
      <x:c r="I1596" s="89" t="n">
        <x:v>45111.704097222224</x:v>
      </x:c>
      <x:c r="J1596" s="84" t="str">
        <x:v>Média</x:v>
      </x:c>
      <x:c r="K1596" s="84" t="str">
        <x:v>Encerrada</x:v>
      </x:c>
      <x:c r="L1596" s="84" t="str">
        <x:v>Baixa pressão</x:v>
      </x:c>
      <x:c r="M1596" s="84" t="str">
        <x:v>Contaminação</x:v>
      </x:c>
      <x:c r="N1596" s="84" t="str">
        <x:v>Componente ajustado ou substituído</x:v>
      </x:c>
      <x:c r="O1596" s="84" t="n">
        <x:v>0</x:v>
      </x:c>
      <x:c r="P1596" s="93" t="n">
        <x:v>834.49</x:v>
      </x:c>
      <x:c r="Q1596" s="93" t="n">
        <x:v>5760.27</x:v>
      </x:c>
      <x:c r="R1596" s="91" t="n">
        <x:v>0</x:v>
      </x:c>
    </x:row>
    <x:row r="1597">
      <x:c r="A1597" s="83" t="n">
        <x:v>1596</x:v>
      </x:c>
      <x:c r="B1597" s="84" t="str">
        <x:v>OS-2023-01596</x:v>
      </x:c>
      <x:c r="C1597" s="84" t="n">
        <x:v>53</x:v>
      </x:c>
      <x:c r="D1597" s="84" t="n">
        <x:v>1</x:v>
      </x:c>
      <x:c r="E1597" s="84" t="n">
        <x:v>106</x:v>
      </x:c>
      <x:c r="F1597" s="89" t="n">
        <x:v>45182.29755787037</x:v>
      </x:c>
      <x:c r="G1597" s="89" t="n">
        <x:v>45186.29755787037</x:v>
      </x:c>
      <x:c r="H1597" s="89" t="n">
        <x:v>45184.714224537034</x:v>
      </x:c>
      <x:c r="I1597" s="89" t="n">
        <x:v>45184.755891203706</x:v>
      </x:c>
      <x:c r="J1597" s="84" t="str">
        <x:v>Alta</x:v>
      </x:c>
      <x:c r="K1597" s="84" t="str">
        <x:v>Encerrada</x:v>
      </x:c>
      <x:c r="L1597" s="84" t="str">
        <x:v>Alarme intermitente</x:v>
      </x:c>
      <x:c r="M1597" s="84" t="str">
        <x:v>Contaminação</x:v>
      </x:c>
      <x:c r="N1597" s="84" t="str">
        <x:v>Componente ajustado ou substituído</x:v>
      </x:c>
      <x:c r="O1597" s="84" t="n">
        <x:v>0</x:v>
      </x:c>
      <x:c r="P1597" s="93" t="n">
        <x:v>89.73</x:v>
      </x:c>
      <x:c r="Q1597" s="93" t="n">
        <x:v>0</x:v>
      </x:c>
      <x:c r="R1597" s="91" t="n">
        <x:v>0</x:v>
      </x:c>
    </x:row>
    <x:row r="1598">
      <x:c r="A1598" s="83" t="n">
        <x:v>1597</x:v>
      </x:c>
      <x:c r="B1598" s="84" t="str">
        <x:v>OS-2024-01597</x:v>
      </x:c>
      <x:c r="C1598" s="84" t="n">
        <x:v>54</x:v>
      </x:c>
      <x:c r="D1598" s="84" t="n">
        <x:v>1</x:v>
      </x:c>
      <x:c r="E1598" s="84" t="n">
        <x:v>107</x:v>
      </x:c>
      <x:c r="F1598" s="89" t="n">
        <x:v>45546.801516203705</x:v>
      </x:c>
      <x:c r="G1598" s="89" t="n">
        <x:v>45556.801516203705</x:v>
      </x:c>
      <x:c r="H1598" s="89" t="n">
        <x:v>45548.00984953704</x:v>
      </x:c>
      <x:c r="I1598" s="89" t="n">
        <x:v>45548.801516203705</x:v>
      </x:c>
      <x:c r="J1598" s="84" t="str">
        <x:v>Média</x:v>
      </x:c>
      <x:c r="K1598" s="84" t="str">
        <x:v>Encerrada</x:v>
      </x:c>
      <x:c r="L1598" s="84" t="str">
        <x:v>Ruído anormal</x:v>
      </x:c>
      <x:c r="M1598" s="84" t="str">
        <x:v>Componente danificado</x:v>
      </x:c>
      <x:c r="N1598" s="84" t="str">
        <x:v>Componente ajustado ou substituído</x:v>
      </x:c>
      <x:c r="O1598" s="84" t="n">
        <x:v>0</x:v>
      </x:c>
      <x:c r="P1598" s="93" t="n">
        <x:v>871.89</x:v>
      </x:c>
      <x:c r="Q1598" s="93" t="n">
        <x:v>5115.04</x:v>
      </x:c>
      <x:c r="R1598" s="91" t="n">
        <x:v>0</x:v>
      </x:c>
    </x:row>
    <x:row r="1599">
      <x:c r="A1599" s="83" t="n">
        <x:v>1598</x:v>
      </x:c>
      <x:c r="B1599" s="84" t="str">
        <x:v>OS-2024-01598</x:v>
      </x:c>
      <x:c r="C1599" s="84" t="n">
        <x:v>66</x:v>
      </x:c>
      <x:c r="D1599" s="84" t="n">
        <x:v>3</x:v>
      </x:c>
      <x:c r="E1599" s="84"/>
      <x:c r="F1599" s="89" t="n">
        <x:v>45307.870104166665</x:v>
      </x:c>
      <x:c r="G1599" s="89"/>
      <x:c r="H1599" s="89" t="n">
        <x:v>45310.036770833336</x:v>
      </x:c>
      <x:c r="I1599" s="89" t="n">
        <x:v>45310.661770833336</x:v>
      </x:c>
      <x:c r="J1599" s="84" t="str">
        <x:v>Alta</x:v>
      </x:c>
      <x:c r="K1599" s="84" t="str">
        <x:v>Concluída</x:v>
      </x:c>
      <x:c r="L1599" s="84" t="str">
        <x:v>Vazamento</x:v>
      </x:c>
      <x:c r="M1599" s="84" t="str">
        <x:v>Desgaste natural</x:v>
      </x:c>
      <x:c r="N1599" s="84" t="str">
        <x:v>Componente ajustado ou substituído</x:v>
      </x:c>
      <x:c r="O1599" s="84" t="n">
        <x:v>0</x:v>
      </x:c>
      <x:c r="P1599" s="93" t="n">
        <x:v>632.83</x:v>
      </x:c>
      <x:c r="Q1599" s="93" t="n">
        <x:v>4054.01</x:v>
      </x:c>
      <x:c r="R1599" s="91" t="n">
        <x:v>0</x:v>
      </x:c>
    </x:row>
    <x:row r="1600">
      <x:c r="A1600" s="83" t="n">
        <x:v>1599</x:v>
      </x:c>
      <x:c r="B1600" s="84" t="str">
        <x:v>OS-2024-01599</x:v>
      </x:c>
      <x:c r="C1600" s="84" t="n">
        <x:v>71</x:v>
      </x:c>
      <x:c r="D1600" s="84" t="n">
        <x:v>2</x:v>
      </x:c>
      <x:c r="E1600" s="84"/>
      <x:c r="F1600" s="89" t="n">
        <x:v>45337.79854166666</x:v>
      </x:c>
      <x:c r="G1600" s="89" t="n">
        <x:v>45351.79854166666</x:v>
      </x:c>
      <x:c r="H1600" s="89" t="n">
        <x:v>45339.79854166666</x:v>
      </x:c>
      <x:c r="I1600" s="89"/>
      <x:c r="J1600" s="84" t="str">
        <x:v>Crítica</x:v>
      </x:c>
      <x:c r="K1600" s="84" t="str">
        <x:v>Em execução</x:v>
      </x:c>
      <x:c r="L1600" s="84" t="str">
        <x:v>Alarme intermitente</x:v>
      </x:c>
      <x:c r="M1600" s="84" t="str">
        <x:v>Conexão frouxa</x:v>
      </x:c>
      <x:c r="N1600" s="84"/>
      <x:c r="O1600" s="84" t="n">
        <x:v>1</x:v>
      </x:c>
      <x:c r="P1600" s="93" t="n">
        <x:v>409.05</x:v>
      </x:c>
      <x:c r="Q1600" s="93" t="n">
        <x:v>6041.8</x:v>
      </x:c>
      <x:c r="R1600" s="91" t="n">
        <x:v>0</x:v>
      </x:c>
    </x:row>
    <x:row r="1601">
      <x:c r="A1601" s="83" t="n">
        <x:v>1600</x:v>
      </x:c>
      <x:c r="B1601" s="84" t="str">
        <x:v>OS-2023-01600</x:v>
      </x:c>
      <x:c r="C1601" s="84" t="n">
        <x:v>72</x:v>
      </x:c>
      <x:c r="D1601" s="84" t="n">
        <x:v>4</x:v>
      </x:c>
      <x:c r="E1601" s="84"/>
      <x:c r="F1601" s="89" t="n">
        <x:v>45041.090775462966</x:v>
      </x:c>
      <x:c r="G1601" s="89" t="n">
        <x:v>45042.090775462966</x:v>
      </x:c>
      <x:c r="H1601" s="89" t="n">
        <x:v>45043.715775462966</x:v>
      </x:c>
      <x:c r="I1601" s="89" t="n">
        <x:v>45043.965775462966</x:v>
      </x:c>
      <x:c r="J1601" s="84" t="str">
        <x:v>Alta</x:v>
      </x:c>
      <x:c r="K1601" s="84" t="str">
        <x:v>Encerrada</x:v>
      </x:c>
      <x:c r="L1601" s="84" t="str">
        <x:v>Falha elétrica</x:v>
      </x:c>
      <x:c r="M1601" s="84" t="str">
        <x:v>Falta de lubrificação</x:v>
      </x:c>
      <x:c r="N1601" s="84" t="str">
        <x:v>Componente ajustado ou substituído</x:v>
      </x:c>
      <x:c r="O1601" s="84" t="n">
        <x:v>0</x:v>
      </x:c>
      <x:c r="P1601" s="93" t="n">
        <x:v>640.78</x:v>
      </x:c>
      <x:c r="Q1601" s="93" t="n">
        <x:v>2941.56</x:v>
      </x:c>
      <x:c r="R1601" s="91" t="n">
        <x:v>0</x:v>
      </x:c>
    </x:row>
    <x:row r="1602">
      <x:c r="A1602" s="83" t="n">
        <x:v>1601</x:v>
      </x:c>
      <x:c r="B1602" s="84" t="str">
        <x:v>OS-2023-01601</x:v>
      </x:c>
      <x:c r="C1602" s="84" t="n">
        <x:v>55</x:v>
      </x:c>
      <x:c r="D1602" s="84" t="n">
        <x:v>3</x:v>
      </x:c>
      <x:c r="E1602" s="84"/>
      <x:c r="F1602" s="89" t="n">
        <x:v>45107.59725694444</x:v>
      </x:c>
      <x:c r="G1602" s="89"/>
      <x:c r="H1602" s="89" t="n">
        <x:v>45110.13892361111</x:v>
      </x:c>
      <x:c r="I1602" s="89" t="n">
        <x:v>45110.63892361111</x:v>
      </x:c>
      <x:c r="J1602" s="84" t="str">
        <x:v>Média</x:v>
      </x:c>
      <x:c r="K1602" s="84" t="str">
        <x:v>Encerrada</x:v>
      </x:c>
      <x:c r="L1602" s="84" t="str">
        <x:v>Ruído anormal</x:v>
      </x:c>
      <x:c r="M1602" s="84" t="str">
        <x:v>Desgaste natural</x:v>
      </x:c>
      <x:c r="N1602" s="84" t="str">
        <x:v>Componente ajustado ou substituído</x:v>
      </x:c>
      <x:c r="O1602" s="84" t="n">
        <x:v>0</x:v>
      </x:c>
      <x:c r="P1602" s="93" t="n">
        <x:v>263.34</x:v>
      </x:c>
      <x:c r="Q1602" s="93" t="n">
        <x:v>17567.13</x:v>
      </x:c>
      <x:c r="R1602" s="91" t="n">
        <x:v>0</x:v>
      </x:c>
    </x:row>
    <x:row r="1603">
      <x:c r="A1603" s="83" t="n">
        <x:v>1602</x:v>
      </x:c>
      <x:c r="B1603" s="84" t="str">
        <x:v>OS-2025-01602</x:v>
      </x:c>
      <x:c r="C1603" s="84" t="n">
        <x:v>85</x:v>
      </x:c>
      <x:c r="D1603" s="84" t="n">
        <x:v>3</x:v>
      </x:c>
      <x:c r="E1603" s="84"/>
      <x:c r="F1603" s="89" t="n">
        <x:v>45977.572962962964</x:v>
      </x:c>
      <x:c r="G1603" s="89"/>
      <x:c r="H1603" s="89" t="n">
        <x:v>45977.9062962963</x:v>
      </x:c>
      <x:c r="I1603" s="89"/>
      <x:c r="J1603" s="84" t="str">
        <x:v>Baixa</x:v>
      </x:c>
      <x:c r="K1603" s="84" t="str">
        <x:v>Aguardando peça</x:v>
      </x:c>
      <x:c r="L1603" s="84" t="str">
        <x:v>Desalinhamento</x:v>
      </x:c>
      <x:c r="M1603" s="84" t="str">
        <x:v>Conexão frouxa</x:v>
      </x:c>
      <x:c r="N1603" s="84"/>
      <x:c r="O1603" s="84" t="n">
        <x:v>0</x:v>
      </x:c>
      <x:c r="P1603" s="93" t="n">
        <x:v>616.85</x:v>
      </x:c>
      <x:c r="Q1603" s="93" t="n">
        <x:v>5348.6</x:v>
      </x:c>
      <x:c r="R1603" s="91" t="n">
        <x:v>0</x:v>
      </x:c>
    </x:row>
    <x:row r="1604">
      <x:c r="A1604" s="83" t="n">
        <x:v>1603</x:v>
      </x:c>
      <x:c r="B1604" s="84" t="str">
        <x:v>OS-2023-01603</x:v>
      </x:c>
      <x:c r="C1604" s="84" t="n">
        <x:v>44</x:v>
      </x:c>
      <x:c r="D1604" s="84" t="n">
        <x:v>1</x:v>
      </x:c>
      <x:c r="E1604" s="84" t="n">
        <x:v>87</x:v>
      </x:c>
      <x:c r="F1604" s="89" t="n">
        <x:v>45157.888657407406</x:v>
      </x:c>
      <x:c r="G1604" s="89" t="n">
        <x:v>45158.888657407406</x:v>
      </x:c>
      <x:c r="H1604" s="89" t="n">
        <x:v>45158.05532407408</x:v>
      </x:c>
      <x:c r="I1604" s="89" t="n">
        <x:v>45158.43032407408</x:v>
      </x:c>
      <x:c r="J1604" s="84" t="str">
        <x:v>Crítica</x:v>
      </x:c>
      <x:c r="K1604" s="84" t="str">
        <x:v>Concluída</x:v>
      </x:c>
      <x:c r="L1604" s="84" t="str">
        <x:v>Vazamento</x:v>
      </x:c>
      <x:c r="M1604" s="84" t="str">
        <x:v>Componente danificado</x:v>
      </x:c>
      <x:c r="N1604" s="84" t="str">
        <x:v>Componente ajustado ou substituído</x:v>
      </x:c>
      <x:c r="O1604" s="84" t="n">
        <x:v>1</x:v>
      </x:c>
      <x:c r="P1604" s="93" t="n">
        <x:v>370.63</x:v>
      </x:c>
      <x:c r="Q1604" s="93" t="n">
        <x:v>3913.01</x:v>
      </x:c>
      <x:c r="R1604" s="91" t="n">
        <x:v>0</x:v>
      </x:c>
    </x:row>
    <x:row r="1605">
      <x:c r="A1605" s="83" t="n">
        <x:v>1604</x:v>
      </x:c>
      <x:c r="B1605" s="84" t="str">
        <x:v>OS-2024-01604</x:v>
      </x:c>
      <x:c r="C1605" s="84" t="n">
        <x:v>82</x:v>
      </x:c>
      <x:c r="D1605" s="84" t="n">
        <x:v>5</x:v>
      </x:c>
      <x:c r="E1605" s="84" t="n">
        <x:v>163</x:v>
      </x:c>
      <x:c r="F1605" s="89" t="n">
        <x:v>45602.27706018519</x:v>
      </x:c>
      <x:c r="G1605" s="89" t="n">
        <x:v>45603.27706018519</x:v>
      </x:c>
      <x:c r="H1605" s="89" t="n">
        <x:v>45605.23539351852</x:v>
      </x:c>
      <x:c r="I1605" s="89" t="n">
        <x:v>45605.81872685185</x:v>
      </x:c>
      <x:c r="J1605" s="84" t="str">
        <x:v>Média</x:v>
      </x:c>
      <x:c r="K1605" s="84" t="str">
        <x:v>Concluída</x:v>
      </x:c>
      <x:c r="L1605" s="84" t="str">
        <x:v>Superaquecimento</x:v>
      </x:c>
      <x:c r="M1605" s="84" t="str">
        <x:v>Ajuste incorreto</x:v>
      </x:c>
      <x:c r="N1605" s="84" t="str">
        <x:v>Componente ajustado ou substituído</x:v>
      </x:c>
      <x:c r="O1605" s="84" t="n">
        <x:v>0</x:v>
      </x:c>
      <x:c r="P1605" s="93" t="n">
        <x:v>530.13</x:v>
      </x:c>
      <x:c r="Q1605" s="93" t="n">
        <x:v>0</x:v>
      </x:c>
      <x:c r="R1605" s="91" t="n">
        <x:v>0</x:v>
      </x:c>
    </x:row>
    <x:row r="1606">
      <x:c r="A1606" s="83" t="n">
        <x:v>1605</x:v>
      </x:c>
      <x:c r="B1606" s="84" t="str">
        <x:v>OS-2023-01605</x:v>
      </x:c>
      <x:c r="C1606" s="84" t="n">
        <x:v>64</x:v>
      </x:c>
      <x:c r="D1606" s="84" t="n">
        <x:v>3</x:v>
      </x:c>
      <x:c r="E1606" s="84"/>
      <x:c r="F1606" s="89" t="n">
        <x:v>45080.25498842593</x:v>
      </x:c>
      <x:c r="G1606" s="89"/>
      <x:c r="H1606" s="89" t="n">
        <x:v>45080.29665509259</x:v>
      </x:c>
      <x:c r="I1606" s="89" t="n">
        <x:v>45080.42165509259</x:v>
      </x:c>
      <x:c r="J1606" s="84" t="str">
        <x:v>Crítica</x:v>
      </x:c>
      <x:c r="K1606" s="84" t="str">
        <x:v>Encerrada</x:v>
      </x:c>
      <x:c r="L1606" s="84" t="str">
        <x:v>Superaquecimento</x:v>
      </x:c>
      <x:c r="M1606" s="84" t="str">
        <x:v>Contaminação</x:v>
      </x:c>
      <x:c r="N1606" s="84" t="str">
        <x:v>Componente ajustado ou substituído</x:v>
      </x:c>
      <x:c r="O1606" s="84" t="n">
        <x:v>0</x:v>
      </x:c>
      <x:c r="P1606" s="93" t="n">
        <x:v>293.4</x:v>
      </x:c>
      <x:c r="Q1606" s="93" t="n">
        <x:v>6643.89</x:v>
      </x:c>
      <x:c r="R1606" s="91" t="n">
        <x:v>0</x:v>
      </x:c>
    </x:row>
    <x:row r="1607">
      <x:c r="A1607" s="83" t="n">
        <x:v>1606</x:v>
      </x:c>
      <x:c r="B1607" s="84" t="str">
        <x:v>OS-2023-01606</x:v>
      </x:c>
      <x:c r="C1607" s="84" t="n">
        <x:v>76</x:v>
      </x:c>
      <x:c r="D1607" s="84" t="n">
        <x:v>2</x:v>
      </x:c>
      <x:c r="E1607" s="84"/>
      <x:c r="F1607" s="89" t="n">
        <x:v>45081.14685185185</x:v>
      </x:c>
      <x:c r="G1607" s="89" t="n">
        <x:v>45090.14685185185</x:v>
      </x:c>
      <x:c r="H1607" s="89" t="n">
        <x:v>45082.81351851852</x:v>
      </x:c>
      <x:c r="I1607" s="89" t="n">
        <x:v>45083.02185185185</x:v>
      </x:c>
      <x:c r="J1607" s="84" t="str">
        <x:v>Baixa</x:v>
      </x:c>
      <x:c r="K1607" s="84" t="str">
        <x:v>Encerrada</x:v>
      </x:c>
      <x:c r="L1607" s="84" t="str">
        <x:v>Superaquecimento</x:v>
      </x:c>
      <x:c r="M1607" s="84" t="str">
        <x:v>Ajuste incorreto</x:v>
      </x:c>
      <x:c r="N1607" s="84" t="str">
        <x:v>Componente ajustado ou substituído</x:v>
      </x:c>
      <x:c r="O1607" s="84" t="n">
        <x:v>0</x:v>
      </x:c>
      <x:c r="P1607" s="93" t="n">
        <x:v>730.53</x:v>
      </x:c>
      <x:c r="Q1607" s="93" t="n">
        <x:v>10270.19</x:v>
      </x:c>
      <x:c r="R1607" s="91" t="n">
        <x:v>0</x:v>
      </x:c>
    </x:row>
    <x:row r="1608">
      <x:c r="A1608" s="83" t="n">
        <x:v>1607</x:v>
      </x:c>
      <x:c r="B1608" s="84" t="str">
        <x:v>OS-2024-01607</x:v>
      </x:c>
      <x:c r="C1608" s="84" t="n">
        <x:v>14</x:v>
      </x:c>
      <x:c r="D1608" s="84" t="n">
        <x:v>3</x:v>
      </x:c>
      <x:c r="E1608" s="84"/>
      <x:c r="F1608" s="89" t="n">
        <x:v>45379.35880787037</x:v>
      </x:c>
      <x:c r="G1608" s="89"/>
      <x:c r="H1608" s="89" t="n">
        <x:v>45379.65047453704</x:v>
      </x:c>
      <x:c r="I1608" s="89" t="n">
        <x:v>45379.90047453704</x:v>
      </x:c>
      <x:c r="J1608" s="84" t="str">
        <x:v>Baixa</x:v>
      </x:c>
      <x:c r="K1608" s="84" t="str">
        <x:v>Encerrada</x:v>
      </x:c>
      <x:c r="L1608" s="84" t="str">
        <x:v>Ruído anormal</x:v>
      </x:c>
      <x:c r="M1608" s="84" t="str">
        <x:v>Falta de lubrificação</x:v>
      </x:c>
      <x:c r="N1608" s="84" t="str">
        <x:v>Componente ajustado ou substituído</x:v>
      </x:c>
      <x:c r="O1608" s="84" t="n">
        <x:v>0</x:v>
      </x:c>
      <x:c r="P1608" s="93" t="n">
        <x:v>264.26</x:v>
      </x:c>
      <x:c r="Q1608" s="93" t="n">
        <x:v>4549.35</x:v>
      </x:c>
      <x:c r="R1608" s="91" t="n">
        <x:v>0</x:v>
      </x:c>
    </x:row>
    <x:row r="1609">
      <x:c r="A1609" s="83" t="n">
        <x:v>1608</x:v>
      </x:c>
      <x:c r="B1609" s="84" t="str">
        <x:v>OS-2023-01608</x:v>
      </x:c>
      <x:c r="C1609" s="84" t="n">
        <x:v>84</x:v>
      </x:c>
      <x:c r="D1609" s="84" t="n">
        <x:v>2</x:v>
      </x:c>
      <x:c r="E1609" s="84"/>
      <x:c r="F1609" s="89" t="n">
        <x:v>44960.89158564815</x:v>
      </x:c>
      <x:c r="G1609" s="89" t="n">
        <x:v>44971.89158564815</x:v>
      </x:c>
      <x:c r="H1609" s="89" t="n">
        <x:v>44963.22491898148</x:v>
      </x:c>
      <x:c r="I1609" s="89" t="n">
        <x:v>44963.34991898148</x:v>
      </x:c>
      <x:c r="J1609" s="84" t="str">
        <x:v>Alta</x:v>
      </x:c>
      <x:c r="K1609" s="84" t="str">
        <x:v>Encerrada</x:v>
      </x:c>
      <x:c r="L1609" s="84" t="str">
        <x:v>Baixa pressão</x:v>
      </x:c>
      <x:c r="M1609" s="84" t="str">
        <x:v>Falta de lubrificação</x:v>
      </x:c>
      <x:c r="N1609" s="84" t="str">
        <x:v>Componente ajustado ou substituído</x:v>
      </x:c>
      <x:c r="O1609" s="84" t="n">
        <x:v>0</x:v>
      </x:c>
      <x:c r="P1609" s="93" t="n">
        <x:v>944.95</x:v>
      </x:c>
      <x:c r="Q1609" s="93" t="n">
        <x:v>3027.24</x:v>
      </x:c>
      <x:c r="R1609" s="91" t="n">
        <x:v>0</x:v>
      </x:c>
    </x:row>
    <x:row r="1610">
      <x:c r="A1610" s="83" t="n">
        <x:v>1609</x:v>
      </x:c>
      <x:c r="B1610" s="84" t="str">
        <x:v>OS-2024-01609</x:v>
      </x:c>
      <x:c r="C1610" s="84" t="n">
        <x:v>86</x:v>
      </x:c>
      <x:c r="D1610" s="84" t="n">
        <x:v>1</x:v>
      </x:c>
      <x:c r="E1610" s="84" t="n">
        <x:v>171</x:v>
      </x:c>
      <x:c r="F1610" s="89" t="n">
        <x:v>45362.876064814816</x:v>
      </x:c>
      <x:c r="G1610" s="89" t="n">
        <x:v>45375.876064814816</x:v>
      </x:c>
      <x:c r="H1610" s="89" t="n">
        <x:v>45362.959398148145</x:v>
      </x:c>
      <x:c r="I1610" s="89"/>
      <x:c r="J1610" s="84" t="str">
        <x:v>Média</x:v>
      </x:c>
      <x:c r="K1610" s="84" t="str">
        <x:v>Em execução</x:v>
      </x:c>
      <x:c r="L1610" s="84" t="str">
        <x:v>Desalinhamento</x:v>
      </x:c>
      <x:c r="M1610" s="84" t="str">
        <x:v>Desgaste natural</x:v>
      </x:c>
      <x:c r="N1610" s="84"/>
      <x:c r="O1610" s="84" t="n">
        <x:v>0</x:v>
      </x:c>
      <x:c r="P1610" s="93" t="n">
        <x:v>56.2</x:v>
      </x:c>
      <x:c r="Q1610" s="93" t="n">
        <x:v>6101.24</x:v>
      </x:c>
      <x:c r="R1610" s="91" t="n">
        <x:v>0</x:v>
      </x:c>
    </x:row>
    <x:row r="1611">
      <x:c r="A1611" s="83" t="n">
        <x:v>1610</x:v>
      </x:c>
      <x:c r="B1611" s="84" t="str">
        <x:v>OS-2023-01610</x:v>
      </x:c>
      <x:c r="C1611" s="84" t="n">
        <x:v>49</x:v>
      </x:c>
      <x:c r="D1611" s="84" t="n">
        <x:v>3</x:v>
      </x:c>
      <x:c r="E1611" s="84"/>
      <x:c r="F1611" s="89" t="n">
        <x:v>45150.869409722225</x:v>
      </x:c>
      <x:c r="G1611" s="89"/>
      <x:c r="H1611" s="89" t="n">
        <x:v>45150.95274305555</x:v>
      </x:c>
      <x:c r="I1611" s="89" t="n">
        <x:v>45150.994409722225</x:v>
      </x:c>
      <x:c r="J1611" s="84" t="str">
        <x:v>Crítica</x:v>
      </x:c>
      <x:c r="K1611" s="84" t="str">
        <x:v>Encerrada</x:v>
      </x:c>
      <x:c r="L1611" s="84" t="str">
        <x:v>Desalinhamento</x:v>
      </x:c>
      <x:c r="M1611" s="84" t="str">
        <x:v>Conexão frouxa</x:v>
      </x:c>
      <x:c r="N1611" s="84" t="str">
        <x:v>Componente ajustado ou substituído</x:v>
      </x:c>
      <x:c r="O1611" s="84" t="n">
        <x:v>0</x:v>
      </x:c>
      <x:c r="P1611" s="93" t="n">
        <x:v>592.81</x:v>
      </x:c>
      <x:c r="Q1611" s="93" t="n">
        <x:v>4693.84</x:v>
      </x:c>
      <x:c r="R1611" s="91" t="n">
        <x:v>0</x:v>
      </x:c>
    </x:row>
    <x:row r="1612">
      <x:c r="A1612" s="83" t="n">
        <x:v>1611</x:v>
      </x:c>
      <x:c r="B1612" s="84" t="str">
        <x:v>OS-2024-01611</x:v>
      </x:c>
      <x:c r="C1612" s="84" t="n">
        <x:v>5</x:v>
      </x:c>
      <x:c r="D1612" s="84" t="n">
        <x:v>3</x:v>
      </x:c>
      <x:c r="E1612" s="84"/>
      <x:c r="F1612" s="89" t="n">
        <x:v>45569.21407407407</x:v>
      </x:c>
      <x:c r="G1612" s="89"/>
      <x:c r="H1612" s="89"/>
      <x:c r="I1612" s="89"/>
      <x:c r="J1612" s="84" t="str">
        <x:v>Baixa</x:v>
      </x:c>
      <x:c r="K1612" s="84" t="str">
        <x:v>Planejada</x:v>
      </x:c>
      <x:c r="L1612" s="84" t="str">
        <x:v>Alarme intermitente</x:v>
      </x:c>
      <x:c r="M1612" s="84"/>
      <x:c r="N1612" s="84"/>
      <x:c r="O1612" s="84" t="n">
        <x:v>0</x:v>
      </x:c>
      <x:c r="P1612" s="93" t="n">
        <x:v>0</x:v>
      </x:c>
      <x:c r="Q1612" s="93" t="n">
        <x:v>0</x:v>
      </x:c>
      <x:c r="R1612" s="91" t="n">
        <x:v>0</x:v>
      </x:c>
    </x:row>
    <x:row r="1613">
      <x:c r="A1613" s="83" t="n">
        <x:v>1612</x:v>
      </x:c>
      <x:c r="B1613" s="84" t="str">
        <x:v>OS-2025-01612</x:v>
      </x:c>
      <x:c r="C1613" s="84" t="n">
        <x:v>80</x:v>
      </x:c>
      <x:c r="D1613" s="84" t="n">
        <x:v>1</x:v>
      </x:c>
      <x:c r="E1613" s="84" t="n">
        <x:v>160</x:v>
      </x:c>
      <x:c r="F1613" s="89" t="n">
        <x:v>45715.40641203704</x:v>
      </x:c>
      <x:c r="G1613" s="89" t="n">
        <x:v>45725.40641203704</x:v>
      </x:c>
      <x:c r="H1613" s="89" t="n">
        <x:v>45718.40641203704</x:v>
      </x:c>
      <x:c r="I1613" s="89" t="n">
        <x:v>45718.73974537037</x:v>
      </x:c>
      <x:c r="J1613" s="84" t="str">
        <x:v>Crítica</x:v>
      </x:c>
      <x:c r="K1613" s="84" t="str">
        <x:v>Encerrada</x:v>
      </x:c>
      <x:c r="L1613" s="84" t="str">
        <x:v>Falha elétrica</x:v>
      </x:c>
      <x:c r="M1613" s="84" t="str">
        <x:v>Desgaste natural</x:v>
      </x:c>
      <x:c r="N1613" s="84" t="str">
        <x:v>Componente ajustado ou substituído</x:v>
      </x:c>
      <x:c r="O1613" s="84" t="n">
        <x:v>0</x:v>
      </x:c>
      <x:c r="P1613" s="93" t="n">
        <x:v>334.68</x:v>
      </x:c>
      <x:c r="Q1613" s="93" t="n">
        <x:v>4396.26</x:v>
      </x:c>
      <x:c r="R1613" s="91" t="n">
        <x:v>0</x:v>
      </x:c>
    </x:row>
    <x:row r="1614">
      <x:c r="A1614" s="83" t="n">
        <x:v>1613</x:v>
      </x:c>
      <x:c r="B1614" s="84" t="str">
        <x:v>OS-2023-01613</x:v>
      </x:c>
      <x:c r="C1614" s="84" t="n">
        <x:v>57</x:v>
      </x:c>
      <x:c r="D1614" s="84" t="n">
        <x:v>1</x:v>
      </x:c>
      <x:c r="E1614" s="84" t="n">
        <x:v>113</x:v>
      </x:c>
      <x:c r="F1614" s="89" t="n">
        <x:v>45045.36471064815</x:v>
      </x:c>
      <x:c r="G1614" s="89" t="n">
        <x:v>45046.36471064815</x:v>
      </x:c>
      <x:c r="H1614" s="89" t="n">
        <x:v>45046.11471064815</x:v>
      </x:c>
      <x:c r="I1614" s="89"/>
      <x:c r="J1614" s="84" t="str">
        <x:v>Média</x:v>
      </x:c>
      <x:c r="K1614" s="84" t="str">
        <x:v>Aguardando peça</x:v>
      </x:c>
      <x:c r="L1614" s="84" t="str">
        <x:v>Vazamento</x:v>
      </x:c>
      <x:c r="M1614" s="84" t="str">
        <x:v>Ajuste incorreto</x:v>
      </x:c>
      <x:c r="N1614" s="84"/>
      <x:c r="O1614" s="84" t="n">
        <x:v>0</x:v>
      </x:c>
      <x:c r="P1614" s="93" t="n">
        <x:v>597.47</x:v>
      </x:c>
      <x:c r="Q1614" s="93" t="n">
        <x:v>11694.42</x:v>
      </x:c>
      <x:c r="R1614" s="91" t="n">
        <x:v>0</x:v>
      </x:c>
    </x:row>
    <x:row r="1615">
      <x:c r="A1615" s="83" t="n">
        <x:v>1614</x:v>
      </x:c>
      <x:c r="B1615" s="84" t="str">
        <x:v>OS-2024-01614</x:v>
      </x:c>
      <x:c r="C1615" s="84" t="n">
        <x:v>83</x:v>
      </x:c>
      <x:c r="D1615" s="84" t="n">
        <x:v>6</x:v>
      </x:c>
      <x:c r="E1615" s="84"/>
      <x:c r="F1615" s="89" t="n">
        <x:v>45584.09587962963</x:v>
      </x:c>
      <x:c r="G1615" s="89" t="n">
        <x:v>45593.09587962963</x:v>
      </x:c>
      <x:c r="H1615" s="89" t="n">
        <x:v>45585.30421296296</x:v>
      </x:c>
      <x:c r="I1615" s="89" t="n">
        <x:v>45585.80421296296</x:v>
      </x:c>
      <x:c r="J1615" s="84" t="str">
        <x:v>Baixa</x:v>
      </x:c>
      <x:c r="K1615" s="84" t="str">
        <x:v>Encerrada</x:v>
      </x:c>
      <x:c r="L1615" s="84" t="str">
        <x:v>Alarme intermitente</x:v>
      </x:c>
      <x:c r="M1615" s="84" t="str">
        <x:v>Ajuste incorreto</x:v>
      </x:c>
      <x:c r="N1615" s="84" t="str">
        <x:v>Componente ajustado ou substituído</x:v>
      </x:c>
      <x:c r="O1615" s="84" t="n">
        <x:v>0</x:v>
      </x:c>
      <x:c r="P1615" s="93" t="n">
        <x:v>35.54</x:v>
      </x:c>
      <x:c r="Q1615" s="93" t="n">
        <x:v>0</x:v>
      </x:c>
      <x:c r="R1615" s="91" t="n">
        <x:v>0</x:v>
      </x:c>
    </x:row>
    <x:row r="1616">
      <x:c r="A1616" s="83" t="n">
        <x:v>1615</x:v>
      </x:c>
      <x:c r="B1616" s="84" t="str">
        <x:v>OS-2023-01615</x:v>
      </x:c>
      <x:c r="C1616" s="84" t="n">
        <x:v>39</x:v>
      </x:c>
      <x:c r="D1616" s="84" t="n">
        <x:v>2</x:v>
      </x:c>
      <x:c r="E1616" s="84"/>
      <x:c r="F1616" s="89" t="n">
        <x:v>44954.54996527778</x:v>
      </x:c>
      <x:c r="G1616" s="89" t="n">
        <x:v>44959.54996527778</x:v>
      </x:c>
      <x:c r="H1616" s="89" t="n">
        <x:v>44957.04996527778</x:v>
      </x:c>
      <x:c r="I1616" s="89" t="n">
        <x:v>44957.50829861111</x:v>
      </x:c>
      <x:c r="J1616" s="84" t="str">
        <x:v>Média</x:v>
      </x:c>
      <x:c r="K1616" s="84" t="str">
        <x:v>Encerrada</x:v>
      </x:c>
      <x:c r="L1616" s="84" t="str">
        <x:v>Vazamento</x:v>
      </x:c>
      <x:c r="M1616" s="84" t="str">
        <x:v>Componente danificado</x:v>
      </x:c>
      <x:c r="N1616" s="84" t="str">
        <x:v>Componente ajustado ou substituído</x:v>
      </x:c>
      <x:c r="O1616" s="84" t="n">
        <x:v>0</x:v>
      </x:c>
      <x:c r="P1616" s="93" t="n">
        <x:v>219.47</x:v>
      </x:c>
      <x:c r="Q1616" s="93" t="n">
        <x:v>9553.38</x:v>
      </x:c>
      <x:c r="R1616" s="91" t="n">
        <x:v>0</x:v>
      </x:c>
    </x:row>
    <x:row r="1617">
      <x:c r="A1617" s="83" t="n">
        <x:v>1616</x:v>
      </x:c>
      <x:c r="B1617" s="84" t="str">
        <x:v>OS-2024-01616</x:v>
      </x:c>
      <x:c r="C1617" s="84" t="n">
        <x:v>85</x:v>
      </x:c>
      <x:c r="D1617" s="84" t="n">
        <x:v>1</x:v>
      </x:c>
      <x:c r="E1617" s="84" t="n">
        <x:v>169</x:v>
      </x:c>
      <x:c r="F1617" s="89" t="n">
        <x:v>45376.37048611111</x:v>
      </x:c>
      <x:c r="G1617" s="89" t="n">
        <x:v>45380.37048611111</x:v>
      </x:c>
      <x:c r="H1617" s="89"/>
      <x:c r="I1617" s="89"/>
      <x:c r="J1617" s="84" t="str">
        <x:v>Baixa</x:v>
      </x:c>
      <x:c r="K1617" s="84" t="str">
        <x:v>Planejada</x:v>
      </x:c>
      <x:c r="L1617" s="84" t="str">
        <x:v>Alarme intermitente</x:v>
      </x:c>
      <x:c r="M1617" s="84"/>
      <x:c r="N1617" s="84"/>
      <x:c r="O1617" s="84" t="n">
        <x:v>0</x:v>
      </x:c>
      <x:c r="P1617" s="93" t="n">
        <x:v>0</x:v>
      </x:c>
      <x:c r="Q1617" s="93" t="n">
        <x:v>0</x:v>
      </x:c>
      <x:c r="R1617" s="91" t="n">
        <x:v>0</x:v>
      </x:c>
    </x:row>
    <x:row r="1618">
      <x:c r="A1618" s="83" t="n">
        <x:v>1617</x:v>
      </x:c>
      <x:c r="B1618" s="84" t="str">
        <x:v>OS-2023-01617</x:v>
      </x:c>
      <x:c r="C1618" s="84" t="n">
        <x:v>64</x:v>
      </x:c>
      <x:c r="D1618" s="84" t="n">
        <x:v>1</x:v>
      </x:c>
      <x:c r="E1618" s="84" t="n">
        <x:v>128</x:v>
      </x:c>
      <x:c r="F1618" s="89" t="n">
        <x:v>45222.09769675926</x:v>
      </x:c>
      <x:c r="G1618" s="89" t="n">
        <x:v>45226.09769675926</x:v>
      </x:c>
      <x:c r="H1618" s="89" t="n">
        <x:v>45222.72269675926</x:v>
      </x:c>
      <x:c r="I1618" s="89"/>
      <x:c r="J1618" s="84" t="str">
        <x:v>Baixa</x:v>
      </x:c>
      <x:c r="K1618" s="84" t="str">
        <x:v>Aguardando peça</x:v>
      </x:c>
      <x:c r="L1618" s="84" t="str">
        <x:v>Superaquecimento</x:v>
      </x:c>
      <x:c r="M1618" s="84" t="str">
        <x:v>Componente danificado</x:v>
      </x:c>
      <x:c r="N1618" s="84"/>
      <x:c r="O1618" s="84" t="n">
        <x:v>0</x:v>
      </x:c>
      <x:c r="P1618" s="93" t="n">
        <x:v>282.77</x:v>
      </x:c>
      <x:c r="Q1618" s="93" t="n">
        <x:v>6112.68</x:v>
      </x:c>
      <x:c r="R1618" s="91" t="n">
        <x:v>0</x:v>
      </x:c>
    </x:row>
    <x:row r="1619">
      <x:c r="A1619" s="83" t="n">
        <x:v>1618</x:v>
      </x:c>
      <x:c r="B1619" s="84" t="str">
        <x:v>OS-2023-01618</x:v>
      </x:c>
      <x:c r="C1619" s="84" t="n">
        <x:v>43</x:v>
      </x:c>
      <x:c r="D1619" s="84" t="n">
        <x:v>7</x:v>
      </x:c>
      <x:c r="E1619" s="84" t="n">
        <x:v>85</x:v>
      </x:c>
      <x:c r="F1619" s="89" t="n">
        <x:v>44938.49386574074</x:v>
      </x:c>
      <x:c r="G1619" s="89" t="n">
        <x:v>44943.49386574074</x:v>
      </x:c>
      <x:c r="H1619" s="89"/>
      <x:c r="I1619" s="89"/>
      <x:c r="J1619" s="84" t="str">
        <x:v>Crítica</x:v>
      </x:c>
      <x:c r="K1619" s="84" t="str">
        <x:v>Planejada</x:v>
      </x:c>
      <x:c r="L1619" s="84" t="str">
        <x:v>Superaquecimento</x:v>
      </x:c>
      <x:c r="M1619" s="84"/>
      <x:c r="N1619" s="84"/>
      <x:c r="O1619" s="84" t="n">
        <x:v>0</x:v>
      </x:c>
      <x:c r="P1619" s="93" t="n">
        <x:v>0</x:v>
      </x:c>
      <x:c r="Q1619" s="93" t="n">
        <x:v>0</x:v>
      </x:c>
      <x:c r="R1619" s="91" t="n">
        <x:v>0</x:v>
      </x:c>
    </x:row>
    <x:row r="1620">
      <x:c r="A1620" s="83" t="n">
        <x:v>1619</x:v>
      </x:c>
      <x:c r="B1620" s="84" t="str">
        <x:v>OS-2023-01619</x:v>
      </x:c>
      <x:c r="C1620" s="84" t="n">
        <x:v>83</x:v>
      </x:c>
      <x:c r="D1620" s="84" t="n">
        <x:v>4</x:v>
      </x:c>
      <x:c r="E1620" s="84"/>
      <x:c r="F1620" s="89" t="n">
        <x:v>45201.62422453704</x:v>
      </x:c>
      <x:c r="G1620" s="89" t="n">
        <x:v>45206.62422453704</x:v>
      </x:c>
      <x:c r="H1620" s="89" t="n">
        <x:v>45203.12422453704</x:v>
      </x:c>
      <x:c r="I1620" s="89" t="n">
        <x:v>45203.2908912037</x:v>
      </x:c>
      <x:c r="J1620" s="84" t="str">
        <x:v>Alta</x:v>
      </x:c>
      <x:c r="K1620" s="84" t="str">
        <x:v>Encerrada</x:v>
      </x:c>
      <x:c r="L1620" s="84" t="str">
        <x:v>Ruído anormal</x:v>
      </x:c>
      <x:c r="M1620" s="84" t="str">
        <x:v>Conexão frouxa</x:v>
      </x:c>
      <x:c r="N1620" s="84" t="str">
        <x:v>Componente ajustado ou substituído</x:v>
      </x:c>
      <x:c r="O1620" s="84" t="n">
        <x:v>0</x:v>
      </x:c>
      <x:c r="P1620" s="93" t="n">
        <x:v>366.93</x:v>
      </x:c>
      <x:c r="Q1620" s="93" t="n">
        <x:v>7667.41</x:v>
      </x:c>
      <x:c r="R1620" s="91" t="n">
        <x:v>0</x:v>
      </x:c>
    </x:row>
    <x:row r="1621">
      <x:c r="A1621" s="83" t="n">
        <x:v>1620</x:v>
      </x:c>
      <x:c r="B1621" s="84" t="str">
        <x:v>OS-2024-01620</x:v>
      </x:c>
      <x:c r="C1621" s="84" t="n">
        <x:v>58</x:v>
      </x:c>
      <x:c r="D1621" s="84" t="n">
        <x:v>3</x:v>
      </x:c>
      <x:c r="E1621" s="84"/>
      <x:c r="F1621" s="89" t="n">
        <x:v>45370.83001157407</x:v>
      </x:c>
      <x:c r="G1621" s="89"/>
      <x:c r="H1621" s="89" t="n">
        <x:v>45373.70501157407</x:v>
      </x:c>
      <x:c r="I1621" s="89" t="n">
        <x:v>45374.45501157407</x:v>
      </x:c>
      <x:c r="J1621" s="84" t="str">
        <x:v>Baixa</x:v>
      </x:c>
      <x:c r="K1621" s="84" t="str">
        <x:v>Encerrada</x:v>
      </x:c>
      <x:c r="L1621" s="84" t="str">
        <x:v>Vazamento</x:v>
      </x:c>
      <x:c r="M1621" s="84" t="str">
        <x:v>Falta de lubrificação</x:v>
      </x:c>
      <x:c r="N1621" s="84" t="str">
        <x:v>Componente ajustado ou substituído</x:v>
      </x:c>
      <x:c r="O1621" s="84" t="n">
        <x:v>0</x:v>
      </x:c>
      <x:c r="P1621" s="93" t="n">
        <x:v>175.28</x:v>
      </x:c>
      <x:c r="Q1621" s="93" t="n">
        <x:v>4943.58</x:v>
      </x:c>
      <x:c r="R1621" s="91" t="n">
        <x:v>0</x:v>
      </x:c>
    </x:row>
    <x:row r="1622">
      <x:c r="A1622" s="83" t="n">
        <x:v>1621</x:v>
      </x:c>
      <x:c r="B1622" s="84" t="str">
        <x:v>OS-2025-01621</x:v>
      </x:c>
      <x:c r="C1622" s="84" t="n">
        <x:v>1</x:v>
      </x:c>
      <x:c r="D1622" s="84" t="n">
        <x:v>5</x:v>
      </x:c>
      <x:c r="E1622" s="84" t="n">
        <x:v>2</x:v>
      </x:c>
      <x:c r="F1622" s="89" t="n">
        <x:v>45834.71258101852</x:v>
      </x:c>
      <x:c r="G1622" s="89" t="n">
        <x:v>45844.71258101852</x:v>
      </x:c>
      <x:c r="H1622" s="89" t="n">
        <x:v>45835.04591435185</x:v>
      </x:c>
      <x:c r="I1622" s="89" t="n">
        <x:v>45835.17091435185</x:v>
      </x:c>
      <x:c r="J1622" s="84" t="str">
        <x:v>Crítica</x:v>
      </x:c>
      <x:c r="K1622" s="84" t="str">
        <x:v>Concluída</x:v>
      </x:c>
      <x:c r="L1622" s="84" t="str">
        <x:v>Alarme intermitente</x:v>
      </x:c>
      <x:c r="M1622" s="84" t="str">
        <x:v>Falta de lubrificação</x:v>
      </x:c>
      <x:c r="N1622" s="84" t="str">
        <x:v>Componente ajustado ou substituído</x:v>
      </x:c>
      <x:c r="O1622" s="84" t="n">
        <x:v>0</x:v>
      </x:c>
      <x:c r="P1622" s="93" t="n">
        <x:v>937.41</x:v>
      </x:c>
      <x:c r="Q1622" s="93" t="n">
        <x:v>0</x:v>
      </x:c>
      <x:c r="R1622" s="91" t="n">
        <x:v>0</x:v>
      </x:c>
    </x:row>
    <x:row r="1623">
      <x:c r="A1623" s="83" t="n">
        <x:v>1622</x:v>
      </x:c>
      <x:c r="B1623" s="84" t="str">
        <x:v>OS-2023-01622</x:v>
      </x:c>
      <x:c r="C1623" s="84" t="n">
        <x:v>69</x:v>
      </x:c>
      <x:c r="D1623" s="84" t="n">
        <x:v>2</x:v>
      </x:c>
      <x:c r="E1623" s="84"/>
      <x:c r="F1623" s="89" t="n">
        <x:v>45012.612905092596</x:v>
      </x:c>
      <x:c r="G1623" s="89" t="n">
        <x:v>45014.612905092596</x:v>
      </x:c>
      <x:c r="H1623" s="89"/>
      <x:c r="I1623" s="89"/>
      <x:c r="J1623" s="84" t="str">
        <x:v>Média</x:v>
      </x:c>
      <x:c r="K1623" s="84" t="str">
        <x:v>Planejada</x:v>
      </x:c>
      <x:c r="L1623" s="84" t="str">
        <x:v>Superaquecimento</x:v>
      </x:c>
      <x:c r="M1623" s="84"/>
      <x:c r="N1623" s="84"/>
      <x:c r="O1623" s="84" t="n">
        <x:v>0</x:v>
      </x:c>
      <x:c r="P1623" s="93" t="n">
        <x:v>0</x:v>
      </x:c>
      <x:c r="Q1623" s="93" t="n">
        <x:v>0</x:v>
      </x:c>
      <x:c r="R1623" s="91" t="n">
        <x:v>0</x:v>
      </x:c>
    </x:row>
    <x:row r="1624">
      <x:c r="A1624" s="83" t="n">
        <x:v>1623</x:v>
      </x:c>
      <x:c r="B1624" s="84" t="str">
        <x:v>OS-2023-01623</x:v>
      </x:c>
      <x:c r="C1624" s="84" t="n">
        <x:v>8</x:v>
      </x:c>
      <x:c r="D1624" s="84" t="n">
        <x:v>3</x:v>
      </x:c>
      <x:c r="E1624" s="84"/>
      <x:c r="F1624" s="89" t="n">
        <x:v>45201.97996527778</x:v>
      </x:c>
      <x:c r="G1624" s="89"/>
      <x:c r="H1624" s="89" t="n">
        <x:v>45203.85496527778</x:v>
      </x:c>
      <x:c r="I1624" s="89" t="n">
        <x:v>45204.146631944444</x:v>
      </x:c>
      <x:c r="J1624" s="84" t="str">
        <x:v>Alta</x:v>
      </x:c>
      <x:c r="K1624" s="84" t="str">
        <x:v>Concluída</x:v>
      </x:c>
      <x:c r="L1624" s="84" t="str">
        <x:v>Ruído anormal</x:v>
      </x:c>
      <x:c r="M1624" s="84" t="str">
        <x:v>Componente danificado</x:v>
      </x:c>
      <x:c r="N1624" s="84" t="str">
        <x:v>Componente ajustado ou substituído</x:v>
      </x:c>
      <x:c r="O1624" s="84" t="n">
        <x:v>0</x:v>
      </x:c>
      <x:c r="P1624" s="93" t="n">
        <x:v>296.2</x:v>
      </x:c>
      <x:c r="Q1624" s="93" t="n">
        <x:v>6069.24</x:v>
      </x:c>
      <x:c r="R1624" s="91" t="n">
        <x:v>0</x:v>
      </x:c>
    </x:row>
    <x:row r="1625">
      <x:c r="A1625" s="83" t="n">
        <x:v>1624</x:v>
      </x:c>
      <x:c r="B1625" s="84" t="str">
        <x:v>OS-2025-01624</x:v>
      </x:c>
      <x:c r="C1625" s="84" t="n">
        <x:v>20</x:v>
      </x:c>
      <x:c r="D1625" s="84" t="n">
        <x:v>7</x:v>
      </x:c>
      <x:c r="E1625" s="84" t="n">
        <x:v>39</x:v>
      </x:c>
      <x:c r="F1625" s="89" t="n">
        <x:v>45840.744479166664</x:v>
      </x:c>
      <x:c r="G1625" s="89" t="n">
        <x:v>45845.744479166664</x:v>
      </x:c>
      <x:c r="H1625" s="89"/>
      <x:c r="I1625" s="89"/>
      <x:c r="J1625" s="84" t="str">
        <x:v>Média</x:v>
      </x:c>
      <x:c r="K1625" s="84" t="str">
        <x:v>Planejada</x:v>
      </x:c>
      <x:c r="L1625" s="84" t="str">
        <x:v>Superaquecimento</x:v>
      </x:c>
      <x:c r="M1625" s="84"/>
      <x:c r="N1625" s="84"/>
      <x:c r="O1625" s="84" t="n">
        <x:v>0</x:v>
      </x:c>
      <x:c r="P1625" s="93" t="n">
        <x:v>0</x:v>
      </x:c>
      <x:c r="Q1625" s="93" t="n">
        <x:v>0</x:v>
      </x:c>
      <x:c r="R1625" s="91" t="n">
        <x:v>0</x:v>
      </x:c>
    </x:row>
    <x:row r="1626">
      <x:c r="A1626" s="83" t="n">
        <x:v>1625</x:v>
      </x:c>
      <x:c r="B1626" s="84" t="str">
        <x:v>OS-2025-01625</x:v>
      </x:c>
      <x:c r="C1626" s="84" t="n">
        <x:v>75</x:v>
      </x:c>
      <x:c r="D1626" s="84" t="n">
        <x:v>1</x:v>
      </x:c>
      <x:c r="E1626" s="84" t="n">
        <x:v>149</x:v>
      </x:c>
      <x:c r="F1626" s="89" t="n">
        <x:v>45945.28084490741</x:v>
      </x:c>
      <x:c r="G1626" s="89" t="n">
        <x:v>45954.28084490741</x:v>
      </x:c>
      <x:c r="H1626" s="89" t="n">
        <x:v>45946.61417824074</x:v>
      </x:c>
      <x:c r="I1626" s="89" t="n">
        <x:v>45947.36417824074</x:v>
      </x:c>
      <x:c r="J1626" s="84" t="str">
        <x:v>Baixa</x:v>
      </x:c>
      <x:c r="K1626" s="84" t="str">
        <x:v>Encerrada</x:v>
      </x:c>
      <x:c r="L1626" s="84" t="str">
        <x:v>Vazamento</x:v>
      </x:c>
      <x:c r="M1626" s="84" t="str">
        <x:v>Componente danificado</x:v>
      </x:c>
      <x:c r="N1626" s="84" t="str">
        <x:v>Componente ajustado ou substituído</x:v>
      </x:c>
      <x:c r="O1626" s="84" t="n">
        <x:v>0</x:v>
      </x:c>
      <x:c r="P1626" s="93" t="n">
        <x:v>120.96</x:v>
      </x:c>
      <x:c r="Q1626" s="93" t="n">
        <x:v>5806.47</x:v>
      </x:c>
      <x:c r="R1626" s="91" t="n">
        <x:v>0</x:v>
      </x:c>
    </x:row>
    <x:row r="1627">
      <x:c r="A1627" s="83" t="n">
        <x:v>1626</x:v>
      </x:c>
      <x:c r="B1627" s="84" t="str">
        <x:v>OS-2024-01626</x:v>
      </x:c>
      <x:c r="C1627" s="84" t="n">
        <x:v>17</x:v>
      </x:c>
      <x:c r="D1627" s="84" t="n">
        <x:v>9</x:v>
      </x:c>
      <x:c r="E1627" s="84"/>
      <x:c r="F1627" s="89" t="n">
        <x:v>45359.834756944445</x:v>
      </x:c>
      <x:c r="G1627" s="89" t="n">
        <x:v>45364.834756944445</x:v>
      </x:c>
      <x:c r="H1627" s="89" t="n">
        <x:v>45362.334756944445</x:v>
      </x:c>
      <x:c r="I1627" s="89" t="n">
        <x:v>45362.75142361111</x:v>
      </x:c>
      <x:c r="J1627" s="84" t="str">
        <x:v>Média</x:v>
      </x:c>
      <x:c r="K1627" s="84" t="str">
        <x:v>Encerrada</x:v>
      </x:c>
      <x:c r="L1627" s="84" t="str">
        <x:v>Falha elétrica</x:v>
      </x:c>
      <x:c r="M1627" s="84" t="str">
        <x:v>Falta de lubrificação</x:v>
      </x:c>
      <x:c r="N1627" s="84" t="str">
        <x:v>Componente ajustado ou substituído</x:v>
      </x:c>
      <x:c r="O1627" s="84" t="n">
        <x:v>0</x:v>
      </x:c>
      <x:c r="P1627" s="93" t="n">
        <x:v>401.96</x:v>
      </x:c>
      <x:c r="Q1627" s="93" t="n">
        <x:v>7418.38</x:v>
      </x:c>
      <x:c r="R1627" s="91" t="n">
        <x:v>0</x:v>
      </x:c>
    </x:row>
    <x:row r="1628">
      <x:c r="A1628" s="83" t="n">
        <x:v>1627</x:v>
      </x:c>
      <x:c r="B1628" s="84" t="str">
        <x:v>OS-2023-01627</x:v>
      </x:c>
      <x:c r="C1628" s="84" t="n">
        <x:v>23</x:v>
      </x:c>
      <x:c r="D1628" s="84" t="n">
        <x:v>5</x:v>
      </x:c>
      <x:c r="E1628" s="84" t="n">
        <x:v>46</x:v>
      </x:c>
      <x:c r="F1628" s="89" t="n">
        <x:v>44971.59434027778</x:v>
      </x:c>
      <x:c r="G1628" s="89" t="n">
        <x:v>44977.59434027778</x:v>
      </x:c>
      <x:c r="H1628" s="89" t="n">
        <x:v>44973.42767361111</x:v>
      </x:c>
      <x:c r="I1628" s="89" t="n">
        <x:v>44973.76100694444</x:v>
      </x:c>
      <x:c r="J1628" s="84" t="str">
        <x:v>Baixa</x:v>
      </x:c>
      <x:c r="K1628" s="84" t="str">
        <x:v>Concluída</x:v>
      </x:c>
      <x:c r="L1628" s="84" t="str">
        <x:v>Falha elétrica</x:v>
      </x:c>
      <x:c r="M1628" s="84" t="str">
        <x:v>Desgaste natural</x:v>
      </x:c>
      <x:c r="N1628" s="84" t="str">
        <x:v>Componente ajustado ou substituído</x:v>
      </x:c>
      <x:c r="O1628" s="84" t="n">
        <x:v>0</x:v>
      </x:c>
      <x:c r="P1628" s="93" t="n">
        <x:v>391.12</x:v>
      </x:c>
      <x:c r="Q1628" s="93" t="n">
        <x:v>0</x:v>
      </x:c>
      <x:c r="R1628" s="91" t="n">
        <x:v>0</x:v>
      </x:c>
    </x:row>
    <x:row r="1629">
      <x:c r="A1629" s="83" t="n">
        <x:v>1628</x:v>
      </x:c>
      <x:c r="B1629" s="84" t="str">
        <x:v>OS-2025-01628</x:v>
      </x:c>
      <x:c r="C1629" s="84" t="n">
        <x:v>48</x:v>
      </x:c>
      <x:c r="D1629" s="84" t="n">
        <x:v>8</x:v>
      </x:c>
      <x:c r="E1629" s="84"/>
      <x:c r="F1629" s="89" t="n">
        <x:v>45862.40258101852</x:v>
      </x:c>
      <x:c r="G1629" s="89" t="n">
        <x:v>45863.40258101852</x:v>
      </x:c>
      <x:c r="H1629" s="89" t="n">
        <x:v>45864.985914351855</x:v>
      </x:c>
      <x:c r="I1629" s="89" t="n">
        <x:v>45865.485914351855</x:v>
      </x:c>
      <x:c r="J1629" s="84" t="str">
        <x:v>Alta</x:v>
      </x:c>
      <x:c r="K1629" s="84" t="str">
        <x:v>Encerrada</x:v>
      </x:c>
      <x:c r="L1629" s="84" t="str">
        <x:v>Alarme intermitente</x:v>
      </x:c>
      <x:c r="M1629" s="84" t="str">
        <x:v>Ajuste incorreto</x:v>
      </x:c>
      <x:c r="N1629" s="84" t="str">
        <x:v>Componente ajustado ou substituído</x:v>
      </x:c>
      <x:c r="O1629" s="84" t="n">
        <x:v>0</x:v>
      </x:c>
      <x:c r="P1629" s="93" t="n">
        <x:v>421.27</x:v>
      </x:c>
      <x:c r="Q1629" s="93" t="n">
        <x:v>8781.73</x:v>
      </x:c>
      <x:c r="R1629" s="91" t="n">
        <x:v>0</x:v>
      </x:c>
    </x:row>
    <x:row r="1630">
      <x:c r="A1630" s="83" t="n">
        <x:v>1629</x:v>
      </x:c>
      <x:c r="B1630" s="84" t="str">
        <x:v>OS-2023-01629</x:v>
      </x:c>
      <x:c r="C1630" s="84" t="n">
        <x:v>31</x:v>
      </x:c>
      <x:c r="D1630" s="84" t="n">
        <x:v>7</x:v>
      </x:c>
      <x:c r="E1630" s="84" t="n">
        <x:v>62</x:v>
      </x:c>
      <x:c r="F1630" s="89" t="n">
        <x:v>45272.83712962963</x:v>
      </x:c>
      <x:c r="G1630" s="89" t="n">
        <x:v>45278.83712962963</x:v>
      </x:c>
      <x:c r="H1630" s="89" t="n">
        <x:v>45274.58712962963</x:v>
      </x:c>
      <x:c r="I1630" s="89" t="n">
        <x:v>45274.71212962963</x:v>
      </x:c>
      <x:c r="J1630" s="84" t="str">
        <x:v>Alta</x:v>
      </x:c>
      <x:c r="K1630" s="84" t="str">
        <x:v>Encerrada</x:v>
      </x:c>
      <x:c r="L1630" s="84" t="str">
        <x:v>Superaquecimento</x:v>
      </x:c>
      <x:c r="M1630" s="84" t="str">
        <x:v>Componente danificado</x:v>
      </x:c>
      <x:c r="N1630" s="84" t="str">
        <x:v>Componente ajustado ou substituído</x:v>
      </x:c>
      <x:c r="O1630" s="84" t="n">
        <x:v>0</x:v>
      </x:c>
      <x:c r="P1630" s="93" t="n">
        <x:v>198.28</x:v>
      </x:c>
      <x:c r="Q1630" s="93" t="n">
        <x:v>4317.8</x:v>
      </x:c>
      <x:c r="R1630" s="91" t="n">
        <x:v>0</x:v>
      </x:c>
    </x:row>
    <x:row r="1631">
      <x:c r="A1631" s="83" t="n">
        <x:v>1630</x:v>
      </x:c>
      <x:c r="B1631" s="84" t="str">
        <x:v>OS-2025-01630</x:v>
      </x:c>
      <x:c r="C1631" s="84" t="n">
        <x:v>65</x:v>
      </x:c>
      <x:c r="D1631" s="84" t="n">
        <x:v>1</x:v>
      </x:c>
      <x:c r="E1631" s="84" t="n">
        <x:v>129</x:v>
      </x:c>
      <x:c r="F1631" s="89" t="n">
        <x:v>45916.72023148148</x:v>
      </x:c>
      <x:c r="G1631" s="89" t="n">
        <x:v>45916.72023148148</x:v>
      </x:c>
      <x:c r="H1631" s="89" t="n">
        <x:v>45918.803564814814</x:v>
      </x:c>
      <x:c r="I1631" s="89" t="n">
        <x:v>45919.63689814815</x:v>
      </x:c>
      <x:c r="J1631" s="84" t="str">
        <x:v>Média</x:v>
      </x:c>
      <x:c r="K1631" s="84" t="str">
        <x:v>Encerrada</x:v>
      </x:c>
      <x:c r="L1631" s="84" t="str">
        <x:v>Baixa pressão</x:v>
      </x:c>
      <x:c r="M1631" s="84" t="str">
        <x:v>Contaminação</x:v>
      </x:c>
      <x:c r="N1631" s="84" t="str">
        <x:v>Componente ajustado ou substituído</x:v>
      </x:c>
      <x:c r="O1631" s="84" t="n">
        <x:v>0</x:v>
      </x:c>
      <x:c r="P1631" s="93" t="n">
        <x:v>299.14</x:v>
      </x:c>
      <x:c r="Q1631" s="93" t="n">
        <x:v>5899.99</x:v>
      </x:c>
      <x:c r="R1631" s="91" t="n">
        <x:v>0</x:v>
      </x:c>
    </x:row>
    <x:row r="1632">
      <x:c r="A1632" s="83" t="n">
        <x:v>1631</x:v>
      </x:c>
      <x:c r="B1632" s="84" t="str">
        <x:v>OS-2025-01631</x:v>
      </x:c>
      <x:c r="C1632" s="84" t="n">
        <x:v>25</x:v>
      </x:c>
      <x:c r="D1632" s="84" t="n">
        <x:v>3</x:v>
      </x:c>
      <x:c r="E1632" s="84"/>
      <x:c r="F1632" s="89" t="n">
        <x:v>45824.03590277778</x:v>
      </x:c>
      <x:c r="G1632" s="89"/>
      <x:c r="H1632" s="89" t="n">
        <x:v>45825.202569444446</x:v>
      </x:c>
      <x:c r="I1632" s="89"/>
      <x:c r="J1632" s="84" t="str">
        <x:v>Baixa</x:v>
      </x:c>
      <x:c r="K1632" s="84" t="str">
        <x:v>Em execução</x:v>
      </x:c>
      <x:c r="L1632" s="84" t="str">
        <x:v>Baixa pressão</x:v>
      </x:c>
      <x:c r="M1632" s="84" t="str">
        <x:v>Conexão frouxa</x:v>
      </x:c>
      <x:c r="N1632" s="84"/>
      <x:c r="O1632" s="84" t="n">
        <x:v>0</x:v>
      </x:c>
      <x:c r="P1632" s="93" t="n">
        <x:v>469.35</x:v>
      </x:c>
      <x:c r="Q1632" s="93" t="n">
        <x:v>9169.75</x:v>
      </x:c>
      <x:c r="R1632" s="91" t="n">
        <x:v>2029.47</x:v>
      </x:c>
    </x:row>
    <x:row r="1633">
      <x:c r="A1633" s="83" t="n">
        <x:v>1632</x:v>
      </x:c>
      <x:c r="B1633" s="84" t="str">
        <x:v>OS-2025-01632</x:v>
      </x:c>
      <x:c r="C1633" s="84" t="n">
        <x:v>29</x:v>
      </x:c>
      <x:c r="D1633" s="84" t="n">
        <x:v>4</x:v>
      </x:c>
      <x:c r="E1633" s="84"/>
      <x:c r="F1633" s="89" t="n">
        <x:v>45993.5643287037</x:v>
      </x:c>
      <x:c r="G1633" s="89" t="n">
        <x:v>46008.5643287037</x:v>
      </x:c>
      <x:c r="H1633" s="89" t="n">
        <x:v>45993.85599537037</x:v>
      </x:c>
      <x:c r="I1633" s="89" t="n">
        <x:v>45994.02266203704</x:v>
      </x:c>
      <x:c r="J1633" s="84" t="str">
        <x:v>Média</x:v>
      </x:c>
      <x:c r="K1633" s="84" t="str">
        <x:v>Encerrada</x:v>
      </x:c>
      <x:c r="L1633" s="84" t="str">
        <x:v>Desalinhamento</x:v>
      </x:c>
      <x:c r="M1633" s="84" t="str">
        <x:v>Ajuste incorreto</x:v>
      </x:c>
      <x:c r="N1633" s="84" t="str">
        <x:v>Componente ajustado ou substituído</x:v>
      </x:c>
      <x:c r="O1633" s="84" t="n">
        <x:v>0</x:v>
      </x:c>
      <x:c r="P1633" s="93" t="n">
        <x:v>284.53</x:v>
      </x:c>
      <x:c r="Q1633" s="93" t="n">
        <x:v>5258.55</x:v>
      </x:c>
      <x:c r="R1633" s="91" t="n">
        <x:v>0</x:v>
      </x:c>
    </x:row>
    <x:row r="1634">
      <x:c r="A1634" s="83" t="n">
        <x:v>1633</x:v>
      </x:c>
      <x:c r="B1634" s="84" t="str">
        <x:v>OS-2023-01633</x:v>
      </x:c>
      <x:c r="C1634" s="84" t="n">
        <x:v>53</x:v>
      </x:c>
      <x:c r="D1634" s="84" t="n">
        <x:v>7</x:v>
      </x:c>
      <x:c r="E1634" s="84" t="n">
        <x:v>106</x:v>
      </x:c>
      <x:c r="F1634" s="89" t="n">
        <x:v>45155.96921296296</x:v>
      </x:c>
      <x:c r="G1634" s="89" t="n">
        <x:v>45156.96921296296</x:v>
      </x:c>
      <x:c r="H1634" s="89" t="n">
        <x:v>45157.635879629626</x:v>
      </x:c>
      <x:c r="I1634" s="89"/>
      <x:c r="J1634" s="84" t="str">
        <x:v>Baixa</x:v>
      </x:c>
      <x:c r="K1634" s="84" t="str">
        <x:v>Aguardando peça</x:v>
      </x:c>
      <x:c r="L1634" s="84" t="str">
        <x:v>Falha elétrica</x:v>
      </x:c>
      <x:c r="M1634" s="84" t="str">
        <x:v>Conexão frouxa</x:v>
      </x:c>
      <x:c r="N1634" s="84"/>
      <x:c r="O1634" s="84" t="n">
        <x:v>0</x:v>
      </x:c>
      <x:c r="P1634" s="93" t="n">
        <x:v>594.17</x:v>
      </x:c>
      <x:c r="Q1634" s="93" t="n">
        <x:v>7457.89</x:v>
      </x:c>
      <x:c r="R1634" s="91" t="n">
        <x:v>0</x:v>
      </x:c>
    </x:row>
    <x:row r="1635">
      <x:c r="A1635" s="83" t="n">
        <x:v>1634</x:v>
      </x:c>
      <x:c r="B1635" s="84" t="str">
        <x:v>OS-2023-01634</x:v>
      </x:c>
      <x:c r="C1635" s="84" t="n">
        <x:v>22</x:v>
      </x:c>
      <x:c r="D1635" s="84" t="n">
        <x:v>2</x:v>
      </x:c>
      <x:c r="E1635" s="84"/>
      <x:c r="F1635" s="89" t="n">
        <x:v>44929.20978009259</x:v>
      </x:c>
      <x:c r="G1635" s="89" t="n">
        <x:v>44943.20978009259</x:v>
      </x:c>
      <x:c r="H1635" s="89" t="n">
        <x:v>44932.12644675926</x:v>
      </x:c>
      <x:c r="I1635" s="89" t="n">
        <x:v>44932.87644675926</x:v>
      </x:c>
      <x:c r="J1635" s="84" t="str">
        <x:v>Baixa</x:v>
      </x:c>
      <x:c r="K1635" s="84" t="str">
        <x:v>Encerrada</x:v>
      </x:c>
      <x:c r="L1635" s="84" t="str">
        <x:v>Baixa pressão</x:v>
      </x:c>
      <x:c r="M1635" s="84" t="str">
        <x:v>Desgaste natural</x:v>
      </x:c>
      <x:c r="N1635" s="84" t="str">
        <x:v>Componente ajustado ou substituído</x:v>
      </x:c>
      <x:c r="O1635" s="84" t="n">
        <x:v>0</x:v>
      </x:c>
      <x:c r="P1635" s="93" t="n">
        <x:v>432.65</x:v>
      </x:c>
      <x:c r="Q1635" s="93" t="n">
        <x:v>2221.16</x:v>
      </x:c>
      <x:c r="R1635" s="91" t="n">
        <x:v>0</x:v>
      </x:c>
    </x:row>
    <x:row r="1636">
      <x:c r="A1636" s="83" t="n">
        <x:v>1635</x:v>
      </x:c>
      <x:c r="B1636" s="84" t="str">
        <x:v>OS-2023-01635</x:v>
      </x:c>
      <x:c r="C1636" s="84" t="n">
        <x:v>51</x:v>
      </x:c>
      <x:c r="D1636" s="84" t="n">
        <x:v>2</x:v>
      </x:c>
      <x:c r="E1636" s="84"/>
      <x:c r="F1636" s="89" t="n">
        <x:v>45176.12625</x:v>
      </x:c>
      <x:c r="G1636" s="89" t="n">
        <x:v>45189.12625</x:v>
      </x:c>
      <x:c r="H1636" s="89" t="n">
        <x:v>45178.37625</x:v>
      </x:c>
      <x:c r="I1636" s="89" t="n">
        <x:v>45178.417916666665</x:v>
      </x:c>
      <x:c r="J1636" s="84" t="str">
        <x:v>Baixa</x:v>
      </x:c>
      <x:c r="K1636" s="84" t="str">
        <x:v>Concluída</x:v>
      </x:c>
      <x:c r="L1636" s="84" t="str">
        <x:v>Alarme intermitente</x:v>
      </x:c>
      <x:c r="M1636" s="84" t="str">
        <x:v>Contaminação</x:v>
      </x:c>
      <x:c r="N1636" s="84" t="str">
        <x:v>Componente ajustado ou substituído</x:v>
      </x:c>
      <x:c r="O1636" s="84" t="n">
        <x:v>0</x:v>
      </x:c>
      <x:c r="P1636" s="93" t="n">
        <x:v>744.61</x:v>
      </x:c>
      <x:c r="Q1636" s="93" t="n">
        <x:v>9306.15</x:v>
      </x:c>
      <x:c r="R1636" s="91" t="n">
        <x:v>0</x:v>
      </x:c>
    </x:row>
    <x:row r="1637">
      <x:c r="A1637" s="83" t="n">
        <x:v>1636</x:v>
      </x:c>
      <x:c r="B1637" s="84" t="str">
        <x:v>OS-2024-01636</x:v>
      </x:c>
      <x:c r="C1637" s="84" t="n">
        <x:v>41</x:v>
      </x:c>
      <x:c r="D1637" s="84" t="n">
        <x:v>1</x:v>
      </x:c>
      <x:c r="E1637" s="84" t="n">
        <x:v>81</x:v>
      </x:c>
      <x:c r="F1637" s="89" t="n">
        <x:v>45345.9015162037</x:v>
      </x:c>
      <x:c r="G1637" s="89" t="n">
        <x:v>45360.9015162037</x:v>
      </x:c>
      <x:c r="H1637" s="89" t="n">
        <x:v>45347.98484953704</x:v>
      </x:c>
      <x:c r="I1637" s="89" t="n">
        <x:v>45348.31818287037</x:v>
      </x:c>
      <x:c r="J1637" s="84" t="str">
        <x:v>Baixa</x:v>
      </x:c>
      <x:c r="K1637" s="84" t="str">
        <x:v>Encerrada</x:v>
      </x:c>
      <x:c r="L1637" s="84" t="str">
        <x:v>Baixa pressão</x:v>
      </x:c>
      <x:c r="M1637" s="84" t="str">
        <x:v>Ajuste incorreto</x:v>
      </x:c>
      <x:c r="N1637" s="84" t="str">
        <x:v>Componente ajustado ou substituído</x:v>
      </x:c>
      <x:c r="O1637" s="84" t="n">
        <x:v>0</x:v>
      </x:c>
      <x:c r="P1637" s="93" t="n">
        <x:v>644.05</x:v>
      </x:c>
      <x:c r="Q1637" s="93" t="n">
        <x:v>2067.42</x:v>
      </x:c>
      <x:c r="R1637" s="91" t="n">
        <x:v>0</x:v>
      </x:c>
    </x:row>
    <x:row r="1638">
      <x:c r="A1638" s="83" t="n">
        <x:v>1637</x:v>
      </x:c>
      <x:c r="B1638" s="84" t="str">
        <x:v>OS-2024-01637</x:v>
      </x:c>
      <x:c r="C1638" s="84" t="n">
        <x:v>18</x:v>
      </x:c>
      <x:c r="D1638" s="84" t="n">
        <x:v>9</x:v>
      </x:c>
      <x:c r="E1638" s="84"/>
      <x:c r="F1638" s="89" t="n">
        <x:v>45358.49793981481</x:v>
      </x:c>
      <x:c r="G1638" s="89" t="n">
        <x:v>45359.49793981481</x:v>
      </x:c>
      <x:c r="H1638" s="89" t="n">
        <x:v>45361.12293981481</x:v>
      </x:c>
      <x:c r="I1638" s="89" t="n">
        <x:v>45361.664606481485</x:v>
      </x:c>
      <x:c r="J1638" s="84" t="str">
        <x:v>Média</x:v>
      </x:c>
      <x:c r="K1638" s="84" t="str">
        <x:v>Encerrada</x:v>
      </x:c>
      <x:c r="L1638" s="84" t="str">
        <x:v>Desalinhamento</x:v>
      </x:c>
      <x:c r="M1638" s="84" t="str">
        <x:v>Desgaste natural</x:v>
      </x:c>
      <x:c r="N1638" s="84" t="str">
        <x:v>Componente ajustado ou substituído</x:v>
      </x:c>
      <x:c r="O1638" s="84" t="n">
        <x:v>0</x:v>
      </x:c>
      <x:c r="P1638" s="93" t="n">
        <x:v>199</x:v>
      </x:c>
      <x:c r="Q1638" s="93" t="n">
        <x:v>0</x:v>
      </x:c>
      <x:c r="R1638" s="91" t="n">
        <x:v>0</x:v>
      </x:c>
    </x:row>
    <x:row r="1639">
      <x:c r="A1639" s="83" t="n">
        <x:v>1638</x:v>
      </x:c>
      <x:c r="B1639" s="84" t="str">
        <x:v>OS-2023-01638</x:v>
      </x:c>
      <x:c r="C1639" s="84" t="n">
        <x:v>67</x:v>
      </x:c>
      <x:c r="D1639" s="84" t="n">
        <x:v>1</x:v>
      </x:c>
      <x:c r="E1639" s="84" t="n">
        <x:v>133</x:v>
      </x:c>
      <x:c r="F1639" s="89" t="n">
        <x:v>44944.04690972222</x:v>
      </x:c>
      <x:c r="G1639" s="89" t="n">
        <x:v>44944.04690972222</x:v>
      </x:c>
      <x:c r="H1639" s="89" t="n">
        <x:v>44946.00524305556</x:v>
      </x:c>
      <x:c r="I1639" s="89" t="n">
        <x:v>44946.79690972222</x:v>
      </x:c>
      <x:c r="J1639" s="84" t="str">
        <x:v>Baixa</x:v>
      </x:c>
      <x:c r="K1639" s="84" t="str">
        <x:v>Encerrada</x:v>
      </x:c>
      <x:c r="L1639" s="84" t="str">
        <x:v>Baixa pressão</x:v>
      </x:c>
      <x:c r="M1639" s="84" t="str">
        <x:v>Contaminação</x:v>
      </x:c>
      <x:c r="N1639" s="84" t="str">
        <x:v>Componente ajustado ou substituído</x:v>
      </x:c>
      <x:c r="O1639" s="84" t="n">
        <x:v>0</x:v>
      </x:c>
      <x:c r="P1639" s="93" t="n">
        <x:v>343.5</x:v>
      </x:c>
      <x:c r="Q1639" s="93" t="n">
        <x:v>7032.37</x:v>
      </x:c>
      <x:c r="R1639" s="91" t="n">
        <x:v>0</x:v>
      </x:c>
    </x:row>
    <x:row r="1640">
      <x:c r="A1640" s="83" t="n">
        <x:v>1639</x:v>
      </x:c>
      <x:c r="B1640" s="84" t="str">
        <x:v>OS-2023-01639</x:v>
      </x:c>
      <x:c r="C1640" s="84" t="n">
        <x:v>26</x:v>
      </x:c>
      <x:c r="D1640" s="84" t="n">
        <x:v>7</x:v>
      </x:c>
      <x:c r="E1640" s="84" t="n">
        <x:v>51</x:v>
      </x:c>
      <x:c r="F1640" s="89" t="n">
        <x:v>45216.96650462963</x:v>
      </x:c>
      <x:c r="G1640" s="89" t="n">
        <x:v>45224.96650462963</x:v>
      </x:c>
      <x:c r="H1640" s="89" t="n">
        <x:v>45218.38317129629</x:v>
      </x:c>
      <x:c r="I1640" s="89" t="n">
        <x:v>45218.88317129629</x:v>
      </x:c>
      <x:c r="J1640" s="84" t="str">
        <x:v>Alta</x:v>
      </x:c>
      <x:c r="K1640" s="84" t="str">
        <x:v>Encerrada</x:v>
      </x:c>
      <x:c r="L1640" s="84" t="str">
        <x:v>Superaquecimento</x:v>
      </x:c>
      <x:c r="M1640" s="84" t="str">
        <x:v>Ajuste incorreto</x:v>
      </x:c>
      <x:c r="N1640" s="84" t="str">
        <x:v>Componente ajustado ou substituído</x:v>
      </x:c>
      <x:c r="O1640" s="84" t="n">
        <x:v>0</x:v>
      </x:c>
      <x:c r="P1640" s="93" t="n">
        <x:v>90.72</x:v>
      </x:c>
      <x:c r="Q1640" s="93" t="n">
        <x:v>0</x:v>
      </x:c>
      <x:c r="R1640" s="91" t="n">
        <x:v>4686.45</x:v>
      </x:c>
    </x:row>
    <x:row r="1641">
      <x:c r="A1641" s="83" t="n">
        <x:v>1640</x:v>
      </x:c>
      <x:c r="B1641" s="84" t="str">
        <x:v>OS-2025-01640</x:v>
      </x:c>
      <x:c r="C1641" s="84" t="n">
        <x:v>68</x:v>
      </x:c>
      <x:c r="D1641" s="84" t="n">
        <x:v>2</x:v>
      </x:c>
      <x:c r="E1641" s="84"/>
      <x:c r="F1641" s="89" t="n">
        <x:v>45895.10775462963</x:v>
      </x:c>
      <x:c r="G1641" s="89" t="n">
        <x:v>45902.10775462963</x:v>
      </x:c>
      <x:c r="H1641" s="89"/>
      <x:c r="I1641" s="89"/>
      <x:c r="J1641" s="84" t="str">
        <x:v>Crítica</x:v>
      </x:c>
      <x:c r="K1641" s="84" t="str">
        <x:v>Planejada</x:v>
      </x:c>
      <x:c r="L1641" s="84" t="str">
        <x:v>Falha elétrica</x:v>
      </x:c>
      <x:c r="M1641" s="84"/>
      <x:c r="N1641" s="84"/>
      <x:c r="O1641" s="84" t="n">
        <x:v>0</x:v>
      </x:c>
      <x:c r="P1641" s="93" t="n">
        <x:v>0</x:v>
      </x:c>
      <x:c r="Q1641" s="93" t="n">
        <x:v>0</x:v>
      </x:c>
      <x:c r="R1641" s="91" t="n">
        <x:v>0</x:v>
      </x:c>
    </x:row>
    <x:row r="1642">
      <x:c r="A1642" s="83" t="n">
        <x:v>1641</x:v>
      </x:c>
      <x:c r="B1642" s="84" t="str">
        <x:v>OS-2024-01641</x:v>
      </x:c>
      <x:c r="C1642" s="84" t="n">
        <x:v>44</x:v>
      </x:c>
      <x:c r="D1642" s="84" t="n">
        <x:v>8</x:v>
      </x:c>
      <x:c r="E1642" s="84"/>
      <x:c r="F1642" s="89" t="n">
        <x:v>45544.19949074074</x:v>
      </x:c>
      <x:c r="G1642" s="89" t="n">
        <x:v>45557.19949074074</x:v>
      </x:c>
      <x:c r="H1642" s="89" t="n">
        <x:v>45545.65782407407</x:v>
      </x:c>
      <x:c r="I1642" s="89" t="n">
        <x:v>45546.40782407407</x:v>
      </x:c>
      <x:c r="J1642" s="84" t="str">
        <x:v>Crítica</x:v>
      </x:c>
      <x:c r="K1642" s="84" t="str">
        <x:v>Encerrada</x:v>
      </x:c>
      <x:c r="L1642" s="84" t="str">
        <x:v>Alarme intermitente</x:v>
      </x:c>
      <x:c r="M1642" s="84" t="str">
        <x:v>Componente danificado</x:v>
      </x:c>
      <x:c r="N1642" s="84" t="str">
        <x:v>Componente ajustado ou substituído</x:v>
      </x:c>
      <x:c r="O1642" s="84" t="n">
        <x:v>0</x:v>
      </x:c>
      <x:c r="P1642" s="93" t="n">
        <x:v>436.38</x:v>
      </x:c>
      <x:c r="Q1642" s="93" t="n">
        <x:v>6110.44</x:v>
      </x:c>
      <x:c r="R1642" s="91" t="n">
        <x:v>0</x:v>
      </x:c>
    </x:row>
    <x:row r="1643">
      <x:c r="A1643" s="83" t="n">
        <x:v>1642</x:v>
      </x:c>
      <x:c r="B1643" s="84" t="str">
        <x:v>OS-2023-01642</x:v>
      </x:c>
      <x:c r="C1643" s="84" t="n">
        <x:v>84</x:v>
      </x:c>
      <x:c r="D1643" s="84" t="n">
        <x:v>7</x:v>
      </x:c>
      <x:c r="E1643" s="84" t="n">
        <x:v>167</x:v>
      </x:c>
      <x:c r="F1643" s="89" t="n">
        <x:v>45035.43880787037</x:v>
      </x:c>
      <x:c r="G1643" s="89" t="n">
        <x:v>45039.43880787037</x:v>
      </x:c>
      <x:c r="H1643" s="89" t="n">
        <x:v>45036.730474537035</x:v>
      </x:c>
      <x:c r="I1643" s="89" t="n">
        <x:v>45037.397141203706</x:v>
      </x:c>
      <x:c r="J1643" s="84" t="str">
        <x:v>Alta</x:v>
      </x:c>
      <x:c r="K1643" s="84" t="str">
        <x:v>Encerrada</x:v>
      </x:c>
      <x:c r="L1643" s="84" t="str">
        <x:v>Ruído anormal</x:v>
      </x:c>
      <x:c r="M1643" s="84" t="str">
        <x:v>Ajuste incorreto</x:v>
      </x:c>
      <x:c r="N1643" s="84" t="str">
        <x:v>Componente ajustado ou substituído</x:v>
      </x:c>
      <x:c r="O1643" s="84" t="n">
        <x:v>0</x:v>
      </x:c>
      <x:c r="P1643" s="93" t="n">
        <x:v>211.52</x:v>
      </x:c>
      <x:c r="Q1643" s="93" t="n">
        <x:v>4268.87</x:v>
      </x:c>
      <x:c r="R1643" s="91" t="n">
        <x:v>0</x:v>
      </x:c>
    </x:row>
    <x:row r="1644">
      <x:c r="A1644" s="83" t="n">
        <x:v>1643</x:v>
      </x:c>
      <x:c r="B1644" s="84" t="str">
        <x:v>OS-2023-01643</x:v>
      </x:c>
      <x:c r="C1644" s="84" t="n">
        <x:v>52</x:v>
      </x:c>
      <x:c r="D1644" s="84" t="n">
        <x:v>5</x:v>
      </x:c>
      <x:c r="E1644" s="84" t="n">
        <x:v>103</x:v>
      </x:c>
      <x:c r="F1644" s="89" t="n">
        <x:v>45235.37322916667</x:v>
      </x:c>
      <x:c r="G1644" s="89" t="n">
        <x:v>45243.37322916667</x:v>
      </x:c>
      <x:c r="H1644" s="89" t="n">
        <x:v>45235.41489583333</x:v>
      </x:c>
      <x:c r="I1644" s="89" t="n">
        <x:v>45235.62322916667</x:v>
      </x:c>
      <x:c r="J1644" s="84" t="str">
        <x:v>Média</x:v>
      </x:c>
      <x:c r="K1644" s="84" t="str">
        <x:v>Concluída</x:v>
      </x:c>
      <x:c r="L1644" s="84" t="str">
        <x:v>Vazamento</x:v>
      </x:c>
      <x:c r="M1644" s="84" t="str">
        <x:v>Contaminação</x:v>
      </x:c>
      <x:c r="N1644" s="84" t="str">
        <x:v>Componente ajustado ou substituído</x:v>
      </x:c>
      <x:c r="O1644" s="84" t="n">
        <x:v>0</x:v>
      </x:c>
      <x:c r="P1644" s="93" t="n">
        <x:v>329.94</x:v>
      </x:c>
      <x:c r="Q1644" s="93" t="n">
        <x:v>13530.2</x:v>
      </x:c>
      <x:c r="R1644" s="91" t="n">
        <x:v>0</x:v>
      </x:c>
    </x:row>
    <x:row r="1645">
      <x:c r="A1645" s="83" t="n">
        <x:v>1644</x:v>
      </x:c>
      <x:c r="B1645" s="84" t="str">
        <x:v>OS-2024-01644</x:v>
      </x:c>
      <x:c r="C1645" s="84" t="n">
        <x:v>31</x:v>
      </x:c>
      <x:c r="D1645" s="84" t="n">
        <x:v>1</x:v>
      </x:c>
      <x:c r="E1645" s="84" t="n">
        <x:v>61</x:v>
      </x:c>
      <x:c r="F1645" s="89" t="n">
        <x:v>45415.242210648146</x:v>
      </x:c>
      <x:c r="G1645" s="89" t="n">
        <x:v>45429.242210648146</x:v>
      </x:c>
      <x:c r="H1645" s="89" t="n">
        <x:v>45417.742210648146</x:v>
      </x:c>
      <x:c r="I1645" s="89" t="n">
        <x:v>45417.78387731482</x:v>
      </x:c>
      <x:c r="J1645" s="84" t="str">
        <x:v>Baixa</x:v>
      </x:c>
      <x:c r="K1645" s="84" t="str">
        <x:v>Encerrada</x:v>
      </x:c>
      <x:c r="L1645" s="84" t="str">
        <x:v>Baixa pressão</x:v>
      </x:c>
      <x:c r="M1645" s="84" t="str">
        <x:v>Ajuste incorreto</x:v>
      </x:c>
      <x:c r="N1645" s="84" t="str">
        <x:v>Componente ajustado ou substituído</x:v>
      </x:c>
      <x:c r="O1645" s="84" t="n">
        <x:v>0</x:v>
      </x:c>
      <x:c r="P1645" s="93" t="n">
        <x:v>139.37</x:v>
      </x:c>
      <x:c r="Q1645" s="93" t="n">
        <x:v>0</x:v>
      </x:c>
      <x:c r="R1645" s="91" t="n">
        <x:v>0</x:v>
      </x:c>
    </x:row>
    <x:row r="1646">
      <x:c r="A1646" s="83" t="n">
        <x:v>1645</x:v>
      </x:c>
      <x:c r="B1646" s="84" t="str">
        <x:v>OS-2025-01645</x:v>
      </x:c>
      <x:c r="C1646" s="84" t="n">
        <x:v>35</x:v>
      </x:c>
      <x:c r="D1646" s="84" t="n">
        <x:v>1</x:v>
      </x:c>
      <x:c r="E1646" s="84" t="n">
        <x:v>70</x:v>
      </x:c>
      <x:c r="F1646" s="89" t="n">
        <x:v>45901.33935185185</x:v>
      </x:c>
      <x:c r="G1646" s="89" t="n">
        <x:v>45901.33935185185</x:v>
      </x:c>
      <x:c r="H1646" s="89" t="n">
        <x:v>45902.46435185185</x:v>
      </x:c>
      <x:c r="I1646" s="89" t="n">
        <x:v>45902.63101851852</x:v>
      </x:c>
      <x:c r="J1646" s="84" t="str">
        <x:v>Baixa</x:v>
      </x:c>
      <x:c r="K1646" s="84" t="str">
        <x:v>Encerrada</x:v>
      </x:c>
      <x:c r="L1646" s="84" t="str">
        <x:v>Ruído anormal</x:v>
      </x:c>
      <x:c r="M1646" s="84" t="str">
        <x:v>Falta de lubrificação</x:v>
      </x:c>
      <x:c r="N1646" s="84" t="str">
        <x:v>Componente ajustado ou substituído</x:v>
      </x:c>
      <x:c r="O1646" s="84" t="n">
        <x:v>0</x:v>
      </x:c>
      <x:c r="P1646" s="93" t="n">
        <x:v>268.36</x:v>
      </x:c>
      <x:c r="Q1646" s="93" t="n">
        <x:v>6453</x:v>
      </x:c>
      <x:c r="R1646" s="91" t="n">
        <x:v>0</x:v>
      </x:c>
    </x:row>
    <x:row r="1647">
      <x:c r="A1647" s="83" t="n">
        <x:v>1646</x:v>
      </x:c>
      <x:c r="B1647" s="84" t="str">
        <x:v>OS-2024-01646</x:v>
      </x:c>
      <x:c r="C1647" s="84" t="n">
        <x:v>76</x:v>
      </x:c>
      <x:c r="D1647" s="84" t="n">
        <x:v>2</x:v>
      </x:c>
      <x:c r="E1647" s="84"/>
      <x:c r="F1647" s="89" t="n">
        <x:v>45365.3409375</x:v>
      </x:c>
      <x:c r="G1647" s="89" t="n">
        <x:v>45373.3409375</x:v>
      </x:c>
      <x:c r="H1647" s="89" t="n">
        <x:v>45367.8409375</x:v>
      </x:c>
      <x:c r="I1647" s="89" t="n">
        <x:v>45368.2159375</x:v>
      </x:c>
      <x:c r="J1647" s="84" t="str">
        <x:v>Alta</x:v>
      </x:c>
      <x:c r="K1647" s="84" t="str">
        <x:v>Concluída</x:v>
      </x:c>
      <x:c r="L1647" s="84" t="str">
        <x:v>Vazamento</x:v>
      </x:c>
      <x:c r="M1647" s="84" t="str">
        <x:v>Ajuste incorreto</x:v>
      </x:c>
      <x:c r="N1647" s="84" t="str">
        <x:v>Componente ajustado ou substituído</x:v>
      </x:c>
      <x:c r="O1647" s="84" t="n">
        <x:v>0</x:v>
      </x:c>
      <x:c r="P1647" s="93" t="n">
        <x:v>398.9</x:v>
      </x:c>
      <x:c r="Q1647" s="93" t="n">
        <x:v>9434.91</x:v>
      </x:c>
      <x:c r="R1647" s="91" t="n">
        <x:v>0</x:v>
      </x:c>
    </x:row>
    <x:row r="1648">
      <x:c r="A1648" s="83" t="n">
        <x:v>1647</x:v>
      </x:c>
      <x:c r="B1648" s="84" t="str">
        <x:v>OS-2025-01647</x:v>
      </x:c>
      <x:c r="C1648" s="84" t="n">
        <x:v>38</x:v>
      </x:c>
      <x:c r="D1648" s="84" t="n">
        <x:v>3</x:v>
      </x:c>
      <x:c r="E1648" s="84"/>
      <x:c r="F1648" s="89" t="n">
        <x:v>45686.75349537037</x:v>
      </x:c>
      <x:c r="G1648" s="89"/>
      <x:c r="H1648" s="89" t="n">
        <x:v>45687.17016203704</x:v>
      </x:c>
      <x:c r="I1648" s="89" t="n">
        <x:v>45687.67016203704</x:v>
      </x:c>
      <x:c r="J1648" s="84" t="str">
        <x:v>Alta</x:v>
      </x:c>
      <x:c r="K1648" s="84" t="str">
        <x:v>Concluída</x:v>
      </x:c>
      <x:c r="L1648" s="84" t="str">
        <x:v>Alarme intermitente</x:v>
      </x:c>
      <x:c r="M1648" s="84" t="str">
        <x:v>Contaminação</x:v>
      </x:c>
      <x:c r="N1648" s="84" t="str">
        <x:v>Componente ajustado ou substituído</x:v>
      </x:c>
      <x:c r="O1648" s="84" t="n">
        <x:v>0</x:v>
      </x:c>
      <x:c r="P1648" s="93" t="n">
        <x:v>260.29</x:v>
      </x:c>
      <x:c r="Q1648" s="93" t="n">
        <x:v>0</x:v>
      </x:c>
      <x:c r="R1648" s="91" t="n">
        <x:v>0</x:v>
      </x:c>
    </x:row>
    <x:row r="1649">
      <x:c r="A1649" s="83" t="n">
        <x:v>1648</x:v>
      </x:c>
      <x:c r="B1649" s="84" t="str">
        <x:v>OS-2024-01648</x:v>
      </x:c>
      <x:c r="C1649" s="84" t="n">
        <x:v>20</x:v>
      </x:c>
      <x:c r="D1649" s="84" t="n">
        <x:v>3</x:v>
      </x:c>
      <x:c r="E1649" s="84"/>
      <x:c r="F1649" s="89" t="n">
        <x:v>45525.29083333333</x:v>
      </x:c>
      <x:c r="G1649" s="89"/>
      <x:c r="H1649" s="89" t="n">
        <x:v>45526.8325</x:v>
      </x:c>
      <x:c r="I1649" s="89" t="n">
        <x:v>45527.5825</x:v>
      </x:c>
      <x:c r="J1649" s="84" t="str">
        <x:v>Crítica</x:v>
      </x:c>
      <x:c r="K1649" s="84" t="str">
        <x:v>Concluída</x:v>
      </x:c>
      <x:c r="L1649" s="84" t="str">
        <x:v>Baixa pressão</x:v>
      </x:c>
      <x:c r="M1649" s="84" t="str">
        <x:v>Desgaste natural</x:v>
      </x:c>
      <x:c r="N1649" s="84" t="str">
        <x:v>Componente ajustado ou substituído</x:v>
      </x:c>
      <x:c r="O1649" s="84" t="n">
        <x:v>1</x:v>
      </x:c>
      <x:c r="P1649" s="93" t="n">
        <x:v>465.06</x:v>
      </x:c>
      <x:c r="Q1649" s="93" t="n">
        <x:v>0</x:v>
      </x:c>
      <x:c r="R1649" s="91" t="n">
        <x:v>0</x:v>
      </x:c>
    </x:row>
    <x:row r="1650">
      <x:c r="A1650" s="83" t="n">
        <x:v>1649</x:v>
      </x:c>
      <x:c r="B1650" s="84" t="str">
        <x:v>OS-2025-01649</x:v>
      </x:c>
      <x:c r="C1650" s="84" t="n">
        <x:v>1</x:v>
      </x:c>
      <x:c r="D1650" s="84" t="n">
        <x:v>5</x:v>
      </x:c>
      <x:c r="E1650" s="84" t="n">
        <x:v>1</x:v>
      </x:c>
      <x:c r="F1650" s="89" t="n">
        <x:v>45847.50965277778</x:v>
      </x:c>
      <x:c r="G1650" s="89" t="n">
        <x:v>45861.50965277778</x:v>
      </x:c>
      <x:c r="H1650" s="89" t="n">
        <x:v>45850.467986111114</x:v>
      </x:c>
      <x:c r="I1650" s="89" t="n">
        <x:v>45850.92631944444</x:v>
      </x:c>
      <x:c r="J1650" s="84" t="str">
        <x:v>Média</x:v>
      </x:c>
      <x:c r="K1650" s="84" t="str">
        <x:v>Concluída</x:v>
      </x:c>
      <x:c r="L1650" s="84" t="str">
        <x:v>Falha elétrica</x:v>
      </x:c>
      <x:c r="M1650" s="84" t="str">
        <x:v>Componente danificado</x:v>
      </x:c>
      <x:c r="N1650" s="84" t="str">
        <x:v>Componente ajustado ou substituído</x:v>
      </x:c>
      <x:c r="O1650" s="84" t="n">
        <x:v>0</x:v>
      </x:c>
      <x:c r="P1650" s="93" t="n">
        <x:v>196.76</x:v>
      </x:c>
      <x:c r="Q1650" s="93" t="n">
        <x:v>2461.41</x:v>
      </x:c>
      <x:c r="R1650" s="91" t="n">
        <x:v>0</x:v>
      </x:c>
    </x:row>
    <x:row r="1651">
      <x:c r="A1651" s="83" t="n">
        <x:v>1650</x:v>
      </x:c>
      <x:c r="B1651" s="84" t="str">
        <x:v>OS-2025-01650</x:v>
      </x:c>
      <x:c r="C1651" s="84" t="n">
        <x:v>77</x:v>
      </x:c>
      <x:c r="D1651" s="84" t="n">
        <x:v>2</x:v>
      </x:c>
      <x:c r="E1651" s="84"/>
      <x:c r="F1651" s="89" t="n">
        <x:v>45931.433217592596</x:v>
      </x:c>
      <x:c r="G1651" s="89" t="n">
        <x:v>45942.433217592596</x:v>
      </x:c>
      <x:c r="H1651" s="89" t="n">
        <x:v>45934.266550925924</x:v>
      </x:c>
      <x:c r="I1651" s="89" t="n">
        <x:v>45935.09988425926</x:v>
      </x:c>
      <x:c r="J1651" s="84" t="str">
        <x:v>Crítica</x:v>
      </x:c>
      <x:c r="K1651" s="84" t="str">
        <x:v>Encerrada</x:v>
      </x:c>
      <x:c r="L1651" s="84" t="str">
        <x:v>Vazamento</x:v>
      </x:c>
      <x:c r="M1651" s="84" t="str">
        <x:v>Componente danificado</x:v>
      </x:c>
      <x:c r="N1651" s="84" t="str">
        <x:v>Componente ajustado ou substituído</x:v>
      </x:c>
      <x:c r="O1651" s="84" t="n">
        <x:v>0</x:v>
      </x:c>
      <x:c r="P1651" s="93" t="n">
        <x:v>437.28</x:v>
      </x:c>
      <x:c r="Q1651" s="93" t="n">
        <x:v>9841.88</x:v>
      </x:c>
      <x:c r="R1651" s="91" t="n">
        <x:v>0</x:v>
      </x:c>
    </x:row>
    <x:row r="1652">
      <x:c r="A1652" s="83" t="n">
        <x:v>1651</x:v>
      </x:c>
      <x:c r="B1652" s="84" t="str">
        <x:v>OS-2024-01651</x:v>
      </x:c>
      <x:c r="C1652" s="84" t="n">
        <x:v>72</x:v>
      </x:c>
      <x:c r="D1652" s="84" t="n">
        <x:v>2</x:v>
      </x:c>
      <x:c r="E1652" s="84"/>
      <x:c r="F1652" s="89" t="n">
        <x:v>45582.24344907407</x:v>
      </x:c>
      <x:c r="G1652" s="89" t="n">
        <x:v>45591.24344907407</x:v>
      </x:c>
      <x:c r="H1652" s="89"/>
      <x:c r="I1652" s="89"/>
      <x:c r="J1652" s="84" t="str">
        <x:v>Crítica</x:v>
      </x:c>
      <x:c r="K1652" s="84" t="str">
        <x:v>Planejada</x:v>
      </x:c>
      <x:c r="L1652" s="84" t="str">
        <x:v>Baixa pressão</x:v>
      </x:c>
      <x:c r="M1652" s="84"/>
      <x:c r="N1652" s="84"/>
      <x:c r="O1652" s="84" t="n">
        <x:v>0</x:v>
      </x:c>
      <x:c r="P1652" s="93" t="n">
        <x:v>0</x:v>
      </x:c>
      <x:c r="Q1652" s="93" t="n">
        <x:v>0</x:v>
      </x:c>
      <x:c r="R1652" s="91" t="n">
        <x:v>0</x:v>
      </x:c>
    </x:row>
    <x:row r="1653">
      <x:c r="A1653" s="83" t="n">
        <x:v>1652</x:v>
      </x:c>
      <x:c r="B1653" s="84" t="str">
        <x:v>OS-2023-01652</x:v>
      </x:c>
      <x:c r="C1653" s="84" t="n">
        <x:v>30</x:v>
      </x:c>
      <x:c r="D1653" s="84" t="n">
        <x:v>2</x:v>
      </x:c>
      <x:c r="E1653" s="84"/>
      <x:c r="F1653" s="89" t="n">
        <x:v>45124.05196759259</x:v>
      </x:c>
      <x:c r="G1653" s="89" t="n">
        <x:v>45127.05196759259</x:v>
      </x:c>
      <x:c r="H1653" s="89" t="n">
        <x:v>45125.46863425926</x:v>
      </x:c>
      <x:c r="I1653" s="89" t="n">
        <x:v>45125.67696759259</x:v>
      </x:c>
      <x:c r="J1653" s="84" t="str">
        <x:v>Crítica</x:v>
      </x:c>
      <x:c r="K1653" s="84" t="str">
        <x:v>Concluída</x:v>
      </x:c>
      <x:c r="L1653" s="84" t="str">
        <x:v>Vazamento</x:v>
      </x:c>
      <x:c r="M1653" s="84" t="str">
        <x:v>Componente danificado</x:v>
      </x:c>
      <x:c r="N1653" s="84" t="str">
        <x:v>Componente ajustado ou substituído</x:v>
      </x:c>
      <x:c r="O1653" s="84" t="n">
        <x:v>0</x:v>
      </x:c>
      <x:c r="P1653" s="93" t="n">
        <x:v>444.38</x:v>
      </x:c>
      <x:c r="Q1653" s="93" t="n">
        <x:v>13059.24</x:v>
      </x:c>
      <x:c r="R1653" s="91" t="n">
        <x:v>0</x:v>
      </x:c>
    </x:row>
    <x:row r="1654">
      <x:c r="A1654" s="83" t="n">
        <x:v>1653</x:v>
      </x:c>
      <x:c r="B1654" s="84" t="str">
        <x:v>OS-2025-01653</x:v>
      </x:c>
      <x:c r="C1654" s="84" t="n">
        <x:v>36</x:v>
      </x:c>
      <x:c r="D1654" s="84" t="n">
        <x:v>1</x:v>
      </x:c>
      <x:c r="E1654" s="84" t="n">
        <x:v>72</x:v>
      </x:c>
      <x:c r="F1654" s="89" t="n">
        <x:v>45942.37741898148</x:v>
      </x:c>
      <x:c r="G1654" s="89" t="n">
        <x:v>45947.37741898148</x:v>
      </x:c>
      <x:c r="H1654" s="89" t="n">
        <x:v>45944.25241898148</x:v>
      </x:c>
      <x:c r="I1654" s="89" t="n">
        <x:v>45944.585752314815</x:v>
      </x:c>
      <x:c r="J1654" s="84" t="str">
        <x:v>Média</x:v>
      </x:c>
      <x:c r="K1654" s="84" t="str">
        <x:v>Concluída</x:v>
      </x:c>
      <x:c r="L1654" s="84" t="str">
        <x:v>Falha elétrica</x:v>
      </x:c>
      <x:c r="M1654" s="84" t="str">
        <x:v>Desgaste natural</x:v>
      </x:c>
      <x:c r="N1654" s="84" t="str">
        <x:v>Componente ajustado ou substituído</x:v>
      </x:c>
      <x:c r="O1654" s="84" t="n">
        <x:v>0</x:v>
      </x:c>
      <x:c r="P1654" s="93" t="n">
        <x:v>339.96</x:v>
      </x:c>
      <x:c r="Q1654" s="93" t="n">
        <x:v>0</x:v>
      </x:c>
      <x:c r="R1654" s="91" t="n">
        <x:v>0</x:v>
      </x:c>
    </x:row>
    <x:row r="1655">
      <x:c r="A1655" s="83" t="n">
        <x:v>1654</x:v>
      </x:c>
      <x:c r="B1655" s="84" t="str">
        <x:v>OS-2023-01654</x:v>
      </x:c>
      <x:c r="C1655" s="84" t="n">
        <x:v>35</x:v>
      </x:c>
      <x:c r="D1655" s="84" t="n">
        <x:v>2</x:v>
      </x:c>
      <x:c r="E1655" s="84"/>
      <x:c r="F1655" s="89" t="n">
        <x:v>45231.208599537036</x:v>
      </x:c>
      <x:c r="G1655" s="89" t="n">
        <x:v>45237.208599537036</x:v>
      </x:c>
      <x:c r="H1655" s="89" t="n">
        <x:v>45233.083599537036</x:v>
      </x:c>
      <x:c r="I1655" s="89" t="n">
        <x:v>45233.66693287037</x:v>
      </x:c>
      <x:c r="J1655" s="84" t="str">
        <x:v>Média</x:v>
      </x:c>
      <x:c r="K1655" s="84" t="str">
        <x:v>Concluída</x:v>
      </x:c>
      <x:c r="L1655" s="84" t="str">
        <x:v>Vazamento</x:v>
      </x:c>
      <x:c r="M1655" s="84" t="str">
        <x:v>Desgaste natural</x:v>
      </x:c>
      <x:c r="N1655" s="84" t="str">
        <x:v>Componente ajustado ou substituído</x:v>
      </x:c>
      <x:c r="O1655" s="84" t="n">
        <x:v>0</x:v>
      </x:c>
      <x:c r="P1655" s="93" t="n">
        <x:v>251.24</x:v>
      </x:c>
      <x:c r="Q1655" s="93" t="n">
        <x:v>6273.83</x:v>
      </x:c>
      <x:c r="R1655" s="91" t="n">
        <x:v>0</x:v>
      </x:c>
    </x:row>
    <x:row r="1656">
      <x:c r="A1656" s="83" t="n">
        <x:v>1655</x:v>
      </x:c>
      <x:c r="B1656" s="84" t="str">
        <x:v>OS-2025-01655</x:v>
      </x:c>
      <x:c r="C1656" s="84" t="n">
        <x:v>61</x:v>
      </x:c>
      <x:c r="D1656" s="84" t="n">
        <x:v>1</x:v>
      </x:c>
      <x:c r="E1656" s="84" t="n">
        <x:v>122</x:v>
      </x:c>
      <x:c r="F1656" s="89" t="n">
        <x:v>45668.10512731481</x:v>
      </x:c>
      <x:c r="G1656" s="89" t="n">
        <x:v>45673.10512731481</x:v>
      </x:c>
      <x:c r="H1656" s="89"/>
      <x:c r="I1656" s="89"/>
      <x:c r="J1656" s="84" t="str">
        <x:v>Alta</x:v>
      </x:c>
      <x:c r="K1656" s="84" t="str">
        <x:v>Cancelada</x:v>
      </x:c>
      <x:c r="L1656" s="84" t="str">
        <x:v>Superaquecimento</x:v>
      </x:c>
      <x:c r="M1656" s="84"/>
      <x:c r="N1656" s="84"/>
      <x:c r="O1656" s="84" t="n">
        <x:v>0</x:v>
      </x:c>
      <x:c r="P1656" s="93" t="n">
        <x:v>0</x:v>
      </x:c>
      <x:c r="Q1656" s="93" t="n">
        <x:v>0</x:v>
      </x:c>
      <x:c r="R1656" s="91" t="n">
        <x:v>0</x:v>
      </x:c>
    </x:row>
    <x:row r="1657">
      <x:c r="A1657" s="83" t="n">
        <x:v>1656</x:v>
      </x:c>
      <x:c r="B1657" s="84" t="str">
        <x:v>OS-2023-01656</x:v>
      </x:c>
      <x:c r="C1657" s="84" t="n">
        <x:v>53</x:v>
      </x:c>
      <x:c r="D1657" s="84" t="n">
        <x:v>2</x:v>
      </x:c>
      <x:c r="E1657" s="84"/>
      <x:c r="F1657" s="89" t="n">
        <x:v>45077.945752314816</x:v>
      </x:c>
      <x:c r="G1657" s="89" t="n">
        <x:v>45089.945752314816</x:v>
      </x:c>
      <x:c r="H1657" s="89" t="n">
        <x:v>45078.98741898148</x:v>
      </x:c>
      <x:c r="I1657" s="89"/>
      <x:c r="J1657" s="84" t="str">
        <x:v>Média</x:v>
      </x:c>
      <x:c r="K1657" s="84" t="str">
        <x:v>Em execução</x:v>
      </x:c>
      <x:c r="L1657" s="84" t="str">
        <x:v>Vazamento</x:v>
      </x:c>
      <x:c r="M1657" s="84" t="str">
        <x:v>Conexão frouxa</x:v>
      </x:c>
      <x:c r="N1657" s="84"/>
      <x:c r="O1657" s="84" t="n">
        <x:v>0</x:v>
      </x:c>
      <x:c r="P1657" s="93" t="n">
        <x:v>603.04</x:v>
      </x:c>
      <x:c r="Q1657" s="93" t="n">
        <x:v>1161.45</x:v>
      </x:c>
      <x:c r="R1657" s="91" t="n">
        <x:v>0</x:v>
      </x:c>
    </x:row>
    <x:row r="1658">
      <x:c r="A1658" s="83" t="n">
        <x:v>1657</x:v>
      </x:c>
      <x:c r="B1658" s="84" t="str">
        <x:v>OS-2025-01657</x:v>
      </x:c>
      <x:c r="C1658" s="84" t="n">
        <x:v>60</x:v>
      </x:c>
      <x:c r="D1658" s="84" t="n">
        <x:v>8</x:v>
      </x:c>
      <x:c r="E1658" s="84"/>
      <x:c r="F1658" s="89" t="n">
        <x:v>45836.4922337963</x:v>
      </x:c>
      <x:c r="G1658" s="89" t="n">
        <x:v>45842.4922337963</x:v>
      </x:c>
      <x:c r="H1658" s="89" t="n">
        <x:v>45837.32556712963</x:v>
      </x:c>
      <x:c r="I1658" s="89" t="n">
        <x:v>45837.408900462964</x:v>
      </x:c>
      <x:c r="J1658" s="84" t="str">
        <x:v>Crítica</x:v>
      </x:c>
      <x:c r="K1658" s="84" t="str">
        <x:v>Encerrada</x:v>
      </x:c>
      <x:c r="L1658" s="84" t="str">
        <x:v>Superaquecimento</x:v>
      </x:c>
      <x:c r="M1658" s="84" t="str">
        <x:v>Desgaste natural</x:v>
      </x:c>
      <x:c r="N1658" s="84" t="str">
        <x:v>Componente ajustado ou substituído</x:v>
      </x:c>
      <x:c r="O1658" s="84" t="n">
        <x:v>0</x:v>
      </x:c>
      <x:c r="P1658" s="93" t="n">
        <x:v>379.22</x:v>
      </x:c>
      <x:c r="Q1658" s="93" t="n">
        <x:v>7274.71</x:v>
      </x:c>
      <x:c r="R1658" s="91" t="n">
        <x:v>0</x:v>
      </x:c>
    </x:row>
    <x:row r="1659">
      <x:c r="A1659" s="83" t="n">
        <x:v>1658</x:v>
      </x:c>
      <x:c r="B1659" s="84" t="str">
        <x:v>OS-2023-01658</x:v>
      </x:c>
      <x:c r="C1659" s="84" t="n">
        <x:v>86</x:v>
      </x:c>
      <x:c r="D1659" s="84" t="n">
        <x:v>4</x:v>
      </x:c>
      <x:c r="E1659" s="84"/>
      <x:c r="F1659" s="89" t="n">
        <x:v>45278.373240740744</x:v>
      </x:c>
      <x:c r="G1659" s="89" t="n">
        <x:v>45292.373240740744</x:v>
      </x:c>
      <x:c r="H1659" s="89"/>
      <x:c r="I1659" s="89"/>
      <x:c r="J1659" s="84" t="str">
        <x:v>Média</x:v>
      </x:c>
      <x:c r="K1659" s="84" t="str">
        <x:v>Planejada</x:v>
      </x:c>
      <x:c r="L1659" s="84" t="str">
        <x:v>Alarme intermitente</x:v>
      </x:c>
      <x:c r="M1659" s="84"/>
      <x:c r="N1659" s="84"/>
      <x:c r="O1659" s="84" t="n">
        <x:v>0</x:v>
      </x:c>
      <x:c r="P1659" s="93" t="n">
        <x:v>0</x:v>
      </x:c>
      <x:c r="Q1659" s="93" t="n">
        <x:v>0</x:v>
      </x:c>
      <x:c r="R1659" s="91" t="n">
        <x:v>0</x:v>
      </x:c>
    </x:row>
    <x:row r="1660">
      <x:c r="A1660" s="83" t="n">
        <x:v>1659</x:v>
      </x:c>
      <x:c r="B1660" s="84" t="str">
        <x:v>OS-2025-01659</x:v>
      </x:c>
      <x:c r="C1660" s="84" t="n">
        <x:v>11</x:v>
      </x:c>
      <x:c r="D1660" s="84" t="n">
        <x:v>2</x:v>
      </x:c>
      <x:c r="E1660" s="84"/>
      <x:c r="F1660" s="89" t="n">
        <x:v>45680.51788194444</x:v>
      </x:c>
      <x:c r="G1660" s="89" t="n">
        <x:v>45684.51788194444</x:v>
      </x:c>
      <x:c r="H1660" s="89"/>
      <x:c r="I1660" s="89"/>
      <x:c r="J1660" s="84" t="str">
        <x:v>Média</x:v>
      </x:c>
      <x:c r="K1660" s="84" t="str">
        <x:v>Planejada</x:v>
      </x:c>
      <x:c r="L1660" s="84" t="str">
        <x:v>Falha elétrica</x:v>
      </x:c>
      <x:c r="M1660" s="84"/>
      <x:c r="N1660" s="84"/>
      <x:c r="O1660" s="84" t="n">
        <x:v>0</x:v>
      </x:c>
      <x:c r="P1660" s="93" t="n">
        <x:v>0</x:v>
      </x:c>
      <x:c r="Q1660" s="93" t="n">
        <x:v>0</x:v>
      </x:c>
      <x:c r="R1660" s="91" t="n">
        <x:v>0</x:v>
      </x:c>
    </x:row>
    <x:row r="1661">
      <x:c r="A1661" s="83" t="n">
        <x:v>1660</x:v>
      </x:c>
      <x:c r="B1661" s="84" t="str">
        <x:v>OS-2023-01660</x:v>
      </x:c>
      <x:c r="C1661" s="84" t="n">
        <x:v>6</x:v>
      </x:c>
      <x:c r="D1661" s="84" t="n">
        <x:v>4</x:v>
      </x:c>
      <x:c r="E1661" s="84"/>
      <x:c r="F1661" s="89" t="n">
        <x:v>45074.75509259259</x:v>
      </x:c>
      <x:c r="G1661" s="89" t="n">
        <x:v>45083.75509259259</x:v>
      </x:c>
      <x:c r="H1661" s="89" t="n">
        <x:v>45077.54675925926</x:v>
      </x:c>
      <x:c r="I1661" s="89" t="n">
        <x:v>45078.25509259259</x:v>
      </x:c>
      <x:c r="J1661" s="84" t="str">
        <x:v>Alta</x:v>
      </x:c>
      <x:c r="K1661" s="84" t="str">
        <x:v>Encerrada</x:v>
      </x:c>
      <x:c r="L1661" s="84" t="str">
        <x:v>Alarme intermitente</x:v>
      </x:c>
      <x:c r="M1661" s="84" t="str">
        <x:v>Desgaste natural</x:v>
      </x:c>
      <x:c r="N1661" s="84" t="str">
        <x:v>Componente ajustado ou substituído</x:v>
      </x:c>
      <x:c r="O1661" s="84" t="n">
        <x:v>1</x:v>
      </x:c>
      <x:c r="P1661" s="93" t="n">
        <x:v>32.8</x:v>
      </x:c>
      <x:c r="Q1661" s="93" t="n">
        <x:v>8588.5</x:v>
      </x:c>
      <x:c r="R1661" s="91" t="n">
        <x:v>0</x:v>
      </x:c>
    </x:row>
    <x:row r="1662">
      <x:c r="A1662" s="83" t="n">
        <x:v>1661</x:v>
      </x:c>
      <x:c r="B1662" s="84" t="str">
        <x:v>OS-2024-01661</x:v>
      </x:c>
      <x:c r="C1662" s="84" t="n">
        <x:v>65</x:v>
      </x:c>
      <x:c r="D1662" s="84" t="n">
        <x:v>3</x:v>
      </x:c>
      <x:c r="E1662" s="84"/>
      <x:c r="F1662" s="89" t="n">
        <x:v>45556.03876157408</x:v>
      </x:c>
      <x:c r="G1662" s="89"/>
      <x:c r="H1662" s="89" t="n">
        <x:v>45557.33042824074</x:v>
      </x:c>
      <x:c r="I1662" s="89" t="n">
        <x:v>45557.997094907405</x:v>
      </x:c>
      <x:c r="J1662" s="84" t="str">
        <x:v>Baixa</x:v>
      </x:c>
      <x:c r="K1662" s="84" t="str">
        <x:v>Encerrada</x:v>
      </x:c>
      <x:c r="L1662" s="84" t="str">
        <x:v>Desalinhamento</x:v>
      </x:c>
      <x:c r="M1662" s="84" t="str">
        <x:v>Ajuste incorreto</x:v>
      </x:c>
      <x:c r="N1662" s="84" t="str">
        <x:v>Componente ajustado ou substituído</x:v>
      </x:c>
      <x:c r="O1662" s="84" t="n">
        <x:v>0</x:v>
      </x:c>
      <x:c r="P1662" s="93" t="n">
        <x:v>705.23</x:v>
      </x:c>
      <x:c r="Q1662" s="93" t="n">
        <x:v>14792.43</x:v>
      </x:c>
      <x:c r="R1662" s="91" t="n">
        <x:v>0</x:v>
      </x:c>
    </x:row>
    <x:row r="1663">
      <x:c r="A1663" s="83" t="n">
        <x:v>1662</x:v>
      </x:c>
      <x:c r="B1663" s="84" t="str">
        <x:v>OS-2024-01662</x:v>
      </x:c>
      <x:c r="C1663" s="84" t="n">
        <x:v>65</x:v>
      </x:c>
      <x:c r="D1663" s="84" t="n">
        <x:v>1</x:v>
      </x:c>
      <x:c r="E1663" s="84" t="n">
        <x:v>130</x:v>
      </x:c>
      <x:c r="F1663" s="89" t="n">
        <x:v>45478.071076388886</x:v>
      </x:c>
      <x:c r="G1663" s="89" t="n">
        <x:v>45486.071076388886</x:v>
      </x:c>
      <x:c r="H1663" s="89" t="n">
        <x:v>45479.40440972222</x:v>
      </x:c>
      <x:c r="I1663" s="89" t="n">
        <x:v>45480.02940972222</x:v>
      </x:c>
      <x:c r="J1663" s="84" t="str">
        <x:v>Baixa</x:v>
      </x:c>
      <x:c r="K1663" s="84" t="str">
        <x:v>Encerrada</x:v>
      </x:c>
      <x:c r="L1663" s="84" t="str">
        <x:v>Baixa pressão</x:v>
      </x:c>
      <x:c r="M1663" s="84" t="str">
        <x:v>Contaminação</x:v>
      </x:c>
      <x:c r="N1663" s="84" t="str">
        <x:v>Componente ajustado ou substituído</x:v>
      </x:c>
      <x:c r="O1663" s="84" t="n">
        <x:v>0</x:v>
      </x:c>
      <x:c r="P1663" s="93" t="n">
        <x:v>649.69</x:v>
      </x:c>
      <x:c r="Q1663" s="93" t="n">
        <x:v>0</x:v>
      </x:c>
      <x:c r="R1663" s="91" t="n">
        <x:v>0</x:v>
      </x:c>
    </x:row>
    <x:row r="1664">
      <x:c r="A1664" s="83" t="n">
        <x:v>1663</x:v>
      </x:c>
      <x:c r="B1664" s="84" t="str">
        <x:v>OS-2023-01663</x:v>
      </x:c>
      <x:c r="C1664" s="84" t="n">
        <x:v>68</x:v>
      </x:c>
      <x:c r="D1664" s="84" t="n">
        <x:v>3</x:v>
      </x:c>
      <x:c r="E1664" s="84"/>
      <x:c r="F1664" s="89" t="n">
        <x:v>45088.13636574074</x:v>
      </x:c>
      <x:c r="G1664" s="89"/>
      <x:c r="H1664" s="89"/>
      <x:c r="I1664" s="89"/>
      <x:c r="J1664" s="84" t="str">
        <x:v>Baixa</x:v>
      </x:c>
      <x:c r="K1664" s="84" t="str">
        <x:v>Planejada</x:v>
      </x:c>
      <x:c r="L1664" s="84" t="str">
        <x:v>Ruído anormal</x:v>
      </x:c>
      <x:c r="M1664" s="84"/>
      <x:c r="N1664" s="84"/>
      <x:c r="O1664" s="84" t="n">
        <x:v>0</x:v>
      </x:c>
      <x:c r="P1664" s="93" t="n">
        <x:v>0</x:v>
      </x:c>
      <x:c r="Q1664" s="93" t="n">
        <x:v>0</x:v>
      </x:c>
      <x:c r="R1664" s="91" t="n">
        <x:v>0</x:v>
      </x:c>
    </x:row>
    <x:row r="1665">
      <x:c r="A1665" s="83" t="n">
        <x:v>1664</x:v>
      </x:c>
      <x:c r="B1665" s="84" t="str">
        <x:v>OS-2023-01664</x:v>
      </x:c>
      <x:c r="C1665" s="84" t="n">
        <x:v>50</x:v>
      </x:c>
      <x:c r="D1665" s="84" t="n">
        <x:v>1</x:v>
      </x:c>
      <x:c r="E1665" s="84" t="n">
        <x:v>100</x:v>
      </x:c>
      <x:c r="F1665" s="89" t="n">
        <x:v>45214.79545138889</x:v>
      </x:c>
      <x:c r="G1665" s="89" t="n">
        <x:v>45216.79545138889</x:v>
      </x:c>
      <x:c r="H1665" s="89" t="n">
        <x:v>45215.12878472222</x:v>
      </x:c>
      <x:c r="I1665" s="89" t="n">
        <x:v>45215.37878472222</x:v>
      </x:c>
      <x:c r="J1665" s="84" t="str">
        <x:v>Alta</x:v>
      </x:c>
      <x:c r="K1665" s="84" t="str">
        <x:v>Encerrada</x:v>
      </x:c>
      <x:c r="L1665" s="84" t="str">
        <x:v>Falha elétrica</x:v>
      </x:c>
      <x:c r="M1665" s="84" t="str">
        <x:v>Desgaste natural</x:v>
      </x:c>
      <x:c r="N1665" s="84" t="str">
        <x:v>Componente ajustado ou substituído</x:v>
      </x:c>
      <x:c r="O1665" s="84" t="n">
        <x:v>0</x:v>
      </x:c>
      <x:c r="P1665" s="93" t="n">
        <x:v>476.95</x:v>
      </x:c>
      <x:c r="Q1665" s="93" t="n">
        <x:v>5220.43</x:v>
      </x:c>
      <x:c r="R1665" s="91" t="n">
        <x:v>0</x:v>
      </x:c>
    </x:row>
    <x:row r="1666">
      <x:c r="A1666" s="83" t="n">
        <x:v>1665</x:v>
      </x:c>
      <x:c r="B1666" s="84" t="str">
        <x:v>OS-2024-01665</x:v>
      </x:c>
      <x:c r="C1666" s="84" t="n">
        <x:v>59</x:v>
      </x:c>
      <x:c r="D1666" s="84" t="n">
        <x:v>7</x:v>
      </x:c>
      <x:c r="E1666" s="84" t="n">
        <x:v>117</x:v>
      </x:c>
      <x:c r="F1666" s="89" t="n">
        <x:v>45560.39890046296</x:v>
      </x:c>
      <x:c r="G1666" s="89" t="n">
        <x:v>45571.39890046296</x:v>
      </x:c>
      <x:c r="H1666" s="89" t="n">
        <x:v>45561.690567129626</x:v>
      </x:c>
      <x:c r="I1666" s="89" t="n">
        <x:v>45562.27390046296</x:v>
      </x:c>
      <x:c r="J1666" s="84" t="str">
        <x:v>Baixa</x:v>
      </x:c>
      <x:c r="K1666" s="84" t="str">
        <x:v>Encerrada</x:v>
      </x:c>
      <x:c r="L1666" s="84" t="str">
        <x:v>Desalinhamento</x:v>
      </x:c>
      <x:c r="M1666" s="84" t="str">
        <x:v>Desgaste natural</x:v>
      </x:c>
      <x:c r="N1666" s="84" t="str">
        <x:v>Componente ajustado ou substituído</x:v>
      </x:c>
      <x:c r="O1666" s="84" t="n">
        <x:v>0</x:v>
      </x:c>
      <x:c r="P1666" s="93" t="n">
        <x:v>393.47</x:v>
      </x:c>
      <x:c r="Q1666" s="93" t="n">
        <x:v>8909.7</x:v>
      </x:c>
      <x:c r="R1666" s="91" t="n">
        <x:v>0</x:v>
      </x:c>
    </x:row>
    <x:row r="1667">
      <x:c r="A1667" s="83" t="n">
        <x:v>1666</x:v>
      </x:c>
      <x:c r="B1667" s="84" t="str">
        <x:v>OS-2025-01666</x:v>
      </x:c>
      <x:c r="C1667" s="84" t="n">
        <x:v>33</x:v>
      </x:c>
      <x:c r="D1667" s="84" t="n">
        <x:v>5</x:v>
      </x:c>
      <x:c r="E1667" s="84" t="n">
        <x:v>66</x:v>
      </x:c>
      <x:c r="F1667" s="89" t="n">
        <x:v>45707.166400462964</x:v>
      </x:c>
      <x:c r="G1667" s="89" t="n">
        <x:v>45710.166400462964</x:v>
      </x:c>
      <x:c r="H1667" s="89" t="n">
        <x:v>45707.4997337963</x:v>
      </x:c>
      <x:c r="I1667" s="89"/>
      <x:c r="J1667" s="84" t="str">
        <x:v>Alta</x:v>
      </x:c>
      <x:c r="K1667" s="84" t="str">
        <x:v>Aguardando peça</x:v>
      </x:c>
      <x:c r="L1667" s="84" t="str">
        <x:v>Superaquecimento</x:v>
      </x:c>
      <x:c r="M1667" s="84" t="str">
        <x:v>Contaminação</x:v>
      </x:c>
      <x:c r="N1667" s="84"/>
      <x:c r="O1667" s="84" t="n">
        <x:v>0</x:v>
      </x:c>
      <x:c r="P1667" s="93" t="n">
        <x:v>331.74</x:v>
      </x:c>
      <x:c r="Q1667" s="93" t="n">
        <x:v>5731.21</x:v>
      </x:c>
      <x:c r="R1667" s="91" t="n">
        <x:v>11338.12</x:v>
      </x:c>
    </x:row>
    <x:row r="1668">
      <x:c r="A1668" s="83" t="n">
        <x:v>1667</x:v>
      </x:c>
      <x:c r="B1668" s="84" t="str">
        <x:v>OS-2023-01667</x:v>
      </x:c>
      <x:c r="C1668" s="84" t="n">
        <x:v>20</x:v>
      </x:c>
      <x:c r="D1668" s="84" t="n">
        <x:v>1</x:v>
      </x:c>
      <x:c r="E1668" s="84" t="n">
        <x:v>39</x:v>
      </x:c>
      <x:c r="F1668" s="89" t="n">
        <x:v>45099.98537037037</x:v>
      </x:c>
      <x:c r="G1668" s="89" t="n">
        <x:v>45107.98537037037</x:v>
      </x:c>
      <x:c r="H1668" s="89" t="n">
        <x:v>45100.527037037034</x:v>
      </x:c>
      <x:c r="I1668" s="89"/>
      <x:c r="J1668" s="84" t="str">
        <x:v>Crítica</x:v>
      </x:c>
      <x:c r="K1668" s="84" t="str">
        <x:v>Em execução</x:v>
      </x:c>
      <x:c r="L1668" s="84" t="str">
        <x:v>Superaquecimento</x:v>
      </x:c>
      <x:c r="M1668" s="84" t="str">
        <x:v>Contaminação</x:v>
      </x:c>
      <x:c r="N1668" s="84"/>
      <x:c r="O1668" s="84" t="n">
        <x:v>0</x:v>
      </x:c>
      <x:c r="P1668" s="93" t="n">
        <x:v>391.06</x:v>
      </x:c>
      <x:c r="Q1668" s="93" t="n">
        <x:v>6434.92</x:v>
      </x:c>
      <x:c r="R1668" s="91" t="n">
        <x:v>0</x:v>
      </x:c>
    </x:row>
    <x:row r="1669">
      <x:c r="A1669" s="83" t="n">
        <x:v>1668</x:v>
      </x:c>
      <x:c r="B1669" s="84" t="str">
        <x:v>OS-2024-01668</x:v>
      </x:c>
      <x:c r="C1669" s="84" t="n">
        <x:v>13</x:v>
      </x:c>
      <x:c r="D1669" s="84" t="n">
        <x:v>5</x:v>
      </x:c>
      <x:c r="E1669" s="84" t="n">
        <x:v>25</x:v>
      </x:c>
      <x:c r="F1669" s="89" t="n">
        <x:v>45484.8755787037</x:v>
      </x:c>
      <x:c r="G1669" s="89" t="n">
        <x:v>45492.8755787037</x:v>
      </x:c>
      <x:c r="H1669" s="89"/>
      <x:c r="I1669" s="89"/>
      <x:c r="J1669" s="84" t="str">
        <x:v>Crítica</x:v>
      </x:c>
      <x:c r="K1669" s="84" t="str">
        <x:v>Planejada</x:v>
      </x:c>
      <x:c r="L1669" s="84" t="str">
        <x:v>Baixa pressão</x:v>
      </x:c>
      <x:c r="M1669" s="84"/>
      <x:c r="N1669" s="84"/>
      <x:c r="O1669" s="84" t="n">
        <x:v>0</x:v>
      </x:c>
      <x:c r="P1669" s="93" t="n">
        <x:v>0</x:v>
      </x:c>
      <x:c r="Q1669" s="93" t="n">
        <x:v>0</x:v>
      </x:c>
      <x:c r="R1669" s="91" t="n">
        <x:v>0</x:v>
      </x:c>
    </x:row>
    <x:row r="1670">
      <x:c r="A1670" s="83" t="n">
        <x:v>1669</x:v>
      </x:c>
      <x:c r="B1670" s="84" t="str">
        <x:v>OS-2023-01669</x:v>
      </x:c>
      <x:c r="C1670" s="84" t="n">
        <x:v>26</x:v>
      </x:c>
      <x:c r="D1670" s="84" t="n">
        <x:v>8</x:v>
      </x:c>
      <x:c r="E1670" s="84"/>
      <x:c r="F1670" s="89" t="n">
        <x:v>45144.15321759259</x:v>
      </x:c>
      <x:c r="G1670" s="89" t="n">
        <x:v>45158.15321759259</x:v>
      </x:c>
      <x:c r="H1670" s="89" t="n">
        <x:v>45144.94488425926</x:v>
      </x:c>
      <x:c r="I1670" s="89" t="n">
        <x:v>45145.69488425926</x:v>
      </x:c>
      <x:c r="J1670" s="84" t="str">
        <x:v>Alta</x:v>
      </x:c>
      <x:c r="K1670" s="84" t="str">
        <x:v>Encerrada</x:v>
      </x:c>
      <x:c r="L1670" s="84" t="str">
        <x:v>Superaquecimento</x:v>
      </x:c>
      <x:c r="M1670" s="84" t="str">
        <x:v>Ajuste incorreto</x:v>
      </x:c>
      <x:c r="N1670" s="84" t="str">
        <x:v>Componente ajustado ou substituído</x:v>
      </x:c>
      <x:c r="O1670" s="84" t="n">
        <x:v>0</x:v>
      </x:c>
      <x:c r="P1670" s="93" t="n">
        <x:v>150.88</x:v>
      </x:c>
      <x:c r="Q1670" s="93" t="n">
        <x:v>8945.45</x:v>
      </x:c>
      <x:c r="R1670" s="91" t="n">
        <x:v>0</x:v>
      </x:c>
    </x:row>
    <x:row r="1671">
      <x:c r="A1671" s="83" t="n">
        <x:v>1670</x:v>
      </x:c>
      <x:c r="B1671" s="84" t="str">
        <x:v>OS-2023-01670</x:v>
      </x:c>
      <x:c r="C1671" s="84" t="n">
        <x:v>90</x:v>
      </x:c>
      <x:c r="D1671" s="84" t="n">
        <x:v>3</x:v>
      </x:c>
      <x:c r="E1671" s="84"/>
      <x:c r="F1671" s="89" t="n">
        <x:v>45034.96207175926</x:v>
      </x:c>
      <x:c r="G1671" s="89"/>
      <x:c r="H1671" s="89" t="n">
        <x:v>45036.33707175926</x:v>
      </x:c>
      <x:c r="I1671" s="89" t="n">
        <x:v>45036.50373842593</x:v>
      </x:c>
      <x:c r="J1671" s="84" t="str">
        <x:v>Crítica</x:v>
      </x:c>
      <x:c r="K1671" s="84" t="str">
        <x:v>Encerrada</x:v>
      </x:c>
      <x:c r="L1671" s="84" t="str">
        <x:v>Ruído anormal</x:v>
      </x:c>
      <x:c r="M1671" s="84" t="str">
        <x:v>Conexão frouxa</x:v>
      </x:c>
      <x:c r="N1671" s="84" t="str">
        <x:v>Componente ajustado ou substituído</x:v>
      </x:c>
      <x:c r="O1671" s="84" t="n">
        <x:v>0</x:v>
      </x:c>
      <x:c r="P1671" s="93" t="n">
        <x:v>93.56</x:v>
      </x:c>
      <x:c r="Q1671" s="93" t="n">
        <x:v>0</x:v>
      </x:c>
      <x:c r="R1671" s="91" t="n">
        <x:v>0</x:v>
      </x:c>
    </x:row>
    <x:row r="1672">
      <x:c r="A1672" s="83" t="n">
        <x:v>1671</x:v>
      </x:c>
      <x:c r="B1672" s="84" t="str">
        <x:v>OS-2024-01671</x:v>
      </x:c>
      <x:c r="C1672" s="84" t="n">
        <x:v>78</x:v>
      </x:c>
      <x:c r="D1672" s="84" t="n">
        <x:v>4</x:v>
      </x:c>
      <x:c r="E1672" s="84"/>
      <x:c r="F1672" s="89" t="n">
        <x:v>45509.062581018516</x:v>
      </x:c>
      <x:c r="G1672" s="89" t="n">
        <x:v>45512.062581018516</x:v>
      </x:c>
      <x:c r="H1672" s="89" t="n">
        <x:v>45510.52091435185</x:v>
      </x:c>
      <x:c r="I1672" s="89" t="n">
        <x:v>45510.562581018516</x:v>
      </x:c>
      <x:c r="J1672" s="84" t="str">
        <x:v>Baixa</x:v>
      </x:c>
      <x:c r="K1672" s="84" t="str">
        <x:v>Concluída</x:v>
      </x:c>
      <x:c r="L1672" s="84" t="str">
        <x:v>Desalinhamento</x:v>
      </x:c>
      <x:c r="M1672" s="84" t="str">
        <x:v>Ajuste incorreto</x:v>
      </x:c>
      <x:c r="N1672" s="84" t="str">
        <x:v>Componente ajustado ou substituído</x:v>
      </x:c>
      <x:c r="O1672" s="84" t="n">
        <x:v>0</x:v>
      </x:c>
      <x:c r="P1672" s="93" t="n">
        <x:v>514.9</x:v>
      </x:c>
      <x:c r="Q1672" s="93" t="n">
        <x:v>0</x:v>
      </x:c>
      <x:c r="R1672" s="91" t="n">
        <x:v>0</x:v>
      </x:c>
    </x:row>
    <x:row r="1673">
      <x:c r="A1673" s="83" t="n">
        <x:v>1672</x:v>
      </x:c>
      <x:c r="B1673" s="84" t="str">
        <x:v>OS-2024-01672</x:v>
      </x:c>
      <x:c r="C1673" s="84" t="n">
        <x:v>46</x:v>
      </x:c>
      <x:c r="D1673" s="84" t="n">
        <x:v>3</x:v>
      </x:c>
      <x:c r="E1673" s="84"/>
      <x:c r="F1673" s="89" t="n">
        <x:v>45292.907175925924</x:v>
      </x:c>
      <x:c r="G1673" s="89"/>
      <x:c r="H1673" s="89" t="n">
        <x:v>45295.49050925926</x:v>
      </x:c>
      <x:c r="I1673" s="89" t="n">
        <x:v>45296.157175925924</x:v>
      </x:c>
      <x:c r="J1673" s="84" t="str">
        <x:v>Baixa</x:v>
      </x:c>
      <x:c r="K1673" s="84" t="str">
        <x:v>Concluída</x:v>
      </x:c>
      <x:c r="L1673" s="84" t="str">
        <x:v>Falha elétrica</x:v>
      </x:c>
      <x:c r="M1673" s="84" t="str">
        <x:v>Componente danificado</x:v>
      </x:c>
      <x:c r="N1673" s="84" t="str">
        <x:v>Componente ajustado ou substituído</x:v>
      </x:c>
      <x:c r="O1673" s="84" t="n">
        <x:v>0</x:v>
      </x:c>
      <x:c r="P1673" s="93" t="n">
        <x:v>483.15</x:v>
      </x:c>
      <x:c r="Q1673" s="93" t="n">
        <x:v>2744.6</x:v>
      </x:c>
      <x:c r="R1673" s="91" t="n">
        <x:v>0</x:v>
      </x:c>
    </x:row>
    <x:row r="1674">
      <x:c r="A1674" s="83" t="n">
        <x:v>1673</x:v>
      </x:c>
      <x:c r="B1674" s="84" t="str">
        <x:v>OS-2025-01673</x:v>
      </x:c>
      <x:c r="C1674" s="84" t="n">
        <x:v>67</x:v>
      </x:c>
      <x:c r="D1674" s="84" t="n">
        <x:v>5</x:v>
      </x:c>
      <x:c r="E1674" s="84" t="n">
        <x:v>134</x:v>
      </x:c>
      <x:c r="F1674" s="89" t="n">
        <x:v>45961.90886574074</x:v>
      </x:c>
      <x:c r="G1674" s="89" t="n">
        <x:v>45972.90886574074</x:v>
      </x:c>
      <x:c r="H1674" s="89" t="n">
        <x:v>45962.28386574074</x:v>
      </x:c>
      <x:c r="I1674" s="89" t="n">
        <x:v>45962.99219907408</x:v>
      </x:c>
      <x:c r="J1674" s="84" t="str">
        <x:v>Baixa</x:v>
      </x:c>
      <x:c r="K1674" s="84" t="str">
        <x:v>Encerrada</x:v>
      </x:c>
      <x:c r="L1674" s="84" t="str">
        <x:v>Desalinhamento</x:v>
      </x:c>
      <x:c r="M1674" s="84" t="str">
        <x:v>Contaminação</x:v>
      </x:c>
      <x:c r="N1674" s="84" t="str">
        <x:v>Componente ajustado ou substituído</x:v>
      </x:c>
      <x:c r="O1674" s="84" t="n">
        <x:v>0</x:v>
      </x:c>
      <x:c r="P1674" s="93" t="n">
        <x:v>70.4</x:v>
      </x:c>
      <x:c r="Q1674" s="93" t="n">
        <x:v>4606.68</x:v>
      </x:c>
      <x:c r="R1674" s="91" t="n">
        <x:v>0</x:v>
      </x:c>
    </x:row>
    <x:row r="1675">
      <x:c r="A1675" s="83" t="n">
        <x:v>1674</x:v>
      </x:c>
      <x:c r="B1675" s="84" t="str">
        <x:v>OS-2024-01674</x:v>
      </x:c>
      <x:c r="C1675" s="84" t="n">
        <x:v>55</x:v>
      </x:c>
      <x:c r="D1675" s="84" t="n">
        <x:v>1</x:v>
      </x:c>
      <x:c r="E1675" s="84" t="n">
        <x:v>109</x:v>
      </x:c>
      <x:c r="F1675" s="89" t="n">
        <x:v>45525.73357638889</x:v>
      </x:c>
      <x:c r="G1675" s="89" t="n">
        <x:v>45531.73357638889</x:v>
      </x:c>
      <x:c r="H1675" s="89" t="n">
        <x:v>45526.150243055556</x:v>
      </x:c>
      <x:c r="I1675" s="89" t="n">
        <x:v>45526.56690972222</x:v>
      </x:c>
      <x:c r="J1675" s="84" t="str">
        <x:v>Alta</x:v>
      </x:c>
      <x:c r="K1675" s="84" t="str">
        <x:v>Encerrada</x:v>
      </x:c>
      <x:c r="L1675" s="84" t="str">
        <x:v>Vazamento</x:v>
      </x:c>
      <x:c r="M1675" s="84" t="str">
        <x:v>Componente danificado</x:v>
      </x:c>
      <x:c r="N1675" s="84" t="str">
        <x:v>Componente ajustado ou substituído</x:v>
      </x:c>
      <x:c r="O1675" s="84" t="n">
        <x:v>0</x:v>
      </x:c>
      <x:c r="P1675" s="93" t="n">
        <x:v>277.92</x:v>
      </x:c>
      <x:c r="Q1675" s="93" t="n">
        <x:v>14942.48</x:v>
      </x:c>
      <x:c r="R1675" s="91" t="n">
        <x:v>11971.97</x:v>
      </x:c>
    </x:row>
    <x:row r="1676">
      <x:c r="A1676" s="83" t="n">
        <x:v>1675</x:v>
      </x:c>
      <x:c r="B1676" s="84" t="str">
        <x:v>OS-2023-01675</x:v>
      </x:c>
      <x:c r="C1676" s="84" t="n">
        <x:v>45</x:v>
      </x:c>
      <x:c r="D1676" s="84" t="n">
        <x:v>1</x:v>
      </x:c>
      <x:c r="E1676" s="84" t="n">
        <x:v>90</x:v>
      </x:c>
      <x:c r="F1676" s="89" t="n">
        <x:v>45136.69409722222</x:v>
      </x:c>
      <x:c r="G1676" s="89" t="n">
        <x:v>45146.69409722222</x:v>
      </x:c>
      <x:c r="H1676" s="89" t="n">
        <x:v>45138.81909722222</x:v>
      </x:c>
      <x:c r="I1676" s="89" t="n">
        <x:v>45139.110763888886</x:v>
      </x:c>
      <x:c r="J1676" s="84" t="str">
        <x:v>Média</x:v>
      </x:c>
      <x:c r="K1676" s="84" t="str">
        <x:v>Encerrada</x:v>
      </x:c>
      <x:c r="L1676" s="84" t="str">
        <x:v>Baixa pressão</x:v>
      </x:c>
      <x:c r="M1676" s="84" t="str">
        <x:v>Componente danificado</x:v>
      </x:c>
      <x:c r="N1676" s="84" t="str">
        <x:v>Componente ajustado ou substituído</x:v>
      </x:c>
      <x:c r="O1676" s="84" t="n">
        <x:v>1</x:v>
      </x:c>
      <x:c r="P1676" s="93" t="n">
        <x:v>104.78</x:v>
      </x:c>
      <x:c r="Q1676" s="93" t="n">
        <x:v>9708.71</x:v>
      </x:c>
      <x:c r="R1676" s="91" t="n">
        <x:v>0</x:v>
      </x:c>
    </x:row>
    <x:row r="1677">
      <x:c r="A1677" s="83" t="n">
        <x:v>1676</x:v>
      </x:c>
      <x:c r="B1677" s="84" t="str">
        <x:v>OS-2025-01676</x:v>
      </x:c>
      <x:c r="C1677" s="84" t="n">
        <x:v>5</x:v>
      </x:c>
      <x:c r="D1677" s="84" t="n">
        <x:v>1</x:v>
      </x:c>
      <x:c r="E1677" s="84" t="n">
        <x:v>10</x:v>
      </x:c>
      <x:c r="F1677" s="89" t="n">
        <x:v>45710.144166666665</x:v>
      </x:c>
      <x:c r="G1677" s="89" t="n">
        <x:v>45722.144166666665</x:v>
      </x:c>
      <x:c r="H1677" s="89" t="n">
        <x:v>45713.019166666665</x:v>
      </x:c>
      <x:c r="I1677" s="89" t="n">
        <x:v>45713.4775</x:v>
      </x:c>
      <x:c r="J1677" s="84" t="str">
        <x:v>Média</x:v>
      </x:c>
      <x:c r="K1677" s="84" t="str">
        <x:v>Concluída</x:v>
      </x:c>
      <x:c r="L1677" s="84" t="str">
        <x:v>Ruído anormal</x:v>
      </x:c>
      <x:c r="M1677" s="84" t="str">
        <x:v>Falta de lubrificação</x:v>
      </x:c>
      <x:c r="N1677" s="84" t="str">
        <x:v>Componente ajustado ou substituído</x:v>
      </x:c>
      <x:c r="O1677" s="84" t="n">
        <x:v>0</x:v>
      </x:c>
      <x:c r="P1677" s="93" t="n">
        <x:v>324.22</x:v>
      </x:c>
      <x:c r="Q1677" s="93" t="n">
        <x:v>3190.53</x:v>
      </x:c>
      <x:c r="R1677" s="91" t="n">
        <x:v>4402.28</x:v>
      </x:c>
    </x:row>
    <x:row r="1678">
      <x:c r="A1678" s="83" t="n">
        <x:v>1677</x:v>
      </x:c>
      <x:c r="B1678" s="84" t="str">
        <x:v>OS-2024-01677</x:v>
      </x:c>
      <x:c r="C1678" s="84" t="n">
        <x:v>87</x:v>
      </x:c>
      <x:c r="D1678" s="84" t="n">
        <x:v>3</x:v>
      </x:c>
      <x:c r="E1678" s="84"/>
      <x:c r="F1678" s="89" t="n">
        <x:v>45607.810844907406</x:v>
      </x:c>
      <x:c r="G1678" s="89"/>
      <x:c r="H1678" s="89"/>
      <x:c r="I1678" s="89"/>
      <x:c r="J1678" s="84" t="str">
        <x:v>Média</x:v>
      </x:c>
      <x:c r="K1678" s="84" t="str">
        <x:v>Cancelada</x:v>
      </x:c>
      <x:c r="L1678" s="84" t="str">
        <x:v>Vazamento</x:v>
      </x:c>
      <x:c r="M1678" s="84"/>
      <x:c r="N1678" s="84"/>
      <x:c r="O1678" s="84" t="n">
        <x:v>0</x:v>
      </x:c>
      <x:c r="P1678" s="93" t="n">
        <x:v>0</x:v>
      </x:c>
      <x:c r="Q1678" s="93" t="n">
        <x:v>0</x:v>
      </x:c>
      <x:c r="R1678" s="91" t="n">
        <x:v>0</x:v>
      </x:c>
    </x:row>
    <x:row r="1679">
      <x:c r="A1679" s="83" t="n">
        <x:v>1678</x:v>
      </x:c>
      <x:c r="B1679" s="84" t="str">
        <x:v>OS-2025-01678</x:v>
      </x:c>
      <x:c r="C1679" s="84" t="n">
        <x:v>12</x:v>
      </x:c>
      <x:c r="D1679" s="84" t="n">
        <x:v>1</x:v>
      </x:c>
      <x:c r="E1679" s="84" t="n">
        <x:v>23</x:v>
      </x:c>
      <x:c r="F1679" s="89" t="n">
        <x:v>45817.976805555554</x:v>
      </x:c>
      <x:c r="G1679" s="89" t="n">
        <x:v>45818.976805555554</x:v>
      </x:c>
      <x:c r="H1679" s="89" t="n">
        <x:v>45818.851805555554</x:v>
      </x:c>
      <x:c r="I1679" s="89" t="n">
        <x:v>45819.601805555554</x:v>
      </x:c>
      <x:c r="J1679" s="84" t="str">
        <x:v>Alta</x:v>
      </x:c>
      <x:c r="K1679" s="84" t="str">
        <x:v>Encerrada</x:v>
      </x:c>
      <x:c r="L1679" s="84" t="str">
        <x:v>Alarme intermitente</x:v>
      </x:c>
      <x:c r="M1679" s="84" t="str">
        <x:v>Componente danificado</x:v>
      </x:c>
      <x:c r="N1679" s="84" t="str">
        <x:v>Componente ajustado ou substituído</x:v>
      </x:c>
      <x:c r="O1679" s="84" t="n">
        <x:v>0</x:v>
      </x:c>
      <x:c r="P1679" s="93" t="n">
        <x:v>226.91</x:v>
      </x:c>
      <x:c r="Q1679" s="93" t="n">
        <x:v>0</x:v>
      </x:c>
      <x:c r="R1679" s="91" t="n">
        <x:v>0</x:v>
      </x:c>
    </x:row>
    <x:row r="1680">
      <x:c r="A1680" s="83" t="n">
        <x:v>1679</x:v>
      </x:c>
      <x:c r="B1680" s="84" t="str">
        <x:v>OS-2025-01679</x:v>
      </x:c>
      <x:c r="C1680" s="84" t="n">
        <x:v>51</x:v>
      </x:c>
      <x:c r="D1680" s="84" t="n">
        <x:v>1</x:v>
      </x:c>
      <x:c r="E1680" s="84" t="n">
        <x:v>101</x:v>
      </x:c>
      <x:c r="F1680" s="89" t="n">
        <x:v>45897.99253472222</x:v>
      </x:c>
      <x:c r="G1680" s="89" t="n">
        <x:v>45898.99253472222</x:v>
      </x:c>
      <x:c r="H1680" s="89" t="n">
        <x:v>45899.03420138889</x:v>
      </x:c>
      <x:c r="I1680" s="89" t="n">
        <x:v>45899.07586805556</x:v>
      </x:c>
      <x:c r="J1680" s="84" t="str">
        <x:v>Baixa</x:v>
      </x:c>
      <x:c r="K1680" s="84" t="str">
        <x:v>Encerrada</x:v>
      </x:c>
      <x:c r="L1680" s="84" t="str">
        <x:v>Ruído anormal</x:v>
      </x:c>
      <x:c r="M1680" s="84" t="str">
        <x:v>Conexão frouxa</x:v>
      </x:c>
      <x:c r="N1680" s="84" t="str">
        <x:v>Componente ajustado ou substituído</x:v>
      </x:c>
      <x:c r="O1680" s="84" t="n">
        <x:v>0</x:v>
      </x:c>
      <x:c r="P1680" s="93" t="n">
        <x:v>460.73</x:v>
      </x:c>
      <x:c r="Q1680" s="93" t="n">
        <x:v>6068.04</x:v>
      </x:c>
      <x:c r="R1680" s="91" t="n">
        <x:v>0</x:v>
      </x:c>
    </x:row>
    <x:row r="1681">
      <x:c r="A1681" s="83" t="n">
        <x:v>1680</x:v>
      </x:c>
      <x:c r="B1681" s="84" t="str">
        <x:v>OS-2025-01680</x:v>
      </x:c>
      <x:c r="C1681" s="84" t="n">
        <x:v>52</x:v>
      </x:c>
      <x:c r="D1681" s="84" t="n">
        <x:v>3</x:v>
      </x:c>
      <x:c r="E1681" s="84"/>
      <x:c r="F1681" s="89" t="n">
        <x:v>45867.201736111114</x:v>
      </x:c>
      <x:c r="G1681" s="89"/>
      <x:c r="H1681" s="89" t="n">
        <x:v>45868.91006944444</x:v>
      </x:c>
      <x:c r="I1681" s="89" t="n">
        <x:v>45869.701736111114</x:v>
      </x:c>
      <x:c r="J1681" s="84" t="str">
        <x:v>Baixa</x:v>
      </x:c>
      <x:c r="K1681" s="84" t="str">
        <x:v>Encerrada</x:v>
      </x:c>
      <x:c r="L1681" s="84" t="str">
        <x:v>Desalinhamento</x:v>
      </x:c>
      <x:c r="M1681" s="84" t="str">
        <x:v>Ajuste incorreto</x:v>
      </x:c>
      <x:c r="N1681" s="84" t="str">
        <x:v>Componente ajustado ou substituído</x:v>
      </x:c>
      <x:c r="O1681" s="84" t="n">
        <x:v>0</x:v>
      </x:c>
      <x:c r="P1681" s="93" t="n">
        <x:v>373.17</x:v>
      </x:c>
      <x:c r="Q1681" s="93" t="n">
        <x:v>2302.28</x:v>
      </x:c>
      <x:c r="R1681" s="91" t="n">
        <x:v>0</x:v>
      </x:c>
    </x:row>
    <x:row r="1682">
      <x:c r="A1682" s="83" t="n">
        <x:v>1681</x:v>
      </x:c>
      <x:c r="B1682" s="84" t="str">
        <x:v>OS-2023-01681</x:v>
      </x:c>
      <x:c r="C1682" s="84" t="n">
        <x:v>21</x:v>
      </x:c>
      <x:c r="D1682" s="84" t="n">
        <x:v>1</x:v>
      </x:c>
      <x:c r="E1682" s="84" t="n">
        <x:v>42</x:v>
      </x:c>
      <x:c r="F1682" s="89" t="n">
        <x:v>45206.242268518516</x:v>
      </x:c>
      <x:c r="G1682" s="89" t="n">
        <x:v>45209.242268518516</x:v>
      </x:c>
      <x:c r="H1682" s="89" t="n">
        <x:v>45208.617268518516</x:v>
      </x:c>
      <x:c r="I1682" s="89" t="n">
        <x:v>45209.45060185185</x:v>
      </x:c>
      <x:c r="J1682" s="84" t="str">
        <x:v>Baixa</x:v>
      </x:c>
      <x:c r="K1682" s="84" t="str">
        <x:v>Encerrada</x:v>
      </x:c>
      <x:c r="L1682" s="84" t="str">
        <x:v>Superaquecimento</x:v>
      </x:c>
      <x:c r="M1682" s="84" t="str">
        <x:v>Desgaste natural</x:v>
      </x:c>
      <x:c r="N1682" s="84" t="str">
        <x:v>Componente ajustado ou substituído</x:v>
      </x:c>
      <x:c r="O1682" s="84" t="n">
        <x:v>0</x:v>
      </x:c>
      <x:c r="P1682" s="93" t="n">
        <x:v>409.58</x:v>
      </x:c>
      <x:c r="Q1682" s="93" t="n">
        <x:v>2941.56</x:v>
      </x:c>
      <x:c r="R1682" s="91" t="n">
        <x:v>0</x:v>
      </x:c>
    </x:row>
    <x:row r="1683">
      <x:c r="A1683" s="83" t="n">
        <x:v>1682</x:v>
      </x:c>
      <x:c r="B1683" s="84" t="str">
        <x:v>OS-2024-01682</x:v>
      </x:c>
      <x:c r="C1683" s="84" t="n">
        <x:v>16</x:v>
      </x:c>
      <x:c r="D1683" s="84" t="n">
        <x:v>3</x:v>
      </x:c>
      <x:c r="E1683" s="84"/>
      <x:c r="F1683" s="89" t="n">
        <x:v>45441.02888888889</x:v>
      </x:c>
      <x:c r="G1683" s="89"/>
      <x:c r="H1683" s="89"/>
      <x:c r="I1683" s="89"/>
      <x:c r="J1683" s="84" t="str">
        <x:v>Alta</x:v>
      </x:c>
      <x:c r="K1683" s="84" t="str">
        <x:v>Cancelada</x:v>
      </x:c>
      <x:c r="L1683" s="84" t="str">
        <x:v>Desalinhamento</x:v>
      </x:c>
      <x:c r="M1683" s="84"/>
      <x:c r="N1683" s="84"/>
      <x:c r="O1683" s="84" t="n">
        <x:v>0</x:v>
      </x:c>
      <x:c r="P1683" s="93" t="n">
        <x:v>0</x:v>
      </x:c>
      <x:c r="Q1683" s="93" t="n">
        <x:v>0</x:v>
      </x:c>
      <x:c r="R1683" s="91" t="n">
        <x:v>0</x:v>
      </x:c>
    </x:row>
    <x:row r="1684">
      <x:c r="A1684" s="83" t="n">
        <x:v>1683</x:v>
      </x:c>
      <x:c r="B1684" s="84" t="str">
        <x:v>OS-2025-01683</x:v>
      </x:c>
      <x:c r="C1684" s="84" t="n">
        <x:v>5</x:v>
      </x:c>
      <x:c r="D1684" s="84" t="n">
        <x:v>1</x:v>
      </x:c>
      <x:c r="E1684" s="84" t="n">
        <x:v>10</x:v>
      </x:c>
      <x:c r="F1684" s="89" t="n">
        <x:v>46008.33914351852</x:v>
      </x:c>
      <x:c r="G1684" s="89" t="n">
        <x:v>46009.33914351852</x:v>
      </x:c>
      <x:c r="H1684" s="89" t="n">
        <x:v>46009.63081018518</x:v>
      </x:c>
      <x:c r="I1684" s="89" t="n">
        <x:v>46009.83914351852</x:v>
      </x:c>
      <x:c r="J1684" s="84" t="str">
        <x:v>Alta</x:v>
      </x:c>
      <x:c r="K1684" s="84" t="str">
        <x:v>Concluída</x:v>
      </x:c>
      <x:c r="L1684" s="84" t="str">
        <x:v>Desalinhamento</x:v>
      </x:c>
      <x:c r="M1684" s="84" t="str">
        <x:v>Componente danificado</x:v>
      </x:c>
      <x:c r="N1684" s="84" t="str">
        <x:v>Componente ajustado ou substituído</x:v>
      </x:c>
      <x:c r="O1684" s="84" t="n">
        <x:v>0</x:v>
      </x:c>
      <x:c r="P1684" s="93" t="n">
        <x:v>327.55</x:v>
      </x:c>
      <x:c r="Q1684" s="93" t="n">
        <x:v>0</x:v>
      </x:c>
      <x:c r="R1684" s="91" t="n">
        <x:v>0</x:v>
      </x:c>
    </x:row>
    <x:row r="1685">
      <x:c r="A1685" s="83" t="n">
        <x:v>1684</x:v>
      </x:c>
      <x:c r="B1685" s="84" t="str">
        <x:v>OS-2024-01684</x:v>
      </x:c>
      <x:c r="C1685" s="84" t="n">
        <x:v>57</x:v>
      </x:c>
      <x:c r="D1685" s="84" t="n">
        <x:v>1</x:v>
      </x:c>
      <x:c r="E1685" s="84" t="n">
        <x:v>113</x:v>
      </x:c>
      <x:c r="F1685" s="89" t="n">
        <x:v>45413.83967592593</x:v>
      </x:c>
      <x:c r="G1685" s="89" t="n">
        <x:v>45416.83967592593</x:v>
      </x:c>
      <x:c r="H1685" s="89" t="n">
        <x:v>45414.75634259259</x:v>
      </x:c>
      <x:c r="I1685" s="89"/>
      <x:c r="J1685" s="84" t="str">
        <x:v>Alta</x:v>
      </x:c>
      <x:c r="K1685" s="84" t="str">
        <x:v>Em execução</x:v>
      </x:c>
      <x:c r="L1685" s="84" t="str">
        <x:v>Superaquecimento</x:v>
      </x:c>
      <x:c r="M1685" s="84" t="str">
        <x:v>Falta de lubrificação</x:v>
      </x:c>
      <x:c r="N1685" s="84"/>
      <x:c r="O1685" s="84" t="n">
        <x:v>0</x:v>
      </x:c>
      <x:c r="P1685" s="93" t="n">
        <x:v>628.73</x:v>
      </x:c>
      <x:c r="Q1685" s="93" t="n">
        <x:v>2963.64</x:v>
      </x:c>
      <x:c r="R1685" s="91" t="n">
        <x:v>0</x:v>
      </x:c>
    </x:row>
    <x:row r="1686">
      <x:c r="A1686" s="83" t="n">
        <x:v>1685</x:v>
      </x:c>
      <x:c r="B1686" s="84" t="str">
        <x:v>OS-2024-01685</x:v>
      </x:c>
      <x:c r="C1686" s="84" t="n">
        <x:v>14</x:v>
      </x:c>
      <x:c r="D1686" s="84" t="n">
        <x:v>1</x:v>
      </x:c>
      <x:c r="E1686" s="84" t="n">
        <x:v>27</x:v>
      </x:c>
      <x:c r="F1686" s="89" t="n">
        <x:v>45477.650509259256</x:v>
      </x:c>
      <x:c r="G1686" s="89" t="n">
        <x:v>45487.650509259256</x:v>
      </x:c>
      <x:c r="H1686" s="89" t="n">
        <x:v>45479.10884259259</x:v>
      </x:c>
      <x:c r="I1686" s="89" t="n">
        <x:v>45479.48384259259</x:v>
      </x:c>
      <x:c r="J1686" s="84" t="str">
        <x:v>Alta</x:v>
      </x:c>
      <x:c r="K1686" s="84" t="str">
        <x:v>Concluída</x:v>
      </x:c>
      <x:c r="L1686" s="84" t="str">
        <x:v>Alarme intermitente</x:v>
      </x:c>
      <x:c r="M1686" s="84" t="str">
        <x:v>Contaminação</x:v>
      </x:c>
      <x:c r="N1686" s="84" t="str">
        <x:v>Componente ajustado ou substituído</x:v>
      </x:c>
      <x:c r="O1686" s="84" t="n">
        <x:v>0</x:v>
      </x:c>
      <x:c r="P1686" s="93" t="n">
        <x:v>219.86</x:v>
      </x:c>
      <x:c r="Q1686" s="93" t="n">
        <x:v>0</x:v>
      </x:c>
      <x:c r="R1686" s="91" t="n">
        <x:v>0</x:v>
      </x:c>
    </x:row>
    <x:row r="1687">
      <x:c r="A1687" s="83" t="n">
        <x:v>1686</x:v>
      </x:c>
      <x:c r="B1687" s="84" t="str">
        <x:v>OS-2024-01686</x:v>
      </x:c>
      <x:c r="C1687" s="84" t="n">
        <x:v>89</x:v>
      </x:c>
      <x:c r="D1687" s="84" t="n">
        <x:v>5</x:v>
      </x:c>
      <x:c r="E1687" s="84" t="n">
        <x:v>178</x:v>
      </x:c>
      <x:c r="F1687" s="89" t="n">
        <x:v>45547.41266203704</x:v>
      </x:c>
      <x:c r="G1687" s="89" t="n">
        <x:v>45562.41266203704</x:v>
      </x:c>
      <x:c r="H1687" s="89"/>
      <x:c r="I1687" s="89"/>
      <x:c r="J1687" s="84" t="str">
        <x:v>Crítica</x:v>
      </x:c>
      <x:c r="K1687" s="84" t="str">
        <x:v>Planejada</x:v>
      </x:c>
      <x:c r="L1687" s="84" t="str">
        <x:v>Desalinhamento</x:v>
      </x:c>
      <x:c r="M1687" s="84"/>
      <x:c r="N1687" s="84"/>
      <x:c r="O1687" s="84" t="n">
        <x:v>0</x:v>
      </x:c>
      <x:c r="P1687" s="93" t="n">
        <x:v>0</x:v>
      </x:c>
      <x:c r="Q1687" s="93" t="n">
        <x:v>0</x:v>
      </x:c>
      <x:c r="R1687" s="91" t="n">
        <x:v>0</x:v>
      </x:c>
    </x:row>
    <x:row r="1688">
      <x:c r="A1688" s="83" t="n">
        <x:v>1687</x:v>
      </x:c>
      <x:c r="B1688" s="84" t="str">
        <x:v>OS-2024-01687</x:v>
      </x:c>
      <x:c r="C1688" s="84" t="n">
        <x:v>32</x:v>
      </x:c>
      <x:c r="D1688" s="84" t="n">
        <x:v>1</x:v>
      </x:c>
      <x:c r="E1688" s="84" t="n">
        <x:v>63</x:v>
      </x:c>
      <x:c r="F1688" s="89" t="n">
        <x:v>45499.17550925926</x:v>
      </x:c>
      <x:c r="G1688" s="89" t="n">
        <x:v>45508.17550925926</x:v>
      </x:c>
      <x:c r="H1688" s="89" t="n">
        <x:v>45502.17550925926</x:v>
      </x:c>
      <x:c r="I1688" s="89" t="n">
        <x:v>45502.46717592593</x:v>
      </x:c>
      <x:c r="J1688" s="84" t="str">
        <x:v>Alta</x:v>
      </x:c>
      <x:c r="K1688" s="84" t="str">
        <x:v>Concluída</x:v>
      </x:c>
      <x:c r="L1688" s="84" t="str">
        <x:v>Superaquecimento</x:v>
      </x:c>
      <x:c r="M1688" s="84" t="str">
        <x:v>Componente danificado</x:v>
      </x:c>
      <x:c r="N1688" s="84" t="str">
        <x:v>Componente ajustado ou substituído</x:v>
      </x:c>
      <x:c r="O1688" s="84" t="n">
        <x:v>0</x:v>
      </x:c>
      <x:c r="P1688" s="93" t="n">
        <x:v>265.99</x:v>
      </x:c>
      <x:c r="Q1688" s="93" t="n">
        <x:v>0</x:v>
      </x:c>
      <x:c r="R1688" s="91" t="n">
        <x:v>3602.34</x:v>
      </x:c>
    </x:row>
    <x:row r="1689">
      <x:c r="A1689" s="83" t="n">
        <x:v>1688</x:v>
      </x:c>
      <x:c r="B1689" s="84" t="str">
        <x:v>OS-2025-01688</x:v>
      </x:c>
      <x:c r="C1689" s="84" t="n">
        <x:v>84</x:v>
      </x:c>
      <x:c r="D1689" s="84" t="n">
        <x:v>1</x:v>
      </x:c>
      <x:c r="E1689" s="84" t="n">
        <x:v>167</x:v>
      </x:c>
      <x:c r="F1689" s="89" t="n">
        <x:v>45944.765810185185</x:v>
      </x:c>
      <x:c r="G1689" s="89" t="n">
        <x:v>45949.765810185185</x:v>
      </x:c>
      <x:c r="H1689" s="89" t="n">
        <x:v>45947.43247685185</x:v>
      </x:c>
      <x:c r="I1689" s="89" t="n">
        <x:v>45947.515810185185</x:v>
      </x:c>
      <x:c r="J1689" s="84" t="str">
        <x:v>Alta</x:v>
      </x:c>
      <x:c r="K1689" s="84" t="str">
        <x:v>Encerrada</x:v>
      </x:c>
      <x:c r="L1689" s="84" t="str">
        <x:v>Ruído anormal</x:v>
      </x:c>
      <x:c r="M1689" s="84" t="str">
        <x:v>Contaminação</x:v>
      </x:c>
      <x:c r="N1689" s="84" t="str">
        <x:v>Componente ajustado ou substituído</x:v>
      </x:c>
      <x:c r="O1689" s="84" t="n">
        <x:v>0</x:v>
      </x:c>
      <x:c r="P1689" s="93" t="n">
        <x:v>408.33</x:v>
      </x:c>
      <x:c r="Q1689" s="93" t="n">
        <x:v>5692.15</x:v>
      </x:c>
      <x:c r="R1689" s="91" t="n">
        <x:v>0</x:v>
      </x:c>
    </x:row>
    <x:row r="1690">
      <x:c r="A1690" s="83" t="n">
        <x:v>1689</x:v>
      </x:c>
      <x:c r="B1690" s="84" t="str">
        <x:v>OS-2023-01689</x:v>
      </x:c>
      <x:c r="C1690" s="84" t="n">
        <x:v>19</x:v>
      </x:c>
      <x:c r="D1690" s="84" t="n">
        <x:v>1</x:v>
      </x:c>
      <x:c r="E1690" s="84" t="n">
        <x:v>38</x:v>
      </x:c>
      <x:c r="F1690" s="89" t="n">
        <x:v>45263.08012731482</x:v>
      </x:c>
      <x:c r="G1690" s="89" t="n">
        <x:v>45266.08012731482</x:v>
      </x:c>
      <x:c r="H1690" s="89" t="n">
        <x:v>45265.413460648146</x:v>
      </x:c>
      <x:c r="I1690" s="89" t="n">
        <x:v>45266.038460648146</x:v>
      </x:c>
      <x:c r="J1690" s="84" t="str">
        <x:v>Alta</x:v>
      </x:c>
      <x:c r="K1690" s="84" t="str">
        <x:v>Encerrada</x:v>
      </x:c>
      <x:c r="L1690" s="84" t="str">
        <x:v>Alarme intermitente</x:v>
      </x:c>
      <x:c r="M1690" s="84" t="str">
        <x:v>Contaminação</x:v>
      </x:c>
      <x:c r="N1690" s="84" t="str">
        <x:v>Componente ajustado ou substituído</x:v>
      </x:c>
      <x:c r="O1690" s="84" t="n">
        <x:v>0</x:v>
      </x:c>
      <x:c r="P1690" s="93" t="n">
        <x:v>345.94</x:v>
      </x:c>
      <x:c r="Q1690" s="93" t="n">
        <x:v>2330.59</x:v>
      </x:c>
      <x:c r="R1690" s="91" t="n">
        <x:v>0</x:v>
      </x:c>
    </x:row>
    <x:row r="1691">
      <x:c r="A1691" s="83" t="n">
        <x:v>1690</x:v>
      </x:c>
      <x:c r="B1691" s="84" t="str">
        <x:v>OS-2025-01690</x:v>
      </x:c>
      <x:c r="C1691" s="84" t="n">
        <x:v>12</x:v>
      </x:c>
      <x:c r="D1691" s="84" t="n">
        <x:v>7</x:v>
      </x:c>
      <x:c r="E1691" s="84" t="n">
        <x:v>23</x:v>
      </x:c>
      <x:c r="F1691" s="89" t="n">
        <x:v>45706.065092592595</x:v>
      </x:c>
      <x:c r="G1691" s="89" t="n">
        <x:v>45715.065092592595</x:v>
      </x:c>
      <x:c r="H1691" s="89" t="n">
        <x:v>45706.690092592595</x:v>
      </x:c>
      <x:c r="I1691" s="89" t="n">
        <x:v>45707.02342592592</x:v>
      </x:c>
      <x:c r="J1691" s="84" t="str">
        <x:v>Alta</x:v>
      </x:c>
      <x:c r="K1691" s="84" t="str">
        <x:v>Encerrada</x:v>
      </x:c>
      <x:c r="L1691" s="84" t="str">
        <x:v>Alarme intermitente</x:v>
      </x:c>
      <x:c r="M1691" s="84" t="str">
        <x:v>Falta de lubrificação</x:v>
      </x:c>
      <x:c r="N1691" s="84" t="str">
        <x:v>Componente ajustado ou substituído</x:v>
      </x:c>
      <x:c r="O1691" s="84" t="n">
        <x:v>0</x:v>
      </x:c>
      <x:c r="P1691" s="93" t="n">
        <x:v>408.63</x:v>
      </x:c>
      <x:c r="Q1691" s="93" t="n">
        <x:v>8678.52</x:v>
      </x:c>
      <x:c r="R1691" s="91" t="n">
        <x:v>12412.46</x:v>
      </x:c>
    </x:row>
    <x:row r="1692">
      <x:c r="A1692" s="83" t="n">
        <x:v>1691</x:v>
      </x:c>
      <x:c r="B1692" s="84" t="str">
        <x:v>OS-2025-01691</x:v>
      </x:c>
      <x:c r="C1692" s="84" t="n">
        <x:v>62</x:v>
      </x:c>
      <x:c r="D1692" s="84" t="n">
        <x:v>1</x:v>
      </x:c>
      <x:c r="E1692" s="84" t="n">
        <x:v>124</x:v>
      </x:c>
      <x:c r="F1692" s="89" t="n">
        <x:v>45966.045115740744</x:v>
      </x:c>
      <x:c r="G1692" s="89" t="n">
        <x:v>45971.045115740744</x:v>
      </x:c>
      <x:c r="H1692" s="89" t="n">
        <x:v>45968.37844907407</x:v>
      </x:c>
      <x:c r="I1692" s="89" t="n">
        <x:v>45968.420115740744</x:v>
      </x:c>
      <x:c r="J1692" s="84" t="str">
        <x:v>Média</x:v>
      </x:c>
      <x:c r="K1692" s="84" t="str">
        <x:v>Encerrada</x:v>
      </x:c>
      <x:c r="L1692" s="84" t="str">
        <x:v>Ruído anormal</x:v>
      </x:c>
      <x:c r="M1692" s="84" t="str">
        <x:v>Ajuste incorreto</x:v>
      </x:c>
      <x:c r="N1692" s="84" t="str">
        <x:v>Componente ajustado ou substituído</x:v>
      </x:c>
      <x:c r="O1692" s="84" t="n">
        <x:v>0</x:v>
      </x:c>
      <x:c r="P1692" s="93" t="n">
        <x:v>512.46</x:v>
      </x:c>
      <x:c r="Q1692" s="93" t="n">
        <x:v>0</x:v>
      </x:c>
      <x:c r="R1692" s="91" t="n">
        <x:v>0</x:v>
      </x:c>
    </x:row>
    <x:row r="1693">
      <x:c r="A1693" s="83" t="n">
        <x:v>1692</x:v>
      </x:c>
      <x:c r="B1693" s="84" t="str">
        <x:v>OS-2025-01692</x:v>
      </x:c>
      <x:c r="C1693" s="84" t="n">
        <x:v>50</x:v>
      </x:c>
      <x:c r="D1693" s="84" t="n">
        <x:v>2</x:v>
      </x:c>
      <x:c r="E1693" s="84"/>
      <x:c r="F1693" s="89" t="n">
        <x:v>45905.259560185186</x:v>
      </x:c>
      <x:c r="G1693" s="89" t="n">
        <x:v>45920.259560185186</x:v>
      </x:c>
      <x:c r="H1693" s="89"/>
      <x:c r="I1693" s="89"/>
      <x:c r="J1693" s="84" t="str">
        <x:v>Baixa</x:v>
      </x:c>
      <x:c r="K1693" s="84" t="str">
        <x:v>Planejada</x:v>
      </x:c>
      <x:c r="L1693" s="84" t="str">
        <x:v>Desalinhamento</x:v>
      </x:c>
      <x:c r="M1693" s="84"/>
      <x:c r="N1693" s="84"/>
      <x:c r="O1693" s="84" t="n">
        <x:v>0</x:v>
      </x:c>
      <x:c r="P1693" s="93" t="n">
        <x:v>0</x:v>
      </x:c>
      <x:c r="Q1693" s="93" t="n">
        <x:v>0</x:v>
      </x:c>
      <x:c r="R1693" s="91" t="n">
        <x:v>0</x:v>
      </x:c>
    </x:row>
    <x:row r="1694">
      <x:c r="A1694" s="83" t="n">
        <x:v>1693</x:v>
      </x:c>
      <x:c r="B1694" s="84" t="str">
        <x:v>OS-2023-01693</x:v>
      </x:c>
      <x:c r="C1694" s="84" t="n">
        <x:v>16</x:v>
      </x:c>
      <x:c r="D1694" s="84" t="n">
        <x:v>3</x:v>
      </x:c>
      <x:c r="E1694" s="84"/>
      <x:c r="F1694" s="89" t="n">
        <x:v>44933.890439814815</x:v>
      </x:c>
      <x:c r="G1694" s="89"/>
      <x:c r="H1694" s="89"/>
      <x:c r="I1694" s="89"/>
      <x:c r="J1694" s="84" t="str">
        <x:v>Crítica</x:v>
      </x:c>
      <x:c r="K1694" s="84" t="str">
        <x:v>Planejada</x:v>
      </x:c>
      <x:c r="L1694" s="84" t="str">
        <x:v>Superaquecimento</x:v>
      </x:c>
      <x:c r="M1694" s="84"/>
      <x:c r="N1694" s="84"/>
      <x:c r="O1694" s="84" t="n">
        <x:v>0</x:v>
      </x:c>
      <x:c r="P1694" s="93" t="n">
        <x:v>0</x:v>
      </x:c>
      <x:c r="Q1694" s="93" t="n">
        <x:v>0</x:v>
      </x:c>
      <x:c r="R1694" s="91" t="n">
        <x:v>0</x:v>
      </x:c>
    </x:row>
    <x:row r="1695">
      <x:c r="A1695" s="83" t="n">
        <x:v>1694</x:v>
      </x:c>
      <x:c r="B1695" s="84" t="str">
        <x:v>OS-2023-01694</x:v>
      </x:c>
      <x:c r="C1695" s="84" t="n">
        <x:v>51</x:v>
      </x:c>
      <x:c r="D1695" s="84" t="n">
        <x:v>2</x:v>
      </x:c>
      <x:c r="E1695" s="84"/>
      <x:c r="F1695" s="89" t="n">
        <x:v>45213.96171296296</x:v>
      </x:c>
      <x:c r="G1695" s="89" t="n">
        <x:v>45221.96171296296</x:v>
      </x:c>
      <x:c r="H1695" s="89" t="n">
        <x:v>45216.75337962963</x:v>
      </x:c>
      <x:c r="I1695" s="89"/>
      <x:c r="J1695" s="84" t="str">
        <x:v>Baixa</x:v>
      </x:c>
      <x:c r="K1695" s="84" t="str">
        <x:v>Em execução</x:v>
      </x:c>
      <x:c r="L1695" s="84" t="str">
        <x:v>Baixa pressão</x:v>
      </x:c>
      <x:c r="M1695" s="84" t="str">
        <x:v>Conexão frouxa</x:v>
      </x:c>
      <x:c r="N1695" s="84"/>
      <x:c r="O1695" s="84" t="n">
        <x:v>0</x:v>
      </x:c>
      <x:c r="P1695" s="93" t="n">
        <x:v>345.71</x:v>
      </x:c>
      <x:c r="Q1695" s="93" t="n">
        <x:v>5490.58</x:v>
      </x:c>
      <x:c r="R1695" s="91" t="n">
        <x:v>0</x:v>
      </x:c>
    </x:row>
    <x:row r="1696">
      <x:c r="A1696" s="83" t="n">
        <x:v>1695</x:v>
      </x:c>
      <x:c r="B1696" s="84" t="str">
        <x:v>OS-2024-01695</x:v>
      </x:c>
      <x:c r="C1696" s="84" t="n">
        <x:v>36</x:v>
      </x:c>
      <x:c r="D1696" s="84" t="n">
        <x:v>1</x:v>
      </x:c>
      <x:c r="E1696" s="84" t="n">
        <x:v>71</x:v>
      </x:c>
      <x:c r="F1696" s="89" t="n">
        <x:v>45403.37899305556</x:v>
      </x:c>
      <x:c r="G1696" s="89" t="n">
        <x:v>45412.37899305556</x:v>
      </x:c>
      <x:c r="H1696" s="89"/>
      <x:c r="I1696" s="89"/>
      <x:c r="J1696" s="84" t="str">
        <x:v>Alta</x:v>
      </x:c>
      <x:c r="K1696" s="84" t="str">
        <x:v>Planejada</x:v>
      </x:c>
      <x:c r="L1696" s="84" t="str">
        <x:v>Superaquecimento</x:v>
      </x:c>
      <x:c r="M1696" s="84"/>
      <x:c r="N1696" s="84"/>
      <x:c r="O1696" s="84" t="n">
        <x:v>0</x:v>
      </x:c>
      <x:c r="P1696" s="93" t="n">
        <x:v>0</x:v>
      </x:c>
      <x:c r="Q1696" s="93" t="n">
        <x:v>0</x:v>
      </x:c>
      <x:c r="R1696" s="91" t="n">
        <x:v>0</x:v>
      </x:c>
    </x:row>
    <x:row r="1697">
      <x:c r="A1697" s="83" t="n">
        <x:v>1696</x:v>
      </x:c>
      <x:c r="B1697" s="84" t="str">
        <x:v>OS-2024-01696</x:v>
      </x:c>
      <x:c r="C1697" s="84" t="n">
        <x:v>23</x:v>
      </x:c>
      <x:c r="D1697" s="84" t="n">
        <x:v>8</x:v>
      </x:c>
      <x:c r="E1697" s="84"/>
      <x:c r="F1697" s="89" t="n">
        <x:v>45316.39912037037</x:v>
      </x:c>
      <x:c r="G1697" s="89" t="n">
        <x:v>45323.39912037037</x:v>
      </x:c>
      <x:c r="H1697" s="89"/>
      <x:c r="I1697" s="89"/>
      <x:c r="J1697" s="84" t="str">
        <x:v>Crítica</x:v>
      </x:c>
      <x:c r="K1697" s="84" t="str">
        <x:v>Planejada</x:v>
      </x:c>
      <x:c r="L1697" s="84" t="str">
        <x:v>Superaquecimento</x:v>
      </x:c>
      <x:c r="M1697" s="84"/>
      <x:c r="N1697" s="84"/>
      <x:c r="O1697" s="84" t="n">
        <x:v>0</x:v>
      </x:c>
      <x:c r="P1697" s="93" t="n">
        <x:v>0</x:v>
      </x:c>
      <x:c r="Q1697" s="93" t="n">
        <x:v>0</x:v>
      </x:c>
      <x:c r="R1697" s="91" t="n">
        <x:v>0</x:v>
      </x:c>
    </x:row>
    <x:row r="1698">
      <x:c r="A1698" s="83" t="n">
        <x:v>1697</x:v>
      </x:c>
      <x:c r="B1698" s="84" t="str">
        <x:v>OS-2024-01697</x:v>
      </x:c>
      <x:c r="C1698" s="84" t="n">
        <x:v>3</x:v>
      </x:c>
      <x:c r="D1698" s="84" t="n">
        <x:v>9</x:v>
      </x:c>
      <x:c r="E1698" s="84"/>
      <x:c r="F1698" s="89" t="n">
        <x:v>45336.312743055554</x:v>
      </x:c>
      <x:c r="G1698" s="89" t="n">
        <x:v>45341.312743055554</x:v>
      </x:c>
      <x:c r="H1698" s="89" t="n">
        <x:v>45337.812743055554</x:v>
      </x:c>
      <x:c r="I1698" s="89"/>
      <x:c r="J1698" s="84" t="str">
        <x:v>Crítica</x:v>
      </x:c>
      <x:c r="K1698" s="84" t="str">
        <x:v>Em execução</x:v>
      </x:c>
      <x:c r="L1698" s="84" t="str">
        <x:v>Superaquecimento</x:v>
      </x:c>
      <x:c r="M1698" s="84" t="str">
        <x:v>Ajuste incorreto</x:v>
      </x:c>
      <x:c r="N1698" s="84"/>
      <x:c r="O1698" s="84" t="n">
        <x:v>0</x:v>
      </x:c>
      <x:c r="P1698" s="93" t="n">
        <x:v>730.7</x:v>
      </x:c>
      <x:c r="Q1698" s="93" t="n">
        <x:v>3101.13</x:v>
      </x:c>
      <x:c r="R1698" s="91" t="n">
        <x:v>0</x:v>
      </x:c>
    </x:row>
    <x:row r="1699">
      <x:c r="A1699" s="83" t="n">
        <x:v>1698</x:v>
      </x:c>
      <x:c r="B1699" s="84" t="str">
        <x:v>OS-2025-01698</x:v>
      </x:c>
      <x:c r="C1699" s="84" t="n">
        <x:v>39</x:v>
      </x:c>
      <x:c r="D1699" s="84" t="n">
        <x:v>2</x:v>
      </x:c>
      <x:c r="E1699" s="84"/>
      <x:c r="F1699" s="89" t="n">
        <x:v>45799.73459490741</x:v>
      </x:c>
      <x:c r="G1699" s="89" t="n">
        <x:v>45800.73459490741</x:v>
      </x:c>
      <x:c r="H1699" s="89" t="n">
        <x:v>45801.15126157407</x:v>
      </x:c>
      <x:c r="I1699" s="89" t="n">
        <x:v>45801.692928240744</x:v>
      </x:c>
      <x:c r="J1699" s="84" t="str">
        <x:v>Baixa</x:v>
      </x:c>
      <x:c r="K1699" s="84" t="str">
        <x:v>Encerrada</x:v>
      </x:c>
      <x:c r="L1699" s="84" t="str">
        <x:v>Vazamento</x:v>
      </x:c>
      <x:c r="M1699" s="84" t="str">
        <x:v>Contaminação</x:v>
      </x:c>
      <x:c r="N1699" s="84" t="str">
        <x:v>Componente ajustado ou substituído</x:v>
      </x:c>
      <x:c r="O1699" s="84" t="n">
        <x:v>0</x:v>
      </x:c>
      <x:c r="P1699" s="93" t="n">
        <x:v>128.57</x:v>
      </x:c>
      <x:c r="Q1699" s="93" t="n">
        <x:v>0</x:v>
      </x:c>
      <x:c r="R1699" s="91" t="n">
        <x:v>0</x:v>
      </x:c>
    </x:row>
    <x:row r="1700">
      <x:c r="A1700" s="83" t="n">
        <x:v>1699</x:v>
      </x:c>
      <x:c r="B1700" s="84" t="str">
        <x:v>OS-2023-01699</x:v>
      </x:c>
      <x:c r="C1700" s="84" t="n">
        <x:v>35</x:v>
      </x:c>
      <x:c r="D1700" s="84" t="n">
        <x:v>2</x:v>
      </x:c>
      <x:c r="E1700" s="84"/>
      <x:c r="F1700" s="89" t="n">
        <x:v>44980.91599537037</x:v>
      </x:c>
      <x:c r="G1700" s="89" t="n">
        <x:v>44980.91599537037</x:v>
      </x:c>
      <x:c r="H1700" s="89" t="n">
        <x:v>44981.91599537037</x:v>
      </x:c>
      <x:c r="I1700" s="89" t="n">
        <x:v>44982.582662037035</x:v>
      </x:c>
      <x:c r="J1700" s="84" t="str">
        <x:v>Baixa</x:v>
      </x:c>
      <x:c r="K1700" s="84" t="str">
        <x:v>Concluída</x:v>
      </x:c>
      <x:c r="L1700" s="84" t="str">
        <x:v>Vazamento</x:v>
      </x:c>
      <x:c r="M1700" s="84" t="str">
        <x:v>Desgaste natural</x:v>
      </x:c>
      <x:c r="N1700" s="84" t="str">
        <x:v>Componente ajustado ou substituído</x:v>
      </x:c>
      <x:c r="O1700" s="84" t="n">
        <x:v>1</x:v>
      </x:c>
      <x:c r="P1700" s="93" t="n">
        <x:v>295.01</x:v>
      </x:c>
      <x:c r="Q1700" s="93" t="n">
        <x:v>4220.11</x:v>
      </x:c>
      <x:c r="R1700" s="91" t="n">
        <x:v>0</x:v>
      </x:c>
    </x:row>
    <x:row r="1701">
      <x:c r="A1701" s="83" t="n">
        <x:v>1700</x:v>
      </x:c>
      <x:c r="B1701" s="84" t="str">
        <x:v>OS-2025-01700</x:v>
      </x:c>
      <x:c r="C1701" s="84" t="n">
        <x:v>87</x:v>
      </x:c>
      <x:c r="D1701" s="84" t="n">
        <x:v>1</x:v>
      </x:c>
      <x:c r="E1701" s="84" t="n">
        <x:v>174</x:v>
      </x:c>
      <x:c r="F1701" s="89" t="n">
        <x:v>45926.84222222222</x:v>
      </x:c>
      <x:c r="G1701" s="89" t="n">
        <x:v>45927.84222222222</x:v>
      </x:c>
      <x:c r="H1701" s="89" t="n">
        <x:v>45927.05055555556</x:v>
      </x:c>
      <x:c r="I1701" s="89" t="n">
        <x:v>45927.133888888886</x:v>
      </x:c>
      <x:c r="J1701" s="84" t="str">
        <x:v>Crítica</x:v>
      </x:c>
      <x:c r="K1701" s="84" t="str">
        <x:v>Encerrada</x:v>
      </x:c>
      <x:c r="L1701" s="84" t="str">
        <x:v>Alarme intermitente</x:v>
      </x:c>
      <x:c r="M1701" s="84" t="str">
        <x:v>Componente danificado</x:v>
      </x:c>
      <x:c r="N1701" s="84" t="str">
        <x:v>Componente ajustado ou substituído</x:v>
      </x:c>
      <x:c r="O1701" s="84" t="n">
        <x:v>0</x:v>
      </x:c>
      <x:c r="P1701" s="93" t="n">
        <x:v>934.98</x:v>
      </x:c>
      <x:c r="Q1701" s="93" t="n">
        <x:v>9584.32</x:v>
      </x:c>
      <x:c r="R1701" s="91" t="n">
        <x:v>0</x:v>
      </x:c>
    </x:row>
    <x:row r="1702">
      <x:c r="A1702" s="83" t="n">
        <x:v>1701</x:v>
      </x:c>
      <x:c r="B1702" s="84" t="str">
        <x:v>OS-2024-01701</x:v>
      </x:c>
      <x:c r="C1702" s="84" t="n">
        <x:v>9</x:v>
      </x:c>
      <x:c r="D1702" s="84" t="n">
        <x:v>1</x:v>
      </x:c>
      <x:c r="E1702" s="84" t="n">
        <x:v>18</x:v>
      </x:c>
      <x:c r="F1702" s="89" t="n">
        <x:v>45357.92239583333</x:v>
      </x:c>
      <x:c r="G1702" s="89" t="n">
        <x:v>45367.92239583333</x:v>
      </x:c>
      <x:c r="H1702" s="89" t="n">
        <x:v>45358.25572916667</x:v>
      </x:c>
      <x:c r="I1702" s="89" t="n">
        <x:v>45358.75572916667</x:v>
      </x:c>
      <x:c r="J1702" s="84" t="str">
        <x:v>Alta</x:v>
      </x:c>
      <x:c r="K1702" s="84" t="str">
        <x:v>Concluída</x:v>
      </x:c>
      <x:c r="L1702" s="84" t="str">
        <x:v>Alarme intermitente</x:v>
      </x:c>
      <x:c r="M1702" s="84" t="str">
        <x:v>Ajuste incorreto</x:v>
      </x:c>
      <x:c r="N1702" s="84" t="str">
        <x:v>Componente ajustado ou substituído</x:v>
      </x:c>
      <x:c r="O1702" s="84" t="n">
        <x:v>0</x:v>
      </x:c>
      <x:c r="P1702" s="93" t="n">
        <x:v>533.92</x:v>
      </x:c>
      <x:c r="Q1702" s="93" t="n">
        <x:v>7580.93</x:v>
      </x:c>
      <x:c r="R1702" s="91" t="n">
        <x:v>8773.11</x:v>
      </x:c>
    </x:row>
    <x:row r="1703">
      <x:c r="A1703" s="83" t="n">
        <x:v>1702</x:v>
      </x:c>
      <x:c r="B1703" s="84" t="str">
        <x:v>OS-2025-01702</x:v>
      </x:c>
      <x:c r="C1703" s="84" t="n">
        <x:v>14</x:v>
      </x:c>
      <x:c r="D1703" s="84" t="n">
        <x:v>4</x:v>
      </x:c>
      <x:c r="E1703" s="84"/>
      <x:c r="F1703" s="89" t="n">
        <x:v>45857.49857638889</x:v>
      </x:c>
      <x:c r="G1703" s="89" t="n">
        <x:v>45871.49857638889</x:v>
      </x:c>
      <x:c r="H1703" s="89" t="n">
        <x:v>45857.99857638889</x:v>
      </x:c>
      <x:c r="I1703" s="89" t="n">
        <x:v>45858.58190972222</x:v>
      </x:c>
      <x:c r="J1703" s="84" t="str">
        <x:v>Média</x:v>
      </x:c>
      <x:c r="K1703" s="84" t="str">
        <x:v>Encerrada</x:v>
      </x:c>
      <x:c r="L1703" s="84" t="str">
        <x:v>Ruído anormal</x:v>
      </x:c>
      <x:c r="M1703" s="84" t="str">
        <x:v>Componente danificado</x:v>
      </x:c>
      <x:c r="N1703" s="84" t="str">
        <x:v>Componente ajustado ou substituído</x:v>
      </x:c>
      <x:c r="O1703" s="84" t="n">
        <x:v>0</x:v>
      </x:c>
      <x:c r="P1703" s="93" t="n">
        <x:v>400.99</x:v>
      </x:c>
      <x:c r="Q1703" s="93" t="n">
        <x:v>0</x:v>
      </x:c>
      <x:c r="R1703" s="91" t="n">
        <x:v>0</x:v>
      </x:c>
    </x:row>
    <x:row r="1704">
      <x:c r="A1704" s="83" t="n">
        <x:v>1703</x:v>
      </x:c>
      <x:c r="B1704" s="84" t="str">
        <x:v>OS-2025-01703</x:v>
      </x:c>
      <x:c r="C1704" s="84" t="n">
        <x:v>29</x:v>
      </x:c>
      <x:c r="D1704" s="84" t="n">
        <x:v>9</x:v>
      </x:c>
      <x:c r="E1704" s="84"/>
      <x:c r="F1704" s="89" t="n">
        <x:v>45924.86236111111</x:v>
      </x:c>
      <x:c r="G1704" s="89" t="n">
        <x:v>45933.86236111111</x:v>
      </x:c>
      <x:c r="H1704" s="89" t="n">
        <x:v>45927.86236111111</x:v>
      </x:c>
      <x:c r="I1704" s="89" t="n">
        <x:v>45928.11236111111</x:v>
      </x:c>
      <x:c r="J1704" s="84" t="str">
        <x:v>Crítica</x:v>
      </x:c>
      <x:c r="K1704" s="84" t="str">
        <x:v>Concluída</x:v>
      </x:c>
      <x:c r="L1704" s="84" t="str">
        <x:v>Baixa pressão</x:v>
      </x:c>
      <x:c r="M1704" s="84" t="str">
        <x:v>Contaminação</x:v>
      </x:c>
      <x:c r="N1704" s="84" t="str">
        <x:v>Componente ajustado ou substituído</x:v>
      </x:c>
      <x:c r="O1704" s="84" t="n">
        <x:v>0</x:v>
      </x:c>
      <x:c r="P1704" s="93" t="n">
        <x:v>387.47</x:v>
      </x:c>
      <x:c r="Q1704" s="93" t="n">
        <x:v>0</x:v>
      </x:c>
      <x:c r="R1704" s="91" t="n">
        <x:v>0</x:v>
      </x:c>
    </x:row>
    <x:row r="1705">
      <x:c r="A1705" s="83" t="n">
        <x:v>1704</x:v>
      </x:c>
      <x:c r="B1705" s="84" t="str">
        <x:v>OS-2023-01704</x:v>
      </x:c>
      <x:c r="C1705" s="84" t="n">
        <x:v>65</x:v>
      </x:c>
      <x:c r="D1705" s="84" t="n">
        <x:v>4</x:v>
      </x:c>
      <x:c r="E1705" s="84"/>
      <x:c r="F1705" s="89" t="n">
        <x:v>44933.69429398148</x:v>
      </x:c>
      <x:c r="G1705" s="89" t="n">
        <x:v>44937.69429398148</x:v>
      </x:c>
      <x:c r="H1705" s="89" t="n">
        <x:v>44935.23596064815</x:v>
      </x:c>
      <x:c r="I1705" s="89" t="n">
        <x:v>44935.77762731481</x:v>
      </x:c>
      <x:c r="J1705" s="84" t="str">
        <x:v>Média</x:v>
      </x:c>
      <x:c r="K1705" s="84" t="str">
        <x:v>Encerrada</x:v>
      </x:c>
      <x:c r="L1705" s="84" t="str">
        <x:v>Superaquecimento</x:v>
      </x:c>
      <x:c r="M1705" s="84" t="str">
        <x:v>Falta de lubrificação</x:v>
      </x:c>
      <x:c r="N1705" s="84" t="str">
        <x:v>Componente ajustado ou substituído</x:v>
      </x:c>
      <x:c r="O1705" s="84" t="n">
        <x:v>0</x:v>
      </x:c>
      <x:c r="P1705" s="93" t="n">
        <x:v>649.45</x:v>
      </x:c>
      <x:c r="Q1705" s="93" t="n">
        <x:v>7459.38</x:v>
      </x:c>
      <x:c r="R1705" s="91" t="n">
        <x:v>0</x:v>
      </x:c>
    </x:row>
    <x:row r="1706">
      <x:c r="A1706" s="83" t="n">
        <x:v>1705</x:v>
      </x:c>
      <x:c r="B1706" s="84" t="str">
        <x:v>OS-2024-01705</x:v>
      </x:c>
      <x:c r="C1706" s="84" t="n">
        <x:v>45</x:v>
      </x:c>
      <x:c r="D1706" s="84" t="n">
        <x:v>3</x:v>
      </x:c>
      <x:c r="E1706" s="84"/>
      <x:c r="F1706" s="89" t="n">
        <x:v>45400.856145833335</x:v>
      </x:c>
      <x:c r="G1706" s="89"/>
      <x:c r="H1706" s="89" t="n">
        <x:v>45401.231145833335</x:v>
      </x:c>
      <x:c r="I1706" s="89" t="n">
        <x:v>45401.356145833335</x:v>
      </x:c>
      <x:c r="J1706" s="84" t="str">
        <x:v>Alta</x:v>
      </x:c>
      <x:c r="K1706" s="84" t="str">
        <x:v>Encerrada</x:v>
      </x:c>
      <x:c r="L1706" s="84" t="str">
        <x:v>Desalinhamento</x:v>
      </x:c>
      <x:c r="M1706" s="84" t="str">
        <x:v>Falta de lubrificação</x:v>
      </x:c>
      <x:c r="N1706" s="84" t="str">
        <x:v>Componente ajustado ou substituído</x:v>
      </x:c>
      <x:c r="O1706" s="84" t="n">
        <x:v>0</x:v>
      </x:c>
      <x:c r="P1706" s="93" t="n">
        <x:v>180.58</x:v>
      </x:c>
      <x:c r="Q1706" s="93" t="n">
        <x:v>5861.68</x:v>
      </x:c>
      <x:c r="R1706" s="91" t="n">
        <x:v>0</x:v>
      </x:c>
    </x:row>
    <x:row r="1707">
      <x:c r="A1707" s="83" t="n">
        <x:v>1706</x:v>
      </x:c>
      <x:c r="B1707" s="84" t="str">
        <x:v>OS-2024-01706</x:v>
      </x:c>
      <x:c r="C1707" s="84" t="n">
        <x:v>47</x:v>
      </x:c>
      <x:c r="D1707" s="84" t="n">
        <x:v>1</x:v>
      </x:c>
      <x:c r="E1707" s="84" t="n">
        <x:v>93</x:v>
      </x:c>
      <x:c r="F1707" s="89" t="n">
        <x:v>45375.15001157407</x:v>
      </x:c>
      <x:c r="G1707" s="89" t="n">
        <x:v>45385.15001157407</x:v>
      </x:c>
      <x:c r="H1707" s="89" t="n">
        <x:v>45378.02501157407</x:v>
      </x:c>
      <x:c r="I1707" s="89" t="n">
        <x:v>45378.19167824074</x:v>
      </x:c>
      <x:c r="J1707" s="84" t="str">
        <x:v>Baixa</x:v>
      </x:c>
      <x:c r="K1707" s="84" t="str">
        <x:v>Concluída</x:v>
      </x:c>
      <x:c r="L1707" s="84" t="str">
        <x:v>Alarme intermitente</x:v>
      </x:c>
      <x:c r="M1707" s="84" t="str">
        <x:v>Ajuste incorreto</x:v>
      </x:c>
      <x:c r="N1707" s="84" t="str">
        <x:v>Componente ajustado ou substituído</x:v>
      </x:c>
      <x:c r="O1707" s="84" t="n">
        <x:v>0</x:v>
      </x:c>
      <x:c r="P1707" s="93" t="n">
        <x:v>527.8</x:v>
      </x:c>
      <x:c r="Q1707" s="93" t="n">
        <x:v>2037.44</x:v>
      </x:c>
      <x:c r="R1707" s="91" t="n">
        <x:v>0</x:v>
      </x:c>
    </x:row>
    <x:row r="1708">
      <x:c r="A1708" s="83" t="n">
        <x:v>1707</x:v>
      </x:c>
      <x:c r="B1708" s="84" t="str">
        <x:v>OS-2024-01707</x:v>
      </x:c>
      <x:c r="C1708" s="84" t="n">
        <x:v>66</x:v>
      </x:c>
      <x:c r="D1708" s="84" t="n">
        <x:v>5</x:v>
      </x:c>
      <x:c r="E1708" s="84" t="n">
        <x:v>132</x:v>
      </x:c>
      <x:c r="F1708" s="89" t="n">
        <x:v>45560.24898148148</x:v>
      </x:c>
      <x:c r="G1708" s="89" t="n">
        <x:v>45575.24898148148</x:v>
      </x:c>
      <x:c r="H1708" s="89" t="n">
        <x:v>45561.41564814815</x:v>
      </x:c>
      <x:c r="I1708" s="89" t="n">
        <x:v>45561.95731481481</x:v>
      </x:c>
      <x:c r="J1708" s="84" t="str">
        <x:v>Alta</x:v>
      </x:c>
      <x:c r="K1708" s="84" t="str">
        <x:v>Encerrada</x:v>
      </x:c>
      <x:c r="L1708" s="84" t="str">
        <x:v>Desalinhamento</x:v>
      </x:c>
      <x:c r="M1708" s="84" t="str">
        <x:v>Ajuste incorreto</x:v>
      </x:c>
      <x:c r="N1708" s="84" t="str">
        <x:v>Componente ajustado ou substituído</x:v>
      </x:c>
      <x:c r="O1708" s="84" t="n">
        <x:v>0</x:v>
      </x:c>
      <x:c r="P1708" s="93" t="n">
        <x:v>384.01</x:v>
      </x:c>
      <x:c r="Q1708" s="93" t="n">
        <x:v>4089.89</x:v>
      </x:c>
      <x:c r="R1708" s="91" t="n">
        <x:v>0</x:v>
      </x:c>
    </x:row>
    <x:row r="1709">
      <x:c r="A1709" s="83" t="n">
        <x:v>1708</x:v>
      </x:c>
      <x:c r="B1709" s="84" t="str">
        <x:v>OS-2025-01708</x:v>
      </x:c>
      <x:c r="C1709" s="84" t="n">
        <x:v>6</x:v>
      </x:c>
      <x:c r="D1709" s="84" t="n">
        <x:v>5</x:v>
      </x:c>
      <x:c r="E1709" s="84" t="n">
        <x:v>11</x:v>
      </x:c>
      <x:c r="F1709" s="89" t="n">
        <x:v>45720.58755787037</x:v>
      </x:c>
      <x:c r="G1709" s="89" t="n">
        <x:v>45721.58755787037</x:v>
      </x:c>
      <x:c r="H1709" s="89"/>
      <x:c r="I1709" s="89"/>
      <x:c r="J1709" s="84" t="str">
        <x:v>Alta</x:v>
      </x:c>
      <x:c r="K1709" s="84" t="str">
        <x:v>Planejada</x:v>
      </x:c>
      <x:c r="L1709" s="84" t="str">
        <x:v>Baixa pressão</x:v>
      </x:c>
      <x:c r="M1709" s="84"/>
      <x:c r="N1709" s="84"/>
      <x:c r="O1709" s="84" t="n">
        <x:v>0</x:v>
      </x:c>
      <x:c r="P1709" s="93" t="n">
        <x:v>0</x:v>
      </x:c>
      <x:c r="Q1709" s="93" t="n">
        <x:v>0</x:v>
      </x:c>
      <x:c r="R1709" s="91" t="n">
        <x:v>0</x:v>
      </x:c>
    </x:row>
    <x:row r="1710">
      <x:c r="A1710" s="83" t="n">
        <x:v>1709</x:v>
      </x:c>
      <x:c r="B1710" s="84" t="str">
        <x:v>OS-2024-01709</x:v>
      </x:c>
      <x:c r="C1710" s="84" t="n">
        <x:v>19</x:v>
      </x:c>
      <x:c r="D1710" s="84" t="n">
        <x:v>1</x:v>
      </x:c>
      <x:c r="E1710" s="84" t="n">
        <x:v>38</x:v>
      </x:c>
      <x:c r="F1710" s="89" t="n">
        <x:v>45395.427094907405</x:v>
      </x:c>
      <x:c r="G1710" s="89" t="n">
        <x:v>45409.427094907405</x:v>
      </x:c>
      <x:c r="H1710" s="89" t="n">
        <x:v>45396.51042824074</x:v>
      </x:c>
      <x:c r="I1710" s="89" t="n">
        <x:v>45397.052094907405</x:v>
      </x:c>
      <x:c r="J1710" s="84" t="str">
        <x:v>Média</x:v>
      </x:c>
      <x:c r="K1710" s="84" t="str">
        <x:v>Encerrada</x:v>
      </x:c>
      <x:c r="L1710" s="84" t="str">
        <x:v>Desalinhamento</x:v>
      </x:c>
      <x:c r="M1710" s="84" t="str">
        <x:v>Ajuste incorreto</x:v>
      </x:c>
      <x:c r="N1710" s="84" t="str">
        <x:v>Componente ajustado ou substituído</x:v>
      </x:c>
      <x:c r="O1710" s="84" t="n">
        <x:v>0</x:v>
      </x:c>
      <x:c r="P1710" s="93" t="n">
        <x:v>756.49</x:v>
      </x:c>
      <x:c r="Q1710" s="93" t="n">
        <x:v>912.34</x:v>
      </x:c>
      <x:c r="R1710" s="91" t="n">
        <x:v>0</x:v>
      </x:c>
    </x:row>
    <x:row r="1711">
      <x:c r="A1711" s="83" t="n">
        <x:v>1710</x:v>
      </x:c>
      <x:c r="B1711" s="84" t="str">
        <x:v>OS-2025-01710</x:v>
      </x:c>
      <x:c r="C1711" s="84" t="n">
        <x:v>88</x:v>
      </x:c>
      <x:c r="D1711" s="84" t="n">
        <x:v>2</x:v>
      </x:c>
      <x:c r="E1711" s="84"/>
      <x:c r="F1711" s="89" t="n">
        <x:v>45902.12837962963</x:v>
      </x:c>
      <x:c r="G1711" s="89" t="n">
        <x:v>45915.12837962963</x:v>
      </x:c>
      <x:c r="H1711" s="89" t="n">
        <x:v>45902.96171296296</x:v>
      </x:c>
      <x:c r="I1711" s="89" t="n">
        <x:v>45903.0450462963</x:v>
      </x:c>
      <x:c r="J1711" s="84" t="str">
        <x:v>Média</x:v>
      </x:c>
      <x:c r="K1711" s="84" t="str">
        <x:v>Encerrada</x:v>
      </x:c>
      <x:c r="L1711" s="84" t="str">
        <x:v>Vazamento</x:v>
      </x:c>
      <x:c r="M1711" s="84" t="str">
        <x:v>Ajuste incorreto</x:v>
      </x:c>
      <x:c r="N1711" s="84" t="str">
        <x:v>Componente ajustado ou substituído</x:v>
      </x:c>
      <x:c r="O1711" s="84" t="n">
        <x:v>0</x:v>
      </x:c>
      <x:c r="P1711" s="93" t="n">
        <x:v>524.73</x:v>
      </x:c>
      <x:c r="Q1711" s="93" t="n">
        <x:v>4611.66</x:v>
      </x:c>
      <x:c r="R1711" s="91" t="n">
        <x:v>0</x:v>
      </x:c>
    </x:row>
    <x:row r="1712">
      <x:c r="A1712" s="83" t="n">
        <x:v>1711</x:v>
      </x:c>
      <x:c r="B1712" s="84" t="str">
        <x:v>OS-2025-01711</x:v>
      </x:c>
      <x:c r="C1712" s="84" t="n">
        <x:v>24</x:v>
      </x:c>
      <x:c r="D1712" s="84" t="n">
        <x:v>3</x:v>
      </x:c>
      <x:c r="E1712" s="84"/>
      <x:c r="F1712" s="89" t="n">
        <x:v>45692.080659722225</x:v>
      </x:c>
      <x:c r="G1712" s="89"/>
      <x:c r="H1712" s="89" t="n">
        <x:v>45693.538993055554</x:v>
      </x:c>
      <x:c r="I1712" s="89" t="n">
        <x:v>45694.080659722225</x:v>
      </x:c>
      <x:c r="J1712" s="84" t="str">
        <x:v>Baixa</x:v>
      </x:c>
      <x:c r="K1712" s="84" t="str">
        <x:v>Encerrada</x:v>
      </x:c>
      <x:c r="L1712" s="84" t="str">
        <x:v>Alarme intermitente</x:v>
      </x:c>
      <x:c r="M1712" s="84" t="str">
        <x:v>Componente danificado</x:v>
      </x:c>
      <x:c r="N1712" s="84" t="str">
        <x:v>Componente ajustado ou substituído</x:v>
      </x:c>
      <x:c r="O1712" s="84" t="n">
        <x:v>0</x:v>
      </x:c>
      <x:c r="P1712" s="93" t="n">
        <x:v>707.48</x:v>
      </x:c>
      <x:c r="Q1712" s="93" t="n">
        <x:v>5166.79</x:v>
      </x:c>
      <x:c r="R1712" s="91" t="n">
        <x:v>0</x:v>
      </x:c>
    </x:row>
    <x:row r="1713">
      <x:c r="A1713" s="83" t="n">
        <x:v>1712</x:v>
      </x:c>
      <x:c r="B1713" s="84" t="str">
        <x:v>OS-2023-01712</x:v>
      </x:c>
      <x:c r="C1713" s="84" t="n">
        <x:v>89</x:v>
      </x:c>
      <x:c r="D1713" s="84" t="n">
        <x:v>1</x:v>
      </x:c>
      <x:c r="E1713" s="84" t="n">
        <x:v>178</x:v>
      </x:c>
      <x:c r="F1713" s="89" t="n">
        <x:v>45051.393738425926</x:v>
      </x:c>
      <x:c r="G1713" s="89" t="n">
        <x:v>45051.393738425926</x:v>
      </x:c>
      <x:c r="H1713" s="89" t="n">
        <x:v>45053.18540509259</x:v>
      </x:c>
      <x:c r="I1713" s="89" t="n">
        <x:v>45053.35207175926</x:v>
      </x:c>
      <x:c r="J1713" s="84" t="str">
        <x:v>Crítica</x:v>
      </x:c>
      <x:c r="K1713" s="84" t="str">
        <x:v>Encerrada</x:v>
      </x:c>
      <x:c r="L1713" s="84" t="str">
        <x:v>Baixa pressão</x:v>
      </x:c>
      <x:c r="M1713" s="84" t="str">
        <x:v>Desgaste natural</x:v>
      </x:c>
      <x:c r="N1713" s="84" t="str">
        <x:v>Componente ajustado ou substituído</x:v>
      </x:c>
      <x:c r="O1713" s="84" t="n">
        <x:v>0</x:v>
      </x:c>
      <x:c r="P1713" s="93" t="n">
        <x:v>367.75</x:v>
      </x:c>
      <x:c r="Q1713" s="93" t="n">
        <x:v>9106.25</x:v>
      </x:c>
      <x:c r="R1713" s="91" t="n">
        <x:v>2868.17</x:v>
      </x:c>
    </x:row>
    <x:row r="1714">
      <x:c r="A1714" s="83" t="n">
        <x:v>1713</x:v>
      </x:c>
      <x:c r="B1714" s="84" t="str">
        <x:v>OS-2024-01713</x:v>
      </x:c>
      <x:c r="C1714" s="84" t="n">
        <x:v>71</x:v>
      </x:c>
      <x:c r="D1714" s="84" t="n">
        <x:v>1</x:v>
      </x:c>
      <x:c r="E1714" s="84" t="n">
        <x:v>141</x:v>
      </x:c>
      <x:c r="F1714" s="89" t="n">
        <x:v>45292.14229166666</x:v>
      </x:c>
      <x:c r="G1714" s="89" t="n">
        <x:v>45302.14229166666</x:v>
      </x:c>
      <x:c r="H1714" s="89" t="n">
        <x:v>45295.01729166666</x:v>
      </x:c>
      <x:c r="I1714" s="89" t="n">
        <x:v>45295.183958333335</x:v>
      </x:c>
      <x:c r="J1714" s="84" t="str">
        <x:v>Crítica</x:v>
      </x:c>
      <x:c r="K1714" s="84" t="str">
        <x:v>Encerrada</x:v>
      </x:c>
      <x:c r="L1714" s="84" t="str">
        <x:v>Desalinhamento</x:v>
      </x:c>
      <x:c r="M1714" s="84" t="str">
        <x:v>Desgaste natural</x:v>
      </x:c>
      <x:c r="N1714" s="84" t="str">
        <x:v>Componente ajustado ou substituído</x:v>
      </x:c>
      <x:c r="O1714" s="84" t="n">
        <x:v>0</x:v>
      </x:c>
      <x:c r="P1714" s="93" t="n">
        <x:v>141.22</x:v>
      </x:c>
      <x:c r="Q1714" s="93" t="n">
        <x:v>5110.47</x:v>
      </x:c>
      <x:c r="R1714" s="91" t="n">
        <x:v>0</x:v>
      </x:c>
    </x:row>
    <x:row r="1715">
      <x:c r="A1715" s="83" t="n">
        <x:v>1714</x:v>
      </x:c>
      <x:c r="B1715" s="84" t="str">
        <x:v>OS-2023-01714</x:v>
      </x:c>
      <x:c r="C1715" s="84" t="n">
        <x:v>41</x:v>
      </x:c>
      <x:c r="D1715" s="84" t="n">
        <x:v>1</x:v>
      </x:c>
      <x:c r="E1715" s="84" t="n">
        <x:v>81</x:v>
      </x:c>
      <x:c r="F1715" s="89" t="n">
        <x:v>45201.69844907407</x:v>
      </x:c>
      <x:c r="G1715" s="89" t="n">
        <x:v>45201.69844907407</x:v>
      </x:c>
      <x:c r="H1715" s="89" t="n">
        <x:v>45204.115115740744</x:v>
      </x:c>
      <x:c r="I1715" s="89" t="n">
        <x:v>45204.65678240741</x:v>
      </x:c>
      <x:c r="J1715" s="84" t="str">
        <x:v>Média</x:v>
      </x:c>
      <x:c r="K1715" s="84" t="str">
        <x:v>Encerrada</x:v>
      </x:c>
      <x:c r="L1715" s="84" t="str">
        <x:v>Desalinhamento</x:v>
      </x:c>
      <x:c r="M1715" s="84" t="str">
        <x:v>Falta de lubrificação</x:v>
      </x:c>
      <x:c r="N1715" s="84" t="str">
        <x:v>Componente ajustado ou substituído</x:v>
      </x:c>
      <x:c r="O1715" s="84" t="n">
        <x:v>0</x:v>
      </x:c>
      <x:c r="P1715" s="93" t="n">
        <x:v>432.55</x:v>
      </x:c>
      <x:c r="Q1715" s="93" t="n">
        <x:v>14145.43</x:v>
      </x:c>
      <x:c r="R1715" s="91" t="n">
        <x:v>0</x:v>
      </x:c>
    </x:row>
    <x:row r="1716">
      <x:c r="A1716" s="83" t="n">
        <x:v>1715</x:v>
      </x:c>
      <x:c r="B1716" s="84" t="str">
        <x:v>OS-2024-01715</x:v>
      </x:c>
      <x:c r="C1716" s="84" t="n">
        <x:v>4</x:v>
      </x:c>
      <x:c r="D1716" s="84" t="n">
        <x:v>1</x:v>
      </x:c>
      <x:c r="E1716" s="84" t="n">
        <x:v>8</x:v>
      </x:c>
      <x:c r="F1716" s="89" t="n">
        <x:v>45325.80730324074</x:v>
      </x:c>
      <x:c r="G1716" s="89" t="n">
        <x:v>45327.80730324074</x:v>
      </x:c>
      <x:c r="H1716" s="89" t="n">
        <x:v>45326.098969907405</x:v>
      </x:c>
      <x:c r="I1716" s="89" t="n">
        <x:v>45326.223969907405</x:v>
      </x:c>
      <x:c r="J1716" s="84" t="str">
        <x:v>Baixa</x:v>
      </x:c>
      <x:c r="K1716" s="84" t="str">
        <x:v>Encerrada</x:v>
      </x:c>
      <x:c r="L1716" s="84" t="str">
        <x:v>Baixa pressão</x:v>
      </x:c>
      <x:c r="M1716" s="84" t="str">
        <x:v>Componente danificado</x:v>
      </x:c>
      <x:c r="N1716" s="84" t="str">
        <x:v>Componente ajustado ou substituído</x:v>
      </x:c>
      <x:c r="O1716" s="84" t="n">
        <x:v>0</x:v>
      </x:c>
      <x:c r="P1716" s="93" t="n">
        <x:v>473.01</x:v>
      </x:c>
      <x:c r="Q1716" s="93" t="n">
        <x:v>0</x:v>
      </x:c>
      <x:c r="R1716" s="91" t="n">
        <x:v>0</x:v>
      </x:c>
    </x:row>
    <x:row r="1717">
      <x:c r="A1717" s="83" t="n">
        <x:v>1716</x:v>
      </x:c>
      <x:c r="B1717" s="84" t="str">
        <x:v>OS-2024-01716</x:v>
      </x:c>
      <x:c r="C1717" s="84" t="n">
        <x:v>27</x:v>
      </x:c>
      <x:c r="D1717" s="84" t="n">
        <x:v>1</x:v>
      </x:c>
      <x:c r="E1717" s="84" t="n">
        <x:v>54</x:v>
      </x:c>
      <x:c r="F1717" s="89" t="n">
        <x:v>45433.74493055556</x:v>
      </x:c>
      <x:c r="G1717" s="89" t="n">
        <x:v>45448.74493055556</x:v>
      </x:c>
      <x:c r="H1717" s="89" t="n">
        <x:v>45434.86993055556</x:v>
      </x:c>
      <x:c r="I1717" s="89"/>
      <x:c r="J1717" s="84" t="str">
        <x:v>Crítica</x:v>
      </x:c>
      <x:c r="K1717" s="84" t="str">
        <x:v>Em execução</x:v>
      </x:c>
      <x:c r="L1717" s="84" t="str">
        <x:v>Vazamento</x:v>
      </x:c>
      <x:c r="M1717" s="84" t="str">
        <x:v>Conexão frouxa</x:v>
      </x:c>
      <x:c r="N1717" s="84"/>
      <x:c r="O1717" s="84" t="n">
        <x:v>0</x:v>
      </x:c>
      <x:c r="P1717" s="93" t="n">
        <x:v>337.91</x:v>
      </x:c>
      <x:c r="Q1717" s="93" t="n">
        <x:v>3453.42</x:v>
      </x:c>
      <x:c r="R1717" s="91" t="n">
        <x:v>2224.6</x:v>
      </x:c>
    </x:row>
    <x:row r="1718">
      <x:c r="A1718" s="83" t="n">
        <x:v>1717</x:v>
      </x:c>
      <x:c r="B1718" s="84" t="str">
        <x:v>OS-2023-01717</x:v>
      </x:c>
      <x:c r="C1718" s="84" t="n">
        <x:v>31</x:v>
      </x:c>
      <x:c r="D1718" s="84" t="n">
        <x:v>3</x:v>
      </x:c>
      <x:c r="E1718" s="84"/>
      <x:c r="F1718" s="89" t="n">
        <x:v>45046.205</x:v>
      </x:c>
      <x:c r="G1718" s="89"/>
      <x:c r="H1718" s="89" t="n">
        <x:v>45046.746666666666</x:v>
      </x:c>
      <x:c r="I1718" s="89" t="n">
        <x:v>45047.455</x:v>
      </x:c>
      <x:c r="J1718" s="84" t="str">
        <x:v>Crítica</x:v>
      </x:c>
      <x:c r="K1718" s="84" t="str">
        <x:v>Encerrada</x:v>
      </x:c>
      <x:c r="L1718" s="84" t="str">
        <x:v>Vazamento</x:v>
      </x:c>
      <x:c r="M1718" s="84" t="str">
        <x:v>Conexão frouxa</x:v>
      </x:c>
      <x:c r="N1718" s="84" t="str">
        <x:v>Componente ajustado ou substituído</x:v>
      </x:c>
      <x:c r="O1718" s="84" t="n">
        <x:v>0</x:v>
      </x:c>
      <x:c r="P1718" s="93" t="n">
        <x:v>434.98</x:v>
      </x:c>
      <x:c r="Q1718" s="93" t="n">
        <x:v>0</x:v>
      </x:c>
      <x:c r="R1718" s="91" t="n">
        <x:v>0</x:v>
      </x:c>
    </x:row>
    <x:row r="1719">
      <x:c r="A1719" s="83" t="n">
        <x:v>1718</x:v>
      </x:c>
      <x:c r="B1719" s="84" t="str">
        <x:v>OS-2023-01718</x:v>
      </x:c>
      <x:c r="C1719" s="84" t="n">
        <x:v>28</x:v>
      </x:c>
      <x:c r="D1719" s="84" t="n">
        <x:v>1</x:v>
      </x:c>
      <x:c r="E1719" s="84" t="n">
        <x:v>56</x:v>
      </x:c>
      <x:c r="F1719" s="89" t="n">
        <x:v>45122.892916666664</x:v>
      </x:c>
      <x:c r="G1719" s="89" t="n">
        <x:v>45134.892916666664</x:v>
      </x:c>
      <x:c r="H1719" s="89" t="n">
        <x:v>45125.35125</x:v>
      </x:c>
      <x:c r="I1719" s="89" t="n">
        <x:v>45126.142916666664</x:v>
      </x:c>
      <x:c r="J1719" s="84" t="str">
        <x:v>Baixa</x:v>
      </x:c>
      <x:c r="K1719" s="84" t="str">
        <x:v>Concluída</x:v>
      </x:c>
      <x:c r="L1719" s="84" t="str">
        <x:v>Vazamento</x:v>
      </x:c>
      <x:c r="M1719" s="84" t="str">
        <x:v>Contaminação</x:v>
      </x:c>
      <x:c r="N1719" s="84" t="str">
        <x:v>Componente ajustado ou substituído</x:v>
      </x:c>
      <x:c r="O1719" s="84" t="n">
        <x:v>0</x:v>
      </x:c>
      <x:c r="P1719" s="93" t="n">
        <x:v>252.82</x:v>
      </x:c>
      <x:c r="Q1719" s="93" t="n">
        <x:v>0</x:v>
      </x:c>
      <x:c r="R1719" s="91" t="n">
        <x:v>0</x:v>
      </x:c>
    </x:row>
    <x:row r="1720">
      <x:c r="A1720" s="83" t="n">
        <x:v>1719</x:v>
      </x:c>
      <x:c r="B1720" s="84" t="str">
        <x:v>OS-2025-01719</x:v>
      </x:c>
      <x:c r="C1720" s="84" t="n">
        <x:v>5</x:v>
      </x:c>
      <x:c r="D1720" s="84" t="n">
        <x:v>1</x:v>
      </x:c>
      <x:c r="E1720" s="84" t="n">
        <x:v>9</x:v>
      </x:c>
      <x:c r="F1720" s="89" t="n">
        <x:v>45776.04797453704</x:v>
      </x:c>
      <x:c r="G1720" s="89" t="n">
        <x:v>45788.04797453704</x:v>
      </x:c>
      <x:c r="H1720" s="89" t="n">
        <x:v>45777.589641203704</x:v>
      </x:c>
      <x:c r="I1720" s="89" t="n">
        <x:v>45778.17297453704</x:v>
      </x:c>
      <x:c r="J1720" s="84" t="str">
        <x:v>Média</x:v>
      </x:c>
      <x:c r="K1720" s="84" t="str">
        <x:v>Concluída</x:v>
      </x:c>
      <x:c r="L1720" s="84" t="str">
        <x:v>Ruído anormal</x:v>
      </x:c>
      <x:c r="M1720" s="84" t="str">
        <x:v>Contaminação</x:v>
      </x:c>
      <x:c r="N1720" s="84" t="str">
        <x:v>Componente ajustado ou substituído</x:v>
      </x:c>
      <x:c r="O1720" s="84" t="n">
        <x:v>0</x:v>
      </x:c>
      <x:c r="P1720" s="93" t="n">
        <x:v>206.6</x:v>
      </x:c>
      <x:c r="Q1720" s="93" t="n">
        <x:v>3522.52</x:v>
      </x:c>
      <x:c r="R1720" s="91" t="n">
        <x:v>0</x:v>
      </x:c>
    </x:row>
    <x:row r="1721">
      <x:c r="A1721" s="83" t="n">
        <x:v>1720</x:v>
      </x:c>
      <x:c r="B1721" s="84" t="str">
        <x:v>OS-2024-01720</x:v>
      </x:c>
      <x:c r="C1721" s="84" t="n">
        <x:v>37</x:v>
      </x:c>
      <x:c r="D1721" s="84" t="n">
        <x:v>1</x:v>
      </x:c>
      <x:c r="E1721" s="84" t="n">
        <x:v>74</x:v>
      </x:c>
      <x:c r="F1721" s="89" t="n">
        <x:v>45341.396006944444</x:v>
      </x:c>
      <x:c r="G1721" s="89" t="n">
        <x:v>45343.396006944444</x:v>
      </x:c>
      <x:c r="H1721" s="89" t="n">
        <x:v>45342.896006944444</x:v>
      </x:c>
      <x:c r="I1721" s="89" t="n">
        <x:v>45343.021006944444</x:v>
      </x:c>
      <x:c r="J1721" s="84" t="str">
        <x:v>Média</x:v>
      </x:c>
      <x:c r="K1721" s="84" t="str">
        <x:v>Encerrada</x:v>
      </x:c>
      <x:c r="L1721" s="84" t="str">
        <x:v>Desalinhamento</x:v>
      </x:c>
      <x:c r="M1721" s="84" t="str">
        <x:v>Falta de lubrificação</x:v>
      </x:c>
      <x:c r="N1721" s="84" t="str">
        <x:v>Componente ajustado ou substituído</x:v>
      </x:c>
      <x:c r="O1721" s="84" t="n">
        <x:v>0</x:v>
      </x:c>
      <x:c r="P1721" s="93" t="n">
        <x:v>30.49</x:v>
      </x:c>
      <x:c r="Q1721" s="93" t="n">
        <x:v>8116.28</x:v>
      </x:c>
      <x:c r="R1721" s="91" t="n">
        <x:v>0</x:v>
      </x:c>
    </x:row>
    <x:row r="1722">
      <x:c r="A1722" s="83" t="n">
        <x:v>1721</x:v>
      </x:c>
      <x:c r="B1722" s="84" t="str">
        <x:v>OS-2023-01721</x:v>
      </x:c>
      <x:c r="C1722" s="84" t="n">
        <x:v>54</x:v>
      </x:c>
      <x:c r="D1722" s="84" t="n">
        <x:v>4</x:v>
      </x:c>
      <x:c r="E1722" s="84"/>
      <x:c r="F1722" s="89" t="n">
        <x:v>45011.65293981481</x:v>
      </x:c>
      <x:c r="G1722" s="89" t="n">
        <x:v>45025.65293981481</x:v>
      </x:c>
      <x:c r="H1722" s="89" t="n">
        <x:v>45012.11127314815</x:v>
      </x:c>
      <x:c r="I1722" s="89" t="n">
        <x:v>45012.15293981481</x:v>
      </x:c>
      <x:c r="J1722" s="84" t="str">
        <x:v>Média</x:v>
      </x:c>
      <x:c r="K1722" s="84" t="str">
        <x:v>Encerrada</x:v>
      </x:c>
      <x:c r="L1722" s="84" t="str">
        <x:v>Ruído anormal</x:v>
      </x:c>
      <x:c r="M1722" s="84" t="str">
        <x:v>Falta de lubrificação</x:v>
      </x:c>
      <x:c r="N1722" s="84" t="str">
        <x:v>Componente ajustado ou substituído</x:v>
      </x:c>
      <x:c r="O1722" s="84" t="n">
        <x:v>0</x:v>
      </x:c>
      <x:c r="P1722" s="93" t="n">
        <x:v>551.8</x:v>
      </x:c>
      <x:c r="Q1722" s="93" t="n">
        <x:v>1465.42</x:v>
      </x:c>
      <x:c r="R1722" s="91" t="n">
        <x:v>0</x:v>
      </x:c>
    </x:row>
    <x:row r="1723">
      <x:c r="A1723" s="83" t="n">
        <x:v>1722</x:v>
      </x:c>
      <x:c r="B1723" s="84" t="str">
        <x:v>OS-2023-01722</x:v>
      </x:c>
      <x:c r="C1723" s="84" t="n">
        <x:v>84</x:v>
      </x:c>
      <x:c r="D1723" s="84" t="n">
        <x:v>1</x:v>
      </x:c>
      <x:c r="E1723" s="84" t="n">
        <x:v>168</x:v>
      </x:c>
      <x:c r="F1723" s="89" t="n">
        <x:v>45037.226689814815</x:v>
      </x:c>
      <x:c r="G1723" s="89" t="n">
        <x:v>45037.226689814815</x:v>
      </x:c>
      <x:c r="H1723" s="89" t="n">
        <x:v>45039.18502314815</x:v>
      </x:c>
      <x:c r="I1723" s="89" t="n">
        <x:v>45039.31002314815</x:v>
      </x:c>
      <x:c r="J1723" s="84" t="str">
        <x:v>Alta</x:v>
      </x:c>
      <x:c r="K1723" s="84" t="str">
        <x:v>Encerrada</x:v>
      </x:c>
      <x:c r="L1723" s="84" t="str">
        <x:v>Alarme intermitente</x:v>
      </x:c>
      <x:c r="M1723" s="84" t="str">
        <x:v>Componente danificado</x:v>
      </x:c>
      <x:c r="N1723" s="84" t="str">
        <x:v>Componente ajustado ou substituído</x:v>
      </x:c>
      <x:c r="O1723" s="84" t="n">
        <x:v>0</x:v>
      </x:c>
      <x:c r="P1723" s="93" t="n">
        <x:v>272.87</x:v>
      </x:c>
      <x:c r="Q1723" s="93" t="n">
        <x:v>4730</x:v>
      </x:c>
      <x:c r="R1723" s="91" t="n">
        <x:v>0</x:v>
      </x:c>
    </x:row>
    <x:row r="1724">
      <x:c r="A1724" s="83" t="n">
        <x:v>1723</x:v>
      </x:c>
      <x:c r="B1724" s="84" t="str">
        <x:v>OS-2024-01723</x:v>
      </x:c>
      <x:c r="C1724" s="84" t="n">
        <x:v>42</x:v>
      </x:c>
      <x:c r="D1724" s="84" t="n">
        <x:v>1</x:v>
      </x:c>
      <x:c r="E1724" s="84" t="n">
        <x:v>83</x:v>
      </x:c>
      <x:c r="F1724" s="89" t="n">
        <x:v>45364.79871527778</x:v>
      </x:c>
      <x:c r="G1724" s="89" t="n">
        <x:v>45372.79871527778</x:v>
      </x:c>
      <x:c r="H1724" s="89" t="n">
        <x:v>45364.84038194444</x:v>
      </x:c>
      <x:c r="I1724" s="89" t="n">
        <x:v>45365.21538194444</x:v>
      </x:c>
      <x:c r="J1724" s="84" t="str">
        <x:v>Crítica</x:v>
      </x:c>
      <x:c r="K1724" s="84" t="str">
        <x:v>Encerrada</x:v>
      </x:c>
      <x:c r="L1724" s="84" t="str">
        <x:v>Baixa pressão</x:v>
      </x:c>
      <x:c r="M1724" s="84" t="str">
        <x:v>Desgaste natural</x:v>
      </x:c>
      <x:c r="N1724" s="84" t="str">
        <x:v>Componente ajustado ou substituído</x:v>
      </x:c>
      <x:c r="O1724" s="84" t="n">
        <x:v>0</x:v>
      </x:c>
      <x:c r="P1724" s="93" t="n">
        <x:v>123.93</x:v>
      </x:c>
      <x:c r="Q1724" s="93" t="n">
        <x:v>0</x:v>
      </x:c>
      <x:c r="R1724" s="91" t="n">
        <x:v>0</x:v>
      </x:c>
    </x:row>
    <x:row r="1725">
      <x:c r="A1725" s="83" t="n">
        <x:v>1724</x:v>
      </x:c>
      <x:c r="B1725" s="84" t="str">
        <x:v>OS-2025-01724</x:v>
      </x:c>
      <x:c r="C1725" s="84" t="n">
        <x:v>40</x:v>
      </x:c>
      <x:c r="D1725" s="84" t="n">
        <x:v>1</x:v>
      </x:c>
      <x:c r="E1725" s="84" t="n">
        <x:v>80</x:v>
      </x:c>
      <x:c r="F1725" s="89" t="n">
        <x:v>45766.353634259256</x:v>
      </x:c>
      <x:c r="G1725" s="89" t="n">
        <x:v>45769.353634259256</x:v>
      </x:c>
      <x:c r="H1725" s="89" t="n">
        <x:v>45767.478634259256</x:v>
      </x:c>
      <x:c r="I1725" s="89" t="n">
        <x:v>45767.728634259256</x:v>
      </x:c>
      <x:c r="J1725" s="84" t="str">
        <x:v>Média</x:v>
      </x:c>
      <x:c r="K1725" s="84" t="str">
        <x:v>Encerrada</x:v>
      </x:c>
      <x:c r="L1725" s="84" t="str">
        <x:v>Baixa pressão</x:v>
      </x:c>
      <x:c r="M1725" s="84" t="str">
        <x:v>Desgaste natural</x:v>
      </x:c>
      <x:c r="N1725" s="84" t="str">
        <x:v>Componente ajustado ou substituído</x:v>
      </x:c>
      <x:c r="O1725" s="84" t="n">
        <x:v>0</x:v>
      </x:c>
      <x:c r="P1725" s="93" t="n">
        <x:v>724.56</x:v>
      </x:c>
      <x:c r="Q1725" s="93" t="n">
        <x:v>1934.19</x:v>
      </x:c>
      <x:c r="R1725" s="91" t="n">
        <x:v>0</x:v>
      </x:c>
    </x:row>
    <x:row r="1726">
      <x:c r="A1726" s="83" t="n">
        <x:v>1725</x:v>
      </x:c>
      <x:c r="B1726" s="84" t="str">
        <x:v>OS-2023-01725</x:v>
      </x:c>
      <x:c r="C1726" s="84" t="n">
        <x:v>70</x:v>
      </x:c>
      <x:c r="D1726" s="84" t="n">
        <x:v>2</x:v>
      </x:c>
      <x:c r="E1726" s="84"/>
      <x:c r="F1726" s="89" t="n">
        <x:v>44983.953194444446</x:v>
      </x:c>
      <x:c r="G1726" s="89" t="n">
        <x:v>44991.953194444446</x:v>
      </x:c>
      <x:c r="H1726" s="89" t="n">
        <x:v>44986.078194444446</x:v>
      </x:c>
      <x:c r="I1726" s="89" t="n">
        <x:v>44986.49486111111</x:v>
      </x:c>
      <x:c r="J1726" s="84" t="str">
        <x:v>Baixa</x:v>
      </x:c>
      <x:c r="K1726" s="84" t="str">
        <x:v>Encerrada</x:v>
      </x:c>
      <x:c r="L1726" s="84" t="str">
        <x:v>Desalinhamento</x:v>
      </x:c>
      <x:c r="M1726" s="84" t="str">
        <x:v>Ajuste incorreto</x:v>
      </x:c>
      <x:c r="N1726" s="84" t="str">
        <x:v>Componente ajustado ou substituído</x:v>
      </x:c>
      <x:c r="O1726" s="84" t="n">
        <x:v>0</x:v>
      </x:c>
      <x:c r="P1726" s="93" t="n">
        <x:v>206.39</x:v>
      </x:c>
      <x:c r="Q1726" s="93" t="n">
        <x:v>4116.62</x:v>
      </x:c>
      <x:c r="R1726" s="91" t="n">
        <x:v>0</x:v>
      </x:c>
    </x:row>
    <x:row r="1727">
      <x:c r="A1727" s="83" t="n">
        <x:v>1726</x:v>
      </x:c>
      <x:c r="B1727" s="84" t="str">
        <x:v>OS-2024-01726</x:v>
      </x:c>
      <x:c r="C1727" s="84" t="n">
        <x:v>44</x:v>
      </x:c>
      <x:c r="D1727" s="84" t="n">
        <x:v>5</x:v>
      </x:c>
      <x:c r="E1727" s="84" t="n">
        <x:v>87</x:v>
      </x:c>
      <x:c r="F1727" s="89" t="n">
        <x:v>45612.32607638889</x:v>
      </x:c>
      <x:c r="G1727" s="89" t="n">
        <x:v>45627.32607638889</x:v>
      </x:c>
      <x:c r="H1727" s="89" t="n">
        <x:v>45613.20107638889</x:v>
      </x:c>
      <x:c r="I1727" s="89" t="n">
        <x:v>45613.992743055554</x:v>
      </x:c>
      <x:c r="J1727" s="84" t="str">
        <x:v>Média</x:v>
      </x:c>
      <x:c r="K1727" s="84" t="str">
        <x:v>Encerrada</x:v>
      </x:c>
      <x:c r="L1727" s="84" t="str">
        <x:v>Vazamento</x:v>
      </x:c>
      <x:c r="M1727" s="84" t="str">
        <x:v>Ajuste incorreto</x:v>
      </x:c>
      <x:c r="N1727" s="84" t="str">
        <x:v>Componente ajustado ou substituído</x:v>
      </x:c>
      <x:c r="O1727" s="84" t="n">
        <x:v>0</x:v>
      </x:c>
      <x:c r="P1727" s="93" t="n">
        <x:v>591.7</x:v>
      </x:c>
      <x:c r="Q1727" s="93" t="n">
        <x:v>0</x:v>
      </x:c>
      <x:c r="R1727" s="91" t="n">
        <x:v>0</x:v>
      </x:c>
    </x:row>
    <x:row r="1728">
      <x:c r="A1728" s="83" t="n">
        <x:v>1727</x:v>
      </x:c>
      <x:c r="B1728" s="84" t="str">
        <x:v>OS-2024-01727</x:v>
      </x:c>
      <x:c r="C1728" s="84" t="n">
        <x:v>18</x:v>
      </x:c>
      <x:c r="D1728" s="84" t="n">
        <x:v>3</x:v>
      </x:c>
      <x:c r="E1728" s="84"/>
      <x:c r="F1728" s="89" t="n">
        <x:v>45642.59490740741</x:v>
      </x:c>
      <x:c r="G1728" s="89"/>
      <x:c r="H1728" s="89" t="n">
        <x:v>45644.38657407407</x:v>
      </x:c>
      <x:c r="I1728" s="89" t="n">
        <x:v>45645.09490740741</x:v>
      </x:c>
      <x:c r="J1728" s="84" t="str">
        <x:v>Alta</x:v>
      </x:c>
      <x:c r="K1728" s="84" t="str">
        <x:v>Encerrada</x:v>
      </x:c>
      <x:c r="L1728" s="84" t="str">
        <x:v>Alarme intermitente</x:v>
      </x:c>
      <x:c r="M1728" s="84" t="str">
        <x:v>Falta de lubrificação</x:v>
      </x:c>
      <x:c r="N1728" s="84" t="str">
        <x:v>Componente ajustado ou substituído</x:v>
      </x:c>
      <x:c r="O1728" s="84" t="n">
        <x:v>0</x:v>
      </x:c>
      <x:c r="P1728" s="93" t="n">
        <x:v>589.38</x:v>
      </x:c>
      <x:c r="Q1728" s="93" t="n">
        <x:v>642.76</x:v>
      </x:c>
      <x:c r="R1728" s="91" t="n">
        <x:v>0</x:v>
      </x:c>
    </x:row>
    <x:row r="1729">
      <x:c r="A1729" s="83" t="n">
        <x:v>1728</x:v>
      </x:c>
      <x:c r="B1729" s="84" t="str">
        <x:v>OS-2025-01728</x:v>
      </x:c>
      <x:c r="C1729" s="84" t="n">
        <x:v>36</x:v>
      </x:c>
      <x:c r="D1729" s="84" t="n">
        <x:v>1</x:v>
      </x:c>
      <x:c r="E1729" s="84" t="n">
        <x:v>71</x:v>
      </x:c>
      <x:c r="F1729" s="89" t="n">
        <x:v>45830.94199074074</x:v>
      </x:c>
      <x:c r="G1729" s="89" t="n">
        <x:v>45830.94199074074</x:v>
      </x:c>
      <x:c r="H1729" s="89" t="n">
        <x:v>45833.85865740741</x:v>
      </x:c>
      <x:c r="I1729" s="89" t="n">
        <x:v>45834.40032407407</x:v>
      </x:c>
      <x:c r="J1729" s="84" t="str">
        <x:v>Média</x:v>
      </x:c>
      <x:c r="K1729" s="84" t="str">
        <x:v>Encerrada</x:v>
      </x:c>
      <x:c r="L1729" s="84" t="str">
        <x:v>Ruído anormal</x:v>
      </x:c>
      <x:c r="M1729" s="84" t="str">
        <x:v>Desgaste natural</x:v>
      </x:c>
      <x:c r="N1729" s="84" t="str">
        <x:v>Componente ajustado ou substituído</x:v>
      </x:c>
      <x:c r="O1729" s="84" t="n">
        <x:v>0</x:v>
      </x:c>
      <x:c r="P1729" s="93" t="n">
        <x:v>68.46</x:v>
      </x:c>
      <x:c r="Q1729" s="93" t="n">
        <x:v>5848.57</x:v>
      </x:c>
      <x:c r="R1729" s="91" t="n">
        <x:v>0</x:v>
      </x:c>
    </x:row>
    <x:row r="1730">
      <x:c r="A1730" s="83" t="n">
        <x:v>1729</x:v>
      </x:c>
      <x:c r="B1730" s="84" t="str">
        <x:v>OS-2024-01729</x:v>
      </x:c>
      <x:c r="C1730" s="84" t="n">
        <x:v>90</x:v>
      </x:c>
      <x:c r="D1730" s="84" t="n">
        <x:v>1</x:v>
      </x:c>
      <x:c r="E1730" s="84" t="n">
        <x:v>180</x:v>
      </x:c>
      <x:c r="F1730" s="89" t="n">
        <x:v>45487.70894675926</x:v>
      </x:c>
      <x:c r="G1730" s="89" t="n">
        <x:v>45490.70894675926</x:v>
      </x:c>
      <x:c r="H1730" s="89"/>
      <x:c r="I1730" s="89"/>
      <x:c r="J1730" s="84" t="str">
        <x:v>Média</x:v>
      </x:c>
      <x:c r="K1730" s="84" t="str">
        <x:v>Planejada</x:v>
      </x:c>
      <x:c r="L1730" s="84" t="str">
        <x:v>Superaquecimento</x:v>
      </x:c>
      <x:c r="M1730" s="84"/>
      <x:c r="N1730" s="84"/>
      <x:c r="O1730" s="84" t="n">
        <x:v>0</x:v>
      </x:c>
      <x:c r="P1730" s="93" t="n">
        <x:v>0</x:v>
      </x:c>
      <x:c r="Q1730" s="93" t="n">
        <x:v>0</x:v>
      </x:c>
      <x:c r="R1730" s="91" t="n">
        <x:v>0</x:v>
      </x:c>
    </x:row>
    <x:row r="1731">
      <x:c r="A1731" s="83" t="n">
        <x:v>1730</x:v>
      </x:c>
      <x:c r="B1731" s="84" t="str">
        <x:v>OS-2024-01730</x:v>
      </x:c>
      <x:c r="C1731" s="84" t="n">
        <x:v>89</x:v>
      </x:c>
      <x:c r="D1731" s="84" t="n">
        <x:v>3</x:v>
      </x:c>
      <x:c r="E1731" s="84"/>
      <x:c r="F1731" s="89" t="n">
        <x:v>45304.44310185185</x:v>
      </x:c>
      <x:c r="G1731" s="89"/>
      <x:c r="H1731" s="89" t="n">
        <x:v>45307.19310185185</x:v>
      </x:c>
      <x:c r="I1731" s="89" t="n">
        <x:v>45307.65143518519</x:v>
      </x:c>
      <x:c r="J1731" s="84" t="str">
        <x:v>Alta</x:v>
      </x:c>
      <x:c r="K1731" s="84" t="str">
        <x:v>Encerrada</x:v>
      </x:c>
      <x:c r="L1731" s="84" t="str">
        <x:v>Ruído anormal</x:v>
      </x:c>
      <x:c r="M1731" s="84" t="str">
        <x:v>Conexão frouxa</x:v>
      </x:c>
      <x:c r="N1731" s="84" t="str">
        <x:v>Componente ajustado ou substituído</x:v>
      </x:c>
      <x:c r="O1731" s="84" t="n">
        <x:v>0</x:v>
      </x:c>
      <x:c r="P1731" s="93" t="n">
        <x:v>452.07</x:v>
      </x:c>
      <x:c r="Q1731" s="93" t="n">
        <x:v>7934.08</x:v>
      </x:c>
      <x:c r="R1731" s="91" t="n">
        <x:v>11944.11</x:v>
      </x:c>
    </x:row>
    <x:row r="1732">
      <x:c r="A1732" s="83" t="n">
        <x:v>1731</x:v>
      </x:c>
      <x:c r="B1732" s="84" t="str">
        <x:v>OS-2023-01731</x:v>
      </x:c>
      <x:c r="C1732" s="84" t="n">
        <x:v>15</x:v>
      </x:c>
      <x:c r="D1732" s="84" t="n">
        <x:v>1</x:v>
      </x:c>
      <x:c r="E1732" s="84" t="n">
        <x:v>29</x:v>
      </x:c>
      <x:c r="F1732" s="89" t="n">
        <x:v>45046.21454861111</x:v>
      </x:c>
      <x:c r="G1732" s="89" t="n">
        <x:v>45049.21454861111</x:v>
      </x:c>
      <x:c r="H1732" s="89" t="n">
        <x:v>45047.631215277775</x:v>
      </x:c>
      <x:c r="I1732" s="89" t="n">
        <x:v>45048.006215277775</x:v>
      </x:c>
      <x:c r="J1732" s="84" t="str">
        <x:v>Média</x:v>
      </x:c>
      <x:c r="K1732" s="84" t="str">
        <x:v>Encerrada</x:v>
      </x:c>
      <x:c r="L1732" s="84" t="str">
        <x:v>Falha elétrica</x:v>
      </x:c>
      <x:c r="M1732" s="84" t="str">
        <x:v>Ajuste incorreto</x:v>
      </x:c>
      <x:c r="N1732" s="84" t="str">
        <x:v>Componente ajustado ou substituído</x:v>
      </x:c>
      <x:c r="O1732" s="84" t="n">
        <x:v>0</x:v>
      </x:c>
      <x:c r="P1732" s="93" t="n">
        <x:v>27.1</x:v>
      </x:c>
      <x:c r="Q1732" s="93" t="n">
        <x:v>6027.16</x:v>
      </x:c>
      <x:c r="R1732" s="91" t="n">
        <x:v>0</x:v>
      </x:c>
    </x:row>
    <x:row r="1733">
      <x:c r="A1733" s="83" t="n">
        <x:v>1732</x:v>
      </x:c>
      <x:c r="B1733" s="84" t="str">
        <x:v>OS-2024-01732</x:v>
      </x:c>
      <x:c r="C1733" s="84" t="n">
        <x:v>53</x:v>
      </x:c>
      <x:c r="D1733" s="84" t="n">
        <x:v>2</x:v>
      </x:c>
      <x:c r="E1733" s="84"/>
      <x:c r="F1733" s="89" t="n">
        <x:v>45345.068715277775</x:v>
      </x:c>
      <x:c r="G1733" s="89" t="n">
        <x:v>45345.068715277775</x:v>
      </x:c>
      <x:c r="H1733" s="89" t="n">
        <x:v>45346.77704861111</x:v>
      </x:c>
      <x:c r="I1733" s="89" t="n">
        <x:v>45346.818715277775</x:v>
      </x:c>
      <x:c r="J1733" s="84" t="str">
        <x:v>Crítica</x:v>
      </x:c>
      <x:c r="K1733" s="84" t="str">
        <x:v>Encerrada</x:v>
      </x:c>
      <x:c r="L1733" s="84" t="str">
        <x:v>Baixa pressão</x:v>
      </x:c>
      <x:c r="M1733" s="84" t="str">
        <x:v>Desgaste natural</x:v>
      </x:c>
      <x:c r="N1733" s="84" t="str">
        <x:v>Componente ajustado ou substituído</x:v>
      </x:c>
      <x:c r="O1733" s="84" t="n">
        <x:v>0</x:v>
      </x:c>
      <x:c r="P1733" s="93" t="n">
        <x:v>541.76</x:v>
      </x:c>
      <x:c r="Q1733" s="93" t="n">
        <x:v>8420.07</x:v>
      </x:c>
      <x:c r="R1733" s="91" t="n">
        <x:v>0</x:v>
      </x:c>
    </x:row>
    <x:row r="1734">
      <x:c r="A1734" s="83" t="n">
        <x:v>1733</x:v>
      </x:c>
      <x:c r="B1734" s="84" t="str">
        <x:v>OS-2023-01733</x:v>
      </x:c>
      <x:c r="C1734" s="84" t="n">
        <x:v>3</x:v>
      </x:c>
      <x:c r="D1734" s="84" t="n">
        <x:v>1</x:v>
      </x:c>
      <x:c r="E1734" s="84" t="n">
        <x:v>5</x:v>
      </x:c>
      <x:c r="F1734" s="89" t="n">
        <x:v>44947.878900462965</x:v>
      </x:c>
      <x:c r="G1734" s="89" t="n">
        <x:v>44956.878900462965</x:v>
      </x:c>
      <x:c r="H1734" s="89" t="n">
        <x:v>44948.087233796294</x:v>
      </x:c>
      <x:c r="I1734" s="89"/>
      <x:c r="J1734" s="84" t="str">
        <x:v>Crítica</x:v>
      </x:c>
      <x:c r="K1734" s="84" t="str">
        <x:v>Em execução</x:v>
      </x:c>
      <x:c r="L1734" s="84" t="str">
        <x:v>Vazamento</x:v>
      </x:c>
      <x:c r="M1734" s="84" t="str">
        <x:v>Desgaste natural</x:v>
      </x:c>
      <x:c r="N1734" s="84"/>
      <x:c r="O1734" s="84" t="n">
        <x:v>0</x:v>
      </x:c>
      <x:c r="P1734" s="93" t="n">
        <x:v>73.66</x:v>
      </x:c>
      <x:c r="Q1734" s="93" t="n">
        <x:v>1355.2</x:v>
      </x:c>
      <x:c r="R1734" s="91" t="n">
        <x:v>0</x:v>
      </x:c>
    </x:row>
    <x:row r="1735">
      <x:c r="A1735" s="83" t="n">
        <x:v>1734</x:v>
      </x:c>
      <x:c r="B1735" s="84" t="str">
        <x:v>OS-2024-01734</x:v>
      </x:c>
      <x:c r="C1735" s="84" t="n">
        <x:v>80</x:v>
      </x:c>
      <x:c r="D1735" s="84" t="n">
        <x:v>5</x:v>
      </x:c>
      <x:c r="E1735" s="84" t="n">
        <x:v>160</x:v>
      </x:c>
      <x:c r="F1735" s="89" t="n">
        <x:v>45499.12310185185</x:v>
      </x:c>
      <x:c r="G1735" s="89" t="n">
        <x:v>45509.12310185185</x:v>
      </x:c>
      <x:c r="H1735" s="89" t="n">
        <x:v>45499.62310185185</x:v>
      </x:c>
      <x:c r="I1735" s="89" t="n">
        <x:v>45500.414768518516</x:v>
      </x:c>
      <x:c r="J1735" s="84" t="str">
        <x:v>Alta</x:v>
      </x:c>
      <x:c r="K1735" s="84" t="str">
        <x:v>Encerrada</x:v>
      </x:c>
      <x:c r="L1735" s="84" t="str">
        <x:v>Baixa pressão</x:v>
      </x:c>
      <x:c r="M1735" s="84" t="str">
        <x:v>Desgaste natural</x:v>
      </x:c>
      <x:c r="N1735" s="84" t="str">
        <x:v>Componente ajustado ou substituído</x:v>
      </x:c>
      <x:c r="O1735" s="84" t="n">
        <x:v>0</x:v>
      </x:c>
      <x:c r="P1735" s="93" t="n">
        <x:v>127.89</x:v>
      </x:c>
      <x:c r="Q1735" s="93" t="n">
        <x:v>2035.04</x:v>
      </x:c>
      <x:c r="R1735" s="91" t="n">
        <x:v>10865.75</x:v>
      </x:c>
    </x:row>
    <x:row r="1736">
      <x:c r="A1736" s="83" t="n">
        <x:v>1735</x:v>
      </x:c>
      <x:c r="B1736" s="84" t="str">
        <x:v>OS-2024-01735</x:v>
      </x:c>
      <x:c r="C1736" s="84" t="n">
        <x:v>19</x:v>
      </x:c>
      <x:c r="D1736" s="84" t="n">
        <x:v>1</x:v>
      </x:c>
      <x:c r="E1736" s="84" t="n">
        <x:v>38</x:v>
      </x:c>
      <x:c r="F1736" s="89" t="n">
        <x:v>45517.267384259256</x:v>
      </x:c>
      <x:c r="G1736" s="89" t="n">
        <x:v>45518.267384259256</x:v>
      </x:c>
      <x:c r="H1736" s="89" t="n">
        <x:v>45519.93405092593</x:v>
      </x:c>
      <x:c r="I1736" s="89" t="n">
        <x:v>45520.47571759259</x:v>
      </x:c>
      <x:c r="J1736" s="84" t="str">
        <x:v>Média</x:v>
      </x:c>
      <x:c r="K1736" s="84" t="str">
        <x:v>Concluída</x:v>
      </x:c>
      <x:c r="L1736" s="84" t="str">
        <x:v>Vazamento</x:v>
      </x:c>
      <x:c r="M1736" s="84" t="str">
        <x:v>Desgaste natural</x:v>
      </x:c>
      <x:c r="N1736" s="84" t="str">
        <x:v>Componente ajustado ou substituído</x:v>
      </x:c>
      <x:c r="O1736" s="84" t="n">
        <x:v>0</x:v>
      </x:c>
      <x:c r="P1736" s="93" t="n">
        <x:v>221.06</x:v>
      </x:c>
      <x:c r="Q1736" s="93" t="n">
        <x:v>10455.57</x:v>
      </x:c>
      <x:c r="R1736" s="91" t="n">
        <x:v>12590.93</x:v>
      </x:c>
    </x:row>
    <x:row r="1737">
      <x:c r="A1737" s="83" t="n">
        <x:v>1736</x:v>
      </x:c>
      <x:c r="B1737" s="84" t="str">
        <x:v>OS-2024-01736</x:v>
      </x:c>
      <x:c r="C1737" s="84" t="n">
        <x:v>29</x:v>
      </x:c>
      <x:c r="D1737" s="84" t="n">
        <x:v>9</x:v>
      </x:c>
      <x:c r="E1737" s="84"/>
      <x:c r="F1737" s="89" t="n">
        <x:v>45342.883784722224</x:v>
      </x:c>
      <x:c r="G1737" s="89" t="n">
        <x:v>45346.883784722224</x:v>
      </x:c>
      <x:c r="H1737" s="89" t="n">
        <x:v>45344.67545138889</x:v>
      </x:c>
      <x:c r="I1737" s="89" t="n">
        <x:v>45345.21711805555</x:v>
      </x:c>
      <x:c r="J1737" s="84" t="str">
        <x:v>Média</x:v>
      </x:c>
      <x:c r="K1737" s="84" t="str">
        <x:v>Encerrada</x:v>
      </x:c>
      <x:c r="L1737" s="84" t="str">
        <x:v>Vazamento</x:v>
      </x:c>
      <x:c r="M1737" s="84" t="str">
        <x:v>Falta de lubrificação</x:v>
      </x:c>
      <x:c r="N1737" s="84" t="str">
        <x:v>Componente ajustado ou substituído</x:v>
      </x:c>
      <x:c r="O1737" s="84" t="n">
        <x:v>0</x:v>
      </x:c>
      <x:c r="P1737" s="93" t="n">
        <x:v>32.42</x:v>
      </x:c>
      <x:c r="Q1737" s="93" t="n">
        <x:v>9565.16</x:v>
      </x:c>
      <x:c r="R1737" s="91" t="n">
        <x:v>0</x:v>
      </x:c>
    </x:row>
    <x:row r="1738">
      <x:c r="A1738" s="83" t="n">
        <x:v>1737</x:v>
      </x:c>
      <x:c r="B1738" s="84" t="str">
        <x:v>OS-2024-01737</x:v>
      </x:c>
      <x:c r="C1738" s="84" t="n">
        <x:v>82</x:v>
      </x:c>
      <x:c r="D1738" s="84" t="n">
        <x:v>5</x:v>
      </x:c>
      <x:c r="E1738" s="84" t="n">
        <x:v>164</x:v>
      </x:c>
      <x:c r="F1738" s="89" t="n">
        <x:v>45620.41869212963</x:v>
      </x:c>
      <x:c r="G1738" s="89" t="n">
        <x:v>45633.41869212963</x:v>
      </x:c>
      <x:c r="H1738" s="89" t="n">
        <x:v>45620.7103587963</x:v>
      </x:c>
      <x:c r="I1738" s="89"/>
      <x:c r="J1738" s="84" t="str">
        <x:v>Crítica</x:v>
      </x:c>
      <x:c r="K1738" s="84" t="str">
        <x:v>Aguardando peça</x:v>
      </x:c>
      <x:c r="L1738" s="84" t="str">
        <x:v>Ruído anormal</x:v>
      </x:c>
      <x:c r="M1738" s="84" t="str">
        <x:v>Ajuste incorreto</x:v>
      </x:c>
      <x:c r="N1738" s="84"/>
      <x:c r="O1738" s="84" t="n">
        <x:v>0</x:v>
      </x:c>
      <x:c r="P1738" s="93" t="n">
        <x:v>261.11</x:v>
      </x:c>
      <x:c r="Q1738" s="93" t="n">
        <x:v>6818.76</x:v>
      </x:c>
      <x:c r="R1738" s="91" t="n">
        <x:v>7127.37</x:v>
      </x:c>
    </x:row>
    <x:row r="1739">
      <x:c r="A1739" s="83" t="n">
        <x:v>1738</x:v>
      </x:c>
      <x:c r="B1739" s="84" t="str">
        <x:v>OS-2023-01738</x:v>
      </x:c>
      <x:c r="C1739" s="84" t="n">
        <x:v>65</x:v>
      </x:c>
      <x:c r="D1739" s="84" t="n">
        <x:v>3</x:v>
      </x:c>
      <x:c r="E1739" s="84"/>
      <x:c r="F1739" s="89" t="n">
        <x:v>45274.4384375</x:v>
      </x:c>
      <x:c r="G1739" s="89"/>
      <x:c r="H1739" s="89" t="n">
        <x:v>45277.230104166665</x:v>
      </x:c>
      <x:c r="I1739" s="89" t="n">
        <x:v>45277.77177083334</x:v>
      </x:c>
      <x:c r="J1739" s="84" t="str">
        <x:v>Alta</x:v>
      </x:c>
      <x:c r="K1739" s="84" t="str">
        <x:v>Encerrada</x:v>
      </x:c>
      <x:c r="L1739" s="84" t="str">
        <x:v>Alarme intermitente</x:v>
      </x:c>
      <x:c r="M1739" s="84" t="str">
        <x:v>Desgaste natural</x:v>
      </x:c>
      <x:c r="N1739" s="84" t="str">
        <x:v>Componente ajustado ou substituído</x:v>
      </x:c>
      <x:c r="O1739" s="84" t="n">
        <x:v>0</x:v>
      </x:c>
      <x:c r="P1739" s="93" t="n">
        <x:v>172.83</x:v>
      </x:c>
      <x:c r="Q1739" s="93" t="n">
        <x:v>3034.62</x:v>
      </x:c>
      <x:c r="R1739" s="91" t="n">
        <x:v>0</x:v>
      </x:c>
    </x:row>
    <x:row r="1740">
      <x:c r="A1740" s="83" t="n">
        <x:v>1739</x:v>
      </x:c>
      <x:c r="B1740" s="84" t="str">
        <x:v>OS-2024-01739</x:v>
      </x:c>
      <x:c r="C1740" s="84" t="n">
        <x:v>25</x:v>
      </x:c>
      <x:c r="D1740" s="84" t="n">
        <x:v>2</x:v>
      </x:c>
      <x:c r="E1740" s="84"/>
      <x:c r="F1740" s="89" t="n">
        <x:v>45470.21438657407</x:v>
      </x:c>
      <x:c r="G1740" s="89" t="n">
        <x:v>45476.21438657407</x:v>
      </x:c>
      <x:c r="H1740" s="89" t="n">
        <x:v>45470.29771990741</x:v>
      </x:c>
      <x:c r="I1740" s="89" t="n">
        <x:v>45470.67271990741</x:v>
      </x:c>
      <x:c r="J1740" s="84" t="str">
        <x:v>Baixa</x:v>
      </x:c>
      <x:c r="K1740" s="84" t="str">
        <x:v>Concluída</x:v>
      </x:c>
      <x:c r="L1740" s="84" t="str">
        <x:v>Falha elétrica</x:v>
      </x:c>
      <x:c r="M1740" s="84" t="str">
        <x:v>Componente danificado</x:v>
      </x:c>
      <x:c r="N1740" s="84" t="str">
        <x:v>Componente ajustado ou substituído</x:v>
      </x:c>
      <x:c r="O1740" s="84" t="n">
        <x:v>0</x:v>
      </x:c>
      <x:c r="P1740" s="93" t="n">
        <x:v>279.39</x:v>
      </x:c>
      <x:c r="Q1740" s="93" t="n">
        <x:v>6453</x:v>
      </x:c>
      <x:c r="R1740" s="91" t="n">
        <x:v>0</x:v>
      </x:c>
    </x:row>
    <x:row r="1741">
      <x:c r="A1741" s="83" t="n">
        <x:v>1740</x:v>
      </x:c>
      <x:c r="B1741" s="84" t="str">
        <x:v>OS-2025-01740</x:v>
      </x:c>
      <x:c r="C1741" s="84" t="n">
        <x:v>77</x:v>
      </x:c>
      <x:c r="D1741" s="84" t="n">
        <x:v>1</x:v>
      </x:c>
      <x:c r="E1741" s="84" t="n">
        <x:v>154</x:v>
      </x:c>
      <x:c r="F1741" s="89" t="n">
        <x:v>45859.307337962964</x:v>
      </x:c>
      <x:c r="G1741" s="89" t="n">
        <x:v>45870.307337962964</x:v>
      </x:c>
      <x:c r="H1741" s="89" t="n">
        <x:v>45861.932337962964</x:v>
      </x:c>
      <x:c r="I1741" s="89" t="n">
        <x:v>45862.057337962964</x:v>
      </x:c>
      <x:c r="J1741" s="84" t="str">
        <x:v>Média</x:v>
      </x:c>
      <x:c r="K1741" s="84" t="str">
        <x:v>Concluída</x:v>
      </x:c>
      <x:c r="L1741" s="84" t="str">
        <x:v>Superaquecimento</x:v>
      </x:c>
      <x:c r="M1741" s="84" t="str">
        <x:v>Falta de lubrificação</x:v>
      </x:c>
      <x:c r="N1741" s="84" t="str">
        <x:v>Componente ajustado ou substituído</x:v>
      </x:c>
      <x:c r="O1741" s="84" t="n">
        <x:v>0</x:v>
      </x:c>
      <x:c r="P1741" s="93" t="n">
        <x:v>279.15</x:v>
      </x:c>
      <x:c r="Q1741" s="93" t="n">
        <x:v>7228.14</x:v>
      </x:c>
      <x:c r="R1741" s="91" t="n">
        <x:v>0</x:v>
      </x:c>
    </x:row>
    <x:row r="1742">
      <x:c r="A1742" s="83" t="n">
        <x:v>1741</x:v>
      </x:c>
      <x:c r="B1742" s="84" t="str">
        <x:v>OS-2025-01741</x:v>
      </x:c>
      <x:c r="C1742" s="84" t="n">
        <x:v>21</x:v>
      </x:c>
      <x:c r="D1742" s="84" t="n">
        <x:v>1</x:v>
      </x:c>
      <x:c r="E1742" s="84" t="n">
        <x:v>42</x:v>
      </x:c>
      <x:c r="F1742" s="89" t="n">
        <x:v>45741.47400462963</x:v>
      </x:c>
      <x:c r="G1742" s="89" t="n">
        <x:v>45750.47400462963</x:v>
      </x:c>
      <x:c r="H1742" s="89" t="n">
        <x:v>45743.682337962964</x:v>
      </x:c>
      <x:c r="I1742" s="89" t="n">
        <x:v>45743.8906712963</x:v>
      </x:c>
      <x:c r="J1742" s="84" t="str">
        <x:v>Alta</x:v>
      </x:c>
      <x:c r="K1742" s="84" t="str">
        <x:v>Encerrada</x:v>
      </x:c>
      <x:c r="L1742" s="84" t="str">
        <x:v>Baixa pressão</x:v>
      </x:c>
      <x:c r="M1742" s="84" t="str">
        <x:v>Contaminação</x:v>
      </x:c>
      <x:c r="N1742" s="84" t="str">
        <x:v>Componente ajustado ou substituído</x:v>
      </x:c>
      <x:c r="O1742" s="84" t="n">
        <x:v>0</x:v>
      </x:c>
      <x:c r="P1742" s="93" t="n">
        <x:v>648.73</x:v>
      </x:c>
      <x:c r="Q1742" s="93" t="n">
        <x:v>12665.12</x:v>
      </x:c>
      <x:c r="R1742" s="91" t="n">
        <x:v>14823.31</x:v>
      </x:c>
    </x:row>
    <x:row r="1743">
      <x:c r="A1743" s="83" t="n">
        <x:v>1742</x:v>
      </x:c>
      <x:c r="B1743" s="84" t="str">
        <x:v>OS-2024-01742</x:v>
      </x:c>
      <x:c r="C1743" s="84" t="n">
        <x:v>13</x:v>
      </x:c>
      <x:c r="D1743" s="84" t="n">
        <x:v>1</x:v>
      </x:c>
      <x:c r="E1743" s="84" t="n">
        <x:v>25</x:v>
      </x:c>
      <x:c r="F1743" s="89" t="n">
        <x:v>45502.95505787037</x:v>
      </x:c>
      <x:c r="G1743" s="89" t="n">
        <x:v>45514.95505787037</x:v>
      </x:c>
      <x:c r="H1743" s="89" t="n">
        <x:v>45505.871724537035</x:v>
      </x:c>
      <x:c r="I1743" s="89"/>
      <x:c r="J1743" s="84" t="str">
        <x:v>Baixa</x:v>
      </x:c>
      <x:c r="K1743" s="84" t="str">
        <x:v>Em execução</x:v>
      </x:c>
      <x:c r="L1743" s="84" t="str">
        <x:v>Superaquecimento</x:v>
      </x:c>
      <x:c r="M1743" s="84" t="str">
        <x:v>Falta de lubrificação</x:v>
      </x:c>
      <x:c r="N1743" s="84"/>
      <x:c r="O1743" s="84" t="n">
        <x:v>0</x:v>
      </x:c>
      <x:c r="P1743" s="93" t="n">
        <x:v>429.92</x:v>
      </x:c>
      <x:c r="Q1743" s="93" t="n">
        <x:v>7534.86</x:v>
      </x:c>
      <x:c r="R1743" s="91" t="n">
        <x:v>0</x:v>
      </x:c>
    </x:row>
    <x:row r="1744">
      <x:c r="A1744" s="83" t="n">
        <x:v>1743</x:v>
      </x:c>
      <x:c r="B1744" s="84" t="str">
        <x:v>OS-2024-01743</x:v>
      </x:c>
      <x:c r="C1744" s="84" t="n">
        <x:v>22</x:v>
      </x:c>
      <x:c r="D1744" s="84" t="n">
        <x:v>3</x:v>
      </x:c>
      <x:c r="E1744" s="84"/>
      <x:c r="F1744" s="89" t="n">
        <x:v>45400.76226851852</x:v>
      </x:c>
      <x:c r="G1744" s="89"/>
      <x:c r="H1744" s="89" t="n">
        <x:v>45403.053935185184</x:v>
      </x:c>
      <x:c r="I1744" s="89" t="n">
        <x:v>45403.51226851852</x:v>
      </x:c>
      <x:c r="J1744" s="84" t="str">
        <x:v>Baixa</x:v>
      </x:c>
      <x:c r="K1744" s="84" t="str">
        <x:v>Concluída</x:v>
      </x:c>
      <x:c r="L1744" s="84" t="str">
        <x:v>Alarme intermitente</x:v>
      </x:c>
      <x:c r="M1744" s="84" t="str">
        <x:v>Conexão frouxa</x:v>
      </x:c>
      <x:c r="N1744" s="84" t="str">
        <x:v>Componente ajustado ou substituído</x:v>
      </x:c>
      <x:c r="O1744" s="84" t="n">
        <x:v>0</x:v>
      </x:c>
      <x:c r="P1744" s="93" t="n">
        <x:v>188.29</x:v>
      </x:c>
      <x:c r="Q1744" s="93" t="n">
        <x:v>666.16</x:v>
      </x:c>
      <x:c r="R1744" s="91" t="n">
        <x:v>0</x:v>
      </x:c>
    </x:row>
    <x:row r="1745">
      <x:c r="A1745" s="83" t="n">
        <x:v>1744</x:v>
      </x:c>
      <x:c r="B1745" s="84" t="str">
        <x:v>OS-2024-01744</x:v>
      </x:c>
      <x:c r="C1745" s="84" t="n">
        <x:v>78</x:v>
      </x:c>
      <x:c r="D1745" s="84" t="n">
        <x:v>1</x:v>
      </x:c>
      <x:c r="E1745" s="84" t="n">
        <x:v>156</x:v>
      </x:c>
      <x:c r="F1745" s="89" t="n">
        <x:v>45607.031643518516</x:v>
      </x:c>
      <x:c r="G1745" s="89" t="n">
        <x:v>45610.031643518516</x:v>
      </x:c>
      <x:c r="H1745" s="89" t="n">
        <x:v>45607.57331018519</x:v>
      </x:c>
      <x:c r="I1745" s="89" t="n">
        <x:v>45607.82331018519</x:v>
      </x:c>
      <x:c r="J1745" s="84" t="str">
        <x:v>Alta</x:v>
      </x:c>
      <x:c r="K1745" s="84" t="str">
        <x:v>Encerrada</x:v>
      </x:c>
      <x:c r="L1745" s="84" t="str">
        <x:v>Baixa pressão</x:v>
      </x:c>
      <x:c r="M1745" s="84" t="str">
        <x:v>Componente danificado</x:v>
      </x:c>
      <x:c r="N1745" s="84" t="str">
        <x:v>Componente ajustado ou substituído</x:v>
      </x:c>
      <x:c r="O1745" s="84" t="n">
        <x:v>0</x:v>
      </x:c>
      <x:c r="P1745" s="93" t="n">
        <x:v>296.2</x:v>
      </x:c>
      <x:c r="Q1745" s="93" t="n">
        <x:v>0</x:v>
      </x:c>
      <x:c r="R1745" s="91" t="n">
        <x:v>0</x:v>
      </x:c>
    </x:row>
    <x:row r="1746">
      <x:c r="A1746" s="83" t="n">
        <x:v>1745</x:v>
      </x:c>
      <x:c r="B1746" s="84" t="str">
        <x:v>OS-2024-01745</x:v>
      </x:c>
      <x:c r="C1746" s="84" t="n">
        <x:v>61</x:v>
      </x:c>
      <x:c r="D1746" s="84" t="n">
        <x:v>1</x:v>
      </x:c>
      <x:c r="E1746" s="84" t="n">
        <x:v>121</x:v>
      </x:c>
      <x:c r="F1746" s="89" t="n">
        <x:v>45619.591412037036</x:v>
      </x:c>
      <x:c r="G1746" s="89" t="n">
        <x:v>45621.591412037036</x:v>
      </x:c>
      <x:c r="H1746" s="89" t="n">
        <x:v>45619.841412037036</x:v>
      </x:c>
      <x:c r="I1746" s="89" t="n">
        <x:v>45620.29974537037</x:v>
      </x:c>
      <x:c r="J1746" s="84" t="str">
        <x:v>Crítica</x:v>
      </x:c>
      <x:c r="K1746" s="84" t="str">
        <x:v>Encerrada</x:v>
      </x:c>
      <x:c r="L1746" s="84" t="str">
        <x:v>Ruído anormal</x:v>
      </x:c>
      <x:c r="M1746" s="84" t="str">
        <x:v>Conexão frouxa</x:v>
      </x:c>
      <x:c r="N1746" s="84" t="str">
        <x:v>Componente ajustado ou substituído</x:v>
      </x:c>
      <x:c r="O1746" s="84" t="n">
        <x:v>0</x:v>
      </x:c>
      <x:c r="P1746" s="93" t="n">
        <x:v>164.44</x:v>
      </x:c>
      <x:c r="Q1746" s="93" t="n">
        <x:v>11729.88</x:v>
      </x:c>
      <x:c r="R1746" s="91" t="n">
        <x:v>0</x:v>
      </x:c>
    </x:row>
    <x:row r="1747">
      <x:c r="A1747" s="83" t="n">
        <x:v>1746</x:v>
      </x:c>
      <x:c r="B1747" s="84" t="str">
        <x:v>OS-2024-01746</x:v>
      </x:c>
      <x:c r="C1747" s="84" t="n">
        <x:v>59</x:v>
      </x:c>
      <x:c r="D1747" s="84" t="n">
        <x:v>6</x:v>
      </x:c>
      <x:c r="E1747" s="84"/>
      <x:c r="F1747" s="89" t="n">
        <x:v>45296.86892361111</x:v>
      </x:c>
      <x:c r="G1747" s="89" t="n">
        <x:v>45303.86892361111</x:v>
      </x:c>
      <x:c r="H1747" s="89" t="n">
        <x:v>45298.11892361111</x:v>
      </x:c>
      <x:c r="I1747" s="89" t="n">
        <x:v>45298.66059027778</x:v>
      </x:c>
      <x:c r="J1747" s="84" t="str">
        <x:v>Alta</x:v>
      </x:c>
      <x:c r="K1747" s="84" t="str">
        <x:v>Encerrada</x:v>
      </x:c>
      <x:c r="L1747" s="84" t="str">
        <x:v>Baixa pressão</x:v>
      </x:c>
      <x:c r="M1747" s="84" t="str">
        <x:v>Desgaste natural</x:v>
      </x:c>
      <x:c r="N1747" s="84" t="str">
        <x:v>Componente ajustado ou substituído</x:v>
      </x:c>
      <x:c r="O1747" s="84" t="n">
        <x:v>0</x:v>
      </x:c>
      <x:c r="P1747" s="93" t="n">
        <x:v>496.39</x:v>
      </x:c>
      <x:c r="Q1747" s="93" t="n">
        <x:v>11981.79</x:v>
      </x:c>
      <x:c r="R1747" s="91" t="n">
        <x:v>0</x:v>
      </x:c>
    </x:row>
    <x:row r="1748">
      <x:c r="A1748" s="83" t="n">
        <x:v>1747</x:v>
      </x:c>
      <x:c r="B1748" s="84" t="str">
        <x:v>OS-2024-01747</x:v>
      </x:c>
      <x:c r="C1748" s="84" t="n">
        <x:v>26</x:v>
      </x:c>
      <x:c r="D1748" s="84" t="n">
        <x:v>1</x:v>
      </x:c>
      <x:c r="E1748" s="84" t="n">
        <x:v>52</x:v>
      </x:c>
      <x:c r="F1748" s="89" t="n">
        <x:v>45338.2165625</x:v>
      </x:c>
      <x:c r="G1748" s="89" t="n">
        <x:v>45348.2165625</x:v>
      </x:c>
      <x:c r="H1748" s="89" t="n">
        <x:v>45340.75822916667</x:v>
      </x:c>
      <x:c r="I1748" s="89" t="n">
        <x:v>45341.00822916667</x:v>
      </x:c>
      <x:c r="J1748" s="84" t="str">
        <x:v>Crítica</x:v>
      </x:c>
      <x:c r="K1748" s="84" t="str">
        <x:v>Encerrada</x:v>
      </x:c>
      <x:c r="L1748" s="84" t="str">
        <x:v>Baixa pressão</x:v>
      </x:c>
      <x:c r="M1748" s="84" t="str">
        <x:v>Componente danificado</x:v>
      </x:c>
      <x:c r="N1748" s="84" t="str">
        <x:v>Componente ajustado ou substituído</x:v>
      </x:c>
      <x:c r="O1748" s="84" t="n">
        <x:v>0</x:v>
      </x:c>
      <x:c r="P1748" s="93" t="n">
        <x:v>480.56</x:v>
      </x:c>
      <x:c r="Q1748" s="93" t="n">
        <x:v>0</x:v>
      </x:c>
      <x:c r="R1748" s="91" t="n">
        <x:v>0</x:v>
      </x:c>
    </x:row>
    <x:row r="1749">
      <x:c r="A1749" s="83" t="n">
        <x:v>1748</x:v>
      </x:c>
      <x:c r="B1749" s="84" t="str">
        <x:v>OS-2023-01748</x:v>
      </x:c>
      <x:c r="C1749" s="84" t="n">
        <x:v>12</x:v>
      </x:c>
      <x:c r="D1749" s="84" t="n">
        <x:v>7</x:v>
      </x:c>
      <x:c r="E1749" s="84" t="n">
        <x:v>23</x:v>
      </x:c>
      <x:c r="F1749" s="89" t="n">
        <x:v>45051.328576388885</x:v>
      </x:c>
      <x:c r="G1749" s="89" t="n">
        <x:v>45057.328576388885</x:v>
      </x:c>
      <x:c r="H1749" s="89" t="n">
        <x:v>45054.24524305556</x:v>
      </x:c>
      <x:c r="I1749" s="89"/>
      <x:c r="J1749" s="84" t="str">
        <x:v>Baixa</x:v>
      </x:c>
      <x:c r="K1749" s="84" t="str">
        <x:v>Aguardando peça</x:v>
      </x:c>
      <x:c r="L1749" s="84" t="str">
        <x:v>Alarme intermitente</x:v>
      </x:c>
      <x:c r="M1749" s="84" t="str">
        <x:v>Falta de lubrificação</x:v>
      </x:c>
      <x:c r="N1749" s="84"/>
      <x:c r="O1749" s="84" t="n">
        <x:v>0</x:v>
      </x:c>
      <x:c r="P1749" s="93" t="n">
        <x:v>237.16</x:v>
      </x:c>
      <x:c r="Q1749" s="93" t="n">
        <x:v>4587.24</x:v>
      </x:c>
      <x:c r="R1749" s="91" t="n">
        <x:v>0</x:v>
      </x:c>
    </x:row>
    <x:row r="1750">
      <x:c r="A1750" s="83" t="n">
        <x:v>1749</x:v>
      </x:c>
      <x:c r="B1750" s="84" t="str">
        <x:v>OS-2023-01749</x:v>
      </x:c>
      <x:c r="C1750" s="84" t="n">
        <x:v>45</x:v>
      </x:c>
      <x:c r="D1750" s="84" t="n">
        <x:v>5</x:v>
      </x:c>
      <x:c r="E1750" s="84" t="n">
        <x:v>89</x:v>
      </x:c>
      <x:c r="F1750" s="89" t="n">
        <x:v>45027.62836805556</x:v>
      </x:c>
      <x:c r="G1750" s="89" t="n">
        <x:v>45038.62836805556</x:v>
      </x:c>
      <x:c r="H1750" s="89" t="n">
        <x:v>45029.75336805556</x:v>
      </x:c>
      <x:c r="I1750" s="89" t="n">
        <x:v>45030.29503472222</x:v>
      </x:c>
      <x:c r="J1750" s="84" t="str">
        <x:v>Baixa</x:v>
      </x:c>
      <x:c r="K1750" s="84" t="str">
        <x:v>Encerrada</x:v>
      </x:c>
      <x:c r="L1750" s="84" t="str">
        <x:v>Alarme intermitente</x:v>
      </x:c>
      <x:c r="M1750" s="84" t="str">
        <x:v>Conexão frouxa</x:v>
      </x:c>
      <x:c r="N1750" s="84" t="str">
        <x:v>Componente ajustado ou substituído</x:v>
      </x:c>
      <x:c r="O1750" s="84" t="n">
        <x:v>0</x:v>
      </x:c>
      <x:c r="P1750" s="93" t="n">
        <x:v>189.27</x:v>
      </x:c>
      <x:c r="Q1750" s="93" t="n">
        <x:v>3759.43</x:v>
      </x:c>
      <x:c r="R1750" s="91" t="n">
        <x:v>0</x:v>
      </x:c>
    </x:row>
    <x:row r="1751">
      <x:c r="A1751" s="83" t="n">
        <x:v>1750</x:v>
      </x:c>
      <x:c r="B1751" s="84" t="str">
        <x:v>OS-2025-01750</x:v>
      </x:c>
      <x:c r="C1751" s="84" t="n">
        <x:v>74</x:v>
      </x:c>
      <x:c r="D1751" s="84" t="n">
        <x:v>1</x:v>
      </x:c>
      <x:c r="E1751" s="84" t="n">
        <x:v>147</x:v>
      </x:c>
      <x:c r="F1751" s="89" t="n">
        <x:v>45760.351064814815</x:v>
      </x:c>
      <x:c r="G1751" s="89" t="n">
        <x:v>45761.351064814815</x:v>
      </x:c>
      <x:c r="H1751" s="89" t="n">
        <x:v>45762.89273148148</x:v>
      </x:c>
      <x:c r="I1751" s="89" t="n">
        <x:v>45763.14273148148</x:v>
      </x:c>
      <x:c r="J1751" s="84" t="str">
        <x:v>Crítica</x:v>
      </x:c>
      <x:c r="K1751" s="84" t="str">
        <x:v>Encerrada</x:v>
      </x:c>
      <x:c r="L1751" s="84" t="str">
        <x:v>Alarme intermitente</x:v>
      </x:c>
      <x:c r="M1751" s="84" t="str">
        <x:v>Conexão frouxa</x:v>
      </x:c>
      <x:c r="N1751" s="84" t="str">
        <x:v>Componente ajustado ou substituído</x:v>
      </x:c>
      <x:c r="O1751" s="84" t="n">
        <x:v>0</x:v>
      </x:c>
      <x:c r="P1751" s="93" t="n">
        <x:v>494.12</x:v>
      </x:c>
      <x:c r="Q1751" s="93" t="n">
        <x:v>0</x:v>
      </x:c>
      <x:c r="R1751" s="91" t="n">
        <x:v>0</x:v>
      </x:c>
    </x:row>
    <x:row r="1752">
      <x:c r="A1752" s="83" t="n">
        <x:v>1751</x:v>
      </x:c>
      <x:c r="B1752" s="84" t="str">
        <x:v>OS-2024-01751</x:v>
      </x:c>
      <x:c r="C1752" s="84" t="n">
        <x:v>58</x:v>
      </x:c>
      <x:c r="D1752" s="84" t="n">
        <x:v>6</x:v>
      </x:c>
      <x:c r="E1752" s="84"/>
      <x:c r="F1752" s="89" t="n">
        <x:v>45454.36430555556</x:v>
      </x:c>
      <x:c r="G1752" s="89" t="n">
        <x:v>45469.36430555556</x:v>
      </x:c>
      <x:c r="H1752" s="89" t="n">
        <x:v>45457.07263888889</x:v>
      </x:c>
      <x:c r="I1752" s="89" t="n">
        <x:v>45457.73930555556</x:v>
      </x:c>
      <x:c r="J1752" s="84" t="str">
        <x:v>Alta</x:v>
      </x:c>
      <x:c r="K1752" s="84" t="str">
        <x:v>Encerrada</x:v>
      </x:c>
      <x:c r="L1752" s="84" t="str">
        <x:v>Baixa pressão</x:v>
      </x:c>
      <x:c r="M1752" s="84" t="str">
        <x:v>Desgaste natural</x:v>
      </x:c>
      <x:c r="N1752" s="84" t="str">
        <x:v>Componente ajustado ou substituído</x:v>
      </x:c>
      <x:c r="O1752" s="84" t="n">
        <x:v>0</x:v>
      </x:c>
      <x:c r="P1752" s="93" t="n">
        <x:v>230.22</x:v>
      </x:c>
      <x:c r="Q1752" s="93" t="n">
        <x:v>0</x:v>
      </x:c>
      <x:c r="R1752" s="91" t="n">
        <x:v>0</x:v>
      </x:c>
    </x:row>
    <x:row r="1753">
      <x:c r="A1753" s="83" t="n">
        <x:v>1752</x:v>
      </x:c>
      <x:c r="B1753" s="84" t="str">
        <x:v>OS-2023-01752</x:v>
      </x:c>
      <x:c r="C1753" s="84" t="n">
        <x:v>77</x:v>
      </x:c>
      <x:c r="D1753" s="84" t="n">
        <x:v>1</x:v>
      </x:c>
      <x:c r="E1753" s="84" t="n">
        <x:v>154</x:v>
      </x:c>
      <x:c r="F1753" s="89" t="n">
        <x:v>44975.908530092594</x:v>
      </x:c>
      <x:c r="G1753" s="89" t="n">
        <x:v>44984.908530092594</x:v>
      </x:c>
      <x:c r="H1753" s="89"/>
      <x:c r="I1753" s="89"/>
      <x:c r="J1753" s="84" t="str">
        <x:v>Baixa</x:v>
      </x:c>
      <x:c r="K1753" s="84" t="str">
        <x:v>Planejada</x:v>
      </x:c>
      <x:c r="L1753" s="84" t="str">
        <x:v>Vazamento</x:v>
      </x:c>
      <x:c r="M1753" s="84"/>
      <x:c r="N1753" s="84"/>
      <x:c r="O1753" s="84" t="n">
        <x:v>0</x:v>
      </x:c>
      <x:c r="P1753" s="93" t="n">
        <x:v>0</x:v>
      </x:c>
      <x:c r="Q1753" s="93" t="n">
        <x:v>0</x:v>
      </x:c>
      <x:c r="R1753" s="91" t="n">
        <x:v>0</x:v>
      </x:c>
    </x:row>
    <x:row r="1754">
      <x:c r="A1754" s="83" t="n">
        <x:v>1753</x:v>
      </x:c>
      <x:c r="B1754" s="84" t="str">
        <x:v>OS-2024-01753</x:v>
      </x:c>
      <x:c r="C1754" s="84" t="n">
        <x:v>6</x:v>
      </x:c>
      <x:c r="D1754" s="84" t="n">
        <x:v>3</x:v>
      </x:c>
      <x:c r="E1754" s="84"/>
      <x:c r="F1754" s="89" t="n">
        <x:v>45510.95002314815</x:v>
      </x:c>
      <x:c r="G1754" s="89"/>
      <x:c r="H1754" s="89" t="n">
        <x:v>45511.53335648148</x:v>
      </x:c>
      <x:c r="I1754" s="89" t="n">
        <x:v>45512.07502314815</x:v>
      </x:c>
      <x:c r="J1754" s="84" t="str">
        <x:v>Crítica</x:v>
      </x:c>
      <x:c r="K1754" s="84" t="str">
        <x:v>Encerrada</x:v>
      </x:c>
      <x:c r="L1754" s="84" t="str">
        <x:v>Alarme intermitente</x:v>
      </x:c>
      <x:c r="M1754" s="84" t="str">
        <x:v>Falta de lubrificação</x:v>
      </x:c>
      <x:c r="N1754" s="84" t="str">
        <x:v>Componente ajustado ou substituído</x:v>
      </x:c>
      <x:c r="O1754" s="84" t="n">
        <x:v>0</x:v>
      </x:c>
      <x:c r="P1754" s="93" t="n">
        <x:v>634.38</x:v>
      </x:c>
      <x:c r="Q1754" s="93" t="n">
        <x:v>10048.26</x:v>
      </x:c>
      <x:c r="R1754" s="91" t="n">
        <x:v>0</x:v>
      </x:c>
    </x:row>
    <x:row r="1755">
      <x:c r="A1755" s="83" t="n">
        <x:v>1754</x:v>
      </x:c>
      <x:c r="B1755" s="84" t="str">
        <x:v>OS-2024-01754</x:v>
      </x:c>
      <x:c r="C1755" s="84" t="n">
        <x:v>15</x:v>
      </x:c>
      <x:c r="D1755" s="84" t="n">
        <x:v>4</x:v>
      </x:c>
      <x:c r="E1755" s="84"/>
      <x:c r="F1755" s="89" t="n">
        <x:v>45362.285092592596</x:v>
      </x:c>
      <x:c r="G1755" s="89" t="n">
        <x:v>45369.285092592596</x:v>
      </x:c>
      <x:c r="H1755" s="89" t="n">
        <x:v>45365.285092592596</x:v>
      </x:c>
      <x:c r="I1755" s="89"/>
      <x:c r="J1755" s="84" t="str">
        <x:v>Alta</x:v>
      </x:c>
      <x:c r="K1755" s="84" t="str">
        <x:v>Aguardando peça</x:v>
      </x:c>
      <x:c r="L1755" s="84" t="str">
        <x:v>Falha elétrica</x:v>
      </x:c>
      <x:c r="M1755" s="84" t="str">
        <x:v>Componente danificado</x:v>
      </x:c>
      <x:c r="N1755" s="84"/>
      <x:c r="O1755" s="84" t="n">
        <x:v>0</x:v>
      </x:c>
      <x:c r="P1755" s="93" t="n">
        <x:v>675.49</x:v>
      </x:c>
      <x:c r="Q1755" s="93" t="n">
        <x:v>11607.28</x:v>
      </x:c>
      <x:c r="R1755" s="91" t="n">
        <x:v>0</x:v>
      </x:c>
    </x:row>
    <x:row r="1756">
      <x:c r="A1756" s="83" t="n">
        <x:v>1755</x:v>
      </x:c>
      <x:c r="B1756" s="84" t="str">
        <x:v>OS-2024-01755</x:v>
      </x:c>
      <x:c r="C1756" s="84" t="n">
        <x:v>59</x:v>
      </x:c>
      <x:c r="D1756" s="84" t="n">
        <x:v>1</x:v>
      </x:c>
      <x:c r="E1756" s="84" t="n">
        <x:v>118</x:v>
      </x:c>
      <x:c r="F1756" s="89" t="n">
        <x:v>45329.14847222222</x:v>
      </x:c>
      <x:c r="G1756" s="89" t="n">
        <x:v>45329.14847222222</x:v>
      </x:c>
      <x:c r="H1756" s="89" t="n">
        <x:v>45330.14847222222</x:v>
      </x:c>
      <x:c r="I1756" s="89" t="n">
        <x:v>45330.39847222222</x:v>
      </x:c>
      <x:c r="J1756" s="84" t="str">
        <x:v>Alta</x:v>
      </x:c>
      <x:c r="K1756" s="84" t="str">
        <x:v>Encerrada</x:v>
      </x:c>
      <x:c r="L1756" s="84" t="str">
        <x:v>Alarme intermitente</x:v>
      </x:c>
      <x:c r="M1756" s="84" t="str">
        <x:v>Falta de lubrificação</x:v>
      </x:c>
      <x:c r="N1756" s="84" t="str">
        <x:v>Componente ajustado ou substituído</x:v>
      </x:c>
      <x:c r="O1756" s="84" t="n">
        <x:v>0</x:v>
      </x:c>
      <x:c r="P1756" s="93" t="n">
        <x:v>311.63</x:v>
      </x:c>
      <x:c r="Q1756" s="93" t="n">
        <x:v>7210.8</x:v>
      </x:c>
      <x:c r="R1756" s="91" t="n">
        <x:v>0</x:v>
      </x:c>
    </x:row>
    <x:row r="1757">
      <x:c r="A1757" s="83" t="n">
        <x:v>1756</x:v>
      </x:c>
      <x:c r="B1757" s="84" t="str">
        <x:v>OS-2025-01756</x:v>
      </x:c>
      <x:c r="C1757" s="84" t="n">
        <x:v>48</x:v>
      </x:c>
      <x:c r="D1757" s="84" t="n">
        <x:v>2</x:v>
      </x:c>
      <x:c r="E1757" s="84"/>
      <x:c r="F1757" s="89" t="n">
        <x:v>45725.67626157407</x:v>
      </x:c>
      <x:c r="G1757" s="89" t="n">
        <x:v>45725.67626157407</x:v>
      </x:c>
      <x:c r="H1757" s="89" t="n">
        <x:v>45725.80126157407</x:v>
      </x:c>
      <x:c r="I1757" s="89"/>
      <x:c r="J1757" s="84" t="str">
        <x:v>Média</x:v>
      </x:c>
      <x:c r="K1757" s="84" t="str">
        <x:v>Em execução</x:v>
      </x:c>
      <x:c r="L1757" s="84" t="str">
        <x:v>Falha elétrica</x:v>
      </x:c>
      <x:c r="M1757" s="84" t="str">
        <x:v>Componente danificado</x:v>
      </x:c>
      <x:c r="N1757" s="84"/>
      <x:c r="O1757" s="84" t="n">
        <x:v>0</x:v>
      </x:c>
      <x:c r="P1757" s="93" t="n">
        <x:v>171.97</x:v>
      </x:c>
      <x:c r="Q1757" s="93" t="n">
        <x:v>4004.34</x:v>
      </x:c>
      <x:c r="R1757" s="91" t="n">
        <x:v>0</x:v>
      </x:c>
    </x:row>
    <x:row r="1758">
      <x:c r="A1758" s="83" t="n">
        <x:v>1757</x:v>
      </x:c>
      <x:c r="B1758" s="84" t="str">
        <x:v>OS-2023-01757</x:v>
      </x:c>
      <x:c r="C1758" s="84" t="n">
        <x:v>51</x:v>
      </x:c>
      <x:c r="D1758" s="84" t="n">
        <x:v>1</x:v>
      </x:c>
      <x:c r="E1758" s="84" t="n">
        <x:v>102</x:v>
      </x:c>
      <x:c r="F1758" s="89" t="n">
        <x:v>44994.954976851855</x:v>
      </x:c>
      <x:c r="G1758" s="89" t="n">
        <x:v>44998.954976851855</x:v>
      </x:c>
      <x:c r="H1758" s="89"/>
      <x:c r="I1758" s="89"/>
      <x:c r="J1758" s="84" t="str">
        <x:v>Alta</x:v>
      </x:c>
      <x:c r="K1758" s="84" t="str">
        <x:v>Planejada</x:v>
      </x:c>
      <x:c r="L1758" s="84" t="str">
        <x:v>Desalinhamento</x:v>
      </x:c>
      <x:c r="M1758" s="84"/>
      <x:c r="N1758" s="84"/>
      <x:c r="O1758" s="84" t="n">
        <x:v>0</x:v>
      </x:c>
      <x:c r="P1758" s="93" t="n">
        <x:v>0</x:v>
      </x:c>
      <x:c r="Q1758" s="93" t="n">
        <x:v>0</x:v>
      </x:c>
      <x:c r="R1758" s="91" t="n">
        <x:v>0</x:v>
      </x:c>
    </x:row>
    <x:row r="1759">
      <x:c r="A1759" s="83" t="n">
        <x:v>1758</x:v>
      </x:c>
      <x:c r="B1759" s="84" t="str">
        <x:v>OS-2025-01758</x:v>
      </x:c>
      <x:c r="C1759" s="84" t="n">
        <x:v>64</x:v>
      </x:c>
      <x:c r="D1759" s="84" t="n">
        <x:v>3</x:v>
      </x:c>
      <x:c r="E1759" s="84"/>
      <x:c r="F1759" s="89" t="n">
        <x:v>45812.107037037036</x:v>
      </x:c>
      <x:c r="G1759" s="89"/>
      <x:c r="H1759" s="89"/>
      <x:c r="I1759" s="89"/>
      <x:c r="J1759" s="84" t="str">
        <x:v>Baixa</x:v>
      </x:c>
      <x:c r="K1759" s="84" t="str">
        <x:v>Cancelada</x:v>
      </x:c>
      <x:c r="L1759" s="84" t="str">
        <x:v>Vazamento</x:v>
      </x:c>
      <x:c r="M1759" s="84"/>
      <x:c r="N1759" s="84"/>
      <x:c r="O1759" s="84" t="n">
        <x:v>0</x:v>
      </x:c>
      <x:c r="P1759" s="93" t="n">
        <x:v>0</x:v>
      </x:c>
      <x:c r="Q1759" s="93" t="n">
        <x:v>0</x:v>
      </x:c>
      <x:c r="R1759" s="91" t="n">
        <x:v>0</x:v>
      </x:c>
    </x:row>
    <x:row r="1760">
      <x:c r="A1760" s="83" t="n">
        <x:v>1759</x:v>
      </x:c>
      <x:c r="B1760" s="84" t="str">
        <x:v>OS-2025-01759</x:v>
      </x:c>
      <x:c r="C1760" s="84" t="n">
        <x:v>27</x:v>
      </x:c>
      <x:c r="D1760" s="84" t="n">
        <x:v>1</x:v>
      </x:c>
      <x:c r="E1760" s="84" t="n">
        <x:v>54</x:v>
      </x:c>
      <x:c r="F1760" s="89" t="n">
        <x:v>45823.01863425926</x:v>
      </x:c>
      <x:c r="G1760" s="89" t="n">
        <x:v>45836.01863425926</x:v>
      </x:c>
      <x:c r="H1760" s="89" t="n">
        <x:v>45824.10196759259</x:v>
      </x:c>
      <x:c r="I1760" s="89" t="n">
        <x:v>45824.43530092593</x:v>
      </x:c>
      <x:c r="J1760" s="84" t="str">
        <x:v>Alta</x:v>
      </x:c>
      <x:c r="K1760" s="84" t="str">
        <x:v>Encerrada</x:v>
      </x:c>
      <x:c r="L1760" s="84" t="str">
        <x:v>Ruído anormal</x:v>
      </x:c>
      <x:c r="M1760" s="84" t="str">
        <x:v>Conexão frouxa</x:v>
      </x:c>
      <x:c r="N1760" s="84" t="str">
        <x:v>Componente ajustado ou substituído</x:v>
      </x:c>
      <x:c r="O1760" s="84" t="n">
        <x:v>0</x:v>
      </x:c>
      <x:c r="P1760" s="93" t="n">
        <x:v>783.46</x:v>
      </x:c>
      <x:c r="Q1760" s="93" t="n">
        <x:v>10046.24</x:v>
      </x:c>
      <x:c r="R1760" s="91" t="n">
        <x:v>0</x:v>
      </x:c>
    </x:row>
    <x:row r="1761">
      <x:c r="A1761" s="83" t="n">
        <x:v>1760</x:v>
      </x:c>
      <x:c r="B1761" s="84" t="str">
        <x:v>OS-2025-01760</x:v>
      </x:c>
      <x:c r="C1761" s="84" t="n">
        <x:v>81</x:v>
      </x:c>
      <x:c r="D1761" s="84" t="n">
        <x:v>8</x:v>
      </x:c>
      <x:c r="E1761" s="84"/>
      <x:c r="F1761" s="89" t="n">
        <x:v>45778.283101851855</x:v>
      </x:c>
      <x:c r="G1761" s="89" t="n">
        <x:v>45792.283101851855</x:v>
      </x:c>
      <x:c r="H1761" s="89"/>
      <x:c r="I1761" s="89"/>
      <x:c r="J1761" s="84" t="str">
        <x:v>Média</x:v>
      </x:c>
      <x:c r="K1761" s="84" t="str">
        <x:v>Cancelada</x:v>
      </x:c>
      <x:c r="L1761" s="84" t="str">
        <x:v>Ruído anormal</x:v>
      </x:c>
      <x:c r="M1761" s="84"/>
      <x:c r="N1761" s="84"/>
      <x:c r="O1761" s="84" t="n">
        <x:v>0</x:v>
      </x:c>
      <x:c r="P1761" s="93" t="n">
        <x:v>0</x:v>
      </x:c>
      <x:c r="Q1761" s="93" t="n">
        <x:v>0</x:v>
      </x:c>
      <x:c r="R1761" s="91" t="n">
        <x:v>0</x:v>
      </x:c>
    </x:row>
    <x:row r="1762">
      <x:c r="A1762" s="83" t="n">
        <x:v>1761</x:v>
      </x:c>
      <x:c r="B1762" s="84" t="str">
        <x:v>OS-2023-01761</x:v>
      </x:c>
      <x:c r="C1762" s="84" t="n">
        <x:v>70</x:v>
      </x:c>
      <x:c r="D1762" s="84" t="n">
        <x:v>3</x:v>
      </x:c>
      <x:c r="E1762" s="84"/>
      <x:c r="F1762" s="89" t="n">
        <x:v>45265.6631712963</x:v>
      </x:c>
      <x:c r="G1762" s="89"/>
      <x:c r="H1762" s="89" t="n">
        <x:v>45268.0381712963</x:v>
      </x:c>
      <x:c r="I1762" s="89" t="n">
        <x:v>45268.6631712963</x:v>
      </x:c>
      <x:c r="J1762" s="84" t="str">
        <x:v>Alta</x:v>
      </x:c>
      <x:c r="K1762" s="84" t="str">
        <x:v>Encerrada</x:v>
      </x:c>
      <x:c r="L1762" s="84" t="str">
        <x:v>Falha elétrica</x:v>
      </x:c>
      <x:c r="M1762" s="84" t="str">
        <x:v>Componente danificado</x:v>
      </x:c>
      <x:c r="N1762" s="84" t="str">
        <x:v>Componente ajustado ou substituído</x:v>
      </x:c>
      <x:c r="O1762" s="84" t="n">
        <x:v>0</x:v>
      </x:c>
      <x:c r="P1762" s="93" t="n">
        <x:v>233.03</x:v>
      </x:c>
      <x:c r="Q1762" s="93" t="n">
        <x:v>1539.36</x:v>
      </x:c>
      <x:c r="R1762" s="91" t="n">
        <x:v>0</x:v>
      </x:c>
    </x:row>
    <x:row r="1763">
      <x:c r="A1763" s="83" t="n">
        <x:v>1762</x:v>
      </x:c>
      <x:c r="B1763" s="84" t="str">
        <x:v>OS-2025-01762</x:v>
      </x:c>
      <x:c r="C1763" s="84" t="n">
        <x:v>25</x:v>
      </x:c>
      <x:c r="D1763" s="84" t="n">
        <x:v>2</x:v>
      </x:c>
      <x:c r="E1763" s="84"/>
      <x:c r="F1763" s="89" t="n">
        <x:v>45826.28612268518</x:v>
      </x:c>
      <x:c r="G1763" s="89" t="n">
        <x:v>45840.28612268518</x:v>
      </x:c>
      <x:c r="H1763" s="89" t="n">
        <x:v>45828.07778935185</x:v>
      </x:c>
      <x:c r="I1763" s="89" t="n">
        <x:v>45828.86945601852</x:v>
      </x:c>
      <x:c r="J1763" s="84" t="str">
        <x:v>Crítica</x:v>
      </x:c>
      <x:c r="K1763" s="84" t="str">
        <x:v>Encerrada</x:v>
      </x:c>
      <x:c r="L1763" s="84" t="str">
        <x:v>Vazamento</x:v>
      </x:c>
      <x:c r="M1763" s="84" t="str">
        <x:v>Contaminação</x:v>
      </x:c>
      <x:c r="N1763" s="84" t="str">
        <x:v>Componente ajustado ou substituído</x:v>
      </x:c>
      <x:c r="O1763" s="84" t="n">
        <x:v>0</x:v>
      </x:c>
      <x:c r="P1763" s="93" t="n">
        <x:v>103.75</x:v>
      </x:c>
      <x:c r="Q1763" s="93" t="n">
        <x:v>0</x:v>
      </x:c>
      <x:c r="R1763" s="91" t="n">
        <x:v>0</x:v>
      </x:c>
    </x:row>
    <x:row r="1764">
      <x:c r="A1764" s="83" t="n">
        <x:v>1763</x:v>
      </x:c>
      <x:c r="B1764" s="84" t="str">
        <x:v>OS-2025-01763</x:v>
      </x:c>
      <x:c r="C1764" s="84" t="n">
        <x:v>29</x:v>
      </x:c>
      <x:c r="D1764" s="84" t="n">
        <x:v>1</x:v>
      </x:c>
      <x:c r="E1764" s="84" t="n">
        <x:v>57</x:v>
      </x:c>
      <x:c r="F1764" s="89" t="n">
        <x:v>45911.30081018519</x:v>
      </x:c>
      <x:c r="G1764" s="89" t="n">
        <x:v>45911.30081018519</x:v>
      </x:c>
      <x:c r="H1764" s="89" t="n">
        <x:v>45913.50914351852</x:v>
      </x:c>
      <x:c r="I1764" s="89" t="n">
        <x:v>45913.84247685185</x:v>
      </x:c>
      <x:c r="J1764" s="84" t="str">
        <x:v>Crítica</x:v>
      </x:c>
      <x:c r="K1764" s="84" t="str">
        <x:v>Encerrada</x:v>
      </x:c>
      <x:c r="L1764" s="84" t="str">
        <x:v>Desalinhamento</x:v>
      </x:c>
      <x:c r="M1764" s="84" t="str">
        <x:v>Ajuste incorreto</x:v>
      </x:c>
      <x:c r="N1764" s="84" t="str">
        <x:v>Componente ajustado ou substituído</x:v>
      </x:c>
      <x:c r="O1764" s="84" t="n">
        <x:v>0</x:v>
      </x:c>
      <x:c r="P1764" s="93" t="n">
        <x:v>131.18</x:v>
      </x:c>
      <x:c r="Q1764" s="93" t="n">
        <x:v>0</x:v>
      </x:c>
      <x:c r="R1764" s="91" t="n">
        <x:v>0</x:v>
      </x:c>
    </x:row>
    <x:row r="1765">
      <x:c r="A1765" s="83" t="n">
        <x:v>1764</x:v>
      </x:c>
      <x:c r="B1765" s="84" t="str">
        <x:v>OS-2024-01764</x:v>
      </x:c>
      <x:c r="C1765" s="84" t="n">
        <x:v>68</x:v>
      </x:c>
      <x:c r="D1765" s="84" t="n">
        <x:v>6</x:v>
      </x:c>
      <x:c r="E1765" s="84"/>
      <x:c r="F1765" s="89" t="n">
        <x:v>45624.3659837963</x:v>
      </x:c>
      <x:c r="G1765" s="89" t="n">
        <x:v>45624.3659837963</x:v>
      </x:c>
      <x:c r="H1765" s="89" t="n">
        <x:v>45626.15765046296</x:v>
      </x:c>
      <x:c r="I1765" s="89" t="n">
        <x:v>45626.4909837963</x:v>
      </x:c>
      <x:c r="J1765" s="84" t="str">
        <x:v>Média</x:v>
      </x:c>
      <x:c r="K1765" s="84" t="str">
        <x:v>Encerrada</x:v>
      </x:c>
      <x:c r="L1765" s="84" t="str">
        <x:v>Vazamento</x:v>
      </x:c>
      <x:c r="M1765" s="84" t="str">
        <x:v>Desgaste natural</x:v>
      </x:c>
      <x:c r="N1765" s="84" t="str">
        <x:v>Componente ajustado ou substituído</x:v>
      </x:c>
      <x:c r="O1765" s="84" t="n">
        <x:v>0</x:v>
      </x:c>
      <x:c r="P1765" s="93" t="n">
        <x:v>55.29</x:v>
      </x:c>
      <x:c r="Q1765" s="93" t="n">
        <x:v>0</x:v>
      </x:c>
      <x:c r="R1765" s="91" t="n">
        <x:v>0</x:v>
      </x:c>
    </x:row>
    <x:row r="1766">
      <x:c r="A1766" s="83" t="n">
        <x:v>1765</x:v>
      </x:c>
      <x:c r="B1766" s="84" t="str">
        <x:v>OS-2025-01765</x:v>
      </x:c>
      <x:c r="C1766" s="84" t="n">
        <x:v>47</x:v>
      </x:c>
      <x:c r="D1766" s="84" t="n">
        <x:v>1</x:v>
      </x:c>
      <x:c r="E1766" s="84" t="n">
        <x:v>93</x:v>
      </x:c>
      <x:c r="F1766" s="89" t="n">
        <x:v>45686.14709490741</x:v>
      </x:c>
      <x:c r="G1766" s="89" t="n">
        <x:v>45695.14709490741</x:v>
      </x:c>
      <x:c r="H1766" s="89"/>
      <x:c r="I1766" s="89"/>
      <x:c r="J1766" s="84" t="str">
        <x:v>Crítica</x:v>
      </x:c>
      <x:c r="K1766" s="84" t="str">
        <x:v>Planejada</x:v>
      </x:c>
      <x:c r="L1766" s="84" t="str">
        <x:v>Baixa pressão</x:v>
      </x:c>
      <x:c r="M1766" s="84"/>
      <x:c r="N1766" s="84"/>
      <x:c r="O1766" s="84" t="n">
        <x:v>0</x:v>
      </x:c>
      <x:c r="P1766" s="93" t="n">
        <x:v>0</x:v>
      </x:c>
      <x:c r="Q1766" s="93" t="n">
        <x:v>0</x:v>
      </x:c>
      <x:c r="R1766" s="91" t="n">
        <x:v>0</x:v>
      </x:c>
    </x:row>
    <x:row r="1767">
      <x:c r="A1767" s="83" t="n">
        <x:v>1766</x:v>
      </x:c>
      <x:c r="B1767" s="84" t="str">
        <x:v>OS-2025-01766</x:v>
      </x:c>
      <x:c r="C1767" s="84" t="n">
        <x:v>46</x:v>
      </x:c>
      <x:c r="D1767" s="84" t="n">
        <x:v>3</x:v>
      </x:c>
      <x:c r="E1767" s="84"/>
      <x:c r="F1767" s="89" t="n">
        <x:v>45697.38030092593</x:v>
      </x:c>
      <x:c r="G1767" s="89"/>
      <x:c r="H1767" s="89" t="n">
        <x:v>45699.21363425926</x:v>
      </x:c>
      <x:c r="I1767" s="89"/>
      <x:c r="J1767" s="84" t="str">
        <x:v>Baixa</x:v>
      </x:c>
      <x:c r="K1767" s="84" t="str">
        <x:v>Em execução</x:v>
      </x:c>
      <x:c r="L1767" s="84" t="str">
        <x:v>Baixa pressão</x:v>
      </x:c>
      <x:c r="M1767" s="84" t="str">
        <x:v>Conexão frouxa</x:v>
      </x:c>
      <x:c r="N1767" s="84"/>
      <x:c r="O1767" s="84" t="n">
        <x:v>0</x:v>
      </x:c>
      <x:c r="P1767" s="93" t="n">
        <x:v>132.6</x:v>
      </x:c>
      <x:c r="Q1767" s="93" t="n">
        <x:v>0</x:v>
      </x:c>
      <x:c r="R1767" s="91" t="n">
        <x:v>2057.57</x:v>
      </x:c>
    </x:row>
    <x:row r="1768">
      <x:c r="A1768" s="83" t="n">
        <x:v>1767</x:v>
      </x:c>
      <x:c r="B1768" s="84" t="str">
        <x:v>OS-2025-01767</x:v>
      </x:c>
      <x:c r="C1768" s="84" t="n">
        <x:v>68</x:v>
      </x:c>
      <x:c r="D1768" s="84" t="n">
        <x:v>1</x:v>
      </x:c>
      <x:c r="E1768" s="84" t="n">
        <x:v>135</x:v>
      </x:c>
      <x:c r="F1768" s="89" t="n">
        <x:v>45893.23841435185</x:v>
      </x:c>
      <x:c r="G1768" s="89" t="n">
        <x:v>45904.23841435185</x:v>
      </x:c>
      <x:c r="H1768" s="89" t="n">
        <x:v>45893.946747685186</x:v>
      </x:c>
      <x:c r="I1768" s="89" t="n">
        <x:v>45894.696747685186</x:v>
      </x:c>
      <x:c r="J1768" s="84" t="str">
        <x:v>Baixa</x:v>
      </x:c>
      <x:c r="K1768" s="84" t="str">
        <x:v>Encerrada</x:v>
      </x:c>
      <x:c r="L1768" s="84" t="str">
        <x:v>Desalinhamento</x:v>
      </x:c>
      <x:c r="M1768" s="84" t="str">
        <x:v>Conexão frouxa</x:v>
      </x:c>
      <x:c r="N1768" s="84" t="str">
        <x:v>Componente ajustado ou substituído</x:v>
      </x:c>
      <x:c r="O1768" s="84" t="n">
        <x:v>0</x:v>
      </x:c>
      <x:c r="P1768" s="93" t="n">
        <x:v>191.03</x:v>
      </x:c>
      <x:c r="Q1768" s="93" t="n">
        <x:v>15738.69</x:v>
      </x:c>
      <x:c r="R1768" s="91" t="n">
        <x:v>0</x:v>
      </x:c>
    </x:row>
    <x:row r="1769">
      <x:c r="A1769" s="83" t="n">
        <x:v>1768</x:v>
      </x:c>
      <x:c r="B1769" s="84" t="str">
        <x:v>OS-2024-01768</x:v>
      </x:c>
      <x:c r="C1769" s="84" t="n">
        <x:v>76</x:v>
      </x:c>
      <x:c r="D1769" s="84" t="n">
        <x:v>3</x:v>
      </x:c>
      <x:c r="E1769" s="84"/>
      <x:c r="F1769" s="89" t="n">
        <x:v>45591.4122337963</x:v>
      </x:c>
      <x:c r="G1769" s="89"/>
      <x:c r="H1769" s="89" t="n">
        <x:v>45593.57890046296</x:v>
      </x:c>
      <x:c r="I1769" s="89" t="n">
        <x:v>45594.37056712963</x:v>
      </x:c>
      <x:c r="J1769" s="84" t="str">
        <x:v>Crítica</x:v>
      </x:c>
      <x:c r="K1769" s="84" t="str">
        <x:v>Encerrada</x:v>
      </x:c>
      <x:c r="L1769" s="84" t="str">
        <x:v>Falha elétrica</x:v>
      </x:c>
      <x:c r="M1769" s="84" t="str">
        <x:v>Ajuste incorreto</x:v>
      </x:c>
      <x:c r="N1769" s="84" t="str">
        <x:v>Componente ajustado ou substituído</x:v>
      </x:c>
      <x:c r="O1769" s="84" t="n">
        <x:v>0</x:v>
      </x:c>
      <x:c r="P1769" s="93" t="n">
        <x:v>265.02</x:v>
      </x:c>
      <x:c r="Q1769" s="93" t="n">
        <x:v>2339.56</x:v>
      </x:c>
      <x:c r="R1769" s="91" t="n">
        <x:v>0</x:v>
      </x:c>
    </x:row>
    <x:row r="1770">
      <x:c r="A1770" s="83" t="n">
        <x:v>1769</x:v>
      </x:c>
      <x:c r="B1770" s="84" t="str">
        <x:v>OS-2023-01769</x:v>
      </x:c>
      <x:c r="C1770" s="84" t="n">
        <x:v>67</x:v>
      </x:c>
      <x:c r="D1770" s="84" t="n">
        <x:v>1</x:v>
      </x:c>
      <x:c r="E1770" s="84" t="n">
        <x:v>134</x:v>
      </x:c>
      <x:c r="F1770" s="89" t="n">
        <x:v>45213.195335648146</x:v>
      </x:c>
      <x:c r="G1770" s="89" t="n">
        <x:v>45223.195335648146</x:v>
      </x:c>
      <x:c r="H1770" s="89" t="n">
        <x:v>45214.77866898148</x:v>
      </x:c>
      <x:c r="I1770" s="89" t="n">
        <x:v>45215.02866898148</x:v>
      </x:c>
      <x:c r="J1770" s="84" t="str">
        <x:v>Baixa</x:v>
      </x:c>
      <x:c r="K1770" s="84" t="str">
        <x:v>Concluída</x:v>
      </x:c>
      <x:c r="L1770" s="84" t="str">
        <x:v>Alarme intermitente</x:v>
      </x:c>
      <x:c r="M1770" s="84" t="str">
        <x:v>Componente danificado</x:v>
      </x:c>
      <x:c r="N1770" s="84" t="str">
        <x:v>Componente ajustado ou substituído</x:v>
      </x:c>
      <x:c r="O1770" s="84" t="n">
        <x:v>0</x:v>
      </x:c>
      <x:c r="P1770" s="93" t="n">
        <x:v>495.63</x:v>
      </x:c>
      <x:c r="Q1770" s="93" t="n">
        <x:v>3457.08</x:v>
      </x:c>
      <x:c r="R1770" s="91" t="n">
        <x:v>0</x:v>
      </x:c>
    </x:row>
    <x:row r="1771">
      <x:c r="A1771" s="83" t="n">
        <x:v>1770</x:v>
      </x:c>
      <x:c r="B1771" s="84" t="str">
        <x:v>OS-2025-01770</x:v>
      </x:c>
      <x:c r="C1771" s="84" t="n">
        <x:v>1</x:v>
      </x:c>
      <x:c r="D1771" s="84" t="n">
        <x:v>2</x:v>
      </x:c>
      <x:c r="E1771" s="84"/>
      <x:c r="F1771" s="89" t="n">
        <x:v>45863.81056712963</x:v>
      </x:c>
      <x:c r="G1771" s="89" t="n">
        <x:v>45878.81056712963</x:v>
      </x:c>
      <x:c r="H1771" s="89" t="n">
        <x:v>45863.893900462965</x:v>
      </x:c>
      <x:c r="I1771" s="89" t="n">
        <x:v>45864.10223379629</x:v>
      </x:c>
      <x:c r="J1771" s="84" t="str">
        <x:v>Crítica</x:v>
      </x:c>
      <x:c r="K1771" s="84" t="str">
        <x:v>Encerrada</x:v>
      </x:c>
      <x:c r="L1771" s="84" t="str">
        <x:v>Falha elétrica</x:v>
      </x:c>
      <x:c r="M1771" s="84" t="str">
        <x:v>Componente danificado</x:v>
      </x:c>
      <x:c r="N1771" s="84" t="str">
        <x:v>Componente ajustado ou substituído</x:v>
      </x:c>
      <x:c r="O1771" s="84" t="n">
        <x:v>0</x:v>
      </x:c>
      <x:c r="P1771" s="93" t="n">
        <x:v>318.44</x:v>
      </x:c>
      <x:c r="Q1771" s="93" t="n">
        <x:v>8939.84</x:v>
      </x:c>
      <x:c r="R1771" s="91" t="n">
        <x:v>0</x:v>
      </x:c>
    </x:row>
    <x:row r="1772">
      <x:c r="A1772" s="83" t="n">
        <x:v>1771</x:v>
      </x:c>
      <x:c r="B1772" s="84" t="str">
        <x:v>OS-2025-01771</x:v>
      </x:c>
      <x:c r="C1772" s="84" t="n">
        <x:v>64</x:v>
      </x:c>
      <x:c r="D1772" s="84" t="n">
        <x:v>5</x:v>
      </x:c>
      <x:c r="E1772" s="84" t="n">
        <x:v>127</x:v>
      </x:c>
      <x:c r="F1772" s="89" t="n">
        <x:v>45670.94902777778</x:v>
      </x:c>
      <x:c r="G1772" s="89" t="n">
        <x:v>45675.94902777778</x:v>
      </x:c>
      <x:c r="H1772" s="89" t="n">
        <x:v>45670.990694444445</x:v>
      </x:c>
      <x:c r="I1772" s="89" t="n">
        <x:v>45671.32402777778</x:v>
      </x:c>
      <x:c r="J1772" s="84" t="str">
        <x:v>Alta</x:v>
      </x:c>
      <x:c r="K1772" s="84" t="str">
        <x:v>Encerrada</x:v>
      </x:c>
      <x:c r="L1772" s="84" t="str">
        <x:v>Ruído anormal</x:v>
      </x:c>
      <x:c r="M1772" s="84" t="str">
        <x:v>Componente danificado</x:v>
      </x:c>
      <x:c r="N1772" s="84" t="str">
        <x:v>Componente ajustado ou substituído</x:v>
      </x:c>
      <x:c r="O1772" s="84" t="n">
        <x:v>0</x:v>
      </x:c>
      <x:c r="P1772" s="93" t="n">
        <x:v>145.4</x:v>
      </x:c>
      <x:c r="Q1772" s="93" t="n">
        <x:v>1465.42</x:v>
      </x:c>
      <x:c r="R1772" s="91" t="n">
        <x:v>0</x:v>
      </x:c>
    </x:row>
    <x:row r="1773">
      <x:c r="A1773" s="83" t="n">
        <x:v>1772</x:v>
      </x:c>
      <x:c r="B1773" s="84" t="str">
        <x:v>OS-2024-01772</x:v>
      </x:c>
      <x:c r="C1773" s="84" t="n">
        <x:v>34</x:v>
      </x:c>
      <x:c r="D1773" s="84" t="n">
        <x:v>2</x:v>
      </x:c>
      <x:c r="E1773" s="84"/>
      <x:c r="F1773" s="89" t="n">
        <x:v>45624.38994212963</x:v>
      </x:c>
      <x:c r="G1773" s="89" t="n">
        <x:v>45636.38994212963</x:v>
      </x:c>
      <x:c r="H1773" s="89" t="n">
        <x:v>45624.431608796294</x:v>
      </x:c>
      <x:c r="I1773" s="89" t="n">
        <x:v>45625.26494212963</x:v>
      </x:c>
      <x:c r="J1773" s="84" t="str">
        <x:v>Alta</x:v>
      </x:c>
      <x:c r="K1773" s="84" t="str">
        <x:v>Encerrada</x:v>
      </x:c>
      <x:c r="L1773" s="84" t="str">
        <x:v>Desalinhamento</x:v>
      </x:c>
      <x:c r="M1773" s="84" t="str">
        <x:v>Ajuste incorreto</x:v>
      </x:c>
      <x:c r="N1773" s="84" t="str">
        <x:v>Componente ajustado ou substituído</x:v>
      </x:c>
      <x:c r="O1773" s="84" t="n">
        <x:v>0</x:v>
      </x:c>
      <x:c r="P1773" s="93" t="n">
        <x:v>289.33</x:v>
      </x:c>
      <x:c r="Q1773" s="93" t="n">
        <x:v>5412.24</x:v>
      </x:c>
      <x:c r="R1773" s="91" t="n">
        <x:v>14246.42</x:v>
      </x:c>
    </x:row>
    <x:row r="1774">
      <x:c r="A1774" s="83" t="n">
        <x:v>1773</x:v>
      </x:c>
      <x:c r="B1774" s="84" t="str">
        <x:v>OS-2023-01773</x:v>
      </x:c>
      <x:c r="C1774" s="84" t="n">
        <x:v>52</x:v>
      </x:c>
      <x:c r="D1774" s="84" t="n">
        <x:v>3</x:v>
      </x:c>
      <x:c r="E1774" s="84"/>
      <x:c r="F1774" s="89" t="n">
        <x:v>45122.38652777778</x:v>
      </x:c>
      <x:c r="G1774" s="89"/>
      <x:c r="H1774" s="89" t="n">
        <x:v>45124.428194444445</x:v>
      </x:c>
      <x:c r="I1774" s="89" t="n">
        <x:v>45124.96986111111</x:v>
      </x:c>
      <x:c r="J1774" s="84" t="str">
        <x:v>Baixa</x:v>
      </x:c>
      <x:c r="K1774" s="84" t="str">
        <x:v>Concluída</x:v>
      </x:c>
      <x:c r="L1774" s="84" t="str">
        <x:v>Baixa pressão</x:v>
      </x:c>
      <x:c r="M1774" s="84" t="str">
        <x:v>Desgaste natural</x:v>
      </x:c>
      <x:c r="N1774" s="84" t="str">
        <x:v>Componente ajustado ou substituído</x:v>
      </x:c>
      <x:c r="O1774" s="84" t="n">
        <x:v>0</x:v>
      </x:c>
      <x:c r="P1774" s="93" t="n">
        <x:v>551.59</x:v>
      </x:c>
      <x:c r="Q1774" s="93" t="n">
        <x:v>2877.03</x:v>
      </x:c>
      <x:c r="R1774" s="91" t="n">
        <x:v>0</x:v>
      </x:c>
    </x:row>
    <x:row r="1775">
      <x:c r="A1775" s="83" t="n">
        <x:v>1774</x:v>
      </x:c>
      <x:c r="B1775" s="84" t="str">
        <x:v>OS-2025-01774</x:v>
      </x:c>
      <x:c r="C1775" s="84" t="n">
        <x:v>66</x:v>
      </x:c>
      <x:c r="D1775" s="84" t="n">
        <x:v>3</x:v>
      </x:c>
      <x:c r="E1775" s="84"/>
      <x:c r="F1775" s="89" t="n">
        <x:v>45780.44836805556</x:v>
      </x:c>
      <x:c r="G1775" s="89"/>
      <x:c r="H1775" s="89" t="n">
        <x:v>45783.031701388885</x:v>
      </x:c>
      <x:c r="I1775" s="89" t="n">
        <x:v>45783.36503472222</x:v>
      </x:c>
      <x:c r="J1775" s="84" t="str">
        <x:v>Baixa</x:v>
      </x:c>
      <x:c r="K1775" s="84" t="str">
        <x:v>Encerrada</x:v>
      </x:c>
      <x:c r="L1775" s="84" t="str">
        <x:v>Alarme intermitente</x:v>
      </x:c>
      <x:c r="M1775" s="84" t="str">
        <x:v>Ajuste incorreto</x:v>
      </x:c>
      <x:c r="N1775" s="84" t="str">
        <x:v>Componente ajustado ou substituído</x:v>
      </x:c>
      <x:c r="O1775" s="84" t="n">
        <x:v>0</x:v>
      </x:c>
      <x:c r="P1775" s="93" t="n">
        <x:v>157.17</x:v>
      </x:c>
      <x:c r="Q1775" s="93" t="n">
        <x:v>8936.52</x:v>
      </x:c>
      <x:c r="R1775" s="91" t="n">
        <x:v>0</x:v>
      </x:c>
    </x:row>
    <x:row r="1776">
      <x:c r="A1776" s="83" t="n">
        <x:v>1775</x:v>
      </x:c>
      <x:c r="B1776" s="84" t="str">
        <x:v>OS-2024-01775</x:v>
      </x:c>
      <x:c r="C1776" s="84" t="n">
        <x:v>1</x:v>
      </x:c>
      <x:c r="D1776" s="84" t="n">
        <x:v>3</x:v>
      </x:c>
      <x:c r="E1776" s="84"/>
      <x:c r="F1776" s="89" t="n">
        <x:v>45369.870254629626</x:v>
      </x:c>
      <x:c r="G1776" s="89"/>
      <x:c r="H1776" s="89" t="n">
        <x:v>45372.0369212963</x:v>
      </x:c>
      <x:c r="I1776" s="89" t="n">
        <x:v>45372.6619212963</x:v>
      </x:c>
      <x:c r="J1776" s="84" t="str">
        <x:v>Média</x:v>
      </x:c>
      <x:c r="K1776" s="84" t="str">
        <x:v>Encerrada</x:v>
      </x:c>
      <x:c r="L1776" s="84" t="str">
        <x:v>Alarme intermitente</x:v>
      </x:c>
      <x:c r="M1776" s="84" t="str">
        <x:v>Contaminação</x:v>
      </x:c>
      <x:c r="N1776" s="84" t="str">
        <x:v>Componente ajustado ou substituído</x:v>
      </x:c>
      <x:c r="O1776" s="84" t="n">
        <x:v>0</x:v>
      </x:c>
      <x:c r="P1776" s="93" t="n">
        <x:v>207.83</x:v>
      </x:c>
      <x:c r="Q1776" s="93" t="n">
        <x:v>6537.05</x:v>
      </x:c>
      <x:c r="R1776" s="91" t="n">
        <x:v>0</x:v>
      </x:c>
    </x:row>
    <x:row r="1777">
      <x:c r="A1777" s="83" t="n">
        <x:v>1776</x:v>
      </x:c>
      <x:c r="B1777" s="84" t="str">
        <x:v>OS-2023-01776</x:v>
      </x:c>
      <x:c r="C1777" s="84" t="n">
        <x:v>78</x:v>
      </x:c>
      <x:c r="D1777" s="84" t="n">
        <x:v>7</x:v>
      </x:c>
      <x:c r="E1777" s="84" t="n">
        <x:v>156</x:v>
      </x:c>
      <x:c r="F1777" s="89" t="n">
        <x:v>45111.94336805555</x:v>
      </x:c>
      <x:c r="G1777" s="89" t="n">
        <x:v>45116.94336805555</x:v>
      </x:c>
      <x:c r="H1777" s="89" t="n">
        <x:v>45112.02670138889</x:v>
      </x:c>
      <x:c r="I1777" s="89"/>
      <x:c r="J1777" s="84" t="str">
        <x:v>Média</x:v>
      </x:c>
      <x:c r="K1777" s="84" t="str">
        <x:v>Aguardando peça</x:v>
      </x:c>
      <x:c r="L1777" s="84" t="str">
        <x:v>Baixa pressão</x:v>
      </x:c>
      <x:c r="M1777" s="84" t="str">
        <x:v>Ajuste incorreto</x:v>
      </x:c>
      <x:c r="N1777" s="84"/>
      <x:c r="O1777" s="84" t="n">
        <x:v>0</x:v>
      </x:c>
      <x:c r="P1777" s="93" t="n">
        <x:v>884.92</x:v>
      </x:c>
      <x:c r="Q1777" s="93" t="n">
        <x:v>3761.35</x:v>
      </x:c>
      <x:c r="R1777" s="91" t="n">
        <x:v>0</x:v>
      </x:c>
    </x:row>
    <x:row r="1778">
      <x:c r="A1778" s="83" t="n">
        <x:v>1777</x:v>
      </x:c>
      <x:c r="B1778" s="84" t="str">
        <x:v>OS-2023-01777</x:v>
      </x:c>
      <x:c r="C1778" s="84" t="n">
        <x:v>5</x:v>
      </x:c>
      <x:c r="D1778" s="84" t="n">
        <x:v>3</x:v>
      </x:c>
      <x:c r="E1778" s="84"/>
      <x:c r="F1778" s="89" t="n">
        <x:v>45085.20415509259</x:v>
      </x:c>
      <x:c r="G1778" s="89"/>
      <x:c r="H1778" s="89" t="n">
        <x:v>45087.66248842593</x:v>
      </x:c>
      <x:c r="I1778" s="89" t="n">
        <x:v>45088.41248842593</x:v>
      </x:c>
      <x:c r="J1778" s="84" t="str">
        <x:v>Alta</x:v>
      </x:c>
      <x:c r="K1778" s="84" t="str">
        <x:v>Encerrada</x:v>
      </x:c>
      <x:c r="L1778" s="84" t="str">
        <x:v>Baixa pressão</x:v>
      </x:c>
      <x:c r="M1778" s="84" t="str">
        <x:v>Desgaste natural</x:v>
      </x:c>
      <x:c r="N1778" s="84" t="str">
        <x:v>Componente ajustado ou substituído</x:v>
      </x:c>
      <x:c r="O1778" s="84" t="n">
        <x:v>0</x:v>
      </x:c>
      <x:c r="P1778" s="93" t="n">
        <x:v>538.86</x:v>
      </x:c>
      <x:c r="Q1778" s="93" t="n">
        <x:v>1061.4</x:v>
      </x:c>
      <x:c r="R1778" s="91" t="n">
        <x:v>8008.2</x:v>
      </x:c>
    </x:row>
    <x:row r="1779">
      <x:c r="A1779" s="83" t="n">
        <x:v>1778</x:v>
      </x:c>
      <x:c r="B1779" s="84" t="str">
        <x:v>OS-2025-01778</x:v>
      </x:c>
      <x:c r="C1779" s="84" t="n">
        <x:v>82</x:v>
      </x:c>
      <x:c r="D1779" s="84" t="n">
        <x:v>2</x:v>
      </x:c>
      <x:c r="E1779" s="84"/>
      <x:c r="F1779" s="89" t="n">
        <x:v>45870.34241898148</x:v>
      </x:c>
      <x:c r="G1779" s="89" t="n">
        <x:v>45871.34241898148</x:v>
      </x:c>
      <x:c r="H1779" s="89" t="n">
        <x:v>45871.09241898148</x:v>
      </x:c>
      <x:c r="I1779" s="89"/>
      <x:c r="J1779" s="84" t="str">
        <x:v>Crítica</x:v>
      </x:c>
      <x:c r="K1779" s="84" t="str">
        <x:v>Em execução</x:v>
      </x:c>
      <x:c r="L1779" s="84" t="str">
        <x:v>Alarme intermitente</x:v>
      </x:c>
      <x:c r="M1779" s="84" t="str">
        <x:v>Conexão frouxa</x:v>
      </x:c>
      <x:c r="N1779" s="84"/>
      <x:c r="O1779" s="84" t="n">
        <x:v>0</x:v>
      </x:c>
      <x:c r="P1779" s="93" t="n">
        <x:v>697.22</x:v>
      </x:c>
      <x:c r="Q1779" s="93" t="n">
        <x:v>4947.6</x:v>
      </x:c>
      <x:c r="R1779" s="91" t="n">
        <x:v>0</x:v>
      </x:c>
    </x:row>
    <x:row r="1780">
      <x:c r="A1780" s="83" t="n">
        <x:v>1779</x:v>
      </x:c>
      <x:c r="B1780" s="84" t="str">
        <x:v>OS-2023-01779</x:v>
      </x:c>
      <x:c r="C1780" s="84" t="n">
        <x:v>19</x:v>
      </x:c>
      <x:c r="D1780" s="84" t="n">
        <x:v>4</x:v>
      </x:c>
      <x:c r="E1780" s="84"/>
      <x:c r="F1780" s="89" t="n">
        <x:v>45095.02054398148</x:v>
      </x:c>
      <x:c r="G1780" s="89" t="n">
        <x:v>45104.02054398148</x:v>
      </x:c>
      <x:c r="H1780" s="89" t="n">
        <x:v>45096.937210648146</x:v>
      </x:c>
      <x:c r="I1780" s="89" t="n">
        <x:v>45097.77054398148</x:v>
      </x:c>
      <x:c r="J1780" s="84" t="str">
        <x:v>Média</x:v>
      </x:c>
      <x:c r="K1780" s="84" t="str">
        <x:v>Encerrada</x:v>
      </x:c>
      <x:c r="L1780" s="84" t="str">
        <x:v>Desalinhamento</x:v>
      </x:c>
      <x:c r="M1780" s="84" t="str">
        <x:v>Contaminação</x:v>
      </x:c>
      <x:c r="N1780" s="84" t="str">
        <x:v>Componente ajustado ou substituído</x:v>
      </x:c>
      <x:c r="O1780" s="84" t="n">
        <x:v>0</x:v>
      </x:c>
      <x:c r="P1780" s="93" t="n">
        <x:v>325.18</x:v>
      </x:c>
      <x:c r="Q1780" s="93" t="n">
        <x:v>3537.18</x:v>
      </x:c>
      <x:c r="R1780" s="91" t="n">
        <x:v>0</x:v>
      </x:c>
    </x:row>
    <x:row r="1781">
      <x:c r="A1781" s="83" t="n">
        <x:v>1780</x:v>
      </x:c>
      <x:c r="B1781" s="84" t="str">
        <x:v>OS-2023-01780</x:v>
      </x:c>
      <x:c r="C1781" s="84" t="n">
        <x:v>18</x:v>
      </x:c>
      <x:c r="D1781" s="84" t="n">
        <x:v>6</x:v>
      </x:c>
      <x:c r="E1781" s="84"/>
      <x:c r="F1781" s="89" t="n">
        <x:v>45016.26425925926</x:v>
      </x:c>
      <x:c r="G1781" s="89" t="n">
        <x:v>45017.26425925926</x:v>
      </x:c>
      <x:c r="H1781" s="89" t="n">
        <x:v>45017.930925925924</x:v>
      </x:c>
      <x:c r="I1781" s="89" t="n">
        <x:v>45018.51425925926</x:v>
      </x:c>
      <x:c r="J1781" s="84" t="str">
        <x:v>Alta</x:v>
      </x:c>
      <x:c r="K1781" s="84" t="str">
        <x:v>Encerrada</x:v>
      </x:c>
      <x:c r="L1781" s="84" t="str">
        <x:v>Superaquecimento</x:v>
      </x:c>
      <x:c r="M1781" s="84" t="str">
        <x:v>Contaminação</x:v>
      </x:c>
      <x:c r="N1781" s="84" t="str">
        <x:v>Componente ajustado ou substituído</x:v>
      </x:c>
      <x:c r="O1781" s="84" t="n">
        <x:v>0</x:v>
      </x:c>
      <x:c r="P1781" s="93" t="n">
        <x:v>329.57</x:v>
      </x:c>
      <x:c r="Q1781" s="93" t="n">
        <x:v>11212.36</x:v>
      </x:c>
      <x:c r="R1781" s="91" t="n">
        <x:v>0</x:v>
      </x:c>
    </x:row>
    <x:row r="1782">
      <x:c r="A1782" s="83" t="n">
        <x:v>1781</x:v>
      </x:c>
      <x:c r="B1782" s="84" t="str">
        <x:v>OS-2025-01781</x:v>
      </x:c>
      <x:c r="C1782" s="84" t="n">
        <x:v>13</x:v>
      </x:c>
      <x:c r="D1782" s="84" t="n">
        <x:v>1</x:v>
      </x:c>
      <x:c r="E1782" s="84" t="n">
        <x:v>25</x:v>
      </x:c>
      <x:c r="F1782" s="89" t="n">
        <x:v>45953.630428240744</x:v>
      </x:c>
      <x:c r="G1782" s="89" t="n">
        <x:v>45962.630428240744</x:v>
      </x:c>
      <x:c r="H1782" s="89" t="n">
        <x:v>45956.33876157407</x:v>
      </x:c>
      <x:c r="I1782" s="89" t="n">
        <x:v>45957.08876157407</x:v>
      </x:c>
      <x:c r="J1782" s="84" t="str">
        <x:v>Média</x:v>
      </x:c>
      <x:c r="K1782" s="84" t="str">
        <x:v>Encerrada</x:v>
      </x:c>
      <x:c r="L1782" s="84" t="str">
        <x:v>Baixa pressão</x:v>
      </x:c>
      <x:c r="M1782" s="84" t="str">
        <x:v>Ajuste incorreto</x:v>
      </x:c>
      <x:c r="N1782" s="84" t="str">
        <x:v>Componente ajustado ou substituído</x:v>
      </x:c>
      <x:c r="O1782" s="84" t="n">
        <x:v>0</x:v>
      </x:c>
      <x:c r="P1782" s="93" t="n">
        <x:v>551.64</x:v>
      </x:c>
      <x:c r="Q1782" s="93" t="n">
        <x:v>4134.84</x:v>
      </x:c>
      <x:c r="R1782" s="91" t="n">
        <x:v>0</x:v>
      </x:c>
    </x:row>
    <x:row r="1783">
      <x:c r="A1783" s="83" t="n">
        <x:v>1782</x:v>
      </x:c>
      <x:c r="B1783" s="84" t="str">
        <x:v>OS-2025-01782</x:v>
      </x:c>
      <x:c r="C1783" s="84" t="n">
        <x:v>73</x:v>
      </x:c>
      <x:c r="D1783" s="84" t="n">
        <x:v>3</x:v>
      </x:c>
      <x:c r="E1783" s="84"/>
      <x:c r="F1783" s="89" t="n">
        <x:v>45749.624872685185</x:v>
      </x:c>
      <x:c r="G1783" s="89"/>
      <x:c r="H1783" s="89" t="n">
        <x:v>45752.124872685185</x:v>
      </x:c>
      <x:c r="I1783" s="89" t="n">
        <x:v>45752.33320601852</x:v>
      </x:c>
      <x:c r="J1783" s="84" t="str">
        <x:v>Média</x:v>
      </x:c>
      <x:c r="K1783" s="84" t="str">
        <x:v>Concluída</x:v>
      </x:c>
      <x:c r="L1783" s="84" t="str">
        <x:v>Ruído anormal</x:v>
      </x:c>
      <x:c r="M1783" s="84" t="str">
        <x:v>Contaminação</x:v>
      </x:c>
      <x:c r="N1783" s="84" t="str">
        <x:v>Componente ajustado ou substituído</x:v>
      </x:c>
      <x:c r="O1783" s="84" t="n">
        <x:v>0</x:v>
      </x:c>
      <x:c r="P1783" s="93" t="n">
        <x:v>561.66</x:v>
      </x:c>
      <x:c r="Q1783" s="93" t="n">
        <x:v>9387.68</x:v>
      </x:c>
      <x:c r="R1783" s="91" t="n">
        <x:v>8601.94</x:v>
      </x:c>
    </x:row>
    <x:row r="1784">
      <x:c r="A1784" s="83" t="n">
        <x:v>1783</x:v>
      </x:c>
      <x:c r="B1784" s="84" t="str">
        <x:v>OS-2023-01783</x:v>
      </x:c>
      <x:c r="C1784" s="84" t="n">
        <x:v>49</x:v>
      </x:c>
      <x:c r="D1784" s="84" t="n">
        <x:v>3</x:v>
      </x:c>
      <x:c r="E1784" s="84"/>
      <x:c r="F1784" s="89" t="n">
        <x:v>45166.671168981484</x:v>
      </x:c>
      <x:c r="G1784" s="89"/>
      <x:c r="H1784" s="89" t="n">
        <x:v>45167.796168981484</x:v>
      </x:c>
      <x:c r="I1784" s="89" t="n">
        <x:v>45168.046168981484</x:v>
      </x:c>
      <x:c r="J1784" s="84" t="str">
        <x:v>Crítica</x:v>
      </x:c>
      <x:c r="K1784" s="84" t="str">
        <x:v>Encerrada</x:v>
      </x:c>
      <x:c r="L1784" s="84" t="str">
        <x:v>Desalinhamento</x:v>
      </x:c>
      <x:c r="M1784" s="84" t="str">
        <x:v>Falta de lubrificação</x:v>
      </x:c>
      <x:c r="N1784" s="84" t="str">
        <x:v>Componente ajustado ou substituído</x:v>
      </x:c>
      <x:c r="O1784" s="84" t="n">
        <x:v>0</x:v>
      </x:c>
      <x:c r="P1784" s="93" t="n">
        <x:v>211.79</x:v>
      </x:c>
      <x:c r="Q1784" s="93" t="n">
        <x:v>4938.44</x:v>
      </x:c>
      <x:c r="R1784" s="91" t="n">
        <x:v>0</x:v>
      </x:c>
    </x:row>
    <x:row r="1785">
      <x:c r="A1785" s="83" t="n">
        <x:v>1784</x:v>
      </x:c>
      <x:c r="B1785" s="84" t="str">
        <x:v>OS-2025-01784</x:v>
      </x:c>
      <x:c r="C1785" s="84" t="n">
        <x:v>54</x:v>
      </x:c>
      <x:c r="D1785" s="84" t="n">
        <x:v>1</x:v>
      </x:c>
      <x:c r="E1785" s="84" t="n">
        <x:v>107</x:v>
      </x:c>
      <x:c r="F1785" s="89" t="n">
        <x:v>45837.49569444444</x:v>
      </x:c>
      <x:c r="G1785" s="89" t="n">
        <x:v>45841.49569444444</x:v>
      </x:c>
      <x:c r="H1785" s="89" t="n">
        <x:v>45837.53736111111</x:v>
      </x:c>
      <x:c r="I1785" s="89" t="n">
        <x:v>45837.95402777778</x:v>
      </x:c>
      <x:c r="J1785" s="84" t="str">
        <x:v>Baixa</x:v>
      </x:c>
      <x:c r="K1785" s="84" t="str">
        <x:v>Encerrada</x:v>
      </x:c>
      <x:c r="L1785" s="84" t="str">
        <x:v>Superaquecimento</x:v>
      </x:c>
      <x:c r="M1785" s="84" t="str">
        <x:v>Falta de lubrificação</x:v>
      </x:c>
      <x:c r="N1785" s="84" t="str">
        <x:v>Componente ajustado ou substituído</x:v>
      </x:c>
      <x:c r="O1785" s="84" t="n">
        <x:v>0</x:v>
      </x:c>
      <x:c r="P1785" s="93" t="n">
        <x:v>487.69</x:v>
      </x:c>
      <x:c r="Q1785" s="93" t="n">
        <x:v>2572.79</x:v>
      </x:c>
      <x:c r="R1785" s="91" t="n">
        <x:v>0</x:v>
      </x:c>
    </x:row>
    <x:row r="1786">
      <x:c r="A1786" s="83" t="n">
        <x:v>1785</x:v>
      </x:c>
      <x:c r="B1786" s="84" t="str">
        <x:v>OS-2025-01785</x:v>
      </x:c>
      <x:c r="C1786" s="84" t="n">
        <x:v>43</x:v>
      </x:c>
      <x:c r="D1786" s="84" t="n">
        <x:v>3</x:v>
      </x:c>
      <x:c r="E1786" s="84"/>
      <x:c r="F1786" s="89" t="n">
        <x:v>45854.950694444444</x:v>
      </x:c>
      <x:c r="G1786" s="89"/>
      <x:c r="H1786" s="89" t="n">
        <x:v>45855.65902777778</x:v>
      </x:c>
      <x:c r="I1786" s="89"/>
      <x:c r="J1786" s="84" t="str">
        <x:v>Alta</x:v>
      </x:c>
      <x:c r="K1786" s="84" t="str">
        <x:v>Aguardando peça</x:v>
      </x:c>
      <x:c r="L1786" s="84" t="str">
        <x:v>Superaquecimento</x:v>
      </x:c>
      <x:c r="M1786" s="84" t="str">
        <x:v>Desgaste natural</x:v>
      </x:c>
      <x:c r="N1786" s="84"/>
      <x:c r="O1786" s="84" t="n">
        <x:v>0</x:v>
      </x:c>
      <x:c r="P1786" s="93" t="n">
        <x:v>522.42</x:v>
      </x:c>
      <x:c r="Q1786" s="93" t="n">
        <x:v>8124.94</x:v>
      </x:c>
      <x:c r="R1786" s="91" t="n">
        <x:v>0</x:v>
      </x:c>
    </x:row>
    <x:row r="1787">
      <x:c r="A1787" s="83" t="n">
        <x:v>1786</x:v>
      </x:c>
      <x:c r="B1787" s="84" t="str">
        <x:v>OS-2025-01786</x:v>
      </x:c>
      <x:c r="C1787" s="84" t="n">
        <x:v>11</x:v>
      </x:c>
      <x:c r="D1787" s="84" t="n">
        <x:v>2</x:v>
      </x:c>
      <x:c r="E1787" s="84"/>
      <x:c r="F1787" s="89" t="n">
        <x:v>45986.68486111111</x:v>
      </x:c>
      <x:c r="G1787" s="89" t="n">
        <x:v>45999.68486111111</x:v>
      </x:c>
      <x:c r="H1787" s="89"/>
      <x:c r="I1787" s="89"/>
      <x:c r="J1787" s="84" t="str">
        <x:v>Crítica</x:v>
      </x:c>
      <x:c r="K1787" s="84" t="str">
        <x:v>Planejada</x:v>
      </x:c>
      <x:c r="L1787" s="84" t="str">
        <x:v>Vazamento</x:v>
      </x:c>
      <x:c r="M1787" s="84"/>
      <x:c r="N1787" s="84"/>
      <x:c r="O1787" s="84" t="n">
        <x:v>0</x:v>
      </x:c>
      <x:c r="P1787" s="93" t="n">
        <x:v>0</x:v>
      </x:c>
      <x:c r="Q1787" s="93" t="n">
        <x:v>0</x:v>
      </x:c>
      <x:c r="R1787" s="91" t="n">
        <x:v>0</x:v>
      </x:c>
    </x:row>
    <x:row r="1788">
      <x:c r="A1788" s="83" t="n">
        <x:v>1787</x:v>
      </x:c>
      <x:c r="B1788" s="84" t="str">
        <x:v>OS-2025-01787</x:v>
      </x:c>
      <x:c r="C1788" s="84" t="n">
        <x:v>69</x:v>
      </x:c>
      <x:c r="D1788" s="84" t="n">
        <x:v>1</x:v>
      </x:c>
      <x:c r="E1788" s="84" t="n">
        <x:v>137</x:v>
      </x:c>
      <x:c r="F1788" s="89" t="n">
        <x:v>45880.072650462964</x:v>
      </x:c>
      <x:c r="G1788" s="89" t="n">
        <x:v>45884.072650462964</x:v>
      </x:c>
      <x:c r="H1788" s="89" t="n">
        <x:v>45881.6559837963</x:v>
      </x:c>
      <x:c r="I1788" s="89" t="n">
        <x:v>45881.822650462964</x:v>
      </x:c>
      <x:c r="J1788" s="84" t="str">
        <x:v>Crítica</x:v>
      </x:c>
      <x:c r="K1788" s="84" t="str">
        <x:v>Encerrada</x:v>
      </x:c>
      <x:c r="L1788" s="84" t="str">
        <x:v>Superaquecimento</x:v>
      </x:c>
      <x:c r="M1788" s="84" t="str">
        <x:v>Componente danificado</x:v>
      </x:c>
      <x:c r="N1788" s="84" t="str">
        <x:v>Componente ajustado ou substituído</x:v>
      </x:c>
      <x:c r="O1788" s="84" t="n">
        <x:v>0</x:v>
      </x:c>
      <x:c r="P1788" s="93" t="n">
        <x:v>25.01</x:v>
      </x:c>
      <x:c r="Q1788" s="93" t="n">
        <x:v>5850.23</x:v>
      </x:c>
      <x:c r="R1788" s="91" t="n">
        <x:v>0</x:v>
      </x:c>
    </x:row>
    <x:row r="1789">
      <x:c r="A1789" s="83" t="n">
        <x:v>1788</x:v>
      </x:c>
      <x:c r="B1789" s="84" t="str">
        <x:v>OS-2023-01788</x:v>
      </x:c>
      <x:c r="C1789" s="84" t="n">
        <x:v>68</x:v>
      </x:c>
      <x:c r="D1789" s="84" t="n">
        <x:v>5</x:v>
      </x:c>
      <x:c r="E1789" s="84" t="n">
        <x:v>135</x:v>
      </x:c>
      <x:c r="F1789" s="89" t="n">
        <x:v>45212.840162037035</x:v>
      </x:c>
      <x:c r="G1789" s="89" t="n">
        <x:v>45223.840162037035</x:v>
      </x:c>
      <x:c r="H1789" s="89" t="n">
        <x:v>45215.79849537037</x:v>
      </x:c>
      <x:c r="I1789" s="89"/>
      <x:c r="J1789" s="84" t="str">
        <x:v>Baixa</x:v>
      </x:c>
      <x:c r="K1789" s="84" t="str">
        <x:v>Em execução</x:v>
      </x:c>
      <x:c r="L1789" s="84" t="str">
        <x:v>Baixa pressão</x:v>
      </x:c>
      <x:c r="M1789" s="84" t="str">
        <x:v>Ajuste incorreto</x:v>
      </x:c>
      <x:c r="N1789" s="84"/>
      <x:c r="O1789" s="84" t="n">
        <x:v>0</x:v>
      </x:c>
      <x:c r="P1789" s="93" t="n">
        <x:v>418.48</x:v>
      </x:c>
      <x:c r="Q1789" s="93" t="n">
        <x:v>1136.07</x:v>
      </x:c>
      <x:c r="R1789" s="91" t="n">
        <x:v>0</x:v>
      </x:c>
    </x:row>
    <x:row r="1790">
      <x:c r="A1790" s="83" t="n">
        <x:v>1789</x:v>
      </x:c>
      <x:c r="B1790" s="84" t="str">
        <x:v>OS-2025-01789</x:v>
      </x:c>
      <x:c r="C1790" s="84" t="n">
        <x:v>74</x:v>
      </x:c>
      <x:c r="D1790" s="84" t="n">
        <x:v>1</x:v>
      </x:c>
      <x:c r="E1790" s="84" t="n">
        <x:v>148</x:v>
      </x:c>
      <x:c r="F1790" s="89" t="n">
        <x:v>45829.00038194445</x:v>
      </x:c>
      <x:c r="G1790" s="89" t="n">
        <x:v>45840.00038194445</x:v>
      </x:c>
      <x:c r="H1790" s="89" t="n">
        <x:v>45830.833715277775</x:v>
      </x:c>
      <x:c r="I1790" s="89"/>
      <x:c r="J1790" s="84" t="str">
        <x:v>Baixa</x:v>
      </x:c>
      <x:c r="K1790" s="84" t="str">
        <x:v>Em execução</x:v>
      </x:c>
      <x:c r="L1790" s="84" t="str">
        <x:v>Superaquecimento</x:v>
      </x:c>
      <x:c r="M1790" s="84" t="str">
        <x:v>Falta de lubrificação</x:v>
      </x:c>
      <x:c r="N1790" s="84"/>
      <x:c r="O1790" s="84" t="n">
        <x:v>0</x:v>
      </x:c>
      <x:c r="P1790" s="93" t="n">
        <x:v>517.62</x:v>
      </x:c>
      <x:c r="Q1790" s="93" t="n">
        <x:v>5569.45</x:v>
      </x:c>
      <x:c r="R1790" s="91" t="n">
        <x:v>0</x:v>
      </x:c>
    </x:row>
    <x:row r="1791">
      <x:c r="A1791" s="83" t="n">
        <x:v>1790</x:v>
      </x:c>
      <x:c r="B1791" s="84" t="str">
        <x:v>OS-2024-01790</x:v>
      </x:c>
      <x:c r="C1791" s="84" t="n">
        <x:v>13</x:v>
      </x:c>
      <x:c r="D1791" s="84" t="n">
        <x:v>3</x:v>
      </x:c>
      <x:c r="E1791" s="84"/>
      <x:c r="F1791" s="89" t="n">
        <x:v>45567.17998842592</x:v>
      </x:c>
      <x:c r="G1791" s="89"/>
      <x:c r="H1791" s="89"/>
      <x:c r="I1791" s="89"/>
      <x:c r="J1791" s="84" t="str">
        <x:v>Média</x:v>
      </x:c>
      <x:c r="K1791" s="84" t="str">
        <x:v>Planejada</x:v>
      </x:c>
      <x:c r="L1791" s="84" t="str">
        <x:v>Superaquecimento</x:v>
      </x:c>
      <x:c r="M1791" s="84"/>
      <x:c r="N1791" s="84"/>
      <x:c r="O1791" s="84" t="n">
        <x:v>0</x:v>
      </x:c>
      <x:c r="P1791" s="93" t="n">
        <x:v>0</x:v>
      </x:c>
      <x:c r="Q1791" s="93" t="n">
        <x:v>0</x:v>
      </x:c>
      <x:c r="R1791" s="91" t="n">
        <x:v>0</x:v>
      </x:c>
    </x:row>
    <x:row r="1792">
      <x:c r="A1792" s="83" t="n">
        <x:v>1791</x:v>
      </x:c>
      <x:c r="B1792" s="84" t="str">
        <x:v>OS-2025-01791</x:v>
      </x:c>
      <x:c r="C1792" s="84" t="n">
        <x:v>18</x:v>
      </x:c>
      <x:c r="D1792" s="84" t="n">
        <x:v>4</x:v>
      </x:c>
      <x:c r="E1792" s="84"/>
      <x:c r="F1792" s="89" t="n">
        <x:v>45700.689733796295</x:v>
      </x:c>
      <x:c r="G1792" s="89" t="n">
        <x:v>45702.689733796295</x:v>
      </x:c>
      <x:c r="H1792" s="89" t="n">
        <x:v>45701.731400462966</x:v>
      </x:c>
      <x:c r="I1792" s="89"/>
      <x:c r="J1792" s="84" t="str">
        <x:v>Média</x:v>
      </x:c>
      <x:c r="K1792" s="84" t="str">
        <x:v>Em execução</x:v>
      </x:c>
      <x:c r="L1792" s="84" t="str">
        <x:v>Ruído anormal</x:v>
      </x:c>
      <x:c r="M1792" s="84" t="str">
        <x:v>Conexão frouxa</x:v>
      </x:c>
      <x:c r="N1792" s="84"/>
      <x:c r="O1792" s="84" t="n">
        <x:v>0</x:v>
      </x:c>
      <x:c r="P1792" s="93" t="n">
        <x:v>459.1</x:v>
      </x:c>
      <x:c r="Q1792" s="93" t="n">
        <x:v>9010.52</x:v>
      </x:c>
      <x:c r="R1792" s="91" t="n">
        <x:v>0</x:v>
      </x:c>
    </x:row>
    <x:row r="1793">
      <x:c r="A1793" s="83" t="n">
        <x:v>1792</x:v>
      </x:c>
      <x:c r="B1793" s="84" t="str">
        <x:v>OS-2024-01792</x:v>
      </x:c>
      <x:c r="C1793" s="84" t="n">
        <x:v>29</x:v>
      </x:c>
      <x:c r="D1793" s="84" t="n">
        <x:v>1</x:v>
      </x:c>
      <x:c r="E1793" s="84" t="n">
        <x:v>57</x:v>
      </x:c>
      <x:c r="F1793" s="89" t="n">
        <x:v>45297.07900462963</x:v>
      </x:c>
      <x:c r="G1793" s="89" t="n">
        <x:v>45302.07900462963</x:v>
      </x:c>
      <x:c r="H1793" s="89" t="n">
        <x:v>45297.53733796296</x:v>
      </x:c>
      <x:c r="I1793" s="89" t="n">
        <x:v>45297.870671296296</x:v>
      </x:c>
      <x:c r="J1793" s="84" t="str">
        <x:v>Alta</x:v>
      </x:c>
      <x:c r="K1793" s="84" t="str">
        <x:v>Encerrada</x:v>
      </x:c>
      <x:c r="L1793" s="84" t="str">
        <x:v>Desalinhamento</x:v>
      </x:c>
      <x:c r="M1793" s="84" t="str">
        <x:v>Ajuste incorreto</x:v>
      </x:c>
      <x:c r="N1793" s="84" t="str">
        <x:v>Componente ajustado ou substituído</x:v>
      </x:c>
      <x:c r="O1793" s="84" t="n">
        <x:v>0</x:v>
      </x:c>
      <x:c r="P1793" s="93" t="n">
        <x:v>283.06</x:v>
      </x:c>
      <x:c r="Q1793" s="93" t="n">
        <x:v>0</x:v>
      </x:c>
      <x:c r="R1793" s="91" t="n">
        <x:v>0</x:v>
      </x:c>
    </x:row>
    <x:row r="1794">
      <x:c r="A1794" s="83" t="n">
        <x:v>1793</x:v>
      </x:c>
      <x:c r="B1794" s="84" t="str">
        <x:v>OS-2024-01793</x:v>
      </x:c>
      <x:c r="C1794" s="84" t="n">
        <x:v>44</x:v>
      </x:c>
      <x:c r="D1794" s="84" t="n">
        <x:v>5</x:v>
      </x:c>
      <x:c r="E1794" s="84" t="n">
        <x:v>88</x:v>
      </x:c>
      <x:c r="F1794" s="89" t="n">
        <x:v>45461.26700231482</x:v>
      </x:c>
      <x:c r="G1794" s="89" t="n">
        <x:v>45474.26700231482</x:v>
      </x:c>
      <x:c r="H1794" s="89"/>
      <x:c r="I1794" s="89"/>
      <x:c r="J1794" s="84" t="str">
        <x:v>Alta</x:v>
      </x:c>
      <x:c r="K1794" s="84" t="str">
        <x:v>Planejada</x:v>
      </x:c>
      <x:c r="L1794" s="84" t="str">
        <x:v>Alarme intermitente</x:v>
      </x:c>
      <x:c r="M1794" s="84"/>
      <x:c r="N1794" s="84"/>
      <x:c r="O1794" s="84" t="n">
        <x:v>0</x:v>
      </x:c>
      <x:c r="P1794" s="93" t="n">
        <x:v>0</x:v>
      </x:c>
      <x:c r="Q1794" s="93" t="n">
        <x:v>0</x:v>
      </x:c>
      <x:c r="R1794" s="91" t="n">
        <x:v>0</x:v>
      </x:c>
    </x:row>
    <x:row r="1795">
      <x:c r="A1795" s="83" t="n">
        <x:v>1794</x:v>
      </x:c>
      <x:c r="B1795" s="84" t="str">
        <x:v>OS-2023-01794</x:v>
      </x:c>
      <x:c r="C1795" s="84" t="n">
        <x:v>48</x:v>
      </x:c>
      <x:c r="D1795" s="84" t="n">
        <x:v>1</x:v>
      </x:c>
      <x:c r="E1795" s="84" t="n">
        <x:v>96</x:v>
      </x:c>
      <x:c r="F1795" s="89" t="n">
        <x:v>45071.710069444445</x:v>
      </x:c>
      <x:c r="G1795" s="89" t="n">
        <x:v>45083.710069444445</x:v>
      </x:c>
      <x:c r="H1795" s="89" t="n">
        <x:v>45073.085069444445</x:v>
      </x:c>
      <x:c r="I1795" s="89" t="n">
        <x:v>45073.75173611111</x:v>
      </x:c>
      <x:c r="J1795" s="84" t="str">
        <x:v>Crítica</x:v>
      </x:c>
      <x:c r="K1795" s="84" t="str">
        <x:v>Encerrada</x:v>
      </x:c>
      <x:c r="L1795" s="84" t="str">
        <x:v>Vazamento</x:v>
      </x:c>
      <x:c r="M1795" s="84" t="str">
        <x:v>Falta de lubrificação</x:v>
      </x:c>
      <x:c r="N1795" s="84" t="str">
        <x:v>Componente ajustado ou substituído</x:v>
      </x:c>
      <x:c r="O1795" s="84" t="n">
        <x:v>0</x:v>
      </x:c>
      <x:c r="P1795" s="93" t="n">
        <x:v>384.24</x:v>
      </x:c>
      <x:c r="Q1795" s="93" t="n">
        <x:v>0</x:v>
      </x:c>
      <x:c r="R1795" s="91" t="n">
        <x:v>3128.8</x:v>
      </x:c>
    </x:row>
    <x:row r="1796">
      <x:c r="A1796" s="83" t="n">
        <x:v>1795</x:v>
      </x:c>
      <x:c r="B1796" s="84" t="str">
        <x:v>OS-2025-01795</x:v>
      </x:c>
      <x:c r="C1796" s="84" t="n">
        <x:v>59</x:v>
      </x:c>
      <x:c r="D1796" s="84" t="n">
        <x:v>6</x:v>
      </x:c>
      <x:c r="E1796" s="84"/>
      <x:c r="F1796" s="89" t="n">
        <x:v>45979.6712962963</x:v>
      </x:c>
      <x:c r="G1796" s="89" t="n">
        <x:v>45988.6712962963</x:v>
      </x:c>
      <x:c r="H1796" s="89" t="n">
        <x:v>45981.12962962963</x:v>
      </x:c>
      <x:c r="I1796" s="89" t="n">
        <x:v>45981.83796296296</x:v>
      </x:c>
      <x:c r="J1796" s="84" t="str">
        <x:v>Crítica</x:v>
      </x:c>
      <x:c r="K1796" s="84" t="str">
        <x:v>Concluída</x:v>
      </x:c>
      <x:c r="L1796" s="84" t="str">
        <x:v>Ruído anormal</x:v>
      </x:c>
      <x:c r="M1796" s="84" t="str">
        <x:v>Desgaste natural</x:v>
      </x:c>
      <x:c r="N1796" s="84" t="str">
        <x:v>Componente ajustado ou substituído</x:v>
      </x:c>
      <x:c r="O1796" s="84" t="n">
        <x:v>0</x:v>
      </x:c>
      <x:c r="P1796" s="93" t="n">
        <x:v>121.26</x:v>
      </x:c>
      <x:c r="Q1796" s="93" t="n">
        <x:v>1934.19</x:v>
      </x:c>
      <x:c r="R1796" s="91" t="n">
        <x:v>0</x:v>
      </x:c>
    </x:row>
    <x:row r="1797">
      <x:c r="A1797" s="83" t="n">
        <x:v>1796</x:v>
      </x:c>
      <x:c r="B1797" s="84" t="str">
        <x:v>OS-2023-01796</x:v>
      </x:c>
      <x:c r="C1797" s="84" t="n">
        <x:v>40</x:v>
      </x:c>
      <x:c r="D1797" s="84" t="n">
        <x:v>3</x:v>
      </x:c>
      <x:c r="E1797" s="84"/>
      <x:c r="F1797" s="89" t="n">
        <x:v>45129.12127314815</x:v>
      </x:c>
      <x:c r="G1797" s="89"/>
      <x:c r="H1797" s="89"/>
      <x:c r="I1797" s="89"/>
      <x:c r="J1797" s="84" t="str">
        <x:v>Alta</x:v>
      </x:c>
      <x:c r="K1797" s="84" t="str">
        <x:v>Planejada</x:v>
      </x:c>
      <x:c r="L1797" s="84" t="str">
        <x:v>Desalinhamento</x:v>
      </x:c>
      <x:c r="M1797" s="84"/>
      <x:c r="N1797" s="84"/>
      <x:c r="O1797" s="84" t="n">
        <x:v>0</x:v>
      </x:c>
      <x:c r="P1797" s="93" t="n">
        <x:v>0</x:v>
      </x:c>
      <x:c r="Q1797" s="93" t="n">
        <x:v>0</x:v>
      </x:c>
      <x:c r="R1797" s="91" t="n">
        <x:v>0</x:v>
      </x:c>
    </x:row>
    <x:row r="1798">
      <x:c r="A1798" s="83" t="n">
        <x:v>1797</x:v>
      </x:c>
      <x:c r="B1798" s="84" t="str">
        <x:v>OS-2025-01797</x:v>
      </x:c>
      <x:c r="C1798" s="84" t="n">
        <x:v>81</x:v>
      </x:c>
      <x:c r="D1798" s="84" t="n">
        <x:v>2</x:v>
      </x:c>
      <x:c r="E1798" s="84"/>
      <x:c r="F1798" s="89" t="n">
        <x:v>45760.41486111111</x:v>
      </x:c>
      <x:c r="G1798" s="89" t="n">
        <x:v>45768.41486111111</x:v>
      </x:c>
      <x:c r="H1798" s="89" t="n">
        <x:v>45761.45652777778</x:v>
      </x:c>
      <x:c r="I1798" s="89" t="n">
        <x:v>45762.28986111111</x:v>
      </x:c>
      <x:c r="J1798" s="84" t="str">
        <x:v>Média</x:v>
      </x:c>
      <x:c r="K1798" s="84" t="str">
        <x:v>Encerrada</x:v>
      </x:c>
      <x:c r="L1798" s="84" t="str">
        <x:v>Desalinhamento</x:v>
      </x:c>
      <x:c r="M1798" s="84" t="str">
        <x:v>Conexão frouxa</x:v>
      </x:c>
      <x:c r="N1798" s="84" t="str">
        <x:v>Componente ajustado ou substituído</x:v>
      </x:c>
      <x:c r="O1798" s="84" t="n">
        <x:v>0</x:v>
      </x:c>
      <x:c r="P1798" s="93" t="n">
        <x:v>272.36</x:v>
      </x:c>
      <x:c r="Q1798" s="93" t="n">
        <x:v>7870.42</x:v>
      </x:c>
      <x:c r="R1798" s="91" t="n">
        <x:v>0</x:v>
      </x:c>
    </x:row>
    <x:row r="1799">
      <x:c r="A1799" s="83" t="n">
        <x:v>1798</x:v>
      </x:c>
      <x:c r="B1799" s="84" t="str">
        <x:v>OS-2023-01798</x:v>
      </x:c>
      <x:c r="C1799" s="84" t="n">
        <x:v>49</x:v>
      </x:c>
      <x:c r="D1799" s="84" t="n">
        <x:v>1</x:v>
      </x:c>
      <x:c r="E1799" s="84" t="n">
        <x:v>97</x:v>
      </x:c>
      <x:c r="F1799" s="89" t="n">
        <x:v>44953.081979166665</x:v>
      </x:c>
      <x:c r="G1799" s="89" t="n">
        <x:v>44955.081979166665</x:v>
      </x:c>
      <x:c r="H1799" s="89" t="n">
        <x:v>44954.331979166665</x:v>
      </x:c>
      <x:c r="I1799" s="89" t="n">
        <x:v>44954.74864583334</x:v>
      </x:c>
      <x:c r="J1799" s="84" t="str">
        <x:v>Média</x:v>
      </x:c>
      <x:c r="K1799" s="84" t="str">
        <x:v>Encerrada</x:v>
      </x:c>
      <x:c r="L1799" s="84" t="str">
        <x:v>Vazamento</x:v>
      </x:c>
      <x:c r="M1799" s="84" t="str">
        <x:v>Falta de lubrificação</x:v>
      </x:c>
      <x:c r="N1799" s="84" t="str">
        <x:v>Componente ajustado ou substituído</x:v>
      </x:c>
      <x:c r="O1799" s="84" t="n">
        <x:v>0</x:v>
      </x:c>
      <x:c r="P1799" s="93" t="n">
        <x:v>226.48</x:v>
      </x:c>
      <x:c r="Q1799" s="93" t="n">
        <x:v>4725.18</x:v>
      </x:c>
      <x:c r="R1799" s="91" t="n">
        <x:v>0</x:v>
      </x:c>
    </x:row>
    <x:row r="1800">
      <x:c r="A1800" s="83" t="n">
        <x:v>1799</x:v>
      </x:c>
      <x:c r="B1800" s="84" t="str">
        <x:v>OS-2023-01799</x:v>
      </x:c>
      <x:c r="C1800" s="84" t="n">
        <x:v>75</x:v>
      </x:c>
      <x:c r="D1800" s="84" t="n">
        <x:v>7</x:v>
      </x:c>
      <x:c r="E1800" s="84" t="n">
        <x:v>150</x:v>
      </x:c>
      <x:c r="F1800" s="89" t="n">
        <x:v>45089.55849537037</x:v>
      </x:c>
      <x:c r="G1800" s="89" t="n">
        <x:v>45095.55849537037</x:v>
      </x:c>
      <x:c r="H1800" s="89" t="n">
        <x:v>45091.6418287037</x:v>
      </x:c>
      <x:c r="I1800" s="89" t="n">
        <x:v>45091.68349537037</x:v>
      </x:c>
      <x:c r="J1800" s="84" t="str">
        <x:v>Crítica</x:v>
      </x:c>
      <x:c r="K1800" s="84" t="str">
        <x:v>Encerrada</x:v>
      </x:c>
      <x:c r="L1800" s="84" t="str">
        <x:v>Superaquecimento</x:v>
      </x:c>
      <x:c r="M1800" s="84" t="str">
        <x:v>Falta de lubrificação</x:v>
      </x:c>
      <x:c r="N1800" s="84" t="str">
        <x:v>Componente ajustado ou substituído</x:v>
      </x:c>
      <x:c r="O1800" s="84" t="n">
        <x:v>0</x:v>
      </x:c>
      <x:c r="P1800" s="93" t="n">
        <x:v>506.21</x:v>
      </x:c>
      <x:c r="Q1800" s="93" t="n">
        <x:v>0</x:v>
      </x:c>
      <x:c r="R1800" s="91" t="n">
        <x:v>9605.46</x:v>
      </x:c>
    </x:row>
    <x:row r="1801">
      <x:c r="A1801" s="83" t="n">
        <x:v>1800</x:v>
      </x:c>
      <x:c r="B1801" s="84" t="str">
        <x:v>OS-2025-01800</x:v>
      </x:c>
      <x:c r="C1801" s="84" t="n">
        <x:v>59</x:v>
      </x:c>
      <x:c r="D1801" s="84" t="n">
        <x:v>1</x:v>
      </x:c>
      <x:c r="E1801" s="84" t="n">
        <x:v>117</x:v>
      </x:c>
      <x:c r="F1801" s="89" t="n">
        <x:v>45767.939108796294</x:v>
      </x:c>
      <x:c r="G1801" s="89" t="n">
        <x:v>45781.939108796294</x:v>
      </x:c>
      <x:c r="H1801" s="89" t="n">
        <x:v>45769.39744212963</x:v>
      </x:c>
      <x:c r="I1801" s="89"/>
      <x:c r="J1801" s="84" t="str">
        <x:v>Baixa</x:v>
      </x:c>
      <x:c r="K1801" s="84" t="str">
        <x:v>Em execução</x:v>
      </x:c>
      <x:c r="L1801" s="84" t="str">
        <x:v>Vazamento</x:v>
      </x:c>
      <x:c r="M1801" s="84" t="str">
        <x:v>Falta de lubrificação</x:v>
      </x:c>
      <x:c r="N1801" s="84"/>
      <x:c r="O1801" s="84" t="n">
        <x:v>0</x:v>
      </x:c>
      <x:c r="P1801" s="93" t="n">
        <x:v>253.57</x:v>
      </x:c>
      <x:c r="Q1801" s="93" t="n">
        <x:v>0</x:v>
      </x:c>
      <x:c r="R1801" s="91" t="n">
        <x:v>0</x:v>
      </x:c>
    </x:row>
    <x:row r="1802">
      <x:c r="A1802" s="83" t="n">
        <x:v>1801</x:v>
      </x:c>
      <x:c r="B1802" s="84" t="str">
        <x:v>OS-2025-01801</x:v>
      </x:c>
      <x:c r="C1802" s="84" t="n">
        <x:v>28</x:v>
      </x:c>
      <x:c r="D1802" s="84" t="n">
        <x:v>7</x:v>
      </x:c>
      <x:c r="E1802" s="84" t="n">
        <x:v>55</x:v>
      </x:c>
      <x:c r="F1802" s="89" t="n">
        <x:v>45775.90106481482</x:v>
      </x:c>
      <x:c r="G1802" s="89" t="n">
        <x:v>45784.90106481482</x:v>
      </x:c>
      <x:c r="H1802" s="89" t="n">
        <x:v>45777.69273148148</x:v>
      </x:c>
      <x:c r="I1802" s="89" t="n">
        <x:v>45778.06773148148</x:v>
      </x:c>
      <x:c r="J1802" s="84" t="str">
        <x:v>Baixa</x:v>
      </x:c>
      <x:c r="K1802" s="84" t="str">
        <x:v>Encerrada</x:v>
      </x:c>
      <x:c r="L1802" s="84" t="str">
        <x:v>Ruído anormal</x:v>
      </x:c>
      <x:c r="M1802" s="84" t="str">
        <x:v>Conexão frouxa</x:v>
      </x:c>
      <x:c r="N1802" s="84" t="str">
        <x:v>Componente ajustado ou substituído</x:v>
      </x:c>
      <x:c r="O1802" s="84" t="n">
        <x:v>0</x:v>
      </x:c>
      <x:c r="P1802" s="93" t="n">
        <x:v>597.08</x:v>
      </x:c>
      <x:c r="Q1802" s="93" t="n">
        <x:v>0</x:v>
      </x:c>
      <x:c r="R1802" s="91" t="n">
        <x:v>0</x:v>
      </x:c>
    </x:row>
    <x:row r="1803">
      <x:c r="A1803" s="83" t="n">
        <x:v>1802</x:v>
      </x:c>
      <x:c r="B1803" s="84" t="str">
        <x:v>OS-2025-01802</x:v>
      </x:c>
      <x:c r="C1803" s="84" t="n">
        <x:v>10</x:v>
      </x:c>
      <x:c r="D1803" s="84" t="n">
        <x:v>3</x:v>
      </x:c>
      <x:c r="E1803" s="84"/>
      <x:c r="F1803" s="89" t="n">
        <x:v>45854.638125</x:v>
      </x:c>
      <x:c r="G1803" s="89"/>
      <x:c r="H1803" s="89" t="n">
        <x:v>45856.763125</x:v>
      </x:c>
      <x:c r="I1803" s="89" t="n">
        <x:v>45856.97145833333</x:v>
      </x:c>
      <x:c r="J1803" s="84" t="str">
        <x:v>Média</x:v>
      </x:c>
      <x:c r="K1803" s="84" t="str">
        <x:v>Concluída</x:v>
      </x:c>
      <x:c r="L1803" s="84" t="str">
        <x:v>Vazamento</x:v>
      </x:c>
      <x:c r="M1803" s="84" t="str">
        <x:v>Desgaste natural</x:v>
      </x:c>
      <x:c r="N1803" s="84" t="str">
        <x:v>Componente ajustado ou substituído</x:v>
      </x:c>
      <x:c r="O1803" s="84" t="n">
        <x:v>0</x:v>
      </x:c>
      <x:c r="P1803" s="93" t="n">
        <x:v>376.29</x:v>
      </x:c>
      <x:c r="Q1803" s="93" t="n">
        <x:v>0</x:v>
      </x:c>
      <x:c r="R1803" s="91" t="n">
        <x:v>0</x:v>
      </x:c>
    </x:row>
    <x:row r="1804">
      <x:c r="A1804" s="83" t="n">
        <x:v>1803</x:v>
      </x:c>
      <x:c r="B1804" s="84" t="str">
        <x:v>OS-2025-01803</x:v>
      </x:c>
      <x:c r="C1804" s="84" t="n">
        <x:v>3</x:v>
      </x:c>
      <x:c r="D1804" s="84" t="n">
        <x:v>1</x:v>
      </x:c>
      <x:c r="E1804" s="84" t="n">
        <x:v>5</x:v>
      </x:c>
      <x:c r="F1804" s="89" t="n">
        <x:v>45864.5328125</x:v>
      </x:c>
      <x:c r="G1804" s="89" t="n">
        <x:v>45865.5328125</x:v>
      </x:c>
      <x:c r="H1804" s="89" t="n">
        <x:v>45864.74114583333</x:v>
      </x:c>
      <x:c r="I1804" s="89"/>
      <x:c r="J1804" s="84" t="str">
        <x:v>Média</x:v>
      </x:c>
      <x:c r="K1804" s="84" t="str">
        <x:v>Aguardando peça</x:v>
      </x:c>
      <x:c r="L1804" s="84" t="str">
        <x:v>Ruído anormal</x:v>
      </x:c>
      <x:c r="M1804" s="84" t="str">
        <x:v>Contaminação</x:v>
      </x:c>
      <x:c r="N1804" s="84"/>
      <x:c r="O1804" s="84" t="n">
        <x:v>0</x:v>
      </x:c>
      <x:c r="P1804" s="93" t="n">
        <x:v>235.04</x:v>
      </x:c>
      <x:c r="Q1804" s="93" t="n">
        <x:v>8429.4</x:v>
      </x:c>
      <x:c r="R1804" s="91" t="n">
        <x:v>0</x:v>
      </x:c>
    </x:row>
    <x:row r="1805">
      <x:c r="A1805" s="83" t="n">
        <x:v>1804</x:v>
      </x:c>
      <x:c r="B1805" s="84" t="str">
        <x:v>OS-2024-01804</x:v>
      </x:c>
      <x:c r="C1805" s="84" t="n">
        <x:v>59</x:v>
      </x:c>
      <x:c r="D1805" s="84" t="n">
        <x:v>5</x:v>
      </x:c>
      <x:c r="E1805" s="84" t="n">
        <x:v>117</x:v>
      </x:c>
      <x:c r="F1805" s="89" t="n">
        <x:v>45609.356516203705</x:v>
      </x:c>
      <x:c r="G1805" s="89" t="n">
        <x:v>45609.356516203705</x:v>
      </x:c>
      <x:c r="H1805" s="89" t="n">
        <x:v>45611.27318287037</x:v>
      </x:c>
      <x:c r="I1805" s="89" t="n">
        <x:v>45611.56484953704</x:v>
      </x:c>
      <x:c r="J1805" s="84" t="str">
        <x:v>Baixa</x:v>
      </x:c>
      <x:c r="K1805" s="84" t="str">
        <x:v>Concluída</x:v>
      </x:c>
      <x:c r="L1805" s="84" t="str">
        <x:v>Desalinhamento</x:v>
      </x:c>
      <x:c r="M1805" s="84" t="str">
        <x:v>Componente danificado</x:v>
      </x:c>
      <x:c r="N1805" s="84" t="str">
        <x:v>Componente ajustado ou substituído</x:v>
      </x:c>
      <x:c r="O1805" s="84" t="n">
        <x:v>0</x:v>
      </x:c>
      <x:c r="P1805" s="93" t="n">
        <x:v>249.99</x:v>
      </x:c>
      <x:c r="Q1805" s="93" t="n">
        <x:v>6510.12</x:v>
      </x:c>
      <x:c r="R1805" s="91" t="n">
        <x:v>0</x:v>
      </x:c>
    </x:row>
    <x:row r="1806">
      <x:c r="A1806" s="83" t="n">
        <x:v>1805</x:v>
      </x:c>
      <x:c r="B1806" s="84" t="str">
        <x:v>OS-2024-01805</x:v>
      </x:c>
      <x:c r="C1806" s="84" t="n">
        <x:v>7</x:v>
      </x:c>
      <x:c r="D1806" s="84" t="n">
        <x:v>1</x:v>
      </x:c>
      <x:c r="E1806" s="84" t="n">
        <x:v>13</x:v>
      </x:c>
      <x:c r="F1806" s="89" t="n">
        <x:v>45597.06337962963</x:v>
      </x:c>
      <x:c r="G1806" s="89" t="n">
        <x:v>45606.06337962963</x:v>
      </x:c>
      <x:c r="H1806" s="89" t="n">
        <x:v>45599.980046296296</x:v>
      </x:c>
      <x:c r="I1806" s="89" t="n">
        <x:v>45600.43837962963</x:v>
      </x:c>
      <x:c r="J1806" s="84" t="str">
        <x:v>Crítica</x:v>
      </x:c>
      <x:c r="K1806" s="84" t="str">
        <x:v>Encerrada</x:v>
      </x:c>
      <x:c r="L1806" s="84" t="str">
        <x:v>Superaquecimento</x:v>
      </x:c>
      <x:c r="M1806" s="84" t="str">
        <x:v>Componente danificado</x:v>
      </x:c>
      <x:c r="N1806" s="84" t="str">
        <x:v>Componente ajustado ou substituído</x:v>
      </x:c>
      <x:c r="O1806" s="84" t="n">
        <x:v>0</x:v>
      </x:c>
      <x:c r="P1806" s="93" t="n">
        <x:v>424.95</x:v>
      </x:c>
      <x:c r="Q1806" s="93" t="n">
        <x:v>5850.09</x:v>
      </x:c>
      <x:c r="R1806" s="91" t="n">
        <x:v>0</x:v>
      </x:c>
    </x:row>
    <x:row r="1807">
      <x:c r="A1807" s="83" t="n">
        <x:v>1806</x:v>
      </x:c>
      <x:c r="B1807" s="84" t="str">
        <x:v>OS-2024-01806</x:v>
      </x:c>
      <x:c r="C1807" s="84" t="n">
        <x:v>27</x:v>
      </x:c>
      <x:c r="D1807" s="84" t="n">
        <x:v>4</x:v>
      </x:c>
      <x:c r="E1807" s="84"/>
      <x:c r="F1807" s="89" t="n">
        <x:v>45412.51548611111</x:v>
      </x:c>
      <x:c r="G1807" s="89" t="n">
        <x:v>45421.51548611111</x:v>
      </x:c>
      <x:c r="H1807" s="89" t="n">
        <x:v>45413.22381944444</x:v>
      </x:c>
      <x:c r="I1807" s="89" t="n">
        <x:v>45413.64048611111</x:v>
      </x:c>
      <x:c r="J1807" s="84" t="str">
        <x:v>Baixa</x:v>
      </x:c>
      <x:c r="K1807" s="84" t="str">
        <x:v>Encerrada</x:v>
      </x:c>
      <x:c r="L1807" s="84" t="str">
        <x:v>Baixa pressão</x:v>
      </x:c>
      <x:c r="M1807" s="84" t="str">
        <x:v>Componente danificado</x:v>
      </x:c>
      <x:c r="N1807" s="84" t="str">
        <x:v>Componente ajustado ou substituído</x:v>
      </x:c>
      <x:c r="O1807" s="84" t="n">
        <x:v>0</x:v>
      </x:c>
      <x:c r="P1807" s="93" t="n">
        <x:v>183.33</x:v>
      </x:c>
      <x:c r="Q1807" s="93" t="n">
        <x:v>7907.36</x:v>
      </x:c>
      <x:c r="R1807" s="91" t="n">
        <x:v>0</x:v>
      </x:c>
    </x:row>
    <x:row r="1808">
      <x:c r="A1808" s="83" t="n">
        <x:v>1807</x:v>
      </x:c>
      <x:c r="B1808" s="84" t="str">
        <x:v>OS-2023-01807</x:v>
      </x:c>
      <x:c r="C1808" s="84" t="n">
        <x:v>40</x:v>
      </x:c>
      <x:c r="D1808" s="84" t="n">
        <x:v>2</x:v>
      </x:c>
      <x:c r="E1808" s="84"/>
      <x:c r="F1808" s="89" t="n">
        <x:v>44929.074907407405</x:v>
      </x:c>
      <x:c r="G1808" s="89" t="n">
        <x:v>44931.074907407405</x:v>
      </x:c>
      <x:c r="H1808" s="89"/>
      <x:c r="I1808" s="89"/>
      <x:c r="J1808" s="84" t="str">
        <x:v>Alta</x:v>
      </x:c>
      <x:c r="K1808" s="84" t="str">
        <x:v>Cancelada</x:v>
      </x:c>
      <x:c r="L1808" s="84" t="str">
        <x:v>Ruído anormal</x:v>
      </x:c>
      <x:c r="M1808" s="84"/>
      <x:c r="N1808" s="84"/>
      <x:c r="O1808" s="84" t="n">
        <x:v>0</x:v>
      </x:c>
      <x:c r="P1808" s="93" t="n">
        <x:v>0</x:v>
      </x:c>
      <x:c r="Q1808" s="93" t="n">
        <x:v>0</x:v>
      </x:c>
      <x:c r="R1808" s="91" t="n">
        <x:v>0</x:v>
      </x:c>
    </x:row>
    <x:row r="1809">
      <x:c r="A1809" s="83" t="n">
        <x:v>1808</x:v>
      </x:c>
      <x:c r="B1809" s="84" t="str">
        <x:v>OS-2025-01808</x:v>
      </x:c>
      <x:c r="C1809" s="84" t="n">
        <x:v>49</x:v>
      </x:c>
      <x:c r="D1809" s="84" t="n">
        <x:v>1</x:v>
      </x:c>
      <x:c r="E1809" s="84" t="n">
        <x:v>97</x:v>
      </x:c>
      <x:c r="F1809" s="89" t="n">
        <x:v>45754.12018518519</x:v>
      </x:c>
      <x:c r="G1809" s="89" t="n">
        <x:v>45768.12018518519</x:v>
      </x:c>
      <x:c r="H1809" s="89" t="n">
        <x:v>45756.328518518516</x:v>
      </x:c>
      <x:c r="I1809" s="89"/>
      <x:c r="J1809" s="84" t="str">
        <x:v>Alta</x:v>
      </x:c>
      <x:c r="K1809" s="84" t="str">
        <x:v>Em execução</x:v>
      </x:c>
      <x:c r="L1809" s="84" t="str">
        <x:v>Falha elétrica</x:v>
      </x:c>
      <x:c r="M1809" s="84" t="str">
        <x:v>Componente danificado</x:v>
      </x:c>
      <x:c r="N1809" s="84"/>
      <x:c r="O1809" s="84" t="n">
        <x:v>0</x:v>
      </x:c>
      <x:c r="P1809" s="93" t="n">
        <x:v>664.31</x:v>
      </x:c>
      <x:c r="Q1809" s="93" t="n">
        <x:v>5603.34</x:v>
      </x:c>
      <x:c r="R1809" s="91" t="n">
        <x:v>0</x:v>
      </x:c>
    </x:row>
    <x:row r="1810">
      <x:c r="A1810" s="83" t="n">
        <x:v>1809</x:v>
      </x:c>
      <x:c r="B1810" s="84" t="str">
        <x:v>OS-2024-01809</x:v>
      </x:c>
      <x:c r="C1810" s="84" t="n">
        <x:v>75</x:v>
      </x:c>
      <x:c r="D1810" s="84" t="n">
        <x:v>1</x:v>
      </x:c>
      <x:c r="E1810" s="84" t="n">
        <x:v>150</x:v>
      </x:c>
      <x:c r="F1810" s="89" t="n">
        <x:v>45616.25508101852</x:v>
      </x:c>
      <x:c r="G1810" s="89" t="n">
        <x:v>45622.25508101852</x:v>
      </x:c>
      <x:c r="H1810" s="89" t="n">
        <x:v>45617.71341435185</x:v>
      </x:c>
      <x:c r="I1810" s="89" t="n">
        <x:v>45618.00508101852</x:v>
      </x:c>
      <x:c r="J1810" s="84" t="str">
        <x:v>Média</x:v>
      </x:c>
      <x:c r="K1810" s="84" t="str">
        <x:v>Encerrada</x:v>
      </x:c>
      <x:c r="L1810" s="84" t="str">
        <x:v>Desalinhamento</x:v>
      </x:c>
      <x:c r="M1810" s="84" t="str">
        <x:v>Contaminação</x:v>
      </x:c>
      <x:c r="N1810" s="84" t="str">
        <x:v>Componente ajustado ou substituído</x:v>
      </x:c>
      <x:c r="O1810" s="84" t="n">
        <x:v>0</x:v>
      </x:c>
      <x:c r="P1810" s="93" t="n">
        <x:v>32.66</x:v>
      </x:c>
      <x:c r="Q1810" s="93" t="n">
        <x:v>3868.38</x:v>
      </x:c>
      <x:c r="R1810" s="91" t="n">
        <x:v>0</x:v>
      </x:c>
    </x:row>
    <x:row r="1811">
      <x:c r="A1811" s="83" t="n">
        <x:v>1810</x:v>
      </x:c>
      <x:c r="B1811" s="84" t="str">
        <x:v>OS-2023-01810</x:v>
      </x:c>
      <x:c r="C1811" s="84" t="n">
        <x:v>33</x:v>
      </x:c>
      <x:c r="D1811" s="84" t="n">
        <x:v>1</x:v>
      </x:c>
      <x:c r="E1811" s="84" t="n">
        <x:v>65</x:v>
      </x:c>
      <x:c r="F1811" s="89" t="n">
        <x:v>44954.99118055555</x:v>
      </x:c>
      <x:c r="G1811" s="89" t="n">
        <x:v>44969.99118055555</x:v>
      </x:c>
      <x:c r="H1811" s="89" t="n">
        <x:v>44956.94951388889</x:v>
      </x:c>
      <x:c r="I1811" s="89" t="n">
        <x:v>44957.657847222225</x:v>
      </x:c>
      <x:c r="J1811" s="84" t="str">
        <x:v>Alta</x:v>
      </x:c>
      <x:c r="K1811" s="84" t="str">
        <x:v>Concluída</x:v>
      </x:c>
      <x:c r="L1811" s="84" t="str">
        <x:v>Alarme intermitente</x:v>
      </x:c>
      <x:c r="M1811" s="84" t="str">
        <x:v>Conexão frouxa</x:v>
      </x:c>
      <x:c r="N1811" s="84" t="str">
        <x:v>Componente ajustado ou substituído</x:v>
      </x:c>
      <x:c r="O1811" s="84" t="n">
        <x:v>0</x:v>
      </x:c>
      <x:c r="P1811" s="93" t="n">
        <x:v>516.33</x:v>
      </x:c>
      <x:c r="Q1811" s="93" t="n">
        <x:v>4969.05</x:v>
      </x:c>
      <x:c r="R1811" s="91" t="n">
        <x:v>0</x:v>
      </x:c>
    </x:row>
    <x:row r="1812">
      <x:c r="A1812" s="83" t="n">
        <x:v>1811</x:v>
      </x:c>
      <x:c r="B1812" s="84" t="str">
        <x:v>OS-2025-01811</x:v>
      </x:c>
      <x:c r="C1812" s="84" t="n">
        <x:v>89</x:v>
      </x:c>
      <x:c r="D1812" s="84" t="n">
        <x:v>1</x:v>
      </x:c>
      <x:c r="E1812" s="84" t="n">
        <x:v>178</x:v>
      </x:c>
      <x:c r="F1812" s="89" t="n">
        <x:v>45915.72987268519</x:v>
      </x:c>
      <x:c r="G1812" s="89" t="n">
        <x:v>45918.72987268519</x:v>
      </x:c>
      <x:c r="H1812" s="89" t="n">
        <x:v>45916.60487268519</x:v>
      </x:c>
      <x:c r="I1812" s="89" t="n">
        <x:v>45917.35487268519</x:v>
      </x:c>
      <x:c r="J1812" s="84" t="str">
        <x:v>Crítica</x:v>
      </x:c>
      <x:c r="K1812" s="84" t="str">
        <x:v>Concluída</x:v>
      </x:c>
      <x:c r="L1812" s="84" t="str">
        <x:v>Vazamento</x:v>
      </x:c>
      <x:c r="M1812" s="84" t="str">
        <x:v>Conexão frouxa</x:v>
      </x:c>
      <x:c r="N1812" s="84" t="str">
        <x:v>Componente ajustado ou substituído</x:v>
      </x:c>
      <x:c r="O1812" s="84" t="n">
        <x:v>1</x:v>
      </x:c>
      <x:c r="P1812" s="93" t="n">
        <x:v>521.15</x:v>
      </x:c>
      <x:c r="Q1812" s="93" t="n">
        <x:v>0</x:v>
      </x:c>
      <x:c r="R1812" s="91" t="n">
        <x:v>0</x:v>
      </x:c>
    </x:row>
    <x:row r="1813">
      <x:c r="A1813" s="83" t="n">
        <x:v>1812</x:v>
      </x:c>
      <x:c r="B1813" s="84" t="str">
        <x:v>OS-2025-01812</x:v>
      </x:c>
      <x:c r="C1813" s="84" t="n">
        <x:v>44</x:v>
      </x:c>
      <x:c r="D1813" s="84" t="n">
        <x:v>2</x:v>
      </x:c>
      <x:c r="E1813" s="84"/>
      <x:c r="F1813" s="89" t="n">
        <x:v>45955.82158564815</x:v>
      </x:c>
      <x:c r="G1813" s="89" t="n">
        <x:v>45960.82158564815</x:v>
      </x:c>
      <x:c r="H1813" s="89"/>
      <x:c r="I1813" s="89"/>
      <x:c r="J1813" s="84" t="str">
        <x:v>Crítica</x:v>
      </x:c>
      <x:c r="K1813" s="84" t="str">
        <x:v>Planejada</x:v>
      </x:c>
      <x:c r="L1813" s="84" t="str">
        <x:v>Superaquecimento</x:v>
      </x:c>
      <x:c r="M1813" s="84"/>
      <x:c r="N1813" s="84"/>
      <x:c r="O1813" s="84" t="n">
        <x:v>0</x:v>
      </x:c>
      <x:c r="P1813" s="93" t="n">
        <x:v>0</x:v>
      </x:c>
      <x:c r="Q1813" s="93" t="n">
        <x:v>0</x:v>
      </x:c>
      <x:c r="R1813" s="91" t="n">
        <x:v>0</x:v>
      </x:c>
    </x:row>
    <x:row r="1814">
      <x:c r="A1814" s="83" t="n">
        <x:v>1813</x:v>
      </x:c>
      <x:c r="B1814" s="84" t="str">
        <x:v>OS-2023-01813</x:v>
      </x:c>
      <x:c r="C1814" s="84" t="n">
        <x:v>45</x:v>
      </x:c>
      <x:c r="D1814" s="84" t="n">
        <x:v>1</x:v>
      </x:c>
      <x:c r="E1814" s="84" t="n">
        <x:v>90</x:v>
      </x:c>
      <x:c r="F1814" s="89" t="n">
        <x:v>45172.64398148148</x:v>
      </x:c>
      <x:c r="G1814" s="89" t="n">
        <x:v>45185.64398148148</x:v>
      </x:c>
      <x:c r="H1814" s="89" t="n">
        <x:v>45174.560648148145</x:v>
      </x:c>
      <x:c r="I1814" s="89" t="n">
        <x:v>45175.39398148148</x:v>
      </x:c>
      <x:c r="J1814" s="84" t="str">
        <x:v>Média</x:v>
      </x:c>
      <x:c r="K1814" s="84" t="str">
        <x:v>Encerrada</x:v>
      </x:c>
      <x:c r="L1814" s="84" t="str">
        <x:v>Desalinhamento</x:v>
      </x:c>
      <x:c r="M1814" s="84" t="str">
        <x:v>Componente danificado</x:v>
      </x:c>
      <x:c r="N1814" s="84" t="str">
        <x:v>Componente ajustado ou substituído</x:v>
      </x:c>
      <x:c r="O1814" s="84" t="n">
        <x:v>0</x:v>
      </x:c>
      <x:c r="P1814" s="93" t="n">
        <x:v>405.06</x:v>
      </x:c>
      <x:c r="Q1814" s="93" t="n">
        <x:v>16208.93</x:v>
      </x:c>
      <x:c r="R1814" s="91" t="n">
        <x:v>0</x:v>
      </x:c>
    </x:row>
    <x:row r="1815">
      <x:c r="A1815" s="83" t="n">
        <x:v>1814</x:v>
      </x:c>
      <x:c r="B1815" s="84" t="str">
        <x:v>OS-2025-01814</x:v>
      </x:c>
      <x:c r="C1815" s="84" t="n">
        <x:v>89</x:v>
      </x:c>
      <x:c r="D1815" s="84" t="n">
        <x:v>1</x:v>
      </x:c>
      <x:c r="E1815" s="84" t="n">
        <x:v>178</x:v>
      </x:c>
      <x:c r="F1815" s="89" t="n">
        <x:v>45903.46346064815</x:v>
      </x:c>
      <x:c r="G1815" s="89" t="n">
        <x:v>45903.46346064815</x:v>
      </x:c>
      <x:c r="H1815" s="89" t="n">
        <x:v>45903.921793981484</x:v>
      </x:c>
      <x:c r="I1815" s="89" t="n">
        <x:v>45904.38012731481</x:v>
      </x:c>
      <x:c r="J1815" s="84" t="str">
        <x:v>Alta</x:v>
      </x:c>
      <x:c r="K1815" s="84" t="str">
        <x:v>Encerrada</x:v>
      </x:c>
      <x:c r="L1815" s="84" t="str">
        <x:v>Falha elétrica</x:v>
      </x:c>
      <x:c r="M1815" s="84" t="str">
        <x:v>Componente danificado</x:v>
      </x:c>
      <x:c r="N1815" s="84" t="str">
        <x:v>Componente ajustado ou substituído</x:v>
      </x:c>
      <x:c r="O1815" s="84" t="n">
        <x:v>0</x:v>
      </x:c>
      <x:c r="P1815" s="93" t="n">
        <x:v>124.31</x:v>
      </x:c>
      <x:c r="Q1815" s="93" t="n">
        <x:v>7421.64</x:v>
      </x:c>
      <x:c r="R1815" s="91" t="n">
        <x:v>0</x:v>
      </x:c>
    </x:row>
    <x:row r="1816">
      <x:c r="A1816" s="83" t="n">
        <x:v>1815</x:v>
      </x:c>
      <x:c r="B1816" s="84" t="str">
        <x:v>OS-2025-01815</x:v>
      </x:c>
      <x:c r="C1816" s="84" t="n">
        <x:v>77</x:v>
      </x:c>
      <x:c r="D1816" s="84" t="n">
        <x:v>3</x:v>
      </x:c>
      <x:c r="E1816" s="84"/>
      <x:c r="F1816" s="89" t="n">
        <x:v>45715.77659722222</x:v>
      </x:c>
      <x:c r="G1816" s="89"/>
      <x:c r="H1816" s="89" t="n">
        <x:v>45717.109930555554</x:v>
      </x:c>
      <x:c r="I1816" s="89"/>
      <x:c r="J1816" s="84" t="str">
        <x:v>Baixa</x:v>
      </x:c>
      <x:c r="K1816" s="84" t="str">
        <x:v>Aguardando peça</x:v>
      </x:c>
      <x:c r="L1816" s="84" t="str">
        <x:v>Desalinhamento</x:v>
      </x:c>
      <x:c r="M1816" s="84" t="str">
        <x:v>Conexão frouxa</x:v>
      </x:c>
      <x:c r="N1816" s="84"/>
      <x:c r="O1816" s="84" t="n">
        <x:v>0</x:v>
      </x:c>
      <x:c r="P1816" s="93" t="n">
        <x:v>21.22</x:v>
      </x:c>
      <x:c r="Q1816" s="93" t="n">
        <x:v>2723.74</x:v>
      </x:c>
      <x:c r="R1816" s="91" t="n">
        <x:v>0</x:v>
      </x:c>
    </x:row>
    <x:row r="1817">
      <x:c r="A1817" s="83" t="n">
        <x:v>1816</x:v>
      </x:c>
      <x:c r="B1817" s="84" t="str">
        <x:v>OS-2024-01816</x:v>
      </x:c>
      <x:c r="C1817" s="84" t="n">
        <x:v>23</x:v>
      </x:c>
      <x:c r="D1817" s="84" t="n">
        <x:v>7</x:v>
      </x:c>
      <x:c r="E1817" s="84" t="n">
        <x:v>45</x:v>
      </x:c>
      <x:c r="F1817" s="89" t="n">
        <x:v>45402.227002314816</x:v>
      </x:c>
      <x:c r="G1817" s="89" t="n">
        <x:v>45409.227002314816</x:v>
      </x:c>
      <x:c r="H1817" s="89" t="n">
        <x:v>45404.26866898148</x:v>
      </x:c>
      <x:c r="I1817" s="89" t="n">
        <x:v>45404.852002314816</x:v>
      </x:c>
      <x:c r="J1817" s="84" t="str">
        <x:v>Baixa</x:v>
      </x:c>
      <x:c r="K1817" s="84" t="str">
        <x:v>Encerrada</x:v>
      </x:c>
      <x:c r="L1817" s="84" t="str">
        <x:v>Falha elétrica</x:v>
      </x:c>
      <x:c r="M1817" s="84" t="str">
        <x:v>Desgaste natural</x:v>
      </x:c>
      <x:c r="N1817" s="84" t="str">
        <x:v>Componente ajustado ou substituído</x:v>
      </x:c>
      <x:c r="O1817" s="84" t="n">
        <x:v>0</x:v>
      </x:c>
      <x:c r="P1817" s="93" t="n">
        <x:v>878.9</x:v>
      </x:c>
      <x:c r="Q1817" s="93" t="n">
        <x:v>11697.9</x:v>
      </x:c>
      <x:c r="R1817" s="91" t="n">
        <x:v>0</x:v>
      </x:c>
    </x:row>
    <x:row r="1818">
      <x:c r="A1818" s="83" t="n">
        <x:v>1817</x:v>
      </x:c>
      <x:c r="B1818" s="84" t="str">
        <x:v>OS-2024-01817</x:v>
      </x:c>
      <x:c r="C1818" s="84" t="n">
        <x:v>25</x:v>
      </x:c>
      <x:c r="D1818" s="84" t="n">
        <x:v>2</x:v>
      </x:c>
      <x:c r="E1818" s="84"/>
      <x:c r="F1818" s="89" t="n">
        <x:v>45544.303078703706</x:v>
      </x:c>
      <x:c r="G1818" s="89" t="n">
        <x:v>45556.303078703706</x:v>
      </x:c>
      <x:c r="H1818" s="89" t="n">
        <x:v>45545.636412037034</x:v>
      </x:c>
      <x:c r="I1818" s="89" t="n">
        <x:v>45545.761412037034</x:v>
      </x:c>
      <x:c r="J1818" s="84" t="str">
        <x:v>Baixa</x:v>
      </x:c>
      <x:c r="K1818" s="84" t="str">
        <x:v>Encerrada</x:v>
      </x:c>
      <x:c r="L1818" s="84" t="str">
        <x:v>Vazamento</x:v>
      </x:c>
      <x:c r="M1818" s="84" t="str">
        <x:v>Desgaste natural</x:v>
      </x:c>
      <x:c r="N1818" s="84" t="str">
        <x:v>Componente ajustado ou substituído</x:v>
      </x:c>
      <x:c r="O1818" s="84" t="n">
        <x:v>0</x:v>
      </x:c>
      <x:c r="P1818" s="93" t="n">
        <x:v>163.42</x:v>
      </x:c>
      <x:c r="Q1818" s="93" t="n">
        <x:v>8197.52</x:v>
      </x:c>
      <x:c r="R1818" s="91" t="n">
        <x:v>0</x:v>
      </x:c>
    </x:row>
    <x:row r="1819">
      <x:c r="A1819" s="83" t="n">
        <x:v>1818</x:v>
      </x:c>
      <x:c r="B1819" s="84" t="str">
        <x:v>OS-2023-01818</x:v>
      </x:c>
      <x:c r="C1819" s="84" t="n">
        <x:v>53</x:v>
      </x:c>
      <x:c r="D1819" s="84" t="n">
        <x:v>5</x:v>
      </x:c>
      <x:c r="E1819" s="84" t="n">
        <x:v>106</x:v>
      </x:c>
      <x:c r="F1819" s="89" t="n">
        <x:v>45225.70890046296</x:v>
      </x:c>
      <x:c r="G1819" s="89" t="n">
        <x:v>45234.70890046296</x:v>
      </x:c>
      <x:c r="H1819" s="89"/>
      <x:c r="I1819" s="89"/>
      <x:c r="J1819" s="84" t="str">
        <x:v>Alta</x:v>
      </x:c>
      <x:c r="K1819" s="84" t="str">
        <x:v>Planejada</x:v>
      </x:c>
      <x:c r="L1819" s="84" t="str">
        <x:v>Ruído anormal</x:v>
      </x:c>
      <x:c r="M1819" s="84"/>
      <x:c r="N1819" s="84"/>
      <x:c r="O1819" s="84" t="n">
        <x:v>0</x:v>
      </x:c>
      <x:c r="P1819" s="93" t="n">
        <x:v>0</x:v>
      </x:c>
      <x:c r="Q1819" s="93" t="n">
        <x:v>0</x:v>
      </x:c>
      <x:c r="R1819" s="91" t="n">
        <x:v>0</x:v>
      </x:c>
    </x:row>
    <x:row r="1820">
      <x:c r="A1820" s="83" t="n">
        <x:v>1819</x:v>
      </x:c>
      <x:c r="B1820" s="84" t="str">
        <x:v>OS-2025-01819</x:v>
      </x:c>
      <x:c r="C1820" s="84" t="n">
        <x:v>68</x:v>
      </x:c>
      <x:c r="D1820" s="84" t="n">
        <x:v>7</x:v>
      </x:c>
      <x:c r="E1820" s="84" t="n">
        <x:v>136</x:v>
      </x:c>
      <x:c r="F1820" s="89" t="n">
        <x:v>45806.93989583333</x:v>
      </x:c>
      <x:c r="G1820" s="89" t="n">
        <x:v>45815.93989583333</x:v>
      </x:c>
      <x:c r="H1820" s="89" t="n">
        <x:v>45809.68989583333</x:v>
      </x:c>
      <x:c r="I1820" s="89" t="n">
        <x:v>45809.7315625</x:v>
      </x:c>
      <x:c r="J1820" s="84" t="str">
        <x:v>Baixa</x:v>
      </x:c>
      <x:c r="K1820" s="84" t="str">
        <x:v>Concluída</x:v>
      </x:c>
      <x:c r="L1820" s="84" t="str">
        <x:v>Desalinhamento</x:v>
      </x:c>
      <x:c r="M1820" s="84" t="str">
        <x:v>Falta de lubrificação</x:v>
      </x:c>
      <x:c r="N1820" s="84" t="str">
        <x:v>Componente ajustado ou substituído</x:v>
      </x:c>
      <x:c r="O1820" s="84" t="n">
        <x:v>0</x:v>
      </x:c>
      <x:c r="P1820" s="93" t="n">
        <x:v>307.93</x:v>
      </x:c>
      <x:c r="Q1820" s="93" t="n">
        <x:v>8032.38</x:v>
      </x:c>
      <x:c r="R1820" s="91" t="n">
        <x:v>2416.68</x:v>
      </x:c>
    </x:row>
    <x:row r="1821">
      <x:c r="A1821" s="83" t="n">
        <x:v>1820</x:v>
      </x:c>
      <x:c r="B1821" s="84" t="str">
        <x:v>OS-2024-01820</x:v>
      </x:c>
      <x:c r="C1821" s="84" t="n">
        <x:v>33</x:v>
      </x:c>
      <x:c r="D1821" s="84" t="n">
        <x:v>3</x:v>
      </x:c>
      <x:c r="E1821" s="84"/>
      <x:c r="F1821" s="89" t="n">
        <x:v>45403.14100694445</x:v>
      </x:c>
      <x:c r="G1821" s="89"/>
      <x:c r="H1821" s="89" t="n">
        <x:v>45405.68267361111</x:v>
      </x:c>
      <x:c r="I1821" s="89" t="n">
        <x:v>45406.39100694445</x:v>
      </x:c>
      <x:c r="J1821" s="84" t="str">
        <x:v>Baixa</x:v>
      </x:c>
      <x:c r="K1821" s="84" t="str">
        <x:v>Concluída</x:v>
      </x:c>
      <x:c r="L1821" s="84" t="str">
        <x:v>Alarme intermitente</x:v>
      </x:c>
      <x:c r="M1821" s="84" t="str">
        <x:v>Componente danificado</x:v>
      </x:c>
      <x:c r="N1821" s="84" t="str">
        <x:v>Componente ajustado ou substituído</x:v>
      </x:c>
      <x:c r="O1821" s="84" t="n">
        <x:v>0</x:v>
      </x:c>
      <x:c r="P1821" s="93" t="n">
        <x:v>355.68</x:v>
      </x:c>
      <x:c r="Q1821" s="93" t="n">
        <x:v>2963.64</x:v>
      </x:c>
      <x:c r="R1821" s="91" t="n">
        <x:v>0</x:v>
      </x:c>
    </x:row>
    <x:row r="1822">
      <x:c r="A1822" s="83" t="n">
        <x:v>1821</x:v>
      </x:c>
      <x:c r="B1822" s="84" t="str">
        <x:v>OS-2025-01821</x:v>
      </x:c>
      <x:c r="C1822" s="84" t="n">
        <x:v>6</x:v>
      </x:c>
      <x:c r="D1822" s="84" t="n">
        <x:v>1</x:v>
      </x:c>
      <x:c r="E1822" s="84" t="n">
        <x:v>12</x:v>
      </x:c>
      <x:c r="F1822" s="89" t="n">
        <x:v>45972.11001157408</x:v>
      </x:c>
      <x:c r="G1822" s="89" t="n">
        <x:v>45976.11001157408</x:v>
      </x:c>
      <x:c r="H1822" s="89" t="n">
        <x:v>45975.11001157408</x:v>
      </x:c>
      <x:c r="I1822" s="89"/>
      <x:c r="J1822" s="84" t="str">
        <x:v>Baixa</x:v>
      </x:c>
      <x:c r="K1822" s="84" t="str">
        <x:v>Aguardando peça</x:v>
      </x:c>
      <x:c r="L1822" s="84" t="str">
        <x:v>Ruído anormal</x:v>
      </x:c>
      <x:c r="M1822" s="84" t="str">
        <x:v>Conexão frouxa</x:v>
      </x:c>
      <x:c r="N1822" s="84"/>
      <x:c r="O1822" s="84" t="n">
        <x:v>0</x:v>
      </x:c>
      <x:c r="P1822" s="93" t="n">
        <x:v>202.65</x:v>
      </x:c>
      <x:c r="Q1822" s="93" t="n">
        <x:v>2789.48</x:v>
      </x:c>
      <x:c r="R1822" s="91" t="n">
        <x:v>0</x:v>
      </x:c>
    </x:row>
    <x:row r="1823">
      <x:c r="A1823" s="83" t="n">
        <x:v>1822</x:v>
      </x:c>
      <x:c r="B1823" s="84" t="str">
        <x:v>OS-2025-01822</x:v>
      </x:c>
      <x:c r="C1823" s="84" t="n">
        <x:v>69</x:v>
      </x:c>
      <x:c r="D1823" s="84" t="n">
        <x:v>4</x:v>
      </x:c>
      <x:c r="E1823" s="84"/>
      <x:c r="F1823" s="89" t="n">
        <x:v>45925.08513888889</x:v>
      </x:c>
      <x:c r="G1823" s="89" t="n">
        <x:v>45931.08513888889</x:v>
      </x:c>
      <x:c r="H1823" s="89" t="n">
        <x:v>45926.751805555556</x:v>
      </x:c>
      <x:c r="I1823" s="89" t="n">
        <x:v>45926.83513888889</x:v>
      </x:c>
      <x:c r="J1823" s="84" t="str">
        <x:v>Alta</x:v>
      </x:c>
      <x:c r="K1823" s="84" t="str">
        <x:v>Encerrada</x:v>
      </x:c>
      <x:c r="L1823" s="84" t="str">
        <x:v>Baixa pressão</x:v>
      </x:c>
      <x:c r="M1823" s="84" t="str">
        <x:v>Componente danificado</x:v>
      </x:c>
      <x:c r="N1823" s="84" t="str">
        <x:v>Componente ajustado ou substituído</x:v>
      </x:c>
      <x:c r="O1823" s="84" t="n">
        <x:v>0</x:v>
      </x:c>
      <x:c r="P1823" s="93" t="n">
        <x:v>857.56</x:v>
      </x:c>
      <x:c r="Q1823" s="93" t="n">
        <x:v>1527.61</x:v>
      </x:c>
      <x:c r="R1823" s="91" t="n">
        <x:v>0</x:v>
      </x:c>
    </x:row>
    <x:row r="1824">
      <x:c r="A1824" s="83" t="n">
        <x:v>1823</x:v>
      </x:c>
      <x:c r="B1824" s="84" t="str">
        <x:v>OS-2024-01823</x:v>
      </x:c>
      <x:c r="C1824" s="84" t="n">
        <x:v>68</x:v>
      </x:c>
      <x:c r="D1824" s="84" t="n">
        <x:v>1</x:v>
      </x:c>
      <x:c r="E1824" s="84" t="n">
        <x:v>135</x:v>
      </x:c>
      <x:c r="F1824" s="89" t="n">
        <x:v>45405.52873842593</x:v>
      </x:c>
      <x:c r="G1824" s="89" t="n">
        <x:v>45414.52873842593</x:v>
      </x:c>
      <x:c r="H1824" s="89" t="n">
        <x:v>45408.27873842593</x:v>
      </x:c>
      <x:c r="I1824" s="89" t="n">
        <x:v>45409.02873842593</x:v>
      </x:c>
      <x:c r="J1824" s="84" t="str">
        <x:v>Média</x:v>
      </x:c>
      <x:c r="K1824" s="84" t="str">
        <x:v>Encerrada</x:v>
      </x:c>
      <x:c r="L1824" s="84" t="str">
        <x:v>Vazamento</x:v>
      </x:c>
      <x:c r="M1824" s="84" t="str">
        <x:v>Componente danificado</x:v>
      </x:c>
      <x:c r="N1824" s="84" t="str">
        <x:v>Componente ajustado ou substituído</x:v>
      </x:c>
      <x:c r="O1824" s="84" t="n">
        <x:v>0</x:v>
      </x:c>
      <x:c r="P1824" s="93" t="n">
        <x:v>229.98</x:v>
      </x:c>
      <x:c r="Q1824" s="93" t="n">
        <x:v>3678.1</x:v>
      </x:c>
      <x:c r="R1824" s="91" t="n">
        <x:v>0</x:v>
      </x:c>
    </x:row>
    <x:row r="1825">
      <x:c r="A1825" s="83" t="n">
        <x:v>1824</x:v>
      </x:c>
      <x:c r="B1825" s="84" t="str">
        <x:v>OS-2024-01824</x:v>
      </x:c>
      <x:c r="C1825" s="84" t="n">
        <x:v>50</x:v>
      </x:c>
      <x:c r="D1825" s="84" t="n">
        <x:v>5</x:v>
      </x:c>
      <x:c r="E1825" s="84" t="n">
        <x:v>99</x:v>
      </x:c>
      <x:c r="F1825" s="89" t="n">
        <x:v>45313.048854166664</x:v>
      </x:c>
      <x:c r="G1825" s="89" t="n">
        <x:v>45318.048854166664</x:v>
      </x:c>
      <x:c r="H1825" s="89" t="n">
        <x:v>45313.7571875</x:v>
      </x:c>
      <x:c r="I1825" s="89" t="n">
        <x:v>45314.173854166664</x:v>
      </x:c>
      <x:c r="J1825" s="84" t="str">
        <x:v>Média</x:v>
      </x:c>
      <x:c r="K1825" s="84" t="str">
        <x:v>Encerrada</x:v>
      </x:c>
      <x:c r="L1825" s="84" t="str">
        <x:v>Baixa pressão</x:v>
      </x:c>
      <x:c r="M1825" s="84" t="str">
        <x:v>Ajuste incorreto</x:v>
      </x:c>
      <x:c r="N1825" s="84" t="str">
        <x:v>Componente ajustado ou substituído</x:v>
      </x:c>
      <x:c r="O1825" s="84" t="n">
        <x:v>0</x:v>
      </x:c>
      <x:c r="P1825" s="93" t="n">
        <x:v>242.16</x:v>
      </x:c>
      <x:c r="Q1825" s="93" t="n">
        <x:v>0</x:v>
      </x:c>
      <x:c r="R1825" s="91" t="n">
        <x:v>0</x:v>
      </x:c>
    </x:row>
    <x:row r="1826">
      <x:c r="A1826" s="83" t="n">
        <x:v>1825</x:v>
      </x:c>
      <x:c r="B1826" s="84" t="str">
        <x:v>OS-2025-01825</x:v>
      </x:c>
      <x:c r="C1826" s="84" t="n">
        <x:v>11</x:v>
      </x:c>
      <x:c r="D1826" s="84" t="n">
        <x:v>3</x:v>
      </x:c>
      <x:c r="E1826" s="84"/>
      <x:c r="F1826" s="89" t="n">
        <x:v>45834.03582175926</x:v>
      </x:c>
      <x:c r="G1826" s="89"/>
      <x:c r="H1826" s="89" t="n">
        <x:v>45836.494155092594</x:v>
      </x:c>
      <x:c r="I1826" s="89" t="n">
        <x:v>45837.244155092594</x:v>
      </x:c>
      <x:c r="J1826" s="84" t="str">
        <x:v>Baixa</x:v>
      </x:c>
      <x:c r="K1826" s="84" t="str">
        <x:v>Encerrada</x:v>
      </x:c>
      <x:c r="L1826" s="84" t="str">
        <x:v>Falha elétrica</x:v>
      </x:c>
      <x:c r="M1826" s="84" t="str">
        <x:v>Desgaste natural</x:v>
      </x:c>
      <x:c r="N1826" s="84" t="str">
        <x:v>Componente ajustado ou substituído</x:v>
      </x:c>
      <x:c r="O1826" s="84" t="n">
        <x:v>0</x:v>
      </x:c>
      <x:c r="P1826" s="93" t="n">
        <x:v>358.92</x:v>
      </x:c>
      <x:c r="Q1826" s="93" t="n">
        <x:v>0</x:v>
      </x:c>
      <x:c r="R1826" s="91" t="n">
        <x:v>0</x:v>
      </x:c>
    </x:row>
    <x:row r="1827">
      <x:c r="A1827" s="83" t="n">
        <x:v>1826</x:v>
      </x:c>
      <x:c r="B1827" s="84" t="str">
        <x:v>OS-2023-01826</x:v>
      </x:c>
      <x:c r="C1827" s="84" t="n">
        <x:v>45</x:v>
      </x:c>
      <x:c r="D1827" s="84" t="n">
        <x:v>3</x:v>
      </x:c>
      <x:c r="E1827" s="84"/>
      <x:c r="F1827" s="89" t="n">
        <x:v>45003.01960648148</x:v>
      </x:c>
      <x:c r="G1827" s="89"/>
      <x:c r="H1827" s="89" t="n">
        <x:v>45004.76960648148</x:v>
      </x:c>
      <x:c r="I1827" s="89"/>
      <x:c r="J1827" s="84" t="str">
        <x:v>Baixa</x:v>
      </x:c>
      <x:c r="K1827" s="84" t="str">
        <x:v>Em execução</x:v>
      </x:c>
      <x:c r="L1827" s="84" t="str">
        <x:v>Vazamento</x:v>
      </x:c>
      <x:c r="M1827" s="84" t="str">
        <x:v>Desgaste natural</x:v>
      </x:c>
      <x:c r="N1827" s="84"/>
      <x:c r="O1827" s="84" t="n">
        <x:v>0</x:v>
      </x:c>
      <x:c r="P1827" s="93" t="n">
        <x:v>462.27</x:v>
      </x:c>
      <x:c r="Q1827" s="93" t="n">
        <x:v>4693.84</x:v>
      </x:c>
      <x:c r="R1827" s="91" t="n">
        <x:v>0</x:v>
      </x:c>
    </x:row>
    <x:row r="1828">
      <x:c r="A1828" s="83" t="n">
        <x:v>1827</x:v>
      </x:c>
      <x:c r="B1828" s="84" t="str">
        <x:v>OS-2023-01827</x:v>
      </x:c>
      <x:c r="C1828" s="84" t="n">
        <x:v>80</x:v>
      </x:c>
      <x:c r="D1828" s="84" t="n">
        <x:v>4</x:v>
      </x:c>
      <x:c r="E1828" s="84"/>
      <x:c r="F1828" s="89" t="n">
        <x:v>45282.07158564815</x:v>
      </x:c>
      <x:c r="G1828" s="89" t="n">
        <x:v>45288.07158564815</x:v>
      </x:c>
      <x:c r="H1828" s="89" t="n">
        <x:v>45284.90491898148</x:v>
      </x:c>
      <x:c r="I1828" s="89"/>
      <x:c r="J1828" s="84" t="str">
        <x:v>Baixa</x:v>
      </x:c>
      <x:c r="K1828" s="84" t="str">
        <x:v>Aguardando peça</x:v>
      </x:c>
      <x:c r="L1828" s="84" t="str">
        <x:v>Ruído anormal</x:v>
      </x:c>
      <x:c r="M1828" s="84" t="str">
        <x:v>Falta de lubrificação</x:v>
      </x:c>
      <x:c r="N1828" s="84"/>
      <x:c r="O1828" s="84" t="n">
        <x:v>0</x:v>
      </x:c>
      <x:c r="P1828" s="93" t="n">
        <x:v>379.3</x:v>
      </x:c>
      <x:c r="Q1828" s="93" t="n">
        <x:v>7181.76</x:v>
      </x:c>
      <x:c r="R1828" s="91" t="n">
        <x:v>11870.57</x:v>
      </x:c>
    </x:row>
    <x:row r="1829">
      <x:c r="A1829" s="83" t="n">
        <x:v>1828</x:v>
      </x:c>
      <x:c r="B1829" s="84" t="str">
        <x:v>OS-2025-01828</x:v>
      </x:c>
      <x:c r="C1829" s="84" t="n">
        <x:v>77</x:v>
      </x:c>
      <x:c r="D1829" s="84" t="n">
        <x:v>3</x:v>
      </x:c>
      <x:c r="E1829" s="84"/>
      <x:c r="F1829" s="89" t="n">
        <x:v>45790.24755787037</x:v>
      </x:c>
      <x:c r="G1829" s="89"/>
      <x:c r="H1829" s="89" t="n">
        <x:v>45790.66422453704</x:v>
      </x:c>
      <x:c r="I1829" s="89" t="n">
        <x:v>45790.87255787037</x:v>
      </x:c>
      <x:c r="J1829" s="84" t="str">
        <x:v>Baixa</x:v>
      </x:c>
      <x:c r="K1829" s="84" t="str">
        <x:v>Encerrada</x:v>
      </x:c>
      <x:c r="L1829" s="84" t="str">
        <x:v>Baixa pressão</x:v>
      </x:c>
      <x:c r="M1829" s="84" t="str">
        <x:v>Falta de lubrificação</x:v>
      </x:c>
      <x:c r="N1829" s="84" t="str">
        <x:v>Componente ajustado ou substituído</x:v>
      </x:c>
      <x:c r="O1829" s="84" t="n">
        <x:v>0</x:v>
      </x:c>
      <x:c r="P1829" s="93" t="n">
        <x:v>417.85</x:v>
      </x:c>
      <x:c r="Q1829" s="93" t="n">
        <x:v>6105.18</x:v>
      </x:c>
      <x:c r="R1829" s="91" t="n">
        <x:v>0</x:v>
      </x:c>
    </x:row>
    <x:row r="1830">
      <x:c r="A1830" s="83" t="n">
        <x:v>1829</x:v>
      </x:c>
      <x:c r="B1830" s="84" t="str">
        <x:v>OS-2024-01829</x:v>
      </x:c>
      <x:c r="C1830" s="84" t="n">
        <x:v>51</x:v>
      </x:c>
      <x:c r="D1830" s="84" t="n">
        <x:v>4</x:v>
      </x:c>
      <x:c r="E1830" s="84"/>
      <x:c r="F1830" s="89" t="n">
        <x:v>45470.49762731481</x:v>
      </x:c>
      <x:c r="G1830" s="89" t="n">
        <x:v>45473.49762731481</x:v>
      </x:c>
      <x:c r="H1830" s="89" t="n">
        <x:v>45473.164293981485</x:v>
      </x:c>
      <x:c r="I1830" s="89" t="n">
        <x:v>45473.37262731481</x:v>
      </x:c>
      <x:c r="J1830" s="84" t="str">
        <x:v>Crítica</x:v>
      </x:c>
      <x:c r="K1830" s="84" t="str">
        <x:v>Encerrada</x:v>
      </x:c>
      <x:c r="L1830" s="84" t="str">
        <x:v>Baixa pressão</x:v>
      </x:c>
      <x:c r="M1830" s="84" t="str">
        <x:v>Contaminação</x:v>
      </x:c>
      <x:c r="N1830" s="84" t="str">
        <x:v>Componente ajustado ou substituído</x:v>
      </x:c>
      <x:c r="O1830" s="84" t="n">
        <x:v>0</x:v>
      </x:c>
      <x:c r="P1830" s="93" t="n">
        <x:v>124.4</x:v>
      </x:c>
      <x:c r="Q1830" s="93" t="n">
        <x:v>4660.68</x:v>
      </x:c>
      <x:c r="R1830" s="91" t="n">
        <x:v>0</x:v>
      </x:c>
    </x:row>
    <x:row r="1831">
      <x:c r="A1831" s="83" t="n">
        <x:v>1830</x:v>
      </x:c>
      <x:c r="B1831" s="84" t="str">
        <x:v>OS-2024-01830</x:v>
      </x:c>
      <x:c r="C1831" s="84" t="n">
        <x:v>22</x:v>
      </x:c>
      <x:c r="D1831" s="84" t="n">
        <x:v>6</x:v>
      </x:c>
      <x:c r="E1831" s="84"/>
      <x:c r="F1831" s="89" t="n">
        <x:v>45310.79635416667</x:v>
      </x:c>
      <x:c r="G1831" s="89" t="n">
        <x:v>45314.79635416667</x:v>
      </x:c>
      <x:c r="H1831" s="89" t="n">
        <x:v>45312.46302083333</x:v>
      </x:c>
      <x:c r="I1831" s="89" t="n">
        <x:v>45313.08802083333</x:v>
      </x:c>
      <x:c r="J1831" s="84" t="str">
        <x:v>Alta</x:v>
      </x:c>
      <x:c r="K1831" s="84" t="str">
        <x:v>Encerrada</x:v>
      </x:c>
      <x:c r="L1831" s="84" t="str">
        <x:v>Ruído anormal</x:v>
      </x:c>
      <x:c r="M1831" s="84" t="str">
        <x:v>Falta de lubrificação</x:v>
      </x:c>
      <x:c r="N1831" s="84" t="str">
        <x:v>Componente ajustado ou substituído</x:v>
      </x:c>
      <x:c r="O1831" s="84" t="n">
        <x:v>0</x:v>
      </x:c>
      <x:c r="P1831" s="93" t="n">
        <x:v>710.27</x:v>
      </x:c>
      <x:c r="Q1831" s="93" t="n">
        <x:v>6298.47</x:v>
      </x:c>
      <x:c r="R1831" s="91" t="n">
        <x:v>0</x:v>
      </x:c>
    </x:row>
    <x:row r="1832">
      <x:c r="A1832" s="83" t="n">
        <x:v>1831</x:v>
      </x:c>
      <x:c r="B1832" s="84" t="str">
        <x:v>OS-2024-01831</x:v>
      </x:c>
      <x:c r="C1832" s="84" t="n">
        <x:v>45</x:v>
      </x:c>
      <x:c r="D1832" s="84" t="n">
        <x:v>4</x:v>
      </x:c>
      <x:c r="E1832" s="84"/>
      <x:c r="F1832" s="89" t="n">
        <x:v>45406.18267361111</x:v>
      </x:c>
      <x:c r="G1832" s="89" t="n">
        <x:v>45417.18267361111</x:v>
      </x:c>
      <x:c r="H1832" s="89" t="n">
        <x:v>45409.01600694445</x:v>
      </x:c>
      <x:c r="I1832" s="89" t="n">
        <x:v>45409.39100694445</x:v>
      </x:c>
      <x:c r="J1832" s="84" t="str">
        <x:v>Crítica</x:v>
      </x:c>
      <x:c r="K1832" s="84" t="str">
        <x:v>Encerrada</x:v>
      </x:c>
      <x:c r="L1832" s="84" t="str">
        <x:v>Alarme intermitente</x:v>
      </x:c>
      <x:c r="M1832" s="84" t="str">
        <x:v>Conexão frouxa</x:v>
      </x:c>
      <x:c r="N1832" s="84" t="str">
        <x:v>Componente ajustado ou substituído</x:v>
      </x:c>
      <x:c r="O1832" s="84" t="n">
        <x:v>0</x:v>
      </x:c>
      <x:c r="P1832" s="93" t="n">
        <x:v>206.39</x:v>
      </x:c>
      <x:c r="Q1832" s="93" t="n">
        <x:v>0</x:v>
      </x:c>
      <x:c r="R1832" s="91" t="n">
        <x:v>0</x:v>
      </x:c>
    </x:row>
    <x:row r="1833">
      <x:c r="A1833" s="83" t="n">
        <x:v>1832</x:v>
      </x:c>
      <x:c r="B1833" s="84" t="str">
        <x:v>OS-2024-01832</x:v>
      </x:c>
      <x:c r="C1833" s="84" t="n">
        <x:v>37</x:v>
      </x:c>
      <x:c r="D1833" s="84" t="n">
        <x:v>7</x:v>
      </x:c>
      <x:c r="E1833" s="84" t="n">
        <x:v>73</x:v>
      </x:c>
      <x:c r="F1833" s="89" t="n">
        <x:v>45483.0371875</x:v>
      </x:c>
      <x:c r="G1833" s="89" t="n">
        <x:v>45488.0371875</x:v>
      </x:c>
      <x:c r="H1833" s="89" t="n">
        <x:v>45483.20385416667</x:v>
      </x:c>
      <x:c r="I1833" s="89" t="n">
        <x:v>45483.32885416667</x:v>
      </x:c>
      <x:c r="J1833" s="84" t="str">
        <x:v>Média</x:v>
      </x:c>
      <x:c r="K1833" s="84" t="str">
        <x:v>Encerrada</x:v>
      </x:c>
      <x:c r="L1833" s="84" t="str">
        <x:v>Baixa pressão</x:v>
      </x:c>
      <x:c r="M1833" s="84" t="str">
        <x:v>Conexão frouxa</x:v>
      </x:c>
      <x:c r="N1833" s="84" t="str">
        <x:v>Componente ajustado ou substituído</x:v>
      </x:c>
      <x:c r="O1833" s="84" t="n">
        <x:v>0</x:v>
      </x:c>
      <x:c r="P1833" s="93" t="n">
        <x:v>176.97</x:v>
      </x:c>
      <x:c r="Q1833" s="93" t="n">
        <x:v>0</x:v>
      </x:c>
      <x:c r="R1833" s="91" t="n">
        <x:v>0</x:v>
      </x:c>
    </x:row>
    <x:row r="1834">
      <x:c r="A1834" s="83" t="n">
        <x:v>1833</x:v>
      </x:c>
      <x:c r="B1834" s="84" t="str">
        <x:v>OS-2024-01833</x:v>
      </x:c>
      <x:c r="C1834" s="84" t="n">
        <x:v>40</x:v>
      </x:c>
      <x:c r="D1834" s="84" t="n">
        <x:v>2</x:v>
      </x:c>
      <x:c r="E1834" s="84"/>
      <x:c r="F1834" s="89" t="n">
        <x:v>45452.04429398148</x:v>
      </x:c>
      <x:c r="G1834" s="89" t="n">
        <x:v>45459.04429398148</x:v>
      </x:c>
      <x:c r="H1834" s="89" t="n">
        <x:v>45453.12762731482</x:v>
      </x:c>
      <x:c r="I1834" s="89" t="n">
        <x:v>45453.87762731482</x:v>
      </x:c>
      <x:c r="J1834" s="84" t="str">
        <x:v>Média</x:v>
      </x:c>
      <x:c r="K1834" s="84" t="str">
        <x:v>Encerrada</x:v>
      </x:c>
      <x:c r="L1834" s="84" t="str">
        <x:v>Superaquecimento</x:v>
      </x:c>
      <x:c r="M1834" s="84" t="str">
        <x:v>Contaminação</x:v>
      </x:c>
      <x:c r="N1834" s="84" t="str">
        <x:v>Componente ajustado ou substituído</x:v>
      </x:c>
      <x:c r="O1834" s="84" t="n">
        <x:v>0</x:v>
      </x:c>
      <x:c r="P1834" s="93" t="n">
        <x:v>502.15</x:v>
      </x:c>
      <x:c r="Q1834" s="93" t="n">
        <x:v>8430.69</x:v>
      </x:c>
      <x:c r="R1834" s="91" t="n">
        <x:v>0</x:v>
      </x:c>
    </x:row>
    <x:row r="1835">
      <x:c r="A1835" s="83" t="n">
        <x:v>1834</x:v>
      </x:c>
      <x:c r="B1835" s="84" t="str">
        <x:v>OS-2025-01834</x:v>
      </x:c>
      <x:c r="C1835" s="84" t="n">
        <x:v>80</x:v>
      </x:c>
      <x:c r="D1835" s="84" t="n">
        <x:v>1</x:v>
      </x:c>
      <x:c r="E1835" s="84" t="n">
        <x:v>159</x:v>
      </x:c>
      <x:c r="F1835" s="89" t="n">
        <x:v>45830.33920138889</x:v>
      </x:c>
      <x:c r="G1835" s="89" t="n">
        <x:v>45833.33920138889</x:v>
      </x:c>
      <x:c r="H1835" s="89" t="n">
        <x:v>45832.797534722224</x:v>
      </x:c>
      <x:c r="I1835" s="89" t="n">
        <x:v>45833.547534722224</x:v>
      </x:c>
      <x:c r="J1835" s="84" t="str">
        <x:v>Crítica</x:v>
      </x:c>
      <x:c r="K1835" s="84" t="str">
        <x:v>Encerrada</x:v>
      </x:c>
      <x:c r="L1835" s="84" t="str">
        <x:v>Ruído anormal</x:v>
      </x:c>
      <x:c r="M1835" s="84" t="str">
        <x:v>Componente danificado</x:v>
      </x:c>
      <x:c r="N1835" s="84" t="str">
        <x:v>Componente ajustado ou substituído</x:v>
      </x:c>
      <x:c r="O1835" s="84" t="n">
        <x:v>0</x:v>
      </x:c>
      <x:c r="P1835" s="93" t="n">
        <x:v>322.56</x:v>
      </x:c>
      <x:c r="Q1835" s="93" t="n">
        <x:v>11269.29</x:v>
      </x:c>
      <x:c r="R1835" s="91" t="n">
        <x:v>0</x:v>
      </x:c>
    </x:row>
    <x:row r="1836">
      <x:c r="A1836" s="83" t="n">
        <x:v>1835</x:v>
      </x:c>
      <x:c r="B1836" s="84" t="str">
        <x:v>OS-2025-01835</x:v>
      </x:c>
      <x:c r="C1836" s="84" t="n">
        <x:v>68</x:v>
      </x:c>
      <x:c r="D1836" s="84" t="n">
        <x:v>8</x:v>
      </x:c>
      <x:c r="E1836" s="84"/>
      <x:c r="F1836" s="89" t="n">
        <x:v>45931.76619212963</x:v>
      </x:c>
      <x:c r="G1836" s="89" t="n">
        <x:v>45937.76619212963</x:v>
      </x:c>
      <x:c r="H1836" s="89" t="n">
        <x:v>45932.26619212963</x:v>
      </x:c>
      <x:c r="I1836" s="89" t="n">
        <x:v>45932.557858796295</x:v>
      </x:c>
      <x:c r="J1836" s="84" t="str">
        <x:v>Alta</x:v>
      </x:c>
      <x:c r="K1836" s="84" t="str">
        <x:v>Encerrada</x:v>
      </x:c>
      <x:c r="L1836" s="84" t="str">
        <x:v>Falha elétrica</x:v>
      </x:c>
      <x:c r="M1836" s="84" t="str">
        <x:v>Contaminação</x:v>
      </x:c>
      <x:c r="N1836" s="84" t="str">
        <x:v>Componente ajustado ou substituído</x:v>
      </x:c>
      <x:c r="O1836" s="84" t="n">
        <x:v>0</x:v>
      </x:c>
      <x:c r="P1836" s="93" t="n">
        <x:v>443.8</x:v>
      </x:c>
      <x:c r="Q1836" s="93" t="n">
        <x:v>0</x:v>
      </x:c>
      <x:c r="R1836" s="91" t="n">
        <x:v>0</x:v>
      </x:c>
    </x:row>
    <x:row r="1837">
      <x:c r="A1837" s="83" t="n">
        <x:v>1836</x:v>
      </x:c>
      <x:c r="B1837" s="84" t="str">
        <x:v>OS-2025-01836</x:v>
      </x:c>
      <x:c r="C1837" s="84" t="n">
        <x:v>9</x:v>
      </x:c>
      <x:c r="D1837" s="84" t="n">
        <x:v>5</x:v>
      </x:c>
      <x:c r="E1837" s="84" t="n">
        <x:v>18</x:v>
      </x:c>
      <x:c r="F1837" s="89" t="n">
        <x:v>45901.553981481484</x:v>
      </x:c>
      <x:c r="G1837" s="89" t="n">
        <x:v>45916.553981481484</x:v>
      </x:c>
      <x:c r="H1837" s="89" t="n">
        <x:v>45901.72064814815</x:v>
      </x:c>
      <x:c r="I1837" s="89" t="n">
        <x:v>45901.84564814815</x:v>
      </x:c>
      <x:c r="J1837" s="84" t="str">
        <x:v>Baixa</x:v>
      </x:c>
      <x:c r="K1837" s="84" t="str">
        <x:v>Encerrada</x:v>
      </x:c>
      <x:c r="L1837" s="84" t="str">
        <x:v>Superaquecimento</x:v>
      </x:c>
      <x:c r="M1837" s="84" t="str">
        <x:v>Contaminação</x:v>
      </x:c>
      <x:c r="N1837" s="84" t="str">
        <x:v>Componente ajustado ou substituído</x:v>
      </x:c>
      <x:c r="O1837" s="84" t="n">
        <x:v>0</x:v>
      </x:c>
      <x:c r="P1837" s="93" t="n">
        <x:v>320.64</x:v>
      </x:c>
      <x:c r="Q1837" s="93" t="n">
        <x:v>3312.7</x:v>
      </x:c>
      <x:c r="R1837" s="91" t="n">
        <x:v>0</x:v>
      </x:c>
    </x:row>
    <x:row r="1838">
      <x:c r="A1838" s="83" t="n">
        <x:v>1837</x:v>
      </x:c>
      <x:c r="B1838" s="84" t="str">
        <x:v>OS-2023-01837</x:v>
      </x:c>
      <x:c r="C1838" s="84" t="n">
        <x:v>28</x:v>
      </x:c>
      <x:c r="D1838" s="84" t="n">
        <x:v>2</x:v>
      </x:c>
      <x:c r="E1838" s="84"/>
      <x:c r="F1838" s="89" t="n">
        <x:v>45009.81502314815</x:v>
      </x:c>
      <x:c r="G1838" s="89" t="n">
        <x:v>45021.81502314815</x:v>
      </x:c>
      <x:c r="H1838" s="89" t="n">
        <x:v>45011.148356481484</x:v>
      </x:c>
      <x:c r="I1838" s="89" t="n">
        <x:v>45011.31502314815</x:v>
      </x:c>
      <x:c r="J1838" s="84" t="str">
        <x:v>Média</x:v>
      </x:c>
      <x:c r="K1838" s="84" t="str">
        <x:v>Encerrada</x:v>
      </x:c>
      <x:c r="L1838" s="84" t="str">
        <x:v>Ruído anormal</x:v>
      </x:c>
      <x:c r="M1838" s="84" t="str">
        <x:v>Ajuste incorreto</x:v>
      </x:c>
      <x:c r="N1838" s="84" t="str">
        <x:v>Componente ajustado ou substituído</x:v>
      </x:c>
      <x:c r="O1838" s="84" t="n">
        <x:v>0</x:v>
      </x:c>
      <x:c r="P1838" s="93" t="n">
        <x:v>617.15</x:v>
      </x:c>
      <x:c r="Q1838" s="93" t="n">
        <x:v>10697.57</x:v>
      </x:c>
      <x:c r="R1838" s="91" t="n">
        <x:v>0</x:v>
      </x:c>
    </x:row>
    <x:row r="1839">
      <x:c r="A1839" s="83" t="n">
        <x:v>1838</x:v>
      </x:c>
      <x:c r="B1839" s="84" t="str">
        <x:v>OS-2024-01838</x:v>
      </x:c>
      <x:c r="C1839" s="84" t="n">
        <x:v>84</x:v>
      </x:c>
      <x:c r="D1839" s="84" t="n">
        <x:v>5</x:v>
      </x:c>
      <x:c r="E1839" s="84" t="n">
        <x:v>168</x:v>
      </x:c>
      <x:c r="F1839" s="89" t="n">
        <x:v>45327.56891203704</x:v>
      </x:c>
      <x:c r="G1839" s="89" t="n">
        <x:v>45335.56891203704</x:v>
      </x:c>
      <x:c r="H1839" s="89" t="n">
        <x:v>45329.90224537037</x:v>
      </x:c>
      <x:c r="I1839" s="89" t="n">
        <x:v>45329.9855787037</x:v>
      </x:c>
      <x:c r="J1839" s="84" t="str">
        <x:v>Baixa</x:v>
      </x:c>
      <x:c r="K1839" s="84" t="str">
        <x:v>Concluída</x:v>
      </x:c>
      <x:c r="L1839" s="84" t="str">
        <x:v>Baixa pressão</x:v>
      </x:c>
      <x:c r="M1839" s="84" t="str">
        <x:v>Componente danificado</x:v>
      </x:c>
      <x:c r="N1839" s="84" t="str">
        <x:v>Componente ajustado ou substituído</x:v>
      </x:c>
      <x:c r="O1839" s="84" t="n">
        <x:v>0</x:v>
      </x:c>
      <x:c r="P1839" s="93" t="n">
        <x:v>86.01</x:v>
      </x:c>
      <x:c r="Q1839" s="93" t="n">
        <x:v>8180.41</x:v>
      </x:c>
      <x:c r="R1839" s="91" t="n">
        <x:v>0</x:v>
      </x:c>
    </x:row>
    <x:row r="1840">
      <x:c r="A1840" s="83" t="n">
        <x:v>1839</x:v>
      </x:c>
      <x:c r="B1840" s="84" t="str">
        <x:v>OS-2025-01839</x:v>
      </x:c>
      <x:c r="C1840" s="84" t="n">
        <x:v>23</x:v>
      </x:c>
      <x:c r="D1840" s="84" t="n">
        <x:v>1</x:v>
      </x:c>
      <x:c r="E1840" s="84" t="n">
        <x:v>45</x:v>
      </x:c>
      <x:c r="F1840" s="89" t="n">
        <x:v>45906.64046296296</x:v>
      </x:c>
      <x:c r="G1840" s="89" t="n">
        <x:v>45907.64046296296</x:v>
      </x:c>
      <x:c r="H1840" s="89" t="n">
        <x:v>45908.43212962963</x:v>
      </x:c>
      <x:c r="I1840" s="89" t="n">
        <x:v>45908.68212962963</x:v>
      </x:c>
      <x:c r="J1840" s="84" t="str">
        <x:v>Baixa</x:v>
      </x:c>
      <x:c r="K1840" s="84" t="str">
        <x:v>Encerrada</x:v>
      </x:c>
      <x:c r="L1840" s="84" t="str">
        <x:v>Vazamento</x:v>
      </x:c>
      <x:c r="M1840" s="84" t="str">
        <x:v>Ajuste incorreto</x:v>
      </x:c>
      <x:c r="N1840" s="84" t="str">
        <x:v>Componente ajustado ou substituído</x:v>
      </x:c>
      <x:c r="O1840" s="84" t="n">
        <x:v>0</x:v>
      </x:c>
      <x:c r="P1840" s="93" t="n">
        <x:v>214.53</x:v>
      </x:c>
      <x:c r="Q1840" s="93" t="n">
        <x:v>6069.24</x:v>
      </x:c>
      <x:c r="R1840" s="91" t="n">
        <x:v>7220.31</x:v>
      </x:c>
    </x:row>
    <x:row r="1841">
      <x:c r="A1841" s="83" t="n">
        <x:v>1840</x:v>
      </x:c>
      <x:c r="B1841" s="84" t="str">
        <x:v>OS-2024-01840</x:v>
      </x:c>
      <x:c r="C1841" s="84" t="n">
        <x:v>44</x:v>
      </x:c>
      <x:c r="D1841" s="84" t="n">
        <x:v>3</x:v>
      </x:c>
      <x:c r="E1841" s="84"/>
      <x:c r="F1841" s="89" t="n">
        <x:v>45521.846087962964</x:v>
      </x:c>
      <x:c r="G1841" s="89"/>
      <x:c r="H1841" s="89" t="n">
        <x:v>45522.1794212963</x:v>
      </x:c>
      <x:c r="I1841" s="89" t="n">
        <x:v>45522.51275462963</x:v>
      </x:c>
      <x:c r="J1841" s="84" t="str">
        <x:v>Média</x:v>
      </x:c>
      <x:c r="K1841" s="84" t="str">
        <x:v>Encerrada</x:v>
      </x:c>
      <x:c r="L1841" s="84" t="str">
        <x:v>Baixa pressão</x:v>
      </x:c>
      <x:c r="M1841" s="84" t="str">
        <x:v>Contaminação</x:v>
      </x:c>
      <x:c r="N1841" s="84" t="str">
        <x:v>Componente ajustado ou substituído</x:v>
      </x:c>
      <x:c r="O1841" s="84" t="n">
        <x:v>0</x:v>
      </x:c>
      <x:c r="P1841" s="93" t="n">
        <x:v>365.51</x:v>
      </x:c>
      <x:c r="Q1841" s="93" t="n">
        <x:v>4712.29</x:v>
      </x:c>
      <x:c r="R1841" s="91" t="n">
        <x:v>9341.51</x:v>
      </x:c>
    </x:row>
    <x:row r="1842">
      <x:c r="A1842" s="83" t="n">
        <x:v>1841</x:v>
      </x:c>
      <x:c r="B1842" s="84" t="str">
        <x:v>OS-2025-01841</x:v>
      </x:c>
      <x:c r="C1842" s="84" t="n">
        <x:v>63</x:v>
      </x:c>
      <x:c r="D1842" s="84" t="n">
        <x:v>1</x:v>
      </x:c>
      <x:c r="E1842" s="84" t="n">
        <x:v>125</x:v>
      </x:c>
      <x:c r="F1842" s="89" t="n">
        <x:v>45955.50380787037</x:v>
      </x:c>
      <x:c r="G1842" s="89" t="n">
        <x:v>45963.50380787037</x:v>
      </x:c>
      <x:c r="H1842" s="89" t="n">
        <x:v>45957.00380787037</x:v>
      </x:c>
      <x:c r="I1842" s="89" t="n">
        <x:v>45957.42047453704</x:v>
      </x:c>
      <x:c r="J1842" s="84" t="str">
        <x:v>Baixa</x:v>
      </x:c>
      <x:c r="K1842" s="84" t="str">
        <x:v>Concluída</x:v>
      </x:c>
      <x:c r="L1842" s="84" t="str">
        <x:v>Superaquecimento</x:v>
      </x:c>
      <x:c r="M1842" s="84" t="str">
        <x:v>Ajuste incorreto</x:v>
      </x:c>
      <x:c r="N1842" s="84" t="str">
        <x:v>Componente ajustado ou substituído</x:v>
      </x:c>
      <x:c r="O1842" s="84" t="n">
        <x:v>0</x:v>
      </x:c>
      <x:c r="P1842" s="93" t="n">
        <x:v>158.51</x:v>
      </x:c>
      <x:c r="Q1842" s="93" t="n">
        <x:v>2930.84</x:v>
      </x:c>
      <x:c r="R1842" s="91" t="n">
        <x:v>0</x:v>
      </x:c>
    </x:row>
    <x:row r="1843">
      <x:c r="A1843" s="83" t="n">
        <x:v>1842</x:v>
      </x:c>
      <x:c r="B1843" s="84" t="str">
        <x:v>OS-2025-01842</x:v>
      </x:c>
      <x:c r="C1843" s="84" t="n">
        <x:v>54</x:v>
      </x:c>
      <x:c r="D1843" s="84" t="n">
        <x:v>2</x:v>
      </x:c>
      <x:c r="E1843" s="84"/>
      <x:c r="F1843" s="89" t="n">
        <x:v>45877.92045138889</x:v>
      </x:c>
      <x:c r="G1843" s="89" t="n">
        <x:v>45891.92045138889</x:v>
      </x:c>
      <x:c r="H1843" s="89" t="n">
        <x:v>45878.17045138889</x:v>
      </x:c>
      <x:c r="I1843" s="89" t="n">
        <x:v>45878.42045138889</x:v>
      </x:c>
      <x:c r="J1843" s="84" t="str">
        <x:v>Baixa</x:v>
      </x:c>
      <x:c r="K1843" s="84" t="str">
        <x:v>Encerrada</x:v>
      </x:c>
      <x:c r="L1843" s="84" t="str">
        <x:v>Desalinhamento</x:v>
      </x:c>
      <x:c r="M1843" s="84" t="str">
        <x:v>Conexão frouxa</x:v>
      </x:c>
      <x:c r="N1843" s="84" t="str">
        <x:v>Componente ajustado ou substituído</x:v>
      </x:c>
      <x:c r="O1843" s="84" t="n">
        <x:v>0</x:v>
      </x:c>
      <x:c r="P1843" s="93" t="n">
        <x:v>203.81</x:v>
      </x:c>
      <x:c r="Q1843" s="93" t="n">
        <x:v>0</x:v>
      </x:c>
      <x:c r="R1843" s="91" t="n">
        <x:v>0</x:v>
      </x:c>
    </x:row>
    <x:row r="1844">
      <x:c r="A1844" s="83" t="n">
        <x:v>1843</x:v>
      </x:c>
      <x:c r="B1844" s="84" t="str">
        <x:v>OS-2024-01843</x:v>
      </x:c>
      <x:c r="C1844" s="84" t="n">
        <x:v>65</x:v>
      </x:c>
      <x:c r="D1844" s="84" t="n">
        <x:v>1</x:v>
      </x:c>
      <x:c r="E1844" s="84" t="n">
        <x:v>130</x:v>
      </x:c>
      <x:c r="F1844" s="89" t="n">
        <x:v>45592.12143518519</x:v>
      </x:c>
      <x:c r="G1844" s="89" t="n">
        <x:v>45607.12143518519</x:v>
      </x:c>
      <x:c r="H1844" s="89" t="n">
        <x:v>45594.07976851852</x:v>
      </x:c>
      <x:c r="I1844" s="89" t="n">
        <x:v>45594.82976851852</x:v>
      </x:c>
      <x:c r="J1844" s="84" t="str">
        <x:v>Crítica</x:v>
      </x:c>
      <x:c r="K1844" s="84" t="str">
        <x:v>Concluída</x:v>
      </x:c>
      <x:c r="L1844" s="84" t="str">
        <x:v>Baixa pressão</x:v>
      </x:c>
      <x:c r="M1844" s="84" t="str">
        <x:v>Componente danificado</x:v>
      </x:c>
      <x:c r="N1844" s="84" t="str">
        <x:v>Componente ajustado ou substituído</x:v>
      </x:c>
      <x:c r="O1844" s="84" t="n">
        <x:v>0</x:v>
      </x:c>
      <x:c r="P1844" s="93" t="n">
        <x:v>516.19</x:v>
      </x:c>
      <x:c r="Q1844" s="93" t="n">
        <x:v>5098.56</x:v>
      </x:c>
      <x:c r="R1844" s="91" t="n">
        <x:v>0</x:v>
      </x:c>
    </x:row>
    <x:row r="1845">
      <x:c r="A1845" s="83" t="n">
        <x:v>1844</x:v>
      </x:c>
      <x:c r="B1845" s="84" t="str">
        <x:v>OS-2024-01844</x:v>
      </x:c>
      <x:c r="C1845" s="84" t="n">
        <x:v>24</x:v>
      </x:c>
      <x:c r="D1845" s="84" t="n">
        <x:v>1</x:v>
      </x:c>
      <x:c r="E1845" s="84" t="n">
        <x:v>48</x:v>
      </x:c>
      <x:c r="F1845" s="89" t="n">
        <x:v>45530.77475694445</x:v>
      </x:c>
      <x:c r="G1845" s="89" t="n">
        <x:v>45533.77475694445</x:v>
      </x:c>
      <x:c r="H1845" s="89"/>
      <x:c r="I1845" s="89"/>
      <x:c r="J1845" s="84" t="str">
        <x:v>Média</x:v>
      </x:c>
      <x:c r="K1845" s="84" t="str">
        <x:v>Planejada</x:v>
      </x:c>
      <x:c r="L1845" s="84" t="str">
        <x:v>Ruído anormal</x:v>
      </x:c>
      <x:c r="M1845" s="84"/>
      <x:c r="N1845" s="84"/>
      <x:c r="O1845" s="84" t="n">
        <x:v>0</x:v>
      </x:c>
      <x:c r="P1845" s="93" t="n">
        <x:v>0</x:v>
      </x:c>
      <x:c r="Q1845" s="93" t="n">
        <x:v>0</x:v>
      </x:c>
      <x:c r="R1845" s="91" t="n">
        <x:v>0</x:v>
      </x:c>
    </x:row>
    <x:row r="1846">
      <x:c r="A1846" s="83" t="n">
        <x:v>1845</x:v>
      </x:c>
      <x:c r="B1846" s="84" t="str">
        <x:v>OS-2025-01845</x:v>
      </x:c>
      <x:c r="C1846" s="84" t="n">
        <x:v>80</x:v>
      </x:c>
      <x:c r="D1846" s="84" t="n">
        <x:v>1</x:v>
      </x:c>
      <x:c r="E1846" s="84" t="n">
        <x:v>160</x:v>
      </x:c>
      <x:c r="F1846" s="89" t="n">
        <x:v>45781.967627314814</x:v>
      </x:c>
      <x:c r="G1846" s="89" t="n">
        <x:v>45794.967627314814</x:v>
      </x:c>
      <x:c r="H1846" s="89" t="n">
        <x:v>45782.092627314814</x:v>
      </x:c>
      <x:c r="I1846" s="89" t="n">
        <x:v>45782.67596064815</x:v>
      </x:c>
      <x:c r="J1846" s="84" t="str">
        <x:v>Crítica</x:v>
      </x:c>
      <x:c r="K1846" s="84" t="str">
        <x:v>Concluída</x:v>
      </x:c>
      <x:c r="L1846" s="84" t="str">
        <x:v>Ruído anormal</x:v>
      </x:c>
      <x:c r="M1846" s="84" t="str">
        <x:v>Desgaste natural</x:v>
      </x:c>
      <x:c r="N1846" s="84" t="str">
        <x:v>Componente ajustado ou substituído</x:v>
      </x:c>
      <x:c r="O1846" s="84" t="n">
        <x:v>0</x:v>
      </x:c>
      <x:c r="P1846" s="93" t="n">
        <x:v>856.81</x:v>
      </x:c>
      <x:c r="Q1846" s="93" t="n">
        <x:v>10260.78</x:v>
      </x:c>
      <x:c r="R1846" s="91" t="n">
        <x:v>5338.79</x:v>
      </x:c>
    </x:row>
    <x:row r="1847">
      <x:c r="A1847" s="83" t="n">
        <x:v>1846</x:v>
      </x:c>
      <x:c r="B1847" s="84" t="str">
        <x:v>OS-2023-01846</x:v>
      </x:c>
      <x:c r="C1847" s="84" t="n">
        <x:v>34</x:v>
      </x:c>
      <x:c r="D1847" s="84" t="n">
        <x:v>5</x:v>
      </x:c>
      <x:c r="E1847" s="84" t="n">
        <x:v>68</x:v>
      </x:c>
      <x:c r="F1847" s="89" t="n">
        <x:v>45100.650925925926</x:v>
      </x:c>
      <x:c r="G1847" s="89" t="n">
        <x:v>45112.650925925926</x:v>
      </x:c>
      <x:c r="H1847" s="89"/>
      <x:c r="I1847" s="89"/>
      <x:c r="J1847" s="84" t="str">
        <x:v>Alta</x:v>
      </x:c>
      <x:c r="K1847" s="84" t="str">
        <x:v>Planejada</x:v>
      </x:c>
      <x:c r="L1847" s="84" t="str">
        <x:v>Vazamento</x:v>
      </x:c>
      <x:c r="M1847" s="84"/>
      <x:c r="N1847" s="84"/>
      <x:c r="O1847" s="84" t="n">
        <x:v>0</x:v>
      </x:c>
      <x:c r="P1847" s="93" t="n">
        <x:v>0</x:v>
      </x:c>
      <x:c r="Q1847" s="93" t="n">
        <x:v>0</x:v>
      </x:c>
      <x:c r="R1847" s="91" t="n">
        <x:v>0</x:v>
      </x:c>
    </x:row>
    <x:row r="1848">
      <x:c r="A1848" s="83" t="n">
        <x:v>1847</x:v>
      </x:c>
      <x:c r="B1848" s="84" t="str">
        <x:v>OS-2024-01847</x:v>
      </x:c>
      <x:c r="C1848" s="84" t="n">
        <x:v>78</x:v>
      </x:c>
      <x:c r="D1848" s="84" t="n">
        <x:v>5</x:v>
      </x:c>
      <x:c r="E1848" s="84" t="n">
        <x:v>155</x:v>
      </x:c>
      <x:c r="F1848" s="89" t="n">
        <x:v>45504.517696759256</x:v>
      </x:c>
      <x:c r="G1848" s="89" t="n">
        <x:v>45516.517696759256</x:v>
      </x:c>
      <x:c r="H1848" s="89" t="n">
        <x:v>45505.142696759256</x:v>
      </x:c>
      <x:c r="I1848" s="89" t="n">
        <x:v>45505.30936342593</x:v>
      </x:c>
      <x:c r="J1848" s="84" t="str">
        <x:v>Média</x:v>
      </x:c>
      <x:c r="K1848" s="84" t="str">
        <x:v>Encerrada</x:v>
      </x:c>
      <x:c r="L1848" s="84" t="str">
        <x:v>Ruído anormal</x:v>
      </x:c>
      <x:c r="M1848" s="84" t="str">
        <x:v>Falta de lubrificação</x:v>
      </x:c>
      <x:c r="N1848" s="84" t="str">
        <x:v>Componente ajustado ou substituído</x:v>
      </x:c>
      <x:c r="O1848" s="84" t="n">
        <x:v>0</x:v>
      </x:c>
      <x:c r="P1848" s="93" t="n">
        <x:v>332.24</x:v>
      </x:c>
      <x:c r="Q1848" s="93" t="n">
        <x:v>4009.06</x:v>
      </x:c>
      <x:c r="R1848" s="91" t="n">
        <x:v>0</x:v>
      </x:c>
    </x:row>
    <x:row r="1849">
      <x:c r="A1849" s="83" t="n">
        <x:v>1848</x:v>
      </x:c>
      <x:c r="B1849" s="84" t="str">
        <x:v>OS-2025-01848</x:v>
      </x:c>
      <x:c r="C1849" s="84" t="n">
        <x:v>72</x:v>
      </x:c>
      <x:c r="D1849" s="84" t="n">
        <x:v>7</x:v>
      </x:c>
      <x:c r="E1849" s="84" t="n">
        <x:v>143</x:v>
      </x:c>
      <x:c r="F1849" s="89" t="n">
        <x:v>45944.06445601852</x:v>
      </x:c>
      <x:c r="G1849" s="89" t="n">
        <x:v>45949.06445601852</x:v>
      </x:c>
      <x:c r="H1849" s="89" t="n">
        <x:v>45946.43945601852</x:v>
      </x:c>
      <x:c r="I1849" s="89" t="n">
        <x:v>45946.85612268518</x:v>
      </x:c>
      <x:c r="J1849" s="84" t="str">
        <x:v>Crítica</x:v>
      </x:c>
      <x:c r="K1849" s="84" t="str">
        <x:v>Encerrada</x:v>
      </x:c>
      <x:c r="L1849" s="84" t="str">
        <x:v>Desalinhamento</x:v>
      </x:c>
      <x:c r="M1849" s="84" t="str">
        <x:v>Conexão frouxa</x:v>
      </x:c>
      <x:c r="N1849" s="84" t="str">
        <x:v>Componente ajustado ou substituído</x:v>
      </x:c>
      <x:c r="O1849" s="84" t="n">
        <x:v>0</x:v>
      </x:c>
      <x:c r="P1849" s="93" t="n">
        <x:v>295.63</x:v>
      </x:c>
      <x:c r="Q1849" s="93" t="n">
        <x:v>12487.33</x:v>
      </x:c>
      <x:c r="R1849" s="91" t="n">
        <x:v>0</x:v>
      </x:c>
    </x:row>
    <x:row r="1850">
      <x:c r="A1850" s="83" t="n">
        <x:v>1849</x:v>
      </x:c>
      <x:c r="B1850" s="84" t="str">
        <x:v>OS-2025-01849</x:v>
      </x:c>
      <x:c r="C1850" s="84" t="n">
        <x:v>26</x:v>
      </x:c>
      <x:c r="D1850" s="84" t="n">
        <x:v>2</x:v>
      </x:c>
      <x:c r="E1850" s="84"/>
      <x:c r="F1850" s="89" t="n">
        <x:v>45690.53498842593</x:v>
      </x:c>
      <x:c r="G1850" s="89" t="n">
        <x:v>45692.53498842593</x:v>
      </x:c>
      <x:c r="H1850" s="89" t="n">
        <x:v>45693.11832175926</x:v>
      </x:c>
      <x:c r="I1850" s="89" t="n">
        <x:v>45693.45165509259</x:v>
      </x:c>
      <x:c r="J1850" s="84" t="str">
        <x:v>Alta</x:v>
      </x:c>
      <x:c r="K1850" s="84" t="str">
        <x:v>Encerrada</x:v>
      </x:c>
      <x:c r="L1850" s="84" t="str">
        <x:v>Ruído anormal</x:v>
      </x:c>
      <x:c r="M1850" s="84" t="str">
        <x:v>Ajuste incorreto</x:v>
      </x:c>
      <x:c r="N1850" s="84" t="str">
        <x:v>Componente ajustado ou substituído</x:v>
      </x:c>
      <x:c r="O1850" s="84" t="n">
        <x:v>0</x:v>
      </x:c>
      <x:c r="P1850" s="93" t="n">
        <x:v>101.3</x:v>
      </x:c>
      <x:c r="Q1850" s="93" t="n">
        <x:v>6200.16</x:v>
      </x:c>
      <x:c r="R1850" s="91" t="n">
        <x:v>0</x:v>
      </x:c>
    </x:row>
    <x:row r="1851">
      <x:c r="A1851" s="83" t="n">
        <x:v>1850</x:v>
      </x:c>
      <x:c r="B1851" s="84" t="str">
        <x:v>OS-2023-01850</x:v>
      </x:c>
      <x:c r="C1851" s="84" t="n">
        <x:v>89</x:v>
      </x:c>
      <x:c r="D1851" s="84" t="n">
        <x:v>8</x:v>
      </x:c>
      <x:c r="E1851" s="84"/>
      <x:c r="F1851" s="89" t="n">
        <x:v>45115.87168981481</x:v>
      </x:c>
      <x:c r="G1851" s="89" t="n">
        <x:v>45121.87168981481</x:v>
      </x:c>
      <x:c r="H1851" s="89" t="n">
        <x:v>45117.99668981481</x:v>
      </x:c>
      <x:c r="I1851" s="89" t="n">
        <x:v>45118.33002314815</x:v>
      </x:c>
      <x:c r="J1851" s="84" t="str">
        <x:v>Média</x:v>
      </x:c>
      <x:c r="K1851" s="84" t="str">
        <x:v>Encerrada</x:v>
      </x:c>
      <x:c r="L1851" s="84" t="str">
        <x:v>Alarme intermitente</x:v>
      </x:c>
      <x:c r="M1851" s="84" t="str">
        <x:v>Componente danificado</x:v>
      </x:c>
      <x:c r="N1851" s="84" t="str">
        <x:v>Componente ajustado ou substituído</x:v>
      </x:c>
      <x:c r="O1851" s="84" t="n">
        <x:v>0</x:v>
      </x:c>
      <x:c r="P1851" s="93" t="n">
        <x:v>732.48</x:v>
      </x:c>
      <x:c r="Q1851" s="93" t="n">
        <x:v>0</x:v>
      </x:c>
      <x:c r="R1851" s="91" t="n">
        <x:v>0</x:v>
      </x:c>
    </x:row>
    <x:row r="1852">
      <x:c r="A1852" s="83" t="n">
        <x:v>1851</x:v>
      </x:c>
      <x:c r="B1852" s="84" t="str">
        <x:v>OS-2025-01851</x:v>
      </x:c>
      <x:c r="C1852" s="84" t="n">
        <x:v>68</x:v>
      </x:c>
      <x:c r="D1852" s="84" t="n">
        <x:v>1</x:v>
      </x:c>
      <x:c r="E1852" s="84" t="n">
        <x:v>136</x:v>
      </x:c>
      <x:c r="F1852" s="89" t="n">
        <x:v>45745.804027777776</x:v>
      </x:c>
      <x:c r="G1852" s="89" t="n">
        <x:v>45747.804027777776</x:v>
      </x:c>
      <x:c r="H1852" s="89" t="n">
        <x:v>45746.929027777776</x:v>
      </x:c>
      <x:c r="I1852" s="89" t="n">
        <x:v>45747.09569444445</x:v>
      </x:c>
      <x:c r="J1852" s="84" t="str">
        <x:v>Baixa</x:v>
      </x:c>
      <x:c r="K1852" s="84" t="str">
        <x:v>Concluída</x:v>
      </x:c>
      <x:c r="L1852" s="84" t="str">
        <x:v>Falha elétrica</x:v>
      </x:c>
      <x:c r="M1852" s="84" t="str">
        <x:v>Contaminação</x:v>
      </x:c>
      <x:c r="N1852" s="84" t="str">
        <x:v>Componente ajustado ou substituído</x:v>
      </x:c>
      <x:c r="O1852" s="84" t="n">
        <x:v>0</x:v>
      </x:c>
      <x:c r="P1852" s="93" t="n">
        <x:v>67.2</x:v>
      </x:c>
      <x:c r="Q1852" s="93" t="n">
        <x:v>2808.95</x:v>
      </x:c>
      <x:c r="R1852" s="91" t="n">
        <x:v>1339.5</x:v>
      </x:c>
    </x:row>
    <x:row r="1853">
      <x:c r="A1853" s="83" t="n">
        <x:v>1852</x:v>
      </x:c>
      <x:c r="B1853" s="84" t="str">
        <x:v>OS-2024-01852</x:v>
      </x:c>
      <x:c r="C1853" s="84" t="n">
        <x:v>53</x:v>
      </x:c>
      <x:c r="D1853" s="84" t="n">
        <x:v>7</x:v>
      </x:c>
      <x:c r="E1853" s="84" t="n">
        <x:v>105</x:v>
      </x:c>
      <x:c r="F1853" s="89" t="n">
        <x:v>45379.11368055556</x:v>
      </x:c>
      <x:c r="G1853" s="89" t="n">
        <x:v>45383.11368055556</x:v>
      </x:c>
      <x:c r="H1853" s="89" t="n">
        <x:v>45380.23868055556</x:v>
      </x:c>
      <x:c r="I1853" s="89"/>
      <x:c r="J1853" s="84" t="str">
        <x:v>Crítica</x:v>
      </x:c>
      <x:c r="K1853" s="84" t="str">
        <x:v>Em execução</x:v>
      </x:c>
      <x:c r="L1853" s="84" t="str">
        <x:v>Ruído anormal</x:v>
      </x:c>
      <x:c r="M1853" s="84" t="str">
        <x:v>Desgaste natural</x:v>
      </x:c>
      <x:c r="N1853" s="84"/>
      <x:c r="O1853" s="84" t="n">
        <x:v>0</x:v>
      </x:c>
      <x:c r="P1853" s="93" t="n">
        <x:v>795.66</x:v>
      </x:c>
      <x:c r="Q1853" s="93" t="n">
        <x:v>4023.44</x:v>
      </x:c>
      <x:c r="R1853" s="91" t="n">
        <x:v>0</x:v>
      </x:c>
    </x:row>
    <x:row r="1854">
      <x:c r="A1854" s="83" t="n">
        <x:v>1853</x:v>
      </x:c>
      <x:c r="B1854" s="84" t="str">
        <x:v>OS-2025-01853</x:v>
      </x:c>
      <x:c r="C1854" s="84" t="n">
        <x:v>86</x:v>
      </x:c>
      <x:c r="D1854" s="84" t="n">
        <x:v>4</x:v>
      </x:c>
      <x:c r="E1854" s="84"/>
      <x:c r="F1854" s="89" t="n">
        <x:v>45717.19962962963</x:v>
      </x:c>
      <x:c r="G1854" s="89" t="n">
        <x:v>45722.19962962963</x:v>
      </x:c>
      <x:c r="H1854" s="89" t="n">
        <x:v>45718.44962962963</x:v>
      </x:c>
      <x:c r="I1854" s="89" t="n">
        <x:v>45719.1162962963</x:v>
      </x:c>
      <x:c r="J1854" s="84" t="str">
        <x:v>Baixa</x:v>
      </x:c>
      <x:c r="K1854" s="84" t="str">
        <x:v>Encerrada</x:v>
      </x:c>
      <x:c r="L1854" s="84" t="str">
        <x:v>Ruído anormal</x:v>
      </x:c>
      <x:c r="M1854" s="84" t="str">
        <x:v>Conexão frouxa</x:v>
      </x:c>
      <x:c r="N1854" s="84" t="str">
        <x:v>Componente ajustado ou substituído</x:v>
      </x:c>
      <x:c r="O1854" s="84" t="n">
        <x:v>0</x:v>
      </x:c>
      <x:c r="P1854" s="93" t="n">
        <x:v>337.74</x:v>
      </x:c>
      <x:c r="Q1854" s="93" t="n">
        <x:v>10152.59</x:v>
      </x:c>
      <x:c r="R1854" s="91" t="n">
        <x:v>0</x:v>
      </x:c>
    </x:row>
    <x:row r="1855">
      <x:c r="A1855" s="83" t="n">
        <x:v>1854</x:v>
      </x:c>
      <x:c r="B1855" s="84" t="str">
        <x:v>OS-2023-01854</x:v>
      </x:c>
      <x:c r="C1855" s="84" t="n">
        <x:v>19</x:v>
      </x:c>
      <x:c r="D1855" s="84" t="n">
        <x:v>3</x:v>
      </x:c>
      <x:c r="E1855" s="84"/>
      <x:c r="F1855" s="89" t="n">
        <x:v>45291.66952546296</x:v>
      </x:c>
      <x:c r="G1855" s="89"/>
      <x:c r="H1855" s="89"/>
      <x:c r="I1855" s="89"/>
      <x:c r="J1855" s="84" t="str">
        <x:v>Crítica</x:v>
      </x:c>
      <x:c r="K1855" s="84" t="str">
        <x:v>Planejada</x:v>
      </x:c>
      <x:c r="L1855" s="84" t="str">
        <x:v>Desalinhamento</x:v>
      </x:c>
      <x:c r="M1855" s="84"/>
      <x:c r="N1855" s="84"/>
      <x:c r="O1855" s="84" t="n">
        <x:v>0</x:v>
      </x:c>
      <x:c r="P1855" s="93" t="n">
        <x:v>0</x:v>
      </x:c>
      <x:c r="Q1855" s="93" t="n">
        <x:v>0</x:v>
      </x:c>
      <x:c r="R1855" s="91" t="n">
        <x:v>0</x:v>
      </x:c>
    </x:row>
    <x:row r="1856">
      <x:c r="A1856" s="83" t="n">
        <x:v>1855</x:v>
      </x:c>
      <x:c r="B1856" s="84" t="str">
        <x:v>OS-2025-01855</x:v>
      </x:c>
      <x:c r="C1856" s="84" t="n">
        <x:v>31</x:v>
      </x:c>
      <x:c r="D1856" s="84" t="n">
        <x:v>3</x:v>
      </x:c>
      <x:c r="E1856" s="84"/>
      <x:c r="F1856" s="89" t="n">
        <x:v>45792.80519675926</x:v>
      </x:c>
      <x:c r="G1856" s="89"/>
      <x:c r="H1856" s="89"/>
      <x:c r="I1856" s="89"/>
      <x:c r="J1856" s="84" t="str">
        <x:v>Baixa</x:v>
      </x:c>
      <x:c r="K1856" s="84" t="str">
        <x:v>Planejada</x:v>
      </x:c>
      <x:c r="L1856" s="84" t="str">
        <x:v>Vazamento</x:v>
      </x:c>
      <x:c r="M1856" s="84"/>
      <x:c r="N1856" s="84"/>
      <x:c r="O1856" s="84" t="n">
        <x:v>0</x:v>
      </x:c>
      <x:c r="P1856" s="93" t="n">
        <x:v>0</x:v>
      </x:c>
      <x:c r="Q1856" s="93" t="n">
        <x:v>0</x:v>
      </x:c>
      <x:c r="R1856" s="91" t="n">
        <x:v>0</x:v>
      </x:c>
    </x:row>
    <x:row r="1857">
      <x:c r="A1857" s="83" t="n">
        <x:v>1856</x:v>
      </x:c>
      <x:c r="B1857" s="84" t="str">
        <x:v>OS-2025-01856</x:v>
      </x:c>
      <x:c r="C1857" s="84" t="n">
        <x:v>5</x:v>
      </x:c>
      <x:c r="D1857" s="84" t="n">
        <x:v>1</x:v>
      </x:c>
      <x:c r="E1857" s="84" t="n">
        <x:v>10</x:v>
      </x:c>
      <x:c r="F1857" s="89" t="n">
        <x:v>45922.860127314816</x:v>
      </x:c>
      <x:c r="G1857" s="89" t="n">
        <x:v>45929.860127314816</x:v>
      </x:c>
      <x:c r="H1857" s="89" t="n">
        <x:v>45924.40179398148</x:v>
      </x:c>
      <x:c r="I1857" s="89" t="n">
        <x:v>45924.818460648145</x:v>
      </x:c>
      <x:c r="J1857" s="84" t="str">
        <x:v>Média</x:v>
      </x:c>
      <x:c r="K1857" s="84" t="str">
        <x:v>Concluída</x:v>
      </x:c>
      <x:c r="L1857" s="84" t="str">
        <x:v>Baixa pressão</x:v>
      </x:c>
      <x:c r="M1857" s="84" t="str">
        <x:v>Ajuste incorreto</x:v>
      </x:c>
      <x:c r="N1857" s="84" t="str">
        <x:v>Componente ajustado ou substituído</x:v>
      </x:c>
      <x:c r="O1857" s="84" t="n">
        <x:v>0</x:v>
      </x:c>
      <x:c r="P1857" s="93" t="n">
        <x:v>59.03</x:v>
      </x:c>
      <x:c r="Q1857" s="93" t="n">
        <x:v>0</x:v>
      </x:c>
      <x:c r="R1857" s="91" t="n">
        <x:v>0</x:v>
      </x:c>
    </x:row>
    <x:row r="1858">
      <x:c r="A1858" s="83" t="n">
        <x:v>1857</x:v>
      </x:c>
      <x:c r="B1858" s="84" t="str">
        <x:v>OS-2024-01857</x:v>
      </x:c>
      <x:c r="C1858" s="84" t="n">
        <x:v>74</x:v>
      </x:c>
      <x:c r="D1858" s="84" t="n">
        <x:v>3</x:v>
      </x:c>
      <x:c r="E1858" s="84"/>
      <x:c r="F1858" s="89" t="n">
        <x:v>45637.33738425926</x:v>
      </x:c>
      <x:c r="G1858" s="89"/>
      <x:c r="H1858" s="89" t="n">
        <x:v>45638.71238425926</x:v>
      </x:c>
      <x:c r="I1858" s="89" t="n">
        <x:v>45639.12905092593</x:v>
      </x:c>
      <x:c r="J1858" s="84" t="str">
        <x:v>Média</x:v>
      </x:c>
      <x:c r="K1858" s="84" t="str">
        <x:v>Encerrada</x:v>
      </x:c>
      <x:c r="L1858" s="84" t="str">
        <x:v>Desalinhamento</x:v>
      </x:c>
      <x:c r="M1858" s="84" t="str">
        <x:v>Conexão frouxa</x:v>
      </x:c>
      <x:c r="N1858" s="84" t="str">
        <x:v>Componente ajustado ou substituído</x:v>
      </x:c>
      <x:c r="O1858" s="84" t="n">
        <x:v>0</x:v>
      </x:c>
      <x:c r="P1858" s="93" t="n">
        <x:v>253.59</x:v>
      </x:c>
      <x:c r="Q1858" s="93" t="n">
        <x:v>2704.98</x:v>
      </x:c>
      <x:c r="R1858" s="91" t="n">
        <x:v>6864.25</x:v>
      </x:c>
    </x:row>
    <x:row r="1859">
      <x:c r="A1859" s="83" t="n">
        <x:v>1858</x:v>
      </x:c>
      <x:c r="B1859" s="84" t="str">
        <x:v>OS-2024-01858</x:v>
      </x:c>
      <x:c r="C1859" s="84" t="n">
        <x:v>9</x:v>
      </x:c>
      <x:c r="D1859" s="84" t="n">
        <x:v>5</x:v>
      </x:c>
      <x:c r="E1859" s="84" t="n">
        <x:v>18</x:v>
      </x:c>
      <x:c r="F1859" s="89" t="n">
        <x:v>45641.17414351852</x:v>
      </x:c>
      <x:c r="G1859" s="89" t="n">
        <x:v>45654.17414351852</x:v>
      </x:c>
      <x:c r="H1859" s="89" t="n">
        <x:v>45641.34081018518</x:v>
      </x:c>
      <x:c r="I1859" s="89" t="n">
        <x:v>45641.38247685185</x:v>
      </x:c>
      <x:c r="J1859" s="84" t="str">
        <x:v>Alta</x:v>
      </x:c>
      <x:c r="K1859" s="84" t="str">
        <x:v>Encerrada</x:v>
      </x:c>
      <x:c r="L1859" s="84" t="str">
        <x:v>Desalinhamento</x:v>
      </x:c>
      <x:c r="M1859" s="84" t="str">
        <x:v>Componente danificado</x:v>
      </x:c>
      <x:c r="N1859" s="84" t="str">
        <x:v>Componente ajustado ou substituído</x:v>
      </x:c>
      <x:c r="O1859" s="84" t="n">
        <x:v>0</x:v>
      </x:c>
      <x:c r="P1859" s="93" t="n">
        <x:v>444.14</x:v>
      </x:c>
      <x:c r="Q1859" s="93" t="n">
        <x:v>0</x:v>
      </x:c>
      <x:c r="R1859" s="91" t="n">
        <x:v>0</x:v>
      </x:c>
    </x:row>
    <x:row r="1860">
      <x:c r="A1860" s="83" t="n">
        <x:v>1859</x:v>
      </x:c>
      <x:c r="B1860" s="84" t="str">
        <x:v>OS-2025-01859</x:v>
      </x:c>
      <x:c r="C1860" s="84" t="n">
        <x:v>66</x:v>
      </x:c>
      <x:c r="D1860" s="84" t="n">
        <x:v>1</x:v>
      </x:c>
      <x:c r="E1860" s="84" t="n">
        <x:v>132</x:v>
      </x:c>
      <x:c r="F1860" s="89" t="n">
        <x:v>45996.76614583333</x:v>
      </x:c>
      <x:c r="G1860" s="89" t="n">
        <x:v>46009.76614583333</x:v>
      </x:c>
      <x:c r="H1860" s="89" t="n">
        <x:v>45999.14114583333</x:v>
      </x:c>
      <x:c r="I1860" s="89" t="n">
        <x:v>45999.26614583333</x:v>
      </x:c>
      <x:c r="J1860" s="84" t="str">
        <x:v>Crítica</x:v>
      </x:c>
      <x:c r="K1860" s="84" t="str">
        <x:v>Encerrada</x:v>
      </x:c>
      <x:c r="L1860" s="84" t="str">
        <x:v>Vazamento</x:v>
      </x:c>
      <x:c r="M1860" s="84" t="str">
        <x:v>Conexão frouxa</x:v>
      </x:c>
      <x:c r="N1860" s="84" t="str">
        <x:v>Componente ajustado ou substituído</x:v>
      </x:c>
      <x:c r="O1860" s="84" t="n">
        <x:v>0</x:v>
      </x:c>
      <x:c r="P1860" s="93" t="n">
        <x:v>549.25</x:v>
      </x:c>
      <x:c r="Q1860" s="93" t="n">
        <x:v>8943.8</x:v>
      </x:c>
      <x:c r="R1860" s="91" t="n">
        <x:v>0</x:v>
      </x:c>
    </x:row>
    <x:row r="1861">
      <x:c r="A1861" s="83" t="n">
        <x:v>1860</x:v>
      </x:c>
      <x:c r="B1861" s="84" t="str">
        <x:v>OS-2023-01860</x:v>
      </x:c>
      <x:c r="C1861" s="84" t="n">
        <x:v>21</x:v>
      </x:c>
      <x:c r="D1861" s="84" t="n">
        <x:v>6</x:v>
      </x:c>
      <x:c r="E1861" s="84"/>
      <x:c r="F1861" s="89" t="n">
        <x:v>45063.87170138889</x:v>
      </x:c>
      <x:c r="G1861" s="89" t="n">
        <x:v>45066.87170138889</x:v>
      </x:c>
      <x:c r="H1861" s="89" t="n">
        <x:v>45066.37170138889</x:v>
      </x:c>
      <x:c r="I1861" s="89" t="n">
        <x:v>45066.705034722225</x:v>
      </x:c>
      <x:c r="J1861" s="84" t="str">
        <x:v>Baixa</x:v>
      </x:c>
      <x:c r="K1861" s="84" t="str">
        <x:v>Concluída</x:v>
      </x:c>
      <x:c r="L1861" s="84" t="str">
        <x:v>Baixa pressão</x:v>
      </x:c>
      <x:c r="M1861" s="84" t="str">
        <x:v>Conexão frouxa</x:v>
      </x:c>
      <x:c r="N1861" s="84" t="str">
        <x:v>Componente ajustado ou substituído</x:v>
      </x:c>
      <x:c r="O1861" s="84" t="n">
        <x:v>0</x:v>
      </x:c>
      <x:c r="P1861" s="93" t="n">
        <x:v>174.75</x:v>
      </x:c>
      <x:c r="Q1861" s="93" t="n">
        <x:v>3607.44</x:v>
      </x:c>
      <x:c r="R1861" s="91" t="n">
        <x:v>0</x:v>
      </x:c>
    </x:row>
    <x:row r="1862">
      <x:c r="A1862" s="83" t="n">
        <x:v>1861</x:v>
      </x:c>
      <x:c r="B1862" s="84" t="str">
        <x:v>OS-2023-01861</x:v>
      </x:c>
      <x:c r="C1862" s="84" t="n">
        <x:v>8</x:v>
      </x:c>
      <x:c r="D1862" s="84" t="n">
        <x:v>5</x:v>
      </x:c>
      <x:c r="E1862" s="84" t="n">
        <x:v>16</x:v>
      </x:c>
      <x:c r="F1862" s="89" t="n">
        <x:v>45010.46668981481</x:v>
      </x:c>
      <x:c r="G1862" s="89" t="n">
        <x:v>45023.46668981481</x:v>
      </x:c>
      <x:c r="H1862" s="89" t="n">
        <x:v>45010.633356481485</x:v>
      </x:c>
      <x:c r="I1862" s="89" t="n">
        <x:v>45011.008356481485</x:v>
      </x:c>
      <x:c r="J1862" s="84" t="str">
        <x:v>Baixa</x:v>
      </x:c>
      <x:c r="K1862" s="84" t="str">
        <x:v>Concluída</x:v>
      </x:c>
      <x:c r="L1862" s="84" t="str">
        <x:v>Baixa pressão</x:v>
      </x:c>
      <x:c r="M1862" s="84" t="str">
        <x:v>Componente danificado</x:v>
      </x:c>
      <x:c r="N1862" s="84" t="str">
        <x:v>Componente ajustado ou substituído</x:v>
      </x:c>
      <x:c r="O1862" s="84" t="n">
        <x:v>0</x:v>
      </x:c>
      <x:c r="P1862" s="93" t="n">
        <x:v>152.46</x:v>
      </x:c>
      <x:c r="Q1862" s="93" t="n">
        <x:v>8975.18</x:v>
      </x:c>
      <x:c r="R1862" s="91" t="n">
        <x:v>0</x:v>
      </x:c>
    </x:row>
    <x:row r="1863">
      <x:c r="A1863" s="83" t="n">
        <x:v>1862</x:v>
      </x:c>
      <x:c r="B1863" s="84" t="str">
        <x:v>OS-2025-01862</x:v>
      </x:c>
      <x:c r="C1863" s="84" t="n">
        <x:v>90</x:v>
      </x:c>
      <x:c r="D1863" s="84" t="n">
        <x:v>1</x:v>
      </x:c>
      <x:c r="E1863" s="84" t="n">
        <x:v>179</x:v>
      </x:c>
      <x:c r="F1863" s="89" t="n">
        <x:v>45962.92228009259</x:v>
      </x:c>
      <x:c r="G1863" s="89" t="n">
        <x:v>45973.92228009259</x:v>
      </x:c>
      <x:c r="H1863" s="89" t="n">
        <x:v>45964.54728009259</x:v>
      </x:c>
      <x:c r="I1863" s="89" t="n">
        <x:v>45964.79728009259</x:v>
      </x:c>
      <x:c r="J1863" s="84" t="str">
        <x:v>Alta</x:v>
      </x:c>
      <x:c r="K1863" s="84" t="str">
        <x:v>Encerrada</x:v>
      </x:c>
      <x:c r="L1863" s="84" t="str">
        <x:v>Baixa pressão</x:v>
      </x:c>
      <x:c r="M1863" s="84" t="str">
        <x:v>Conexão frouxa</x:v>
      </x:c>
      <x:c r="N1863" s="84" t="str">
        <x:v>Componente ajustado ou substituído</x:v>
      </x:c>
      <x:c r="O1863" s="84" t="n">
        <x:v>0</x:v>
      </x:c>
      <x:c r="P1863" s="93" t="n">
        <x:v>366.29</x:v>
      </x:c>
      <x:c r="Q1863" s="93" t="n">
        <x:v>769.54</x:v>
      </x:c>
      <x:c r="R1863" s="91" t="n">
        <x:v>0</x:v>
      </x:c>
    </x:row>
    <x:row r="1864">
      <x:c r="A1864" s="83" t="n">
        <x:v>1863</x:v>
      </x:c>
      <x:c r="B1864" s="84" t="str">
        <x:v>OS-2025-01863</x:v>
      </x:c>
      <x:c r="C1864" s="84" t="n">
        <x:v>56</x:v>
      </x:c>
      <x:c r="D1864" s="84" t="n">
        <x:v>2</x:v>
      </x:c>
      <x:c r="E1864" s="84"/>
      <x:c r="F1864" s="89" t="n">
        <x:v>45858.3747337963</x:v>
      </x:c>
      <x:c r="G1864" s="89" t="n">
        <x:v>45869.3747337963</x:v>
      </x:c>
      <x:c r="H1864" s="89" t="n">
        <x:v>45858.83306712963</x:v>
      </x:c>
      <x:c r="I1864" s="89" t="n">
        <x:v>45859.33306712963</x:v>
      </x:c>
      <x:c r="J1864" s="84" t="str">
        <x:v>Baixa</x:v>
      </x:c>
      <x:c r="K1864" s="84" t="str">
        <x:v>Encerrada</x:v>
      </x:c>
      <x:c r="L1864" s="84" t="str">
        <x:v>Vazamento</x:v>
      </x:c>
      <x:c r="M1864" s="84" t="str">
        <x:v>Contaminação</x:v>
      </x:c>
      <x:c r="N1864" s="84" t="str">
        <x:v>Componente ajustado ou substituído</x:v>
      </x:c>
      <x:c r="O1864" s="84" t="n">
        <x:v>0</x:v>
      </x:c>
      <x:c r="P1864" s="93" t="n">
        <x:v>186.92</x:v>
      </x:c>
      <x:c r="Q1864" s="93" t="n">
        <x:v>7386.16</x:v>
      </x:c>
      <x:c r="R1864" s="91" t="n">
        <x:v>0</x:v>
      </x:c>
    </x:row>
    <x:row r="1865">
      <x:c r="A1865" s="83" t="n">
        <x:v>1864</x:v>
      </x:c>
      <x:c r="B1865" s="84" t="str">
        <x:v>OS-2023-01864</x:v>
      </x:c>
      <x:c r="C1865" s="84" t="n">
        <x:v>67</x:v>
      </x:c>
      <x:c r="D1865" s="84" t="n">
        <x:v>7</x:v>
      </x:c>
      <x:c r="E1865" s="84" t="n">
        <x:v>134</x:v>
      </x:c>
      <x:c r="F1865" s="89" t="n">
        <x:v>45168.84027777778</x:v>
      </x:c>
      <x:c r="G1865" s="89" t="n">
        <x:v>45181.84027777778</x:v>
      </x:c>
      <x:c r="H1865" s="89" t="n">
        <x:v>45169.006944444445</x:v>
      </x:c>
      <x:c r="I1865" s="89" t="n">
        <x:v>45169.21527777778</x:v>
      </x:c>
      <x:c r="J1865" s="84" t="str">
        <x:v>Alta</x:v>
      </x:c>
      <x:c r="K1865" s="84" t="str">
        <x:v>Encerrada</x:v>
      </x:c>
      <x:c r="L1865" s="84" t="str">
        <x:v>Alarme intermitente</x:v>
      </x:c>
      <x:c r="M1865" s="84" t="str">
        <x:v>Componente danificado</x:v>
      </x:c>
      <x:c r="N1865" s="84" t="str">
        <x:v>Componente ajustado ou substituído</x:v>
      </x:c>
      <x:c r="O1865" s="84" t="n">
        <x:v>0</x:v>
      </x:c>
      <x:c r="P1865" s="93" t="n">
        <x:v>204.74</x:v>
      </x:c>
      <x:c r="Q1865" s="93" t="n">
        <x:v>0</x:v>
      </x:c>
      <x:c r="R1865" s="91" t="n">
        <x:v>0</x:v>
      </x:c>
    </x:row>
    <x:row r="1866">
      <x:c r="A1866" s="83" t="n">
        <x:v>1865</x:v>
      </x:c>
      <x:c r="B1866" s="84" t="str">
        <x:v>OS-2025-01865</x:v>
      </x:c>
      <x:c r="C1866" s="84" t="n">
        <x:v>59</x:v>
      </x:c>
      <x:c r="D1866" s="84" t="n">
        <x:v>4</x:v>
      </x:c>
      <x:c r="E1866" s="84"/>
      <x:c r="F1866" s="89" t="n">
        <x:v>45787.099699074075</x:v>
      </x:c>
      <x:c r="G1866" s="89" t="n">
        <x:v>45792.099699074075</x:v>
      </x:c>
      <x:c r="H1866" s="89" t="n">
        <x:v>45790.05803240741</x:v>
      </x:c>
      <x:c r="I1866" s="89" t="n">
        <x:v>45790.349699074075</x:v>
      </x:c>
      <x:c r="J1866" s="84" t="str">
        <x:v>Baixa</x:v>
      </x:c>
      <x:c r="K1866" s="84" t="str">
        <x:v>Concluída</x:v>
      </x:c>
      <x:c r="L1866" s="84" t="str">
        <x:v>Vazamento</x:v>
      </x:c>
      <x:c r="M1866" s="84" t="str">
        <x:v>Desgaste natural</x:v>
      </x:c>
      <x:c r="N1866" s="84" t="str">
        <x:v>Componente ajustado ou substituído</x:v>
      </x:c>
      <x:c r="O1866" s="84" t="n">
        <x:v>0</x:v>
      </x:c>
      <x:c r="P1866" s="93" t="n">
        <x:v>656.76</x:v>
      </x:c>
      <x:c r="Q1866" s="93" t="n">
        <x:v>11240.16</x:v>
      </x:c>
      <x:c r="R1866" s="91" t="n">
        <x:v>0</x:v>
      </x:c>
    </x:row>
    <x:row r="1867">
      <x:c r="A1867" s="83" t="n">
        <x:v>1866</x:v>
      </x:c>
      <x:c r="B1867" s="84" t="str">
        <x:v>OS-2023-01866</x:v>
      </x:c>
      <x:c r="C1867" s="84" t="n">
        <x:v>81</x:v>
      </x:c>
      <x:c r="D1867" s="84" t="n">
        <x:v>2</x:v>
      </x:c>
      <x:c r="E1867" s="84"/>
      <x:c r="F1867" s="89" t="n">
        <x:v>45034.30918981481</x:v>
      </x:c>
      <x:c r="G1867" s="89" t="n">
        <x:v>45046.30918981481</x:v>
      </x:c>
      <x:c r="H1867" s="89" t="n">
        <x:v>45036.975856481484</x:v>
      </x:c>
      <x:c r="I1867" s="89" t="n">
        <x:v>45037.475856481484</x:v>
      </x:c>
      <x:c r="J1867" s="84" t="str">
        <x:v>Crítica</x:v>
      </x:c>
      <x:c r="K1867" s="84" t="str">
        <x:v>Encerrada</x:v>
      </x:c>
      <x:c r="L1867" s="84" t="str">
        <x:v>Vazamento</x:v>
      </x:c>
      <x:c r="M1867" s="84" t="str">
        <x:v>Falta de lubrificação</x:v>
      </x:c>
      <x:c r="N1867" s="84" t="str">
        <x:v>Componente ajustado ou substituído</x:v>
      </x:c>
      <x:c r="O1867" s="84" t="n">
        <x:v>0</x:v>
      </x:c>
      <x:c r="P1867" s="93" t="n">
        <x:v>577.86</x:v>
      </x:c>
      <x:c r="Q1867" s="93" t="n">
        <x:v>2930.84</x:v>
      </x:c>
      <x:c r="R1867" s="91" t="n">
        <x:v>0</x:v>
      </x:c>
    </x:row>
    <x:row r="1868">
      <x:c r="A1868" s="83" t="n">
        <x:v>1867</x:v>
      </x:c>
      <x:c r="B1868" s="84" t="str">
        <x:v>OS-2024-01867</x:v>
      </x:c>
      <x:c r="C1868" s="84" t="n">
        <x:v>47</x:v>
      </x:c>
      <x:c r="D1868" s="84" t="n">
        <x:v>2</x:v>
      </x:c>
      <x:c r="E1868" s="84"/>
      <x:c r="F1868" s="89" t="n">
        <x:v>45296.98158564815</x:v>
      </x:c>
      <x:c r="G1868" s="89" t="n">
        <x:v>45311.98158564815</x:v>
      </x:c>
      <x:c r="H1868" s="89" t="n">
        <x:v>45299.023252314815</x:v>
      </x:c>
      <x:c r="I1868" s="89" t="n">
        <x:v>45299.23158564815</x:v>
      </x:c>
      <x:c r="J1868" s="84" t="str">
        <x:v>Alta</x:v>
      </x:c>
      <x:c r="K1868" s="84" t="str">
        <x:v>Encerrada</x:v>
      </x:c>
      <x:c r="L1868" s="84" t="str">
        <x:v>Desalinhamento</x:v>
      </x:c>
      <x:c r="M1868" s="84" t="str">
        <x:v>Contaminação</x:v>
      </x:c>
      <x:c r="N1868" s="84" t="str">
        <x:v>Componente ajustado ou substituído</x:v>
      </x:c>
      <x:c r="O1868" s="84" t="n">
        <x:v>0</x:v>
      </x:c>
      <x:c r="P1868" s="93" t="n">
        <x:v>806.03</x:v>
      </x:c>
      <x:c r="Q1868" s="93" t="n">
        <x:v>3050.62</x:v>
      </x:c>
      <x:c r="R1868" s="91" t="n">
        <x:v>0</x:v>
      </x:c>
    </x:row>
    <x:row r="1869">
      <x:c r="A1869" s="83" t="n">
        <x:v>1868</x:v>
      </x:c>
      <x:c r="B1869" s="84" t="str">
        <x:v>OS-2025-01868</x:v>
      </x:c>
      <x:c r="C1869" s="84" t="n">
        <x:v>59</x:v>
      </x:c>
      <x:c r="D1869" s="84" t="n">
        <x:v>5</x:v>
      </x:c>
      <x:c r="E1869" s="84" t="n">
        <x:v>118</x:v>
      </x:c>
      <x:c r="F1869" s="89" t="n">
        <x:v>45917.95196759259</x:v>
      </x:c>
      <x:c r="G1869" s="89" t="n">
        <x:v>45926.95196759259</x:v>
      </x:c>
      <x:c r="H1869" s="89" t="n">
        <x:v>45920.61863425926</x:v>
      </x:c>
      <x:c r="I1869" s="89" t="n">
        <x:v>45920.82696759259</x:v>
      </x:c>
      <x:c r="J1869" s="84" t="str">
        <x:v>Baixa</x:v>
      </x:c>
      <x:c r="K1869" s="84" t="str">
        <x:v>Encerrada</x:v>
      </x:c>
      <x:c r="L1869" s="84" t="str">
        <x:v>Baixa pressão</x:v>
      </x:c>
      <x:c r="M1869" s="84" t="str">
        <x:v>Contaminação</x:v>
      </x:c>
      <x:c r="N1869" s="84" t="str">
        <x:v>Componente ajustado ou substituído</x:v>
      </x:c>
      <x:c r="O1869" s="84" t="n">
        <x:v>0</x:v>
      </x:c>
      <x:c r="P1869" s="93" t="n">
        <x:v>875.51</x:v>
      </x:c>
      <x:c r="Q1869" s="93" t="n">
        <x:v>4549.35</x:v>
      </x:c>
      <x:c r="R1869" s="91" t="n">
        <x:v>0</x:v>
      </x:c>
    </x:row>
    <x:row r="1870">
      <x:c r="A1870" s="83" t="n">
        <x:v>1869</x:v>
      </x:c>
      <x:c r="B1870" s="84" t="str">
        <x:v>OS-2025-01869</x:v>
      </x:c>
      <x:c r="C1870" s="84" t="n">
        <x:v>16</x:v>
      </x:c>
      <x:c r="D1870" s="84" t="n">
        <x:v>1</x:v>
      </x:c>
      <x:c r="E1870" s="84" t="n">
        <x:v>32</x:v>
      </x:c>
      <x:c r="F1870" s="89" t="n">
        <x:v>45886.562430555554</x:v>
      </x:c>
      <x:c r="G1870" s="89" t="n">
        <x:v>45893.562430555554</x:v>
      </x:c>
      <x:c r="H1870" s="89" t="n">
        <x:v>45888.02076388889</x:v>
      </x:c>
      <x:c r="I1870" s="89"/>
      <x:c r="J1870" s="84" t="str">
        <x:v>Alta</x:v>
      </x:c>
      <x:c r="K1870" s="84" t="str">
        <x:v>Aguardando peça</x:v>
      </x:c>
      <x:c r="L1870" s="84" t="str">
        <x:v>Desalinhamento</x:v>
      </x:c>
      <x:c r="M1870" s="84" t="str">
        <x:v>Falta de lubrificação</x:v>
      </x:c>
      <x:c r="N1870" s="84"/>
      <x:c r="O1870" s="84" t="n">
        <x:v>0</x:v>
      </x:c>
      <x:c r="P1870" s="93" t="n">
        <x:v>405.44</x:v>
      </x:c>
      <x:c r="Q1870" s="93" t="n">
        <x:v>3219.4</x:v>
      </x:c>
      <x:c r="R1870" s="91" t="n">
        <x:v>10931.97</x:v>
      </x:c>
    </x:row>
    <x:row r="1871">
      <x:c r="A1871" s="83" t="n">
        <x:v>1870</x:v>
      </x:c>
      <x:c r="B1871" s="84" t="str">
        <x:v>OS-2024-01870</x:v>
      </x:c>
      <x:c r="C1871" s="84" t="n">
        <x:v>32</x:v>
      </x:c>
      <x:c r="D1871" s="84" t="n">
        <x:v>1</x:v>
      </x:c>
      <x:c r="E1871" s="84" t="n">
        <x:v>63</x:v>
      </x:c>
      <x:c r="F1871" s="89" t="n">
        <x:v>45343.641747685186</x:v>
      </x:c>
      <x:c r="G1871" s="89" t="n">
        <x:v>45351.641747685186</x:v>
      </x:c>
      <x:c r="H1871" s="89" t="n">
        <x:v>45344.18341435185</x:v>
      </x:c>
      <x:c r="I1871" s="89"/>
      <x:c r="J1871" s="84" t="str">
        <x:v>Crítica</x:v>
      </x:c>
      <x:c r="K1871" s="84" t="str">
        <x:v>Em execução</x:v>
      </x:c>
      <x:c r="L1871" s="84" t="str">
        <x:v>Desalinhamento</x:v>
      </x:c>
      <x:c r="M1871" s="84" t="str">
        <x:v>Componente danificado</x:v>
      </x:c>
      <x:c r="N1871" s="84"/>
      <x:c r="O1871" s="84" t="n">
        <x:v>0</x:v>
      </x:c>
      <x:c r="P1871" s="93" t="n">
        <x:v>269.86</x:v>
      </x:c>
      <x:c r="Q1871" s="93" t="n">
        <x:v>13557.38</x:v>
      </x:c>
      <x:c r="R1871" s="91" t="n">
        <x:v>0</x:v>
      </x:c>
    </x:row>
    <x:row r="1872">
      <x:c r="A1872" s="83" t="n">
        <x:v>1871</x:v>
      </x:c>
      <x:c r="B1872" s="84" t="str">
        <x:v>OS-2023-01871</x:v>
      </x:c>
      <x:c r="C1872" s="84" t="n">
        <x:v>27</x:v>
      </x:c>
      <x:c r="D1872" s="84" t="n">
        <x:v>3</x:v>
      </x:c>
      <x:c r="E1872" s="84"/>
      <x:c r="F1872" s="89" t="n">
        <x:v>45027.20684027778</x:v>
      </x:c>
      <x:c r="G1872" s="89"/>
      <x:c r="H1872" s="89" t="n">
        <x:v>45028.29017361111</x:v>
      </x:c>
      <x:c r="I1872" s="89" t="n">
        <x:v>45029.04017361111</x:v>
      </x:c>
      <x:c r="J1872" s="84" t="str">
        <x:v>Baixa</x:v>
      </x:c>
      <x:c r="K1872" s="84" t="str">
        <x:v>Encerrada</x:v>
      </x:c>
      <x:c r="L1872" s="84" t="str">
        <x:v>Vazamento</x:v>
      </x:c>
      <x:c r="M1872" s="84" t="str">
        <x:v>Conexão frouxa</x:v>
      </x:c>
      <x:c r="N1872" s="84" t="str">
        <x:v>Componente ajustado ou substituído</x:v>
      </x:c>
      <x:c r="O1872" s="84" t="n">
        <x:v>0</x:v>
      </x:c>
      <x:c r="P1872" s="93" t="n">
        <x:v>583.01</x:v>
      </x:c>
      <x:c r="Q1872" s="93" t="n">
        <x:v>2804.06</x:v>
      </x:c>
      <x:c r="R1872" s="91" t="n">
        <x:v>0</x:v>
      </x:c>
    </x:row>
    <x:row r="1873">
      <x:c r="A1873" s="83" t="n">
        <x:v>1872</x:v>
      </x:c>
      <x:c r="B1873" s="84" t="str">
        <x:v>OS-2024-01872</x:v>
      </x:c>
      <x:c r="C1873" s="84" t="n">
        <x:v>46</x:v>
      </x:c>
      <x:c r="D1873" s="84" t="n">
        <x:v>1</x:v>
      </x:c>
      <x:c r="E1873" s="84" t="n">
        <x:v>91</x:v>
      </x:c>
      <x:c r="F1873" s="89" t="n">
        <x:v>45566.09881944444</x:v>
      </x:c>
      <x:c r="G1873" s="89" t="n">
        <x:v>45567.09881944444</x:v>
      </x:c>
      <x:c r="H1873" s="89"/>
      <x:c r="I1873" s="89"/>
      <x:c r="J1873" s="84" t="str">
        <x:v>Crítica</x:v>
      </x:c>
      <x:c r="K1873" s="84" t="str">
        <x:v>Planejada</x:v>
      </x:c>
      <x:c r="L1873" s="84" t="str">
        <x:v>Falha elétrica</x:v>
      </x:c>
      <x:c r="M1873" s="84"/>
      <x:c r="N1873" s="84"/>
      <x:c r="O1873" s="84" t="n">
        <x:v>0</x:v>
      </x:c>
      <x:c r="P1873" s="93" t="n">
        <x:v>0</x:v>
      </x:c>
      <x:c r="Q1873" s="93" t="n">
        <x:v>0</x:v>
      </x:c>
      <x:c r="R1873" s="91" t="n">
        <x:v>0</x:v>
      </x:c>
    </x:row>
    <x:row r="1874">
      <x:c r="A1874" s="83" t="n">
        <x:v>1873</x:v>
      </x:c>
      <x:c r="B1874" s="84" t="str">
        <x:v>OS-2024-01873</x:v>
      </x:c>
      <x:c r="C1874" s="84" t="n">
        <x:v>29</x:v>
      </x:c>
      <x:c r="D1874" s="84" t="n">
        <x:v>4</x:v>
      </x:c>
      <x:c r="E1874" s="84"/>
      <x:c r="F1874" s="89" t="n">
        <x:v>45546.121354166666</x:v>
      </x:c>
      <x:c r="G1874" s="89" t="n">
        <x:v>45554.121354166666</x:v>
      </x:c>
      <x:c r="H1874" s="89" t="n">
        <x:v>45548.8296875</x:v>
      </x:c>
      <x:c r="I1874" s="89" t="n">
        <x:v>45548.9546875</x:v>
      </x:c>
      <x:c r="J1874" s="84" t="str">
        <x:v>Média</x:v>
      </x:c>
      <x:c r="K1874" s="84" t="str">
        <x:v>Encerrada</x:v>
      </x:c>
      <x:c r="L1874" s="84" t="str">
        <x:v>Alarme intermitente</x:v>
      </x:c>
      <x:c r="M1874" s="84" t="str">
        <x:v>Ajuste incorreto</x:v>
      </x:c>
      <x:c r="N1874" s="84" t="str">
        <x:v>Componente ajustado ou substituído</x:v>
      </x:c>
      <x:c r="O1874" s="84" t="n">
        <x:v>0</x:v>
      </x:c>
      <x:c r="P1874" s="93" t="n">
        <x:v>320.77</x:v>
      </x:c>
      <x:c r="Q1874" s="93" t="n">
        <x:v>1161.45</x:v>
      </x:c>
      <x:c r="R1874" s="91" t="n">
        <x:v>0</x:v>
      </x:c>
    </x:row>
    <x:row r="1875">
      <x:c r="A1875" s="83" t="n">
        <x:v>1874</x:v>
      </x:c>
      <x:c r="B1875" s="84" t="str">
        <x:v>OS-2023-01874</x:v>
      </x:c>
      <x:c r="C1875" s="84" t="n">
        <x:v>11</x:v>
      </x:c>
      <x:c r="D1875" s="84" t="n">
        <x:v>1</x:v>
      </x:c>
      <x:c r="E1875" s="84" t="n">
        <x:v>22</x:v>
      </x:c>
      <x:c r="F1875" s="89" t="n">
        <x:v>45086.50550925926</x:v>
      </x:c>
      <x:c r="G1875" s="89" t="n">
        <x:v>45101.50550925926</x:v>
      </x:c>
      <x:c r="H1875" s="89" t="n">
        <x:v>45088.13050925926</x:v>
      </x:c>
      <x:c r="I1875" s="89" t="n">
        <x:v>45088.38050925926</x:v>
      </x:c>
      <x:c r="J1875" s="84" t="str">
        <x:v>Baixa</x:v>
      </x:c>
      <x:c r="K1875" s="84" t="str">
        <x:v>Encerrada</x:v>
      </x:c>
      <x:c r="L1875" s="84" t="str">
        <x:v>Falha elétrica</x:v>
      </x:c>
      <x:c r="M1875" s="84" t="str">
        <x:v>Contaminação</x:v>
      </x:c>
      <x:c r="N1875" s="84" t="str">
        <x:v>Componente ajustado ou substituído</x:v>
      </x:c>
      <x:c r="O1875" s="84" t="n">
        <x:v>1</x:v>
      </x:c>
      <x:c r="P1875" s="93" t="n">
        <x:v>771.92</x:v>
      </x:c>
      <x:c r="Q1875" s="93" t="n">
        <x:v>10917.61</x:v>
      </x:c>
      <x:c r="R1875" s="91" t="n">
        <x:v>0</x:v>
      </x:c>
    </x:row>
    <x:row r="1876">
      <x:c r="A1876" s="83" t="n">
        <x:v>1875</x:v>
      </x:c>
      <x:c r="B1876" s="84" t="str">
        <x:v>OS-2024-01875</x:v>
      </x:c>
      <x:c r="C1876" s="84" t="n">
        <x:v>10</x:v>
      </x:c>
      <x:c r="D1876" s="84" t="n">
        <x:v>5</x:v>
      </x:c>
      <x:c r="E1876" s="84" t="n">
        <x:v>20</x:v>
      </x:c>
      <x:c r="F1876" s="89" t="n">
        <x:v>45315.43550925926</x:v>
      </x:c>
      <x:c r="G1876" s="89" t="n">
        <x:v>45316.43550925926</x:v>
      </x:c>
      <x:c r="H1876" s="89" t="n">
        <x:v>45315.518842592595</x:v>
      </x:c>
      <x:c r="I1876" s="89" t="n">
        <x:v>45315.68550925926</x:v>
      </x:c>
      <x:c r="J1876" s="84" t="str">
        <x:v>Crítica</x:v>
      </x:c>
      <x:c r="K1876" s="84" t="str">
        <x:v>Encerrada</x:v>
      </x:c>
      <x:c r="L1876" s="84" t="str">
        <x:v>Superaquecimento</x:v>
      </x:c>
      <x:c r="M1876" s="84" t="str">
        <x:v>Contaminação</x:v>
      </x:c>
      <x:c r="N1876" s="84" t="str">
        <x:v>Componente ajustado ou substituído</x:v>
      </x:c>
      <x:c r="O1876" s="84" t="n">
        <x:v>0</x:v>
      </x:c>
      <x:c r="P1876" s="93" t="n">
        <x:v>172.05</x:v>
      </x:c>
      <x:c r="Q1876" s="93" t="n">
        <x:v>0</x:v>
      </x:c>
      <x:c r="R1876" s="91" t="n">
        <x:v>0</x:v>
      </x:c>
    </x:row>
    <x:row r="1877">
      <x:c r="A1877" s="83" t="n">
        <x:v>1876</x:v>
      </x:c>
      <x:c r="B1877" s="84" t="str">
        <x:v>OS-2024-01876</x:v>
      </x:c>
      <x:c r="C1877" s="84" t="n">
        <x:v>3</x:v>
      </x:c>
      <x:c r="D1877" s="84" t="n">
        <x:v>4</x:v>
      </x:c>
      <x:c r="E1877" s="84"/>
      <x:c r="F1877" s="89" t="n">
        <x:v>45564.28674768518</x:v>
      </x:c>
      <x:c r="G1877" s="89" t="n">
        <x:v>45564.28674768518</x:v>
      </x:c>
      <x:c r="H1877" s="89"/>
      <x:c r="I1877" s="89"/>
      <x:c r="J1877" s="84" t="str">
        <x:v>Crítica</x:v>
      </x:c>
      <x:c r="K1877" s="84" t="str">
        <x:v>Planejada</x:v>
      </x:c>
      <x:c r="L1877" s="84" t="str">
        <x:v>Superaquecimento</x:v>
      </x:c>
      <x:c r="M1877" s="84"/>
      <x:c r="N1877" s="84"/>
      <x:c r="O1877" s="84" t="n">
        <x:v>0</x:v>
      </x:c>
      <x:c r="P1877" s="93" t="n">
        <x:v>0</x:v>
      </x:c>
      <x:c r="Q1877" s="93" t="n">
        <x:v>0</x:v>
      </x:c>
      <x:c r="R1877" s="91" t="n">
        <x:v>0</x:v>
      </x:c>
    </x:row>
    <x:row r="1878">
      <x:c r="A1878" s="83" t="n">
        <x:v>1877</x:v>
      </x:c>
      <x:c r="B1878" s="84" t="str">
        <x:v>OS-2024-01877</x:v>
      </x:c>
      <x:c r="C1878" s="84" t="n">
        <x:v>54</x:v>
      </x:c>
      <x:c r="D1878" s="84" t="n">
        <x:v>4</x:v>
      </x:c>
      <x:c r="E1878" s="84"/>
      <x:c r="F1878" s="89" t="n">
        <x:v>45508.9991087963</x:v>
      </x:c>
      <x:c r="G1878" s="89" t="n">
        <x:v>45511.9991087963</x:v>
      </x:c>
      <x:c r="H1878" s="89" t="n">
        <x:v>45510.45744212963</x:v>
      </x:c>
      <x:c r="I1878" s="89"/>
      <x:c r="J1878" s="84" t="str">
        <x:v>Baixa</x:v>
      </x:c>
      <x:c r="K1878" s="84" t="str">
        <x:v>Em execução</x:v>
      </x:c>
      <x:c r="L1878" s="84" t="str">
        <x:v>Baixa pressão</x:v>
      </x:c>
      <x:c r="M1878" s="84" t="str">
        <x:v>Componente danificado</x:v>
      </x:c>
      <x:c r="N1878" s="84"/>
      <x:c r="O1878" s="84" t="n">
        <x:v>0</x:v>
      </x:c>
      <x:c r="P1878" s="93" t="n">
        <x:v>215.49</x:v>
      </x:c>
      <x:c r="Q1878" s="93" t="n">
        <x:v>15711.58</x:v>
      </x:c>
      <x:c r="R1878" s="91" t="n">
        <x:v>0</x:v>
      </x:c>
    </x:row>
    <x:row r="1879">
      <x:c r="A1879" s="83" t="n">
        <x:v>1878</x:v>
      </x:c>
      <x:c r="B1879" s="84" t="str">
        <x:v>OS-2023-01878</x:v>
      </x:c>
      <x:c r="C1879" s="84" t="n">
        <x:v>65</x:v>
      </x:c>
      <x:c r="D1879" s="84" t="n">
        <x:v>3</x:v>
      </x:c>
      <x:c r="E1879" s="84"/>
      <x:c r="F1879" s="89" t="n">
        <x:v>45227.64424768519</x:v>
      </x:c>
      <x:c r="G1879" s="89"/>
      <x:c r="H1879" s="89" t="n">
        <x:v>45230.14424768519</x:v>
      </x:c>
      <x:c r="I1879" s="89" t="n">
        <x:v>45230.18591435185</x:v>
      </x:c>
      <x:c r="J1879" s="84" t="str">
        <x:v>Alta</x:v>
      </x:c>
      <x:c r="K1879" s="84" t="str">
        <x:v>Encerrada</x:v>
      </x:c>
      <x:c r="L1879" s="84" t="str">
        <x:v>Ruído anormal</x:v>
      </x:c>
      <x:c r="M1879" s="84" t="str">
        <x:v>Conexão frouxa</x:v>
      </x:c>
      <x:c r="N1879" s="84" t="str">
        <x:v>Componente ajustado ou substituído</x:v>
      </x:c>
      <x:c r="O1879" s="84" t="n">
        <x:v>0</x:v>
      </x:c>
      <x:c r="P1879" s="93" t="n">
        <x:v>289.53</x:v>
      </x:c>
      <x:c r="Q1879" s="93" t="n">
        <x:v>5060.43</x:v>
      </x:c>
      <x:c r="R1879" s="91" t="n">
        <x:v>0</x:v>
      </x:c>
    </x:row>
    <x:row r="1880">
      <x:c r="A1880" s="83" t="n">
        <x:v>1879</x:v>
      </x:c>
      <x:c r="B1880" s="84" t="str">
        <x:v>OS-2025-01879</x:v>
      </x:c>
      <x:c r="C1880" s="84" t="n">
        <x:v>18</x:v>
      </x:c>
      <x:c r="D1880" s="84" t="n">
        <x:v>1</x:v>
      </x:c>
      <x:c r="E1880" s="84" t="n">
        <x:v>35</x:v>
      </x:c>
      <x:c r="F1880" s="89" t="n">
        <x:v>45927.9225</x:v>
      </x:c>
      <x:c r="G1880" s="89" t="n">
        <x:v>45930.9225</x:v>
      </x:c>
      <x:c r="H1880" s="89"/>
      <x:c r="I1880" s="89"/>
      <x:c r="J1880" s="84" t="str">
        <x:v>Alta</x:v>
      </x:c>
      <x:c r="K1880" s="84" t="str">
        <x:v>Planejada</x:v>
      </x:c>
      <x:c r="L1880" s="84" t="str">
        <x:v>Desalinhamento</x:v>
      </x:c>
      <x:c r="M1880" s="84"/>
      <x:c r="N1880" s="84"/>
      <x:c r="O1880" s="84" t="n">
        <x:v>0</x:v>
      </x:c>
      <x:c r="P1880" s="93" t="n">
        <x:v>0</x:v>
      </x:c>
      <x:c r="Q1880" s="93" t="n">
        <x:v>0</x:v>
      </x:c>
      <x:c r="R1880" s="91" t="n">
        <x:v>0</x:v>
      </x:c>
    </x:row>
    <x:row r="1881">
      <x:c r="A1881" s="83" t="n">
        <x:v>1880</x:v>
      </x:c>
      <x:c r="B1881" s="84" t="str">
        <x:v>OS-2023-01880</x:v>
      </x:c>
      <x:c r="C1881" s="84" t="n">
        <x:v>18</x:v>
      </x:c>
      <x:c r="D1881" s="84" t="n">
        <x:v>1</x:v>
      </x:c>
      <x:c r="E1881" s="84" t="n">
        <x:v>35</x:v>
      </x:c>
      <x:c r="F1881" s="89" t="n">
        <x:v>45136.19327546296</x:v>
      </x:c>
      <x:c r="G1881" s="89" t="n">
        <x:v>45139.19327546296</x:v>
      </x:c>
      <x:c r="H1881" s="89" t="n">
        <x:v>45136.23494212963</x:v>
      </x:c>
      <x:c r="I1881" s="89"/>
      <x:c r="J1881" s="84" t="str">
        <x:v>Crítica</x:v>
      </x:c>
      <x:c r="K1881" s="84" t="str">
        <x:v>Em execução</x:v>
      </x:c>
      <x:c r="L1881" s="84" t="str">
        <x:v>Superaquecimento</x:v>
      </x:c>
      <x:c r="M1881" s="84" t="str">
        <x:v>Contaminação</x:v>
      </x:c>
      <x:c r="N1881" s="84"/>
      <x:c r="O1881" s="84" t="n">
        <x:v>1</x:v>
      </x:c>
      <x:c r="P1881" s="93" t="n">
        <x:v>337.87</x:v>
      </x:c>
      <x:c r="Q1881" s="93" t="n">
        <x:v>0</x:v>
      </x:c>
      <x:c r="R1881" s="91" t="n">
        <x:v>0</x:v>
      </x:c>
    </x:row>
    <x:row r="1882">
      <x:c r="A1882" s="83" t="n">
        <x:v>1881</x:v>
      </x:c>
      <x:c r="B1882" s="84" t="str">
        <x:v>OS-2024-01881</x:v>
      </x:c>
      <x:c r="C1882" s="84" t="n">
        <x:v>80</x:v>
      </x:c>
      <x:c r="D1882" s="84" t="n">
        <x:v>5</x:v>
      </x:c>
      <x:c r="E1882" s="84" t="n">
        <x:v>160</x:v>
      </x:c>
      <x:c r="F1882" s="89" t="n">
        <x:v>45656.748344907406</x:v>
      </x:c>
      <x:c r="G1882" s="89" t="n">
        <x:v>45661.748344907406</x:v>
      </x:c>
      <x:c r="H1882" s="89" t="n">
        <x:v>45657.83167824074</x:v>
      </x:c>
      <x:c r="I1882" s="89" t="n">
        <x:v>45657.95667824074</x:v>
      </x:c>
      <x:c r="J1882" s="84" t="str">
        <x:v>Baixa</x:v>
      </x:c>
      <x:c r="K1882" s="84" t="str">
        <x:v>Concluída</x:v>
      </x:c>
      <x:c r="L1882" s="84" t="str">
        <x:v>Alarme intermitente</x:v>
      </x:c>
      <x:c r="M1882" s="84" t="str">
        <x:v>Falta de lubrificação</x:v>
      </x:c>
      <x:c r="N1882" s="84" t="str">
        <x:v>Componente ajustado ou substituído</x:v>
      </x:c>
      <x:c r="O1882" s="84" t="n">
        <x:v>0</x:v>
      </x:c>
      <x:c r="P1882" s="93" t="n">
        <x:v>543.96</x:v>
      </x:c>
      <x:c r="Q1882" s="93" t="n">
        <x:v>4604.56</x:v>
      </x:c>
      <x:c r="R1882" s="91" t="n">
        <x:v>0</x:v>
      </x:c>
    </x:row>
    <x:row r="1883">
      <x:c r="A1883" s="83" t="n">
        <x:v>1882</x:v>
      </x:c>
      <x:c r="B1883" s="84" t="str">
        <x:v>OS-2025-01882</x:v>
      </x:c>
      <x:c r="C1883" s="84" t="n">
        <x:v>31</x:v>
      </x:c>
      <x:c r="D1883" s="84" t="n">
        <x:v>1</x:v>
      </x:c>
      <x:c r="E1883" s="84" t="n">
        <x:v>62</x:v>
      </x:c>
      <x:c r="F1883" s="89" t="n">
        <x:v>45846.79207175926</x:v>
      </x:c>
      <x:c r="G1883" s="89" t="n">
        <x:v>45861.79207175926</x:v>
      </x:c>
      <x:c r="H1883" s="89" t="n">
        <x:v>45848.66707175926</x:v>
      </x:c>
      <x:c r="I1883" s="89"/>
      <x:c r="J1883" s="84" t="str">
        <x:v>Crítica</x:v>
      </x:c>
      <x:c r="K1883" s="84" t="str">
        <x:v>Aguardando peça</x:v>
      </x:c>
      <x:c r="L1883" s="84" t="str">
        <x:v>Alarme intermitente</x:v>
      </x:c>
      <x:c r="M1883" s="84" t="str">
        <x:v>Falta de lubrificação</x:v>
      </x:c>
      <x:c r="N1883" s="84"/>
      <x:c r="O1883" s="84" t="n">
        <x:v>0</x:v>
      </x:c>
      <x:c r="P1883" s="93" t="n">
        <x:v>272.99</x:v>
      </x:c>
      <x:c r="Q1883" s="93" t="n">
        <x:v>2377.11</x:v>
      </x:c>
      <x:c r="R1883" s="91" t="n">
        <x:v>0</x:v>
      </x:c>
    </x:row>
    <x:row r="1884">
      <x:c r="A1884" s="83" t="n">
        <x:v>1883</x:v>
      </x:c>
      <x:c r="B1884" s="84" t="str">
        <x:v>OS-2023-01883</x:v>
      </x:c>
      <x:c r="C1884" s="84" t="n">
        <x:v>3</x:v>
      </x:c>
      <x:c r="D1884" s="84" t="n">
        <x:v>8</x:v>
      </x:c>
      <x:c r="E1884" s="84"/>
      <x:c r="F1884" s="89" t="n">
        <x:v>45282.96855324074</x:v>
      </x:c>
      <x:c r="G1884" s="89" t="n">
        <x:v>45296.96855324074</x:v>
      </x:c>
      <x:c r="H1884" s="89" t="n">
        <x:v>45284.21855324074</x:v>
      </x:c>
      <x:c r="I1884" s="89" t="n">
        <x:v>45284.63521990741</x:v>
      </x:c>
      <x:c r="J1884" s="84" t="str">
        <x:v>Alta</x:v>
      </x:c>
      <x:c r="K1884" s="84" t="str">
        <x:v>Encerrada</x:v>
      </x:c>
      <x:c r="L1884" s="84" t="str">
        <x:v>Ruído anormal</x:v>
      </x:c>
      <x:c r="M1884" s="84" t="str">
        <x:v>Ajuste incorreto</x:v>
      </x:c>
      <x:c r="N1884" s="84" t="str">
        <x:v>Componente ajustado ou substituído</x:v>
      </x:c>
      <x:c r="O1884" s="84" t="n">
        <x:v>0</x:v>
      </x:c>
      <x:c r="P1884" s="93" t="n">
        <x:v>250.34</x:v>
      </x:c>
      <x:c r="Q1884" s="93" t="n">
        <x:v>12394.08</x:v>
      </x:c>
      <x:c r="R1884" s="91" t="n">
        <x:v>0</x:v>
      </x:c>
    </x:row>
    <x:row r="1885">
      <x:c r="A1885" s="83" t="n">
        <x:v>1884</x:v>
      </x:c>
      <x:c r="B1885" s="84" t="str">
        <x:v>OS-2025-01884</x:v>
      </x:c>
      <x:c r="C1885" s="84" t="n">
        <x:v>80</x:v>
      </x:c>
      <x:c r="D1885" s="84" t="n">
        <x:v>5</x:v>
      </x:c>
      <x:c r="E1885" s="84" t="n">
        <x:v>159</x:v>
      </x:c>
      <x:c r="F1885" s="89" t="n">
        <x:v>45826.61693287037</x:v>
      </x:c>
      <x:c r="G1885" s="89" t="n">
        <x:v>45832.61693287037</x:v>
      </x:c>
      <x:c r="H1885" s="89"/>
      <x:c r="I1885" s="89"/>
      <x:c r="J1885" s="84" t="str">
        <x:v>Alta</x:v>
      </x:c>
      <x:c r="K1885" s="84" t="str">
        <x:v>Planejada</x:v>
      </x:c>
      <x:c r="L1885" s="84" t="str">
        <x:v>Falha elétrica</x:v>
      </x:c>
      <x:c r="M1885" s="84"/>
      <x:c r="N1885" s="84"/>
      <x:c r="O1885" s="84" t="n">
        <x:v>0</x:v>
      </x:c>
      <x:c r="P1885" s="93" t="n">
        <x:v>0</x:v>
      </x:c>
      <x:c r="Q1885" s="93" t="n">
        <x:v>0</x:v>
      </x:c>
      <x:c r="R1885" s="91" t="n">
        <x:v>0</x:v>
      </x:c>
    </x:row>
    <x:row r="1886">
      <x:c r="A1886" s="83" t="n">
        <x:v>1885</x:v>
      </x:c>
      <x:c r="B1886" s="84" t="str">
        <x:v>OS-2025-01885</x:v>
      </x:c>
      <x:c r="C1886" s="84" t="n">
        <x:v>14</x:v>
      </x:c>
      <x:c r="D1886" s="84" t="n">
        <x:v>1</x:v>
      </x:c>
      <x:c r="E1886" s="84" t="n">
        <x:v>28</x:v>
      </x:c>
      <x:c r="F1886" s="89" t="n">
        <x:v>45669.76075231482</x:v>
      </x:c>
      <x:c r="G1886" s="89" t="n">
        <x:v>45679.76075231482</x:v>
      </x:c>
      <x:c r="H1886" s="89" t="n">
        <x:v>45670.71908564815</x:v>
      </x:c>
      <x:c r="I1886" s="89" t="n">
        <x:v>45671.05241898148</x:v>
      </x:c>
      <x:c r="J1886" s="84" t="str">
        <x:v>Média</x:v>
      </x:c>
      <x:c r="K1886" s="84" t="str">
        <x:v>Encerrada</x:v>
      </x:c>
      <x:c r="L1886" s="84" t="str">
        <x:v>Superaquecimento</x:v>
      </x:c>
      <x:c r="M1886" s="84" t="str">
        <x:v>Ajuste incorreto</x:v>
      </x:c>
      <x:c r="N1886" s="84" t="str">
        <x:v>Componente ajustado ou substituído</x:v>
      </x:c>
      <x:c r="O1886" s="84" t="n">
        <x:v>0</x:v>
      </x:c>
      <x:c r="P1886" s="93" t="n">
        <x:v>217.73</x:v>
      </x:c>
      <x:c r="Q1886" s="93" t="n">
        <x:v>1137.96</x:v>
      </x:c>
      <x:c r="R1886" s="91" t="n">
        <x:v>11247.11</x:v>
      </x:c>
    </x:row>
    <x:row r="1887">
      <x:c r="A1887" s="83" t="n">
        <x:v>1886</x:v>
      </x:c>
      <x:c r="B1887" s="84" t="str">
        <x:v>OS-2023-01886</x:v>
      </x:c>
      <x:c r="C1887" s="84" t="n">
        <x:v>12</x:v>
      </x:c>
      <x:c r="D1887" s="84" t="n">
        <x:v>3</x:v>
      </x:c>
      <x:c r="E1887" s="84"/>
      <x:c r="F1887" s="89" t="n">
        <x:v>45180.198333333334</x:v>
      </x:c>
      <x:c r="G1887" s="89"/>
      <x:c r="H1887" s="89" t="n">
        <x:v>45182.74</x:v>
      </x:c>
      <x:c r="I1887" s="89" t="n">
        <x:v>45182.78166666667</x:v>
      </x:c>
      <x:c r="J1887" s="84" t="str">
        <x:v>Média</x:v>
      </x:c>
      <x:c r="K1887" s="84" t="str">
        <x:v>Encerrada</x:v>
      </x:c>
      <x:c r="L1887" s="84" t="str">
        <x:v>Superaquecimento</x:v>
      </x:c>
      <x:c r="M1887" s="84" t="str">
        <x:v>Conexão frouxa</x:v>
      </x:c>
      <x:c r="N1887" s="84" t="str">
        <x:v>Componente ajustado ou substituído</x:v>
      </x:c>
      <x:c r="O1887" s="84" t="n">
        <x:v>0</x:v>
      </x:c>
      <x:c r="P1887" s="93" t="n">
        <x:v>511.65</x:v>
      </x:c>
      <x:c r="Q1887" s="93" t="n">
        <x:v>1656.35</x:v>
      </x:c>
      <x:c r="R1887" s="91" t="n">
        <x:v>0</x:v>
      </x:c>
    </x:row>
    <x:row r="1888">
      <x:c r="A1888" s="83" t="n">
        <x:v>1887</x:v>
      </x:c>
      <x:c r="B1888" s="84" t="str">
        <x:v>OS-2025-01887</x:v>
      </x:c>
      <x:c r="C1888" s="84" t="n">
        <x:v>41</x:v>
      </x:c>
      <x:c r="D1888" s="84" t="n">
        <x:v>3</x:v>
      </x:c>
      <x:c r="E1888" s="84"/>
      <x:c r="F1888" s="89" t="n">
        <x:v>45989.6259375</x:v>
      </x:c>
      <x:c r="G1888" s="89"/>
      <x:c r="H1888" s="89" t="n">
        <x:v>45990.20927083334</x:v>
      </x:c>
      <x:c r="I1888" s="89" t="n">
        <x:v>45990.70927083334</x:v>
      </x:c>
      <x:c r="J1888" s="84" t="str">
        <x:v>Crítica</x:v>
      </x:c>
      <x:c r="K1888" s="84" t="str">
        <x:v>Encerrada</x:v>
      </x:c>
      <x:c r="L1888" s="84" t="str">
        <x:v>Alarme intermitente</x:v>
      </x:c>
      <x:c r="M1888" s="84" t="str">
        <x:v>Componente danificado</x:v>
      </x:c>
      <x:c r="N1888" s="84" t="str">
        <x:v>Componente ajustado ou substituído</x:v>
      </x:c>
      <x:c r="O1888" s="84" t="n">
        <x:v>0</x:v>
      </x:c>
      <x:c r="P1888" s="93" t="n">
        <x:v>780.5</x:v>
      </x:c>
      <x:c r="Q1888" s="93" t="n">
        <x:v>1734.37</x:v>
      </x:c>
      <x:c r="R1888" s="91" t="n">
        <x:v>0</x:v>
      </x:c>
    </x:row>
    <x:row r="1889">
      <x:c r="A1889" s="83" t="n">
        <x:v>1888</x:v>
      </x:c>
      <x:c r="B1889" s="84" t="str">
        <x:v>OS-2024-01888</x:v>
      </x:c>
      <x:c r="C1889" s="84" t="n">
        <x:v>63</x:v>
      </x:c>
      <x:c r="D1889" s="84" t="n">
        <x:v>5</x:v>
      </x:c>
      <x:c r="E1889" s="84" t="n">
        <x:v>125</x:v>
      </x:c>
      <x:c r="F1889" s="89" t="n">
        <x:v>45469.678935185184</x:v>
      </x:c>
      <x:c r="G1889" s="89" t="n">
        <x:v>45481.678935185184</x:v>
      </x:c>
      <x:c r="H1889" s="89" t="n">
        <x:v>45470.38726851852</x:v>
      </x:c>
      <x:c r="I1889" s="89" t="n">
        <x:v>45471.220601851855</x:v>
      </x:c>
      <x:c r="J1889" s="84" t="str">
        <x:v>Alta</x:v>
      </x:c>
      <x:c r="K1889" s="84" t="str">
        <x:v>Encerrada</x:v>
      </x:c>
      <x:c r="L1889" s="84" t="str">
        <x:v>Baixa pressão</x:v>
      </x:c>
      <x:c r="M1889" s="84" t="str">
        <x:v>Componente danificado</x:v>
      </x:c>
      <x:c r="N1889" s="84" t="str">
        <x:v>Componente ajustado ou substituído</x:v>
      </x:c>
      <x:c r="O1889" s="84" t="n">
        <x:v>0</x:v>
      </x:c>
      <x:c r="P1889" s="93" t="n">
        <x:v>171.97</x:v>
      </x:c>
      <x:c r="Q1889" s="93" t="n">
        <x:v>0</x:v>
      </x:c>
      <x:c r="R1889" s="91" t="n">
        <x:v>0</x:v>
      </x:c>
    </x:row>
    <x:row r="1890">
      <x:c r="A1890" s="83" t="n">
        <x:v>1889</x:v>
      </x:c>
      <x:c r="B1890" s="84" t="str">
        <x:v>OS-2025-01889</x:v>
      </x:c>
      <x:c r="C1890" s="84" t="n">
        <x:v>84</x:v>
      </x:c>
      <x:c r="D1890" s="84" t="n">
        <x:v>2</x:v>
      </x:c>
      <x:c r="E1890" s="84"/>
      <x:c r="F1890" s="89" t="n">
        <x:v>45660.198530092595</x:v>
      </x:c>
      <x:c r="G1890" s="89" t="n">
        <x:v>45672.198530092595</x:v>
      </x:c>
      <x:c r="H1890" s="89" t="n">
        <x:v>45661.61519675926</x:v>
      </x:c>
      <x:c r="I1890" s="89" t="n">
        <x:v>45661.906863425924</x:v>
      </x:c>
      <x:c r="J1890" s="84" t="str">
        <x:v>Média</x:v>
      </x:c>
      <x:c r="K1890" s="84" t="str">
        <x:v>Encerrada</x:v>
      </x:c>
      <x:c r="L1890" s="84" t="str">
        <x:v>Desalinhamento</x:v>
      </x:c>
      <x:c r="M1890" s="84" t="str">
        <x:v>Contaminação</x:v>
      </x:c>
      <x:c r="N1890" s="84" t="str">
        <x:v>Componente ajustado ou substituído</x:v>
      </x:c>
      <x:c r="O1890" s="84" t="n">
        <x:v>1</x:v>
      </x:c>
      <x:c r="P1890" s="93" t="n">
        <x:v>370.78</x:v>
      </x:c>
      <x:c r="Q1890" s="93" t="n">
        <x:v>1352.49</x:v>
      </x:c>
      <x:c r="R1890" s="91" t="n">
        <x:v>0</x:v>
      </x:c>
    </x:row>
    <x:row r="1891">
      <x:c r="A1891" s="83" t="n">
        <x:v>1890</x:v>
      </x:c>
      <x:c r="B1891" s="84" t="str">
        <x:v>OS-2023-01890</x:v>
      </x:c>
      <x:c r="C1891" s="84" t="n">
        <x:v>49</x:v>
      </x:c>
      <x:c r="D1891" s="84" t="n">
        <x:v>7</x:v>
      </x:c>
      <x:c r="E1891" s="84" t="n">
        <x:v>97</x:v>
      </x:c>
      <x:c r="F1891" s="89" t="n">
        <x:v>45262.671875</x:v>
      </x:c>
      <x:c r="G1891" s="89" t="n">
        <x:v>45271.671875</x:v>
      </x:c>
      <x:c r="H1891" s="89" t="n">
        <x:v>45263.296875</x:v>
      </x:c>
      <x:c r="I1891" s="89" t="n">
        <x:v>45263.421875</x:v>
      </x:c>
      <x:c r="J1891" s="84" t="str">
        <x:v>Crítica</x:v>
      </x:c>
      <x:c r="K1891" s="84" t="str">
        <x:v>Concluída</x:v>
      </x:c>
      <x:c r="L1891" s="84" t="str">
        <x:v>Baixa pressão</x:v>
      </x:c>
      <x:c r="M1891" s="84" t="str">
        <x:v>Conexão frouxa</x:v>
      </x:c>
      <x:c r="N1891" s="84" t="str">
        <x:v>Componente ajustado ou substituído</x:v>
      </x:c>
      <x:c r="O1891" s="84" t="n">
        <x:v>0</x:v>
      </x:c>
      <x:c r="P1891" s="93" t="n">
        <x:v>223.56</x:v>
      </x:c>
      <x:c r="Q1891" s="93" t="n">
        <x:v>8381.43</x:v>
      </x:c>
      <x:c r="R1891" s="91" t="n">
        <x:v>0</x:v>
      </x:c>
    </x:row>
    <x:row r="1892">
      <x:c r="A1892" s="83" t="n">
        <x:v>1891</x:v>
      </x:c>
      <x:c r="B1892" s="84" t="str">
        <x:v>OS-2024-01891</x:v>
      </x:c>
      <x:c r="C1892" s="84" t="n">
        <x:v>49</x:v>
      </x:c>
      <x:c r="D1892" s="84" t="n">
        <x:v>3</x:v>
      </x:c>
      <x:c r="E1892" s="84"/>
      <x:c r="F1892" s="89" t="n">
        <x:v>45520.059537037036</x:v>
      </x:c>
      <x:c r="G1892" s="89"/>
      <x:c r="H1892" s="89" t="n">
        <x:v>45520.60120370371</x:v>
      </x:c>
      <x:c r="I1892" s="89" t="n">
        <x:v>45520.934537037036</x:v>
      </x:c>
      <x:c r="J1892" s="84" t="str">
        <x:v>Média</x:v>
      </x:c>
      <x:c r="K1892" s="84" t="str">
        <x:v>Encerrada</x:v>
      </x:c>
      <x:c r="L1892" s="84" t="str">
        <x:v>Falha elétrica</x:v>
      </x:c>
      <x:c r="M1892" s="84" t="str">
        <x:v>Falta de lubrificação</x:v>
      </x:c>
      <x:c r="N1892" s="84" t="str">
        <x:v>Componente ajustado ou substituído</x:v>
      </x:c>
      <x:c r="O1892" s="84" t="n">
        <x:v>0</x:v>
      </x:c>
      <x:c r="P1892" s="93" t="n">
        <x:v>274.32</x:v>
      </x:c>
      <x:c r="Q1892" s="93" t="n">
        <x:v>284.49</x:v>
      </x:c>
      <x:c r="R1892" s="91" t="n">
        <x:v>0</x:v>
      </x:c>
    </x:row>
    <x:row r="1893">
      <x:c r="A1893" s="83" t="n">
        <x:v>1892</x:v>
      </x:c>
      <x:c r="B1893" s="84" t="str">
        <x:v>OS-2025-01892</x:v>
      </x:c>
      <x:c r="C1893" s="84" t="n">
        <x:v>3</x:v>
      </x:c>
      <x:c r="D1893" s="84" t="n">
        <x:v>1</x:v>
      </x:c>
      <x:c r="E1893" s="84" t="n">
        <x:v>6</x:v>
      </x:c>
      <x:c r="F1893" s="89" t="n">
        <x:v>45889.07644675926</x:v>
      </x:c>
      <x:c r="G1893" s="89" t="n">
        <x:v>45889.07644675926</x:v>
      </x:c>
      <x:c r="H1893" s="89" t="n">
        <x:v>45890.07644675926</x:v>
      </x:c>
      <x:c r="I1893" s="89" t="n">
        <x:v>45890.45144675926</x:v>
      </x:c>
      <x:c r="J1893" s="84" t="str">
        <x:v>Alta</x:v>
      </x:c>
      <x:c r="K1893" s="84" t="str">
        <x:v>Concluída</x:v>
      </x:c>
      <x:c r="L1893" s="84" t="str">
        <x:v>Superaquecimento</x:v>
      </x:c>
      <x:c r="M1893" s="84" t="str">
        <x:v>Desgaste natural</x:v>
      </x:c>
      <x:c r="N1893" s="84" t="str">
        <x:v>Componente ajustado ou substituído</x:v>
      </x:c>
      <x:c r="O1893" s="84" t="n">
        <x:v>0</x:v>
      </x:c>
      <x:c r="P1893" s="93" t="n">
        <x:v>382.62</x:v>
      </x:c>
      <x:c r="Q1893" s="93" t="n">
        <x:v>8861.52</x:v>
      </x:c>
      <x:c r="R1893" s="91" t="n">
        <x:v>0</x:v>
      </x:c>
    </x:row>
    <x:row r="1894">
      <x:c r="A1894" s="83" t="n">
        <x:v>1893</x:v>
      </x:c>
      <x:c r="B1894" s="84" t="str">
        <x:v>OS-2025-01893</x:v>
      </x:c>
      <x:c r="C1894" s="84" t="n">
        <x:v>62</x:v>
      </x:c>
      <x:c r="D1894" s="84" t="n">
        <x:v>6</x:v>
      </x:c>
      <x:c r="E1894" s="84"/>
      <x:c r="F1894" s="89" t="n">
        <x:v>45828.37616898148</x:v>
      </x:c>
      <x:c r="G1894" s="89" t="n">
        <x:v>45838.37616898148</x:v>
      </x:c>
      <x:c r="H1894" s="89" t="n">
        <x:v>45828.459502314814</x:v>
      </x:c>
      <x:c r="I1894" s="89" t="n">
        <x:v>45828.79283564815</x:v>
      </x:c>
      <x:c r="J1894" s="84" t="str">
        <x:v>Crítica</x:v>
      </x:c>
      <x:c r="K1894" s="84" t="str">
        <x:v>Encerrada</x:v>
      </x:c>
      <x:c r="L1894" s="84" t="str">
        <x:v>Ruído anormal</x:v>
      </x:c>
      <x:c r="M1894" s="84" t="str">
        <x:v>Ajuste incorreto</x:v>
      </x:c>
      <x:c r="N1894" s="84" t="str">
        <x:v>Componente ajustado ou substituído</x:v>
      </x:c>
      <x:c r="O1894" s="84" t="n">
        <x:v>0</x:v>
      </x:c>
      <x:c r="P1894" s="93" t="n">
        <x:v>942.44</x:v>
      </x:c>
      <x:c r="Q1894" s="93" t="n">
        <x:v>2768.57</x:v>
      </x:c>
      <x:c r="R1894" s="91" t="n">
        <x:v>0</x:v>
      </x:c>
    </x:row>
    <x:row r="1895">
      <x:c r="A1895" s="83" t="n">
        <x:v>1894</x:v>
      </x:c>
      <x:c r="B1895" s="84" t="str">
        <x:v>OS-2024-01894</x:v>
      </x:c>
      <x:c r="C1895" s="84" t="n">
        <x:v>77</x:v>
      </x:c>
      <x:c r="D1895" s="84" t="n">
        <x:v>3</x:v>
      </x:c>
      <x:c r="E1895" s="84"/>
      <x:c r="F1895" s="89" t="n">
        <x:v>45462.07508101852</x:v>
      </x:c>
      <x:c r="G1895" s="89"/>
      <x:c r="H1895" s="89" t="n">
        <x:v>45463.866747685184</x:v>
      </x:c>
      <x:c r="I1895" s="89"/>
      <x:c r="J1895" s="84" t="str">
        <x:v>Média</x:v>
      </x:c>
      <x:c r="K1895" s="84" t="str">
        <x:v>Aguardando peça</x:v>
      </x:c>
      <x:c r="L1895" s="84" t="str">
        <x:v>Ruído anormal</x:v>
      </x:c>
      <x:c r="M1895" s="84" t="str">
        <x:v>Desgaste natural</x:v>
      </x:c>
      <x:c r="N1895" s="84"/>
      <x:c r="O1895" s="84" t="n">
        <x:v>0</x:v>
      </x:c>
      <x:c r="P1895" s="93" t="n">
        <x:v>274.63</x:v>
      </x:c>
      <x:c r="Q1895" s="93" t="n">
        <x:v>0</x:v>
      </x:c>
      <x:c r="R1895" s="91" t="n">
        <x:v>0</x:v>
      </x:c>
    </x:row>
    <x:row r="1896">
      <x:c r="A1896" s="83" t="n">
        <x:v>1895</x:v>
      </x:c>
      <x:c r="B1896" s="84" t="str">
        <x:v>OS-2025-01895</x:v>
      </x:c>
      <x:c r="C1896" s="84" t="n">
        <x:v>10</x:v>
      </x:c>
      <x:c r="D1896" s="84" t="n">
        <x:v>5</x:v>
      </x:c>
      <x:c r="E1896" s="84" t="n">
        <x:v>19</x:v>
      </x:c>
      <x:c r="F1896" s="89" t="n">
        <x:v>45928.22454861111</x:v>
      </x:c>
      <x:c r="G1896" s="89" t="n">
        <x:v>45939.22454861111</x:v>
      </x:c>
      <x:c r="H1896" s="89" t="n">
        <x:v>45930.47454861111</x:v>
      </x:c>
      <x:c r="I1896" s="89" t="n">
        <x:v>45931.05788194444</x:v>
      </x:c>
      <x:c r="J1896" s="84" t="str">
        <x:v>Média</x:v>
      </x:c>
      <x:c r="K1896" s="84" t="str">
        <x:v>Encerrada</x:v>
      </x:c>
      <x:c r="L1896" s="84" t="str">
        <x:v>Superaquecimento</x:v>
      </x:c>
      <x:c r="M1896" s="84" t="str">
        <x:v>Componente danificado</x:v>
      </x:c>
      <x:c r="N1896" s="84" t="str">
        <x:v>Componente ajustado ou substituído</x:v>
      </x:c>
      <x:c r="O1896" s="84" t="n">
        <x:v>0</x:v>
      </x:c>
      <x:c r="P1896" s="93" t="n">
        <x:v>42.14</x:v>
      </x:c>
      <x:c r="Q1896" s="93" t="n">
        <x:v>0</x:v>
      </x:c>
      <x:c r="R1896" s="91" t="n">
        <x:v>0</x:v>
      </x:c>
    </x:row>
    <x:row r="1897">
      <x:c r="A1897" s="83" t="n">
        <x:v>1896</x:v>
      </x:c>
      <x:c r="B1897" s="84" t="str">
        <x:v>OS-2025-01896</x:v>
      </x:c>
      <x:c r="C1897" s="84" t="n">
        <x:v>52</x:v>
      </x:c>
      <x:c r="D1897" s="84" t="n">
        <x:v>1</x:v>
      </x:c>
      <x:c r="E1897" s="84" t="n">
        <x:v>103</x:v>
      </x:c>
      <x:c r="F1897" s="89" t="n">
        <x:v>45840.20275462963</x:v>
      </x:c>
      <x:c r="G1897" s="89" t="n">
        <x:v>45843.20275462963</x:v>
      </x:c>
      <x:c r="H1897" s="89" t="n">
        <x:v>45843.20275462963</x:v>
      </x:c>
      <x:c r="I1897" s="89"/>
      <x:c r="J1897" s="84" t="str">
        <x:v>Crítica</x:v>
      </x:c>
      <x:c r="K1897" s="84" t="str">
        <x:v>Em execução</x:v>
      </x:c>
      <x:c r="L1897" s="84" t="str">
        <x:v>Superaquecimento</x:v>
      </x:c>
      <x:c r="M1897" s="84" t="str">
        <x:v>Desgaste natural</x:v>
      </x:c>
      <x:c r="N1897" s="84"/>
      <x:c r="O1897" s="84" t="n">
        <x:v>0</x:v>
      </x:c>
      <x:c r="P1897" s="93" t="n">
        <x:v>455.31</x:v>
      </x:c>
      <x:c r="Q1897" s="93" t="n">
        <x:v>9011.04</x:v>
      </x:c>
      <x:c r="R1897" s="91" t="n">
        <x:v>6090.95</x:v>
      </x:c>
    </x:row>
    <x:row r="1898">
      <x:c r="A1898" s="83" t="n">
        <x:v>1897</x:v>
      </x:c>
      <x:c r="B1898" s="84" t="str">
        <x:v>OS-2025-01897</x:v>
      </x:c>
      <x:c r="C1898" s="84" t="n">
        <x:v>84</x:v>
      </x:c>
      <x:c r="D1898" s="84" t="n">
        <x:v>4</x:v>
      </x:c>
      <x:c r="E1898" s="84"/>
      <x:c r="F1898" s="89" t="n">
        <x:v>45915.82677083334</x:v>
      </x:c>
      <x:c r="G1898" s="89" t="n">
        <x:v>45915.82677083334</x:v>
      </x:c>
      <x:c r="H1898" s="89"/>
      <x:c r="I1898" s="89"/>
      <x:c r="J1898" s="84" t="str">
        <x:v>Alta</x:v>
      </x:c>
      <x:c r="K1898" s="84" t="str">
        <x:v>Planejada</x:v>
      </x:c>
      <x:c r="L1898" s="84" t="str">
        <x:v>Falha elétrica</x:v>
      </x:c>
      <x:c r="M1898" s="84"/>
      <x:c r="N1898" s="84"/>
      <x:c r="O1898" s="84" t="n">
        <x:v>0</x:v>
      </x:c>
      <x:c r="P1898" s="93" t="n">
        <x:v>0</x:v>
      </x:c>
      <x:c r="Q1898" s="93" t="n">
        <x:v>0</x:v>
      </x:c>
      <x:c r="R1898" s="91" t="n">
        <x:v>0</x:v>
      </x:c>
    </x:row>
    <x:row r="1899">
      <x:c r="A1899" s="83" t="n">
        <x:v>1898</x:v>
      </x:c>
      <x:c r="B1899" s="84" t="str">
        <x:v>OS-2024-01898</x:v>
      </x:c>
      <x:c r="C1899" s="84" t="n">
        <x:v>79</x:v>
      </x:c>
      <x:c r="D1899" s="84" t="n">
        <x:v>1</x:v>
      </x:c>
      <x:c r="E1899" s="84" t="n">
        <x:v>157</x:v>
      </x:c>
      <x:c r="F1899" s="89" t="n">
        <x:v>45343.36671296296</x:v>
      </x:c>
      <x:c r="G1899" s="89" t="n">
        <x:v>45349.36671296296</x:v>
      </x:c>
      <x:c r="H1899" s="89" t="n">
        <x:v>45346.0750462963</x:v>
      </x:c>
      <x:c r="I1899" s="89"/>
      <x:c r="J1899" s="84" t="str">
        <x:v>Alta</x:v>
      </x:c>
      <x:c r="K1899" s="84" t="str">
        <x:v>Aguardando peça</x:v>
      </x:c>
      <x:c r="L1899" s="84" t="str">
        <x:v>Ruído anormal</x:v>
      </x:c>
      <x:c r="M1899" s="84" t="str">
        <x:v>Desgaste natural</x:v>
      </x:c>
      <x:c r="N1899" s="84"/>
      <x:c r="O1899" s="84" t="n">
        <x:v>0</x:v>
      </x:c>
      <x:c r="P1899" s="93" t="n">
        <x:v>371.49</x:v>
      </x:c>
      <x:c r="Q1899" s="93" t="n">
        <x:v>17669.46</x:v>
      </x:c>
      <x:c r="R1899" s="91" t="n">
        <x:v>0</x:v>
      </x:c>
    </x:row>
    <x:row r="1900">
      <x:c r="A1900" s="83" t="n">
        <x:v>1899</x:v>
      </x:c>
      <x:c r="B1900" s="84" t="str">
        <x:v>OS-2025-01899</x:v>
      </x:c>
      <x:c r="C1900" s="84" t="n">
        <x:v>2</x:v>
      </x:c>
      <x:c r="D1900" s="84" t="n">
        <x:v>1</x:v>
      </x:c>
      <x:c r="E1900" s="84" t="n">
        <x:v>3</x:v>
      </x:c>
      <x:c r="F1900" s="89" t="n">
        <x:v>45927.047002314815</x:v>
      </x:c>
      <x:c r="G1900" s="89" t="n">
        <x:v>45942.047002314815</x:v>
      </x:c>
      <x:c r="H1900" s="89" t="n">
        <x:v>45929.00533564815</x:v>
      </x:c>
      <x:c r="I1900" s="89" t="n">
        <x:v>45929.75533564815</x:v>
      </x:c>
      <x:c r="J1900" s="84" t="str">
        <x:v>Baixa</x:v>
      </x:c>
      <x:c r="K1900" s="84" t="str">
        <x:v>Encerrada</x:v>
      </x:c>
      <x:c r="L1900" s="84" t="str">
        <x:v>Superaquecimento</x:v>
      </x:c>
      <x:c r="M1900" s="84" t="str">
        <x:v>Componente danificado</x:v>
      </x:c>
      <x:c r="N1900" s="84" t="str">
        <x:v>Componente ajustado ou substituído</x:v>
      </x:c>
      <x:c r="O1900" s="84" t="n">
        <x:v>0</x:v>
      </x:c>
      <x:c r="P1900" s="93" t="n">
        <x:v>384.85</x:v>
      </x:c>
      <x:c r="Q1900" s="93" t="n">
        <x:v>4004.85</x:v>
      </x:c>
      <x:c r="R1900" s="91" t="n">
        <x:v>0</x:v>
      </x:c>
    </x:row>
    <x:row r="1901">
      <x:c r="A1901" s="83" t="n">
        <x:v>1900</x:v>
      </x:c>
      <x:c r="B1901" s="84" t="str">
        <x:v>OS-2023-01900</x:v>
      </x:c>
      <x:c r="C1901" s="84" t="n">
        <x:v>38</x:v>
      </x:c>
      <x:c r="D1901" s="84" t="n">
        <x:v>1</x:v>
      </x:c>
      <x:c r="E1901" s="84" t="n">
        <x:v>76</x:v>
      </x:c>
      <x:c r="F1901" s="89" t="n">
        <x:v>45056.04577546296</x:v>
      </x:c>
      <x:c r="G1901" s="89" t="n">
        <x:v>45057.04577546296</x:v>
      </x:c>
      <x:c r="H1901" s="89" t="n">
        <x:v>45056.08744212963</x:v>
      </x:c>
      <x:c r="I1901" s="89" t="n">
        <x:v>45056.58744212963</x:v>
      </x:c>
      <x:c r="J1901" s="84" t="str">
        <x:v>Crítica</x:v>
      </x:c>
      <x:c r="K1901" s="84" t="str">
        <x:v>Encerrada</x:v>
      </x:c>
      <x:c r="L1901" s="84" t="str">
        <x:v>Baixa pressão</x:v>
      </x:c>
      <x:c r="M1901" s="84" t="str">
        <x:v>Conexão frouxa</x:v>
      </x:c>
      <x:c r="N1901" s="84" t="str">
        <x:v>Componente ajustado ou substituído</x:v>
      </x:c>
      <x:c r="O1901" s="84" t="n">
        <x:v>0</x:v>
      </x:c>
      <x:c r="P1901" s="93" t="n">
        <x:v>330.87</x:v>
      </x:c>
      <x:c r="Q1901" s="93" t="n">
        <x:v>567.2</x:v>
      </x:c>
      <x:c r="R1901" s="91" t="n">
        <x:v>0</x:v>
      </x:c>
    </x:row>
    <x:row r="1902">
      <x:c r="A1902" s="83" t="n">
        <x:v>1901</x:v>
      </x:c>
      <x:c r="B1902" s="84" t="str">
        <x:v>OS-2025-01901</x:v>
      </x:c>
      <x:c r="C1902" s="84" t="n">
        <x:v>58</x:v>
      </x:c>
      <x:c r="D1902" s="84" t="n">
        <x:v>7</x:v>
      </x:c>
      <x:c r="E1902" s="84" t="n">
        <x:v>115</x:v>
      </x:c>
      <x:c r="F1902" s="89" t="n">
        <x:v>45919.756377314814</x:v>
      </x:c>
      <x:c r="G1902" s="89" t="n">
        <x:v>45934.756377314814</x:v>
      </x:c>
      <x:c r="H1902" s="89"/>
      <x:c r="I1902" s="89"/>
      <x:c r="J1902" s="84" t="str">
        <x:v>Alta</x:v>
      </x:c>
      <x:c r="K1902" s="84" t="str">
        <x:v>Planejada</x:v>
      </x:c>
      <x:c r="L1902" s="84" t="str">
        <x:v>Vazamento</x:v>
      </x:c>
      <x:c r="M1902" s="84"/>
      <x:c r="N1902" s="84"/>
      <x:c r="O1902" s="84" t="n">
        <x:v>0</x:v>
      </x:c>
      <x:c r="P1902" s="93" t="n">
        <x:v>0</x:v>
      </x:c>
      <x:c r="Q1902" s="93" t="n">
        <x:v>0</x:v>
      </x:c>
      <x:c r="R1902" s="91" t="n">
        <x:v>0</x:v>
      </x:c>
    </x:row>
    <x:row r="1903">
      <x:c r="A1903" s="83" t="n">
        <x:v>1902</x:v>
      </x:c>
      <x:c r="B1903" s="84" t="str">
        <x:v>OS-2024-01902</x:v>
      </x:c>
      <x:c r="C1903" s="84" t="n">
        <x:v>15</x:v>
      </x:c>
      <x:c r="D1903" s="84" t="n">
        <x:v>7</x:v>
      </x:c>
      <x:c r="E1903" s="84" t="n">
        <x:v>30</x:v>
      </x:c>
      <x:c r="F1903" s="89" t="n">
        <x:v>45467.65201388889</x:v>
      </x:c>
      <x:c r="G1903" s="89" t="n">
        <x:v>45470.65201388889</x:v>
      </x:c>
      <x:c r="H1903" s="89" t="n">
        <x:v>45468.81868055555</x:v>
      </x:c>
      <x:c r="I1903" s="89" t="n">
        <x:v>45469.15201388889</x:v>
      </x:c>
      <x:c r="J1903" s="84" t="str">
        <x:v>Crítica</x:v>
      </x:c>
      <x:c r="K1903" s="84" t="str">
        <x:v>Encerrada</x:v>
      </x:c>
      <x:c r="L1903" s="84" t="str">
        <x:v>Baixa pressão</x:v>
      </x:c>
      <x:c r="M1903" s="84" t="str">
        <x:v>Ajuste incorreto</x:v>
      </x:c>
      <x:c r="N1903" s="84" t="str">
        <x:v>Componente ajustado ou substituído</x:v>
      </x:c>
      <x:c r="O1903" s="84" t="n">
        <x:v>0</x:v>
      </x:c>
      <x:c r="P1903" s="93" t="n">
        <x:v>524.51</x:v>
      </x:c>
      <x:c r="Q1903" s="93" t="n">
        <x:v>6547.54</x:v>
      </x:c>
      <x:c r="R1903" s="91" t="n">
        <x:v>0</x:v>
      </x:c>
    </x:row>
    <x:row r="1904">
      <x:c r="A1904" s="83" t="n">
        <x:v>1903</x:v>
      </x:c>
      <x:c r="B1904" s="84" t="str">
        <x:v>OS-2023-01903</x:v>
      </x:c>
      <x:c r="C1904" s="84" t="n">
        <x:v>79</x:v>
      </x:c>
      <x:c r="D1904" s="84" t="n">
        <x:v>3</x:v>
      </x:c>
      <x:c r="E1904" s="84"/>
      <x:c r="F1904" s="89" t="n">
        <x:v>45205.02664351852</x:v>
      </x:c>
      <x:c r="G1904" s="89"/>
      <x:c r="H1904" s="89" t="n">
        <x:v>45206.65164351852</x:v>
      </x:c>
      <x:c r="I1904" s="89" t="n">
        <x:v>45207.02664351852</x:v>
      </x:c>
      <x:c r="J1904" s="84" t="str">
        <x:v>Média</x:v>
      </x:c>
      <x:c r="K1904" s="84" t="str">
        <x:v>Encerrada</x:v>
      </x:c>
      <x:c r="L1904" s="84" t="str">
        <x:v>Ruído anormal</x:v>
      </x:c>
      <x:c r="M1904" s="84" t="str">
        <x:v>Componente danificado</x:v>
      </x:c>
      <x:c r="N1904" s="84" t="str">
        <x:v>Componente ajustado ou substituído</x:v>
      </x:c>
      <x:c r="O1904" s="84" t="n">
        <x:v>0</x:v>
      </x:c>
      <x:c r="P1904" s="93" t="n">
        <x:v>439.16</x:v>
      </x:c>
      <x:c r="Q1904" s="93" t="n">
        <x:v>14397.43</x:v>
      </x:c>
      <x:c r="R1904" s="91" t="n">
        <x:v>0</x:v>
      </x:c>
    </x:row>
    <x:row r="1905">
      <x:c r="A1905" s="83" t="n">
        <x:v>1904</x:v>
      </x:c>
      <x:c r="B1905" s="84" t="str">
        <x:v>OS-2023-01904</x:v>
      </x:c>
      <x:c r="C1905" s="84" t="n">
        <x:v>40</x:v>
      </x:c>
      <x:c r="D1905" s="84" t="n">
        <x:v>3</x:v>
      </x:c>
      <x:c r="E1905" s="84"/>
      <x:c r="F1905" s="89" t="n">
        <x:v>45113.30432870371</x:v>
      </x:c>
      <x:c r="G1905" s="89"/>
      <x:c r="H1905" s="89" t="n">
        <x:v>45114.55432870371</x:v>
      </x:c>
      <x:c r="I1905" s="89" t="n">
        <x:v>45114.97099537037</x:v>
      </x:c>
      <x:c r="J1905" s="84" t="str">
        <x:v>Crítica</x:v>
      </x:c>
      <x:c r="K1905" s="84" t="str">
        <x:v>Encerrada</x:v>
      </x:c>
      <x:c r="L1905" s="84" t="str">
        <x:v>Alarme intermitente</x:v>
      </x:c>
      <x:c r="M1905" s="84" t="str">
        <x:v>Falta de lubrificação</x:v>
      </x:c>
      <x:c r="N1905" s="84" t="str">
        <x:v>Componente ajustado ou substituído</x:v>
      </x:c>
      <x:c r="O1905" s="84" t="n">
        <x:v>0</x:v>
      </x:c>
      <x:c r="P1905" s="93" t="n">
        <x:v>341.19</x:v>
      </x:c>
      <x:c r="Q1905" s="93" t="n">
        <x:v>0</x:v>
      </x:c>
      <x:c r="R1905" s="91" t="n">
        <x:v>0</x:v>
      </x:c>
    </x:row>
    <x:row r="1906">
      <x:c r="A1906" s="83" t="n">
        <x:v>1905</x:v>
      </x:c>
      <x:c r="B1906" s="84" t="str">
        <x:v>OS-2024-01905</x:v>
      </x:c>
      <x:c r="C1906" s="84" t="n">
        <x:v>1</x:v>
      </x:c>
      <x:c r="D1906" s="84" t="n">
        <x:v>1</x:v>
      </x:c>
      <x:c r="E1906" s="84" t="n">
        <x:v>2</x:v>
      </x:c>
      <x:c r="F1906" s="89" t="n">
        <x:v>45614.50025462963</x:v>
      </x:c>
      <x:c r="G1906" s="89" t="n">
        <x:v>45627.50025462963</x:v>
      </x:c>
      <x:c r="H1906" s="89" t="n">
        <x:v>45615.166921296295</x:v>
      </x:c>
      <x:c r="I1906" s="89" t="n">
        <x:v>45615.83358796296</x:v>
      </x:c>
      <x:c r="J1906" s="84" t="str">
        <x:v>Média</x:v>
      </x:c>
      <x:c r="K1906" s="84" t="str">
        <x:v>Concluída</x:v>
      </x:c>
      <x:c r="L1906" s="84" t="str">
        <x:v>Vazamento</x:v>
      </x:c>
      <x:c r="M1906" s="84" t="str">
        <x:v>Falta de lubrificação</x:v>
      </x:c>
      <x:c r="N1906" s="84" t="str">
        <x:v>Componente ajustado ou substituído</x:v>
      </x:c>
      <x:c r="O1906" s="84" t="n">
        <x:v>0</x:v>
      </x:c>
      <x:c r="P1906" s="93" t="n">
        <x:v>48.79</x:v>
      </x:c>
      <x:c r="Q1906" s="93" t="n">
        <x:v>0</x:v>
      </x:c>
      <x:c r="R1906" s="91" t="n">
        <x:v>0</x:v>
      </x:c>
    </x:row>
    <x:row r="1907">
      <x:c r="A1907" s="83" t="n">
        <x:v>1906</x:v>
      </x:c>
      <x:c r="B1907" s="84" t="str">
        <x:v>OS-2025-01906</x:v>
      </x:c>
      <x:c r="C1907" s="84" t="n">
        <x:v>82</x:v>
      </x:c>
      <x:c r="D1907" s="84" t="n">
        <x:v>1</x:v>
      </x:c>
      <x:c r="E1907" s="84" t="n">
        <x:v>163</x:v>
      </x:c>
      <x:c r="F1907" s="89" t="n">
        <x:v>45903.07491898148</x:v>
      </x:c>
      <x:c r="G1907" s="89" t="n">
        <x:v>45913.07491898148</x:v>
      </x:c>
      <x:c r="H1907" s="89" t="n">
        <x:v>45905.90825231482</x:v>
      </x:c>
      <x:c r="I1907" s="89" t="n">
        <x:v>45906.44991898148</x:v>
      </x:c>
      <x:c r="J1907" s="84" t="str">
        <x:v>Alta</x:v>
      </x:c>
      <x:c r="K1907" s="84" t="str">
        <x:v>Concluída</x:v>
      </x:c>
      <x:c r="L1907" s="84" t="str">
        <x:v>Superaquecimento</x:v>
      </x:c>
      <x:c r="M1907" s="84" t="str">
        <x:v>Componente danificado</x:v>
      </x:c>
      <x:c r="N1907" s="84" t="str">
        <x:v>Componente ajustado ou substituído</x:v>
      </x:c>
      <x:c r="O1907" s="84" t="n">
        <x:v>0</x:v>
      </x:c>
      <x:c r="P1907" s="93" t="n">
        <x:v>115.88</x:v>
      </x:c>
      <x:c r="Q1907" s="93" t="n">
        <x:v>9120.35</x:v>
      </x:c>
      <x:c r="R1907" s="91" t="n">
        <x:v>684.35</x:v>
      </x:c>
    </x:row>
    <x:row r="1908">
      <x:c r="A1908" s="83" t="n">
        <x:v>1907</x:v>
      </x:c>
      <x:c r="B1908" s="84" t="str">
        <x:v>OS-2025-01907</x:v>
      </x:c>
      <x:c r="C1908" s="84" t="n">
        <x:v>12</x:v>
      </x:c>
      <x:c r="D1908" s="84" t="n">
        <x:v>1</x:v>
      </x:c>
      <x:c r="E1908" s="84" t="n">
        <x:v>24</x:v>
      </x:c>
      <x:c r="F1908" s="89" t="n">
        <x:v>45844.95379629629</x:v>
      </x:c>
      <x:c r="G1908" s="89" t="n">
        <x:v>45849.95379629629</x:v>
      </x:c>
      <x:c r="H1908" s="89" t="n">
        <x:v>45847.07879629629</x:v>
      </x:c>
      <x:c r="I1908" s="89"/>
      <x:c r="J1908" s="84" t="str">
        <x:v>Crítica</x:v>
      </x:c>
      <x:c r="K1908" s="84" t="str">
        <x:v>Em execução</x:v>
      </x:c>
      <x:c r="L1908" s="84" t="str">
        <x:v>Baixa pressão</x:v>
      </x:c>
      <x:c r="M1908" s="84" t="str">
        <x:v>Falta de lubrificação</x:v>
      </x:c>
      <x:c r="N1908" s="84"/>
      <x:c r="O1908" s="84" t="n">
        <x:v>0</x:v>
      </x:c>
      <x:c r="P1908" s="93" t="n">
        <x:v>32.63</x:v>
      </x:c>
      <x:c r="Q1908" s="93" t="n">
        <x:v>366.8</x:v>
      </x:c>
      <x:c r="R1908" s="91" t="n">
        <x:v>0</x:v>
      </x:c>
    </x:row>
    <x:row r="1909">
      <x:c r="A1909" s="83" t="n">
        <x:v>1908</x:v>
      </x:c>
      <x:c r="B1909" s="84" t="str">
        <x:v>OS-2025-01908</x:v>
      </x:c>
      <x:c r="C1909" s="84" t="n">
        <x:v>72</x:v>
      </x:c>
      <x:c r="D1909" s="84" t="n">
        <x:v>5</x:v>
      </x:c>
      <x:c r="E1909" s="84" t="n">
        <x:v>144</x:v>
      </x:c>
      <x:c r="F1909" s="89" t="n">
        <x:v>45744.87850694444</x:v>
      </x:c>
      <x:c r="G1909" s="89" t="n">
        <x:v>45757.87850694444</x:v>
      </x:c>
      <x:c r="H1909" s="89" t="n">
        <x:v>45747.42017361111</x:v>
      </x:c>
      <x:c r="I1909" s="89" t="n">
        <x:v>45747.79517361111</x:v>
      </x:c>
      <x:c r="J1909" s="84" t="str">
        <x:v>Alta</x:v>
      </x:c>
      <x:c r="K1909" s="84" t="str">
        <x:v>Encerrada</x:v>
      </x:c>
      <x:c r="L1909" s="84" t="str">
        <x:v>Falha elétrica</x:v>
      </x:c>
      <x:c r="M1909" s="84" t="str">
        <x:v>Componente danificado</x:v>
      </x:c>
      <x:c r="N1909" s="84" t="str">
        <x:v>Componente ajustado ou substituído</x:v>
      </x:c>
      <x:c r="O1909" s="84" t="n">
        <x:v>0</x:v>
      </x:c>
      <x:c r="P1909" s="93" t="n">
        <x:v>627.51</x:v>
      </x:c>
      <x:c r="Q1909" s="93" t="n">
        <x:v>0</x:v>
      </x:c>
      <x:c r="R1909" s="91" t="n">
        <x:v>0</x:v>
      </x:c>
    </x:row>
    <x:row r="1910">
      <x:c r="A1910" s="83" t="n">
        <x:v>1909</x:v>
      </x:c>
      <x:c r="B1910" s="84" t="str">
        <x:v>OS-2024-01909</x:v>
      </x:c>
      <x:c r="C1910" s="84" t="n">
        <x:v>64</x:v>
      </x:c>
      <x:c r="D1910" s="84" t="n">
        <x:v>1</x:v>
      </x:c>
      <x:c r="E1910" s="84" t="n">
        <x:v>128</x:v>
      </x:c>
      <x:c r="F1910" s="89" t="n">
        <x:v>45358.245034722226</x:v>
      </x:c>
      <x:c r="G1910" s="89" t="n">
        <x:v>45366.245034722226</x:v>
      </x:c>
      <x:c r="H1910" s="89" t="n">
        <x:v>45360.41170138889</x:v>
      </x:c>
      <x:c r="I1910" s="89" t="n">
        <x:v>45360.620034722226</x:v>
      </x:c>
      <x:c r="J1910" s="84" t="str">
        <x:v>Crítica</x:v>
      </x:c>
      <x:c r="K1910" s="84" t="str">
        <x:v>Encerrada</x:v>
      </x:c>
      <x:c r="L1910" s="84" t="str">
        <x:v>Desalinhamento</x:v>
      </x:c>
      <x:c r="M1910" s="84" t="str">
        <x:v>Contaminação</x:v>
      </x:c>
      <x:c r="N1910" s="84" t="str">
        <x:v>Componente ajustado ou substituído</x:v>
      </x:c>
      <x:c r="O1910" s="84" t="n">
        <x:v>0</x:v>
      </x:c>
      <x:c r="P1910" s="93" t="n">
        <x:v>746.87</x:v>
      </x:c>
      <x:c r="Q1910" s="93" t="n">
        <x:v>11654.1</x:v>
      </x:c>
      <x:c r="R1910" s="91" t="n">
        <x:v>0</x:v>
      </x:c>
    </x:row>
    <x:row r="1911">
      <x:c r="A1911" s="83" t="n">
        <x:v>1910</x:v>
      </x:c>
      <x:c r="B1911" s="84" t="str">
        <x:v>OS-2024-01910</x:v>
      </x:c>
      <x:c r="C1911" s="84" t="n">
        <x:v>89</x:v>
      </x:c>
      <x:c r="D1911" s="84" t="n">
        <x:v>3</x:v>
      </x:c>
      <x:c r="E1911" s="84"/>
      <x:c r="F1911" s="89" t="n">
        <x:v>45467.405648148146</x:v>
      </x:c>
      <x:c r="G1911" s="89"/>
      <x:c r="H1911" s="89" t="n">
        <x:v>45468.82231481482</x:v>
      </x:c>
      <x:c r="I1911" s="89" t="n">
        <x:v>45468.905648148146</x:v>
      </x:c>
      <x:c r="J1911" s="84" t="str">
        <x:v>Baixa</x:v>
      </x:c>
      <x:c r="K1911" s="84" t="str">
        <x:v>Encerrada</x:v>
      </x:c>
      <x:c r="L1911" s="84" t="str">
        <x:v>Vazamento</x:v>
      </x:c>
      <x:c r="M1911" s="84" t="str">
        <x:v>Ajuste incorreto</x:v>
      </x:c>
      <x:c r="N1911" s="84" t="str">
        <x:v>Componente ajustado ou substituído</x:v>
      </x:c>
      <x:c r="O1911" s="84" t="n">
        <x:v>1</x:v>
      </x:c>
      <x:c r="P1911" s="93" t="n">
        <x:v>490.97</x:v>
      </x:c>
      <x:c r="Q1911" s="93" t="n">
        <x:v>1817.34</x:v>
      </x:c>
      <x:c r="R1911" s="91" t="n">
        <x:v>0</x:v>
      </x:c>
    </x:row>
    <x:row r="1912">
      <x:c r="A1912" s="83" t="n">
        <x:v>1911</x:v>
      </x:c>
      <x:c r="B1912" s="84" t="str">
        <x:v>OS-2024-01911</x:v>
      </x:c>
      <x:c r="C1912" s="84" t="n">
        <x:v>70</x:v>
      </x:c>
      <x:c r="D1912" s="84" t="n">
        <x:v>3</x:v>
      </x:c>
      <x:c r="E1912" s="84"/>
      <x:c r="F1912" s="89" t="n">
        <x:v>45584.0275</x:v>
      </x:c>
      <x:c r="G1912" s="89"/>
      <x:c r="H1912" s="89" t="n">
        <x:v>45584.6525</x:v>
      </x:c>
      <x:c r="I1912" s="89" t="n">
        <x:v>45585.31916666667</x:v>
      </x:c>
      <x:c r="J1912" s="84" t="str">
        <x:v>Baixa</x:v>
      </x:c>
      <x:c r="K1912" s="84" t="str">
        <x:v>Encerrada</x:v>
      </x:c>
      <x:c r="L1912" s="84" t="str">
        <x:v>Vazamento</x:v>
      </x:c>
      <x:c r="M1912" s="84" t="str">
        <x:v>Componente danificado</x:v>
      </x:c>
      <x:c r="N1912" s="84" t="str">
        <x:v>Componente ajustado ou substituído</x:v>
      </x:c>
      <x:c r="O1912" s="84" t="n">
        <x:v>0</x:v>
      </x:c>
      <x:c r="P1912" s="93" t="n">
        <x:v>255.52</x:v>
      </x:c>
      <x:c r="Q1912" s="93" t="n">
        <x:v>0</x:v>
      </x:c>
      <x:c r="R1912" s="91" t="n">
        <x:v>0</x:v>
      </x:c>
    </x:row>
    <x:row r="1913">
      <x:c r="A1913" s="83" t="n">
        <x:v>1912</x:v>
      </x:c>
      <x:c r="B1913" s="84" t="str">
        <x:v>OS-2023-01912</x:v>
      </x:c>
      <x:c r="C1913" s="84" t="n">
        <x:v>79</x:v>
      </x:c>
      <x:c r="D1913" s="84" t="n">
        <x:v>5</x:v>
      </x:c>
      <x:c r="E1913" s="84" t="n">
        <x:v>158</x:v>
      </x:c>
      <x:c r="F1913" s="89" t="n">
        <x:v>45153.83994212963</x:v>
      </x:c>
      <x:c r="G1913" s="89" t="n">
        <x:v>45165.83994212963</x:v>
      </x:c>
      <x:c r="H1913" s="89"/>
      <x:c r="I1913" s="89"/>
      <x:c r="J1913" s="84" t="str">
        <x:v>Alta</x:v>
      </x:c>
      <x:c r="K1913" s="84" t="str">
        <x:v>Planejada</x:v>
      </x:c>
      <x:c r="L1913" s="84" t="str">
        <x:v>Desalinhamento</x:v>
      </x:c>
      <x:c r="M1913" s="84"/>
      <x:c r="N1913" s="84"/>
      <x:c r="O1913" s="84" t="n">
        <x:v>0</x:v>
      </x:c>
      <x:c r="P1913" s="93" t="n">
        <x:v>0</x:v>
      </x:c>
      <x:c r="Q1913" s="93" t="n">
        <x:v>0</x:v>
      </x:c>
      <x:c r="R1913" s="91" t="n">
        <x:v>0</x:v>
      </x:c>
    </x:row>
    <x:row r="1914">
      <x:c r="A1914" s="83" t="n">
        <x:v>1913</x:v>
      </x:c>
      <x:c r="B1914" s="84" t="str">
        <x:v>OS-2024-01913</x:v>
      </x:c>
      <x:c r="C1914" s="84" t="n">
        <x:v>3</x:v>
      </x:c>
      <x:c r="D1914" s="84" t="n">
        <x:v>2</x:v>
      </x:c>
      <x:c r="E1914" s="84"/>
      <x:c r="F1914" s="89" t="n">
        <x:v>45411.021319444444</x:v>
      </x:c>
      <x:c r="G1914" s="89" t="n">
        <x:v>45423.021319444444</x:v>
      </x:c>
      <x:c r="H1914" s="89" t="n">
        <x:v>45411.646319444444</x:v>
      </x:c>
      <x:c r="I1914" s="89" t="n">
        <x:v>45412.396319444444</x:v>
      </x:c>
      <x:c r="J1914" s="84" t="str">
        <x:v>Baixa</x:v>
      </x:c>
      <x:c r="K1914" s="84" t="str">
        <x:v>Encerrada</x:v>
      </x:c>
      <x:c r="L1914" s="84" t="str">
        <x:v>Alarme intermitente</x:v>
      </x:c>
      <x:c r="M1914" s="84" t="str">
        <x:v>Conexão frouxa</x:v>
      </x:c>
      <x:c r="N1914" s="84" t="str">
        <x:v>Componente ajustado ou substituído</x:v>
      </x:c>
      <x:c r="O1914" s="84" t="n">
        <x:v>0</x:v>
      </x:c>
      <x:c r="P1914" s="93" t="n">
        <x:v>206.67</x:v>
      </x:c>
      <x:c r="Q1914" s="93" t="n">
        <x:v>0</x:v>
      </x:c>
      <x:c r="R1914" s="91" t="n">
        <x:v>2526.01</x:v>
      </x:c>
    </x:row>
    <x:row r="1915">
      <x:c r="A1915" s="83" t="n">
        <x:v>1914</x:v>
      </x:c>
      <x:c r="B1915" s="84" t="str">
        <x:v>OS-2023-01914</x:v>
      </x:c>
      <x:c r="C1915" s="84" t="n">
        <x:v>82</x:v>
      </x:c>
      <x:c r="D1915" s="84" t="n">
        <x:v>3</x:v>
      </x:c>
      <x:c r="E1915" s="84"/>
      <x:c r="F1915" s="89" t="n">
        <x:v>45123.26490740741</x:v>
      </x:c>
      <x:c r="G1915" s="89"/>
      <x:c r="H1915" s="89" t="n">
        <x:v>45125.68157407407</x:v>
      </x:c>
      <x:c r="I1915" s="89"/>
      <x:c r="J1915" s="84" t="str">
        <x:v>Alta</x:v>
      </x:c>
      <x:c r="K1915" s="84" t="str">
        <x:v>Em execução</x:v>
      </x:c>
      <x:c r="L1915" s="84" t="str">
        <x:v>Vazamento</x:v>
      </x:c>
      <x:c r="M1915" s="84" t="str">
        <x:v>Ajuste incorreto</x:v>
      </x:c>
      <x:c r="N1915" s="84"/>
      <x:c r="O1915" s="84" t="n">
        <x:v>0</x:v>
      </x:c>
      <x:c r="P1915" s="93" t="n">
        <x:v>266.2</x:v>
      </x:c>
      <x:c r="Q1915" s="93" t="n">
        <x:v>8430.71</x:v>
      </x:c>
      <x:c r="R1915" s="91" t="n">
        <x:v>0</x:v>
      </x:c>
    </x:row>
    <x:row r="1916">
      <x:c r="A1916" s="83" t="n">
        <x:v>1915</x:v>
      </x:c>
      <x:c r="B1916" s="84" t="str">
        <x:v>OS-2023-01915</x:v>
      </x:c>
      <x:c r="C1916" s="84" t="n">
        <x:v>72</x:v>
      </x:c>
      <x:c r="D1916" s="84" t="n">
        <x:v>7</x:v>
      </x:c>
      <x:c r="E1916" s="84" t="n">
        <x:v>144</x:v>
      </x:c>
      <x:c r="F1916" s="89" t="n">
        <x:v>45187.84413194445</x:v>
      </x:c>
      <x:c r="G1916" s="89" t="n">
        <x:v>45196.84413194445</x:v>
      </x:c>
      <x:c r="H1916" s="89" t="n">
        <x:v>45190.677465277775</x:v>
      </x:c>
      <x:c r="I1916" s="89" t="n">
        <x:v>45191.38579861111</x:v>
      </x:c>
      <x:c r="J1916" s="84" t="str">
        <x:v>Baixa</x:v>
      </x:c>
      <x:c r="K1916" s="84" t="str">
        <x:v>Encerrada</x:v>
      </x:c>
      <x:c r="L1916" s="84" t="str">
        <x:v>Superaquecimento</x:v>
      </x:c>
      <x:c r="M1916" s="84" t="str">
        <x:v>Conexão frouxa</x:v>
      </x:c>
      <x:c r="N1916" s="84" t="str">
        <x:v>Componente ajustado ou substituído</x:v>
      </x:c>
      <x:c r="O1916" s="84" t="n">
        <x:v>0</x:v>
      </x:c>
      <x:c r="P1916" s="93" t="n">
        <x:v>535.69</x:v>
      </x:c>
      <x:c r="Q1916" s="93" t="n">
        <x:v>0</x:v>
      </x:c>
      <x:c r="R1916" s="91" t="n">
        <x:v>0</x:v>
      </x:c>
    </x:row>
    <x:row r="1917">
      <x:c r="A1917" s="83" t="n">
        <x:v>1916</x:v>
      </x:c>
      <x:c r="B1917" s="84" t="str">
        <x:v>OS-2024-01916</x:v>
      </x:c>
      <x:c r="C1917" s="84" t="n">
        <x:v>64</x:v>
      </x:c>
      <x:c r="D1917" s="84" t="n">
        <x:v>5</x:v>
      </x:c>
      <x:c r="E1917" s="84" t="n">
        <x:v>127</x:v>
      </x:c>
      <x:c r="F1917" s="89" t="n">
        <x:v>45581.36898148148</x:v>
      </x:c>
      <x:c r="G1917" s="89" t="n">
        <x:v>45581.36898148148</x:v>
      </x:c>
      <x:c r="H1917" s="89"/>
      <x:c r="I1917" s="89"/>
      <x:c r="J1917" s="84" t="str">
        <x:v>Crítica</x:v>
      </x:c>
      <x:c r="K1917" s="84" t="str">
        <x:v>Planejada</x:v>
      </x:c>
      <x:c r="L1917" s="84" t="str">
        <x:v>Superaquecimento</x:v>
      </x:c>
      <x:c r="M1917" s="84"/>
      <x:c r="N1917" s="84"/>
      <x:c r="O1917" s="84" t="n">
        <x:v>0</x:v>
      </x:c>
      <x:c r="P1917" s="93" t="n">
        <x:v>0</x:v>
      </x:c>
      <x:c r="Q1917" s="93" t="n">
        <x:v>0</x:v>
      </x:c>
      <x:c r="R1917" s="91" t="n">
        <x:v>0</x:v>
      </x:c>
    </x:row>
    <x:row r="1918">
      <x:c r="A1918" s="83" t="n">
        <x:v>1917</x:v>
      </x:c>
      <x:c r="B1918" s="84" t="str">
        <x:v>OS-2023-01917</x:v>
      </x:c>
      <x:c r="C1918" s="84" t="n">
        <x:v>65</x:v>
      </x:c>
      <x:c r="D1918" s="84" t="n">
        <x:v>3</x:v>
      </x:c>
      <x:c r="E1918" s="84"/>
      <x:c r="F1918" s="89" t="n">
        <x:v>45038.87395833333</x:v>
      </x:c>
      <x:c r="G1918" s="89"/>
      <x:c r="H1918" s="89" t="n">
        <x:v>45041.37395833333</x:v>
      </x:c>
      <x:c r="I1918" s="89" t="n">
        <x:v>45041.457291666666</x:v>
      </x:c>
      <x:c r="J1918" s="84" t="str">
        <x:v>Crítica</x:v>
      </x:c>
      <x:c r="K1918" s="84" t="str">
        <x:v>Encerrada</x:v>
      </x:c>
      <x:c r="L1918" s="84" t="str">
        <x:v>Ruído anormal</x:v>
      </x:c>
      <x:c r="M1918" s="84" t="str">
        <x:v>Falta de lubrificação</x:v>
      </x:c>
      <x:c r="N1918" s="84" t="str">
        <x:v>Componente ajustado ou substituído</x:v>
      </x:c>
      <x:c r="O1918" s="84" t="n">
        <x:v>0</x:v>
      </x:c>
      <x:c r="P1918" s="93" t="n">
        <x:v>39.28</x:v>
      </x:c>
      <x:c r="Q1918" s="93" t="n">
        <x:v>7412.46</x:v>
      </x:c>
      <x:c r="R1918" s="91" t="n">
        <x:v>0</x:v>
      </x:c>
    </x:row>
    <x:row r="1919">
      <x:c r="A1919" s="83" t="n">
        <x:v>1918</x:v>
      </x:c>
      <x:c r="B1919" s="84" t="str">
        <x:v>OS-2025-01918</x:v>
      </x:c>
      <x:c r="C1919" s="84" t="n">
        <x:v>53</x:v>
      </x:c>
      <x:c r="D1919" s="84" t="n">
        <x:v>2</x:v>
      </x:c>
      <x:c r="E1919" s="84"/>
      <x:c r="F1919" s="89" t="n">
        <x:v>45907.357766203706</x:v>
      </x:c>
      <x:c r="G1919" s="89" t="n">
        <x:v>45919.357766203706</x:v>
      </x:c>
      <x:c r="H1919" s="89" t="n">
        <x:v>45908.107766203706</x:v>
      </x:c>
      <x:c r="I1919" s="89" t="n">
        <x:v>45908.482766203706</x:v>
      </x:c>
      <x:c r="J1919" s="84" t="str">
        <x:v>Alta</x:v>
      </x:c>
      <x:c r="K1919" s="84" t="str">
        <x:v>Encerrada</x:v>
      </x:c>
      <x:c r="L1919" s="84" t="str">
        <x:v>Alarme intermitente</x:v>
      </x:c>
      <x:c r="M1919" s="84" t="str">
        <x:v>Contaminação</x:v>
      </x:c>
      <x:c r="N1919" s="84" t="str">
        <x:v>Componente ajustado ou substituído</x:v>
      </x:c>
      <x:c r="O1919" s="84" t="n">
        <x:v>0</x:v>
      </x:c>
      <x:c r="P1919" s="93" t="n">
        <x:v>109.85</x:v>
      </x:c>
      <x:c r="Q1919" s="93" t="n">
        <x:v>0</x:v>
      </x:c>
      <x:c r="R1919" s="91" t="n">
        <x:v>0</x:v>
      </x:c>
    </x:row>
    <x:row r="1920">
      <x:c r="A1920" s="83" t="n">
        <x:v>1919</x:v>
      </x:c>
      <x:c r="B1920" s="84" t="str">
        <x:v>OS-2023-01919</x:v>
      </x:c>
      <x:c r="C1920" s="84" t="n">
        <x:v>63</x:v>
      </x:c>
      <x:c r="D1920" s="84" t="n">
        <x:v>7</x:v>
      </x:c>
      <x:c r="E1920" s="84" t="n">
        <x:v>125</x:v>
      </x:c>
      <x:c r="F1920" s="89" t="n">
        <x:v>45069.8465162037</x:v>
      </x:c>
      <x:c r="G1920" s="89" t="n">
        <x:v>45072.8465162037</x:v>
      </x:c>
      <x:c r="H1920" s="89"/>
      <x:c r="I1920" s="89"/>
      <x:c r="J1920" s="84" t="str">
        <x:v>Crítica</x:v>
      </x:c>
      <x:c r="K1920" s="84" t="str">
        <x:v>Planejada</x:v>
      </x:c>
      <x:c r="L1920" s="84" t="str">
        <x:v>Falha elétrica</x:v>
      </x:c>
      <x:c r="M1920" s="84"/>
      <x:c r="N1920" s="84"/>
      <x:c r="O1920" s="84" t="n">
        <x:v>0</x:v>
      </x:c>
      <x:c r="P1920" s="93" t="n">
        <x:v>0</x:v>
      </x:c>
      <x:c r="Q1920" s="93" t="n">
        <x:v>0</x:v>
      </x:c>
      <x:c r="R1920" s="91" t="n">
        <x:v>0</x:v>
      </x:c>
    </x:row>
    <x:row r="1921">
      <x:c r="A1921" s="83" t="n">
        <x:v>1920</x:v>
      </x:c>
      <x:c r="B1921" s="84" t="str">
        <x:v>OS-2025-01920</x:v>
      </x:c>
      <x:c r="C1921" s="84" t="n">
        <x:v>59</x:v>
      </x:c>
      <x:c r="D1921" s="84" t="n">
        <x:v>5</x:v>
      </x:c>
      <x:c r="E1921" s="84" t="n">
        <x:v>117</x:v>
      </x:c>
      <x:c r="F1921" s="89" t="n">
        <x:v>45866.10833333333</x:v>
      </x:c>
      <x:c r="G1921" s="89" t="n">
        <x:v>45881.10833333333</x:v>
      </x:c>
      <x:c r="H1921" s="89" t="n">
        <x:v>45868.316666666666</x:v>
      </x:c>
      <x:c r="I1921" s="89" t="n">
        <x:v>45868.98333333333</x:v>
      </x:c>
      <x:c r="J1921" s="84" t="str">
        <x:v>Baixa</x:v>
      </x:c>
      <x:c r="K1921" s="84" t="str">
        <x:v>Encerrada</x:v>
      </x:c>
      <x:c r="L1921" s="84" t="str">
        <x:v>Alarme intermitente</x:v>
      </x:c>
      <x:c r="M1921" s="84" t="str">
        <x:v>Componente danificado</x:v>
      </x:c>
      <x:c r="N1921" s="84" t="str">
        <x:v>Componente ajustado ou substituído</x:v>
      </x:c>
      <x:c r="O1921" s="84" t="n">
        <x:v>0</x:v>
      </x:c>
      <x:c r="P1921" s="93" t="n">
        <x:v>622.23</x:v>
      </x:c>
      <x:c r="Q1921" s="93" t="n">
        <x:v>1355.2</x:v>
      </x:c>
      <x:c r="R1921" s="91" t="n">
        <x:v>0</x:v>
      </x:c>
    </x:row>
    <x:row r="1922">
      <x:c r="A1922" s="83" t="n">
        <x:v>1921</x:v>
      </x:c>
      <x:c r="B1922" s="84" t="str">
        <x:v>OS-2023-01921</x:v>
      </x:c>
      <x:c r="C1922" s="84" t="n">
        <x:v>20</x:v>
      </x:c>
      <x:c r="D1922" s="84" t="n">
        <x:v>7</x:v>
      </x:c>
      <x:c r="E1922" s="84" t="n">
        <x:v>39</x:v>
      </x:c>
      <x:c r="F1922" s="89" t="n">
        <x:v>45219.634050925924</x:v>
      </x:c>
      <x:c r="G1922" s="89" t="n">
        <x:v>45219.634050925924</x:v>
      </x:c>
      <x:c r="H1922" s="89" t="n">
        <x:v>45221.71738425926</x:v>
      </x:c>
      <x:c r="I1922" s="89" t="n">
        <x:v>45221.96738425926</x:v>
      </x:c>
      <x:c r="J1922" s="84" t="str">
        <x:v>Média</x:v>
      </x:c>
      <x:c r="K1922" s="84" t="str">
        <x:v>Encerrada</x:v>
      </x:c>
      <x:c r="L1922" s="84" t="str">
        <x:v>Falha elétrica</x:v>
      </x:c>
      <x:c r="M1922" s="84" t="str">
        <x:v>Componente danificado</x:v>
      </x:c>
      <x:c r="N1922" s="84" t="str">
        <x:v>Componente ajustado ou substituído</x:v>
      </x:c>
      <x:c r="O1922" s="84" t="n">
        <x:v>0</x:v>
      </x:c>
      <x:c r="P1922" s="93" t="n">
        <x:v>425.83</x:v>
      </x:c>
      <x:c r="Q1922" s="93" t="n">
        <x:v>0</x:v>
      </x:c>
      <x:c r="R1922" s="91" t="n">
        <x:v>937.82</x:v>
      </x:c>
    </x:row>
    <x:row r="1923">
      <x:c r="A1923" s="83" t="n">
        <x:v>1922</x:v>
      </x:c>
      <x:c r="B1923" s="84" t="str">
        <x:v>OS-2025-01922</x:v>
      </x:c>
      <x:c r="C1923" s="84" t="n">
        <x:v>15</x:v>
      </x:c>
      <x:c r="D1923" s="84" t="n">
        <x:v>3</x:v>
      </x:c>
      <x:c r="E1923" s="84"/>
      <x:c r="F1923" s="89" t="n">
        <x:v>45816.02278935185</x:v>
      </x:c>
      <x:c r="G1923" s="89"/>
      <x:c r="H1923" s="89" t="n">
        <x:v>45817.73112268518</x:v>
      </x:c>
      <x:c r="I1923" s="89" t="n">
        <x:v>45818.14778935185</x:v>
      </x:c>
      <x:c r="J1923" s="84" t="str">
        <x:v>Baixa</x:v>
      </x:c>
      <x:c r="K1923" s="84" t="str">
        <x:v>Concluída</x:v>
      </x:c>
      <x:c r="L1923" s="84" t="str">
        <x:v>Alarme intermitente</x:v>
      </x:c>
      <x:c r="M1923" s="84" t="str">
        <x:v>Falta de lubrificação</x:v>
      </x:c>
      <x:c r="N1923" s="84" t="str">
        <x:v>Componente ajustado ou substituído</x:v>
      </x:c>
      <x:c r="O1923" s="84" t="n">
        <x:v>0</x:v>
      </x:c>
      <x:c r="P1923" s="93" t="n">
        <x:v>628.9</x:v>
      </x:c>
      <x:c r="Q1923" s="93" t="n">
        <x:v>3156.28</x:v>
      </x:c>
      <x:c r="R1923" s="91" t="n">
        <x:v>6546.46</x:v>
      </x:c>
    </x:row>
    <x:row r="1924">
      <x:c r="A1924" s="83" t="n">
        <x:v>1923</x:v>
      </x:c>
      <x:c r="B1924" s="84" t="str">
        <x:v>OS-2024-01923</x:v>
      </x:c>
      <x:c r="C1924" s="84" t="n">
        <x:v>27</x:v>
      </x:c>
      <x:c r="D1924" s="84" t="n">
        <x:v>4</x:v>
      </x:c>
      <x:c r="E1924" s="84"/>
      <x:c r="F1924" s="89" t="n">
        <x:v>45596.07934027778</x:v>
      </x:c>
      <x:c r="G1924" s="89" t="n">
        <x:v>45598.07934027778</x:v>
      </x:c>
      <x:c r="H1924" s="89" t="n">
        <x:v>45598.95434027778</x:v>
      </x:c>
      <x:c r="I1924" s="89" t="n">
        <x:v>45599.74600694444</x:v>
      </x:c>
      <x:c r="J1924" s="84" t="str">
        <x:v>Crítica</x:v>
      </x:c>
      <x:c r="K1924" s="84" t="str">
        <x:v>Encerrada</x:v>
      </x:c>
      <x:c r="L1924" s="84" t="str">
        <x:v>Vazamento</x:v>
      </x:c>
      <x:c r="M1924" s="84" t="str">
        <x:v>Componente danificado</x:v>
      </x:c>
      <x:c r="N1924" s="84" t="str">
        <x:v>Componente ajustado ou substituído</x:v>
      </x:c>
      <x:c r="O1924" s="84" t="n">
        <x:v>0</x:v>
      </x:c>
      <x:c r="P1924" s="93" t="n">
        <x:v>262.07</x:v>
      </x:c>
      <x:c r="Q1924" s="93" t="n">
        <x:v>3823.09</x:v>
      </x:c>
      <x:c r="R1924" s="91" t="n">
        <x:v>0</x:v>
      </x:c>
    </x:row>
    <x:row r="1925">
      <x:c r="A1925" s="83" t="n">
        <x:v>1924</x:v>
      </x:c>
      <x:c r="B1925" s="84" t="str">
        <x:v>OS-2025-01924</x:v>
      </x:c>
      <x:c r="C1925" s="84" t="n">
        <x:v>6</x:v>
      </x:c>
      <x:c r="D1925" s="84" t="n">
        <x:v>1</x:v>
      </x:c>
      <x:c r="E1925" s="84" t="n">
        <x:v>12</x:v>
      </x:c>
      <x:c r="F1925" s="89" t="n">
        <x:v>46009.430972222224</x:v>
      </x:c>
      <x:c r="G1925" s="89" t="n">
        <x:v>46016.430972222224</x:v>
      </x:c>
      <x:c r="H1925" s="89" t="n">
        <x:v>46009.76430555555</x:v>
      </x:c>
      <x:c r="I1925" s="89" t="n">
        <x:v>46010.51430555555</x:v>
      </x:c>
      <x:c r="J1925" s="84" t="str">
        <x:v>Média</x:v>
      </x:c>
      <x:c r="K1925" s="84" t="str">
        <x:v>Concluída</x:v>
      </x:c>
      <x:c r="L1925" s="84" t="str">
        <x:v>Superaquecimento</x:v>
      </x:c>
      <x:c r="M1925" s="84" t="str">
        <x:v>Contaminação</x:v>
      </x:c>
      <x:c r="N1925" s="84" t="str">
        <x:v>Componente ajustado ou substituído</x:v>
      </x:c>
      <x:c r="O1925" s="84" t="n">
        <x:v>0</x:v>
      </x:c>
      <x:c r="P1925" s="93" t="n">
        <x:v>24.15</x:v>
      </x:c>
      <x:c r="Q1925" s="93" t="n">
        <x:v>8448.23</x:v>
      </x:c>
      <x:c r="R1925" s="91" t="n">
        <x:v>13858.48</x:v>
      </x:c>
    </x:row>
    <x:row r="1926">
      <x:c r="A1926" s="83" t="n">
        <x:v>1925</x:v>
      </x:c>
      <x:c r="B1926" s="84" t="str">
        <x:v>OS-2023-01925</x:v>
      </x:c>
      <x:c r="C1926" s="84" t="n">
        <x:v>89</x:v>
      </x:c>
      <x:c r="D1926" s="84" t="n">
        <x:v>1</x:v>
      </x:c>
      <x:c r="E1926" s="84" t="n">
        <x:v>178</x:v>
      </x:c>
      <x:c r="F1926" s="89" t="n">
        <x:v>44979.648310185185</x:v>
      </x:c>
      <x:c r="G1926" s="89" t="n">
        <x:v>44981.648310185185</x:v>
      </x:c>
      <x:c r="H1926" s="89" t="n">
        <x:v>44982.148310185185</x:v>
      </x:c>
      <x:c r="I1926" s="89" t="n">
        <x:v>44982.35664351852</x:v>
      </x:c>
      <x:c r="J1926" s="84" t="str">
        <x:v>Alta</x:v>
      </x:c>
      <x:c r="K1926" s="84" t="str">
        <x:v>Encerrada</x:v>
      </x:c>
      <x:c r="L1926" s="84" t="str">
        <x:v>Ruído anormal</x:v>
      </x:c>
      <x:c r="M1926" s="84" t="str">
        <x:v>Desgaste natural</x:v>
      </x:c>
      <x:c r="N1926" s="84" t="str">
        <x:v>Componente ajustado ou substituído</x:v>
      </x:c>
      <x:c r="O1926" s="84" t="n">
        <x:v>0</x:v>
      </x:c>
      <x:c r="P1926" s="93" t="n">
        <x:v>603.76</x:v>
      </x:c>
      <x:c r="Q1926" s="93" t="n">
        <x:v>0</x:v>
      </x:c>
      <x:c r="R1926" s="91" t="n">
        <x:v>0</x:v>
      </x:c>
    </x:row>
    <x:row r="1927">
      <x:c r="A1927" s="83" t="n">
        <x:v>1926</x:v>
      </x:c>
      <x:c r="B1927" s="84" t="str">
        <x:v>OS-2025-01926</x:v>
      </x:c>
      <x:c r="C1927" s="84" t="n">
        <x:v>6</x:v>
      </x:c>
      <x:c r="D1927" s="84" t="n">
        <x:v>3</x:v>
      </x:c>
      <x:c r="E1927" s="84"/>
      <x:c r="F1927" s="89" t="n">
        <x:v>45772.55509259259</x:v>
      </x:c>
      <x:c r="G1927" s="89"/>
      <x:c r="H1927" s="89" t="n">
        <x:v>45773.38842592593</x:v>
      </x:c>
      <x:c r="I1927" s="89" t="n">
        <x:v>45773.84675925926</x:v>
      </x:c>
      <x:c r="J1927" s="84" t="str">
        <x:v>Baixa</x:v>
      </x:c>
      <x:c r="K1927" s="84" t="str">
        <x:v>Encerrada</x:v>
      </x:c>
      <x:c r="L1927" s="84" t="str">
        <x:v>Ruído anormal</x:v>
      </x:c>
      <x:c r="M1927" s="84" t="str">
        <x:v>Falta de lubrificação</x:v>
      </x:c>
      <x:c r="N1927" s="84" t="str">
        <x:v>Componente ajustado ou substituído</x:v>
      </x:c>
      <x:c r="O1927" s="84" t="n">
        <x:v>0</x:v>
      </x:c>
      <x:c r="P1927" s="93" t="n">
        <x:v>273.67</x:v>
      </x:c>
      <x:c r="Q1927" s="93" t="n">
        <x:v>2159.43</x:v>
      </x:c>
      <x:c r="R1927" s="91" t="n">
        <x:v>0</x:v>
      </x:c>
    </x:row>
    <x:row r="1928">
      <x:c r="A1928" s="83" t="n">
        <x:v>1927</x:v>
      </x:c>
      <x:c r="B1928" s="84" t="str">
        <x:v>OS-2025-01927</x:v>
      </x:c>
      <x:c r="C1928" s="84" t="n">
        <x:v>79</x:v>
      </x:c>
      <x:c r="D1928" s="84" t="n">
        <x:v>8</x:v>
      </x:c>
      <x:c r="E1928" s="84"/>
      <x:c r="F1928" s="89" t="n">
        <x:v>45924.18612268518</x:v>
      </x:c>
      <x:c r="G1928" s="89" t="n">
        <x:v>45932.18612268518</x:v>
      </x:c>
      <x:c r="H1928" s="89" t="n">
        <x:v>45926.977789351855</x:v>
      </x:c>
      <x:c r="I1928" s="89" t="n">
        <x:v>45927.76945601852</x:v>
      </x:c>
      <x:c r="J1928" s="84" t="str">
        <x:v>Média</x:v>
      </x:c>
      <x:c r="K1928" s="84" t="str">
        <x:v>Encerrada</x:v>
      </x:c>
      <x:c r="L1928" s="84" t="str">
        <x:v>Alarme intermitente</x:v>
      </x:c>
      <x:c r="M1928" s="84" t="str">
        <x:v>Falta de lubrificação</x:v>
      </x:c>
      <x:c r="N1928" s="84" t="str">
        <x:v>Componente ajustado ou substituído</x:v>
      </x:c>
      <x:c r="O1928" s="84" t="n">
        <x:v>0</x:v>
      </x:c>
      <x:c r="P1928" s="93" t="n">
        <x:v>117.36</x:v>
      </x:c>
      <x:c r="Q1928" s="93" t="n">
        <x:v>9920.61</x:v>
      </x:c>
      <x:c r="R1928" s="91" t="n">
        <x:v>695.51</x:v>
      </x:c>
    </x:row>
    <x:row r="1929">
      <x:c r="A1929" s="83" t="n">
        <x:v>1928</x:v>
      </x:c>
      <x:c r="B1929" s="84" t="str">
        <x:v>OS-2023-01928</x:v>
      </x:c>
      <x:c r="C1929" s="84" t="n">
        <x:v>5</x:v>
      </x:c>
      <x:c r="D1929" s="84" t="n">
        <x:v>7</x:v>
      </x:c>
      <x:c r="E1929" s="84" t="n">
        <x:v>10</x:v>
      </x:c>
      <x:c r="F1929" s="89" t="n">
        <x:v>45082.18556712963</x:v>
      </x:c>
      <x:c r="G1929" s="89" t="n">
        <x:v>45091.18556712963</x:v>
      </x:c>
      <x:c r="H1929" s="89" t="n">
        <x:v>45083.22723379629</x:v>
      </x:c>
      <x:c r="I1929" s="89" t="n">
        <x:v>45083.268900462965</x:v>
      </x:c>
      <x:c r="J1929" s="84" t="str">
        <x:v>Crítica</x:v>
      </x:c>
      <x:c r="K1929" s="84" t="str">
        <x:v>Encerrada</x:v>
      </x:c>
      <x:c r="L1929" s="84" t="str">
        <x:v>Desalinhamento</x:v>
      </x:c>
      <x:c r="M1929" s="84" t="str">
        <x:v>Conexão frouxa</x:v>
      </x:c>
      <x:c r="N1929" s="84" t="str">
        <x:v>Componente ajustado ou substituído</x:v>
      </x:c>
      <x:c r="O1929" s="84" t="n">
        <x:v>0</x:v>
      </x:c>
      <x:c r="P1929" s="93" t="n">
        <x:v>282.72</x:v>
      </x:c>
      <x:c r="Q1929" s="93" t="n">
        <x:v>0</x:v>
      </x:c>
      <x:c r="R1929" s="91" t="n">
        <x:v>0</x:v>
      </x:c>
    </x:row>
    <x:row r="1930">
      <x:c r="A1930" s="83" t="n">
        <x:v>1929</x:v>
      </x:c>
      <x:c r="B1930" s="84" t="str">
        <x:v>OS-2023-01929</x:v>
      </x:c>
      <x:c r="C1930" s="84" t="n">
        <x:v>55</x:v>
      </x:c>
      <x:c r="D1930" s="84" t="n">
        <x:v>1</x:v>
      </x:c>
      <x:c r="E1930" s="84" t="n">
        <x:v>110</x:v>
      </x:c>
      <x:c r="F1930" s="89" t="n">
        <x:v>45046.82130787037</x:v>
      </x:c>
      <x:c r="G1930" s="89" t="n">
        <x:v>45059.82130787037</x:v>
      </x:c>
      <x:c r="H1930" s="89" t="n">
        <x:v>45048.612974537034</x:v>
      </x:c>
      <x:c r="I1930" s="89" t="n">
        <x:v>45049.07130787037</x:v>
      </x:c>
      <x:c r="J1930" s="84" t="str">
        <x:v>Alta</x:v>
      </x:c>
      <x:c r="K1930" s="84" t="str">
        <x:v>Encerrada</x:v>
      </x:c>
      <x:c r="L1930" s="84" t="str">
        <x:v>Vazamento</x:v>
      </x:c>
      <x:c r="M1930" s="84" t="str">
        <x:v>Ajuste incorreto</x:v>
      </x:c>
      <x:c r="N1930" s="84" t="str">
        <x:v>Componente ajustado ou substituído</x:v>
      </x:c>
      <x:c r="O1930" s="84" t="n">
        <x:v>0</x:v>
      </x:c>
      <x:c r="P1930" s="93" t="n">
        <x:v>220.8</x:v>
      </x:c>
      <x:c r="Q1930" s="93" t="n">
        <x:v>4938.44</x:v>
      </x:c>
      <x:c r="R1930" s="91" t="n">
        <x:v>0</x:v>
      </x:c>
    </x:row>
    <x:row r="1931">
      <x:c r="A1931" s="83" t="n">
        <x:v>1930</x:v>
      </x:c>
      <x:c r="B1931" s="84" t="str">
        <x:v>OS-2023-01930</x:v>
      </x:c>
      <x:c r="C1931" s="84" t="n">
        <x:v>42</x:v>
      </x:c>
      <x:c r="D1931" s="84" t="n">
        <x:v>9</x:v>
      </x:c>
      <x:c r="E1931" s="84"/>
      <x:c r="F1931" s="89" t="n">
        <x:v>45217.725486111114</x:v>
      </x:c>
      <x:c r="G1931" s="89" t="n">
        <x:v>45227.725486111114</x:v>
      </x:c>
      <x:c r="H1931" s="89" t="n">
        <x:v>45218.350486111114</x:v>
      </x:c>
      <x:c r="I1931" s="89" t="n">
        <x:v>45219.14215277778</x:v>
      </x:c>
      <x:c r="J1931" s="84" t="str">
        <x:v>Crítica</x:v>
      </x:c>
      <x:c r="K1931" s="84" t="str">
        <x:v>Concluída</x:v>
      </x:c>
      <x:c r="L1931" s="84" t="str">
        <x:v>Ruído anormal</x:v>
      </x:c>
      <x:c r="M1931" s="84" t="str">
        <x:v>Falta de lubrificação</x:v>
      </x:c>
      <x:c r="N1931" s="84" t="str">
        <x:v>Componente ajustado ou substituído</x:v>
      </x:c>
      <x:c r="O1931" s="84" t="n">
        <x:v>0</x:v>
      </x:c>
      <x:c r="P1931" s="93" t="n">
        <x:v>163.09</x:v>
      </x:c>
      <x:c r="Q1931" s="93" t="n">
        <x:v>4339.26</x:v>
      </x:c>
      <x:c r="R1931" s="91" t="n">
        <x:v>0</x:v>
      </x:c>
    </x:row>
    <x:row r="1932">
      <x:c r="A1932" s="83" t="n">
        <x:v>1931</x:v>
      </x:c>
      <x:c r="B1932" s="84" t="str">
        <x:v>OS-2023-01931</x:v>
      </x:c>
      <x:c r="C1932" s="84" t="n">
        <x:v>38</x:v>
      </x:c>
      <x:c r="D1932" s="84" t="n">
        <x:v>4</x:v>
      </x:c>
      <x:c r="E1932" s="84"/>
      <x:c r="F1932" s="89" t="n">
        <x:v>45135.37509259259</x:v>
      </x:c>
      <x:c r="G1932" s="89" t="n">
        <x:v>45136.37509259259</x:v>
      </x:c>
      <x:c r="H1932" s="89" t="n">
        <x:v>45135.62509259259</x:v>
      </x:c>
      <x:c r="I1932" s="89" t="n">
        <x:v>45135.91675925926</x:v>
      </x:c>
      <x:c r="J1932" s="84" t="str">
        <x:v>Crítica</x:v>
      </x:c>
      <x:c r="K1932" s="84" t="str">
        <x:v>Encerrada</x:v>
      </x:c>
      <x:c r="L1932" s="84" t="str">
        <x:v>Vazamento</x:v>
      </x:c>
      <x:c r="M1932" s="84" t="str">
        <x:v>Falta de lubrificação</x:v>
      </x:c>
      <x:c r="N1932" s="84" t="str">
        <x:v>Componente ajustado ou substituído</x:v>
      </x:c>
      <x:c r="O1932" s="84" t="n">
        <x:v>0</x:v>
      </x:c>
      <x:c r="P1932" s="93" t="n">
        <x:v>332.13</x:v>
      </x:c>
      <x:c r="Q1932" s="93" t="n">
        <x:v>0</x:v>
      </x:c>
      <x:c r="R1932" s="91" t="n">
        <x:v>0</x:v>
      </x:c>
    </x:row>
    <x:row r="1933">
      <x:c r="A1933" s="83" t="n">
        <x:v>1932</x:v>
      </x:c>
      <x:c r="B1933" s="84" t="str">
        <x:v>OS-2025-01932</x:v>
      </x:c>
      <x:c r="C1933" s="84" t="n">
        <x:v>62</x:v>
      </x:c>
      <x:c r="D1933" s="84" t="n">
        <x:v>3</x:v>
      </x:c>
      <x:c r="E1933" s="84"/>
      <x:c r="F1933" s="89" t="n">
        <x:v>45767.15131944444</x:v>
      </x:c>
      <x:c r="G1933" s="89"/>
      <x:c r="H1933" s="89" t="n">
        <x:v>45770.10965277778</x:v>
      </x:c>
      <x:c r="I1933" s="89"/>
      <x:c r="J1933" s="84" t="str">
        <x:v>Baixa</x:v>
      </x:c>
      <x:c r="K1933" s="84" t="str">
        <x:v>Aguardando peça</x:v>
      </x:c>
      <x:c r="L1933" s="84" t="str">
        <x:v>Baixa pressão</x:v>
      </x:c>
      <x:c r="M1933" s="84" t="str">
        <x:v>Conexão frouxa</x:v>
      </x:c>
      <x:c r="N1933" s="84"/>
      <x:c r="O1933" s="84" t="n">
        <x:v>0</x:v>
      </x:c>
      <x:c r="P1933" s="93" t="n">
        <x:v>684.75</x:v>
      </x:c>
      <x:c r="Q1933" s="93" t="n">
        <x:v>9933.07</x:v>
      </x:c>
      <x:c r="R1933" s="91" t="n">
        <x:v>0</x:v>
      </x:c>
    </x:row>
    <x:row r="1934">
      <x:c r="A1934" s="83" t="n">
        <x:v>1933</x:v>
      </x:c>
      <x:c r="B1934" s="84" t="str">
        <x:v>OS-2024-01933</x:v>
      </x:c>
      <x:c r="C1934" s="84" t="n">
        <x:v>10</x:v>
      </x:c>
      <x:c r="D1934" s="84" t="n">
        <x:v>9</x:v>
      </x:c>
      <x:c r="E1934" s="84"/>
      <x:c r="F1934" s="89" t="n">
        <x:v>45393.73113425926</x:v>
      </x:c>
      <x:c r="G1934" s="89" t="n">
        <x:v>45399.73113425926</x:v>
      </x:c>
      <x:c r="H1934" s="89" t="n">
        <x:v>45394.689467592594</x:v>
      </x:c>
      <x:c r="I1934" s="89" t="n">
        <x:v>45395.23113425926</x:v>
      </x:c>
      <x:c r="J1934" s="84" t="str">
        <x:v>Média</x:v>
      </x:c>
      <x:c r="K1934" s="84" t="str">
        <x:v>Encerrada</x:v>
      </x:c>
      <x:c r="L1934" s="84" t="str">
        <x:v>Ruído anormal</x:v>
      </x:c>
      <x:c r="M1934" s="84" t="str">
        <x:v>Desgaste natural</x:v>
      </x:c>
      <x:c r="N1934" s="84" t="str">
        <x:v>Componente ajustado ou substituído</x:v>
      </x:c>
      <x:c r="O1934" s="84" t="n">
        <x:v>1</x:v>
      </x:c>
      <x:c r="P1934" s="93" t="n">
        <x:v>187.71</x:v>
      </x:c>
      <x:c r="Q1934" s="93" t="n">
        <x:v>2669.9</x:v>
      </x:c>
      <x:c r="R1934" s="91" t="n">
        <x:v>0</x:v>
      </x:c>
    </x:row>
    <x:row r="1935">
      <x:c r="A1935" s="83" t="n">
        <x:v>1934</x:v>
      </x:c>
      <x:c r="B1935" s="84" t="str">
        <x:v>OS-2024-01934</x:v>
      </x:c>
      <x:c r="C1935" s="84" t="n">
        <x:v>69</x:v>
      </x:c>
      <x:c r="D1935" s="84" t="n">
        <x:v>1</x:v>
      </x:c>
      <x:c r="E1935" s="84" t="n">
        <x:v>137</x:v>
      </x:c>
      <x:c r="F1935" s="89" t="n">
        <x:v>45394.27724537037</x:v>
      </x:c>
      <x:c r="G1935" s="89" t="n">
        <x:v>45405.27724537037</x:v>
      </x:c>
      <x:c r="H1935" s="89" t="n">
        <x:v>45394.90224537037</x:v>
      </x:c>
      <x:c r="I1935" s="89" t="n">
        <x:v>45394.9855787037</x:v>
      </x:c>
      <x:c r="J1935" s="84" t="str">
        <x:v>Média</x:v>
      </x:c>
      <x:c r="K1935" s="84" t="str">
        <x:v>Encerrada</x:v>
      </x:c>
      <x:c r="L1935" s="84" t="str">
        <x:v>Baixa pressão</x:v>
      </x:c>
      <x:c r="M1935" s="84" t="str">
        <x:v>Contaminação</x:v>
      </x:c>
      <x:c r="N1935" s="84" t="str">
        <x:v>Componente ajustado ou substituído</x:v>
      </x:c>
      <x:c r="O1935" s="84" t="n">
        <x:v>0</x:v>
      </x:c>
      <x:c r="P1935" s="93" t="n">
        <x:v>551.24</x:v>
      </x:c>
      <x:c r="Q1935" s="93" t="n">
        <x:v>0</x:v>
      </x:c>
      <x:c r="R1935" s="91" t="n">
        <x:v>0</x:v>
      </x:c>
    </x:row>
    <x:row r="1936">
      <x:c r="A1936" s="83" t="n">
        <x:v>1935</x:v>
      </x:c>
      <x:c r="B1936" s="84" t="str">
        <x:v>OS-2024-01935</x:v>
      </x:c>
      <x:c r="C1936" s="84" t="n">
        <x:v>7</x:v>
      </x:c>
      <x:c r="D1936" s="84" t="n">
        <x:v>3</x:v>
      </x:c>
      <x:c r="E1936" s="84"/>
      <x:c r="F1936" s="89" t="n">
        <x:v>45343.97738425926</x:v>
      </x:c>
      <x:c r="G1936" s="89"/>
      <x:c r="H1936" s="89" t="n">
        <x:v>45345.01905092593</x:v>
      </x:c>
      <x:c r="I1936" s="89" t="n">
        <x:v>45345.06071759259</x:v>
      </x:c>
      <x:c r="J1936" s="84" t="str">
        <x:v>Crítica</x:v>
      </x:c>
      <x:c r="K1936" s="84" t="str">
        <x:v>Encerrada</x:v>
      </x:c>
      <x:c r="L1936" s="84" t="str">
        <x:v>Superaquecimento</x:v>
      </x:c>
      <x:c r="M1936" s="84" t="str">
        <x:v>Ajuste incorreto</x:v>
      </x:c>
      <x:c r="N1936" s="84" t="str">
        <x:v>Componente ajustado ou substituído</x:v>
      </x:c>
      <x:c r="O1936" s="84" t="n">
        <x:v>0</x:v>
      </x:c>
      <x:c r="P1936" s="93" t="n">
        <x:v>708.59</x:v>
      </x:c>
      <x:c r="Q1936" s="93" t="n">
        <x:v>9274.53</x:v>
      </x:c>
      <x:c r="R1936" s="91" t="n">
        <x:v>0</x:v>
      </x:c>
    </x:row>
    <x:row r="1937">
      <x:c r="A1937" s="83" t="n">
        <x:v>1936</x:v>
      </x:c>
      <x:c r="B1937" s="84" t="str">
        <x:v>OS-2025-01936</x:v>
      </x:c>
      <x:c r="C1937" s="84" t="n">
        <x:v>62</x:v>
      </x:c>
      <x:c r="D1937" s="84" t="n">
        <x:v>2</x:v>
      </x:c>
      <x:c r="E1937" s="84"/>
      <x:c r="F1937" s="89" t="n">
        <x:v>45730.816296296296</x:v>
      </x:c>
      <x:c r="G1937" s="89" t="n">
        <x:v>45736.816296296296</x:v>
      </x:c>
      <x:c r="H1937" s="89" t="n">
        <x:v>45731.64962962963</x:v>
      </x:c>
      <x:c r="I1937" s="89"/>
      <x:c r="J1937" s="84" t="str">
        <x:v>Alta</x:v>
      </x:c>
      <x:c r="K1937" s="84" t="str">
        <x:v>Em execução</x:v>
      </x:c>
      <x:c r="L1937" s="84" t="str">
        <x:v>Baixa pressão</x:v>
      </x:c>
      <x:c r="M1937" s="84" t="str">
        <x:v>Conexão frouxa</x:v>
      </x:c>
      <x:c r="N1937" s="84"/>
      <x:c r="O1937" s="84" t="n">
        <x:v>0</x:v>
      </x:c>
      <x:c r="P1937" s="93" t="n">
        <x:v>168.35</x:v>
      </x:c>
      <x:c r="Q1937" s="93" t="n">
        <x:v>5950.56</x:v>
      </x:c>
      <x:c r="R1937" s="91" t="n">
        <x:v>0</x:v>
      </x:c>
    </x:row>
    <x:row r="1938">
      <x:c r="A1938" s="83" t="n">
        <x:v>1937</x:v>
      </x:c>
      <x:c r="B1938" s="84" t="str">
        <x:v>OS-2023-01937</x:v>
      </x:c>
      <x:c r="C1938" s="84" t="n">
        <x:v>29</x:v>
      </x:c>
      <x:c r="D1938" s="84" t="n">
        <x:v>6</x:v>
      </x:c>
      <x:c r="E1938" s="84"/>
      <x:c r="F1938" s="89" t="n">
        <x:v>45220.17827546296</x:v>
      </x:c>
      <x:c r="G1938" s="89" t="n">
        <x:v>45232.17827546296</x:v>
      </x:c>
      <x:c r="H1938" s="89" t="n">
        <x:v>45222.511608796296</x:v>
      </x:c>
      <x:c r="I1938" s="89" t="n">
        <x:v>45222.886608796296</x:v>
      </x:c>
      <x:c r="J1938" s="84" t="str">
        <x:v>Média</x:v>
      </x:c>
      <x:c r="K1938" s="84" t="str">
        <x:v>Encerrada</x:v>
      </x:c>
      <x:c r="L1938" s="84" t="str">
        <x:v>Alarme intermitente</x:v>
      </x:c>
      <x:c r="M1938" s="84" t="str">
        <x:v>Falta de lubrificação</x:v>
      </x:c>
      <x:c r="N1938" s="84" t="str">
        <x:v>Componente ajustado ou substituído</x:v>
      </x:c>
      <x:c r="O1938" s="84" t="n">
        <x:v>0</x:v>
      </x:c>
      <x:c r="P1938" s="93" t="n">
        <x:v>657.02</x:v>
      </x:c>
      <x:c r="Q1938" s="93" t="n">
        <x:v>3977.24</x:v>
      </x:c>
      <x:c r="R1938" s="91" t="n">
        <x:v>0</x:v>
      </x:c>
    </x:row>
    <x:row r="1939">
      <x:c r="A1939" s="83" t="n">
        <x:v>1938</x:v>
      </x:c>
      <x:c r="B1939" s="84" t="str">
        <x:v>OS-2025-01938</x:v>
      </x:c>
      <x:c r="C1939" s="84" t="n">
        <x:v>50</x:v>
      </x:c>
      <x:c r="D1939" s="84" t="n">
        <x:v>3</x:v>
      </x:c>
      <x:c r="E1939" s="84"/>
      <x:c r="F1939" s="89" t="n">
        <x:v>45845.68127314815</x:v>
      </x:c>
      <x:c r="G1939" s="89"/>
      <x:c r="H1939" s="89" t="n">
        <x:v>45846.43127314815</x:v>
      </x:c>
      <x:c r="I1939" s="89" t="n">
        <x:v>45846.84793981481</x:v>
      </x:c>
      <x:c r="J1939" s="84" t="str">
        <x:v>Média</x:v>
      </x:c>
      <x:c r="K1939" s="84" t="str">
        <x:v>Encerrada</x:v>
      </x:c>
      <x:c r="L1939" s="84" t="str">
        <x:v>Superaquecimento</x:v>
      </x:c>
      <x:c r="M1939" s="84" t="str">
        <x:v>Desgaste natural</x:v>
      </x:c>
      <x:c r="N1939" s="84" t="str">
        <x:v>Componente ajustado ou substituído</x:v>
      </x:c>
      <x:c r="O1939" s="84" t="n">
        <x:v>0</x:v>
      </x:c>
      <x:c r="P1939" s="93" t="n">
        <x:v>503.29</x:v>
      </x:c>
      <x:c r="Q1939" s="93" t="n">
        <x:v>3031.81</x:v>
      </x:c>
      <x:c r="R1939" s="91" t="n">
        <x:v>0</x:v>
      </x:c>
    </x:row>
    <x:row r="1940">
      <x:c r="A1940" s="83" t="n">
        <x:v>1939</x:v>
      </x:c>
      <x:c r="B1940" s="84" t="str">
        <x:v>OS-2025-01939</x:v>
      </x:c>
      <x:c r="C1940" s="84" t="n">
        <x:v>4</x:v>
      </x:c>
      <x:c r="D1940" s="84" t="n">
        <x:v>3</x:v>
      </x:c>
      <x:c r="E1940" s="84"/>
      <x:c r="F1940" s="89" t="n">
        <x:v>45811.40462962963</x:v>
      </x:c>
      <x:c r="G1940" s="89"/>
      <x:c r="H1940" s="89" t="n">
        <x:v>45814.27962962963</x:v>
      </x:c>
      <x:c r="I1940" s="89" t="n">
        <x:v>45815.02962962963</x:v>
      </x:c>
      <x:c r="J1940" s="84" t="str">
        <x:v>Baixa</x:v>
      </x:c>
      <x:c r="K1940" s="84" t="str">
        <x:v>Encerrada</x:v>
      </x:c>
      <x:c r="L1940" s="84" t="str">
        <x:v>Baixa pressão</x:v>
      </x:c>
      <x:c r="M1940" s="84" t="str">
        <x:v>Ajuste incorreto</x:v>
      </x:c>
      <x:c r="N1940" s="84" t="str">
        <x:v>Componente ajustado ou substituído</x:v>
      </x:c>
      <x:c r="O1940" s="84" t="n">
        <x:v>0</x:v>
      </x:c>
      <x:c r="P1940" s="93" t="n">
        <x:v>692.52</x:v>
      </x:c>
      <x:c r="Q1940" s="93" t="n">
        <x:v>13960.53</x:v>
      </x:c>
      <x:c r="R1940" s="91" t="n">
        <x:v>0</x:v>
      </x:c>
    </x:row>
    <x:row r="1941">
      <x:c r="A1941" s="83" t="n">
        <x:v>1940</x:v>
      </x:c>
      <x:c r="B1941" s="84" t="str">
        <x:v>OS-2024-01940</x:v>
      </x:c>
      <x:c r="C1941" s="84" t="n">
        <x:v>82</x:v>
      </x:c>
      <x:c r="D1941" s="84" t="n">
        <x:v>1</x:v>
      </x:c>
      <x:c r="E1941" s="84" t="n">
        <x:v>163</x:v>
      </x:c>
      <x:c r="F1941" s="89" t="n">
        <x:v>45445.783587962964</x:v>
      </x:c>
      <x:c r="G1941" s="89" t="n">
        <x:v>45448.783587962964</x:v>
      </x:c>
      <x:c r="H1941" s="89" t="n">
        <x:v>45448.7419212963</x:v>
      </x:c>
      <x:c r="I1941" s="89" t="n">
        <x:v>45449.57525462963</x:v>
      </x:c>
      <x:c r="J1941" s="84" t="str">
        <x:v>Baixa</x:v>
      </x:c>
      <x:c r="K1941" s="84" t="str">
        <x:v>Encerrada</x:v>
      </x:c>
      <x:c r="L1941" s="84" t="str">
        <x:v>Desalinhamento</x:v>
      </x:c>
      <x:c r="M1941" s="84" t="str">
        <x:v>Ajuste incorreto</x:v>
      </x:c>
      <x:c r="N1941" s="84" t="str">
        <x:v>Componente ajustado ou substituído</x:v>
      </x:c>
      <x:c r="O1941" s="84" t="n">
        <x:v>0</x:v>
      </x:c>
      <x:c r="P1941" s="93" t="n">
        <x:v>69.17</x:v>
      </x:c>
      <x:c r="Q1941" s="93" t="n">
        <x:v>1192.82</x:v>
      </x:c>
      <x:c r="R1941" s="91" t="n">
        <x:v>0</x:v>
      </x:c>
    </x:row>
    <x:row r="1942">
      <x:c r="A1942" s="83" t="n">
        <x:v>1941</x:v>
      </x:c>
      <x:c r="B1942" s="84" t="str">
        <x:v>OS-2025-01941</x:v>
      </x:c>
      <x:c r="C1942" s="84" t="n">
        <x:v>81</x:v>
      </x:c>
      <x:c r="D1942" s="84" t="n">
        <x:v>7</x:v>
      </x:c>
      <x:c r="E1942" s="84" t="n">
        <x:v>161</x:v>
      </x:c>
      <x:c r="F1942" s="89" t="n">
        <x:v>45919.20380787037</x:v>
      </x:c>
      <x:c r="G1942" s="89" t="n">
        <x:v>45927.20380787037</x:v>
      </x:c>
      <x:c r="H1942" s="89" t="n">
        <x:v>45920.787141203706</x:v>
      </x:c>
      <x:c r="I1942" s="89" t="n">
        <x:v>45920.95380787037</x:v>
      </x:c>
      <x:c r="J1942" s="84" t="str">
        <x:v>Alta</x:v>
      </x:c>
      <x:c r="K1942" s="84" t="str">
        <x:v>Concluída</x:v>
      </x:c>
      <x:c r="L1942" s="84" t="str">
        <x:v>Desalinhamento</x:v>
      </x:c>
      <x:c r="M1942" s="84" t="str">
        <x:v>Componente danificado</x:v>
      </x:c>
      <x:c r="N1942" s="84" t="str">
        <x:v>Componente ajustado ou substituído</x:v>
      </x:c>
      <x:c r="O1942" s="84" t="n">
        <x:v>0</x:v>
      </x:c>
      <x:c r="P1942" s="93" t="n">
        <x:v>257.23</x:v>
      </x:c>
      <x:c r="Q1942" s="93" t="n">
        <x:v>4484.24</x:v>
      </x:c>
      <x:c r="R1942" s="91" t="n">
        <x:v>0</x:v>
      </x:c>
    </x:row>
    <x:row r="1943">
      <x:c r="A1943" s="83" t="n">
        <x:v>1942</x:v>
      </x:c>
      <x:c r="B1943" s="84" t="str">
        <x:v>OS-2023-01942</x:v>
      </x:c>
      <x:c r="C1943" s="84" t="n">
        <x:v>59</x:v>
      </x:c>
      <x:c r="D1943" s="84" t="n">
        <x:v>7</x:v>
      </x:c>
      <x:c r="E1943" s="84" t="n">
        <x:v>117</x:v>
      </x:c>
      <x:c r="F1943" s="89" t="n">
        <x:v>45285.17864583333</x:v>
      </x:c>
      <x:c r="G1943" s="89" t="n">
        <x:v>45296.17864583333</x:v>
      </x:c>
      <x:c r="H1943" s="89" t="n">
        <x:v>45286.136979166666</x:v>
      </x:c>
      <x:c r="I1943" s="89" t="n">
        <x:v>45286.8453125</x:v>
      </x:c>
      <x:c r="J1943" s="84" t="str">
        <x:v>Baixa</x:v>
      </x:c>
      <x:c r="K1943" s="84" t="str">
        <x:v>Encerrada</x:v>
      </x:c>
      <x:c r="L1943" s="84" t="str">
        <x:v>Falha elétrica</x:v>
      </x:c>
      <x:c r="M1943" s="84" t="str">
        <x:v>Desgaste natural</x:v>
      </x:c>
      <x:c r="N1943" s="84" t="str">
        <x:v>Componente ajustado ou substituído</x:v>
      </x:c>
      <x:c r="O1943" s="84" t="n">
        <x:v>0</x:v>
      </x:c>
      <x:c r="P1943" s="93" t="n">
        <x:v>496.38</x:v>
      </x:c>
      <x:c r="Q1943" s="93" t="n">
        <x:v>4655.31</x:v>
      </x:c>
      <x:c r="R1943" s="91" t="n">
        <x:v>0</x:v>
      </x:c>
    </x:row>
    <x:row r="1944">
      <x:c r="A1944" s="83" t="n">
        <x:v>1943</x:v>
      </x:c>
      <x:c r="B1944" s="84" t="str">
        <x:v>OS-2024-01943</x:v>
      </x:c>
      <x:c r="C1944" s="84" t="n">
        <x:v>46</x:v>
      </x:c>
      <x:c r="D1944" s="84" t="n">
        <x:v>3</x:v>
      </x:c>
      <x:c r="E1944" s="84"/>
      <x:c r="F1944" s="89" t="n">
        <x:v>45397.65167824074</x:v>
      </x:c>
      <x:c r="G1944" s="89"/>
      <x:c r="H1944" s="89" t="n">
        <x:v>45399.65167824074</x:v>
      </x:c>
      <x:c r="I1944" s="89" t="n">
        <x:v>45399.98501157408</x:v>
      </x:c>
      <x:c r="J1944" s="84" t="str">
        <x:v>Média</x:v>
      </x:c>
      <x:c r="K1944" s="84" t="str">
        <x:v>Concluída</x:v>
      </x:c>
      <x:c r="L1944" s="84" t="str">
        <x:v>Vazamento</x:v>
      </x:c>
      <x:c r="M1944" s="84" t="str">
        <x:v>Contaminação</x:v>
      </x:c>
      <x:c r="N1944" s="84" t="str">
        <x:v>Componente ajustado ou substituído</x:v>
      </x:c>
      <x:c r="O1944" s="84" t="n">
        <x:v>0</x:v>
      </x:c>
      <x:c r="P1944" s="93" t="n">
        <x:v>120.96</x:v>
      </x:c>
      <x:c r="Q1944" s="93" t="n">
        <x:v>0</x:v>
      </x:c>
      <x:c r="R1944" s="91" t="n">
        <x:v>0</x:v>
      </x:c>
    </x:row>
    <x:row r="1945">
      <x:c r="A1945" s="83" t="n">
        <x:v>1944</x:v>
      </x:c>
      <x:c r="B1945" s="84" t="str">
        <x:v>OS-2024-01944</x:v>
      </x:c>
      <x:c r="C1945" s="84" t="n">
        <x:v>44</x:v>
      </x:c>
      <x:c r="D1945" s="84" t="n">
        <x:v>2</x:v>
      </x:c>
      <x:c r="E1945" s="84"/>
      <x:c r="F1945" s="89" t="n">
        <x:v>45452.286157407405</x:v>
      </x:c>
      <x:c r="G1945" s="89" t="n">
        <x:v>45459.286157407405</x:v>
      </x:c>
      <x:c r="H1945" s="89" t="n">
        <x:v>45453.95282407408</x:v>
      </x:c>
      <x:c r="I1945" s="89" t="n">
        <x:v>45454.70282407408</x:v>
      </x:c>
      <x:c r="J1945" s="84" t="str">
        <x:v>Baixa</x:v>
      </x:c>
      <x:c r="K1945" s="84" t="str">
        <x:v>Encerrada</x:v>
      </x:c>
      <x:c r="L1945" s="84" t="str">
        <x:v>Vazamento</x:v>
      </x:c>
      <x:c r="M1945" s="84" t="str">
        <x:v>Falta de lubrificação</x:v>
      </x:c>
      <x:c r="N1945" s="84" t="str">
        <x:v>Componente ajustado ou substituído</x:v>
      </x:c>
      <x:c r="O1945" s="84" t="n">
        <x:v>0</x:v>
      </x:c>
      <x:c r="P1945" s="93" t="n">
        <x:v>526.19</x:v>
      </x:c>
      <x:c r="Q1945" s="93" t="n">
        <x:v>1527.61</x:v>
      </x:c>
      <x:c r="R1945" s="91" t="n">
        <x:v>0</x:v>
      </x:c>
    </x:row>
    <x:row r="1946">
      <x:c r="A1946" s="83" t="n">
        <x:v>1945</x:v>
      </x:c>
      <x:c r="B1946" s="84" t="str">
        <x:v>OS-2024-01945</x:v>
      </x:c>
      <x:c r="C1946" s="84" t="n">
        <x:v>44</x:v>
      </x:c>
      <x:c r="D1946" s="84" t="n">
        <x:v>4</x:v>
      </x:c>
      <x:c r="E1946" s="84"/>
      <x:c r="F1946" s="89" t="n">
        <x:v>45494.118842592594</x:v>
      </x:c>
      <x:c r="G1946" s="89" t="n">
        <x:v>45497.118842592594</x:v>
      </x:c>
      <x:c r="H1946" s="89" t="n">
        <x:v>45496.32717592592</x:v>
      </x:c>
      <x:c r="I1946" s="89" t="n">
        <x:v>45496.82717592592</x:v>
      </x:c>
      <x:c r="J1946" s="84" t="str">
        <x:v>Crítica</x:v>
      </x:c>
      <x:c r="K1946" s="84" t="str">
        <x:v>Concluída</x:v>
      </x:c>
      <x:c r="L1946" s="84" t="str">
        <x:v>Alarme intermitente</x:v>
      </x:c>
      <x:c r="M1946" s="84" t="str">
        <x:v>Componente danificado</x:v>
      </x:c>
      <x:c r="N1946" s="84" t="str">
        <x:v>Componente ajustado ou substituído</x:v>
      </x:c>
      <x:c r="O1946" s="84" t="n">
        <x:v>0</x:v>
      </x:c>
      <x:c r="P1946" s="93" t="n">
        <x:v>224.72</x:v>
      </x:c>
      <x:c r="Q1946" s="93" t="n">
        <x:v>2710.4</x:v>
      </x:c>
      <x:c r="R1946" s="91" t="n">
        <x:v>0</x:v>
      </x:c>
    </x:row>
    <x:row r="1947">
      <x:c r="A1947" s="83" t="n">
        <x:v>1946</x:v>
      </x:c>
      <x:c r="B1947" s="84" t="str">
        <x:v>OS-2025-01946</x:v>
      </x:c>
      <x:c r="C1947" s="84" t="n">
        <x:v>70</x:v>
      </x:c>
      <x:c r="D1947" s="84" t="n">
        <x:v>3</x:v>
      </x:c>
      <x:c r="E1947" s="84"/>
      <x:c r="F1947" s="89" t="n">
        <x:v>45688.10171296296</x:v>
      </x:c>
      <x:c r="G1947" s="89"/>
      <x:c r="H1947" s="89" t="n">
        <x:v>45689.518379629626</x:v>
      </x:c>
      <x:c r="I1947" s="89" t="n">
        <x:v>45689.85171296296</x:v>
      </x:c>
      <x:c r="J1947" s="84" t="str">
        <x:v>Alta</x:v>
      </x:c>
      <x:c r="K1947" s="84" t="str">
        <x:v>Encerrada</x:v>
      </x:c>
      <x:c r="L1947" s="84" t="str">
        <x:v>Falha elétrica</x:v>
      </x:c>
      <x:c r="M1947" s="84" t="str">
        <x:v>Falta de lubrificação</x:v>
      </x:c>
      <x:c r="N1947" s="84" t="str">
        <x:v>Componente ajustado ou substituído</x:v>
      </x:c>
      <x:c r="O1947" s="84" t="n">
        <x:v>0</x:v>
      </x:c>
      <x:c r="P1947" s="93" t="n">
        <x:v>199.58</x:v>
      </x:c>
      <x:c r="Q1947" s="93" t="n">
        <x:v>1179.06</x:v>
      </x:c>
      <x:c r="R1947" s="91" t="n">
        <x:v>0</x:v>
      </x:c>
    </x:row>
    <x:row r="1948">
      <x:c r="A1948" s="83" t="n">
        <x:v>1947</x:v>
      </x:c>
      <x:c r="B1948" s="84" t="str">
        <x:v>OS-2025-01947</x:v>
      </x:c>
      <x:c r="C1948" s="84" t="n">
        <x:v>53</x:v>
      </x:c>
      <x:c r="D1948" s="84" t="n">
        <x:v>3</x:v>
      </x:c>
      <x:c r="E1948" s="84"/>
      <x:c r="F1948" s="89" t="n">
        <x:v>45801.070925925924</x:v>
      </x:c>
      <x:c r="G1948" s="89"/>
      <x:c r="H1948" s="89" t="n">
        <x:v>45803.862592592595</x:v>
      </x:c>
      <x:c r="I1948" s="89" t="n">
        <x:v>45804.65425925926</x:v>
      </x:c>
      <x:c r="J1948" s="84" t="str">
        <x:v>Crítica</x:v>
      </x:c>
      <x:c r="K1948" s="84" t="str">
        <x:v>Encerrada</x:v>
      </x:c>
      <x:c r="L1948" s="84" t="str">
        <x:v>Falha elétrica</x:v>
      </x:c>
      <x:c r="M1948" s="84" t="str">
        <x:v>Ajuste incorreto</x:v>
      </x:c>
      <x:c r="N1948" s="84" t="str">
        <x:v>Componente ajustado ou substituído</x:v>
      </x:c>
      <x:c r="O1948" s="84" t="n">
        <x:v>0</x:v>
      </x:c>
      <x:c r="P1948" s="93" t="n">
        <x:v>788.47</x:v>
      </x:c>
      <x:c r="Q1948" s="93" t="n">
        <x:v>15410.66</x:v>
      </x:c>
      <x:c r="R1948" s="91" t="n">
        <x:v>0</x:v>
      </x:c>
    </x:row>
    <x:row r="1949">
      <x:c r="A1949" s="83" t="n">
        <x:v>1948</x:v>
      </x:c>
      <x:c r="B1949" s="84" t="str">
        <x:v>OS-2025-01948</x:v>
      </x:c>
      <x:c r="C1949" s="84" t="n">
        <x:v>70</x:v>
      </x:c>
      <x:c r="D1949" s="84" t="n">
        <x:v>1</x:v>
      </x:c>
      <x:c r="E1949" s="84" t="n">
        <x:v>139</x:v>
      </x:c>
      <x:c r="F1949" s="89" t="n">
        <x:v>45975.274247685185</x:v>
      </x:c>
      <x:c r="G1949" s="89" t="n">
        <x:v>45986.274247685185</x:v>
      </x:c>
      <x:c r="H1949" s="89" t="n">
        <x:v>45975.69091435185</x:v>
      </x:c>
      <x:c r="I1949" s="89" t="n">
        <x:v>45975.899247685185</x:v>
      </x:c>
      <x:c r="J1949" s="84" t="str">
        <x:v>Crítica</x:v>
      </x:c>
      <x:c r="K1949" s="84" t="str">
        <x:v>Concluída</x:v>
      </x:c>
      <x:c r="L1949" s="84" t="str">
        <x:v>Desalinhamento</x:v>
      </x:c>
      <x:c r="M1949" s="84" t="str">
        <x:v>Conexão frouxa</x:v>
      </x:c>
      <x:c r="N1949" s="84" t="str">
        <x:v>Componente ajustado ou substituído</x:v>
      </x:c>
      <x:c r="O1949" s="84" t="n">
        <x:v>0</x:v>
      </x:c>
      <x:c r="P1949" s="93" t="n">
        <x:v>450.16</x:v>
      </x:c>
      <x:c r="Q1949" s="93" t="n">
        <x:v>0</x:v>
      </x:c>
      <x:c r="R1949" s="91" t="n">
        <x:v>0</x:v>
      </x:c>
    </x:row>
    <x:row r="1950">
      <x:c r="A1950" s="83" t="n">
        <x:v>1949</x:v>
      </x:c>
      <x:c r="B1950" s="84" t="str">
        <x:v>OS-2023-01949</x:v>
      </x:c>
      <x:c r="C1950" s="84" t="n">
        <x:v>86</x:v>
      </x:c>
      <x:c r="D1950" s="84" t="n">
        <x:v>1</x:v>
      </x:c>
      <x:c r="E1950" s="84" t="n">
        <x:v>172</x:v>
      </x:c>
      <x:c r="F1950" s="89" t="n">
        <x:v>45275.18605324074</x:v>
      </x:c>
      <x:c r="G1950" s="89" t="n">
        <x:v>45282.18605324074</x:v>
      </x:c>
      <x:c r="H1950" s="89" t="n">
        <x:v>45276.51938657407</x:v>
      </x:c>
      <x:c r="I1950" s="89" t="n">
        <x:v>45276.64438657407</x:v>
      </x:c>
      <x:c r="J1950" s="84" t="str">
        <x:v>Alta</x:v>
      </x:c>
      <x:c r="K1950" s="84" t="str">
        <x:v>Encerrada</x:v>
      </x:c>
      <x:c r="L1950" s="84" t="str">
        <x:v>Desalinhamento</x:v>
      </x:c>
      <x:c r="M1950" s="84" t="str">
        <x:v>Componente danificado</x:v>
      </x:c>
      <x:c r="N1950" s="84" t="str">
        <x:v>Componente ajustado ou substituído</x:v>
      </x:c>
      <x:c r="O1950" s="84" t="n">
        <x:v>0</x:v>
      </x:c>
      <x:c r="P1950" s="93" t="n">
        <x:v>565.24</x:v>
      </x:c>
      <x:c r="Q1950" s="93" t="n">
        <x:v>8266.88</x:v>
      </x:c>
      <x:c r="R1950" s="91" t="n">
        <x:v>0</x:v>
      </x:c>
    </x:row>
    <x:row r="1951">
      <x:c r="A1951" s="83" t="n">
        <x:v>1950</x:v>
      </x:c>
      <x:c r="B1951" s="84" t="str">
        <x:v>OS-2024-01950</x:v>
      </x:c>
      <x:c r="C1951" s="84" t="n">
        <x:v>46</x:v>
      </x:c>
      <x:c r="D1951" s="84" t="n">
        <x:v>1</x:v>
      </x:c>
      <x:c r="E1951" s="84" t="n">
        <x:v>92</x:v>
      </x:c>
      <x:c r="F1951" s="89" t="n">
        <x:v>45368.64722222222</x:v>
      </x:c>
      <x:c r="G1951" s="89" t="n">
        <x:v>45370.64722222222</x:v>
      </x:c>
      <x:c r="H1951" s="89" t="n">
        <x:v>45370.35555555556</x:v>
      </x:c>
      <x:c r="I1951" s="89"/>
      <x:c r="J1951" s="84" t="str">
        <x:v>Baixa</x:v>
      </x:c>
      <x:c r="K1951" s="84" t="str">
        <x:v>Aguardando peça</x:v>
      </x:c>
      <x:c r="L1951" s="84" t="str">
        <x:v>Alarme intermitente</x:v>
      </x:c>
      <x:c r="M1951" s="84" t="str">
        <x:v>Componente danificado</x:v>
      </x:c>
      <x:c r="N1951" s="84"/>
      <x:c r="O1951" s="84" t="n">
        <x:v>0</x:v>
      </x:c>
      <x:c r="P1951" s="93" t="n">
        <x:v>770.65</x:v>
      </x:c>
      <x:c r="Q1951" s="93" t="n">
        <x:v>7572.18</x:v>
      </x:c>
      <x:c r="R1951" s="91" t="n">
        <x:v>0</x:v>
      </x:c>
    </x:row>
    <x:row r="1952">
      <x:c r="A1952" s="83" t="n">
        <x:v>1951</x:v>
      </x:c>
      <x:c r="B1952" s="84" t="str">
        <x:v>OS-2025-01951</x:v>
      </x:c>
      <x:c r="C1952" s="84" t="n">
        <x:v>12</x:v>
      </x:c>
      <x:c r="D1952" s="84" t="n">
        <x:v>6</x:v>
      </x:c>
      <x:c r="E1952" s="84"/>
      <x:c r="F1952" s="89" t="n">
        <x:v>45737.5005787037</x:v>
      </x:c>
      <x:c r="G1952" s="89" t="n">
        <x:v>45743.5005787037</x:v>
      </x:c>
      <x:c r="H1952" s="89" t="n">
        <x:v>45740.08391203704</x:v>
      </x:c>
      <x:c r="I1952" s="89" t="n">
        <x:v>45740.3755787037</x:v>
      </x:c>
      <x:c r="J1952" s="84" t="str">
        <x:v>Média</x:v>
      </x:c>
      <x:c r="K1952" s="84" t="str">
        <x:v>Encerrada</x:v>
      </x:c>
      <x:c r="L1952" s="84" t="str">
        <x:v>Vazamento</x:v>
      </x:c>
      <x:c r="M1952" s="84" t="str">
        <x:v>Desgaste natural</x:v>
      </x:c>
      <x:c r="N1952" s="84" t="str">
        <x:v>Componente ajustado ou substituído</x:v>
      </x:c>
      <x:c r="O1952" s="84" t="n">
        <x:v>0</x:v>
      </x:c>
      <x:c r="P1952" s="93" t="n">
        <x:v>173.32</x:v>
      </x:c>
      <x:c r="Q1952" s="93" t="n">
        <x:v>5665.35</x:v>
      </x:c>
      <x:c r="R1952" s="91" t="n">
        <x:v>0</x:v>
      </x:c>
    </x:row>
    <x:row r="1953">
      <x:c r="A1953" s="83" t="n">
        <x:v>1952</x:v>
      </x:c>
      <x:c r="B1953" s="84" t="str">
        <x:v>OS-2023-01952</x:v>
      </x:c>
      <x:c r="C1953" s="84" t="n">
        <x:v>29</x:v>
      </x:c>
      <x:c r="D1953" s="84" t="n">
        <x:v>1</x:v>
      </x:c>
      <x:c r="E1953" s="84" t="n">
        <x:v>57</x:v>
      </x:c>
      <x:c r="F1953" s="89" t="n">
        <x:v>45165.83299768518</x:v>
      </x:c>
      <x:c r="G1953" s="89" t="n">
        <x:v>45178.83299768518</x:v>
      </x:c>
      <x:c r="H1953" s="89" t="n">
        <x:v>45168.79133101852</x:v>
      </x:c>
      <x:c r="I1953" s="89" t="n">
        <x:v>45169.33299768518</x:v>
      </x:c>
      <x:c r="J1953" s="84" t="str">
        <x:v>Média</x:v>
      </x:c>
      <x:c r="K1953" s="84" t="str">
        <x:v>Encerrada</x:v>
      </x:c>
      <x:c r="L1953" s="84" t="str">
        <x:v>Alarme intermitente</x:v>
      </x:c>
      <x:c r="M1953" s="84" t="str">
        <x:v>Ajuste incorreto</x:v>
      </x:c>
      <x:c r="N1953" s="84" t="str">
        <x:v>Componente ajustado ou substituído</x:v>
      </x:c>
      <x:c r="O1953" s="84" t="n">
        <x:v>0</x:v>
      </x:c>
      <x:c r="P1953" s="93" t="n">
        <x:v>211.33</x:v>
      </x:c>
      <x:c r="Q1953" s="93" t="n">
        <x:v>8518.77</x:v>
      </x:c>
      <x:c r="R1953" s="91" t="n">
        <x:v>0</x:v>
      </x:c>
    </x:row>
    <x:row r="1954">
      <x:c r="A1954" s="83" t="n">
        <x:v>1953</x:v>
      </x:c>
      <x:c r="B1954" s="84" t="str">
        <x:v>OS-2025-01953</x:v>
      </x:c>
      <x:c r="C1954" s="84" t="n">
        <x:v>76</x:v>
      </x:c>
      <x:c r="D1954" s="84" t="n">
        <x:v>3</x:v>
      </x:c>
      <x:c r="E1954" s="84"/>
      <x:c r="F1954" s="89" t="n">
        <x:v>45950.7440162037</x:v>
      </x:c>
      <x:c r="G1954" s="89"/>
      <x:c r="H1954" s="89" t="n">
        <x:v>45952.8690162037</x:v>
      </x:c>
      <x:c r="I1954" s="89" t="n">
        <x:v>45953.53568287037</x:v>
      </x:c>
      <x:c r="J1954" s="84" t="str">
        <x:v>Alta</x:v>
      </x:c>
      <x:c r="K1954" s="84" t="str">
        <x:v>Encerrada</x:v>
      </x:c>
      <x:c r="L1954" s="84" t="str">
        <x:v>Vazamento</x:v>
      </x:c>
      <x:c r="M1954" s="84" t="str">
        <x:v>Falta de lubrificação</x:v>
      </x:c>
      <x:c r="N1954" s="84" t="str">
        <x:v>Componente ajustado ou substituído</x:v>
      </x:c>
      <x:c r="O1954" s="84" t="n">
        <x:v>0</x:v>
      </x:c>
      <x:c r="P1954" s="93" t="n">
        <x:v>41.52</x:v>
      </x:c>
      <x:c r="Q1954" s="93" t="n">
        <x:v>1525.31</x:v>
      </x:c>
      <x:c r="R1954" s="91" t="n">
        <x:v>0</x:v>
      </x:c>
    </x:row>
    <x:row r="1955">
      <x:c r="A1955" s="83" t="n">
        <x:v>1954</x:v>
      </x:c>
      <x:c r="B1955" s="84" t="str">
        <x:v>OS-2025-01954</x:v>
      </x:c>
      <x:c r="C1955" s="84" t="n">
        <x:v>46</x:v>
      </x:c>
      <x:c r="D1955" s="84" t="n">
        <x:v>3</x:v>
      </x:c>
      <x:c r="E1955" s="84"/>
      <x:c r="F1955" s="89" t="n">
        <x:v>45685.119675925926</x:v>
      </x:c>
      <x:c r="G1955" s="89"/>
      <x:c r="H1955" s="89" t="n">
        <x:v>45686.91134259259</x:v>
      </x:c>
      <x:c r="I1955" s="89" t="n">
        <x:v>45687.16134259259</x:v>
      </x:c>
      <x:c r="J1955" s="84" t="str">
        <x:v>Alta</x:v>
      </x:c>
      <x:c r="K1955" s="84" t="str">
        <x:v>Encerrada</x:v>
      </x:c>
      <x:c r="L1955" s="84" t="str">
        <x:v>Baixa pressão</x:v>
      </x:c>
      <x:c r="M1955" s="84" t="str">
        <x:v>Contaminação</x:v>
      </x:c>
      <x:c r="N1955" s="84" t="str">
        <x:v>Componente ajustado ou substituído</x:v>
      </x:c>
      <x:c r="O1955" s="84" t="n">
        <x:v>0</x:v>
      </x:c>
      <x:c r="P1955" s="93" t="n">
        <x:v>748.02</x:v>
      </x:c>
      <x:c r="Q1955" s="93" t="n">
        <x:v>850.8</x:v>
      </x:c>
      <x:c r="R1955" s="91" t="n">
        <x:v>0</x:v>
      </x:c>
    </x:row>
    <x:row r="1956">
      <x:c r="A1956" s="83" t="n">
        <x:v>1955</x:v>
      </x:c>
      <x:c r="B1956" s="84" t="str">
        <x:v>OS-2023-01955</x:v>
      </x:c>
      <x:c r="C1956" s="84" t="n">
        <x:v>62</x:v>
      </x:c>
      <x:c r="D1956" s="84" t="n">
        <x:v>2</x:v>
      </x:c>
      <x:c r="E1956" s="84"/>
      <x:c r="F1956" s="89" t="n">
        <x:v>45137.89900462963</x:v>
      </x:c>
      <x:c r="G1956" s="89" t="n">
        <x:v>45146.89900462963</x:v>
      </x:c>
      <x:c r="H1956" s="89" t="n">
        <x:v>45140.60733796296</x:v>
      </x:c>
      <x:c r="I1956" s="89" t="n">
        <x:v>45140.73233796296</x:v>
      </x:c>
      <x:c r="J1956" s="84" t="str">
        <x:v>Crítica</x:v>
      </x:c>
      <x:c r="K1956" s="84" t="str">
        <x:v>Encerrada</x:v>
      </x:c>
      <x:c r="L1956" s="84" t="str">
        <x:v>Alarme intermitente</x:v>
      </x:c>
      <x:c r="M1956" s="84" t="str">
        <x:v>Desgaste natural</x:v>
      </x:c>
      <x:c r="N1956" s="84" t="str">
        <x:v>Componente ajustado ou substituído</x:v>
      </x:c>
      <x:c r="O1956" s="84" t="n">
        <x:v>0</x:v>
      </x:c>
      <x:c r="P1956" s="93" t="n">
        <x:v>74.37</x:v>
      </x:c>
      <x:c r="Q1956" s="93" t="n">
        <x:v>1578.9</x:v>
      </x:c>
      <x:c r="R1956" s="91" t="n">
        <x:v>0</x:v>
      </x:c>
    </x:row>
    <x:row r="1957">
      <x:c r="A1957" s="83" t="n">
        <x:v>1956</x:v>
      </x:c>
      <x:c r="B1957" s="84" t="str">
        <x:v>OS-2023-01956</x:v>
      </x:c>
      <x:c r="C1957" s="84" t="n">
        <x:v>77</x:v>
      </x:c>
      <x:c r="D1957" s="84" t="n">
        <x:v>3</x:v>
      </x:c>
      <x:c r="E1957" s="84"/>
      <x:c r="F1957" s="89" t="n">
        <x:v>45087.94596064815</x:v>
      </x:c>
      <x:c r="G1957" s="89"/>
      <x:c r="H1957" s="89" t="n">
        <x:v>45089.69596064815</x:v>
      </x:c>
      <x:c r="I1957" s="89" t="n">
        <x:v>45089.73762731482</x:v>
      </x:c>
      <x:c r="J1957" s="84" t="str">
        <x:v>Alta</x:v>
      </x:c>
      <x:c r="K1957" s="84" t="str">
        <x:v>Encerrada</x:v>
      </x:c>
      <x:c r="L1957" s="84" t="str">
        <x:v>Desalinhamento</x:v>
      </x:c>
      <x:c r="M1957" s="84" t="str">
        <x:v>Componente danificado</x:v>
      </x:c>
      <x:c r="N1957" s="84" t="str">
        <x:v>Componente ajustado ou substituído</x:v>
      </x:c>
      <x:c r="O1957" s="84" t="n">
        <x:v>0</x:v>
      </x:c>
      <x:c r="P1957" s="93" t="n">
        <x:v>362.54</x:v>
      </x:c>
      <x:c r="Q1957" s="93" t="n">
        <x:v>10284.2</x:v>
      </x:c>
      <x:c r="R1957" s="91" t="n">
        <x:v>0</x:v>
      </x:c>
    </x:row>
    <x:row r="1958">
      <x:c r="A1958" s="83" t="n">
        <x:v>1957</x:v>
      </x:c>
      <x:c r="B1958" s="84" t="str">
        <x:v>OS-2025-01957</x:v>
      </x:c>
      <x:c r="C1958" s="84" t="n">
        <x:v>49</x:v>
      </x:c>
      <x:c r="D1958" s="84" t="n">
        <x:v>1</x:v>
      </x:c>
      <x:c r="E1958" s="84" t="n">
        <x:v>97</x:v>
      </x:c>
      <x:c r="F1958" s="89" t="n">
        <x:v>45938.54206018519</x:v>
      </x:c>
      <x:c r="G1958" s="89" t="n">
        <x:v>45946.54206018519</x:v>
      </x:c>
      <x:c r="H1958" s="89" t="n">
        <x:v>45939.29206018519</x:v>
      </x:c>
      <x:c r="I1958" s="89" t="n">
        <x:v>45940.08372685185</x:v>
      </x:c>
      <x:c r="J1958" s="84" t="str">
        <x:v>Média</x:v>
      </x:c>
      <x:c r="K1958" s="84" t="str">
        <x:v>Concluída</x:v>
      </x:c>
      <x:c r="L1958" s="84" t="str">
        <x:v>Falha elétrica</x:v>
      </x:c>
      <x:c r="M1958" s="84" t="str">
        <x:v>Contaminação</x:v>
      </x:c>
      <x:c r="N1958" s="84" t="str">
        <x:v>Componente ajustado ou substituído</x:v>
      </x:c>
      <x:c r="O1958" s="84" t="n">
        <x:v>0</x:v>
      </x:c>
      <x:c r="P1958" s="93" t="n">
        <x:v>523.73</x:v>
      </x:c>
      <x:c r="Q1958" s="93" t="n">
        <x:v>0</x:v>
      </x:c>
      <x:c r="R1958" s="91" t="n">
        <x:v>0</x:v>
      </x:c>
    </x:row>
    <x:row r="1959">
      <x:c r="A1959" s="83" t="n">
        <x:v>1958</x:v>
      </x:c>
      <x:c r="B1959" s="84" t="str">
        <x:v>OS-2024-01958</x:v>
      </x:c>
      <x:c r="C1959" s="84" t="n">
        <x:v>75</x:v>
      </x:c>
      <x:c r="D1959" s="84" t="n">
        <x:v>3</x:v>
      </x:c>
      <x:c r="E1959" s="84"/>
      <x:c r="F1959" s="89" t="n">
        <x:v>45613.68402777778</x:v>
      </x:c>
      <x:c r="G1959" s="89"/>
      <x:c r="H1959" s="89" t="n">
        <x:v>45615.100694444445</x:v>
      </x:c>
      <x:c r="I1959" s="89"/>
      <x:c r="J1959" s="84" t="str">
        <x:v>Baixa</x:v>
      </x:c>
      <x:c r="K1959" s="84" t="str">
        <x:v>Aguardando peça</x:v>
      </x:c>
      <x:c r="L1959" s="84" t="str">
        <x:v>Alarme intermitente</x:v>
      </x:c>
      <x:c r="M1959" s="84" t="str">
        <x:v>Falta de lubrificação</x:v>
      </x:c>
      <x:c r="N1959" s="84"/>
      <x:c r="O1959" s="84" t="n">
        <x:v>0</x:v>
      </x:c>
      <x:c r="P1959" s="93" t="n">
        <x:v>1102.04</x:v>
      </x:c>
      <x:c r="Q1959" s="93" t="n">
        <x:v>4196.1</x:v>
      </x:c>
      <x:c r="R1959" s="91" t="n">
        <x:v>0</x:v>
      </x:c>
    </x:row>
    <x:row r="1960">
      <x:c r="A1960" s="83" t="n">
        <x:v>1959</x:v>
      </x:c>
      <x:c r="B1960" s="84" t="str">
        <x:v>OS-2023-01959</x:v>
      </x:c>
      <x:c r="C1960" s="84" t="n">
        <x:v>79</x:v>
      </x:c>
      <x:c r="D1960" s="84" t="n">
        <x:v>1</x:v>
      </x:c>
      <x:c r="E1960" s="84" t="n">
        <x:v>157</x:v>
      </x:c>
      <x:c r="F1960" s="89" t="n">
        <x:v>45047.02915509259</x:v>
      </x:c>
      <x:c r="G1960" s="89" t="n">
        <x:v>45047.02915509259</x:v>
      </x:c>
      <x:c r="H1960" s="89" t="n">
        <x:v>45049.32082175926</x:v>
      </x:c>
      <x:c r="I1960" s="89" t="n">
        <x:v>45049.94582175926</x:v>
      </x:c>
      <x:c r="J1960" s="84" t="str">
        <x:v>Baixa</x:v>
      </x:c>
      <x:c r="K1960" s="84" t="str">
        <x:v>Concluída</x:v>
      </x:c>
      <x:c r="L1960" s="84" t="str">
        <x:v>Alarme intermitente</x:v>
      </x:c>
      <x:c r="M1960" s="84" t="str">
        <x:v>Componente danificado</x:v>
      </x:c>
      <x:c r="N1960" s="84" t="str">
        <x:v>Componente ajustado ou substituído</x:v>
      </x:c>
      <x:c r="O1960" s="84" t="n">
        <x:v>0</x:v>
      </x:c>
      <x:c r="P1960" s="93" t="n">
        <x:v>487.92</x:v>
      </x:c>
      <x:c r="Q1960" s="93" t="n">
        <x:v>0</x:v>
      </x:c>
      <x:c r="R1960" s="91" t="n">
        <x:v>0</x:v>
      </x:c>
    </x:row>
    <x:row r="1961">
      <x:c r="A1961" s="83" t="n">
        <x:v>1960</x:v>
      </x:c>
      <x:c r="B1961" s="84" t="str">
        <x:v>OS-2023-01960</x:v>
      </x:c>
      <x:c r="C1961" s="84" t="n">
        <x:v>9</x:v>
      </x:c>
      <x:c r="D1961" s="84" t="n">
        <x:v>6</x:v>
      </x:c>
      <x:c r="E1961" s="84"/>
      <x:c r="F1961" s="89" t="n">
        <x:v>45248.26006944444</x:v>
      </x:c>
      <x:c r="G1961" s="89" t="n">
        <x:v>45260.26006944444</x:v>
      </x:c>
      <x:c r="H1961" s="89" t="n">
        <x:v>45249.30173611111</x:v>
      </x:c>
      <x:c r="I1961" s="89" t="n">
        <x:v>45249.80173611111</x:v>
      </x:c>
      <x:c r="J1961" s="84" t="str">
        <x:v>Crítica</x:v>
      </x:c>
      <x:c r="K1961" s="84" t="str">
        <x:v>Encerrada</x:v>
      </x:c>
      <x:c r="L1961" s="84" t="str">
        <x:v>Desalinhamento</x:v>
      </x:c>
      <x:c r="M1961" s="84" t="str">
        <x:v>Componente danificado</x:v>
      </x:c>
      <x:c r="N1961" s="84" t="str">
        <x:v>Componente ajustado ou substituído</x:v>
      </x:c>
      <x:c r="O1961" s="84" t="n">
        <x:v>0</x:v>
      </x:c>
      <x:c r="P1961" s="93" t="n">
        <x:v>697.29</x:v>
      </x:c>
      <x:c r="Q1961" s="93" t="n">
        <x:v>11014.28</x:v>
      </x:c>
      <x:c r="R1961" s="91" t="n">
        <x:v>10776.3</x:v>
      </x:c>
    </x:row>
    <x:row r="1962">
      <x:c r="A1962" s="83" t="n">
        <x:v>1961</x:v>
      </x:c>
      <x:c r="B1962" s="84" t="str">
        <x:v>OS-2024-01961</x:v>
      </x:c>
      <x:c r="C1962" s="84" t="n">
        <x:v>12</x:v>
      </x:c>
      <x:c r="D1962" s="84" t="n">
        <x:v>1</x:v>
      </x:c>
      <x:c r="E1962" s="84" t="n">
        <x:v>24</x:v>
      </x:c>
      <x:c r="F1962" s="89" t="n">
        <x:v>45329.66711805556</x:v>
      </x:c>
      <x:c r="G1962" s="89" t="n">
        <x:v>45333.66711805556</x:v>
      </x:c>
      <x:c r="H1962" s="89" t="n">
        <x:v>45330.83378472222</x:v>
      </x:c>
      <x:c r="I1962" s="89" t="n">
        <x:v>45331.20878472222</x:v>
      </x:c>
      <x:c r="J1962" s="84" t="str">
        <x:v>Baixa</x:v>
      </x:c>
      <x:c r="K1962" s="84" t="str">
        <x:v>Concluída</x:v>
      </x:c>
      <x:c r="L1962" s="84" t="str">
        <x:v>Ruído anormal</x:v>
      </x:c>
      <x:c r="M1962" s="84" t="str">
        <x:v>Contaminação</x:v>
      </x:c>
      <x:c r="N1962" s="84" t="str">
        <x:v>Componente ajustado ou substituído</x:v>
      </x:c>
      <x:c r="O1962" s="84" t="n">
        <x:v>0</x:v>
      </x:c>
      <x:c r="P1962" s="93" t="n">
        <x:v>701.14</x:v>
      </x:c>
      <x:c r="Q1962" s="93" t="n">
        <x:v>2586.36</x:v>
      </x:c>
      <x:c r="R1962" s="91" t="n">
        <x:v>0</x:v>
      </x:c>
    </x:row>
    <x:row r="1963">
      <x:c r="A1963" s="83" t="n">
        <x:v>1962</x:v>
      </x:c>
      <x:c r="B1963" s="84" t="str">
        <x:v>OS-2024-01962</x:v>
      </x:c>
      <x:c r="C1963" s="84" t="n">
        <x:v>33</x:v>
      </x:c>
      <x:c r="D1963" s="84" t="n">
        <x:v>1</x:v>
      </x:c>
      <x:c r="E1963" s="84" t="n">
        <x:v>65</x:v>
      </x:c>
      <x:c r="F1963" s="89" t="n">
        <x:v>45513.18283564815</x:v>
      </x:c>
      <x:c r="G1963" s="89" t="n">
        <x:v>45523.18283564815</x:v>
      </x:c>
      <x:c r="H1963" s="89" t="n">
        <x:v>45513.766168981485</x:v>
      </x:c>
      <x:c r="I1963" s="89"/>
      <x:c r="J1963" s="84" t="str">
        <x:v>Média</x:v>
      </x:c>
      <x:c r="K1963" s="84" t="str">
        <x:v>Aguardando peça</x:v>
      </x:c>
      <x:c r="L1963" s="84" t="str">
        <x:v>Falha elétrica</x:v>
      </x:c>
      <x:c r="M1963" s="84" t="str">
        <x:v>Contaminação</x:v>
      </x:c>
      <x:c r="N1963" s="84"/>
      <x:c r="O1963" s="84" t="n">
        <x:v>0</x:v>
      </x:c>
      <x:c r="P1963" s="93" t="n">
        <x:v>720.29</x:v>
      </x:c>
      <x:c r="Q1963" s="93" t="n">
        <x:v>0</x:v>
      </x:c>
      <x:c r="R1963" s="91" t="n">
        <x:v>0</x:v>
      </x:c>
    </x:row>
    <x:row r="1964">
      <x:c r="A1964" s="83" t="n">
        <x:v>1963</x:v>
      </x:c>
      <x:c r="B1964" s="84" t="str">
        <x:v>OS-2024-01963</x:v>
      </x:c>
      <x:c r="C1964" s="84" t="n">
        <x:v>47</x:v>
      </x:c>
      <x:c r="D1964" s="84" t="n">
        <x:v>3</x:v>
      </x:c>
      <x:c r="E1964" s="84"/>
      <x:c r="F1964" s="89" t="n">
        <x:v>45486.790868055556</x:v>
      </x:c>
      <x:c r="G1964" s="89"/>
      <x:c r="H1964" s="89" t="n">
        <x:v>45487.08253472222</x:v>
      </x:c>
      <x:c r="I1964" s="89" t="n">
        <x:v>45487.540868055556</x:v>
      </x:c>
      <x:c r="J1964" s="84" t="str">
        <x:v>Baixa</x:v>
      </x:c>
      <x:c r="K1964" s="84" t="str">
        <x:v>Encerrada</x:v>
      </x:c>
      <x:c r="L1964" s="84" t="str">
        <x:v>Superaquecimento</x:v>
      </x:c>
      <x:c r="M1964" s="84" t="str">
        <x:v>Conexão frouxa</x:v>
      </x:c>
      <x:c r="N1964" s="84" t="str">
        <x:v>Componente ajustado ou substituído</x:v>
      </x:c>
      <x:c r="O1964" s="84" t="n">
        <x:v>0</x:v>
      </x:c>
      <x:c r="P1964" s="93" t="n">
        <x:v>183.86</x:v>
      </x:c>
      <x:c r="Q1964" s="93" t="n">
        <x:v>6860.2</x:v>
      </x:c>
      <x:c r="R1964" s="91" t="n">
        <x:v>0</x:v>
      </x:c>
    </x:row>
    <x:row r="1965">
      <x:c r="A1965" s="83" t="n">
        <x:v>1964</x:v>
      </x:c>
      <x:c r="B1965" s="84" t="str">
        <x:v>OS-2024-01964</x:v>
      </x:c>
      <x:c r="C1965" s="84" t="n">
        <x:v>55</x:v>
      </x:c>
      <x:c r="D1965" s="84" t="n">
        <x:v>3</x:v>
      </x:c>
      <x:c r="E1965" s="84"/>
      <x:c r="F1965" s="89" t="n">
        <x:v>45531.57890046296</x:v>
      </x:c>
      <x:c r="G1965" s="89"/>
      <x:c r="H1965" s="89"/>
      <x:c r="I1965" s="89"/>
      <x:c r="J1965" s="84" t="str">
        <x:v>Média</x:v>
      </x:c>
      <x:c r="K1965" s="84" t="str">
        <x:v>Planejada</x:v>
      </x:c>
      <x:c r="L1965" s="84" t="str">
        <x:v>Vazamento</x:v>
      </x:c>
      <x:c r="M1965" s="84"/>
      <x:c r="N1965" s="84"/>
      <x:c r="O1965" s="84" t="n">
        <x:v>0</x:v>
      </x:c>
      <x:c r="P1965" s="93" t="n">
        <x:v>0</x:v>
      </x:c>
      <x:c r="Q1965" s="93" t="n">
        <x:v>0</x:v>
      </x:c>
      <x:c r="R1965" s="91" t="n">
        <x:v>0</x:v>
      </x:c>
    </x:row>
    <x:row r="1966">
      <x:c r="A1966" s="83" t="n">
        <x:v>1965</x:v>
      </x:c>
      <x:c r="B1966" s="84" t="str">
        <x:v>OS-2024-01965</x:v>
      </x:c>
      <x:c r="C1966" s="84" t="n">
        <x:v>81</x:v>
      </x:c>
      <x:c r="D1966" s="84" t="n">
        <x:v>1</x:v>
      </x:c>
      <x:c r="E1966" s="84" t="n">
        <x:v>161</x:v>
      </x:c>
      <x:c r="F1966" s="89" t="n">
        <x:v>45428.94112268519</x:v>
      </x:c>
      <x:c r="G1966" s="89" t="n">
        <x:v>45437.94112268519</x:v>
      </x:c>
      <x:c r="H1966" s="89" t="n">
        <x:v>45429.77445601852</x:v>
      </x:c>
      <x:c r="I1966" s="89" t="n">
        <x:v>45430.02445601852</x:v>
      </x:c>
      <x:c r="J1966" s="84" t="str">
        <x:v>Média</x:v>
      </x:c>
      <x:c r="K1966" s="84" t="str">
        <x:v>Concluída</x:v>
      </x:c>
      <x:c r="L1966" s="84" t="str">
        <x:v>Alarme intermitente</x:v>
      </x:c>
      <x:c r="M1966" s="84" t="str">
        <x:v>Componente danificado</x:v>
      </x:c>
      <x:c r="N1966" s="84" t="str">
        <x:v>Componente ajustado ou substituído</x:v>
      </x:c>
      <x:c r="O1966" s="84" t="n">
        <x:v>0</x:v>
      </x:c>
      <x:c r="P1966" s="93" t="n">
        <x:v>270.04</x:v>
      </x:c>
      <x:c r="Q1966" s="93" t="n">
        <x:v>0</x:v>
      </x:c>
      <x:c r="R1966" s="91" t="n">
        <x:v>0</x:v>
      </x:c>
    </x:row>
    <x:row r="1967">
      <x:c r="A1967" s="83" t="n">
        <x:v>1966</x:v>
      </x:c>
      <x:c r="B1967" s="84" t="str">
        <x:v>OS-2024-01966</x:v>
      </x:c>
      <x:c r="C1967" s="84" t="n">
        <x:v>20</x:v>
      </x:c>
      <x:c r="D1967" s="84" t="n">
        <x:v>3</x:v>
      </x:c>
      <x:c r="E1967" s="84"/>
      <x:c r="F1967" s="89" t="n">
        <x:v>45331.26263888889</x:v>
      </x:c>
      <x:c r="G1967" s="89"/>
      <x:c r="H1967" s="89" t="n">
        <x:v>45332.67930555555</x:v>
      </x:c>
      <x:c r="I1967" s="89" t="n">
        <x:v>45333.42930555555</x:v>
      </x:c>
      <x:c r="J1967" s="84" t="str">
        <x:v>Alta</x:v>
      </x:c>
      <x:c r="K1967" s="84" t="str">
        <x:v>Encerrada</x:v>
      </x:c>
      <x:c r="L1967" s="84" t="str">
        <x:v>Superaquecimento</x:v>
      </x:c>
      <x:c r="M1967" s="84" t="str">
        <x:v>Contaminação</x:v>
      </x:c>
      <x:c r="N1967" s="84" t="str">
        <x:v>Componente ajustado ou substituído</x:v>
      </x:c>
      <x:c r="O1967" s="84" t="n">
        <x:v>0</x:v>
      </x:c>
      <x:c r="P1967" s="93" t="n">
        <x:v>268.49</x:v>
      </x:c>
      <x:c r="Q1967" s="93" t="n">
        <x:v>0</x:v>
      </x:c>
      <x:c r="R1967" s="91" t="n">
        <x:v>0</x:v>
      </x:c>
    </x:row>
    <x:row r="1968">
      <x:c r="A1968" s="83" t="n">
        <x:v>1967</x:v>
      </x:c>
      <x:c r="B1968" s="84" t="str">
        <x:v>OS-2023-01967</x:v>
      </x:c>
      <x:c r="C1968" s="84" t="n">
        <x:v>63</x:v>
      </x:c>
      <x:c r="D1968" s="84" t="n">
        <x:v>1</x:v>
      </x:c>
      <x:c r="E1968" s="84" t="n">
        <x:v>126</x:v>
      </x:c>
      <x:c r="F1968" s="89" t="n">
        <x:v>45136.9705787037</x:v>
      </x:c>
      <x:c r="G1968" s="89" t="n">
        <x:v>45136.9705787037</x:v>
      </x:c>
      <x:c r="H1968" s="89" t="n">
        <x:v>45137.51224537037</x:v>
      </x:c>
      <x:c r="I1968" s="89" t="n">
        <x:v>45138.13724537037</x:v>
      </x:c>
      <x:c r="J1968" s="84" t="str">
        <x:v>Baixa</x:v>
      </x:c>
      <x:c r="K1968" s="84" t="str">
        <x:v>Concluída</x:v>
      </x:c>
      <x:c r="L1968" s="84" t="str">
        <x:v>Falha elétrica</x:v>
      </x:c>
      <x:c r="M1968" s="84" t="str">
        <x:v>Contaminação</x:v>
      </x:c>
      <x:c r="N1968" s="84" t="str">
        <x:v>Componente ajustado ou substituído</x:v>
      </x:c>
      <x:c r="O1968" s="84" t="n">
        <x:v>0</x:v>
      </x:c>
      <x:c r="P1968" s="93" t="n">
        <x:v>106.78</x:v>
      </x:c>
      <x:c r="Q1968" s="93" t="n">
        <x:v>0</x:v>
      </x:c>
      <x:c r="R1968" s="91" t="n">
        <x:v>0</x:v>
      </x:c>
    </x:row>
    <x:row r="1969">
      <x:c r="A1969" s="83" t="n">
        <x:v>1968</x:v>
      </x:c>
      <x:c r="B1969" s="84" t="str">
        <x:v>OS-2023-01968</x:v>
      </x:c>
      <x:c r="C1969" s="84" t="n">
        <x:v>26</x:v>
      </x:c>
      <x:c r="D1969" s="84" t="n">
        <x:v>2</x:v>
      </x:c>
      <x:c r="E1969" s="84"/>
      <x:c r="F1969" s="89" t="n">
        <x:v>45232.21690972222</x:v>
      </x:c>
      <x:c r="G1969" s="89" t="n">
        <x:v>45239.21690972222</x:v>
      </x:c>
      <x:c r="H1969" s="89" t="n">
        <x:v>45234.383576388886</x:v>
      </x:c>
      <x:c r="I1969" s="89" t="n">
        <x:v>45235.05024305556</x:v>
      </x:c>
      <x:c r="J1969" s="84" t="str">
        <x:v>Média</x:v>
      </x:c>
      <x:c r="K1969" s="84" t="str">
        <x:v>Encerrada</x:v>
      </x:c>
      <x:c r="L1969" s="84" t="str">
        <x:v>Alarme intermitente</x:v>
      </x:c>
      <x:c r="M1969" s="84" t="str">
        <x:v>Desgaste natural</x:v>
      </x:c>
      <x:c r="N1969" s="84" t="str">
        <x:v>Componente ajustado ou substituído</x:v>
      </x:c>
      <x:c r="O1969" s="84" t="n">
        <x:v>0</x:v>
      </x:c>
      <x:c r="P1969" s="93" t="n">
        <x:v>654.97</x:v>
      </x:c>
      <x:c r="Q1969" s="93" t="n">
        <x:v>0</x:v>
      </x:c>
      <x:c r="R1969" s="91" t="n">
        <x:v>0</x:v>
      </x:c>
    </x:row>
    <x:row r="1970">
      <x:c r="A1970" s="83" t="n">
        <x:v>1969</x:v>
      </x:c>
      <x:c r="B1970" s="84" t="str">
        <x:v>OS-2025-01969</x:v>
      </x:c>
      <x:c r="C1970" s="84" t="n">
        <x:v>63</x:v>
      </x:c>
      <x:c r="D1970" s="84" t="n">
        <x:v>5</x:v>
      </x:c>
      <x:c r="E1970" s="84" t="n">
        <x:v>125</x:v>
      </x:c>
      <x:c r="F1970" s="89" t="n">
        <x:v>45717.19740740741</x:v>
      </x:c>
      <x:c r="G1970" s="89" t="n">
        <x:v>45720.19740740741</x:v>
      </x:c>
      <x:c r="H1970" s="89" t="n">
        <x:v>45717.32240740741</x:v>
      </x:c>
      <x:c r="I1970" s="89" t="n">
        <x:v>45717.78074074074</x:v>
      </x:c>
      <x:c r="J1970" s="84" t="str">
        <x:v>Baixa</x:v>
      </x:c>
      <x:c r="K1970" s="84" t="str">
        <x:v>Encerrada</x:v>
      </x:c>
      <x:c r="L1970" s="84" t="str">
        <x:v>Falha elétrica</x:v>
      </x:c>
      <x:c r="M1970" s="84" t="str">
        <x:v>Conexão frouxa</x:v>
      </x:c>
      <x:c r="N1970" s="84" t="str">
        <x:v>Componente ajustado ou substituído</x:v>
      </x:c>
      <x:c r="O1970" s="84" t="n">
        <x:v>0</x:v>
      </x:c>
      <x:c r="P1970" s="93" t="n">
        <x:v>759.28</x:v>
      </x:c>
      <x:c r="Q1970" s="93" t="n">
        <x:v>4716.24</x:v>
      </x:c>
      <x:c r="R1970" s="91" t="n">
        <x:v>0</x:v>
      </x:c>
    </x:row>
    <x:row r="1971">
      <x:c r="A1971" s="83" t="n">
        <x:v>1970</x:v>
      </x:c>
      <x:c r="B1971" s="84" t="str">
        <x:v>OS-2025-01970</x:v>
      </x:c>
      <x:c r="C1971" s="84" t="n">
        <x:v>11</x:v>
      </x:c>
      <x:c r="D1971" s="84" t="n">
        <x:v>1</x:v>
      </x:c>
      <x:c r="E1971" s="84" t="n">
        <x:v>21</x:v>
      </x:c>
      <x:c r="F1971" s="89" t="n">
        <x:v>45766.48091435185</x:v>
      </x:c>
      <x:c r="G1971" s="89" t="n">
        <x:v>45776.48091435185</x:v>
      </x:c>
      <x:c r="H1971" s="89" t="n">
        <x:v>45769.14758101852</x:v>
      </x:c>
      <x:c r="I1971" s="89" t="n">
        <x:v>45769.814247685186</x:v>
      </x:c>
      <x:c r="J1971" s="84" t="str">
        <x:v>Alta</x:v>
      </x:c>
      <x:c r="K1971" s="84" t="str">
        <x:v>Encerrada</x:v>
      </x:c>
      <x:c r="L1971" s="84" t="str">
        <x:v>Baixa pressão</x:v>
      </x:c>
      <x:c r="M1971" s="84" t="str">
        <x:v>Ajuste incorreto</x:v>
      </x:c>
      <x:c r="N1971" s="84" t="str">
        <x:v>Componente ajustado ou substituído</x:v>
      </x:c>
      <x:c r="O1971" s="84" t="n">
        <x:v>0</x:v>
      </x:c>
      <x:c r="P1971" s="93" t="n">
        <x:v>147.43</x:v>
      </x:c>
      <x:c r="Q1971" s="93" t="n">
        <x:v>12457.51</x:v>
      </x:c>
      <x:c r="R1971" s="91" t="n">
        <x:v>0</x:v>
      </x:c>
    </x:row>
    <x:row r="1972">
      <x:c r="A1972" s="83" t="n">
        <x:v>1971</x:v>
      </x:c>
      <x:c r="B1972" s="84" t="str">
        <x:v>OS-2025-01971</x:v>
      </x:c>
      <x:c r="C1972" s="84" t="n">
        <x:v>37</x:v>
      </x:c>
      <x:c r="D1972" s="84" t="n">
        <x:v>1</x:v>
      </x:c>
      <x:c r="E1972" s="84" t="n">
        <x:v>74</x:v>
      </x:c>
      <x:c r="F1972" s="89" t="n">
        <x:v>46014.007060185184</x:v>
      </x:c>
      <x:c r="G1972" s="89" t="n">
        <x:v>46016.007060185184</x:v>
      </x:c>
      <x:c r="H1972" s="89" t="n">
        <x:v>46016.298726851855</x:v>
      </x:c>
      <x:c r="I1972" s="89" t="n">
        <x:v>46016.34039351852</x:v>
      </x:c>
      <x:c r="J1972" s="84" t="str">
        <x:v>Média</x:v>
      </x:c>
      <x:c r="K1972" s="84" t="str">
        <x:v>Encerrada</x:v>
      </x:c>
      <x:c r="L1972" s="84" t="str">
        <x:v>Vazamento</x:v>
      </x:c>
      <x:c r="M1972" s="84" t="str">
        <x:v>Conexão frouxa</x:v>
      </x:c>
      <x:c r="N1972" s="84" t="str">
        <x:v>Componente ajustado ou substituído</x:v>
      </x:c>
      <x:c r="O1972" s="84" t="n">
        <x:v>0</x:v>
      </x:c>
      <x:c r="P1972" s="93" t="n">
        <x:v>215.17</x:v>
      </x:c>
      <x:c r="Q1972" s="93" t="n">
        <x:v>2171.74</x:v>
      </x:c>
      <x:c r="R1972" s="91" t="n">
        <x:v>0</x:v>
      </x:c>
    </x:row>
    <x:row r="1973">
      <x:c r="A1973" s="83" t="n">
        <x:v>1972</x:v>
      </x:c>
      <x:c r="B1973" s="84" t="str">
        <x:v>OS-2024-01972</x:v>
      </x:c>
      <x:c r="C1973" s="84" t="n">
        <x:v>45</x:v>
      </x:c>
      <x:c r="D1973" s="84" t="n">
        <x:v>2</x:v>
      </x:c>
      <x:c r="E1973" s="84"/>
      <x:c r="F1973" s="89" t="n">
        <x:v>45472.89366898148</x:v>
      </x:c>
      <x:c r="G1973" s="89" t="n">
        <x:v>45473.89366898148</x:v>
      </x:c>
      <x:c r="H1973" s="89" t="n">
        <x:v>45475.56033564815</x:v>
      </x:c>
      <x:c r="I1973" s="89" t="n">
        <x:v>45476.01866898148</x:v>
      </x:c>
      <x:c r="J1973" s="84" t="str">
        <x:v>Alta</x:v>
      </x:c>
      <x:c r="K1973" s="84" t="str">
        <x:v>Encerrada</x:v>
      </x:c>
      <x:c r="L1973" s="84" t="str">
        <x:v>Falha elétrica</x:v>
      </x:c>
      <x:c r="M1973" s="84" t="str">
        <x:v>Desgaste natural</x:v>
      </x:c>
      <x:c r="N1973" s="84" t="str">
        <x:v>Componente ajustado ou substituído</x:v>
      </x:c>
      <x:c r="O1973" s="84" t="n">
        <x:v>0</x:v>
      </x:c>
      <x:c r="P1973" s="93" t="n">
        <x:v>510.04</x:v>
      </x:c>
      <x:c r="Q1973" s="93" t="n">
        <x:v>4775.58</x:v>
      </x:c>
      <x:c r="R1973" s="91" t="n">
        <x:v>0</x:v>
      </x:c>
    </x:row>
    <x:row r="1974">
      <x:c r="A1974" s="83" t="n">
        <x:v>1973</x:v>
      </x:c>
      <x:c r="B1974" s="84" t="str">
        <x:v>OS-2023-01973</x:v>
      </x:c>
      <x:c r="C1974" s="84" t="n">
        <x:v>33</x:v>
      </x:c>
      <x:c r="D1974" s="84" t="n">
        <x:v>1</x:v>
      </x:c>
      <x:c r="E1974" s="84" t="n">
        <x:v>66</x:v>
      </x:c>
      <x:c r="F1974" s="89" t="n">
        <x:v>45290.150185185186</x:v>
      </x:c>
      <x:c r="G1974" s="89" t="n">
        <x:v>45303.150185185186</x:v>
      </x:c>
      <x:c r="H1974" s="89"/>
      <x:c r="I1974" s="89"/>
      <x:c r="J1974" s="84" t="str">
        <x:v>Crítica</x:v>
      </x:c>
      <x:c r="K1974" s="84" t="str">
        <x:v>Planejada</x:v>
      </x:c>
      <x:c r="L1974" s="84" t="str">
        <x:v>Vazamento</x:v>
      </x:c>
      <x:c r="M1974" s="84"/>
      <x:c r="N1974" s="84"/>
      <x:c r="O1974" s="84" t="n">
        <x:v>0</x:v>
      </x:c>
      <x:c r="P1974" s="93" t="n">
        <x:v>0</x:v>
      </x:c>
      <x:c r="Q1974" s="93" t="n">
        <x:v>0</x:v>
      </x:c>
      <x:c r="R1974" s="91" t="n">
        <x:v>0</x:v>
      </x:c>
    </x:row>
    <x:row r="1975">
      <x:c r="A1975" s="83" t="n">
        <x:v>1974</x:v>
      </x:c>
      <x:c r="B1975" s="84" t="str">
        <x:v>OS-2024-01974</x:v>
      </x:c>
      <x:c r="C1975" s="84" t="n">
        <x:v>64</x:v>
      </x:c>
      <x:c r="D1975" s="84" t="n">
        <x:v>3</x:v>
      </x:c>
      <x:c r="E1975" s="84"/>
      <x:c r="F1975" s="89" t="n">
        <x:v>45523.439988425926</x:v>
      </x:c>
      <x:c r="G1975" s="89"/>
      <x:c r="H1975" s="89"/>
      <x:c r="I1975" s="89"/>
      <x:c r="J1975" s="84" t="str">
        <x:v>Média</x:v>
      </x:c>
      <x:c r="K1975" s="84" t="str">
        <x:v>Cancelada</x:v>
      </x:c>
      <x:c r="L1975" s="84" t="str">
        <x:v>Desalinhamento</x:v>
      </x:c>
      <x:c r="M1975" s="84"/>
      <x:c r="N1975" s="84"/>
      <x:c r="O1975" s="84" t="n">
        <x:v>0</x:v>
      </x:c>
      <x:c r="P1975" s="93" t="n">
        <x:v>0</x:v>
      </x:c>
      <x:c r="Q1975" s="93" t="n">
        <x:v>0</x:v>
      </x:c>
      <x:c r="R1975" s="91" t="n">
        <x:v>0</x:v>
      </x:c>
    </x:row>
    <x:row r="1976">
      <x:c r="A1976" s="83" t="n">
        <x:v>1975</x:v>
      </x:c>
      <x:c r="B1976" s="84" t="str">
        <x:v>OS-2024-01975</x:v>
      </x:c>
      <x:c r="C1976" s="84" t="n">
        <x:v>10</x:v>
      </x:c>
      <x:c r="D1976" s="84" t="n">
        <x:v>6</x:v>
      </x:c>
      <x:c r="E1976" s="84"/>
      <x:c r="F1976" s="89" t="n">
        <x:v>45460.28775462963</x:v>
      </x:c>
      <x:c r="G1976" s="89" t="n">
        <x:v>45461.28775462963</x:v>
      </x:c>
      <x:c r="H1976" s="89" t="n">
        <x:v>45461.03775462963</x:v>
      </x:c>
      <x:c r="I1976" s="89" t="n">
        <x:v>45461.28775462963</x:v>
      </x:c>
      <x:c r="J1976" s="84" t="str">
        <x:v>Baixa</x:v>
      </x:c>
      <x:c r="K1976" s="84" t="str">
        <x:v>Concluída</x:v>
      </x:c>
      <x:c r="L1976" s="84" t="str">
        <x:v>Baixa pressão</x:v>
      </x:c>
      <x:c r="M1976" s="84" t="str">
        <x:v>Conexão frouxa</x:v>
      </x:c>
      <x:c r="N1976" s="84" t="str">
        <x:v>Componente ajustado ou substituído</x:v>
      </x:c>
      <x:c r="O1976" s="84" t="n">
        <x:v>0</x:v>
      </x:c>
      <x:c r="P1976" s="93" t="n">
        <x:v>369.14</x:v>
      </x:c>
      <x:c r="Q1976" s="93" t="n">
        <x:v>2067.42</x:v>
      </x:c>
      <x:c r="R1976" s="91" t="n">
        <x:v>0</x:v>
      </x:c>
    </x:row>
    <x:row r="1977">
      <x:c r="A1977" s="83" t="n">
        <x:v>1976</x:v>
      </x:c>
      <x:c r="B1977" s="84" t="str">
        <x:v>OS-2025-01976</x:v>
      </x:c>
      <x:c r="C1977" s="84" t="n">
        <x:v>15</x:v>
      </x:c>
      <x:c r="D1977" s="84" t="n">
        <x:v>4</x:v>
      </x:c>
      <x:c r="E1977" s="84"/>
      <x:c r="F1977" s="89" t="n">
        <x:v>45921.09645833333</x:v>
      </x:c>
      <x:c r="G1977" s="89" t="n">
        <x:v>45921.09645833333</x:v>
      </x:c>
      <x:c r="H1977" s="89" t="n">
        <x:v>45921.67979166667</x:v>
      </x:c>
      <x:c r="I1977" s="89" t="n">
        <x:v>45922.513125</x:v>
      </x:c>
      <x:c r="J1977" s="84" t="str">
        <x:v>Baixa</x:v>
      </x:c>
      <x:c r="K1977" s="84" t="str">
        <x:v>Encerrada</x:v>
      </x:c>
      <x:c r="L1977" s="84" t="str">
        <x:v>Vazamento</x:v>
      </x:c>
      <x:c r="M1977" s="84" t="str">
        <x:v>Desgaste natural</x:v>
      </x:c>
      <x:c r="N1977" s="84" t="str">
        <x:v>Componente ajustado ou substituído</x:v>
      </x:c>
      <x:c r="O1977" s="84" t="n">
        <x:v>0</x:v>
      </x:c>
      <x:c r="P1977" s="93" t="n">
        <x:v>457.49</x:v>
      </x:c>
      <x:c r="Q1977" s="93" t="n">
        <x:v>9038.35</x:v>
      </x:c>
      <x:c r="R1977" s="91" t="n">
        <x:v>12657.93</x:v>
      </x:c>
    </x:row>
    <x:row r="1978">
      <x:c r="A1978" s="83" t="n">
        <x:v>1977</x:v>
      </x:c>
      <x:c r="B1978" s="84" t="str">
        <x:v>OS-2023-01977</x:v>
      </x:c>
      <x:c r="C1978" s="84" t="n">
        <x:v>73</x:v>
      </x:c>
      <x:c r="D1978" s="84" t="n">
        <x:v>3</x:v>
      </x:c>
      <x:c r="E1978" s="84"/>
      <x:c r="F1978" s="89" t="n">
        <x:v>45270.5687962963</x:v>
      </x:c>
      <x:c r="G1978" s="89"/>
      <x:c r="H1978" s="89" t="n">
        <x:v>45270.9437962963</x:v>
      </x:c>
      <x:c r="I1978" s="89" t="n">
        <x:v>45271.5687962963</x:v>
      </x:c>
      <x:c r="J1978" s="84" t="str">
        <x:v>Alta</x:v>
      </x:c>
      <x:c r="K1978" s="84" t="str">
        <x:v>Encerrada</x:v>
      </x:c>
      <x:c r="L1978" s="84" t="str">
        <x:v>Falha elétrica</x:v>
      </x:c>
      <x:c r="M1978" s="84" t="str">
        <x:v>Falta de lubrificação</x:v>
      </x:c>
      <x:c r="N1978" s="84" t="str">
        <x:v>Componente ajustado ou substituído</x:v>
      </x:c>
      <x:c r="O1978" s="84" t="n">
        <x:v>0</x:v>
      </x:c>
      <x:c r="P1978" s="93" t="n">
        <x:v>329.17</x:v>
      </x:c>
      <x:c r="Q1978" s="93" t="n">
        <x:v>0</x:v>
      </x:c>
      <x:c r="R1978" s="91" t="n">
        <x:v>0</x:v>
      </x:c>
    </x:row>
    <x:row r="1979">
      <x:c r="A1979" s="83" t="n">
        <x:v>1978</x:v>
      </x:c>
      <x:c r="B1979" s="84" t="str">
        <x:v>OS-2024-01978</x:v>
      </x:c>
      <x:c r="C1979" s="84" t="n">
        <x:v>17</x:v>
      </x:c>
      <x:c r="D1979" s="84" t="n">
        <x:v>3</x:v>
      </x:c>
      <x:c r="E1979" s="84"/>
      <x:c r="F1979" s="89" t="n">
        <x:v>45647.37777777778</x:v>
      </x:c>
      <x:c r="G1979" s="89"/>
      <x:c r="H1979" s="89"/>
      <x:c r="I1979" s="89"/>
      <x:c r="J1979" s="84" t="str">
        <x:v>Média</x:v>
      </x:c>
      <x:c r="K1979" s="84" t="str">
        <x:v>Planejada</x:v>
      </x:c>
      <x:c r="L1979" s="84" t="str">
        <x:v>Desalinhamento</x:v>
      </x:c>
      <x:c r="M1979" s="84"/>
      <x:c r="N1979" s="84"/>
      <x:c r="O1979" s="84" t="n">
        <x:v>0</x:v>
      </x:c>
      <x:c r="P1979" s="93" t="n">
        <x:v>0</x:v>
      </x:c>
      <x:c r="Q1979" s="93" t="n">
        <x:v>0</x:v>
      </x:c>
      <x:c r="R1979" s="91" t="n">
        <x:v>0</x:v>
      </x:c>
    </x:row>
    <x:row r="1980">
      <x:c r="A1980" s="83" t="n">
        <x:v>1979</x:v>
      </x:c>
      <x:c r="B1980" s="84" t="str">
        <x:v>OS-2025-01979</x:v>
      </x:c>
      <x:c r="C1980" s="84" t="n">
        <x:v>40</x:v>
      </x:c>
      <x:c r="D1980" s="84" t="n">
        <x:v>8</x:v>
      </x:c>
      <x:c r="E1980" s="84"/>
      <x:c r="F1980" s="89" t="n">
        <x:v>45664.20576388889</x:v>
      </x:c>
      <x:c r="G1980" s="89" t="n">
        <x:v>45664.20576388889</x:v>
      </x:c>
      <x:c r="H1980" s="89" t="n">
        <x:v>45664.24743055556</x:v>
      </x:c>
      <x:c r="I1980" s="89" t="n">
        <x:v>45664.83076388889</x:v>
      </x:c>
      <x:c r="J1980" s="84" t="str">
        <x:v>Média</x:v>
      </x:c>
      <x:c r="K1980" s="84" t="str">
        <x:v>Encerrada</x:v>
      </x:c>
      <x:c r="L1980" s="84" t="str">
        <x:v>Desalinhamento</x:v>
      </x:c>
      <x:c r="M1980" s="84" t="str">
        <x:v>Falta de lubrificação</x:v>
      </x:c>
      <x:c r="N1980" s="84" t="str">
        <x:v>Componente ajustado ou substituído</x:v>
      </x:c>
      <x:c r="O1980" s="84" t="n">
        <x:v>0</x:v>
      </x:c>
      <x:c r="P1980" s="93" t="n">
        <x:v>367.48</x:v>
      </x:c>
      <x:c r="Q1980" s="93" t="n">
        <x:v>8702.48</x:v>
      </x:c>
      <x:c r="R1980" s="91" t="n">
        <x:v>0</x:v>
      </x:c>
    </x:row>
    <x:row r="1981">
      <x:c r="A1981" s="83" t="n">
        <x:v>1980</x:v>
      </x:c>
      <x:c r="B1981" s="84" t="str">
        <x:v>OS-2025-01980</x:v>
      </x:c>
      <x:c r="C1981" s="84" t="n">
        <x:v>41</x:v>
      </x:c>
      <x:c r="D1981" s="84" t="n">
        <x:v>5</x:v>
      </x:c>
      <x:c r="E1981" s="84" t="n">
        <x:v>82</x:v>
      </x:c>
      <x:c r="F1981" s="89" t="n">
        <x:v>45835.29056712963</x:v>
      </x:c>
      <x:c r="G1981" s="89" t="n">
        <x:v>45847.29056712963</x:v>
      </x:c>
      <x:c r="H1981" s="89" t="n">
        <x:v>45837.207233796296</x:v>
      </x:c>
      <x:c r="I1981" s="89" t="n">
        <x:v>45837.74890046296</x:v>
      </x:c>
      <x:c r="J1981" s="84" t="str">
        <x:v>Alta</x:v>
      </x:c>
      <x:c r="K1981" s="84" t="str">
        <x:v>Concluída</x:v>
      </x:c>
      <x:c r="L1981" s="84" t="str">
        <x:v>Superaquecimento</x:v>
      </x:c>
      <x:c r="M1981" s="84" t="str">
        <x:v>Contaminação</x:v>
      </x:c>
      <x:c r="N1981" s="84" t="str">
        <x:v>Componente ajustado ou substituído</x:v>
      </x:c>
      <x:c r="O1981" s="84" t="n">
        <x:v>0</x:v>
      </x:c>
      <x:c r="P1981" s="93" t="n">
        <x:v>553.86</x:v>
      </x:c>
      <x:c r="Q1981" s="93" t="n">
        <x:v>0</x:v>
      </x:c>
      <x:c r="R1981" s="91" t="n">
        <x:v>0</x:v>
      </x:c>
    </x:row>
    <x:row r="1982">
      <x:c r="A1982" s="83" t="n">
        <x:v>1981</x:v>
      </x:c>
      <x:c r="B1982" s="84" t="str">
        <x:v>OS-2024-01981</x:v>
      </x:c>
      <x:c r="C1982" s="84" t="n">
        <x:v>34</x:v>
      </x:c>
      <x:c r="D1982" s="84" t="n">
        <x:v>2</x:v>
      </x:c>
      <x:c r="E1982" s="84"/>
      <x:c r="F1982" s="89" t="n">
        <x:v>45652.3965625</x:v>
      </x:c>
      <x:c r="G1982" s="89" t="n">
        <x:v>45655.3965625</x:v>
      </x:c>
      <x:c r="H1982" s="89" t="n">
        <x:v>45654.604895833334</x:v>
      </x:c>
      <x:c r="I1982" s="89" t="n">
        <x:v>45654.81322916667</x:v>
      </x:c>
      <x:c r="J1982" s="84" t="str">
        <x:v>Crítica</x:v>
      </x:c>
      <x:c r="K1982" s="84" t="str">
        <x:v>Encerrada</x:v>
      </x:c>
      <x:c r="L1982" s="84" t="str">
        <x:v>Baixa pressão</x:v>
      </x:c>
      <x:c r="M1982" s="84" t="str">
        <x:v>Desgaste natural</x:v>
      </x:c>
      <x:c r="N1982" s="84" t="str">
        <x:v>Componente ajustado ou substituído</x:v>
      </x:c>
      <x:c r="O1982" s="84" t="n">
        <x:v>0</x:v>
      </x:c>
      <x:c r="P1982" s="93" t="n">
        <x:v>296.2</x:v>
      </x:c>
      <x:c r="Q1982" s="93" t="n">
        <x:v>0</x:v>
      </x:c>
      <x:c r="R1982" s="91" t="n">
        <x:v>9927.55</x:v>
      </x:c>
    </x:row>
    <x:row r="1983">
      <x:c r="A1983" s="83" t="n">
        <x:v>1982</x:v>
      </x:c>
      <x:c r="B1983" s="84" t="str">
        <x:v>OS-2025-01982</x:v>
      </x:c>
      <x:c r="C1983" s="84" t="n">
        <x:v>82</x:v>
      </x:c>
      <x:c r="D1983" s="84" t="n">
        <x:v>3</x:v>
      </x:c>
      <x:c r="E1983" s="84"/>
      <x:c r="F1983" s="89" t="n">
        <x:v>45980.13261574074</x:v>
      </x:c>
      <x:c r="G1983" s="89"/>
      <x:c r="H1983" s="89" t="n">
        <x:v>45982.17428240741</x:v>
      </x:c>
      <x:c r="I1983" s="89" t="n">
        <x:v>45982.88261574074</x:v>
      </x:c>
      <x:c r="J1983" s="84" t="str">
        <x:v>Alta</x:v>
      </x:c>
      <x:c r="K1983" s="84" t="str">
        <x:v>Encerrada</x:v>
      </x:c>
      <x:c r="L1983" s="84" t="str">
        <x:v>Ruído anormal</x:v>
      </x:c>
      <x:c r="M1983" s="84" t="str">
        <x:v>Ajuste incorreto</x:v>
      </x:c>
      <x:c r="N1983" s="84" t="str">
        <x:v>Componente ajustado ou substituído</x:v>
      </x:c>
      <x:c r="O1983" s="84" t="n">
        <x:v>0</x:v>
      </x:c>
      <x:c r="P1983" s="93" t="n">
        <x:v>256.84</x:v>
      </x:c>
      <x:c r="Q1983" s="93" t="n">
        <x:v>4312.9</x:v>
      </x:c>
      <x:c r="R1983" s="91" t="n">
        <x:v>0</x:v>
      </x:c>
    </x:row>
    <x:row r="1984">
      <x:c r="A1984" s="83" t="n">
        <x:v>1983</x:v>
      </x:c>
      <x:c r="B1984" s="84" t="str">
        <x:v>OS-2024-01983</x:v>
      </x:c>
      <x:c r="C1984" s="84" t="n">
        <x:v>76</x:v>
      </x:c>
      <x:c r="D1984" s="84" t="n">
        <x:v>3</x:v>
      </x:c>
      <x:c r="E1984" s="84"/>
      <x:c r="F1984" s="89" t="n">
        <x:v>45319.767743055556</x:v>
      </x:c>
      <x:c r="G1984" s="89"/>
      <x:c r="H1984" s="89" t="n">
        <x:v>45321.017743055556</x:v>
      </x:c>
      <x:c r="I1984" s="89" t="n">
        <x:v>45321.267743055556</x:v>
      </x:c>
      <x:c r="J1984" s="84" t="str">
        <x:v>Alta</x:v>
      </x:c>
      <x:c r="K1984" s="84" t="str">
        <x:v>Encerrada</x:v>
      </x:c>
      <x:c r="L1984" s="84" t="str">
        <x:v>Desalinhamento</x:v>
      </x:c>
      <x:c r="M1984" s="84" t="str">
        <x:v>Falta de lubrificação</x:v>
      </x:c>
      <x:c r="N1984" s="84" t="str">
        <x:v>Componente ajustado ou substituído</x:v>
      </x:c>
      <x:c r="O1984" s="84" t="n">
        <x:v>0</x:v>
      </x:c>
      <x:c r="P1984" s="93" t="n">
        <x:v>274.4</x:v>
      </x:c>
      <x:c r="Q1984" s="93" t="n">
        <x:v>0</x:v>
      </x:c>
      <x:c r="R1984" s="91" t="n">
        <x:v>1090.82</x:v>
      </x:c>
    </x:row>
    <x:row r="1985">
      <x:c r="A1985" s="83" t="n">
        <x:v>1984</x:v>
      </x:c>
      <x:c r="B1985" s="84" t="str">
        <x:v>OS-2023-01984</x:v>
      </x:c>
      <x:c r="C1985" s="84" t="n">
        <x:v>60</x:v>
      </x:c>
      <x:c r="D1985" s="84" t="n">
        <x:v>4</x:v>
      </x:c>
      <x:c r="E1985" s="84"/>
      <x:c r="F1985" s="89" t="n">
        <x:v>45071.18003472222</x:v>
      </x:c>
      <x:c r="G1985" s="89" t="n">
        <x:v>45086.18003472222</x:v>
      </x:c>
      <x:c r="H1985" s="89" t="n">
        <x:v>45073.88836805556</x:v>
      </x:c>
      <x:c r="I1985" s="89" t="n">
        <x:v>45074.30503472222</x:v>
      </x:c>
      <x:c r="J1985" s="84" t="str">
        <x:v>Alta</x:v>
      </x:c>
      <x:c r="K1985" s="84" t="str">
        <x:v>Encerrada</x:v>
      </x:c>
      <x:c r="L1985" s="84" t="str">
        <x:v>Vazamento</x:v>
      </x:c>
      <x:c r="M1985" s="84" t="str">
        <x:v>Contaminação</x:v>
      </x:c>
      <x:c r="N1985" s="84" t="str">
        <x:v>Componente ajustado ou substituído</x:v>
      </x:c>
      <x:c r="O1985" s="84" t="n">
        <x:v>0</x:v>
      </x:c>
      <x:c r="P1985" s="93" t="n">
        <x:v>534.92</x:v>
      </x:c>
      <x:c r="Q1985" s="93" t="n">
        <x:v>6687.2</x:v>
      </x:c>
      <x:c r="R1985" s="91" t="n">
        <x:v>6923.32</x:v>
      </x:c>
    </x:row>
    <x:row r="1986">
      <x:c r="A1986" s="83" t="n">
        <x:v>1985</x:v>
      </x:c>
      <x:c r="B1986" s="84" t="str">
        <x:v>OS-2025-01985</x:v>
      </x:c>
      <x:c r="C1986" s="84" t="n">
        <x:v>29</x:v>
      </x:c>
      <x:c r="D1986" s="84" t="n">
        <x:v>2</x:v>
      </x:c>
      <x:c r="E1986" s="84"/>
      <x:c r="F1986" s="89" t="n">
        <x:v>45887.26138888889</x:v>
      </x:c>
      <x:c r="G1986" s="89" t="n">
        <x:v>45894.26138888889</x:v>
      </x:c>
      <x:c r="H1986" s="89" t="n">
        <x:v>45887.67805555555</x:v>
      </x:c>
      <x:c r="I1986" s="89" t="n">
        <x:v>45888.51138888889</x:v>
      </x:c>
      <x:c r="J1986" s="84" t="str">
        <x:v>Média</x:v>
      </x:c>
      <x:c r="K1986" s="84" t="str">
        <x:v>Encerrada</x:v>
      </x:c>
      <x:c r="L1986" s="84" t="str">
        <x:v>Vazamento</x:v>
      </x:c>
      <x:c r="M1986" s="84" t="str">
        <x:v>Falta de lubrificação</x:v>
      </x:c>
      <x:c r="N1986" s="84" t="str">
        <x:v>Componente ajustado ou substituído</x:v>
      </x:c>
      <x:c r="O1986" s="84" t="n">
        <x:v>0</x:v>
      </x:c>
      <x:c r="P1986" s="93" t="n">
        <x:v>630.52</x:v>
      </x:c>
      <x:c r="Q1986" s="93" t="n">
        <x:v>7258.02</x:v>
      </x:c>
      <x:c r="R1986" s="91" t="n">
        <x:v>0</x:v>
      </x:c>
    </x:row>
    <x:row r="1987">
      <x:c r="A1987" s="83" t="n">
        <x:v>1986</x:v>
      </x:c>
      <x:c r="B1987" s="84" t="str">
        <x:v>OS-2024-01986</x:v>
      </x:c>
      <x:c r="C1987" s="84" t="n">
        <x:v>29</x:v>
      </x:c>
      <x:c r="D1987" s="84" t="n">
        <x:v>4</x:v>
      </x:c>
      <x:c r="E1987" s="84"/>
      <x:c r="F1987" s="89" t="n">
        <x:v>45507.64581018518</x:v>
      </x:c>
      <x:c r="G1987" s="89" t="n">
        <x:v>45507.64581018518</x:v>
      </x:c>
      <x:c r="H1987" s="89" t="n">
        <x:v>45508.27081018518</x:v>
      </x:c>
      <x:c r="I1987" s="89" t="n">
        <x:v>45508.89581018518</x:v>
      </x:c>
      <x:c r="J1987" s="84" t="str">
        <x:v>Baixa</x:v>
      </x:c>
      <x:c r="K1987" s="84" t="str">
        <x:v>Concluída</x:v>
      </x:c>
      <x:c r="L1987" s="84" t="str">
        <x:v>Superaquecimento</x:v>
      </x:c>
      <x:c r="M1987" s="84" t="str">
        <x:v>Desgaste natural</x:v>
      </x:c>
      <x:c r="N1987" s="84" t="str">
        <x:v>Componente ajustado ou substituído</x:v>
      </x:c>
      <x:c r="O1987" s="84" t="n">
        <x:v>0</x:v>
      </x:c>
      <x:c r="P1987" s="93" t="n">
        <x:v>546.82</x:v>
      </x:c>
      <x:c r="Q1987" s="93" t="n">
        <x:v>10706.16</x:v>
      </x:c>
      <x:c r="R1987" s="91" t="n">
        <x:v>0</x:v>
      </x:c>
    </x:row>
    <x:row r="1988">
      <x:c r="A1988" s="83" t="n">
        <x:v>1987</x:v>
      </x:c>
      <x:c r="B1988" s="84" t="str">
        <x:v>OS-2025-01987</x:v>
      </x:c>
      <x:c r="C1988" s="84" t="n">
        <x:v>13</x:v>
      </x:c>
      <x:c r="D1988" s="84" t="n">
        <x:v>1</x:v>
      </x:c>
      <x:c r="E1988" s="84" t="n">
        <x:v>26</x:v>
      </x:c>
      <x:c r="F1988" s="89" t="n">
        <x:v>45982.45724537037</x:v>
      </x:c>
      <x:c r="G1988" s="89" t="n">
        <x:v>45986.45724537037</x:v>
      </x:c>
      <x:c r="H1988" s="89" t="n">
        <x:v>45983.1655787037</x:v>
      </x:c>
      <x:c r="I1988" s="89" t="n">
        <x:v>45983.99891203704</x:v>
      </x:c>
      <x:c r="J1988" s="84" t="str">
        <x:v>Crítica</x:v>
      </x:c>
      <x:c r="K1988" s="84" t="str">
        <x:v>Concluída</x:v>
      </x:c>
      <x:c r="L1988" s="84" t="str">
        <x:v>Baixa pressão</x:v>
      </x:c>
      <x:c r="M1988" s="84" t="str">
        <x:v>Desgaste natural</x:v>
      </x:c>
      <x:c r="N1988" s="84" t="str">
        <x:v>Componente ajustado ou substituído</x:v>
      </x:c>
      <x:c r="O1988" s="84" t="n">
        <x:v>0</x:v>
      </x:c>
      <x:c r="P1988" s="93" t="n">
        <x:v>569.93</x:v>
      </x:c>
      <x:c r="Q1988" s="93" t="n">
        <x:v>0</x:v>
      </x:c>
      <x:c r="R1988" s="91" t="n">
        <x:v>0</x:v>
      </x:c>
    </x:row>
    <x:row r="1989">
      <x:c r="A1989" s="83" t="n">
        <x:v>1988</x:v>
      </x:c>
      <x:c r="B1989" s="84" t="str">
        <x:v>OS-2024-01988</x:v>
      </x:c>
      <x:c r="C1989" s="84" t="n">
        <x:v>37</x:v>
      </x:c>
      <x:c r="D1989" s="84" t="n">
        <x:v>2</x:v>
      </x:c>
      <x:c r="E1989" s="84"/>
      <x:c r="F1989" s="89" t="n">
        <x:v>45423.55611111111</x:v>
      </x:c>
      <x:c r="G1989" s="89" t="n">
        <x:v>45437.55611111111</x:v>
      </x:c>
      <x:c r="H1989" s="89" t="n">
        <x:v>45425.514444444445</x:v>
      </x:c>
      <x:c r="I1989" s="89" t="n">
        <x:v>45426.09777777778</x:v>
      </x:c>
      <x:c r="J1989" s="84" t="str">
        <x:v>Alta</x:v>
      </x:c>
      <x:c r="K1989" s="84" t="str">
        <x:v>Encerrada</x:v>
      </x:c>
      <x:c r="L1989" s="84" t="str">
        <x:v>Baixa pressão</x:v>
      </x:c>
      <x:c r="M1989" s="84" t="str">
        <x:v>Desgaste natural</x:v>
      </x:c>
      <x:c r="N1989" s="84" t="str">
        <x:v>Componente ajustado ou substituído</x:v>
      </x:c>
      <x:c r="O1989" s="84" t="n">
        <x:v>0</x:v>
      </x:c>
      <x:c r="P1989" s="93" t="n">
        <x:v>424.33</x:v>
      </x:c>
      <x:c r="Q1989" s="93" t="n">
        <x:v>3373.91</x:v>
      </x:c>
      <x:c r="R1989" s="91" t="n">
        <x:v>0</x:v>
      </x:c>
    </x:row>
    <x:row r="1990">
      <x:c r="A1990" s="83" t="n">
        <x:v>1989</x:v>
      </x:c>
      <x:c r="B1990" s="84" t="str">
        <x:v>OS-2023-01989</x:v>
      </x:c>
      <x:c r="C1990" s="84" t="n">
        <x:v>18</x:v>
      </x:c>
      <x:c r="D1990" s="84" t="n">
        <x:v>1</x:v>
      </x:c>
      <x:c r="E1990" s="84" t="n">
        <x:v>35</x:v>
      </x:c>
      <x:c r="F1990" s="89" t="n">
        <x:v>45246.69949074074</x:v>
      </x:c>
      <x:c r="G1990" s="89" t="n">
        <x:v>45253.69949074074</x:v>
      </x:c>
      <x:c r="H1990" s="89" t="n">
        <x:v>45246.99115740741</x:v>
      </x:c>
      <x:c r="I1990" s="89" t="n">
        <x:v>45247.78282407407</x:v>
      </x:c>
      <x:c r="J1990" s="84" t="str">
        <x:v>Crítica</x:v>
      </x:c>
      <x:c r="K1990" s="84" t="str">
        <x:v>Encerrada</x:v>
      </x:c>
      <x:c r="L1990" s="84" t="str">
        <x:v>Falha elétrica</x:v>
      </x:c>
      <x:c r="M1990" s="84" t="str">
        <x:v>Ajuste incorreto</x:v>
      </x:c>
      <x:c r="N1990" s="84" t="str">
        <x:v>Componente ajustado ou substituído</x:v>
      </x:c>
      <x:c r="O1990" s="84" t="n">
        <x:v>0</x:v>
      </x:c>
      <x:c r="P1990" s="93" t="n">
        <x:v>539.88</x:v>
      </x:c>
      <x:c r="Q1990" s="93" t="n">
        <x:v>1499.85</x:v>
      </x:c>
      <x:c r="R1990" s="91" t="n">
        <x:v>0</x:v>
      </x:c>
    </x:row>
    <x:row r="1991">
      <x:c r="A1991" s="83" t="n">
        <x:v>1990</x:v>
      </x:c>
      <x:c r="B1991" s="84" t="str">
        <x:v>OS-2023-01990</x:v>
      </x:c>
      <x:c r="C1991" s="84" t="n">
        <x:v>8</x:v>
      </x:c>
      <x:c r="D1991" s="84" t="n">
        <x:v>5</x:v>
      </x:c>
      <x:c r="E1991" s="84" t="n">
        <x:v>15</x:v>
      </x:c>
      <x:c r="F1991" s="89" t="n">
        <x:v>45182.06695601852</x:v>
      </x:c>
      <x:c r="G1991" s="89" t="n">
        <x:v>45190.06695601852</x:v>
      </x:c>
      <x:c r="H1991" s="89" t="n">
        <x:v>45184.94195601852</x:v>
      </x:c>
      <x:c r="I1991" s="89" t="n">
        <x:v>45185.233622685184</x:v>
      </x:c>
      <x:c r="J1991" s="84" t="str">
        <x:v>Média</x:v>
      </x:c>
      <x:c r="K1991" s="84" t="str">
        <x:v>Encerrada</x:v>
      </x:c>
      <x:c r="L1991" s="84" t="str">
        <x:v>Superaquecimento</x:v>
      </x:c>
      <x:c r="M1991" s="84" t="str">
        <x:v>Contaminação</x:v>
      </x:c>
      <x:c r="N1991" s="84" t="str">
        <x:v>Componente ajustado ou substituído</x:v>
      </x:c>
      <x:c r="O1991" s="84" t="n">
        <x:v>0</x:v>
      </x:c>
      <x:c r="P1991" s="93" t="n">
        <x:v>721.9</x:v>
      </x:c>
      <x:c r="Q1991" s="93" t="n">
        <x:v>6453</x:v>
      </x:c>
      <x:c r="R1991" s="91" t="n">
        <x:v>0</x:v>
      </x:c>
    </x:row>
    <x:row r="1992">
      <x:c r="A1992" s="83" t="n">
        <x:v>1991</x:v>
      </x:c>
      <x:c r="B1992" s="84" t="str">
        <x:v>OS-2023-01991</x:v>
      </x:c>
      <x:c r="C1992" s="84" t="n">
        <x:v>44</x:v>
      </x:c>
      <x:c r="D1992" s="84" t="n">
        <x:v>5</x:v>
      </x:c>
      <x:c r="E1992" s="84" t="n">
        <x:v>87</x:v>
      </x:c>
      <x:c r="F1992" s="89" t="n">
        <x:v>45045.84886574074</x:v>
      </x:c>
      <x:c r="G1992" s="89" t="n">
        <x:v>45047.84886574074</x:v>
      </x:c>
      <x:c r="H1992" s="89" t="n">
        <x:v>45046.22386574074</x:v>
      </x:c>
      <x:c r="I1992" s="89" t="n">
        <x:v>45046.34886574074</x:v>
      </x:c>
      <x:c r="J1992" s="84" t="str">
        <x:v>Média</x:v>
      </x:c>
      <x:c r="K1992" s="84" t="str">
        <x:v>Encerrada</x:v>
      </x:c>
      <x:c r="L1992" s="84" t="str">
        <x:v>Superaquecimento</x:v>
      </x:c>
      <x:c r="M1992" s="84" t="str">
        <x:v>Conexão frouxa</x:v>
      </x:c>
      <x:c r="N1992" s="84" t="str">
        <x:v>Componente ajustado ou substituído</x:v>
      </x:c>
      <x:c r="O1992" s="84" t="n">
        <x:v>0</x:v>
      </x:c>
      <x:c r="P1992" s="93" t="n">
        <x:v>511.72</x:v>
      </x:c>
      <x:c r="Q1992" s="93" t="n">
        <x:v>10233.22</x:v>
      </x:c>
      <x:c r="R1992" s="91" t="n">
        <x:v>0</x:v>
      </x:c>
    </x:row>
    <x:row r="1993">
      <x:c r="A1993" s="83" t="n">
        <x:v>1992</x:v>
      </x:c>
      <x:c r="B1993" s="84" t="str">
        <x:v>OS-2023-01992</x:v>
      </x:c>
      <x:c r="C1993" s="84" t="n">
        <x:v>36</x:v>
      </x:c>
      <x:c r="D1993" s="84" t="n">
        <x:v>5</x:v>
      </x:c>
      <x:c r="E1993" s="84" t="n">
        <x:v>71</x:v>
      </x:c>
      <x:c r="F1993" s="89" t="n">
        <x:v>45251.63383101852</x:v>
      </x:c>
      <x:c r="G1993" s="89" t="n">
        <x:v>45263.63383101852</x:v>
      </x:c>
      <x:c r="H1993" s="89" t="n">
        <x:v>45253.21716435185</x:v>
      </x:c>
      <x:c r="I1993" s="89" t="n">
        <x:v>45253.96716435185</x:v>
      </x:c>
      <x:c r="J1993" s="84" t="str">
        <x:v>Crítica</x:v>
      </x:c>
      <x:c r="K1993" s="84" t="str">
        <x:v>Concluída</x:v>
      </x:c>
      <x:c r="L1993" s="84" t="str">
        <x:v>Alarme intermitente</x:v>
      </x:c>
      <x:c r="M1993" s="84" t="str">
        <x:v>Ajuste incorreto</x:v>
      </x:c>
      <x:c r="N1993" s="84" t="str">
        <x:v>Componente ajustado ou substituído</x:v>
      </x:c>
      <x:c r="O1993" s="84" t="n">
        <x:v>0</x:v>
      </x:c>
      <x:c r="P1993" s="93" t="n">
        <x:v>602.3</x:v>
      </x:c>
      <x:c r="Q1993" s="93" t="n">
        <x:v>0</x:v>
      </x:c>
      <x:c r="R1993" s="91" t="n">
        <x:v>0</x:v>
      </x:c>
    </x:row>
    <x:row r="1994">
      <x:c r="A1994" s="83" t="n">
        <x:v>1993</x:v>
      </x:c>
      <x:c r="B1994" s="84" t="str">
        <x:v>OS-2025-01993</x:v>
      </x:c>
      <x:c r="C1994" s="84" t="n">
        <x:v>21</x:v>
      </x:c>
      <x:c r="D1994" s="84" t="n">
        <x:v>1</x:v>
      </x:c>
      <x:c r="E1994" s="84" t="n">
        <x:v>42</x:v>
      </x:c>
      <x:c r="F1994" s="89" t="n">
        <x:v>45764.45449074074</x:v>
      </x:c>
      <x:c r="G1994" s="89" t="n">
        <x:v>45770.45449074074</x:v>
      </x:c>
      <x:c r="H1994" s="89"/>
      <x:c r="I1994" s="89"/>
      <x:c r="J1994" s="84" t="str">
        <x:v>Alta</x:v>
      </x:c>
      <x:c r="K1994" s="84" t="str">
        <x:v>Planejada</x:v>
      </x:c>
      <x:c r="L1994" s="84" t="str">
        <x:v>Alarme intermitente</x:v>
      </x:c>
      <x:c r="M1994" s="84"/>
      <x:c r="N1994" s="84"/>
      <x:c r="O1994" s="84" t="n">
        <x:v>0</x:v>
      </x:c>
      <x:c r="P1994" s="93" t="n">
        <x:v>0</x:v>
      </x:c>
      <x:c r="Q1994" s="93" t="n">
        <x:v>0</x:v>
      </x:c>
      <x:c r="R1994" s="91" t="n">
        <x:v>0</x:v>
      </x:c>
    </x:row>
    <x:row r="1995">
      <x:c r="A1995" s="83" t="n">
        <x:v>1994</x:v>
      </x:c>
      <x:c r="B1995" s="84" t="str">
        <x:v>OS-2023-01994</x:v>
      </x:c>
      <x:c r="C1995" s="84" t="n">
        <x:v>68</x:v>
      </x:c>
      <x:c r="D1995" s="84" t="n">
        <x:v>3</x:v>
      </x:c>
      <x:c r="E1995" s="84"/>
      <x:c r="F1995" s="89" t="n">
        <x:v>45043.928298611114</x:v>
      </x:c>
      <x:c r="G1995" s="89"/>
      <x:c r="H1995" s="89" t="n">
        <x:v>45045.59496527778</x:v>
      </x:c>
      <x:c r="I1995" s="89" t="n">
        <x:v>45045.76163194444</x:v>
      </x:c>
      <x:c r="J1995" s="84" t="str">
        <x:v>Baixa</x:v>
      </x:c>
      <x:c r="K1995" s="84" t="str">
        <x:v>Encerrada</x:v>
      </x:c>
      <x:c r="L1995" s="84" t="str">
        <x:v>Falha elétrica</x:v>
      </x:c>
      <x:c r="M1995" s="84" t="str">
        <x:v>Componente danificado</x:v>
      </x:c>
      <x:c r="N1995" s="84" t="str">
        <x:v>Componente ajustado ou substituído</x:v>
      </x:c>
      <x:c r="O1995" s="84" t="n">
        <x:v>0</x:v>
      </x:c>
      <x:c r="P1995" s="93" t="n">
        <x:v>235.64</x:v>
      </x:c>
      <x:c r="Q1995" s="93" t="n">
        <x:v>3820.27</x:v>
      </x:c>
      <x:c r="R1995" s="91" t="n">
        <x:v>0</x:v>
      </x:c>
    </x:row>
    <x:row r="1996">
      <x:c r="A1996" s="83" t="n">
        <x:v>1995</x:v>
      </x:c>
      <x:c r="B1996" s="84" t="str">
        <x:v>OS-2025-01995</x:v>
      </x:c>
      <x:c r="C1996" s="84" t="n">
        <x:v>74</x:v>
      </x:c>
      <x:c r="D1996" s="84" t="n">
        <x:v>1</x:v>
      </x:c>
      <x:c r="E1996" s="84" t="n">
        <x:v>147</x:v>
      </x:c>
      <x:c r="F1996" s="89" t="n">
        <x:v>45676.37106481481</x:v>
      </x:c>
      <x:c r="G1996" s="89" t="n">
        <x:v>45680.37106481481</x:v>
      </x:c>
      <x:c r="H1996" s="89" t="n">
        <x:v>45677.16273148148</x:v>
      </x:c>
      <x:c r="I1996" s="89"/>
      <x:c r="J1996" s="84" t="str">
        <x:v>Média</x:v>
      </x:c>
      <x:c r="K1996" s="84" t="str">
        <x:v>Aguardando peça</x:v>
      </x:c>
      <x:c r="L1996" s="84" t="str">
        <x:v>Ruído anormal</x:v>
      </x:c>
      <x:c r="M1996" s="84" t="str">
        <x:v>Ajuste incorreto</x:v>
      </x:c>
      <x:c r="N1996" s="84"/>
      <x:c r="O1996" s="84" t="n">
        <x:v>0</x:v>
      </x:c>
      <x:c r="P1996" s="93" t="n">
        <x:v>131.1</x:v>
      </x:c>
      <x:c r="Q1996" s="93" t="n">
        <x:v>7203.27</x:v>
      </x:c>
      <x:c r="R1996" s="91" t="n">
        <x:v>0</x:v>
      </x:c>
    </x:row>
    <x:row r="1997">
      <x:c r="A1997" s="83" t="n">
        <x:v>1996</x:v>
      </x:c>
      <x:c r="B1997" s="84" t="str">
        <x:v>OS-2025-01996</x:v>
      </x:c>
      <x:c r="C1997" s="84" t="n">
        <x:v>68</x:v>
      </x:c>
      <x:c r="D1997" s="84" t="n">
        <x:v>9</x:v>
      </x:c>
      <x:c r="E1997" s="84"/>
      <x:c r="F1997" s="89" t="n">
        <x:v>45661.8487962963</x:v>
      </x:c>
      <x:c r="G1997" s="89" t="n">
        <x:v>45671.8487962963</x:v>
      </x:c>
      <x:c r="H1997" s="89" t="n">
        <x:v>45662.5987962963</x:v>
      </x:c>
      <x:c r="I1997" s="89" t="n">
        <x:v>45663.01546296296</x:v>
      </x:c>
      <x:c r="J1997" s="84" t="str">
        <x:v>Média</x:v>
      </x:c>
      <x:c r="K1997" s="84" t="str">
        <x:v>Encerrada</x:v>
      </x:c>
      <x:c r="L1997" s="84" t="str">
        <x:v>Alarme intermitente</x:v>
      </x:c>
      <x:c r="M1997" s="84" t="str">
        <x:v>Contaminação</x:v>
      </x:c>
      <x:c r="N1997" s="84" t="str">
        <x:v>Componente ajustado ou substituído</x:v>
      </x:c>
      <x:c r="O1997" s="84" t="n">
        <x:v>0</x:v>
      </x:c>
      <x:c r="P1997" s="93" t="n">
        <x:v>96.03</x:v>
      </x:c>
      <x:c r="Q1997" s="93" t="n">
        <x:v>9131.5</x:v>
      </x:c>
      <x:c r="R1997" s="91" t="n">
        <x:v>0</x:v>
      </x:c>
    </x:row>
    <x:row r="1998">
      <x:c r="A1998" s="83" t="n">
        <x:v>1997</x:v>
      </x:c>
      <x:c r="B1998" s="84" t="str">
        <x:v>OS-2025-01997</x:v>
      </x:c>
      <x:c r="C1998" s="84" t="n">
        <x:v>27</x:v>
      </x:c>
      <x:c r="D1998" s="84" t="n">
        <x:v>3</x:v>
      </x:c>
      <x:c r="E1998" s="84"/>
      <x:c r="F1998" s="89" t="n">
        <x:v>45950.301770833335</x:v>
      </x:c>
      <x:c r="G1998" s="89"/>
      <x:c r="H1998" s="89" t="n">
        <x:v>45950.3434375</x:v>
      </x:c>
      <x:c r="I1998" s="89" t="n">
        <x:v>45951.051770833335</x:v>
      </x:c>
      <x:c r="J1998" s="84" t="str">
        <x:v>Alta</x:v>
      </x:c>
      <x:c r="K1998" s="84" t="str">
        <x:v>Concluída</x:v>
      </x:c>
      <x:c r="L1998" s="84" t="str">
        <x:v>Vazamento</x:v>
      </x:c>
      <x:c r="M1998" s="84" t="str">
        <x:v>Contaminação</x:v>
      </x:c>
      <x:c r="N1998" s="84" t="str">
        <x:v>Componente ajustado ou substituído</x:v>
      </x:c>
      <x:c r="O1998" s="84" t="n">
        <x:v>0</x:v>
      </x:c>
      <x:c r="P1998" s="93" t="n">
        <x:v>746</x:v>
      </x:c>
      <x:c r="Q1998" s="93" t="n">
        <x:v>3868.38</x:v>
      </x:c>
      <x:c r="R1998" s="91" t="n">
        <x:v>0</x:v>
      </x:c>
    </x:row>
    <x:row r="1999">
      <x:c r="A1999" s="83" t="n">
        <x:v>1998</x:v>
      </x:c>
      <x:c r="B1999" s="84" t="str">
        <x:v>OS-2025-01998</x:v>
      </x:c>
      <x:c r="C1999" s="84" t="n">
        <x:v>30</x:v>
      </x:c>
      <x:c r="D1999" s="84" t="n">
        <x:v>7</x:v>
      </x:c>
      <x:c r="E1999" s="84" t="n">
        <x:v>60</x:v>
      </x:c>
      <x:c r="F1999" s="89" t="n">
        <x:v>45685.508877314816</x:v>
      </x:c>
      <x:c r="G1999" s="89" t="n">
        <x:v>45691.508877314816</x:v>
      </x:c>
      <x:c r="H1999" s="89" t="n">
        <x:v>45687.133877314816</x:v>
      </x:c>
      <x:c r="I1999" s="89" t="n">
        <x:v>45687.258877314816</x:v>
      </x:c>
      <x:c r="J1999" s="84" t="str">
        <x:v>Média</x:v>
      </x:c>
      <x:c r="K1999" s="84" t="str">
        <x:v>Encerrada</x:v>
      </x:c>
      <x:c r="L1999" s="84" t="str">
        <x:v>Baixa pressão</x:v>
      </x:c>
      <x:c r="M1999" s="84" t="str">
        <x:v>Conexão frouxa</x:v>
      </x:c>
      <x:c r="N1999" s="84" t="str">
        <x:v>Componente ajustado ou substituído</x:v>
      </x:c>
      <x:c r="O1999" s="84" t="n">
        <x:v>0</x:v>
      </x:c>
      <x:c r="P1999" s="93" t="n">
        <x:v>382.49</x:v>
      </x:c>
      <x:c r="Q1999" s="93" t="n">
        <x:v>4593.41</x:v>
      </x:c>
      <x:c r="R1999" s="91" t="n">
        <x:v>4771.84</x:v>
      </x:c>
    </x:row>
    <x:row r="2000">
      <x:c r="A2000" s="83" t="n">
        <x:v>1999</x:v>
      </x:c>
      <x:c r="B2000" s="84" t="str">
        <x:v>OS-2025-01999</x:v>
      </x:c>
      <x:c r="C2000" s="84" t="n">
        <x:v>9</x:v>
      </x:c>
      <x:c r="D2000" s="84" t="n">
        <x:v>2</x:v>
      </x:c>
      <x:c r="E2000" s="84"/>
      <x:c r="F2000" s="89" t="n">
        <x:v>45858.41855324074</x:v>
      </x:c>
      <x:c r="G2000" s="89" t="n">
        <x:v>45863.41855324074</x:v>
      </x:c>
      <x:c r="H2000" s="89" t="n">
        <x:v>45859.25188657407</x:v>
      </x:c>
      <x:c r="I2000" s="89" t="n">
        <x:v>45859.29355324074</x:v>
      </x:c>
      <x:c r="J2000" s="84" t="str">
        <x:v>Baixa</x:v>
      </x:c>
      <x:c r="K2000" s="84" t="str">
        <x:v>Encerrada</x:v>
      </x:c>
      <x:c r="L2000" s="84" t="str">
        <x:v>Superaquecimento</x:v>
      </x:c>
      <x:c r="M2000" s="84" t="str">
        <x:v>Ajuste incorreto</x:v>
      </x:c>
      <x:c r="N2000" s="84" t="str">
        <x:v>Componente ajustado ou substituído</x:v>
      </x:c>
      <x:c r="O2000" s="84" t="n">
        <x:v>1</x:v>
      </x:c>
      <x:c r="P2000" s="93" t="n">
        <x:v>59.05</x:v>
      </x:c>
      <x:c r="Q2000" s="93" t="n">
        <x:v>6000.36</x:v>
      </x:c>
      <x:c r="R2000" s="91" t="n">
        <x:v>0</x:v>
      </x:c>
    </x:row>
    <x:row r="2001">
      <x:c r="A2001" s="83" t="n">
        <x:v>2000</x:v>
      </x:c>
      <x:c r="B2001" s="84" t="str">
        <x:v>OS-2025-02000</x:v>
      </x:c>
      <x:c r="C2001" s="84" t="n">
        <x:v>73</x:v>
      </x:c>
      <x:c r="D2001" s="84" t="n">
        <x:v>1</x:v>
      </x:c>
      <x:c r="E2001" s="84" t="n">
        <x:v>145</x:v>
      </x:c>
      <x:c r="F2001" s="89" t="n">
        <x:v>45834.44626157408</x:v>
      </x:c>
      <x:c r="G2001" s="89" t="n">
        <x:v>45841.44626157408</x:v>
      </x:c>
      <x:c r="H2001" s="89" t="n">
        <x:v>45835.07126157408</x:v>
      </x:c>
      <x:c r="I2001" s="89" t="n">
        <x:v>45835.69626157408</x:v>
      </x:c>
      <x:c r="J2001" s="84" t="str">
        <x:v>Média</x:v>
      </x:c>
      <x:c r="K2001" s="84" t="str">
        <x:v>Encerrada</x:v>
      </x:c>
      <x:c r="L2001" s="84" t="str">
        <x:v>Alarme intermitente</x:v>
      </x:c>
      <x:c r="M2001" s="84" t="str">
        <x:v>Componente danificado</x:v>
      </x:c>
      <x:c r="N2001" s="84" t="str">
        <x:v>Componente ajustado ou substituído</x:v>
      </x:c>
      <x:c r="O2001" s="84" t="n">
        <x:v>0</x:v>
      </x:c>
      <x:c r="P2001" s="93" t="n">
        <x:v>198.86</x:v>
      </x:c>
      <x:c r="Q2001" s="93" t="n">
        <x:v>0</x:v>
      </x:c>
      <x:c r="R2001" s="91" t="n">
        <x:v>0</x:v>
      </x:c>
    </x:row>
    <x:row r="2002">
      <x:c r="A2002" s="83" t="n">
        <x:v>2001</x:v>
      </x:c>
      <x:c r="B2002" s="84" t="str">
        <x:v>OS-2024-02001</x:v>
      </x:c>
      <x:c r="C2002" s="84" t="n">
        <x:v>1</x:v>
      </x:c>
      <x:c r="D2002" s="84" t="n">
        <x:v>2</x:v>
      </x:c>
      <x:c r="E2002" s="84"/>
      <x:c r="F2002" s="89" t="n">
        <x:v>45543.71803240741</x:v>
      </x:c>
      <x:c r="G2002" s="89" t="n">
        <x:v>45552.71803240741</x:v>
      </x:c>
      <x:c r="H2002" s="89" t="n">
        <x:v>45544.30136574074</x:v>
      </x:c>
      <x:c r="I2002" s="89" t="n">
        <x:v>45544.88469907407</x:v>
      </x:c>
      <x:c r="J2002" s="84" t="str">
        <x:v>Crítica</x:v>
      </x:c>
      <x:c r="K2002" s="84" t="str">
        <x:v>Encerrada</x:v>
      </x:c>
      <x:c r="L2002" s="84" t="str">
        <x:v>Baixa pressão</x:v>
      </x:c>
      <x:c r="M2002" s="84" t="str">
        <x:v>Componente danificado</x:v>
      </x:c>
      <x:c r="N2002" s="84" t="str">
        <x:v>Componente ajustado ou substituído</x:v>
      </x:c>
      <x:c r="O2002" s="84" t="n">
        <x:v>0</x:v>
      </x:c>
      <x:c r="P2002" s="93" t="n">
        <x:v>327.38</x:v>
      </x:c>
      <x:c r="Q2002" s="93" t="n">
        <x:v>6414.29</x:v>
      </x:c>
      <x:c r="R2002" s="91" t="n">
        <x:v>1701.33</x:v>
      </x:c>
    </x:row>
    <x:row r="2003">
      <x:c r="A2003" s="83" t="n">
        <x:v>2002</x:v>
      </x:c>
      <x:c r="B2003" s="84" t="str">
        <x:v>OS-2023-02002</x:v>
      </x:c>
      <x:c r="C2003" s="84" t="n">
        <x:v>60</x:v>
      </x:c>
      <x:c r="D2003" s="84" t="n">
        <x:v>1</x:v>
      </x:c>
      <x:c r="E2003" s="84" t="n">
        <x:v>120</x:v>
      </x:c>
      <x:c r="F2003" s="89" t="n">
        <x:v>45145.85917824074</x:v>
      </x:c>
      <x:c r="G2003" s="89" t="n">
        <x:v>45153.85917824074</x:v>
      </x:c>
      <x:c r="H2003" s="89"/>
      <x:c r="I2003" s="89"/>
      <x:c r="J2003" s="84" t="str">
        <x:v>Alta</x:v>
      </x:c>
      <x:c r="K2003" s="84" t="str">
        <x:v>Planejada</x:v>
      </x:c>
      <x:c r="L2003" s="84" t="str">
        <x:v>Desalinhamento</x:v>
      </x:c>
      <x:c r="M2003" s="84"/>
      <x:c r="N2003" s="84"/>
      <x:c r="O2003" s="84" t="n">
        <x:v>0</x:v>
      </x:c>
      <x:c r="P2003" s="93" t="n">
        <x:v>0</x:v>
      </x:c>
      <x:c r="Q2003" s="93" t="n">
        <x:v>0</x:v>
      </x:c>
      <x:c r="R2003" s="91" t="n">
        <x:v>0</x:v>
      </x:c>
    </x:row>
    <x:row r="2004">
      <x:c r="A2004" s="83" t="n">
        <x:v>2003</x:v>
      </x:c>
      <x:c r="B2004" s="84" t="str">
        <x:v>OS-2023-02003</x:v>
      </x:c>
      <x:c r="C2004" s="84" t="n">
        <x:v>72</x:v>
      </x:c>
      <x:c r="D2004" s="84" t="n">
        <x:v>5</x:v>
      </x:c>
      <x:c r="E2004" s="84" t="n">
        <x:v>144</x:v>
      </x:c>
      <x:c r="F2004" s="89" t="n">
        <x:v>45225.71009259259</x:v>
      </x:c>
      <x:c r="G2004" s="89" t="n">
        <x:v>45229.71009259259</x:v>
      </x:c>
      <x:c r="H2004" s="89"/>
      <x:c r="I2004" s="89"/>
      <x:c r="J2004" s="84" t="str">
        <x:v>Crítica</x:v>
      </x:c>
      <x:c r="K2004" s="84" t="str">
        <x:v>Planejada</x:v>
      </x:c>
      <x:c r="L2004" s="84" t="str">
        <x:v>Superaquecimento</x:v>
      </x:c>
      <x:c r="M2004" s="84"/>
      <x:c r="N2004" s="84"/>
      <x:c r="O2004" s="84" t="n">
        <x:v>0</x:v>
      </x:c>
      <x:c r="P2004" s="93" t="n">
        <x:v>0</x:v>
      </x:c>
      <x:c r="Q2004" s="93" t="n">
        <x:v>0</x:v>
      </x:c>
      <x:c r="R2004" s="91" t="n">
        <x:v>0</x:v>
      </x:c>
    </x:row>
    <x:row r="2005">
      <x:c r="A2005" s="83" t="n">
        <x:v>2004</x:v>
      </x:c>
      <x:c r="B2005" s="84" t="str">
        <x:v>OS-2024-02004</x:v>
      </x:c>
      <x:c r="C2005" s="84" t="n">
        <x:v>85</x:v>
      </x:c>
      <x:c r="D2005" s="84" t="n">
        <x:v>2</x:v>
      </x:c>
      <x:c r="E2005" s="84"/>
      <x:c r="F2005" s="89" t="n">
        <x:v>45518.917280092595</x:v>
      </x:c>
      <x:c r="G2005" s="89" t="n">
        <x:v>45519.917280092595</x:v>
      </x:c>
      <x:c r="H2005" s="89" t="n">
        <x:v>45519.45894675926</x:v>
      </x:c>
      <x:c r="I2005" s="89" t="n">
        <x:v>45520.250613425924</x:v>
      </x:c>
      <x:c r="J2005" s="84" t="str">
        <x:v>Baixa</x:v>
      </x:c>
      <x:c r="K2005" s="84" t="str">
        <x:v>Encerrada</x:v>
      </x:c>
      <x:c r="L2005" s="84" t="str">
        <x:v>Vazamento</x:v>
      </x:c>
      <x:c r="M2005" s="84" t="str">
        <x:v>Componente danificado</x:v>
      </x:c>
      <x:c r="N2005" s="84" t="str">
        <x:v>Componente ajustado ou substituído</x:v>
      </x:c>
      <x:c r="O2005" s="84" t="n">
        <x:v>0</x:v>
      </x:c>
      <x:c r="P2005" s="93" t="n">
        <x:v>255.16</x:v>
      </x:c>
      <x:c r="Q2005" s="93" t="n">
        <x:v>5118.12</x:v>
      </x:c>
      <x:c r="R2005" s="91" t="n">
        <x:v>0</x:v>
      </x:c>
    </x:row>
    <x:row r="2006">
      <x:c r="A2006" s="83" t="n">
        <x:v>2005</x:v>
      </x:c>
      <x:c r="B2006" s="84" t="str">
        <x:v>OS-2024-02005</x:v>
      </x:c>
      <x:c r="C2006" s="84" t="n">
        <x:v>47</x:v>
      </x:c>
      <x:c r="D2006" s="84" t="n">
        <x:v>2</x:v>
      </x:c>
      <x:c r="E2006" s="84"/>
      <x:c r="F2006" s="89" t="n">
        <x:v>45373.44478009259</x:v>
      </x:c>
      <x:c r="G2006" s="89" t="n">
        <x:v>45378.44478009259</x:v>
      </x:c>
      <x:c r="H2006" s="89" t="n">
        <x:v>45375.44478009259</x:v>
      </x:c>
      <x:c r="I2006" s="89" t="n">
        <x:v>45376.15311342593</x:v>
      </x:c>
      <x:c r="J2006" s="84" t="str">
        <x:v>Baixa</x:v>
      </x:c>
      <x:c r="K2006" s="84" t="str">
        <x:v>Encerrada</x:v>
      </x:c>
      <x:c r="L2006" s="84" t="str">
        <x:v>Ruído anormal</x:v>
      </x:c>
      <x:c r="M2006" s="84" t="str">
        <x:v>Conexão frouxa</x:v>
      </x:c>
      <x:c r="N2006" s="84" t="str">
        <x:v>Componente ajustado ou substituído</x:v>
      </x:c>
      <x:c r="O2006" s="84" t="n">
        <x:v>0</x:v>
      </x:c>
      <x:c r="P2006" s="93" t="n">
        <x:v>34</x:v>
      </x:c>
      <x:c r="Q2006" s="93" t="n">
        <x:v>3350.04</x:v>
      </x:c>
      <x:c r="R2006" s="91" t="n">
        <x:v>8834.3</x:v>
      </x:c>
    </x:row>
    <x:row r="2007">
      <x:c r="A2007" s="83" t="n">
        <x:v>2006</x:v>
      </x:c>
      <x:c r="B2007" s="84" t="str">
        <x:v>OS-2025-02006</x:v>
      </x:c>
      <x:c r="C2007" s="84" t="n">
        <x:v>70</x:v>
      </x:c>
      <x:c r="D2007" s="84" t="n">
        <x:v>3</x:v>
      </x:c>
      <x:c r="E2007" s="84"/>
      <x:c r="F2007" s="89" t="n">
        <x:v>45879.809953703705</x:v>
      </x:c>
      <x:c r="G2007" s="89"/>
      <x:c r="H2007" s="89" t="n">
        <x:v>45879.97662037037</x:v>
      </x:c>
      <x:c r="I2007" s="89" t="n">
        <x:v>45880.47662037037</x:v>
      </x:c>
      <x:c r="J2007" s="84" t="str">
        <x:v>Média</x:v>
      </x:c>
      <x:c r="K2007" s="84" t="str">
        <x:v>Encerrada</x:v>
      </x:c>
      <x:c r="L2007" s="84" t="str">
        <x:v>Alarme intermitente</x:v>
      </x:c>
      <x:c r="M2007" s="84" t="str">
        <x:v>Falta de lubrificação</x:v>
      </x:c>
      <x:c r="N2007" s="84" t="str">
        <x:v>Componente ajustado ou substituído</x:v>
      </x:c>
      <x:c r="O2007" s="84" t="n">
        <x:v>0</x:v>
      </x:c>
      <x:c r="P2007" s="93" t="n">
        <x:v>147.32</x:v>
      </x:c>
      <x:c r="Q2007" s="93" t="n">
        <x:v>5802.57</x:v>
      </x:c>
      <x:c r="R2007" s="91" t="n">
        <x:v>0</x:v>
      </x:c>
    </x:row>
    <x:row r="2008">
      <x:c r="A2008" s="83" t="n">
        <x:v>2007</x:v>
      </x:c>
      <x:c r="B2008" s="84" t="str">
        <x:v>OS-2025-02007</x:v>
      </x:c>
      <x:c r="C2008" s="84" t="n">
        <x:v>88</x:v>
      </x:c>
      <x:c r="D2008" s="84" t="n">
        <x:v>1</x:v>
      </x:c>
      <x:c r="E2008" s="84" t="n">
        <x:v>176</x:v>
      </x:c>
      <x:c r="F2008" s="89" t="n">
        <x:v>45680.94934027778</x:v>
      </x:c>
      <x:c r="G2008" s="89" t="n">
        <x:v>45695.94934027778</x:v>
      </x:c>
      <x:c r="H2008" s="89" t="n">
        <x:v>45682.65767361111</x:v>
      </x:c>
      <x:c r="I2008" s="89"/>
      <x:c r="J2008" s="84" t="str">
        <x:v>Alta</x:v>
      </x:c>
      <x:c r="K2008" s="84" t="str">
        <x:v>Aguardando peça</x:v>
      </x:c>
      <x:c r="L2008" s="84" t="str">
        <x:v>Desalinhamento</x:v>
      </x:c>
      <x:c r="M2008" s="84" t="str">
        <x:v>Ajuste incorreto</x:v>
      </x:c>
      <x:c r="N2008" s="84"/>
      <x:c r="O2008" s="84" t="n">
        <x:v>1</x:v>
      </x:c>
      <x:c r="P2008" s="93" t="n">
        <x:v>215</x:v>
      </x:c>
      <x:c r="Q2008" s="93" t="n">
        <x:v>0</x:v>
      </x:c>
      <x:c r="R2008" s="91" t="n">
        <x:v>0</x:v>
      </x:c>
    </x:row>
    <x:row r="2009">
      <x:c r="A2009" s="83" t="n">
        <x:v>2008</x:v>
      </x:c>
      <x:c r="B2009" s="84" t="str">
        <x:v>OS-2025-02008</x:v>
      </x:c>
      <x:c r="C2009" s="84" t="n">
        <x:v>26</x:v>
      </x:c>
      <x:c r="D2009" s="84" t="n">
        <x:v>6</x:v>
      </x:c>
      <x:c r="E2009" s="84"/>
      <x:c r="F2009" s="89" t="n">
        <x:v>45951.46979166667</x:v>
      </x:c>
      <x:c r="G2009" s="89" t="n">
        <x:v>45956.46979166667</x:v>
      </x:c>
      <x:c r="H2009" s="89" t="n">
        <x:v>45952.09479166667</x:v>
      </x:c>
      <x:c r="I2009" s="89" t="n">
        <x:v>45952.71979166667</x:v>
      </x:c>
      <x:c r="J2009" s="84" t="str">
        <x:v>Crítica</x:v>
      </x:c>
      <x:c r="K2009" s="84" t="str">
        <x:v>Encerrada</x:v>
      </x:c>
      <x:c r="L2009" s="84" t="str">
        <x:v>Baixa pressão</x:v>
      </x:c>
      <x:c r="M2009" s="84" t="str">
        <x:v>Desgaste natural</x:v>
      </x:c>
      <x:c r="N2009" s="84" t="str">
        <x:v>Componente ajustado ou substituído</x:v>
      </x:c>
      <x:c r="O2009" s="84" t="n">
        <x:v>0</x:v>
      </x:c>
      <x:c r="P2009" s="93" t="n">
        <x:v>715.55</x:v>
      </x:c>
      <x:c r="Q2009" s="93" t="n">
        <x:v>526.88</x:v>
      </x:c>
      <x:c r="R2009" s="91" t="n">
        <x:v>0</x:v>
      </x:c>
    </x:row>
    <x:row r="2010">
      <x:c r="A2010" s="83" t="n">
        <x:v>2009</x:v>
      </x:c>
      <x:c r="B2010" s="84" t="str">
        <x:v>OS-2024-02009</x:v>
      </x:c>
      <x:c r="C2010" s="84" t="n">
        <x:v>63</x:v>
      </x:c>
      <x:c r="D2010" s="84" t="n">
        <x:v>8</x:v>
      </x:c>
      <x:c r="E2010" s="84"/>
      <x:c r="F2010" s="89" t="n">
        <x:v>45338.76521990741</x:v>
      </x:c>
      <x:c r="G2010" s="89" t="n">
        <x:v>45351.76521990741</x:v>
      </x:c>
      <x:c r="H2010" s="89" t="n">
        <x:v>45340.30688657407</x:v>
      </x:c>
      <x:c r="I2010" s="89"/>
      <x:c r="J2010" s="84" t="str">
        <x:v>Baixa</x:v>
      </x:c>
      <x:c r="K2010" s="84" t="str">
        <x:v>Aguardando peça</x:v>
      </x:c>
      <x:c r="L2010" s="84" t="str">
        <x:v>Falha elétrica</x:v>
      </x:c>
      <x:c r="M2010" s="84" t="str">
        <x:v>Desgaste natural</x:v>
      </x:c>
      <x:c r="N2010" s="84"/>
      <x:c r="O2010" s="84" t="n">
        <x:v>0</x:v>
      </x:c>
      <x:c r="P2010" s="93" t="n">
        <x:v>578.32</x:v>
      </x:c>
      <x:c r="Q2010" s="93" t="n">
        <x:v>5054.6</x:v>
      </x:c>
      <x:c r="R2010" s="91" t="n">
        <x:v>0</x:v>
      </x:c>
    </x:row>
    <x:row r="2011">
      <x:c r="A2011" s="83" t="n">
        <x:v>2010</x:v>
      </x:c>
      <x:c r="B2011" s="84" t="str">
        <x:v>OS-2023-02010</x:v>
      </x:c>
      <x:c r="C2011" s="84" t="n">
        <x:v>18</x:v>
      </x:c>
      <x:c r="D2011" s="84" t="n">
        <x:v>2</x:v>
      </x:c>
      <x:c r="E2011" s="84"/>
      <x:c r="F2011" s="89" t="n">
        <x:v>45232.425983796296</x:v>
      </x:c>
      <x:c r="G2011" s="89" t="n">
        <x:v>45246.425983796296</x:v>
      </x:c>
      <x:c r="H2011" s="89" t="n">
        <x:v>45234.71765046296</x:v>
      </x:c>
      <x:c r="I2011" s="89" t="n">
        <x:v>45235.34265046296</x:v>
      </x:c>
      <x:c r="J2011" s="84" t="str">
        <x:v>Média</x:v>
      </x:c>
      <x:c r="K2011" s="84" t="str">
        <x:v>Encerrada</x:v>
      </x:c>
      <x:c r="L2011" s="84" t="str">
        <x:v>Falha elétrica</x:v>
      </x:c>
      <x:c r="M2011" s="84" t="str">
        <x:v>Componente danificado</x:v>
      </x:c>
      <x:c r="N2011" s="84" t="str">
        <x:v>Componente ajustado ou substituído</x:v>
      </x:c>
      <x:c r="O2011" s="84" t="n">
        <x:v>0</x:v>
      </x:c>
      <x:c r="P2011" s="93" t="n">
        <x:v>31.83</x:v>
      </x:c>
      <x:c r="Q2011" s="93" t="n">
        <x:v>4228.68</x:v>
      </x:c>
      <x:c r="R2011" s="91" t="n">
        <x:v>0</x:v>
      </x:c>
    </x:row>
    <x:row r="2012">
      <x:c r="A2012" s="83" t="n">
        <x:v>2011</x:v>
      </x:c>
      <x:c r="B2012" s="84" t="str">
        <x:v>OS-2025-02011</x:v>
      </x:c>
      <x:c r="C2012" s="84" t="n">
        <x:v>21</x:v>
      </x:c>
      <x:c r="D2012" s="84" t="n">
        <x:v>1</x:v>
      </x:c>
      <x:c r="E2012" s="84" t="n">
        <x:v>42</x:v>
      </x:c>
      <x:c r="F2012" s="89" t="n">
        <x:v>45750.348541666666</x:v>
      </x:c>
      <x:c r="G2012" s="89" t="n">
        <x:v>45760.348541666666</x:v>
      </x:c>
      <x:c r="H2012" s="89"/>
      <x:c r="I2012" s="89"/>
      <x:c r="J2012" s="84" t="str">
        <x:v>Baixa</x:v>
      </x:c>
      <x:c r="K2012" s="84" t="str">
        <x:v>Planejada</x:v>
      </x:c>
      <x:c r="L2012" s="84" t="str">
        <x:v>Desalinhamento</x:v>
      </x:c>
      <x:c r="M2012" s="84"/>
      <x:c r="N2012" s="84"/>
      <x:c r="O2012" s="84" t="n">
        <x:v>0</x:v>
      </x:c>
      <x:c r="P2012" s="93" t="n">
        <x:v>0</x:v>
      </x:c>
      <x:c r="Q2012" s="93" t="n">
        <x:v>0</x:v>
      </x:c>
      <x:c r="R2012" s="91" t="n">
        <x:v>0</x:v>
      </x:c>
    </x:row>
    <x:row r="2013">
      <x:c r="A2013" s="83" t="n">
        <x:v>2012</x:v>
      </x:c>
      <x:c r="B2013" s="84" t="str">
        <x:v>OS-2025-02012</x:v>
      </x:c>
      <x:c r="C2013" s="84" t="n">
        <x:v>27</x:v>
      </x:c>
      <x:c r="D2013" s="84" t="n">
        <x:v>1</x:v>
      </x:c>
      <x:c r="E2013" s="84" t="n">
        <x:v>53</x:v>
      </x:c>
      <x:c r="F2013" s="89" t="n">
        <x:v>45746.15652777778</x:v>
      </x:c>
      <x:c r="G2013" s="89" t="n">
        <x:v>45761.15652777778</x:v>
      </x:c>
      <x:c r="H2013" s="89" t="n">
        <x:v>45748.94819444444</x:v>
      </x:c>
      <x:c r="I2013" s="89"/>
      <x:c r="J2013" s="84" t="str">
        <x:v>Crítica</x:v>
      </x:c>
      <x:c r="K2013" s="84" t="str">
        <x:v>Aguardando peça</x:v>
      </x:c>
      <x:c r="L2013" s="84" t="str">
        <x:v>Alarme intermitente</x:v>
      </x:c>
      <x:c r="M2013" s="84" t="str">
        <x:v>Conexão frouxa</x:v>
      </x:c>
      <x:c r="N2013" s="84"/>
      <x:c r="O2013" s="84" t="n">
        <x:v>1</x:v>
      </x:c>
      <x:c r="P2013" s="93" t="n">
        <x:v>539.75</x:v>
      </x:c>
      <x:c r="Q2013" s="93" t="n">
        <x:v>1468.46</x:v>
      </x:c>
      <x:c r="R2013" s="91" t="n">
        <x:v>0</x:v>
      </x:c>
    </x:row>
    <x:row r="2014">
      <x:c r="A2014" s="83" t="n">
        <x:v>2013</x:v>
      </x:c>
      <x:c r="B2014" s="84" t="str">
        <x:v>OS-2024-02013</x:v>
      </x:c>
      <x:c r="C2014" s="84" t="n">
        <x:v>41</x:v>
      </x:c>
      <x:c r="D2014" s="84" t="n">
        <x:v>1</x:v>
      </x:c>
      <x:c r="E2014" s="84" t="n">
        <x:v>81</x:v>
      </x:c>
      <x:c r="F2014" s="89" t="n">
        <x:v>45463.09454861111</x:v>
      </x:c>
      <x:c r="G2014" s="89" t="n">
        <x:v>45468.09454861111</x:v>
      </x:c>
      <x:c r="H2014" s="89" t="n">
        <x:v>45464.71954861111</x:v>
      </x:c>
      <x:c r="I2014" s="89" t="n">
        <x:v>45465.46954861111</x:v>
      </x:c>
      <x:c r="J2014" s="84" t="str">
        <x:v>Alta</x:v>
      </x:c>
      <x:c r="K2014" s="84" t="str">
        <x:v>Encerrada</x:v>
      </x:c>
      <x:c r="L2014" s="84" t="str">
        <x:v>Vazamento</x:v>
      </x:c>
      <x:c r="M2014" s="84" t="str">
        <x:v>Ajuste incorreto</x:v>
      </x:c>
      <x:c r="N2014" s="84" t="str">
        <x:v>Componente ajustado ou substituído</x:v>
      </x:c>
      <x:c r="O2014" s="84" t="n">
        <x:v>0</x:v>
      </x:c>
      <x:c r="P2014" s="93" t="n">
        <x:v>199.7</x:v>
      </x:c>
      <x:c r="Q2014" s="93" t="n">
        <x:v>0</x:v>
      </x:c>
      <x:c r="R2014" s="91" t="n">
        <x:v>0</x:v>
      </x:c>
    </x:row>
    <x:row r="2015">
      <x:c r="A2015" s="83" t="n">
        <x:v>2014</x:v>
      </x:c>
      <x:c r="B2015" s="84" t="str">
        <x:v>OS-2025-02014</x:v>
      </x:c>
      <x:c r="C2015" s="84" t="n">
        <x:v>88</x:v>
      </x:c>
      <x:c r="D2015" s="84" t="n">
        <x:v>1</x:v>
      </x:c>
      <x:c r="E2015" s="84" t="n">
        <x:v>176</x:v>
      </x:c>
      <x:c r="F2015" s="89" t="n">
        <x:v>45830.090833333335</x:v>
      </x:c>
      <x:c r="G2015" s="89" t="n">
        <x:v>45835.090833333335</x:v>
      </x:c>
      <x:c r="H2015" s="89" t="n">
        <x:v>45832.715833333335</x:v>
      </x:c>
      <x:c r="I2015" s="89" t="n">
        <x:v>45833.3825</x:v>
      </x:c>
      <x:c r="J2015" s="84" t="str">
        <x:v>Alta</x:v>
      </x:c>
      <x:c r="K2015" s="84" t="str">
        <x:v>Encerrada</x:v>
      </x:c>
      <x:c r="L2015" s="84" t="str">
        <x:v>Falha elétrica</x:v>
      </x:c>
      <x:c r="M2015" s="84" t="str">
        <x:v>Ajuste incorreto</x:v>
      </x:c>
      <x:c r="N2015" s="84" t="str">
        <x:v>Componente ajustado ou substituído</x:v>
      </x:c>
      <x:c r="O2015" s="84" t="n">
        <x:v>0</x:v>
      </x:c>
      <x:c r="P2015" s="93" t="n">
        <x:v>142.13</x:v>
      </x:c>
      <x:c r="Q2015" s="93" t="n">
        <x:v>10673.68</x:v>
      </x:c>
      <x:c r="R2015" s="91" t="n">
        <x:v>0</x:v>
      </x:c>
    </x:row>
    <x:row r="2016">
      <x:c r="A2016" s="83" t="n">
        <x:v>2015</x:v>
      </x:c>
      <x:c r="B2016" s="84" t="str">
        <x:v>OS-2024-02015</x:v>
      </x:c>
      <x:c r="C2016" s="84" t="n">
        <x:v>24</x:v>
      </x:c>
      <x:c r="D2016" s="84" t="n">
        <x:v>7</x:v>
      </x:c>
      <x:c r="E2016" s="84" t="n">
        <x:v>48</x:v>
      </x:c>
      <x:c r="F2016" s="89" t="n">
        <x:v>45441.073217592595</x:v>
      </x:c>
      <x:c r="G2016" s="89" t="n">
        <x:v>45450.073217592595</x:v>
      </x:c>
      <x:c r="H2016" s="89" t="n">
        <x:v>45441.40655092592</x:v>
      </x:c>
      <x:c r="I2016" s="89" t="n">
        <x:v>45441.573217592595</x:v>
      </x:c>
      <x:c r="J2016" s="84" t="str">
        <x:v>Crítica</x:v>
      </x:c>
      <x:c r="K2016" s="84" t="str">
        <x:v>Concluída</x:v>
      </x:c>
      <x:c r="L2016" s="84" t="str">
        <x:v>Falha elétrica</x:v>
      </x:c>
      <x:c r="M2016" s="84" t="str">
        <x:v>Contaminação</x:v>
      </x:c>
      <x:c r="N2016" s="84" t="str">
        <x:v>Componente ajustado ou substituído</x:v>
      </x:c>
      <x:c r="O2016" s="84" t="n">
        <x:v>0</x:v>
      </x:c>
      <x:c r="P2016" s="93" t="n">
        <x:v>487.92</x:v>
      </x:c>
      <x:c r="Q2016" s="93" t="n">
        <x:v>5258.55</x:v>
      </x:c>
      <x:c r="R2016" s="91" t="n">
        <x:v>0</x:v>
      </x:c>
    </x:row>
    <x:row r="2017">
      <x:c r="A2017" s="83" t="n">
        <x:v>2016</x:v>
      </x:c>
      <x:c r="B2017" s="84" t="str">
        <x:v>OS-2025-02016</x:v>
      </x:c>
      <x:c r="C2017" s="84" t="n">
        <x:v>37</x:v>
      </x:c>
      <x:c r="D2017" s="84" t="n">
        <x:v>8</x:v>
      </x:c>
      <x:c r="E2017" s="84"/>
      <x:c r="F2017" s="89" t="n">
        <x:v>45786.66402777778</x:v>
      </x:c>
      <x:c r="G2017" s="89" t="n">
        <x:v>45800.66402777778</x:v>
      </x:c>
      <x:c r="H2017" s="89" t="n">
        <x:v>45786.87236111111</x:v>
      </x:c>
      <x:c r="I2017" s="89" t="n">
        <x:v>45787.28902777778</x:v>
      </x:c>
      <x:c r="J2017" s="84" t="str">
        <x:v>Crítica</x:v>
      </x:c>
      <x:c r="K2017" s="84" t="str">
        <x:v>Concluída</x:v>
      </x:c>
      <x:c r="L2017" s="84" t="str">
        <x:v>Superaquecimento</x:v>
      </x:c>
      <x:c r="M2017" s="84" t="str">
        <x:v>Ajuste incorreto</x:v>
      </x:c>
      <x:c r="N2017" s="84" t="str">
        <x:v>Componente ajustado ou substituído</x:v>
      </x:c>
      <x:c r="O2017" s="84" t="n">
        <x:v>0</x:v>
      </x:c>
      <x:c r="P2017" s="93" t="n">
        <x:v>803.69</x:v>
      </x:c>
      <x:c r="Q2017" s="93" t="n">
        <x:v>4430.76</x:v>
      </x:c>
      <x:c r="R2017" s="91" t="n">
        <x:v>0</x:v>
      </x:c>
    </x:row>
    <x:row r="2018">
      <x:c r="A2018" s="83" t="n">
        <x:v>2017</x:v>
      </x:c>
      <x:c r="B2018" s="84" t="str">
        <x:v>OS-2025-02017</x:v>
      </x:c>
      <x:c r="C2018" s="84" t="n">
        <x:v>45</x:v>
      </x:c>
      <x:c r="D2018" s="84" t="n">
        <x:v>1</x:v>
      </x:c>
      <x:c r="E2018" s="84" t="n">
        <x:v>90</x:v>
      </x:c>
      <x:c r="F2018" s="89" t="n">
        <x:v>45907.941400462965</x:v>
      </x:c>
      <x:c r="G2018" s="89" t="n">
        <x:v>45907.941400462965</x:v>
      </x:c>
      <x:c r="H2018" s="89" t="n">
        <x:v>45908.399733796294</x:v>
      </x:c>
      <x:c r="I2018" s="89" t="n">
        <x:v>45908.899733796294</x:v>
      </x:c>
      <x:c r="J2018" s="84" t="str">
        <x:v>Baixa</x:v>
      </x:c>
      <x:c r="K2018" s="84" t="str">
        <x:v>Concluída</x:v>
      </x:c>
      <x:c r="L2018" s="84" t="str">
        <x:v>Ruído anormal</x:v>
      </x:c>
      <x:c r="M2018" s="84" t="str">
        <x:v>Contaminação</x:v>
      </x:c>
      <x:c r="N2018" s="84" t="str">
        <x:v>Componente ajustado ou substituído</x:v>
      </x:c>
      <x:c r="O2018" s="84" t="n">
        <x:v>0</x:v>
      </x:c>
      <x:c r="P2018" s="93" t="n">
        <x:v>82.76</x:v>
      </x:c>
      <x:c r="Q2018" s="93" t="n">
        <x:v>6969.86</x:v>
      </x:c>
      <x:c r="R2018" s="91" t="n">
        <x:v>0</x:v>
      </x:c>
    </x:row>
    <x:row r="2019">
      <x:c r="A2019" s="83" t="n">
        <x:v>2018</x:v>
      </x:c>
      <x:c r="B2019" s="84" t="str">
        <x:v>OS-2023-02018</x:v>
      </x:c>
      <x:c r="C2019" s="84" t="n">
        <x:v>1</x:v>
      </x:c>
      <x:c r="D2019" s="84" t="n">
        <x:v>4</x:v>
      </x:c>
      <x:c r="E2019" s="84"/>
      <x:c r="F2019" s="89" t="n">
        <x:v>45138.52537037037</x:v>
      </x:c>
      <x:c r="G2019" s="89" t="n">
        <x:v>45153.52537037037</x:v>
      </x:c>
      <x:c r="H2019" s="89" t="n">
        <x:v>45139.90037037037</x:v>
      </x:c>
      <x:c r="I2019" s="89" t="n">
        <x:v>45140.40037037037</x:v>
      </x:c>
      <x:c r="J2019" s="84" t="str">
        <x:v>Baixa</x:v>
      </x:c>
      <x:c r="K2019" s="84" t="str">
        <x:v>Encerrada</x:v>
      </x:c>
      <x:c r="L2019" s="84" t="str">
        <x:v>Ruído anormal</x:v>
      </x:c>
      <x:c r="M2019" s="84" t="str">
        <x:v>Falta de lubrificação</x:v>
      </x:c>
      <x:c r="N2019" s="84" t="str">
        <x:v>Componente ajustado ou substituído</x:v>
      </x:c>
      <x:c r="O2019" s="84" t="n">
        <x:v>0</x:v>
      </x:c>
      <x:c r="P2019" s="93" t="n">
        <x:v>286.93</x:v>
      </x:c>
      <x:c r="Q2019" s="93" t="n">
        <x:v>8604</x:v>
      </x:c>
      <x:c r="R2019" s="91" t="n">
        <x:v>0</x:v>
      </x:c>
    </x:row>
    <x:row r="2020">
      <x:c r="A2020" s="83" t="n">
        <x:v>2019</x:v>
      </x:c>
      <x:c r="B2020" s="84" t="str">
        <x:v>OS-2023-02019</x:v>
      </x:c>
      <x:c r="C2020" s="84" t="n">
        <x:v>76</x:v>
      </x:c>
      <x:c r="D2020" s="84" t="n">
        <x:v>1</x:v>
      </x:c>
      <x:c r="E2020" s="84" t="n">
        <x:v>151</x:v>
      </x:c>
      <x:c r="F2020" s="89" t="n">
        <x:v>45210.22116898148</x:v>
      </x:c>
      <x:c r="G2020" s="89" t="n">
        <x:v>45213.22116898148</x:v>
      </x:c>
      <x:c r="H2020" s="89" t="n">
        <x:v>45210.72116898148</x:v>
      </x:c>
      <x:c r="I2020" s="89" t="n">
        <x:v>45211.304502314815</x:v>
      </x:c>
      <x:c r="J2020" s="84" t="str">
        <x:v>Alta</x:v>
      </x:c>
      <x:c r="K2020" s="84" t="str">
        <x:v>Encerrada</x:v>
      </x:c>
      <x:c r="L2020" s="84" t="str">
        <x:v>Desalinhamento</x:v>
      </x:c>
      <x:c r="M2020" s="84" t="str">
        <x:v>Ajuste incorreto</x:v>
      </x:c>
      <x:c r="N2020" s="84" t="str">
        <x:v>Componente ajustado ou substituído</x:v>
      </x:c>
      <x:c r="O2020" s="84" t="n">
        <x:v>0</x:v>
      </x:c>
      <x:c r="P2020" s="93" t="n">
        <x:v>336.06</x:v>
      </x:c>
      <x:c r="Q2020" s="93" t="n">
        <x:v>4825.56</x:v>
      </x:c>
      <x:c r="R2020" s="91" t="n">
        <x:v>0</x:v>
      </x:c>
    </x:row>
    <x:row r="2021">
      <x:c r="A2021" s="83" t="n">
        <x:v>2020</x:v>
      </x:c>
      <x:c r="B2021" s="84" t="str">
        <x:v>OS-2023-02020</x:v>
      </x:c>
      <x:c r="C2021" s="84" t="n">
        <x:v>3</x:v>
      </x:c>
      <x:c r="D2021" s="84" t="n">
        <x:v>1</x:v>
      </x:c>
      <x:c r="E2021" s="84" t="n">
        <x:v>5</x:v>
      </x:c>
      <x:c r="F2021" s="89" t="n">
        <x:v>45179.98872685185</x:v>
      </x:c>
      <x:c r="G2021" s="89" t="n">
        <x:v>45191.98872685185</x:v>
      </x:c>
      <x:c r="H2021" s="89" t="n">
        <x:v>45180.73872685185</x:v>
      </x:c>
      <x:c r="I2021" s="89" t="n">
        <x:v>45181.53039351852</x:v>
      </x:c>
      <x:c r="J2021" s="84" t="str">
        <x:v>Crítica</x:v>
      </x:c>
      <x:c r="K2021" s="84" t="str">
        <x:v>Encerrada</x:v>
      </x:c>
      <x:c r="L2021" s="84" t="str">
        <x:v>Desalinhamento</x:v>
      </x:c>
      <x:c r="M2021" s="84" t="str">
        <x:v>Falta de lubrificação</x:v>
      </x:c>
      <x:c r="N2021" s="84" t="str">
        <x:v>Componente ajustado ou substituído</x:v>
      </x:c>
      <x:c r="O2021" s="84" t="n">
        <x:v>0</x:v>
      </x:c>
      <x:c r="P2021" s="93" t="n">
        <x:v>287.07</x:v>
      </x:c>
      <x:c r="Q2021" s="93" t="n">
        <x:v>3998.32</x:v>
      </x:c>
      <x:c r="R2021" s="91" t="n">
        <x:v>0</x:v>
      </x:c>
    </x:row>
    <x:row r="2022">
      <x:c r="A2022" s="83" t="n">
        <x:v>2021</x:v>
      </x:c>
      <x:c r="B2022" s="84" t="str">
        <x:v>OS-2024-02021</x:v>
      </x:c>
      <x:c r="C2022" s="84" t="n">
        <x:v>56</x:v>
      </x:c>
      <x:c r="D2022" s="84" t="n">
        <x:v>2</x:v>
      </x:c>
      <x:c r="E2022" s="84"/>
      <x:c r="F2022" s="89" t="n">
        <x:v>45478.05972222222</x:v>
      </x:c>
      <x:c r="G2022" s="89" t="n">
        <x:v>45482.05972222222</x:v>
      </x:c>
      <x:c r="H2022" s="89" t="n">
        <x:v>45479.68472222222</x:v>
      </x:c>
      <x:c r="I2022" s="89" t="n">
        <x:v>45479.72638888889</x:v>
      </x:c>
      <x:c r="J2022" s="84" t="str">
        <x:v>Baixa</x:v>
      </x:c>
      <x:c r="K2022" s="84" t="str">
        <x:v>Encerrada</x:v>
      </x:c>
      <x:c r="L2022" s="84" t="str">
        <x:v>Falha elétrica</x:v>
      </x:c>
      <x:c r="M2022" s="84" t="str">
        <x:v>Conexão frouxa</x:v>
      </x:c>
      <x:c r="N2022" s="84" t="str">
        <x:v>Componente ajustado ou substituído</x:v>
      </x:c>
      <x:c r="O2022" s="84" t="n">
        <x:v>0</x:v>
      </x:c>
      <x:c r="P2022" s="93" t="n">
        <x:v>615.4</x:v>
      </x:c>
      <x:c r="Q2022" s="93" t="n">
        <x:v>4509.24</x:v>
      </x:c>
      <x:c r="R2022" s="91" t="n">
        <x:v>0</x:v>
      </x:c>
    </x:row>
    <x:row r="2023">
      <x:c r="A2023" s="83" t="n">
        <x:v>2022</x:v>
      </x:c>
      <x:c r="B2023" s="84" t="str">
        <x:v>OS-2023-02022</x:v>
      </x:c>
      <x:c r="C2023" s="84" t="n">
        <x:v>20</x:v>
      </x:c>
      <x:c r="D2023" s="84" t="n">
        <x:v>4</x:v>
      </x:c>
      <x:c r="E2023" s="84"/>
      <x:c r="F2023" s="89" t="n">
        <x:v>44947.61858796296</x:v>
      </x:c>
      <x:c r="G2023" s="89" t="n">
        <x:v>44960.61858796296</x:v>
      </x:c>
      <x:c r="H2023" s="89" t="n">
        <x:v>44948.03525462963</x:v>
      </x:c>
      <x:c r="I2023" s="89" t="n">
        <x:v>44948.7019212963</x:v>
      </x:c>
      <x:c r="J2023" s="84" t="str">
        <x:v>Baixa</x:v>
      </x:c>
      <x:c r="K2023" s="84" t="str">
        <x:v>Encerrada</x:v>
      </x:c>
      <x:c r="L2023" s="84" t="str">
        <x:v>Ruído anormal</x:v>
      </x:c>
      <x:c r="M2023" s="84" t="str">
        <x:v>Contaminação</x:v>
      </x:c>
      <x:c r="N2023" s="84" t="str">
        <x:v>Componente ajustado ou substituído</x:v>
      </x:c>
      <x:c r="O2023" s="84" t="n">
        <x:v>0</x:v>
      </x:c>
      <x:c r="P2023" s="93" t="n">
        <x:v>203.35</x:v>
      </x:c>
      <x:c r="Q2023" s="93" t="n">
        <x:v>0</x:v>
      </x:c>
      <x:c r="R2023" s="91" t="n">
        <x:v>0</x:v>
      </x:c>
    </x:row>
    <x:row r="2024">
      <x:c r="A2024" s="83" t="n">
        <x:v>2023</x:v>
      </x:c>
      <x:c r="B2024" s="84" t="str">
        <x:v>OS-2024-02023</x:v>
      </x:c>
      <x:c r="C2024" s="84" t="n">
        <x:v>58</x:v>
      </x:c>
      <x:c r="D2024" s="84" t="n">
        <x:v>1</x:v>
      </x:c>
      <x:c r="E2024" s="84" t="n">
        <x:v>115</x:v>
      </x:c>
      <x:c r="F2024" s="89" t="n">
        <x:v>45626.86890046296</x:v>
      </x:c>
      <x:c r="G2024" s="89" t="n">
        <x:v>45631.86890046296</x:v>
      </x:c>
      <x:c r="H2024" s="89" t="n">
        <x:v>45628.0772337963</x:v>
      </x:c>
      <x:c r="I2024" s="89" t="n">
        <x:v>45628.66056712963</x:v>
      </x:c>
      <x:c r="J2024" s="84" t="str">
        <x:v>Crítica</x:v>
      </x:c>
      <x:c r="K2024" s="84" t="str">
        <x:v>Encerrada</x:v>
      </x:c>
      <x:c r="L2024" s="84" t="str">
        <x:v>Falha elétrica</x:v>
      </x:c>
      <x:c r="M2024" s="84" t="str">
        <x:v>Conexão frouxa</x:v>
      </x:c>
      <x:c r="N2024" s="84" t="str">
        <x:v>Componente ajustado ou substituído</x:v>
      </x:c>
      <x:c r="O2024" s="84" t="n">
        <x:v>0</x:v>
      </x:c>
      <x:c r="P2024" s="93" t="n">
        <x:v>140.79</x:v>
      </x:c>
      <x:c r="Q2024" s="93" t="n">
        <x:v>1179.06</x:v>
      </x:c>
      <x:c r="R2024" s="91" t="n">
        <x:v>14546.77</x:v>
      </x:c>
    </x:row>
    <x:row r="2025">
      <x:c r="A2025" s="83" t="n">
        <x:v>2024</x:v>
      </x:c>
      <x:c r="B2025" s="84" t="str">
        <x:v>OS-2024-02024</x:v>
      </x:c>
      <x:c r="C2025" s="84" t="n">
        <x:v>8</x:v>
      </x:c>
      <x:c r="D2025" s="84" t="n">
        <x:v>2</x:v>
      </x:c>
      <x:c r="E2025" s="84"/>
      <x:c r="F2025" s="89" t="n">
        <x:v>45427.5558912037</x:v>
      </x:c>
      <x:c r="G2025" s="89" t="n">
        <x:v>45429.5558912037</x:v>
      </x:c>
      <x:c r="H2025" s="89" t="n">
        <x:v>45428.22255787037</x:v>
      </x:c>
      <x:c r="I2025" s="89" t="n">
        <x:v>45428.76422453704</x:v>
      </x:c>
      <x:c r="J2025" s="84" t="str">
        <x:v>Baixa</x:v>
      </x:c>
      <x:c r="K2025" s="84" t="str">
        <x:v>Encerrada</x:v>
      </x:c>
      <x:c r="L2025" s="84" t="str">
        <x:v>Superaquecimento</x:v>
      </x:c>
      <x:c r="M2025" s="84" t="str">
        <x:v>Conexão frouxa</x:v>
      </x:c>
      <x:c r="N2025" s="84" t="str">
        <x:v>Componente ajustado ou substituído</x:v>
      </x:c>
      <x:c r="O2025" s="84" t="n">
        <x:v>0</x:v>
      </x:c>
      <x:c r="P2025" s="93" t="n">
        <x:v>240.35</x:v>
      </x:c>
      <x:c r="Q2025" s="93" t="n">
        <x:v>0</x:v>
      </x:c>
      <x:c r="R2025" s="91" t="n">
        <x:v>0</x:v>
      </x:c>
    </x:row>
    <x:row r="2026">
      <x:c r="A2026" s="83" t="n">
        <x:v>2025</x:v>
      </x:c>
      <x:c r="B2026" s="84" t="str">
        <x:v>OS-2023-02025</x:v>
      </x:c>
      <x:c r="C2026" s="84" t="n">
        <x:v>87</x:v>
      </x:c>
      <x:c r="D2026" s="84" t="n">
        <x:v>4</x:v>
      </x:c>
      <x:c r="E2026" s="84"/>
      <x:c r="F2026" s="89" t="n">
        <x:v>45244.719976851855</x:v>
      </x:c>
      <x:c r="G2026" s="89" t="n">
        <x:v>45246.719976851855</x:v>
      </x:c>
      <x:c r="H2026" s="89" t="n">
        <x:v>45245.38664351852</x:v>
      </x:c>
      <x:c r="I2026" s="89" t="n">
        <x:v>45245.88664351852</x:v>
      </x:c>
      <x:c r="J2026" s="84" t="str">
        <x:v>Alta</x:v>
      </x:c>
      <x:c r="K2026" s="84" t="str">
        <x:v>Encerrada</x:v>
      </x:c>
      <x:c r="L2026" s="84" t="str">
        <x:v>Falha elétrica</x:v>
      </x:c>
      <x:c r="M2026" s="84" t="str">
        <x:v>Contaminação</x:v>
      </x:c>
      <x:c r="N2026" s="84" t="str">
        <x:v>Componente ajustado ou substituído</x:v>
      </x:c>
      <x:c r="O2026" s="84" t="n">
        <x:v>0</x:v>
      </x:c>
      <x:c r="P2026" s="93" t="n">
        <x:v>237.9</x:v>
      </x:c>
      <x:c r="Q2026" s="93" t="n">
        <x:v>0</x:v>
      </x:c>
      <x:c r="R2026" s="91" t="n">
        <x:v>0</x:v>
      </x:c>
    </x:row>
    <x:row r="2027">
      <x:c r="A2027" s="83" t="n">
        <x:v>2026</x:v>
      </x:c>
      <x:c r="B2027" s="84" t="str">
        <x:v>OS-2023-02026</x:v>
      </x:c>
      <x:c r="C2027" s="84" t="n">
        <x:v>74</x:v>
      </x:c>
      <x:c r="D2027" s="84" t="n">
        <x:v>5</x:v>
      </x:c>
      <x:c r="E2027" s="84" t="n">
        <x:v>148</x:v>
      </x:c>
      <x:c r="F2027" s="89" t="n">
        <x:v>44964.93546296296</x:v>
      </x:c>
      <x:c r="G2027" s="89" t="n">
        <x:v>44968.93546296296</x:v>
      </x:c>
      <x:c r="H2027" s="89" t="n">
        <x:v>44965.18546296296</x:v>
      </x:c>
      <x:c r="I2027" s="89" t="n">
        <x:v>44965.43546296296</x:v>
      </x:c>
      <x:c r="J2027" s="84" t="str">
        <x:v>Baixa</x:v>
      </x:c>
      <x:c r="K2027" s="84" t="str">
        <x:v>Encerrada</x:v>
      </x:c>
      <x:c r="L2027" s="84" t="str">
        <x:v>Vazamento</x:v>
      </x:c>
      <x:c r="M2027" s="84" t="str">
        <x:v>Ajuste incorreto</x:v>
      </x:c>
      <x:c r="N2027" s="84" t="str">
        <x:v>Componente ajustado ou substituído</x:v>
      </x:c>
      <x:c r="O2027" s="84" t="n">
        <x:v>0</x:v>
      </x:c>
      <x:c r="P2027" s="93" t="n">
        <x:v>390.98</x:v>
      </x:c>
      <x:c r="Q2027" s="93" t="n">
        <x:v>8441.77</x:v>
      </x:c>
      <x:c r="R2027" s="91" t="n">
        <x:v>0</x:v>
      </x:c>
    </x:row>
    <x:row r="2028">
      <x:c r="A2028" s="83" t="n">
        <x:v>2027</x:v>
      </x:c>
      <x:c r="B2028" s="84" t="str">
        <x:v>OS-2025-02027</x:v>
      </x:c>
      <x:c r="C2028" s="84" t="n">
        <x:v>51</x:v>
      </x:c>
      <x:c r="D2028" s="84" t="n">
        <x:v>4</x:v>
      </x:c>
      <x:c r="E2028" s="84"/>
      <x:c r="F2028" s="89" t="n">
        <x:v>45797.75543981481</x:v>
      </x:c>
      <x:c r="G2028" s="89" t="n">
        <x:v>45798.75543981481</x:v>
      </x:c>
      <x:c r="H2028" s="89" t="n">
        <x:v>45798.422106481485</x:v>
      </x:c>
      <x:c r="I2028" s="89" t="n">
        <x:v>45799.172106481485</x:v>
      </x:c>
      <x:c r="J2028" s="84" t="str">
        <x:v>Baixa</x:v>
      </x:c>
      <x:c r="K2028" s="84" t="str">
        <x:v>Encerrada</x:v>
      </x:c>
      <x:c r="L2028" s="84" t="str">
        <x:v>Falha elétrica</x:v>
      </x:c>
      <x:c r="M2028" s="84" t="str">
        <x:v>Conexão frouxa</x:v>
      </x:c>
      <x:c r="N2028" s="84" t="str">
        <x:v>Componente ajustado ou substituído</x:v>
      </x:c>
      <x:c r="O2028" s="84" t="n">
        <x:v>0</x:v>
      </x:c>
      <x:c r="P2028" s="93" t="n">
        <x:v>147.43</x:v>
      </x:c>
      <x:c r="Q2028" s="93" t="n">
        <x:v>0</x:v>
      </x:c>
      <x:c r="R2028" s="91" t="n">
        <x:v>0</x:v>
      </x:c>
    </x:row>
    <x:row r="2029">
      <x:c r="A2029" s="83" t="n">
        <x:v>2028</x:v>
      </x:c>
      <x:c r="B2029" s="84" t="str">
        <x:v>OS-2024-02028</x:v>
      </x:c>
      <x:c r="C2029" s="84" t="n">
        <x:v>39</x:v>
      </x:c>
      <x:c r="D2029" s="84" t="n">
        <x:v>7</x:v>
      </x:c>
      <x:c r="E2029" s="84" t="n">
        <x:v>78</x:v>
      </x:c>
      <x:c r="F2029" s="89" t="n">
        <x:v>45379.240578703706</x:v>
      </x:c>
      <x:c r="G2029" s="89" t="n">
        <x:v>45390.240578703706</x:v>
      </x:c>
      <x:c r="H2029" s="89" t="n">
        <x:v>45381.40724537037</x:v>
      </x:c>
      <x:c r="I2029" s="89" t="n">
        <x:v>45382.115578703706</x:v>
      </x:c>
      <x:c r="J2029" s="84" t="str">
        <x:v>Média</x:v>
      </x:c>
      <x:c r="K2029" s="84" t="str">
        <x:v>Concluída</x:v>
      </x:c>
      <x:c r="L2029" s="84" t="str">
        <x:v>Vazamento</x:v>
      </x:c>
      <x:c r="M2029" s="84" t="str">
        <x:v>Conexão frouxa</x:v>
      </x:c>
      <x:c r="N2029" s="84" t="str">
        <x:v>Componente ajustado ou substituído</x:v>
      </x:c>
      <x:c r="O2029" s="84" t="n">
        <x:v>1</x:v>
      </x:c>
      <x:c r="P2029" s="93" t="n">
        <x:v>48.23</x:v>
      </x:c>
      <x:c r="Q2029" s="93" t="n">
        <x:v>7002.28</x:v>
      </x:c>
      <x:c r="R2029" s="91" t="n">
        <x:v>4420.9</x:v>
      </x:c>
    </x:row>
    <x:row r="2030">
      <x:c r="A2030" s="83" t="n">
        <x:v>2029</x:v>
      </x:c>
      <x:c r="B2030" s="84" t="str">
        <x:v>OS-2023-02029</x:v>
      </x:c>
      <x:c r="C2030" s="84" t="n">
        <x:v>9</x:v>
      </x:c>
      <x:c r="D2030" s="84" t="n">
        <x:v>1</x:v>
      </x:c>
      <x:c r="E2030" s="84" t="n">
        <x:v>17</x:v>
      </x:c>
      <x:c r="F2030" s="89" t="n">
        <x:v>44962.90351851852</x:v>
      </x:c>
      <x:c r="G2030" s="89" t="n">
        <x:v>44965.90351851852</x:v>
      </x:c>
      <x:c r="H2030" s="89" t="n">
        <x:v>44964.77851851852</x:v>
      </x:c>
      <x:c r="I2030" s="89" t="n">
        <x:v>44964.945185185185</x:v>
      </x:c>
      <x:c r="J2030" s="84" t="str">
        <x:v>Baixa</x:v>
      </x:c>
      <x:c r="K2030" s="84" t="str">
        <x:v>Encerrada</x:v>
      </x:c>
      <x:c r="L2030" s="84" t="str">
        <x:v>Falha elétrica</x:v>
      </x:c>
      <x:c r="M2030" s="84" t="str">
        <x:v>Falta de lubrificação</x:v>
      </x:c>
      <x:c r="N2030" s="84" t="str">
        <x:v>Componente ajustado ou substituído</x:v>
      </x:c>
      <x:c r="O2030" s="84" t="n">
        <x:v>0</x:v>
      </x:c>
      <x:c r="P2030" s="93" t="n">
        <x:v>228.16</x:v>
      </x:c>
      <x:c r="Q2030" s="93" t="n">
        <x:v>4838.41</x:v>
      </x:c>
      <x:c r="R2030" s="91" t="n">
        <x:v>0</x:v>
      </x:c>
    </x:row>
    <x:row r="2031">
      <x:c r="A2031" s="83" t="n">
        <x:v>2030</x:v>
      </x:c>
      <x:c r="B2031" s="84" t="str">
        <x:v>OS-2024-02030</x:v>
      </x:c>
      <x:c r="C2031" s="84" t="n">
        <x:v>27</x:v>
      </x:c>
      <x:c r="D2031" s="84" t="n">
        <x:v>1</x:v>
      </x:c>
      <x:c r="E2031" s="84" t="n">
        <x:v>53</x:v>
      </x:c>
      <x:c r="F2031" s="89" t="n">
        <x:v>45383.336851851855</x:v>
      </x:c>
      <x:c r="G2031" s="89" t="n">
        <x:v>45398.336851851855</x:v>
      </x:c>
      <x:c r="H2031" s="89" t="n">
        <x:v>45383.92018518518</x:v>
      </x:c>
      <x:c r="I2031" s="89" t="n">
        <x:v>45384.67018518518</x:v>
      </x:c>
      <x:c r="J2031" s="84" t="str">
        <x:v>Média</x:v>
      </x:c>
      <x:c r="K2031" s="84" t="str">
        <x:v>Encerrada</x:v>
      </x:c>
      <x:c r="L2031" s="84" t="str">
        <x:v>Vazamento</x:v>
      </x:c>
      <x:c r="M2031" s="84" t="str">
        <x:v>Falta de lubrificação</x:v>
      </x:c>
      <x:c r="N2031" s="84" t="str">
        <x:v>Componente ajustado ou substituído</x:v>
      </x:c>
      <x:c r="O2031" s="84" t="n">
        <x:v>0</x:v>
      </x:c>
      <x:c r="P2031" s="93" t="n">
        <x:v>491.07</x:v>
      </x:c>
      <x:c r="Q2031" s="93" t="n">
        <x:v>0</x:v>
      </x:c>
      <x:c r="R2031" s="91" t="n">
        <x:v>0</x:v>
      </x:c>
    </x:row>
    <x:row r="2032">
      <x:c r="A2032" s="83" t="n">
        <x:v>2031</x:v>
      </x:c>
      <x:c r="B2032" s="84" t="str">
        <x:v>OS-2024-02031</x:v>
      </x:c>
      <x:c r="C2032" s="84" t="n">
        <x:v>75</x:v>
      </x:c>
      <x:c r="D2032" s="84" t="n">
        <x:v>1</x:v>
      </x:c>
      <x:c r="E2032" s="84" t="n">
        <x:v>149</x:v>
      </x:c>
      <x:c r="F2032" s="89" t="n">
        <x:v>45581.04582175926</x:v>
      </x:c>
      <x:c r="G2032" s="89" t="n">
        <x:v>45596.04582175926</x:v>
      </x:c>
      <x:c r="H2032" s="89" t="n">
        <x:v>45582.42082175926</x:v>
      </x:c>
      <x:c r="I2032" s="89" t="n">
        <x:v>45582.462488425925</x:v>
      </x:c>
      <x:c r="J2032" s="84" t="str">
        <x:v>Média</x:v>
      </x:c>
      <x:c r="K2032" s="84" t="str">
        <x:v>Encerrada</x:v>
      </x:c>
      <x:c r="L2032" s="84" t="str">
        <x:v>Desalinhamento</x:v>
      </x:c>
      <x:c r="M2032" s="84" t="str">
        <x:v>Conexão frouxa</x:v>
      </x:c>
      <x:c r="N2032" s="84" t="str">
        <x:v>Componente ajustado ou substituído</x:v>
      </x:c>
      <x:c r="O2032" s="84" t="n">
        <x:v>0</x:v>
      </x:c>
      <x:c r="P2032" s="93" t="n">
        <x:v>334.15</x:v>
      </x:c>
      <x:c r="Q2032" s="93" t="n">
        <x:v>7743.92</x:v>
      </x:c>
      <x:c r="R2032" s="91" t="n">
        <x:v>6382.95</x:v>
      </x:c>
    </x:row>
    <x:row r="2033">
      <x:c r="A2033" s="83" t="n">
        <x:v>2032</x:v>
      </x:c>
      <x:c r="B2033" s="84" t="str">
        <x:v>OS-2024-02032</x:v>
      </x:c>
      <x:c r="C2033" s="84" t="n">
        <x:v>77</x:v>
      </x:c>
      <x:c r="D2033" s="84" t="n">
        <x:v>3</x:v>
      </x:c>
      <x:c r="E2033" s="84"/>
      <x:c r="F2033" s="89" t="n">
        <x:v>45348.090520833335</x:v>
      </x:c>
      <x:c r="G2033" s="89"/>
      <x:c r="H2033" s="89" t="n">
        <x:v>45348.548854166664</x:v>
      </x:c>
      <x:c r="I2033" s="89" t="n">
        <x:v>45348.840520833335</x:v>
      </x:c>
      <x:c r="J2033" s="84" t="str">
        <x:v>Baixa</x:v>
      </x:c>
      <x:c r="K2033" s="84" t="str">
        <x:v>Encerrada</x:v>
      </x:c>
      <x:c r="L2033" s="84" t="str">
        <x:v>Baixa pressão</x:v>
      </x:c>
      <x:c r="M2033" s="84" t="str">
        <x:v>Conexão frouxa</x:v>
      </x:c>
      <x:c r="N2033" s="84" t="str">
        <x:v>Componente ajustado ou substituído</x:v>
      </x:c>
      <x:c r="O2033" s="84" t="n">
        <x:v>0</x:v>
      </x:c>
      <x:c r="P2033" s="93" t="n">
        <x:v>609.74</x:v>
      </x:c>
      <x:c r="Q2033" s="93" t="n">
        <x:v>9370.33</x:v>
      </x:c>
      <x:c r="R2033" s="91" t="n">
        <x:v>0</x:v>
      </x:c>
    </x:row>
    <x:row r="2034">
      <x:c r="A2034" s="83" t="n">
        <x:v>2033</x:v>
      </x:c>
      <x:c r="B2034" s="84" t="str">
        <x:v>OS-2023-02033</x:v>
      </x:c>
      <x:c r="C2034" s="84" t="n">
        <x:v>75</x:v>
      </x:c>
      <x:c r="D2034" s="84" t="n">
        <x:v>4</x:v>
      </x:c>
      <x:c r="E2034" s="84"/>
      <x:c r="F2034" s="89" t="n">
        <x:v>45254.45542824074</x:v>
      </x:c>
      <x:c r="G2034" s="89" t="n">
        <x:v>45254.45542824074</x:v>
      </x:c>
      <x:c r="H2034" s="89" t="n">
        <x:v>45257.41376157408</x:v>
      </x:c>
      <x:c r="I2034" s="89" t="n">
        <x:v>45257.58042824074</x:v>
      </x:c>
      <x:c r="J2034" s="84" t="str">
        <x:v>Crítica</x:v>
      </x:c>
      <x:c r="K2034" s="84" t="str">
        <x:v>Encerrada</x:v>
      </x:c>
      <x:c r="L2034" s="84" t="str">
        <x:v>Baixa pressão</x:v>
      </x:c>
      <x:c r="M2034" s="84" t="str">
        <x:v>Contaminação</x:v>
      </x:c>
      <x:c r="N2034" s="84" t="str">
        <x:v>Componente ajustado ou substituído</x:v>
      </x:c>
      <x:c r="O2034" s="84" t="n">
        <x:v>0</x:v>
      </x:c>
      <x:c r="P2034" s="93" t="n">
        <x:v>263.44</x:v>
      </x:c>
      <x:c r="Q2034" s="93" t="n">
        <x:v>4205.82</x:v>
      </x:c>
      <x:c r="R2034" s="91" t="n">
        <x:v>0</x:v>
      </x:c>
    </x:row>
    <x:row r="2035">
      <x:c r="A2035" s="83" t="n">
        <x:v>2034</x:v>
      </x:c>
      <x:c r="B2035" s="84" t="str">
        <x:v>OS-2025-02034</x:v>
      </x:c>
      <x:c r="C2035" s="84" t="n">
        <x:v>66</x:v>
      </x:c>
      <x:c r="D2035" s="84" t="n">
        <x:v>1</x:v>
      </x:c>
      <x:c r="E2035" s="84" t="n">
        <x:v>131</x:v>
      </x:c>
      <x:c r="F2035" s="89" t="n">
        <x:v>45724.6740625</x:v>
      </x:c>
      <x:c r="G2035" s="89" t="n">
        <x:v>45734.6740625</x:v>
      </x:c>
      <x:c r="H2035" s="89" t="n">
        <x:v>45727.6740625</x:v>
      </x:c>
      <x:c r="I2035" s="89" t="n">
        <x:v>45728.2990625</x:v>
      </x:c>
      <x:c r="J2035" s="84" t="str">
        <x:v>Alta</x:v>
      </x:c>
      <x:c r="K2035" s="84" t="str">
        <x:v>Encerrada</x:v>
      </x:c>
      <x:c r="L2035" s="84" t="str">
        <x:v>Falha elétrica</x:v>
      </x:c>
      <x:c r="M2035" s="84" t="str">
        <x:v>Desgaste natural</x:v>
      </x:c>
      <x:c r="N2035" s="84" t="str">
        <x:v>Componente ajustado ou substituído</x:v>
      </x:c>
      <x:c r="O2035" s="84" t="n">
        <x:v>0</x:v>
      </x:c>
      <x:c r="P2035" s="93" t="n">
        <x:v>537.97</x:v>
      </x:c>
      <x:c r="Q2035" s="93" t="n">
        <x:v>596.41</x:v>
      </x:c>
      <x:c r="R2035" s="91" t="n">
        <x:v>0</x:v>
      </x:c>
    </x:row>
    <x:row r="2036">
      <x:c r="A2036" s="83" t="n">
        <x:v>2035</x:v>
      </x:c>
      <x:c r="B2036" s="84" t="str">
        <x:v>OS-2023-02035</x:v>
      </x:c>
      <x:c r="C2036" s="84" t="n">
        <x:v>44</x:v>
      </x:c>
      <x:c r="D2036" s="84" t="n">
        <x:v>1</x:v>
      </x:c>
      <x:c r="E2036" s="84" t="n">
        <x:v>87</x:v>
      </x:c>
      <x:c r="F2036" s="89" t="n">
        <x:v>45090.619421296295</x:v>
      </x:c>
      <x:c r="G2036" s="89" t="n">
        <x:v>45104.619421296295</x:v>
      </x:c>
      <x:c r="H2036" s="89" t="n">
        <x:v>45092.411087962966</x:v>
      </x:c>
      <x:c r="I2036" s="89" t="n">
        <x:v>45092.744421296295</x:v>
      </x:c>
      <x:c r="J2036" s="84" t="str">
        <x:v>Crítica</x:v>
      </x:c>
      <x:c r="K2036" s="84" t="str">
        <x:v>Encerrada</x:v>
      </x:c>
      <x:c r="L2036" s="84" t="str">
        <x:v>Vazamento</x:v>
      </x:c>
      <x:c r="M2036" s="84" t="str">
        <x:v>Ajuste incorreto</x:v>
      </x:c>
      <x:c r="N2036" s="84" t="str">
        <x:v>Componente ajustado ou substituído</x:v>
      </x:c>
      <x:c r="O2036" s="84" t="n">
        <x:v>0</x:v>
      </x:c>
      <x:c r="P2036" s="93" t="n">
        <x:v>77.19</x:v>
      </x:c>
      <x:c r="Q2036" s="93" t="n">
        <x:v>6633.78</x:v>
      </x:c>
      <x:c r="R2036" s="91" t="n">
        <x:v>5685.33</x:v>
      </x:c>
    </x:row>
    <x:row r="2037">
      <x:c r="A2037" s="83" t="n">
        <x:v>2036</x:v>
      </x:c>
      <x:c r="B2037" s="84" t="str">
        <x:v>OS-2025-02036</x:v>
      </x:c>
      <x:c r="C2037" s="84" t="n">
        <x:v>66</x:v>
      </x:c>
      <x:c r="D2037" s="84" t="n">
        <x:v>6</x:v>
      </x:c>
      <x:c r="E2037" s="84"/>
      <x:c r="F2037" s="89" t="n">
        <x:v>45874.27756944444</x:v>
      </x:c>
      <x:c r="G2037" s="89" t="n">
        <x:v>45885.27756944444</x:v>
      </x:c>
      <x:c r="H2037" s="89" t="n">
        <x:v>45875.27756944444</x:v>
      </x:c>
      <x:c r="I2037" s="89" t="n">
        <x:v>45875.65256944444</x:v>
      </x:c>
      <x:c r="J2037" s="84" t="str">
        <x:v>Média</x:v>
      </x:c>
      <x:c r="K2037" s="84" t="str">
        <x:v>Concluída</x:v>
      </x:c>
      <x:c r="L2037" s="84" t="str">
        <x:v>Ruído anormal</x:v>
      </x:c>
      <x:c r="M2037" s="84" t="str">
        <x:v>Falta de lubrificação</x:v>
      </x:c>
      <x:c r="N2037" s="84" t="str">
        <x:v>Componente ajustado ou substituído</x:v>
      </x:c>
      <x:c r="O2037" s="84" t="n">
        <x:v>0</x:v>
      </x:c>
      <x:c r="P2037" s="93" t="n">
        <x:v>194.88</x:v>
      </x:c>
      <x:c r="Q2037" s="93" t="n">
        <x:v>4898.05</x:v>
      </x:c>
      <x:c r="R2037" s="91" t="n">
        <x:v>0</x:v>
      </x:c>
    </x:row>
    <x:row r="2038">
      <x:c r="A2038" s="83" t="n">
        <x:v>2037</x:v>
      </x:c>
      <x:c r="B2038" s="84" t="str">
        <x:v>OS-2025-02037</x:v>
      </x:c>
      <x:c r="C2038" s="84" t="n">
        <x:v>86</x:v>
      </x:c>
      <x:c r="D2038" s="84" t="n">
        <x:v>4</x:v>
      </x:c>
      <x:c r="E2038" s="84"/>
      <x:c r="F2038" s="89" t="n">
        <x:v>45827.24563657407</x:v>
      </x:c>
      <x:c r="G2038" s="89" t="n">
        <x:v>45833.24563657407</x:v>
      </x:c>
      <x:c r="H2038" s="89" t="n">
        <x:v>45829.037303240744</x:v>
      </x:c>
      <x:c r="I2038" s="89" t="n">
        <x:v>45829.45396990741</x:v>
      </x:c>
      <x:c r="J2038" s="84" t="str">
        <x:v>Crítica</x:v>
      </x:c>
      <x:c r="K2038" s="84" t="str">
        <x:v>Encerrada</x:v>
      </x:c>
      <x:c r="L2038" s="84" t="str">
        <x:v>Vazamento</x:v>
      </x:c>
      <x:c r="M2038" s="84" t="str">
        <x:v>Desgaste natural</x:v>
      </x:c>
      <x:c r="N2038" s="84" t="str">
        <x:v>Componente ajustado ou substituído</x:v>
      </x:c>
      <x:c r="O2038" s="84" t="n">
        <x:v>0</x:v>
      </x:c>
      <x:c r="P2038" s="93" t="n">
        <x:v>807.55</x:v>
      </x:c>
      <x:c r="Q2038" s="93" t="n">
        <x:v>7782.31</x:v>
      </x:c>
      <x:c r="R2038" s="91" t="n">
        <x:v>0</x:v>
      </x:c>
    </x:row>
    <x:row r="2039">
      <x:c r="A2039" s="83" t="n">
        <x:v>2038</x:v>
      </x:c>
      <x:c r="B2039" s="84" t="str">
        <x:v>OS-2023-02038</x:v>
      </x:c>
      <x:c r="C2039" s="84" t="n">
        <x:v>20</x:v>
      </x:c>
      <x:c r="D2039" s="84" t="n">
        <x:v>1</x:v>
      </x:c>
      <x:c r="E2039" s="84" t="n">
        <x:v>39</x:v>
      </x:c>
      <x:c r="F2039" s="89" t="n">
        <x:v>45075.36341435185</x:v>
      </x:c>
      <x:c r="G2039" s="89" t="n">
        <x:v>45090.36341435185</x:v>
      </x:c>
      <x:c r="H2039" s="89"/>
      <x:c r="I2039" s="89"/>
      <x:c r="J2039" s="84" t="str">
        <x:v>Média</x:v>
      </x:c>
      <x:c r="K2039" s="84" t="str">
        <x:v>Planejada</x:v>
      </x:c>
      <x:c r="L2039" s="84" t="str">
        <x:v>Ruído anormal</x:v>
      </x:c>
      <x:c r="M2039" s="84"/>
      <x:c r="N2039" s="84"/>
      <x:c r="O2039" s="84" t="n">
        <x:v>0</x:v>
      </x:c>
      <x:c r="P2039" s="93" t="n">
        <x:v>0</x:v>
      </x:c>
      <x:c r="Q2039" s="93" t="n">
        <x:v>0</x:v>
      </x:c>
      <x:c r="R2039" s="91" t="n">
        <x:v>0</x:v>
      </x:c>
    </x:row>
    <x:row r="2040">
      <x:c r="A2040" s="83" t="n">
        <x:v>2039</x:v>
      </x:c>
      <x:c r="B2040" s="84" t="str">
        <x:v>OS-2023-02039</x:v>
      </x:c>
      <x:c r="C2040" s="84" t="n">
        <x:v>56</x:v>
      </x:c>
      <x:c r="D2040" s="84" t="n">
        <x:v>1</x:v>
      </x:c>
      <x:c r="E2040" s="84" t="n">
        <x:v>112</x:v>
      </x:c>
      <x:c r="F2040" s="89" t="n">
        <x:v>45219.86136574074</x:v>
      </x:c>
      <x:c r="G2040" s="89" t="n">
        <x:v>45232.86136574074</x:v>
      </x:c>
      <x:c r="H2040" s="89" t="n">
        <x:v>45222.86136574074</x:v>
      </x:c>
      <x:c r="I2040" s="89" t="n">
        <x:v>45223.403032407405</x:v>
      </x:c>
      <x:c r="J2040" s="84" t="str">
        <x:v>Baixa</x:v>
      </x:c>
      <x:c r="K2040" s="84" t="str">
        <x:v>Encerrada</x:v>
      </x:c>
      <x:c r="L2040" s="84" t="str">
        <x:v>Vazamento</x:v>
      </x:c>
      <x:c r="M2040" s="84" t="str">
        <x:v>Componente danificado</x:v>
      </x:c>
      <x:c r="N2040" s="84" t="str">
        <x:v>Componente ajustado ou substituído</x:v>
      </x:c>
      <x:c r="O2040" s="84" t="n">
        <x:v>0</x:v>
      </x:c>
      <x:c r="P2040" s="93" t="n">
        <x:v>93</x:v>
      </x:c>
      <x:c r="Q2040" s="93" t="n">
        <x:v>0</x:v>
      </x:c>
      <x:c r="R2040" s="91" t="n">
        <x:v>0</x:v>
      </x:c>
    </x:row>
    <x:row r="2041">
      <x:c r="A2041" s="83" t="n">
        <x:v>2040</x:v>
      </x:c>
      <x:c r="B2041" s="84" t="str">
        <x:v>OS-2023-02040</x:v>
      </x:c>
      <x:c r="C2041" s="84" t="n">
        <x:v>23</x:v>
      </x:c>
      <x:c r="D2041" s="84" t="n">
        <x:v>1</x:v>
      </x:c>
      <x:c r="E2041" s="84" t="n">
        <x:v>46</x:v>
      </x:c>
      <x:c r="F2041" s="89" t="n">
        <x:v>45074.55931712963</x:v>
      </x:c>
      <x:c r="G2041" s="89" t="n">
        <x:v>45083.55931712963</x:v>
      </x:c>
      <x:c r="H2041" s="89" t="n">
        <x:v>45076.80931712963</x:v>
      </x:c>
      <x:c r="I2041" s="89" t="n">
        <x:v>45077.51765046296</x:v>
      </x:c>
      <x:c r="J2041" s="84" t="str">
        <x:v>Crítica</x:v>
      </x:c>
      <x:c r="K2041" s="84" t="str">
        <x:v>Encerrada</x:v>
      </x:c>
      <x:c r="L2041" s="84" t="str">
        <x:v>Ruído anormal</x:v>
      </x:c>
      <x:c r="M2041" s="84" t="str">
        <x:v>Desgaste natural</x:v>
      </x:c>
      <x:c r="N2041" s="84" t="str">
        <x:v>Componente ajustado ou substituído</x:v>
      </x:c>
      <x:c r="O2041" s="84" t="n">
        <x:v>0</x:v>
      </x:c>
      <x:c r="P2041" s="93" t="n">
        <x:v>536.25</x:v>
      </x:c>
      <x:c r="Q2041" s="93" t="n">
        <x:v>5995.32</x:v>
      </x:c>
      <x:c r="R2041" s="91" t="n">
        <x:v>0</x:v>
      </x:c>
    </x:row>
    <x:row r="2042">
      <x:c r="A2042" s="83" t="n">
        <x:v>2041</x:v>
      </x:c>
      <x:c r="B2042" s="84" t="str">
        <x:v>OS-2023-02041</x:v>
      </x:c>
      <x:c r="C2042" s="84" t="n">
        <x:v>55</x:v>
      </x:c>
      <x:c r="D2042" s="84" t="n">
        <x:v>1</x:v>
      </x:c>
      <x:c r="E2042" s="84" t="n">
        <x:v>109</x:v>
      </x:c>
      <x:c r="F2042" s="89" t="n">
        <x:v>45034.89556712963</x:v>
      </x:c>
      <x:c r="G2042" s="89" t="n">
        <x:v>45042.89556712963</x:v>
      </x:c>
      <x:c r="H2042" s="89" t="n">
        <x:v>45037.52056712963</x:v>
      </x:c>
      <x:c r="I2042" s="89" t="n">
        <x:v>45038.103900462964</x:v>
      </x:c>
      <x:c r="J2042" s="84" t="str">
        <x:v>Baixa</x:v>
      </x:c>
      <x:c r="K2042" s="84" t="str">
        <x:v>Encerrada</x:v>
      </x:c>
      <x:c r="L2042" s="84" t="str">
        <x:v>Baixa pressão</x:v>
      </x:c>
      <x:c r="M2042" s="84" t="str">
        <x:v>Componente danificado</x:v>
      </x:c>
      <x:c r="N2042" s="84" t="str">
        <x:v>Componente ajustado ou substituído</x:v>
      </x:c>
      <x:c r="O2042" s="84" t="n">
        <x:v>0</x:v>
      </x:c>
      <x:c r="P2042" s="93" t="n">
        <x:v>932.7</x:v>
      </x:c>
      <x:c r="Q2042" s="93" t="n">
        <x:v>11734.78</x:v>
      </x:c>
      <x:c r="R2042" s="91" t="n">
        <x:v>0</x:v>
      </x:c>
    </x:row>
    <x:row r="2043">
      <x:c r="A2043" s="83" t="n">
        <x:v>2042</x:v>
      </x:c>
      <x:c r="B2043" s="84" t="str">
        <x:v>OS-2023-02042</x:v>
      </x:c>
      <x:c r="C2043" s="84" t="n">
        <x:v>26</x:v>
      </x:c>
      <x:c r="D2043" s="84" t="n">
        <x:v>6</x:v>
      </x:c>
      <x:c r="E2043" s="84"/>
      <x:c r="F2043" s="89" t="n">
        <x:v>45150.29922453704</x:v>
      </x:c>
      <x:c r="G2043" s="89" t="n">
        <x:v>45165.29922453704</x:v>
      </x:c>
      <x:c r="H2043" s="89" t="n">
        <x:v>45151.42422453704</x:v>
      </x:c>
      <x:c r="I2043" s="89"/>
      <x:c r="J2043" s="84" t="str">
        <x:v>Média</x:v>
      </x:c>
      <x:c r="K2043" s="84" t="str">
        <x:v>Aguardando peça</x:v>
      </x:c>
      <x:c r="L2043" s="84" t="str">
        <x:v>Baixa pressão</x:v>
      </x:c>
      <x:c r="M2043" s="84" t="str">
        <x:v>Ajuste incorreto</x:v>
      </x:c>
      <x:c r="N2043" s="84"/>
      <x:c r="O2043" s="84" t="n">
        <x:v>0</x:v>
      </x:c>
      <x:c r="P2043" s="93" t="n">
        <x:v>790.56</x:v>
      </x:c>
      <x:c r="Q2043" s="93" t="n">
        <x:v>9141.89</x:v>
      </x:c>
      <x:c r="R2043" s="91" t="n">
        <x:v>1740.14</x:v>
      </x:c>
    </x:row>
    <x:row r="2044">
      <x:c r="A2044" s="83" t="n">
        <x:v>2043</x:v>
      </x:c>
      <x:c r="B2044" s="84" t="str">
        <x:v>OS-2024-02043</x:v>
      </x:c>
      <x:c r="C2044" s="84" t="n">
        <x:v>1</x:v>
      </x:c>
      <x:c r="D2044" s="84" t="n">
        <x:v>1</x:v>
      </x:c>
      <x:c r="E2044" s="84" t="n">
        <x:v>2</x:v>
      </x:c>
      <x:c r="F2044" s="89" t="n">
        <x:v>45375.70929398148</x:v>
      </x:c>
      <x:c r="G2044" s="89" t="n">
        <x:v>45386.70929398148</x:v>
      </x:c>
      <x:c r="H2044" s="89" t="n">
        <x:v>45377.20929398148</x:v>
      </x:c>
      <x:c r="I2044" s="89" t="n">
        <x:v>45377.91762731481</x:v>
      </x:c>
      <x:c r="J2044" s="84" t="str">
        <x:v>Baixa</x:v>
      </x:c>
      <x:c r="K2044" s="84" t="str">
        <x:v>Encerrada</x:v>
      </x:c>
      <x:c r="L2044" s="84" t="str">
        <x:v>Vazamento</x:v>
      </x:c>
      <x:c r="M2044" s="84" t="str">
        <x:v>Falta de lubrificação</x:v>
      </x:c>
      <x:c r="N2044" s="84" t="str">
        <x:v>Componente ajustado ou substituído</x:v>
      </x:c>
      <x:c r="O2044" s="84" t="n">
        <x:v>0</x:v>
      </x:c>
      <x:c r="P2044" s="93" t="n">
        <x:v>273.64</x:v>
      </x:c>
      <x:c r="Q2044" s="93" t="n">
        <x:v>1565.67</x:v>
      </x:c>
      <x:c r="R2044" s="91" t="n">
        <x:v>0</x:v>
      </x:c>
    </x:row>
    <x:row r="2045">
      <x:c r="A2045" s="83" t="n">
        <x:v>2044</x:v>
      </x:c>
      <x:c r="B2045" s="84" t="str">
        <x:v>OS-2024-02044</x:v>
      </x:c>
      <x:c r="C2045" s="84" t="n">
        <x:v>57</x:v>
      </x:c>
      <x:c r="D2045" s="84" t="n">
        <x:v>7</x:v>
      </x:c>
      <x:c r="E2045" s="84" t="n">
        <x:v>113</x:v>
      </x:c>
      <x:c r="F2045" s="89" t="n">
        <x:v>45321.2690162037</x:v>
      </x:c>
      <x:c r="G2045" s="89" t="n">
        <x:v>45322.2690162037</x:v>
      </x:c>
      <x:c r="H2045" s="89" t="n">
        <x:v>45323.81068287037</x:v>
      </x:c>
      <x:c r="I2045" s="89" t="n">
        <x:v>45324.60234953704</x:v>
      </x:c>
      <x:c r="J2045" s="84" t="str">
        <x:v>Baixa</x:v>
      </x:c>
      <x:c r="K2045" s="84" t="str">
        <x:v>Encerrada</x:v>
      </x:c>
      <x:c r="L2045" s="84" t="str">
        <x:v>Alarme intermitente</x:v>
      </x:c>
      <x:c r="M2045" s="84" t="str">
        <x:v>Falta de lubrificação</x:v>
      </x:c>
      <x:c r="N2045" s="84" t="str">
        <x:v>Componente ajustado ou substituído</x:v>
      </x:c>
      <x:c r="O2045" s="84" t="n">
        <x:v>0</x:v>
      </x:c>
      <x:c r="P2045" s="93" t="n">
        <x:v>79.23</x:v>
      </x:c>
      <x:c r="Q2045" s="93" t="n">
        <x:v>8845.04</x:v>
      </x:c>
      <x:c r="R2045" s="91" t="n">
        <x:v>0</x:v>
      </x:c>
    </x:row>
    <x:row r="2046">
      <x:c r="A2046" s="83" t="n">
        <x:v>2045</x:v>
      </x:c>
      <x:c r="B2046" s="84" t="str">
        <x:v>OS-2025-02045</x:v>
      </x:c>
      <x:c r="C2046" s="84" t="n">
        <x:v>38</x:v>
      </x:c>
      <x:c r="D2046" s="84" t="n">
        <x:v>1</x:v>
      </x:c>
      <x:c r="E2046" s="84" t="n">
        <x:v>75</x:v>
      </x:c>
      <x:c r="F2046" s="89" t="n">
        <x:v>45680.12096064815</x:v>
      </x:c>
      <x:c r="G2046" s="89" t="n">
        <x:v>45681.12096064815</x:v>
      </x:c>
      <x:c r="H2046" s="89" t="n">
        <x:v>45682.20429398148</x:v>
      </x:c>
      <x:c r="I2046" s="89" t="n">
        <x:v>45682.99596064815</x:v>
      </x:c>
      <x:c r="J2046" s="84" t="str">
        <x:v>Alta</x:v>
      </x:c>
      <x:c r="K2046" s="84" t="str">
        <x:v>Encerrada</x:v>
      </x:c>
      <x:c r="L2046" s="84" t="str">
        <x:v>Superaquecimento</x:v>
      </x:c>
      <x:c r="M2046" s="84" t="str">
        <x:v>Falta de lubrificação</x:v>
      </x:c>
      <x:c r="N2046" s="84" t="str">
        <x:v>Componente ajustado ou substituído</x:v>
      </x:c>
      <x:c r="O2046" s="84" t="n">
        <x:v>0</x:v>
      </x:c>
      <x:c r="P2046" s="93" t="n">
        <x:v>397.06</x:v>
      </x:c>
      <x:c r="Q2046" s="93" t="n">
        <x:v>2151</x:v>
      </x:c>
      <x:c r="R2046" s="91" t="n">
        <x:v>0</x:v>
      </x:c>
    </x:row>
    <x:row r="2047">
      <x:c r="A2047" s="83" t="n">
        <x:v>2046</x:v>
      </x:c>
      <x:c r="B2047" s="84" t="str">
        <x:v>OS-2023-02046</x:v>
      </x:c>
      <x:c r="C2047" s="84" t="n">
        <x:v>49</x:v>
      </x:c>
      <x:c r="D2047" s="84" t="n">
        <x:v>1</x:v>
      </x:c>
      <x:c r="E2047" s="84" t="n">
        <x:v>98</x:v>
      </x:c>
      <x:c r="F2047" s="89" t="n">
        <x:v>45182.68814814815</x:v>
      </x:c>
      <x:c r="G2047" s="89" t="n">
        <x:v>45188.68814814815</x:v>
      </x:c>
      <x:c r="H2047" s="89" t="n">
        <x:v>45183.43814814815</x:v>
      </x:c>
      <x:c r="I2047" s="89" t="n">
        <x:v>45183.89648148148</x:v>
      </x:c>
      <x:c r="J2047" s="84" t="str">
        <x:v>Alta</x:v>
      </x:c>
      <x:c r="K2047" s="84" t="str">
        <x:v>Encerrada</x:v>
      </x:c>
      <x:c r="L2047" s="84" t="str">
        <x:v>Falha elétrica</x:v>
      </x:c>
      <x:c r="M2047" s="84" t="str">
        <x:v>Desgaste natural</x:v>
      </x:c>
      <x:c r="N2047" s="84" t="str">
        <x:v>Componente ajustado ou substituído</x:v>
      </x:c>
      <x:c r="O2047" s="84" t="n">
        <x:v>0</x:v>
      </x:c>
      <x:c r="P2047" s="93" t="n">
        <x:v>628.07</x:v>
      </x:c>
      <x:c r="Q2047" s="93" t="n">
        <x:v>10817.6</x:v>
      </x:c>
      <x:c r="R2047" s="91" t="n">
        <x:v>0</x:v>
      </x:c>
    </x:row>
    <x:row r="2048">
      <x:c r="A2048" s="83" t="n">
        <x:v>2047</x:v>
      </x:c>
      <x:c r="B2048" s="84" t="str">
        <x:v>OS-2023-02047</x:v>
      </x:c>
      <x:c r="C2048" s="84" t="n">
        <x:v>75</x:v>
      </x:c>
      <x:c r="D2048" s="84" t="n">
        <x:v>1</x:v>
      </x:c>
      <x:c r="E2048" s="84" t="n">
        <x:v>150</x:v>
      </x:c>
      <x:c r="F2048" s="89" t="n">
        <x:v>45106.71960648148</x:v>
      </x:c>
      <x:c r="G2048" s="89" t="n">
        <x:v>45111.71960648148</x:v>
      </x:c>
      <x:c r="H2048" s="89" t="n">
        <x:v>45109.09460648148</x:v>
      </x:c>
      <x:c r="I2048" s="89" t="n">
        <x:v>45109.38627314815</x:v>
      </x:c>
      <x:c r="J2048" s="84" t="str">
        <x:v>Alta</x:v>
      </x:c>
      <x:c r="K2048" s="84" t="str">
        <x:v>Encerrada</x:v>
      </x:c>
      <x:c r="L2048" s="84" t="str">
        <x:v>Ruído anormal</x:v>
      </x:c>
      <x:c r="M2048" s="84" t="str">
        <x:v>Componente danificado</x:v>
      </x:c>
      <x:c r="N2048" s="84" t="str">
        <x:v>Componente ajustado ou substituído</x:v>
      </x:c>
      <x:c r="O2048" s="84" t="n">
        <x:v>0</x:v>
      </x:c>
      <x:c r="P2048" s="93" t="n">
        <x:v>364.01</x:v>
      </x:c>
      <x:c r="Q2048" s="93" t="n">
        <x:v>6707.85</x:v>
      </x:c>
      <x:c r="R2048" s="91" t="n">
        <x:v>0</x:v>
      </x:c>
    </x:row>
    <x:row r="2049">
      <x:c r="A2049" s="83" t="n">
        <x:v>2048</x:v>
      </x:c>
      <x:c r="B2049" s="84" t="str">
        <x:v>OS-2024-02048</x:v>
      </x:c>
      <x:c r="C2049" s="84" t="n">
        <x:v>11</x:v>
      </x:c>
      <x:c r="D2049" s="84" t="n">
        <x:v>4</x:v>
      </x:c>
      <x:c r="E2049" s="84"/>
      <x:c r="F2049" s="89" t="n">
        <x:v>45551.06974537037</x:v>
      </x:c>
      <x:c r="G2049" s="89" t="n">
        <x:v>45561.06974537037</x:v>
      </x:c>
      <x:c r="H2049" s="89" t="n">
        <x:v>45552.61141203704</x:v>
      </x:c>
      <x:c r="I2049" s="89" t="n">
        <x:v>45552.86141203704</x:v>
      </x:c>
      <x:c r="J2049" s="84" t="str">
        <x:v>Crítica</x:v>
      </x:c>
      <x:c r="K2049" s="84" t="str">
        <x:v>Encerrada</x:v>
      </x:c>
      <x:c r="L2049" s="84" t="str">
        <x:v>Superaquecimento</x:v>
      </x:c>
      <x:c r="M2049" s="84" t="str">
        <x:v>Componente danificado</x:v>
      </x:c>
      <x:c r="N2049" s="84" t="str">
        <x:v>Componente ajustado ou substituído</x:v>
      </x:c>
      <x:c r="O2049" s="84" t="n">
        <x:v>0</x:v>
      </x:c>
      <x:c r="P2049" s="93" t="n">
        <x:v>103.81</x:v>
      </x:c>
      <x:c r="Q2049" s="93" t="n">
        <x:v>0</x:v>
      </x:c>
      <x:c r="R2049" s="91" t="n">
        <x:v>0</x:v>
      </x:c>
    </x:row>
    <x:row r="2050">
      <x:c r="A2050" s="83" t="n">
        <x:v>2049</x:v>
      </x:c>
      <x:c r="B2050" s="84" t="str">
        <x:v>OS-2023-02049</x:v>
      </x:c>
      <x:c r="C2050" s="84" t="n">
        <x:v>50</x:v>
      </x:c>
      <x:c r="D2050" s="84" t="n">
        <x:v>9</x:v>
      </x:c>
      <x:c r="E2050" s="84"/>
      <x:c r="F2050" s="89" t="n">
        <x:v>45036.19699074074</x:v>
      </x:c>
      <x:c r="G2050" s="89" t="n">
        <x:v>45036.19699074074</x:v>
      </x:c>
      <x:c r="H2050" s="89" t="n">
        <x:v>45039.07199074074</x:v>
      </x:c>
      <x:c r="I2050" s="89" t="n">
        <x:v>45039.863657407404</x:v>
      </x:c>
      <x:c r="J2050" s="84" t="str">
        <x:v>Média</x:v>
      </x:c>
      <x:c r="K2050" s="84" t="str">
        <x:v>Encerrada</x:v>
      </x:c>
      <x:c r="L2050" s="84" t="str">
        <x:v>Falha elétrica</x:v>
      </x:c>
      <x:c r="M2050" s="84" t="str">
        <x:v>Desgaste natural</x:v>
      </x:c>
      <x:c r="N2050" s="84" t="str">
        <x:v>Componente ajustado ou substituído</x:v>
      </x:c>
      <x:c r="O2050" s="84" t="n">
        <x:v>0</x:v>
      </x:c>
      <x:c r="P2050" s="93" t="n">
        <x:v>353.4</x:v>
      </x:c>
      <x:c r="Q2050" s="93" t="n">
        <x:v>14004.23</x:v>
      </x:c>
      <x:c r="R2050" s="91" t="n">
        <x:v>0</x:v>
      </x:c>
    </x:row>
    <x:row r="2051">
      <x:c r="A2051" s="83" t="n">
        <x:v>2050</x:v>
      </x:c>
      <x:c r="B2051" s="84" t="str">
        <x:v>OS-2025-02050</x:v>
      </x:c>
      <x:c r="C2051" s="84" t="n">
        <x:v>5</x:v>
      </x:c>
      <x:c r="D2051" s="84" t="n">
        <x:v>1</x:v>
      </x:c>
      <x:c r="E2051" s="84" t="n">
        <x:v>9</x:v>
      </x:c>
      <x:c r="F2051" s="89" t="n">
        <x:v>45872.80265046296</x:v>
      </x:c>
      <x:c r="G2051" s="89" t="n">
        <x:v>45880.80265046296</x:v>
      </x:c>
      <x:c r="H2051" s="89" t="n">
        <x:v>45874.67765046296</x:v>
      </x:c>
      <x:c r="I2051" s="89"/>
      <x:c r="J2051" s="84" t="str">
        <x:v>Baixa</x:v>
      </x:c>
      <x:c r="K2051" s="84" t="str">
        <x:v>Em execução</x:v>
      </x:c>
      <x:c r="L2051" s="84" t="str">
        <x:v>Superaquecimento</x:v>
      </x:c>
      <x:c r="M2051" s="84" t="str">
        <x:v>Contaminação</x:v>
      </x:c>
      <x:c r="N2051" s="84"/>
      <x:c r="O2051" s="84" t="n">
        <x:v>0</x:v>
      </x:c>
      <x:c r="P2051" s="93" t="n">
        <x:v>438.75</x:v>
      </x:c>
      <x:c r="Q2051" s="93" t="n">
        <x:v>6245.52</x:v>
      </x:c>
      <x:c r="R2051" s="91" t="n">
        <x:v>0</x:v>
      </x:c>
    </x:row>
    <x:row r="2052">
      <x:c r="A2052" s="83" t="n">
        <x:v>2051</x:v>
      </x:c>
      <x:c r="B2052" s="84" t="str">
        <x:v>OS-2025-02051</x:v>
      </x:c>
      <x:c r="C2052" s="84" t="n">
        <x:v>72</x:v>
      </x:c>
      <x:c r="D2052" s="84" t="n">
        <x:v>5</x:v>
      </x:c>
      <x:c r="E2052" s="84" t="n">
        <x:v>144</x:v>
      </x:c>
      <x:c r="F2052" s="89" t="n">
        <x:v>45738.61928240741</x:v>
      </x:c>
      <x:c r="G2052" s="89" t="n">
        <x:v>45738.61928240741</x:v>
      </x:c>
      <x:c r="H2052" s="89" t="n">
        <x:v>45740.07761574074</x:v>
      </x:c>
      <x:c r="I2052" s="89"/>
      <x:c r="J2052" s="84" t="str">
        <x:v>Média</x:v>
      </x:c>
      <x:c r="K2052" s="84" t="str">
        <x:v>Em execução</x:v>
      </x:c>
      <x:c r="L2052" s="84" t="str">
        <x:v>Vazamento</x:v>
      </x:c>
      <x:c r="M2052" s="84" t="str">
        <x:v>Falta de lubrificação</x:v>
      </x:c>
      <x:c r="N2052" s="84"/>
      <x:c r="O2052" s="84" t="n">
        <x:v>0</x:v>
      </x:c>
      <x:c r="P2052" s="93" t="n">
        <x:v>334.66</x:v>
      </x:c>
      <x:c r="Q2052" s="93" t="n">
        <x:v>16048.48</x:v>
      </x:c>
      <x:c r="R2052" s="91" t="n">
        <x:v>0</x:v>
      </x:c>
    </x:row>
    <x:row r="2053">
      <x:c r="A2053" s="83" t="n">
        <x:v>2052</x:v>
      </x:c>
      <x:c r="B2053" s="84" t="str">
        <x:v>OS-2023-02052</x:v>
      </x:c>
      <x:c r="C2053" s="84" t="n">
        <x:v>85</x:v>
      </x:c>
      <x:c r="D2053" s="84" t="n">
        <x:v>8</x:v>
      </x:c>
      <x:c r="E2053" s="84"/>
      <x:c r="F2053" s="89" t="n">
        <x:v>44965.28979166667</x:v>
      </x:c>
      <x:c r="G2053" s="89" t="n">
        <x:v>44979.28979166667</x:v>
      </x:c>
      <x:c r="H2053" s="89" t="n">
        <x:v>44965.53979166667</x:v>
      </x:c>
      <x:c r="I2053" s="89" t="n">
        <x:v>44965.873125</x:v>
      </x:c>
      <x:c r="J2053" s="84" t="str">
        <x:v>Crítica</x:v>
      </x:c>
      <x:c r="K2053" s="84" t="str">
        <x:v>Encerrada</x:v>
      </x:c>
      <x:c r="L2053" s="84" t="str">
        <x:v>Alarme intermitente</x:v>
      </x:c>
      <x:c r="M2053" s="84" t="str">
        <x:v>Componente danificado</x:v>
      </x:c>
      <x:c r="N2053" s="84" t="str">
        <x:v>Componente ajustado ou substituído</x:v>
      </x:c>
      <x:c r="O2053" s="84" t="n">
        <x:v>0</x:v>
      </x:c>
      <x:c r="P2053" s="93" t="n">
        <x:v>210.45</x:v>
      </x:c>
      <x:c r="Q2053" s="93" t="n">
        <x:v>8003.43</x:v>
      </x:c>
      <x:c r="R2053" s="91" t="n">
        <x:v>0</x:v>
      </x:c>
    </x:row>
    <x:row r="2054">
      <x:c r="A2054" s="83" t="n">
        <x:v>2053</x:v>
      </x:c>
      <x:c r="B2054" s="84" t="str">
        <x:v>OS-2024-02053</x:v>
      </x:c>
      <x:c r="C2054" s="84" t="n">
        <x:v>12</x:v>
      </x:c>
      <x:c r="D2054" s="84" t="n">
        <x:v>7</x:v>
      </x:c>
      <x:c r="E2054" s="84" t="n">
        <x:v>23</x:v>
      </x:c>
      <x:c r="F2054" s="89" t="n">
        <x:v>45430.17890046296</x:v>
      </x:c>
      <x:c r="G2054" s="89" t="n">
        <x:v>45434.17890046296</x:v>
      </x:c>
      <x:c r="H2054" s="89" t="n">
        <x:v>45430.80390046296</x:v>
      </x:c>
      <x:c r="I2054" s="89" t="n">
        <x:v>45431.59556712963</x:v>
      </x:c>
      <x:c r="J2054" s="84" t="str">
        <x:v>Alta</x:v>
      </x:c>
      <x:c r="K2054" s="84" t="str">
        <x:v>Encerrada</x:v>
      </x:c>
      <x:c r="L2054" s="84" t="str">
        <x:v>Baixa pressão</x:v>
      </x:c>
      <x:c r="M2054" s="84" t="str">
        <x:v>Conexão frouxa</x:v>
      </x:c>
      <x:c r="N2054" s="84" t="str">
        <x:v>Componente ajustado ou substituído</x:v>
      </x:c>
      <x:c r="O2054" s="84" t="n">
        <x:v>0</x:v>
      </x:c>
      <x:c r="P2054" s="93" t="n">
        <x:v>517.88</x:v>
      </x:c>
      <x:c r="Q2054" s="93" t="n">
        <x:v>0</x:v>
      </x:c>
      <x:c r="R2054" s="91" t="n">
        <x:v>0</x:v>
      </x:c>
    </x:row>
    <x:row r="2055">
      <x:c r="A2055" s="83" t="n">
        <x:v>2054</x:v>
      </x:c>
      <x:c r="B2055" s="84" t="str">
        <x:v>OS-2025-02054</x:v>
      </x:c>
      <x:c r="C2055" s="84" t="n">
        <x:v>11</x:v>
      </x:c>
      <x:c r="D2055" s="84" t="n">
        <x:v>1</x:v>
      </x:c>
      <x:c r="E2055" s="84" t="n">
        <x:v>21</x:v>
      </x:c>
      <x:c r="F2055" s="89" t="n">
        <x:v>45964.492106481484</x:v>
      </x:c>
      <x:c r="G2055" s="89" t="n">
        <x:v>45977.492106481484</x:v>
      </x:c>
      <x:c r="H2055" s="89" t="n">
        <x:v>45964.70043981481</x:v>
      </x:c>
      <x:c r="I2055" s="89"/>
      <x:c r="J2055" s="84" t="str">
        <x:v>Crítica</x:v>
      </x:c>
      <x:c r="K2055" s="84" t="str">
        <x:v>Em execução</x:v>
      </x:c>
      <x:c r="L2055" s="84" t="str">
        <x:v>Alarme intermitente</x:v>
      </x:c>
      <x:c r="M2055" s="84" t="str">
        <x:v>Falta de lubrificação</x:v>
      </x:c>
      <x:c r="N2055" s="84"/>
      <x:c r="O2055" s="84" t="n">
        <x:v>0</x:v>
      </x:c>
      <x:c r="P2055" s="93" t="n">
        <x:v>203.15</x:v>
      </x:c>
      <x:c r="Q2055" s="93" t="n">
        <x:v>0</x:v>
      </x:c>
      <x:c r="R2055" s="91" t="n">
        <x:v>0</x:v>
      </x:c>
    </x:row>
    <x:row r="2056">
      <x:c r="A2056" s="83" t="n">
        <x:v>2055</x:v>
      </x:c>
      <x:c r="B2056" s="84" t="str">
        <x:v>OS-2023-02055</x:v>
      </x:c>
      <x:c r="C2056" s="84" t="n">
        <x:v>77</x:v>
      </x:c>
      <x:c r="D2056" s="84" t="n">
        <x:v>6</x:v>
      </x:c>
      <x:c r="E2056" s="84"/>
      <x:c r="F2056" s="89" t="n">
        <x:v>45086.237129629626</x:v>
      </x:c>
      <x:c r="G2056" s="89" t="n">
        <x:v>45093.237129629626</x:v>
      </x:c>
      <x:c r="H2056" s="89" t="n">
        <x:v>45088.987129629626</x:v>
      </x:c>
      <x:c r="I2056" s="89" t="n">
        <x:v>45089.1537962963</x:v>
      </x:c>
      <x:c r="J2056" s="84" t="str">
        <x:v>Baixa</x:v>
      </x:c>
      <x:c r="K2056" s="84" t="str">
        <x:v>Encerrada</x:v>
      </x:c>
      <x:c r="L2056" s="84" t="str">
        <x:v>Baixa pressão</x:v>
      </x:c>
      <x:c r="M2056" s="84" t="str">
        <x:v>Ajuste incorreto</x:v>
      </x:c>
      <x:c r="N2056" s="84" t="str">
        <x:v>Componente ajustado ou substituído</x:v>
      </x:c>
      <x:c r="O2056" s="84" t="n">
        <x:v>0</x:v>
      </x:c>
      <x:c r="P2056" s="93" t="n">
        <x:v>478.6</x:v>
      </x:c>
      <x:c r="Q2056" s="93" t="n">
        <x:v>10606.58</x:v>
      </x:c>
      <x:c r="R2056" s="91" t="n">
        <x:v>0</x:v>
      </x:c>
    </x:row>
    <x:row r="2057">
      <x:c r="A2057" s="83" t="n">
        <x:v>2056</x:v>
      </x:c>
      <x:c r="B2057" s="84" t="str">
        <x:v>OS-2024-02056</x:v>
      </x:c>
      <x:c r="C2057" s="84" t="n">
        <x:v>75</x:v>
      </x:c>
      <x:c r="D2057" s="84" t="n">
        <x:v>3</x:v>
      </x:c>
      <x:c r="E2057" s="84"/>
      <x:c r="F2057" s="89" t="n">
        <x:v>45528.68</x:v>
      </x:c>
      <x:c r="G2057" s="89"/>
      <x:c r="H2057" s="89" t="n">
        <x:v>45531.221666666665</x:v>
      </x:c>
      <x:c r="I2057" s="89" t="n">
        <x:v>45532.013333333336</x:v>
      </x:c>
      <x:c r="J2057" s="84" t="str">
        <x:v>Média</x:v>
      </x:c>
      <x:c r="K2057" s="84" t="str">
        <x:v>Encerrada</x:v>
      </x:c>
      <x:c r="L2057" s="84" t="str">
        <x:v>Desalinhamento</x:v>
      </x:c>
      <x:c r="M2057" s="84" t="str">
        <x:v>Contaminação</x:v>
      </x:c>
      <x:c r="N2057" s="84" t="str">
        <x:v>Componente ajustado ou substituído</x:v>
      </x:c>
      <x:c r="O2057" s="84" t="n">
        <x:v>0</x:v>
      </x:c>
      <x:c r="P2057" s="93" t="n">
        <x:v>281.1</x:v>
      </x:c>
      <x:c r="Q2057" s="93" t="n">
        <x:v>8510.38</x:v>
      </x:c>
      <x:c r="R2057" s="91" t="n">
        <x:v>0</x:v>
      </x:c>
    </x:row>
    <x:row r="2058">
      <x:c r="A2058" s="83" t="n">
        <x:v>2057</x:v>
      </x:c>
      <x:c r="B2058" s="84" t="str">
        <x:v>OS-2024-02057</x:v>
      </x:c>
      <x:c r="C2058" s="84" t="n">
        <x:v>71</x:v>
      </x:c>
      <x:c r="D2058" s="84" t="n">
        <x:v>3</x:v>
      </x:c>
      <x:c r="E2058" s="84"/>
      <x:c r="F2058" s="89" t="n">
        <x:v>45339.723078703704</x:v>
      </x:c>
      <x:c r="G2058" s="89"/>
      <x:c r="H2058" s="89" t="n">
        <x:v>45341.098078703704</x:v>
      </x:c>
      <x:c r="I2058" s="89" t="n">
        <x:v>45341.76474537037</x:v>
      </x:c>
      <x:c r="J2058" s="84" t="str">
        <x:v>Baixa</x:v>
      </x:c>
      <x:c r="K2058" s="84" t="str">
        <x:v>Concluída</x:v>
      </x:c>
      <x:c r="L2058" s="84" t="str">
        <x:v>Baixa pressão</x:v>
      </x:c>
      <x:c r="M2058" s="84" t="str">
        <x:v>Conexão frouxa</x:v>
      </x:c>
      <x:c r="N2058" s="84" t="str">
        <x:v>Componente ajustado ou substituído</x:v>
      </x:c>
      <x:c r="O2058" s="84" t="n">
        <x:v>0</x:v>
      </x:c>
      <x:c r="P2058" s="93" t="n">
        <x:v>607.64</x:v>
      </x:c>
      <x:c r="Q2058" s="93" t="n">
        <x:v>17373.92</x:v>
      </x:c>
      <x:c r="R2058" s="91" t="n">
        <x:v>11940.86</x:v>
      </x:c>
    </x:row>
    <x:row r="2059">
      <x:c r="A2059" s="83" t="n">
        <x:v>2058</x:v>
      </x:c>
      <x:c r="B2059" s="84" t="str">
        <x:v>OS-2024-02058</x:v>
      </x:c>
      <x:c r="C2059" s="84" t="n">
        <x:v>32</x:v>
      </x:c>
      <x:c r="D2059" s="84" t="n">
        <x:v>3</x:v>
      </x:c>
      <x:c r="E2059" s="84"/>
      <x:c r="F2059" s="89" t="n">
        <x:v>45318.492268518516</x:v>
      </x:c>
      <x:c r="G2059" s="89"/>
      <x:c r="H2059" s="89" t="n">
        <x:v>45320.95060185185</x:v>
      </x:c>
      <x:c r="I2059" s="89" t="n">
        <x:v>45321.117268518516</x:v>
      </x:c>
      <x:c r="J2059" s="84" t="str">
        <x:v>Alta</x:v>
      </x:c>
      <x:c r="K2059" s="84" t="str">
        <x:v>Encerrada</x:v>
      </x:c>
      <x:c r="L2059" s="84" t="str">
        <x:v>Vazamento</x:v>
      </x:c>
      <x:c r="M2059" s="84" t="str">
        <x:v>Falta de lubrificação</x:v>
      </x:c>
      <x:c r="N2059" s="84" t="str">
        <x:v>Componente ajustado ou substituído</x:v>
      </x:c>
      <x:c r="O2059" s="84" t="n">
        <x:v>0</x:v>
      </x:c>
      <x:c r="P2059" s="93" t="n">
        <x:v>210.67</x:v>
      </x:c>
      <x:c r="Q2059" s="93" t="n">
        <x:v>2683.97</x:v>
      </x:c>
      <x:c r="R2059" s="91" t="n">
        <x:v>0</x:v>
      </x:c>
    </x:row>
    <x:row r="2060">
      <x:c r="A2060" s="83" t="n">
        <x:v>2059</x:v>
      </x:c>
      <x:c r="B2060" s="84" t="str">
        <x:v>OS-2024-02059</x:v>
      </x:c>
      <x:c r="C2060" s="84" t="n">
        <x:v>5</x:v>
      </x:c>
      <x:c r="D2060" s="84" t="n">
        <x:v>1</x:v>
      </x:c>
      <x:c r="E2060" s="84" t="n">
        <x:v>10</x:v>
      </x:c>
      <x:c r="F2060" s="89" t="n">
        <x:v>45609.81248842592</x:v>
      </x:c>
      <x:c r="G2060" s="89" t="n">
        <x:v>45623.81248842592</x:v>
      </x:c>
      <x:c r="H2060" s="89" t="n">
        <x:v>45611.93748842592</x:v>
      </x:c>
      <x:c r="I2060" s="89"/>
      <x:c r="J2060" s="84" t="str">
        <x:v>Média</x:v>
      </x:c>
      <x:c r="K2060" s="84" t="str">
        <x:v>Aguardando peça</x:v>
      </x:c>
      <x:c r="L2060" s="84" t="str">
        <x:v>Superaquecimento</x:v>
      </x:c>
      <x:c r="M2060" s="84" t="str">
        <x:v>Conexão frouxa</x:v>
      </x:c>
      <x:c r="N2060" s="84"/>
      <x:c r="O2060" s="84" t="n">
        <x:v>0</x:v>
      </x:c>
      <x:c r="P2060" s="93" t="n">
        <x:v>207.56</x:v>
      </x:c>
      <x:c r="Q2060" s="93" t="n">
        <x:v>7405.56</x:v>
      </x:c>
      <x:c r="R2060" s="91" t="n">
        <x:v>0</x:v>
      </x:c>
    </x:row>
    <x:row r="2061">
      <x:c r="A2061" s="83" t="n">
        <x:v>2060</x:v>
      </x:c>
      <x:c r="B2061" s="84" t="str">
        <x:v>OS-2025-02060</x:v>
      </x:c>
      <x:c r="C2061" s="84" t="n">
        <x:v>79</x:v>
      </x:c>
      <x:c r="D2061" s="84" t="n">
        <x:v>4</x:v>
      </x:c>
      <x:c r="E2061" s="84"/>
      <x:c r="F2061" s="89" t="n">
        <x:v>45822.690775462965</x:v>
      </x:c>
      <x:c r="G2061" s="89" t="n">
        <x:v>45827.690775462965</x:v>
      </x:c>
      <x:c r="H2061" s="89" t="n">
        <x:v>45823.48244212963</x:v>
      </x:c>
      <x:c r="I2061" s="89" t="n">
        <x:v>45823.73244212963</x:v>
      </x:c>
      <x:c r="J2061" s="84" t="str">
        <x:v>Média</x:v>
      </x:c>
      <x:c r="K2061" s="84" t="str">
        <x:v>Encerrada</x:v>
      </x:c>
      <x:c r="L2061" s="84" t="str">
        <x:v>Baixa pressão</x:v>
      </x:c>
      <x:c r="M2061" s="84" t="str">
        <x:v>Contaminação</x:v>
      </x:c>
      <x:c r="N2061" s="84" t="str">
        <x:v>Componente ajustado ou substituído</x:v>
      </x:c>
      <x:c r="O2061" s="84" t="n">
        <x:v>0</x:v>
      </x:c>
      <x:c r="P2061" s="93" t="n">
        <x:v>293.81</x:v>
      </x:c>
      <x:c r="Q2061" s="93" t="n">
        <x:v>0</x:v>
      </x:c>
      <x:c r="R2061" s="91" t="n">
        <x:v>0</x:v>
      </x:c>
    </x:row>
    <x:row r="2062">
      <x:c r="A2062" s="83" t="n">
        <x:v>2061</x:v>
      </x:c>
      <x:c r="B2062" s="84" t="str">
        <x:v>OS-2023-02061</x:v>
      </x:c>
      <x:c r="C2062" s="84" t="n">
        <x:v>49</x:v>
      </x:c>
      <x:c r="D2062" s="84" t="n">
        <x:v>1</x:v>
      </x:c>
      <x:c r="E2062" s="84" t="n">
        <x:v>97</x:v>
      </x:c>
      <x:c r="F2062" s="89" t="n">
        <x:v>45101.202465277776</x:v>
      </x:c>
      <x:c r="G2062" s="89" t="n">
        <x:v>45113.202465277776</x:v>
      </x:c>
      <x:c r="H2062" s="89" t="n">
        <x:v>45101.49413194445</x:v>
      </x:c>
      <x:c r="I2062" s="89" t="n">
        <x:v>45101.91079861111</x:v>
      </x:c>
      <x:c r="J2062" s="84" t="str">
        <x:v>Média</x:v>
      </x:c>
      <x:c r="K2062" s="84" t="str">
        <x:v>Concluída</x:v>
      </x:c>
      <x:c r="L2062" s="84" t="str">
        <x:v>Ruído anormal</x:v>
      </x:c>
      <x:c r="M2062" s="84" t="str">
        <x:v>Componente danificado</x:v>
      </x:c>
      <x:c r="N2062" s="84" t="str">
        <x:v>Componente ajustado ou substituído</x:v>
      </x:c>
      <x:c r="O2062" s="84" t="n">
        <x:v>0</x:v>
      </x:c>
      <x:c r="P2062" s="93" t="n">
        <x:v>697.21</x:v>
      </x:c>
      <x:c r="Q2062" s="93" t="n">
        <x:v>4575.93</x:v>
      </x:c>
      <x:c r="R2062" s="91" t="n">
        <x:v>0</x:v>
      </x:c>
    </x:row>
    <x:row r="2063">
      <x:c r="A2063" s="83" t="n">
        <x:v>2062</x:v>
      </x:c>
      <x:c r="B2063" s="84" t="str">
        <x:v>OS-2023-02062</x:v>
      </x:c>
      <x:c r="C2063" s="84" t="n">
        <x:v>28</x:v>
      </x:c>
      <x:c r="D2063" s="84" t="n">
        <x:v>1</x:v>
      </x:c>
      <x:c r="E2063" s="84" t="n">
        <x:v>56</x:v>
      </x:c>
      <x:c r="F2063" s="89" t="n">
        <x:v>45048.316099537034</x:v>
      </x:c>
      <x:c r="G2063" s="89" t="n">
        <x:v>45050.316099537034</x:v>
      </x:c>
      <x:c r="H2063" s="89" t="n">
        <x:v>45050.14943287037</x:v>
      </x:c>
      <x:c r="I2063" s="89" t="n">
        <x:v>45050.691099537034</x:v>
      </x:c>
      <x:c r="J2063" s="84" t="str">
        <x:v>Alta</x:v>
      </x:c>
      <x:c r="K2063" s="84" t="str">
        <x:v>Encerrada</x:v>
      </x:c>
      <x:c r="L2063" s="84" t="str">
        <x:v>Alarme intermitente</x:v>
      </x:c>
      <x:c r="M2063" s="84" t="str">
        <x:v>Ajuste incorreto</x:v>
      </x:c>
      <x:c r="N2063" s="84" t="str">
        <x:v>Componente ajustado ou substituído</x:v>
      </x:c>
      <x:c r="O2063" s="84" t="n">
        <x:v>0</x:v>
      </x:c>
      <x:c r="P2063" s="93" t="n">
        <x:v>465.42</x:v>
      </x:c>
      <x:c r="Q2063" s="93" t="n">
        <x:v>3568.64</x:v>
      </x:c>
      <x:c r="R2063" s="91" t="n">
        <x:v>0</x:v>
      </x:c>
    </x:row>
    <x:row r="2064">
      <x:c r="A2064" s="83" t="n">
        <x:v>2063</x:v>
      </x:c>
      <x:c r="B2064" s="84" t="str">
        <x:v>OS-2025-02063</x:v>
      </x:c>
      <x:c r="C2064" s="84" t="n">
        <x:v>37</x:v>
      </x:c>
      <x:c r="D2064" s="84" t="n">
        <x:v>8</x:v>
      </x:c>
      <x:c r="E2064" s="84"/>
      <x:c r="F2064" s="89" t="n">
        <x:v>45869.914560185185</x:v>
      </x:c>
      <x:c r="G2064" s="89" t="n">
        <x:v>45882.914560185185</x:v>
      </x:c>
      <x:c r="H2064" s="89" t="n">
        <x:v>45872.49789351852</x:v>
      </x:c>
      <x:c r="I2064" s="89" t="n">
        <x:v>45873.08122685185</x:v>
      </x:c>
      <x:c r="J2064" s="84" t="str">
        <x:v>Crítica</x:v>
      </x:c>
      <x:c r="K2064" s="84" t="str">
        <x:v>Concluída</x:v>
      </x:c>
      <x:c r="L2064" s="84" t="str">
        <x:v>Falha elétrica</x:v>
      </x:c>
      <x:c r="M2064" s="84" t="str">
        <x:v>Falta de lubrificação</x:v>
      </x:c>
      <x:c r="N2064" s="84" t="str">
        <x:v>Componente ajustado ou substituído</x:v>
      </x:c>
      <x:c r="O2064" s="84" t="n">
        <x:v>0</x:v>
      </x:c>
      <x:c r="P2064" s="93" t="n">
        <x:v>500.18</x:v>
      </x:c>
      <x:c r="Q2064" s="93" t="n">
        <x:v>6664.76</x:v>
      </x:c>
      <x:c r="R2064" s="91" t="n">
        <x:v>0</x:v>
      </x:c>
    </x:row>
    <x:row r="2065">
      <x:c r="A2065" s="83" t="n">
        <x:v>2064</x:v>
      </x:c>
      <x:c r="B2065" s="84" t="str">
        <x:v>OS-2025-02064</x:v>
      </x:c>
      <x:c r="C2065" s="84" t="n">
        <x:v>49</x:v>
      </x:c>
      <x:c r="D2065" s="84" t="n">
        <x:v>3</x:v>
      </x:c>
      <x:c r="E2065" s="84"/>
      <x:c r="F2065" s="89" t="n">
        <x:v>45807.495</x:v>
      </x:c>
      <x:c r="G2065" s="89"/>
      <x:c r="H2065" s="89" t="n">
        <x:v>45810.16166666667</x:v>
      </x:c>
      <x:c r="I2065" s="89" t="n">
        <x:v>45810.245</x:v>
      </x:c>
      <x:c r="J2065" s="84" t="str">
        <x:v>Baixa</x:v>
      </x:c>
      <x:c r="K2065" s="84" t="str">
        <x:v>Encerrada</x:v>
      </x:c>
      <x:c r="L2065" s="84" t="str">
        <x:v>Desalinhamento</x:v>
      </x:c>
      <x:c r="M2065" s="84" t="str">
        <x:v>Desgaste natural</x:v>
      </x:c>
      <x:c r="N2065" s="84" t="str">
        <x:v>Componente ajustado ou substituído</x:v>
      </x:c>
      <x:c r="O2065" s="84" t="n">
        <x:v>0</x:v>
      </x:c>
      <x:c r="P2065" s="93" t="n">
        <x:v>446.1</x:v>
      </x:c>
      <x:c r="Q2065" s="93" t="n">
        <x:v>7908.36</x:v>
      </x:c>
      <x:c r="R2065" s="91" t="n">
        <x:v>815.26</x:v>
      </x:c>
    </x:row>
    <x:row r="2066">
      <x:c r="A2066" s="83" t="n">
        <x:v>2065</x:v>
      </x:c>
      <x:c r="B2066" s="84" t="str">
        <x:v>OS-2025-02065</x:v>
      </x:c>
      <x:c r="C2066" s="84" t="n">
        <x:v>53</x:v>
      </x:c>
      <x:c r="D2066" s="84" t="n">
        <x:v>3</x:v>
      </x:c>
      <x:c r="E2066" s="84"/>
      <x:c r="F2066" s="89" t="n">
        <x:v>45683.33248842593</x:v>
      </x:c>
      <x:c r="G2066" s="89"/>
      <x:c r="H2066" s="89" t="n">
        <x:v>45684.915821759256</x:v>
      </x:c>
      <x:c r="I2066" s="89" t="n">
        <x:v>45685.415821759256</x:v>
      </x:c>
      <x:c r="J2066" s="84" t="str">
        <x:v>Alta</x:v>
      </x:c>
      <x:c r="K2066" s="84" t="str">
        <x:v>Concluída</x:v>
      </x:c>
      <x:c r="L2066" s="84" t="str">
        <x:v>Alarme intermitente</x:v>
      </x:c>
      <x:c r="M2066" s="84" t="str">
        <x:v>Conexão frouxa</x:v>
      </x:c>
      <x:c r="N2066" s="84" t="str">
        <x:v>Componente ajustado ou substituído</x:v>
      </x:c>
      <x:c r="O2066" s="84" t="n">
        <x:v>1</x:v>
      </x:c>
      <x:c r="P2066" s="93" t="n">
        <x:v>564.37</x:v>
      </x:c>
      <x:c r="Q2066" s="93" t="n">
        <x:v>1468.5</x:v>
      </x:c>
      <x:c r="R2066" s="91" t="n">
        <x:v>0</x:v>
      </x:c>
    </x:row>
    <x:row r="2067">
      <x:c r="A2067" s="83" t="n">
        <x:v>2066</x:v>
      </x:c>
      <x:c r="B2067" s="84" t="str">
        <x:v>OS-2025-02066</x:v>
      </x:c>
      <x:c r="C2067" s="84" t="n">
        <x:v>22</x:v>
      </x:c>
      <x:c r="D2067" s="84" t="n">
        <x:v>2</x:v>
      </x:c>
      <x:c r="E2067" s="84"/>
      <x:c r="F2067" s="89" t="n">
        <x:v>45727.05980324074</x:v>
      </x:c>
      <x:c r="G2067" s="89" t="n">
        <x:v>45739.05980324074</x:v>
      </x:c>
      <x:c r="H2067" s="89" t="n">
        <x:v>45729.80980324074</x:v>
      </x:c>
      <x:c r="I2067" s="89" t="n">
        <x:v>45729.85146990741</x:v>
      </x:c>
      <x:c r="J2067" s="84" t="str">
        <x:v>Alta</x:v>
      </x:c>
      <x:c r="K2067" s="84" t="str">
        <x:v>Concluída</x:v>
      </x:c>
      <x:c r="L2067" s="84" t="str">
        <x:v>Desalinhamento</x:v>
      </x:c>
      <x:c r="M2067" s="84" t="str">
        <x:v>Falta de lubrificação</x:v>
      </x:c>
      <x:c r="N2067" s="84" t="str">
        <x:v>Componente ajustado ou substituído</x:v>
      </x:c>
      <x:c r="O2067" s="84" t="n">
        <x:v>0</x:v>
      </x:c>
      <x:c r="P2067" s="93" t="n">
        <x:v>99.04</x:v>
      </x:c>
      <x:c r="Q2067" s="93" t="n">
        <x:v>10036.19</x:v>
      </x:c>
      <x:c r="R2067" s="91" t="n">
        <x:v>0</x:v>
      </x:c>
    </x:row>
    <x:row r="2068">
      <x:c r="A2068" s="83" t="n">
        <x:v>2067</x:v>
      </x:c>
      <x:c r="B2068" s="84" t="str">
        <x:v>OS-2024-02067</x:v>
      </x:c>
      <x:c r="C2068" s="84" t="n">
        <x:v>24</x:v>
      </x:c>
      <x:c r="D2068" s="84" t="n">
        <x:v>9</x:v>
      </x:c>
      <x:c r="E2068" s="84"/>
      <x:c r="F2068" s="89" t="n">
        <x:v>45327.180983796294</x:v>
      </x:c>
      <x:c r="G2068" s="89" t="n">
        <x:v>45333.180983796294</x:v>
      </x:c>
      <x:c r="H2068" s="89" t="n">
        <x:v>45328.38931712963</x:v>
      </x:c>
      <x:c r="I2068" s="89" t="n">
        <x:v>45328.930983796294</x:v>
      </x:c>
      <x:c r="J2068" s="84" t="str">
        <x:v>Crítica</x:v>
      </x:c>
      <x:c r="K2068" s="84" t="str">
        <x:v>Encerrada</x:v>
      </x:c>
      <x:c r="L2068" s="84" t="str">
        <x:v>Superaquecimento</x:v>
      </x:c>
      <x:c r="M2068" s="84" t="str">
        <x:v>Componente danificado</x:v>
      </x:c>
      <x:c r="N2068" s="84" t="str">
        <x:v>Componente ajustado ou substituído</x:v>
      </x:c>
      <x:c r="O2068" s="84" t="n">
        <x:v>0</x:v>
      </x:c>
      <x:c r="P2068" s="93" t="n">
        <x:v>347.98</x:v>
      </x:c>
      <x:c r="Q2068" s="93" t="n">
        <x:v>9530.54</x:v>
      </x:c>
      <x:c r="R2068" s="91" t="n">
        <x:v>0</x:v>
      </x:c>
    </x:row>
    <x:row r="2069">
      <x:c r="A2069" s="83" t="n">
        <x:v>2068</x:v>
      </x:c>
      <x:c r="B2069" s="84" t="str">
        <x:v>OS-2025-02068</x:v>
      </x:c>
      <x:c r="C2069" s="84" t="n">
        <x:v>38</x:v>
      </x:c>
      <x:c r="D2069" s="84" t="n">
        <x:v>4</x:v>
      </x:c>
      <x:c r="E2069" s="84"/>
      <x:c r="F2069" s="89" t="n">
        <x:v>45829.95827546297</x:v>
      </x:c>
      <x:c r="G2069" s="89" t="n">
        <x:v>45843.95827546297</x:v>
      </x:c>
      <x:c r="H2069" s="89"/>
      <x:c r="I2069" s="89"/>
      <x:c r="J2069" s="84" t="str">
        <x:v>Média</x:v>
      </x:c>
      <x:c r="K2069" s="84" t="str">
        <x:v>Planejada</x:v>
      </x:c>
      <x:c r="L2069" s="84" t="str">
        <x:v>Ruído anormal</x:v>
      </x:c>
      <x:c r="M2069" s="84"/>
      <x:c r="N2069" s="84"/>
      <x:c r="O2069" s="84" t="n">
        <x:v>0</x:v>
      </x:c>
      <x:c r="P2069" s="93" t="n">
        <x:v>0</x:v>
      </x:c>
      <x:c r="Q2069" s="93" t="n">
        <x:v>0</x:v>
      </x:c>
      <x:c r="R2069" s="91" t="n">
        <x:v>0</x:v>
      </x:c>
    </x:row>
    <x:row r="2070">
      <x:c r="A2070" s="83" t="n">
        <x:v>2069</x:v>
      </x:c>
      <x:c r="B2070" s="84" t="str">
        <x:v>OS-2025-02069</x:v>
      </x:c>
      <x:c r="C2070" s="84" t="n">
        <x:v>49</x:v>
      </x:c>
      <x:c r="D2070" s="84" t="n">
        <x:v>3</x:v>
      </x:c>
      <x:c r="E2070" s="84"/>
      <x:c r="F2070" s="89" t="n">
        <x:v>45800.431238425925</x:v>
      </x:c>
      <x:c r="G2070" s="89"/>
      <x:c r="H2070" s="89" t="n">
        <x:v>45802.722905092596</x:v>
      </x:c>
      <x:c r="I2070" s="89"/>
      <x:c r="J2070" s="84" t="str">
        <x:v>Alta</x:v>
      </x:c>
      <x:c r="K2070" s="84" t="str">
        <x:v>Em execução</x:v>
      </x:c>
      <x:c r="L2070" s="84" t="str">
        <x:v>Superaquecimento</x:v>
      </x:c>
      <x:c r="M2070" s="84" t="str">
        <x:v>Contaminação</x:v>
      </x:c>
      <x:c r="N2070" s="84"/>
      <x:c r="O2070" s="84" t="n">
        <x:v>0</x:v>
      </x:c>
      <x:c r="P2070" s="93" t="n">
        <x:v>290.55</x:v>
      </x:c>
      <x:c r="Q2070" s="93" t="n">
        <x:v>9395.38</x:v>
      </x:c>
      <x:c r="R2070" s="91" t="n">
        <x:v>0</x:v>
      </x:c>
    </x:row>
    <x:row r="2071">
      <x:c r="A2071" s="83" t="n">
        <x:v>2070</x:v>
      </x:c>
      <x:c r="B2071" s="84" t="str">
        <x:v>OS-2023-02070</x:v>
      </x:c>
      <x:c r="C2071" s="84" t="n">
        <x:v>68</x:v>
      </x:c>
      <x:c r="D2071" s="84" t="n">
        <x:v>7</x:v>
      </x:c>
      <x:c r="E2071" s="84" t="n">
        <x:v>135</x:v>
      </x:c>
      <x:c r="F2071" s="89" t="n">
        <x:v>45078.937789351854</x:v>
      </x:c>
      <x:c r="G2071" s="89" t="n">
        <x:v>45089.937789351854</x:v>
      </x:c>
      <x:c r="H2071" s="89" t="n">
        <x:v>45080.187789351854</x:v>
      </x:c>
      <x:c r="I2071" s="89" t="n">
        <x:v>45080.35445601852</x:v>
      </x:c>
      <x:c r="J2071" s="84" t="str">
        <x:v>Crítica</x:v>
      </x:c>
      <x:c r="K2071" s="84" t="str">
        <x:v>Encerrada</x:v>
      </x:c>
      <x:c r="L2071" s="84" t="str">
        <x:v>Alarme intermitente</x:v>
      </x:c>
      <x:c r="M2071" s="84" t="str">
        <x:v>Ajuste incorreto</x:v>
      </x:c>
      <x:c r="N2071" s="84" t="str">
        <x:v>Componente ajustado ou substituído</x:v>
      </x:c>
      <x:c r="O2071" s="84" t="n">
        <x:v>0</x:v>
      </x:c>
      <x:c r="P2071" s="93" t="n">
        <x:v>522.82</x:v>
      </x:c>
      <x:c r="Q2071" s="93" t="n">
        <x:v>0</x:v>
      </x:c>
      <x:c r="R2071" s="91" t="n">
        <x:v>0</x:v>
      </x:c>
    </x:row>
    <x:row r="2072">
      <x:c r="A2072" s="83" t="n">
        <x:v>2071</x:v>
      </x:c>
      <x:c r="B2072" s="84" t="str">
        <x:v>OS-2023-02071</x:v>
      </x:c>
      <x:c r="C2072" s="84" t="n">
        <x:v>57</x:v>
      </x:c>
      <x:c r="D2072" s="84" t="n">
        <x:v>4</x:v>
      </x:c>
      <x:c r="E2072" s="84"/>
      <x:c r="F2072" s="89" t="n">
        <x:v>45186.75608796296</x:v>
      </x:c>
      <x:c r="G2072" s="89" t="n">
        <x:v>45193.75608796296</x:v>
      </x:c>
      <x:c r="H2072" s="89" t="n">
        <x:v>45189.63108796296</x:v>
      </x:c>
      <x:c r="I2072" s="89" t="n">
        <x:v>45189.67275462963</x:v>
      </x:c>
      <x:c r="J2072" s="84" t="str">
        <x:v>Crítica</x:v>
      </x:c>
      <x:c r="K2072" s="84" t="str">
        <x:v>Encerrada</x:v>
      </x:c>
      <x:c r="L2072" s="84" t="str">
        <x:v>Falha elétrica</x:v>
      </x:c>
      <x:c r="M2072" s="84" t="str">
        <x:v>Contaminação</x:v>
      </x:c>
      <x:c r="N2072" s="84" t="str">
        <x:v>Componente ajustado ou substituído</x:v>
      </x:c>
      <x:c r="O2072" s="84" t="n">
        <x:v>0</x:v>
      </x:c>
      <x:c r="P2072" s="93" t="n">
        <x:v>177.24</x:v>
      </x:c>
      <x:c r="Q2072" s="93" t="n">
        <x:v>4604.56</x:v>
      </x:c>
      <x:c r="R2072" s="91" t="n">
        <x:v>0</x:v>
      </x:c>
    </x:row>
    <x:row r="2073">
      <x:c r="A2073" s="83" t="n">
        <x:v>2072</x:v>
      </x:c>
      <x:c r="B2073" s="84" t="str">
        <x:v>OS-2023-02072</x:v>
      </x:c>
      <x:c r="C2073" s="84" t="n">
        <x:v>57</x:v>
      </x:c>
      <x:c r="D2073" s="84" t="n">
        <x:v>1</x:v>
      </x:c>
      <x:c r="E2073" s="84" t="n">
        <x:v>114</x:v>
      </x:c>
      <x:c r="F2073" s="89" t="n">
        <x:v>45017.490648148145</x:v>
      </x:c>
      <x:c r="G2073" s="89" t="n">
        <x:v>45017.490648148145</x:v>
      </x:c>
      <x:c r="H2073" s="89" t="n">
        <x:v>45019.282314814816</x:v>
      </x:c>
      <x:c r="I2073" s="89" t="n">
        <x:v>45019.615648148145</x:v>
      </x:c>
      <x:c r="J2073" s="84" t="str">
        <x:v>Alta</x:v>
      </x:c>
      <x:c r="K2073" s="84" t="str">
        <x:v>Encerrada</x:v>
      </x:c>
      <x:c r="L2073" s="84" t="str">
        <x:v>Vazamento</x:v>
      </x:c>
      <x:c r="M2073" s="84" t="str">
        <x:v>Ajuste incorreto</x:v>
      </x:c>
      <x:c r="N2073" s="84" t="str">
        <x:v>Componente ajustado ou substituído</x:v>
      </x:c>
      <x:c r="O2073" s="84" t="n">
        <x:v>0</x:v>
      </x:c>
      <x:c r="P2073" s="93" t="n">
        <x:v>306.79</x:v>
      </x:c>
      <x:c r="Q2073" s="93" t="n">
        <x:v>1749.72</x:v>
      </x:c>
      <x:c r="R2073" s="91" t="n">
        <x:v>0</x:v>
      </x:c>
    </x:row>
    <x:row r="2074">
      <x:c r="A2074" s="83" t="n">
        <x:v>2073</x:v>
      </x:c>
      <x:c r="B2074" s="84" t="str">
        <x:v>OS-2023-02073</x:v>
      </x:c>
      <x:c r="C2074" s="84" t="n">
        <x:v>26</x:v>
      </x:c>
      <x:c r="D2074" s="84" t="n">
        <x:v>8</x:v>
      </x:c>
      <x:c r="E2074" s="84"/>
      <x:c r="F2074" s="89" t="n">
        <x:v>44985.34494212963</x:v>
      </x:c>
      <x:c r="G2074" s="89" t="n">
        <x:v>44994.34494212963</x:v>
      </x:c>
      <x:c r="H2074" s="89" t="n">
        <x:v>44985.80327546296</x:v>
      </x:c>
      <x:c r="I2074" s="89" t="n">
        <x:v>44986.59494212963</x:v>
      </x:c>
      <x:c r="J2074" s="84" t="str">
        <x:v>Baixa</x:v>
      </x:c>
      <x:c r="K2074" s="84" t="str">
        <x:v>Encerrada</x:v>
      </x:c>
      <x:c r="L2074" s="84" t="str">
        <x:v>Vazamento</x:v>
      </x:c>
      <x:c r="M2074" s="84" t="str">
        <x:v>Contaminação</x:v>
      </x:c>
      <x:c r="N2074" s="84" t="str">
        <x:v>Componente ajustado ou substituído</x:v>
      </x:c>
      <x:c r="O2074" s="84" t="n">
        <x:v>0</x:v>
      </x:c>
      <x:c r="P2074" s="93" t="n">
        <x:v>631.42</x:v>
      </x:c>
      <x:c r="Q2074" s="93" t="n">
        <x:v>6231.86</x:v>
      </x:c>
      <x:c r="R2074" s="91" t="n">
        <x:v>0</x:v>
      </x:c>
    </x:row>
    <x:row r="2075">
      <x:c r="A2075" s="83" t="n">
        <x:v>2074</x:v>
      </x:c>
      <x:c r="B2075" s="84" t="str">
        <x:v>OS-2023-02074</x:v>
      </x:c>
      <x:c r="C2075" s="84" t="n">
        <x:v>15</x:v>
      </x:c>
      <x:c r="D2075" s="84" t="n">
        <x:v>6</x:v>
      </x:c>
      <x:c r="E2075" s="84"/>
      <x:c r="F2075" s="89" t="n">
        <x:v>45247.47425925926</x:v>
      </x:c>
      <x:c r="G2075" s="89" t="n">
        <x:v>45247.47425925926</x:v>
      </x:c>
      <x:c r="H2075" s="89" t="n">
        <x:v>45248.01592592592</x:v>
      </x:c>
      <x:c r="I2075" s="89" t="n">
        <x:v>45248.72425925926</x:v>
      </x:c>
      <x:c r="J2075" s="84" t="str">
        <x:v>Crítica</x:v>
      </x:c>
      <x:c r="K2075" s="84" t="str">
        <x:v>Encerrada</x:v>
      </x:c>
      <x:c r="L2075" s="84" t="str">
        <x:v>Baixa pressão</x:v>
      </x:c>
      <x:c r="M2075" s="84" t="str">
        <x:v>Componente danificado</x:v>
      </x:c>
      <x:c r="N2075" s="84" t="str">
        <x:v>Componente ajustado ou substituído</x:v>
      </x:c>
      <x:c r="O2075" s="84" t="n">
        <x:v>0</x:v>
      </x:c>
      <x:c r="P2075" s="93" t="n">
        <x:v>97.99</x:v>
      </x:c>
      <x:c r="Q2075" s="93" t="n">
        <x:v>2861.25</x:v>
      </x:c>
      <x:c r="R2075" s="91" t="n">
        <x:v>0</x:v>
      </x:c>
    </x:row>
    <x:row r="2076">
      <x:c r="A2076" s="83" t="n">
        <x:v>2075</x:v>
      </x:c>
      <x:c r="B2076" s="84" t="str">
        <x:v>OS-2024-02075</x:v>
      </x:c>
      <x:c r="C2076" s="84" t="n">
        <x:v>65</x:v>
      </x:c>
      <x:c r="D2076" s="84" t="n">
        <x:v>2</x:v>
      </x:c>
      <x:c r="E2076" s="84"/>
      <x:c r="F2076" s="89" t="n">
        <x:v>45554.62876157407</x:v>
      </x:c>
      <x:c r="G2076" s="89" t="n">
        <x:v>45568.62876157407</x:v>
      </x:c>
      <x:c r="H2076" s="89" t="n">
        <x:v>45557.21209490741</x:v>
      </x:c>
      <x:c r="I2076" s="89" t="n">
        <x:v>45557.25376157407</x:v>
      </x:c>
      <x:c r="J2076" s="84" t="str">
        <x:v>Baixa</x:v>
      </x:c>
      <x:c r="K2076" s="84" t="str">
        <x:v>Encerrada</x:v>
      </x:c>
      <x:c r="L2076" s="84" t="str">
        <x:v>Falha elétrica</x:v>
      </x:c>
      <x:c r="M2076" s="84" t="str">
        <x:v>Ajuste incorreto</x:v>
      </x:c>
      <x:c r="N2076" s="84" t="str">
        <x:v>Componente ajustado ou substituído</x:v>
      </x:c>
      <x:c r="O2076" s="84" t="n">
        <x:v>0</x:v>
      </x:c>
      <x:c r="P2076" s="93" t="n">
        <x:v>584.58</x:v>
      </x:c>
      <x:c r="Q2076" s="93" t="n">
        <x:v>5463.06</x:v>
      </x:c>
      <x:c r="R2076" s="91" t="n">
        <x:v>0</x:v>
      </x:c>
    </x:row>
    <x:row r="2077">
      <x:c r="A2077" s="83" t="n">
        <x:v>2076</x:v>
      </x:c>
      <x:c r="B2077" s="84" t="str">
        <x:v>OS-2025-02076</x:v>
      </x:c>
      <x:c r="C2077" s="84" t="n">
        <x:v>13</x:v>
      </x:c>
      <x:c r="D2077" s="84" t="n">
        <x:v>5</x:v>
      </x:c>
      <x:c r="E2077" s="84" t="n">
        <x:v>26</x:v>
      </x:c>
      <x:c r="F2077" s="89" t="n">
        <x:v>45851.17868055555</x:v>
      </x:c>
      <x:c r="G2077" s="89" t="n">
        <x:v>45865.17868055555</x:v>
      </x:c>
      <x:c r="H2077" s="89" t="n">
        <x:v>45851.26201388889</x:v>
      </x:c>
      <x:c r="I2077" s="89" t="n">
        <x:v>45851.92868055555</x:v>
      </x:c>
      <x:c r="J2077" s="84" t="str">
        <x:v>Baixa</x:v>
      </x:c>
      <x:c r="K2077" s="84" t="str">
        <x:v>Encerrada</x:v>
      </x:c>
      <x:c r="L2077" s="84" t="str">
        <x:v>Superaquecimento</x:v>
      </x:c>
      <x:c r="M2077" s="84" t="str">
        <x:v>Componente danificado</x:v>
      </x:c>
      <x:c r="N2077" s="84" t="str">
        <x:v>Componente ajustado ou substituído</x:v>
      </x:c>
      <x:c r="O2077" s="84" t="n">
        <x:v>0</x:v>
      </x:c>
      <x:c r="P2077" s="93" t="n">
        <x:v>60.52</x:v>
      </x:c>
      <x:c r="Q2077" s="93" t="n">
        <x:v>2831.89</x:v>
      </x:c>
      <x:c r="R2077" s="91" t="n">
        <x:v>0</x:v>
      </x:c>
    </x:row>
    <x:row r="2078">
      <x:c r="A2078" s="83" t="n">
        <x:v>2077</x:v>
      </x:c>
      <x:c r="B2078" s="84" t="str">
        <x:v>OS-2024-02077</x:v>
      </x:c>
      <x:c r="C2078" s="84" t="n">
        <x:v>7</x:v>
      </x:c>
      <x:c r="D2078" s="84" t="n">
        <x:v>2</x:v>
      </x:c>
      <x:c r="E2078" s="84"/>
      <x:c r="F2078" s="89" t="n">
        <x:v>45327.7934375</x:v>
      </x:c>
      <x:c r="G2078" s="89" t="n">
        <x:v>45342.7934375</x:v>
      </x:c>
      <x:c r="H2078" s="89"/>
      <x:c r="I2078" s="89"/>
      <x:c r="J2078" s="84" t="str">
        <x:v>Baixa</x:v>
      </x:c>
      <x:c r="K2078" s="84" t="str">
        <x:v>Planejada</x:v>
      </x:c>
      <x:c r="L2078" s="84" t="str">
        <x:v>Ruído anormal</x:v>
      </x:c>
      <x:c r="M2078" s="84"/>
      <x:c r="N2078" s="84"/>
      <x:c r="O2078" s="84" t="n">
        <x:v>0</x:v>
      </x:c>
      <x:c r="P2078" s="93" t="n">
        <x:v>0</x:v>
      </x:c>
      <x:c r="Q2078" s="93" t="n">
        <x:v>0</x:v>
      </x:c>
      <x:c r="R2078" s="91" t="n">
        <x:v>0</x:v>
      </x:c>
    </x:row>
    <x:row r="2079">
      <x:c r="A2079" s="83" t="n">
        <x:v>2078</x:v>
      </x:c>
      <x:c r="B2079" s="84" t="str">
        <x:v>OS-2024-02078</x:v>
      </x:c>
      <x:c r="C2079" s="84" t="n">
        <x:v>79</x:v>
      </x:c>
      <x:c r="D2079" s="84" t="n">
        <x:v>4</x:v>
      </x:c>
      <x:c r="E2079" s="84"/>
      <x:c r="F2079" s="89" t="n">
        <x:v>45330.38348379629</x:v>
      </x:c>
      <x:c r="G2079" s="89" t="n">
        <x:v>45330.38348379629</x:v>
      </x:c>
      <x:c r="H2079" s="89" t="n">
        <x:v>45331.925150462965</x:v>
      </x:c>
      <x:c r="I2079" s="89" t="n">
        <x:v>45332.59181712963</x:v>
      </x:c>
      <x:c r="J2079" s="84" t="str">
        <x:v>Baixa</x:v>
      </x:c>
      <x:c r="K2079" s="84" t="str">
        <x:v>Encerrada</x:v>
      </x:c>
      <x:c r="L2079" s="84" t="str">
        <x:v>Vazamento</x:v>
      </x:c>
      <x:c r="M2079" s="84" t="str">
        <x:v>Falta de lubrificação</x:v>
      </x:c>
      <x:c r="N2079" s="84" t="str">
        <x:v>Componente ajustado ou substituído</x:v>
      </x:c>
      <x:c r="O2079" s="84" t="n">
        <x:v>0</x:v>
      </x:c>
      <x:c r="P2079" s="93" t="n">
        <x:v>940.24</x:v>
      </x:c>
      <x:c r="Q2079" s="93" t="n">
        <x:v>1761.26</x:v>
      </x:c>
      <x:c r="R2079" s="91" t="n">
        <x:v>0</x:v>
      </x:c>
    </x:row>
    <x:row r="2080">
      <x:c r="A2080" s="83" t="n">
        <x:v>2079</x:v>
      </x:c>
      <x:c r="B2080" s="84" t="str">
        <x:v>OS-2025-02079</x:v>
      </x:c>
      <x:c r="C2080" s="84" t="n">
        <x:v>12</x:v>
      </x:c>
      <x:c r="D2080" s="84" t="n">
        <x:v>3</x:v>
      </x:c>
      <x:c r="E2080" s="84"/>
      <x:c r="F2080" s="89" t="n">
        <x:v>45906.49254629629</x:v>
      </x:c>
      <x:c r="G2080" s="89"/>
      <x:c r="H2080" s="89" t="n">
        <x:v>45907.49254629629</x:v>
      </x:c>
      <x:c r="I2080" s="89" t="n">
        <x:v>45907.74254629629</x:v>
      </x:c>
      <x:c r="J2080" s="84" t="str">
        <x:v>Média</x:v>
      </x:c>
      <x:c r="K2080" s="84" t="str">
        <x:v>Encerrada</x:v>
      </x:c>
      <x:c r="L2080" s="84" t="str">
        <x:v>Falha elétrica</x:v>
      </x:c>
      <x:c r="M2080" s="84" t="str">
        <x:v>Conexão frouxa</x:v>
      </x:c>
      <x:c r="N2080" s="84" t="str">
        <x:v>Componente ajustado ou substituído</x:v>
      </x:c>
      <x:c r="O2080" s="84" t="n">
        <x:v>0</x:v>
      </x:c>
      <x:c r="P2080" s="93" t="n">
        <x:v>340.26</x:v>
      </x:c>
      <x:c r="Q2080" s="93" t="n">
        <x:v>11962.6</x:v>
      </x:c>
      <x:c r="R2080" s="91" t="n">
        <x:v>0</x:v>
      </x:c>
    </x:row>
    <x:row r="2081">
      <x:c r="A2081" s="83" t="n">
        <x:v>2080</x:v>
      </x:c>
      <x:c r="B2081" s="84" t="str">
        <x:v>OS-2025-02080</x:v>
      </x:c>
      <x:c r="C2081" s="84" t="n">
        <x:v>3</x:v>
      </x:c>
      <x:c r="D2081" s="84" t="n">
        <x:v>1</x:v>
      </x:c>
      <x:c r="E2081" s="84" t="n">
        <x:v>5</x:v>
      </x:c>
      <x:c r="F2081" s="89" t="n">
        <x:v>45862.653182870374</x:v>
      </x:c>
      <x:c r="G2081" s="89" t="n">
        <x:v>45865.653182870374</x:v>
      </x:c>
      <x:c r="H2081" s="89" t="n">
        <x:v>45864.69484953704</x:v>
      </x:c>
      <x:c r="I2081" s="89" t="n">
        <x:v>45865.028182870374</x:v>
      </x:c>
      <x:c r="J2081" s="84" t="str">
        <x:v>Baixa</x:v>
      </x:c>
      <x:c r="K2081" s="84" t="str">
        <x:v>Encerrada</x:v>
      </x:c>
      <x:c r="L2081" s="84" t="str">
        <x:v>Alarme intermitente</x:v>
      </x:c>
      <x:c r="M2081" s="84" t="str">
        <x:v>Componente danificado</x:v>
      </x:c>
      <x:c r="N2081" s="84" t="str">
        <x:v>Componente ajustado ou substituído</x:v>
      </x:c>
      <x:c r="O2081" s="84" t="n">
        <x:v>0</x:v>
      </x:c>
      <x:c r="P2081" s="93" t="n">
        <x:v>892.37</x:v>
      </x:c>
      <x:c r="Q2081" s="93" t="n">
        <x:v>0</x:v>
      </x:c>
      <x:c r="R2081" s="91" t="n">
        <x:v>0</x:v>
      </x:c>
    </x:row>
    <x:row r="2082">
      <x:c r="A2082" s="83" t="n">
        <x:v>2081</x:v>
      </x:c>
      <x:c r="B2082" s="84" t="str">
        <x:v>OS-2024-02081</x:v>
      </x:c>
      <x:c r="C2082" s="84" t="n">
        <x:v>55</x:v>
      </x:c>
      <x:c r="D2082" s="84" t="n">
        <x:v>4</x:v>
      </x:c>
      <x:c r="E2082" s="84"/>
      <x:c r="F2082" s="89" t="n">
        <x:v>45599.589421296296</x:v>
      </x:c>
      <x:c r="G2082" s="89" t="n">
        <x:v>45608.589421296296</x:v>
      </x:c>
      <x:c r="H2082" s="89" t="n">
        <x:v>45600.589421296296</x:v>
      </x:c>
      <x:c r="I2082" s="89" t="n">
        <x:v>45600.75608796296</x:v>
      </x:c>
      <x:c r="J2082" s="84" t="str">
        <x:v>Baixa</x:v>
      </x:c>
      <x:c r="K2082" s="84" t="str">
        <x:v>Encerrada</x:v>
      </x:c>
      <x:c r="L2082" s="84" t="str">
        <x:v>Falha elétrica</x:v>
      </x:c>
      <x:c r="M2082" s="84" t="str">
        <x:v>Componente danificado</x:v>
      </x:c>
      <x:c r="N2082" s="84" t="str">
        <x:v>Componente ajustado ou substituído</x:v>
      </x:c>
      <x:c r="O2082" s="84" t="n">
        <x:v>0</x:v>
      </x:c>
      <x:c r="P2082" s="93" t="n">
        <x:v>515.13</x:v>
      </x:c>
      <x:c r="Q2082" s="93" t="n">
        <x:v>6369.42</x:v>
      </x:c>
      <x:c r="R2082" s="91" t="n">
        <x:v>0</x:v>
      </x:c>
    </x:row>
    <x:row r="2083">
      <x:c r="A2083" s="83" t="n">
        <x:v>2082</x:v>
      </x:c>
      <x:c r="B2083" s="84" t="str">
        <x:v>OS-2023-02082</x:v>
      </x:c>
      <x:c r="C2083" s="84" t="n">
        <x:v>34</x:v>
      </x:c>
      <x:c r="D2083" s="84" t="n">
        <x:v>5</x:v>
      </x:c>
      <x:c r="E2083" s="84" t="n">
        <x:v>67</x:v>
      </x:c>
      <x:c r="F2083" s="89" t="n">
        <x:v>45021.317199074074</x:v>
      </x:c>
      <x:c r="G2083" s="89" t="n">
        <x:v>45024.317199074074</x:v>
      </x:c>
      <x:c r="H2083" s="89" t="n">
        <x:v>45023.40053240741</x:v>
      </x:c>
      <x:c r="I2083" s="89" t="n">
        <x:v>45023.817199074074</x:v>
      </x:c>
      <x:c r="J2083" s="84" t="str">
        <x:v>Baixa</x:v>
      </x:c>
      <x:c r="K2083" s="84" t="str">
        <x:v>Encerrada</x:v>
      </x:c>
      <x:c r="L2083" s="84" t="str">
        <x:v>Desalinhamento</x:v>
      </x:c>
      <x:c r="M2083" s="84" t="str">
        <x:v>Contaminação</x:v>
      </x:c>
      <x:c r="N2083" s="84" t="str">
        <x:v>Componente ajustado ou substituído</x:v>
      </x:c>
      <x:c r="O2083" s="84" t="n">
        <x:v>0</x:v>
      </x:c>
      <x:c r="P2083" s="93" t="n">
        <x:v>47.03</x:v>
      </x:c>
      <x:c r="Q2083" s="93" t="n">
        <x:v>0</x:v>
      </x:c>
      <x:c r="R2083" s="91" t="n">
        <x:v>0</x:v>
      </x:c>
    </x:row>
    <x:row r="2084">
      <x:c r="A2084" s="83" t="n">
        <x:v>2083</x:v>
      </x:c>
      <x:c r="B2084" s="84" t="str">
        <x:v>OS-2024-02083</x:v>
      </x:c>
      <x:c r="C2084" s="84" t="n">
        <x:v>49</x:v>
      </x:c>
      <x:c r="D2084" s="84" t="n">
        <x:v>1</x:v>
      </x:c>
      <x:c r="E2084" s="84" t="n">
        <x:v>98</x:v>
      </x:c>
      <x:c r="F2084" s="89" t="n">
        <x:v>45552.09043981481</x:v>
      </x:c>
      <x:c r="G2084" s="89" t="n">
        <x:v>45555.09043981481</x:v>
      </x:c>
      <x:c r="H2084" s="89" t="n">
        <x:v>45554.17377314815</x:v>
      </x:c>
      <x:c r="I2084" s="89" t="n">
        <x:v>45554.96543981481</x:v>
      </x:c>
      <x:c r="J2084" s="84" t="str">
        <x:v>Baixa</x:v>
      </x:c>
      <x:c r="K2084" s="84" t="str">
        <x:v>Concluída</x:v>
      </x:c>
      <x:c r="L2084" s="84" t="str">
        <x:v>Falha elétrica</x:v>
      </x:c>
      <x:c r="M2084" s="84" t="str">
        <x:v>Conexão frouxa</x:v>
      </x:c>
      <x:c r="N2084" s="84" t="str">
        <x:v>Componente ajustado ou substituído</x:v>
      </x:c>
      <x:c r="O2084" s="84" t="n">
        <x:v>0</x:v>
      </x:c>
      <x:c r="P2084" s="93" t="n">
        <x:v>132.13</x:v>
      </x:c>
      <x:c r="Q2084" s="93" t="n">
        <x:v>8621.68</x:v>
      </x:c>
      <x:c r="R2084" s="91" t="n">
        <x:v>0</x:v>
      </x:c>
    </x:row>
    <x:row r="2085">
      <x:c r="A2085" s="83" t="n">
        <x:v>2084</x:v>
      </x:c>
      <x:c r="B2085" s="84" t="str">
        <x:v>OS-2025-02084</x:v>
      </x:c>
      <x:c r="C2085" s="84" t="n">
        <x:v>16</x:v>
      </x:c>
      <x:c r="D2085" s="84" t="n">
        <x:v>8</x:v>
      </x:c>
      <x:c r="E2085" s="84"/>
      <x:c r="F2085" s="89" t="n">
        <x:v>45962.422430555554</x:v>
      </x:c>
      <x:c r="G2085" s="89" t="n">
        <x:v>45965.422430555554</x:v>
      </x:c>
      <x:c r="H2085" s="89" t="n">
        <x:v>45963.00576388889</x:v>
      </x:c>
      <x:c r="I2085" s="89" t="n">
        <x:v>45963.58909722222</x:v>
      </x:c>
      <x:c r="J2085" s="84" t="str">
        <x:v>Crítica</x:v>
      </x:c>
      <x:c r="K2085" s="84" t="str">
        <x:v>Encerrada</x:v>
      </x:c>
      <x:c r="L2085" s="84" t="str">
        <x:v>Desalinhamento</x:v>
      </x:c>
      <x:c r="M2085" s="84" t="str">
        <x:v>Conexão frouxa</x:v>
      </x:c>
      <x:c r="N2085" s="84" t="str">
        <x:v>Componente ajustado ou substituído</x:v>
      </x:c>
      <x:c r="O2085" s="84" t="n">
        <x:v>0</x:v>
      </x:c>
      <x:c r="P2085" s="93" t="n">
        <x:v>107.67</x:v>
      </x:c>
      <x:c r="Q2085" s="93" t="n">
        <x:v>9926.04</x:v>
      </x:c>
      <x:c r="R2085" s="91" t="n">
        <x:v>0</x:v>
      </x:c>
    </x:row>
    <x:row r="2086">
      <x:c r="A2086" s="83" t="n">
        <x:v>2085</x:v>
      </x:c>
      <x:c r="B2086" s="84" t="str">
        <x:v>OS-2025-02085</x:v>
      </x:c>
      <x:c r="C2086" s="84" t="n">
        <x:v>56</x:v>
      </x:c>
      <x:c r="D2086" s="84" t="n">
        <x:v>3</x:v>
      </x:c>
      <x:c r="E2086" s="84"/>
      <x:c r="F2086" s="89" t="n">
        <x:v>45859.31015046296</x:v>
      </x:c>
      <x:c r="G2086" s="89"/>
      <x:c r="H2086" s="89" t="n">
        <x:v>45860.81015046296</x:v>
      </x:c>
      <x:c r="I2086" s="89" t="n">
        <x:v>45861.31015046296</x:v>
      </x:c>
      <x:c r="J2086" s="84" t="str">
        <x:v>Baixa</x:v>
      </x:c>
      <x:c r="K2086" s="84" t="str">
        <x:v>Encerrada</x:v>
      </x:c>
      <x:c r="L2086" s="84" t="str">
        <x:v>Superaquecimento</x:v>
      </x:c>
      <x:c r="M2086" s="84" t="str">
        <x:v>Contaminação</x:v>
      </x:c>
      <x:c r="N2086" s="84" t="str">
        <x:v>Componente ajustado ou substituído</x:v>
      </x:c>
      <x:c r="O2086" s="84" t="n">
        <x:v>0</x:v>
      </x:c>
      <x:c r="P2086" s="93" t="n">
        <x:v>421.37</x:v>
      </x:c>
      <x:c r="Q2086" s="93" t="n">
        <x:v>7069.26</x:v>
      </x:c>
      <x:c r="R2086" s="91" t="n">
        <x:v>10463.16</x:v>
      </x:c>
    </x:row>
    <x:row r="2087">
      <x:c r="A2087" s="83" t="n">
        <x:v>2086</x:v>
      </x:c>
      <x:c r="B2087" s="84" t="str">
        <x:v>OS-2023-02086</x:v>
      </x:c>
      <x:c r="C2087" s="84" t="n">
        <x:v>34</x:v>
      </x:c>
      <x:c r="D2087" s="84" t="n">
        <x:v>3</x:v>
      </x:c>
      <x:c r="E2087" s="84"/>
      <x:c r="F2087" s="89" t="n">
        <x:v>45047.122349537036</x:v>
      </x:c>
      <x:c r="G2087" s="89"/>
      <x:c r="H2087" s="89" t="n">
        <x:v>45049.997349537036</x:v>
      </x:c>
      <x:c r="I2087" s="89" t="n">
        <x:v>45050.08068287037</x:v>
      </x:c>
      <x:c r="J2087" s="84" t="str">
        <x:v>Crítica</x:v>
      </x:c>
      <x:c r="K2087" s="84" t="str">
        <x:v>Encerrada</x:v>
      </x:c>
      <x:c r="L2087" s="84" t="str">
        <x:v>Vazamento</x:v>
      </x:c>
      <x:c r="M2087" s="84" t="str">
        <x:v>Contaminação</x:v>
      </x:c>
      <x:c r="N2087" s="84" t="str">
        <x:v>Componente ajustado ou substituído</x:v>
      </x:c>
      <x:c r="O2087" s="84" t="n">
        <x:v>0</x:v>
      </x:c>
      <x:c r="P2087" s="93" t="n">
        <x:v>475.8</x:v>
      </x:c>
      <x:c r="Q2087" s="93" t="n">
        <x:v>321.38</x:v>
      </x:c>
      <x:c r="R2087" s="91" t="n">
        <x:v>0</x:v>
      </x:c>
    </x:row>
    <x:row r="2088">
      <x:c r="A2088" s="83" t="n">
        <x:v>2087</x:v>
      </x:c>
      <x:c r="B2088" s="84" t="str">
        <x:v>OS-2024-02087</x:v>
      </x:c>
      <x:c r="C2088" s="84" t="n">
        <x:v>48</x:v>
      </x:c>
      <x:c r="D2088" s="84" t="n">
        <x:v>1</x:v>
      </x:c>
      <x:c r="E2088" s="84" t="n">
        <x:v>95</x:v>
      </x:c>
      <x:c r="F2088" s="89" t="n">
        <x:v>45645.42760416667</x:v>
      </x:c>
      <x:c r="G2088" s="89" t="n">
        <x:v>45659.42760416667</x:v>
      </x:c>
      <x:c r="H2088" s="89" t="n">
        <x:v>45647.09427083333</x:v>
      </x:c>
      <x:c r="I2088" s="89" t="n">
        <x:v>45647.2609375</x:v>
      </x:c>
      <x:c r="J2088" s="84" t="str">
        <x:v>Alta</x:v>
      </x:c>
      <x:c r="K2088" s="84" t="str">
        <x:v>Encerrada</x:v>
      </x:c>
      <x:c r="L2088" s="84" t="str">
        <x:v>Superaquecimento</x:v>
      </x:c>
      <x:c r="M2088" s="84" t="str">
        <x:v>Ajuste incorreto</x:v>
      </x:c>
      <x:c r="N2088" s="84" t="str">
        <x:v>Componente ajustado ou substituído</x:v>
      </x:c>
      <x:c r="O2088" s="84" t="n">
        <x:v>0</x:v>
      </x:c>
      <x:c r="P2088" s="93" t="n">
        <x:v>158.65</x:v>
      </x:c>
      <x:c r="Q2088" s="93" t="n">
        <x:v>0</x:v>
      </x:c>
      <x:c r="R2088" s="91" t="n">
        <x:v>0</x:v>
      </x:c>
    </x:row>
    <x:row r="2089">
      <x:c r="A2089" s="83" t="n">
        <x:v>2088</x:v>
      </x:c>
      <x:c r="B2089" s="84" t="str">
        <x:v>OS-2024-02088</x:v>
      </x:c>
      <x:c r="C2089" s="84" t="n">
        <x:v>25</x:v>
      </x:c>
      <x:c r="D2089" s="84" t="n">
        <x:v>2</x:v>
      </x:c>
      <x:c r="E2089" s="84"/>
      <x:c r="F2089" s="89" t="n">
        <x:v>45432.037997685184</x:v>
      </x:c>
      <x:c r="G2089" s="89" t="n">
        <x:v>45442.037997685184</x:v>
      </x:c>
      <x:c r="H2089" s="89" t="n">
        <x:v>45434.74633101852</x:v>
      </x:c>
      <x:c r="I2089" s="89" t="n">
        <x:v>45435.204664351855</x:v>
      </x:c>
      <x:c r="J2089" s="84" t="str">
        <x:v>Crítica</x:v>
      </x:c>
      <x:c r="K2089" s="84" t="str">
        <x:v>Encerrada</x:v>
      </x:c>
      <x:c r="L2089" s="84" t="str">
        <x:v>Alarme intermitente</x:v>
      </x:c>
      <x:c r="M2089" s="84" t="str">
        <x:v>Componente danificado</x:v>
      </x:c>
      <x:c r="N2089" s="84" t="str">
        <x:v>Componente ajustado ou substituído</x:v>
      </x:c>
      <x:c r="O2089" s="84" t="n">
        <x:v>0</x:v>
      </x:c>
      <x:c r="P2089" s="93" t="n">
        <x:v>451.5</x:v>
      </x:c>
      <x:c r="Q2089" s="93" t="n">
        <x:v>2260.01</x:v>
      </x:c>
      <x:c r="R2089" s="91" t="n">
        <x:v>0</x:v>
      </x:c>
    </x:row>
    <x:row r="2090">
      <x:c r="A2090" s="83" t="n">
        <x:v>2089</x:v>
      </x:c>
      <x:c r="B2090" s="84" t="str">
        <x:v>OS-2024-02089</x:v>
      </x:c>
      <x:c r="C2090" s="84" t="n">
        <x:v>31</x:v>
      </x:c>
      <x:c r="D2090" s="84" t="n">
        <x:v>3</x:v>
      </x:c>
      <x:c r="E2090" s="84"/>
      <x:c r="F2090" s="89" t="n">
        <x:v>45543.465891203705</x:v>
      </x:c>
      <x:c r="G2090" s="89"/>
      <x:c r="H2090" s="89" t="n">
        <x:v>45546.04922453704</x:v>
      </x:c>
      <x:c r="I2090" s="89" t="n">
        <x:v>45546.54922453704</x:v>
      </x:c>
      <x:c r="J2090" s="84" t="str">
        <x:v>Crítica</x:v>
      </x:c>
      <x:c r="K2090" s="84" t="str">
        <x:v>Concluída</x:v>
      </x:c>
      <x:c r="L2090" s="84" t="str">
        <x:v>Alarme intermitente</x:v>
      </x:c>
      <x:c r="M2090" s="84" t="str">
        <x:v>Contaminação</x:v>
      </x:c>
      <x:c r="N2090" s="84" t="str">
        <x:v>Componente ajustado ou substituído</x:v>
      </x:c>
      <x:c r="O2090" s="84" t="n">
        <x:v>0</x:v>
      </x:c>
      <x:c r="P2090" s="93" t="n">
        <x:v>685.55</x:v>
      </x:c>
      <x:c r="Q2090" s="93" t="n">
        <x:v>7535.9</x:v>
      </x:c>
      <x:c r="R2090" s="91" t="n">
        <x:v>0</x:v>
      </x:c>
    </x:row>
    <x:row r="2091">
      <x:c r="A2091" s="83" t="n">
        <x:v>2090</x:v>
      </x:c>
      <x:c r="B2091" s="84" t="str">
        <x:v>OS-2023-02090</x:v>
      </x:c>
      <x:c r="C2091" s="84" t="n">
        <x:v>83</x:v>
      </x:c>
      <x:c r="D2091" s="84" t="n">
        <x:v>1</x:v>
      </x:c>
      <x:c r="E2091" s="84" t="n">
        <x:v>165</x:v>
      </x:c>
      <x:c r="F2091" s="89" t="n">
        <x:v>45277.87849537037</x:v>
      </x:c>
      <x:c r="G2091" s="89" t="n">
        <x:v>45286.87849537037</x:v>
      </x:c>
      <x:c r="H2091" s="89"/>
      <x:c r="I2091" s="89"/>
      <x:c r="J2091" s="84" t="str">
        <x:v>Crítica</x:v>
      </x:c>
      <x:c r="K2091" s="84" t="str">
        <x:v>Planejada</x:v>
      </x:c>
      <x:c r="L2091" s="84" t="str">
        <x:v>Alarme intermitente</x:v>
      </x:c>
      <x:c r="M2091" s="84"/>
      <x:c r="N2091" s="84"/>
      <x:c r="O2091" s="84" t="n">
        <x:v>0</x:v>
      </x:c>
      <x:c r="P2091" s="93" t="n">
        <x:v>0</x:v>
      </x:c>
      <x:c r="Q2091" s="93" t="n">
        <x:v>0</x:v>
      </x:c>
      <x:c r="R2091" s="91" t="n">
        <x:v>0</x:v>
      </x:c>
    </x:row>
    <x:row r="2092">
      <x:c r="A2092" s="83" t="n">
        <x:v>2091</x:v>
      </x:c>
      <x:c r="B2092" s="84" t="str">
        <x:v>OS-2024-02091</x:v>
      </x:c>
      <x:c r="C2092" s="84" t="n">
        <x:v>44</x:v>
      </x:c>
      <x:c r="D2092" s="84" t="n">
        <x:v>4</x:v>
      </x:c>
      <x:c r="E2092" s="84"/>
      <x:c r="F2092" s="89" t="n">
        <x:v>45584.988599537035</x:v>
      </x:c>
      <x:c r="G2092" s="89" t="n">
        <x:v>45585.988599537035</x:v>
      </x:c>
      <x:c r="H2092" s="89"/>
      <x:c r="I2092" s="89"/>
      <x:c r="J2092" s="84" t="str">
        <x:v>Baixa</x:v>
      </x:c>
      <x:c r="K2092" s="84" t="str">
        <x:v>Planejada</x:v>
      </x:c>
      <x:c r="L2092" s="84" t="str">
        <x:v>Desalinhamento</x:v>
      </x:c>
      <x:c r="M2092" s="84"/>
      <x:c r="N2092" s="84"/>
      <x:c r="O2092" s="84" t="n">
        <x:v>0</x:v>
      </x:c>
      <x:c r="P2092" s="93" t="n">
        <x:v>0</x:v>
      </x:c>
      <x:c r="Q2092" s="93" t="n">
        <x:v>0</x:v>
      </x:c>
      <x:c r="R2092" s="91" t="n">
        <x:v>0</x:v>
      </x:c>
    </x:row>
    <x:row r="2093">
      <x:c r="A2093" s="83" t="n">
        <x:v>2092</x:v>
      </x:c>
      <x:c r="B2093" s="84" t="str">
        <x:v>OS-2024-02092</x:v>
      </x:c>
      <x:c r="C2093" s="84" t="n">
        <x:v>26</x:v>
      </x:c>
      <x:c r="D2093" s="84" t="n">
        <x:v>2</x:v>
      </x:c>
      <x:c r="E2093" s="84"/>
      <x:c r="F2093" s="89" t="n">
        <x:v>45621.06890046296</x:v>
      </x:c>
      <x:c r="G2093" s="89" t="n">
        <x:v>45626.06890046296</x:v>
      </x:c>
      <x:c r="H2093" s="89" t="n">
        <x:v>45623.61056712963</x:v>
      </x:c>
      <x:c r="I2093" s="89"/>
      <x:c r="J2093" s="84" t="str">
        <x:v>Alta</x:v>
      </x:c>
      <x:c r="K2093" s="84" t="str">
        <x:v>Em execução</x:v>
      </x:c>
      <x:c r="L2093" s="84" t="str">
        <x:v>Vazamento</x:v>
      </x:c>
      <x:c r="M2093" s="84" t="str">
        <x:v>Desgaste natural</x:v>
      </x:c>
      <x:c r="N2093" s="84"/>
      <x:c r="O2093" s="84" t="n">
        <x:v>0</x:v>
      </x:c>
      <x:c r="P2093" s="93" t="n">
        <x:v>289.72</x:v>
      </x:c>
      <x:c r="Q2093" s="93" t="n">
        <x:v>8085.73</x:v>
      </x:c>
      <x:c r="R2093" s="91" t="n">
        <x:v>0</x:v>
      </x:c>
    </x:row>
    <x:row r="2094">
      <x:c r="A2094" s="83" t="n">
        <x:v>2093</x:v>
      </x:c>
      <x:c r="B2094" s="84" t="str">
        <x:v>OS-2024-02093</x:v>
      </x:c>
      <x:c r="C2094" s="84" t="n">
        <x:v>20</x:v>
      </x:c>
      <x:c r="D2094" s="84" t="n">
        <x:v>2</x:v>
      </x:c>
      <x:c r="E2094" s="84"/>
      <x:c r="F2094" s="89" t="n">
        <x:v>45545.754849537036</x:v>
      </x:c>
      <x:c r="G2094" s="89" t="n">
        <x:v>45556.754849537036</x:v>
      </x:c>
      <x:c r="H2094" s="89" t="n">
        <x:v>45546.29651620371</x:v>
      </x:c>
      <x:c r="I2094" s="89" t="n">
        <x:v>45546.92151620371</x:v>
      </x:c>
      <x:c r="J2094" s="84" t="str">
        <x:v>Alta</x:v>
      </x:c>
      <x:c r="K2094" s="84" t="str">
        <x:v>Encerrada</x:v>
      </x:c>
      <x:c r="L2094" s="84" t="str">
        <x:v>Alarme intermitente</x:v>
      </x:c>
      <x:c r="M2094" s="84" t="str">
        <x:v>Ajuste incorreto</x:v>
      </x:c>
      <x:c r="N2094" s="84" t="str">
        <x:v>Componente ajustado ou substituído</x:v>
      </x:c>
      <x:c r="O2094" s="84" t="n">
        <x:v>0</x:v>
      </x:c>
      <x:c r="P2094" s="93" t="n">
        <x:v>296.63</x:v>
      </x:c>
      <x:c r="Q2094" s="93" t="n">
        <x:v>8616.02</x:v>
      </x:c>
      <x:c r="R2094" s="91" t="n">
        <x:v>0</x:v>
      </x:c>
    </x:row>
    <x:row r="2095">
      <x:c r="A2095" s="83" t="n">
        <x:v>2094</x:v>
      </x:c>
      <x:c r="B2095" s="84" t="str">
        <x:v>OS-2024-02094</x:v>
      </x:c>
      <x:c r="C2095" s="84" t="n">
        <x:v>83</x:v>
      </x:c>
      <x:c r="D2095" s="84" t="n">
        <x:v>9</x:v>
      </x:c>
      <x:c r="E2095" s="84"/>
      <x:c r="F2095" s="89" t="n">
        <x:v>45550.48269675926</x:v>
      </x:c>
      <x:c r="G2095" s="89" t="n">
        <x:v>45562.48269675926</x:v>
      </x:c>
      <x:c r="H2095" s="89" t="n">
        <x:v>45552.649363425924</x:v>
      </x:c>
      <x:c r="I2095" s="89" t="n">
        <x:v>45552.816030092596</x:v>
      </x:c>
      <x:c r="J2095" s="84" t="str">
        <x:v>Média</x:v>
      </x:c>
      <x:c r="K2095" s="84" t="str">
        <x:v>Encerrada</x:v>
      </x:c>
      <x:c r="L2095" s="84" t="str">
        <x:v>Falha elétrica</x:v>
      </x:c>
      <x:c r="M2095" s="84" t="str">
        <x:v>Conexão frouxa</x:v>
      </x:c>
      <x:c r="N2095" s="84" t="str">
        <x:v>Componente ajustado ou substituído</x:v>
      </x:c>
      <x:c r="O2095" s="84" t="n">
        <x:v>0</x:v>
      </x:c>
      <x:c r="P2095" s="93" t="n">
        <x:v>320.16</x:v>
      </x:c>
      <x:c r="Q2095" s="93" t="n">
        <x:v>12578.9</x:v>
      </x:c>
      <x:c r="R2095" s="91" t="n">
        <x:v>0</x:v>
      </x:c>
    </x:row>
    <x:row r="2096">
      <x:c r="A2096" s="83" t="n">
        <x:v>2095</x:v>
      </x:c>
      <x:c r="B2096" s="84" t="str">
        <x:v>OS-2024-02095</x:v>
      </x:c>
      <x:c r="C2096" s="84" t="n">
        <x:v>61</x:v>
      </x:c>
      <x:c r="D2096" s="84" t="n">
        <x:v>1</x:v>
      </x:c>
      <x:c r="E2096" s="84" t="n">
        <x:v>121</x:v>
      </x:c>
      <x:c r="F2096" s="89" t="n">
        <x:v>45646.27953703704</x:v>
      </x:c>
      <x:c r="G2096" s="89" t="n">
        <x:v>45655.27953703704</x:v>
      </x:c>
      <x:c r="H2096" s="89" t="n">
        <x:v>45647.61287037037</x:v>
      </x:c>
      <x:c r="I2096" s="89" t="n">
        <x:v>45647.8212037037</x:v>
      </x:c>
      <x:c r="J2096" s="84" t="str">
        <x:v>Crítica</x:v>
      </x:c>
      <x:c r="K2096" s="84" t="str">
        <x:v>Encerrada</x:v>
      </x:c>
      <x:c r="L2096" s="84" t="str">
        <x:v>Falha elétrica</x:v>
      </x:c>
      <x:c r="M2096" s="84" t="str">
        <x:v>Componente danificado</x:v>
      </x:c>
      <x:c r="N2096" s="84" t="str">
        <x:v>Componente ajustado ou substituído</x:v>
      </x:c>
      <x:c r="O2096" s="84" t="n">
        <x:v>0</x:v>
      </x:c>
      <x:c r="P2096" s="93" t="n">
        <x:v>928.22</x:v>
      </x:c>
      <x:c r="Q2096" s="93" t="n">
        <x:v>12084.36</x:v>
      </x:c>
      <x:c r="R2096" s="91" t="n">
        <x:v>0</x:v>
      </x:c>
    </x:row>
    <x:row r="2097">
      <x:c r="A2097" s="83" t="n">
        <x:v>2096</x:v>
      </x:c>
      <x:c r="B2097" s="84" t="str">
        <x:v>OS-2023-02096</x:v>
      </x:c>
      <x:c r="C2097" s="84" t="n">
        <x:v>1</x:v>
      </x:c>
      <x:c r="D2097" s="84" t="n">
        <x:v>1</x:v>
      </x:c>
      <x:c r="E2097" s="84" t="n">
        <x:v>1</x:v>
      </x:c>
      <x:c r="F2097" s="89" t="n">
        <x:v>44976.701365740744</x:v>
      </x:c>
      <x:c r="G2097" s="89" t="n">
        <x:v>44984.701365740744</x:v>
      </x:c>
      <x:c r="H2097" s="89" t="n">
        <x:v>44977.78469907407</x:v>
      </x:c>
      <x:c r="I2097" s="89" t="n">
        <x:v>44978.28469907407</x:v>
      </x:c>
      <x:c r="J2097" s="84" t="str">
        <x:v>Baixa</x:v>
      </x:c>
      <x:c r="K2097" s="84" t="str">
        <x:v>Encerrada</x:v>
      </x:c>
      <x:c r="L2097" s="84" t="str">
        <x:v>Baixa pressão</x:v>
      </x:c>
      <x:c r="M2097" s="84" t="str">
        <x:v>Desgaste natural</x:v>
      </x:c>
      <x:c r="N2097" s="84" t="str">
        <x:v>Componente ajustado ou substituído</x:v>
      </x:c>
      <x:c r="O2097" s="84" t="n">
        <x:v>0</x:v>
      </x:c>
      <x:c r="P2097" s="93" t="n">
        <x:v>193.89</x:v>
      </x:c>
      <x:c r="Q2097" s="93" t="n">
        <x:v>0</x:v>
      </x:c>
      <x:c r="R2097" s="91" t="n">
        <x:v>0</x:v>
      </x:c>
    </x:row>
    <x:row r="2098">
      <x:c r="A2098" s="83" t="n">
        <x:v>2097</x:v>
      </x:c>
      <x:c r="B2098" s="84" t="str">
        <x:v>OS-2025-02097</x:v>
      </x:c>
      <x:c r="C2098" s="84" t="n">
        <x:v>65</x:v>
      </x:c>
      <x:c r="D2098" s="84" t="n">
        <x:v>5</x:v>
      </x:c>
      <x:c r="E2098" s="84" t="n">
        <x:v>130</x:v>
      </x:c>
      <x:c r="F2098" s="89" t="n">
        <x:v>46005.853472222225</x:v>
      </x:c>
      <x:c r="G2098" s="89" t="n">
        <x:v>46018.853472222225</x:v>
      </x:c>
      <x:c r="H2098" s="89" t="n">
        <x:v>46006.353472222225</x:v>
      </x:c>
      <x:c r="I2098" s="89" t="n">
        <x:v>46006.39513888889</x:v>
      </x:c>
      <x:c r="J2098" s="84" t="str">
        <x:v>Baixa</x:v>
      </x:c>
      <x:c r="K2098" s="84" t="str">
        <x:v>Encerrada</x:v>
      </x:c>
      <x:c r="L2098" s="84" t="str">
        <x:v>Falha elétrica</x:v>
      </x:c>
      <x:c r="M2098" s="84" t="str">
        <x:v>Desgaste natural</x:v>
      </x:c>
      <x:c r="N2098" s="84" t="str">
        <x:v>Componente ajustado ou substituído</x:v>
      </x:c>
      <x:c r="O2098" s="84" t="n">
        <x:v>1</x:v>
      </x:c>
      <x:c r="P2098" s="93" t="n">
        <x:v>446.08</x:v>
      </x:c>
      <x:c r="Q2098" s="93" t="n">
        <x:v>7481.22</x:v>
      </x:c>
      <x:c r="R2098" s="91" t="n">
        <x:v>0</x:v>
      </x:c>
    </x:row>
    <x:row r="2099">
      <x:c r="A2099" s="83" t="n">
        <x:v>2098</x:v>
      </x:c>
      <x:c r="B2099" s="84" t="str">
        <x:v>OS-2025-02098</x:v>
      </x:c>
      <x:c r="C2099" s="84" t="n">
        <x:v>65</x:v>
      </x:c>
      <x:c r="D2099" s="84" t="n">
        <x:v>2</x:v>
      </x:c>
      <x:c r="E2099" s="84"/>
      <x:c r="F2099" s="89" t="n">
        <x:v>45711.0384375</x:v>
      </x:c>
      <x:c r="G2099" s="89" t="n">
        <x:v>45712.0384375</x:v>
      </x:c>
      <x:c r="H2099" s="89"/>
      <x:c r="I2099" s="89"/>
      <x:c r="J2099" s="84" t="str">
        <x:v>Crítica</x:v>
      </x:c>
      <x:c r="K2099" s="84" t="str">
        <x:v>Planejada</x:v>
      </x:c>
      <x:c r="L2099" s="84" t="str">
        <x:v>Ruído anormal</x:v>
      </x:c>
      <x:c r="M2099" s="84"/>
      <x:c r="N2099" s="84"/>
      <x:c r="O2099" s="84" t="n">
        <x:v>0</x:v>
      </x:c>
      <x:c r="P2099" s="93" t="n">
        <x:v>0</x:v>
      </x:c>
      <x:c r="Q2099" s="93" t="n">
        <x:v>0</x:v>
      </x:c>
      <x:c r="R2099" s="91" t="n">
        <x:v>0</x:v>
      </x:c>
    </x:row>
    <x:row r="2100">
      <x:c r="A2100" s="83" t="n">
        <x:v>2099</x:v>
      </x:c>
      <x:c r="B2100" s="84" t="str">
        <x:v>OS-2025-02099</x:v>
      </x:c>
      <x:c r="C2100" s="84" t="n">
        <x:v>74</x:v>
      </x:c>
      <x:c r="D2100" s="84" t="n">
        <x:v>7</x:v>
      </x:c>
      <x:c r="E2100" s="84" t="n">
        <x:v>147</x:v>
      </x:c>
      <x:c r="F2100" s="89" t="n">
        <x:v>45896.74738425926</x:v>
      </x:c>
      <x:c r="G2100" s="89" t="n">
        <x:v>45905.74738425926</x:v>
      </x:c>
      <x:c r="H2100" s="89" t="n">
        <x:v>45899.705717592595</x:v>
      </x:c>
      <x:c r="I2100" s="89" t="n">
        <x:v>45900.37238425926</x:v>
      </x:c>
      <x:c r="J2100" s="84" t="str">
        <x:v>Baixa</x:v>
      </x:c>
      <x:c r="K2100" s="84" t="str">
        <x:v>Encerrada</x:v>
      </x:c>
      <x:c r="L2100" s="84" t="str">
        <x:v>Alarme intermitente</x:v>
      </x:c>
      <x:c r="M2100" s="84" t="str">
        <x:v>Contaminação</x:v>
      </x:c>
      <x:c r="N2100" s="84" t="str">
        <x:v>Componente ajustado ou substituído</x:v>
      </x:c>
      <x:c r="O2100" s="84" t="n">
        <x:v>0</x:v>
      </x:c>
      <x:c r="P2100" s="93" t="n">
        <x:v>435.68</x:v>
      </x:c>
      <x:c r="Q2100" s="93" t="n">
        <x:v>0</x:v>
      </x:c>
      <x:c r="R2100" s="91" t="n">
        <x:v>0</x:v>
      </x:c>
    </x:row>
    <x:row r="2101">
      <x:c r="A2101" s="83" t="n">
        <x:v>2100</x:v>
      </x:c>
      <x:c r="B2101" s="84" t="str">
        <x:v>OS-2025-02100</x:v>
      </x:c>
      <x:c r="C2101" s="84" t="n">
        <x:v>37</x:v>
      </x:c>
      <x:c r="D2101" s="84" t="n">
        <x:v>1</x:v>
      </x:c>
      <x:c r="E2101" s="84" t="n">
        <x:v>74</x:v>
      </x:c>
      <x:c r="F2101" s="89" t="n">
        <x:v>45783.319131944445</x:v>
      </x:c>
      <x:c r="G2101" s="89" t="n">
        <x:v>45785.319131944445</x:v>
      </x:c>
      <x:c r="H2101" s="89" t="n">
        <x:v>45785.11079861111</x:v>
      </x:c>
      <x:c r="I2101" s="89" t="n">
        <x:v>45785.52746527778</x:v>
      </x:c>
      <x:c r="J2101" s="84" t="str">
        <x:v>Alta</x:v>
      </x:c>
      <x:c r="K2101" s="84" t="str">
        <x:v>Encerrada</x:v>
      </x:c>
      <x:c r="L2101" s="84" t="str">
        <x:v>Superaquecimento</x:v>
      </x:c>
      <x:c r="M2101" s="84" t="str">
        <x:v>Contaminação</x:v>
      </x:c>
      <x:c r="N2101" s="84" t="str">
        <x:v>Componente ajustado ou substituído</x:v>
      </x:c>
      <x:c r="O2101" s="84" t="n">
        <x:v>0</x:v>
      </x:c>
      <x:c r="P2101" s="93" t="n">
        <x:v>386.81</x:v>
      </x:c>
      <x:c r="Q2101" s="93" t="n">
        <x:v>0</x:v>
      </x:c>
      <x:c r="R2101" s="91" t="n">
        <x:v>0</x:v>
      </x:c>
    </x:row>
    <x:row r="2102">
      <x:c r="A2102" s="83" t="n">
        <x:v>2101</x:v>
      </x:c>
      <x:c r="B2102" s="84" t="str">
        <x:v>OS-2025-02101</x:v>
      </x:c>
      <x:c r="C2102" s="84" t="n">
        <x:v>56</x:v>
      </x:c>
      <x:c r="D2102" s="84" t="n">
        <x:v>2</x:v>
      </x:c>
      <x:c r="E2102" s="84"/>
      <x:c r="F2102" s="89" t="n">
        <x:v>45909.906793981485</x:v>
      </x:c>
      <x:c r="G2102" s="89" t="n">
        <x:v>45924.906793981485</x:v>
      </x:c>
      <x:c r="H2102" s="89" t="n">
        <x:v>45912.82346064815</x:v>
      </x:c>
      <x:c r="I2102" s="89" t="n">
        <x:v>45913.36512731481</x:v>
      </x:c>
      <x:c r="J2102" s="84" t="str">
        <x:v>Crítica</x:v>
      </x:c>
      <x:c r="K2102" s="84" t="str">
        <x:v>Encerrada</x:v>
      </x:c>
      <x:c r="L2102" s="84" t="str">
        <x:v>Alarme intermitente</x:v>
      </x:c>
      <x:c r="M2102" s="84" t="str">
        <x:v>Componente danificado</x:v>
      </x:c>
      <x:c r="N2102" s="84" t="str">
        <x:v>Componente ajustado ou substituído</x:v>
      </x:c>
      <x:c r="O2102" s="84" t="n">
        <x:v>1</x:v>
      </x:c>
      <x:c r="P2102" s="93" t="n">
        <x:v>233.9</x:v>
      </x:c>
      <x:c r="Q2102" s="93" t="n">
        <x:v>2930.84</x:v>
      </x:c>
      <x:c r="R2102" s="91" t="n">
        <x:v>12500.32</x:v>
      </x:c>
    </x:row>
    <x:row r="2103">
      <x:c r="A2103" s="83" t="n">
        <x:v>2102</x:v>
      </x:c>
      <x:c r="B2103" s="84" t="str">
        <x:v>OS-2023-02102</x:v>
      </x:c>
      <x:c r="C2103" s="84" t="n">
        <x:v>55</x:v>
      </x:c>
      <x:c r="D2103" s="84" t="n">
        <x:v>1</x:v>
      </x:c>
      <x:c r="E2103" s="84" t="n">
        <x:v>110</x:v>
      </x:c>
      <x:c r="F2103" s="89" t="n">
        <x:v>45103.02107638889</x:v>
      </x:c>
      <x:c r="G2103" s="89" t="n">
        <x:v>45118.02107638889</x:v>
      </x:c>
      <x:c r="H2103" s="89" t="n">
        <x:v>45105.187743055554</x:v>
      </x:c>
      <x:c r="I2103" s="89" t="n">
        <x:v>45106.02107638889</x:v>
      </x:c>
      <x:c r="J2103" s="84" t="str">
        <x:v>Média</x:v>
      </x:c>
      <x:c r="K2103" s="84" t="str">
        <x:v>Encerrada</x:v>
      </x:c>
      <x:c r="L2103" s="84" t="str">
        <x:v>Desalinhamento</x:v>
      </x:c>
      <x:c r="M2103" s="84" t="str">
        <x:v>Ajuste incorreto</x:v>
      </x:c>
      <x:c r="N2103" s="84" t="str">
        <x:v>Componente ajustado ou substituído</x:v>
      </x:c>
      <x:c r="O2103" s="84" t="n">
        <x:v>0</x:v>
      </x:c>
      <x:c r="P2103" s="93" t="n">
        <x:v>771.05</x:v>
      </x:c>
      <x:c r="Q2103" s="93" t="n">
        <x:v>0</x:v>
      </x:c>
      <x:c r="R2103" s="91" t="n">
        <x:v>0</x:v>
      </x:c>
    </x:row>
    <x:row r="2104">
      <x:c r="A2104" s="83" t="n">
        <x:v>2103</x:v>
      </x:c>
      <x:c r="B2104" s="84" t="str">
        <x:v>OS-2023-02103</x:v>
      </x:c>
      <x:c r="C2104" s="84" t="n">
        <x:v>45</x:v>
      </x:c>
      <x:c r="D2104" s="84" t="n">
        <x:v>1</x:v>
      </x:c>
      <x:c r="E2104" s="84" t="n">
        <x:v>89</x:v>
      </x:c>
      <x:c r="F2104" s="89" t="n">
        <x:v>45181.337546296294</x:v>
      </x:c>
      <x:c r="G2104" s="89" t="n">
        <x:v>45191.337546296294</x:v>
      </x:c>
      <x:c r="H2104" s="89" t="n">
        <x:v>45183.337546296294</x:v>
      </x:c>
      <x:c r="I2104" s="89" t="n">
        <x:v>45183.54587962963</x:v>
      </x:c>
      <x:c r="J2104" s="84" t="str">
        <x:v>Crítica</x:v>
      </x:c>
      <x:c r="K2104" s="84" t="str">
        <x:v>Encerrada</x:v>
      </x:c>
      <x:c r="L2104" s="84" t="str">
        <x:v>Ruído anormal</x:v>
      </x:c>
      <x:c r="M2104" s="84" t="str">
        <x:v>Desgaste natural</x:v>
      </x:c>
      <x:c r="N2104" s="84" t="str">
        <x:v>Componente ajustado ou substituído</x:v>
      </x:c>
      <x:c r="O2104" s="84" t="n">
        <x:v>0</x:v>
      </x:c>
      <x:c r="P2104" s="93" t="n">
        <x:v>528.67</x:v>
      </x:c>
      <x:c r="Q2104" s="93" t="n">
        <x:v>0</x:v>
      </x:c>
      <x:c r="R2104" s="91" t="n">
        <x:v>0</x:v>
      </x:c>
    </x:row>
    <x:row r="2105">
      <x:c r="A2105" s="83" t="n">
        <x:v>2104</x:v>
      </x:c>
      <x:c r="B2105" s="84" t="str">
        <x:v>OS-2025-02104</x:v>
      </x:c>
      <x:c r="C2105" s="84" t="n">
        <x:v>34</x:v>
      </x:c>
      <x:c r="D2105" s="84" t="n">
        <x:v>3</x:v>
      </x:c>
      <x:c r="E2105" s="84"/>
      <x:c r="F2105" s="89" t="n">
        <x:v>45890.25990740741</x:v>
      </x:c>
      <x:c r="G2105" s="89"/>
      <x:c r="H2105" s="89" t="n">
        <x:v>45892.25990740741</x:v>
      </x:c>
      <x:c r="I2105" s="89" t="n">
        <x:v>45893.09324074074</x:v>
      </x:c>
      <x:c r="J2105" s="84" t="str">
        <x:v>Crítica</x:v>
      </x:c>
      <x:c r="K2105" s="84" t="str">
        <x:v>Encerrada</x:v>
      </x:c>
      <x:c r="L2105" s="84" t="str">
        <x:v>Vazamento</x:v>
      </x:c>
      <x:c r="M2105" s="84" t="str">
        <x:v>Ajuste incorreto</x:v>
      </x:c>
      <x:c r="N2105" s="84" t="str">
        <x:v>Componente ajustado ou substituído</x:v>
      </x:c>
      <x:c r="O2105" s="84" t="n">
        <x:v>0</x:v>
      </x:c>
      <x:c r="P2105" s="93" t="n">
        <x:v>690.87</x:v>
      </x:c>
      <x:c r="Q2105" s="93" t="n">
        <x:v>10876.67</x:v>
      </x:c>
      <x:c r="R2105" s="91" t="n">
        <x:v>0</x:v>
      </x:c>
    </x:row>
    <x:row r="2106">
      <x:c r="A2106" s="83" t="n">
        <x:v>2105</x:v>
      </x:c>
      <x:c r="B2106" s="84" t="str">
        <x:v>OS-2025-02105</x:v>
      </x:c>
      <x:c r="C2106" s="84" t="n">
        <x:v>32</x:v>
      </x:c>
      <x:c r="D2106" s="84" t="n">
        <x:v>3</x:v>
      </x:c>
      <x:c r="E2106" s="84"/>
      <x:c r="F2106" s="89" t="n">
        <x:v>45866.68295138889</x:v>
      </x:c>
      <x:c r="G2106" s="89"/>
      <x:c r="H2106" s="89"/>
      <x:c r="I2106" s="89"/>
      <x:c r="J2106" s="84" t="str">
        <x:v>Crítica</x:v>
      </x:c>
      <x:c r="K2106" s="84" t="str">
        <x:v>Planejada</x:v>
      </x:c>
      <x:c r="L2106" s="84" t="str">
        <x:v>Alarme intermitente</x:v>
      </x:c>
      <x:c r="M2106" s="84"/>
      <x:c r="N2106" s="84"/>
      <x:c r="O2106" s="84" t="n">
        <x:v>0</x:v>
      </x:c>
      <x:c r="P2106" s="93" t="n">
        <x:v>0</x:v>
      </x:c>
      <x:c r="Q2106" s="93" t="n">
        <x:v>0</x:v>
      </x:c>
      <x:c r="R2106" s="91" t="n">
        <x:v>0</x:v>
      </x:c>
    </x:row>
    <x:row r="2107">
      <x:c r="A2107" s="83" t="n">
        <x:v>2106</x:v>
      </x:c>
      <x:c r="B2107" s="84" t="str">
        <x:v>OS-2023-02106</x:v>
      </x:c>
      <x:c r="C2107" s="84" t="n">
        <x:v>87</x:v>
      </x:c>
      <x:c r="D2107" s="84" t="n">
        <x:v>9</x:v>
      </x:c>
      <x:c r="E2107" s="84"/>
      <x:c r="F2107" s="89" t="n">
        <x:v>45237.239641203705</x:v>
      </x:c>
      <x:c r="G2107" s="89" t="n">
        <x:v>45246.239641203705</x:v>
      </x:c>
      <x:c r="H2107" s="89" t="n">
        <x:v>45238.69797453703</x:v>
      </x:c>
      <x:c r="I2107" s="89" t="n">
        <x:v>45239.239641203705</x:v>
      </x:c>
      <x:c r="J2107" s="84" t="str">
        <x:v>Média</x:v>
      </x:c>
      <x:c r="K2107" s="84" t="str">
        <x:v>Encerrada</x:v>
      </x:c>
      <x:c r="L2107" s="84" t="str">
        <x:v>Alarme intermitente</x:v>
      </x:c>
      <x:c r="M2107" s="84" t="str">
        <x:v>Componente danificado</x:v>
      </x:c>
      <x:c r="N2107" s="84" t="str">
        <x:v>Componente ajustado ou substituído</x:v>
      </x:c>
      <x:c r="O2107" s="84" t="n">
        <x:v>0</x:v>
      </x:c>
      <x:c r="P2107" s="93" t="n">
        <x:v>356.53</x:v>
      </x:c>
      <x:c r="Q2107" s="93" t="n">
        <x:v>3479.2</x:v>
      </x:c>
      <x:c r="R2107" s="91" t="n">
        <x:v>0</x:v>
      </x:c>
    </x:row>
    <x:row r="2108">
      <x:c r="A2108" s="83" t="n">
        <x:v>2107</x:v>
      </x:c>
      <x:c r="B2108" s="84" t="str">
        <x:v>OS-2023-02107</x:v>
      </x:c>
      <x:c r="C2108" s="84" t="n">
        <x:v>38</x:v>
      </x:c>
      <x:c r="D2108" s="84" t="n">
        <x:v>1</x:v>
      </x:c>
      <x:c r="E2108" s="84" t="n">
        <x:v>75</x:v>
      </x:c>
      <x:c r="F2108" s="89" t="n">
        <x:v>45239.68113425926</x:v>
      </x:c>
      <x:c r="G2108" s="89" t="n">
        <x:v>45250.68113425926</x:v>
      </x:c>
      <x:c r="H2108" s="89"/>
      <x:c r="I2108" s="89"/>
      <x:c r="J2108" s="84" t="str">
        <x:v>Alta</x:v>
      </x:c>
      <x:c r="K2108" s="84" t="str">
        <x:v>Planejada</x:v>
      </x:c>
      <x:c r="L2108" s="84" t="str">
        <x:v>Baixa pressão</x:v>
      </x:c>
      <x:c r="M2108" s="84"/>
      <x:c r="N2108" s="84"/>
      <x:c r="O2108" s="84" t="n">
        <x:v>0</x:v>
      </x:c>
      <x:c r="P2108" s="93" t="n">
        <x:v>0</x:v>
      </x:c>
      <x:c r="Q2108" s="93" t="n">
        <x:v>0</x:v>
      </x:c>
      <x:c r="R2108" s="91" t="n">
        <x:v>0</x:v>
      </x:c>
    </x:row>
    <x:row r="2109">
      <x:c r="A2109" s="83" t="n">
        <x:v>2108</x:v>
      </x:c>
      <x:c r="B2109" s="84" t="str">
        <x:v>OS-2023-02108</x:v>
      </x:c>
      <x:c r="C2109" s="84" t="n">
        <x:v>26</x:v>
      </x:c>
      <x:c r="D2109" s="84" t="n">
        <x:v>5</x:v>
      </x:c>
      <x:c r="E2109" s="84" t="n">
        <x:v>51</x:v>
      </x:c>
      <x:c r="F2109" s="89" t="n">
        <x:v>45137.545694444445</x:v>
      </x:c>
      <x:c r="G2109" s="89" t="n">
        <x:v>45137.545694444445</x:v>
      </x:c>
      <x:c r="H2109" s="89" t="n">
        <x:v>45139.75402777778</x:v>
      </x:c>
      <x:c r="I2109" s="89" t="n">
        <x:v>45140.21236111111</x:v>
      </x:c>
      <x:c r="J2109" s="84" t="str">
        <x:v>Crítica</x:v>
      </x:c>
      <x:c r="K2109" s="84" t="str">
        <x:v>Concluída</x:v>
      </x:c>
      <x:c r="L2109" s="84" t="str">
        <x:v>Baixa pressão</x:v>
      </x:c>
      <x:c r="M2109" s="84" t="str">
        <x:v>Desgaste natural</x:v>
      </x:c>
      <x:c r="N2109" s="84" t="str">
        <x:v>Componente ajustado ou substituído</x:v>
      </x:c>
      <x:c r="O2109" s="84" t="n">
        <x:v>0</x:v>
      </x:c>
      <x:c r="P2109" s="93" t="n">
        <x:v>444.59</x:v>
      </x:c>
      <x:c r="Q2109" s="93" t="n">
        <x:v>740.91</x:v>
      </x:c>
      <x:c r="R2109" s="91" t="n">
        <x:v>0</x:v>
      </x:c>
    </x:row>
    <x:row r="2110">
      <x:c r="A2110" s="83" t="n">
        <x:v>2109</x:v>
      </x:c>
      <x:c r="B2110" s="84" t="str">
        <x:v>OS-2023-02109</x:v>
      </x:c>
      <x:c r="C2110" s="84" t="n">
        <x:v>29</x:v>
      </x:c>
      <x:c r="D2110" s="84" t="n">
        <x:v>1</x:v>
      </x:c>
      <x:c r="E2110" s="84" t="n">
        <x:v>57</x:v>
      </x:c>
      <x:c r="F2110" s="89" t="n">
        <x:v>45177.32030092592</x:v>
      </x:c>
      <x:c r="G2110" s="89" t="n">
        <x:v>45183.32030092592</x:v>
      </x:c>
      <x:c r="H2110" s="89" t="n">
        <x:v>45179.52863425926</x:v>
      </x:c>
      <x:c r="I2110" s="89" t="n">
        <x:v>45179.736967592595</x:v>
      </x:c>
      <x:c r="J2110" s="84" t="str">
        <x:v>Alta</x:v>
      </x:c>
      <x:c r="K2110" s="84" t="str">
        <x:v>Encerrada</x:v>
      </x:c>
      <x:c r="L2110" s="84" t="str">
        <x:v>Vazamento</x:v>
      </x:c>
      <x:c r="M2110" s="84" t="str">
        <x:v>Contaminação</x:v>
      </x:c>
      <x:c r="N2110" s="84" t="str">
        <x:v>Componente ajustado ou substituído</x:v>
      </x:c>
      <x:c r="O2110" s="84" t="n">
        <x:v>0</x:v>
      </x:c>
      <x:c r="P2110" s="93" t="n">
        <x:v>661.98</x:v>
      </x:c>
      <x:c r="Q2110" s="93" t="n">
        <x:v>10982.91</x:v>
      </x:c>
      <x:c r="R2110" s="91" t="n">
        <x:v>0</x:v>
      </x:c>
    </x:row>
    <x:row r="2111">
      <x:c r="A2111" s="83" t="n">
        <x:v>2110</x:v>
      </x:c>
      <x:c r="B2111" s="84" t="str">
        <x:v>OS-2025-02110</x:v>
      </x:c>
      <x:c r="C2111" s="84" t="n">
        <x:v>77</x:v>
      </x:c>
      <x:c r="D2111" s="84" t="n">
        <x:v>3</x:v>
      </x:c>
      <x:c r="E2111" s="84"/>
      <x:c r="F2111" s="89" t="n">
        <x:v>45991.235243055555</x:v>
      </x:c>
      <x:c r="G2111" s="89"/>
      <x:c r="H2111" s="89"/>
      <x:c r="I2111" s="89"/>
      <x:c r="J2111" s="84" t="str">
        <x:v>Crítica</x:v>
      </x:c>
      <x:c r="K2111" s="84" t="str">
        <x:v>Planejada</x:v>
      </x:c>
      <x:c r="L2111" s="84" t="str">
        <x:v>Falha elétrica</x:v>
      </x:c>
      <x:c r="M2111" s="84"/>
      <x:c r="N2111" s="84"/>
      <x:c r="O2111" s="84" t="n">
        <x:v>0</x:v>
      </x:c>
      <x:c r="P2111" s="93" t="n">
        <x:v>0</x:v>
      </x:c>
      <x:c r="Q2111" s="93" t="n">
        <x:v>0</x:v>
      </x:c>
      <x:c r="R2111" s="91" t="n">
        <x:v>0</x:v>
      </x:c>
    </x:row>
    <x:row r="2112">
      <x:c r="A2112" s="83" t="n">
        <x:v>2111</x:v>
      </x:c>
      <x:c r="B2112" s="84" t="str">
        <x:v>OS-2023-02111</x:v>
      </x:c>
      <x:c r="C2112" s="84" t="n">
        <x:v>8</x:v>
      </x:c>
      <x:c r="D2112" s="84" t="n">
        <x:v>1</x:v>
      </x:c>
      <x:c r="E2112" s="84" t="n">
        <x:v>15</x:v>
      </x:c>
      <x:c r="F2112" s="89" t="n">
        <x:v>45165.75883101852</x:v>
      </x:c>
      <x:c r="G2112" s="89" t="n">
        <x:v>45177.75883101852</x:v>
      </x:c>
      <x:c r="H2112" s="89" t="n">
        <x:v>45166.59216435185</x:v>
      </x:c>
      <x:c r="I2112" s="89" t="n">
        <x:v>45167.13383101852</x:v>
      </x:c>
      <x:c r="J2112" s="84" t="str">
        <x:v>Média</x:v>
      </x:c>
      <x:c r="K2112" s="84" t="str">
        <x:v>Encerrada</x:v>
      </x:c>
      <x:c r="L2112" s="84" t="str">
        <x:v>Baixa pressão</x:v>
      </x:c>
      <x:c r="M2112" s="84" t="str">
        <x:v>Ajuste incorreto</x:v>
      </x:c>
      <x:c r="N2112" s="84" t="str">
        <x:v>Componente ajustado ou substituído</x:v>
      </x:c>
      <x:c r="O2112" s="84" t="n">
        <x:v>1</x:v>
      </x:c>
      <x:c r="P2112" s="93" t="n">
        <x:v>349.29</x:v>
      </x:c>
      <x:c r="Q2112" s="93" t="n">
        <x:v>5861.68</x:v>
      </x:c>
      <x:c r="R2112" s="91" t="n">
        <x:v>0</x:v>
      </x:c>
    </x:row>
    <x:row r="2113">
      <x:c r="A2113" s="83" t="n">
        <x:v>2112</x:v>
      </x:c>
      <x:c r="B2113" s="84" t="str">
        <x:v>OS-2025-02112</x:v>
      </x:c>
      <x:c r="C2113" s="84" t="n">
        <x:v>55</x:v>
      </x:c>
      <x:c r="D2113" s="84" t="n">
        <x:v>1</x:v>
      </x:c>
      <x:c r="E2113" s="84" t="n">
        <x:v>109</x:v>
      </x:c>
      <x:c r="F2113" s="89" t="n">
        <x:v>45809.88366898148</x:v>
      </x:c>
      <x:c r="G2113" s="89" t="n">
        <x:v>45814.88366898148</x:v>
      </x:c>
      <x:c r="H2113" s="89" t="n">
        <x:v>45811.88366898148</x:v>
      </x:c>
      <x:c r="I2113" s="89" t="n">
        <x:v>45812.13366898148</x:v>
      </x:c>
      <x:c r="J2113" s="84" t="str">
        <x:v>Média</x:v>
      </x:c>
      <x:c r="K2113" s="84" t="str">
        <x:v>Encerrada</x:v>
      </x:c>
      <x:c r="L2113" s="84" t="str">
        <x:v>Baixa pressão</x:v>
      </x:c>
      <x:c r="M2113" s="84" t="str">
        <x:v>Componente danificado</x:v>
      </x:c>
      <x:c r="N2113" s="84" t="str">
        <x:v>Componente ajustado ou substituído</x:v>
      </x:c>
      <x:c r="O2113" s="84" t="n">
        <x:v>0</x:v>
      </x:c>
      <x:c r="P2113" s="93" t="n">
        <x:v>100.4</x:v>
      </x:c>
      <x:c r="Q2113" s="93" t="n">
        <x:v>7253</x:v>
      </x:c>
      <x:c r="R2113" s="91" t="n">
        <x:v>0</x:v>
      </x:c>
    </x:row>
    <x:row r="2114">
      <x:c r="A2114" s="83" t="n">
        <x:v>2113</x:v>
      </x:c>
      <x:c r="B2114" s="84" t="str">
        <x:v>OS-2024-02113</x:v>
      </x:c>
      <x:c r="C2114" s="84" t="n">
        <x:v>39</x:v>
      </x:c>
      <x:c r="D2114" s="84" t="n">
        <x:v>6</x:v>
      </x:c>
      <x:c r="E2114" s="84"/>
      <x:c r="F2114" s="89" t="n">
        <x:v>45544.636875</x:v>
      </x:c>
      <x:c r="G2114" s="89" t="n">
        <x:v>45551.636875</x:v>
      </x:c>
      <x:c r="H2114" s="89" t="n">
        <x:v>45546.42854166667</x:v>
      </x:c>
      <x:c r="I2114" s="89" t="n">
        <x:v>45546.92854166667</x:v>
      </x:c>
      <x:c r="J2114" s="84" t="str">
        <x:v>Alta</x:v>
      </x:c>
      <x:c r="K2114" s="84" t="str">
        <x:v>Encerrada</x:v>
      </x:c>
      <x:c r="L2114" s="84" t="str">
        <x:v>Superaquecimento</x:v>
      </x:c>
      <x:c r="M2114" s="84" t="str">
        <x:v>Desgaste natural</x:v>
      </x:c>
      <x:c r="N2114" s="84" t="str">
        <x:v>Componente ajustado ou substituído</x:v>
      </x:c>
      <x:c r="O2114" s="84" t="n">
        <x:v>0</x:v>
      </x:c>
      <x:c r="P2114" s="93" t="n">
        <x:v>272.38</x:v>
      </x:c>
      <x:c r="Q2114" s="93" t="n">
        <x:v>0</x:v>
      </x:c>
      <x:c r="R2114" s="91" t="n">
        <x:v>4410.36</x:v>
      </x:c>
    </x:row>
    <x:row r="2115">
      <x:c r="A2115" s="83" t="n">
        <x:v>2114</x:v>
      </x:c>
      <x:c r="B2115" s="84" t="str">
        <x:v>OS-2023-02114</x:v>
      </x:c>
      <x:c r="C2115" s="84" t="n">
        <x:v>30</x:v>
      </x:c>
      <x:c r="D2115" s="84" t="n">
        <x:v>6</x:v>
      </x:c>
      <x:c r="E2115" s="84"/>
      <x:c r="F2115" s="89" t="n">
        <x:v>44955.09875</x:v>
      </x:c>
      <x:c r="G2115" s="89" t="n">
        <x:v>44955.09875</x:v>
      </x:c>
      <x:c r="H2115" s="89" t="n">
        <x:v>44957.47375</x:v>
      </x:c>
      <x:c r="I2115" s="89" t="n">
        <x:v>44958.22375</x:v>
      </x:c>
      <x:c r="J2115" s="84" t="str">
        <x:v>Alta</x:v>
      </x:c>
      <x:c r="K2115" s="84" t="str">
        <x:v>Encerrada</x:v>
      </x:c>
      <x:c r="L2115" s="84" t="str">
        <x:v>Alarme intermitente</x:v>
      </x:c>
      <x:c r="M2115" s="84" t="str">
        <x:v>Conexão frouxa</x:v>
      </x:c>
      <x:c r="N2115" s="84" t="str">
        <x:v>Componente ajustado ou substituído</x:v>
      </x:c>
      <x:c r="O2115" s="84" t="n">
        <x:v>0</x:v>
      </x:c>
      <x:c r="P2115" s="93" t="n">
        <x:v>666.61</x:v>
      </x:c>
      <x:c r="Q2115" s="93" t="n">
        <x:v>0</x:v>
      </x:c>
      <x:c r="R2115" s="91" t="n">
        <x:v>0</x:v>
      </x:c>
    </x:row>
    <x:row r="2116">
      <x:c r="A2116" s="83" t="n">
        <x:v>2115</x:v>
      </x:c>
      <x:c r="B2116" s="84" t="str">
        <x:v>OS-2023-02115</x:v>
      </x:c>
      <x:c r="C2116" s="84" t="n">
        <x:v>56</x:v>
      </x:c>
      <x:c r="D2116" s="84" t="n">
        <x:v>4</x:v>
      </x:c>
      <x:c r="E2116" s="84"/>
      <x:c r="F2116" s="89" t="n">
        <x:v>45234.83063657407</x:v>
      </x:c>
      <x:c r="G2116" s="89" t="n">
        <x:v>45243.83063657407</x:v>
      </x:c>
      <x:c r="H2116" s="89" t="n">
        <x:v>45235.99730324074</x:v>
      </x:c>
      <x:c r="I2116" s="89" t="n">
        <x:v>45236.20563657407</x:v>
      </x:c>
      <x:c r="J2116" s="84" t="str">
        <x:v>Crítica</x:v>
      </x:c>
      <x:c r="K2116" s="84" t="str">
        <x:v>Encerrada</x:v>
      </x:c>
      <x:c r="L2116" s="84" t="str">
        <x:v>Ruído anormal</x:v>
      </x:c>
      <x:c r="M2116" s="84" t="str">
        <x:v>Desgaste natural</x:v>
      </x:c>
      <x:c r="N2116" s="84" t="str">
        <x:v>Componente ajustado ou substituído</x:v>
      </x:c>
      <x:c r="O2116" s="84" t="n">
        <x:v>0</x:v>
      </x:c>
      <x:c r="P2116" s="93" t="n">
        <x:v>888.56</x:v>
      </x:c>
      <x:c r="Q2116" s="93" t="n">
        <x:v>0</x:v>
      </x:c>
      <x:c r="R2116" s="91" t="n">
        <x:v>0</x:v>
      </x:c>
    </x:row>
    <x:row r="2117">
      <x:c r="A2117" s="83" t="n">
        <x:v>2116</x:v>
      </x:c>
      <x:c r="B2117" s="84" t="str">
        <x:v>OS-2025-02116</x:v>
      </x:c>
      <x:c r="C2117" s="84" t="n">
        <x:v>56</x:v>
      </x:c>
      <x:c r="D2117" s="84" t="n">
        <x:v>1</x:v>
      </x:c>
      <x:c r="E2117" s="84" t="n">
        <x:v>112</x:v>
      </x:c>
      <x:c r="F2117" s="89" t="n">
        <x:v>45668.544803240744</x:v>
      </x:c>
      <x:c r="G2117" s="89" t="n">
        <x:v>45681.544803240744</x:v>
      </x:c>
      <x:c r="H2117" s="89" t="n">
        <x:v>45669.37813657407</x:v>
      </x:c>
      <x:c r="I2117" s="89"/>
      <x:c r="J2117" s="84" t="str">
        <x:v>Baixa</x:v>
      </x:c>
      <x:c r="K2117" s="84" t="str">
        <x:v>Em execução</x:v>
      </x:c>
      <x:c r="L2117" s="84" t="str">
        <x:v>Falha elétrica</x:v>
      </x:c>
      <x:c r="M2117" s="84" t="str">
        <x:v>Contaminação</x:v>
      </x:c>
      <x:c r="N2117" s="84"/>
      <x:c r="O2117" s="84" t="n">
        <x:v>0</x:v>
      </x:c>
      <x:c r="P2117" s="93" t="n">
        <x:v>547.17</x:v>
      </x:c>
      <x:c r="Q2117" s="93" t="n">
        <x:v>3868.38</x:v>
      </x:c>
      <x:c r="R2117" s="91" t="n">
        <x:v>0</x:v>
      </x:c>
    </x:row>
    <x:row r="2118">
      <x:c r="A2118" s="83" t="n">
        <x:v>2117</x:v>
      </x:c>
      <x:c r="B2118" s="84" t="str">
        <x:v>OS-2025-02117</x:v>
      </x:c>
      <x:c r="C2118" s="84" t="n">
        <x:v>8</x:v>
      </x:c>
      <x:c r="D2118" s="84" t="n">
        <x:v>3</x:v>
      </x:c>
      <x:c r="E2118" s="84"/>
      <x:c r="F2118" s="89" t="n">
        <x:v>45998.12185185185</x:v>
      </x:c>
      <x:c r="G2118" s="89"/>
      <x:c r="H2118" s="89" t="n">
        <x:v>46001.12185185185</x:v>
      </x:c>
      <x:c r="I2118" s="89"/>
      <x:c r="J2118" s="84" t="str">
        <x:v>Baixa</x:v>
      </x:c>
      <x:c r="K2118" s="84" t="str">
        <x:v>Aguardando peça</x:v>
      </x:c>
      <x:c r="L2118" s="84" t="str">
        <x:v>Baixa pressão</x:v>
      </x:c>
      <x:c r="M2118" s="84" t="str">
        <x:v>Conexão frouxa</x:v>
      </x:c>
      <x:c r="N2118" s="84"/>
      <x:c r="O2118" s="84" t="n">
        <x:v>0</x:v>
      </x:c>
      <x:c r="P2118" s="93" t="n">
        <x:v>139.85</x:v>
      </x:c>
      <x:c r="Q2118" s="93" t="n">
        <x:v>0</x:v>
      </x:c>
      <x:c r="R2118" s="91" t="n">
        <x:v>0</x:v>
      </x:c>
    </x:row>
    <x:row r="2119">
      <x:c r="A2119" s="83" t="n">
        <x:v>2118</x:v>
      </x:c>
      <x:c r="B2119" s="84" t="str">
        <x:v>OS-2024-02118</x:v>
      </x:c>
      <x:c r="C2119" s="84" t="n">
        <x:v>71</x:v>
      </x:c>
      <x:c r="D2119" s="84" t="n">
        <x:v>1</x:v>
      </x:c>
      <x:c r="E2119" s="84" t="n">
        <x:v>142</x:v>
      </x:c>
      <x:c r="F2119" s="89" t="n">
        <x:v>45644.19321759259</x:v>
      </x:c>
      <x:c r="G2119" s="89" t="n">
        <x:v>45659.19321759259</x:v>
      </x:c>
      <x:c r="H2119" s="89" t="n">
        <x:v>45646.44321759259</x:v>
      </x:c>
      <x:c r="I2119" s="89"/>
      <x:c r="J2119" s="84" t="str">
        <x:v>Baixa</x:v>
      </x:c>
      <x:c r="K2119" s="84" t="str">
        <x:v>Em execução</x:v>
      </x:c>
      <x:c r="L2119" s="84" t="str">
        <x:v>Vazamento</x:v>
      </x:c>
      <x:c r="M2119" s="84" t="str">
        <x:v>Componente danificado</x:v>
      </x:c>
      <x:c r="N2119" s="84"/>
      <x:c r="O2119" s="84" t="n">
        <x:v>0</x:v>
      </x:c>
      <x:c r="P2119" s="93" t="n">
        <x:v>512.61</x:v>
      </x:c>
      <x:c r="Q2119" s="93" t="n">
        <x:v>0</x:v>
      </x:c>
      <x:c r="R2119" s="91" t="n">
        <x:v>11534.49</x:v>
      </x:c>
    </x:row>
    <x:row r="2120">
      <x:c r="A2120" s="83" t="n">
        <x:v>2119</x:v>
      </x:c>
      <x:c r="B2120" s="84" t="str">
        <x:v>OS-2024-02119</x:v>
      </x:c>
      <x:c r="C2120" s="84" t="n">
        <x:v>86</x:v>
      </x:c>
      <x:c r="D2120" s="84" t="n">
        <x:v>1</x:v>
      </x:c>
      <x:c r="E2120" s="84" t="n">
        <x:v>172</x:v>
      </x:c>
      <x:c r="F2120" s="89" t="n">
        <x:v>45436.52443287037</x:v>
      </x:c>
      <x:c r="G2120" s="89" t="n">
        <x:v>45441.52443287037</x:v>
      </x:c>
      <x:c r="H2120" s="89" t="n">
        <x:v>45438.816099537034</x:v>
      </x:c>
      <x:c r="I2120" s="89" t="n">
        <x:v>45438.857766203706</x:v>
      </x:c>
      <x:c r="J2120" s="84" t="str">
        <x:v>Média</x:v>
      </x:c>
      <x:c r="K2120" s="84" t="str">
        <x:v>Encerrada</x:v>
      </x:c>
      <x:c r="L2120" s="84" t="str">
        <x:v>Ruído anormal</x:v>
      </x:c>
      <x:c r="M2120" s="84" t="str">
        <x:v>Ajuste incorreto</x:v>
      </x:c>
      <x:c r="N2120" s="84" t="str">
        <x:v>Componente ajustado ou substituído</x:v>
      </x:c>
      <x:c r="O2120" s="84" t="n">
        <x:v>0</x:v>
      </x:c>
      <x:c r="P2120" s="93" t="n">
        <x:v>320.06</x:v>
      </x:c>
      <x:c r="Q2120" s="93" t="n">
        <x:v>2624.58</x:v>
      </x:c>
      <x:c r="R2120" s="91" t="n">
        <x:v>0</x:v>
      </x:c>
    </x:row>
    <x:row r="2121">
      <x:c r="A2121" s="83" t="n">
        <x:v>2120</x:v>
      </x:c>
      <x:c r="B2121" s="84" t="str">
        <x:v>OS-2024-02120</x:v>
      </x:c>
      <x:c r="C2121" s="84" t="n">
        <x:v>14</x:v>
      </x:c>
      <x:c r="D2121" s="84" t="n">
        <x:v>7</x:v>
      </x:c>
      <x:c r="E2121" s="84" t="n">
        <x:v>27</x:v>
      </x:c>
      <x:c r="F2121" s="89" t="n">
        <x:v>45561.90284722222</x:v>
      </x:c>
      <x:c r="G2121" s="89" t="n">
        <x:v>45561.90284722222</x:v>
      </x:c>
      <x:c r="H2121" s="89" t="n">
        <x:v>45562.486180555556</x:v>
      </x:c>
      <x:c r="I2121" s="89"/>
      <x:c r="J2121" s="84" t="str">
        <x:v>Baixa</x:v>
      </x:c>
      <x:c r="K2121" s="84" t="str">
        <x:v>Em execução</x:v>
      </x:c>
      <x:c r="L2121" s="84" t="str">
        <x:v>Desalinhamento</x:v>
      </x:c>
      <x:c r="M2121" s="84" t="str">
        <x:v>Conexão frouxa</x:v>
      </x:c>
      <x:c r="N2121" s="84"/>
      <x:c r="O2121" s="84" t="n">
        <x:v>0</x:v>
      </x:c>
      <x:c r="P2121" s="93" t="n">
        <x:v>477.2</x:v>
      </x:c>
      <x:c r="Q2121" s="93" t="n">
        <x:v>0</x:v>
      </x:c>
      <x:c r="R2121" s="91" t="n">
        <x:v>0</x:v>
      </x:c>
    </x:row>
    <x:row r="2122">
      <x:c r="A2122" s="83" t="n">
        <x:v>2121</x:v>
      </x:c>
      <x:c r="B2122" s="84" t="str">
        <x:v>OS-2025-02121</x:v>
      </x:c>
      <x:c r="C2122" s="84" t="n">
        <x:v>66</x:v>
      </x:c>
      <x:c r="D2122" s="84" t="n">
        <x:v>7</x:v>
      </x:c>
      <x:c r="E2122" s="84" t="n">
        <x:v>131</x:v>
      </x:c>
      <x:c r="F2122" s="89" t="n">
        <x:v>45724.58329861111</x:v>
      </x:c>
      <x:c r="G2122" s="89" t="n">
        <x:v>45735.58329861111</x:v>
      </x:c>
      <x:c r="H2122" s="89" t="n">
        <x:v>45726.87496527778</x:v>
      </x:c>
      <x:c r="I2122" s="89" t="n">
        <x:v>45726.91663194444</x:v>
      </x:c>
      <x:c r="J2122" s="84" t="str">
        <x:v>Crítica</x:v>
      </x:c>
      <x:c r="K2122" s="84" t="str">
        <x:v>Concluída</x:v>
      </x:c>
      <x:c r="L2122" s="84" t="str">
        <x:v>Superaquecimento</x:v>
      </x:c>
      <x:c r="M2122" s="84" t="str">
        <x:v>Ajuste incorreto</x:v>
      </x:c>
      <x:c r="N2122" s="84" t="str">
        <x:v>Componente ajustado ou substituído</x:v>
      </x:c>
      <x:c r="O2122" s="84" t="n">
        <x:v>0</x:v>
      </x:c>
      <x:c r="P2122" s="93" t="n">
        <x:v>207.34</x:v>
      </x:c>
      <x:c r="Q2122" s="93" t="n">
        <x:v>6914.16</x:v>
      </x:c>
      <x:c r="R2122" s="91" t="n">
        <x:v>0</x:v>
      </x:c>
    </x:row>
    <x:row r="2123">
      <x:c r="A2123" s="83" t="n">
        <x:v>2122</x:v>
      </x:c>
      <x:c r="B2123" s="84" t="str">
        <x:v>OS-2024-02122</x:v>
      </x:c>
      <x:c r="C2123" s="84" t="n">
        <x:v>8</x:v>
      </x:c>
      <x:c r="D2123" s="84" t="n">
        <x:v>7</x:v>
      </x:c>
      <x:c r="E2123" s="84" t="n">
        <x:v>16</x:v>
      </x:c>
      <x:c r="F2123" s="89" t="n">
        <x:v>45633.439259259256</x:v>
      </x:c>
      <x:c r="G2123" s="89" t="n">
        <x:v>45647.439259259256</x:v>
      </x:c>
      <x:c r="H2123" s="89" t="n">
        <x:v>45634.439259259256</x:v>
      </x:c>
      <x:c r="I2123" s="89" t="n">
        <x:v>45634.64759259259</x:v>
      </x:c>
      <x:c r="J2123" s="84" t="str">
        <x:v>Média</x:v>
      </x:c>
      <x:c r="K2123" s="84" t="str">
        <x:v>Encerrada</x:v>
      </x:c>
      <x:c r="L2123" s="84" t="str">
        <x:v>Superaquecimento</x:v>
      </x:c>
      <x:c r="M2123" s="84" t="str">
        <x:v>Conexão frouxa</x:v>
      </x:c>
      <x:c r="N2123" s="84" t="str">
        <x:v>Componente ajustado ou substituído</x:v>
      </x:c>
      <x:c r="O2123" s="84" t="n">
        <x:v>0</x:v>
      </x:c>
      <x:c r="P2123" s="93" t="n">
        <x:v>228.7</x:v>
      </x:c>
      <x:c r="Q2123" s="93" t="n">
        <x:v>14631.8</x:v>
      </x:c>
      <x:c r="R2123" s="91" t="n">
        <x:v>0</x:v>
      </x:c>
    </x:row>
    <x:row r="2124">
      <x:c r="A2124" s="83" t="n">
        <x:v>2123</x:v>
      </x:c>
      <x:c r="B2124" s="84" t="str">
        <x:v>OS-2024-02123</x:v>
      </x:c>
      <x:c r="C2124" s="84" t="n">
        <x:v>77</x:v>
      </x:c>
      <x:c r="D2124" s="84" t="n">
        <x:v>1</x:v>
      </x:c>
      <x:c r="E2124" s="84" t="n">
        <x:v>154</x:v>
      </x:c>
      <x:c r="F2124" s="89" t="n">
        <x:v>45293.11246527778</x:v>
      </x:c>
      <x:c r="G2124" s="89" t="n">
        <x:v>45300.11246527778</x:v>
      </x:c>
      <x:c r="H2124" s="89" t="n">
        <x:v>45294.029131944444</x:v>
      </x:c>
      <x:c r="I2124" s="89" t="n">
        <x:v>45294.529131944444</x:v>
      </x:c>
      <x:c r="J2124" s="84" t="str">
        <x:v>Baixa</x:v>
      </x:c>
      <x:c r="K2124" s="84" t="str">
        <x:v>Encerrada</x:v>
      </x:c>
      <x:c r="L2124" s="84" t="str">
        <x:v>Superaquecimento</x:v>
      </x:c>
      <x:c r="M2124" s="84" t="str">
        <x:v>Falta de lubrificação</x:v>
      </x:c>
      <x:c r="N2124" s="84" t="str">
        <x:v>Componente ajustado ou substituído</x:v>
      </x:c>
      <x:c r="O2124" s="84" t="n">
        <x:v>0</x:v>
      </x:c>
      <x:c r="P2124" s="93" t="n">
        <x:v>565.9</x:v>
      </x:c>
      <x:c r="Q2124" s="93" t="n">
        <x:v>0</x:v>
      </x:c>
      <x:c r="R2124" s="91" t="n">
        <x:v>0</x:v>
      </x:c>
    </x:row>
    <x:row r="2125">
      <x:c r="A2125" s="83" t="n">
        <x:v>2124</x:v>
      </x:c>
      <x:c r="B2125" s="84" t="str">
        <x:v>OS-2024-02124</x:v>
      </x:c>
      <x:c r="C2125" s="84" t="n">
        <x:v>82</x:v>
      </x:c>
      <x:c r="D2125" s="84" t="n">
        <x:v>1</x:v>
      </x:c>
      <x:c r="E2125" s="84" t="n">
        <x:v>163</x:v>
      </x:c>
      <x:c r="F2125" s="89" t="n">
        <x:v>45406.40980324074</x:v>
      </x:c>
      <x:c r="G2125" s="89" t="n">
        <x:v>45411.40980324074</x:v>
      </x:c>
      <x:c r="H2125" s="89" t="n">
        <x:v>45407.701469907406</x:v>
      </x:c>
      <x:c r="I2125" s="89" t="n">
        <x:v>45408.40980324074</x:v>
      </x:c>
      <x:c r="J2125" s="84" t="str">
        <x:v>Alta</x:v>
      </x:c>
      <x:c r="K2125" s="84" t="str">
        <x:v>Encerrada</x:v>
      </x:c>
      <x:c r="L2125" s="84" t="str">
        <x:v>Desalinhamento</x:v>
      </x:c>
      <x:c r="M2125" s="84" t="str">
        <x:v>Desgaste natural</x:v>
      </x:c>
      <x:c r="N2125" s="84" t="str">
        <x:v>Componente ajustado ou substituído</x:v>
      </x:c>
      <x:c r="O2125" s="84" t="n">
        <x:v>0</x:v>
      </x:c>
      <x:c r="P2125" s="93" t="n">
        <x:v>418.85</x:v>
      </x:c>
      <x:c r="Q2125" s="93" t="n">
        <x:v>7258.44</x:v>
      </x:c>
      <x:c r="R2125" s="91" t="n">
        <x:v>0</x:v>
      </x:c>
    </x:row>
    <x:row r="2126">
      <x:c r="A2126" s="83" t="n">
        <x:v>2125</x:v>
      </x:c>
      <x:c r="B2126" s="84" t="str">
        <x:v>OS-2024-02125</x:v>
      </x:c>
      <x:c r="C2126" s="84" t="n">
        <x:v>58</x:v>
      </x:c>
      <x:c r="D2126" s="84" t="n">
        <x:v>1</x:v>
      </x:c>
      <x:c r="E2126" s="84" t="n">
        <x:v>115</x:v>
      </x:c>
      <x:c r="F2126" s="89" t="n">
        <x:v>45469.575740740744</x:v>
      </x:c>
      <x:c r="G2126" s="89" t="n">
        <x:v>45472.575740740744</x:v>
      </x:c>
      <x:c r="H2126" s="89" t="n">
        <x:v>45470.575740740744</x:v>
      </x:c>
      <x:c r="I2126" s="89" t="n">
        <x:v>45470.90907407407</x:v>
      </x:c>
      <x:c r="J2126" s="84" t="str">
        <x:v>Alta</x:v>
      </x:c>
      <x:c r="K2126" s="84" t="str">
        <x:v>Encerrada</x:v>
      </x:c>
      <x:c r="L2126" s="84" t="str">
        <x:v>Baixa pressão</x:v>
      </x:c>
      <x:c r="M2126" s="84" t="str">
        <x:v>Contaminação</x:v>
      </x:c>
      <x:c r="N2126" s="84" t="str">
        <x:v>Componente ajustado ou substituído</x:v>
      </x:c>
      <x:c r="O2126" s="84" t="n">
        <x:v>0</x:v>
      </x:c>
      <x:c r="P2126" s="93" t="n">
        <x:v>112.86</x:v>
      </x:c>
      <x:c r="Q2126" s="93" t="n">
        <x:v>12280.13</x:v>
      </x:c>
      <x:c r="R2126" s="91" t="n">
        <x:v>0</x:v>
      </x:c>
    </x:row>
    <x:row r="2127">
      <x:c r="A2127" s="83" t="n">
        <x:v>2126</x:v>
      </x:c>
      <x:c r="B2127" s="84" t="str">
        <x:v>OS-2024-02126</x:v>
      </x:c>
      <x:c r="C2127" s="84" t="n">
        <x:v>37</x:v>
      </x:c>
      <x:c r="D2127" s="84" t="n">
        <x:v>3</x:v>
      </x:c>
      <x:c r="E2127" s="84"/>
      <x:c r="F2127" s="89" t="n">
        <x:v>45581.52012731481</x:v>
      </x:c>
      <x:c r="G2127" s="89"/>
      <x:c r="H2127" s="89" t="n">
        <x:v>45584.02012731481</x:v>
      </x:c>
      <x:c r="I2127" s="89"/>
      <x:c r="J2127" s="84" t="str">
        <x:v>Baixa</x:v>
      </x:c>
      <x:c r="K2127" s="84" t="str">
        <x:v>Aguardando peça</x:v>
      </x:c>
      <x:c r="L2127" s="84" t="str">
        <x:v>Baixa pressão</x:v>
      </x:c>
      <x:c r="M2127" s="84" t="str">
        <x:v>Componente danificado</x:v>
      </x:c>
      <x:c r="N2127" s="84"/>
      <x:c r="O2127" s="84" t="n">
        <x:v>0</x:v>
      </x:c>
      <x:c r="P2127" s="93" t="n">
        <x:v>145.66</x:v>
      </x:c>
      <x:c r="Q2127" s="93" t="n">
        <x:v>0</x:v>
      </x:c>
      <x:c r="R2127" s="91" t="n">
        <x:v>2402.29</x:v>
      </x:c>
    </x:row>
    <x:row r="2128">
      <x:c r="A2128" s="83" t="n">
        <x:v>2127</x:v>
      </x:c>
      <x:c r="B2128" s="84" t="str">
        <x:v>OS-2023-02127</x:v>
      </x:c>
      <x:c r="C2128" s="84" t="n">
        <x:v>14</x:v>
      </x:c>
      <x:c r="D2128" s="84" t="n">
        <x:v>1</x:v>
      </x:c>
      <x:c r="E2128" s="84" t="n">
        <x:v>27</x:v>
      </x:c>
      <x:c r="F2128" s="89" t="n">
        <x:v>45053.793657407405</x:v>
      </x:c>
      <x:c r="G2128" s="89" t="n">
        <x:v>45060.793657407405</x:v>
      </x:c>
      <x:c r="H2128" s="89" t="n">
        <x:v>45053.87699074074</x:v>
      </x:c>
      <x:c r="I2128" s="89" t="n">
        <x:v>45053.960324074076</x:v>
      </x:c>
      <x:c r="J2128" s="84" t="str">
        <x:v>Alta</x:v>
      </x:c>
      <x:c r="K2128" s="84" t="str">
        <x:v>Encerrada</x:v>
      </x:c>
      <x:c r="L2128" s="84" t="str">
        <x:v>Alarme intermitente</x:v>
      </x:c>
      <x:c r="M2128" s="84" t="str">
        <x:v>Ajuste incorreto</x:v>
      </x:c>
      <x:c r="N2128" s="84" t="str">
        <x:v>Componente ajustado ou substituído</x:v>
      </x:c>
      <x:c r="O2128" s="84" t="n">
        <x:v>0</x:v>
      </x:c>
      <x:c r="P2128" s="93" t="n">
        <x:v>742.26</x:v>
      </x:c>
      <x:c r="Q2128" s="93" t="n">
        <x:v>10144.84</x:v>
      </x:c>
      <x:c r="R2128" s="91" t="n">
        <x:v>4185.4</x:v>
      </x:c>
    </x:row>
    <x:row r="2129">
      <x:c r="A2129" s="83" t="n">
        <x:v>2128</x:v>
      </x:c>
      <x:c r="B2129" s="84" t="str">
        <x:v>OS-2025-02128</x:v>
      </x:c>
      <x:c r="C2129" s="84" t="n">
        <x:v>74</x:v>
      </x:c>
      <x:c r="D2129" s="84" t="n">
        <x:v>1</x:v>
      </x:c>
      <x:c r="E2129" s="84" t="n">
        <x:v>147</x:v>
      </x:c>
      <x:c r="F2129" s="89" t="n">
        <x:v>45917.037986111114</x:v>
      </x:c>
      <x:c r="G2129" s="89" t="n">
        <x:v>45928.037986111114</x:v>
      </x:c>
      <x:c r="H2129" s="89" t="n">
        <x:v>45918.57965277778</x:v>
      </x:c>
      <x:c r="I2129" s="89" t="n">
        <x:v>45919.20465277778</x:v>
      </x:c>
      <x:c r="J2129" s="84" t="str">
        <x:v>Baixa</x:v>
      </x:c>
      <x:c r="K2129" s="84" t="str">
        <x:v>Encerrada</x:v>
      </x:c>
      <x:c r="L2129" s="84" t="str">
        <x:v>Alarme intermitente</x:v>
      </x:c>
      <x:c r="M2129" s="84" t="str">
        <x:v>Componente danificado</x:v>
      </x:c>
      <x:c r="N2129" s="84" t="str">
        <x:v>Componente ajustado ou substituído</x:v>
      </x:c>
      <x:c r="O2129" s="84" t="n">
        <x:v>0</x:v>
      </x:c>
      <x:c r="P2129" s="93" t="n">
        <x:v>162.63</x:v>
      </x:c>
      <x:c r="Q2129" s="93" t="n">
        <x:v>10377.65</x:v>
      </x:c>
      <x:c r="R2129" s="91" t="n">
        <x:v>0</x:v>
      </x:c>
    </x:row>
    <x:row r="2130">
      <x:c r="A2130" s="83" t="n">
        <x:v>2129</x:v>
      </x:c>
      <x:c r="B2130" s="84" t="str">
        <x:v>OS-2024-02129</x:v>
      </x:c>
      <x:c r="C2130" s="84" t="n">
        <x:v>5</x:v>
      </x:c>
      <x:c r="D2130" s="84" t="n">
        <x:v>6</x:v>
      </x:c>
      <x:c r="E2130" s="84"/>
      <x:c r="F2130" s="89" t="n">
        <x:v>45546.41068287037</x:v>
      </x:c>
      <x:c r="G2130" s="89" t="n">
        <x:v>45550.41068287037</x:v>
      </x:c>
      <x:c r="H2130" s="89" t="n">
        <x:v>45548.4940162037</x:v>
      </x:c>
      <x:c r="I2130" s="89" t="n">
        <x:v>45549.28568287037</x:v>
      </x:c>
      <x:c r="J2130" s="84" t="str">
        <x:v>Alta</x:v>
      </x:c>
      <x:c r="K2130" s="84" t="str">
        <x:v>Encerrada</x:v>
      </x:c>
      <x:c r="L2130" s="84" t="str">
        <x:v>Falha elétrica</x:v>
      </x:c>
      <x:c r="M2130" s="84" t="str">
        <x:v>Contaminação</x:v>
      </x:c>
      <x:c r="N2130" s="84" t="str">
        <x:v>Componente ajustado ou substituído</x:v>
      </x:c>
      <x:c r="O2130" s="84" t="n">
        <x:v>0</x:v>
      </x:c>
      <x:c r="P2130" s="93" t="n">
        <x:v>176.65</x:v>
      </x:c>
      <x:c r="Q2130" s="93" t="n">
        <x:v>10612.96</x:v>
      </x:c>
      <x:c r="R2130" s="91" t="n">
        <x:v>0</x:v>
      </x:c>
    </x:row>
    <x:row r="2131">
      <x:c r="A2131" s="83" t="n">
        <x:v>2130</x:v>
      </x:c>
      <x:c r="B2131" s="84" t="str">
        <x:v>OS-2023-02130</x:v>
      </x:c>
      <x:c r="C2131" s="84" t="n">
        <x:v>33</x:v>
      </x:c>
      <x:c r="D2131" s="84" t="n">
        <x:v>5</x:v>
      </x:c>
      <x:c r="E2131" s="84" t="n">
        <x:v>66</x:v>
      </x:c>
      <x:c r="F2131" s="89" t="n">
        <x:v>45223.74518518519</x:v>
      </x:c>
      <x:c r="G2131" s="89" t="n">
        <x:v>45237.74518518519</x:v>
      </x:c>
      <x:c r="H2131" s="89" t="n">
        <x:v>45225.91185185185</x:v>
      </x:c>
      <x:c r="I2131" s="89" t="n">
        <x:v>45226.62018518519</x:v>
      </x:c>
      <x:c r="J2131" s="84" t="str">
        <x:v>Crítica</x:v>
      </x:c>
      <x:c r="K2131" s="84" t="str">
        <x:v>Encerrada</x:v>
      </x:c>
      <x:c r="L2131" s="84" t="str">
        <x:v>Alarme intermitente</x:v>
      </x:c>
      <x:c r="M2131" s="84" t="str">
        <x:v>Conexão frouxa</x:v>
      </x:c>
      <x:c r="N2131" s="84" t="str">
        <x:v>Componente ajustado ou substituído</x:v>
      </x:c>
      <x:c r="O2131" s="84" t="n">
        <x:v>0</x:v>
      </x:c>
      <x:c r="P2131" s="93" t="n">
        <x:v>380.28</x:v>
      </x:c>
      <x:c r="Q2131" s="93" t="n">
        <x:v>5565.68</x:v>
      </x:c>
      <x:c r="R2131" s="91" t="n">
        <x:v>0</x:v>
      </x:c>
    </x:row>
    <x:row r="2132">
      <x:c r="A2132" s="83" t="n">
        <x:v>2131</x:v>
      </x:c>
      <x:c r="B2132" s="84" t="str">
        <x:v>OS-2025-02131</x:v>
      </x:c>
      <x:c r="C2132" s="84" t="n">
        <x:v>61</x:v>
      </x:c>
      <x:c r="D2132" s="84" t="n">
        <x:v>9</x:v>
      </x:c>
      <x:c r="E2132" s="84"/>
      <x:c r="F2132" s="89" t="n">
        <x:v>45830.5234375</x:v>
      </x:c>
      <x:c r="G2132" s="89" t="n">
        <x:v>45844.5234375</x:v>
      </x:c>
      <x:c r="H2132" s="89" t="n">
        <x:v>45831.231770833336</x:v>
      </x:c>
      <x:c r="I2132" s="89" t="n">
        <x:v>45831.815104166664</x:v>
      </x:c>
      <x:c r="J2132" s="84" t="str">
        <x:v>Baixa</x:v>
      </x:c>
      <x:c r="K2132" s="84" t="str">
        <x:v>Encerrada</x:v>
      </x:c>
      <x:c r="L2132" s="84" t="str">
        <x:v>Vazamento</x:v>
      </x:c>
      <x:c r="M2132" s="84" t="str">
        <x:v>Falta de lubrificação</x:v>
      </x:c>
      <x:c r="N2132" s="84" t="str">
        <x:v>Componente ajustado ou substituído</x:v>
      </x:c>
      <x:c r="O2132" s="84" t="n">
        <x:v>0</x:v>
      </x:c>
      <x:c r="P2132" s="93" t="n">
        <x:v>250.04</x:v>
      </x:c>
      <x:c r="Q2132" s="93" t="n">
        <x:v>2653.65</x:v>
      </x:c>
      <x:c r="R2132" s="91" t="n">
        <x:v>0</x:v>
      </x:c>
    </x:row>
    <x:row r="2133">
      <x:c r="A2133" s="83" t="n">
        <x:v>2132</x:v>
      </x:c>
      <x:c r="B2133" s="84" t="str">
        <x:v>OS-2023-02132</x:v>
      </x:c>
      <x:c r="C2133" s="84" t="n">
        <x:v>73</x:v>
      </x:c>
      <x:c r="D2133" s="84" t="n">
        <x:v>1</x:v>
      </x:c>
      <x:c r="E2133" s="84" t="n">
        <x:v>146</x:v>
      </x:c>
      <x:c r="F2133" s="89" t="n">
        <x:v>45018.6628587963</x:v>
      </x:c>
      <x:c r="G2133" s="89" t="n">
        <x:v>45018.6628587963</x:v>
      </x:c>
      <x:c r="H2133" s="89" t="n">
        <x:v>45018.87119212963</x:v>
      </x:c>
      <x:c r="I2133" s="89" t="n">
        <x:v>45019.24619212963</x:v>
      </x:c>
      <x:c r="J2133" s="84" t="str">
        <x:v>Alta</x:v>
      </x:c>
      <x:c r="K2133" s="84" t="str">
        <x:v>Concluída</x:v>
      </x:c>
      <x:c r="L2133" s="84" t="str">
        <x:v>Superaquecimento</x:v>
      </x:c>
      <x:c r="M2133" s="84" t="str">
        <x:v>Contaminação</x:v>
      </x:c>
      <x:c r="N2133" s="84" t="str">
        <x:v>Componente ajustado ou substituído</x:v>
      </x:c>
      <x:c r="O2133" s="84" t="n">
        <x:v>0</x:v>
      </x:c>
      <x:c r="P2133" s="93" t="n">
        <x:v>747.96</x:v>
      </x:c>
      <x:c r="Q2133" s="93" t="n">
        <x:v>0</x:v>
      </x:c>
      <x:c r="R2133" s="91" t="n">
        <x:v>0</x:v>
      </x:c>
    </x:row>
    <x:row r="2134">
      <x:c r="A2134" s="83" t="n">
        <x:v>2133</x:v>
      </x:c>
      <x:c r="B2134" s="84" t="str">
        <x:v>OS-2024-02133</x:v>
      </x:c>
      <x:c r="C2134" s="84" t="n">
        <x:v>73</x:v>
      </x:c>
      <x:c r="D2134" s="84" t="n">
        <x:v>7</x:v>
      </x:c>
      <x:c r="E2134" s="84" t="n">
        <x:v>146</x:v>
      </x:c>
      <x:c r="F2134" s="89" t="n">
        <x:v>45555.20193287037</x:v>
      </x:c>
      <x:c r="G2134" s="89" t="n">
        <x:v>45570.20193287037</x:v>
      </x:c>
      <x:c r="H2134" s="89" t="n">
        <x:v>45557.70193287037</x:v>
      </x:c>
      <x:c r="I2134" s="89" t="n">
        <x:v>45557.82693287037</x:v>
      </x:c>
      <x:c r="J2134" s="84" t="str">
        <x:v>Baixa</x:v>
      </x:c>
      <x:c r="K2134" s="84" t="str">
        <x:v>Encerrada</x:v>
      </x:c>
      <x:c r="L2134" s="84" t="str">
        <x:v>Superaquecimento</x:v>
      </x:c>
      <x:c r="M2134" s="84" t="str">
        <x:v>Desgaste natural</x:v>
      </x:c>
      <x:c r="N2134" s="84" t="str">
        <x:v>Componente ajustado ou substituído</x:v>
      </x:c>
      <x:c r="O2134" s="84" t="n">
        <x:v>0</x:v>
      </x:c>
      <x:c r="P2134" s="93" t="n">
        <x:v>562.9</x:v>
      </x:c>
      <x:c r="Q2134" s="93" t="n">
        <x:v>4405.38</x:v>
      </x:c>
      <x:c r="R2134" s="91" t="n">
        <x:v>0</x:v>
      </x:c>
    </x:row>
    <x:row r="2135">
      <x:c r="A2135" s="83" t="n">
        <x:v>2134</x:v>
      </x:c>
      <x:c r="B2135" s="84" t="str">
        <x:v>OS-2024-02134</x:v>
      </x:c>
      <x:c r="C2135" s="84" t="n">
        <x:v>5</x:v>
      </x:c>
      <x:c r="D2135" s="84" t="n">
        <x:v>4</x:v>
      </x:c>
      <x:c r="E2135" s="84"/>
      <x:c r="F2135" s="89" t="n">
        <x:v>45332.71952546296</x:v>
      </x:c>
      <x:c r="G2135" s="89" t="n">
        <x:v>45344.71952546296</x:v>
      </x:c>
      <x:c r="H2135" s="89" t="n">
        <x:v>45334.3028587963</x:v>
      </x:c>
      <x:c r="I2135" s="89" t="n">
        <x:v>45334.96952546296</x:v>
      </x:c>
      <x:c r="J2135" s="84" t="str">
        <x:v>Crítica</x:v>
      </x:c>
      <x:c r="K2135" s="84" t="str">
        <x:v>Encerrada</x:v>
      </x:c>
      <x:c r="L2135" s="84" t="str">
        <x:v>Ruído anormal</x:v>
      </x:c>
      <x:c r="M2135" s="84" t="str">
        <x:v>Conexão frouxa</x:v>
      </x:c>
      <x:c r="N2135" s="84" t="str">
        <x:v>Componente ajustado ou substituído</x:v>
      </x:c>
      <x:c r="O2135" s="84" t="n">
        <x:v>0</x:v>
      </x:c>
      <x:c r="P2135" s="93" t="n">
        <x:v>302.38</x:v>
      </x:c>
      <x:c r="Q2135" s="93" t="n">
        <x:v>0</x:v>
      </x:c>
      <x:c r="R2135" s="91" t="n">
        <x:v>9484.24</x:v>
      </x:c>
    </x:row>
    <x:row r="2136">
      <x:c r="A2136" s="83" t="n">
        <x:v>2135</x:v>
      </x:c>
      <x:c r="B2136" s="84" t="str">
        <x:v>OS-2024-02135</x:v>
      </x:c>
      <x:c r="C2136" s="84" t="n">
        <x:v>49</x:v>
      </x:c>
      <x:c r="D2136" s="84" t="n">
        <x:v>3</x:v>
      </x:c>
      <x:c r="E2136" s="84"/>
      <x:c r="F2136" s="89" t="n">
        <x:v>45587.976689814815</x:v>
      </x:c>
      <x:c r="G2136" s="89"/>
      <x:c r="H2136" s="89" t="n">
        <x:v>45588.31002314815</x:v>
      </x:c>
      <x:c r="I2136" s="89" t="n">
        <x:v>45589.01835648148</x:v>
      </x:c>
      <x:c r="J2136" s="84" t="str">
        <x:v>Alta</x:v>
      </x:c>
      <x:c r="K2136" s="84" t="str">
        <x:v>Encerrada</x:v>
      </x:c>
      <x:c r="L2136" s="84" t="str">
        <x:v>Vazamento</x:v>
      </x:c>
      <x:c r="M2136" s="84" t="str">
        <x:v>Ajuste incorreto</x:v>
      </x:c>
      <x:c r="N2136" s="84" t="str">
        <x:v>Componente ajustado ou substituído</x:v>
      </x:c>
      <x:c r="O2136" s="84" t="n">
        <x:v>0</x:v>
      </x:c>
      <x:c r="P2136" s="93" t="n">
        <x:v>191.94</x:v>
      </x:c>
      <x:c r="Q2136" s="93" t="n">
        <x:v>0</x:v>
      </x:c>
      <x:c r="R2136" s="91" t="n">
        <x:v>1512.57</x:v>
      </x:c>
    </x:row>
    <x:row r="2137">
      <x:c r="A2137" s="83" t="n">
        <x:v>2136</x:v>
      </x:c>
      <x:c r="B2137" s="84" t="str">
        <x:v>OS-2023-02136</x:v>
      </x:c>
      <x:c r="C2137" s="84" t="n">
        <x:v>51</x:v>
      </x:c>
      <x:c r="D2137" s="84" t="n">
        <x:v>5</x:v>
      </x:c>
      <x:c r="E2137" s="84" t="n">
        <x:v>101</x:v>
      </x:c>
      <x:c r="F2137" s="89" t="n">
        <x:v>45113.444606481484</x:v>
      </x:c>
      <x:c r="G2137" s="89" t="n">
        <x:v>45116.444606481484</x:v>
      </x:c>
      <x:c r="H2137" s="89" t="n">
        <x:v>45114.944606481484</x:v>
      </x:c>
      <x:c r="I2137" s="89" t="n">
        <x:v>45115.02793981481</x:v>
      </x:c>
      <x:c r="J2137" s="84" t="str">
        <x:v>Média</x:v>
      </x:c>
      <x:c r="K2137" s="84" t="str">
        <x:v>Encerrada</x:v>
      </x:c>
      <x:c r="L2137" s="84" t="str">
        <x:v>Falha elétrica</x:v>
      </x:c>
      <x:c r="M2137" s="84" t="str">
        <x:v>Contaminação</x:v>
      </x:c>
      <x:c r="N2137" s="84" t="str">
        <x:v>Componente ajustado ou substituído</x:v>
      </x:c>
      <x:c r="O2137" s="84" t="n">
        <x:v>0</x:v>
      </x:c>
      <x:c r="P2137" s="93" t="n">
        <x:v>333.45</x:v>
      </x:c>
      <x:c r="Q2137" s="93" t="n">
        <x:v>20694.8</x:v>
      </x:c>
      <x:c r="R2137" s="91" t="n">
        <x:v>0</x:v>
      </x:c>
    </x:row>
    <x:row r="2138">
      <x:c r="A2138" s="83" t="n">
        <x:v>2137</x:v>
      </x:c>
      <x:c r="B2138" s="84" t="str">
        <x:v>OS-2025-02137</x:v>
      </x:c>
      <x:c r="C2138" s="84" t="n">
        <x:v>75</x:v>
      </x:c>
      <x:c r="D2138" s="84" t="n">
        <x:v>1</x:v>
      </x:c>
      <x:c r="E2138" s="84" t="n">
        <x:v>149</x:v>
      </x:c>
      <x:c r="F2138" s="89" t="n">
        <x:v>46010.99030092593</x:v>
      </x:c>
      <x:c r="G2138" s="89" t="n">
        <x:v>46018.99030092593</x:v>
      </x:c>
      <x:c r="H2138" s="89" t="n">
        <x:v>46011.03196759259</x:v>
      </x:c>
      <x:c r="I2138" s="89" t="n">
        <x:v>46011.82363425926</x:v>
      </x:c>
      <x:c r="J2138" s="84" t="str">
        <x:v>Média</x:v>
      </x:c>
      <x:c r="K2138" s="84" t="str">
        <x:v>Encerrada</x:v>
      </x:c>
      <x:c r="L2138" s="84" t="str">
        <x:v>Alarme intermitente</x:v>
      </x:c>
      <x:c r="M2138" s="84" t="str">
        <x:v>Conexão frouxa</x:v>
      </x:c>
      <x:c r="N2138" s="84" t="str">
        <x:v>Componente ajustado ou substituído</x:v>
      </x:c>
      <x:c r="O2138" s="84" t="n">
        <x:v>0</x:v>
      </x:c>
      <x:c r="P2138" s="93" t="n">
        <x:v>180.18</x:v>
      </x:c>
      <x:c r="Q2138" s="93" t="n">
        <x:v>351.44</x:v>
      </x:c>
      <x:c r="R2138" s="91" t="n">
        <x:v>0</x:v>
      </x:c>
    </x:row>
    <x:row r="2139">
      <x:c r="A2139" s="83" t="n">
        <x:v>2138</x:v>
      </x:c>
      <x:c r="B2139" s="84" t="str">
        <x:v>OS-2025-02138</x:v>
      </x:c>
      <x:c r="C2139" s="84" t="n">
        <x:v>63</x:v>
      </x:c>
      <x:c r="D2139" s="84" t="n">
        <x:v>2</x:v>
      </x:c>
      <x:c r="E2139" s="84"/>
      <x:c r="F2139" s="89" t="n">
        <x:v>45846.100810185184</x:v>
      </x:c>
      <x:c r="G2139" s="89" t="n">
        <x:v>45854.100810185184</x:v>
      </x:c>
      <x:c r="H2139" s="89" t="n">
        <x:v>45847.725810185184</x:v>
      </x:c>
      <x:c r="I2139" s="89" t="n">
        <x:v>45847.767476851855</x:v>
      </x:c>
      <x:c r="J2139" s="84" t="str">
        <x:v>Alta</x:v>
      </x:c>
      <x:c r="K2139" s="84" t="str">
        <x:v>Encerrada</x:v>
      </x:c>
      <x:c r="L2139" s="84" t="str">
        <x:v>Falha elétrica</x:v>
      </x:c>
      <x:c r="M2139" s="84" t="str">
        <x:v>Desgaste natural</x:v>
      </x:c>
      <x:c r="N2139" s="84" t="str">
        <x:v>Componente ajustado ou substituído</x:v>
      </x:c>
      <x:c r="O2139" s="84" t="n">
        <x:v>1</x:v>
      </x:c>
      <x:c r="P2139" s="93" t="n">
        <x:v>342.81</x:v>
      </x:c>
      <x:c r="Q2139" s="93" t="n">
        <x:v>0</x:v>
      </x:c>
      <x:c r="R2139" s="91" t="n">
        <x:v>0</x:v>
      </x:c>
    </x:row>
    <x:row r="2140">
      <x:c r="A2140" s="83" t="n">
        <x:v>2139</x:v>
      </x:c>
      <x:c r="B2140" s="84" t="str">
        <x:v>OS-2025-02139</x:v>
      </x:c>
      <x:c r="C2140" s="84" t="n">
        <x:v>86</x:v>
      </x:c>
      <x:c r="D2140" s="84" t="n">
        <x:v>2</x:v>
      </x:c>
      <x:c r="E2140" s="84"/>
      <x:c r="F2140" s="89" t="n">
        <x:v>45733.92965277778</x:v>
      </x:c>
      <x:c r="G2140" s="89" t="n">
        <x:v>45738.92965277778</x:v>
      </x:c>
      <x:c r="H2140" s="89"/>
      <x:c r="I2140" s="89"/>
      <x:c r="J2140" s="84" t="str">
        <x:v>Média</x:v>
      </x:c>
      <x:c r="K2140" s="84" t="str">
        <x:v>Planejada</x:v>
      </x:c>
      <x:c r="L2140" s="84" t="str">
        <x:v>Baixa pressão</x:v>
      </x:c>
      <x:c r="M2140" s="84"/>
      <x:c r="N2140" s="84"/>
      <x:c r="O2140" s="84" t="n">
        <x:v>0</x:v>
      </x:c>
      <x:c r="P2140" s="93" t="n">
        <x:v>0</x:v>
      </x:c>
      <x:c r="Q2140" s="93" t="n">
        <x:v>0</x:v>
      </x:c>
      <x:c r="R2140" s="91" t="n">
        <x:v>0</x:v>
      </x:c>
    </x:row>
    <x:row r="2141">
      <x:c r="A2141" s="83" t="n">
        <x:v>2140</x:v>
      </x:c>
      <x:c r="B2141" s="84" t="str">
        <x:v>OS-2023-02140</x:v>
      </x:c>
      <x:c r="C2141" s="84" t="n">
        <x:v>89</x:v>
      </x:c>
      <x:c r="D2141" s="84" t="n">
        <x:v>6</x:v>
      </x:c>
      <x:c r="E2141" s="84"/>
      <x:c r="F2141" s="89" t="n">
        <x:v>45156.58938657407</x:v>
      </x:c>
      <x:c r="G2141" s="89" t="n">
        <x:v>45157.58938657407</x:v>
      </x:c>
      <x:c r="H2141" s="89" t="n">
        <x:v>45159.54771990741</x:v>
      </x:c>
      <x:c r="I2141" s="89" t="n">
        <x:v>45160.21438657407</x:v>
      </x:c>
      <x:c r="J2141" s="84" t="str">
        <x:v>Alta</x:v>
      </x:c>
      <x:c r="K2141" s="84" t="str">
        <x:v>Encerrada</x:v>
      </x:c>
      <x:c r="L2141" s="84" t="str">
        <x:v>Vazamento</x:v>
      </x:c>
      <x:c r="M2141" s="84" t="str">
        <x:v>Conexão frouxa</x:v>
      </x:c>
      <x:c r="N2141" s="84" t="str">
        <x:v>Componente ajustado ou substituído</x:v>
      </x:c>
      <x:c r="O2141" s="84" t="n">
        <x:v>1</x:v>
      </x:c>
      <x:c r="P2141" s="93" t="n">
        <x:v>233.82</x:v>
      </x:c>
      <x:c r="Q2141" s="93" t="n">
        <x:v>568.98</x:v>
      </x:c>
      <x:c r="R2141" s="91" t="n">
        <x:v>0</x:v>
      </x:c>
    </x:row>
    <x:row r="2142">
      <x:c r="A2142" s="83" t="n">
        <x:v>2141</x:v>
      </x:c>
      <x:c r="B2142" s="84" t="str">
        <x:v>OS-2024-02141</x:v>
      </x:c>
      <x:c r="C2142" s="84" t="n">
        <x:v>70</x:v>
      </x:c>
      <x:c r="D2142" s="84" t="n">
        <x:v>4</x:v>
      </x:c>
      <x:c r="E2142" s="84"/>
      <x:c r="F2142" s="89" t="n">
        <x:v>45590.6108912037</x:v>
      </x:c>
      <x:c r="G2142" s="89" t="n">
        <x:v>45599.6108912037</x:v>
      </x:c>
      <x:c r="H2142" s="89" t="n">
        <x:v>45590.77755787037</x:v>
      </x:c>
      <x:c r="I2142" s="89" t="n">
        <x:v>45591.1108912037</x:v>
      </x:c>
      <x:c r="J2142" s="84" t="str">
        <x:v>Média</x:v>
      </x:c>
      <x:c r="K2142" s="84" t="str">
        <x:v>Concluída</x:v>
      </x:c>
      <x:c r="L2142" s="84" t="str">
        <x:v>Desalinhamento</x:v>
      </x:c>
      <x:c r="M2142" s="84" t="str">
        <x:v>Falta de lubrificação</x:v>
      </x:c>
      <x:c r="N2142" s="84" t="str">
        <x:v>Componente ajustado ou substituído</x:v>
      </x:c>
      <x:c r="O2142" s="84" t="n">
        <x:v>0</x:v>
      </x:c>
      <x:c r="P2142" s="93" t="n">
        <x:v>214.36</x:v>
      </x:c>
      <x:c r="Q2142" s="93" t="n">
        <x:v>874.86</x:v>
      </x:c>
      <x:c r="R2142" s="91" t="n">
        <x:v>0</x:v>
      </x:c>
    </x:row>
    <x:row r="2143">
      <x:c r="A2143" s="83" t="n">
        <x:v>2142</x:v>
      </x:c>
      <x:c r="B2143" s="84" t="str">
        <x:v>OS-2024-02142</x:v>
      </x:c>
      <x:c r="C2143" s="84" t="n">
        <x:v>76</x:v>
      </x:c>
      <x:c r="D2143" s="84" t="n">
        <x:v>7</x:v>
      </x:c>
      <x:c r="E2143" s="84" t="n">
        <x:v>151</x:v>
      </x:c>
      <x:c r="F2143" s="89" t="n">
        <x:v>45461.44422453704</x:v>
      </x:c>
      <x:c r="G2143" s="89" t="n">
        <x:v>45470.44422453704</x:v>
      </x:c>
      <x:c r="H2143" s="89" t="n">
        <x:v>45462.65255787037</x:v>
      </x:c>
      <x:c r="I2143" s="89" t="n">
        <x:v>45462.7358912037</x:v>
      </x:c>
      <x:c r="J2143" s="84" t="str">
        <x:v>Baixa</x:v>
      </x:c>
      <x:c r="K2143" s="84" t="str">
        <x:v>Encerrada</x:v>
      </x:c>
      <x:c r="L2143" s="84" t="str">
        <x:v>Superaquecimento</x:v>
      </x:c>
      <x:c r="M2143" s="84" t="str">
        <x:v>Desgaste natural</x:v>
      </x:c>
      <x:c r="N2143" s="84" t="str">
        <x:v>Componente ajustado ou substituído</x:v>
      </x:c>
      <x:c r="O2143" s="84" t="n">
        <x:v>0</x:v>
      </x:c>
      <x:c r="P2143" s="93" t="n">
        <x:v>296.52</x:v>
      </x:c>
      <x:c r="Q2143" s="93" t="n">
        <x:v>9403.51</x:v>
      </x:c>
      <x:c r="R2143" s="91" t="n">
        <x:v>5735.2</x:v>
      </x:c>
    </x:row>
    <x:row r="2144">
      <x:c r="A2144" s="83" t="n">
        <x:v>2143</x:v>
      </x:c>
      <x:c r="B2144" s="84" t="str">
        <x:v>OS-2024-02143</x:v>
      </x:c>
      <x:c r="C2144" s="84" t="n">
        <x:v>4</x:v>
      </x:c>
      <x:c r="D2144" s="84" t="n">
        <x:v>2</x:v>
      </x:c>
      <x:c r="E2144" s="84"/>
      <x:c r="F2144" s="89" t="n">
        <x:v>45621.40820601852</x:v>
      </x:c>
      <x:c r="G2144" s="89" t="n">
        <x:v>45628.40820601852</x:v>
      </x:c>
      <x:c r="H2144" s="89" t="n">
        <x:v>45622.11653935185</x:v>
      </x:c>
      <x:c r="I2144" s="89" t="n">
        <x:v>45622.32487268518</x:v>
      </x:c>
      <x:c r="J2144" s="84" t="str">
        <x:v>Baixa</x:v>
      </x:c>
      <x:c r="K2144" s="84" t="str">
        <x:v>Encerrada</x:v>
      </x:c>
      <x:c r="L2144" s="84" t="str">
        <x:v>Falha elétrica</x:v>
      </x:c>
      <x:c r="M2144" s="84" t="str">
        <x:v>Desgaste natural</x:v>
      </x:c>
      <x:c r="N2144" s="84" t="str">
        <x:v>Componente ajustado ou substituído</x:v>
      </x:c>
      <x:c r="O2144" s="84" t="n">
        <x:v>0</x:v>
      </x:c>
      <x:c r="P2144" s="93" t="n">
        <x:v>453.83</x:v>
      </x:c>
      <x:c r="Q2144" s="93" t="n">
        <x:v>0</x:v>
      </x:c>
      <x:c r="R2144" s="91" t="n">
        <x:v>0</x:v>
      </x:c>
    </x:row>
    <x:row r="2145">
      <x:c r="A2145" s="83" t="n">
        <x:v>2144</x:v>
      </x:c>
      <x:c r="B2145" s="84" t="str">
        <x:v>OS-2024-02144</x:v>
      </x:c>
      <x:c r="C2145" s="84" t="n">
        <x:v>29</x:v>
      </x:c>
      <x:c r="D2145" s="84" t="n">
        <x:v>8</x:v>
      </x:c>
      <x:c r="E2145" s="84"/>
      <x:c r="F2145" s="89" t="n">
        <x:v>45430.593298611115</x:v>
      </x:c>
      <x:c r="G2145" s="89" t="n">
        <x:v>45430.593298611115</x:v>
      </x:c>
      <x:c r="H2145" s="89" t="n">
        <x:v>45430.718298611115</x:v>
      </x:c>
      <x:c r="I2145" s="89" t="n">
        <x:v>45431.00996527778</x:v>
      </x:c>
      <x:c r="J2145" s="84" t="str">
        <x:v>Média</x:v>
      </x:c>
      <x:c r="K2145" s="84" t="str">
        <x:v>Encerrada</x:v>
      </x:c>
      <x:c r="L2145" s="84" t="str">
        <x:v>Falha elétrica</x:v>
      </x:c>
      <x:c r="M2145" s="84" t="str">
        <x:v>Contaminação</x:v>
      </x:c>
      <x:c r="N2145" s="84" t="str">
        <x:v>Componente ajustado ou substituído</x:v>
      </x:c>
      <x:c r="O2145" s="84" t="n">
        <x:v>0</x:v>
      </x:c>
      <x:c r="P2145" s="93" t="n">
        <x:v>241.27</x:v>
      </x:c>
      <x:c r="Q2145" s="93" t="n">
        <x:v>3208.2</x:v>
      </x:c>
      <x:c r="R2145" s="91" t="n">
        <x:v>0</x:v>
      </x:c>
    </x:row>
    <x:row r="2146">
      <x:c r="A2146" s="83" t="n">
        <x:v>2145</x:v>
      </x:c>
      <x:c r="B2146" s="84" t="str">
        <x:v>OS-2024-02145</x:v>
      </x:c>
      <x:c r="C2146" s="84" t="n">
        <x:v>14</x:v>
      </x:c>
      <x:c r="D2146" s="84" t="n">
        <x:v>5</x:v>
      </x:c>
      <x:c r="E2146" s="84" t="n">
        <x:v>27</x:v>
      </x:c>
      <x:c r="F2146" s="89" t="n">
        <x:v>45463.982256944444</x:v>
      </x:c>
      <x:c r="G2146" s="89" t="n">
        <x:v>45468.982256944444</x:v>
      </x:c>
      <x:c r="H2146" s="89" t="n">
        <x:v>45466.81559027778</x:v>
      </x:c>
      <x:c r="I2146" s="89" t="n">
        <x:v>45467.39892361111</x:v>
      </x:c>
      <x:c r="J2146" s="84" t="str">
        <x:v>Baixa</x:v>
      </x:c>
      <x:c r="K2146" s="84" t="str">
        <x:v>Encerrada</x:v>
      </x:c>
      <x:c r="L2146" s="84" t="str">
        <x:v>Baixa pressão</x:v>
      </x:c>
      <x:c r="M2146" s="84" t="str">
        <x:v>Desgaste natural</x:v>
      </x:c>
      <x:c r="N2146" s="84" t="str">
        <x:v>Componente ajustado ou substituído</x:v>
      </x:c>
      <x:c r="O2146" s="84" t="n">
        <x:v>0</x:v>
      </x:c>
      <x:c r="P2146" s="93" t="n">
        <x:v>218.71</x:v>
      </x:c>
      <x:c r="Q2146" s="93" t="n">
        <x:v>4582.83</x:v>
      </x:c>
      <x:c r="R2146" s="91" t="n">
        <x:v>0</x:v>
      </x:c>
    </x:row>
    <x:row r="2147">
      <x:c r="A2147" s="83" t="n">
        <x:v>2146</x:v>
      </x:c>
      <x:c r="B2147" s="84" t="str">
        <x:v>OS-2024-02146</x:v>
      </x:c>
      <x:c r="C2147" s="84" t="n">
        <x:v>47</x:v>
      </x:c>
      <x:c r="D2147" s="84" t="n">
        <x:v>6</x:v>
      </x:c>
      <x:c r="E2147" s="84"/>
      <x:c r="F2147" s="89" t="n">
        <x:v>45509.41185185185</x:v>
      </x:c>
      <x:c r="G2147" s="89" t="n">
        <x:v>45511.41185185185</x:v>
      </x:c>
      <x:c r="H2147" s="89"/>
      <x:c r="I2147" s="89"/>
      <x:c r="J2147" s="84" t="str">
        <x:v>Crítica</x:v>
      </x:c>
      <x:c r="K2147" s="84" t="str">
        <x:v>Planejada</x:v>
      </x:c>
      <x:c r="L2147" s="84" t="str">
        <x:v>Ruído anormal</x:v>
      </x:c>
      <x:c r="M2147" s="84"/>
      <x:c r="N2147" s="84"/>
      <x:c r="O2147" s="84" t="n">
        <x:v>0</x:v>
      </x:c>
      <x:c r="P2147" s="93" t="n">
        <x:v>0</x:v>
      </x:c>
      <x:c r="Q2147" s="93" t="n">
        <x:v>0</x:v>
      </x:c>
      <x:c r="R2147" s="91" t="n">
        <x:v>0</x:v>
      </x:c>
    </x:row>
    <x:row r="2148">
      <x:c r="A2148" s="83" t="n">
        <x:v>2147</x:v>
      </x:c>
      <x:c r="B2148" s="84" t="str">
        <x:v>OS-2023-02147</x:v>
      </x:c>
      <x:c r="C2148" s="84" t="n">
        <x:v>61</x:v>
      </x:c>
      <x:c r="D2148" s="84" t="n">
        <x:v>5</x:v>
      </x:c>
      <x:c r="E2148" s="84" t="n">
        <x:v>121</x:v>
      </x:c>
      <x:c r="F2148" s="89" t="n">
        <x:v>45288.579201388886</x:v>
      </x:c>
      <x:c r="G2148" s="89" t="n">
        <x:v>45288.579201388886</x:v>
      </x:c>
      <x:c r="H2148" s="89" t="n">
        <x:v>45290.079201388886</x:v>
      </x:c>
      <x:c r="I2148" s="89" t="n">
        <x:v>45290.62086805556</x:v>
      </x:c>
      <x:c r="J2148" s="84" t="str">
        <x:v>Crítica</x:v>
      </x:c>
      <x:c r="K2148" s="84" t="str">
        <x:v>Encerrada</x:v>
      </x:c>
      <x:c r="L2148" s="84" t="str">
        <x:v>Alarme intermitente</x:v>
      </x:c>
      <x:c r="M2148" s="84" t="str">
        <x:v>Desgaste natural</x:v>
      </x:c>
      <x:c r="N2148" s="84" t="str">
        <x:v>Componente ajustado ou substituído</x:v>
      </x:c>
      <x:c r="O2148" s="84" t="n">
        <x:v>0</x:v>
      </x:c>
      <x:c r="P2148" s="93" t="n">
        <x:v>685.94</x:v>
      </x:c>
      <x:c r="Q2148" s="93" t="n">
        <x:v>7359.96</x:v>
      </x:c>
      <x:c r="R2148" s="91" t="n">
        <x:v>0</x:v>
      </x:c>
    </x:row>
    <x:row r="2149">
      <x:c r="A2149" s="83" t="n">
        <x:v>2148</x:v>
      </x:c>
      <x:c r="B2149" s="84" t="str">
        <x:v>OS-2024-02148</x:v>
      </x:c>
      <x:c r="C2149" s="84" t="n">
        <x:v>39</x:v>
      </x:c>
      <x:c r="D2149" s="84" t="n">
        <x:v>5</x:v>
      </x:c>
      <x:c r="E2149" s="84" t="n">
        <x:v>77</x:v>
      </x:c>
      <x:c r="F2149" s="89" t="n">
        <x:v>45622.76258101852</x:v>
      </x:c>
      <x:c r="G2149" s="89" t="n">
        <x:v>45633.76258101852</x:v>
      </x:c>
      <x:c r="H2149" s="89" t="n">
        <x:v>45623.054247685184</x:v>
      </x:c>
      <x:c r="I2149" s="89" t="n">
        <x:v>45623.804247685184</x:v>
      </x:c>
      <x:c r="J2149" s="84" t="str">
        <x:v>Média</x:v>
      </x:c>
      <x:c r="K2149" s="84" t="str">
        <x:v>Encerrada</x:v>
      </x:c>
      <x:c r="L2149" s="84" t="str">
        <x:v>Baixa pressão</x:v>
      </x:c>
      <x:c r="M2149" s="84" t="str">
        <x:v>Conexão frouxa</x:v>
      </x:c>
      <x:c r="N2149" s="84" t="str">
        <x:v>Componente ajustado ou substituído</x:v>
      </x:c>
      <x:c r="O2149" s="84" t="n">
        <x:v>0</x:v>
      </x:c>
      <x:c r="P2149" s="93" t="n">
        <x:v>833</x:v>
      </x:c>
      <x:c r="Q2149" s="93" t="n">
        <x:v>567.2</x:v>
      </x:c>
      <x:c r="R2149" s="91" t="n">
        <x:v>0</x:v>
      </x:c>
    </x:row>
    <x:row r="2150">
      <x:c r="A2150" s="83" t="n">
        <x:v>2149</x:v>
      </x:c>
      <x:c r="B2150" s="84" t="str">
        <x:v>OS-2025-02149</x:v>
      </x:c>
      <x:c r="C2150" s="84" t="n">
        <x:v>27</x:v>
      </x:c>
      <x:c r="D2150" s="84" t="n">
        <x:v>3</x:v>
      </x:c>
      <x:c r="E2150" s="84"/>
      <x:c r="F2150" s="89" t="n">
        <x:v>45869.74865740741</x:v>
      </x:c>
      <x:c r="G2150" s="89"/>
      <x:c r="H2150" s="89" t="n">
        <x:v>45872.62365740741</x:v>
      </x:c>
      <x:c r="I2150" s="89" t="n">
        <x:v>45872.74865740741</x:v>
      </x:c>
      <x:c r="J2150" s="84" t="str">
        <x:v>Média</x:v>
      </x:c>
      <x:c r="K2150" s="84" t="str">
        <x:v>Encerrada</x:v>
      </x:c>
      <x:c r="L2150" s="84" t="str">
        <x:v>Baixa pressão</x:v>
      </x:c>
      <x:c r="M2150" s="84" t="str">
        <x:v>Desgaste natural</x:v>
      </x:c>
      <x:c r="N2150" s="84" t="str">
        <x:v>Componente ajustado ou substituído</x:v>
      </x:c>
      <x:c r="O2150" s="84" t="n">
        <x:v>0</x:v>
      </x:c>
      <x:c r="P2150" s="93" t="n">
        <x:v>267.95</x:v>
      </x:c>
      <x:c r="Q2150" s="93" t="n">
        <x:v>1372.8</x:v>
      </x:c>
      <x:c r="R2150" s="91" t="n">
        <x:v>11389.98</x:v>
      </x:c>
    </x:row>
    <x:row r="2151">
      <x:c r="A2151" s="83" t="n">
        <x:v>2150</x:v>
      </x:c>
      <x:c r="B2151" s="84" t="str">
        <x:v>OS-2025-02150</x:v>
      </x:c>
      <x:c r="C2151" s="84" t="n">
        <x:v>51</x:v>
      </x:c>
      <x:c r="D2151" s="84" t="n">
        <x:v>1</x:v>
      </x:c>
      <x:c r="E2151" s="84" t="n">
        <x:v>101</x:v>
      </x:c>
      <x:c r="F2151" s="89" t="n">
        <x:v>45754.10045138889</x:v>
      </x:c>
      <x:c r="G2151" s="89" t="n">
        <x:v>45769.10045138889</x:v>
      </x:c>
      <x:c r="H2151" s="89" t="n">
        <x:v>45755.267118055555</x:v>
      </x:c>
      <x:c r="I2151" s="89" t="n">
        <x:v>45756.05878472222</x:v>
      </x:c>
      <x:c r="J2151" s="84" t="str">
        <x:v>Alta</x:v>
      </x:c>
      <x:c r="K2151" s="84" t="str">
        <x:v>Encerrada</x:v>
      </x:c>
      <x:c r="L2151" s="84" t="str">
        <x:v>Alarme intermitente</x:v>
      </x:c>
      <x:c r="M2151" s="84" t="str">
        <x:v>Falta de lubrificação</x:v>
      </x:c>
      <x:c r="N2151" s="84" t="str">
        <x:v>Componente ajustado ou substituído</x:v>
      </x:c>
      <x:c r="O2151" s="84" t="n">
        <x:v>0</x:v>
      </x:c>
      <x:c r="P2151" s="93" t="n">
        <x:v>535.34</x:v>
      </x:c>
      <x:c r="Q2151" s="93" t="n">
        <x:v>0</x:v>
      </x:c>
      <x:c r="R2151" s="91" t="n">
        <x:v>0</x:v>
      </x:c>
    </x:row>
    <x:row r="2152">
      <x:c r="A2152" s="83" t="n">
        <x:v>2151</x:v>
      </x:c>
      <x:c r="B2152" s="84" t="str">
        <x:v>OS-2024-02151</x:v>
      </x:c>
      <x:c r="C2152" s="84" t="n">
        <x:v>19</x:v>
      </x:c>
      <x:c r="D2152" s="84" t="n">
        <x:v>3</x:v>
      </x:c>
      <x:c r="E2152" s="84"/>
      <x:c r="F2152" s="89" t="n">
        <x:v>45599.215416666666</x:v>
      </x:c>
      <x:c r="G2152" s="89"/>
      <x:c r="H2152" s="89" t="n">
        <x:v>45600.00708333333</x:v>
      </x:c>
      <x:c r="I2152" s="89" t="n">
        <x:v>45600.840416666666</x:v>
      </x:c>
      <x:c r="J2152" s="84" t="str">
        <x:v>Crítica</x:v>
      </x:c>
      <x:c r="K2152" s="84" t="str">
        <x:v>Concluída</x:v>
      </x:c>
      <x:c r="L2152" s="84" t="str">
        <x:v>Desalinhamento</x:v>
      </x:c>
      <x:c r="M2152" s="84" t="str">
        <x:v>Falta de lubrificação</x:v>
      </x:c>
      <x:c r="N2152" s="84" t="str">
        <x:v>Componente ajustado ou substituído</x:v>
      </x:c>
      <x:c r="O2152" s="84" t="n">
        <x:v>0</x:v>
      </x:c>
      <x:c r="P2152" s="93" t="n">
        <x:v>505.22</x:v>
      </x:c>
      <x:c r="Q2152" s="93" t="n">
        <x:v>4885.16</x:v>
      </x:c>
      <x:c r="R2152" s="91" t="n">
        <x:v>0</x:v>
      </x:c>
    </x:row>
    <x:row r="2153">
      <x:c r="A2153" s="83" t="n">
        <x:v>2152</x:v>
      </x:c>
      <x:c r="B2153" s="84" t="str">
        <x:v>OS-2023-02152</x:v>
      </x:c>
      <x:c r="C2153" s="84" t="n">
        <x:v>36</x:v>
      </x:c>
      <x:c r="D2153" s="84" t="n">
        <x:v>1</x:v>
      </x:c>
      <x:c r="E2153" s="84" t="n">
        <x:v>72</x:v>
      </x:c>
      <x:c r="F2153" s="89" t="n">
        <x:v>45250.83342592593</x:v>
      </x:c>
      <x:c r="G2153" s="89" t="n">
        <x:v>45253.83342592593</x:v>
      </x:c>
      <x:c r="H2153" s="89" t="n">
        <x:v>45250.87509259259</x:v>
      </x:c>
      <x:c r="I2153" s="89" t="n">
        <x:v>45251.58342592593</x:v>
      </x:c>
      <x:c r="J2153" s="84" t="str">
        <x:v>Alta</x:v>
      </x:c>
      <x:c r="K2153" s="84" t="str">
        <x:v>Concluída</x:v>
      </x:c>
      <x:c r="L2153" s="84" t="str">
        <x:v>Vazamento</x:v>
      </x:c>
      <x:c r="M2153" s="84" t="str">
        <x:v>Desgaste natural</x:v>
      </x:c>
      <x:c r="N2153" s="84" t="str">
        <x:v>Componente ajustado ou substituído</x:v>
      </x:c>
      <x:c r="O2153" s="84" t="n">
        <x:v>0</x:v>
      </x:c>
      <x:c r="P2153" s="93" t="n">
        <x:v>768.83</x:v>
      </x:c>
      <x:c r="Q2153" s="93" t="n">
        <x:v>8001.87</x:v>
      </x:c>
      <x:c r="R2153" s="91" t="n">
        <x:v>0</x:v>
      </x:c>
    </x:row>
    <x:row r="2154">
      <x:c r="A2154" s="83" t="n">
        <x:v>2153</x:v>
      </x:c>
      <x:c r="B2154" s="84" t="str">
        <x:v>OS-2023-02153</x:v>
      </x:c>
      <x:c r="C2154" s="84" t="n">
        <x:v>2</x:v>
      </x:c>
      <x:c r="D2154" s="84" t="n">
        <x:v>3</x:v>
      </x:c>
      <x:c r="E2154" s="84"/>
      <x:c r="F2154" s="89" t="n">
        <x:v>45134.20962962963</x:v>
      </x:c>
      <x:c r="G2154" s="89"/>
      <x:c r="H2154" s="89" t="n">
        <x:v>45136.626296296294</x:v>
      </x:c>
      <x:c r="I2154" s="89" t="n">
        <x:v>45137.45962962963</x:v>
      </x:c>
      <x:c r="J2154" s="84" t="str">
        <x:v>Crítica</x:v>
      </x:c>
      <x:c r="K2154" s="84" t="str">
        <x:v>Concluída</x:v>
      </x:c>
      <x:c r="L2154" s="84" t="str">
        <x:v>Desalinhamento</x:v>
      </x:c>
      <x:c r="M2154" s="84" t="str">
        <x:v>Falta de lubrificação</x:v>
      </x:c>
      <x:c r="N2154" s="84" t="str">
        <x:v>Componente ajustado ou substituído</x:v>
      </x:c>
      <x:c r="O2154" s="84" t="n">
        <x:v>0</x:v>
      </x:c>
      <x:c r="P2154" s="93" t="n">
        <x:v>214.44</x:v>
      </x:c>
      <x:c r="Q2154" s="93" t="n">
        <x:v>4762.98</x:v>
      </x:c>
      <x:c r="R2154" s="91" t="n">
        <x:v>0</x:v>
      </x:c>
    </x:row>
    <x:row r="2155">
      <x:c r="A2155" s="83" t="n">
        <x:v>2154</x:v>
      </x:c>
      <x:c r="B2155" s="84" t="str">
        <x:v>OS-2025-02154</x:v>
      </x:c>
      <x:c r="C2155" s="84" t="n">
        <x:v>33</x:v>
      </x:c>
      <x:c r="D2155" s="84" t="n">
        <x:v>6</x:v>
      </x:c>
      <x:c r="E2155" s="84"/>
      <x:c r="F2155" s="89" t="n">
        <x:v>45935.190520833334</x:v>
      </x:c>
      <x:c r="G2155" s="89" t="n">
        <x:v>45945.190520833334</x:v>
      </x:c>
      <x:c r="H2155" s="89"/>
      <x:c r="I2155" s="89"/>
      <x:c r="J2155" s="84" t="str">
        <x:v>Crítica</x:v>
      </x:c>
      <x:c r="K2155" s="84" t="str">
        <x:v>Planejada</x:v>
      </x:c>
      <x:c r="L2155" s="84" t="str">
        <x:v>Alarme intermitente</x:v>
      </x:c>
      <x:c r="M2155" s="84"/>
      <x:c r="N2155" s="84"/>
      <x:c r="O2155" s="84" t="n">
        <x:v>0</x:v>
      </x:c>
      <x:c r="P2155" s="93" t="n">
        <x:v>0</x:v>
      </x:c>
      <x:c r="Q2155" s="93" t="n">
        <x:v>0</x:v>
      </x:c>
      <x:c r="R2155" s="91" t="n">
        <x:v>0</x:v>
      </x:c>
    </x:row>
    <x:row r="2156">
      <x:c r="A2156" s="83" t="n">
        <x:v>2155</x:v>
      </x:c>
      <x:c r="B2156" s="84" t="str">
        <x:v>OS-2024-02155</x:v>
      </x:c>
      <x:c r="C2156" s="84" t="n">
        <x:v>29</x:v>
      </x:c>
      <x:c r="D2156" s="84" t="n">
        <x:v>5</x:v>
      </x:c>
      <x:c r="E2156" s="84" t="n">
        <x:v>58</x:v>
      </x:c>
      <x:c r="F2156" s="89" t="n">
        <x:v>45320.02546296296</x:v>
      </x:c>
      <x:c r="G2156" s="89" t="n">
        <x:v>45321.02546296296</x:v>
      </x:c>
      <x:c r="H2156" s="89" t="n">
        <x:v>45322.44212962963</x:v>
      </x:c>
      <x:c r="I2156" s="89" t="n">
        <x:v>45323.15046296296</x:v>
      </x:c>
      <x:c r="J2156" s="84" t="str">
        <x:v>Crítica</x:v>
      </x:c>
      <x:c r="K2156" s="84" t="str">
        <x:v>Concluída</x:v>
      </x:c>
      <x:c r="L2156" s="84" t="str">
        <x:v>Desalinhamento</x:v>
      </x:c>
      <x:c r="M2156" s="84" t="str">
        <x:v>Ajuste incorreto</x:v>
      </x:c>
      <x:c r="N2156" s="84" t="str">
        <x:v>Componente ajustado ou substituído</x:v>
      </x:c>
      <x:c r="O2156" s="84" t="n">
        <x:v>0</x:v>
      </x:c>
      <x:c r="P2156" s="93" t="n">
        <x:v>47.14</x:v>
      </x:c>
      <x:c r="Q2156" s="93" t="n">
        <x:v>1355.2</x:v>
      </x:c>
      <x:c r="R2156" s="91" t="n">
        <x:v>3753.82</x:v>
      </x:c>
    </x:row>
    <x:row r="2157">
      <x:c r="A2157" s="83" t="n">
        <x:v>2156</x:v>
      </x:c>
      <x:c r="B2157" s="84" t="str">
        <x:v>OS-2023-02156</x:v>
      </x:c>
      <x:c r="C2157" s="84" t="n">
        <x:v>55</x:v>
      </x:c>
      <x:c r="D2157" s="84" t="n">
        <x:v>1</x:v>
      </x:c>
      <x:c r="E2157" s="84" t="n">
        <x:v>109</x:v>
      </x:c>
      <x:c r="F2157" s="89" t="n">
        <x:v>45078.428402777776</x:v>
      </x:c>
      <x:c r="G2157" s="89" t="n">
        <x:v>45079.428402777776</x:v>
      </x:c>
      <x:c r="H2157" s="89" t="n">
        <x:v>45078.84506944445</x:v>
      </x:c>
      <x:c r="I2157" s="89" t="n">
        <x:v>45079.47006944445</x:v>
      </x:c>
      <x:c r="J2157" s="84" t="str">
        <x:v>Média</x:v>
      </x:c>
      <x:c r="K2157" s="84" t="str">
        <x:v>Encerrada</x:v>
      </x:c>
      <x:c r="L2157" s="84" t="str">
        <x:v>Superaquecimento</x:v>
      </x:c>
      <x:c r="M2157" s="84" t="str">
        <x:v>Desgaste natural</x:v>
      </x:c>
      <x:c r="N2157" s="84" t="str">
        <x:v>Componente ajustado ou substituído</x:v>
      </x:c>
      <x:c r="O2157" s="84" t="n">
        <x:v>0</x:v>
      </x:c>
      <x:c r="P2157" s="93" t="n">
        <x:v>176.81</x:v>
      </x:c>
      <x:c r="Q2157" s="93" t="n">
        <x:v>0</x:v>
      </x:c>
      <x:c r="R2157" s="91" t="n">
        <x:v>0</x:v>
      </x:c>
    </x:row>
    <x:row r="2158">
      <x:c r="A2158" s="83" t="n">
        <x:v>2157</x:v>
      </x:c>
      <x:c r="B2158" s="84" t="str">
        <x:v>OS-2023-02157</x:v>
      </x:c>
      <x:c r="C2158" s="84" t="n">
        <x:v>23</x:v>
      </x:c>
      <x:c r="D2158" s="84" t="n">
        <x:v>6</x:v>
      </x:c>
      <x:c r="E2158" s="84"/>
      <x:c r="F2158" s="89" t="n">
        <x:v>45003.088912037034</x:v>
      </x:c>
      <x:c r="G2158" s="89" t="n">
        <x:v>45006.088912037034</x:v>
      </x:c>
      <x:c r="H2158" s="89" t="n">
        <x:v>45006.088912037034</x:v>
      </x:c>
      <x:c r="I2158" s="89" t="n">
        <x:v>45006.380578703705</x:v>
      </x:c>
      <x:c r="J2158" s="84" t="str">
        <x:v>Baixa</x:v>
      </x:c>
      <x:c r="K2158" s="84" t="str">
        <x:v>Concluída</x:v>
      </x:c>
      <x:c r="L2158" s="84" t="str">
        <x:v>Alarme intermitente</x:v>
      </x:c>
      <x:c r="M2158" s="84" t="str">
        <x:v>Componente danificado</x:v>
      </x:c>
      <x:c r="N2158" s="84" t="str">
        <x:v>Componente ajustado ou substituído</x:v>
      </x:c>
      <x:c r="O2158" s="84" t="n">
        <x:v>0</x:v>
      </x:c>
      <x:c r="P2158" s="93" t="n">
        <x:v>467.23</x:v>
      </x:c>
      <x:c r="Q2158" s="93" t="n">
        <x:v>13862.96</x:v>
      </x:c>
      <x:c r="R2158" s="91" t="n">
        <x:v>0</x:v>
      </x:c>
    </x:row>
    <x:row r="2159">
      <x:c r="A2159" s="83" t="n">
        <x:v>2158</x:v>
      </x:c>
      <x:c r="B2159" s="84" t="str">
        <x:v>OS-2025-02158</x:v>
      </x:c>
      <x:c r="C2159" s="84" t="n">
        <x:v>18</x:v>
      </x:c>
      <x:c r="D2159" s="84" t="n">
        <x:v>7</x:v>
      </x:c>
      <x:c r="E2159" s="84" t="n">
        <x:v>36</x:v>
      </x:c>
      <x:c r="F2159" s="89" t="n">
        <x:v>45907.02767361111</x:v>
      </x:c>
      <x:c r="G2159" s="89" t="n">
        <x:v>45920.02767361111</x:v>
      </x:c>
      <x:c r="H2159" s="89" t="n">
        <x:v>45908.65267361111</x:v>
      </x:c>
      <x:c r="I2159" s="89" t="n">
        <x:v>45908.819340277776</x:v>
      </x:c>
      <x:c r="J2159" s="84" t="str">
        <x:v>Média</x:v>
      </x:c>
      <x:c r="K2159" s="84" t="str">
        <x:v>Concluída</x:v>
      </x:c>
      <x:c r="L2159" s="84" t="str">
        <x:v>Ruído anormal</x:v>
      </x:c>
      <x:c r="M2159" s="84" t="str">
        <x:v>Contaminação</x:v>
      </x:c>
      <x:c r="N2159" s="84" t="str">
        <x:v>Componente ajustado ou substituído</x:v>
      </x:c>
      <x:c r="O2159" s="84" t="n">
        <x:v>0</x:v>
      </x:c>
      <x:c r="P2159" s="93" t="n">
        <x:v>300.85</x:v>
      </x:c>
      <x:c r="Q2159" s="93" t="n">
        <x:v>9394.63</x:v>
      </x:c>
      <x:c r="R2159" s="91" t="n">
        <x:v>0</x:v>
      </x:c>
    </x:row>
    <x:row r="2160">
      <x:c r="A2160" s="83" t="n">
        <x:v>2159</x:v>
      </x:c>
      <x:c r="B2160" s="84" t="str">
        <x:v>OS-2025-02159</x:v>
      </x:c>
      <x:c r="C2160" s="84" t="n">
        <x:v>78</x:v>
      </x:c>
      <x:c r="D2160" s="84" t="n">
        <x:v>1</x:v>
      </x:c>
      <x:c r="E2160" s="84" t="n">
        <x:v>155</x:v>
      </x:c>
      <x:c r="F2160" s="89" t="n">
        <x:v>45778.52748842593</x:v>
      </x:c>
      <x:c r="G2160" s="89" t="n">
        <x:v>45786.52748842593</x:v>
      </x:c>
      <x:c r="H2160" s="89" t="n">
        <x:v>45781.31915509259</x:v>
      </x:c>
      <x:c r="I2160" s="89" t="n">
        <x:v>45781.77748842593</x:v>
      </x:c>
      <x:c r="J2160" s="84" t="str">
        <x:v>Média</x:v>
      </x:c>
      <x:c r="K2160" s="84" t="str">
        <x:v>Encerrada</x:v>
      </x:c>
      <x:c r="L2160" s="84" t="str">
        <x:v>Falha elétrica</x:v>
      </x:c>
      <x:c r="M2160" s="84" t="str">
        <x:v>Contaminação</x:v>
      </x:c>
      <x:c r="N2160" s="84" t="str">
        <x:v>Componente ajustado ou substituído</x:v>
      </x:c>
      <x:c r="O2160" s="84" t="n">
        <x:v>0</x:v>
      </x:c>
      <x:c r="P2160" s="93" t="n">
        <x:v>334.42</x:v>
      </x:c>
      <x:c r="Q2160" s="93" t="n">
        <x:v>0</x:v>
      </x:c>
      <x:c r="R2160" s="91" t="n">
        <x:v>0</x:v>
      </x:c>
    </x:row>
    <x:row r="2161">
      <x:c r="A2161" s="83" t="n">
        <x:v>2160</x:v>
      </x:c>
      <x:c r="B2161" s="84" t="str">
        <x:v>OS-2025-02160</x:v>
      </x:c>
      <x:c r="C2161" s="84" t="n">
        <x:v>26</x:v>
      </x:c>
      <x:c r="D2161" s="84" t="n">
        <x:v>3</x:v>
      </x:c>
      <x:c r="E2161" s="84"/>
      <x:c r="F2161" s="89" t="n">
        <x:v>45971.45185185185</x:v>
      </x:c>
      <x:c r="G2161" s="89"/>
      <x:c r="H2161" s="89" t="n">
        <x:v>45972.03518518519</x:v>
      </x:c>
      <x:c r="I2161" s="89" t="n">
        <x:v>45972.16018518519</x:v>
      </x:c>
      <x:c r="J2161" s="84" t="str">
        <x:v>Alta</x:v>
      </x:c>
      <x:c r="K2161" s="84" t="str">
        <x:v>Concluída</x:v>
      </x:c>
      <x:c r="L2161" s="84" t="str">
        <x:v>Vazamento</x:v>
      </x:c>
      <x:c r="M2161" s="84" t="str">
        <x:v>Contaminação</x:v>
      </x:c>
      <x:c r="N2161" s="84" t="str">
        <x:v>Componente ajustado ou substituído</x:v>
      </x:c>
      <x:c r="O2161" s="84" t="n">
        <x:v>0</x:v>
      </x:c>
      <x:c r="P2161" s="93" t="n">
        <x:v>692.61</x:v>
      </x:c>
      <x:c r="Q2161" s="93" t="n">
        <x:v>366.8</x:v>
      </x:c>
      <x:c r="R2161" s="91" t="n">
        <x:v>0</x:v>
      </x:c>
    </x:row>
    <x:row r="2162">
      <x:c r="A2162" s="83" t="n">
        <x:v>2161</x:v>
      </x:c>
      <x:c r="B2162" s="84" t="str">
        <x:v>OS-2023-02161</x:v>
      </x:c>
      <x:c r="C2162" s="84" t="n">
        <x:v>43</x:v>
      </x:c>
      <x:c r="D2162" s="84" t="n">
        <x:v>3</x:v>
      </x:c>
      <x:c r="E2162" s="84"/>
      <x:c r="F2162" s="89" t="n">
        <x:v>45057.67461805556</x:v>
      </x:c>
      <x:c r="G2162" s="89"/>
      <x:c r="H2162" s="89" t="n">
        <x:v>45058.59128472222</x:v>
      </x:c>
      <x:c r="I2162" s="89" t="n">
        <x:v>45059.25795138889</x:v>
      </x:c>
      <x:c r="J2162" s="84" t="str">
        <x:v>Crítica</x:v>
      </x:c>
      <x:c r="K2162" s="84" t="str">
        <x:v>Concluída</x:v>
      </x:c>
      <x:c r="L2162" s="84" t="str">
        <x:v>Falha elétrica</x:v>
      </x:c>
      <x:c r="M2162" s="84" t="str">
        <x:v>Falta de lubrificação</x:v>
      </x:c>
      <x:c r="N2162" s="84" t="str">
        <x:v>Componente ajustado ou substituído</x:v>
      </x:c>
      <x:c r="O2162" s="84" t="n">
        <x:v>1</x:v>
      </x:c>
      <x:c r="P2162" s="93" t="n">
        <x:v>93</x:v>
      </x:c>
      <x:c r="Q2162" s="93" t="n">
        <x:v>3824.9</x:v>
      </x:c>
      <x:c r="R2162" s="91" t="n">
        <x:v>0</x:v>
      </x:c>
    </x:row>
    <x:row r="2163">
      <x:c r="A2163" s="83" t="n">
        <x:v>2162</x:v>
      </x:c>
      <x:c r="B2163" s="84" t="str">
        <x:v>OS-2023-02162</x:v>
      </x:c>
      <x:c r="C2163" s="84" t="n">
        <x:v>1</x:v>
      </x:c>
      <x:c r="D2163" s="84" t="n">
        <x:v>1</x:v>
      </x:c>
      <x:c r="E2163" s="84" t="n">
        <x:v>2</x:v>
      </x:c>
      <x:c r="F2163" s="89" t="n">
        <x:v>45113.58530092592</x:v>
      </x:c>
      <x:c r="G2163" s="89" t="n">
        <x:v>45118.58530092592</x:v>
      </x:c>
      <x:c r="H2163" s="89" t="n">
        <x:v>45116.41863425926</x:v>
      </x:c>
      <x:c r="I2163" s="89" t="n">
        <x:v>45117.08530092592</x:v>
      </x:c>
      <x:c r="J2163" s="84" t="str">
        <x:v>Crítica</x:v>
      </x:c>
      <x:c r="K2163" s="84" t="str">
        <x:v>Encerrada</x:v>
      </x:c>
      <x:c r="L2163" s="84" t="str">
        <x:v>Superaquecimento</x:v>
      </x:c>
      <x:c r="M2163" s="84" t="str">
        <x:v>Ajuste incorreto</x:v>
      </x:c>
      <x:c r="N2163" s="84" t="str">
        <x:v>Componente ajustado ou substituído</x:v>
      </x:c>
      <x:c r="O2163" s="84" t="n">
        <x:v>0</x:v>
      </x:c>
      <x:c r="P2163" s="93" t="n">
        <x:v>569.68</x:v>
      </x:c>
      <x:c r="Q2163" s="93" t="n">
        <x:v>3521.07</x:v>
      </x:c>
      <x:c r="R2163" s="91" t="n">
        <x:v>0</x:v>
      </x:c>
    </x:row>
    <x:row r="2164">
      <x:c r="A2164" s="83" t="n">
        <x:v>2163</x:v>
      </x:c>
      <x:c r="B2164" s="84" t="str">
        <x:v>OS-2025-02163</x:v>
      </x:c>
      <x:c r="C2164" s="84" t="n">
        <x:v>28</x:v>
      </x:c>
      <x:c r="D2164" s="84" t="n">
        <x:v>3</x:v>
      </x:c>
      <x:c r="E2164" s="84"/>
      <x:c r="F2164" s="89" t="n">
        <x:v>46014.73421296296</x:v>
      </x:c>
      <x:c r="G2164" s="89"/>
      <x:c r="H2164" s="89" t="n">
        <x:v>46017.52587962963</x:v>
      </x:c>
      <x:c r="I2164" s="89" t="n">
        <x:v>46018.27587962963</x:v>
      </x:c>
      <x:c r="J2164" s="84" t="str">
        <x:v>Baixa</x:v>
      </x:c>
      <x:c r="K2164" s="84" t="str">
        <x:v>Encerrada</x:v>
      </x:c>
      <x:c r="L2164" s="84" t="str">
        <x:v>Alarme intermitente</x:v>
      </x:c>
      <x:c r="M2164" s="84" t="str">
        <x:v>Falta de lubrificação</x:v>
      </x:c>
      <x:c r="N2164" s="84" t="str">
        <x:v>Componente ajustado ou substituído</x:v>
      </x:c>
      <x:c r="O2164" s="84" t="n">
        <x:v>0</x:v>
      </x:c>
      <x:c r="P2164" s="93" t="n">
        <x:v>211.34</x:v>
      </x:c>
      <x:c r="Q2164" s="93" t="n">
        <x:v>2889.25</x:v>
      </x:c>
      <x:c r="R2164" s="91" t="n">
        <x:v>0</x:v>
      </x:c>
    </x:row>
    <x:row r="2165">
      <x:c r="A2165" s="83" t="n">
        <x:v>2164</x:v>
      </x:c>
      <x:c r="B2165" s="84" t="str">
        <x:v>OS-2025-02164</x:v>
      </x:c>
      <x:c r="C2165" s="84" t="n">
        <x:v>61</x:v>
      </x:c>
      <x:c r="D2165" s="84" t="n">
        <x:v>1</x:v>
      </x:c>
      <x:c r="E2165" s="84" t="n">
        <x:v>121</x:v>
      </x:c>
      <x:c r="F2165" s="89" t="n">
        <x:v>45693.56952546296</x:v>
      </x:c>
      <x:c r="G2165" s="89" t="n">
        <x:v>45698.56952546296</x:v>
      </x:c>
      <x:c r="H2165" s="89"/>
      <x:c r="I2165" s="89"/>
      <x:c r="J2165" s="84" t="str">
        <x:v>Crítica</x:v>
      </x:c>
      <x:c r="K2165" s="84" t="str">
        <x:v>Cancelada</x:v>
      </x:c>
      <x:c r="L2165" s="84" t="str">
        <x:v>Ruído anormal</x:v>
      </x:c>
      <x:c r="M2165" s="84"/>
      <x:c r="N2165" s="84"/>
      <x:c r="O2165" s="84" t="n">
        <x:v>0</x:v>
      </x:c>
      <x:c r="P2165" s="93" t="n">
        <x:v>0</x:v>
      </x:c>
      <x:c r="Q2165" s="93" t="n">
        <x:v>0</x:v>
      </x:c>
      <x:c r="R2165" s="91" t="n">
        <x:v>0</x:v>
      </x:c>
    </x:row>
    <x:row r="2166">
      <x:c r="A2166" s="83" t="n">
        <x:v>2165</x:v>
      </x:c>
      <x:c r="B2166" s="84" t="str">
        <x:v>OS-2023-02165</x:v>
      </x:c>
      <x:c r="C2166" s="84" t="n">
        <x:v>77</x:v>
      </x:c>
      <x:c r="D2166" s="84" t="n">
        <x:v>1</x:v>
      </x:c>
      <x:c r="E2166" s="84" t="n">
        <x:v>154</x:v>
      </x:c>
      <x:c r="F2166" s="89" t="n">
        <x:v>45019.88895833334</x:v>
      </x:c>
      <x:c r="G2166" s="89" t="n">
        <x:v>45027.88895833334</x:v>
      </x:c>
      <x:c r="H2166" s="89" t="n">
        <x:v>45020.13895833334</x:v>
      </x:c>
      <x:c r="I2166" s="89" t="n">
        <x:v>45020.597291666665</x:v>
      </x:c>
      <x:c r="J2166" s="84" t="str">
        <x:v>Crítica</x:v>
      </x:c>
      <x:c r="K2166" s="84" t="str">
        <x:v>Encerrada</x:v>
      </x:c>
      <x:c r="L2166" s="84" t="str">
        <x:v>Ruído anormal</x:v>
      </x:c>
      <x:c r="M2166" s="84" t="str">
        <x:v>Ajuste incorreto</x:v>
      </x:c>
      <x:c r="N2166" s="84" t="str">
        <x:v>Componente ajustado ou substituído</x:v>
      </x:c>
      <x:c r="O2166" s="84" t="n">
        <x:v>0</x:v>
      </x:c>
      <x:c r="P2166" s="93" t="n">
        <x:v>597.17</x:v>
      </x:c>
      <x:c r="Q2166" s="93" t="n">
        <x:v>0</x:v>
      </x:c>
      <x:c r="R2166" s="91" t="n">
        <x:v>0</x:v>
      </x:c>
    </x:row>
    <x:row r="2167">
      <x:c r="A2167" s="83" t="n">
        <x:v>2166</x:v>
      </x:c>
      <x:c r="B2167" s="84" t="str">
        <x:v>OS-2023-02166</x:v>
      </x:c>
      <x:c r="C2167" s="84" t="n">
        <x:v>22</x:v>
      </x:c>
      <x:c r="D2167" s="84" t="n">
        <x:v>1</x:v>
      </x:c>
      <x:c r="E2167" s="84" t="n">
        <x:v>43</x:v>
      </x:c>
      <x:c r="F2167" s="89" t="n">
        <x:v>45074.35724537037</x:v>
      </x:c>
      <x:c r="G2167" s="89" t="n">
        <x:v>45088.35724537037</x:v>
      </x:c>
      <x:c r="H2167" s="89" t="n">
        <x:v>45075.98224537037</x:v>
      </x:c>
      <x:c r="I2167" s="89" t="n">
        <x:v>45076.77391203704</x:v>
      </x:c>
      <x:c r="J2167" s="84" t="str">
        <x:v>Média</x:v>
      </x:c>
      <x:c r="K2167" s="84" t="str">
        <x:v>Encerrada</x:v>
      </x:c>
      <x:c r="L2167" s="84" t="str">
        <x:v>Ruído anormal</x:v>
      </x:c>
      <x:c r="M2167" s="84" t="str">
        <x:v>Contaminação</x:v>
      </x:c>
      <x:c r="N2167" s="84" t="str">
        <x:v>Componente ajustado ou substituído</x:v>
      </x:c>
      <x:c r="O2167" s="84" t="n">
        <x:v>0</x:v>
      </x:c>
      <x:c r="P2167" s="93" t="n">
        <x:v>993</x:v>
      </x:c>
      <x:c r="Q2167" s="93" t="n">
        <x:v>11853.24</x:v>
      </x:c>
      <x:c r="R2167" s="91" t="n">
        <x:v>0</x:v>
      </x:c>
    </x:row>
    <x:row r="2168">
      <x:c r="A2168" s="83" t="n">
        <x:v>2167</x:v>
      </x:c>
      <x:c r="B2168" s="84" t="str">
        <x:v>OS-2024-02167</x:v>
      </x:c>
      <x:c r="C2168" s="84" t="n">
        <x:v>73</x:v>
      </x:c>
      <x:c r="D2168" s="84" t="n">
        <x:v>2</x:v>
      </x:c>
      <x:c r="E2168" s="84"/>
      <x:c r="F2168" s="89" t="n">
        <x:v>45593.46199074074</x:v>
      </x:c>
      <x:c r="G2168" s="89" t="n">
        <x:v>45596.46199074074</x:v>
      </x:c>
      <x:c r="H2168" s="89" t="n">
        <x:v>45594.503657407404</x:v>
      </x:c>
      <x:c r="I2168" s="89" t="n">
        <x:v>45595.21199074074</x:v>
      </x:c>
      <x:c r="J2168" s="84" t="str">
        <x:v>Crítica</x:v>
      </x:c>
      <x:c r="K2168" s="84" t="str">
        <x:v>Concluída</x:v>
      </x:c>
      <x:c r="L2168" s="84" t="str">
        <x:v>Desalinhamento</x:v>
      </x:c>
      <x:c r="M2168" s="84" t="str">
        <x:v>Componente danificado</x:v>
      </x:c>
      <x:c r="N2168" s="84" t="str">
        <x:v>Componente ajustado ou substituído</x:v>
      </x:c>
      <x:c r="O2168" s="84" t="n">
        <x:v>0</x:v>
      </x:c>
      <x:c r="P2168" s="93" t="n">
        <x:v>548.64</x:v>
      </x:c>
      <x:c r="Q2168" s="93" t="n">
        <x:v>6991.45</x:v>
      </x:c>
      <x:c r="R2168" s="91" t="n">
        <x:v>0</x:v>
      </x:c>
    </x:row>
    <x:row r="2169">
      <x:c r="A2169" s="83" t="n">
        <x:v>2168</x:v>
      </x:c>
      <x:c r="B2169" s="84" t="str">
        <x:v>OS-2025-02168</x:v>
      </x:c>
      <x:c r="C2169" s="84" t="n">
        <x:v>56</x:v>
      </x:c>
      <x:c r="D2169" s="84" t="n">
        <x:v>2</x:v>
      </x:c>
      <x:c r="E2169" s="84"/>
      <x:c r="F2169" s="89" t="n">
        <x:v>45702.19055555556</x:v>
      </x:c>
      <x:c r="G2169" s="89" t="n">
        <x:v>45714.19055555556</x:v>
      </x:c>
      <x:c r="H2169" s="89" t="n">
        <x:v>45703.85722222222</x:v>
      </x:c>
      <x:c r="I2169" s="89" t="n">
        <x:v>45704.648888888885</x:v>
      </x:c>
      <x:c r="J2169" s="84" t="str">
        <x:v>Crítica</x:v>
      </x:c>
      <x:c r="K2169" s="84" t="str">
        <x:v>Encerrada</x:v>
      </x:c>
      <x:c r="L2169" s="84" t="str">
        <x:v>Vazamento</x:v>
      </x:c>
      <x:c r="M2169" s="84" t="str">
        <x:v>Falta de lubrificação</x:v>
      </x:c>
      <x:c r="N2169" s="84" t="str">
        <x:v>Componente ajustado ou substituído</x:v>
      </x:c>
      <x:c r="O2169" s="84" t="n">
        <x:v>0</x:v>
      </x:c>
      <x:c r="P2169" s="93" t="n">
        <x:v>113.46</x:v>
      </x:c>
      <x:c r="Q2169" s="93" t="n">
        <x:v>8232.54</x:v>
      </x:c>
      <x:c r="R2169" s="91" t="n">
        <x:v>0</x:v>
      </x:c>
    </x:row>
    <x:row r="2170">
      <x:c r="A2170" s="83" t="n">
        <x:v>2169</x:v>
      </x:c>
      <x:c r="B2170" s="84" t="str">
        <x:v>OS-2025-02169</x:v>
      </x:c>
      <x:c r="C2170" s="84" t="n">
        <x:v>39</x:v>
      </x:c>
      <x:c r="D2170" s="84" t="n">
        <x:v>7</x:v>
      </x:c>
      <x:c r="E2170" s="84" t="n">
        <x:v>78</x:v>
      </x:c>
      <x:c r="F2170" s="89" t="n">
        <x:v>45743.7753125</x:v>
      </x:c>
      <x:c r="G2170" s="89" t="n">
        <x:v>45748.7753125</x:v>
      </x:c>
      <x:c r="H2170" s="89" t="n">
        <x:v>45744.73364583333</x:v>
      </x:c>
      <x:c r="I2170" s="89" t="n">
        <x:v>45745.441979166666</x:v>
      </x:c>
      <x:c r="J2170" s="84" t="str">
        <x:v>Baixa</x:v>
      </x:c>
      <x:c r="K2170" s="84" t="str">
        <x:v>Concluída</x:v>
      </x:c>
      <x:c r="L2170" s="84" t="str">
        <x:v>Alarme intermitente</x:v>
      </x:c>
      <x:c r="M2170" s="84" t="str">
        <x:v>Falta de lubrificação</x:v>
      </x:c>
      <x:c r="N2170" s="84" t="str">
        <x:v>Componente ajustado ou substituído</x:v>
      </x:c>
      <x:c r="O2170" s="84" t="n">
        <x:v>0</x:v>
      </x:c>
      <x:c r="P2170" s="93" t="n">
        <x:v>587.13</x:v>
      </x:c>
      <x:c r="Q2170" s="93" t="n">
        <x:v>5854.96</x:v>
      </x:c>
      <x:c r="R2170" s="91" t="n">
        <x:v>0</x:v>
      </x:c>
    </x:row>
    <x:row r="2171">
      <x:c r="A2171" s="83" t="n">
        <x:v>2170</x:v>
      </x:c>
      <x:c r="B2171" s="84" t="str">
        <x:v>OS-2025-02170</x:v>
      </x:c>
      <x:c r="C2171" s="84" t="n">
        <x:v>80</x:v>
      </x:c>
      <x:c r="D2171" s="84" t="n">
        <x:v>4</x:v>
      </x:c>
      <x:c r="E2171" s="84"/>
      <x:c r="F2171" s="89" t="n">
        <x:v>45840.32597222222</x:v>
      </x:c>
      <x:c r="G2171" s="89" t="n">
        <x:v>45855.32597222222</x:v>
      </x:c>
      <x:c r="H2171" s="89" t="n">
        <x:v>45843.03430555556</x:v>
      </x:c>
      <x:c r="I2171" s="89" t="n">
        <x:v>45843.28430555556</x:v>
      </x:c>
      <x:c r="J2171" s="84" t="str">
        <x:v>Crítica</x:v>
      </x:c>
      <x:c r="K2171" s="84" t="str">
        <x:v>Encerrada</x:v>
      </x:c>
      <x:c r="L2171" s="84" t="str">
        <x:v>Falha elétrica</x:v>
      </x:c>
      <x:c r="M2171" s="84" t="str">
        <x:v>Falta de lubrificação</x:v>
      </x:c>
      <x:c r="N2171" s="84" t="str">
        <x:v>Componente ajustado ou substituído</x:v>
      </x:c>
      <x:c r="O2171" s="84" t="n">
        <x:v>0</x:v>
      </x:c>
      <x:c r="P2171" s="93" t="n">
        <x:v>507.73</x:v>
      </x:c>
      <x:c r="Q2171" s="93" t="n">
        <x:v>0</x:v>
      </x:c>
      <x:c r="R2171" s="91" t="n">
        <x:v>0</x:v>
      </x:c>
    </x:row>
    <x:row r="2172">
      <x:c r="A2172" s="83" t="n">
        <x:v>2171</x:v>
      </x:c>
      <x:c r="B2172" s="84" t="str">
        <x:v>OS-2024-02171</x:v>
      </x:c>
      <x:c r="C2172" s="84" t="n">
        <x:v>66</x:v>
      </x:c>
      <x:c r="D2172" s="84" t="n">
        <x:v>5</x:v>
      </x:c>
      <x:c r="E2172" s="84" t="n">
        <x:v>132</x:v>
      </x:c>
      <x:c r="F2172" s="89" t="n">
        <x:v>45587.99538194444</x:v>
      </x:c>
      <x:c r="G2172" s="89" t="n">
        <x:v>45592.99538194444</x:v>
      </x:c>
      <x:c r="H2172" s="89"/>
      <x:c r="I2172" s="89"/>
      <x:c r="J2172" s="84" t="str">
        <x:v>Crítica</x:v>
      </x:c>
      <x:c r="K2172" s="84" t="str">
        <x:v>Planejada</x:v>
      </x:c>
      <x:c r="L2172" s="84" t="str">
        <x:v>Superaquecimento</x:v>
      </x:c>
      <x:c r="M2172" s="84"/>
      <x:c r="N2172" s="84"/>
      <x:c r="O2172" s="84" t="n">
        <x:v>0</x:v>
      </x:c>
      <x:c r="P2172" s="93" t="n">
        <x:v>0</x:v>
      </x:c>
      <x:c r="Q2172" s="93" t="n">
        <x:v>0</x:v>
      </x:c>
      <x:c r="R2172" s="91" t="n">
        <x:v>0</x:v>
      </x:c>
    </x:row>
    <x:row r="2173">
      <x:c r="A2173" s="83" t="n">
        <x:v>2172</x:v>
      </x:c>
      <x:c r="B2173" s="84" t="str">
        <x:v>OS-2025-02172</x:v>
      </x:c>
      <x:c r="C2173" s="84" t="n">
        <x:v>43</x:v>
      </x:c>
      <x:c r="D2173" s="84" t="n">
        <x:v>1</x:v>
      </x:c>
      <x:c r="E2173" s="84" t="n">
        <x:v>86</x:v>
      </x:c>
      <x:c r="F2173" s="89" t="n">
        <x:v>45931.269270833334</x:v>
      </x:c>
      <x:c r="G2173" s="89" t="n">
        <x:v>45932.269270833334</x:v>
      </x:c>
      <x:c r="H2173" s="89" t="n">
        <x:v>45932.894270833334</x:v>
      </x:c>
      <x:c r="I2173" s="89" t="n">
        <x:v>45933.72760416667</x:v>
      </x:c>
      <x:c r="J2173" s="84" t="str">
        <x:v>Alta</x:v>
      </x:c>
      <x:c r="K2173" s="84" t="str">
        <x:v>Encerrada</x:v>
      </x:c>
      <x:c r="L2173" s="84" t="str">
        <x:v>Vazamento</x:v>
      </x:c>
      <x:c r="M2173" s="84" t="str">
        <x:v>Conexão frouxa</x:v>
      </x:c>
      <x:c r="N2173" s="84" t="str">
        <x:v>Componente ajustado ou substituído</x:v>
      </x:c>
      <x:c r="O2173" s="84" t="n">
        <x:v>0</x:v>
      </x:c>
      <x:c r="P2173" s="93" t="n">
        <x:v>294.79</x:v>
      </x:c>
      <x:c r="Q2173" s="93" t="n">
        <x:v>0</x:v>
      </x:c>
      <x:c r="R2173" s="91" t="n">
        <x:v>0</x:v>
      </x:c>
    </x:row>
    <x:row r="2174">
      <x:c r="A2174" s="83" t="n">
        <x:v>2173</x:v>
      </x:c>
      <x:c r="B2174" s="84" t="str">
        <x:v>OS-2025-02173</x:v>
      </x:c>
      <x:c r="C2174" s="84" t="n">
        <x:v>63</x:v>
      </x:c>
      <x:c r="D2174" s="84" t="n">
        <x:v>6</x:v>
      </x:c>
      <x:c r="E2174" s="84"/>
      <x:c r="F2174" s="89" t="n">
        <x:v>45822.31980324074</x:v>
      </x:c>
      <x:c r="G2174" s="89" t="n">
        <x:v>45823.31980324074</x:v>
      </x:c>
      <x:c r="H2174" s="89" t="n">
        <x:v>45824.278136574074</x:v>
      </x:c>
      <x:c r="I2174" s="89" t="n">
        <x:v>45824.86146990741</x:v>
      </x:c>
      <x:c r="J2174" s="84" t="str">
        <x:v>Alta</x:v>
      </x:c>
      <x:c r="K2174" s="84" t="str">
        <x:v>Encerrada</x:v>
      </x:c>
      <x:c r="L2174" s="84" t="str">
        <x:v>Ruído anormal</x:v>
      </x:c>
      <x:c r="M2174" s="84" t="str">
        <x:v>Desgaste natural</x:v>
      </x:c>
      <x:c r="N2174" s="84" t="str">
        <x:v>Componente ajustado ou substituído</x:v>
      </x:c>
      <x:c r="O2174" s="84" t="n">
        <x:v>0</x:v>
      </x:c>
      <x:c r="P2174" s="93" t="n">
        <x:v>76.99</x:v>
      </x:c>
      <x:c r="Q2174" s="93" t="n">
        <x:v>321.38</x:v>
      </x:c>
      <x:c r="R2174" s="91" t="n">
        <x:v>0</x:v>
      </x:c>
    </x:row>
    <x:row r="2175">
      <x:c r="A2175" s="83" t="n">
        <x:v>2174</x:v>
      </x:c>
      <x:c r="B2175" s="84" t="str">
        <x:v>OS-2025-02174</x:v>
      </x:c>
      <x:c r="C2175" s="84" t="n">
        <x:v>5</x:v>
      </x:c>
      <x:c r="D2175" s="84" t="n">
        <x:v>2</x:v>
      </x:c>
      <x:c r="E2175" s="84"/>
      <x:c r="F2175" s="89" t="n">
        <x:v>45693.52329861111</x:v>
      </x:c>
      <x:c r="G2175" s="89" t="n">
        <x:v>45708.52329861111</x:v>
      </x:c>
      <x:c r="H2175" s="89" t="n">
        <x:v>45694.64829861111</x:v>
      </x:c>
      <x:c r="I2175" s="89" t="n">
        <x:v>45694.73163194444</x:v>
      </x:c>
      <x:c r="J2175" s="84" t="str">
        <x:v>Baixa</x:v>
      </x:c>
      <x:c r="K2175" s="84" t="str">
        <x:v>Encerrada</x:v>
      </x:c>
      <x:c r="L2175" s="84" t="str">
        <x:v>Falha elétrica</x:v>
      </x:c>
      <x:c r="M2175" s="84" t="str">
        <x:v>Desgaste natural</x:v>
      </x:c>
      <x:c r="N2175" s="84" t="str">
        <x:v>Componente ajustado ou substituído</x:v>
      </x:c>
      <x:c r="O2175" s="84" t="n">
        <x:v>0</x:v>
      </x:c>
      <x:c r="P2175" s="93" t="n">
        <x:v>207.61</x:v>
      </x:c>
      <x:c r="Q2175" s="93" t="n">
        <x:v>8686.96</x:v>
      </x:c>
      <x:c r="R2175" s="91" t="n">
        <x:v>0</x:v>
      </x:c>
    </x:row>
    <x:row r="2176">
      <x:c r="A2176" s="83" t="n">
        <x:v>2175</x:v>
      </x:c>
      <x:c r="B2176" s="84" t="str">
        <x:v>OS-2024-02175</x:v>
      </x:c>
      <x:c r="C2176" s="84" t="n">
        <x:v>79</x:v>
      </x:c>
      <x:c r="D2176" s="84" t="n">
        <x:v>8</x:v>
      </x:c>
      <x:c r="E2176" s="84"/>
      <x:c r="F2176" s="89" t="n">
        <x:v>45296.99070601852</x:v>
      </x:c>
      <x:c r="G2176" s="89" t="n">
        <x:v>45309.99070601852</x:v>
      </x:c>
      <x:c r="H2176" s="89" t="n">
        <x:v>45299.36570601852</x:v>
      </x:c>
      <x:c r="I2176" s="89" t="n">
        <x:v>45300.032372685186</x:v>
      </x:c>
      <x:c r="J2176" s="84" t="str">
        <x:v>Média</x:v>
      </x:c>
      <x:c r="K2176" s="84" t="str">
        <x:v>Concluída</x:v>
      </x:c>
      <x:c r="L2176" s="84" t="str">
        <x:v>Falha elétrica</x:v>
      </x:c>
      <x:c r="M2176" s="84" t="str">
        <x:v>Desgaste natural</x:v>
      </x:c>
      <x:c r="N2176" s="84" t="str">
        <x:v>Componente ajustado ou substituído</x:v>
      </x:c>
      <x:c r="O2176" s="84" t="n">
        <x:v>0</x:v>
      </x:c>
      <x:c r="P2176" s="93" t="n">
        <x:v>180.58</x:v>
      </x:c>
      <x:c r="Q2176" s="93" t="n">
        <x:v>7030.96</x:v>
      </x:c>
      <x:c r="R2176" s="91" t="n">
        <x:v>0</x:v>
      </x:c>
    </x:row>
    <x:row r="2177">
      <x:c r="A2177" s="83" t="n">
        <x:v>2176</x:v>
      </x:c>
      <x:c r="B2177" s="84" t="str">
        <x:v>OS-2025-02176</x:v>
      </x:c>
      <x:c r="C2177" s="84" t="n">
        <x:v>1</x:v>
      </x:c>
      <x:c r="D2177" s="84" t="n">
        <x:v>1</x:v>
      </x:c>
      <x:c r="E2177" s="84" t="n">
        <x:v>1</x:v>
      </x:c>
      <x:c r="F2177" s="89" t="n">
        <x:v>45813.79329861111</x:v>
      </x:c>
      <x:c r="G2177" s="89" t="n">
        <x:v>45826.79329861111</x:v>
      </x:c>
      <x:c r="H2177" s="89" t="n">
        <x:v>45816.459965277776</x:v>
      </x:c>
      <x:c r="I2177" s="89" t="n">
        <x:v>45817.16829861111</x:v>
      </x:c>
      <x:c r="J2177" s="84" t="str">
        <x:v>Média</x:v>
      </x:c>
      <x:c r="K2177" s="84" t="str">
        <x:v>Encerrada</x:v>
      </x:c>
      <x:c r="L2177" s="84" t="str">
        <x:v>Desalinhamento</x:v>
      </x:c>
      <x:c r="M2177" s="84" t="str">
        <x:v>Contaminação</x:v>
      </x:c>
      <x:c r="N2177" s="84" t="str">
        <x:v>Componente ajustado ou substituído</x:v>
      </x:c>
      <x:c r="O2177" s="84" t="n">
        <x:v>0</x:v>
      </x:c>
      <x:c r="P2177" s="93" t="n">
        <x:v>441.08</x:v>
      </x:c>
      <x:c r="Q2177" s="93" t="n">
        <x:v>6105.12</x:v>
      </x:c>
      <x:c r="R2177" s="91" t="n">
        <x:v>0</x:v>
      </x:c>
    </x:row>
    <x:row r="2178">
      <x:c r="A2178" s="83" t="n">
        <x:v>2177</x:v>
      </x:c>
      <x:c r="B2178" s="84" t="str">
        <x:v>OS-2024-02177</x:v>
      </x:c>
      <x:c r="C2178" s="84" t="n">
        <x:v>30</x:v>
      </x:c>
      <x:c r="D2178" s="84" t="n">
        <x:v>1</x:v>
      </x:c>
      <x:c r="E2178" s="84" t="n">
        <x:v>60</x:v>
      </x:c>
      <x:c r="F2178" s="89" t="n">
        <x:v>45440.44872685185</x:v>
      </x:c>
      <x:c r="G2178" s="89" t="n">
        <x:v>45455.44872685185</x:v>
      </x:c>
      <x:c r="H2178" s="89"/>
      <x:c r="I2178" s="89"/>
      <x:c r="J2178" s="84" t="str">
        <x:v>Média</x:v>
      </x:c>
      <x:c r="K2178" s="84" t="str">
        <x:v>Planejada</x:v>
      </x:c>
      <x:c r="L2178" s="84" t="str">
        <x:v>Baixa pressão</x:v>
      </x:c>
      <x:c r="M2178" s="84"/>
      <x:c r="N2178" s="84"/>
      <x:c r="O2178" s="84" t="n">
        <x:v>0</x:v>
      </x:c>
      <x:c r="P2178" s="93" t="n">
        <x:v>0</x:v>
      </x:c>
      <x:c r="Q2178" s="93" t="n">
        <x:v>0</x:v>
      </x:c>
      <x:c r="R2178" s="91" t="n">
        <x:v>0</x:v>
      </x:c>
    </x:row>
    <x:row r="2179">
      <x:c r="A2179" s="83" t="n">
        <x:v>2178</x:v>
      </x:c>
      <x:c r="B2179" s="84" t="str">
        <x:v>OS-2025-02178</x:v>
      </x:c>
      <x:c r="C2179" s="84" t="n">
        <x:v>61</x:v>
      </x:c>
      <x:c r="D2179" s="84" t="n">
        <x:v>3</x:v>
      </x:c>
      <x:c r="E2179" s="84"/>
      <x:c r="F2179" s="89" t="n">
        <x:v>45713.32247685185</x:v>
      </x:c>
      <x:c r="G2179" s="89"/>
      <x:c r="H2179" s="89" t="n">
        <x:v>45715.94747685185</x:v>
      </x:c>
      <x:c r="I2179" s="89"/>
      <x:c r="J2179" s="84" t="str">
        <x:v>Alta</x:v>
      </x:c>
      <x:c r="K2179" s="84" t="str">
        <x:v>Aguardando peça</x:v>
      </x:c>
      <x:c r="L2179" s="84" t="str">
        <x:v>Desalinhamento</x:v>
      </x:c>
      <x:c r="M2179" s="84" t="str">
        <x:v>Ajuste incorreto</x:v>
      </x:c>
      <x:c r="N2179" s="84"/>
      <x:c r="O2179" s="84" t="n">
        <x:v>0</x:v>
      </x:c>
      <x:c r="P2179" s="93" t="n">
        <x:v>218.42</x:v>
      </x:c>
      <x:c r="Q2179" s="93" t="n">
        <x:v>0</x:v>
      </x:c>
      <x:c r="R2179" s="91" t="n">
        <x:v>0</x:v>
      </x:c>
    </x:row>
    <x:row r="2180">
      <x:c r="A2180" s="83" t="n">
        <x:v>2179</x:v>
      </x:c>
      <x:c r="B2180" s="84" t="str">
        <x:v>OS-2025-02179</x:v>
      </x:c>
      <x:c r="C2180" s="84" t="n">
        <x:v>84</x:v>
      </x:c>
      <x:c r="D2180" s="84" t="n">
        <x:v>2</x:v>
      </x:c>
      <x:c r="E2180" s="84"/>
      <x:c r="F2180" s="89" t="n">
        <x:v>45831.67355324074</x:v>
      </x:c>
      <x:c r="G2180" s="89" t="n">
        <x:v>45840.67355324074</x:v>
      </x:c>
      <x:c r="H2180" s="89" t="n">
        <x:v>45834.590219907404</x:v>
      </x:c>
      <x:c r="I2180" s="89" t="n">
        <x:v>45834.965219907404</x:v>
      </x:c>
      <x:c r="J2180" s="84" t="str">
        <x:v>Alta</x:v>
      </x:c>
      <x:c r="K2180" s="84" t="str">
        <x:v>Encerrada</x:v>
      </x:c>
      <x:c r="L2180" s="84" t="str">
        <x:v>Desalinhamento</x:v>
      </x:c>
      <x:c r="M2180" s="84" t="str">
        <x:v>Componente danificado</x:v>
      </x:c>
      <x:c r="N2180" s="84" t="str">
        <x:v>Componente ajustado ou substituído</x:v>
      </x:c>
      <x:c r="O2180" s="84" t="n">
        <x:v>0</x:v>
      </x:c>
      <x:c r="P2180" s="93" t="n">
        <x:v>136.92</x:v>
      </x:c>
      <x:c r="Q2180" s="93" t="n">
        <x:v>0</x:v>
      </x:c>
      <x:c r="R2180" s="91" t="n">
        <x:v>0</x:v>
      </x:c>
    </x:row>
    <x:row r="2181">
      <x:c r="A2181" s="83" t="n">
        <x:v>2180</x:v>
      </x:c>
      <x:c r="B2181" s="84" t="str">
        <x:v>OS-2023-02180</x:v>
      </x:c>
      <x:c r="C2181" s="84" t="n">
        <x:v>17</x:v>
      </x:c>
      <x:c r="D2181" s="84" t="n">
        <x:v>1</x:v>
      </x:c>
      <x:c r="E2181" s="84" t="n">
        <x:v>33</x:v>
      </x:c>
      <x:c r="F2181" s="89" t="n">
        <x:v>45139.021678240744</x:v>
      </x:c>
      <x:c r="G2181" s="89" t="n">
        <x:v>45139.021678240744</x:v>
      </x:c>
      <x:c r="H2181" s="89" t="n">
        <x:v>45141.43834490741</x:v>
      </x:c>
      <x:c r="I2181" s="89" t="n">
        <x:v>45142.10501157407</x:v>
      </x:c>
      <x:c r="J2181" s="84" t="str">
        <x:v>Crítica</x:v>
      </x:c>
      <x:c r="K2181" s="84" t="str">
        <x:v>Encerrada</x:v>
      </x:c>
      <x:c r="L2181" s="84" t="str">
        <x:v>Falha elétrica</x:v>
      </x:c>
      <x:c r="M2181" s="84" t="str">
        <x:v>Contaminação</x:v>
      </x:c>
      <x:c r="N2181" s="84" t="str">
        <x:v>Componente ajustado ou substituído</x:v>
      </x:c>
      <x:c r="O2181" s="84" t="n">
        <x:v>1</x:v>
      </x:c>
      <x:c r="P2181" s="93" t="n">
        <x:v>608.77</x:v>
      </x:c>
      <x:c r="Q2181" s="93" t="n">
        <x:v>7485.23</x:v>
      </x:c>
      <x:c r="R2181" s="91" t="n">
        <x:v>0</x:v>
      </x:c>
    </x:row>
    <x:row r="2182">
      <x:c r="A2182" s="83" t="n">
        <x:v>2181</x:v>
      </x:c>
      <x:c r="B2182" s="84" t="str">
        <x:v>OS-2024-02181</x:v>
      </x:c>
      <x:c r="C2182" s="84" t="n">
        <x:v>21</x:v>
      </x:c>
      <x:c r="D2182" s="84" t="n">
        <x:v>3</x:v>
      </x:c>
      <x:c r="E2182" s="84"/>
      <x:c r="F2182" s="89" t="n">
        <x:v>45414.66873842593</x:v>
      </x:c>
      <x:c r="G2182" s="89"/>
      <x:c r="H2182" s="89" t="n">
        <x:v>45417.16873842593</x:v>
      </x:c>
      <x:c r="I2182" s="89" t="n">
        <x:v>45417.71040509259</x:v>
      </x:c>
      <x:c r="J2182" s="84" t="str">
        <x:v>Crítica</x:v>
      </x:c>
      <x:c r="K2182" s="84" t="str">
        <x:v>Encerrada</x:v>
      </x:c>
      <x:c r="L2182" s="84" t="str">
        <x:v>Falha elétrica</x:v>
      </x:c>
      <x:c r="M2182" s="84" t="str">
        <x:v>Contaminação</x:v>
      </x:c>
      <x:c r="N2182" s="84" t="str">
        <x:v>Componente ajustado ou substituído</x:v>
      </x:c>
      <x:c r="O2182" s="84" t="n">
        <x:v>0</x:v>
      </x:c>
      <x:c r="P2182" s="93" t="n">
        <x:v>229.79</x:v>
      </x:c>
      <x:c r="Q2182" s="93" t="n">
        <x:v>4134.84</x:v>
      </x:c>
      <x:c r="R2182" s="91" t="n">
        <x:v>0</x:v>
      </x:c>
    </x:row>
    <x:row r="2183">
      <x:c r="A2183" s="83" t="n">
        <x:v>2182</x:v>
      </x:c>
      <x:c r="B2183" s="84" t="str">
        <x:v>OS-2025-02182</x:v>
      </x:c>
      <x:c r="C2183" s="84" t="n">
        <x:v>90</x:v>
      </x:c>
      <x:c r="D2183" s="84" t="n">
        <x:v>1</x:v>
      </x:c>
      <x:c r="E2183" s="84" t="n">
        <x:v>180</x:v>
      </x:c>
      <x:c r="F2183" s="89" t="n">
        <x:v>45921.10863425926</x:v>
      </x:c>
      <x:c r="G2183" s="89" t="n">
        <x:v>45932.10863425926</x:v>
      </x:c>
      <x:c r="H2183" s="89" t="n">
        <x:v>45921.44196759259</x:v>
      </x:c>
      <x:c r="I2183" s="89" t="n">
        <x:v>45921.56696759259</x:v>
      </x:c>
      <x:c r="J2183" s="84" t="str">
        <x:v>Baixa</x:v>
      </x:c>
      <x:c r="K2183" s="84" t="str">
        <x:v>Encerrada</x:v>
      </x:c>
      <x:c r="L2183" s="84" t="str">
        <x:v>Superaquecimento</x:v>
      </x:c>
      <x:c r="M2183" s="84" t="str">
        <x:v>Componente danificado</x:v>
      </x:c>
      <x:c r="N2183" s="84" t="str">
        <x:v>Componente ajustado ou substituído</x:v>
      </x:c>
      <x:c r="O2183" s="84" t="n">
        <x:v>1</x:v>
      </x:c>
      <x:c r="P2183" s="93" t="n">
        <x:v>258.92</x:v>
      </x:c>
      <x:c r="Q2183" s="93" t="n">
        <x:v>605.78</x:v>
      </x:c>
      <x:c r="R2183" s="91" t="n">
        <x:v>0</x:v>
      </x:c>
    </x:row>
    <x:row r="2184">
      <x:c r="A2184" s="83" t="n">
        <x:v>2183</x:v>
      </x:c>
      <x:c r="B2184" s="84" t="str">
        <x:v>OS-2025-02183</x:v>
      </x:c>
      <x:c r="C2184" s="84" t="n">
        <x:v>17</x:v>
      </x:c>
      <x:c r="D2184" s="84" t="n">
        <x:v>2</x:v>
      </x:c>
      <x:c r="E2184" s="84"/>
      <x:c r="F2184" s="89" t="n">
        <x:v>45864.86111111111</x:v>
      </x:c>
      <x:c r="G2184" s="89" t="n">
        <x:v>45877.86111111111</x:v>
      </x:c>
      <x:c r="H2184" s="89" t="n">
        <x:v>45865.73611111111</x:v>
      </x:c>
      <x:c r="I2184" s="89" t="n">
        <x:v>45866.52777777778</x:v>
      </x:c>
      <x:c r="J2184" s="84" t="str">
        <x:v>Alta</x:v>
      </x:c>
      <x:c r="K2184" s="84" t="str">
        <x:v>Concluída</x:v>
      </x:c>
      <x:c r="L2184" s="84" t="str">
        <x:v>Alarme intermitente</x:v>
      </x:c>
      <x:c r="M2184" s="84" t="str">
        <x:v>Desgaste natural</x:v>
      </x:c>
      <x:c r="N2184" s="84" t="str">
        <x:v>Componente ajustado ou substituído</x:v>
      </x:c>
      <x:c r="O2184" s="84" t="n">
        <x:v>0</x:v>
      </x:c>
      <x:c r="P2184" s="93" t="n">
        <x:v>470.23</x:v>
      </x:c>
      <x:c r="Q2184" s="93" t="n">
        <x:v>11120.19</x:v>
      </x:c>
      <x:c r="R2184" s="91" t="n">
        <x:v>0</x:v>
      </x:c>
    </x:row>
    <x:row r="2185">
      <x:c r="A2185" s="83" t="n">
        <x:v>2184</x:v>
      </x:c>
      <x:c r="B2185" s="84" t="str">
        <x:v>OS-2023-02184</x:v>
      </x:c>
      <x:c r="C2185" s="84" t="n">
        <x:v>32</x:v>
      </x:c>
      <x:c r="D2185" s="84" t="n">
        <x:v>7</x:v>
      </x:c>
      <x:c r="E2185" s="84" t="n">
        <x:v>63</x:v>
      </x:c>
      <x:c r="F2185" s="89" t="n">
        <x:v>45152.14534722222</x:v>
      </x:c>
      <x:c r="G2185" s="89" t="n">
        <x:v>45161.14534722222</x:v>
      </x:c>
      <x:c r="H2185" s="89" t="n">
        <x:v>45154.64534722222</x:v>
      </x:c>
      <x:c r="I2185" s="89" t="n">
        <x:v>45155.103680555556</x:v>
      </x:c>
      <x:c r="J2185" s="84" t="str">
        <x:v>Baixa</x:v>
      </x:c>
      <x:c r="K2185" s="84" t="str">
        <x:v>Encerrada</x:v>
      </x:c>
      <x:c r="L2185" s="84" t="str">
        <x:v>Baixa pressão</x:v>
      </x:c>
      <x:c r="M2185" s="84" t="str">
        <x:v>Componente danificado</x:v>
      </x:c>
      <x:c r="N2185" s="84" t="str">
        <x:v>Componente ajustado ou substituído</x:v>
      </x:c>
      <x:c r="O2185" s="84" t="n">
        <x:v>0</x:v>
      </x:c>
      <x:c r="P2185" s="93" t="n">
        <x:v>133.47</x:v>
      </x:c>
      <x:c r="Q2185" s="93" t="n">
        <x:v>0</x:v>
      </x:c>
      <x:c r="R2185" s="91" t="n">
        <x:v>0</x:v>
      </x:c>
    </x:row>
    <x:row r="2186">
      <x:c r="A2186" s="83" t="n">
        <x:v>2185</x:v>
      </x:c>
      <x:c r="B2186" s="84" t="str">
        <x:v>OS-2023-02185</x:v>
      </x:c>
      <x:c r="C2186" s="84" t="n">
        <x:v>76</x:v>
      </x:c>
      <x:c r="D2186" s="84" t="n">
        <x:v>5</x:v>
      </x:c>
      <x:c r="E2186" s="84" t="n">
        <x:v>152</x:v>
      </x:c>
      <x:c r="F2186" s="89" t="n">
        <x:v>44958.307708333334</x:v>
      </x:c>
      <x:c r="G2186" s="89" t="n">
        <x:v>44971.307708333334</x:v>
      </x:c>
      <x:c r="H2186" s="89" t="n">
        <x:v>44958.89104166667</x:v>
      </x:c>
      <x:c r="I2186" s="89" t="n">
        <x:v>44959.182708333334</x:v>
      </x:c>
      <x:c r="J2186" s="84" t="str">
        <x:v>Alta</x:v>
      </x:c>
      <x:c r="K2186" s="84" t="str">
        <x:v>Encerrada</x:v>
      </x:c>
      <x:c r="L2186" s="84" t="str">
        <x:v>Falha elétrica</x:v>
      </x:c>
      <x:c r="M2186" s="84" t="str">
        <x:v>Componente danificado</x:v>
      </x:c>
      <x:c r="N2186" s="84" t="str">
        <x:v>Componente ajustado ou substituído</x:v>
      </x:c>
      <x:c r="O2186" s="84" t="n">
        <x:v>0</x:v>
      </x:c>
      <x:c r="P2186" s="93" t="n">
        <x:v>116.72</x:v>
      </x:c>
      <x:c r="Q2186" s="93" t="n">
        <x:v>4046.05</x:v>
      </x:c>
      <x:c r="R2186" s="91" t="n">
        <x:v>0</x:v>
      </x:c>
    </x:row>
    <x:row r="2187">
      <x:c r="A2187" s="83" t="n">
        <x:v>2186</x:v>
      </x:c>
      <x:c r="B2187" s="84" t="str">
        <x:v>OS-2023-02186</x:v>
      </x:c>
      <x:c r="C2187" s="84" t="n">
        <x:v>42</x:v>
      </x:c>
      <x:c r="D2187" s="84" t="n">
        <x:v>1</x:v>
      </x:c>
      <x:c r="E2187" s="84" t="n">
        <x:v>84</x:v>
      </x:c>
      <x:c r="F2187" s="89" t="n">
        <x:v>45222.23101851852</x:v>
      </x:c>
      <x:c r="G2187" s="89" t="n">
        <x:v>45228.23101851852</x:v>
      </x:c>
      <x:c r="H2187" s="89" t="n">
        <x:v>45224.85601851852</x:v>
      </x:c>
      <x:c r="I2187" s="89" t="n">
        <x:v>45225.689351851855</x:v>
      </x:c>
      <x:c r="J2187" s="84" t="str">
        <x:v>Baixa</x:v>
      </x:c>
      <x:c r="K2187" s="84" t="str">
        <x:v>Concluída</x:v>
      </x:c>
      <x:c r="L2187" s="84" t="str">
        <x:v>Alarme intermitente</x:v>
      </x:c>
      <x:c r="M2187" s="84" t="str">
        <x:v>Contaminação</x:v>
      </x:c>
      <x:c r="N2187" s="84" t="str">
        <x:v>Componente ajustado ou substituído</x:v>
      </x:c>
      <x:c r="O2187" s="84" t="n">
        <x:v>0</x:v>
      </x:c>
      <x:c r="P2187" s="93" t="n">
        <x:v>144.74</x:v>
      </x:c>
      <x:c r="Q2187" s="93" t="n">
        <x:v>1728.54</x:v>
      </x:c>
      <x:c r="R2187" s="91" t="n">
        <x:v>0</x:v>
      </x:c>
    </x:row>
    <x:row r="2188">
      <x:c r="A2188" s="83" t="n">
        <x:v>2187</x:v>
      </x:c>
      <x:c r="B2188" s="84" t="str">
        <x:v>OS-2023-02187</x:v>
      </x:c>
      <x:c r="C2188" s="84" t="n">
        <x:v>82</x:v>
      </x:c>
      <x:c r="D2188" s="84" t="n">
        <x:v>1</x:v>
      </x:c>
      <x:c r="E2188" s="84" t="n">
        <x:v>163</x:v>
      </x:c>
      <x:c r="F2188" s="89" t="n">
        <x:v>44956.645219907405</x:v>
      </x:c>
      <x:c r="G2188" s="89" t="n">
        <x:v>44964.645219907405</x:v>
      </x:c>
      <x:c r="H2188" s="89" t="n">
        <x:v>44957.936886574076</x:v>
      </x:c>
      <x:c r="I2188" s="89" t="n">
        <x:v>44958.270219907405</x:v>
      </x:c>
      <x:c r="J2188" s="84" t="str">
        <x:v>Baixa</x:v>
      </x:c>
      <x:c r="K2188" s="84" t="str">
        <x:v>Concluída</x:v>
      </x:c>
      <x:c r="L2188" s="84" t="str">
        <x:v>Desalinhamento</x:v>
      </x:c>
      <x:c r="M2188" s="84" t="str">
        <x:v>Contaminação</x:v>
      </x:c>
      <x:c r="N2188" s="84" t="str">
        <x:v>Componente ajustado ou substituído</x:v>
      </x:c>
      <x:c r="O2188" s="84" t="n">
        <x:v>1</x:v>
      </x:c>
      <x:c r="P2188" s="93" t="n">
        <x:v>210.04</x:v>
      </x:c>
      <x:c r="Q2188" s="93" t="n">
        <x:v>2456.73</x:v>
      </x:c>
      <x:c r="R2188" s="91" t="n">
        <x:v>0</x:v>
      </x:c>
    </x:row>
    <x:row r="2189">
      <x:c r="A2189" s="83" t="n">
        <x:v>2188</x:v>
      </x:c>
      <x:c r="B2189" s="84" t="str">
        <x:v>OS-2024-02188</x:v>
      </x:c>
      <x:c r="C2189" s="84" t="n">
        <x:v>39</x:v>
      </x:c>
      <x:c r="D2189" s="84" t="n">
        <x:v>2</x:v>
      </x:c>
      <x:c r="E2189" s="84"/>
      <x:c r="F2189" s="89" t="n">
        <x:v>45456.065254629626</x:v>
      </x:c>
      <x:c r="G2189" s="89" t="n">
        <x:v>45463.065254629626</x:v>
      </x:c>
      <x:c r="H2189" s="89" t="n">
        <x:v>45458.440254629626</x:v>
      </x:c>
      <x:c r="I2189" s="89" t="n">
        <x:v>45458.77358796296</x:v>
      </x:c>
      <x:c r="J2189" s="84" t="str">
        <x:v>Alta</x:v>
      </x:c>
      <x:c r="K2189" s="84" t="str">
        <x:v>Encerrada</x:v>
      </x:c>
      <x:c r="L2189" s="84" t="str">
        <x:v>Vazamento</x:v>
      </x:c>
      <x:c r="M2189" s="84" t="str">
        <x:v>Componente danificado</x:v>
      </x:c>
      <x:c r="N2189" s="84" t="str">
        <x:v>Componente ajustado ou substituído</x:v>
      </x:c>
      <x:c r="O2189" s="84" t="n">
        <x:v>0</x:v>
      </x:c>
      <x:c r="P2189" s="93" t="n">
        <x:v>179.9</x:v>
      </x:c>
      <x:c r="Q2189" s="93" t="n">
        <x:v>0</x:v>
      </x:c>
      <x:c r="R2189" s="91" t="n">
        <x:v>0</x:v>
      </x:c>
    </x:row>
    <x:row r="2190">
      <x:c r="A2190" s="83" t="n">
        <x:v>2189</x:v>
      </x:c>
      <x:c r="B2190" s="84" t="str">
        <x:v>OS-2025-02189</x:v>
      </x:c>
      <x:c r="C2190" s="84" t="n">
        <x:v>67</x:v>
      </x:c>
      <x:c r="D2190" s="84" t="n">
        <x:v>9</x:v>
      </x:c>
      <x:c r="E2190" s="84"/>
      <x:c r="F2190" s="89" t="n">
        <x:v>45698.15875</x:v>
      </x:c>
      <x:c r="G2190" s="89" t="n">
        <x:v>45703.15875</x:v>
      </x:c>
      <x:c r="H2190" s="89" t="n">
        <x:v>45698.36708333333</x:v>
      </x:c>
      <x:c r="I2190" s="89"/>
      <x:c r="J2190" s="84" t="str">
        <x:v>Alta</x:v>
      </x:c>
      <x:c r="K2190" s="84" t="str">
        <x:v>Aguardando peça</x:v>
      </x:c>
      <x:c r="L2190" s="84" t="str">
        <x:v>Falha elétrica</x:v>
      </x:c>
      <x:c r="M2190" s="84" t="str">
        <x:v>Conexão frouxa</x:v>
      </x:c>
      <x:c r="N2190" s="84"/>
      <x:c r="O2190" s="84" t="n">
        <x:v>0</x:v>
      </x:c>
      <x:c r="P2190" s="93" t="n">
        <x:v>44.54</x:v>
      </x:c>
      <x:c r="Q2190" s="93" t="n">
        <x:v>2678.76</x:v>
      </x:c>
      <x:c r="R2190" s="91" t="n">
        <x:v>0</x:v>
      </x:c>
    </x:row>
    <x:row r="2191">
      <x:c r="A2191" s="83" t="n">
        <x:v>2190</x:v>
      </x:c>
      <x:c r="B2191" s="84" t="str">
        <x:v>OS-2023-02190</x:v>
      </x:c>
      <x:c r="C2191" s="84" t="n">
        <x:v>51</x:v>
      </x:c>
      <x:c r="D2191" s="84" t="n">
        <x:v>2</x:v>
      </x:c>
      <x:c r="E2191" s="84"/>
      <x:c r="F2191" s="89" t="n">
        <x:v>44981.51814814815</x:v>
      </x:c>
      <x:c r="G2191" s="89" t="n">
        <x:v>44989.51814814815</x:v>
      </x:c>
      <x:c r="H2191" s="89" t="n">
        <x:v>44982.14314814815</x:v>
      </x:c>
      <x:c r="I2191" s="89" t="n">
        <x:v>44982.68481481481</x:v>
      </x:c>
      <x:c r="J2191" s="84" t="str">
        <x:v>Alta</x:v>
      </x:c>
      <x:c r="K2191" s="84" t="str">
        <x:v>Concluída</x:v>
      </x:c>
      <x:c r="L2191" s="84" t="str">
        <x:v>Desalinhamento</x:v>
      </x:c>
      <x:c r="M2191" s="84" t="str">
        <x:v>Ajuste incorreto</x:v>
      </x:c>
      <x:c r="N2191" s="84" t="str">
        <x:v>Componente ajustado ou substituído</x:v>
      </x:c>
      <x:c r="O2191" s="84" t="n">
        <x:v>0</x:v>
      </x:c>
      <x:c r="P2191" s="93" t="n">
        <x:v>425.73</x:v>
      </x:c>
      <x:c r="Q2191" s="93" t="n">
        <x:v>2180.53</x:v>
      </x:c>
      <x:c r="R2191" s="91" t="n">
        <x:v>0</x:v>
      </x:c>
    </x:row>
    <x:row r="2192">
      <x:c r="A2192" s="83" t="n">
        <x:v>2191</x:v>
      </x:c>
      <x:c r="B2192" s="84" t="str">
        <x:v>OS-2023-02191</x:v>
      </x:c>
      <x:c r="C2192" s="84" t="n">
        <x:v>73</x:v>
      </x:c>
      <x:c r="D2192" s="84" t="n">
        <x:v>3</x:v>
      </x:c>
      <x:c r="E2192" s="84"/>
      <x:c r="F2192" s="89" t="n">
        <x:v>45230.10768518518</x:v>
      </x:c>
      <x:c r="G2192" s="89"/>
      <x:c r="H2192" s="89" t="n">
        <x:v>45230.48268518518</x:v>
      </x:c>
      <x:c r="I2192" s="89" t="n">
        <x:v>45230.73268518518</x:v>
      </x:c>
      <x:c r="J2192" s="84" t="str">
        <x:v>Média</x:v>
      </x:c>
      <x:c r="K2192" s="84" t="str">
        <x:v>Encerrada</x:v>
      </x:c>
      <x:c r="L2192" s="84" t="str">
        <x:v>Falha elétrica</x:v>
      </x:c>
      <x:c r="M2192" s="84" t="str">
        <x:v>Conexão frouxa</x:v>
      </x:c>
      <x:c r="N2192" s="84" t="str">
        <x:v>Componente ajustado ou substituído</x:v>
      </x:c>
      <x:c r="O2192" s="84" t="n">
        <x:v>0</x:v>
      </x:c>
      <x:c r="P2192" s="93" t="n">
        <x:v>86.06</x:v>
      </x:c>
      <x:c r="Q2192" s="93" t="n">
        <x:v>4133.44</x:v>
      </x:c>
      <x:c r="R2192" s="91" t="n">
        <x:v>0</x:v>
      </x:c>
    </x:row>
    <x:row r="2193">
      <x:c r="A2193" s="83" t="n">
        <x:v>2192</x:v>
      </x:c>
      <x:c r="B2193" s="84" t="str">
        <x:v>OS-2025-02192</x:v>
      </x:c>
      <x:c r="C2193" s="84" t="n">
        <x:v>63</x:v>
      </x:c>
      <x:c r="D2193" s="84" t="n">
        <x:v>2</x:v>
      </x:c>
      <x:c r="E2193" s="84"/>
      <x:c r="F2193" s="89" t="n">
        <x:v>45821.65447916667</x:v>
      </x:c>
      <x:c r="G2193" s="89" t="n">
        <x:v>45824.65447916667</x:v>
      </x:c>
      <x:c r="H2193" s="89" t="n">
        <x:v>45822.15447916667</x:v>
      </x:c>
      <x:c r="I2193" s="89"/>
      <x:c r="J2193" s="84" t="str">
        <x:v>Alta</x:v>
      </x:c>
      <x:c r="K2193" s="84" t="str">
        <x:v>Em execução</x:v>
      </x:c>
      <x:c r="L2193" s="84" t="str">
        <x:v>Vazamento</x:v>
      </x:c>
      <x:c r="M2193" s="84" t="str">
        <x:v>Falta de lubrificação</x:v>
      </x:c>
      <x:c r="N2193" s="84"/>
      <x:c r="O2193" s="84" t="n">
        <x:v>0</x:v>
      </x:c>
      <x:c r="P2193" s="93" t="n">
        <x:v>73.74</x:v>
      </x:c>
      <x:c r="Q2193" s="93" t="n">
        <x:v>16047.84</x:v>
      </x:c>
      <x:c r="R2193" s="91" t="n">
        <x:v>0</x:v>
      </x:c>
    </x:row>
    <x:row r="2194">
      <x:c r="A2194" s="83" t="n">
        <x:v>2193</x:v>
      </x:c>
      <x:c r="B2194" s="84" t="str">
        <x:v>OS-2023-02193</x:v>
      </x:c>
      <x:c r="C2194" s="84" t="n">
        <x:v>46</x:v>
      </x:c>
      <x:c r="D2194" s="84" t="n">
        <x:v>3</x:v>
      </x:c>
      <x:c r="E2194" s="84"/>
      <x:c r="F2194" s="89" t="n">
        <x:v>45029.17842592593</x:v>
      </x:c>
      <x:c r="G2194" s="89"/>
      <x:c r="H2194" s="89" t="n">
        <x:v>45031.55342592593</x:v>
      </x:c>
      <x:c r="I2194" s="89" t="n">
        <x:v>45031.97009259259</x:v>
      </x:c>
      <x:c r="J2194" s="84" t="str">
        <x:v>Crítica</x:v>
      </x:c>
      <x:c r="K2194" s="84" t="str">
        <x:v>Encerrada</x:v>
      </x:c>
      <x:c r="L2194" s="84" t="str">
        <x:v>Ruído anormal</x:v>
      </x:c>
      <x:c r="M2194" s="84" t="str">
        <x:v>Falta de lubrificação</x:v>
      </x:c>
      <x:c r="N2194" s="84" t="str">
        <x:v>Componente ajustado ou substituído</x:v>
      </x:c>
      <x:c r="O2194" s="84" t="n">
        <x:v>0</x:v>
      </x:c>
      <x:c r="P2194" s="93" t="n">
        <x:v>380.53</x:v>
      </x:c>
      <x:c r="Q2194" s="93" t="n">
        <x:v>1640.94</x:v>
      </x:c>
      <x:c r="R2194" s="91" t="n">
        <x:v>0</x:v>
      </x:c>
    </x:row>
    <x:row r="2195">
      <x:c r="A2195" s="83" t="n">
        <x:v>2194</x:v>
      </x:c>
      <x:c r="B2195" s="84" t="str">
        <x:v>OS-2023-02194</x:v>
      </x:c>
      <x:c r="C2195" s="84" t="n">
        <x:v>13</x:v>
      </x:c>
      <x:c r="D2195" s="84" t="n">
        <x:v>5</x:v>
      </x:c>
      <x:c r="E2195" s="84" t="n">
        <x:v>25</x:v>
      </x:c>
      <x:c r="F2195" s="89" t="n">
        <x:v>45120.01263888889</x:v>
      </x:c>
      <x:c r="G2195" s="89" t="n">
        <x:v>45122.01263888889</x:v>
      </x:c>
      <x:c r="H2195" s="89" t="n">
        <x:v>45122.51263888889</x:v>
      </x:c>
      <x:c r="I2195" s="89" t="n">
        <x:v>45122.92930555555</x:v>
      </x:c>
      <x:c r="J2195" s="84" t="str">
        <x:v>Alta</x:v>
      </x:c>
      <x:c r="K2195" s="84" t="str">
        <x:v>Encerrada</x:v>
      </x:c>
      <x:c r="L2195" s="84" t="str">
        <x:v>Falha elétrica</x:v>
      </x:c>
      <x:c r="M2195" s="84" t="str">
        <x:v>Componente danificado</x:v>
      </x:c>
      <x:c r="N2195" s="84" t="str">
        <x:v>Componente ajustado ou substituído</x:v>
      </x:c>
      <x:c r="O2195" s="84" t="n">
        <x:v>0</x:v>
      </x:c>
      <x:c r="P2195" s="93" t="n">
        <x:v>223.61</x:v>
      </x:c>
      <x:c r="Q2195" s="93" t="n">
        <x:v>0</x:v>
      </x:c>
      <x:c r="R2195" s="91" t="n">
        <x:v>0</x:v>
      </x:c>
    </x:row>
    <x:row r="2196">
      <x:c r="A2196" s="83" t="n">
        <x:v>2195</x:v>
      </x:c>
      <x:c r="B2196" s="84" t="str">
        <x:v>OS-2024-02195</x:v>
      </x:c>
      <x:c r="C2196" s="84" t="n">
        <x:v>13</x:v>
      </x:c>
      <x:c r="D2196" s="84" t="n">
        <x:v>1</x:v>
      </x:c>
      <x:c r="E2196" s="84" t="n">
        <x:v>25</x:v>
      </x:c>
      <x:c r="F2196" s="89" t="n">
        <x:v>45360.3705787037</x:v>
      </x:c>
      <x:c r="G2196" s="89" t="n">
        <x:v>45373.3705787037</x:v>
      </x:c>
      <x:c r="H2196" s="89" t="n">
        <x:v>45360.82891203704</x:v>
      </x:c>
      <x:c r="I2196" s="89" t="n">
        <x:v>45361.45391203704</x:v>
      </x:c>
      <x:c r="J2196" s="84" t="str">
        <x:v>Crítica</x:v>
      </x:c>
      <x:c r="K2196" s="84" t="str">
        <x:v>Encerrada</x:v>
      </x:c>
      <x:c r="L2196" s="84" t="str">
        <x:v>Superaquecimento</x:v>
      </x:c>
      <x:c r="M2196" s="84" t="str">
        <x:v>Conexão frouxa</x:v>
      </x:c>
      <x:c r="N2196" s="84" t="str">
        <x:v>Componente ajustado ou substituído</x:v>
      </x:c>
      <x:c r="O2196" s="84" t="n">
        <x:v>0</x:v>
      </x:c>
      <x:c r="P2196" s="93" t="n">
        <x:v>317.71</x:v>
      </x:c>
      <x:c r="Q2196" s="93" t="n">
        <x:v>3484.35</x:v>
      </x:c>
      <x:c r="R2196" s="91" t="n">
        <x:v>10949.16</x:v>
      </x:c>
    </x:row>
    <x:row r="2197">
      <x:c r="A2197" s="83" t="n">
        <x:v>2196</x:v>
      </x:c>
      <x:c r="B2197" s="84" t="str">
        <x:v>OS-2023-02196</x:v>
      </x:c>
      <x:c r="C2197" s="84" t="n">
        <x:v>65</x:v>
      </x:c>
      <x:c r="D2197" s="84" t="n">
        <x:v>2</x:v>
      </x:c>
      <x:c r="E2197" s="84"/>
      <x:c r="F2197" s="89" t="n">
        <x:v>45212.508576388886</x:v>
      </x:c>
      <x:c r="G2197" s="89" t="n">
        <x:v>45227.508576388886</x:v>
      </x:c>
      <x:c r="H2197" s="89" t="n">
        <x:v>45214.42524305556</x:v>
      </x:c>
      <x:c r="I2197" s="89" t="n">
        <x:v>45214.46690972222</x:v>
      </x:c>
      <x:c r="J2197" s="84" t="str">
        <x:v>Crítica</x:v>
      </x:c>
      <x:c r="K2197" s="84" t="str">
        <x:v>Concluída</x:v>
      </x:c>
      <x:c r="L2197" s="84" t="str">
        <x:v>Vazamento</x:v>
      </x:c>
      <x:c r="M2197" s="84" t="str">
        <x:v>Componente danificado</x:v>
      </x:c>
      <x:c r="N2197" s="84" t="str">
        <x:v>Componente ajustado ou substituído</x:v>
      </x:c>
      <x:c r="O2197" s="84" t="n">
        <x:v>0</x:v>
      </x:c>
      <x:c r="P2197" s="93" t="n">
        <x:v>128.06</x:v>
      </x:c>
      <x:c r="Q2197" s="93" t="n">
        <x:v>1465.42</x:v>
      </x:c>
      <x:c r="R2197" s="91" t="n">
        <x:v>0</x:v>
      </x:c>
    </x:row>
    <x:row r="2198">
      <x:c r="A2198" s="83" t="n">
        <x:v>2197</x:v>
      </x:c>
      <x:c r="B2198" s="84" t="str">
        <x:v>OS-2024-02197</x:v>
      </x:c>
      <x:c r="C2198" s="84" t="n">
        <x:v>41</x:v>
      </x:c>
      <x:c r="D2198" s="84" t="n">
        <x:v>4</x:v>
      </x:c>
      <x:c r="E2198" s="84"/>
      <x:c r="F2198" s="89" t="n">
        <x:v>45311.40200231481</x:v>
      </x:c>
      <x:c r="G2198" s="89" t="n">
        <x:v>45313.40200231481</x:v>
      </x:c>
      <x:c r="H2198" s="89" t="n">
        <x:v>45312.23533564815</x:v>
      </x:c>
      <x:c r="I2198" s="89" t="n">
        <x:v>45312.61033564815</x:v>
      </x:c>
      <x:c r="J2198" s="84" t="str">
        <x:v>Crítica</x:v>
      </x:c>
      <x:c r="K2198" s="84" t="str">
        <x:v>Encerrada</x:v>
      </x:c>
      <x:c r="L2198" s="84" t="str">
        <x:v>Falha elétrica</x:v>
      </x:c>
      <x:c r="M2198" s="84" t="str">
        <x:v>Conexão frouxa</x:v>
      </x:c>
      <x:c r="N2198" s="84" t="str">
        <x:v>Componente ajustado ou substituído</x:v>
      </x:c>
      <x:c r="O2198" s="84" t="n">
        <x:v>1</x:v>
      </x:c>
      <x:c r="P2198" s="93" t="n">
        <x:v>173.05</x:v>
      </x:c>
      <x:c r="Q2198" s="93" t="n">
        <x:v>13246.72</x:v>
      </x:c>
      <x:c r="R2198" s="91" t="n">
        <x:v>0</x:v>
      </x:c>
    </x:row>
    <x:row r="2199">
      <x:c r="A2199" s="83" t="n">
        <x:v>2198</x:v>
      </x:c>
      <x:c r="B2199" s="84" t="str">
        <x:v>OS-2023-02198</x:v>
      </x:c>
      <x:c r="C2199" s="84" t="n">
        <x:v>39</x:v>
      </x:c>
      <x:c r="D2199" s="84" t="n">
        <x:v>6</x:v>
      </x:c>
      <x:c r="E2199" s="84"/>
      <x:c r="F2199" s="89" t="n">
        <x:v>44956.73736111111</x:v>
      </x:c>
      <x:c r="G2199" s="89" t="n">
        <x:v>44967.73736111111</x:v>
      </x:c>
      <x:c r="H2199" s="89" t="n">
        <x:v>44958.44569444445</x:v>
      </x:c>
      <x:c r="I2199" s="89" t="n">
        <x:v>44958.82069444445</x:v>
      </x:c>
      <x:c r="J2199" s="84" t="str">
        <x:v>Alta</x:v>
      </x:c>
      <x:c r="K2199" s="84" t="str">
        <x:v>Encerrada</x:v>
      </x:c>
      <x:c r="L2199" s="84" t="str">
        <x:v>Alarme intermitente</x:v>
      </x:c>
      <x:c r="M2199" s="84" t="str">
        <x:v>Contaminação</x:v>
      </x:c>
      <x:c r="N2199" s="84" t="str">
        <x:v>Componente ajustado ou substituído</x:v>
      </x:c>
      <x:c r="O2199" s="84" t="n">
        <x:v>0</x:v>
      </x:c>
      <x:c r="P2199" s="93" t="n">
        <x:v>975.27</x:v>
      </x:c>
      <x:c r="Q2199" s="93" t="n">
        <x:v>8906.29</x:v>
      </x:c>
      <x:c r="R2199" s="91" t="n">
        <x:v>0</x:v>
      </x:c>
    </x:row>
    <x:row r="2200">
      <x:c r="A2200" s="83" t="n">
        <x:v>2199</x:v>
      </x:c>
      <x:c r="B2200" s="84" t="str">
        <x:v>OS-2024-02199</x:v>
      </x:c>
      <x:c r="C2200" s="84" t="n">
        <x:v>4</x:v>
      </x:c>
      <x:c r="D2200" s="84" t="n">
        <x:v>4</x:v>
      </x:c>
      <x:c r="E2200" s="84"/>
      <x:c r="F2200" s="89" t="n">
        <x:v>45452.74932870371</x:v>
      </x:c>
      <x:c r="G2200" s="89" t="n">
        <x:v>45463.74932870371</x:v>
      </x:c>
      <x:c r="H2200" s="89" t="n">
        <x:v>45454.79099537037</x:v>
      </x:c>
      <x:c r="I2200" s="89" t="n">
        <x:v>45455.332662037035</x:v>
      </x:c>
      <x:c r="J2200" s="84" t="str">
        <x:v>Crítica</x:v>
      </x:c>
      <x:c r="K2200" s="84" t="str">
        <x:v>Encerrada</x:v>
      </x:c>
      <x:c r="L2200" s="84" t="str">
        <x:v>Falha elétrica</x:v>
      </x:c>
      <x:c r="M2200" s="84" t="str">
        <x:v>Conexão frouxa</x:v>
      </x:c>
      <x:c r="N2200" s="84" t="str">
        <x:v>Componente ajustado ou substituído</x:v>
      </x:c>
      <x:c r="O2200" s="84" t="n">
        <x:v>0</x:v>
      </x:c>
      <x:c r="P2200" s="93" t="n">
        <x:v>137.96</x:v>
      </x:c>
      <x:c r="Q2200" s="93" t="n">
        <x:v>5005.92</x:v>
      </x:c>
      <x:c r="R2200" s="91" t="n">
        <x:v>0</x:v>
      </x:c>
    </x:row>
    <x:row r="2201">
      <x:c r="A2201" s="83" t="n">
        <x:v>2200</x:v>
      </x:c>
      <x:c r="B2201" s="84" t="str">
        <x:v>OS-2023-02200</x:v>
      </x:c>
      <x:c r="C2201" s="84" t="n">
        <x:v>61</x:v>
      </x:c>
      <x:c r="D2201" s="84" t="n">
        <x:v>2</x:v>
      </x:c>
      <x:c r="E2201" s="84"/>
      <x:c r="F2201" s="89" t="n">
        <x:v>44966.785104166665</x:v>
      </x:c>
      <x:c r="G2201" s="89" t="n">
        <x:v>44971.785104166665</x:v>
      </x:c>
      <x:c r="H2201" s="89" t="n">
        <x:v>44967.1184375</x:v>
      </x:c>
      <x:c r="I2201" s="89" t="n">
        <x:v>44967.535104166665</x:v>
      </x:c>
      <x:c r="J2201" s="84" t="str">
        <x:v>Crítica</x:v>
      </x:c>
      <x:c r="K2201" s="84" t="str">
        <x:v>Encerrada</x:v>
      </x:c>
      <x:c r="L2201" s="84" t="str">
        <x:v>Desalinhamento</x:v>
      </x:c>
      <x:c r="M2201" s="84" t="str">
        <x:v>Ajuste incorreto</x:v>
      </x:c>
      <x:c r="N2201" s="84" t="str">
        <x:v>Componente ajustado ou substituído</x:v>
      </x:c>
      <x:c r="O2201" s="84" t="n">
        <x:v>0</x:v>
      </x:c>
      <x:c r="P2201" s="93" t="n">
        <x:v>625.76</x:v>
      </x:c>
      <x:c r="Q2201" s="93" t="n">
        <x:v>0</x:v>
      </x:c>
      <x:c r="R2201" s="91" t="n">
        <x:v>0</x:v>
      </x:c>
    </x:row>
    <x:row r="2202">
      <x:c r="A2202" s="83" t="n">
        <x:v>2201</x:v>
      </x:c>
      <x:c r="B2202" s="84" t="str">
        <x:v>OS-2023-02201</x:v>
      </x:c>
      <x:c r="C2202" s="84" t="n">
        <x:v>46</x:v>
      </x:c>
      <x:c r="D2202" s="84" t="n">
        <x:v>6</x:v>
      </x:c>
      <x:c r="E2202" s="84"/>
      <x:c r="F2202" s="89" t="n">
        <x:v>45090.168900462966</x:v>
      </x:c>
      <x:c r="G2202" s="89" t="n">
        <x:v>45104.168900462966</x:v>
      </x:c>
      <x:c r="H2202" s="89" t="n">
        <x:v>45091.918900462966</x:v>
      </x:c>
      <x:c r="I2202" s="89" t="n">
        <x:v>45092.71056712963</x:v>
      </x:c>
      <x:c r="J2202" s="84" t="str">
        <x:v>Alta</x:v>
      </x:c>
      <x:c r="K2202" s="84" t="str">
        <x:v>Encerrada</x:v>
      </x:c>
      <x:c r="L2202" s="84" t="str">
        <x:v>Falha elétrica</x:v>
      </x:c>
      <x:c r="M2202" s="84" t="str">
        <x:v>Desgaste natural</x:v>
      </x:c>
      <x:c r="N2202" s="84" t="str">
        <x:v>Componente ajustado ou substituído</x:v>
      </x:c>
      <x:c r="O2202" s="84" t="n">
        <x:v>1</x:v>
      </x:c>
      <x:c r="P2202" s="93" t="n">
        <x:v>509.81</x:v>
      </x:c>
      <x:c r="Q2202" s="93" t="n">
        <x:v>11266.94</x:v>
      </x:c>
      <x:c r="R2202" s="91" t="n">
        <x:v>0</x:v>
      </x:c>
    </x:row>
    <x:row r="2203">
      <x:c r="A2203" s="83" t="n">
        <x:v>2202</x:v>
      </x:c>
      <x:c r="B2203" s="84" t="str">
        <x:v>OS-2023-02202</x:v>
      </x:c>
      <x:c r="C2203" s="84" t="n">
        <x:v>3</x:v>
      </x:c>
      <x:c r="D2203" s="84" t="n">
        <x:v>7</x:v>
      </x:c>
      <x:c r="E2203" s="84" t="n">
        <x:v>6</x:v>
      </x:c>
      <x:c r="F2203" s="89" t="n">
        <x:v>44996.02347222222</x:v>
      </x:c>
      <x:c r="G2203" s="89" t="n">
        <x:v>44996.02347222222</x:v>
      </x:c>
      <x:c r="H2203" s="89" t="n">
        <x:v>44997.85680555556</x:v>
      </x:c>
      <x:c r="I2203" s="89" t="n">
        <x:v>44998.02347222222</x:v>
      </x:c>
      <x:c r="J2203" s="84" t="str">
        <x:v>Baixa</x:v>
      </x:c>
      <x:c r="K2203" s="84" t="str">
        <x:v>Encerrada</x:v>
      </x:c>
      <x:c r="L2203" s="84" t="str">
        <x:v>Ruído anormal</x:v>
      </x:c>
      <x:c r="M2203" s="84" t="str">
        <x:v>Ajuste incorreto</x:v>
      </x:c>
      <x:c r="N2203" s="84" t="str">
        <x:v>Componente ajustado ou substituído</x:v>
      </x:c>
      <x:c r="O2203" s="84" t="n">
        <x:v>0</x:v>
      </x:c>
      <x:c r="P2203" s="93" t="n">
        <x:v>677.52</x:v>
      </x:c>
      <x:c r="Q2203" s="93" t="n">
        <x:v>1043.78</x:v>
      </x:c>
      <x:c r="R2203" s="91" t="n">
        <x:v>0</x:v>
      </x:c>
    </x:row>
    <x:row r="2204">
      <x:c r="A2204" s="83" t="n">
        <x:v>2203</x:v>
      </x:c>
      <x:c r="B2204" s="84" t="str">
        <x:v>OS-2023-02203</x:v>
      </x:c>
      <x:c r="C2204" s="84" t="n">
        <x:v>45</x:v>
      </x:c>
      <x:c r="D2204" s="84" t="n">
        <x:v>1</x:v>
      </x:c>
      <x:c r="E2204" s="84" t="n">
        <x:v>90</x:v>
      </x:c>
      <x:c r="F2204" s="89" t="n">
        <x:v>44979.58002314815</x:v>
      </x:c>
      <x:c r="G2204" s="89" t="n">
        <x:v>44979.58002314815</x:v>
      </x:c>
      <x:c r="H2204" s="89" t="n">
        <x:v>44980.83002314815</x:v>
      </x:c>
      <x:c r="I2204" s="89" t="n">
        <x:v>44981.08002314815</x:v>
      </x:c>
      <x:c r="J2204" s="84" t="str">
        <x:v>Baixa</x:v>
      </x:c>
      <x:c r="K2204" s="84" t="str">
        <x:v>Encerrada</x:v>
      </x:c>
      <x:c r="L2204" s="84" t="str">
        <x:v>Alarme intermitente</x:v>
      </x:c>
      <x:c r="M2204" s="84" t="str">
        <x:v>Contaminação</x:v>
      </x:c>
      <x:c r="N2204" s="84" t="str">
        <x:v>Componente ajustado ou substituído</x:v>
      </x:c>
      <x:c r="O2204" s="84" t="n">
        <x:v>0</x:v>
      </x:c>
      <x:c r="P2204" s="93" t="n">
        <x:v>278.65</x:v>
      </x:c>
      <x:c r="Q2204" s="93" t="n">
        <x:v>2364.04</x:v>
      </x:c>
      <x:c r="R2204" s="91" t="n">
        <x:v>0</x:v>
      </x:c>
    </x:row>
    <x:row r="2205">
      <x:c r="A2205" s="83" t="n">
        <x:v>2204</x:v>
      </x:c>
      <x:c r="B2205" s="84" t="str">
        <x:v>OS-2025-02204</x:v>
      </x:c>
      <x:c r="C2205" s="84" t="n">
        <x:v>36</x:v>
      </x:c>
      <x:c r="D2205" s="84" t="n">
        <x:v>1</x:v>
      </x:c>
      <x:c r="E2205" s="84" t="n">
        <x:v>71</x:v>
      </x:c>
      <x:c r="F2205" s="89" t="n">
        <x:v>46013.716828703706</x:v>
      </x:c>
      <x:c r="G2205" s="89" t="n">
        <x:v>46024.716828703706</x:v>
      </x:c>
      <x:c r="H2205" s="89"/>
      <x:c r="I2205" s="89"/>
      <x:c r="J2205" s="84" t="str">
        <x:v>Crítica</x:v>
      </x:c>
      <x:c r="K2205" s="84" t="str">
        <x:v>Planejada</x:v>
      </x:c>
      <x:c r="L2205" s="84" t="str">
        <x:v>Superaquecimento</x:v>
      </x:c>
      <x:c r="M2205" s="84"/>
      <x:c r="N2205" s="84"/>
      <x:c r="O2205" s="84" t="n">
        <x:v>0</x:v>
      </x:c>
      <x:c r="P2205" s="93" t="n">
        <x:v>0</x:v>
      </x:c>
      <x:c r="Q2205" s="93" t="n">
        <x:v>0</x:v>
      </x:c>
      <x:c r="R2205" s="91" t="n">
        <x:v>0</x:v>
      </x:c>
    </x:row>
    <x:row r="2206">
      <x:c r="A2206" s="83" t="n">
        <x:v>2205</x:v>
      </x:c>
      <x:c r="B2206" s="84" t="str">
        <x:v>OS-2023-02205</x:v>
      </x:c>
      <x:c r="C2206" s="84" t="n">
        <x:v>58</x:v>
      </x:c>
      <x:c r="D2206" s="84" t="n">
        <x:v>1</x:v>
      </x:c>
      <x:c r="E2206" s="84" t="n">
        <x:v>116</x:v>
      </x:c>
      <x:c r="F2206" s="89" t="n">
        <x:v>44979.61288194444</x:v>
      </x:c>
      <x:c r="G2206" s="89" t="n">
        <x:v>44982.61288194444</x:v>
      </x:c>
      <x:c r="H2206" s="89" t="n">
        <x:v>44981.61288194444</x:v>
      </x:c>
      <x:c r="I2206" s="89" t="n">
        <x:v>44981.77954861111</x:v>
      </x:c>
      <x:c r="J2206" s="84" t="str">
        <x:v>Crítica</x:v>
      </x:c>
      <x:c r="K2206" s="84" t="str">
        <x:v>Encerrada</x:v>
      </x:c>
      <x:c r="L2206" s="84" t="str">
        <x:v>Baixa pressão</x:v>
      </x:c>
      <x:c r="M2206" s="84" t="str">
        <x:v>Ajuste incorreto</x:v>
      </x:c>
      <x:c r="N2206" s="84" t="str">
        <x:v>Componente ajustado ou substituído</x:v>
      </x:c>
      <x:c r="O2206" s="84" t="n">
        <x:v>0</x:v>
      </x:c>
      <x:c r="P2206" s="93" t="n">
        <x:v>340.79</x:v>
      </x:c>
      <x:c r="Q2206" s="93" t="n">
        <x:v>4422.52</x:v>
      </x:c>
      <x:c r="R2206" s="91" t="n">
        <x:v>0</x:v>
      </x:c>
    </x:row>
    <x:row r="2207">
      <x:c r="A2207" s="83" t="n">
        <x:v>2206</x:v>
      </x:c>
      <x:c r="B2207" s="84" t="str">
        <x:v>OS-2023-02206</x:v>
      </x:c>
      <x:c r="C2207" s="84" t="n">
        <x:v>24</x:v>
      </x:c>
      <x:c r="D2207" s="84" t="n">
        <x:v>4</x:v>
      </x:c>
      <x:c r="E2207" s="84"/>
      <x:c r="F2207" s="89" t="n">
        <x:v>45144.12122685185</x:v>
      </x:c>
      <x:c r="G2207" s="89" t="n">
        <x:v>45152.12122685185</x:v>
      </x:c>
      <x:c r="H2207" s="89" t="n">
        <x:v>45145.53789351852</x:v>
      </x:c>
      <x:c r="I2207" s="89" t="n">
        <x:v>45145.62122685185</x:v>
      </x:c>
      <x:c r="J2207" s="84" t="str">
        <x:v>Crítica</x:v>
      </x:c>
      <x:c r="K2207" s="84" t="str">
        <x:v>Encerrada</x:v>
      </x:c>
      <x:c r="L2207" s="84" t="str">
        <x:v>Desalinhamento</x:v>
      </x:c>
      <x:c r="M2207" s="84" t="str">
        <x:v>Componente danificado</x:v>
      </x:c>
      <x:c r="N2207" s="84" t="str">
        <x:v>Componente ajustado ou substituído</x:v>
      </x:c>
      <x:c r="O2207" s="84" t="n">
        <x:v>0</x:v>
      </x:c>
      <x:c r="P2207" s="93" t="n">
        <x:v>430.62</x:v>
      </x:c>
      <x:c r="Q2207" s="93" t="n">
        <x:v>6314.61</x:v>
      </x:c>
      <x:c r="R2207" s="91" t="n">
        <x:v>0</x:v>
      </x:c>
    </x:row>
    <x:row r="2208">
      <x:c r="A2208" s="83" t="n">
        <x:v>2207</x:v>
      </x:c>
      <x:c r="B2208" s="84" t="str">
        <x:v>OS-2024-02207</x:v>
      </x:c>
      <x:c r="C2208" s="84" t="n">
        <x:v>46</x:v>
      </x:c>
      <x:c r="D2208" s="84" t="n">
        <x:v>5</x:v>
      </x:c>
      <x:c r="E2208" s="84" t="n">
        <x:v>92</x:v>
      </x:c>
      <x:c r="F2208" s="89" t="n">
        <x:v>45367.700787037036</x:v>
      </x:c>
      <x:c r="G2208" s="89" t="n">
        <x:v>45379.700787037036</x:v>
      </x:c>
      <x:c r="H2208" s="89" t="n">
        <x:v>45369.7424537037</x:v>
      </x:c>
      <x:c r="I2208" s="89" t="n">
        <x:v>45370.450787037036</x:v>
      </x:c>
      <x:c r="J2208" s="84" t="str">
        <x:v>Crítica</x:v>
      </x:c>
      <x:c r="K2208" s="84" t="str">
        <x:v>Encerrada</x:v>
      </x:c>
      <x:c r="L2208" s="84" t="str">
        <x:v>Alarme intermitente</x:v>
      </x:c>
      <x:c r="M2208" s="84" t="str">
        <x:v>Contaminação</x:v>
      </x:c>
      <x:c r="N2208" s="84" t="str">
        <x:v>Componente ajustado ou substituído</x:v>
      </x:c>
      <x:c r="O2208" s="84" t="n">
        <x:v>0</x:v>
      </x:c>
      <x:c r="P2208" s="93" t="n">
        <x:v>665.43</x:v>
      </x:c>
      <x:c r="Q2208" s="93" t="n">
        <x:v>2346.92</x:v>
      </x:c>
      <x:c r="R2208" s="91" t="n">
        <x:v>0</x:v>
      </x:c>
    </x:row>
    <x:row r="2209">
      <x:c r="A2209" s="83" t="n">
        <x:v>2208</x:v>
      </x:c>
      <x:c r="B2209" s="84" t="str">
        <x:v>OS-2025-02208</x:v>
      </x:c>
      <x:c r="C2209" s="84" t="n">
        <x:v>29</x:v>
      </x:c>
      <x:c r="D2209" s="84" t="n">
        <x:v>1</x:v>
      </x:c>
      <x:c r="E2209" s="84" t="n">
        <x:v>58</x:v>
      </x:c>
      <x:c r="F2209" s="89" t="n">
        <x:v>45996.05394675926</x:v>
      </x:c>
      <x:c r="G2209" s="89" t="n">
        <x:v>46011.05394675926</x:v>
      </x:c>
      <x:c r="H2209" s="89" t="n">
        <x:v>45996.80394675926</x:v>
      </x:c>
      <x:c r="I2209" s="89" t="n">
        <x:v>45996.970613425925</x:v>
      </x:c>
      <x:c r="J2209" s="84" t="str">
        <x:v>Alta</x:v>
      </x:c>
      <x:c r="K2209" s="84" t="str">
        <x:v>Concluída</x:v>
      </x:c>
      <x:c r="L2209" s="84" t="str">
        <x:v>Superaquecimento</x:v>
      </x:c>
      <x:c r="M2209" s="84" t="str">
        <x:v>Contaminação</x:v>
      </x:c>
      <x:c r="N2209" s="84" t="str">
        <x:v>Componente ajustado ou substituído</x:v>
      </x:c>
      <x:c r="O2209" s="84" t="n">
        <x:v>0</x:v>
      </x:c>
      <x:c r="P2209" s="93" t="n">
        <x:v>426.1</x:v>
      </x:c>
      <x:c r="Q2209" s="93" t="n">
        <x:v>0</x:v>
      </x:c>
      <x:c r="R2209" s="91" t="n">
        <x:v>0</x:v>
      </x:c>
    </x:row>
    <x:row r="2210">
      <x:c r="A2210" s="83" t="n">
        <x:v>2209</x:v>
      </x:c>
      <x:c r="B2210" s="84" t="str">
        <x:v>OS-2024-02209</x:v>
      </x:c>
      <x:c r="C2210" s="84" t="n">
        <x:v>85</x:v>
      </x:c>
      <x:c r="D2210" s="84" t="n">
        <x:v>2</x:v>
      </x:c>
      <x:c r="E2210" s="84"/>
      <x:c r="F2210" s="89" t="n">
        <x:v>45563.097025462965</x:v>
      </x:c>
      <x:c r="G2210" s="89" t="n">
        <x:v>45567.097025462965</x:v>
      </x:c>
      <x:c r="H2210" s="89"/>
      <x:c r="I2210" s="89"/>
      <x:c r="J2210" s="84" t="str">
        <x:v>Baixa</x:v>
      </x:c>
      <x:c r="K2210" s="84" t="str">
        <x:v>Planejada</x:v>
      </x:c>
      <x:c r="L2210" s="84" t="str">
        <x:v>Superaquecimento</x:v>
      </x:c>
      <x:c r="M2210" s="84"/>
      <x:c r="N2210" s="84"/>
      <x:c r="O2210" s="84" t="n">
        <x:v>0</x:v>
      </x:c>
      <x:c r="P2210" s="93" t="n">
        <x:v>0</x:v>
      </x:c>
      <x:c r="Q2210" s="93" t="n">
        <x:v>0</x:v>
      </x:c>
      <x:c r="R2210" s="91" t="n">
        <x:v>0</x:v>
      </x:c>
    </x:row>
    <x:row r="2211">
      <x:c r="A2211" s="83" t="n">
        <x:v>2210</x:v>
      </x:c>
      <x:c r="B2211" s="84" t="str">
        <x:v>OS-2024-02210</x:v>
      </x:c>
      <x:c r="C2211" s="84" t="n">
        <x:v>20</x:v>
      </x:c>
      <x:c r="D2211" s="84" t="n">
        <x:v>3</x:v>
      </x:c>
      <x:c r="E2211" s="84"/>
      <x:c r="F2211" s="89" t="n">
        <x:v>45532.96517361111</x:v>
      </x:c>
      <x:c r="G2211" s="89"/>
      <x:c r="H2211" s="89" t="n">
        <x:v>45534.006840277776</x:v>
      </x:c>
      <x:c r="I2211" s="89" t="n">
        <x:v>45534.09017361111</x:v>
      </x:c>
      <x:c r="J2211" s="84" t="str">
        <x:v>Crítica</x:v>
      </x:c>
      <x:c r="K2211" s="84" t="str">
        <x:v>Encerrada</x:v>
      </x:c>
      <x:c r="L2211" s="84" t="str">
        <x:v>Vazamento</x:v>
      </x:c>
      <x:c r="M2211" s="84" t="str">
        <x:v>Ajuste incorreto</x:v>
      </x:c>
      <x:c r="N2211" s="84" t="str">
        <x:v>Componente ajustado ou substituído</x:v>
      </x:c>
      <x:c r="O2211" s="84" t="n">
        <x:v>0</x:v>
      </x:c>
      <x:c r="P2211" s="93" t="n">
        <x:v>136.92</x:v>
      </x:c>
      <x:c r="Q2211" s="93" t="n">
        <x:v>0</x:v>
      </x:c>
      <x:c r="R2211" s="91" t="n">
        <x:v>0</x:v>
      </x:c>
    </x:row>
    <x:row r="2212">
      <x:c r="A2212" s="83" t="n">
        <x:v>2211</x:v>
      </x:c>
      <x:c r="B2212" s="84" t="str">
        <x:v>OS-2025-02211</x:v>
      </x:c>
      <x:c r="C2212" s="84" t="n">
        <x:v>49</x:v>
      </x:c>
      <x:c r="D2212" s="84" t="n">
        <x:v>3</x:v>
      </x:c>
      <x:c r="E2212" s="84"/>
      <x:c r="F2212" s="89" t="n">
        <x:v>45714.56626157407</x:v>
      </x:c>
      <x:c r="G2212" s="89"/>
      <x:c r="H2212" s="89"/>
      <x:c r="I2212" s="89"/>
      <x:c r="J2212" s="84" t="str">
        <x:v>Crítica</x:v>
      </x:c>
      <x:c r="K2212" s="84" t="str">
        <x:v>Planejada</x:v>
      </x:c>
      <x:c r="L2212" s="84" t="str">
        <x:v>Alarme intermitente</x:v>
      </x:c>
      <x:c r="M2212" s="84"/>
      <x:c r="N2212" s="84"/>
      <x:c r="O2212" s="84" t="n">
        <x:v>0</x:v>
      </x:c>
      <x:c r="P2212" s="93" t="n">
        <x:v>0</x:v>
      </x:c>
      <x:c r="Q2212" s="93" t="n">
        <x:v>0</x:v>
      </x:c>
      <x:c r="R2212" s="91" t="n">
        <x:v>0</x:v>
      </x:c>
    </x:row>
    <x:row r="2213">
      <x:c r="A2213" s="83" t="n">
        <x:v>2212</x:v>
      </x:c>
      <x:c r="B2213" s="84" t="str">
        <x:v>OS-2024-02212</x:v>
      </x:c>
      <x:c r="C2213" s="84" t="n">
        <x:v>14</x:v>
      </x:c>
      <x:c r="D2213" s="84" t="n">
        <x:v>2</x:v>
      </x:c>
      <x:c r="E2213" s="84"/>
      <x:c r="F2213" s="89" t="n">
        <x:v>45538.79204861111</x:v>
      </x:c>
      <x:c r="G2213" s="89" t="n">
        <x:v>45548.79204861111</x:v>
      </x:c>
      <x:c r="H2213" s="89"/>
      <x:c r="I2213" s="89"/>
      <x:c r="J2213" s="84" t="str">
        <x:v>Baixa</x:v>
      </x:c>
      <x:c r="K2213" s="84" t="str">
        <x:v>Cancelada</x:v>
      </x:c>
      <x:c r="L2213" s="84" t="str">
        <x:v>Falha elétrica</x:v>
      </x:c>
      <x:c r="M2213" s="84"/>
      <x:c r="N2213" s="84"/>
      <x:c r="O2213" s="84" t="n">
        <x:v>0</x:v>
      </x:c>
      <x:c r="P2213" s="93" t="n">
        <x:v>0</x:v>
      </x:c>
      <x:c r="Q2213" s="93" t="n">
        <x:v>0</x:v>
      </x:c>
      <x:c r="R2213" s="91" t="n">
        <x:v>0</x:v>
      </x:c>
    </x:row>
    <x:row r="2214">
      <x:c r="A2214" s="83" t="n">
        <x:v>2213</x:v>
      </x:c>
      <x:c r="B2214" s="84" t="str">
        <x:v>OS-2023-02213</x:v>
      </x:c>
      <x:c r="C2214" s="84" t="n">
        <x:v>72</x:v>
      </x:c>
      <x:c r="D2214" s="84" t="n">
        <x:v>7</x:v>
      </x:c>
      <x:c r="E2214" s="84" t="n">
        <x:v>143</x:v>
      </x:c>
      <x:c r="F2214" s="89" t="n">
        <x:v>45286.47939814815</x:v>
      </x:c>
      <x:c r="G2214" s="89" t="n">
        <x:v>45289.47939814815</x:v>
      </x:c>
      <x:c r="H2214" s="89" t="n">
        <x:v>45289.10439814815</x:v>
      </x:c>
      <x:c r="I2214" s="89" t="n">
        <x:v>45289.312731481485</x:v>
      </x:c>
      <x:c r="J2214" s="84" t="str">
        <x:v>Alta</x:v>
      </x:c>
      <x:c r="K2214" s="84" t="str">
        <x:v>Encerrada</x:v>
      </x:c>
      <x:c r="L2214" s="84" t="str">
        <x:v>Superaquecimento</x:v>
      </x:c>
      <x:c r="M2214" s="84" t="str">
        <x:v>Contaminação</x:v>
      </x:c>
      <x:c r="N2214" s="84" t="str">
        <x:v>Componente ajustado ou substituído</x:v>
      </x:c>
      <x:c r="O2214" s="84" t="n">
        <x:v>0</x:v>
      </x:c>
      <x:c r="P2214" s="93" t="n">
        <x:v>301.22</x:v>
      </x:c>
      <x:c r="Q2214" s="93" t="n">
        <x:v>6623.86</x:v>
      </x:c>
      <x:c r="R2214" s="91" t="n">
        <x:v>0</x:v>
      </x:c>
    </x:row>
    <x:row r="2215">
      <x:c r="A2215" s="83" t="n">
        <x:v>2214</x:v>
      </x:c>
      <x:c r="B2215" s="84" t="str">
        <x:v>OS-2023-02214</x:v>
      </x:c>
      <x:c r="C2215" s="84" t="n">
        <x:v>56</x:v>
      </x:c>
      <x:c r="D2215" s="84" t="n">
        <x:v>1</x:v>
      </x:c>
      <x:c r="E2215" s="84" t="n">
        <x:v>111</x:v>
      </x:c>
      <x:c r="F2215" s="89" t="n">
        <x:v>45068.7524537037</x:v>
      </x:c>
      <x:c r="G2215" s="89" t="n">
        <x:v>45079.7524537037</x:v>
      </x:c>
      <x:c r="H2215" s="89"/>
      <x:c r="I2215" s="89"/>
      <x:c r="J2215" s="84" t="str">
        <x:v>Média</x:v>
      </x:c>
      <x:c r="K2215" s="84" t="str">
        <x:v>Planejada</x:v>
      </x:c>
      <x:c r="L2215" s="84" t="str">
        <x:v>Falha elétrica</x:v>
      </x:c>
      <x:c r="M2215" s="84"/>
      <x:c r="N2215" s="84"/>
      <x:c r="O2215" s="84" t="n">
        <x:v>0</x:v>
      </x:c>
      <x:c r="P2215" s="93" t="n">
        <x:v>0</x:v>
      </x:c>
      <x:c r="Q2215" s="93" t="n">
        <x:v>0</x:v>
      </x:c>
      <x:c r="R2215" s="91" t="n">
        <x:v>0</x:v>
      </x:c>
    </x:row>
    <x:row r="2216">
      <x:c r="A2216" s="83" t="n">
        <x:v>2215</x:v>
      </x:c>
      <x:c r="B2216" s="84" t="str">
        <x:v>OS-2023-02215</x:v>
      </x:c>
      <x:c r="C2216" s="84" t="n">
        <x:v>86</x:v>
      </x:c>
      <x:c r="D2216" s="84" t="n">
        <x:v>7</x:v>
      </x:c>
      <x:c r="E2216" s="84" t="n">
        <x:v>171</x:v>
      </x:c>
      <x:c r="F2216" s="89" t="n">
        <x:v>44951.81065972222</x:v>
      </x:c>
      <x:c r="G2216" s="89" t="n">
        <x:v>44962.81065972222</x:v>
      </x:c>
      <x:c r="H2216" s="89"/>
      <x:c r="I2216" s="89"/>
      <x:c r="J2216" s="84" t="str">
        <x:v>Baixa</x:v>
      </x:c>
      <x:c r="K2216" s="84" t="str">
        <x:v>Planejada</x:v>
      </x:c>
      <x:c r="L2216" s="84" t="str">
        <x:v>Baixa pressão</x:v>
      </x:c>
      <x:c r="M2216" s="84"/>
      <x:c r="N2216" s="84"/>
      <x:c r="O2216" s="84" t="n">
        <x:v>0</x:v>
      </x:c>
      <x:c r="P2216" s="93" t="n">
        <x:v>0</x:v>
      </x:c>
      <x:c r="Q2216" s="93" t="n">
        <x:v>0</x:v>
      </x:c>
      <x:c r="R2216" s="91" t="n">
        <x:v>0</x:v>
      </x:c>
    </x:row>
    <x:row r="2217">
      <x:c r="A2217" s="83" t="n">
        <x:v>2216</x:v>
      </x:c>
      <x:c r="B2217" s="84" t="str">
        <x:v>OS-2023-02216</x:v>
      </x:c>
      <x:c r="C2217" s="84" t="n">
        <x:v>23</x:v>
      </x:c>
      <x:c r="D2217" s="84" t="n">
        <x:v>1</x:v>
      </x:c>
      <x:c r="E2217" s="84" t="n">
        <x:v>45</x:v>
      </x:c>
      <x:c r="F2217" s="89" t="n">
        <x:v>45073.792974537035</x:v>
      </x:c>
      <x:c r="G2217" s="89" t="n">
        <x:v>45082.792974537035</x:v>
      </x:c>
      <x:c r="H2217" s="89" t="n">
        <x:v>45076.709641203706</x:v>
      </x:c>
      <x:c r="I2217" s="89" t="n">
        <x:v>45077.50130787037</x:v>
      </x:c>
      <x:c r="J2217" s="84" t="str">
        <x:v>Média</x:v>
      </x:c>
      <x:c r="K2217" s="84" t="str">
        <x:v>Concluída</x:v>
      </x:c>
      <x:c r="L2217" s="84" t="str">
        <x:v>Baixa pressão</x:v>
      </x:c>
      <x:c r="M2217" s="84" t="str">
        <x:v>Contaminação</x:v>
      </x:c>
      <x:c r="N2217" s="84" t="str">
        <x:v>Componente ajustado ou substituído</x:v>
      </x:c>
      <x:c r="O2217" s="84" t="n">
        <x:v>0</x:v>
      </x:c>
      <x:c r="P2217" s="93" t="n">
        <x:v>488.45</x:v>
      </x:c>
      <x:c r="Q2217" s="93" t="n">
        <x:v>0</x:v>
      </x:c>
      <x:c r="R2217" s="91" t="n">
        <x:v>0</x:v>
      </x:c>
    </x:row>
    <x:row r="2218">
      <x:c r="A2218" s="83" t="n">
        <x:v>2217</x:v>
      </x:c>
      <x:c r="B2218" s="84" t="str">
        <x:v>OS-2024-02217</x:v>
      </x:c>
      <x:c r="C2218" s="84" t="n">
        <x:v>52</x:v>
      </x:c>
      <x:c r="D2218" s="84" t="n">
        <x:v>1</x:v>
      </x:c>
      <x:c r="E2218" s="84" t="n">
        <x:v>104</x:v>
      </x:c>
      <x:c r="F2218" s="89" t="n">
        <x:v>45386.384733796294</x:v>
      </x:c>
      <x:c r="G2218" s="89" t="n">
        <x:v>45399.384733796294</x:v>
      </x:c>
      <x:c r="H2218" s="89" t="n">
        <x:v>45388.009733796294</x:v>
      </x:c>
      <x:c r="I2218" s="89" t="n">
        <x:v>45388.634733796294</x:v>
      </x:c>
      <x:c r="J2218" s="84" t="str">
        <x:v>Alta</x:v>
      </x:c>
      <x:c r="K2218" s="84" t="str">
        <x:v>Encerrada</x:v>
      </x:c>
      <x:c r="L2218" s="84" t="str">
        <x:v>Desalinhamento</x:v>
      </x:c>
      <x:c r="M2218" s="84" t="str">
        <x:v>Falta de lubrificação</x:v>
      </x:c>
      <x:c r="N2218" s="84" t="str">
        <x:v>Componente ajustado ou substituído</x:v>
      </x:c>
      <x:c r="O2218" s="84" t="n">
        <x:v>0</x:v>
      </x:c>
      <x:c r="P2218" s="93" t="n">
        <x:v>220.05</x:v>
      </x:c>
      <x:c r="Q2218" s="93" t="n">
        <x:v>6516.77</x:v>
      </x:c>
      <x:c r="R2218" s="91" t="n">
        <x:v>0</x:v>
      </x:c>
    </x:row>
    <x:row r="2219">
      <x:c r="A2219" s="83" t="n">
        <x:v>2218</x:v>
      </x:c>
      <x:c r="B2219" s="84" t="str">
        <x:v>OS-2023-02218</x:v>
      </x:c>
      <x:c r="C2219" s="84" t="n">
        <x:v>55</x:v>
      </x:c>
      <x:c r="D2219" s="84" t="n">
        <x:v>2</x:v>
      </x:c>
      <x:c r="E2219" s="84"/>
      <x:c r="F2219" s="89" t="n">
        <x:v>45152.42769675926</x:v>
      </x:c>
      <x:c r="G2219" s="89" t="n">
        <x:v>45155.42769675926</x:v>
      </x:c>
      <x:c r="H2219" s="89" t="n">
        <x:v>45153.344363425924</x:v>
      </x:c>
      <x:c r="I2219" s="89" t="n">
        <x:v>45154.17769675926</x:v>
      </x:c>
      <x:c r="J2219" s="84" t="str">
        <x:v>Alta</x:v>
      </x:c>
      <x:c r="K2219" s="84" t="str">
        <x:v>Encerrada</x:v>
      </x:c>
      <x:c r="L2219" s="84" t="str">
        <x:v>Ruído anormal</x:v>
      </x:c>
      <x:c r="M2219" s="84" t="str">
        <x:v>Ajuste incorreto</x:v>
      </x:c>
      <x:c r="N2219" s="84" t="str">
        <x:v>Componente ajustado ou substituído</x:v>
      </x:c>
      <x:c r="O2219" s="84" t="n">
        <x:v>0</x:v>
      </x:c>
      <x:c r="P2219" s="93" t="n">
        <x:v>332.98</x:v>
      </x:c>
      <x:c r="Q2219" s="93" t="n">
        <x:v>16537.44</x:v>
      </x:c>
      <x:c r="R2219" s="91" t="n">
        <x:v>8673.07</x:v>
      </x:c>
    </x:row>
    <x:row r="2220">
      <x:c r="A2220" s="83" t="n">
        <x:v>2219</x:v>
      </x:c>
      <x:c r="B2220" s="84" t="str">
        <x:v>OS-2025-02219</x:v>
      </x:c>
      <x:c r="C2220" s="84" t="n">
        <x:v>69</x:v>
      </x:c>
      <x:c r="D2220" s="84" t="n">
        <x:v>1</x:v>
      </x:c>
      <x:c r="E2220" s="84" t="n">
        <x:v>138</x:v>
      </x:c>
      <x:c r="F2220" s="89" t="n">
        <x:v>45691.869050925925</x:v>
      </x:c>
      <x:c r="G2220" s="89" t="n">
        <x:v>45706.869050925925</x:v>
      </x:c>
      <x:c r="H2220" s="89" t="n">
        <x:v>45694.41071759259</x:v>
      </x:c>
      <x:c r="I2220" s="89" t="n">
        <x:v>45694.70238425926</x:v>
      </x:c>
      <x:c r="J2220" s="84" t="str">
        <x:v>Crítica</x:v>
      </x:c>
      <x:c r="K2220" s="84" t="str">
        <x:v>Concluída</x:v>
      </x:c>
      <x:c r="L2220" s="84" t="str">
        <x:v>Desalinhamento</x:v>
      </x:c>
      <x:c r="M2220" s="84" t="str">
        <x:v>Contaminação</x:v>
      </x:c>
      <x:c r="N2220" s="84" t="str">
        <x:v>Componente ajustado ou substituído</x:v>
      </x:c>
      <x:c r="O2220" s="84" t="n">
        <x:v>0</x:v>
      </x:c>
      <x:c r="P2220" s="93" t="n">
        <x:v>67.04</x:v>
      </x:c>
      <x:c r="Q2220" s="93" t="n">
        <x:v>5400.26</x:v>
      </x:c>
      <x:c r="R2220" s="91" t="n">
        <x:v>0</x:v>
      </x:c>
    </x:row>
    <x:row r="2221">
      <x:c r="A2221" s="83" t="n">
        <x:v>2220</x:v>
      </x:c>
      <x:c r="B2221" s="84" t="str">
        <x:v>OS-2024-02220</x:v>
      </x:c>
      <x:c r="C2221" s="84" t="n">
        <x:v>14</x:v>
      </x:c>
      <x:c r="D2221" s="84" t="n">
        <x:v>1</x:v>
      </x:c>
      <x:c r="E2221" s="84" t="n">
        <x:v>27</x:v>
      </x:c>
      <x:c r="F2221" s="89" t="n">
        <x:v>45379.71372685185</x:v>
      </x:c>
      <x:c r="G2221" s="89" t="n">
        <x:v>45387.71372685185</x:v>
      </x:c>
      <x:c r="H2221" s="89" t="n">
        <x:v>45381.00539351852</x:v>
      </x:c>
      <x:c r="I2221" s="89" t="n">
        <x:v>45381.63039351852</x:v>
      </x:c>
      <x:c r="J2221" s="84" t="str">
        <x:v>Baixa</x:v>
      </x:c>
      <x:c r="K2221" s="84" t="str">
        <x:v>Encerrada</x:v>
      </x:c>
      <x:c r="L2221" s="84" t="str">
        <x:v>Vazamento</x:v>
      </x:c>
      <x:c r="M2221" s="84" t="str">
        <x:v>Componente danificado</x:v>
      </x:c>
      <x:c r="N2221" s="84" t="str">
        <x:v>Componente ajustado ou substituído</x:v>
      </x:c>
      <x:c r="O2221" s="84" t="n">
        <x:v>0</x:v>
      </x:c>
      <x:c r="P2221" s="93" t="n">
        <x:v>601.84</x:v>
      </x:c>
      <x:c r="Q2221" s="93" t="n">
        <x:v>2109.91</x:v>
      </x:c>
      <x:c r="R2221" s="91" t="n">
        <x:v>0</x:v>
      </x:c>
    </x:row>
    <x:row r="2222">
      <x:c r="A2222" s="83" t="n">
        <x:v>2221</x:v>
      </x:c>
      <x:c r="B2222" s="84" t="str">
        <x:v>OS-2025-02221</x:v>
      </x:c>
      <x:c r="C2222" s="84" t="n">
        <x:v>35</x:v>
      </x:c>
      <x:c r="D2222" s="84" t="n">
        <x:v>2</x:v>
      </x:c>
      <x:c r="E2222" s="84"/>
      <x:c r="F2222" s="89" t="n">
        <x:v>45847.09328703704</x:v>
      </x:c>
      <x:c r="G2222" s="89" t="n">
        <x:v>45861.09328703704</x:v>
      </x:c>
      <x:c r="H2222" s="89" t="n">
        <x:v>45847.6349537037</x:v>
      </x:c>
      <x:c r="I2222" s="89" t="n">
        <x:v>45847.676620370374</x:v>
      </x:c>
      <x:c r="J2222" s="84" t="str">
        <x:v>Média</x:v>
      </x:c>
      <x:c r="K2222" s="84" t="str">
        <x:v>Concluída</x:v>
      </x:c>
      <x:c r="L2222" s="84" t="str">
        <x:v>Falha elétrica</x:v>
      </x:c>
      <x:c r="M2222" s="84" t="str">
        <x:v>Contaminação</x:v>
      </x:c>
      <x:c r="N2222" s="84" t="str">
        <x:v>Componente ajustado ou substituído</x:v>
      </x:c>
      <x:c r="O2222" s="84" t="n">
        <x:v>0</x:v>
      </x:c>
      <x:c r="P2222" s="93" t="n">
        <x:v>55.78</x:v>
      </x:c>
      <x:c r="Q2222" s="93" t="n">
        <x:v>3457.08</x:v>
      </x:c>
      <x:c r="R2222" s="91" t="n">
        <x:v>0</x:v>
      </x:c>
    </x:row>
    <x:row r="2223">
      <x:c r="A2223" s="83" t="n">
        <x:v>2222</x:v>
      </x:c>
      <x:c r="B2223" s="84" t="str">
        <x:v>OS-2025-02222</x:v>
      </x:c>
      <x:c r="C2223" s="84" t="n">
        <x:v>86</x:v>
      </x:c>
      <x:c r="D2223" s="84" t="n">
        <x:v>2</x:v>
      </x:c>
      <x:c r="E2223" s="84"/>
      <x:c r="F2223" s="89" t="n">
        <x:v>45975.27799768518</x:v>
      </x:c>
      <x:c r="G2223" s="89" t="n">
        <x:v>45985.27799768518</x:v>
      </x:c>
      <x:c r="H2223" s="89" t="n">
        <x:v>45975.56966435185</x:v>
      </x:c>
      <x:c r="I2223" s="89" t="n">
        <x:v>45976.15299768518</x:v>
      </x:c>
      <x:c r="J2223" s="84" t="str">
        <x:v>Média</x:v>
      </x:c>
      <x:c r="K2223" s="84" t="str">
        <x:v>Encerrada</x:v>
      </x:c>
      <x:c r="L2223" s="84" t="str">
        <x:v>Desalinhamento</x:v>
      </x:c>
      <x:c r="M2223" s="84" t="str">
        <x:v>Desgaste natural</x:v>
      </x:c>
      <x:c r="N2223" s="84" t="str">
        <x:v>Componente ajustado ou substituído</x:v>
      </x:c>
      <x:c r="O2223" s="84" t="n">
        <x:v>0</x:v>
      </x:c>
      <x:c r="P2223" s="93" t="n">
        <x:v>56.43</x:v>
      </x:c>
      <x:c r="Q2223" s="93" t="n">
        <x:v>13268.52</x:v>
      </x:c>
      <x:c r="R2223" s="91" t="n">
        <x:v>0</x:v>
      </x:c>
    </x:row>
    <x:row r="2224">
      <x:c r="A2224" s="83" t="n">
        <x:v>2223</x:v>
      </x:c>
      <x:c r="B2224" s="84" t="str">
        <x:v>OS-2023-02223</x:v>
      </x:c>
      <x:c r="C2224" s="84" t="n">
        <x:v>40</x:v>
      </x:c>
      <x:c r="D2224" s="84" t="n">
        <x:v>6</x:v>
      </x:c>
      <x:c r="E2224" s="84"/>
      <x:c r="F2224" s="89" t="n">
        <x:v>45089.180613425924</x:v>
      </x:c>
      <x:c r="G2224" s="89" t="n">
        <x:v>45089.180613425924</x:v>
      </x:c>
      <x:c r="H2224" s="89" t="n">
        <x:v>45091.88894675926</x:v>
      </x:c>
      <x:c r="I2224" s="89" t="n">
        <x:v>45092.555613425924</x:v>
      </x:c>
      <x:c r="J2224" s="84" t="str">
        <x:v>Crítica</x:v>
      </x:c>
      <x:c r="K2224" s="84" t="str">
        <x:v>Encerrada</x:v>
      </x:c>
      <x:c r="L2224" s="84" t="str">
        <x:v>Alarme intermitente</x:v>
      </x:c>
      <x:c r="M2224" s="84" t="str">
        <x:v>Desgaste natural</x:v>
      </x:c>
      <x:c r="N2224" s="84" t="str">
        <x:v>Componente ajustado ou substituído</x:v>
      </x:c>
      <x:c r="O2224" s="84" t="n">
        <x:v>0</x:v>
      </x:c>
      <x:c r="P2224" s="93" t="n">
        <x:v>532.76</x:v>
      </x:c>
      <x:c r="Q2224" s="93" t="n">
        <x:v>0</x:v>
      </x:c>
      <x:c r="R2224" s="91" t="n">
        <x:v>0</x:v>
      </x:c>
    </x:row>
    <x:row r="2225">
      <x:c r="A2225" s="83" t="n">
        <x:v>2224</x:v>
      </x:c>
      <x:c r="B2225" s="84" t="str">
        <x:v>OS-2024-02224</x:v>
      </x:c>
      <x:c r="C2225" s="84" t="n">
        <x:v>23</x:v>
      </x:c>
      <x:c r="D2225" s="84" t="n">
        <x:v>3</x:v>
      </x:c>
      <x:c r="E2225" s="84"/>
      <x:c r="F2225" s="89" t="n">
        <x:v>45473.98583333333</x:v>
      </x:c>
      <x:c r="G2225" s="89"/>
      <x:c r="H2225" s="89" t="n">
        <x:v>45474.11083333333</x:v>
      </x:c>
      <x:c r="I2225" s="89" t="n">
        <x:v>45474.61083333333</x:v>
      </x:c>
      <x:c r="J2225" s="84" t="str">
        <x:v>Baixa</x:v>
      </x:c>
      <x:c r="K2225" s="84" t="str">
        <x:v>Encerrada</x:v>
      </x:c>
      <x:c r="L2225" s="84" t="str">
        <x:v>Alarme intermitente</x:v>
      </x:c>
      <x:c r="M2225" s="84" t="str">
        <x:v>Desgaste natural</x:v>
      </x:c>
      <x:c r="N2225" s="84" t="str">
        <x:v>Componente ajustado ou substituído</x:v>
      </x:c>
      <x:c r="O2225" s="84" t="n">
        <x:v>0</x:v>
      </x:c>
      <x:c r="P2225" s="93" t="n">
        <x:v>247.84</x:v>
      </x:c>
      <x:c r="Q2225" s="93" t="n">
        <x:v>351.44</x:v>
      </x:c>
      <x:c r="R2225" s="91" t="n">
        <x:v>0</x:v>
      </x:c>
    </x:row>
    <x:row r="2226">
      <x:c r="A2226" s="83" t="n">
        <x:v>2225</x:v>
      </x:c>
      <x:c r="B2226" s="84" t="str">
        <x:v>OS-2025-02225</x:v>
      </x:c>
      <x:c r="C2226" s="84" t="n">
        <x:v>3</x:v>
      </x:c>
      <x:c r="D2226" s="84" t="n">
        <x:v>1</x:v>
      </x:c>
      <x:c r="E2226" s="84" t="n">
        <x:v>5</x:v>
      </x:c>
      <x:c r="F2226" s="89" t="n">
        <x:v>45907.477118055554</x:v>
      </x:c>
      <x:c r="G2226" s="89" t="n">
        <x:v>45920.477118055554</x:v>
      </x:c>
      <x:c r="H2226" s="89" t="n">
        <x:v>45910.102118055554</x:v>
      </x:c>
      <x:c r="I2226" s="89" t="n">
        <x:v>45910.26878472222</x:v>
      </x:c>
      <x:c r="J2226" s="84" t="str">
        <x:v>Média</x:v>
      </x:c>
      <x:c r="K2226" s="84" t="str">
        <x:v>Encerrada</x:v>
      </x:c>
      <x:c r="L2226" s="84" t="str">
        <x:v>Superaquecimento</x:v>
      </x:c>
      <x:c r="M2226" s="84" t="str">
        <x:v>Falta de lubrificação</x:v>
      </x:c>
      <x:c r="N2226" s="84" t="str">
        <x:v>Componente ajustado ou substituído</x:v>
      </x:c>
      <x:c r="O2226" s="84" t="n">
        <x:v>0</x:v>
      </x:c>
      <x:c r="P2226" s="93" t="n">
        <x:v>537.19</x:v>
      </x:c>
      <x:c r="Q2226" s="93" t="n">
        <x:v>16003.64</x:v>
      </x:c>
      <x:c r="R2226" s="91" t="n">
        <x:v>0</x:v>
      </x:c>
    </x:row>
    <x:row r="2227">
      <x:c r="A2227" s="83" t="n">
        <x:v>2226</x:v>
      </x:c>
      <x:c r="B2227" s="84" t="str">
        <x:v>OS-2023-02226</x:v>
      </x:c>
      <x:c r="C2227" s="84" t="n">
        <x:v>24</x:v>
      </x:c>
      <x:c r="D2227" s="84" t="n">
        <x:v>3</x:v>
      </x:c>
      <x:c r="E2227" s="84"/>
      <x:c r="F2227" s="89" t="n">
        <x:v>44984.862488425926</x:v>
      </x:c>
      <x:c r="G2227" s="89"/>
      <x:c r="H2227" s="89"/>
      <x:c r="I2227" s="89"/>
      <x:c r="J2227" s="84" t="str">
        <x:v>Alta</x:v>
      </x:c>
      <x:c r="K2227" s="84" t="str">
        <x:v>Cancelada</x:v>
      </x:c>
      <x:c r="L2227" s="84" t="str">
        <x:v>Falha elétrica</x:v>
      </x:c>
      <x:c r="M2227" s="84"/>
      <x:c r="N2227" s="84"/>
      <x:c r="O2227" s="84" t="n">
        <x:v>0</x:v>
      </x:c>
      <x:c r="P2227" s="93" t="n">
        <x:v>0</x:v>
      </x:c>
      <x:c r="Q2227" s="93" t="n">
        <x:v>0</x:v>
      </x:c>
      <x:c r="R2227" s="91" t="n">
        <x:v>0</x:v>
      </x:c>
    </x:row>
    <x:row r="2228">
      <x:c r="A2228" s="83" t="n">
        <x:v>2227</x:v>
      </x:c>
      <x:c r="B2228" s="84" t="str">
        <x:v>OS-2023-02227</x:v>
      </x:c>
      <x:c r="C2228" s="84" t="n">
        <x:v>81</x:v>
      </x:c>
      <x:c r="D2228" s="84" t="n">
        <x:v>7</x:v>
      </x:c>
      <x:c r="E2228" s="84" t="n">
        <x:v>161</x:v>
      </x:c>
      <x:c r="F2228" s="89" t="n">
        <x:v>45218.31820601852</x:v>
      </x:c>
      <x:c r="G2228" s="89" t="n">
        <x:v>45230.31820601852</x:v>
      </x:c>
      <x:c r="H2228" s="89" t="n">
        <x:v>45221.234872685185</x:v>
      </x:c>
      <x:c r="I2228" s="89" t="n">
        <x:v>45222.06820601852</x:v>
      </x:c>
      <x:c r="J2228" s="84" t="str">
        <x:v>Alta</x:v>
      </x:c>
      <x:c r="K2228" s="84" t="str">
        <x:v>Encerrada</x:v>
      </x:c>
      <x:c r="L2228" s="84" t="str">
        <x:v>Superaquecimento</x:v>
      </x:c>
      <x:c r="M2228" s="84" t="str">
        <x:v>Componente danificado</x:v>
      </x:c>
      <x:c r="N2228" s="84" t="str">
        <x:v>Componente ajustado ou substituído</x:v>
      </x:c>
      <x:c r="O2228" s="84" t="n">
        <x:v>0</x:v>
      </x:c>
      <x:c r="P2228" s="93" t="n">
        <x:v>381.92</x:v>
      </x:c>
      <x:c r="Q2228" s="93" t="n">
        <x:v>11931.31</x:v>
      </x:c>
      <x:c r="R2228" s="91" t="n">
        <x:v>0</x:v>
      </x:c>
    </x:row>
    <x:row r="2229">
      <x:c r="A2229" s="83" t="n">
        <x:v>2228</x:v>
      </x:c>
      <x:c r="B2229" s="84" t="str">
        <x:v>OS-2025-02228</x:v>
      </x:c>
      <x:c r="C2229" s="84" t="n">
        <x:v>88</x:v>
      </x:c>
      <x:c r="D2229" s="84" t="n">
        <x:v>3</x:v>
      </x:c>
      <x:c r="E2229" s="84"/>
      <x:c r="F2229" s="89" t="n">
        <x:v>45754.03623842593</x:v>
      </x:c>
      <x:c r="G2229" s="89"/>
      <x:c r="H2229" s="89" t="n">
        <x:v>45755.45290509259</x:v>
      </x:c>
      <x:c r="I2229" s="89" t="n">
        <x:v>45755.494571759256</x:v>
      </x:c>
      <x:c r="J2229" s="84" t="str">
        <x:v>Alta</x:v>
      </x:c>
      <x:c r="K2229" s="84" t="str">
        <x:v>Encerrada</x:v>
      </x:c>
      <x:c r="L2229" s="84" t="str">
        <x:v>Baixa pressão</x:v>
      </x:c>
      <x:c r="M2229" s="84" t="str">
        <x:v>Falta de lubrificação</x:v>
      </x:c>
      <x:c r="N2229" s="84" t="str">
        <x:v>Componente ajustado ou substituído</x:v>
      </x:c>
      <x:c r="O2229" s="84" t="n">
        <x:v>0</x:v>
      </x:c>
      <x:c r="P2229" s="93" t="n">
        <x:v>570.3</x:v>
      </x:c>
      <x:c r="Q2229" s="93" t="n">
        <x:v>14635.36</x:v>
      </x:c>
      <x:c r="R2229" s="91" t="n">
        <x:v>0</x:v>
      </x:c>
    </x:row>
    <x:row r="2230">
      <x:c r="A2230" s="83" t="n">
        <x:v>2229</x:v>
      </x:c>
      <x:c r="B2230" s="84" t="str">
        <x:v>OS-2024-02229</x:v>
      </x:c>
      <x:c r="C2230" s="84" t="n">
        <x:v>29</x:v>
      </x:c>
      <x:c r="D2230" s="84" t="n">
        <x:v>1</x:v>
      </x:c>
      <x:c r="E2230" s="84" t="n">
        <x:v>57</x:v>
      </x:c>
      <x:c r="F2230" s="89" t="n">
        <x:v>45394.89505787037</x:v>
      </x:c>
      <x:c r="G2230" s="89" t="n">
        <x:v>45402.89505787037</x:v>
      </x:c>
      <x:c r="H2230" s="89"/>
      <x:c r="I2230" s="89"/>
      <x:c r="J2230" s="84" t="str">
        <x:v>Média</x:v>
      </x:c>
      <x:c r="K2230" s="84" t="str">
        <x:v>Cancelada</x:v>
      </x:c>
      <x:c r="L2230" s="84" t="str">
        <x:v>Ruído anormal</x:v>
      </x:c>
      <x:c r="M2230" s="84"/>
      <x:c r="N2230" s="84"/>
      <x:c r="O2230" s="84" t="n">
        <x:v>0</x:v>
      </x:c>
      <x:c r="P2230" s="93" t="n">
        <x:v>0</x:v>
      </x:c>
      <x:c r="Q2230" s="93" t="n">
        <x:v>0</x:v>
      </x:c>
      <x:c r="R2230" s="91" t="n">
        <x:v>0</x:v>
      </x:c>
    </x:row>
    <x:row r="2231">
      <x:c r="A2231" s="83" t="n">
        <x:v>2230</x:v>
      </x:c>
      <x:c r="B2231" s="84" t="str">
        <x:v>OS-2025-02230</x:v>
      </x:c>
      <x:c r="C2231" s="84" t="n">
        <x:v>67</x:v>
      </x:c>
      <x:c r="D2231" s="84" t="n">
        <x:v>7</x:v>
      </x:c>
      <x:c r="E2231" s="84" t="n">
        <x:v>133</x:v>
      </x:c>
      <x:c r="F2231" s="89" t="n">
        <x:v>45839.859826388885</x:v>
      </x:c>
      <x:c r="G2231" s="89" t="n">
        <x:v>45847.859826388885</x:v>
      </x:c>
      <x:c r="H2231" s="89" t="n">
        <x:v>45840.984826388885</x:v>
      </x:c>
      <x:c r="I2231" s="89" t="n">
        <x:v>45841.359826388885</x:v>
      </x:c>
      <x:c r="J2231" s="84" t="str">
        <x:v>Média</x:v>
      </x:c>
      <x:c r="K2231" s="84" t="str">
        <x:v>Encerrada</x:v>
      </x:c>
      <x:c r="L2231" s="84" t="str">
        <x:v>Ruído anormal</x:v>
      </x:c>
      <x:c r="M2231" s="84" t="str">
        <x:v>Componente danificado</x:v>
      </x:c>
      <x:c r="N2231" s="84" t="str">
        <x:v>Componente ajustado ou substituído</x:v>
      </x:c>
      <x:c r="O2231" s="84" t="n">
        <x:v>0</x:v>
      </x:c>
      <x:c r="P2231" s="93" t="n">
        <x:v>329.35</x:v>
      </x:c>
      <x:c r="Q2231" s="93" t="n">
        <x:v>9387.68</x:v>
      </x:c>
      <x:c r="R2231" s="91" t="n">
        <x:v>0</x:v>
      </x:c>
    </x:row>
    <x:row r="2232">
      <x:c r="A2232" s="83" t="n">
        <x:v>2231</x:v>
      </x:c>
      <x:c r="B2232" s="84" t="str">
        <x:v>OS-2025-02231</x:v>
      </x:c>
      <x:c r="C2232" s="84" t="n">
        <x:v>47</x:v>
      </x:c>
      <x:c r="D2232" s="84" t="n">
        <x:v>7</x:v>
      </x:c>
      <x:c r="E2232" s="84" t="n">
        <x:v>94</x:v>
      </x:c>
      <x:c r="F2232" s="89" t="n">
        <x:v>45879.70775462963</x:v>
      </x:c>
      <x:c r="G2232" s="89" t="n">
        <x:v>45885.70775462963</x:v>
      </x:c>
      <x:c r="H2232" s="89" t="n">
        <x:v>45880.58275462963</x:v>
      </x:c>
      <x:c r="I2232" s="89" t="n">
        <x:v>45881.41608796296</x:v>
      </x:c>
      <x:c r="J2232" s="84" t="str">
        <x:v>Média</x:v>
      </x:c>
      <x:c r="K2232" s="84" t="str">
        <x:v>Concluída</x:v>
      </x:c>
      <x:c r="L2232" s="84" t="str">
        <x:v>Vazamento</x:v>
      </x:c>
      <x:c r="M2232" s="84" t="str">
        <x:v>Componente danificado</x:v>
      </x:c>
      <x:c r="N2232" s="84" t="str">
        <x:v>Componente ajustado ou substituído</x:v>
      </x:c>
      <x:c r="O2232" s="84" t="n">
        <x:v>0</x:v>
      </x:c>
      <x:c r="P2232" s="93" t="n">
        <x:v>259.26</x:v>
      </x:c>
      <x:c r="Q2232" s="93" t="n">
        <x:v>9155.7</x:v>
      </x:c>
      <x:c r="R2232" s="91" t="n">
        <x:v>0</x:v>
      </x:c>
    </x:row>
    <x:row r="2233">
      <x:c r="A2233" s="83" t="n">
        <x:v>2232</x:v>
      </x:c>
      <x:c r="B2233" s="84" t="str">
        <x:v>OS-2024-02232</x:v>
      </x:c>
      <x:c r="C2233" s="84" t="n">
        <x:v>31</x:v>
      </x:c>
      <x:c r="D2233" s="84" t="n">
        <x:v>1</x:v>
      </x:c>
      <x:c r="E2233" s="84" t="n">
        <x:v>61</x:v>
      </x:c>
      <x:c r="F2233" s="89" t="n">
        <x:v>45418.40109953703</x:v>
      </x:c>
      <x:c r="G2233" s="89" t="n">
        <x:v>45418.40109953703</x:v>
      </x:c>
      <x:c r="H2233" s="89" t="n">
        <x:v>45418.48443287037</x:v>
      </x:c>
      <x:c r="I2233" s="89" t="n">
        <x:v>45418.817766203705</x:v>
      </x:c>
      <x:c r="J2233" s="84" t="str">
        <x:v>Baixa</x:v>
      </x:c>
      <x:c r="K2233" s="84" t="str">
        <x:v>Concluída</x:v>
      </x:c>
      <x:c r="L2233" s="84" t="str">
        <x:v>Falha elétrica</x:v>
      </x:c>
      <x:c r="M2233" s="84" t="str">
        <x:v>Ajuste incorreto</x:v>
      </x:c>
      <x:c r="N2233" s="84" t="str">
        <x:v>Componente ajustado ou substituído</x:v>
      </x:c>
      <x:c r="O2233" s="84" t="n">
        <x:v>0</x:v>
      </x:c>
      <x:c r="P2233" s="93" t="n">
        <x:v>97.88</x:v>
      </x:c>
      <x:c r="Q2233" s="93" t="n">
        <x:v>568.98</x:v>
      </x:c>
      <x:c r="R2233" s="91" t="n">
        <x:v>0</x:v>
      </x:c>
    </x:row>
    <x:row r="2234">
      <x:c r="A2234" s="83" t="n">
        <x:v>2233</x:v>
      </x:c>
      <x:c r="B2234" s="84" t="str">
        <x:v>OS-2025-02233</x:v>
      </x:c>
      <x:c r="C2234" s="84" t="n">
        <x:v>28</x:v>
      </x:c>
      <x:c r="D2234" s="84" t="n">
        <x:v>7</x:v>
      </x:c>
      <x:c r="E2234" s="84" t="n">
        <x:v>56</x:v>
      </x:c>
      <x:c r="F2234" s="89" t="n">
        <x:v>45768.47341435185</x:v>
      </x:c>
      <x:c r="G2234" s="89" t="n">
        <x:v>45772.47341435185</x:v>
      </x:c>
      <x:c r="H2234" s="89" t="n">
        <x:v>45770.22341435185</x:v>
      </x:c>
      <x:c r="I2234" s="89" t="n">
        <x:v>45770.97341435185</x:v>
      </x:c>
      <x:c r="J2234" s="84" t="str">
        <x:v>Crítica</x:v>
      </x:c>
      <x:c r="K2234" s="84" t="str">
        <x:v>Encerrada</x:v>
      </x:c>
      <x:c r="L2234" s="84" t="str">
        <x:v>Superaquecimento</x:v>
      </x:c>
      <x:c r="M2234" s="84" t="str">
        <x:v>Conexão frouxa</x:v>
      </x:c>
      <x:c r="N2234" s="84" t="str">
        <x:v>Componente ajustado ou substituído</x:v>
      </x:c>
      <x:c r="O2234" s="84" t="n">
        <x:v>0</x:v>
      </x:c>
      <x:c r="P2234" s="93" t="n">
        <x:v>86.22</x:v>
      </x:c>
      <x:c r="Q2234" s="93" t="n">
        <x:v>0</x:v>
      </x:c>
      <x:c r="R2234" s="91" t="n">
        <x:v>0</x:v>
      </x:c>
    </x:row>
    <x:row r="2235">
      <x:c r="A2235" s="83" t="n">
        <x:v>2234</x:v>
      </x:c>
      <x:c r="B2235" s="84" t="str">
        <x:v>OS-2024-02234</x:v>
      </x:c>
      <x:c r="C2235" s="84" t="n">
        <x:v>71</x:v>
      </x:c>
      <x:c r="D2235" s="84" t="n">
        <x:v>3</x:v>
      </x:c>
      <x:c r="E2235" s="84"/>
      <x:c r="F2235" s="89" t="n">
        <x:v>45367.464583333334</x:v>
      </x:c>
      <x:c r="G2235" s="89"/>
      <x:c r="H2235" s="89" t="n">
        <x:v>45368.089583333334</x:v>
      </x:c>
      <x:c r="I2235" s="89" t="n">
        <x:v>45368.63125</x:v>
      </x:c>
      <x:c r="J2235" s="84" t="str">
        <x:v>Baixa</x:v>
      </x:c>
      <x:c r="K2235" s="84" t="str">
        <x:v>Encerrada</x:v>
      </x:c>
      <x:c r="L2235" s="84" t="str">
        <x:v>Ruído anormal</x:v>
      </x:c>
      <x:c r="M2235" s="84" t="str">
        <x:v>Desgaste natural</x:v>
      </x:c>
      <x:c r="N2235" s="84" t="str">
        <x:v>Componente ajustado ou substituído</x:v>
      </x:c>
      <x:c r="O2235" s="84" t="n">
        <x:v>0</x:v>
      </x:c>
      <x:c r="P2235" s="93" t="n">
        <x:v>27.33</x:v>
      </x:c>
      <x:c r="Q2235" s="93" t="n">
        <x:v>2898.4</x:v>
      </x:c>
      <x:c r="R2235" s="91" t="n">
        <x:v>0</x:v>
      </x:c>
    </x:row>
    <x:row r="2236">
      <x:c r="A2236" s="83" t="n">
        <x:v>2235</x:v>
      </x:c>
      <x:c r="B2236" s="84" t="str">
        <x:v>OS-2025-02235</x:v>
      </x:c>
      <x:c r="C2236" s="84" t="n">
        <x:v>25</x:v>
      </x:c>
      <x:c r="D2236" s="84" t="n">
        <x:v>1</x:v>
      </x:c>
      <x:c r="E2236" s="84" t="n">
        <x:v>50</x:v>
      </x:c>
      <x:c r="F2236" s="89" t="n">
        <x:v>45989.5703587963</x:v>
      </x:c>
      <x:c r="G2236" s="89" t="n">
        <x:v>46003.5703587963</x:v>
      </x:c>
      <x:c r="H2236" s="89" t="n">
        <x:v>45991.5703587963</x:v>
      </x:c>
      <x:c r="I2236" s="89" t="n">
        <x:v>45991.90369212963</x:v>
      </x:c>
      <x:c r="J2236" s="84" t="str">
        <x:v>Crítica</x:v>
      </x:c>
      <x:c r="K2236" s="84" t="str">
        <x:v>Encerrada</x:v>
      </x:c>
      <x:c r="L2236" s="84" t="str">
        <x:v>Vazamento</x:v>
      </x:c>
      <x:c r="M2236" s="84" t="str">
        <x:v>Contaminação</x:v>
      </x:c>
      <x:c r="N2236" s="84" t="str">
        <x:v>Componente ajustado ou substituído</x:v>
      </x:c>
      <x:c r="O2236" s="84" t="n">
        <x:v>0</x:v>
      </x:c>
      <x:c r="P2236" s="93" t="n">
        <x:v>117.94</x:v>
      </x:c>
      <x:c r="Q2236" s="93" t="n">
        <x:v>5087.88</x:v>
      </x:c>
      <x:c r="R2236" s="91" t="n">
        <x:v>0</x:v>
      </x:c>
    </x:row>
    <x:row r="2237">
      <x:c r="A2237" s="83" t="n">
        <x:v>2236</x:v>
      </x:c>
      <x:c r="B2237" s="84" t="str">
        <x:v>OS-2023-02236</x:v>
      </x:c>
      <x:c r="C2237" s="84" t="n">
        <x:v>66</x:v>
      </x:c>
      <x:c r="D2237" s="84" t="n">
        <x:v>8</x:v>
      </x:c>
      <x:c r="E2237" s="84"/>
      <x:c r="F2237" s="89" t="n">
        <x:v>44978.404375</x:v>
      </x:c>
      <x:c r="G2237" s="89" t="n">
        <x:v>44984.404375</x:v>
      </x:c>
      <x:c r="H2237" s="89" t="n">
        <x:v>44978.862708333334</x:v>
      </x:c>
      <x:c r="I2237" s="89" t="n">
        <x:v>44979.57104166667</x:v>
      </x:c>
      <x:c r="J2237" s="84" t="str">
        <x:v>Média</x:v>
      </x:c>
      <x:c r="K2237" s="84" t="str">
        <x:v>Concluída</x:v>
      </x:c>
      <x:c r="L2237" s="84" t="str">
        <x:v>Superaquecimento</x:v>
      </x:c>
      <x:c r="M2237" s="84" t="str">
        <x:v>Contaminação</x:v>
      </x:c>
      <x:c r="N2237" s="84" t="str">
        <x:v>Componente ajustado ou substituído</x:v>
      </x:c>
      <x:c r="O2237" s="84" t="n">
        <x:v>0</x:v>
      </x:c>
      <x:c r="P2237" s="93" t="n">
        <x:v>687.58</x:v>
      </x:c>
      <x:c r="Q2237" s="93" t="n">
        <x:v>9815.86</x:v>
      </x:c>
      <x:c r="R2237" s="91" t="n">
        <x:v>0</x:v>
      </x:c>
    </x:row>
    <x:row r="2238">
      <x:c r="A2238" s="83" t="n">
        <x:v>2237</x:v>
      </x:c>
      <x:c r="B2238" s="84" t="str">
        <x:v>OS-2024-02237</x:v>
      </x:c>
      <x:c r="C2238" s="84" t="n">
        <x:v>31</x:v>
      </x:c>
      <x:c r="D2238" s="84" t="n">
        <x:v>6</x:v>
      </x:c>
      <x:c r="E2238" s="84"/>
      <x:c r="F2238" s="89" t="n">
        <x:v>45451.31234953704</x:v>
      </x:c>
      <x:c r="G2238" s="89" t="n">
        <x:v>45462.31234953704</x:v>
      </x:c>
      <x:c r="H2238" s="89" t="n">
        <x:v>45452.43734953704</x:v>
      </x:c>
      <x:c r="I2238" s="89" t="n">
        <x:v>45453.2290162037</x:v>
      </x:c>
      <x:c r="J2238" s="84" t="str">
        <x:v>Alta</x:v>
      </x:c>
      <x:c r="K2238" s="84" t="str">
        <x:v>Encerrada</x:v>
      </x:c>
      <x:c r="L2238" s="84" t="str">
        <x:v>Desalinhamento</x:v>
      </x:c>
      <x:c r="M2238" s="84" t="str">
        <x:v>Contaminação</x:v>
      </x:c>
      <x:c r="N2238" s="84" t="str">
        <x:v>Componente ajustado ou substituído</x:v>
      </x:c>
      <x:c r="O2238" s="84" t="n">
        <x:v>0</x:v>
      </x:c>
      <x:c r="P2238" s="93" t="n">
        <x:v>233.16</x:v>
      </x:c>
      <x:c r="Q2238" s="93" t="n">
        <x:v>14312.65</x:v>
      </x:c>
      <x:c r="R2238" s="91" t="n">
        <x:v>0</x:v>
      </x:c>
    </x:row>
    <x:row r="2239">
      <x:c r="A2239" s="83" t="n">
        <x:v>2238</x:v>
      </x:c>
      <x:c r="B2239" s="84" t="str">
        <x:v>OS-2025-02238</x:v>
      </x:c>
      <x:c r="C2239" s="84" t="n">
        <x:v>30</x:v>
      </x:c>
      <x:c r="D2239" s="84" t="n">
        <x:v>1</x:v>
      </x:c>
      <x:c r="E2239" s="84" t="n">
        <x:v>59</x:v>
      </x:c>
      <x:c r="F2239" s="89" t="n">
        <x:v>45658.432488425926</x:v>
      </x:c>
      <x:c r="G2239" s="89" t="n">
        <x:v>45668.432488425926</x:v>
      </x:c>
      <x:c r="H2239" s="89" t="n">
        <x:v>45659.97415509259</x:v>
      </x:c>
      <x:c r="I2239" s="89" t="n">
        <x:v>45660.22415509259</x:v>
      </x:c>
      <x:c r="J2239" s="84" t="str">
        <x:v>Crítica</x:v>
      </x:c>
      <x:c r="K2239" s="84" t="str">
        <x:v>Encerrada</x:v>
      </x:c>
      <x:c r="L2239" s="84" t="str">
        <x:v>Falha elétrica</x:v>
      </x:c>
      <x:c r="M2239" s="84" t="str">
        <x:v>Ajuste incorreto</x:v>
      </x:c>
      <x:c r="N2239" s="84" t="str">
        <x:v>Componente ajustado ou substituído</x:v>
      </x:c>
      <x:c r="O2239" s="84" t="n">
        <x:v>0</x:v>
      </x:c>
      <x:c r="P2239" s="93" t="n">
        <x:v>236.02</x:v>
      </x:c>
      <x:c r="Q2239" s="93" t="n">
        <x:v>1623.6</x:v>
      </x:c>
      <x:c r="R2239" s="91" t="n">
        <x:v>0</x:v>
      </x:c>
    </x:row>
    <x:row r="2240">
      <x:c r="A2240" s="83" t="n">
        <x:v>2239</x:v>
      </x:c>
      <x:c r="B2240" s="84" t="str">
        <x:v>OS-2025-02239</x:v>
      </x:c>
      <x:c r="C2240" s="84" t="n">
        <x:v>73</x:v>
      </x:c>
      <x:c r="D2240" s="84" t="n">
        <x:v>4</x:v>
      </x:c>
      <x:c r="E2240" s="84"/>
      <x:c r="F2240" s="89" t="n">
        <x:v>45760.11614583333</x:v>
      </x:c>
      <x:c r="G2240" s="89" t="n">
        <x:v>45768.11614583333</x:v>
      </x:c>
      <x:c r="H2240" s="89" t="n">
        <x:v>45761.99114583333</x:v>
      </x:c>
      <x:c r="I2240" s="89" t="n">
        <x:v>45762.49114583333</x:v>
      </x:c>
      <x:c r="J2240" s="84" t="str">
        <x:v>Baixa</x:v>
      </x:c>
      <x:c r="K2240" s="84" t="str">
        <x:v>Concluída</x:v>
      </x:c>
      <x:c r="L2240" s="84" t="str">
        <x:v>Alarme intermitente</x:v>
      </x:c>
      <x:c r="M2240" s="84" t="str">
        <x:v>Contaminação</x:v>
      </x:c>
      <x:c r="N2240" s="84" t="str">
        <x:v>Componente ajustado ou substituído</x:v>
      </x:c>
      <x:c r="O2240" s="84" t="n">
        <x:v>0</x:v>
      </x:c>
      <x:c r="P2240" s="93" t="n">
        <x:v>738.76</x:v>
      </x:c>
      <x:c r="Q2240" s="93" t="n">
        <x:v>14237.3</x:v>
      </x:c>
      <x:c r="R2240" s="91" t="n">
        <x:v>3862.79</x:v>
      </x:c>
    </x:row>
    <x:row r="2241">
      <x:c r="A2241" s="83" t="n">
        <x:v>2240</x:v>
      </x:c>
      <x:c r="B2241" s="84" t="str">
        <x:v>OS-2025-02240</x:v>
      </x:c>
      <x:c r="C2241" s="84" t="n">
        <x:v>31</x:v>
      </x:c>
      <x:c r="D2241" s="84" t="n">
        <x:v>1</x:v>
      </x:c>
      <x:c r="E2241" s="84" t="n">
        <x:v>61</x:v>
      </x:c>
      <x:c r="F2241" s="89" t="n">
        <x:v>45698.77984953704</x:v>
      </x:c>
      <x:c r="G2241" s="89" t="n">
        <x:v>45713.77984953704</x:v>
      </x:c>
      <x:c r="H2241" s="89" t="n">
        <x:v>45700.3215162037</x:v>
      </x:c>
      <x:c r="I2241" s="89"/>
      <x:c r="J2241" s="84" t="str">
        <x:v>Crítica</x:v>
      </x:c>
      <x:c r="K2241" s="84" t="str">
        <x:v>Aguardando peça</x:v>
      </x:c>
      <x:c r="L2241" s="84" t="str">
        <x:v>Desalinhamento</x:v>
      </x:c>
      <x:c r="M2241" s="84" t="str">
        <x:v>Ajuste incorreto</x:v>
      </x:c>
      <x:c r="N2241" s="84"/>
      <x:c r="O2241" s="84" t="n">
        <x:v>0</x:v>
      </x:c>
      <x:c r="P2241" s="93" t="n">
        <x:v>501.84</x:v>
      </x:c>
      <x:c r="Q2241" s="93" t="n">
        <x:v>6526.86</x:v>
      </x:c>
      <x:c r="R2241" s="91" t="n">
        <x:v>0</x:v>
      </x:c>
    </x:row>
    <x:row r="2242">
      <x:c r="A2242" s="83" t="n">
        <x:v>2241</x:v>
      </x:c>
      <x:c r="B2242" s="84" t="str">
        <x:v>OS-2024-02241</x:v>
      </x:c>
      <x:c r="C2242" s="84" t="n">
        <x:v>13</x:v>
      </x:c>
      <x:c r="D2242" s="84" t="n">
        <x:v>1</x:v>
      </x:c>
      <x:c r="E2242" s="84" t="n">
        <x:v>26</x:v>
      </x:c>
      <x:c r="F2242" s="89" t="n">
        <x:v>45549.77118055556</x:v>
      </x:c>
      <x:c r="G2242" s="89" t="n">
        <x:v>45559.77118055556</x:v>
      </x:c>
      <x:c r="H2242" s="89" t="n">
        <x:v>45552.68784722222</x:v>
      </x:c>
      <x:c r="I2242" s="89" t="n">
        <x:v>45553.35451388889</x:v>
      </x:c>
      <x:c r="J2242" s="84" t="str">
        <x:v>Baixa</x:v>
      </x:c>
      <x:c r="K2242" s="84" t="str">
        <x:v>Encerrada</x:v>
      </x:c>
      <x:c r="L2242" s="84" t="str">
        <x:v>Desalinhamento</x:v>
      </x:c>
      <x:c r="M2242" s="84" t="str">
        <x:v>Ajuste incorreto</x:v>
      </x:c>
      <x:c r="N2242" s="84" t="str">
        <x:v>Componente ajustado ou substituído</x:v>
      </x:c>
      <x:c r="O2242" s="84" t="n">
        <x:v>0</x:v>
      </x:c>
      <x:c r="P2242" s="93" t="n">
        <x:v>66.57</x:v>
      </x:c>
      <x:c r="Q2242" s="93" t="n">
        <x:v>0</x:v>
      </x:c>
      <x:c r="R2242" s="91" t="n">
        <x:v>0</x:v>
      </x:c>
    </x:row>
    <x:row r="2243">
      <x:c r="A2243" s="83" t="n">
        <x:v>2242</x:v>
      </x:c>
      <x:c r="B2243" s="84" t="str">
        <x:v>OS-2023-02242</x:v>
      </x:c>
      <x:c r="C2243" s="84" t="n">
        <x:v>24</x:v>
      </x:c>
      <x:c r="D2243" s="84" t="n">
        <x:v>2</x:v>
      </x:c>
      <x:c r="E2243" s="84"/>
      <x:c r="F2243" s="89" t="n">
        <x:v>45045.315034722225</x:v>
      </x:c>
      <x:c r="G2243" s="89" t="n">
        <x:v>45055.315034722225</x:v>
      </x:c>
      <x:c r="H2243" s="89" t="n">
        <x:v>45047.148368055554</x:v>
      </x:c>
      <x:c r="I2243" s="89" t="n">
        <x:v>45047.648368055554</x:v>
      </x:c>
      <x:c r="J2243" s="84" t="str">
        <x:v>Crítica</x:v>
      </x:c>
      <x:c r="K2243" s="84" t="str">
        <x:v>Encerrada</x:v>
      </x:c>
      <x:c r="L2243" s="84" t="str">
        <x:v>Vazamento</x:v>
      </x:c>
      <x:c r="M2243" s="84" t="str">
        <x:v>Desgaste natural</x:v>
      </x:c>
      <x:c r="N2243" s="84" t="str">
        <x:v>Componente ajustado ou substituído</x:v>
      </x:c>
      <x:c r="O2243" s="84" t="n">
        <x:v>0</x:v>
      </x:c>
      <x:c r="P2243" s="93" t="n">
        <x:v>499.82</x:v>
      </x:c>
      <x:c r="Q2243" s="93" t="n">
        <x:v>0</x:v>
      </x:c>
      <x:c r="R2243" s="91" t="n">
        <x:v>0</x:v>
      </x:c>
    </x:row>
    <x:row r="2244">
      <x:c r="A2244" s="83" t="n">
        <x:v>2243</x:v>
      </x:c>
      <x:c r="B2244" s="84" t="str">
        <x:v>OS-2024-02243</x:v>
      </x:c>
      <x:c r="C2244" s="84" t="n">
        <x:v>81</x:v>
      </x:c>
      <x:c r="D2244" s="84" t="n">
        <x:v>7</x:v>
      </x:c>
      <x:c r="E2244" s="84" t="n">
        <x:v>161</x:v>
      </x:c>
      <x:c r="F2244" s="89" t="n">
        <x:v>45585.79131944444</x:v>
      </x:c>
      <x:c r="G2244" s="89" t="n">
        <x:v>45597.79131944444</x:v>
      </x:c>
      <x:c r="H2244" s="89" t="n">
        <x:v>45586.58298611111</x:v>
      </x:c>
      <x:c r="I2244" s="89" t="n">
        <x:v>45587.24965277778</x:v>
      </x:c>
      <x:c r="J2244" s="84" t="str">
        <x:v>Alta</x:v>
      </x:c>
      <x:c r="K2244" s="84" t="str">
        <x:v>Encerrada</x:v>
      </x:c>
      <x:c r="L2244" s="84" t="str">
        <x:v>Baixa pressão</x:v>
      </x:c>
      <x:c r="M2244" s="84" t="str">
        <x:v>Desgaste natural</x:v>
      </x:c>
      <x:c r="N2244" s="84" t="str">
        <x:v>Componente ajustado ou substituído</x:v>
      </x:c>
      <x:c r="O2244" s="84" t="n">
        <x:v>0</x:v>
      </x:c>
      <x:c r="P2244" s="93" t="n">
        <x:v>86.46</x:v>
      </x:c>
      <x:c r="Q2244" s="93" t="n">
        <x:v>7850.3</x:v>
      </x:c>
      <x:c r="R2244" s="91" t="n">
        <x:v>0</x:v>
      </x:c>
    </x:row>
    <x:row r="2245">
      <x:c r="A2245" s="83" t="n">
        <x:v>2244</x:v>
      </x:c>
      <x:c r="B2245" s="84" t="str">
        <x:v>OS-2025-02244</x:v>
      </x:c>
      <x:c r="C2245" s="84" t="n">
        <x:v>1</x:v>
      </x:c>
      <x:c r="D2245" s="84" t="n">
        <x:v>4</x:v>
      </x:c>
      <x:c r="E2245" s="84"/>
      <x:c r="F2245" s="89" t="n">
        <x:v>45915.52479166666</x:v>
      </x:c>
      <x:c r="G2245" s="89" t="n">
        <x:v>45924.52479166666</x:v>
      </x:c>
      <x:c r="H2245" s="89" t="n">
        <x:v>45916.441458333335</x:v>
      </x:c>
      <x:c r="I2245" s="89" t="n">
        <x:v>45917.191458333335</x:v>
      </x:c>
      <x:c r="J2245" s="84" t="str">
        <x:v>Crítica</x:v>
      </x:c>
      <x:c r="K2245" s="84" t="str">
        <x:v>Encerrada</x:v>
      </x:c>
      <x:c r="L2245" s="84" t="str">
        <x:v>Falha elétrica</x:v>
      </x:c>
      <x:c r="M2245" s="84" t="str">
        <x:v>Contaminação</x:v>
      </x:c>
      <x:c r="N2245" s="84" t="str">
        <x:v>Componente ajustado ou substituído</x:v>
      </x:c>
      <x:c r="O2245" s="84" t="n">
        <x:v>0</x:v>
      </x:c>
      <x:c r="P2245" s="93" t="n">
        <x:v>214.7</x:v>
      </x:c>
      <x:c r="Q2245" s="93" t="n">
        <x:v>12824.84</x:v>
      </x:c>
      <x:c r="R2245" s="91" t="n">
        <x:v>0</x:v>
      </x:c>
    </x:row>
    <x:row r="2246">
      <x:c r="A2246" s="83" t="n">
        <x:v>2245</x:v>
      </x:c>
      <x:c r="B2246" s="84" t="str">
        <x:v>OS-2023-02245</x:v>
      </x:c>
      <x:c r="C2246" s="84" t="n">
        <x:v>30</x:v>
      </x:c>
      <x:c r="D2246" s="84" t="n">
        <x:v>1</x:v>
      </x:c>
      <x:c r="E2246" s="84" t="n">
        <x:v>60</x:v>
      </x:c>
      <x:c r="F2246" s="89" t="n">
        <x:v>45161.91877314815</x:v>
      </x:c>
      <x:c r="G2246" s="89" t="n">
        <x:v>45166.91877314815</x:v>
      </x:c>
      <x:c r="H2246" s="89" t="n">
        <x:v>45163.75210648148</x:v>
      </x:c>
      <x:c r="I2246" s="89"/>
      <x:c r="J2246" s="84" t="str">
        <x:v>Baixa</x:v>
      </x:c>
      <x:c r="K2246" s="84" t="str">
        <x:v>Aguardando peça</x:v>
      </x:c>
      <x:c r="L2246" s="84" t="str">
        <x:v>Vazamento</x:v>
      </x:c>
      <x:c r="M2246" s="84" t="str">
        <x:v>Contaminação</x:v>
      </x:c>
      <x:c r="N2246" s="84"/>
      <x:c r="O2246" s="84" t="n">
        <x:v>0</x:v>
      </x:c>
      <x:c r="P2246" s="93" t="n">
        <x:v>127.14</x:v>
      </x:c>
      <x:c r="Q2246" s="93" t="n">
        <x:v>131.72</x:v>
      </x:c>
      <x:c r="R2246" s="91" t="n">
        <x:v>0</x:v>
      </x:c>
    </x:row>
    <x:row r="2247">
      <x:c r="A2247" s="83" t="n">
        <x:v>2246</x:v>
      </x:c>
      <x:c r="B2247" s="84" t="str">
        <x:v>OS-2023-02246</x:v>
      </x:c>
      <x:c r="C2247" s="84" t="n">
        <x:v>48</x:v>
      </x:c>
      <x:c r="D2247" s="84" t="n">
        <x:v>2</x:v>
      </x:c>
      <x:c r="E2247" s="84"/>
      <x:c r="F2247" s="89" t="n">
        <x:v>45163.62128472222</x:v>
      </x:c>
      <x:c r="G2247" s="89" t="n">
        <x:v>45171.62128472222</x:v>
      </x:c>
      <x:c r="H2247" s="89" t="n">
        <x:v>45164.204618055555</x:v>
      </x:c>
      <x:c r="I2247" s="89" t="n">
        <x:v>45164.87128472222</x:v>
      </x:c>
      <x:c r="J2247" s="84" t="str">
        <x:v>Média</x:v>
      </x:c>
      <x:c r="K2247" s="84" t="str">
        <x:v>Encerrada</x:v>
      </x:c>
      <x:c r="L2247" s="84" t="str">
        <x:v>Ruído anormal</x:v>
      </x:c>
      <x:c r="M2247" s="84" t="str">
        <x:v>Ajuste incorreto</x:v>
      </x:c>
      <x:c r="N2247" s="84" t="str">
        <x:v>Componente ajustado ou substituído</x:v>
      </x:c>
      <x:c r="O2247" s="84" t="n">
        <x:v>0</x:v>
      </x:c>
      <x:c r="P2247" s="93" t="n">
        <x:v>144.14</x:v>
      </x:c>
      <x:c r="Q2247" s="93" t="n">
        <x:v>0</x:v>
      </x:c>
      <x:c r="R2247" s="91" t="n">
        <x:v>0</x:v>
      </x:c>
    </x:row>
    <x:row r="2248">
      <x:c r="A2248" s="83" t="n">
        <x:v>2247</x:v>
      </x:c>
      <x:c r="B2248" s="84" t="str">
        <x:v>OS-2025-02247</x:v>
      </x:c>
      <x:c r="C2248" s="84" t="n">
        <x:v>16</x:v>
      </x:c>
      <x:c r="D2248" s="84" t="n">
        <x:v>1</x:v>
      </x:c>
      <x:c r="E2248" s="84" t="n">
        <x:v>32</x:v>
      </x:c>
      <x:c r="F2248" s="89" t="n">
        <x:v>45865.4816087963</x:v>
      </x:c>
      <x:c r="G2248" s="89" t="n">
        <x:v>45870.4816087963</x:v>
      </x:c>
      <x:c r="H2248" s="89" t="n">
        <x:v>45865.6066087963</x:v>
      </x:c>
      <x:c r="I2248" s="89" t="n">
        <x:v>45866.3566087963</x:v>
      </x:c>
      <x:c r="J2248" s="84" t="str">
        <x:v>Baixa</x:v>
      </x:c>
      <x:c r="K2248" s="84" t="str">
        <x:v>Encerrada</x:v>
      </x:c>
      <x:c r="L2248" s="84" t="str">
        <x:v>Superaquecimento</x:v>
      </x:c>
      <x:c r="M2248" s="84" t="str">
        <x:v>Desgaste natural</x:v>
      </x:c>
      <x:c r="N2248" s="84" t="str">
        <x:v>Componente ajustado ou substituído</x:v>
      </x:c>
      <x:c r="O2248" s="84" t="n">
        <x:v>0</x:v>
      </x:c>
      <x:c r="P2248" s="93" t="n">
        <x:v>275.29</x:v>
      </x:c>
      <x:c r="Q2248" s="93" t="n">
        <x:v>892.16</x:v>
      </x:c>
      <x:c r="R2248" s="91" t="n">
        <x:v>0</x:v>
      </x:c>
    </x:row>
    <x:row r="2249">
      <x:c r="A2249" s="83" t="n">
        <x:v>2248</x:v>
      </x:c>
      <x:c r="B2249" s="84" t="str">
        <x:v>OS-2024-02248</x:v>
      </x:c>
      <x:c r="C2249" s="84" t="n">
        <x:v>5</x:v>
      </x:c>
      <x:c r="D2249" s="84" t="n">
        <x:v>4</x:v>
      </x:c>
      <x:c r="E2249" s="84"/>
      <x:c r="F2249" s="89" t="n">
        <x:v>45386.74513888889</x:v>
      </x:c>
      <x:c r="G2249" s="89" t="n">
        <x:v>45390.74513888889</x:v>
      </x:c>
      <x:c r="H2249" s="89"/>
      <x:c r="I2249" s="89"/>
      <x:c r="J2249" s="84" t="str">
        <x:v>Crítica</x:v>
      </x:c>
      <x:c r="K2249" s="84" t="str">
        <x:v>Cancelada</x:v>
      </x:c>
      <x:c r="L2249" s="84" t="str">
        <x:v>Ruído anormal</x:v>
      </x:c>
      <x:c r="M2249" s="84"/>
      <x:c r="N2249" s="84"/>
      <x:c r="O2249" s="84" t="n">
        <x:v>0</x:v>
      </x:c>
      <x:c r="P2249" s="93" t="n">
        <x:v>0</x:v>
      </x:c>
      <x:c r="Q2249" s="93" t="n">
        <x:v>0</x:v>
      </x:c>
      <x:c r="R2249" s="91" t="n">
        <x:v>0</x:v>
      </x:c>
    </x:row>
    <x:row r="2250">
      <x:c r="A2250" s="83" t="n">
        <x:v>2249</x:v>
      </x:c>
      <x:c r="B2250" s="84" t="str">
        <x:v>OS-2023-02249</x:v>
      </x:c>
      <x:c r="C2250" s="84" t="n">
        <x:v>89</x:v>
      </x:c>
      <x:c r="D2250" s="84" t="n">
        <x:v>2</x:v>
      </x:c>
      <x:c r="E2250" s="84"/>
      <x:c r="F2250" s="89" t="n">
        <x:v>44930.08824074074</x:v>
      </x:c>
      <x:c r="G2250" s="89" t="n">
        <x:v>44932.08824074074</x:v>
      </x:c>
      <x:c r="H2250" s="89" t="n">
        <x:v>44932.29657407408</x:v>
      </x:c>
      <x:c r="I2250" s="89" t="n">
        <x:v>44932.92157407408</x:v>
      </x:c>
      <x:c r="J2250" s="84" t="str">
        <x:v>Média</x:v>
      </x:c>
      <x:c r="K2250" s="84" t="str">
        <x:v>Encerrada</x:v>
      </x:c>
      <x:c r="L2250" s="84" t="str">
        <x:v>Desalinhamento</x:v>
      </x:c>
      <x:c r="M2250" s="84" t="str">
        <x:v>Componente danificado</x:v>
      </x:c>
      <x:c r="N2250" s="84" t="str">
        <x:v>Componente ajustado ou substituído</x:v>
      </x:c>
      <x:c r="O2250" s="84" t="n">
        <x:v>0</x:v>
      </x:c>
      <x:c r="P2250" s="93" t="n">
        <x:v>360.15</x:v>
      </x:c>
      <x:c r="Q2250" s="93" t="n">
        <x:v>3147.06</x:v>
      </x:c>
      <x:c r="R2250" s="91" t="n">
        <x:v>0</x:v>
      </x:c>
    </x:row>
    <x:row r="2251">
      <x:c r="A2251" s="83" t="n">
        <x:v>2250</x:v>
      </x:c>
      <x:c r="B2251" s="84" t="str">
        <x:v>OS-2025-02250</x:v>
      </x:c>
      <x:c r="C2251" s="84" t="n">
        <x:v>76</x:v>
      </x:c>
      <x:c r="D2251" s="84" t="n">
        <x:v>2</x:v>
      </x:c>
      <x:c r="E2251" s="84"/>
      <x:c r="F2251" s="89" t="n">
        <x:v>45948.28041666667</x:v>
      </x:c>
      <x:c r="G2251" s="89" t="n">
        <x:v>45955.28041666667</x:v>
      </x:c>
      <x:c r="H2251" s="89" t="n">
        <x:v>45948.32208333333</x:v>
      </x:c>
      <x:c r="I2251" s="89" t="n">
        <x:v>45948.40541666667</x:v>
      </x:c>
      <x:c r="J2251" s="84" t="str">
        <x:v>Baixa</x:v>
      </x:c>
      <x:c r="K2251" s="84" t="str">
        <x:v>Encerrada</x:v>
      </x:c>
      <x:c r="L2251" s="84" t="str">
        <x:v>Alarme intermitente</x:v>
      </x:c>
      <x:c r="M2251" s="84" t="str">
        <x:v>Falta de lubrificação</x:v>
      </x:c>
      <x:c r="N2251" s="84" t="str">
        <x:v>Componente ajustado ou substituído</x:v>
      </x:c>
      <x:c r="O2251" s="84" t="n">
        <x:v>0</x:v>
      </x:c>
      <x:c r="P2251" s="93" t="n">
        <x:v>392</x:v>
      </x:c>
      <x:c r="Q2251" s="93" t="n">
        <x:v>2782.84</x:v>
      </x:c>
      <x:c r="R2251" s="91" t="n">
        <x:v>1485.46</x:v>
      </x:c>
    </x:row>
    <x:row r="2252">
      <x:c r="A2252" s="83" t="n">
        <x:v>2251</x:v>
      </x:c>
      <x:c r="B2252" s="84" t="str">
        <x:v>OS-2023-02251</x:v>
      </x:c>
      <x:c r="C2252" s="84" t="n">
        <x:v>57</x:v>
      </x:c>
      <x:c r="D2252" s="84" t="n">
        <x:v>1</x:v>
      </x:c>
      <x:c r="E2252" s="84" t="n">
        <x:v>113</x:v>
      </x:c>
      <x:c r="F2252" s="89" t="n">
        <x:v>45167.88107638889</x:v>
      </x:c>
      <x:c r="G2252" s="89" t="n">
        <x:v>45176.88107638889</x:v>
      </x:c>
      <x:c r="H2252" s="89" t="n">
        <x:v>45169.63107638889</x:v>
      </x:c>
      <x:c r="I2252" s="89" t="n">
        <x:v>45169.71440972222</x:v>
      </x:c>
      <x:c r="J2252" s="84" t="str">
        <x:v>Alta</x:v>
      </x:c>
      <x:c r="K2252" s="84" t="str">
        <x:v>Encerrada</x:v>
      </x:c>
      <x:c r="L2252" s="84" t="str">
        <x:v>Ruído anormal</x:v>
      </x:c>
      <x:c r="M2252" s="84" t="str">
        <x:v>Desgaste natural</x:v>
      </x:c>
      <x:c r="N2252" s="84" t="str">
        <x:v>Componente ajustado ou substituído</x:v>
      </x:c>
      <x:c r="O2252" s="84" t="n">
        <x:v>0</x:v>
      </x:c>
      <x:c r="P2252" s="93" t="n">
        <x:v>424.53</x:v>
      </x:c>
      <x:c r="Q2252" s="93" t="n">
        <x:v>0</x:v>
      </x:c>
      <x:c r="R2252" s="91" t="n">
        <x:v>0</x:v>
      </x:c>
    </x:row>
    <x:row r="2253">
      <x:c r="A2253" s="83" t="n">
        <x:v>2252</x:v>
      </x:c>
      <x:c r="B2253" s="84" t="str">
        <x:v>OS-2023-02252</x:v>
      </x:c>
      <x:c r="C2253" s="84" t="n">
        <x:v>62</x:v>
      </x:c>
      <x:c r="D2253" s="84" t="n">
        <x:v>1</x:v>
      </x:c>
      <x:c r="E2253" s="84" t="n">
        <x:v>124</x:v>
      </x:c>
      <x:c r="F2253" s="89" t="n">
        <x:v>45080.605358796296</x:v>
      </x:c>
      <x:c r="G2253" s="89" t="n">
        <x:v>45082.605358796296</x:v>
      </x:c>
      <x:c r="H2253" s="89" t="n">
        <x:v>45083.355358796296</x:v>
      </x:c>
      <x:c r="I2253" s="89" t="n">
        <x:v>45083.480358796296</x:v>
      </x:c>
      <x:c r="J2253" s="84" t="str">
        <x:v>Alta</x:v>
      </x:c>
      <x:c r="K2253" s="84" t="str">
        <x:v>Concluída</x:v>
      </x:c>
      <x:c r="L2253" s="84" t="str">
        <x:v>Superaquecimento</x:v>
      </x:c>
      <x:c r="M2253" s="84" t="str">
        <x:v>Falta de lubrificação</x:v>
      </x:c>
      <x:c r="N2253" s="84" t="str">
        <x:v>Componente ajustado ou substituído</x:v>
      </x:c>
      <x:c r="O2253" s="84" t="n">
        <x:v>0</x:v>
      </x:c>
      <x:c r="P2253" s="93" t="n">
        <x:v>550.54</x:v>
      </x:c>
      <x:c r="Q2253" s="93" t="n">
        <x:v>0</x:v>
      </x:c>
      <x:c r="R2253" s="91" t="n">
        <x:v>0</x:v>
      </x:c>
    </x:row>
    <x:row r="2254">
      <x:c r="A2254" s="83" t="n">
        <x:v>2253</x:v>
      </x:c>
      <x:c r="B2254" s="84" t="str">
        <x:v>OS-2024-02253</x:v>
      </x:c>
      <x:c r="C2254" s="84" t="n">
        <x:v>31</x:v>
      </x:c>
      <x:c r="D2254" s="84" t="n">
        <x:v>1</x:v>
      </x:c>
      <x:c r="E2254" s="84" t="n">
        <x:v>61</x:v>
      </x:c>
      <x:c r="F2254" s="89" t="n">
        <x:v>45443.73637731482</x:v>
      </x:c>
      <x:c r="G2254" s="89" t="n">
        <x:v>45449.73637731482</x:v>
      </x:c>
      <x:c r="H2254" s="89" t="n">
        <x:v>45446.73637731482</x:v>
      </x:c>
      <x:c r="I2254" s="89" t="n">
        <x:v>45447.48637731482</x:v>
      </x:c>
      <x:c r="J2254" s="84" t="str">
        <x:v>Crítica</x:v>
      </x:c>
      <x:c r="K2254" s="84" t="str">
        <x:v>Encerrada</x:v>
      </x:c>
      <x:c r="L2254" s="84" t="str">
        <x:v>Desalinhamento</x:v>
      </x:c>
      <x:c r="M2254" s="84" t="str">
        <x:v>Conexão frouxa</x:v>
      </x:c>
      <x:c r="N2254" s="84" t="str">
        <x:v>Componente ajustado ou substituído</x:v>
      </x:c>
      <x:c r="O2254" s="84" t="n">
        <x:v>0</x:v>
      </x:c>
      <x:c r="P2254" s="93" t="n">
        <x:v>718.62</x:v>
      </x:c>
      <x:c r="Q2254" s="93" t="n">
        <x:v>5091.46</x:v>
      </x:c>
      <x:c r="R2254" s="91" t="n">
        <x:v>0</x:v>
      </x:c>
    </x:row>
    <x:row r="2255">
      <x:c r="A2255" s="83" t="n">
        <x:v>2254</x:v>
      </x:c>
      <x:c r="B2255" s="84" t="str">
        <x:v>OS-2025-02254</x:v>
      </x:c>
      <x:c r="C2255" s="84" t="n">
        <x:v>38</x:v>
      </x:c>
      <x:c r="D2255" s="84" t="n">
        <x:v>1</x:v>
      </x:c>
      <x:c r="E2255" s="84" t="n">
        <x:v>76</x:v>
      </x:c>
      <x:c r="F2255" s="89" t="n">
        <x:v>45660.270219907405</x:v>
      </x:c>
      <x:c r="G2255" s="89" t="n">
        <x:v>45671.270219907405</x:v>
      </x:c>
      <x:c r="H2255" s="89" t="n">
        <x:v>45660.561886574076</x:v>
      </x:c>
      <x:c r="I2255" s="89" t="n">
        <x:v>45660.936886574076</x:v>
      </x:c>
      <x:c r="J2255" s="84" t="str">
        <x:v>Alta</x:v>
      </x:c>
      <x:c r="K2255" s="84" t="str">
        <x:v>Encerrada</x:v>
      </x:c>
      <x:c r="L2255" s="84" t="str">
        <x:v>Desalinhamento</x:v>
      </x:c>
      <x:c r="M2255" s="84" t="str">
        <x:v>Contaminação</x:v>
      </x:c>
      <x:c r="N2255" s="84" t="str">
        <x:v>Componente ajustado ou substituído</x:v>
      </x:c>
      <x:c r="O2255" s="84" t="n">
        <x:v>0</x:v>
      </x:c>
      <x:c r="P2255" s="93" t="n">
        <x:v>218.86</x:v>
      </x:c>
      <x:c r="Q2255" s="93" t="n">
        <x:v>6859.08</x:v>
      </x:c>
      <x:c r="R2255" s="91" t="n">
        <x:v>0</x:v>
      </x:c>
    </x:row>
    <x:row r="2256">
      <x:c r="A2256" s="83" t="n">
        <x:v>2255</x:v>
      </x:c>
      <x:c r="B2256" s="84" t="str">
        <x:v>OS-2025-02255</x:v>
      </x:c>
      <x:c r="C2256" s="84" t="n">
        <x:v>20</x:v>
      </x:c>
      <x:c r="D2256" s="84" t="n">
        <x:v>3</x:v>
      </x:c>
      <x:c r="E2256" s="84"/>
      <x:c r="F2256" s="89" t="n">
        <x:v>45900.1091087963</x:v>
      </x:c>
      <x:c r="G2256" s="89"/>
      <x:c r="H2256" s="89" t="n">
        <x:v>45901.69244212963</x:v>
      </x:c>
      <x:c r="I2256" s="89"/>
      <x:c r="J2256" s="84" t="str">
        <x:v>Alta</x:v>
      </x:c>
      <x:c r="K2256" s="84" t="str">
        <x:v>Aguardando peça</x:v>
      </x:c>
      <x:c r="L2256" s="84" t="str">
        <x:v>Superaquecimento</x:v>
      </x:c>
      <x:c r="M2256" s="84" t="str">
        <x:v>Falta de lubrificação</x:v>
      </x:c>
      <x:c r="N2256" s="84"/>
      <x:c r="O2256" s="84" t="n">
        <x:v>0</x:v>
      </x:c>
      <x:c r="P2256" s="93" t="n">
        <x:v>191.69</x:v>
      </x:c>
      <x:c r="Q2256" s="93" t="n">
        <x:v>0</x:v>
      </x:c>
      <x:c r="R2256" s="91" t="n">
        <x:v>13658.52</x:v>
      </x:c>
    </x:row>
    <x:row r="2257">
      <x:c r="A2257" s="83" t="n">
        <x:v>2256</x:v>
      </x:c>
      <x:c r="B2257" s="84" t="str">
        <x:v>OS-2024-02256</x:v>
      </x:c>
      <x:c r="C2257" s="84" t="n">
        <x:v>31</x:v>
      </x:c>
      <x:c r="D2257" s="84" t="n">
        <x:v>3</x:v>
      </x:c>
      <x:c r="E2257" s="84"/>
      <x:c r="F2257" s="89" t="n">
        <x:v>45369.42653935185</x:v>
      </x:c>
      <x:c r="G2257" s="89"/>
      <x:c r="H2257" s="89" t="n">
        <x:v>45370.92653935185</x:v>
      </x:c>
      <x:c r="I2257" s="89" t="n">
        <x:v>45371.25987268519</x:v>
      </x:c>
      <x:c r="J2257" s="84" t="str">
        <x:v>Baixa</x:v>
      </x:c>
      <x:c r="K2257" s="84" t="str">
        <x:v>Encerrada</x:v>
      </x:c>
      <x:c r="L2257" s="84" t="str">
        <x:v>Alarme intermitente</x:v>
      </x:c>
      <x:c r="M2257" s="84" t="str">
        <x:v>Falta de lubrificação</x:v>
      </x:c>
      <x:c r="N2257" s="84" t="str">
        <x:v>Componente ajustado ou substituído</x:v>
      </x:c>
      <x:c r="O2257" s="84" t="n">
        <x:v>0</x:v>
      </x:c>
      <x:c r="P2257" s="93" t="n">
        <x:v>619.31</x:v>
      </x:c>
      <x:c r="Q2257" s="93" t="n">
        <x:v>0</x:v>
      </x:c>
      <x:c r="R2257" s="91" t="n">
        <x:v>14475.81</x:v>
      </x:c>
    </x:row>
    <x:row r="2258">
      <x:c r="A2258" s="83" t="n">
        <x:v>2257</x:v>
      </x:c>
      <x:c r="B2258" s="84" t="str">
        <x:v>OS-2023-02257</x:v>
      </x:c>
      <x:c r="C2258" s="84" t="n">
        <x:v>15</x:v>
      </x:c>
      <x:c r="D2258" s="84" t="n">
        <x:v>8</x:v>
      </x:c>
      <x:c r="E2258" s="84"/>
      <x:c r="F2258" s="89" t="n">
        <x:v>45248.55359953704</x:v>
      </x:c>
      <x:c r="G2258" s="89" t="n">
        <x:v>45261.55359953704</x:v>
      </x:c>
      <x:c r="H2258" s="89" t="n">
        <x:v>45249.5952662037</x:v>
      </x:c>
      <x:c r="I2258" s="89" t="n">
        <x:v>45250.17859953704</x:v>
      </x:c>
      <x:c r="J2258" s="84" t="str">
        <x:v>Baixa</x:v>
      </x:c>
      <x:c r="K2258" s="84" t="str">
        <x:v>Encerrada</x:v>
      </x:c>
      <x:c r="L2258" s="84" t="str">
        <x:v>Vazamento</x:v>
      </x:c>
      <x:c r="M2258" s="84" t="str">
        <x:v>Componente danificado</x:v>
      </x:c>
      <x:c r="N2258" s="84" t="str">
        <x:v>Componente ajustado ou substituído</x:v>
      </x:c>
      <x:c r="O2258" s="84" t="n">
        <x:v>0</x:v>
      </x:c>
      <x:c r="P2258" s="93" t="n">
        <x:v>393.95</x:v>
      </x:c>
      <x:c r="Q2258" s="93" t="n">
        <x:v>4585.62</x:v>
      </x:c>
      <x:c r="R2258" s="91" t="n">
        <x:v>0</x:v>
      </x:c>
    </x:row>
    <x:row r="2259">
      <x:c r="A2259" s="83" t="n">
        <x:v>2258</x:v>
      </x:c>
      <x:c r="B2259" s="84" t="str">
        <x:v>OS-2025-02258</x:v>
      </x:c>
      <x:c r="C2259" s="84" t="n">
        <x:v>19</x:v>
      </x:c>
      <x:c r="D2259" s="84" t="n">
        <x:v>1</x:v>
      </x:c>
      <x:c r="E2259" s="84" t="n">
        <x:v>37</x:v>
      </x:c>
      <x:c r="F2259" s="89" t="n">
        <x:v>45931.16113425926</x:v>
      </x:c>
      <x:c r="G2259" s="89" t="n">
        <x:v>45942.16113425926</x:v>
      </x:c>
      <x:c r="H2259" s="89" t="n">
        <x:v>45934.03613425926</x:v>
      </x:c>
      <x:c r="I2259" s="89" t="n">
        <x:v>45934.744467592594</x:v>
      </x:c>
      <x:c r="J2259" s="84" t="str">
        <x:v>Média</x:v>
      </x:c>
      <x:c r="K2259" s="84" t="str">
        <x:v>Encerrada</x:v>
      </x:c>
      <x:c r="L2259" s="84" t="str">
        <x:v>Alarme intermitente</x:v>
      </x:c>
      <x:c r="M2259" s="84" t="str">
        <x:v>Ajuste incorreto</x:v>
      </x:c>
      <x:c r="N2259" s="84" t="str">
        <x:v>Componente ajustado ou substituído</x:v>
      </x:c>
      <x:c r="O2259" s="84" t="n">
        <x:v>0</x:v>
      </x:c>
      <x:c r="P2259" s="93" t="n">
        <x:v>388.01</x:v>
      </x:c>
      <x:c r="Q2259" s="93" t="n">
        <x:v>10886.29</x:v>
      </x:c>
      <x:c r="R2259" s="91" t="n">
        <x:v>0</x:v>
      </x:c>
    </x:row>
    <x:row r="2260">
      <x:c r="A2260" s="83" t="n">
        <x:v>2259</x:v>
      </x:c>
      <x:c r="B2260" s="84" t="str">
        <x:v>OS-2023-02259</x:v>
      </x:c>
      <x:c r="C2260" s="84" t="n">
        <x:v>44</x:v>
      </x:c>
      <x:c r="D2260" s="84" t="n">
        <x:v>9</x:v>
      </x:c>
      <x:c r="E2260" s="84"/>
      <x:c r="F2260" s="89" t="n">
        <x:v>44989.25033564815</x:v>
      </x:c>
      <x:c r="G2260" s="89" t="n">
        <x:v>44996.25033564815</x:v>
      </x:c>
      <x:c r="H2260" s="89" t="n">
        <x:v>44990.50033564815</x:v>
      </x:c>
      <x:c r="I2260" s="89" t="n">
        <x:v>44990.54200231482</x:v>
      </x:c>
      <x:c r="J2260" s="84" t="str">
        <x:v>Alta</x:v>
      </x:c>
      <x:c r="K2260" s="84" t="str">
        <x:v>Encerrada</x:v>
      </x:c>
      <x:c r="L2260" s="84" t="str">
        <x:v>Falha elétrica</x:v>
      </x:c>
      <x:c r="M2260" s="84" t="str">
        <x:v>Ajuste incorreto</x:v>
      </x:c>
      <x:c r="N2260" s="84" t="str">
        <x:v>Componente ajustado ou substituído</x:v>
      </x:c>
      <x:c r="O2260" s="84" t="n">
        <x:v>0</x:v>
      </x:c>
      <x:c r="P2260" s="93" t="n">
        <x:v>237.01</x:v>
      </x:c>
      <x:c r="Q2260" s="93" t="n">
        <x:v>7864.27</x:v>
      </x:c>
      <x:c r="R2260" s="91" t="n">
        <x:v>0</x:v>
      </x:c>
    </x:row>
    <x:row r="2261">
      <x:c r="A2261" s="83" t="n">
        <x:v>2260</x:v>
      </x:c>
      <x:c r="B2261" s="84" t="str">
        <x:v>OS-2024-02260</x:v>
      </x:c>
      <x:c r="C2261" s="84" t="n">
        <x:v>1</x:v>
      </x:c>
      <x:c r="D2261" s="84" t="n">
        <x:v>2</x:v>
      </x:c>
      <x:c r="E2261" s="84"/>
      <x:c r="F2261" s="89" t="n">
        <x:v>45613.9844212963</x:v>
      </x:c>
      <x:c r="G2261" s="89" t="n">
        <x:v>45625.9844212963</x:v>
      </x:c>
      <x:c r="H2261" s="89" t="n">
        <x:v>45615.776087962964</x:v>
      </x:c>
      <x:c r="I2261" s="89" t="n">
        <x:v>45615.9844212963</x:v>
      </x:c>
      <x:c r="J2261" s="84" t="str">
        <x:v>Média</x:v>
      </x:c>
      <x:c r="K2261" s="84" t="str">
        <x:v>Encerrada</x:v>
      </x:c>
      <x:c r="L2261" s="84" t="str">
        <x:v>Desalinhamento</x:v>
      </x:c>
      <x:c r="M2261" s="84" t="str">
        <x:v>Desgaste natural</x:v>
      </x:c>
      <x:c r="N2261" s="84" t="str">
        <x:v>Componente ajustado ou substituído</x:v>
      </x:c>
      <x:c r="O2261" s="84" t="n">
        <x:v>0</x:v>
      </x:c>
      <x:c r="P2261" s="93" t="n">
        <x:v>276.27</x:v>
      </x:c>
      <x:c r="Q2261" s="93" t="n">
        <x:v>4036.36</x:v>
      </x:c>
      <x:c r="R2261" s="91" t="n">
        <x:v>0</x:v>
      </x:c>
    </x:row>
    <x:row r="2262">
      <x:c r="A2262" s="83" t="n">
        <x:v>2261</x:v>
      </x:c>
      <x:c r="B2262" s="84" t="str">
        <x:v>OS-2023-02261</x:v>
      </x:c>
      <x:c r="C2262" s="84" t="n">
        <x:v>84</x:v>
      </x:c>
      <x:c r="D2262" s="84" t="n">
        <x:v>3</x:v>
      </x:c>
      <x:c r="E2262" s="84"/>
      <x:c r="F2262" s="89" t="n">
        <x:v>45182.85556712963</x:v>
      </x:c>
      <x:c r="G2262" s="89"/>
      <x:c r="H2262" s="89" t="n">
        <x:v>45184.2722337963</x:v>
      </x:c>
      <x:c r="I2262" s="89" t="n">
        <x:v>45184.73056712963</x:v>
      </x:c>
      <x:c r="J2262" s="84" t="str">
        <x:v>Crítica</x:v>
      </x:c>
      <x:c r="K2262" s="84" t="str">
        <x:v>Concluída</x:v>
      </x:c>
      <x:c r="L2262" s="84" t="str">
        <x:v>Alarme intermitente</x:v>
      </x:c>
      <x:c r="M2262" s="84" t="str">
        <x:v>Conexão frouxa</x:v>
      </x:c>
      <x:c r="N2262" s="84" t="str">
        <x:v>Componente ajustado ou substituído</x:v>
      </x:c>
      <x:c r="O2262" s="84" t="n">
        <x:v>0</x:v>
      </x:c>
      <x:c r="P2262" s="93" t="n">
        <x:v>95.34</x:v>
      </x:c>
      <x:c r="Q2262" s="93" t="n">
        <x:v>0</x:v>
      </x:c>
      <x:c r="R2262" s="91" t="n">
        <x:v>0</x:v>
      </x:c>
    </x:row>
    <x:row r="2263">
      <x:c r="A2263" s="83" t="n">
        <x:v>2262</x:v>
      </x:c>
      <x:c r="B2263" s="84" t="str">
        <x:v>OS-2025-02262</x:v>
      </x:c>
      <x:c r="C2263" s="84" t="n">
        <x:v>42</x:v>
      </x:c>
      <x:c r="D2263" s="84" t="n">
        <x:v>1</x:v>
      </x:c>
      <x:c r="E2263" s="84" t="n">
        <x:v>83</x:v>
      </x:c>
      <x:c r="F2263" s="89" t="n">
        <x:v>45799.882685185185</x:v>
      </x:c>
      <x:c r="G2263" s="89" t="n">
        <x:v>45814.882685185185</x:v>
      </x:c>
      <x:c r="H2263" s="89"/>
      <x:c r="I2263" s="89"/>
      <x:c r="J2263" s="84" t="str">
        <x:v>Crítica</x:v>
      </x:c>
      <x:c r="K2263" s="84" t="str">
        <x:v>Cancelada</x:v>
      </x:c>
      <x:c r="L2263" s="84" t="str">
        <x:v>Ruído anormal</x:v>
      </x:c>
      <x:c r="M2263" s="84"/>
      <x:c r="N2263" s="84"/>
      <x:c r="O2263" s="84" t="n">
        <x:v>0</x:v>
      </x:c>
      <x:c r="P2263" s="93" t="n">
        <x:v>0</x:v>
      </x:c>
      <x:c r="Q2263" s="93" t="n">
        <x:v>0</x:v>
      </x:c>
      <x:c r="R2263" s="91" t="n">
        <x:v>0</x:v>
      </x:c>
    </x:row>
    <x:row r="2264">
      <x:c r="A2264" s="83" t="n">
        <x:v>2263</x:v>
      </x:c>
      <x:c r="B2264" s="84" t="str">
        <x:v>OS-2024-02263</x:v>
      </x:c>
      <x:c r="C2264" s="84" t="n">
        <x:v>6</x:v>
      </x:c>
      <x:c r="D2264" s="84" t="n">
        <x:v>1</x:v>
      </x:c>
      <x:c r="E2264" s="84" t="n">
        <x:v>12</x:v>
      </x:c>
      <x:c r="F2264" s="89" t="n">
        <x:v>45360.24891203704</x:v>
      </x:c>
      <x:c r="G2264" s="89" t="n">
        <x:v>45360.24891203704</x:v>
      </x:c>
      <x:c r="H2264" s="89" t="n">
        <x:v>45361.5405787037</x:v>
      </x:c>
      <x:c r="I2264" s="89" t="n">
        <x:v>45361.9155787037</x:v>
      </x:c>
      <x:c r="J2264" s="84" t="str">
        <x:v>Alta</x:v>
      </x:c>
      <x:c r="K2264" s="84" t="str">
        <x:v>Encerrada</x:v>
      </x:c>
      <x:c r="L2264" s="84" t="str">
        <x:v>Superaquecimento</x:v>
      </x:c>
      <x:c r="M2264" s="84" t="str">
        <x:v>Contaminação</x:v>
      </x:c>
      <x:c r="N2264" s="84" t="str">
        <x:v>Componente ajustado ou substituído</x:v>
      </x:c>
      <x:c r="O2264" s="84" t="n">
        <x:v>0</x:v>
      </x:c>
      <x:c r="P2264" s="93" t="n">
        <x:v>729.41</x:v>
      </x:c>
      <x:c r="Q2264" s="93" t="n">
        <x:v>2254.62</x:v>
      </x:c>
      <x:c r="R2264" s="91" t="n">
        <x:v>8532.07</x:v>
      </x:c>
    </x:row>
    <x:row r="2265">
      <x:c r="A2265" s="83" t="n">
        <x:v>2264</x:v>
      </x:c>
      <x:c r="B2265" s="84" t="str">
        <x:v>OS-2025-02264</x:v>
      </x:c>
      <x:c r="C2265" s="84" t="n">
        <x:v>80</x:v>
      </x:c>
      <x:c r="D2265" s="84" t="n">
        <x:v>4</x:v>
      </x:c>
      <x:c r="E2265" s="84"/>
      <x:c r="F2265" s="89" t="n">
        <x:v>45666.544282407405</x:v>
      </x:c>
      <x:c r="G2265" s="89" t="n">
        <x:v>45671.544282407405</x:v>
      </x:c>
      <x:c r="H2265" s="89" t="n">
        <x:v>45668.669282407405</x:v>
      </x:c>
      <x:c r="I2265" s="89" t="n">
        <x:v>45669.00261574074</x:v>
      </x:c>
      <x:c r="J2265" s="84" t="str">
        <x:v>Alta</x:v>
      </x:c>
      <x:c r="K2265" s="84" t="str">
        <x:v>Encerrada</x:v>
      </x:c>
      <x:c r="L2265" s="84" t="str">
        <x:v>Ruído anormal</x:v>
      </x:c>
      <x:c r="M2265" s="84" t="str">
        <x:v>Componente danificado</x:v>
      </x:c>
      <x:c r="N2265" s="84" t="str">
        <x:v>Componente ajustado ou substituído</x:v>
      </x:c>
      <x:c r="O2265" s="84" t="n">
        <x:v>0</x:v>
      </x:c>
      <x:c r="P2265" s="93" t="n">
        <x:v>170.34</x:v>
      </x:c>
      <x:c r="Q2265" s="93" t="n">
        <x:v>12989.16</x:v>
      </x:c>
      <x:c r="R2265" s="91" t="n">
        <x:v>0</x:v>
      </x:c>
    </x:row>
    <x:row r="2266">
      <x:c r="A2266" s="83" t="n">
        <x:v>2265</x:v>
      </x:c>
      <x:c r="B2266" s="84" t="str">
        <x:v>OS-2023-02265</x:v>
      </x:c>
      <x:c r="C2266" s="84" t="n">
        <x:v>12</x:v>
      </x:c>
      <x:c r="D2266" s="84" t="n">
        <x:v>4</x:v>
      </x:c>
      <x:c r="E2266" s="84"/>
      <x:c r="F2266" s="89" t="n">
        <x:v>45165.32472222222</x:v>
      </x:c>
      <x:c r="G2266" s="89" t="n">
        <x:v>45176.32472222222</x:v>
      </x:c>
      <x:c r="H2266" s="89"/>
      <x:c r="I2266" s="89"/>
      <x:c r="J2266" s="84" t="str">
        <x:v>Média</x:v>
      </x:c>
      <x:c r="K2266" s="84" t="str">
        <x:v>Planejada</x:v>
      </x:c>
      <x:c r="L2266" s="84" t="str">
        <x:v>Vazamento</x:v>
      </x:c>
      <x:c r="M2266" s="84"/>
      <x:c r="N2266" s="84"/>
      <x:c r="O2266" s="84" t="n">
        <x:v>0</x:v>
      </x:c>
      <x:c r="P2266" s="93" t="n">
        <x:v>0</x:v>
      </x:c>
      <x:c r="Q2266" s="93" t="n">
        <x:v>0</x:v>
      </x:c>
      <x:c r="R2266" s="91" t="n">
        <x:v>0</x:v>
      </x:c>
    </x:row>
    <x:row r="2267">
      <x:c r="A2267" s="83" t="n">
        <x:v>2266</x:v>
      </x:c>
      <x:c r="B2267" s="84" t="str">
        <x:v>OS-2023-02266</x:v>
      </x:c>
      <x:c r="C2267" s="84" t="n">
        <x:v>77</x:v>
      </x:c>
      <x:c r="D2267" s="84" t="n">
        <x:v>5</x:v>
      </x:c>
      <x:c r="E2267" s="84" t="n">
        <x:v>154</x:v>
      </x:c>
      <x:c r="F2267" s="89" t="n">
        <x:v>45218.23484953704</x:v>
      </x:c>
      <x:c r="G2267" s="89" t="n">
        <x:v>45222.23484953704</x:v>
      </x:c>
      <x:c r="H2267" s="89" t="n">
        <x:v>45219.7765162037</x:v>
      </x:c>
      <x:c r="I2267" s="89" t="n">
        <x:v>45219.9015162037</x:v>
      </x:c>
      <x:c r="J2267" s="84" t="str">
        <x:v>Crítica</x:v>
      </x:c>
      <x:c r="K2267" s="84" t="str">
        <x:v>Encerrada</x:v>
      </x:c>
      <x:c r="L2267" s="84" t="str">
        <x:v>Superaquecimento</x:v>
      </x:c>
      <x:c r="M2267" s="84" t="str">
        <x:v>Ajuste incorreto</x:v>
      </x:c>
      <x:c r="N2267" s="84" t="str">
        <x:v>Componente ajustado ou substituído</x:v>
      </x:c>
      <x:c r="O2267" s="84" t="n">
        <x:v>0</x:v>
      </x:c>
      <x:c r="P2267" s="93" t="n">
        <x:v>664.66</x:v>
      </x:c>
      <x:c r="Q2267" s="93" t="n">
        <x:v>1127.31</x:v>
      </x:c>
      <x:c r="R2267" s="91" t="n">
        <x:v>0</x:v>
      </x:c>
    </x:row>
    <x:row r="2268">
      <x:c r="A2268" s="83" t="n">
        <x:v>2267</x:v>
      </x:c>
      <x:c r="B2268" s="84" t="str">
        <x:v>OS-2023-02267</x:v>
      </x:c>
      <x:c r="C2268" s="84" t="n">
        <x:v>89</x:v>
      </x:c>
      <x:c r="D2268" s="84" t="n">
        <x:v>1</x:v>
      </x:c>
      <x:c r="E2268" s="84" t="n">
        <x:v>178</x:v>
      </x:c>
      <x:c r="F2268" s="89" t="n">
        <x:v>45082.01420138889</x:v>
      </x:c>
      <x:c r="G2268" s="89" t="n">
        <x:v>45090.01420138889</x:v>
      </x:c>
      <x:c r="H2268" s="89" t="n">
        <x:v>45082.805868055555</x:v>
      </x:c>
      <x:c r="I2268" s="89"/>
      <x:c r="J2268" s="84" t="str">
        <x:v>Alta</x:v>
      </x:c>
      <x:c r="K2268" s="84" t="str">
        <x:v>Aguardando peça</x:v>
      </x:c>
      <x:c r="L2268" s="84" t="str">
        <x:v>Baixa pressão</x:v>
      </x:c>
      <x:c r="M2268" s="84" t="str">
        <x:v>Componente danificado</x:v>
      </x:c>
      <x:c r="N2268" s="84"/>
      <x:c r="O2268" s="84" t="n">
        <x:v>0</x:v>
      </x:c>
      <x:c r="P2268" s="93" t="n">
        <x:v>231</x:v>
      </x:c>
      <x:c r="Q2268" s="93" t="n">
        <x:v>4561.06</x:v>
      </x:c>
      <x:c r="R2268" s="91" t="n">
        <x:v>6823.13</x:v>
      </x:c>
    </x:row>
    <x:row r="2269">
      <x:c r="A2269" s="83" t="n">
        <x:v>2268</x:v>
      </x:c>
      <x:c r="B2269" s="84" t="str">
        <x:v>OS-2023-02268</x:v>
      </x:c>
      <x:c r="C2269" s="84" t="n">
        <x:v>15</x:v>
      </x:c>
      <x:c r="D2269" s="84" t="n">
        <x:v>7</x:v>
      </x:c>
      <x:c r="E2269" s="84" t="n">
        <x:v>30</x:v>
      </x:c>
      <x:c r="F2269" s="89" t="n">
        <x:v>45263.983622685184</x:v>
      </x:c>
      <x:c r="G2269" s="89" t="n">
        <x:v>45266.983622685184</x:v>
      </x:c>
      <x:c r="H2269" s="89" t="n">
        <x:v>45264.733622685184</x:v>
      </x:c>
      <x:c r="I2269" s="89"/>
      <x:c r="J2269" s="84" t="str">
        <x:v>Média</x:v>
      </x:c>
      <x:c r="K2269" s="84" t="str">
        <x:v>Em execução</x:v>
      </x:c>
      <x:c r="L2269" s="84" t="str">
        <x:v>Ruído anormal</x:v>
      </x:c>
      <x:c r="M2269" s="84" t="str">
        <x:v>Componente danificado</x:v>
      </x:c>
      <x:c r="N2269" s="84"/>
      <x:c r="O2269" s="84" t="n">
        <x:v>0</x:v>
      </x:c>
      <x:c r="P2269" s="93" t="n">
        <x:v>474.15</x:v>
      </x:c>
      <x:c r="Q2269" s="93" t="n">
        <x:v>0</x:v>
      </x:c>
      <x:c r="R2269" s="91" t="n">
        <x:v>0</x:v>
      </x:c>
    </x:row>
    <x:row r="2270">
      <x:c r="A2270" s="83" t="n">
        <x:v>2269</x:v>
      </x:c>
      <x:c r="B2270" s="84" t="str">
        <x:v>OS-2024-02269</x:v>
      </x:c>
      <x:c r="C2270" s="84" t="n">
        <x:v>37</x:v>
      </x:c>
      <x:c r="D2270" s="84" t="n">
        <x:v>1</x:v>
      </x:c>
      <x:c r="E2270" s="84" t="n">
        <x:v>73</x:v>
      </x:c>
      <x:c r="F2270" s="89" t="n">
        <x:v>45592.60855324074</x:v>
      </x:c>
      <x:c r="G2270" s="89" t="n">
        <x:v>45603.60855324074</x:v>
      </x:c>
      <x:c r="H2270" s="89" t="n">
        <x:v>45595.23355324074</x:v>
      </x:c>
      <x:c r="I2270" s="89" t="n">
        <x:v>45595.85855324074</x:v>
      </x:c>
      <x:c r="J2270" s="84" t="str">
        <x:v>Média</x:v>
      </x:c>
      <x:c r="K2270" s="84" t="str">
        <x:v>Encerrada</x:v>
      </x:c>
      <x:c r="L2270" s="84" t="str">
        <x:v>Ruído anormal</x:v>
      </x:c>
      <x:c r="M2270" s="84" t="str">
        <x:v>Componente danificado</x:v>
      </x:c>
      <x:c r="N2270" s="84" t="str">
        <x:v>Componente ajustado ou substituído</x:v>
      </x:c>
      <x:c r="O2270" s="84" t="n">
        <x:v>0</x:v>
      </x:c>
      <x:c r="P2270" s="93" t="n">
        <x:v>804.84</x:v>
      </x:c>
      <x:c r="Q2270" s="93" t="n">
        <x:v>733.6</x:v>
      </x:c>
      <x:c r="R2270" s="91" t="n">
        <x:v>9234.04</x:v>
      </x:c>
    </x:row>
    <x:row r="2271">
      <x:c r="A2271" s="83" t="n">
        <x:v>2270</x:v>
      </x:c>
      <x:c r="B2271" s="84" t="str">
        <x:v>OS-2025-02270</x:v>
      </x:c>
      <x:c r="C2271" s="84" t="n">
        <x:v>86</x:v>
      </x:c>
      <x:c r="D2271" s="84" t="n">
        <x:v>1</x:v>
      </x:c>
      <x:c r="E2271" s="84" t="n">
        <x:v>172</x:v>
      </x:c>
      <x:c r="F2271" s="89" t="n">
        <x:v>45910.67849537037</x:v>
      </x:c>
      <x:c r="G2271" s="89" t="n">
        <x:v>45921.67849537037</x:v>
      </x:c>
      <x:c r="H2271" s="89" t="n">
        <x:v>45912.136828703704</x:v>
      </x:c>
      <x:c r="I2271" s="89" t="n">
        <x:v>45912.59516203704</x:v>
      </x:c>
      <x:c r="J2271" s="84" t="str">
        <x:v>Baixa</x:v>
      </x:c>
      <x:c r="K2271" s="84" t="str">
        <x:v>Encerrada</x:v>
      </x:c>
      <x:c r="L2271" s="84" t="str">
        <x:v>Falha elétrica</x:v>
      </x:c>
      <x:c r="M2271" s="84" t="str">
        <x:v>Conexão frouxa</x:v>
      </x:c>
      <x:c r="N2271" s="84" t="str">
        <x:v>Componente ajustado ou substituído</x:v>
      </x:c>
      <x:c r="O2271" s="84" t="n">
        <x:v>0</x:v>
      </x:c>
      <x:c r="P2271" s="93" t="n">
        <x:v>537.9</x:v>
      </x:c>
      <x:c r="Q2271" s="93" t="n">
        <x:v>7095.84</x:v>
      </x:c>
      <x:c r="R2271" s="91" t="n">
        <x:v>0</x:v>
      </x:c>
    </x:row>
    <x:row r="2272">
      <x:c r="A2272" s="83" t="n">
        <x:v>2271</x:v>
      </x:c>
      <x:c r="B2272" s="84" t="str">
        <x:v>OS-2023-02271</x:v>
      </x:c>
      <x:c r="C2272" s="84" t="n">
        <x:v>16</x:v>
      </x:c>
      <x:c r="D2272" s="84" t="n">
        <x:v>4</x:v>
      </x:c>
      <x:c r="E2272" s="84"/>
      <x:c r="F2272" s="89" t="n">
        <x:v>45191.861122685186</x:v>
      </x:c>
      <x:c r="G2272" s="89" t="n">
        <x:v>45204.861122685186</x:v>
      </x:c>
      <x:c r="H2272" s="89" t="n">
        <x:v>45194.736122685186</x:v>
      </x:c>
      <x:c r="I2272" s="89" t="n">
        <x:v>45195.06945601852</x:v>
      </x:c>
      <x:c r="J2272" s="84" t="str">
        <x:v>Média</x:v>
      </x:c>
      <x:c r="K2272" s="84" t="str">
        <x:v>Encerrada</x:v>
      </x:c>
      <x:c r="L2272" s="84" t="str">
        <x:v>Falha elétrica</x:v>
      </x:c>
      <x:c r="M2272" s="84" t="str">
        <x:v>Componente danificado</x:v>
      </x:c>
      <x:c r="N2272" s="84" t="str">
        <x:v>Componente ajustado ou substituído</x:v>
      </x:c>
      <x:c r="O2272" s="84" t="n">
        <x:v>0</x:v>
      </x:c>
      <x:c r="P2272" s="93" t="n">
        <x:v>585.88</x:v>
      </x:c>
      <x:c r="Q2272" s="93" t="n">
        <x:v>10143.03</x:v>
      </x:c>
      <x:c r="R2272" s="91" t="n">
        <x:v>13099.37</x:v>
      </x:c>
    </x:row>
    <x:row r="2273">
      <x:c r="A2273" s="83" t="n">
        <x:v>2272</x:v>
      </x:c>
      <x:c r="B2273" s="84" t="str">
        <x:v>OS-2024-02272</x:v>
      </x:c>
      <x:c r="C2273" s="84" t="n">
        <x:v>52</x:v>
      </x:c>
      <x:c r="D2273" s="84" t="n">
        <x:v>3</x:v>
      </x:c>
      <x:c r="E2273" s="84"/>
      <x:c r="F2273" s="89" t="n">
        <x:v>45647.32027777778</x:v>
      </x:c>
      <x:c r="G2273" s="89"/>
      <x:c r="H2273" s="89" t="n">
        <x:v>45648.52861111111</x:v>
      </x:c>
      <x:c r="I2273" s="89" t="n">
        <x:v>45649.15361111111</x:v>
      </x:c>
      <x:c r="J2273" s="84" t="str">
        <x:v>Baixa</x:v>
      </x:c>
      <x:c r="K2273" s="84" t="str">
        <x:v>Concluída</x:v>
      </x:c>
      <x:c r="L2273" s="84" t="str">
        <x:v>Superaquecimento</x:v>
      </x:c>
      <x:c r="M2273" s="84" t="str">
        <x:v>Contaminação</x:v>
      </x:c>
      <x:c r="N2273" s="84" t="str">
        <x:v>Componente ajustado ou substituído</x:v>
      </x:c>
      <x:c r="O2273" s="84" t="n">
        <x:v>0</x:v>
      </x:c>
      <x:c r="P2273" s="93" t="n">
        <x:v>228.86</x:v>
      </x:c>
      <x:c r="Q2273" s="93" t="n">
        <x:v>5725.73</x:v>
      </x:c>
      <x:c r="R2273" s="91" t="n">
        <x:v>8846.33</x:v>
      </x:c>
    </x:row>
    <x:row r="2274">
      <x:c r="A2274" s="83" t="n">
        <x:v>2273</x:v>
      </x:c>
      <x:c r="B2274" s="84" t="str">
        <x:v>OS-2024-02273</x:v>
      </x:c>
      <x:c r="C2274" s="84" t="n">
        <x:v>13</x:v>
      </x:c>
      <x:c r="D2274" s="84" t="n">
        <x:v>3</x:v>
      </x:c>
      <x:c r="E2274" s="84"/>
      <x:c r="F2274" s="89" t="n">
        <x:v>45373.65537037037</x:v>
      </x:c>
      <x:c r="G2274" s="89"/>
      <x:c r="H2274" s="89" t="n">
        <x:v>45376.53037037037</x:v>
      </x:c>
      <x:c r="I2274" s="89" t="n">
        <x:v>45376.82203703704</x:v>
      </x:c>
      <x:c r="J2274" s="84" t="str">
        <x:v>Média</x:v>
      </x:c>
      <x:c r="K2274" s="84" t="str">
        <x:v>Encerrada</x:v>
      </x:c>
      <x:c r="L2274" s="84" t="str">
        <x:v>Alarme intermitente</x:v>
      </x:c>
      <x:c r="M2274" s="84" t="str">
        <x:v>Desgaste natural</x:v>
      </x:c>
      <x:c r="N2274" s="84" t="str">
        <x:v>Componente ajustado ou substituído</x:v>
      </x:c>
      <x:c r="O2274" s="84" t="n">
        <x:v>0</x:v>
      </x:c>
      <x:c r="P2274" s="93" t="n">
        <x:v>723.27</x:v>
      </x:c>
      <x:c r="Q2274" s="93" t="n">
        <x:v>1082.4</x:v>
      </x:c>
      <x:c r="R2274" s="91" t="n">
        <x:v>0</x:v>
      </x:c>
    </x:row>
    <x:row r="2275">
      <x:c r="A2275" s="83" t="n">
        <x:v>2274</x:v>
      </x:c>
      <x:c r="B2275" s="84" t="str">
        <x:v>OS-2025-02274</x:v>
      </x:c>
      <x:c r="C2275" s="84" t="n">
        <x:v>81</x:v>
      </x:c>
      <x:c r="D2275" s="84" t="n">
        <x:v>6</x:v>
      </x:c>
      <x:c r="E2275" s="84"/>
      <x:c r="F2275" s="89" t="n">
        <x:v>45669.67407407407</x:v>
      </x:c>
      <x:c r="G2275" s="89" t="n">
        <x:v>45669.67407407407</x:v>
      </x:c>
      <x:c r="H2275" s="89" t="n">
        <x:v>45670.38240740741</x:v>
      </x:c>
      <x:c r="I2275" s="89" t="n">
        <x:v>45671.09074074074</x:v>
      </x:c>
      <x:c r="J2275" s="84" t="str">
        <x:v>Crítica</x:v>
      </x:c>
      <x:c r="K2275" s="84" t="str">
        <x:v>Concluída</x:v>
      </x:c>
      <x:c r="L2275" s="84" t="str">
        <x:v>Superaquecimento</x:v>
      </x:c>
      <x:c r="M2275" s="84" t="str">
        <x:v>Componente danificado</x:v>
      </x:c>
      <x:c r="N2275" s="84" t="str">
        <x:v>Componente ajustado ou substituído</x:v>
      </x:c>
      <x:c r="O2275" s="84" t="n">
        <x:v>0</x:v>
      </x:c>
      <x:c r="P2275" s="93" t="n">
        <x:v>569.09</x:v>
      </x:c>
      <x:c r="Q2275" s="93" t="n">
        <x:v>0</x:v>
      </x:c>
      <x:c r="R2275" s="91" t="n">
        <x:v>6902.32</x:v>
      </x:c>
    </x:row>
    <x:row r="2276">
      <x:c r="A2276" s="83" t="n">
        <x:v>2275</x:v>
      </x:c>
      <x:c r="B2276" s="84" t="str">
        <x:v>OS-2023-02275</x:v>
      </x:c>
      <x:c r="C2276" s="84" t="n">
        <x:v>87</x:v>
      </x:c>
      <x:c r="D2276" s="84" t="n">
        <x:v>5</x:v>
      </x:c>
      <x:c r="E2276" s="84" t="n">
        <x:v>173</x:v>
      </x:c>
      <x:c r="F2276" s="89" t="n">
        <x:v>45232.985347222224</x:v>
      </x:c>
      <x:c r="G2276" s="89" t="n">
        <x:v>45235.985347222224</x:v>
      </x:c>
      <x:c r="H2276" s="89"/>
      <x:c r="I2276" s="89"/>
      <x:c r="J2276" s="84" t="str">
        <x:v>Média</x:v>
      </x:c>
      <x:c r="K2276" s="84" t="str">
        <x:v>Planejada</x:v>
      </x:c>
      <x:c r="L2276" s="84" t="str">
        <x:v>Alarme intermitente</x:v>
      </x:c>
      <x:c r="M2276" s="84"/>
      <x:c r="N2276" s="84"/>
      <x:c r="O2276" s="84" t="n">
        <x:v>0</x:v>
      </x:c>
      <x:c r="P2276" s="93" t="n">
        <x:v>0</x:v>
      </x:c>
      <x:c r="Q2276" s="93" t="n">
        <x:v>0</x:v>
      </x:c>
      <x:c r="R2276" s="91" t="n">
        <x:v>0</x:v>
      </x:c>
    </x:row>
    <x:row r="2277">
      <x:c r="A2277" s="83" t="n">
        <x:v>2276</x:v>
      </x:c>
      <x:c r="B2277" s="84" t="str">
        <x:v>OS-2025-02276</x:v>
      </x:c>
      <x:c r="C2277" s="84" t="n">
        <x:v>48</x:v>
      </x:c>
      <x:c r="D2277" s="84" t="n">
        <x:v>8</x:v>
      </x:c>
      <x:c r="E2277" s="84"/>
      <x:c r="F2277" s="89" t="n">
        <x:v>45791.94011574074</x:v>
      </x:c>
      <x:c r="G2277" s="89" t="n">
        <x:v>45799.94011574074</x:v>
      </x:c>
      <x:c r="H2277" s="89" t="n">
        <x:v>45793.481782407405</x:v>
      </x:c>
      <x:c r="I2277" s="89" t="n">
        <x:v>45793.77344907408</x:v>
      </x:c>
      <x:c r="J2277" s="84" t="str">
        <x:v>Baixa</x:v>
      </x:c>
      <x:c r="K2277" s="84" t="str">
        <x:v>Encerrada</x:v>
      </x:c>
      <x:c r="L2277" s="84" t="str">
        <x:v>Baixa pressão</x:v>
      </x:c>
      <x:c r="M2277" s="84" t="str">
        <x:v>Contaminação</x:v>
      </x:c>
      <x:c r="N2277" s="84" t="str">
        <x:v>Componente ajustado ou substituído</x:v>
      </x:c>
      <x:c r="O2277" s="84" t="n">
        <x:v>0</x:v>
      </x:c>
      <x:c r="P2277" s="93" t="n">
        <x:v>92.2</x:v>
      </x:c>
      <x:c r="Q2277" s="93" t="n">
        <x:v>1575.06</x:v>
      </x:c>
      <x:c r="R2277" s="91" t="n">
        <x:v>0</x:v>
      </x:c>
    </x:row>
    <x:row r="2278">
      <x:c r="A2278" s="83" t="n">
        <x:v>2277</x:v>
      </x:c>
      <x:c r="B2278" s="84" t="str">
        <x:v>OS-2025-02277</x:v>
      </x:c>
      <x:c r="C2278" s="84" t="n">
        <x:v>26</x:v>
      </x:c>
      <x:c r="D2278" s="84" t="n">
        <x:v>1</x:v>
      </x:c>
      <x:c r="E2278" s="84" t="n">
        <x:v>52</x:v>
      </x:c>
      <x:c r="F2278" s="89" t="n">
        <x:v>45768.498391203706</x:v>
      </x:c>
      <x:c r="G2278" s="89" t="n">
        <x:v>45773.498391203706</x:v>
      </x:c>
      <x:c r="H2278" s="89" t="n">
        <x:v>45769.456724537034</x:v>
      </x:c>
      <x:c r="I2278" s="89" t="n">
        <x:v>45769.748391203706</x:v>
      </x:c>
      <x:c r="J2278" s="84" t="str">
        <x:v>Baixa</x:v>
      </x:c>
      <x:c r="K2278" s="84" t="str">
        <x:v>Encerrada</x:v>
      </x:c>
      <x:c r="L2278" s="84" t="str">
        <x:v>Superaquecimento</x:v>
      </x:c>
      <x:c r="M2278" s="84" t="str">
        <x:v>Ajuste incorreto</x:v>
      </x:c>
      <x:c r="N2278" s="84" t="str">
        <x:v>Componente ajustado ou substituído</x:v>
      </x:c>
      <x:c r="O2278" s="84" t="n">
        <x:v>0</x:v>
      </x:c>
      <x:c r="P2278" s="93" t="n">
        <x:v>557.39</x:v>
      </x:c>
      <x:c r="Q2278" s="93" t="n">
        <x:v>0</x:v>
      </x:c>
      <x:c r="R2278" s="91" t="n">
        <x:v>0</x:v>
      </x:c>
    </x:row>
    <x:row r="2279">
      <x:c r="A2279" s="83" t="n">
        <x:v>2278</x:v>
      </x:c>
      <x:c r="B2279" s="84" t="str">
        <x:v>OS-2024-02278</x:v>
      </x:c>
      <x:c r="C2279" s="84" t="n">
        <x:v>21</x:v>
      </x:c>
      <x:c r="D2279" s="84" t="n">
        <x:v>6</x:v>
      </x:c>
      <x:c r="E2279" s="84"/>
      <x:c r="F2279" s="89" t="n">
        <x:v>45353.967361111114</x:v>
      </x:c>
      <x:c r="G2279" s="89" t="n">
        <x:v>45354.967361111114</x:v>
      </x:c>
      <x:c r="H2279" s="89" t="n">
        <x:v>45354.50902777778</x:v>
      </x:c>
      <x:c r="I2279" s="89" t="n">
        <x:v>45354.80069444444</x:v>
      </x:c>
      <x:c r="J2279" s="84" t="str">
        <x:v>Crítica</x:v>
      </x:c>
      <x:c r="K2279" s="84" t="str">
        <x:v>Concluída</x:v>
      </x:c>
      <x:c r="L2279" s="84" t="str">
        <x:v>Vazamento</x:v>
      </x:c>
      <x:c r="M2279" s="84" t="str">
        <x:v>Desgaste natural</x:v>
      </x:c>
      <x:c r="N2279" s="84" t="str">
        <x:v>Componente ajustado ou substituído</x:v>
      </x:c>
      <x:c r="O2279" s="84" t="n">
        <x:v>0</x:v>
      </x:c>
      <x:c r="P2279" s="93" t="n">
        <x:v>203.74</x:v>
      </x:c>
      <x:c r="Q2279" s="93" t="n">
        <x:v>1377.68</x:v>
      </x:c>
      <x:c r="R2279" s="91" t="n">
        <x:v>0</x:v>
      </x:c>
    </x:row>
    <x:row r="2280">
      <x:c r="A2280" s="83" t="n">
        <x:v>2279</x:v>
      </x:c>
      <x:c r="B2280" s="84" t="str">
        <x:v>OS-2023-02279</x:v>
      </x:c>
      <x:c r="C2280" s="84" t="n">
        <x:v>26</x:v>
      </x:c>
      <x:c r="D2280" s="84" t="n">
        <x:v>4</x:v>
      </x:c>
      <x:c r="E2280" s="84"/>
      <x:c r="F2280" s="89" t="n">
        <x:v>45077.142743055556</x:v>
      </x:c>
      <x:c r="G2280" s="89" t="n">
        <x:v>45082.142743055556</x:v>
      </x:c>
      <x:c r="H2280" s="89" t="n">
        <x:v>45079.43440972222</x:v>
      </x:c>
      <x:c r="I2280" s="89" t="n">
        <x:v>45079.767743055556</x:v>
      </x:c>
      <x:c r="J2280" s="84" t="str">
        <x:v>Crítica</x:v>
      </x:c>
      <x:c r="K2280" s="84" t="str">
        <x:v>Encerrada</x:v>
      </x:c>
      <x:c r="L2280" s="84" t="str">
        <x:v>Vazamento</x:v>
      </x:c>
      <x:c r="M2280" s="84" t="str">
        <x:v>Ajuste incorreto</x:v>
      </x:c>
      <x:c r="N2280" s="84" t="str">
        <x:v>Componente ajustado ou substituído</x:v>
      </x:c>
      <x:c r="O2280" s="84" t="n">
        <x:v>0</x:v>
      </x:c>
      <x:c r="P2280" s="93" t="n">
        <x:v>171.42</x:v>
      </x:c>
      <x:c r="Q2280" s="93" t="n">
        <x:v>2999.7</x:v>
      </x:c>
      <x:c r="R2280" s="91" t="n">
        <x:v>0</x:v>
      </x:c>
    </x:row>
    <x:row r="2281">
      <x:c r="A2281" s="83" t="n">
        <x:v>2280</x:v>
      </x:c>
      <x:c r="B2281" s="84" t="str">
        <x:v>OS-2025-02280</x:v>
      </x:c>
      <x:c r="C2281" s="84" t="n">
        <x:v>80</x:v>
      </x:c>
      <x:c r="D2281" s="84" t="n">
        <x:v>5</x:v>
      </x:c>
      <x:c r="E2281" s="84" t="n">
        <x:v>159</x:v>
      </x:c>
      <x:c r="F2281" s="89" t="n">
        <x:v>45943.639560185184</x:v>
      </x:c>
      <x:c r="G2281" s="89" t="n">
        <x:v>45952.639560185184</x:v>
      </x:c>
      <x:c r="H2281" s="89" t="n">
        <x:v>45945.389560185184</x:v>
      </x:c>
      <x:c r="I2281" s="89" t="n">
        <x:v>45945.47289351852</x:v>
      </x:c>
      <x:c r="J2281" s="84" t="str">
        <x:v>Alta</x:v>
      </x:c>
      <x:c r="K2281" s="84" t="str">
        <x:v>Concluída</x:v>
      </x:c>
      <x:c r="L2281" s="84" t="str">
        <x:v>Ruído anormal</x:v>
      </x:c>
      <x:c r="M2281" s="84" t="str">
        <x:v>Desgaste natural</x:v>
      </x:c>
      <x:c r="N2281" s="84" t="str">
        <x:v>Componente ajustado ou substituído</x:v>
      </x:c>
      <x:c r="O2281" s="84" t="n">
        <x:v>0</x:v>
      </x:c>
      <x:c r="P2281" s="93" t="n">
        <x:v>139.19</x:v>
      </x:c>
      <x:c r="Q2281" s="93" t="n">
        <x:v>9377.3</x:v>
      </x:c>
      <x:c r="R2281" s="91" t="n">
        <x:v>5414.47</x:v>
      </x:c>
    </x:row>
    <x:row r="2282">
      <x:c r="A2282" s="83" t="n">
        <x:v>2281</x:v>
      </x:c>
      <x:c r="B2282" s="84" t="str">
        <x:v>OS-2025-02281</x:v>
      </x:c>
      <x:c r="C2282" s="84" t="n">
        <x:v>27</x:v>
      </x:c>
      <x:c r="D2282" s="84" t="n">
        <x:v>3</x:v>
      </x:c>
      <x:c r="E2282" s="84"/>
      <x:c r="F2282" s="89" t="n">
        <x:v>45796.487291666665</x:v>
      </x:c>
      <x:c r="G2282" s="89"/>
      <x:c r="H2282" s="89" t="n">
        <x:v>45797.612291666665</x:v>
      </x:c>
      <x:c r="I2282" s="89" t="n">
        <x:v>45797.862291666665</x:v>
      </x:c>
      <x:c r="J2282" s="84" t="str">
        <x:v>Alta</x:v>
      </x:c>
      <x:c r="K2282" s="84" t="str">
        <x:v>Encerrada</x:v>
      </x:c>
      <x:c r="L2282" s="84" t="str">
        <x:v>Alarme intermitente</x:v>
      </x:c>
      <x:c r="M2282" s="84" t="str">
        <x:v>Desgaste natural</x:v>
      </x:c>
      <x:c r="N2282" s="84" t="str">
        <x:v>Componente ajustado ou substituído</x:v>
      </x:c>
      <x:c r="O2282" s="84" t="n">
        <x:v>0</x:v>
      </x:c>
      <x:c r="P2282" s="93" t="n">
        <x:v>646.37</x:v>
      </x:c>
      <x:c r="Q2282" s="93" t="n">
        <x:v>8469.16</x:v>
      </x:c>
      <x:c r="R2282" s="91" t="n">
        <x:v>0</x:v>
      </x:c>
    </x:row>
    <x:row r="2283">
      <x:c r="A2283" s="83" t="n">
        <x:v>2282</x:v>
      </x:c>
      <x:c r="B2283" s="84" t="str">
        <x:v>OS-2025-02282</x:v>
      </x:c>
      <x:c r="C2283" s="84" t="n">
        <x:v>44</x:v>
      </x:c>
      <x:c r="D2283" s="84" t="n">
        <x:v>2</x:v>
      </x:c>
      <x:c r="E2283" s="84"/>
      <x:c r="F2283" s="89" t="n">
        <x:v>45708.644421296296</x:v>
      </x:c>
      <x:c r="G2283" s="89" t="n">
        <x:v>45720.644421296296</x:v>
      </x:c>
      <x:c r="H2283" s="89" t="n">
        <x:v>45709.22775462963</x:v>
      </x:c>
      <x:c r="I2283" s="89" t="n">
        <x:v>45709.769421296296</x:v>
      </x:c>
      <x:c r="J2283" s="84" t="str">
        <x:v>Baixa</x:v>
      </x:c>
      <x:c r="K2283" s="84" t="str">
        <x:v>Encerrada</x:v>
      </x:c>
      <x:c r="L2283" s="84" t="str">
        <x:v>Desalinhamento</x:v>
      </x:c>
      <x:c r="M2283" s="84" t="str">
        <x:v>Componente danificado</x:v>
      </x:c>
      <x:c r="N2283" s="84" t="str">
        <x:v>Componente ajustado ou substituído</x:v>
      </x:c>
      <x:c r="O2283" s="84" t="n">
        <x:v>0</x:v>
      </x:c>
      <x:c r="P2283" s="93" t="n">
        <x:v>140.35</x:v>
      </x:c>
      <x:c r="Q2283" s="93" t="n">
        <x:v>10453.71</x:v>
      </x:c>
      <x:c r="R2283" s="91" t="n">
        <x:v>0</x:v>
      </x:c>
    </x:row>
    <x:row r="2284">
      <x:c r="A2284" s="83" t="n">
        <x:v>2283</x:v>
      </x:c>
      <x:c r="B2284" s="84" t="str">
        <x:v>OS-2025-02283</x:v>
      </x:c>
      <x:c r="C2284" s="84" t="n">
        <x:v>20</x:v>
      </x:c>
      <x:c r="D2284" s="84" t="n">
        <x:v>6</x:v>
      </x:c>
      <x:c r="E2284" s="84"/>
      <x:c r="F2284" s="89" t="n">
        <x:v>45893.97586805555</x:v>
      </x:c>
      <x:c r="G2284" s="89" t="n">
        <x:v>45901.97586805555</x:v>
      </x:c>
      <x:c r="H2284" s="89" t="n">
        <x:v>45896.10086805555</x:v>
      </x:c>
      <x:c r="I2284" s="89"/>
      <x:c r="J2284" s="84" t="str">
        <x:v>Alta</x:v>
      </x:c>
      <x:c r="K2284" s="84" t="str">
        <x:v>Aguardando peça</x:v>
      </x:c>
      <x:c r="L2284" s="84" t="str">
        <x:v>Desalinhamento</x:v>
      </x:c>
      <x:c r="M2284" s="84" t="str">
        <x:v>Falta de lubrificação</x:v>
      </x:c>
      <x:c r="N2284" s="84"/>
      <x:c r="O2284" s="84" t="n">
        <x:v>0</x:v>
      </x:c>
      <x:c r="P2284" s="93" t="n">
        <x:v>341.73</x:v>
      </x:c>
      <x:c r="Q2284" s="93" t="n">
        <x:v>8239.41</x:v>
      </x:c>
      <x:c r="R2284" s="91" t="n">
        <x:v>0</x:v>
      </x:c>
    </x:row>
    <x:row r="2285">
      <x:c r="A2285" s="83" t="n">
        <x:v>2284</x:v>
      </x:c>
      <x:c r="B2285" s="84" t="str">
        <x:v>OS-2025-02284</x:v>
      </x:c>
      <x:c r="C2285" s="84" t="n">
        <x:v>73</x:v>
      </x:c>
      <x:c r="D2285" s="84" t="n">
        <x:v>1</x:v>
      </x:c>
      <x:c r="E2285" s="84" t="n">
        <x:v>146</x:v>
      </x:c>
      <x:c r="F2285" s="89" t="n">
        <x:v>45760.150300925925</x:v>
      </x:c>
      <x:c r="G2285" s="89" t="n">
        <x:v>45770.150300925925</x:v>
      </x:c>
      <x:c r="H2285" s="89" t="n">
        <x:v>45762.69196759259</x:v>
      </x:c>
      <x:c r="I2285" s="89"/>
      <x:c r="J2285" s="84" t="str">
        <x:v>Alta</x:v>
      </x:c>
      <x:c r="K2285" s="84" t="str">
        <x:v>Em execução</x:v>
      </x:c>
      <x:c r="L2285" s="84" t="str">
        <x:v>Baixa pressão</x:v>
      </x:c>
      <x:c r="M2285" s="84" t="str">
        <x:v>Ajuste incorreto</x:v>
      </x:c>
      <x:c r="N2285" s="84"/>
      <x:c r="O2285" s="84" t="n">
        <x:v>0</x:v>
      </x:c>
      <x:c r="P2285" s="93" t="n">
        <x:v>242.38</x:v>
      </x:c>
      <x:c r="Q2285" s="93" t="n">
        <x:v>0</x:v>
      </x:c>
      <x:c r="R2285" s="91" t="n">
        <x:v>0</x:v>
      </x:c>
    </x:row>
    <x:row r="2286">
      <x:c r="A2286" s="83" t="n">
        <x:v>2285</x:v>
      </x:c>
      <x:c r="B2286" s="84" t="str">
        <x:v>OS-2025-02285</x:v>
      </x:c>
      <x:c r="C2286" s="84" t="n">
        <x:v>3</x:v>
      </x:c>
      <x:c r="D2286" s="84" t="n">
        <x:v>3</x:v>
      </x:c>
      <x:c r="E2286" s="84"/>
      <x:c r="F2286" s="89" t="n">
        <x:v>45876.81167824074</x:v>
      </x:c>
      <x:c r="G2286" s="89"/>
      <x:c r="H2286" s="89"/>
      <x:c r="I2286" s="89"/>
      <x:c r="J2286" s="84" t="str">
        <x:v>Alta</x:v>
      </x:c>
      <x:c r="K2286" s="84" t="str">
        <x:v>Planejada</x:v>
      </x:c>
      <x:c r="L2286" s="84" t="str">
        <x:v>Desalinhamento</x:v>
      </x:c>
      <x:c r="M2286" s="84"/>
      <x:c r="N2286" s="84"/>
      <x:c r="O2286" s="84" t="n">
        <x:v>0</x:v>
      </x:c>
      <x:c r="P2286" s="93" t="n">
        <x:v>0</x:v>
      </x:c>
      <x:c r="Q2286" s="93" t="n">
        <x:v>0</x:v>
      </x:c>
      <x:c r="R2286" s="91" t="n">
        <x:v>0</x:v>
      </x:c>
    </x:row>
    <x:row r="2287">
      <x:c r="A2287" s="83" t="n">
        <x:v>2286</x:v>
      </x:c>
      <x:c r="B2287" s="84" t="str">
        <x:v>OS-2024-02286</x:v>
      </x:c>
      <x:c r="C2287" s="84" t="n">
        <x:v>89</x:v>
      </x:c>
      <x:c r="D2287" s="84" t="n">
        <x:v>3</x:v>
      </x:c>
      <x:c r="E2287" s="84"/>
      <x:c r="F2287" s="89" t="n">
        <x:v>45394.15280092593</x:v>
      </x:c>
      <x:c r="G2287" s="89"/>
      <x:c r="H2287" s="89" t="n">
        <x:v>45397.15280092593</x:v>
      </x:c>
      <x:c r="I2287" s="89" t="n">
        <x:v>45397.986134259256</x:v>
      </x:c>
      <x:c r="J2287" s="84" t="str">
        <x:v>Alta</x:v>
      </x:c>
      <x:c r="K2287" s="84" t="str">
        <x:v>Encerrada</x:v>
      </x:c>
      <x:c r="L2287" s="84" t="str">
        <x:v>Desalinhamento</x:v>
      </x:c>
      <x:c r="M2287" s="84" t="str">
        <x:v>Contaminação</x:v>
      </x:c>
      <x:c r="N2287" s="84" t="str">
        <x:v>Componente ajustado ou substituído</x:v>
      </x:c>
      <x:c r="O2287" s="84" t="n">
        <x:v>0</x:v>
      </x:c>
      <x:c r="P2287" s="93" t="n">
        <x:v>402.31</x:v>
      </x:c>
      <x:c r="Q2287" s="93" t="n">
        <x:v>12006.4</x:v>
      </x:c>
      <x:c r="R2287" s="91" t="n">
        <x:v>0</x:v>
      </x:c>
    </x:row>
    <x:row r="2288">
      <x:c r="A2288" s="83" t="n">
        <x:v>2287</x:v>
      </x:c>
      <x:c r="B2288" s="84" t="str">
        <x:v>OS-2023-02287</x:v>
      </x:c>
      <x:c r="C2288" s="84" t="n">
        <x:v>12</x:v>
      </x:c>
      <x:c r="D2288" s="84" t="n">
        <x:v>3</x:v>
      </x:c>
      <x:c r="E2288" s="84"/>
      <x:c r="F2288" s="89" t="n">
        <x:v>45195.982881944445</x:v>
      </x:c>
      <x:c r="G2288" s="89"/>
      <x:c r="H2288" s="89" t="n">
        <x:v>45197.732881944445</x:v>
      </x:c>
      <x:c r="I2288" s="89" t="n">
        <x:v>45197.89954861111</x:v>
      </x:c>
      <x:c r="J2288" s="84" t="str">
        <x:v>Crítica</x:v>
      </x:c>
      <x:c r="K2288" s="84" t="str">
        <x:v>Concluída</x:v>
      </x:c>
      <x:c r="L2288" s="84" t="str">
        <x:v>Alarme intermitente</x:v>
      </x:c>
      <x:c r="M2288" s="84" t="str">
        <x:v>Ajuste incorreto</x:v>
      </x:c>
      <x:c r="N2288" s="84" t="str">
        <x:v>Componente ajustado ou substituído</x:v>
      </x:c>
      <x:c r="O2288" s="84" t="n">
        <x:v>0</x:v>
      </x:c>
      <x:c r="P2288" s="93" t="n">
        <x:v>155.2</x:v>
      </x:c>
      <x:c r="Q2288" s="93" t="n">
        <x:v>642.76</x:v>
      </x:c>
      <x:c r="R2288" s="91" t="n">
        <x:v>0</x:v>
      </x:c>
    </x:row>
    <x:row r="2289">
      <x:c r="A2289" s="83" t="n">
        <x:v>2288</x:v>
      </x:c>
      <x:c r="B2289" s="84" t="str">
        <x:v>OS-2024-02288</x:v>
      </x:c>
      <x:c r="C2289" s="84" t="n">
        <x:v>42</x:v>
      </x:c>
      <x:c r="D2289" s="84" t="n">
        <x:v>1</x:v>
      </x:c>
      <x:c r="E2289" s="84" t="n">
        <x:v>84</x:v>
      </x:c>
      <x:c r="F2289" s="89" t="n">
        <x:v>45457.31480324074</x:v>
      </x:c>
      <x:c r="G2289" s="89" t="n">
        <x:v>45458.31480324074</x:v>
      </x:c>
      <x:c r="H2289" s="89" t="n">
        <x:v>45459.43980324074</x:v>
      </x:c>
      <x:c r="I2289" s="89" t="n">
        <x:v>45459.52313657408</x:v>
      </x:c>
      <x:c r="J2289" s="84" t="str">
        <x:v>Crítica</x:v>
      </x:c>
      <x:c r="K2289" s="84" t="str">
        <x:v>Concluída</x:v>
      </x:c>
      <x:c r="L2289" s="84" t="str">
        <x:v>Vazamento</x:v>
      </x:c>
      <x:c r="M2289" s="84" t="str">
        <x:v>Ajuste incorreto</x:v>
      </x:c>
      <x:c r="N2289" s="84" t="str">
        <x:v>Componente ajustado ou substituído</x:v>
      </x:c>
      <x:c r="O2289" s="84" t="n">
        <x:v>0</x:v>
      </x:c>
      <x:c r="P2289" s="93" t="n">
        <x:v>283.65</x:v>
      </x:c>
      <x:c r="Q2289" s="93" t="n">
        <x:v>0</x:v>
      </x:c>
      <x:c r="R2289" s="91" t="n">
        <x:v>0</x:v>
      </x:c>
    </x:row>
    <x:row r="2290">
      <x:c r="A2290" s="83" t="n">
        <x:v>2289</x:v>
      </x:c>
      <x:c r="B2290" s="84" t="str">
        <x:v>OS-2024-02289</x:v>
      </x:c>
      <x:c r="C2290" s="84" t="n">
        <x:v>74</x:v>
      </x:c>
      <x:c r="D2290" s="84" t="n">
        <x:v>3</x:v>
      </x:c>
      <x:c r="E2290" s="84"/>
      <x:c r="F2290" s="89" t="n">
        <x:v>45585.779490740744</x:v>
      </x:c>
      <x:c r="G2290" s="89"/>
      <x:c r="H2290" s="89" t="n">
        <x:v>45588.23782407407</x:v>
      </x:c>
      <x:c r="I2290" s="89" t="n">
        <x:v>45588.44615740741</x:v>
      </x:c>
      <x:c r="J2290" s="84" t="str">
        <x:v>Crítica</x:v>
      </x:c>
      <x:c r="K2290" s="84" t="str">
        <x:v>Concluída</x:v>
      </x:c>
      <x:c r="L2290" s="84" t="str">
        <x:v>Falha elétrica</x:v>
      </x:c>
      <x:c r="M2290" s="84" t="str">
        <x:v>Desgaste natural</x:v>
      </x:c>
      <x:c r="N2290" s="84" t="str">
        <x:v>Componente ajustado ou substituído</x:v>
      </x:c>
      <x:c r="O2290" s="84" t="n">
        <x:v>0</x:v>
      </x:c>
      <x:c r="P2290" s="93" t="n">
        <x:v>568.82</x:v>
      </x:c>
      <x:c r="Q2290" s="93" t="n">
        <x:v>184.16</x:v>
      </x:c>
      <x:c r="R2290" s="91" t="n">
        <x:v>13771.04</x:v>
      </x:c>
    </x:row>
    <x:row r="2291">
      <x:c r="A2291" s="83" t="n">
        <x:v>2290</x:v>
      </x:c>
      <x:c r="B2291" s="84" t="str">
        <x:v>OS-2023-02290</x:v>
      </x:c>
      <x:c r="C2291" s="84" t="n">
        <x:v>79</x:v>
      </x:c>
      <x:c r="D2291" s="84" t="n">
        <x:v>3</x:v>
      </x:c>
      <x:c r="E2291" s="84"/>
      <x:c r="F2291" s="89" t="n">
        <x:v>45032.194699074076</x:v>
      </x:c>
      <x:c r="G2291" s="89"/>
      <x:c r="H2291" s="89" t="n">
        <x:v>45033.23636574074</x:v>
      </x:c>
      <x:c r="I2291" s="89" t="n">
        <x:v>45034.028032407405</x:v>
      </x:c>
      <x:c r="J2291" s="84" t="str">
        <x:v>Alta</x:v>
      </x:c>
      <x:c r="K2291" s="84" t="str">
        <x:v>Concluída</x:v>
      </x:c>
      <x:c r="L2291" s="84" t="str">
        <x:v>Vazamento</x:v>
      </x:c>
      <x:c r="M2291" s="84" t="str">
        <x:v>Falta de lubrificação</x:v>
      </x:c>
      <x:c r="N2291" s="84" t="str">
        <x:v>Componente ajustado ou substituído</x:v>
      </x:c>
      <x:c r="O2291" s="84" t="n">
        <x:v>0</x:v>
      </x:c>
      <x:c r="P2291" s="93" t="n">
        <x:v>177.08</x:v>
      </x:c>
      <x:c r="Q2291" s="93" t="n">
        <x:v>8050.82</x:v>
      </x:c>
      <x:c r="R2291" s="91" t="n">
        <x:v>0</x:v>
      </x:c>
    </x:row>
    <x:row r="2292">
      <x:c r="A2292" s="83" t="n">
        <x:v>2291</x:v>
      </x:c>
      <x:c r="B2292" s="84" t="str">
        <x:v>OS-2023-02291</x:v>
      </x:c>
      <x:c r="C2292" s="84" t="n">
        <x:v>7</x:v>
      </x:c>
      <x:c r="D2292" s="84" t="n">
        <x:v>3</x:v>
      </x:c>
      <x:c r="E2292" s="84"/>
      <x:c r="F2292" s="89" t="n">
        <x:v>45000.68362268519</x:v>
      </x:c>
      <x:c r="G2292" s="89"/>
      <x:c r="H2292" s="89" t="n">
        <x:v>45002.89195601852</x:v>
      </x:c>
      <x:c r="I2292" s="89" t="n">
        <x:v>45003.18362268519</x:v>
      </x:c>
      <x:c r="J2292" s="84" t="str">
        <x:v>Baixa</x:v>
      </x:c>
      <x:c r="K2292" s="84" t="str">
        <x:v>Concluída</x:v>
      </x:c>
      <x:c r="L2292" s="84" t="str">
        <x:v>Ruído anormal</x:v>
      </x:c>
      <x:c r="M2292" s="84" t="str">
        <x:v>Componente danificado</x:v>
      </x:c>
      <x:c r="N2292" s="84" t="str">
        <x:v>Componente ajustado ou substituído</x:v>
      </x:c>
      <x:c r="O2292" s="84" t="n">
        <x:v>0</x:v>
      </x:c>
      <x:c r="P2292" s="93" t="n">
        <x:v>470.46</x:v>
      </x:c>
      <x:c r="Q2292" s="93" t="n">
        <x:v>5874</x:v>
      </x:c>
      <x:c r="R2292" s="91" t="n">
        <x:v>0</x:v>
      </x:c>
    </x:row>
    <x:row r="2293">
      <x:c r="A2293" s="83" t="n">
        <x:v>2292</x:v>
      </x:c>
      <x:c r="B2293" s="84" t="str">
        <x:v>OS-2024-02292</x:v>
      </x:c>
      <x:c r="C2293" s="84" t="n">
        <x:v>4</x:v>
      </x:c>
      <x:c r="D2293" s="84" t="n">
        <x:v>2</x:v>
      </x:c>
      <x:c r="E2293" s="84"/>
      <x:c r="F2293" s="89" t="n">
        <x:v>45461.665810185186</x:v>
      </x:c>
      <x:c r="G2293" s="89" t="n">
        <x:v>45464.665810185186</x:v>
      </x:c>
      <x:c r="H2293" s="89" t="n">
        <x:v>45462.62414351852</x:v>
      </x:c>
      <x:c r="I2293" s="89" t="n">
        <x:v>45463.37414351852</x:v>
      </x:c>
      <x:c r="J2293" s="84" t="str">
        <x:v>Média</x:v>
      </x:c>
      <x:c r="K2293" s="84" t="str">
        <x:v>Concluída</x:v>
      </x:c>
      <x:c r="L2293" s="84" t="str">
        <x:v>Alarme intermitente</x:v>
      </x:c>
      <x:c r="M2293" s="84" t="str">
        <x:v>Falta de lubrificação</x:v>
      </x:c>
      <x:c r="N2293" s="84" t="str">
        <x:v>Componente ajustado ou substituído</x:v>
      </x:c>
      <x:c r="O2293" s="84" t="n">
        <x:v>0</x:v>
      </x:c>
      <x:c r="P2293" s="93" t="n">
        <x:v>314.23</x:v>
      </x:c>
      <x:c r="Q2293" s="93" t="n">
        <x:v>850.8</x:v>
      </x:c>
      <x:c r="R2293" s="91" t="n">
        <x:v>0</x:v>
      </x:c>
    </x:row>
    <x:row r="2294">
      <x:c r="A2294" s="83" t="n">
        <x:v>2293</x:v>
      </x:c>
      <x:c r="B2294" s="84" t="str">
        <x:v>OS-2025-02293</x:v>
      </x:c>
      <x:c r="C2294" s="84" t="n">
        <x:v>55</x:v>
      </x:c>
      <x:c r="D2294" s="84" t="n">
        <x:v>1</x:v>
      </x:c>
      <x:c r="E2294" s="84" t="n">
        <x:v>110</x:v>
      </x:c>
      <x:c r="F2294" s="89" t="n">
        <x:v>45715.65696759259</x:v>
      </x:c>
      <x:c r="G2294" s="89" t="n">
        <x:v>45719.65696759259</x:v>
      </x:c>
      <x:c r="H2294" s="89" t="n">
        <x:v>45717.78196759259</x:v>
      </x:c>
      <x:c r="I2294" s="89" t="n">
        <x:v>45718.49030092593</x:v>
      </x:c>
      <x:c r="J2294" s="84" t="str">
        <x:v>Crítica</x:v>
      </x:c>
      <x:c r="K2294" s="84" t="str">
        <x:v>Encerrada</x:v>
      </x:c>
      <x:c r="L2294" s="84" t="str">
        <x:v>Alarme intermitente</x:v>
      </x:c>
      <x:c r="M2294" s="84" t="str">
        <x:v>Componente danificado</x:v>
      </x:c>
      <x:c r="N2294" s="84" t="str">
        <x:v>Componente ajustado ou substituído</x:v>
      </x:c>
      <x:c r="O2294" s="84" t="n">
        <x:v>0</x:v>
      </x:c>
      <x:c r="P2294" s="93" t="n">
        <x:v>841.91</x:v>
      </x:c>
      <x:c r="Q2294" s="93" t="n">
        <x:v>0</x:v>
      </x:c>
      <x:c r="R2294" s="91" t="n">
        <x:v>0</x:v>
      </x:c>
    </x:row>
    <x:row r="2295">
      <x:c r="A2295" s="83" t="n">
        <x:v>2294</x:v>
      </x:c>
      <x:c r="B2295" s="84" t="str">
        <x:v>OS-2023-02294</x:v>
      </x:c>
      <x:c r="C2295" s="84" t="n">
        <x:v>77</x:v>
      </x:c>
      <x:c r="D2295" s="84" t="n">
        <x:v>3</x:v>
      </x:c>
      <x:c r="E2295" s="84"/>
      <x:c r="F2295" s="89" t="n">
        <x:v>45216.76173611111</x:v>
      </x:c>
      <x:c r="G2295" s="89"/>
      <x:c r="H2295" s="89" t="n">
        <x:v>45217.63673611111</x:v>
      </x:c>
      <x:c r="I2295" s="89" t="n">
        <x:v>45218.303402777776</x:v>
      </x:c>
      <x:c r="J2295" s="84" t="str">
        <x:v>Média</x:v>
      </x:c>
      <x:c r="K2295" s="84" t="str">
        <x:v>Concluída</x:v>
      </x:c>
      <x:c r="L2295" s="84" t="str">
        <x:v>Falha elétrica</x:v>
      </x:c>
      <x:c r="M2295" s="84" t="str">
        <x:v>Ajuste incorreto</x:v>
      </x:c>
      <x:c r="N2295" s="84" t="str">
        <x:v>Componente ajustado ou substituído</x:v>
      </x:c>
      <x:c r="O2295" s="84" t="n">
        <x:v>0</x:v>
      </x:c>
      <x:c r="P2295" s="93" t="n">
        <x:v>417.54</x:v>
      </x:c>
      <x:c r="Q2295" s="93" t="n">
        <x:v>6477.5</x:v>
      </x:c>
      <x:c r="R2295" s="91" t="n">
        <x:v>0</x:v>
      </x:c>
    </x:row>
    <x:row r="2296">
      <x:c r="A2296" s="83" t="n">
        <x:v>2295</x:v>
      </x:c>
      <x:c r="B2296" s="84" t="str">
        <x:v>OS-2024-02295</x:v>
      </x:c>
      <x:c r="C2296" s="84" t="n">
        <x:v>18</x:v>
      </x:c>
      <x:c r="D2296" s="84" t="n">
        <x:v>2</x:v>
      </x:c>
      <x:c r="E2296" s="84"/>
      <x:c r="F2296" s="89" t="n">
        <x:v>45588.55814814815</x:v>
      </x:c>
      <x:c r="G2296" s="89" t="n">
        <x:v>45602.55814814815</x:v>
      </x:c>
      <x:c r="H2296" s="89"/>
      <x:c r="I2296" s="89"/>
      <x:c r="J2296" s="84" t="str">
        <x:v>Alta</x:v>
      </x:c>
      <x:c r="K2296" s="84" t="str">
        <x:v>Planejada</x:v>
      </x:c>
      <x:c r="L2296" s="84" t="str">
        <x:v>Alarme intermitente</x:v>
      </x:c>
      <x:c r="M2296" s="84"/>
      <x:c r="N2296" s="84"/>
      <x:c r="O2296" s="84" t="n">
        <x:v>0</x:v>
      </x:c>
      <x:c r="P2296" s="93" t="n">
        <x:v>0</x:v>
      </x:c>
      <x:c r="Q2296" s="93" t="n">
        <x:v>0</x:v>
      </x:c>
      <x:c r="R2296" s="91" t="n">
        <x:v>0</x:v>
      </x:c>
    </x:row>
    <x:row r="2297">
      <x:c r="A2297" s="83" t="n">
        <x:v>2296</x:v>
      </x:c>
      <x:c r="B2297" s="84" t="str">
        <x:v>OS-2024-02296</x:v>
      </x:c>
      <x:c r="C2297" s="84" t="n">
        <x:v>2</x:v>
      </x:c>
      <x:c r="D2297" s="84" t="n">
        <x:v>2</x:v>
      </x:c>
      <x:c r="E2297" s="84"/>
      <x:c r="F2297" s="89" t="n">
        <x:v>45630.60041666667</x:v>
      </x:c>
      <x:c r="G2297" s="89" t="n">
        <x:v>45632.60041666667</x:v>
      </x:c>
      <x:c r="H2297" s="89" t="n">
        <x:v>45632.22541666667</x:v>
      </x:c>
      <x:c r="I2297" s="89" t="n">
        <x:v>45632.76708333333</x:v>
      </x:c>
      <x:c r="J2297" s="84" t="str">
        <x:v>Alta</x:v>
      </x:c>
      <x:c r="K2297" s="84" t="str">
        <x:v>Concluída</x:v>
      </x:c>
      <x:c r="L2297" s="84" t="str">
        <x:v>Ruído anormal</x:v>
      </x:c>
      <x:c r="M2297" s="84" t="str">
        <x:v>Ajuste incorreto</x:v>
      </x:c>
      <x:c r="N2297" s="84" t="str">
        <x:v>Componente ajustado ou substituído</x:v>
      </x:c>
      <x:c r="O2297" s="84" t="n">
        <x:v>0</x:v>
      </x:c>
      <x:c r="P2297" s="93" t="n">
        <x:v>90.78</x:v>
      </x:c>
      <x:c r="Q2297" s="93" t="n">
        <x:v>2308.62</x:v>
      </x:c>
      <x:c r="R2297" s="91" t="n">
        <x:v>0</x:v>
      </x:c>
    </x:row>
    <x:row r="2298">
      <x:c r="A2298" s="83" t="n">
        <x:v>2297</x:v>
      </x:c>
      <x:c r="B2298" s="84" t="str">
        <x:v>OS-2023-02297</x:v>
      </x:c>
      <x:c r="C2298" s="84" t="n">
        <x:v>28</x:v>
      </x:c>
      <x:c r="D2298" s="84" t="n">
        <x:v>7</x:v>
      </x:c>
      <x:c r="E2298" s="84" t="n">
        <x:v>55</x:v>
      </x:c>
      <x:c r="F2298" s="89" t="n">
        <x:v>45082.76697916666</x:v>
      </x:c>
      <x:c r="G2298" s="89" t="n">
        <x:v>45095.76697916666</x:v>
      </x:c>
      <x:c r="H2298" s="89" t="n">
        <x:v>45084.433645833335</x:v>
      </x:c>
      <x:c r="I2298" s="89" t="n">
        <x:v>45084.9753125</x:v>
      </x:c>
      <x:c r="J2298" s="84" t="str">
        <x:v>Alta</x:v>
      </x:c>
      <x:c r="K2298" s="84" t="str">
        <x:v>Encerrada</x:v>
      </x:c>
      <x:c r="L2298" s="84" t="str">
        <x:v>Ruído anormal</x:v>
      </x:c>
      <x:c r="M2298" s="84" t="str">
        <x:v>Conexão frouxa</x:v>
      </x:c>
      <x:c r="N2298" s="84" t="str">
        <x:v>Componente ajustado ou substituído</x:v>
      </x:c>
      <x:c r="O2298" s="84" t="n">
        <x:v>0</x:v>
      </x:c>
      <x:c r="P2298" s="93" t="n">
        <x:v>275.46</x:v>
      </x:c>
      <x:c r="Q2298" s="93" t="n">
        <x:v>6986.44</x:v>
      </x:c>
      <x:c r="R2298" s="91" t="n">
        <x:v>0</x:v>
      </x:c>
    </x:row>
    <x:row r="2299">
      <x:c r="A2299" s="83" t="n">
        <x:v>2298</x:v>
      </x:c>
      <x:c r="B2299" s="84" t="str">
        <x:v>OS-2025-02298</x:v>
      </x:c>
      <x:c r="C2299" s="84" t="n">
        <x:v>60</x:v>
      </x:c>
      <x:c r="D2299" s="84" t="n">
        <x:v>3</x:v>
      </x:c>
      <x:c r="E2299" s="84"/>
      <x:c r="F2299" s="89" t="n">
        <x:v>45969.471817129626</x:v>
      </x:c>
      <x:c r="G2299" s="89"/>
      <x:c r="H2299" s="89" t="n">
        <x:v>45972.096817129626</x:v>
      </x:c>
      <x:c r="I2299" s="89" t="n">
        <x:v>45972.55515046296</x:v>
      </x:c>
      <x:c r="J2299" s="84" t="str">
        <x:v>Alta</x:v>
      </x:c>
      <x:c r="K2299" s="84" t="str">
        <x:v>Encerrada</x:v>
      </x:c>
      <x:c r="L2299" s="84" t="str">
        <x:v>Ruído anormal</x:v>
      </x:c>
      <x:c r="M2299" s="84" t="str">
        <x:v>Componente danificado</x:v>
      </x:c>
      <x:c r="N2299" s="84" t="str">
        <x:v>Componente ajustado ou substituído</x:v>
      </x:c>
      <x:c r="O2299" s="84" t="n">
        <x:v>0</x:v>
      </x:c>
      <x:c r="P2299" s="93" t="n">
        <x:v>278.9</x:v>
      </x:c>
      <x:c r="Q2299" s="93" t="n">
        <x:v>13043</x:v>
      </x:c>
      <x:c r="R2299" s="91" t="n">
        <x:v>2831.37</x:v>
      </x:c>
    </x:row>
    <x:row r="2300">
      <x:c r="A2300" s="83" t="n">
        <x:v>2299</x:v>
      </x:c>
      <x:c r="B2300" s="84" t="str">
        <x:v>OS-2025-02299</x:v>
      </x:c>
      <x:c r="C2300" s="84" t="n">
        <x:v>66</x:v>
      </x:c>
      <x:c r="D2300" s="84" t="n">
        <x:v>3</x:v>
      </x:c>
      <x:c r="E2300" s="84"/>
      <x:c r="F2300" s="89" t="n">
        <x:v>45801.64979166666</x:v>
      </x:c>
      <x:c r="G2300" s="89"/>
      <x:c r="H2300" s="89" t="n">
        <x:v>45804.608125</x:v>
      </x:c>
      <x:c r="I2300" s="89" t="n">
        <x:v>45804.983125</x:v>
      </x:c>
      <x:c r="J2300" s="84" t="str">
        <x:v>Média</x:v>
      </x:c>
      <x:c r="K2300" s="84" t="str">
        <x:v>Concluída</x:v>
      </x:c>
      <x:c r="L2300" s="84" t="str">
        <x:v>Desalinhamento</x:v>
      </x:c>
      <x:c r="M2300" s="84" t="str">
        <x:v>Conexão frouxa</x:v>
      </x:c>
      <x:c r="N2300" s="84" t="str">
        <x:v>Componente ajustado ou substituído</x:v>
      </x:c>
      <x:c r="O2300" s="84" t="n">
        <x:v>0</x:v>
      </x:c>
      <x:c r="P2300" s="93" t="n">
        <x:v>230.81</x:v>
      </x:c>
      <x:c r="Q2300" s="93" t="n">
        <x:v>3244.67</x:v>
      </x:c>
      <x:c r="R2300" s="91" t="n">
        <x:v>0</x:v>
      </x:c>
    </x:row>
    <x:row r="2301">
      <x:c r="A2301" s="83" t="n">
        <x:v>2300</x:v>
      </x:c>
      <x:c r="B2301" s="84" t="str">
        <x:v>OS-2023-02300</x:v>
      </x:c>
      <x:c r="C2301" s="84" t="n">
        <x:v>52</x:v>
      </x:c>
      <x:c r="D2301" s="84" t="n">
        <x:v>3</x:v>
      </x:c>
      <x:c r="E2301" s="84"/>
      <x:c r="F2301" s="89" t="n">
        <x:v>45012.92443287037</x:v>
      </x:c>
      <x:c r="G2301" s="89"/>
      <x:c r="H2301" s="89"/>
      <x:c r="I2301" s="89"/>
      <x:c r="J2301" s="84" t="str">
        <x:v>Crítica</x:v>
      </x:c>
      <x:c r="K2301" s="84" t="str">
        <x:v>Planejada</x:v>
      </x:c>
      <x:c r="L2301" s="84" t="str">
        <x:v>Baixa pressão</x:v>
      </x:c>
      <x:c r="M2301" s="84"/>
      <x:c r="N2301" s="84"/>
      <x:c r="O2301" s="84" t="n">
        <x:v>0</x:v>
      </x:c>
      <x:c r="P2301" s="93" t="n">
        <x:v>0</x:v>
      </x:c>
      <x:c r="Q2301" s="93" t="n">
        <x:v>0</x:v>
      </x:c>
      <x:c r="R2301" s="91" t="n">
        <x:v>0</x:v>
      </x:c>
    </x:row>
    <x:row r="2302">
      <x:c r="A2302" s="83" t="n">
        <x:v>2301</x:v>
      </x:c>
      <x:c r="B2302" s="84" t="str">
        <x:v>OS-2024-02301</x:v>
      </x:c>
      <x:c r="C2302" s="84" t="n">
        <x:v>12</x:v>
      </x:c>
      <x:c r="D2302" s="84" t="n">
        <x:v>9</x:v>
      </x:c>
      <x:c r="E2302" s="84"/>
      <x:c r="F2302" s="89" t="n">
        <x:v>45479.21737268518</x:v>
      </x:c>
      <x:c r="G2302" s="89" t="n">
        <x:v>45488.21737268518</x:v>
      </x:c>
      <x:c r="H2302" s="89" t="n">
        <x:v>45481.59237268518</x:v>
      </x:c>
      <x:c r="I2302" s="89" t="n">
        <x:v>45482.34237268518</x:v>
      </x:c>
      <x:c r="J2302" s="84" t="str">
        <x:v>Baixa</x:v>
      </x:c>
      <x:c r="K2302" s="84" t="str">
        <x:v>Concluída</x:v>
      </x:c>
      <x:c r="L2302" s="84" t="str">
        <x:v>Falha elétrica</x:v>
      </x:c>
      <x:c r="M2302" s="84" t="str">
        <x:v>Falta de lubrificação</x:v>
      </x:c>
      <x:c r="N2302" s="84" t="str">
        <x:v>Componente ajustado ou substituído</x:v>
      </x:c>
      <x:c r="O2302" s="84" t="n">
        <x:v>0</x:v>
      </x:c>
      <x:c r="P2302" s="93" t="n">
        <x:v>543.74</x:v>
      </x:c>
      <x:c r="Q2302" s="93" t="n">
        <x:v>11001.24</x:v>
      </x:c>
      <x:c r="R2302" s="91" t="n">
        <x:v>0</x:v>
      </x:c>
    </x:row>
    <x:row r="2303">
      <x:c r="A2303" s="83" t="n">
        <x:v>2302</x:v>
      </x:c>
      <x:c r="B2303" s="84" t="str">
        <x:v>OS-2024-02302</x:v>
      </x:c>
      <x:c r="C2303" s="84" t="n">
        <x:v>75</x:v>
      </x:c>
      <x:c r="D2303" s="84" t="n">
        <x:v>4</x:v>
      </x:c>
      <x:c r="E2303" s="84"/>
      <x:c r="F2303" s="89" t="n">
        <x:v>45332.87373842593</x:v>
      </x:c>
      <x:c r="G2303" s="89" t="n">
        <x:v>45339.87373842593</x:v>
      </x:c>
      <x:c r="H2303" s="89" t="n">
        <x:v>45332.99873842593</x:v>
      </x:c>
      <x:c r="I2303" s="89" t="n">
        <x:v>45333.16540509259</x:v>
      </x:c>
      <x:c r="J2303" s="84" t="str">
        <x:v>Alta</x:v>
      </x:c>
      <x:c r="K2303" s="84" t="str">
        <x:v>Concluída</x:v>
      </x:c>
      <x:c r="L2303" s="84" t="str">
        <x:v>Falha elétrica</x:v>
      </x:c>
      <x:c r="M2303" s="84" t="str">
        <x:v>Conexão frouxa</x:v>
      </x:c>
      <x:c r="N2303" s="84" t="str">
        <x:v>Componente ajustado ou substituído</x:v>
      </x:c>
      <x:c r="O2303" s="84" t="n">
        <x:v>0</x:v>
      </x:c>
      <x:c r="P2303" s="93" t="n">
        <x:v>448.19</x:v>
      </x:c>
      <x:c r="Q2303" s="93" t="n">
        <x:v>5019.36</x:v>
      </x:c>
      <x:c r="R2303" s="91" t="n">
        <x:v>0</x:v>
      </x:c>
    </x:row>
    <x:row r="2304">
      <x:c r="A2304" s="83" t="n">
        <x:v>2303</x:v>
      </x:c>
      <x:c r="B2304" s="84" t="str">
        <x:v>OS-2024-02303</x:v>
      </x:c>
      <x:c r="C2304" s="84" t="n">
        <x:v>76</x:v>
      </x:c>
      <x:c r="D2304" s="84" t="n">
        <x:v>3</x:v>
      </x:c>
      <x:c r="E2304" s="84"/>
      <x:c r="F2304" s="89" t="n">
        <x:v>45459.82960648148</x:v>
      </x:c>
      <x:c r="G2304" s="89"/>
      <x:c r="H2304" s="89" t="n">
        <x:v>45460.62127314815</x:v>
      </x:c>
      <x:c r="I2304" s="89" t="n">
        <x:v>45461.287939814814</x:v>
      </x:c>
      <x:c r="J2304" s="84" t="str">
        <x:v>Crítica</x:v>
      </x:c>
      <x:c r="K2304" s="84" t="str">
        <x:v>Encerrada</x:v>
      </x:c>
      <x:c r="L2304" s="84" t="str">
        <x:v>Baixa pressão</x:v>
      </x:c>
      <x:c r="M2304" s="84" t="str">
        <x:v>Componente danificado</x:v>
      </x:c>
      <x:c r="N2304" s="84" t="str">
        <x:v>Componente ajustado ou substituído</x:v>
      </x:c>
      <x:c r="O2304" s="84" t="n">
        <x:v>0</x:v>
      </x:c>
      <x:c r="P2304" s="93" t="n">
        <x:v>94.07</x:v>
      </x:c>
      <x:c r="Q2304" s="93" t="n">
        <x:v>1279.53</x:v>
      </x:c>
      <x:c r="R2304" s="91" t="n">
        <x:v>0</x:v>
      </x:c>
    </x:row>
    <x:row r="2305">
      <x:c r="A2305" s="83" t="n">
        <x:v>2304</x:v>
      </x:c>
      <x:c r="B2305" s="84" t="str">
        <x:v>OS-2025-02304</x:v>
      </x:c>
      <x:c r="C2305" s="84" t="n">
        <x:v>74</x:v>
      </x:c>
      <x:c r="D2305" s="84" t="n">
        <x:v>1</x:v>
      </x:c>
      <x:c r="E2305" s="84" t="n">
        <x:v>147</x:v>
      </x:c>
      <x:c r="F2305" s="89" t="n">
        <x:v>45870.12027777778</x:v>
      </x:c>
      <x:c r="G2305" s="89" t="n">
        <x:v>45879.12027777778</x:v>
      </x:c>
      <x:c r="H2305" s="89" t="n">
        <x:v>45872.661944444444</x:v>
      </x:c>
      <x:c r="I2305" s="89" t="n">
        <x:v>45873.32861111111</x:v>
      </x:c>
      <x:c r="J2305" s="84" t="str">
        <x:v>Crítica</x:v>
      </x:c>
      <x:c r="K2305" s="84" t="str">
        <x:v>Encerrada</x:v>
      </x:c>
      <x:c r="L2305" s="84" t="str">
        <x:v>Ruído anormal</x:v>
      </x:c>
      <x:c r="M2305" s="84" t="str">
        <x:v>Desgaste natural</x:v>
      </x:c>
      <x:c r="N2305" s="84" t="str">
        <x:v>Componente ajustado ou substituído</x:v>
      </x:c>
      <x:c r="O2305" s="84" t="n">
        <x:v>0</x:v>
      </x:c>
      <x:c r="P2305" s="93" t="n">
        <x:v>187.33</x:v>
      </x:c>
      <x:c r="Q2305" s="93" t="n">
        <x:v>2066.72</x:v>
      </x:c>
      <x:c r="R2305" s="91" t="n">
        <x:v>0</x:v>
      </x:c>
    </x:row>
    <x:row r="2306">
      <x:c r="A2306" s="83" t="n">
        <x:v>2305</x:v>
      </x:c>
      <x:c r="B2306" s="84" t="str">
        <x:v>OS-2024-02305</x:v>
      </x:c>
      <x:c r="C2306" s="84" t="n">
        <x:v>90</x:v>
      </x:c>
      <x:c r="D2306" s="84" t="n">
        <x:v>4</x:v>
      </x:c>
      <x:c r="E2306" s="84"/>
      <x:c r="F2306" s="89" t="n">
        <x:v>45360.94923611111</x:v>
      </x:c>
      <x:c r="G2306" s="89" t="n">
        <x:v>45360.94923611111</x:v>
      </x:c>
      <x:c r="H2306" s="89" t="n">
        <x:v>45361.53256944445</x:v>
      </x:c>
      <x:c r="I2306" s="89" t="n">
        <x:v>45362.28256944445</x:v>
      </x:c>
      <x:c r="J2306" s="84" t="str">
        <x:v>Média</x:v>
      </x:c>
      <x:c r="K2306" s="84" t="str">
        <x:v>Encerrada</x:v>
      </x:c>
      <x:c r="L2306" s="84" t="str">
        <x:v>Vazamento</x:v>
      </x:c>
      <x:c r="M2306" s="84" t="str">
        <x:v>Conexão frouxa</x:v>
      </x:c>
      <x:c r="N2306" s="84" t="str">
        <x:v>Componente ajustado ou substituído</x:v>
      </x:c>
      <x:c r="O2306" s="84" t="n">
        <x:v>0</x:v>
      </x:c>
      <x:c r="P2306" s="93" t="n">
        <x:v>127.77</x:v>
      </x:c>
      <x:c r="Q2306" s="93" t="n">
        <x:v>3101.34</x:v>
      </x:c>
      <x:c r="R2306" s="91" t="n">
        <x:v>0</x:v>
      </x:c>
    </x:row>
    <x:row r="2307">
      <x:c r="A2307" s="83" t="n">
        <x:v>2306</x:v>
      </x:c>
      <x:c r="B2307" s="84" t="str">
        <x:v>OS-2025-02306</x:v>
      </x:c>
      <x:c r="C2307" s="84" t="n">
        <x:v>82</x:v>
      </x:c>
      <x:c r="D2307" s="84" t="n">
        <x:v>3</x:v>
      </x:c>
      <x:c r="E2307" s="84"/>
      <x:c r="F2307" s="89" t="n">
        <x:v>45832.69944444444</x:v>
      </x:c>
      <x:c r="G2307" s="89"/>
      <x:c r="H2307" s="89" t="n">
        <x:v>45833.991111111114</x:v>
      </x:c>
      <x:c r="I2307" s="89" t="n">
        <x:v>45834.69944444444</x:v>
      </x:c>
      <x:c r="J2307" s="84" t="str">
        <x:v>Baixa</x:v>
      </x:c>
      <x:c r="K2307" s="84" t="str">
        <x:v>Encerrada</x:v>
      </x:c>
      <x:c r="L2307" s="84" t="str">
        <x:v>Ruído anormal</x:v>
      </x:c>
      <x:c r="M2307" s="84" t="str">
        <x:v>Contaminação</x:v>
      </x:c>
      <x:c r="N2307" s="84" t="str">
        <x:v>Componente ajustado ou substituído</x:v>
      </x:c>
      <x:c r="O2307" s="84" t="n">
        <x:v>0</x:v>
      </x:c>
      <x:c r="P2307" s="93" t="n">
        <x:v>283.42</x:v>
      </x:c>
      <x:c r="Q2307" s="93" t="n">
        <x:v>0</x:v>
      </x:c>
      <x:c r="R2307" s="91" t="n">
        <x:v>0</x:v>
      </x:c>
    </x:row>
    <x:row r="2308">
      <x:c r="A2308" s="83" t="n">
        <x:v>2307</x:v>
      </x:c>
      <x:c r="B2308" s="84" t="str">
        <x:v>OS-2023-02307</x:v>
      </x:c>
      <x:c r="C2308" s="84" t="n">
        <x:v>6</x:v>
      </x:c>
      <x:c r="D2308" s="84" t="n">
        <x:v>8</x:v>
      </x:c>
      <x:c r="E2308" s="84"/>
      <x:c r="F2308" s="89" t="n">
        <x:v>45183.546273148146</x:v>
      </x:c>
      <x:c r="G2308" s="89" t="n">
        <x:v>45185.546273148146</x:v>
      </x:c>
      <x:c r="H2308" s="89" t="n">
        <x:v>45185.83793981482</x:v>
      </x:c>
      <x:c r="I2308" s="89" t="n">
        <x:v>45186.12960648148</x:v>
      </x:c>
      <x:c r="J2308" s="84" t="str">
        <x:v>Alta</x:v>
      </x:c>
      <x:c r="K2308" s="84" t="str">
        <x:v>Concluída</x:v>
      </x:c>
      <x:c r="L2308" s="84" t="str">
        <x:v>Alarme intermitente</x:v>
      </x:c>
      <x:c r="M2308" s="84" t="str">
        <x:v>Desgaste natural</x:v>
      </x:c>
      <x:c r="N2308" s="84" t="str">
        <x:v>Componente ajustado ou substituído</x:v>
      </x:c>
      <x:c r="O2308" s="84" t="n">
        <x:v>0</x:v>
      </x:c>
      <x:c r="P2308" s="93" t="n">
        <x:v>840.78</x:v>
      </x:c>
      <x:c r="Q2308" s="93" t="n">
        <x:v>12172.13</x:v>
      </x:c>
      <x:c r="R2308" s="91" t="n">
        <x:v>0</x:v>
      </x:c>
    </x:row>
    <x:row r="2309">
      <x:c r="A2309" s="83" t="n">
        <x:v>2308</x:v>
      </x:c>
      <x:c r="B2309" s="84" t="str">
        <x:v>OS-2023-02308</x:v>
      </x:c>
      <x:c r="C2309" s="84" t="n">
        <x:v>43</x:v>
      </x:c>
      <x:c r="D2309" s="84" t="n">
        <x:v>7</x:v>
      </x:c>
      <x:c r="E2309" s="84" t="n">
        <x:v>85</x:v>
      </x:c>
      <x:c r="F2309" s="89" t="n">
        <x:v>45087.57534722222</x:v>
      </x:c>
      <x:c r="G2309" s="89" t="n">
        <x:v>45096.57534722222</x:v>
      </x:c>
      <x:c r="H2309" s="89" t="n">
        <x:v>45088.36701388889</x:v>
      </x:c>
      <x:c r="I2309" s="89" t="n">
        <x:v>45089.11701388889</x:v>
      </x:c>
      <x:c r="J2309" s="84" t="str">
        <x:v>Média</x:v>
      </x:c>
      <x:c r="K2309" s="84" t="str">
        <x:v>Encerrada</x:v>
      </x:c>
      <x:c r="L2309" s="84" t="str">
        <x:v>Falha elétrica</x:v>
      </x:c>
      <x:c r="M2309" s="84" t="str">
        <x:v>Componente danificado</x:v>
      </x:c>
      <x:c r="N2309" s="84" t="str">
        <x:v>Componente ajustado ou substituído</x:v>
      </x:c>
      <x:c r="O2309" s="84" t="n">
        <x:v>0</x:v>
      </x:c>
      <x:c r="P2309" s="93" t="n">
        <x:v>269.33</x:v>
      </x:c>
      <x:c r="Q2309" s="93" t="n">
        <x:v>0</x:v>
      </x:c>
      <x:c r="R2309" s="91" t="n">
        <x:v>0</x:v>
      </x:c>
    </x:row>
    <x:row r="2310">
      <x:c r="A2310" s="83" t="n">
        <x:v>2309</x:v>
      </x:c>
      <x:c r="B2310" s="84" t="str">
        <x:v>OS-2024-02309</x:v>
      </x:c>
      <x:c r="C2310" s="84" t="n">
        <x:v>50</x:v>
      </x:c>
      <x:c r="D2310" s="84" t="n">
        <x:v>4</x:v>
      </x:c>
      <x:c r="E2310" s="84"/>
      <x:c r="F2310" s="89" t="n">
        <x:v>45306.10328703704</x:v>
      </x:c>
      <x:c r="G2310" s="89" t="n">
        <x:v>45312.10328703704</x:v>
      </x:c>
      <x:c r="H2310" s="89" t="n">
        <x:v>45306.894953703704</x:v>
      </x:c>
      <x:c r="I2310" s="89"/>
      <x:c r="J2310" s="84" t="str">
        <x:v>Média</x:v>
      </x:c>
      <x:c r="K2310" s="84" t="str">
        <x:v>Em execução</x:v>
      </x:c>
      <x:c r="L2310" s="84" t="str">
        <x:v>Falha elétrica</x:v>
      </x:c>
      <x:c r="M2310" s="84" t="str">
        <x:v>Contaminação</x:v>
      </x:c>
      <x:c r="N2310" s="84"/>
      <x:c r="O2310" s="84" t="n">
        <x:v>0</x:v>
      </x:c>
      <x:c r="P2310" s="93" t="n">
        <x:v>550.65</x:v>
      </x:c>
      <x:c r="Q2310" s="93" t="n">
        <x:v>1656.35</x:v>
      </x:c>
      <x:c r="R2310" s="91" t="n">
        <x:v>7273.18</x:v>
      </x:c>
    </x:row>
    <x:row r="2311">
      <x:c r="A2311" s="83" t="n">
        <x:v>2310</x:v>
      </x:c>
      <x:c r="B2311" s="84" t="str">
        <x:v>OS-2025-02310</x:v>
      </x:c>
      <x:c r="C2311" s="84" t="n">
        <x:v>27</x:v>
      </x:c>
      <x:c r="D2311" s="84" t="n">
        <x:v>9</x:v>
      </x:c>
      <x:c r="E2311" s="84"/>
      <x:c r="F2311" s="89" t="n">
        <x:v>45790.16504629629</x:v>
      </x:c>
      <x:c r="G2311" s="89" t="n">
        <x:v>45792.16504629629</x:v>
      </x:c>
      <x:c r="H2311" s="89" t="n">
        <x:v>45790.706712962965</x:v>
      </x:c>
      <x:c r="I2311" s="89" t="n">
        <x:v>45791.29004629629</x:v>
      </x:c>
      <x:c r="J2311" s="84" t="str">
        <x:v>Alta</x:v>
      </x:c>
      <x:c r="K2311" s="84" t="str">
        <x:v>Encerrada</x:v>
      </x:c>
      <x:c r="L2311" s="84" t="str">
        <x:v>Baixa pressão</x:v>
      </x:c>
      <x:c r="M2311" s="84" t="str">
        <x:v>Contaminação</x:v>
      </x:c>
      <x:c r="N2311" s="84" t="str">
        <x:v>Componente ajustado ou substituído</x:v>
      </x:c>
      <x:c r="O2311" s="84" t="n">
        <x:v>0</x:v>
      </x:c>
      <x:c r="P2311" s="93" t="n">
        <x:v>79.32</x:v>
      </x:c>
      <x:c r="Q2311" s="93" t="n">
        <x:v>7230.67</x:v>
      </x:c>
      <x:c r="R2311" s="91" t="n">
        <x:v>6304.06</x:v>
      </x:c>
    </x:row>
    <x:row r="2312">
      <x:c r="A2312" s="83" t="n">
        <x:v>2311</x:v>
      </x:c>
      <x:c r="B2312" s="84" t="str">
        <x:v>OS-2025-02311</x:v>
      </x:c>
      <x:c r="C2312" s="84" t="n">
        <x:v>77</x:v>
      </x:c>
      <x:c r="D2312" s="84" t="n">
        <x:v>4</x:v>
      </x:c>
      <x:c r="E2312" s="84"/>
      <x:c r="F2312" s="89" t="n">
        <x:v>45899.523888888885</x:v>
      </x:c>
      <x:c r="G2312" s="89" t="n">
        <x:v>45914.523888888885</x:v>
      </x:c>
      <x:c r="H2312" s="89" t="n">
        <x:v>45899.94055555556</x:v>
      </x:c>
      <x:c r="I2312" s="89" t="n">
        <x:v>45900.648888888885</x:v>
      </x:c>
      <x:c r="J2312" s="84" t="str">
        <x:v>Alta</x:v>
      </x:c>
      <x:c r="K2312" s="84" t="str">
        <x:v>Encerrada</x:v>
      </x:c>
      <x:c r="L2312" s="84" t="str">
        <x:v>Falha elétrica</x:v>
      </x:c>
      <x:c r="M2312" s="84" t="str">
        <x:v>Componente danificado</x:v>
      </x:c>
      <x:c r="N2312" s="84" t="str">
        <x:v>Componente ajustado ou substituído</x:v>
      </x:c>
      <x:c r="O2312" s="84" t="n">
        <x:v>0</x:v>
      </x:c>
      <x:c r="P2312" s="93" t="n">
        <x:v>514.13</x:v>
      </x:c>
      <x:c r="Q2312" s="93" t="n">
        <x:v>1251.48</x:v>
      </x:c>
      <x:c r="R2312" s="91" t="n">
        <x:v>0</x:v>
      </x:c>
    </x:row>
    <x:row r="2313">
      <x:c r="A2313" s="83" t="n">
        <x:v>2312</x:v>
      </x:c>
      <x:c r="B2313" s="84" t="str">
        <x:v>OS-2024-02312</x:v>
      </x:c>
      <x:c r="C2313" s="84" t="n">
        <x:v>18</x:v>
      </x:c>
      <x:c r="D2313" s="84" t="n">
        <x:v>2</x:v>
      </x:c>
      <x:c r="E2313" s="84"/>
      <x:c r="F2313" s="89" t="n">
        <x:v>45350.00540509259</x:v>
      </x:c>
      <x:c r="G2313" s="89" t="n">
        <x:v>45355.00540509259</x:v>
      </x:c>
      <x:c r="H2313" s="89" t="n">
        <x:v>45351.75540509259</x:v>
      </x:c>
      <x:c r="I2313" s="89" t="n">
        <x:v>45352.54707175926</x:v>
      </x:c>
      <x:c r="J2313" s="84" t="str">
        <x:v>Baixa</x:v>
      </x:c>
      <x:c r="K2313" s="84" t="str">
        <x:v>Encerrada</x:v>
      </x:c>
      <x:c r="L2313" s="84" t="str">
        <x:v>Ruído anormal</x:v>
      </x:c>
      <x:c r="M2313" s="84" t="str">
        <x:v>Contaminação</x:v>
      </x:c>
      <x:c r="N2313" s="84" t="str">
        <x:v>Componente ajustado ou substituído</x:v>
      </x:c>
      <x:c r="O2313" s="84" t="n">
        <x:v>0</x:v>
      </x:c>
      <x:c r="P2313" s="93" t="n">
        <x:v>378.47</x:v>
      </x:c>
      <x:c r="Q2313" s="93" t="n">
        <x:v>9020.52</x:v>
      </x:c>
      <x:c r="R2313" s="91" t="n">
        <x:v>0</x:v>
      </x:c>
    </x:row>
    <x:row r="2314">
      <x:c r="A2314" s="83" t="n">
        <x:v>2313</x:v>
      </x:c>
      <x:c r="B2314" s="84" t="str">
        <x:v>OS-2024-02313</x:v>
      </x:c>
      <x:c r="C2314" s="84" t="n">
        <x:v>46</x:v>
      </x:c>
      <x:c r="D2314" s="84" t="n">
        <x:v>3</x:v>
      </x:c>
      <x:c r="E2314" s="84"/>
      <x:c r="F2314" s="89" t="n">
        <x:v>45354.49291666667</x:v>
      </x:c>
      <x:c r="G2314" s="89"/>
      <x:c r="H2314" s="89" t="n">
        <x:v>45354.99291666667</x:v>
      </x:c>
      <x:c r="I2314" s="89" t="n">
        <x:v>45355.32625</x:v>
      </x:c>
      <x:c r="J2314" s="84" t="str">
        <x:v>Baixa</x:v>
      </x:c>
      <x:c r="K2314" s="84" t="str">
        <x:v>Encerrada</x:v>
      </x:c>
      <x:c r="L2314" s="84" t="str">
        <x:v>Falha elétrica</x:v>
      </x:c>
      <x:c r="M2314" s="84" t="str">
        <x:v>Contaminação</x:v>
      </x:c>
      <x:c r="N2314" s="84" t="str">
        <x:v>Componente ajustado ou substituído</x:v>
      </x:c>
      <x:c r="O2314" s="84" t="n">
        <x:v>0</x:v>
      </x:c>
      <x:c r="P2314" s="93" t="n">
        <x:v>304.98</x:v>
      </x:c>
      <x:c r="Q2314" s="93" t="n">
        <x:v>0</x:v>
      </x:c>
      <x:c r="R2314" s="91" t="n">
        <x:v>0</x:v>
      </x:c>
    </x:row>
    <x:row r="2315">
      <x:c r="A2315" s="83" t="n">
        <x:v>2314</x:v>
      </x:c>
      <x:c r="B2315" s="84" t="str">
        <x:v>OS-2023-02314</x:v>
      </x:c>
      <x:c r="C2315" s="84" t="n">
        <x:v>31</x:v>
      </x:c>
      <x:c r="D2315" s="84" t="n">
        <x:v>6</x:v>
      </x:c>
      <x:c r="E2315" s="84"/>
      <x:c r="F2315" s="89" t="n">
        <x:v>45153.15275462963</x:v>
      </x:c>
      <x:c r="G2315" s="89" t="n">
        <x:v>45168.15275462963</x:v>
      </x:c>
      <x:c r="H2315" s="89" t="n">
        <x:v>45153.36108796296</x:v>
      </x:c>
      <x:c r="I2315" s="89" t="n">
        <x:v>45153.9444212963</x:v>
      </x:c>
      <x:c r="J2315" s="84" t="str">
        <x:v>Alta</x:v>
      </x:c>
      <x:c r="K2315" s="84" t="str">
        <x:v>Encerrada</x:v>
      </x:c>
      <x:c r="L2315" s="84" t="str">
        <x:v>Falha elétrica</x:v>
      </x:c>
      <x:c r="M2315" s="84" t="str">
        <x:v>Componente danificado</x:v>
      </x:c>
      <x:c r="N2315" s="84" t="str">
        <x:v>Componente ajustado ou substituído</x:v>
      </x:c>
      <x:c r="O2315" s="84" t="n">
        <x:v>0</x:v>
      </x:c>
      <x:c r="P2315" s="93" t="n">
        <x:v>252.71</x:v>
      </x:c>
      <x:c r="Q2315" s="93" t="n">
        <x:v>4185.9</x:v>
      </x:c>
      <x:c r="R2315" s="91" t="n">
        <x:v>0</x:v>
      </x:c>
    </x:row>
    <x:row r="2316">
      <x:c r="A2316" s="83" t="n">
        <x:v>2315</x:v>
      </x:c>
      <x:c r="B2316" s="84" t="str">
        <x:v>OS-2023-02315</x:v>
      </x:c>
      <x:c r="C2316" s="84" t="n">
        <x:v>6</x:v>
      </x:c>
      <x:c r="D2316" s="84" t="n">
        <x:v>3</x:v>
      </x:c>
      <x:c r="E2316" s="84"/>
      <x:c r="F2316" s="89" t="n">
        <x:v>44944.19020833333</x:v>
      </x:c>
      <x:c r="G2316" s="89"/>
      <x:c r="H2316" s="89" t="n">
        <x:v>44947.106875</x:v>
      </x:c>
      <x:c r="I2316" s="89" t="n">
        <x:v>44947.19020833333</x:v>
      </x:c>
      <x:c r="J2316" s="84" t="str">
        <x:v>Média</x:v>
      </x:c>
      <x:c r="K2316" s="84" t="str">
        <x:v>Encerrada</x:v>
      </x:c>
      <x:c r="L2316" s="84" t="str">
        <x:v>Baixa pressão</x:v>
      </x:c>
      <x:c r="M2316" s="84" t="str">
        <x:v>Componente danificado</x:v>
      </x:c>
      <x:c r="N2316" s="84" t="str">
        <x:v>Componente ajustado ou substituído</x:v>
      </x:c>
      <x:c r="O2316" s="84" t="n">
        <x:v>0</x:v>
      </x:c>
      <x:c r="P2316" s="93" t="n">
        <x:v>430.24</x:v>
      </x:c>
      <x:c r="Q2316" s="93" t="n">
        <x:v>14964.85</x:v>
      </x:c>
      <x:c r="R2316" s="91" t="n">
        <x:v>0</x:v>
      </x:c>
    </x:row>
    <x:row r="2317">
      <x:c r="A2317" s="83" t="n">
        <x:v>2316</x:v>
      </x:c>
      <x:c r="B2317" s="84" t="str">
        <x:v>OS-2023-02316</x:v>
      </x:c>
      <x:c r="C2317" s="84" t="n">
        <x:v>55</x:v>
      </x:c>
      <x:c r="D2317" s="84" t="n">
        <x:v>8</x:v>
      </x:c>
      <x:c r="E2317" s="84"/>
      <x:c r="F2317" s="89" t="n">
        <x:v>45034.53841435185</x:v>
      </x:c>
      <x:c r="G2317" s="89" t="n">
        <x:v>45036.53841435185</x:v>
      </x:c>
      <x:c r="H2317" s="89" t="n">
        <x:v>45035.53841435185</x:v>
      </x:c>
      <x:c r="I2317" s="89" t="n">
        <x:v>45036.03841435185</x:v>
      </x:c>
      <x:c r="J2317" s="84" t="str">
        <x:v>Baixa</x:v>
      </x:c>
      <x:c r="K2317" s="84" t="str">
        <x:v>Encerrada</x:v>
      </x:c>
      <x:c r="L2317" s="84" t="str">
        <x:v>Alarme intermitente</x:v>
      </x:c>
      <x:c r="M2317" s="84" t="str">
        <x:v>Componente danificado</x:v>
      </x:c>
      <x:c r="N2317" s="84" t="str">
        <x:v>Componente ajustado ou substituído</x:v>
      </x:c>
      <x:c r="O2317" s="84" t="n">
        <x:v>0</x:v>
      </x:c>
      <x:c r="P2317" s="93" t="n">
        <x:v>356.19</x:v>
      </x:c>
      <x:c r="Q2317" s="93" t="n">
        <x:v>2624.58</x:v>
      </x:c>
      <x:c r="R2317" s="91" t="n">
        <x:v>0</x:v>
      </x:c>
    </x:row>
    <x:row r="2318">
      <x:c r="A2318" s="83" t="n">
        <x:v>2317</x:v>
      </x:c>
      <x:c r="B2318" s="84" t="str">
        <x:v>OS-2024-02317</x:v>
      </x:c>
      <x:c r="C2318" s="84" t="n">
        <x:v>60</x:v>
      </x:c>
      <x:c r="D2318" s="84" t="n">
        <x:v>7</x:v>
      </x:c>
      <x:c r="E2318" s="84" t="n">
        <x:v>119</x:v>
      </x:c>
      <x:c r="F2318" s="89" t="n">
        <x:v>45331.091203703705</x:v>
      </x:c>
      <x:c r="G2318" s="89" t="n">
        <x:v>45344.091203703705</x:v>
      </x:c>
      <x:c r="H2318" s="89" t="n">
        <x:v>45331.42453703703</x:v>
      </x:c>
      <x:c r="I2318" s="89" t="n">
        <x:v>45331.88287037037</x:v>
      </x:c>
      <x:c r="J2318" s="84" t="str">
        <x:v>Alta</x:v>
      </x:c>
      <x:c r="K2318" s="84" t="str">
        <x:v>Encerrada</x:v>
      </x:c>
      <x:c r="L2318" s="84" t="str">
        <x:v>Ruído anormal</x:v>
      </x:c>
      <x:c r="M2318" s="84" t="str">
        <x:v>Componente danificado</x:v>
      </x:c>
      <x:c r="N2318" s="84" t="str">
        <x:v>Componente ajustado ou substituído</x:v>
      </x:c>
      <x:c r="O2318" s="84" t="n">
        <x:v>0</x:v>
      </x:c>
      <x:c r="P2318" s="93" t="n">
        <x:v>173.7</x:v>
      </x:c>
      <x:c r="Q2318" s="93" t="n">
        <x:v>5557.22</x:v>
      </x:c>
      <x:c r="R2318" s="91" t="n">
        <x:v>0</x:v>
      </x:c>
    </x:row>
    <x:row r="2319">
      <x:c r="A2319" s="83" t="n">
        <x:v>2318</x:v>
      </x:c>
      <x:c r="B2319" s="84" t="str">
        <x:v>OS-2023-02318</x:v>
      </x:c>
      <x:c r="C2319" s="84" t="n">
        <x:v>29</x:v>
      </x:c>
      <x:c r="D2319" s="84" t="n">
        <x:v>1</x:v>
      </x:c>
      <x:c r="E2319" s="84" t="n">
        <x:v>57</x:v>
      </x:c>
      <x:c r="F2319" s="89" t="n">
        <x:v>44939.162314814814</x:v>
      </x:c>
      <x:c r="G2319" s="89" t="n">
        <x:v>44943.162314814814</x:v>
      </x:c>
      <x:c r="H2319" s="89" t="n">
        <x:v>44941.82898148148</x:v>
      </x:c>
      <x:c r="I2319" s="89" t="n">
        <x:v>44942.07898148148</x:v>
      </x:c>
      <x:c r="J2319" s="84" t="str">
        <x:v>Média</x:v>
      </x:c>
      <x:c r="K2319" s="84" t="str">
        <x:v>Encerrada</x:v>
      </x:c>
      <x:c r="L2319" s="84" t="str">
        <x:v>Desalinhamento</x:v>
      </x:c>
      <x:c r="M2319" s="84" t="str">
        <x:v>Desgaste natural</x:v>
      </x:c>
      <x:c r="N2319" s="84" t="str">
        <x:v>Componente ajustado ou substituído</x:v>
      </x:c>
      <x:c r="O2319" s="84" t="n">
        <x:v>0</x:v>
      </x:c>
      <x:c r="P2319" s="93" t="n">
        <x:v>319.83</x:v>
      </x:c>
      <x:c r="Q2319" s="93" t="n">
        <x:v>0</x:v>
      </x:c>
      <x:c r="R2319" s="91" t="n">
        <x:v>0</x:v>
      </x:c>
    </x:row>
    <x:row r="2320">
      <x:c r="A2320" s="83" t="n">
        <x:v>2319</x:v>
      </x:c>
      <x:c r="B2320" s="84" t="str">
        <x:v>OS-2024-02319</x:v>
      </x:c>
      <x:c r="C2320" s="84" t="n">
        <x:v>12</x:v>
      </x:c>
      <x:c r="D2320" s="84" t="n">
        <x:v>1</x:v>
      </x:c>
      <x:c r="E2320" s="84" t="n">
        <x:v>24</x:v>
      </x:c>
      <x:c r="F2320" s="89" t="n">
        <x:v>45649.15241898148</x:v>
      </x:c>
      <x:c r="G2320" s="89" t="n">
        <x:v>45654.15241898148</x:v>
      </x:c>
      <x:c r="H2320" s="89" t="n">
        <x:v>45650.194085648145</x:v>
      </x:c>
      <x:c r="I2320" s="89" t="n">
        <x:v>45651.02741898148</x:v>
      </x:c>
      <x:c r="J2320" s="84" t="str">
        <x:v>Alta</x:v>
      </x:c>
      <x:c r="K2320" s="84" t="str">
        <x:v>Encerrada</x:v>
      </x:c>
      <x:c r="L2320" s="84" t="str">
        <x:v>Falha elétrica</x:v>
      </x:c>
      <x:c r="M2320" s="84" t="str">
        <x:v>Conexão frouxa</x:v>
      </x:c>
      <x:c r="N2320" s="84" t="str">
        <x:v>Componente ajustado ou substituído</x:v>
      </x:c>
      <x:c r="O2320" s="84" t="n">
        <x:v>0</x:v>
      </x:c>
      <x:c r="P2320" s="93" t="n">
        <x:v>585.76</x:v>
      </x:c>
      <x:c r="Q2320" s="93" t="n">
        <x:v>6923.73</x:v>
      </x:c>
      <x:c r="R2320" s="91" t="n">
        <x:v>0</x:v>
      </x:c>
    </x:row>
    <x:row r="2321">
      <x:c r="A2321" s="83" t="n">
        <x:v>2320</x:v>
      </x:c>
      <x:c r="B2321" s="84" t="str">
        <x:v>OS-2024-02320</x:v>
      </x:c>
      <x:c r="C2321" s="84" t="n">
        <x:v>66</x:v>
      </x:c>
      <x:c r="D2321" s="84" t="n">
        <x:v>1</x:v>
      </x:c>
      <x:c r="E2321" s="84" t="n">
        <x:v>132</x:v>
      </x:c>
      <x:c r="F2321" s="89" t="n">
        <x:v>45498.4278125</x:v>
      </x:c>
      <x:c r="G2321" s="89" t="n">
        <x:v>45511.4278125</x:v>
      </x:c>
      <x:c r="H2321" s="89" t="n">
        <x:v>45500.46947916667</x:v>
      </x:c>
      <x:c r="I2321" s="89" t="n">
        <x:v>45500.511145833334</x:v>
      </x:c>
      <x:c r="J2321" s="84" t="str">
        <x:v>Crítica</x:v>
      </x:c>
      <x:c r="K2321" s="84" t="str">
        <x:v>Encerrada</x:v>
      </x:c>
      <x:c r="L2321" s="84" t="str">
        <x:v>Falha elétrica</x:v>
      </x:c>
      <x:c r="M2321" s="84" t="str">
        <x:v>Conexão frouxa</x:v>
      </x:c>
      <x:c r="N2321" s="84" t="str">
        <x:v>Componente ajustado ou substituído</x:v>
      </x:c>
      <x:c r="O2321" s="84" t="n">
        <x:v>0</x:v>
      </x:c>
      <x:c r="P2321" s="93" t="n">
        <x:v>51.15</x:v>
      </x:c>
      <x:c r="Q2321" s="93" t="n">
        <x:v>0</x:v>
      </x:c>
      <x:c r="R2321" s="91" t="n">
        <x:v>0</x:v>
      </x:c>
    </x:row>
    <x:row r="2322">
      <x:c r="A2322" s="83" t="n">
        <x:v>2321</x:v>
      </x:c>
      <x:c r="B2322" s="84" t="str">
        <x:v>OS-2023-02321</x:v>
      </x:c>
      <x:c r="C2322" s="84" t="n">
        <x:v>75</x:v>
      </x:c>
      <x:c r="D2322" s="84" t="n">
        <x:v>1</x:v>
      </x:c>
      <x:c r="E2322" s="84" t="n">
        <x:v>150</x:v>
      </x:c>
      <x:c r="F2322" s="89" t="n">
        <x:v>45011.216203703705</x:v>
      </x:c>
      <x:c r="G2322" s="89" t="n">
        <x:v>45017.216203703705</x:v>
      </x:c>
      <x:c r="H2322" s="89" t="n">
        <x:v>45013.341203703705</x:v>
      </x:c>
      <x:c r="I2322" s="89" t="n">
        <x:v>45013.67453703703</x:v>
      </x:c>
      <x:c r="J2322" s="84" t="str">
        <x:v>Alta</x:v>
      </x:c>
      <x:c r="K2322" s="84" t="str">
        <x:v>Encerrada</x:v>
      </x:c>
      <x:c r="L2322" s="84" t="str">
        <x:v>Superaquecimento</x:v>
      </x:c>
      <x:c r="M2322" s="84" t="str">
        <x:v>Ajuste incorreto</x:v>
      </x:c>
      <x:c r="N2322" s="84" t="str">
        <x:v>Componente ajustado ou substituído</x:v>
      </x:c>
      <x:c r="O2322" s="84" t="n">
        <x:v>0</x:v>
      </x:c>
      <x:c r="P2322" s="93" t="n">
        <x:v>140.28</x:v>
      </x:c>
      <x:c r="Q2322" s="93" t="n">
        <x:v>11412.55</x:v>
      </x:c>
      <x:c r="R2322" s="91" t="n">
        <x:v>0</x:v>
      </x:c>
    </x:row>
    <x:row r="2323">
      <x:c r="A2323" s="83" t="n">
        <x:v>2322</x:v>
      </x:c>
      <x:c r="B2323" s="84" t="str">
        <x:v>OS-2025-02322</x:v>
      </x:c>
      <x:c r="C2323" s="84" t="n">
        <x:v>16</x:v>
      </x:c>
      <x:c r="D2323" s="84" t="n">
        <x:v>4</x:v>
      </x:c>
      <x:c r="E2323" s="84"/>
      <x:c r="F2323" s="89" t="n">
        <x:v>46019.6740162037</x:v>
      </x:c>
      <x:c r="G2323" s="89" t="n">
        <x:v>46022.6740162037</x:v>
      </x:c>
      <x:c r="H2323" s="89" t="n">
        <x:v>46021.090682870374</x:v>
      </x:c>
      <x:c r="I2323" s="89" t="n">
        <x:v>46021.63234953704</x:v>
      </x:c>
      <x:c r="J2323" s="84" t="str">
        <x:v>Alta</x:v>
      </x:c>
      <x:c r="K2323" s="84" t="str">
        <x:v>Encerrada</x:v>
      </x:c>
      <x:c r="L2323" s="84" t="str">
        <x:v>Ruído anormal</x:v>
      </x:c>
      <x:c r="M2323" s="84" t="str">
        <x:v>Contaminação</x:v>
      </x:c>
      <x:c r="N2323" s="84" t="str">
        <x:v>Componente ajustado ou substituído</x:v>
      </x:c>
      <x:c r="O2323" s="84" t="n">
        <x:v>0</x:v>
      </x:c>
      <x:c r="P2323" s="93" t="n">
        <x:v>64.84</x:v>
      </x:c>
      <x:c r="Q2323" s="93" t="n">
        <x:v>11806.84</x:v>
      </x:c>
      <x:c r="R2323" s="91" t="n">
        <x:v>0</x:v>
      </x:c>
    </x:row>
    <x:row r="2324">
      <x:c r="A2324" s="83" t="n">
        <x:v>2323</x:v>
      </x:c>
      <x:c r="B2324" s="84" t="str">
        <x:v>OS-2025-02323</x:v>
      </x:c>
      <x:c r="C2324" s="84" t="n">
        <x:v>57</x:v>
      </x:c>
      <x:c r="D2324" s="84" t="n">
        <x:v>1</x:v>
      </x:c>
      <x:c r="E2324" s="84" t="n">
        <x:v>113</x:v>
      </x:c>
      <x:c r="F2324" s="89" t="n">
        <x:v>45659.977638888886</x:v>
      </x:c>
      <x:c r="G2324" s="89" t="n">
        <x:v>45665.977638888886</x:v>
      </x:c>
      <x:c r="H2324" s="89" t="n">
        <x:v>45660.43597222222</x:v>
      </x:c>
      <x:c r="I2324" s="89" t="n">
        <x:v>45661.01930555556</x:v>
      </x:c>
      <x:c r="J2324" s="84" t="str">
        <x:v>Alta</x:v>
      </x:c>
      <x:c r="K2324" s="84" t="str">
        <x:v>Concluída</x:v>
      </x:c>
      <x:c r="L2324" s="84" t="str">
        <x:v>Baixa pressão</x:v>
      </x:c>
      <x:c r="M2324" s="84" t="str">
        <x:v>Componente danificado</x:v>
      </x:c>
      <x:c r="N2324" s="84" t="str">
        <x:v>Componente ajustado ou substituído</x:v>
      </x:c>
      <x:c r="O2324" s="84" t="n">
        <x:v>0</x:v>
      </x:c>
      <x:c r="P2324" s="93" t="n">
        <x:v>651.57</x:v>
      </x:c>
      <x:c r="Q2324" s="93" t="n">
        <x:v>521.89</x:v>
      </x:c>
      <x:c r="R2324" s="91" t="n">
        <x:v>2183.18</x:v>
      </x:c>
    </x:row>
    <x:row r="2325">
      <x:c r="A2325" s="83" t="n">
        <x:v>2324</x:v>
      </x:c>
      <x:c r="B2325" s="84" t="str">
        <x:v>OS-2023-02324</x:v>
      </x:c>
      <x:c r="C2325" s="84" t="n">
        <x:v>58</x:v>
      </x:c>
      <x:c r="D2325" s="84" t="n">
        <x:v>7</x:v>
      </x:c>
      <x:c r="E2325" s="84" t="n">
        <x:v>116</x:v>
      </x:c>
      <x:c r="F2325" s="89" t="n">
        <x:v>45023.962592592594</x:v>
      </x:c>
      <x:c r="G2325" s="89" t="n">
        <x:v>45026.962592592594</x:v>
      </x:c>
      <x:c r="H2325" s="89" t="n">
        <x:v>45026.462592592594</x:v>
      </x:c>
      <x:c r="I2325" s="89" t="n">
        <x:v>45026.92092592592</x:v>
      </x:c>
      <x:c r="J2325" s="84" t="str">
        <x:v>Crítica</x:v>
      </x:c>
      <x:c r="K2325" s="84" t="str">
        <x:v>Encerrada</x:v>
      </x:c>
      <x:c r="L2325" s="84" t="str">
        <x:v>Alarme intermitente</x:v>
      </x:c>
      <x:c r="M2325" s="84" t="str">
        <x:v>Componente danificado</x:v>
      </x:c>
      <x:c r="N2325" s="84" t="str">
        <x:v>Componente ajustado ou substituído</x:v>
      </x:c>
      <x:c r="O2325" s="84" t="n">
        <x:v>0</x:v>
      </x:c>
      <x:c r="P2325" s="93" t="n">
        <x:v>668.37</x:v>
      </x:c>
      <x:c r="Q2325" s="93" t="n">
        <x:v>6939.34</x:v>
      </x:c>
      <x:c r="R2325" s="91" t="n">
        <x:v>0</x:v>
      </x:c>
    </x:row>
    <x:row r="2326">
      <x:c r="A2326" s="83" t="n">
        <x:v>2325</x:v>
      </x:c>
      <x:c r="B2326" s="84" t="str">
        <x:v>OS-2023-02325</x:v>
      </x:c>
      <x:c r="C2326" s="84" t="n">
        <x:v>44</x:v>
      </x:c>
      <x:c r="D2326" s="84" t="n">
        <x:v>3</x:v>
      </x:c>
      <x:c r="E2326" s="84"/>
      <x:c r="F2326" s="89" t="n">
        <x:v>45186.898194444446</x:v>
      </x:c>
      <x:c r="G2326" s="89"/>
      <x:c r="H2326" s="89" t="n">
        <x:v>45189.43986111111</x:v>
      </x:c>
      <x:c r="I2326" s="89" t="n">
        <x:v>45190.231527777774</x:v>
      </x:c>
      <x:c r="J2326" s="84" t="str">
        <x:v>Média</x:v>
      </x:c>
      <x:c r="K2326" s="84" t="str">
        <x:v>Concluída</x:v>
      </x:c>
      <x:c r="L2326" s="84" t="str">
        <x:v>Desalinhamento</x:v>
      </x:c>
      <x:c r="M2326" s="84" t="str">
        <x:v>Contaminação</x:v>
      </x:c>
      <x:c r="N2326" s="84" t="str">
        <x:v>Componente ajustado ou substituído</x:v>
      </x:c>
      <x:c r="O2326" s="84" t="n">
        <x:v>0</x:v>
      </x:c>
      <x:c r="P2326" s="93" t="n">
        <x:v>231.29</x:v>
      </x:c>
      <x:c r="Q2326" s="93" t="n">
        <x:v>15933.17</x:v>
      </x:c>
      <x:c r="R2326" s="91" t="n">
        <x:v>0</x:v>
      </x:c>
    </x:row>
    <x:row r="2327">
      <x:c r="A2327" s="83" t="n">
        <x:v>2326</x:v>
      </x:c>
      <x:c r="B2327" s="84" t="str">
        <x:v>OS-2024-02326</x:v>
      </x:c>
      <x:c r="C2327" s="84" t="n">
        <x:v>54</x:v>
      </x:c>
      <x:c r="D2327" s="84" t="n">
        <x:v>5</x:v>
      </x:c>
      <x:c r="E2327" s="84" t="n">
        <x:v>108</x:v>
      </x:c>
      <x:c r="F2327" s="89" t="n">
        <x:v>45385.25241898148</x:v>
      </x:c>
      <x:c r="G2327" s="89" t="n">
        <x:v>45398.25241898148</x:v>
      </x:c>
      <x:c r="H2327" s="89" t="n">
        <x:v>45385.835752314815</x:v>
      </x:c>
      <x:c r="I2327" s="89" t="n">
        <x:v>45386.25241898148</x:v>
      </x:c>
      <x:c r="J2327" s="84" t="str">
        <x:v>Alta</x:v>
      </x:c>
      <x:c r="K2327" s="84" t="str">
        <x:v>Concluída</x:v>
      </x:c>
      <x:c r="L2327" s="84" t="str">
        <x:v>Falha elétrica</x:v>
      </x:c>
      <x:c r="M2327" s="84" t="str">
        <x:v>Contaminação</x:v>
      </x:c>
      <x:c r="N2327" s="84" t="str">
        <x:v>Componente ajustado ou substituído</x:v>
      </x:c>
      <x:c r="O2327" s="84" t="n">
        <x:v>1</x:v>
      </x:c>
      <x:c r="P2327" s="93" t="n">
        <x:v>196.42</x:v>
      </x:c>
      <x:c r="Q2327" s="93" t="n">
        <x:v>6672.73</x:v>
      </x:c>
      <x:c r="R2327" s="91" t="n">
        <x:v>0</x:v>
      </x:c>
    </x:row>
    <x:row r="2328">
      <x:c r="A2328" s="83" t="n">
        <x:v>2327</x:v>
      </x:c>
      <x:c r="B2328" s="84" t="str">
        <x:v>OS-2024-02327</x:v>
      </x:c>
      <x:c r="C2328" s="84" t="n">
        <x:v>72</x:v>
      </x:c>
      <x:c r="D2328" s="84" t="n">
        <x:v>3</x:v>
      </x:c>
      <x:c r="E2328" s="84"/>
      <x:c r="F2328" s="89" t="n">
        <x:v>45478.248761574076</x:v>
      </x:c>
      <x:c r="G2328" s="89"/>
      <x:c r="H2328" s="89" t="n">
        <x:v>45480.748761574076</x:v>
      </x:c>
      <x:c r="I2328" s="89" t="n">
        <x:v>45481.54042824074</x:v>
      </x:c>
      <x:c r="J2328" s="84" t="str">
        <x:v>Alta</x:v>
      </x:c>
      <x:c r="K2328" s="84" t="str">
        <x:v>Encerrada</x:v>
      </x:c>
      <x:c r="L2328" s="84" t="str">
        <x:v>Falha elétrica</x:v>
      </x:c>
      <x:c r="M2328" s="84" t="str">
        <x:v>Contaminação</x:v>
      </x:c>
      <x:c r="N2328" s="84" t="str">
        <x:v>Componente ajustado ou substituído</x:v>
      </x:c>
      <x:c r="O2328" s="84" t="n">
        <x:v>0</x:v>
      </x:c>
      <x:c r="P2328" s="93" t="n">
        <x:v>444.85</x:v>
      </x:c>
      <x:c r="Q2328" s="93" t="n">
        <x:v>3484.35</x:v>
      </x:c>
      <x:c r="R2328" s="91" t="n">
        <x:v>0</x:v>
      </x:c>
    </x:row>
    <x:row r="2329">
      <x:c r="A2329" s="83" t="n">
        <x:v>2328</x:v>
      </x:c>
      <x:c r="B2329" s="84" t="str">
        <x:v>OS-2024-02328</x:v>
      </x:c>
      <x:c r="C2329" s="84" t="n">
        <x:v>81</x:v>
      </x:c>
      <x:c r="D2329" s="84" t="n">
        <x:v>1</x:v>
      </x:c>
      <x:c r="E2329" s="84" t="n">
        <x:v>161</x:v>
      </x:c>
      <x:c r="F2329" s="89" t="n">
        <x:v>45390.34336805555</x:v>
      </x:c>
      <x:c r="G2329" s="89" t="n">
        <x:v>45398.34336805555</x:v>
      </x:c>
      <x:c r="H2329" s="89" t="n">
        <x:v>45391.510034722225</x:v>
      </x:c>
      <x:c r="I2329" s="89" t="n">
        <x:v>45392.05170138889</x:v>
      </x:c>
      <x:c r="J2329" s="84" t="str">
        <x:v>Crítica</x:v>
      </x:c>
      <x:c r="K2329" s="84" t="str">
        <x:v>Encerrada</x:v>
      </x:c>
      <x:c r="L2329" s="84" t="str">
        <x:v>Baixa pressão</x:v>
      </x:c>
      <x:c r="M2329" s="84" t="str">
        <x:v>Falta de lubrificação</x:v>
      </x:c>
      <x:c r="N2329" s="84" t="str">
        <x:v>Componente ajustado ou substituído</x:v>
      </x:c>
      <x:c r="O2329" s="84" t="n">
        <x:v>0</x:v>
      </x:c>
      <x:c r="P2329" s="93" t="n">
        <x:v>305.88</x:v>
      </x:c>
      <x:c r="Q2329" s="93" t="n">
        <x:v>0</x:v>
      </x:c>
      <x:c r="R2329" s="91" t="n">
        <x:v>0</x:v>
      </x:c>
    </x:row>
    <x:row r="2330">
      <x:c r="A2330" s="83" t="n">
        <x:v>2329</x:v>
      </x:c>
      <x:c r="B2330" s="84" t="str">
        <x:v>OS-2023-02329</x:v>
      </x:c>
      <x:c r="C2330" s="84" t="n">
        <x:v>2</x:v>
      </x:c>
      <x:c r="D2330" s="84" t="n">
        <x:v>3</x:v>
      </x:c>
      <x:c r="E2330" s="84"/>
      <x:c r="F2330" s="89" t="n">
        <x:v>45020.00722222222</x:v>
      </x:c>
      <x:c r="G2330" s="89"/>
      <x:c r="H2330" s="89" t="n">
        <x:v>45020.96555555556</x:v>
      </x:c>
      <x:c r="I2330" s="89" t="n">
        <x:v>45021.17388888889</x:v>
      </x:c>
      <x:c r="J2330" s="84" t="str">
        <x:v>Alta</x:v>
      </x:c>
      <x:c r="K2330" s="84" t="str">
        <x:v>Encerrada</x:v>
      </x:c>
      <x:c r="L2330" s="84" t="str">
        <x:v>Falha elétrica</x:v>
      </x:c>
      <x:c r="M2330" s="84" t="str">
        <x:v>Falta de lubrificação</x:v>
      </x:c>
      <x:c r="N2330" s="84" t="str">
        <x:v>Componente ajustado ou substituído</x:v>
      </x:c>
      <x:c r="O2330" s="84" t="n">
        <x:v>0</x:v>
      </x:c>
      <x:c r="P2330" s="93" t="n">
        <x:v>324.24</x:v>
      </x:c>
      <x:c r="Q2330" s="93" t="n">
        <x:v>0</x:v>
      </x:c>
      <x:c r="R2330" s="91" t="n">
        <x:v>0</x:v>
      </x:c>
    </x:row>
    <x:row r="2331">
      <x:c r="A2331" s="83" t="n">
        <x:v>2330</x:v>
      </x:c>
      <x:c r="B2331" s="84" t="str">
        <x:v>OS-2025-02330</x:v>
      </x:c>
      <x:c r="C2331" s="84" t="n">
        <x:v>11</x:v>
      </x:c>
      <x:c r="D2331" s="84" t="n">
        <x:v>1</x:v>
      </x:c>
      <x:c r="E2331" s="84" t="n">
        <x:v>22</x:v>
      </x:c>
      <x:c r="F2331" s="89" t="n">
        <x:v>45879.909733796296</x:v>
      </x:c>
      <x:c r="G2331" s="89" t="n">
        <x:v>45891.909733796296</x:v>
      </x:c>
      <x:c r="H2331" s="89" t="n">
        <x:v>45880.57640046296</x:v>
      </x:c>
      <x:c r="I2331" s="89" t="n">
        <x:v>45881.20140046296</x:v>
      </x:c>
      <x:c r="J2331" s="84" t="str">
        <x:v>Média</x:v>
      </x:c>
      <x:c r="K2331" s="84" t="str">
        <x:v>Encerrada</x:v>
      </x:c>
      <x:c r="L2331" s="84" t="str">
        <x:v>Baixa pressão</x:v>
      </x:c>
      <x:c r="M2331" s="84" t="str">
        <x:v>Componente danificado</x:v>
      </x:c>
      <x:c r="N2331" s="84" t="str">
        <x:v>Componente ajustado ou substituído</x:v>
      </x:c>
      <x:c r="O2331" s="84" t="n">
        <x:v>0</x:v>
      </x:c>
      <x:c r="P2331" s="93" t="n">
        <x:v>371.08</x:v>
      </x:c>
      <x:c r="Q2331" s="93" t="n">
        <x:v>5950.56</x:v>
      </x:c>
      <x:c r="R2331" s="91" t="n">
        <x:v>0</x:v>
      </x:c>
    </x:row>
    <x:row r="2332">
      <x:c r="A2332" s="83" t="n">
        <x:v>2331</x:v>
      </x:c>
      <x:c r="B2332" s="84" t="str">
        <x:v>OS-2024-02331</x:v>
      </x:c>
      <x:c r="C2332" s="84" t="n">
        <x:v>31</x:v>
      </x:c>
      <x:c r="D2332" s="84" t="n">
        <x:v>8</x:v>
      </x:c>
      <x:c r="E2332" s="84"/>
      <x:c r="F2332" s="89" t="n">
        <x:v>45343.674166666664</x:v>
      </x:c>
      <x:c r="G2332" s="89" t="n">
        <x:v>45347.674166666664</x:v>
      </x:c>
      <x:c r="H2332" s="89"/>
      <x:c r="I2332" s="89"/>
      <x:c r="J2332" s="84" t="str">
        <x:v>Baixa</x:v>
      </x:c>
      <x:c r="K2332" s="84" t="str">
        <x:v>Planejada</x:v>
      </x:c>
      <x:c r="L2332" s="84" t="str">
        <x:v>Vazamento</x:v>
      </x:c>
      <x:c r="M2332" s="84"/>
      <x:c r="N2332" s="84"/>
      <x:c r="O2332" s="84" t="n">
        <x:v>0</x:v>
      </x:c>
      <x:c r="P2332" s="93" t="n">
        <x:v>0</x:v>
      </x:c>
      <x:c r="Q2332" s="93" t="n">
        <x:v>0</x:v>
      </x:c>
      <x:c r="R2332" s="91" t="n">
        <x:v>0</x:v>
      </x:c>
    </x:row>
    <x:row r="2333">
      <x:c r="A2333" s="83" t="n">
        <x:v>2332</x:v>
      </x:c>
      <x:c r="B2333" s="84" t="str">
        <x:v>OS-2025-02332</x:v>
      </x:c>
      <x:c r="C2333" s="84" t="n">
        <x:v>21</x:v>
      </x:c>
      <x:c r="D2333" s="84" t="n">
        <x:v>2</x:v>
      </x:c>
      <x:c r="E2333" s="84"/>
      <x:c r="F2333" s="89" t="n">
        <x:v>45856.42940972222</x:v>
      </x:c>
      <x:c r="G2333" s="89" t="n">
        <x:v>45861.42940972222</x:v>
      </x:c>
      <x:c r="H2333" s="89" t="n">
        <x:v>45858.22107638889</x:v>
      </x:c>
      <x:c r="I2333" s="89"/>
      <x:c r="J2333" s="84" t="str">
        <x:v>Baixa</x:v>
      </x:c>
      <x:c r="K2333" s="84" t="str">
        <x:v>Em execução</x:v>
      </x:c>
      <x:c r="L2333" s="84" t="str">
        <x:v>Vazamento</x:v>
      </x:c>
      <x:c r="M2333" s="84" t="str">
        <x:v>Ajuste incorreto</x:v>
      </x:c>
      <x:c r="N2333" s="84"/>
      <x:c r="O2333" s="84" t="n">
        <x:v>0</x:v>
      </x:c>
      <x:c r="P2333" s="93" t="n">
        <x:v>350.46</x:v>
      </x:c>
      <x:c r="Q2333" s="93" t="n">
        <x:v>8248.48</x:v>
      </x:c>
      <x:c r="R2333" s="91" t="n">
        <x:v>0</x:v>
      </x:c>
    </x:row>
    <x:row r="2334">
      <x:c r="A2334" s="83" t="n">
        <x:v>2333</x:v>
      </x:c>
      <x:c r="B2334" s="84" t="str">
        <x:v>OS-2023-02333</x:v>
      </x:c>
      <x:c r="C2334" s="84" t="n">
        <x:v>4</x:v>
      </x:c>
      <x:c r="D2334" s="84" t="n">
        <x:v>3</x:v>
      </x:c>
      <x:c r="E2334" s="84"/>
      <x:c r="F2334" s="89" t="n">
        <x:v>45289.05915509259</x:v>
      </x:c>
      <x:c r="G2334" s="89"/>
      <x:c r="H2334" s="89" t="n">
        <x:v>45289.142488425925</x:v>
      </x:c>
      <x:c r="I2334" s="89" t="n">
        <x:v>45289.72582175926</x:v>
      </x:c>
      <x:c r="J2334" s="84" t="str">
        <x:v>Crítica</x:v>
      </x:c>
      <x:c r="K2334" s="84" t="str">
        <x:v>Encerrada</x:v>
      </x:c>
      <x:c r="L2334" s="84" t="str">
        <x:v>Superaquecimento</x:v>
      </x:c>
      <x:c r="M2334" s="84" t="str">
        <x:v>Conexão frouxa</x:v>
      </x:c>
      <x:c r="N2334" s="84" t="str">
        <x:v>Componente ajustado ou substituído</x:v>
      </x:c>
      <x:c r="O2334" s="84" t="n">
        <x:v>0</x:v>
      </x:c>
      <x:c r="P2334" s="93" t="n">
        <x:v>152.49</x:v>
      </x:c>
      <x:c r="Q2334" s="93" t="n">
        <x:v>6053.33</x:v>
      </x:c>
      <x:c r="R2334" s="91" t="n">
        <x:v>0</x:v>
      </x:c>
    </x:row>
    <x:row r="2335">
      <x:c r="A2335" s="83" t="n">
        <x:v>2334</x:v>
      </x:c>
      <x:c r="B2335" s="84" t="str">
        <x:v>OS-2023-02334</x:v>
      </x:c>
      <x:c r="C2335" s="84" t="n">
        <x:v>11</x:v>
      </x:c>
      <x:c r="D2335" s="84" t="n">
        <x:v>8</x:v>
      </x:c>
      <x:c r="E2335" s="84"/>
      <x:c r="F2335" s="89" t="n">
        <x:v>45028.028333333335</x:v>
      </x:c>
      <x:c r="G2335" s="89" t="n">
        <x:v>45037.028333333335</x:v>
      </x:c>
      <x:c r="H2335" s="89" t="n">
        <x:v>45029.528333333335</x:v>
      </x:c>
      <x:c r="I2335" s="89" t="n">
        <x:v>45030.361666666664</x:v>
      </x:c>
      <x:c r="J2335" s="84" t="str">
        <x:v>Alta</x:v>
      </x:c>
      <x:c r="K2335" s="84" t="str">
        <x:v>Concluída</x:v>
      </x:c>
      <x:c r="L2335" s="84" t="str">
        <x:v>Falha elétrica</x:v>
      </x:c>
      <x:c r="M2335" s="84" t="str">
        <x:v>Falta de lubrificação</x:v>
      </x:c>
      <x:c r="N2335" s="84" t="str">
        <x:v>Componente ajustado ou substituído</x:v>
      </x:c>
      <x:c r="O2335" s="84" t="n">
        <x:v>0</x:v>
      </x:c>
      <x:c r="P2335" s="93" t="n">
        <x:v>95.88</x:v>
      </x:c>
      <x:c r="Q2335" s="93" t="n">
        <x:v>13809.66</x:v>
      </x:c>
      <x:c r="R2335" s="91" t="n">
        <x:v>0</x:v>
      </x:c>
    </x:row>
    <x:row r="2336">
      <x:c r="A2336" s="83" t="n">
        <x:v>2335</x:v>
      </x:c>
      <x:c r="B2336" s="84" t="str">
        <x:v>OS-2024-02335</x:v>
      </x:c>
      <x:c r="C2336" s="84" t="n">
        <x:v>38</x:v>
      </x:c>
      <x:c r="D2336" s="84" t="n">
        <x:v>7</x:v>
      </x:c>
      <x:c r="E2336" s="84" t="n">
        <x:v>75</x:v>
      </x:c>
      <x:c r="F2336" s="89" t="n">
        <x:v>45334.37716435185</x:v>
      </x:c>
      <x:c r="G2336" s="89" t="n">
        <x:v>45336.37716435185</x:v>
      </x:c>
      <x:c r="H2336" s="89" t="n">
        <x:v>45334.585497685184</x:v>
      </x:c>
      <x:c r="I2336" s="89" t="n">
        <x:v>45334.710497685184</x:v>
      </x:c>
      <x:c r="J2336" s="84" t="str">
        <x:v>Crítica</x:v>
      </x:c>
      <x:c r="K2336" s="84" t="str">
        <x:v>Encerrada</x:v>
      </x:c>
      <x:c r="L2336" s="84" t="str">
        <x:v>Falha elétrica</x:v>
      </x:c>
      <x:c r="M2336" s="84" t="str">
        <x:v>Desgaste natural</x:v>
      </x:c>
      <x:c r="N2336" s="84" t="str">
        <x:v>Componente ajustado ou substituído</x:v>
      </x:c>
      <x:c r="O2336" s="84" t="n">
        <x:v>0</x:v>
      </x:c>
      <x:c r="P2336" s="93" t="n">
        <x:v>620.25</x:v>
      </x:c>
      <x:c r="Q2336" s="93" t="n">
        <x:v>0</x:v>
      </x:c>
      <x:c r="R2336" s="91" t="n">
        <x:v>0</x:v>
      </x:c>
    </x:row>
    <x:row r="2337">
      <x:c r="A2337" s="83" t="n">
        <x:v>2336</x:v>
      </x:c>
      <x:c r="B2337" s="84" t="str">
        <x:v>OS-2024-02336</x:v>
      </x:c>
      <x:c r="C2337" s="84" t="n">
        <x:v>9</x:v>
      </x:c>
      <x:c r="D2337" s="84" t="n">
        <x:v>4</x:v>
      </x:c>
      <x:c r="E2337" s="84"/>
      <x:c r="F2337" s="89" t="n">
        <x:v>45633.286840277775</x:v>
      </x:c>
      <x:c r="G2337" s="89" t="n">
        <x:v>45638.286840277775</x:v>
      </x:c>
      <x:c r="H2337" s="89" t="n">
        <x:v>45634.661840277775</x:v>
      </x:c>
      <x:c r="I2337" s="89" t="n">
        <x:v>45635.24517361111</x:v>
      </x:c>
      <x:c r="J2337" s="84" t="str">
        <x:v>Crítica</x:v>
      </x:c>
      <x:c r="K2337" s="84" t="str">
        <x:v>Encerrada</x:v>
      </x:c>
      <x:c r="L2337" s="84" t="str">
        <x:v>Baixa pressão</x:v>
      </x:c>
      <x:c r="M2337" s="84" t="str">
        <x:v>Componente danificado</x:v>
      </x:c>
      <x:c r="N2337" s="84" t="str">
        <x:v>Componente ajustado ou substituído</x:v>
      </x:c>
      <x:c r="O2337" s="84" t="n">
        <x:v>0</x:v>
      </x:c>
      <x:c r="P2337" s="93" t="n">
        <x:v>262.74</x:v>
      </x:c>
      <x:c r="Q2337" s="93" t="n">
        <x:v>3078.16</x:v>
      </x:c>
      <x:c r="R2337" s="91" t="n">
        <x:v>0</x:v>
      </x:c>
    </x:row>
    <x:row r="2338">
      <x:c r="A2338" s="83" t="n">
        <x:v>2337</x:v>
      </x:c>
      <x:c r="B2338" s="84" t="str">
        <x:v>OS-2024-02337</x:v>
      </x:c>
      <x:c r="C2338" s="84" t="n">
        <x:v>76</x:v>
      </x:c>
      <x:c r="D2338" s="84" t="n">
        <x:v>3</x:v>
      </x:c>
      <x:c r="E2338" s="84"/>
      <x:c r="F2338" s="89" t="n">
        <x:v>45525.61618055555</x:v>
      </x:c>
      <x:c r="G2338" s="89"/>
      <x:c r="H2338" s="89" t="n">
        <x:v>45527.24118055555</x:v>
      </x:c>
      <x:c r="I2338" s="89" t="n">
        <x:v>45527.82451388889</x:v>
      </x:c>
      <x:c r="J2338" s="84" t="str">
        <x:v>Média</x:v>
      </x:c>
      <x:c r="K2338" s="84" t="str">
        <x:v>Encerrada</x:v>
      </x:c>
      <x:c r="L2338" s="84" t="str">
        <x:v>Superaquecimento</x:v>
      </x:c>
      <x:c r="M2338" s="84" t="str">
        <x:v>Falta de lubrificação</x:v>
      </x:c>
      <x:c r="N2338" s="84" t="str">
        <x:v>Componente ajustado ou substituído</x:v>
      </x:c>
      <x:c r="O2338" s="84" t="n">
        <x:v>0</x:v>
      </x:c>
      <x:c r="P2338" s="93" t="n">
        <x:v>243.37</x:v>
      </x:c>
      <x:c r="Q2338" s="93" t="n">
        <x:v>10059.22</x:v>
      </x:c>
      <x:c r="R2338" s="91" t="n">
        <x:v>0</x:v>
      </x:c>
    </x:row>
    <x:row r="2339">
      <x:c r="A2339" s="83" t="n">
        <x:v>2338</x:v>
      </x:c>
      <x:c r="B2339" s="84" t="str">
        <x:v>OS-2023-02338</x:v>
      </x:c>
      <x:c r="C2339" s="84" t="n">
        <x:v>44</x:v>
      </x:c>
      <x:c r="D2339" s="84" t="n">
        <x:v>4</x:v>
      </x:c>
      <x:c r="E2339" s="84"/>
      <x:c r="F2339" s="89" t="n">
        <x:v>45008.403761574074</x:v>
      </x:c>
      <x:c r="G2339" s="89" t="n">
        <x:v>45015.403761574074</x:v>
      </x:c>
      <x:c r="H2339" s="89" t="n">
        <x:v>45009.903761574074</x:v>
      </x:c>
      <x:c r="I2339" s="89" t="n">
        <x:v>45010.528761574074</x:v>
      </x:c>
      <x:c r="J2339" s="84" t="str">
        <x:v>Baixa</x:v>
      </x:c>
      <x:c r="K2339" s="84" t="str">
        <x:v>Encerrada</x:v>
      </x:c>
      <x:c r="L2339" s="84" t="str">
        <x:v>Alarme intermitente</x:v>
      </x:c>
      <x:c r="M2339" s="84" t="str">
        <x:v>Ajuste incorreto</x:v>
      </x:c>
      <x:c r="N2339" s="84" t="str">
        <x:v>Componente ajustado ou substituído</x:v>
      </x:c>
      <x:c r="O2339" s="84" t="n">
        <x:v>0</x:v>
      </x:c>
      <x:c r="P2339" s="93" t="n">
        <x:v>411.41</x:v>
      </x:c>
      <x:c r="Q2339" s="93" t="n">
        <x:v>15256.72</x:v>
      </x:c>
      <x:c r="R2339" s="91" t="n">
        <x:v>5648.27</x:v>
      </x:c>
    </x:row>
    <x:row r="2340">
      <x:c r="A2340" s="83" t="n">
        <x:v>2339</x:v>
      </x:c>
      <x:c r="B2340" s="84" t="str">
        <x:v>OS-2024-02339</x:v>
      </x:c>
      <x:c r="C2340" s="84" t="n">
        <x:v>63</x:v>
      </x:c>
      <x:c r="D2340" s="84" t="n">
        <x:v>5</x:v>
      </x:c>
      <x:c r="E2340" s="84" t="n">
        <x:v>125</x:v>
      </x:c>
      <x:c r="F2340" s="89" t="n">
        <x:v>45302.727685185186</x:v>
      </x:c>
      <x:c r="G2340" s="89" t="n">
        <x:v>45307.727685185186</x:v>
      </x:c>
      <x:c r="H2340" s="89" t="n">
        <x:v>45302.93601851852</x:v>
      </x:c>
      <x:c r="I2340" s="89" t="n">
        <x:v>45303.68601851852</x:v>
      </x:c>
      <x:c r="J2340" s="84" t="str">
        <x:v>Baixa</x:v>
      </x:c>
      <x:c r="K2340" s="84" t="str">
        <x:v>Encerrada</x:v>
      </x:c>
      <x:c r="L2340" s="84" t="str">
        <x:v>Ruído anormal</x:v>
      </x:c>
      <x:c r="M2340" s="84" t="str">
        <x:v>Ajuste incorreto</x:v>
      </x:c>
      <x:c r="N2340" s="84" t="str">
        <x:v>Componente ajustado ou substituído</x:v>
      </x:c>
      <x:c r="O2340" s="84" t="n">
        <x:v>0</x:v>
      </x:c>
      <x:c r="P2340" s="93" t="n">
        <x:v>364.15</x:v>
      </x:c>
      <x:c r="Q2340" s="93" t="n">
        <x:v>0</x:v>
      </x:c>
      <x:c r="R2340" s="91" t="n">
        <x:v>0</x:v>
      </x:c>
    </x:row>
    <x:row r="2341">
      <x:c r="A2341" s="83" t="n">
        <x:v>2340</x:v>
      </x:c>
      <x:c r="B2341" s="84" t="str">
        <x:v>OS-2024-02340</x:v>
      </x:c>
      <x:c r="C2341" s="84" t="n">
        <x:v>42</x:v>
      </x:c>
      <x:c r="D2341" s="84" t="n">
        <x:v>7</x:v>
      </x:c>
      <x:c r="E2341" s="84" t="n">
        <x:v>84</x:v>
      </x:c>
      <x:c r="F2341" s="89" t="n">
        <x:v>45567.14837962963</x:v>
      </x:c>
      <x:c r="G2341" s="89" t="n">
        <x:v>45578.14837962963</x:v>
      </x:c>
      <x:c r="H2341" s="89" t="n">
        <x:v>45569.98171296297</x:v>
      </x:c>
      <x:c r="I2341" s="89" t="n">
        <x:v>45570.14837962963</x:v>
      </x:c>
      <x:c r="J2341" s="84" t="str">
        <x:v>Média</x:v>
      </x:c>
      <x:c r="K2341" s="84" t="str">
        <x:v>Encerrada</x:v>
      </x:c>
      <x:c r="L2341" s="84" t="str">
        <x:v>Falha elétrica</x:v>
      </x:c>
      <x:c r="M2341" s="84" t="str">
        <x:v>Ajuste incorreto</x:v>
      </x:c>
      <x:c r="N2341" s="84" t="str">
        <x:v>Componente ajustado ou substituído</x:v>
      </x:c>
      <x:c r="O2341" s="84" t="n">
        <x:v>0</x:v>
      </x:c>
      <x:c r="P2341" s="93" t="n">
        <x:v>438.85</x:v>
      </x:c>
      <x:c r="Q2341" s="93" t="n">
        <x:v>7214.4</x:v>
      </x:c>
      <x:c r="R2341" s="91" t="n">
        <x:v>0</x:v>
      </x:c>
    </x:row>
    <x:row r="2342">
      <x:c r="A2342" s="83" t="n">
        <x:v>2341</x:v>
      </x:c>
      <x:c r="B2342" s="84" t="str">
        <x:v>OS-2024-02341</x:v>
      </x:c>
      <x:c r="C2342" s="84" t="n">
        <x:v>51</x:v>
      </x:c>
      <x:c r="D2342" s="84" t="n">
        <x:v>4</x:v>
      </x:c>
      <x:c r="E2342" s="84"/>
      <x:c r="F2342" s="89" t="n">
        <x:v>45635.63748842593</x:v>
      </x:c>
      <x:c r="G2342" s="89" t="n">
        <x:v>45646.63748842593</x:v>
      </x:c>
      <x:c r="H2342" s="89" t="n">
        <x:v>45637.51248842593</x:v>
      </x:c>
      <x:c r="I2342" s="89" t="n">
        <x:v>45638.17915509259</x:v>
      </x:c>
      <x:c r="J2342" s="84" t="str">
        <x:v>Alta</x:v>
      </x:c>
      <x:c r="K2342" s="84" t="str">
        <x:v>Encerrada</x:v>
      </x:c>
      <x:c r="L2342" s="84" t="str">
        <x:v>Falha elétrica</x:v>
      </x:c>
      <x:c r="M2342" s="84" t="str">
        <x:v>Componente danificado</x:v>
      </x:c>
      <x:c r="N2342" s="84" t="str">
        <x:v>Componente ajustado ou substituído</x:v>
      </x:c>
      <x:c r="O2342" s="84" t="n">
        <x:v>0</x:v>
      </x:c>
      <x:c r="P2342" s="93" t="n">
        <x:v>600.37</x:v>
      </x:c>
      <x:c r="Q2342" s="93" t="n">
        <x:v>4632.48</x:v>
      </x:c>
      <x:c r="R2342" s="91" t="n">
        <x:v>0</x:v>
      </x:c>
    </x:row>
    <x:row r="2343">
      <x:c r="A2343" s="83" t="n">
        <x:v>2342</x:v>
      </x:c>
      <x:c r="B2343" s="84" t="str">
        <x:v>OS-2023-02342</x:v>
      </x:c>
      <x:c r="C2343" s="84" t="n">
        <x:v>21</x:v>
      </x:c>
      <x:c r="D2343" s="84" t="n">
        <x:v>1</x:v>
      </x:c>
      <x:c r="E2343" s="84" t="n">
        <x:v>42</x:v>
      </x:c>
      <x:c r="F2343" s="89" t="n">
        <x:v>45070.141122685185</x:v>
      </x:c>
      <x:c r="G2343" s="89" t="n">
        <x:v>45074.141122685185</x:v>
      </x:c>
      <x:c r="H2343" s="89"/>
      <x:c r="I2343" s="89"/>
      <x:c r="J2343" s="84" t="str">
        <x:v>Baixa</x:v>
      </x:c>
      <x:c r="K2343" s="84" t="str">
        <x:v>Cancelada</x:v>
      </x:c>
      <x:c r="L2343" s="84" t="str">
        <x:v>Baixa pressão</x:v>
      </x:c>
      <x:c r="M2343" s="84"/>
      <x:c r="N2343" s="84"/>
      <x:c r="O2343" s="84" t="n">
        <x:v>0</x:v>
      </x:c>
      <x:c r="P2343" s="93" t="n">
        <x:v>0</x:v>
      </x:c>
      <x:c r="Q2343" s="93" t="n">
        <x:v>0</x:v>
      </x:c>
      <x:c r="R2343" s="91" t="n">
        <x:v>0</x:v>
      </x:c>
    </x:row>
    <x:row r="2344">
      <x:c r="A2344" s="83" t="n">
        <x:v>2343</x:v>
      </x:c>
      <x:c r="B2344" s="84" t="str">
        <x:v>OS-2024-02343</x:v>
      </x:c>
      <x:c r="C2344" s="84" t="n">
        <x:v>8</x:v>
      </x:c>
      <x:c r="D2344" s="84" t="n">
        <x:v>1</x:v>
      </x:c>
      <x:c r="E2344" s="84" t="n">
        <x:v>15</x:v>
      </x:c>
      <x:c r="F2344" s="89" t="n">
        <x:v>45449.00761574074</x:v>
      </x:c>
      <x:c r="G2344" s="89" t="n">
        <x:v>45453.00761574074</x:v>
      </x:c>
      <x:c r="H2344" s="89" t="n">
        <x:v>45449.17428240741</x:v>
      </x:c>
      <x:c r="I2344" s="89" t="n">
        <x:v>45449.54928240741</x:v>
      </x:c>
      <x:c r="J2344" s="84" t="str">
        <x:v>Alta</x:v>
      </x:c>
      <x:c r="K2344" s="84" t="str">
        <x:v>Encerrada</x:v>
      </x:c>
      <x:c r="L2344" s="84" t="str">
        <x:v>Alarme intermitente</x:v>
      </x:c>
      <x:c r="M2344" s="84" t="str">
        <x:v>Falta de lubrificação</x:v>
      </x:c>
      <x:c r="N2344" s="84" t="str">
        <x:v>Componente ajustado ou substituído</x:v>
      </x:c>
      <x:c r="O2344" s="84" t="n">
        <x:v>0</x:v>
      </x:c>
      <x:c r="P2344" s="93" t="n">
        <x:v>179.49</x:v>
      </x:c>
      <x:c r="Q2344" s="93" t="n">
        <x:v>2308.62</x:v>
      </x:c>
      <x:c r="R2344" s="91" t="n">
        <x:v>0</x:v>
      </x:c>
    </x:row>
    <x:row r="2345">
      <x:c r="A2345" s="83" t="n">
        <x:v>2344</x:v>
      </x:c>
      <x:c r="B2345" s="84" t="str">
        <x:v>OS-2024-02344</x:v>
      </x:c>
      <x:c r="C2345" s="84" t="n">
        <x:v>77</x:v>
      </x:c>
      <x:c r="D2345" s="84" t="n">
        <x:v>3</x:v>
      </x:c>
      <x:c r="E2345" s="84"/>
      <x:c r="F2345" s="89" t="n">
        <x:v>45361.66357638889</x:v>
      </x:c>
      <x:c r="G2345" s="89"/>
      <x:c r="H2345" s="89"/>
      <x:c r="I2345" s="89"/>
      <x:c r="J2345" s="84" t="str">
        <x:v>Baixa</x:v>
      </x:c>
      <x:c r="K2345" s="84" t="str">
        <x:v>Cancelada</x:v>
      </x:c>
      <x:c r="L2345" s="84" t="str">
        <x:v>Baixa pressão</x:v>
      </x:c>
      <x:c r="M2345" s="84"/>
      <x:c r="N2345" s="84"/>
      <x:c r="O2345" s="84" t="n">
        <x:v>0</x:v>
      </x:c>
      <x:c r="P2345" s="93" t="n">
        <x:v>0</x:v>
      </x:c>
      <x:c r="Q2345" s="93" t="n">
        <x:v>0</x:v>
      </x:c>
      <x:c r="R2345" s="91" t="n">
        <x:v>0</x:v>
      </x:c>
    </x:row>
    <x:row r="2346">
      <x:c r="A2346" s="83" t="n">
        <x:v>2345</x:v>
      </x:c>
      <x:c r="B2346" s="84" t="str">
        <x:v>OS-2023-02345</x:v>
      </x:c>
      <x:c r="C2346" s="84" t="n">
        <x:v>64</x:v>
      </x:c>
      <x:c r="D2346" s="84" t="n">
        <x:v>6</x:v>
      </x:c>
      <x:c r="E2346" s="84"/>
      <x:c r="F2346" s="89" t="n">
        <x:v>45042.30063657407</x:v>
      </x:c>
      <x:c r="G2346" s="89" t="n">
        <x:v>45043.30063657407</x:v>
      </x:c>
      <x:c r="H2346" s="89"/>
      <x:c r="I2346" s="89"/>
      <x:c r="J2346" s="84" t="str">
        <x:v>Crítica</x:v>
      </x:c>
      <x:c r="K2346" s="84" t="str">
        <x:v>Cancelada</x:v>
      </x:c>
      <x:c r="L2346" s="84" t="str">
        <x:v>Superaquecimento</x:v>
      </x:c>
      <x:c r="M2346" s="84"/>
      <x:c r="N2346" s="84"/>
      <x:c r="O2346" s="84" t="n">
        <x:v>0</x:v>
      </x:c>
      <x:c r="P2346" s="93" t="n">
        <x:v>0</x:v>
      </x:c>
      <x:c r="Q2346" s="93" t="n">
        <x:v>0</x:v>
      </x:c>
      <x:c r="R2346" s="91" t="n">
        <x:v>0</x:v>
      </x:c>
    </x:row>
    <x:row r="2347">
      <x:c r="A2347" s="83" t="n">
        <x:v>2346</x:v>
      </x:c>
      <x:c r="B2347" s="84" t="str">
        <x:v>OS-2025-02346</x:v>
      </x:c>
      <x:c r="C2347" s="84" t="n">
        <x:v>62</x:v>
      </x:c>
      <x:c r="D2347" s="84" t="n">
        <x:v>3</x:v>
      </x:c>
      <x:c r="E2347" s="84"/>
      <x:c r="F2347" s="89" t="n">
        <x:v>45824.07908564815</x:v>
      </x:c>
      <x:c r="G2347" s="89"/>
      <x:c r="H2347" s="89" t="n">
        <x:v>45826.53741898148</x:v>
      </x:c>
      <x:c r="I2347" s="89"/>
      <x:c r="J2347" s="84" t="str">
        <x:v>Crítica</x:v>
      </x:c>
      <x:c r="K2347" s="84" t="str">
        <x:v>Em execução</x:v>
      </x:c>
      <x:c r="L2347" s="84" t="str">
        <x:v>Desalinhamento</x:v>
      </x:c>
      <x:c r="M2347" s="84" t="str">
        <x:v>Desgaste natural</x:v>
      </x:c>
      <x:c r="N2347" s="84"/>
      <x:c r="O2347" s="84" t="n">
        <x:v>0</x:v>
      </x:c>
      <x:c r="P2347" s="93" t="n">
        <x:v>58.35</x:v>
      </x:c>
      <x:c r="Q2347" s="93" t="n">
        <x:v>9691.35</x:v>
      </x:c>
      <x:c r="R2347" s="91" t="n">
        <x:v>9920.76</x:v>
      </x:c>
    </x:row>
    <x:row r="2348">
      <x:c r="A2348" s="83" t="n">
        <x:v>2347</x:v>
      </x:c>
      <x:c r="B2348" s="84" t="str">
        <x:v>OS-2023-02347</x:v>
      </x:c>
      <x:c r="C2348" s="84" t="n">
        <x:v>39</x:v>
      </x:c>
      <x:c r="D2348" s="84" t="n">
        <x:v>2</x:v>
      </x:c>
      <x:c r="E2348" s="84"/>
      <x:c r="F2348" s="89" t="n">
        <x:v>44954.79630787037</x:v>
      </x:c>
      <x:c r="G2348" s="89" t="n">
        <x:v>44954.79630787037</x:v>
      </x:c>
      <x:c r="H2348" s="89" t="n">
        <x:v>44957.08797453704</x:v>
      </x:c>
      <x:c r="I2348" s="89" t="n">
        <x:v>44957.67130787037</x:v>
      </x:c>
      <x:c r="J2348" s="84" t="str">
        <x:v>Alta</x:v>
      </x:c>
      <x:c r="K2348" s="84" t="str">
        <x:v>Encerrada</x:v>
      </x:c>
      <x:c r="L2348" s="84" t="str">
        <x:v>Desalinhamento</x:v>
      </x:c>
      <x:c r="M2348" s="84" t="str">
        <x:v>Falta de lubrificação</x:v>
      </x:c>
      <x:c r="N2348" s="84" t="str">
        <x:v>Componente ajustado ou substituído</x:v>
      </x:c>
      <x:c r="O2348" s="84" t="n">
        <x:v>0</x:v>
      </x:c>
      <x:c r="P2348" s="93" t="n">
        <x:v>196.15</x:v>
      </x:c>
      <x:c r="Q2348" s="93" t="n">
        <x:v>0</x:v>
      </x:c>
      <x:c r="R2348" s="91" t="n">
        <x:v>0</x:v>
      </x:c>
    </x:row>
    <x:row r="2349">
      <x:c r="A2349" s="83" t="n">
        <x:v>2348</x:v>
      </x:c>
      <x:c r="B2349" s="84" t="str">
        <x:v>OS-2024-02348</x:v>
      </x:c>
      <x:c r="C2349" s="84" t="n">
        <x:v>73</x:v>
      </x:c>
      <x:c r="D2349" s="84" t="n">
        <x:v>1</x:v>
      </x:c>
      <x:c r="E2349" s="84" t="n">
        <x:v>146</x:v>
      </x:c>
      <x:c r="F2349" s="89" t="n">
        <x:v>45388.00915509259</x:v>
      </x:c>
      <x:c r="G2349" s="89" t="n">
        <x:v>45390.00915509259</x:v>
      </x:c>
      <x:c r="H2349" s="89" t="n">
        <x:v>45389.84248842593</x:v>
      </x:c>
      <x:c r="I2349" s="89" t="n">
        <x:v>45390.21748842593</x:v>
      </x:c>
      <x:c r="J2349" s="84" t="str">
        <x:v>Média</x:v>
      </x:c>
      <x:c r="K2349" s="84" t="str">
        <x:v>Encerrada</x:v>
      </x:c>
      <x:c r="L2349" s="84" t="str">
        <x:v>Superaquecimento</x:v>
      </x:c>
      <x:c r="M2349" s="84" t="str">
        <x:v>Conexão frouxa</x:v>
      </x:c>
      <x:c r="N2349" s="84" t="str">
        <x:v>Componente ajustado ou substituído</x:v>
      </x:c>
      <x:c r="O2349" s="84" t="n">
        <x:v>0</x:v>
      </x:c>
      <x:c r="P2349" s="93" t="n">
        <x:v>365.05</x:v>
      </x:c>
      <x:c r="Q2349" s="93" t="n">
        <x:v>0</x:v>
      </x:c>
      <x:c r="R2349" s="91" t="n">
        <x:v>0</x:v>
      </x:c>
    </x:row>
    <x:row r="2350">
      <x:c r="A2350" s="83" t="n">
        <x:v>2349</x:v>
      </x:c>
      <x:c r="B2350" s="84" t="str">
        <x:v>OS-2023-02349</x:v>
      </x:c>
      <x:c r="C2350" s="84" t="n">
        <x:v>71</x:v>
      </x:c>
      <x:c r="D2350" s="84" t="n">
        <x:v>2</x:v>
      </x:c>
      <x:c r="E2350" s="84"/>
      <x:c r="F2350" s="89" t="n">
        <x:v>45154.093773148146</x:v>
      </x:c>
      <x:c r="G2350" s="89" t="n">
        <x:v>45168.093773148146</x:v>
      </x:c>
      <x:c r="H2350" s="89" t="n">
        <x:v>45156.51043981482</x:v>
      </x:c>
      <x:c r="I2350" s="89" t="n">
        <x:v>45157.13543981482</x:v>
      </x:c>
      <x:c r="J2350" s="84" t="str">
        <x:v>Média</x:v>
      </x:c>
      <x:c r="K2350" s="84" t="str">
        <x:v>Encerrada</x:v>
      </x:c>
      <x:c r="L2350" s="84" t="str">
        <x:v>Falha elétrica</x:v>
      </x:c>
      <x:c r="M2350" s="84" t="str">
        <x:v>Desgaste natural</x:v>
      </x:c>
      <x:c r="N2350" s="84" t="str">
        <x:v>Componente ajustado ou substituído</x:v>
      </x:c>
      <x:c r="O2350" s="84" t="n">
        <x:v>0</x:v>
      </x:c>
      <x:c r="P2350" s="93" t="n">
        <x:v>277.92</x:v>
      </x:c>
      <x:c r="Q2350" s="93" t="n">
        <x:v>0</x:v>
      </x:c>
      <x:c r="R2350" s="91" t="n">
        <x:v>10444.38</x:v>
      </x:c>
    </x:row>
    <x:row r="2351">
      <x:c r="A2351" s="83" t="n">
        <x:v>2350</x:v>
      </x:c>
      <x:c r="B2351" s="84" t="str">
        <x:v>OS-2025-02350</x:v>
      </x:c>
      <x:c r="C2351" s="84" t="n">
        <x:v>4</x:v>
      </x:c>
      <x:c r="D2351" s="84" t="n">
        <x:v>3</x:v>
      </x:c>
      <x:c r="E2351" s="84"/>
      <x:c r="F2351" s="89" t="n">
        <x:v>45823.44923611111</x:v>
      </x:c>
      <x:c r="G2351" s="89"/>
      <x:c r="H2351" s="89" t="n">
        <x:v>45824.40756944445</x:v>
      </x:c>
      <x:c r="I2351" s="89" t="n">
        <x:v>45824.490902777776</x:v>
      </x:c>
      <x:c r="J2351" s="84" t="str">
        <x:v>Alta</x:v>
      </x:c>
      <x:c r="K2351" s="84" t="str">
        <x:v>Encerrada</x:v>
      </x:c>
      <x:c r="L2351" s="84" t="str">
        <x:v>Desalinhamento</x:v>
      </x:c>
      <x:c r="M2351" s="84" t="str">
        <x:v>Componente danificado</x:v>
      </x:c>
      <x:c r="N2351" s="84" t="str">
        <x:v>Componente ajustado ou substituído</x:v>
      </x:c>
      <x:c r="O2351" s="84" t="n">
        <x:v>0</x:v>
      </x:c>
      <x:c r="P2351" s="93" t="n">
        <x:v>229.9</x:v>
      </x:c>
      <x:c r="Q2351" s="93" t="n">
        <x:v>2574.04</x:v>
      </x:c>
      <x:c r="R2351" s="91" t="n">
        <x:v>0</x:v>
      </x:c>
    </x:row>
    <x:row r="2352">
      <x:c r="A2352" s="83" t="n">
        <x:v>2351</x:v>
      </x:c>
      <x:c r="B2352" s="84" t="str">
        <x:v>OS-2024-02351</x:v>
      </x:c>
      <x:c r="C2352" s="84" t="n">
        <x:v>27</x:v>
      </x:c>
      <x:c r="D2352" s="84" t="n">
        <x:v>8</x:v>
      </x:c>
      <x:c r="E2352" s="84"/>
      <x:c r="F2352" s="89" t="n">
        <x:v>45520.49359953704</x:v>
      </x:c>
      <x:c r="G2352" s="89" t="n">
        <x:v>45527.49359953704</x:v>
      </x:c>
      <x:c r="H2352" s="89"/>
      <x:c r="I2352" s="89"/>
      <x:c r="J2352" s="84" t="str">
        <x:v>Crítica</x:v>
      </x:c>
      <x:c r="K2352" s="84" t="str">
        <x:v>Planejada</x:v>
      </x:c>
      <x:c r="L2352" s="84" t="str">
        <x:v>Vazamento</x:v>
      </x:c>
      <x:c r="M2352" s="84"/>
      <x:c r="N2352" s="84"/>
      <x:c r="O2352" s="84" t="n">
        <x:v>0</x:v>
      </x:c>
      <x:c r="P2352" s="93" t="n">
        <x:v>0</x:v>
      </x:c>
      <x:c r="Q2352" s="93" t="n">
        <x:v>0</x:v>
      </x:c>
      <x:c r="R2352" s="91" t="n">
        <x:v>0</x:v>
      </x:c>
    </x:row>
    <x:row r="2353">
      <x:c r="A2353" s="83" t="n">
        <x:v>2352</x:v>
      </x:c>
      <x:c r="B2353" s="84" t="str">
        <x:v>OS-2024-02352</x:v>
      </x:c>
      <x:c r="C2353" s="84" t="n">
        <x:v>11</x:v>
      </x:c>
      <x:c r="D2353" s="84" t="n">
        <x:v>2</x:v>
      </x:c>
      <x:c r="E2353" s="84"/>
      <x:c r="F2353" s="89" t="n">
        <x:v>45316.04673611111</x:v>
      </x:c>
      <x:c r="G2353" s="89" t="n">
        <x:v>45326.04673611111</x:v>
      </x:c>
      <x:c r="H2353" s="89" t="n">
        <x:v>45317.46340277778</x:v>
      </x:c>
      <x:c r="I2353" s="89" t="n">
        <x:v>45317.92173611111</x:v>
      </x:c>
      <x:c r="J2353" s="84" t="str">
        <x:v>Alta</x:v>
      </x:c>
      <x:c r="K2353" s="84" t="str">
        <x:v>Encerrada</x:v>
      </x:c>
      <x:c r="L2353" s="84" t="str">
        <x:v>Vazamento</x:v>
      </x:c>
      <x:c r="M2353" s="84" t="str">
        <x:v>Falta de lubrificação</x:v>
      </x:c>
      <x:c r="N2353" s="84" t="str">
        <x:v>Componente ajustado ou substituído</x:v>
      </x:c>
      <x:c r="O2353" s="84" t="n">
        <x:v>0</x:v>
      </x:c>
      <x:c r="P2353" s="93" t="n">
        <x:v>426.52</x:v>
      </x:c>
      <x:c r="Q2353" s="93" t="n">
        <x:v>3027.67</x:v>
      </x:c>
      <x:c r="R2353" s="91" t="n">
        <x:v>7502.87</x:v>
      </x:c>
    </x:row>
    <x:row r="2354">
      <x:c r="A2354" s="83" t="n">
        <x:v>2353</x:v>
      </x:c>
      <x:c r="B2354" s="84" t="str">
        <x:v>OS-2023-02353</x:v>
      </x:c>
      <x:c r="C2354" s="84" t="n">
        <x:v>71</x:v>
      </x:c>
      <x:c r="D2354" s="84" t="n">
        <x:v>4</x:v>
      </x:c>
      <x:c r="E2354" s="84"/>
      <x:c r="F2354" s="89" t="n">
        <x:v>45034.64717592593</x:v>
      </x:c>
      <x:c r="G2354" s="89" t="n">
        <x:v>45042.64717592593</x:v>
      </x:c>
      <x:c r="H2354" s="89" t="n">
        <x:v>45037.48050925926</x:v>
      </x:c>
      <x:c r="I2354" s="89"/>
      <x:c r="J2354" s="84" t="str">
        <x:v>Crítica</x:v>
      </x:c>
      <x:c r="K2354" s="84" t="str">
        <x:v>Em execução</x:v>
      </x:c>
      <x:c r="L2354" s="84" t="str">
        <x:v>Ruído anormal</x:v>
      </x:c>
      <x:c r="M2354" s="84" t="str">
        <x:v>Ajuste incorreto</x:v>
      </x:c>
      <x:c r="N2354" s="84"/>
      <x:c r="O2354" s="84" t="n">
        <x:v>0</x:v>
      </x:c>
      <x:c r="P2354" s="93" t="n">
        <x:v>139.33</x:v>
      </x:c>
      <x:c r="Q2354" s="93" t="n">
        <x:v>1199.49</x:v>
      </x:c>
      <x:c r="R2354" s="91" t="n">
        <x:v>0</x:v>
      </x:c>
    </x:row>
    <x:row r="2355">
      <x:c r="A2355" s="83" t="n">
        <x:v>2354</x:v>
      </x:c>
      <x:c r="B2355" s="84" t="str">
        <x:v>OS-2024-02354</x:v>
      </x:c>
      <x:c r="C2355" s="84" t="n">
        <x:v>39</x:v>
      </x:c>
      <x:c r="D2355" s="84" t="n">
        <x:v>5</x:v>
      </x:c>
      <x:c r="E2355" s="84" t="n">
        <x:v>78</x:v>
      </x:c>
      <x:c r="F2355" s="89" t="n">
        <x:v>45371.2658912037</x:v>
      </x:c>
      <x:c r="G2355" s="89" t="n">
        <x:v>45372.2658912037</x:v>
      </x:c>
      <x:c r="H2355" s="89" t="n">
        <x:v>45372.30755787037</x:v>
      </x:c>
      <x:c r="I2355" s="89" t="n">
        <x:v>45372.599224537036</x:v>
      </x:c>
      <x:c r="J2355" s="84" t="str">
        <x:v>Baixa</x:v>
      </x:c>
      <x:c r="K2355" s="84" t="str">
        <x:v>Encerrada</x:v>
      </x:c>
      <x:c r="L2355" s="84" t="str">
        <x:v>Falha elétrica</x:v>
      </x:c>
      <x:c r="M2355" s="84" t="str">
        <x:v>Componente danificado</x:v>
      </x:c>
      <x:c r="N2355" s="84" t="str">
        <x:v>Componente ajustado ou substituído</x:v>
      </x:c>
      <x:c r="O2355" s="84" t="n">
        <x:v>0</x:v>
      </x:c>
      <x:c r="P2355" s="93" t="n">
        <x:v>177.08</x:v>
      </x:c>
      <x:c r="Q2355" s="93" t="n">
        <x:v>5812.98</x:v>
      </x:c>
      <x:c r="R2355" s="91" t="n">
        <x:v>0</x:v>
      </x:c>
    </x:row>
    <x:row r="2356">
      <x:c r="A2356" s="83" t="n">
        <x:v>2355</x:v>
      </x:c>
      <x:c r="B2356" s="84" t="str">
        <x:v>OS-2025-02355</x:v>
      </x:c>
      <x:c r="C2356" s="84" t="n">
        <x:v>2</x:v>
      </x:c>
      <x:c r="D2356" s="84" t="n">
        <x:v>1</x:v>
      </x:c>
      <x:c r="E2356" s="84" t="n">
        <x:v>4</x:v>
      </x:c>
      <x:c r="F2356" s="89" t="n">
        <x:v>45832.458032407405</x:v>
      </x:c>
      <x:c r="G2356" s="89" t="n">
        <x:v>45847.458032407405</x:v>
      </x:c>
      <x:c r="H2356" s="89" t="n">
        <x:v>45834.66636574074</x:v>
      </x:c>
      <x:c r="I2356" s="89" t="n">
        <x:v>45835.333032407405</x:v>
      </x:c>
      <x:c r="J2356" s="84" t="str">
        <x:v>Alta</x:v>
      </x:c>
      <x:c r="K2356" s="84" t="str">
        <x:v>Encerrada</x:v>
      </x:c>
      <x:c r="L2356" s="84" t="str">
        <x:v>Baixa pressão</x:v>
      </x:c>
      <x:c r="M2356" s="84" t="str">
        <x:v>Falta de lubrificação</x:v>
      </x:c>
      <x:c r="N2356" s="84" t="str">
        <x:v>Componente ajustado ou substituído</x:v>
      </x:c>
      <x:c r="O2356" s="84" t="n">
        <x:v>0</x:v>
      </x:c>
      <x:c r="P2356" s="93" t="n">
        <x:v>313.21</x:v>
      </x:c>
      <x:c r="Q2356" s="93" t="n">
        <x:v>0</x:v>
      </x:c>
      <x:c r="R2356" s="91" t="n">
        <x:v>0</x:v>
      </x:c>
    </x:row>
    <x:row r="2357">
      <x:c r="A2357" s="83" t="n">
        <x:v>2356</x:v>
      </x:c>
      <x:c r="B2357" s="84" t="str">
        <x:v>OS-2023-02356</x:v>
      </x:c>
      <x:c r="C2357" s="84" t="n">
        <x:v>17</x:v>
      </x:c>
      <x:c r="D2357" s="84" t="n">
        <x:v>1</x:v>
      </x:c>
      <x:c r="E2357" s="84" t="n">
        <x:v>34</x:v>
      </x:c>
      <x:c r="F2357" s="89" t="n">
        <x:v>45234.72994212963</x:v>
      </x:c>
      <x:c r="G2357" s="89" t="n">
        <x:v>45235.72994212963</x:v>
      </x:c>
      <x:c r="H2357" s="89" t="n">
        <x:v>45237.72994212963</x:v>
      </x:c>
      <x:c r="I2357" s="89" t="n">
        <x:v>45238.1466087963</x:v>
      </x:c>
      <x:c r="J2357" s="84" t="str">
        <x:v>Baixa</x:v>
      </x:c>
      <x:c r="K2357" s="84" t="str">
        <x:v>Concluída</x:v>
      </x:c>
      <x:c r="L2357" s="84" t="str">
        <x:v>Desalinhamento</x:v>
      </x:c>
      <x:c r="M2357" s="84" t="str">
        <x:v>Falta de lubrificação</x:v>
      </x:c>
      <x:c r="N2357" s="84" t="str">
        <x:v>Componente ajustado ou substituído</x:v>
      </x:c>
      <x:c r="O2357" s="84" t="n">
        <x:v>0</x:v>
      </x:c>
      <x:c r="P2357" s="93" t="n">
        <x:v>665.97</x:v>
      </x:c>
      <x:c r="Q2357" s="93" t="n">
        <x:v>12813.93</x:v>
      </x:c>
      <x:c r="R2357" s="91" t="n">
        <x:v>0</x:v>
      </x:c>
    </x:row>
    <x:row r="2358">
      <x:c r="A2358" s="83" t="n">
        <x:v>2357</x:v>
      </x:c>
      <x:c r="B2358" s="84" t="str">
        <x:v>OS-2025-02357</x:v>
      </x:c>
      <x:c r="C2358" s="84" t="n">
        <x:v>8</x:v>
      </x:c>
      <x:c r="D2358" s="84" t="n">
        <x:v>1</x:v>
      </x:c>
      <x:c r="E2358" s="84" t="n">
        <x:v>15</x:v>
      </x:c>
      <x:c r="F2358" s="89" t="n">
        <x:v>45704.80509259259</x:v>
      </x:c>
      <x:c r="G2358" s="89" t="n">
        <x:v>45709.80509259259</x:v>
      </x:c>
      <x:c r="H2358" s="89" t="n">
        <x:v>45707.55509259259</x:v>
      </x:c>
      <x:c r="I2358" s="89"/>
      <x:c r="J2358" s="84" t="str">
        <x:v>Crítica</x:v>
      </x:c>
      <x:c r="K2358" s="84" t="str">
        <x:v>Aguardando peça</x:v>
      </x:c>
      <x:c r="L2358" s="84" t="str">
        <x:v>Vazamento</x:v>
      </x:c>
      <x:c r="M2358" s="84" t="str">
        <x:v>Ajuste incorreto</x:v>
      </x:c>
      <x:c r="N2358" s="84"/>
      <x:c r="O2358" s="84" t="n">
        <x:v>0</x:v>
      </x:c>
      <x:c r="P2358" s="93" t="n">
        <x:v>272</x:v>
      </x:c>
      <x:c r="Q2358" s="93" t="n">
        <x:v>284.49</x:v>
      </x:c>
      <x:c r="R2358" s="91" t="n">
        <x:v>0</x:v>
      </x:c>
    </x:row>
    <x:row r="2359">
      <x:c r="A2359" s="83" t="n">
        <x:v>2358</x:v>
      </x:c>
      <x:c r="B2359" s="84" t="str">
        <x:v>OS-2023-02358</x:v>
      </x:c>
      <x:c r="C2359" s="84" t="n">
        <x:v>38</x:v>
      </x:c>
      <x:c r="D2359" s="84" t="n">
        <x:v>3</x:v>
      </x:c>
      <x:c r="E2359" s="84"/>
      <x:c r="F2359" s="89" t="n">
        <x:v>45291.19734953704</x:v>
      </x:c>
      <x:c r="G2359" s="89"/>
      <x:c r="H2359" s="89" t="n">
        <x:v>45291.239016203705</x:v>
      </x:c>
      <x:c r="I2359" s="89" t="n">
        <x:v>45291.78068287037</x:v>
      </x:c>
      <x:c r="J2359" s="84" t="str">
        <x:v>Baixa</x:v>
      </x:c>
      <x:c r="K2359" s="84" t="str">
        <x:v>Encerrada</x:v>
      </x:c>
      <x:c r="L2359" s="84" t="str">
        <x:v>Ruído anormal</x:v>
      </x:c>
      <x:c r="M2359" s="84" t="str">
        <x:v>Componente danificado</x:v>
      </x:c>
      <x:c r="N2359" s="84" t="str">
        <x:v>Componente ajustado ou substituído</x:v>
      </x:c>
      <x:c r="O2359" s="84" t="n">
        <x:v>0</x:v>
      </x:c>
      <x:c r="P2359" s="93" t="n">
        <x:v>956.41</x:v>
      </x:c>
      <x:c r="Q2359" s="93" t="n">
        <x:v>0</x:v>
      </x:c>
      <x:c r="R2359" s="91" t="n">
        <x:v>0</x:v>
      </x:c>
    </x:row>
    <x:row r="2360">
      <x:c r="A2360" s="83" t="n">
        <x:v>2359</x:v>
      </x:c>
      <x:c r="B2360" s="84" t="str">
        <x:v>OS-2023-02359</x:v>
      </x:c>
      <x:c r="C2360" s="84" t="n">
        <x:v>36</x:v>
      </x:c>
      <x:c r="D2360" s="84" t="n">
        <x:v>3</x:v>
      </x:c>
      <x:c r="E2360" s="84"/>
      <x:c r="F2360" s="89" t="n">
        <x:v>45204.41783564815</x:v>
      </x:c>
      <x:c r="G2360" s="89"/>
      <x:c r="H2360" s="89" t="n">
        <x:v>45206.29283564815</x:v>
      </x:c>
      <x:c r="I2360" s="89" t="n">
        <x:v>45206.584502314814</x:v>
      </x:c>
      <x:c r="J2360" s="84" t="str">
        <x:v>Alta</x:v>
      </x:c>
      <x:c r="K2360" s="84" t="str">
        <x:v>Concluída</x:v>
      </x:c>
      <x:c r="L2360" s="84" t="str">
        <x:v>Superaquecimento</x:v>
      </x:c>
      <x:c r="M2360" s="84" t="str">
        <x:v>Componente danificado</x:v>
      </x:c>
      <x:c r="N2360" s="84" t="str">
        <x:v>Componente ajustado ou substituído</x:v>
      </x:c>
      <x:c r="O2360" s="84" t="n">
        <x:v>0</x:v>
      </x:c>
      <x:c r="P2360" s="93" t="n">
        <x:v>597.26</x:v>
      </x:c>
      <x:c r="Q2360" s="93" t="n">
        <x:v>1391.42</x:v>
      </x:c>
      <x:c r="R2360" s="91" t="n">
        <x:v>0</x:v>
      </x:c>
    </x:row>
    <x:row r="2361">
      <x:c r="A2361" s="83" t="n">
        <x:v>2360</x:v>
      </x:c>
      <x:c r="B2361" s="84" t="str">
        <x:v>OS-2025-02360</x:v>
      </x:c>
      <x:c r="C2361" s="84" t="n">
        <x:v>21</x:v>
      </x:c>
      <x:c r="D2361" s="84" t="n">
        <x:v>1</x:v>
      </x:c>
      <x:c r="E2361" s="84" t="n">
        <x:v>42</x:v>
      </x:c>
      <x:c r="F2361" s="89" t="n">
        <x:v>45983.80842592593</x:v>
      </x:c>
      <x:c r="G2361" s="89" t="n">
        <x:v>45989.80842592593</x:v>
      </x:c>
      <x:c r="H2361" s="89" t="n">
        <x:v>45986.60009259259</x:v>
      </x:c>
      <x:c r="I2361" s="89" t="n">
        <x:v>45987.43342592593</x:v>
      </x:c>
      <x:c r="J2361" s="84" t="str">
        <x:v>Crítica</x:v>
      </x:c>
      <x:c r="K2361" s="84" t="str">
        <x:v>Concluída</x:v>
      </x:c>
      <x:c r="L2361" s="84" t="str">
        <x:v>Superaquecimento</x:v>
      </x:c>
      <x:c r="M2361" s="84" t="str">
        <x:v>Desgaste natural</x:v>
      </x:c>
      <x:c r="N2361" s="84" t="str">
        <x:v>Componente ajustado ou substituído</x:v>
      </x:c>
      <x:c r="O2361" s="84" t="n">
        <x:v>0</x:v>
      </x:c>
      <x:c r="P2361" s="93" t="n">
        <x:v>467.69</x:v>
      </x:c>
      <x:c r="Q2361" s="93" t="n">
        <x:v>1527.61</x:v>
      </x:c>
      <x:c r="R2361" s="91" t="n">
        <x:v>0</x:v>
      </x:c>
    </x:row>
    <x:row r="2362">
      <x:c r="A2362" s="83" t="n">
        <x:v>2361</x:v>
      </x:c>
      <x:c r="B2362" s="84" t="str">
        <x:v>OS-2025-02361</x:v>
      </x:c>
      <x:c r="C2362" s="84" t="n">
        <x:v>81</x:v>
      </x:c>
      <x:c r="D2362" s="84" t="n">
        <x:v>1</x:v>
      </x:c>
      <x:c r="E2362" s="84" t="n">
        <x:v>161</x:v>
      </x:c>
      <x:c r="F2362" s="89" t="n">
        <x:v>45774.56528935185</x:v>
      </x:c>
      <x:c r="G2362" s="89" t="n">
        <x:v>45785.56528935185</x:v>
      </x:c>
      <x:c r="H2362" s="89" t="n">
        <x:v>45777.23195601852</x:v>
      </x:c>
      <x:c r="I2362" s="89" t="n">
        <x:v>45777.398622685185</x:v>
      </x:c>
      <x:c r="J2362" s="84" t="str">
        <x:v>Baixa</x:v>
      </x:c>
      <x:c r="K2362" s="84" t="str">
        <x:v>Encerrada</x:v>
      </x:c>
      <x:c r="L2362" s="84" t="str">
        <x:v>Ruído anormal</x:v>
      </x:c>
      <x:c r="M2362" s="84" t="str">
        <x:v>Ajuste incorreto</x:v>
      </x:c>
      <x:c r="N2362" s="84" t="str">
        <x:v>Componente ajustado ou substituído</x:v>
      </x:c>
      <x:c r="O2362" s="84" t="n">
        <x:v>0</x:v>
      </x:c>
      <x:c r="P2362" s="93" t="n">
        <x:v>306.9</x:v>
      </x:c>
      <x:c r="Q2362" s="93" t="n">
        <x:v>6069.24</x:v>
      </x:c>
      <x:c r="R2362" s="91" t="n">
        <x:v>0</x:v>
      </x:c>
    </x:row>
    <x:row r="2363">
      <x:c r="A2363" s="83" t="n">
        <x:v>2362</x:v>
      </x:c>
      <x:c r="B2363" s="84" t="str">
        <x:v>OS-2024-02362</x:v>
      </x:c>
      <x:c r="C2363" s="84" t="n">
        <x:v>11</x:v>
      </x:c>
      <x:c r="D2363" s="84" t="n">
        <x:v>5</x:v>
      </x:c>
      <x:c r="E2363" s="84" t="n">
        <x:v>22</x:v>
      </x:c>
      <x:c r="F2363" s="89" t="n">
        <x:v>45356.656331018516</x:v>
      </x:c>
      <x:c r="G2363" s="89" t="n">
        <x:v>45356.656331018516</x:v>
      </x:c>
      <x:c r="H2363" s="89" t="n">
        <x:v>45359.11466435185</x:v>
      </x:c>
      <x:c r="I2363" s="89" t="n">
        <x:v>45359.531331018516</x:v>
      </x:c>
      <x:c r="J2363" s="84" t="str">
        <x:v>Crítica</x:v>
      </x:c>
      <x:c r="K2363" s="84" t="str">
        <x:v>Encerrada</x:v>
      </x:c>
      <x:c r="L2363" s="84" t="str">
        <x:v>Desalinhamento</x:v>
      </x:c>
      <x:c r="M2363" s="84" t="str">
        <x:v>Falta de lubrificação</x:v>
      </x:c>
      <x:c r="N2363" s="84" t="str">
        <x:v>Componente ajustado ou substituído</x:v>
      </x:c>
      <x:c r="O2363" s="84" t="n">
        <x:v>0</x:v>
      </x:c>
      <x:c r="P2363" s="93" t="n">
        <x:v>147.73</x:v>
      </x:c>
      <x:c r="Q2363" s="93" t="n">
        <x:v>0</x:v>
      </x:c>
      <x:c r="R2363" s="91" t="n">
        <x:v>0</x:v>
      </x:c>
    </x:row>
    <x:row r="2364">
      <x:c r="A2364" s="83" t="n">
        <x:v>2363</x:v>
      </x:c>
      <x:c r="B2364" s="84" t="str">
        <x:v>OS-2024-02363</x:v>
      </x:c>
      <x:c r="C2364" s="84" t="n">
        <x:v>69</x:v>
      </x:c>
      <x:c r="D2364" s="84" t="n">
        <x:v>5</x:v>
      </x:c>
      <x:c r="E2364" s="84" t="n">
        <x:v>138</x:v>
      </x:c>
      <x:c r="F2364" s="89" t="n">
        <x:v>45620.103483796294</x:v>
      </x:c>
      <x:c r="G2364" s="89" t="n">
        <x:v>45633.103483796294</x:v>
      </x:c>
      <x:c r="H2364" s="89" t="n">
        <x:v>45622.728483796294</x:v>
      </x:c>
      <x:c r="I2364" s="89" t="n">
        <x:v>45622.978483796294</x:v>
      </x:c>
      <x:c r="J2364" s="84" t="str">
        <x:v>Baixa</x:v>
      </x:c>
      <x:c r="K2364" s="84" t="str">
        <x:v>Encerrada</x:v>
      </x:c>
      <x:c r="L2364" s="84" t="str">
        <x:v>Falha elétrica</x:v>
      </x:c>
      <x:c r="M2364" s="84" t="str">
        <x:v>Desgaste natural</x:v>
      </x:c>
      <x:c r="N2364" s="84" t="str">
        <x:v>Componente ajustado ou substituído</x:v>
      </x:c>
      <x:c r="O2364" s="84" t="n">
        <x:v>0</x:v>
      </x:c>
      <x:c r="P2364" s="93" t="n">
        <x:v>39.66</x:v>
      </x:c>
      <x:c r="Q2364" s="93" t="n">
        <x:v>7908.67</x:v>
      </x:c>
      <x:c r="R2364" s="91" t="n">
        <x:v>0</x:v>
      </x:c>
    </x:row>
    <x:row r="2365">
      <x:c r="A2365" s="83" t="n">
        <x:v>2364</x:v>
      </x:c>
      <x:c r="B2365" s="84" t="str">
        <x:v>OS-2023-02364</x:v>
      </x:c>
      <x:c r="C2365" s="84" t="n">
        <x:v>85</x:v>
      </x:c>
      <x:c r="D2365" s="84" t="n">
        <x:v>3</x:v>
      </x:c>
      <x:c r="E2365" s="84"/>
      <x:c r="F2365" s="89" t="n">
        <x:v>44965.521527777775</x:v>
      </x:c>
      <x:c r="G2365" s="89"/>
      <x:c r="H2365" s="89" t="n">
        <x:v>44967.896527777775</x:v>
      </x:c>
      <x:c r="I2365" s="89" t="n">
        <x:v>44968.47986111111</x:v>
      </x:c>
      <x:c r="J2365" s="84" t="str">
        <x:v>Alta</x:v>
      </x:c>
      <x:c r="K2365" s="84" t="str">
        <x:v>Encerrada</x:v>
      </x:c>
      <x:c r="L2365" s="84" t="str">
        <x:v>Falha elétrica</x:v>
      </x:c>
      <x:c r="M2365" s="84" t="str">
        <x:v>Conexão frouxa</x:v>
      </x:c>
      <x:c r="N2365" s="84" t="str">
        <x:v>Componente ajustado ou substituído</x:v>
      </x:c>
      <x:c r="O2365" s="84" t="n">
        <x:v>0</x:v>
      </x:c>
      <x:c r="P2365" s="93" t="n">
        <x:v>602.3</x:v>
      </x:c>
      <x:c r="Q2365" s="93" t="n">
        <x:v>4645.56</x:v>
      </x:c>
      <x:c r="R2365" s="91" t="n">
        <x:v>0</x:v>
      </x:c>
    </x:row>
    <x:row r="2366">
      <x:c r="A2366" s="83" t="n">
        <x:v>2365</x:v>
      </x:c>
      <x:c r="B2366" s="84" t="str">
        <x:v>OS-2025-02365</x:v>
      </x:c>
      <x:c r="C2366" s="84" t="n">
        <x:v>23</x:v>
      </x:c>
      <x:c r="D2366" s="84" t="n">
        <x:v>3</x:v>
      </x:c>
      <x:c r="E2366" s="84"/>
      <x:c r="F2366" s="89" t="n">
        <x:v>46018.84545138889</x:v>
      </x:c>
      <x:c r="G2366" s="89"/>
      <x:c r="H2366" s="89" t="n">
        <x:v>46019.13711805556</x:v>
      </x:c>
      <x:c r="I2366" s="89" t="n">
        <x:v>46019.47045138889</x:v>
      </x:c>
      <x:c r="J2366" s="84" t="str">
        <x:v>Alta</x:v>
      </x:c>
      <x:c r="K2366" s="84" t="str">
        <x:v>Encerrada</x:v>
      </x:c>
      <x:c r="L2366" s="84" t="str">
        <x:v>Superaquecimento</x:v>
      </x:c>
      <x:c r="M2366" s="84" t="str">
        <x:v>Desgaste natural</x:v>
      </x:c>
      <x:c r="N2366" s="84" t="str">
        <x:v>Componente ajustado ou substituído</x:v>
      </x:c>
      <x:c r="O2366" s="84" t="n">
        <x:v>0</x:v>
      </x:c>
      <x:c r="P2366" s="93" t="n">
        <x:v>424.95</x:v>
      </x:c>
      <x:c r="Q2366" s="93" t="n">
        <x:v>482.07</x:v>
      </x:c>
      <x:c r="R2366" s="91" t="n">
        <x:v>0</x:v>
      </x:c>
    </x:row>
    <x:row r="2367">
      <x:c r="A2367" s="83" t="n">
        <x:v>2366</x:v>
      </x:c>
      <x:c r="B2367" s="84" t="str">
        <x:v>OS-2024-02366</x:v>
      </x:c>
      <x:c r="C2367" s="84" t="n">
        <x:v>10</x:v>
      </x:c>
      <x:c r="D2367" s="84" t="n">
        <x:v>7</x:v>
      </x:c>
      <x:c r="E2367" s="84" t="n">
        <x:v>19</x:v>
      </x:c>
      <x:c r="F2367" s="89" t="n">
        <x:v>45622.87737268519</x:v>
      </x:c>
      <x:c r="G2367" s="89" t="n">
        <x:v>45630.87737268519</x:v>
      </x:c>
      <x:c r="H2367" s="89"/>
      <x:c r="I2367" s="89"/>
      <x:c r="J2367" s="84" t="str">
        <x:v>Crítica</x:v>
      </x:c>
      <x:c r="K2367" s="84" t="str">
        <x:v>Planejada</x:v>
      </x:c>
      <x:c r="L2367" s="84" t="str">
        <x:v>Falha elétrica</x:v>
      </x:c>
      <x:c r="M2367" s="84"/>
      <x:c r="N2367" s="84"/>
      <x:c r="O2367" s="84" t="n">
        <x:v>0</x:v>
      </x:c>
      <x:c r="P2367" s="93" t="n">
        <x:v>0</x:v>
      </x:c>
      <x:c r="Q2367" s="93" t="n">
        <x:v>0</x:v>
      </x:c>
      <x:c r="R2367" s="91" t="n">
        <x:v>0</x:v>
      </x:c>
    </x:row>
    <x:row r="2368">
      <x:c r="A2368" s="83" t="n">
        <x:v>2367</x:v>
      </x:c>
      <x:c r="B2368" s="84" t="str">
        <x:v>OS-2024-02367</x:v>
      </x:c>
      <x:c r="C2368" s="84" t="n">
        <x:v>81</x:v>
      </x:c>
      <x:c r="D2368" s="84" t="n">
        <x:v>6</x:v>
      </x:c>
      <x:c r="E2368" s="84"/>
      <x:c r="F2368" s="89" t="n">
        <x:v>45552.22497685185</x:v>
      </x:c>
      <x:c r="G2368" s="89" t="n">
        <x:v>45567.22497685185</x:v>
      </x:c>
      <x:c r="H2368" s="89" t="n">
        <x:v>45554.59997685185</x:v>
      </x:c>
      <x:c r="I2368" s="89" t="n">
        <x:v>45554.89164351852</x:v>
      </x:c>
      <x:c r="J2368" s="84" t="str">
        <x:v>Crítica</x:v>
      </x:c>
      <x:c r="K2368" s="84" t="str">
        <x:v>Encerrada</x:v>
      </x:c>
      <x:c r="L2368" s="84" t="str">
        <x:v>Desalinhamento</x:v>
      </x:c>
      <x:c r="M2368" s="84" t="str">
        <x:v>Ajuste incorreto</x:v>
      </x:c>
      <x:c r="N2368" s="84" t="str">
        <x:v>Componente ajustado ou substituído</x:v>
      </x:c>
      <x:c r="O2368" s="84" t="n">
        <x:v>0</x:v>
      </x:c>
      <x:c r="P2368" s="93" t="n">
        <x:v>54.66</x:v>
      </x:c>
      <x:c r="Q2368" s="93" t="n">
        <x:v>0</x:v>
      </x:c>
      <x:c r="R2368" s="91" t="n">
        <x:v>0</x:v>
      </x:c>
    </x:row>
    <x:row r="2369">
      <x:c r="A2369" s="83" t="n">
        <x:v>2368</x:v>
      </x:c>
      <x:c r="B2369" s="84" t="str">
        <x:v>OS-2023-02368</x:v>
      </x:c>
      <x:c r="C2369" s="84" t="n">
        <x:v>12</x:v>
      </x:c>
      <x:c r="D2369" s="84" t="n">
        <x:v>1</x:v>
      </x:c>
      <x:c r="E2369" s="84" t="n">
        <x:v>24</x:v>
      </x:c>
      <x:c r="F2369" s="89" t="n">
        <x:v>45018.2328125</x:v>
      </x:c>
      <x:c r="G2369" s="89" t="n">
        <x:v>45021.2328125</x:v>
      </x:c>
      <x:c r="H2369" s="89" t="n">
        <x:v>45020.941145833334</x:v>
      </x:c>
      <x:c r="I2369" s="89" t="n">
        <x:v>45021.4828125</x:v>
      </x:c>
      <x:c r="J2369" s="84" t="str">
        <x:v>Baixa</x:v>
      </x:c>
      <x:c r="K2369" s="84" t="str">
        <x:v>Encerrada</x:v>
      </x:c>
      <x:c r="L2369" s="84" t="str">
        <x:v>Superaquecimento</x:v>
      </x:c>
      <x:c r="M2369" s="84" t="str">
        <x:v>Ajuste incorreto</x:v>
      </x:c>
      <x:c r="N2369" s="84" t="str">
        <x:v>Componente ajustado ou substituído</x:v>
      </x:c>
      <x:c r="O2369" s="84" t="n">
        <x:v>0</x:v>
      </x:c>
      <x:c r="P2369" s="93" t="n">
        <x:v>452.73</x:v>
      </x:c>
      <x:c r="Q2369" s="93" t="n">
        <x:v>0</x:v>
      </x:c>
      <x:c r="R2369" s="91" t="n">
        <x:v>0</x:v>
      </x:c>
    </x:row>
    <x:row r="2370">
      <x:c r="A2370" s="83" t="n">
        <x:v>2369</x:v>
      </x:c>
      <x:c r="B2370" s="84" t="str">
        <x:v>OS-2025-02369</x:v>
      </x:c>
      <x:c r="C2370" s="84" t="n">
        <x:v>59</x:v>
      </x:c>
      <x:c r="D2370" s="84" t="n">
        <x:v>7</x:v>
      </x:c>
      <x:c r="E2370" s="84" t="n">
        <x:v>118</x:v>
      </x:c>
      <x:c r="F2370" s="89" t="n">
        <x:v>45885.21197916667</x:v>
      </x:c>
      <x:c r="G2370" s="89" t="n">
        <x:v>45896.21197916667</x:v>
      </x:c>
      <x:c r="H2370" s="89" t="n">
        <x:v>45887.878645833334</x:v>
      </x:c>
      <x:c r="I2370" s="89" t="n">
        <x:v>45888.33697916667</x:v>
      </x:c>
      <x:c r="J2370" s="84" t="str">
        <x:v>Baixa</x:v>
      </x:c>
      <x:c r="K2370" s="84" t="str">
        <x:v>Encerrada</x:v>
      </x:c>
      <x:c r="L2370" s="84" t="str">
        <x:v>Superaquecimento</x:v>
      </x:c>
      <x:c r="M2370" s="84" t="str">
        <x:v>Componente danificado</x:v>
      </x:c>
      <x:c r="N2370" s="84" t="str">
        <x:v>Componente ajustado ou substituído</x:v>
      </x:c>
      <x:c r="O2370" s="84" t="n">
        <x:v>0</x:v>
      </x:c>
      <x:c r="P2370" s="93" t="n">
        <x:v>162.55</x:v>
      </x:c>
      <x:c r="Q2370" s="93" t="n">
        <x:v>5258.55</x:v>
      </x:c>
      <x:c r="R2370" s="91" t="n">
        <x:v>0</x:v>
      </x:c>
    </x:row>
    <x:row r="2371">
      <x:c r="A2371" s="83" t="n">
        <x:v>2370</x:v>
      </x:c>
      <x:c r="B2371" s="84" t="str">
        <x:v>OS-2024-02370</x:v>
      </x:c>
      <x:c r="C2371" s="84" t="n">
        <x:v>84</x:v>
      </x:c>
      <x:c r="D2371" s="84" t="n">
        <x:v>2</x:v>
      </x:c>
      <x:c r="E2371" s="84"/>
      <x:c r="F2371" s="89" t="n">
        <x:v>45313.476481481484</x:v>
      </x:c>
      <x:c r="G2371" s="89" t="n">
        <x:v>45314.476481481484</x:v>
      </x:c>
      <x:c r="H2371" s="89" t="n">
        <x:v>45313.851481481484</x:v>
      </x:c>
      <x:c r="I2371" s="89" t="n">
        <x:v>45314.51814814815</x:v>
      </x:c>
      <x:c r="J2371" s="84" t="str">
        <x:v>Crítica</x:v>
      </x:c>
      <x:c r="K2371" s="84" t="str">
        <x:v>Encerrada</x:v>
      </x:c>
      <x:c r="L2371" s="84" t="str">
        <x:v>Superaquecimento</x:v>
      </x:c>
      <x:c r="M2371" s="84" t="str">
        <x:v>Desgaste natural</x:v>
      </x:c>
      <x:c r="N2371" s="84" t="str">
        <x:v>Componente ajustado ou substituído</x:v>
      </x:c>
      <x:c r="O2371" s="84" t="n">
        <x:v>0</x:v>
      </x:c>
      <x:c r="P2371" s="93" t="n">
        <x:v>504.39</x:v>
      </x:c>
      <x:c r="Q2371" s="93" t="n">
        <x:v>3736.84</x:v>
      </x:c>
      <x:c r="R2371" s="91" t="n">
        <x:v>0</x:v>
      </x:c>
    </x:row>
    <x:row r="2372">
      <x:c r="A2372" s="83" t="n">
        <x:v>2371</x:v>
      </x:c>
      <x:c r="B2372" s="84" t="str">
        <x:v>OS-2025-02371</x:v>
      </x:c>
      <x:c r="C2372" s="84" t="n">
        <x:v>8</x:v>
      </x:c>
      <x:c r="D2372" s="84" t="n">
        <x:v>2</x:v>
      </x:c>
      <x:c r="E2372" s="84"/>
      <x:c r="F2372" s="89" t="n">
        <x:v>45720.17344907407</x:v>
      </x:c>
      <x:c r="G2372" s="89" t="n">
        <x:v>45722.17344907407</x:v>
      </x:c>
      <x:c r="H2372" s="89" t="n">
        <x:v>45721.42344907407</x:v>
      </x:c>
      <x:c r="I2372" s="89" t="n">
        <x:v>45722.13178240741</x:v>
      </x:c>
      <x:c r="J2372" s="84" t="str">
        <x:v>Crítica</x:v>
      </x:c>
      <x:c r="K2372" s="84" t="str">
        <x:v>Encerrada</x:v>
      </x:c>
      <x:c r="L2372" s="84" t="str">
        <x:v>Ruído anormal</x:v>
      </x:c>
      <x:c r="M2372" s="84" t="str">
        <x:v>Ajuste incorreto</x:v>
      </x:c>
      <x:c r="N2372" s="84" t="str">
        <x:v>Componente ajustado ou substituído</x:v>
      </x:c>
      <x:c r="O2372" s="84" t="n">
        <x:v>0</x:v>
      </x:c>
      <x:c r="P2372" s="93" t="n">
        <x:v>542.26</x:v>
      </x:c>
      <x:c r="Q2372" s="93" t="n">
        <x:v>368.32</x:v>
      </x:c>
      <x:c r="R2372" s="91" t="n">
        <x:v>0</x:v>
      </x:c>
    </x:row>
    <x:row r="2373">
      <x:c r="A2373" s="83" t="n">
        <x:v>2372</x:v>
      </x:c>
      <x:c r="B2373" s="84" t="str">
        <x:v>OS-2025-02372</x:v>
      </x:c>
      <x:c r="C2373" s="84" t="n">
        <x:v>26</x:v>
      </x:c>
      <x:c r="D2373" s="84" t="n">
        <x:v>1</x:v>
      </x:c>
      <x:c r="E2373" s="84" t="n">
        <x:v>52</x:v>
      </x:c>
      <x:c r="F2373" s="89" t="n">
        <x:v>45793.04693287037</x:v>
      </x:c>
      <x:c r="G2373" s="89" t="n">
        <x:v>45800.04693287037</x:v>
      </x:c>
      <x:c r="H2373" s="89" t="n">
        <x:v>45795.08859953703</x:v>
      </x:c>
      <x:c r="I2373" s="89"/>
      <x:c r="J2373" s="84" t="str">
        <x:v>Alta</x:v>
      </x:c>
      <x:c r="K2373" s="84" t="str">
        <x:v>Aguardando peça</x:v>
      </x:c>
      <x:c r="L2373" s="84" t="str">
        <x:v>Ruído anormal</x:v>
      </x:c>
      <x:c r="M2373" s="84" t="str">
        <x:v>Falta de lubrificação</x:v>
      </x:c>
      <x:c r="N2373" s="84"/>
      <x:c r="O2373" s="84" t="n">
        <x:v>0</x:v>
      </x:c>
      <x:c r="P2373" s="93" t="n">
        <x:v>148.35</x:v>
      </x:c>
      <x:c r="Q2373" s="93" t="n">
        <x:v>4969.05</x:v>
      </x:c>
      <x:c r="R2373" s="91" t="n">
        <x:v>0</x:v>
      </x:c>
    </x:row>
    <x:row r="2374">
      <x:c r="A2374" s="83" t="n">
        <x:v>2373</x:v>
      </x:c>
      <x:c r="B2374" s="84" t="str">
        <x:v>OS-2023-02373</x:v>
      </x:c>
      <x:c r="C2374" s="84" t="n">
        <x:v>11</x:v>
      </x:c>
      <x:c r="D2374" s="84" t="n">
        <x:v>3</x:v>
      </x:c>
      <x:c r="E2374" s="84"/>
      <x:c r="F2374" s="89" t="n">
        <x:v>44953.026041666664</x:v>
      </x:c>
      <x:c r="G2374" s="89"/>
      <x:c r="H2374" s="89"/>
      <x:c r="I2374" s="89"/>
      <x:c r="J2374" s="84" t="str">
        <x:v>Crítica</x:v>
      </x:c>
      <x:c r="K2374" s="84" t="str">
        <x:v>Cancelada</x:v>
      </x:c>
      <x:c r="L2374" s="84" t="str">
        <x:v>Ruído anormal</x:v>
      </x:c>
      <x:c r="M2374" s="84"/>
      <x:c r="N2374" s="84"/>
      <x:c r="O2374" s="84" t="n">
        <x:v>0</x:v>
      </x:c>
      <x:c r="P2374" s="93" t="n">
        <x:v>0</x:v>
      </x:c>
      <x:c r="Q2374" s="93" t="n">
        <x:v>0</x:v>
      </x:c>
      <x:c r="R2374" s="91" t="n">
        <x:v>0</x:v>
      </x:c>
    </x:row>
    <x:row r="2375">
      <x:c r="A2375" s="83" t="n">
        <x:v>2374</x:v>
      </x:c>
      <x:c r="B2375" s="84" t="str">
        <x:v>OS-2024-02374</x:v>
      </x:c>
      <x:c r="C2375" s="84" t="n">
        <x:v>8</x:v>
      </x:c>
      <x:c r="D2375" s="84" t="n">
        <x:v>1</x:v>
      </x:c>
      <x:c r="E2375" s="84" t="n">
        <x:v>15</x:v>
      </x:c>
      <x:c r="F2375" s="89" t="n">
        <x:v>45384.61540509259</x:v>
      </x:c>
      <x:c r="G2375" s="89" t="n">
        <x:v>45384.61540509259</x:v>
      </x:c>
      <x:c r="H2375" s="89" t="n">
        <x:v>45387.24040509259</x:v>
      </x:c>
      <x:c r="I2375" s="89" t="n">
        <x:v>45387.78207175926</x:v>
      </x:c>
      <x:c r="J2375" s="84" t="str">
        <x:v>Média</x:v>
      </x:c>
      <x:c r="K2375" s="84" t="str">
        <x:v>Encerrada</x:v>
      </x:c>
      <x:c r="L2375" s="84" t="str">
        <x:v>Ruído anormal</x:v>
      </x:c>
      <x:c r="M2375" s="84" t="str">
        <x:v>Componente danificado</x:v>
      </x:c>
      <x:c r="N2375" s="84" t="str">
        <x:v>Componente ajustado ou substituído</x:v>
      </x:c>
      <x:c r="O2375" s="84" t="n">
        <x:v>0</x:v>
      </x:c>
      <x:c r="P2375" s="93" t="n">
        <x:v>455.62</x:v>
      </x:c>
      <x:c r="Q2375" s="93" t="n">
        <x:v>9578.14</x:v>
      </x:c>
      <x:c r="R2375" s="91" t="n">
        <x:v>0</x:v>
      </x:c>
    </x:row>
    <x:row r="2376">
      <x:c r="A2376" s="83" t="n">
        <x:v>2375</x:v>
      </x:c>
      <x:c r="B2376" s="84" t="str">
        <x:v>OS-2025-02375</x:v>
      </x:c>
      <x:c r="C2376" s="84" t="n">
        <x:v>37</x:v>
      </x:c>
      <x:c r="D2376" s="84" t="n">
        <x:v>3</x:v>
      </x:c>
      <x:c r="E2376" s="84"/>
      <x:c r="F2376" s="89" t="n">
        <x:v>45919.013032407405</x:v>
      </x:c>
      <x:c r="G2376" s="89"/>
      <x:c r="H2376" s="89" t="n">
        <x:v>45921.92969907408</x:v>
      </x:c>
      <x:c r="I2376" s="89" t="n">
        <x:v>45922.513032407405</x:v>
      </x:c>
      <x:c r="J2376" s="84" t="str">
        <x:v>Baixa</x:v>
      </x:c>
      <x:c r="K2376" s="84" t="str">
        <x:v>Encerrada</x:v>
      </x:c>
      <x:c r="L2376" s="84" t="str">
        <x:v>Superaquecimento</x:v>
      </x:c>
      <x:c r="M2376" s="84" t="str">
        <x:v>Contaminação</x:v>
      </x:c>
      <x:c r="N2376" s="84" t="str">
        <x:v>Componente ajustado ou substituído</x:v>
      </x:c>
      <x:c r="O2376" s="84" t="n">
        <x:v>0</x:v>
      </x:c>
      <x:c r="P2376" s="93" t="n">
        <x:v>503.9</x:v>
      </x:c>
      <x:c r="Q2376" s="93" t="n">
        <x:v>1394.74</x:v>
      </x:c>
      <x:c r="R2376" s="91" t="n">
        <x:v>0</x:v>
      </x:c>
    </x:row>
    <x:row r="2377">
      <x:c r="A2377" s="83" t="n">
        <x:v>2376</x:v>
      </x:c>
      <x:c r="B2377" s="84" t="str">
        <x:v>OS-2023-02376</x:v>
      </x:c>
      <x:c r="C2377" s="84" t="n">
        <x:v>53</x:v>
      </x:c>
      <x:c r="D2377" s="84" t="n">
        <x:v>5</x:v>
      </x:c>
      <x:c r="E2377" s="84" t="n">
        <x:v>105</x:v>
      </x:c>
      <x:c r="F2377" s="89" t="n">
        <x:v>44976.887511574074</x:v>
      </x:c>
      <x:c r="G2377" s="89" t="n">
        <x:v>44977.887511574074</x:v>
      </x:c>
      <x:c r="H2377" s="89" t="n">
        <x:v>44976.92917824074</x:v>
      </x:c>
      <x:c r="I2377" s="89" t="n">
        <x:v>44977.09584490741</x:v>
      </x:c>
      <x:c r="J2377" s="84" t="str">
        <x:v>Baixa</x:v>
      </x:c>
      <x:c r="K2377" s="84" t="str">
        <x:v>Encerrada</x:v>
      </x:c>
      <x:c r="L2377" s="84" t="str">
        <x:v>Superaquecimento</x:v>
      </x:c>
      <x:c r="M2377" s="84" t="str">
        <x:v>Componente danificado</x:v>
      </x:c>
      <x:c r="N2377" s="84" t="str">
        <x:v>Componente ajustado ou substituído</x:v>
      </x:c>
      <x:c r="O2377" s="84" t="n">
        <x:v>0</x:v>
      </x:c>
      <x:c r="P2377" s="93" t="n">
        <x:v>427.31</x:v>
      </x:c>
      <x:c r="Q2377" s="93" t="n">
        <x:v>0</x:v>
      </x:c>
      <x:c r="R2377" s="91" t="n">
        <x:v>0</x:v>
      </x:c>
    </x:row>
    <x:row r="2378">
      <x:c r="A2378" s="83" t="n">
        <x:v>2377</x:v>
      </x:c>
      <x:c r="B2378" s="84" t="str">
        <x:v>OS-2023-02377</x:v>
      </x:c>
      <x:c r="C2378" s="84" t="n">
        <x:v>59</x:v>
      </x:c>
      <x:c r="D2378" s="84" t="n">
        <x:v>1</x:v>
      </x:c>
      <x:c r="E2378" s="84" t="n">
        <x:v>117</x:v>
      </x:c>
      <x:c r="F2378" s="89" t="n">
        <x:v>44970.42978009259</x:v>
      </x:c>
      <x:c r="G2378" s="89" t="n">
        <x:v>44985.42978009259</x:v>
      </x:c>
      <x:c r="H2378" s="89" t="n">
        <x:v>44972.97144675926</x:v>
      </x:c>
      <x:c r="I2378" s="89" t="n">
        <x:v>44973.30478009259</x:v>
      </x:c>
      <x:c r="J2378" s="84" t="str">
        <x:v>Crítica</x:v>
      </x:c>
      <x:c r="K2378" s="84" t="str">
        <x:v>Encerrada</x:v>
      </x:c>
      <x:c r="L2378" s="84" t="str">
        <x:v>Desalinhamento</x:v>
      </x:c>
      <x:c r="M2378" s="84" t="str">
        <x:v>Componente danificado</x:v>
      </x:c>
      <x:c r="N2378" s="84" t="str">
        <x:v>Componente ajustado ou substituído</x:v>
      </x:c>
      <x:c r="O2378" s="84" t="n">
        <x:v>0</x:v>
      </x:c>
      <x:c r="P2378" s="93" t="n">
        <x:v>101.57</x:v>
      </x:c>
      <x:c r="Q2378" s="93" t="n">
        <x:v>0</x:v>
      </x:c>
      <x:c r="R2378" s="91" t="n">
        <x:v>0</x:v>
      </x:c>
    </x:row>
    <x:row r="2379">
      <x:c r="A2379" s="83" t="n">
        <x:v>2378</x:v>
      </x:c>
      <x:c r="B2379" s="84" t="str">
        <x:v>OS-2023-02378</x:v>
      </x:c>
      <x:c r="C2379" s="84" t="n">
        <x:v>61</x:v>
      </x:c>
      <x:c r="D2379" s="84" t="n">
        <x:v>6</x:v>
      </x:c>
      <x:c r="E2379" s="84"/>
      <x:c r="F2379" s="89" t="n">
        <x:v>45276.563935185186</x:v>
      </x:c>
      <x:c r="G2379" s="89" t="n">
        <x:v>45285.563935185186</x:v>
      </x:c>
      <x:c r="H2379" s="89" t="n">
        <x:v>45277.938935185186</x:v>
      </x:c>
      <x:c r="I2379" s="89" t="n">
        <x:v>45278.563935185186</x:v>
      </x:c>
      <x:c r="J2379" s="84" t="str">
        <x:v>Baixa</x:v>
      </x:c>
      <x:c r="K2379" s="84" t="str">
        <x:v>Encerrada</x:v>
      </x:c>
      <x:c r="L2379" s="84" t="str">
        <x:v>Vazamento</x:v>
      </x:c>
      <x:c r="M2379" s="84" t="str">
        <x:v>Componente danificado</x:v>
      </x:c>
      <x:c r="N2379" s="84" t="str">
        <x:v>Componente ajustado ou substituído</x:v>
      </x:c>
      <x:c r="O2379" s="84" t="n">
        <x:v>0</x:v>
      </x:c>
      <x:c r="P2379" s="93" t="n">
        <x:v>130.5</x:v>
      </x:c>
      <x:c r="Q2379" s="93" t="n">
        <x:v>0</x:v>
      </x:c>
      <x:c r="R2379" s="91" t="n">
        <x:v>0</x:v>
      </x:c>
    </x:row>
    <x:row r="2380">
      <x:c r="A2380" s="83" t="n">
        <x:v>2379</x:v>
      </x:c>
      <x:c r="B2380" s="84" t="str">
        <x:v>OS-2024-02379</x:v>
      </x:c>
      <x:c r="C2380" s="84" t="n">
        <x:v>77</x:v>
      </x:c>
      <x:c r="D2380" s="84" t="n">
        <x:v>4</x:v>
      </x:c>
      <x:c r="E2380" s="84"/>
      <x:c r="F2380" s="89" t="n">
        <x:v>45636.197800925926</x:v>
      </x:c>
      <x:c r="G2380" s="89" t="n">
        <x:v>45647.197800925926</x:v>
      </x:c>
      <x:c r="H2380" s="89"/>
      <x:c r="I2380" s="89"/>
      <x:c r="J2380" s="84" t="str">
        <x:v>Baixa</x:v>
      </x:c>
      <x:c r="K2380" s="84" t="str">
        <x:v>Planejada</x:v>
      </x:c>
      <x:c r="L2380" s="84" t="str">
        <x:v>Desalinhamento</x:v>
      </x:c>
      <x:c r="M2380" s="84"/>
      <x:c r="N2380" s="84"/>
      <x:c r="O2380" s="84" t="n">
        <x:v>0</x:v>
      </x:c>
      <x:c r="P2380" s="93" t="n">
        <x:v>0</x:v>
      </x:c>
      <x:c r="Q2380" s="93" t="n">
        <x:v>0</x:v>
      </x:c>
      <x:c r="R2380" s="91" t="n">
        <x:v>0</x:v>
      </x:c>
    </x:row>
    <x:row r="2381">
      <x:c r="A2381" s="83" t="n">
        <x:v>2380</x:v>
      </x:c>
      <x:c r="B2381" s="84" t="str">
        <x:v>OS-2025-02380</x:v>
      </x:c>
      <x:c r="C2381" s="84" t="n">
        <x:v>24</x:v>
      </x:c>
      <x:c r="D2381" s="84" t="n">
        <x:v>3</x:v>
      </x:c>
      <x:c r="E2381" s="84"/>
      <x:c r="F2381" s="89" t="n">
        <x:v>45799.614849537036</x:v>
      </x:c>
      <x:c r="G2381" s="89"/>
      <x:c r="H2381" s="89"/>
      <x:c r="I2381" s="89"/>
      <x:c r="J2381" s="84" t="str">
        <x:v>Média</x:v>
      </x:c>
      <x:c r="K2381" s="84" t="str">
        <x:v>Planejada</x:v>
      </x:c>
      <x:c r="L2381" s="84" t="str">
        <x:v>Baixa pressão</x:v>
      </x:c>
      <x:c r="M2381" s="84"/>
      <x:c r="N2381" s="84"/>
      <x:c r="O2381" s="84" t="n">
        <x:v>0</x:v>
      </x:c>
      <x:c r="P2381" s="93" t="n">
        <x:v>0</x:v>
      </x:c>
      <x:c r="Q2381" s="93" t="n">
        <x:v>0</x:v>
      </x:c>
      <x:c r="R2381" s="91" t="n">
        <x:v>0</x:v>
      </x:c>
    </x:row>
    <x:row r="2382">
      <x:c r="A2382" s="83" t="n">
        <x:v>2381</x:v>
      </x:c>
      <x:c r="B2382" s="84" t="str">
        <x:v>OS-2025-02381</x:v>
      </x:c>
      <x:c r="C2382" s="84" t="n">
        <x:v>21</x:v>
      </x:c>
      <x:c r="D2382" s="84" t="n">
        <x:v>9</x:v>
      </x:c>
      <x:c r="E2382" s="84"/>
      <x:c r="F2382" s="89" t="n">
        <x:v>45916.642372685186</x:v>
      </x:c>
      <x:c r="G2382" s="89" t="n">
        <x:v>45917.642372685186</x:v>
      </x:c>
      <x:c r="H2382" s="89"/>
      <x:c r="I2382" s="89"/>
      <x:c r="J2382" s="84" t="str">
        <x:v>Baixa</x:v>
      </x:c>
      <x:c r="K2382" s="84" t="str">
        <x:v>Planejada</x:v>
      </x:c>
      <x:c r="L2382" s="84" t="str">
        <x:v>Superaquecimento</x:v>
      </x:c>
      <x:c r="M2382" s="84"/>
      <x:c r="N2382" s="84"/>
      <x:c r="O2382" s="84" t="n">
        <x:v>0</x:v>
      </x:c>
      <x:c r="P2382" s="93" t="n">
        <x:v>0</x:v>
      </x:c>
      <x:c r="Q2382" s="93" t="n">
        <x:v>0</x:v>
      </x:c>
      <x:c r="R2382" s="91" t="n">
        <x:v>0</x:v>
      </x:c>
    </x:row>
    <x:row r="2383">
      <x:c r="A2383" s="83" t="n">
        <x:v>2382</x:v>
      </x:c>
      <x:c r="B2383" s="84" t="str">
        <x:v>OS-2023-02382</x:v>
      </x:c>
      <x:c r="C2383" s="84" t="n">
        <x:v>63</x:v>
      </x:c>
      <x:c r="D2383" s="84" t="n">
        <x:v>3</x:v>
      </x:c>
      <x:c r="E2383" s="84"/>
      <x:c r="F2383" s="89" t="n">
        <x:v>45117.71171296296</x:v>
      </x:c>
      <x:c r="G2383" s="89"/>
      <x:c r="H2383" s="89" t="n">
        <x:v>45119.75337962963</x:v>
      </x:c>
      <x:c r="I2383" s="89" t="n">
        <x:v>45119.83671296296</x:v>
      </x:c>
      <x:c r="J2383" s="84" t="str">
        <x:v>Média</x:v>
      </x:c>
      <x:c r="K2383" s="84" t="str">
        <x:v>Encerrada</x:v>
      </x:c>
      <x:c r="L2383" s="84" t="str">
        <x:v>Alarme intermitente</x:v>
      </x:c>
      <x:c r="M2383" s="84" t="str">
        <x:v>Componente danificado</x:v>
      </x:c>
      <x:c r="N2383" s="84" t="str">
        <x:v>Componente ajustado ou substituído</x:v>
      </x:c>
      <x:c r="O2383" s="84" t="n">
        <x:v>0</x:v>
      </x:c>
      <x:c r="P2383" s="93" t="n">
        <x:v>204.69</x:v>
      </x:c>
      <x:c r="Q2383" s="93" t="n">
        <x:v>4499.55</x:v>
      </x:c>
      <x:c r="R2383" s="91" t="n">
        <x:v>0</x:v>
      </x:c>
    </x:row>
    <x:row r="2384">
      <x:c r="A2384" s="83" t="n">
        <x:v>2383</x:v>
      </x:c>
      <x:c r="B2384" s="84" t="str">
        <x:v>OS-2023-02383</x:v>
      </x:c>
      <x:c r="C2384" s="84" t="n">
        <x:v>21</x:v>
      </x:c>
      <x:c r="D2384" s="84" t="n">
        <x:v>7</x:v>
      </x:c>
      <x:c r="E2384" s="84" t="n">
        <x:v>41</x:v>
      </x:c>
      <x:c r="F2384" s="89" t="n">
        <x:v>45006.93949074074</x:v>
      </x:c>
      <x:c r="G2384" s="89" t="n">
        <x:v>45021.93949074074</x:v>
      </x:c>
      <x:c r="H2384" s="89" t="n">
        <x:v>45008.43949074074</x:v>
      </x:c>
      <x:c r="I2384" s="89"/>
      <x:c r="J2384" s="84" t="str">
        <x:v>Média</x:v>
      </x:c>
      <x:c r="K2384" s="84" t="str">
        <x:v>Aguardando peça</x:v>
      </x:c>
      <x:c r="L2384" s="84" t="str">
        <x:v>Superaquecimento</x:v>
      </x:c>
      <x:c r="M2384" s="84" t="str">
        <x:v>Ajuste incorreto</x:v>
      </x:c>
      <x:c r="N2384" s="84"/>
      <x:c r="O2384" s="84" t="n">
        <x:v>0</x:v>
      </x:c>
      <x:c r="P2384" s="93" t="n">
        <x:v>561.69</x:v>
      </x:c>
      <x:c r="Q2384" s="93" t="n">
        <x:v>6063.49</x:v>
      </x:c>
      <x:c r="R2384" s="91" t="n">
        <x:v>0</x:v>
      </x:c>
    </x:row>
    <x:row r="2385">
      <x:c r="A2385" s="83" t="n">
        <x:v>2384</x:v>
      </x:c>
      <x:c r="B2385" s="84" t="str">
        <x:v>OS-2023-02384</x:v>
      </x:c>
      <x:c r="C2385" s="84" t="n">
        <x:v>86</x:v>
      </x:c>
      <x:c r="D2385" s="84" t="n">
        <x:v>3</x:v>
      </x:c>
      <x:c r="E2385" s="84"/>
      <x:c r="F2385" s="89" t="n">
        <x:v>45227.26199074074</x:v>
      </x:c>
      <x:c r="G2385" s="89"/>
      <x:c r="H2385" s="89"/>
      <x:c r="I2385" s="89"/>
      <x:c r="J2385" s="84" t="str">
        <x:v>Alta</x:v>
      </x:c>
      <x:c r="K2385" s="84" t="str">
        <x:v>Cancelada</x:v>
      </x:c>
      <x:c r="L2385" s="84" t="str">
        <x:v>Falha elétrica</x:v>
      </x:c>
      <x:c r="M2385" s="84"/>
      <x:c r="N2385" s="84"/>
      <x:c r="O2385" s="84" t="n">
        <x:v>0</x:v>
      </x:c>
      <x:c r="P2385" s="93" t="n">
        <x:v>0</x:v>
      </x:c>
      <x:c r="Q2385" s="93" t="n">
        <x:v>0</x:v>
      </x:c>
      <x:c r="R2385" s="91" t="n">
        <x:v>0</x:v>
      </x:c>
    </x:row>
    <x:row r="2386">
      <x:c r="A2386" s="83" t="n">
        <x:v>2385</x:v>
      </x:c>
      <x:c r="B2386" s="84" t="str">
        <x:v>OS-2024-02385</x:v>
      </x:c>
      <x:c r="C2386" s="84" t="n">
        <x:v>84</x:v>
      </x:c>
      <x:c r="D2386" s="84" t="n">
        <x:v>1</x:v>
      </x:c>
      <x:c r="E2386" s="84" t="n">
        <x:v>167</x:v>
      </x:c>
      <x:c r="F2386" s="89" t="n">
        <x:v>45657.30472222222</x:v>
      </x:c>
      <x:c r="G2386" s="89" t="n">
        <x:v>45657.30472222222</x:v>
      </x:c>
      <x:c r="H2386" s="89" t="n">
        <x:v>45659.63805555556</x:v>
      </x:c>
      <x:c r="I2386" s="89" t="n">
        <x:v>45659.67972222222</x:v>
      </x:c>
      <x:c r="J2386" s="84" t="str">
        <x:v>Baixa</x:v>
      </x:c>
      <x:c r="K2386" s="84" t="str">
        <x:v>Encerrada</x:v>
      </x:c>
      <x:c r="L2386" s="84" t="str">
        <x:v>Falha elétrica</x:v>
      </x:c>
      <x:c r="M2386" s="84" t="str">
        <x:v>Ajuste incorreto</x:v>
      </x:c>
      <x:c r="N2386" s="84" t="str">
        <x:v>Componente ajustado ou substituído</x:v>
      </x:c>
      <x:c r="O2386" s="84" t="n">
        <x:v>0</x:v>
      </x:c>
      <x:c r="P2386" s="93" t="n">
        <x:v>139.67</x:v>
      </x:c>
      <x:c r="Q2386" s="93" t="n">
        <x:v>12160.44</x:v>
      </x:c>
      <x:c r="R2386" s="91" t="n">
        <x:v>0</x:v>
      </x:c>
    </x:row>
    <x:row r="2387">
      <x:c r="A2387" s="83" t="n">
        <x:v>2386</x:v>
      </x:c>
      <x:c r="B2387" s="84" t="str">
        <x:v>OS-2023-02386</x:v>
      </x:c>
      <x:c r="C2387" s="84" t="n">
        <x:v>24</x:v>
      </x:c>
      <x:c r="D2387" s="84" t="n">
        <x:v>1</x:v>
      </x:c>
      <x:c r="E2387" s="84" t="n">
        <x:v>48</x:v>
      </x:c>
      <x:c r="F2387" s="89" t="n">
        <x:v>45237.49196759259</x:v>
      </x:c>
      <x:c r="G2387" s="89" t="n">
        <x:v>45247.49196759259</x:v>
      </x:c>
      <x:c r="H2387" s="89" t="n">
        <x:v>45238.783634259256</x:v>
      </x:c>
      <x:c r="I2387" s="89" t="n">
        <x:v>45239.36696759259</x:v>
      </x:c>
      <x:c r="J2387" s="84" t="str">
        <x:v>Baixa</x:v>
      </x:c>
      <x:c r="K2387" s="84" t="str">
        <x:v>Encerrada</x:v>
      </x:c>
      <x:c r="L2387" s="84" t="str">
        <x:v>Falha elétrica</x:v>
      </x:c>
      <x:c r="M2387" s="84" t="str">
        <x:v>Desgaste natural</x:v>
      </x:c>
      <x:c r="N2387" s="84" t="str">
        <x:v>Componente ajustado ou substituído</x:v>
      </x:c>
      <x:c r="O2387" s="84" t="n">
        <x:v>0</x:v>
      </x:c>
      <x:c r="P2387" s="93" t="n">
        <x:v>607.25</x:v>
      </x:c>
      <x:c r="Q2387" s="93" t="n">
        <x:v>11708.34</x:v>
      </x:c>
      <x:c r="R2387" s="91" t="n">
        <x:v>0</x:v>
      </x:c>
    </x:row>
    <x:row r="2388">
      <x:c r="A2388" s="83" t="n">
        <x:v>2387</x:v>
      </x:c>
      <x:c r="B2388" s="84" t="str">
        <x:v>OS-2023-02387</x:v>
      </x:c>
      <x:c r="C2388" s="84" t="n">
        <x:v>72</x:v>
      </x:c>
      <x:c r="D2388" s="84" t="n">
        <x:v>6</x:v>
      </x:c>
      <x:c r="E2388" s="84"/>
      <x:c r="F2388" s="89" t="n">
        <x:v>45049.61755787037</x:v>
      </x:c>
      <x:c r="G2388" s="89" t="n">
        <x:v>45060.61755787037</x:v>
      </x:c>
      <x:c r="H2388" s="89" t="n">
        <x:v>45052.575891203705</x:v>
      </x:c>
      <x:c r="I2388" s="89" t="n">
        <x:v>45053.034224537034</x:v>
      </x:c>
      <x:c r="J2388" s="84" t="str">
        <x:v>Baixa</x:v>
      </x:c>
      <x:c r="K2388" s="84" t="str">
        <x:v>Encerrada</x:v>
      </x:c>
      <x:c r="L2388" s="84" t="str">
        <x:v>Alarme intermitente</x:v>
      </x:c>
      <x:c r="M2388" s="84" t="str">
        <x:v>Falta de lubrificação</x:v>
      </x:c>
      <x:c r="N2388" s="84" t="str">
        <x:v>Componente ajustado ou substituído</x:v>
      </x:c>
      <x:c r="O2388" s="84" t="n">
        <x:v>0</x:v>
      </x:c>
      <x:c r="P2388" s="93" t="n">
        <x:v>160.33</x:v>
      </x:c>
      <x:c r="Q2388" s="93" t="n">
        <x:v>0</x:v>
      </x:c>
      <x:c r="R2388" s="91" t="n">
        <x:v>0</x:v>
      </x:c>
    </x:row>
    <x:row r="2389">
      <x:c r="A2389" s="83" t="n">
        <x:v>2388</x:v>
      </x:c>
      <x:c r="B2389" s="84" t="str">
        <x:v>OS-2023-02388</x:v>
      </x:c>
      <x:c r="C2389" s="84" t="n">
        <x:v>13</x:v>
      </x:c>
      <x:c r="D2389" s="84" t="n">
        <x:v>7</x:v>
      </x:c>
      <x:c r="E2389" s="84" t="n">
        <x:v>25</x:v>
      </x:c>
      <x:c r="F2389" s="89" t="n">
        <x:v>45285.833506944444</x:v>
      </x:c>
      <x:c r="G2389" s="89" t="n">
        <x:v>45287.833506944444</x:v>
      </x:c>
      <x:c r="H2389" s="89" t="n">
        <x:v>45288.208506944444</x:v>
      </x:c>
      <x:c r="I2389" s="89" t="n">
        <x:v>45288.833506944444</x:v>
      </x:c>
      <x:c r="J2389" s="84" t="str">
        <x:v>Alta</x:v>
      </x:c>
      <x:c r="K2389" s="84" t="str">
        <x:v>Concluída</x:v>
      </x:c>
      <x:c r="L2389" s="84" t="str">
        <x:v>Ruído anormal</x:v>
      </x:c>
      <x:c r="M2389" s="84" t="str">
        <x:v>Contaminação</x:v>
      </x:c>
      <x:c r="N2389" s="84" t="str">
        <x:v>Componente ajustado ou substituído</x:v>
      </x:c>
      <x:c r="O2389" s="84" t="n">
        <x:v>0</x:v>
      </x:c>
      <x:c r="P2389" s="93" t="n">
        <x:v>465.6</x:v>
      </x:c>
      <x:c r="Q2389" s="93" t="n">
        <x:v>0</x:v>
      </x:c>
      <x:c r="R2389" s="91" t="n">
        <x:v>0</x:v>
      </x:c>
    </x:row>
    <x:row r="2390">
      <x:c r="A2390" s="83" t="n">
        <x:v>2389</x:v>
      </x:c>
      <x:c r="B2390" s="84" t="str">
        <x:v>OS-2025-02389</x:v>
      </x:c>
      <x:c r="C2390" s="84" t="n">
        <x:v>74</x:v>
      </x:c>
      <x:c r="D2390" s="84" t="n">
        <x:v>7</x:v>
      </x:c>
      <x:c r="E2390" s="84" t="n">
        <x:v>148</x:v>
      </x:c>
      <x:c r="F2390" s="89" t="n">
        <x:v>45996.13539351852</x:v>
      </x:c>
      <x:c r="G2390" s="89" t="n">
        <x:v>46010.13539351852</x:v>
      </x:c>
      <x:c r="H2390" s="89"/>
      <x:c r="I2390" s="89"/>
      <x:c r="J2390" s="84" t="str">
        <x:v>Crítica</x:v>
      </x:c>
      <x:c r="K2390" s="84" t="str">
        <x:v>Planejada</x:v>
      </x:c>
      <x:c r="L2390" s="84" t="str">
        <x:v>Falha elétrica</x:v>
      </x:c>
      <x:c r="M2390" s="84"/>
      <x:c r="N2390" s="84"/>
      <x:c r="O2390" s="84" t="n">
        <x:v>0</x:v>
      </x:c>
      <x:c r="P2390" s="93" t="n">
        <x:v>0</x:v>
      </x:c>
      <x:c r="Q2390" s="93" t="n">
        <x:v>0</x:v>
      </x:c>
      <x:c r="R2390" s="91" t="n">
        <x:v>0</x:v>
      </x:c>
    </x:row>
    <x:row r="2391">
      <x:c r="A2391" s="83" t="n">
        <x:v>2390</x:v>
      </x:c>
      <x:c r="B2391" s="84" t="str">
        <x:v>OS-2025-02390</x:v>
      </x:c>
      <x:c r="C2391" s="84" t="n">
        <x:v>49</x:v>
      </x:c>
      <x:c r="D2391" s="84" t="n">
        <x:v>1</x:v>
      </x:c>
      <x:c r="E2391" s="84" t="n">
        <x:v>98</x:v>
      </x:c>
      <x:c r="F2391" s="89" t="n">
        <x:v>45932.22340277778</x:v>
      </x:c>
      <x:c r="G2391" s="89" t="n">
        <x:v>45940.22340277778</x:v>
      </x:c>
      <x:c r="H2391" s="89" t="n">
        <x:v>45933.390069444446</x:v>
      </x:c>
      <x:c r="I2391" s="89" t="n">
        <x:v>45933.68173611111</x:v>
      </x:c>
      <x:c r="J2391" s="84" t="str">
        <x:v>Baixa</x:v>
      </x:c>
      <x:c r="K2391" s="84" t="str">
        <x:v>Encerrada</x:v>
      </x:c>
      <x:c r="L2391" s="84" t="str">
        <x:v>Ruído anormal</x:v>
      </x:c>
      <x:c r="M2391" s="84" t="str">
        <x:v>Desgaste natural</x:v>
      </x:c>
      <x:c r="N2391" s="84" t="str">
        <x:v>Componente ajustado ou substituído</x:v>
      </x:c>
      <x:c r="O2391" s="84" t="n">
        <x:v>0</x:v>
      </x:c>
      <x:c r="P2391" s="93" t="n">
        <x:v>452.56</x:v>
      </x:c>
      <x:c r="Q2391" s="93" t="n">
        <x:v>3163.3</x:v>
      </x:c>
      <x:c r="R2391" s="91" t="n">
        <x:v>0</x:v>
      </x:c>
    </x:row>
    <x:row r="2392">
      <x:c r="A2392" s="83" t="n">
        <x:v>2391</x:v>
      </x:c>
      <x:c r="B2392" s="84" t="str">
        <x:v>OS-2025-02391</x:v>
      </x:c>
      <x:c r="C2392" s="84" t="n">
        <x:v>64</x:v>
      </x:c>
      <x:c r="D2392" s="84" t="n">
        <x:v>1</x:v>
      </x:c>
      <x:c r="E2392" s="84" t="n">
        <x:v>128</x:v>
      </x:c>
      <x:c r="F2392" s="89" t="n">
        <x:v>45879.7653125</x:v>
      </x:c>
      <x:c r="G2392" s="89" t="n">
        <x:v>45879.7653125</x:v>
      </x:c>
      <x:c r="H2392" s="89" t="n">
        <x:v>45879.973645833335</x:v>
      </x:c>
      <x:c r="I2392" s="89"/>
      <x:c r="J2392" s="84" t="str">
        <x:v>Baixa</x:v>
      </x:c>
      <x:c r="K2392" s="84" t="str">
        <x:v>Aguardando peça</x:v>
      </x:c>
      <x:c r="L2392" s="84" t="str">
        <x:v>Superaquecimento</x:v>
      </x:c>
      <x:c r="M2392" s="84" t="str">
        <x:v>Ajuste incorreto</x:v>
      </x:c>
      <x:c r="N2392" s="84"/>
      <x:c r="O2392" s="84" t="n">
        <x:v>1</x:v>
      </x:c>
      <x:c r="P2392" s="93" t="n">
        <x:v>618.93</x:v>
      </x:c>
      <x:c r="Q2392" s="93" t="n">
        <x:v>0</x:v>
      </x:c>
      <x:c r="R2392" s="91" t="n">
        <x:v>0</x:v>
      </x:c>
    </x:row>
    <x:row r="2393">
      <x:c r="A2393" s="83" t="n">
        <x:v>2392</x:v>
      </x:c>
      <x:c r="B2393" s="84" t="str">
        <x:v>OS-2023-02392</x:v>
      </x:c>
      <x:c r="C2393" s="84" t="n">
        <x:v>5</x:v>
      </x:c>
      <x:c r="D2393" s="84" t="n">
        <x:v>1</x:v>
      </x:c>
      <x:c r="E2393" s="84" t="n">
        <x:v>9</x:v>
      </x:c>
      <x:c r="F2393" s="89" t="n">
        <x:v>45138.25883101852</x:v>
      </x:c>
      <x:c r="G2393" s="89" t="n">
        <x:v>45138.25883101852</x:v>
      </x:c>
      <x:c r="H2393" s="89" t="n">
        <x:v>45138.38383101852</x:v>
      </x:c>
      <x:c r="I2393" s="89" t="n">
        <x:v>45138.71716435185</x:v>
      </x:c>
      <x:c r="J2393" s="84" t="str">
        <x:v>Baixa</x:v>
      </x:c>
      <x:c r="K2393" s="84" t="str">
        <x:v>Concluída</x:v>
      </x:c>
      <x:c r="L2393" s="84" t="str">
        <x:v>Alarme intermitente</x:v>
      </x:c>
      <x:c r="M2393" s="84" t="str">
        <x:v>Falta de lubrificação</x:v>
      </x:c>
      <x:c r="N2393" s="84" t="str">
        <x:v>Componente ajustado ou substituído</x:v>
      </x:c>
      <x:c r="O2393" s="84" t="n">
        <x:v>0</x:v>
      </x:c>
      <x:c r="P2393" s="93" t="n">
        <x:v>90.29</x:v>
      </x:c>
      <x:c r="Q2393" s="93" t="n">
        <x:v>8809.86</x:v>
      </x:c>
      <x:c r="R2393" s="91" t="n">
        <x:v>0</x:v>
      </x:c>
    </x:row>
    <x:row r="2394">
      <x:c r="A2394" s="83" t="n">
        <x:v>2393</x:v>
      </x:c>
      <x:c r="B2394" s="84" t="str">
        <x:v>OS-2025-02393</x:v>
      </x:c>
      <x:c r="C2394" s="84" t="n">
        <x:v>2</x:v>
      </x:c>
      <x:c r="D2394" s="84" t="n">
        <x:v>1</x:v>
      </x:c>
      <x:c r="E2394" s="84" t="n">
        <x:v>3</x:v>
      </x:c>
      <x:c r="F2394" s="89" t="n">
        <x:v>45697.368784722225</x:v>
      </x:c>
      <x:c r="G2394" s="89" t="n">
        <x:v>45712.368784722225</x:v>
      </x:c>
      <x:c r="H2394" s="89" t="n">
        <x:v>45698.57711805555</x:v>
      </x:c>
      <x:c r="I2394" s="89" t="n">
        <x:v>45699.16045138889</x:v>
      </x:c>
      <x:c r="J2394" s="84" t="str">
        <x:v>Média</x:v>
      </x:c>
      <x:c r="K2394" s="84" t="str">
        <x:v>Encerrada</x:v>
      </x:c>
      <x:c r="L2394" s="84" t="str">
        <x:v>Vazamento</x:v>
      </x:c>
      <x:c r="M2394" s="84" t="str">
        <x:v>Componente danificado</x:v>
      </x:c>
      <x:c r="N2394" s="84" t="str">
        <x:v>Componente ajustado ou substituído</x:v>
      </x:c>
      <x:c r="O2394" s="84" t="n">
        <x:v>0</x:v>
      </x:c>
      <x:c r="P2394" s="93" t="n">
        <x:v>644.51</x:v>
      </x:c>
      <x:c r="Q2394" s="93" t="n">
        <x:v>0</x:v>
      </x:c>
      <x:c r="R2394" s="91" t="n">
        <x:v>0</x:v>
      </x:c>
    </x:row>
    <x:row r="2395">
      <x:c r="A2395" s="83" t="n">
        <x:v>2394</x:v>
      </x:c>
      <x:c r="B2395" s="84" t="str">
        <x:v>OS-2023-02394</x:v>
      </x:c>
      <x:c r="C2395" s="84" t="n">
        <x:v>37</x:v>
      </x:c>
      <x:c r="D2395" s="84" t="n">
        <x:v>3</x:v>
      </x:c>
      <x:c r="E2395" s="84"/>
      <x:c r="F2395" s="89" t="n">
        <x:v>45137.829930555556</x:v>
      </x:c>
      <x:c r="G2395" s="89"/>
      <x:c r="H2395" s="89"/>
      <x:c r="I2395" s="89"/>
      <x:c r="J2395" s="84" t="str">
        <x:v>Média</x:v>
      </x:c>
      <x:c r="K2395" s="84" t="str">
        <x:v>Cancelada</x:v>
      </x:c>
      <x:c r="L2395" s="84" t="str">
        <x:v>Ruído anormal</x:v>
      </x:c>
      <x:c r="M2395" s="84"/>
      <x:c r="N2395" s="84"/>
      <x:c r="O2395" s="84" t="n">
        <x:v>0</x:v>
      </x:c>
      <x:c r="P2395" s="93" t="n">
        <x:v>0</x:v>
      </x:c>
      <x:c r="Q2395" s="93" t="n">
        <x:v>0</x:v>
      </x:c>
      <x:c r="R2395" s="91" t="n">
        <x:v>0</x:v>
      </x:c>
    </x:row>
    <x:row r="2396">
      <x:c r="A2396" s="83" t="n">
        <x:v>2395</x:v>
      </x:c>
      <x:c r="B2396" s="84" t="str">
        <x:v>OS-2023-02395</x:v>
      </x:c>
      <x:c r="C2396" s="84" t="n">
        <x:v>32</x:v>
      </x:c>
      <x:c r="D2396" s="84" t="n">
        <x:v>5</x:v>
      </x:c>
      <x:c r="E2396" s="84" t="n">
        <x:v>63</x:v>
      </x:c>
      <x:c r="F2396" s="89" t="n">
        <x:v>45156.84974537037</x:v>
      </x:c>
      <x:c r="G2396" s="89" t="n">
        <x:v>45166.84974537037</x:v>
      </x:c>
      <x:c r="H2396" s="89" t="n">
        <x:v>45157.39141203704</x:v>
      </x:c>
      <x:c r="I2396" s="89" t="n">
        <x:v>45158.1830787037</x:v>
      </x:c>
      <x:c r="J2396" s="84" t="str">
        <x:v>Baixa</x:v>
      </x:c>
      <x:c r="K2396" s="84" t="str">
        <x:v>Encerrada</x:v>
      </x:c>
      <x:c r="L2396" s="84" t="str">
        <x:v>Baixa pressão</x:v>
      </x:c>
      <x:c r="M2396" s="84" t="str">
        <x:v>Falta de lubrificação</x:v>
      </x:c>
      <x:c r="N2396" s="84" t="str">
        <x:v>Componente ajustado ou substituído</x:v>
      </x:c>
      <x:c r="O2396" s="84" t="n">
        <x:v>0</x:v>
      </x:c>
      <x:c r="P2396" s="93" t="n">
        <x:v>450.3</x:v>
      </x:c>
      <x:c r="Q2396" s="93" t="n">
        <x:v>0</x:v>
      </x:c>
      <x:c r="R2396" s="91" t="n">
        <x:v>0</x:v>
      </x:c>
    </x:row>
    <x:row r="2397">
      <x:c r="A2397" s="83" t="n">
        <x:v>2396</x:v>
      </x:c>
      <x:c r="B2397" s="84" t="str">
        <x:v>OS-2023-02396</x:v>
      </x:c>
      <x:c r="C2397" s="84" t="n">
        <x:v>31</x:v>
      </x:c>
      <x:c r="D2397" s="84" t="n">
        <x:v>1</x:v>
      </x:c>
      <x:c r="E2397" s="84" t="n">
        <x:v>62</x:v>
      </x:c>
      <x:c r="F2397" s="89" t="n">
        <x:v>45269.8059375</x:v>
      </x:c>
      <x:c r="G2397" s="89" t="n">
        <x:v>45275.8059375</x:v>
      </x:c>
      <x:c r="H2397" s="89" t="n">
        <x:v>45271.26427083334</x:v>
      </x:c>
      <x:c r="I2397" s="89" t="n">
        <x:v>45271.3059375</x:v>
      </x:c>
      <x:c r="J2397" s="84" t="str">
        <x:v>Baixa</x:v>
      </x:c>
      <x:c r="K2397" s="84" t="str">
        <x:v>Encerrada</x:v>
      </x:c>
      <x:c r="L2397" s="84" t="str">
        <x:v>Superaquecimento</x:v>
      </x:c>
      <x:c r="M2397" s="84" t="str">
        <x:v>Falta de lubrificação</x:v>
      </x:c>
      <x:c r="N2397" s="84" t="str">
        <x:v>Componente ajustado ou substituído</x:v>
      </x:c>
      <x:c r="O2397" s="84" t="n">
        <x:v>0</x:v>
      </x:c>
      <x:c r="P2397" s="93" t="n">
        <x:v>718.72</x:v>
      </x:c>
      <x:c r="Q2397" s="93" t="n">
        <x:v>4561.41</x:v>
      </x:c>
      <x:c r="R2397" s="91" t="n">
        <x:v>0</x:v>
      </x:c>
    </x:row>
    <x:row r="2398">
      <x:c r="A2398" s="83" t="n">
        <x:v>2397</x:v>
      </x:c>
      <x:c r="B2398" s="84" t="str">
        <x:v>OS-2024-02397</x:v>
      </x:c>
      <x:c r="C2398" s="84" t="n">
        <x:v>42</x:v>
      </x:c>
      <x:c r="D2398" s="84" t="n">
        <x:v>1</x:v>
      </x:c>
      <x:c r="E2398" s="84" t="n">
        <x:v>84</x:v>
      </x:c>
      <x:c r="F2398" s="89" t="n">
        <x:v>45467.93703703704</x:v>
      </x:c>
      <x:c r="G2398" s="89" t="n">
        <x:v>45479.93703703704</x:v>
      </x:c>
      <x:c r="H2398" s="89" t="n">
        <x:v>45470.6037037037</x:v>
      </x:c>
      <x:c r="I2398" s="89" t="n">
        <x:v>45470.81203703704</x:v>
      </x:c>
      <x:c r="J2398" s="84" t="str">
        <x:v>Crítica</x:v>
      </x:c>
      <x:c r="K2398" s="84" t="str">
        <x:v>Encerrada</x:v>
      </x:c>
      <x:c r="L2398" s="84" t="str">
        <x:v>Desalinhamento</x:v>
      </x:c>
      <x:c r="M2398" s="84" t="str">
        <x:v>Conexão frouxa</x:v>
      </x:c>
      <x:c r="N2398" s="84" t="str">
        <x:v>Componente ajustado ou substituído</x:v>
      </x:c>
      <x:c r="O2398" s="84" t="n">
        <x:v>0</x:v>
      </x:c>
      <x:c r="P2398" s="93" t="n">
        <x:v>509.31</x:v>
      </x:c>
      <x:c r="Q2398" s="93" t="n">
        <x:v>2333.61</x:v>
      </x:c>
      <x:c r="R2398" s="91" t="n">
        <x:v>0</x:v>
      </x:c>
    </x:row>
    <x:row r="2399">
      <x:c r="A2399" s="83" t="n">
        <x:v>2398</x:v>
      </x:c>
      <x:c r="B2399" s="84" t="str">
        <x:v>OS-2025-02398</x:v>
      </x:c>
      <x:c r="C2399" s="84" t="n">
        <x:v>34</x:v>
      </x:c>
      <x:c r="D2399" s="84" t="n">
        <x:v>7</x:v>
      </x:c>
      <x:c r="E2399" s="84" t="n">
        <x:v>67</x:v>
      </x:c>
      <x:c r="F2399" s="89" t="n">
        <x:v>45982.236921296295</x:v>
      </x:c>
      <x:c r="G2399" s="89" t="n">
        <x:v>45997.236921296295</x:v>
      </x:c>
      <x:c r="H2399" s="89" t="n">
        <x:v>45982.90358796297</x:v>
      </x:c>
      <x:c r="I2399" s="89"/>
      <x:c r="J2399" s="84" t="str">
        <x:v>Média</x:v>
      </x:c>
      <x:c r="K2399" s="84" t="str">
        <x:v>Aguardando peça</x:v>
      </x:c>
      <x:c r="L2399" s="84" t="str">
        <x:v>Superaquecimento</x:v>
      </x:c>
      <x:c r="M2399" s="84" t="str">
        <x:v>Conexão frouxa</x:v>
      </x:c>
      <x:c r="N2399" s="84"/>
      <x:c r="O2399" s="84" t="n">
        <x:v>0</x:v>
      </x:c>
      <x:c r="P2399" s="93" t="n">
        <x:v>474.34</x:v>
      </x:c>
      <x:c r="Q2399" s="93" t="n">
        <x:v>7011.8</x:v>
      </x:c>
      <x:c r="R2399" s="91" t="n">
        <x:v>0</x:v>
      </x:c>
    </x:row>
    <x:row r="2400">
      <x:c r="A2400" s="83" t="n">
        <x:v>2399</x:v>
      </x:c>
      <x:c r="B2400" s="84" t="str">
        <x:v>OS-2024-02399</x:v>
      </x:c>
      <x:c r="C2400" s="84" t="n">
        <x:v>13</x:v>
      </x:c>
      <x:c r="D2400" s="84" t="n">
        <x:v>2</x:v>
      </x:c>
      <x:c r="E2400" s="84"/>
      <x:c r="F2400" s="89" t="n">
        <x:v>45569.56502314815</x:v>
      </x:c>
      <x:c r="G2400" s="89" t="n">
        <x:v>45582.56502314815</x:v>
      </x:c>
      <x:c r="H2400" s="89" t="n">
        <x:v>45569.85668981481</x:v>
      </x:c>
      <x:c r="I2400" s="89" t="n">
        <x:v>45570.148356481484</x:v>
      </x:c>
      <x:c r="J2400" s="84" t="str">
        <x:v>Baixa</x:v>
      </x:c>
      <x:c r="K2400" s="84" t="str">
        <x:v>Concluída</x:v>
      </x:c>
      <x:c r="L2400" s="84" t="str">
        <x:v>Vazamento</x:v>
      </x:c>
      <x:c r="M2400" s="84" t="str">
        <x:v>Falta de lubrificação</x:v>
      </x:c>
      <x:c r="N2400" s="84" t="str">
        <x:v>Componente ajustado ou substituído</x:v>
      </x:c>
      <x:c r="O2400" s="84" t="n">
        <x:v>0</x:v>
      </x:c>
      <x:c r="P2400" s="93" t="n">
        <x:v>458.3</x:v>
      </x:c>
      <x:c r="Q2400" s="93" t="n">
        <x:v>5287.26</x:v>
      </x:c>
      <x:c r="R2400" s="91" t="n">
        <x:v>0</x:v>
      </x:c>
    </x:row>
    <x:row r="2401">
      <x:c r="A2401" s="86" t="n">
        <x:v>2400</x:v>
      </x:c>
      <x:c r="B2401" s="87" t="str">
        <x:v>OS-2024-02400</x:v>
      </x:c>
      <x:c r="C2401" s="87" t="n">
        <x:v>44</x:v>
      </x:c>
      <x:c r="D2401" s="87" t="n">
        <x:v>3</x:v>
      </x:c>
      <x:c r="E2401" s="87"/>
      <x:c r="F2401" s="90" t="n">
        <x:v>45549.75420138889</x:v>
      </x:c>
      <x:c r="G2401" s="90"/>
      <x:c r="H2401" s="90" t="n">
        <x:v>45551.62920138889</x:v>
      </x:c>
      <x:c r="I2401" s="90" t="n">
        <x:v>45551.87920138889</x:v>
      </x:c>
      <x:c r="J2401" s="87" t="str">
        <x:v>Crítica</x:v>
      </x:c>
      <x:c r="K2401" s="87" t="str">
        <x:v>Encerrada</x:v>
      </x:c>
      <x:c r="L2401" s="87" t="str">
        <x:v>Alarme intermitente</x:v>
      </x:c>
      <x:c r="M2401" s="87" t="str">
        <x:v>Ajuste incorreto</x:v>
      </x:c>
      <x:c r="N2401" s="87" t="str">
        <x:v>Componente ajustado ou substituído</x:v>
      </x:c>
      <x:c r="O2401" s="87" t="n">
        <x:v>0</x:v>
      </x:c>
      <x:c r="P2401" s="94" t="n">
        <x:v>585.13</x:v>
      </x:c>
      <x:c r="Q2401" s="94" t="n">
        <x:v>6065.8</x:v>
      </x:c>
      <x:c r="R2401" s="9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3" hidden="0" customWidth="1"/>
    <x:col min="3" max="3" width="4.78000020980835" hidden="0" customWidth="1"/>
    <x:col min="4" max="4" width="8.779999732971191" hidden="0" customWidth="1"/>
    <x:col min="5" max="5" width="10.220000267028809" hidden="0" customWidth="1"/>
    <x:col min="6" max="6" width="10.890000343322754" hidden="0" customWidth="1"/>
    <x:col min="7" max="7" width="17.670000076293945" hidden="0" customWidth="1"/>
    <x:col min="8" max="8" width="9" hidden="0" customWidth="1"/>
    <x:col min="9" max="9" width="8.5600004196167" hidden="0" customWidth="1"/>
    <x:col min="10" max="10" width="15.109999656677246" hidden="0" customWidth="1"/>
  </x:cols>
  <x:sheetData>
    <x:row r="1">
      <x:c r="A1" s="80" t="str">
        <x:v>id_falha</x:v>
      </x:c>
      <x:c r="B1" s="81" t="str">
        <x:v>id_equipamento</x:v>
      </x:c>
      <x:c r="C1" s="81" t="str">
        <x:v>id_os</x:v>
      </x:c>
      <x:c r="D1" s="81" t="str">
        <x:v>data_falha</x:v>
      </x:c>
      <x:c r="E1" s="81" t="str">
        <x:v>componente</x:v>
      </x:c>
      <x:c r="F1" s="81" t="str">
        <x:v>modo_falha</x:v>
      </x:c>
      <x:c r="G1" s="81" t="str">
        <x:v>causa_raiz</x:v>
      </x:c>
      <x:c r="H1" s="81" t="str">
        <x:v>severidade</x:v>
      </x:c>
      <x:c r="I1" s="81" t="str">
        <x:v>recorrente</x:v>
      </x:c>
      <x:c r="J1" s="82" t="str">
        <x:v>impacto_producao</x:v>
      </x:c>
    </x:row>
    <x:row r="2">
      <x:c r="A2" s="83" t="n">
        <x:v>1</x:v>
      </x:c>
      <x:c r="B2" s="84" t="n">
        <x:v>11</x:v>
      </x:c>
      <x:c r="C2" s="84" t="n">
        <x:v>4</x:v>
      </x:c>
      <x:c r="D2" s="89" t="n">
        <x:v>45520.72219907407</x:v>
      </x:c>
      <x:c r="E2" s="84" t="str">
        <x:v>Rolamento</x:v>
      </x:c>
      <x:c r="F2" s="84" t="str">
        <x:v>Travamento</x:v>
      </x:c>
      <x:c r="G2" s="84" t="str">
        <x:v>Ajuste incorreto</x:v>
      </x:c>
      <x:c r="H2" s="84" t="str">
        <x:v>Baixa</x:v>
      </x:c>
      <x:c r="I2" s="84" t="n">
        <x:v>0</x:v>
      </x:c>
      <x:c r="J2" s="85" t="n">
        <x:v>1</x:v>
      </x:c>
    </x:row>
    <x:row r="3">
      <x:c r="A3" s="83" t="n">
        <x:v>2</x:v>
      </x:c>
      <x:c r="B3" s="84" t="n">
        <x:v>9</x:v>
      </x:c>
      <x:c r="C3" s="84" t="n">
        <x:v>10</x:v>
      </x:c>
      <x:c r="D3" s="89" t="n">
        <x:v>45494.44100694444</x:v>
      </x:c>
      <x:c r="E3" s="84" t="str">
        <x:v>Motor</x:v>
      </x:c>
      <x:c r="F3" s="84" t="str">
        <x:v>Perda de sinal</x:v>
      </x:c>
      <x:c r="G3" s="84" t="str">
        <x:v>Ajuste incorreto</x:v>
      </x:c>
      <x:c r="H3" s="84" t="str">
        <x:v>Alta</x:v>
      </x:c>
      <x:c r="I3" s="84" t="n">
        <x:v>1</x:v>
      </x:c>
      <x:c r="J3" s="85" t="n">
        <x:v>1</x:v>
      </x:c>
    </x:row>
    <x:row r="4">
      <x:c r="A4" s="83" t="n">
        <x:v>3</x:v>
      </x:c>
      <x:c r="B4" s="84" t="n">
        <x:v>25</x:v>
      </x:c>
      <x:c r="C4" s="84" t="n">
        <x:v>17</x:v>
      </x:c>
      <x:c r="D4" s="89" t="n">
        <x:v>45308.118414351855</x:v>
      </x:c>
      <x:c r="E4" s="84" t="str">
        <x:v>Válvula</x:v>
      </x:c>
      <x:c r="F4" s="84" t="str">
        <x:v>Curto-circuito</x:v>
      </x:c>
      <x:c r="G4" s="84" t="str">
        <x:v>Contaminação</x:v>
      </x:c>
      <x:c r="H4" s="84" t="str">
        <x:v>Alta</x:v>
      </x:c>
      <x:c r="I4" s="84" t="n">
        <x:v>0</x:v>
      </x:c>
      <x:c r="J4" s="85" t="n">
        <x:v>1</x:v>
      </x:c>
    </x:row>
    <x:row r="5">
      <x:c r="A5" s="83" t="n">
        <x:v>4</x:v>
      </x:c>
      <x:c r="B5" s="84" t="n">
        <x:v>30</x:v>
      </x:c>
      <x:c r="C5" s="84" t="n">
        <x:v>20</x:v>
      </x:c>
      <x:c r="D5" s="89" t="n">
        <x:v>45210.01185185185</x:v>
      </x:c>
      <x:c r="E5" s="84" t="str">
        <x:v>Sensor</x:v>
      </x:c>
      <x:c r="F5" s="84" t="str">
        <x:v>Perda de sinal</x:v>
      </x:c>
      <x:c r="G5" s="84" t="str">
        <x:v>Ajuste incorreto</x:v>
      </x:c>
      <x:c r="H5" s="84" t="str">
        <x:v>Média</x:v>
      </x:c>
      <x:c r="I5" s="84" t="n">
        <x:v>0</x:v>
      </x:c>
      <x:c r="J5" s="85" t="n">
        <x:v>1</x:v>
      </x:c>
    </x:row>
    <x:row r="6">
      <x:c r="A6" s="83" t="n">
        <x:v>5</x:v>
      </x:c>
      <x:c r="B6" s="84" t="n">
        <x:v>87</x:v>
      </x:c>
      <x:c r="C6" s="84" t="n">
        <x:v>22</x:v>
      </x:c>
      <x:c r="D6" s="89" t="n">
        <x:v>45997.80515046296</x:v>
      </x:c>
      <x:c r="E6" s="84" t="str">
        <x:v>Motor</x:v>
      </x:c>
      <x:c r="F6" s="84" t="str">
        <x:v>Desgaste</x:v>
      </x:c>
      <x:c r="G6" s="84" t="str">
        <x:v>Desgaste natural</x:v>
      </x:c>
      <x:c r="H6" s="84" t="str">
        <x:v>Alta</x:v>
      </x:c>
      <x:c r="I6" s="84" t="n">
        <x:v>1</x:v>
      </x:c>
      <x:c r="J6" s="85" t="n">
        <x:v>1</x:v>
      </x:c>
    </x:row>
    <x:row r="7">
      <x:c r="A7" s="83" t="n">
        <x:v>6</x:v>
      </x:c>
      <x:c r="B7" s="84" t="n">
        <x:v>62</x:v>
      </x:c>
      <x:c r="C7" s="84" t="n">
        <x:v>23</x:v>
      </x:c>
      <x:c r="D7" s="89" t="n">
        <x:v>45406.00818287037</x:v>
      </x:c>
      <x:c r="E7" s="84" t="str">
        <x:v>Motor</x:v>
      </x:c>
      <x:c r="F7" s="84" t="str">
        <x:v>Quebra</x:v>
      </x:c>
      <x:c r="G7" s="84" t="str">
        <x:v>Desgaste natural</x:v>
      </x:c>
      <x:c r="H7" s="84" t="str">
        <x:v>Baixa</x:v>
      </x:c>
      <x:c r="I7" s="84" t="n">
        <x:v>0</x:v>
      </x:c>
      <x:c r="J7" s="85" t="n">
        <x:v>1</x:v>
      </x:c>
    </x:row>
    <x:row r="8">
      <x:c r="A8" s="83" t="n">
        <x:v>7</x:v>
      </x:c>
      <x:c r="B8" s="84" t="n">
        <x:v>76</x:v>
      </x:c>
      <x:c r="C8" s="84" t="n">
        <x:v>24</x:v>
      </x:c>
      <x:c r="D8" s="89" t="n">
        <x:v>45849.99967592592</x:v>
      </x:c>
      <x:c r="E8" s="84" t="str">
        <x:v>Válvula</x:v>
      </x:c>
      <x:c r="F8" s="84" t="str">
        <x:v>Travamento</x:v>
      </x:c>
      <x:c r="G8" s="84" t="str">
        <x:v>Conexão frouxa</x:v>
      </x:c>
      <x:c r="H8" s="84" t="str">
        <x:v>Baixa</x:v>
      </x:c>
      <x:c r="I8" s="84" t="n">
        <x:v>0</x:v>
      </x:c>
      <x:c r="J8" s="85" t="n">
        <x:v>1</x:v>
      </x:c>
    </x:row>
    <x:row r="9">
      <x:c r="A9" s="83" t="n">
        <x:v>8</x:v>
      </x:c>
      <x:c r="B9" s="84" t="n">
        <x:v>79</x:v>
      </x:c>
      <x:c r="C9" s="84" t="n">
        <x:v>27</x:v>
      </x:c>
      <x:c r="D9" s="89" t="n">
        <x:v>45855.193773148145</x:v>
      </x:c>
      <x:c r="E9" s="84" t="str">
        <x:v>Sensor</x:v>
      </x:c>
      <x:c r="F9" s="84" t="str">
        <x:v>Curto-circuito</x:v>
      </x:c>
      <x:c r="G9" s="84" t="str">
        <x:v>Conexão frouxa</x:v>
      </x:c>
      <x:c r="H9" s="84" t="str">
        <x:v>Média</x:v>
      </x:c>
      <x:c r="I9" s="84" t="n">
        <x:v>0</x:v>
      </x:c>
      <x:c r="J9" s="85" t="n">
        <x:v>1</x:v>
      </x:c>
    </x:row>
    <x:row r="10">
      <x:c r="A10" s="83" t="n">
        <x:v>9</x:v>
      </x:c>
      <x:c r="B10" s="84" t="n">
        <x:v>49</x:v>
      </x:c>
      <x:c r="C10" s="84" t="n">
        <x:v>28</x:v>
      </x:c>
      <x:c r="D10" s="89" t="n">
        <x:v>45992.060636574075</x:v>
      </x:c>
      <x:c r="E10" s="84" t="str">
        <x:v>Sensor</x:v>
      </x:c>
      <x:c r="F10" s="84" t="str">
        <x:v>Quebra</x:v>
      </x:c>
      <x:c r="G10" s="84" t="str">
        <x:v>Desgaste natural</x:v>
      </x:c>
      <x:c r="H10" s="84" t="str">
        <x:v>Baixa</x:v>
      </x:c>
      <x:c r="I10" s="84" t="n">
        <x:v>0</x:v>
      </x:c>
      <x:c r="J10" s="85" t="n">
        <x:v>1</x:v>
      </x:c>
    </x:row>
    <x:row r="11">
      <x:c r="A11" s="83" t="n">
        <x:v>10</x:v>
      </x:c>
      <x:c r="B11" s="84" t="n">
        <x:v>45</x:v>
      </x:c>
      <x:c r="C11" s="84" t="n">
        <x:v>32</x:v>
      </x:c>
      <x:c r="D11" s="89" t="n">
        <x:v>45785.27474537037</x:v>
      </x:c>
      <x:c r="E11" s="84" t="str">
        <x:v>Válvula</x:v>
      </x:c>
      <x:c r="F11" s="84" t="str">
        <x:v>Travamento</x:v>
      </x:c>
      <x:c r="G11" s="84" t="str">
        <x:v>Falta de lubrificação</x:v>
      </x:c>
      <x:c r="H11" s="84" t="str">
        <x:v>Baixa</x:v>
      </x:c>
      <x:c r="I11" s="84" t="n">
        <x:v>0</x:v>
      </x:c>
      <x:c r="J11" s="85" t="n">
        <x:v>1</x:v>
      </x:c>
    </x:row>
    <x:row r="12">
      <x:c r="A12" s="83" t="n">
        <x:v>11</x:v>
      </x:c>
      <x:c r="B12" s="84" t="n">
        <x:v>56</x:v>
      </x:c>
      <x:c r="C12" s="84" t="n">
        <x:v>38</x:v>
      </x:c>
      <x:c r="D12" s="89" t="n">
        <x:v>45292.452199074076</x:v>
      </x:c>
      <x:c r="E12" s="84" t="str">
        <x:v>Válvula</x:v>
      </x:c>
      <x:c r="F12" s="84" t="str">
        <x:v>Travamento</x:v>
      </x:c>
      <x:c r="G12" s="84" t="str">
        <x:v>Conexão frouxa</x:v>
      </x:c>
      <x:c r="H12" s="84" t="str">
        <x:v>Alta</x:v>
      </x:c>
      <x:c r="I12" s="84" t="n">
        <x:v>0</x:v>
      </x:c>
      <x:c r="J12" s="85" t="n">
        <x:v>1</x:v>
      </x:c>
    </x:row>
    <x:row r="13">
      <x:c r="A13" s="83" t="n">
        <x:v>12</x:v>
      </x:c>
      <x:c r="B13" s="84" t="n">
        <x:v>86</x:v>
      </x:c>
      <x:c r="C13" s="84" t="n">
        <x:v>40</x:v>
      </x:c>
      <x:c r="D13" s="89" t="n">
        <x:v>45231.10314814815</x:v>
      </x:c>
      <x:c r="E13" s="84" t="str">
        <x:v>Rolamento</x:v>
      </x:c>
      <x:c r="F13" s="84" t="str">
        <x:v>Quebra</x:v>
      </x:c>
      <x:c r="G13" s="84" t="str">
        <x:v>Desgaste natural</x:v>
      </x:c>
      <x:c r="H13" s="84" t="str">
        <x:v>Baixa</x:v>
      </x:c>
      <x:c r="I13" s="84" t="n">
        <x:v>0</x:v>
      </x:c>
      <x:c r="J13" s="85" t="n">
        <x:v>1</x:v>
      </x:c>
    </x:row>
    <x:row r="14">
      <x:c r="A14" s="83" t="n">
        <x:v>13</x:v>
      </x:c>
      <x:c r="B14" s="84" t="n">
        <x:v>59</x:v>
      </x:c>
      <x:c r="C14" s="84" t="n">
        <x:v>41</x:v>
      </x:c>
      <x:c r="D14" s="89" t="n">
        <x:v>45563.434270833335</x:v>
      </x:c>
      <x:c r="E14" s="84" t="str">
        <x:v>Rolamento</x:v>
      </x:c>
      <x:c r="F14" s="84" t="str">
        <x:v>Desgaste</x:v>
      </x:c>
      <x:c r="G14" s="84" t="str">
        <x:v>Desgaste natural</x:v>
      </x:c>
      <x:c r="H14" s="84" t="str">
        <x:v>Média</x:v>
      </x:c>
      <x:c r="I14" s="84" t="n">
        <x:v>0</x:v>
      </x:c>
      <x:c r="J14" s="85" t="n">
        <x:v>1</x:v>
      </x:c>
    </x:row>
    <x:row r="15">
      <x:c r="A15" s="83" t="n">
        <x:v>14</x:v>
      </x:c>
      <x:c r="B15" s="84" t="n">
        <x:v>42</x:v>
      </x:c>
      <x:c r="C15" s="84" t="n">
        <x:v>43</x:v>
      </x:c>
      <x:c r="D15" s="89" t="n">
        <x:v>45055.53518518519</x:v>
      </x:c>
      <x:c r="E15" s="84" t="str">
        <x:v>Correia</x:v>
      </x:c>
      <x:c r="F15" s="84" t="str">
        <x:v>Desgaste</x:v>
      </x:c>
      <x:c r="G15" s="84" t="str">
        <x:v>Componente danificado</x:v>
      </x:c>
      <x:c r="H15" s="84" t="str">
        <x:v>Média</x:v>
      </x:c>
      <x:c r="I15" s="84" t="n">
        <x:v>0</x:v>
      </x:c>
      <x:c r="J15" s="85" t="n">
        <x:v>1</x:v>
      </x:c>
    </x:row>
    <x:row r="16">
      <x:c r="A16" s="83" t="n">
        <x:v>15</x:v>
      </x:c>
      <x:c r="B16" s="84" t="n">
        <x:v>9</x:v>
      </x:c>
      <x:c r="C16" s="84" t="n">
        <x:v>47</x:v>
      </x:c>
      <x:c r="D16" s="89" t="n">
        <x:v>45001.32450231481</x:v>
      </x:c>
      <x:c r="E16" s="84" t="str">
        <x:v>CLP</x:v>
      </x:c>
      <x:c r="F16" s="84" t="str">
        <x:v>Perda de sinal</x:v>
      </x:c>
      <x:c r="G16" s="84" t="str">
        <x:v>Ajuste incorreto</x:v>
      </x:c>
      <x:c r="H16" s="84" t="str">
        <x:v>Baixa</x:v>
      </x:c>
      <x:c r="I16" s="84" t="n">
        <x:v>0</x:v>
      </x:c>
      <x:c r="J16" s="85" t="n">
        <x:v>1</x:v>
      </x:c>
    </x:row>
    <x:row r="17">
      <x:c r="A17" s="83" t="n">
        <x:v>16</x:v>
      </x:c>
      <x:c r="B17" s="84" t="n">
        <x:v>9</x:v>
      </x:c>
      <x:c r="C17" s="84" t="n">
        <x:v>50</x:v>
      </x:c>
      <x:c r="D17" s="89" t="n">
        <x:v>44944.74444444444</x:v>
      </x:c>
      <x:c r="E17" s="84" t="str">
        <x:v>Motor</x:v>
      </x:c>
      <x:c r="F17" s="84" t="str">
        <x:v>Quebra</x:v>
      </x:c>
      <x:c r="G17" s="84" t="str">
        <x:v>Contaminação</x:v>
      </x:c>
      <x:c r="H17" s="84" t="str">
        <x:v>Alta</x:v>
      </x:c>
      <x:c r="I17" s="84" t="n">
        <x:v>0</x:v>
      </x:c>
      <x:c r="J17" s="85" t="n">
        <x:v>1</x:v>
      </x:c>
    </x:row>
    <x:row r="18">
      <x:c r="A18" s="83" t="n">
        <x:v>17</x:v>
      </x:c>
      <x:c r="B18" s="84" t="n">
        <x:v>57</x:v>
      </x:c>
      <x:c r="C18" s="84" t="n">
        <x:v>54</x:v>
      </x:c>
      <x:c r="D18" s="89" t="n">
        <x:v>44989.01909722222</x:v>
      </x:c>
      <x:c r="E18" s="84" t="str">
        <x:v>Correia</x:v>
      </x:c>
      <x:c r="F18" s="84" t="str">
        <x:v>Travamento</x:v>
      </x:c>
      <x:c r="G18" s="84" t="str">
        <x:v>Conexão frouxa</x:v>
      </x:c>
      <x:c r="H18" s="84" t="str">
        <x:v>Média</x:v>
      </x:c>
      <x:c r="I18" s="84" t="n">
        <x:v>0</x:v>
      </x:c>
      <x:c r="J18" s="85" t="n">
        <x:v>1</x:v>
      </x:c>
    </x:row>
    <x:row r="19">
      <x:c r="A19" s="83" t="n">
        <x:v>18</x:v>
      </x:c>
      <x:c r="B19" s="84" t="n">
        <x:v>21</x:v>
      </x:c>
      <x:c r="C19" s="84" t="n">
        <x:v>56</x:v>
      </x:c>
      <x:c r="D19" s="89" t="n">
        <x:v>44954.63177083333</x:v>
      </x:c>
      <x:c r="E19" s="84" t="str">
        <x:v>Correia</x:v>
      </x:c>
      <x:c r="F19" s="84" t="str">
        <x:v>Travamento</x:v>
      </x:c>
      <x:c r="G19" s="84" t="str">
        <x:v>Falta de lubrificação</x:v>
      </x:c>
      <x:c r="H19" s="84" t="str">
        <x:v>Baixa</x:v>
      </x:c>
      <x:c r="I19" s="84" t="n">
        <x:v>0</x:v>
      </x:c>
      <x:c r="J19" s="85" t="n">
        <x:v>1</x:v>
      </x:c>
    </x:row>
    <x:row r="20">
      <x:c r="A20" s="83" t="n">
        <x:v>19</x:v>
      </x:c>
      <x:c r="B20" s="84" t="n">
        <x:v>60</x:v>
      </x:c>
      <x:c r="C20" s="84" t="n">
        <x:v>57</x:v>
      </x:c>
      <x:c r="D20" s="89" t="n">
        <x:v>44978.44053240741</x:v>
      </x:c>
      <x:c r="E20" s="84" t="str">
        <x:v>Sensor</x:v>
      </x:c>
      <x:c r="F20" s="84" t="str">
        <x:v>Perda de sinal</x:v>
      </x:c>
      <x:c r="G20" s="84" t="str">
        <x:v>Componente danificado</x:v>
      </x:c>
      <x:c r="H20" s="84" t="str">
        <x:v>Média</x:v>
      </x:c>
      <x:c r="I20" s="84" t="n">
        <x:v>0</x:v>
      </x:c>
      <x:c r="J20" s="85" t="n">
        <x:v>1</x:v>
      </x:c>
    </x:row>
    <x:row r="21">
      <x:c r="A21" s="83" t="n">
        <x:v>20</x:v>
      </x:c>
      <x:c r="B21" s="84" t="n">
        <x:v>18</x:v>
      </x:c>
      <x:c r="C21" s="84" t="n">
        <x:v>66</x:v>
      </x:c>
      <x:c r="D21" s="89" t="n">
        <x:v>45541.55857638889</x:v>
      </x:c>
      <x:c r="E21" s="84" t="str">
        <x:v>Correia</x:v>
      </x:c>
      <x:c r="F21" s="84" t="str">
        <x:v>Travamento</x:v>
      </x:c>
      <x:c r="G21" s="84" t="str">
        <x:v>Componente danificado</x:v>
      </x:c>
      <x:c r="H21" s="84" t="str">
        <x:v>Média</x:v>
      </x:c>
      <x:c r="I21" s="84" t="n">
        <x:v>0</x:v>
      </x:c>
      <x:c r="J21" s="85" t="n">
        <x:v>1</x:v>
      </x:c>
    </x:row>
    <x:row r="22">
      <x:c r="A22" s="83" t="n">
        <x:v>21</x:v>
      </x:c>
      <x:c r="B22" s="84" t="n">
        <x:v>8</x:v>
      </x:c>
      <x:c r="C22" s="84" t="n">
        <x:v>68</x:v>
      </x:c>
      <x:c r="D22" s="89" t="n">
        <x:v>45279.19611111111</x:v>
      </x:c>
      <x:c r="E22" s="84" t="str">
        <x:v>Motor</x:v>
      </x:c>
      <x:c r="F22" s="84" t="str">
        <x:v>Curto-circuito</x:v>
      </x:c>
      <x:c r="G22" s="84" t="str">
        <x:v>Componente danificado</x:v>
      </x:c>
      <x:c r="H22" s="84" t="str">
        <x:v>Alta</x:v>
      </x:c>
      <x:c r="I22" s="84" t="n">
        <x:v>0</x:v>
      </x:c>
      <x:c r="J22" s="85" t="n">
        <x:v>1</x:v>
      </x:c>
    </x:row>
    <x:row r="23">
      <x:c r="A23" s="83" t="n">
        <x:v>22</x:v>
      </x:c>
      <x:c r="B23" s="84" t="n">
        <x:v>10</x:v>
      </x:c>
      <x:c r="C23" s="84" t="n">
        <x:v>71</x:v>
      </x:c>
      <x:c r="D23" s="89" t="n">
        <x:v>45611.88133101852</x:v>
      </x:c>
      <x:c r="E23" s="84" t="str">
        <x:v>Motor</x:v>
      </x:c>
      <x:c r="F23" s="84" t="str">
        <x:v>Quebra</x:v>
      </x:c>
      <x:c r="G23" s="84" t="str">
        <x:v>Desgaste natural</x:v>
      </x:c>
      <x:c r="H23" s="84" t="str">
        <x:v>Alta</x:v>
      </x:c>
      <x:c r="I23" s="84" t="n">
        <x:v>0</x:v>
      </x:c>
      <x:c r="J23" s="85" t="n">
        <x:v>1</x:v>
      </x:c>
    </x:row>
    <x:row r="24">
      <x:c r="A24" s="83" t="n">
        <x:v>23</x:v>
      </x:c>
      <x:c r="B24" s="84" t="n">
        <x:v>78</x:v>
      </x:c>
      <x:c r="C24" s="84" t="n">
        <x:v>76</x:v>
      </x:c>
      <x:c r="D24" s="89" t="n">
        <x:v>45294.5615625</x:v>
      </x:c>
      <x:c r="E24" s="84" t="str">
        <x:v>Válvula</x:v>
      </x:c>
      <x:c r="F24" s="84" t="str">
        <x:v>Perda de sinal</x:v>
      </x:c>
      <x:c r="G24" s="84" t="str">
        <x:v>Falta de lubrificação</x:v>
      </x:c>
      <x:c r="H24" s="84" t="str">
        <x:v>Média</x:v>
      </x:c>
      <x:c r="I24" s="84" t="n">
        <x:v>0</x:v>
      </x:c>
      <x:c r="J24" s="85" t="n">
        <x:v>1</x:v>
      </x:c>
    </x:row>
    <x:row r="25">
      <x:c r="A25" s="83" t="n">
        <x:v>24</x:v>
      </x:c>
      <x:c r="B25" s="84" t="n">
        <x:v>41</x:v>
      </x:c>
      <x:c r="C25" s="84" t="n">
        <x:v>78</x:v>
      </x:c>
      <x:c r="D25" s="89" t="n">
        <x:v>45204.94797453703</x:v>
      </x:c>
      <x:c r="E25" s="84" t="str">
        <x:v>Correia</x:v>
      </x:c>
      <x:c r="F25" s="84" t="str">
        <x:v>Perda de sinal</x:v>
      </x:c>
      <x:c r="G25" s="84" t="str">
        <x:v>Falta de lubrificação</x:v>
      </x:c>
      <x:c r="H25" s="84" t="str">
        <x:v>Baixa</x:v>
      </x:c>
      <x:c r="I25" s="84" t="n">
        <x:v>0</x:v>
      </x:c>
      <x:c r="J25" s="85" t="n">
        <x:v>1</x:v>
      </x:c>
    </x:row>
    <x:row r="26">
      <x:c r="A26" s="83" t="n">
        <x:v>25</x:v>
      </x:c>
      <x:c r="B26" s="84" t="n">
        <x:v>65</x:v>
      </x:c>
      <x:c r="C26" s="84" t="n">
        <x:v>81</x:v>
      </x:c>
      <x:c r="D26" s="89" t="n">
        <x:v>45895.20092592593</x:v>
      </x:c>
      <x:c r="E26" s="84" t="str">
        <x:v>CLP</x:v>
      </x:c>
      <x:c r="F26" s="84" t="str">
        <x:v>Curto-circuito</x:v>
      </x:c>
      <x:c r="G26" s="84" t="str">
        <x:v>Desgaste natural</x:v>
      </x:c>
      <x:c r="H26" s="84" t="str">
        <x:v>Média</x:v>
      </x:c>
      <x:c r="I26" s="84" t="n">
        <x:v>0</x:v>
      </x:c>
      <x:c r="J26" s="85" t="n">
        <x:v>1</x:v>
      </x:c>
    </x:row>
    <x:row r="27">
      <x:c r="A27" s="83" t="n">
        <x:v>26</x:v>
      </x:c>
      <x:c r="B27" s="84" t="n">
        <x:v>90</x:v>
      </x:c>
      <x:c r="C27" s="84" t="n">
        <x:v>82</x:v>
      </x:c>
      <x:c r="D27" s="89" t="n">
        <x:v>45417.117789351854</x:v>
      </x:c>
      <x:c r="E27" s="84" t="str">
        <x:v>Sensor</x:v>
      </x:c>
      <x:c r="F27" s="84" t="str">
        <x:v>Quebra</x:v>
      </x:c>
      <x:c r="G27" s="84" t="str">
        <x:v>Ajuste incorreto</x:v>
      </x:c>
      <x:c r="H27" s="84" t="str">
        <x:v>Baixa</x:v>
      </x:c>
      <x:c r="I27" s="84" t="n">
        <x:v>1</x:v>
      </x:c>
      <x:c r="J27" s="85" t="n">
        <x:v>1</x:v>
      </x:c>
    </x:row>
    <x:row r="28">
      <x:c r="A28" s="83" t="n">
        <x:v>27</x:v>
      </x:c>
      <x:c r="B28" s="84" t="n">
        <x:v>61</x:v>
      </x:c>
      <x:c r="C28" s="84" t="n">
        <x:v>89</x:v>
      </x:c>
      <x:c r="D28" s="89" t="n">
        <x:v>45843.55378472222</x:v>
      </x:c>
      <x:c r="E28" s="84" t="str">
        <x:v>CLP</x:v>
      </x:c>
      <x:c r="F28" s="84" t="str">
        <x:v>Curto-circuito</x:v>
      </x:c>
      <x:c r="G28" s="84" t="str">
        <x:v>Conexão frouxa</x:v>
      </x:c>
      <x:c r="H28" s="84" t="str">
        <x:v>Média</x:v>
      </x:c>
      <x:c r="I28" s="84" t="n">
        <x:v>1</x:v>
      </x:c>
      <x:c r="J28" s="85" t="n">
        <x:v>1</x:v>
      </x:c>
    </x:row>
    <x:row r="29">
      <x:c r="A29" s="83" t="n">
        <x:v>28</x:v>
      </x:c>
      <x:c r="B29" s="84" t="n">
        <x:v>29</x:v>
      </x:c>
      <x:c r="C29" s="84" t="n">
        <x:v>93</x:v>
      </x:c>
      <x:c r="D29" s="89" t="n">
        <x:v>45072.51645833333</x:v>
      </x:c>
      <x:c r="E29" s="84" t="str">
        <x:v>Sensor</x:v>
      </x:c>
      <x:c r="F29" s="84" t="str">
        <x:v>Travamento</x:v>
      </x:c>
      <x:c r="G29" s="84" t="str">
        <x:v>Falta de lubrificação</x:v>
      </x:c>
      <x:c r="H29" s="84" t="str">
        <x:v>Alta</x:v>
      </x:c>
      <x:c r="I29" s="84" t="n">
        <x:v>0</x:v>
      </x:c>
      <x:c r="J29" s="85" t="n">
        <x:v>1</x:v>
      </x:c>
    </x:row>
    <x:row r="30">
      <x:c r="A30" s="83" t="n">
        <x:v>29</x:v>
      </x:c>
      <x:c r="B30" s="84" t="n">
        <x:v>63</x:v>
      </x:c>
      <x:c r="C30" s="84" t="n">
        <x:v>94</x:v>
      </x:c>
      <x:c r="D30" s="89" t="n">
        <x:v>45759.56502314815</x:v>
      </x:c>
      <x:c r="E30" s="84" t="str">
        <x:v>Válvula</x:v>
      </x:c>
      <x:c r="F30" s="84" t="str">
        <x:v>Travamento</x:v>
      </x:c>
      <x:c r="G30" s="84" t="str">
        <x:v>Falta de lubrificação</x:v>
      </x:c>
      <x:c r="H30" s="84" t="str">
        <x:v>Baixa</x:v>
      </x:c>
      <x:c r="I30" s="84" t="n">
        <x:v>0</x:v>
      </x:c>
      <x:c r="J30" s="85" t="n">
        <x:v>1</x:v>
      </x:c>
    </x:row>
    <x:row r="31">
      <x:c r="A31" s="83" t="n">
        <x:v>30</x:v>
      </x:c>
      <x:c r="B31" s="84" t="n">
        <x:v>40</x:v>
      </x:c>
      <x:c r="C31" s="84" t="n">
        <x:v>95</x:v>
      </x:c>
      <x:c r="D31" s="89" t="n">
        <x:v>45359.80358796296</x:v>
      </x:c>
      <x:c r="E31" s="84" t="str">
        <x:v>Motor</x:v>
      </x:c>
      <x:c r="F31" s="84" t="str">
        <x:v>Quebra</x:v>
      </x:c>
      <x:c r="G31" s="84" t="str">
        <x:v>Desgaste natural</x:v>
      </x:c>
      <x:c r="H31" s="84" t="str">
        <x:v>Alta</x:v>
      </x:c>
      <x:c r="I31" s="84" t="n">
        <x:v>0</x:v>
      </x:c>
      <x:c r="J31" s="85" t="n">
        <x:v>1</x:v>
      </x:c>
    </x:row>
    <x:row r="32">
      <x:c r="A32" s="83" t="n">
        <x:v>31</x:v>
      </x:c>
      <x:c r="B32" s="84" t="n">
        <x:v>7</x:v>
      </x:c>
      <x:c r="C32" s="84" t="n">
        <x:v>96</x:v>
      </x:c>
      <x:c r="D32" s="89" t="n">
        <x:v>45405.2753125</x:v>
      </x:c>
      <x:c r="E32" s="84" t="str">
        <x:v>Válvula</x:v>
      </x:c>
      <x:c r="F32" s="84" t="str">
        <x:v>Quebra</x:v>
      </x:c>
      <x:c r="G32" s="84" t="str">
        <x:v>Componente danificado</x:v>
      </x:c>
      <x:c r="H32" s="84" t="str">
        <x:v>Média</x:v>
      </x:c>
      <x:c r="I32" s="84" t="n">
        <x:v>0</x:v>
      </x:c>
      <x:c r="J32" s="85" t="n">
        <x:v>1</x:v>
      </x:c>
    </x:row>
    <x:row r="33">
      <x:c r="A33" s="83" t="n">
        <x:v>32</x:v>
      </x:c>
      <x:c r="B33" s="84" t="n">
        <x:v>13</x:v>
      </x:c>
      <x:c r="C33" s="84" t="n">
        <x:v>97</x:v>
      </x:c>
      <x:c r="D33" s="89" t="n">
        <x:v>45520.79733796296</x:v>
      </x:c>
      <x:c r="E33" s="84" t="str">
        <x:v>Válvula</x:v>
      </x:c>
      <x:c r="F33" s="84" t="str">
        <x:v>Travamento</x:v>
      </x:c>
      <x:c r="G33" s="84" t="str">
        <x:v>Ajuste incorreto</x:v>
      </x:c>
      <x:c r="H33" s="84" t="str">
        <x:v>Alta</x:v>
      </x:c>
      <x:c r="I33" s="84" t="n">
        <x:v>0</x:v>
      </x:c>
      <x:c r="J33" s="85" t="n">
        <x:v>1</x:v>
      </x:c>
    </x:row>
    <x:row r="34">
      <x:c r="A34" s="83" t="n">
        <x:v>33</x:v>
      </x:c>
      <x:c r="B34" s="84" t="n">
        <x:v>58</x:v>
      </x:c>
      <x:c r="C34" s="84" t="n">
        <x:v>106</x:v>
      </x:c>
      <x:c r="D34" s="89" t="n">
        <x:v>44974.60959490741</x:v>
      </x:c>
      <x:c r="E34" s="84" t="str">
        <x:v>Sensor</x:v>
      </x:c>
      <x:c r="F34" s="84" t="str">
        <x:v>Desgaste</x:v>
      </x:c>
      <x:c r="G34" s="84" t="str">
        <x:v>Componente danificado</x:v>
      </x:c>
      <x:c r="H34" s="84" t="str">
        <x:v>Baixa</x:v>
      </x:c>
      <x:c r="I34" s="84" t="n">
        <x:v>0</x:v>
      </x:c>
      <x:c r="J34" s="85" t="n">
        <x:v>1</x:v>
      </x:c>
    </x:row>
    <x:row r="35">
      <x:c r="A35" s="83" t="n">
        <x:v>34</x:v>
      </x:c>
      <x:c r="B35" s="84" t="n">
        <x:v>29</x:v>
      </x:c>
      <x:c r="C35" s="84" t="n">
        <x:v>110</x:v>
      </x:c>
      <x:c r="D35" s="89" t="n">
        <x:v>45493.45408564815</x:v>
      </x:c>
      <x:c r="E35" s="84" t="str">
        <x:v>Correia</x:v>
      </x:c>
      <x:c r="F35" s="84" t="str">
        <x:v>Perda de sinal</x:v>
      </x:c>
      <x:c r="G35" s="84" t="str">
        <x:v>Componente danificado</x:v>
      </x:c>
      <x:c r="H35" s="84" t="str">
        <x:v>Média</x:v>
      </x:c>
      <x:c r="I35" s="84" t="n">
        <x:v>1</x:v>
      </x:c>
      <x:c r="J35" s="85" t="n">
        <x:v>1</x:v>
      </x:c>
    </x:row>
    <x:row r="36">
      <x:c r="A36" s="83" t="n">
        <x:v>35</x:v>
      </x:c>
      <x:c r="B36" s="84" t="n">
        <x:v>77</x:v>
      </x:c>
      <x:c r="C36" s="84" t="n">
        <x:v>113</x:v>
      </x:c>
      <x:c r="D36" s="89" t="n">
        <x:v>45197.592199074075</x:v>
      </x:c>
      <x:c r="E36" s="84" t="str">
        <x:v>Rolamento</x:v>
      </x:c>
      <x:c r="F36" s="84" t="str">
        <x:v>Travamento</x:v>
      </x:c>
      <x:c r="G36" s="84" t="str">
        <x:v>Contaminação</x:v>
      </x:c>
      <x:c r="H36" s="84" t="str">
        <x:v>Baixa</x:v>
      </x:c>
      <x:c r="I36" s="84" t="n">
        <x:v>0</x:v>
      </x:c>
      <x:c r="J36" s="85" t="n">
        <x:v>1</x:v>
      </x:c>
    </x:row>
    <x:row r="37">
      <x:c r="A37" s="83" t="n">
        <x:v>36</x:v>
      </x:c>
      <x:c r="B37" s="84" t="n">
        <x:v>17</x:v>
      </x:c>
      <x:c r="C37" s="84" t="n">
        <x:v>116</x:v>
      </x:c>
      <x:c r="D37" s="89" t="n">
        <x:v>45766.336064814815</x:v>
      </x:c>
      <x:c r="E37" s="84" t="str">
        <x:v>CLP</x:v>
      </x:c>
      <x:c r="F37" s="84" t="str">
        <x:v>Curto-circuito</x:v>
      </x:c>
      <x:c r="G37" s="84" t="str">
        <x:v>Conexão frouxa</x:v>
      </x:c>
      <x:c r="H37" s="84" t="str">
        <x:v>Média</x:v>
      </x:c>
      <x:c r="I37" s="84" t="n">
        <x:v>0</x:v>
      </x:c>
      <x:c r="J37" s="85" t="n">
        <x:v>1</x:v>
      </x:c>
    </x:row>
    <x:row r="38">
      <x:c r="A38" s="83" t="n">
        <x:v>37</x:v>
      </x:c>
      <x:c r="B38" s="84" t="n">
        <x:v>37</x:v>
      </x:c>
      <x:c r="C38" s="84" t="n">
        <x:v>125</x:v>
      </x:c>
      <x:c r="D38" s="89" t="n">
        <x:v>45490.739386574074</x:v>
      </x:c>
      <x:c r="E38" s="84" t="str">
        <x:v>Motor</x:v>
      </x:c>
      <x:c r="F38" s="84" t="str">
        <x:v>Desgaste</x:v>
      </x:c>
      <x:c r="G38" s="84" t="str">
        <x:v>Ajuste incorreto</x:v>
      </x:c>
      <x:c r="H38" s="84" t="str">
        <x:v>Média</x:v>
      </x:c>
      <x:c r="I38" s="84" t="n">
        <x:v>0</x:v>
      </x:c>
      <x:c r="J38" s="85" t="n">
        <x:v>1</x:v>
      </x:c>
    </x:row>
    <x:row r="39">
      <x:c r="A39" s="83" t="n">
        <x:v>38</x:v>
      </x:c>
      <x:c r="B39" s="84" t="n">
        <x:v>19</x:v>
      </x:c>
      <x:c r="C39" s="84" t="n">
        <x:v>126</x:v>
      </x:c>
      <x:c r="D39" s="89" t="n">
        <x:v>45210.83738425926</x:v>
      </x:c>
      <x:c r="E39" s="84" t="str">
        <x:v>Válvula</x:v>
      </x:c>
      <x:c r="F39" s="84" t="str">
        <x:v>Curto-circuito</x:v>
      </x:c>
      <x:c r="G39" s="84" t="str">
        <x:v>Contaminação</x:v>
      </x:c>
      <x:c r="H39" s="84" t="str">
        <x:v>Média</x:v>
      </x:c>
      <x:c r="I39" s="84" t="n">
        <x:v>0</x:v>
      </x:c>
      <x:c r="J39" s="85" t="n">
        <x:v>1</x:v>
      </x:c>
    </x:row>
    <x:row r="40">
      <x:c r="A40" s="83" t="n">
        <x:v>39</x:v>
      </x:c>
      <x:c r="B40" s="84" t="n">
        <x:v>86</x:v>
      </x:c>
      <x:c r="C40" s="84" t="n">
        <x:v>127</x:v>
      </x:c>
      <x:c r="D40" s="89" t="n">
        <x:v>46014.348229166666</x:v>
      </x:c>
      <x:c r="E40" s="84" t="str">
        <x:v>CLP</x:v>
      </x:c>
      <x:c r="F40" s="84" t="str">
        <x:v>Curto-circuito</x:v>
      </x:c>
      <x:c r="G40" s="84" t="str">
        <x:v>Ajuste incorreto</x:v>
      </x:c>
      <x:c r="H40" s="84" t="str">
        <x:v>Média</x:v>
      </x:c>
      <x:c r="I40" s="84" t="n">
        <x:v>0</x:v>
      </x:c>
      <x:c r="J40" s="85" t="n">
        <x:v>1</x:v>
      </x:c>
    </x:row>
    <x:row r="41">
      <x:c r="A41" s="83" t="n">
        <x:v>40</x:v>
      </x:c>
      <x:c r="B41" s="84" t="n">
        <x:v>82</x:v>
      </x:c>
      <x:c r="C41" s="84" t="n">
        <x:v>128</x:v>
      </x:c>
      <x:c r="D41" s="89" t="n">
        <x:v>45777.770949074074</x:v>
      </x:c>
      <x:c r="E41" s="84" t="str">
        <x:v>Rolamento</x:v>
      </x:c>
      <x:c r="F41" s="84" t="str">
        <x:v>Curto-circuito</x:v>
      </x:c>
      <x:c r="G41" s="84" t="str">
        <x:v>Contaminação</x:v>
      </x:c>
      <x:c r="H41" s="84" t="str">
        <x:v>Média</x:v>
      </x:c>
      <x:c r="I41" s="84" t="n">
        <x:v>0</x:v>
      </x:c>
      <x:c r="J41" s="85" t="n">
        <x:v>1</x:v>
      </x:c>
    </x:row>
    <x:row r="42">
      <x:c r="A42" s="83" t="n">
        <x:v>41</x:v>
      </x:c>
      <x:c r="B42" s="84" t="n">
        <x:v>31</x:v>
      </x:c>
      <x:c r="C42" s="84" t="n">
        <x:v>135</x:v>
      </x:c>
      <x:c r="D42" s="89" t="n">
        <x:v>45566.616273148145</x:v>
      </x:c>
      <x:c r="E42" s="84" t="str">
        <x:v>Motor</x:v>
      </x:c>
      <x:c r="F42" s="84" t="str">
        <x:v>Curto-circuito</x:v>
      </x:c>
      <x:c r="G42" s="84" t="str">
        <x:v>Desgaste natural</x:v>
      </x:c>
      <x:c r="H42" s="84" t="str">
        <x:v>Baixa</x:v>
      </x:c>
      <x:c r="I42" s="84" t="n">
        <x:v>0</x:v>
      </x:c>
      <x:c r="J42" s="85" t="n">
        <x:v>1</x:v>
      </x:c>
    </x:row>
    <x:row r="43">
      <x:c r="A43" s="83" t="n">
        <x:v>42</x:v>
      </x:c>
      <x:c r="B43" s="84" t="n">
        <x:v>36</x:v>
      </x:c>
      <x:c r="C43" s="84" t="n">
        <x:v>137</x:v>
      </x:c>
      <x:c r="D43" s="89" t="n">
        <x:v>45545.54574074074</x:v>
      </x:c>
      <x:c r="E43" s="84" t="str">
        <x:v>Correia</x:v>
      </x:c>
      <x:c r="F43" s="84" t="str">
        <x:v>Quebra</x:v>
      </x:c>
      <x:c r="G43" s="84" t="str">
        <x:v>Componente danificado</x:v>
      </x:c>
      <x:c r="H43" s="84" t="str">
        <x:v>Alta</x:v>
      </x:c>
      <x:c r="I43" s="84" t="n">
        <x:v>0</x:v>
      </x:c>
      <x:c r="J43" s="85" t="n">
        <x:v>1</x:v>
      </x:c>
    </x:row>
    <x:row r="44">
      <x:c r="A44" s="83" t="n">
        <x:v>43</x:v>
      </x:c>
      <x:c r="B44" s="84" t="n">
        <x:v>48</x:v>
      </x:c>
      <x:c r="C44" s="84" t="n">
        <x:v>138</x:v>
      </x:c>
      <x:c r="D44" s="89" t="n">
        <x:v>45258.57234953704</x:v>
      </x:c>
      <x:c r="E44" s="84" t="str">
        <x:v>Válvula</x:v>
      </x:c>
      <x:c r="F44" s="84" t="str">
        <x:v>Perda de sinal</x:v>
      </x:c>
      <x:c r="G44" s="84" t="str">
        <x:v>Ajuste incorreto</x:v>
      </x:c>
      <x:c r="H44" s="84" t="str">
        <x:v>Média</x:v>
      </x:c>
      <x:c r="I44" s="84" t="n">
        <x:v>0</x:v>
      </x:c>
      <x:c r="J44" s="85" t="n">
        <x:v>1</x:v>
      </x:c>
    </x:row>
    <x:row r="45">
      <x:c r="A45" s="83" t="n">
        <x:v>44</x:v>
      </x:c>
      <x:c r="B45" s="84" t="n">
        <x:v>32</x:v>
      </x:c>
      <x:c r="C45" s="84" t="n">
        <x:v>139</x:v>
      </x:c>
      <x:c r="D45" s="89" t="n">
        <x:v>44942.72085648148</x:v>
      </x:c>
      <x:c r="E45" s="84" t="str">
        <x:v>Rolamento</x:v>
      </x:c>
      <x:c r="F45" s="84" t="str">
        <x:v>Quebra</x:v>
      </x:c>
      <x:c r="G45" s="84" t="str">
        <x:v>Conexão frouxa</x:v>
      </x:c>
      <x:c r="H45" s="84" t="str">
        <x:v>Baixa</x:v>
      </x:c>
      <x:c r="I45" s="84" t="n">
        <x:v>0</x:v>
      </x:c>
      <x:c r="J45" s="85" t="n">
        <x:v>1</x:v>
      </x:c>
    </x:row>
    <x:row r="46">
      <x:c r="A46" s="83" t="n">
        <x:v>45</x:v>
      </x:c>
      <x:c r="B46" s="84" t="n">
        <x:v>79</x:v>
      </x:c>
      <x:c r="C46" s="84" t="n">
        <x:v>143</x:v>
      </x:c>
      <x:c r="D46" s="89" t="n">
        <x:v>45201.00792824074</x:v>
      </x:c>
      <x:c r="E46" s="84" t="str">
        <x:v>Correia</x:v>
      </x:c>
      <x:c r="F46" s="84" t="str">
        <x:v>Desgaste</x:v>
      </x:c>
      <x:c r="G46" s="84" t="str">
        <x:v>Conexão frouxa</x:v>
      </x:c>
      <x:c r="H46" s="84" t="str">
        <x:v>Média</x:v>
      </x:c>
      <x:c r="I46" s="84" t="n">
        <x:v>0</x:v>
      </x:c>
      <x:c r="J46" s="85" t="n">
        <x:v>1</x:v>
      </x:c>
    </x:row>
    <x:row r="47">
      <x:c r="A47" s="83" t="n">
        <x:v>46</x:v>
      </x:c>
      <x:c r="B47" s="84" t="n">
        <x:v>6</x:v>
      </x:c>
      <x:c r="C47" s="84" t="n">
        <x:v>148</x:v>
      </x:c>
      <x:c r="D47" s="89" t="n">
        <x:v>44930.84297453704</x:v>
      </x:c>
      <x:c r="E47" s="84" t="str">
        <x:v>Motor</x:v>
      </x:c>
      <x:c r="F47" s="84" t="str">
        <x:v>Curto-circuito</x:v>
      </x:c>
      <x:c r="G47" s="84" t="str">
        <x:v>Contaminação</x:v>
      </x:c>
      <x:c r="H47" s="84" t="str">
        <x:v>Alta</x:v>
      </x:c>
      <x:c r="I47" s="84" t="n">
        <x:v>0</x:v>
      </x:c>
      <x:c r="J47" s="85" t="n">
        <x:v>1</x:v>
      </x:c>
    </x:row>
    <x:row r="48">
      <x:c r="A48" s="83" t="n">
        <x:v>47</x:v>
      </x:c>
      <x:c r="B48" s="84" t="n">
        <x:v>51</x:v>
      </x:c>
      <x:c r="C48" s="84" t="n">
        <x:v>150</x:v>
      </x:c>
      <x:c r="D48" s="89" t="n">
        <x:v>45577.9750462963</x:v>
      </x:c>
      <x:c r="E48" s="84" t="str">
        <x:v>Rolamento</x:v>
      </x:c>
      <x:c r="F48" s="84" t="str">
        <x:v>Perda de sinal</x:v>
      </x:c>
      <x:c r="G48" s="84" t="str">
        <x:v>Contaminação</x:v>
      </x:c>
      <x:c r="H48" s="84" t="str">
        <x:v>Alta</x:v>
      </x:c>
      <x:c r="I48" s="84" t="n">
        <x:v>0</x:v>
      </x:c>
      <x:c r="J48" s="85" t="n">
        <x:v>1</x:v>
      </x:c>
    </x:row>
    <x:row r="49">
      <x:c r="A49" s="83" t="n">
        <x:v>48</x:v>
      </x:c>
      <x:c r="B49" s="84" t="n">
        <x:v>69</x:v>
      </x:c>
      <x:c r="C49" s="84" t="n">
        <x:v>154</x:v>
      </x:c>
      <x:c r="D49" s="89" t="n">
        <x:v>45207.718877314815</x:v>
      </x:c>
      <x:c r="E49" s="84" t="str">
        <x:v>Válvula</x:v>
      </x:c>
      <x:c r="F49" s="84" t="str">
        <x:v>Quebra</x:v>
      </x:c>
      <x:c r="G49" s="84" t="str">
        <x:v>Contaminação</x:v>
      </x:c>
      <x:c r="H49" s="84" t="str">
        <x:v>Média</x:v>
      </x:c>
      <x:c r="I49" s="84" t="n">
        <x:v>0</x:v>
      </x:c>
      <x:c r="J49" s="85" t="n">
        <x:v>1</x:v>
      </x:c>
    </x:row>
    <x:row r="50">
      <x:c r="A50" s="83" t="n">
        <x:v>49</x:v>
      </x:c>
      <x:c r="B50" s="84" t="n">
        <x:v>79</x:v>
      </x:c>
      <x:c r="C50" s="84" t="n">
        <x:v>159</x:v>
      </x:c>
      <x:c r="D50" s="89" t="n">
        <x:v>45198.428078703706</x:v>
      </x:c>
      <x:c r="E50" s="84" t="str">
        <x:v>Rolamento</x:v>
      </x:c>
      <x:c r="F50" s="84" t="str">
        <x:v>Perda de sinal</x:v>
      </x:c>
      <x:c r="G50" s="84" t="str">
        <x:v>Conexão frouxa</x:v>
      </x:c>
      <x:c r="H50" s="84" t="str">
        <x:v>Média</x:v>
      </x:c>
      <x:c r="I50" s="84" t="n">
        <x:v>0</x:v>
      </x:c>
      <x:c r="J50" s="85" t="n">
        <x:v>1</x:v>
      </x:c>
    </x:row>
    <x:row r="51">
      <x:c r="A51" s="83" t="n">
        <x:v>50</x:v>
      </x:c>
      <x:c r="B51" s="84" t="n">
        <x:v>14</x:v>
      </x:c>
      <x:c r="C51" s="84" t="n">
        <x:v>162</x:v>
      </x:c>
      <x:c r="D51" s="89" t="n">
        <x:v>45630.55394675926</x:v>
      </x:c>
      <x:c r="E51" s="84" t="str">
        <x:v>Motor</x:v>
      </x:c>
      <x:c r="F51" s="84" t="str">
        <x:v>Desgaste</x:v>
      </x:c>
      <x:c r="G51" s="84" t="str">
        <x:v>Falta de lubrificação</x:v>
      </x:c>
      <x:c r="H51" s="84" t="str">
        <x:v>Alta</x:v>
      </x:c>
      <x:c r="I51" s="84" t="n">
        <x:v>1</x:v>
      </x:c>
      <x:c r="J51" s="85" t="n">
        <x:v>1</x:v>
      </x:c>
    </x:row>
    <x:row r="52">
      <x:c r="A52" s="83" t="n">
        <x:v>51</x:v>
      </x:c>
      <x:c r="B52" s="84" t="n">
        <x:v>63</x:v>
      </x:c>
      <x:c r="C52" s="84" t="n">
        <x:v>167</x:v>
      </x:c>
      <x:c r="D52" s="89" t="n">
        <x:v>45338.792905092596</x:v>
      </x:c>
      <x:c r="E52" s="84" t="str">
        <x:v>Rolamento</x:v>
      </x:c>
      <x:c r="F52" s="84" t="str">
        <x:v>Curto-circuito</x:v>
      </x:c>
      <x:c r="G52" s="84" t="str">
        <x:v>Falta de lubrificação</x:v>
      </x:c>
      <x:c r="H52" s="84" t="str">
        <x:v>Baixa</x:v>
      </x:c>
      <x:c r="I52" s="84" t="n">
        <x:v>1</x:v>
      </x:c>
      <x:c r="J52" s="85" t="n">
        <x:v>1</x:v>
      </x:c>
    </x:row>
    <x:row r="53">
      <x:c r="A53" s="83" t="n">
        <x:v>52</x:v>
      </x:c>
      <x:c r="B53" s="84" t="n">
        <x:v>34</x:v>
      </x:c>
      <x:c r="C53" s="84" t="n">
        <x:v>169</x:v>
      </x:c>
      <x:c r="D53" s="89" t="n">
        <x:v>45210.00672453704</x:v>
      </x:c>
      <x:c r="E53" s="84" t="str">
        <x:v>CLP</x:v>
      </x:c>
      <x:c r="F53" s="84" t="str">
        <x:v>Curto-circuito</x:v>
      </x:c>
      <x:c r="G53" s="84" t="str">
        <x:v>Ajuste incorreto</x:v>
      </x:c>
      <x:c r="H53" s="84" t="str">
        <x:v>Média</x:v>
      </x:c>
      <x:c r="I53" s="84" t="n">
        <x:v>0</x:v>
      </x:c>
      <x:c r="J53" s="85" t="n">
        <x:v>1</x:v>
      </x:c>
    </x:row>
    <x:row r="54">
      <x:c r="A54" s="83" t="n">
        <x:v>53</x:v>
      </x:c>
      <x:c r="B54" s="84" t="n">
        <x:v>72</x:v>
      </x:c>
      <x:c r="C54" s="84" t="n">
        <x:v>170</x:v>
      </x:c>
      <x:c r="D54" s="89" t="n">
        <x:v>45673.39607638889</x:v>
      </x:c>
      <x:c r="E54" s="84" t="str">
        <x:v>Motor</x:v>
      </x:c>
      <x:c r="F54" s="84" t="str">
        <x:v>Curto-circuito</x:v>
      </x:c>
      <x:c r="G54" s="84" t="str">
        <x:v>Ajuste incorreto</x:v>
      </x:c>
      <x:c r="H54" s="84" t="str">
        <x:v>Baixa</x:v>
      </x:c>
      <x:c r="I54" s="84" t="n">
        <x:v>1</x:v>
      </x:c>
      <x:c r="J54" s="85" t="n">
        <x:v>1</x:v>
      </x:c>
    </x:row>
    <x:row r="55">
      <x:c r="A55" s="83" t="n">
        <x:v>54</x:v>
      </x:c>
      <x:c r="B55" s="84" t="n">
        <x:v>8</x:v>
      </x:c>
      <x:c r="C55" s="84" t="n">
        <x:v>173</x:v>
      </x:c>
      <x:c r="D55" s="89" t="n">
        <x:v>45597.86206018519</x:v>
      </x:c>
      <x:c r="E55" s="84" t="str">
        <x:v>Correia</x:v>
      </x:c>
      <x:c r="F55" s="84" t="str">
        <x:v>Travamento</x:v>
      </x:c>
      <x:c r="G55" s="84" t="str">
        <x:v>Falta de lubrificação</x:v>
      </x:c>
      <x:c r="H55" s="84" t="str">
        <x:v>Alta</x:v>
      </x:c>
      <x:c r="I55" s="84" t="n">
        <x:v>0</x:v>
      </x:c>
      <x:c r="J55" s="85" t="n">
        <x:v>1</x:v>
      </x:c>
    </x:row>
    <x:row r="56">
      <x:c r="A56" s="83" t="n">
        <x:v>55</x:v>
      </x:c>
      <x:c r="B56" s="84" t="n">
        <x:v>4</x:v>
      </x:c>
      <x:c r="C56" s="84" t="n">
        <x:v>175</x:v>
      </x:c>
      <x:c r="D56" s="89" t="n">
        <x:v>44968.88395833333</x:v>
      </x:c>
      <x:c r="E56" s="84" t="str">
        <x:v>Rolamento</x:v>
      </x:c>
      <x:c r="F56" s="84" t="str">
        <x:v>Perda de sinal</x:v>
      </x:c>
      <x:c r="G56" s="84" t="str">
        <x:v>Ajuste incorreto</x:v>
      </x:c>
      <x:c r="H56" s="84" t="str">
        <x:v>Alta</x:v>
      </x:c>
      <x:c r="I56" s="84" t="n">
        <x:v>0</x:v>
      </x:c>
      <x:c r="J56" s="85" t="n">
        <x:v>1</x:v>
      </x:c>
    </x:row>
    <x:row r="57">
      <x:c r="A57" s="83" t="n">
        <x:v>56</x:v>
      </x:c>
      <x:c r="B57" s="84" t="n">
        <x:v>27</x:v>
      </x:c>
      <x:c r="C57" s="84" t="n">
        <x:v>176</x:v>
      </x:c>
      <x:c r="D57" s="89" t="n">
        <x:v>45100.2262962963</x:v>
      </x:c>
      <x:c r="E57" s="84" t="str">
        <x:v>Válvula</x:v>
      </x:c>
      <x:c r="F57" s="84" t="str">
        <x:v>Quebra</x:v>
      </x:c>
      <x:c r="G57" s="84" t="str">
        <x:v>Desgaste natural</x:v>
      </x:c>
      <x:c r="H57" s="84" t="str">
        <x:v>Alta</x:v>
      </x:c>
      <x:c r="I57" s="84" t="n">
        <x:v>0</x:v>
      </x:c>
      <x:c r="J57" s="85" t="n">
        <x:v>1</x:v>
      </x:c>
    </x:row>
    <x:row r="58">
      <x:c r="A58" s="83" t="n">
        <x:v>57</x:v>
      </x:c>
      <x:c r="B58" s="84" t="n">
        <x:v>35</x:v>
      </x:c>
      <x:c r="C58" s="84" t="n">
        <x:v>177</x:v>
      </x:c>
      <x:c r="D58" s="89" t="n">
        <x:v>44950.25200231482</x:v>
      </x:c>
      <x:c r="E58" s="84" t="str">
        <x:v>Sensor</x:v>
      </x:c>
      <x:c r="F58" s="84" t="str">
        <x:v>Desgaste</x:v>
      </x:c>
      <x:c r="G58" s="84" t="str">
        <x:v>Contaminação</x:v>
      </x:c>
      <x:c r="H58" s="84" t="str">
        <x:v>Baixa</x:v>
      </x:c>
      <x:c r="I58" s="84" t="n">
        <x:v>0</x:v>
      </x:c>
      <x:c r="J58" s="85" t="n">
        <x:v>1</x:v>
      </x:c>
    </x:row>
    <x:row r="59">
      <x:c r="A59" s="83" t="n">
        <x:v>58</x:v>
      </x:c>
      <x:c r="B59" s="84" t="n">
        <x:v>90</x:v>
      </x:c>
      <x:c r="C59" s="84" t="n">
        <x:v>178</x:v>
      </x:c>
      <x:c r="D59" s="89" t="n">
        <x:v>45769.48438657408</x:v>
      </x:c>
      <x:c r="E59" s="84" t="str">
        <x:v>Correia</x:v>
      </x:c>
      <x:c r="F59" s="84" t="str">
        <x:v>Desgaste</x:v>
      </x:c>
      <x:c r="G59" s="84" t="str">
        <x:v>Desgaste natural</x:v>
      </x:c>
      <x:c r="H59" s="84" t="str">
        <x:v>Baixa</x:v>
      </x:c>
      <x:c r="I59" s="84" t="n">
        <x:v>0</x:v>
      </x:c>
      <x:c r="J59" s="85" t="n">
        <x:v>1</x:v>
      </x:c>
    </x:row>
    <x:row r="60">
      <x:c r="A60" s="83" t="n">
        <x:v>59</x:v>
      </x:c>
      <x:c r="B60" s="84" t="n">
        <x:v>54</x:v>
      </x:c>
      <x:c r="C60" s="84" t="n">
        <x:v>182</x:v>
      </x:c>
      <x:c r="D60" s="89" t="n">
        <x:v>45112.051770833335</x:v>
      </x:c>
      <x:c r="E60" s="84" t="str">
        <x:v>Correia</x:v>
      </x:c>
      <x:c r="F60" s="84" t="str">
        <x:v>Travamento</x:v>
      </x:c>
      <x:c r="G60" s="84" t="str">
        <x:v>Desgaste natural</x:v>
      </x:c>
      <x:c r="H60" s="84" t="str">
        <x:v>Baixa</x:v>
      </x:c>
      <x:c r="I60" s="84" t="n">
        <x:v>1</x:v>
      </x:c>
      <x:c r="J60" s="85" t="n">
        <x:v>1</x:v>
      </x:c>
    </x:row>
    <x:row r="61">
      <x:c r="A61" s="83" t="n">
        <x:v>60</x:v>
      </x:c>
      <x:c r="B61" s="84" t="n">
        <x:v>83</x:v>
      </x:c>
      <x:c r="C61" s="84" t="n">
        <x:v>185</x:v>
      </x:c>
      <x:c r="D61" s="89" t="n">
        <x:v>45772.949953703705</x:v>
      </x:c>
      <x:c r="E61" s="84" t="str">
        <x:v>Motor</x:v>
      </x:c>
      <x:c r="F61" s="84" t="str">
        <x:v>Quebra</x:v>
      </x:c>
      <x:c r="G61" s="84" t="str">
        <x:v>Conexão frouxa</x:v>
      </x:c>
      <x:c r="H61" s="84" t="str">
        <x:v>Alta</x:v>
      </x:c>
      <x:c r="I61" s="84" t="n">
        <x:v>0</x:v>
      </x:c>
      <x:c r="J61" s="85" t="n">
        <x:v>1</x:v>
      </x:c>
    </x:row>
    <x:row r="62">
      <x:c r="A62" s="83" t="n">
        <x:v>61</x:v>
      </x:c>
      <x:c r="B62" s="84" t="n">
        <x:v>30</x:v>
      </x:c>
      <x:c r="C62" s="84" t="n">
        <x:v>195</x:v>
      </x:c>
      <x:c r="D62" s="89" t="n">
        <x:v>45450.207453703704</x:v>
      </x:c>
      <x:c r="E62" s="84" t="str">
        <x:v>Sensor</x:v>
      </x:c>
      <x:c r="F62" s="84" t="str">
        <x:v>Travamento</x:v>
      </x:c>
      <x:c r="G62" s="84" t="str">
        <x:v>Desgaste natural</x:v>
      </x:c>
      <x:c r="H62" s="84" t="str">
        <x:v>Baixa</x:v>
      </x:c>
      <x:c r="I62" s="84" t="n">
        <x:v>0</x:v>
      </x:c>
      <x:c r="J62" s="85" t="n">
        <x:v>1</x:v>
      </x:c>
    </x:row>
    <x:row r="63">
      <x:c r="A63" s="83" t="n">
        <x:v>62</x:v>
      </x:c>
      <x:c r="B63" s="84" t="n">
        <x:v>54</x:v>
      </x:c>
      <x:c r="C63" s="84" t="n">
        <x:v>196</x:v>
      </x:c>
      <x:c r="D63" s="89" t="n">
        <x:v>45334.786099537036</x:v>
      </x:c>
      <x:c r="E63" s="84" t="str">
        <x:v>Correia</x:v>
      </x:c>
      <x:c r="F63" s="84" t="str">
        <x:v>Perda de sinal</x:v>
      </x:c>
      <x:c r="G63" s="84" t="str">
        <x:v>Desgaste natural</x:v>
      </x:c>
      <x:c r="H63" s="84" t="str">
        <x:v>Média</x:v>
      </x:c>
      <x:c r="I63" s="84" t="n">
        <x:v>1</x:v>
      </x:c>
      <x:c r="J63" s="85" t="n">
        <x:v>1</x:v>
      </x:c>
    </x:row>
    <x:row r="64">
      <x:c r="A64" s="83" t="n">
        <x:v>63</x:v>
      </x:c>
      <x:c r="B64" s="84" t="n">
        <x:v>38</x:v>
      </x:c>
      <x:c r="C64" s="84" t="n">
        <x:v>199</x:v>
      </x:c>
      <x:c r="D64" s="89" t="n">
        <x:v>45252.358935185184</x:v>
      </x:c>
      <x:c r="E64" s="84" t="str">
        <x:v>CLP</x:v>
      </x:c>
      <x:c r="F64" s="84" t="str">
        <x:v>Quebra</x:v>
      </x:c>
      <x:c r="G64" s="84" t="str">
        <x:v>Ajuste incorreto</x:v>
      </x:c>
      <x:c r="H64" s="84" t="str">
        <x:v>Baixa</x:v>
      </x:c>
      <x:c r="I64" s="84" t="n">
        <x:v>0</x:v>
      </x:c>
      <x:c r="J64" s="85" t="n">
        <x:v>1</x:v>
      </x:c>
    </x:row>
    <x:row r="65">
      <x:c r="A65" s="83" t="n">
        <x:v>64</x:v>
      </x:c>
      <x:c r="B65" s="84" t="n">
        <x:v>49</x:v>
      </x:c>
      <x:c r="C65" s="84" t="n">
        <x:v>200</x:v>
      </x:c>
      <x:c r="D65" s="89" t="n">
        <x:v>45814.67366898148</x:v>
      </x:c>
      <x:c r="E65" s="84" t="str">
        <x:v>Rolamento</x:v>
      </x:c>
      <x:c r="F65" s="84" t="str">
        <x:v>Curto-circuito</x:v>
      </x:c>
      <x:c r="G65" s="84" t="str">
        <x:v>Ajuste incorreto</x:v>
      </x:c>
      <x:c r="H65" s="84" t="str">
        <x:v>Média</x:v>
      </x:c>
      <x:c r="I65" s="84" t="n">
        <x:v>0</x:v>
      </x:c>
      <x:c r="J65" s="85" t="n">
        <x:v>1</x:v>
      </x:c>
    </x:row>
    <x:row r="66">
      <x:c r="A66" s="83" t="n">
        <x:v>65</x:v>
      </x:c>
      <x:c r="B66" s="84" t="n">
        <x:v>11</x:v>
      </x:c>
      <x:c r="C66" s="84" t="n">
        <x:v>203</x:v>
      </x:c>
      <x:c r="D66" s="89" t="n">
        <x:v>45127.504699074074</x:v>
      </x:c>
      <x:c r="E66" s="84" t="str">
        <x:v>Correia</x:v>
      </x:c>
      <x:c r="F66" s="84" t="str">
        <x:v>Curto-circuito</x:v>
      </x:c>
      <x:c r="G66" s="84" t="str">
        <x:v>Componente danificado</x:v>
      </x:c>
      <x:c r="H66" s="84" t="str">
        <x:v>Baixa</x:v>
      </x:c>
      <x:c r="I66" s="84" t="n">
        <x:v>1</x:v>
      </x:c>
      <x:c r="J66" s="85" t="n">
        <x:v>1</x:v>
      </x:c>
    </x:row>
    <x:row r="67">
      <x:c r="A67" s="83" t="n">
        <x:v>66</x:v>
      </x:c>
      <x:c r="B67" s="84" t="n">
        <x:v>63</x:v>
      </x:c>
      <x:c r="C67" s="84" t="n">
        <x:v>206</x:v>
      </x:c>
      <x:c r="D67" s="89" t="n">
        <x:v>45446.35057870371</x:v>
      </x:c>
      <x:c r="E67" s="84" t="str">
        <x:v>Válvula</x:v>
      </x:c>
      <x:c r="F67" s="84" t="str">
        <x:v>Quebra</x:v>
      </x:c>
      <x:c r="G67" s="84" t="str">
        <x:v>Conexão frouxa</x:v>
      </x:c>
      <x:c r="H67" s="84" t="str">
        <x:v>Baixa</x:v>
      </x:c>
      <x:c r="I67" s="84" t="n">
        <x:v>0</x:v>
      </x:c>
      <x:c r="J67" s="85" t="n">
        <x:v>1</x:v>
      </x:c>
    </x:row>
    <x:row r="68">
      <x:c r="A68" s="83" t="n">
        <x:v>67</x:v>
      </x:c>
      <x:c r="B68" s="84" t="n">
        <x:v>3</x:v>
      </x:c>
      <x:c r="C68" s="84" t="n">
        <x:v>210</x:v>
      </x:c>
      <x:c r="D68" s="89" t="n">
        <x:v>45645.67932870371</x:v>
      </x:c>
      <x:c r="E68" s="84" t="str">
        <x:v>CLP</x:v>
      </x:c>
      <x:c r="F68" s="84" t="str">
        <x:v>Perda de sinal</x:v>
      </x:c>
      <x:c r="G68" s="84" t="str">
        <x:v>Componente danificado</x:v>
      </x:c>
      <x:c r="H68" s="84" t="str">
        <x:v>Alta</x:v>
      </x:c>
      <x:c r="I68" s="84" t="n">
        <x:v>0</x:v>
      </x:c>
      <x:c r="J68" s="85" t="n">
        <x:v>1</x:v>
      </x:c>
    </x:row>
    <x:row r="69">
      <x:c r="A69" s="83" t="n">
        <x:v>68</x:v>
      </x:c>
      <x:c r="B69" s="84" t="n">
        <x:v>42</x:v>
      </x:c>
      <x:c r="C69" s="84" t="n">
        <x:v>216</x:v>
      </x:c>
      <x:c r="D69" s="89" t="n">
        <x:v>45210.42060185185</x:v>
      </x:c>
      <x:c r="E69" s="84" t="str">
        <x:v>Sensor</x:v>
      </x:c>
      <x:c r="F69" s="84" t="str">
        <x:v>Curto-circuito</x:v>
      </x:c>
      <x:c r="G69" s="84" t="str">
        <x:v>Contaminação</x:v>
      </x:c>
      <x:c r="H69" s="84" t="str">
        <x:v>Baixa</x:v>
      </x:c>
      <x:c r="I69" s="84" t="n">
        <x:v>0</x:v>
      </x:c>
      <x:c r="J69" s="85" t="n">
        <x:v>1</x:v>
      </x:c>
    </x:row>
    <x:row r="70">
      <x:c r="A70" s="83" t="n">
        <x:v>69</x:v>
      </x:c>
      <x:c r="B70" s="84" t="n">
        <x:v>79</x:v>
      </x:c>
      <x:c r="C70" s="84" t="n">
        <x:v>222</x:v>
      </x:c>
      <x:c r="D70" s="89" t="n">
        <x:v>45247.46603009259</x:v>
      </x:c>
      <x:c r="E70" s="84" t="str">
        <x:v>Válvula</x:v>
      </x:c>
      <x:c r="F70" s="84" t="str">
        <x:v>Quebra</x:v>
      </x:c>
      <x:c r="G70" s="84" t="str">
        <x:v>Contaminação</x:v>
      </x:c>
      <x:c r="H70" s="84" t="str">
        <x:v>Baixa</x:v>
      </x:c>
      <x:c r="I70" s="84" t="n">
        <x:v>0</x:v>
      </x:c>
      <x:c r="J70" s="85" t="n">
        <x:v>1</x:v>
      </x:c>
    </x:row>
    <x:row r="71">
      <x:c r="A71" s="83" t="n">
        <x:v>70</x:v>
      </x:c>
      <x:c r="B71" s="84" t="n">
        <x:v>79</x:v>
      </x:c>
      <x:c r="C71" s="84" t="n">
        <x:v>225</x:v>
      </x:c>
      <x:c r="D71" s="89" t="n">
        <x:v>45759.00622685185</x:v>
      </x:c>
      <x:c r="E71" s="84" t="str">
        <x:v>Rolamento</x:v>
      </x:c>
      <x:c r="F71" s="84" t="str">
        <x:v>Quebra</x:v>
      </x:c>
      <x:c r="G71" s="84" t="str">
        <x:v>Desgaste natural</x:v>
      </x:c>
      <x:c r="H71" s="84" t="str">
        <x:v>Alta</x:v>
      </x:c>
      <x:c r="I71" s="84" t="n">
        <x:v>0</x:v>
      </x:c>
      <x:c r="J71" s="85" t="n">
        <x:v>1</x:v>
      </x:c>
    </x:row>
    <x:row r="72">
      <x:c r="A72" s="83" t="n">
        <x:v>71</x:v>
      </x:c>
      <x:c r="B72" s="84" t="n">
        <x:v>52</x:v>
      </x:c>
      <x:c r="C72" s="84" t="n">
        <x:v>228</x:v>
      </x:c>
      <x:c r="D72" s="89" t="n">
        <x:v>45145.44170138889</x:v>
      </x:c>
      <x:c r="E72" s="84" t="str">
        <x:v>Sensor</x:v>
      </x:c>
      <x:c r="F72" s="84" t="str">
        <x:v>Perda de sinal</x:v>
      </x:c>
      <x:c r="G72" s="84" t="str">
        <x:v>Ajuste incorreto</x:v>
      </x:c>
      <x:c r="H72" s="84" t="str">
        <x:v>Baixa</x:v>
      </x:c>
      <x:c r="I72" s="84" t="n">
        <x:v>0</x:v>
      </x:c>
      <x:c r="J72" s="85" t="n">
        <x:v>1</x:v>
      </x:c>
    </x:row>
    <x:row r="73">
      <x:c r="A73" s="83" t="n">
        <x:v>72</x:v>
      </x:c>
      <x:c r="B73" s="84" t="n">
        <x:v>41</x:v>
      </x:c>
      <x:c r="C73" s="84" t="n">
        <x:v>229</x:v>
      </x:c>
      <x:c r="D73" s="89" t="n">
        <x:v>45265.18178240741</x:v>
      </x:c>
      <x:c r="E73" s="84" t="str">
        <x:v>Correia</x:v>
      </x:c>
      <x:c r="F73" s="84" t="str">
        <x:v>Travamento</x:v>
      </x:c>
      <x:c r="G73" s="84" t="str">
        <x:v>Ajuste incorreto</x:v>
      </x:c>
      <x:c r="H73" s="84" t="str">
        <x:v>Baixa</x:v>
      </x:c>
      <x:c r="I73" s="84" t="n">
        <x:v>1</x:v>
      </x:c>
      <x:c r="J73" s="85" t="n">
        <x:v>1</x:v>
      </x:c>
    </x:row>
    <x:row r="74">
      <x:c r="A74" s="83" t="n">
        <x:v>73</x:v>
      </x:c>
      <x:c r="B74" s="84" t="n">
        <x:v>50</x:v>
      </x:c>
      <x:c r="C74" s="84" t="n">
        <x:v>234</x:v>
      </x:c>
      <x:c r="D74" s="89" t="n">
        <x:v>45155.22945601852</x:v>
      </x:c>
      <x:c r="E74" s="84" t="str">
        <x:v>Motor</x:v>
      </x:c>
      <x:c r="F74" s="84" t="str">
        <x:v>Quebra</x:v>
      </x:c>
      <x:c r="G74" s="84" t="str">
        <x:v>Conexão frouxa</x:v>
      </x:c>
      <x:c r="H74" s="84" t="str">
        <x:v>Baixa</x:v>
      </x:c>
      <x:c r="I74" s="84" t="n">
        <x:v>0</x:v>
      </x:c>
      <x:c r="J74" s="85" t="n">
        <x:v>1</x:v>
      </x:c>
    </x:row>
    <x:row r="75">
      <x:c r="A75" s="83" t="n">
        <x:v>74</x:v>
      </x:c>
      <x:c r="B75" s="84" t="n">
        <x:v>30</x:v>
      </x:c>
      <x:c r="C75" s="84" t="n">
        <x:v>236</x:v>
      </x:c>
      <x:c r="D75" s="89" t="n">
        <x:v>45164.683541666665</x:v>
      </x:c>
      <x:c r="E75" s="84" t="str">
        <x:v>CLP</x:v>
      </x:c>
      <x:c r="F75" s="84" t="str">
        <x:v>Quebra</x:v>
      </x:c>
      <x:c r="G75" s="84" t="str">
        <x:v>Desgaste natural</x:v>
      </x:c>
      <x:c r="H75" s="84" t="str">
        <x:v>Baixa</x:v>
      </x:c>
      <x:c r="I75" s="84" t="n">
        <x:v>0</x:v>
      </x:c>
      <x:c r="J75" s="85" t="n">
        <x:v>1</x:v>
      </x:c>
    </x:row>
    <x:row r="76">
      <x:c r="A76" s="83" t="n">
        <x:v>75</x:v>
      </x:c>
      <x:c r="B76" s="84" t="n">
        <x:v>63</x:v>
      </x:c>
      <x:c r="C76" s="84" t="n">
        <x:v>237</x:v>
      </x:c>
      <x:c r="D76" s="89" t="n">
        <x:v>45447.51961805556</x:v>
      </x:c>
      <x:c r="E76" s="84" t="str">
        <x:v>Sensor</x:v>
      </x:c>
      <x:c r="F76" s="84" t="str">
        <x:v>Perda de sinal</x:v>
      </x:c>
      <x:c r="G76" s="84" t="str">
        <x:v>Desgaste natural</x:v>
      </x:c>
      <x:c r="H76" s="84" t="str">
        <x:v>Média</x:v>
      </x:c>
      <x:c r="I76" s="84" t="n">
        <x:v>0</x:v>
      </x:c>
      <x:c r="J76" s="85" t="n">
        <x:v>1</x:v>
      </x:c>
    </x:row>
    <x:row r="77">
      <x:c r="A77" s="83" t="n">
        <x:v>76</x:v>
      </x:c>
      <x:c r="B77" s="84" t="n">
        <x:v>84</x:v>
      </x:c>
      <x:c r="C77" s="84" t="n">
        <x:v>240</x:v>
      </x:c>
      <x:c r="D77" s="89" t="n">
        <x:v>45448.79883101852</x:v>
      </x:c>
      <x:c r="E77" s="84" t="str">
        <x:v>Motor</x:v>
      </x:c>
      <x:c r="F77" s="84" t="str">
        <x:v>Perda de sinal</x:v>
      </x:c>
      <x:c r="G77" s="84" t="str">
        <x:v>Desgaste natural</x:v>
      </x:c>
      <x:c r="H77" s="84" t="str">
        <x:v>Alta</x:v>
      </x:c>
      <x:c r="I77" s="84" t="n">
        <x:v>0</x:v>
      </x:c>
      <x:c r="J77" s="85" t="n">
        <x:v>1</x:v>
      </x:c>
    </x:row>
    <x:row r="78">
      <x:c r="A78" s="83" t="n">
        <x:v>77</x:v>
      </x:c>
      <x:c r="B78" s="84" t="n">
        <x:v>70</x:v>
      </x:c>
      <x:c r="C78" s="84" t="n">
        <x:v>241</x:v>
      </x:c>
      <x:c r="D78" s="89" t="n">
        <x:v>44990.79497685185</x:v>
      </x:c>
      <x:c r="E78" s="84" t="str">
        <x:v>Rolamento</x:v>
      </x:c>
      <x:c r="F78" s="84" t="str">
        <x:v>Perda de sinal</x:v>
      </x:c>
      <x:c r="G78" s="84" t="str">
        <x:v>Contaminação</x:v>
      </x:c>
      <x:c r="H78" s="84" t="str">
        <x:v>Média</x:v>
      </x:c>
      <x:c r="I78" s="84" t="n">
        <x:v>1</x:v>
      </x:c>
      <x:c r="J78" s="85" t="n">
        <x:v>1</x:v>
      </x:c>
    </x:row>
    <x:row r="79">
      <x:c r="A79" s="83" t="n">
        <x:v>78</x:v>
      </x:c>
      <x:c r="B79" s="84" t="n">
        <x:v>90</x:v>
      </x:c>
      <x:c r="C79" s="84" t="n">
        <x:v>242</x:v>
      </x:c>
      <x:c r="D79" s="89" t="n">
        <x:v>45243.981620370374</x:v>
      </x:c>
      <x:c r="E79" s="84" t="str">
        <x:v>Sensor</x:v>
      </x:c>
      <x:c r="F79" s="84" t="str">
        <x:v>Quebra</x:v>
      </x:c>
      <x:c r="G79" s="84" t="str">
        <x:v>Conexão frouxa</x:v>
      </x:c>
      <x:c r="H79" s="84" t="str">
        <x:v>Baixa</x:v>
      </x:c>
      <x:c r="I79" s="84" t="n">
        <x:v>1</x:v>
      </x:c>
      <x:c r="J79" s="85" t="n">
        <x:v>1</x:v>
      </x:c>
    </x:row>
    <x:row r="80">
      <x:c r="A80" s="83" t="n">
        <x:v>79</x:v>
      </x:c>
      <x:c r="B80" s="84" t="n">
        <x:v>3</x:v>
      </x:c>
      <x:c r="C80" s="84" t="n">
        <x:v>246</x:v>
      </x:c>
      <x:c r="D80" s="89" t="n">
        <x:v>45461.95664351852</x:v>
      </x:c>
      <x:c r="E80" s="84" t="str">
        <x:v>Correia</x:v>
      </x:c>
      <x:c r="F80" s="84" t="str">
        <x:v>Perda de sinal</x:v>
      </x:c>
      <x:c r="G80" s="84" t="str">
        <x:v>Falta de lubrificação</x:v>
      </x:c>
      <x:c r="H80" s="84" t="str">
        <x:v>Baixa</x:v>
      </x:c>
      <x:c r="I80" s="84" t="n">
        <x:v>0</x:v>
      </x:c>
      <x:c r="J80" s="85" t="n">
        <x:v>1</x:v>
      </x:c>
    </x:row>
    <x:row r="81">
      <x:c r="A81" s="83" t="n">
        <x:v>80</x:v>
      </x:c>
      <x:c r="B81" s="84" t="n">
        <x:v>15</x:v>
      </x:c>
      <x:c r="C81" s="84" t="n">
        <x:v>251</x:v>
      </x:c>
      <x:c r="D81" s="89" t="n">
        <x:v>45272.598599537036</x:v>
      </x:c>
      <x:c r="E81" s="84" t="str">
        <x:v>Sensor</x:v>
      </x:c>
      <x:c r="F81" s="84" t="str">
        <x:v>Desgaste</x:v>
      </x:c>
      <x:c r="G81" s="84" t="str">
        <x:v>Falta de lubrificação</x:v>
      </x:c>
      <x:c r="H81" s="84" t="str">
        <x:v>Alta</x:v>
      </x:c>
      <x:c r="I81" s="84" t="n">
        <x:v>0</x:v>
      </x:c>
      <x:c r="J81" s="85" t="n">
        <x:v>1</x:v>
      </x:c>
    </x:row>
    <x:row r="82">
      <x:c r="A82" s="83" t="n">
        <x:v>81</x:v>
      </x:c>
      <x:c r="B82" s="84" t="n">
        <x:v>12</x:v>
      </x:c>
      <x:c r="C82" s="84" t="n">
        <x:v>261</x:v>
      </x:c>
      <x:c r="D82" s="89" t="n">
        <x:v>45261.07171296296</x:v>
      </x:c>
      <x:c r="E82" s="84" t="str">
        <x:v>CLP</x:v>
      </x:c>
      <x:c r="F82" s="84" t="str">
        <x:v>Curto-circuito</x:v>
      </x:c>
      <x:c r="G82" s="84" t="str">
        <x:v>Conexão frouxa</x:v>
      </x:c>
      <x:c r="H82" s="84" t="str">
        <x:v>Média</x:v>
      </x:c>
      <x:c r="I82" s="84" t="n">
        <x:v>0</x:v>
      </x:c>
      <x:c r="J82" s="85" t="n">
        <x:v>1</x:v>
      </x:c>
    </x:row>
    <x:row r="83">
      <x:c r="A83" s="83" t="n">
        <x:v>82</x:v>
      </x:c>
      <x:c r="B83" s="84" t="n">
        <x:v>86</x:v>
      </x:c>
      <x:c r="C83" s="84" t="n">
        <x:v>263</x:v>
      </x:c>
      <x:c r="D83" s="89" t="n">
        <x:v>45377.43498842593</x:v>
      </x:c>
      <x:c r="E83" s="84" t="str">
        <x:v>Motor</x:v>
      </x:c>
      <x:c r="F83" s="84" t="str">
        <x:v>Quebra</x:v>
      </x:c>
      <x:c r="G83" s="84" t="str">
        <x:v>Conexão frouxa</x:v>
      </x:c>
      <x:c r="H83" s="84" t="str">
        <x:v>Média</x:v>
      </x:c>
      <x:c r="I83" s="84" t="n">
        <x:v>0</x:v>
      </x:c>
      <x:c r="J83" s="85" t="n">
        <x:v>1</x:v>
      </x:c>
    </x:row>
    <x:row r="84">
      <x:c r="A84" s="83" t="n">
        <x:v>83</x:v>
      </x:c>
      <x:c r="B84" s="84" t="n">
        <x:v>80</x:v>
      </x:c>
      <x:c r="C84" s="84" t="n">
        <x:v>264</x:v>
      </x:c>
      <x:c r="D84" s="89" t="n">
        <x:v>45501.63085648148</x:v>
      </x:c>
      <x:c r="E84" s="84" t="str">
        <x:v>Correia</x:v>
      </x:c>
      <x:c r="F84" s="84" t="str">
        <x:v>Travamento</x:v>
      </x:c>
      <x:c r="G84" s="84" t="str">
        <x:v>Ajuste incorreto</x:v>
      </x:c>
      <x:c r="H84" s="84" t="str">
        <x:v>Baixa</x:v>
      </x:c>
      <x:c r="I84" s="84" t="n">
        <x:v>0</x:v>
      </x:c>
      <x:c r="J84" s="85" t="n">
        <x:v>1</x:v>
      </x:c>
    </x:row>
    <x:row r="85">
      <x:c r="A85" s="83" t="n">
        <x:v>84</x:v>
      </x:c>
      <x:c r="B85" s="84" t="n">
        <x:v>24</x:v>
      </x:c>
      <x:c r="C85" s="84" t="n">
        <x:v>271</x:v>
      </x:c>
      <x:c r="D85" s="89" t="n">
        <x:v>44956.399502314816</x:v>
      </x:c>
      <x:c r="E85" s="84" t="str">
        <x:v>Motor</x:v>
      </x:c>
      <x:c r="F85" s="84" t="str">
        <x:v>Quebra</x:v>
      </x:c>
      <x:c r="G85" s="84" t="str">
        <x:v>Falta de lubrificação</x:v>
      </x:c>
      <x:c r="H85" s="84" t="str">
        <x:v>Alta</x:v>
      </x:c>
      <x:c r="I85" s="84" t="n">
        <x:v>0</x:v>
      </x:c>
      <x:c r="J85" s="85" t="n">
        <x:v>1</x:v>
      </x:c>
    </x:row>
    <x:row r="86">
      <x:c r="A86" s="83" t="n">
        <x:v>85</x:v>
      </x:c>
      <x:c r="B86" s="84" t="n">
        <x:v>45</x:v>
      </x:c>
      <x:c r="C86" s="84" t="n">
        <x:v>273</x:v>
      </x:c>
      <x:c r="D86" s="89" t="n">
        <x:v>45812.79771990741</x:v>
      </x:c>
      <x:c r="E86" s="84" t="str">
        <x:v>Sensor</x:v>
      </x:c>
      <x:c r="F86" s="84" t="str">
        <x:v>Travamento</x:v>
      </x:c>
      <x:c r="G86" s="84" t="str">
        <x:v>Desgaste natural</x:v>
      </x:c>
      <x:c r="H86" s="84" t="str">
        <x:v>Média</x:v>
      </x:c>
      <x:c r="I86" s="84" t="n">
        <x:v>0</x:v>
      </x:c>
      <x:c r="J86" s="85" t="n">
        <x:v>1</x:v>
      </x:c>
    </x:row>
    <x:row r="87">
      <x:c r="A87" s="83" t="n">
        <x:v>86</x:v>
      </x:c>
      <x:c r="B87" s="84" t="n">
        <x:v>19</x:v>
      </x:c>
      <x:c r="C87" s="84" t="n">
        <x:v>278</x:v>
      </x:c>
      <x:c r="D87" s="89" t="n">
        <x:v>46010.08934027778</x:v>
      </x:c>
      <x:c r="E87" s="84" t="str">
        <x:v>Sensor</x:v>
      </x:c>
      <x:c r="F87" s="84" t="str">
        <x:v>Desgaste</x:v>
      </x:c>
      <x:c r="G87" s="84" t="str">
        <x:v>Ajuste incorreto</x:v>
      </x:c>
      <x:c r="H87" s="84" t="str">
        <x:v>Baixa</x:v>
      </x:c>
      <x:c r="I87" s="84" t="n">
        <x:v>0</x:v>
      </x:c>
      <x:c r="J87" s="85" t="n">
        <x:v>1</x:v>
      </x:c>
    </x:row>
    <x:row r="88">
      <x:c r="A88" s="83" t="n">
        <x:v>87</x:v>
      </x:c>
      <x:c r="B88" s="84" t="n">
        <x:v>76</x:v>
      </x:c>
      <x:c r="C88" s="84" t="n">
        <x:v>279</x:v>
      </x:c>
      <x:c r="D88" s="89" t="n">
        <x:v>45149.48296296296</x:v>
      </x:c>
      <x:c r="E88" s="84" t="str">
        <x:v>Correia</x:v>
      </x:c>
      <x:c r="F88" s="84" t="str">
        <x:v>Desgaste</x:v>
      </x:c>
      <x:c r="G88" s="84" t="str">
        <x:v>Falta de lubrificação</x:v>
      </x:c>
      <x:c r="H88" s="84" t="str">
        <x:v>Baixa</x:v>
      </x:c>
      <x:c r="I88" s="84" t="n">
        <x:v>0</x:v>
      </x:c>
      <x:c r="J88" s="85" t="n">
        <x:v>1</x:v>
      </x:c>
    </x:row>
    <x:row r="89">
      <x:c r="A89" s="83" t="n">
        <x:v>88</x:v>
      </x:c>
      <x:c r="B89" s="84" t="n">
        <x:v>68</x:v>
      </x:c>
      <x:c r="C89" s="84" t="n">
        <x:v>281</x:v>
      </x:c>
      <x:c r="D89" s="89" t="n">
        <x:v>45890.652094907404</x:v>
      </x:c>
      <x:c r="E89" s="84" t="str">
        <x:v>Rolamento</x:v>
      </x:c>
      <x:c r="F89" s="84" t="str">
        <x:v>Curto-circuito</x:v>
      </x:c>
      <x:c r="G89" s="84" t="str">
        <x:v>Ajuste incorreto</x:v>
      </x:c>
      <x:c r="H89" s="84" t="str">
        <x:v>Baixa</x:v>
      </x:c>
      <x:c r="I89" s="84" t="n">
        <x:v>0</x:v>
      </x:c>
      <x:c r="J89" s="85" t="n">
        <x:v>1</x:v>
      </x:c>
    </x:row>
    <x:row r="90">
      <x:c r="A90" s="83" t="n">
        <x:v>89</x:v>
      </x:c>
      <x:c r="B90" s="84" t="n">
        <x:v>69</x:v>
      </x:c>
      <x:c r="C90" s="84" t="n">
        <x:v>288</x:v>
      </x:c>
      <x:c r="D90" s="89" t="n">
        <x:v>45549.54604166667</x:v>
      </x:c>
      <x:c r="E90" s="84" t="str">
        <x:v>Correia</x:v>
      </x:c>
      <x:c r="F90" s="84" t="str">
        <x:v>Quebra</x:v>
      </x:c>
      <x:c r="G90" s="84" t="str">
        <x:v>Contaminação</x:v>
      </x:c>
      <x:c r="H90" s="84" t="str">
        <x:v>Baixa</x:v>
      </x:c>
      <x:c r="I90" s="84" t="n">
        <x:v>0</x:v>
      </x:c>
      <x:c r="J90" s="85" t="n">
        <x:v>1</x:v>
      </x:c>
    </x:row>
    <x:row r="91">
      <x:c r="A91" s="83" t="n">
        <x:v>90</x:v>
      </x:c>
      <x:c r="B91" s="84" t="n">
        <x:v>72</x:v>
      </x:c>
      <x:c r="C91" s="84" t="n">
        <x:v>292</x:v>
      </x:c>
      <x:c r="D91" s="89" t="n">
        <x:v>46017.92585648148</x:v>
      </x:c>
      <x:c r="E91" s="84" t="str">
        <x:v>Válvula</x:v>
      </x:c>
      <x:c r="F91" s="84" t="str">
        <x:v>Perda de sinal</x:v>
      </x:c>
      <x:c r="G91" s="84" t="str">
        <x:v>Componente danificado</x:v>
      </x:c>
      <x:c r="H91" s="84" t="str">
        <x:v>Baixa</x:v>
      </x:c>
      <x:c r="I91" s="84" t="n">
        <x:v>0</x:v>
      </x:c>
      <x:c r="J91" s="85" t="n">
        <x:v>1</x:v>
      </x:c>
    </x:row>
    <x:row r="92">
      <x:c r="A92" s="83" t="n">
        <x:v>91</x:v>
      </x:c>
      <x:c r="B92" s="84" t="n">
        <x:v>66</x:v>
      </x:c>
      <x:c r="C92" s="84" t="n">
        <x:v>293</x:v>
      </x:c>
      <x:c r="D92" s="89" t="n">
        <x:v>45704.267858796295</x:v>
      </x:c>
      <x:c r="E92" s="84" t="str">
        <x:v>Rolamento</x:v>
      </x:c>
      <x:c r="F92" s="84" t="str">
        <x:v>Desgaste</x:v>
      </x:c>
      <x:c r="G92" s="84" t="str">
        <x:v>Conexão frouxa</x:v>
      </x:c>
      <x:c r="H92" s="84" t="str">
        <x:v>Alta</x:v>
      </x:c>
      <x:c r="I92" s="84" t="n">
        <x:v>0</x:v>
      </x:c>
      <x:c r="J92" s="85" t="n">
        <x:v>1</x:v>
      </x:c>
    </x:row>
    <x:row r="93">
      <x:c r="A93" s="83" t="n">
        <x:v>92</x:v>
      </x:c>
      <x:c r="B93" s="84" t="n">
        <x:v>80</x:v>
      </x:c>
      <x:c r="C93" s="84" t="n">
        <x:v>295</x:v>
      </x:c>
      <x:c r="D93" s="89" t="n">
        <x:v>45227.49597222222</x:v>
      </x:c>
      <x:c r="E93" s="84" t="str">
        <x:v>Válvula</x:v>
      </x:c>
      <x:c r="F93" s="84" t="str">
        <x:v>Travamento</x:v>
      </x:c>
      <x:c r="G93" s="84" t="str">
        <x:v>Conexão frouxa</x:v>
      </x:c>
      <x:c r="H93" s="84" t="str">
        <x:v>Baixa</x:v>
      </x:c>
      <x:c r="I93" s="84" t="n">
        <x:v>1</x:v>
      </x:c>
      <x:c r="J93" s="85" t="n">
        <x:v>1</x:v>
      </x:c>
    </x:row>
    <x:row r="94">
      <x:c r="A94" s="83" t="n">
        <x:v>93</x:v>
      </x:c>
      <x:c r="B94" s="84" t="n">
        <x:v>33</x:v>
      </x:c>
      <x:c r="C94" s="84" t="n">
        <x:v>299</x:v>
      </x:c>
      <x:c r="D94" s="89" t="n">
        <x:v>45046.94498842592</x:v>
      </x:c>
      <x:c r="E94" s="84" t="str">
        <x:v>Válvula</x:v>
      </x:c>
      <x:c r="F94" s="84" t="str">
        <x:v>Desgaste</x:v>
      </x:c>
      <x:c r="G94" s="84" t="str">
        <x:v>Ajuste incorreto</x:v>
      </x:c>
      <x:c r="H94" s="84" t="str">
        <x:v>Baixa</x:v>
      </x:c>
      <x:c r="I94" s="84" t="n">
        <x:v>0</x:v>
      </x:c>
      <x:c r="J94" s="85" t="n">
        <x:v>1</x:v>
      </x:c>
    </x:row>
    <x:row r="95">
      <x:c r="A95" s="83" t="n">
        <x:v>94</x:v>
      </x:c>
      <x:c r="B95" s="84" t="n">
        <x:v>84</x:v>
      </x:c>
      <x:c r="C95" s="84" t="n">
        <x:v>302</x:v>
      </x:c>
      <x:c r="D95" s="89" t="n">
        <x:v>45554.63060185185</x:v>
      </x:c>
      <x:c r="E95" s="84" t="str">
        <x:v>CLP</x:v>
      </x:c>
      <x:c r="F95" s="84" t="str">
        <x:v>Desgaste</x:v>
      </x:c>
      <x:c r="G95" s="84" t="str">
        <x:v>Componente danificado</x:v>
      </x:c>
      <x:c r="H95" s="84" t="str">
        <x:v>Baixa</x:v>
      </x:c>
      <x:c r="I95" s="84" t="n">
        <x:v>0</x:v>
      </x:c>
      <x:c r="J95" s="85" t="n">
        <x:v>1</x:v>
      </x:c>
    </x:row>
    <x:row r="96">
      <x:c r="A96" s="83" t="n">
        <x:v>95</x:v>
      </x:c>
      <x:c r="B96" s="84" t="n">
        <x:v>77</x:v>
      </x:c>
      <x:c r="C96" s="84" t="n">
        <x:v>303</x:v>
      </x:c>
      <x:c r="D96" s="89" t="n">
        <x:v>45616.092777777776</x:v>
      </x:c>
      <x:c r="E96" s="84" t="str">
        <x:v>Rolamento</x:v>
      </x:c>
      <x:c r="F96" s="84" t="str">
        <x:v>Curto-circuito</x:v>
      </x:c>
      <x:c r="G96" s="84" t="str">
        <x:v>Componente danificado</x:v>
      </x:c>
      <x:c r="H96" s="84" t="str">
        <x:v>Média</x:v>
      </x:c>
      <x:c r="I96" s="84" t="n">
        <x:v>1</x:v>
      </x:c>
      <x:c r="J96" s="85" t="n">
        <x:v>1</x:v>
      </x:c>
    </x:row>
    <x:row r="97">
      <x:c r="A97" s="83" t="n">
        <x:v>96</x:v>
      </x:c>
      <x:c r="B97" s="84" t="n">
        <x:v>65</x:v>
      </x:c>
      <x:c r="C97" s="84" t="n">
        <x:v>304</x:v>
      </x:c>
      <x:c r="D97" s="89" t="n">
        <x:v>45125.38521990741</x:v>
      </x:c>
      <x:c r="E97" s="84" t="str">
        <x:v>Válvula</x:v>
      </x:c>
      <x:c r="F97" s="84" t="str">
        <x:v>Perda de sinal</x:v>
      </x:c>
      <x:c r="G97" s="84" t="str">
        <x:v>Conexão frouxa</x:v>
      </x:c>
      <x:c r="H97" s="84" t="str">
        <x:v>Alta</x:v>
      </x:c>
      <x:c r="I97" s="84" t="n">
        <x:v>0</x:v>
      </x:c>
      <x:c r="J97" s="85" t="n">
        <x:v>1</x:v>
      </x:c>
    </x:row>
    <x:row r="98">
      <x:c r="A98" s="83" t="n">
        <x:v>97</x:v>
      </x:c>
      <x:c r="B98" s="84" t="n">
        <x:v>10</x:v>
      </x:c>
      <x:c r="C98" s="84" t="n">
        <x:v>306</x:v>
      </x:c>
      <x:c r="D98" s="89" t="n">
        <x:v>45942.7091087963</x:v>
      </x:c>
      <x:c r="E98" s="84" t="str">
        <x:v>Rolamento</x:v>
      </x:c>
      <x:c r="F98" s="84" t="str">
        <x:v>Perda de sinal</x:v>
      </x:c>
      <x:c r="G98" s="84" t="str">
        <x:v>Componente danificado</x:v>
      </x:c>
      <x:c r="H98" s="84" t="str">
        <x:v>Baixa</x:v>
      </x:c>
      <x:c r="I98" s="84" t="n">
        <x:v>0</x:v>
      </x:c>
      <x:c r="J98" s="85" t="n">
        <x:v>1</x:v>
      </x:c>
    </x:row>
    <x:row r="99">
      <x:c r="A99" s="83" t="n">
        <x:v>98</x:v>
      </x:c>
      <x:c r="B99" s="84" t="n">
        <x:v>8</x:v>
      </x:c>
      <x:c r="C99" s="84" t="n">
        <x:v>308</x:v>
      </x:c>
      <x:c r="D99" s="89" t="n">
        <x:v>45101.26495370371</x:v>
      </x:c>
      <x:c r="E99" s="84" t="str">
        <x:v>Correia</x:v>
      </x:c>
      <x:c r="F99" s="84" t="str">
        <x:v>Quebra</x:v>
      </x:c>
      <x:c r="G99" s="84" t="str">
        <x:v>Componente danificado</x:v>
      </x:c>
      <x:c r="H99" s="84" t="str">
        <x:v>Média</x:v>
      </x:c>
      <x:c r="I99" s="84" t="n">
        <x:v>1</x:v>
      </x:c>
      <x:c r="J99" s="85" t="n">
        <x:v>1</x:v>
      </x:c>
    </x:row>
    <x:row r="100">
      <x:c r="A100" s="83" t="n">
        <x:v>99</x:v>
      </x:c>
      <x:c r="B100" s="84" t="n">
        <x:v>58</x:v>
      </x:c>
      <x:c r="C100" s="84" t="n">
        <x:v>312</x:v>
      </x:c>
      <x:c r="D100" s="89" t="n">
        <x:v>45212.071284722224</x:v>
      </x:c>
      <x:c r="E100" s="84" t="str">
        <x:v>Sensor</x:v>
      </x:c>
      <x:c r="F100" s="84" t="str">
        <x:v>Quebra</x:v>
      </x:c>
      <x:c r="G100" s="84" t="str">
        <x:v>Falta de lubrificação</x:v>
      </x:c>
      <x:c r="H100" s="84" t="str">
        <x:v>Alta</x:v>
      </x:c>
      <x:c r="I100" s="84" t="n">
        <x:v>0</x:v>
      </x:c>
      <x:c r="J100" s="85" t="n">
        <x:v>1</x:v>
      </x:c>
    </x:row>
    <x:row r="101">
      <x:c r="A101" s="83" t="n">
        <x:v>100</x:v>
      </x:c>
      <x:c r="B101" s="84" t="n">
        <x:v>21</x:v>
      </x:c>
      <x:c r="C101" s="84" t="n">
        <x:v>314</x:v>
      </x:c>
      <x:c r="D101" s="89" t="n">
        <x:v>45014.96800925926</x:v>
      </x:c>
      <x:c r="E101" s="84" t="str">
        <x:v>Motor</x:v>
      </x:c>
      <x:c r="F101" s="84" t="str">
        <x:v>Curto-circuito</x:v>
      </x:c>
      <x:c r="G101" s="84" t="str">
        <x:v>Componente danificado</x:v>
      </x:c>
      <x:c r="H101" s="84" t="str">
        <x:v>Baixa</x:v>
      </x:c>
      <x:c r="I101" s="84" t="n">
        <x:v>0</x:v>
      </x:c>
      <x:c r="J101" s="85" t="n">
        <x:v>1</x:v>
      </x:c>
    </x:row>
    <x:row r="102">
      <x:c r="A102" s="83" t="n">
        <x:v>101</x:v>
      </x:c>
      <x:c r="B102" s="84" t="n">
        <x:v>68</x:v>
      </x:c>
      <x:c r="C102" s="84" t="n">
        <x:v>322</x:v>
      </x:c>
      <x:c r="D102" s="89" t="n">
        <x:v>45374.213321759256</x:v>
      </x:c>
      <x:c r="E102" s="84" t="str">
        <x:v>Válvula</x:v>
      </x:c>
      <x:c r="F102" s="84" t="str">
        <x:v>Travamento</x:v>
      </x:c>
      <x:c r="G102" s="84" t="str">
        <x:v>Conexão frouxa</x:v>
      </x:c>
      <x:c r="H102" s="84" t="str">
        <x:v>Alta</x:v>
      </x:c>
      <x:c r="I102" s="84" t="n">
        <x:v>0</x:v>
      </x:c>
      <x:c r="J102" s="85" t="n">
        <x:v>1</x:v>
      </x:c>
    </x:row>
    <x:row r="103">
      <x:c r="A103" s="83" t="n">
        <x:v>102</x:v>
      </x:c>
      <x:c r="B103" s="84" t="n">
        <x:v>43</x:v>
      </x:c>
      <x:c r="C103" s="84" t="n">
        <x:v>326</x:v>
      </x:c>
      <x:c r="D103" s="89" t="n">
        <x:v>45593.67601851852</x:v>
      </x:c>
      <x:c r="E103" s="84" t="str">
        <x:v>Sensor</x:v>
      </x:c>
      <x:c r="F103" s="84" t="str">
        <x:v>Quebra</x:v>
      </x:c>
      <x:c r="G103" s="84" t="str">
        <x:v>Componente danificado</x:v>
      </x:c>
      <x:c r="H103" s="84" t="str">
        <x:v>Média</x:v>
      </x:c>
      <x:c r="I103" s="84" t="n">
        <x:v>1</x:v>
      </x:c>
      <x:c r="J103" s="85" t="n">
        <x:v>1</x:v>
      </x:c>
    </x:row>
    <x:row r="104">
      <x:c r="A104" s="83" t="n">
        <x:v>103</x:v>
      </x:c>
      <x:c r="B104" s="84" t="n">
        <x:v>8</x:v>
      </x:c>
      <x:c r="C104" s="84" t="n">
        <x:v>338</x:v>
      </x:c>
      <x:c r="D104" s="89" t="n">
        <x:v>45807.42927083333</x:v>
      </x:c>
      <x:c r="E104" s="84" t="str">
        <x:v>Correia</x:v>
      </x:c>
      <x:c r="F104" s="84" t="str">
        <x:v>Curto-circuito</x:v>
      </x:c>
      <x:c r="G104" s="84" t="str">
        <x:v>Ajuste incorreto</x:v>
      </x:c>
      <x:c r="H104" s="84" t="str">
        <x:v>Alta</x:v>
      </x:c>
      <x:c r="I104" s="84" t="n">
        <x:v>0</x:v>
      </x:c>
      <x:c r="J104" s="85" t="n">
        <x:v>1</x:v>
      </x:c>
    </x:row>
    <x:row r="105">
      <x:c r="A105" s="83" t="n">
        <x:v>104</x:v>
      </x:c>
      <x:c r="B105" s="84" t="n">
        <x:v>48</x:v>
      </x:c>
      <x:c r="C105" s="84" t="n">
        <x:v>341</x:v>
      </x:c>
      <x:c r="D105" s="89" t="n">
        <x:v>45312.13291666667</x:v>
      </x:c>
      <x:c r="E105" s="84" t="str">
        <x:v>Motor</x:v>
      </x:c>
      <x:c r="F105" s="84" t="str">
        <x:v>Perda de sinal</x:v>
      </x:c>
      <x:c r="G105" s="84" t="str">
        <x:v>Desgaste natural</x:v>
      </x:c>
      <x:c r="H105" s="84" t="str">
        <x:v>Média</x:v>
      </x:c>
      <x:c r="I105" s="84" t="n">
        <x:v>0</x:v>
      </x:c>
      <x:c r="J105" s="85" t="n">
        <x:v>1</x:v>
      </x:c>
    </x:row>
    <x:row r="106">
      <x:c r="A106" s="83" t="n">
        <x:v>105</x:v>
      </x:c>
      <x:c r="B106" s="84" t="n">
        <x:v>81</x:v>
      </x:c>
      <x:c r="C106" s="84" t="n">
        <x:v>345</x:v>
      </x:c>
      <x:c r="D106" s="89" t="n">
        <x:v>45309.81271990741</x:v>
      </x:c>
      <x:c r="E106" s="84" t="str">
        <x:v>Sensor</x:v>
      </x:c>
      <x:c r="F106" s="84" t="str">
        <x:v>Travamento</x:v>
      </x:c>
      <x:c r="G106" s="84" t="str">
        <x:v>Contaminação</x:v>
      </x:c>
      <x:c r="H106" s="84" t="str">
        <x:v>Baixa</x:v>
      </x:c>
      <x:c r="I106" s="84" t="n">
        <x:v>0</x:v>
      </x:c>
      <x:c r="J106" s="85" t="n">
        <x:v>1</x:v>
      </x:c>
    </x:row>
    <x:row r="107">
      <x:c r="A107" s="83" t="n">
        <x:v>106</x:v>
      </x:c>
      <x:c r="B107" s="84" t="n">
        <x:v>61</x:v>
      </x:c>
      <x:c r="C107" s="84" t="n">
        <x:v>348</x:v>
      </x:c>
      <x:c r="D107" s="89" t="n">
        <x:v>45082.047002314815</x:v>
      </x:c>
      <x:c r="E107" s="84" t="str">
        <x:v>CLP</x:v>
      </x:c>
      <x:c r="F107" s="84" t="str">
        <x:v>Travamento</x:v>
      </x:c>
      <x:c r="G107" s="84" t="str">
        <x:v>Contaminação</x:v>
      </x:c>
      <x:c r="H107" s="84" t="str">
        <x:v>Alta</x:v>
      </x:c>
      <x:c r="I107" s="84" t="n">
        <x:v>0</x:v>
      </x:c>
      <x:c r="J107" s="85" t="n">
        <x:v>1</x:v>
      </x:c>
    </x:row>
    <x:row r="108">
      <x:c r="A108" s="83" t="n">
        <x:v>107</x:v>
      </x:c>
      <x:c r="B108" s="84" t="n">
        <x:v>19</x:v>
      </x:c>
      <x:c r="C108" s="84" t="n">
        <x:v>352</x:v>
      </x:c>
      <x:c r="D108" s="89" t="n">
        <x:v>45377.40251157407</x:v>
      </x:c>
      <x:c r="E108" s="84" t="str">
        <x:v>Rolamento</x:v>
      </x:c>
      <x:c r="F108" s="84" t="str">
        <x:v>Curto-circuito</x:v>
      </x:c>
      <x:c r="G108" s="84" t="str">
        <x:v>Componente danificado</x:v>
      </x:c>
      <x:c r="H108" s="84" t="str">
        <x:v>Alta</x:v>
      </x:c>
      <x:c r="I108" s="84" t="n">
        <x:v>0</x:v>
      </x:c>
      <x:c r="J108" s="85" t="n">
        <x:v>1</x:v>
      </x:c>
    </x:row>
    <x:row r="109">
      <x:c r="A109" s="83" t="n">
        <x:v>108</x:v>
      </x:c>
      <x:c r="B109" s="84" t="n">
        <x:v>63</x:v>
      </x:c>
      <x:c r="C109" s="84" t="n">
        <x:v>353</x:v>
      </x:c>
      <x:c r="D109" s="89" t="n">
        <x:v>45582.00435185185</x:v>
      </x:c>
      <x:c r="E109" s="84" t="str">
        <x:v>Motor</x:v>
      </x:c>
      <x:c r="F109" s="84" t="str">
        <x:v>Quebra</x:v>
      </x:c>
      <x:c r="G109" s="84" t="str">
        <x:v>Conexão frouxa</x:v>
      </x:c>
      <x:c r="H109" s="84" t="str">
        <x:v>Baixa</x:v>
      </x:c>
      <x:c r="I109" s="84" t="n">
        <x:v>0</x:v>
      </x:c>
      <x:c r="J109" s="85" t="n">
        <x:v>1</x:v>
      </x:c>
    </x:row>
    <x:row r="110">
      <x:c r="A110" s="83" t="n">
        <x:v>109</x:v>
      </x:c>
      <x:c r="B110" s="84" t="n">
        <x:v>1</x:v>
      </x:c>
      <x:c r="C110" s="84" t="n">
        <x:v>356</x:v>
      </x:c>
      <x:c r="D110" s="89" t="n">
        <x:v>45395.79054398148</x:v>
      </x:c>
      <x:c r="E110" s="84" t="str">
        <x:v>Motor</x:v>
      </x:c>
      <x:c r="F110" s="84" t="str">
        <x:v>Desgaste</x:v>
      </x:c>
      <x:c r="G110" s="84" t="str">
        <x:v>Componente danificado</x:v>
      </x:c>
      <x:c r="H110" s="84" t="str">
        <x:v>Alta</x:v>
      </x:c>
      <x:c r="I110" s="84" t="n">
        <x:v>0</x:v>
      </x:c>
      <x:c r="J110" s="85" t="n">
        <x:v>1</x:v>
      </x:c>
    </x:row>
    <x:row r="111">
      <x:c r="A111" s="83" t="n">
        <x:v>110</x:v>
      </x:c>
      <x:c r="B111" s="84" t="n">
        <x:v>38</x:v>
      </x:c>
      <x:c r="C111" s="84" t="n">
        <x:v>358</x:v>
      </x:c>
      <x:c r="D111" s="89" t="n">
        <x:v>45465.509571759256</x:v>
      </x:c>
      <x:c r="E111" s="84" t="str">
        <x:v>Correia</x:v>
      </x:c>
      <x:c r="F111" s="84" t="str">
        <x:v>Desgaste</x:v>
      </x:c>
      <x:c r="G111" s="84" t="str">
        <x:v>Desgaste natural</x:v>
      </x:c>
      <x:c r="H111" s="84" t="str">
        <x:v>Alta</x:v>
      </x:c>
      <x:c r="I111" s="84" t="n">
        <x:v>0</x:v>
      </x:c>
      <x:c r="J111" s="85" t="n">
        <x:v>1</x:v>
      </x:c>
    </x:row>
    <x:row r="112">
      <x:c r="A112" s="83" t="n">
        <x:v>111</x:v>
      </x:c>
      <x:c r="B112" s="84" t="n">
        <x:v>24</x:v>
      </x:c>
      <x:c r="C112" s="84" t="n">
        <x:v>360</x:v>
      </x:c>
      <x:c r="D112" s="89" t="n">
        <x:v>45317.15733796296</x:v>
      </x:c>
      <x:c r="E112" s="84" t="str">
        <x:v>CLP</x:v>
      </x:c>
      <x:c r="F112" s="84" t="str">
        <x:v>Quebra</x:v>
      </x:c>
      <x:c r="G112" s="84" t="str">
        <x:v>Conexão frouxa</x:v>
      </x:c>
      <x:c r="H112" s="84" t="str">
        <x:v>Baixa</x:v>
      </x:c>
      <x:c r="I112" s="84" t="n">
        <x:v>0</x:v>
      </x:c>
      <x:c r="J112" s="85" t="n">
        <x:v>1</x:v>
      </x:c>
    </x:row>
    <x:row r="113">
      <x:c r="A113" s="83" t="n">
        <x:v>112</x:v>
      </x:c>
      <x:c r="B113" s="84" t="n">
        <x:v>73</x:v>
      </x:c>
      <x:c r="C113" s="84" t="n">
        <x:v>369</x:v>
      </x:c>
      <x:c r="D113" s="89" t="n">
        <x:v>45120.03037037037</x:v>
      </x:c>
      <x:c r="E113" s="84" t="str">
        <x:v>CLP</x:v>
      </x:c>
      <x:c r="F113" s="84" t="str">
        <x:v>Curto-circuito</x:v>
      </x:c>
      <x:c r="G113" s="84" t="str">
        <x:v>Componente danificado</x:v>
      </x:c>
      <x:c r="H113" s="84" t="str">
        <x:v>Alta</x:v>
      </x:c>
      <x:c r="I113" s="84" t="n">
        <x:v>0</x:v>
      </x:c>
      <x:c r="J113" s="85" t="n">
        <x:v>1</x:v>
      </x:c>
    </x:row>
    <x:row r="114">
      <x:c r="A114" s="83" t="n">
        <x:v>113</x:v>
      </x:c>
      <x:c r="B114" s="84" t="n">
        <x:v>52</x:v>
      </x:c>
      <x:c r="C114" s="84" t="n">
        <x:v>371</x:v>
      </x:c>
      <x:c r="D114" s="89" t="n">
        <x:v>45040.48619212963</x:v>
      </x:c>
      <x:c r="E114" s="84" t="str">
        <x:v>Sensor</x:v>
      </x:c>
      <x:c r="F114" s="84" t="str">
        <x:v>Curto-circuito</x:v>
      </x:c>
      <x:c r="G114" s="84" t="str">
        <x:v>Conexão frouxa</x:v>
      </x:c>
      <x:c r="H114" s="84" t="str">
        <x:v>Alta</x:v>
      </x:c>
      <x:c r="I114" s="84" t="n">
        <x:v>1</x:v>
      </x:c>
      <x:c r="J114" s="85" t="n">
        <x:v>1</x:v>
      </x:c>
    </x:row>
    <x:row r="115">
      <x:c r="A115" s="83" t="n">
        <x:v>114</x:v>
      </x:c>
      <x:c r="B115" s="84" t="n">
        <x:v>86</x:v>
      </x:c>
      <x:c r="C115" s="84" t="n">
        <x:v>372</x:v>
      </x:c>
      <x:c r="D115" s="89" t="n">
        <x:v>45486.50858796296</x:v>
      </x:c>
      <x:c r="E115" s="84" t="str">
        <x:v>Correia</x:v>
      </x:c>
      <x:c r="F115" s="84" t="str">
        <x:v>Travamento</x:v>
      </x:c>
      <x:c r="G115" s="84" t="str">
        <x:v>Desgaste natural</x:v>
      </x:c>
      <x:c r="H115" s="84" t="str">
        <x:v>Média</x:v>
      </x:c>
      <x:c r="I115" s="84" t="n">
        <x:v>0</x:v>
      </x:c>
      <x:c r="J115" s="85" t="n">
        <x:v>1</x:v>
      </x:c>
    </x:row>
    <x:row r="116">
      <x:c r="A116" s="83" t="n">
        <x:v>115</x:v>
      </x:c>
      <x:c r="B116" s="84" t="n">
        <x:v>34</x:v>
      </x:c>
      <x:c r="C116" s="84" t="n">
        <x:v>374</x:v>
      </x:c>
      <x:c r="D116" s="89" t="n">
        <x:v>45843.781122685185</x:v>
      </x:c>
      <x:c r="E116" s="84" t="str">
        <x:v>Sensor</x:v>
      </x:c>
      <x:c r="F116" s="84" t="str">
        <x:v>Travamento</x:v>
      </x:c>
      <x:c r="G116" s="84" t="str">
        <x:v>Falta de lubrificação</x:v>
      </x:c>
      <x:c r="H116" s="84" t="str">
        <x:v>Média</x:v>
      </x:c>
      <x:c r="I116" s="84" t="n">
        <x:v>0</x:v>
      </x:c>
      <x:c r="J116" s="85" t="n">
        <x:v>1</x:v>
      </x:c>
    </x:row>
    <x:row r="117">
      <x:c r="A117" s="83" t="n">
        <x:v>116</x:v>
      </x:c>
      <x:c r="B117" s="84" t="n">
        <x:v>23</x:v>
      </x:c>
      <x:c r="C117" s="84" t="n">
        <x:v>377</x:v>
      </x:c>
      <x:c r="D117" s="89" t="n">
        <x:v>45011.36116898148</x:v>
      </x:c>
      <x:c r="E117" s="84" t="str">
        <x:v>Rolamento</x:v>
      </x:c>
      <x:c r="F117" s="84" t="str">
        <x:v>Quebra</x:v>
      </x:c>
      <x:c r="G117" s="84" t="str">
        <x:v>Componente danificado</x:v>
      </x:c>
      <x:c r="H117" s="84" t="str">
        <x:v>Baixa</x:v>
      </x:c>
      <x:c r="I117" s="84" t="n">
        <x:v>0</x:v>
      </x:c>
      <x:c r="J117" s="85" t="n">
        <x:v>1</x:v>
      </x:c>
    </x:row>
    <x:row r="118">
      <x:c r="A118" s="83" t="n">
        <x:v>117</x:v>
      </x:c>
      <x:c r="B118" s="84" t="n">
        <x:v>71</x:v>
      </x:c>
      <x:c r="C118" s="84" t="n">
        <x:v>380</x:v>
      </x:c>
      <x:c r="D118" s="89" t="n">
        <x:v>45794.16736111111</x:v>
      </x:c>
      <x:c r="E118" s="84" t="str">
        <x:v>Sensor</x:v>
      </x:c>
      <x:c r="F118" s="84" t="str">
        <x:v>Quebra</x:v>
      </x:c>
      <x:c r="G118" s="84" t="str">
        <x:v>Falta de lubrificação</x:v>
      </x:c>
      <x:c r="H118" s="84" t="str">
        <x:v>Alta</x:v>
      </x:c>
      <x:c r="I118" s="84" t="n">
        <x:v>0</x:v>
      </x:c>
      <x:c r="J118" s="85" t="n">
        <x:v>1</x:v>
      </x:c>
    </x:row>
    <x:row r="119">
      <x:c r="A119" s="83" t="n">
        <x:v>118</x:v>
      </x:c>
      <x:c r="B119" s="84" t="n">
        <x:v>41</x:v>
      </x:c>
      <x:c r="C119" s="84" t="n">
        <x:v>381</x:v>
      </x:c>
      <x:c r="D119" s="89" t="n">
        <x:v>45449.29961805556</x:v>
      </x:c>
      <x:c r="E119" s="84" t="str">
        <x:v>Correia</x:v>
      </x:c>
      <x:c r="F119" s="84" t="str">
        <x:v>Perda de sinal</x:v>
      </x:c>
      <x:c r="G119" s="84" t="str">
        <x:v>Componente danificado</x:v>
      </x:c>
      <x:c r="H119" s="84" t="str">
        <x:v>Alta</x:v>
      </x:c>
      <x:c r="I119" s="84" t="n">
        <x:v>0</x:v>
      </x:c>
      <x:c r="J119" s="85" t="n">
        <x:v>1</x:v>
      </x:c>
    </x:row>
    <x:row r="120">
      <x:c r="A120" s="83" t="n">
        <x:v>119</x:v>
      </x:c>
      <x:c r="B120" s="84" t="n">
        <x:v>55</x:v>
      </x:c>
      <x:c r="C120" s="84" t="n">
        <x:v>386</x:v>
      </x:c>
      <x:c r="D120" s="89" t="n">
        <x:v>45874.37949074074</x:v>
      </x:c>
      <x:c r="E120" s="84" t="str">
        <x:v>Motor</x:v>
      </x:c>
      <x:c r="F120" s="84" t="str">
        <x:v>Perda de sinal</x:v>
      </x:c>
      <x:c r="G120" s="84" t="str">
        <x:v>Conexão frouxa</x:v>
      </x:c>
      <x:c r="H120" s="84" t="str">
        <x:v>Alta</x:v>
      </x:c>
      <x:c r="I120" s="84" t="n">
        <x:v>0</x:v>
      </x:c>
      <x:c r="J120" s="85" t="n">
        <x:v>1</x:v>
      </x:c>
    </x:row>
    <x:row r="121">
      <x:c r="A121" s="83" t="n">
        <x:v>120</x:v>
      </x:c>
      <x:c r="B121" s="84" t="n">
        <x:v>9</x:v>
      </x:c>
      <x:c r="C121" s="84" t="n">
        <x:v>387</x:v>
      </x:c>
      <x:c r="D121" s="89" t="n">
        <x:v>45791.68341435185</x:v>
      </x:c>
      <x:c r="E121" s="84" t="str">
        <x:v>Motor</x:v>
      </x:c>
      <x:c r="F121" s="84" t="str">
        <x:v>Desgaste</x:v>
      </x:c>
      <x:c r="G121" s="84" t="str">
        <x:v>Ajuste incorreto</x:v>
      </x:c>
      <x:c r="H121" s="84" t="str">
        <x:v>Média</x:v>
      </x:c>
      <x:c r="I121" s="84" t="n">
        <x:v>0</x:v>
      </x:c>
      <x:c r="J121" s="85" t="n">
        <x:v>1</x:v>
      </x:c>
    </x:row>
    <x:row r="122">
      <x:c r="A122" s="83" t="n">
        <x:v>121</x:v>
      </x:c>
      <x:c r="B122" s="84" t="n">
        <x:v>12</x:v>
      </x:c>
      <x:c r="C122" s="84" t="n">
        <x:v>390</x:v>
      </x:c>
      <x:c r="D122" s="89" t="n">
        <x:v>45432.728101851855</x:v>
      </x:c>
      <x:c r="E122" s="84" t="str">
        <x:v>CLP</x:v>
      </x:c>
      <x:c r="F122" s="84" t="str">
        <x:v>Quebra</x:v>
      </x:c>
      <x:c r="G122" s="84" t="str">
        <x:v>Falta de lubrificação</x:v>
      </x:c>
      <x:c r="H122" s="84" t="str">
        <x:v>Média</x:v>
      </x:c>
      <x:c r="I122" s="84" t="n">
        <x:v>0</x:v>
      </x:c>
      <x:c r="J122" s="85" t="n">
        <x:v>1</x:v>
      </x:c>
    </x:row>
    <x:row r="123">
      <x:c r="A123" s="83" t="n">
        <x:v>122</x:v>
      </x:c>
      <x:c r="B123" s="84" t="n">
        <x:v>50</x:v>
      </x:c>
      <x:c r="C123" s="84" t="n">
        <x:v>391</x:v>
      </x:c>
      <x:c r="D123" s="89" t="n">
        <x:v>45664.605416666665</x:v>
      </x:c>
      <x:c r="E123" s="84" t="str">
        <x:v>Válvula</x:v>
      </x:c>
      <x:c r="F123" s="84" t="str">
        <x:v>Perda de sinal</x:v>
      </x:c>
      <x:c r="G123" s="84" t="str">
        <x:v>Contaminação</x:v>
      </x:c>
      <x:c r="H123" s="84" t="str">
        <x:v>Alta</x:v>
      </x:c>
      <x:c r="I123" s="84" t="n">
        <x:v>0</x:v>
      </x:c>
      <x:c r="J123" s="85" t="n">
        <x:v>1</x:v>
      </x:c>
    </x:row>
    <x:row r="124">
      <x:c r="A124" s="83" t="n">
        <x:v>123</x:v>
      </x:c>
      <x:c r="B124" s="84" t="n">
        <x:v>36</x:v>
      </x:c>
      <x:c r="C124" s="84" t="n">
        <x:v>400</x:v>
      </x:c>
      <x:c r="D124" s="89" t="n">
        <x:v>44939.281493055554</x:v>
      </x:c>
      <x:c r="E124" s="84" t="str">
        <x:v>CLP</x:v>
      </x:c>
      <x:c r="F124" s="84" t="str">
        <x:v>Perda de sinal</x:v>
      </x:c>
      <x:c r="G124" s="84" t="str">
        <x:v>Ajuste incorreto</x:v>
      </x:c>
      <x:c r="H124" s="84" t="str">
        <x:v>Alta</x:v>
      </x:c>
      <x:c r="I124" s="84" t="n">
        <x:v>0</x:v>
      </x:c>
      <x:c r="J124" s="85" t="n">
        <x:v>1</x:v>
      </x:c>
    </x:row>
    <x:row r="125">
      <x:c r="A125" s="83" t="n">
        <x:v>124</x:v>
      </x:c>
      <x:c r="B125" s="84" t="n">
        <x:v>66</x:v>
      </x:c>
      <x:c r="C125" s="84" t="n">
        <x:v>404</x:v>
      </x:c>
      <x:c r="D125" s="89" t="n">
        <x:v>45526.3966087963</x:v>
      </x:c>
      <x:c r="E125" s="84" t="str">
        <x:v>Correia</x:v>
      </x:c>
      <x:c r="F125" s="84" t="str">
        <x:v>Perda de sinal</x:v>
      </x:c>
      <x:c r="G125" s="84" t="str">
        <x:v>Desgaste natural</x:v>
      </x:c>
      <x:c r="H125" s="84" t="str">
        <x:v>Baixa</x:v>
      </x:c>
      <x:c r="I125" s="84" t="n">
        <x:v>0</x:v>
      </x:c>
      <x:c r="J125" s="85" t="n">
        <x:v>1</x:v>
      </x:c>
    </x:row>
    <x:row r="126">
      <x:c r="A126" s="83" t="n">
        <x:v>125</x:v>
      </x:c>
      <x:c r="B126" s="84" t="n">
        <x:v>7</x:v>
      </x:c>
      <x:c r="C126" s="84" t="n">
        <x:v>405</x:v>
      </x:c>
      <x:c r="D126" s="89" t="n">
        <x:v>45149.712326388886</x:v>
      </x:c>
      <x:c r="E126" s="84" t="str">
        <x:v>Rolamento</x:v>
      </x:c>
      <x:c r="F126" s="84" t="str">
        <x:v>Perda de sinal</x:v>
      </x:c>
      <x:c r="G126" s="84" t="str">
        <x:v>Falta de lubrificação</x:v>
      </x:c>
      <x:c r="H126" s="84" t="str">
        <x:v>Baixa</x:v>
      </x:c>
      <x:c r="I126" s="84" t="n">
        <x:v>1</x:v>
      </x:c>
      <x:c r="J126" s="85" t="n">
        <x:v>1</x:v>
      </x:c>
    </x:row>
    <x:row r="127">
      <x:c r="A127" s="83" t="n">
        <x:v>126</x:v>
      </x:c>
      <x:c r="B127" s="84" t="n">
        <x:v>29</x:v>
      </x:c>
      <x:c r="C127" s="84" t="n">
        <x:v>408</x:v>
      </x:c>
      <x:c r="D127" s="89" t="n">
        <x:v>45636.67138888889</x:v>
      </x:c>
      <x:c r="E127" s="84" t="str">
        <x:v>Sensor</x:v>
      </x:c>
      <x:c r="F127" s="84" t="str">
        <x:v>Travamento</x:v>
      </x:c>
      <x:c r="G127" s="84" t="str">
        <x:v>Ajuste incorreto</x:v>
      </x:c>
      <x:c r="H127" s="84" t="str">
        <x:v>Média</x:v>
      </x:c>
      <x:c r="I127" s="84" t="n">
        <x:v>0</x:v>
      </x:c>
      <x:c r="J127" s="85" t="n">
        <x:v>1</x:v>
      </x:c>
    </x:row>
    <x:row r="128">
      <x:c r="A128" s="83" t="n">
        <x:v>127</x:v>
      </x:c>
      <x:c r="B128" s="84" t="n">
        <x:v>84</x:v>
      </x:c>
      <x:c r="C128" s="84" t="n">
        <x:v>411</x:v>
      </x:c>
      <x:c r="D128" s="89" t="n">
        <x:v>45463.5378125</x:v>
      </x:c>
      <x:c r="E128" s="84" t="str">
        <x:v>Rolamento</x:v>
      </x:c>
      <x:c r="F128" s="84" t="str">
        <x:v>Desgaste</x:v>
      </x:c>
      <x:c r="G128" s="84" t="str">
        <x:v>Contaminação</x:v>
      </x:c>
      <x:c r="H128" s="84" t="str">
        <x:v>Baixa</x:v>
      </x:c>
      <x:c r="I128" s="84" t="n">
        <x:v>0</x:v>
      </x:c>
      <x:c r="J128" s="85" t="n">
        <x:v>1</x:v>
      </x:c>
    </x:row>
    <x:row r="129">
      <x:c r="A129" s="83" t="n">
        <x:v>128</x:v>
      </x:c>
      <x:c r="B129" s="84" t="n">
        <x:v>8</x:v>
      </x:c>
      <x:c r="C129" s="84" t="n">
        <x:v>420</x:v>
      </x:c>
      <x:c r="D129" s="89" t="n">
        <x:v>45009.89225694445</x:v>
      </x:c>
      <x:c r="E129" s="84" t="str">
        <x:v>Válvula</x:v>
      </x:c>
      <x:c r="F129" s="84" t="str">
        <x:v>Perda de sinal</x:v>
      </x:c>
      <x:c r="G129" s="84" t="str">
        <x:v>Ajuste incorreto</x:v>
      </x:c>
      <x:c r="H129" s="84" t="str">
        <x:v>Baixa</x:v>
      </x:c>
      <x:c r="I129" s="84" t="n">
        <x:v>0</x:v>
      </x:c>
      <x:c r="J129" s="85" t="n">
        <x:v>1</x:v>
      </x:c>
    </x:row>
    <x:row r="130">
      <x:c r="A130" s="83" t="n">
        <x:v>129</x:v>
      </x:c>
      <x:c r="B130" s="84" t="n">
        <x:v>11</x:v>
      </x:c>
      <x:c r="C130" s="84" t="n">
        <x:v>425</x:v>
      </x:c>
      <x:c r="D130" s="89" t="n">
        <x:v>45050.26152777778</x:v>
      </x:c>
      <x:c r="E130" s="84" t="str">
        <x:v>Válvula</x:v>
      </x:c>
      <x:c r="F130" s="84" t="str">
        <x:v>Desgaste</x:v>
      </x:c>
      <x:c r="G130" s="84" t="str">
        <x:v>Falta de lubrificação</x:v>
      </x:c>
      <x:c r="H130" s="84" t="str">
        <x:v>Média</x:v>
      </x:c>
      <x:c r="I130" s="84" t="n">
        <x:v>0</x:v>
      </x:c>
      <x:c r="J130" s="85" t="n">
        <x:v>1</x:v>
      </x:c>
    </x:row>
    <x:row r="131">
      <x:c r="A131" s="83" t="n">
        <x:v>130</x:v>
      </x:c>
      <x:c r="B131" s="84" t="n">
        <x:v>20</x:v>
      </x:c>
      <x:c r="C131" s="84" t="n">
        <x:v>426</x:v>
      </x:c>
      <x:c r="D131" s="89" t="n">
        <x:v>45222.46797453704</x:v>
      </x:c>
      <x:c r="E131" s="84" t="str">
        <x:v>Motor</x:v>
      </x:c>
      <x:c r="F131" s="84" t="str">
        <x:v>Quebra</x:v>
      </x:c>
      <x:c r="G131" s="84" t="str">
        <x:v>Ajuste incorreto</x:v>
      </x:c>
      <x:c r="H131" s="84" t="str">
        <x:v>Média</x:v>
      </x:c>
      <x:c r="I131" s="84" t="n">
        <x:v>0</x:v>
      </x:c>
      <x:c r="J131" s="85" t="n">
        <x:v>1</x:v>
      </x:c>
    </x:row>
    <x:row r="132">
      <x:c r="A132" s="83" t="n">
        <x:v>131</x:v>
      </x:c>
      <x:c r="B132" s="84" t="n">
        <x:v>64</x:v>
      </x:c>
      <x:c r="C132" s="84" t="n">
        <x:v>428</x:v>
      </x:c>
      <x:c r="D132" s="89" t="n">
        <x:v>45622.94834490741</x:v>
      </x:c>
      <x:c r="E132" s="84" t="str">
        <x:v>CLP</x:v>
      </x:c>
      <x:c r="F132" s="84" t="str">
        <x:v>Quebra</x:v>
      </x:c>
      <x:c r="G132" s="84" t="str">
        <x:v>Ajuste incorreto</x:v>
      </x:c>
      <x:c r="H132" s="84" t="str">
        <x:v>Baixa</x:v>
      </x:c>
      <x:c r="I132" s="84" t="n">
        <x:v>1</x:v>
      </x:c>
      <x:c r="J132" s="85" t="n">
        <x:v>1</x:v>
      </x:c>
    </x:row>
    <x:row r="133">
      <x:c r="A133" s="83" t="n">
        <x:v>132</x:v>
      </x:c>
      <x:c r="B133" s="84" t="n">
        <x:v>55</x:v>
      </x:c>
      <x:c r="C133" s="84" t="n">
        <x:v>429</x:v>
      </x:c>
      <x:c r="D133" s="89" t="n">
        <x:v>45816.0753125</x:v>
      </x:c>
      <x:c r="E133" s="84" t="str">
        <x:v>Sensor</x:v>
      </x:c>
      <x:c r="F133" s="84" t="str">
        <x:v>Perda de sinal</x:v>
      </x:c>
      <x:c r="G133" s="84" t="str">
        <x:v>Componente danificado</x:v>
      </x:c>
      <x:c r="H133" s="84" t="str">
        <x:v>Média</x:v>
      </x:c>
      <x:c r="I133" s="84" t="n">
        <x:v>0</x:v>
      </x:c>
      <x:c r="J133" s="85" t="n">
        <x:v>1</x:v>
      </x:c>
    </x:row>
    <x:row r="134">
      <x:c r="A134" s="83" t="n">
        <x:v>133</x:v>
      </x:c>
      <x:c r="B134" s="84" t="n">
        <x:v>36</x:v>
      </x:c>
      <x:c r="C134" s="84" t="n">
        <x:v>435</x:v>
      </x:c>
      <x:c r="D134" s="89" t="n">
        <x:v>45948.53853009259</x:v>
      </x:c>
      <x:c r="E134" s="84" t="str">
        <x:v>Sensor</x:v>
      </x:c>
      <x:c r="F134" s="84" t="str">
        <x:v>Quebra</x:v>
      </x:c>
      <x:c r="G134" s="84" t="str">
        <x:v>Componente danificado</x:v>
      </x:c>
      <x:c r="H134" s="84" t="str">
        <x:v>Alta</x:v>
      </x:c>
      <x:c r="I134" s="84" t="n">
        <x:v>0</x:v>
      </x:c>
      <x:c r="J134" s="85" t="n">
        <x:v>1</x:v>
      </x:c>
    </x:row>
    <x:row r="135">
      <x:c r="A135" s="83" t="n">
        <x:v>134</x:v>
      </x:c>
      <x:c r="B135" s="84" t="n">
        <x:v>55</x:v>
      </x:c>
      <x:c r="C135" s="84" t="n">
        <x:v>436</x:v>
      </x:c>
      <x:c r="D135" s="89" t="n">
        <x:v>45370.4640162037</x:v>
      </x:c>
      <x:c r="E135" s="84" t="str">
        <x:v>Correia</x:v>
      </x:c>
      <x:c r="F135" s="84" t="str">
        <x:v>Desgaste</x:v>
      </x:c>
      <x:c r="G135" s="84" t="str">
        <x:v>Componente danificado</x:v>
      </x:c>
      <x:c r="H135" s="84" t="str">
        <x:v>Média</x:v>
      </x:c>
      <x:c r="I135" s="84" t="n">
        <x:v>0</x:v>
      </x:c>
      <x:c r="J135" s="85" t="n">
        <x:v>1</x:v>
      </x:c>
    </x:row>
    <x:row r="136">
      <x:c r="A136" s="83" t="n">
        <x:v>135</x:v>
      </x:c>
      <x:c r="B136" s="84" t="n">
        <x:v>45</x:v>
      </x:c>
      <x:c r="C136" s="84" t="n">
        <x:v>441</x:v>
      </x:c>
      <x:c r="D136" s="89" t="n">
        <x:v>45668.74092592593</x:v>
      </x:c>
      <x:c r="E136" s="84" t="str">
        <x:v>Motor</x:v>
      </x:c>
      <x:c r="F136" s="84" t="str">
        <x:v>Quebra</x:v>
      </x:c>
      <x:c r="G136" s="84" t="str">
        <x:v>Falta de lubrificação</x:v>
      </x:c>
      <x:c r="H136" s="84" t="str">
        <x:v>Baixa</x:v>
      </x:c>
      <x:c r="I136" s="84" t="n">
        <x:v>0</x:v>
      </x:c>
      <x:c r="J136" s="85" t="n">
        <x:v>1</x:v>
      </x:c>
    </x:row>
    <x:row r="137">
      <x:c r="A137" s="83" t="n">
        <x:v>136</x:v>
      </x:c>
      <x:c r="B137" s="84" t="n">
        <x:v>38</x:v>
      </x:c>
      <x:c r="C137" s="84" t="n">
        <x:v>445</x:v>
      </x:c>
      <x:c r="D137" s="89" t="n">
        <x:v>45687.010567129626</x:v>
      </x:c>
      <x:c r="E137" s="84" t="str">
        <x:v>Correia</x:v>
      </x:c>
      <x:c r="F137" s="84" t="str">
        <x:v>Perda de sinal</x:v>
      </x:c>
      <x:c r="G137" s="84" t="str">
        <x:v>Contaminação</x:v>
      </x:c>
      <x:c r="H137" s="84" t="str">
        <x:v>Baixa</x:v>
      </x:c>
      <x:c r="I137" s="84" t="n">
        <x:v>0</x:v>
      </x:c>
      <x:c r="J137" s="85" t="n">
        <x:v>1</x:v>
      </x:c>
    </x:row>
    <x:row r="138">
      <x:c r="A138" s="83" t="n">
        <x:v>137</x:v>
      </x:c>
      <x:c r="B138" s="84" t="n">
        <x:v>22</x:v>
      </x:c>
      <x:c r="C138" s="84" t="n">
        <x:v>449</x:v>
      </x:c>
      <x:c r="D138" s="89" t="n">
        <x:v>45036.384930555556</x:v>
      </x:c>
      <x:c r="E138" s="84" t="str">
        <x:v>Válvula</x:v>
      </x:c>
      <x:c r="F138" s="84" t="str">
        <x:v>Travamento</x:v>
      </x:c>
      <x:c r="G138" s="84" t="str">
        <x:v>Conexão frouxa</x:v>
      </x:c>
      <x:c r="H138" s="84" t="str">
        <x:v>Baixa</x:v>
      </x:c>
      <x:c r="I138" s="84" t="n">
        <x:v>0</x:v>
      </x:c>
      <x:c r="J138" s="85" t="n">
        <x:v>1</x:v>
      </x:c>
    </x:row>
    <x:row r="139">
      <x:c r="A139" s="83" t="n">
        <x:v>138</x:v>
      </x:c>
      <x:c r="B139" s="84" t="n">
        <x:v>8</x:v>
      </x:c>
      <x:c r="C139" s="84" t="n">
        <x:v>452</x:v>
      </x:c>
      <x:c r="D139" s="89" t="n">
        <x:v>44927.535474537035</x:v>
      </x:c>
      <x:c r="E139" s="84" t="str">
        <x:v>Correia</x:v>
      </x:c>
      <x:c r="F139" s="84" t="str">
        <x:v>Perda de sinal</x:v>
      </x:c>
      <x:c r="G139" s="84" t="str">
        <x:v>Ajuste incorreto</x:v>
      </x:c>
      <x:c r="H139" s="84" t="str">
        <x:v>Média</x:v>
      </x:c>
      <x:c r="I139" s="84" t="n">
        <x:v>0</x:v>
      </x:c>
      <x:c r="J139" s="85" t="n">
        <x:v>1</x:v>
      </x:c>
    </x:row>
    <x:row r="140">
      <x:c r="A140" s="83" t="n">
        <x:v>139</x:v>
      </x:c>
      <x:c r="B140" s="84" t="n">
        <x:v>64</x:v>
      </x:c>
      <x:c r="C140" s="84" t="n">
        <x:v>453</x:v>
      </x:c>
      <x:c r="D140" s="89" t="n">
        <x:v>45583.32708333333</x:v>
      </x:c>
      <x:c r="E140" s="84" t="str">
        <x:v>Válvula</x:v>
      </x:c>
      <x:c r="F140" s="84" t="str">
        <x:v>Desgaste</x:v>
      </x:c>
      <x:c r="G140" s="84" t="str">
        <x:v>Ajuste incorreto</x:v>
      </x:c>
      <x:c r="H140" s="84" t="str">
        <x:v>Média</x:v>
      </x:c>
      <x:c r="I140" s="84" t="n">
        <x:v>0</x:v>
      </x:c>
      <x:c r="J140" s="85" t="n">
        <x:v>1</x:v>
      </x:c>
    </x:row>
    <x:row r="141">
      <x:c r="A141" s="83" t="n">
        <x:v>140</x:v>
      </x:c>
      <x:c r="B141" s="84" t="n">
        <x:v>62</x:v>
      </x:c>
      <x:c r="C141" s="84" t="n">
        <x:v>456</x:v>
      </x:c>
      <x:c r="D141" s="89" t="n">
        <x:v>45392.1802662037</x:v>
      </x:c>
      <x:c r="E141" s="84" t="str">
        <x:v>Motor</x:v>
      </x:c>
      <x:c r="F141" s="84" t="str">
        <x:v>Curto-circuito</x:v>
      </x:c>
      <x:c r="G141" s="84" t="str">
        <x:v>Contaminação</x:v>
      </x:c>
      <x:c r="H141" s="84" t="str">
        <x:v>Baixa</x:v>
      </x:c>
      <x:c r="I141" s="84" t="n">
        <x:v>1</x:v>
      </x:c>
      <x:c r="J141" s="85" t="n">
        <x:v>1</x:v>
      </x:c>
    </x:row>
    <x:row r="142">
      <x:c r="A142" s="83" t="n">
        <x:v>141</x:v>
      </x:c>
      <x:c r="B142" s="84" t="n">
        <x:v>26</x:v>
      </x:c>
      <x:c r="C142" s="84" t="n">
        <x:v>460</x:v>
      </x:c>
      <x:c r="D142" s="89" t="n">
        <x:v>45024.62701388889</x:v>
      </x:c>
      <x:c r="E142" s="84" t="str">
        <x:v>Válvula</x:v>
      </x:c>
      <x:c r="F142" s="84" t="str">
        <x:v>Travamento</x:v>
      </x:c>
      <x:c r="G142" s="84" t="str">
        <x:v>Ajuste incorreto</x:v>
      </x:c>
      <x:c r="H142" s="84" t="str">
        <x:v>Alta</x:v>
      </x:c>
      <x:c r="I142" s="84" t="n">
        <x:v>0</x:v>
      </x:c>
      <x:c r="J142" s="85" t="n">
        <x:v>1</x:v>
      </x:c>
    </x:row>
    <x:row r="143">
      <x:c r="A143" s="83" t="n">
        <x:v>142</x:v>
      </x:c>
      <x:c r="B143" s="84" t="n">
        <x:v>55</x:v>
      </x:c>
      <x:c r="C143" s="84" t="n">
        <x:v>461</x:v>
      </x:c>
      <x:c r="D143" s="89" t="n">
        <x:v>45010.751296296294</x:v>
      </x:c>
      <x:c r="E143" s="84" t="str">
        <x:v>Sensor</x:v>
      </x:c>
      <x:c r="F143" s="84" t="str">
        <x:v>Travamento</x:v>
      </x:c>
      <x:c r="G143" s="84" t="str">
        <x:v>Desgaste natural</x:v>
      </x:c>
      <x:c r="H143" s="84" t="str">
        <x:v>Alta</x:v>
      </x:c>
      <x:c r="I143" s="84" t="n">
        <x:v>0</x:v>
      </x:c>
      <x:c r="J143" s="85" t="n">
        <x:v>1</x:v>
      </x:c>
    </x:row>
    <x:row r="144">
      <x:c r="A144" s="83" t="n">
        <x:v>143</x:v>
      </x:c>
      <x:c r="B144" s="84" t="n">
        <x:v>80</x:v>
      </x:c>
      <x:c r="C144" s="84" t="n">
        <x:v>463</x:v>
      </x:c>
      <x:c r="D144" s="89" t="n">
        <x:v>45504.546805555554</x:v>
      </x:c>
      <x:c r="E144" s="84" t="str">
        <x:v>Correia</x:v>
      </x:c>
      <x:c r="F144" s="84" t="str">
        <x:v>Curto-circuito</x:v>
      </x:c>
      <x:c r="G144" s="84" t="str">
        <x:v>Ajuste incorreto</x:v>
      </x:c>
      <x:c r="H144" s="84" t="str">
        <x:v>Média</x:v>
      </x:c>
      <x:c r="I144" s="84" t="n">
        <x:v>0</x:v>
      </x:c>
      <x:c r="J144" s="85" t="n">
        <x:v>1</x:v>
      </x:c>
    </x:row>
    <x:row r="145">
      <x:c r="A145" s="83" t="n">
        <x:v>144</x:v>
      </x:c>
      <x:c r="B145" s="84" t="n">
        <x:v>63</x:v>
      </x:c>
      <x:c r="C145" s="84" t="n">
        <x:v>468</x:v>
      </x:c>
      <x:c r="D145" s="89" t="n">
        <x:v>45636.070127314815</x:v>
      </x:c>
      <x:c r="E145" s="84" t="str">
        <x:v>CLP</x:v>
      </x:c>
      <x:c r="F145" s="84" t="str">
        <x:v>Perda de sinal</x:v>
      </x:c>
      <x:c r="G145" s="84" t="str">
        <x:v>Contaminação</x:v>
      </x:c>
      <x:c r="H145" s="84" t="str">
        <x:v>Alta</x:v>
      </x:c>
      <x:c r="I145" s="84" t="n">
        <x:v>0</x:v>
      </x:c>
      <x:c r="J145" s="85" t="n">
        <x:v>1</x:v>
      </x:c>
    </x:row>
    <x:row r="146">
      <x:c r="A146" s="83" t="n">
        <x:v>145</x:v>
      </x:c>
      <x:c r="B146" s="84" t="n">
        <x:v>26</x:v>
      </x:c>
      <x:c r="C146" s="84" t="n">
        <x:v>469</x:v>
      </x:c>
      <x:c r="D146" s="89" t="n">
        <x:v>44949.038935185185</x:v>
      </x:c>
      <x:c r="E146" s="84" t="str">
        <x:v>Rolamento</x:v>
      </x:c>
      <x:c r="F146" s="84" t="str">
        <x:v>Curto-circuito</x:v>
      </x:c>
      <x:c r="G146" s="84" t="str">
        <x:v>Ajuste incorreto</x:v>
      </x:c>
      <x:c r="H146" s="84" t="str">
        <x:v>Baixa</x:v>
      </x:c>
      <x:c r="I146" s="84" t="n">
        <x:v>1</x:v>
      </x:c>
      <x:c r="J146" s="85" t="n">
        <x:v>1</x:v>
      </x:c>
    </x:row>
    <x:row r="147">
      <x:c r="A147" s="83" t="n">
        <x:v>146</x:v>
      </x:c>
      <x:c r="B147" s="84" t="n">
        <x:v>71</x:v>
      </x:c>
      <x:c r="C147" s="84" t="n">
        <x:v>475</x:v>
      </x:c>
      <x:c r="D147" s="89" t="n">
        <x:v>45928.09363425926</x:v>
      </x:c>
      <x:c r="E147" s="84" t="str">
        <x:v>Correia</x:v>
      </x:c>
      <x:c r="F147" s="84" t="str">
        <x:v>Perda de sinal</x:v>
      </x:c>
      <x:c r="G147" s="84" t="str">
        <x:v>Componente danificado</x:v>
      </x:c>
      <x:c r="H147" s="84" t="str">
        <x:v>Baixa</x:v>
      </x:c>
      <x:c r="I147" s="84" t="n">
        <x:v>0</x:v>
      </x:c>
      <x:c r="J147" s="85" t="n">
        <x:v>1</x:v>
      </x:c>
    </x:row>
    <x:row r="148">
      <x:c r="A148" s="83" t="n">
        <x:v>147</x:v>
      </x:c>
      <x:c r="B148" s="84" t="n">
        <x:v>10</x:v>
      </x:c>
      <x:c r="C148" s="84" t="n">
        <x:v>479</x:v>
      </x:c>
      <x:c r="D148" s="89" t="n">
        <x:v>45866.301828703705</x:v>
      </x:c>
      <x:c r="E148" s="84" t="str">
        <x:v>Motor</x:v>
      </x:c>
      <x:c r="F148" s="84" t="str">
        <x:v>Curto-circuito</x:v>
      </x:c>
      <x:c r="G148" s="84" t="str">
        <x:v>Contaminação</x:v>
      </x:c>
      <x:c r="H148" s="84" t="str">
        <x:v>Alta</x:v>
      </x:c>
      <x:c r="I148" s="84" t="n">
        <x:v>1</x:v>
      </x:c>
      <x:c r="J148" s="85" t="n">
        <x:v>1</x:v>
      </x:c>
    </x:row>
    <x:row r="149">
      <x:c r="A149" s="83" t="n">
        <x:v>148</x:v>
      </x:c>
      <x:c r="B149" s="84" t="n">
        <x:v>12</x:v>
      </x:c>
      <x:c r="C149" s="84" t="n">
        <x:v>481</x:v>
      </x:c>
      <x:c r="D149" s="89" t="n">
        <x:v>45011.12008101852</x:v>
      </x:c>
      <x:c r="E149" s="84" t="str">
        <x:v>Motor</x:v>
      </x:c>
      <x:c r="F149" s="84" t="str">
        <x:v>Perda de sinal</x:v>
      </x:c>
      <x:c r="G149" s="84" t="str">
        <x:v>Conexão frouxa</x:v>
      </x:c>
      <x:c r="H149" s="84" t="str">
        <x:v>Média</x:v>
      </x:c>
      <x:c r="I149" s="84" t="n">
        <x:v>0</x:v>
      </x:c>
      <x:c r="J149" s="85" t="n">
        <x:v>1</x:v>
      </x:c>
    </x:row>
    <x:row r="150">
      <x:c r="A150" s="83" t="n">
        <x:v>149</x:v>
      </x:c>
      <x:c r="B150" s="84" t="n">
        <x:v>35</x:v>
      </x:c>
      <x:c r="C150" s="84" t="n">
        <x:v>482</x:v>
      </x:c>
      <x:c r="D150" s="89" t="n">
        <x:v>45413.11243055556</x:v>
      </x:c>
      <x:c r="E150" s="84" t="str">
        <x:v>Motor</x:v>
      </x:c>
      <x:c r="F150" s="84" t="str">
        <x:v>Travamento</x:v>
      </x:c>
      <x:c r="G150" s="84" t="str">
        <x:v>Componente danificado</x:v>
      </x:c>
      <x:c r="H150" s="84" t="str">
        <x:v>Baixa</x:v>
      </x:c>
      <x:c r="I150" s="84" t="n">
        <x:v>0</x:v>
      </x:c>
      <x:c r="J150" s="85" t="n">
        <x:v>1</x:v>
      </x:c>
    </x:row>
    <x:row r="151">
      <x:c r="A151" s="83" t="n">
        <x:v>150</x:v>
      </x:c>
      <x:c r="B151" s="84" t="n">
        <x:v>42</x:v>
      </x:c>
      <x:c r="C151" s="84" t="n">
        <x:v>492</x:v>
      </x:c>
      <x:c r="D151" s="89" t="n">
        <x:v>45315.866064814814</x:v>
      </x:c>
      <x:c r="E151" s="84" t="str">
        <x:v>Correia</x:v>
      </x:c>
      <x:c r="F151" s="84" t="str">
        <x:v>Desgaste</x:v>
      </x:c>
      <x:c r="G151" s="84" t="str">
        <x:v>Desgaste natural</x:v>
      </x:c>
      <x:c r="H151" s="84" t="str">
        <x:v>Alta</x:v>
      </x:c>
      <x:c r="I151" s="84" t="n">
        <x:v>1</x:v>
      </x:c>
      <x:c r="J151" s="85" t="n">
        <x:v>1</x:v>
      </x:c>
    </x:row>
    <x:row r="152">
      <x:c r="A152" s="83" t="n">
        <x:v>151</x:v>
      </x:c>
      <x:c r="B152" s="84" t="n">
        <x:v>11</x:v>
      </x:c>
      <x:c r="C152" s="84" t="n">
        <x:v>496</x:v>
      </x:c>
      <x:c r="D152" s="89" t="n">
        <x:v>45496.52576388889</x:v>
      </x:c>
      <x:c r="E152" s="84" t="str">
        <x:v>Sensor</x:v>
      </x:c>
      <x:c r="F152" s="84" t="str">
        <x:v>Curto-circuito</x:v>
      </x:c>
      <x:c r="G152" s="84" t="str">
        <x:v>Ajuste incorreto</x:v>
      </x:c>
      <x:c r="H152" s="84" t="str">
        <x:v>Média</x:v>
      </x:c>
      <x:c r="I152" s="84" t="n">
        <x:v>0</x:v>
      </x:c>
      <x:c r="J152" s="85" t="n">
        <x:v>1</x:v>
      </x:c>
    </x:row>
    <x:row r="153">
      <x:c r="A153" s="83" t="n">
        <x:v>152</x:v>
      </x:c>
      <x:c r="B153" s="84" t="n">
        <x:v>80</x:v>
      </x:c>
      <x:c r="C153" s="84" t="n">
        <x:v>497</x:v>
      </x:c>
      <x:c r="D153" s="89" t="n">
        <x:v>45315.76020833333</x:v>
      </x:c>
      <x:c r="E153" s="84" t="str">
        <x:v>Válvula</x:v>
      </x:c>
      <x:c r="F153" s="84" t="str">
        <x:v>Travamento</x:v>
      </x:c>
      <x:c r="G153" s="84" t="str">
        <x:v>Falta de lubrificação</x:v>
      </x:c>
      <x:c r="H153" s="84" t="str">
        <x:v>Baixa</x:v>
      </x:c>
      <x:c r="I153" s="84" t="n">
        <x:v>1</x:v>
      </x:c>
      <x:c r="J153" s="85" t="n">
        <x:v>1</x:v>
      </x:c>
    </x:row>
    <x:row r="154">
      <x:c r="A154" s="83" t="n">
        <x:v>153</x:v>
      </x:c>
      <x:c r="B154" s="84" t="n">
        <x:v>10</x:v>
      </x:c>
      <x:c r="C154" s="84" t="n">
        <x:v>500</x:v>
      </x:c>
      <x:c r="D154" s="89" t="n">
        <x:v>45036.64408564815</x:v>
      </x:c>
      <x:c r="E154" s="84" t="str">
        <x:v>Válvula</x:v>
      </x:c>
      <x:c r="F154" s="84" t="str">
        <x:v>Desgaste</x:v>
      </x:c>
      <x:c r="G154" s="84" t="str">
        <x:v>Ajuste incorreto</x:v>
      </x:c>
      <x:c r="H154" s="84" t="str">
        <x:v>Baixa</x:v>
      </x:c>
      <x:c r="I154" s="84" t="n">
        <x:v>0</x:v>
      </x:c>
      <x:c r="J154" s="85" t="n">
        <x:v>1</x:v>
      </x:c>
    </x:row>
    <x:row r="155">
      <x:c r="A155" s="83" t="n">
        <x:v>154</x:v>
      </x:c>
      <x:c r="B155" s="84" t="n">
        <x:v>36</x:v>
      </x:c>
      <x:c r="C155" s="84" t="n">
        <x:v>503</x:v>
      </x:c>
      <x:c r="D155" s="89" t="n">
        <x:v>44928.73678240741</x:v>
      </x:c>
      <x:c r="E155" s="84" t="str">
        <x:v>Rolamento</x:v>
      </x:c>
      <x:c r="F155" s="84" t="str">
        <x:v>Perda de sinal</x:v>
      </x:c>
      <x:c r="G155" s="84" t="str">
        <x:v>Falta de lubrificação</x:v>
      </x:c>
      <x:c r="H155" s="84" t="str">
        <x:v>Alta</x:v>
      </x:c>
      <x:c r="I155" s="84" t="n">
        <x:v>0</x:v>
      </x:c>
      <x:c r="J155" s="85" t="n">
        <x:v>1</x:v>
      </x:c>
    </x:row>
    <x:row r="156">
      <x:c r="A156" s="83" t="n">
        <x:v>155</x:v>
      </x:c>
      <x:c r="B156" s="84" t="n">
        <x:v>28</x:v>
      </x:c>
      <x:c r="C156" s="84" t="n">
        <x:v>509</x:v>
      </x:c>
      <x:c r="D156" s="89" t="n">
        <x:v>45974.033472222225</x:v>
      </x:c>
      <x:c r="E156" s="84" t="str">
        <x:v>Correia</x:v>
      </x:c>
      <x:c r="F156" s="84" t="str">
        <x:v>Desgaste</x:v>
      </x:c>
      <x:c r="G156" s="84" t="str">
        <x:v>Componente danificado</x:v>
      </x:c>
      <x:c r="H156" s="84" t="str">
        <x:v>Média</x:v>
      </x:c>
      <x:c r="I156" s="84" t="n">
        <x:v>0</x:v>
      </x:c>
      <x:c r="J156" s="85" t="n">
        <x:v>1</x:v>
      </x:c>
    </x:row>
    <x:row r="157">
      <x:c r="A157" s="83" t="n">
        <x:v>156</x:v>
      </x:c>
      <x:c r="B157" s="84" t="n">
        <x:v>34</x:v>
      </x:c>
      <x:c r="C157" s="84" t="n">
        <x:v>523</x:v>
      </x:c>
      <x:c r="D157" s="89" t="n">
        <x:v>45407.390810185185</x:v>
      </x:c>
      <x:c r="E157" s="84" t="str">
        <x:v>Sensor</x:v>
      </x:c>
      <x:c r="F157" s="84" t="str">
        <x:v>Quebra</x:v>
      </x:c>
      <x:c r="G157" s="84" t="str">
        <x:v>Conexão frouxa</x:v>
      </x:c>
      <x:c r="H157" s="84" t="str">
        <x:v>Média</x:v>
      </x:c>
      <x:c r="I157" s="84" t="n">
        <x:v>0</x:v>
      </x:c>
      <x:c r="J157" s="85" t="n">
        <x:v>1</x:v>
      </x:c>
    </x:row>
    <x:row r="158">
      <x:c r="A158" s="83" t="n">
        <x:v>157</x:v>
      </x:c>
      <x:c r="B158" s="84" t="n">
        <x:v>55</x:v>
      </x:c>
      <x:c r="C158" s="84" t="n">
        <x:v>526</x:v>
      </x:c>
      <x:c r="D158" s="89" t="n">
        <x:v>44961.783472222225</x:v>
      </x:c>
      <x:c r="E158" s="84" t="str">
        <x:v>Motor</x:v>
      </x:c>
      <x:c r="F158" s="84" t="str">
        <x:v>Perda de sinal</x:v>
      </x:c>
      <x:c r="G158" s="84" t="str">
        <x:v>Conexão frouxa</x:v>
      </x:c>
      <x:c r="H158" s="84" t="str">
        <x:v>Alta</x:v>
      </x:c>
      <x:c r="I158" s="84" t="n">
        <x:v>0</x:v>
      </x:c>
      <x:c r="J158" s="85" t="n">
        <x:v>1</x:v>
      </x:c>
    </x:row>
    <x:row r="159">
      <x:c r="A159" s="83" t="n">
        <x:v>158</x:v>
      </x:c>
      <x:c r="B159" s="84" t="n">
        <x:v>45</x:v>
      </x:c>
      <x:c r="C159" s="84" t="n">
        <x:v>527</x:v>
      </x:c>
      <x:c r="D159" s="89" t="n">
        <x:v>45088.667604166665</x:v>
      </x:c>
      <x:c r="E159" s="84" t="str">
        <x:v>CLP</x:v>
      </x:c>
      <x:c r="F159" s="84" t="str">
        <x:v>Quebra</x:v>
      </x:c>
      <x:c r="G159" s="84" t="str">
        <x:v>Componente danificado</x:v>
      </x:c>
      <x:c r="H159" s="84" t="str">
        <x:v>Baixa</x:v>
      </x:c>
      <x:c r="I159" s="84" t="n">
        <x:v>0</x:v>
      </x:c>
      <x:c r="J159" s="85" t="n">
        <x:v>1</x:v>
      </x:c>
    </x:row>
    <x:row r="160">
      <x:c r="A160" s="83" t="n">
        <x:v>159</x:v>
      </x:c>
      <x:c r="B160" s="84" t="n">
        <x:v>65</x:v>
      </x:c>
      <x:c r="C160" s="84" t="n">
        <x:v>529</x:v>
      </x:c>
      <x:c r="D160" s="89" t="n">
        <x:v>45411.67972222222</x:v>
      </x:c>
      <x:c r="E160" s="84" t="str">
        <x:v>CLP</x:v>
      </x:c>
      <x:c r="F160" s="84" t="str">
        <x:v>Travamento</x:v>
      </x:c>
      <x:c r="G160" s="84" t="str">
        <x:v>Desgaste natural</x:v>
      </x:c>
      <x:c r="H160" s="84" t="str">
        <x:v>Alta</x:v>
      </x:c>
      <x:c r="I160" s="84" t="n">
        <x:v>0</x:v>
      </x:c>
      <x:c r="J160" s="85" t="n">
        <x:v>1</x:v>
      </x:c>
    </x:row>
    <x:row r="161">
      <x:c r="A161" s="83" t="n">
        <x:v>160</x:v>
      </x:c>
      <x:c r="B161" s="84" t="n">
        <x:v>90</x:v>
      </x:c>
      <x:c r="C161" s="84" t="n">
        <x:v>532</x:v>
      </x:c>
      <x:c r="D161" s="89" t="n">
        <x:v>45457.742164351854</x:v>
      </x:c>
      <x:c r="E161" s="84" t="str">
        <x:v>Rolamento</x:v>
      </x:c>
      <x:c r="F161" s="84" t="str">
        <x:v>Curto-circuito</x:v>
      </x:c>
      <x:c r="G161" s="84" t="str">
        <x:v>Falta de lubrificação</x:v>
      </x:c>
      <x:c r="H161" s="84" t="str">
        <x:v>Alta</x:v>
      </x:c>
      <x:c r="I161" s="84" t="n">
        <x:v>0</x:v>
      </x:c>
      <x:c r="J161" s="85" t="n">
        <x:v>1</x:v>
      </x:c>
    </x:row>
    <x:row r="162">
      <x:c r="A162" s="83" t="n">
        <x:v>161</x:v>
      </x:c>
      <x:c r="B162" s="84" t="n">
        <x:v>68</x:v>
      </x:c>
      <x:c r="C162" s="84" t="n">
        <x:v>534</x:v>
      </x:c>
      <x:c r="D162" s="89" t="n">
        <x:v>45373.47729166667</x:v>
      </x:c>
      <x:c r="E162" s="84" t="str">
        <x:v>CLP</x:v>
      </x:c>
      <x:c r="F162" s="84" t="str">
        <x:v>Travamento</x:v>
      </x:c>
      <x:c r="G162" s="84" t="str">
        <x:v>Ajuste incorreto</x:v>
      </x:c>
      <x:c r="H162" s="84" t="str">
        <x:v>Média</x:v>
      </x:c>
      <x:c r="I162" s="84" t="n">
        <x:v>0</x:v>
      </x:c>
      <x:c r="J162" s="85" t="n">
        <x:v>1</x:v>
      </x:c>
    </x:row>
    <x:row r="163">
      <x:c r="A163" s="83" t="n">
        <x:v>162</x:v>
      </x:c>
      <x:c r="B163" s="84" t="n">
        <x:v>37</x:v>
      </x:c>
      <x:c r="C163" s="84" t="n">
        <x:v>535</x:v>
      </x:c>
      <x:c r="D163" s="89" t="n">
        <x:v>45632.906747685185</x:v>
      </x:c>
      <x:c r="E163" s="84" t="str">
        <x:v>Motor</x:v>
      </x:c>
      <x:c r="F163" s="84" t="str">
        <x:v>Quebra</x:v>
      </x:c>
      <x:c r="G163" s="84" t="str">
        <x:v>Conexão frouxa</x:v>
      </x:c>
      <x:c r="H163" s="84" t="str">
        <x:v>Baixa</x:v>
      </x:c>
      <x:c r="I163" s="84" t="n">
        <x:v>0</x:v>
      </x:c>
      <x:c r="J163" s="85" t="n">
        <x:v>1</x:v>
      </x:c>
    </x:row>
    <x:row r="164">
      <x:c r="A164" s="83" t="n">
        <x:v>163</x:v>
      </x:c>
      <x:c r="B164" s="84" t="n">
        <x:v>48</x:v>
      </x:c>
      <x:c r="C164" s="84" t="n">
        <x:v>537</x:v>
      </x:c>
      <x:c r="D164" s="89" t="n">
        <x:v>45580.01090277778</x:v>
      </x:c>
      <x:c r="E164" s="84" t="str">
        <x:v>Motor</x:v>
      </x:c>
      <x:c r="F164" s="84" t="str">
        <x:v>Travamento</x:v>
      </x:c>
      <x:c r="G164" s="84" t="str">
        <x:v>Conexão frouxa</x:v>
      </x:c>
      <x:c r="H164" s="84" t="str">
        <x:v>Média</x:v>
      </x:c>
      <x:c r="I164" s="84" t="n">
        <x:v>0</x:v>
      </x:c>
      <x:c r="J164" s="85" t="n">
        <x:v>1</x:v>
      </x:c>
    </x:row>
    <x:row r="165">
      <x:c r="A165" s="83" t="n">
        <x:v>164</x:v>
      </x:c>
      <x:c r="B165" s="84" t="n">
        <x:v>70</x:v>
      </x:c>
      <x:c r="C165" s="84" t="n">
        <x:v>539</x:v>
      </x:c>
      <x:c r="D165" s="89" t="n">
        <x:v>45280.19269675926</x:v>
      </x:c>
      <x:c r="E165" s="84" t="str">
        <x:v>Correia</x:v>
      </x:c>
      <x:c r="F165" s="84" t="str">
        <x:v>Curto-circuito</x:v>
      </x:c>
      <x:c r="G165" s="84" t="str">
        <x:v>Ajuste incorreto</x:v>
      </x:c>
      <x:c r="H165" s="84" t="str">
        <x:v>Média</x:v>
      </x:c>
      <x:c r="I165" s="84" t="n">
        <x:v>0</x:v>
      </x:c>
      <x:c r="J165" s="85" t="n">
        <x:v>1</x:v>
      </x:c>
    </x:row>
    <x:row r="166">
      <x:c r="A166" s="83" t="n">
        <x:v>165</x:v>
      </x:c>
      <x:c r="B166" s="84" t="n">
        <x:v>16</x:v>
      </x:c>
      <x:c r="C166" s="84" t="n">
        <x:v>543</x:v>
      </x:c>
      <x:c r="D166" s="89" t="n">
        <x:v>45201.53090277778</x:v>
      </x:c>
      <x:c r="E166" s="84" t="str">
        <x:v>Sensor</x:v>
      </x:c>
      <x:c r="F166" s="84" t="str">
        <x:v>Desgaste</x:v>
      </x:c>
      <x:c r="G166" s="84" t="str">
        <x:v>Ajuste incorreto</x:v>
      </x:c>
      <x:c r="H166" s="84" t="str">
        <x:v>Média</x:v>
      </x:c>
      <x:c r="I166" s="84" t="n">
        <x:v>0</x:v>
      </x:c>
      <x:c r="J166" s="85" t="n">
        <x:v>1</x:v>
      </x:c>
    </x:row>
    <x:row r="167">
      <x:c r="A167" s="83" t="n">
        <x:v>166</x:v>
      </x:c>
      <x:c r="B167" s="84" t="n">
        <x:v>71</x:v>
      </x:c>
      <x:c r="C167" s="84" t="n">
        <x:v>548</x:v>
      </x:c>
      <x:c r="D167" s="89" t="n">
        <x:v>45424.52585648148</x:v>
      </x:c>
      <x:c r="E167" s="84" t="str">
        <x:v>CLP</x:v>
      </x:c>
      <x:c r="F167" s="84" t="str">
        <x:v>Quebra</x:v>
      </x:c>
      <x:c r="G167" s="84" t="str">
        <x:v>Ajuste incorreto</x:v>
      </x:c>
      <x:c r="H167" s="84" t="str">
        <x:v>Baixa</x:v>
      </x:c>
      <x:c r="I167" s="84" t="n">
        <x:v>0</x:v>
      </x:c>
      <x:c r="J167" s="85" t="n">
        <x:v>1</x:v>
      </x:c>
    </x:row>
    <x:row r="168">
      <x:c r="A168" s="83" t="n">
        <x:v>167</x:v>
      </x:c>
      <x:c r="B168" s="84" t="n">
        <x:v>30</x:v>
      </x:c>
      <x:c r="C168" s="84" t="n">
        <x:v>550</x:v>
      </x:c>
      <x:c r="D168" s="89" t="n">
        <x:v>45896.87206018518</x:v>
      </x:c>
      <x:c r="E168" s="84" t="str">
        <x:v>Sensor</x:v>
      </x:c>
      <x:c r="F168" s="84" t="str">
        <x:v>Perda de sinal</x:v>
      </x:c>
      <x:c r="G168" s="84" t="str">
        <x:v>Desgaste natural</x:v>
      </x:c>
      <x:c r="H168" s="84" t="str">
        <x:v>Alta</x:v>
      </x:c>
      <x:c r="I168" s="84" t="n">
        <x:v>0</x:v>
      </x:c>
      <x:c r="J168" s="85" t="n">
        <x:v>1</x:v>
      </x:c>
    </x:row>
    <x:row r="169">
      <x:c r="A169" s="83" t="n">
        <x:v>168</x:v>
      </x:c>
      <x:c r="B169" s="84" t="n">
        <x:v>51</x:v>
      </x:c>
      <x:c r="C169" s="84" t="n">
        <x:v>551</x:v>
      </x:c>
      <x:c r="D169" s="89" t="n">
        <x:v>45665.30503472222</x:v>
      </x:c>
      <x:c r="E169" s="84" t="str">
        <x:v>Válvula</x:v>
      </x:c>
      <x:c r="F169" s="84" t="str">
        <x:v>Travamento</x:v>
      </x:c>
      <x:c r="G169" s="84" t="str">
        <x:v>Ajuste incorreto</x:v>
      </x:c>
      <x:c r="H169" s="84" t="str">
        <x:v>Média</x:v>
      </x:c>
      <x:c r="I169" s="84" t="n">
        <x:v>1</x:v>
      </x:c>
      <x:c r="J169" s="85" t="n">
        <x:v>1</x:v>
      </x:c>
    </x:row>
    <x:row r="170">
      <x:c r="A170" s="83" t="n">
        <x:v>169</x:v>
      </x:c>
      <x:c r="B170" s="84" t="n">
        <x:v>54</x:v>
      </x:c>
      <x:c r="C170" s="84" t="n">
        <x:v>552</x:v>
      </x:c>
      <x:c r="D170" s="89" t="n">
        <x:v>45475.701585648145</x:v>
      </x:c>
      <x:c r="E170" s="84" t="str">
        <x:v>Motor</x:v>
      </x:c>
      <x:c r="F170" s="84" t="str">
        <x:v>Perda de sinal</x:v>
      </x:c>
      <x:c r="G170" s="84" t="str">
        <x:v>Componente danificado</x:v>
      </x:c>
      <x:c r="H170" s="84" t="str">
        <x:v>Baixa</x:v>
      </x:c>
      <x:c r="I170" s="84" t="n">
        <x:v>1</x:v>
      </x:c>
      <x:c r="J170" s="85" t="n">
        <x:v>1</x:v>
      </x:c>
    </x:row>
    <x:row r="171">
      <x:c r="A171" s="83" t="n">
        <x:v>170</x:v>
      </x:c>
      <x:c r="B171" s="84" t="n">
        <x:v>45</x:v>
      </x:c>
      <x:c r="C171" s="84" t="n">
        <x:v>553</x:v>
      </x:c>
      <x:c r="D171" s="89" t="n">
        <x:v>45610.56891203704</x:v>
      </x:c>
      <x:c r="E171" s="84" t="str">
        <x:v>Rolamento</x:v>
      </x:c>
      <x:c r="F171" s="84" t="str">
        <x:v>Curto-circuito</x:v>
      </x:c>
      <x:c r="G171" s="84" t="str">
        <x:v>Componente danificado</x:v>
      </x:c>
      <x:c r="H171" s="84" t="str">
        <x:v>Baixa</x:v>
      </x:c>
      <x:c r="I171" s="84" t="n">
        <x:v>0</x:v>
      </x:c>
      <x:c r="J171" s="85" t="n">
        <x:v>1</x:v>
      </x:c>
    </x:row>
    <x:row r="172">
      <x:c r="A172" s="83" t="n">
        <x:v>171</x:v>
      </x:c>
      <x:c r="B172" s="84" t="n">
        <x:v>42</x:v>
      </x:c>
      <x:c r="C172" s="84" t="n">
        <x:v>555</x:v>
      </x:c>
      <x:c r="D172" s="89" t="n">
        <x:v>45396.64693287037</x:v>
      </x:c>
      <x:c r="E172" s="84" t="str">
        <x:v>Rolamento</x:v>
      </x:c>
      <x:c r="F172" s="84" t="str">
        <x:v>Perda de sinal</x:v>
      </x:c>
      <x:c r="G172" s="84" t="str">
        <x:v>Ajuste incorreto</x:v>
      </x:c>
      <x:c r="H172" s="84" t="str">
        <x:v>Média</x:v>
      </x:c>
      <x:c r="I172" s="84" t="n">
        <x:v>0</x:v>
      </x:c>
      <x:c r="J172" s="85" t="n">
        <x:v>1</x:v>
      </x:c>
    </x:row>
    <x:row r="173">
      <x:c r="A173" s="83" t="n">
        <x:v>172</x:v>
      </x:c>
      <x:c r="B173" s="84" t="n">
        <x:v>3</x:v>
      </x:c>
      <x:c r="C173" s="84" t="n">
        <x:v>560</x:v>
      </x:c>
      <x:c r="D173" s="89" t="n">
        <x:v>45361.23819444444</x:v>
      </x:c>
      <x:c r="E173" s="84" t="str">
        <x:v>Válvula</x:v>
      </x:c>
      <x:c r="F173" s="84" t="str">
        <x:v>Perda de sinal</x:v>
      </x:c>
      <x:c r="G173" s="84" t="str">
        <x:v>Desgaste natural</x:v>
      </x:c>
      <x:c r="H173" s="84" t="str">
        <x:v>Média</x:v>
      </x:c>
      <x:c r="I173" s="84" t="n">
        <x:v>0</x:v>
      </x:c>
      <x:c r="J173" s="85" t="n">
        <x:v>1</x:v>
      </x:c>
    </x:row>
    <x:row r="174">
      <x:c r="A174" s="83" t="n">
        <x:v>173</x:v>
      </x:c>
      <x:c r="B174" s="84" t="n">
        <x:v>31</x:v>
      </x:c>
      <x:c r="C174" s="84" t="n">
        <x:v>562</x:v>
      </x:c>
      <x:c r="D174" s="89" t="n">
        <x:v>45685.812430555554</x:v>
      </x:c>
      <x:c r="E174" s="84" t="str">
        <x:v>Rolamento</x:v>
      </x:c>
      <x:c r="F174" s="84" t="str">
        <x:v>Perda de sinal</x:v>
      </x:c>
      <x:c r="G174" s="84" t="str">
        <x:v>Ajuste incorreto</x:v>
      </x:c>
      <x:c r="H174" s="84" t="str">
        <x:v>Alta</x:v>
      </x:c>
      <x:c r="I174" s="84" t="n">
        <x:v>0</x:v>
      </x:c>
      <x:c r="J174" s="85" t="n">
        <x:v>1</x:v>
      </x:c>
    </x:row>
    <x:row r="175">
      <x:c r="A175" s="83" t="n">
        <x:v>174</x:v>
      </x:c>
      <x:c r="B175" s="84" t="n">
        <x:v>9</x:v>
      </x:c>
      <x:c r="C175" s="84" t="n">
        <x:v>566</x:v>
      </x:c>
      <x:c r="D175" s="89" t="n">
        <x:v>45140.811273148145</x:v>
      </x:c>
      <x:c r="E175" s="84" t="str">
        <x:v>CLP</x:v>
      </x:c>
      <x:c r="F175" s="84" t="str">
        <x:v>Quebra</x:v>
      </x:c>
      <x:c r="G175" s="84" t="str">
        <x:v>Ajuste incorreto</x:v>
      </x:c>
      <x:c r="H175" s="84" t="str">
        <x:v>Alta</x:v>
      </x:c>
      <x:c r="I175" s="84" t="n">
        <x:v>0</x:v>
      </x:c>
      <x:c r="J175" s="85" t="n">
        <x:v>1</x:v>
      </x:c>
    </x:row>
    <x:row r="176">
      <x:c r="A176" s="83" t="n">
        <x:v>175</x:v>
      </x:c>
      <x:c r="B176" s="84" t="n">
        <x:v>84</x:v>
      </x:c>
      <x:c r="C176" s="84" t="n">
        <x:v>567</x:v>
      </x:c>
      <x:c r="D176" s="89" t="n">
        <x:v>45077.954363425924</x:v>
      </x:c>
      <x:c r="E176" s="84" t="str">
        <x:v>Motor</x:v>
      </x:c>
      <x:c r="F176" s="84" t="str">
        <x:v>Travamento</x:v>
      </x:c>
      <x:c r="G176" s="84" t="str">
        <x:v>Componente danificado</x:v>
      </x:c>
      <x:c r="H176" s="84" t="str">
        <x:v>Média</x:v>
      </x:c>
      <x:c r="I176" s="84" t="n">
        <x:v>0</x:v>
      </x:c>
      <x:c r="J176" s="85" t="n">
        <x:v>1</x:v>
      </x:c>
    </x:row>
    <x:row r="177">
      <x:c r="A177" s="83" t="n">
        <x:v>176</x:v>
      </x:c>
      <x:c r="B177" s="84" t="n">
        <x:v>43</x:v>
      </x:c>
      <x:c r="C177" s="84" t="n">
        <x:v>571</x:v>
      </x:c>
      <x:c r="D177" s="89" t="n">
        <x:v>45856.89960648148</x:v>
      </x:c>
      <x:c r="E177" s="84" t="str">
        <x:v>Motor</x:v>
      </x:c>
      <x:c r="F177" s="84" t="str">
        <x:v>Desgaste</x:v>
      </x:c>
      <x:c r="G177" s="84" t="str">
        <x:v>Desgaste natural</x:v>
      </x:c>
      <x:c r="H177" s="84" t="str">
        <x:v>Alta</x:v>
      </x:c>
      <x:c r="I177" s="84" t="n">
        <x:v>0</x:v>
      </x:c>
      <x:c r="J177" s="85" t="n">
        <x:v>1</x:v>
      </x:c>
    </x:row>
    <x:row r="178">
      <x:c r="A178" s="83" t="n">
        <x:v>177</x:v>
      </x:c>
      <x:c r="B178" s="84" t="n">
        <x:v>90</x:v>
      </x:c>
      <x:c r="C178" s="84" t="n">
        <x:v>573</x:v>
      </x:c>
      <x:c r="D178" s="89" t="n">
        <x:v>45868.06927083333</x:v>
      </x:c>
      <x:c r="E178" s="84" t="str">
        <x:v>Válvula</x:v>
      </x:c>
      <x:c r="F178" s="84" t="str">
        <x:v>Travamento</x:v>
      </x:c>
      <x:c r="G178" s="84" t="str">
        <x:v>Conexão frouxa</x:v>
      </x:c>
      <x:c r="H178" s="84" t="str">
        <x:v>Alta</x:v>
      </x:c>
      <x:c r="I178" s="84" t="n">
        <x:v>0</x:v>
      </x:c>
      <x:c r="J178" s="85" t="n">
        <x:v>1</x:v>
      </x:c>
    </x:row>
    <x:row r="179">
      <x:c r="A179" s="83" t="n">
        <x:v>178</x:v>
      </x:c>
      <x:c r="B179" s="84" t="n">
        <x:v>74</x:v>
      </x:c>
      <x:c r="C179" s="84" t="n">
        <x:v>576</x:v>
      </x:c>
      <x:c r="D179" s="89" t="n">
        <x:v>45565.57854166667</x:v>
      </x:c>
      <x:c r="E179" s="84" t="str">
        <x:v>Sensor</x:v>
      </x:c>
      <x:c r="F179" s="84" t="str">
        <x:v>Curto-circuito</x:v>
      </x:c>
      <x:c r="G179" s="84" t="str">
        <x:v>Ajuste incorreto</x:v>
      </x:c>
      <x:c r="H179" s="84" t="str">
        <x:v>Média</x:v>
      </x:c>
      <x:c r="I179" s="84" t="n">
        <x:v>0</x:v>
      </x:c>
      <x:c r="J179" s="85" t="n">
        <x:v>1</x:v>
      </x:c>
    </x:row>
    <x:row r="180">
      <x:c r="A180" s="83" t="n">
        <x:v>179</x:v>
      </x:c>
      <x:c r="B180" s="84" t="n">
        <x:v>65</x:v>
      </x:c>
      <x:c r="C180" s="84" t="n">
        <x:v>583</x:v>
      </x:c>
      <x:c r="D180" s="89" t="n">
        <x:v>45885.32157407407</x:v>
      </x:c>
      <x:c r="E180" s="84" t="str">
        <x:v>Válvula</x:v>
      </x:c>
      <x:c r="F180" s="84" t="str">
        <x:v>Curto-circuito</x:v>
      </x:c>
      <x:c r="G180" s="84" t="str">
        <x:v>Ajuste incorreto</x:v>
      </x:c>
      <x:c r="H180" s="84" t="str">
        <x:v>Baixa</x:v>
      </x:c>
      <x:c r="I180" s="84" t="n">
        <x:v>0</x:v>
      </x:c>
      <x:c r="J180" s="85" t="n">
        <x:v>1</x:v>
      </x:c>
    </x:row>
    <x:row r="181">
      <x:c r="A181" s="83" t="n">
        <x:v>180</x:v>
      </x:c>
      <x:c r="B181" s="84" t="n">
        <x:v>55</x:v>
      </x:c>
      <x:c r="C181" s="84" t="n">
        <x:v>584</x:v>
      </x:c>
      <x:c r="D181" s="89" t="n">
        <x:v>45953.108136574076</x:v>
      </x:c>
      <x:c r="E181" s="84" t="str">
        <x:v>Sensor</x:v>
      </x:c>
      <x:c r="F181" s="84" t="str">
        <x:v>Perda de sinal</x:v>
      </x:c>
      <x:c r="G181" s="84" t="str">
        <x:v>Ajuste incorreto</x:v>
      </x:c>
      <x:c r="H181" s="84" t="str">
        <x:v>Média</x:v>
      </x:c>
      <x:c r="I181" s="84" t="n">
        <x:v>0</x:v>
      </x:c>
      <x:c r="J181" s="85" t="n">
        <x:v>1</x:v>
      </x:c>
    </x:row>
    <x:row r="182">
      <x:c r="A182" s="83" t="n">
        <x:v>181</x:v>
      </x:c>
      <x:c r="B182" s="84" t="n">
        <x:v>62</x:v>
      </x:c>
      <x:c r="C182" s="84" t="n">
        <x:v>593</x:v>
      </x:c>
      <x:c r="D182" s="89" t="n">
        <x:v>45491.719201388885</x:v>
      </x:c>
      <x:c r="E182" s="84" t="str">
        <x:v>Motor</x:v>
      </x:c>
      <x:c r="F182" s="84" t="str">
        <x:v>Travamento</x:v>
      </x:c>
      <x:c r="G182" s="84" t="str">
        <x:v>Contaminação</x:v>
      </x:c>
      <x:c r="H182" s="84" t="str">
        <x:v>Alta</x:v>
      </x:c>
      <x:c r="I182" s="84" t="n">
        <x:v>0</x:v>
      </x:c>
      <x:c r="J182" s="85" t="n">
        <x:v>1</x:v>
      </x:c>
    </x:row>
    <x:row r="183">
      <x:c r="A183" s="83" t="n">
        <x:v>182</x:v>
      </x:c>
      <x:c r="B183" s="84" t="n">
        <x:v>85</x:v>
      </x:c>
      <x:c r="C183" s="84" t="n">
        <x:v>594</x:v>
      </x:c>
      <x:c r="D183" s="89" t="n">
        <x:v>45537.51719907407</x:v>
      </x:c>
      <x:c r="E183" s="84" t="str">
        <x:v>Motor</x:v>
      </x:c>
      <x:c r="F183" s="84" t="str">
        <x:v>Quebra</x:v>
      </x:c>
      <x:c r="G183" s="84" t="str">
        <x:v>Contaminação</x:v>
      </x:c>
      <x:c r="H183" s="84" t="str">
        <x:v>Média</x:v>
      </x:c>
      <x:c r="I183" s="84" t="n">
        <x:v>0</x:v>
      </x:c>
      <x:c r="J183" s="85" t="n">
        <x:v>1</x:v>
      </x:c>
    </x:row>
    <x:row r="184">
      <x:c r="A184" s="83" t="n">
        <x:v>183</x:v>
      </x:c>
      <x:c r="B184" s="84" t="n">
        <x:v>51</x:v>
      </x:c>
      <x:c r="C184" s="84" t="n">
        <x:v>597</x:v>
      </x:c>
      <x:c r="D184" s="89" t="n">
        <x:v>45223.709699074076</x:v>
      </x:c>
      <x:c r="E184" s="84" t="str">
        <x:v>CLP</x:v>
      </x:c>
      <x:c r="F184" s="84" t="str">
        <x:v>Quebra</x:v>
      </x:c>
      <x:c r="G184" s="84" t="str">
        <x:v>Falta de lubrificação</x:v>
      </x:c>
      <x:c r="H184" s="84" t="str">
        <x:v>Média</x:v>
      </x:c>
      <x:c r="I184" s="84" t="n">
        <x:v>0</x:v>
      </x:c>
      <x:c r="J184" s="85" t="n">
        <x:v>1</x:v>
      </x:c>
    </x:row>
    <x:row r="185">
      <x:c r="A185" s="83" t="n">
        <x:v>184</x:v>
      </x:c>
      <x:c r="B185" s="84" t="n">
        <x:v>21</x:v>
      </x:c>
      <x:c r="C185" s="84" t="n">
        <x:v>601</x:v>
      </x:c>
      <x:c r="D185" s="89" t="n">
        <x:v>45247.48569444445</x:v>
      </x:c>
      <x:c r="E185" s="84" t="str">
        <x:v>Correia</x:v>
      </x:c>
      <x:c r="F185" s="84" t="str">
        <x:v>Quebra</x:v>
      </x:c>
      <x:c r="G185" s="84" t="str">
        <x:v>Contaminação</x:v>
      </x:c>
      <x:c r="H185" s="84" t="str">
        <x:v>Média</x:v>
      </x:c>
      <x:c r="I185" s="84" t="n">
        <x:v>0</x:v>
      </x:c>
      <x:c r="J185" s="85" t="n">
        <x:v>1</x:v>
      </x:c>
    </x:row>
    <x:row r="186">
      <x:c r="A186" s="83" t="n">
        <x:v>185</x:v>
      </x:c>
      <x:c r="B186" s="84" t="n">
        <x:v>52</x:v>
      </x:c>
      <x:c r="C186" s="84" t="n">
        <x:v>602</x:v>
      </x:c>
      <x:c r="D186" s="89" t="n">
        <x:v>45985.81730324074</x:v>
      </x:c>
      <x:c r="E186" s="84" t="str">
        <x:v>CLP</x:v>
      </x:c>
      <x:c r="F186" s="84" t="str">
        <x:v>Desgaste</x:v>
      </x:c>
      <x:c r="G186" s="84" t="str">
        <x:v>Conexão frouxa</x:v>
      </x:c>
      <x:c r="H186" s="84" t="str">
        <x:v>Baixa</x:v>
      </x:c>
      <x:c r="I186" s="84" t="n">
        <x:v>0</x:v>
      </x:c>
      <x:c r="J186" s="85" t="n">
        <x:v>1</x:v>
      </x:c>
    </x:row>
    <x:row r="187">
      <x:c r="A187" s="83" t="n">
        <x:v>186</x:v>
      </x:c>
      <x:c r="B187" s="84" t="n">
        <x:v>15</x:v>
      </x:c>
      <x:c r="C187" s="84" t="n">
        <x:v>605</x:v>
      </x:c>
      <x:c r="D187" s="89" t="n">
        <x:v>45339.18623842593</x:v>
      </x:c>
      <x:c r="E187" s="84" t="str">
        <x:v>Rolamento</x:v>
      </x:c>
      <x:c r="F187" s="84" t="str">
        <x:v>Desgaste</x:v>
      </x:c>
      <x:c r="G187" s="84" t="str">
        <x:v>Componente danificado</x:v>
      </x:c>
      <x:c r="H187" s="84" t="str">
        <x:v>Média</x:v>
      </x:c>
      <x:c r="I187" s="84" t="n">
        <x:v>0</x:v>
      </x:c>
      <x:c r="J187" s="85" t="n">
        <x:v>1</x:v>
      </x:c>
    </x:row>
    <x:row r="188">
      <x:c r="A188" s="83" t="n">
        <x:v>187</x:v>
      </x:c>
      <x:c r="B188" s="84" t="n">
        <x:v>17</x:v>
      </x:c>
      <x:c r="C188" s="84" t="n">
        <x:v>606</x:v>
      </x:c>
      <x:c r="D188" s="89" t="n">
        <x:v>45342.16753472222</x:v>
      </x:c>
      <x:c r="E188" s="84" t="str">
        <x:v>Válvula</x:v>
      </x:c>
      <x:c r="F188" s="84" t="str">
        <x:v>Desgaste</x:v>
      </x:c>
      <x:c r="G188" s="84" t="str">
        <x:v>Componente danificado</x:v>
      </x:c>
      <x:c r="H188" s="84" t="str">
        <x:v>Baixa</x:v>
      </x:c>
      <x:c r="I188" s="84" t="n">
        <x:v>0</x:v>
      </x:c>
      <x:c r="J188" s="85" t="n">
        <x:v>1</x:v>
      </x:c>
    </x:row>
    <x:row r="189">
      <x:c r="A189" s="83" t="n">
        <x:v>188</x:v>
      </x:c>
      <x:c r="B189" s="84" t="n">
        <x:v>65</x:v>
      </x:c>
      <x:c r="C189" s="84" t="n">
        <x:v>608</x:v>
      </x:c>
      <x:c r="D189" s="89" t="n">
        <x:v>45407.08696759259</x:v>
      </x:c>
      <x:c r="E189" s="84" t="str">
        <x:v>Motor</x:v>
      </x:c>
      <x:c r="F189" s="84" t="str">
        <x:v>Curto-circuito</x:v>
      </x:c>
      <x:c r="G189" s="84" t="str">
        <x:v>Conexão frouxa</x:v>
      </x:c>
      <x:c r="H189" s="84" t="str">
        <x:v>Baixa</x:v>
      </x:c>
      <x:c r="I189" s="84" t="n">
        <x:v>0</x:v>
      </x:c>
      <x:c r="J189" s="85" t="n">
        <x:v>1</x:v>
      </x:c>
    </x:row>
    <x:row r="190">
      <x:c r="A190" s="83" t="n">
        <x:v>189</x:v>
      </x:c>
      <x:c r="B190" s="84" t="n">
        <x:v>76</x:v>
      </x:c>
      <x:c r="C190" s="84" t="n">
        <x:v>610</x:v>
      </x:c>
      <x:c r="D190" s="89" t="n">
        <x:v>45663.37137731481</x:v>
      </x:c>
      <x:c r="E190" s="84" t="str">
        <x:v>Motor</x:v>
      </x:c>
      <x:c r="F190" s="84" t="str">
        <x:v>Quebra</x:v>
      </x:c>
      <x:c r="G190" s="84" t="str">
        <x:v>Falta de lubrificação</x:v>
      </x:c>
      <x:c r="H190" s="84" t="str">
        <x:v>Média</x:v>
      </x:c>
      <x:c r="I190" s="84" t="n">
        <x:v>1</x:v>
      </x:c>
      <x:c r="J190" s="85" t="n">
        <x:v>1</x:v>
      </x:c>
    </x:row>
    <x:row r="191">
      <x:c r="A191" s="83" t="n">
        <x:v>190</x:v>
      </x:c>
      <x:c r="B191" s="84" t="n">
        <x:v>48</x:v>
      </x:c>
      <x:c r="C191" s="84" t="n">
        <x:v>611</x:v>
      </x:c>
      <x:c r="D191" s="89" t="n">
        <x:v>45140.464849537035</x:v>
      </x:c>
      <x:c r="E191" s="84" t="str">
        <x:v>Rolamento</x:v>
      </x:c>
      <x:c r="F191" s="84" t="str">
        <x:v>Curto-circuito</x:v>
      </x:c>
      <x:c r="G191" s="84" t="str">
        <x:v>Falta de lubrificação</x:v>
      </x:c>
      <x:c r="H191" s="84" t="str">
        <x:v>Média</x:v>
      </x:c>
      <x:c r="I191" s="84" t="n">
        <x:v>0</x:v>
      </x:c>
      <x:c r="J191" s="85" t="n">
        <x:v>1</x:v>
      </x:c>
    </x:row>
    <x:row r="192">
      <x:c r="A192" s="83" t="n">
        <x:v>191</x:v>
      </x:c>
      <x:c r="B192" s="84" t="n">
        <x:v>89</x:v>
      </x:c>
      <x:c r="C192" s="84" t="n">
        <x:v>613</x:v>
      </x:c>
      <x:c r="D192" s="89" t="n">
        <x:v>45521.14493055556</x:v>
      </x:c>
      <x:c r="E192" s="84" t="str">
        <x:v>Correia</x:v>
      </x:c>
      <x:c r="F192" s="84" t="str">
        <x:v>Travamento</x:v>
      </x:c>
      <x:c r="G192" s="84" t="str">
        <x:v>Desgaste natural</x:v>
      </x:c>
      <x:c r="H192" s="84" t="str">
        <x:v>Baixa</x:v>
      </x:c>
      <x:c r="I192" s="84" t="n">
        <x:v>0</x:v>
      </x:c>
      <x:c r="J192" s="85" t="n">
        <x:v>1</x:v>
      </x:c>
    </x:row>
    <x:row r="193">
      <x:c r="A193" s="83" t="n">
        <x:v>192</x:v>
      </x:c>
      <x:c r="B193" s="84" t="n">
        <x:v>73</x:v>
      </x:c>
      <x:c r="C193" s="84" t="n">
        <x:v>614</x:v>
      </x:c>
      <x:c r="D193" s="89" t="n">
        <x:v>45604.398726851854</x:v>
      </x:c>
      <x:c r="E193" s="84" t="str">
        <x:v>Motor</x:v>
      </x:c>
      <x:c r="F193" s="84" t="str">
        <x:v>Desgaste</x:v>
      </x:c>
      <x:c r="G193" s="84" t="str">
        <x:v>Ajuste incorreto</x:v>
      </x:c>
      <x:c r="H193" s="84" t="str">
        <x:v>Alta</x:v>
      </x:c>
      <x:c r="I193" s="84" t="n">
        <x:v>0</x:v>
      </x:c>
      <x:c r="J193" s="85" t="n">
        <x:v>1</x:v>
      </x:c>
    </x:row>
    <x:row r="194">
      <x:c r="A194" s="83" t="n">
        <x:v>193</x:v>
      </x:c>
      <x:c r="B194" s="84" t="n">
        <x:v>12</x:v>
      </x:c>
      <x:c r="C194" s="84" t="n">
        <x:v>615</x:v>
      </x:c>
      <x:c r="D194" s="89" t="n">
        <x:v>45802.83497685185</x:v>
      </x:c>
      <x:c r="E194" s="84" t="str">
        <x:v>Correia</x:v>
      </x:c>
      <x:c r="F194" s="84" t="str">
        <x:v>Quebra</x:v>
      </x:c>
      <x:c r="G194" s="84" t="str">
        <x:v>Conexão frouxa</x:v>
      </x:c>
      <x:c r="H194" s="84" t="str">
        <x:v>Baixa</x:v>
      </x:c>
      <x:c r="I194" s="84" t="n">
        <x:v>0</x:v>
      </x:c>
      <x:c r="J194" s="85" t="n">
        <x:v>1</x:v>
      </x:c>
    </x:row>
    <x:row r="195">
      <x:c r="A195" s="83" t="n">
        <x:v>194</x:v>
      </x:c>
      <x:c r="B195" s="84" t="n">
        <x:v>33</x:v>
      </x:c>
      <x:c r="C195" s="84" t="n">
        <x:v>618</x:v>
      </x:c>
      <x:c r="D195" s="89" t="n">
        <x:v>45653.02715277778</x:v>
      </x:c>
      <x:c r="E195" s="84" t="str">
        <x:v>Correia</x:v>
      </x:c>
      <x:c r="F195" s="84" t="str">
        <x:v>Desgaste</x:v>
      </x:c>
      <x:c r="G195" s="84" t="str">
        <x:v>Contaminação</x:v>
      </x:c>
      <x:c r="H195" s="84" t="str">
        <x:v>Baixa</x:v>
      </x:c>
      <x:c r="I195" s="84" t="n">
        <x:v>0</x:v>
      </x:c>
      <x:c r="J195" s="85" t="n">
        <x:v>1</x:v>
      </x:c>
    </x:row>
    <x:row r="196">
      <x:c r="A196" s="83" t="n">
        <x:v>195</x:v>
      </x:c>
      <x:c r="B196" s="84" t="n">
        <x:v>79</x:v>
      </x:c>
      <x:c r="C196" s="84" t="n">
        <x:v>619</x:v>
      </x:c>
      <x:c r="D196" s="89" t="n">
        <x:v>45761.48715277778</x:v>
      </x:c>
      <x:c r="E196" s="84" t="str">
        <x:v>CLP</x:v>
      </x:c>
      <x:c r="F196" s="84" t="str">
        <x:v>Desgaste</x:v>
      </x:c>
      <x:c r="G196" s="84" t="str">
        <x:v>Contaminação</x:v>
      </x:c>
      <x:c r="H196" s="84" t="str">
        <x:v>Média</x:v>
      </x:c>
      <x:c r="I196" s="84" t="n">
        <x:v>0</x:v>
      </x:c>
      <x:c r="J196" s="85" t="n">
        <x:v>1</x:v>
      </x:c>
    </x:row>
    <x:row r="197">
      <x:c r="A197" s="83" t="n">
        <x:v>196</x:v>
      </x:c>
      <x:c r="B197" s="84" t="n">
        <x:v>37</x:v>
      </x:c>
      <x:c r="C197" s="84" t="n">
        <x:v>620</x:v>
      </x:c>
      <x:c r="D197" s="89" t="n">
        <x:v>45591.50648148148</x:v>
      </x:c>
      <x:c r="E197" s="84" t="str">
        <x:v>Sensor</x:v>
      </x:c>
      <x:c r="F197" s="84" t="str">
        <x:v>Perda de sinal</x:v>
      </x:c>
      <x:c r="G197" s="84" t="str">
        <x:v>Componente danificado</x:v>
      </x:c>
      <x:c r="H197" s="84" t="str">
        <x:v>Média</x:v>
      </x:c>
      <x:c r="I197" s="84" t="n">
        <x:v>0</x:v>
      </x:c>
      <x:c r="J197" s="85" t="n">
        <x:v>1</x:v>
      </x:c>
    </x:row>
    <x:row r="198">
      <x:c r="A198" s="83" t="n">
        <x:v>197</x:v>
      </x:c>
      <x:c r="B198" s="84" t="n">
        <x:v>83</x:v>
      </x:c>
      <x:c r="C198" s="84" t="n">
        <x:v>623</x:v>
      </x:c>
      <x:c r="D198" s="89" t="n">
        <x:v>45143.7559375</x:v>
      </x:c>
      <x:c r="E198" s="84" t="str">
        <x:v>Correia</x:v>
      </x:c>
      <x:c r="F198" s="84" t="str">
        <x:v>Desgaste</x:v>
      </x:c>
      <x:c r="G198" s="84" t="str">
        <x:v>Falta de lubrificação</x:v>
      </x:c>
      <x:c r="H198" s="84" t="str">
        <x:v>Baixa</x:v>
      </x:c>
      <x:c r="I198" s="84" t="n">
        <x:v>0</x:v>
      </x:c>
      <x:c r="J198" s="85" t="n">
        <x:v>1</x:v>
      </x:c>
    </x:row>
    <x:row r="199">
      <x:c r="A199" s="83" t="n">
        <x:v>198</x:v>
      </x:c>
      <x:c r="B199" s="84" t="n">
        <x:v>77</x:v>
      </x:c>
      <x:c r="C199" s="84" t="n">
        <x:v>625</x:v>
      </x:c>
      <x:c r="D199" s="89" t="n">
        <x:v>45434.80025462963</x:v>
      </x:c>
      <x:c r="E199" s="84" t="str">
        <x:v>Sensor</x:v>
      </x:c>
      <x:c r="F199" s="84" t="str">
        <x:v>Curto-circuito</x:v>
      </x:c>
      <x:c r="G199" s="84" t="str">
        <x:v>Componente danificado</x:v>
      </x:c>
      <x:c r="H199" s="84" t="str">
        <x:v>Média</x:v>
      </x:c>
      <x:c r="I199" s="84" t="n">
        <x:v>0</x:v>
      </x:c>
      <x:c r="J199" s="85" t="n">
        <x:v>1</x:v>
      </x:c>
    </x:row>
    <x:row r="200">
      <x:c r="A200" s="83" t="n">
        <x:v>199</x:v>
      </x:c>
      <x:c r="B200" s="84" t="n">
        <x:v>68</x:v>
      </x:c>
      <x:c r="C200" s="84" t="n">
        <x:v>626</x:v>
      </x:c>
      <x:c r="D200" s="89" t="n">
        <x:v>45362.153761574074</x:v>
      </x:c>
      <x:c r="E200" s="84" t="str">
        <x:v>Válvula</x:v>
      </x:c>
      <x:c r="F200" s="84" t="str">
        <x:v>Desgaste</x:v>
      </x:c>
      <x:c r="G200" s="84" t="str">
        <x:v>Componente danificado</x:v>
      </x:c>
      <x:c r="H200" s="84" t="str">
        <x:v>Baixa</x:v>
      </x:c>
      <x:c r="I200" s="84" t="n">
        <x:v>0</x:v>
      </x:c>
      <x:c r="J200" s="85" t="n">
        <x:v>1</x:v>
      </x:c>
    </x:row>
    <x:row r="201">
      <x:c r="A201" s="83" t="n">
        <x:v>200</x:v>
      </x:c>
      <x:c r="B201" s="84" t="n">
        <x:v>46</x:v>
      </x:c>
      <x:c r="C201" s="84" t="n">
        <x:v>632</x:v>
      </x:c>
      <x:c r="D201" s="89" t="n">
        <x:v>45265.58604166667</x:v>
      </x:c>
      <x:c r="E201" s="84" t="str">
        <x:v>Motor</x:v>
      </x:c>
      <x:c r="F201" s="84" t="str">
        <x:v>Curto-circuito</x:v>
      </x:c>
      <x:c r="G201" s="84" t="str">
        <x:v>Contaminação</x:v>
      </x:c>
      <x:c r="H201" s="84" t="str">
        <x:v>Alta</x:v>
      </x:c>
      <x:c r="I201" s="84" t="n">
        <x:v>0</x:v>
      </x:c>
      <x:c r="J201" s="85" t="n">
        <x:v>1</x:v>
      </x:c>
    </x:row>
    <x:row r="202">
      <x:c r="A202" s="83" t="n">
        <x:v>201</x:v>
      </x:c>
      <x:c r="B202" s="84" t="n">
        <x:v>50</x:v>
      </x:c>
      <x:c r="C202" s="84" t="n">
        <x:v>634</x:v>
      </x:c>
      <x:c r="D202" s="89" t="n">
        <x:v>45877.38434027778</x:v>
      </x:c>
      <x:c r="E202" s="84" t="str">
        <x:v>Sensor</x:v>
      </x:c>
      <x:c r="F202" s="84" t="str">
        <x:v>Travamento</x:v>
      </x:c>
      <x:c r="G202" s="84" t="str">
        <x:v>Conexão frouxa</x:v>
      </x:c>
      <x:c r="H202" s="84" t="str">
        <x:v>Alta</x:v>
      </x:c>
      <x:c r="I202" s="84" t="n">
        <x:v>1</x:v>
      </x:c>
      <x:c r="J202" s="85" t="n">
        <x:v>1</x:v>
      </x:c>
    </x:row>
    <x:row r="203">
      <x:c r="A203" s="83" t="n">
        <x:v>202</x:v>
      </x:c>
      <x:c r="B203" s="84" t="n">
        <x:v>34</x:v>
      </x:c>
      <x:c r="C203" s="84" t="n">
        <x:v>636</x:v>
      </x:c>
      <x:c r="D203" s="89" t="n">
        <x:v>45625.12788194444</x:v>
      </x:c>
      <x:c r="E203" s="84" t="str">
        <x:v>Rolamento</x:v>
      </x:c>
      <x:c r="F203" s="84" t="str">
        <x:v>Travamento</x:v>
      </x:c>
      <x:c r="G203" s="84" t="str">
        <x:v>Falta de lubrificação</x:v>
      </x:c>
      <x:c r="H203" s="84" t="str">
        <x:v>Alta</x:v>
      </x:c>
      <x:c r="I203" s="84" t="n">
        <x:v>0</x:v>
      </x:c>
      <x:c r="J203" s="85" t="n">
        <x:v>1</x:v>
      </x:c>
    </x:row>
    <x:row r="204">
      <x:c r="A204" s="83" t="n">
        <x:v>203</x:v>
      </x:c>
      <x:c r="B204" s="84" t="n">
        <x:v>88</x:v>
      </x:c>
      <x:c r="C204" s="84" t="n">
        <x:v>637</x:v>
      </x:c>
      <x:c r="D204" s="89" t="n">
        <x:v>45640.23894675926</x:v>
      </x:c>
      <x:c r="E204" s="84" t="str">
        <x:v>Correia</x:v>
      </x:c>
      <x:c r="F204" s="84" t="str">
        <x:v>Perda de sinal</x:v>
      </x:c>
      <x:c r="G204" s="84" t="str">
        <x:v>Conexão frouxa</x:v>
      </x:c>
      <x:c r="H204" s="84" t="str">
        <x:v>Alta</x:v>
      </x:c>
      <x:c r="I204" s="84" t="n">
        <x:v>0</x:v>
      </x:c>
      <x:c r="J204" s="85" t="n">
        <x:v>1</x:v>
      </x:c>
    </x:row>
    <x:row r="205">
      <x:c r="A205" s="83" t="n">
        <x:v>204</x:v>
      </x:c>
      <x:c r="B205" s="84" t="n">
        <x:v>5</x:v>
      </x:c>
      <x:c r="C205" s="84" t="n">
        <x:v>638</x:v>
      </x:c>
      <x:c r="D205" s="89" t="n">
        <x:v>45095.35034722222</x:v>
      </x:c>
      <x:c r="E205" s="84" t="str">
        <x:v>CLP</x:v>
      </x:c>
      <x:c r="F205" s="84" t="str">
        <x:v>Perda de sinal</x:v>
      </x:c>
      <x:c r="G205" s="84" t="str">
        <x:v>Componente danificado</x:v>
      </x:c>
      <x:c r="H205" s="84" t="str">
        <x:v>Baixa</x:v>
      </x:c>
      <x:c r="I205" s="84" t="n">
        <x:v>1</x:v>
      </x:c>
      <x:c r="J205" s="85" t="n">
        <x:v>1</x:v>
      </x:c>
    </x:row>
    <x:row r="206">
      <x:c r="A206" s="83" t="n">
        <x:v>205</x:v>
      </x:c>
      <x:c r="B206" s="84" t="n">
        <x:v>20</x:v>
      </x:c>
      <x:c r="C206" s="84" t="n">
        <x:v>643</x:v>
      </x:c>
      <x:c r="D206" s="89" t="n">
        <x:v>45573.44359953704</x:v>
      </x:c>
      <x:c r="E206" s="84" t="str">
        <x:v>Sensor</x:v>
      </x:c>
      <x:c r="F206" s="84" t="str">
        <x:v>Perda de sinal</x:v>
      </x:c>
      <x:c r="G206" s="84" t="str">
        <x:v>Conexão frouxa</x:v>
      </x:c>
      <x:c r="H206" s="84" t="str">
        <x:v>Baixa</x:v>
      </x:c>
      <x:c r="I206" s="84" t="n">
        <x:v>1</x:v>
      </x:c>
      <x:c r="J206" s="85" t="n">
        <x:v>1</x:v>
      </x:c>
    </x:row>
    <x:row r="207">
      <x:c r="A207" s="83" t="n">
        <x:v>206</x:v>
      </x:c>
      <x:c r="B207" s="84" t="n">
        <x:v>27</x:v>
      </x:c>
      <x:c r="C207" s="84" t="n">
        <x:v>647</x:v>
      </x:c>
      <x:c r="D207" s="89" t="n">
        <x:v>45669.90484953704</x:v>
      </x:c>
      <x:c r="E207" s="84" t="str">
        <x:v>Correia</x:v>
      </x:c>
      <x:c r="F207" s="84" t="str">
        <x:v>Curto-circuito</x:v>
      </x:c>
      <x:c r="G207" s="84" t="str">
        <x:v>Componente danificado</x:v>
      </x:c>
      <x:c r="H207" s="84" t="str">
        <x:v>Alta</x:v>
      </x:c>
      <x:c r="I207" s="84" t="n">
        <x:v>0</x:v>
      </x:c>
      <x:c r="J207" s="85" t="n">
        <x:v>1</x:v>
      </x:c>
    </x:row>
    <x:row r="208">
      <x:c r="A208" s="83" t="n">
        <x:v>207</x:v>
      </x:c>
      <x:c r="B208" s="84" t="n">
        <x:v>50</x:v>
      </x:c>
      <x:c r="C208" s="84" t="n">
        <x:v>650</x:v>
      </x:c>
      <x:c r="D208" s="89" t="n">
        <x:v>45307.402407407404</x:v>
      </x:c>
      <x:c r="E208" s="84" t="str">
        <x:v>Sensor</x:v>
      </x:c>
      <x:c r="F208" s="84" t="str">
        <x:v>Desgaste</x:v>
      </x:c>
      <x:c r="G208" s="84" t="str">
        <x:v>Falta de lubrificação</x:v>
      </x:c>
      <x:c r="H208" s="84" t="str">
        <x:v>Baixa</x:v>
      </x:c>
      <x:c r="I208" s="84" t="n">
        <x:v>0</x:v>
      </x:c>
      <x:c r="J208" s="85" t="n">
        <x:v>1</x:v>
      </x:c>
    </x:row>
    <x:row r="209">
      <x:c r="A209" s="83" t="n">
        <x:v>208</x:v>
      </x:c>
      <x:c r="B209" s="84" t="n">
        <x:v>78</x:v>
      </x:c>
      <x:c r="C209" s="84" t="n">
        <x:v>652</x:v>
      </x:c>
      <x:c r="D209" s="89" t="n">
        <x:v>45597.65574074074</x:v>
      </x:c>
      <x:c r="E209" s="84" t="str">
        <x:v>Motor</x:v>
      </x:c>
      <x:c r="F209" s="84" t="str">
        <x:v>Desgaste</x:v>
      </x:c>
      <x:c r="G209" s="84" t="str">
        <x:v>Conexão frouxa</x:v>
      </x:c>
      <x:c r="H209" s="84" t="str">
        <x:v>Alta</x:v>
      </x:c>
      <x:c r="I209" s="84" t="n">
        <x:v>0</x:v>
      </x:c>
      <x:c r="J209" s="85" t="n">
        <x:v>1</x:v>
      </x:c>
    </x:row>
    <x:row r="210">
      <x:c r="A210" s="83" t="n">
        <x:v>209</x:v>
      </x:c>
      <x:c r="B210" s="84" t="n">
        <x:v>66</x:v>
      </x:c>
      <x:c r="C210" s="84" t="n">
        <x:v>655</x:v>
      </x:c>
      <x:c r="D210" s="89" t="n">
        <x:v>45759.79315972222</x:v>
      </x:c>
      <x:c r="E210" s="84" t="str">
        <x:v>Sensor</x:v>
      </x:c>
      <x:c r="F210" s="84" t="str">
        <x:v>Desgaste</x:v>
      </x:c>
      <x:c r="G210" s="84" t="str">
        <x:v>Ajuste incorreto</x:v>
      </x:c>
      <x:c r="H210" s="84" t="str">
        <x:v>Média</x:v>
      </x:c>
      <x:c r="I210" s="84" t="n">
        <x:v>1</x:v>
      </x:c>
      <x:c r="J210" s="85" t="n">
        <x:v>1</x:v>
      </x:c>
    </x:row>
    <x:row r="211">
      <x:c r="A211" s="83" t="n">
        <x:v>210</x:v>
      </x:c>
      <x:c r="B211" s="84" t="n">
        <x:v>26</x:v>
      </x:c>
      <x:c r="C211" s="84" t="n">
        <x:v>660</x:v>
      </x:c>
      <x:c r="D211" s="89" t="n">
        <x:v>45380.58231481481</x:v>
      </x:c>
      <x:c r="E211" s="84" t="str">
        <x:v>Válvula</x:v>
      </x:c>
      <x:c r="F211" s="84" t="str">
        <x:v>Travamento</x:v>
      </x:c>
      <x:c r="G211" s="84" t="str">
        <x:v>Contaminação</x:v>
      </x:c>
      <x:c r="H211" s="84" t="str">
        <x:v>Baixa</x:v>
      </x:c>
      <x:c r="I211" s="84" t="n">
        <x:v>0</x:v>
      </x:c>
      <x:c r="J211" s="85" t="n">
        <x:v>1</x:v>
      </x:c>
    </x:row>
    <x:row r="212">
      <x:c r="A212" s="83" t="n">
        <x:v>211</x:v>
      </x:c>
      <x:c r="B212" s="84" t="n">
        <x:v>87</x:v>
      </x:c>
      <x:c r="C212" s="84" t="n">
        <x:v>662</x:v>
      </x:c>
      <x:c r="D212" s="89" t="n">
        <x:v>45708.65189814815</x:v>
      </x:c>
      <x:c r="E212" s="84" t="str">
        <x:v>Motor</x:v>
      </x:c>
      <x:c r="F212" s="84" t="str">
        <x:v>Quebra</x:v>
      </x:c>
      <x:c r="G212" s="84" t="str">
        <x:v>Ajuste incorreto</x:v>
      </x:c>
      <x:c r="H212" s="84" t="str">
        <x:v>Baixa</x:v>
      </x:c>
      <x:c r="I212" s="84" t="n">
        <x:v>0</x:v>
      </x:c>
      <x:c r="J212" s="85" t="n">
        <x:v>1</x:v>
      </x:c>
    </x:row>
    <x:row r="213">
      <x:c r="A213" s="83" t="n">
        <x:v>212</x:v>
      </x:c>
      <x:c r="B213" s="84" t="n">
        <x:v>18</x:v>
      </x:c>
      <x:c r="C213" s="84" t="n">
        <x:v>667</x:v>
      </x:c>
      <x:c r="D213" s="89" t="n">
        <x:v>45762.49146990741</x:v>
      </x:c>
      <x:c r="E213" s="84" t="str">
        <x:v>Válvula</x:v>
      </x:c>
      <x:c r="F213" s="84" t="str">
        <x:v>Quebra</x:v>
      </x:c>
      <x:c r="G213" s="84" t="str">
        <x:v>Ajuste incorreto</x:v>
      </x:c>
      <x:c r="H213" s="84" t="str">
        <x:v>Alta</x:v>
      </x:c>
      <x:c r="I213" s="84" t="n">
        <x:v>0</x:v>
      </x:c>
      <x:c r="J213" s="85" t="n">
        <x:v>1</x:v>
      </x:c>
    </x:row>
    <x:row r="214">
      <x:c r="A214" s="83" t="n">
        <x:v>213</x:v>
      </x:c>
      <x:c r="B214" s="84" t="n">
        <x:v>32</x:v>
      </x:c>
      <x:c r="C214" s="84" t="n">
        <x:v>668</x:v>
      </x:c>
      <x:c r="D214" s="89" t="n">
        <x:v>45330.96501157407</x:v>
      </x:c>
      <x:c r="E214" s="84" t="str">
        <x:v>Motor</x:v>
      </x:c>
      <x:c r="F214" s="84" t="str">
        <x:v>Desgaste</x:v>
      </x:c>
      <x:c r="G214" s="84" t="str">
        <x:v>Falta de lubrificação</x:v>
      </x:c>
      <x:c r="H214" s="84" t="str">
        <x:v>Alta</x:v>
      </x:c>
      <x:c r="I214" s="84" t="n">
        <x:v>0</x:v>
      </x:c>
      <x:c r="J214" s="85" t="n">
        <x:v>1</x:v>
      </x:c>
    </x:row>
    <x:row r="215">
      <x:c r="A215" s="83" t="n">
        <x:v>214</x:v>
      </x:c>
      <x:c r="B215" s="84" t="n">
        <x:v>78</x:v>
      </x:c>
      <x:c r="C215" s="84" t="n">
        <x:v>669</x:v>
      </x:c>
      <x:c r="D215" s="89" t="n">
        <x:v>45265.20586805556</x:v>
      </x:c>
      <x:c r="E215" s="84" t="str">
        <x:v>CLP</x:v>
      </x:c>
      <x:c r="F215" s="84" t="str">
        <x:v>Perda de sinal</x:v>
      </x:c>
      <x:c r="G215" s="84" t="str">
        <x:v>Falta de lubrificação</x:v>
      </x:c>
      <x:c r="H215" s="84" t="str">
        <x:v>Alta</x:v>
      </x:c>
      <x:c r="I215" s="84" t="n">
        <x:v>0</x:v>
      </x:c>
      <x:c r="J215" s="85" t="n">
        <x:v>1</x:v>
      </x:c>
    </x:row>
    <x:row r="216">
      <x:c r="A216" s="83" t="n">
        <x:v>215</x:v>
      </x:c>
      <x:c r="B216" s="84" t="n">
        <x:v>89</x:v>
      </x:c>
      <x:c r="C216" s="84" t="n">
        <x:v>673</x:v>
      </x:c>
      <x:c r="D216" s="89" t="n">
        <x:v>45068.09700231482</x:v>
      </x:c>
      <x:c r="E216" s="84" t="str">
        <x:v>Rolamento</x:v>
      </x:c>
      <x:c r="F216" s="84" t="str">
        <x:v>Desgaste</x:v>
      </x:c>
      <x:c r="G216" s="84" t="str">
        <x:v>Contaminação</x:v>
      </x:c>
      <x:c r="H216" s="84" t="str">
        <x:v>Média</x:v>
      </x:c>
      <x:c r="I216" s="84" t="n">
        <x:v>0</x:v>
      </x:c>
      <x:c r="J216" s="85" t="n">
        <x:v>1</x:v>
      </x:c>
    </x:row>
    <x:row r="217">
      <x:c r="A217" s="83" t="n">
        <x:v>216</x:v>
      </x:c>
      <x:c r="B217" s="84" t="n">
        <x:v>23</x:v>
      </x:c>
      <x:c r="C217" s="84" t="n">
        <x:v>674</x:v>
      </x:c>
      <x:c r="D217" s="89" t="n">
        <x:v>45994.16668981482</x:v>
      </x:c>
      <x:c r="E217" s="84" t="str">
        <x:v>Válvula</x:v>
      </x:c>
      <x:c r="F217" s="84" t="str">
        <x:v>Travamento</x:v>
      </x:c>
      <x:c r="G217" s="84" t="str">
        <x:v>Ajuste incorreto</x:v>
      </x:c>
      <x:c r="H217" s="84" t="str">
        <x:v>Média</x:v>
      </x:c>
      <x:c r="I217" s="84" t="n">
        <x:v>0</x:v>
      </x:c>
      <x:c r="J217" s="85" t="n">
        <x:v>1</x:v>
      </x:c>
    </x:row>
    <x:row r="218">
      <x:c r="A218" s="83" t="n">
        <x:v>217</x:v>
      </x:c>
      <x:c r="B218" s="84" t="n">
        <x:v>59</x:v>
      </x:c>
      <x:c r="C218" s="84" t="n">
        <x:v>678</x:v>
      </x:c>
      <x:c r="D218" s="89" t="n">
        <x:v>45739.150983796295</x:v>
      </x:c>
      <x:c r="E218" s="84" t="str">
        <x:v>Válvula</x:v>
      </x:c>
      <x:c r="F218" s="84" t="str">
        <x:v>Desgaste</x:v>
      </x:c>
      <x:c r="G218" s="84" t="str">
        <x:v>Desgaste natural</x:v>
      </x:c>
      <x:c r="H218" s="84" t="str">
        <x:v>Baixa</x:v>
      </x:c>
      <x:c r="I218" s="84" t="n">
        <x:v>0</x:v>
      </x:c>
      <x:c r="J218" s="85" t="n">
        <x:v>1</x:v>
      </x:c>
    </x:row>
    <x:row r="219">
      <x:c r="A219" s="83" t="n">
        <x:v>218</x:v>
      </x:c>
      <x:c r="B219" s="84" t="n">
        <x:v>3</x:v>
      </x:c>
      <x:c r="C219" s="84" t="n">
        <x:v>682</x:v>
      </x:c>
      <x:c r="D219" s="89" t="n">
        <x:v>45699.24868055555</x:v>
      </x:c>
      <x:c r="E219" s="84" t="str">
        <x:v>Válvula</x:v>
      </x:c>
      <x:c r="F219" s="84" t="str">
        <x:v>Desgaste</x:v>
      </x:c>
      <x:c r="G219" s="84" t="str">
        <x:v>Desgaste natural</x:v>
      </x:c>
      <x:c r="H219" s="84" t="str">
        <x:v>Baixa</x:v>
      </x:c>
      <x:c r="I219" s="84" t="n">
        <x:v>0</x:v>
      </x:c>
      <x:c r="J219" s="85" t="n">
        <x:v>1</x:v>
      </x:c>
    </x:row>
    <x:row r="220">
      <x:c r="A220" s="83" t="n">
        <x:v>219</x:v>
      </x:c>
      <x:c r="B220" s="84" t="n">
        <x:v>75</x:v>
      </x:c>
      <x:c r="C220" s="84" t="n">
        <x:v>686</x:v>
      </x:c>
      <x:c r="D220" s="89" t="n">
        <x:v>45194.3484837963</x:v>
      </x:c>
      <x:c r="E220" s="84" t="str">
        <x:v>Válvula</x:v>
      </x:c>
      <x:c r="F220" s="84" t="str">
        <x:v>Desgaste</x:v>
      </x:c>
      <x:c r="G220" s="84" t="str">
        <x:v>Desgaste natural</x:v>
      </x:c>
      <x:c r="H220" s="84" t="str">
        <x:v>Alta</x:v>
      </x:c>
      <x:c r="I220" s="84" t="n">
        <x:v>0</x:v>
      </x:c>
      <x:c r="J220" s="85" t="n">
        <x:v>1</x:v>
      </x:c>
    </x:row>
    <x:row r="221">
      <x:c r="A221" s="83" t="n">
        <x:v>220</x:v>
      </x:c>
      <x:c r="B221" s="84" t="n">
        <x:v>77</x:v>
      </x:c>
      <x:c r="C221" s="84" t="n">
        <x:v>692</x:v>
      </x:c>
      <x:c r="D221" s="89" t="n">
        <x:v>45382.44938657407</x:v>
      </x:c>
      <x:c r="E221" s="84" t="str">
        <x:v>Correia</x:v>
      </x:c>
      <x:c r="F221" s="84" t="str">
        <x:v>Travamento</x:v>
      </x:c>
      <x:c r="G221" s="84" t="str">
        <x:v>Desgaste natural</x:v>
      </x:c>
      <x:c r="H221" s="84" t="str">
        <x:v>Baixa</x:v>
      </x:c>
      <x:c r="I221" s="84" t="n">
        <x:v>0</x:v>
      </x:c>
      <x:c r="J221" s="85" t="n">
        <x:v>1</x:v>
      </x:c>
    </x:row>
    <x:row r="222">
      <x:c r="A222" s="83" t="n">
        <x:v>221</x:v>
      </x:c>
      <x:c r="B222" s="84" t="n">
        <x:v>80</x:v>
      </x:c>
      <x:c r="C222" s="84" t="n">
        <x:v>695</x:v>
      </x:c>
      <x:c r="D222" s="89" t="n">
        <x:v>45088.47673611111</x:v>
      </x:c>
      <x:c r="E222" s="84" t="str">
        <x:v>CLP</x:v>
      </x:c>
      <x:c r="F222" s="84" t="str">
        <x:v>Quebra</x:v>
      </x:c>
      <x:c r="G222" s="84" t="str">
        <x:v>Contaminação</x:v>
      </x:c>
      <x:c r="H222" s="84" t="str">
        <x:v>Média</x:v>
      </x:c>
      <x:c r="I222" s="84" t="n">
        <x:v>0</x:v>
      </x:c>
      <x:c r="J222" s="85" t="n">
        <x:v>1</x:v>
      </x:c>
    </x:row>
    <x:row r="223">
      <x:c r="A223" s="83" t="n">
        <x:v>222</x:v>
      </x:c>
      <x:c r="B223" s="84" t="n">
        <x:v>49</x:v>
      </x:c>
      <x:c r="C223" s="84" t="n">
        <x:v>697</x:v>
      </x:c>
      <x:c r="D223" s="89" t="n">
        <x:v>45962.65194444444</x:v>
      </x:c>
      <x:c r="E223" s="84" t="str">
        <x:v>Motor</x:v>
      </x:c>
      <x:c r="F223" s="84" t="str">
        <x:v>Desgaste</x:v>
      </x:c>
      <x:c r="G223" s="84" t="str">
        <x:v>Contaminação</x:v>
      </x:c>
      <x:c r="H223" s="84" t="str">
        <x:v>Média</x:v>
      </x:c>
      <x:c r="I223" s="84" t="n">
        <x:v>0</x:v>
      </x:c>
      <x:c r="J223" s="85" t="n">
        <x:v>1</x:v>
      </x:c>
    </x:row>
    <x:row r="224">
      <x:c r="A224" s="83" t="n">
        <x:v>223</x:v>
      </x:c>
      <x:c r="B224" s="84" t="n">
        <x:v>26</x:v>
      </x:c>
      <x:c r="C224" s="84" t="n">
        <x:v>701</x:v>
      </x:c>
      <x:c r="D224" s="89" t="n">
        <x:v>45411.49107638889</x:v>
      </x:c>
      <x:c r="E224" s="84" t="str">
        <x:v>CLP</x:v>
      </x:c>
      <x:c r="F224" s="84" t="str">
        <x:v>Travamento</x:v>
      </x:c>
      <x:c r="G224" s="84" t="str">
        <x:v>Falta de lubrificação</x:v>
      </x:c>
      <x:c r="H224" s="84" t="str">
        <x:v>Alta</x:v>
      </x:c>
      <x:c r="I224" s="84" t="n">
        <x:v>0</x:v>
      </x:c>
      <x:c r="J224" s="85" t="n">
        <x:v>1</x:v>
      </x:c>
    </x:row>
    <x:row r="225">
      <x:c r="A225" s="83" t="n">
        <x:v>224</x:v>
      </x:c>
      <x:c r="B225" s="84" t="n">
        <x:v>33</x:v>
      </x:c>
      <x:c r="C225" s="84" t="n">
        <x:v>703</x:v>
      </x:c>
      <x:c r="D225" s="89" t="n">
        <x:v>45159.40829861111</x:v>
      </x:c>
      <x:c r="E225" s="84" t="str">
        <x:v>Sensor</x:v>
      </x:c>
      <x:c r="F225" s="84" t="str">
        <x:v>Perda de sinal</x:v>
      </x:c>
      <x:c r="G225" s="84" t="str">
        <x:v>Contaminação</x:v>
      </x:c>
      <x:c r="H225" s="84" t="str">
        <x:v>Baixa</x:v>
      </x:c>
      <x:c r="I225" s="84" t="n">
        <x:v>0</x:v>
      </x:c>
      <x:c r="J225" s="85" t="n">
        <x:v>1</x:v>
      </x:c>
    </x:row>
    <x:row r="226">
      <x:c r="A226" s="83" t="n">
        <x:v>225</x:v>
      </x:c>
      <x:c r="B226" s="84" t="n">
        <x:v>4</x:v>
      </x:c>
      <x:c r="C226" s="84" t="n">
        <x:v>706</x:v>
      </x:c>
      <x:c r="D226" s="89" t="n">
        <x:v>45546.72827546296</x:v>
      </x:c>
      <x:c r="E226" s="84" t="str">
        <x:v>Rolamento</x:v>
      </x:c>
      <x:c r="F226" s="84" t="str">
        <x:v>Quebra</x:v>
      </x:c>
      <x:c r="G226" s="84" t="str">
        <x:v>Falta de lubrificação</x:v>
      </x:c>
      <x:c r="H226" s="84" t="str">
        <x:v>Baixa</x:v>
      </x:c>
      <x:c r="I226" s="84" t="n">
        <x:v>0</x:v>
      </x:c>
      <x:c r="J226" s="85" t="n">
        <x:v>1</x:v>
      </x:c>
    </x:row>
    <x:row r="227">
      <x:c r="A227" s="83" t="n">
        <x:v>226</x:v>
      </x:c>
      <x:c r="B227" s="84" t="n">
        <x:v>42</x:v>
      </x:c>
      <x:c r="C227" s="84" t="n">
        <x:v>708</x:v>
      </x:c>
      <x:c r="D227" s="89" t="n">
        <x:v>45702.76988425926</x:v>
      </x:c>
      <x:c r="E227" s="84" t="str">
        <x:v>Correia</x:v>
      </x:c>
      <x:c r="F227" s="84" t="str">
        <x:v>Quebra</x:v>
      </x:c>
      <x:c r="G227" s="84" t="str">
        <x:v>Falta de lubrificação</x:v>
      </x:c>
      <x:c r="H227" s="84" t="str">
        <x:v>Baixa</x:v>
      </x:c>
      <x:c r="I227" s="84" t="n">
        <x:v>0</x:v>
      </x:c>
      <x:c r="J227" s="85" t="n">
        <x:v>1</x:v>
      </x:c>
    </x:row>
    <x:row r="228">
      <x:c r="A228" s="83" t="n">
        <x:v>227</x:v>
      </x:c>
      <x:c r="B228" s="84" t="n">
        <x:v>83</x:v>
      </x:c>
      <x:c r="C228" s="84" t="n">
        <x:v>709</x:v>
      </x:c>
      <x:c r="D228" s="89" t="n">
        <x:v>45119.33826388889</x:v>
      </x:c>
      <x:c r="E228" s="84" t="str">
        <x:v>Rolamento</x:v>
      </x:c>
      <x:c r="F228" s="84" t="str">
        <x:v>Desgaste</x:v>
      </x:c>
      <x:c r="G228" s="84" t="str">
        <x:v>Desgaste natural</x:v>
      </x:c>
      <x:c r="H228" s="84" t="str">
        <x:v>Alta</x:v>
      </x:c>
      <x:c r="I228" s="84" t="n">
        <x:v>0</x:v>
      </x:c>
      <x:c r="J228" s="85" t="n">
        <x:v>1</x:v>
      </x:c>
    </x:row>
    <x:row r="229">
      <x:c r="A229" s="83" t="n">
        <x:v>228</x:v>
      </x:c>
      <x:c r="B229" s="84" t="n">
        <x:v>89</x:v>
      </x:c>
      <x:c r="C229" s="84" t="n">
        <x:v>710</x:v>
      </x:c>
      <x:c r="D229" s="89" t="n">
        <x:v>45653.020949074074</x:v>
      </x:c>
      <x:c r="E229" s="84" t="str">
        <x:v>Sensor</x:v>
      </x:c>
      <x:c r="F229" s="84" t="str">
        <x:v>Curto-circuito</x:v>
      </x:c>
      <x:c r="G229" s="84" t="str">
        <x:v>Falta de lubrificação</x:v>
      </x:c>
      <x:c r="H229" s="84" t="str">
        <x:v>Baixa</x:v>
      </x:c>
      <x:c r="I229" s="84" t="n">
        <x:v>0</x:v>
      </x:c>
      <x:c r="J229" s="85" t="n">
        <x:v>1</x:v>
      </x:c>
    </x:row>
    <x:row r="230">
      <x:c r="A230" s="83" t="n">
        <x:v>229</x:v>
      </x:c>
      <x:c r="B230" s="84" t="n">
        <x:v>80</x:v>
      </x:c>
      <x:c r="C230" s="84" t="n">
        <x:v>711</x:v>
      </x:c>
      <x:c r="D230" s="89" t="n">
        <x:v>45440.59693287037</x:v>
      </x:c>
      <x:c r="E230" s="84" t="str">
        <x:v>Válvula</x:v>
      </x:c>
      <x:c r="F230" s="84" t="str">
        <x:v>Travamento</x:v>
      </x:c>
      <x:c r="G230" s="84" t="str">
        <x:v>Componente danificado</x:v>
      </x:c>
      <x:c r="H230" s="84" t="str">
        <x:v>Média</x:v>
      </x:c>
      <x:c r="I230" s="84" t="n">
        <x:v>0</x:v>
      </x:c>
      <x:c r="J230" s="85" t="n">
        <x:v>1</x:v>
      </x:c>
    </x:row>
    <x:row r="231">
      <x:c r="A231" s="83" t="n">
        <x:v>230</x:v>
      </x:c>
      <x:c r="B231" s="84" t="n">
        <x:v>23</x:v>
      </x:c>
      <x:c r="C231" s="84" t="n">
        <x:v>715</x:v>
      </x:c>
      <x:c r="D231" s="89" t="n">
        <x:v>45167.260034722225</x:v>
      </x:c>
      <x:c r="E231" s="84" t="str">
        <x:v>Motor</x:v>
      </x:c>
      <x:c r="F231" s="84" t="str">
        <x:v>Travamento</x:v>
      </x:c>
      <x:c r="G231" s="84" t="str">
        <x:v>Ajuste incorreto</x:v>
      </x:c>
      <x:c r="H231" s="84" t="str">
        <x:v>Baixa</x:v>
      </x:c>
      <x:c r="I231" s="84" t="n">
        <x:v>0</x:v>
      </x:c>
      <x:c r="J231" s="85" t="n">
        <x:v>1</x:v>
      </x:c>
    </x:row>
    <x:row r="232">
      <x:c r="A232" s="83" t="n">
        <x:v>231</x:v>
      </x:c>
      <x:c r="B232" s="84" t="n">
        <x:v>2</x:v>
      </x:c>
      <x:c r="C232" s="84" t="n">
        <x:v>717</x:v>
      </x:c>
      <x:c r="D232" s="89" t="n">
        <x:v>44959.84861111111</x:v>
      </x:c>
      <x:c r="E232" s="84" t="str">
        <x:v>Rolamento</x:v>
      </x:c>
      <x:c r="F232" s="84" t="str">
        <x:v>Curto-circuito</x:v>
      </x:c>
      <x:c r="G232" s="84" t="str">
        <x:v>Componente danificado</x:v>
      </x:c>
      <x:c r="H232" s="84" t="str">
        <x:v>Baixa</x:v>
      </x:c>
      <x:c r="I232" s="84" t="n">
        <x:v>1</x:v>
      </x:c>
      <x:c r="J232" s="85" t="n">
        <x:v>1</x:v>
      </x:c>
    </x:row>
    <x:row r="233">
      <x:c r="A233" s="83" t="n">
        <x:v>232</x:v>
      </x:c>
      <x:c r="B233" s="84" t="n">
        <x:v>42</x:v>
      </x:c>
      <x:c r="C233" s="84" t="n">
        <x:v>720</x:v>
      </x:c>
      <x:c r="D233" s="89" t="n">
        <x:v>45984.401967592596</x:v>
      </x:c>
      <x:c r="E233" s="84" t="str">
        <x:v>Rolamento</x:v>
      </x:c>
      <x:c r="F233" s="84" t="str">
        <x:v>Desgaste</x:v>
      </x:c>
      <x:c r="G233" s="84" t="str">
        <x:v>Conexão frouxa</x:v>
      </x:c>
      <x:c r="H233" s="84" t="str">
        <x:v>Baixa</x:v>
      </x:c>
      <x:c r="I233" s="84" t="n">
        <x:v>0</x:v>
      </x:c>
      <x:c r="J233" s="85" t="n">
        <x:v>1</x:v>
      </x:c>
    </x:row>
    <x:row r="234">
      <x:c r="A234" s="83" t="n">
        <x:v>233</x:v>
      </x:c>
      <x:c r="B234" s="84" t="n">
        <x:v>3</x:v>
      </x:c>
      <x:c r="C234" s="84" t="n">
        <x:v>724</x:v>
      </x:c>
      <x:c r="D234" s="89" t="n">
        <x:v>45644.81219907408</x:v>
      </x:c>
      <x:c r="E234" s="84" t="str">
        <x:v>Válvula</x:v>
      </x:c>
      <x:c r="F234" s="84" t="str">
        <x:v>Perda de sinal</x:v>
      </x:c>
      <x:c r="G234" s="84" t="str">
        <x:v>Ajuste incorreto</x:v>
      </x:c>
      <x:c r="H234" s="84" t="str">
        <x:v>Baixa</x:v>
      </x:c>
      <x:c r="I234" s="84" t="n">
        <x:v>0</x:v>
      </x:c>
      <x:c r="J234" s="85" t="n">
        <x:v>1</x:v>
      </x:c>
    </x:row>
    <x:row r="235">
      <x:c r="A235" s="83" t="n">
        <x:v>234</x:v>
      </x:c>
      <x:c r="B235" s="84" t="n">
        <x:v>30</x:v>
      </x:c>
      <x:c r="C235" s="84" t="n">
        <x:v>728</x:v>
      </x:c>
      <x:c r="D235" s="89" t="n">
        <x:v>45300.953368055554</x:v>
      </x:c>
      <x:c r="E235" s="84" t="str">
        <x:v>CLP</x:v>
      </x:c>
      <x:c r="F235" s="84" t="str">
        <x:v>Travamento</x:v>
      </x:c>
      <x:c r="G235" s="84" t="str">
        <x:v>Ajuste incorreto</x:v>
      </x:c>
      <x:c r="H235" s="84" t="str">
        <x:v>Média</x:v>
      </x:c>
      <x:c r="I235" s="84" t="n">
        <x:v>0</x:v>
      </x:c>
      <x:c r="J235" s="85" t="n">
        <x:v>1</x:v>
      </x:c>
    </x:row>
    <x:row r="236">
      <x:c r="A236" s="83" t="n">
        <x:v>235</x:v>
      </x:c>
      <x:c r="B236" s="84" t="n">
        <x:v>27</x:v>
      </x:c>
      <x:c r="C236" s="84" t="n">
        <x:v>737</x:v>
      </x:c>
      <x:c r="D236" s="89" t="n">
        <x:v>45677.76809027778</x:v>
      </x:c>
      <x:c r="E236" s="84" t="str">
        <x:v>CLP</x:v>
      </x:c>
      <x:c r="F236" s="84" t="str">
        <x:v>Travamento</x:v>
      </x:c>
      <x:c r="G236" s="84" t="str">
        <x:v>Componente danificado</x:v>
      </x:c>
      <x:c r="H236" s="84" t="str">
        <x:v>Baixa</x:v>
      </x:c>
      <x:c r="I236" s="84" t="n">
        <x:v>0</x:v>
      </x:c>
      <x:c r="J236" s="85" t="n">
        <x:v>1</x:v>
      </x:c>
    </x:row>
    <x:row r="237">
      <x:c r="A237" s="83" t="n">
        <x:v>236</x:v>
      </x:c>
      <x:c r="B237" s="84" t="n">
        <x:v>63</x:v>
      </x:c>
      <x:c r="C237" s="84" t="n">
        <x:v>740</x:v>
      </x:c>
      <x:c r="D237" s="89" t="n">
        <x:v>45031.72620370371</x:v>
      </x:c>
      <x:c r="E237" s="84" t="str">
        <x:v>CLP</x:v>
      </x:c>
      <x:c r="F237" s="84" t="str">
        <x:v>Quebra</x:v>
      </x:c>
      <x:c r="G237" s="84" t="str">
        <x:v>Componente danificado</x:v>
      </x:c>
      <x:c r="H237" s="84" t="str">
        <x:v>Média</x:v>
      </x:c>
      <x:c r="I237" s="84" t="n">
        <x:v>0</x:v>
      </x:c>
      <x:c r="J237" s="85" t="n">
        <x:v>1</x:v>
      </x:c>
    </x:row>
    <x:row r="238">
      <x:c r="A238" s="83" t="n">
        <x:v>237</x:v>
      </x:c>
      <x:c r="B238" s="84" t="n">
        <x:v>79</x:v>
      </x:c>
      <x:c r="C238" s="84" t="n">
        <x:v>743</x:v>
      </x:c>
      <x:c r="D238" s="89" t="n">
        <x:v>45773.16543981482</x:v>
      </x:c>
      <x:c r="E238" s="84" t="str">
        <x:v>Correia</x:v>
      </x:c>
      <x:c r="F238" s="84" t="str">
        <x:v>Perda de sinal</x:v>
      </x:c>
      <x:c r="G238" s="84" t="str">
        <x:v>Conexão frouxa</x:v>
      </x:c>
      <x:c r="H238" s="84" t="str">
        <x:v>Baixa</x:v>
      </x:c>
      <x:c r="I238" s="84" t="n">
        <x:v>1</x:v>
      </x:c>
      <x:c r="J238" s="85" t="n">
        <x:v>1</x:v>
      </x:c>
    </x:row>
    <x:row r="239">
      <x:c r="A239" s="83" t="n">
        <x:v>238</x:v>
      </x:c>
      <x:c r="B239" s="84" t="n">
        <x:v>13</x:v>
      </x:c>
      <x:c r="C239" s="84" t="n">
        <x:v>745</x:v>
      </x:c>
      <x:c r="D239" s="89" t="n">
        <x:v>45244.26476851852</x:v>
      </x:c>
      <x:c r="E239" s="84" t="str">
        <x:v>Rolamento</x:v>
      </x:c>
      <x:c r="F239" s="84" t="str">
        <x:v>Quebra</x:v>
      </x:c>
      <x:c r="G239" s="84" t="str">
        <x:v>Componente danificado</x:v>
      </x:c>
      <x:c r="H239" s="84" t="str">
        <x:v>Baixa</x:v>
      </x:c>
      <x:c r="I239" s="84" t="n">
        <x:v>1</x:v>
      </x:c>
      <x:c r="J239" s="85" t="n">
        <x:v>1</x:v>
      </x:c>
    </x:row>
    <x:row r="240">
      <x:c r="A240" s="83" t="n">
        <x:v>239</x:v>
      </x:c>
      <x:c r="B240" s="84" t="n">
        <x:v>42</x:v>
      </x:c>
      <x:c r="C240" s="84" t="n">
        <x:v>747</x:v>
      </x:c>
      <x:c r="D240" s="89" t="n">
        <x:v>45126.26478009259</x:v>
      </x:c>
      <x:c r="E240" s="84" t="str">
        <x:v>CLP</x:v>
      </x:c>
      <x:c r="F240" s="84" t="str">
        <x:v>Quebra</x:v>
      </x:c>
      <x:c r="G240" s="84" t="str">
        <x:v>Componente danificado</x:v>
      </x:c>
      <x:c r="H240" s="84" t="str">
        <x:v>Baixa</x:v>
      </x:c>
      <x:c r="I240" s="84" t="n">
        <x:v>0</x:v>
      </x:c>
      <x:c r="J240" s="85" t="n">
        <x:v>1</x:v>
      </x:c>
    </x:row>
    <x:row r="241">
      <x:c r="A241" s="83" t="n">
        <x:v>240</x:v>
      </x:c>
      <x:c r="B241" s="84" t="n">
        <x:v>23</x:v>
      </x:c>
      <x:c r="C241" s="84" t="n">
        <x:v>749</x:v>
      </x:c>
      <x:c r="D241" s="89" t="n">
        <x:v>45907.74829861111</x:v>
      </x:c>
      <x:c r="E241" s="84" t="str">
        <x:v>Sensor</x:v>
      </x:c>
      <x:c r="F241" s="84" t="str">
        <x:v>Desgaste</x:v>
      </x:c>
      <x:c r="G241" s="84" t="str">
        <x:v>Conexão frouxa</x:v>
      </x:c>
      <x:c r="H241" s="84" t="str">
        <x:v>Alta</x:v>
      </x:c>
      <x:c r="I241" s="84" t="n">
        <x:v>0</x:v>
      </x:c>
      <x:c r="J241" s="85" t="n">
        <x:v>1</x:v>
      </x:c>
    </x:row>
    <x:row r="242">
      <x:c r="A242" s="83" t="n">
        <x:v>241</x:v>
      </x:c>
      <x:c r="B242" s="84" t="n">
        <x:v>86</x:v>
      </x:c>
      <x:c r="C242" s="84" t="n">
        <x:v>751</x:v>
      </x:c>
      <x:c r="D242" s="89" t="n">
        <x:v>45415.93314814815</x:v>
      </x:c>
      <x:c r="E242" s="84" t="str">
        <x:v>Motor</x:v>
      </x:c>
      <x:c r="F242" s="84" t="str">
        <x:v>Travamento</x:v>
      </x:c>
      <x:c r="G242" s="84" t="str">
        <x:v>Conexão frouxa</x:v>
      </x:c>
      <x:c r="H242" s="84" t="str">
        <x:v>Média</x:v>
      </x:c>
      <x:c r="I242" s="84" t="n">
        <x:v>0</x:v>
      </x:c>
      <x:c r="J242" s="85" t="n">
        <x:v>1</x:v>
      </x:c>
    </x:row>
    <x:row r="243">
      <x:c r="A243" s="83" t="n">
        <x:v>242</x:v>
      </x:c>
      <x:c r="B243" s="84" t="n">
        <x:v>28</x:v>
      </x:c>
      <x:c r="C243" s="84" t="n">
        <x:v>752</x:v>
      </x:c>
      <x:c r="D243" s="89" t="n">
        <x:v>45724.40752314815</x:v>
      </x:c>
      <x:c r="E243" s="84" t="str">
        <x:v>Sensor</x:v>
      </x:c>
      <x:c r="F243" s="84" t="str">
        <x:v>Travamento</x:v>
      </x:c>
      <x:c r="G243" s="84" t="str">
        <x:v>Falta de lubrificação</x:v>
      </x:c>
      <x:c r="H243" s="84" t="str">
        <x:v>Baixa</x:v>
      </x:c>
      <x:c r="I243" s="84" t="n">
        <x:v>1</x:v>
      </x:c>
      <x:c r="J243" s="85" t="n">
        <x:v>1</x:v>
      </x:c>
    </x:row>
    <x:row r="244">
      <x:c r="A244" s="83" t="n">
        <x:v>243</x:v>
      </x:c>
      <x:c r="B244" s="84" t="n">
        <x:v>39</x:v>
      </x:c>
      <x:c r="C244" s="84" t="n">
        <x:v>753</x:v>
      </x:c>
      <x:c r="D244" s="89" t="n">
        <x:v>45562.87125</x:v>
      </x:c>
      <x:c r="E244" s="84" t="str">
        <x:v>CLP</x:v>
      </x:c>
      <x:c r="F244" s="84" t="str">
        <x:v>Perda de sinal</x:v>
      </x:c>
      <x:c r="G244" s="84" t="str">
        <x:v>Falta de lubrificação</x:v>
      </x:c>
      <x:c r="H244" s="84" t="str">
        <x:v>Baixa</x:v>
      </x:c>
      <x:c r="I244" s="84" t="n">
        <x:v>0</x:v>
      </x:c>
      <x:c r="J244" s="85" t="n">
        <x:v>1</x:v>
      </x:c>
    </x:row>
    <x:row r="245">
      <x:c r="A245" s="83" t="n">
        <x:v>244</x:v>
      </x:c>
      <x:c r="B245" s="84" t="n">
        <x:v>64</x:v>
      </x:c>
      <x:c r="C245" s="84" t="n">
        <x:v>754</x:v>
      </x:c>
      <x:c r="D245" s="89" t="n">
        <x:v>45068.06151620371</x:v>
      </x:c>
      <x:c r="E245" s="84" t="str">
        <x:v>Válvula</x:v>
      </x:c>
      <x:c r="F245" s="84" t="str">
        <x:v>Travamento</x:v>
      </x:c>
      <x:c r="G245" s="84" t="str">
        <x:v>Conexão frouxa</x:v>
      </x:c>
      <x:c r="H245" s="84" t="str">
        <x:v>Baixa</x:v>
      </x:c>
      <x:c r="I245" s="84" t="n">
        <x:v>0</x:v>
      </x:c>
      <x:c r="J245" s="85" t="n">
        <x:v>1</x:v>
      </x:c>
    </x:row>
    <x:row r="246">
      <x:c r="A246" s="83" t="n">
        <x:v>245</x:v>
      </x:c>
      <x:c r="B246" s="84" t="n">
        <x:v>85</x:v>
      </x:c>
      <x:c r="C246" s="84" t="n">
        <x:v>755</x:v>
      </x:c>
      <x:c r="D246" s="89" t="n">
        <x:v>45743.969988425924</x:v>
      </x:c>
      <x:c r="E246" s="84" t="str">
        <x:v>Sensor</x:v>
      </x:c>
      <x:c r="F246" s="84" t="str">
        <x:v>Quebra</x:v>
      </x:c>
      <x:c r="G246" s="84" t="str">
        <x:v>Contaminação</x:v>
      </x:c>
      <x:c r="H246" s="84" t="str">
        <x:v>Média</x:v>
      </x:c>
      <x:c r="I246" s="84" t="n">
        <x:v>0</x:v>
      </x:c>
      <x:c r="J246" s="85" t="n">
        <x:v>1</x:v>
      </x:c>
    </x:row>
    <x:row r="247">
      <x:c r="A247" s="83" t="n">
        <x:v>246</x:v>
      </x:c>
      <x:c r="B247" s="84" t="n">
        <x:v>57</x:v>
      </x:c>
      <x:c r="C247" s="84" t="n">
        <x:v>757</x:v>
      </x:c>
      <x:c r="D247" s="89" t="n">
        <x:v>45170.807025462964</x:v>
      </x:c>
      <x:c r="E247" s="84" t="str">
        <x:v>CLP</x:v>
      </x:c>
      <x:c r="F247" s="84" t="str">
        <x:v>Quebra</x:v>
      </x:c>
      <x:c r="G247" s="84" t="str">
        <x:v>Componente danificado</x:v>
      </x:c>
      <x:c r="H247" s="84" t="str">
        <x:v>Média</x:v>
      </x:c>
      <x:c r="I247" s="84" t="n">
        <x:v>1</x:v>
      </x:c>
      <x:c r="J247" s="85" t="n">
        <x:v>1</x:v>
      </x:c>
    </x:row>
    <x:row r="248">
      <x:c r="A248" s="83" t="n">
        <x:v>247</x:v>
      </x:c>
      <x:c r="B248" s="84" t="n">
        <x:v>32</x:v>
      </x:c>
      <x:c r="C248" s="84" t="n">
        <x:v>759</x:v>
      </x:c>
      <x:c r="D248" s="89" t="n">
        <x:v>45250.79127314815</x:v>
      </x:c>
      <x:c r="E248" s="84" t="str">
        <x:v>CLP</x:v>
      </x:c>
      <x:c r="F248" s="84" t="str">
        <x:v>Quebra</x:v>
      </x:c>
      <x:c r="G248" s="84" t="str">
        <x:v>Componente danificado</x:v>
      </x:c>
      <x:c r="H248" s="84" t="str">
        <x:v>Alta</x:v>
      </x:c>
      <x:c r="I248" s="84" t="n">
        <x:v>1</x:v>
      </x:c>
      <x:c r="J248" s="85" t="n">
        <x:v>1</x:v>
      </x:c>
    </x:row>
    <x:row r="249">
      <x:c r="A249" s="83" t="n">
        <x:v>248</x:v>
      </x:c>
      <x:c r="B249" s="84" t="n">
        <x:v>25</x:v>
      </x:c>
      <x:c r="C249" s="84" t="n">
        <x:v>760</x:v>
      </x:c>
      <x:c r="D249" s="89" t="n">
        <x:v>45433.817025462966</x:v>
      </x:c>
      <x:c r="E249" s="84" t="str">
        <x:v>Motor</x:v>
      </x:c>
      <x:c r="F249" s="84" t="str">
        <x:v>Travamento</x:v>
      </x:c>
      <x:c r="G249" s="84" t="str">
        <x:v>Desgaste natural</x:v>
      </x:c>
      <x:c r="H249" s="84" t="str">
        <x:v>Alta</x:v>
      </x:c>
      <x:c r="I249" s="84" t="n">
        <x:v>0</x:v>
      </x:c>
      <x:c r="J249" s="85" t="n">
        <x:v>1</x:v>
      </x:c>
    </x:row>
    <x:row r="250">
      <x:c r="A250" s="83" t="n">
        <x:v>249</x:v>
      </x:c>
      <x:c r="B250" s="84" t="n">
        <x:v>80</x:v>
      </x:c>
      <x:c r="C250" s="84" t="n">
        <x:v>767</x:v>
      </x:c>
      <x:c r="D250" s="89" t="n">
        <x:v>45558.32640046296</x:v>
      </x:c>
      <x:c r="E250" s="84" t="str">
        <x:v>Correia</x:v>
      </x:c>
      <x:c r="F250" s="84" t="str">
        <x:v>Perda de sinal</x:v>
      </x:c>
      <x:c r="G250" s="84" t="str">
        <x:v>Conexão frouxa</x:v>
      </x:c>
      <x:c r="H250" s="84" t="str">
        <x:v>Alta</x:v>
      </x:c>
      <x:c r="I250" s="84" t="n">
        <x:v>0</x:v>
      </x:c>
      <x:c r="J250" s="85" t="n">
        <x:v>1</x:v>
      </x:c>
    </x:row>
    <x:row r="251">
      <x:c r="A251" s="83" t="n">
        <x:v>250</x:v>
      </x:c>
      <x:c r="B251" s="84" t="n">
        <x:v>8</x:v>
      </x:c>
      <x:c r="C251" s="84" t="n">
        <x:v>769</x:v>
      </x:c>
      <x:c r="D251" s="89" t="n">
        <x:v>45969.81537037037</x:v>
      </x:c>
      <x:c r="E251" s="84" t="str">
        <x:v>CLP</x:v>
      </x:c>
      <x:c r="F251" s="84" t="str">
        <x:v>Quebra</x:v>
      </x:c>
      <x:c r="G251" s="84" t="str">
        <x:v>Contaminação</x:v>
      </x:c>
      <x:c r="H251" s="84" t="str">
        <x:v>Média</x:v>
      </x:c>
      <x:c r="I251" s="84" t="n">
        <x:v>0</x:v>
      </x:c>
      <x:c r="J251" s="85" t="n">
        <x:v>1</x:v>
      </x:c>
    </x:row>
    <x:row r="252">
      <x:c r="A252" s="83" t="n">
        <x:v>251</x:v>
      </x:c>
      <x:c r="B252" s="84" t="n">
        <x:v>1</x:v>
      </x:c>
      <x:c r="C252" s="84" t="n">
        <x:v>770</x:v>
      </x:c>
      <x:c r="D252" s="89" t="n">
        <x:v>45812.72542824074</x:v>
      </x:c>
      <x:c r="E252" s="84" t="str">
        <x:v>CLP</x:v>
      </x:c>
      <x:c r="F252" s="84" t="str">
        <x:v>Perda de sinal</x:v>
      </x:c>
      <x:c r="G252" s="84" t="str">
        <x:v>Falta de lubrificação</x:v>
      </x:c>
      <x:c r="H252" s="84" t="str">
        <x:v>Baixa</x:v>
      </x:c>
      <x:c r="I252" s="84" t="n">
        <x:v>0</x:v>
      </x:c>
      <x:c r="J252" s="85" t="n">
        <x:v>1</x:v>
      </x:c>
    </x:row>
    <x:row r="253">
      <x:c r="A253" s="83" t="n">
        <x:v>252</x:v>
      </x:c>
      <x:c r="B253" s="84" t="n">
        <x:v>77</x:v>
      </x:c>
      <x:c r="C253" s="84" t="n">
        <x:v>775</x:v>
      </x:c>
      <x:c r="D253" s="89" t="n">
        <x:v>45721.010925925926</x:v>
      </x:c>
      <x:c r="E253" s="84" t="str">
        <x:v>CLP</x:v>
      </x:c>
      <x:c r="F253" s="84" t="str">
        <x:v>Desgaste</x:v>
      </x:c>
      <x:c r="G253" s="84" t="str">
        <x:v>Desgaste natural</x:v>
      </x:c>
      <x:c r="H253" s="84" t="str">
        <x:v>Média</x:v>
      </x:c>
      <x:c r="I253" s="84" t="n">
        <x:v>1</x:v>
      </x:c>
      <x:c r="J253" s="85" t="n">
        <x:v>1</x:v>
      </x:c>
    </x:row>
    <x:row r="254">
      <x:c r="A254" s="83" t="n">
        <x:v>253</x:v>
      </x:c>
      <x:c r="B254" s="84" t="n">
        <x:v>1</x:v>
      </x:c>
      <x:c r="C254" s="84" t="n">
        <x:v>778</x:v>
      </x:c>
      <x:c r="D254" s="89" t="n">
        <x:v>45476.85857638889</x:v>
      </x:c>
      <x:c r="E254" s="84" t="str">
        <x:v>Válvula</x:v>
      </x:c>
      <x:c r="F254" s="84" t="str">
        <x:v>Desgaste</x:v>
      </x:c>
      <x:c r="G254" s="84" t="str">
        <x:v>Componente danificado</x:v>
      </x:c>
      <x:c r="H254" s="84" t="str">
        <x:v>Média</x:v>
      </x:c>
      <x:c r="I254" s="84" t="n">
        <x:v>0</x:v>
      </x:c>
      <x:c r="J254" s="85" t="n">
        <x:v>1</x:v>
      </x:c>
    </x:row>
    <x:row r="255">
      <x:c r="A255" s="83" t="n">
        <x:v>254</x:v>
      </x:c>
      <x:c r="B255" s="84" t="n">
        <x:v>82</x:v>
      </x:c>
      <x:c r="C255" s="84" t="n">
        <x:v>781</x:v>
      </x:c>
      <x:c r="D255" s="89" t="n">
        <x:v>45766.04918981482</x:v>
      </x:c>
      <x:c r="E255" s="84" t="str">
        <x:v>Correia</x:v>
      </x:c>
      <x:c r="F255" s="84" t="str">
        <x:v>Desgaste</x:v>
      </x:c>
      <x:c r="G255" s="84" t="str">
        <x:v>Ajuste incorreto</x:v>
      </x:c>
      <x:c r="H255" s="84" t="str">
        <x:v>Alta</x:v>
      </x:c>
      <x:c r="I255" s="84" t="n">
        <x:v>0</x:v>
      </x:c>
      <x:c r="J255" s="85" t="n">
        <x:v>1</x:v>
      </x:c>
    </x:row>
    <x:row r="256">
      <x:c r="A256" s="83" t="n">
        <x:v>255</x:v>
      </x:c>
      <x:c r="B256" s="84" t="n">
        <x:v>37</x:v>
      </x:c>
      <x:c r="C256" s="84" t="n">
        <x:v>782</x:v>
      </x:c>
      <x:c r="D256" s="89" t="n">
        <x:v>45515.674791666665</x:v>
      </x:c>
      <x:c r="E256" s="84" t="str">
        <x:v>Sensor</x:v>
      </x:c>
      <x:c r="F256" s="84" t="str">
        <x:v>Desgaste</x:v>
      </x:c>
      <x:c r="G256" s="84" t="str">
        <x:v>Contaminação</x:v>
      </x:c>
      <x:c r="H256" s="84" t="str">
        <x:v>Alta</x:v>
      </x:c>
      <x:c r="I256" s="84" t="n">
        <x:v>0</x:v>
      </x:c>
      <x:c r="J256" s="85" t="n">
        <x:v>1</x:v>
      </x:c>
    </x:row>
    <x:row r="257">
      <x:c r="A257" s="83" t="n">
        <x:v>256</x:v>
      </x:c>
      <x:c r="B257" s="84" t="n">
        <x:v>59</x:v>
      </x:c>
      <x:c r="C257" s="84" t="n">
        <x:v>783</x:v>
      </x:c>
      <x:c r="D257" s="89" t="n">
        <x:v>45167.58498842592</x:v>
      </x:c>
      <x:c r="E257" s="84" t="str">
        <x:v>Motor</x:v>
      </x:c>
      <x:c r="F257" s="84" t="str">
        <x:v>Perda de sinal</x:v>
      </x:c>
      <x:c r="G257" s="84" t="str">
        <x:v>Ajuste incorreto</x:v>
      </x:c>
      <x:c r="H257" s="84" t="str">
        <x:v>Baixa</x:v>
      </x:c>
      <x:c r="I257" s="84" t="n">
        <x:v>0</x:v>
      </x:c>
      <x:c r="J257" s="85" t="n">
        <x:v>1</x:v>
      </x:c>
    </x:row>
    <x:row r="258">
      <x:c r="A258" s="83" t="n">
        <x:v>257</x:v>
      </x:c>
      <x:c r="B258" s="84" t="n">
        <x:v>10</x:v>
      </x:c>
      <x:c r="C258" s="84" t="n">
        <x:v>786</x:v>
      </x:c>
      <x:c r="D258" s="89" t="n">
        <x:v>45587.62604166667</x:v>
      </x:c>
      <x:c r="E258" s="84" t="str">
        <x:v>CLP</x:v>
      </x:c>
      <x:c r="F258" s="84" t="str">
        <x:v>Quebra</x:v>
      </x:c>
      <x:c r="G258" s="84" t="str">
        <x:v>Contaminação</x:v>
      </x:c>
      <x:c r="H258" s="84" t="str">
        <x:v>Baixa</x:v>
      </x:c>
      <x:c r="I258" s="84" t="n">
        <x:v>0</x:v>
      </x:c>
      <x:c r="J258" s="85" t="n">
        <x:v>1</x:v>
      </x:c>
    </x:row>
    <x:row r="259">
      <x:c r="A259" s="83" t="n">
        <x:v>258</x:v>
      </x:c>
      <x:c r="B259" s="84" t="n">
        <x:v>5</x:v>
      </x:c>
      <x:c r="C259" s="84" t="n">
        <x:v>788</x:v>
      </x:c>
      <x:c r="D259" s="89" t="n">
        <x:v>45233.61640046296</x:v>
      </x:c>
      <x:c r="E259" s="84" t="str">
        <x:v>Válvula</x:v>
      </x:c>
      <x:c r="F259" s="84" t="str">
        <x:v>Travamento</x:v>
      </x:c>
      <x:c r="G259" s="84" t="str">
        <x:v>Ajuste incorreto</x:v>
      </x:c>
      <x:c r="H259" s="84" t="str">
        <x:v>Média</x:v>
      </x:c>
      <x:c r="I259" s="84" t="n">
        <x:v>0</x:v>
      </x:c>
      <x:c r="J259" s="85" t="n">
        <x:v>1</x:v>
      </x:c>
    </x:row>
    <x:row r="260">
      <x:c r="A260" s="83" t="n">
        <x:v>259</x:v>
      </x:c>
      <x:c r="B260" s="84" t="n">
        <x:v>44</x:v>
      </x:c>
      <x:c r="C260" s="84" t="n">
        <x:v>793</x:v>
      </x:c>
      <x:c r="D260" s="89" t="n">
        <x:v>45207.39579861111</x:v>
      </x:c>
      <x:c r="E260" s="84" t="str">
        <x:v>Motor</x:v>
      </x:c>
      <x:c r="F260" s="84" t="str">
        <x:v>Perda de sinal</x:v>
      </x:c>
      <x:c r="G260" s="84" t="str">
        <x:v>Falta de lubrificação</x:v>
      </x:c>
      <x:c r="H260" s="84" t="str">
        <x:v>Alta</x:v>
      </x:c>
      <x:c r="I260" s="84" t="n">
        <x:v>0</x:v>
      </x:c>
      <x:c r="J260" s="85" t="n">
        <x:v>1</x:v>
      </x:c>
    </x:row>
    <x:row r="261">
      <x:c r="A261" s="83" t="n">
        <x:v>260</x:v>
      </x:c>
      <x:c r="B261" s="84" t="n">
        <x:v>39</x:v>
      </x:c>
      <x:c r="C261" s="84" t="n">
        <x:v>794</x:v>
      </x:c>
      <x:c r="D261" s="89" t="n">
        <x:v>45004.87762731482</x:v>
      </x:c>
      <x:c r="E261" s="84" t="str">
        <x:v>Sensor</x:v>
      </x:c>
      <x:c r="F261" s="84" t="str">
        <x:v>Quebra</x:v>
      </x:c>
      <x:c r="G261" s="84" t="str">
        <x:v>Contaminação</x:v>
      </x:c>
      <x:c r="H261" s="84" t="str">
        <x:v>Baixa</x:v>
      </x:c>
      <x:c r="I261" s="84" t="n">
        <x:v>0</x:v>
      </x:c>
      <x:c r="J261" s="85" t="n">
        <x:v>1</x:v>
      </x:c>
    </x:row>
    <x:row r="262">
      <x:c r="A262" s="83" t="n">
        <x:v>261</x:v>
      </x:c>
      <x:c r="B262" s="84" t="n">
        <x:v>6</x:v>
      </x:c>
      <x:c r="C262" s="84" t="n">
        <x:v>797</x:v>
      </x:c>
      <x:c r="D262" s="89" t="n">
        <x:v>45575.18744212963</x:v>
      </x:c>
      <x:c r="E262" s="84" t="str">
        <x:v>Motor</x:v>
      </x:c>
      <x:c r="F262" s="84" t="str">
        <x:v>Quebra</x:v>
      </x:c>
      <x:c r="G262" s="84" t="str">
        <x:v>Desgaste natural</x:v>
      </x:c>
      <x:c r="H262" s="84" t="str">
        <x:v>Baixa</x:v>
      </x:c>
      <x:c r="I262" s="84" t="n">
        <x:v>1</x:v>
      </x:c>
      <x:c r="J262" s="85" t="n">
        <x:v>1</x:v>
      </x:c>
    </x:row>
    <x:row r="263">
      <x:c r="A263" s="83" t="n">
        <x:v>262</x:v>
      </x:c>
      <x:c r="B263" s="84" t="n">
        <x:v>21</x:v>
      </x:c>
      <x:c r="C263" s="84" t="n">
        <x:v>800</x:v>
      </x:c>
      <x:c r="D263" s="89" t="n">
        <x:v>44976.160995370374</x:v>
      </x:c>
      <x:c r="E263" s="84" t="str">
        <x:v>Válvula</x:v>
      </x:c>
      <x:c r="F263" s="84" t="str">
        <x:v>Quebra</x:v>
      </x:c>
      <x:c r="G263" s="84" t="str">
        <x:v>Ajuste incorreto</x:v>
      </x:c>
      <x:c r="H263" s="84" t="str">
        <x:v>Alta</x:v>
      </x:c>
      <x:c r="I263" s="84" t="n">
        <x:v>1</x:v>
      </x:c>
      <x:c r="J263" s="85" t="n">
        <x:v>1</x:v>
      </x:c>
    </x:row>
    <x:row r="264">
      <x:c r="A264" s="83" t="n">
        <x:v>263</x:v>
      </x:c>
      <x:c r="B264" s="84" t="n">
        <x:v>44</x:v>
      </x:c>
      <x:c r="C264" s="84" t="n">
        <x:v>801</x:v>
      </x:c>
      <x:c r="D264" s="89" t="n">
        <x:v>45060.53275462963</x:v>
      </x:c>
      <x:c r="E264" s="84" t="str">
        <x:v>Válvula</x:v>
      </x:c>
      <x:c r="F264" s="84" t="str">
        <x:v>Quebra</x:v>
      </x:c>
      <x:c r="G264" s="84" t="str">
        <x:v>Ajuste incorreto</x:v>
      </x:c>
      <x:c r="H264" s="84" t="str">
        <x:v>Baixa</x:v>
      </x:c>
      <x:c r="I264" s="84" t="n">
        <x:v>0</x:v>
      </x:c>
      <x:c r="J264" s="85" t="n">
        <x:v>1</x:v>
      </x:c>
    </x:row>
    <x:row r="265">
      <x:c r="A265" s="83" t="n">
        <x:v>264</x:v>
      </x:c>
      <x:c r="B265" s="84" t="n">
        <x:v>55</x:v>
      </x:c>
      <x:c r="C265" s="84" t="n">
        <x:v>803</x:v>
      </x:c>
      <x:c r="D265" s="89" t="n">
        <x:v>45659.96335648148</x:v>
      </x:c>
      <x:c r="E265" s="84" t="str">
        <x:v>CLP</x:v>
      </x:c>
      <x:c r="F265" s="84" t="str">
        <x:v>Curto-circuito</x:v>
      </x:c>
      <x:c r="G265" s="84" t="str">
        <x:v>Componente danificado</x:v>
      </x:c>
      <x:c r="H265" s="84" t="str">
        <x:v>Média</x:v>
      </x:c>
      <x:c r="I265" s="84" t="n">
        <x:v>0</x:v>
      </x:c>
      <x:c r="J265" s="85" t="n">
        <x:v>1</x:v>
      </x:c>
    </x:row>
    <x:row r="266">
      <x:c r="A266" s="83" t="n">
        <x:v>265</x:v>
      </x:c>
      <x:c r="B266" s="84" t="n">
        <x:v>71</x:v>
      </x:c>
      <x:c r="C266" s="84" t="n">
        <x:v>804</x:v>
      </x:c>
      <x:c r="D266" s="89" t="n">
        <x:v>45596.133726851855</x:v>
      </x:c>
      <x:c r="E266" s="84" t="str">
        <x:v>Rolamento</x:v>
      </x:c>
      <x:c r="F266" s="84" t="str">
        <x:v>Curto-circuito</x:v>
      </x:c>
      <x:c r="G266" s="84" t="str">
        <x:v>Falta de lubrificação</x:v>
      </x:c>
      <x:c r="H266" s="84" t="str">
        <x:v>Média</x:v>
      </x:c>
      <x:c r="I266" s="84" t="n">
        <x:v>1</x:v>
      </x:c>
      <x:c r="J266" s="85" t="n">
        <x:v>1</x:v>
      </x:c>
    </x:row>
    <x:row r="267">
      <x:c r="A267" s="83" t="n">
        <x:v>266</x:v>
      </x:c>
      <x:c r="B267" s="84" t="n">
        <x:v>73</x:v>
      </x:c>
      <x:c r="C267" s="84" t="n">
        <x:v>805</x:v>
      </x:c>
      <x:c r="D267" s="89" t="n">
        <x:v>45458.24085648148</x:v>
      </x:c>
      <x:c r="E267" s="84" t="str">
        <x:v>Sensor</x:v>
      </x:c>
      <x:c r="F267" s="84" t="str">
        <x:v>Desgaste</x:v>
      </x:c>
      <x:c r="G267" s="84" t="str">
        <x:v>Conexão frouxa</x:v>
      </x:c>
      <x:c r="H267" s="84" t="str">
        <x:v>Alta</x:v>
      </x:c>
      <x:c r="I267" s="84" t="n">
        <x:v>0</x:v>
      </x:c>
      <x:c r="J267" s="85" t="n">
        <x:v>1</x:v>
      </x:c>
    </x:row>
    <x:row r="268">
      <x:c r="A268" s="83" t="n">
        <x:v>267</x:v>
      </x:c>
      <x:c r="B268" s="84" t="n">
        <x:v>51</x:v>
      </x:c>
      <x:c r="C268" s="84" t="n">
        <x:v>807</x:v>
      </x:c>
      <x:c r="D268" s="89" t="n">
        <x:v>45659.36332175926</x:v>
      </x:c>
      <x:c r="E268" s="84" t="str">
        <x:v>Motor</x:v>
      </x:c>
      <x:c r="F268" s="84" t="str">
        <x:v>Curto-circuito</x:v>
      </x:c>
      <x:c r="G268" s="84" t="str">
        <x:v>Desgaste natural</x:v>
      </x:c>
      <x:c r="H268" s="84" t="str">
        <x:v>Média</x:v>
      </x:c>
      <x:c r="I268" s="84" t="n">
        <x:v>0</x:v>
      </x:c>
      <x:c r="J268" s="85" t="n">
        <x:v>1</x:v>
      </x:c>
    </x:row>
    <x:row r="269">
      <x:c r="A269" s="83" t="n">
        <x:v>268</x:v>
      </x:c>
      <x:c r="B269" s="84" t="n">
        <x:v>24</x:v>
      </x:c>
      <x:c r="C269" s="84" t="n">
        <x:v>808</x:v>
      </x:c>
      <x:c r="D269" s="89" t="n">
        <x:v>45841.405856481484</x:v>
      </x:c>
      <x:c r="E269" s="84" t="str">
        <x:v>Válvula</x:v>
      </x:c>
      <x:c r="F269" s="84" t="str">
        <x:v>Desgaste</x:v>
      </x:c>
      <x:c r="G269" s="84" t="str">
        <x:v>Falta de lubrificação</x:v>
      </x:c>
      <x:c r="H269" s="84" t="str">
        <x:v>Alta</x:v>
      </x:c>
      <x:c r="I269" s="84" t="n">
        <x:v>0</x:v>
      </x:c>
      <x:c r="J269" s="85" t="n">
        <x:v>1</x:v>
      </x:c>
    </x:row>
    <x:row r="270">
      <x:c r="A270" s="83" t="n">
        <x:v>269</x:v>
      </x:c>
      <x:c r="B270" s="84" t="n">
        <x:v>50</x:v>
      </x:c>
      <x:c r="C270" s="84" t="n">
        <x:v>810</x:v>
      </x:c>
      <x:c r="D270" s="89" t="n">
        <x:v>45402.02825231481</x:v>
      </x:c>
      <x:c r="E270" s="84" t="str">
        <x:v>Sensor</x:v>
      </x:c>
      <x:c r="F270" s="84" t="str">
        <x:v>Quebra</x:v>
      </x:c>
      <x:c r="G270" s="84" t="str">
        <x:v>Contaminação</x:v>
      </x:c>
      <x:c r="H270" s="84" t="str">
        <x:v>Média</x:v>
      </x:c>
      <x:c r="I270" s="84" t="n">
        <x:v>1</x:v>
      </x:c>
      <x:c r="J270" s="85" t="n">
        <x:v>1</x:v>
      </x:c>
    </x:row>
    <x:row r="271">
      <x:c r="A271" s="83" t="n">
        <x:v>270</x:v>
      </x:c>
      <x:c r="B271" s="84" t="n">
        <x:v>80</x:v>
      </x:c>
      <x:c r="C271" s="84" t="n">
        <x:v>812</x:v>
      </x:c>
      <x:c r="D271" s="89" t="n">
        <x:v>45751.0003125</x:v>
      </x:c>
      <x:c r="E271" s="84" t="str">
        <x:v>Correia</x:v>
      </x:c>
      <x:c r="F271" s="84" t="str">
        <x:v>Desgaste</x:v>
      </x:c>
      <x:c r="G271" s="84" t="str">
        <x:v>Ajuste incorreto</x:v>
      </x:c>
      <x:c r="H271" s="84" t="str">
        <x:v>Baixa</x:v>
      </x:c>
      <x:c r="I271" s="84" t="n">
        <x:v>1</x:v>
      </x:c>
      <x:c r="J271" s="85" t="n">
        <x:v>1</x:v>
      </x:c>
    </x:row>
    <x:row r="272">
      <x:c r="A272" s="83" t="n">
        <x:v>271</x:v>
      </x:c>
      <x:c r="B272" s="84" t="n">
        <x:v>25</x:v>
      </x:c>
      <x:c r="C272" s="84" t="n">
        <x:v>813</x:v>
      </x:c>
      <x:c r="D272" s="89" t="n">
        <x:v>45036.52427083333</x:v>
      </x:c>
      <x:c r="E272" s="84" t="str">
        <x:v>CLP</x:v>
      </x:c>
      <x:c r="F272" s="84" t="str">
        <x:v>Curto-circuito</x:v>
      </x:c>
      <x:c r="G272" s="84" t="str">
        <x:v>Falta de lubrificação</x:v>
      </x:c>
      <x:c r="H272" s="84" t="str">
        <x:v>Média</x:v>
      </x:c>
      <x:c r="I272" s="84" t="n">
        <x:v>0</x:v>
      </x:c>
      <x:c r="J272" s="85" t="n">
        <x:v>1</x:v>
      </x:c>
    </x:row>
    <x:row r="273">
      <x:c r="A273" s="83" t="n">
        <x:v>272</x:v>
      </x:c>
      <x:c r="B273" s="84" t="n">
        <x:v>70</x:v>
      </x:c>
      <x:c r="C273" s="84" t="n">
        <x:v>814</x:v>
      </x:c>
      <x:c r="D273" s="89" t="n">
        <x:v>46007.21755787037</x:v>
      </x:c>
      <x:c r="E273" s="84" t="str">
        <x:v>CLP</x:v>
      </x:c>
      <x:c r="F273" s="84" t="str">
        <x:v>Perda de sinal</x:v>
      </x:c>
      <x:c r="G273" s="84" t="str">
        <x:v>Conexão frouxa</x:v>
      </x:c>
      <x:c r="H273" s="84" t="str">
        <x:v>Baixa</x:v>
      </x:c>
      <x:c r="I273" s="84" t="n">
        <x:v>0</x:v>
      </x:c>
      <x:c r="J273" s="85" t="n">
        <x:v>1</x:v>
      </x:c>
    </x:row>
    <x:row r="274">
      <x:c r="A274" s="83" t="n">
        <x:v>273</x:v>
      </x:c>
      <x:c r="B274" s="84" t="n">
        <x:v>88</x:v>
      </x:c>
      <x:c r="C274" s="84" t="n">
        <x:v>816</x:v>
      </x:c>
      <x:c r="D274" s="89" t="n">
        <x:v>45012.91127314815</x:v>
      </x:c>
      <x:c r="E274" s="84" t="str">
        <x:v>Válvula</x:v>
      </x:c>
      <x:c r="F274" s="84" t="str">
        <x:v>Travamento</x:v>
      </x:c>
      <x:c r="G274" s="84" t="str">
        <x:v>Contaminação</x:v>
      </x:c>
      <x:c r="H274" s="84" t="str">
        <x:v>Baixa</x:v>
      </x:c>
      <x:c r="I274" s="84" t="n">
        <x:v>0</x:v>
      </x:c>
      <x:c r="J274" s="85" t="n">
        <x:v>1</x:v>
      </x:c>
    </x:row>
    <x:row r="275">
      <x:c r="A275" s="83" t="n">
        <x:v>274</x:v>
      </x:c>
      <x:c r="B275" s="84" t="n">
        <x:v>80</x:v>
      </x:c>
      <x:c r="C275" s="84" t="n">
        <x:v>818</x:v>
      </x:c>
      <x:c r="D275" s="89" t="n">
        <x:v>45147.07430555556</x:v>
      </x:c>
      <x:c r="E275" s="84" t="str">
        <x:v>Correia</x:v>
      </x:c>
      <x:c r="F275" s="84" t="str">
        <x:v>Quebra</x:v>
      </x:c>
      <x:c r="G275" s="84" t="str">
        <x:v>Falta de lubrificação</x:v>
      </x:c>
      <x:c r="H275" s="84" t="str">
        <x:v>Alta</x:v>
      </x:c>
      <x:c r="I275" s="84" t="n">
        <x:v>0</x:v>
      </x:c>
      <x:c r="J275" s="85" t="n">
        <x:v>1</x:v>
      </x:c>
    </x:row>
    <x:row r="276">
      <x:c r="A276" s="83" t="n">
        <x:v>275</x:v>
      </x:c>
      <x:c r="B276" s="84" t="n">
        <x:v>17</x:v>
      </x:c>
      <x:c r="C276" s="84" t="n">
        <x:v>824</x:v>
      </x:c>
      <x:c r="D276" s="89" t="n">
        <x:v>44992.54337962963</x:v>
      </x:c>
      <x:c r="E276" s="84" t="str">
        <x:v>Sensor</x:v>
      </x:c>
      <x:c r="F276" s="84" t="str">
        <x:v>Travamento</x:v>
      </x:c>
      <x:c r="G276" s="84" t="str">
        <x:v>Componente danificado</x:v>
      </x:c>
      <x:c r="H276" s="84" t="str">
        <x:v>Média</x:v>
      </x:c>
      <x:c r="I276" s="84" t="n">
        <x:v>1</x:v>
      </x:c>
      <x:c r="J276" s="85" t="n">
        <x:v>1</x:v>
      </x:c>
    </x:row>
    <x:row r="277">
      <x:c r="A277" s="83" t="n">
        <x:v>276</x:v>
      </x:c>
      <x:c r="B277" s="84" t="n">
        <x:v>58</x:v>
      </x:c>
      <x:c r="C277" s="84" t="n">
        <x:v>837</x:v>
      </x:c>
      <x:c r="D277" s="89" t="n">
        <x:v>45820.73253472222</x:v>
      </x:c>
      <x:c r="E277" s="84" t="str">
        <x:v>CLP</x:v>
      </x:c>
      <x:c r="F277" s="84" t="str">
        <x:v>Travamento</x:v>
      </x:c>
      <x:c r="G277" s="84" t="str">
        <x:v>Desgaste natural</x:v>
      </x:c>
      <x:c r="H277" s="84" t="str">
        <x:v>Média</x:v>
      </x:c>
      <x:c r="I277" s="84" t="n">
        <x:v>1</x:v>
      </x:c>
      <x:c r="J277" s="85" t="n">
        <x:v>1</x:v>
      </x:c>
    </x:row>
    <x:row r="278">
      <x:c r="A278" s="83" t="n">
        <x:v>277</x:v>
      </x:c>
      <x:c r="B278" s="84" t="n">
        <x:v>7</x:v>
      </x:c>
      <x:c r="C278" s="84" t="n">
        <x:v>841</x:v>
      </x:c>
      <x:c r="D278" s="89" t="n">
        <x:v>45585.637349537035</x:v>
      </x:c>
      <x:c r="E278" s="84" t="str">
        <x:v>Correia</x:v>
      </x:c>
      <x:c r="F278" s="84" t="str">
        <x:v>Travamento</x:v>
      </x:c>
      <x:c r="G278" s="84" t="str">
        <x:v>Componente danificado</x:v>
      </x:c>
      <x:c r="H278" s="84" t="str">
        <x:v>Baixa</x:v>
      </x:c>
      <x:c r="I278" s="84" t="n">
        <x:v>0</x:v>
      </x:c>
      <x:c r="J278" s="85" t="n">
        <x:v>1</x:v>
      </x:c>
    </x:row>
    <x:row r="279">
      <x:c r="A279" s="83" t="n">
        <x:v>278</x:v>
      </x:c>
      <x:c r="B279" s="84" t="n">
        <x:v>62</x:v>
      </x:c>
      <x:c r="C279" s="84" t="n">
        <x:v>847</x:v>
      </x:c>
      <x:c r="D279" s="89" t="n">
        <x:v>46002.85894675926</x:v>
      </x:c>
      <x:c r="E279" s="84" t="str">
        <x:v>CLP</x:v>
      </x:c>
      <x:c r="F279" s="84" t="str">
        <x:v>Curto-circuito</x:v>
      </x:c>
      <x:c r="G279" s="84" t="str">
        <x:v>Conexão frouxa</x:v>
      </x:c>
      <x:c r="H279" s="84" t="str">
        <x:v>Média</x:v>
      </x:c>
      <x:c r="I279" s="84" t="n">
        <x:v>0</x:v>
      </x:c>
      <x:c r="J279" s="85" t="n">
        <x:v>1</x:v>
      </x:c>
    </x:row>
    <x:row r="280">
      <x:c r="A280" s="83" t="n">
        <x:v>279</x:v>
      </x:c>
      <x:c r="B280" s="84" t="n">
        <x:v>23</x:v>
      </x:c>
      <x:c r="C280" s="84" t="n">
        <x:v>849</x:v>
      </x:c>
      <x:c r="D280" s="89" t="n">
        <x:v>45401.27138888889</x:v>
      </x:c>
      <x:c r="E280" s="84" t="str">
        <x:v>Rolamento</x:v>
      </x:c>
      <x:c r="F280" s="84" t="str">
        <x:v>Curto-circuito</x:v>
      </x:c>
      <x:c r="G280" s="84" t="str">
        <x:v>Componente danificado</x:v>
      </x:c>
      <x:c r="H280" s="84" t="str">
        <x:v>Alta</x:v>
      </x:c>
      <x:c r="I280" s="84" t="n">
        <x:v>0</x:v>
      </x:c>
      <x:c r="J280" s="85" t="n">
        <x:v>1</x:v>
      </x:c>
    </x:row>
    <x:row r="281">
      <x:c r="A281" s="83" t="n">
        <x:v>280</x:v>
      </x:c>
      <x:c r="B281" s="84" t="n">
        <x:v>49</x:v>
      </x:c>
      <x:c r="C281" s="84" t="n">
        <x:v>851</x:v>
      </x:c>
      <x:c r="D281" s="89" t="n">
        <x:v>45730.143587962964</x:v>
      </x:c>
      <x:c r="E281" s="84" t="str">
        <x:v>Válvula</x:v>
      </x:c>
      <x:c r="F281" s="84" t="str">
        <x:v>Curto-circuito</x:v>
      </x:c>
      <x:c r="G281" s="84" t="str">
        <x:v>Contaminação</x:v>
      </x:c>
      <x:c r="H281" s="84" t="str">
        <x:v>Baixa</x:v>
      </x:c>
      <x:c r="I281" s="84" t="n">
        <x:v>0</x:v>
      </x:c>
      <x:c r="J281" s="85" t="n">
        <x:v>1</x:v>
      </x:c>
    </x:row>
    <x:row r="282">
      <x:c r="A282" s="83" t="n">
        <x:v>281</x:v>
      </x:c>
      <x:c r="B282" s="84" t="n">
        <x:v>42</x:v>
      </x:c>
      <x:c r="C282" s="84" t="n">
        <x:v>852</x:v>
      </x:c>
      <x:c r="D282" s="89" t="n">
        <x:v>45061.573969907404</x:v>
      </x:c>
      <x:c r="E282" s="84" t="str">
        <x:v>Válvula</x:v>
      </x:c>
      <x:c r="F282" s="84" t="str">
        <x:v>Curto-circuito</x:v>
      </x:c>
      <x:c r="G282" s="84" t="str">
        <x:v>Conexão frouxa</x:v>
      </x:c>
      <x:c r="H282" s="84" t="str">
        <x:v>Baixa</x:v>
      </x:c>
      <x:c r="I282" s="84" t="n">
        <x:v>0</x:v>
      </x:c>
      <x:c r="J282" s="85" t="n">
        <x:v>1</x:v>
      </x:c>
    </x:row>
    <x:row r="283">
      <x:c r="A283" s="83" t="n">
        <x:v>282</x:v>
      </x:c>
      <x:c r="B283" s="84" t="n">
        <x:v>24</x:v>
      </x:c>
      <x:c r="C283" s="84" t="n">
        <x:v>856</x:v>
      </x:c>
      <x:c r="D283" s="89" t="n">
        <x:v>45444.233310185184</x:v>
      </x:c>
      <x:c r="E283" s="84" t="str">
        <x:v>CLP</x:v>
      </x:c>
      <x:c r="F283" s="84" t="str">
        <x:v>Perda de sinal</x:v>
      </x:c>
      <x:c r="G283" s="84" t="str">
        <x:v>Componente danificado</x:v>
      </x:c>
      <x:c r="H283" s="84" t="str">
        <x:v>Média</x:v>
      </x:c>
      <x:c r="I283" s="84" t="n">
        <x:v>0</x:v>
      </x:c>
      <x:c r="J283" s="85" t="n">
        <x:v>1</x:v>
      </x:c>
    </x:row>
    <x:row r="284">
      <x:c r="A284" s="83" t="n">
        <x:v>283</x:v>
      </x:c>
      <x:c r="B284" s="84" t="n">
        <x:v>70</x:v>
      </x:c>
      <x:c r="C284" s="84" t="n">
        <x:v>858</x:v>
      </x:c>
      <x:c r="D284" s="89" t="n">
        <x:v>45608.89204861111</x:v>
      </x:c>
      <x:c r="E284" s="84" t="str">
        <x:v>Motor</x:v>
      </x:c>
      <x:c r="F284" s="84" t="str">
        <x:v>Perda de sinal</x:v>
      </x:c>
      <x:c r="G284" s="84" t="str">
        <x:v>Desgaste natural</x:v>
      </x:c>
      <x:c r="H284" s="84" t="str">
        <x:v>Alta</x:v>
      </x:c>
      <x:c r="I284" s="84" t="n">
        <x:v>0</x:v>
      </x:c>
      <x:c r="J284" s="85" t="n">
        <x:v>1</x:v>
      </x:c>
    </x:row>
    <x:row r="285">
      <x:c r="A285" s="83" t="n">
        <x:v>284</x:v>
      </x:c>
      <x:c r="B285" s="84" t="n">
        <x:v>34</x:v>
      </x:c>
      <x:c r="C285" s="84" t="n">
        <x:v>860</x:v>
      </x:c>
      <x:c r="D285" s="89" t="n">
        <x:v>45133.89604166667</x:v>
      </x:c>
      <x:c r="E285" s="84" t="str">
        <x:v>Motor</x:v>
      </x:c>
      <x:c r="F285" s="84" t="str">
        <x:v>Travamento</x:v>
      </x:c>
      <x:c r="G285" s="84" t="str">
        <x:v>Componente danificado</x:v>
      </x:c>
      <x:c r="H285" s="84" t="str">
        <x:v>Baixa</x:v>
      </x:c>
      <x:c r="I285" s="84" t="n">
        <x:v>0</x:v>
      </x:c>
      <x:c r="J285" s="85" t="n">
        <x:v>1</x:v>
      </x:c>
    </x:row>
    <x:row r="286">
      <x:c r="A286" s="83" t="n">
        <x:v>285</x:v>
      </x:c>
      <x:c r="B286" s="84" t="n">
        <x:v>79</x:v>
      </x:c>
      <x:c r="C286" s="84" t="n">
        <x:v>869</x:v>
      </x:c>
      <x:c r="D286" s="89" t="n">
        <x:v>45361.95072916667</x:v>
      </x:c>
      <x:c r="E286" s="84" t="str">
        <x:v>CLP</x:v>
      </x:c>
      <x:c r="F286" s="84" t="str">
        <x:v>Desgaste</x:v>
      </x:c>
      <x:c r="G286" s="84" t="str">
        <x:v>Desgaste natural</x:v>
      </x:c>
      <x:c r="H286" s="84" t="str">
        <x:v>Média</x:v>
      </x:c>
      <x:c r="I286" s="84" t="n">
        <x:v>0</x:v>
      </x:c>
      <x:c r="J286" s="85" t="n">
        <x:v>1</x:v>
      </x:c>
    </x:row>
    <x:row r="287">
      <x:c r="A287" s="83" t="n">
        <x:v>286</x:v>
      </x:c>
      <x:c r="B287" s="84" t="n">
        <x:v>34</x:v>
      </x:c>
      <x:c r="C287" s="84" t="n">
        <x:v>872</x:v>
      </x:c>
      <x:c r="D287" s="89" t="n">
        <x:v>45489.41085648148</x:v>
      </x:c>
      <x:c r="E287" s="84" t="str">
        <x:v>Motor</x:v>
      </x:c>
      <x:c r="F287" s="84" t="str">
        <x:v>Curto-circuito</x:v>
      </x:c>
      <x:c r="G287" s="84" t="str">
        <x:v>Falta de lubrificação</x:v>
      </x:c>
      <x:c r="H287" s="84" t="str">
        <x:v>Alta</x:v>
      </x:c>
      <x:c r="I287" s="84" t="n">
        <x:v>0</x:v>
      </x:c>
      <x:c r="J287" s="85" t="n">
        <x:v>1</x:v>
      </x:c>
    </x:row>
    <x:row r="288">
      <x:c r="A288" s="83" t="n">
        <x:v>287</x:v>
      </x:c>
      <x:c r="B288" s="84" t="n">
        <x:v>29</x:v>
      </x:c>
      <x:c r="C288" s="84" t="n">
        <x:v>873</x:v>
      </x:c>
      <x:c r="D288" s="89" t="n">
        <x:v>45625.76329861111</x:v>
      </x:c>
      <x:c r="E288" s="84" t="str">
        <x:v>Motor</x:v>
      </x:c>
      <x:c r="F288" s="84" t="str">
        <x:v>Desgaste</x:v>
      </x:c>
      <x:c r="G288" s="84" t="str">
        <x:v>Componente danificado</x:v>
      </x:c>
      <x:c r="H288" s="84" t="str">
        <x:v>Alta</x:v>
      </x:c>
      <x:c r="I288" s="84" t="n">
        <x:v>1</x:v>
      </x:c>
      <x:c r="J288" s="85" t="n">
        <x:v>1</x:v>
      </x:c>
    </x:row>
    <x:row r="289">
      <x:c r="A289" s="83" t="n">
        <x:v>288</x:v>
      </x:c>
      <x:c r="B289" s="84" t="n">
        <x:v>24</x:v>
      </x:c>
      <x:c r="C289" s="84" t="n">
        <x:v>879</x:v>
      </x:c>
      <x:c r="D289" s="89" t="n">
        <x:v>45837.51855324074</x:v>
      </x:c>
      <x:c r="E289" s="84" t="str">
        <x:v>Rolamento</x:v>
      </x:c>
      <x:c r="F289" s="84" t="str">
        <x:v>Quebra</x:v>
      </x:c>
      <x:c r="G289" s="84" t="str">
        <x:v>Contaminação</x:v>
      </x:c>
      <x:c r="H289" s="84" t="str">
        <x:v>Alta</x:v>
      </x:c>
      <x:c r="I289" s="84" t="n">
        <x:v>0</x:v>
      </x:c>
      <x:c r="J289" s="85" t="n">
        <x:v>1</x:v>
      </x:c>
    </x:row>
    <x:row r="290">
      <x:c r="A290" s="83" t="n">
        <x:v>289</x:v>
      </x:c>
      <x:c r="B290" s="84" t="n">
        <x:v>22</x:v>
      </x:c>
      <x:c r="C290" s="84" t="n">
        <x:v>880</x:v>
      </x:c>
      <x:c r="D290" s="89" t="n">
        <x:v>45100.29295138889</x:v>
      </x:c>
      <x:c r="E290" s="84" t="str">
        <x:v>CLP</x:v>
      </x:c>
      <x:c r="F290" s="84" t="str">
        <x:v>Travamento</x:v>
      </x:c>
      <x:c r="G290" s="84" t="str">
        <x:v>Componente danificado</x:v>
      </x:c>
      <x:c r="H290" s="84" t="str">
        <x:v>Baixa</x:v>
      </x:c>
      <x:c r="I290" s="84" t="n">
        <x:v>0</x:v>
      </x:c>
      <x:c r="J290" s="85" t="n">
        <x:v>1</x:v>
      </x:c>
    </x:row>
    <x:row r="291">
      <x:c r="A291" s="83" t="n">
        <x:v>290</x:v>
      </x:c>
      <x:c r="B291" s="84" t="n">
        <x:v>48</x:v>
      </x:c>
      <x:c r="C291" s="84" t="n">
        <x:v>884</x:v>
      </x:c>
      <x:c r="D291" s="89" t="n">
        <x:v>45597.31452546296</x:v>
      </x:c>
      <x:c r="E291" s="84" t="str">
        <x:v>Válvula</x:v>
      </x:c>
      <x:c r="F291" s="84" t="str">
        <x:v>Quebra</x:v>
      </x:c>
      <x:c r="G291" s="84" t="str">
        <x:v>Ajuste incorreto</x:v>
      </x:c>
      <x:c r="H291" s="84" t="str">
        <x:v>Baixa</x:v>
      </x:c>
      <x:c r="I291" s="84" t="n">
        <x:v>1</x:v>
      </x:c>
      <x:c r="J291" s="85" t="n">
        <x:v>1</x:v>
      </x:c>
    </x:row>
    <x:row r="292">
      <x:c r="A292" s="83" t="n">
        <x:v>291</x:v>
      </x:c>
      <x:c r="B292" s="84" t="n">
        <x:v>74</x:v>
      </x:c>
      <x:c r="C292" s="84" t="n">
        <x:v>893</x:v>
      </x:c>
      <x:c r="D292" s="89" t="n">
        <x:v>45729.66550925926</x:v>
      </x:c>
      <x:c r="E292" s="84" t="str">
        <x:v>Sensor</x:v>
      </x:c>
      <x:c r="F292" s="84" t="str">
        <x:v>Travamento</x:v>
      </x:c>
      <x:c r="G292" s="84" t="str">
        <x:v>Componente danificado</x:v>
      </x:c>
      <x:c r="H292" s="84" t="str">
        <x:v>Alta</x:v>
      </x:c>
      <x:c r="I292" s="84" t="n">
        <x:v>0</x:v>
      </x:c>
      <x:c r="J292" s="85" t="n">
        <x:v>1</x:v>
      </x:c>
    </x:row>
    <x:row r="293">
      <x:c r="A293" s="83" t="n">
        <x:v>292</x:v>
      </x:c>
      <x:c r="B293" s="84" t="n">
        <x:v>45</x:v>
      </x:c>
      <x:c r="C293" s="84" t="n">
        <x:v>896</x:v>
      </x:c>
      <x:c r="D293" s="89" t="n">
        <x:v>45069.98001157407</x:v>
      </x:c>
      <x:c r="E293" s="84" t="str">
        <x:v>Motor</x:v>
      </x:c>
      <x:c r="F293" s="84" t="str">
        <x:v>Curto-circuito</x:v>
      </x:c>
      <x:c r="G293" s="84" t="str">
        <x:v>Desgaste natural</x:v>
      </x:c>
      <x:c r="H293" s="84" t="str">
        <x:v>Alta</x:v>
      </x:c>
      <x:c r="I293" s="84" t="n">
        <x:v>0</x:v>
      </x:c>
      <x:c r="J293" s="85" t="n">
        <x:v>1</x:v>
      </x:c>
    </x:row>
    <x:row r="294">
      <x:c r="A294" s="83" t="n">
        <x:v>293</x:v>
      </x:c>
      <x:c r="B294" s="84" t="n">
        <x:v>48</x:v>
      </x:c>
      <x:c r="C294" s="84" t="n">
        <x:v>898</x:v>
      </x:c>
      <x:c r="D294" s="89" t="n">
        <x:v>45996.617314814815</x:v>
      </x:c>
      <x:c r="E294" s="84" t="str">
        <x:v>Válvula</x:v>
      </x:c>
      <x:c r="F294" s="84" t="str">
        <x:v>Desgaste</x:v>
      </x:c>
      <x:c r="G294" s="84" t="str">
        <x:v>Contaminação</x:v>
      </x:c>
      <x:c r="H294" s="84" t="str">
        <x:v>Média</x:v>
      </x:c>
      <x:c r="I294" s="84" t="n">
        <x:v>1</x:v>
      </x:c>
      <x:c r="J294" s="85" t="n">
        <x:v>1</x:v>
      </x:c>
    </x:row>
    <x:row r="295">
      <x:c r="A295" s="83" t="n">
        <x:v>294</x:v>
      </x:c>
      <x:c r="B295" s="84" t="n">
        <x:v>62</x:v>
      </x:c>
      <x:c r="C295" s="84" t="n">
        <x:v>899</x:v>
      </x:c>
      <x:c r="D295" s="89" t="n">
        <x:v>45857.93429398148</x:v>
      </x:c>
      <x:c r="E295" s="84" t="str">
        <x:v>Rolamento</x:v>
      </x:c>
      <x:c r="F295" s="84" t="str">
        <x:v>Curto-circuito</x:v>
      </x:c>
      <x:c r="G295" s="84" t="str">
        <x:v>Contaminação</x:v>
      </x:c>
      <x:c r="H295" s="84" t="str">
        <x:v>Média</x:v>
      </x:c>
      <x:c r="I295" s="84" t="n">
        <x:v>0</x:v>
      </x:c>
      <x:c r="J295" s="85" t="n">
        <x:v>1</x:v>
      </x:c>
    </x:row>
    <x:row r="296">
      <x:c r="A296" s="83" t="n">
        <x:v>295</x:v>
      </x:c>
      <x:c r="B296" s="84" t="n">
        <x:v>68</x:v>
      </x:c>
      <x:c r="C296" s="84" t="n">
        <x:v>910</x:v>
      </x:c>
      <x:c r="D296" s="89" t="n">
        <x:v>45505.582037037035</x:v>
      </x:c>
      <x:c r="E296" s="84" t="str">
        <x:v>Sensor</x:v>
      </x:c>
      <x:c r="F296" s="84" t="str">
        <x:v>Quebra</x:v>
      </x:c>
      <x:c r="G296" s="84" t="str">
        <x:v>Ajuste incorreto</x:v>
      </x:c>
      <x:c r="H296" s="84" t="str">
        <x:v>Média</x:v>
      </x:c>
      <x:c r="I296" s="84" t="n">
        <x:v>0</x:v>
      </x:c>
      <x:c r="J296" s="85" t="n">
        <x:v>1</x:v>
      </x:c>
    </x:row>
    <x:row r="297">
      <x:c r="A297" s="83" t="n">
        <x:v>296</x:v>
      </x:c>
      <x:c r="B297" s="84" t="n">
        <x:v>4</x:v>
      </x:c>
      <x:c r="C297" s="84" t="n">
        <x:v>917</x:v>
      </x:c>
      <x:c r="D297" s="89" t="n">
        <x:v>45686.783321759256</x:v>
      </x:c>
      <x:c r="E297" s="84" t="str">
        <x:v>Rolamento</x:v>
      </x:c>
      <x:c r="F297" s="84" t="str">
        <x:v>Perda de sinal</x:v>
      </x:c>
      <x:c r="G297" s="84" t="str">
        <x:v>Falta de lubrificação</x:v>
      </x:c>
      <x:c r="H297" s="84" t="str">
        <x:v>Média</x:v>
      </x:c>
      <x:c r="I297" s="84" t="n">
        <x:v>0</x:v>
      </x:c>
      <x:c r="J297" s="85" t="n">
        <x:v>1</x:v>
      </x:c>
    </x:row>
    <x:row r="298">
      <x:c r="A298" s="83" t="n">
        <x:v>297</x:v>
      </x:c>
      <x:c r="B298" s="84" t="n">
        <x:v>45</x:v>
      </x:c>
      <x:c r="C298" s="84" t="n">
        <x:v>919</x:v>
      </x:c>
      <x:c r="D298" s="89" t="n">
        <x:v>45166.40116898148</x:v>
      </x:c>
      <x:c r="E298" s="84" t="str">
        <x:v>Correia</x:v>
      </x:c>
      <x:c r="F298" s="84" t="str">
        <x:v>Curto-circuito</x:v>
      </x:c>
      <x:c r="G298" s="84" t="str">
        <x:v>Conexão frouxa</x:v>
      </x:c>
      <x:c r="H298" s="84" t="str">
        <x:v>Alta</x:v>
      </x:c>
      <x:c r="I298" s="84" t="n">
        <x:v>0</x:v>
      </x:c>
      <x:c r="J298" s="85" t="n">
        <x:v>1</x:v>
      </x:c>
    </x:row>
    <x:row r="299">
      <x:c r="A299" s="83" t="n">
        <x:v>298</x:v>
      </x:c>
      <x:c r="B299" s="84" t="n">
        <x:v>49</x:v>
      </x:c>
      <x:c r="C299" s="84" t="n">
        <x:v>923</x:v>
      </x:c>
      <x:c r="D299" s="89" t="n">
        <x:v>45071.25114583333</x:v>
      </x:c>
      <x:c r="E299" s="84" t="str">
        <x:v>Sensor</x:v>
      </x:c>
      <x:c r="F299" s="84" t="str">
        <x:v>Travamento</x:v>
      </x:c>
      <x:c r="G299" s="84" t="str">
        <x:v>Componente danificado</x:v>
      </x:c>
      <x:c r="H299" s="84" t="str">
        <x:v>Média</x:v>
      </x:c>
      <x:c r="I299" s="84" t="n">
        <x:v>0</x:v>
      </x:c>
      <x:c r="J299" s="85" t="n">
        <x:v>1</x:v>
      </x:c>
    </x:row>
    <x:row r="300">
      <x:c r="A300" s="83" t="n">
        <x:v>299</x:v>
      </x:c>
      <x:c r="B300" s="84" t="n">
        <x:v>89</x:v>
      </x:c>
      <x:c r="C300" s="84" t="n">
        <x:v>934</x:v>
      </x:c>
      <x:c r="D300" s="89" t="n">
        <x:v>44982.70607638889</x:v>
      </x:c>
      <x:c r="E300" s="84" t="str">
        <x:v>CLP</x:v>
      </x:c>
      <x:c r="F300" s="84" t="str">
        <x:v>Quebra</x:v>
      </x:c>
      <x:c r="G300" s="84" t="str">
        <x:v>Ajuste incorreto</x:v>
      </x:c>
      <x:c r="H300" s="84" t="str">
        <x:v>Média</x:v>
      </x:c>
      <x:c r="I300" s="84" t="n">
        <x:v>0</x:v>
      </x:c>
      <x:c r="J300" s="85" t="n">
        <x:v>1</x:v>
      </x:c>
    </x:row>
    <x:row r="301">
      <x:c r="A301" s="83" t="n">
        <x:v>300</x:v>
      </x:c>
      <x:c r="B301" s="84" t="n">
        <x:v>23</x:v>
      </x:c>
      <x:c r="C301" s="84" t="n">
        <x:v>944</x:v>
      </x:c>
      <x:c r="D301" s="89" t="n">
        <x:v>45492.16541666666</x:v>
      </x:c>
      <x:c r="E301" s="84" t="str">
        <x:v>Motor</x:v>
      </x:c>
      <x:c r="F301" s="84" t="str">
        <x:v>Travamento</x:v>
      </x:c>
      <x:c r="G301" s="84" t="str">
        <x:v>Componente danificado</x:v>
      </x:c>
      <x:c r="H301" s="84" t="str">
        <x:v>Baixa</x:v>
      </x:c>
      <x:c r="I301" s="84" t="n">
        <x:v>0</x:v>
      </x:c>
      <x:c r="J301" s="85" t="n">
        <x:v>1</x:v>
      </x:c>
    </x:row>
    <x:row r="302">
      <x:c r="A302" s="83" t="n">
        <x:v>301</x:v>
      </x:c>
      <x:c r="B302" s="84" t="n">
        <x:v>38</x:v>
      </x:c>
      <x:c r="C302" s="84" t="n">
        <x:v>947</x:v>
      </x:c>
      <x:c r="D302" s="89" t="n">
        <x:v>45646.07199074074</x:v>
      </x:c>
      <x:c r="E302" s="84" t="str">
        <x:v>Rolamento</x:v>
      </x:c>
      <x:c r="F302" s="84" t="str">
        <x:v>Perda de sinal</x:v>
      </x:c>
      <x:c r="G302" s="84" t="str">
        <x:v>Componente danificado</x:v>
      </x:c>
      <x:c r="H302" s="84" t="str">
        <x:v>Média</x:v>
      </x:c>
      <x:c r="I302" s="84" t="n">
        <x:v>0</x:v>
      </x:c>
      <x:c r="J302" s="85" t="n">
        <x:v>1</x:v>
      </x:c>
    </x:row>
    <x:row r="303">
      <x:c r="A303" s="83" t="n">
        <x:v>302</x:v>
      </x:c>
      <x:c r="B303" s="84" t="n">
        <x:v>2</x:v>
      </x:c>
      <x:c r="C303" s="84" t="n">
        <x:v>951</x:v>
      </x:c>
      <x:c r="D303" s="89" t="n">
        <x:v>45364.82693287037</x:v>
      </x:c>
      <x:c r="E303" s="84" t="str">
        <x:v>Correia</x:v>
      </x:c>
      <x:c r="F303" s="84" t="str">
        <x:v>Perda de sinal</x:v>
      </x:c>
      <x:c r="G303" s="84" t="str">
        <x:v>Componente danificado</x:v>
      </x:c>
      <x:c r="H303" s="84" t="str">
        <x:v>Baixa</x:v>
      </x:c>
      <x:c r="I303" s="84" t="n">
        <x:v>0</x:v>
      </x:c>
      <x:c r="J303" s="85" t="n">
        <x:v>1</x:v>
      </x:c>
    </x:row>
    <x:row r="304">
      <x:c r="A304" s="83" t="n">
        <x:v>303</x:v>
      </x:c>
      <x:c r="B304" s="84" t="n">
        <x:v>8</x:v>
      </x:c>
      <x:c r="C304" s="84" t="n">
        <x:v>953</x:v>
      </x:c>
      <x:c r="D304" s="89" t="n">
        <x:v>45848.29987268519</x:v>
      </x:c>
      <x:c r="E304" s="84" t="str">
        <x:v>Correia</x:v>
      </x:c>
      <x:c r="F304" s="84" t="str">
        <x:v>Quebra</x:v>
      </x:c>
      <x:c r="G304" s="84" t="str">
        <x:v>Contaminação</x:v>
      </x:c>
      <x:c r="H304" s="84" t="str">
        <x:v>Alta</x:v>
      </x:c>
      <x:c r="I304" s="84" t="n">
        <x:v>0</x:v>
      </x:c>
      <x:c r="J304" s="85" t="n">
        <x:v>1</x:v>
      </x:c>
    </x:row>
    <x:row r="305">
      <x:c r="A305" s="83" t="n">
        <x:v>304</x:v>
      </x:c>
      <x:c r="B305" s="84" t="n">
        <x:v>80</x:v>
      </x:c>
      <x:c r="C305" s="84" t="n">
        <x:v>957</x:v>
      </x:c>
      <x:c r="D305" s="89" t="n">
        <x:v>45595.28157407408</x:v>
      </x:c>
      <x:c r="E305" s="84" t="str">
        <x:v>Válvula</x:v>
      </x:c>
      <x:c r="F305" s="84" t="str">
        <x:v>Curto-circuito</x:v>
      </x:c>
      <x:c r="G305" s="84" t="str">
        <x:v>Conexão frouxa</x:v>
      </x:c>
      <x:c r="H305" s="84" t="str">
        <x:v>Baixa</x:v>
      </x:c>
      <x:c r="I305" s="84" t="n">
        <x:v>0</x:v>
      </x:c>
      <x:c r="J305" s="85" t="n">
        <x:v>1</x:v>
      </x:c>
    </x:row>
    <x:row r="306">
      <x:c r="A306" s="83" t="n">
        <x:v>305</x:v>
      </x:c>
      <x:c r="B306" s="84" t="n">
        <x:v>44</x:v>
      </x:c>
      <x:c r="C306" s="84" t="n">
        <x:v>958</x:v>
      </x:c>
      <x:c r="D306" s="89" t="n">
        <x:v>45518.290613425925</x:v>
      </x:c>
      <x:c r="E306" s="84" t="str">
        <x:v>Válvula</x:v>
      </x:c>
      <x:c r="F306" s="84" t="str">
        <x:v>Desgaste</x:v>
      </x:c>
      <x:c r="G306" s="84" t="str">
        <x:v>Contaminação</x:v>
      </x:c>
      <x:c r="H306" s="84" t="str">
        <x:v>Baixa</x:v>
      </x:c>
      <x:c r="I306" s="84" t="n">
        <x:v>0</x:v>
      </x:c>
      <x:c r="J306" s="85" t="n">
        <x:v>1</x:v>
      </x:c>
    </x:row>
    <x:row r="307">
      <x:c r="A307" s="83" t="n">
        <x:v>306</x:v>
      </x:c>
      <x:c r="B307" s="84" t="n">
        <x:v>85</x:v>
      </x:c>
      <x:c r="C307" s="84" t="n">
        <x:v>959</x:v>
      </x:c>
      <x:c r="D307" s="89" t="n">
        <x:v>44962.823969907404</x:v>
      </x:c>
      <x:c r="E307" s="84" t="str">
        <x:v>Motor</x:v>
      </x:c>
      <x:c r="F307" s="84" t="str">
        <x:v>Travamento</x:v>
      </x:c>
      <x:c r="G307" s="84" t="str">
        <x:v>Desgaste natural</x:v>
      </x:c>
      <x:c r="H307" s="84" t="str">
        <x:v>Baixa</x:v>
      </x:c>
      <x:c r="I307" s="84" t="n">
        <x:v>0</x:v>
      </x:c>
      <x:c r="J307" s="85" t="n">
        <x:v>1</x:v>
      </x:c>
    </x:row>
    <x:row r="308">
      <x:c r="A308" s="83" t="n">
        <x:v>307</x:v>
      </x:c>
      <x:c r="B308" s="84" t="n">
        <x:v>73</x:v>
      </x:c>
      <x:c r="C308" s="84" t="n">
        <x:v>960</x:v>
      </x:c>
      <x:c r="D308" s="89" t="n">
        <x:v>45816.589733796296</x:v>
      </x:c>
      <x:c r="E308" s="84" t="str">
        <x:v>Sensor</x:v>
      </x:c>
      <x:c r="F308" s="84" t="str">
        <x:v>Travamento</x:v>
      </x:c>
      <x:c r="G308" s="84" t="str">
        <x:v>Falta de lubrificação</x:v>
      </x:c>
      <x:c r="H308" s="84" t="str">
        <x:v>Média</x:v>
      </x:c>
      <x:c r="I308" s="84" t="n">
        <x:v>1</x:v>
      </x:c>
      <x:c r="J308" s="85" t="n">
        <x:v>1</x:v>
      </x:c>
    </x:row>
    <x:row r="309">
      <x:c r="A309" s="83" t="n">
        <x:v>308</x:v>
      </x:c>
      <x:c r="B309" s="84" t="n">
        <x:v>82</x:v>
      </x:c>
      <x:c r="C309" s="84" t="n">
        <x:v>962</x:v>
      </x:c>
      <x:c r="D309" s="89" t="n">
        <x:v>45428.420023148145</x:v>
      </x:c>
      <x:c r="E309" s="84" t="str">
        <x:v>CLP</x:v>
      </x:c>
      <x:c r="F309" s="84" t="str">
        <x:v>Desgaste</x:v>
      </x:c>
      <x:c r="G309" s="84" t="str">
        <x:v>Componente danificado</x:v>
      </x:c>
      <x:c r="H309" s="84" t="str">
        <x:v>Alta</x:v>
      </x:c>
      <x:c r="I309" s="84" t="n">
        <x:v>0</x:v>
      </x:c>
      <x:c r="J309" s="85" t="n">
        <x:v>1</x:v>
      </x:c>
    </x:row>
    <x:row r="310">
      <x:c r="A310" s="83" t="n">
        <x:v>309</x:v>
      </x:c>
      <x:c r="B310" s="84" t="n">
        <x:v>55</x:v>
      </x:c>
      <x:c r="C310" s="84" t="n">
        <x:v>963</x:v>
      </x:c>
      <x:c r="D310" s="89" t="n">
        <x:v>45125.06513888889</x:v>
      </x:c>
      <x:c r="E310" s="84" t="str">
        <x:v>Rolamento</x:v>
      </x:c>
      <x:c r="F310" s="84" t="str">
        <x:v>Desgaste</x:v>
      </x:c>
      <x:c r="G310" s="84" t="str">
        <x:v>Contaminação</x:v>
      </x:c>
      <x:c r="H310" s="84" t="str">
        <x:v>Alta</x:v>
      </x:c>
      <x:c r="I310" s="84" t="n">
        <x:v>1</x:v>
      </x:c>
      <x:c r="J310" s="85" t="n">
        <x:v>1</x:v>
      </x:c>
    </x:row>
    <x:row r="311">
      <x:c r="A311" s="83" t="n">
        <x:v>310</x:v>
      </x:c>
      <x:c r="B311" s="84" t="n">
        <x:v>35</x:v>
      </x:c>
      <x:c r="C311" s="84" t="n">
        <x:v>965</x:v>
      </x:c>
      <x:c r="D311" s="89" t="n">
        <x:v>45366.607939814814</x:v>
      </x:c>
      <x:c r="E311" s="84" t="str">
        <x:v>CLP</x:v>
      </x:c>
      <x:c r="F311" s="84" t="str">
        <x:v>Travamento</x:v>
      </x:c>
      <x:c r="G311" s="84" t="str">
        <x:v>Contaminação</x:v>
      </x:c>
      <x:c r="H311" s="84" t="str">
        <x:v>Baixa</x:v>
      </x:c>
      <x:c r="I311" s="84" t="n">
        <x:v>0</x:v>
      </x:c>
      <x:c r="J311" s="85" t="n">
        <x:v>1</x:v>
      </x:c>
    </x:row>
    <x:row r="312">
      <x:c r="A312" s="83" t="n">
        <x:v>311</x:v>
      </x:c>
      <x:c r="B312" s="84" t="n">
        <x:v>68</x:v>
      </x:c>
      <x:c r="C312" s="84" t="n">
        <x:v>969</x:v>
      </x:c>
      <x:c r="D312" s="89" t="n">
        <x:v>45113.218981481485</x:v>
      </x:c>
      <x:c r="E312" s="84" t="str">
        <x:v>Sensor</x:v>
      </x:c>
      <x:c r="F312" s="84" t="str">
        <x:v>Travamento</x:v>
      </x:c>
      <x:c r="G312" s="84" t="str">
        <x:v>Ajuste incorreto</x:v>
      </x:c>
      <x:c r="H312" s="84" t="str">
        <x:v>Alta</x:v>
      </x:c>
      <x:c r="I312" s="84" t="n">
        <x:v>0</x:v>
      </x:c>
      <x:c r="J312" s="85" t="n">
        <x:v>1</x:v>
      </x:c>
    </x:row>
    <x:row r="313">
      <x:c r="A313" s="83" t="n">
        <x:v>312</x:v>
      </x:c>
      <x:c r="B313" s="84" t="n">
        <x:v>8</x:v>
      </x:c>
      <x:c r="C313" s="84" t="n">
        <x:v>971</x:v>
      </x:c>
      <x:c r="D313" s="89" t="n">
        <x:v>45181.74302083333</x:v>
      </x:c>
      <x:c r="E313" s="84" t="str">
        <x:v>Rolamento</x:v>
      </x:c>
      <x:c r="F313" s="84" t="str">
        <x:v>Travamento</x:v>
      </x:c>
      <x:c r="G313" s="84" t="str">
        <x:v>Contaminação</x:v>
      </x:c>
      <x:c r="H313" s="84" t="str">
        <x:v>Alta</x:v>
      </x:c>
      <x:c r="I313" s="84" t="n">
        <x:v>1</x:v>
      </x:c>
      <x:c r="J313" s="85" t="n">
        <x:v>1</x:v>
      </x:c>
    </x:row>
    <x:row r="314">
      <x:c r="A314" s="83" t="n">
        <x:v>313</x:v>
      </x:c>
      <x:c r="B314" s="84" t="n">
        <x:v>74</x:v>
      </x:c>
      <x:c r="C314" s="84" t="n">
        <x:v>976</x:v>
      </x:c>
      <x:c r="D314" s="89" t="n">
        <x:v>45092.52101851852</x:v>
      </x:c>
      <x:c r="E314" s="84" t="str">
        <x:v>Correia</x:v>
      </x:c>
      <x:c r="F314" s="84" t="str">
        <x:v>Travamento</x:v>
      </x:c>
      <x:c r="G314" s="84" t="str">
        <x:v>Desgaste natural</x:v>
      </x:c>
      <x:c r="H314" s="84" t="str">
        <x:v>Alta</x:v>
      </x:c>
      <x:c r="I314" s="84" t="n">
        <x:v>0</x:v>
      </x:c>
      <x:c r="J314" s="85" t="n">
        <x:v>1</x:v>
      </x:c>
    </x:row>
    <x:row r="315">
      <x:c r="A315" s="83" t="n">
        <x:v>314</x:v>
      </x:c>
      <x:c r="B315" s="84" t="n">
        <x:v>7</x:v>
      </x:c>
      <x:c r="C315" s="84" t="n">
        <x:v>977</x:v>
      </x:c>
      <x:c r="D315" s="89" t="n">
        <x:v>45702.42222222222</x:v>
      </x:c>
      <x:c r="E315" s="84" t="str">
        <x:v>Motor</x:v>
      </x:c>
      <x:c r="F315" s="84" t="str">
        <x:v>Curto-circuito</x:v>
      </x:c>
      <x:c r="G315" s="84" t="str">
        <x:v>Conexão frouxa</x:v>
      </x:c>
      <x:c r="H315" s="84" t="str">
        <x:v>Média</x:v>
      </x:c>
      <x:c r="I315" s="84" t="n">
        <x:v>0</x:v>
      </x:c>
      <x:c r="J315" s="85" t="n">
        <x:v>1</x:v>
      </x:c>
    </x:row>
    <x:row r="316">
      <x:c r="A316" s="83" t="n">
        <x:v>315</x:v>
      </x:c>
      <x:c r="B316" s="84" t="n">
        <x:v>41</x:v>
      </x:c>
      <x:c r="C316" s="84" t="n">
        <x:v>979</x:v>
      </x:c>
      <x:c r="D316" s="89" t="n">
        <x:v>45989.13675925926</x:v>
      </x:c>
      <x:c r="E316" s="84" t="str">
        <x:v>Rolamento</x:v>
      </x:c>
      <x:c r="F316" s="84" t="str">
        <x:v>Curto-circuito</x:v>
      </x:c>
      <x:c r="G316" s="84" t="str">
        <x:v>Conexão frouxa</x:v>
      </x:c>
      <x:c r="H316" s="84" t="str">
        <x:v>Baixa</x:v>
      </x:c>
      <x:c r="I316" s="84" t="n">
        <x:v>0</x:v>
      </x:c>
      <x:c r="J316" s="85" t="n">
        <x:v>1</x:v>
      </x:c>
    </x:row>
    <x:row r="317">
      <x:c r="A317" s="83" t="n">
        <x:v>316</x:v>
      </x:c>
      <x:c r="B317" s="84" t="n">
        <x:v>38</x:v>
      </x:c>
      <x:c r="C317" s="84" t="n">
        <x:v>986</x:v>
      </x:c>
      <x:c r="D317" s="89" t="n">
        <x:v>45681.990891203706</x:v>
      </x:c>
      <x:c r="E317" s="84" t="str">
        <x:v>CLP</x:v>
      </x:c>
      <x:c r="F317" s="84" t="str">
        <x:v>Curto-circuito</x:v>
      </x:c>
      <x:c r="G317" s="84" t="str">
        <x:v>Componente danificado</x:v>
      </x:c>
      <x:c r="H317" s="84" t="str">
        <x:v>Alta</x:v>
      </x:c>
      <x:c r="I317" s="84" t="n">
        <x:v>0</x:v>
      </x:c>
      <x:c r="J317" s="85" t="n">
        <x:v>1</x:v>
      </x:c>
    </x:row>
    <x:row r="318">
      <x:c r="A318" s="83" t="n">
        <x:v>317</x:v>
      </x:c>
      <x:c r="B318" s="84" t="n">
        <x:v>36</x:v>
      </x:c>
      <x:c r="C318" s="84" t="n">
        <x:v>989</x:v>
      </x:c>
      <x:c r="D318" s="89" t="n">
        <x:v>45101.816041666665</x:v>
      </x:c>
      <x:c r="E318" s="84" t="str">
        <x:v>Rolamento</x:v>
      </x:c>
      <x:c r="F318" s="84" t="str">
        <x:v>Quebra</x:v>
      </x:c>
      <x:c r="G318" s="84" t="str">
        <x:v>Ajuste incorreto</x:v>
      </x:c>
      <x:c r="H318" s="84" t="str">
        <x:v>Alta</x:v>
      </x:c>
      <x:c r="I318" s="84" t="n">
        <x:v>0</x:v>
      </x:c>
      <x:c r="J318" s="85" t="n">
        <x:v>1</x:v>
      </x:c>
    </x:row>
    <x:row r="319">
      <x:c r="A319" s="83" t="n">
        <x:v>318</x:v>
      </x:c>
      <x:c r="B319" s="84" t="n">
        <x:v>62</x:v>
      </x:c>
      <x:c r="C319" s="84" t="n">
        <x:v>990</x:v>
      </x:c>
      <x:c r="D319" s="89" t="n">
        <x:v>45273.11059027778</x:v>
      </x:c>
      <x:c r="E319" s="84" t="str">
        <x:v>Motor</x:v>
      </x:c>
      <x:c r="F319" s="84" t="str">
        <x:v>Desgaste</x:v>
      </x:c>
      <x:c r="G319" s="84" t="str">
        <x:v>Componente danificado</x:v>
      </x:c>
      <x:c r="H319" s="84" t="str">
        <x:v>Baixa</x:v>
      </x:c>
      <x:c r="I319" s="84" t="n">
        <x:v>0</x:v>
      </x:c>
      <x:c r="J319" s="85" t="n">
        <x:v>1</x:v>
      </x:c>
    </x:row>
    <x:row r="320">
      <x:c r="A320" s="83" t="n">
        <x:v>319</x:v>
      </x:c>
      <x:c r="B320" s="84" t="n">
        <x:v>48</x:v>
      </x:c>
      <x:c r="C320" s="84" t="n">
        <x:v>992</x:v>
      </x:c>
      <x:c r="D320" s="89" t="n">
        <x:v>45527.30451388889</x:v>
      </x:c>
      <x:c r="E320" s="84" t="str">
        <x:v>Motor</x:v>
      </x:c>
      <x:c r="F320" s="84" t="str">
        <x:v>Perda de sinal</x:v>
      </x:c>
      <x:c r="G320" s="84" t="str">
        <x:v>Contaminação</x:v>
      </x:c>
      <x:c r="H320" s="84" t="str">
        <x:v>Alta</x:v>
      </x:c>
      <x:c r="I320" s="84" t="n">
        <x:v>0</x:v>
      </x:c>
      <x:c r="J320" s="85" t="n">
        <x:v>1</x:v>
      </x:c>
    </x:row>
    <x:row r="321">
      <x:c r="A321" s="83" t="n">
        <x:v>320</x:v>
      </x:c>
      <x:c r="B321" s="84" t="n">
        <x:v>51</x:v>
      </x:c>
      <x:c r="C321" s="84" t="n">
        <x:v>997</x:v>
      </x:c>
      <x:c r="D321" s="89" t="n">
        <x:v>45951.005474537036</x:v>
      </x:c>
      <x:c r="E321" s="84" t="str">
        <x:v>CLP</x:v>
      </x:c>
      <x:c r="F321" s="84" t="str">
        <x:v>Quebra</x:v>
      </x:c>
      <x:c r="G321" s="84" t="str">
        <x:v>Falta de lubrificação</x:v>
      </x:c>
      <x:c r="H321" s="84" t="str">
        <x:v>Média</x:v>
      </x:c>
      <x:c r="I321" s="84" t="n">
        <x:v>0</x:v>
      </x:c>
      <x:c r="J321" s="85" t="n">
        <x:v>1</x:v>
      </x:c>
    </x:row>
    <x:row r="322">
      <x:c r="A322" s="83" t="n">
        <x:v>321</x:v>
      </x:c>
      <x:c r="B322" s="84" t="n">
        <x:v>81</x:v>
      </x:c>
      <x:c r="C322" s="84" t="n">
        <x:v>1001</x:v>
      </x:c>
      <x:c r="D322" s="89" t="n">
        <x:v>45998.90824074074</x:v>
      </x:c>
      <x:c r="E322" s="84" t="str">
        <x:v>Válvula</x:v>
      </x:c>
      <x:c r="F322" s="84" t="str">
        <x:v>Quebra</x:v>
      </x:c>
      <x:c r="G322" s="84" t="str">
        <x:v>Conexão frouxa</x:v>
      </x:c>
      <x:c r="H322" s="84" t="str">
        <x:v>Baixa</x:v>
      </x:c>
      <x:c r="I322" s="84" t="n">
        <x:v>0</x:v>
      </x:c>
      <x:c r="J322" s="85" t="n">
        <x:v>1</x:v>
      </x:c>
    </x:row>
    <x:row r="323">
      <x:c r="A323" s="83" t="n">
        <x:v>322</x:v>
      </x:c>
      <x:c r="B323" s="84" t="n">
        <x:v>9</x:v>
      </x:c>
      <x:c r="C323" s="84" t="n">
        <x:v>1006</x:v>
      </x:c>
      <x:c r="D323" s="89" t="n">
        <x:v>45809.12644675926</x:v>
      </x:c>
      <x:c r="E323" s="84" t="str">
        <x:v>Sensor</x:v>
      </x:c>
      <x:c r="F323" s="84" t="str">
        <x:v>Travamento</x:v>
      </x:c>
      <x:c r="G323" s="84" t="str">
        <x:v>Conexão frouxa</x:v>
      </x:c>
      <x:c r="H323" s="84" t="str">
        <x:v>Baixa</x:v>
      </x:c>
      <x:c r="I323" s="84" t="n">
        <x:v>0</x:v>
      </x:c>
      <x:c r="J323" s="85" t="n">
        <x:v>1</x:v>
      </x:c>
    </x:row>
    <x:row r="324">
      <x:c r="A324" s="83" t="n">
        <x:v>323</x:v>
      </x:c>
      <x:c r="B324" s="84" t="n">
        <x:v>88</x:v>
      </x:c>
      <x:c r="C324" s="84" t="n">
        <x:v>1007</x:v>
      </x:c>
      <x:c r="D324" s="89" t="n">
        <x:v>45709.107199074075</x:v>
      </x:c>
      <x:c r="E324" s="84" t="str">
        <x:v>Sensor</x:v>
      </x:c>
      <x:c r="F324" s="84" t="str">
        <x:v>Quebra</x:v>
      </x:c>
      <x:c r="G324" s="84" t="str">
        <x:v>Falta de lubrificação</x:v>
      </x:c>
      <x:c r="H324" s="84" t="str">
        <x:v>Média</x:v>
      </x:c>
      <x:c r="I324" s="84" t="n">
        <x:v>0</x:v>
      </x:c>
      <x:c r="J324" s="85" t="n">
        <x:v>1</x:v>
      </x:c>
    </x:row>
    <x:row r="325">
      <x:c r="A325" s="83" t="n">
        <x:v>324</x:v>
      </x:c>
      <x:c r="B325" s="84" t="n">
        <x:v>79</x:v>
      </x:c>
      <x:c r="C325" s="84" t="n">
        <x:v>1009</x:v>
      </x:c>
      <x:c r="D325" s="89" t="n">
        <x:v>45597.32538194444</x:v>
      </x:c>
      <x:c r="E325" s="84" t="str">
        <x:v>Rolamento</x:v>
      </x:c>
      <x:c r="F325" s="84" t="str">
        <x:v>Desgaste</x:v>
      </x:c>
      <x:c r="G325" s="84" t="str">
        <x:v>Conexão frouxa</x:v>
      </x:c>
      <x:c r="H325" s="84" t="str">
        <x:v>Média</x:v>
      </x:c>
      <x:c r="I325" s="84" t="n">
        <x:v>0</x:v>
      </x:c>
      <x:c r="J325" s="85" t="n">
        <x:v>1</x:v>
      </x:c>
    </x:row>
    <x:row r="326">
      <x:c r="A326" s="83" t="n">
        <x:v>325</x:v>
      </x:c>
      <x:c r="B326" s="84" t="n">
        <x:v>36</x:v>
      </x:c>
      <x:c r="C326" s="84" t="n">
        <x:v>1011</x:v>
      </x:c>
      <x:c r="D326" s="89" t="n">
        <x:v>46011.3653125</x:v>
      </x:c>
      <x:c r="E326" s="84" t="str">
        <x:v>Sensor</x:v>
      </x:c>
      <x:c r="F326" s="84" t="str">
        <x:v>Desgaste</x:v>
      </x:c>
      <x:c r="G326" s="84" t="str">
        <x:v>Conexão frouxa</x:v>
      </x:c>
      <x:c r="H326" s="84" t="str">
        <x:v>Alta</x:v>
      </x:c>
      <x:c r="I326" s="84" t="n">
        <x:v>1</x:v>
      </x:c>
      <x:c r="J326" s="85" t="n">
        <x:v>1</x:v>
      </x:c>
    </x:row>
    <x:row r="327">
      <x:c r="A327" s="83" t="n">
        <x:v>326</x:v>
      </x:c>
      <x:c r="B327" s="84" t="n">
        <x:v>9</x:v>
      </x:c>
      <x:c r="C327" s="84" t="n">
        <x:v>1014</x:v>
      </x:c>
      <x:c r="D327" s="89" t="n">
        <x:v>45948.07493055556</x:v>
      </x:c>
      <x:c r="E327" s="84" t="str">
        <x:v>Sensor</x:v>
      </x:c>
      <x:c r="F327" s="84" t="str">
        <x:v>Curto-circuito</x:v>
      </x:c>
      <x:c r="G327" s="84" t="str">
        <x:v>Componente danificado</x:v>
      </x:c>
      <x:c r="H327" s="84" t="str">
        <x:v>Média</x:v>
      </x:c>
      <x:c r="I327" s="84" t="n">
        <x:v>0</x:v>
      </x:c>
      <x:c r="J327" s="85" t="n">
        <x:v>1</x:v>
      </x:c>
    </x:row>
    <x:row r="328">
      <x:c r="A328" s="83" t="n">
        <x:v>327</x:v>
      </x:c>
      <x:c r="B328" s="84" t="n">
        <x:v>14</x:v>
      </x:c>
      <x:c r="C328" s="84" t="n">
        <x:v>1015</x:v>
      </x:c>
      <x:c r="D328" s="89" t="n">
        <x:v>45241.40199074074</x:v>
      </x:c>
      <x:c r="E328" s="84" t="str">
        <x:v>Motor</x:v>
      </x:c>
      <x:c r="F328" s="84" t="str">
        <x:v>Perda de sinal</x:v>
      </x:c>
      <x:c r="G328" s="84" t="str">
        <x:v>Componente danificado</x:v>
      </x:c>
      <x:c r="H328" s="84" t="str">
        <x:v>Alta</x:v>
      </x:c>
      <x:c r="I328" s="84" t="n">
        <x:v>1</x:v>
      </x:c>
      <x:c r="J328" s="85" t="n">
        <x:v>1</x:v>
      </x:c>
    </x:row>
    <x:row r="329">
      <x:c r="A329" s="83" t="n">
        <x:v>328</x:v>
      </x:c>
      <x:c r="B329" s="84" t="n">
        <x:v>18</x:v>
      </x:c>
      <x:c r="C329" s="84" t="n">
        <x:v>1020</x:v>
      </x:c>
      <x:c r="D329" s="89" t="n">
        <x:v>45391.07420138889</x:v>
      </x:c>
      <x:c r="E329" s="84" t="str">
        <x:v>CLP</x:v>
      </x:c>
      <x:c r="F329" s="84" t="str">
        <x:v>Desgaste</x:v>
      </x:c>
      <x:c r="G329" s="84" t="str">
        <x:v>Falta de lubrificação</x:v>
      </x:c>
      <x:c r="H329" s="84" t="str">
        <x:v>Baixa</x:v>
      </x:c>
      <x:c r="I329" s="84" t="n">
        <x:v>1</x:v>
      </x:c>
      <x:c r="J329" s="85" t="n">
        <x:v>1</x:v>
      </x:c>
    </x:row>
    <x:row r="330">
      <x:c r="A330" s="83" t="n">
        <x:v>329</x:v>
      </x:c>
      <x:c r="B330" s="84" t="n">
        <x:v>23</x:v>
      </x:c>
      <x:c r="C330" s="84" t="n">
        <x:v>1022</x:v>
      </x:c>
      <x:c r="D330" s="89" t="n">
        <x:v>45051.92790509259</x:v>
      </x:c>
      <x:c r="E330" s="84" t="str">
        <x:v>Sensor</x:v>
      </x:c>
      <x:c r="F330" s="84" t="str">
        <x:v>Curto-circuito</x:v>
      </x:c>
      <x:c r="G330" s="84" t="str">
        <x:v>Conexão frouxa</x:v>
      </x:c>
      <x:c r="H330" s="84" t="str">
        <x:v>Baixa</x:v>
      </x:c>
      <x:c r="I330" s="84" t="n">
        <x:v>1</x:v>
      </x:c>
      <x:c r="J330" s="85" t="n">
        <x:v>1</x:v>
      </x:c>
    </x:row>
    <x:row r="331">
      <x:c r="A331" s="83" t="n">
        <x:v>330</x:v>
      </x:c>
      <x:c r="B331" s="84" t="n">
        <x:v>19</x:v>
      </x:c>
      <x:c r="C331" s="84" t="n">
        <x:v>1024</x:v>
      </x:c>
      <x:c r="D331" s="89" t="n">
        <x:v>45407.06835648148</x:v>
      </x:c>
      <x:c r="E331" s="84" t="str">
        <x:v>Válvula</x:v>
      </x:c>
      <x:c r="F331" s="84" t="str">
        <x:v>Travamento</x:v>
      </x:c>
      <x:c r="G331" s="84" t="str">
        <x:v>Contaminação</x:v>
      </x:c>
      <x:c r="H331" s="84" t="str">
        <x:v>Alta</x:v>
      </x:c>
      <x:c r="I331" s="84" t="n">
        <x:v>0</x:v>
      </x:c>
      <x:c r="J331" s="85" t="n">
        <x:v>1</x:v>
      </x:c>
    </x:row>
    <x:row r="332">
      <x:c r="A332" s="83" t="n">
        <x:v>331</x:v>
      </x:c>
      <x:c r="B332" s="84" t="n">
        <x:v>2</x:v>
      </x:c>
      <x:c r="C332" s="84" t="n">
        <x:v>1034</x:v>
      </x:c>
      <x:c r="D332" s="89" t="n">
        <x:v>45615.876539351855</x:v>
      </x:c>
      <x:c r="E332" s="84" t="str">
        <x:v>Válvula</x:v>
      </x:c>
      <x:c r="F332" s="84" t="str">
        <x:v>Travamento</x:v>
      </x:c>
      <x:c r="G332" s="84" t="str">
        <x:v>Falta de lubrificação</x:v>
      </x:c>
      <x:c r="H332" s="84" t="str">
        <x:v>Média</x:v>
      </x:c>
      <x:c r="I332" s="84" t="n">
        <x:v>0</x:v>
      </x:c>
      <x:c r="J332" s="85" t="n">
        <x:v>1</x:v>
      </x:c>
    </x:row>
    <x:row r="333">
      <x:c r="A333" s="83" t="n">
        <x:v>332</x:v>
      </x:c>
      <x:c r="B333" s="84" t="n">
        <x:v>23</x:v>
      </x:c>
      <x:c r="C333" s="84" t="n">
        <x:v>1037</x:v>
      </x:c>
      <x:c r="D333" s="89" t="n">
        <x:v>45288.62185185185</x:v>
      </x:c>
      <x:c r="E333" s="84" t="str">
        <x:v>Motor</x:v>
      </x:c>
      <x:c r="F333" s="84" t="str">
        <x:v>Perda de sinal</x:v>
      </x:c>
      <x:c r="G333" s="84" t="str">
        <x:v>Ajuste incorreto</x:v>
      </x:c>
      <x:c r="H333" s="84" t="str">
        <x:v>Média</x:v>
      </x:c>
      <x:c r="I333" s="84" t="n">
        <x:v>0</x:v>
      </x:c>
      <x:c r="J333" s="85" t="n">
        <x:v>1</x:v>
      </x:c>
    </x:row>
    <x:row r="334">
      <x:c r="A334" s="83" t="n">
        <x:v>333</x:v>
      </x:c>
      <x:c r="B334" s="84" t="n">
        <x:v>18</x:v>
      </x:c>
      <x:c r="C334" s="84" t="n">
        <x:v>1038</x:v>
      </x:c>
      <x:c r="D334" s="89" t="n">
        <x:v>45837.090092592596</x:v>
      </x:c>
      <x:c r="E334" s="84" t="str">
        <x:v>Motor</x:v>
      </x:c>
      <x:c r="F334" s="84" t="str">
        <x:v>Quebra</x:v>
      </x:c>
      <x:c r="G334" s="84" t="str">
        <x:v>Contaminação</x:v>
      </x:c>
      <x:c r="H334" s="84" t="str">
        <x:v>Alta</x:v>
      </x:c>
      <x:c r="I334" s="84" t="n">
        <x:v>0</x:v>
      </x:c>
      <x:c r="J334" s="85" t="n">
        <x:v>1</x:v>
      </x:c>
    </x:row>
    <x:row r="335">
      <x:c r="A335" s="83" t="n">
        <x:v>334</x:v>
      </x:c>
      <x:c r="B335" s="84" t="n">
        <x:v>90</x:v>
      </x:c>
      <x:c r="C335" s="84" t="n">
        <x:v>1039</x:v>
      </x:c>
      <x:c r="D335" s="89" t="n">
        <x:v>45671.762094907404</x:v>
      </x:c>
      <x:c r="E335" s="84" t="str">
        <x:v>Correia</x:v>
      </x:c>
      <x:c r="F335" s="84" t="str">
        <x:v>Desgaste</x:v>
      </x:c>
      <x:c r="G335" s="84" t="str">
        <x:v>Contaminação</x:v>
      </x:c>
      <x:c r="H335" s="84" t="str">
        <x:v>Alta</x:v>
      </x:c>
      <x:c r="I335" s="84" t="n">
        <x:v>0</x:v>
      </x:c>
      <x:c r="J335" s="85" t="n">
        <x:v>1</x:v>
      </x:c>
    </x:row>
    <x:row r="336">
      <x:c r="A336" s="83" t="n">
        <x:v>335</x:v>
      </x:c>
      <x:c r="B336" s="84" t="n">
        <x:v>33</x:v>
      </x:c>
      <x:c r="C336" s="84" t="n">
        <x:v>1041</x:v>
      </x:c>
      <x:c r="D336" s="89" t="n">
        <x:v>45226.653020833335</x:v>
      </x:c>
      <x:c r="E336" s="84" t="str">
        <x:v>Rolamento</x:v>
      </x:c>
      <x:c r="F336" s="84" t="str">
        <x:v>Desgaste</x:v>
      </x:c>
      <x:c r="G336" s="84" t="str">
        <x:v>Desgaste natural</x:v>
      </x:c>
      <x:c r="H336" s="84" t="str">
        <x:v>Baixa</x:v>
      </x:c>
      <x:c r="I336" s="84" t="n">
        <x:v>1</x:v>
      </x:c>
      <x:c r="J336" s="85" t="n">
        <x:v>1</x:v>
      </x:c>
    </x:row>
    <x:row r="337">
      <x:c r="A337" s="83" t="n">
        <x:v>336</x:v>
      </x:c>
      <x:c r="B337" s="84" t="n">
        <x:v>19</x:v>
      </x:c>
      <x:c r="C337" s="84" t="n">
        <x:v>1043</x:v>
      </x:c>
      <x:c r="D337" s="89" t="n">
        <x:v>45084.63392361111</x:v>
      </x:c>
      <x:c r="E337" s="84" t="str">
        <x:v>Correia</x:v>
      </x:c>
      <x:c r="F337" s="84" t="str">
        <x:v>Quebra</x:v>
      </x:c>
      <x:c r="G337" s="84" t="str">
        <x:v>Componente danificado</x:v>
      </x:c>
      <x:c r="H337" s="84" t="str">
        <x:v>Alta</x:v>
      </x:c>
      <x:c r="I337" s="84" t="n">
        <x:v>0</x:v>
      </x:c>
      <x:c r="J337" s="85" t="n">
        <x:v>1</x:v>
      </x:c>
    </x:row>
    <x:row r="338">
      <x:c r="A338" s="83" t="n">
        <x:v>337</x:v>
      </x:c>
      <x:c r="B338" s="84" t="n">
        <x:v>35</x:v>
      </x:c>
      <x:c r="C338" s="84" t="n">
        <x:v>1046</x:v>
      </x:c>
      <x:c r="D338" s="89" t="n">
        <x:v>45825.543229166666</x:v>
      </x:c>
      <x:c r="E338" s="84" t="str">
        <x:v>CLP</x:v>
      </x:c>
      <x:c r="F338" s="84" t="str">
        <x:v>Desgaste</x:v>
      </x:c>
      <x:c r="G338" s="84" t="str">
        <x:v>Conexão frouxa</x:v>
      </x:c>
      <x:c r="H338" s="84" t="str">
        <x:v>Média</x:v>
      </x:c>
      <x:c r="I338" s="84" t="n">
        <x:v>0</x:v>
      </x:c>
      <x:c r="J338" s="85" t="n">
        <x:v>1</x:v>
      </x:c>
    </x:row>
    <x:row r="339">
      <x:c r="A339" s="83" t="n">
        <x:v>338</x:v>
      </x:c>
      <x:c r="B339" s="84" t="n">
        <x:v>51</x:v>
      </x:c>
      <x:c r="C339" s="84" t="n">
        <x:v>1049</x:v>
      </x:c>
      <x:c r="D339" s="89" t="n">
        <x:v>45054.39818287037</x:v>
      </x:c>
      <x:c r="E339" s="84" t="str">
        <x:v>Válvula</x:v>
      </x:c>
      <x:c r="F339" s="84" t="str">
        <x:v>Perda de sinal</x:v>
      </x:c>
      <x:c r="G339" s="84" t="str">
        <x:v>Falta de lubrificação</x:v>
      </x:c>
      <x:c r="H339" s="84" t="str">
        <x:v>Baixa</x:v>
      </x:c>
      <x:c r="I339" s="84" t="n">
        <x:v>0</x:v>
      </x:c>
      <x:c r="J339" s="85" t="n">
        <x:v>1</x:v>
      </x:c>
    </x:row>
    <x:row r="340">
      <x:c r="A340" s="83" t="n">
        <x:v>339</x:v>
      </x:c>
      <x:c r="B340" s="84" t="n">
        <x:v>79</x:v>
      </x:c>
      <x:c r="C340" s="84" t="n">
        <x:v>1050</x:v>
      </x:c>
      <x:c r="D340" s="89" t="n">
        <x:v>45974.748564814814</x:v>
      </x:c>
      <x:c r="E340" s="84" t="str">
        <x:v>CLP</x:v>
      </x:c>
      <x:c r="F340" s="84" t="str">
        <x:v>Travamento</x:v>
      </x:c>
      <x:c r="G340" s="84" t="str">
        <x:v>Desgaste natural</x:v>
      </x:c>
      <x:c r="H340" s="84" t="str">
        <x:v>Média</x:v>
      </x:c>
      <x:c r="I340" s="84" t="n">
        <x:v>0</x:v>
      </x:c>
      <x:c r="J340" s="85" t="n">
        <x:v>1</x:v>
      </x:c>
    </x:row>
    <x:row r="341">
      <x:c r="A341" s="83" t="n">
        <x:v>340</x:v>
      </x:c>
      <x:c r="B341" s="84" t="n">
        <x:v>22</x:v>
      </x:c>
      <x:c r="C341" s="84" t="n">
        <x:v>1051</x:v>
      </x:c>
      <x:c r="D341" s="89" t="n">
        <x:v>45729.32753472222</x:v>
      </x:c>
      <x:c r="E341" s="84" t="str">
        <x:v>CLP</x:v>
      </x:c>
      <x:c r="F341" s="84" t="str">
        <x:v>Curto-circuito</x:v>
      </x:c>
      <x:c r="G341" s="84" t="str">
        <x:v>Desgaste natural</x:v>
      </x:c>
      <x:c r="H341" s="84" t="str">
        <x:v>Alta</x:v>
      </x:c>
      <x:c r="I341" s="84" t="n">
        <x:v>1</x:v>
      </x:c>
      <x:c r="J341" s="85" t="n">
        <x:v>1</x:v>
      </x:c>
    </x:row>
    <x:row r="342">
      <x:c r="A342" s="83" t="n">
        <x:v>341</x:v>
      </x:c>
      <x:c r="B342" s="84" t="n">
        <x:v>58</x:v>
      </x:c>
      <x:c r="C342" s="84" t="n">
        <x:v>1056</x:v>
      </x:c>
      <x:c r="D342" s="89" t="n">
        <x:v>45724.917962962965</x:v>
      </x:c>
      <x:c r="E342" s="84" t="str">
        <x:v>Sensor</x:v>
      </x:c>
      <x:c r="F342" s="84" t="str">
        <x:v>Desgaste</x:v>
      </x:c>
      <x:c r="G342" s="84" t="str">
        <x:v>Componente danificado</x:v>
      </x:c>
      <x:c r="H342" s="84" t="str">
        <x:v>Média</x:v>
      </x:c>
      <x:c r="I342" s="84" t="n">
        <x:v>1</x:v>
      </x:c>
      <x:c r="J342" s="85" t="n">
        <x:v>1</x:v>
      </x:c>
    </x:row>
    <x:row r="343">
      <x:c r="A343" s="83" t="n">
        <x:v>342</x:v>
      </x:c>
      <x:c r="B343" s="84" t="n">
        <x:v>61</x:v>
      </x:c>
      <x:c r="C343" s="84" t="n">
        <x:v>1060</x:v>
      </x:c>
      <x:c r="D343" s="89" t="n">
        <x:v>45940.380960648145</x:v>
      </x:c>
      <x:c r="E343" s="84" t="str">
        <x:v>Motor</x:v>
      </x:c>
      <x:c r="F343" s="84" t="str">
        <x:v>Quebra</x:v>
      </x:c>
      <x:c r="G343" s="84" t="str">
        <x:v>Componente danificado</x:v>
      </x:c>
      <x:c r="H343" s="84" t="str">
        <x:v>Média</x:v>
      </x:c>
      <x:c r="I343" s="84" t="n">
        <x:v>0</x:v>
      </x:c>
      <x:c r="J343" s="85" t="n">
        <x:v>1</x:v>
      </x:c>
    </x:row>
    <x:row r="344">
      <x:c r="A344" s="83" t="n">
        <x:v>343</x:v>
      </x:c>
      <x:c r="B344" s="84" t="n">
        <x:v>78</x:v>
      </x:c>
      <x:c r="C344" s="84" t="n">
        <x:v>1063</x:v>
      </x:c>
      <x:c r="D344" s="89" t="n">
        <x:v>45312.64884259259</x:v>
      </x:c>
      <x:c r="E344" s="84" t="str">
        <x:v>Válvula</x:v>
      </x:c>
      <x:c r="F344" s="84" t="str">
        <x:v>Desgaste</x:v>
      </x:c>
      <x:c r="G344" s="84" t="str">
        <x:v>Ajuste incorreto</x:v>
      </x:c>
      <x:c r="H344" s="84" t="str">
        <x:v>Baixa</x:v>
      </x:c>
      <x:c r="I344" s="84" t="n">
        <x:v>0</x:v>
      </x:c>
      <x:c r="J344" s="85" t="n">
        <x:v>1</x:v>
      </x:c>
    </x:row>
    <x:row r="345">
      <x:c r="A345" s="83" t="n">
        <x:v>344</x:v>
      </x:c>
      <x:c r="B345" s="84" t="n">
        <x:v>68</x:v>
      </x:c>
      <x:c r="C345" s="84" t="n">
        <x:v>1067</x:v>
      </x:c>
      <x:c r="D345" s="89" t="n">
        <x:v>44988.354525462964</x:v>
      </x:c>
      <x:c r="E345" s="84" t="str">
        <x:v>CLP</x:v>
      </x:c>
      <x:c r="F345" s="84" t="str">
        <x:v>Curto-circuito</x:v>
      </x:c>
      <x:c r="G345" s="84" t="str">
        <x:v>Desgaste natural</x:v>
      </x:c>
      <x:c r="H345" s="84" t="str">
        <x:v>Média</x:v>
      </x:c>
      <x:c r="I345" s="84" t="n">
        <x:v>0</x:v>
      </x:c>
      <x:c r="J345" s="85" t="n">
        <x:v>1</x:v>
      </x:c>
    </x:row>
    <x:row r="346">
      <x:c r="A346" s="83" t="n">
        <x:v>345</x:v>
      </x:c>
      <x:c r="B346" s="84" t="n">
        <x:v>64</x:v>
      </x:c>
      <x:c r="C346" s="84" t="n">
        <x:v>1077</x:v>
      </x:c>
      <x:c r="D346" s="89" t="n">
        <x:v>45436.11618055555</x:v>
      </x:c>
      <x:c r="E346" s="84" t="str">
        <x:v>Correia</x:v>
      </x:c>
      <x:c r="F346" s="84" t="str">
        <x:v>Desgaste</x:v>
      </x:c>
      <x:c r="G346" s="84" t="str">
        <x:v>Contaminação</x:v>
      </x:c>
      <x:c r="H346" s="84" t="str">
        <x:v>Baixa</x:v>
      </x:c>
      <x:c r="I346" s="84" t="n">
        <x:v>0</x:v>
      </x:c>
      <x:c r="J346" s="85" t="n">
        <x:v>1</x:v>
      </x:c>
    </x:row>
    <x:row r="347">
      <x:c r="A347" s="83" t="n">
        <x:v>346</x:v>
      </x:c>
      <x:c r="B347" s="84" t="n">
        <x:v>60</x:v>
      </x:c>
      <x:c r="C347" s="84" t="n">
        <x:v>1079</x:v>
      </x:c>
      <x:c r="D347" s="89" t="n">
        <x:v>45555.97130787037</x:v>
      </x:c>
      <x:c r="E347" s="84" t="str">
        <x:v>Sensor</x:v>
      </x:c>
      <x:c r="F347" s="84" t="str">
        <x:v>Perda de sinal</x:v>
      </x:c>
      <x:c r="G347" s="84" t="str">
        <x:v>Conexão frouxa</x:v>
      </x:c>
      <x:c r="H347" s="84" t="str">
        <x:v>Baixa</x:v>
      </x:c>
      <x:c r="I347" s="84" t="n">
        <x:v>0</x:v>
      </x:c>
      <x:c r="J347" s="85" t="n">
        <x:v>1</x:v>
      </x:c>
    </x:row>
    <x:row r="348">
      <x:c r="A348" s="83" t="n">
        <x:v>347</x:v>
      </x:c>
      <x:c r="B348" s="84" t="n">
        <x:v>23</x:v>
      </x:c>
      <x:c r="C348" s="84" t="n">
        <x:v>1087</x:v>
      </x:c>
      <x:c r="D348" s="89" t="n">
        <x:v>45589.75240740741</x:v>
      </x:c>
      <x:c r="E348" s="84" t="str">
        <x:v>Correia</x:v>
      </x:c>
      <x:c r="F348" s="84" t="str">
        <x:v>Perda de sinal</x:v>
      </x:c>
      <x:c r="G348" s="84" t="str">
        <x:v>Desgaste natural</x:v>
      </x:c>
      <x:c r="H348" s="84" t="str">
        <x:v>Baixa</x:v>
      </x:c>
      <x:c r="I348" s="84" t="n">
        <x:v>0</x:v>
      </x:c>
      <x:c r="J348" s="85" t="n">
        <x:v>1</x:v>
      </x:c>
    </x:row>
    <x:row r="349">
      <x:c r="A349" s="83" t="n">
        <x:v>348</x:v>
      </x:c>
      <x:c r="B349" s="84" t="n">
        <x:v>73</x:v>
      </x:c>
      <x:c r="C349" s="84" t="n">
        <x:v>1093</x:v>
      </x:c>
      <x:c r="D349" s="89" t="n">
        <x:v>45049.51511574074</x:v>
      </x:c>
      <x:c r="E349" s="84" t="str">
        <x:v>CLP</x:v>
      </x:c>
      <x:c r="F349" s="84" t="str">
        <x:v>Quebra</x:v>
      </x:c>
      <x:c r="G349" s="84" t="str">
        <x:v>Ajuste incorreto</x:v>
      </x:c>
      <x:c r="H349" s="84" t="str">
        <x:v>Alta</x:v>
      </x:c>
      <x:c r="I349" s="84" t="n">
        <x:v>0</x:v>
      </x:c>
      <x:c r="J349" s="85" t="n">
        <x:v>1</x:v>
      </x:c>
    </x:row>
    <x:row r="350">
      <x:c r="A350" s="83" t="n">
        <x:v>349</x:v>
      </x:c>
      <x:c r="B350" s="84" t="n">
        <x:v>83</x:v>
      </x:c>
      <x:c r="C350" s="84" t="n">
        <x:v>1102</x:v>
      </x:c>
      <x:c r="D350" s="89" t="n">
        <x:v>45106.59079861111</x:v>
      </x:c>
      <x:c r="E350" s="84" t="str">
        <x:v>CLP</x:v>
      </x:c>
      <x:c r="F350" s="84" t="str">
        <x:v>Desgaste</x:v>
      </x:c>
      <x:c r="G350" s="84" t="str">
        <x:v>Componente danificado</x:v>
      </x:c>
      <x:c r="H350" s="84" t="str">
        <x:v>Alta</x:v>
      </x:c>
      <x:c r="I350" s="84" t="n">
        <x:v>0</x:v>
      </x:c>
      <x:c r="J350" s="85" t="n">
        <x:v>1</x:v>
      </x:c>
    </x:row>
    <x:row r="351">
      <x:c r="A351" s="83" t="n">
        <x:v>350</x:v>
      </x:c>
      <x:c r="B351" s="84" t="n">
        <x:v>14</x:v>
      </x:c>
      <x:c r="C351" s="84" t="n">
        <x:v>1103</x:v>
      </x:c>
      <x:c r="D351" s="89" t="n">
        <x:v>45634.02159722222</x:v>
      </x:c>
      <x:c r="E351" s="84" t="str">
        <x:v>Sensor</x:v>
      </x:c>
      <x:c r="F351" s="84" t="str">
        <x:v>Travamento</x:v>
      </x:c>
      <x:c r="G351" s="84" t="str">
        <x:v>Contaminação</x:v>
      </x:c>
      <x:c r="H351" s="84" t="str">
        <x:v>Média</x:v>
      </x:c>
      <x:c r="I351" s="84" t="n">
        <x:v>0</x:v>
      </x:c>
      <x:c r="J351" s="85" t="n">
        <x:v>1</x:v>
      </x:c>
    </x:row>
    <x:row r="352">
      <x:c r="A352" s="83" t="n">
        <x:v>351</x:v>
      </x:c>
      <x:c r="B352" s="84" t="n">
        <x:v>57</x:v>
      </x:c>
      <x:c r="C352" s="84" t="n">
        <x:v>1106</x:v>
      </x:c>
      <x:c r="D352" s="89" t="n">
        <x:v>46004.339479166665</x:v>
      </x:c>
      <x:c r="E352" s="84" t="str">
        <x:v>Sensor</x:v>
      </x:c>
      <x:c r="F352" s="84" t="str">
        <x:v>Perda de sinal</x:v>
      </x:c>
      <x:c r="G352" s="84" t="str">
        <x:v>Componente danificado</x:v>
      </x:c>
      <x:c r="H352" s="84" t="str">
        <x:v>Alta</x:v>
      </x:c>
      <x:c r="I352" s="84" t="n">
        <x:v>1</x:v>
      </x:c>
      <x:c r="J352" s="85" t="n">
        <x:v>1</x:v>
      </x:c>
    </x:row>
    <x:row r="353">
      <x:c r="A353" s="83" t="n">
        <x:v>352</x:v>
      </x:c>
      <x:c r="B353" s="84" t="n">
        <x:v>41</x:v>
      </x:c>
      <x:c r="C353" s="84" t="n">
        <x:v>1107</x:v>
      </x:c>
      <x:c r="D353" s="89" t="n">
        <x:v>45175.55480324074</x:v>
      </x:c>
      <x:c r="E353" s="84" t="str">
        <x:v>Válvula</x:v>
      </x:c>
      <x:c r="F353" s="84" t="str">
        <x:v>Travamento</x:v>
      </x:c>
      <x:c r="G353" s="84" t="str">
        <x:v>Ajuste incorreto</x:v>
      </x:c>
      <x:c r="H353" s="84" t="str">
        <x:v>Média</x:v>
      </x:c>
      <x:c r="I353" s="84" t="n">
        <x:v>1</x:v>
      </x:c>
      <x:c r="J353" s="85" t="n">
        <x:v>1</x:v>
      </x:c>
    </x:row>
    <x:row r="354">
      <x:c r="A354" s="83" t="n">
        <x:v>353</x:v>
      </x:c>
      <x:c r="B354" s="84" t="n">
        <x:v>76</x:v>
      </x:c>
      <x:c r="C354" s="84" t="n">
        <x:v>1118</x:v>
      </x:c>
      <x:c r="D354" s="89" t="n">
        <x:v>45315.85570601852</x:v>
      </x:c>
      <x:c r="E354" s="84" t="str">
        <x:v>Rolamento</x:v>
      </x:c>
      <x:c r="F354" s="84" t="str">
        <x:v>Travamento</x:v>
      </x:c>
      <x:c r="G354" s="84" t="str">
        <x:v>Conexão frouxa</x:v>
      </x:c>
      <x:c r="H354" s="84" t="str">
        <x:v>Média</x:v>
      </x:c>
      <x:c r="I354" s="84" t="n">
        <x:v>0</x:v>
      </x:c>
      <x:c r="J354" s="85" t="n">
        <x:v>1</x:v>
      </x:c>
    </x:row>
    <x:row r="355">
      <x:c r="A355" s="83" t="n">
        <x:v>354</x:v>
      </x:c>
      <x:c r="B355" s="84" t="n">
        <x:v>46</x:v>
      </x:c>
      <x:c r="C355" s="84" t="n">
        <x:v>1125</x:v>
      </x:c>
      <x:c r="D355" s="89" t="n">
        <x:v>45151.86004629629</x:v>
      </x:c>
      <x:c r="E355" s="84" t="str">
        <x:v>Rolamento</x:v>
      </x:c>
      <x:c r="F355" s="84" t="str">
        <x:v>Curto-circuito</x:v>
      </x:c>
      <x:c r="G355" s="84" t="str">
        <x:v>Ajuste incorreto</x:v>
      </x:c>
      <x:c r="H355" s="84" t="str">
        <x:v>Média</x:v>
      </x:c>
      <x:c r="I355" s="84" t="n">
        <x:v>0</x:v>
      </x:c>
      <x:c r="J355" s="85" t="n">
        <x:v>1</x:v>
      </x:c>
    </x:row>
    <x:row r="356">
      <x:c r="A356" s="83" t="n">
        <x:v>355</x:v>
      </x:c>
      <x:c r="B356" s="84" t="n">
        <x:v>36</x:v>
      </x:c>
      <x:c r="C356" s="84" t="n">
        <x:v>1135</x:v>
      </x:c>
      <x:c r="D356" s="89" t="n">
        <x:v>45589.59824074074</x:v>
      </x:c>
      <x:c r="E356" s="84" t="str">
        <x:v>CLP</x:v>
      </x:c>
      <x:c r="F356" s="84" t="str">
        <x:v>Desgaste</x:v>
      </x:c>
      <x:c r="G356" s="84" t="str">
        <x:v>Conexão frouxa</x:v>
      </x:c>
      <x:c r="H356" s="84" t="str">
        <x:v>Média</x:v>
      </x:c>
      <x:c r="I356" s="84" t="n">
        <x:v>1</x:v>
      </x:c>
      <x:c r="J356" s="85" t="n">
        <x:v>1</x:v>
      </x:c>
    </x:row>
    <x:row r="357">
      <x:c r="A357" s="83" t="n">
        <x:v>356</x:v>
      </x:c>
      <x:c r="B357" s="84" t="n">
        <x:v>5</x:v>
      </x:c>
      <x:c r="C357" s="84" t="n">
        <x:v>1141</x:v>
      </x:c>
      <x:c r="D357" s="89" t="n">
        <x:v>45859.33850694444</x:v>
      </x:c>
      <x:c r="E357" s="84" t="str">
        <x:v>Válvula</x:v>
      </x:c>
      <x:c r="F357" s="84" t="str">
        <x:v>Perda de sinal</x:v>
      </x:c>
      <x:c r="G357" s="84" t="str">
        <x:v>Contaminação</x:v>
      </x:c>
      <x:c r="H357" s="84" t="str">
        <x:v>Alta</x:v>
      </x:c>
      <x:c r="I357" s="84" t="n">
        <x:v>0</x:v>
      </x:c>
      <x:c r="J357" s="85" t="n">
        <x:v>1</x:v>
      </x:c>
    </x:row>
    <x:row r="358">
      <x:c r="A358" s="83" t="n">
        <x:v>357</x:v>
      </x:c>
      <x:c r="B358" s="84" t="n">
        <x:v>58</x:v>
      </x:c>
      <x:c r="C358" s="84" t="n">
        <x:v>1143</x:v>
      </x:c>
      <x:c r="D358" s="89" t="n">
        <x:v>45055.820543981485</x:v>
      </x:c>
      <x:c r="E358" s="84" t="str">
        <x:v>Sensor</x:v>
      </x:c>
      <x:c r="F358" s="84" t="str">
        <x:v>Desgaste</x:v>
      </x:c>
      <x:c r="G358" s="84" t="str">
        <x:v>Contaminação</x:v>
      </x:c>
      <x:c r="H358" s="84" t="str">
        <x:v>Média</x:v>
      </x:c>
      <x:c r="I358" s="84" t="n">
        <x:v>0</x:v>
      </x:c>
      <x:c r="J358" s="85" t="n">
        <x:v>1</x:v>
      </x:c>
    </x:row>
    <x:row r="359">
      <x:c r="A359" s="83" t="n">
        <x:v>358</x:v>
      </x:c>
      <x:c r="B359" s="84" t="n">
        <x:v>3</x:v>
      </x:c>
      <x:c r="C359" s="84" t="n">
        <x:v>1147</x:v>
      </x:c>
      <x:c r="D359" s="89" t="n">
        <x:v>45401.79523148148</x:v>
      </x:c>
      <x:c r="E359" s="84" t="str">
        <x:v>Sensor</x:v>
      </x:c>
      <x:c r="F359" s="84" t="str">
        <x:v>Travamento</x:v>
      </x:c>
      <x:c r="G359" s="84" t="str">
        <x:v>Contaminação</x:v>
      </x:c>
      <x:c r="H359" s="84" t="str">
        <x:v>Baixa</x:v>
      </x:c>
      <x:c r="I359" s="84" t="n">
        <x:v>1</x:v>
      </x:c>
      <x:c r="J359" s="85" t="n">
        <x:v>1</x:v>
      </x:c>
    </x:row>
    <x:row r="360">
      <x:c r="A360" s="83" t="n">
        <x:v>359</x:v>
      </x:c>
      <x:c r="B360" s="84" t="n">
        <x:v>74</x:v>
      </x:c>
      <x:c r="C360" s="84" t="n">
        <x:v>1151</x:v>
      </x:c>
      <x:c r="D360" s="89" t="n">
        <x:v>45003.046631944446</x:v>
      </x:c>
      <x:c r="E360" s="84" t="str">
        <x:v>Sensor</x:v>
      </x:c>
      <x:c r="F360" s="84" t="str">
        <x:v>Perda de sinal</x:v>
      </x:c>
      <x:c r="G360" s="84" t="str">
        <x:v>Ajuste incorreto</x:v>
      </x:c>
      <x:c r="H360" s="84" t="str">
        <x:v>Média</x:v>
      </x:c>
      <x:c r="I360" s="84" t="n">
        <x:v>1</x:v>
      </x:c>
      <x:c r="J360" s="85" t="n">
        <x:v>1</x:v>
      </x:c>
    </x:row>
    <x:row r="361">
      <x:c r="A361" s="83" t="n">
        <x:v>360</x:v>
      </x:c>
      <x:c r="B361" s="84" t="n">
        <x:v>9</x:v>
      </x:c>
      <x:c r="C361" s="84" t="n">
        <x:v>1152</x:v>
      </x:c>
      <x:c r="D361" s="89" t="n">
        <x:v>45476.92303240741</x:v>
      </x:c>
      <x:c r="E361" s="84" t="str">
        <x:v>Correia</x:v>
      </x:c>
      <x:c r="F361" s="84" t="str">
        <x:v>Travamento</x:v>
      </x:c>
      <x:c r="G361" s="84" t="str">
        <x:v>Falta de lubrificação</x:v>
      </x:c>
      <x:c r="H361" s="84" t="str">
        <x:v>Média</x:v>
      </x:c>
      <x:c r="I361" s="84" t="n">
        <x:v>0</x:v>
      </x:c>
      <x:c r="J361" s="85" t="n">
        <x:v>1</x:v>
      </x:c>
    </x:row>
    <x:row r="362">
      <x:c r="A362" s="83" t="n">
        <x:v>361</x:v>
      </x:c>
      <x:c r="B362" s="84" t="n">
        <x:v>16</x:v>
      </x:c>
      <x:c r="C362" s="84" t="n">
        <x:v>1154</x:v>
      </x:c>
      <x:c r="D362" s="89" t="n">
        <x:v>45980.39780092592</x:v>
      </x:c>
      <x:c r="E362" s="84" t="str">
        <x:v>Correia</x:v>
      </x:c>
      <x:c r="F362" s="84" t="str">
        <x:v>Curto-circuito</x:v>
      </x:c>
      <x:c r="G362" s="84" t="str">
        <x:v>Ajuste incorreto</x:v>
      </x:c>
      <x:c r="H362" s="84" t="str">
        <x:v>Baixa</x:v>
      </x:c>
      <x:c r="I362" s="84" t="n">
        <x:v>0</x:v>
      </x:c>
      <x:c r="J362" s="85" t="n">
        <x:v>1</x:v>
      </x:c>
    </x:row>
    <x:row r="363">
      <x:c r="A363" s="83" t="n">
        <x:v>362</x:v>
      </x:c>
      <x:c r="B363" s="84" t="n">
        <x:v>15</x:v>
      </x:c>
      <x:c r="C363" s="84" t="n">
        <x:v>1157</x:v>
      </x:c>
      <x:c r="D363" s="89" t="n">
        <x:v>45669.19101851852</x:v>
      </x:c>
      <x:c r="E363" s="84" t="str">
        <x:v>Sensor</x:v>
      </x:c>
      <x:c r="F363" s="84" t="str">
        <x:v>Curto-circuito</x:v>
      </x:c>
      <x:c r="G363" s="84" t="str">
        <x:v>Falta de lubrificação</x:v>
      </x:c>
      <x:c r="H363" s="84" t="str">
        <x:v>Média</x:v>
      </x:c>
      <x:c r="I363" s="84" t="n">
        <x:v>0</x:v>
      </x:c>
      <x:c r="J363" s="85" t="n">
        <x:v>1</x:v>
      </x:c>
    </x:row>
    <x:row r="364">
      <x:c r="A364" s="83" t="n">
        <x:v>363</x:v>
      </x:c>
      <x:c r="B364" s="84" t="n">
        <x:v>78</x:v>
      </x:c>
      <x:c r="C364" s="84" t="n">
        <x:v>1163</x:v>
      </x:c>
      <x:c r="D364" s="89" t="n">
        <x:v>45187.64439814815</x:v>
      </x:c>
      <x:c r="E364" s="84" t="str">
        <x:v>CLP</x:v>
      </x:c>
      <x:c r="F364" s="84" t="str">
        <x:v>Quebra</x:v>
      </x:c>
      <x:c r="G364" s="84" t="str">
        <x:v>Falta de lubrificação</x:v>
      </x:c>
      <x:c r="H364" s="84" t="str">
        <x:v>Baixa</x:v>
      </x:c>
      <x:c r="I364" s="84" t="n">
        <x:v>0</x:v>
      </x:c>
      <x:c r="J364" s="85" t="n">
        <x:v>1</x:v>
      </x:c>
    </x:row>
    <x:row r="365">
      <x:c r="A365" s="83" t="n">
        <x:v>364</x:v>
      </x:c>
      <x:c r="B365" s="84" t="n">
        <x:v>88</x:v>
      </x:c>
      <x:c r="C365" s="84" t="n">
        <x:v>1166</x:v>
      </x:c>
      <x:c r="D365" s="89" t="n">
        <x:v>45659.552407407406</x:v>
      </x:c>
      <x:c r="E365" s="84" t="str">
        <x:v>Correia</x:v>
      </x:c>
      <x:c r="F365" s="84" t="str">
        <x:v>Travamento</x:v>
      </x:c>
      <x:c r="G365" s="84" t="str">
        <x:v>Conexão frouxa</x:v>
      </x:c>
      <x:c r="H365" s="84" t="str">
        <x:v>Alta</x:v>
      </x:c>
      <x:c r="I365" s="84" t="n">
        <x:v>1</x:v>
      </x:c>
      <x:c r="J365" s="85" t="n">
        <x:v>1</x:v>
      </x:c>
    </x:row>
    <x:row r="366">
      <x:c r="A366" s="83" t="n">
        <x:v>365</x:v>
      </x:c>
      <x:c r="B366" s="84" t="n">
        <x:v>90</x:v>
      </x:c>
      <x:c r="C366" s="84" t="n">
        <x:v>1167</x:v>
      </x:c>
      <x:c r="D366" s="89" t="n">
        <x:v>45096.2821412037</x:v>
      </x:c>
      <x:c r="E366" s="84" t="str">
        <x:v>Sensor</x:v>
      </x:c>
      <x:c r="F366" s="84" t="str">
        <x:v>Quebra</x:v>
      </x:c>
      <x:c r="G366" s="84" t="str">
        <x:v>Contaminação</x:v>
      </x:c>
      <x:c r="H366" s="84" t="str">
        <x:v>Alta</x:v>
      </x:c>
      <x:c r="I366" s="84" t="n">
        <x:v>1</x:v>
      </x:c>
      <x:c r="J366" s="85" t="n">
        <x:v>1</x:v>
      </x:c>
    </x:row>
    <x:row r="367">
      <x:c r="A367" s="83" t="n">
        <x:v>366</x:v>
      </x:c>
      <x:c r="B367" s="84" t="n">
        <x:v>29</x:v>
      </x:c>
      <x:c r="C367" s="84" t="n">
        <x:v>1169</x:v>
      </x:c>
      <x:c r="D367" s="89" t="n">
        <x:v>45203.80159722222</x:v>
      </x:c>
      <x:c r="E367" s="84" t="str">
        <x:v>Motor</x:v>
      </x:c>
      <x:c r="F367" s="84" t="str">
        <x:v>Desgaste</x:v>
      </x:c>
      <x:c r="G367" s="84" t="str">
        <x:v>Falta de lubrificação</x:v>
      </x:c>
      <x:c r="H367" s="84" t="str">
        <x:v>Baixa</x:v>
      </x:c>
      <x:c r="I367" s="84" t="n">
        <x:v>0</x:v>
      </x:c>
      <x:c r="J367" s="85" t="n">
        <x:v>1</x:v>
      </x:c>
    </x:row>
    <x:row r="368">
      <x:c r="A368" s="83" t="n">
        <x:v>367</x:v>
      </x:c>
      <x:c r="B368" s="84" t="n">
        <x:v>55</x:v>
      </x:c>
      <x:c r="C368" s="84" t="n">
        <x:v>1175</x:v>
      </x:c>
      <x:c r="D368" s="89" t="n">
        <x:v>45191.60193287037</x:v>
      </x:c>
      <x:c r="E368" s="84" t="str">
        <x:v>CLP</x:v>
      </x:c>
      <x:c r="F368" s="84" t="str">
        <x:v>Desgaste</x:v>
      </x:c>
      <x:c r="G368" s="84" t="str">
        <x:v>Componente danificado</x:v>
      </x:c>
      <x:c r="H368" s="84" t="str">
        <x:v>Média</x:v>
      </x:c>
      <x:c r="I368" s="84" t="n">
        <x:v>0</x:v>
      </x:c>
      <x:c r="J368" s="85" t="n">
        <x:v>1</x:v>
      </x:c>
    </x:row>
    <x:row r="369">
      <x:c r="A369" s="83" t="n">
        <x:v>368</x:v>
      </x:c>
      <x:c r="B369" s="84" t="n">
        <x:v>21</x:v>
      </x:c>
      <x:c r="C369" s="84" t="n">
        <x:v>1176</x:v>
      </x:c>
      <x:c r="D369" s="89" t="n">
        <x:v>45876.45412037037</x:v>
      </x:c>
      <x:c r="E369" s="84" t="str">
        <x:v>CLP</x:v>
      </x:c>
      <x:c r="F369" s="84" t="str">
        <x:v>Quebra</x:v>
      </x:c>
      <x:c r="G369" s="84" t="str">
        <x:v>Falta de lubrificação</x:v>
      </x:c>
      <x:c r="H369" s="84" t="str">
        <x:v>Média</x:v>
      </x:c>
      <x:c r="I369" s="84" t="n">
        <x:v>1</x:v>
      </x:c>
      <x:c r="J369" s="85" t="n">
        <x:v>1</x:v>
      </x:c>
    </x:row>
    <x:row r="370">
      <x:c r="A370" s="83" t="n">
        <x:v>369</x:v>
      </x:c>
      <x:c r="B370" s="84" t="n">
        <x:v>69</x:v>
      </x:c>
      <x:c r="C370" s="84" t="n">
        <x:v>1177</x:v>
      </x:c>
      <x:c r="D370" s="89" t="n">
        <x:v>45006.896099537036</x:v>
      </x:c>
      <x:c r="E370" s="84" t="str">
        <x:v>Correia</x:v>
      </x:c>
      <x:c r="F370" s="84" t="str">
        <x:v>Quebra</x:v>
      </x:c>
      <x:c r="G370" s="84" t="str">
        <x:v>Componente danificado</x:v>
      </x:c>
      <x:c r="H370" s="84" t="str">
        <x:v>Alta</x:v>
      </x:c>
      <x:c r="I370" s="84" t="n">
        <x:v>0</x:v>
      </x:c>
      <x:c r="J370" s="85" t="n">
        <x:v>1</x:v>
      </x:c>
    </x:row>
    <x:row r="371">
      <x:c r="A371" s="83" t="n">
        <x:v>370</x:v>
      </x:c>
      <x:c r="B371" s="84" t="n">
        <x:v>23</x:v>
      </x:c>
      <x:c r="C371" s="84" t="n">
        <x:v>1178</x:v>
      </x:c>
      <x:c r="D371" s="89" t="n">
        <x:v>45961.15583333333</x:v>
      </x:c>
      <x:c r="E371" s="84" t="str">
        <x:v>Correia</x:v>
      </x:c>
      <x:c r="F371" s="84" t="str">
        <x:v>Perda de sinal</x:v>
      </x:c>
      <x:c r="G371" s="84" t="str">
        <x:v>Desgaste natural</x:v>
      </x:c>
      <x:c r="H371" s="84" t="str">
        <x:v>Média</x:v>
      </x:c>
      <x:c r="I371" s="84" t="n">
        <x:v>0</x:v>
      </x:c>
      <x:c r="J371" s="85" t="n">
        <x:v>1</x:v>
      </x:c>
    </x:row>
    <x:row r="372">
      <x:c r="A372" s="83" t="n">
        <x:v>371</x:v>
      </x:c>
      <x:c r="B372" s="84" t="n">
        <x:v>86</x:v>
      </x:c>
      <x:c r="C372" s="84" t="n">
        <x:v>1189</x:v>
      </x:c>
      <x:c r="D372" s="89" t="n">
        <x:v>45501.46488425926</x:v>
      </x:c>
      <x:c r="E372" s="84" t="str">
        <x:v>Sensor</x:v>
      </x:c>
      <x:c r="F372" s="84" t="str">
        <x:v>Quebra</x:v>
      </x:c>
      <x:c r="G372" s="84" t="str">
        <x:v>Conexão frouxa</x:v>
      </x:c>
      <x:c r="H372" s="84" t="str">
        <x:v>Alta</x:v>
      </x:c>
      <x:c r="I372" s="84" t="n">
        <x:v>0</x:v>
      </x:c>
      <x:c r="J372" s="85" t="n">
        <x:v>1</x:v>
      </x:c>
    </x:row>
    <x:row r="373">
      <x:c r="A373" s="83" t="n">
        <x:v>372</x:v>
      </x:c>
      <x:c r="B373" s="84" t="n">
        <x:v>67</x:v>
      </x:c>
      <x:c r="C373" s="84" t="n">
        <x:v>1196</x:v>
      </x:c>
      <x:c r="D373" s="89" t="n">
        <x:v>45647.05125</x:v>
      </x:c>
      <x:c r="E373" s="84" t="str">
        <x:v>Motor</x:v>
      </x:c>
      <x:c r="F373" s="84" t="str">
        <x:v>Quebra</x:v>
      </x:c>
      <x:c r="G373" s="84" t="str">
        <x:v>Componente danificado</x:v>
      </x:c>
      <x:c r="H373" s="84" t="str">
        <x:v>Média</x:v>
      </x:c>
      <x:c r="I373" s="84" t="n">
        <x:v>1</x:v>
      </x:c>
      <x:c r="J373" s="85" t="n">
        <x:v>1</x:v>
      </x:c>
    </x:row>
    <x:row r="374">
      <x:c r="A374" s="83" t="n">
        <x:v>373</x:v>
      </x:c>
      <x:c r="B374" s="84" t="n">
        <x:v>85</x:v>
      </x:c>
      <x:c r="C374" s="84" t="n">
        <x:v>1197</x:v>
      </x:c>
      <x:c r="D374" s="89" t="n">
        <x:v>45066.32466435185</x:v>
      </x:c>
      <x:c r="E374" s="84" t="str">
        <x:v>CLP</x:v>
      </x:c>
      <x:c r="F374" s="84" t="str">
        <x:v>Curto-circuito</x:v>
      </x:c>
      <x:c r="G374" s="84" t="str">
        <x:v>Falta de lubrificação</x:v>
      </x:c>
      <x:c r="H374" s="84" t="str">
        <x:v>Média</x:v>
      </x:c>
      <x:c r="I374" s="84" t="n">
        <x:v>0</x:v>
      </x:c>
      <x:c r="J374" s="85" t="n">
        <x:v>1</x:v>
      </x:c>
    </x:row>
    <x:row r="375">
      <x:c r="A375" s="83" t="n">
        <x:v>374</x:v>
      </x:c>
      <x:c r="B375" s="84" t="n">
        <x:v>9</x:v>
      </x:c>
      <x:c r="C375" s="84" t="n">
        <x:v>1203</x:v>
      </x:c>
      <x:c r="D375" s="89" t="n">
        <x:v>45927.92802083334</x:v>
      </x:c>
      <x:c r="E375" s="84" t="str">
        <x:v>Correia</x:v>
      </x:c>
      <x:c r="F375" s="84" t="str">
        <x:v>Travamento</x:v>
      </x:c>
      <x:c r="G375" s="84" t="str">
        <x:v>Falta de lubrificação</x:v>
      </x:c>
      <x:c r="H375" s="84" t="str">
        <x:v>Baixa</x:v>
      </x:c>
      <x:c r="I375" s="84" t="n">
        <x:v>0</x:v>
      </x:c>
      <x:c r="J375" s="85" t="n">
        <x:v>1</x:v>
      </x:c>
    </x:row>
    <x:row r="376">
      <x:c r="A376" s="83" t="n">
        <x:v>375</x:v>
      </x:c>
      <x:c r="B376" s="84" t="n">
        <x:v>68</x:v>
      </x:c>
      <x:c r="C376" s="84" t="n">
        <x:v>1204</x:v>
      </x:c>
      <x:c r="D376" s="89" t="n">
        <x:v>45746.145844907405</x:v>
      </x:c>
      <x:c r="E376" s="84" t="str">
        <x:v>Correia</x:v>
      </x:c>
      <x:c r="F376" s="84" t="str">
        <x:v>Curto-circuito</x:v>
      </x:c>
      <x:c r="G376" s="84" t="str">
        <x:v>Falta de lubrificação</x:v>
      </x:c>
      <x:c r="H376" s="84" t="str">
        <x:v>Média</x:v>
      </x:c>
      <x:c r="I376" s="84" t="n">
        <x:v>0</x:v>
      </x:c>
      <x:c r="J376" s="85" t="n">
        <x:v>1</x:v>
      </x:c>
    </x:row>
    <x:row r="377">
      <x:c r="A377" s="83" t="n">
        <x:v>376</x:v>
      </x:c>
      <x:c r="B377" s="84" t="n">
        <x:v>29</x:v>
      </x:c>
      <x:c r="C377" s="84" t="n">
        <x:v>1205</x:v>
      </x:c>
      <x:c r="D377" s="89" t="n">
        <x:v>45140.104212962964</x:v>
      </x:c>
      <x:c r="E377" s="84" t="str">
        <x:v>Sensor</x:v>
      </x:c>
      <x:c r="F377" s="84" t="str">
        <x:v>Desgaste</x:v>
      </x:c>
      <x:c r="G377" s="84" t="str">
        <x:v>Falta de lubrificação</x:v>
      </x:c>
      <x:c r="H377" s="84" t="str">
        <x:v>Baixa</x:v>
      </x:c>
      <x:c r="I377" s="84" t="n">
        <x:v>1</x:v>
      </x:c>
      <x:c r="J377" s="85" t="n">
        <x:v>1</x:v>
      </x:c>
    </x:row>
    <x:row r="378">
      <x:c r="A378" s="83" t="n">
        <x:v>377</x:v>
      </x:c>
      <x:c r="B378" s="84" t="n">
        <x:v>25</x:v>
      </x:c>
      <x:c r="C378" s="84" t="n">
        <x:v>1208</x:v>
      </x:c>
      <x:c r="D378" s="89" t="n">
        <x:v>45217.12976851852</x:v>
      </x:c>
      <x:c r="E378" s="84" t="str">
        <x:v>Correia</x:v>
      </x:c>
      <x:c r="F378" s="84" t="str">
        <x:v>Curto-circuito</x:v>
      </x:c>
      <x:c r="G378" s="84" t="str">
        <x:v>Componente danificado</x:v>
      </x:c>
      <x:c r="H378" s="84" t="str">
        <x:v>Alta</x:v>
      </x:c>
      <x:c r="I378" s="84" t="n">
        <x:v>0</x:v>
      </x:c>
      <x:c r="J378" s="85" t="n">
        <x:v>1</x:v>
      </x:c>
    </x:row>
    <x:row r="379">
      <x:c r="A379" s="83" t="n">
        <x:v>378</x:v>
      </x:c>
      <x:c r="B379" s="84" t="n">
        <x:v>22</x:v>
      </x:c>
      <x:c r="C379" s="84" t="n">
        <x:v>1213</x:v>
      </x:c>
      <x:c r="D379" s="89" t="n">
        <x:v>45624.46554398148</x:v>
      </x:c>
      <x:c r="E379" s="84" t="str">
        <x:v>Rolamento</x:v>
      </x:c>
      <x:c r="F379" s="84" t="str">
        <x:v>Curto-circuito</x:v>
      </x:c>
      <x:c r="G379" s="84" t="str">
        <x:v>Contaminação</x:v>
      </x:c>
      <x:c r="H379" s="84" t="str">
        <x:v>Alta</x:v>
      </x:c>
      <x:c r="I379" s="84" t="n">
        <x:v>0</x:v>
      </x:c>
      <x:c r="J379" s="85" t="n">
        <x:v>1</x:v>
      </x:c>
    </x:row>
    <x:row r="380">
      <x:c r="A380" s="83" t="n">
        <x:v>379</x:v>
      </x:c>
      <x:c r="B380" s="84" t="n">
        <x:v>33</x:v>
      </x:c>
      <x:c r="C380" s="84" t="n">
        <x:v>1214</x:v>
      </x:c>
      <x:c r="D380" s="89" t="n">
        <x:v>44953.54</x:v>
      </x:c>
      <x:c r="E380" s="84" t="str">
        <x:v>Rolamento</x:v>
      </x:c>
      <x:c r="F380" s="84" t="str">
        <x:v>Quebra</x:v>
      </x:c>
      <x:c r="G380" s="84" t="str">
        <x:v>Contaminação</x:v>
      </x:c>
      <x:c r="H380" s="84" t="str">
        <x:v>Alta</x:v>
      </x:c>
      <x:c r="I380" s="84" t="n">
        <x:v>0</x:v>
      </x:c>
      <x:c r="J380" s="85" t="n">
        <x:v>1</x:v>
      </x:c>
    </x:row>
    <x:row r="381">
      <x:c r="A381" s="83" t="n">
        <x:v>380</x:v>
      </x:c>
      <x:c r="B381" s="84" t="n">
        <x:v>84</x:v>
      </x:c>
      <x:c r="C381" s="84" t="n">
        <x:v>1220</x:v>
      </x:c>
      <x:c r="D381" s="89" t="n">
        <x:v>45792.97837962963</x:v>
      </x:c>
      <x:c r="E381" s="84" t="str">
        <x:v>CLP</x:v>
      </x:c>
      <x:c r="F381" s="84" t="str">
        <x:v>Quebra</x:v>
      </x:c>
      <x:c r="G381" s="84" t="str">
        <x:v>Desgaste natural</x:v>
      </x:c>
      <x:c r="H381" s="84" t="str">
        <x:v>Baixa</x:v>
      </x:c>
      <x:c r="I381" s="84" t="n">
        <x:v>0</x:v>
      </x:c>
      <x:c r="J381" s="85" t="n">
        <x:v>1</x:v>
      </x:c>
    </x:row>
    <x:row r="382">
      <x:c r="A382" s="83" t="n">
        <x:v>381</x:v>
      </x:c>
      <x:c r="B382" s="84" t="n">
        <x:v>34</x:v>
      </x:c>
      <x:c r="C382" s="84" t="n">
        <x:v>1232</x:v>
      </x:c>
      <x:c r="D382" s="89" t="n">
        <x:v>45151.37805555556</x:v>
      </x:c>
      <x:c r="E382" s="84" t="str">
        <x:v>Motor</x:v>
      </x:c>
      <x:c r="F382" s="84" t="str">
        <x:v>Quebra</x:v>
      </x:c>
      <x:c r="G382" s="84" t="str">
        <x:v>Ajuste incorreto</x:v>
      </x:c>
      <x:c r="H382" s="84" t="str">
        <x:v>Baixa</x:v>
      </x:c>
      <x:c r="I382" s="84" t="n">
        <x:v>0</x:v>
      </x:c>
      <x:c r="J382" s="85" t="n">
        <x:v>1</x:v>
      </x:c>
    </x:row>
    <x:row r="383">
      <x:c r="A383" s="83" t="n">
        <x:v>382</x:v>
      </x:c>
      <x:c r="B383" s="84" t="n">
        <x:v>22</x:v>
      </x:c>
      <x:c r="C383" s="84" t="n">
        <x:v>1233</x:v>
      </x:c>
      <x:c r="D383" s="89" t="n">
        <x:v>45750.39387731482</x:v>
      </x:c>
      <x:c r="E383" s="84" t="str">
        <x:v>CLP</x:v>
      </x:c>
      <x:c r="F383" s="84" t="str">
        <x:v>Curto-circuito</x:v>
      </x:c>
      <x:c r="G383" s="84" t="str">
        <x:v>Componente danificado</x:v>
      </x:c>
      <x:c r="H383" s="84" t="str">
        <x:v>Baixa</x:v>
      </x:c>
      <x:c r="I383" s="84" t="n">
        <x:v>0</x:v>
      </x:c>
      <x:c r="J383" s="85" t="n">
        <x:v>1</x:v>
      </x:c>
    </x:row>
    <x:row r="384">
      <x:c r="A384" s="83" t="n">
        <x:v>383</x:v>
      </x:c>
      <x:c r="B384" s="84" t="n">
        <x:v>38</x:v>
      </x:c>
      <x:c r="C384" s="84" t="n">
        <x:v>1234</x:v>
      </x:c>
      <x:c r="D384" s="89" t="n">
        <x:v>45981.710011574076</x:v>
      </x:c>
      <x:c r="E384" s="84" t="str">
        <x:v>Sensor</x:v>
      </x:c>
      <x:c r="F384" s="84" t="str">
        <x:v>Quebra</x:v>
      </x:c>
      <x:c r="G384" s="84" t="str">
        <x:v>Desgaste natural</x:v>
      </x:c>
      <x:c r="H384" s="84" t="str">
        <x:v>Baixa</x:v>
      </x:c>
      <x:c r="I384" s="84" t="n">
        <x:v>1</x:v>
      </x:c>
      <x:c r="J384" s="85" t="n">
        <x:v>1</x:v>
      </x:c>
    </x:row>
    <x:row r="385">
      <x:c r="A385" s="83" t="n">
        <x:v>384</x:v>
      </x:c>
      <x:c r="B385" s="84" t="n">
        <x:v>22</x:v>
      </x:c>
      <x:c r="C385" s="84" t="n">
        <x:v>1235</x:v>
      </x:c>
      <x:c r="D385" s="89" t="n">
        <x:v>45571.63284722222</x:v>
      </x:c>
      <x:c r="E385" s="84" t="str">
        <x:v>Motor</x:v>
      </x:c>
      <x:c r="F385" s="84" t="str">
        <x:v>Travamento</x:v>
      </x:c>
      <x:c r="G385" s="84" t="str">
        <x:v>Ajuste incorreto</x:v>
      </x:c>
      <x:c r="H385" s="84" t="str">
        <x:v>Baixa</x:v>
      </x:c>
      <x:c r="I385" s="84" t="n">
        <x:v>0</x:v>
      </x:c>
      <x:c r="J385" s="85" t="n">
        <x:v>1</x:v>
      </x:c>
    </x:row>
    <x:row r="386">
      <x:c r="A386" s="83" t="n">
        <x:v>385</x:v>
      </x:c>
      <x:c r="B386" s="84" t="n">
        <x:v>58</x:v>
      </x:c>
      <x:c r="C386" s="84" t="n">
        <x:v>1236</x:v>
      </x:c>
      <x:c r="D386" s="89" t="n">
        <x:v>45026.6521875</x:v>
      </x:c>
      <x:c r="E386" s="84" t="str">
        <x:v>Correia</x:v>
      </x:c>
      <x:c r="F386" s="84" t="str">
        <x:v>Desgaste</x:v>
      </x:c>
      <x:c r="G386" s="84" t="str">
        <x:v>Ajuste incorreto</x:v>
      </x:c>
      <x:c r="H386" s="84" t="str">
        <x:v>Média</x:v>
      </x:c>
      <x:c r="I386" s="84" t="n">
        <x:v>0</x:v>
      </x:c>
      <x:c r="J386" s="85" t="n">
        <x:v>1</x:v>
      </x:c>
    </x:row>
    <x:row r="387">
      <x:c r="A387" s="83" t="n">
        <x:v>386</x:v>
      </x:c>
      <x:c r="B387" s="84" t="n">
        <x:v>4</x:v>
      </x:c>
      <x:c r="C387" s="84" t="n">
        <x:v>1237</x:v>
      </x:c>
      <x:c r="D387" s="89" t="n">
        <x:v>45023.316400462965</x:v>
      </x:c>
      <x:c r="E387" s="84" t="str">
        <x:v>Sensor</x:v>
      </x:c>
      <x:c r="F387" s="84" t="str">
        <x:v>Travamento</x:v>
      </x:c>
      <x:c r="G387" s="84" t="str">
        <x:v>Falta de lubrificação</x:v>
      </x:c>
      <x:c r="H387" s="84" t="str">
        <x:v>Baixa</x:v>
      </x:c>
      <x:c r="I387" s="84" t="n">
        <x:v>1</x:v>
      </x:c>
      <x:c r="J387" s="85" t="n">
        <x:v>1</x:v>
      </x:c>
    </x:row>
    <x:row r="388">
      <x:c r="A388" s="83" t="n">
        <x:v>387</x:v>
      </x:c>
      <x:c r="B388" s="84" t="n">
        <x:v>49</x:v>
      </x:c>
      <x:c r="C388" s="84" t="n">
        <x:v>1239</x:v>
      </x:c>
      <x:c r="D388" s="89" t="n">
        <x:v>45438.022569444445</x:v>
      </x:c>
      <x:c r="E388" s="84" t="str">
        <x:v>Válvula</x:v>
      </x:c>
      <x:c r="F388" s="84" t="str">
        <x:v>Curto-circuito</x:v>
      </x:c>
      <x:c r="G388" s="84" t="str">
        <x:v>Conexão frouxa</x:v>
      </x:c>
      <x:c r="H388" s="84" t="str">
        <x:v>Baixa</x:v>
      </x:c>
      <x:c r="I388" s="84" t="n">
        <x:v>0</x:v>
      </x:c>
      <x:c r="J388" s="85" t="n">
        <x:v>1</x:v>
      </x:c>
    </x:row>
    <x:row r="389">
      <x:c r="A389" s="83" t="n">
        <x:v>388</x:v>
      </x:c>
      <x:c r="B389" s="84" t="n">
        <x:v>62</x:v>
      </x:c>
      <x:c r="C389" s="84" t="n">
        <x:v>1241</x:v>
      </x:c>
      <x:c r="D389" s="89" t="n">
        <x:v>45078.89053240741</x:v>
      </x:c>
      <x:c r="E389" s="84" t="str">
        <x:v>Válvula</x:v>
      </x:c>
      <x:c r="F389" s="84" t="str">
        <x:v>Perda de sinal</x:v>
      </x:c>
      <x:c r="G389" s="84" t="str">
        <x:v>Contaminação</x:v>
      </x:c>
      <x:c r="H389" s="84" t="str">
        <x:v>Baixa</x:v>
      </x:c>
      <x:c r="I389" s="84" t="n">
        <x:v>0</x:v>
      </x:c>
      <x:c r="J389" s="85" t="n">
        <x:v>1</x:v>
      </x:c>
    </x:row>
    <x:row r="390">
      <x:c r="A390" s="83" t="n">
        <x:v>389</x:v>
      </x:c>
      <x:c r="B390" s="84" t="n">
        <x:v>3</x:v>
      </x:c>
      <x:c r="C390" s="84" t="n">
        <x:v>1243</x:v>
      </x:c>
      <x:c r="D390" s="89" t="n">
        <x:v>45767.86449074074</x:v>
      </x:c>
      <x:c r="E390" s="84" t="str">
        <x:v>Motor</x:v>
      </x:c>
      <x:c r="F390" s="84" t="str">
        <x:v>Perda de sinal</x:v>
      </x:c>
      <x:c r="G390" s="84" t="str">
        <x:v>Ajuste incorreto</x:v>
      </x:c>
      <x:c r="H390" s="84" t="str">
        <x:v>Baixa</x:v>
      </x:c>
      <x:c r="I390" s="84" t="n">
        <x:v>0</x:v>
      </x:c>
      <x:c r="J390" s="85" t="n">
        <x:v>1</x:v>
      </x:c>
    </x:row>
    <x:row r="391">
      <x:c r="A391" s="83" t="n">
        <x:v>390</x:v>
      </x:c>
      <x:c r="B391" s="84" t="n">
        <x:v>57</x:v>
      </x:c>
      <x:c r="C391" s="84" t="n">
        <x:v>1247</x:v>
      </x:c>
      <x:c r="D391" s="89" t="n">
        <x:v>45510.881747685184</x:v>
      </x:c>
      <x:c r="E391" s="84" t="str">
        <x:v>Sensor</x:v>
      </x:c>
      <x:c r="F391" s="84" t="str">
        <x:v>Curto-circuito</x:v>
      </x:c>
      <x:c r="G391" s="84" t="str">
        <x:v>Desgaste natural</x:v>
      </x:c>
      <x:c r="H391" s="84" t="str">
        <x:v>Alta</x:v>
      </x:c>
      <x:c r="I391" s="84" t="n">
        <x:v>0</x:v>
      </x:c>
      <x:c r="J391" s="85" t="n">
        <x:v>1</x:v>
      </x:c>
    </x:row>
    <x:row r="392">
      <x:c r="A392" s="83" t="n">
        <x:v>391</x:v>
      </x:c>
      <x:c r="B392" s="84" t="n">
        <x:v>6</x:v>
      </x:c>
      <x:c r="C392" s="84" t="n">
        <x:v>1249</x:v>
      </x:c>
      <x:c r="D392" s="89" t="n">
        <x:v>45186.4262962963</x:v>
      </x:c>
      <x:c r="E392" s="84" t="str">
        <x:v>Motor</x:v>
      </x:c>
      <x:c r="F392" s="84" t="str">
        <x:v>Curto-circuito</x:v>
      </x:c>
      <x:c r="G392" s="84" t="str">
        <x:v>Contaminação</x:v>
      </x:c>
      <x:c r="H392" s="84" t="str">
        <x:v>Baixa</x:v>
      </x:c>
      <x:c r="I392" s="84" t="n">
        <x:v>1</x:v>
      </x:c>
      <x:c r="J392" s="85" t="n">
        <x:v>1</x:v>
      </x:c>
    </x:row>
    <x:row r="393">
      <x:c r="A393" s="83" t="n">
        <x:v>392</x:v>
      </x:c>
      <x:c r="B393" s="84" t="n">
        <x:v>28</x:v>
      </x:c>
      <x:c r="C393" s="84" t="n">
        <x:v>1250</x:v>
      </x:c>
      <x:c r="D393" s="89" t="n">
        <x:v>45950.75033564815</x:v>
      </x:c>
      <x:c r="E393" s="84" t="str">
        <x:v>CLP</x:v>
      </x:c>
      <x:c r="F393" s="84" t="str">
        <x:v>Desgaste</x:v>
      </x:c>
      <x:c r="G393" s="84" t="str">
        <x:v>Conexão frouxa</x:v>
      </x:c>
      <x:c r="H393" s="84" t="str">
        <x:v>Média</x:v>
      </x:c>
      <x:c r="I393" s="84" t="n">
        <x:v>0</x:v>
      </x:c>
      <x:c r="J393" s="85" t="n">
        <x:v>1</x:v>
      </x:c>
    </x:row>
    <x:row r="394">
      <x:c r="A394" s="83" t="n">
        <x:v>393</x:v>
      </x:c>
      <x:c r="B394" s="84" t="n">
        <x:v>31</x:v>
      </x:c>
      <x:c r="C394" s="84" t="n">
        <x:v>1251</x:v>
      </x:c>
      <x:c r="D394" s="89" t="n">
        <x:v>45098.178622685184</x:v>
      </x:c>
      <x:c r="E394" s="84" t="str">
        <x:v>CLP</x:v>
      </x:c>
      <x:c r="F394" s="84" t="str">
        <x:v>Quebra</x:v>
      </x:c>
      <x:c r="G394" s="84" t="str">
        <x:v>Desgaste natural</x:v>
      </x:c>
      <x:c r="H394" s="84" t="str">
        <x:v>Alta</x:v>
      </x:c>
      <x:c r="I394" s="84" t="n">
        <x:v>0</x:v>
      </x:c>
      <x:c r="J394" s="85" t="n">
        <x:v>1</x:v>
      </x:c>
    </x:row>
    <x:row r="395">
      <x:c r="A395" s="83" t="n">
        <x:v>394</x:v>
      </x:c>
      <x:c r="B395" s="84" t="n">
        <x:v>31</x:v>
      </x:c>
      <x:c r="C395" s="84" t="n">
        <x:v>1253</x:v>
      </x:c>
      <x:c r="D395" s="89" t="n">
        <x:v>45719.88868055555</x:v>
      </x:c>
      <x:c r="E395" s="84" t="str">
        <x:v>CLP</x:v>
      </x:c>
      <x:c r="F395" s="84" t="str">
        <x:v>Travamento</x:v>
      </x:c>
      <x:c r="G395" s="84" t="str">
        <x:v>Falta de lubrificação</x:v>
      </x:c>
      <x:c r="H395" s="84" t="str">
        <x:v>Média</x:v>
      </x:c>
      <x:c r="I395" s="84" t="n">
        <x:v>1</x:v>
      </x:c>
      <x:c r="J395" s="85" t="n">
        <x:v>1</x:v>
      </x:c>
    </x:row>
    <x:row r="396">
      <x:c r="A396" s="83" t="n">
        <x:v>395</x:v>
      </x:c>
      <x:c r="B396" s="84" t="n">
        <x:v>10</x:v>
      </x:c>
      <x:c r="C396" s="84" t="n">
        <x:v>1256</x:v>
      </x:c>
      <x:c r="D396" s="89" t="n">
        <x:v>45780.528715277775</x:v>
      </x:c>
      <x:c r="E396" s="84" t="str">
        <x:v>Motor</x:v>
      </x:c>
      <x:c r="F396" s="84" t="str">
        <x:v>Curto-circuito</x:v>
      </x:c>
      <x:c r="G396" s="84" t="str">
        <x:v>Ajuste incorreto</x:v>
      </x:c>
      <x:c r="H396" s="84" t="str">
        <x:v>Média</x:v>
      </x:c>
      <x:c r="I396" s="84" t="n">
        <x:v>0</x:v>
      </x:c>
      <x:c r="J396" s="85" t="n">
        <x:v>1</x:v>
      </x:c>
    </x:row>
    <x:row r="397">
      <x:c r="A397" s="83" t="n">
        <x:v>396</x:v>
      </x:c>
      <x:c r="B397" s="84" t="n">
        <x:v>27</x:v>
      </x:c>
      <x:c r="C397" s="84" t="n">
        <x:v>1260</x:v>
      </x:c>
      <x:c r="D397" s="89" t="n">
        <x:v>45302.2983912037</x:v>
      </x:c>
      <x:c r="E397" s="84" t="str">
        <x:v>Motor</x:v>
      </x:c>
      <x:c r="F397" s="84" t="str">
        <x:v>Desgaste</x:v>
      </x:c>
      <x:c r="G397" s="84" t="str">
        <x:v>Conexão frouxa</x:v>
      </x:c>
      <x:c r="H397" s="84" t="str">
        <x:v>Média</x:v>
      </x:c>
      <x:c r="I397" s="84" t="n">
        <x:v>1</x:v>
      </x:c>
      <x:c r="J397" s="85" t="n">
        <x:v>1</x:v>
      </x:c>
    </x:row>
    <x:row r="398">
      <x:c r="A398" s="83" t="n">
        <x:v>397</x:v>
      </x:c>
      <x:c r="B398" s="84" t="n">
        <x:v>90</x:v>
      </x:c>
      <x:c r="C398" s="84" t="n">
        <x:v>1262</x:v>
      </x:c>
      <x:c r="D398" s="89" t="n">
        <x:v>45666.701828703706</x:v>
      </x:c>
      <x:c r="E398" s="84" t="str">
        <x:v>Correia</x:v>
      </x:c>
      <x:c r="F398" s="84" t="str">
        <x:v>Desgaste</x:v>
      </x:c>
      <x:c r="G398" s="84" t="str">
        <x:v>Contaminação</x:v>
      </x:c>
      <x:c r="H398" s="84" t="str">
        <x:v>Baixa</x:v>
      </x:c>
      <x:c r="I398" s="84" t="n">
        <x:v>1</x:v>
      </x:c>
      <x:c r="J398" s="85" t="n">
        <x:v>1</x:v>
      </x:c>
    </x:row>
    <x:row r="399">
      <x:c r="A399" s="83" t="n">
        <x:v>398</x:v>
      </x:c>
      <x:c r="B399" s="84" t="n">
        <x:v>58</x:v>
      </x:c>
      <x:c r="C399" s="84" t="n">
        <x:v>1263</x:v>
      </x:c>
      <x:c r="D399" s="89" t="n">
        <x:v>45845.063368055555</x:v>
      </x:c>
      <x:c r="E399" s="84" t="str">
        <x:v>CLP</x:v>
      </x:c>
      <x:c r="F399" s="84" t="str">
        <x:v>Quebra</x:v>
      </x:c>
      <x:c r="G399" s="84" t="str">
        <x:v>Ajuste incorreto</x:v>
      </x:c>
      <x:c r="H399" s="84" t="str">
        <x:v>Média</x:v>
      </x:c>
      <x:c r="I399" s="84" t="n">
        <x:v>0</x:v>
      </x:c>
      <x:c r="J399" s="85" t="n">
        <x:v>1</x:v>
      </x:c>
    </x:row>
    <x:row r="400">
      <x:c r="A400" s="83" t="n">
        <x:v>399</x:v>
      </x:c>
      <x:c r="B400" s="84" t="n">
        <x:v>51</x:v>
      </x:c>
      <x:c r="C400" s="84" t="n">
        <x:v>1264</x:v>
      </x:c>
      <x:c r="D400" s="89" t="n">
        <x:v>45789.79346064815</x:v>
      </x:c>
      <x:c r="E400" s="84" t="str">
        <x:v>Válvula</x:v>
      </x:c>
      <x:c r="F400" s="84" t="str">
        <x:v>Curto-circuito</x:v>
      </x:c>
      <x:c r="G400" s="84" t="str">
        <x:v>Contaminação</x:v>
      </x:c>
      <x:c r="H400" s="84" t="str">
        <x:v>Baixa</x:v>
      </x:c>
      <x:c r="I400" s="84" t="n">
        <x:v>1</x:v>
      </x:c>
      <x:c r="J400" s="85" t="n">
        <x:v>1</x:v>
      </x:c>
    </x:row>
    <x:row r="401">
      <x:c r="A401" s="83" t="n">
        <x:v>400</x:v>
      </x:c>
      <x:c r="B401" s="84" t="n">
        <x:v>11</x:v>
      </x:c>
      <x:c r="C401" s="84" t="n">
        <x:v>1265</x:v>
      </x:c>
      <x:c r="D401" s="89" t="n">
        <x:v>45109.92828703704</x:v>
      </x:c>
      <x:c r="E401" s="84" t="str">
        <x:v>Motor</x:v>
      </x:c>
      <x:c r="F401" s="84" t="str">
        <x:v>Quebra</x:v>
      </x:c>
      <x:c r="G401" s="84" t="str">
        <x:v>Conexão frouxa</x:v>
      </x:c>
      <x:c r="H401" s="84" t="str">
        <x:v>Baixa</x:v>
      </x:c>
      <x:c r="I401" s="84" t="n">
        <x:v>0</x:v>
      </x:c>
      <x:c r="J401" s="85" t="n">
        <x:v>1</x:v>
      </x:c>
    </x:row>
    <x:row r="402">
      <x:c r="A402" s="83" t="n">
        <x:v>401</x:v>
      </x:c>
      <x:c r="B402" s="84" t="n">
        <x:v>70</x:v>
      </x:c>
      <x:c r="C402" s="84" t="n">
        <x:v>1268</x:v>
      </x:c>
      <x:c r="D402" s="89" t="n">
        <x:v>45922.46965277778</x:v>
      </x:c>
      <x:c r="E402" s="84" t="str">
        <x:v>CLP</x:v>
      </x:c>
      <x:c r="F402" s="84" t="str">
        <x:v>Curto-circuito</x:v>
      </x:c>
      <x:c r="G402" s="84" t="str">
        <x:v>Ajuste incorreto</x:v>
      </x:c>
      <x:c r="H402" s="84" t="str">
        <x:v>Média</x:v>
      </x:c>
      <x:c r="I402" s="84" t="n">
        <x:v>0</x:v>
      </x:c>
      <x:c r="J402" s="85" t="n">
        <x:v>1</x:v>
      </x:c>
    </x:row>
    <x:row r="403">
      <x:c r="A403" s="83" t="n">
        <x:v>402</x:v>
      </x:c>
      <x:c r="B403" s="84" t="n">
        <x:v>58</x:v>
      </x:c>
      <x:c r="C403" s="84" t="n">
        <x:v>1270</x:v>
      </x:c>
      <x:c r="D403" s="89" t="n">
        <x:v>45254.151238425926</x:v>
      </x:c>
      <x:c r="E403" s="84" t="str">
        <x:v>Válvula</x:v>
      </x:c>
      <x:c r="F403" s="84" t="str">
        <x:v>Perda de sinal</x:v>
      </x:c>
      <x:c r="G403" s="84" t="str">
        <x:v>Falta de lubrificação</x:v>
      </x:c>
      <x:c r="H403" s="84" t="str">
        <x:v>Média</x:v>
      </x:c>
      <x:c r="I403" s="84" t="n">
        <x:v>1</x:v>
      </x:c>
      <x:c r="J403" s="85" t="n">
        <x:v>1</x:v>
      </x:c>
    </x:row>
    <x:row r="404">
      <x:c r="A404" s="83" t="n">
        <x:v>403</x:v>
      </x:c>
      <x:c r="B404" s="84" t="n">
        <x:v>77</x:v>
      </x:c>
      <x:c r="C404" s="84" t="n">
        <x:v>1273</x:v>
      </x:c>
      <x:c r="D404" s="89" t="n">
        <x:v>44930.95165509259</x:v>
      </x:c>
      <x:c r="E404" s="84" t="str">
        <x:v>Motor</x:v>
      </x:c>
      <x:c r="F404" s="84" t="str">
        <x:v>Quebra</x:v>
      </x:c>
      <x:c r="G404" s="84" t="str">
        <x:v>Desgaste natural</x:v>
      </x:c>
      <x:c r="H404" s="84" t="str">
        <x:v>Média</x:v>
      </x:c>
      <x:c r="I404" s="84" t="n">
        <x:v>0</x:v>
      </x:c>
      <x:c r="J404" s="85" t="n">
        <x:v>1</x:v>
      </x:c>
    </x:row>
    <x:row r="405">
      <x:c r="A405" s="83" t="n">
        <x:v>404</x:v>
      </x:c>
      <x:c r="B405" s="84" t="n">
        <x:v>74</x:v>
      </x:c>
      <x:c r="C405" s="84" t="n">
        <x:v>1274</x:v>
      </x:c>
      <x:c r="D405" s="89" t="n">
        <x:v>45611.46292824074</x:v>
      </x:c>
      <x:c r="E405" s="84" t="str">
        <x:v>Sensor</x:v>
      </x:c>
      <x:c r="F405" s="84" t="str">
        <x:v>Travamento</x:v>
      </x:c>
      <x:c r="G405" s="84" t="str">
        <x:v>Desgaste natural</x:v>
      </x:c>
      <x:c r="H405" s="84" t="str">
        <x:v>Alta</x:v>
      </x:c>
      <x:c r="I405" s="84" t="n">
        <x:v>0</x:v>
      </x:c>
      <x:c r="J405" s="85" t="n">
        <x:v>1</x:v>
      </x:c>
    </x:row>
    <x:row r="406">
      <x:c r="A406" s="83" t="n">
        <x:v>405</x:v>
      </x:c>
      <x:c r="B406" s="84" t="n">
        <x:v>22</x:v>
      </x:c>
      <x:c r="C406" s="84" t="n">
        <x:v>1275</x:v>
      </x:c>
      <x:c r="D406" s="89" t="n">
        <x:v>45375.75378472222</x:v>
      </x:c>
      <x:c r="E406" s="84" t="str">
        <x:v>Correia</x:v>
      </x:c>
      <x:c r="F406" s="84" t="str">
        <x:v>Quebra</x:v>
      </x:c>
      <x:c r="G406" s="84" t="str">
        <x:v>Falta de lubrificação</x:v>
      </x:c>
      <x:c r="H406" s="84" t="str">
        <x:v>Baixa</x:v>
      </x:c>
      <x:c r="I406" s="84" t="n">
        <x:v>0</x:v>
      </x:c>
      <x:c r="J406" s="85" t="n">
        <x:v>1</x:v>
      </x:c>
    </x:row>
    <x:row r="407">
      <x:c r="A407" s="83" t="n">
        <x:v>406</x:v>
      </x:c>
      <x:c r="B407" s="84" t="n">
        <x:v>23</x:v>
      </x:c>
      <x:c r="C407" s="84" t="n">
        <x:v>1276</x:v>
      </x:c>
      <x:c r="D407" s="89" t="n">
        <x:v>45436.39333333333</x:v>
      </x:c>
      <x:c r="E407" s="84" t="str">
        <x:v>Rolamento</x:v>
      </x:c>
      <x:c r="F407" s="84" t="str">
        <x:v>Desgaste</x:v>
      </x:c>
      <x:c r="G407" s="84" t="str">
        <x:v>Contaminação</x:v>
      </x:c>
      <x:c r="H407" s="84" t="str">
        <x:v>Alta</x:v>
      </x:c>
      <x:c r="I407" s="84" t="n">
        <x:v>0</x:v>
      </x:c>
      <x:c r="J407" s="85" t="n">
        <x:v>1</x:v>
      </x:c>
    </x:row>
    <x:row r="408">
      <x:c r="A408" s="83" t="n">
        <x:v>407</x:v>
      </x:c>
      <x:c r="B408" s="84" t="n">
        <x:v>12</x:v>
      </x:c>
      <x:c r="C408" s="84" t="n">
        <x:v>1282</x:v>
      </x:c>
      <x:c r="D408" s="89" t="n">
        <x:v>45046.070763888885</x:v>
      </x:c>
      <x:c r="E408" s="84" t="str">
        <x:v>Válvula</x:v>
      </x:c>
      <x:c r="F408" s="84" t="str">
        <x:v>Perda de sinal</x:v>
      </x:c>
      <x:c r="G408" s="84" t="str">
        <x:v>Desgaste natural</x:v>
      </x:c>
      <x:c r="H408" s="84" t="str">
        <x:v>Baixa</x:v>
      </x:c>
      <x:c r="I408" s="84" t="n">
        <x:v>0</x:v>
      </x:c>
      <x:c r="J408" s="85" t="n">
        <x:v>1</x:v>
      </x:c>
    </x:row>
    <x:row r="409">
      <x:c r="A409" s="83" t="n">
        <x:v>408</x:v>
      </x:c>
      <x:c r="B409" s="84" t="n">
        <x:v>5</x:v>
      </x:c>
      <x:c r="C409" s="84" t="n">
        <x:v>1285</x:v>
      </x:c>
      <x:c r="D409" s="89" t="n">
        <x:v>44935.5262037037</x:v>
      </x:c>
      <x:c r="E409" s="84" t="str">
        <x:v>Sensor</x:v>
      </x:c>
      <x:c r="F409" s="84" t="str">
        <x:v>Quebra</x:v>
      </x:c>
      <x:c r="G409" s="84" t="str">
        <x:v>Conexão frouxa</x:v>
      </x:c>
      <x:c r="H409" s="84" t="str">
        <x:v>Baixa</x:v>
      </x:c>
      <x:c r="I409" s="84" t="n">
        <x:v>0</x:v>
      </x:c>
      <x:c r="J409" s="85" t="n">
        <x:v>1</x:v>
      </x:c>
    </x:row>
    <x:row r="410">
      <x:c r="A410" s="83" t="n">
        <x:v>409</x:v>
      </x:c>
      <x:c r="B410" s="84" t="n">
        <x:v>69</x:v>
      </x:c>
      <x:c r="C410" s="84" t="n">
        <x:v>1286</x:v>
      </x:c>
      <x:c r="D410" s="89" t="n">
        <x:v>46009.290983796294</x:v>
      </x:c>
      <x:c r="E410" s="84" t="str">
        <x:v>Sensor</x:v>
      </x:c>
      <x:c r="F410" s="84" t="str">
        <x:v>Travamento</x:v>
      </x:c>
      <x:c r="G410" s="84" t="str">
        <x:v>Componente danificado</x:v>
      </x:c>
      <x:c r="H410" s="84" t="str">
        <x:v>Alta</x:v>
      </x:c>
      <x:c r="I410" s="84" t="n">
        <x:v>0</x:v>
      </x:c>
      <x:c r="J410" s="85" t="n">
        <x:v>1</x:v>
      </x:c>
    </x:row>
    <x:row r="411">
      <x:c r="A411" s="83" t="n">
        <x:v>410</x:v>
      </x:c>
      <x:c r="B411" s="84" t="n">
        <x:v>4</x:v>
      </x:c>
      <x:c r="C411" s="84" t="n">
        <x:v>1287</x:v>
      </x:c>
      <x:c r="D411" s="89" t="n">
        <x:v>45654.99511574074</x:v>
      </x:c>
      <x:c r="E411" s="84" t="str">
        <x:v>Correia</x:v>
      </x:c>
      <x:c r="F411" s="84" t="str">
        <x:v>Curto-circuito</x:v>
      </x:c>
      <x:c r="G411" s="84" t="str">
        <x:v>Componente danificado</x:v>
      </x:c>
      <x:c r="H411" s="84" t="str">
        <x:v>Baixa</x:v>
      </x:c>
      <x:c r="I411" s="84" t="n">
        <x:v>0</x:v>
      </x:c>
      <x:c r="J411" s="85" t="n">
        <x:v>1</x:v>
      </x:c>
    </x:row>
    <x:row r="412">
      <x:c r="A412" s="83" t="n">
        <x:v>411</x:v>
      </x:c>
      <x:c r="B412" s="84" t="n">
        <x:v>57</x:v>
      </x:c>
      <x:c r="C412" s="84" t="n">
        <x:v>1291</x:v>
      </x:c>
      <x:c r="D412" s="89" t="n">
        <x:v>45841.65078703704</x:v>
      </x:c>
      <x:c r="E412" s="84" t="str">
        <x:v>Sensor</x:v>
      </x:c>
      <x:c r="F412" s="84" t="str">
        <x:v>Perda de sinal</x:v>
      </x:c>
      <x:c r="G412" s="84" t="str">
        <x:v>Desgaste natural</x:v>
      </x:c>
      <x:c r="H412" s="84" t="str">
        <x:v>Média</x:v>
      </x:c>
      <x:c r="I412" s="84" t="n">
        <x:v>0</x:v>
      </x:c>
      <x:c r="J412" s="85" t="n">
        <x:v>1</x:v>
      </x:c>
    </x:row>
    <x:row r="413">
      <x:c r="A413" s="83" t="n">
        <x:v>412</x:v>
      </x:c>
      <x:c r="B413" s="84" t="n">
        <x:v>44</x:v>
      </x:c>
      <x:c r="C413" s="84" t="n">
        <x:v>1292</x:v>
      </x:c>
      <x:c r="D413" s="89" t="n">
        <x:v>45932.575833333336</x:v>
      </x:c>
      <x:c r="E413" s="84" t="str">
        <x:v>CLP</x:v>
      </x:c>
      <x:c r="F413" s="84" t="str">
        <x:v>Curto-circuito</x:v>
      </x:c>
      <x:c r="G413" s="84" t="str">
        <x:v>Conexão frouxa</x:v>
      </x:c>
      <x:c r="H413" s="84" t="str">
        <x:v>Alta</x:v>
      </x:c>
      <x:c r="I413" s="84" t="n">
        <x:v>0</x:v>
      </x:c>
      <x:c r="J413" s="85" t="n">
        <x:v>1</x:v>
      </x:c>
    </x:row>
    <x:row r="414">
      <x:c r="A414" s="83" t="n">
        <x:v>413</x:v>
      </x:c>
      <x:c r="B414" s="84" t="n">
        <x:v>33</x:v>
      </x:c>
      <x:c r="C414" s="84" t="n">
        <x:v>1294</x:v>
      </x:c>
      <x:c r="D414" s="89" t="n">
        <x:v>45747.70376157408</x:v>
      </x:c>
      <x:c r="E414" s="84" t="str">
        <x:v>Motor</x:v>
      </x:c>
      <x:c r="F414" s="84" t="str">
        <x:v>Curto-circuito</x:v>
      </x:c>
      <x:c r="G414" s="84" t="str">
        <x:v>Falta de lubrificação</x:v>
      </x:c>
      <x:c r="H414" s="84" t="str">
        <x:v>Alta</x:v>
      </x:c>
      <x:c r="I414" s="84" t="n">
        <x:v>0</x:v>
      </x:c>
      <x:c r="J414" s="85" t="n">
        <x:v>1</x:v>
      </x:c>
    </x:row>
    <x:row r="415">
      <x:c r="A415" s="83" t="n">
        <x:v>414</x:v>
      </x:c>
      <x:c r="B415" s="84" t="n">
        <x:v>21</x:v>
      </x:c>
      <x:c r="C415" s="84" t="n">
        <x:v>1299</x:v>
      </x:c>
      <x:c r="D415" s="89" t="n">
        <x:v>45793.11157407407</x:v>
      </x:c>
      <x:c r="E415" s="84" t="str">
        <x:v>Válvula</x:v>
      </x:c>
      <x:c r="F415" s="84" t="str">
        <x:v>Desgaste</x:v>
      </x:c>
      <x:c r="G415" s="84" t="str">
        <x:v>Componente danificado</x:v>
      </x:c>
      <x:c r="H415" s="84" t="str">
        <x:v>Média</x:v>
      </x:c>
      <x:c r="I415" s="84" t="n">
        <x:v>0</x:v>
      </x:c>
      <x:c r="J415" s="85" t="n">
        <x:v>1</x:v>
      </x:c>
    </x:row>
    <x:row r="416">
      <x:c r="A416" s="83" t="n">
        <x:v>415</x:v>
      </x:c>
      <x:c r="B416" s="84" t="n">
        <x:v>65</x:v>
      </x:c>
      <x:c r="C416" s="84" t="n">
        <x:v>1302</x:v>
      </x:c>
      <x:c r="D416" s="89" t="n">
        <x:v>45778.70946759259</x:v>
      </x:c>
      <x:c r="E416" s="84" t="str">
        <x:v>Correia</x:v>
      </x:c>
      <x:c r="F416" s="84" t="str">
        <x:v>Quebra</x:v>
      </x:c>
      <x:c r="G416" s="84" t="str">
        <x:v>Contaminação</x:v>
      </x:c>
      <x:c r="H416" s="84" t="str">
        <x:v>Alta</x:v>
      </x:c>
      <x:c r="I416" s="84" t="n">
        <x:v>0</x:v>
      </x:c>
      <x:c r="J416" s="85" t="n">
        <x:v>1</x:v>
      </x:c>
    </x:row>
    <x:row r="417">
      <x:c r="A417" s="83" t="n">
        <x:v>416</x:v>
      </x:c>
      <x:c r="B417" s="84" t="n">
        <x:v>67</x:v>
      </x:c>
      <x:c r="C417" s="84" t="n">
        <x:v>1304</x:v>
      </x:c>
      <x:c r="D417" s="89" t="n">
        <x:v>45521.14697916667</x:v>
      </x:c>
      <x:c r="E417" s="84" t="str">
        <x:v>Motor</x:v>
      </x:c>
      <x:c r="F417" s="84" t="str">
        <x:v>Quebra</x:v>
      </x:c>
      <x:c r="G417" s="84" t="str">
        <x:v>Contaminação</x:v>
      </x:c>
      <x:c r="H417" s="84" t="str">
        <x:v>Média</x:v>
      </x:c>
      <x:c r="I417" s="84" t="n">
        <x:v>0</x:v>
      </x:c>
      <x:c r="J417" s="85" t="n">
        <x:v>1</x:v>
      </x:c>
    </x:row>
    <x:row r="418">
      <x:c r="A418" s="83" t="n">
        <x:v>417</x:v>
      </x:c>
      <x:c r="B418" s="84" t="n">
        <x:v>33</x:v>
      </x:c>
      <x:c r="C418" s="84" t="n">
        <x:v>1306</x:v>
      </x:c>
      <x:c r="D418" s="89" t="n">
        <x:v>44995.98351851852</x:v>
      </x:c>
      <x:c r="E418" s="84" t="str">
        <x:v>Rolamento</x:v>
      </x:c>
      <x:c r="F418" s="84" t="str">
        <x:v>Perda de sinal</x:v>
      </x:c>
      <x:c r="G418" s="84" t="str">
        <x:v>Componente danificado</x:v>
      </x:c>
      <x:c r="H418" s="84" t="str">
        <x:v>Baixa</x:v>
      </x:c>
      <x:c r="I418" s="84" t="n">
        <x:v>0</x:v>
      </x:c>
      <x:c r="J418" s="85" t="n">
        <x:v>1</x:v>
      </x:c>
    </x:row>
    <x:row r="419">
      <x:c r="A419" s="83" t="n">
        <x:v>418</x:v>
      </x:c>
      <x:c r="B419" s="84" t="n">
        <x:v>3</x:v>
      </x:c>
      <x:c r="C419" s="84" t="n">
        <x:v>1309</x:v>
      </x:c>
      <x:c r="D419" s="89" t="n">
        <x:v>45545.60701388889</x:v>
      </x:c>
      <x:c r="E419" s="84" t="str">
        <x:v>Sensor</x:v>
      </x:c>
      <x:c r="F419" s="84" t="str">
        <x:v>Travamento</x:v>
      </x:c>
      <x:c r="G419" s="84" t="str">
        <x:v>Contaminação</x:v>
      </x:c>
      <x:c r="H419" s="84" t="str">
        <x:v>Média</x:v>
      </x:c>
      <x:c r="I419" s="84" t="n">
        <x:v>0</x:v>
      </x:c>
      <x:c r="J419" s="85" t="n">
        <x:v>1</x:v>
      </x:c>
    </x:row>
    <x:row r="420">
      <x:c r="A420" s="83" t="n">
        <x:v>419</x:v>
      </x:c>
      <x:c r="B420" s="84" t="n">
        <x:v>45</x:v>
      </x:c>
      <x:c r="C420" s="84" t="n">
        <x:v>1311</x:v>
      </x:c>
      <x:c r="D420" s="89" t="n">
        <x:v>45211.89256944445</x:v>
      </x:c>
      <x:c r="E420" s="84" t="str">
        <x:v>Motor</x:v>
      </x:c>
      <x:c r="F420" s="84" t="str">
        <x:v>Curto-circuito</x:v>
      </x:c>
      <x:c r="G420" s="84" t="str">
        <x:v>Componente danificado</x:v>
      </x:c>
      <x:c r="H420" s="84" t="str">
        <x:v>Alta</x:v>
      </x:c>
      <x:c r="I420" s="84" t="n">
        <x:v>1</x:v>
      </x:c>
      <x:c r="J420" s="85" t="n">
        <x:v>1</x:v>
      </x:c>
    </x:row>
    <x:row r="421">
      <x:c r="A421" s="83" t="n">
        <x:v>420</x:v>
      </x:c>
      <x:c r="B421" s="84" t="n">
        <x:v>81</x:v>
      </x:c>
      <x:c r="C421" s="84" t="n">
        <x:v>1312</x:v>
      </x:c>
      <x:c r="D421" s="89" t="n">
        <x:v>45602.43636574074</x:v>
      </x:c>
      <x:c r="E421" s="84" t="str">
        <x:v>CLP</x:v>
      </x:c>
      <x:c r="F421" s="84" t="str">
        <x:v>Quebra</x:v>
      </x:c>
      <x:c r="G421" s="84" t="str">
        <x:v>Desgaste natural</x:v>
      </x:c>
      <x:c r="H421" s="84" t="str">
        <x:v>Alta</x:v>
      </x:c>
      <x:c r="I421" s="84" t="n">
        <x:v>0</x:v>
      </x:c>
      <x:c r="J421" s="85" t="n">
        <x:v>1</x:v>
      </x:c>
    </x:row>
    <x:row r="422">
      <x:c r="A422" s="83" t="n">
        <x:v>421</x:v>
      </x:c>
      <x:c r="B422" s="84" t="n">
        <x:v>85</x:v>
      </x:c>
      <x:c r="C422" s="84" t="n">
        <x:v>1314</x:v>
      </x:c>
      <x:c r="D422" s="89" t="n">
        <x:v>45293.39331018519</x:v>
      </x:c>
      <x:c r="E422" s="84" t="str">
        <x:v>Sensor</x:v>
      </x:c>
      <x:c r="F422" s="84" t="str">
        <x:v>Perda de sinal</x:v>
      </x:c>
      <x:c r="G422" s="84" t="str">
        <x:v>Componente danificado</x:v>
      </x:c>
      <x:c r="H422" s="84" t="str">
        <x:v>Baixa</x:v>
      </x:c>
      <x:c r="I422" s="84" t="n">
        <x:v>0</x:v>
      </x:c>
      <x:c r="J422" s="85" t="n">
        <x:v>1</x:v>
      </x:c>
    </x:row>
    <x:row r="423">
      <x:c r="A423" s="83" t="n">
        <x:v>422</x:v>
      </x:c>
      <x:c r="B423" s="84" t="n">
        <x:v>8</x:v>
      </x:c>
      <x:c r="C423" s="84" t="n">
        <x:v>1318</x:v>
      </x:c>
      <x:c r="D423" s="89" t="n">
        <x:v>45857.16372685185</x:v>
      </x:c>
      <x:c r="E423" s="84" t="str">
        <x:v>Válvula</x:v>
      </x:c>
      <x:c r="F423" s="84" t="str">
        <x:v>Quebra</x:v>
      </x:c>
      <x:c r="G423" s="84" t="str">
        <x:v>Contaminação</x:v>
      </x:c>
      <x:c r="H423" s="84" t="str">
        <x:v>Média</x:v>
      </x:c>
      <x:c r="I423" s="84" t="n">
        <x:v>0</x:v>
      </x:c>
      <x:c r="J423" s="85" t="n">
        <x:v>1</x:v>
      </x:c>
    </x:row>
    <x:row r="424">
      <x:c r="A424" s="83" t="n">
        <x:v>423</x:v>
      </x:c>
      <x:c r="B424" s="84" t="n">
        <x:v>43</x:v>
      </x:c>
      <x:c r="C424" s="84" t="n">
        <x:v>1320</x:v>
      </x:c>
      <x:c r="D424" s="89" t="n">
        <x:v>45318.78226851852</x:v>
      </x:c>
      <x:c r="E424" s="84" t="str">
        <x:v>Válvula</x:v>
      </x:c>
      <x:c r="F424" s="84" t="str">
        <x:v>Travamento</x:v>
      </x:c>
      <x:c r="G424" s="84" t="str">
        <x:v>Contaminação</x:v>
      </x:c>
      <x:c r="H424" s="84" t="str">
        <x:v>Média</x:v>
      </x:c>
      <x:c r="I424" s="84" t="n">
        <x:v>0</x:v>
      </x:c>
      <x:c r="J424" s="85" t="n">
        <x:v>1</x:v>
      </x:c>
    </x:row>
    <x:row r="425">
      <x:c r="A425" s="83" t="n">
        <x:v>424</x:v>
      </x:c>
      <x:c r="B425" s="84" t="n">
        <x:v>1</x:v>
      </x:c>
      <x:c r="C425" s="84" t="n">
        <x:v>1323</x:v>
      </x:c>
      <x:c r="D425" s="89" t="n">
        <x:v>45953.507152777776</x:v>
      </x:c>
      <x:c r="E425" s="84" t="str">
        <x:v>Motor</x:v>
      </x:c>
      <x:c r="F425" s="84" t="str">
        <x:v>Desgaste</x:v>
      </x:c>
      <x:c r="G425" s="84" t="str">
        <x:v>Ajuste incorreto</x:v>
      </x:c>
      <x:c r="H425" s="84" t="str">
        <x:v>Baixa</x:v>
      </x:c>
      <x:c r="I425" s="84" t="n">
        <x:v>0</x:v>
      </x:c>
      <x:c r="J425" s="85" t="n">
        <x:v>1</x:v>
      </x:c>
    </x:row>
    <x:row r="426">
      <x:c r="A426" s="83" t="n">
        <x:v>425</x:v>
      </x:c>
      <x:c r="B426" s="84" t="n">
        <x:v>9</x:v>
      </x:c>
      <x:c r="C426" s="84" t="n">
        <x:v>1324</x:v>
      </x:c>
      <x:c r="D426" s="89" t="n">
        <x:v>45866.635567129626</x:v>
      </x:c>
      <x:c r="E426" s="84" t="str">
        <x:v>Válvula</x:v>
      </x:c>
      <x:c r="F426" s="84" t="str">
        <x:v>Travamento</x:v>
      </x:c>
      <x:c r="G426" s="84" t="str">
        <x:v>Contaminação</x:v>
      </x:c>
      <x:c r="H426" s="84" t="str">
        <x:v>Baixa</x:v>
      </x:c>
      <x:c r="I426" s="84" t="n">
        <x:v>1</x:v>
      </x:c>
      <x:c r="J426" s="85" t="n">
        <x:v>1</x:v>
      </x:c>
    </x:row>
    <x:row r="427">
      <x:c r="A427" s="83" t="n">
        <x:v>426</x:v>
      </x:c>
      <x:c r="B427" s="84" t="n">
        <x:v>78</x:v>
      </x:c>
      <x:c r="C427" s="84" t="n">
        <x:v>1330</x:v>
      </x:c>
      <x:c r="D427" s="89" t="n">
        <x:v>45901.2602662037</x:v>
      </x:c>
      <x:c r="E427" s="84" t="str">
        <x:v>Válvula</x:v>
      </x:c>
      <x:c r="F427" s="84" t="str">
        <x:v>Curto-circuito</x:v>
      </x:c>
      <x:c r="G427" s="84" t="str">
        <x:v>Desgaste natural</x:v>
      </x:c>
      <x:c r="H427" s="84" t="str">
        <x:v>Alta</x:v>
      </x:c>
      <x:c r="I427" s="84" t="n">
        <x:v>0</x:v>
      </x:c>
      <x:c r="J427" s="85" t="n">
        <x:v>1</x:v>
      </x:c>
    </x:row>
    <x:row r="428">
      <x:c r="A428" s="83" t="n">
        <x:v>427</x:v>
      </x:c>
      <x:c r="B428" s="84" t="n">
        <x:v>26</x:v>
      </x:c>
      <x:c r="C428" s="84" t="n">
        <x:v>1331</x:v>
      </x:c>
      <x:c r="D428" s="89" t="n">
        <x:v>45354.64127314815</x:v>
      </x:c>
      <x:c r="E428" s="84" t="str">
        <x:v>Sensor</x:v>
      </x:c>
      <x:c r="F428" s="84" t="str">
        <x:v>Perda de sinal</x:v>
      </x:c>
      <x:c r="G428" s="84" t="str">
        <x:v>Desgaste natural</x:v>
      </x:c>
      <x:c r="H428" s="84" t="str">
        <x:v>Baixa</x:v>
      </x:c>
      <x:c r="I428" s="84" t="n">
        <x:v>0</x:v>
      </x:c>
      <x:c r="J428" s="85" t="n">
        <x:v>1</x:v>
      </x:c>
    </x:row>
    <x:row r="429">
      <x:c r="A429" s="83" t="n">
        <x:v>428</x:v>
      </x:c>
      <x:c r="B429" s="84" t="n">
        <x:v>11</x:v>
      </x:c>
      <x:c r="C429" s="84" t="n">
        <x:v>1332</x:v>
      </x:c>
      <x:c r="D429" s="89" t="n">
        <x:v>45449.20321759259</x:v>
      </x:c>
      <x:c r="E429" s="84" t="str">
        <x:v>Válvula</x:v>
      </x:c>
      <x:c r="F429" s="84" t="str">
        <x:v>Curto-circuito</x:v>
      </x:c>
      <x:c r="G429" s="84" t="str">
        <x:v>Desgaste natural</x:v>
      </x:c>
      <x:c r="H429" s="84" t="str">
        <x:v>Alta</x:v>
      </x:c>
      <x:c r="I429" s="84" t="n">
        <x:v>0</x:v>
      </x:c>
      <x:c r="J429" s="85" t="n">
        <x:v>1</x:v>
      </x:c>
    </x:row>
    <x:row r="430">
      <x:c r="A430" s="83" t="n">
        <x:v>429</x:v>
      </x:c>
      <x:c r="B430" s="84" t="n">
        <x:v>27</x:v>
      </x:c>
      <x:c r="C430" s="84" t="n">
        <x:v>1336</x:v>
      </x:c>
      <x:c r="D430" s="89" t="n">
        <x:v>45391.42471064815</x:v>
      </x:c>
      <x:c r="E430" s="84" t="str">
        <x:v>Correia</x:v>
      </x:c>
      <x:c r="F430" s="84" t="str">
        <x:v>Curto-circuito</x:v>
      </x:c>
      <x:c r="G430" s="84" t="str">
        <x:v>Desgaste natural</x:v>
      </x:c>
      <x:c r="H430" s="84" t="str">
        <x:v>Alta</x:v>
      </x:c>
      <x:c r="I430" s="84" t="n">
        <x:v>0</x:v>
      </x:c>
      <x:c r="J430" s="85" t="n">
        <x:v>1</x:v>
      </x:c>
    </x:row>
    <x:row r="431">
      <x:c r="A431" s="83" t="n">
        <x:v>430</x:v>
      </x:c>
      <x:c r="B431" s="84" t="n">
        <x:v>66</x:v>
      </x:c>
      <x:c r="C431" s="84" t="n">
        <x:v>1339</x:v>
      </x:c>
      <x:c r="D431" s="89" t="n">
        <x:v>45656.10787037037</x:v>
      </x:c>
      <x:c r="E431" s="84" t="str">
        <x:v>Válvula</x:v>
      </x:c>
      <x:c r="F431" s="84" t="str">
        <x:v>Quebra</x:v>
      </x:c>
      <x:c r="G431" s="84" t="str">
        <x:v>Contaminação</x:v>
      </x:c>
      <x:c r="H431" s="84" t="str">
        <x:v>Média</x:v>
      </x:c>
      <x:c r="I431" s="84" t="n">
        <x:v>0</x:v>
      </x:c>
      <x:c r="J431" s="85" t="n">
        <x:v>1</x:v>
      </x:c>
    </x:row>
    <x:row r="432">
      <x:c r="A432" s="83" t="n">
        <x:v>431</x:v>
      </x:c>
      <x:c r="B432" s="84" t="n">
        <x:v>12</x:v>
      </x:c>
      <x:c r="C432" s="84" t="n">
        <x:v>1341</x:v>
      </x:c>
      <x:c r="D432" s="89" t="n">
        <x:v>45333.266689814816</x:v>
      </x:c>
      <x:c r="E432" s="84" t="str">
        <x:v>Motor</x:v>
      </x:c>
      <x:c r="F432" s="84" t="str">
        <x:v>Perda de sinal</x:v>
      </x:c>
      <x:c r="G432" s="84" t="str">
        <x:v>Componente danificado</x:v>
      </x:c>
      <x:c r="H432" s="84" t="str">
        <x:v>Alta</x:v>
      </x:c>
      <x:c r="I432" s="84" t="n">
        <x:v>0</x:v>
      </x:c>
      <x:c r="J432" s="85" t="n">
        <x:v>1</x:v>
      </x:c>
    </x:row>
    <x:row r="433">
      <x:c r="A433" s="83" t="n">
        <x:v>432</x:v>
      </x:c>
      <x:c r="B433" s="84" t="n">
        <x:v>23</x:v>
      </x:c>
      <x:c r="C433" s="84" t="n">
        <x:v>1347</x:v>
      </x:c>
      <x:c r="D433" s="89" t="n">
        <x:v>45118.094664351855</x:v>
      </x:c>
      <x:c r="E433" s="84" t="str">
        <x:v>Sensor</x:v>
      </x:c>
      <x:c r="F433" s="84" t="str">
        <x:v>Curto-circuito</x:v>
      </x:c>
      <x:c r="G433" s="84" t="str">
        <x:v>Falta de lubrificação</x:v>
      </x:c>
      <x:c r="H433" s="84" t="str">
        <x:v>Média</x:v>
      </x:c>
      <x:c r="I433" s="84" t="n">
        <x:v>0</x:v>
      </x:c>
      <x:c r="J433" s="85" t="n">
        <x:v>1</x:v>
      </x:c>
    </x:row>
    <x:row r="434">
      <x:c r="A434" s="83" t="n">
        <x:v>433</x:v>
      </x:c>
      <x:c r="B434" s="84" t="n">
        <x:v>64</x:v>
      </x:c>
      <x:c r="C434" s="84" t="n">
        <x:v>1350</x:v>
      </x:c>
      <x:c r="D434" s="89" t="n">
        <x:v>45512.878796296296</x:v>
      </x:c>
      <x:c r="E434" s="84" t="str">
        <x:v>Rolamento</x:v>
      </x:c>
      <x:c r="F434" s="84" t="str">
        <x:v>Curto-circuito</x:v>
      </x:c>
      <x:c r="G434" s="84" t="str">
        <x:v>Desgaste natural</x:v>
      </x:c>
      <x:c r="H434" s="84" t="str">
        <x:v>Baixa</x:v>
      </x:c>
      <x:c r="I434" s="84" t="n">
        <x:v>0</x:v>
      </x:c>
      <x:c r="J434" s="85" t="n">
        <x:v>1</x:v>
      </x:c>
    </x:row>
    <x:row r="435">
      <x:c r="A435" s="83" t="n">
        <x:v>434</x:v>
      </x:c>
      <x:c r="B435" s="84" t="n">
        <x:v>78</x:v>
      </x:c>
      <x:c r="C435" s="84" t="n">
        <x:v>1354</x:v>
      </x:c>
      <x:c r="D435" s="89" t="n">
        <x:v>45546.706412037034</x:v>
      </x:c>
      <x:c r="E435" s="84" t="str">
        <x:v>Válvula</x:v>
      </x:c>
      <x:c r="F435" s="84" t="str">
        <x:v>Travamento</x:v>
      </x:c>
      <x:c r="G435" s="84" t="str">
        <x:v>Contaminação</x:v>
      </x:c>
      <x:c r="H435" s="84" t="str">
        <x:v>Alta</x:v>
      </x:c>
      <x:c r="I435" s="84" t="n">
        <x:v>0</x:v>
      </x:c>
      <x:c r="J435" s="85" t="n">
        <x:v>1</x:v>
      </x:c>
    </x:row>
    <x:row r="436">
      <x:c r="A436" s="83" t="n">
        <x:v>435</x:v>
      </x:c>
      <x:c r="B436" s="84" t="n">
        <x:v>7</x:v>
      </x:c>
      <x:c r="C436" s="84" t="n">
        <x:v>1357</x:v>
      </x:c>
      <x:c r="D436" s="89" t="n">
        <x:v>45745.20552083333</x:v>
      </x:c>
      <x:c r="E436" s="84" t="str">
        <x:v>Correia</x:v>
      </x:c>
      <x:c r="F436" s="84" t="str">
        <x:v>Travamento</x:v>
      </x:c>
      <x:c r="G436" s="84" t="str">
        <x:v>Desgaste natural</x:v>
      </x:c>
      <x:c r="H436" s="84" t="str">
        <x:v>Alta</x:v>
      </x:c>
      <x:c r="I436" s="84" t="n">
        <x:v>1</x:v>
      </x:c>
      <x:c r="J436" s="85" t="n">
        <x:v>1</x:v>
      </x:c>
    </x:row>
    <x:row r="437">
      <x:c r="A437" s="83" t="n">
        <x:v>436</x:v>
      </x:c>
      <x:c r="B437" s="84" t="n">
        <x:v>9</x:v>
      </x:c>
      <x:c r="C437" s="84" t="n">
        <x:v>1359</x:v>
      </x:c>
      <x:c r="D437" s="89" t="n">
        <x:v>45540.47222222222</x:v>
      </x:c>
      <x:c r="E437" s="84" t="str">
        <x:v>Motor</x:v>
      </x:c>
      <x:c r="F437" s="84" t="str">
        <x:v>Desgaste</x:v>
      </x:c>
      <x:c r="G437" s="84" t="str">
        <x:v>Desgaste natural</x:v>
      </x:c>
      <x:c r="H437" s="84" t="str">
        <x:v>Média</x:v>
      </x:c>
      <x:c r="I437" s="84" t="n">
        <x:v>0</x:v>
      </x:c>
      <x:c r="J437" s="85" t="n">
        <x:v>1</x:v>
      </x:c>
    </x:row>
    <x:row r="438">
      <x:c r="A438" s="83" t="n">
        <x:v>437</x:v>
      </x:c>
      <x:c r="B438" s="84" t="n">
        <x:v>50</x:v>
      </x:c>
      <x:c r="C438" s="84" t="n">
        <x:v>1360</x:v>
      </x:c>
      <x:c r="D438" s="89" t="n">
        <x:v>45816.514236111114</x:v>
      </x:c>
      <x:c r="E438" s="84" t="str">
        <x:v>Válvula</x:v>
      </x:c>
      <x:c r="F438" s="84" t="str">
        <x:v>Perda de sinal</x:v>
      </x:c>
      <x:c r="G438" s="84" t="str">
        <x:v>Conexão frouxa</x:v>
      </x:c>
      <x:c r="H438" s="84" t="str">
        <x:v>Média</x:v>
      </x:c>
      <x:c r="I438" s="84" t="n">
        <x:v>0</x:v>
      </x:c>
      <x:c r="J438" s="85" t="n">
        <x:v>1</x:v>
      </x:c>
    </x:row>
    <x:row r="439">
      <x:c r="A439" s="83" t="n">
        <x:v>438</x:v>
      </x:c>
      <x:c r="B439" s="84" t="n">
        <x:v>69</x:v>
      </x:c>
      <x:c r="C439" s="84" t="n">
        <x:v>1367</x:v>
      </x:c>
      <x:c r="D439" s="89" t="n">
        <x:v>45652.11891203704</x:v>
      </x:c>
      <x:c r="E439" s="84" t="str">
        <x:v>Sensor</x:v>
      </x:c>
      <x:c r="F439" s="84" t="str">
        <x:v>Curto-circuito</x:v>
      </x:c>
      <x:c r="G439" s="84" t="str">
        <x:v>Componente danificado</x:v>
      </x:c>
      <x:c r="H439" s="84" t="str">
        <x:v>Média</x:v>
      </x:c>
      <x:c r="I439" s="84" t="n">
        <x:v>0</x:v>
      </x:c>
      <x:c r="J439" s="85" t="n">
        <x:v>1</x:v>
      </x:c>
    </x:row>
    <x:row r="440">
      <x:c r="A440" s="83" t="n">
        <x:v>439</x:v>
      </x:c>
      <x:c r="B440" s="84" t="n">
        <x:v>80</x:v>
      </x:c>
      <x:c r="C440" s="84" t="n">
        <x:v>1368</x:v>
      </x:c>
      <x:c r="D440" s="89" t="n">
        <x:v>45475.470972222225</x:v>
      </x:c>
      <x:c r="E440" s="84" t="str">
        <x:v>Sensor</x:v>
      </x:c>
      <x:c r="F440" s="84" t="str">
        <x:v>Travamento</x:v>
      </x:c>
      <x:c r="G440" s="84" t="str">
        <x:v>Conexão frouxa</x:v>
      </x:c>
      <x:c r="H440" s="84" t="str">
        <x:v>Alta</x:v>
      </x:c>
      <x:c r="I440" s="84" t="n">
        <x:v>0</x:v>
      </x:c>
      <x:c r="J440" s="85" t="n">
        <x:v>1</x:v>
      </x:c>
    </x:row>
    <x:row r="441">
      <x:c r="A441" s="83" t="n">
        <x:v>440</x:v>
      </x:c>
      <x:c r="B441" s="84" t="n">
        <x:v>2</x:v>
      </x:c>
      <x:c r="C441" s="84" t="n">
        <x:v>1369</x:v>
      </x:c>
      <x:c r="D441" s="89" t="n">
        <x:v>45838.86146990741</x:v>
      </x:c>
      <x:c r="E441" s="84" t="str">
        <x:v>Sensor</x:v>
      </x:c>
      <x:c r="F441" s="84" t="str">
        <x:v>Perda de sinal</x:v>
      </x:c>
      <x:c r="G441" s="84" t="str">
        <x:v>Ajuste incorreto</x:v>
      </x:c>
      <x:c r="H441" s="84" t="str">
        <x:v>Média</x:v>
      </x:c>
      <x:c r="I441" s="84" t="n">
        <x:v>1</x:v>
      </x:c>
      <x:c r="J441" s="85" t="n">
        <x:v>1</x:v>
      </x:c>
    </x:row>
    <x:row r="442">
      <x:c r="A442" s="83" t="n">
        <x:v>441</x:v>
      </x:c>
      <x:c r="B442" s="84" t="n">
        <x:v>52</x:v>
      </x:c>
      <x:c r="C442" s="84" t="n">
        <x:v>1378</x:v>
      </x:c>
      <x:c r="D442" s="89" t="n">
        <x:v>45675.07304398148</x:v>
      </x:c>
      <x:c r="E442" s="84" t="str">
        <x:v>Motor</x:v>
      </x:c>
      <x:c r="F442" s="84" t="str">
        <x:v>Curto-circuito</x:v>
      </x:c>
      <x:c r="G442" s="84" t="str">
        <x:v>Desgaste natural</x:v>
      </x:c>
      <x:c r="H442" s="84" t="str">
        <x:v>Média</x:v>
      </x:c>
      <x:c r="I442" s="84" t="n">
        <x:v>1</x:v>
      </x:c>
      <x:c r="J442" s="85" t="n">
        <x:v>1</x:v>
      </x:c>
    </x:row>
    <x:row r="443">
      <x:c r="A443" s="83" t="n">
        <x:v>442</x:v>
      </x:c>
      <x:c r="B443" s="84" t="n">
        <x:v>7</x:v>
      </x:c>
      <x:c r="C443" s="84" t="n">
        <x:v>1380</x:v>
      </x:c>
      <x:c r="D443" s="89" t="n">
        <x:v>45812.02501157407</x:v>
      </x:c>
      <x:c r="E443" s="84" t="str">
        <x:v>Válvula</x:v>
      </x:c>
      <x:c r="F443" s="84" t="str">
        <x:v>Perda de sinal</x:v>
      </x:c>
      <x:c r="G443" s="84" t="str">
        <x:v>Ajuste incorreto</x:v>
      </x:c>
      <x:c r="H443" s="84" t="str">
        <x:v>Alta</x:v>
      </x:c>
      <x:c r="I443" s="84" t="n">
        <x:v>1</x:v>
      </x:c>
      <x:c r="J443" s="85" t="n">
        <x:v>1</x:v>
      </x:c>
    </x:row>
    <x:row r="444">
      <x:c r="A444" s="83" t="n">
        <x:v>443</x:v>
      </x:c>
      <x:c r="B444" s="84" t="n">
        <x:v>32</x:v>
      </x:c>
      <x:c r="C444" s="84" t="n">
        <x:v>1382</x:v>
      </x:c>
      <x:c r="D444" s="89" t="n">
        <x:v>45003.943715277775</x:v>
      </x:c>
      <x:c r="E444" s="84" t="str">
        <x:v>Rolamento</x:v>
      </x:c>
      <x:c r="F444" s="84" t="str">
        <x:v>Perda de sinal</x:v>
      </x:c>
      <x:c r="G444" s="84" t="str">
        <x:v>Contaminação</x:v>
      </x:c>
      <x:c r="H444" s="84" t="str">
        <x:v>Baixa</x:v>
      </x:c>
      <x:c r="I444" s="84" t="n">
        <x:v>0</x:v>
      </x:c>
      <x:c r="J444" s="85" t="n">
        <x:v>1</x:v>
      </x:c>
    </x:row>
    <x:row r="445">
      <x:c r="A445" s="83" t="n">
        <x:v>444</x:v>
      </x:c>
      <x:c r="B445" s="84" t="n">
        <x:v>61</x:v>
      </x:c>
      <x:c r="C445" s="84" t="n">
        <x:v>1383</x:v>
      </x:c>
      <x:c r="D445" s="89" t="n">
        <x:v>45993.736180555556</x:v>
      </x:c>
      <x:c r="E445" s="84" t="str">
        <x:v>Válvula</x:v>
      </x:c>
      <x:c r="F445" s="84" t="str">
        <x:v>Perda de sinal</x:v>
      </x:c>
      <x:c r="G445" s="84" t="str">
        <x:v>Desgaste natural</x:v>
      </x:c>
      <x:c r="H445" s="84" t="str">
        <x:v>Alta</x:v>
      </x:c>
      <x:c r="I445" s="84" t="n">
        <x:v>1</x:v>
      </x:c>
      <x:c r="J445" s="85" t="n">
        <x:v>1</x:v>
      </x:c>
    </x:row>
    <x:row r="446">
      <x:c r="A446" s="83" t="n">
        <x:v>445</x:v>
      </x:c>
      <x:c r="B446" s="84" t="n">
        <x:v>45</x:v>
      </x:c>
      <x:c r="C446" s="84" t="n">
        <x:v>1385</x:v>
      </x:c>
      <x:c r="D446" s="89" t="n">
        <x:v>45592.80042824074</x:v>
      </x:c>
      <x:c r="E446" s="84" t="str">
        <x:v>Correia</x:v>
      </x:c>
      <x:c r="F446" s="84" t="str">
        <x:v>Desgaste</x:v>
      </x:c>
      <x:c r="G446" s="84" t="str">
        <x:v>Desgaste natural</x:v>
      </x:c>
      <x:c r="H446" s="84" t="str">
        <x:v>Baixa</x:v>
      </x:c>
      <x:c r="I446" s="84" t="n">
        <x:v>0</x:v>
      </x:c>
      <x:c r="J446" s="85" t="n">
        <x:v>1</x:v>
      </x:c>
    </x:row>
    <x:row r="447">
      <x:c r="A447" s="83" t="n">
        <x:v>446</x:v>
      </x:c>
      <x:c r="B447" s="84" t="n">
        <x:v>5</x:v>
      </x:c>
      <x:c r="C447" s="84" t="n">
        <x:v>1390</x:v>
      </x:c>
      <x:c r="D447" s="89" t="n">
        <x:v>45987.07648148148</x:v>
      </x:c>
      <x:c r="E447" s="84" t="str">
        <x:v>Válvula</x:v>
      </x:c>
      <x:c r="F447" s="84" t="str">
        <x:v>Travamento</x:v>
      </x:c>
      <x:c r="G447" s="84" t="str">
        <x:v>Componente danificado</x:v>
      </x:c>
      <x:c r="H447" s="84" t="str">
        <x:v>Média</x:v>
      </x:c>
      <x:c r="I447" s="84" t="n">
        <x:v>0</x:v>
      </x:c>
      <x:c r="J447" s="85" t="n">
        <x:v>1</x:v>
      </x:c>
    </x:row>
    <x:row r="448">
      <x:c r="A448" s="83" t="n">
        <x:v>447</x:v>
      </x:c>
      <x:c r="B448" s="84" t="n">
        <x:v>52</x:v>
      </x:c>
      <x:c r="C448" s="84" t="n">
        <x:v>1391</x:v>
      </x:c>
      <x:c r="D448" s="89" t="n">
        <x:v>45340.038611111115</x:v>
      </x:c>
      <x:c r="E448" s="84" t="str">
        <x:v>Correia</x:v>
      </x:c>
      <x:c r="F448" s="84" t="str">
        <x:v>Quebra</x:v>
      </x:c>
      <x:c r="G448" s="84" t="str">
        <x:v>Ajuste incorreto</x:v>
      </x:c>
      <x:c r="H448" s="84" t="str">
        <x:v>Baixa</x:v>
      </x:c>
      <x:c r="I448" s="84" t="n">
        <x:v>0</x:v>
      </x:c>
      <x:c r="J448" s="85" t="n">
        <x:v>1</x:v>
      </x:c>
    </x:row>
    <x:row r="449">
      <x:c r="A449" s="83" t="n">
        <x:v>448</x:v>
      </x:c>
      <x:c r="B449" s="84" t="n">
        <x:v>72</x:v>
      </x:c>
      <x:c r="C449" s="84" t="n">
        <x:v>1393</x:v>
      </x:c>
      <x:c r="D449" s="89" t="n">
        <x:v>45306.65923611111</x:v>
      </x:c>
      <x:c r="E449" s="84" t="str">
        <x:v>Correia</x:v>
      </x:c>
      <x:c r="F449" s="84" t="str">
        <x:v>Desgaste</x:v>
      </x:c>
      <x:c r="G449" s="84" t="str">
        <x:v>Componente danificado</x:v>
      </x:c>
      <x:c r="H449" s="84" t="str">
        <x:v>Baixa</x:v>
      </x:c>
      <x:c r="I449" s="84" t="n">
        <x:v>0</x:v>
      </x:c>
      <x:c r="J449" s="85" t="n">
        <x:v>1</x:v>
      </x:c>
    </x:row>
    <x:row r="450">
      <x:c r="A450" s="83" t="n">
        <x:v>449</x:v>
      </x:c>
      <x:c r="B450" s="84" t="n">
        <x:v>10</x:v>
      </x:c>
      <x:c r="C450" s="84" t="n">
        <x:v>1394</x:v>
      </x:c>
      <x:c r="D450" s="89" t="n">
        <x:v>45015.48306712963</x:v>
      </x:c>
      <x:c r="E450" s="84" t="str">
        <x:v>Motor</x:v>
      </x:c>
      <x:c r="F450" s="84" t="str">
        <x:v>Perda de sinal</x:v>
      </x:c>
      <x:c r="G450" s="84" t="str">
        <x:v>Contaminação</x:v>
      </x:c>
      <x:c r="H450" s="84" t="str">
        <x:v>Baixa</x:v>
      </x:c>
      <x:c r="I450" s="84" t="n">
        <x:v>1</x:v>
      </x:c>
      <x:c r="J450" s="85" t="n">
        <x:v>1</x:v>
      </x:c>
    </x:row>
    <x:row r="451">
      <x:c r="A451" s="83" t="n">
        <x:v>450</x:v>
      </x:c>
      <x:c r="B451" s="84" t="n">
        <x:v>13</x:v>
      </x:c>
      <x:c r="C451" s="84" t="n">
        <x:v>1395</x:v>
      </x:c>
      <x:c r="D451" s="89" t="n">
        <x:v>45312.77978009259</x:v>
      </x:c>
      <x:c r="E451" s="84" t="str">
        <x:v>CLP</x:v>
      </x:c>
      <x:c r="F451" s="84" t="str">
        <x:v>Quebra</x:v>
      </x:c>
      <x:c r="G451" s="84" t="str">
        <x:v>Ajuste incorreto</x:v>
      </x:c>
      <x:c r="H451" s="84" t="str">
        <x:v>Alta</x:v>
      </x:c>
      <x:c r="I451" s="84" t="n">
        <x:v>0</x:v>
      </x:c>
      <x:c r="J451" s="85" t="n">
        <x:v>1</x:v>
      </x:c>
    </x:row>
    <x:row r="452">
      <x:c r="A452" s="83" t="n">
        <x:v>451</x:v>
      </x:c>
      <x:c r="B452" s="84" t="n">
        <x:v>43</x:v>
      </x:c>
      <x:c r="C452" s="84" t="n">
        <x:v>1397</x:v>
      </x:c>
      <x:c r="D452" s="89" t="n">
        <x:v>45088.37363425926</x:v>
      </x:c>
      <x:c r="E452" s="84" t="str">
        <x:v>Rolamento</x:v>
      </x:c>
      <x:c r="F452" s="84" t="str">
        <x:v>Perda de sinal</x:v>
      </x:c>
      <x:c r="G452" s="84" t="str">
        <x:v>Componente danificado</x:v>
      </x:c>
      <x:c r="H452" s="84" t="str">
        <x:v>Baixa</x:v>
      </x:c>
      <x:c r="I452" s="84" t="n">
        <x:v>1</x:v>
      </x:c>
      <x:c r="J452" s="85" t="n">
        <x:v>1</x:v>
      </x:c>
    </x:row>
    <x:row r="453">
      <x:c r="A453" s="83" t="n">
        <x:v>452</x:v>
      </x:c>
      <x:c r="B453" s="84" t="n">
        <x:v>10</x:v>
      </x:c>
      <x:c r="C453" s="84" t="n">
        <x:v>1399</x:v>
      </x:c>
      <x:c r="D453" s="89" t="n">
        <x:v>45914.374872685185</x:v>
      </x:c>
      <x:c r="E453" s="84" t="str">
        <x:v>Correia</x:v>
      </x:c>
      <x:c r="F453" s="84" t="str">
        <x:v>Curto-circuito</x:v>
      </x:c>
      <x:c r="G453" s="84" t="str">
        <x:v>Ajuste incorreto</x:v>
      </x:c>
      <x:c r="H453" s="84" t="str">
        <x:v>Média</x:v>
      </x:c>
      <x:c r="I453" s="84" t="n">
        <x:v>0</x:v>
      </x:c>
      <x:c r="J453" s="85" t="n">
        <x:v>1</x:v>
      </x:c>
    </x:row>
    <x:row r="454">
      <x:c r="A454" s="83" t="n">
        <x:v>453</x:v>
      </x:c>
      <x:c r="B454" s="84" t="n">
        <x:v>24</x:v>
      </x:c>
      <x:c r="C454" s="84" t="n">
        <x:v>1400</x:v>
      </x:c>
      <x:c r="D454" s="89" t="n">
        <x:v>45098.115324074075</x:v>
      </x:c>
      <x:c r="E454" s="84" t="str">
        <x:v>Correia</x:v>
      </x:c>
      <x:c r="F454" s="84" t="str">
        <x:v>Perda de sinal</x:v>
      </x:c>
      <x:c r="G454" s="84" t="str">
        <x:v>Falta de lubrificação</x:v>
      </x:c>
      <x:c r="H454" s="84" t="str">
        <x:v>Média</x:v>
      </x:c>
      <x:c r="I454" s="84" t="n">
        <x:v>0</x:v>
      </x:c>
      <x:c r="J454" s="85" t="n">
        <x:v>1</x:v>
      </x:c>
    </x:row>
    <x:row r="455">
      <x:c r="A455" s="83" t="n">
        <x:v>454</x:v>
      </x:c>
      <x:c r="B455" s="84" t="n">
        <x:v>55</x:v>
      </x:c>
      <x:c r="C455" s="84" t="n">
        <x:v>1401</x:v>
      </x:c>
      <x:c r="D455" s="89" t="n">
        <x:v>45141.612662037034</x:v>
      </x:c>
      <x:c r="E455" s="84" t="str">
        <x:v>Válvula</x:v>
      </x:c>
      <x:c r="F455" s="84" t="str">
        <x:v>Travamento</x:v>
      </x:c>
      <x:c r="G455" s="84" t="str">
        <x:v>Contaminação</x:v>
      </x:c>
      <x:c r="H455" s="84" t="str">
        <x:v>Baixa</x:v>
      </x:c>
      <x:c r="I455" s="84" t="n">
        <x:v>0</x:v>
      </x:c>
      <x:c r="J455" s="85" t="n">
        <x:v>1</x:v>
      </x:c>
    </x:row>
    <x:row r="456">
      <x:c r="A456" s="83" t="n">
        <x:v>455</x:v>
      </x:c>
      <x:c r="B456" s="84" t="n">
        <x:v>8</x:v>
      </x:c>
      <x:c r="C456" s="84" t="n">
        <x:v>1402</x:v>
      </x:c>
      <x:c r="D456" s="89" t="n">
        <x:v>45910.10878472222</x:v>
      </x:c>
      <x:c r="E456" s="84" t="str">
        <x:v>Motor</x:v>
      </x:c>
      <x:c r="F456" s="84" t="str">
        <x:v>Travamento</x:v>
      </x:c>
      <x:c r="G456" s="84" t="str">
        <x:v>Ajuste incorreto</x:v>
      </x:c>
      <x:c r="H456" s="84" t="str">
        <x:v>Alta</x:v>
      </x:c>
      <x:c r="I456" s="84" t="n">
        <x:v>0</x:v>
      </x:c>
      <x:c r="J456" s="85" t="n">
        <x:v>1</x:v>
      </x:c>
    </x:row>
    <x:row r="457">
      <x:c r="A457" s="83" t="n">
        <x:v>456</x:v>
      </x:c>
      <x:c r="B457" s="84" t="n">
        <x:v>10</x:v>
      </x:c>
      <x:c r="C457" s="84" t="n">
        <x:v>1404</x:v>
      </x:c>
      <x:c r="D457" s="89" t="n">
        <x:v>45580.87201388889</x:v>
      </x:c>
      <x:c r="E457" s="84" t="str">
        <x:v>CLP</x:v>
      </x:c>
      <x:c r="F457" s="84" t="str">
        <x:v>Perda de sinal</x:v>
      </x:c>
      <x:c r="G457" s="84" t="str">
        <x:v>Falta de lubrificação</x:v>
      </x:c>
      <x:c r="H457" s="84" t="str">
        <x:v>Média</x:v>
      </x:c>
      <x:c r="I457" s="84" t="n">
        <x:v>1</x:v>
      </x:c>
      <x:c r="J457" s="85" t="n">
        <x:v>1</x:v>
      </x:c>
    </x:row>
    <x:row r="458">
      <x:c r="A458" s="83" t="n">
        <x:v>457</x:v>
      </x:c>
      <x:c r="B458" s="84" t="n">
        <x:v>47</x:v>
      </x:c>
      <x:c r="C458" s="84" t="n">
        <x:v>1405</x:v>
      </x:c>
      <x:c r="D458" s="89" t="n">
        <x:v>44945.02667824074</x:v>
      </x:c>
      <x:c r="E458" s="84" t="str">
        <x:v>Válvula</x:v>
      </x:c>
      <x:c r="F458" s="84" t="str">
        <x:v>Perda de sinal</x:v>
      </x:c>
      <x:c r="G458" s="84" t="str">
        <x:v>Conexão frouxa</x:v>
      </x:c>
      <x:c r="H458" s="84" t="str">
        <x:v>Baixa</x:v>
      </x:c>
      <x:c r="I458" s="84" t="n">
        <x:v>1</x:v>
      </x:c>
      <x:c r="J458" s="85" t="n">
        <x:v>1</x:v>
      </x:c>
    </x:row>
    <x:row r="459">
      <x:c r="A459" s="83" t="n">
        <x:v>458</x:v>
      </x:c>
      <x:c r="B459" s="84" t="n">
        <x:v>28</x:v>
      </x:c>
      <x:c r="C459" s="84" t="n">
        <x:v>1407</x:v>
      </x:c>
      <x:c r="D459" s="89" t="n">
        <x:v>45381.77736111111</x:v>
      </x:c>
      <x:c r="E459" s="84" t="str">
        <x:v>Motor</x:v>
      </x:c>
      <x:c r="F459" s="84" t="str">
        <x:v>Travamento</x:v>
      </x:c>
      <x:c r="G459" s="84" t="str">
        <x:v>Conexão frouxa</x:v>
      </x:c>
      <x:c r="H459" s="84" t="str">
        <x:v>Média</x:v>
      </x:c>
      <x:c r="I459" s="84" t="n">
        <x:v>1</x:v>
      </x:c>
      <x:c r="J459" s="85" t="n">
        <x:v>1</x:v>
      </x:c>
    </x:row>
    <x:row r="460">
      <x:c r="A460" s="83" t="n">
        <x:v>459</x:v>
      </x:c>
      <x:c r="B460" s="84" t="n">
        <x:v>7</x:v>
      </x:c>
      <x:c r="C460" s="84" t="n">
        <x:v>1408</x:v>
      </x:c>
      <x:c r="D460" s="89" t="n">
        <x:v>44940.91363425926</x:v>
      </x:c>
      <x:c r="E460" s="84" t="str">
        <x:v>Correia</x:v>
      </x:c>
      <x:c r="F460" s="84" t="str">
        <x:v>Curto-circuito</x:v>
      </x:c>
      <x:c r="G460" s="84" t="str">
        <x:v>Ajuste incorreto</x:v>
      </x:c>
      <x:c r="H460" s="84" t="str">
        <x:v>Alta</x:v>
      </x:c>
      <x:c r="I460" s="84" t="n">
        <x:v>0</x:v>
      </x:c>
      <x:c r="J460" s="85" t="n">
        <x:v>1</x:v>
      </x:c>
    </x:row>
    <x:row r="461">
      <x:c r="A461" s="83" t="n">
        <x:v>460</x:v>
      </x:c>
      <x:c r="B461" s="84" t="n">
        <x:v>81</x:v>
      </x:c>
      <x:c r="C461" s="84" t="n">
        <x:v>1409</x:v>
      </x:c>
      <x:c r="D461" s="89" t="n">
        <x:v>45763.5366087963</x:v>
      </x:c>
      <x:c r="E461" s="84" t="str">
        <x:v>Correia</x:v>
      </x:c>
      <x:c r="F461" s="84" t="str">
        <x:v>Desgaste</x:v>
      </x:c>
      <x:c r="G461" s="84" t="str">
        <x:v>Conexão frouxa</x:v>
      </x:c>
      <x:c r="H461" s="84" t="str">
        <x:v>Alta</x:v>
      </x:c>
      <x:c r="I461" s="84" t="n">
        <x:v>1</x:v>
      </x:c>
      <x:c r="J461" s="85" t="n">
        <x:v>1</x:v>
      </x:c>
    </x:row>
    <x:row r="462">
      <x:c r="A462" s="83" t="n">
        <x:v>461</x:v>
      </x:c>
      <x:c r="B462" s="84" t="n">
        <x:v>5</x:v>
      </x:c>
      <x:c r="C462" s="84" t="n">
        <x:v>1410</x:v>
      </x:c>
      <x:c r="D462" s="89" t="n">
        <x:v>45492.75576388889</x:v>
      </x:c>
      <x:c r="E462" s="84" t="str">
        <x:v>Motor</x:v>
      </x:c>
      <x:c r="F462" s="84" t="str">
        <x:v>Curto-circuito</x:v>
      </x:c>
      <x:c r="G462" s="84" t="str">
        <x:v>Desgaste natural</x:v>
      </x:c>
      <x:c r="H462" s="84" t="str">
        <x:v>Média</x:v>
      </x:c>
      <x:c r="I462" s="84" t="n">
        <x:v>0</x:v>
      </x:c>
      <x:c r="J462" s="85" t="n">
        <x:v>1</x:v>
      </x:c>
    </x:row>
    <x:row r="463">
      <x:c r="A463" s="83" t="n">
        <x:v>462</x:v>
      </x:c>
      <x:c r="B463" s="84" t="n">
        <x:v>51</x:v>
      </x:c>
      <x:c r="C463" s="84" t="n">
        <x:v>1411</x:v>
      </x:c>
      <x:c r="D463" s="89" t="n">
        <x:v>45874.53346064815</x:v>
      </x:c>
      <x:c r="E463" s="84" t="str">
        <x:v>Válvula</x:v>
      </x:c>
      <x:c r="F463" s="84" t="str">
        <x:v>Quebra</x:v>
      </x:c>
      <x:c r="G463" s="84" t="str">
        <x:v>Ajuste incorreto</x:v>
      </x:c>
      <x:c r="H463" s="84" t="str">
        <x:v>Baixa</x:v>
      </x:c>
      <x:c r="I463" s="84" t="n">
        <x:v>0</x:v>
      </x:c>
      <x:c r="J463" s="85" t="n">
        <x:v>1</x:v>
      </x:c>
    </x:row>
    <x:row r="464">
      <x:c r="A464" s="83" t="n">
        <x:v>463</x:v>
      </x:c>
      <x:c r="B464" s="84" t="n">
        <x:v>61</x:v>
      </x:c>
      <x:c r="C464" s="84" t="n">
        <x:v>1413</x:v>
      </x:c>
      <x:c r="D464" s="89" t="n">
        <x:v>45704.5221875</x:v>
      </x:c>
      <x:c r="E464" s="84" t="str">
        <x:v>Válvula</x:v>
      </x:c>
      <x:c r="F464" s="84" t="str">
        <x:v>Perda de sinal</x:v>
      </x:c>
      <x:c r="G464" s="84" t="str">
        <x:v>Conexão frouxa</x:v>
      </x:c>
      <x:c r="H464" s="84" t="str">
        <x:v>Baixa</x:v>
      </x:c>
      <x:c r="I464" s="84" t="n">
        <x:v>0</x:v>
      </x:c>
      <x:c r="J464" s="85" t="n">
        <x:v>1</x:v>
      </x:c>
    </x:row>
    <x:row r="465">
      <x:c r="A465" s="83" t="n">
        <x:v>464</x:v>
      </x:c>
      <x:c r="B465" s="84" t="n">
        <x:v>10</x:v>
      </x:c>
      <x:c r="C465" s="84" t="n">
        <x:v>1415</x:v>
      </x:c>
      <x:c r="D465" s="89" t="n">
        <x:v>45373.79148148148</x:v>
      </x:c>
      <x:c r="E465" s="84" t="str">
        <x:v>CLP</x:v>
      </x:c>
      <x:c r="F465" s="84" t="str">
        <x:v>Curto-circuito</x:v>
      </x:c>
      <x:c r="G465" s="84" t="str">
        <x:v>Conexão frouxa</x:v>
      </x:c>
      <x:c r="H465" s="84" t="str">
        <x:v>Média</x:v>
      </x:c>
      <x:c r="I465" s="84" t="n">
        <x:v>0</x:v>
      </x:c>
      <x:c r="J465" s="85" t="n">
        <x:v>1</x:v>
      </x:c>
    </x:row>
    <x:row r="466">
      <x:c r="A466" s="83" t="n">
        <x:v>465</x:v>
      </x:c>
      <x:c r="B466" s="84" t="n">
        <x:v>48</x:v>
      </x:c>
      <x:c r="C466" s="84" t="n">
        <x:v>1417</x:v>
      </x:c>
      <x:c r="D466" s="89" t="n">
        <x:v>45976.177407407406</x:v>
      </x:c>
      <x:c r="E466" s="84" t="str">
        <x:v>Motor</x:v>
      </x:c>
      <x:c r="F466" s="84" t="str">
        <x:v>Perda de sinal</x:v>
      </x:c>
      <x:c r="G466" s="84" t="str">
        <x:v>Falta de lubrificação</x:v>
      </x:c>
      <x:c r="H466" s="84" t="str">
        <x:v>Alta</x:v>
      </x:c>
      <x:c r="I466" s="84" t="n">
        <x:v>0</x:v>
      </x:c>
      <x:c r="J466" s="85" t="n">
        <x:v>1</x:v>
      </x:c>
    </x:row>
    <x:row r="467">
      <x:c r="A467" s="83" t="n">
        <x:v>466</x:v>
      </x:c>
      <x:c r="B467" s="84" t="n">
        <x:v>85</x:v>
      </x:c>
      <x:c r="C467" s="84" t="n">
        <x:v>1419</x:v>
      </x:c>
      <x:c r="D467" s="89" t="n">
        <x:v>45526.53086805555</x:v>
      </x:c>
      <x:c r="E467" s="84" t="str">
        <x:v>CLP</x:v>
      </x:c>
      <x:c r="F467" s="84" t="str">
        <x:v>Desgaste</x:v>
      </x:c>
      <x:c r="G467" s="84" t="str">
        <x:v>Conexão frouxa</x:v>
      </x:c>
      <x:c r="H467" s="84" t="str">
        <x:v>Baixa</x:v>
      </x:c>
      <x:c r="I467" s="84" t="n">
        <x:v>0</x:v>
      </x:c>
      <x:c r="J467" s="85" t="n">
        <x:v>1</x:v>
      </x:c>
    </x:row>
    <x:row r="468">
      <x:c r="A468" s="83" t="n">
        <x:v>467</x:v>
      </x:c>
      <x:c r="B468" s="84" t="n">
        <x:v>72</x:v>
      </x:c>
      <x:c r="C468" s="84" t="n">
        <x:v>1420</x:v>
      </x:c>
      <x:c r="D468" s="89" t="n">
        <x:v>45879.76211805556</x:v>
      </x:c>
      <x:c r="E468" s="84" t="str">
        <x:v>CLP</x:v>
      </x:c>
      <x:c r="F468" s="84" t="str">
        <x:v>Desgaste</x:v>
      </x:c>
      <x:c r="G468" s="84" t="str">
        <x:v>Desgaste natural</x:v>
      </x:c>
      <x:c r="H468" s="84" t="str">
        <x:v>Baixa</x:v>
      </x:c>
      <x:c r="I468" s="84" t="n">
        <x:v>0</x:v>
      </x:c>
      <x:c r="J468" s="85" t="n">
        <x:v>1</x:v>
      </x:c>
    </x:row>
    <x:row r="469">
      <x:c r="A469" s="83" t="n">
        <x:v>468</x:v>
      </x:c>
      <x:c r="B469" s="84" t="n">
        <x:v>38</x:v>
      </x:c>
      <x:c r="C469" s="84" t="n">
        <x:v>1423</x:v>
      </x:c>
      <x:c r="D469" s="89" t="n">
        <x:v>45330.347546296296</x:v>
      </x:c>
      <x:c r="E469" s="84" t="str">
        <x:v>Válvula</x:v>
      </x:c>
      <x:c r="F469" s="84" t="str">
        <x:v>Quebra</x:v>
      </x:c>
      <x:c r="G469" s="84" t="str">
        <x:v>Desgaste natural</x:v>
      </x:c>
      <x:c r="H469" s="84" t="str">
        <x:v>Alta</x:v>
      </x:c>
      <x:c r="I469" s="84" t="n">
        <x:v>0</x:v>
      </x:c>
      <x:c r="J469" s="85" t="n">
        <x:v>1</x:v>
      </x:c>
    </x:row>
    <x:row r="470">
      <x:c r="A470" s="83" t="n">
        <x:v>469</x:v>
      </x:c>
      <x:c r="B470" s="84" t="n">
        <x:v>13</x:v>
      </x:c>
      <x:c r="C470" s="84" t="n">
        <x:v>1424</x:v>
      </x:c>
      <x:c r="D470" s="89" t="n">
        <x:v>45745.32103009259</x:v>
      </x:c>
      <x:c r="E470" s="84" t="str">
        <x:v>Motor</x:v>
      </x:c>
      <x:c r="F470" s="84" t="str">
        <x:v>Curto-circuito</x:v>
      </x:c>
      <x:c r="G470" s="84" t="str">
        <x:v>Componente danificado</x:v>
      </x:c>
      <x:c r="H470" s="84" t="str">
        <x:v>Média</x:v>
      </x:c>
      <x:c r="I470" s="84" t="n">
        <x:v>1</x:v>
      </x:c>
      <x:c r="J470" s="85" t="n">
        <x:v>1</x:v>
      </x:c>
    </x:row>
    <x:row r="471">
      <x:c r="A471" s="83" t="n">
        <x:v>470</x:v>
      </x:c>
      <x:c r="B471" s="84" t="n">
        <x:v>52</x:v>
      </x:c>
      <x:c r="C471" s="84" t="n">
        <x:v>1426</x:v>
      </x:c>
      <x:c r="D471" s="89" t="n">
        <x:v>44979.6983912037</x:v>
      </x:c>
      <x:c r="E471" s="84" t="str">
        <x:v>CLP</x:v>
      </x:c>
      <x:c r="F471" s="84" t="str">
        <x:v>Desgaste</x:v>
      </x:c>
      <x:c r="G471" s="84" t="str">
        <x:v>Desgaste natural</x:v>
      </x:c>
      <x:c r="H471" s="84" t="str">
        <x:v>Alta</x:v>
      </x:c>
      <x:c r="I471" s="84" t="n">
        <x:v>0</x:v>
      </x:c>
      <x:c r="J471" s="85" t="n">
        <x:v>1</x:v>
      </x:c>
    </x:row>
    <x:row r="472">
      <x:c r="A472" s="83" t="n">
        <x:v>471</x:v>
      </x:c>
      <x:c r="B472" s="84" t="n">
        <x:v>27</x:v>
      </x:c>
      <x:c r="C472" s="84" t="n">
        <x:v>1427</x:v>
      </x:c>
      <x:c r="D472" s="89" t="n">
        <x:v>46021.403495370374</x:v>
      </x:c>
      <x:c r="E472" s="84" t="str">
        <x:v>Sensor</x:v>
      </x:c>
      <x:c r="F472" s="84" t="str">
        <x:v>Desgaste</x:v>
      </x:c>
      <x:c r="G472" s="84" t="str">
        <x:v>Componente danificado</x:v>
      </x:c>
      <x:c r="H472" s="84" t="str">
        <x:v>Alta</x:v>
      </x:c>
      <x:c r="I472" s="84" t="n">
        <x:v>0</x:v>
      </x:c>
      <x:c r="J472" s="85" t="n">
        <x:v>1</x:v>
      </x:c>
    </x:row>
    <x:row r="473">
      <x:c r="A473" s="83" t="n">
        <x:v>472</x:v>
      </x:c>
      <x:c r="B473" s="84" t="n">
        <x:v>25</x:v>
      </x:c>
      <x:c r="C473" s="84" t="n">
        <x:v>1430</x:v>
      </x:c>
      <x:c r="D473" s="89" t="n">
        <x:v>45898.29797453704</x:v>
      </x:c>
      <x:c r="E473" s="84" t="str">
        <x:v>Válvula</x:v>
      </x:c>
      <x:c r="F473" s="84" t="str">
        <x:v>Curto-circuito</x:v>
      </x:c>
      <x:c r="G473" s="84" t="str">
        <x:v>Conexão frouxa</x:v>
      </x:c>
      <x:c r="H473" s="84" t="str">
        <x:v>Alta</x:v>
      </x:c>
      <x:c r="I473" s="84" t="n">
        <x:v>0</x:v>
      </x:c>
      <x:c r="J473" s="85" t="n">
        <x:v>1</x:v>
      </x:c>
    </x:row>
    <x:row r="474">
      <x:c r="A474" s="83" t="n">
        <x:v>473</x:v>
      </x:c>
      <x:c r="B474" s="84" t="n">
        <x:v>18</x:v>
      </x:c>
      <x:c r="C474" s="84" t="n">
        <x:v>1431</x:v>
      </x:c>
      <x:c r="D474" s="89" t="n">
        <x:v>45767.813310185185</x:v>
      </x:c>
      <x:c r="E474" s="84" t="str">
        <x:v>Rolamento</x:v>
      </x:c>
      <x:c r="F474" s="84" t="str">
        <x:v>Quebra</x:v>
      </x:c>
      <x:c r="G474" s="84" t="str">
        <x:v>Falta de lubrificação</x:v>
      </x:c>
      <x:c r="H474" s="84" t="str">
        <x:v>Média</x:v>
      </x:c>
      <x:c r="I474" s="84" t="n">
        <x:v>1</x:v>
      </x:c>
      <x:c r="J474" s="85" t="n">
        <x:v>1</x:v>
      </x:c>
    </x:row>
    <x:row r="475">
      <x:c r="A475" s="83" t="n">
        <x:v>474</x:v>
      </x:c>
      <x:c r="B475" s="84" t="n">
        <x:v>2</x:v>
      </x:c>
      <x:c r="C475" s="84" t="n">
        <x:v>1433</x:v>
      </x:c>
      <x:c r="D475" s="89" t="n">
        <x:v>45213.42159722222</x:v>
      </x:c>
      <x:c r="E475" s="84" t="str">
        <x:v>Rolamento</x:v>
      </x:c>
      <x:c r="F475" s="84" t="str">
        <x:v>Perda de sinal</x:v>
      </x:c>
      <x:c r="G475" s="84" t="str">
        <x:v>Conexão frouxa</x:v>
      </x:c>
      <x:c r="H475" s="84" t="str">
        <x:v>Alta</x:v>
      </x:c>
      <x:c r="I475" s="84" t="n">
        <x:v>0</x:v>
      </x:c>
      <x:c r="J475" s="85" t="n">
        <x:v>1</x:v>
      </x:c>
    </x:row>
    <x:row r="476">
      <x:c r="A476" s="83" t="n">
        <x:v>475</x:v>
      </x:c>
      <x:c r="B476" s="84" t="n">
        <x:v>24</x:v>
      </x:c>
      <x:c r="C476" s="84" t="n">
        <x:v>1437</x:v>
      </x:c>
      <x:c r="D476" s="89" t="n">
        <x:v>45850.09386574074</x:v>
      </x:c>
      <x:c r="E476" s="84" t="str">
        <x:v>CLP</x:v>
      </x:c>
      <x:c r="F476" s="84" t="str">
        <x:v>Curto-circuito</x:v>
      </x:c>
      <x:c r="G476" s="84" t="str">
        <x:v>Falta de lubrificação</x:v>
      </x:c>
      <x:c r="H476" s="84" t="str">
        <x:v>Média</x:v>
      </x:c>
      <x:c r="I476" s="84" t="n">
        <x:v>0</x:v>
      </x:c>
      <x:c r="J476" s="85" t="n">
        <x:v>1</x:v>
      </x:c>
    </x:row>
    <x:row r="477">
      <x:c r="A477" s="83" t="n">
        <x:v>476</x:v>
      </x:c>
      <x:c r="B477" s="84" t="n">
        <x:v>80</x:v>
      </x:c>
      <x:c r="C477" s="84" t="n">
        <x:v>1438</x:v>
      </x:c>
      <x:c r="D477" s="89" t="n">
        <x:v>45547.248611111114</x:v>
      </x:c>
      <x:c r="E477" s="84" t="str">
        <x:v>Sensor</x:v>
      </x:c>
      <x:c r="F477" s="84" t="str">
        <x:v>Desgaste</x:v>
      </x:c>
      <x:c r="G477" s="84" t="str">
        <x:v>Falta de lubrificação</x:v>
      </x:c>
      <x:c r="H477" s="84" t="str">
        <x:v>Baixa</x:v>
      </x:c>
      <x:c r="I477" s="84" t="n">
        <x:v>0</x:v>
      </x:c>
      <x:c r="J477" s="85" t="n">
        <x:v>1</x:v>
      </x:c>
    </x:row>
    <x:row r="478">
      <x:c r="A478" s="83" t="n">
        <x:v>477</x:v>
      </x:c>
      <x:c r="B478" s="84" t="n">
        <x:v>71</x:v>
      </x:c>
      <x:c r="C478" s="84" t="n">
        <x:v>1441</x:v>
      </x:c>
      <x:c r="D478" s="89" t="n">
        <x:v>45068.40721064815</x:v>
      </x:c>
      <x:c r="E478" s="84" t="str">
        <x:v>Rolamento</x:v>
      </x:c>
      <x:c r="F478" s="84" t="str">
        <x:v>Travamento</x:v>
      </x:c>
      <x:c r="G478" s="84" t="str">
        <x:v>Contaminação</x:v>
      </x:c>
      <x:c r="H478" s="84" t="str">
        <x:v>Alta</x:v>
      </x:c>
      <x:c r="I478" s="84" t="n">
        <x:v>0</x:v>
      </x:c>
      <x:c r="J478" s="85" t="n">
        <x:v>1</x:v>
      </x:c>
    </x:row>
    <x:row r="479">
      <x:c r="A479" s="83" t="n">
        <x:v>478</x:v>
      </x:c>
      <x:c r="B479" s="84" t="n">
        <x:v>38</x:v>
      </x:c>
      <x:c r="C479" s="84" t="n">
        <x:v>1442</x:v>
      </x:c>
      <x:c r="D479" s="89" t="n">
        <x:v>45331.725752314815</x:v>
      </x:c>
      <x:c r="E479" s="84" t="str">
        <x:v>Sensor</x:v>
      </x:c>
      <x:c r="F479" s="84" t="str">
        <x:v>Travamento</x:v>
      </x:c>
      <x:c r="G479" s="84" t="str">
        <x:v>Conexão frouxa</x:v>
      </x:c>
      <x:c r="H479" s="84" t="str">
        <x:v>Baixa</x:v>
      </x:c>
      <x:c r="I479" s="84" t="n">
        <x:v>0</x:v>
      </x:c>
      <x:c r="J479" s="85" t="n">
        <x:v>1</x:v>
      </x:c>
    </x:row>
    <x:row r="480">
      <x:c r="A480" s="83" t="n">
        <x:v>479</x:v>
      </x:c>
      <x:c r="B480" s="84" t="n">
        <x:v>51</x:v>
      </x:c>
      <x:c r="C480" s="84" t="n">
        <x:v>1448</x:v>
      </x:c>
      <x:c r="D480" s="89" t="n">
        <x:v>45140.036157407405</x:v>
      </x:c>
      <x:c r="E480" s="84" t="str">
        <x:v>CLP</x:v>
      </x:c>
      <x:c r="F480" s="84" t="str">
        <x:v>Perda de sinal</x:v>
      </x:c>
      <x:c r="G480" s="84" t="str">
        <x:v>Conexão frouxa</x:v>
      </x:c>
      <x:c r="H480" s="84" t="str">
        <x:v>Baixa</x:v>
      </x:c>
      <x:c r="I480" s="84" t="n">
        <x:v>0</x:v>
      </x:c>
      <x:c r="J480" s="85" t="n">
        <x:v>1</x:v>
      </x:c>
    </x:row>
    <x:row r="481">
      <x:c r="A481" s="83" t="n">
        <x:v>480</x:v>
      </x:c>
      <x:c r="B481" s="84" t="n">
        <x:v>39</x:v>
      </x:c>
      <x:c r="C481" s="84" t="n">
        <x:v>1449</x:v>
      </x:c>
      <x:c r="D481" s="89" t="n">
        <x:v>45258.357824074075</x:v>
      </x:c>
      <x:c r="E481" s="84" t="str">
        <x:v>CLP</x:v>
      </x:c>
      <x:c r="F481" s="84" t="str">
        <x:v>Perda de sinal</x:v>
      </x:c>
      <x:c r="G481" s="84" t="str">
        <x:v>Desgaste natural</x:v>
      </x:c>
      <x:c r="H481" s="84" t="str">
        <x:v>Baixa</x:v>
      </x:c>
      <x:c r="I481" s="84" t="n">
        <x:v>1</x:v>
      </x:c>
      <x:c r="J481" s="85" t="n">
        <x:v>1</x:v>
      </x:c>
    </x:row>
    <x:row r="482">
      <x:c r="A482" s="83" t="n">
        <x:v>481</x:v>
      </x:c>
      <x:c r="B482" s="84" t="n">
        <x:v>46</x:v>
      </x:c>
      <x:c r="C482" s="84" t="n">
        <x:v>1458</x:v>
      </x:c>
      <x:c r="D482" s="89" t="n">
        <x:v>45321.092199074075</x:v>
      </x:c>
      <x:c r="E482" s="84" t="str">
        <x:v>Válvula</x:v>
      </x:c>
      <x:c r="F482" s="84" t="str">
        <x:v>Desgaste</x:v>
      </x:c>
      <x:c r="G482" s="84" t="str">
        <x:v>Componente danificado</x:v>
      </x:c>
      <x:c r="H482" s="84" t="str">
        <x:v>Alta</x:v>
      </x:c>
      <x:c r="I482" s="84" t="n">
        <x:v>0</x:v>
      </x:c>
      <x:c r="J482" s="85" t="n">
        <x:v>1</x:v>
      </x:c>
    </x:row>
    <x:row r="483">
      <x:c r="A483" s="83" t="n">
        <x:v>482</x:v>
      </x:c>
      <x:c r="B483" s="84" t="n">
        <x:v>76</x:v>
      </x:c>
      <x:c r="C483" s="84" t="n">
        <x:v>1460</x:v>
      </x:c>
      <x:c r="D483" s="89" t="n">
        <x:v>45977.96773148148</x:v>
      </x:c>
      <x:c r="E483" s="84" t="str">
        <x:v>Motor</x:v>
      </x:c>
      <x:c r="F483" s="84" t="str">
        <x:v>Quebra</x:v>
      </x:c>
      <x:c r="G483" s="84" t="str">
        <x:v>Contaminação</x:v>
      </x:c>
      <x:c r="H483" s="84" t="str">
        <x:v>Média</x:v>
      </x:c>
      <x:c r="I483" s="84" t="n">
        <x:v>0</x:v>
      </x:c>
      <x:c r="J483" s="85" t="n">
        <x:v>1</x:v>
      </x:c>
    </x:row>
    <x:row r="484">
      <x:c r="A484" s="83" t="n">
        <x:v>483</x:v>
      </x:c>
      <x:c r="B484" s="84" t="n">
        <x:v>87</x:v>
      </x:c>
      <x:c r="C484" s="84" t="n">
        <x:v>1461</x:v>
      </x:c>
      <x:c r="D484" s="89" t="n">
        <x:v>45594.81693287037</x:v>
      </x:c>
      <x:c r="E484" s="84" t="str">
        <x:v>CLP</x:v>
      </x:c>
      <x:c r="F484" s="84" t="str">
        <x:v>Desgaste</x:v>
      </x:c>
      <x:c r="G484" s="84" t="str">
        <x:v>Ajuste incorreto</x:v>
      </x:c>
      <x:c r="H484" s="84" t="str">
        <x:v>Média</x:v>
      </x:c>
      <x:c r="I484" s="84" t="n">
        <x:v>0</x:v>
      </x:c>
      <x:c r="J484" s="85" t="n">
        <x:v>1</x:v>
      </x:c>
    </x:row>
    <x:row r="485">
      <x:c r="A485" s="83" t="n">
        <x:v>484</x:v>
      </x:c>
      <x:c r="B485" s="84" t="n">
        <x:v>31</x:v>
      </x:c>
      <x:c r="C485" s="84" t="n">
        <x:v>1462</x:v>
      </x:c>
      <x:c r="D485" s="89" t="n">
        <x:v>45280.319340277776</x:v>
      </x:c>
      <x:c r="E485" s="84" t="str">
        <x:v>Rolamento</x:v>
      </x:c>
      <x:c r="F485" s="84" t="str">
        <x:v>Quebra</x:v>
      </x:c>
      <x:c r="G485" s="84" t="str">
        <x:v>Ajuste incorreto</x:v>
      </x:c>
      <x:c r="H485" s="84" t="str">
        <x:v>Média</x:v>
      </x:c>
      <x:c r="I485" s="84" t="n">
        <x:v>1</x:v>
      </x:c>
      <x:c r="J485" s="85" t="n">
        <x:v>1</x:v>
      </x:c>
    </x:row>
    <x:row r="486">
      <x:c r="A486" s="83" t="n">
        <x:v>485</x:v>
      </x:c>
      <x:c r="B486" s="84" t="n">
        <x:v>67</x:v>
      </x:c>
      <x:c r="C486" s="84" t="n">
        <x:v>1465</x:v>
      </x:c>
      <x:c r="D486" s="89" t="n">
        <x:v>45827.013194444444</x:v>
      </x:c>
      <x:c r="E486" s="84" t="str">
        <x:v>Rolamento</x:v>
      </x:c>
      <x:c r="F486" s="84" t="str">
        <x:v>Quebra</x:v>
      </x:c>
      <x:c r="G486" s="84" t="str">
        <x:v>Contaminação</x:v>
      </x:c>
      <x:c r="H486" s="84" t="str">
        <x:v>Alta</x:v>
      </x:c>
      <x:c r="I486" s="84" t="n">
        <x:v>0</x:v>
      </x:c>
      <x:c r="J486" s="85" t="n">
        <x:v>1</x:v>
      </x:c>
    </x:row>
    <x:row r="487">
      <x:c r="A487" s="83" t="n">
        <x:v>486</x:v>
      </x:c>
      <x:c r="B487" s="84" t="n">
        <x:v>77</x:v>
      </x:c>
      <x:c r="C487" s="84" t="n">
        <x:v>1472</x:v>
      </x:c>
      <x:c r="D487" s="89" t="n">
        <x:v>45778.29545138889</x:v>
      </x:c>
      <x:c r="E487" s="84" t="str">
        <x:v>Sensor</x:v>
      </x:c>
      <x:c r="F487" s="84" t="str">
        <x:v>Perda de sinal</x:v>
      </x:c>
      <x:c r="G487" s="84" t="str">
        <x:v>Componente danificado</x:v>
      </x:c>
      <x:c r="H487" s="84" t="str">
        <x:v>Baixa</x:v>
      </x:c>
      <x:c r="I487" s="84" t="n">
        <x:v>0</x:v>
      </x:c>
      <x:c r="J487" s="85" t="n">
        <x:v>1</x:v>
      </x:c>
    </x:row>
    <x:row r="488">
      <x:c r="A488" s="83" t="n">
        <x:v>487</x:v>
      </x:c>
      <x:c r="B488" s="84" t="n">
        <x:v>38</x:v>
      </x:c>
      <x:c r="C488" s="84" t="n">
        <x:v>1475</x:v>
      </x:c>
      <x:c r="D488" s="89" t="n">
        <x:v>45291.58128472222</x:v>
      </x:c>
      <x:c r="E488" s="84" t="str">
        <x:v>CLP</x:v>
      </x:c>
      <x:c r="F488" s="84" t="str">
        <x:v>Travamento</x:v>
      </x:c>
      <x:c r="G488" s="84" t="str">
        <x:v>Falta de lubrificação</x:v>
      </x:c>
      <x:c r="H488" s="84" t="str">
        <x:v>Alta</x:v>
      </x:c>
      <x:c r="I488" s="84" t="n">
        <x:v>0</x:v>
      </x:c>
      <x:c r="J488" s="85" t="n">
        <x:v>1</x:v>
      </x:c>
    </x:row>
    <x:row r="489">
      <x:c r="A489" s="83" t="n">
        <x:v>488</x:v>
      </x:c>
      <x:c r="B489" s="84" t="n">
        <x:v>41</x:v>
      </x:c>
      <x:c r="C489" s="84" t="n">
        <x:v>1479</x:v>
      </x:c>
      <x:c r="D489" s="89" t="n">
        <x:v>45180.07738425926</x:v>
      </x:c>
      <x:c r="E489" s="84" t="str">
        <x:v>Válvula</x:v>
      </x:c>
      <x:c r="F489" s="84" t="str">
        <x:v>Quebra</x:v>
      </x:c>
      <x:c r="G489" s="84" t="str">
        <x:v>Componente danificado</x:v>
      </x:c>
      <x:c r="H489" s="84" t="str">
        <x:v>Baixa</x:v>
      </x:c>
      <x:c r="I489" s="84" t="n">
        <x:v>0</x:v>
      </x:c>
      <x:c r="J489" s="85" t="n">
        <x:v>1</x:v>
      </x:c>
    </x:row>
    <x:row r="490">
      <x:c r="A490" s="83" t="n">
        <x:v>489</x:v>
      </x:c>
      <x:c r="B490" s="84" t="n">
        <x:v>50</x:v>
      </x:c>
      <x:c r="C490" s="84" t="n">
        <x:v>1480</x:v>
      </x:c>
      <x:c r="D490" s="89" t="n">
        <x:v>45022.25806712963</x:v>
      </x:c>
      <x:c r="E490" s="84" t="str">
        <x:v>Rolamento</x:v>
      </x:c>
      <x:c r="F490" s="84" t="str">
        <x:v>Perda de sinal</x:v>
      </x:c>
      <x:c r="G490" s="84" t="str">
        <x:v>Componente danificado</x:v>
      </x:c>
      <x:c r="H490" s="84" t="str">
        <x:v>Baixa</x:v>
      </x:c>
      <x:c r="I490" s="84" t="n">
        <x:v>1</x:v>
      </x:c>
      <x:c r="J490" s="85" t="n">
        <x:v>1</x:v>
      </x:c>
    </x:row>
    <x:row r="491">
      <x:c r="A491" s="83" t="n">
        <x:v>490</x:v>
      </x:c>
      <x:c r="B491" s="84" t="n">
        <x:v>59</x:v>
      </x:c>
      <x:c r="C491" s="84" t="n">
        <x:v>1482</x:v>
      </x:c>
      <x:c r="D491" s="89" t="n">
        <x:v>45073.325057870374</x:v>
      </x:c>
      <x:c r="E491" s="84" t="str">
        <x:v>Válvula</x:v>
      </x:c>
      <x:c r="F491" s="84" t="str">
        <x:v>Travamento</x:v>
      </x:c>
      <x:c r="G491" s="84" t="str">
        <x:v>Conexão frouxa</x:v>
      </x:c>
      <x:c r="H491" s="84" t="str">
        <x:v>Baixa</x:v>
      </x:c>
      <x:c r="I491" s="84" t="n">
        <x:v>0</x:v>
      </x:c>
      <x:c r="J491" s="85" t="n">
        <x:v>1</x:v>
      </x:c>
    </x:row>
    <x:row r="492">
      <x:c r="A492" s="83" t="n">
        <x:v>491</x:v>
      </x:c>
      <x:c r="B492" s="84" t="n">
        <x:v>22</x:v>
      </x:c>
      <x:c r="C492" s="84" t="n">
        <x:v>1485</x:v>
      </x:c>
      <x:c r="D492" s="89" t="n">
        <x:v>45567.487337962964</x:v>
      </x:c>
      <x:c r="E492" s="84" t="str">
        <x:v>Sensor</x:v>
      </x:c>
      <x:c r="F492" s="84" t="str">
        <x:v>Desgaste</x:v>
      </x:c>
      <x:c r="G492" s="84" t="str">
        <x:v>Falta de lubrificação</x:v>
      </x:c>
      <x:c r="H492" s="84" t="str">
        <x:v>Média</x:v>
      </x:c>
      <x:c r="I492" s="84" t="n">
        <x:v>1</x:v>
      </x:c>
      <x:c r="J492" s="85" t="n">
        <x:v>1</x:v>
      </x:c>
    </x:row>
    <x:row r="493">
      <x:c r="A493" s="83" t="n">
        <x:v>492</x:v>
      </x:c>
      <x:c r="B493" s="84" t="n">
        <x:v>86</x:v>
      </x:c>
      <x:c r="C493" s="84" t="n">
        <x:v>1488</x:v>
      </x:c>
      <x:c r="D493" s="89" t="n">
        <x:v>44956.891064814816</x:v>
      </x:c>
      <x:c r="E493" s="84" t="str">
        <x:v>CLP</x:v>
      </x:c>
      <x:c r="F493" s="84" t="str">
        <x:v>Desgaste</x:v>
      </x:c>
      <x:c r="G493" s="84" t="str">
        <x:v>Desgaste natural</x:v>
      </x:c>
      <x:c r="H493" s="84" t="str">
        <x:v>Média</x:v>
      </x:c>
      <x:c r="I493" s="84" t="n">
        <x:v>1</x:v>
      </x:c>
      <x:c r="J493" s="85" t="n">
        <x:v>1</x:v>
      </x:c>
    </x:row>
    <x:row r="494">
      <x:c r="A494" s="83" t="n">
        <x:v>493</x:v>
      </x:c>
      <x:c r="B494" s="84" t="n">
        <x:v>58</x:v>
      </x:c>
      <x:c r="C494" s="84" t="n">
        <x:v>1491</x:v>
      </x:c>
      <x:c r="D494" s="89" t="n">
        <x:v>45655.087592592594</x:v>
      </x:c>
      <x:c r="E494" s="84" t="str">
        <x:v>Correia</x:v>
      </x:c>
      <x:c r="F494" s="84" t="str">
        <x:v>Desgaste</x:v>
      </x:c>
      <x:c r="G494" s="84" t="str">
        <x:v>Contaminação</x:v>
      </x:c>
      <x:c r="H494" s="84" t="str">
        <x:v>Alta</x:v>
      </x:c>
      <x:c r="I494" s="84" t="n">
        <x:v>0</x:v>
      </x:c>
      <x:c r="J494" s="85" t="n">
        <x:v>1</x:v>
      </x:c>
    </x:row>
    <x:row r="495">
      <x:c r="A495" s="83" t="n">
        <x:v>494</x:v>
      </x:c>
      <x:c r="B495" s="84" t="n">
        <x:v>52</x:v>
      </x:c>
      <x:c r="C495" s="84" t="n">
        <x:v>1496</x:v>
      </x:c>
      <x:c r="D495" s="89" t="n">
        <x:v>45546.75083333333</x:v>
      </x:c>
      <x:c r="E495" s="84" t="str">
        <x:v>Correia</x:v>
      </x:c>
      <x:c r="F495" s="84" t="str">
        <x:v>Quebra</x:v>
      </x:c>
      <x:c r="G495" s="84" t="str">
        <x:v>Ajuste incorreto</x:v>
      </x:c>
      <x:c r="H495" s="84" t="str">
        <x:v>Média</x:v>
      </x:c>
      <x:c r="I495" s="84" t="n">
        <x:v>0</x:v>
      </x:c>
      <x:c r="J495" s="85" t="n">
        <x:v>1</x:v>
      </x:c>
    </x:row>
    <x:row r="496">
      <x:c r="A496" s="83" t="n">
        <x:v>495</x:v>
      </x:c>
      <x:c r="B496" s="84" t="n">
        <x:v>88</x:v>
      </x:c>
      <x:c r="C496" s="84" t="n">
        <x:v>1497</x:v>
      </x:c>
      <x:c r="D496" s="89" t="n">
        <x:v>45522.32524305556</x:v>
      </x:c>
      <x:c r="E496" s="84" t="str">
        <x:v>Válvula</x:v>
      </x:c>
      <x:c r="F496" s="84" t="str">
        <x:v>Quebra</x:v>
      </x:c>
      <x:c r="G496" s="84" t="str">
        <x:v>Falta de lubrificação</x:v>
      </x:c>
      <x:c r="H496" s="84" t="str">
        <x:v>Baixa</x:v>
      </x:c>
      <x:c r="I496" s="84" t="n">
        <x:v>0</x:v>
      </x:c>
      <x:c r="J496" s="85" t="n">
        <x:v>1</x:v>
      </x:c>
    </x:row>
    <x:row r="497">
      <x:c r="A497" s="83" t="n">
        <x:v>496</x:v>
      </x:c>
      <x:c r="B497" s="84" t="n">
        <x:v>47</x:v>
      </x:c>
      <x:c r="C497" s="84" t="n">
        <x:v>1500</x:v>
      </x:c>
      <x:c r="D497" s="89" t="n">
        <x:v>45077.607777777775</x:v>
      </x:c>
      <x:c r="E497" s="84" t="str">
        <x:v>Válvula</x:v>
      </x:c>
      <x:c r="F497" s="84" t="str">
        <x:v>Desgaste</x:v>
      </x:c>
      <x:c r="G497" s="84" t="str">
        <x:v>Componente danificado</x:v>
      </x:c>
      <x:c r="H497" s="84" t="str">
        <x:v>Alta</x:v>
      </x:c>
      <x:c r="I497" s="84" t="n">
        <x:v>0</x:v>
      </x:c>
      <x:c r="J497" s="85" t="n">
        <x:v>1</x:v>
      </x:c>
    </x:row>
    <x:row r="498">
      <x:c r="A498" s="83" t="n">
        <x:v>497</x:v>
      </x:c>
      <x:c r="B498" s="84" t="n">
        <x:v>73</x:v>
      </x:c>
      <x:c r="C498" s="84" t="n">
        <x:v>1502</x:v>
      </x:c>
      <x:c r="D498" s="89" t="n">
        <x:v>45614.72523148148</x:v>
      </x:c>
      <x:c r="E498" s="84" t="str">
        <x:v>Correia</x:v>
      </x:c>
      <x:c r="F498" s="84" t="str">
        <x:v>Perda de sinal</x:v>
      </x:c>
      <x:c r="G498" s="84" t="str">
        <x:v>Contaminação</x:v>
      </x:c>
      <x:c r="H498" s="84" t="str">
        <x:v>Média</x:v>
      </x:c>
      <x:c r="I498" s="84" t="n">
        <x:v>1</x:v>
      </x:c>
      <x:c r="J498" s="85" t="n">
        <x:v>1</x:v>
      </x:c>
    </x:row>
    <x:row r="499">
      <x:c r="A499" s="83" t="n">
        <x:v>498</x:v>
      </x:c>
      <x:c r="B499" s="84" t="n">
        <x:v>28</x:v>
      </x:c>
      <x:c r="C499" s="84" t="n">
        <x:v>1506</x:v>
      </x:c>
      <x:c r="D499" s="89" t="n">
        <x:v>45007.94758101852</x:v>
      </x:c>
      <x:c r="E499" s="84" t="str">
        <x:v>Correia</x:v>
      </x:c>
      <x:c r="F499" s="84" t="str">
        <x:v>Perda de sinal</x:v>
      </x:c>
      <x:c r="G499" s="84" t="str">
        <x:v>Falta de lubrificação</x:v>
      </x:c>
      <x:c r="H499" s="84" t="str">
        <x:v>Alta</x:v>
      </x:c>
      <x:c r="I499" s="84" t="n">
        <x:v>0</x:v>
      </x:c>
      <x:c r="J499" s="85" t="n">
        <x:v>1</x:v>
      </x:c>
    </x:row>
    <x:row r="500">
      <x:c r="A500" s="83" t="n">
        <x:v>499</x:v>
      </x:c>
      <x:c r="B500" s="84" t="n">
        <x:v>40</x:v>
      </x:c>
      <x:c r="C500" s="84" t="n">
        <x:v>1507</x:v>
      </x:c>
      <x:c r="D500" s="89" t="n">
        <x:v>45073.56988425926</x:v>
      </x:c>
      <x:c r="E500" s="84" t="str">
        <x:v>CLP</x:v>
      </x:c>
      <x:c r="F500" s="84" t="str">
        <x:v>Quebra</x:v>
      </x:c>
      <x:c r="G500" s="84" t="str">
        <x:v>Componente danificado</x:v>
      </x:c>
      <x:c r="H500" s="84" t="str">
        <x:v>Baixa</x:v>
      </x:c>
      <x:c r="I500" s="84" t="n">
        <x:v>0</x:v>
      </x:c>
      <x:c r="J500" s="85" t="n">
        <x:v>1</x:v>
      </x:c>
    </x:row>
    <x:row r="501">
      <x:c r="A501" s="83" t="n">
        <x:v>500</x:v>
      </x:c>
      <x:c r="B501" s="84" t="n">
        <x:v>55</x:v>
      </x:c>
      <x:c r="C501" s="84" t="n">
        <x:v>1514</x:v>
      </x:c>
      <x:c r="D501" s="89" t="n">
        <x:v>45641.642847222225</x:v>
      </x:c>
      <x:c r="E501" s="84" t="str">
        <x:v>Rolamento</x:v>
      </x:c>
      <x:c r="F501" s="84" t="str">
        <x:v>Quebra</x:v>
      </x:c>
      <x:c r="G501" s="84" t="str">
        <x:v>Desgaste natural</x:v>
      </x:c>
      <x:c r="H501" s="84" t="str">
        <x:v>Alta</x:v>
      </x:c>
      <x:c r="I501" s="84" t="n">
        <x:v>0</x:v>
      </x:c>
      <x:c r="J501" s="85" t="n">
        <x:v>1</x:v>
      </x:c>
    </x:row>
    <x:row r="502">
      <x:c r="A502" s="83" t="n">
        <x:v>501</x:v>
      </x:c>
      <x:c r="B502" s="84" t="n">
        <x:v>52</x:v>
      </x:c>
      <x:c r="C502" s="84" t="n">
        <x:v>1516</x:v>
      </x:c>
      <x:c r="D502" s="89" t="n">
        <x:v>45768.21952546296</x:v>
      </x:c>
      <x:c r="E502" s="84" t="str">
        <x:v>Válvula</x:v>
      </x:c>
      <x:c r="F502" s="84" t="str">
        <x:v>Quebra</x:v>
      </x:c>
      <x:c r="G502" s="84" t="str">
        <x:v>Contaminação</x:v>
      </x:c>
      <x:c r="H502" s="84" t="str">
        <x:v>Alta</x:v>
      </x:c>
      <x:c r="I502" s="84" t="n">
        <x:v>0</x:v>
      </x:c>
      <x:c r="J502" s="85" t="n">
        <x:v>1</x:v>
      </x:c>
    </x:row>
    <x:row r="503">
      <x:c r="A503" s="83" t="n">
        <x:v>502</x:v>
      </x:c>
      <x:c r="B503" s="84" t="n">
        <x:v>56</x:v>
      </x:c>
      <x:c r="C503" s="84" t="n">
        <x:v>1517</x:v>
      </x:c>
      <x:c r="D503" s="89" t="n">
        <x:v>45598.3687037037</x:v>
      </x:c>
      <x:c r="E503" s="84" t="str">
        <x:v>Correia</x:v>
      </x:c>
      <x:c r="F503" s="84" t="str">
        <x:v>Curto-circuito</x:v>
      </x:c>
      <x:c r="G503" s="84" t="str">
        <x:v>Conexão frouxa</x:v>
      </x:c>
      <x:c r="H503" s="84" t="str">
        <x:v>Média</x:v>
      </x:c>
      <x:c r="I503" s="84" t="n">
        <x:v>0</x:v>
      </x:c>
      <x:c r="J503" s="85" t="n">
        <x:v>1</x:v>
      </x:c>
    </x:row>
    <x:row r="504">
      <x:c r="A504" s="83" t="n">
        <x:v>503</x:v>
      </x:c>
      <x:c r="B504" s="84" t="n">
        <x:v>61</x:v>
      </x:c>
      <x:c r="C504" s="84" t="n">
        <x:v>1522</x:v>
      </x:c>
      <x:c r="D504" s="89" t="n">
        <x:v>45889.00184027778</x:v>
      </x:c>
      <x:c r="E504" s="84" t="str">
        <x:v>Válvula</x:v>
      </x:c>
      <x:c r="F504" s="84" t="str">
        <x:v>Travamento</x:v>
      </x:c>
      <x:c r="G504" s="84" t="str">
        <x:v>Ajuste incorreto</x:v>
      </x:c>
      <x:c r="H504" s="84" t="str">
        <x:v>Alta</x:v>
      </x:c>
      <x:c r="I504" s="84" t="n">
        <x:v>0</x:v>
      </x:c>
      <x:c r="J504" s="85" t="n">
        <x:v>1</x:v>
      </x:c>
    </x:row>
    <x:row r="505">
      <x:c r="A505" s="83" t="n">
        <x:v>504</x:v>
      </x:c>
      <x:c r="B505" s="84" t="n">
        <x:v>73</x:v>
      </x:c>
      <x:c r="C505" s="84" t="n">
        <x:v>1526</x:v>
      </x:c>
      <x:c r="D505" s="89" t="n">
        <x:v>45168.95443287037</x:v>
      </x:c>
      <x:c r="E505" s="84" t="str">
        <x:v>Sensor</x:v>
      </x:c>
      <x:c r="F505" s="84" t="str">
        <x:v>Desgaste</x:v>
      </x:c>
      <x:c r="G505" s="84" t="str">
        <x:v>Desgaste natural</x:v>
      </x:c>
      <x:c r="H505" s="84" t="str">
        <x:v>Média</x:v>
      </x:c>
      <x:c r="I505" s="84" t="n">
        <x:v>0</x:v>
      </x:c>
      <x:c r="J505" s="85" t="n">
        <x:v>1</x:v>
      </x:c>
    </x:row>
    <x:row r="506">
      <x:c r="A506" s="83" t="n">
        <x:v>505</x:v>
      </x:c>
      <x:c r="B506" s="84" t="n">
        <x:v>49</x:v>
      </x:c>
      <x:c r="C506" s="84" t="n">
        <x:v>1531</x:v>
      </x:c>
      <x:c r="D506" s="89" t="n">
        <x:v>45433.34554398148</x:v>
      </x:c>
      <x:c r="E506" s="84" t="str">
        <x:v>Correia</x:v>
      </x:c>
      <x:c r="F506" s="84" t="str">
        <x:v>Desgaste</x:v>
      </x:c>
      <x:c r="G506" s="84" t="str">
        <x:v>Componente danificado</x:v>
      </x:c>
      <x:c r="H506" s="84" t="str">
        <x:v>Média</x:v>
      </x:c>
      <x:c r="I506" s="84" t="n">
        <x:v>0</x:v>
      </x:c>
      <x:c r="J506" s="85" t="n">
        <x:v>1</x:v>
      </x:c>
    </x:row>
    <x:row r="507">
      <x:c r="A507" s="83" t="n">
        <x:v>506</x:v>
      </x:c>
      <x:c r="B507" s="84" t="n">
        <x:v>40</x:v>
      </x:c>
      <x:c r="C507" s="84" t="n">
        <x:v>1549</x:v>
      </x:c>
      <x:c r="D507" s="89" t="n">
        <x:v>45476.01797453704</x:v>
      </x:c>
      <x:c r="E507" s="84" t="str">
        <x:v>Correia</x:v>
      </x:c>
      <x:c r="F507" s="84" t="str">
        <x:v>Travamento</x:v>
      </x:c>
      <x:c r="G507" s="84" t="str">
        <x:v>Componente danificado</x:v>
      </x:c>
      <x:c r="H507" s="84" t="str">
        <x:v>Média</x:v>
      </x:c>
      <x:c r="I507" s="84" t="n">
        <x:v>0</x:v>
      </x:c>
      <x:c r="J507" s="85" t="n">
        <x:v>1</x:v>
      </x:c>
    </x:row>
    <x:row r="508">
      <x:c r="A508" s="83" t="n">
        <x:v>507</x:v>
      </x:c>
      <x:c r="B508" s="84" t="n">
        <x:v>16</x:v>
      </x:c>
      <x:c r="C508" s="84" t="n">
        <x:v>1555</x:v>
      </x:c>
      <x:c r="D508" s="89" t="n">
        <x:v>45548.105891203704</x:v>
      </x:c>
      <x:c r="E508" s="84" t="str">
        <x:v>Sensor</x:v>
      </x:c>
      <x:c r="F508" s="84" t="str">
        <x:v>Quebra</x:v>
      </x:c>
      <x:c r="G508" s="84" t="str">
        <x:v>Desgaste natural</x:v>
      </x:c>
      <x:c r="H508" s="84" t="str">
        <x:v>Baixa</x:v>
      </x:c>
      <x:c r="I508" s="84" t="n">
        <x:v>0</x:v>
      </x:c>
      <x:c r="J508" s="85" t="n">
        <x:v>1</x:v>
      </x:c>
    </x:row>
    <x:row r="509">
      <x:c r="A509" s="83" t="n">
        <x:v>508</x:v>
      </x:c>
      <x:c r="B509" s="84" t="n">
        <x:v>25</x:v>
      </x:c>
      <x:c r="C509" s="84" t="n">
        <x:v>1562</x:v>
      </x:c>
      <x:c r="D509" s="89" t="n">
        <x:v>45697.77379629629</x:v>
      </x:c>
      <x:c r="E509" s="84" t="str">
        <x:v>CLP</x:v>
      </x:c>
      <x:c r="F509" s="84" t="str">
        <x:v>Quebra</x:v>
      </x:c>
      <x:c r="G509" s="84" t="str">
        <x:v>Falta de lubrificação</x:v>
      </x:c>
      <x:c r="H509" s="84" t="str">
        <x:v>Baixa</x:v>
      </x:c>
      <x:c r="I509" s="84" t="n">
        <x:v>0</x:v>
      </x:c>
      <x:c r="J509" s="85" t="n">
        <x:v>1</x:v>
      </x:c>
    </x:row>
    <x:row r="510">
      <x:c r="A510" s="83" t="n">
        <x:v>509</x:v>
      </x:c>
      <x:c r="B510" s="84" t="n">
        <x:v>90</x:v>
      </x:c>
      <x:c r="C510" s="84" t="n">
        <x:v>1564</x:v>
      </x:c>
      <x:c r="D510" s="89" t="n">
        <x:v>45574.277650462966</x:v>
      </x:c>
      <x:c r="E510" s="84" t="str">
        <x:v>Motor</x:v>
      </x:c>
      <x:c r="F510" s="84" t="str">
        <x:v>Desgaste</x:v>
      </x:c>
      <x:c r="G510" s="84" t="str">
        <x:v>Desgaste natural</x:v>
      </x:c>
      <x:c r="H510" s="84" t="str">
        <x:v>Média</x:v>
      </x:c>
      <x:c r="I510" s="84" t="n">
        <x:v>0</x:v>
      </x:c>
      <x:c r="J510" s="85" t="n">
        <x:v>1</x:v>
      </x:c>
    </x:row>
    <x:row r="511">
      <x:c r="A511" s="83" t="n">
        <x:v>510</x:v>
      </x:c>
      <x:c r="B511" s="84" t="n">
        <x:v>19</x:v>
      </x:c>
      <x:c r="C511" s="84" t="n">
        <x:v>1568</x:v>
      </x:c>
      <x:c r="D511" s="89" t="n">
        <x:v>45911.07908564815</x:v>
      </x:c>
      <x:c r="E511" s="84" t="str">
        <x:v>Motor</x:v>
      </x:c>
      <x:c r="F511" s="84" t="str">
        <x:v>Travamento</x:v>
      </x:c>
      <x:c r="G511" s="84" t="str">
        <x:v>Contaminação</x:v>
      </x:c>
      <x:c r="H511" s="84" t="str">
        <x:v>Média</x:v>
      </x:c>
      <x:c r="I511" s="84" t="n">
        <x:v>0</x:v>
      </x:c>
      <x:c r="J511" s="85" t="n">
        <x:v>1</x:v>
      </x:c>
    </x:row>
    <x:row r="512">
      <x:c r="A512" s="83" t="n">
        <x:v>511</x:v>
      </x:c>
      <x:c r="B512" s="84" t="n">
        <x:v>10</x:v>
      </x:c>
      <x:c r="C512" s="84" t="n">
        <x:v>1570</x:v>
      </x:c>
      <x:c r="D512" s="89" t="n">
        <x:v>45905.72409722222</x:v>
      </x:c>
      <x:c r="E512" s="84" t="str">
        <x:v>CLP</x:v>
      </x:c>
      <x:c r="F512" s="84" t="str">
        <x:v>Curto-circuito</x:v>
      </x:c>
      <x:c r="G512" s="84" t="str">
        <x:v>Contaminação</x:v>
      </x:c>
      <x:c r="H512" s="84" t="str">
        <x:v>Média</x:v>
      </x:c>
      <x:c r="I512" s="84" t="n">
        <x:v>0</x:v>
      </x:c>
      <x:c r="J512" s="85" t="n">
        <x:v>1</x:v>
      </x:c>
    </x:row>
    <x:row r="513">
      <x:c r="A513" s="83" t="n">
        <x:v>512</x:v>
      </x:c>
      <x:c r="B513" s="84" t="n">
        <x:v>50</x:v>
      </x:c>
      <x:c r="C513" s="84" t="n">
        <x:v>1571</x:v>
      </x:c>
      <x:c r="D513" s="89" t="n">
        <x:v>45084.515081018515</x:v>
      </x:c>
      <x:c r="E513" s="84" t="str">
        <x:v>CLP</x:v>
      </x:c>
      <x:c r="F513" s="84" t="str">
        <x:v>Desgaste</x:v>
      </x:c>
      <x:c r="G513" s="84" t="str">
        <x:v>Componente danificado</x:v>
      </x:c>
      <x:c r="H513" s="84" t="str">
        <x:v>Alta</x:v>
      </x:c>
      <x:c r="I513" s="84" t="n">
        <x:v>0</x:v>
      </x:c>
      <x:c r="J513" s="85" t="n">
        <x:v>1</x:v>
      </x:c>
    </x:row>
    <x:row r="514">
      <x:c r="A514" s="83" t="n">
        <x:v>513</x:v>
      </x:c>
      <x:c r="B514" s="84" t="n">
        <x:v>6</x:v>
      </x:c>
      <x:c r="C514" s="84" t="n">
        <x:v>1577</x:v>
      </x:c>
      <x:c r="D514" s="89" t="n">
        <x:v>45115.14313657407</x:v>
      </x:c>
      <x:c r="E514" s="84" t="str">
        <x:v>Motor</x:v>
      </x:c>
      <x:c r="F514" s="84" t="str">
        <x:v>Desgaste</x:v>
      </x:c>
      <x:c r="G514" s="84" t="str">
        <x:v>Componente danificado</x:v>
      </x:c>
      <x:c r="H514" s="84" t="str">
        <x:v>Baixa</x:v>
      </x:c>
      <x:c r="I514" s="84" t="n">
        <x:v>0</x:v>
      </x:c>
      <x:c r="J514" s="85" t="n">
        <x:v>1</x:v>
      </x:c>
    </x:row>
    <x:row r="515">
      <x:c r="A515" s="83" t="n">
        <x:v>514</x:v>
      </x:c>
      <x:c r="B515" s="84" t="n">
        <x:v>70</x:v>
      </x:c>
      <x:c r="C515" s="84" t="n">
        <x:v>1578</x:v>
      </x:c>
      <x:c r="D515" s="89" t="n">
        <x:v>45311.59174768518</x:v>
      </x:c>
      <x:c r="E515" s="84" t="str">
        <x:v>Rolamento</x:v>
      </x:c>
      <x:c r="F515" s="84" t="str">
        <x:v>Desgaste</x:v>
      </x:c>
      <x:c r="G515" s="84" t="str">
        <x:v>Componente danificado</x:v>
      </x:c>
      <x:c r="H515" s="84" t="str">
        <x:v>Média</x:v>
      </x:c>
      <x:c r="I515" s="84" t="n">
        <x:v>1</x:v>
      </x:c>
      <x:c r="J515" s="85" t="n">
        <x:v>1</x:v>
      </x:c>
    </x:row>
    <x:row r="516">
      <x:c r="A516" s="83" t="n">
        <x:v>515</x:v>
      </x:c>
      <x:c r="B516" s="84" t="n">
        <x:v>55</x:v>
      </x:c>
      <x:c r="C516" s="84" t="n">
        <x:v>1589</x:v>
      </x:c>
      <x:c r="D516" s="89" t="n">
        <x:v>45613.39393518519</x:v>
      </x:c>
      <x:c r="E516" s="84" t="str">
        <x:v>Sensor</x:v>
      </x:c>
      <x:c r="F516" s="84" t="str">
        <x:v>Curto-circuito</x:v>
      </x:c>
      <x:c r="G516" s="84" t="str">
        <x:v>Falta de lubrificação</x:v>
      </x:c>
      <x:c r="H516" s="84" t="str">
        <x:v>Baixa</x:v>
      </x:c>
      <x:c r="I516" s="84" t="n">
        <x:v>0</x:v>
      </x:c>
      <x:c r="J516" s="85" t="n">
        <x:v>1</x:v>
      </x:c>
    </x:row>
    <x:row r="517">
      <x:c r="A517" s="83" t="n">
        <x:v>516</x:v>
      </x:c>
      <x:c r="B517" s="84" t="n">
        <x:v>6</x:v>
      </x:c>
      <x:c r="C517" s="84" t="n">
        <x:v>1592</x:v>
      </x:c>
      <x:c r="D517" s="89" t="n">
        <x:v>45135.24072916667</x:v>
      </x:c>
      <x:c r="E517" s="84" t="str">
        <x:v>Rolamento</x:v>
      </x:c>
      <x:c r="F517" s="84" t="str">
        <x:v>Quebra</x:v>
      </x:c>
      <x:c r="G517" s="84" t="str">
        <x:v>Desgaste natural</x:v>
      </x:c>
      <x:c r="H517" s="84" t="str">
        <x:v>Média</x:v>
      </x:c>
      <x:c r="I517" s="84" t="n">
        <x:v>1</x:v>
      </x:c>
      <x:c r="J517" s="85" t="n">
        <x:v>1</x:v>
      </x:c>
    </x:row>
    <x:row r="518">
      <x:c r="A518" s="83" t="n">
        <x:v>517</x:v>
      </x:c>
      <x:c r="B518" s="84" t="n">
        <x:v>6</x:v>
      </x:c>
      <x:c r="C518" s="84" t="n">
        <x:v>1593</x:v>
      </x:c>
      <x:c r="D518" s="89" t="n">
        <x:v>45874.931655092594</x:v>
      </x:c>
      <x:c r="E518" s="84" t="str">
        <x:v>CLP</x:v>
      </x:c>
      <x:c r="F518" s="84" t="str">
        <x:v>Travamento</x:v>
      </x:c>
      <x:c r="G518" s="84" t="str">
        <x:v>Componente danificado</x:v>
      </x:c>
      <x:c r="H518" s="84" t="str">
        <x:v>Alta</x:v>
      </x:c>
      <x:c r="I518" s="84" t="n">
        <x:v>0</x:v>
      </x:c>
      <x:c r="J518" s="85" t="n">
        <x:v>1</x:v>
      </x:c>
    </x:row>
    <x:row r="519">
      <x:c r="A519" s="83" t="n">
        <x:v>518</x:v>
      </x:c>
      <x:c r="B519" s="84" t="n">
        <x:v>18</x:v>
      </x:c>
      <x:c r="C519" s="84" t="n">
        <x:v>1595</x:v>
      </x:c>
      <x:c r="D519" s="89" t="n">
        <x:v>45108.079097222224</x:v>
      </x:c>
      <x:c r="E519" s="84" t="str">
        <x:v>Correia</x:v>
      </x:c>
      <x:c r="F519" s="84" t="str">
        <x:v>Travamento</x:v>
      </x:c>
      <x:c r="G519" s="84" t="str">
        <x:v>Conexão frouxa</x:v>
      </x:c>
      <x:c r="H519" s="84" t="str">
        <x:v>Média</x:v>
      </x:c>
      <x:c r="I519" s="84" t="n">
        <x:v>0</x:v>
      </x:c>
      <x:c r="J519" s="85" t="n">
        <x:v>1</x:v>
      </x:c>
    </x:row>
    <x:row r="520">
      <x:c r="A520" s="83" t="n">
        <x:v>519</x:v>
      </x:c>
      <x:c r="B520" s="84" t="n">
        <x:v>66</x:v>
      </x:c>
      <x:c r="C520" s="84" t="n">
        <x:v>1598</x:v>
      </x:c>
      <x:c r="D520" s="89" t="n">
        <x:v>45307.870104166665</x:v>
      </x:c>
      <x:c r="E520" s="84" t="str">
        <x:v>Sensor</x:v>
      </x:c>
      <x:c r="F520" s="84" t="str">
        <x:v>Curto-circuito</x:v>
      </x:c>
      <x:c r="G520" s="84" t="str">
        <x:v>Conexão frouxa</x:v>
      </x:c>
      <x:c r="H520" s="84" t="str">
        <x:v>Baixa</x:v>
      </x:c>
      <x:c r="I520" s="84" t="n">
        <x:v>0</x:v>
      </x:c>
      <x:c r="J520" s="85" t="n">
        <x:v>1</x:v>
      </x:c>
    </x:row>
    <x:row r="521">
      <x:c r="A521" s="83" t="n">
        <x:v>520</x:v>
      </x:c>
      <x:c r="B521" s="84" t="n">
        <x:v>71</x:v>
      </x:c>
      <x:c r="C521" s="84" t="n">
        <x:v>1599</x:v>
      </x:c>
      <x:c r="D521" s="89" t="n">
        <x:v>45337.79854166666</x:v>
      </x:c>
      <x:c r="E521" s="84" t="str">
        <x:v>Motor</x:v>
      </x:c>
      <x:c r="F521" s="84" t="str">
        <x:v>Perda de sinal</x:v>
      </x:c>
      <x:c r="G521" s="84" t="str">
        <x:v>Desgaste natural</x:v>
      </x:c>
      <x:c r="H521" s="84" t="str">
        <x:v>Baixa</x:v>
      </x:c>
      <x:c r="I521" s="84" t="n">
        <x:v>0</x:v>
      </x:c>
      <x:c r="J521" s="85" t="n">
        <x:v>1</x:v>
      </x:c>
    </x:row>
    <x:row r="522">
      <x:c r="A522" s="83" t="n">
        <x:v>521</x:v>
      </x:c>
      <x:c r="B522" s="84" t="n">
        <x:v>55</x:v>
      </x:c>
      <x:c r="C522" s="84" t="n">
        <x:v>1601</x:v>
      </x:c>
      <x:c r="D522" s="89" t="n">
        <x:v>45107.59725694444</x:v>
      </x:c>
      <x:c r="E522" s="84" t="str">
        <x:v>CLP</x:v>
      </x:c>
      <x:c r="F522" s="84" t="str">
        <x:v>Perda de sinal</x:v>
      </x:c>
      <x:c r="G522" s="84" t="str">
        <x:v>Ajuste incorreto</x:v>
      </x:c>
      <x:c r="H522" s="84" t="str">
        <x:v>Média</x:v>
      </x:c>
      <x:c r="I522" s="84" t="n">
        <x:v>0</x:v>
      </x:c>
      <x:c r="J522" s="85" t="n">
        <x:v>1</x:v>
      </x:c>
    </x:row>
    <x:row r="523">
      <x:c r="A523" s="83" t="n">
        <x:v>522</x:v>
      </x:c>
      <x:c r="B523" s="84" t="n">
        <x:v>85</x:v>
      </x:c>
      <x:c r="C523" s="84" t="n">
        <x:v>1602</x:v>
      </x:c>
      <x:c r="D523" s="89" t="n">
        <x:v>45977.572962962964</x:v>
      </x:c>
      <x:c r="E523" s="84" t="str">
        <x:v>CLP</x:v>
      </x:c>
      <x:c r="F523" s="84" t="str">
        <x:v>Perda de sinal</x:v>
      </x:c>
      <x:c r="G523" s="84" t="str">
        <x:v>Contaminação</x:v>
      </x:c>
      <x:c r="H523" s="84" t="str">
        <x:v>Alta</x:v>
      </x:c>
      <x:c r="I523" s="84" t="n">
        <x:v>0</x:v>
      </x:c>
      <x:c r="J523" s="85" t="n">
        <x:v>1</x:v>
      </x:c>
    </x:row>
    <x:row r="524">
      <x:c r="A524" s="83" t="n">
        <x:v>523</x:v>
      </x:c>
      <x:c r="B524" s="84" t="n">
        <x:v>64</x:v>
      </x:c>
      <x:c r="C524" s="84" t="n">
        <x:v>1605</x:v>
      </x:c>
      <x:c r="D524" s="89" t="n">
        <x:v>45080.25498842593</x:v>
      </x:c>
      <x:c r="E524" s="84" t="str">
        <x:v>Rolamento</x:v>
      </x:c>
      <x:c r="F524" s="84" t="str">
        <x:v>Desgaste</x:v>
      </x:c>
      <x:c r="G524" s="84" t="str">
        <x:v>Componente danificado</x:v>
      </x:c>
      <x:c r="H524" s="84" t="str">
        <x:v>Baixa</x:v>
      </x:c>
      <x:c r="I524" s="84" t="n">
        <x:v>1</x:v>
      </x:c>
      <x:c r="J524" s="85" t="n">
        <x:v>1</x:v>
      </x:c>
    </x:row>
    <x:row r="525">
      <x:c r="A525" s="83" t="n">
        <x:v>524</x:v>
      </x:c>
      <x:c r="B525" s="84" t="n">
        <x:v>76</x:v>
      </x:c>
      <x:c r="C525" s="84" t="n">
        <x:v>1606</x:v>
      </x:c>
      <x:c r="D525" s="89" t="n">
        <x:v>45081.14685185185</x:v>
      </x:c>
      <x:c r="E525" s="84" t="str">
        <x:v>Motor</x:v>
      </x:c>
      <x:c r="F525" s="84" t="str">
        <x:v>Perda de sinal</x:v>
      </x:c>
      <x:c r="G525" s="84" t="str">
        <x:v>Contaminação</x:v>
      </x:c>
      <x:c r="H525" s="84" t="str">
        <x:v>Média</x:v>
      </x:c>
      <x:c r="I525" s="84" t="n">
        <x:v>0</x:v>
      </x:c>
      <x:c r="J525" s="85" t="n">
        <x:v>1</x:v>
      </x:c>
    </x:row>
    <x:row r="526">
      <x:c r="A526" s="83" t="n">
        <x:v>525</x:v>
      </x:c>
      <x:c r="B526" s="84" t="n">
        <x:v>14</x:v>
      </x:c>
      <x:c r="C526" s="84" t="n">
        <x:v>1607</x:v>
      </x:c>
      <x:c r="D526" s="89" t="n">
        <x:v>45379.35880787037</x:v>
      </x:c>
      <x:c r="E526" s="84" t="str">
        <x:v>CLP</x:v>
      </x:c>
      <x:c r="F526" s="84" t="str">
        <x:v>Curto-circuito</x:v>
      </x:c>
      <x:c r="G526" s="84" t="str">
        <x:v>Desgaste natural</x:v>
      </x:c>
      <x:c r="H526" s="84" t="str">
        <x:v>Alta</x:v>
      </x:c>
      <x:c r="I526" s="84" t="n">
        <x:v>1</x:v>
      </x:c>
      <x:c r="J526" s="85" t="n">
        <x:v>1</x:v>
      </x:c>
    </x:row>
    <x:row r="527">
      <x:c r="A527" s="83" t="n">
        <x:v>526</x:v>
      </x:c>
      <x:c r="B527" s="84" t="n">
        <x:v>84</x:v>
      </x:c>
      <x:c r="C527" s="84" t="n">
        <x:v>1608</x:v>
      </x:c>
      <x:c r="D527" s="89" t="n">
        <x:v>44960.89158564815</x:v>
      </x:c>
      <x:c r="E527" s="84" t="str">
        <x:v>Válvula</x:v>
      </x:c>
      <x:c r="F527" s="84" t="str">
        <x:v>Curto-circuito</x:v>
      </x:c>
      <x:c r="G527" s="84" t="str">
        <x:v>Falta de lubrificação</x:v>
      </x:c>
      <x:c r="H527" s="84" t="str">
        <x:v>Baixa</x:v>
      </x:c>
      <x:c r="I527" s="84" t="n">
        <x:v>0</x:v>
      </x:c>
      <x:c r="J527" s="85" t="n">
        <x:v>1</x:v>
      </x:c>
    </x:row>
    <x:row r="528">
      <x:c r="A528" s="83" t="n">
        <x:v>527</x:v>
      </x:c>
      <x:c r="B528" s="84" t="n">
        <x:v>49</x:v>
      </x:c>
      <x:c r="C528" s="84" t="n">
        <x:v>1610</x:v>
      </x:c>
      <x:c r="D528" s="89" t="n">
        <x:v>45150.869409722225</x:v>
      </x:c>
      <x:c r="E528" s="84" t="str">
        <x:v>Motor</x:v>
      </x:c>
      <x:c r="F528" s="84" t="str">
        <x:v>Quebra</x:v>
      </x:c>
      <x:c r="G528" s="84" t="str">
        <x:v>Ajuste incorreto</x:v>
      </x:c>
      <x:c r="H528" s="84" t="str">
        <x:v>Média</x:v>
      </x:c>
      <x:c r="I528" s="84" t="n">
        <x:v>0</x:v>
      </x:c>
      <x:c r="J528" s="85" t="n">
        <x:v>1</x:v>
      </x:c>
    </x:row>
    <x:row r="529">
      <x:c r="A529" s="83" t="n">
        <x:v>528</x:v>
      </x:c>
      <x:c r="B529" s="84" t="n">
        <x:v>5</x:v>
      </x:c>
      <x:c r="C529" s="84" t="n">
        <x:v>1611</x:v>
      </x:c>
      <x:c r="D529" s="89" t="n">
        <x:v>45569.21407407407</x:v>
      </x:c>
      <x:c r="E529" s="84" t="str">
        <x:v>Motor</x:v>
      </x:c>
      <x:c r="F529" s="84" t="str">
        <x:v>Curto-circuito</x:v>
      </x:c>
      <x:c r="G529" s="84" t="str">
        <x:v>Falta de lubrificação</x:v>
      </x:c>
      <x:c r="H529" s="84" t="str">
        <x:v>Alta</x:v>
      </x:c>
      <x:c r="I529" s="84" t="n">
        <x:v>0</x:v>
      </x:c>
      <x:c r="J529" s="85" t="n">
        <x:v>1</x:v>
      </x:c>
    </x:row>
    <x:row r="530">
      <x:c r="A530" s="83" t="n">
        <x:v>529</x:v>
      </x:c>
      <x:c r="B530" s="84" t="n">
        <x:v>39</x:v>
      </x:c>
      <x:c r="C530" s="84" t="n">
        <x:v>1615</x:v>
      </x:c>
      <x:c r="D530" s="89" t="n">
        <x:v>44954.54996527778</x:v>
      </x:c>
      <x:c r="E530" s="84" t="str">
        <x:v>Válvula</x:v>
      </x:c>
      <x:c r="F530" s="84" t="str">
        <x:v>Quebra</x:v>
      </x:c>
      <x:c r="G530" s="84" t="str">
        <x:v>Contaminação</x:v>
      </x:c>
      <x:c r="H530" s="84" t="str">
        <x:v>Alta</x:v>
      </x:c>
      <x:c r="I530" s="84" t="n">
        <x:v>0</x:v>
      </x:c>
      <x:c r="J530" s="85" t="n">
        <x:v>1</x:v>
      </x:c>
    </x:row>
    <x:row r="531">
      <x:c r="A531" s="83" t="n">
        <x:v>530</x:v>
      </x:c>
      <x:c r="B531" s="84" t="n">
        <x:v>58</x:v>
      </x:c>
      <x:c r="C531" s="84" t="n">
        <x:v>1620</x:v>
      </x:c>
      <x:c r="D531" s="89" t="n">
        <x:v>45370.83001157407</x:v>
      </x:c>
      <x:c r="E531" s="84" t="str">
        <x:v>Correia</x:v>
      </x:c>
      <x:c r="F531" s="84" t="str">
        <x:v>Perda de sinal</x:v>
      </x:c>
      <x:c r="G531" s="84" t="str">
        <x:v>Conexão frouxa</x:v>
      </x:c>
      <x:c r="H531" s="84" t="str">
        <x:v>Alta</x:v>
      </x:c>
      <x:c r="I531" s="84" t="n">
        <x:v>0</x:v>
      </x:c>
      <x:c r="J531" s="85" t="n">
        <x:v>1</x:v>
      </x:c>
    </x:row>
    <x:row r="532">
      <x:c r="A532" s="83" t="n">
        <x:v>531</x:v>
      </x:c>
      <x:c r="B532" s="84" t="n">
        <x:v>69</x:v>
      </x:c>
      <x:c r="C532" s="84" t="n">
        <x:v>1622</x:v>
      </x:c>
      <x:c r="D532" s="89" t="n">
        <x:v>45012.612905092596</x:v>
      </x:c>
      <x:c r="E532" s="84" t="str">
        <x:v>Rolamento</x:v>
      </x:c>
      <x:c r="F532" s="84" t="str">
        <x:v>Quebra</x:v>
      </x:c>
      <x:c r="G532" s="84" t="str">
        <x:v>Falta de lubrificação</x:v>
      </x:c>
      <x:c r="H532" s="84" t="str">
        <x:v>Média</x:v>
      </x:c>
      <x:c r="I532" s="84" t="n">
        <x:v>0</x:v>
      </x:c>
      <x:c r="J532" s="85" t="n">
        <x:v>1</x:v>
      </x:c>
    </x:row>
    <x:row r="533">
      <x:c r="A533" s="83" t="n">
        <x:v>532</x:v>
      </x:c>
      <x:c r="B533" s="84" t="n">
        <x:v>8</x:v>
      </x:c>
      <x:c r="C533" s="84" t="n">
        <x:v>1623</x:v>
      </x:c>
      <x:c r="D533" s="89" t="n">
        <x:v>45201.97996527778</x:v>
      </x:c>
      <x:c r="E533" s="84" t="str">
        <x:v>Válvula</x:v>
      </x:c>
      <x:c r="F533" s="84" t="str">
        <x:v>Travamento</x:v>
      </x:c>
      <x:c r="G533" s="84" t="str">
        <x:v>Contaminação</x:v>
      </x:c>
      <x:c r="H533" s="84" t="str">
        <x:v>Alta</x:v>
      </x:c>
      <x:c r="I533" s="84" t="n">
        <x:v>0</x:v>
      </x:c>
      <x:c r="J533" s="85" t="n">
        <x:v>1</x:v>
      </x:c>
    </x:row>
    <x:row r="534">
      <x:c r="A534" s="83" t="n">
        <x:v>533</x:v>
      </x:c>
      <x:c r="B534" s="84" t="n">
        <x:v>25</x:v>
      </x:c>
      <x:c r="C534" s="84" t="n">
        <x:v>1631</x:v>
      </x:c>
      <x:c r="D534" s="89" t="n">
        <x:v>45824.03590277778</x:v>
      </x:c>
      <x:c r="E534" s="84" t="str">
        <x:v>Correia</x:v>
      </x:c>
      <x:c r="F534" s="84" t="str">
        <x:v>Perda de sinal</x:v>
      </x:c>
      <x:c r="G534" s="84" t="str">
        <x:v>Conexão frouxa</x:v>
      </x:c>
      <x:c r="H534" s="84" t="str">
        <x:v>Alta</x:v>
      </x:c>
      <x:c r="I534" s="84" t="n">
        <x:v>0</x:v>
      </x:c>
      <x:c r="J534" s="85" t="n">
        <x:v>1</x:v>
      </x:c>
    </x:row>
    <x:row r="535">
      <x:c r="A535" s="83" t="n">
        <x:v>534</x:v>
      </x:c>
      <x:c r="B535" s="84" t="n">
        <x:v>22</x:v>
      </x:c>
      <x:c r="C535" s="84" t="n">
        <x:v>1634</x:v>
      </x:c>
      <x:c r="D535" s="89" t="n">
        <x:v>44929.20978009259</x:v>
      </x:c>
      <x:c r="E535" s="84" t="str">
        <x:v>Motor</x:v>
      </x:c>
      <x:c r="F535" s="84" t="str">
        <x:v>Perda de sinal</x:v>
      </x:c>
      <x:c r="G535" s="84" t="str">
        <x:v>Componente danificado</x:v>
      </x:c>
      <x:c r="H535" s="84" t="str">
        <x:v>Alta</x:v>
      </x:c>
      <x:c r="I535" s="84" t="n">
        <x:v>0</x:v>
      </x:c>
      <x:c r="J535" s="85" t="n">
        <x:v>1</x:v>
      </x:c>
    </x:row>
    <x:row r="536">
      <x:c r="A536" s="83" t="n">
        <x:v>535</x:v>
      </x:c>
      <x:c r="B536" s="84" t="n">
        <x:v>51</x:v>
      </x:c>
      <x:c r="C536" s="84" t="n">
        <x:v>1635</x:v>
      </x:c>
      <x:c r="D536" s="89" t="n">
        <x:v>45176.12625</x:v>
      </x:c>
      <x:c r="E536" s="84" t="str">
        <x:v>Sensor</x:v>
      </x:c>
      <x:c r="F536" s="84" t="str">
        <x:v>Perda de sinal</x:v>
      </x:c>
      <x:c r="G536" s="84" t="str">
        <x:v>Contaminação</x:v>
      </x:c>
      <x:c r="H536" s="84" t="str">
        <x:v>Alta</x:v>
      </x:c>
      <x:c r="I536" s="84" t="n">
        <x:v>1</x:v>
      </x:c>
      <x:c r="J536" s="85" t="n">
        <x:v>1</x:v>
      </x:c>
    </x:row>
    <x:row r="537">
      <x:c r="A537" s="83" t="n">
        <x:v>536</x:v>
      </x:c>
      <x:c r="B537" s="84" t="n">
        <x:v>68</x:v>
      </x:c>
      <x:c r="C537" s="84" t="n">
        <x:v>1640</x:v>
      </x:c>
      <x:c r="D537" s="89" t="n">
        <x:v>45895.10775462963</x:v>
      </x:c>
      <x:c r="E537" s="84" t="str">
        <x:v>Rolamento</x:v>
      </x:c>
      <x:c r="F537" s="84" t="str">
        <x:v>Travamento</x:v>
      </x:c>
      <x:c r="G537" s="84" t="str">
        <x:v>Falta de lubrificação</x:v>
      </x:c>
      <x:c r="H537" s="84" t="str">
        <x:v>Média</x:v>
      </x:c>
      <x:c r="I537" s="84" t="n">
        <x:v>0</x:v>
      </x:c>
      <x:c r="J537" s="85" t="n">
        <x:v>1</x:v>
      </x:c>
    </x:row>
    <x:row r="538">
      <x:c r="A538" s="83" t="n">
        <x:v>537</x:v>
      </x:c>
      <x:c r="B538" s="84" t="n">
        <x:v>76</x:v>
      </x:c>
      <x:c r="C538" s="84" t="n">
        <x:v>1646</x:v>
      </x:c>
      <x:c r="D538" s="89" t="n">
        <x:v>45365.3409375</x:v>
      </x:c>
      <x:c r="E538" s="84" t="str">
        <x:v>Sensor</x:v>
      </x:c>
      <x:c r="F538" s="84" t="str">
        <x:v>Perda de sinal</x:v>
      </x:c>
      <x:c r="G538" s="84" t="str">
        <x:v>Falta de lubrificação</x:v>
      </x:c>
      <x:c r="H538" s="84" t="str">
        <x:v>Média</x:v>
      </x:c>
      <x:c r="I538" s="84" t="n">
        <x:v>0</x:v>
      </x:c>
      <x:c r="J538" s="85" t="n">
        <x:v>1</x:v>
      </x:c>
    </x:row>
    <x:row r="539">
      <x:c r="A539" s="83" t="n">
        <x:v>538</x:v>
      </x:c>
      <x:c r="B539" s="84" t="n">
        <x:v>38</x:v>
      </x:c>
      <x:c r="C539" s="84" t="n">
        <x:v>1647</x:v>
      </x:c>
      <x:c r="D539" s="89" t="n">
        <x:v>45686.75349537037</x:v>
      </x:c>
      <x:c r="E539" s="84" t="str">
        <x:v>CLP</x:v>
      </x:c>
      <x:c r="F539" s="84" t="str">
        <x:v>Desgaste</x:v>
      </x:c>
      <x:c r="G539" s="84" t="str">
        <x:v>Ajuste incorreto</x:v>
      </x:c>
      <x:c r="H539" s="84" t="str">
        <x:v>Média</x:v>
      </x:c>
      <x:c r="I539" s="84" t="n">
        <x:v>0</x:v>
      </x:c>
      <x:c r="J539" s="85" t="n">
        <x:v>1</x:v>
      </x:c>
    </x:row>
    <x:row r="540">
      <x:c r="A540" s="83" t="n">
        <x:v>539</x:v>
      </x:c>
      <x:c r="B540" s="84" t="n">
        <x:v>20</x:v>
      </x:c>
      <x:c r="C540" s="84" t="n">
        <x:v>1648</x:v>
      </x:c>
      <x:c r="D540" s="89" t="n">
        <x:v>45525.29083333333</x:v>
      </x:c>
      <x:c r="E540" s="84" t="str">
        <x:v>Motor</x:v>
      </x:c>
      <x:c r="F540" s="84" t="str">
        <x:v>Perda de sinal</x:v>
      </x:c>
      <x:c r="G540" s="84" t="str">
        <x:v>Ajuste incorreto</x:v>
      </x:c>
      <x:c r="H540" s="84" t="str">
        <x:v>Baixa</x:v>
      </x:c>
      <x:c r="I540" s="84" t="n">
        <x:v>0</x:v>
      </x:c>
      <x:c r="J540" s="85" t="n">
        <x:v>1</x:v>
      </x:c>
    </x:row>
    <x:row r="541">
      <x:c r="A541" s="83" t="n">
        <x:v>540</x:v>
      </x:c>
      <x:c r="B541" s="84" t="n">
        <x:v>77</x:v>
      </x:c>
      <x:c r="C541" s="84" t="n">
        <x:v>1650</x:v>
      </x:c>
      <x:c r="D541" s="89" t="n">
        <x:v>45931.433217592596</x:v>
      </x:c>
      <x:c r="E541" s="84" t="str">
        <x:v>Motor</x:v>
      </x:c>
      <x:c r="F541" s="84" t="str">
        <x:v>Travamento</x:v>
      </x:c>
      <x:c r="G541" s="84" t="str">
        <x:v>Desgaste natural</x:v>
      </x:c>
      <x:c r="H541" s="84" t="str">
        <x:v>Média</x:v>
      </x:c>
      <x:c r="I541" s="84" t="n">
        <x:v>0</x:v>
      </x:c>
      <x:c r="J541" s="85" t="n">
        <x:v>1</x:v>
      </x:c>
    </x:row>
    <x:row r="542">
      <x:c r="A542" s="83" t="n">
        <x:v>541</x:v>
      </x:c>
      <x:c r="B542" s="84" t="n">
        <x:v>72</x:v>
      </x:c>
      <x:c r="C542" s="84" t="n">
        <x:v>1651</x:v>
      </x:c>
      <x:c r="D542" s="89" t="n">
        <x:v>45582.24344907407</x:v>
      </x:c>
      <x:c r="E542" s="84" t="str">
        <x:v>Válvula</x:v>
      </x:c>
      <x:c r="F542" s="84" t="str">
        <x:v>Travamento</x:v>
      </x:c>
      <x:c r="G542" s="84" t="str">
        <x:v>Ajuste incorreto</x:v>
      </x:c>
      <x:c r="H542" s="84" t="str">
        <x:v>Média</x:v>
      </x:c>
      <x:c r="I542" s="84" t="n">
        <x:v>0</x:v>
      </x:c>
      <x:c r="J542" s="85" t="n">
        <x:v>1</x:v>
      </x:c>
    </x:row>
    <x:row r="543">
      <x:c r="A543" s="83" t="n">
        <x:v>542</x:v>
      </x:c>
      <x:c r="B543" s="84" t="n">
        <x:v>30</x:v>
      </x:c>
      <x:c r="C543" s="84" t="n">
        <x:v>1652</x:v>
      </x:c>
      <x:c r="D543" s="89" t="n">
        <x:v>45124.05196759259</x:v>
      </x:c>
      <x:c r="E543" s="84" t="str">
        <x:v>Válvula</x:v>
      </x:c>
      <x:c r="F543" s="84" t="str">
        <x:v>Desgaste</x:v>
      </x:c>
      <x:c r="G543" s="84" t="str">
        <x:v>Conexão frouxa</x:v>
      </x:c>
      <x:c r="H543" s="84" t="str">
        <x:v>Baixa</x:v>
      </x:c>
      <x:c r="I543" s="84" t="n">
        <x:v>0</x:v>
      </x:c>
      <x:c r="J543" s="85" t="n">
        <x:v>1</x:v>
      </x:c>
    </x:row>
    <x:row r="544">
      <x:c r="A544" s="83" t="n">
        <x:v>543</x:v>
      </x:c>
      <x:c r="B544" s="84" t="n">
        <x:v>35</x:v>
      </x:c>
      <x:c r="C544" s="84" t="n">
        <x:v>1654</x:v>
      </x:c>
      <x:c r="D544" s="89" t="n">
        <x:v>45231.208599537036</x:v>
      </x:c>
      <x:c r="E544" s="84" t="str">
        <x:v>Rolamento</x:v>
      </x:c>
      <x:c r="F544" s="84" t="str">
        <x:v>Travamento</x:v>
      </x:c>
      <x:c r="G544" s="84" t="str">
        <x:v>Desgaste natural</x:v>
      </x:c>
      <x:c r="H544" s="84" t="str">
        <x:v>Média</x:v>
      </x:c>
      <x:c r="I544" s="84" t="n">
        <x:v>0</x:v>
      </x:c>
      <x:c r="J544" s="85" t="n">
        <x:v>1</x:v>
      </x:c>
    </x:row>
    <x:row r="545">
      <x:c r="A545" s="83" t="n">
        <x:v>544</x:v>
      </x:c>
      <x:c r="B545" s="84" t="n">
        <x:v>53</x:v>
      </x:c>
      <x:c r="C545" s="84" t="n">
        <x:v>1656</x:v>
      </x:c>
      <x:c r="D545" s="89" t="n">
        <x:v>45077.945752314816</x:v>
      </x:c>
      <x:c r="E545" s="84" t="str">
        <x:v>Motor</x:v>
      </x:c>
      <x:c r="F545" s="84" t="str">
        <x:v>Travamento</x:v>
      </x:c>
      <x:c r="G545" s="84" t="str">
        <x:v>Falta de lubrificação</x:v>
      </x:c>
      <x:c r="H545" s="84" t="str">
        <x:v>Média</x:v>
      </x:c>
      <x:c r="I545" s="84" t="n">
        <x:v>0</x:v>
      </x:c>
      <x:c r="J545" s="85" t="n">
        <x:v>1</x:v>
      </x:c>
    </x:row>
    <x:row r="546">
      <x:c r="A546" s="83" t="n">
        <x:v>545</x:v>
      </x:c>
      <x:c r="B546" s="84" t="n">
        <x:v>11</x:v>
      </x:c>
      <x:c r="C546" s="84" t="n">
        <x:v>1659</x:v>
      </x:c>
      <x:c r="D546" s="89" t="n">
        <x:v>45680.51788194444</x:v>
      </x:c>
      <x:c r="E546" s="84" t="str">
        <x:v>CLP</x:v>
      </x:c>
      <x:c r="F546" s="84" t="str">
        <x:v>Perda de sinal</x:v>
      </x:c>
      <x:c r="G546" s="84" t="str">
        <x:v>Contaminação</x:v>
      </x:c>
      <x:c r="H546" s="84" t="str">
        <x:v>Média</x:v>
      </x:c>
      <x:c r="I546" s="84" t="n">
        <x:v>0</x:v>
      </x:c>
      <x:c r="J546" s="85" t="n">
        <x:v>1</x:v>
      </x:c>
    </x:row>
    <x:row r="547">
      <x:c r="A547" s="83" t="n">
        <x:v>546</x:v>
      </x:c>
      <x:c r="B547" s="84" t="n">
        <x:v>65</x:v>
      </x:c>
      <x:c r="C547" s="84" t="n">
        <x:v>1661</x:v>
      </x:c>
      <x:c r="D547" s="89" t="n">
        <x:v>45556.03876157408</x:v>
      </x:c>
      <x:c r="E547" s="84" t="str">
        <x:v>Válvula</x:v>
      </x:c>
      <x:c r="F547" s="84" t="str">
        <x:v>Perda de sinal</x:v>
      </x:c>
      <x:c r="G547" s="84" t="str">
        <x:v>Componente danificado</x:v>
      </x:c>
      <x:c r="H547" s="84" t="str">
        <x:v>Alta</x:v>
      </x:c>
      <x:c r="I547" s="84" t="n">
        <x:v>1</x:v>
      </x:c>
      <x:c r="J547" s="85" t="n">
        <x:v>1</x:v>
      </x:c>
    </x:row>
    <x:row r="548">
      <x:c r="A548" s="83" t="n">
        <x:v>547</x:v>
      </x:c>
      <x:c r="B548" s="84" t="n">
        <x:v>68</x:v>
      </x:c>
      <x:c r="C548" s="84" t="n">
        <x:v>1663</x:v>
      </x:c>
      <x:c r="D548" s="89" t="n">
        <x:v>45088.13636574074</x:v>
      </x:c>
      <x:c r="E548" s="84" t="str">
        <x:v>Correia</x:v>
      </x:c>
      <x:c r="F548" s="84" t="str">
        <x:v>Curto-circuito</x:v>
      </x:c>
      <x:c r="G548" s="84" t="str">
        <x:v>Componente danificado</x:v>
      </x:c>
      <x:c r="H548" s="84" t="str">
        <x:v>Alta</x:v>
      </x:c>
      <x:c r="I548" s="84" t="n">
        <x:v>0</x:v>
      </x:c>
      <x:c r="J548" s="85" t="n">
        <x:v>1</x:v>
      </x:c>
    </x:row>
    <x:row r="549">
      <x:c r="A549" s="83" t="n">
        <x:v>548</x:v>
      </x:c>
      <x:c r="B549" s="84" t="n">
        <x:v>90</x:v>
      </x:c>
      <x:c r="C549" s="84" t="n">
        <x:v>1670</x:v>
      </x:c>
      <x:c r="D549" s="89" t="n">
        <x:v>45034.96207175926</x:v>
      </x:c>
      <x:c r="E549" s="84" t="str">
        <x:v>Válvula</x:v>
      </x:c>
      <x:c r="F549" s="84" t="str">
        <x:v>Quebra</x:v>
      </x:c>
      <x:c r="G549" s="84" t="str">
        <x:v>Componente danificado</x:v>
      </x:c>
      <x:c r="H549" s="84" t="str">
        <x:v>Alta</x:v>
      </x:c>
      <x:c r="I549" s="84" t="n">
        <x:v>1</x:v>
      </x:c>
      <x:c r="J549" s="85" t="n">
        <x:v>1</x:v>
      </x:c>
    </x:row>
    <x:row r="550">
      <x:c r="A550" s="83" t="n">
        <x:v>549</x:v>
      </x:c>
      <x:c r="B550" s="84" t="n">
        <x:v>46</x:v>
      </x:c>
      <x:c r="C550" s="84" t="n">
        <x:v>1672</x:v>
      </x:c>
      <x:c r="D550" s="89" t="n">
        <x:v>45292.907175925924</x:v>
      </x:c>
      <x:c r="E550" s="84" t="str">
        <x:v>CLP</x:v>
      </x:c>
      <x:c r="F550" s="84" t="str">
        <x:v>Perda de sinal</x:v>
      </x:c>
      <x:c r="G550" s="84" t="str">
        <x:v>Falta de lubrificação</x:v>
      </x:c>
      <x:c r="H550" s="84" t="str">
        <x:v>Média</x:v>
      </x:c>
      <x:c r="I550" s="84" t="n">
        <x:v>0</x:v>
      </x:c>
      <x:c r="J550" s="85" t="n">
        <x:v>1</x:v>
      </x:c>
    </x:row>
    <x:row r="551">
      <x:c r="A551" s="83" t="n">
        <x:v>550</x:v>
      </x:c>
      <x:c r="B551" s="84" t="n">
        <x:v>87</x:v>
      </x:c>
      <x:c r="C551" s="84" t="n">
        <x:v>1677</x:v>
      </x:c>
      <x:c r="D551" s="89" t="n">
        <x:v>45607.810844907406</x:v>
      </x:c>
      <x:c r="E551" s="84" t="str">
        <x:v>Rolamento</x:v>
      </x:c>
      <x:c r="F551" s="84" t="str">
        <x:v>Quebra</x:v>
      </x:c>
      <x:c r="G551" s="84" t="str">
        <x:v>Ajuste incorreto</x:v>
      </x:c>
      <x:c r="H551" s="84" t="str">
        <x:v>Alta</x:v>
      </x:c>
      <x:c r="I551" s="84" t="n">
        <x:v>0</x:v>
      </x:c>
      <x:c r="J551" s="85" t="n">
        <x:v>1</x:v>
      </x:c>
    </x:row>
    <x:row r="552">
      <x:c r="A552" s="83" t="n">
        <x:v>551</x:v>
      </x:c>
      <x:c r="B552" s="84" t="n">
        <x:v>52</x:v>
      </x:c>
      <x:c r="C552" s="84" t="n">
        <x:v>1680</x:v>
      </x:c>
      <x:c r="D552" s="89" t="n">
        <x:v>45867.201736111114</x:v>
      </x:c>
      <x:c r="E552" s="84" t="str">
        <x:v>CLP</x:v>
      </x:c>
      <x:c r="F552" s="84" t="str">
        <x:v>Quebra</x:v>
      </x:c>
      <x:c r="G552" s="84" t="str">
        <x:v>Conexão frouxa</x:v>
      </x:c>
      <x:c r="H552" s="84" t="str">
        <x:v>Média</x:v>
      </x:c>
      <x:c r="I552" s="84" t="n">
        <x:v>0</x:v>
      </x:c>
      <x:c r="J552" s="85" t="n">
        <x:v>1</x:v>
      </x:c>
    </x:row>
    <x:row r="553">
      <x:c r="A553" s="83" t="n">
        <x:v>552</x:v>
      </x:c>
      <x:c r="B553" s="84" t="n">
        <x:v>16</x:v>
      </x:c>
      <x:c r="C553" s="84" t="n">
        <x:v>1682</x:v>
      </x:c>
      <x:c r="D553" s="89" t="n">
        <x:v>45441.02888888889</x:v>
      </x:c>
      <x:c r="E553" s="84" t="str">
        <x:v>Rolamento</x:v>
      </x:c>
      <x:c r="F553" s="84" t="str">
        <x:v>Quebra</x:v>
      </x:c>
      <x:c r="G553" s="84" t="str">
        <x:v>Falta de lubrificação</x:v>
      </x:c>
      <x:c r="H553" s="84" t="str">
        <x:v>Baixa</x:v>
      </x:c>
      <x:c r="I553" s="84" t="n">
        <x:v>0</x:v>
      </x:c>
      <x:c r="J553" s="85" t="n">
        <x:v>1</x:v>
      </x:c>
    </x:row>
    <x:row r="554">
      <x:c r="A554" s="83" t="n">
        <x:v>553</x:v>
      </x:c>
      <x:c r="B554" s="84" t="n">
        <x:v>50</x:v>
      </x:c>
      <x:c r="C554" s="84" t="n">
        <x:v>1692</x:v>
      </x:c>
      <x:c r="D554" s="89" t="n">
        <x:v>45905.259560185186</x:v>
      </x:c>
      <x:c r="E554" s="84" t="str">
        <x:v>CLP</x:v>
      </x:c>
      <x:c r="F554" s="84" t="str">
        <x:v>Travamento</x:v>
      </x:c>
      <x:c r="G554" s="84" t="str">
        <x:v>Desgaste natural</x:v>
      </x:c>
      <x:c r="H554" s="84" t="str">
        <x:v>Baixa</x:v>
      </x:c>
      <x:c r="I554" s="84" t="n">
        <x:v>0</x:v>
      </x:c>
      <x:c r="J554" s="85" t="n">
        <x:v>1</x:v>
      </x:c>
    </x:row>
    <x:row r="555">
      <x:c r="A555" s="83" t="n">
        <x:v>554</x:v>
      </x:c>
      <x:c r="B555" s="84" t="n">
        <x:v>16</x:v>
      </x:c>
      <x:c r="C555" s="84" t="n">
        <x:v>1693</x:v>
      </x:c>
      <x:c r="D555" s="89" t="n">
        <x:v>44933.890439814815</x:v>
      </x:c>
      <x:c r="E555" s="84" t="str">
        <x:v>CLP</x:v>
      </x:c>
      <x:c r="F555" s="84" t="str">
        <x:v>Desgaste</x:v>
      </x:c>
      <x:c r="G555" s="84" t="str">
        <x:v>Contaminação</x:v>
      </x:c>
      <x:c r="H555" s="84" t="str">
        <x:v>Média</x:v>
      </x:c>
      <x:c r="I555" s="84" t="n">
        <x:v>0</x:v>
      </x:c>
      <x:c r="J555" s="85" t="n">
        <x:v>1</x:v>
      </x:c>
    </x:row>
    <x:row r="556">
      <x:c r="A556" s="83" t="n">
        <x:v>555</x:v>
      </x:c>
      <x:c r="B556" s="84" t="n">
        <x:v>51</x:v>
      </x:c>
      <x:c r="C556" s="84" t="n">
        <x:v>1694</x:v>
      </x:c>
      <x:c r="D556" s="89" t="n">
        <x:v>45213.96171296296</x:v>
      </x:c>
      <x:c r="E556" s="84" t="str">
        <x:v>Motor</x:v>
      </x:c>
      <x:c r="F556" s="84" t="str">
        <x:v>Perda de sinal</x:v>
      </x:c>
      <x:c r="G556" s="84" t="str">
        <x:v>Ajuste incorreto</x:v>
      </x:c>
      <x:c r="H556" s="84" t="str">
        <x:v>Média</x:v>
      </x:c>
      <x:c r="I556" s="84" t="n">
        <x:v>0</x:v>
      </x:c>
      <x:c r="J556" s="85" t="n">
        <x:v>1</x:v>
      </x:c>
    </x:row>
    <x:row r="557">
      <x:c r="A557" s="83" t="n">
        <x:v>556</x:v>
      </x:c>
      <x:c r="B557" s="84" t="n">
        <x:v>39</x:v>
      </x:c>
      <x:c r="C557" s="84" t="n">
        <x:v>1698</x:v>
      </x:c>
      <x:c r="D557" s="89" t="n">
        <x:v>45799.73459490741</x:v>
      </x:c>
      <x:c r="E557" s="84" t="str">
        <x:v>CLP</x:v>
      </x:c>
      <x:c r="F557" s="84" t="str">
        <x:v>Perda de sinal</x:v>
      </x:c>
      <x:c r="G557" s="84" t="str">
        <x:v>Conexão frouxa</x:v>
      </x:c>
      <x:c r="H557" s="84" t="str">
        <x:v>Alta</x:v>
      </x:c>
      <x:c r="I557" s="84" t="n">
        <x:v>0</x:v>
      </x:c>
      <x:c r="J557" s="85" t="n">
        <x:v>1</x:v>
      </x:c>
    </x:row>
    <x:row r="558">
      <x:c r="A558" s="83" t="n">
        <x:v>557</x:v>
      </x:c>
      <x:c r="B558" s="84" t="n">
        <x:v>35</x:v>
      </x:c>
      <x:c r="C558" s="84" t="n">
        <x:v>1699</x:v>
      </x:c>
      <x:c r="D558" s="89" t="n">
        <x:v>44980.91599537037</x:v>
      </x:c>
      <x:c r="E558" s="84" t="str">
        <x:v>Correia</x:v>
      </x:c>
      <x:c r="F558" s="84" t="str">
        <x:v>Perda de sinal</x:v>
      </x:c>
      <x:c r="G558" s="84" t="str">
        <x:v>Desgaste natural</x:v>
      </x:c>
      <x:c r="H558" s="84" t="str">
        <x:v>Baixa</x:v>
      </x:c>
      <x:c r="I558" s="84" t="n">
        <x:v>0</x:v>
      </x:c>
      <x:c r="J558" s="85" t="n">
        <x:v>1</x:v>
      </x:c>
    </x:row>
    <x:row r="559">
      <x:c r="A559" s="83" t="n">
        <x:v>558</x:v>
      </x:c>
      <x:c r="B559" s="84" t="n">
        <x:v>45</x:v>
      </x:c>
      <x:c r="C559" s="84" t="n">
        <x:v>1705</x:v>
      </x:c>
      <x:c r="D559" s="89" t="n">
        <x:v>45400.856145833335</x:v>
      </x:c>
      <x:c r="E559" s="84" t="str">
        <x:v>Motor</x:v>
      </x:c>
      <x:c r="F559" s="84" t="str">
        <x:v>Perda de sinal</x:v>
      </x:c>
      <x:c r="G559" s="84" t="str">
        <x:v>Ajuste incorreto</x:v>
      </x:c>
      <x:c r="H559" s="84" t="str">
        <x:v>Média</x:v>
      </x:c>
      <x:c r="I559" s="84" t="n">
        <x:v>1</x:v>
      </x:c>
      <x:c r="J559" s="85" t="n">
        <x:v>1</x:v>
      </x:c>
    </x:row>
    <x:row r="560">
      <x:c r="A560" s="83" t="n">
        <x:v>559</x:v>
      </x:c>
      <x:c r="B560" s="84" t="n">
        <x:v>88</x:v>
      </x:c>
      <x:c r="C560" s="84" t="n">
        <x:v>1710</x:v>
      </x:c>
      <x:c r="D560" s="89" t="n">
        <x:v>45902.12837962963</x:v>
      </x:c>
      <x:c r="E560" s="84" t="str">
        <x:v>Rolamento</x:v>
      </x:c>
      <x:c r="F560" s="84" t="str">
        <x:v>Quebra</x:v>
      </x:c>
      <x:c r="G560" s="84" t="str">
        <x:v>Conexão frouxa</x:v>
      </x:c>
      <x:c r="H560" s="84" t="str">
        <x:v>Média</x:v>
      </x:c>
      <x:c r="I560" s="84" t="n">
        <x:v>0</x:v>
      </x:c>
      <x:c r="J560" s="85" t="n">
        <x:v>1</x:v>
      </x:c>
    </x:row>
    <x:row r="561">
      <x:c r="A561" s="83" t="n">
        <x:v>560</x:v>
      </x:c>
      <x:c r="B561" s="84" t="n">
        <x:v>24</x:v>
      </x:c>
      <x:c r="C561" s="84" t="n">
        <x:v>1711</x:v>
      </x:c>
      <x:c r="D561" s="89" t="n">
        <x:v>45692.080659722225</x:v>
      </x:c>
      <x:c r="E561" s="84" t="str">
        <x:v>Correia</x:v>
      </x:c>
      <x:c r="F561" s="84" t="str">
        <x:v>Quebra</x:v>
      </x:c>
      <x:c r="G561" s="84" t="str">
        <x:v>Desgaste natural</x:v>
      </x:c>
      <x:c r="H561" s="84" t="str">
        <x:v>Média</x:v>
      </x:c>
      <x:c r="I561" s="84" t="n">
        <x:v>0</x:v>
      </x:c>
      <x:c r="J561" s="85" t="n">
        <x:v>1</x:v>
      </x:c>
    </x:row>
    <x:row r="562">
      <x:c r="A562" s="83" t="n">
        <x:v>561</x:v>
      </x:c>
      <x:c r="B562" s="84" t="n">
        <x:v>31</x:v>
      </x:c>
      <x:c r="C562" s="84" t="n">
        <x:v>1717</x:v>
      </x:c>
      <x:c r="D562" s="89" t="n">
        <x:v>45046.205</x:v>
      </x:c>
      <x:c r="E562" s="84" t="str">
        <x:v>Sensor</x:v>
      </x:c>
      <x:c r="F562" s="84" t="str">
        <x:v>Desgaste</x:v>
      </x:c>
      <x:c r="G562" s="84" t="str">
        <x:v>Ajuste incorreto</x:v>
      </x:c>
      <x:c r="H562" s="84" t="str">
        <x:v>Baixa</x:v>
      </x:c>
      <x:c r="I562" s="84" t="n">
        <x:v>0</x:v>
      </x:c>
      <x:c r="J562" s="85" t="n">
        <x:v>1</x:v>
      </x:c>
    </x:row>
    <x:row r="563">
      <x:c r="A563" s="83" t="n">
        <x:v>562</x:v>
      </x:c>
      <x:c r="B563" s="84" t="n">
        <x:v>70</x:v>
      </x:c>
      <x:c r="C563" s="84" t="n">
        <x:v>1725</x:v>
      </x:c>
      <x:c r="D563" s="89" t="n">
        <x:v>44983.953194444446</x:v>
      </x:c>
      <x:c r="E563" s="84" t="str">
        <x:v>CLP</x:v>
      </x:c>
      <x:c r="F563" s="84" t="str">
        <x:v>Quebra</x:v>
      </x:c>
      <x:c r="G563" s="84" t="str">
        <x:v>Ajuste incorreto</x:v>
      </x:c>
      <x:c r="H563" s="84" t="str">
        <x:v>Média</x:v>
      </x:c>
      <x:c r="I563" s="84" t="n">
        <x:v>0</x:v>
      </x:c>
      <x:c r="J563" s="85" t="n">
        <x:v>1</x:v>
      </x:c>
    </x:row>
    <x:row r="564">
      <x:c r="A564" s="83" t="n">
        <x:v>563</x:v>
      </x:c>
      <x:c r="B564" s="84" t="n">
        <x:v>18</x:v>
      </x:c>
      <x:c r="C564" s="84" t="n">
        <x:v>1727</x:v>
      </x:c>
      <x:c r="D564" s="89" t="n">
        <x:v>45642.59490740741</x:v>
      </x:c>
      <x:c r="E564" s="84" t="str">
        <x:v>Válvula</x:v>
      </x:c>
      <x:c r="F564" s="84" t="str">
        <x:v>Travamento</x:v>
      </x:c>
      <x:c r="G564" s="84" t="str">
        <x:v>Conexão frouxa</x:v>
      </x:c>
      <x:c r="H564" s="84" t="str">
        <x:v>Alta</x:v>
      </x:c>
      <x:c r="I564" s="84" t="n">
        <x:v>1</x:v>
      </x:c>
      <x:c r="J564" s="85" t="n">
        <x:v>1</x:v>
      </x:c>
    </x:row>
    <x:row r="565">
      <x:c r="A565" s="83" t="n">
        <x:v>564</x:v>
      </x:c>
      <x:c r="B565" s="84" t="n">
        <x:v>89</x:v>
      </x:c>
      <x:c r="C565" s="84" t="n">
        <x:v>1730</x:v>
      </x:c>
      <x:c r="D565" s="89" t="n">
        <x:v>45304.44310185185</x:v>
      </x:c>
      <x:c r="E565" s="84" t="str">
        <x:v>Rolamento</x:v>
      </x:c>
      <x:c r="F565" s="84" t="str">
        <x:v>Quebra</x:v>
      </x:c>
      <x:c r="G565" s="84" t="str">
        <x:v>Desgaste natural</x:v>
      </x:c>
      <x:c r="H565" s="84" t="str">
        <x:v>Baixa</x:v>
      </x:c>
      <x:c r="I565" s="84" t="n">
        <x:v>1</x:v>
      </x:c>
      <x:c r="J565" s="85" t="n">
        <x:v>1</x:v>
      </x:c>
    </x:row>
    <x:row r="566">
      <x:c r="A566" s="83" t="n">
        <x:v>565</x:v>
      </x:c>
      <x:c r="B566" s="84" t="n">
        <x:v>53</x:v>
      </x:c>
      <x:c r="C566" s="84" t="n">
        <x:v>1732</x:v>
      </x:c>
      <x:c r="D566" s="89" t="n">
        <x:v>45345.068715277775</x:v>
      </x:c>
      <x:c r="E566" s="84" t="str">
        <x:v>Válvula</x:v>
      </x:c>
      <x:c r="F566" s="84" t="str">
        <x:v>Quebra</x:v>
      </x:c>
      <x:c r="G566" s="84" t="str">
        <x:v>Componente danificado</x:v>
      </x:c>
      <x:c r="H566" s="84" t="str">
        <x:v>Média</x:v>
      </x:c>
      <x:c r="I566" s="84" t="n">
        <x:v>0</x:v>
      </x:c>
      <x:c r="J566" s="85" t="n">
        <x:v>1</x:v>
      </x:c>
    </x:row>
    <x:row r="567">
      <x:c r="A567" s="83" t="n">
        <x:v>566</x:v>
      </x:c>
      <x:c r="B567" s="84" t="n">
        <x:v>65</x:v>
      </x:c>
      <x:c r="C567" s="84" t="n">
        <x:v>1738</x:v>
      </x:c>
      <x:c r="D567" s="89" t="n">
        <x:v>45274.4384375</x:v>
      </x:c>
      <x:c r="E567" s="84" t="str">
        <x:v>Correia</x:v>
      </x:c>
      <x:c r="F567" s="84" t="str">
        <x:v>Desgaste</x:v>
      </x:c>
      <x:c r="G567" s="84" t="str">
        <x:v>Ajuste incorreto</x:v>
      </x:c>
      <x:c r="H567" s="84" t="str">
        <x:v>Alta</x:v>
      </x:c>
      <x:c r="I567" s="84" t="n">
        <x:v>0</x:v>
      </x:c>
      <x:c r="J567" s="85" t="n">
        <x:v>1</x:v>
      </x:c>
    </x:row>
    <x:row r="568">
      <x:c r="A568" s="83" t="n">
        <x:v>567</x:v>
      </x:c>
      <x:c r="B568" s="84" t="n">
        <x:v>25</x:v>
      </x:c>
      <x:c r="C568" s="84" t="n">
        <x:v>1739</x:v>
      </x:c>
      <x:c r="D568" s="89" t="n">
        <x:v>45470.21438657407</x:v>
      </x:c>
      <x:c r="E568" s="84" t="str">
        <x:v>Motor</x:v>
      </x:c>
      <x:c r="F568" s="84" t="str">
        <x:v>Quebra</x:v>
      </x:c>
      <x:c r="G568" s="84" t="str">
        <x:v>Contaminação</x:v>
      </x:c>
      <x:c r="H568" s="84" t="str">
        <x:v>Baixa</x:v>
      </x:c>
      <x:c r="I568" s="84" t="n">
        <x:v>0</x:v>
      </x:c>
      <x:c r="J568" s="85" t="n">
        <x:v>1</x:v>
      </x:c>
    </x:row>
    <x:row r="569">
      <x:c r="A569" s="83" t="n">
        <x:v>568</x:v>
      </x:c>
      <x:c r="B569" s="84" t="n">
        <x:v>22</x:v>
      </x:c>
      <x:c r="C569" s="84" t="n">
        <x:v>1743</x:v>
      </x:c>
      <x:c r="D569" s="89" t="n">
        <x:v>45400.76226851852</x:v>
      </x:c>
      <x:c r="E569" s="84" t="str">
        <x:v>Motor</x:v>
      </x:c>
      <x:c r="F569" s="84" t="str">
        <x:v>Travamento</x:v>
      </x:c>
      <x:c r="G569" s="84" t="str">
        <x:v>Desgaste natural</x:v>
      </x:c>
      <x:c r="H569" s="84" t="str">
        <x:v>Média</x:v>
      </x:c>
      <x:c r="I569" s="84" t="n">
        <x:v>0</x:v>
      </x:c>
      <x:c r="J569" s="85" t="n">
        <x:v>1</x:v>
      </x:c>
    </x:row>
    <x:row r="570">
      <x:c r="A570" s="83" t="n">
        <x:v>569</x:v>
      </x:c>
      <x:c r="B570" s="84" t="n">
        <x:v>6</x:v>
      </x:c>
      <x:c r="C570" s="84" t="n">
        <x:v>1753</x:v>
      </x:c>
      <x:c r="D570" s="89" t="n">
        <x:v>45510.95002314815</x:v>
      </x:c>
      <x:c r="E570" s="84" t="str">
        <x:v>CLP</x:v>
      </x:c>
      <x:c r="F570" s="84" t="str">
        <x:v>Perda de sinal</x:v>
      </x:c>
      <x:c r="G570" s="84" t="str">
        <x:v>Contaminação</x:v>
      </x:c>
      <x:c r="H570" s="84" t="str">
        <x:v>Média</x:v>
      </x:c>
      <x:c r="I570" s="84" t="n">
        <x:v>0</x:v>
      </x:c>
      <x:c r="J570" s="85" t="n">
        <x:v>1</x:v>
      </x:c>
    </x:row>
    <x:row r="571">
      <x:c r="A571" s="83" t="n">
        <x:v>570</x:v>
      </x:c>
      <x:c r="B571" s="84" t="n">
        <x:v>48</x:v>
      </x:c>
      <x:c r="C571" s="84" t="n">
        <x:v>1756</x:v>
      </x:c>
      <x:c r="D571" s="89" t="n">
        <x:v>45725.67626157407</x:v>
      </x:c>
      <x:c r="E571" s="84" t="str">
        <x:v>Sensor</x:v>
      </x:c>
      <x:c r="F571" s="84" t="str">
        <x:v>Perda de sinal</x:v>
      </x:c>
      <x:c r="G571" s="84" t="str">
        <x:v>Ajuste incorreto</x:v>
      </x:c>
      <x:c r="H571" s="84" t="str">
        <x:v>Alta</x:v>
      </x:c>
      <x:c r="I571" s="84" t="n">
        <x:v>0</x:v>
      </x:c>
      <x:c r="J571" s="85" t="n">
        <x:v>1</x:v>
      </x:c>
    </x:row>
    <x:row r="572">
      <x:c r="A572" s="83" t="n">
        <x:v>571</x:v>
      </x:c>
      <x:c r="B572" s="84" t="n">
        <x:v>64</x:v>
      </x:c>
      <x:c r="C572" s="84" t="n">
        <x:v>1758</x:v>
      </x:c>
      <x:c r="D572" s="89" t="n">
        <x:v>45812.107037037036</x:v>
      </x:c>
      <x:c r="E572" s="84" t="str">
        <x:v>Motor</x:v>
      </x:c>
      <x:c r="F572" s="84" t="str">
        <x:v>Curto-circuito</x:v>
      </x:c>
      <x:c r="G572" s="84" t="str">
        <x:v>Desgaste natural</x:v>
      </x:c>
      <x:c r="H572" s="84" t="str">
        <x:v>Baixa</x:v>
      </x:c>
      <x:c r="I572" s="84" t="n">
        <x:v>0</x:v>
      </x:c>
      <x:c r="J572" s="85" t="n">
        <x:v>1</x:v>
      </x:c>
    </x:row>
    <x:row r="573">
      <x:c r="A573" s="83" t="n">
        <x:v>572</x:v>
      </x:c>
      <x:c r="B573" s="84" t="n">
        <x:v>70</x:v>
      </x:c>
      <x:c r="C573" s="84" t="n">
        <x:v>1761</x:v>
      </x:c>
      <x:c r="D573" s="89" t="n">
        <x:v>45265.6631712963</x:v>
      </x:c>
      <x:c r="E573" s="84" t="str">
        <x:v>Motor</x:v>
      </x:c>
      <x:c r="F573" s="84" t="str">
        <x:v>Quebra</x:v>
      </x:c>
      <x:c r="G573" s="84" t="str">
        <x:v>Contaminação</x:v>
      </x:c>
      <x:c r="H573" s="84" t="str">
        <x:v>Baixa</x:v>
      </x:c>
      <x:c r="I573" s="84" t="n">
        <x:v>0</x:v>
      </x:c>
      <x:c r="J573" s="85" t="n">
        <x:v>1</x:v>
      </x:c>
    </x:row>
    <x:row r="574">
      <x:c r="A574" s="83" t="n">
        <x:v>573</x:v>
      </x:c>
      <x:c r="B574" s="84" t="n">
        <x:v>25</x:v>
      </x:c>
      <x:c r="C574" s="84" t="n">
        <x:v>1762</x:v>
      </x:c>
      <x:c r="D574" s="89" t="n">
        <x:v>45826.28612268518</x:v>
      </x:c>
      <x:c r="E574" s="84" t="str">
        <x:v>CLP</x:v>
      </x:c>
      <x:c r="F574" s="84" t="str">
        <x:v>Desgaste</x:v>
      </x:c>
      <x:c r="G574" s="84" t="str">
        <x:v>Falta de lubrificação</x:v>
      </x:c>
      <x:c r="H574" s="84" t="str">
        <x:v>Baixa</x:v>
      </x:c>
      <x:c r="I574" s="84" t="n">
        <x:v>0</x:v>
      </x:c>
      <x:c r="J574" s="85" t="n">
        <x:v>1</x:v>
      </x:c>
    </x:row>
    <x:row r="575">
      <x:c r="A575" s="83" t="n">
        <x:v>574</x:v>
      </x:c>
      <x:c r="B575" s="84" t="n">
        <x:v>46</x:v>
      </x:c>
      <x:c r="C575" s="84" t="n">
        <x:v>1766</x:v>
      </x:c>
      <x:c r="D575" s="89" t="n">
        <x:v>45697.38030092593</x:v>
      </x:c>
      <x:c r="E575" s="84" t="str">
        <x:v>Sensor</x:v>
      </x:c>
      <x:c r="F575" s="84" t="str">
        <x:v>Travamento</x:v>
      </x:c>
      <x:c r="G575" s="84" t="str">
        <x:v>Desgaste natural</x:v>
      </x:c>
      <x:c r="H575" s="84" t="str">
        <x:v>Alta</x:v>
      </x:c>
      <x:c r="I575" s="84" t="n">
        <x:v>0</x:v>
      </x:c>
      <x:c r="J575" s="85" t="n">
        <x:v>1</x:v>
      </x:c>
    </x:row>
    <x:row r="576">
      <x:c r="A576" s="83" t="n">
        <x:v>575</x:v>
      </x:c>
      <x:c r="B576" s="84" t="n">
        <x:v>76</x:v>
      </x:c>
      <x:c r="C576" s="84" t="n">
        <x:v>1768</x:v>
      </x:c>
      <x:c r="D576" s="89" t="n">
        <x:v>45591.4122337963</x:v>
      </x:c>
      <x:c r="E576" s="84" t="str">
        <x:v>Válvula</x:v>
      </x:c>
      <x:c r="F576" s="84" t="str">
        <x:v>Perda de sinal</x:v>
      </x:c>
      <x:c r="G576" s="84" t="str">
        <x:v>Desgaste natural</x:v>
      </x:c>
      <x:c r="H576" s="84" t="str">
        <x:v>Baixa</x:v>
      </x:c>
      <x:c r="I576" s="84" t="n">
        <x:v>1</x:v>
      </x:c>
      <x:c r="J576" s="85" t="n">
        <x:v>1</x:v>
      </x:c>
    </x:row>
    <x:row r="577">
      <x:c r="A577" s="83" t="n">
        <x:v>576</x:v>
      </x:c>
      <x:c r="B577" s="84" t="n">
        <x:v>1</x:v>
      </x:c>
      <x:c r="C577" s="84" t="n">
        <x:v>1770</x:v>
      </x:c>
      <x:c r="D577" s="89" t="n">
        <x:v>45863.81056712963</x:v>
      </x:c>
      <x:c r="E577" s="84" t="str">
        <x:v>Sensor</x:v>
      </x:c>
      <x:c r="F577" s="84" t="str">
        <x:v>Quebra</x:v>
      </x:c>
      <x:c r="G577" s="84" t="str">
        <x:v>Conexão frouxa</x:v>
      </x:c>
      <x:c r="H577" s="84" t="str">
        <x:v>Média</x:v>
      </x:c>
      <x:c r="I577" s="84" t="n">
        <x:v>0</x:v>
      </x:c>
      <x:c r="J577" s="85" t="n">
        <x:v>1</x:v>
      </x:c>
    </x:row>
    <x:row r="578">
      <x:c r="A578" s="83" t="n">
        <x:v>577</x:v>
      </x:c>
      <x:c r="B578" s="84" t="n">
        <x:v>34</x:v>
      </x:c>
      <x:c r="C578" s="84" t="n">
        <x:v>1772</x:v>
      </x:c>
      <x:c r="D578" s="89" t="n">
        <x:v>45624.38994212963</x:v>
      </x:c>
      <x:c r="E578" s="84" t="str">
        <x:v>Sensor</x:v>
      </x:c>
      <x:c r="F578" s="84" t="str">
        <x:v>Curto-circuito</x:v>
      </x:c>
      <x:c r="G578" s="84" t="str">
        <x:v>Ajuste incorreto</x:v>
      </x:c>
      <x:c r="H578" s="84" t="str">
        <x:v>Baixa</x:v>
      </x:c>
      <x:c r="I578" s="84" t="n">
        <x:v>0</x:v>
      </x:c>
      <x:c r="J578" s="85" t="n">
        <x:v>1</x:v>
      </x:c>
    </x:row>
    <x:row r="579">
      <x:c r="A579" s="83" t="n">
        <x:v>578</x:v>
      </x:c>
      <x:c r="B579" s="84" t="n">
        <x:v>52</x:v>
      </x:c>
      <x:c r="C579" s="84" t="n">
        <x:v>1773</x:v>
      </x:c>
      <x:c r="D579" s="89" t="n">
        <x:v>45122.38652777778</x:v>
      </x:c>
      <x:c r="E579" s="84" t="str">
        <x:v>Correia</x:v>
      </x:c>
      <x:c r="F579" s="84" t="str">
        <x:v>Travamento</x:v>
      </x:c>
      <x:c r="G579" s="84" t="str">
        <x:v>Contaminação</x:v>
      </x:c>
      <x:c r="H579" s="84" t="str">
        <x:v>Média</x:v>
      </x:c>
      <x:c r="I579" s="84" t="n">
        <x:v>0</x:v>
      </x:c>
      <x:c r="J579" s="85" t="n">
        <x:v>1</x:v>
      </x:c>
    </x:row>
    <x:row r="580">
      <x:c r="A580" s="83" t="n">
        <x:v>579</x:v>
      </x:c>
      <x:c r="B580" s="84" t="n">
        <x:v>66</x:v>
      </x:c>
      <x:c r="C580" s="84" t="n">
        <x:v>1774</x:v>
      </x:c>
      <x:c r="D580" s="89" t="n">
        <x:v>45780.44836805556</x:v>
      </x:c>
      <x:c r="E580" s="84" t="str">
        <x:v>Válvula</x:v>
      </x:c>
      <x:c r="F580" s="84" t="str">
        <x:v>Quebra</x:v>
      </x:c>
      <x:c r="G580" s="84" t="str">
        <x:v>Componente danificado</x:v>
      </x:c>
      <x:c r="H580" s="84" t="str">
        <x:v>Média</x:v>
      </x:c>
      <x:c r="I580" s="84" t="n">
        <x:v>1</x:v>
      </x:c>
      <x:c r="J580" s="85" t="n">
        <x:v>1</x:v>
      </x:c>
    </x:row>
    <x:row r="581">
      <x:c r="A581" s="83" t="n">
        <x:v>580</x:v>
      </x:c>
      <x:c r="B581" s="84" t="n">
        <x:v>1</x:v>
      </x:c>
      <x:c r="C581" s="84" t="n">
        <x:v>1775</x:v>
      </x:c>
      <x:c r="D581" s="89" t="n">
        <x:v>45369.870254629626</x:v>
      </x:c>
      <x:c r="E581" s="84" t="str">
        <x:v>Correia</x:v>
      </x:c>
      <x:c r="F581" s="84" t="str">
        <x:v>Travamento</x:v>
      </x:c>
      <x:c r="G581" s="84" t="str">
        <x:v>Desgaste natural</x:v>
      </x:c>
      <x:c r="H581" s="84" t="str">
        <x:v>Média</x:v>
      </x:c>
      <x:c r="I581" s="84" t="n">
        <x:v>0</x:v>
      </x:c>
      <x:c r="J581" s="85" t="n">
        <x:v>1</x:v>
      </x:c>
    </x:row>
    <x:row r="582">
      <x:c r="A582" s="83" t="n">
        <x:v>581</x:v>
      </x:c>
      <x:c r="B582" s="84" t="n">
        <x:v>5</x:v>
      </x:c>
      <x:c r="C582" s="84" t="n">
        <x:v>1777</x:v>
      </x:c>
      <x:c r="D582" s="89" t="n">
        <x:v>45085.20415509259</x:v>
      </x:c>
      <x:c r="E582" s="84" t="str">
        <x:v>Motor</x:v>
      </x:c>
      <x:c r="F582" s="84" t="str">
        <x:v>Desgaste</x:v>
      </x:c>
      <x:c r="G582" s="84" t="str">
        <x:v>Contaminação</x:v>
      </x:c>
      <x:c r="H582" s="84" t="str">
        <x:v>Média</x:v>
      </x:c>
      <x:c r="I582" s="84" t="n">
        <x:v>0</x:v>
      </x:c>
      <x:c r="J582" s="85" t="n">
        <x:v>1</x:v>
      </x:c>
    </x:row>
    <x:row r="583">
      <x:c r="A583" s="83" t="n">
        <x:v>582</x:v>
      </x:c>
      <x:c r="B583" s="84" t="n">
        <x:v>82</x:v>
      </x:c>
      <x:c r="C583" s="84" t="n">
        <x:v>1778</x:v>
      </x:c>
      <x:c r="D583" s="89" t="n">
        <x:v>45870.34241898148</x:v>
      </x:c>
      <x:c r="E583" s="84" t="str">
        <x:v>Correia</x:v>
      </x:c>
      <x:c r="F583" s="84" t="str">
        <x:v>Travamento</x:v>
      </x:c>
      <x:c r="G583" s="84" t="str">
        <x:v>Contaminação</x:v>
      </x:c>
      <x:c r="H583" s="84" t="str">
        <x:v>Baixa</x:v>
      </x:c>
      <x:c r="I583" s="84" t="n">
        <x:v>0</x:v>
      </x:c>
      <x:c r="J583" s="85" t="n">
        <x:v>1</x:v>
      </x:c>
    </x:row>
    <x:row r="584">
      <x:c r="A584" s="83" t="n">
        <x:v>583</x:v>
      </x:c>
      <x:c r="B584" s="84" t="n">
        <x:v>73</x:v>
      </x:c>
      <x:c r="C584" s="84" t="n">
        <x:v>1782</x:v>
      </x:c>
      <x:c r="D584" s="89" t="n">
        <x:v>45749.624872685185</x:v>
      </x:c>
      <x:c r="E584" s="84" t="str">
        <x:v>Sensor</x:v>
      </x:c>
      <x:c r="F584" s="84" t="str">
        <x:v>Travamento</x:v>
      </x:c>
      <x:c r="G584" s="84" t="str">
        <x:v>Ajuste incorreto</x:v>
      </x:c>
      <x:c r="H584" s="84" t="str">
        <x:v>Média</x:v>
      </x:c>
      <x:c r="I584" s="84" t="n">
        <x:v>0</x:v>
      </x:c>
      <x:c r="J584" s="85" t="n">
        <x:v>1</x:v>
      </x:c>
    </x:row>
    <x:row r="585">
      <x:c r="A585" s="83" t="n">
        <x:v>584</x:v>
      </x:c>
      <x:c r="B585" s="84" t="n">
        <x:v>49</x:v>
      </x:c>
      <x:c r="C585" s="84" t="n">
        <x:v>1783</x:v>
      </x:c>
      <x:c r="D585" s="89" t="n">
        <x:v>45166.671168981484</x:v>
      </x:c>
      <x:c r="E585" s="84" t="str">
        <x:v>Correia</x:v>
      </x:c>
      <x:c r="F585" s="84" t="str">
        <x:v>Desgaste</x:v>
      </x:c>
      <x:c r="G585" s="84" t="str">
        <x:v>Componente danificado</x:v>
      </x:c>
      <x:c r="H585" s="84" t="str">
        <x:v>Alta</x:v>
      </x:c>
      <x:c r="I585" s="84" t="n">
        <x:v>0</x:v>
      </x:c>
      <x:c r="J585" s="85" t="n">
        <x:v>1</x:v>
      </x:c>
    </x:row>
    <x:row r="586">
      <x:c r="A586" s="83" t="n">
        <x:v>585</x:v>
      </x:c>
      <x:c r="B586" s="84" t="n">
        <x:v>43</x:v>
      </x:c>
      <x:c r="C586" s="84" t="n">
        <x:v>1785</x:v>
      </x:c>
      <x:c r="D586" s="89" t="n">
        <x:v>45854.950694444444</x:v>
      </x:c>
      <x:c r="E586" s="84" t="str">
        <x:v>Correia</x:v>
      </x:c>
      <x:c r="F586" s="84" t="str">
        <x:v>Perda de sinal</x:v>
      </x:c>
      <x:c r="G586" s="84" t="str">
        <x:v>Ajuste incorreto</x:v>
      </x:c>
      <x:c r="H586" s="84" t="str">
        <x:v>Média</x:v>
      </x:c>
      <x:c r="I586" s="84" t="n">
        <x:v>0</x:v>
      </x:c>
      <x:c r="J586" s="85" t="n">
        <x:v>1</x:v>
      </x:c>
    </x:row>
    <x:row r="587">
      <x:c r="A587" s="83" t="n">
        <x:v>586</x:v>
      </x:c>
      <x:c r="B587" s="84" t="n">
        <x:v>11</x:v>
      </x:c>
      <x:c r="C587" s="84" t="n">
        <x:v>1786</x:v>
      </x:c>
      <x:c r="D587" s="89" t="n">
        <x:v>45986.68486111111</x:v>
      </x:c>
      <x:c r="E587" s="84" t="str">
        <x:v>Rolamento</x:v>
      </x:c>
      <x:c r="F587" s="84" t="str">
        <x:v>Curto-circuito</x:v>
      </x:c>
      <x:c r="G587" s="84" t="str">
        <x:v>Componente danificado</x:v>
      </x:c>
      <x:c r="H587" s="84" t="str">
        <x:v>Média</x:v>
      </x:c>
      <x:c r="I587" s="84" t="n">
        <x:v>0</x:v>
      </x:c>
      <x:c r="J587" s="85" t="n">
        <x:v>1</x:v>
      </x:c>
    </x:row>
    <x:row r="588">
      <x:c r="A588" s="83" t="n">
        <x:v>587</x:v>
      </x:c>
      <x:c r="B588" s="84" t="n">
        <x:v>13</x:v>
      </x:c>
      <x:c r="C588" s="84" t="n">
        <x:v>1790</x:v>
      </x:c>
      <x:c r="D588" s="89" t="n">
        <x:v>45567.17998842592</x:v>
      </x:c>
      <x:c r="E588" s="84" t="str">
        <x:v>Sensor</x:v>
      </x:c>
      <x:c r="F588" s="84" t="str">
        <x:v>Desgaste</x:v>
      </x:c>
      <x:c r="G588" s="84" t="str">
        <x:v>Desgaste natural</x:v>
      </x:c>
      <x:c r="H588" s="84" t="str">
        <x:v>Alta</x:v>
      </x:c>
      <x:c r="I588" s="84" t="n">
        <x:v>1</x:v>
      </x:c>
      <x:c r="J588" s="85" t="n">
        <x:v>1</x:v>
      </x:c>
    </x:row>
    <x:row r="589">
      <x:c r="A589" s="83" t="n">
        <x:v>588</x:v>
      </x:c>
      <x:c r="B589" s="84" t="n">
        <x:v>40</x:v>
      </x:c>
      <x:c r="C589" s="84" t="n">
        <x:v>1796</x:v>
      </x:c>
      <x:c r="D589" s="89" t="n">
        <x:v>45129.12127314815</x:v>
      </x:c>
      <x:c r="E589" s="84" t="str">
        <x:v>Rolamento</x:v>
      </x:c>
      <x:c r="F589" s="84" t="str">
        <x:v>Travamento</x:v>
      </x:c>
      <x:c r="G589" s="84" t="str">
        <x:v>Componente danificado</x:v>
      </x:c>
      <x:c r="H589" s="84" t="str">
        <x:v>Média</x:v>
      </x:c>
      <x:c r="I589" s="84" t="n">
        <x:v>0</x:v>
      </x:c>
      <x:c r="J589" s="85" t="n">
        <x:v>1</x:v>
      </x:c>
    </x:row>
    <x:row r="590">
      <x:c r="A590" s="83" t="n">
        <x:v>589</x:v>
      </x:c>
      <x:c r="B590" s="84" t="n">
        <x:v>81</x:v>
      </x:c>
      <x:c r="C590" s="84" t="n">
        <x:v>1797</x:v>
      </x:c>
      <x:c r="D590" s="89" t="n">
        <x:v>45760.41486111111</x:v>
      </x:c>
      <x:c r="E590" s="84" t="str">
        <x:v>Motor</x:v>
      </x:c>
      <x:c r="F590" s="84" t="str">
        <x:v>Desgaste</x:v>
      </x:c>
      <x:c r="G590" s="84" t="str">
        <x:v>Contaminação</x:v>
      </x:c>
      <x:c r="H590" s="84" t="str">
        <x:v>Média</x:v>
      </x:c>
      <x:c r="I590" s="84" t="n">
        <x:v>1</x:v>
      </x:c>
      <x:c r="J590" s="85" t="n">
        <x:v>1</x:v>
      </x:c>
    </x:row>
    <x:row r="591">
      <x:c r="A591" s="83" t="n">
        <x:v>590</x:v>
      </x:c>
      <x:c r="B591" s="84" t="n">
        <x:v>10</x:v>
      </x:c>
      <x:c r="C591" s="84" t="n">
        <x:v>1802</x:v>
      </x:c>
      <x:c r="D591" s="89" t="n">
        <x:v>45854.638125</x:v>
      </x:c>
      <x:c r="E591" s="84" t="str">
        <x:v>CLP</x:v>
      </x:c>
      <x:c r="F591" s="84" t="str">
        <x:v>Quebra</x:v>
      </x:c>
      <x:c r="G591" s="84" t="str">
        <x:v>Componente danificado</x:v>
      </x:c>
      <x:c r="H591" s="84" t="str">
        <x:v>Média</x:v>
      </x:c>
      <x:c r="I591" s="84" t="n">
        <x:v>0</x:v>
      </x:c>
      <x:c r="J591" s="85" t="n">
        <x:v>1</x:v>
      </x:c>
    </x:row>
    <x:row r="592">
      <x:c r="A592" s="83" t="n">
        <x:v>591</x:v>
      </x:c>
      <x:c r="B592" s="84" t="n">
        <x:v>40</x:v>
      </x:c>
      <x:c r="C592" s="84" t="n">
        <x:v>1807</x:v>
      </x:c>
      <x:c r="D592" s="89" t="n">
        <x:v>44929.074907407405</x:v>
      </x:c>
      <x:c r="E592" s="84" t="str">
        <x:v>Motor</x:v>
      </x:c>
      <x:c r="F592" s="84" t="str">
        <x:v>Travamento</x:v>
      </x:c>
      <x:c r="G592" s="84" t="str">
        <x:v>Contaminação</x:v>
      </x:c>
      <x:c r="H592" s="84" t="str">
        <x:v>Baixa</x:v>
      </x:c>
      <x:c r="I592" s="84" t="n">
        <x:v>1</x:v>
      </x:c>
      <x:c r="J592" s="85" t="n">
        <x:v>1</x:v>
      </x:c>
    </x:row>
    <x:row r="593">
      <x:c r="A593" s="83" t="n">
        <x:v>592</x:v>
      </x:c>
      <x:c r="B593" s="84" t="n">
        <x:v>44</x:v>
      </x:c>
      <x:c r="C593" s="84" t="n">
        <x:v>1812</x:v>
      </x:c>
      <x:c r="D593" s="89" t="n">
        <x:v>45955.82158564815</x:v>
      </x:c>
      <x:c r="E593" s="84" t="str">
        <x:v>CLP</x:v>
      </x:c>
      <x:c r="F593" s="84" t="str">
        <x:v>Travamento</x:v>
      </x:c>
      <x:c r="G593" s="84" t="str">
        <x:v>Contaminação</x:v>
      </x:c>
      <x:c r="H593" s="84" t="str">
        <x:v>Baixa</x:v>
      </x:c>
      <x:c r="I593" s="84" t="n">
        <x:v>0</x:v>
      </x:c>
      <x:c r="J593" s="85" t="n">
        <x:v>1</x:v>
      </x:c>
    </x:row>
    <x:row r="594">
      <x:c r="A594" s="83" t="n">
        <x:v>593</x:v>
      </x:c>
      <x:c r="B594" s="84" t="n">
        <x:v>77</x:v>
      </x:c>
      <x:c r="C594" s="84" t="n">
        <x:v>1815</x:v>
      </x:c>
      <x:c r="D594" s="89" t="n">
        <x:v>45715.77659722222</x:v>
      </x:c>
      <x:c r="E594" s="84" t="str">
        <x:v>Válvula</x:v>
      </x:c>
      <x:c r="F594" s="84" t="str">
        <x:v>Desgaste</x:v>
      </x:c>
      <x:c r="G594" s="84" t="str">
        <x:v>Contaminação</x:v>
      </x:c>
      <x:c r="H594" s="84" t="str">
        <x:v>Baixa</x:v>
      </x:c>
      <x:c r="I594" s="84" t="n">
        <x:v>0</x:v>
      </x:c>
      <x:c r="J594" s="85" t="n">
        <x:v>1</x:v>
      </x:c>
    </x:row>
    <x:row r="595">
      <x:c r="A595" s="83" t="n">
        <x:v>594</x:v>
      </x:c>
      <x:c r="B595" s="84" t="n">
        <x:v>25</x:v>
      </x:c>
      <x:c r="C595" s="84" t="n">
        <x:v>1817</x:v>
      </x:c>
      <x:c r="D595" s="89" t="n">
        <x:v>45544.303078703706</x:v>
      </x:c>
      <x:c r="E595" s="84" t="str">
        <x:v>CLP</x:v>
      </x:c>
      <x:c r="F595" s="84" t="str">
        <x:v>Desgaste</x:v>
      </x:c>
      <x:c r="G595" s="84" t="str">
        <x:v>Ajuste incorreto</x:v>
      </x:c>
      <x:c r="H595" s="84" t="str">
        <x:v>Baixa</x:v>
      </x:c>
      <x:c r="I595" s="84" t="n">
        <x:v>0</x:v>
      </x:c>
      <x:c r="J595" s="85" t="n">
        <x:v>1</x:v>
      </x:c>
    </x:row>
    <x:row r="596">
      <x:c r="A596" s="83" t="n">
        <x:v>595</x:v>
      </x:c>
      <x:c r="B596" s="84" t="n">
        <x:v>33</x:v>
      </x:c>
      <x:c r="C596" s="84" t="n">
        <x:v>1820</x:v>
      </x:c>
      <x:c r="D596" s="89" t="n">
        <x:v>45403.14100694445</x:v>
      </x:c>
      <x:c r="E596" s="84" t="str">
        <x:v>CLP</x:v>
      </x:c>
      <x:c r="F596" s="84" t="str">
        <x:v>Travamento</x:v>
      </x:c>
      <x:c r="G596" s="84" t="str">
        <x:v>Componente danificado</x:v>
      </x:c>
      <x:c r="H596" s="84" t="str">
        <x:v>Alta</x:v>
      </x:c>
      <x:c r="I596" s="84" t="n">
        <x:v>0</x:v>
      </x:c>
      <x:c r="J596" s="85" t="n">
        <x:v>1</x:v>
      </x:c>
    </x:row>
    <x:row r="597">
      <x:c r="A597" s="83" t="n">
        <x:v>596</x:v>
      </x:c>
      <x:c r="B597" s="84" t="n">
        <x:v>11</x:v>
      </x:c>
      <x:c r="C597" s="84" t="n">
        <x:v>1825</x:v>
      </x:c>
      <x:c r="D597" s="89" t="n">
        <x:v>45834.03582175926</x:v>
      </x:c>
      <x:c r="E597" s="84" t="str">
        <x:v>CLP</x:v>
      </x:c>
      <x:c r="F597" s="84" t="str">
        <x:v>Desgaste</x:v>
      </x:c>
      <x:c r="G597" s="84" t="str">
        <x:v>Desgaste natural</x:v>
      </x:c>
      <x:c r="H597" s="84" t="str">
        <x:v>Baixa</x:v>
      </x:c>
      <x:c r="I597" s="84" t="n">
        <x:v>0</x:v>
      </x:c>
      <x:c r="J597" s="85" t="n">
        <x:v>1</x:v>
      </x:c>
    </x:row>
    <x:row r="598">
      <x:c r="A598" s="83" t="n">
        <x:v>597</x:v>
      </x:c>
      <x:c r="B598" s="84" t="n">
        <x:v>45</x:v>
      </x:c>
      <x:c r="C598" s="84" t="n">
        <x:v>1826</x:v>
      </x:c>
      <x:c r="D598" s="89" t="n">
        <x:v>45003.01960648148</x:v>
      </x:c>
      <x:c r="E598" s="84" t="str">
        <x:v>Sensor</x:v>
      </x:c>
      <x:c r="F598" s="84" t="str">
        <x:v>Perda de sinal</x:v>
      </x:c>
      <x:c r="G598" s="84" t="str">
        <x:v>Ajuste incorreto</x:v>
      </x:c>
      <x:c r="H598" s="84" t="str">
        <x:v>Baixa</x:v>
      </x:c>
      <x:c r="I598" s="84" t="n">
        <x:v>0</x:v>
      </x:c>
      <x:c r="J598" s="85" t="n">
        <x:v>1</x:v>
      </x:c>
    </x:row>
    <x:row r="599">
      <x:c r="A599" s="83" t="n">
        <x:v>598</x:v>
      </x:c>
      <x:c r="B599" s="84" t="n">
        <x:v>77</x:v>
      </x:c>
      <x:c r="C599" s="84" t="n">
        <x:v>1828</x:v>
      </x:c>
      <x:c r="D599" s="89" t="n">
        <x:v>45790.24755787037</x:v>
      </x:c>
      <x:c r="E599" s="84" t="str">
        <x:v>Válvula</x:v>
      </x:c>
      <x:c r="F599" s="84" t="str">
        <x:v>Travamento</x:v>
      </x:c>
      <x:c r="G599" s="84" t="str">
        <x:v>Contaminação</x:v>
      </x:c>
      <x:c r="H599" s="84" t="str">
        <x:v>Média</x:v>
      </x:c>
      <x:c r="I599" s="84" t="n">
        <x:v>0</x:v>
      </x:c>
      <x:c r="J599" s="85" t="n">
        <x:v>1</x:v>
      </x:c>
    </x:row>
    <x:row r="600">
      <x:c r="A600" s="83" t="n">
        <x:v>599</x:v>
      </x:c>
      <x:c r="B600" s="84" t="n">
        <x:v>40</x:v>
      </x:c>
      <x:c r="C600" s="84" t="n">
        <x:v>1833</x:v>
      </x:c>
      <x:c r="D600" s="89" t="n">
        <x:v>45452.04429398148</x:v>
      </x:c>
      <x:c r="E600" s="84" t="str">
        <x:v>Sensor</x:v>
      </x:c>
      <x:c r="F600" s="84" t="str">
        <x:v>Desgaste</x:v>
      </x:c>
      <x:c r="G600" s="84" t="str">
        <x:v>Componente danificado</x:v>
      </x:c>
      <x:c r="H600" s="84" t="str">
        <x:v>Média</x:v>
      </x:c>
      <x:c r="I600" s="84" t="n">
        <x:v>0</x:v>
      </x:c>
      <x:c r="J600" s="85" t="n">
        <x:v>1</x:v>
      </x:c>
    </x:row>
    <x:row r="601">
      <x:c r="A601" s="83" t="n">
        <x:v>600</x:v>
      </x:c>
      <x:c r="B601" s="84" t="n">
        <x:v>28</x:v>
      </x:c>
      <x:c r="C601" s="84" t="n">
        <x:v>1837</x:v>
      </x:c>
      <x:c r="D601" s="89" t="n">
        <x:v>45009.81502314815</x:v>
      </x:c>
      <x:c r="E601" s="84" t="str">
        <x:v>Válvula</x:v>
      </x:c>
      <x:c r="F601" s="84" t="str">
        <x:v>Curto-circuito</x:v>
      </x:c>
      <x:c r="G601" s="84" t="str">
        <x:v>Contaminação</x:v>
      </x:c>
      <x:c r="H601" s="84" t="str">
        <x:v>Média</x:v>
      </x:c>
      <x:c r="I601" s="84" t="n">
        <x:v>0</x:v>
      </x:c>
      <x:c r="J601" s="85" t="n">
        <x:v>1</x:v>
      </x:c>
    </x:row>
    <x:row r="602">
      <x:c r="A602" s="83" t="n">
        <x:v>601</x:v>
      </x:c>
      <x:c r="B602" s="84" t="n">
        <x:v>44</x:v>
      </x:c>
      <x:c r="C602" s="84" t="n">
        <x:v>1840</x:v>
      </x:c>
      <x:c r="D602" s="89" t="n">
        <x:v>45521.846087962964</x:v>
      </x:c>
      <x:c r="E602" s="84" t="str">
        <x:v>Sensor</x:v>
      </x:c>
      <x:c r="F602" s="84" t="str">
        <x:v>Curto-circuito</x:v>
      </x:c>
      <x:c r="G602" s="84" t="str">
        <x:v>Falta de lubrificação</x:v>
      </x:c>
      <x:c r="H602" s="84" t="str">
        <x:v>Média</x:v>
      </x:c>
      <x:c r="I602" s="84" t="n">
        <x:v>0</x:v>
      </x:c>
      <x:c r="J602" s="85" t="n">
        <x:v>1</x:v>
      </x:c>
    </x:row>
    <x:row r="603">
      <x:c r="A603" s="83" t="n">
        <x:v>602</x:v>
      </x:c>
      <x:c r="B603" s="84" t="n">
        <x:v>54</x:v>
      </x:c>
      <x:c r="C603" s="84" t="n">
        <x:v>1842</x:v>
      </x:c>
      <x:c r="D603" s="89" t="n">
        <x:v>45877.92045138889</x:v>
      </x:c>
      <x:c r="E603" s="84" t="str">
        <x:v>CLP</x:v>
      </x:c>
      <x:c r="F603" s="84" t="str">
        <x:v>Curto-circuito</x:v>
      </x:c>
      <x:c r="G603" s="84" t="str">
        <x:v>Contaminação</x:v>
      </x:c>
      <x:c r="H603" s="84" t="str">
        <x:v>Baixa</x:v>
      </x:c>
      <x:c r="I603" s="84" t="n">
        <x:v>0</x:v>
      </x:c>
      <x:c r="J603" s="85" t="n">
        <x:v>1</x:v>
      </x:c>
    </x:row>
    <x:row r="604">
      <x:c r="A604" s="83" t="n">
        <x:v>603</x:v>
      </x:c>
      <x:c r="B604" s="84" t="n">
        <x:v>26</x:v>
      </x:c>
      <x:c r="C604" s="84" t="n">
        <x:v>1849</x:v>
      </x:c>
      <x:c r="D604" s="89" t="n">
        <x:v>45690.53498842593</x:v>
      </x:c>
      <x:c r="E604" s="84" t="str">
        <x:v>Correia</x:v>
      </x:c>
      <x:c r="F604" s="84" t="str">
        <x:v>Curto-circuito</x:v>
      </x:c>
      <x:c r="G604" s="84" t="str">
        <x:v>Desgaste natural</x:v>
      </x:c>
      <x:c r="H604" s="84" t="str">
        <x:v>Baixa</x:v>
      </x:c>
      <x:c r="I604" s="84" t="n">
        <x:v>0</x:v>
      </x:c>
      <x:c r="J604" s="85" t="n">
        <x:v>1</x:v>
      </x:c>
    </x:row>
    <x:row r="605">
      <x:c r="A605" s="83" t="n">
        <x:v>604</x:v>
      </x:c>
      <x:c r="B605" s="84" t="n">
        <x:v>19</x:v>
      </x:c>
      <x:c r="C605" s="84" t="n">
        <x:v>1854</x:v>
      </x:c>
      <x:c r="D605" s="89" t="n">
        <x:v>45291.66952546296</x:v>
      </x:c>
      <x:c r="E605" s="84" t="str">
        <x:v>CLP</x:v>
      </x:c>
      <x:c r="F605" s="84" t="str">
        <x:v>Curto-circuito</x:v>
      </x:c>
      <x:c r="G605" s="84" t="str">
        <x:v>Contaminação</x:v>
      </x:c>
      <x:c r="H605" s="84" t="str">
        <x:v>Alta</x:v>
      </x:c>
      <x:c r="I605" s="84" t="n">
        <x:v>0</x:v>
      </x:c>
      <x:c r="J605" s="85" t="n">
        <x:v>1</x:v>
      </x:c>
    </x:row>
    <x:row r="606">
      <x:c r="A606" s="83" t="n">
        <x:v>605</x:v>
      </x:c>
      <x:c r="B606" s="84" t="n">
        <x:v>31</x:v>
      </x:c>
      <x:c r="C606" s="84" t="n">
        <x:v>1855</x:v>
      </x:c>
      <x:c r="D606" s="89" t="n">
        <x:v>45792.80519675926</x:v>
      </x:c>
      <x:c r="E606" s="84" t="str">
        <x:v>Motor</x:v>
      </x:c>
      <x:c r="F606" s="84" t="str">
        <x:v>Perda de sinal</x:v>
      </x:c>
      <x:c r="G606" s="84" t="str">
        <x:v>Componente danificado</x:v>
      </x:c>
      <x:c r="H606" s="84" t="str">
        <x:v>Média</x:v>
      </x:c>
      <x:c r="I606" s="84" t="n">
        <x:v>0</x:v>
      </x:c>
      <x:c r="J606" s="85" t="n">
        <x:v>1</x:v>
      </x:c>
    </x:row>
    <x:row r="607">
      <x:c r="A607" s="83" t="n">
        <x:v>606</x:v>
      </x:c>
      <x:c r="B607" s="84" t="n">
        <x:v>74</x:v>
      </x:c>
      <x:c r="C607" s="84" t="n">
        <x:v>1857</x:v>
      </x:c>
      <x:c r="D607" s="89" t="n">
        <x:v>45637.33738425926</x:v>
      </x:c>
      <x:c r="E607" s="84" t="str">
        <x:v>Válvula</x:v>
      </x:c>
      <x:c r="F607" s="84" t="str">
        <x:v>Curto-circuito</x:v>
      </x:c>
      <x:c r="G607" s="84" t="str">
        <x:v>Conexão frouxa</x:v>
      </x:c>
      <x:c r="H607" s="84" t="str">
        <x:v>Alta</x:v>
      </x:c>
      <x:c r="I607" s="84" t="n">
        <x:v>0</x:v>
      </x:c>
      <x:c r="J607" s="85" t="n">
        <x:v>1</x:v>
      </x:c>
    </x:row>
    <x:row r="608">
      <x:c r="A608" s="83" t="n">
        <x:v>607</x:v>
      </x:c>
      <x:c r="B608" s="84" t="n">
        <x:v>56</x:v>
      </x:c>
      <x:c r="C608" s="84" t="n">
        <x:v>1863</x:v>
      </x:c>
      <x:c r="D608" s="89" t="n">
        <x:v>45858.3747337963</x:v>
      </x:c>
      <x:c r="E608" s="84" t="str">
        <x:v>CLP</x:v>
      </x:c>
      <x:c r="F608" s="84" t="str">
        <x:v>Perda de sinal</x:v>
      </x:c>
      <x:c r="G608" s="84" t="str">
        <x:v>Ajuste incorreto</x:v>
      </x:c>
      <x:c r="H608" s="84" t="str">
        <x:v>Média</x:v>
      </x:c>
      <x:c r="I608" s="84" t="n">
        <x:v>0</x:v>
      </x:c>
      <x:c r="J608" s="85" t="n">
        <x:v>1</x:v>
      </x:c>
    </x:row>
    <x:row r="609">
      <x:c r="A609" s="83" t="n">
        <x:v>608</x:v>
      </x:c>
      <x:c r="B609" s="84" t="n">
        <x:v>81</x:v>
      </x:c>
      <x:c r="C609" s="84" t="n">
        <x:v>1866</x:v>
      </x:c>
      <x:c r="D609" s="89" t="n">
        <x:v>45034.30918981481</x:v>
      </x:c>
      <x:c r="E609" s="84" t="str">
        <x:v>Válvula</x:v>
      </x:c>
      <x:c r="F609" s="84" t="str">
        <x:v>Curto-circuito</x:v>
      </x:c>
      <x:c r="G609" s="84" t="str">
        <x:v>Falta de lubrificação</x:v>
      </x:c>
      <x:c r="H609" s="84" t="str">
        <x:v>Alta</x:v>
      </x:c>
      <x:c r="I609" s="84" t="n">
        <x:v>0</x:v>
      </x:c>
      <x:c r="J609" s="85" t="n">
        <x:v>1</x:v>
      </x:c>
    </x:row>
    <x:row r="610">
      <x:c r="A610" s="83" t="n">
        <x:v>609</x:v>
      </x:c>
      <x:c r="B610" s="84" t="n">
        <x:v>47</x:v>
      </x:c>
      <x:c r="C610" s="84" t="n">
        <x:v>1867</x:v>
      </x:c>
      <x:c r="D610" s="89" t="n">
        <x:v>45296.98158564815</x:v>
      </x:c>
      <x:c r="E610" s="84" t="str">
        <x:v>Válvula</x:v>
      </x:c>
      <x:c r="F610" s="84" t="str">
        <x:v>Quebra</x:v>
      </x:c>
      <x:c r="G610" s="84" t="str">
        <x:v>Ajuste incorreto</x:v>
      </x:c>
      <x:c r="H610" s="84" t="str">
        <x:v>Média</x:v>
      </x:c>
      <x:c r="I610" s="84" t="n">
        <x:v>0</x:v>
      </x:c>
      <x:c r="J610" s="85" t="n">
        <x:v>1</x:v>
      </x:c>
    </x:row>
    <x:row r="611">
      <x:c r="A611" s="83" t="n">
        <x:v>610</x:v>
      </x:c>
      <x:c r="B611" s="84" t="n">
        <x:v>27</x:v>
      </x:c>
      <x:c r="C611" s="84" t="n">
        <x:v>1871</x:v>
      </x:c>
      <x:c r="D611" s="89" t="n">
        <x:v>45027.20684027778</x:v>
      </x:c>
      <x:c r="E611" s="84" t="str">
        <x:v>CLP</x:v>
      </x:c>
      <x:c r="F611" s="84" t="str">
        <x:v>Desgaste</x:v>
      </x:c>
      <x:c r="G611" s="84" t="str">
        <x:v>Falta de lubrificação</x:v>
      </x:c>
      <x:c r="H611" s="84" t="str">
        <x:v>Média</x:v>
      </x:c>
      <x:c r="I611" s="84" t="n">
        <x:v>0</x:v>
      </x:c>
      <x:c r="J611" s="85" t="n">
        <x:v>1</x:v>
      </x:c>
    </x:row>
    <x:row r="612">
      <x:c r="A612" s="83" t="n">
        <x:v>611</x:v>
      </x:c>
      <x:c r="B612" s="84" t="n">
        <x:v>65</x:v>
      </x:c>
      <x:c r="C612" s="84" t="n">
        <x:v>1878</x:v>
      </x:c>
      <x:c r="D612" s="89" t="n">
        <x:v>45227.64424768519</x:v>
      </x:c>
      <x:c r="E612" s="84" t="str">
        <x:v>Motor</x:v>
      </x:c>
      <x:c r="F612" s="84" t="str">
        <x:v>Perda de sinal</x:v>
      </x:c>
      <x:c r="G612" s="84" t="str">
        <x:v>Conexão frouxa</x:v>
      </x:c>
      <x:c r="H612" s="84" t="str">
        <x:v>Alta</x:v>
      </x:c>
      <x:c r="I612" s="84" t="n">
        <x:v>0</x:v>
      </x:c>
      <x:c r="J612" s="85" t="n">
        <x:v>1</x:v>
      </x:c>
    </x:row>
    <x:row r="613">
      <x:c r="A613" s="83" t="n">
        <x:v>612</x:v>
      </x:c>
      <x:c r="B613" s="84" t="n">
        <x:v>12</x:v>
      </x:c>
      <x:c r="C613" s="84" t="n">
        <x:v>1886</x:v>
      </x:c>
      <x:c r="D613" s="89" t="n">
        <x:v>45180.198333333334</x:v>
      </x:c>
      <x:c r="E613" s="84" t="str">
        <x:v>Correia</x:v>
      </x:c>
      <x:c r="F613" s="84" t="str">
        <x:v>Travamento</x:v>
      </x:c>
      <x:c r="G613" s="84" t="str">
        <x:v>Conexão frouxa</x:v>
      </x:c>
      <x:c r="H613" s="84" t="str">
        <x:v>Baixa</x:v>
      </x:c>
      <x:c r="I613" s="84" t="n">
        <x:v>1</x:v>
      </x:c>
      <x:c r="J613" s="85" t="n">
        <x:v>1</x:v>
      </x:c>
    </x:row>
    <x:row r="614">
      <x:c r="A614" s="83" t="n">
        <x:v>613</x:v>
      </x:c>
      <x:c r="B614" s="84" t="n">
        <x:v>41</x:v>
      </x:c>
      <x:c r="C614" s="84" t="n">
        <x:v>1887</x:v>
      </x:c>
      <x:c r="D614" s="89" t="n">
        <x:v>45989.6259375</x:v>
      </x:c>
      <x:c r="E614" s="84" t="str">
        <x:v>Rolamento</x:v>
      </x:c>
      <x:c r="F614" s="84" t="str">
        <x:v>Quebra</x:v>
      </x:c>
      <x:c r="G614" s="84" t="str">
        <x:v>Desgaste natural</x:v>
      </x:c>
      <x:c r="H614" s="84" t="str">
        <x:v>Baixa</x:v>
      </x:c>
      <x:c r="I614" s="84" t="n">
        <x:v>0</x:v>
      </x:c>
      <x:c r="J614" s="85" t="n">
        <x:v>1</x:v>
      </x:c>
    </x:row>
    <x:row r="615">
      <x:c r="A615" s="83" t="n">
        <x:v>614</x:v>
      </x:c>
      <x:c r="B615" s="84" t="n">
        <x:v>84</x:v>
      </x:c>
      <x:c r="C615" s="84" t="n">
        <x:v>1889</x:v>
      </x:c>
      <x:c r="D615" s="89" t="n">
        <x:v>45660.198530092595</x:v>
      </x:c>
      <x:c r="E615" s="84" t="str">
        <x:v>Sensor</x:v>
      </x:c>
      <x:c r="F615" s="84" t="str">
        <x:v>Desgaste</x:v>
      </x:c>
      <x:c r="G615" s="84" t="str">
        <x:v>Desgaste natural</x:v>
      </x:c>
      <x:c r="H615" s="84" t="str">
        <x:v>Média</x:v>
      </x:c>
      <x:c r="I615" s="84" t="n">
        <x:v>1</x:v>
      </x:c>
      <x:c r="J615" s="85" t="n">
        <x:v>1</x:v>
      </x:c>
    </x:row>
    <x:row r="616">
      <x:c r="A616" s="83" t="n">
        <x:v>615</x:v>
      </x:c>
      <x:c r="B616" s="84" t="n">
        <x:v>49</x:v>
      </x:c>
      <x:c r="C616" s="84" t="n">
        <x:v>1891</x:v>
      </x:c>
      <x:c r="D616" s="89" t="n">
        <x:v>45520.059537037036</x:v>
      </x:c>
      <x:c r="E616" s="84" t="str">
        <x:v>Rolamento</x:v>
      </x:c>
      <x:c r="F616" s="84" t="str">
        <x:v>Curto-circuito</x:v>
      </x:c>
      <x:c r="G616" s="84" t="str">
        <x:v>Contaminação</x:v>
      </x:c>
      <x:c r="H616" s="84" t="str">
        <x:v>Média</x:v>
      </x:c>
      <x:c r="I616" s="84" t="n">
        <x:v>1</x:v>
      </x:c>
      <x:c r="J616" s="85" t="n">
        <x:v>1</x:v>
      </x:c>
    </x:row>
    <x:row r="617">
      <x:c r="A617" s="83" t="n">
        <x:v>616</x:v>
      </x:c>
      <x:c r="B617" s="84" t="n">
        <x:v>77</x:v>
      </x:c>
      <x:c r="C617" s="84" t="n">
        <x:v>1894</x:v>
      </x:c>
      <x:c r="D617" s="89" t="n">
        <x:v>45462.07508101852</x:v>
      </x:c>
      <x:c r="E617" s="84" t="str">
        <x:v>Rolamento</x:v>
      </x:c>
      <x:c r="F617" s="84" t="str">
        <x:v>Quebra</x:v>
      </x:c>
      <x:c r="G617" s="84" t="str">
        <x:v>Contaminação</x:v>
      </x:c>
      <x:c r="H617" s="84" t="str">
        <x:v>Alta</x:v>
      </x:c>
      <x:c r="I617" s="84" t="n">
        <x:v>0</x:v>
      </x:c>
      <x:c r="J617" s="85" t="n">
        <x:v>1</x:v>
      </x:c>
    </x:row>
    <x:row r="618">
      <x:c r="A618" s="83" t="n">
        <x:v>617</x:v>
      </x:c>
      <x:c r="B618" s="84" t="n">
        <x:v>79</x:v>
      </x:c>
      <x:c r="C618" s="84" t="n">
        <x:v>1903</x:v>
      </x:c>
      <x:c r="D618" s="89" t="n">
        <x:v>45205.02664351852</x:v>
      </x:c>
      <x:c r="E618" s="84" t="str">
        <x:v>Sensor</x:v>
      </x:c>
      <x:c r="F618" s="84" t="str">
        <x:v>Travamento</x:v>
      </x:c>
      <x:c r="G618" s="84" t="str">
        <x:v>Ajuste incorreto</x:v>
      </x:c>
      <x:c r="H618" s="84" t="str">
        <x:v>Média</x:v>
      </x:c>
      <x:c r="I618" s="84" t="n">
        <x:v>0</x:v>
      </x:c>
      <x:c r="J618" s="85" t="n">
        <x:v>1</x:v>
      </x:c>
    </x:row>
    <x:row r="619">
      <x:c r="A619" s="83" t="n">
        <x:v>618</x:v>
      </x:c>
      <x:c r="B619" s="84" t="n">
        <x:v>40</x:v>
      </x:c>
      <x:c r="C619" s="84" t="n">
        <x:v>1904</x:v>
      </x:c>
      <x:c r="D619" s="89" t="n">
        <x:v>45113.30432870371</x:v>
      </x:c>
      <x:c r="E619" s="84" t="str">
        <x:v>Rolamento</x:v>
      </x:c>
      <x:c r="F619" s="84" t="str">
        <x:v>Quebra</x:v>
      </x:c>
      <x:c r="G619" s="84" t="str">
        <x:v>Ajuste incorreto</x:v>
      </x:c>
      <x:c r="H619" s="84" t="str">
        <x:v>Baixa</x:v>
      </x:c>
      <x:c r="I619" s="84" t="n">
        <x:v>0</x:v>
      </x:c>
      <x:c r="J619" s="85" t="n">
        <x:v>1</x:v>
      </x:c>
    </x:row>
    <x:row r="620">
      <x:c r="A620" s="83" t="n">
        <x:v>619</x:v>
      </x:c>
      <x:c r="B620" s="84" t="n">
        <x:v>89</x:v>
      </x:c>
      <x:c r="C620" s="84" t="n">
        <x:v>1910</x:v>
      </x:c>
      <x:c r="D620" s="89" t="n">
        <x:v>45467.405648148146</x:v>
      </x:c>
      <x:c r="E620" s="84" t="str">
        <x:v>Rolamento</x:v>
      </x:c>
      <x:c r="F620" s="84" t="str">
        <x:v>Quebra</x:v>
      </x:c>
      <x:c r="G620" s="84" t="str">
        <x:v>Componente danificado</x:v>
      </x:c>
      <x:c r="H620" s="84" t="str">
        <x:v>Baixa</x:v>
      </x:c>
      <x:c r="I620" s="84" t="n">
        <x:v>0</x:v>
      </x:c>
      <x:c r="J620" s="85" t="n">
        <x:v>1</x:v>
      </x:c>
    </x:row>
    <x:row r="621">
      <x:c r="A621" s="83" t="n">
        <x:v>620</x:v>
      </x:c>
      <x:c r="B621" s="84" t="n">
        <x:v>70</x:v>
      </x:c>
      <x:c r="C621" s="84" t="n">
        <x:v>1911</x:v>
      </x:c>
      <x:c r="D621" s="89" t="n">
        <x:v>45584.0275</x:v>
      </x:c>
      <x:c r="E621" s="84" t="str">
        <x:v>Motor</x:v>
      </x:c>
      <x:c r="F621" s="84" t="str">
        <x:v>Curto-circuito</x:v>
      </x:c>
      <x:c r="G621" s="84" t="str">
        <x:v>Contaminação</x:v>
      </x:c>
      <x:c r="H621" s="84" t="str">
        <x:v>Baixa</x:v>
      </x:c>
      <x:c r="I621" s="84" t="n">
        <x:v>0</x:v>
      </x:c>
      <x:c r="J621" s="85" t="n">
        <x:v>1</x:v>
      </x:c>
    </x:row>
    <x:row r="622">
      <x:c r="A622" s="83" t="n">
        <x:v>621</x:v>
      </x:c>
      <x:c r="B622" s="84" t="n">
        <x:v>3</x:v>
      </x:c>
      <x:c r="C622" s="84" t="n">
        <x:v>1913</x:v>
      </x:c>
      <x:c r="D622" s="89" t="n">
        <x:v>45411.021319444444</x:v>
      </x:c>
      <x:c r="E622" s="84" t="str">
        <x:v>CLP</x:v>
      </x:c>
      <x:c r="F622" s="84" t="str">
        <x:v>Quebra</x:v>
      </x:c>
      <x:c r="G622" s="84" t="str">
        <x:v>Falta de lubrificação</x:v>
      </x:c>
      <x:c r="H622" s="84" t="str">
        <x:v>Média</x:v>
      </x:c>
      <x:c r="I622" s="84" t="n">
        <x:v>0</x:v>
      </x:c>
      <x:c r="J622" s="85" t="n">
        <x:v>1</x:v>
      </x:c>
    </x:row>
    <x:row r="623">
      <x:c r="A623" s="83" t="n">
        <x:v>622</x:v>
      </x:c>
      <x:c r="B623" s="84" t="n">
        <x:v>82</x:v>
      </x:c>
      <x:c r="C623" s="84" t="n">
        <x:v>1914</x:v>
      </x:c>
      <x:c r="D623" s="89" t="n">
        <x:v>45123.26490740741</x:v>
      </x:c>
      <x:c r="E623" s="84" t="str">
        <x:v>Válvula</x:v>
      </x:c>
      <x:c r="F623" s="84" t="str">
        <x:v>Quebra</x:v>
      </x:c>
      <x:c r="G623" s="84" t="str">
        <x:v>Contaminação</x:v>
      </x:c>
      <x:c r="H623" s="84" t="str">
        <x:v>Média</x:v>
      </x:c>
      <x:c r="I623" s="84" t="n">
        <x:v>0</x:v>
      </x:c>
      <x:c r="J623" s="85" t="n">
        <x:v>1</x:v>
      </x:c>
    </x:row>
    <x:row r="624">
      <x:c r="A624" s="83" t="n">
        <x:v>623</x:v>
      </x:c>
      <x:c r="B624" s="84" t="n">
        <x:v>65</x:v>
      </x:c>
      <x:c r="C624" s="84" t="n">
        <x:v>1917</x:v>
      </x:c>
      <x:c r="D624" s="89" t="n">
        <x:v>45038.87395833333</x:v>
      </x:c>
      <x:c r="E624" s="84" t="str">
        <x:v>Correia</x:v>
      </x:c>
      <x:c r="F624" s="84" t="str">
        <x:v>Perda de sinal</x:v>
      </x:c>
      <x:c r="G624" s="84" t="str">
        <x:v>Conexão frouxa</x:v>
      </x:c>
      <x:c r="H624" s="84" t="str">
        <x:v>Média</x:v>
      </x:c>
      <x:c r="I624" s="84" t="n">
        <x:v>1</x:v>
      </x:c>
      <x:c r="J624" s="85" t="n">
        <x:v>1</x:v>
      </x:c>
    </x:row>
    <x:row r="625">
      <x:c r="A625" s="83" t="n">
        <x:v>624</x:v>
      </x:c>
      <x:c r="B625" s="84" t="n">
        <x:v>53</x:v>
      </x:c>
      <x:c r="C625" s="84" t="n">
        <x:v>1918</x:v>
      </x:c>
      <x:c r="D625" s="89" t="n">
        <x:v>45907.357766203706</x:v>
      </x:c>
      <x:c r="E625" s="84" t="str">
        <x:v>CLP</x:v>
      </x:c>
      <x:c r="F625" s="84" t="str">
        <x:v>Desgaste</x:v>
      </x:c>
      <x:c r="G625" s="84" t="str">
        <x:v>Componente danificado</x:v>
      </x:c>
      <x:c r="H625" s="84" t="str">
        <x:v>Baixa</x:v>
      </x:c>
      <x:c r="I625" s="84" t="n">
        <x:v>0</x:v>
      </x:c>
      <x:c r="J625" s="85" t="n">
        <x:v>1</x:v>
      </x:c>
    </x:row>
    <x:row r="626">
      <x:c r="A626" s="83" t="n">
        <x:v>625</x:v>
      </x:c>
      <x:c r="B626" s="84" t="n">
        <x:v>15</x:v>
      </x:c>
      <x:c r="C626" s="84" t="n">
        <x:v>1922</x:v>
      </x:c>
      <x:c r="D626" s="89" t="n">
        <x:v>45816.02278935185</x:v>
      </x:c>
      <x:c r="E626" s="84" t="str">
        <x:v>Motor</x:v>
      </x:c>
      <x:c r="F626" s="84" t="str">
        <x:v>Perda de sinal</x:v>
      </x:c>
      <x:c r="G626" s="84" t="str">
        <x:v>Desgaste natural</x:v>
      </x:c>
      <x:c r="H626" s="84" t="str">
        <x:v>Baixa</x:v>
      </x:c>
      <x:c r="I626" s="84" t="n">
        <x:v>0</x:v>
      </x:c>
      <x:c r="J626" s="85" t="n">
        <x:v>1</x:v>
      </x:c>
    </x:row>
    <x:row r="627">
      <x:c r="A627" s="83" t="n">
        <x:v>626</x:v>
      </x:c>
      <x:c r="B627" s="84" t="n">
        <x:v>6</x:v>
      </x:c>
      <x:c r="C627" s="84" t="n">
        <x:v>1926</x:v>
      </x:c>
      <x:c r="D627" s="89" t="n">
        <x:v>45772.55509259259</x:v>
      </x:c>
      <x:c r="E627" s="84" t="str">
        <x:v>Sensor</x:v>
      </x:c>
      <x:c r="F627" s="84" t="str">
        <x:v>Quebra</x:v>
      </x:c>
      <x:c r="G627" s="84" t="str">
        <x:v>Falta de lubrificação</x:v>
      </x:c>
      <x:c r="H627" s="84" t="str">
        <x:v>Baixa</x:v>
      </x:c>
      <x:c r="I627" s="84" t="n">
        <x:v>0</x:v>
      </x:c>
      <x:c r="J627" s="85" t="n">
        <x:v>1</x:v>
      </x:c>
    </x:row>
    <x:row r="628">
      <x:c r="A628" s="83" t="n">
        <x:v>627</x:v>
      </x:c>
      <x:c r="B628" s="84" t="n">
        <x:v>62</x:v>
      </x:c>
      <x:c r="C628" s="84" t="n">
        <x:v>1932</x:v>
      </x:c>
      <x:c r="D628" s="89" t="n">
        <x:v>45767.15131944444</x:v>
      </x:c>
      <x:c r="E628" s="84" t="str">
        <x:v>Válvula</x:v>
      </x:c>
      <x:c r="F628" s="84" t="str">
        <x:v>Curto-circuito</x:v>
      </x:c>
      <x:c r="G628" s="84" t="str">
        <x:v>Componente danificado</x:v>
      </x:c>
      <x:c r="H628" s="84" t="str">
        <x:v>Baixa</x:v>
      </x:c>
      <x:c r="I628" s="84" t="n">
        <x:v>1</x:v>
      </x:c>
      <x:c r="J628" s="85" t="n">
        <x:v>1</x:v>
      </x:c>
    </x:row>
    <x:row r="629">
      <x:c r="A629" s="83" t="n">
        <x:v>628</x:v>
      </x:c>
      <x:c r="B629" s="84" t="n">
        <x:v>7</x:v>
      </x:c>
      <x:c r="C629" s="84" t="n">
        <x:v>1935</x:v>
      </x:c>
      <x:c r="D629" s="89" t="n">
        <x:v>45343.97738425926</x:v>
      </x:c>
      <x:c r="E629" s="84" t="str">
        <x:v>Motor</x:v>
      </x:c>
      <x:c r="F629" s="84" t="str">
        <x:v>Curto-circuito</x:v>
      </x:c>
      <x:c r="G629" s="84" t="str">
        <x:v>Desgaste natural</x:v>
      </x:c>
      <x:c r="H629" s="84" t="str">
        <x:v>Baixa</x:v>
      </x:c>
      <x:c r="I629" s="84" t="n">
        <x:v>0</x:v>
      </x:c>
      <x:c r="J629" s="85" t="n">
        <x:v>1</x:v>
      </x:c>
    </x:row>
    <x:row r="630">
      <x:c r="A630" s="83" t="n">
        <x:v>629</x:v>
      </x:c>
      <x:c r="B630" s="84" t="n">
        <x:v>62</x:v>
      </x:c>
      <x:c r="C630" s="84" t="n">
        <x:v>1936</x:v>
      </x:c>
      <x:c r="D630" s="89" t="n">
        <x:v>45730.816296296296</x:v>
      </x:c>
      <x:c r="E630" s="84" t="str">
        <x:v>Rolamento</x:v>
      </x:c>
      <x:c r="F630" s="84" t="str">
        <x:v>Desgaste</x:v>
      </x:c>
      <x:c r="G630" s="84" t="str">
        <x:v>Ajuste incorreto</x:v>
      </x:c>
      <x:c r="H630" s="84" t="str">
        <x:v>Média</x:v>
      </x:c>
      <x:c r="I630" s="84" t="n">
        <x:v>0</x:v>
      </x:c>
      <x:c r="J630" s="85" t="n">
        <x:v>1</x:v>
      </x:c>
    </x:row>
    <x:row r="631">
      <x:c r="A631" s="83" t="n">
        <x:v>630</x:v>
      </x:c>
      <x:c r="B631" s="84" t="n">
        <x:v>50</x:v>
      </x:c>
      <x:c r="C631" s="84" t="n">
        <x:v>1938</x:v>
      </x:c>
      <x:c r="D631" s="89" t="n">
        <x:v>45845.68127314815</x:v>
      </x:c>
      <x:c r="E631" s="84" t="str">
        <x:v>Motor</x:v>
      </x:c>
      <x:c r="F631" s="84" t="str">
        <x:v>Travamento</x:v>
      </x:c>
      <x:c r="G631" s="84" t="str">
        <x:v>Conexão frouxa</x:v>
      </x:c>
      <x:c r="H631" s="84" t="str">
        <x:v>Média</x:v>
      </x:c>
      <x:c r="I631" s="84" t="n">
        <x:v>0</x:v>
      </x:c>
      <x:c r="J631" s="85" t="n">
        <x:v>1</x:v>
      </x:c>
    </x:row>
    <x:row r="632">
      <x:c r="A632" s="83" t="n">
        <x:v>631</x:v>
      </x:c>
      <x:c r="B632" s="84" t="n">
        <x:v>4</x:v>
      </x:c>
      <x:c r="C632" s="84" t="n">
        <x:v>1939</x:v>
      </x:c>
      <x:c r="D632" s="89" t="n">
        <x:v>45811.40462962963</x:v>
      </x:c>
      <x:c r="E632" s="84" t="str">
        <x:v>Motor</x:v>
      </x:c>
      <x:c r="F632" s="84" t="str">
        <x:v>Desgaste</x:v>
      </x:c>
      <x:c r="G632" s="84" t="str">
        <x:v>Falta de lubrificação</x:v>
      </x:c>
      <x:c r="H632" s="84" t="str">
        <x:v>Média</x:v>
      </x:c>
      <x:c r="I632" s="84" t="n">
        <x:v>0</x:v>
      </x:c>
      <x:c r="J632" s="85" t="n">
        <x:v>1</x:v>
      </x:c>
    </x:row>
    <x:row r="633">
      <x:c r="A633" s="83" t="n">
        <x:v>632</x:v>
      </x:c>
      <x:c r="B633" s="84" t="n">
        <x:v>46</x:v>
      </x:c>
      <x:c r="C633" s="84" t="n">
        <x:v>1943</x:v>
      </x:c>
      <x:c r="D633" s="89" t="n">
        <x:v>45397.65167824074</x:v>
      </x:c>
      <x:c r="E633" s="84" t="str">
        <x:v>Motor</x:v>
      </x:c>
      <x:c r="F633" s="84" t="str">
        <x:v>Travamento</x:v>
      </x:c>
      <x:c r="G633" s="84" t="str">
        <x:v>Conexão frouxa</x:v>
      </x:c>
      <x:c r="H633" s="84" t="str">
        <x:v>Baixa</x:v>
      </x:c>
      <x:c r="I633" s="84" t="n">
        <x:v>1</x:v>
      </x:c>
      <x:c r="J633" s="85" t="n">
        <x:v>1</x:v>
      </x:c>
    </x:row>
    <x:row r="634">
      <x:c r="A634" s="83" t="n">
        <x:v>633</x:v>
      </x:c>
      <x:c r="B634" s="84" t="n">
        <x:v>44</x:v>
      </x:c>
      <x:c r="C634" s="84" t="n">
        <x:v>1944</x:v>
      </x:c>
      <x:c r="D634" s="89" t="n">
        <x:v>45452.286157407405</x:v>
      </x:c>
      <x:c r="E634" s="84" t="str">
        <x:v>Válvula</x:v>
      </x:c>
      <x:c r="F634" s="84" t="str">
        <x:v>Quebra</x:v>
      </x:c>
      <x:c r="G634" s="84" t="str">
        <x:v>Desgaste natural</x:v>
      </x:c>
      <x:c r="H634" s="84" t="str">
        <x:v>Alta</x:v>
      </x:c>
      <x:c r="I634" s="84" t="n">
        <x:v>1</x:v>
      </x:c>
      <x:c r="J634" s="85" t="n">
        <x:v>1</x:v>
      </x:c>
    </x:row>
    <x:row r="635">
      <x:c r="A635" s="83" t="n">
        <x:v>634</x:v>
      </x:c>
      <x:c r="B635" s="84" t="n">
        <x:v>70</x:v>
      </x:c>
      <x:c r="C635" s="84" t="n">
        <x:v>1946</x:v>
      </x:c>
      <x:c r="D635" s="89" t="n">
        <x:v>45688.10171296296</x:v>
      </x:c>
      <x:c r="E635" s="84" t="str">
        <x:v>Correia</x:v>
      </x:c>
      <x:c r="F635" s="84" t="str">
        <x:v>Curto-circuito</x:v>
      </x:c>
      <x:c r="G635" s="84" t="str">
        <x:v>Contaminação</x:v>
      </x:c>
      <x:c r="H635" s="84" t="str">
        <x:v>Baixa</x:v>
      </x:c>
      <x:c r="I635" s="84" t="n">
        <x:v>0</x:v>
      </x:c>
      <x:c r="J635" s="85" t="n">
        <x:v>1</x:v>
      </x:c>
    </x:row>
    <x:row r="636">
      <x:c r="A636" s="83" t="n">
        <x:v>635</x:v>
      </x:c>
      <x:c r="B636" s="84" t="n">
        <x:v>53</x:v>
      </x:c>
      <x:c r="C636" s="84" t="n">
        <x:v>1947</x:v>
      </x:c>
      <x:c r="D636" s="89" t="n">
        <x:v>45801.070925925924</x:v>
      </x:c>
      <x:c r="E636" s="84" t="str">
        <x:v>Sensor</x:v>
      </x:c>
      <x:c r="F636" s="84" t="str">
        <x:v>Perda de sinal</x:v>
      </x:c>
      <x:c r="G636" s="84" t="str">
        <x:v>Ajuste incorreto</x:v>
      </x:c>
      <x:c r="H636" s="84" t="str">
        <x:v>Média</x:v>
      </x:c>
      <x:c r="I636" s="84" t="n">
        <x:v>1</x:v>
      </x:c>
      <x:c r="J636" s="85" t="n">
        <x:v>1</x:v>
      </x:c>
    </x:row>
    <x:row r="637">
      <x:c r="A637" s="83" t="n">
        <x:v>636</x:v>
      </x:c>
      <x:c r="B637" s="84" t="n">
        <x:v>76</x:v>
      </x:c>
      <x:c r="C637" s="84" t="n">
        <x:v>1953</x:v>
      </x:c>
      <x:c r="D637" s="89" t="n">
        <x:v>45950.7440162037</x:v>
      </x:c>
      <x:c r="E637" s="84" t="str">
        <x:v>CLP</x:v>
      </x:c>
      <x:c r="F637" s="84" t="str">
        <x:v>Desgaste</x:v>
      </x:c>
      <x:c r="G637" s="84" t="str">
        <x:v>Componente danificado</x:v>
      </x:c>
      <x:c r="H637" s="84" t="str">
        <x:v>Alta</x:v>
      </x:c>
      <x:c r="I637" s="84" t="n">
        <x:v>0</x:v>
      </x:c>
      <x:c r="J637" s="85" t="n">
        <x:v>1</x:v>
      </x:c>
    </x:row>
    <x:row r="638">
      <x:c r="A638" s="83" t="n">
        <x:v>637</x:v>
      </x:c>
      <x:c r="B638" s="84" t="n">
        <x:v>46</x:v>
      </x:c>
      <x:c r="C638" s="84" t="n">
        <x:v>1954</x:v>
      </x:c>
      <x:c r="D638" s="89" t="n">
        <x:v>45685.119675925926</x:v>
      </x:c>
      <x:c r="E638" s="84" t="str">
        <x:v>Correia</x:v>
      </x:c>
      <x:c r="F638" s="84" t="str">
        <x:v>Quebra</x:v>
      </x:c>
      <x:c r="G638" s="84" t="str">
        <x:v>Componente danificado</x:v>
      </x:c>
      <x:c r="H638" s="84" t="str">
        <x:v>Baixa</x:v>
      </x:c>
      <x:c r="I638" s="84" t="n">
        <x:v>0</x:v>
      </x:c>
      <x:c r="J638" s="85" t="n">
        <x:v>1</x:v>
      </x:c>
    </x:row>
    <x:row r="639">
      <x:c r="A639" s="83" t="n">
        <x:v>638</x:v>
      </x:c>
      <x:c r="B639" s="84" t="n">
        <x:v>62</x:v>
      </x:c>
      <x:c r="C639" s="84" t="n">
        <x:v>1955</x:v>
      </x:c>
      <x:c r="D639" s="89" t="n">
        <x:v>45137.89900462963</x:v>
      </x:c>
      <x:c r="E639" s="84" t="str">
        <x:v>Válvula</x:v>
      </x:c>
      <x:c r="F639" s="84" t="str">
        <x:v>Perda de sinal</x:v>
      </x:c>
      <x:c r="G639" s="84" t="str">
        <x:v>Falta de lubrificação</x:v>
      </x:c>
      <x:c r="H639" s="84" t="str">
        <x:v>Baixa</x:v>
      </x:c>
      <x:c r="I639" s="84" t="n">
        <x:v>0</x:v>
      </x:c>
      <x:c r="J639" s="85" t="n">
        <x:v>1</x:v>
      </x:c>
    </x:row>
    <x:row r="640">
      <x:c r="A640" s="83" t="n">
        <x:v>639</x:v>
      </x:c>
      <x:c r="B640" s="84" t="n">
        <x:v>77</x:v>
      </x:c>
      <x:c r="C640" s="84" t="n">
        <x:v>1956</x:v>
      </x:c>
      <x:c r="D640" s="89" t="n">
        <x:v>45087.94596064815</x:v>
      </x:c>
      <x:c r="E640" s="84" t="str">
        <x:v>CLP</x:v>
      </x:c>
      <x:c r="F640" s="84" t="str">
        <x:v>Desgaste</x:v>
      </x:c>
      <x:c r="G640" s="84" t="str">
        <x:v>Conexão frouxa</x:v>
      </x:c>
      <x:c r="H640" s="84" t="str">
        <x:v>Alta</x:v>
      </x:c>
      <x:c r="I640" s="84" t="n">
        <x:v>0</x:v>
      </x:c>
      <x:c r="J640" s="85" t="n">
        <x:v>1</x:v>
      </x:c>
    </x:row>
    <x:row r="641">
      <x:c r="A641" s="83" t="n">
        <x:v>640</x:v>
      </x:c>
      <x:c r="B641" s="84" t="n">
        <x:v>75</x:v>
      </x:c>
      <x:c r="C641" s="84" t="n">
        <x:v>1958</x:v>
      </x:c>
      <x:c r="D641" s="89" t="n">
        <x:v>45613.68402777778</x:v>
      </x:c>
      <x:c r="E641" s="84" t="str">
        <x:v>Válvula</x:v>
      </x:c>
      <x:c r="F641" s="84" t="str">
        <x:v>Perda de sinal</x:v>
      </x:c>
      <x:c r="G641" s="84" t="str">
        <x:v>Componente danificado</x:v>
      </x:c>
      <x:c r="H641" s="84" t="str">
        <x:v>Baixa</x:v>
      </x:c>
      <x:c r="I641" s="84" t="n">
        <x:v>0</x:v>
      </x:c>
      <x:c r="J641" s="85" t="n">
        <x:v>1</x:v>
      </x:c>
    </x:row>
    <x:row r="642">
      <x:c r="A642" s="83" t="n">
        <x:v>641</x:v>
      </x:c>
      <x:c r="B642" s="84" t="n">
        <x:v>47</x:v>
      </x:c>
      <x:c r="C642" s="84" t="n">
        <x:v>1963</x:v>
      </x:c>
      <x:c r="D642" s="89" t="n">
        <x:v>45486.790868055556</x:v>
      </x:c>
      <x:c r="E642" s="84" t="str">
        <x:v>Motor</x:v>
      </x:c>
      <x:c r="F642" s="84" t="str">
        <x:v>Curto-circuito</x:v>
      </x:c>
      <x:c r="G642" s="84" t="str">
        <x:v>Conexão frouxa</x:v>
      </x:c>
      <x:c r="H642" s="84" t="str">
        <x:v>Baixa</x:v>
      </x:c>
      <x:c r="I642" s="84" t="n">
        <x:v>1</x:v>
      </x:c>
      <x:c r="J642" s="85" t="n">
        <x:v>1</x:v>
      </x:c>
    </x:row>
    <x:row r="643">
      <x:c r="A643" s="83" t="n">
        <x:v>642</x:v>
      </x:c>
      <x:c r="B643" s="84" t="n">
        <x:v>55</x:v>
      </x:c>
      <x:c r="C643" s="84" t="n">
        <x:v>1964</x:v>
      </x:c>
      <x:c r="D643" s="89" t="n">
        <x:v>45531.57890046296</x:v>
      </x:c>
      <x:c r="E643" s="84" t="str">
        <x:v>Rolamento</x:v>
      </x:c>
      <x:c r="F643" s="84" t="str">
        <x:v>Travamento</x:v>
      </x:c>
      <x:c r="G643" s="84" t="str">
        <x:v>Componente danificado</x:v>
      </x:c>
      <x:c r="H643" s="84" t="str">
        <x:v>Alta</x:v>
      </x:c>
      <x:c r="I643" s="84" t="n">
        <x:v>0</x:v>
      </x:c>
      <x:c r="J643" s="85" t="n">
        <x:v>1</x:v>
      </x:c>
    </x:row>
    <x:row r="644">
      <x:c r="A644" s="83" t="n">
        <x:v>643</x:v>
      </x:c>
      <x:c r="B644" s="84" t="n">
        <x:v>20</x:v>
      </x:c>
      <x:c r="C644" s="84" t="n">
        <x:v>1966</x:v>
      </x:c>
      <x:c r="D644" s="89" t="n">
        <x:v>45331.26263888889</x:v>
      </x:c>
      <x:c r="E644" s="84" t="str">
        <x:v>Sensor</x:v>
      </x:c>
      <x:c r="F644" s="84" t="str">
        <x:v>Perda de sinal</x:v>
      </x:c>
      <x:c r="G644" s="84" t="str">
        <x:v>Conexão frouxa</x:v>
      </x:c>
      <x:c r="H644" s="84" t="str">
        <x:v>Alta</x:v>
      </x:c>
      <x:c r="I644" s="84" t="n">
        <x:v>0</x:v>
      </x:c>
      <x:c r="J644" s="85" t="n">
        <x:v>1</x:v>
      </x:c>
    </x:row>
    <x:row r="645">
      <x:c r="A645" s="83" t="n">
        <x:v>644</x:v>
      </x:c>
      <x:c r="B645" s="84" t="n">
        <x:v>26</x:v>
      </x:c>
      <x:c r="C645" s="84" t="n">
        <x:v>1968</x:v>
      </x:c>
      <x:c r="D645" s="89" t="n">
        <x:v>45232.21690972222</x:v>
      </x:c>
      <x:c r="E645" s="84" t="str">
        <x:v>Motor</x:v>
      </x:c>
      <x:c r="F645" s="84" t="str">
        <x:v>Quebra</x:v>
      </x:c>
      <x:c r="G645" s="84" t="str">
        <x:v>Desgaste natural</x:v>
      </x:c>
      <x:c r="H645" s="84" t="str">
        <x:v>Média</x:v>
      </x:c>
      <x:c r="I645" s="84" t="n">
        <x:v>0</x:v>
      </x:c>
      <x:c r="J645" s="85" t="n">
        <x:v>1</x:v>
      </x:c>
    </x:row>
    <x:row r="646">
      <x:c r="A646" s="83" t="n">
        <x:v>645</x:v>
      </x:c>
      <x:c r="B646" s="84" t="n">
        <x:v>45</x:v>
      </x:c>
      <x:c r="C646" s="84" t="n">
        <x:v>1972</x:v>
      </x:c>
      <x:c r="D646" s="89" t="n">
        <x:v>45472.89366898148</x:v>
      </x:c>
      <x:c r="E646" s="84" t="str">
        <x:v>Rolamento</x:v>
      </x:c>
      <x:c r="F646" s="84" t="str">
        <x:v>Curto-circuito</x:v>
      </x:c>
      <x:c r="G646" s="84" t="str">
        <x:v>Componente danificado</x:v>
      </x:c>
      <x:c r="H646" s="84" t="str">
        <x:v>Média</x:v>
      </x:c>
      <x:c r="I646" s="84" t="n">
        <x:v>0</x:v>
      </x:c>
      <x:c r="J646" s="85" t="n">
        <x:v>1</x:v>
      </x:c>
    </x:row>
    <x:row r="647">
      <x:c r="A647" s="83" t="n">
        <x:v>646</x:v>
      </x:c>
      <x:c r="B647" s="84" t="n">
        <x:v>64</x:v>
      </x:c>
      <x:c r="C647" s="84" t="n">
        <x:v>1974</x:v>
      </x:c>
      <x:c r="D647" s="89" t="n">
        <x:v>45523.439988425926</x:v>
      </x:c>
      <x:c r="E647" s="84" t="str">
        <x:v>CLP</x:v>
      </x:c>
      <x:c r="F647" s="84" t="str">
        <x:v>Quebra</x:v>
      </x:c>
      <x:c r="G647" s="84" t="str">
        <x:v>Falta de lubrificação</x:v>
      </x:c>
      <x:c r="H647" s="84" t="str">
        <x:v>Alta</x:v>
      </x:c>
      <x:c r="I647" s="84" t="n">
        <x:v>0</x:v>
      </x:c>
      <x:c r="J647" s="85" t="n">
        <x:v>1</x:v>
      </x:c>
    </x:row>
    <x:row r="648">
      <x:c r="A648" s="83" t="n">
        <x:v>647</x:v>
      </x:c>
      <x:c r="B648" s="84" t="n">
        <x:v>73</x:v>
      </x:c>
      <x:c r="C648" s="84" t="n">
        <x:v>1977</x:v>
      </x:c>
      <x:c r="D648" s="89" t="n">
        <x:v>45270.5687962963</x:v>
      </x:c>
      <x:c r="E648" s="84" t="str">
        <x:v>Rolamento</x:v>
      </x:c>
      <x:c r="F648" s="84" t="str">
        <x:v>Quebra</x:v>
      </x:c>
      <x:c r="G648" s="84" t="str">
        <x:v>Componente danificado</x:v>
      </x:c>
      <x:c r="H648" s="84" t="str">
        <x:v>Média</x:v>
      </x:c>
      <x:c r="I648" s="84" t="n">
        <x:v>0</x:v>
      </x:c>
      <x:c r="J648" s="85" t="n">
        <x:v>1</x:v>
      </x:c>
    </x:row>
    <x:row r="649">
      <x:c r="A649" s="83" t="n">
        <x:v>648</x:v>
      </x:c>
      <x:c r="B649" s="84" t="n">
        <x:v>17</x:v>
      </x:c>
      <x:c r="C649" s="84" t="n">
        <x:v>1978</x:v>
      </x:c>
      <x:c r="D649" s="89" t="n">
        <x:v>45647.37777777778</x:v>
      </x:c>
      <x:c r="E649" s="84" t="str">
        <x:v>CLP</x:v>
      </x:c>
      <x:c r="F649" s="84" t="str">
        <x:v>Curto-circuito</x:v>
      </x:c>
      <x:c r="G649" s="84" t="str">
        <x:v>Desgaste natural</x:v>
      </x:c>
      <x:c r="H649" s="84" t="str">
        <x:v>Baixa</x:v>
      </x:c>
      <x:c r="I649" s="84" t="n">
        <x:v>1</x:v>
      </x:c>
      <x:c r="J649" s="85" t="n">
        <x:v>1</x:v>
      </x:c>
    </x:row>
    <x:row r="650">
      <x:c r="A650" s="83" t="n">
        <x:v>649</x:v>
      </x:c>
      <x:c r="B650" s="84" t="n">
        <x:v>34</x:v>
      </x:c>
      <x:c r="C650" s="84" t="n">
        <x:v>1981</x:v>
      </x:c>
      <x:c r="D650" s="89" t="n">
        <x:v>45652.3965625</x:v>
      </x:c>
      <x:c r="E650" s="84" t="str">
        <x:v>Válvula</x:v>
      </x:c>
      <x:c r="F650" s="84" t="str">
        <x:v>Curto-circuito</x:v>
      </x:c>
      <x:c r="G650" s="84" t="str">
        <x:v>Falta de lubrificação</x:v>
      </x:c>
      <x:c r="H650" s="84" t="str">
        <x:v>Baixa</x:v>
      </x:c>
      <x:c r="I650" s="84" t="n">
        <x:v>0</x:v>
      </x:c>
      <x:c r="J650" s="85" t="n">
        <x:v>1</x:v>
      </x:c>
    </x:row>
    <x:row r="651">
      <x:c r="A651" s="83" t="n">
        <x:v>650</x:v>
      </x:c>
      <x:c r="B651" s="84" t="n">
        <x:v>82</x:v>
      </x:c>
      <x:c r="C651" s="84" t="n">
        <x:v>1982</x:v>
      </x:c>
      <x:c r="D651" s="89" t="n">
        <x:v>45980.13261574074</x:v>
      </x:c>
      <x:c r="E651" s="84" t="str">
        <x:v>CLP</x:v>
      </x:c>
      <x:c r="F651" s="84" t="str">
        <x:v>Curto-circuito</x:v>
      </x:c>
      <x:c r="G651" s="84" t="str">
        <x:v>Conexão frouxa</x:v>
      </x:c>
      <x:c r="H651" s="84" t="str">
        <x:v>Baixa</x:v>
      </x:c>
      <x:c r="I651" s="84" t="n">
        <x:v>0</x:v>
      </x:c>
      <x:c r="J651" s="85" t="n">
        <x:v>1</x:v>
      </x:c>
    </x:row>
    <x:row r="652">
      <x:c r="A652" s="83" t="n">
        <x:v>651</x:v>
      </x:c>
      <x:c r="B652" s="84" t="n">
        <x:v>76</x:v>
      </x:c>
      <x:c r="C652" s="84" t="n">
        <x:v>1983</x:v>
      </x:c>
      <x:c r="D652" s="89" t="n">
        <x:v>45319.767743055556</x:v>
      </x:c>
      <x:c r="E652" s="84" t="str">
        <x:v>Correia</x:v>
      </x:c>
      <x:c r="F652" s="84" t="str">
        <x:v>Travamento</x:v>
      </x:c>
      <x:c r="G652" s="84" t="str">
        <x:v>Ajuste incorreto</x:v>
      </x:c>
      <x:c r="H652" s="84" t="str">
        <x:v>Média</x:v>
      </x:c>
      <x:c r="I652" s="84" t="n">
        <x:v>0</x:v>
      </x:c>
      <x:c r="J652" s="85" t="n">
        <x:v>1</x:v>
      </x:c>
    </x:row>
    <x:row r="653">
      <x:c r="A653" s="83" t="n">
        <x:v>652</x:v>
      </x:c>
      <x:c r="B653" s="84" t="n">
        <x:v>29</x:v>
      </x:c>
      <x:c r="C653" s="84" t="n">
        <x:v>1985</x:v>
      </x:c>
      <x:c r="D653" s="89" t="n">
        <x:v>45887.26138888889</x:v>
      </x:c>
      <x:c r="E653" s="84" t="str">
        <x:v>Válvula</x:v>
      </x:c>
      <x:c r="F653" s="84" t="str">
        <x:v>Curto-circuito</x:v>
      </x:c>
      <x:c r="G653" s="84" t="str">
        <x:v>Contaminação</x:v>
      </x:c>
      <x:c r="H653" s="84" t="str">
        <x:v>Baixa</x:v>
      </x:c>
      <x:c r="I653" s="84" t="n">
        <x:v>0</x:v>
      </x:c>
      <x:c r="J653" s="85" t="n">
        <x:v>1</x:v>
      </x:c>
    </x:row>
    <x:row r="654">
      <x:c r="A654" s="83" t="n">
        <x:v>653</x:v>
      </x:c>
      <x:c r="B654" s="84" t="n">
        <x:v>37</x:v>
      </x:c>
      <x:c r="C654" s="84" t="n">
        <x:v>1988</x:v>
      </x:c>
      <x:c r="D654" s="89" t="n">
        <x:v>45423.55611111111</x:v>
      </x:c>
      <x:c r="E654" s="84" t="str">
        <x:v>Motor</x:v>
      </x:c>
      <x:c r="F654" s="84" t="str">
        <x:v>Perda de sinal</x:v>
      </x:c>
      <x:c r="G654" s="84" t="str">
        <x:v>Conexão frouxa</x:v>
      </x:c>
      <x:c r="H654" s="84" t="str">
        <x:v>Alta</x:v>
      </x:c>
      <x:c r="I654" s="84" t="n">
        <x:v>1</x:v>
      </x:c>
      <x:c r="J654" s="85" t="n">
        <x:v>1</x:v>
      </x:c>
    </x:row>
    <x:row r="655">
      <x:c r="A655" s="83" t="n">
        <x:v>654</x:v>
      </x:c>
      <x:c r="B655" s="84" t="n">
        <x:v>68</x:v>
      </x:c>
      <x:c r="C655" s="84" t="n">
        <x:v>1994</x:v>
      </x:c>
      <x:c r="D655" s="89" t="n">
        <x:v>45043.928298611114</x:v>
      </x:c>
      <x:c r="E655" s="84" t="str">
        <x:v>Motor</x:v>
      </x:c>
      <x:c r="F655" s="84" t="str">
        <x:v>Quebra</x:v>
      </x:c>
      <x:c r="G655" s="84" t="str">
        <x:v>Desgaste natural</x:v>
      </x:c>
      <x:c r="H655" s="84" t="str">
        <x:v>Baixa</x:v>
      </x:c>
      <x:c r="I655" s="84" t="n">
        <x:v>1</x:v>
      </x:c>
      <x:c r="J655" s="85" t="n">
        <x:v>1</x:v>
      </x:c>
    </x:row>
    <x:row r="656">
      <x:c r="A656" s="83" t="n">
        <x:v>655</x:v>
      </x:c>
      <x:c r="B656" s="84" t="n">
        <x:v>27</x:v>
      </x:c>
      <x:c r="C656" s="84" t="n">
        <x:v>1997</x:v>
      </x:c>
      <x:c r="D656" s="89" t="n">
        <x:v>45950.301770833335</x:v>
      </x:c>
      <x:c r="E656" s="84" t="str">
        <x:v>CLP</x:v>
      </x:c>
      <x:c r="F656" s="84" t="str">
        <x:v>Perda de sinal</x:v>
      </x:c>
      <x:c r="G656" s="84" t="str">
        <x:v>Ajuste incorreto</x:v>
      </x:c>
      <x:c r="H656" s="84" t="str">
        <x:v>Baixa</x:v>
      </x:c>
      <x:c r="I656" s="84" t="n">
        <x:v>0</x:v>
      </x:c>
      <x:c r="J656" s="85" t="n">
        <x:v>1</x:v>
      </x:c>
    </x:row>
    <x:row r="657">
      <x:c r="A657" s="83" t="n">
        <x:v>656</x:v>
      </x:c>
      <x:c r="B657" s="84" t="n">
        <x:v>9</x:v>
      </x:c>
      <x:c r="C657" s="84" t="n">
        <x:v>1999</x:v>
      </x:c>
      <x:c r="D657" s="89" t="n">
        <x:v>45858.41855324074</x:v>
      </x:c>
      <x:c r="E657" s="84" t="str">
        <x:v>Correia</x:v>
      </x:c>
      <x:c r="F657" s="84" t="str">
        <x:v>Desgaste</x:v>
      </x:c>
      <x:c r="G657" s="84" t="str">
        <x:v>Falta de lubrificação</x:v>
      </x:c>
      <x:c r="H657" s="84" t="str">
        <x:v>Alta</x:v>
      </x:c>
      <x:c r="I657" s="84" t="n">
        <x:v>0</x:v>
      </x:c>
      <x:c r="J657" s="85" t="n">
        <x:v>1</x:v>
      </x:c>
    </x:row>
    <x:row r="658">
      <x:c r="A658" s="83" t="n">
        <x:v>657</x:v>
      </x:c>
      <x:c r="B658" s="84" t="n">
        <x:v>1</x:v>
      </x:c>
      <x:c r="C658" s="84" t="n">
        <x:v>2001</x:v>
      </x:c>
      <x:c r="D658" s="89" t="n">
        <x:v>45543.71803240741</x:v>
      </x:c>
      <x:c r="E658" s="84" t="str">
        <x:v>Motor</x:v>
      </x:c>
      <x:c r="F658" s="84" t="str">
        <x:v>Travamento</x:v>
      </x:c>
      <x:c r="G658" s="84" t="str">
        <x:v>Ajuste incorreto</x:v>
      </x:c>
      <x:c r="H658" s="84" t="str">
        <x:v>Baixa</x:v>
      </x:c>
      <x:c r="I658" s="84" t="n">
        <x:v>0</x:v>
      </x:c>
      <x:c r="J658" s="85" t="n">
        <x:v>1</x:v>
      </x:c>
    </x:row>
    <x:row r="659">
      <x:c r="A659" s="83" t="n">
        <x:v>658</x:v>
      </x:c>
      <x:c r="B659" s="84" t="n">
        <x:v>85</x:v>
      </x:c>
      <x:c r="C659" s="84" t="n">
        <x:v>2004</x:v>
      </x:c>
      <x:c r="D659" s="89" t="n">
        <x:v>45518.917280092595</x:v>
      </x:c>
      <x:c r="E659" s="84" t="str">
        <x:v>CLP</x:v>
      </x:c>
      <x:c r="F659" s="84" t="str">
        <x:v>Desgaste</x:v>
      </x:c>
      <x:c r="G659" s="84" t="str">
        <x:v>Componente danificado</x:v>
      </x:c>
      <x:c r="H659" s="84" t="str">
        <x:v>Alta</x:v>
      </x:c>
      <x:c r="I659" s="84" t="n">
        <x:v>0</x:v>
      </x:c>
      <x:c r="J659" s="85" t="n">
        <x:v>1</x:v>
      </x:c>
    </x:row>
    <x:row r="660">
      <x:c r="A660" s="83" t="n">
        <x:v>659</x:v>
      </x:c>
      <x:c r="B660" s="84" t="n">
        <x:v>47</x:v>
      </x:c>
      <x:c r="C660" s="84" t="n">
        <x:v>2005</x:v>
      </x:c>
      <x:c r="D660" s="89" t="n">
        <x:v>45373.44478009259</x:v>
      </x:c>
      <x:c r="E660" s="84" t="str">
        <x:v>Correia</x:v>
      </x:c>
      <x:c r="F660" s="84" t="str">
        <x:v>Perda de sinal</x:v>
      </x:c>
      <x:c r="G660" s="84" t="str">
        <x:v>Conexão frouxa</x:v>
      </x:c>
      <x:c r="H660" s="84" t="str">
        <x:v>Alta</x:v>
      </x:c>
      <x:c r="I660" s="84" t="n">
        <x:v>0</x:v>
      </x:c>
      <x:c r="J660" s="85" t="n">
        <x:v>1</x:v>
      </x:c>
    </x:row>
    <x:row r="661">
      <x:c r="A661" s="83" t="n">
        <x:v>660</x:v>
      </x:c>
      <x:c r="B661" s="84" t="n">
        <x:v>70</x:v>
      </x:c>
      <x:c r="C661" s="84" t="n">
        <x:v>2006</x:v>
      </x:c>
      <x:c r="D661" s="89" t="n">
        <x:v>45879.809953703705</x:v>
      </x:c>
      <x:c r="E661" s="84" t="str">
        <x:v>Correia</x:v>
      </x:c>
      <x:c r="F661" s="84" t="str">
        <x:v>Curto-circuito</x:v>
      </x:c>
      <x:c r="G661" s="84" t="str">
        <x:v>Falta de lubrificação</x:v>
      </x:c>
      <x:c r="H661" s="84" t="str">
        <x:v>Média</x:v>
      </x:c>
      <x:c r="I661" s="84" t="n">
        <x:v>0</x:v>
      </x:c>
      <x:c r="J661" s="85" t="n">
        <x:v>1</x:v>
      </x:c>
    </x:row>
    <x:row r="662">
      <x:c r="A662" s="83" t="n">
        <x:v>661</x:v>
      </x:c>
      <x:c r="B662" s="84" t="n">
        <x:v>18</x:v>
      </x:c>
      <x:c r="C662" s="84" t="n">
        <x:v>2010</x:v>
      </x:c>
      <x:c r="D662" s="89" t="n">
        <x:v>45232.425983796296</x:v>
      </x:c>
      <x:c r="E662" s="84" t="str">
        <x:v>Rolamento</x:v>
      </x:c>
      <x:c r="F662" s="84" t="str">
        <x:v>Curto-circuito</x:v>
      </x:c>
      <x:c r="G662" s="84" t="str">
        <x:v>Falta de lubrificação</x:v>
      </x:c>
      <x:c r="H662" s="84" t="str">
        <x:v>Alta</x:v>
      </x:c>
      <x:c r="I662" s="84" t="n">
        <x:v>0</x:v>
      </x:c>
      <x:c r="J662" s="85" t="n">
        <x:v>1</x:v>
      </x:c>
    </x:row>
    <x:row r="663">
      <x:c r="A663" s="83" t="n">
        <x:v>662</x:v>
      </x:c>
      <x:c r="B663" s="84" t="n">
        <x:v>56</x:v>
      </x:c>
      <x:c r="C663" s="84" t="n">
        <x:v>2021</x:v>
      </x:c>
      <x:c r="D663" s="89" t="n">
        <x:v>45478.05972222222</x:v>
      </x:c>
      <x:c r="E663" s="84" t="str">
        <x:v>Sensor</x:v>
      </x:c>
      <x:c r="F663" s="84" t="str">
        <x:v>Curto-circuito</x:v>
      </x:c>
      <x:c r="G663" s="84" t="str">
        <x:v>Desgaste natural</x:v>
      </x:c>
      <x:c r="H663" s="84" t="str">
        <x:v>Média</x:v>
      </x:c>
      <x:c r="I663" s="84" t="n">
        <x:v>1</x:v>
      </x:c>
      <x:c r="J663" s="85" t="n">
        <x:v>1</x:v>
      </x:c>
    </x:row>
    <x:row r="664">
      <x:c r="A664" s="83" t="n">
        <x:v>663</x:v>
      </x:c>
      <x:c r="B664" s="84" t="n">
        <x:v>8</x:v>
      </x:c>
      <x:c r="C664" s="84" t="n">
        <x:v>2024</x:v>
      </x:c>
      <x:c r="D664" s="89" t="n">
        <x:v>45427.5558912037</x:v>
      </x:c>
      <x:c r="E664" s="84" t="str">
        <x:v>Correia</x:v>
      </x:c>
      <x:c r="F664" s="84" t="str">
        <x:v>Desgaste</x:v>
      </x:c>
      <x:c r="G664" s="84" t="str">
        <x:v>Conexão frouxa</x:v>
      </x:c>
      <x:c r="H664" s="84" t="str">
        <x:v>Alta</x:v>
      </x:c>
      <x:c r="I664" s="84" t="n">
        <x:v>0</x:v>
      </x:c>
      <x:c r="J664" s="85" t="n">
        <x:v>1</x:v>
      </x:c>
    </x:row>
    <x:row r="665">
      <x:c r="A665" s="83" t="n">
        <x:v>664</x:v>
      </x:c>
      <x:c r="B665" s="84" t="n">
        <x:v>77</x:v>
      </x:c>
      <x:c r="C665" s="84" t="n">
        <x:v>2032</x:v>
      </x:c>
      <x:c r="D665" s="89" t="n">
        <x:v>45348.090520833335</x:v>
      </x:c>
      <x:c r="E665" s="84" t="str">
        <x:v>CLP</x:v>
      </x:c>
      <x:c r="F665" s="84" t="str">
        <x:v>Travamento</x:v>
      </x:c>
      <x:c r="G665" s="84" t="str">
        <x:v>Desgaste natural</x:v>
      </x:c>
      <x:c r="H665" s="84" t="str">
        <x:v>Média</x:v>
      </x:c>
      <x:c r="I665" s="84" t="n">
        <x:v>0</x:v>
      </x:c>
      <x:c r="J665" s="85" t="n">
        <x:v>1</x:v>
      </x:c>
    </x:row>
    <x:row r="666">
      <x:c r="A666" s="83" t="n">
        <x:v>665</x:v>
      </x:c>
      <x:c r="B666" s="84" t="n">
        <x:v>75</x:v>
      </x:c>
      <x:c r="C666" s="84" t="n">
        <x:v>2056</x:v>
      </x:c>
      <x:c r="D666" s="89" t="n">
        <x:v>45528.68</x:v>
      </x:c>
      <x:c r="E666" s="84" t="str">
        <x:v>Correia</x:v>
      </x:c>
      <x:c r="F666" s="84" t="str">
        <x:v>Quebra</x:v>
      </x:c>
      <x:c r="G666" s="84" t="str">
        <x:v>Conexão frouxa</x:v>
      </x:c>
      <x:c r="H666" s="84" t="str">
        <x:v>Média</x:v>
      </x:c>
      <x:c r="I666" s="84" t="n">
        <x:v>0</x:v>
      </x:c>
      <x:c r="J666" s="85" t="n">
        <x:v>1</x:v>
      </x:c>
    </x:row>
    <x:row r="667">
      <x:c r="A667" s="83" t="n">
        <x:v>666</x:v>
      </x:c>
      <x:c r="B667" s="84" t="n">
        <x:v>71</x:v>
      </x:c>
      <x:c r="C667" s="84" t="n">
        <x:v>2057</x:v>
      </x:c>
      <x:c r="D667" s="89" t="n">
        <x:v>45339.723078703704</x:v>
      </x:c>
      <x:c r="E667" s="84" t="str">
        <x:v>Motor</x:v>
      </x:c>
      <x:c r="F667" s="84" t="str">
        <x:v>Curto-circuito</x:v>
      </x:c>
      <x:c r="G667" s="84" t="str">
        <x:v>Conexão frouxa</x:v>
      </x:c>
      <x:c r="H667" s="84" t="str">
        <x:v>Alta</x:v>
      </x:c>
      <x:c r="I667" s="84" t="n">
        <x:v>0</x:v>
      </x:c>
      <x:c r="J667" s="85" t="n">
        <x:v>1</x:v>
      </x:c>
    </x:row>
    <x:row r="668">
      <x:c r="A668" s="83" t="n">
        <x:v>667</x:v>
      </x:c>
      <x:c r="B668" s="84" t="n">
        <x:v>32</x:v>
      </x:c>
      <x:c r="C668" s="84" t="n">
        <x:v>2058</x:v>
      </x:c>
      <x:c r="D668" s="89" t="n">
        <x:v>45318.492268518516</x:v>
      </x:c>
      <x:c r="E668" s="84" t="str">
        <x:v>Sensor</x:v>
      </x:c>
      <x:c r="F668" s="84" t="str">
        <x:v>Curto-circuito</x:v>
      </x:c>
      <x:c r="G668" s="84" t="str">
        <x:v>Contaminação</x:v>
      </x:c>
      <x:c r="H668" s="84" t="str">
        <x:v>Alta</x:v>
      </x:c>
      <x:c r="I668" s="84" t="n">
        <x:v>0</x:v>
      </x:c>
      <x:c r="J668" s="85" t="n">
        <x:v>1</x:v>
      </x:c>
    </x:row>
    <x:row r="669">
      <x:c r="A669" s="83" t="n">
        <x:v>668</x:v>
      </x:c>
      <x:c r="B669" s="84" t="n">
        <x:v>49</x:v>
      </x:c>
      <x:c r="C669" s="84" t="n">
        <x:v>2064</x:v>
      </x:c>
      <x:c r="D669" s="89" t="n">
        <x:v>45807.495</x:v>
      </x:c>
      <x:c r="E669" s="84" t="str">
        <x:v>CLP</x:v>
      </x:c>
      <x:c r="F669" s="84" t="str">
        <x:v>Curto-circuito</x:v>
      </x:c>
      <x:c r="G669" s="84" t="str">
        <x:v>Componente danificado</x:v>
      </x:c>
      <x:c r="H669" s="84" t="str">
        <x:v>Baixa</x:v>
      </x:c>
      <x:c r="I669" s="84" t="n">
        <x:v>0</x:v>
      </x:c>
      <x:c r="J669" s="85" t="n">
        <x:v>1</x:v>
      </x:c>
    </x:row>
    <x:row r="670">
      <x:c r="A670" s="83" t="n">
        <x:v>669</x:v>
      </x:c>
      <x:c r="B670" s="84" t="n">
        <x:v>53</x:v>
      </x:c>
      <x:c r="C670" s="84" t="n">
        <x:v>2065</x:v>
      </x:c>
      <x:c r="D670" s="89" t="n">
        <x:v>45683.33248842593</x:v>
      </x:c>
      <x:c r="E670" s="84" t="str">
        <x:v>Válvula</x:v>
      </x:c>
      <x:c r="F670" s="84" t="str">
        <x:v>Curto-circuito</x:v>
      </x:c>
      <x:c r="G670" s="84" t="str">
        <x:v>Conexão frouxa</x:v>
      </x:c>
      <x:c r="H670" s="84" t="str">
        <x:v>Baixa</x:v>
      </x:c>
      <x:c r="I670" s="84" t="n">
        <x:v>0</x:v>
      </x:c>
      <x:c r="J670" s="85" t="n">
        <x:v>1</x:v>
      </x:c>
    </x:row>
    <x:row r="671">
      <x:c r="A671" s="83" t="n">
        <x:v>670</x:v>
      </x:c>
      <x:c r="B671" s="84" t="n">
        <x:v>22</x:v>
      </x:c>
      <x:c r="C671" s="84" t="n">
        <x:v>2066</x:v>
      </x:c>
      <x:c r="D671" s="89" t="n">
        <x:v>45727.05980324074</x:v>
      </x:c>
      <x:c r="E671" s="84" t="str">
        <x:v>Rolamento</x:v>
      </x:c>
      <x:c r="F671" s="84" t="str">
        <x:v>Quebra</x:v>
      </x:c>
      <x:c r="G671" s="84" t="str">
        <x:v>Desgaste natural</x:v>
      </x:c>
      <x:c r="H671" s="84" t="str">
        <x:v>Alta</x:v>
      </x:c>
      <x:c r="I671" s="84" t="n">
        <x:v>0</x:v>
      </x:c>
      <x:c r="J671" s="85" t="n">
        <x:v>1</x:v>
      </x:c>
    </x:row>
    <x:row r="672">
      <x:c r="A672" s="83" t="n">
        <x:v>671</x:v>
      </x:c>
      <x:c r="B672" s="84" t="n">
        <x:v>49</x:v>
      </x:c>
      <x:c r="C672" s="84" t="n">
        <x:v>2069</x:v>
      </x:c>
      <x:c r="D672" s="89" t="n">
        <x:v>45800.431238425925</x:v>
      </x:c>
      <x:c r="E672" s="84" t="str">
        <x:v>Motor</x:v>
      </x:c>
      <x:c r="F672" s="84" t="str">
        <x:v>Desgaste</x:v>
      </x:c>
      <x:c r="G672" s="84" t="str">
        <x:v>Ajuste incorreto</x:v>
      </x:c>
      <x:c r="H672" s="84" t="str">
        <x:v>Baixa</x:v>
      </x:c>
      <x:c r="I672" s="84" t="n">
        <x:v>0</x:v>
      </x:c>
      <x:c r="J672" s="85" t="n">
        <x:v>1</x:v>
      </x:c>
    </x:row>
    <x:row r="673">
      <x:c r="A673" s="83" t="n">
        <x:v>672</x:v>
      </x:c>
      <x:c r="B673" s="84" t="n">
        <x:v>65</x:v>
      </x:c>
      <x:c r="C673" s="84" t="n">
        <x:v>2075</x:v>
      </x:c>
      <x:c r="D673" s="89" t="n">
        <x:v>45554.62876157407</x:v>
      </x:c>
      <x:c r="E673" s="84" t="str">
        <x:v>Rolamento</x:v>
      </x:c>
      <x:c r="F673" s="84" t="str">
        <x:v>Desgaste</x:v>
      </x:c>
      <x:c r="G673" s="84" t="str">
        <x:v>Contaminação</x:v>
      </x:c>
      <x:c r="H673" s="84" t="str">
        <x:v>Média</x:v>
      </x:c>
      <x:c r="I673" s="84" t="n">
        <x:v>0</x:v>
      </x:c>
      <x:c r="J673" s="85" t="n">
        <x:v>1</x:v>
      </x:c>
    </x:row>
    <x:row r="674">
      <x:c r="A674" s="83" t="n">
        <x:v>673</x:v>
      </x:c>
      <x:c r="B674" s="84" t="n">
        <x:v>7</x:v>
      </x:c>
      <x:c r="C674" s="84" t="n">
        <x:v>2077</x:v>
      </x:c>
      <x:c r="D674" s="89" t="n">
        <x:v>45327.7934375</x:v>
      </x:c>
      <x:c r="E674" s="84" t="str">
        <x:v>Válvula</x:v>
      </x:c>
      <x:c r="F674" s="84" t="str">
        <x:v>Desgaste</x:v>
      </x:c>
      <x:c r="G674" s="84" t="str">
        <x:v>Ajuste incorreto</x:v>
      </x:c>
      <x:c r="H674" s="84" t="str">
        <x:v>Alta</x:v>
      </x:c>
      <x:c r="I674" s="84" t="n">
        <x:v>0</x:v>
      </x:c>
      <x:c r="J674" s="85" t="n">
        <x:v>1</x:v>
      </x:c>
    </x:row>
    <x:row r="675">
      <x:c r="A675" s="83" t="n">
        <x:v>674</x:v>
      </x:c>
      <x:c r="B675" s="84" t="n">
        <x:v>12</x:v>
      </x:c>
      <x:c r="C675" s="84" t="n">
        <x:v>2079</x:v>
      </x:c>
      <x:c r="D675" s="89" t="n">
        <x:v>45906.49254629629</x:v>
      </x:c>
      <x:c r="E675" s="84" t="str">
        <x:v>Motor</x:v>
      </x:c>
      <x:c r="F675" s="84" t="str">
        <x:v>Curto-circuito</x:v>
      </x:c>
      <x:c r="G675" s="84" t="str">
        <x:v>Contaminação</x:v>
      </x:c>
      <x:c r="H675" s="84" t="str">
        <x:v>Baixa</x:v>
      </x:c>
      <x:c r="I675" s="84" t="n">
        <x:v>0</x:v>
      </x:c>
      <x:c r="J675" s="85" t="n">
        <x:v>1</x:v>
      </x:c>
    </x:row>
    <x:row r="676">
      <x:c r="A676" s="83" t="n">
        <x:v>675</x:v>
      </x:c>
      <x:c r="B676" s="84" t="n">
        <x:v>56</x:v>
      </x:c>
      <x:c r="C676" s="84" t="n">
        <x:v>2085</x:v>
      </x:c>
      <x:c r="D676" s="89" t="n">
        <x:v>45859.31015046296</x:v>
      </x:c>
      <x:c r="E676" s="84" t="str">
        <x:v>Motor</x:v>
      </x:c>
      <x:c r="F676" s="84" t="str">
        <x:v>Quebra</x:v>
      </x:c>
      <x:c r="G676" s="84" t="str">
        <x:v>Contaminação</x:v>
      </x:c>
      <x:c r="H676" s="84" t="str">
        <x:v>Média</x:v>
      </x:c>
      <x:c r="I676" s="84" t="n">
        <x:v>0</x:v>
      </x:c>
      <x:c r="J676" s="85" t="n">
        <x:v>1</x:v>
      </x:c>
    </x:row>
    <x:row r="677">
      <x:c r="A677" s="83" t="n">
        <x:v>676</x:v>
      </x:c>
      <x:c r="B677" s="84" t="n">
        <x:v>34</x:v>
      </x:c>
      <x:c r="C677" s="84" t="n">
        <x:v>2086</x:v>
      </x:c>
      <x:c r="D677" s="89" t="n">
        <x:v>45047.122349537036</x:v>
      </x:c>
      <x:c r="E677" s="84" t="str">
        <x:v>Correia</x:v>
      </x:c>
      <x:c r="F677" s="84" t="str">
        <x:v>Curto-circuito</x:v>
      </x:c>
      <x:c r="G677" s="84" t="str">
        <x:v>Ajuste incorreto</x:v>
      </x:c>
      <x:c r="H677" s="84" t="str">
        <x:v>Baixa</x:v>
      </x:c>
      <x:c r="I677" s="84" t="n">
        <x:v>0</x:v>
      </x:c>
      <x:c r="J677" s="85" t="n">
        <x:v>1</x:v>
      </x:c>
    </x:row>
    <x:row r="678">
      <x:c r="A678" s="83" t="n">
        <x:v>677</x:v>
      </x:c>
      <x:c r="B678" s="84" t="n">
        <x:v>25</x:v>
      </x:c>
      <x:c r="C678" s="84" t="n">
        <x:v>2088</x:v>
      </x:c>
      <x:c r="D678" s="89" t="n">
        <x:v>45432.037997685184</x:v>
      </x:c>
      <x:c r="E678" s="84" t="str">
        <x:v>Motor</x:v>
      </x:c>
      <x:c r="F678" s="84" t="str">
        <x:v>Desgaste</x:v>
      </x:c>
      <x:c r="G678" s="84" t="str">
        <x:v>Falta de lubrificação</x:v>
      </x:c>
      <x:c r="H678" s="84" t="str">
        <x:v>Baixa</x:v>
      </x:c>
      <x:c r="I678" s="84" t="n">
        <x:v>0</x:v>
      </x:c>
      <x:c r="J678" s="85" t="n">
        <x:v>1</x:v>
      </x:c>
    </x:row>
    <x:row r="679">
      <x:c r="A679" s="83" t="n">
        <x:v>678</x:v>
      </x:c>
      <x:c r="B679" s="84" t="n">
        <x:v>31</x:v>
      </x:c>
      <x:c r="C679" s="84" t="n">
        <x:v>2089</x:v>
      </x:c>
      <x:c r="D679" s="89" t="n">
        <x:v>45543.465891203705</x:v>
      </x:c>
      <x:c r="E679" s="84" t="str">
        <x:v>Válvula</x:v>
      </x:c>
      <x:c r="F679" s="84" t="str">
        <x:v>Desgaste</x:v>
      </x:c>
      <x:c r="G679" s="84" t="str">
        <x:v>Ajuste incorreto</x:v>
      </x:c>
      <x:c r="H679" s="84" t="str">
        <x:v>Baixa</x:v>
      </x:c>
      <x:c r="I679" s="84" t="n">
        <x:v>1</x:v>
      </x:c>
      <x:c r="J679" s="85" t="n">
        <x:v>1</x:v>
      </x:c>
    </x:row>
    <x:row r="680">
      <x:c r="A680" s="83" t="n">
        <x:v>679</x:v>
      </x:c>
      <x:c r="B680" s="84" t="n">
        <x:v>26</x:v>
      </x:c>
      <x:c r="C680" s="84" t="n">
        <x:v>2092</x:v>
      </x:c>
      <x:c r="D680" s="89" t="n">
        <x:v>45621.06890046296</x:v>
      </x:c>
      <x:c r="E680" s="84" t="str">
        <x:v>Sensor</x:v>
      </x:c>
      <x:c r="F680" s="84" t="str">
        <x:v>Perda de sinal</x:v>
      </x:c>
      <x:c r="G680" s="84" t="str">
        <x:v>Ajuste incorreto</x:v>
      </x:c>
      <x:c r="H680" s="84" t="str">
        <x:v>Baixa</x:v>
      </x:c>
      <x:c r="I680" s="84" t="n">
        <x:v>0</x:v>
      </x:c>
      <x:c r="J680" s="85" t="n">
        <x:v>1</x:v>
      </x:c>
    </x:row>
    <x:row r="681">
      <x:c r="A681" s="83" t="n">
        <x:v>680</x:v>
      </x:c>
      <x:c r="B681" s="84" t="n">
        <x:v>20</x:v>
      </x:c>
      <x:c r="C681" s="84" t="n">
        <x:v>2093</x:v>
      </x:c>
      <x:c r="D681" s="89" t="n">
        <x:v>45545.754849537036</x:v>
      </x:c>
      <x:c r="E681" s="84" t="str">
        <x:v>Correia</x:v>
      </x:c>
      <x:c r="F681" s="84" t="str">
        <x:v>Perda de sinal</x:v>
      </x:c>
      <x:c r="G681" s="84" t="str">
        <x:v>Falta de lubrificação</x:v>
      </x:c>
      <x:c r="H681" s="84" t="str">
        <x:v>Baixa</x:v>
      </x:c>
      <x:c r="I681" s="84" t="n">
        <x:v>0</x:v>
      </x:c>
      <x:c r="J681" s="85" t="n">
        <x:v>1</x:v>
      </x:c>
    </x:row>
    <x:row r="682">
      <x:c r="A682" s="83" t="n">
        <x:v>681</x:v>
      </x:c>
      <x:c r="B682" s="84" t="n">
        <x:v>65</x:v>
      </x:c>
      <x:c r="C682" s="84" t="n">
        <x:v>2098</x:v>
      </x:c>
      <x:c r="D682" s="89" t="n">
        <x:v>45711.0384375</x:v>
      </x:c>
      <x:c r="E682" s="84" t="str">
        <x:v>Rolamento</x:v>
      </x:c>
      <x:c r="F682" s="84" t="str">
        <x:v>Quebra</x:v>
      </x:c>
      <x:c r="G682" s="84" t="str">
        <x:v>Conexão frouxa</x:v>
      </x:c>
      <x:c r="H682" s="84" t="str">
        <x:v>Baixa</x:v>
      </x:c>
      <x:c r="I682" s="84" t="n">
        <x:v>1</x:v>
      </x:c>
      <x:c r="J682" s="85" t="n">
        <x:v>1</x:v>
      </x:c>
    </x:row>
    <x:row r="683">
      <x:c r="A683" s="83" t="n">
        <x:v>682</x:v>
      </x:c>
      <x:c r="B683" s="84" t="n">
        <x:v>56</x:v>
      </x:c>
      <x:c r="C683" s="84" t="n">
        <x:v>2101</x:v>
      </x:c>
      <x:c r="D683" s="89" t="n">
        <x:v>45909.906793981485</x:v>
      </x:c>
      <x:c r="E683" s="84" t="str">
        <x:v>Sensor</x:v>
      </x:c>
      <x:c r="F683" s="84" t="str">
        <x:v>Desgaste</x:v>
      </x:c>
      <x:c r="G683" s="84" t="str">
        <x:v>Desgaste natural</x:v>
      </x:c>
      <x:c r="H683" s="84" t="str">
        <x:v>Baixa</x:v>
      </x:c>
      <x:c r="I683" s="84" t="n">
        <x:v>0</x:v>
      </x:c>
      <x:c r="J683" s="85" t="n">
        <x:v>1</x:v>
      </x:c>
    </x:row>
    <x:row r="684">
      <x:c r="A684" s="83" t="n">
        <x:v>683</x:v>
      </x:c>
      <x:c r="B684" s="84" t="n">
        <x:v>34</x:v>
      </x:c>
      <x:c r="C684" s="84" t="n">
        <x:v>2104</x:v>
      </x:c>
      <x:c r="D684" s="89" t="n">
        <x:v>45890.25990740741</x:v>
      </x:c>
      <x:c r="E684" s="84" t="str">
        <x:v>Rolamento</x:v>
      </x:c>
      <x:c r="F684" s="84" t="str">
        <x:v>Desgaste</x:v>
      </x:c>
      <x:c r="G684" s="84" t="str">
        <x:v>Ajuste incorreto</x:v>
      </x:c>
      <x:c r="H684" s="84" t="str">
        <x:v>Baixa</x:v>
      </x:c>
      <x:c r="I684" s="84" t="n">
        <x:v>1</x:v>
      </x:c>
      <x:c r="J684" s="85" t="n">
        <x:v>1</x:v>
      </x:c>
    </x:row>
    <x:row r="685">
      <x:c r="A685" s="83" t="n">
        <x:v>684</x:v>
      </x:c>
      <x:c r="B685" s="84" t="n">
        <x:v>32</x:v>
      </x:c>
      <x:c r="C685" s="84" t="n">
        <x:v>2105</x:v>
      </x:c>
      <x:c r="D685" s="89" t="n">
        <x:v>45866.68295138889</x:v>
      </x:c>
      <x:c r="E685" s="84" t="str">
        <x:v>CLP</x:v>
      </x:c>
      <x:c r="F685" s="84" t="str">
        <x:v>Curto-circuito</x:v>
      </x:c>
      <x:c r="G685" s="84" t="str">
        <x:v>Ajuste incorreto</x:v>
      </x:c>
      <x:c r="H685" s="84" t="str">
        <x:v>Alta</x:v>
      </x:c>
      <x:c r="I685" s="84" t="n">
        <x:v>0</x:v>
      </x:c>
      <x:c r="J685" s="85" t="n">
        <x:v>1</x:v>
      </x:c>
    </x:row>
    <x:row r="686">
      <x:c r="A686" s="83" t="n">
        <x:v>685</x:v>
      </x:c>
      <x:c r="B686" s="84" t="n">
        <x:v>77</x:v>
      </x:c>
      <x:c r="C686" s="84" t="n">
        <x:v>2110</x:v>
      </x:c>
      <x:c r="D686" s="89" t="n">
        <x:v>45991.235243055555</x:v>
      </x:c>
      <x:c r="E686" s="84" t="str">
        <x:v>Válvula</x:v>
      </x:c>
      <x:c r="F686" s="84" t="str">
        <x:v>Perda de sinal</x:v>
      </x:c>
      <x:c r="G686" s="84" t="str">
        <x:v>Desgaste natural</x:v>
      </x:c>
      <x:c r="H686" s="84" t="str">
        <x:v>Alta</x:v>
      </x:c>
      <x:c r="I686" s="84" t="n">
        <x:v>0</x:v>
      </x:c>
      <x:c r="J686" s="85" t="n">
        <x:v>1</x:v>
      </x:c>
    </x:row>
    <x:row r="687">
      <x:c r="A687" s="83" t="n">
        <x:v>686</x:v>
      </x:c>
      <x:c r="B687" s="84" t="n">
        <x:v>8</x:v>
      </x:c>
      <x:c r="C687" s="84" t="n">
        <x:v>2117</x:v>
      </x:c>
      <x:c r="D687" s="89" t="n">
        <x:v>45998.12185185185</x:v>
      </x:c>
      <x:c r="E687" s="84" t="str">
        <x:v>Válvula</x:v>
      </x:c>
      <x:c r="F687" s="84" t="str">
        <x:v>Curto-circuito</x:v>
      </x:c>
      <x:c r="G687" s="84" t="str">
        <x:v>Componente danificado</x:v>
      </x:c>
      <x:c r="H687" s="84" t="str">
        <x:v>Baixa</x:v>
      </x:c>
      <x:c r="I687" s="84" t="n">
        <x:v>0</x:v>
      </x:c>
      <x:c r="J687" s="85" t="n">
        <x:v>1</x:v>
      </x:c>
    </x:row>
    <x:row r="688">
      <x:c r="A688" s="83" t="n">
        <x:v>687</x:v>
      </x:c>
      <x:c r="B688" s="84" t="n">
        <x:v>37</x:v>
      </x:c>
      <x:c r="C688" s="84" t="n">
        <x:v>2126</x:v>
      </x:c>
      <x:c r="D688" s="89" t="n">
        <x:v>45581.52012731481</x:v>
      </x:c>
      <x:c r="E688" s="84" t="str">
        <x:v>Sensor</x:v>
      </x:c>
      <x:c r="F688" s="84" t="str">
        <x:v>Curto-circuito</x:v>
      </x:c>
      <x:c r="G688" s="84" t="str">
        <x:v>Contaminação</x:v>
      </x:c>
      <x:c r="H688" s="84" t="str">
        <x:v>Baixa</x:v>
      </x:c>
      <x:c r="I688" s="84" t="n">
        <x:v>0</x:v>
      </x:c>
      <x:c r="J688" s="85" t="n">
        <x:v>1</x:v>
      </x:c>
    </x:row>
    <x:row r="689">
      <x:c r="A689" s="83" t="n">
        <x:v>688</x:v>
      </x:c>
      <x:c r="B689" s="84" t="n">
        <x:v>49</x:v>
      </x:c>
      <x:c r="C689" s="84" t="n">
        <x:v>2135</x:v>
      </x:c>
      <x:c r="D689" s="89" t="n">
        <x:v>45587.976689814815</x:v>
      </x:c>
      <x:c r="E689" s="84" t="str">
        <x:v>Correia</x:v>
      </x:c>
      <x:c r="F689" s="84" t="str">
        <x:v>Perda de sinal</x:v>
      </x:c>
      <x:c r="G689" s="84" t="str">
        <x:v>Conexão frouxa</x:v>
      </x:c>
      <x:c r="H689" s="84" t="str">
        <x:v>Baixa</x:v>
      </x:c>
      <x:c r="I689" s="84" t="n">
        <x:v>0</x:v>
      </x:c>
      <x:c r="J689" s="85" t="n">
        <x:v>1</x:v>
      </x:c>
    </x:row>
    <x:row r="690">
      <x:c r="A690" s="83" t="n">
        <x:v>689</x:v>
      </x:c>
      <x:c r="B690" s="84" t="n">
        <x:v>63</x:v>
      </x:c>
      <x:c r="C690" s="84" t="n">
        <x:v>2138</x:v>
      </x:c>
      <x:c r="D690" s="89" t="n">
        <x:v>45846.100810185184</x:v>
      </x:c>
      <x:c r="E690" s="84" t="str">
        <x:v>Motor</x:v>
      </x:c>
      <x:c r="F690" s="84" t="str">
        <x:v>Desgaste</x:v>
      </x:c>
      <x:c r="G690" s="84" t="str">
        <x:v>Contaminação</x:v>
      </x:c>
      <x:c r="H690" s="84" t="str">
        <x:v>Baixa</x:v>
      </x:c>
      <x:c r="I690" s="84" t="n">
        <x:v>0</x:v>
      </x:c>
      <x:c r="J690" s="85" t="n">
        <x:v>1</x:v>
      </x:c>
    </x:row>
    <x:row r="691">
      <x:c r="A691" s="83" t="n">
        <x:v>690</x:v>
      </x:c>
      <x:c r="B691" s="84" t="n">
        <x:v>86</x:v>
      </x:c>
      <x:c r="C691" s="84" t="n">
        <x:v>2139</x:v>
      </x:c>
      <x:c r="D691" s="89" t="n">
        <x:v>45733.92965277778</x:v>
      </x:c>
      <x:c r="E691" s="84" t="str">
        <x:v>Correia</x:v>
      </x:c>
      <x:c r="F691" s="84" t="str">
        <x:v>Travamento</x:v>
      </x:c>
      <x:c r="G691" s="84" t="str">
        <x:v>Componente danificado</x:v>
      </x:c>
      <x:c r="H691" s="84" t="str">
        <x:v>Média</x:v>
      </x:c>
      <x:c r="I691" s="84" t="n">
        <x:v>0</x:v>
      </x:c>
      <x:c r="J691" s="85" t="n">
        <x:v>1</x:v>
      </x:c>
    </x:row>
    <x:row r="692">
      <x:c r="A692" s="83" t="n">
        <x:v>691</x:v>
      </x:c>
      <x:c r="B692" s="84" t="n">
        <x:v>4</x:v>
      </x:c>
      <x:c r="C692" s="84" t="n">
        <x:v>2143</x:v>
      </x:c>
      <x:c r="D692" s="89" t="n">
        <x:v>45621.40820601852</x:v>
      </x:c>
      <x:c r="E692" s="84" t="str">
        <x:v>Sensor</x:v>
      </x:c>
      <x:c r="F692" s="84" t="str">
        <x:v>Curto-circuito</x:v>
      </x:c>
      <x:c r="G692" s="84" t="str">
        <x:v>Desgaste natural</x:v>
      </x:c>
      <x:c r="H692" s="84" t="str">
        <x:v>Média</x:v>
      </x:c>
      <x:c r="I692" s="84" t="n">
        <x:v>0</x:v>
      </x:c>
      <x:c r="J692" s="85" t="n">
        <x:v>1</x:v>
      </x:c>
    </x:row>
    <x:row r="693">
      <x:c r="A693" s="83" t="n">
        <x:v>692</x:v>
      </x:c>
      <x:c r="B693" s="84" t="n">
        <x:v>27</x:v>
      </x:c>
      <x:c r="C693" s="84" t="n">
        <x:v>2149</x:v>
      </x:c>
      <x:c r="D693" s="89" t="n">
        <x:v>45869.74865740741</x:v>
      </x:c>
      <x:c r="E693" s="84" t="str">
        <x:v>Sensor</x:v>
      </x:c>
      <x:c r="F693" s="84" t="str">
        <x:v>Desgaste</x:v>
      </x:c>
      <x:c r="G693" s="84" t="str">
        <x:v>Contaminação</x:v>
      </x:c>
      <x:c r="H693" s="84" t="str">
        <x:v>Alta</x:v>
      </x:c>
      <x:c r="I693" s="84" t="n">
        <x:v>1</x:v>
      </x:c>
      <x:c r="J693" s="85" t="n">
        <x:v>1</x:v>
      </x:c>
    </x:row>
    <x:row r="694">
      <x:c r="A694" s="83" t="n">
        <x:v>693</x:v>
      </x:c>
      <x:c r="B694" s="84" t="n">
        <x:v>19</x:v>
      </x:c>
      <x:c r="C694" s="84" t="n">
        <x:v>2151</x:v>
      </x:c>
      <x:c r="D694" s="89" t="n">
        <x:v>45599.215416666666</x:v>
      </x:c>
      <x:c r="E694" s="84" t="str">
        <x:v>Motor</x:v>
      </x:c>
      <x:c r="F694" s="84" t="str">
        <x:v>Travamento</x:v>
      </x:c>
      <x:c r="G694" s="84" t="str">
        <x:v>Falta de lubrificação</x:v>
      </x:c>
      <x:c r="H694" s="84" t="str">
        <x:v>Média</x:v>
      </x:c>
      <x:c r="I694" s="84" t="n">
        <x:v>0</x:v>
      </x:c>
      <x:c r="J694" s="85" t="n">
        <x:v>1</x:v>
      </x:c>
    </x:row>
    <x:row r="695">
      <x:c r="A695" s="83" t="n">
        <x:v>694</x:v>
      </x:c>
      <x:c r="B695" s="84" t="n">
        <x:v>2</x:v>
      </x:c>
      <x:c r="C695" s="84" t="n">
        <x:v>2153</x:v>
      </x:c>
      <x:c r="D695" s="89" t="n">
        <x:v>45134.20962962963</x:v>
      </x:c>
      <x:c r="E695" s="84" t="str">
        <x:v>Motor</x:v>
      </x:c>
      <x:c r="F695" s="84" t="str">
        <x:v>Desgaste</x:v>
      </x:c>
      <x:c r="G695" s="84" t="str">
        <x:v>Componente danificado</x:v>
      </x:c>
      <x:c r="H695" s="84" t="str">
        <x:v>Média</x:v>
      </x:c>
      <x:c r="I695" s="84" t="n">
        <x:v>0</x:v>
      </x:c>
      <x:c r="J695" s="85" t="n">
        <x:v>1</x:v>
      </x:c>
    </x:row>
    <x:row r="696">
      <x:c r="A696" s="83" t="n">
        <x:v>695</x:v>
      </x:c>
      <x:c r="B696" s="84" t="n">
        <x:v>26</x:v>
      </x:c>
      <x:c r="C696" s="84" t="n">
        <x:v>2160</x:v>
      </x:c>
      <x:c r="D696" s="89" t="n">
        <x:v>45971.45185185185</x:v>
      </x:c>
      <x:c r="E696" s="84" t="str">
        <x:v>Motor</x:v>
      </x:c>
      <x:c r="F696" s="84" t="str">
        <x:v>Desgaste</x:v>
      </x:c>
      <x:c r="G696" s="84" t="str">
        <x:v>Componente danificado</x:v>
      </x:c>
      <x:c r="H696" s="84" t="str">
        <x:v>Baixa</x:v>
      </x:c>
      <x:c r="I696" s="84" t="n">
        <x:v>0</x:v>
      </x:c>
      <x:c r="J696" s="85" t="n">
        <x:v>1</x:v>
      </x:c>
    </x:row>
    <x:row r="697">
      <x:c r="A697" s="83" t="n">
        <x:v>696</x:v>
      </x:c>
      <x:c r="B697" s="84" t="n">
        <x:v>43</x:v>
      </x:c>
      <x:c r="C697" s="84" t="n">
        <x:v>2161</x:v>
      </x:c>
      <x:c r="D697" s="89" t="n">
        <x:v>45057.67461805556</x:v>
      </x:c>
      <x:c r="E697" s="84" t="str">
        <x:v>Rolamento</x:v>
      </x:c>
      <x:c r="F697" s="84" t="str">
        <x:v>Perda de sinal</x:v>
      </x:c>
      <x:c r="G697" s="84" t="str">
        <x:v>Componente danificado</x:v>
      </x:c>
      <x:c r="H697" s="84" t="str">
        <x:v>Média</x:v>
      </x:c>
      <x:c r="I697" s="84" t="n">
        <x:v>0</x:v>
      </x:c>
      <x:c r="J697" s="85" t="n">
        <x:v>1</x:v>
      </x:c>
    </x:row>
    <x:row r="698">
      <x:c r="A698" s="83" t="n">
        <x:v>697</x:v>
      </x:c>
      <x:c r="B698" s="84" t="n">
        <x:v>28</x:v>
      </x:c>
      <x:c r="C698" s="84" t="n">
        <x:v>2163</x:v>
      </x:c>
      <x:c r="D698" s="89" t="n">
        <x:v>46014.73421296296</x:v>
      </x:c>
      <x:c r="E698" s="84" t="str">
        <x:v>Correia</x:v>
      </x:c>
      <x:c r="F698" s="84" t="str">
        <x:v>Desgaste</x:v>
      </x:c>
      <x:c r="G698" s="84" t="str">
        <x:v>Falta de lubrificação</x:v>
      </x:c>
      <x:c r="H698" s="84" t="str">
        <x:v>Alta</x:v>
      </x:c>
      <x:c r="I698" s="84" t="n">
        <x:v>1</x:v>
      </x:c>
      <x:c r="J698" s="85" t="n">
        <x:v>1</x:v>
      </x:c>
    </x:row>
    <x:row r="699">
      <x:c r="A699" s="83" t="n">
        <x:v>698</x:v>
      </x:c>
      <x:c r="B699" s="84" t="n">
        <x:v>73</x:v>
      </x:c>
      <x:c r="C699" s="84" t="n">
        <x:v>2167</x:v>
      </x:c>
      <x:c r="D699" s="89" t="n">
        <x:v>45593.46199074074</x:v>
      </x:c>
      <x:c r="E699" s="84" t="str">
        <x:v>Sensor</x:v>
      </x:c>
      <x:c r="F699" s="84" t="str">
        <x:v>Quebra</x:v>
      </x:c>
      <x:c r="G699" s="84" t="str">
        <x:v>Falta de lubrificação</x:v>
      </x:c>
      <x:c r="H699" s="84" t="str">
        <x:v>Baixa</x:v>
      </x:c>
      <x:c r="I699" s="84" t="n">
        <x:v>0</x:v>
      </x:c>
      <x:c r="J699" s="85" t="n">
        <x:v>1</x:v>
      </x:c>
    </x:row>
    <x:row r="700">
      <x:c r="A700" s="83" t="n">
        <x:v>699</x:v>
      </x:c>
      <x:c r="B700" s="84" t="n">
        <x:v>56</x:v>
      </x:c>
      <x:c r="C700" s="84" t="n">
        <x:v>2168</x:v>
      </x:c>
      <x:c r="D700" s="89" t="n">
        <x:v>45702.19055555556</x:v>
      </x:c>
      <x:c r="E700" s="84" t="str">
        <x:v>Correia</x:v>
      </x:c>
      <x:c r="F700" s="84" t="str">
        <x:v>Quebra</x:v>
      </x:c>
      <x:c r="G700" s="84" t="str">
        <x:v>Conexão frouxa</x:v>
      </x:c>
      <x:c r="H700" s="84" t="str">
        <x:v>Baixa</x:v>
      </x:c>
      <x:c r="I700" s="84" t="n">
        <x:v>0</x:v>
      </x:c>
      <x:c r="J700" s="85" t="n">
        <x:v>1</x:v>
      </x:c>
    </x:row>
    <x:row r="701">
      <x:c r="A701" s="83" t="n">
        <x:v>700</x:v>
      </x:c>
      <x:c r="B701" s="84" t="n">
        <x:v>5</x:v>
      </x:c>
      <x:c r="C701" s="84" t="n">
        <x:v>2174</x:v>
      </x:c>
      <x:c r="D701" s="89" t="n">
        <x:v>45693.52329861111</x:v>
      </x:c>
      <x:c r="E701" s="84" t="str">
        <x:v>Rolamento</x:v>
      </x:c>
      <x:c r="F701" s="84" t="str">
        <x:v>Quebra</x:v>
      </x:c>
      <x:c r="G701" s="84" t="str">
        <x:v>Componente danificado</x:v>
      </x:c>
      <x:c r="H701" s="84" t="str">
        <x:v>Baixa</x:v>
      </x:c>
      <x:c r="I701" s="84" t="n">
        <x:v>0</x:v>
      </x:c>
      <x:c r="J701" s="85" t="n">
        <x:v>1</x:v>
      </x:c>
    </x:row>
    <x:row r="702">
      <x:c r="A702" s="83" t="n">
        <x:v>701</x:v>
      </x:c>
      <x:c r="B702" s="84" t="n">
        <x:v>61</x:v>
      </x:c>
      <x:c r="C702" s="84" t="n">
        <x:v>2178</x:v>
      </x:c>
      <x:c r="D702" s="89" t="n">
        <x:v>45713.32247685185</x:v>
      </x:c>
      <x:c r="E702" s="84" t="str">
        <x:v>Rolamento</x:v>
      </x:c>
      <x:c r="F702" s="84" t="str">
        <x:v>Desgaste</x:v>
      </x:c>
      <x:c r="G702" s="84" t="str">
        <x:v>Falta de lubrificação</x:v>
      </x:c>
      <x:c r="H702" s="84" t="str">
        <x:v>Média</x:v>
      </x:c>
      <x:c r="I702" s="84" t="n">
        <x:v>0</x:v>
      </x:c>
      <x:c r="J702" s="85" t="n">
        <x:v>1</x:v>
      </x:c>
    </x:row>
    <x:row r="703">
      <x:c r="A703" s="83" t="n">
        <x:v>702</x:v>
      </x:c>
      <x:c r="B703" s="84" t="n">
        <x:v>84</x:v>
      </x:c>
      <x:c r="C703" s="84" t="n">
        <x:v>2179</x:v>
      </x:c>
      <x:c r="D703" s="89" t="n">
        <x:v>45831.67355324074</x:v>
      </x:c>
      <x:c r="E703" s="84" t="str">
        <x:v>Sensor</x:v>
      </x:c>
      <x:c r="F703" s="84" t="str">
        <x:v>Desgaste</x:v>
      </x:c>
      <x:c r="G703" s="84" t="str">
        <x:v>Desgaste natural</x:v>
      </x:c>
      <x:c r="H703" s="84" t="str">
        <x:v>Baixa</x:v>
      </x:c>
      <x:c r="I703" s="84" t="n">
        <x:v>0</x:v>
      </x:c>
      <x:c r="J703" s="85" t="n">
        <x:v>1</x:v>
      </x:c>
    </x:row>
    <x:row r="704">
      <x:c r="A704" s="83" t="n">
        <x:v>703</x:v>
      </x:c>
      <x:c r="B704" s="84" t="n">
        <x:v>21</x:v>
      </x:c>
      <x:c r="C704" s="84" t="n">
        <x:v>2181</x:v>
      </x:c>
      <x:c r="D704" s="89" t="n">
        <x:v>45414.66873842593</x:v>
      </x:c>
      <x:c r="E704" s="84" t="str">
        <x:v>Correia</x:v>
      </x:c>
      <x:c r="F704" s="84" t="str">
        <x:v>Quebra</x:v>
      </x:c>
      <x:c r="G704" s="84" t="str">
        <x:v>Componente danificado</x:v>
      </x:c>
      <x:c r="H704" s="84" t="str">
        <x:v>Alta</x:v>
      </x:c>
      <x:c r="I704" s="84" t="n">
        <x:v>0</x:v>
      </x:c>
      <x:c r="J704" s="85" t="n">
        <x:v>1</x:v>
      </x:c>
    </x:row>
    <x:row r="705">
      <x:c r="A705" s="83" t="n">
        <x:v>704</x:v>
      </x:c>
      <x:c r="B705" s="84" t="n">
        <x:v>17</x:v>
      </x:c>
      <x:c r="C705" s="84" t="n">
        <x:v>2183</x:v>
      </x:c>
      <x:c r="D705" s="89" t="n">
        <x:v>45864.86111111111</x:v>
      </x:c>
      <x:c r="E705" s="84" t="str">
        <x:v>CLP</x:v>
      </x:c>
      <x:c r="F705" s="84" t="str">
        <x:v>Perda de sinal</x:v>
      </x:c>
      <x:c r="G705" s="84" t="str">
        <x:v>Falta de lubrificação</x:v>
      </x:c>
      <x:c r="H705" s="84" t="str">
        <x:v>Baixa</x:v>
      </x:c>
      <x:c r="I705" s="84" t="n">
        <x:v>0</x:v>
      </x:c>
      <x:c r="J705" s="85" t="n">
        <x:v>1</x:v>
      </x:c>
    </x:row>
    <x:row r="706">
      <x:c r="A706" s="83" t="n">
        <x:v>705</x:v>
      </x:c>
      <x:c r="B706" s="84" t="n">
        <x:v>39</x:v>
      </x:c>
      <x:c r="C706" s="84" t="n">
        <x:v>2188</x:v>
      </x:c>
      <x:c r="D706" s="89" t="n">
        <x:v>45456.065254629626</x:v>
      </x:c>
      <x:c r="E706" s="84" t="str">
        <x:v>Motor</x:v>
      </x:c>
      <x:c r="F706" s="84" t="str">
        <x:v>Desgaste</x:v>
      </x:c>
      <x:c r="G706" s="84" t="str">
        <x:v>Ajuste incorreto</x:v>
      </x:c>
      <x:c r="H706" s="84" t="str">
        <x:v>Alta</x:v>
      </x:c>
      <x:c r="I706" s="84" t="n">
        <x:v>0</x:v>
      </x:c>
      <x:c r="J706" s="85" t="n">
        <x:v>1</x:v>
      </x:c>
    </x:row>
    <x:row r="707">
      <x:c r="A707" s="83" t="n">
        <x:v>706</x:v>
      </x:c>
      <x:c r="B707" s="84" t="n">
        <x:v>51</x:v>
      </x:c>
      <x:c r="C707" s="84" t="n">
        <x:v>2190</x:v>
      </x:c>
      <x:c r="D707" s="89" t="n">
        <x:v>44981.51814814815</x:v>
      </x:c>
      <x:c r="E707" s="84" t="str">
        <x:v>Rolamento</x:v>
      </x:c>
      <x:c r="F707" s="84" t="str">
        <x:v>Curto-circuito</x:v>
      </x:c>
      <x:c r="G707" s="84" t="str">
        <x:v>Ajuste incorreto</x:v>
      </x:c>
      <x:c r="H707" s="84" t="str">
        <x:v>Baixa</x:v>
      </x:c>
      <x:c r="I707" s="84" t="n">
        <x:v>0</x:v>
      </x:c>
      <x:c r="J707" s="85" t="n">
        <x:v>1</x:v>
      </x:c>
    </x:row>
    <x:row r="708">
      <x:c r="A708" s="83" t="n">
        <x:v>707</x:v>
      </x:c>
      <x:c r="B708" s="84" t="n">
        <x:v>73</x:v>
      </x:c>
      <x:c r="C708" s="84" t="n">
        <x:v>2191</x:v>
      </x:c>
      <x:c r="D708" s="89" t="n">
        <x:v>45230.10768518518</x:v>
      </x:c>
      <x:c r="E708" s="84" t="str">
        <x:v>Sensor</x:v>
      </x:c>
      <x:c r="F708" s="84" t="str">
        <x:v>Curto-circuito</x:v>
      </x:c>
      <x:c r="G708" s="84" t="str">
        <x:v>Contaminação</x:v>
      </x:c>
      <x:c r="H708" s="84" t="str">
        <x:v>Alta</x:v>
      </x:c>
      <x:c r="I708" s="84" t="n">
        <x:v>1</x:v>
      </x:c>
      <x:c r="J708" s="85" t="n">
        <x:v>1</x:v>
      </x:c>
    </x:row>
    <x:row r="709">
      <x:c r="A709" s="83" t="n">
        <x:v>708</x:v>
      </x:c>
      <x:c r="B709" s="84" t="n">
        <x:v>63</x:v>
      </x:c>
      <x:c r="C709" s="84" t="n">
        <x:v>2192</x:v>
      </x:c>
      <x:c r="D709" s="89" t="n">
        <x:v>45821.65447916667</x:v>
      </x:c>
      <x:c r="E709" s="84" t="str">
        <x:v>CLP</x:v>
      </x:c>
      <x:c r="F709" s="84" t="str">
        <x:v>Quebra</x:v>
      </x:c>
      <x:c r="G709" s="84" t="str">
        <x:v>Componente danificado</x:v>
      </x:c>
      <x:c r="H709" s="84" t="str">
        <x:v>Alta</x:v>
      </x:c>
      <x:c r="I709" s="84" t="n">
        <x:v>0</x:v>
      </x:c>
      <x:c r="J709" s="85" t="n">
        <x:v>1</x:v>
      </x:c>
    </x:row>
    <x:row r="710">
      <x:c r="A710" s="83" t="n">
        <x:v>709</x:v>
      </x:c>
      <x:c r="B710" s="84" t="n">
        <x:v>46</x:v>
      </x:c>
      <x:c r="C710" s="84" t="n">
        <x:v>2193</x:v>
      </x:c>
      <x:c r="D710" s="89" t="n">
        <x:v>45029.17842592593</x:v>
      </x:c>
      <x:c r="E710" s="84" t="str">
        <x:v>Sensor</x:v>
      </x:c>
      <x:c r="F710" s="84" t="str">
        <x:v>Travamento</x:v>
      </x:c>
      <x:c r="G710" s="84" t="str">
        <x:v>Contaminação</x:v>
      </x:c>
      <x:c r="H710" s="84" t="str">
        <x:v>Média</x:v>
      </x:c>
      <x:c r="I710" s="84" t="n">
        <x:v>0</x:v>
      </x:c>
      <x:c r="J710" s="85" t="n">
        <x:v>1</x:v>
      </x:c>
    </x:row>
    <x:row r="711">
      <x:c r="A711" s="83" t="n">
        <x:v>710</x:v>
      </x:c>
      <x:c r="B711" s="84" t="n">
        <x:v>65</x:v>
      </x:c>
      <x:c r="C711" s="84" t="n">
        <x:v>2196</x:v>
      </x:c>
      <x:c r="D711" s="89" t="n">
        <x:v>45212.508576388886</x:v>
      </x:c>
      <x:c r="E711" s="84" t="str">
        <x:v>Válvula</x:v>
      </x:c>
      <x:c r="F711" s="84" t="str">
        <x:v>Quebra</x:v>
      </x:c>
      <x:c r="G711" s="84" t="str">
        <x:v>Falta de lubrificação</x:v>
      </x:c>
      <x:c r="H711" s="84" t="str">
        <x:v>Média</x:v>
      </x:c>
      <x:c r="I711" s="84" t="n">
        <x:v>1</x:v>
      </x:c>
      <x:c r="J711" s="85" t="n">
        <x:v>1</x:v>
      </x:c>
    </x:row>
    <x:row r="712">
      <x:c r="A712" s="83" t="n">
        <x:v>711</x:v>
      </x:c>
      <x:c r="B712" s="84" t="n">
        <x:v>61</x:v>
      </x:c>
      <x:c r="C712" s="84" t="n">
        <x:v>2200</x:v>
      </x:c>
      <x:c r="D712" s="89" t="n">
        <x:v>44966.785104166665</x:v>
      </x:c>
      <x:c r="E712" s="84" t="str">
        <x:v>Sensor</x:v>
      </x:c>
      <x:c r="F712" s="84" t="str">
        <x:v>Perda de sinal</x:v>
      </x:c>
      <x:c r="G712" s="84" t="str">
        <x:v>Ajuste incorreto</x:v>
      </x:c>
      <x:c r="H712" s="84" t="str">
        <x:v>Alta</x:v>
      </x:c>
      <x:c r="I712" s="84" t="n">
        <x:v>0</x:v>
      </x:c>
      <x:c r="J712" s="85" t="n">
        <x:v>1</x:v>
      </x:c>
    </x:row>
    <x:row r="713">
      <x:c r="A713" s="83" t="n">
        <x:v>712</x:v>
      </x:c>
      <x:c r="B713" s="84" t="n">
        <x:v>85</x:v>
      </x:c>
      <x:c r="C713" s="84" t="n">
        <x:v>2209</x:v>
      </x:c>
      <x:c r="D713" s="89" t="n">
        <x:v>45563.097025462965</x:v>
      </x:c>
      <x:c r="E713" s="84" t="str">
        <x:v>Sensor</x:v>
      </x:c>
      <x:c r="F713" s="84" t="str">
        <x:v>Perda de sinal</x:v>
      </x:c>
      <x:c r="G713" s="84" t="str">
        <x:v>Componente danificado</x:v>
      </x:c>
      <x:c r="H713" s="84" t="str">
        <x:v>Alta</x:v>
      </x:c>
      <x:c r="I713" s="84" t="n">
        <x:v>0</x:v>
      </x:c>
      <x:c r="J713" s="85" t="n">
        <x:v>1</x:v>
      </x:c>
    </x:row>
    <x:row r="714">
      <x:c r="A714" s="83" t="n">
        <x:v>713</x:v>
      </x:c>
      <x:c r="B714" s="84" t="n">
        <x:v>20</x:v>
      </x:c>
      <x:c r="C714" s="84" t="n">
        <x:v>2210</x:v>
      </x:c>
      <x:c r="D714" s="89" t="n">
        <x:v>45532.96517361111</x:v>
      </x:c>
      <x:c r="E714" s="84" t="str">
        <x:v>Correia</x:v>
      </x:c>
      <x:c r="F714" s="84" t="str">
        <x:v>Perda de sinal</x:v>
      </x:c>
      <x:c r="G714" s="84" t="str">
        <x:v>Desgaste natural</x:v>
      </x:c>
      <x:c r="H714" s="84" t="str">
        <x:v>Média</x:v>
      </x:c>
      <x:c r="I714" s="84" t="n">
        <x:v>0</x:v>
      </x:c>
      <x:c r="J714" s="85" t="n">
        <x:v>1</x:v>
      </x:c>
    </x:row>
    <x:row r="715">
      <x:c r="A715" s="83" t="n">
        <x:v>714</x:v>
      </x:c>
      <x:c r="B715" s="84" t="n">
        <x:v>49</x:v>
      </x:c>
      <x:c r="C715" s="84" t="n">
        <x:v>2211</x:v>
      </x:c>
      <x:c r="D715" s="89" t="n">
        <x:v>45714.56626157407</x:v>
      </x:c>
      <x:c r="E715" s="84" t="str">
        <x:v>CLP</x:v>
      </x:c>
      <x:c r="F715" s="84" t="str">
        <x:v>Curto-circuito</x:v>
      </x:c>
      <x:c r="G715" s="84" t="str">
        <x:v>Contaminação</x:v>
      </x:c>
      <x:c r="H715" s="84" t="str">
        <x:v>Alta</x:v>
      </x:c>
      <x:c r="I715" s="84" t="n">
        <x:v>1</x:v>
      </x:c>
      <x:c r="J715" s="85" t="n">
        <x:v>1</x:v>
      </x:c>
    </x:row>
    <x:row r="716">
      <x:c r="A716" s="83" t="n">
        <x:v>715</x:v>
      </x:c>
      <x:c r="B716" s="84" t="n">
        <x:v>14</x:v>
      </x:c>
      <x:c r="C716" s="84" t="n">
        <x:v>2212</x:v>
      </x:c>
      <x:c r="D716" s="89" t="n">
        <x:v>45538.79204861111</x:v>
      </x:c>
      <x:c r="E716" s="84" t="str">
        <x:v>Sensor</x:v>
      </x:c>
      <x:c r="F716" s="84" t="str">
        <x:v>Travamento</x:v>
      </x:c>
      <x:c r="G716" s="84" t="str">
        <x:v>Ajuste incorreto</x:v>
      </x:c>
      <x:c r="H716" s="84" t="str">
        <x:v>Alta</x:v>
      </x:c>
      <x:c r="I716" s="84" t="n">
        <x:v>0</x:v>
      </x:c>
      <x:c r="J716" s="85" t="n">
        <x:v>1</x:v>
      </x:c>
    </x:row>
    <x:row r="717">
      <x:c r="A717" s="83" t="n">
        <x:v>716</x:v>
      </x:c>
      <x:c r="B717" s="84" t="n">
        <x:v>55</x:v>
      </x:c>
      <x:c r="C717" s="84" t="n">
        <x:v>2218</x:v>
      </x:c>
      <x:c r="D717" s="89" t="n">
        <x:v>45152.42769675926</x:v>
      </x:c>
      <x:c r="E717" s="84" t="str">
        <x:v>Motor</x:v>
      </x:c>
      <x:c r="F717" s="84" t="str">
        <x:v>Desgaste</x:v>
      </x:c>
      <x:c r="G717" s="84" t="str">
        <x:v>Componente danificado</x:v>
      </x:c>
      <x:c r="H717" s="84" t="str">
        <x:v>Baixa</x:v>
      </x:c>
      <x:c r="I717" s="84" t="n">
        <x:v>0</x:v>
      </x:c>
      <x:c r="J717" s="85" t="n">
        <x:v>1</x:v>
      </x:c>
    </x:row>
    <x:row r="718">
      <x:c r="A718" s="83" t="n">
        <x:v>717</x:v>
      </x:c>
      <x:c r="B718" s="84" t="n">
        <x:v>35</x:v>
      </x:c>
      <x:c r="C718" s="84" t="n">
        <x:v>2221</x:v>
      </x:c>
      <x:c r="D718" s="89" t="n">
        <x:v>45847.09328703704</x:v>
      </x:c>
      <x:c r="E718" s="84" t="str">
        <x:v>Sensor</x:v>
      </x:c>
      <x:c r="F718" s="84" t="str">
        <x:v>Desgaste</x:v>
      </x:c>
      <x:c r="G718" s="84" t="str">
        <x:v>Desgaste natural</x:v>
      </x:c>
      <x:c r="H718" s="84" t="str">
        <x:v>Alta</x:v>
      </x:c>
      <x:c r="I718" s="84" t="n">
        <x:v>0</x:v>
      </x:c>
      <x:c r="J718" s="85" t="n">
        <x:v>1</x:v>
      </x:c>
    </x:row>
    <x:row r="719">
      <x:c r="A719" s="83" t="n">
        <x:v>718</x:v>
      </x:c>
      <x:c r="B719" s="84" t="n">
        <x:v>86</x:v>
      </x:c>
      <x:c r="C719" s="84" t="n">
        <x:v>2222</x:v>
      </x:c>
      <x:c r="D719" s="89" t="n">
        <x:v>45975.27799768518</x:v>
      </x:c>
      <x:c r="E719" s="84" t="str">
        <x:v>Correia</x:v>
      </x:c>
      <x:c r="F719" s="84" t="str">
        <x:v>Desgaste</x:v>
      </x:c>
      <x:c r="G719" s="84" t="str">
        <x:v>Contaminação</x:v>
      </x:c>
      <x:c r="H719" s="84" t="str">
        <x:v>Alta</x:v>
      </x:c>
      <x:c r="I719" s="84" t="n">
        <x:v>0</x:v>
      </x:c>
      <x:c r="J719" s="85" t="n">
        <x:v>1</x:v>
      </x:c>
    </x:row>
    <x:row r="720">
      <x:c r="A720" s="83" t="n">
        <x:v>719</x:v>
      </x:c>
      <x:c r="B720" s="84" t="n">
        <x:v>23</x:v>
      </x:c>
      <x:c r="C720" s="84" t="n">
        <x:v>2224</x:v>
      </x:c>
      <x:c r="D720" s="89" t="n">
        <x:v>45473.98583333333</x:v>
      </x:c>
      <x:c r="E720" s="84" t="str">
        <x:v>CLP</x:v>
      </x:c>
      <x:c r="F720" s="84" t="str">
        <x:v>Desgaste</x:v>
      </x:c>
      <x:c r="G720" s="84" t="str">
        <x:v>Desgaste natural</x:v>
      </x:c>
      <x:c r="H720" s="84" t="str">
        <x:v>Baixa</x:v>
      </x:c>
      <x:c r="I720" s="84" t="n">
        <x:v>1</x:v>
      </x:c>
      <x:c r="J720" s="85" t="n">
        <x:v>1</x:v>
      </x:c>
    </x:row>
    <x:row r="721">
      <x:c r="A721" s="83" t="n">
        <x:v>720</x:v>
      </x:c>
      <x:c r="B721" s="84" t="n">
        <x:v>24</x:v>
      </x:c>
      <x:c r="C721" s="84" t="n">
        <x:v>2226</x:v>
      </x:c>
      <x:c r="D721" s="89" t="n">
        <x:v>44984.862488425926</x:v>
      </x:c>
      <x:c r="E721" s="84" t="str">
        <x:v>Válvula</x:v>
      </x:c>
      <x:c r="F721" s="84" t="str">
        <x:v>Desgaste</x:v>
      </x:c>
      <x:c r="G721" s="84" t="str">
        <x:v>Componente danificado</x:v>
      </x:c>
      <x:c r="H721" s="84" t="str">
        <x:v>Média</x:v>
      </x:c>
      <x:c r="I721" s="84" t="n">
        <x:v>0</x:v>
      </x:c>
      <x:c r="J721" s="85" t="n">
        <x:v>1</x:v>
      </x:c>
    </x:row>
    <x:row r="722">
      <x:c r="A722" s="83" t="n">
        <x:v>721</x:v>
      </x:c>
      <x:c r="B722" s="84" t="n">
        <x:v>88</x:v>
      </x:c>
      <x:c r="C722" s="84" t="n">
        <x:v>2228</x:v>
      </x:c>
      <x:c r="D722" s="89" t="n">
        <x:v>45754.03623842593</x:v>
      </x:c>
      <x:c r="E722" s="84" t="str">
        <x:v>Sensor</x:v>
      </x:c>
      <x:c r="F722" s="84" t="str">
        <x:v>Perda de sinal</x:v>
      </x:c>
      <x:c r="G722" s="84" t="str">
        <x:v>Ajuste incorreto</x:v>
      </x:c>
      <x:c r="H722" s="84" t="str">
        <x:v>Alta</x:v>
      </x:c>
      <x:c r="I722" s="84" t="n">
        <x:v>1</x:v>
      </x:c>
      <x:c r="J722" s="85" t="n">
        <x:v>1</x:v>
      </x:c>
    </x:row>
    <x:row r="723">
      <x:c r="A723" s="83" t="n">
        <x:v>722</x:v>
      </x:c>
      <x:c r="B723" s="84" t="n">
        <x:v>71</x:v>
      </x:c>
      <x:c r="C723" s="84" t="n">
        <x:v>2234</x:v>
      </x:c>
      <x:c r="D723" s="89" t="n">
        <x:v>45367.464583333334</x:v>
      </x:c>
      <x:c r="E723" s="84" t="str">
        <x:v>Sensor</x:v>
      </x:c>
      <x:c r="F723" s="84" t="str">
        <x:v>Quebra</x:v>
      </x:c>
      <x:c r="G723" s="84" t="str">
        <x:v>Contaminação</x:v>
      </x:c>
      <x:c r="H723" s="84" t="str">
        <x:v>Alta</x:v>
      </x:c>
      <x:c r="I723" s="84" t="n">
        <x:v>0</x:v>
      </x:c>
      <x:c r="J723" s="85" t="n">
        <x:v>1</x:v>
      </x:c>
    </x:row>
    <x:row r="724">
      <x:c r="A724" s="83" t="n">
        <x:v>723</x:v>
      </x:c>
      <x:c r="B724" s="84" t="n">
        <x:v>24</x:v>
      </x:c>
      <x:c r="C724" s="84" t="n">
        <x:v>2242</x:v>
      </x:c>
      <x:c r="D724" s="89" t="n">
        <x:v>45045.315034722225</x:v>
      </x:c>
      <x:c r="E724" s="84" t="str">
        <x:v>CLP</x:v>
      </x:c>
      <x:c r="F724" s="84" t="str">
        <x:v>Quebra</x:v>
      </x:c>
      <x:c r="G724" s="84" t="str">
        <x:v>Falta de lubrificação</x:v>
      </x:c>
      <x:c r="H724" s="84" t="str">
        <x:v>Alta</x:v>
      </x:c>
      <x:c r="I724" s="84" t="n">
        <x:v>0</x:v>
      </x:c>
      <x:c r="J724" s="85" t="n">
        <x:v>1</x:v>
      </x:c>
    </x:row>
    <x:row r="725">
      <x:c r="A725" s="83" t="n">
        <x:v>724</x:v>
      </x:c>
      <x:c r="B725" s="84" t="n">
        <x:v>48</x:v>
      </x:c>
      <x:c r="C725" s="84" t="n">
        <x:v>2246</x:v>
      </x:c>
      <x:c r="D725" s="89" t="n">
        <x:v>45163.62128472222</x:v>
      </x:c>
      <x:c r="E725" s="84" t="str">
        <x:v>Sensor</x:v>
      </x:c>
      <x:c r="F725" s="84" t="str">
        <x:v>Quebra</x:v>
      </x:c>
      <x:c r="G725" s="84" t="str">
        <x:v>Contaminação</x:v>
      </x:c>
      <x:c r="H725" s="84" t="str">
        <x:v>Média</x:v>
      </x:c>
      <x:c r="I725" s="84" t="n">
        <x:v>1</x:v>
      </x:c>
      <x:c r="J725" s="85" t="n">
        <x:v>1</x:v>
      </x:c>
    </x:row>
    <x:row r="726">
      <x:c r="A726" s="83" t="n">
        <x:v>725</x:v>
      </x:c>
      <x:c r="B726" s="84" t="n">
        <x:v>89</x:v>
      </x:c>
      <x:c r="C726" s="84" t="n">
        <x:v>2249</x:v>
      </x:c>
      <x:c r="D726" s="89" t="n">
        <x:v>44930.08824074074</x:v>
      </x:c>
      <x:c r="E726" s="84" t="str">
        <x:v>Motor</x:v>
      </x:c>
      <x:c r="F726" s="84" t="str">
        <x:v>Curto-circuito</x:v>
      </x:c>
      <x:c r="G726" s="84" t="str">
        <x:v>Conexão frouxa</x:v>
      </x:c>
      <x:c r="H726" s="84" t="str">
        <x:v>Média</x:v>
      </x:c>
      <x:c r="I726" s="84" t="n">
        <x:v>1</x:v>
      </x:c>
      <x:c r="J726" s="85" t="n">
        <x:v>1</x:v>
      </x:c>
    </x:row>
    <x:row r="727">
      <x:c r="A727" s="83" t="n">
        <x:v>726</x:v>
      </x:c>
      <x:c r="B727" s="84" t="n">
        <x:v>76</x:v>
      </x:c>
      <x:c r="C727" s="84" t="n">
        <x:v>2250</x:v>
      </x:c>
      <x:c r="D727" s="89" t="n">
        <x:v>45948.28041666667</x:v>
      </x:c>
      <x:c r="E727" s="84" t="str">
        <x:v>Motor</x:v>
      </x:c>
      <x:c r="F727" s="84" t="str">
        <x:v>Desgaste</x:v>
      </x:c>
      <x:c r="G727" s="84" t="str">
        <x:v>Conexão frouxa</x:v>
      </x:c>
      <x:c r="H727" s="84" t="str">
        <x:v>Média</x:v>
      </x:c>
      <x:c r="I727" s="84" t="n">
        <x:v>0</x:v>
      </x:c>
      <x:c r="J727" s="85" t="n">
        <x:v>1</x:v>
      </x:c>
    </x:row>
    <x:row r="728">
      <x:c r="A728" s="83" t="n">
        <x:v>727</x:v>
      </x:c>
      <x:c r="B728" s="84" t="n">
        <x:v>20</x:v>
      </x:c>
      <x:c r="C728" s="84" t="n">
        <x:v>2255</x:v>
      </x:c>
      <x:c r="D728" s="89" t="n">
        <x:v>45900.1091087963</x:v>
      </x:c>
      <x:c r="E728" s="84" t="str">
        <x:v>Motor</x:v>
      </x:c>
      <x:c r="F728" s="84" t="str">
        <x:v>Curto-circuito</x:v>
      </x:c>
      <x:c r="G728" s="84" t="str">
        <x:v>Falta de lubrificação</x:v>
      </x:c>
      <x:c r="H728" s="84" t="str">
        <x:v>Baixa</x:v>
      </x:c>
      <x:c r="I728" s="84" t="n">
        <x:v>0</x:v>
      </x:c>
      <x:c r="J728" s="85" t="n">
        <x:v>1</x:v>
      </x:c>
    </x:row>
    <x:row r="729">
      <x:c r="A729" s="83" t="n">
        <x:v>728</x:v>
      </x:c>
      <x:c r="B729" s="84" t="n">
        <x:v>31</x:v>
      </x:c>
      <x:c r="C729" s="84" t="n">
        <x:v>2256</x:v>
      </x:c>
      <x:c r="D729" s="89" t="n">
        <x:v>45369.42653935185</x:v>
      </x:c>
      <x:c r="E729" s="84" t="str">
        <x:v>Rolamento</x:v>
      </x:c>
      <x:c r="F729" s="84" t="str">
        <x:v>Travamento</x:v>
      </x:c>
      <x:c r="G729" s="84" t="str">
        <x:v>Conexão frouxa</x:v>
      </x:c>
      <x:c r="H729" s="84" t="str">
        <x:v>Alta</x:v>
      </x:c>
      <x:c r="I729" s="84" t="n">
        <x:v>1</x:v>
      </x:c>
      <x:c r="J729" s="85" t="n">
        <x:v>1</x:v>
      </x:c>
    </x:row>
    <x:row r="730">
      <x:c r="A730" s="83" t="n">
        <x:v>729</x:v>
      </x:c>
      <x:c r="B730" s="84" t="n">
        <x:v>1</x:v>
      </x:c>
      <x:c r="C730" s="84" t="n">
        <x:v>2260</x:v>
      </x:c>
      <x:c r="D730" s="89" t="n">
        <x:v>45613.9844212963</x:v>
      </x:c>
      <x:c r="E730" s="84" t="str">
        <x:v>Válvula</x:v>
      </x:c>
      <x:c r="F730" s="84" t="str">
        <x:v>Perda de sinal</x:v>
      </x:c>
      <x:c r="G730" s="84" t="str">
        <x:v>Componente danificado</x:v>
      </x:c>
      <x:c r="H730" s="84" t="str">
        <x:v>Média</x:v>
      </x:c>
      <x:c r="I730" s="84" t="n">
        <x:v>1</x:v>
      </x:c>
      <x:c r="J730" s="85" t="n">
        <x:v>1</x:v>
      </x:c>
    </x:row>
    <x:row r="731">
      <x:c r="A731" s="83" t="n">
        <x:v>730</x:v>
      </x:c>
      <x:c r="B731" s="84" t="n">
        <x:v>84</x:v>
      </x:c>
      <x:c r="C731" s="84" t="n">
        <x:v>2261</x:v>
      </x:c>
      <x:c r="D731" s="89" t="n">
        <x:v>45182.85556712963</x:v>
      </x:c>
      <x:c r="E731" s="84" t="str">
        <x:v>Correia</x:v>
      </x:c>
      <x:c r="F731" s="84" t="str">
        <x:v>Travamento</x:v>
      </x:c>
      <x:c r="G731" s="84" t="str">
        <x:v>Contaminação</x:v>
      </x:c>
      <x:c r="H731" s="84" t="str">
        <x:v>Baixa</x:v>
      </x:c>
      <x:c r="I731" s="84" t="n">
        <x:v>0</x:v>
      </x:c>
      <x:c r="J731" s="85" t="n">
        <x:v>1</x:v>
      </x:c>
    </x:row>
    <x:row r="732">
      <x:c r="A732" s="83" t="n">
        <x:v>731</x:v>
      </x:c>
      <x:c r="B732" s="84" t="n">
        <x:v>52</x:v>
      </x:c>
      <x:c r="C732" s="84" t="n">
        <x:v>2272</x:v>
      </x:c>
      <x:c r="D732" s="89" t="n">
        <x:v>45647.32027777778</x:v>
      </x:c>
      <x:c r="E732" s="84" t="str">
        <x:v>Motor</x:v>
      </x:c>
      <x:c r="F732" s="84" t="str">
        <x:v>Desgaste</x:v>
      </x:c>
      <x:c r="G732" s="84" t="str">
        <x:v>Contaminação</x:v>
      </x:c>
      <x:c r="H732" s="84" t="str">
        <x:v>Baixa</x:v>
      </x:c>
      <x:c r="I732" s="84" t="n">
        <x:v>0</x:v>
      </x:c>
      <x:c r="J732" s="85" t="n">
        <x:v>1</x:v>
      </x:c>
    </x:row>
    <x:row r="733">
      <x:c r="A733" s="83" t="n">
        <x:v>732</x:v>
      </x:c>
      <x:c r="B733" s="84" t="n">
        <x:v>13</x:v>
      </x:c>
      <x:c r="C733" s="84" t="n">
        <x:v>2273</x:v>
      </x:c>
      <x:c r="D733" s="89" t="n">
        <x:v>45373.65537037037</x:v>
      </x:c>
      <x:c r="E733" s="84" t="str">
        <x:v>CLP</x:v>
      </x:c>
      <x:c r="F733" s="84" t="str">
        <x:v>Quebra</x:v>
      </x:c>
      <x:c r="G733" s="84" t="str">
        <x:v>Contaminação</x:v>
      </x:c>
      <x:c r="H733" s="84" t="str">
        <x:v>Média</x:v>
      </x:c>
      <x:c r="I733" s="84" t="n">
        <x:v>1</x:v>
      </x:c>
      <x:c r="J733" s="85" t="n">
        <x:v>1</x:v>
      </x:c>
    </x:row>
    <x:row r="734">
      <x:c r="A734" s="83" t="n">
        <x:v>733</x:v>
      </x:c>
      <x:c r="B734" s="84" t="n">
        <x:v>27</x:v>
      </x:c>
      <x:c r="C734" s="84" t="n">
        <x:v>2281</x:v>
      </x:c>
      <x:c r="D734" s="89" t="n">
        <x:v>45796.487291666665</x:v>
      </x:c>
      <x:c r="E734" s="84" t="str">
        <x:v>CLP</x:v>
      </x:c>
      <x:c r="F734" s="84" t="str">
        <x:v>Perda de sinal</x:v>
      </x:c>
      <x:c r="G734" s="84" t="str">
        <x:v>Componente danificado</x:v>
      </x:c>
      <x:c r="H734" s="84" t="str">
        <x:v>Média</x:v>
      </x:c>
      <x:c r="I734" s="84" t="n">
        <x:v>0</x:v>
      </x:c>
      <x:c r="J734" s="85" t="n">
        <x:v>1</x:v>
      </x:c>
    </x:row>
    <x:row r="735">
      <x:c r="A735" s="83" t="n">
        <x:v>734</x:v>
      </x:c>
      <x:c r="B735" s="84" t="n">
        <x:v>44</x:v>
      </x:c>
      <x:c r="C735" s="84" t="n">
        <x:v>2282</x:v>
      </x:c>
      <x:c r="D735" s="89" t="n">
        <x:v>45708.644421296296</x:v>
      </x:c>
      <x:c r="E735" s="84" t="str">
        <x:v>Correia</x:v>
      </x:c>
      <x:c r="F735" s="84" t="str">
        <x:v>Curto-circuito</x:v>
      </x:c>
      <x:c r="G735" s="84" t="str">
        <x:v>Componente danificado</x:v>
      </x:c>
      <x:c r="H735" s="84" t="str">
        <x:v>Baixa</x:v>
      </x:c>
      <x:c r="I735" s="84" t="n">
        <x:v>0</x:v>
      </x:c>
      <x:c r="J735" s="85" t="n">
        <x:v>1</x:v>
      </x:c>
    </x:row>
    <x:row r="736">
      <x:c r="A736" s="83" t="n">
        <x:v>735</x:v>
      </x:c>
      <x:c r="B736" s="84" t="n">
        <x:v>3</x:v>
      </x:c>
      <x:c r="C736" s="84" t="n">
        <x:v>2285</x:v>
      </x:c>
      <x:c r="D736" s="89" t="n">
        <x:v>45876.81167824074</x:v>
      </x:c>
      <x:c r="E736" s="84" t="str">
        <x:v>Válvula</x:v>
      </x:c>
      <x:c r="F736" s="84" t="str">
        <x:v>Quebra</x:v>
      </x:c>
      <x:c r="G736" s="84" t="str">
        <x:v>Ajuste incorreto</x:v>
      </x:c>
      <x:c r="H736" s="84" t="str">
        <x:v>Alta</x:v>
      </x:c>
      <x:c r="I736" s="84" t="n">
        <x:v>1</x:v>
      </x:c>
      <x:c r="J736" s="85" t="n">
        <x:v>1</x:v>
      </x:c>
    </x:row>
    <x:row r="737">
      <x:c r="A737" s="83" t="n">
        <x:v>736</x:v>
      </x:c>
      <x:c r="B737" s="84" t="n">
        <x:v>89</x:v>
      </x:c>
      <x:c r="C737" s="84" t="n">
        <x:v>2286</x:v>
      </x:c>
      <x:c r="D737" s="89" t="n">
        <x:v>45394.15280092593</x:v>
      </x:c>
      <x:c r="E737" s="84" t="str">
        <x:v>Rolamento</x:v>
      </x:c>
      <x:c r="F737" s="84" t="str">
        <x:v>Curto-circuito</x:v>
      </x:c>
      <x:c r="G737" s="84" t="str">
        <x:v>Componente danificado</x:v>
      </x:c>
      <x:c r="H737" s="84" t="str">
        <x:v>Baixa</x:v>
      </x:c>
      <x:c r="I737" s="84" t="n">
        <x:v>0</x:v>
      </x:c>
      <x:c r="J737" s="85" t="n">
        <x:v>1</x:v>
      </x:c>
    </x:row>
    <x:row r="738">
      <x:c r="A738" s="83" t="n">
        <x:v>737</x:v>
      </x:c>
      <x:c r="B738" s="84" t="n">
        <x:v>12</x:v>
      </x:c>
      <x:c r="C738" s="84" t="n">
        <x:v>2287</x:v>
      </x:c>
      <x:c r="D738" s="89" t="n">
        <x:v>45195.982881944445</x:v>
      </x:c>
      <x:c r="E738" s="84" t="str">
        <x:v>Sensor</x:v>
      </x:c>
      <x:c r="F738" s="84" t="str">
        <x:v>Desgaste</x:v>
      </x:c>
      <x:c r="G738" s="84" t="str">
        <x:v>Contaminação</x:v>
      </x:c>
      <x:c r="H738" s="84" t="str">
        <x:v>Baixa</x:v>
      </x:c>
      <x:c r="I738" s="84" t="n">
        <x:v>0</x:v>
      </x:c>
      <x:c r="J738" s="85" t="n">
        <x:v>1</x:v>
      </x:c>
    </x:row>
    <x:row r="739">
      <x:c r="A739" s="83" t="n">
        <x:v>738</x:v>
      </x:c>
      <x:c r="B739" s="84" t="n">
        <x:v>74</x:v>
      </x:c>
      <x:c r="C739" s="84" t="n">
        <x:v>2289</x:v>
      </x:c>
      <x:c r="D739" s="89" t="n">
        <x:v>45585.779490740744</x:v>
      </x:c>
      <x:c r="E739" s="84" t="str">
        <x:v>Rolamento</x:v>
      </x:c>
      <x:c r="F739" s="84" t="str">
        <x:v>Desgaste</x:v>
      </x:c>
      <x:c r="G739" s="84" t="str">
        <x:v>Conexão frouxa</x:v>
      </x:c>
      <x:c r="H739" s="84" t="str">
        <x:v>Média</x:v>
      </x:c>
      <x:c r="I739" s="84" t="n">
        <x:v>0</x:v>
      </x:c>
      <x:c r="J739" s="85" t="n">
        <x:v>1</x:v>
      </x:c>
    </x:row>
    <x:row r="740">
      <x:c r="A740" s="83" t="n">
        <x:v>739</x:v>
      </x:c>
      <x:c r="B740" s="84" t="n">
        <x:v>79</x:v>
      </x:c>
      <x:c r="C740" s="84" t="n">
        <x:v>2290</x:v>
      </x:c>
      <x:c r="D740" s="89" t="n">
        <x:v>45032.194699074076</x:v>
      </x:c>
      <x:c r="E740" s="84" t="str">
        <x:v>Válvula</x:v>
      </x:c>
      <x:c r="F740" s="84" t="str">
        <x:v>Quebra</x:v>
      </x:c>
      <x:c r="G740" s="84" t="str">
        <x:v>Ajuste incorreto</x:v>
      </x:c>
      <x:c r="H740" s="84" t="str">
        <x:v>Média</x:v>
      </x:c>
      <x:c r="I740" s="84" t="n">
        <x:v>0</x:v>
      </x:c>
      <x:c r="J740" s="85" t="n">
        <x:v>1</x:v>
      </x:c>
    </x:row>
    <x:row r="741">
      <x:c r="A741" s="83" t="n">
        <x:v>740</x:v>
      </x:c>
      <x:c r="B741" s="84" t="n">
        <x:v>7</x:v>
      </x:c>
      <x:c r="C741" s="84" t="n">
        <x:v>2291</x:v>
      </x:c>
      <x:c r="D741" s="89" t="n">
        <x:v>45000.68362268519</x:v>
      </x:c>
      <x:c r="E741" s="84" t="str">
        <x:v>Válvula</x:v>
      </x:c>
      <x:c r="F741" s="84" t="str">
        <x:v>Quebra</x:v>
      </x:c>
      <x:c r="G741" s="84" t="str">
        <x:v>Conexão frouxa</x:v>
      </x:c>
      <x:c r="H741" s="84" t="str">
        <x:v>Alta</x:v>
      </x:c>
      <x:c r="I741" s="84" t="n">
        <x:v>1</x:v>
      </x:c>
      <x:c r="J741" s="85" t="n">
        <x:v>1</x:v>
      </x:c>
    </x:row>
    <x:row r="742">
      <x:c r="A742" s="83" t="n">
        <x:v>741</x:v>
      </x:c>
      <x:c r="B742" s="84" t="n">
        <x:v>4</x:v>
      </x:c>
      <x:c r="C742" s="84" t="n">
        <x:v>2292</x:v>
      </x:c>
      <x:c r="D742" s="89" t="n">
        <x:v>45461.665810185186</x:v>
      </x:c>
      <x:c r="E742" s="84" t="str">
        <x:v>Válvula</x:v>
      </x:c>
      <x:c r="F742" s="84" t="str">
        <x:v>Curto-circuito</x:v>
      </x:c>
      <x:c r="G742" s="84" t="str">
        <x:v>Conexão frouxa</x:v>
      </x:c>
      <x:c r="H742" s="84" t="str">
        <x:v>Baixa</x:v>
      </x:c>
      <x:c r="I742" s="84" t="n">
        <x:v>0</x:v>
      </x:c>
      <x:c r="J742" s="85" t="n">
        <x:v>1</x:v>
      </x:c>
    </x:row>
    <x:row r="743">
      <x:c r="A743" s="83" t="n">
        <x:v>742</x:v>
      </x:c>
      <x:c r="B743" s="84" t="n">
        <x:v>77</x:v>
      </x:c>
      <x:c r="C743" s="84" t="n">
        <x:v>2294</x:v>
      </x:c>
      <x:c r="D743" s="89" t="n">
        <x:v>45216.76173611111</x:v>
      </x:c>
      <x:c r="E743" s="84" t="str">
        <x:v>CLP</x:v>
      </x:c>
      <x:c r="F743" s="84" t="str">
        <x:v>Travamento</x:v>
      </x:c>
      <x:c r="G743" s="84" t="str">
        <x:v>Ajuste incorreto</x:v>
      </x:c>
      <x:c r="H743" s="84" t="str">
        <x:v>Baixa</x:v>
      </x:c>
      <x:c r="I743" s="84" t="n">
        <x:v>1</x:v>
      </x:c>
      <x:c r="J743" s="85" t="n">
        <x:v>1</x:v>
      </x:c>
    </x:row>
    <x:row r="744">
      <x:c r="A744" s="83" t="n">
        <x:v>743</x:v>
      </x:c>
      <x:c r="B744" s="84" t="n">
        <x:v>18</x:v>
      </x:c>
      <x:c r="C744" s="84" t="n">
        <x:v>2295</x:v>
      </x:c>
      <x:c r="D744" s="89" t="n">
        <x:v>45588.55814814815</x:v>
      </x:c>
      <x:c r="E744" s="84" t="str">
        <x:v>Sensor</x:v>
      </x:c>
      <x:c r="F744" s="84" t="str">
        <x:v>Perda de sinal</x:v>
      </x:c>
      <x:c r="G744" s="84" t="str">
        <x:v>Conexão frouxa</x:v>
      </x:c>
      <x:c r="H744" s="84" t="str">
        <x:v>Alta</x:v>
      </x:c>
      <x:c r="I744" s="84" t="n">
        <x:v>0</x:v>
      </x:c>
      <x:c r="J744" s="85" t="n">
        <x:v>1</x:v>
      </x:c>
    </x:row>
    <x:row r="745">
      <x:c r="A745" s="83" t="n">
        <x:v>744</x:v>
      </x:c>
      <x:c r="B745" s="84" t="n">
        <x:v>2</x:v>
      </x:c>
      <x:c r="C745" s="84" t="n">
        <x:v>2296</x:v>
      </x:c>
      <x:c r="D745" s="89" t="n">
        <x:v>45630.60041666667</x:v>
      </x:c>
      <x:c r="E745" s="84" t="str">
        <x:v>Rolamento</x:v>
      </x:c>
      <x:c r="F745" s="84" t="str">
        <x:v>Travamento</x:v>
      </x:c>
      <x:c r="G745" s="84" t="str">
        <x:v>Ajuste incorreto</x:v>
      </x:c>
      <x:c r="H745" s="84" t="str">
        <x:v>Alta</x:v>
      </x:c>
      <x:c r="I745" s="84" t="n">
        <x:v>0</x:v>
      </x:c>
      <x:c r="J745" s="85" t="n">
        <x:v>1</x:v>
      </x:c>
    </x:row>
    <x:row r="746">
      <x:c r="A746" s="83" t="n">
        <x:v>745</x:v>
      </x:c>
      <x:c r="B746" s="84" t="n">
        <x:v>60</x:v>
      </x:c>
      <x:c r="C746" s="84" t="n">
        <x:v>2298</x:v>
      </x:c>
      <x:c r="D746" s="89" t="n">
        <x:v>45969.471817129626</x:v>
      </x:c>
      <x:c r="E746" s="84" t="str">
        <x:v>Rolamento</x:v>
      </x:c>
      <x:c r="F746" s="84" t="str">
        <x:v>Quebra</x:v>
      </x:c>
      <x:c r="G746" s="84" t="str">
        <x:v>Conexão frouxa</x:v>
      </x:c>
      <x:c r="H746" s="84" t="str">
        <x:v>Média</x:v>
      </x:c>
      <x:c r="I746" s="84" t="n">
        <x:v>0</x:v>
      </x:c>
      <x:c r="J746" s="85" t="n">
        <x:v>1</x:v>
      </x:c>
    </x:row>
    <x:row r="747">
      <x:c r="A747" s="83" t="n">
        <x:v>746</x:v>
      </x:c>
      <x:c r="B747" s="84" t="n">
        <x:v>66</x:v>
      </x:c>
      <x:c r="C747" s="84" t="n">
        <x:v>2299</x:v>
      </x:c>
      <x:c r="D747" s="89" t="n">
        <x:v>45801.64979166666</x:v>
      </x:c>
      <x:c r="E747" s="84" t="str">
        <x:v>CLP</x:v>
      </x:c>
      <x:c r="F747" s="84" t="str">
        <x:v>Travamento</x:v>
      </x:c>
      <x:c r="G747" s="84" t="str">
        <x:v>Falta de lubrificação</x:v>
      </x:c>
      <x:c r="H747" s="84" t="str">
        <x:v>Baixa</x:v>
      </x:c>
      <x:c r="I747" s="84" t="n">
        <x:v>1</x:v>
      </x:c>
      <x:c r="J747" s="85" t="n">
        <x:v>1</x:v>
      </x:c>
    </x:row>
    <x:row r="748">
      <x:c r="A748" s="83" t="n">
        <x:v>747</x:v>
      </x:c>
      <x:c r="B748" s="84" t="n">
        <x:v>52</x:v>
      </x:c>
      <x:c r="C748" s="84" t="n">
        <x:v>2300</x:v>
      </x:c>
      <x:c r="D748" s="89" t="n">
        <x:v>45012.92443287037</x:v>
      </x:c>
      <x:c r="E748" s="84" t="str">
        <x:v>Motor</x:v>
      </x:c>
      <x:c r="F748" s="84" t="str">
        <x:v>Curto-circuito</x:v>
      </x:c>
      <x:c r="G748" s="84" t="str">
        <x:v>Componente danificado</x:v>
      </x:c>
      <x:c r="H748" s="84" t="str">
        <x:v>Baixa</x:v>
      </x:c>
      <x:c r="I748" s="84" t="n">
        <x:v>0</x:v>
      </x:c>
      <x:c r="J748" s="85" t="n">
        <x:v>1</x:v>
      </x:c>
    </x:row>
    <x:row r="749">
      <x:c r="A749" s="83" t="n">
        <x:v>748</x:v>
      </x:c>
      <x:c r="B749" s="84" t="n">
        <x:v>76</x:v>
      </x:c>
      <x:c r="C749" s="84" t="n">
        <x:v>2303</x:v>
      </x:c>
      <x:c r="D749" s="89" t="n">
        <x:v>45459.82960648148</x:v>
      </x:c>
      <x:c r="E749" s="84" t="str">
        <x:v>CLP</x:v>
      </x:c>
      <x:c r="F749" s="84" t="str">
        <x:v>Desgaste</x:v>
      </x:c>
      <x:c r="G749" s="84" t="str">
        <x:v>Contaminação</x:v>
      </x:c>
      <x:c r="H749" s="84" t="str">
        <x:v>Média</x:v>
      </x:c>
      <x:c r="I749" s="84" t="n">
        <x:v>0</x:v>
      </x:c>
      <x:c r="J749" s="85" t="n">
        <x:v>1</x:v>
      </x:c>
    </x:row>
    <x:row r="750">
      <x:c r="A750" s="83" t="n">
        <x:v>749</x:v>
      </x:c>
      <x:c r="B750" s="84" t="n">
        <x:v>82</x:v>
      </x:c>
      <x:c r="C750" s="84" t="n">
        <x:v>2306</x:v>
      </x:c>
      <x:c r="D750" s="89" t="n">
        <x:v>45832.69944444444</x:v>
      </x:c>
      <x:c r="E750" s="84" t="str">
        <x:v>Rolamento</x:v>
      </x:c>
      <x:c r="F750" s="84" t="str">
        <x:v>Quebra</x:v>
      </x:c>
      <x:c r="G750" s="84" t="str">
        <x:v>Falta de lubrificação</x:v>
      </x:c>
      <x:c r="H750" s="84" t="str">
        <x:v>Baixa</x:v>
      </x:c>
      <x:c r="I750" s="84" t="n">
        <x:v>0</x:v>
      </x:c>
      <x:c r="J750" s="85" t="n">
        <x:v>1</x:v>
      </x:c>
    </x:row>
    <x:row r="751">
      <x:c r="A751" s="83" t="n">
        <x:v>750</x:v>
      </x:c>
      <x:c r="B751" s="84" t="n">
        <x:v>18</x:v>
      </x:c>
      <x:c r="C751" s="84" t="n">
        <x:v>2312</x:v>
      </x:c>
      <x:c r="D751" s="89" t="n">
        <x:v>45350.00540509259</x:v>
      </x:c>
      <x:c r="E751" s="84" t="str">
        <x:v>Sensor</x:v>
      </x:c>
      <x:c r="F751" s="84" t="str">
        <x:v>Desgaste</x:v>
      </x:c>
      <x:c r="G751" s="84" t="str">
        <x:v>Desgaste natural</x:v>
      </x:c>
      <x:c r="H751" s="84" t="str">
        <x:v>Alta</x:v>
      </x:c>
      <x:c r="I751" s="84" t="n">
        <x:v>0</x:v>
      </x:c>
      <x:c r="J751" s="85" t="n">
        <x:v>1</x:v>
      </x:c>
    </x:row>
    <x:row r="752">
      <x:c r="A752" s="83" t="n">
        <x:v>751</x:v>
      </x:c>
      <x:c r="B752" s="84" t="n">
        <x:v>46</x:v>
      </x:c>
      <x:c r="C752" s="84" t="n">
        <x:v>2313</x:v>
      </x:c>
      <x:c r="D752" s="89" t="n">
        <x:v>45354.49291666667</x:v>
      </x:c>
      <x:c r="E752" s="84" t="str">
        <x:v>Rolamento</x:v>
      </x:c>
      <x:c r="F752" s="84" t="str">
        <x:v>Curto-circuito</x:v>
      </x:c>
      <x:c r="G752" s="84" t="str">
        <x:v>Contaminação</x:v>
      </x:c>
      <x:c r="H752" s="84" t="str">
        <x:v>Alta</x:v>
      </x:c>
      <x:c r="I752" s="84" t="n">
        <x:v>0</x:v>
      </x:c>
      <x:c r="J752" s="85" t="n">
        <x:v>1</x:v>
      </x:c>
    </x:row>
    <x:row r="753">
      <x:c r="A753" s="83" t="n">
        <x:v>752</x:v>
      </x:c>
      <x:c r="B753" s="84" t="n">
        <x:v>6</x:v>
      </x:c>
      <x:c r="C753" s="84" t="n">
        <x:v>2315</x:v>
      </x:c>
      <x:c r="D753" s="89" t="n">
        <x:v>44944.19020833333</x:v>
      </x:c>
      <x:c r="E753" s="84" t="str">
        <x:v>Válvula</x:v>
      </x:c>
      <x:c r="F753" s="84" t="str">
        <x:v>Travamento</x:v>
      </x:c>
      <x:c r="G753" s="84" t="str">
        <x:v>Desgaste natural</x:v>
      </x:c>
      <x:c r="H753" s="84" t="str">
        <x:v>Alta</x:v>
      </x:c>
      <x:c r="I753" s="84" t="n">
        <x:v>0</x:v>
      </x:c>
      <x:c r="J753" s="85" t="n">
        <x:v>1</x:v>
      </x:c>
    </x:row>
    <x:row r="754">
      <x:c r="A754" s="83" t="n">
        <x:v>753</x:v>
      </x:c>
      <x:c r="B754" s="84" t="n">
        <x:v>44</x:v>
      </x:c>
      <x:c r="C754" s="84" t="n">
        <x:v>2325</x:v>
      </x:c>
      <x:c r="D754" s="89" t="n">
        <x:v>45186.898194444446</x:v>
      </x:c>
      <x:c r="E754" s="84" t="str">
        <x:v>Rolamento</x:v>
      </x:c>
      <x:c r="F754" s="84" t="str">
        <x:v>Quebra</x:v>
      </x:c>
      <x:c r="G754" s="84" t="str">
        <x:v>Componente danificado</x:v>
      </x:c>
      <x:c r="H754" s="84" t="str">
        <x:v>Baixa</x:v>
      </x:c>
      <x:c r="I754" s="84" t="n">
        <x:v>0</x:v>
      </x:c>
      <x:c r="J754" s="85" t="n">
        <x:v>1</x:v>
      </x:c>
    </x:row>
    <x:row r="755">
      <x:c r="A755" s="83" t="n">
        <x:v>754</x:v>
      </x:c>
      <x:c r="B755" s="84" t="n">
        <x:v>72</x:v>
      </x:c>
      <x:c r="C755" s="84" t="n">
        <x:v>2327</x:v>
      </x:c>
      <x:c r="D755" s="89" t="n">
        <x:v>45478.248761574076</x:v>
      </x:c>
      <x:c r="E755" s="84" t="str">
        <x:v>CLP</x:v>
      </x:c>
      <x:c r="F755" s="84" t="str">
        <x:v>Desgaste</x:v>
      </x:c>
      <x:c r="G755" s="84" t="str">
        <x:v>Ajuste incorreto</x:v>
      </x:c>
      <x:c r="H755" s="84" t="str">
        <x:v>Média</x:v>
      </x:c>
      <x:c r="I755" s="84" t="n">
        <x:v>1</x:v>
      </x:c>
      <x:c r="J755" s="85" t="n">
        <x:v>1</x:v>
      </x:c>
    </x:row>
    <x:row r="756">
      <x:c r="A756" s="83" t="n">
        <x:v>755</x:v>
      </x:c>
      <x:c r="B756" s="84" t="n">
        <x:v>2</x:v>
      </x:c>
      <x:c r="C756" s="84" t="n">
        <x:v>2329</x:v>
      </x:c>
      <x:c r="D756" s="89" t="n">
        <x:v>45020.00722222222</x:v>
      </x:c>
      <x:c r="E756" s="84" t="str">
        <x:v>Correia</x:v>
      </x:c>
      <x:c r="F756" s="84" t="str">
        <x:v>Perda de sinal</x:v>
      </x:c>
      <x:c r="G756" s="84" t="str">
        <x:v>Conexão frouxa</x:v>
      </x:c>
      <x:c r="H756" s="84" t="str">
        <x:v>Baixa</x:v>
      </x:c>
      <x:c r="I756" s="84" t="n">
        <x:v>0</x:v>
      </x:c>
      <x:c r="J756" s="85" t="n">
        <x:v>1</x:v>
      </x:c>
    </x:row>
    <x:row r="757">
      <x:c r="A757" s="83" t="n">
        <x:v>756</x:v>
      </x:c>
      <x:c r="B757" s="84" t="n">
        <x:v>21</x:v>
      </x:c>
      <x:c r="C757" s="84" t="n">
        <x:v>2332</x:v>
      </x:c>
      <x:c r="D757" s="89" t="n">
        <x:v>45856.42940972222</x:v>
      </x:c>
      <x:c r="E757" s="84" t="str">
        <x:v>Correia</x:v>
      </x:c>
      <x:c r="F757" s="84" t="str">
        <x:v>Quebra</x:v>
      </x:c>
      <x:c r="G757" s="84" t="str">
        <x:v>Desgaste natural</x:v>
      </x:c>
      <x:c r="H757" s="84" t="str">
        <x:v>Média</x:v>
      </x:c>
      <x:c r="I757" s="84" t="n">
        <x:v>0</x:v>
      </x:c>
      <x:c r="J757" s="85" t="n">
        <x:v>1</x:v>
      </x:c>
    </x:row>
    <x:row r="758">
      <x:c r="A758" s="83" t="n">
        <x:v>757</x:v>
      </x:c>
      <x:c r="B758" s="84" t="n">
        <x:v>4</x:v>
      </x:c>
      <x:c r="C758" s="84" t="n">
        <x:v>2333</x:v>
      </x:c>
      <x:c r="D758" s="89" t="n">
        <x:v>45289.05915509259</x:v>
      </x:c>
      <x:c r="E758" s="84" t="str">
        <x:v>Rolamento</x:v>
      </x:c>
      <x:c r="F758" s="84" t="str">
        <x:v>Desgaste</x:v>
      </x:c>
      <x:c r="G758" s="84" t="str">
        <x:v>Ajuste incorreto</x:v>
      </x:c>
      <x:c r="H758" s="84" t="str">
        <x:v>Alta</x:v>
      </x:c>
      <x:c r="I758" s="84" t="n">
        <x:v>0</x:v>
      </x:c>
      <x:c r="J758" s="85" t="n">
        <x:v>1</x:v>
      </x:c>
    </x:row>
    <x:row r="759">
      <x:c r="A759" s="83" t="n">
        <x:v>758</x:v>
      </x:c>
      <x:c r="B759" s="84" t="n">
        <x:v>76</x:v>
      </x:c>
      <x:c r="C759" s="84" t="n">
        <x:v>2337</x:v>
      </x:c>
      <x:c r="D759" s="89" t="n">
        <x:v>45525.61618055555</x:v>
      </x:c>
      <x:c r="E759" s="84" t="str">
        <x:v>Correia</x:v>
      </x:c>
      <x:c r="F759" s="84" t="str">
        <x:v>Curto-circuito</x:v>
      </x:c>
      <x:c r="G759" s="84" t="str">
        <x:v>Desgaste natural</x:v>
      </x:c>
      <x:c r="H759" s="84" t="str">
        <x:v>Média</x:v>
      </x:c>
      <x:c r="I759" s="84" t="n">
        <x:v>0</x:v>
      </x:c>
      <x:c r="J759" s="85" t="n">
        <x:v>1</x:v>
      </x:c>
    </x:row>
    <x:row r="760">
      <x:c r="A760" s="83" t="n">
        <x:v>759</x:v>
      </x:c>
      <x:c r="B760" s="84" t="n">
        <x:v>77</x:v>
      </x:c>
      <x:c r="C760" s="84" t="n">
        <x:v>2344</x:v>
      </x:c>
      <x:c r="D760" s="89" t="n">
        <x:v>45361.66357638889</x:v>
      </x:c>
      <x:c r="E760" s="84" t="str">
        <x:v>Válvula</x:v>
      </x:c>
      <x:c r="F760" s="84" t="str">
        <x:v>Perda de sinal</x:v>
      </x:c>
      <x:c r="G760" s="84" t="str">
        <x:v>Falta de lubrificação</x:v>
      </x:c>
      <x:c r="H760" s="84" t="str">
        <x:v>Baixa</x:v>
      </x:c>
      <x:c r="I760" s="84" t="n">
        <x:v>0</x:v>
      </x:c>
      <x:c r="J760" s="85" t="n">
        <x:v>1</x:v>
      </x:c>
    </x:row>
    <x:row r="761">
      <x:c r="A761" s="83" t="n">
        <x:v>760</x:v>
      </x:c>
      <x:c r="B761" s="84" t="n">
        <x:v>62</x:v>
      </x:c>
      <x:c r="C761" s="84" t="n">
        <x:v>2346</x:v>
      </x:c>
      <x:c r="D761" s="89" t="n">
        <x:v>45824.07908564815</x:v>
      </x:c>
      <x:c r="E761" s="84" t="str">
        <x:v>CLP</x:v>
      </x:c>
      <x:c r="F761" s="84" t="str">
        <x:v>Desgaste</x:v>
      </x:c>
      <x:c r="G761" s="84" t="str">
        <x:v>Conexão frouxa</x:v>
      </x:c>
      <x:c r="H761" s="84" t="str">
        <x:v>Média</x:v>
      </x:c>
      <x:c r="I761" s="84" t="n">
        <x:v>0</x:v>
      </x:c>
      <x:c r="J761" s="85" t="n">
        <x:v>1</x:v>
      </x:c>
    </x:row>
    <x:row r="762">
      <x:c r="A762" s="83" t="n">
        <x:v>761</x:v>
      </x:c>
      <x:c r="B762" s="84" t="n">
        <x:v>39</x:v>
      </x:c>
      <x:c r="C762" s="84" t="n">
        <x:v>2347</x:v>
      </x:c>
      <x:c r="D762" s="89" t="n">
        <x:v>44954.79630787037</x:v>
      </x:c>
      <x:c r="E762" s="84" t="str">
        <x:v>Sensor</x:v>
      </x:c>
      <x:c r="F762" s="84" t="str">
        <x:v>Perda de sinal</x:v>
      </x:c>
      <x:c r="G762" s="84" t="str">
        <x:v>Ajuste incorreto</x:v>
      </x:c>
      <x:c r="H762" s="84" t="str">
        <x:v>Baixa</x:v>
      </x:c>
      <x:c r="I762" s="84" t="n">
        <x:v>0</x:v>
      </x:c>
      <x:c r="J762" s="85" t="n">
        <x:v>1</x:v>
      </x:c>
    </x:row>
    <x:row r="763">
      <x:c r="A763" s="83" t="n">
        <x:v>762</x:v>
      </x:c>
      <x:c r="B763" s="84" t="n">
        <x:v>71</x:v>
      </x:c>
      <x:c r="C763" s="84" t="n">
        <x:v>2349</x:v>
      </x:c>
      <x:c r="D763" s="89" t="n">
        <x:v>45154.093773148146</x:v>
      </x:c>
      <x:c r="E763" s="84" t="str">
        <x:v>Correia</x:v>
      </x:c>
      <x:c r="F763" s="84" t="str">
        <x:v>Travamento</x:v>
      </x:c>
      <x:c r="G763" s="84" t="str">
        <x:v>Componente danificado</x:v>
      </x:c>
      <x:c r="H763" s="84" t="str">
        <x:v>Média</x:v>
      </x:c>
      <x:c r="I763" s="84" t="n">
        <x:v>0</x:v>
      </x:c>
      <x:c r="J763" s="85" t="n">
        <x:v>1</x:v>
      </x:c>
    </x:row>
    <x:row r="764">
      <x:c r="A764" s="83" t="n">
        <x:v>763</x:v>
      </x:c>
      <x:c r="B764" s="84" t="n">
        <x:v>4</x:v>
      </x:c>
      <x:c r="C764" s="84" t="n">
        <x:v>2350</x:v>
      </x:c>
      <x:c r="D764" s="89" t="n">
        <x:v>45823.44923611111</x:v>
      </x:c>
      <x:c r="E764" s="84" t="str">
        <x:v>CLP</x:v>
      </x:c>
      <x:c r="F764" s="84" t="str">
        <x:v>Curto-circuito</x:v>
      </x:c>
      <x:c r="G764" s="84" t="str">
        <x:v>Desgaste natural</x:v>
      </x:c>
      <x:c r="H764" s="84" t="str">
        <x:v>Média</x:v>
      </x:c>
      <x:c r="I764" s="84" t="n">
        <x:v>1</x:v>
      </x:c>
      <x:c r="J764" s="85" t="n">
        <x:v>1</x:v>
      </x:c>
    </x:row>
    <x:row r="765">
      <x:c r="A765" s="83" t="n">
        <x:v>764</x:v>
      </x:c>
      <x:c r="B765" s="84" t="n">
        <x:v>11</x:v>
      </x:c>
      <x:c r="C765" s="84" t="n">
        <x:v>2352</x:v>
      </x:c>
      <x:c r="D765" s="89" t="n">
        <x:v>45316.04673611111</x:v>
      </x:c>
      <x:c r="E765" s="84" t="str">
        <x:v>Válvula</x:v>
      </x:c>
      <x:c r="F765" s="84" t="str">
        <x:v>Desgaste</x:v>
      </x:c>
      <x:c r="G765" s="84" t="str">
        <x:v>Falta de lubrificação</x:v>
      </x:c>
      <x:c r="H765" s="84" t="str">
        <x:v>Baixa</x:v>
      </x:c>
      <x:c r="I765" s="84" t="n">
        <x:v>0</x:v>
      </x:c>
      <x:c r="J765" s="85" t="n">
        <x:v>1</x:v>
      </x:c>
    </x:row>
    <x:row r="766">
      <x:c r="A766" s="83" t="n">
        <x:v>765</x:v>
      </x:c>
      <x:c r="B766" s="84" t="n">
        <x:v>38</x:v>
      </x:c>
      <x:c r="C766" s="84" t="n">
        <x:v>2358</x:v>
      </x:c>
      <x:c r="D766" s="89" t="n">
        <x:v>45291.19734953704</x:v>
      </x:c>
      <x:c r="E766" s="84" t="str">
        <x:v>Motor</x:v>
      </x:c>
      <x:c r="F766" s="84" t="str">
        <x:v>Perda de sinal</x:v>
      </x:c>
      <x:c r="G766" s="84" t="str">
        <x:v>Falta de lubrificação</x:v>
      </x:c>
      <x:c r="H766" s="84" t="str">
        <x:v>Baixa</x:v>
      </x:c>
      <x:c r="I766" s="84" t="n">
        <x:v>0</x:v>
      </x:c>
      <x:c r="J766" s="85" t="n">
        <x:v>1</x:v>
      </x:c>
    </x:row>
    <x:row r="767">
      <x:c r="A767" s="83" t="n">
        <x:v>766</x:v>
      </x:c>
      <x:c r="B767" s="84" t="n">
        <x:v>36</x:v>
      </x:c>
      <x:c r="C767" s="84" t="n">
        <x:v>2359</x:v>
      </x:c>
      <x:c r="D767" s="89" t="n">
        <x:v>45204.41783564815</x:v>
      </x:c>
      <x:c r="E767" s="84" t="str">
        <x:v>Rolamento</x:v>
      </x:c>
      <x:c r="F767" s="84" t="str">
        <x:v>Quebra</x:v>
      </x:c>
      <x:c r="G767" s="84" t="str">
        <x:v>Falta de lubrificação</x:v>
      </x:c>
      <x:c r="H767" s="84" t="str">
        <x:v>Baixa</x:v>
      </x:c>
      <x:c r="I767" s="84" t="n">
        <x:v>1</x:v>
      </x:c>
      <x:c r="J767" s="85" t="n">
        <x:v>1</x:v>
      </x:c>
    </x:row>
    <x:row r="768">
      <x:c r="A768" s="83" t="n">
        <x:v>767</x:v>
      </x:c>
      <x:c r="B768" s="84" t="n">
        <x:v>85</x:v>
      </x:c>
      <x:c r="C768" s="84" t="n">
        <x:v>2364</x:v>
      </x:c>
      <x:c r="D768" s="89" t="n">
        <x:v>44965.521527777775</x:v>
      </x:c>
      <x:c r="E768" s="84" t="str">
        <x:v>Sensor</x:v>
      </x:c>
      <x:c r="F768" s="84" t="str">
        <x:v>Travamento</x:v>
      </x:c>
      <x:c r="G768" s="84" t="str">
        <x:v>Conexão frouxa</x:v>
      </x:c>
      <x:c r="H768" s="84" t="str">
        <x:v>Alta</x:v>
      </x:c>
      <x:c r="I768" s="84" t="n">
        <x:v>0</x:v>
      </x:c>
      <x:c r="J768" s="85" t="n">
        <x:v>1</x:v>
      </x:c>
    </x:row>
    <x:row r="769">
      <x:c r="A769" s="83" t="n">
        <x:v>768</x:v>
      </x:c>
      <x:c r="B769" s="84" t="n">
        <x:v>23</x:v>
      </x:c>
      <x:c r="C769" s="84" t="n">
        <x:v>2365</x:v>
      </x:c>
      <x:c r="D769" s="89" t="n">
        <x:v>46018.84545138889</x:v>
      </x:c>
      <x:c r="E769" s="84" t="str">
        <x:v>CLP</x:v>
      </x:c>
      <x:c r="F769" s="84" t="str">
        <x:v>Quebra</x:v>
      </x:c>
      <x:c r="G769" s="84" t="str">
        <x:v>Componente danificado</x:v>
      </x:c>
      <x:c r="H769" s="84" t="str">
        <x:v>Baixa</x:v>
      </x:c>
      <x:c r="I769" s="84" t="n">
        <x:v>0</x:v>
      </x:c>
      <x:c r="J769" s="85" t="n">
        <x:v>1</x:v>
      </x:c>
    </x:row>
    <x:row r="770">
      <x:c r="A770" s="83" t="n">
        <x:v>769</x:v>
      </x:c>
      <x:c r="B770" s="84" t="n">
        <x:v>84</x:v>
      </x:c>
      <x:c r="C770" s="84" t="n">
        <x:v>2370</x:v>
      </x:c>
      <x:c r="D770" s="89" t="n">
        <x:v>45313.476481481484</x:v>
      </x:c>
      <x:c r="E770" s="84" t="str">
        <x:v>Sensor</x:v>
      </x:c>
      <x:c r="F770" s="84" t="str">
        <x:v>Travamento</x:v>
      </x:c>
      <x:c r="G770" s="84" t="str">
        <x:v>Ajuste incorreto</x:v>
      </x:c>
      <x:c r="H770" s="84" t="str">
        <x:v>Média</x:v>
      </x:c>
      <x:c r="I770" s="84" t="n">
        <x:v>1</x:v>
      </x:c>
      <x:c r="J770" s="85" t="n">
        <x:v>1</x:v>
      </x:c>
    </x:row>
    <x:row r="771">
      <x:c r="A771" s="83" t="n">
        <x:v>770</x:v>
      </x:c>
      <x:c r="B771" s="84" t="n">
        <x:v>8</x:v>
      </x:c>
      <x:c r="C771" s="84" t="n">
        <x:v>2371</x:v>
      </x:c>
      <x:c r="D771" s="89" t="n">
        <x:v>45720.17344907407</x:v>
      </x:c>
      <x:c r="E771" s="84" t="str">
        <x:v>Sensor</x:v>
      </x:c>
      <x:c r="F771" s="84" t="str">
        <x:v>Travamento</x:v>
      </x:c>
      <x:c r="G771" s="84" t="str">
        <x:v>Conexão frouxa</x:v>
      </x:c>
      <x:c r="H771" s="84" t="str">
        <x:v>Alta</x:v>
      </x:c>
      <x:c r="I771" s="84" t="n">
        <x:v>0</x:v>
      </x:c>
      <x:c r="J771" s="85" t="n">
        <x:v>1</x:v>
      </x:c>
    </x:row>
    <x:row r="772">
      <x:c r="A772" s="83" t="n">
        <x:v>771</x:v>
      </x:c>
      <x:c r="B772" s="84" t="n">
        <x:v>11</x:v>
      </x:c>
      <x:c r="C772" s="84" t="n">
        <x:v>2373</x:v>
      </x:c>
      <x:c r="D772" s="89" t="n">
        <x:v>44953.026041666664</x:v>
      </x:c>
      <x:c r="E772" s="84" t="str">
        <x:v>Sensor</x:v>
      </x:c>
      <x:c r="F772" s="84" t="str">
        <x:v>Curto-circuito</x:v>
      </x:c>
      <x:c r="G772" s="84" t="str">
        <x:v>Contaminação</x:v>
      </x:c>
      <x:c r="H772" s="84" t="str">
        <x:v>Baixa</x:v>
      </x:c>
      <x:c r="I772" s="84" t="n">
        <x:v>0</x:v>
      </x:c>
      <x:c r="J772" s="85" t="n">
        <x:v>1</x:v>
      </x:c>
    </x:row>
    <x:row r="773">
      <x:c r="A773" s="83" t="n">
        <x:v>772</x:v>
      </x:c>
      <x:c r="B773" s="84" t="n">
        <x:v>37</x:v>
      </x:c>
      <x:c r="C773" s="84" t="n">
        <x:v>2375</x:v>
      </x:c>
      <x:c r="D773" s="89" t="n">
        <x:v>45919.013032407405</x:v>
      </x:c>
      <x:c r="E773" s="84" t="str">
        <x:v>Válvula</x:v>
      </x:c>
      <x:c r="F773" s="84" t="str">
        <x:v>Travamento</x:v>
      </x:c>
      <x:c r="G773" s="84" t="str">
        <x:v>Conexão frouxa</x:v>
      </x:c>
      <x:c r="H773" s="84" t="str">
        <x:v>Média</x:v>
      </x:c>
      <x:c r="I773" s="84" t="n">
        <x:v>1</x:v>
      </x:c>
      <x:c r="J773" s="85" t="n">
        <x:v>1</x:v>
      </x:c>
    </x:row>
    <x:row r="774">
      <x:c r="A774" s="83" t="n">
        <x:v>773</x:v>
      </x:c>
      <x:c r="B774" s="84" t="n">
        <x:v>24</x:v>
      </x:c>
      <x:c r="C774" s="84" t="n">
        <x:v>2380</x:v>
      </x:c>
      <x:c r="D774" s="89" t="n">
        <x:v>45799.614849537036</x:v>
      </x:c>
      <x:c r="E774" s="84" t="str">
        <x:v>Rolamento</x:v>
      </x:c>
      <x:c r="F774" s="84" t="str">
        <x:v>Travamento</x:v>
      </x:c>
      <x:c r="G774" s="84" t="str">
        <x:v>Componente danificado</x:v>
      </x:c>
      <x:c r="H774" s="84" t="str">
        <x:v>Alta</x:v>
      </x:c>
      <x:c r="I774" s="84" t="n">
        <x:v>0</x:v>
      </x:c>
      <x:c r="J774" s="85" t="n">
        <x:v>1</x:v>
      </x:c>
    </x:row>
    <x:row r="775">
      <x:c r="A775" s="83" t="n">
        <x:v>774</x:v>
      </x:c>
      <x:c r="B775" s="84" t="n">
        <x:v>63</x:v>
      </x:c>
      <x:c r="C775" s="84" t="n">
        <x:v>2382</x:v>
      </x:c>
      <x:c r="D775" s="89" t="n">
        <x:v>45117.71171296296</x:v>
      </x:c>
      <x:c r="E775" s="84" t="str">
        <x:v>CLP</x:v>
      </x:c>
      <x:c r="F775" s="84" t="str">
        <x:v>Quebra</x:v>
      </x:c>
      <x:c r="G775" s="84" t="str">
        <x:v>Falta de lubrificação</x:v>
      </x:c>
      <x:c r="H775" s="84" t="str">
        <x:v>Média</x:v>
      </x:c>
      <x:c r="I775" s="84" t="n">
        <x:v>0</x:v>
      </x:c>
      <x:c r="J775" s="85" t="n">
        <x:v>1</x:v>
      </x:c>
    </x:row>
    <x:row r="776">
      <x:c r="A776" s="83" t="n">
        <x:v>775</x:v>
      </x:c>
      <x:c r="B776" s="84" t="n">
        <x:v>86</x:v>
      </x:c>
      <x:c r="C776" s="84" t="n">
        <x:v>2384</x:v>
      </x:c>
      <x:c r="D776" s="89" t="n">
        <x:v>45227.26199074074</x:v>
      </x:c>
      <x:c r="E776" s="84" t="str">
        <x:v>Motor</x:v>
      </x:c>
      <x:c r="F776" s="84" t="str">
        <x:v>Desgaste</x:v>
      </x:c>
      <x:c r="G776" s="84" t="str">
        <x:v>Componente danificado</x:v>
      </x:c>
      <x:c r="H776" s="84" t="str">
        <x:v>Alta</x:v>
      </x:c>
      <x:c r="I776" s="84" t="n">
        <x:v>0</x:v>
      </x:c>
      <x:c r="J776" s="85" t="n">
        <x:v>1</x:v>
      </x:c>
    </x:row>
    <x:row r="777">
      <x:c r="A777" s="83" t="n">
        <x:v>776</x:v>
      </x:c>
      <x:c r="B777" s="84" t="n">
        <x:v>37</x:v>
      </x:c>
      <x:c r="C777" s="84" t="n">
        <x:v>2394</x:v>
      </x:c>
      <x:c r="D777" s="89" t="n">
        <x:v>45137.829930555556</x:v>
      </x:c>
      <x:c r="E777" s="84" t="str">
        <x:v>Correia</x:v>
      </x:c>
      <x:c r="F777" s="84" t="str">
        <x:v>Curto-circuito</x:v>
      </x:c>
      <x:c r="G777" s="84" t="str">
        <x:v>Contaminação</x:v>
      </x:c>
      <x:c r="H777" s="84" t="str">
        <x:v>Baixa</x:v>
      </x:c>
      <x:c r="I777" s="84" t="n">
        <x:v>1</x:v>
      </x:c>
      <x:c r="J777" s="85" t="n">
        <x:v>1</x:v>
      </x:c>
    </x:row>
    <x:row r="778">
      <x:c r="A778" s="83" t="n">
        <x:v>777</x:v>
      </x:c>
      <x:c r="B778" s="84" t="n">
        <x:v>13</x:v>
      </x:c>
      <x:c r="C778" s="84" t="n">
        <x:v>2399</x:v>
      </x:c>
      <x:c r="D778" s="89" t="n">
        <x:v>45569.56502314815</x:v>
      </x:c>
      <x:c r="E778" s="84" t="str">
        <x:v>Correia</x:v>
      </x:c>
      <x:c r="F778" s="84" t="str">
        <x:v>Curto-circuito</x:v>
      </x:c>
      <x:c r="G778" s="84" t="str">
        <x:v>Falta de lubrificação</x:v>
      </x:c>
      <x:c r="H778" s="84" t="str">
        <x:v>Baixa</x:v>
      </x:c>
      <x:c r="I778" s="84" t="n">
        <x:v>0</x:v>
      </x:c>
      <x:c r="J778" s="85" t="n">
        <x:v>1</x:v>
      </x:c>
    </x:row>
    <x:row r="779">
      <x:c r="A779" s="86" t="n">
        <x:v>778</x:v>
      </x:c>
      <x:c r="B779" s="87" t="n">
        <x:v>44</x:v>
      </x:c>
      <x:c r="C779" s="87" t="n">
        <x:v>2400</x:v>
      </x:c>
      <x:c r="D779" s="90" t="n">
        <x:v>45549.75420138889</x:v>
      </x:c>
      <x:c r="E779" s="87" t="str">
        <x:v>Correia</x:v>
      </x:c>
      <x:c r="F779" s="87" t="str">
        <x:v>Desgaste</x:v>
      </x:c>
      <x:c r="G779" s="87" t="str">
        <x:v>Componente danificado</x:v>
      </x:c>
      <x:c r="H779" s="87" t="str">
        <x:v>Média</x:v>
      </x:c>
      <x:c r="I779" s="87" t="n">
        <x:v>1</x:v>
      </x:c>
      <x:c r="J779" s="88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13" hidden="0" customWidth="1"/>
    <x:col min="3" max="3" width="4.78000020980835" hidden="0" customWidth="1"/>
    <x:col min="4" max="4" width="9" hidden="0" customWidth="1"/>
    <x:col min="5" max="5" width="8.779999732971191" hidden="0" customWidth="1"/>
    <x:col min="6" max="6" width="14.109999656677246" hidden="0" customWidth="1"/>
    <x:col min="7" max="7" width="8" hidden="0" customWidth="1"/>
    <x:col min="8" max="8" width="14.670000076293945" hidden="0" customWidth="1"/>
    <x:col min="9" max="9" width="21.670000076293945" hidden="0" customWidth="1"/>
    <x:col min="10" max="10" width="12.890000343322754" hidden="0" customWidth="1"/>
    <x:col min="11" max="11" width="6.670000076293945" hidden="0" customWidth="1"/>
  </x:cols>
  <x:sheetData>
    <x:row r="1">
      <x:c r="A1" s="80" t="str">
        <x:v>id_parada</x:v>
      </x:c>
      <x:c r="B1" s="81" t="str">
        <x:v>id_equipamento</x:v>
      </x:c>
      <x:c r="C1" s="81" t="str">
        <x:v>id_os</x:v>
      </x:c>
      <x:c r="D1" s="81" t="str">
        <x:v>data_inicio</x:v>
      </x:c>
      <x:c r="E1" s="81" t="str">
        <x:v>data_fim</x:v>
      </x:c>
      <x:c r="F1" s="81" t="str">
        <x:v>duracao_minutos</x:v>
      </x:c>
      <x:c r="G1" s="81" t="str">
        <x:v>planejada</x:v>
      </x:c>
      <x:c r="H1" s="81" t="str">
        <x:v>motivo</x:v>
      </x:c>
      <x:c r="I1" s="81" t="str">
        <x:v>quantidade_nao_produzida</x:v>
      </x:c>
      <x:c r="J1" s="81" t="str">
        <x:v>custo_estimado</x:v>
      </x:c>
      <x:c r="K1" s="82" t="str">
        <x:v>turno</x:v>
      </x:c>
    </x:row>
    <x:row r="2">
      <x:c r="A2" s="83" t="n">
        <x:v>1</x:v>
      </x:c>
      <x:c r="B2" s="84" t="n">
        <x:v>7</x:v>
      </x:c>
      <x:c r="C2" s="84" t="n">
        <x:v>1</x:v>
      </x:c>
      <x:c r="D2" s="89" t="n">
        <x:v>45599.45885416667</x:v>
      </x:c>
      <x:c r="E2" s="89" t="n">
        <x:v>45599.7109375</x:v>
      </x:c>
      <x:c r="F2" s="84" t="n">
        <x:v>363</x:v>
      </x:c>
      <x:c r="G2" s="84" t="n">
        <x:v>1</x:v>
      </x:c>
      <x:c r="H2" s="84" t="str">
        <x:v>Ruído anormal</x:v>
      </x:c>
      <x:c r="I2" s="84" t="n">
        <x:v>847</x:v>
      </x:c>
      <x:c r="J2" s="93" t="n">
        <x:v>20121.73</x:v>
      </x:c>
      <x:c r="K2" s="85" t="str">
        <x:v>2º Turno</x:v>
      </x:c>
    </x:row>
    <x:row r="3">
      <x:c r="A3" s="83" t="n">
        <x:v>2</x:v>
      </x:c>
      <x:c r="B3" s="84" t="n">
        <x:v>1</x:v>
      </x:c>
      <x:c r="C3" s="84" t="n">
        <x:v>3</x:v>
      </x:c>
      <x:c r="D3" s="89" t="n">
        <x:v>45664.01888888889</x:v>
      </x:c>
      <x:c r="E3" s="89" t="n">
        <x:v>45664.22791666666</x:v>
      </x:c>
      <x:c r="F3" s="84" t="n">
        <x:v>301</x:v>
      </x:c>
      <x:c r="G3" s="84" t="n">
        <x:v>1</x:v>
      </x:c>
      <x:c r="H3" s="84" t="str">
        <x:v>Ruído anormal</x:v>
      </x:c>
      <x:c r="I3" s="84" t="n">
        <x:v>652</x:v>
      </x:c>
      <x:c r="J3" s="93" t="n">
        <x:v>14554.45</x:v>
      </x:c>
      <x:c r="K3" s="85" t="str">
        <x:v>1º Turno</x:v>
      </x:c>
    </x:row>
    <x:row r="4">
      <x:c r="A4" s="83" t="n">
        <x:v>3</x:v>
      </x:c>
      <x:c r="B4" s="84" t="n">
        <x:v>11</x:v>
      </x:c>
      <x:c r="C4" s="84" t="n">
        <x:v>4</x:v>
      </x:c>
      <x:c r="D4" s="89" t="n">
        <x:v>45522.55553240741</x:v>
      </x:c>
      <x:c r="E4" s="89" t="n">
        <x:v>45522.9506712963</x:v>
      </x:c>
      <x:c r="F4" s="84" t="n">
        <x:v>569</x:v>
      </x:c>
      <x:c r="G4" s="84" t="n">
        <x:v>1</x:v>
      </x:c>
      <x:c r="H4" s="84" t="str">
        <x:v>Alarme intermitente</x:v>
      </x:c>
      <x:c r="I4" s="84" t="n">
        <x:v>1129</x:v>
      </x:c>
      <x:c r="J4" s="93" t="n">
        <x:v>31953.88</x:v>
      </x:c>
      <x:c r="K4" s="85" t="str">
        <x:v>2º Turno</x:v>
      </x:c>
    </x:row>
    <x:row r="5">
      <x:c r="A5" s="83" t="n">
        <x:v>4</x:v>
      </x:c>
      <x:c r="B5" s="84" t="n">
        <x:v>87</x:v>
      </x:c>
      <x:c r="C5" s="84" t="n">
        <x:v>7</x:v>
      </x:c>
      <x:c r="D5" s="89" t="n">
        <x:v>45514.98054398148</x:v>
      </x:c>
      <x:c r="E5" s="89" t="n">
        <x:v>45515.010405092595</x:v>
      </x:c>
      <x:c r="F5" s="84" t="n">
        <x:v>43</x:v>
      </x:c>
      <x:c r="G5" s="84" t="n">
        <x:v>1</x:v>
      </x:c>
      <x:c r="H5" s="84" t="str">
        <x:v>Falha elétrica</x:v>
      </x:c>
      <x:c r="I5" s="84" t="n">
        <x:v>48</x:v>
      </x:c>
      <x:c r="J5" s="93" t="n">
        <x:v>887.93</x:v>
      </x:c>
      <x:c r="K5" s="85" t="str">
        <x:v>1º Turno</x:v>
      </x:c>
    </x:row>
    <x:row r="6">
      <x:c r="A6" s="83" t="n">
        <x:v>5</x:v>
      </x:c>
      <x:c r="B6" s="84" t="n">
        <x:v>9</x:v>
      </x:c>
      <x:c r="C6" s="84" t="n">
        <x:v>10</x:v>
      </x:c>
      <x:c r="D6" s="89" t="n">
        <x:v>45496.60767361111</x:v>
      </x:c>
      <x:c r="E6" s="89" t="n">
        <x:v>45497.141701388886</x:v>
      </x:c>
      <x:c r="F6" s="84" t="n">
        <x:v>769</x:v>
      </x:c>
      <x:c r="G6" s="84" t="n">
        <x:v>0</x:v>
      </x:c>
      <x:c r="H6" s="84" t="str">
        <x:v>Alarme intermitente</x:v>
      </x:c>
      <x:c r="I6" s="84" t="n">
        <x:v>1025</x:v>
      </x:c>
      <x:c r="J6" s="93" t="n">
        <x:v>10633.7</x:v>
      </x:c>
      <x:c r="K6" s="85" t="str">
        <x:v>1º Turno</x:v>
      </x:c>
    </x:row>
    <x:row r="7">
      <x:c r="A7" s="83" t="n">
        <x:v>6</x:v>
      </x:c>
      <x:c r="B7" s="84" t="n">
        <x:v>73</x:v>
      </x:c>
      <x:c r="C7" s="84" t="n">
        <x:v>11</x:v>
      </x:c>
      <x:c r="D7" s="89" t="n">
        <x:v>45432.82974537037</x:v>
      </x:c>
      <x:c r="E7" s="89" t="n">
        <x:v>45433.274189814816</x:v>
      </x:c>
      <x:c r="F7" s="84" t="n">
        <x:v>640</x:v>
      </x:c>
      <x:c r="G7" s="84" t="n">
        <x:v>1</x:v>
      </x:c>
      <x:c r="H7" s="84" t="str">
        <x:v>Falha elétrica</x:v>
      </x:c>
      <x:c r="I7" s="84" t="n">
        <x:v>725</x:v>
      </x:c>
      <x:c r="J7" s="93" t="n">
        <x:v>28808.26</x:v>
      </x:c>
      <x:c r="K7" s="85" t="str">
        <x:v>2º Turno</x:v>
      </x:c>
    </x:row>
    <x:row r="8">
      <x:c r="A8" s="83" t="n">
        <x:v>7</x:v>
      </x:c>
      <x:c r="B8" s="84" t="n">
        <x:v>27</x:v>
      </x:c>
      <x:c r="C8" s="84" t="n">
        <x:v>12</x:v>
      </x:c>
      <x:c r="D8" s="89" t="n">
        <x:v>45630.80646990741</x:v>
      </x:c>
      <x:c r="E8" s="89" t="n">
        <x:v>45631.13841435185</x:v>
      </x:c>
      <x:c r="F8" s="84" t="n">
        <x:v>478</x:v>
      </x:c>
      <x:c r="G8" s="84" t="n">
        <x:v>1</x:v>
      </x:c>
      <x:c r="H8" s="84" t="str">
        <x:v>Ruído anormal</x:v>
      </x:c>
      <x:c r="I8" s="84" t="n">
        <x:v>773</x:v>
      </x:c>
      <x:c r="J8" s="93" t="n">
        <x:v>16735.72</x:v>
      </x:c>
      <x:c r="K8" s="85" t="str">
        <x:v>1º Turno</x:v>
      </x:c>
    </x:row>
    <x:row r="9">
      <x:c r="A9" s="83" t="n">
        <x:v>8</x:v>
      </x:c>
      <x:c r="B9" s="84" t="n">
        <x:v>80</x:v>
      </x:c>
      <x:c r="C9" s="84" t="n">
        <x:v>13</x:v>
      </x:c>
      <x:c r="D9" s="89" t="n">
        <x:v>45278.86119212963</x:v>
      </x:c>
      <x:c r="E9" s="89" t="n">
        <x:v>45279.22091435185</x:v>
      </x:c>
      <x:c r="F9" s="84" t="n">
        <x:v>518</x:v>
      </x:c>
      <x:c r="G9" s="84" t="n">
        <x:v>1</x:v>
      </x:c>
      <x:c r="H9" s="84" t="str">
        <x:v>Baixa pressão</x:v>
      </x:c>
      <x:c r="I9" s="84" t="n">
        <x:v>1157</x:v>
      </x:c>
      <x:c r="J9" s="93" t="n">
        <x:v>23482.74</x:v>
      </x:c>
      <x:c r="K9" s="85" t="str">
        <x:v>1º Turno</x:v>
      </x:c>
    </x:row>
    <x:row r="10">
      <x:c r="A10" s="83" t="n">
        <x:v>9</x:v>
      </x:c>
      <x:c r="B10" s="84" t="n">
        <x:v>54</x:v>
      </x:c>
      <x:c r="C10" s="84" t="n">
        <x:v>15</x:v>
      </x:c>
      <x:c r="D10" s="89" t="n">
        <x:v>45197.877488425926</x:v>
      </x:c>
      <x:c r="E10" s="89" t="n">
        <x:v>45198.38859953704</x:v>
      </x:c>
      <x:c r="F10" s="84" t="n">
        <x:v>736</x:v>
      </x:c>
      <x:c r="G10" s="84" t="n">
        <x:v>1</x:v>
      </x:c>
      <x:c r="H10" s="84" t="str">
        <x:v>Desalinhamento</x:v>
      </x:c>
      <x:c r="I10" s="84" t="n">
        <x:v>1349</x:v>
      </x:c>
      <x:c r="J10" s="93" t="n">
        <x:v>40309.16</x:v>
      </x:c>
      <x:c r="K10" s="85" t="str">
        <x:v>3º Turno</x:v>
      </x:c>
    </x:row>
    <x:row r="11">
      <x:c r="A11" s="83" t="n">
        <x:v>10</x:v>
      </x:c>
      <x:c r="B11" s="84" t="n">
        <x:v>25</x:v>
      </x:c>
      <x:c r="C11" s="84" t="n">
        <x:v>17</x:v>
      </x:c>
      <x:c r="D11" s="89" t="n">
        <x:v>45309.45174768518</x:v>
      </x:c>
      <x:c r="E11" s="89" t="n">
        <x:v>45310.01008101852</x:v>
      </x:c>
      <x:c r="F11" s="84" t="n">
        <x:v>804</x:v>
      </x:c>
      <x:c r="G11" s="84" t="n">
        <x:v>1</x:v>
      </x:c>
      <x:c r="H11" s="84" t="str">
        <x:v>Ruído anormal</x:v>
      </x:c>
      <x:c r="I11" s="84" t="n">
        <x:v>1983</x:v>
      </x:c>
      <x:c r="J11" s="93" t="n">
        <x:v>40604.81</x:v>
      </x:c>
      <x:c r="K11" s="85" t="str">
        <x:v>3º Turno</x:v>
      </x:c>
    </x:row>
    <x:row r="12">
      <x:c r="A12" s="83" t="n">
        <x:v>11</x:v>
      </x:c>
      <x:c r="B12" s="84" t="n">
        <x:v>45</x:v>
      </x:c>
      <x:c r="C12" s="84" t="n">
        <x:v>18</x:v>
      </x:c>
      <x:c r="D12" s="89" t="n">
        <x:v>45652.92951388889</x:v>
      </x:c>
      <x:c r="E12" s="89" t="n">
        <x:v>45653.08020833333</x:v>
      </x:c>
      <x:c r="F12" s="84" t="n">
        <x:v>217</x:v>
      </x:c>
      <x:c r="G12" s="84" t="n">
        <x:v>1</x:v>
      </x:c>
      <x:c r="H12" s="84" t="str">
        <x:v>Ruído anormal</x:v>
      </x:c>
      <x:c r="I12" s="84" t="n">
        <x:v>398</x:v>
      </x:c>
      <x:c r="J12" s="93" t="n">
        <x:v>10725.9</x:v>
      </x:c>
      <x:c r="K12" s="85" t="str">
        <x:v>1º Turno</x:v>
      </x:c>
    </x:row>
    <x:row r="13">
      <x:c r="A13" s="83" t="n">
        <x:v>12</x:v>
      </x:c>
      <x:c r="B13" s="84" t="n">
        <x:v>48</x:v>
      </x:c>
      <x:c r="C13" s="84" t="n">
        <x:v>19</x:v>
      </x:c>
      <x:c r="D13" s="89" t="n">
        <x:v>45901.767488425925</x:v>
      </x:c>
      <x:c r="E13" s="89" t="n">
        <x:v>45902.187627314815</x:v>
      </x:c>
      <x:c r="F13" s="84" t="n">
        <x:v>605</x:v>
      </x:c>
      <x:c r="G13" s="84" t="n">
        <x:v>1</x:v>
      </x:c>
      <x:c r="H13" s="84" t="str">
        <x:v>Vazamento</x:v>
      </x:c>
      <x:c r="I13" s="84" t="n">
        <x:v>1210</x:v>
      </x:c>
      <x:c r="J13" s="93" t="n">
        <x:v>18146.8</x:v>
      </x:c>
      <x:c r="K13" s="85" t="str">
        <x:v>3º Turno</x:v>
      </x:c>
    </x:row>
    <x:row r="14">
      <x:c r="A14" s="83" t="n">
        <x:v>13</x:v>
      </x:c>
      <x:c r="B14" s="84" t="n">
        <x:v>30</x:v>
      </x:c>
      <x:c r="C14" s="84" t="n">
        <x:v>20</x:v>
      </x:c>
      <x:c r="D14" s="89" t="n">
        <x:v>45210.720185185186</x:v>
      </x:c>
      <x:c r="E14" s="89" t="n">
        <x:v>45210.73546296296</x:v>
      </x:c>
      <x:c r="F14" s="84" t="n">
        <x:v>22</x:v>
      </x:c>
      <x:c r="G14" s="84" t="n">
        <x:v>0</x:v>
      </x:c>
      <x:c r="H14" s="84" t="str">
        <x:v>Baixa pressão</x:v>
      </x:c>
      <x:c r="I14" s="84" t="n">
        <x:v>47</x:v>
      </x:c>
      <x:c r="J14" s="93" t="n">
        <x:v>1002.24</x:v>
      </x:c>
      <x:c r="K14" s="85" t="str">
        <x:v>1º Turno</x:v>
      </x:c>
    </x:row>
    <x:row r="15">
      <x:c r="A15" s="83" t="n">
        <x:v>14</x:v>
      </x:c>
      <x:c r="B15" s="84" t="n">
        <x:v>73</x:v>
      </x:c>
      <x:c r="C15" s="84" t="n">
        <x:v>21</x:v>
      </x:c>
      <x:c r="D15" s="89" t="n">
        <x:v>45154.96368055556</x:v>
      </x:c>
      <x:c r="E15" s="89" t="n">
        <x:v>45155.17618055556</x:v>
      </x:c>
      <x:c r="F15" s="84" t="n">
        <x:v>306</x:v>
      </x:c>
      <x:c r="G15" s="84" t="n">
        <x:v>1</x:v>
      </x:c>
      <x:c r="H15" s="84" t="str">
        <x:v>Baixa pressão</x:v>
      </x:c>
      <x:c r="I15" s="84" t="n">
        <x:v>398</x:v>
      </x:c>
      <x:c r="J15" s="93" t="n">
        <x:v>4348.01</x:v>
      </x:c>
      <x:c r="K15" s="85" t="str">
        <x:v>3º Turno</x:v>
      </x:c>
    </x:row>
    <x:row r="16">
      <x:c r="A16" s="83" t="n">
        <x:v>15</x:v>
      </x:c>
      <x:c r="B16" s="84" t="n">
        <x:v>87</x:v>
      </x:c>
      <x:c r="C16" s="84" t="n">
        <x:v>22</x:v>
      </x:c>
      <x:c r="D16" s="89" t="n">
        <x:v>46000.6384837963</x:v>
      </x:c>
      <x:c r="E16" s="89" t="n">
        <x:v>46000.79195601852</x:v>
      </x:c>
      <x:c r="F16" s="84" t="n">
        <x:v>221</x:v>
      </x:c>
      <x:c r="G16" s="84" t="n">
        <x:v>0</x:v>
      </x:c>
      <x:c r="H16" s="84" t="str">
        <x:v>Falha elétrica</x:v>
      </x:c>
      <x:c r="I16" s="84" t="n">
        <x:v>284</x:v>
      </x:c>
      <x:c r="J16" s="93" t="n">
        <x:v>8671.44</x:v>
      </x:c>
      <x:c r="K16" s="85" t="str">
        <x:v>3º Turno</x:v>
      </x:c>
    </x:row>
    <x:row r="17">
      <x:c r="A17" s="83" t="n">
        <x:v>16</x:v>
      </x:c>
      <x:c r="B17" s="84" t="n">
        <x:v>62</x:v>
      </x:c>
      <x:c r="C17" s="84" t="n">
        <x:v>23</x:v>
      </x:c>
      <x:c r="D17" s="89" t="n">
        <x:v>45407.88318287037</x:v>
      </x:c>
      <x:c r="E17" s="89" t="n">
        <x:v>45408.37068287037</x:v>
      </x:c>
      <x:c r="F17" s="84" t="n">
        <x:v>702</x:v>
      </x:c>
      <x:c r="G17" s="84" t="n">
        <x:v>0</x:v>
      </x:c>
      <x:c r="H17" s="84" t="str">
        <x:v>Falha elétrica</x:v>
      </x:c>
      <x:c r="I17" s="84" t="n">
        <x:v>1053</x:v>
      </x:c>
      <x:c r="J17" s="93" t="n">
        <x:v>25641.29</x:v>
      </x:c>
      <x:c r="K17" s="85" t="str">
        <x:v>1º Turno</x:v>
      </x:c>
    </x:row>
    <x:row r="18">
      <x:c r="A18" s="83" t="n">
        <x:v>17</x:v>
      </x:c>
      <x:c r="B18" s="84" t="n">
        <x:v>76</x:v>
      </x:c>
      <x:c r="C18" s="84" t="n">
        <x:v>24</x:v>
      </x:c>
      <x:c r="D18" s="89" t="n">
        <x:v>45850.33300925926</x:v>
      </x:c>
      <x:c r="E18" s="89" t="n">
        <x:v>45850.50939814815</x:v>
      </x:c>
      <x:c r="F18" s="84" t="n">
        <x:v>254</x:v>
      </x:c>
      <x:c r="G18" s="84" t="n">
        <x:v>0</x:v>
      </x:c>
      <x:c r="H18" s="84" t="str">
        <x:v>Vazamento</x:v>
      </x:c>
      <x:c r="I18" s="84" t="n">
        <x:v>559</x:v>
      </x:c>
      <x:c r="J18" s="93" t="n">
        <x:v>7452.36</x:v>
      </x:c>
      <x:c r="K18" s="85" t="str">
        <x:v>1º Turno</x:v>
      </x:c>
    </x:row>
    <x:row r="19">
      <x:c r="A19" s="83" t="n">
        <x:v>18</x:v>
      </x:c>
      <x:c r="B19" s="84" t="n">
        <x:v>66</x:v>
      </x:c>
      <x:c r="C19" s="84" t="n">
        <x:v>26</x:v>
      </x:c>
      <x:c r="D19" s="89" t="n">
        <x:v>45038.228125</x:v>
      </x:c>
      <x:c r="E19" s="89" t="n">
        <x:v>45038.31354166667</x:v>
      </x:c>
      <x:c r="F19" s="84" t="n">
        <x:v>123</x:v>
      </x:c>
      <x:c r="G19" s="84" t="n">
        <x:v>1</x:v>
      </x:c>
      <x:c r="H19" s="84" t="str">
        <x:v>Vazamento</x:v>
      </x:c>
      <x:c r="I19" s="84" t="n">
        <x:v>279</x:v>
      </x:c>
      <x:c r="J19" s="93" t="n">
        <x:v>6450.04</x:v>
      </x:c>
      <x:c r="K19" s="85" t="str">
        <x:v>2º Turno</x:v>
      </x:c>
    </x:row>
    <x:row r="20">
      <x:c r="A20" s="83" t="n">
        <x:v>19</x:v>
      </x:c>
      <x:c r="B20" s="84" t="n">
        <x:v>79</x:v>
      </x:c>
      <x:c r="C20" s="84" t="n">
        <x:v>27</x:v>
      </x:c>
      <x:c r="D20" s="89" t="n">
        <x:v>45857.068773148145</x:v>
      </x:c>
      <x:c r="E20" s="89" t="n">
        <x:v>45857.275717592594</x:v>
      </x:c>
      <x:c r="F20" s="84" t="n">
        <x:v>298</x:v>
      </x:c>
      <x:c r="G20" s="84" t="n">
        <x:v>0</x:v>
      </x:c>
      <x:c r="H20" s="84" t="str">
        <x:v>Vazamento</x:v>
      </x:c>
      <x:c r="I20" s="84" t="n">
        <x:v>348</x:v>
      </x:c>
      <x:c r="J20" s="93" t="n">
        <x:v>17228.99</x:v>
      </x:c>
      <x:c r="K20" s="85" t="str">
        <x:v>3º Turno</x:v>
      </x:c>
    </x:row>
    <x:row r="21">
      <x:c r="A21" s="83" t="n">
        <x:v>20</x:v>
      </x:c>
      <x:c r="B21" s="84" t="n">
        <x:v>49</x:v>
      </x:c>
      <x:c r="C21" s="84" t="n">
        <x:v>28</x:v>
      </x:c>
      <x:c r="D21" s="89" t="n">
        <x:v>45993.47730324074</x:v>
      </x:c>
      <x:c r="E21" s="89" t="n">
        <x:v>45993.73841435185</x:v>
      </x:c>
      <x:c r="F21" s="84" t="n">
        <x:v>376</x:v>
      </x:c>
      <x:c r="G21" s="84" t="n">
        <x:v>0</x:v>
      </x:c>
      <x:c r="H21" s="84" t="str">
        <x:v>Ruído anormal</x:v>
      </x:c>
      <x:c r="I21" s="84" t="n">
        <x:v>746</x:v>
      </x:c>
      <x:c r="J21" s="93" t="n">
        <x:v>6353.72</x:v>
      </x:c>
      <x:c r="K21" s="85" t="str">
        <x:v>2º Turno</x:v>
      </x:c>
    </x:row>
    <x:row r="22">
      <x:c r="A22" s="83" t="n">
        <x:v>21</x:v>
      </x:c>
      <x:c r="B22" s="84" t="n">
        <x:v>34</x:v>
      </x:c>
      <x:c r="C22" s="84" t="n">
        <x:v>30</x:v>
      </x:c>
      <x:c r="D22" s="89" t="n">
        <x:v>45669.816296296296</x:v>
      </x:c>
      <x:c r="E22" s="89" t="n">
        <x:v>45670.11976851852</x:v>
      </x:c>
      <x:c r="F22" s="84" t="n">
        <x:v>437</x:v>
      </x:c>
      <x:c r="G22" s="84" t="n">
        <x:v>1</x:v>
      </x:c>
      <x:c r="H22" s="84" t="str">
        <x:v>Falha elétrica</x:v>
      </x:c>
      <x:c r="I22" s="84" t="n">
        <x:v>1085</x:v>
      </x:c>
      <x:c r="J22" s="93" t="n">
        <x:v>20532.56</x:v>
      </x:c>
      <x:c r="K22" s="85" t="str">
        <x:v>2º Turno</x:v>
      </x:c>
    </x:row>
    <x:row r="23">
      <x:c r="A23" s="83" t="n">
        <x:v>22</x:v>
      </x:c>
      <x:c r="B23" s="84" t="n">
        <x:v>73</x:v>
      </x:c>
      <x:c r="C23" s="84" t="n">
        <x:v>31</x:v>
      </x:c>
      <x:c r="D23" s="89" t="n">
        <x:v>45559.98920138889</x:v>
      </x:c>
      <x:c r="E23" s="89" t="n">
        <x:v>45560.34475694445</x:v>
      </x:c>
      <x:c r="F23" s="84" t="n">
        <x:v>512</x:v>
      </x:c>
      <x:c r="G23" s="84" t="n">
        <x:v>1</x:v>
      </x:c>
      <x:c r="H23" s="84" t="str">
        <x:v>Falha elétrica</x:v>
      </x:c>
      <x:c r="I23" s="84" t="n">
        <x:v>546</x:v>
      </x:c>
      <x:c r="J23" s="93" t="n">
        <x:v>29024.19</x:v>
      </x:c>
      <x:c r="K23" s="85" t="str">
        <x:v>3º Turno</x:v>
      </x:c>
    </x:row>
    <x:row r="24">
      <x:c r="A24" s="83" t="n">
        <x:v>23</x:v>
      </x:c>
      <x:c r="B24" s="84" t="n">
        <x:v>45</x:v>
      </x:c>
      <x:c r="C24" s="84" t="n">
        <x:v>32</x:v>
      </x:c>
      <x:c r="D24" s="89" t="n">
        <x:v>45787.39974537037</x:v>
      </x:c>
      <x:c r="E24" s="89" t="n">
        <x:v>45787.9955787037</x:v>
      </x:c>
      <x:c r="F24" s="84" t="n">
        <x:v>858</x:v>
      </x:c>
      <x:c r="G24" s="84" t="n">
        <x:v>0</x:v>
      </x:c>
      <x:c r="H24" s="84" t="str">
        <x:v>Falha elétrica</x:v>
      </x:c>
      <x:c r="I24" s="84" t="n">
        <x:v>901</x:v>
      </x:c>
      <x:c r="J24" s="93" t="n">
        <x:v>37592.83</x:v>
      </x:c>
      <x:c r="K24" s="85" t="str">
        <x:v>1º Turno</x:v>
      </x:c>
    </x:row>
    <x:row r="25">
      <x:c r="A25" s="83" t="n">
        <x:v>24</x:v>
      </x:c>
      <x:c r="B25" s="84" t="n">
        <x:v>6</x:v>
      </x:c>
      <x:c r="C25" s="84" t="n">
        <x:v>35</x:v>
      </x:c>
      <x:c r="D25" s="89" t="n">
        <x:v>45427.46686342593</x:v>
      </x:c>
      <x:c r="E25" s="89" t="n">
        <x:v>45428.05019675926</x:v>
      </x:c>
      <x:c r="F25" s="84" t="n">
        <x:v>840</x:v>
      </x:c>
      <x:c r="G25" s="84" t="n">
        <x:v>1</x:v>
      </x:c>
      <x:c r="H25" s="84" t="str">
        <x:v>Alarme intermitente</x:v>
      </x:c>
      <x:c r="I25" s="84" t="n">
        <x:v>2072</x:v>
      </x:c>
      <x:c r="J25" s="93" t="n">
        <x:v>28976.6</x:v>
      </x:c>
      <x:c r="K25" s="85" t="str">
        <x:v>1º Turno</x:v>
      </x:c>
    </x:row>
    <x:row r="26">
      <x:c r="A26" s="83" t="n">
        <x:v>25</x:v>
      </x:c>
      <x:c r="B26" s="84" t="n">
        <x:v>56</x:v>
      </x:c>
      <x:c r="C26" s="84" t="n">
        <x:v>38</x:v>
      </x:c>
      <x:c r="D26" s="89" t="n">
        <x:v>45292.61886574074</x:v>
      </x:c>
      <x:c r="E26" s="89" t="n">
        <x:v>45292.66469907408</x:v>
      </x:c>
      <x:c r="F26" s="84" t="n">
        <x:v>66</x:v>
      </x:c>
      <x:c r="G26" s="84" t="n">
        <x:v>1</x:v>
      </x:c>
      <x:c r="H26" s="84" t="str">
        <x:v>Superaquecimento</x:v>
      </x:c>
      <x:c r="I26" s="84" t="n">
        <x:v>101</x:v>
      </x:c>
      <x:c r="J26" s="93" t="n">
        <x:v>1793.66</x:v>
      </x:c>
      <x:c r="K26" s="85" t="str">
        <x:v>3º Turno</x:v>
      </x:c>
    </x:row>
    <x:row r="27">
      <x:c r="A27" s="83" t="n">
        <x:v>26</x:v>
      </x:c>
      <x:c r="B27" s="84" t="n">
        <x:v>59</x:v>
      </x:c>
      <x:c r="C27" s="84" t="n">
        <x:v>41</x:v>
      </x:c>
      <x:c r="D27" s="89" t="n">
        <x:v>45564.934270833335</x:v>
      </x:c>
      <x:c r="E27" s="89" t="n">
        <x:v>45565.26899305556</x:v>
      </x:c>
      <x:c r="F27" s="84" t="n">
        <x:v>482</x:v>
      </x:c>
      <x:c r="G27" s="84" t="n">
        <x:v>0</x:v>
      </x:c>
      <x:c r="H27" s="84" t="str">
        <x:v>Falha elétrica</x:v>
      </x:c>
      <x:c r="I27" s="84" t="n">
        <x:v>1044</x:v>
      </x:c>
      <x:c r="J27" s="93" t="n">
        <x:v>14701.89</x:v>
      </x:c>
      <x:c r="K27" s="85" t="str">
        <x:v>1º Turno</x:v>
      </x:c>
    </x:row>
    <x:row r="28">
      <x:c r="A28" s="83" t="n">
        <x:v>27</x:v>
      </x:c>
      <x:c r="B28" s="84" t="n">
        <x:v>42</x:v>
      </x:c>
      <x:c r="C28" s="84" t="n">
        <x:v>43</x:v>
      </x:c>
      <x:c r="D28" s="89" t="n">
        <x:v>45058.16018518519</x:v>
      </x:c>
      <x:c r="E28" s="89" t="n">
        <x:v>45058.371296296296</x:v>
      </x:c>
      <x:c r="F28" s="84" t="n">
        <x:v>304</x:v>
      </x:c>
      <x:c r="G28" s="84" t="n">
        <x:v>0</x:v>
      </x:c>
      <x:c r="H28" s="84" t="str">
        <x:v>Falha elétrica</x:v>
      </x:c>
      <x:c r="I28" s="84" t="n">
        <x:v>329</x:v>
      </x:c>
      <x:c r="J28" s="93" t="n">
        <x:v>11750.24</x:v>
      </x:c>
      <x:c r="K28" s="85" t="str">
        <x:v>3º Turno</x:v>
      </x:c>
    </x:row>
    <x:row r="29">
      <x:c r="A29" s="83" t="n">
        <x:v>28</x:v>
      </x:c>
      <x:c r="B29" s="84" t="n">
        <x:v>12</x:v>
      </x:c>
      <x:c r="C29" s="84" t="n">
        <x:v>44</x:v>
      </x:c>
      <x:c r="D29" s="89" t="n">
        <x:v>45570.45081018518</x:v>
      </x:c>
      <x:c r="E29" s="89" t="n">
        <x:v>45570.47789351852</x:v>
      </x:c>
      <x:c r="F29" s="84" t="n">
        <x:v>39</x:v>
      </x:c>
      <x:c r="G29" s="84" t="n">
        <x:v>1</x:v>
      </x:c>
      <x:c r="H29" s="84" t="str">
        <x:v>Falha elétrica</x:v>
      </x:c>
      <x:c r="I29" s="84" t="n">
        <x:v>82</x:v>
      </x:c>
      <x:c r="J29" s="93" t="n">
        <x:v>1835.93</x:v>
      </x:c>
      <x:c r="K29" s="85" t="str">
        <x:v>2º Turno</x:v>
      </x:c>
    </x:row>
    <x:row r="30">
      <x:c r="A30" s="83" t="n">
        <x:v>29</x:v>
      </x:c>
      <x:c r="B30" s="84" t="n">
        <x:v>1</x:v>
      </x:c>
      <x:c r="C30" s="84" t="n">
        <x:v>46</x:v>
      </x:c>
      <x:c r="D30" s="89" t="n">
        <x:v>45074.72420138889</x:v>
      </x:c>
      <x:c r="E30" s="89" t="n">
        <x:v>45075.197118055556</x:v>
      </x:c>
      <x:c r="F30" s="84" t="n">
        <x:v>681</x:v>
      </x:c>
      <x:c r="G30" s="84" t="n">
        <x:v>1</x:v>
      </x:c>
      <x:c r="H30" s="84" t="str">
        <x:v>Falha elétrica</x:v>
      </x:c>
      <x:c r="I30" s="84" t="n">
        <x:v>999</x:v>
      </x:c>
      <x:c r="J30" s="93" t="n">
        <x:v>10454.16</x:v>
      </x:c>
      <x:c r="K30" s="85" t="str">
        <x:v>2º Turno</x:v>
      </x:c>
    </x:row>
    <x:row r="31">
      <x:c r="A31" s="83" t="n">
        <x:v>30</x:v>
      </x:c>
      <x:c r="B31" s="84" t="n">
        <x:v>9</x:v>
      </x:c>
      <x:c r="C31" s="84" t="n">
        <x:v>47</x:v>
      </x:c>
      <x:c r="D31" s="89" t="n">
        <x:v>45002.65783564815</x:v>
      </x:c>
      <x:c r="E31" s="89" t="n">
        <x:v>45002.96408564815</x:v>
      </x:c>
      <x:c r="F31" s="84" t="n">
        <x:v>441</x:v>
      </x:c>
      <x:c r="G31" s="84" t="n">
        <x:v>1</x:v>
      </x:c>
      <x:c r="H31" s="84" t="str">
        <x:v>Vazamento</x:v>
      </x:c>
      <x:c r="I31" s="84" t="n">
        <x:v>441</x:v>
      </x:c>
      <x:c r="J31" s="93" t="n">
        <x:v>13405.84</x:v>
      </x:c>
      <x:c r="K31" s="85" t="str">
        <x:v>2º Turno</x:v>
      </x:c>
    </x:row>
    <x:row r="32">
      <x:c r="A32" s="83" t="n">
        <x:v>31</x:v>
      </x:c>
      <x:c r="B32" s="84" t="n">
        <x:v>67</x:v>
      </x:c>
      <x:c r="C32" s="84" t="n">
        <x:v>48</x:v>
      </x:c>
      <x:c r="D32" s="89" t="n">
        <x:v>45979.20291666667</x:v>
      </x:c>
      <x:c r="E32" s="89" t="n">
        <x:v>45979.24527777778</x:v>
      </x:c>
      <x:c r="F32" s="84" t="n">
        <x:v>61</x:v>
      </x:c>
      <x:c r="G32" s="84" t="n">
        <x:v>1</x:v>
      </x:c>
      <x:c r="H32" s="84" t="str">
        <x:v>Falha elétrica</x:v>
      </x:c>
      <x:c r="I32" s="84" t="n">
        <x:v>137</x:v>
      </x:c>
      <x:c r="J32" s="93" t="n">
        <x:v>1871.39</x:v>
      </x:c>
      <x:c r="K32" s="85" t="str">
        <x:v>2º Turno</x:v>
      </x:c>
    </x:row>
    <x:row r="33">
      <x:c r="A33" s="83" t="n">
        <x:v>32</x:v>
      </x:c>
      <x:c r="B33" s="84" t="n">
        <x:v>81</x:v>
      </x:c>
      <x:c r="C33" s="84" t="n">
        <x:v>53</x:v>
      </x:c>
      <x:c r="D33" s="89" t="n">
        <x:v>45861.77711805556</x:v>
      </x:c>
      <x:c r="E33" s="89" t="n">
        <x:v>45862.2778125</x:v>
      </x:c>
      <x:c r="F33" s="84" t="n">
        <x:v>721</x:v>
      </x:c>
      <x:c r="G33" s="84" t="n">
        <x:v>1</x:v>
      </x:c>
      <x:c r="H33" s="84" t="str">
        <x:v>Superaquecimento</x:v>
      </x:c>
      <x:c r="I33" s="84" t="n">
        <x:v>1586</x:v>
      </x:c>
      <x:c r="J33" s="93" t="n">
        <x:v>40364.48</x:v>
      </x:c>
      <x:c r="K33" s="85" t="str">
        <x:v>1º Turno</x:v>
      </x:c>
    </x:row>
    <x:row r="34">
      <x:c r="A34" s="83" t="n">
        <x:v>33</x:v>
      </x:c>
      <x:c r="B34" s="84" t="n">
        <x:v>15</x:v>
      </x:c>
      <x:c r="C34" s="84" t="n">
        <x:v>55</x:v>
      </x:c>
      <x:c r="D34" s="89" t="n">
        <x:v>45368.08261574074</x:v>
      </x:c>
      <x:c r="E34" s="89" t="n">
        <x:v>45368.105532407404</x:v>
      </x:c>
      <x:c r="F34" s="84" t="n">
        <x:v>33</x:v>
      </x:c>
      <x:c r="G34" s="84" t="n">
        <x:v>1</x:v>
      </x:c>
      <x:c r="H34" s="84" t="str">
        <x:v>Superaquecimento</x:v>
      </x:c>
      <x:c r="I34" s="84" t="n">
        <x:v>53</x:v>
      </x:c>
      <x:c r="J34" s="93" t="n">
        <x:v>1895.64</x:v>
      </x:c>
      <x:c r="K34" s="85" t="str">
        <x:v>3º Turno</x:v>
      </x:c>
    </x:row>
    <x:row r="35">
      <x:c r="A35" s="83" t="n">
        <x:v>34</x:v>
      </x:c>
      <x:c r="B35" s="84" t="n">
        <x:v>21</x:v>
      </x:c>
      <x:c r="C35" s="84" t="n">
        <x:v>56</x:v>
      </x:c>
      <x:c r="D35" s="89" t="n">
        <x:v>44957.50677083333</x:v>
      </x:c>
      <x:c r="E35" s="89" t="n">
        <x:v>44957.61232638889</x:v>
      </x:c>
      <x:c r="F35" s="84" t="n">
        <x:v>152</x:v>
      </x:c>
      <x:c r="G35" s="84" t="n">
        <x:v>0</x:v>
      </x:c>
      <x:c r="H35" s="84" t="str">
        <x:v>Falha elétrica</x:v>
      </x:c>
      <x:c r="I35" s="84" t="n">
        <x:v>314</x:v>
      </x:c>
      <x:c r="J35" s="93" t="n">
        <x:v>6526.17</x:v>
      </x:c>
      <x:c r="K35" s="85" t="str">
        <x:v>3º Turno</x:v>
      </x:c>
    </x:row>
    <x:row r="36">
      <x:c r="A36" s="83" t="n">
        <x:v>35</x:v>
      </x:c>
      <x:c r="B36" s="84" t="n">
        <x:v>60</x:v>
      </x:c>
      <x:c r="C36" s="84" t="n">
        <x:v>57</x:v>
      </x:c>
      <x:c r="D36" s="89" t="n">
        <x:v>44979.52386574074</x:v>
      </x:c>
      <x:c r="E36" s="89" t="n">
        <x:v>44979.8419212963</x:v>
      </x:c>
      <x:c r="F36" s="84" t="n">
        <x:v>458</x:v>
      </x:c>
      <x:c r="G36" s="84" t="n">
        <x:v>0</x:v>
      </x:c>
      <x:c r="H36" s="84" t="str">
        <x:v>Alarme intermitente</x:v>
      </x:c>
      <x:c r="I36" s="84" t="n">
        <x:v>794</x:v>
      </x:c>
      <x:c r="J36" s="93" t="n">
        <x:v>26161.08</x:v>
      </x:c>
      <x:c r="K36" s="85" t="str">
        <x:v>1º Turno</x:v>
      </x:c>
    </x:row>
    <x:row r="37">
      <x:c r="A37" s="83" t="n">
        <x:v>36</x:v>
      </x:c>
      <x:c r="B37" s="84" t="n">
        <x:v>47</x:v>
      </x:c>
      <x:c r="C37" s="84" t="n">
        <x:v>58</x:v>
      </x:c>
      <x:c r="D37" s="89" t="n">
        <x:v>44935.61381944444</x:v>
      </x:c>
      <x:c r="E37" s="89" t="n">
        <x:v>44936.09923611111</x:v>
      </x:c>
      <x:c r="F37" s="84" t="n">
        <x:v>699</x:v>
      </x:c>
      <x:c r="G37" s="84" t="n">
        <x:v>1</x:v>
      </x:c>
      <x:c r="H37" s="84" t="str">
        <x:v>Vazamento</x:v>
      </x:c>
      <x:c r="I37" s="84" t="n">
        <x:v>1433</x:v>
      </x:c>
      <x:c r="J37" s="93" t="n">
        <x:v>11423.48</x:v>
      </x:c>
      <x:c r="K37" s="85" t="str">
        <x:v>2º Turno</x:v>
      </x:c>
    </x:row>
    <x:row r="38">
      <x:c r="A38" s="83" t="n">
        <x:v>37</x:v>
      </x:c>
      <x:c r="B38" s="84" t="n">
        <x:v>82</x:v>
      </x:c>
      <x:c r="C38" s="84" t="n">
        <x:v>60</x:v>
      </x:c>
      <x:c r="D38" s="89" t="n">
        <x:v>45332.72440972222</x:v>
      </x:c>
      <x:c r="E38" s="89" t="n">
        <x:v>45333.302881944444</x:v>
      </x:c>
      <x:c r="F38" s="84" t="n">
        <x:v>833</x:v>
      </x:c>
      <x:c r="G38" s="84" t="n">
        <x:v>1</x:v>
      </x:c>
      <x:c r="H38" s="84" t="str">
        <x:v>Falha elétrica</x:v>
      </x:c>
      <x:c r="I38" s="84" t="n">
        <x:v>1444</x:v>
      </x:c>
      <x:c r="J38" s="93" t="n">
        <x:v>12385.75</x:v>
      </x:c>
      <x:c r="K38" s="85" t="str">
        <x:v>3º Turno</x:v>
      </x:c>
    </x:row>
    <x:row r="39">
      <x:c r="A39" s="83" t="n">
        <x:v>38</x:v>
      </x:c>
      <x:c r="B39" s="84" t="n">
        <x:v>72</x:v>
      </x:c>
      <x:c r="C39" s="84" t="n">
        <x:v>61</x:v>
      </x:c>
      <x:c r="D39" s="89" t="n">
        <x:v>45149.30291666667</x:v>
      </x:c>
      <x:c r="E39" s="89" t="n">
        <x:v>45149.65430555555</x:v>
      </x:c>
      <x:c r="F39" s="84" t="n">
        <x:v>506</x:v>
      </x:c>
      <x:c r="G39" s="84" t="n">
        <x:v>1</x:v>
      </x:c>
      <x:c r="H39" s="84" t="str">
        <x:v>Baixa pressão</x:v>
      </x:c>
      <x:c r="I39" s="84" t="n">
        <x:v>649</x:v>
      </x:c>
      <x:c r="J39" s="93" t="n">
        <x:v>29231.92</x:v>
      </x:c>
      <x:c r="K39" s="85" t="str">
        <x:v>2º Turno</x:v>
      </x:c>
    </x:row>
    <x:row r="40">
      <x:c r="A40" s="83" t="n">
        <x:v>39</x:v>
      </x:c>
      <x:c r="B40" s="84" t="n">
        <x:v>17</x:v>
      </x:c>
      <x:c r="C40" s="84" t="n">
        <x:v>62</x:v>
      </x:c>
      <x:c r="D40" s="89" t="n">
        <x:v>45261.498032407406</x:v>
      </x:c>
      <x:c r="E40" s="89" t="n">
        <x:v>45261.90358796297</x:v>
      </x:c>
      <x:c r="F40" s="84" t="n">
        <x:v>584</x:v>
      </x:c>
      <x:c r="G40" s="84" t="n">
        <x:v>1</x:v>
      </x:c>
      <x:c r="H40" s="84" t="str">
        <x:v>Falha elétrica</x:v>
      </x:c>
      <x:c r="I40" s="84" t="n">
        <x:v>973</x:v>
      </x:c>
      <x:c r="J40" s="93" t="n">
        <x:v>13564.35</x:v>
      </x:c>
      <x:c r="K40" s="85" t="str">
        <x:v>1º Turno</x:v>
      </x:c>
    </x:row>
    <x:row r="41">
      <x:c r="A41" s="83" t="n">
        <x:v>40</x:v>
      </x:c>
      <x:c r="B41" s="84" t="n">
        <x:v>56</x:v>
      </x:c>
      <x:c r="C41" s="84" t="n">
        <x:v>63</x:v>
      </x:c>
      <x:c r="D41" s="89" t="n">
        <x:v>45711.73954861111</x:v>
      </x:c>
      <x:c r="E41" s="89" t="n">
        <x:v>45712.35760416667</x:v>
      </x:c>
      <x:c r="F41" s="84" t="n">
        <x:v>890</x:v>
      </x:c>
      <x:c r="G41" s="84" t="n">
        <x:v>1</x:v>
      </x:c>
      <x:c r="H41" s="84" t="str">
        <x:v>Desalinhamento</x:v>
      </x:c>
      <x:c r="I41" s="84" t="n">
        <x:v>1439</x:v>
      </x:c>
      <x:c r="J41" s="93" t="n">
        <x:v>16545.74</x:v>
      </x:c>
      <x:c r="K41" s="85" t="str">
        <x:v>3º Turno</x:v>
      </x:c>
    </x:row>
    <x:row r="42">
      <x:c r="A42" s="83" t="n">
        <x:v>41</x:v>
      </x:c>
      <x:c r="B42" s="84" t="n">
        <x:v>40</x:v>
      </x:c>
      <x:c r="C42" s="84" t="n">
        <x:v>64</x:v>
      </x:c>
      <x:c r="D42" s="89" t="n">
        <x:v>45851.705983796295</x:v>
      </x:c>
      <x:c r="E42" s="89" t="n">
        <x:v>45851.85737268518</x:v>
      </x:c>
      <x:c r="F42" s="84" t="n">
        <x:v>218</x:v>
      </x:c>
      <x:c r="G42" s="84" t="n">
        <x:v>1</x:v>
      </x:c>
      <x:c r="H42" s="84" t="str">
        <x:v>Alarme intermitente</x:v>
      </x:c>
      <x:c r="I42" s="84" t="n">
        <x:v>403</x:v>
      </x:c>
      <x:c r="J42" s="93" t="n">
        <x:v>8778.15</x:v>
      </x:c>
      <x:c r="K42" s="85" t="str">
        <x:v>3º Turno</x:v>
      </x:c>
    </x:row>
    <x:row r="43">
      <x:c r="A43" s="83" t="n">
        <x:v>42</x:v>
      </x:c>
      <x:c r="B43" s="84" t="n">
        <x:v>86</x:v>
      </x:c>
      <x:c r="C43" s="84" t="n">
        <x:v>67</x:v>
      </x:c>
      <x:c r="D43" s="89" t="n">
        <x:v>45222.173125</x:v>
      </x:c>
      <x:c r="E43" s="89" t="n">
        <x:v>45222.243263888886</x:v>
      </x:c>
      <x:c r="F43" s="84" t="n">
        <x:v>101</x:v>
      </x:c>
      <x:c r="G43" s="84" t="n">
        <x:v>1</x:v>
      </x:c>
      <x:c r="H43" s="84" t="str">
        <x:v>Baixa pressão</x:v>
      </x:c>
      <x:c r="I43" s="84" t="n">
        <x:v>167</x:v>
      </x:c>
      <x:c r="J43" s="93" t="n">
        <x:v>2307.86</x:v>
      </x:c>
      <x:c r="K43" s="85" t="str">
        <x:v>1º Turno</x:v>
      </x:c>
    </x:row>
    <x:row r="44">
      <x:c r="A44" s="83" t="n">
        <x:v>43</x:v>
      </x:c>
      <x:c r="B44" s="84" t="n">
        <x:v>8</x:v>
      </x:c>
      <x:c r="C44" s="84" t="n">
        <x:v>68</x:v>
      </x:c>
      <x:c r="D44" s="89" t="n">
        <x:v>45279.61277777778</x:v>
      </x:c>
      <x:c r="E44" s="89" t="n">
        <x:v>45279.952361111114</x:v>
      </x:c>
      <x:c r="F44" s="84" t="n">
        <x:v>489</x:v>
      </x:c>
      <x:c r="G44" s="84" t="n">
        <x:v>0</x:v>
      </x:c>
      <x:c r="H44" s="84" t="str">
        <x:v>Alarme intermitente</x:v>
      </x:c>
      <x:c r="I44" s="84" t="n">
        <x:v>734</x:v>
      </x:c>
      <x:c r="J44" s="93" t="n">
        <x:v>10357.1</x:v>
      </x:c>
      <x:c r="K44" s="85" t="str">
        <x:v>3º Turno</x:v>
      </x:c>
    </x:row>
    <x:row r="45">
      <x:c r="A45" s="83" t="n">
        <x:v>44</x:v>
      </x:c>
      <x:c r="B45" s="84" t="n">
        <x:v>22</x:v>
      </x:c>
      <x:c r="C45" s="84" t="n">
        <x:v>69</x:v>
      </x:c>
      <x:c r="D45" s="89" t="n">
        <x:v>45761.040300925924</x:v>
      </x:c>
      <x:c r="E45" s="89" t="n">
        <x:v>45761.29099537037</x:v>
      </x:c>
      <x:c r="F45" s="84" t="n">
        <x:v>361</x:v>
      </x:c>
      <x:c r="G45" s="84" t="n">
        <x:v>1</x:v>
      </x:c>
      <x:c r="H45" s="84" t="str">
        <x:v>Ruído anormal</x:v>
      </x:c>
      <x:c r="I45" s="84" t="n">
        <x:v>469</x:v>
      </x:c>
      <x:c r="J45" s="93" t="n">
        <x:v>5876.05</x:v>
      </x:c>
      <x:c r="K45" s="85" t="str">
        <x:v>1º Turno</x:v>
      </x:c>
    </x:row>
    <x:row r="46">
      <x:c r="A46" s="83" t="n">
        <x:v>45</x:v>
      </x:c>
      <x:c r="B46" s="84" t="n">
        <x:v>10</x:v>
      </x:c>
      <x:c r="C46" s="84" t="n">
        <x:v>71</x:v>
      </x:c>
      <x:c r="D46" s="89" t="n">
        <x:v>45613.96466435185</x:v>
      </x:c>
      <x:c r="E46" s="89" t="n">
        <x:v>45614.49799768518</x:v>
      </x:c>
      <x:c r="F46" s="84" t="n">
        <x:v>768</x:v>
      </x:c>
      <x:c r="G46" s="84" t="n">
        <x:v>1</x:v>
      </x:c>
      <x:c r="H46" s="84" t="str">
        <x:v>Alarme intermitente</x:v>
      </x:c>
      <x:c r="I46" s="84" t="n">
        <x:v>1408</x:v>
      </x:c>
      <x:c r="J46" s="93" t="n">
        <x:v>23523.43</x:v>
      </x:c>
      <x:c r="K46" s="85" t="str">
        <x:v>1º Turno</x:v>
      </x:c>
    </x:row>
    <x:row r="47">
      <x:c r="A47" s="83" t="n">
        <x:v>46</x:v>
      </x:c>
      <x:c r="B47" s="84" t="n">
        <x:v>48</x:v>
      </x:c>
      <x:c r="C47" s="84" t="n">
        <x:v>73</x:v>
      </x:c>
      <x:c r="D47" s="89" t="n">
        <x:v>45431.59638888889</x:v>
      </x:c>
      <x:c r="E47" s="89" t="n">
        <x:v>45431.65541666667</x:v>
      </x:c>
      <x:c r="F47" s="84" t="n">
        <x:v>85</x:v>
      </x:c>
      <x:c r="G47" s="84" t="n">
        <x:v>1</x:v>
      </x:c>
      <x:c r="H47" s="84" t="str">
        <x:v>Falha elétrica</x:v>
      </x:c>
      <x:c r="I47" s="84" t="n">
        <x:v>160</x:v>
      </x:c>
      <x:c r="J47" s="93" t="n">
        <x:v>4622.76</x:v>
      </x:c>
      <x:c r="K47" s="85" t="str">
        <x:v>2º Turno</x:v>
      </x:c>
    </x:row>
    <x:row r="48">
      <x:c r="A48" s="83" t="n">
        <x:v>47</x:v>
      </x:c>
      <x:c r="B48" s="84" t="n">
        <x:v>7</x:v>
      </x:c>
      <x:c r="C48" s="84" t="n">
        <x:v>75</x:v>
      </x:c>
      <x:c r="D48" s="89" t="n">
        <x:v>45092.63439814815</x:v>
      </x:c>
      <x:c r="E48" s="89" t="n">
        <x:v>45093.007314814815</x:v>
      </x:c>
      <x:c r="F48" s="84" t="n">
        <x:v>537</x:v>
      </x:c>
      <x:c r="G48" s="84" t="n">
        <x:v>1</x:v>
      </x:c>
      <x:c r="H48" s="84" t="str">
        <x:v>Alarme intermitente</x:v>
      </x:c>
      <x:c r="I48" s="84" t="n">
        <x:v>644</x:v>
      </x:c>
      <x:c r="J48" s="93" t="n">
        <x:v>7165.26</x:v>
      </x:c>
      <x:c r="K48" s="85" t="str">
        <x:v>2º Turno</x:v>
      </x:c>
    </x:row>
    <x:row r="49">
      <x:c r="A49" s="83" t="n">
        <x:v>48</x:v>
      </x:c>
      <x:c r="B49" s="84" t="n">
        <x:v>78</x:v>
      </x:c>
      <x:c r="C49" s="84" t="n">
        <x:v>76</x:v>
      </x:c>
      <x:c r="D49" s="89" t="n">
        <x:v>45295.019895833335</x:v>
      </x:c>
      <x:c r="E49" s="89" t="n">
        <x:v>45295.5740625</x:v>
      </x:c>
      <x:c r="F49" s="84" t="n">
        <x:v>798</x:v>
      </x:c>
      <x:c r="G49" s="84" t="n">
        <x:v>0</x:v>
      </x:c>
      <x:c r="H49" s="84" t="str">
        <x:v>Alarme intermitente</x:v>
      </x:c>
      <x:c r="I49" s="84" t="n">
        <x:v>1091</x:v>
      </x:c>
      <x:c r="J49" s="93" t="n">
        <x:v>39654.89</x:v>
      </x:c>
      <x:c r="K49" s="85" t="str">
        <x:v>3º Turno</x:v>
      </x:c>
    </x:row>
    <x:row r="50">
      <x:c r="A50" s="83" t="n">
        <x:v>49</x:v>
      </x:c>
      <x:c r="B50" s="84" t="n">
        <x:v>41</x:v>
      </x:c>
      <x:c r="C50" s="84" t="n">
        <x:v>78</x:v>
      </x:c>
      <x:c r="D50" s="89" t="n">
        <x:v>45206.364641203705</x:v>
      </x:c>
      <x:c r="E50" s="89" t="n">
        <x:v>45206.65561342592</x:v>
      </x:c>
      <x:c r="F50" s="84" t="n">
        <x:v>419</x:v>
      </x:c>
      <x:c r="G50" s="84" t="n">
        <x:v>1</x:v>
      </x:c>
      <x:c r="H50" s="84" t="str">
        <x:v>Ruído anormal</x:v>
      </x:c>
      <x:c r="I50" s="84" t="n">
        <x:v>775</x:v>
      </x:c>
      <x:c r="J50" s="93" t="n">
        <x:v>12399.82</x:v>
      </x:c>
      <x:c r="K50" s="85" t="str">
        <x:v>3º Turno</x:v>
      </x:c>
    </x:row>
    <x:row r="51">
      <x:c r="A51" s="83" t="n">
        <x:v>50</x:v>
      </x:c>
      <x:c r="B51" s="84" t="n">
        <x:v>71</x:v>
      </x:c>
      <x:c r="C51" s="84" t="n">
        <x:v>79</x:v>
      </x:c>
      <x:c r="D51" s="89" t="n">
        <x:v>45096.66268518518</x:v>
      </x:c>
      <x:c r="E51" s="89" t="n">
        <x:v>45096.70365740741</x:v>
      </x:c>
      <x:c r="F51" s="84" t="n">
        <x:v>59</x:v>
      </x:c>
      <x:c r="G51" s="84" t="n">
        <x:v>1</x:v>
      </x:c>
      <x:c r="H51" s="84" t="str">
        <x:v>Superaquecimento</x:v>
      </x:c>
      <x:c r="I51" s="84" t="n">
        <x:v>89</x:v>
      </x:c>
      <x:c r="J51" s="93" t="n">
        <x:v>1621.09</x:v>
      </x:c>
      <x:c r="K51" s="85" t="str">
        <x:v>2º Turno</x:v>
      </x:c>
    </x:row>
    <x:row r="52">
      <x:c r="A52" s="83" t="n">
        <x:v>51</x:v>
      </x:c>
      <x:c r="B52" s="84" t="n">
        <x:v>65</x:v>
      </x:c>
      <x:c r="C52" s="84" t="n">
        <x:v>81</x:v>
      </x:c>
      <x:c r="D52" s="89" t="n">
        <x:v>45897.40925925926</x:v>
      </x:c>
      <x:c r="E52" s="89" t="n">
        <x:v>45897.86550925926</x:v>
      </x:c>
      <x:c r="F52" s="84" t="n">
        <x:v>657</x:v>
      </x:c>
      <x:c r="G52" s="84" t="n">
        <x:v>0</x:v>
      </x:c>
      <x:c r="H52" s="84" t="str">
        <x:v>Baixa pressão</x:v>
      </x:c>
      <x:c r="I52" s="84" t="n">
        <x:v>766</x:v>
      </x:c>
      <x:c r="J52" s="93" t="n">
        <x:v>21112.92</x:v>
      </x:c>
      <x:c r="K52" s="85" t="str">
        <x:v>3º Turno</x:v>
      </x:c>
    </x:row>
    <x:row r="53">
      <x:c r="A53" s="83" t="n">
        <x:v>52</x:v>
      </x:c>
      <x:c r="B53" s="84" t="n">
        <x:v>90</x:v>
      </x:c>
      <x:c r="C53" s="84" t="n">
        <x:v>82</x:v>
      </x:c>
      <x:c r="D53" s="89" t="n">
        <x:v>45417.90945601852</x:v>
      </x:c>
      <x:c r="E53" s="89" t="n">
        <x:v>45418.08167824074</x:v>
      </x:c>
      <x:c r="F53" s="84" t="n">
        <x:v>248</x:v>
      </x:c>
      <x:c r="G53" s="84" t="n">
        <x:v>0</x:v>
      </x:c>
      <x:c r="H53" s="84" t="str">
        <x:v>Falha elétrica</x:v>
      </x:c>
      <x:c r="I53" s="84" t="n">
        <x:v>500</x:v>
      </x:c>
      <x:c r="J53" s="93" t="n">
        <x:v>8045.98</x:v>
      </x:c>
      <x:c r="K53" s="85" t="str">
        <x:v>2º Turno</x:v>
      </x:c>
    </x:row>
    <x:row r="54">
      <x:c r="A54" s="83" t="n">
        <x:v>53</x:v>
      </x:c>
      <x:c r="B54" s="84" t="n">
        <x:v>35</x:v>
      </x:c>
      <x:c r="C54" s="84" t="n">
        <x:v>83</x:v>
      </x:c>
      <x:c r="D54" s="89" t="n">
        <x:v>45984.645370370374</x:v>
      </x:c>
      <x:c r="E54" s="89" t="n">
        <x:v>45984.99537037037</x:v>
      </x:c>
      <x:c r="F54" s="84" t="n">
        <x:v>504</x:v>
      </x:c>
      <x:c r="G54" s="84" t="n">
        <x:v>1</x:v>
      </x:c>
      <x:c r="H54" s="84" t="str">
        <x:v>Vazamento</x:v>
      </x:c>
      <x:c r="I54" s="84" t="n">
        <x:v>857</x:v>
      </x:c>
      <x:c r="J54" s="93" t="n">
        <x:v>20742.6</x:v>
      </x:c>
      <x:c r="K54" s="85" t="str">
        <x:v>3º Turno</x:v>
      </x:c>
    </x:row>
    <x:row r="55">
      <x:c r="A55" s="83" t="n">
        <x:v>54</x:v>
      </x:c>
      <x:c r="B55" s="84" t="n">
        <x:v>20</x:v>
      </x:c>
      <x:c r="C55" s="84" t="n">
        <x:v>84</x:v>
      </x:c>
      <x:c r="D55" s="89" t="n">
        <x:v>45953.198113425926</x:v>
      </x:c>
      <x:c r="E55" s="89" t="n">
        <x:v>45953.77103009259</x:v>
      </x:c>
      <x:c r="F55" s="84" t="n">
        <x:v>825</x:v>
      </x:c>
      <x:c r="G55" s="84" t="n">
        <x:v>1</x:v>
      </x:c>
      <x:c r="H55" s="84" t="str">
        <x:v>Ruído anormal</x:v>
      </x:c>
      <x:c r="I55" s="84" t="n">
        <x:v>1801</x:v>
      </x:c>
      <x:c r="J55" s="93" t="n">
        <x:v>24949.86</x:v>
      </x:c>
      <x:c r="K55" s="85" t="str">
        <x:v>3º Turno</x:v>
      </x:c>
    </x:row>
    <x:row r="56">
      <x:c r="A56" s="83" t="n">
        <x:v>55</x:v>
      </x:c>
      <x:c r="B56" s="84" t="n">
        <x:v>57</x:v>
      </x:c>
      <x:c r="C56" s="84" t="n">
        <x:v>85</x:v>
      </x:c>
      <x:c r="D56" s="89" t="n">
        <x:v>45254.28262731482</x:v>
      </x:c>
      <x:c r="E56" s="89" t="n">
        <x:v>45254.34443287037</x:v>
      </x:c>
      <x:c r="F56" s="84" t="n">
        <x:v>89</x:v>
      </x:c>
      <x:c r="G56" s="84" t="n">
        <x:v>1</x:v>
      </x:c>
      <x:c r="H56" s="84" t="str">
        <x:v>Superaquecimento</x:v>
      </x:c>
      <x:c r="I56" s="84" t="n">
        <x:v>102</x:v>
      </x:c>
      <x:c r="J56" s="93" t="n">
        <x:v>3829.98</x:v>
      </x:c>
      <x:c r="K56" s="85" t="str">
        <x:v>1º Turno</x:v>
      </x:c>
    </x:row>
    <x:row r="57">
      <x:c r="A57" s="83" t="n">
        <x:v>56</x:v>
      </x:c>
      <x:c r="B57" s="84" t="n">
        <x:v>88</x:v>
      </x:c>
      <x:c r="C57" s="84" t="n">
        <x:v>86</x:v>
      </x:c>
      <x:c r="D57" s="89" t="n">
        <x:v>44949.55920138889</x:v>
      </x:c>
      <x:c r="E57" s="89" t="n">
        <x:v>44949.841145833336</x:v>
      </x:c>
      <x:c r="F57" s="84" t="n">
        <x:v>406</x:v>
      </x:c>
      <x:c r="G57" s="84" t="n">
        <x:v>1</x:v>
      </x:c>
      <x:c r="H57" s="84" t="str">
        <x:v>Falha elétrica</x:v>
      </x:c>
      <x:c r="I57" s="84" t="n">
        <x:v>880</x:v>
      </x:c>
      <x:c r="J57" s="93" t="n">
        <x:v>6152.55</x:v>
      </x:c>
      <x:c r="K57" s="85" t="str">
        <x:v>3º Turno</x:v>
      </x:c>
    </x:row>
    <x:row r="58">
      <x:c r="A58" s="83" t="n">
        <x:v>57</x:v>
      </x:c>
      <x:c r="B58" s="84" t="n">
        <x:v>18</x:v>
      </x:c>
      <x:c r="C58" s="84" t="n">
        <x:v>87</x:v>
      </x:c>
      <x:c r="D58" s="89" t="n">
        <x:v>45539.756527777776</x:v>
      </x:c>
      <x:c r="E58" s="89" t="n">
        <x:v>45540.14611111111</x:v>
      </x:c>
      <x:c r="F58" s="84" t="n">
        <x:v>561</x:v>
      </x:c>
      <x:c r="G58" s="84" t="n">
        <x:v>1</x:v>
      </x:c>
      <x:c r="H58" s="84" t="str">
        <x:v>Superaquecimento</x:v>
      </x:c>
      <x:c r="I58" s="84" t="n">
        <x:v>654</x:v>
      </x:c>
      <x:c r="J58" s="93" t="n">
        <x:v>17710.48</x:v>
      </x:c>
      <x:c r="K58" s="85" t="str">
        <x:v>1º Turno</x:v>
      </x:c>
    </x:row>
    <x:row r="59">
      <x:c r="A59" s="83" t="n">
        <x:v>58</x:v>
      </x:c>
      <x:c r="B59" s="84" t="n">
        <x:v>61</x:v>
      </x:c>
      <x:c r="C59" s="84" t="n">
        <x:v>89</x:v>
      </x:c>
      <x:c r="D59" s="89" t="n">
        <x:v>45846.13711805556</x:v>
      </x:c>
      <x:c r="E59" s="89" t="n">
        <x:v>45846.7128125</x:v>
      </x:c>
      <x:c r="F59" s="84" t="n">
        <x:v>829</x:v>
      </x:c>
      <x:c r="G59" s="84" t="n">
        <x:v>1</x:v>
      </x:c>
      <x:c r="H59" s="84" t="str">
        <x:v>Superaquecimento</x:v>
      </x:c>
      <x:c r="I59" s="84" t="n">
        <x:v>1934</x:v>
      </x:c>
      <x:c r="J59" s="93" t="n">
        <x:v>15401.54</x:v>
      </x:c>
      <x:c r="K59" s="85" t="str">
        <x:v>2º Turno</x:v>
      </x:c>
    </x:row>
    <x:row r="60">
      <x:c r="A60" s="83" t="n">
        <x:v>59</x:v>
      </x:c>
      <x:c r="B60" s="84" t="n">
        <x:v>74</x:v>
      </x:c>
      <x:c r="C60" s="84" t="n">
        <x:v>90</x:v>
      </x:c>
      <x:c r="D60" s="89" t="n">
        <x:v>45224.147523148145</x:v>
      </x:c>
      <x:c r="E60" s="89" t="n">
        <x:v>45224.67460648148</x:v>
      </x:c>
      <x:c r="F60" s="84" t="n">
        <x:v>759</x:v>
      </x:c>
      <x:c r="G60" s="84" t="n">
        <x:v>1</x:v>
      </x:c>
      <x:c r="H60" s="84" t="str">
        <x:v>Falha elétrica</x:v>
      </x:c>
      <x:c r="I60" s="84" t="n">
        <x:v>1670</x:v>
      </x:c>
      <x:c r="J60" s="93" t="n">
        <x:v>24418.57</x:v>
      </x:c>
      <x:c r="K60" s="85" t="str">
        <x:v>3º Turno</x:v>
      </x:c>
    </x:row>
    <x:row r="61">
      <x:c r="A61" s="83" t="n">
        <x:v>60</x:v>
      </x:c>
      <x:c r="B61" s="84" t="n">
        <x:v>36</x:v>
      </x:c>
      <x:c r="C61" s="84" t="n">
        <x:v>92</x:v>
      </x:c>
      <x:c r="D61" s="89" t="n">
        <x:v>45822.7231712963</x:v>
      </x:c>
      <x:c r="E61" s="89" t="n">
        <x:v>45822.89400462963</x:v>
      </x:c>
      <x:c r="F61" s="84" t="n">
        <x:v>246</x:v>
      </x:c>
      <x:c r="G61" s="84" t="n">
        <x:v>1</x:v>
      </x:c>
      <x:c r="H61" s="84" t="str">
        <x:v>Vazamento</x:v>
      </x:c>
      <x:c r="I61" s="84" t="n">
        <x:v>369</x:v>
      </x:c>
      <x:c r="J61" s="93" t="n">
        <x:v>5846.7</x:v>
      </x:c>
      <x:c r="K61" s="85" t="str">
        <x:v>3º Turno</x:v>
      </x:c>
    </x:row>
    <x:row r="62">
      <x:c r="A62" s="83" t="n">
        <x:v>61</x:v>
      </x:c>
      <x:c r="B62" s="84" t="n">
        <x:v>29</x:v>
      </x:c>
      <x:c r="C62" s="84" t="n">
        <x:v>93</x:v>
      </x:c>
      <x:c r="D62" s="89" t="n">
        <x:v>45073.84979166667</x:v>
      </x:c>
      <x:c r="E62" s="89" t="n">
        <x:v>45073.97756944445</x:v>
      </x:c>
      <x:c r="F62" s="84" t="n">
        <x:v>184</x:v>
      </x:c>
      <x:c r="G62" s="84" t="n">
        <x:v>0</x:v>
      </x:c>
      <x:c r="H62" s="84" t="str">
        <x:v>Vazamento</x:v>
      </x:c>
      <x:c r="I62" s="84" t="n">
        <x:v>209</x:v>
      </x:c>
      <x:c r="J62" s="93" t="n">
        <x:v>5192.96</x:v>
      </x:c>
      <x:c r="K62" s="85" t="str">
        <x:v>1º Turno</x:v>
      </x:c>
    </x:row>
    <x:row r="63">
      <x:c r="A63" s="83" t="n">
        <x:v>62</x:v>
      </x:c>
      <x:c r="B63" s="84" t="n">
        <x:v>63</x:v>
      </x:c>
      <x:c r="C63" s="84" t="n">
        <x:v>94</x:v>
      </x:c>
      <x:c r="D63" s="89" t="n">
        <x:v>45759.69002314815</x:v>
      </x:c>
      <x:c r="E63" s="89" t="n">
        <x:v>45759.89766203704</x:v>
      </x:c>
      <x:c r="F63" s="84" t="n">
        <x:v>299</x:v>
      </x:c>
      <x:c r="G63" s="84" t="n">
        <x:v>1</x:v>
      </x:c>
      <x:c r="H63" s="84" t="str">
        <x:v>Vazamento</x:v>
      </x:c>
      <x:c r="I63" s="84" t="n">
        <x:v>314</x:v>
      </x:c>
      <x:c r="J63" s="93" t="n">
        <x:v>13697.3</x:v>
      </x:c>
      <x:c r="K63" s="85" t="str">
        <x:v>2º Turno</x:v>
      </x:c>
    </x:row>
    <x:row r="64">
      <x:c r="A64" s="83" t="n">
        <x:v>63</x:v>
      </x:c>
      <x:c r="B64" s="84" t="n">
        <x:v>40</x:v>
      </x:c>
      <x:c r="C64" s="84" t="n">
        <x:v>95</x:v>
      </x:c>
      <x:c r="D64" s="89" t="n">
        <x:v>45362.42858796296</x:v>
      </x:c>
      <x:c r="E64" s="89" t="n">
        <x:v>45362.98483796296</x:v>
      </x:c>
      <x:c r="F64" s="84" t="n">
        <x:v>801</x:v>
      </x:c>
      <x:c r="G64" s="84" t="n">
        <x:v>1</x:v>
      </x:c>
      <x:c r="H64" s="84" t="str">
        <x:v>Baixa pressão</x:v>
      </x:c>
      <x:c r="I64" s="84" t="n">
        <x:v>1308</x:v>
      </x:c>
      <x:c r="J64" s="93" t="n">
        <x:v>28316.89</x:v>
      </x:c>
      <x:c r="K64" s="85" t="str">
        <x:v>2º Turno</x:v>
      </x:c>
    </x:row>
    <x:row r="65">
      <x:c r="A65" s="83" t="n">
        <x:v>64</x:v>
      </x:c>
      <x:c r="B65" s="84" t="n">
        <x:v>7</x:v>
      </x:c>
      <x:c r="C65" s="84" t="n">
        <x:v>96</x:v>
      </x:c>
      <x:c r="D65" s="89" t="n">
        <x:v>45406.941979166666</x:v>
      </x:c>
      <x:c r="E65" s="89" t="n">
        <x:v>45407.27392361111</x:v>
      </x:c>
      <x:c r="F65" s="84" t="n">
        <x:v>478</x:v>
      </x:c>
      <x:c r="G65" s="84" t="n">
        <x:v>0</x:v>
      </x:c>
      <x:c r="H65" s="84" t="str">
        <x:v>Vazamento</x:v>
      </x:c>
      <x:c r="I65" s="84" t="n">
        <x:v>1068</x:v>
      </x:c>
      <x:c r="J65" s="93" t="n">
        <x:v>15405.38</x:v>
      </x:c>
      <x:c r="K65" s="85" t="str">
        <x:v>1º Turno</x:v>
      </x:c>
    </x:row>
    <x:row r="66">
      <x:c r="A66" s="83" t="n">
        <x:v>65</x:v>
      </x:c>
      <x:c r="B66" s="84" t="n">
        <x:v>13</x:v>
      </x:c>
      <x:c r="C66" s="84" t="n">
        <x:v>97</x:v>
      </x:c>
      <x:c r="D66" s="89" t="n">
        <x:v>45522.17233796296</x:v>
      </x:c>
      <x:c r="E66" s="89" t="n">
        <x:v>45522.49178240741</x:v>
      </x:c>
      <x:c r="F66" s="84" t="n">
        <x:v>460</x:v>
      </x:c>
      <x:c r="G66" s="84" t="n">
        <x:v>1</x:v>
      </x:c>
      <x:c r="H66" s="84" t="str">
        <x:v>Alarme intermitente</x:v>
      </x:c>
      <x:c r="I66" s="84" t="n">
        <x:v>912</x:v>
      </x:c>
      <x:c r="J66" s="93" t="n">
        <x:v>26165.61</x:v>
      </x:c>
      <x:c r="K66" s="85" t="str">
        <x:v>1º Turno</x:v>
      </x:c>
    </x:row>
    <x:row r="67">
      <x:c r="A67" s="83" t="n">
        <x:v>66</x:v>
      </x:c>
      <x:c r="B67" s="84" t="n">
        <x:v>21</x:v>
      </x:c>
      <x:c r="C67" s="84" t="n">
        <x:v>98</x:v>
      </x:c>
      <x:c r="D67" s="89" t="n">
        <x:v>45338.46407407407</x:v>
      </x:c>
      <x:c r="E67" s="89" t="n">
        <x:v>45338.57865740741</x:v>
      </x:c>
      <x:c r="F67" s="84" t="n">
        <x:v>165</x:v>
      </x:c>
      <x:c r="G67" s="84" t="n">
        <x:v>1</x:v>
      </x:c>
      <x:c r="H67" s="84" t="str">
        <x:v>Alarme intermitente</x:v>
      </x:c>
      <x:c r="I67" s="84" t="n">
        <x:v>330</x:v>
      </x:c>
      <x:c r="J67" s="93" t="n">
        <x:v>8232.23</x:v>
      </x:c>
      <x:c r="K67" s="85" t="str">
        <x:v>1º Turno</x:v>
      </x:c>
    </x:row>
    <x:row r="68">
      <x:c r="A68" s="83" t="n">
        <x:v>67</x:v>
      </x:c>
      <x:c r="B68" s="84" t="n">
        <x:v>65</x:v>
      </x:c>
      <x:c r="C68" s="84" t="n">
        <x:v>100</x:v>
      </x:c>
      <x:c r="D68" s="89" t="n">
        <x:v>45239.947800925926</x:v>
      </x:c>
      <x:c r="E68" s="89" t="n">
        <x:v>45240.03738425926</x:v>
      </x:c>
      <x:c r="F68" s="84" t="n">
        <x:v>129</x:v>
      </x:c>
      <x:c r="G68" s="84" t="n">
        <x:v>1</x:v>
      </x:c>
      <x:c r="H68" s="84" t="str">
        <x:v>Alarme intermitente</x:v>
      </x:c>
      <x:c r="I68" s="84" t="n">
        <x:v>138</x:v>
      </x:c>
      <x:c r="J68" s="93" t="n">
        <x:v>6418.29</x:v>
      </x:c>
      <x:c r="K68" s="85" t="str">
        <x:v>2º Turno</x:v>
      </x:c>
    </x:row>
    <x:row r="69">
      <x:c r="A69" s="83" t="n">
        <x:v>68</x:v>
      </x:c>
      <x:c r="B69" s="84" t="n">
        <x:v>70</x:v>
      </x:c>
      <x:c r="C69" s="84" t="n">
        <x:v>101</x:v>
      </x:c>
      <x:c r="D69" s="89" t="n">
        <x:v>44948.23056712963</x:v>
      </x:c>
      <x:c r="E69" s="89" t="n">
        <x:v>44948.475011574075</x:v>
      </x:c>
      <x:c r="F69" s="84" t="n">
        <x:v>352</x:v>
      </x:c>
      <x:c r="G69" s="84" t="n">
        <x:v>1</x:v>
      </x:c>
      <x:c r="H69" s="84" t="str">
        <x:v>Desalinhamento</x:v>
      </x:c>
      <x:c r="I69" s="84" t="n">
        <x:v>845</x:v>
      </x:c>
      <x:c r="J69" s="93" t="n">
        <x:v>14752.21</x:v>
      </x:c>
      <x:c r="K69" s="85" t="str">
        <x:v>1º Turno</x:v>
      </x:c>
    </x:row>
    <x:row r="70">
      <x:c r="A70" s="83" t="n">
        <x:v>69</x:v>
      </x:c>
      <x:c r="B70" s="84" t="n">
        <x:v>43</x:v>
      </x:c>
      <x:c r="C70" s="84" t="n">
        <x:v>102</x:v>
      </x:c>
      <x:c r="D70" s="89" t="n">
        <x:v>45012.991793981484</x:v>
      </x:c>
      <x:c r="E70" s="89" t="n">
        <x:v>45013.60915509259</x:v>
      </x:c>
      <x:c r="F70" s="84" t="n">
        <x:v>889</x:v>
      </x:c>
      <x:c r="G70" s="84" t="n">
        <x:v>1</x:v>
      </x:c>
      <x:c r="H70" s="84" t="str">
        <x:v>Falha elétrica</x:v>
      </x:c>
      <x:c r="I70" s="84" t="n">
        <x:v>1022</x:v>
      </x:c>
      <x:c r="J70" s="93" t="n">
        <x:v>48823.92</x:v>
      </x:c>
      <x:c r="K70" s="85" t="str">
        <x:v>2º Turno</x:v>
      </x:c>
    </x:row>
    <x:row r="71">
      <x:c r="A71" s="83" t="n">
        <x:v>70</x:v>
      </x:c>
      <x:c r="B71" s="84" t="n">
        <x:v>49</x:v>
      </x:c>
      <x:c r="C71" s="84" t="n">
        <x:v>103</x:v>
      </x:c>
      <x:c r="D71" s="89" t="n">
        <x:v>45757.27699074074</x:v>
      </x:c>
      <x:c r="E71" s="89" t="n">
        <x:v>45757.747824074075</x:v>
      </x:c>
      <x:c r="F71" s="84" t="n">
        <x:v>678</x:v>
      </x:c>
      <x:c r="G71" s="84" t="n">
        <x:v>1</x:v>
      </x:c>
      <x:c r="H71" s="84" t="str">
        <x:v>Alarme intermitente</x:v>
      </x:c>
      <x:c r="I71" s="84" t="n">
        <x:v>1074</x:v>
      </x:c>
      <x:c r="J71" s="93" t="n">
        <x:v>39057.92</x:v>
      </x:c>
      <x:c r="K71" s="85" t="str">
        <x:v>2º Turno</x:v>
      </x:c>
    </x:row>
    <x:row r="72">
      <x:c r="A72" s="83" t="n">
        <x:v>71</x:v>
      </x:c>
      <x:c r="B72" s="84" t="n">
        <x:v>43</x:v>
      </x:c>
      <x:c r="C72" s="84" t="n">
        <x:v>104</x:v>
      </x:c>
      <x:c r="D72" s="89" t="n">
        <x:v>45604.01835648148</x:v>
      </x:c>
      <x:c r="E72" s="89" t="n">
        <x:v>45604.26835648148</x:v>
      </x:c>
      <x:c r="F72" s="84" t="n">
        <x:v>360</x:v>
      </x:c>
      <x:c r="G72" s="84" t="n">
        <x:v>1</x:v>
      </x:c>
      <x:c r="H72" s="84" t="str">
        <x:v>Desalinhamento</x:v>
      </x:c>
      <x:c r="I72" s="84" t="n">
        <x:v>756</x:v>
      </x:c>
      <x:c r="J72" s="93" t="n">
        <x:v>16762.17</x:v>
      </x:c>
      <x:c r="K72" s="85" t="str">
        <x:v>3º Turno</x:v>
      </x:c>
    </x:row>
    <x:row r="73">
      <x:c r="A73" s="83" t="n">
        <x:v>72</x:v>
      </x:c>
      <x:c r="B73" s="84" t="n">
        <x:v>46</x:v>
      </x:c>
      <x:c r="C73" s="84" t="n">
        <x:v>105</x:v>
      </x:c>
      <x:c r="D73" s="89" t="n">
        <x:v>44947.10003472222</x:v>
      </x:c>
      <x:c r="E73" s="89" t="n">
        <x:v>44947.72017361111</x:v>
      </x:c>
      <x:c r="F73" s="84" t="n">
        <x:v>893</x:v>
      </x:c>
      <x:c r="G73" s="84" t="n">
        <x:v>1</x:v>
      </x:c>
      <x:c r="H73" s="84" t="str">
        <x:v>Alarme intermitente</x:v>
      </x:c>
      <x:c r="I73" s="84" t="n">
        <x:v>1563</x:v>
      </x:c>
      <x:c r="J73" s="93" t="n">
        <x:v>35147.34</x:v>
      </x:c>
      <x:c r="K73" s="85" t="str">
        <x:v>1º Turno</x:v>
      </x:c>
    </x:row>
    <x:row r="74">
      <x:c r="A74" s="83" t="n">
        <x:v>73</x:v>
      </x:c>
      <x:c r="B74" s="84" t="n">
        <x:v>58</x:v>
      </x:c>
      <x:c r="C74" s="84" t="n">
        <x:v>108</x:v>
      </x:c>
      <x:c r="D74" s="89" t="n">
        <x:v>45742.57407407407</x:v>
      </x:c>
      <x:c r="E74" s="89" t="n">
        <x:v>45743.18101851852</x:v>
      </x:c>
      <x:c r="F74" s="84" t="n">
        <x:v>874</x:v>
      </x:c>
      <x:c r="G74" s="84" t="n">
        <x:v>1</x:v>
      </x:c>
      <x:c r="H74" s="84" t="str">
        <x:v>Falha elétrica</x:v>
      </x:c>
      <x:c r="I74" s="84" t="n">
        <x:v>1821</x:v>
      </x:c>
      <x:c r="J74" s="93" t="n">
        <x:v>42234.54</x:v>
      </x:c>
      <x:c r="K74" s="85" t="str">
        <x:v>2º Turno</x:v>
      </x:c>
    </x:row>
    <x:row r="75">
      <x:c r="A75" s="83" t="n">
        <x:v>74</x:v>
      </x:c>
      <x:c r="B75" s="84" t="n">
        <x:v>17</x:v>
      </x:c>
      <x:c r="C75" s="84" t="n">
        <x:v>109</x:v>
      </x:c>
      <x:c r="D75" s="89" t="n">
        <x:v>45225.797638888886</x:v>
      </x:c>
      <x:c r="E75" s="89" t="n">
        <x:v>45225.87333333334</x:v>
      </x:c>
      <x:c r="F75" s="84" t="n">
        <x:v>109</x:v>
      </x:c>
      <x:c r="G75" s="84" t="n">
        <x:v>1</x:v>
      </x:c>
      <x:c r="H75" s="84" t="str">
        <x:v>Alarme intermitente</x:v>
      </x:c>
      <x:c r="I75" s="84" t="n">
        <x:v>140</x:v>
      </x:c>
      <x:c r="J75" s="93" t="n">
        <x:v>5184.89</x:v>
      </x:c>
      <x:c r="K75" s="85" t="str">
        <x:v>2º Turno</x:v>
      </x:c>
    </x:row>
    <x:row r="76">
      <x:c r="A76" s="83" t="n">
        <x:v>75</x:v>
      </x:c>
      <x:c r="B76" s="84" t="n">
        <x:v>77</x:v>
      </x:c>
      <x:c r="C76" s="84" t="n">
        <x:v>113</x:v>
      </x:c>
      <x:c r="D76" s="89" t="n">
        <x:v>45199.425532407404</x:v>
      </x:c>
      <x:c r="E76" s="89" t="n">
        <x:v>45199.894282407404</x:v>
      </x:c>
      <x:c r="F76" s="84" t="n">
        <x:v>675</x:v>
      </x:c>
      <x:c r="G76" s="84" t="n">
        <x:v>1</x:v>
      </x:c>
      <x:c r="H76" s="84" t="str">
        <x:v>Desalinhamento</x:v>
      </x:c>
      <x:c r="I76" s="84" t="n">
        <x:v>1575</x:v>
      </x:c>
      <x:c r="J76" s="93" t="n">
        <x:v>15747.53</x:v>
      </x:c>
      <x:c r="K76" s="85" t="str">
        <x:v>2º Turno</x:v>
      </x:c>
    </x:row>
    <x:row r="77">
      <x:c r="A77" s="83" t="n">
        <x:v>76</x:v>
      </x:c>
      <x:c r="B77" s="84" t="n">
        <x:v>60</x:v>
      </x:c>
      <x:c r="C77" s="84" t="n">
        <x:v>115</x:v>
      </x:c>
      <x:c r="D77" s="89" t="n">
        <x:v>44980.52197916667</x:v>
      </x:c>
      <x:c r="E77" s="89" t="n">
        <x:v>44981.113645833335</x:v>
      </x:c>
      <x:c r="F77" s="84" t="n">
        <x:v>852</x:v>
      </x:c>
      <x:c r="G77" s="84" t="n">
        <x:v>1</x:v>
      </x:c>
      <x:c r="H77" s="84" t="str">
        <x:v>Falha elétrica</x:v>
      </x:c>
      <x:c r="I77" s="84" t="n">
        <x:v>1065</x:v>
      </x:c>
      <x:c r="J77" s="93" t="n">
        <x:v>19227.16</x:v>
      </x:c>
      <x:c r="K77" s="85" t="str">
        <x:v>2º Turno</x:v>
      </x:c>
    </x:row>
    <x:row r="78">
      <x:c r="A78" s="83" t="n">
        <x:v>77</x:v>
      </x:c>
      <x:c r="B78" s="84" t="n">
        <x:v>17</x:v>
      </x:c>
      <x:c r="C78" s="84" t="n">
        <x:v>116</x:v>
      </x:c>
      <x:c r="D78" s="89" t="n">
        <x:v>45766.836064814815</x:v>
      </x:c>
      <x:c r="E78" s="89" t="n">
        <x:v>45767.37287037037</x:v>
      </x:c>
      <x:c r="F78" s="84" t="n">
        <x:v>773</x:v>
      </x:c>
      <x:c r="G78" s="84" t="n">
        <x:v>1</x:v>
      </x:c>
      <x:c r="H78" s="84" t="str">
        <x:v>Ruído anormal</x:v>
      </x:c>
      <x:c r="I78" s="84" t="n">
        <x:v>953</x:v>
      </x:c>
      <x:c r="J78" s="93" t="n">
        <x:v>12475.48</x:v>
      </x:c>
      <x:c r="K78" s="85" t="str">
        <x:v>1º Turno</x:v>
      </x:c>
    </x:row>
    <x:row r="79">
      <x:c r="A79" s="83" t="n">
        <x:v>78</x:v>
      </x:c>
      <x:c r="B79" s="84" t="n">
        <x:v>74</x:v>
      </x:c>
      <x:c r="C79" s="84" t="n">
        <x:v>117</x:v>
      </x:c>
      <x:c r="D79" s="89" t="n">
        <x:v>46009.098761574074</x:v>
      </x:c>
      <x:c r="E79" s="89" t="n">
        <x:v>46009.27445601852</x:v>
      </x:c>
      <x:c r="F79" s="84" t="n">
        <x:v>253</x:v>
      </x:c>
      <x:c r="G79" s="84" t="n">
        <x:v>1</x:v>
      </x:c>
      <x:c r="H79" s="84" t="str">
        <x:v>Falha elétrica</x:v>
      </x:c>
      <x:c r="I79" s="84" t="n">
        <x:v>413</x:v>
      </x:c>
      <x:c r="J79" s="93" t="n">
        <x:v>9219.09</x:v>
      </x:c>
      <x:c r="K79" s="85" t="str">
        <x:v>3º Turno</x:v>
      </x:c>
    </x:row>
    <x:row r="80">
      <x:c r="A80" s="83" t="n">
        <x:v>79</x:v>
      </x:c>
      <x:c r="B80" s="84" t="n">
        <x:v>66</x:v>
      </x:c>
      <x:c r="C80" s="84" t="n">
        <x:v>118</x:v>
      </x:c>
      <x:c r="D80" s="89" t="n">
        <x:v>45864.75711805555</x:v>
      </x:c>
      <x:c r="E80" s="89" t="n">
        <x:v>45865.24947916667</x:v>
      </x:c>
      <x:c r="F80" s="84" t="n">
        <x:v>709</x:v>
      </x:c>
      <x:c r="G80" s="84" t="n">
        <x:v>1</x:v>
      </x:c>
      <x:c r="H80" s="84" t="str">
        <x:v>Superaquecimento</x:v>
      </x:c>
      <x:c r="I80" s="84" t="n">
        <x:v>1300</x:v>
      </x:c>
      <x:c r="J80" s="93" t="n">
        <x:v>41283.01</x:v>
      </x:c>
      <x:c r="K80" s="85" t="str">
        <x:v>1º Turno</x:v>
      </x:c>
    </x:row>
    <x:row r="81">
      <x:c r="A81" s="83" t="n">
        <x:v>80</x:v>
      </x:c>
      <x:c r="B81" s="84" t="n">
        <x:v>12</x:v>
      </x:c>
      <x:c r="C81" s="84" t="n">
        <x:v>120</x:v>
      </x:c>
      <x:c r="D81" s="89" t="n">
        <x:v>46005.08215277778</x:v>
      </x:c>
      <x:c r="E81" s="89" t="n">
        <x:v>46005.67451388889</x:v>
      </x:c>
      <x:c r="F81" s="84" t="n">
        <x:v>853</x:v>
      </x:c>
      <x:c r="G81" s="84" t="n">
        <x:v>1</x:v>
      </x:c>
      <x:c r="H81" s="84" t="str">
        <x:v>Alarme intermitente</x:v>
      </x:c>
      <x:c r="I81" s="84" t="n">
        <x:v>938</x:v>
      </x:c>
      <x:c r="J81" s="93" t="n">
        <x:v>40214.55</x:v>
      </x:c>
      <x:c r="K81" s="85" t="str">
        <x:v>2º Turno</x:v>
      </x:c>
    </x:row>
    <x:row r="82">
      <x:c r="A82" s="83" t="n">
        <x:v>81</x:v>
      </x:c>
      <x:c r="B82" s="84" t="n">
        <x:v>86</x:v>
      </x:c>
      <x:c r="C82" s="84" t="n">
        <x:v>121</x:v>
      </x:c>
      <x:c r="D82" s="89" t="n">
        <x:v>46014.16849537037</x:v>
      </x:c>
      <x:c r="E82" s="89" t="n">
        <x:v>46014.551828703705</x:v>
      </x:c>
      <x:c r="F82" s="84" t="n">
        <x:v>552</x:v>
      </x:c>
      <x:c r="G82" s="84" t="n">
        <x:v>1</x:v>
      </x:c>
      <x:c r="H82" s="84" t="str">
        <x:v>Ruído anormal</x:v>
      </x:c>
      <x:c r="I82" s="84" t="n">
        <x:v>874</x:v>
      </x:c>
      <x:c r="J82" s="93" t="n">
        <x:v>25528.68</x:v>
      </x:c>
      <x:c r="K82" s="85" t="str">
        <x:v>1º Turno</x:v>
      </x:c>
    </x:row>
    <x:row r="83">
      <x:c r="A83" s="83" t="n">
        <x:v>82</x:v>
      </x:c>
      <x:c r="B83" s="84" t="n">
        <x:v>54</x:v>
      </x:c>
      <x:c r="C83" s="84" t="n">
        <x:v>122</x:v>
      </x:c>
      <x:c r="D83" s="89" t="n">
        <x:v>44969.39613425926</x:v>
      </x:c>
      <x:c r="E83" s="89" t="n">
        <x:v>44969.88988425926</x:v>
      </x:c>
      <x:c r="F83" s="84" t="n">
        <x:v>711</x:v>
      </x:c>
      <x:c r="G83" s="84" t="n">
        <x:v>1</x:v>
      </x:c>
      <x:c r="H83" s="84" t="str">
        <x:v>Vazamento</x:v>
      </x:c>
      <x:c r="I83" s="84" t="n">
        <x:v>984</x:v>
      </x:c>
      <x:c r="J83" s="93" t="n">
        <x:v>35564.42</x:v>
      </x:c>
      <x:c r="K83" s="85" t="str">
        <x:v>1º Turno</x:v>
      </x:c>
    </x:row>
    <x:row r="84">
      <x:c r="A84" s="83" t="n">
        <x:v>83</x:v>
      </x:c>
      <x:c r="B84" s="84" t="n">
        <x:v>49</x:v>
      </x:c>
      <x:c r="C84" s="84" t="n">
        <x:v>124</x:v>
      </x:c>
      <x:c r="D84" s="89" t="n">
        <x:v>45454.726435185185</x:v>
      </x:c>
      <x:c r="E84" s="89" t="n">
        <x:v>45454.888240740744</x:v>
      </x:c>
      <x:c r="F84" s="84" t="n">
        <x:v>233</x:v>
      </x:c>
      <x:c r="G84" s="84" t="n">
        <x:v>1</x:v>
      </x:c>
      <x:c r="H84" s="84" t="str">
        <x:v>Vazamento</x:v>
      </x:c>
      <x:c r="I84" s="84" t="n">
        <x:v>357</x:v>
      </x:c>
      <x:c r="J84" s="93" t="n">
        <x:v>8824.45</x:v>
      </x:c>
      <x:c r="K84" s="85" t="str">
        <x:v>2º Turno</x:v>
      </x:c>
    </x:row>
    <x:row r="85">
      <x:c r="A85" s="83" t="n">
        <x:v>84</x:v>
      </x:c>
      <x:c r="B85" s="84" t="n">
        <x:v>37</x:v>
      </x:c>
      <x:c r="C85" s="84" t="n">
        <x:v>125</x:v>
      </x:c>
      <x:c r="D85" s="89" t="n">
        <x:v>45491.82271990741</x:v>
      </x:c>
      <x:c r="E85" s="89" t="n">
        <x:v>45492.14146990741</x:v>
      </x:c>
      <x:c r="F85" s="84" t="n">
        <x:v>459</x:v>
      </x:c>
      <x:c r="G85" s="84" t="n">
        <x:v>0</x:v>
      </x:c>
      <x:c r="H85" s="84" t="str">
        <x:v>Falha elétrica</x:v>
      </x:c>
      <x:c r="I85" s="84" t="n">
        <x:v>543</x:v>
      </x:c>
      <x:c r="J85" s="93" t="n">
        <x:v>17941.14</x:v>
      </x:c>
      <x:c r="K85" s="85" t="str">
        <x:v>2º Turno</x:v>
      </x:c>
    </x:row>
    <x:row r="86">
      <x:c r="A86" s="83" t="n">
        <x:v>85</x:v>
      </x:c>
      <x:c r="B86" s="84" t="n">
        <x:v>19</x:v>
      </x:c>
      <x:c r="C86" s="84" t="n">
        <x:v>126</x:v>
      </x:c>
      <x:c r="D86" s="89" t="n">
        <x:v>45213.67071759259</x:v>
      </x:c>
      <x:c r="E86" s="89" t="n">
        <x:v>45213.70891203704</x:v>
      </x:c>
      <x:c r="F86" s="84" t="n">
        <x:v>55</x:v>
      </x:c>
      <x:c r="G86" s="84" t="n">
        <x:v>1</x:v>
      </x:c>
      <x:c r="H86" s="84" t="str">
        <x:v>Falha elétrica</x:v>
      </x:c>
      <x:c r="I86" s="84" t="n">
        <x:v>81</x:v>
      </x:c>
      <x:c r="J86" s="93" t="n">
        <x:v>2118.84</x:v>
      </x:c>
      <x:c r="K86" s="85" t="str">
        <x:v>2º Turno</x:v>
      </x:c>
    </x:row>
    <x:row r="87">
      <x:c r="A87" s="83" t="n">
        <x:v>86</x:v>
      </x:c>
      <x:c r="B87" s="84" t="n">
        <x:v>86</x:v>
      </x:c>
      <x:c r="C87" s="84" t="n">
        <x:v>127</x:v>
      </x:c>
      <x:c r="D87" s="89" t="n">
        <x:v>46016.3065625</x:v>
      </x:c>
      <x:c r="E87" s="89" t="n">
        <x:v>46016.43850694445</x:v>
      </x:c>
      <x:c r="F87" s="84" t="n">
        <x:v>190</x:v>
      </x:c>
      <x:c r="G87" s="84" t="n">
        <x:v>1</x:v>
      </x:c>
      <x:c r="H87" s="84" t="str">
        <x:v>Baixa pressão</x:v>
      </x:c>
      <x:c r="I87" s="84" t="n">
        <x:v>206</x:v>
      </x:c>
      <x:c r="J87" s="93" t="n">
        <x:v>3784.16</x:v>
      </x:c>
      <x:c r="K87" s="85" t="str">
        <x:v>2º Turno</x:v>
      </x:c>
    </x:row>
    <x:row r="88">
      <x:c r="A88" s="83" t="n">
        <x:v>87</x:v>
      </x:c>
      <x:c r="B88" s="84" t="n">
        <x:v>82</x:v>
      </x:c>
      <x:c r="C88" s="84" t="n">
        <x:v>128</x:v>
      </x:c>
      <x:c r="D88" s="89" t="n">
        <x:v>45778.770949074074</x:v>
      </x:c>
      <x:c r="E88" s="89" t="n">
        <x:v>45778.80983796297</x:v>
      </x:c>
      <x:c r="F88" s="84" t="n">
        <x:v>56</x:v>
      </x:c>
      <x:c r="G88" s="84" t="n">
        <x:v>0</x:v>
      </x:c>
      <x:c r="H88" s="84" t="str">
        <x:v>Falha elétrica</x:v>
      </x:c>
      <x:c r="I88" s="84" t="n">
        <x:v>91</x:v>
      </x:c>
      <x:c r="J88" s="93" t="n">
        <x:v>2582.91</x:v>
      </x:c>
      <x:c r="K88" s="85" t="str">
        <x:v>2º Turno</x:v>
      </x:c>
    </x:row>
    <x:row r="89">
      <x:c r="A89" s="83" t="n">
        <x:v>88</x:v>
      </x:c>
      <x:c r="B89" s="84" t="n">
        <x:v>76</x:v>
      </x:c>
      <x:c r="C89" s="84" t="n">
        <x:v>129</x:v>
      </x:c>
      <x:c r="D89" s="89" t="n">
        <x:v>45185.00278935185</x:v>
      </x:c>
      <x:c r="E89" s="89" t="n">
        <x:v>45185.57084490741</x:v>
      </x:c>
      <x:c r="F89" s="84" t="n">
        <x:v>818</x:v>
      </x:c>
      <x:c r="G89" s="84" t="n">
        <x:v>1</x:v>
      </x:c>
      <x:c r="H89" s="84" t="str">
        <x:v>Ruído anormal</x:v>
      </x:c>
      <x:c r="I89" s="84" t="n">
        <x:v>1513</x:v>
      </x:c>
      <x:c r="J89" s="93" t="n">
        <x:v>17664.57</x:v>
      </x:c>
      <x:c r="K89" s="85" t="str">
        <x:v>2º Turno</x:v>
      </x:c>
    </x:row>
    <x:row r="90">
      <x:c r="A90" s="83" t="n">
        <x:v>89</x:v>
      </x:c>
      <x:c r="B90" s="84" t="n">
        <x:v>29</x:v>
      </x:c>
      <x:c r="C90" s="84" t="n">
        <x:v>132</x:v>
      </x:c>
      <x:c r="D90" s="89" t="n">
        <x:v>45617.48017361111</x:v>
      </x:c>
      <x:c r="E90" s="89" t="n">
        <x:v>45617.58295138889</x:v>
      </x:c>
      <x:c r="F90" s="84" t="n">
        <x:v>148</x:v>
      </x:c>
      <x:c r="G90" s="84" t="n">
        <x:v>1</x:v>
      </x:c>
      <x:c r="H90" s="84" t="str">
        <x:v>Alarme intermitente</x:v>
      </x:c>
      <x:c r="I90" s="84" t="n">
        <x:v>308</x:v>
      </x:c>
      <x:c r="J90" s="93" t="n">
        <x:v>8109.4</x:v>
      </x:c>
      <x:c r="K90" s="85" t="str">
        <x:v>1º Turno</x:v>
      </x:c>
    </x:row>
    <x:row r="91">
      <x:c r="A91" s="83" t="n">
        <x:v>90</x:v>
      </x:c>
      <x:c r="B91" s="84" t="n">
        <x:v>31</x:v>
      </x:c>
      <x:c r="C91" s="84" t="n">
        <x:v>135</x:v>
      </x:c>
      <x:c r="D91" s="89" t="n">
        <x:v>45569.366273148145</x:v>
      </x:c>
      <x:c r="E91" s="89" t="n">
        <x:v>45569.723912037036</x:v>
      </x:c>
      <x:c r="F91" s="84" t="n">
        <x:v>515</x:v>
      </x:c>
      <x:c r="G91" s="84" t="n">
        <x:v>0</x:v>
      </x:c>
      <x:c r="H91" s="84" t="str">
        <x:v>Falha elétrica</x:v>
      </x:c>
      <x:c r="I91" s="84" t="n">
        <x:v>815</x:v>
      </x:c>
      <x:c r="J91" s="93" t="n">
        <x:v>24427.41</x:v>
      </x:c>
      <x:c r="K91" s="85" t="str">
        <x:v>1º Turno</x:v>
      </x:c>
    </x:row>
    <x:row r="92">
      <x:c r="A92" s="83" t="n">
        <x:v>91</x:v>
      </x:c>
      <x:c r="B92" s="84" t="n">
        <x:v>88</x:v>
      </x:c>
      <x:c r="C92" s="84" t="n">
        <x:v>136</x:v>
      </x:c>
      <x:c r="D92" s="89" t="n">
        <x:v>45633.64885416667</x:v>
      </x:c>
      <x:c r="E92" s="89" t="n">
        <x:v>45633.9571875</x:v>
      </x:c>
      <x:c r="F92" s="84" t="n">
        <x:v>444</x:v>
      </x:c>
      <x:c r="G92" s="84" t="n">
        <x:v>1</x:v>
      </x:c>
      <x:c r="H92" s="84" t="str">
        <x:v>Ruído anormal</x:v>
      </x:c>
      <x:c r="I92" s="84" t="n">
        <x:v>770</x:v>
      </x:c>
      <x:c r="J92" s="93" t="n">
        <x:v>19533.09</x:v>
      </x:c>
      <x:c r="K92" s="85" t="str">
        <x:v>2º Turno</x:v>
      </x:c>
    </x:row>
    <x:row r="93">
      <x:c r="A93" s="83" t="n">
        <x:v>92</x:v>
      </x:c>
      <x:c r="B93" s="84" t="n">
        <x:v>48</x:v>
      </x:c>
      <x:c r="C93" s="84" t="n">
        <x:v>138</x:v>
      </x:c>
      <x:c r="D93" s="89" t="n">
        <x:v>45261.239016203705</x:v>
      </x:c>
      <x:c r="E93" s="89" t="n">
        <x:v>45261.295960648145</x:v>
      </x:c>
      <x:c r="F93" s="84" t="n">
        <x:v>82</x:v>
      </x:c>
      <x:c r="G93" s="84" t="n">
        <x:v>0</x:v>
      </x:c>
      <x:c r="H93" s="84" t="str">
        <x:v>Ruído anormal</x:v>
      </x:c>
      <x:c r="I93" s="84" t="n">
        <x:v>128</x:v>
      </x:c>
      <x:c r="J93" s="93" t="n">
        <x:v>3361.09</x:v>
      </x:c>
      <x:c r="K93" s="85" t="str">
        <x:v>1º Turno</x:v>
      </x:c>
    </x:row>
    <x:row r="94">
      <x:c r="A94" s="83" t="n">
        <x:v>93</x:v>
      </x:c>
      <x:c r="B94" s="84" t="n">
        <x:v>32</x:v>
      </x:c>
      <x:c r="C94" s="84" t="n">
        <x:v>139</x:v>
      </x:c>
      <x:c r="D94" s="89" t="n">
        <x:v>44944.13752314815</x:v>
      </x:c>
      <x:c r="E94" s="89" t="n">
        <x:v>44944.40557870371</x:v>
      </x:c>
      <x:c r="F94" s="84" t="n">
        <x:v>386</x:v>
      </x:c>
      <x:c r="G94" s="84" t="n">
        <x:v>0</x:v>
      </x:c>
      <x:c r="H94" s="84" t="str">
        <x:v>Vazamento</x:v>
      </x:c>
      <x:c r="I94" s="84" t="n">
        <x:v>823</x:v>
      </x:c>
      <x:c r="J94" s="93" t="n">
        <x:v>18681.98</x:v>
      </x:c>
      <x:c r="K94" s="85" t="str">
        <x:v>1º Turno</x:v>
      </x:c>
    </x:row>
    <x:row r="95">
      <x:c r="A95" s="83" t="n">
        <x:v>94</x:v>
      </x:c>
      <x:c r="B95" s="84" t="n">
        <x:v>70</x:v>
      </x:c>
      <x:c r="C95" s="84" t="n">
        <x:v>142</x:v>
      </x:c>
      <x:c r="D95" s="89" t="n">
        <x:v>45773.978900462964</x:v>
      </x:c>
      <x:c r="E95" s="89" t="n">
        <x:v>45774.46501157407</x:v>
      </x:c>
      <x:c r="F95" s="84" t="n">
        <x:v>700</x:v>
      </x:c>
      <x:c r="G95" s="84" t="n">
        <x:v>1</x:v>
      </x:c>
      <x:c r="H95" s="84" t="str">
        <x:v>Superaquecimento</x:v>
      </x:c>
      <x:c r="I95" s="84" t="n">
        <x:v>1587</x:v>
      </x:c>
      <x:c r="J95" s="93" t="n">
        <x:v>14555.43</x:v>
      </x:c>
      <x:c r="K95" s="85" t="str">
        <x:v>3º Turno</x:v>
      </x:c>
    </x:row>
    <x:row r="96">
      <x:c r="A96" s="83" t="n">
        <x:v>95</x:v>
      </x:c>
      <x:c r="B96" s="84" t="n">
        <x:v>79</x:v>
      </x:c>
      <x:c r="C96" s="84" t="n">
        <x:v>143</x:v>
      </x:c>
      <x:c r="D96" s="89" t="n">
        <x:v>45203.591261574074</x:v>
      </x:c>
      <x:c r="E96" s="89" t="n">
        <x:v>45204.057233796295</x:v>
      </x:c>
      <x:c r="F96" s="84" t="n">
        <x:v>671</x:v>
      </x:c>
      <x:c r="G96" s="84" t="n">
        <x:v>0</x:v>
      </x:c>
      <x:c r="H96" s="84" t="str">
        <x:v>Superaquecimento</x:v>
      </x:c>
      <x:c r="I96" s="84" t="n">
        <x:v>1006</x:v>
      </x:c>
      <x:c r="J96" s="93" t="n">
        <x:v>24740.88</x:v>
      </x:c>
      <x:c r="K96" s="85" t="str">
        <x:v>3º Turno</x:v>
      </x:c>
    </x:row>
    <x:row r="97">
      <x:c r="A97" s="83" t="n">
        <x:v>96</x:v>
      </x:c>
      <x:c r="B97" s="84" t="n">
        <x:v>28</x:v>
      </x:c>
      <x:c r="C97" s="84" t="n">
        <x:v>144</x:v>
      </x:c>
      <x:c r="D97" s="89" t="n">
        <x:v>45182.350266203706</x:v>
      </x:c>
      <x:c r="E97" s="89" t="n">
        <x:v>45182.4565162037</x:v>
      </x:c>
      <x:c r="F97" s="84" t="n">
        <x:v>153</x:v>
      </x:c>
      <x:c r="G97" s="84" t="n">
        <x:v>1</x:v>
      </x:c>
      <x:c r="H97" s="84" t="str">
        <x:v>Falha elétrica</x:v>
      </x:c>
      <x:c r="I97" s="84" t="n">
        <x:v>273</x:v>
      </x:c>
      <x:c r="J97" s="93" t="n">
        <x:v>6299.98</x:v>
      </x:c>
      <x:c r="K97" s="85" t="str">
        <x:v>2º Turno</x:v>
      </x:c>
    </x:row>
    <x:row r="98">
      <x:c r="A98" s="83" t="n">
        <x:v>97</x:v>
      </x:c>
      <x:c r="B98" s="84" t="n">
        <x:v>71</x:v>
      </x:c>
      <x:c r="C98" s="84" t="n">
        <x:v>145</x:v>
      </x:c>
      <x:c r="D98" s="89" t="n">
        <x:v>45633.798784722225</x:v>
      </x:c>
      <x:c r="E98" s="89" t="n">
        <x:v>45634.146006944444</x:v>
      </x:c>
      <x:c r="F98" s="84" t="n">
        <x:v>500</x:v>
      </x:c>
      <x:c r="G98" s="84" t="n">
        <x:v>1</x:v>
      </x:c>
      <x:c r="H98" s="84" t="str">
        <x:v>Ruído anormal</x:v>
      </x:c>
      <x:c r="I98" s="84" t="n">
        <x:v>533</x:v>
      </x:c>
      <x:c r="J98" s="93" t="n">
        <x:v>10572.72</x:v>
      </x:c>
      <x:c r="K98" s="85" t="str">
        <x:v>3º Turno</x:v>
      </x:c>
    </x:row>
    <x:row r="99">
      <x:c r="A99" s="83" t="n">
        <x:v>98</x:v>
      </x:c>
      <x:c r="B99" s="84" t="n">
        <x:v>79</x:v>
      </x:c>
      <x:c r="C99" s="84" t="n">
        <x:v>147</x:v>
      </x:c>
      <x:c r="D99" s="89" t="n">
        <x:v>45663.02375</x:v>
      </x:c>
      <x:c r="E99" s="89" t="n">
        <x:v>45663.51611111111</x:v>
      </x:c>
      <x:c r="F99" s="84" t="n">
        <x:v>709</x:v>
      </x:c>
      <x:c r="G99" s="84" t="n">
        <x:v>1</x:v>
      </x:c>
      <x:c r="H99" s="84" t="str">
        <x:v>Falha elétrica</x:v>
      </x:c>
      <x:c r="I99" s="84" t="n">
        <x:v>1631</x:v>
      </x:c>
      <x:c r="J99" s="93" t="n">
        <x:v>16380.01</x:v>
      </x:c>
      <x:c r="K99" s="85" t="str">
        <x:v>2º Turno</x:v>
      </x:c>
    </x:row>
    <x:row r="100">
      <x:c r="A100" s="83" t="n">
        <x:v>99</x:v>
      </x:c>
      <x:c r="B100" s="84" t="n">
        <x:v>6</x:v>
      </x:c>
      <x:c r="C100" s="84" t="n">
        <x:v>148</x:v>
      </x:c>
      <x:c r="D100" s="89" t="n">
        <x:v>44932.05130787037</x:v>
      </x:c>
      <x:c r="E100" s="89" t="n">
        <x:v>44932.40825231482</x:v>
      </x:c>
      <x:c r="F100" s="84" t="n">
        <x:v>514</x:v>
      </x:c>
      <x:c r="G100" s="84" t="n">
        <x:v>1</x:v>
      </x:c>
      <x:c r="H100" s="84" t="str">
        <x:v>Falha elétrica</x:v>
      </x:c>
      <x:c r="I100" s="84" t="n">
        <x:v>1131</x:v>
      </x:c>
      <x:c r="J100" s="93" t="n">
        <x:v>29327.8</x:v>
      </x:c>
      <x:c r="K100" s="85" t="str">
        <x:v>3º Turno</x:v>
      </x:c>
    </x:row>
    <x:row r="101">
      <x:c r="A101" s="83" t="n">
        <x:v>100</x:v>
      </x:c>
      <x:c r="B101" s="84" t="n">
        <x:v>51</x:v>
      </x:c>
      <x:c r="C101" s="84" t="n">
        <x:v>150</x:v>
      </x:c>
      <x:c r="D101" s="89" t="n">
        <x:v>45578.39171296296</x:v>
      </x:c>
      <x:c r="E101" s="89" t="n">
        <x:v>45578.913935185185</x:v>
      </x:c>
      <x:c r="F101" s="84" t="n">
        <x:v>752</x:v>
      </x:c>
      <x:c r="G101" s="84" t="n">
        <x:v>0</x:v>
      </x:c>
      <x:c r="H101" s="84" t="str">
        <x:v>Baixa pressão</x:v>
      </x:c>
      <x:c r="I101" s="84" t="n">
        <x:v>1567</x:v>
      </x:c>
      <x:c r="J101" s="93" t="n">
        <x:v>32782.54</x:v>
      </x:c>
      <x:c r="K101" s="85" t="str">
        <x:v>1º Turno</x:v>
      </x:c>
    </x:row>
    <x:row r="102">
      <x:c r="A102" s="83" t="n">
        <x:v>101</x:v>
      </x:c>
      <x:c r="B102" s="84" t="n">
        <x:v>69</x:v>
      </x:c>
      <x:c r="C102" s="84" t="n">
        <x:v>154</x:v>
      </x:c>
      <x:c r="D102" s="89" t="n">
        <x:v>45207.80221064815</x:v>
      </x:c>
      <x:c r="E102" s="89" t="n">
        <x:v>45207.98137731481</x:v>
      </x:c>
      <x:c r="F102" s="84" t="n">
        <x:v>258</x:v>
      </x:c>
      <x:c r="G102" s="84" t="n">
        <x:v>0</x:v>
      </x:c>
      <x:c r="H102" s="84" t="str">
        <x:v>Alarme intermitente</x:v>
      </x:c>
      <x:c r="I102" s="84" t="n">
        <x:v>546</x:v>
      </x:c>
      <x:c r="J102" s="93" t="n">
        <x:v>8149.16</x:v>
      </x:c>
      <x:c r="K102" s="85" t="str">
        <x:v>1º Turno</x:v>
      </x:c>
    </x:row>
    <x:row r="103">
      <x:c r="A103" s="83" t="n">
        <x:v>102</x:v>
      </x:c>
      <x:c r="B103" s="84" t="n">
        <x:v>77</x:v>
      </x:c>
      <x:c r="C103" s="84" t="n">
        <x:v>155</x:v>
      </x:c>
      <x:c r="D103" s="89" t="n">
        <x:v>45587.65017361111</x:v>
      </x:c>
      <x:c r="E103" s="89" t="n">
        <x:v>45587.88350694445</x:v>
      </x:c>
      <x:c r="F103" s="84" t="n">
        <x:v>336</x:v>
      </x:c>
      <x:c r="G103" s="84" t="n">
        <x:v>1</x:v>
      </x:c>
      <x:c r="H103" s="84" t="str">
        <x:v>Falha elétrica</x:v>
      </x:c>
      <x:c r="I103" s="84" t="n">
        <x:v>392</x:v>
      </x:c>
      <x:c r="J103" s="93" t="n">
        <x:v>8898.06</x:v>
      </x:c>
      <x:c r="K103" s="85" t="str">
        <x:v>2º Turno</x:v>
      </x:c>
    </x:row>
    <x:row r="104">
      <x:c r="A104" s="83" t="n">
        <x:v>103</x:v>
      </x:c>
      <x:c r="B104" s="84" t="n">
        <x:v>21</x:v>
      </x:c>
      <x:c r="C104" s="84" t="n">
        <x:v>157</x:v>
      </x:c>
      <x:c r="D104" s="89" t="n">
        <x:v>45401.17965277778</x:v>
      </x:c>
      <x:c r="E104" s="89" t="n">
        <x:v>45401.32965277778</x:v>
      </x:c>
      <x:c r="F104" s="84" t="n">
        <x:v>216</x:v>
      </x:c>
      <x:c r="G104" s="84" t="n">
        <x:v>1</x:v>
      </x:c>
      <x:c r="H104" s="84" t="str">
        <x:v>Ruído anormal</x:v>
      </x:c>
      <x:c r="I104" s="84" t="n">
        <x:v>403</x:v>
      </x:c>
      <x:c r="J104" s="93" t="n">
        <x:v>3232.41</x:v>
      </x:c>
      <x:c r="K104" s="85" t="str">
        <x:v>1º Turno</x:v>
      </x:c>
    </x:row>
    <x:row r="105">
      <x:c r="A105" s="83" t="n">
        <x:v>104</x:v>
      </x:c>
      <x:c r="B105" s="84" t="n">
        <x:v>79</x:v>
      </x:c>
      <x:c r="C105" s="84" t="n">
        <x:v>159</x:v>
      </x:c>
      <x:c r="D105" s="89" t="n">
        <x:v>45199.71974537037</x:v>
      </x:c>
      <x:c r="E105" s="89" t="n">
        <x:v>45200.192662037036</x:v>
      </x:c>
      <x:c r="F105" s="84" t="n">
        <x:v>681</x:v>
      </x:c>
      <x:c r="G105" s="84" t="n">
        <x:v>1</x:v>
      </x:c>
      <x:c r="H105" s="84" t="str">
        <x:v>Baixa pressão</x:v>
      </x:c>
      <x:c r="I105" s="84" t="n">
        <x:v>681</x:v>
      </x:c>
      <x:c r="J105" s="93" t="n">
        <x:v>26853.67</x:v>
      </x:c>
      <x:c r="K105" s="85" t="str">
        <x:v>3º Turno</x:v>
      </x:c>
    </x:row>
    <x:row r="106">
      <x:c r="A106" s="83" t="n">
        <x:v>105</x:v>
      </x:c>
      <x:c r="B106" s="84" t="n">
        <x:v>14</x:v>
      </x:c>
      <x:c r="C106" s="84" t="n">
        <x:v>162</x:v>
      </x:c>
      <x:c r="D106" s="89" t="n">
        <x:v>45631.42894675926</x:v>
      </x:c>
      <x:c r="E106" s="89" t="n">
        <x:v>45631.75880787037</x:v>
      </x:c>
      <x:c r="F106" s="84" t="n">
        <x:v>475</x:v>
      </x:c>
      <x:c r="G106" s="84" t="n">
        <x:v>1</x:v>
      </x:c>
      <x:c r="H106" s="84" t="str">
        <x:v>Superaquecimento</x:v>
      </x:c>
      <x:c r="I106" s="84" t="n">
        <x:v>1116</x:v>
      </x:c>
      <x:c r="J106" s="93" t="n">
        <x:v>19641.04</x:v>
      </x:c>
      <x:c r="K106" s="85" t="str">
        <x:v>2º Turno</x:v>
      </x:c>
    </x:row>
    <x:row r="107">
      <x:c r="A107" s="83" t="n">
        <x:v>106</x:v>
      </x:c>
      <x:c r="B107" s="84" t="n">
        <x:v>44</x:v>
      </x:c>
      <x:c r="C107" s="84" t="n">
        <x:v>164</x:v>
      </x:c>
      <x:c r="D107" s="89" t="n">
        <x:v>45806.469814814816</x:v>
      </x:c>
      <x:c r="E107" s="89" t="n">
        <x:v>45806.96634259259</x:v>
      </x:c>
      <x:c r="F107" s="84" t="n">
        <x:v>715</x:v>
      </x:c>
      <x:c r="G107" s="84" t="n">
        <x:v>1</x:v>
      </x:c>
      <x:c r="H107" s="84" t="str">
        <x:v>Ruído anormal</x:v>
      </x:c>
      <x:c r="I107" s="84" t="n">
        <x:v>786</x:v>
      </x:c>
      <x:c r="J107" s="93" t="n">
        <x:v>23358.81</x:v>
      </x:c>
      <x:c r="K107" s="85" t="str">
        <x:v>3º Turno</x:v>
      </x:c>
    </x:row>
    <x:row r="108">
      <x:c r="A108" s="83" t="n">
        <x:v>107</x:v>
      </x:c>
      <x:c r="B108" s="84" t="n">
        <x:v>25</x:v>
      </x:c>
      <x:c r="C108" s="84" t="n">
        <x:v>165</x:v>
      </x:c>
      <x:c r="D108" s="89" t="n">
        <x:v>45676.00266203703</x:v>
      </x:c>
      <x:c r="E108" s="89" t="n">
        <x:v>45676.56655092593</x:v>
      </x:c>
      <x:c r="F108" s="84" t="n">
        <x:v>812</x:v>
      </x:c>
      <x:c r="G108" s="84" t="n">
        <x:v>1</x:v>
      </x:c>
      <x:c r="H108" s="84" t="str">
        <x:v>Desalinhamento</x:v>
      </x:c>
      <x:c r="I108" s="84" t="n">
        <x:v>1042</x:v>
      </x:c>
      <x:c r="J108" s="93" t="n">
        <x:v>16124.59</x:v>
      </x:c>
      <x:c r="K108" s="85" t="str">
        <x:v>3º Turno</x:v>
      </x:c>
    </x:row>
    <x:row r="109">
      <x:c r="A109" s="83" t="n">
        <x:v>108</x:v>
      </x:c>
      <x:c r="B109" s="84" t="n">
        <x:v>77</x:v>
      </x:c>
      <x:c r="C109" s="84" t="n">
        <x:v>168</x:v>
      </x:c>
      <x:c r="D109" s="89" t="n">
        <x:v>45187.288831018515</x:v>
      </x:c>
      <x:c r="E109" s="89" t="n">
        <x:v>45187.450636574074</x:v>
      </x:c>
      <x:c r="F109" s="84" t="n">
        <x:v>233</x:v>
      </x:c>
      <x:c r="G109" s="84" t="n">
        <x:v>1</x:v>
      </x:c>
      <x:c r="H109" s="84" t="str">
        <x:v>Vazamento</x:v>
      </x:c>
      <x:c r="I109" s="84" t="n">
        <x:v>447</x:v>
      </x:c>
      <x:c r="J109" s="93" t="n">
        <x:v>11257.88</x:v>
      </x:c>
      <x:c r="K109" s="85" t="str">
        <x:v>3º Turno</x:v>
      </x:c>
    </x:row>
    <x:row r="110">
      <x:c r="A110" s="83" t="n">
        <x:v>109</x:v>
      </x:c>
      <x:c r="B110" s="84" t="n">
        <x:v>34</x:v>
      </x:c>
      <x:c r="C110" s="84" t="n">
        <x:v>169</x:v>
      </x:c>
      <x:c r="D110" s="89" t="n">
        <x:v>45210.46505787037</x:v>
      </x:c>
      <x:c r="E110" s="89" t="n">
        <x:v>45211.07200231482</x:v>
      </x:c>
      <x:c r="F110" s="84" t="n">
        <x:v>874</x:v>
      </x:c>
      <x:c r="G110" s="84" t="n">
        <x:v>0</x:v>
      </x:c>
      <x:c r="H110" s="84" t="str">
        <x:v>Baixa pressão</x:v>
      </x:c>
      <x:c r="I110" s="84" t="n">
        <x:v>1238</x:v>
      </x:c>
      <x:c r="J110" s="93" t="n">
        <x:v>46291.25</x:v>
      </x:c>
      <x:c r="K110" s="85" t="str">
        <x:v>3º Turno</x:v>
      </x:c>
    </x:row>
    <x:row r="111">
      <x:c r="A111" s="83" t="n">
        <x:v>110</x:v>
      </x:c>
      <x:c r="B111" s="84" t="n">
        <x:v>72</x:v>
      </x:c>
      <x:c r="C111" s="84" t="n">
        <x:v>170</x:v>
      </x:c>
      <x:c r="D111" s="89" t="n">
        <x:v>45673.812743055554</x:v>
      </x:c>
      <x:c r="E111" s="89" t="n">
        <x:v>45673.91204861111</x:v>
      </x:c>
      <x:c r="F111" s="84" t="n">
        <x:v>143</x:v>
      </x:c>
      <x:c r="G111" s="84" t="n">
        <x:v>0</x:v>
      </x:c>
      <x:c r="H111" s="84" t="str">
        <x:v>Desalinhamento</x:v>
      </x:c>
      <x:c r="I111" s="84" t="n">
        <x:v>174</x:v>
      </x:c>
      <x:c r="J111" s="93" t="n">
        <x:v>3758.73</x:v>
      </x:c>
      <x:c r="K111" s="85" t="str">
        <x:v>1º Turno</x:v>
      </x:c>
    </x:row>
    <x:row r="112">
      <x:c r="A112" s="83" t="n">
        <x:v>111</x:v>
      </x:c>
      <x:c r="B112" s="84" t="n">
        <x:v>5</x:v>
      </x:c>
      <x:c r="C112" s="84" t="n">
        <x:v>171</x:v>
      </x:c>
      <x:c r="D112" s="89" t="n">
        <x:v>45677.46561342593</x:v>
      </x:c>
      <x:c r="E112" s="89" t="n">
        <x:v>45677.592002314814</x:v>
      </x:c>
      <x:c r="F112" s="84" t="n">
        <x:v>182</x:v>
      </x:c>
      <x:c r="G112" s="84" t="n">
        <x:v>1</x:v>
      </x:c>
      <x:c r="H112" s="84" t="str">
        <x:v>Falha elétrica</x:v>
      </x:c>
      <x:c r="I112" s="84" t="n">
        <x:v>428</x:v>
      </x:c>
      <x:c r="J112" s="93" t="n">
        <x:v>6348.16</x:v>
      </x:c>
      <x:c r="K112" s="85" t="str">
        <x:v>3º Turno</x:v>
      </x:c>
    </x:row>
    <x:row r="113">
      <x:c r="A113" s="83" t="n">
        <x:v>112</x:v>
      </x:c>
      <x:c r="B113" s="84" t="n">
        <x:v>67</x:v>
      </x:c>
      <x:c r="C113" s="84" t="n">
        <x:v>172</x:v>
      </x:c>
      <x:c r="D113" s="89" t="n">
        <x:v>45526.483506944445</x:v>
      </x:c>
      <x:c r="E113" s="89" t="n">
        <x:v>45526.57239583333</x:v>
      </x:c>
      <x:c r="F113" s="84" t="n">
        <x:v>128</x:v>
      </x:c>
      <x:c r="G113" s="84" t="n">
        <x:v>1</x:v>
      </x:c>
      <x:c r="H113" s="84" t="str">
        <x:v>Falha elétrica</x:v>
      </x:c>
      <x:c r="I113" s="84" t="n">
        <x:v>265</x:v>
      </x:c>
      <x:c r="J113" s="93" t="n">
        <x:v>7128</x:v>
      </x:c>
      <x:c r="K113" s="85" t="str">
        <x:v>3º Turno</x:v>
      </x:c>
    </x:row>
    <x:row r="114">
      <x:c r="A114" s="83" t="n">
        <x:v>113</x:v>
      </x:c>
      <x:c r="B114" s="84" t="n">
        <x:v>8</x:v>
      </x:c>
      <x:c r="C114" s="84" t="n">
        <x:v>173</x:v>
      </x:c>
      <x:c r="D114" s="89" t="n">
        <x:v>45600.61206018519</x:v>
      </x:c>
      <x:c r="E114" s="89" t="n">
        <x:v>45600.80372685185</x:v>
      </x:c>
      <x:c r="F114" s="84" t="n">
        <x:v>276</x:v>
      </x:c>
      <x:c r="G114" s="84" t="n">
        <x:v>1</x:v>
      </x:c>
      <x:c r="H114" s="84" t="str">
        <x:v>Vazamento</x:v>
      </x:c>
      <x:c r="I114" s="84" t="n">
        <x:v>570</x:v>
      </x:c>
      <x:c r="J114" s="93" t="n">
        <x:v>7167.41</x:v>
      </x:c>
      <x:c r="K114" s="85" t="str">
        <x:v>2º Turno</x:v>
      </x:c>
    </x:row>
    <x:row r="115">
      <x:c r="A115" s="83" t="n">
        <x:v>114</x:v>
      </x:c>
      <x:c r="B115" s="84" t="n">
        <x:v>4</x:v>
      </x:c>
      <x:c r="C115" s="84" t="n">
        <x:v>175</x:v>
      </x:c>
      <x:c r="D115" s="89" t="n">
        <x:v>44971.46729166667</x:v>
      </x:c>
      <x:c r="E115" s="89" t="n">
        <x:v>44972.039513888885</x:v>
      </x:c>
      <x:c r="F115" s="84" t="n">
        <x:v>824</x:v>
      </x:c>
      <x:c r="G115" s="84" t="n">
        <x:v>1</x:v>
      </x:c>
      <x:c r="H115" s="84" t="str">
        <x:v>Falha elétrica</x:v>
      </x:c>
      <x:c r="I115" s="84" t="n">
        <x:v>1291</x:v>
      </x:c>
      <x:c r="J115" s="93" t="n">
        <x:v>21836.1</x:v>
      </x:c>
      <x:c r="K115" s="85" t="str">
        <x:v>1º Turno</x:v>
      </x:c>
    </x:row>
    <x:row r="116">
      <x:c r="A116" s="83" t="n">
        <x:v>115</x:v>
      </x:c>
      <x:c r="B116" s="84" t="n">
        <x:v>35</x:v>
      </x:c>
      <x:c r="C116" s="84" t="n">
        <x:v>177</x:v>
      </x:c>
      <x:c r="D116" s="89" t="n">
        <x:v>44952.25200231482</x:v>
      </x:c>
      <x:c r="E116" s="89" t="n">
        <x:v>44952.64436342593</x:v>
      </x:c>
      <x:c r="F116" s="84" t="n">
        <x:v>565</x:v>
      </x:c>
      <x:c r="G116" s="84" t="n">
        <x:v>1</x:v>
      </x:c>
      <x:c r="H116" s="84" t="str">
        <x:v>Falha elétrica</x:v>
      </x:c>
      <x:c r="I116" s="84" t="n">
        <x:v>895</x:v>
      </x:c>
      <x:c r="J116" s="93" t="n">
        <x:v>8941.37</x:v>
      </x:c>
      <x:c r="K116" s="85" t="str">
        <x:v>1º Turno</x:v>
      </x:c>
    </x:row>
    <x:row r="117">
      <x:c r="A117" s="83" t="n">
        <x:v>116</x:v>
      </x:c>
      <x:c r="B117" s="84" t="n">
        <x:v>90</x:v>
      </x:c>
      <x:c r="C117" s="84" t="n">
        <x:v>178</x:v>
      </x:c>
      <x:c r="D117" s="89" t="n">
        <x:v>45770.48438657408</x:v>
      </x:c>
      <x:c r="E117" s="89" t="n">
        <x:v>45770.62605324074</x:v>
      </x:c>
      <x:c r="F117" s="84" t="n">
        <x:v>204</x:v>
      </x:c>
      <x:c r="G117" s="84" t="n">
        <x:v>1</x:v>
      </x:c>
      <x:c r="H117" s="84" t="str">
        <x:v>Vazamento</x:v>
      </x:c>
      <x:c r="I117" s="84" t="n">
        <x:v>269</x:v>
      </x:c>
      <x:c r="J117" s="93" t="n">
        <x:v>9052.86</x:v>
      </x:c>
      <x:c r="K117" s="85" t="str">
        <x:v>3º Turno</x:v>
      </x:c>
    </x:row>
    <x:row r="118">
      <x:c r="A118" s="83" t="n">
        <x:v>117</x:v>
      </x:c>
      <x:c r="B118" s="84" t="n">
        <x:v>58</x:v>
      </x:c>
      <x:c r="C118" s="84" t="n">
        <x:v>179</x:v>
      </x:c>
      <x:c r="D118" s="89" t="n">
        <x:v>45233.38146990741</x:v>
      </x:c>
      <x:c r="E118" s="89" t="n">
        <x:v>45233.51341435185</x:v>
      </x:c>
      <x:c r="F118" s="84" t="n">
        <x:v>190</x:v>
      </x:c>
      <x:c r="G118" s="84" t="n">
        <x:v>1</x:v>
      </x:c>
      <x:c r="H118" s="84" t="str">
        <x:v>Superaquecimento</x:v>
      </x:c>
      <x:c r="I118" s="84" t="n">
        <x:v>383</x:v>
      </x:c>
      <x:c r="J118" s="93" t="n">
        <x:v>8874</x:v>
      </x:c>
      <x:c r="K118" s="85" t="str">
        <x:v>3º Turno</x:v>
      </x:c>
    </x:row>
    <x:row r="119">
      <x:c r="A119" s="83" t="n">
        <x:v>118</x:v>
      </x:c>
      <x:c r="B119" s="84" t="n">
        <x:v>76</x:v>
      </x:c>
      <x:c r="C119" s="84" t="n">
        <x:v>180</x:v>
      </x:c>
      <x:c r="D119" s="89" t="n">
        <x:v>45183.93185185185</x:v>
      </x:c>
      <x:c r="E119" s="89" t="n">
        <x:v>45184.46726851852</x:v>
      </x:c>
      <x:c r="F119" s="84" t="n">
        <x:v>771</x:v>
      </x:c>
      <x:c r="G119" s="84" t="n">
        <x:v>1</x:v>
      </x:c>
      <x:c r="H119" s="84" t="str">
        <x:v>Desalinhamento</x:v>
      </x:c>
      <x:c r="I119" s="84" t="n">
        <x:v>1169</x:v>
      </x:c>
      <x:c r="J119" s="93" t="n">
        <x:v>40439.01</x:v>
      </x:c>
      <x:c r="K119" s="85" t="str">
        <x:v>1º Turno</x:v>
      </x:c>
    </x:row>
    <x:row r="120">
      <x:c r="A120" s="83" t="n">
        <x:v>119</x:v>
      </x:c>
      <x:c r="B120" s="84" t="n">
        <x:v>48</x:v>
      </x:c>
      <x:c r="C120" s="84" t="n">
        <x:v>181</x:v>
      </x:c>
      <x:c r="D120" s="89" t="n">
        <x:v>45946.11555555555</x:v>
      </x:c>
      <x:c r="E120" s="89" t="n">
        <x:v>45946.46208333333</x:v>
      </x:c>
      <x:c r="F120" s="84" t="n">
        <x:v>499</x:v>
      </x:c>
      <x:c r="G120" s="84" t="n">
        <x:v>1</x:v>
      </x:c>
      <x:c r="H120" s="84" t="str">
        <x:v>Vazamento</x:v>
      </x:c>
      <x:c r="I120" s="84" t="n">
        <x:v>1139</x:v>
      </x:c>
      <x:c r="J120" s="93" t="n">
        <x:v>16488.38</x:v>
      </x:c>
      <x:c r="K120" s="85" t="str">
        <x:v>2º Turno</x:v>
      </x:c>
    </x:row>
    <x:row r="121">
      <x:c r="A121" s="83" t="n">
        <x:v>120</x:v>
      </x:c>
      <x:c r="B121" s="84" t="n">
        <x:v>54</x:v>
      </x:c>
      <x:c r="C121" s="84" t="n">
        <x:v>182</x:v>
      </x:c>
      <x:c r="D121" s="89" t="n">
        <x:v>45114.9684375</x:v>
      </x:c>
      <x:c r="E121" s="89" t="n">
        <x:v>45115.4059375</x:v>
      </x:c>
      <x:c r="F121" s="84" t="n">
        <x:v>630</x:v>
      </x:c>
      <x:c r="G121" s="84" t="n">
        <x:v>0</x:v>
      </x:c>
      <x:c r="H121" s="84" t="str">
        <x:v>Alarme intermitente</x:v>
      </x:c>
      <x:c r="I121" s="84" t="n">
        <x:v>672</x:v>
      </x:c>
      <x:c r="J121" s="93" t="n">
        <x:v>17964.32</x:v>
      </x:c>
      <x:c r="K121" s="85" t="str">
        <x:v>1º Turno</x:v>
      </x:c>
    </x:row>
    <x:row r="122">
      <x:c r="A122" s="83" t="n">
        <x:v>121</x:v>
      </x:c>
      <x:c r="B122" s="84" t="n">
        <x:v>62</x:v>
      </x:c>
      <x:c r="C122" s="84" t="n">
        <x:v>183</x:v>
      </x:c>
      <x:c r="D122" s="89" t="n">
        <x:v>44966.00916666666</x:v>
      </x:c>
      <x:c r="E122" s="89" t="n">
        <x:v>44966.22791666666</x:v>
      </x:c>
      <x:c r="F122" s="84" t="n">
        <x:v>315</x:v>
      </x:c>
      <x:c r="G122" s="84" t="n">
        <x:v>1</x:v>
      </x:c>
      <x:c r="H122" s="84" t="str">
        <x:v>Vazamento</x:v>
      </x:c>
      <x:c r="I122" s="84" t="n">
        <x:v>362</x:v>
      </x:c>
      <x:c r="J122" s="93" t="n">
        <x:v>5121.27</x:v>
      </x:c>
      <x:c r="K122" s="85" t="str">
        <x:v>2º Turno</x:v>
      </x:c>
    </x:row>
    <x:row r="123">
      <x:c r="A123" s="83" t="n">
        <x:v>122</x:v>
      </x:c>
      <x:c r="B123" s="84" t="n">
        <x:v>65</x:v>
      </x:c>
      <x:c r="C123" s="84" t="n">
        <x:v>184</x:v>
      </x:c>
      <x:c r="D123" s="89" t="n">
        <x:v>45768.51457175926</x:v>
      </x:c>
      <x:c r="E123" s="89" t="n">
        <x:v>45769.04304398148</x:v>
      </x:c>
      <x:c r="F123" s="84" t="n">
        <x:v>761</x:v>
      </x:c>
      <x:c r="G123" s="84" t="n">
        <x:v>1</x:v>
      </x:c>
      <x:c r="H123" s="84" t="str">
        <x:v>Desalinhamento</x:v>
      </x:c>
      <x:c r="I123" s="84" t="n">
        <x:v>862</x:v>
      </x:c>
      <x:c r="J123" s="93" t="n">
        <x:v>41263.19</x:v>
      </x:c>
      <x:c r="K123" s="85" t="str">
        <x:v>1º Turno</x:v>
      </x:c>
    </x:row>
    <x:row r="124">
      <x:c r="A124" s="83" t="n">
        <x:v>123</x:v>
      </x:c>
      <x:c r="B124" s="84" t="n">
        <x:v>83</x:v>
      </x:c>
      <x:c r="C124" s="84" t="n">
        <x:v>185</x:v>
      </x:c>
      <x:c r="D124" s="89" t="n">
        <x:v>45775.449953703705</x:v>
      </x:c>
      <x:c r="E124" s="89" t="n">
        <x:v>45775.8937037037</x:v>
      </x:c>
      <x:c r="F124" s="84" t="n">
        <x:v>639</x:v>
      </x:c>
      <x:c r="G124" s="84" t="n">
        <x:v>0</x:v>
      </x:c>
      <x:c r="H124" s="84" t="str">
        <x:v>Superaquecimento</x:v>
      </x:c>
      <x:c r="I124" s="84" t="n">
        <x:v>852</x:v>
      </x:c>
      <x:c r="J124" s="93" t="n">
        <x:v>16294.76</x:v>
      </x:c>
      <x:c r="K124" s="85" t="str">
        <x:v>1º Turno</x:v>
      </x:c>
    </x:row>
    <x:row r="125">
      <x:c r="A125" s="83" t="n">
        <x:v>124</x:v>
      </x:c>
      <x:c r="B125" s="84" t="n">
        <x:v>70</x:v>
      </x:c>
      <x:c r="C125" s="84" t="n">
        <x:v>187</x:v>
      </x:c>
      <x:c r="D125" s="89" t="n">
        <x:v>45024.792337962965</x:v>
      </x:c>
      <x:c r="E125" s="89" t="n">
        <x:v>45025.09581018519</x:v>
      </x:c>
      <x:c r="F125" s="84" t="n">
        <x:v>437</x:v>
      </x:c>
      <x:c r="G125" s="84" t="n">
        <x:v>1</x:v>
      </x:c>
      <x:c r="H125" s="84" t="str">
        <x:v>Desalinhamento</x:v>
      </x:c>
      <x:c r="I125" s="84" t="n">
        <x:v>612</x:v>
      </x:c>
      <x:c r="J125" s="93" t="n">
        <x:v>6958.31</x:v>
      </x:c>
      <x:c r="K125" s="85" t="str">
        <x:v>2º Turno</x:v>
      </x:c>
    </x:row>
    <x:row r="126">
      <x:c r="A126" s="83" t="n">
        <x:v>125</x:v>
      </x:c>
      <x:c r="B126" s="84" t="n">
        <x:v>67</x:v>
      </x:c>
      <x:c r="C126" s="84" t="n">
        <x:v>189</x:v>
      </x:c>
      <x:c r="D126" s="89" t="n">
        <x:v>45431.49951388889</x:v>
      </x:c>
      <x:c r="E126" s="89" t="n">
        <x:v>45432.075208333335</x:v>
      </x:c>
      <x:c r="F126" s="84" t="n">
        <x:v>829</x:v>
      </x:c>
      <x:c r="G126" s="84" t="n">
        <x:v>1</x:v>
      </x:c>
      <x:c r="H126" s="84" t="str">
        <x:v>Superaquecimento</x:v>
      </x:c>
      <x:c r="I126" s="84" t="n">
        <x:v>1921</x:v>
      </x:c>
      <x:c r="J126" s="93" t="n">
        <x:v>32973.86</x:v>
      </x:c>
      <x:c r="K126" s="85" t="str">
        <x:v>3º Turno</x:v>
      </x:c>
    </x:row>
    <x:row r="127">
      <x:c r="A127" s="83" t="n">
        <x:v>126</x:v>
      </x:c>
      <x:c r="B127" s="84" t="n">
        <x:v>26</x:v>
      </x:c>
      <x:c r="C127" s="84" t="n">
        <x:v>190</x:v>
      </x:c>
      <x:c r="D127" s="89" t="n">
        <x:v>45005.174849537034</x:v>
      </x:c>
      <x:c r="E127" s="89" t="n">
        <x:v>45005.43318287037</x:v>
      </x:c>
      <x:c r="F127" s="84" t="n">
        <x:v>372</x:v>
      </x:c>
      <x:c r="G127" s="84" t="n">
        <x:v>1</x:v>
      </x:c>
      <x:c r="H127" s="84" t="str">
        <x:v>Falha elétrica</x:v>
      </x:c>
      <x:c r="I127" s="84" t="n">
        <x:v>527</x:v>
      </x:c>
      <x:c r="J127" s="93" t="n">
        <x:v>19177.53</x:v>
      </x:c>
      <x:c r="K127" s="85" t="str">
        <x:v>2º Turno</x:v>
      </x:c>
    </x:row>
    <x:row r="128">
      <x:c r="A128" s="83" t="n">
        <x:v>127</x:v>
      </x:c>
      <x:c r="B128" s="84" t="n">
        <x:v>51</x:v>
      </x:c>
      <x:c r="C128" s="84" t="n">
        <x:v>193</x:v>
      </x:c>
      <x:c r="D128" s="89" t="n">
        <x:v>45063.45263888889</x:v>
      </x:c>
      <x:c r="E128" s="89" t="n">
        <x:v>45063.80194444444</x:v>
      </x:c>
      <x:c r="F128" s="84" t="n">
        <x:v>503</x:v>
      </x:c>
      <x:c r="G128" s="84" t="n">
        <x:v>1</x:v>
      </x:c>
      <x:c r="H128" s="84" t="str">
        <x:v>Baixa pressão</x:v>
      </x:c>
      <x:c r="I128" s="84" t="n">
        <x:v>1132</x:v>
      </x:c>
      <x:c r="J128" s="93" t="n">
        <x:v>25291.56</x:v>
      </x:c>
      <x:c r="K128" s="85" t="str">
        <x:v>3º Turno</x:v>
      </x:c>
    </x:row>
    <x:row r="129">
      <x:c r="A129" s="83" t="n">
        <x:v>128</x:v>
      </x:c>
      <x:c r="B129" s="84" t="n">
        <x:v>54</x:v>
      </x:c>
      <x:c r="C129" s="84" t="n">
        <x:v>196</x:v>
      </x:c>
      <x:c r="D129" s="89" t="n">
        <x:v>45335.61943287037</x:v>
      </x:c>
      <x:c r="E129" s="89" t="n">
        <x:v>45336.084710648145</x:v>
      </x:c>
      <x:c r="F129" s="84" t="n">
        <x:v>670</x:v>
      </x:c>
      <x:c r="G129" s="84" t="n">
        <x:v>1</x:v>
      </x:c>
      <x:c r="H129" s="84" t="str">
        <x:v>Ruído anormal</x:v>
      </x:c>
      <x:c r="I129" s="84" t="n">
        <x:v>1072</x:v>
      </x:c>
      <x:c r="J129" s="93" t="n">
        <x:v>36457.01</x:v>
      </x:c>
      <x:c r="K129" s="85" t="str">
        <x:v>1º Turno</x:v>
      </x:c>
    </x:row>
    <x:row r="130">
      <x:c r="A130" s="83" t="n">
        <x:v>129</x:v>
      </x:c>
      <x:c r="B130" s="84" t="n">
        <x:v>80</x:v>
      </x:c>
      <x:c r="C130" s="84" t="n">
        <x:v>198</x:v>
      </x:c>
      <x:c r="D130" s="89" t="n">
        <x:v>45083.13043981481</x:v>
      </x:c>
      <x:c r="E130" s="89" t="n">
        <x:v>45083.46238425926</x:v>
      </x:c>
      <x:c r="F130" s="84" t="n">
        <x:v>478</x:v>
      </x:c>
      <x:c r="G130" s="84" t="n">
        <x:v>1</x:v>
      </x:c>
      <x:c r="H130" s="84" t="str">
        <x:v>Ruído anormal</x:v>
      </x:c>
      <x:c r="I130" s="84" t="n">
        <x:v>773</x:v>
      </x:c>
      <x:c r="J130" s="93" t="n">
        <x:v>19908.96</x:v>
      </x:c>
      <x:c r="K130" s="85" t="str">
        <x:v>2º Turno</x:v>
      </x:c>
    </x:row>
    <x:row r="131">
      <x:c r="A131" s="83" t="n">
        <x:v>130</x:v>
      </x:c>
      <x:c r="B131" s="84" t="n">
        <x:v>38</x:v>
      </x:c>
      <x:c r="C131" s="84" t="n">
        <x:v>199</x:v>
      </x:c>
      <x:c r="D131" s="89" t="n">
        <x:v>45252.733935185184</x:v>
      </x:c>
      <x:c r="E131" s="89" t="n">
        <x:v>45253.06796296296</x:v>
      </x:c>
      <x:c r="F131" s="84" t="n">
        <x:v>481</x:v>
      </x:c>
      <x:c r="G131" s="84" t="n">
        <x:v>0</x:v>
      </x:c>
      <x:c r="H131" s="84" t="str">
        <x:v>Ruído anormal</x:v>
      </x:c>
      <x:c r="I131" s="84" t="n">
        <x:v>601</x:v>
      </x:c>
      <x:c r="J131" s="93" t="n">
        <x:v>18370.03</x:v>
      </x:c>
      <x:c r="K131" s="85" t="str">
        <x:v>1º Turno</x:v>
      </x:c>
    </x:row>
    <x:row r="132">
      <x:c r="A132" s="83" t="n">
        <x:v>131</x:v>
      </x:c>
      <x:c r="B132" s="84" t="n">
        <x:v>59</x:v>
      </x:c>
      <x:c r="C132" s="84" t="n">
        <x:v>204</x:v>
      </x:c>
      <x:c r="D132" s="89" t="n">
        <x:v>45944.39225694445</x:v>
      </x:c>
      <x:c r="E132" s="89" t="n">
        <x:v>45944.470729166664</x:v>
      </x:c>
      <x:c r="F132" s="84" t="n">
        <x:v>113</x:v>
      </x:c>
      <x:c r="G132" s="84" t="n">
        <x:v>1</x:v>
      </x:c>
      <x:c r="H132" s="84" t="str">
        <x:v>Baixa pressão</x:v>
      </x:c>
      <x:c r="I132" s="84" t="n">
        <x:v>277</x:v>
      </x:c>
      <x:c r="J132" s="93" t="n">
        <x:v>3202.8</x:v>
      </x:c>
      <x:c r="K132" s="85" t="str">
        <x:v>2º Turno</x:v>
      </x:c>
    </x:row>
    <x:row r="133">
      <x:c r="A133" s="83" t="n">
        <x:v>132</x:v>
      </x:c>
      <x:c r="B133" s="84" t="n">
        <x:v>32</x:v>
      </x:c>
      <x:c r="C133" s="84" t="n">
        <x:v>205</x:v>
      </x:c>
      <x:c r="D133" s="89" t="n">
        <x:v>45012.17302083333</x:v>
      </x:c>
      <x:c r="E133" s="89" t="n">
        <x:v>45012.79802083333</x:v>
      </x:c>
      <x:c r="F133" s="84" t="n">
        <x:v>900</x:v>
      </x:c>
      <x:c r="G133" s="84" t="n">
        <x:v>1</x:v>
      </x:c>
      <x:c r="H133" s="84" t="str">
        <x:v>Vazamento</x:v>
      </x:c>
      <x:c r="I133" s="84" t="n">
        <x:v>1470</x:v>
      </x:c>
      <x:c r="J133" s="93" t="n">
        <x:v>39482.36</x:v>
      </x:c>
      <x:c r="K133" s="85" t="str">
        <x:v>1º Turno</x:v>
      </x:c>
    </x:row>
    <x:row r="134">
      <x:c r="A134" s="83" t="n">
        <x:v>133</x:v>
      </x:c>
      <x:c r="B134" s="84" t="n">
        <x:v>44</x:v>
      </x:c>
      <x:c r="C134" s="84" t="n">
        <x:v>207</x:v>
      </x:c>
      <x:c r="D134" s="89" t="n">
        <x:v>45777.63145833334</x:v>
      </x:c>
      <x:c r="E134" s="89" t="n">
        <x:v>45777.69534722222</x:v>
      </x:c>
      <x:c r="F134" s="84" t="n">
        <x:v>92</x:v>
      </x:c>
      <x:c r="G134" s="84" t="n">
        <x:v>1</x:v>
      </x:c>
      <x:c r="H134" s="84" t="str">
        <x:v>Ruído anormal</x:v>
      </x:c>
      <x:c r="I134" s="84" t="n">
        <x:v>141</x:v>
      </x:c>
      <x:c r="J134" s="93" t="n">
        <x:v>2901.58</x:v>
      </x:c>
      <x:c r="K134" s="85" t="str">
        <x:v>1º Turno</x:v>
      </x:c>
    </x:row>
    <x:row r="135">
      <x:c r="A135" s="83" t="n">
        <x:v>134</x:v>
      </x:c>
      <x:c r="B135" s="84" t="n">
        <x:v>3</x:v>
      </x:c>
      <x:c r="C135" s="84" t="n">
        <x:v>210</x:v>
      </x:c>
      <x:c r="D135" s="89" t="n">
        <x:v>45647.887662037036</x:v>
      </x:c>
      <x:c r="E135" s="89" t="n">
        <x:v>45648.31196759259</x:v>
      </x:c>
      <x:c r="F135" s="84" t="n">
        <x:v>611</x:v>
      </x:c>
      <x:c r="G135" s="84" t="n">
        <x:v>0</x:v>
      </x:c>
      <x:c r="H135" s="84" t="str">
        <x:v>Superaquecimento</x:v>
      </x:c>
      <x:c r="I135" s="84" t="n">
        <x:v>978</x:v>
      </x:c>
      <x:c r="J135" s="93" t="n">
        <x:v>25806.32</x:v>
      </x:c>
      <x:c r="K135" s="85" t="str">
        <x:v>3º Turno</x:v>
      </x:c>
    </x:row>
    <x:row r="136">
      <x:c r="A136" s="83" t="n">
        <x:v>135</x:v>
      </x:c>
      <x:c r="B136" s="84" t="n">
        <x:v>78</x:v>
      </x:c>
      <x:c r="C136" s="84" t="n">
        <x:v>211</x:v>
      </x:c>
      <x:c r="D136" s="89" t="n">
        <x:v>45867.37787037037</x:v>
      </x:c>
      <x:c r="E136" s="89" t="n">
        <x:v>45867.48550925926</x:v>
      </x:c>
      <x:c r="F136" s="84" t="n">
        <x:v>155</x:v>
      </x:c>
      <x:c r="G136" s="84" t="n">
        <x:v>1</x:v>
      </x:c>
      <x:c r="H136" s="84" t="str">
        <x:v>Superaquecimento</x:v>
      </x:c>
      <x:c r="I136" s="84" t="n">
        <x:v>284</x:v>
      </x:c>
      <x:c r="J136" s="93" t="n">
        <x:v>6502.65</x:v>
      </x:c>
      <x:c r="K136" s="85" t="str">
        <x:v>2º Turno</x:v>
      </x:c>
    </x:row>
    <x:row r="137">
      <x:c r="A137" s="83" t="n">
        <x:v>136</x:v>
      </x:c>
      <x:c r="B137" s="84" t="n">
        <x:v>20</x:v>
      </x:c>
      <x:c r="C137" s="84" t="n">
        <x:v>214</x:v>
      </x:c>
      <x:c r="D137" s="89" t="n">
        <x:v>45749.2821412037</x:v>
      </x:c>
      <x:c r="E137" s="89" t="n">
        <x:v>45749.308530092596</x:v>
      </x:c>
      <x:c r="F137" s="84" t="n">
        <x:v>38</x:v>
      </x:c>
      <x:c r="G137" s="84" t="n">
        <x:v>1</x:v>
      </x:c>
      <x:c r="H137" s="84" t="str">
        <x:v>Alarme intermitente</x:v>
      </x:c>
      <x:c r="I137" s="84" t="n">
        <x:v>78</x:v>
      </x:c>
      <x:c r="J137" s="93" t="n">
        <x:v>1144.7</x:v>
      </x:c>
      <x:c r="K137" s="85" t="str">
        <x:v>2º Turno</x:v>
      </x:c>
    </x:row>
    <x:row r="138">
      <x:c r="A138" s="83" t="n">
        <x:v>137</x:v>
      </x:c>
      <x:c r="B138" s="84" t="n">
        <x:v>36</x:v>
      </x:c>
      <x:c r="C138" s="84" t="n">
        <x:v>215</x:v>
      </x:c>
      <x:c r="D138" s="89" t="n">
        <x:v>45360.73672453704</x:v>
      </x:c>
      <x:c r="E138" s="89" t="n">
        <x:v>45361.25755787037</x:v>
      </x:c>
      <x:c r="F138" s="84" t="n">
        <x:v>750</x:v>
      </x:c>
      <x:c r="G138" s="84" t="n">
        <x:v>1</x:v>
      </x:c>
      <x:c r="H138" s="84" t="str">
        <x:v>Alarme intermitente</x:v>
      </x:c>
      <x:c r="I138" s="84" t="n">
        <x:v>825</x:v>
      </x:c>
      <x:c r="J138" s="93" t="n">
        <x:v>38561.32</x:v>
      </x:c>
      <x:c r="K138" s="85" t="str">
        <x:v>2º Turno</x:v>
      </x:c>
    </x:row>
    <x:row r="139">
      <x:c r="A139" s="83" t="n">
        <x:v>138</x:v>
      </x:c>
      <x:c r="B139" s="84" t="n">
        <x:v>42</x:v>
      </x:c>
      <x:c r="C139" s="84" t="n">
        <x:v>216</x:v>
      </x:c>
      <x:c r="D139" s="89" t="n">
        <x:v>45210.87893518519</x:v>
      </x:c>
      <x:c r="E139" s="89" t="n">
        <x:v>45211.152546296296</x:v>
      </x:c>
      <x:c r="F139" s="84" t="n">
        <x:v>394</x:v>
      </x:c>
      <x:c r="G139" s="84" t="n">
        <x:v>0</x:v>
      </x:c>
      <x:c r="H139" s="84" t="str">
        <x:v>Baixa pressão</x:v>
      </x:c>
      <x:c r="I139" s="84" t="n">
        <x:v>729</x:v>
      </x:c>
      <x:c r="J139" s="93" t="n">
        <x:v>13676.89</x:v>
      </x:c>
      <x:c r="K139" s="85" t="str">
        <x:v>2º Turno</x:v>
      </x:c>
    </x:row>
    <x:row r="140">
      <x:c r="A140" s="83" t="n">
        <x:v>139</x:v>
      </x:c>
      <x:c r="B140" s="84" t="n">
        <x:v>2</x:v>
      </x:c>
      <x:c r="C140" s="84" t="n">
        <x:v>219</x:v>
      </x:c>
      <x:c r="D140" s="89" t="n">
        <x:v>45842.3203125</x:v>
      </x:c>
      <x:c r="E140" s="89" t="n">
        <x:v>45842.407118055555</x:v>
      </x:c>
      <x:c r="F140" s="84" t="n">
        <x:v>125</x:v>
      </x:c>
      <x:c r="G140" s="84" t="n">
        <x:v>1</x:v>
      </x:c>
      <x:c r="H140" s="84" t="str">
        <x:v>Desalinhamento</x:v>
      </x:c>
      <x:c r="I140" s="84" t="n">
        <x:v>142</x:v>
      </x:c>
      <x:c r="J140" s="93" t="n">
        <x:v>4262.14</x:v>
      </x:c>
      <x:c r="K140" s="85" t="str">
        <x:v>3º Turno</x:v>
      </x:c>
    </x:row>
    <x:row r="141">
      <x:c r="A141" s="83" t="n">
        <x:v>140</x:v>
      </x:c>
      <x:c r="B141" s="84" t="n">
        <x:v>73</x:v>
      </x:c>
      <x:c r="C141" s="84" t="n">
        <x:v>220</x:v>
      </x:c>
      <x:c r="D141" s="89" t="n">
        <x:v>45418.32466435185</x:v>
      </x:c>
      <x:c r="E141" s="89" t="n">
        <x:v>45418.83021990741</x:v>
      </x:c>
      <x:c r="F141" s="84" t="n">
        <x:v>728</x:v>
      </x:c>
      <x:c r="G141" s="84" t="n">
        <x:v>1</x:v>
      </x:c>
      <x:c r="H141" s="84" t="str">
        <x:v>Ruído anormal</x:v>
      </x:c>
      <x:c r="I141" s="84" t="n">
        <x:v>934</x:v>
      </x:c>
      <x:c r="J141" s="93" t="n">
        <x:v>42098.8</x:v>
      </x:c>
      <x:c r="K141" s="85" t="str">
        <x:v>1º Turno</x:v>
      </x:c>
    </x:row>
    <x:row r="142">
      <x:c r="A142" s="83" t="n">
        <x:v>141</x:v>
      </x:c>
      <x:c r="B142" s="84" t="n">
        <x:v>77</x:v>
      </x:c>
      <x:c r="C142" s="84" t="n">
        <x:v>221</x:v>
      </x:c>
      <x:c r="D142" s="89" t="n">
        <x:v>45915.15415509259</x:v>
      </x:c>
      <x:c r="E142" s="89" t="n">
        <x:v>45915.743738425925</x:v>
      </x:c>
      <x:c r="F142" s="84" t="n">
        <x:v>849</x:v>
      </x:c>
      <x:c r="G142" s="84" t="n">
        <x:v>1</x:v>
      </x:c>
      <x:c r="H142" s="84" t="str">
        <x:v>Ruído anormal</x:v>
      </x:c>
      <x:c r="I142" s="84" t="n">
        <x:v>1840</x:v>
      </x:c>
      <x:c r="J142" s="93" t="n">
        <x:v>15870.35</x:v>
      </x:c>
      <x:c r="K142" s="85" t="str">
        <x:v>2º Turno</x:v>
      </x:c>
    </x:row>
    <x:row r="143">
      <x:c r="A143" s="83" t="n">
        <x:v>142</x:v>
      </x:c>
      <x:c r="B143" s="84" t="n">
        <x:v>79</x:v>
      </x:c>
      <x:c r="C143" s="84" t="n">
        <x:v>222</x:v>
      </x:c>
      <x:c r="D143" s="89" t="n">
        <x:v>45247.71603009259</x:v>
      </x:c>
      <x:c r="E143" s="89" t="n">
        <x:v>45247.768113425926</x:v>
      </x:c>
      <x:c r="F143" s="84" t="n">
        <x:v>75</x:v>
      </x:c>
      <x:c r="G143" s="84" t="n">
        <x:v>0</x:v>
      </x:c>
      <x:c r="H143" s="84" t="str">
        <x:v>Alarme intermitente</x:v>
      </x:c>
      <x:c r="I143" s="84" t="n">
        <x:v>118</x:v>
      </x:c>
      <x:c r="J143" s="93" t="n">
        <x:v>4330.07</x:v>
      </x:c>
      <x:c r="K143" s="85" t="str">
        <x:v>1º Turno</x:v>
      </x:c>
    </x:row>
    <x:row r="144">
      <x:c r="A144" s="83" t="n">
        <x:v>143</x:v>
      </x:c>
      <x:c r="B144" s="84" t="n">
        <x:v>66</x:v>
      </x:c>
      <x:c r="C144" s="84" t="n">
        <x:v>223</x:v>
      </x:c>
      <x:c r="D144" s="89" t="n">
        <x:v>45343.4522337963</x:v>
      </x:c>
      <x:c r="E144" s="89" t="n">
        <x:v>45343.51681712963</x:v>
      </x:c>
      <x:c r="F144" s="84" t="n">
        <x:v>93</x:v>
      </x:c>
      <x:c r="G144" s="84" t="n">
        <x:v>1</x:v>
      </x:c>
      <x:c r="H144" s="84" t="str">
        <x:v>Vazamento</x:v>
      </x:c>
      <x:c r="I144" s="84" t="n">
        <x:v>98</x:v>
      </x:c>
      <x:c r="J144" s="93" t="n">
        <x:v>4347.14</x:v>
      </x:c>
      <x:c r="K144" s="85" t="str">
        <x:v>2º Turno</x:v>
      </x:c>
    </x:row>
    <x:row r="145">
      <x:c r="A145" s="83" t="n">
        <x:v>144</x:v>
      </x:c>
      <x:c r="B145" s="84" t="n">
        <x:v>79</x:v>
      </x:c>
      <x:c r="C145" s="84" t="n">
        <x:v>225</x:v>
      </x:c>
      <x:c r="D145" s="89" t="n">
        <x:v>45760.46456018519</x:v>
      </x:c>
      <x:c r="E145" s="89" t="n">
        <x:v>45760.534004629626</x:v>
      </x:c>
      <x:c r="F145" s="84" t="n">
        <x:v>100</x:v>
      </x:c>
      <x:c r="G145" s="84" t="n">
        <x:v>1</x:v>
      </x:c>
      <x:c r="H145" s="84" t="str">
        <x:v>Vazamento</x:v>
      </x:c>
      <x:c r="I145" s="84" t="n">
        <x:v>125</x:v>
      </x:c>
      <x:c r="J145" s="93" t="n">
        <x:v>2687.6</x:v>
      </x:c>
      <x:c r="K145" s="85" t="str">
        <x:v>1º Turno</x:v>
      </x:c>
    </x:row>
    <x:row r="146">
      <x:c r="A146" s="83" t="n">
        <x:v>145</x:v>
      </x:c>
      <x:c r="B146" s="84" t="n">
        <x:v>62</x:v>
      </x:c>
      <x:c r="C146" s="84" t="n">
        <x:v>226</x:v>
      </x:c>
      <x:c r="D146" s="89" t="n">
        <x:v>45121.590844907405</x:v>
      </x:c>
      <x:c r="E146" s="89" t="n">
        <x:v>45122.190150462964</x:v>
      </x:c>
      <x:c r="F146" s="84" t="n">
        <x:v>863</x:v>
      </x:c>
      <x:c r="G146" s="84" t="n">
        <x:v>1</x:v>
      </x:c>
      <x:c r="H146" s="84" t="str">
        <x:v>Vazamento</x:v>
      </x:c>
      <x:c r="I146" s="84" t="n">
        <x:v>1855</x:v>
      </x:c>
      <x:c r="J146" s="93" t="n">
        <x:v>34018.67</x:v>
      </x:c>
      <x:c r="K146" s="85" t="str">
        <x:v>1º Turno</x:v>
      </x:c>
    </x:row>
    <x:row r="147">
      <x:c r="A147" s="83" t="n">
        <x:v>146</x:v>
      </x:c>
      <x:c r="B147" s="84" t="n">
        <x:v>52</x:v>
      </x:c>
      <x:c r="C147" s="84" t="n">
        <x:v>228</x:v>
      </x:c>
      <x:c r="D147" s="89" t="n">
        <x:v>45145.94170138889</x:v>
      </x:c>
      <x:c r="E147" s="89" t="n">
        <x:v>45146.1278125</x:v>
      </x:c>
      <x:c r="F147" s="84" t="n">
        <x:v>268</x:v>
      </x:c>
      <x:c r="G147" s="84" t="n">
        <x:v>1</x:v>
      </x:c>
      <x:c r="H147" s="84" t="str">
        <x:v>Alarme intermitente</x:v>
      </x:c>
      <x:c r="I147" s="84" t="n">
        <x:v>648</x:v>
      </x:c>
      <x:c r="J147" s="93" t="n">
        <x:v>11437.85</x:v>
      </x:c>
      <x:c r="K147" s="85" t="str">
        <x:v>3º Turno</x:v>
      </x:c>
    </x:row>
    <x:row r="148">
      <x:c r="A148" s="83" t="n">
        <x:v>147</x:v>
      </x:c>
      <x:c r="B148" s="84" t="n">
        <x:v>41</x:v>
      </x:c>
      <x:c r="C148" s="84" t="n">
        <x:v>229</x:v>
      </x:c>
      <x:c r="D148" s="89" t="n">
        <x:v>45266.39011574074</x:v>
      </x:c>
      <x:c r="E148" s="89" t="n">
        <x:v>45266.51650462963</x:v>
      </x:c>
      <x:c r="F148" s="84" t="n">
        <x:v>182</x:v>
      </x:c>
      <x:c r="G148" s="84" t="n">
        <x:v>0</x:v>
      </x:c>
      <x:c r="H148" s="84" t="str">
        <x:v>Ruído anormal</x:v>
      </x:c>
      <x:c r="I148" s="84" t="n">
        <x:v>413</x:v>
      </x:c>
      <x:c r="J148" s="93" t="n">
        <x:v>4883.78</x:v>
      </x:c>
      <x:c r="K148" s="85" t="str">
        <x:v>3º Turno</x:v>
      </x:c>
    </x:row>
    <x:row r="149">
      <x:c r="A149" s="83" t="n">
        <x:v>148</x:v>
      </x:c>
      <x:c r="B149" s="84" t="n">
        <x:v>75</x:v>
      </x:c>
      <x:c r="C149" s="84" t="n">
        <x:v>231</x:v>
      </x:c>
      <x:c r="D149" s="89" t="n">
        <x:v>44929.93346064815</x:v>
      </x:c>
      <x:c r="E149" s="89" t="n">
        <x:v>44930.048738425925</x:v>
      </x:c>
      <x:c r="F149" s="84" t="n">
        <x:v>166</x:v>
      </x:c>
      <x:c r="G149" s="84" t="n">
        <x:v>1</x:v>
      </x:c>
      <x:c r="H149" s="84" t="str">
        <x:v>Desalinhamento</x:v>
      </x:c>
      <x:c r="I149" s="84" t="n">
        <x:v>390</x:v>
      </x:c>
      <x:c r="J149" s="93" t="n">
        <x:v>5992.99</x:v>
      </x:c>
      <x:c r="K149" s="85" t="str">
        <x:v>3º Turno</x:v>
      </x:c>
    </x:row>
    <x:row r="150">
      <x:c r="A150" s="83" t="n">
        <x:v>149</x:v>
      </x:c>
      <x:c r="B150" s="84" t="n">
        <x:v>55</x:v>
      </x:c>
      <x:c r="C150" s="84" t="n">
        <x:v>232</x:v>
      </x:c>
      <x:c r="D150" s="89" t="n">
        <x:v>45119.18751157408</x:v>
      </x:c>
      <x:c r="E150" s="89" t="n">
        <x:v>45119.79931712963</x:v>
      </x:c>
      <x:c r="F150" s="84" t="n">
        <x:v>881</x:v>
      </x:c>
      <x:c r="G150" s="84" t="n">
        <x:v>1</x:v>
      </x:c>
      <x:c r="H150" s="84" t="str">
        <x:v>Alarme intermitente</x:v>
      </x:c>
      <x:c r="I150" s="84" t="n">
        <x:v>1747</x:v>
      </x:c>
      <x:c r="J150" s="93" t="n">
        <x:v>30553.51</x:v>
      </x:c>
      <x:c r="K150" s="85" t="str">
        <x:v>2º Turno</x:v>
      </x:c>
    </x:row>
    <x:row r="151">
      <x:c r="A151" s="83" t="n">
        <x:v>150</x:v>
      </x:c>
      <x:c r="B151" s="84" t="n">
        <x:v>50</x:v>
      </x:c>
      <x:c r="C151" s="84" t="n">
        <x:v>234</x:v>
      </x:c>
      <x:c r="D151" s="89" t="n">
        <x:v>45157.812789351854</x:v>
      </x:c>
      <x:c r="E151" s="89" t="n">
        <x:v>45157.94820601852</x:v>
      </x:c>
      <x:c r="F151" s="84" t="n">
        <x:v>195</x:v>
      </x:c>
      <x:c r="G151" s="84" t="n">
        <x:v>0</x:v>
      </x:c>
      <x:c r="H151" s="84" t="str">
        <x:v>Baixa pressão</x:v>
      </x:c>
      <x:c r="I151" s="84" t="n">
        <x:v>488</x:v>
      </x:c>
      <x:c r="J151" s="93" t="n">
        <x:v>2772.73</x:v>
      </x:c>
      <x:c r="K151" s="85" t="str">
        <x:v>1º Turno</x:v>
      </x:c>
    </x:row>
    <x:row r="152">
      <x:c r="A152" s="83" t="n">
        <x:v>151</x:v>
      </x:c>
      <x:c r="B152" s="84" t="n">
        <x:v>33</x:v>
      </x:c>
      <x:c r="C152" s="84" t="n">
        <x:v>235</x:v>
      </x:c>
      <x:c r="D152" s="89" t="n">
        <x:v>45288.80228009259</x:v>
      </x:c>
      <x:c r="E152" s="89" t="n">
        <x:v>45289.15644675926</x:v>
      </x:c>
      <x:c r="F152" s="84" t="n">
        <x:v>510</x:v>
      </x:c>
      <x:c r="G152" s="84" t="n">
        <x:v>1</x:v>
      </x:c>
      <x:c r="H152" s="84" t="str">
        <x:v>Alarme intermitente</x:v>
      </x:c>
      <x:c r="I152" s="84" t="n">
        <x:v>926</x:v>
      </x:c>
      <x:c r="J152" s="93" t="n">
        <x:v>9877.37</x:v>
      </x:c>
      <x:c r="K152" s="85" t="str">
        <x:v>3º Turno</x:v>
      </x:c>
    </x:row>
    <x:row r="153">
      <x:c r="A153" s="83" t="n">
        <x:v>152</x:v>
      </x:c>
      <x:c r="B153" s="84" t="n">
        <x:v>30</x:v>
      </x:c>
      <x:c r="C153" s="84" t="n">
        <x:v>236</x:v>
      </x:c>
      <x:c r="D153" s="89" t="n">
        <x:v>45166.85020833334</x:v>
      </x:c>
      <x:c r="E153" s="89" t="n">
        <x:v>45167.03423611111</x:v>
      </x:c>
      <x:c r="F153" s="84" t="n">
        <x:v>265</x:v>
      </x:c>
      <x:c r="G153" s="84" t="n">
        <x:v>1</x:v>
      </x:c>
      <x:c r="H153" s="84" t="str">
        <x:v>Superaquecimento</x:v>
      </x:c>
      <x:c r="I153" s="84" t="n">
        <x:v>318</x:v>
      </x:c>
      <x:c r="J153" s="93" t="n">
        <x:v>7098.74</x:v>
      </x:c>
      <x:c r="K153" s="85" t="str">
        <x:v>3º Turno</x:v>
      </x:c>
    </x:row>
    <x:row r="154">
      <x:c r="A154" s="83" t="n">
        <x:v>153</x:v>
      </x:c>
      <x:c r="B154" s="84" t="n">
        <x:v>63</x:v>
      </x:c>
      <x:c r="C154" s="84" t="n">
        <x:v>237</x:v>
      </x:c>
      <x:c r="D154" s="89" t="n">
        <x:v>45448.227951388886</x:v>
      </x:c>
      <x:c r="E154" s="89" t="n">
        <x:v>45448.57864583333</x:v>
      </x:c>
      <x:c r="F154" s="84" t="n">
        <x:v>505</x:v>
      </x:c>
      <x:c r="G154" s="84" t="n">
        <x:v>0</x:v>
      </x:c>
      <x:c r="H154" s="84" t="str">
        <x:v>Alarme intermitente</x:v>
      </x:c>
      <x:c r="I154" s="84" t="n">
        <x:v>1153</x:v>
      </x:c>
      <x:c r="J154" s="93" t="n">
        <x:v>15940.18</x:v>
      </x:c>
      <x:c r="K154" s="85" t="str">
        <x:v>3º Turno</x:v>
      </x:c>
    </x:row>
    <x:row r="155">
      <x:c r="A155" s="83" t="n">
        <x:v>154</x:v>
      </x:c>
      <x:c r="B155" s="84" t="n">
        <x:v>84</x:v>
      </x:c>
      <x:c r="C155" s="84" t="n">
        <x:v>240</x:v>
      </x:c>
      <x:c r="D155" s="89" t="n">
        <x:v>45449.59049768518</x:v>
      </x:c>
      <x:c r="E155" s="89" t="n">
        <x:v>45449.80577546296</x:v>
      </x:c>
      <x:c r="F155" s="84" t="n">
        <x:v>310</x:v>
      </x:c>
      <x:c r="G155" s="84" t="n">
        <x:v>0</x:v>
      </x:c>
      <x:c r="H155" s="84" t="str">
        <x:v>Desalinhamento</x:v>
      </x:c>
      <x:c r="I155" s="84" t="n">
        <x:v>713</x:v>
      </x:c>
      <x:c r="J155" s="93" t="n">
        <x:v>10824.65</x:v>
      </x:c>
      <x:c r="K155" s="85" t="str">
        <x:v>1º Turno</x:v>
      </x:c>
    </x:row>
    <x:row r="156">
      <x:c r="A156" s="83" t="n">
        <x:v>155</x:v>
      </x:c>
      <x:c r="B156" s="84" t="n">
        <x:v>90</x:v>
      </x:c>
      <x:c r="C156" s="84" t="n">
        <x:v>242</x:v>
      </x:c>
      <x:c r="D156" s="89" t="n">
        <x:v>45246.27328703704</x:v>
      </x:c>
      <x:c r="E156" s="89" t="n">
        <x:v>45246.32884259259</x:v>
      </x:c>
      <x:c r="F156" s="84" t="n">
        <x:v>80</x:v>
      </x:c>
      <x:c r="G156" s="84" t="n">
        <x:v>0</x:v>
      </x:c>
      <x:c r="H156" s="84" t="str">
        <x:v>Falha elétrica</x:v>
      </x:c>
      <x:c r="I156" s="84" t="n">
        <x:v>93</x:v>
      </x:c>
      <x:c r="J156" s="93" t="n">
        <x:v>1957.46</x:v>
      </x:c>
      <x:c r="K156" s="85" t="str">
        <x:v>1º Turno</x:v>
      </x:c>
    </x:row>
    <x:row r="157">
      <x:c r="A157" s="83" t="n">
        <x:v>156</x:v>
      </x:c>
      <x:c r="B157" s="84" t="n">
        <x:v>2</x:v>
      </x:c>
      <x:c r="C157" s="84" t="n">
        <x:v>243</x:v>
      </x:c>
      <x:c r="D157" s="89" t="n">
        <x:v>45517.5062962963</x:v>
      </x:c>
      <x:c r="E157" s="89" t="n">
        <x:v>45517.80143518518</x:v>
      </x:c>
      <x:c r="F157" s="84" t="n">
        <x:v>425</x:v>
      </x:c>
      <x:c r="G157" s="84" t="n">
        <x:v>1</x:v>
      </x:c>
      <x:c r="H157" s="84" t="str">
        <x:v>Baixa pressão</x:v>
      </x:c>
      <x:c r="I157" s="84" t="n">
        <x:v>482</x:v>
      </x:c>
      <x:c r="J157" s="93" t="n">
        <x:v>17369.71</x:v>
      </x:c>
      <x:c r="K157" s="85" t="str">
        <x:v>1º Turno</x:v>
      </x:c>
    </x:row>
    <x:row r="158">
      <x:c r="A158" s="83" t="n">
        <x:v>157</x:v>
      </x:c>
      <x:c r="B158" s="84" t="n">
        <x:v>60</x:v>
      </x:c>
      <x:c r="C158" s="84" t="n">
        <x:v>244</x:v>
      </x:c>
      <x:c r="D158" s="89" t="n">
        <x:v>45650.28900462963</x:v>
      </x:c>
      <x:c r="E158" s="89" t="n">
        <x:v>45650.37789351852</x:v>
      </x:c>
      <x:c r="F158" s="84" t="n">
        <x:v>128</x:v>
      </x:c>
      <x:c r="G158" s="84" t="n">
        <x:v>1</x:v>
      </x:c>
      <x:c r="H158" s="84" t="str">
        <x:v>Desalinhamento</x:v>
      </x:c>
      <x:c r="I158" s="84" t="n">
        <x:v>245</x:v>
      </x:c>
      <x:c r="J158" s="93" t="n">
        <x:v>5058.18</x:v>
      </x:c>
      <x:c r="K158" s="85" t="str">
        <x:v>3º Turno</x:v>
      </x:c>
    </x:row>
    <x:row r="159">
      <x:c r="A159" s="83" t="n">
        <x:v>158</x:v>
      </x:c>
      <x:c r="B159" s="84" t="n">
        <x:v>11</x:v>
      </x:c>
      <x:c r="C159" s="84" t="n">
        <x:v>245</x:v>
      </x:c>
      <x:c r="D159" s="89" t="n">
        <x:v>45509.032743055555</x:v>
      </x:c>
      <x:c r="E159" s="89" t="n">
        <x:v>45509.16677083333</x:v>
      </x:c>
      <x:c r="F159" s="84" t="n">
        <x:v>193</x:v>
      </x:c>
      <x:c r="G159" s="84" t="n">
        <x:v>1</x:v>
      </x:c>
      <x:c r="H159" s="84" t="str">
        <x:v>Desalinhamento</x:v>
      </x:c>
      <x:c r="I159" s="84" t="n">
        <x:v>351</x:v>
      </x:c>
      <x:c r="J159" s="93" t="n">
        <x:v>3675.08</x:v>
      </x:c>
      <x:c r="K159" s="85" t="str">
        <x:v>2º Turno</x:v>
      </x:c>
    </x:row>
    <x:row r="160">
      <x:c r="A160" s="83" t="n">
        <x:v>159</x:v>
      </x:c>
      <x:c r="B160" s="84" t="n">
        <x:v>3</x:v>
      </x:c>
      <x:c r="C160" s="84" t="n">
        <x:v>246</x:v>
      </x:c>
      <x:c r="D160" s="89" t="n">
        <x:v>45464.58164351852</x:v>
      </x:c>
      <x:c r="E160" s="89" t="n">
        <x:v>45465.06983796296</x:v>
      </x:c>
      <x:c r="F160" s="84" t="n">
        <x:v>703</x:v>
      </x:c>
      <x:c r="G160" s="84" t="n">
        <x:v>0</x:v>
      </x:c>
      <x:c r="H160" s="84" t="str">
        <x:v>Vazamento</x:v>
      </x:c>
      <x:c r="I160" s="84" t="n">
        <x:v>1054</x:v>
      </x:c>
      <x:c r="J160" s="93" t="n">
        <x:v>27947.21</x:v>
      </x:c>
      <x:c r="K160" s="85" t="str">
        <x:v>1º Turno</x:v>
      </x:c>
    </x:row>
    <x:row r="161">
      <x:c r="A161" s="83" t="n">
        <x:v>160</x:v>
      </x:c>
      <x:c r="B161" s="84" t="n">
        <x:v>86</x:v>
      </x:c>
      <x:c r="C161" s="84" t="n">
        <x:v>247</x:v>
      </x:c>
      <x:c r="D161" s="89" t="n">
        <x:v>45812.57766203704</x:v>
      </x:c>
      <x:c r="E161" s="89" t="n">
        <x:v>45812.92905092592</x:v>
      </x:c>
      <x:c r="F161" s="84" t="n">
        <x:v>506</x:v>
      </x:c>
      <x:c r="G161" s="84" t="n">
        <x:v>1</x:v>
      </x:c>
      <x:c r="H161" s="84" t="str">
        <x:v>Superaquecimento</x:v>
      </x:c>
      <x:c r="I161" s="84" t="n">
        <x:v>1138</x:v>
      </x:c>
      <x:c r="J161" s="93" t="n">
        <x:v>9033.64</x:v>
      </x:c>
      <x:c r="K161" s="85" t="str">
        <x:v>3º Turno</x:v>
      </x:c>
    </x:row>
    <x:row r="162">
      <x:c r="A162" s="83" t="n">
        <x:v>161</x:v>
      </x:c>
      <x:c r="B162" s="84" t="n">
        <x:v>85</x:v>
      </x:c>
      <x:c r="C162" s="84" t="n">
        <x:v>250</x:v>
      </x:c>
      <x:c r="D162" s="89" t="n">
        <x:v>45693.37744212963</x:v>
      </x:c>
      <x:c r="E162" s="89" t="n">
        <x:v>45693.513553240744</x:v>
      </x:c>
      <x:c r="F162" s="84" t="n">
        <x:v>196</x:v>
      </x:c>
      <x:c r="G162" s="84" t="n">
        <x:v>1</x:v>
      </x:c>
      <x:c r="H162" s="84" t="str">
        <x:v>Alarme intermitente</x:v>
      </x:c>
      <x:c r="I162" s="84" t="n">
        <x:v>369</x:v>
      </x:c>
      <x:c r="J162" s="93" t="n">
        <x:v>3489.13</x:v>
      </x:c>
      <x:c r="K162" s="85" t="str">
        <x:v>3º Turno</x:v>
      </x:c>
    </x:row>
    <x:row r="163">
      <x:c r="A163" s="83" t="n">
        <x:v>162</x:v>
      </x:c>
      <x:c r="B163" s="84" t="n">
        <x:v>15</x:v>
      </x:c>
      <x:c r="C163" s="84" t="n">
        <x:v>251</x:v>
      </x:c>
      <x:c r="D163" s="89" t="n">
        <x:v>45273.26526620371</x:v>
      </x:c>
      <x:c r="E163" s="89" t="n">
        <x:v>45273.78123842592</x:v>
      </x:c>
      <x:c r="F163" s="84" t="n">
        <x:v>743</x:v>
      </x:c>
      <x:c r="G163" s="84" t="n">
        <x:v>0</x:v>
      </x:c>
      <x:c r="H163" s="84" t="str">
        <x:v>Superaquecimento</x:v>
      </x:c>
      <x:c r="I163" s="84" t="n">
        <x:v>1734</x:v>
      </x:c>
      <x:c r="J163" s="93" t="n">
        <x:v>36453.76</x:v>
      </x:c>
      <x:c r="K163" s="85" t="str">
        <x:v>1º Turno</x:v>
      </x:c>
    </x:row>
    <x:row r="164">
      <x:c r="A164" s="83" t="n">
        <x:v>163</x:v>
      </x:c>
      <x:c r="B164" s="84" t="n">
        <x:v>37</x:v>
      </x:c>
      <x:c r="C164" s="84" t="n">
        <x:v>252</x:v>
      </x:c>
      <x:c r="D164" s="89" t="n">
        <x:v>45689.69326388889</x:v>
      </x:c>
      <x:c r="E164" s="89" t="n">
        <x:v>45689.885625</x:v>
      </x:c>
      <x:c r="F164" s="84" t="n">
        <x:v>277</x:v>
      </x:c>
      <x:c r="G164" s="84" t="n">
        <x:v>1</x:v>
      </x:c>
      <x:c r="H164" s="84" t="str">
        <x:v>Falha elétrica</x:v>
      </x:c>
      <x:c r="I164" s="84" t="n">
        <x:v>609</x:v>
      </x:c>
      <x:c r="J164" s="93" t="n">
        <x:v>11538.29</x:v>
      </x:c>
      <x:c r="K164" s="85" t="str">
        <x:v>1º Turno</x:v>
      </x:c>
    </x:row>
    <x:row r="165">
      <x:c r="A165" s="83" t="n">
        <x:v>164</x:v>
      </x:c>
      <x:c r="B165" s="84" t="n">
        <x:v>38</x:v>
      </x:c>
      <x:c r="C165" s="84" t="n">
        <x:v>253</x:v>
      </x:c>
      <x:c r="D165" s="89" t="n">
        <x:v>45204.01126157407</x:v>
      </x:c>
      <x:c r="E165" s="89" t="n">
        <x:v>45204.07445601852</x:v>
      </x:c>
      <x:c r="F165" s="84" t="n">
        <x:v>91</x:v>
      </x:c>
      <x:c r="G165" s="84" t="n">
        <x:v>1</x:v>
      </x:c>
      <x:c r="H165" s="84" t="str">
        <x:v>Baixa pressão</x:v>
      </x:c>
      <x:c r="I165" s="84" t="n">
        <x:v>135</x:v>
      </x:c>
      <x:c r="J165" s="93" t="n">
        <x:v>2641.52</x:v>
      </x:c>
      <x:c r="K165" s="85" t="str">
        <x:v>1º Turno</x:v>
      </x:c>
    </x:row>
    <x:row r="166">
      <x:c r="A166" s="83" t="n">
        <x:v>165</x:v>
      </x:c>
      <x:c r="B166" s="84" t="n">
        <x:v>78</x:v>
      </x:c>
      <x:c r="C166" s="84" t="n">
        <x:v>256</x:v>
      </x:c>
      <x:c r="D166" s="89" t="n">
        <x:v>45703.219363425924</x:v>
      </x:c>
      <x:c r="E166" s="89" t="n">
        <x:v>45703.58603009259</x:v>
      </x:c>
      <x:c r="F166" s="84" t="n">
        <x:v>528</x:v>
      </x:c>
      <x:c r="G166" s="84" t="n">
        <x:v>1</x:v>
      </x:c>
      <x:c r="H166" s="84" t="str">
        <x:v>Superaquecimento</x:v>
      </x:c>
      <x:c r="I166" s="84" t="n">
        <x:v>1214</x:v>
      </x:c>
      <x:c r="J166" s="93" t="n">
        <x:v>18161.98</x:v>
      </x:c>
      <x:c r="K166" s="85" t="str">
        <x:v>1º Turno</x:v>
      </x:c>
    </x:row>
    <x:row r="167">
      <x:c r="A167" s="83" t="n">
        <x:v>166</x:v>
      </x:c>
      <x:c r="B167" s="84" t="n">
        <x:v>74</x:v>
      </x:c>
      <x:c r="C167" s="84" t="n">
        <x:v>257</x:v>
      </x:c>
      <x:c r="D167" s="89" t="n">
        <x:v>45869.574479166666</x:v>
      </x:c>
      <x:c r="E167" s="89" t="n">
        <x:v>45869.78420138889</x:v>
      </x:c>
      <x:c r="F167" s="84" t="n">
        <x:v>302</x:v>
      </x:c>
      <x:c r="G167" s="84" t="n">
        <x:v>1</x:v>
      </x:c>
      <x:c r="H167" s="84" t="str">
        <x:v>Superaquecimento</x:v>
      </x:c>
      <x:c r="I167" s="84" t="n">
        <x:v>448</x:v>
      </x:c>
      <x:c r="J167" s="93" t="n">
        <x:v>8178.68</x:v>
      </x:c>
      <x:c r="K167" s="85" t="str">
        <x:v>3º Turno</x:v>
      </x:c>
    </x:row>
    <x:row r="168">
      <x:c r="A168" s="83" t="n">
        <x:v>167</x:v>
      </x:c>
      <x:c r="B168" s="84" t="n">
        <x:v>36</x:v>
      </x:c>
      <x:c r="C168" s="84" t="n">
        <x:v>259</x:v>
      </x:c>
      <x:c r="D168" s="89" t="n">
        <x:v>45220.71908564815</x:v>
      </x:c>
      <x:c r="E168" s="89" t="n">
        <x:v>45220.9246412037</x:v>
      </x:c>
      <x:c r="F168" s="84" t="n">
        <x:v>296</x:v>
      </x:c>
      <x:c r="G168" s="84" t="n">
        <x:v>1</x:v>
      </x:c>
      <x:c r="H168" s="84" t="str">
        <x:v>Baixa pressão</x:v>
      </x:c>
      <x:c r="I168" s="84" t="n">
        <x:v>439</x:v>
      </x:c>
      <x:c r="J168" s="93" t="n">
        <x:v>4614.97</x:v>
      </x:c>
      <x:c r="K168" s="85" t="str">
        <x:v>3º Turno</x:v>
      </x:c>
    </x:row>
    <x:row r="169">
      <x:c r="A169" s="83" t="n">
        <x:v>168</x:v>
      </x:c>
      <x:c r="B169" s="84" t="n">
        <x:v>25</x:v>
      </x:c>
      <x:c r="C169" s="84" t="n">
        <x:v>262</x:v>
      </x:c>
      <x:c r="D169" s="89" t="n">
        <x:v>45082.57571759259</x:v>
      </x:c>
      <x:c r="E169" s="89" t="n">
        <x:v>45082.911828703705</x:v>
      </x:c>
      <x:c r="F169" s="84" t="n">
        <x:v>484</x:v>
      </x:c>
      <x:c r="G169" s="84" t="n">
        <x:v>1</x:v>
      </x:c>
      <x:c r="H169" s="84" t="str">
        <x:v>Baixa pressão</x:v>
      </x:c>
      <x:c r="I169" s="84" t="n">
        <x:v>1016</x:v>
      </x:c>
      <x:c r="J169" s="93" t="n">
        <x:v>22534.72</x:v>
      </x:c>
      <x:c r="K169" s="85" t="str">
        <x:v>1º Turno</x:v>
      </x:c>
    </x:row>
    <x:row r="170">
      <x:c r="A170" s="83" t="n">
        <x:v>169</x:v>
      </x:c>
      <x:c r="B170" s="84" t="n">
        <x:v>86</x:v>
      </x:c>
      <x:c r="C170" s="84" t="n">
        <x:v>263</x:v>
      </x:c>
      <x:c r="D170" s="89" t="n">
        <x:v>45377.68498842593</x:v>
      </x:c>
      <x:c r="E170" s="89" t="n">
        <x:v>45378.134988425925</x:v>
      </x:c>
      <x:c r="F170" s="84" t="n">
        <x:v>648</x:v>
      </x:c>
      <x:c r="G170" s="84" t="n">
        <x:v>1</x:v>
      </x:c>
      <x:c r="H170" s="84" t="str">
        <x:v>Ruído anormal</x:v>
      </x:c>
      <x:c r="I170" s="84" t="n">
        <x:v>799</x:v>
      </x:c>
      <x:c r="J170" s="93" t="n">
        <x:v>31834.42</x:v>
      </x:c>
      <x:c r="K170" s="85" t="str">
        <x:v>1º Turno</x:v>
      </x:c>
    </x:row>
    <x:row r="171">
      <x:c r="A171" s="83" t="n">
        <x:v>170</x:v>
      </x:c>
      <x:c r="B171" s="84" t="n">
        <x:v>64</x:v>
      </x:c>
      <x:c r="C171" s="84" t="n">
        <x:v>267</x:v>
      </x:c>
      <x:c r="D171" s="89" t="n">
        <x:v>45385.41273148148</x:v>
      </x:c>
      <x:c r="E171" s="89" t="n">
        <x:v>45385.608564814815</x:v>
      </x:c>
      <x:c r="F171" s="84" t="n">
        <x:v>282</x:v>
      </x:c>
      <x:c r="G171" s="84" t="n">
        <x:v>1</x:v>
      </x:c>
      <x:c r="H171" s="84" t="str">
        <x:v>Falha elétrica</x:v>
      </x:c>
      <x:c r="I171" s="84" t="n">
        <x:v>639</x:v>
      </x:c>
      <x:c r="J171" s="93" t="n">
        <x:v>7101.29</x:v>
      </x:c>
      <x:c r="K171" s="85" t="str">
        <x:v>3º Turno</x:v>
      </x:c>
    </x:row>
    <x:row r="172">
      <x:c r="A172" s="83" t="n">
        <x:v>171</x:v>
      </x:c>
      <x:c r="B172" s="84" t="n">
        <x:v>60</x:v>
      </x:c>
      <x:c r="C172" s="84" t="n">
        <x:v>269</x:v>
      </x:c>
      <x:c r="D172" s="89" t="n">
        <x:v>45946.91270833334</x:v>
      </x:c>
      <x:c r="E172" s="89" t="n">
        <x:v>45947.26756944445</x:v>
      </x:c>
      <x:c r="F172" s="84" t="n">
        <x:v>511</x:v>
      </x:c>
      <x:c r="G172" s="84" t="n">
        <x:v>1</x:v>
      </x:c>
      <x:c r="H172" s="84" t="str">
        <x:v>Ruído anormal</x:v>
      </x:c>
      <x:c r="I172" s="84" t="n">
        <x:v>1209</x:v>
      </x:c>
      <x:c r="J172" s="93" t="n">
        <x:v>18340.86</x:v>
      </x:c>
      <x:c r="K172" s="85" t="str">
        <x:v>3º Turno</x:v>
      </x:c>
    </x:row>
    <x:row r="173">
      <x:c r="A173" s="83" t="n">
        <x:v>172</x:v>
      </x:c>
      <x:c r="B173" s="84" t="n">
        <x:v>47</x:v>
      </x:c>
      <x:c r="C173" s="84" t="n">
        <x:v>272</x:v>
      </x:c>
      <x:c r="D173" s="89" t="n">
        <x:v>45518.82482638889</x:v>
      </x:c>
      <x:c r="E173" s="89" t="n">
        <x:v>45518.951215277775</x:v>
      </x:c>
      <x:c r="F173" s="84" t="n">
        <x:v>182</x:v>
      </x:c>
      <x:c r="G173" s="84" t="n">
        <x:v>1</x:v>
      </x:c>
      <x:c r="H173" s="84" t="str">
        <x:v>Vazamento</x:v>
      </x:c>
      <x:c r="I173" s="84" t="n">
        <x:v>231</x:v>
      </x:c>
      <x:c r="J173" s="93" t="n">
        <x:v>10032.8</x:v>
      </x:c>
      <x:c r="K173" s="85" t="str">
        <x:v>2º Turno</x:v>
      </x:c>
    </x:row>
    <x:row r="174">
      <x:c r="A174" s="83" t="n">
        <x:v>173</x:v>
      </x:c>
      <x:c r="B174" s="84" t="n">
        <x:v>45</x:v>
      </x:c>
      <x:c r="C174" s="84" t="n">
        <x:v>273</x:v>
      </x:c>
      <x:c r="D174" s="89" t="n">
        <x:v>45814.17271990741</x:v>
      </x:c>
      <x:c r="E174" s="89" t="n">
        <x:v>45814.398414351854</x:v>
      </x:c>
      <x:c r="F174" s="84" t="n">
        <x:v>325</x:v>
      </x:c>
      <x:c r="G174" s="84" t="n">
        <x:v>0</x:v>
      </x:c>
      <x:c r="H174" s="84" t="str">
        <x:v>Ruído anormal</x:v>
      </x:c>
      <x:c r="I174" s="84" t="n">
        <x:v>688</x:v>
      </x:c>
      <x:c r="J174" s="93" t="n">
        <x:v>15767.48</x:v>
      </x:c>
      <x:c r="K174" s="85" t="str">
        <x:v>3º Turno</x:v>
      </x:c>
    </x:row>
    <x:row r="175">
      <x:c r="A175" s="83" t="n">
        <x:v>174</x:v>
      </x:c>
      <x:c r="B175" s="84" t="n">
        <x:v>73</x:v>
      </x:c>
      <x:c r="C175" s="84" t="n">
        <x:v>275</x:v>
      </x:c>
      <x:c r="D175" s="89" t="n">
        <x:v>45727.17092592592</x:v>
      </x:c>
      <x:c r="E175" s="89" t="n">
        <x:v>45727.77925925926</x:v>
      </x:c>
      <x:c r="F175" s="84" t="n">
        <x:v>876</x:v>
      </x:c>
      <x:c r="G175" s="84" t="n">
        <x:v>1</x:v>
      </x:c>
      <x:c r="H175" s="84" t="str">
        <x:v>Superaquecimento</x:v>
      </x:c>
      <x:c r="I175" s="84" t="n">
        <x:v>2059</x:v>
      </x:c>
      <x:c r="J175" s="93" t="n">
        <x:v>15593.55</x:v>
      </x:c>
      <x:c r="K175" s="85" t="str">
        <x:v>1º Turno</x:v>
      </x:c>
    </x:row>
    <x:row r="176">
      <x:c r="A176" s="83" t="n">
        <x:v>175</x:v>
      </x:c>
      <x:c r="B176" s="84" t="n">
        <x:v>19</x:v>
      </x:c>
      <x:c r="C176" s="84" t="n">
        <x:v>278</x:v>
      </x:c>
      <x:c r="D176" s="89" t="n">
        <x:v>46013.006006944444</x:v>
      </x:c>
      <x:c r="E176" s="89" t="n">
        <x:v>46013.08795138889</x:v>
      </x:c>
      <x:c r="F176" s="84" t="n">
        <x:v>118</x:v>
      </x:c>
      <x:c r="G176" s="84" t="n">
        <x:v>1</x:v>
      </x:c>
      <x:c r="H176" s="84" t="str">
        <x:v>Baixa pressão</x:v>
      </x:c>
      <x:c r="I176" s="84" t="n">
        <x:v>181</x:v>
      </x:c>
      <x:c r="J176" s="93" t="n">
        <x:v>4374.44</x:v>
      </x:c>
      <x:c r="K176" s="85" t="str">
        <x:v>1º Turno</x:v>
      </x:c>
    </x:row>
    <x:row r="177">
      <x:c r="A177" s="83" t="n">
        <x:v>176</x:v>
      </x:c>
      <x:c r="B177" s="84" t="n">
        <x:v>76</x:v>
      </x:c>
      <x:c r="C177" s="84" t="n">
        <x:v>279</x:v>
      </x:c>
      <x:c r="D177" s="89" t="n">
        <x:v>45150.10796296296</x:v>
      </x:c>
      <x:c r="E177" s="89" t="n">
        <x:v>45150.54546296296</x:v>
      </x:c>
      <x:c r="F177" s="84" t="n">
        <x:v>630</x:v>
      </x:c>
      <x:c r="G177" s="84" t="n">
        <x:v>0</x:v>
      </x:c>
      <x:c r="H177" s="84" t="str">
        <x:v>Ruído anormal</x:v>
      </x:c>
      <x:c r="I177" s="84" t="n">
        <x:v>945</x:v>
      </x:c>
      <x:c r="J177" s="93" t="n">
        <x:v>31834.65</x:v>
      </x:c>
      <x:c r="K177" s="85" t="str">
        <x:v>1º Turno</x:v>
      </x:c>
    </x:row>
    <x:row r="178">
      <x:c r="A178" s="83" t="n">
        <x:v>177</x:v>
      </x:c>
      <x:c r="B178" s="84" t="n">
        <x:v>68</x:v>
      </x:c>
      <x:c r="C178" s="84" t="n">
        <x:v>281</x:v>
      </x:c>
      <x:c r="D178" s="89" t="n">
        <x:v>45893.193761574075</x:v>
      </x:c>
      <x:c r="E178" s="89" t="n">
        <x:v>45893.63195601852</x:v>
      </x:c>
      <x:c r="F178" s="84" t="n">
        <x:v>631</x:v>
      </x:c>
      <x:c r="G178" s="84" t="n">
        <x:v>0</x:v>
      </x:c>
      <x:c r="H178" s="84" t="str">
        <x:v>Baixa pressão</x:v>
      </x:c>
      <x:c r="I178" s="84" t="n">
        <x:v>768</x:v>
      </x:c>
      <x:c r="J178" s="93" t="n">
        <x:v>22432.81</x:v>
      </x:c>
      <x:c r="K178" s="85" t="str">
        <x:v>3º Turno</x:v>
      </x:c>
    </x:row>
    <x:row r="179">
      <x:c r="A179" s="83" t="n">
        <x:v>178</x:v>
      </x:c>
      <x:c r="B179" s="84" t="n">
        <x:v>25</x:v>
      </x:c>
      <x:c r="C179" s="84" t="n">
        <x:v>284</x:v>
      </x:c>
      <x:c r="D179" s="89" t="n">
        <x:v>45931.643125</x:v>
      </x:c>
      <x:c r="E179" s="89" t="n">
        <x:v>45931.71256944445</x:v>
      </x:c>
      <x:c r="F179" s="84" t="n">
        <x:v>100</x:v>
      </x:c>
      <x:c r="G179" s="84" t="n">
        <x:v>1</x:v>
      </x:c>
      <x:c r="H179" s="84" t="str">
        <x:v>Vazamento</x:v>
      </x:c>
      <x:c r="I179" s="84" t="n">
        <x:v>128</x:v>
      </x:c>
      <x:c r="J179" s="93" t="n">
        <x:v>4412.91</x:v>
      </x:c>
      <x:c r="K179" s="85" t="str">
        <x:v>2º Turno</x:v>
      </x:c>
    </x:row>
    <x:row r="180">
      <x:c r="A180" s="83" t="n">
        <x:v>179</x:v>
      </x:c>
      <x:c r="B180" s="84" t="n">
        <x:v>27</x:v>
      </x:c>
      <x:c r="C180" s="84" t="n">
        <x:v>285</x:v>
      </x:c>
      <x:c r="D180" s="89" t="n">
        <x:v>45617.675104166665</x:v>
      </x:c>
      <x:c r="E180" s="89" t="n">
        <x:v>45618.03760416667</x:v>
      </x:c>
      <x:c r="F180" s="84" t="n">
        <x:v>522</x:v>
      </x:c>
      <x:c r="G180" s="84" t="n">
        <x:v>1</x:v>
      </x:c>
      <x:c r="H180" s="84" t="str">
        <x:v>Alarme intermitente</x:v>
      </x:c>
      <x:c r="I180" s="84" t="n">
        <x:v>844</x:v>
      </x:c>
      <x:c r="J180" s="93" t="n">
        <x:v>12238.83</x:v>
      </x:c>
      <x:c r="K180" s="85" t="str">
        <x:v>2º Turno</x:v>
      </x:c>
    </x:row>
    <x:row r="181">
      <x:c r="A181" s="83" t="n">
        <x:v>180</x:v>
      </x:c>
      <x:c r="B181" s="84" t="n">
        <x:v>69</x:v>
      </x:c>
      <x:c r="C181" s="84" t="n">
        <x:v>288</x:v>
      </x:c>
      <x:c r="D181" s="89" t="n">
        <x:v>45550.754375</x:v>
      </x:c>
      <x:c r="E181" s="89" t="n">
        <x:v>45550.941875</x:v>
      </x:c>
      <x:c r="F181" s="84" t="n">
        <x:v>270</x:v>
      </x:c>
      <x:c r="G181" s="84" t="n">
        <x:v>0</x:v>
      </x:c>
      <x:c r="H181" s="84" t="str">
        <x:v>Falha elétrica</x:v>
      </x:c>
      <x:c r="I181" s="84" t="n">
        <x:v>400</x:v>
      </x:c>
      <x:c r="J181" s="93" t="n">
        <x:v>6397.68</x:v>
      </x:c>
      <x:c r="K181" s="85" t="str">
        <x:v>3º Turno</x:v>
      </x:c>
    </x:row>
    <x:row r="182">
      <x:c r="A182" s="83" t="n">
        <x:v>181</x:v>
      </x:c>
      <x:c r="B182" s="84" t="n">
        <x:v>39</x:v>
      </x:c>
      <x:c r="C182" s="84" t="n">
        <x:v>290</x:v>
      </x:c>
      <x:c r="D182" s="89" t="n">
        <x:v>45617.64288194444</x:v>
      </x:c>
      <x:c r="E182" s="89" t="n">
        <x:v>45617.96440972222</x:v>
      </x:c>
      <x:c r="F182" s="84" t="n">
        <x:v>463</x:v>
      </x:c>
      <x:c r="G182" s="84" t="n">
        <x:v>1</x:v>
      </x:c>
      <x:c r="H182" s="84" t="str">
        <x:v>Desalinhamento</x:v>
      </x:c>
      <x:c r="I182" s="84" t="n">
        <x:v>563</x:v>
      </x:c>
      <x:c r="J182" s="93" t="n">
        <x:v>23106.31</x:v>
      </x:c>
      <x:c r="K182" s="85" t="str">
        <x:v>1º Turno</x:v>
      </x:c>
    </x:row>
    <x:row r="183">
      <x:c r="A183" s="83" t="n">
        <x:v>182</x:v>
      </x:c>
      <x:c r="B183" s="84" t="n">
        <x:v>84</x:v>
      </x:c>
      <x:c r="C183" s="84" t="n">
        <x:v>291</x:v>
      </x:c>
      <x:c r="D183" s="89" t="n">
        <x:v>45209.06931712963</x:v>
      </x:c>
      <x:c r="E183" s="89" t="n">
        <x:v>45209.153344907405</x:v>
      </x:c>
      <x:c r="F183" s="84" t="n">
        <x:v>121</x:v>
      </x:c>
      <x:c r="G183" s="84" t="n">
        <x:v>1</x:v>
      </x:c>
      <x:c r="H183" s="84" t="str">
        <x:v>Superaquecimento</x:v>
      </x:c>
      <x:c r="I183" s="84" t="n">
        <x:v>200</x:v>
      </x:c>
      <x:c r="J183" s="93" t="n">
        <x:v>4095.23</x:v>
      </x:c>
      <x:c r="K183" s="85" t="str">
        <x:v>3º Turno</x:v>
      </x:c>
    </x:row>
    <x:row r="184">
      <x:c r="A184" s="83" t="n">
        <x:v>183</x:v>
      </x:c>
      <x:c r="B184" s="84" t="n">
        <x:v>72</x:v>
      </x:c>
      <x:c r="C184" s="84" t="n">
        <x:v>292</x:v>
      </x:c>
      <x:c r="D184" s="89" t="n">
        <x:v>46019.217523148145</x:v>
      </x:c>
      <x:c r="E184" s="89" t="n">
        <x:v>46019.754328703704</x:v>
      </x:c>
      <x:c r="F184" s="84" t="n">
        <x:v>773</x:v>
      </x:c>
      <x:c r="G184" s="84" t="n">
        <x:v>1</x:v>
      </x:c>
      <x:c r="H184" s="84" t="str">
        <x:v>Vazamento</x:v>
      </x:c>
      <x:c r="I184" s="84" t="n">
        <x:v>1391</x:v>
      </x:c>
      <x:c r="J184" s="93" t="n">
        <x:v>26986.51</x:v>
      </x:c>
      <x:c r="K184" s="85" t="str">
        <x:v>2º Turno</x:v>
      </x:c>
    </x:row>
    <x:row r="185">
      <x:c r="A185" s="83" t="n">
        <x:v>184</x:v>
      </x:c>
      <x:c r="B185" s="84" t="n">
        <x:v>66</x:v>
      </x:c>
      <x:c r="C185" s="84" t="n">
        <x:v>293</x:v>
      </x:c>
      <x:c r="D185" s="89" t="n">
        <x:v>45705.684525462966</x:v>
      </x:c>
      <x:c r="E185" s="89" t="n">
        <x:v>45706.213692129626</x:v>
      </x:c>
      <x:c r="F185" s="84" t="n">
        <x:v>762</x:v>
      </x:c>
      <x:c r="G185" s="84" t="n">
        <x:v>0</x:v>
      </x:c>
      <x:c r="H185" s="84" t="str">
        <x:v>Vazamento</x:v>
      </x:c>
      <x:c r="I185" s="84" t="n">
        <x:v>826</x:v>
      </x:c>
      <x:c r="J185" s="93" t="n">
        <x:v>32588.06</x:v>
      </x:c>
      <x:c r="K185" s="85" t="str">
        <x:v>3º Turno</x:v>
      </x:c>
    </x:row>
    <x:row r="186">
      <x:c r="A186" s="83" t="n">
        <x:v>185</x:v>
      </x:c>
      <x:c r="B186" s="84" t="n">
        <x:v>86</x:v>
      </x:c>
      <x:c r="C186" s="84" t="n">
        <x:v>294</x:v>
      </x:c>
      <x:c r="D186" s="89" t="n">
        <x:v>45563.10988425926</x:v>
      </x:c>
      <x:c r="E186" s="89" t="n">
        <x:v>45563.541134259256</x:v>
      </x:c>
      <x:c r="F186" s="84" t="n">
        <x:v>621</x:v>
      </x:c>
      <x:c r="G186" s="84" t="n">
        <x:v>1</x:v>
      </x:c>
      <x:c r="H186" s="84" t="str">
        <x:v>Baixa pressão</x:v>
      </x:c>
      <x:c r="I186" s="84" t="n">
        <x:v>1439</x:v>
      </x:c>
      <x:c r="J186" s="93" t="n">
        <x:v>20117.34</x:v>
      </x:c>
      <x:c r="K186" s="85" t="str">
        <x:v>2º Turno</x:v>
      </x:c>
    </x:row>
    <x:row r="187">
      <x:c r="A187" s="83" t="n">
        <x:v>186</x:v>
      </x:c>
      <x:c r="B187" s="84" t="n">
        <x:v>80</x:v>
      </x:c>
      <x:c r="C187" s="84" t="n">
        <x:v>295</x:v>
      </x:c>
      <x:c r="D187" s="89" t="n">
        <x:v>45229.28763888889</x:v>
      </x:c>
      <x:c r="E187" s="89" t="n">
        <x:v>45229.414722222224</x:v>
      </x:c>
      <x:c r="F187" s="84" t="n">
        <x:v>183</x:v>
      </x:c>
      <x:c r="G187" s="84" t="n">
        <x:v>0</x:v>
      </x:c>
      <x:c r="H187" s="84" t="str">
        <x:v>Baixa pressão</x:v>
      </x:c>
      <x:c r="I187" s="84" t="n">
        <x:v>393</x:v>
      </x:c>
      <x:c r="J187" s="93" t="n">
        <x:v>7634.74</x:v>
      </x:c>
      <x:c r="K187" s="85" t="str">
        <x:v>1º Turno</x:v>
      </x:c>
    </x:row>
    <x:row r="188">
      <x:c r="A188" s="83" t="n">
        <x:v>187</x:v>
      </x:c>
      <x:c r="B188" s="84" t="n">
        <x:v>7</x:v>
      </x:c>
      <x:c r="C188" s="84" t="n">
        <x:v>296</x:v>
      </x:c>
      <x:c r="D188" s="89" t="n">
        <x:v>45415.071018518516</x:v>
      </x:c>
      <x:c r="E188" s="89" t="n">
        <x:v>45415.29046296296</x:v>
      </x:c>
      <x:c r="F188" s="84" t="n">
        <x:v>316</x:v>
      </x:c>
      <x:c r="G188" s="84" t="n">
        <x:v>1</x:v>
      </x:c>
      <x:c r="H188" s="84" t="str">
        <x:v>Ruído anormal</x:v>
      </x:c>
      <x:c r="I188" s="84" t="n">
        <x:v>590</x:v>
      </x:c>
      <x:c r="J188" s="93" t="n">
        <x:v>9220.76</x:v>
      </x:c>
      <x:c r="K188" s="85" t="str">
        <x:v>3º Turno</x:v>
      </x:c>
    </x:row>
    <x:row r="189">
      <x:c r="A189" s="83" t="n">
        <x:v>188</x:v>
      </x:c>
      <x:c r="B189" s="84" t="n">
        <x:v>20</x:v>
      </x:c>
      <x:c r="C189" s="84" t="n">
        <x:v>298</x:v>
      </x:c>
      <x:c r="D189" s="89" t="n">
        <x:v>45471.77609953703</x:v>
      </x:c>
      <x:c r="E189" s="89" t="n">
        <x:v>45472.12957175926</x:v>
      </x:c>
      <x:c r="F189" s="84" t="n">
        <x:v>509</x:v>
      </x:c>
      <x:c r="G189" s="84" t="n">
        <x:v>1</x:v>
      </x:c>
      <x:c r="H189" s="84" t="str">
        <x:v>Alarme intermitente</x:v>
      </x:c>
      <x:c r="I189" s="84" t="n">
        <x:v>1120</x:v>
      </x:c>
      <x:c r="J189" s="93" t="n">
        <x:v>21922.54</x:v>
      </x:c>
      <x:c r="K189" s="85" t="str">
        <x:v>2º Turno</x:v>
      </x:c>
    </x:row>
    <x:row r="190">
      <x:c r="A190" s="83" t="n">
        <x:v>189</x:v>
      </x:c>
      <x:c r="B190" s="84" t="n">
        <x:v>2</x:v>
      </x:c>
      <x:c r="C190" s="84" t="n">
        <x:v>301</x:v>
      </x:c>
      <x:c r="D190" s="89" t="n">
        <x:v>45305.71921296296</x:v>
      </x:c>
      <x:c r="E190" s="89" t="n">
        <x:v>45305.93032407408</x:v>
      </x:c>
      <x:c r="F190" s="84" t="n">
        <x:v>304</x:v>
      </x:c>
      <x:c r="G190" s="84" t="n">
        <x:v>1</x:v>
      </x:c>
      <x:c r="H190" s="84" t="str">
        <x:v>Desalinhamento</x:v>
      </x:c>
      <x:c r="I190" s="84" t="n">
        <x:v>400</x:v>
      </x:c>
      <x:c r="J190" s="93" t="n">
        <x:v>16637.39</x:v>
      </x:c>
      <x:c r="K190" s="85" t="str">
        <x:v>2º Turno</x:v>
      </x:c>
    </x:row>
    <x:row r="191">
      <x:c r="A191" s="83" t="n">
        <x:v>190</x:v>
      </x:c>
      <x:c r="B191" s="84" t="n">
        <x:v>84</x:v>
      </x:c>
      <x:c r="C191" s="84" t="n">
        <x:v>302</x:v>
      </x:c>
      <x:c r="D191" s="89" t="n">
        <x:v>45555.88060185185</x:v>
      </x:c>
      <x:c r="E191" s="89" t="n">
        <x:v>45556.070185185185</x:v>
      </x:c>
      <x:c r="F191" s="84" t="n">
        <x:v>273</x:v>
      </x:c>
      <x:c r="G191" s="84" t="n">
        <x:v>1</x:v>
      </x:c>
      <x:c r="H191" s="84" t="str">
        <x:v>Falha elétrica</x:v>
      </x:c>
      <x:c r="I191" s="84" t="n">
        <x:v>400</x:v>
      </x:c>
      <x:c r="J191" s="93" t="n">
        <x:v>6041.7</x:v>
      </x:c>
      <x:c r="K191" s="85" t="str">
        <x:v>1º Turno</x:v>
      </x:c>
    </x:row>
    <x:row r="192">
      <x:c r="A192" s="83" t="n">
        <x:v>191</x:v>
      </x:c>
      <x:c r="B192" s="84" t="n">
        <x:v>77</x:v>
      </x:c>
      <x:c r="C192" s="84" t="n">
        <x:v>303</x:v>
      </x:c>
      <x:c r="D192" s="89" t="n">
        <x:v>45616.38444444445</x:v>
      </x:c>
      <x:c r="E192" s="89" t="n">
        <x:v>45616.63166666667</x:v>
      </x:c>
      <x:c r="F192" s="84" t="n">
        <x:v>356</x:v>
      </x:c>
      <x:c r="G192" s="84" t="n">
        <x:v>0</x:v>
      </x:c>
      <x:c r="H192" s="84" t="str">
        <x:v>Desalinhamento</x:v>
      </x:c>
      <x:c r="I192" s="84" t="n">
        <x:v>605</x:v>
      </x:c>
      <x:c r="J192" s="93" t="n">
        <x:v>5751.81</x:v>
      </x:c>
      <x:c r="K192" s="85" t="str">
        <x:v>3º Turno</x:v>
      </x:c>
    </x:row>
    <x:row r="193">
      <x:c r="A193" s="83" t="n">
        <x:v>192</x:v>
      </x:c>
      <x:c r="B193" s="84" t="n">
        <x:v>65</x:v>
      </x:c>
      <x:c r="C193" s="84" t="n">
        <x:v>304</x:v>
      </x:c>
      <x:c r="D193" s="89" t="n">
        <x:v>45127.71855324074</x:v>
      </x:c>
      <x:c r="E193" s="89" t="n">
        <x:v>45128.25466435185</x:v>
      </x:c>
      <x:c r="F193" s="84" t="n">
        <x:v>772</x:v>
      </x:c>
      <x:c r="G193" s="84" t="n">
        <x:v>0</x:v>
      </x:c>
      <x:c r="H193" s="84" t="str">
        <x:v>Alarme intermitente</x:v>
      </x:c>
      <x:c r="I193" s="84" t="n">
        <x:v>1480</x:v>
      </x:c>
      <x:c r="J193" s="93" t="n">
        <x:v>31189.88</x:v>
      </x:c>
      <x:c r="K193" s="85" t="str">
        <x:v>3º Turno</x:v>
      </x:c>
    </x:row>
    <x:row r="194">
      <x:c r="A194" s="83" t="n">
        <x:v>193</x:v>
      </x:c>
      <x:c r="B194" s="84" t="n">
        <x:v>10</x:v>
      </x:c>
      <x:c r="C194" s="84" t="n">
        <x:v>306</x:v>
      </x:c>
      <x:c r="D194" s="89" t="n">
        <x:v>45944.29244212963</x:v>
      </x:c>
      <x:c r="E194" s="89" t="n">
        <x:v>45944.58480324074</x:v>
      </x:c>
      <x:c r="F194" s="84" t="n">
        <x:v>421</x:v>
      </x:c>
      <x:c r="G194" s="84" t="n">
        <x:v>0</x:v>
      </x:c>
      <x:c r="H194" s="84" t="str">
        <x:v>Desalinhamento</x:v>
      </x:c>
      <x:c r="I194" s="84" t="n">
        <x:v>758</x:v>
      </x:c>
      <x:c r="J194" s="93" t="n">
        <x:v>9497.98</x:v>
      </x:c>
      <x:c r="K194" s="85" t="str">
        <x:v>1º Turno</x:v>
      </x:c>
    </x:row>
    <x:row r="195">
      <x:c r="A195" s="83" t="n">
        <x:v>194</x:v>
      </x:c>
      <x:c r="B195" s="84" t="n">
        <x:v>60</x:v>
      </x:c>
      <x:c r="C195" s="84" t="n">
        <x:v>307</x:v>
      </x:c>
      <x:c r="D195" s="89" t="n">
        <x:v>45141.140601851854</x:v>
      </x:c>
      <x:c r="E195" s="89" t="n">
        <x:v>45141.75518518518</x:v>
      </x:c>
      <x:c r="F195" s="84" t="n">
        <x:v>885</x:v>
      </x:c>
      <x:c r="G195" s="84" t="n">
        <x:v>1</x:v>
      </x:c>
      <x:c r="H195" s="84" t="str">
        <x:v>Vazamento</x:v>
      </x:c>
      <x:c r="I195" s="84" t="n">
        <x:v>1372</x:v>
      </x:c>
      <x:c r="J195" s="93" t="n">
        <x:v>26523.14</x:v>
      </x:c>
      <x:c r="K195" s="85" t="str">
        <x:v>1º Turno</x:v>
      </x:c>
    </x:row>
    <x:row r="196">
      <x:c r="A196" s="83" t="n">
        <x:v>195</x:v>
      </x:c>
      <x:c r="B196" s="84" t="n">
        <x:v>90</x:v>
      </x:c>
      <x:c r="C196" s="84" t="n">
        <x:v>311</x:v>
      </x:c>
      <x:c r="D196" s="89" t="n">
        <x:v>45232.166863425926</x:v>
      </x:c>
      <x:c r="E196" s="89" t="n">
        <x:v>45232.226585648146</x:v>
      </x:c>
      <x:c r="F196" s="84" t="n">
        <x:v>86</x:v>
      </x:c>
      <x:c r="G196" s="84" t="n">
        <x:v>1</x:v>
      </x:c>
      <x:c r="H196" s="84" t="str">
        <x:v>Desalinhamento</x:v>
      </x:c>
      <x:c r="I196" s="84" t="n">
        <x:v>186</x:v>
      </x:c>
      <x:c r="J196" s="93" t="n">
        <x:v>2636.92</x:v>
      </x:c>
      <x:c r="K196" s="85" t="str">
        <x:v>1º Turno</x:v>
      </x:c>
    </x:row>
    <x:row r="197">
      <x:c r="A197" s="83" t="n">
        <x:v>196</x:v>
      </x:c>
      <x:c r="B197" s="84" t="n">
        <x:v>58</x:v>
      </x:c>
      <x:c r="C197" s="84" t="n">
        <x:v>312</x:v>
      </x:c>
      <x:c r="D197" s="89" t="n">
        <x:v>45212.946284722224</x:v>
      </x:c>
      <x:c r="E197" s="89" t="n">
        <x:v>45213.24559027778</x:v>
      </x:c>
      <x:c r="F197" s="84" t="n">
        <x:v>431</x:v>
      </x:c>
      <x:c r="G197" s="84" t="n">
        <x:v>0</x:v>
      </x:c>
      <x:c r="H197" s="84" t="str">
        <x:v>Superaquecimento</x:v>
      </x:c>
      <x:c r="I197" s="84" t="n">
        <x:v>690</x:v>
      </x:c>
      <x:c r="J197" s="93" t="n">
        <x:v>11302.03</x:v>
      </x:c>
      <x:c r="K197" s="85" t="str">
        <x:v>2º Turno</x:v>
      </x:c>
    </x:row>
    <x:row r="198">
      <x:c r="A198" s="83" t="n">
        <x:v>197</x:v>
      </x:c>
      <x:c r="B198" s="84" t="n">
        <x:v>28</x:v>
      </x:c>
      <x:c r="C198" s="84" t="n">
        <x:v>313</x:v>
      </x:c>
      <x:c r="D198" s="89" t="n">
        <x:v>45473.133680555555</x:v>
      </x:c>
      <x:c r="E198" s="89" t="n">
        <x:v>45473.153125</x:v>
      </x:c>
      <x:c r="F198" s="84" t="n">
        <x:v>28</x:v>
      </x:c>
      <x:c r="G198" s="84" t="n">
        <x:v>1</x:v>
      </x:c>
      <x:c r="H198" s="84" t="str">
        <x:v>Baixa pressão</x:v>
      </x:c>
      <x:c r="I198" s="84" t="n">
        <x:v>52</x:v>
      </x:c>
      <x:c r="J198" s="93" t="n">
        <x:v>1559.46</x:v>
      </x:c>
      <x:c r="K198" s="85" t="str">
        <x:v>2º Turno</x:v>
      </x:c>
    </x:row>
    <x:row r="199">
      <x:c r="A199" s="83" t="n">
        <x:v>198</x:v>
      </x:c>
      <x:c r="B199" s="84" t="n">
        <x:v>21</x:v>
      </x:c>
      <x:c r="C199" s="84" t="n">
        <x:v>314</x:v>
      </x:c>
      <x:c r="D199" s="89" t="n">
        <x:v>45016.759675925925</x:v>
      </x:c>
      <x:c r="E199" s="89" t="n">
        <x:v>45017.28189814815</x:v>
      </x:c>
      <x:c r="F199" s="84" t="n">
        <x:v>752</x:v>
      </x:c>
      <x:c r="G199" s="84" t="n">
        <x:v>1</x:v>
      </x:c>
      <x:c r="H199" s="84" t="str">
        <x:v>Desalinhamento</x:v>
      </x:c>
      <x:c r="I199" s="84" t="n">
        <x:v>1717</x:v>
      </x:c>
      <x:c r="J199" s="93" t="n">
        <x:v>39259.18</x:v>
      </x:c>
      <x:c r="K199" s="85" t="str">
        <x:v>2º Turno</x:v>
      </x:c>
    </x:row>
    <x:row r="200">
      <x:c r="A200" s="83" t="n">
        <x:v>199</x:v>
      </x:c>
      <x:c r="B200" s="84" t="n">
        <x:v>48</x:v>
      </x:c>
      <x:c r="C200" s="84" t="n">
        <x:v>316</x:v>
      </x:c>
      <x:c r="D200" s="89" t="n">
        <x:v>45586.710752314815</x:v>
      </x:c>
      <x:c r="E200" s="89" t="n">
        <x:v>45587.18158564815</x:v>
      </x:c>
      <x:c r="F200" s="84" t="n">
        <x:v>678</x:v>
      </x:c>
      <x:c r="G200" s="84" t="n">
        <x:v>1</x:v>
      </x:c>
      <x:c r="H200" s="84" t="str">
        <x:v>Falha elétrica</x:v>
      </x:c>
      <x:c r="I200" s="84" t="n">
        <x:v>1311</x:v>
      </x:c>
      <x:c r="J200" s="93" t="n">
        <x:v>26113.19</x:v>
      </x:c>
      <x:c r="K200" s="85" t="str">
        <x:v>1º Turno</x:v>
      </x:c>
    </x:row>
    <x:row r="201">
      <x:c r="A201" s="83" t="n">
        <x:v>200</x:v>
      </x:c>
      <x:c r="B201" s="84" t="n">
        <x:v>14</x:v>
      </x:c>
      <x:c r="C201" s="84" t="n">
        <x:v>317</x:v>
      </x:c>
      <x:c r="D201" s="89" t="n">
        <x:v>45596.29797453704</x:v>
      </x:c>
      <x:c r="E201" s="89" t="n">
        <x:v>45596.38269675926</x:v>
      </x:c>
      <x:c r="F201" s="84" t="n">
        <x:v>122</x:v>
      </x:c>
      <x:c r="G201" s="84" t="n">
        <x:v>1</x:v>
      </x:c>
      <x:c r="H201" s="84" t="str">
        <x:v>Superaquecimento</x:v>
      </x:c>
      <x:c r="I201" s="84" t="n">
        <x:v>287</x:v>
      </x:c>
      <x:c r="J201" s="93" t="n">
        <x:v>6796.36</x:v>
      </x:c>
      <x:c r="K201" s="85" t="str">
        <x:v>3º Turno</x:v>
      </x:c>
    </x:row>
    <x:row r="202">
      <x:c r="A202" s="83" t="n">
        <x:v>201</x:v>
      </x:c>
      <x:c r="B202" s="84" t="n">
        <x:v>17</x:v>
      </x:c>
      <x:c r="C202" s="84" t="n">
        <x:v>318</x:v>
      </x:c>
      <x:c r="D202" s="89" t="n">
        <x:v>45212.961388888885</x:v>
      </x:c>
      <x:c r="E202" s="89" t="n">
        <x:v>45213.17388888889</x:v>
      </x:c>
      <x:c r="F202" s="84" t="n">
        <x:v>306</x:v>
      </x:c>
      <x:c r="G202" s="84" t="n">
        <x:v>1</x:v>
      </x:c>
      <x:c r="H202" s="84" t="str">
        <x:v>Superaquecimento</x:v>
      </x:c>
      <x:c r="I202" s="84" t="n">
        <x:v>546</x:v>
      </x:c>
      <x:c r="J202" s="93" t="n">
        <x:v>17655.78</x:v>
      </x:c>
      <x:c r="K202" s="85" t="str">
        <x:v>3º Turno</x:v>
      </x:c>
    </x:row>
    <x:row r="203">
      <x:c r="A203" s="83" t="n">
        <x:v>202</x:v>
      </x:c>
      <x:c r="B203" s="84" t="n">
        <x:v>77</x:v>
      </x:c>
      <x:c r="C203" s="84" t="n">
        <x:v>319</x:v>
      </x:c>
      <x:c r="D203" s="89" t="n">
        <x:v>45362.04508101852</x:v>
      </x:c>
      <x:c r="E203" s="89" t="n">
        <x:v>45362.07146990741</x:v>
      </x:c>
      <x:c r="F203" s="84" t="n">
        <x:v>38</x:v>
      </x:c>
      <x:c r="G203" s="84" t="n">
        <x:v>1</x:v>
      </x:c>
      <x:c r="H203" s="84" t="str">
        <x:v>Vazamento</x:v>
      </x:c>
      <x:c r="I203" s="84" t="n">
        <x:v>94</x:v>
      </x:c>
      <x:c r="J203" s="93" t="n">
        <x:v>696.9</x:v>
      </x:c>
      <x:c r="K203" s="85" t="str">
        <x:v>1º Turno</x:v>
      </x:c>
    </x:row>
    <x:row r="204">
      <x:c r="A204" s="83" t="n">
        <x:v>203</x:v>
      </x:c>
      <x:c r="B204" s="84" t="n">
        <x:v>20</x:v>
      </x:c>
      <x:c r="C204" s="84" t="n">
        <x:v>321</x:v>
      </x:c>
      <x:c r="D204" s="89" t="n">
        <x:v>45629.481099537035</x:v>
      </x:c>
      <x:c r="E204" s="89" t="n">
        <x:v>45630.074155092596</x:v>
      </x:c>
      <x:c r="F204" s="84" t="n">
        <x:v>854</x:v>
      </x:c>
      <x:c r="G204" s="84" t="n">
        <x:v>1</x:v>
      </x:c>
      <x:c r="H204" s="84" t="str">
        <x:v>Falha elétrica</x:v>
      </x:c>
      <x:c r="I204" s="84" t="n">
        <x:v>1025</x:v>
      </x:c>
      <x:c r="J204" s="93" t="n">
        <x:v>22719.24</x:v>
      </x:c>
      <x:c r="K204" s="85" t="str">
        <x:v>2º Turno</x:v>
      </x:c>
    </x:row>
    <x:row r="205">
      <x:c r="A205" s="83" t="n">
        <x:v>204</x:v>
      </x:c>
      <x:c r="B205" s="84" t="n">
        <x:v>68</x:v>
      </x:c>
      <x:c r="C205" s="84" t="n">
        <x:v>322</x:v>
      </x:c>
      <x:c r="D205" s="89" t="n">
        <x:v>45376.92165509259</x:v>
      </x:c>
      <x:c r="E205" s="89" t="n">
        <x:v>45376.97582175926</x:v>
      </x:c>
      <x:c r="F205" s="84" t="n">
        <x:v>78</x:v>
      </x:c>
      <x:c r="G205" s="84" t="n">
        <x:v>1</x:v>
      </x:c>
      <x:c r="H205" s="84" t="str">
        <x:v>Baixa pressão</x:v>
      </x:c>
      <x:c r="I205" s="84" t="n">
        <x:v>172</x:v>
      </x:c>
      <x:c r="J205" s="93" t="n">
        <x:v>2247.11</x:v>
      </x:c>
      <x:c r="K205" s="85" t="str">
        <x:v>2º Turno</x:v>
      </x:c>
    </x:row>
    <x:row r="206">
      <x:c r="A206" s="83" t="n">
        <x:v>205</x:v>
      </x:c>
      <x:c r="B206" s="84" t="n">
        <x:v>3</x:v>
      </x:c>
      <x:c r="C206" s="84" t="n">
        <x:v>323</x:v>
      </x:c>
      <x:c r="D206" s="89" t="n">
        <x:v>45327.40201388889</x:v>
      </x:c>
      <x:c r="E206" s="89" t="n">
        <x:v>45327.865208333336</x:v>
      </x:c>
      <x:c r="F206" s="84" t="n">
        <x:v>667</x:v>
      </x:c>
      <x:c r="G206" s="84" t="n">
        <x:v>1</x:v>
      </x:c>
      <x:c r="H206" s="84" t="str">
        <x:v>Falha elétrica</x:v>
      </x:c>
      <x:c r="I206" s="84" t="n">
        <x:v>1012</x:v>
      </x:c>
      <x:c r="J206" s="93" t="n">
        <x:v>34631.27</x:v>
      </x:c>
      <x:c r="K206" s="85" t="str">
        <x:v>3º Turno</x:v>
      </x:c>
    </x:row>
    <x:row r="207">
      <x:c r="A207" s="83" t="n">
        <x:v>206</x:v>
      </x:c>
      <x:c r="B207" s="84" t="n">
        <x:v>43</x:v>
      </x:c>
      <x:c r="C207" s="84" t="n">
        <x:v>326</x:v>
      </x:c>
      <x:c r="D207" s="89" t="n">
        <x:v>45595.259351851855</x:v>
      </x:c>
      <x:c r="E207" s="89" t="n">
        <x:v>45595.60171296296</x:v>
      </x:c>
      <x:c r="F207" s="84" t="n">
        <x:v>493</x:v>
      </x:c>
      <x:c r="G207" s="84" t="n">
        <x:v>0</x:v>
      </x:c>
      <x:c r="H207" s="84" t="str">
        <x:v>Ruído anormal</x:v>
      </x:c>
      <x:c r="I207" s="84" t="n">
        <x:v>723</x:v>
      </x:c>
      <x:c r="J207" s="93" t="n">
        <x:v>7623.52</x:v>
      </x:c>
      <x:c r="K207" s="85" t="str">
        <x:v>2º Turno</x:v>
      </x:c>
    </x:row>
    <x:row r="208">
      <x:c r="A208" s="83" t="n">
        <x:v>207</x:v>
      </x:c>
      <x:c r="B208" s="84" t="n">
        <x:v>48</x:v>
      </x:c>
      <x:c r="C208" s="84" t="n">
        <x:v>327</x:v>
      </x:c>
      <x:c r="D208" s="89" t="n">
        <x:v>44977.70805555556</x:v>
      </x:c>
      <x:c r="E208" s="89" t="n">
        <x:v>44977.93791666667</x:v>
      </x:c>
      <x:c r="F208" s="84" t="n">
        <x:v>331</x:v>
      </x:c>
      <x:c r="G208" s="84" t="n">
        <x:v>1</x:v>
      </x:c>
      <x:c r="H208" s="84" t="str">
        <x:v>Superaquecimento</x:v>
      </x:c>
      <x:c r="I208" s="84" t="n">
        <x:v>337</x:v>
      </x:c>
      <x:c r="J208" s="93" t="n">
        <x:v>7401.29</x:v>
      </x:c>
      <x:c r="K208" s="85" t="str">
        <x:v>2º Turno</x:v>
      </x:c>
    </x:row>
    <x:row r="209">
      <x:c r="A209" s="83" t="n">
        <x:v>208</x:v>
      </x:c>
      <x:c r="B209" s="84" t="n">
        <x:v>73</x:v>
      </x:c>
      <x:c r="C209" s="84" t="n">
        <x:v>328</x:v>
      </x:c>
      <x:c r="D209" s="89" t="n">
        <x:v>45733.30949074074</x:v>
      </x:c>
      <x:c r="E209" s="89" t="n">
        <x:v>45733.354629629626</x:v>
      </x:c>
      <x:c r="F209" s="84" t="n">
        <x:v>65</x:v>
      </x:c>
      <x:c r="G209" s="84" t="n">
        <x:v>1</x:v>
      </x:c>
      <x:c r="H209" s="84" t="str">
        <x:v>Alarme intermitente</x:v>
      </x:c>
      <x:c r="I209" s="84" t="n">
        <x:v>68</x:v>
      </x:c>
      <x:c r="J209" s="93" t="n">
        <x:v>1795.12</x:v>
      </x:c>
      <x:c r="K209" s="85" t="str">
        <x:v>2º Turno</x:v>
      </x:c>
    </x:row>
    <x:row r="210">
      <x:c r="A210" s="83" t="n">
        <x:v>209</x:v>
      </x:c>
      <x:c r="B210" s="84" t="n">
        <x:v>78</x:v>
      </x:c>
      <x:c r="C210" s="84" t="n">
        <x:v>329</x:v>
      </x:c>
      <x:c r="D210" s="89" t="n">
        <x:v>45034.23782407407</x:v>
      </x:c>
      <x:c r="E210" s="89" t="n">
        <x:v>45034.68851851852</x:v>
      </x:c>
      <x:c r="F210" s="84" t="n">
        <x:v>649</x:v>
      </x:c>
      <x:c r="G210" s="84" t="n">
        <x:v>1</x:v>
      </x:c>
      <x:c r="H210" s="84" t="str">
        <x:v>Alarme intermitente</x:v>
      </x:c>
      <x:c r="I210" s="84" t="n">
        <x:v>1568</x:v>
      </x:c>
      <x:c r="J210" s="93" t="n">
        <x:v>20659.63</x:v>
      </x:c>
      <x:c r="K210" s="85" t="str">
        <x:v>3º Turno</x:v>
      </x:c>
    </x:row>
    <x:row r="211">
      <x:c r="A211" s="83" t="n">
        <x:v>210</x:v>
      </x:c>
      <x:c r="B211" s="84" t="n">
        <x:v>53</x:v>
      </x:c>
      <x:c r="C211" s="84" t="n">
        <x:v>330</x:v>
      </x:c>
      <x:c r="D211" s="89" t="n">
        <x:v>45190.091886574075</x:v>
      </x:c>
      <x:c r="E211" s="89" t="n">
        <x:v>45190.48563657407</x:v>
      </x:c>
      <x:c r="F211" s="84" t="n">
        <x:v>567</x:v>
      </x:c>
      <x:c r="G211" s="84" t="n">
        <x:v>1</x:v>
      </x:c>
      <x:c r="H211" s="84" t="str">
        <x:v>Alarme intermitente</x:v>
      </x:c>
      <x:c r="I211" s="84" t="n">
        <x:v>1096</x:v>
      </x:c>
      <x:c r="J211" s="93" t="n">
        <x:v>22713.97</x:v>
      </x:c>
      <x:c r="K211" s="85" t="str">
        <x:v>3º Turno</x:v>
      </x:c>
    </x:row>
    <x:row r="212">
      <x:c r="A212" s="83" t="n">
        <x:v>211</x:v>
      </x:c>
      <x:c r="B212" s="84" t="n">
        <x:v>4</x:v>
      </x:c>
      <x:c r="C212" s="84" t="n">
        <x:v>334</x:v>
      </x:c>
      <x:c r="D212" s="89" t="n">
        <x:v>45748.55803240741</x:v>
      </x:c>
      <x:c r="E212" s="89" t="n">
        <x:v>45748.98094907407</x:v>
      </x:c>
      <x:c r="F212" s="84" t="n">
        <x:v>609</x:v>
      </x:c>
      <x:c r="G212" s="84" t="n">
        <x:v>1</x:v>
      </x:c>
      <x:c r="H212" s="84" t="str">
        <x:v>Vazamento</x:v>
      </x:c>
      <x:c r="I212" s="84" t="n">
        <x:v>1431</x:v>
      </x:c>
      <x:c r="J212" s="93" t="n">
        <x:v>32194.47</x:v>
      </x:c>
      <x:c r="K212" s="85" t="str">
        <x:v>3º Turno</x:v>
      </x:c>
    </x:row>
    <x:row r="213">
      <x:c r="A213" s="83" t="n">
        <x:v>212</x:v>
      </x:c>
      <x:c r="B213" s="84" t="n">
        <x:v>78</x:v>
      </x:c>
      <x:c r="C213" s="84" t="n">
        <x:v>336</x:v>
      </x:c>
      <x:c r="D213" s="89" t="n">
        <x:v>45867.39597222222</x:v>
      </x:c>
      <x:c r="E213" s="89" t="n">
        <x:v>45867.79736111111</x:v>
      </x:c>
      <x:c r="F213" s="84" t="n">
        <x:v>578</x:v>
      </x:c>
      <x:c r="G213" s="84" t="n">
        <x:v>1</x:v>
      </x:c>
      <x:c r="H213" s="84" t="str">
        <x:v>Vazamento</x:v>
      </x:c>
      <x:c r="I213" s="84" t="n">
        <x:v>636</x:v>
      </x:c>
      <x:c r="J213" s="93" t="n">
        <x:v>19813.87</x:v>
      </x:c>
      <x:c r="K213" s="85" t="str">
        <x:v>3º Turno</x:v>
      </x:c>
    </x:row>
    <x:row r="214">
      <x:c r="A214" s="83" t="n">
        <x:v>213</x:v>
      </x:c>
      <x:c r="B214" s="84" t="n">
        <x:v>8</x:v>
      </x:c>
      <x:c r="C214" s="84" t="n">
        <x:v>338</x:v>
      </x:c>
      <x:c r="D214" s="89" t="n">
        <x:v>45809.17927083333</x:v>
      </x:c>
      <x:c r="E214" s="89" t="n">
        <x:v>45809.601493055554</x:v>
      </x:c>
      <x:c r="F214" s="84" t="n">
        <x:v>608</x:v>
      </x:c>
      <x:c r="G214" s="84" t="n">
        <x:v>0</x:v>
      </x:c>
      <x:c r="H214" s="84" t="str">
        <x:v>Falha elétrica</x:v>
      </x:c>
      <x:c r="I214" s="84" t="n">
        <x:v>1317</x:v>
      </x:c>
      <x:c r="J214" s="93" t="n">
        <x:v>29601.99</x:v>
      </x:c>
      <x:c r="K214" s="85" t="str">
        <x:v>2º Turno</x:v>
      </x:c>
    </x:row>
    <x:row r="215">
      <x:c r="A215" s="83" t="n">
        <x:v>214</x:v>
      </x:c>
      <x:c r="B215" s="84" t="n">
        <x:v>48</x:v>
      </x:c>
      <x:c r="C215" s="84" t="n">
        <x:v>341</x:v>
      </x:c>
      <x:c r="D215" s="89" t="n">
        <x:v>45314.46625</x:v>
      </x:c>
      <x:c r="E215" s="89" t="n">
        <x:v>45315.026666666665</x:v>
      </x:c>
      <x:c r="F215" s="84" t="n">
        <x:v>807</x:v>
      </x:c>
      <x:c r="G215" s="84" t="n">
        <x:v>0</x:v>
      </x:c>
      <x:c r="H215" s="84" t="str">
        <x:v>Superaquecimento</x:v>
      </x:c>
      <x:c r="I215" s="84" t="n">
        <x:v>1802</x:v>
      </x:c>
      <x:c r="J215" s="93" t="n">
        <x:v>38569.99</x:v>
      </x:c>
      <x:c r="K215" s="85" t="str">
        <x:v>2º Turno</x:v>
      </x:c>
    </x:row>
    <x:row r="216">
      <x:c r="A216" s="83" t="n">
        <x:v>215</x:v>
      </x:c>
      <x:c r="B216" s="84" t="n">
        <x:v>54</x:v>
      </x:c>
      <x:c r="C216" s="84" t="n">
        <x:v>342</x:v>
      </x:c>
      <x:c r="D216" s="89" t="n">
        <x:v>45385.82616898148</x:v>
      </x:c>
      <x:c r="E216" s="89" t="n">
        <x:v>45386.32478009259</x:v>
      </x:c>
      <x:c r="F216" s="84" t="n">
        <x:v>718</x:v>
      </x:c>
      <x:c r="G216" s="84" t="n">
        <x:v>1</x:v>
      </x:c>
      <x:c r="H216" s="84" t="str">
        <x:v>Baixa pressão</x:v>
      </x:c>
      <x:c r="I216" s="84" t="n">
        <x:v>826</x:v>
      </x:c>
      <x:c r="J216" s="93" t="n">
        <x:v>17533.59</x:v>
      </x:c>
      <x:c r="K216" s="85" t="str">
        <x:v>2º Turno</x:v>
      </x:c>
    </x:row>
    <x:row r="217">
      <x:c r="A217" s="83" t="n">
        <x:v>216</x:v>
      </x:c>
      <x:c r="B217" s="84" t="n">
        <x:v>4</x:v>
      </x:c>
      <x:c r="C217" s="84" t="n">
        <x:v>343</x:v>
      </x:c>
      <x:c r="D217" s="89" t="n">
        <x:v>45383.115798611114</x:v>
      </x:c>
      <x:c r="E217" s="89" t="n">
        <x:v>45383.30260416667</x:v>
      </x:c>
      <x:c r="F217" s="84" t="n">
        <x:v>269</x:v>
      </x:c>
      <x:c r="G217" s="84" t="n">
        <x:v>1</x:v>
      </x:c>
      <x:c r="H217" s="84" t="str">
        <x:v>Desalinhamento</x:v>
      </x:c>
      <x:c r="I217" s="84" t="n">
        <x:v>462</x:v>
      </x:c>
      <x:c r="J217" s="93" t="n">
        <x:v>10741.87</x:v>
      </x:c>
      <x:c r="K217" s="85" t="str">
        <x:v>2º Turno</x:v>
      </x:c>
    </x:row>
    <x:row r="218">
      <x:c r="A218" s="83" t="n">
        <x:v>217</x:v>
      </x:c>
      <x:c r="B218" s="84" t="n">
        <x:v>70</x:v>
      </x:c>
      <x:c r="C218" s="84" t="n">
        <x:v>346</x:v>
      </x:c>
      <x:c r="D218" s="89" t="n">
        <x:v>45835.07502314815</x:v>
      </x:c>
      <x:c r="E218" s="89" t="n">
        <x:v>45835.195856481485</x:v>
      </x:c>
      <x:c r="F218" s="84" t="n">
        <x:v>174</x:v>
      </x:c>
      <x:c r="G218" s="84" t="n">
        <x:v>1</x:v>
      </x:c>
      <x:c r="H218" s="84" t="str">
        <x:v>Alarme intermitente</x:v>
      </x:c>
      <x:c r="I218" s="84" t="n">
        <x:v>371</x:v>
      </x:c>
      <x:c r="J218" s="93" t="n">
        <x:v>5867.63</x:v>
      </x:c>
      <x:c r="K218" s="85" t="str">
        <x:v>2º Turno</x:v>
      </x:c>
    </x:row>
    <x:row r="219">
      <x:c r="A219" s="83" t="n">
        <x:v>218</x:v>
      </x:c>
      <x:c r="B219" s="84" t="n">
        <x:v>80</x:v>
      </x:c>
      <x:c r="C219" s="84" t="n">
        <x:v>347</x:v>
      </x:c>
      <x:c r="D219" s="89" t="n">
        <x:v>45221.82879629629</x:v>
      </x:c>
      <x:c r="E219" s="89" t="n">
        <x:v>45222.3100462963</x:v>
      </x:c>
      <x:c r="F219" s="84" t="n">
        <x:v>693</x:v>
      </x:c>
      <x:c r="G219" s="84" t="n">
        <x:v>1</x:v>
      </x:c>
      <x:c r="H219" s="84" t="str">
        <x:v>Alarme intermitente</x:v>
      </x:c>
      <x:c r="I219" s="84" t="n">
        <x:v>693</x:v>
      </x:c>
      <x:c r="J219" s="93" t="n">
        <x:v>10259.12</x:v>
      </x:c>
      <x:c r="K219" s="85" t="str">
        <x:v>1º Turno</x:v>
      </x:c>
    </x:row>
    <x:row r="220">
      <x:c r="A220" s="83" t="n">
        <x:v>219</x:v>
      </x:c>
      <x:c r="B220" s="84" t="n">
        <x:v>61</x:v>
      </x:c>
      <x:c r="C220" s="84" t="n">
        <x:v>348</x:v>
      </x:c>
      <x:c r="D220" s="89" t="n">
        <x:v>45084.88033564815</x:v>
      </x:c>
      <x:c r="E220" s="89" t="n">
        <x:v>45084.98380787037</x:v>
      </x:c>
      <x:c r="F220" s="84" t="n">
        <x:v>149</x:v>
      </x:c>
      <x:c r="G220" s="84" t="n">
        <x:v>0</x:v>
      </x:c>
      <x:c r="H220" s="84" t="str">
        <x:v>Ruído anormal</x:v>
      </x:c>
      <x:c r="I220" s="84" t="n">
        <x:v>300</x:v>
      </x:c>
      <x:c r="J220" s="93" t="n">
        <x:v>6486.47</x:v>
      </x:c>
      <x:c r="K220" s="85" t="str">
        <x:v>1º Turno</x:v>
      </x:c>
    </x:row>
    <x:row r="221">
      <x:c r="A221" s="83" t="n">
        <x:v>220</x:v>
      </x:c>
      <x:c r="B221" s="84" t="n">
        <x:v>46</x:v>
      </x:c>
      <x:c r="C221" s="84" t="n">
        <x:v>351</x:v>
      </x:c>
      <x:c r="D221" s="89" t="n">
        <x:v>45340.74140046296</x:v>
      </x:c>
      <x:c r="E221" s="89" t="n">
        <x:v>45341.28167824074</x:v>
      </x:c>
      <x:c r="F221" s="84" t="n">
        <x:v>778</x:v>
      </x:c>
      <x:c r="G221" s="84" t="n">
        <x:v>1</x:v>
      </x:c>
      <x:c r="H221" s="84" t="str">
        <x:v>Desalinhamento</x:v>
      </x:c>
      <x:c r="I221" s="84" t="n">
        <x:v>1647</x:v>
      </x:c>
      <x:c r="J221" s="93" t="n">
        <x:v>32210.48</x:v>
      </x:c>
      <x:c r="K221" s="85" t="str">
        <x:v>1º Turno</x:v>
      </x:c>
    </x:row>
    <x:row r="222">
      <x:c r="A222" s="83" t="n">
        <x:v>221</x:v>
      </x:c>
      <x:c r="B222" s="84" t="n">
        <x:v>19</x:v>
      </x:c>
      <x:c r="C222" s="84" t="n">
        <x:v>352</x:v>
      </x:c>
      <x:c r="D222" s="89" t="n">
        <x:v>45377.65251157407</x:v>
      </x:c>
      <x:c r="E222" s="89" t="n">
        <x:v>45378.19278935185</x:v>
      </x:c>
      <x:c r="F222" s="84" t="n">
        <x:v>778</x:v>
      </x:c>
      <x:c r="G222" s="84" t="n">
        <x:v>0</x:v>
      </x:c>
      <x:c r="H222" s="84" t="str">
        <x:v>Baixa pressão</x:v>
      </x:c>
      <x:c r="I222" s="84" t="n">
        <x:v>1037</x:v>
      </x:c>
      <x:c r="J222" s="93" t="n">
        <x:v>25843.79</x:v>
      </x:c>
      <x:c r="K222" s="85" t="str">
        <x:v>1º Turno</x:v>
      </x:c>
    </x:row>
    <x:row r="223">
      <x:c r="A223" s="83" t="n">
        <x:v>222</x:v>
      </x:c>
      <x:c r="B223" s="84" t="n">
        <x:v>63</x:v>
      </x:c>
      <x:c r="C223" s="84" t="n">
        <x:v>353</x:v>
      </x:c>
      <x:c r="D223" s="89" t="n">
        <x:v>45583.337685185186</x:v>
      </x:c>
      <x:c r="E223" s="89" t="n">
        <x:v>45583.90157407407</x:v>
      </x:c>
      <x:c r="F223" s="84" t="n">
        <x:v>812</x:v>
      </x:c>
      <x:c r="G223" s="84" t="n">
        <x:v>0</x:v>
      </x:c>
      <x:c r="H223" s="84" t="str">
        <x:v>Desalinhamento</x:v>
      </x:c>
      <x:c r="I223" s="84" t="n">
        <x:v>1759</x:v>
      </x:c>
      <x:c r="J223" s="93" t="n">
        <x:v>43003.24</x:v>
      </x:c>
      <x:c r="K223" s="85" t="str">
        <x:v>1º Turno</x:v>
      </x:c>
    </x:row>
    <x:row r="224">
      <x:c r="A224" s="83" t="n">
        <x:v>223</x:v>
      </x:c>
      <x:c r="B224" s="84" t="n">
        <x:v>25</x:v>
      </x:c>
      <x:c r="C224" s="84" t="n">
        <x:v>354</x:v>
      </x:c>
      <x:c r="D224" s="89" t="n">
        <x:v>45128.57197916666</x:v>
      </x:c>
      <x:c r="E224" s="89" t="n">
        <x:v>45128.97822916666</x:v>
      </x:c>
      <x:c r="F224" s="84" t="n">
        <x:v>585</x:v>
      </x:c>
      <x:c r="G224" s="84" t="n">
        <x:v>1</x:v>
      </x:c>
      <x:c r="H224" s="84" t="str">
        <x:v>Desalinhamento</x:v>
      </x:c>
      <x:c r="I224" s="84" t="n">
        <x:v>1453</x:v>
      </x:c>
      <x:c r="J224" s="93" t="n">
        <x:v>26395.2</x:v>
      </x:c>
      <x:c r="K224" s="85" t="str">
        <x:v>2º Turno</x:v>
      </x:c>
    </x:row>
    <x:row r="225">
      <x:c r="A225" s="83" t="n">
        <x:v>224</x:v>
      </x:c>
      <x:c r="B225" s="84" t="n">
        <x:v>13</x:v>
      </x:c>
      <x:c r="C225" s="84" t="n">
        <x:v>355</x:v>
      </x:c>
      <x:c r="D225" s="89" t="n">
        <x:v>45309.13721064815</x:v>
      </x:c>
      <x:c r="E225" s="89" t="n">
        <x:v>45309.74901620371</x:v>
      </x:c>
      <x:c r="F225" s="84" t="n">
        <x:v>881</x:v>
      </x:c>
      <x:c r="G225" s="84" t="n">
        <x:v>1</x:v>
      </x:c>
      <x:c r="H225" s="84" t="str">
        <x:v>Ruído anormal</x:v>
      </x:c>
      <x:c r="I225" s="84" t="n">
        <x:v>2085</x:v>
      </x:c>
      <x:c r="J225" s="93" t="n">
        <x:v>31031.28</x:v>
      </x:c>
      <x:c r="K225" s="85" t="str">
        <x:v>3º Turno</x:v>
      </x:c>
    </x:row>
    <x:row r="226">
      <x:c r="A226" s="83" t="n">
        <x:v>225</x:v>
      </x:c>
      <x:c r="B226" s="84" t="n">
        <x:v>1</x:v>
      </x:c>
      <x:c r="C226" s="84" t="n">
        <x:v>356</x:v>
      </x:c>
      <x:c r="D226" s="89" t="n">
        <x:v>45397.123877314814</x:v>
      </x:c>
      <x:c r="E226" s="89" t="n">
        <x:v>45397.21207175926</x:v>
      </x:c>
      <x:c r="F226" s="84" t="n">
        <x:v>127</x:v>
      </x:c>
      <x:c r="G226" s="84" t="n">
        <x:v>1</x:v>
      </x:c>
      <x:c r="H226" s="84" t="str">
        <x:v>Alarme intermitente</x:v>
      </x:c>
      <x:c r="I226" s="84" t="n">
        <x:v>286</x:v>
      </x:c>
      <x:c r="J226" s="93" t="n">
        <x:v>3700.51</x:v>
      </x:c>
      <x:c r="K226" s="85" t="str">
        <x:v>1º Turno</x:v>
      </x:c>
    </x:row>
    <x:row r="227">
      <x:c r="A227" s="83" t="n">
        <x:v>226</x:v>
      </x:c>
      <x:c r="B227" s="84" t="n">
        <x:v>38</x:v>
      </x:c>
      <x:c r="C227" s="84" t="n">
        <x:v>358</x:v>
      </x:c>
      <x:c r="D227" s="89" t="n">
        <x:v>45467.509571759256</x:v>
      </x:c>
      <x:c r="E227" s="89" t="n">
        <x:v>45467.56721064815</x:v>
      </x:c>
      <x:c r="F227" s="84" t="n">
        <x:v>83</x:v>
      </x:c>
      <x:c r="G227" s="84" t="n">
        <x:v>0</x:v>
      </x:c>
      <x:c r="H227" s="84" t="str">
        <x:v>Alarme intermitente</x:v>
      </x:c>
      <x:c r="I227" s="84" t="n">
        <x:v>123</x:v>
      </x:c>
      <x:c r="J227" s="93" t="n">
        <x:v>3026.71</x:v>
      </x:c>
      <x:c r="K227" s="85" t="str">
        <x:v>2º Turno</x:v>
      </x:c>
    </x:row>
    <x:row r="228">
      <x:c r="A228" s="83" t="n">
        <x:v>227</x:v>
      </x:c>
      <x:c r="B228" s="84" t="n">
        <x:v>44</x:v>
      </x:c>
      <x:c r="C228" s="84" t="n">
        <x:v>359</x:v>
      </x:c>
      <x:c r="D228" s="89" t="n">
        <x:v>45092.88502314815</x:v>
      </x:c>
      <x:c r="E228" s="89" t="n">
        <x:v>45093.303078703706</x:v>
      </x:c>
      <x:c r="F228" s="84" t="n">
        <x:v>602</x:v>
      </x:c>
      <x:c r="G228" s="84" t="n">
        <x:v>1</x:v>
      </x:c>
      <x:c r="H228" s="84" t="str">
        <x:v>Desalinhamento</x:v>
      </x:c>
      <x:c r="I228" s="84" t="n">
        <x:v>1154</x:v>
      </x:c>
      <x:c r="J228" s="93" t="n">
        <x:v>25574.09</x:v>
      </x:c>
      <x:c r="K228" s="85" t="str">
        <x:v>1º Turno</x:v>
      </x:c>
    </x:row>
    <x:row r="229">
      <x:c r="A229" s="83" t="n">
        <x:v>228</x:v>
      </x:c>
      <x:c r="B229" s="84" t="n">
        <x:v>24</x:v>
      </x:c>
      <x:c r="C229" s="84" t="n">
        <x:v>360</x:v>
      </x:c>
      <x:c r="D229" s="89" t="n">
        <x:v>45318.8656712963</x:v>
      </x:c>
      <x:c r="E229" s="89" t="n">
        <x:v>45318.99622685185</x:v>
      </x:c>
      <x:c r="F229" s="84" t="n">
        <x:v>188</x:v>
      </x:c>
      <x:c r="G229" s="84" t="n">
        <x:v>0</x:v>
      </x:c>
      <x:c r="H229" s="84" t="str">
        <x:v>Superaquecimento</x:v>
      </x:c>
      <x:c r="I229" s="84" t="n">
        <x:v>232</x:v>
      </x:c>
      <x:c r="J229" s="93" t="n">
        <x:v>7559.93</x:v>
      </x:c>
      <x:c r="K229" s="85" t="str">
        <x:v>1º Turno</x:v>
      </x:c>
    </x:row>
    <x:row r="230">
      <x:c r="A230" s="83" t="n">
        <x:v>229</x:v>
      </x:c>
      <x:c r="B230" s="84" t="n">
        <x:v>26</x:v>
      </x:c>
      <x:c r="C230" s="84" t="n">
        <x:v>361</x:v>
      </x:c>
      <x:c r="D230" s="89" t="n">
        <x:v>45334.398206018515</x:v>
      </x:c>
      <x:c r="E230" s="89" t="n">
        <x:v>45334.89334490741</x:v>
      </x:c>
      <x:c r="F230" s="84" t="n">
        <x:v>713</x:v>
      </x:c>
      <x:c r="G230" s="84" t="n">
        <x:v>1</x:v>
      </x:c>
      <x:c r="H230" s="84" t="str">
        <x:v>Falha elétrica</x:v>
      </x:c>
      <x:c r="I230" s="84" t="n">
        <x:v>963</x:v>
      </x:c>
      <x:c r="J230" s="93" t="n">
        <x:v>16993.95</x:v>
      </x:c>
      <x:c r="K230" s="85" t="str">
        <x:v>3º Turno</x:v>
      </x:c>
    </x:row>
    <x:row r="231">
      <x:c r="A231" s="83" t="n">
        <x:v>230</x:v>
      </x:c>
      <x:c r="B231" s="84" t="n">
        <x:v>19</x:v>
      </x:c>
      <x:c r="C231" s="84" t="n">
        <x:v>364</x:v>
      </x:c>
      <x:c r="D231" s="89" t="n">
        <x:v>45029.74989583333</x:v>
      </x:c>
      <x:c r="E231" s="89" t="n">
        <x:v>45030.345729166664</x:v>
      </x:c>
      <x:c r="F231" s="84" t="n">
        <x:v>858</x:v>
      </x:c>
      <x:c r="G231" s="84" t="n">
        <x:v>1</x:v>
      </x:c>
      <x:c r="H231" s="84" t="str">
        <x:v>Desalinhamento</x:v>
      </x:c>
      <x:c r="I231" s="84" t="n">
        <x:v>1830</x:v>
      </x:c>
      <x:c r="J231" s="93" t="n">
        <x:v>37905.83</x:v>
      </x:c>
      <x:c r="K231" s="85" t="str">
        <x:v>1º Turno</x:v>
      </x:c>
    </x:row>
    <x:row r="232">
      <x:c r="A232" s="83" t="n">
        <x:v>231</x:v>
      </x:c>
      <x:c r="B232" s="84" t="n">
        <x:v>62</x:v>
      </x:c>
      <x:c r="C232" s="84" t="n">
        <x:v>368</x:v>
      </x:c>
      <x:c r="D232" s="89" t="n">
        <x:v>45338.79010416667</x:v>
      </x:c>
      <x:c r="E232" s="89" t="n">
        <x:v>45339.18315972222</x:v>
      </x:c>
      <x:c r="F232" s="84" t="n">
        <x:v>566</x:v>
      </x:c>
      <x:c r="G232" s="84" t="n">
        <x:v>1</x:v>
      </x:c>
      <x:c r="H232" s="84" t="str">
        <x:v>Desalinhamento</x:v>
      </x:c>
      <x:c r="I232" s="84" t="n">
        <x:v>1236</x:v>
      </x:c>
      <x:c r="J232" s="93" t="n">
        <x:v>30892.68</x:v>
      </x:c>
      <x:c r="K232" s="85" t="str">
        <x:v>3º Turno</x:v>
      </x:c>
    </x:row>
    <x:row r="233">
      <x:c r="A233" s="83" t="n">
        <x:v>232</x:v>
      </x:c>
      <x:c r="B233" s="84" t="n">
        <x:v>73</x:v>
      </x:c>
      <x:c r="C233" s="84" t="n">
        <x:v>369</x:v>
      </x:c>
      <x:c r="D233" s="89" t="n">
        <x:v>45121.28037037037</x:v>
      </x:c>
      <x:c r="E233" s="89" t="n">
        <x:v>45121.70606481482</x:v>
      </x:c>
      <x:c r="F233" s="84" t="n">
        <x:v>613</x:v>
      </x:c>
      <x:c r="G233" s="84" t="n">
        <x:v>0</x:v>
      </x:c>
      <x:c r="H233" s="84" t="str">
        <x:v>Ruído anormal</x:v>
      </x:c>
      <x:c r="I233" s="84" t="n">
        <x:v>930</x:v>
      </x:c>
      <x:c r="J233" s="93" t="n">
        <x:v>24610.02</x:v>
      </x:c>
      <x:c r="K233" s="85" t="str">
        <x:v>1º Turno</x:v>
      </x:c>
    </x:row>
    <x:row r="234">
      <x:c r="A234" s="83" t="n">
        <x:v>233</x:v>
      </x:c>
      <x:c r="B234" s="84" t="n">
        <x:v>90</x:v>
      </x:c>
      <x:c r="C234" s="84" t="n">
        <x:v>370</x:v>
      </x:c>
      <x:c r="D234" s="89" t="n">
        <x:v>45111.95748842593</x:v>
      </x:c>
      <x:c r="E234" s="89" t="n">
        <x:v>45112.35054398148</x:v>
      </x:c>
      <x:c r="F234" s="84" t="n">
        <x:v>566</x:v>
      </x:c>
      <x:c r="G234" s="84" t="n">
        <x:v>1</x:v>
      </x:c>
      <x:c r="H234" s="84" t="str">
        <x:v>Desalinhamento</x:v>
      </x:c>
      <x:c r="I234" s="84" t="n">
        <x:v>1000</x:v>
      </x:c>
      <x:c r="J234" s="93" t="n">
        <x:v>11401.53</x:v>
      </x:c>
      <x:c r="K234" s="85" t="str">
        <x:v>3º Turno</x:v>
      </x:c>
    </x:row>
    <x:row r="235">
      <x:c r="A235" s="83" t="n">
        <x:v>234</x:v>
      </x:c>
      <x:c r="B235" s="84" t="n">
        <x:v>86</x:v>
      </x:c>
      <x:c r="C235" s="84" t="n">
        <x:v>372</x:v>
      </x:c>
      <x:c r="D235" s="89" t="n">
        <x:v>45487.55025462963</x:v>
      </x:c>
      <x:c r="E235" s="89" t="n">
        <x:v>45487.7169212963</x:v>
      </x:c>
      <x:c r="F235" s="84" t="n">
        <x:v>240</x:v>
      </x:c>
      <x:c r="G235" s="84" t="n">
        <x:v>1</x:v>
      </x:c>
      <x:c r="H235" s="84" t="str">
        <x:v>Desalinhamento</x:v>
      </x:c>
      <x:c r="I235" s="84" t="n">
        <x:v>324</x:v>
      </x:c>
      <x:c r="J235" s="93" t="n">
        <x:v>12134.83</x:v>
      </x:c>
      <x:c r="K235" s="85" t="str">
        <x:v>3º Turno</x:v>
      </x:c>
    </x:row>
    <x:row r="236">
      <x:c r="A236" s="83" t="n">
        <x:v>235</x:v>
      </x:c>
      <x:c r="B236" s="84" t="n">
        <x:v>34</x:v>
      </x:c>
      <x:c r="C236" s="84" t="n">
        <x:v>374</x:v>
      </x:c>
      <x:c r="D236" s="89" t="n">
        <x:v>45845.82278935185</x:v>
      </x:c>
      <x:c r="E236" s="89" t="n">
        <x:v>45846.20265046296</x:v>
      </x:c>
      <x:c r="F236" s="84" t="n">
        <x:v>547</x:v>
      </x:c>
      <x:c r="G236" s="84" t="n">
        <x:v>1</x:v>
      </x:c>
      <x:c r="H236" s="84" t="str">
        <x:v>Desalinhamento</x:v>
      </x:c>
      <x:c r="I236" s="84" t="n">
        <x:v>1349</x:v>
      </x:c>
      <x:c r="J236" s="93" t="n">
        <x:v>28459.28</x:v>
      </x:c>
      <x:c r="K236" s="85" t="str">
        <x:v>2º Turno</x:v>
      </x:c>
    </x:row>
    <x:row r="237">
      <x:c r="A237" s="83" t="n">
        <x:v>236</x:v>
      </x:c>
      <x:c r="B237" s="84" t="n">
        <x:v>3</x:v>
      </x:c>
      <x:c r="C237" s="84" t="n">
        <x:v>375</x:v>
      </x:c>
      <x:c r="D237" s="89" t="n">
        <x:v>45608.86828703704</x:v>
      </x:c>
      <x:c r="E237" s="89" t="n">
        <x:v>45608.9224537037</x:v>
      </x:c>
      <x:c r="F237" s="84" t="n">
        <x:v>78</x:v>
      </x:c>
      <x:c r="G237" s="84" t="n">
        <x:v>1</x:v>
      </x:c>
      <x:c r="H237" s="84" t="str">
        <x:v>Baixa pressão</x:v>
      </x:c>
      <x:c r="I237" s="84" t="n">
        <x:v>84</x:v>
      </x:c>
      <x:c r="J237" s="93" t="n">
        <x:v>2102.85</x:v>
      </x:c>
      <x:c r="K237" s="85" t="str">
        <x:v>2º Turno</x:v>
      </x:c>
    </x:row>
    <x:row r="238">
      <x:c r="A238" s="83" t="n">
        <x:v>237</x:v>
      </x:c>
      <x:c r="B238" s="84" t="n">
        <x:v>29</x:v>
      </x:c>
      <x:c r="C238" s="84" t="n">
        <x:v>376</x:v>
      </x:c>
      <x:c r="D238" s="89" t="n">
        <x:v>45996.657905092594</x:v>
      </x:c>
      <x:c r="E238" s="89" t="n">
        <x:v>45996.94054398148</x:v>
      </x:c>
      <x:c r="F238" s="84" t="n">
        <x:v>407</x:v>
      </x:c>
      <x:c r="G238" s="84" t="n">
        <x:v>1</x:v>
      </x:c>
      <x:c r="H238" s="84" t="str">
        <x:v>Baixa pressão</x:v>
      </x:c>
      <x:c r="I238" s="84" t="n">
        <x:v>658</x:v>
      </x:c>
      <x:c r="J238" s="93" t="n">
        <x:v>14872.86</x:v>
      </x:c>
      <x:c r="K238" s="85" t="str">
        <x:v>1º Turno</x:v>
      </x:c>
    </x:row>
    <x:row r="239">
      <x:c r="A239" s="83" t="n">
        <x:v>238</x:v>
      </x:c>
      <x:c r="B239" s="84" t="n">
        <x:v>23</x:v>
      </x:c>
      <x:c r="C239" s="84" t="n">
        <x:v>377</x:v>
      </x:c>
      <x:c r="D239" s="89" t="n">
        <x:v>45011.52783564815</x:v>
      </x:c>
      <x:c r="E239" s="89" t="n">
        <x:v>45011.648668981485</x:v>
      </x:c>
      <x:c r="F239" s="84" t="n">
        <x:v>174</x:v>
      </x:c>
      <x:c r="G239" s="84" t="n">
        <x:v>0</x:v>
      </x:c>
      <x:c r="H239" s="84" t="str">
        <x:v>Alarme intermitente</x:v>
      </x:c>
      <x:c r="I239" s="84" t="n">
        <x:v>435</x:v>
      </x:c>
      <x:c r="J239" s="93" t="n">
        <x:v>4473.94</x:v>
      </x:c>
      <x:c r="K239" s="85" t="str">
        <x:v>2º Turno</x:v>
      </x:c>
    </x:row>
    <x:row r="240">
      <x:c r="A240" s="83" t="n">
        <x:v>239</x:v>
      </x:c>
      <x:c r="B240" s="84" t="n">
        <x:v>41</x:v>
      </x:c>
      <x:c r="C240" s="84" t="n">
        <x:v>381</x:v>
      </x:c>
      <x:c r="D240" s="89" t="n">
        <x:v>45451.00795138889</x:v>
      </x:c>
      <x:c r="E240" s="89" t="n">
        <x:v>45451.32045138889</x:v>
      </x:c>
      <x:c r="F240" s="84" t="n">
        <x:v>450</x:v>
      </x:c>
      <x:c r="G240" s="84" t="n">
        <x:v>1</x:v>
      </x:c>
      <x:c r="H240" s="84" t="str">
        <x:v>Desalinhamento</x:v>
      </x:c>
      <x:c r="I240" s="84" t="n">
        <x:v>908</x:v>
      </x:c>
      <x:c r="J240" s="93" t="n">
        <x:v>10417.79</x:v>
      </x:c>
      <x:c r="K240" s="85" t="str">
        <x:v>1º Turno</x:v>
      </x:c>
    </x:row>
    <x:row r="241">
      <x:c r="A241" s="83" t="n">
        <x:v>240</x:v>
      </x:c>
      <x:c r="B241" s="84" t="n">
        <x:v>14</x:v>
      </x:c>
      <x:c r="C241" s="84" t="n">
        <x:v>385</x:v>
      </x:c>
      <x:c r="D241" s="89" t="n">
        <x:v>45773.28055555555</x:v>
      </x:c>
      <x:c r="E241" s="89" t="n">
        <x:v>45773.73472222222</x:v>
      </x:c>
      <x:c r="F241" s="84" t="n">
        <x:v>654</x:v>
      </x:c>
      <x:c r="G241" s="84" t="n">
        <x:v>1</x:v>
      </x:c>
      <x:c r="H241" s="84" t="str">
        <x:v>Baixa pressão</x:v>
      </x:c>
      <x:c r="I241" s="84" t="n">
        <x:v>970</x:v>
      </x:c>
      <x:c r="J241" s="93" t="n">
        <x:v>14750.05</x:v>
      </x:c>
      <x:c r="K241" s="85" t="str">
        <x:v>2º Turno</x:v>
      </x:c>
    </x:row>
    <x:row r="242">
      <x:c r="A242" s="83" t="n">
        <x:v>241</x:v>
      </x:c>
      <x:c r="B242" s="84" t="n">
        <x:v>9</x:v>
      </x:c>
      <x:c r="C242" s="84" t="n">
        <x:v>387</x:v>
      </x:c>
      <x:c r="D242" s="89" t="n">
        <x:v>45793.391747685186</x:v>
      </x:c>
      <x:c r="E242" s="89" t="n">
        <x:v>45793.766747685186</x:v>
      </x:c>
      <x:c r="F242" s="84" t="n">
        <x:v>540</x:v>
      </x:c>
      <x:c r="G242" s="84" t="n">
        <x:v>1</x:v>
      </x:c>
      <x:c r="H242" s="84" t="str">
        <x:v>Falha elétrica</x:v>
      </x:c>
      <x:c r="I242" s="84" t="n">
        <x:v>1107</x:v>
      </x:c>
      <x:c r="J242" s="93" t="n">
        <x:v>19545.9</x:v>
      </x:c>
      <x:c r="K242" s="85" t="str">
        <x:v>1º Turno</x:v>
      </x:c>
    </x:row>
    <x:row r="243">
      <x:c r="A243" s="83" t="n">
        <x:v>242</x:v>
      </x:c>
      <x:c r="B243" s="84" t="n">
        <x:v>30</x:v>
      </x:c>
      <x:c r="C243" s="84" t="n">
        <x:v>388</x:v>
      </x:c>
      <x:c r="D243" s="89" t="n">
        <x:v>46015.764027777775</x:v>
      </x:c>
      <x:c r="E243" s="89" t="n">
        <x:v>46016.0425</x:v>
      </x:c>
      <x:c r="F243" s="84" t="n">
        <x:v>401</x:v>
      </x:c>
      <x:c r="G243" s="84" t="n">
        <x:v>1</x:v>
      </x:c>
      <x:c r="H243" s="84" t="str">
        <x:v>Baixa pressão</x:v>
      </x:c>
      <x:c r="I243" s="84" t="n">
        <x:v>622</x:v>
      </x:c>
      <x:c r="J243" s="93" t="n">
        <x:v>10075.1</x:v>
      </x:c>
      <x:c r="K243" s="85" t="str">
        <x:v>2º Turno</x:v>
      </x:c>
    </x:row>
    <x:row r="244">
      <x:c r="A244" s="83" t="n">
        <x:v>243</x:v>
      </x:c>
      <x:c r="B244" s="84" t="n">
        <x:v>12</x:v>
      </x:c>
      <x:c r="C244" s="84" t="n">
        <x:v>390</x:v>
      </x:c>
      <x:c r="D244" s="89" t="n">
        <x:v>45433.811435185184</x:v>
      </x:c>
      <x:c r="E244" s="89" t="n">
        <x:v>45434.3037962963</x:v>
      </x:c>
      <x:c r="F244" s="84" t="n">
        <x:v>709</x:v>
      </x:c>
      <x:c r="G244" s="84" t="n">
        <x:v>0</x:v>
      </x:c>
      <x:c r="H244" s="84" t="str">
        <x:v>Falha elétrica</x:v>
      </x:c>
      <x:c r="I244" s="84" t="n">
        <x:v>733</x:v>
      </x:c>
      <x:c r="J244" s="93" t="n">
        <x:v>33738.91</x:v>
      </x:c>
      <x:c r="K244" s="85" t="str">
        <x:v>2º Turno</x:v>
      </x:c>
    </x:row>
    <x:row r="245">
      <x:c r="A245" s="83" t="n">
        <x:v>244</x:v>
      </x:c>
      <x:c r="B245" s="84" t="n">
        <x:v>50</x:v>
      </x:c>
      <x:c r="C245" s="84" t="n">
        <x:v>391</x:v>
      </x:c>
      <x:c r="D245" s="89" t="n">
        <x:v>45666.64708333334</x:v>
      </x:c>
      <x:c r="E245" s="89" t="n">
        <x:v>45667.184583333335</x:v>
      </x:c>
      <x:c r="F245" s="84" t="n">
        <x:v>774</x:v>
      </x:c>
      <x:c r="G245" s="84" t="n">
        <x:v>1</x:v>
      </x:c>
      <x:c r="H245" s="84" t="str">
        <x:v>Desalinhamento</x:v>
      </x:c>
      <x:c r="I245" s="84" t="n">
        <x:v>1071</x:v>
      </x:c>
      <x:c r="J245" s="93" t="n">
        <x:v>33024.95</x:v>
      </x:c>
      <x:c r="K245" s="85" t="str">
        <x:v>2º Turno</x:v>
      </x:c>
    </x:row>
    <x:row r="246">
      <x:c r="A246" s="83" t="n">
        <x:v>245</x:v>
      </x:c>
      <x:c r="B246" s="84" t="n">
        <x:v>79</x:v>
      </x:c>
      <x:c r="C246" s="84" t="n">
        <x:v>393</x:v>
      </x:c>
      <x:c r="D246" s="89" t="n">
        <x:v>45343.626921296294</x:v>
      </x:c>
      <x:c r="E246" s="89" t="n">
        <x:v>45343.99150462963</x:v>
      </x:c>
      <x:c r="F246" s="84" t="n">
        <x:v>525</x:v>
      </x:c>
      <x:c r="G246" s="84" t="n">
        <x:v>1</x:v>
      </x:c>
      <x:c r="H246" s="84" t="str">
        <x:v>Superaquecimento</x:v>
      </x:c>
      <x:c r="I246" s="84" t="n">
        <x:v>1102</x:v>
      </x:c>
      <x:c r="J246" s="93" t="n">
        <x:v>16600.24</x:v>
      </x:c>
      <x:c r="K246" s="85" t="str">
        <x:v>1º Turno</x:v>
      </x:c>
    </x:row>
    <x:row r="247">
      <x:c r="A247" s="83" t="n">
        <x:v>246</x:v>
      </x:c>
      <x:c r="B247" s="84" t="n">
        <x:v>2</x:v>
      </x:c>
      <x:c r="C247" s="84" t="n">
        <x:v>394</x:v>
      </x:c>
      <x:c r="D247" s="89" t="n">
        <x:v>45491.357465277775</x:v>
      </x:c>
      <x:c r="E247" s="89" t="n">
        <x:v>45491.89357638889</x:v>
      </x:c>
      <x:c r="F247" s="84" t="n">
        <x:v>772</x:v>
      </x:c>
      <x:c r="G247" s="84" t="n">
        <x:v>1</x:v>
      </x:c>
      <x:c r="H247" s="84" t="str">
        <x:v>Ruído anormal</x:v>
      </x:c>
      <x:c r="I247" s="84" t="n">
        <x:v>1698</x:v>
      </x:c>
      <x:c r="J247" s="93" t="n">
        <x:v>44329.08</x:v>
      </x:c>
      <x:c r="K247" s="85" t="str">
        <x:v>2º Turno</x:v>
      </x:c>
    </x:row>
    <x:row r="248">
      <x:c r="A248" s="83" t="n">
        <x:v>247</x:v>
      </x:c>
      <x:c r="B248" s="84" t="n">
        <x:v>86</x:v>
      </x:c>
      <x:c r="C248" s="84" t="n">
        <x:v>395</x:v>
      </x:c>
      <x:c r="D248" s="89" t="n">
        <x:v>45617.4675</x:v>
      </x:c>
      <x:c r="E248" s="89" t="n">
        <x:v>45617.80222222222</x:v>
      </x:c>
      <x:c r="F248" s="84" t="n">
        <x:v>482</x:v>
      </x:c>
      <x:c r="G248" s="84" t="n">
        <x:v>1</x:v>
      </x:c>
      <x:c r="H248" s="84" t="str">
        <x:v>Superaquecimento</x:v>
      </x:c>
      <x:c r="I248" s="84" t="n">
        <x:v>554</x:v>
      </x:c>
      <x:c r="J248" s="93" t="n">
        <x:v>11779.57</x:v>
      </x:c>
      <x:c r="K248" s="85" t="str">
        <x:v>1º Turno</x:v>
      </x:c>
    </x:row>
    <x:row r="249">
      <x:c r="A249" s="83" t="n">
        <x:v>248</x:v>
      </x:c>
      <x:c r="B249" s="84" t="n">
        <x:v>65</x:v>
      </x:c>
      <x:c r="C249" s="84" t="n">
        <x:v>398</x:v>
      </x:c>
      <x:c r="D249" s="89" t="n">
        <x:v>45715.30260416667</x:v>
      </x:c>
      <x:c r="E249" s="89" t="n">
        <x:v>45715.911631944444</x:v>
      </x:c>
      <x:c r="F249" s="84" t="n">
        <x:v>877</x:v>
      </x:c>
      <x:c r="G249" s="84" t="n">
        <x:v>1</x:v>
      </x:c>
      <x:c r="H249" s="84" t="str">
        <x:v>Falha elétrica</x:v>
      </x:c>
      <x:c r="I249" s="84" t="n">
        <x:v>2032</x:v>
      </x:c>
      <x:c r="J249" s="93" t="n">
        <x:v>15527</x:v>
      </x:c>
      <x:c r="K249" s="85" t="str">
        <x:v>2º Turno</x:v>
      </x:c>
    </x:row>
    <x:row r="250">
      <x:c r="A250" s="83" t="n">
        <x:v>249</x:v>
      </x:c>
      <x:c r="B250" s="84" t="n">
        <x:v>55</x:v>
      </x:c>
      <x:c r="C250" s="84" t="n">
        <x:v>399</x:v>
      </x:c>
      <x:c r="D250" s="89" t="n">
        <x:v>45796.88061342593</x:v>
      </x:c>
      <x:c r="E250" s="89" t="n">
        <x:v>45797.012557870374</x:v>
      </x:c>
      <x:c r="F250" s="84" t="n">
        <x:v>190</x:v>
      </x:c>
      <x:c r="G250" s="84" t="n">
        <x:v>1</x:v>
      </x:c>
      <x:c r="H250" s="84" t="str">
        <x:v>Baixa pressão</x:v>
      </x:c>
      <x:c r="I250" s="84" t="n">
        <x:v>462</x:v>
      </x:c>
      <x:c r="J250" s="93" t="n">
        <x:v>4344.08</x:v>
      </x:c>
      <x:c r="K250" s="85" t="str">
        <x:v>1º Turno</x:v>
      </x:c>
    </x:row>
    <x:row r="251">
      <x:c r="A251" s="83" t="n">
        <x:v>250</x:v>
      </x:c>
      <x:c r="B251" s="84" t="n">
        <x:v>36</x:v>
      </x:c>
      <x:c r="C251" s="84" t="n">
        <x:v>400</x:v>
      </x:c>
      <x:c r="D251" s="89" t="n">
        <x:v>44939.906493055554</x:v>
      </x:c>
      <x:c r="E251" s="89" t="n">
        <x:v>44940.431493055556</x:v>
      </x:c>
      <x:c r="F251" s="84" t="n">
        <x:v>756</x:v>
      </x:c>
      <x:c r="G251" s="84" t="n">
        <x:v>1</x:v>
      </x:c>
      <x:c r="H251" s="84" t="str">
        <x:v>Vazamento</x:v>
      </x:c>
      <x:c r="I251" s="84" t="n">
        <x:v>1537</x:v>
      </x:c>
      <x:c r="J251" s="93" t="n">
        <x:v>42694</x:v>
      </x:c>
      <x:c r="K251" s="85" t="str">
        <x:v>2º Turno</x:v>
      </x:c>
    </x:row>
    <x:row r="252">
      <x:c r="A252" s="83" t="n">
        <x:v>251</x:v>
      </x:c>
      <x:c r="B252" s="84" t="n">
        <x:v>87</x:v>
      </x:c>
      <x:c r="C252" s="84" t="n">
        <x:v>402</x:v>
      </x:c>
      <x:c r="D252" s="89" t="n">
        <x:v>45403.22856481482</x:v>
      </x:c>
      <x:c r="E252" s="89" t="n">
        <x:v>45403.29592592592</x:v>
      </x:c>
      <x:c r="F252" s="84" t="n">
        <x:v>97</x:v>
      </x:c>
      <x:c r="G252" s="84" t="n">
        <x:v>1</x:v>
      </x:c>
      <x:c r="H252" s="84" t="str">
        <x:v>Superaquecimento</x:v>
      </x:c>
      <x:c r="I252" s="84" t="n">
        <x:v>126</x:v>
      </x:c>
      <x:c r="J252" s="93" t="n">
        <x:v>4969</x:v>
      </x:c>
      <x:c r="K252" s="85" t="str">
        <x:v>2º Turno</x:v>
      </x:c>
    </x:row>
    <x:row r="253">
      <x:c r="A253" s="83" t="n">
        <x:v>252</x:v>
      </x:c>
      <x:c r="B253" s="84" t="n">
        <x:v>85</x:v>
      </x:c>
      <x:c r="C253" s="84" t="n">
        <x:v>403</x:v>
      </x:c>
      <x:c r="D253" s="89" t="n">
        <x:v>44993.438564814816</x:v>
      </x:c>
      <x:c r="E253" s="89" t="n">
        <x:v>44993.48787037037</x:v>
      </x:c>
      <x:c r="F253" s="84" t="n">
        <x:v>71</x:v>
      </x:c>
      <x:c r="G253" s="84" t="n">
        <x:v>1</x:v>
      </x:c>
      <x:c r="H253" s="84" t="str">
        <x:v>Desalinhamento</x:v>
      </x:c>
      <x:c r="I253" s="84" t="n">
        <x:v>135</x:v>
      </x:c>
      <x:c r="J253" s="93" t="n">
        <x:v>1844.17</x:v>
      </x:c>
      <x:c r="K253" s="85" t="str">
        <x:v>1º Turno</x:v>
      </x:c>
    </x:row>
    <x:row r="254">
      <x:c r="A254" s="83" t="n">
        <x:v>253</x:v>
      </x:c>
      <x:c r="B254" s="84" t="n">
        <x:v>66</x:v>
      </x:c>
      <x:c r="C254" s="84" t="n">
        <x:v>404</x:v>
      </x:c>
      <x:c r="D254" s="89" t="n">
        <x:v>45526.5216087963</x:v>
      </x:c>
      <x:c r="E254" s="89" t="n">
        <x:v>45527.068136574075</x:v>
      </x:c>
      <x:c r="F254" s="84" t="n">
        <x:v>787</x:v>
      </x:c>
      <x:c r="G254" s="84" t="n">
        <x:v>1</x:v>
      </x:c>
      <x:c r="H254" s="84" t="str">
        <x:v>Falha elétrica</x:v>
      </x:c>
      <x:c r="I254" s="84" t="n">
        <x:v>1141</x:v>
      </x:c>
      <x:c r="J254" s="93" t="n">
        <x:v>12425.12</x:v>
      </x:c>
      <x:c r="K254" s="85" t="str">
        <x:v>2º Turno</x:v>
      </x:c>
    </x:row>
    <x:row r="255">
      <x:c r="A255" s="83" t="n">
        <x:v>254</x:v>
      </x:c>
      <x:c r="B255" s="84" t="n">
        <x:v>75</x:v>
      </x:c>
      <x:c r="C255" s="84" t="n">
        <x:v>407</x:v>
      </x:c>
      <x:c r="D255" s="89" t="n">
        <x:v>44977.55116898148</x:v>
      </x:c>
      <x:c r="E255" s="89" t="n">
        <x:v>44977.61019675926</x:v>
      </x:c>
      <x:c r="F255" s="84" t="n">
        <x:v>85</x:v>
      </x:c>
      <x:c r="G255" s="84" t="n">
        <x:v>1</x:v>
      </x:c>
      <x:c r="H255" s="84" t="str">
        <x:v>Vazamento</x:v>
      </x:c>
      <x:c r="I255" s="84" t="n">
        <x:v>144</x:v>
      </x:c>
      <x:c r="J255" s="93" t="n">
        <x:v>2312.87</x:v>
      </x:c>
      <x:c r="K255" s="85" t="str">
        <x:v>1º Turno</x:v>
      </x:c>
    </x:row>
    <x:row r="256">
      <x:c r="A256" s="83" t="n">
        <x:v>255</x:v>
      </x:c>
      <x:c r="B256" s="84" t="n">
        <x:v>29</x:v>
      </x:c>
      <x:c r="C256" s="84" t="n">
        <x:v>408</x:v>
      </x:c>
      <x:c r="D256" s="89" t="n">
        <x:v>45638.67138888889</x:v>
      </x:c>
      <x:c r="E256" s="89" t="n">
        <x:v>45639.28875</x:v>
      </x:c>
      <x:c r="F256" s="84" t="n">
        <x:v>889</x:v>
      </x:c>
      <x:c r="G256" s="84" t="n">
        <x:v>0</x:v>
      </x:c>
      <x:c r="H256" s="84" t="str">
        <x:v>Falha elétrica</x:v>
      </x:c>
      <x:c r="I256" s="84" t="n">
        <x:v>919</x:v>
      </x:c>
      <x:c r="J256" s="93" t="n">
        <x:v>42254.97</x:v>
      </x:c>
      <x:c r="K256" s="85" t="str">
        <x:v>2º Turno</x:v>
      </x:c>
    </x:row>
    <x:row r="257">
      <x:c r="A257" s="83" t="n">
        <x:v>256</x:v>
      </x:c>
      <x:c r="B257" s="84" t="n">
        <x:v>19</x:v>
      </x:c>
      <x:c r="C257" s="84" t="n">
        <x:v>409</x:v>
      </x:c>
      <x:c r="D257" s="89" t="n">
        <x:v>45773.20863425926</x:v>
      </x:c>
      <x:c r="E257" s="89" t="n">
        <x:v>45773.41835648148</x:v>
      </x:c>
      <x:c r="F257" s="84" t="n">
        <x:v>302</x:v>
      </x:c>
      <x:c r="G257" s="84" t="n">
        <x:v>1</x:v>
      </x:c>
      <x:c r="H257" s="84" t="str">
        <x:v>Superaquecimento</x:v>
      </x:c>
      <x:c r="I257" s="84" t="n">
        <x:v>669</x:v>
      </x:c>
      <x:c r="J257" s="93" t="n">
        <x:v>8760.53</x:v>
      </x:c>
      <x:c r="K257" s="85" t="str">
        <x:v>1º Turno</x:v>
      </x:c>
    </x:row>
    <x:row r="258">
      <x:c r="A258" s="83" t="n">
        <x:v>257</x:v>
      </x:c>
      <x:c r="B258" s="84" t="n">
        <x:v>34</x:v>
      </x:c>
      <x:c r="C258" s="84" t="n">
        <x:v>410</x:v>
      </x:c>
      <x:c r="D258" s="89" t="n">
        <x:v>45938.53550925926</x:v>
      </x:c>
      <x:c r="E258" s="89" t="n">
        <x:v>45938.93550925926</x:v>
      </x:c>
      <x:c r="F258" s="84" t="n">
        <x:v>576</x:v>
      </x:c>
      <x:c r="G258" s="84" t="n">
        <x:v>1</x:v>
      </x:c>
      <x:c r="H258" s="84" t="str">
        <x:v>Superaquecimento</x:v>
      </x:c>
      <x:c r="I258" s="84" t="n">
        <x:v>653</x:v>
      </x:c>
      <x:c r="J258" s="93" t="n">
        <x:v>14283.41</x:v>
      </x:c>
      <x:c r="K258" s="85" t="str">
        <x:v>2º Turno</x:v>
      </x:c>
    </x:row>
    <x:row r="259">
      <x:c r="A259" s="83" t="n">
        <x:v>258</x:v>
      </x:c>
      <x:c r="B259" s="84" t="n">
        <x:v>84</x:v>
      </x:c>
      <x:c r="C259" s="84" t="n">
        <x:v>411</x:v>
      </x:c>
      <x:c r="D259" s="89" t="n">
        <x:v>45466.20447916666</x:v>
      </x:c>
      <x:c r="E259" s="89" t="n">
        <x:v>45466.31003472222</x:v>
      </x:c>
      <x:c r="F259" s="84" t="n">
        <x:v>152</x:v>
      </x:c>
      <x:c r="G259" s="84" t="n">
        <x:v>1</x:v>
      </x:c>
      <x:c r="H259" s="84" t="str">
        <x:v>Vazamento</x:v>
      </x:c>
      <x:c r="I259" s="84" t="n">
        <x:v>367</x:v>
      </x:c>
      <x:c r="J259" s="93" t="n">
        <x:v>2054.19</x:v>
      </x:c>
      <x:c r="K259" s="85" t="str">
        <x:v>1º Turno</x:v>
      </x:c>
    </x:row>
    <x:row r="260">
      <x:c r="A260" s="83" t="n">
        <x:v>259</x:v>
      </x:c>
      <x:c r="B260" s="84" t="n">
        <x:v>90</x:v>
      </x:c>
      <x:c r="C260" s="84" t="n">
        <x:v>412</x:v>
      </x:c>
      <x:c r="D260" s="89" t="n">
        <x:v>45829.09563657407</x:v>
      </x:c>
      <x:c r="E260" s="89" t="n">
        <x:v>45829.71160879629</x:v>
      </x:c>
      <x:c r="F260" s="84" t="n">
        <x:v>887</x:v>
      </x:c>
      <x:c r="G260" s="84" t="n">
        <x:v>1</x:v>
      </x:c>
      <x:c r="H260" s="84" t="str">
        <x:v>Baixa pressão</x:v>
      </x:c>
      <x:c r="I260" s="84" t="n">
        <x:v>1685</x:v>
      </x:c>
      <x:c r="J260" s="93" t="n">
        <x:v>14823.63</x:v>
      </x:c>
      <x:c r="K260" s="85" t="str">
        <x:v>1º Turno</x:v>
      </x:c>
    </x:row>
    <x:row r="261">
      <x:c r="A261" s="83" t="n">
        <x:v>260</x:v>
      </x:c>
      <x:c r="B261" s="84" t="n">
        <x:v>10</x:v>
      </x:c>
      <x:c r="C261" s="84" t="n">
        <x:v>413</x:v>
      </x:c>
      <x:c r="D261" s="89" t="n">
        <x:v>45708.641539351855</x:v>
      </x:c>
      <x:c r="E261" s="89" t="n">
        <x:v>45708.65542824074</x:v>
      </x:c>
      <x:c r="F261" s="84" t="n">
        <x:v>20</x:v>
      </x:c>
      <x:c r="G261" s="84" t="n">
        <x:v>1</x:v>
      </x:c>
      <x:c r="H261" s="84" t="str">
        <x:v>Desalinhamento</x:v>
      </x:c>
      <x:c r="I261" s="84" t="n">
        <x:v>39</x:v>
      </x:c>
      <x:c r="J261" s="93" t="n">
        <x:v>761.72</x:v>
      </x:c>
      <x:c r="K261" s="85" t="str">
        <x:v>3º Turno</x:v>
      </x:c>
    </x:row>
    <x:row r="262">
      <x:c r="A262" s="83" t="n">
        <x:v>261</x:v>
      </x:c>
      <x:c r="B262" s="84" t="n">
        <x:v>5</x:v>
      </x:c>
      <x:c r="C262" s="84" t="n">
        <x:v>414</x:v>
      </x:c>
      <x:c r="D262" s="89" t="n">
        <x:v>45411.04315972222</x:v>
      </x:c>
      <x:c r="E262" s="89" t="n">
        <x:v>45411.65635416667</x:v>
      </x:c>
      <x:c r="F262" s="84" t="n">
        <x:v>883</x:v>
      </x:c>
      <x:c r="G262" s="84" t="n">
        <x:v>1</x:v>
      </x:c>
      <x:c r="H262" s="84" t="str">
        <x:v>Alarme intermitente</x:v>
      </x:c>
      <x:c r="I262" s="84" t="n">
        <x:v>1516</x:v>
      </x:c>
      <x:c r="J262" s="93" t="n">
        <x:v>12364.07</x:v>
      </x:c>
      <x:c r="K262" s="85" t="str">
        <x:v>2º Turno</x:v>
      </x:c>
    </x:row>
    <x:row r="263">
      <x:c r="A263" s="83" t="n">
        <x:v>262</x:v>
      </x:c>
      <x:c r="B263" s="84" t="n">
        <x:v>12</x:v>
      </x:c>
      <x:c r="C263" s="84" t="n">
        <x:v>415</x:v>
      </x:c>
      <x:c r="D263" s="89" t="n">
        <x:v>45889.45991898148</x:v>
      </x:c>
      <x:c r="E263" s="89" t="n">
        <x:v>45889.525196759256</x:v>
      </x:c>
      <x:c r="F263" s="84" t="n">
        <x:v>94</x:v>
      </x:c>
      <x:c r="G263" s="84" t="n">
        <x:v>1</x:v>
      </x:c>
      <x:c r="H263" s="84" t="str">
        <x:v>Vazamento</x:v>
      </x:c>
      <x:c r="I263" s="84" t="n">
        <x:v>168</x:v>
      </x:c>
      <x:c r="J263" s="93" t="n">
        <x:v>5438.8</x:v>
      </x:c>
      <x:c r="K263" s="85" t="str">
        <x:v>1º Turno</x:v>
      </x:c>
    </x:row>
    <x:row r="264">
      <x:c r="A264" s="83" t="n">
        <x:v>263</x:v>
      </x:c>
      <x:c r="B264" s="84" t="n">
        <x:v>77</x:v>
      </x:c>
      <x:c r="C264" s="84" t="n">
        <x:v>416</x:v>
      </x:c>
      <x:c r="D264" s="89" t="n">
        <x:v>45770.13318287037</x:v>
      </x:c>
      <x:c r="E264" s="89" t="n">
        <x:v>45770.665127314816</x:v>
      </x:c>
      <x:c r="F264" s="84" t="n">
        <x:v>766</x:v>
      </x:c>
      <x:c r="G264" s="84" t="n">
        <x:v>1</x:v>
      </x:c>
      <x:c r="H264" s="84" t="str">
        <x:v>Falha elétrica</x:v>
      </x:c>
      <x:c r="I264" s="84" t="n">
        <x:v>1404</x:v>
      </x:c>
      <x:c r="J264" s="93" t="n">
        <x:v>13728.29</x:v>
      </x:c>
      <x:c r="K264" s="85" t="str">
        <x:v>2º Turno</x:v>
      </x:c>
    </x:row>
    <x:row r="265">
      <x:c r="A265" s="83" t="n">
        <x:v>264</x:v>
      </x:c>
      <x:c r="B265" s="84" t="n">
        <x:v>62</x:v>
      </x:c>
      <x:c r="C265" s="84" t="n">
        <x:v>417</x:v>
      </x:c>
      <x:c r="D265" s="89" t="n">
        <x:v>45186.86084490741</x:v>
      </x:c>
      <x:c r="E265" s="89" t="n">
        <x:v>45187.07612268518</x:v>
      </x:c>
      <x:c r="F265" s="84" t="n">
        <x:v>310</x:v>
      </x:c>
      <x:c r="G265" s="84" t="n">
        <x:v>1</x:v>
      </x:c>
      <x:c r="H265" s="84" t="str">
        <x:v>Alarme intermitente</x:v>
      </x:c>
      <x:c r="I265" s="84" t="n">
        <x:v>610</x:v>
      </x:c>
      <x:c r="J265" s="93" t="n">
        <x:v>15746.98</x:v>
      </x:c>
      <x:c r="K265" s="85" t="str">
        <x:v>1º Turno</x:v>
      </x:c>
    </x:row>
    <x:row r="266">
      <x:c r="A266" s="83" t="n">
        <x:v>265</x:v>
      </x:c>
      <x:c r="B266" s="84" t="n">
        <x:v>8</x:v>
      </x:c>
      <x:c r="C266" s="84" t="n">
        <x:v>420</x:v>
      </x:c>
      <x:c r="D266" s="89" t="n">
        <x:v>45012.89225694445</x:v>
      </x:c>
      <x:c r="E266" s="89" t="n">
        <x:v>45013.092256944445</x:v>
      </x:c>
      <x:c r="F266" s="84" t="n">
        <x:v>288</x:v>
      </x:c>
      <x:c r="G266" s="84" t="n">
        <x:v>1</x:v>
      </x:c>
      <x:c r="H266" s="84" t="str">
        <x:v>Superaquecimento</x:v>
      </x:c>
      <x:c r="I266" s="84" t="n">
        <x:v>470</x:v>
      </x:c>
      <x:c r="J266" s="93" t="n">
        <x:v>12360.85</x:v>
      </x:c>
      <x:c r="K266" s="85" t="str">
        <x:v>2º Turno</x:v>
      </x:c>
    </x:row>
    <x:row r="267">
      <x:c r="A267" s="83" t="n">
        <x:v>266</x:v>
      </x:c>
      <x:c r="B267" s="84" t="n">
        <x:v>54</x:v>
      </x:c>
      <x:c r="C267" s="84" t="n">
        <x:v>422</x:v>
      </x:c>
      <x:c r="D267" s="89" t="n">
        <x:v>45638.052777777775</x:v>
      </x:c>
      <x:c r="E267" s="89" t="n">
        <x:v>45638.30069444444</x:v>
      </x:c>
      <x:c r="F267" s="84" t="n">
        <x:v>357</x:v>
      </x:c>
      <x:c r="G267" s="84" t="n">
        <x:v>1</x:v>
      </x:c>
      <x:c r="H267" s="84" t="str">
        <x:v>Falha elétrica</x:v>
      </x:c>
      <x:c r="I267" s="84" t="n">
        <x:v>875</x:v>
      </x:c>
      <x:c r="J267" s="93" t="n">
        <x:v>18593.2</x:v>
      </x:c>
      <x:c r="K267" s="85" t="str">
        <x:v>1º Turno</x:v>
      </x:c>
    </x:row>
    <x:row r="268">
      <x:c r="A268" s="83" t="n">
        <x:v>267</x:v>
      </x:c>
      <x:c r="B268" s="84" t="n">
        <x:v>11</x:v>
      </x:c>
      <x:c r="C268" s="84" t="n">
        <x:v>425</x:v>
      </x:c>
      <x:c r="D268" s="89" t="n">
        <x:v>45053.13652777778</x:v>
      </x:c>
      <x:c r="E268" s="89" t="n">
        <x:v>45053.29486111111</x:v>
      </x:c>
      <x:c r="F268" s="84" t="n">
        <x:v>228</x:v>
      </x:c>
      <x:c r="G268" s="84" t="n">
        <x:v>0</x:v>
      </x:c>
      <x:c r="H268" s="84" t="str">
        <x:v>Desalinhamento</x:v>
      </x:c>
      <x:c r="I268" s="84" t="n">
        <x:v>441</x:v>
      </x:c>
      <x:c r="J268" s="93" t="n">
        <x:v>9356.24</x:v>
      </x:c>
      <x:c r="K268" s="85" t="str">
        <x:v>3º Turno</x:v>
      </x:c>
    </x:row>
    <x:row r="269">
      <x:c r="A269" s="83" t="n">
        <x:v>268</x:v>
      </x:c>
      <x:c r="B269" s="84" t="n">
        <x:v>20</x:v>
      </x:c>
      <x:c r="C269" s="84" t="n">
        <x:v>426</x:v>
      </x:c>
      <x:c r="D269" s="89" t="n">
        <x:v>45224.7596412037</x:v>
      </x:c>
      <x:c r="E269" s="89" t="n">
        <x:v>45224.883252314816</x:v>
      </x:c>
      <x:c r="F269" s="84" t="n">
        <x:v>178</x:v>
      </x:c>
      <x:c r="G269" s="84" t="n">
        <x:v>1</x:v>
      </x:c>
      <x:c r="H269" s="84" t="str">
        <x:v>Falha elétrica</x:v>
      </x:c>
      <x:c r="I269" s="84" t="n">
        <x:v>377</x:v>
      </x:c>
      <x:c r="J269" s="93" t="n">
        <x:v>8515.17</x:v>
      </x:c>
      <x:c r="K269" s="85" t="str">
        <x:v>3º Turno</x:v>
      </x:c>
    </x:row>
    <x:row r="270">
      <x:c r="A270" s="83" t="n">
        <x:v>269</x:v>
      </x:c>
      <x:c r="B270" s="84" t="n">
        <x:v>20</x:v>
      </x:c>
      <x:c r="C270" s="84" t="n">
        <x:v>427</x:v>
      </x:c>
      <x:c r="D270" s="89" t="n">
        <x:v>45282.907638888886</x:v>
      </x:c>
      <x:c r="E270" s="89" t="n">
        <x:v>45283.06041666667</x:v>
      </x:c>
      <x:c r="F270" s="84" t="n">
        <x:v>220</x:v>
      </x:c>
      <x:c r="G270" s="84" t="n">
        <x:v>1</x:v>
      </x:c>
      <x:c r="H270" s="84" t="str">
        <x:v>Alarme intermitente</x:v>
      </x:c>
      <x:c r="I270" s="84" t="n">
        <x:v>458</x:v>
      </x:c>
      <x:c r="J270" s="93" t="n">
        <x:v>7423.2</x:v>
      </x:c>
      <x:c r="K270" s="85" t="str">
        <x:v>2º Turno</x:v>
      </x:c>
    </x:row>
    <x:row r="271">
      <x:c r="A271" s="83" t="n">
        <x:v>270</x:v>
      </x:c>
      <x:c r="B271" s="84" t="n">
        <x:v>64</x:v>
      </x:c>
      <x:c r="C271" s="84" t="n">
        <x:v>428</x:v>
      </x:c>
      <x:c r="D271" s="89" t="n">
        <x:v>45624.90667824074</x:v>
      </x:c>
      <x:c r="E271" s="89" t="n">
        <x:v>45624.98862268519</x:v>
      </x:c>
      <x:c r="F271" s="84" t="n">
        <x:v>118</x:v>
      </x:c>
      <x:c r="G271" s="84" t="n">
        <x:v>0</x:v>
      </x:c>
      <x:c r="H271" s="84" t="str">
        <x:v>Desalinhamento</x:v>
      </x:c>
      <x:c r="I271" s="84" t="n">
        <x:v>142</x:v>
      </x:c>
      <x:c r="J271" s="93" t="n">
        <x:v>2104.27</x:v>
      </x:c>
      <x:c r="K271" s="85" t="str">
        <x:v>2º Turno</x:v>
      </x:c>
    </x:row>
    <x:row r="272">
      <x:c r="A272" s="83" t="n">
        <x:v>271</x:v>
      </x:c>
      <x:c r="B272" s="84" t="n">
        <x:v>55</x:v>
      </x:c>
      <x:c r="C272" s="84" t="n">
        <x:v>429</x:v>
      </x:c>
      <x:c r="D272" s="89" t="n">
        <x:v>45817.49197916667</x:v>
      </x:c>
      <x:c r="E272" s="89" t="n">
        <x:v>45818.058645833335</x:v>
      </x:c>
      <x:c r="F272" s="84" t="n">
        <x:v>816</x:v>
      </x:c>
      <x:c r="G272" s="84" t="n">
        <x:v>0</x:v>
      </x:c>
      <x:c r="H272" s="84" t="str">
        <x:v>Baixa pressão</x:v>
      </x:c>
      <x:c r="I272" s="84" t="n">
        <x:v>1673</x:v>
      </x:c>
      <x:c r="J272" s="93" t="n">
        <x:v>45819.8</x:v>
      </x:c>
      <x:c r="K272" s="85" t="str">
        <x:v>3º Turno</x:v>
      </x:c>
    </x:row>
    <x:row r="273">
      <x:c r="A273" s="83" t="n">
        <x:v>272</x:v>
      </x:c>
      <x:c r="B273" s="84" t="n">
        <x:v>38</x:v>
      </x:c>
      <x:c r="C273" s="84" t="n">
        <x:v>433</x:v>
      </x:c>
      <x:c r="D273" s="89" t="n">
        <x:v>45934.59322916667</x:v>
      </x:c>
      <x:c r="E273" s="89" t="n">
        <x:v>45935.04184027778</x:v>
      </x:c>
      <x:c r="F273" s="84" t="n">
        <x:v>646</x:v>
      </x:c>
      <x:c r="G273" s="84" t="n">
        <x:v>1</x:v>
      </x:c>
      <x:c r="H273" s="84" t="str">
        <x:v>Ruído anormal</x:v>
      </x:c>
      <x:c r="I273" s="84" t="n">
        <x:v>926</x:v>
      </x:c>
      <x:c r="J273" s="93" t="n">
        <x:v>16370.73</x:v>
      </x:c>
      <x:c r="K273" s="85" t="str">
        <x:v>3º Turno</x:v>
      </x:c>
    </x:row>
    <x:row r="274">
      <x:c r="A274" s="83" t="n">
        <x:v>273</x:v>
      </x:c>
      <x:c r="B274" s="84" t="n">
        <x:v>70</x:v>
      </x:c>
      <x:c r="C274" s="84" t="n">
        <x:v>434</x:v>
      </x:c>
      <x:c r="D274" s="89" t="n">
        <x:v>45042.17866898148</x:v>
      </x:c>
      <x:c r="E274" s="89" t="n">
        <x:v>45042.66547453704</x:v>
      </x:c>
      <x:c r="F274" s="84" t="n">
        <x:v>701</x:v>
      </x:c>
      <x:c r="G274" s="84" t="n">
        <x:v>1</x:v>
      </x:c>
      <x:c r="H274" s="84" t="str">
        <x:v>Ruído anormal</x:v>
      </x:c>
      <x:c r="I274" s="84" t="n">
        <x:v>1192</x:v>
      </x:c>
      <x:c r="J274" s="93" t="n">
        <x:v>36735.41</x:v>
      </x:c>
      <x:c r="K274" s="85" t="str">
        <x:v>3º Turno</x:v>
      </x:c>
    </x:row>
    <x:row r="275">
      <x:c r="A275" s="83" t="n">
        <x:v>274</x:v>
      </x:c>
      <x:c r="B275" s="84" t="n">
        <x:v>36</x:v>
      </x:c>
      <x:c r="C275" s="84" t="n">
        <x:v>435</x:v>
      </x:c>
      <x:c r="D275" s="89" t="n">
        <x:v>45948.91353009259</x:v>
      </x:c>
      <x:c r="E275" s="89" t="n">
        <x:v>45949.42047453704</x:v>
      </x:c>
      <x:c r="F275" s="84" t="n">
        <x:v>730</x:v>
      </x:c>
      <x:c r="G275" s="84" t="n">
        <x:v>1</x:v>
      </x:c>
      <x:c r="H275" s="84" t="str">
        <x:v>Superaquecimento</x:v>
      </x:c>
      <x:c r="I275" s="84" t="n">
        <x:v>827</x:v>
      </x:c>
      <x:c r="J275" s="93" t="n">
        <x:v>22318.01</x:v>
      </x:c>
      <x:c r="K275" s="85" t="str">
        <x:v>3º Turno</x:v>
      </x:c>
    </x:row>
    <x:row r="276">
      <x:c r="A276" s="83" t="n">
        <x:v>275</x:v>
      </x:c>
      <x:c r="B276" s="84" t="n">
        <x:v>55</x:v>
      </x:c>
      <x:c r="C276" s="84" t="n">
        <x:v>436</x:v>
      </x:c>
      <x:c r="D276" s="89" t="n">
        <x:v>45373.25568287037</x:v>
      </x:c>
      <x:c r="E276" s="89" t="n">
        <x:v>45373.31332175926</x:v>
      </x:c>
      <x:c r="F276" s="84" t="n">
        <x:v>83</x:v>
      </x:c>
      <x:c r="G276" s="84" t="n">
        <x:v>1</x:v>
      </x:c>
      <x:c r="H276" s="84" t="str">
        <x:v>Falha elétrica</x:v>
      </x:c>
      <x:c r="I276" s="84" t="n">
        <x:v>208</x:v>
      </x:c>
      <x:c r="J276" s="93" t="n">
        <x:v>2053</x:v>
      </x:c>
      <x:c r="K276" s="85" t="str">
        <x:v>2º Turno</x:v>
      </x:c>
    </x:row>
    <x:row r="277">
      <x:c r="A277" s="83" t="n">
        <x:v>276</x:v>
      </x:c>
      <x:c r="B277" s="84" t="n">
        <x:v>86</x:v>
      </x:c>
      <x:c r="C277" s="84" t="n">
        <x:v>437</x:v>
      </x:c>
      <x:c r="D277" s="89" t="n">
        <x:v>45344.52165509259</x:v>
      </x:c>
      <x:c r="E277" s="89" t="n">
        <x:v>45344.801516203705</x:v>
      </x:c>
      <x:c r="F277" s="84" t="n">
        <x:v>403</x:v>
      </x:c>
      <x:c r="G277" s="84" t="n">
        <x:v>1</x:v>
      </x:c>
      <x:c r="H277" s="84" t="str">
        <x:v>Desalinhamento</x:v>
      </x:c>
      <x:c r="I277" s="84" t="n">
        <x:v>913</x:v>
      </x:c>
      <x:c r="J277" s="93" t="n">
        <x:v>10455.39</x:v>
      </x:c>
      <x:c r="K277" s="85" t="str">
        <x:v>2º Turno</x:v>
      </x:c>
    </x:row>
    <x:row r="278">
      <x:c r="A278" s="83" t="n">
        <x:v>277</x:v>
      </x:c>
      <x:c r="B278" s="84" t="n">
        <x:v>60</x:v>
      </x:c>
      <x:c r="C278" s="84" t="n">
        <x:v>439</x:v>
      </x:c>
      <x:c r="D278" s="89" t="n">
        <x:v>45042.77967592593</x:v>
      </x:c>
      <x:c r="E278" s="89" t="n">
        <x:v>45043.16787037037</x:v>
      </x:c>
      <x:c r="F278" s="84" t="n">
        <x:v>559</x:v>
      </x:c>
      <x:c r="G278" s="84" t="n">
        <x:v>1</x:v>
      </x:c>
      <x:c r="H278" s="84" t="str">
        <x:v>Baixa pressão</x:v>
      </x:c>
      <x:c r="I278" s="84" t="n">
        <x:v>671</x:v>
      </x:c>
      <x:c r="J278" s="93" t="n">
        <x:v>22069.03</x:v>
      </x:c>
      <x:c r="K278" s="85" t="str">
        <x:v>1º Turno</x:v>
      </x:c>
    </x:row>
    <x:row r="279">
      <x:c r="A279" s="83" t="n">
        <x:v>278</x:v>
      </x:c>
      <x:c r="B279" s="84" t="n">
        <x:v>45</x:v>
      </x:c>
      <x:c r="C279" s="84" t="n">
        <x:v>441</x:v>
      </x:c>
      <x:c r="D279" s="89" t="n">
        <x:v>45671.24092592593</x:v>
      </x:c>
      <x:c r="E279" s="89" t="n">
        <x:v>45671.32148148148</x:v>
      </x:c>
      <x:c r="F279" s="84" t="n">
        <x:v>116</x:v>
      </x:c>
      <x:c r="G279" s="84" t="n">
        <x:v>0</x:v>
      </x:c>
      <x:c r="H279" s="84" t="str">
        <x:v>Baixa pressão</x:v>
      </x:c>
      <x:c r="I279" s="84" t="n">
        <x:v>149</x:v>
      </x:c>
      <x:c r="J279" s="93" t="n">
        <x:v>5950.53</x:v>
      </x:c>
      <x:c r="K279" s="85" t="str">
        <x:v>2º Turno</x:v>
      </x:c>
    </x:row>
    <x:row r="280">
      <x:c r="A280" s="83" t="n">
        <x:v>279</x:v>
      </x:c>
      <x:c r="B280" s="84" t="n">
        <x:v>27</x:v>
      </x:c>
      <x:c r="C280" s="84" t="n">
        <x:v>442</x:v>
      </x:c>
      <x:c r="D280" s="89" t="n">
        <x:v>45437.42365740741</x:v>
      </x:c>
      <x:c r="E280" s="89" t="n">
        <x:v>45437.552824074075</x:v>
      </x:c>
      <x:c r="F280" s="84" t="n">
        <x:v>186</x:v>
      </x:c>
      <x:c r="G280" s="84" t="n">
        <x:v>1</x:v>
      </x:c>
      <x:c r="H280" s="84" t="str">
        <x:v>Superaquecimento</x:v>
      </x:c>
      <x:c r="I280" s="84" t="n">
        <x:v>279</x:v>
      </x:c>
      <x:c r="J280" s="93" t="n">
        <x:v>4342.46</x:v>
      </x:c>
      <x:c r="K280" s="85" t="str">
        <x:v>3º Turno</x:v>
      </x:c>
    </x:row>
    <x:row r="281">
      <x:c r="A281" s="83" t="n">
        <x:v>280</x:v>
      </x:c>
      <x:c r="B281" s="84" t="n">
        <x:v>38</x:v>
      </x:c>
      <x:c r="C281" s="84" t="n">
        <x:v>445</x:v>
      </x:c>
      <x:c r="D281" s="89" t="n">
        <x:v>45687.385567129626</x:v>
      </x:c>
      <x:c r="E281" s="89" t="n">
        <x:v>45687.55570601852</x:v>
      </x:c>
      <x:c r="F281" s="84" t="n">
        <x:v>245</x:v>
      </x:c>
      <x:c r="G281" s="84" t="n">
        <x:v>0</x:v>
      </x:c>
      <x:c r="H281" s="84" t="str">
        <x:v>Vazamento</x:v>
      </x:c>
      <x:c r="I281" s="84" t="n">
        <x:v>363</x:v>
      </x:c>
      <x:c r="J281" s="93" t="n">
        <x:v>6219.82</x:v>
      </x:c>
      <x:c r="K281" s="85" t="str">
        <x:v>2º Turno</x:v>
      </x:c>
    </x:row>
    <x:row r="282">
      <x:c r="A282" s="83" t="n">
        <x:v>281</x:v>
      </x:c>
      <x:c r="B282" s="84" t="n">
        <x:v>7</x:v>
      </x:c>
      <x:c r="C282" s="84" t="n">
        <x:v>446</x:v>
      </x:c>
      <x:c r="D282" s="89" t="n">
        <x:v>44996.35155092592</x:v>
      </x:c>
      <x:c r="E282" s="89" t="n">
        <x:v>44996.473078703704</x:v>
      </x:c>
      <x:c r="F282" s="84" t="n">
        <x:v>175</x:v>
      </x:c>
      <x:c r="G282" s="84" t="n">
        <x:v>1</x:v>
      </x:c>
      <x:c r="H282" s="84" t="str">
        <x:v>Ruído anormal</x:v>
      </x:c>
      <x:c r="I282" s="84" t="n">
        <x:v>245</x:v>
      </x:c>
      <x:c r="J282" s="93" t="n">
        <x:v>9437.26</x:v>
      </x:c>
      <x:c r="K282" s="85" t="str">
        <x:v>2º Turno</x:v>
      </x:c>
    </x:row>
    <x:row r="283">
      <x:c r="A283" s="83" t="n">
        <x:v>282</x:v>
      </x:c>
      <x:c r="B283" s="84" t="n">
        <x:v>70</x:v>
      </x:c>
      <x:c r="C283" s="84" t="n">
        <x:v>448</x:v>
      </x:c>
      <x:c r="D283" s="89" t="n">
        <x:v>45742.79344907407</x:v>
      </x:c>
      <x:c r="E283" s="89" t="n">
        <x:v>45743.28372685185</x:v>
      </x:c>
      <x:c r="F283" s="84" t="n">
        <x:v>706</x:v>
      </x:c>
      <x:c r="G283" s="84" t="n">
        <x:v>1</x:v>
      </x:c>
      <x:c r="H283" s="84" t="str">
        <x:v>Vazamento</x:v>
      </x:c>
      <x:c r="I283" s="84" t="n">
        <x:v>824</x:v>
      </x:c>
      <x:c r="J283" s="93" t="n">
        <x:v>33512.02</x:v>
      </x:c>
      <x:c r="K283" s="85" t="str">
        <x:v>3º Turno</x:v>
      </x:c>
    </x:row>
    <x:row r="284">
      <x:c r="A284" s="83" t="n">
        <x:v>283</x:v>
      </x:c>
      <x:c r="B284" s="84" t="n">
        <x:v>22</x:v>
      </x:c>
      <x:c r="C284" s="84" t="n">
        <x:v>449</x:v>
      </x:c>
      <x:c r="D284" s="89" t="n">
        <x:v>45037.884930555556</x:v>
      </x:c>
      <x:c r="E284" s="89" t="n">
        <x:v>45038.360625</x:v>
      </x:c>
      <x:c r="F284" s="84" t="n">
        <x:v>685</x:v>
      </x:c>
      <x:c r="G284" s="84" t="n">
        <x:v>1</x:v>
      </x:c>
      <x:c r="H284" s="84" t="str">
        <x:v>Vazamento</x:v>
      </x:c>
      <x:c r="I284" s="84" t="n">
        <x:v>1393</x:v>
      </x:c>
      <x:c r="J284" s="93" t="n">
        <x:v>15557.53</x:v>
      </x:c>
      <x:c r="K284" s="85" t="str">
        <x:v>3º Turno</x:v>
      </x:c>
    </x:row>
    <x:row r="285">
      <x:c r="A285" s="83" t="n">
        <x:v>284</x:v>
      </x:c>
      <x:c r="B285" s="84" t="n">
        <x:v>74</x:v>
      </x:c>
      <x:c r="C285" s="84" t="n">
        <x:v>450</x:v>
      </x:c>
      <x:c r="D285" s="89" t="n">
        <x:v>45460.60949074074</x:v>
      </x:c>
      <x:c r="E285" s="89" t="n">
        <x:v>45461.17962962963</x:v>
      </x:c>
      <x:c r="F285" s="84" t="n">
        <x:v>821</x:v>
      </x:c>
      <x:c r="G285" s="84" t="n">
        <x:v>1</x:v>
      </x:c>
      <x:c r="H285" s="84" t="str">
        <x:v>Ruído anormal</x:v>
      </x:c>
      <x:c r="I285" s="84" t="n">
        <x:v>1136</x:v>
      </x:c>
      <x:c r="J285" s="93" t="n">
        <x:v>42309.67</x:v>
      </x:c>
      <x:c r="K285" s="85" t="str">
        <x:v>2º Turno</x:v>
      </x:c>
    </x:row>
    <x:row r="286">
      <x:c r="A286" s="83" t="n">
        <x:v>285</x:v>
      </x:c>
      <x:c r="B286" s="84" t="n">
        <x:v>46</x:v>
      </x:c>
      <x:c r="C286" s="84" t="n">
        <x:v>451</x:v>
      </x:c>
      <x:c r="D286" s="89" t="n">
        <x:v>45603.00907407407</x:v>
      </x:c>
      <x:c r="E286" s="89" t="n">
        <x:v>45603.379907407405</x:v>
      </x:c>
      <x:c r="F286" s="84" t="n">
        <x:v>534</x:v>
      </x:c>
      <x:c r="G286" s="84" t="n">
        <x:v>1</x:v>
      </x:c>
      <x:c r="H286" s="84" t="str">
        <x:v>Alarme intermitente</x:v>
      </x:c>
      <x:c r="I286" s="84" t="n">
        <x:v>908</x:v>
      </x:c>
      <x:c r="J286" s="93" t="n">
        <x:v>12427.72</x:v>
      </x:c>
      <x:c r="K286" s="85" t="str">
        <x:v>2º Turno</x:v>
      </x:c>
    </x:row>
    <x:row r="287">
      <x:c r="A287" s="83" t="n">
        <x:v>286</x:v>
      </x:c>
      <x:c r="B287" s="84" t="n">
        <x:v>8</x:v>
      </x:c>
      <x:c r="C287" s="84" t="n">
        <x:v>452</x:v>
      </x:c>
      <x:c r="D287" s="89" t="n">
        <x:v>44929.910474537035</x:v>
      </x:c>
      <x:c r="E287" s="89" t="n">
        <x:v>44929.961863425924</x:v>
      </x:c>
      <x:c r="F287" s="84" t="n">
        <x:v>74</x:v>
      </x:c>
      <x:c r="G287" s="84" t="n">
        <x:v>1</x:v>
      </x:c>
      <x:c r="H287" s="84" t="str">
        <x:v>Superaquecimento</x:v>
      </x:c>
      <x:c r="I287" s="84" t="n">
        <x:v>75</x:v>
      </x:c>
      <x:c r="J287" s="93" t="n">
        <x:v>3106.45</x:v>
      </x:c>
      <x:c r="K287" s="85" t="str">
        <x:v>3º Turno</x:v>
      </x:c>
    </x:row>
    <x:row r="288">
      <x:c r="A288" s="83" t="n">
        <x:v>287</x:v>
      </x:c>
      <x:c r="B288" s="84" t="n">
        <x:v>64</x:v>
      </x:c>
      <x:c r="C288" s="84" t="n">
        <x:v>453</x:v>
      </x:c>
      <x:c r="D288" s="89" t="n">
        <x:v>45584.86875</x:v>
      </x:c>
      <x:c r="E288" s="89" t="n">
        <x:v>45585.165972222225</x:v>
      </x:c>
      <x:c r="F288" s="84" t="n">
        <x:v>428</x:v>
      </x:c>
      <x:c r="G288" s="84" t="n">
        <x:v>0</x:v>
      </x:c>
      <x:c r="H288" s="84" t="str">
        <x:v>Desalinhamento</x:v>
      </x:c>
      <x:c r="I288" s="84" t="n">
        <x:v>571</x:v>
      </x:c>
      <x:c r="J288" s="93" t="n">
        <x:v>15585.57</x:v>
      </x:c>
      <x:c r="K288" s="85" t="str">
        <x:v>1º Turno</x:v>
      </x:c>
    </x:row>
    <x:row r="289">
      <x:c r="A289" s="83" t="n">
        <x:v>288</x:v>
      </x:c>
      <x:c r="B289" s="84" t="n">
        <x:v>47</x:v>
      </x:c>
      <x:c r="C289" s="84" t="n">
        <x:v>454</x:v>
      </x:c>
      <x:c r="D289" s="89" t="n">
        <x:v>45858.024305555555</x:v>
      </x:c>
      <x:c r="E289" s="89" t="n">
        <x:v>45858.64513888889</x:v>
      </x:c>
      <x:c r="F289" s="84" t="n">
        <x:v>894</x:v>
      </x:c>
      <x:c r="G289" s="84" t="n">
        <x:v>1</x:v>
      </x:c>
      <x:c r="H289" s="84" t="str">
        <x:v>Baixa pressão</x:v>
      </x:c>
      <x:c r="I289" s="84" t="n">
        <x:v>1594</x:v>
      </x:c>
      <x:c r="J289" s="93" t="n">
        <x:v>39254.43</x:v>
      </x:c>
      <x:c r="K289" s="85" t="str">
        <x:v>1º Turno</x:v>
      </x:c>
    </x:row>
    <x:row r="290">
      <x:c r="A290" s="83" t="n">
        <x:v>289</x:v>
      </x:c>
      <x:c r="B290" s="84" t="n">
        <x:v>26</x:v>
      </x:c>
      <x:c r="C290" s="84" t="n">
        <x:v>460</x:v>
      </x:c>
      <x:c r="D290" s="89" t="n">
        <x:v>45026.50201388889</x:v>
      </x:c>
      <x:c r="E290" s="89" t="n">
        <x:v>45027.12701388889</x:v>
      </x:c>
      <x:c r="F290" s="84" t="n">
        <x:v>900</x:v>
      </x:c>
      <x:c r="G290" s="84" t="n">
        <x:v>1</x:v>
      </x:c>
      <x:c r="H290" s="84" t="str">
        <x:v>Baixa pressão</x:v>
      </x:c>
      <x:c r="I290" s="84" t="n">
        <x:v>1230</x:v>
      </x:c>
      <x:c r="J290" s="93" t="n">
        <x:v>51480</x:v>
      </x:c>
      <x:c r="K290" s="85" t="str">
        <x:v>2º Turno</x:v>
      </x:c>
    </x:row>
    <x:row r="291">
      <x:c r="A291" s="83" t="n">
        <x:v>290</x:v>
      </x:c>
      <x:c r="B291" s="84" t="n">
        <x:v>55</x:v>
      </x:c>
      <x:c r="C291" s="84" t="n">
        <x:v>461</x:v>
      </x:c>
      <x:c r="D291" s="89" t="n">
        <x:v>45011.251296296294</x:v>
      </x:c>
      <x:c r="E291" s="89" t="n">
        <x:v>45011.50268518519</x:v>
      </x:c>
      <x:c r="F291" s="84" t="n">
        <x:v>362</x:v>
      </x:c>
      <x:c r="G291" s="84" t="n">
        <x:v>0</x:v>
      </x:c>
      <x:c r="H291" s="84" t="str">
        <x:v>Baixa pressão</x:v>
      </x:c>
      <x:c r="I291" s="84" t="n">
        <x:v>621</x:v>
      </x:c>
      <x:c r="J291" s="93" t="n">
        <x:v>16534.29</x:v>
      </x:c>
      <x:c r="K291" s="85" t="str">
        <x:v>2º Turno</x:v>
      </x:c>
    </x:row>
    <x:row r="292">
      <x:c r="A292" s="83" t="n">
        <x:v>291</x:v>
      </x:c>
      <x:c r="B292" s="84" t="n">
        <x:v>25</x:v>
      </x:c>
      <x:c r="C292" s="84" t="n">
        <x:v>462</x:v>
      </x:c>
      <x:c r="D292" s="89" t="n">
        <x:v>45625.123819444445</x:v>
      </x:c>
      <x:c r="E292" s="89" t="n">
        <x:v>45625.39881944445</x:v>
      </x:c>
      <x:c r="F292" s="84" t="n">
        <x:v>396</x:v>
      </x:c>
      <x:c r="G292" s="84" t="n">
        <x:v>1</x:v>
      </x:c>
      <x:c r="H292" s="84" t="str">
        <x:v>Vazamento</x:v>
      </x:c>
      <x:c r="I292" s="84" t="n">
        <x:v>693</x:v>
      </x:c>
      <x:c r="J292" s="93" t="n">
        <x:v>11706.52</x:v>
      </x:c>
      <x:c r="K292" s="85" t="str">
        <x:v>1º Turno</x:v>
      </x:c>
    </x:row>
    <x:row r="293">
      <x:c r="A293" s="83" t="n">
        <x:v>292</x:v>
      </x:c>
      <x:c r="B293" s="84" t="n">
        <x:v>80</x:v>
      </x:c>
      <x:c r="C293" s="84" t="n">
        <x:v>463</x:v>
      </x:c>
      <x:c r="D293" s="89" t="n">
        <x:v>45506.25513888889</x:v>
      </x:c>
      <x:c r="E293" s="89" t="n">
        <x:v>45506.62944444444</x:v>
      </x:c>
      <x:c r="F293" s="84" t="n">
        <x:v>539</x:v>
      </x:c>
      <x:c r="G293" s="84" t="n">
        <x:v>1</x:v>
      </x:c>
      <x:c r="H293" s="84" t="str">
        <x:v>Baixa pressão</x:v>
      </x:c>
      <x:c r="I293" s="84" t="n">
        <x:v>710</x:v>
      </x:c>
      <x:c r="J293" s="93" t="n">
        <x:v>15008.18</x:v>
      </x:c>
      <x:c r="K293" s="85" t="str">
        <x:v>3º Turno</x:v>
      </x:c>
    </x:row>
    <x:row r="294">
      <x:c r="A294" s="83" t="n">
        <x:v>293</x:v>
      </x:c>
      <x:c r="B294" s="84" t="n">
        <x:v>77</x:v>
      </x:c>
      <x:c r="C294" s="84" t="n">
        <x:v>464</x:v>
      </x:c>
      <x:c r="D294" s="89" t="n">
        <x:v>45917.24165509259</x:v>
      </x:c>
      <x:c r="E294" s="89" t="n">
        <x:v>45917.45276620371</x:v>
      </x:c>
      <x:c r="F294" s="84" t="n">
        <x:v>304</x:v>
      </x:c>
      <x:c r="G294" s="84" t="n">
        <x:v>1</x:v>
      </x:c>
      <x:c r="H294" s="84" t="str">
        <x:v>Baixa pressão</x:v>
      </x:c>
      <x:c r="I294" s="84" t="n">
        <x:v>431</x:v>
      </x:c>
      <x:c r="J294" s="93" t="n">
        <x:v>12718.1</x:v>
      </x:c>
      <x:c r="K294" s="85" t="str">
        <x:v>2º Turno</x:v>
      </x:c>
    </x:row>
    <x:row r="295">
      <x:c r="A295" s="83" t="n">
        <x:v>294</x:v>
      </x:c>
      <x:c r="B295" s="84" t="n">
        <x:v>63</x:v>
      </x:c>
      <x:c r="C295" s="84" t="n">
        <x:v>468</x:v>
      </x:c>
      <x:c r="D295" s="89" t="n">
        <x:v>45636.11179398148</x:v>
      </x:c>
      <x:c r="E295" s="89" t="n">
        <x:v>45636.36943287037</x:v>
      </x:c>
      <x:c r="F295" s="84" t="n">
        <x:v>371</x:v>
      </x:c>
      <x:c r="G295" s="84" t="n">
        <x:v>0</x:v>
      </x:c>
      <x:c r="H295" s="84" t="str">
        <x:v>Baixa pressão</x:v>
      </x:c>
      <x:c r="I295" s="84" t="n">
        <x:v>538</x:v>
      </x:c>
      <x:c r="J295" s="93" t="n">
        <x:v>20543.56</x:v>
      </x:c>
      <x:c r="K295" s="85" t="str">
        <x:v>3º Turno</x:v>
      </x:c>
    </x:row>
    <x:row r="296">
      <x:c r="A296" s="83" t="n">
        <x:v>295</x:v>
      </x:c>
      <x:c r="B296" s="84" t="n">
        <x:v>26</x:v>
      </x:c>
      <x:c r="C296" s="84" t="n">
        <x:v>469</x:v>
      </x:c>
      <x:c r="D296" s="89" t="n">
        <x:v>44949.99726851852</x:v>
      </x:c>
      <x:c r="E296" s="89" t="n">
        <x:v>44950.400046296294</x:v>
      </x:c>
      <x:c r="F296" s="84" t="n">
        <x:v>580</x:v>
      </x:c>
      <x:c r="G296" s="84" t="n">
        <x:v>0</x:v>
      </x:c>
      <x:c r="H296" s="84" t="str">
        <x:v>Alarme intermitente</x:v>
      </x:c>
      <x:c r="I296" s="84" t="n">
        <x:v>870</x:v>
      </x:c>
      <x:c r="J296" s="93" t="n">
        <x:v>17256.66</x:v>
      </x:c>
      <x:c r="K296" s="85" t="str">
        <x:v>2º Turno</x:v>
      </x:c>
    </x:row>
    <x:row r="297">
      <x:c r="A297" s="83" t="n">
        <x:v>296</x:v>
      </x:c>
      <x:c r="B297" s="84" t="n">
        <x:v>12</x:v>
      </x:c>
      <x:c r="C297" s="84" t="n">
        <x:v>473</x:v>
      </x:c>
      <x:c r="D297" s="89" t="n">
        <x:v>45511.44739583333</x:v>
      </x:c>
      <x:c r="E297" s="89" t="n">
        <x:v>45512.068923611114</x:v>
      </x:c>
      <x:c r="F297" s="84" t="n">
        <x:v>895</x:v>
      </x:c>
      <x:c r="G297" s="84" t="n">
        <x:v>1</x:v>
      </x:c>
      <x:c r="H297" s="84" t="str">
        <x:v>Alarme intermitente</x:v>
      </x:c>
      <x:c r="I297" s="84" t="n">
        <x:v>1417</x:v>
      </x:c>
      <x:c r="J297" s="93" t="n">
        <x:v>15998.79</x:v>
      </x:c>
      <x:c r="K297" s="85" t="str">
        <x:v>2º Turno</x:v>
      </x:c>
    </x:row>
    <x:row r="298">
      <x:c r="A298" s="83" t="n">
        <x:v>297</x:v>
      </x:c>
      <x:c r="B298" s="84" t="n">
        <x:v>19</x:v>
      </x:c>
      <x:c r="C298" s="84" t="n">
        <x:v>474</x:v>
      </x:c>
      <x:c r="D298" s="89" t="n">
        <x:v>45447.079189814816</x:v>
      </x:c>
      <x:c r="E298" s="89" t="n">
        <x:v>45447.568773148145</x:v>
      </x:c>
      <x:c r="F298" s="84" t="n">
        <x:v>705</x:v>
      </x:c>
      <x:c r="G298" s="84" t="n">
        <x:v>1</x:v>
      </x:c>
      <x:c r="H298" s="84" t="str">
        <x:v>Vazamento</x:v>
      </x:c>
      <x:c r="I298" s="84" t="n">
        <x:v>1504</x:v>
      </x:c>
      <x:c r="J298" s="93" t="n">
        <x:v>31393.07</x:v>
      </x:c>
      <x:c r="K298" s="85" t="str">
        <x:v>3º Turno</x:v>
      </x:c>
    </x:row>
    <x:row r="299">
      <x:c r="A299" s="83" t="n">
        <x:v>298</x:v>
      </x:c>
      <x:c r="B299" s="84" t="n">
        <x:v>71</x:v>
      </x:c>
      <x:c r="C299" s="84" t="n">
        <x:v>475</x:v>
      </x:c>
      <x:c r="D299" s="89" t="n">
        <x:v>45929.135300925926</x:v>
      </x:c>
      <x:c r="E299" s="89" t="n">
        <x:v>45929.391550925924</x:v>
      </x:c>
      <x:c r="F299" s="84" t="n">
        <x:v>369</x:v>
      </x:c>
      <x:c r="G299" s="84" t="n">
        <x:v>1</x:v>
      </x:c>
      <x:c r="H299" s="84" t="str">
        <x:v>Ruído anormal</x:v>
      </x:c>
      <x:c r="I299" s="84" t="n">
        <x:v>640</x:v>
      </x:c>
      <x:c r="J299" s="93" t="n">
        <x:v>16857.07</x:v>
      </x:c>
      <x:c r="K299" s="85" t="str">
        <x:v>2º Turno</x:v>
      </x:c>
    </x:row>
    <x:row r="300">
      <x:c r="A300" s="83" t="n">
        <x:v>299</x:v>
      </x:c>
      <x:c r="B300" s="84" t="n">
        <x:v>52</x:v>
      </x:c>
      <x:c r="C300" s="84" t="n">
        <x:v>476</x:v>
      </x:c>
      <x:c r="D300" s="89" t="n">
        <x:v>45892.53094907408</x:v>
      </x:c>
      <x:c r="E300" s="89" t="n">
        <x:v>45892.878171296295</x:v>
      </x:c>
      <x:c r="F300" s="84" t="n">
        <x:v>500</x:v>
      </x:c>
      <x:c r="G300" s="84" t="n">
        <x:v>1</x:v>
      </x:c>
      <x:c r="H300" s="84" t="str">
        <x:v>Ruído anormal</x:v>
      </x:c>
      <x:c r="I300" s="84" t="n">
        <x:v>533</x:v>
      </x:c>
      <x:c r="J300" s="93" t="n">
        <x:v>12517.2</x:v>
      </x:c>
      <x:c r="K300" s="85" t="str">
        <x:v>1º Turno</x:v>
      </x:c>
    </x:row>
    <x:row r="301">
      <x:c r="A301" s="83" t="n">
        <x:v>300</x:v>
      </x:c>
      <x:c r="B301" s="84" t="n">
        <x:v>11</x:v>
      </x:c>
      <x:c r="C301" s="84" t="n">
        <x:v>477</x:v>
      </x:c>
      <x:c r="D301" s="89" t="n">
        <x:v>45530.72488425926</x:v>
      </x:c>
      <x:c r="E301" s="89" t="n">
        <x:v>45531.23391203704</x:v>
      </x:c>
      <x:c r="F301" s="84" t="n">
        <x:v>733</x:v>
      </x:c>
      <x:c r="G301" s="84" t="n">
        <x:v>1</x:v>
      </x:c>
      <x:c r="H301" s="84" t="str">
        <x:v>Ruído anormal</x:v>
      </x:c>
      <x:c r="I301" s="84" t="n">
        <x:v>990</x:v>
      </x:c>
      <x:c r="J301" s="93" t="n">
        <x:v>19658.29</x:v>
      </x:c>
      <x:c r="K301" s="85" t="str">
        <x:v>2º Turno</x:v>
      </x:c>
    </x:row>
    <x:row r="302">
      <x:c r="A302" s="83" t="n">
        <x:v>301</x:v>
      </x:c>
      <x:c r="B302" s="84" t="n">
        <x:v>50</x:v>
      </x:c>
      <x:c r="C302" s="84" t="n">
        <x:v>478</x:v>
      </x:c>
      <x:c r="D302" s="89" t="n">
        <x:v>45616.05427083333</x:v>
      </x:c>
      <x:c r="E302" s="89" t="n">
        <x:v>45616.39246527778</x:v>
      </x:c>
      <x:c r="F302" s="84" t="n">
        <x:v>487</x:v>
      </x:c>
      <x:c r="G302" s="84" t="n">
        <x:v>1</x:v>
      </x:c>
      <x:c r="H302" s="84" t="str">
        <x:v>Superaquecimento</x:v>
      </x:c>
      <x:c r="I302" s="84" t="n">
        <x:v>649</x:v>
      </x:c>
      <x:c r="J302" s="93" t="n">
        <x:v>22948.84</x:v>
      </x:c>
      <x:c r="K302" s="85" t="str">
        <x:v>1º Turno</x:v>
      </x:c>
    </x:row>
    <x:row r="303">
      <x:c r="A303" s="83" t="n">
        <x:v>302</x:v>
      </x:c>
      <x:c r="B303" s="84" t="n">
        <x:v>10</x:v>
      </x:c>
      <x:c r="C303" s="84" t="n">
        <x:v>479</x:v>
      </x:c>
      <x:c r="D303" s="89" t="n">
        <x:v>45867.676828703705</x:v>
      </x:c>
      <x:c r="E303" s="89" t="n">
        <x:v>45867.89349537037</x:v>
      </x:c>
      <x:c r="F303" s="84" t="n">
        <x:v>312</x:v>
      </x:c>
      <x:c r="G303" s="84" t="n">
        <x:v>0</x:v>
      </x:c>
      <x:c r="H303" s="84" t="str">
        <x:v>Superaquecimento</x:v>
      </x:c>
      <x:c r="I303" s="84" t="n">
        <x:v>359</x:v>
      </x:c>
      <x:c r="J303" s="93" t="n">
        <x:v>8024.45</x:v>
      </x:c>
      <x:c r="K303" s="85" t="str">
        <x:v>1º Turno</x:v>
      </x:c>
    </x:row>
    <x:row r="304">
      <x:c r="A304" s="83" t="n">
        <x:v>303</x:v>
      </x:c>
      <x:c r="B304" s="84" t="n">
        <x:v>12</x:v>
      </x:c>
      <x:c r="C304" s="84" t="n">
        <x:v>481</x:v>
      </x:c>
      <x:c r="D304" s="89" t="n">
        <x:v>45012.078414351854</x:v>
      </x:c>
      <x:c r="E304" s="89" t="n">
        <x:v>45012.31105324074</x:v>
      </x:c>
      <x:c r="F304" s="84" t="n">
        <x:v>335</x:v>
      </x:c>
      <x:c r="G304" s="84" t="n">
        <x:v>0</x:v>
      </x:c>
      <x:c r="H304" s="84" t="str">
        <x:v>Alarme intermitente</x:v>
      </x:c>
      <x:c r="I304" s="84" t="n">
        <x:v>346</x:v>
      </x:c>
      <x:c r="J304" s="93" t="n">
        <x:v>18376.99</x:v>
      </x:c>
      <x:c r="K304" s="85" t="str">
        <x:v>3º Turno</x:v>
      </x:c>
    </x:row>
    <x:row r="305">
      <x:c r="A305" s="83" t="n">
        <x:v>304</x:v>
      </x:c>
      <x:c r="B305" s="84" t="n">
        <x:v>35</x:v>
      </x:c>
      <x:c r="C305" s="84" t="n">
        <x:v>482</x:v>
      </x:c>
      <x:c r="D305" s="89" t="n">
        <x:v>45413.86243055556</x:v>
      </x:c>
      <x:c r="E305" s="89" t="n">
        <x:v>45414.12006944444</x:v>
      </x:c>
      <x:c r="F305" s="84" t="n">
        <x:v>371</x:v>
      </x:c>
      <x:c r="G305" s="84" t="n">
        <x:v>1</x:v>
      </x:c>
      <x:c r="H305" s="84" t="str">
        <x:v>Alarme intermitente</x:v>
      </x:c>
      <x:c r="I305" s="84" t="n">
        <x:v>872</x:v>
      </x:c>
      <x:c r="J305" s="93" t="n">
        <x:v>11918.27</x:v>
      </x:c>
      <x:c r="K305" s="85" t="str">
        <x:v>1º Turno</x:v>
      </x:c>
    </x:row>
    <x:row r="306">
      <x:c r="A306" s="83" t="n">
        <x:v>305</x:v>
      </x:c>
      <x:c r="B306" s="84" t="n">
        <x:v>64</x:v>
      </x:c>
      <x:c r="C306" s="84" t="n">
        <x:v>485</x:v>
      </x:c>
      <x:c r="D306" s="89" t="n">
        <x:v>45041.29457175926</x:v>
      </x:c>
      <x:c r="E306" s="89" t="n">
        <x:v>45041.607766203706</x:v>
      </x:c>
      <x:c r="F306" s="84" t="n">
        <x:v>451</x:v>
      </x:c>
      <x:c r="G306" s="84" t="n">
        <x:v>1</x:v>
      </x:c>
      <x:c r="H306" s="84" t="str">
        <x:v>Superaquecimento</x:v>
      </x:c>
      <x:c r="I306" s="84" t="n">
        <x:v>459</x:v>
      </x:c>
      <x:c r="J306" s="93" t="n">
        <x:v>24378.39</x:v>
      </x:c>
      <x:c r="K306" s="85" t="str">
        <x:v>1º Turno</x:v>
      </x:c>
    </x:row>
    <x:row r="307">
      <x:c r="A307" s="83" t="n">
        <x:v>306</x:v>
      </x:c>
      <x:c r="B307" s="84" t="n">
        <x:v>78</x:v>
      </x:c>
      <x:c r="C307" s="84" t="n">
        <x:v>487</x:v>
      </x:c>
      <x:c r="D307" s="89" t="n">
        <x:v>45321.313206018516</x:v>
      </x:c>
      <x:c r="E307" s="89" t="n">
        <x:v>45321.35140046296</x:v>
      </x:c>
      <x:c r="F307" s="84" t="n">
        <x:v>55</x:v>
      </x:c>
      <x:c r="G307" s="84" t="n">
        <x:v>1</x:v>
      </x:c>
      <x:c r="H307" s="84" t="str">
        <x:v>Superaquecimento</x:v>
      </x:c>
      <x:c r="I307" s="84" t="n">
        <x:v>79</x:v>
      </x:c>
      <x:c r="J307" s="93" t="n">
        <x:v>794.63</x:v>
      </x:c>
      <x:c r="K307" s="85" t="str">
        <x:v>3º Turno</x:v>
      </x:c>
    </x:row>
    <x:row r="308">
      <x:c r="A308" s="83" t="n">
        <x:v>307</x:v>
      </x:c>
      <x:c r="B308" s="84" t="n">
        <x:v>39</x:v>
      </x:c>
      <x:c r="C308" s="84" t="n">
        <x:v>489</x:v>
      </x:c>
      <x:c r="D308" s="89" t="n">
        <x:v>45004.80805555556</x:v>
      </x:c>
      <x:c r="E308" s="89" t="n">
        <x:v>45005.178194444445</x:v>
      </x:c>
      <x:c r="F308" s="84" t="n">
        <x:v>533</x:v>
      </x:c>
      <x:c r="G308" s="84" t="n">
        <x:v>1</x:v>
      </x:c>
      <x:c r="H308" s="84" t="str">
        <x:v>Alarme intermitente</x:v>
      </x:c>
      <x:c r="I308" s="84" t="n">
        <x:v>640</x:v>
      </x:c>
      <x:c r="J308" s="93" t="n">
        <x:v>16599</x:v>
      </x:c>
      <x:c r="K308" s="85" t="str">
        <x:v>2º Turno</x:v>
      </x:c>
    </x:row>
    <x:row r="309">
      <x:c r="A309" s="83" t="n">
        <x:v>308</x:v>
      </x:c>
      <x:c r="B309" s="84" t="n">
        <x:v>42</x:v>
      </x:c>
      <x:c r="C309" s="84" t="n">
        <x:v>492</x:v>
      </x:c>
      <x:c r="D309" s="89" t="n">
        <x:v>45316.53273148148</x:v>
      </x:c>
      <x:c r="E309" s="89" t="n">
        <x:v>45316.71675925926</x:v>
      </x:c>
      <x:c r="F309" s="84" t="n">
        <x:v>265</x:v>
      </x:c>
      <x:c r="G309" s="84" t="n">
        <x:v>0</x:v>
      </x:c>
      <x:c r="H309" s="84" t="str">
        <x:v>Ruído anormal</x:v>
      </x:c>
      <x:c r="I309" s="84" t="n">
        <x:v>446</x:v>
      </x:c>
      <x:c r="J309" s="93" t="n">
        <x:v>14197.35</x:v>
      </x:c>
      <x:c r="K309" s="85" t="str">
        <x:v>1º Turno</x:v>
      </x:c>
    </x:row>
    <x:row r="310">
      <x:c r="A310" s="83" t="n">
        <x:v>309</x:v>
      </x:c>
      <x:c r="B310" s="84" t="n">
        <x:v>11</x:v>
      </x:c>
      <x:c r="C310" s="84" t="n">
        <x:v>496</x:v>
      </x:c>
      <x:c r="D310" s="89" t="n">
        <x:v>45497.06743055556</x:v>
      </x:c>
      <x:c r="E310" s="89" t="n">
        <x:v>45497.31048611111</x:v>
      </x:c>
      <x:c r="F310" s="84" t="n">
        <x:v>350</x:v>
      </x:c>
      <x:c r="G310" s="84" t="n">
        <x:v>1</x:v>
      </x:c>
      <x:c r="H310" s="84" t="str">
        <x:v>Vazamento</x:v>
      </x:c>
      <x:c r="I310" s="84" t="n">
        <x:v>350</x:v>
      </x:c>
      <x:c r="J310" s="93" t="n">
        <x:v>15955.32</x:v>
      </x:c>
      <x:c r="K310" s="85" t="str">
        <x:v>1º Turno</x:v>
      </x:c>
    </x:row>
    <x:row r="311">
      <x:c r="A311" s="83" t="n">
        <x:v>310</x:v>
      </x:c>
      <x:c r="B311" s="84" t="n">
        <x:v>80</x:v>
      </x:c>
      <x:c r="C311" s="84" t="n">
        <x:v>497</x:v>
      </x:c>
      <x:c r="D311" s="89" t="n">
        <x:v>45318.09354166667</x:v>
      </x:c>
      <x:c r="E311" s="89" t="n">
        <x:v>45318.32270833333</x:v>
      </x:c>
      <x:c r="F311" s="84" t="n">
        <x:v>330</x:v>
      </x:c>
      <x:c r="G311" s="84" t="n">
        <x:v>0</x:v>
      </x:c>
      <x:c r="H311" s="84" t="str">
        <x:v>Falha elétrica</x:v>
      </x:c>
      <x:c r="I311" s="84" t="n">
        <x:v>368</x:v>
      </x:c>
      <x:c r="J311" s="93" t="n">
        <x:v>5862.36</x:v>
      </x:c>
      <x:c r="K311" s="85" t="str">
        <x:v>2º Turno</x:v>
      </x:c>
    </x:row>
    <x:row r="312">
      <x:c r="A312" s="83" t="n">
        <x:v>311</x:v>
      </x:c>
      <x:c r="B312" s="84" t="n">
        <x:v>50</x:v>
      </x:c>
      <x:c r="C312" s="84" t="n">
        <x:v>498</x:v>
      </x:c>
      <x:c r="D312" s="89" t="n">
        <x:v>45527.97068287037</x:v>
      </x:c>
      <x:c r="E312" s="89" t="n">
        <x:v>45528.390127314815</x:v>
      </x:c>
      <x:c r="F312" s="84" t="n">
        <x:v>604</x:v>
      </x:c>
      <x:c r="G312" s="84" t="n">
        <x:v>1</x:v>
      </x:c>
      <x:c r="H312" s="84" t="str">
        <x:v>Desalinhamento</x:v>
      </x:c>
      <x:c r="I312" s="84" t="n">
        <x:v>614</x:v>
      </x:c>
      <x:c r="J312" s="93" t="n">
        <x:v>20926.18</x:v>
      </x:c>
      <x:c r="K312" s="85" t="str">
        <x:v>1º Turno</x:v>
      </x:c>
    </x:row>
    <x:row r="313">
      <x:c r="A313" s="83" t="n">
        <x:v>312</x:v>
      </x:c>
      <x:c r="B313" s="84" t="n">
        <x:v>3</x:v>
      </x:c>
      <x:c r="C313" s="84" t="n">
        <x:v>499</x:v>
      </x:c>
      <x:c r="D313" s="89" t="n">
        <x:v>45128.61908564815</x:v>
      </x:c>
      <x:c r="E313" s="89" t="n">
        <x:v>45129.123252314814</x:v>
      </x:c>
      <x:c r="F313" s="84" t="n">
        <x:v>726</x:v>
      </x:c>
      <x:c r="G313" s="84" t="n">
        <x:v>1</x:v>
      </x:c>
      <x:c r="H313" s="84" t="str">
        <x:v>Superaquecimento</x:v>
      </x:c>
      <x:c r="I313" s="84" t="n">
        <x:v>1646</x:v>
      </x:c>
      <x:c r="J313" s="93" t="n">
        <x:v>36786.65</x:v>
      </x:c>
      <x:c r="K313" s="85" t="str">
        <x:v>1º Turno</x:v>
      </x:c>
    </x:row>
    <x:row r="314">
      <x:c r="A314" s="83" t="n">
        <x:v>313</x:v>
      </x:c>
      <x:c r="B314" s="84" t="n">
        <x:v>10</x:v>
      </x:c>
      <x:c r="C314" s="84" t="n">
        <x:v>500</x:v>
      </x:c>
      <x:c r="D314" s="89" t="n">
        <x:v>45036.97741898148</x:v>
      </x:c>
      <x:c r="E314" s="89" t="n">
        <x:v>45037.18158564815</x:v>
      </x:c>
      <x:c r="F314" s="84" t="n">
        <x:v>294</x:v>
      </x:c>
      <x:c r="G314" s="84" t="n">
        <x:v>0</x:v>
      </x:c>
      <x:c r="H314" s="84" t="str">
        <x:v>Alarme intermitente</x:v>
      </x:c>
      <x:c r="I314" s="84" t="n">
        <x:v>706</x:v>
      </x:c>
      <x:c r="J314" s="93" t="n">
        <x:v>7634.11</x:v>
      </x:c>
      <x:c r="K314" s="85" t="str">
        <x:v>1º Turno</x:v>
      </x:c>
    </x:row>
    <x:row r="315">
      <x:c r="A315" s="83" t="n">
        <x:v>314</x:v>
      </x:c>
      <x:c r="B315" s="84" t="n">
        <x:v>36</x:v>
      </x:c>
      <x:c r="C315" s="84" t="n">
        <x:v>503</x:v>
      </x:c>
      <x:c r="D315" s="89" t="n">
        <x:v>44929.028449074074</x:v>
      </x:c>
      <x:c r="E315" s="89" t="n">
        <x:v>44929.21525462963</x:v>
      </x:c>
      <x:c r="F315" s="84" t="n">
        <x:v>269</x:v>
      </x:c>
      <x:c r="G315" s="84" t="n">
        <x:v>0</x:v>
      </x:c>
      <x:c r="H315" s="84" t="str">
        <x:v>Superaquecimento</x:v>
      </x:c>
      <x:c r="I315" s="84" t="n">
        <x:v>305</x:v>
      </x:c>
      <x:c r="J315" s="93" t="n">
        <x:v>9541.54</x:v>
      </x:c>
      <x:c r="K315" s="85" t="str">
        <x:v>2º Turno</x:v>
      </x:c>
    </x:row>
    <x:row r="316">
      <x:c r="A316" s="83" t="n">
        <x:v>315</x:v>
      </x:c>
      <x:c r="B316" s="84" t="n">
        <x:v>59</x:v>
      </x:c>
      <x:c r="C316" s="84" t="n">
        <x:v>504</x:v>
      </x:c>
      <x:c r="D316" s="89" t="n">
        <x:v>45647.353159722225</x:v>
      </x:c>
      <x:c r="E316" s="89" t="n">
        <x:v>45647.50802083333</x:v>
      </x:c>
      <x:c r="F316" s="84" t="n">
        <x:v>223</x:v>
      </x:c>
      <x:c r="G316" s="84" t="n">
        <x:v>1</x:v>
      </x:c>
      <x:c r="H316" s="84" t="str">
        <x:v>Falha elétrica</x:v>
      </x:c>
      <x:c r="I316" s="84" t="n">
        <x:v>294</x:v>
      </x:c>
      <x:c r="J316" s="93" t="n">
        <x:v>8115.87</x:v>
      </x:c>
      <x:c r="K316" s="85" t="str">
        <x:v>2º Turno</x:v>
      </x:c>
    </x:row>
    <x:row r="317">
      <x:c r="A317" s="83" t="n">
        <x:v>316</x:v>
      </x:c>
      <x:c r="B317" s="84" t="n">
        <x:v>7</x:v>
      </x:c>
      <x:c r="C317" s="84" t="n">
        <x:v>505</x:v>
      </x:c>
      <x:c r="D317" s="89" t="n">
        <x:v>45566.21931712963</x:v>
      </x:c>
      <x:c r="E317" s="89" t="n">
        <x:v>45566.65542824074</x:v>
      </x:c>
      <x:c r="F317" s="84" t="n">
        <x:v>628</x:v>
      </x:c>
      <x:c r="G317" s="84" t="n">
        <x:v>1</x:v>
      </x:c>
      <x:c r="H317" s="84" t="str">
        <x:v>Baixa pressão</x:v>
      </x:c>
      <x:c r="I317" s="84" t="n">
        <x:v>743</x:v>
      </x:c>
      <x:c r="J317" s="93" t="n">
        <x:v>22780.11</x:v>
      </x:c>
      <x:c r="K317" s="85" t="str">
        <x:v>2º Turno</x:v>
      </x:c>
    </x:row>
    <x:row r="318">
      <x:c r="A318" s="83" t="n">
        <x:v>317</x:v>
      </x:c>
      <x:c r="B318" s="84" t="n">
        <x:v>76</x:v>
      </x:c>
      <x:c r="C318" s="84" t="n">
        <x:v>506</x:v>
      </x:c>
      <x:c r="D318" s="89" t="n">
        <x:v>45331.961388888885</x:v>
      </x:c>
      <x:c r="E318" s="89" t="n">
        <x:v>45332.11902777778</x:v>
      </x:c>
      <x:c r="F318" s="84" t="n">
        <x:v>227</x:v>
      </x:c>
      <x:c r="G318" s="84" t="n">
        <x:v>1</x:v>
      </x:c>
      <x:c r="H318" s="84" t="str">
        <x:v>Superaquecimento</x:v>
      </x:c>
      <x:c r="I318" s="84" t="n">
        <x:v>318</x:v>
      </x:c>
      <x:c r="J318" s="93" t="n">
        <x:v>7583.6</x:v>
      </x:c>
      <x:c r="K318" s="85" t="str">
        <x:v>1º Turno</x:v>
      </x:c>
    </x:row>
    <x:row r="319">
      <x:c r="A319" s="83" t="n">
        <x:v>318</x:v>
      </x:c>
      <x:c r="B319" s="84" t="n">
        <x:v>28</x:v>
      </x:c>
      <x:c r="C319" s="84" t="n">
        <x:v>509</x:v>
      </x:c>
      <x:c r="D319" s="89" t="n">
        <x:v>45976.32513888889</x:v>
      </x:c>
      <x:c r="E319" s="89" t="n">
        <x:v>45976.48694444444</x:v>
      </x:c>
      <x:c r="F319" s="84" t="n">
        <x:v>233</x:v>
      </x:c>
      <x:c r="G319" s="84" t="n">
        <x:v>0</x:v>
      </x:c>
      <x:c r="H319" s="84" t="str">
        <x:v>Vazamento</x:v>
      </x:c>
      <x:c r="I319" s="84" t="n">
        <x:v>249</x:v>
      </x:c>
      <x:c r="J319" s="93" t="n">
        <x:v>12575.13</x:v>
      </x:c>
      <x:c r="K319" s="85" t="str">
        <x:v>3º Turno</x:v>
      </x:c>
    </x:row>
    <x:row r="320">
      <x:c r="A320" s="83" t="n">
        <x:v>319</x:v>
      </x:c>
      <x:c r="B320" s="84" t="n">
        <x:v>75</x:v>
      </x:c>
      <x:c r="C320" s="84" t="n">
        <x:v>510</x:v>
      </x:c>
      <x:c r="D320" s="89" t="n">
        <x:v>45822.144583333335</x:v>
      </x:c>
      <x:c r="E320" s="89" t="n">
        <x:v>45822.55847222222</x:v>
      </x:c>
      <x:c r="F320" s="84" t="n">
        <x:v>596</x:v>
      </x:c>
      <x:c r="G320" s="84" t="n">
        <x:v>1</x:v>
      </x:c>
      <x:c r="H320" s="84" t="str">
        <x:v>Superaquecimento</x:v>
      </x:c>
      <x:c r="I320" s="84" t="n">
        <x:v>964</x:v>
      </x:c>
      <x:c r="J320" s="93" t="n">
        <x:v>26607.38</x:v>
      </x:c>
      <x:c r="K320" s="85" t="str">
        <x:v>2º Turno</x:v>
      </x:c>
    </x:row>
    <x:row r="321">
      <x:c r="A321" s="83" t="n">
        <x:v>320</x:v>
      </x:c>
      <x:c r="B321" s="84" t="n">
        <x:v>76</x:v>
      </x:c>
      <x:c r="C321" s="84" t="n">
        <x:v>513</x:v>
      </x:c>
      <x:c r="D321" s="89" t="n">
        <x:v>45673.043900462966</x:v>
      </x:c>
      <x:c r="E321" s="89" t="n">
        <x:v>45673.44320601852</x:v>
      </x:c>
      <x:c r="F321" s="84" t="n">
        <x:v>575</x:v>
      </x:c>
      <x:c r="G321" s="84" t="n">
        <x:v>1</x:v>
      </x:c>
      <x:c r="H321" s="84" t="str">
        <x:v>Baixa pressão</x:v>
      </x:c>
      <x:c r="I321" s="84" t="n">
        <x:v>1428</x:v>
      </x:c>
      <x:c r="J321" s="93" t="n">
        <x:v>14651.91</x:v>
      </x:c>
      <x:c r="K321" s="85" t="str">
        <x:v>1º Turno</x:v>
      </x:c>
    </x:row>
    <x:row r="322">
      <x:c r="A322" s="83" t="n">
        <x:v>321</x:v>
      </x:c>
      <x:c r="B322" s="84" t="n">
        <x:v>1</x:v>
      </x:c>
      <x:c r="C322" s="84" t="n">
        <x:v>514</x:v>
      </x:c>
      <x:c r="D322" s="89" t="n">
        <x:v>45158.249918981484</x:v>
      </x:c>
      <x:c r="E322" s="89" t="n">
        <x:v>45158.50408564815</x:v>
      </x:c>
      <x:c r="F322" s="84" t="n">
        <x:v>366</x:v>
      </x:c>
      <x:c r="G322" s="84" t="n">
        <x:v>1</x:v>
      </x:c>
      <x:c r="H322" s="84" t="str">
        <x:v>Alarme intermitente</x:v>
      </x:c>
      <x:c r="I322" s="84" t="n">
        <x:v>744</x:v>
      </x:c>
      <x:c r="J322" s="93" t="n">
        <x:v>6469.8</x:v>
      </x:c>
      <x:c r="K322" s="85" t="str">
        <x:v>2º Turno</x:v>
      </x:c>
    </x:row>
    <x:row r="323">
      <x:c r="A323" s="83" t="n">
        <x:v>322</x:v>
      </x:c>
      <x:c r="B323" s="84" t="n">
        <x:v>11</x:v>
      </x:c>
      <x:c r="C323" s="84" t="n">
        <x:v>516</x:v>
      </x:c>
      <x:c r="D323" s="89" t="n">
        <x:v>45752.21481481481</x:v>
      </x:c>
      <x:c r="E323" s="89" t="n">
        <x:v>45752.262037037035</x:v>
      </x:c>
      <x:c r="F323" s="84" t="n">
        <x:v>68</x:v>
      </x:c>
      <x:c r="G323" s="84" t="n">
        <x:v>1</x:v>
      </x:c>
      <x:c r="H323" s="84" t="str">
        <x:v>Falha elétrica</x:v>
      </x:c>
      <x:c r="I323" s="84" t="n">
        <x:v>137</x:v>
      </x:c>
      <x:c r="J323" s="93" t="n">
        <x:v>3133.02</x:v>
      </x:c>
      <x:c r="K323" s="85" t="str">
        <x:v>2º Turno</x:v>
      </x:c>
    </x:row>
    <x:row r="324">
      <x:c r="A324" s="83" t="n">
        <x:v>323</x:v>
      </x:c>
      <x:c r="B324" s="84" t="n">
        <x:v>84</x:v>
      </x:c>
      <x:c r="C324" s="84" t="n">
        <x:v>519</x:v>
      </x:c>
      <x:c r="D324" s="89" t="n">
        <x:v>45536.73994212963</x:v>
      </x:c>
      <x:c r="E324" s="89" t="n">
        <x:v>45537.11494212963</x:v>
      </x:c>
      <x:c r="F324" s="84" t="n">
        <x:v>540</x:v>
      </x:c>
      <x:c r="G324" s="84" t="n">
        <x:v>1</x:v>
      </x:c>
      <x:c r="H324" s="84" t="str">
        <x:v>Superaquecimento</x:v>
      </x:c>
      <x:c r="I324" s="84" t="n">
        <x:v>873</x:v>
      </x:c>
      <x:c r="J324" s="93" t="n">
        <x:v>21708.62</x:v>
      </x:c>
      <x:c r="K324" s="85" t="str">
        <x:v>3º Turno</x:v>
      </x:c>
    </x:row>
    <x:row r="325">
      <x:c r="A325" s="83" t="n">
        <x:v>324</x:v>
      </x:c>
      <x:c r="B325" s="84" t="n">
        <x:v>48</x:v>
      </x:c>
      <x:c r="C325" s="84" t="n">
        <x:v>520</x:v>
      </x:c>
      <x:c r="D325" s="89" t="n">
        <x:v>45858.66008101852</x:v>
      </x:c>
      <x:c r="E325" s="89" t="n">
        <x:v>45858.93369212963</x:v>
      </x:c>
      <x:c r="F325" s="84" t="n">
        <x:v>394</x:v>
      </x:c>
      <x:c r="G325" s="84" t="n">
        <x:v>1</x:v>
      </x:c>
      <x:c r="H325" s="84" t="str">
        <x:v>Baixa pressão</x:v>
      </x:c>
      <x:c r="I325" s="84" t="n">
        <x:v>952</x:v>
      </x:c>
      <x:c r="J325" s="93" t="n">
        <x:v>17383.54</x:v>
      </x:c>
      <x:c r="K325" s="85" t="str">
        <x:v>1º Turno</x:v>
      </x:c>
    </x:row>
    <x:row r="326">
      <x:c r="A326" s="83" t="n">
        <x:v>325</x:v>
      </x:c>
      <x:c r="B326" s="84" t="n">
        <x:v>55</x:v>
      </x:c>
      <x:c r="C326" s="84" t="n">
        <x:v>526</x:v>
      </x:c>
      <x:c r="D326" s="89" t="n">
        <x:v>44963.70013888889</x:v>
      </x:c>
      <x:c r="E326" s="89" t="n">
        <x:v>44963.79111111111</x:v>
      </x:c>
      <x:c r="F326" s="84" t="n">
        <x:v>131</x:v>
      </x:c>
      <x:c r="G326" s="84" t="n">
        <x:v>0</x:v>
      </x:c>
      <x:c r="H326" s="84" t="str">
        <x:v>Ruído anormal</x:v>
      </x:c>
      <x:c r="I326" s="84" t="n">
        <x:v>196</x:v>
      </x:c>
      <x:c r="J326" s="93" t="n">
        <x:v>4167.71</x:v>
      </x:c>
      <x:c r="K326" s="85" t="str">
        <x:v>1º Turno</x:v>
      </x:c>
    </x:row>
    <x:row r="327">
      <x:c r="A327" s="83" t="n">
        <x:v>326</x:v>
      </x:c>
      <x:c r="B327" s="84" t="n">
        <x:v>71</x:v>
      </x:c>
      <x:c r="C327" s="84" t="n">
        <x:v>528</x:v>
      </x:c>
      <x:c r="D327" s="89" t="n">
        <x:v>45211.20569444444</x:v>
      </x:c>
      <x:c r="E327" s="89" t="n">
        <x:v>45211.675833333335</x:v>
      </x:c>
      <x:c r="F327" s="84" t="n">
        <x:v>677</x:v>
      </x:c>
      <x:c r="G327" s="84" t="n">
        <x:v>1</x:v>
      </x:c>
      <x:c r="H327" s="84" t="str">
        <x:v>Baixa pressão</x:v>
      </x:c>
      <x:c r="I327" s="84" t="n">
        <x:v>970</x:v>
      </x:c>
      <x:c r="J327" s="93" t="n">
        <x:v>14567.83</x:v>
      </x:c>
      <x:c r="K327" s="85" t="str">
        <x:v>1º Turno</x:v>
      </x:c>
    </x:row>
    <x:row r="328">
      <x:c r="A328" s="83" t="n">
        <x:v>327</x:v>
      </x:c>
      <x:c r="B328" s="84" t="n">
        <x:v>43</x:v>
      </x:c>
      <x:c r="C328" s="84" t="n">
        <x:v>530</x:v>
      </x:c>
      <x:c r="D328" s="89" t="n">
        <x:v>45567.945289351854</x:v>
      </x:c>
      <x:c r="E328" s="89" t="n">
        <x:v>45568.15917824074</x:v>
      </x:c>
      <x:c r="F328" s="84" t="n">
        <x:v>308</x:v>
      </x:c>
      <x:c r="G328" s="84" t="n">
        <x:v>1</x:v>
      </x:c>
      <x:c r="H328" s="84" t="str">
        <x:v>Vazamento</x:v>
      </x:c>
      <x:c r="I328" s="84" t="n">
        <x:v>472</x:v>
      </x:c>
      <x:c r="J328" s="93" t="n">
        <x:v>12713.09</x:v>
      </x:c>
      <x:c r="K328" s="85" t="str">
        <x:v>1º Turno</x:v>
      </x:c>
    </x:row>
    <x:row r="329">
      <x:c r="A329" s="83" t="n">
        <x:v>328</x:v>
      </x:c>
      <x:c r="B329" s="84" t="n">
        <x:v>90</x:v>
      </x:c>
      <x:c r="C329" s="84" t="n">
        <x:v>532</x:v>
      </x:c>
      <x:c r="D329" s="89" t="n">
        <x:v>45458.40883101852</x:v>
      </x:c>
      <x:c r="E329" s="89" t="n">
        <x:v>45458.85605324074</x:v>
      </x:c>
      <x:c r="F329" s="84" t="n">
        <x:v>644</x:v>
      </x:c>
      <x:c r="G329" s="84" t="n">
        <x:v>0</x:v>
      </x:c>
      <x:c r="H329" s="84" t="str">
        <x:v>Superaquecimento</x:v>
      </x:c>
      <x:c r="I329" s="84" t="n">
        <x:v>1148</x:v>
      </x:c>
      <x:c r="J329" s="93" t="n">
        <x:v>17233.02</x:v>
      </x:c>
      <x:c r="K329" s="85" t="str">
        <x:v>2º Turno</x:v>
      </x:c>
    </x:row>
    <x:row r="330">
      <x:c r="A330" s="83" t="n">
        <x:v>329</x:v>
      </x:c>
      <x:c r="B330" s="84" t="n">
        <x:v>68</x:v>
      </x:c>
      <x:c r="C330" s="84" t="n">
        <x:v>534</x:v>
      </x:c>
      <x:c r="D330" s="89" t="n">
        <x:v>45375.47729166667</x:v>
      </x:c>
      <x:c r="E330" s="89" t="n">
        <x:v>45376.08840277778</x:v>
      </x:c>
      <x:c r="F330" s="84" t="n">
        <x:v>880</x:v>
      </x:c>
      <x:c r="G330" s="84" t="n">
        <x:v>0</x:v>
      </x:c>
      <x:c r="H330" s="84" t="str">
        <x:v>Ruído anormal</x:v>
      </x:c>
      <x:c r="I330" s="84" t="n">
        <x:v>953</x:v>
      </x:c>
      <x:c r="J330" s="93" t="n">
        <x:v>34602.44</x:v>
      </x:c>
      <x:c r="K330" s="85" t="str">
        <x:v>1º Turno</x:v>
      </x:c>
    </x:row>
    <x:row r="331">
      <x:c r="A331" s="83" t="n">
        <x:v>330</x:v>
      </x:c>
      <x:c r="B331" s="84" t="n">
        <x:v>37</x:v>
      </x:c>
      <x:c r="C331" s="84" t="n">
        <x:v>535</x:v>
      </x:c>
      <x:c r="D331" s="89" t="n">
        <x:v>45635.44841435185</x:v>
      </x:c>
      <x:c r="E331" s="89" t="n">
        <x:v>45635.785219907404</x:v>
      </x:c>
      <x:c r="F331" s="84" t="n">
        <x:v>485</x:v>
      </x:c>
      <x:c r="G331" s="84" t="n">
        <x:v>1</x:v>
      </x:c>
      <x:c r="H331" s="84" t="str">
        <x:v>Vazamento</x:v>
      </x:c>
      <x:c r="I331" s="84" t="n">
        <x:v>517</x:v>
      </x:c>
      <x:c r="J331" s="93" t="n">
        <x:v>17934.38</x:v>
      </x:c>
      <x:c r="K331" s="85" t="str">
        <x:v>1º Turno</x:v>
      </x:c>
    </x:row>
    <x:row r="332">
      <x:c r="A332" s="83" t="n">
        <x:v>331</x:v>
      </x:c>
      <x:c r="B332" s="84" t="n">
        <x:v>48</x:v>
      </x:c>
      <x:c r="C332" s="84" t="n">
        <x:v>537</x:v>
      </x:c>
      <x:c r="D332" s="89" t="n">
        <x:v>45581.927569444444</x:v>
      </x:c>
      <x:c r="E332" s="89" t="n">
        <x:v>45582.180347222224</x:v>
      </x:c>
      <x:c r="F332" s="84" t="n">
        <x:v>364</x:v>
      </x:c>
      <x:c r="G332" s="84" t="n">
        <x:v>0</x:v>
      </x:c>
      <x:c r="H332" s="84" t="str">
        <x:v>Falha elétrica</x:v>
      </x:c>
      <x:c r="I332" s="84" t="n">
        <x:v>406</x:v>
      </x:c>
      <x:c r="J332" s="93" t="n">
        <x:v>5469.42</x:v>
      </x:c>
      <x:c r="K332" s="85" t="str">
        <x:v>2º Turno</x:v>
      </x:c>
    </x:row>
    <x:row r="333">
      <x:c r="A333" s="83" t="n">
        <x:v>332</x:v>
      </x:c>
      <x:c r="B333" s="84" t="n">
        <x:v>52</x:v>
      </x:c>
      <x:c r="C333" s="84" t="n">
        <x:v>538</x:v>
      </x:c>
      <x:c r="D333" s="89" t="n">
        <x:v>45357.50109953704</x:v>
      </x:c>
      <x:c r="E333" s="89" t="n">
        <x:v>45358.06359953704</x:v>
      </x:c>
      <x:c r="F333" s="84" t="n">
        <x:v>810</x:v>
      </x:c>
      <x:c r="G333" s="84" t="n">
        <x:v>1</x:v>
      </x:c>
      <x:c r="H333" s="84" t="str">
        <x:v>Vazamento</x:v>
      </x:c>
      <x:c r="I333" s="84" t="n">
        <x:v>864</x:v>
      </x:c>
      <x:c r="J333" s="93" t="n">
        <x:v>32958.67</x:v>
      </x:c>
      <x:c r="K333" s="85" t="str">
        <x:v>1º Turno</x:v>
      </x:c>
    </x:row>
    <x:row r="334">
      <x:c r="A334" s="83" t="n">
        <x:v>333</x:v>
      </x:c>
      <x:c r="B334" s="84" t="n">
        <x:v>70</x:v>
      </x:c>
      <x:c r="C334" s="84" t="n">
        <x:v>539</x:v>
      </x:c>
      <x:c r="D334" s="89" t="n">
        <x:v>45281.60936342592</x:v>
      </x:c>
      <x:c r="E334" s="89" t="n">
        <x:v>45282.15380787037</x:v>
      </x:c>
      <x:c r="F334" s="84" t="n">
        <x:v>784</x:v>
      </x:c>
      <x:c r="G334" s="84" t="n">
        <x:v>1</x:v>
      </x:c>
      <x:c r="H334" s="84" t="str">
        <x:v>Superaquecimento</x:v>
      </x:c>
      <x:c r="I334" s="84" t="n">
        <x:v>1385</x:v>
      </x:c>
      <x:c r="J334" s="93" t="n">
        <x:v>15262.84</x:v>
      </x:c>
      <x:c r="K334" s="85" t="str">
        <x:v>2º Turno</x:v>
      </x:c>
    </x:row>
    <x:row r="335">
      <x:c r="A335" s="83" t="n">
        <x:v>334</x:v>
      </x:c>
      <x:c r="B335" s="84" t="n">
        <x:v>51</x:v>
      </x:c>
      <x:c r="C335" s="84" t="n">
        <x:v>540</x:v>
      </x:c>
      <x:c r="D335" s="89" t="n">
        <x:v>45262.498252314814</x:v>
      </x:c>
      <x:c r="E335" s="89" t="n">
        <x:v>45262.75033564815</x:v>
      </x:c>
      <x:c r="F335" s="84" t="n">
        <x:v>363</x:v>
      </x:c>
      <x:c r="G335" s="84" t="n">
        <x:v>1</x:v>
      </x:c>
      <x:c r="H335" s="84" t="str">
        <x:v>Baixa pressão</x:v>
      </x:c>
      <x:c r="I335" s="84" t="n">
        <x:v>811</x:v>
      </x:c>
      <x:c r="J335" s="93" t="n">
        <x:v>18176.04</x:v>
      </x:c>
      <x:c r="K335" s="85" t="str">
        <x:v>3º Turno</x:v>
      </x:c>
    </x:row>
    <x:row r="336">
      <x:c r="A336" s="83" t="n">
        <x:v>335</x:v>
      </x:c>
      <x:c r="B336" s="84" t="n">
        <x:v>50</x:v>
      </x:c>
      <x:c r="C336" s="84" t="n">
        <x:v>542</x:v>
      </x:c>
      <x:c r="D336" s="89" t="n">
        <x:v>45915.9690625</x:v>
      </x:c>
      <x:c r="E336" s="89" t="n">
        <x:v>45916.05447916667</x:v>
      </x:c>
      <x:c r="F336" s="84" t="n">
        <x:v>123</x:v>
      </x:c>
      <x:c r="G336" s="84" t="n">
        <x:v>1</x:v>
      </x:c>
      <x:c r="H336" s="84" t="str">
        <x:v>Falha elétrica</x:v>
      </x:c>
      <x:c r="I336" s="84" t="n">
        <x:v>135</x:v>
      </x:c>
      <x:c r="J336" s="93" t="n">
        <x:v>6647.45</x:v>
      </x:c>
      <x:c r="K336" s="85" t="str">
        <x:v>2º Turno</x:v>
      </x:c>
    </x:row>
    <x:row r="337">
      <x:c r="A337" s="83" t="n">
        <x:v>336</x:v>
      </x:c>
      <x:c r="B337" s="84" t="n">
        <x:v>16</x:v>
      </x:c>
      <x:c r="C337" s="84" t="n">
        <x:v>543</x:v>
      </x:c>
      <x:c r="D337" s="89" t="n">
        <x:v>45203.19756944444</x:v>
      </x:c>
      <x:c r="E337" s="89" t="n">
        <x:v>45203.32465277778</x:v>
      </x:c>
      <x:c r="F337" s="84" t="n">
        <x:v>183</x:v>
      </x:c>
      <x:c r="G337" s="84" t="n">
        <x:v>1</x:v>
      </x:c>
      <x:c r="H337" s="84" t="str">
        <x:v>Desalinhamento</x:v>
      </x:c>
      <x:c r="I337" s="84" t="n">
        <x:v>430</x:v>
      </x:c>
      <x:c r="J337" s="93" t="n">
        <x:v>5590.09</x:v>
      </x:c>
      <x:c r="K337" s="85" t="str">
        <x:v>3º Turno</x:v>
      </x:c>
    </x:row>
    <x:row r="338">
      <x:c r="A338" s="83" t="n">
        <x:v>337</x:v>
      </x:c>
      <x:c r="B338" s="84" t="n">
        <x:v>71</x:v>
      </x:c>
      <x:c r="C338" s="84" t="n">
        <x:v>548</x:v>
      </x:c>
      <x:c r="D338" s="89" t="n">
        <x:v>45424.94252314815</x:v>
      </x:c>
      <x:c r="E338" s="89" t="n">
        <x:v>45425.13349537037</x:v>
      </x:c>
      <x:c r="F338" s="84" t="n">
        <x:v>275</x:v>
      </x:c>
      <x:c r="G338" s="84" t="n">
        <x:v>0</x:v>
      </x:c>
      <x:c r="H338" s="84" t="str">
        <x:v>Superaquecimento</x:v>
      </x:c>
      <x:c r="I338" s="84" t="n">
        <x:v>408</x:v>
      </x:c>
      <x:c r="J338" s="93" t="n">
        <x:v>6541.5</x:v>
      </x:c>
      <x:c r="K338" s="85" t="str">
        <x:v>2º Turno</x:v>
      </x:c>
    </x:row>
    <x:row r="339">
      <x:c r="A339" s="83" t="n">
        <x:v>338</x:v>
      </x:c>
      <x:c r="B339" s="84" t="n">
        <x:v>21</x:v>
      </x:c>
      <x:c r="C339" s="84" t="n">
        <x:v>549</x:v>
      </x:c>
      <x:c r="D339" s="89" t="n">
        <x:v>45235.576875</x:v>
      </x:c>
      <x:c r="E339" s="89" t="n">
        <x:v>45235.90256944444</x:v>
      </x:c>
      <x:c r="F339" s="84" t="n">
        <x:v>469</x:v>
      </x:c>
      <x:c r="G339" s="84" t="n">
        <x:v>1</x:v>
      </x:c>
      <x:c r="H339" s="84" t="str">
        <x:v>Ruído anormal</x:v>
      </x:c>
      <x:c r="I339" s="84" t="n">
        <x:v>610</x:v>
      </x:c>
      <x:c r="J339" s="93" t="n">
        <x:v>17365.11</x:v>
      </x:c>
      <x:c r="K339" s="85" t="str">
        <x:v>2º Turno</x:v>
      </x:c>
    </x:row>
    <x:row r="340">
      <x:c r="A340" s="83" t="n">
        <x:v>339</x:v>
      </x:c>
      <x:c r="B340" s="84" t="n">
        <x:v>30</x:v>
      </x:c>
      <x:c r="C340" s="84" t="n">
        <x:v>550</x:v>
      </x:c>
      <x:c r="D340" s="89" t="n">
        <x:v>45898.12206018518</x:v>
      </x:c>
      <x:c r="E340" s="89" t="n">
        <x:v>45898.2019212963</x:v>
      </x:c>
      <x:c r="F340" s="84" t="n">
        <x:v>115</x:v>
      </x:c>
      <x:c r="G340" s="84" t="n">
        <x:v>0</x:v>
      </x:c>
      <x:c r="H340" s="84" t="str">
        <x:v>Ruído anormal</x:v>
      </x:c>
      <x:c r="I340" s="84" t="n">
        <x:v>274</x:v>
      </x:c>
      <x:c r="J340" s="93" t="n">
        <x:v>3775.86</x:v>
      </x:c>
      <x:c r="K340" s="85" t="str">
        <x:v>2º Turno</x:v>
      </x:c>
    </x:row>
    <x:row r="341">
      <x:c r="A341" s="83" t="n">
        <x:v>340</x:v>
      </x:c>
      <x:c r="B341" s="84" t="n">
        <x:v>51</x:v>
      </x:c>
      <x:c r="C341" s="84" t="n">
        <x:v>551</x:v>
      </x:c>
      <x:c r="D341" s="89" t="n">
        <x:v>45666.22170138889</x:v>
      </x:c>
      <x:c r="E341" s="89" t="n">
        <x:v>45666.41961805556</x:v>
      </x:c>
      <x:c r="F341" s="84" t="n">
        <x:v>285</x:v>
      </x:c>
      <x:c r="G341" s="84" t="n">
        <x:v>0</x:v>
      </x:c>
      <x:c r="H341" s="84" t="str">
        <x:v>Vazamento</x:v>
      </x:c>
      <x:c r="I341" s="84" t="n">
        <x:v>418</x:v>
      </x:c>
      <x:c r="J341" s="93" t="n">
        <x:v>8331.75</x:v>
      </x:c>
      <x:c r="K341" s="85" t="str">
        <x:v>1º Turno</x:v>
      </x:c>
    </x:row>
    <x:row r="342">
      <x:c r="A342" s="83" t="n">
        <x:v>341</x:v>
      </x:c>
      <x:c r="B342" s="84" t="n">
        <x:v>54</x:v>
      </x:c>
      <x:c r="C342" s="84" t="n">
        <x:v>552</x:v>
      </x:c>
      <x:c r="D342" s="89" t="n">
        <x:v>45477.826585648145</x:v>
      </x:c>
      <x:c r="E342" s="89" t="n">
        <x:v>45478.402974537035</x:v>
      </x:c>
      <x:c r="F342" s="84" t="n">
        <x:v>830</x:v>
      </x:c>
      <x:c r="G342" s="84" t="n">
        <x:v>0</x:v>
      </x:c>
      <x:c r="H342" s="84" t="str">
        <x:v>Desalinhamento</x:v>
      </x:c>
      <x:c r="I342" s="84" t="n">
        <x:v>1909</x:v>
      </x:c>
      <x:c r="J342" s="93" t="n">
        <x:v>22009.29</x:v>
      </x:c>
      <x:c r="K342" s="85" t="str">
        <x:v>1º Turno</x:v>
      </x:c>
    </x:row>
    <x:row r="343">
      <x:c r="A343" s="83" t="n">
        <x:v>342</x:v>
      </x:c>
      <x:c r="B343" s="84" t="n">
        <x:v>45</x:v>
      </x:c>
      <x:c r="C343" s="84" t="n">
        <x:v>553</x:v>
      </x:c>
      <x:c r="D343" s="89" t="n">
        <x:v>45612.65224537037</x:v>
      </x:c>
      <x:c r="E343" s="89" t="n">
        <x:v>45613.00016203704</x:v>
      </x:c>
      <x:c r="F343" s="84" t="n">
        <x:v>501</x:v>
      </x:c>
      <x:c r="G343" s="84" t="n">
        <x:v>0</x:v>
      </x:c>
      <x:c r="H343" s="84" t="str">
        <x:v>Desalinhamento</x:v>
      </x:c>
      <x:c r="I343" s="84" t="n">
        <x:v>860</x:v>
      </x:c>
      <x:c r="J343" s="93" t="n">
        <x:v>13159.65</x:v>
      </x:c>
      <x:c r="K343" s="85" t="str">
        <x:v>3º Turno</x:v>
      </x:c>
    </x:row>
    <x:row r="344">
      <x:c r="A344" s="83" t="n">
        <x:v>343</x:v>
      </x:c>
      <x:c r="B344" s="84" t="n">
        <x:v>30</x:v>
      </x:c>
      <x:c r="C344" s="84" t="n">
        <x:v>554</x:v>
      </x:c>
      <x:c r="D344" s="89" t="n">
        <x:v>45783.21650462963</x:v>
      </x:c>
      <x:c r="E344" s="89" t="n">
        <x:v>45783.59081018518</x:v>
      </x:c>
      <x:c r="F344" s="84" t="n">
        <x:v>539</x:v>
      </x:c>
      <x:c r="G344" s="84" t="n">
        <x:v>1</x:v>
      </x:c>
      <x:c r="H344" s="84" t="str">
        <x:v>Superaquecimento</x:v>
      </x:c>
      <x:c r="I344" s="84" t="n">
        <x:v>1231</x:v>
      </x:c>
      <x:c r="J344" s="93" t="n">
        <x:v>27513.84</x:v>
      </x:c>
      <x:c r="K344" s="85" t="str">
        <x:v>3º Turno</x:v>
      </x:c>
    </x:row>
    <x:row r="345">
      <x:c r="A345" s="83" t="n">
        <x:v>344</x:v>
      </x:c>
      <x:c r="B345" s="84" t="n">
        <x:v>42</x:v>
      </x:c>
      <x:c r="C345" s="84" t="n">
        <x:v>555</x:v>
      </x:c>
      <x:c r="D345" s="89" t="n">
        <x:v>45396.77193287037</x:v>
      </x:c>
      <x:c r="E345" s="89" t="n">
        <x:v>45396.91984953704</x:v>
      </x:c>
      <x:c r="F345" s="84" t="n">
        <x:v>213</x:v>
      </x:c>
      <x:c r="G345" s="84" t="n">
        <x:v>0</x:v>
      </x:c>
      <x:c r="H345" s="84" t="str">
        <x:v>Baixa pressão</x:v>
      </x:c>
      <x:c r="I345" s="84" t="n">
        <x:v>373</x:v>
      </x:c>
      <x:c r="J345" s="93" t="n">
        <x:v>10649.56</x:v>
      </x:c>
      <x:c r="K345" s="85" t="str">
        <x:v>1º Turno</x:v>
      </x:c>
    </x:row>
    <x:row r="346">
      <x:c r="A346" s="83" t="n">
        <x:v>345</x:v>
      </x:c>
      <x:c r="B346" s="84" t="n">
        <x:v>56</x:v>
      </x:c>
      <x:c r="C346" s="84" t="n">
        <x:v>556</x:v>
      </x:c>
      <x:c r="D346" s="89" t="n">
        <x:v>45492.09185185185</x:v>
      </x:c>
      <x:c r="E346" s="89" t="n">
        <x:v>45492.27935185185</x:v>
      </x:c>
      <x:c r="F346" s="84" t="n">
        <x:v>270</x:v>
      </x:c>
      <x:c r="G346" s="84" t="n">
        <x:v>1</x:v>
      </x:c>
      <x:c r="H346" s="84" t="str">
        <x:v>Vazamento</x:v>
      </x:c>
      <x:c r="I346" s="84" t="n">
        <x:v>513</x:v>
      </x:c>
      <x:c r="J346" s="93" t="n">
        <x:v>4438.37</x:v>
      </x:c>
      <x:c r="K346" s="85" t="str">
        <x:v>2º Turno</x:v>
      </x:c>
    </x:row>
    <x:row r="347">
      <x:c r="A347" s="83" t="n">
        <x:v>346</x:v>
      </x:c>
      <x:c r="B347" s="84" t="n">
        <x:v>63</x:v>
      </x:c>
      <x:c r="C347" s="84" t="n">
        <x:v>558</x:v>
      </x:c>
      <x:c r="D347" s="89" t="n">
        <x:v>45137.43775462963</x:v>
      </x:c>
      <x:c r="E347" s="89" t="n">
        <x:v>45137.74886574074</x:v>
      </x:c>
      <x:c r="F347" s="84" t="n">
        <x:v>448</x:v>
      </x:c>
      <x:c r="G347" s="84" t="n">
        <x:v>1</x:v>
      </x:c>
      <x:c r="H347" s="84" t="str">
        <x:v>Ruído anormal</x:v>
      </x:c>
      <x:c r="I347" s="84" t="n">
        <x:v>508</x:v>
      </x:c>
      <x:c r="J347" s="93" t="n">
        <x:v>16615.25</x:v>
      </x:c>
      <x:c r="K347" s="85" t="str">
        <x:v>1º Turno</x:v>
      </x:c>
    </x:row>
    <x:row r="348">
      <x:c r="A348" s="83" t="n">
        <x:v>347</x:v>
      </x:c>
      <x:c r="B348" s="84" t="n">
        <x:v>3</x:v>
      </x:c>
      <x:c r="C348" s="84" t="n">
        <x:v>560</x:v>
      </x:c>
      <x:c r="D348" s="89" t="n">
        <x:v>45363.404861111114</x:v>
      </x:c>
      <x:c r="E348" s="89" t="n">
        <x:v>45363.424305555556</x:v>
      </x:c>
      <x:c r="F348" s="84" t="n">
        <x:v>28</x:v>
      </x:c>
      <x:c r="G348" s="84" t="n">
        <x:v>1</x:v>
      </x:c>
      <x:c r="H348" s="84" t="str">
        <x:v>Vazamento</x:v>
      </x:c>
      <x:c r="I348" s="84" t="n">
        <x:v>35</x:v>
      </x:c>
      <x:c r="J348" s="93" t="n">
        <x:v>431.37</x:v>
      </x:c>
      <x:c r="K348" s="85" t="str">
        <x:v>1º Turno</x:v>
      </x:c>
    </x:row>
    <x:row r="349">
      <x:c r="A349" s="83" t="n">
        <x:v>348</x:v>
      </x:c>
      <x:c r="B349" s="84" t="n">
        <x:v>31</x:v>
      </x:c>
      <x:c r="C349" s="84" t="n">
        <x:v>562</x:v>
      </x:c>
      <x:c r="D349" s="89" t="n">
        <x:v>45687.27076388889</x:v>
      </x:c>
      <x:c r="E349" s="89" t="n">
        <x:v>45687.780486111114</x:v>
      </x:c>
      <x:c r="F349" s="84" t="n">
        <x:v>734</x:v>
      </x:c>
      <x:c r="G349" s="84" t="n">
        <x:v>1</x:v>
      </x:c>
      <x:c r="H349" s="84" t="str">
        <x:v>Ruído anormal</x:v>
      </x:c>
      <x:c r="I349" s="84" t="n">
        <x:v>1541</x:v>
      </x:c>
      <x:c r="J349" s="93" t="n">
        <x:v>35362</x:v>
      </x:c>
      <x:c r="K349" s="85" t="str">
        <x:v>3º Turno</x:v>
      </x:c>
    </x:row>
    <x:row r="350">
      <x:c r="A350" s="83" t="n">
        <x:v>349</x:v>
      </x:c>
      <x:c r="B350" s="84" t="n">
        <x:v>51</x:v>
      </x:c>
      <x:c r="C350" s="84" t="n">
        <x:v>564</x:v>
      </x:c>
      <x:c r="D350" s="89" t="n">
        <x:v>44992.81747685185</x:v>
      </x:c>
      <x:c r="E350" s="89" t="n">
        <x:v>44993.40081018519</x:v>
      </x:c>
      <x:c r="F350" s="84" t="n">
        <x:v>840</x:v>
      </x:c>
      <x:c r="G350" s="84" t="n">
        <x:v>1</x:v>
      </x:c>
      <x:c r="H350" s="84" t="str">
        <x:v>Falha elétrica</x:v>
      </x:c>
      <x:c r="I350" s="84" t="n">
        <x:v>1876</x:v>
      </x:c>
      <x:c r="J350" s="93" t="n">
        <x:v>11200.13</x:v>
      </x:c>
      <x:c r="K350" s="85" t="str">
        <x:v>1º Turno</x:v>
      </x:c>
    </x:row>
    <x:row r="351">
      <x:c r="A351" s="83" t="n">
        <x:v>350</x:v>
      </x:c>
      <x:c r="B351" s="84" t="n">
        <x:v>57</x:v>
      </x:c>
      <x:c r="C351" s="84" t="n">
        <x:v>565</x:v>
      </x:c>
      <x:c r="D351" s="89" t="n">
        <x:v>45488.775983796295</x:v>
      </x:c>
      <x:c r="E351" s="89" t="n">
        <x:v>45489.312789351854</x:v>
      </x:c>
      <x:c r="F351" s="84" t="n">
        <x:v>773</x:v>
      </x:c>
      <x:c r="G351" s="84" t="n">
        <x:v>1</x:v>
      </x:c>
      <x:c r="H351" s="84" t="str">
        <x:v>Falha elétrica</x:v>
      </x:c>
      <x:c r="I351" s="84" t="n">
        <x:v>1739</x:v>
      </x:c>
      <x:c r="J351" s="93" t="n">
        <x:v>42435.4</x:v>
      </x:c>
      <x:c r="K351" s="85" t="str">
        <x:v>1º Turno</x:v>
      </x:c>
    </x:row>
    <x:row r="352">
      <x:c r="A352" s="83" t="n">
        <x:v>351</x:v>
      </x:c>
      <x:c r="B352" s="84" t="n">
        <x:v>9</x:v>
      </x:c>
      <x:c r="C352" s="84" t="n">
        <x:v>566</x:v>
      </x:c>
      <x:c r="D352" s="89" t="n">
        <x:v>45142.72793981482</x:v>
      </x:c>
      <x:c r="E352" s="89" t="n">
        <x:v>45143.18349537037</x:v>
      </x:c>
      <x:c r="F352" s="84" t="n">
        <x:v>656</x:v>
      </x:c>
      <x:c r="G352" s="84" t="n">
        <x:v>1</x:v>
      </x:c>
      <x:c r="H352" s="84" t="str">
        <x:v>Vazamento</x:v>
      </x:c>
      <x:c r="I352" s="84" t="n">
        <x:v>1159</x:v>
      </x:c>
      <x:c r="J352" s="93" t="n">
        <x:v>27890.33</x:v>
      </x:c>
      <x:c r="K352" s="85" t="str">
        <x:v>3º Turno</x:v>
      </x:c>
    </x:row>
    <x:row r="353">
      <x:c r="A353" s="83" t="n">
        <x:v>352</x:v>
      </x:c>
      <x:c r="B353" s="84" t="n">
        <x:v>84</x:v>
      </x:c>
      <x:c r="C353" s="84" t="n">
        <x:v>567</x:v>
      </x:c>
      <x:c r="D353" s="89" t="n">
        <x:v>45080.079363425924</x:v>
      </x:c>
      <x:c r="E353" s="89" t="n">
        <x:v>45080.62241898148</x:v>
      </x:c>
      <x:c r="F353" s="84" t="n">
        <x:v>782</x:v>
      </x:c>
      <x:c r="G353" s="84" t="n">
        <x:v>1</x:v>
      </x:c>
      <x:c r="H353" s="84" t="str">
        <x:v>Desalinhamento</x:v>
      </x:c>
      <x:c r="I353" s="84" t="n">
        <x:v>912</x:v>
      </x:c>
      <x:c r="J353" s="93" t="n">
        <x:v>18717.58</x:v>
      </x:c>
      <x:c r="K353" s="85" t="str">
        <x:v>1º Turno</x:v>
      </x:c>
    </x:row>
    <x:row r="354">
      <x:c r="A354" s="83" t="n">
        <x:v>353</x:v>
      </x:c>
      <x:c r="B354" s="84" t="n">
        <x:v>53</x:v>
      </x:c>
      <x:c r="C354" s="84" t="n">
        <x:v>568</x:v>
      </x:c>
      <x:c r="D354" s="89" t="n">
        <x:v>45723.55112268519</x:v>
      </x:c>
      <x:c r="E354" s="89" t="n">
        <x:v>45724.154594907406</x:v>
      </x:c>
      <x:c r="F354" s="84" t="n">
        <x:v>869</x:v>
      </x:c>
      <x:c r="G354" s="84" t="n">
        <x:v>1</x:v>
      </x:c>
      <x:c r="H354" s="84" t="str">
        <x:v>Ruído anormal</x:v>
      </x:c>
      <x:c r="I354" s="84" t="n">
        <x:v>999</x:v>
      </x:c>
      <x:c r="J354" s="93" t="n">
        <x:v>32827.32</x:v>
      </x:c>
      <x:c r="K354" s="85" t="str">
        <x:v>1º Turno</x:v>
      </x:c>
    </x:row>
    <x:row r="355">
      <x:c r="A355" s="83" t="n">
        <x:v>354</x:v>
      </x:c>
      <x:c r="B355" s="84" t="n">
        <x:v>43</x:v>
      </x:c>
      <x:c r="C355" s="84" t="n">
        <x:v>571</x:v>
      </x:c>
      <x:c r="D355" s="89" t="n">
        <x:v>45858.69127314815</x:v>
      </x:c>
      <x:c r="E355" s="89" t="n">
        <x:v>45859.19474537037</x:v>
      </x:c>
      <x:c r="F355" s="84" t="n">
        <x:v>725</x:v>
      </x:c>
      <x:c r="G355" s="84" t="n">
        <x:v>0</x:v>
      </x:c>
      <x:c r="H355" s="84" t="str">
        <x:v>Falha elétrica</x:v>
      </x:c>
      <x:c r="I355" s="84" t="n">
        <x:v>1305</x:v>
      </x:c>
      <x:c r="J355" s="93" t="n">
        <x:v>20076.01</x:v>
      </x:c>
      <x:c r="K355" s="85" t="str">
        <x:v>3º Turno</x:v>
      </x:c>
    </x:row>
    <x:row r="356">
      <x:c r="A356" s="83" t="n">
        <x:v>355</x:v>
      </x:c>
      <x:c r="B356" s="84" t="n">
        <x:v>51</x:v>
      </x:c>
      <x:c r="C356" s="84" t="n">
        <x:v>572</x:v>
      </x:c>
      <x:c r="D356" s="89" t="n">
        <x:v>45441.36409722222</x:v>
      </x:c>
      <x:c r="E356" s="89" t="n">
        <x:v>45441.64048611111</x:v>
      </x:c>
      <x:c r="F356" s="84" t="n">
        <x:v>398</x:v>
      </x:c>
      <x:c r="G356" s="84" t="n">
        <x:v>1</x:v>
      </x:c>
      <x:c r="H356" s="84" t="str">
        <x:v>Superaquecimento</x:v>
      </x:c>
      <x:c r="I356" s="84" t="n">
        <x:v>929</x:v>
      </x:c>
      <x:c r="J356" s="93" t="n">
        <x:v>19861.03</x:v>
      </x:c>
      <x:c r="K356" s="85" t="str">
        <x:v>3º Turno</x:v>
      </x:c>
    </x:row>
    <x:row r="357">
      <x:c r="A357" s="83" t="n">
        <x:v>356</x:v>
      </x:c>
      <x:c r="B357" s="84" t="n">
        <x:v>90</x:v>
      </x:c>
      <x:c r="C357" s="84" t="n">
        <x:v>573</x:v>
      </x:c>
      <x:c r="D357" s="89" t="n">
        <x:v>45869.902604166666</x:v>
      </x:c>
      <x:c r="E357" s="89" t="n">
        <x:v>45870.2359375</x:v>
      </x:c>
      <x:c r="F357" s="84" t="n">
        <x:v>480</x:v>
      </x:c>
      <x:c r="G357" s="84" t="n">
        <x:v>1</x:v>
      </x:c>
      <x:c r="H357" s="84" t="str">
        <x:v>Alarme intermitente</x:v>
      </x:c>
      <x:c r="I357" s="84" t="n">
        <x:v>1056</x:v>
      </x:c>
      <x:c r="J357" s="93" t="n">
        <x:v>7258.88</x:v>
      </x:c>
      <x:c r="K357" s="85" t="str">
        <x:v>3º Turno</x:v>
      </x:c>
    </x:row>
    <x:row r="358">
      <x:c r="A358" s="83" t="n">
        <x:v>357</x:v>
      </x:c>
      <x:c r="B358" s="84" t="n">
        <x:v>80</x:v>
      </x:c>
      <x:c r="C358" s="84" t="n">
        <x:v>574</x:v>
      </x:c>
      <x:c r="D358" s="89" t="n">
        <x:v>44953.70961805555</x:v>
      </x:c>
      <x:c r="E358" s="89" t="n">
        <x:v>44953.96309027778</x:v>
      </x:c>
      <x:c r="F358" s="84" t="n">
        <x:v>365</x:v>
      </x:c>
      <x:c r="G358" s="84" t="n">
        <x:v>1</x:v>
      </x:c>
      <x:c r="H358" s="84" t="str">
        <x:v>Vazamento</x:v>
      </x:c>
      <x:c r="I358" s="84" t="n">
        <x:v>815</x:v>
      </x:c>
      <x:c r="J358" s="93" t="n">
        <x:v>16229.57</x:v>
      </x:c>
      <x:c r="K358" s="85" t="str">
        <x:v>1º Turno</x:v>
      </x:c>
    </x:row>
    <x:row r="359">
      <x:c r="A359" s="83" t="n">
        <x:v>358</x:v>
      </x:c>
      <x:c r="B359" s="84" t="n">
        <x:v>52</x:v>
      </x:c>
      <x:c r="C359" s="84" t="n">
        <x:v>575</x:v>
      </x:c>
      <x:c r="D359" s="89" t="n">
        <x:v>45927.164502314816</x:v>
      </x:c>
      <x:c r="E359" s="89" t="n">
        <x:v>45927.585335648146</x:v>
      </x:c>
      <x:c r="F359" s="84" t="n">
        <x:v>606</x:v>
      </x:c>
      <x:c r="G359" s="84" t="n">
        <x:v>1</x:v>
      </x:c>
      <x:c r="H359" s="84" t="str">
        <x:v>Vazamento</x:v>
      </x:c>
      <x:c r="I359" s="84" t="n">
        <x:v>1040</x:v>
      </x:c>
      <x:c r="J359" s="93" t="n">
        <x:v>28768.99</x:v>
      </x:c>
      <x:c r="K359" s="85" t="str">
        <x:v>2º Turno</x:v>
      </x:c>
    </x:row>
    <x:row r="360">
      <x:c r="A360" s="83" t="n">
        <x:v>359</x:v>
      </x:c>
      <x:c r="B360" s="84" t="n">
        <x:v>74</x:v>
      </x:c>
      <x:c r="C360" s="84" t="n">
        <x:v>576</x:v>
      </x:c>
      <x:c r="D360" s="89" t="n">
        <x:v>45565.745208333334</x:v>
      </x:c>
      <x:c r="E360" s="89" t="n">
        <x:v>45565.90284722222</x:v>
      </x:c>
      <x:c r="F360" s="84" t="n">
        <x:v>227</x:v>
      </x:c>
      <x:c r="G360" s="84" t="n">
        <x:v>0</x:v>
      </x:c>
      <x:c r="H360" s="84" t="str">
        <x:v>Baixa pressão</x:v>
      </x:c>
      <x:c r="I360" s="84" t="n">
        <x:v>261</x:v>
      </x:c>
      <x:c r="J360" s="93" t="n">
        <x:v>7520.42</x:v>
      </x:c>
      <x:c r="K360" s="85" t="str">
        <x:v>3º Turno</x:v>
      </x:c>
    </x:row>
    <x:row r="361">
      <x:c r="A361" s="83" t="n">
        <x:v>360</x:v>
      </x:c>
      <x:c r="B361" s="84" t="n">
        <x:v>31</x:v>
      </x:c>
      <x:c r="C361" s="84" t="n">
        <x:v>577</x:v>
      </x:c>
      <x:c r="D361" s="89" t="n">
        <x:v>45014.06391203704</x:v>
      </x:c>
      <x:c r="E361" s="89" t="n">
        <x:v>45014.67085648148</x:v>
      </x:c>
      <x:c r="F361" s="84" t="n">
        <x:v>874</x:v>
      </x:c>
      <x:c r="G361" s="84" t="n">
        <x:v>1</x:v>
      </x:c>
      <x:c r="H361" s="84" t="str">
        <x:v>Baixa pressão</x:v>
      </x:c>
      <x:c r="I361" s="84" t="n">
        <x:v>1180</x:v>
      </x:c>
      <x:c r="J361" s="93" t="n">
        <x:v>47344.76</x:v>
      </x:c>
      <x:c r="K361" s="85" t="str">
        <x:v>3º Turno</x:v>
      </x:c>
    </x:row>
    <x:row r="362">
      <x:c r="A362" s="83" t="n">
        <x:v>361</x:v>
      </x:c>
      <x:c r="B362" s="84" t="n">
        <x:v>54</x:v>
      </x:c>
      <x:c r="C362" s="84" t="n">
        <x:v>579</x:v>
      </x:c>
      <x:c r="D362" s="89" t="n">
        <x:v>45712.6115625</x:v>
      </x:c>
      <x:c r="E362" s="89" t="n">
        <x:v>45712.63725694444</x:v>
      </x:c>
      <x:c r="F362" s="84" t="n">
        <x:v>37</x:v>
      </x:c>
      <x:c r="G362" s="84" t="n">
        <x:v>1</x:v>
      </x:c>
      <x:c r="H362" s="84" t="str">
        <x:v>Alarme intermitente</x:v>
      </x:c>
      <x:c r="I362" s="84" t="n">
        <x:v>81</x:v>
      </x:c>
      <x:c r="J362" s="93" t="n">
        <x:v>1327.95</x:v>
      </x:c>
      <x:c r="K362" s="85" t="str">
        <x:v>2º Turno</x:v>
      </x:c>
    </x:row>
    <x:row r="363">
      <x:c r="A363" s="83" t="n">
        <x:v>362</x:v>
      </x:c>
      <x:c r="B363" s="84" t="n">
        <x:v>75</x:v>
      </x:c>
      <x:c r="C363" s="84" t="n">
        <x:v>580</x:v>
      </x:c>
      <x:c r="D363" s="89" t="n">
        <x:v>45700.2162962963</x:v>
      </x:c>
      <x:c r="E363" s="89" t="n">
        <x:v>45700.364212962966</x:v>
      </x:c>
      <x:c r="F363" s="84" t="n">
        <x:v>213</x:v>
      </x:c>
      <x:c r="G363" s="84" t="n">
        <x:v>1</x:v>
      </x:c>
      <x:c r="H363" s="84" t="str">
        <x:v>Falha elétrica</x:v>
      </x:c>
      <x:c r="I363" s="84" t="n">
        <x:v>291</x:v>
      </x:c>
      <x:c r="J363" s="93" t="n">
        <x:v>9679.93</x:v>
      </x:c>
      <x:c r="K363" s="85" t="str">
        <x:v>2º Turno</x:v>
      </x:c>
    </x:row>
    <x:row r="364">
      <x:c r="A364" s="83" t="n">
        <x:v>363</x:v>
      </x:c>
      <x:c r="B364" s="84" t="n">
        <x:v>52</x:v>
      </x:c>
      <x:c r="C364" s="84" t="n">
        <x:v>581</x:v>
      </x:c>
      <x:c r="D364" s="89" t="n">
        <x:v>45031.634571759256</x:v>
      </x:c>
      <x:c r="E364" s="89" t="n">
        <x:v>45032.23457175926</x:v>
      </x:c>
      <x:c r="F364" s="84" t="n">
        <x:v>864</x:v>
      </x:c>
      <x:c r="G364" s="84" t="n">
        <x:v>1</x:v>
      </x:c>
      <x:c r="H364" s="84" t="str">
        <x:v>Desalinhamento</x:v>
      </x:c>
      <x:c r="I364" s="84" t="n">
        <x:v>1411</x:v>
      </x:c>
      <x:c r="J364" s="93" t="n">
        <x:v>39948.76</x:v>
      </x:c>
      <x:c r="K364" s="85" t="str">
        <x:v>3º Turno</x:v>
      </x:c>
    </x:row>
    <x:row r="365">
      <x:c r="A365" s="83" t="n">
        <x:v>364</x:v>
      </x:c>
      <x:c r="B365" s="84" t="n">
        <x:v>65</x:v>
      </x:c>
      <x:c r="C365" s="84" t="n">
        <x:v>583</x:v>
      </x:c>
      <x:c r="D365" s="89" t="n">
        <x:v>45887.61324074074</x:v>
      </x:c>
      <x:c r="E365" s="89" t="n">
        <x:v>45888.02921296296</x:v>
      </x:c>
      <x:c r="F365" s="84" t="n">
        <x:v>599</x:v>
      </x:c>
      <x:c r="G365" s="84" t="n">
        <x:v>1</x:v>
      </x:c>
      <x:c r="H365" s="84" t="str">
        <x:v>Ruído anormal</x:v>
      </x:c>
      <x:c r="I365" s="84" t="n">
        <x:v>819</x:v>
      </x:c>
      <x:c r="J365" s="93" t="n">
        <x:v>8001.15</x:v>
      </x:c>
      <x:c r="K365" s="85" t="str">
        <x:v>2º Turno</x:v>
      </x:c>
    </x:row>
    <x:row r="366">
      <x:c r="A366" s="83" t="n">
        <x:v>365</x:v>
      </x:c>
      <x:c r="B366" s="84" t="n">
        <x:v>55</x:v>
      </x:c>
      <x:c r="C366" s="84" t="n">
        <x:v>584</x:v>
      </x:c>
      <x:c r="D366" s="89" t="n">
        <x:v>45955.233136574076</x:v>
      </x:c>
      <x:c r="E366" s="89" t="n">
        <x:v>45955.61299768519</x:v>
      </x:c>
      <x:c r="F366" s="84" t="n">
        <x:v>547</x:v>
      </x:c>
      <x:c r="G366" s="84" t="n">
        <x:v>0</x:v>
      </x:c>
      <x:c r="H366" s="84" t="str">
        <x:v>Falha elétrica</x:v>
      </x:c>
      <x:c r="I366" s="84" t="n">
        <x:v>957</x:v>
      </x:c>
      <x:c r="J366" s="93" t="n">
        <x:v>20293.97</x:v>
      </x:c>
      <x:c r="K366" s="85" t="str">
        <x:v>2º Turno</x:v>
      </x:c>
    </x:row>
    <x:row r="367">
      <x:c r="A367" s="83" t="n">
        <x:v>366</x:v>
      </x:c>
      <x:c r="B367" s="84" t="n">
        <x:v>18</x:v>
      </x:c>
      <x:c r="C367" s="84" t="n">
        <x:v>585</x:v>
      </x:c>
      <x:c r="D367" s="89" t="n">
        <x:v>45525.13821759259</x:v>
      </x:c>
      <x:c r="E367" s="89" t="n">
        <x:v>45525.39655092593</x:v>
      </x:c>
      <x:c r="F367" s="84" t="n">
        <x:v>372</x:v>
      </x:c>
      <x:c r="G367" s="84" t="n">
        <x:v>1</x:v>
      </x:c>
      <x:c r="H367" s="84" t="str">
        <x:v>Baixa pressão</x:v>
      </x:c>
      <x:c r="I367" s="84" t="n">
        <x:v>428</x:v>
      </x:c>
      <x:c r="J367" s="93" t="n">
        <x:v>7223.74</x:v>
      </x:c>
      <x:c r="K367" s="85" t="str">
        <x:v>1º Turno</x:v>
      </x:c>
    </x:row>
    <x:row r="368">
      <x:c r="A368" s="83" t="n">
        <x:v>367</x:v>
      </x:c>
      <x:c r="B368" s="84" t="n">
        <x:v>89</x:v>
      </x:c>
      <x:c r="C368" s="84" t="n">
        <x:v>588</x:v>
      </x:c>
      <x:c r="D368" s="89" t="n">
        <x:v>45227.96349537037</x:v>
      </x:c>
      <x:c r="E368" s="89" t="n">
        <x:v>45228.53016203704</x:v>
      </x:c>
      <x:c r="F368" s="84" t="n">
        <x:v>816</x:v>
      </x:c>
      <x:c r="G368" s="84" t="n">
        <x:v>1</x:v>
      </x:c>
      <x:c r="H368" s="84" t="str">
        <x:v>Vazamento</x:v>
      </x:c>
      <x:c r="I368" s="84" t="n">
        <x:v>1890</x:v>
      </x:c>
      <x:c r="J368" s="93" t="n">
        <x:v>12376.61</x:v>
      </x:c>
      <x:c r="K368" s="85" t="str">
        <x:v>1º Turno</x:v>
      </x:c>
    </x:row>
    <x:row r="369">
      <x:c r="A369" s="83" t="n">
        <x:v>368</x:v>
      </x:c>
      <x:c r="B369" s="84" t="n">
        <x:v>41</x:v>
      </x:c>
      <x:c r="C369" s="84" t="n">
        <x:v>589</x:v>
      </x:c>
      <x:c r="D369" s="89" t="n">
        <x:v>45694.015335648146</x:v>
      </x:c>
      <x:c r="E369" s="89" t="n">
        <x:v>45694.36047453704</x:v>
      </x:c>
      <x:c r="F369" s="84" t="n">
        <x:v>497</x:v>
      </x:c>
      <x:c r="G369" s="84" t="n">
        <x:v>1</x:v>
      </x:c>
      <x:c r="H369" s="84" t="str">
        <x:v>Superaquecimento</x:v>
      </x:c>
      <x:c r="I369" s="84" t="n">
        <x:v>1201</x:v>
      </x:c>
      <x:c r="J369" s="93" t="n">
        <x:v>21951.12</x:v>
      </x:c>
      <x:c r="K369" s="85" t="str">
        <x:v>3º Turno</x:v>
      </x:c>
    </x:row>
    <x:row r="370">
      <x:c r="A370" s="83" t="n">
        <x:v>369</x:v>
      </x:c>
      <x:c r="B370" s="84" t="n">
        <x:v>28</x:v>
      </x:c>
      <x:c r="C370" s="84" t="n">
        <x:v>590</x:v>
      </x:c>
      <x:c r="D370" s="89" t="n">
        <x:v>44992.021365740744</x:v>
      </x:c>
      <x:c r="E370" s="89" t="n">
        <x:v>44992.23039351852</x:v>
      </x:c>
      <x:c r="F370" s="84" t="n">
        <x:v>301</x:v>
      </x:c>
      <x:c r="G370" s="84" t="n">
        <x:v>1</x:v>
      </x:c>
      <x:c r="H370" s="84" t="str">
        <x:v>Desalinhamento</x:v>
      </x:c>
      <x:c r="I370" s="84" t="n">
        <x:v>512</x:v>
      </x:c>
      <x:c r="J370" s="93" t="n">
        <x:v>16690.52</x:v>
      </x:c>
      <x:c r="K370" s="85" t="str">
        <x:v>1º Turno</x:v>
      </x:c>
    </x:row>
    <x:row r="371">
      <x:c r="A371" s="83" t="n">
        <x:v>370</x:v>
      </x:c>
      <x:c r="B371" s="84" t="n">
        <x:v>48</x:v>
      </x:c>
      <x:c r="C371" s="84" t="n">
        <x:v>591</x:v>
      </x:c>
      <x:c r="D371" s="89" t="n">
        <x:v>45990.01949074074</x:v>
      </x:c>
      <x:c r="E371" s="89" t="n">
        <x:v>45990.30421296296</x:v>
      </x:c>
      <x:c r="F371" s="84" t="n">
        <x:v>410</x:v>
      </x:c>
      <x:c r="G371" s="84" t="n">
        <x:v>1</x:v>
      </x:c>
      <x:c r="H371" s="84" t="str">
        <x:v>Vazamento</x:v>
      </x:c>
      <x:c r="I371" s="84" t="n">
        <x:v>806</x:v>
      </x:c>
      <x:c r="J371" s="93" t="n">
        <x:v>6592.78</x:v>
      </x:c>
      <x:c r="K371" s="85" t="str">
        <x:v>3º Turno</x:v>
      </x:c>
    </x:row>
    <x:row r="372">
      <x:c r="A372" s="83" t="n">
        <x:v>371</x:v>
      </x:c>
      <x:c r="B372" s="84" t="n">
        <x:v>85</x:v>
      </x:c>
      <x:c r="C372" s="84" t="n">
        <x:v>594</x:v>
      </x:c>
      <x:c r="D372" s="89" t="n">
        <x:v>45537.72553240741</x:v>
      </x:c>
      <x:c r="E372" s="89" t="n">
        <x:v>45537.74219907408</x:v>
      </x:c>
      <x:c r="F372" s="84" t="n">
        <x:v>24</x:v>
      </x:c>
      <x:c r="G372" s="84" t="n">
        <x:v>0</x:v>
      </x:c>
      <x:c r="H372" s="84" t="str">
        <x:v>Alarme intermitente</x:v>
      </x:c>
      <x:c r="I372" s="84" t="n">
        <x:v>46</x:v>
      </x:c>
      <x:c r="J372" s="93" t="n">
        <x:v>650.29</x:v>
      </x:c>
      <x:c r="K372" s="85" t="str">
        <x:v>1º Turno</x:v>
      </x:c>
    </x:row>
    <x:row r="373">
      <x:c r="A373" s="83" t="n">
        <x:v>372</x:v>
      </x:c>
      <x:c r="B373" s="84" t="n">
        <x:v>61</x:v>
      </x:c>
      <x:c r="C373" s="84" t="n">
        <x:v>595</x:v>
      </x:c>
      <x:c r="D373" s="89" t="n">
        <x:v>45633.75849537037</x:v>
      </x:c>
      <x:c r="E373" s="89" t="n">
        <x:v>45634.2668287037</x:v>
      </x:c>
      <x:c r="F373" s="84" t="n">
        <x:v>732</x:v>
      </x:c>
      <x:c r="G373" s="84" t="n">
        <x:v>1</x:v>
      </x:c>
      <x:c r="H373" s="84" t="str">
        <x:v>Vazamento</x:v>
      </x:c>
      <x:c r="I373" s="84" t="n">
        <x:v>1830</x:v>
      </x:c>
      <x:c r="J373" s="93" t="n">
        <x:v>18702.98</x:v>
      </x:c>
      <x:c r="K373" s="85" t="str">
        <x:v>3º Turno</x:v>
      </x:c>
    </x:row>
    <x:row r="374">
      <x:c r="A374" s="83" t="n">
        <x:v>373</x:v>
      </x:c>
      <x:c r="B374" s="84" t="n">
        <x:v>51</x:v>
      </x:c>
      <x:c r="C374" s="84" t="n">
        <x:v>597</x:v>
      </x:c>
      <x:c r="D374" s="89" t="n">
        <x:v>45224.918032407404</x:v>
      </x:c>
      <x:c r="E374" s="89" t="n">
        <x:v>45225.02358796296</x:v>
      </x:c>
      <x:c r="F374" s="84" t="n">
        <x:v>152</x:v>
      </x:c>
      <x:c r="G374" s="84" t="n">
        <x:v>1</x:v>
      </x:c>
      <x:c r="H374" s="84" t="str">
        <x:v>Vazamento</x:v>
      </x:c>
      <x:c r="I374" s="84" t="n">
        <x:v>175</x:v>
      </x:c>
      <x:c r="J374" s="93" t="n">
        <x:v>5146.5</x:v>
      </x:c>
      <x:c r="K374" s="85" t="str">
        <x:v>3º Turno</x:v>
      </x:c>
    </x:row>
    <x:row r="375">
      <x:c r="A375" s="83" t="n">
        <x:v>374</x:v>
      </x:c>
      <x:c r="B375" s="84" t="n">
        <x:v>76</x:v>
      </x:c>
      <x:c r="C375" s="84" t="n">
        <x:v>598</x:v>
      </x:c>
      <x:c r="D375" s="89" t="n">
        <x:v>45589.58069444444</x:v>
      </x:c>
      <x:c r="E375" s="89" t="n">
        <x:v>45589.77305555555</x:v>
      </x:c>
      <x:c r="F375" s="84" t="n">
        <x:v>277</x:v>
      </x:c>
      <x:c r="G375" s="84" t="n">
        <x:v>1</x:v>
      </x:c>
      <x:c r="H375" s="84" t="str">
        <x:v>Baixa pressão</x:v>
      </x:c>
      <x:c r="I375" s="84" t="n">
        <x:v>545</x:v>
      </x:c>
      <x:c r="J375" s="93" t="n">
        <x:v>14331</x:v>
      </x:c>
      <x:c r="K375" s="85" t="str">
        <x:v>2º Turno</x:v>
      </x:c>
    </x:row>
    <x:row r="376">
      <x:c r="A376" s="83" t="n">
        <x:v>375</x:v>
      </x:c>
      <x:c r="B376" s="84" t="n">
        <x:v>80</x:v>
      </x:c>
      <x:c r="C376" s="84" t="n">
        <x:v>599</x:v>
      </x:c>
      <x:c r="D376" s="89" t="n">
        <x:v>45827.292592592596</x:v>
      </x:c>
      <x:c r="E376" s="89" t="n">
        <x:v>45827.54467592593</x:v>
      </x:c>
      <x:c r="F376" s="84" t="n">
        <x:v>363</x:v>
      </x:c>
      <x:c r="G376" s="84" t="n">
        <x:v>1</x:v>
      </x:c>
      <x:c r="H376" s="84" t="str">
        <x:v>Ruído anormal</x:v>
      </x:c>
      <x:c r="I376" s="84" t="n">
        <x:v>647</x:v>
      </x:c>
      <x:c r="J376" s="93" t="n">
        <x:v>10181.66</x:v>
      </x:c>
      <x:c r="K376" s="85" t="str">
        <x:v>1º Turno</x:v>
      </x:c>
    </x:row>
    <x:row r="377">
      <x:c r="A377" s="83" t="n">
        <x:v>376</x:v>
      </x:c>
      <x:c r="B377" s="84" t="n">
        <x:v>20</x:v>
      </x:c>
      <x:c r="C377" s="84" t="n">
        <x:v>600</x:v>
      </x:c>
      <x:c r="D377" s="89" t="n">
        <x:v>45969.78057870371</x:v>
      </x:c>
      <x:c r="E377" s="89" t="n">
        <x:v>45970.355578703704</x:v>
      </x:c>
      <x:c r="F377" s="84" t="n">
        <x:v>828</x:v>
      </x:c>
      <x:c r="G377" s="84" t="n">
        <x:v>1</x:v>
      </x:c>
      <x:c r="H377" s="84" t="str">
        <x:v>Falha elétrica</x:v>
      </x:c>
      <x:c r="I377" s="84" t="n">
        <x:v>1352</x:v>
      </x:c>
      <x:c r="J377" s="93" t="n">
        <x:v>30373.49</x:v>
      </x:c>
      <x:c r="K377" s="85" t="str">
        <x:v>2º Turno</x:v>
      </x:c>
    </x:row>
    <x:row r="378">
      <x:c r="A378" s="83" t="n">
        <x:v>377</x:v>
      </x:c>
      <x:c r="B378" s="84" t="n">
        <x:v>21</x:v>
      </x:c>
      <x:c r="C378" s="84" t="n">
        <x:v>601</x:v>
      </x:c>
      <x:c r="D378" s="89" t="n">
        <x:v>45249.23569444445</x:v>
      </x:c>
      <x:c r="E378" s="89" t="n">
        <x:v>45249.3975</x:v>
      </x:c>
      <x:c r="F378" s="84" t="n">
        <x:v>233</x:v>
      </x:c>
      <x:c r="G378" s="84" t="n">
        <x:v>0</x:v>
      </x:c>
      <x:c r="H378" s="84" t="str">
        <x:v>Vazamento</x:v>
      </x:c>
      <x:c r="I378" s="84" t="n">
        <x:v>579</x:v>
      </x:c>
      <x:c r="J378" s="93" t="n">
        <x:v>4111.4</x:v>
      </x:c>
      <x:c r="K378" s="85" t="str">
        <x:v>3º Turno</x:v>
      </x:c>
    </x:row>
    <x:row r="379">
      <x:c r="A379" s="83" t="n">
        <x:v>378</x:v>
      </x:c>
      <x:c r="B379" s="84" t="n">
        <x:v>52</x:v>
      </x:c>
      <x:c r="C379" s="84" t="n">
        <x:v>602</x:v>
      </x:c>
      <x:c r="D379" s="89" t="n">
        <x:v>45986.56730324074</x:v>
      </x:c>
      <x:c r="E379" s="89" t="n">
        <x:v>45987.08466435185</x:v>
      </x:c>
      <x:c r="F379" s="84" t="n">
        <x:v>745</x:v>
      </x:c>
      <x:c r="G379" s="84" t="n">
        <x:v>0</x:v>
      </x:c>
      <x:c r="H379" s="84" t="str">
        <x:v>Baixa pressão</x:v>
      </x:c>
      <x:c r="I379" s="84" t="n">
        <x:v>1329</x:v>
      </x:c>
      <x:c r="J379" s="93" t="n">
        <x:v>11739.82</x:v>
      </x:c>
      <x:c r="K379" s="85" t="str">
        <x:v>2º Turno</x:v>
      </x:c>
    </x:row>
    <x:row r="380">
      <x:c r="A380" s="83" t="n">
        <x:v>379</x:v>
      </x:c>
      <x:c r="B380" s="84" t="n">
        <x:v>15</x:v>
      </x:c>
      <x:c r="C380" s="84" t="n">
        <x:v>603</x:v>
      </x:c>
      <x:c r="D380" s="89" t="n">
        <x:v>45950.70337962963</x:v>
      </x:c>
      <x:c r="E380" s="89" t="n">
        <x:v>45951.140185185184</x:v>
      </x:c>
      <x:c r="F380" s="84" t="n">
        <x:v>629</x:v>
      </x:c>
      <x:c r="G380" s="84" t="n">
        <x:v>1</x:v>
      </x:c>
      <x:c r="H380" s="84" t="str">
        <x:v>Vazamento</x:v>
      </x:c>
      <x:c r="I380" s="84" t="n">
        <x:v>1174</x:v>
      </x:c>
      <x:c r="J380" s="93" t="n">
        <x:v>13527.51</x:v>
      </x:c>
      <x:c r="K380" s="85" t="str">
        <x:v>3º Turno</x:v>
      </x:c>
    </x:row>
    <x:row r="381">
      <x:c r="A381" s="83" t="n">
        <x:v>380</x:v>
      </x:c>
      <x:c r="B381" s="84" t="n">
        <x:v>19</x:v>
      </x:c>
      <x:c r="C381" s="84" t="n">
        <x:v>604</x:v>
      </x:c>
      <x:c r="D381" s="89" t="n">
        <x:v>45344.85575231481</x:v>
      </x:c>
      <x:c r="E381" s="89" t="n">
        <x:v>45345.451585648145</x:v>
      </x:c>
      <x:c r="F381" s="84" t="n">
        <x:v>858</x:v>
      </x:c>
      <x:c r="G381" s="84" t="n">
        <x:v>1</x:v>
      </x:c>
      <x:c r="H381" s="84" t="str">
        <x:v>Desalinhamento</x:v>
      </x:c>
      <x:c r="I381" s="84" t="n">
        <x:v>1072</x:v>
      </x:c>
      <x:c r="J381" s="93" t="n">
        <x:v>48026.35</x:v>
      </x:c>
      <x:c r="K381" s="85" t="str">
        <x:v>3º Turno</x:v>
      </x:c>
    </x:row>
    <x:row r="382">
      <x:c r="A382" s="83" t="n">
        <x:v>381</x:v>
      </x:c>
      <x:c r="B382" s="84" t="n">
        <x:v>15</x:v>
      </x:c>
      <x:c r="C382" s="84" t="n">
        <x:v>605</x:v>
      </x:c>
      <x:c r="D382" s="89" t="n">
        <x:v>45340.81123842593</x:v>
      </x:c>
      <x:c r="E382" s="89" t="n">
        <x:v>45341.42165509259</x:v>
      </x:c>
      <x:c r="F382" s="84" t="n">
        <x:v>879</x:v>
      </x:c>
      <x:c r="G382" s="84" t="n">
        <x:v>0</x:v>
      </x:c>
      <x:c r="H382" s="84" t="str">
        <x:v>Ruído anormal</x:v>
      </x:c>
      <x:c r="I382" s="84" t="n">
        <x:v>1919</x:v>
      </x:c>
      <x:c r="J382" s="93" t="n">
        <x:v>27013.26</x:v>
      </x:c>
      <x:c r="K382" s="85" t="str">
        <x:v>1º Turno</x:v>
      </x:c>
    </x:row>
    <x:row r="383">
      <x:c r="A383" s="83" t="n">
        <x:v>382</x:v>
      </x:c>
      <x:c r="B383" s="84" t="n">
        <x:v>17</x:v>
      </x:c>
      <x:c r="C383" s="84" t="n">
        <x:v>606</x:v>
      </x:c>
      <x:c r="D383" s="89" t="n">
        <x:v>45342.79253472222</x:v>
      </x:c>
      <x:c r="E383" s="89" t="n">
        <x:v>45343.071701388886</x:v>
      </x:c>
      <x:c r="F383" s="84" t="n">
        <x:v>402</x:v>
      </x:c>
      <x:c r="G383" s="84" t="n">
        <x:v>0</x:v>
      </x:c>
      <x:c r="H383" s="84" t="str">
        <x:v>Falha elétrica</x:v>
      </x:c>
      <x:c r="I383" s="84" t="n">
        <x:v>422</x:v>
      </x:c>
      <x:c r="J383" s="93" t="n">
        <x:v>15714.07</x:v>
      </x:c>
      <x:c r="K383" s="85" t="str">
        <x:v>3º Turno</x:v>
      </x:c>
    </x:row>
    <x:row r="384">
      <x:c r="A384" s="83" t="n">
        <x:v>383</x:v>
      </x:c>
      <x:c r="B384" s="84" t="n">
        <x:v>37</x:v>
      </x:c>
      <x:c r="C384" s="84" t="n">
        <x:v>607</x:v>
      </x:c>
      <x:c r="D384" s="89" t="n">
        <x:v>45404.39525462963</x:v>
      </x:c>
      <x:c r="E384" s="89" t="n">
        <x:v>45404.45775462963</x:v>
      </x:c>
      <x:c r="F384" s="84" t="n">
        <x:v>90</x:v>
      </x:c>
      <x:c r="G384" s="84" t="n">
        <x:v>1</x:v>
      </x:c>
      <x:c r="H384" s="84" t="str">
        <x:v>Superaquecimento</x:v>
      </x:c>
      <x:c r="I384" s="84" t="n">
        <x:v>132</x:v>
      </x:c>
      <x:c r="J384" s="93" t="n">
        <x:v>1586.28</x:v>
      </x:c>
      <x:c r="K384" s="85" t="str">
        <x:v>1º Turno</x:v>
      </x:c>
    </x:row>
    <x:row r="385">
      <x:c r="A385" s="83" t="n">
        <x:v>384</x:v>
      </x:c>
      <x:c r="B385" s="84" t="n">
        <x:v>65</x:v>
      </x:c>
      <x:c r="C385" s="84" t="n">
        <x:v>608</x:v>
      </x:c>
      <x:c r="D385" s="89" t="n">
        <x:v>45409.79530092593</x:v>
      </x:c>
      <x:c r="E385" s="89" t="n">
        <x:v>45410.237662037034</x:v>
      </x:c>
      <x:c r="F385" s="84" t="n">
        <x:v>637</x:v>
      </x:c>
      <x:c r="G385" s="84" t="n">
        <x:v>1</x:v>
      </x:c>
      <x:c r="H385" s="84" t="str">
        <x:v>Superaquecimento</x:v>
      </x:c>
      <x:c r="I385" s="84" t="n">
        <x:v>1285</x:v>
      </x:c>
      <x:c r="J385" s="93" t="n">
        <x:v>35655.12</x:v>
      </x:c>
      <x:c r="K385" s="85" t="str">
        <x:v>3º Turno</x:v>
      </x:c>
    </x:row>
    <x:row r="386">
      <x:c r="A386" s="83" t="n">
        <x:v>385</x:v>
      </x:c>
      <x:c r="B386" s="84" t="n">
        <x:v>10</x:v>
      </x:c>
      <x:c r="C386" s="84" t="n">
        <x:v>609</x:v>
      </x:c>
      <x:c r="D386" s="89" t="n">
        <x:v>45456.373252314814</x:v>
      </x:c>
      <x:c r="E386" s="89" t="n">
        <x:v>45456.73783564815</x:v>
      </x:c>
      <x:c r="F386" s="84" t="n">
        <x:v>525</x:v>
      </x:c>
      <x:c r="G386" s="84" t="n">
        <x:v>1</x:v>
      </x:c>
      <x:c r="H386" s="84" t="str">
        <x:v>Vazamento</x:v>
      </x:c>
      <x:c r="I386" s="84" t="n">
        <x:v>962</x:v>
      </x:c>
      <x:c r="J386" s="93" t="n">
        <x:v>11149.06</x:v>
      </x:c>
      <x:c r="K386" s="85" t="str">
        <x:v>2º Turno</x:v>
      </x:c>
    </x:row>
    <x:row r="387">
      <x:c r="A387" s="83" t="n">
        <x:v>386</x:v>
      </x:c>
      <x:c r="B387" s="84" t="n">
        <x:v>76</x:v>
      </x:c>
      <x:c r="C387" s="84" t="n">
        <x:v>610</x:v>
      </x:c>
      <x:c r="D387" s="89" t="n">
        <x:v>45664.57971064815</x:v>
      </x:c>
      <x:c r="E387" s="89" t="n">
        <x:v>45664.640127314815</x:v>
      </x:c>
      <x:c r="F387" s="84" t="n">
        <x:v>87</x:v>
      </x:c>
      <x:c r="G387" s="84" t="n">
        <x:v>1</x:v>
      </x:c>
      <x:c r="H387" s="84" t="str">
        <x:v>Vazamento</x:v>
      </x:c>
      <x:c r="I387" s="84" t="n">
        <x:v>113</x:v>
      </x:c>
      <x:c r="J387" s="93" t="n">
        <x:v>2395.35</x:v>
      </x:c>
      <x:c r="K387" s="85" t="str">
        <x:v>1º Turno</x:v>
      </x:c>
    </x:row>
    <x:row r="388">
      <x:c r="A388" s="83" t="n">
        <x:v>387</x:v>
      </x:c>
      <x:c r="B388" s="84" t="n">
        <x:v>48</x:v>
      </x:c>
      <x:c r="C388" s="84" t="n">
        <x:v>611</x:v>
      </x:c>
      <x:c r="D388" s="89" t="n">
        <x:v>45143.089849537035</x:v>
      </x:c>
      <x:c r="E388" s="89" t="n">
        <x:v>45143.13359953704</x:v>
      </x:c>
      <x:c r="F388" s="84" t="n">
        <x:v>63</x:v>
      </x:c>
      <x:c r="G388" s="84" t="n">
        <x:v>1</x:v>
      </x:c>
      <x:c r="H388" s="84" t="str">
        <x:v>Desalinhamento</x:v>
      </x:c>
      <x:c r="I388" s="84" t="n">
        <x:v>76</x:v>
      </x:c>
      <x:c r="J388" s="93" t="n">
        <x:v>1801.33</x:v>
      </x:c>
      <x:c r="K388" s="85" t="str">
        <x:v>2º Turno</x:v>
      </x:c>
    </x:row>
    <x:row r="389">
      <x:c r="A389" s="83" t="n">
        <x:v>388</x:v>
      </x:c>
      <x:c r="B389" s="84" t="n">
        <x:v>1</x:v>
      </x:c>
      <x:c r="C389" s="84" t="n">
        <x:v>612</x:v>
      </x:c>
      <x:c r="D389" s="89" t="n">
        <x:v>45326.13893518518</x:v>
      </x:c>
      <x:c r="E389" s="89" t="n">
        <x:v>45326.29657407408</x:v>
      </x:c>
      <x:c r="F389" s="84" t="n">
        <x:v>227</x:v>
      </x:c>
      <x:c r="G389" s="84" t="n">
        <x:v>1</x:v>
      </x:c>
      <x:c r="H389" s="84" t="str">
        <x:v>Vazamento</x:v>
      </x:c>
      <x:c r="I389" s="84" t="n">
        <x:v>499</x:v>
      </x:c>
      <x:c r="J389" s="93" t="n">
        <x:v>3342.71</x:v>
      </x:c>
      <x:c r="K389" s="85" t="str">
        <x:v>2º Turno</x:v>
      </x:c>
    </x:row>
    <x:row r="390">
      <x:c r="A390" s="83" t="n">
        <x:v>389</x:v>
      </x:c>
      <x:c r="B390" s="84" t="n">
        <x:v>89</x:v>
      </x:c>
      <x:c r="C390" s="84" t="n">
        <x:v>613</x:v>
      </x:c>
      <x:c r="D390" s="89" t="n">
        <x:v>45521.35326388889</x:v>
      </x:c>
      <x:c r="E390" s="89" t="n">
        <x:v>45521.95673611111</x:v>
      </x:c>
      <x:c r="F390" s="84" t="n">
        <x:v>869</x:v>
      </x:c>
      <x:c r="G390" s="84" t="n">
        <x:v>1</x:v>
      </x:c>
      <x:c r="H390" s="84" t="str">
        <x:v>Alarme intermitente</x:v>
      </x:c>
      <x:c r="I390" s="84" t="n">
        <x:v>1057</x:v>
      </x:c>
      <x:c r="J390" s="93" t="n">
        <x:v>32931.85</x:v>
      </x:c>
      <x:c r="K390" s="85" t="str">
        <x:v>1º Turno</x:v>
      </x:c>
    </x:row>
    <x:row r="391">
      <x:c r="A391" s="83" t="n">
        <x:v>390</x:v>
      </x:c>
      <x:c r="B391" s="84" t="n">
        <x:v>73</x:v>
      </x:c>
      <x:c r="C391" s="84" t="n">
        <x:v>614</x:v>
      </x:c>
      <x:c r="D391" s="89" t="n">
        <x:v>45604.44039351852</x:v>
      </x:c>
      <x:c r="E391" s="89" t="n">
        <x:v>45604.52025462963</x:v>
      </x:c>
      <x:c r="F391" s="84" t="n">
        <x:v>115</x:v>
      </x:c>
      <x:c r="G391" s="84" t="n">
        <x:v>0</x:v>
      </x:c>
      <x:c r="H391" s="84" t="str">
        <x:v>Alarme intermitente</x:v>
      </x:c>
      <x:c r="I391" s="84" t="n">
        <x:v>186</x:v>
      </x:c>
      <x:c r="J391" s="93" t="n">
        <x:v>5587.9</x:v>
      </x:c>
      <x:c r="K391" s="85" t="str">
        <x:v>3º Turno</x:v>
      </x:c>
    </x:row>
    <x:row r="392">
      <x:c r="A392" s="83" t="n">
        <x:v>391</x:v>
      </x:c>
      <x:c r="B392" s="84" t="n">
        <x:v>12</x:v>
      </x:c>
      <x:c r="C392" s="84" t="n">
        <x:v>615</x:v>
      </x:c>
      <x:c r="D392" s="89" t="n">
        <x:v>45804.62664351852</x:v>
      </x:c>
      <x:c r="E392" s="89" t="n">
        <x:v>45805.13081018518</x:v>
      </x:c>
      <x:c r="F392" s="84" t="n">
        <x:v>726</x:v>
      </x:c>
      <x:c r="G392" s="84" t="n">
        <x:v>0</x:v>
      </x:c>
      <x:c r="H392" s="84" t="str">
        <x:v>Falha elétrica</x:v>
      </x:c>
      <x:c r="I392" s="84" t="n">
        <x:v>1815</x:v>
      </x:c>
      <x:c r="J392" s="93" t="n">
        <x:v>32834.81</x:v>
      </x:c>
      <x:c r="K392" s="85" t="str">
        <x:v>3º Turno</x:v>
      </x:c>
    </x:row>
    <x:row r="393">
      <x:c r="A393" s="83" t="n">
        <x:v>392</x:v>
      </x:c>
      <x:c r="B393" s="84" t="n">
        <x:v>39</x:v>
      </x:c>
      <x:c r="C393" s="84" t="n">
        <x:v>617</x:v>
      </x:c>
      <x:c r="D393" s="89" t="n">
        <x:v>45063.78084490741</x:v>
      </x:c>
      <x:c r="E393" s="89" t="n">
        <x:v>45063.92320601852</x:v>
      </x:c>
      <x:c r="F393" s="84" t="n">
        <x:v>205</x:v>
      </x:c>
      <x:c r="G393" s="84" t="n">
        <x:v>1</x:v>
      </x:c>
      <x:c r="H393" s="84" t="str">
        <x:v>Falha elétrica</x:v>
      </x:c>
      <x:c r="I393" s="84" t="n">
        <x:v>270</x:v>
      </x:c>
      <x:c r="J393" s="93" t="n">
        <x:v>9541.53</x:v>
      </x:c>
      <x:c r="K393" s="85" t="str">
        <x:v>2º Turno</x:v>
      </x:c>
    </x:row>
    <x:row r="394">
      <x:c r="A394" s="83" t="n">
        <x:v>393</x:v>
      </x:c>
      <x:c r="B394" s="84" t="n">
        <x:v>33</x:v>
      </x:c>
      <x:c r="C394" s="84" t="n">
        <x:v>618</x:v>
      </x:c>
      <x:c r="D394" s="89" t="n">
        <x:v>45656.02715277778</x:v>
      </x:c>
      <x:c r="E394" s="89" t="n">
        <x:v>45656.46743055555</x:v>
      </x:c>
      <x:c r="F394" s="84" t="n">
        <x:v>634</x:v>
      </x:c>
      <x:c r="G394" s="84" t="n">
        <x:v>0</x:v>
      </x:c>
      <x:c r="H394" s="84" t="str">
        <x:v>Falha elétrica</x:v>
      </x:c>
      <x:c r="I394" s="84" t="n">
        <x:v>719</x:v>
      </x:c>
      <x:c r="J394" s="93" t="n">
        <x:v>14253.57</x:v>
      </x:c>
      <x:c r="K394" s="85" t="str">
        <x:v>2º Turno</x:v>
      </x:c>
    </x:row>
    <x:row r="395">
      <x:c r="A395" s="83" t="n">
        <x:v>394</x:v>
      </x:c>
      <x:c r="B395" s="84" t="n">
        <x:v>79</x:v>
      </x:c>
      <x:c r="C395" s="84" t="n">
        <x:v>619</x:v>
      </x:c>
      <x:c r="D395" s="89" t="n">
        <x:v>45763.32048611111</x:v>
      </x:c>
      <x:c r="E395" s="89" t="n">
        <x:v>45763.727430555555</x:v>
      </x:c>
      <x:c r="F395" s="84" t="n">
        <x:v>586</x:v>
      </x:c>
      <x:c r="G395" s="84" t="n">
        <x:v>0</x:v>
      </x:c>
      <x:c r="H395" s="84" t="str">
        <x:v>Desalinhamento</x:v>
      </x:c>
      <x:c r="I395" s="84" t="n">
        <x:v>908</x:v>
      </x:c>
      <x:c r="J395" s="93" t="n">
        <x:v>15712.97</x:v>
      </x:c>
      <x:c r="K395" s="85" t="str">
        <x:v>2º Turno</x:v>
      </x:c>
    </x:row>
    <x:row r="396">
      <x:c r="A396" s="83" t="n">
        <x:v>395</x:v>
      </x:c>
      <x:c r="B396" s="84" t="n">
        <x:v>37</x:v>
      </x:c>
      <x:c r="C396" s="84" t="n">
        <x:v>620</x:v>
      </x:c>
      <x:c r="D396" s="89" t="n">
        <x:v>45592.96481481481</x:v>
      </x:c>
      <x:c r="E396" s="89" t="n">
        <x:v>45593.562731481485</x:v>
      </x:c>
      <x:c r="F396" s="84" t="n">
        <x:v>861</x:v>
      </x:c>
      <x:c r="G396" s="84" t="n">
        <x:v>0</x:v>
      </x:c>
      <x:c r="H396" s="84" t="str">
        <x:v>Baixa pressão</x:v>
      </x:c>
      <x:c r="I396" s="84" t="n">
        <x:v>1478</x:v>
      </x:c>
      <x:c r="J396" s="93" t="n">
        <x:v>18237.6</x:v>
      </x:c>
      <x:c r="K396" s="85" t="str">
        <x:v>1º Turno</x:v>
      </x:c>
    </x:row>
    <x:row r="397">
      <x:c r="A397" s="83" t="n">
        <x:v>396</x:v>
      </x:c>
      <x:c r="B397" s="84" t="n">
        <x:v>57</x:v>
      </x:c>
      <x:c r="C397" s="84" t="n">
        <x:v>622</x:v>
      </x:c>
      <x:c r="D397" s="89" t="n">
        <x:v>45206.874872685185</x:v>
      </x:c>
      <x:c r="E397" s="89" t="n">
        <x:v>45206.96376157407</x:v>
      </x:c>
      <x:c r="F397" s="84" t="n">
        <x:v>128</x:v>
      </x:c>
      <x:c r="G397" s="84" t="n">
        <x:v>1</x:v>
      </x:c>
      <x:c r="H397" s="84" t="str">
        <x:v>Vazamento</x:v>
      </x:c>
      <x:c r="I397" s="84" t="n">
        <x:v>145</x:v>
      </x:c>
      <x:c r="J397" s="93" t="n">
        <x:v>6836.19</x:v>
      </x:c>
      <x:c r="K397" s="85" t="str">
        <x:v>3º Turno</x:v>
      </x:c>
    </x:row>
    <x:row r="398">
      <x:c r="A398" s="83" t="n">
        <x:v>397</x:v>
      </x:c>
      <x:c r="B398" s="84" t="n">
        <x:v>83</x:v>
      </x:c>
      <x:c r="C398" s="84" t="n">
        <x:v>623</x:v>
      </x:c>
      <x:c r="D398" s="89" t="n">
        <x:v>45145.29760416667</x:v>
      </x:c>
      <x:c r="E398" s="89" t="n">
        <x:v>45145.71635416667</x:v>
      </x:c>
      <x:c r="F398" s="84" t="n">
        <x:v>603</x:v>
      </x:c>
      <x:c r="G398" s="84" t="n">
        <x:v>1</x:v>
      </x:c>
      <x:c r="H398" s="84" t="str">
        <x:v>Alarme intermitente</x:v>
      </x:c>
      <x:c r="I398" s="84" t="n">
        <x:v>1176</x:v>
      </x:c>
      <x:c r="J398" s="93" t="n">
        <x:v>21630.19</x:v>
      </x:c>
      <x:c r="K398" s="85" t="str">
        <x:v>2º Turno</x:v>
      </x:c>
    </x:row>
    <x:row r="399">
      <x:c r="A399" s="83" t="n">
        <x:v>398</x:v>
      </x:c>
      <x:c r="B399" s="84" t="n">
        <x:v>48</x:v>
      </x:c>
      <x:c r="C399" s="84" t="n">
        <x:v>624</x:v>
      </x:c>
      <x:c r="D399" s="89" t="n">
        <x:v>45347.665127314816</x:v>
      </x:c>
      <x:c r="E399" s="89" t="n">
        <x:v>45348.08734953704</x:v>
      </x:c>
      <x:c r="F399" s="84" t="n">
        <x:v>608</x:v>
      </x:c>
      <x:c r="G399" s="84" t="n">
        <x:v>1</x:v>
      </x:c>
      <x:c r="H399" s="84" t="str">
        <x:v>Vazamento</x:v>
      </x:c>
      <x:c r="I399" s="84" t="n">
        <x:v>1196</x:v>
      </x:c>
      <x:c r="J399" s="93" t="n">
        <x:v>24127.95</x:v>
      </x:c>
      <x:c r="K399" s="85" t="str">
        <x:v>2º Turno</x:v>
      </x:c>
    </x:row>
    <x:row r="400">
      <x:c r="A400" s="83" t="n">
        <x:v>399</x:v>
      </x:c>
      <x:c r="B400" s="84" t="n">
        <x:v>77</x:v>
      </x:c>
      <x:c r="C400" s="84" t="n">
        <x:v>625</x:v>
      </x:c>
      <x:c r="D400" s="89" t="n">
        <x:v>45437.30025462963</x:v>
      </x:c>
      <x:c r="E400" s="89" t="n">
        <x:v>45437.35581018519</x:v>
      </x:c>
      <x:c r="F400" s="84" t="n">
        <x:v>80</x:v>
      </x:c>
      <x:c r="G400" s="84" t="n">
        <x:v>0</x:v>
      </x:c>
      <x:c r="H400" s="84" t="str">
        <x:v>Alarme intermitente</x:v>
      </x:c>
      <x:c r="I400" s="84" t="n">
        <x:v>99</x:v>
      </x:c>
      <x:c r="J400" s="93" t="n">
        <x:v>3439.19</x:v>
      </x:c>
      <x:c r="K400" s="85" t="str">
        <x:v>3º Turno</x:v>
      </x:c>
    </x:row>
    <x:row r="401">
      <x:c r="A401" s="83" t="n">
        <x:v>400</x:v>
      </x:c>
      <x:c r="B401" s="84" t="n">
        <x:v>68</x:v>
      </x:c>
      <x:c r="C401" s="84" t="n">
        <x:v>626</x:v>
      </x:c>
      <x:c r="D401" s="89" t="n">
        <x:v>45363.44542824074</x:v>
      </x:c>
      <x:c r="E401" s="89" t="n">
        <x:v>45363.95445601852</x:v>
      </x:c>
      <x:c r="F401" s="84" t="n">
        <x:v>733</x:v>
      </x:c>
      <x:c r="G401" s="84" t="n">
        <x:v>0</x:v>
      </x:c>
      <x:c r="H401" s="84" t="str">
        <x:v>Falha elétrica</x:v>
      </x:c>
      <x:c r="I401" s="84" t="n">
        <x:v>1759</x:v>
      </x:c>
      <x:c r="J401" s="93" t="n">
        <x:v>16314.69</x:v>
      </x:c>
      <x:c r="K401" s="85" t="str">
        <x:v>1º Turno</x:v>
      </x:c>
    </x:row>
    <x:row r="402">
      <x:c r="A402" s="83" t="n">
        <x:v>401</x:v>
      </x:c>
      <x:c r="B402" s="84" t="n">
        <x:v>86</x:v>
      </x:c>
      <x:c r="C402" s="84" t="n">
        <x:v>630</x:v>
      </x:c>
      <x:c r="D402" s="89" t="n">
        <x:v>45243.50400462963</x:v>
      </x:c>
      <x:c r="E402" s="89" t="n">
        <x:v>45243.98525462963</x:v>
      </x:c>
      <x:c r="F402" s="84" t="n">
        <x:v>693</x:v>
      </x:c>
      <x:c r="G402" s="84" t="n">
        <x:v>1</x:v>
      </x:c>
      <x:c r="H402" s="84" t="str">
        <x:v>Superaquecimento</x:v>
      </x:c>
      <x:c r="I402" s="84" t="n">
        <x:v>1732</x:v>
      </x:c>
      <x:c r="J402" s="93" t="n">
        <x:v>14224.5</x:v>
      </x:c>
      <x:c r="K402" s="85" t="str">
        <x:v>2º Turno</x:v>
      </x:c>
    </x:row>
    <x:row r="403">
      <x:c r="A403" s="83" t="n">
        <x:v>402</x:v>
      </x:c>
      <x:c r="B403" s="84" t="n">
        <x:v>7</x:v>
      </x:c>
      <x:c r="C403" s="84" t="n">
        <x:v>633</x:v>
      </x:c>
      <x:c r="D403" s="89" t="n">
        <x:v>45066.431539351855</x:v>
      </x:c>
      <x:c r="E403" s="89" t="n">
        <x:v>45066.962789351855</x:v>
      </x:c>
      <x:c r="F403" s="84" t="n">
        <x:v>765</x:v>
      </x:c>
      <x:c r="G403" s="84" t="n">
        <x:v>1</x:v>
      </x:c>
      <x:c r="H403" s="84" t="str">
        <x:v>Baixa pressão</x:v>
      </x:c>
      <x:c r="I403" s="84" t="n">
        <x:v>1556</x:v>
      </x:c>
      <x:c r="J403" s="93" t="n">
        <x:v>20385.17</x:v>
      </x:c>
      <x:c r="K403" s="85" t="str">
        <x:v>2º Turno</x:v>
      </x:c>
    </x:row>
    <x:row r="404">
      <x:c r="A404" s="83" t="n">
        <x:v>403</x:v>
      </x:c>
      <x:c r="B404" s="84" t="n">
        <x:v>50</x:v>
      </x:c>
      <x:c r="C404" s="84" t="n">
        <x:v>634</x:v>
      </x:c>
      <x:c r="D404" s="89" t="n">
        <x:v>45877.92600694444</x:v>
      </x:c>
      <x:c r="E404" s="89" t="n">
        <x:v>45877.99128472222</x:v>
      </x:c>
      <x:c r="F404" s="84" t="n">
        <x:v>94</x:v>
      </x:c>
      <x:c r="G404" s="84" t="n">
        <x:v>1</x:v>
      </x:c>
      <x:c r="H404" s="84" t="str">
        <x:v>Baixa pressão</x:v>
      </x:c>
      <x:c r="I404" s="84" t="n">
        <x:v>100</x:v>
      </x:c>
      <x:c r="J404" s="93" t="n">
        <x:v>3075.32</x:v>
      </x:c>
      <x:c r="K404" s="85" t="str">
        <x:v>3º Turno</x:v>
      </x:c>
    </x:row>
    <x:row r="405">
      <x:c r="A405" s="83" t="n">
        <x:v>404</x:v>
      </x:c>
      <x:c r="B405" s="84" t="n">
        <x:v>34</x:v>
      </x:c>
      <x:c r="C405" s="84" t="n">
        <x:v>636</x:v>
      </x:c>
      <x:c r="D405" s="89" t="n">
        <x:v>45625.91954861111</x:v>
      </x:c>
      <x:c r="E405" s="89" t="n">
        <x:v>45626.03760416667</x:v>
      </x:c>
      <x:c r="F405" s="84" t="n">
        <x:v>170</x:v>
      </x:c>
      <x:c r="G405" s="84" t="n">
        <x:v>1</x:v>
      </x:c>
      <x:c r="H405" s="84" t="str">
        <x:v>Superaquecimento</x:v>
      </x:c>
      <x:c r="I405" s="84" t="n">
        <x:v>312</x:v>
      </x:c>
      <x:c r="J405" s="93" t="n">
        <x:v>5207.28</x:v>
      </x:c>
      <x:c r="K405" s="85" t="str">
        <x:v>2º Turno</x:v>
      </x:c>
    </x:row>
    <x:row r="406">
      <x:c r="A406" s="83" t="n">
        <x:v>405</x:v>
      </x:c>
      <x:c r="B406" s="84" t="n">
        <x:v>88</x:v>
      </x:c>
      <x:c r="C406" s="84" t="n">
        <x:v>637</x:v>
      </x:c>
      <x:c r="D406" s="89" t="n">
        <x:v>45641.197280092594</x:v>
      </x:c>
      <x:c r="E406" s="89" t="n">
        <x:v>45641.48200231481</x:v>
      </x:c>
      <x:c r="F406" s="84" t="n">
        <x:v>410</x:v>
      </x:c>
      <x:c r="G406" s="84" t="n">
        <x:v>0</x:v>
      </x:c>
      <x:c r="H406" s="84" t="str">
        <x:v>Superaquecimento</x:v>
      </x:c>
      <x:c r="I406" s="84" t="n">
        <x:v>1011</x:v>
      </x:c>
      <x:c r="J406" s="93" t="n">
        <x:v>17164.35</x:v>
      </x:c>
      <x:c r="K406" s="85" t="str">
        <x:v>1º Turno</x:v>
      </x:c>
    </x:row>
    <x:row r="407">
      <x:c r="A407" s="83" t="n">
        <x:v>406</x:v>
      </x:c>
      <x:c r="B407" s="84" t="n">
        <x:v>5</x:v>
      </x:c>
      <x:c r="C407" s="84" t="n">
        <x:v>638</x:v>
      </x:c>
      <x:c r="D407" s="89" t="n">
        <x:v>45095.68368055556</x:v>
      </x:c>
      <x:c r="E407" s="89" t="n">
        <x:v>45095.758680555555</x:v>
      </x:c>
      <x:c r="F407" s="84" t="n">
        <x:v>108</x:v>
      </x:c>
      <x:c r="G407" s="84" t="n">
        <x:v>1</x:v>
      </x:c>
      <x:c r="H407" s="84" t="str">
        <x:v>Desalinhamento</x:v>
      </x:c>
      <x:c r="I407" s="84" t="n">
        <x:v>140</x:v>
      </x:c>
      <x:c r="J407" s="93" t="n">
        <x:v>2457.6</x:v>
      </x:c>
      <x:c r="K407" s="85" t="str">
        <x:v>2º Turno</x:v>
      </x:c>
    </x:row>
    <x:row r="408">
      <x:c r="A408" s="83" t="n">
        <x:v>407</x:v>
      </x:c>
      <x:c r="B408" s="84" t="n">
        <x:v>12</x:v>
      </x:c>
      <x:c r="C408" s="84" t="n">
        <x:v>639</x:v>
      </x:c>
      <x:c r="D408" s="89" t="n">
        <x:v>45439.58530092592</x:v>
      </x:c>
      <x:c r="E408" s="89" t="n">
        <x:v>45439.99016203704</x:v>
      </x:c>
      <x:c r="F408" s="84" t="n">
        <x:v>583</x:v>
      </x:c>
      <x:c r="G408" s="84" t="n">
        <x:v>1</x:v>
      </x:c>
      <x:c r="H408" s="84" t="str">
        <x:v>Vazamento</x:v>
      </x:c>
      <x:c r="I408" s="84" t="n">
        <x:v>1001</x:v>
      </x:c>
      <x:c r="J408" s="93" t="n">
        <x:v>9202.61</x:v>
      </x:c>
      <x:c r="K408" s="85" t="str">
        <x:v>3º Turno</x:v>
      </x:c>
    </x:row>
    <x:row r="409">
      <x:c r="A409" s="83" t="n">
        <x:v>408</x:v>
      </x:c>
      <x:c r="B409" s="84" t="n">
        <x:v>61</x:v>
      </x:c>
      <x:c r="C409" s="84" t="n">
        <x:v>640</x:v>
      </x:c>
      <x:c r="D409" s="89" t="n">
        <x:v>45287.53590277778</x:v>
      </x:c>
      <x:c r="E409" s="89" t="n">
        <x:v>45287.551875</x:v>
      </x:c>
      <x:c r="F409" s="84" t="n">
        <x:v>23</x:v>
      </x:c>
      <x:c r="G409" s="84" t="n">
        <x:v>1</x:v>
      </x:c>
      <x:c r="H409" s="84" t="str">
        <x:v>Vazamento</x:v>
      </x:c>
      <x:c r="I409" s="84" t="n">
        <x:v>45</x:v>
      </x:c>
      <x:c r="J409" s="93" t="n">
        <x:v>833.32</x:v>
      </x:c>
      <x:c r="K409" s="85" t="str">
        <x:v>2º Turno</x:v>
      </x:c>
    </x:row>
    <x:row r="410">
      <x:c r="A410" s="83" t="n">
        <x:v>409</x:v>
      </x:c>
      <x:c r="B410" s="84" t="n">
        <x:v>37</x:v>
      </x:c>
      <x:c r="C410" s="84" t="n">
        <x:v>641</x:v>
      </x:c>
      <x:c r="D410" s="89" t="n">
        <x:v>45046.664039351854</x:v>
      </x:c>
      <x:c r="E410" s="89" t="n">
        <x:v>45047.2397337963</x:v>
      </x:c>
      <x:c r="F410" s="84" t="n">
        <x:v>829</x:v>
      </x:c>
      <x:c r="G410" s="84" t="n">
        <x:v>1</x:v>
      </x:c>
      <x:c r="H410" s="84" t="str">
        <x:v>Superaquecimento</x:v>
      </x:c>
      <x:c r="I410" s="84" t="n">
        <x:v>1907</x:v>
      </x:c>
      <x:c r="J410" s="93" t="n">
        <x:v>25645.19</x:v>
      </x:c>
      <x:c r="K410" s="85" t="str">
        <x:v>1º Turno</x:v>
      </x:c>
    </x:row>
    <x:row r="411">
      <x:c r="A411" s="83" t="n">
        <x:v>410</x:v>
      </x:c>
      <x:c r="B411" s="84" t="n">
        <x:v>20</x:v>
      </x:c>
      <x:c r="C411" s="84" t="n">
        <x:v>643</x:v>
      </x:c>
      <x:c r="D411" s="89" t="n">
        <x:v>45575.2352662037</x:v>
      </x:c>
      <x:c r="E411" s="89" t="n">
        <x:v>45575.62137731481</x:v>
      </x:c>
      <x:c r="F411" s="84" t="n">
        <x:v>556</x:v>
      </x:c>
      <x:c r="G411" s="84" t="n">
        <x:v>1</x:v>
      </x:c>
      <x:c r="H411" s="84" t="str">
        <x:v>Superaquecimento</x:v>
      </x:c>
      <x:c r="I411" s="84" t="n">
        <x:v>1029</x:v>
      </x:c>
      <x:c r="J411" s="93" t="n">
        <x:v>30996.22</x:v>
      </x:c>
      <x:c r="K411" s="85" t="str">
        <x:v>2º Turno</x:v>
      </x:c>
    </x:row>
    <x:row r="412">
      <x:c r="A412" s="83" t="n">
        <x:v>411</x:v>
      </x:c>
      <x:c r="B412" s="84" t="n">
        <x:v>71</x:v>
      </x:c>
      <x:c r="C412" s="84" t="n">
        <x:v>645</x:v>
      </x:c>
      <x:c r="D412" s="89" t="n">
        <x:v>45080.78119212963</x:v>
      </x:c>
      <x:c r="E412" s="89" t="n">
        <x:v>45081.333969907406</x:v>
      </x:c>
      <x:c r="F412" s="84" t="n">
        <x:v>796</x:v>
      </x:c>
      <x:c r="G412" s="84" t="n">
        <x:v>1</x:v>
      </x:c>
      <x:c r="H412" s="84" t="str">
        <x:v>Falha elétrica</x:v>
      </x:c>
      <x:c r="I412" s="84" t="n">
        <x:v>902</x:v>
      </x:c>
      <x:c r="J412" s="93" t="n">
        <x:v>27905.74</x:v>
      </x:c>
      <x:c r="K412" s="85" t="str">
        <x:v>2º Turno</x:v>
      </x:c>
    </x:row>
    <x:row r="413">
      <x:c r="A413" s="83" t="n">
        <x:v>412</x:v>
      </x:c>
      <x:c r="B413" s="84" t="n">
        <x:v>80</x:v>
      </x:c>
      <x:c r="C413" s="84" t="n">
        <x:v>649</x:v>
      </x:c>
      <x:c r="D413" s="89" t="n">
        <x:v>45494.95777777778</x:v>
      </x:c>
      <x:c r="E413" s="89" t="n">
        <x:v>45495.08555555555</x:v>
      </x:c>
      <x:c r="F413" s="84" t="n">
        <x:v>184</x:v>
      </x:c>
      <x:c r="G413" s="84" t="n">
        <x:v>1</x:v>
      </x:c>
      <x:c r="H413" s="84" t="str">
        <x:v>Falha elétrica</x:v>
      </x:c>
      <x:c r="I413" s="84" t="n">
        <x:v>423</x:v>
      </x:c>
      <x:c r="J413" s="93" t="n">
        <x:v>10342.23</x:v>
      </x:c>
      <x:c r="K413" s="85" t="str">
        <x:v>2º Turno</x:v>
      </x:c>
    </x:row>
    <x:row r="414">
      <x:c r="A414" s="83" t="n">
        <x:v>413</x:v>
      </x:c>
      <x:c r="B414" s="84" t="n">
        <x:v>50</x:v>
      </x:c>
      <x:c r="C414" s="84" t="n">
        <x:v>650</x:v>
      </x:c>
      <x:c r="D414" s="89" t="n">
        <x:v>45309.819074074076</x:v>
      </x:c>
      <x:c r="E414" s="89" t="n">
        <x:v>45309.87185185185</x:v>
      </x:c>
      <x:c r="F414" s="84" t="n">
        <x:v>76</x:v>
      </x:c>
      <x:c r="G414" s="84" t="n">
        <x:v>1</x:v>
      </x:c>
      <x:c r="H414" s="84" t="str">
        <x:v>Desalinhamento</x:v>
      </x:c>
      <x:c r="I414" s="84" t="n">
        <x:v>118</x:v>
      </x:c>
      <x:c r="J414" s="93" t="n">
        <x:v>3922.03</x:v>
      </x:c>
      <x:c r="K414" s="85" t="str">
        <x:v>2º Turno</x:v>
      </x:c>
    </x:row>
    <x:row r="415">
      <x:c r="A415" s="83" t="n">
        <x:v>414</x:v>
      </x:c>
      <x:c r="B415" s="84" t="n">
        <x:v>43</x:v>
      </x:c>
      <x:c r="C415" s="84" t="n">
        <x:v>653</x:v>
      </x:c>
      <x:c r="D415" s="89" t="n">
        <x:v>45498.0715162037</x:v>
      </x:c>
      <x:c r="E415" s="89" t="n">
        <x:v>45498.1902662037</x:v>
      </x:c>
      <x:c r="F415" s="84" t="n">
        <x:v>171</x:v>
      </x:c>
      <x:c r="G415" s="84" t="n">
        <x:v>1</x:v>
      </x:c>
      <x:c r="H415" s="84" t="str">
        <x:v>Ruído anormal</x:v>
      </x:c>
      <x:c r="I415" s="84" t="n">
        <x:v>214</x:v>
      </x:c>
      <x:c r="J415" s="93" t="n">
        <x:v>3186.47</x:v>
      </x:c>
      <x:c r="K415" s="85" t="str">
        <x:v>1º Turno</x:v>
      </x:c>
    </x:row>
    <x:row r="416">
      <x:c r="A416" s="83" t="n">
        <x:v>415</x:v>
      </x:c>
      <x:c r="B416" s="84" t="n">
        <x:v>22</x:v>
      </x:c>
      <x:c r="C416" s="84" t="n">
        <x:v>656</x:v>
      </x:c>
      <x:c r="D416" s="89" t="n">
        <x:v>45210.94416666667</x:v>
      </x:c>
      <x:c r="E416" s="89" t="n">
        <x:v>45210.976805555554</x:v>
      </x:c>
      <x:c r="F416" s="84" t="n">
        <x:v>47</x:v>
      </x:c>
      <x:c r="G416" s="84" t="n">
        <x:v>1</x:v>
      </x:c>
      <x:c r="H416" s="84" t="str">
        <x:v>Baixa pressão</x:v>
      </x:c>
      <x:c r="I416" s="84" t="n">
        <x:v>114</x:v>
      </x:c>
      <x:c r="J416" s="93" t="n">
        <x:v>2335.33</x:v>
      </x:c>
      <x:c r="K416" s="85" t="str">
        <x:v>1º Turno</x:v>
      </x:c>
    </x:row>
    <x:row r="417">
      <x:c r="A417" s="83" t="n">
        <x:v>416</x:v>
      </x:c>
      <x:c r="B417" s="84" t="n">
        <x:v>39</x:v>
      </x:c>
      <x:c r="C417" s="84" t="n">
        <x:v>659</x:v>
      </x:c>
      <x:c r="D417" s="89" t="n">
        <x:v>45372.36201388889</x:v>
      </x:c>
      <x:c r="E417" s="89" t="n">
        <x:v>45372.45576388889</x:v>
      </x:c>
      <x:c r="F417" s="84" t="n">
        <x:v>135</x:v>
      </x:c>
      <x:c r="G417" s="84" t="n">
        <x:v>1</x:v>
      </x:c>
      <x:c r="H417" s="84" t="str">
        <x:v>Vazamento</x:v>
      </x:c>
      <x:c r="I417" s="84" t="n">
        <x:v>182</x:v>
      </x:c>
      <x:c r="J417" s="93" t="n">
        <x:v>1892.3</x:v>
      </x:c>
      <x:c r="K417" s="85" t="str">
        <x:v>1º Turno</x:v>
      </x:c>
    </x:row>
    <x:row r="418">
      <x:c r="A418" s="83" t="n">
        <x:v>417</x:v>
      </x:c>
      <x:c r="B418" s="84" t="n">
        <x:v>26</x:v>
      </x:c>
      <x:c r="C418" s="84" t="n">
        <x:v>660</x:v>
      </x:c>
      <x:c r="D418" s="89" t="n">
        <x:v>45382.49898148148</x:v>
      </x:c>
      <x:c r="E418" s="89" t="n">
        <x:v>45383.11912037037</x:v>
      </x:c>
      <x:c r="F418" s="84" t="n">
        <x:v>893</x:v>
      </x:c>
      <x:c r="G418" s="84" t="n">
        <x:v>0</x:v>
      </x:c>
      <x:c r="H418" s="84" t="str">
        <x:v>Desalinhamento</x:v>
      </x:c>
      <x:c r="I418" s="84" t="n">
        <x:v>1831</x:v>
      </x:c>
      <x:c r="J418" s="93" t="n">
        <x:v>28117.06</x:v>
      </x:c>
      <x:c r="K418" s="85" t="str">
        <x:v>2º Turno</x:v>
      </x:c>
    </x:row>
    <x:row r="419">
      <x:c r="A419" s="83" t="n">
        <x:v>418</x:v>
      </x:c>
      <x:c r="B419" s="84" t="n">
        <x:v>87</x:v>
      </x:c>
      <x:c r="C419" s="84" t="n">
        <x:v>662</x:v>
      </x:c>
      <x:c r="D419" s="89" t="n">
        <x:v>45709.23523148148</x:v>
      </x:c>
      <x:c r="E419" s="89" t="n">
        <x:v>45709.47064814815</x:v>
      </x:c>
      <x:c r="F419" s="84" t="n">
        <x:v>339</x:v>
      </x:c>
      <x:c r="G419" s="84" t="n">
        <x:v>0</x:v>
      </x:c>
      <x:c r="H419" s="84" t="str">
        <x:v>Superaquecimento</x:v>
      </x:c>
      <x:c r="I419" s="84" t="n">
        <x:v>780</x:v>
      </x:c>
      <x:c r="J419" s="93" t="n">
        <x:v>13850.52</x:v>
      </x:c>
      <x:c r="K419" s="85" t="str">
        <x:v>2º Turno</x:v>
      </x:c>
    </x:row>
    <x:row r="420">
      <x:c r="A420" s="83" t="n">
        <x:v>419</x:v>
      </x:c>
      <x:c r="B420" s="84" t="n">
        <x:v>19</x:v>
      </x:c>
      <x:c r="C420" s="84" t="n">
        <x:v>663</x:v>
      </x:c>
      <x:c r="D420" s="89" t="n">
        <x:v>45364.806076388886</x:v>
      </x:c>
      <x:c r="E420" s="89" t="n">
        <x:v>45365.24149305555</x:v>
      </x:c>
      <x:c r="F420" s="84" t="n">
        <x:v>627</x:v>
      </x:c>
      <x:c r="G420" s="84" t="n">
        <x:v>1</x:v>
      </x:c>
      <x:c r="H420" s="84" t="str">
        <x:v>Alarme intermitente</x:v>
      </x:c>
      <x:c r="I420" s="84" t="n">
        <x:v>1244</x:v>
      </x:c>
      <x:c r="J420" s="93" t="n">
        <x:v>25813.22</x:v>
      </x:c>
      <x:c r="K420" s="85" t="str">
        <x:v>3º Turno</x:v>
      </x:c>
    </x:row>
    <x:row r="421">
      <x:c r="A421" s="83" t="n">
        <x:v>420</x:v>
      </x:c>
      <x:c r="B421" s="84" t="n">
        <x:v>78</x:v>
      </x:c>
      <x:c r="C421" s="84" t="n">
        <x:v>664</x:v>
      </x:c>
      <x:c r="D421" s="89" t="n">
        <x:v>45443.048634259256</x:v>
      </x:c>
      <x:c r="E421" s="89" t="n">
        <x:v>45443.463912037034</x:v>
      </x:c>
      <x:c r="F421" s="84" t="n">
        <x:v>598</x:v>
      </x:c>
      <x:c r="G421" s="84" t="n">
        <x:v>1</x:v>
      </x:c>
      <x:c r="H421" s="84" t="str">
        <x:v>Falha elétrica</x:v>
      </x:c>
      <x:c r="I421" s="84" t="n">
        <x:v>1216</x:v>
      </x:c>
      <x:c r="J421" s="93" t="n">
        <x:v>19400.88</x:v>
      </x:c>
      <x:c r="K421" s="85" t="str">
        <x:v>2º Turno</x:v>
      </x:c>
    </x:row>
    <x:row r="422">
      <x:c r="A422" s="83" t="n">
        <x:v>421</x:v>
      </x:c>
      <x:c r="B422" s="84" t="n">
        <x:v>62</x:v>
      </x:c>
      <x:c r="C422" s="84" t="n">
        <x:v>665</x:v>
      </x:c>
      <x:c r="D422" s="89" t="n">
        <x:v>45200.45391203704</x:v>
      </x:c>
      <x:c r="E422" s="89" t="n">
        <x:v>45200.6518287037</x:v>
      </x:c>
      <x:c r="F422" s="84" t="n">
        <x:v>285</x:v>
      </x:c>
      <x:c r="G422" s="84" t="n">
        <x:v>1</x:v>
      </x:c>
      <x:c r="H422" s="84" t="str">
        <x:v>Ruído anormal</x:v>
      </x:c>
      <x:c r="I422" s="84" t="n">
        <x:v>390</x:v>
      </x:c>
      <x:c r="J422" s="93" t="n">
        <x:v>15073.63</x:v>
      </x:c>
      <x:c r="K422" s="85" t="str">
        <x:v>1º Turno</x:v>
      </x:c>
    </x:row>
    <x:row r="423">
      <x:c r="A423" s="83" t="n">
        <x:v>422</x:v>
      </x:c>
      <x:c r="B423" s="84" t="n">
        <x:v>78</x:v>
      </x:c>
      <x:c r="C423" s="84" t="n">
        <x:v>666</x:v>
      </x:c>
      <x:c r="D423" s="89" t="n">
        <x:v>45647.451516203706</x:v>
      </x:c>
      <x:c r="E423" s="89" t="n">
        <x:v>45648.07512731481</x:v>
      </x:c>
      <x:c r="F423" s="84" t="n">
        <x:v>898</x:v>
      </x:c>
      <x:c r="G423" s="84" t="n">
        <x:v>1</x:v>
      </x:c>
      <x:c r="H423" s="84" t="str">
        <x:v>Desalinhamento</x:v>
      </x:c>
      <x:c r="I423" s="84" t="n">
        <x:v>2185</x:v>
      </x:c>
      <x:c r="J423" s="93" t="n">
        <x:v>25763.39</x:v>
      </x:c>
      <x:c r="K423" s="85" t="str">
        <x:v>3º Turno</x:v>
      </x:c>
    </x:row>
    <x:row r="424">
      <x:c r="A424" s="83" t="n">
        <x:v>423</x:v>
      </x:c>
      <x:c r="B424" s="84" t="n">
        <x:v>32</x:v>
      </x:c>
      <x:c r="C424" s="84" t="n">
        <x:v>668</x:v>
      </x:c>
      <x:c r="D424" s="89" t="n">
        <x:v>45332.71501157407</x:v>
      </x:c>
      <x:c r="E424" s="89" t="n">
        <x:v>45332.83515046296</x:v>
      </x:c>
      <x:c r="F424" s="84" t="n">
        <x:v>173</x:v>
      </x:c>
      <x:c r="G424" s="84" t="n">
        <x:v>0</x:v>
      </x:c>
      <x:c r="H424" s="84" t="str">
        <x:v>Alarme intermitente</x:v>
      </x:c>
      <x:c r="I424" s="84" t="n">
        <x:v>355</x:v>
      </x:c>
      <x:c r="J424" s="93" t="n">
        <x:v>5730.48</x:v>
      </x:c>
      <x:c r="K424" s="85" t="str">
        <x:v>2º Turno</x:v>
      </x:c>
    </x:row>
    <x:row r="425">
      <x:c r="A425" s="83" t="n">
        <x:v>424</x:v>
      </x:c>
      <x:c r="B425" s="84" t="n">
        <x:v>78</x:v>
      </x:c>
      <x:c r="C425" s="84" t="n">
        <x:v>669</x:v>
      </x:c>
      <x:c r="D425" s="89" t="n">
        <x:v>45267.70586805556</x:v>
      </x:c>
      <x:c r="E425" s="89" t="n">
        <x:v>45268.053090277775</x:v>
      </x:c>
      <x:c r="F425" s="84" t="n">
        <x:v>500</x:v>
      </x:c>
      <x:c r="G425" s="84" t="n">
        <x:v>1</x:v>
      </x:c>
      <x:c r="H425" s="84" t="str">
        <x:v>Ruído anormal</x:v>
      </x:c>
      <x:c r="I425" s="84" t="n">
        <x:v>992</x:v>
      </x:c>
      <x:c r="J425" s="93" t="n">
        <x:v>20826.82</x:v>
      </x:c>
      <x:c r="K425" s="85" t="str">
        <x:v>1º Turno</x:v>
      </x:c>
    </x:row>
    <x:row r="426">
      <x:c r="A426" s="83" t="n">
        <x:v>425</x:v>
      </x:c>
      <x:c r="B426" s="84" t="n">
        <x:v>17</x:v>
      </x:c>
      <x:c r="C426" s="84" t="n">
        <x:v>672</x:v>
      </x:c>
      <x:c r="D426" s="89" t="n">
        <x:v>45848.66013888889</x:v>
      </x:c>
      <x:c r="E426" s="89" t="n">
        <x:v>45848.720555555556</x:v>
      </x:c>
      <x:c r="F426" s="84" t="n">
        <x:v>87</x:v>
      </x:c>
      <x:c r="G426" s="84" t="n">
        <x:v>1</x:v>
      </x:c>
      <x:c r="H426" s="84" t="str">
        <x:v>Ruído anormal</x:v>
      </x:c>
      <x:c r="I426" s="84" t="n">
        <x:v>132</x:v>
      </x:c>
      <x:c r="J426" s="93" t="n">
        <x:v>2810.22</x:v>
      </x:c>
      <x:c r="K426" s="85" t="str">
        <x:v>1º Turno</x:v>
      </x:c>
    </x:row>
    <x:row r="427">
      <x:c r="A427" s="83" t="n">
        <x:v>426</x:v>
      </x:c>
      <x:c r="B427" s="84" t="n">
        <x:v>89</x:v>
      </x:c>
      <x:c r="C427" s="84" t="n">
        <x:v>673</x:v>
      </x:c>
      <x:c r="D427" s="89" t="n">
        <x:v>45070.18033564815</x:v>
      </x:c>
      <x:c r="E427" s="89" t="n">
        <x:v>45070.70741898148</x:v>
      </x:c>
      <x:c r="F427" s="84" t="n">
        <x:v>759</x:v>
      </x:c>
      <x:c r="G427" s="84" t="n">
        <x:v>0</x:v>
      </x:c>
      <x:c r="H427" s="84" t="str">
        <x:v>Desalinhamento</x:v>
      </x:c>
      <x:c r="I427" s="84" t="n">
        <x:v>1113</x:v>
      </x:c>
      <x:c r="J427" s="93" t="n">
        <x:v>20629.02</x:v>
      </x:c>
      <x:c r="K427" s="85" t="str">
        <x:v>3º Turno</x:v>
      </x:c>
    </x:row>
    <x:row r="428">
      <x:c r="A428" s="83" t="n">
        <x:v>427</x:v>
      </x:c>
      <x:c r="B428" s="84" t="n">
        <x:v>23</x:v>
      </x:c>
      <x:c r="C428" s="84" t="n">
        <x:v>674</x:v>
      </x:c>
      <x:c r="D428" s="89" t="n">
        <x:v>45997.125023148146</x:v>
      </x:c>
      <x:c r="E428" s="89" t="n">
        <x:v>45997.199328703704</x:v>
      </x:c>
      <x:c r="F428" s="84" t="n">
        <x:v>107</x:v>
      </x:c>
      <x:c r="G428" s="84" t="n">
        <x:v>0</x:v>
      </x:c>
      <x:c r="H428" s="84" t="str">
        <x:v>Vazamento</x:v>
      </x:c>
      <x:c r="I428" s="84" t="n">
        <x:v>196</x:v>
      </x:c>
      <x:c r="J428" s="93" t="n">
        <x:v>1738.17</x:v>
      </x:c>
      <x:c r="K428" s="85" t="str">
        <x:v>1º Turno</x:v>
      </x:c>
    </x:row>
    <x:row r="429">
      <x:c r="A429" s="83" t="n">
        <x:v>428</x:v>
      </x:c>
      <x:c r="B429" s="84" t="n">
        <x:v>21</x:v>
      </x:c>
      <x:c r="C429" s="84" t="n">
        <x:v>675</x:v>
      </x:c>
      <x:c r="D429" s="89" t="n">
        <x:v>45766.81387731482</x:v>
      </x:c>
      <x:c r="E429" s="89" t="n">
        <x:v>45766.84373842592</x:v>
      </x:c>
      <x:c r="F429" s="84" t="n">
        <x:v>43</x:v>
      </x:c>
      <x:c r="G429" s="84" t="n">
        <x:v>1</x:v>
      </x:c>
      <x:c r="H429" s="84" t="str">
        <x:v>Superaquecimento</x:v>
      </x:c>
      <x:c r="I429" s="84" t="n">
        <x:v>44</x:v>
      </x:c>
      <x:c r="J429" s="93" t="n">
        <x:v>631.4</x:v>
      </x:c>
      <x:c r="K429" s="85" t="str">
        <x:v>1º Turno</x:v>
      </x:c>
    </x:row>
    <x:row r="430">
      <x:c r="A430" s="83" t="n">
        <x:v>429</x:v>
      </x:c>
      <x:c r="B430" s="84" t="n">
        <x:v>3</x:v>
      </x:c>
      <x:c r="C430" s="84" t="n">
        <x:v>682</x:v>
      </x:c>
      <x:c r="D430" s="89" t="n">
        <x:v>45700.62368055555</x:v>
      </x:c>
      <x:c r="E430" s="89" t="n">
        <x:v>45701.057708333334</x:v>
      </x:c>
      <x:c r="F430" s="84" t="n">
        <x:v>625</x:v>
      </x:c>
      <x:c r="G430" s="84" t="n">
        <x:v>0</x:v>
      </x:c>
      <x:c r="H430" s="84" t="str">
        <x:v>Alarme intermitente</x:v>
      </x:c>
      <x:c r="I430" s="84" t="n">
        <x:v>1031</x:v>
      </x:c>
      <x:c r="J430" s="93" t="n">
        <x:v>27404.02</x:v>
      </x:c>
      <x:c r="K430" s="85" t="str">
        <x:v>1º Turno</x:v>
      </x:c>
    </x:row>
    <x:row r="431">
      <x:c r="A431" s="83" t="n">
        <x:v>430</x:v>
      </x:c>
      <x:c r="B431" s="84" t="n">
        <x:v>75</x:v>
      </x:c>
      <x:c r="C431" s="84" t="n">
        <x:v>686</x:v>
      </x:c>
      <x:c r="D431" s="89" t="n">
        <x:v>45194.7234837963</x:v>
      </x:c>
      <x:c r="E431" s="89" t="n">
        <x:v>45195.11515046296</x:v>
      </x:c>
      <x:c r="F431" s="84" t="n">
        <x:v>564</x:v>
      </x:c>
      <x:c r="G431" s="84" t="n">
        <x:v>0</x:v>
      </x:c>
      <x:c r="H431" s="84" t="str">
        <x:v>Falha elétrica</x:v>
      </x:c>
      <x:c r="I431" s="84" t="n">
        <x:v>799</x:v>
      </x:c>
      <x:c r="J431" s="93" t="n">
        <x:v>21732.73</x:v>
      </x:c>
      <x:c r="K431" s="85" t="str">
        <x:v>3º Turno</x:v>
      </x:c>
    </x:row>
    <x:row r="432">
      <x:c r="A432" s="83" t="n">
        <x:v>431</x:v>
      </x:c>
      <x:c r="B432" s="84" t="n">
        <x:v>23</x:v>
      </x:c>
      <x:c r="C432" s="84" t="n">
        <x:v>687</x:v>
      </x:c>
      <x:c r="D432" s="89" t="n">
        <x:v>45596.24078703704</x:v>
      </x:c>
      <x:c r="E432" s="89" t="n">
        <x:v>45596.48939814815</x:v>
      </x:c>
      <x:c r="F432" s="84" t="n">
        <x:v>358</x:v>
      </x:c>
      <x:c r="G432" s="84" t="n">
        <x:v>1</x:v>
      </x:c>
      <x:c r="H432" s="84" t="str">
        <x:v>Alarme intermitente</x:v>
      </x:c>
      <x:c r="I432" s="84" t="n">
        <x:v>698</x:v>
      </x:c>
      <x:c r="J432" s="93" t="n">
        <x:v>12212</x:v>
      </x:c>
      <x:c r="K432" s="85" t="str">
        <x:v>3º Turno</x:v>
      </x:c>
    </x:row>
    <x:row r="433">
      <x:c r="A433" s="83" t="n">
        <x:v>432</x:v>
      </x:c>
      <x:c r="B433" s="84" t="n">
        <x:v>48</x:v>
      </x:c>
      <x:c r="C433" s="84" t="n">
        <x:v>689</x:v>
      </x:c>
      <x:c r="D433" s="89" t="n">
        <x:v>45020.77099537037</x:v>
      </x:c>
      <x:c r="E433" s="89" t="n">
        <x:v>45021.15918981482</x:v>
      </x:c>
      <x:c r="F433" s="84" t="n">
        <x:v>559</x:v>
      </x:c>
      <x:c r="G433" s="84" t="n">
        <x:v>1</x:v>
      </x:c>
      <x:c r="H433" s="84" t="str">
        <x:v>Falha elétrica</x:v>
      </x:c>
      <x:c r="I433" s="84" t="n">
        <x:v>866</x:v>
      </x:c>
      <x:c r="J433" s="93" t="n">
        <x:v>32462.26</x:v>
      </x:c>
      <x:c r="K433" s="85" t="str">
        <x:v>3º Turno</x:v>
      </x:c>
    </x:row>
    <x:row r="434">
      <x:c r="A434" s="83" t="n">
        <x:v>433</x:v>
      </x:c>
      <x:c r="B434" s="84" t="n">
        <x:v>78</x:v>
      </x:c>
      <x:c r="C434" s="84" t="n">
        <x:v>690</x:v>
      </x:c>
      <x:c r="D434" s="89" t="n">
        <x:v>45194.203622685185</x:v>
      </x:c>
      <x:c r="E434" s="89" t="n">
        <x:v>45194.65084490741</x:v>
      </x:c>
      <x:c r="F434" s="84" t="n">
        <x:v>644</x:v>
      </x:c>
      <x:c r="G434" s="84" t="n">
        <x:v>1</x:v>
      </x:c>
      <x:c r="H434" s="84" t="str">
        <x:v>Baixa pressão</x:v>
      </x:c>
      <x:c r="I434" s="84" t="n">
        <x:v>1245</x:v>
      </x:c>
      <x:c r="J434" s="93" t="n">
        <x:v>10508.25</x:v>
      </x:c>
      <x:c r="K434" s="85" t="str">
        <x:v>2º Turno</x:v>
      </x:c>
    </x:row>
    <x:row r="435">
      <x:c r="A435" s="83" t="n">
        <x:v>434</x:v>
      </x:c>
      <x:c r="B435" s="84" t="n">
        <x:v>77</x:v>
      </x:c>
      <x:c r="C435" s="84" t="n">
        <x:v>692</x:v>
      </x:c>
      <x:c r="D435" s="89" t="n">
        <x:v>45383.07438657407</x:v>
      </x:c>
      <x:c r="E435" s="89" t="n">
        <x:v>45383.22994212963</x:v>
      </x:c>
      <x:c r="F435" s="84" t="n">
        <x:v>224</x:v>
      </x:c>
      <x:c r="G435" s="84" t="n">
        <x:v>0</x:v>
      </x:c>
      <x:c r="H435" s="84" t="str">
        <x:v>Baixa pressão</x:v>
      </x:c>
      <x:c r="I435" s="84" t="n">
        <x:v>355</x:v>
      </x:c>
      <x:c r="J435" s="93" t="n">
        <x:v>3120.45</x:v>
      </x:c>
      <x:c r="K435" s="85" t="str">
        <x:v>2º Turno</x:v>
      </x:c>
    </x:row>
    <x:row r="436">
      <x:c r="A436" s="83" t="n">
        <x:v>435</x:v>
      </x:c>
      <x:c r="B436" s="84" t="n">
        <x:v>36</x:v>
      </x:c>
      <x:c r="C436" s="84" t="n">
        <x:v>693</x:v>
      </x:c>
      <x:c r="D436" s="89" t="n">
        <x:v>45214.56763888889</x:v>
      </x:c>
      <x:c r="E436" s="89" t="n">
        <x:v>45214.62388888889</x:v>
      </x:c>
      <x:c r="F436" s="84" t="n">
        <x:v>81</x:v>
      </x:c>
      <x:c r="G436" s="84" t="n">
        <x:v>1</x:v>
      </x:c>
      <x:c r="H436" s="84" t="str">
        <x:v>Desalinhamento</x:v>
      </x:c>
      <x:c r="I436" s="84" t="n">
        <x:v>113</x:v>
      </x:c>
      <x:c r="J436" s="93" t="n">
        <x:v>1314.29</x:v>
      </x:c>
      <x:c r="K436" s="85" t="str">
        <x:v>1º Turno</x:v>
      </x:c>
    </x:row>
    <x:row r="437">
      <x:c r="A437" s="83" t="n">
        <x:v>436</x:v>
      </x:c>
      <x:c r="B437" s="84" t="n">
        <x:v>80</x:v>
      </x:c>
      <x:c r="C437" s="84" t="n">
        <x:v>695</x:v>
      </x:c>
      <x:c r="D437" s="89" t="n">
        <x:v>45089.185069444444</x:v>
      </x:c>
      <x:c r="E437" s="89" t="n">
        <x:v>45089.44131944444</x:v>
      </x:c>
      <x:c r="F437" s="84" t="n">
        <x:v>369</x:v>
      </x:c>
      <x:c r="G437" s="84" t="n">
        <x:v>0</x:v>
      </x:c>
      <x:c r="H437" s="84" t="str">
        <x:v>Alarme intermitente</x:v>
      </x:c>
      <x:c r="I437" s="84" t="n">
        <x:v>849</x:v>
      </x:c>
      <x:c r="J437" s="93" t="n">
        <x:v>17359.79</x:v>
      </x:c>
      <x:c r="K437" s="85" t="str">
        <x:v>2º Turno</x:v>
      </x:c>
    </x:row>
    <x:row r="438">
      <x:c r="A438" s="83" t="n">
        <x:v>437</x:v>
      </x:c>
      <x:c r="B438" s="84" t="n">
        <x:v>55</x:v>
      </x:c>
      <x:c r="C438" s="84" t="n">
        <x:v>698</x:v>
      </x:c>
      <x:c r="D438" s="89" t="n">
        <x:v>44958.54337962963</x:v>
      </x:c>
      <x:c r="E438" s="89" t="n">
        <x:v>44958.78157407408</x:v>
      </x:c>
      <x:c r="F438" s="84" t="n">
        <x:v>343</x:v>
      </x:c>
      <x:c r="G438" s="84" t="n">
        <x:v>1</x:v>
      </x:c>
      <x:c r="H438" s="84" t="str">
        <x:v>Falha elétrica</x:v>
      </x:c>
      <x:c r="I438" s="84" t="n">
        <x:v>709</x:v>
      </x:c>
      <x:c r="J438" s="93" t="n">
        <x:v>10555.03</x:v>
      </x:c>
      <x:c r="K438" s="85" t="str">
        <x:v>3º Turno</x:v>
      </x:c>
    </x:row>
    <x:row r="439">
      <x:c r="A439" s="83" t="n">
        <x:v>438</x:v>
      </x:c>
      <x:c r="B439" s="84" t="n">
        <x:v>33</x:v>
      </x:c>
      <x:c r="C439" s="84" t="n">
        <x:v>703</x:v>
      </x:c>
      <x:c r="D439" s="89" t="n">
        <x:v>45162.241631944446</x:v>
      </x:c>
      <x:c r="E439" s="89" t="n">
        <x:v>45162.76940972222</x:v>
      </x:c>
      <x:c r="F439" s="84" t="n">
        <x:v>760</x:v>
      </x:c>
      <x:c r="G439" s="84" t="n">
        <x:v>1</x:v>
      </x:c>
      <x:c r="H439" s="84" t="str">
        <x:v>Alarme intermitente</x:v>
      </x:c>
      <x:c r="I439" s="84" t="n">
        <x:v>1533</x:v>
      </x:c>
      <x:c r="J439" s="93" t="n">
        <x:v>43771.68</x:v>
      </x:c>
      <x:c r="K439" s="85" t="str">
        <x:v>3º Turno</x:v>
      </x:c>
    </x:row>
    <x:row r="440">
      <x:c r="A440" s="83" t="n">
        <x:v>439</x:v>
      </x:c>
      <x:c r="B440" s="84" t="n">
        <x:v>69</x:v>
      </x:c>
      <x:c r="C440" s="84" t="n">
        <x:v>704</x:v>
      </x:c>
      <x:c r="D440" s="89" t="n">
        <x:v>45398.07435185185</x:v>
      </x:c>
      <x:c r="E440" s="89" t="n">
        <x:v>45398.666712962964</x:v>
      </x:c>
      <x:c r="F440" s="84" t="n">
        <x:v>853</x:v>
      </x:c>
      <x:c r="G440" s="84" t="n">
        <x:v>1</x:v>
      </x:c>
      <x:c r="H440" s="84" t="str">
        <x:v>Falha elétrica</x:v>
      </x:c>
      <x:c r="I440" s="84" t="n">
        <x:v>1990</x:v>
      </x:c>
      <x:c r="J440" s="93" t="n">
        <x:v>13683.15</x:v>
      </x:c>
      <x:c r="K440" s="85" t="str">
        <x:v>3º Turno</x:v>
      </x:c>
    </x:row>
    <x:row r="441">
      <x:c r="A441" s="83" t="n">
        <x:v>440</x:v>
      </x:c>
      <x:c r="B441" s="84" t="n">
        <x:v>66</x:v>
      </x:c>
      <x:c r="C441" s="84" t="n">
        <x:v>705</x:v>
      </x:c>
      <x:c r="D441" s="89" t="n">
        <x:v>45907.010613425926</x:v>
      </x:c>
      <x:c r="E441" s="89" t="n">
        <x:v>45907.23422453704</x:v>
      </x:c>
      <x:c r="F441" s="84" t="n">
        <x:v>322</x:v>
      </x:c>
      <x:c r="G441" s="84" t="n">
        <x:v>1</x:v>
      </x:c>
      <x:c r="H441" s="84" t="str">
        <x:v>Falha elétrica</x:v>
      </x:c>
      <x:c r="I441" s="84" t="n">
        <x:v>708</x:v>
      </x:c>
      <x:c r="J441" s="93" t="n">
        <x:v>11545.16</x:v>
      </x:c>
      <x:c r="K441" s="85" t="str">
        <x:v>1º Turno</x:v>
      </x:c>
    </x:row>
    <x:row r="442">
      <x:c r="A442" s="83" t="n">
        <x:v>441</x:v>
      </x:c>
      <x:c r="B442" s="84" t="n">
        <x:v>4</x:v>
      </x:c>
      <x:c r="C442" s="84" t="n">
        <x:v>706</x:v>
      </x:c>
      <x:c r="D442" s="89" t="n">
        <x:v>45548.10327546296</x:v>
      </x:c>
      <x:c r="E442" s="89" t="n">
        <x:v>45548.273414351854</x:v>
      </x:c>
      <x:c r="F442" s="84" t="n">
        <x:v>245</x:v>
      </x:c>
      <x:c r="G442" s="84" t="n">
        <x:v>1</x:v>
      </x:c>
      <x:c r="H442" s="84" t="str">
        <x:v>Desalinhamento</x:v>
      </x:c>
      <x:c r="I442" s="84" t="n">
        <x:v>519</x:v>
      </x:c>
      <x:c r="J442" s="93" t="n">
        <x:v>4861.31</x:v>
      </x:c>
      <x:c r="K442" s="85" t="str">
        <x:v>1º Turno</x:v>
      </x:c>
    </x:row>
    <x:row r="443">
      <x:c r="A443" s="83" t="n">
        <x:v>442</x:v>
      </x:c>
      <x:c r="B443" s="84" t="n">
        <x:v>42</x:v>
      </x:c>
      <x:c r="C443" s="84" t="n">
        <x:v>708</x:v>
      </x:c>
      <x:c r="D443" s="89" t="n">
        <x:v>45705.353217592594</x:v>
      </x:c>
      <x:c r="E443" s="89" t="n">
        <x:v>45705.55321759259</x:v>
      </x:c>
      <x:c r="F443" s="84" t="n">
        <x:v>288</x:v>
      </x:c>
      <x:c r="G443" s="84" t="n">
        <x:v>1</x:v>
      </x:c>
      <x:c r="H443" s="84" t="str">
        <x:v>Desalinhamento</x:v>
      </x:c>
      <x:c r="I443" s="84" t="n">
        <x:v>586</x:v>
      </x:c>
      <x:c r="J443" s="93" t="n">
        <x:v>16615.83</x:v>
      </x:c>
      <x:c r="K443" s="85" t="str">
        <x:v>2º Turno</x:v>
      </x:c>
    </x:row>
    <x:row r="444">
      <x:c r="A444" s="83" t="n">
        <x:v>443</x:v>
      </x:c>
      <x:c r="B444" s="84" t="n">
        <x:v>83</x:v>
      </x:c>
      <x:c r="C444" s="84" t="n">
        <x:v>709</x:v>
      </x:c>
      <x:c r="D444" s="89" t="n">
        <x:v>45119.83826388889</x:v>
      </x:c>
      <x:c r="E444" s="89" t="n">
        <x:v>45120.29381944444</x:v>
      </x:c>
      <x:c r="F444" s="84" t="n">
        <x:v>656</x:v>
      </x:c>
      <x:c r="G444" s="84" t="n">
        <x:v>0</x:v>
      </x:c>
      <x:c r="H444" s="84" t="str">
        <x:v>Desalinhamento</x:v>
      </x:c>
      <x:c r="I444" s="84" t="n">
        <x:v>1039</x:v>
      </x:c>
      <x:c r="J444" s="93" t="n">
        <x:v>34036.98</x:v>
      </x:c>
      <x:c r="K444" s="85" t="str">
        <x:v>1º Turno</x:v>
      </x:c>
    </x:row>
    <x:row r="445">
      <x:c r="A445" s="83" t="n">
        <x:v>444</x:v>
      </x:c>
      <x:c r="B445" s="84" t="n">
        <x:v>89</x:v>
      </x:c>
      <x:c r="C445" s="84" t="n">
        <x:v>710</x:v>
      </x:c>
      <x:c r="D445" s="89" t="n">
        <x:v>45654.520949074074</x:v>
      </x:c>
      <x:c r="E445" s="89" t="n">
        <x:v>45654.975810185184</x:v>
      </x:c>
      <x:c r="F445" s="84" t="n">
        <x:v>655</x:v>
      </x:c>
      <x:c r="G445" s="84" t="n">
        <x:v>1</x:v>
      </x:c>
      <x:c r="H445" s="84" t="str">
        <x:v>Ruído anormal</x:v>
      </x:c>
      <x:c r="I445" s="84" t="n">
        <x:v>1452</x:v>
      </x:c>
      <x:c r="J445" s="93" t="n">
        <x:v>23409.91</x:v>
      </x:c>
      <x:c r="K445" s="85" t="str">
        <x:v>1º Turno</x:v>
      </x:c>
    </x:row>
    <x:row r="446">
      <x:c r="A446" s="83" t="n">
        <x:v>445</x:v>
      </x:c>
      <x:c r="B446" s="84" t="n">
        <x:v>5</x:v>
      </x:c>
      <x:c r="C446" s="84" t="n">
        <x:v>713</x:v>
      </x:c>
      <x:c r="D446" s="89" t="n">
        <x:v>45709.279027777775</x:v>
      </x:c>
      <x:c r="E446" s="89" t="n">
        <x:v>45709.56513888889</x:v>
      </x:c>
      <x:c r="F446" s="84" t="n">
        <x:v>412</x:v>
      </x:c>
      <x:c r="G446" s="84" t="n">
        <x:v>1</x:v>
      </x:c>
      <x:c r="H446" s="84" t="str">
        <x:v>Superaquecimento</x:v>
      </x:c>
      <x:c r="I446" s="84" t="n">
        <x:v>494</x:v>
      </x:c>
      <x:c r="J446" s="93" t="n">
        <x:v>23763.8</x:v>
      </x:c>
      <x:c r="K446" s="85" t="str">
        <x:v>3º Turno</x:v>
      </x:c>
    </x:row>
    <x:row r="447">
      <x:c r="A447" s="83" t="n">
        <x:v>446</x:v>
      </x:c>
      <x:c r="B447" s="84" t="n">
        <x:v>23</x:v>
      </x:c>
      <x:c r="C447" s="84" t="n">
        <x:v>715</x:v>
      </x:c>
      <x:c r="D447" s="89" t="n">
        <x:v>45169.84336805555</x:v>
      </x:c>
      <x:c r="E447" s="89" t="n">
        <x:v>45170.06420138889</x:v>
      </x:c>
      <x:c r="F447" s="84" t="n">
        <x:v>318</x:v>
      </x:c>
      <x:c r="G447" s="84" t="n">
        <x:v>0</x:v>
      </x:c>
      <x:c r="H447" s="84" t="str">
        <x:v>Desalinhamento</x:v>
      </x:c>
      <x:c r="I447" s="84" t="n">
        <x:v>594</x:v>
      </x:c>
      <x:c r="J447" s="93" t="n">
        <x:v>17482.61</x:v>
      </x:c>
      <x:c r="K447" s="85" t="str">
        <x:v>1º Turno</x:v>
      </x:c>
    </x:row>
    <x:row r="448">
      <x:c r="A448" s="83" t="n">
        <x:v>447</x:v>
      </x:c>
      <x:c r="B448" s="84" t="n">
        <x:v>2</x:v>
      </x:c>
      <x:c r="C448" s="84" t="n">
        <x:v>717</x:v>
      </x:c>
      <x:c r="D448" s="89" t="n">
        <x:v>44962.47361111111</x:v>
      </x:c>
      <x:c r="E448" s="89" t="n">
        <x:v>44962.51180555556</x:v>
      </x:c>
      <x:c r="F448" s="84" t="n">
        <x:v>55</x:v>
      </x:c>
      <x:c r="G448" s="84" t="n">
        <x:v>0</x:v>
      </x:c>
      <x:c r="H448" s="84" t="str">
        <x:v>Alarme intermitente</x:v>
      </x:c>
      <x:c r="I448" s="84" t="n">
        <x:v>126</x:v>
      </x:c>
      <x:c r="J448" s="93" t="n">
        <x:v>1170.72</x:v>
      </x:c>
      <x:c r="K448" s="85" t="str">
        <x:v>1º Turno</x:v>
      </x:c>
    </x:row>
    <x:row r="449">
      <x:c r="A449" s="83" t="n">
        <x:v>448</x:v>
      </x:c>
      <x:c r="B449" s="84" t="n">
        <x:v>58</x:v>
      </x:c>
      <x:c r="C449" s="84" t="n">
        <x:v>718</x:v>
      </x:c>
      <x:c r="D449" s="89" t="n">
        <x:v>45181.083182870374</x:v>
      </x:c>
      <x:c r="E449" s="89" t="n">
        <x:v>45181.62484953704</x:v>
      </x:c>
      <x:c r="F449" s="84" t="n">
        <x:v>780</x:v>
      </x:c>
      <x:c r="G449" s="84" t="n">
        <x:v>1</x:v>
      </x:c>
      <x:c r="H449" s="84" t="str">
        <x:v>Desalinhamento</x:v>
      </x:c>
      <x:c r="I449" s="84" t="n">
        <x:v>1079</x:v>
      </x:c>
      <x:c r="J449" s="93" t="n">
        <x:v>30493.79</x:v>
      </x:c>
      <x:c r="K449" s="85" t="str">
        <x:v>2º Turno</x:v>
      </x:c>
    </x:row>
    <x:row r="450">
      <x:c r="A450" s="83" t="n">
        <x:v>449</x:v>
      </x:c>
      <x:c r="B450" s="84" t="n">
        <x:v>14</x:v>
      </x:c>
      <x:c r="C450" s="84" t="n">
        <x:v>719</x:v>
      </x:c>
      <x:c r="D450" s="89" t="n">
        <x:v>45586.1559375</x:v>
      </x:c>
      <x:c r="E450" s="89" t="n">
        <x:v>45586.48440972222</x:v>
      </x:c>
      <x:c r="F450" s="84" t="n">
        <x:v>473</x:v>
      </x:c>
      <x:c r="G450" s="84" t="n">
        <x:v>1</x:v>
      </x:c>
      <x:c r="H450" s="84" t="str">
        <x:v>Ruído anormal</x:v>
      </x:c>
      <x:c r="I450" s="84" t="n">
        <x:v>883</x:v>
      </x:c>
      <x:c r="J450" s="93" t="n">
        <x:v>22135.4</x:v>
      </x:c>
      <x:c r="K450" s="85" t="str">
        <x:v>3º Turno</x:v>
      </x:c>
    </x:row>
    <x:row r="451">
      <x:c r="A451" s="83" t="n">
        <x:v>450</x:v>
      </x:c>
      <x:c r="B451" s="84" t="n">
        <x:v>42</x:v>
      </x:c>
      <x:c r="C451" s="84" t="n">
        <x:v>720</x:v>
      </x:c>
      <x:c r="D451" s="89" t="n">
        <x:v>45987.19363425926</x:v>
      </x:c>
      <x:c r="E451" s="89" t="n">
        <x:v>45987.31793981481</x:v>
      </x:c>
      <x:c r="F451" s="84" t="n">
        <x:v>179</x:v>
      </x:c>
      <x:c r="G451" s="84" t="n">
        <x:v>0</x:v>
      </x:c>
      <x:c r="H451" s="84" t="str">
        <x:v>Baixa pressão</x:v>
      </x:c>
      <x:c r="I451" s="84" t="n">
        <x:v>352</x:v>
      </x:c>
      <x:c r="J451" s="93" t="n">
        <x:v>6330.72</x:v>
      </x:c>
      <x:c r="K451" s="85" t="str">
        <x:v>2º Turno</x:v>
      </x:c>
    </x:row>
    <x:row r="452">
      <x:c r="A452" s="83" t="n">
        <x:v>451</x:v>
      </x:c>
      <x:c r="B452" s="84" t="n">
        <x:v>8</x:v>
      </x:c>
      <x:c r="C452" s="84" t="n">
        <x:v>722</x:v>
      </x:c>
      <x:c r="D452" s="89" t="n">
        <x:v>45708.57267361111</x:v>
      </x:c>
      <x:c r="E452" s="89" t="n">
        <x:v>45709.18170138889</x:v>
      </x:c>
      <x:c r="F452" s="84" t="n">
        <x:v>877</x:v>
      </x:c>
      <x:c r="G452" s="84" t="n">
        <x:v>1</x:v>
      </x:c>
      <x:c r="H452" s="84" t="str">
        <x:v>Desalinhamento</x:v>
      </x:c>
      <x:c r="I452" s="84" t="n">
        <x:v>1915</x:v>
      </x:c>
      <x:c r="J452" s="93" t="n">
        <x:v>17835.46</x:v>
      </x:c>
      <x:c r="K452" s="85" t="str">
        <x:v>3º Turno</x:v>
      </x:c>
    </x:row>
    <x:row r="453">
      <x:c r="A453" s="83" t="n">
        <x:v>452</x:v>
      </x:c>
      <x:c r="B453" s="84" t="n">
        <x:v>57</x:v>
      </x:c>
      <x:c r="C453" s="84" t="n">
        <x:v>727</x:v>
      </x:c>
      <x:c r="D453" s="89" t="n">
        <x:v>45947.815775462965</x:v>
      </x:c>
      <x:c r="E453" s="89" t="n">
        <x:v>45947.829664351855</x:v>
      </x:c>
      <x:c r="F453" s="84" t="n">
        <x:v>20</x:v>
      </x:c>
      <x:c r="G453" s="84" t="n">
        <x:v>1</x:v>
      </x:c>
      <x:c r="H453" s="84" t="str">
        <x:v>Falha elétrica</x:v>
      </x:c>
      <x:c r="I453" s="84" t="n">
        <x:v>20</x:v>
      </x:c>
      <x:c r="J453" s="93" t="n">
        <x:v>834.92</x:v>
      </x:c>
      <x:c r="K453" s="85" t="str">
        <x:v>3º Turno</x:v>
      </x:c>
    </x:row>
    <x:row r="454">
      <x:c r="A454" s="83" t="n">
        <x:v>453</x:v>
      </x:c>
      <x:c r="B454" s="84" t="n">
        <x:v>30</x:v>
      </x:c>
      <x:c r="C454" s="84" t="n">
        <x:v>728</x:v>
      </x:c>
      <x:c r="D454" s="89" t="n">
        <x:v>45301.28670138889</x:v>
      </x:c>
      <x:c r="E454" s="89" t="n">
        <x:v>45301.43670138889</x:v>
      </x:c>
      <x:c r="F454" s="84" t="n">
        <x:v>216</x:v>
      </x:c>
      <x:c r="G454" s="84" t="n">
        <x:v>0</x:v>
      </x:c>
      <x:c r="H454" s="84" t="str">
        <x:v>Superaquecimento</x:v>
      </x:c>
      <x:c r="I454" s="84" t="n">
        <x:v>335</x:v>
      </x:c>
      <x:c r="J454" s="93" t="n">
        <x:v>5561.52</x:v>
      </x:c>
      <x:c r="K454" s="85" t="str">
        <x:v>1º Turno</x:v>
      </x:c>
    </x:row>
    <x:row r="455">
      <x:c r="A455" s="83" t="n">
        <x:v>454</x:v>
      </x:c>
      <x:c r="B455" s="84" t="n">
        <x:v>63</x:v>
      </x:c>
      <x:c r="C455" s="84" t="n">
        <x:v>729</x:v>
      </x:c>
      <x:c r="D455" s="89" t="n">
        <x:v>45475.15859953704</x:v>
      </x:c>
      <x:c r="E455" s="89" t="n">
        <x:v>45475.51346064815</x:v>
      </x:c>
      <x:c r="F455" s="84" t="n">
        <x:v>511</x:v>
      </x:c>
      <x:c r="G455" s="84" t="n">
        <x:v>1</x:v>
      </x:c>
      <x:c r="H455" s="84" t="str">
        <x:v>Baixa pressão</x:v>
      </x:c>
      <x:c r="I455" s="84" t="n">
        <x:v>562</x:v>
      </x:c>
      <x:c r="J455" s="93" t="n">
        <x:v>18756.5</x:v>
      </x:c>
      <x:c r="K455" s="85" t="str">
        <x:v>3º Turno</x:v>
      </x:c>
    </x:row>
    <x:row r="456">
      <x:c r="A456" s="83" t="n">
        <x:v>455</x:v>
      </x:c>
      <x:c r="B456" s="84" t="n">
        <x:v>1</x:v>
      </x:c>
      <x:c r="C456" s="84" t="n">
        <x:v>733</x:v>
      </x:c>
      <x:c r="D456" s="89" t="n">
        <x:v>45456.77880787037</x:v>
      </x:c>
      <x:c r="E456" s="89" t="n">
        <x:v>45457.22116898148</x:v>
      </x:c>
      <x:c r="F456" s="84" t="n">
        <x:v>637</x:v>
      </x:c>
      <x:c r="G456" s="84" t="n">
        <x:v>1</x:v>
      </x:c>
      <x:c r="H456" s="84" t="str">
        <x:v>Alarme intermitente</x:v>
      </x:c>
      <x:c r="I456" s="84" t="n">
        <x:v>711</x:v>
      </x:c>
      <x:c r="J456" s="93" t="n">
        <x:v>28093.08</x:v>
      </x:c>
      <x:c r="K456" s="85" t="str">
        <x:v>1º Turno</x:v>
      </x:c>
    </x:row>
    <x:row r="457">
      <x:c r="A457" s="83" t="n">
        <x:v>456</x:v>
      </x:c>
      <x:c r="B457" s="84" t="n">
        <x:v>16</x:v>
      </x:c>
      <x:c r="C457" s="84" t="n">
        <x:v>734</x:v>
      </x:c>
      <x:c r="D457" s="89" t="n">
        <x:v>45139.84811342593</x:v>
      </x:c>
      <x:c r="E457" s="89" t="n">
        <x:v>45140.315474537034</x:v>
      </x:c>
      <x:c r="F457" s="84" t="n">
        <x:v>673</x:v>
      </x:c>
      <x:c r="G457" s="84" t="n">
        <x:v>1</x:v>
      </x:c>
      <x:c r="H457" s="84" t="str">
        <x:v>Falha elétrica</x:v>
      </x:c>
      <x:c r="I457" s="84" t="n">
        <x:v>1582</x:v>
      </x:c>
      <x:c r="J457" s="93" t="n">
        <x:v>11153.16</x:v>
      </x:c>
      <x:c r="K457" s="85" t="str">
        <x:v>2º Turno</x:v>
      </x:c>
    </x:row>
    <x:row r="458">
      <x:c r="A458" s="83" t="n">
        <x:v>457</x:v>
      </x:c>
      <x:c r="B458" s="84" t="n">
        <x:v>27</x:v>
      </x:c>
      <x:c r="C458" s="84" t="n">
        <x:v>737</x:v>
      </x:c>
      <x:c r="D458" s="89" t="n">
        <x:v>45678.93475694444</x:v>
      </x:c>
      <x:c r="E458" s="89" t="n">
        <x:v>45679.33684027778</x:v>
      </x:c>
      <x:c r="F458" s="84" t="n">
        <x:v>579</x:v>
      </x:c>
      <x:c r="G458" s="84" t="n">
        <x:v>0</x:v>
      </x:c>
      <x:c r="H458" s="84" t="str">
        <x:v>Desalinhamento</x:v>
      </x:c>
      <x:c r="I458" s="84" t="n">
        <x:v>1390</x:v>
      </x:c>
      <x:c r="J458" s="93" t="n">
        <x:v>23724.26</x:v>
      </x:c>
      <x:c r="K458" s="85" t="str">
        <x:v>2º Turno</x:v>
      </x:c>
    </x:row>
    <x:row r="459">
      <x:c r="A459" s="83" t="n">
        <x:v>458</x:v>
      </x:c>
      <x:c r="B459" s="84" t="n">
        <x:v>72</x:v>
      </x:c>
      <x:c r="C459" s="84" t="n">
        <x:v>738</x:v>
      </x:c>
      <x:c r="D459" s="89" t="n">
        <x:v>45936.53086805555</x:v>
      </x:c>
      <x:c r="E459" s="89" t="n">
        <x:v>45936.56489583333</x:v>
      </x:c>
      <x:c r="F459" s="84" t="n">
        <x:v>49</x:v>
      </x:c>
      <x:c r="G459" s="84" t="n">
        <x:v>1</x:v>
      </x:c>
      <x:c r="H459" s="84" t="str">
        <x:v>Ruído anormal</x:v>
      </x:c>
      <x:c r="I459" s="84" t="n">
        <x:v>108</x:v>
      </x:c>
      <x:c r="J459" s="93" t="n">
        <x:v>2143.82</x:v>
      </x:c>
      <x:c r="K459" s="85" t="str">
        <x:v>3º Turno</x:v>
      </x:c>
    </x:row>
    <x:row r="460">
      <x:c r="A460" s="83" t="n">
        <x:v>459</x:v>
      </x:c>
      <x:c r="B460" s="84" t="n">
        <x:v>12</x:v>
      </x:c>
      <x:c r="C460" s="84" t="n">
        <x:v>739</x:v>
      </x:c>
      <x:c r="D460" s="89" t="n">
        <x:v>45114.78423611111</x:v>
      </x:c>
      <x:c r="E460" s="89" t="n">
        <x:v>45115.141875</x:v>
      </x:c>
      <x:c r="F460" s="84" t="n">
        <x:v>515</x:v>
      </x:c>
      <x:c r="G460" s="84" t="n">
        <x:v>1</x:v>
      </x:c>
      <x:c r="H460" s="84" t="str">
        <x:v>Vazamento</x:v>
      </x:c>
      <x:c r="I460" s="84" t="n">
        <x:v>1133</x:v>
      </x:c>
      <x:c r="J460" s="93" t="n">
        <x:v>20790.75</x:v>
      </x:c>
      <x:c r="K460" s="85" t="str">
        <x:v>2º Turno</x:v>
      </x:c>
    </x:row>
    <x:row r="461">
      <x:c r="A461" s="83" t="n">
        <x:v>460</x:v>
      </x:c>
      <x:c r="B461" s="84" t="n">
        <x:v>63</x:v>
      </x:c>
      <x:c r="C461" s="84" t="n">
        <x:v>740</x:v>
      </x:c>
      <x:c r="D461" s="89" t="n">
        <x:v>45034.559537037036</x:v>
      </x:c>
      <x:c r="E461" s="89" t="n">
        <x:v>45034.83592592592</x:v>
      </x:c>
      <x:c r="F461" s="84" t="n">
        <x:v>398</x:v>
      </x:c>
      <x:c r="G461" s="84" t="n">
        <x:v>0</x:v>
      </x:c>
      <x:c r="H461" s="84" t="str">
        <x:v>Superaquecimento</x:v>
      </x:c>
      <x:c r="I461" s="84" t="n">
        <x:v>703</x:v>
      </x:c>
      <x:c r="J461" s="93" t="n">
        <x:v>18221.76</x:v>
      </x:c>
      <x:c r="K461" s="85" t="str">
        <x:v>2º Turno</x:v>
      </x:c>
    </x:row>
    <x:row r="462">
      <x:c r="A462" s="83" t="n">
        <x:v>461</x:v>
      </x:c>
      <x:c r="B462" s="84" t="n">
        <x:v>75</x:v>
      </x:c>
      <x:c r="C462" s="84" t="n">
        <x:v>741</x:v>
      </x:c>
      <x:c r="D462" s="89" t="n">
        <x:v>45114.290300925924</x:v>
      </x:c>
      <x:c r="E462" s="89" t="n">
        <x:v>45114.63474537037</x:v>
      </x:c>
      <x:c r="F462" s="84" t="n">
        <x:v>496</x:v>
      </x:c>
      <x:c r="G462" s="84" t="n">
        <x:v>1</x:v>
      </x:c>
      <x:c r="H462" s="84" t="str">
        <x:v>Superaquecimento</x:v>
      </x:c>
      <x:c r="I462" s="84" t="n">
        <x:v>1108</x:v>
      </x:c>
      <x:c r="J462" s="93" t="n">
        <x:v>14912.57</x:v>
      </x:c>
      <x:c r="K462" s="85" t="str">
        <x:v>3º Turno</x:v>
      </x:c>
    </x:row>
    <x:row r="463">
      <x:c r="A463" s="83" t="n">
        <x:v>462</x:v>
      </x:c>
      <x:c r="B463" s="84" t="n">
        <x:v>13</x:v>
      </x:c>
      <x:c r="C463" s="84" t="n">
        <x:v>745</x:v>
      </x:c>
      <x:c r="D463" s="89" t="n">
        <x:v>45246.01476851852</x:v>
      </x:c>
      <x:c r="E463" s="89" t="n">
        <x:v>45246.49324074074</x:v>
      </x:c>
      <x:c r="F463" s="84" t="n">
        <x:v>689</x:v>
      </x:c>
      <x:c r="G463" s="84" t="n">
        <x:v>0</x:v>
      </x:c>
      <x:c r="H463" s="84" t="str">
        <x:v>Falha elétrica</x:v>
      </x:c>
      <x:c r="I463" s="84" t="n">
        <x:v>1722</x:v>
      </x:c>
      <x:c r="J463" s="93" t="n">
        <x:v>21058.9</x:v>
      </x:c>
      <x:c r="K463" s="85" t="str">
        <x:v>3º Turno</x:v>
      </x:c>
    </x:row>
    <x:row r="464">
      <x:c r="A464" s="83" t="n">
        <x:v>463</x:v>
      </x:c>
      <x:c r="B464" s="84" t="n">
        <x:v>42</x:v>
      </x:c>
      <x:c r="C464" s="84" t="n">
        <x:v>747</x:v>
      </x:c>
      <x:c r="D464" s="89" t="n">
        <x:v>45127.51478009259</x:v>
      </x:c>
      <x:c r="E464" s="89" t="n">
        <x:v>45127.760613425926</x:v>
      </x:c>
      <x:c r="F464" s="84" t="n">
        <x:v>354</x:v>
      </x:c>
      <x:c r="G464" s="84" t="n">
        <x:v>0</x:v>
      </x:c>
      <x:c r="H464" s="84" t="str">
        <x:v>Ruído anormal</x:v>
      </x:c>
      <x:c r="I464" s="84" t="n">
        <x:v>590</x:v>
      </x:c>
      <x:c r="J464" s="93" t="n">
        <x:v>8691.14</x:v>
      </x:c>
      <x:c r="K464" s="85" t="str">
        <x:v>2º Turno</x:v>
      </x:c>
    </x:row>
    <x:row r="465">
      <x:c r="A465" s="83" t="n">
        <x:v>464</x:v>
      </x:c>
      <x:c r="B465" s="84" t="n">
        <x:v>23</x:v>
      </x:c>
      <x:c r="C465" s="84" t="n">
        <x:v>749</x:v>
      </x:c>
      <x:c r="D465" s="89" t="n">
        <x:v>45909.37329861111</x:v>
      </x:c>
      <x:c r="E465" s="89" t="n">
        <x:v>45909.7121875</x:v>
      </x:c>
      <x:c r="F465" s="84" t="n">
        <x:v>488</x:v>
      </x:c>
      <x:c r="G465" s="84" t="n">
        <x:v>0</x:v>
      </x:c>
      <x:c r="H465" s="84" t="str">
        <x:v>Alarme intermitente</x:v>
      </x:c>
      <x:c r="I465" s="84" t="n">
        <x:v>976</x:v>
      </x:c>
      <x:c r="J465" s="93" t="n">
        <x:v>27807.89</x:v>
      </x:c>
      <x:c r="K465" s="85" t="str">
        <x:v>1º Turno</x:v>
      </x:c>
    </x:row>
    <x:row r="466">
      <x:c r="A466" s="83" t="n">
        <x:v>465</x:v>
      </x:c>
      <x:c r="B466" s="84" t="n">
        <x:v>27</x:v>
      </x:c>
      <x:c r="C466" s="84" t="n">
        <x:v>750</x:v>
      </x:c>
      <x:c r="D466" s="89" t="n">
        <x:v>45609.03444444444</x:v>
      </x:c>
      <x:c r="E466" s="89" t="n">
        <x:v>45609.13097222222</x:v>
      </x:c>
      <x:c r="F466" s="84" t="n">
        <x:v>139</x:v>
      </x:c>
      <x:c r="G466" s="84" t="n">
        <x:v>1</x:v>
      </x:c>
      <x:c r="H466" s="84" t="str">
        <x:v>Baixa pressão</x:v>
      </x:c>
      <x:c r="I466" s="84" t="n">
        <x:v>338</x:v>
      </x:c>
      <x:c r="J466" s="93" t="n">
        <x:v>5026.61</x:v>
      </x:c>
      <x:c r="K466" s="85" t="str">
        <x:v>2º Turno</x:v>
      </x:c>
    </x:row>
    <x:row r="467">
      <x:c r="A467" s="83" t="n">
        <x:v>466</x:v>
      </x:c>
      <x:c r="B467" s="84" t="n">
        <x:v>86</x:v>
      </x:c>
      <x:c r="C467" s="84" t="n">
        <x:v>751</x:v>
      </x:c>
      <x:c r="D467" s="89" t="n">
        <x:v>45418.76648148148</x:v>
      </x:c>
      <x:c r="E467" s="89" t="n">
        <x:v>45419.02481481482</x:v>
      </x:c>
      <x:c r="F467" s="84" t="n">
        <x:v>372</x:v>
      </x:c>
      <x:c r="G467" s="84" t="n">
        <x:v>1</x:v>
      </x:c>
      <x:c r="H467" s="84" t="str">
        <x:v>Superaquecimento</x:v>
      </x:c>
      <x:c r="I467" s="84" t="n">
        <x:v>453</x:v>
      </x:c>
      <x:c r="J467" s="93" t="n">
        <x:v>20655.78</x:v>
      </x:c>
      <x:c r="K467" s="85" t="str">
        <x:v>3º Turno</x:v>
      </x:c>
    </x:row>
    <x:row r="468">
      <x:c r="A468" s="83" t="n">
        <x:v>467</x:v>
      </x:c>
      <x:c r="B468" s="84" t="n">
        <x:v>28</x:v>
      </x:c>
      <x:c r="C468" s="84" t="n">
        <x:v>752</x:v>
      </x:c>
      <x:c r="D468" s="89" t="n">
        <x:v>45725.07418981481</x:v>
      </x:c>
      <x:c r="E468" s="89" t="n">
        <x:v>45725.48668981482</x:v>
      </x:c>
      <x:c r="F468" s="84" t="n">
        <x:v>594</x:v>
      </x:c>
      <x:c r="G468" s="84" t="n">
        <x:v>0</x:v>
      </x:c>
      <x:c r="H468" s="84" t="str">
        <x:v>Ruído anormal</x:v>
      </x:c>
      <x:c r="I468" s="84" t="n">
        <x:v>842</x:v>
      </x:c>
      <x:c r="J468" s="93" t="n">
        <x:v>14277.87</x:v>
      </x:c>
      <x:c r="K468" s="85" t="str">
        <x:v>3º Turno</x:v>
      </x:c>
    </x:row>
    <x:row r="469">
      <x:c r="A469" s="83" t="n">
        <x:v>468</x:v>
      </x:c>
      <x:c r="B469" s="84" t="n">
        <x:v>39</x:v>
      </x:c>
      <x:c r="C469" s="84" t="n">
        <x:v>753</x:v>
      </x:c>
      <x:c r="D469" s="89" t="n">
        <x:v>45564.45458333333</x:v>
      </x:c>
      <x:c r="E469" s="89" t="n">
        <x:v>45564.65875</x:v>
      </x:c>
      <x:c r="F469" s="84" t="n">
        <x:v>294</x:v>
      </x:c>
      <x:c r="G469" s="84" t="n">
        <x:v>1</x:v>
      </x:c>
      <x:c r="H469" s="84" t="str">
        <x:v>Ruído anormal</x:v>
      </x:c>
      <x:c r="I469" s="84" t="n">
        <x:v>333</x:v>
      </x:c>
      <x:c r="J469" s="93" t="n">
        <x:v>15088.33</x:v>
      </x:c>
      <x:c r="K469" s="85" t="str">
        <x:v>1º Turno</x:v>
      </x:c>
    </x:row>
    <x:row r="470">
      <x:c r="A470" s="83" t="n">
        <x:v>469</x:v>
      </x:c>
      <x:c r="B470" s="84" t="n">
        <x:v>64</x:v>
      </x:c>
      <x:c r="C470" s="84" t="n">
        <x:v>754</x:v>
      </x:c>
      <x:c r="D470" s="89" t="n">
        <x:v>45070.97818287037</x:v>
      </x:c>
      <x:c r="E470" s="89" t="n">
        <x:v>45071.37887731481</x:v>
      </x:c>
      <x:c r="F470" s="84" t="n">
        <x:v>577</x:v>
      </x:c>
      <x:c r="G470" s="84" t="n">
        <x:v>1</x:v>
      </x:c>
      <x:c r="H470" s="84" t="str">
        <x:v>Ruído anormal</x:v>
      </x:c>
      <x:c r="I470" s="84" t="n">
        <x:v>1106</x:v>
      </x:c>
      <x:c r="J470" s="93" t="n">
        <x:v>31613.92</x:v>
      </x:c>
      <x:c r="K470" s="85" t="str">
        <x:v>3º Turno</x:v>
      </x:c>
    </x:row>
    <x:row r="471">
      <x:c r="A471" s="83" t="n">
        <x:v>470</x:v>
      </x:c>
      <x:c r="B471" s="84" t="n">
        <x:v>85</x:v>
      </x:c>
      <x:c r="C471" s="84" t="n">
        <x:v>755</x:v>
      </x:c>
      <x:c r="D471" s="89" t="n">
        <x:v>45744.05332175926</x:v>
      </x:c>
      <x:c r="E471" s="89" t="n">
        <x:v>45744.18665509259</x:v>
      </x:c>
      <x:c r="F471" s="84" t="n">
        <x:v>192</x:v>
      </x:c>
      <x:c r="G471" s="84" t="n">
        <x:v>0</x:v>
      </x:c>
      <x:c r="H471" s="84" t="str">
        <x:v>Desalinhamento</x:v>
      </x:c>
      <x:c r="I471" s="84" t="n">
        <x:v>400</x:v>
      </x:c>
      <x:c r="J471" s="93" t="n">
        <x:v>3096.25</x:v>
      </x:c>
      <x:c r="K471" s="85" t="str">
        <x:v>1º Turno</x:v>
      </x:c>
    </x:row>
    <x:row r="472">
      <x:c r="A472" s="83" t="n">
        <x:v>471</x:v>
      </x:c>
      <x:c r="B472" s="84" t="n">
        <x:v>42</x:v>
      </x:c>
      <x:c r="C472" s="84" t="n">
        <x:v>756</x:v>
      </x:c>
      <x:c r="D472" s="89" t="n">
        <x:v>45497.58190972222</x:v>
      </x:c>
      <x:c r="E472" s="89" t="n">
        <x:v>45497.89579861111</x:v>
      </x:c>
      <x:c r="F472" s="84" t="n">
        <x:v>452</x:v>
      </x:c>
      <x:c r="G472" s="84" t="n">
        <x:v>1</x:v>
      </x:c>
      <x:c r="H472" s="84" t="str">
        <x:v>Falha elétrica</x:v>
      </x:c>
      <x:c r="I472" s="84" t="n">
        <x:v>1047</x:v>
      </x:c>
      <x:c r="J472" s="93" t="n">
        <x:v>10965.57</x:v>
      </x:c>
      <x:c r="K472" s="85" t="str">
        <x:v>3º Turno</x:v>
      </x:c>
    </x:row>
    <x:row r="473">
      <x:c r="A473" s="83" t="n">
        <x:v>472</x:v>
      </x:c>
      <x:c r="B473" s="84" t="n">
        <x:v>57</x:v>
      </x:c>
      <x:c r="C473" s="84" t="n">
        <x:v>757</x:v>
      </x:c>
      <x:c r="D473" s="89" t="n">
        <x:v>45172.72369212963</x:v>
      </x:c>
      <x:c r="E473" s="89" t="n">
        <x:v>45173.204247685186</x:v>
      </x:c>
      <x:c r="F473" s="84" t="n">
        <x:v>692</x:v>
      </x:c>
      <x:c r="G473" s="84" t="n">
        <x:v>1</x:v>
      </x:c>
      <x:c r="H473" s="84" t="str">
        <x:v>Desalinhamento</x:v>
      </x:c>
      <x:c r="I473" s="84" t="n">
        <x:v>911</x:v>
      </x:c>
      <x:c r="J473" s="93" t="n">
        <x:v>26580.6</x:v>
      </x:c>
      <x:c r="K473" s="85" t="str">
        <x:v>3º Turno</x:v>
      </x:c>
    </x:row>
    <x:row r="474">
      <x:c r="A474" s="83" t="n">
        <x:v>473</x:v>
      </x:c>
      <x:c r="B474" s="84" t="n">
        <x:v>32</x:v>
      </x:c>
      <x:c r="C474" s="84" t="n">
        <x:v>758</x:v>
      </x:c>
      <x:c r="D474" s="89" t="n">
        <x:v>45239.84425925926</x:v>
      </x:c>
      <x:c r="E474" s="89" t="n">
        <x:v>45240.16509259259</x:v>
      </x:c>
      <x:c r="F474" s="84" t="n">
        <x:v>462</x:v>
      </x:c>
      <x:c r="G474" s="84" t="n">
        <x:v>1</x:v>
      </x:c>
      <x:c r="H474" s="84" t="str">
        <x:v>Falha elétrica</x:v>
      </x:c>
      <x:c r="I474" s="84" t="n">
        <x:v>862</x:v>
      </x:c>
      <x:c r="J474" s="93" t="n">
        <x:v>16610.3</x:v>
      </x:c>
      <x:c r="K474" s="85" t="str">
        <x:v>3º Turno</x:v>
      </x:c>
    </x:row>
    <x:row r="475">
      <x:c r="A475" s="83" t="n">
        <x:v>474</x:v>
      </x:c>
      <x:c r="B475" s="84" t="n">
        <x:v>32</x:v>
      </x:c>
      <x:c r="C475" s="84" t="n">
        <x:v>759</x:v>
      </x:c>
      <x:c r="D475" s="89" t="n">
        <x:v>45250.83293981481</x:v>
      </x:c>
      <x:c r="E475" s="89" t="n">
        <x:v>45251.10585648148</x:v>
      </x:c>
      <x:c r="F475" s="84" t="n">
        <x:v>393</x:v>
      </x:c>
      <x:c r="G475" s="84" t="n">
        <x:v>1</x:v>
      </x:c>
      <x:c r="H475" s="84" t="str">
        <x:v>Superaquecimento</x:v>
      </x:c>
      <x:c r="I475" s="84" t="n">
        <x:v>458</x:v>
      </x:c>
      <x:c r="J475" s="93" t="n">
        <x:v>13833.25</x:v>
      </x:c>
      <x:c r="K475" s="85" t="str">
        <x:v>1º Turno</x:v>
      </x:c>
    </x:row>
    <x:row r="476">
      <x:c r="A476" s="83" t="n">
        <x:v>475</x:v>
      </x:c>
      <x:c r="B476" s="84" t="n">
        <x:v>25</x:v>
      </x:c>
      <x:c r="C476" s="84" t="n">
        <x:v>760</x:v>
      </x:c>
      <x:c r="D476" s="89" t="n">
        <x:v>45435.10869212963</x:v>
      </x:c>
      <x:c r="E476" s="89" t="n">
        <x:v>45435.164247685185</x:v>
      </x:c>
      <x:c r="F476" s="84" t="n">
        <x:v>80</x:v>
      </x:c>
      <x:c r="G476" s="84" t="n">
        <x:v>1</x:v>
      </x:c>
      <x:c r="H476" s="84" t="str">
        <x:v>Superaquecimento</x:v>
      </x:c>
      <x:c r="I476" s="84" t="n">
        <x:v>123</x:v>
      </x:c>
      <x:c r="J476" s="93" t="n">
        <x:v>2971.3</x:v>
      </x:c>
      <x:c r="K476" s="85" t="str">
        <x:v>2º Turno</x:v>
      </x:c>
    </x:row>
    <x:row r="477">
      <x:c r="A477" s="83" t="n">
        <x:v>476</x:v>
      </x:c>
      <x:c r="B477" s="84" t="n">
        <x:v>9</x:v>
      </x:c>
      <x:c r="C477" s="84" t="n">
        <x:v>762</x:v>
      </x:c>
      <x:c r="D477" s="89" t="n">
        <x:v>45336.23763888889</x:v>
      </x:c>
      <x:c r="E477" s="89" t="n">
        <x:v>45336.33972222222</x:v>
      </x:c>
      <x:c r="F477" s="84" t="n">
        <x:v>147</x:v>
      </x:c>
      <x:c r="G477" s="84" t="n">
        <x:v>1</x:v>
      </x:c>
      <x:c r="H477" s="84" t="str">
        <x:v>Superaquecimento</x:v>
      </x:c>
      <x:c r="I477" s="84" t="n">
        <x:v>181</x:v>
      </x:c>
      <x:c r="J477" s="93" t="n">
        <x:v>7441.45</x:v>
      </x:c>
      <x:c r="K477" s="85" t="str">
        <x:v>2º Turno</x:v>
      </x:c>
    </x:row>
    <x:row r="478">
      <x:c r="A478" s="83" t="n">
        <x:v>477</x:v>
      </x:c>
      <x:c r="B478" s="84" t="n">
        <x:v>53</x:v>
      </x:c>
      <x:c r="C478" s="84" t="n">
        <x:v>763</x:v>
      </x:c>
      <x:c r="D478" s="89" t="n">
        <x:v>45254.610185185185</x:v>
      </x:c>
      <x:c r="E478" s="89" t="n">
        <x:v>45255.15046296296</x:v>
      </x:c>
      <x:c r="F478" s="84" t="n">
        <x:v>778</x:v>
      </x:c>
      <x:c r="G478" s="84" t="n">
        <x:v>1</x:v>
      </x:c>
      <x:c r="H478" s="84" t="str">
        <x:v>Vazamento</x:v>
      </x:c>
      <x:c r="I478" s="84" t="n">
        <x:v>1569</x:v>
      </x:c>
      <x:c r="J478" s="93" t="n">
        <x:v>23906.75</x:v>
      </x:c>
      <x:c r="K478" s="85" t="str">
        <x:v>2º Turno</x:v>
      </x:c>
    </x:row>
    <x:row r="479">
      <x:c r="A479" s="83" t="n">
        <x:v>478</x:v>
      </x:c>
      <x:c r="B479" s="84" t="n">
        <x:v>37</x:v>
      </x:c>
      <x:c r="C479" s="84" t="n">
        <x:v>765</x:v>
      </x:c>
      <x:c r="D479" s="89" t="n">
        <x:v>45128.238703703704</x:v>
      </x:c>
      <x:c r="E479" s="89" t="n">
        <x:v>45128.372037037036</x:v>
      </x:c>
      <x:c r="F479" s="84" t="n">
        <x:v>192</x:v>
      </x:c>
      <x:c r="G479" s="84" t="n">
        <x:v>1</x:v>
      </x:c>
      <x:c r="H479" s="84" t="str">
        <x:v>Alarme intermitente</x:v>
      </x:c>
      <x:c r="I479" s="84" t="n">
        <x:v>438</x:v>
      </x:c>
      <x:c r="J479" s="93" t="n">
        <x:v>5722.62</x:v>
      </x:c>
      <x:c r="K479" s="85" t="str">
        <x:v>1º Turno</x:v>
      </x:c>
    </x:row>
    <x:row r="480">
      <x:c r="A480" s="83" t="n">
        <x:v>479</x:v>
      </x:c>
      <x:c r="B480" s="84" t="n">
        <x:v>27</x:v>
      </x:c>
      <x:c r="C480" s="84" t="n">
        <x:v>766</x:v>
      </x:c>
      <x:c r="D480" s="89" t="n">
        <x:v>45290.545625</x:v>
      </x:c>
      <x:c r="E480" s="89" t="n">
        <x:v>45291.06854166667</x:v>
      </x:c>
      <x:c r="F480" s="84" t="n">
        <x:v>753</x:v>
      </x:c>
      <x:c r="G480" s="84" t="n">
        <x:v>1</x:v>
      </x:c>
      <x:c r="H480" s="84" t="str">
        <x:v>Vazamento</x:v>
      </x:c>
      <x:c r="I480" s="84" t="n">
        <x:v>866</x:v>
      </x:c>
      <x:c r="J480" s="93" t="n">
        <x:v>12454.85</x:v>
      </x:c>
      <x:c r="K480" s="85" t="str">
        <x:v>3º Turno</x:v>
      </x:c>
    </x:row>
    <x:row r="481">
      <x:c r="A481" s="83" t="n">
        <x:v>480</x:v>
      </x:c>
      <x:c r="B481" s="84" t="n">
        <x:v>80</x:v>
      </x:c>
      <x:c r="C481" s="84" t="n">
        <x:v>767</x:v>
      </x:c>
      <x:c r="D481" s="89" t="n">
        <x:v>45559.24306712963</x:v>
      </x:c>
      <x:c r="E481" s="89" t="n">
        <x:v>45559.45417824074</x:v>
      </x:c>
      <x:c r="F481" s="84" t="n">
        <x:v>304</x:v>
      </x:c>
      <x:c r="G481" s="84" t="n">
        <x:v>0</x:v>
      </x:c>
      <x:c r="H481" s="84" t="str">
        <x:v>Superaquecimento</x:v>
      </x:c>
      <x:c r="I481" s="84" t="n">
        <x:v>689</x:v>
      </x:c>
      <x:c r="J481" s="93" t="n">
        <x:v>9310.66</x:v>
      </x:c>
      <x:c r="K481" s="85" t="str">
        <x:v>3º Turno</x:v>
      </x:c>
    </x:row>
    <x:row r="482">
      <x:c r="A482" s="83" t="n">
        <x:v>481</x:v>
      </x:c>
      <x:c r="B482" s="84" t="n">
        <x:v>14</x:v>
      </x:c>
      <x:c r="C482" s="84" t="n">
        <x:v>768</x:v>
      </x:c>
      <x:c r="D482" s="89" t="n">
        <x:v>45337.62310185185</x:v>
      </x:c>
      <x:c r="E482" s="89" t="n">
        <x:v>45338.04046296296</x:v>
      </x:c>
      <x:c r="F482" s="84" t="n">
        <x:v>601</x:v>
      </x:c>
      <x:c r="G482" s="84" t="n">
        <x:v>1</x:v>
      </x:c>
      <x:c r="H482" s="84" t="str">
        <x:v>Vazamento</x:v>
      </x:c>
      <x:c r="I482" s="84" t="n">
        <x:v>1503</x:v>
      </x:c>
      <x:c r="J482" s="93" t="n">
        <x:v>16510.19</x:v>
      </x:c>
      <x:c r="K482" s="85" t="str">
        <x:v>1º Turno</x:v>
      </x:c>
    </x:row>
    <x:row r="483">
      <x:c r="A483" s="83" t="n">
        <x:v>482</x:v>
      </x:c>
      <x:c r="B483" s="84" t="n">
        <x:v>8</x:v>
      </x:c>
      <x:c r="C483" s="84" t="n">
        <x:v>769</x:v>
      </x:c>
      <x:c r="D483" s="89" t="n">
        <x:v>45970.69037037037</x:v>
      </x:c>
      <x:c r="E483" s="89" t="n">
        <x:v>45970.766064814816</x:v>
      </x:c>
      <x:c r="F483" s="84" t="n">
        <x:v>109</x:v>
      </x:c>
      <x:c r="G483" s="84" t="n">
        <x:v>0</x:v>
      </x:c>
      <x:c r="H483" s="84" t="str">
        <x:v>Desalinhamento</x:v>
      </x:c>
      <x:c r="I483" s="84" t="n">
        <x:v>209</x:v>
      </x:c>
      <x:c r="J483" s="93" t="n">
        <x:v>6158.33</x:v>
      </x:c>
      <x:c r="K483" s="85" t="str">
        <x:v>3º Turno</x:v>
      </x:c>
    </x:row>
    <x:row r="484">
      <x:c r="A484" s="83" t="n">
        <x:v>483</x:v>
      </x:c>
      <x:c r="B484" s="84" t="n">
        <x:v>1</x:v>
      </x:c>
      <x:c r="C484" s="84" t="n">
        <x:v>770</x:v>
      </x:c>
      <x:c r="D484" s="89" t="n">
        <x:v>45813.80876157407</x:v>
      </x:c>
      <x:c r="E484" s="89" t="n">
        <x:v>45814.358761574076</x:v>
      </x:c>
      <x:c r="F484" s="84" t="n">
        <x:v>792</x:v>
      </x:c>
      <x:c r="G484" s="84" t="n">
        <x:v>0</x:v>
      </x:c>
      <x:c r="H484" s="84" t="str">
        <x:v>Baixa pressão</x:v>
      </x:c>
      <x:c r="I484" s="84" t="n">
        <x:v>1320</x:v>
      </x:c>
      <x:c r="J484" s="93" t="n">
        <x:v>42471.2</x:v>
      </x:c>
      <x:c r="K484" s="85" t="str">
        <x:v>2º Turno</x:v>
      </x:c>
    </x:row>
    <x:row r="485">
      <x:c r="A485" s="83" t="n">
        <x:v>484</x:v>
      </x:c>
      <x:c r="B485" s="84" t="n">
        <x:v>37</x:v>
      </x:c>
      <x:c r="C485" s="84" t="n">
        <x:v>772</x:v>
      </x:c>
      <x:c r="D485" s="89" t="n">
        <x:v>45257.19354166667</x:v>
      </x:c>
      <x:c r="E485" s="89" t="n">
        <x:v>45257.439375</x:v>
      </x:c>
      <x:c r="F485" s="84" t="n">
        <x:v>354</x:v>
      </x:c>
      <x:c r="G485" s="84" t="n">
        <x:v>1</x:v>
      </x:c>
      <x:c r="H485" s="84" t="str">
        <x:v>Falha elétrica</x:v>
      </x:c>
      <x:c r="I485" s="84" t="n">
        <x:v>755</x:v>
      </x:c>
      <x:c r="J485" s="93" t="n">
        <x:v>17478.16</x:v>
      </x:c>
      <x:c r="K485" s="85" t="str">
        <x:v>2º Turno</x:v>
      </x:c>
    </x:row>
    <x:row r="486">
      <x:c r="A486" s="83" t="n">
        <x:v>485</x:v>
      </x:c>
      <x:c r="B486" s="84" t="n">
        <x:v>77</x:v>
      </x:c>
      <x:c r="C486" s="84" t="n">
        <x:v>775</x:v>
      </x:c>
      <x:c r="D486" s="89" t="n">
        <x:v>45722.71925925926</x:v>
      </x:c>
      <x:c r="E486" s="89" t="n">
        <x:v>45723.02342592592</x:v>
      </x:c>
      <x:c r="F486" s="84" t="n">
        <x:v>438</x:v>
      </x:c>
      <x:c r="G486" s="84" t="n">
        <x:v>1</x:v>
      </x:c>
      <x:c r="H486" s="84" t="str">
        <x:v>Superaquecimento</x:v>
      </x:c>
      <x:c r="I486" s="84" t="n">
        <x:v>562</x:v>
      </x:c>
      <x:c r="J486" s="93" t="n">
        <x:v>24804.52</x:v>
      </x:c>
      <x:c r="K486" s="85" t="str">
        <x:v>3º Turno</x:v>
      </x:c>
    </x:row>
    <x:row r="487">
      <x:c r="A487" s="83" t="n">
        <x:v>486</x:v>
      </x:c>
      <x:c r="B487" s="84" t="n">
        <x:v>1</x:v>
      </x:c>
      <x:c r="C487" s="84" t="n">
        <x:v>778</x:v>
      </x:c>
      <x:c r="D487" s="89" t="n">
        <x:v>45479.10857638889</x:v>
      </x:c>
      <x:c r="E487" s="89" t="n">
        <x:v>45479.18982638889</x:v>
      </x:c>
      <x:c r="F487" s="84" t="n">
        <x:v>117</x:v>
      </x:c>
      <x:c r="G487" s="84" t="n">
        <x:v>0</x:v>
      </x:c>
      <x:c r="H487" s="84" t="str">
        <x:v>Baixa pressão</x:v>
      </x:c>
      <x:c r="I487" s="84" t="n">
        <x:v>176</x:v>
      </x:c>
      <x:c r="J487" s="93" t="n">
        <x:v>6732.07</x:v>
      </x:c>
      <x:c r="K487" s="85" t="str">
        <x:v>2º Turno</x:v>
      </x:c>
    </x:row>
    <x:row r="488">
      <x:c r="A488" s="83" t="n">
        <x:v>487</x:v>
      </x:c>
      <x:c r="B488" s="84" t="n">
        <x:v>16</x:v>
      </x:c>
      <x:c r="C488" s="84" t="n">
        <x:v>780</x:v>
      </x:c>
      <x:c r="D488" s="89" t="n">
        <x:v>45711.311006944445</x:v>
      </x:c>
      <x:c r="E488" s="89" t="n">
        <x:v>45711.74920138889</x:v>
      </x:c>
      <x:c r="F488" s="84" t="n">
        <x:v>631</x:v>
      </x:c>
      <x:c r="G488" s="84" t="n">
        <x:v>1</x:v>
      </x:c>
      <x:c r="H488" s="84" t="str">
        <x:v>Falha elétrica</x:v>
      </x:c>
      <x:c r="I488" s="84" t="n">
        <x:v>1514</x:v>
      </x:c>
      <x:c r="J488" s="93" t="n">
        <x:v>26734.45</x:v>
      </x:c>
      <x:c r="K488" s="85" t="str">
        <x:v>2º Turno</x:v>
      </x:c>
    </x:row>
    <x:row r="489">
      <x:c r="A489" s="83" t="n">
        <x:v>488</x:v>
      </x:c>
      <x:c r="B489" s="84" t="n">
        <x:v>82</x:v>
      </x:c>
      <x:c r="C489" s="84" t="n">
        <x:v>781</x:v>
      </x:c>
      <x:c r="D489" s="89" t="n">
        <x:v>45769.007523148146</x:v>
      </x:c>
      <x:c r="E489" s="89" t="n">
        <x:v>45769.48738425926</x:v>
      </x:c>
      <x:c r="F489" s="84" t="n">
        <x:v>691</x:v>
      </x:c>
      <x:c r="G489" s="84" t="n">
        <x:v>0</x:v>
      </x:c>
      <x:c r="H489" s="84" t="str">
        <x:v>Baixa pressão</x:v>
      </x:c>
      <x:c r="I489" s="84" t="n">
        <x:v>1152</x:v>
      </x:c>
      <x:c r="J489" s="93" t="n">
        <x:v>35695.83</x:v>
      </x:c>
      <x:c r="K489" s="85" t="str">
        <x:v>3º Turno</x:v>
      </x:c>
    </x:row>
    <x:row r="490">
      <x:c r="A490" s="83" t="n">
        <x:v>489</x:v>
      </x:c>
      <x:c r="B490" s="84" t="n">
        <x:v>37</x:v>
      </x:c>
      <x:c r="C490" s="84" t="n">
        <x:v>782</x:v>
      </x:c>
      <x:c r="D490" s="89" t="n">
        <x:v>45517.091458333336</x:v>
      </x:c>
      <x:c r="E490" s="89" t="n">
        <x:v>45517.483125</x:v>
      </x:c>
      <x:c r="F490" s="84" t="n">
        <x:v>564</x:v>
      </x:c>
      <x:c r="G490" s="84" t="n">
        <x:v>1</x:v>
      </x:c>
      <x:c r="H490" s="84" t="str">
        <x:v>Vazamento</x:v>
      </x:c>
      <x:c r="I490" s="84" t="n">
        <x:v>1184</x:v>
      </x:c>
      <x:c r="J490" s="93" t="n">
        <x:v>13412.86</x:v>
      </x:c>
      <x:c r="K490" s="85" t="str">
        <x:v>1º Turno</x:v>
      </x:c>
    </x:row>
    <x:row r="491">
      <x:c r="A491" s="83" t="n">
        <x:v>490</x:v>
      </x:c>
      <x:c r="B491" s="84" t="n">
        <x:v>85</x:v>
      </x:c>
      <x:c r="C491" s="84" t="n">
        <x:v>785</x:v>
      </x:c>
      <x:c r="D491" s="89" t="n">
        <x:v>45855.02612268519</x:v>
      </x:c>
      <x:c r="E491" s="89" t="n">
        <x:v>45855.5622337963</x:v>
      </x:c>
      <x:c r="F491" s="84" t="n">
        <x:v>772</x:v>
      </x:c>
      <x:c r="G491" s="84" t="n">
        <x:v>1</x:v>
      </x:c>
      <x:c r="H491" s="84" t="str">
        <x:v>Superaquecimento</x:v>
      </x:c>
      <x:c r="I491" s="84" t="n">
        <x:v>1145</x:v>
      </x:c>
      <x:c r="J491" s="93" t="n">
        <x:v>41536.73</x:v>
      </x:c>
      <x:c r="K491" s="85" t="str">
        <x:v>1º Turno</x:v>
      </x:c>
    </x:row>
    <x:row r="492">
      <x:c r="A492" s="83" t="n">
        <x:v>491</x:v>
      </x:c>
      <x:c r="B492" s="84" t="n">
        <x:v>10</x:v>
      </x:c>
      <x:c r="C492" s="84" t="n">
        <x:v>786</x:v>
      </x:c>
      <x:c r="D492" s="89" t="n">
        <x:v>45587.75104166667</x:v>
      </x:c>
      <x:c r="E492" s="89" t="n">
        <x:v>45587.87326388889</x:v>
      </x:c>
      <x:c r="F492" s="84" t="n">
        <x:v>176</x:v>
      </x:c>
      <x:c r="G492" s="84" t="n">
        <x:v>0</x:v>
      </x:c>
      <x:c r="H492" s="84" t="str">
        <x:v>Vazamento</x:v>
      </x:c>
      <x:c r="I492" s="84" t="n">
        <x:v>308</x:v>
      </x:c>
      <x:c r="J492" s="93" t="n">
        <x:v>4069.82</x:v>
      </x:c>
      <x:c r="K492" s="85" t="str">
        <x:v>1º Turno</x:v>
      </x:c>
    </x:row>
    <x:row r="493">
      <x:c r="A493" s="83" t="n">
        <x:v>492</x:v>
      </x:c>
      <x:c r="B493" s="84" t="n">
        <x:v>5</x:v>
      </x:c>
      <x:c r="C493" s="84" t="n">
        <x:v>788</x:v>
      </x:c>
      <x:c r="D493" s="89" t="n">
        <x:v>45235.5747337963</x:v>
      </x:c>
      <x:c r="E493" s="89" t="n">
        <x:v>45235.63445601852</x:v>
      </x:c>
      <x:c r="F493" s="84" t="n">
        <x:v>86</x:v>
      </x:c>
      <x:c r="G493" s="84" t="n">
        <x:v>0</x:v>
      </x:c>
      <x:c r="H493" s="84" t="str">
        <x:v>Ruído anormal</x:v>
      </x:c>
      <x:c r="I493" s="84" t="n">
        <x:v>208</x:v>
      </x:c>
      <x:c r="J493" s="93" t="n">
        <x:v>1381.55</x:v>
      </x:c>
      <x:c r="K493" s="85" t="str">
        <x:v>1º Turno</x:v>
      </x:c>
    </x:row>
    <x:row r="494">
      <x:c r="A494" s="83" t="n">
        <x:v>493</x:v>
      </x:c>
      <x:c r="B494" s="84" t="n">
        <x:v>61</x:v>
      </x:c>
      <x:c r="C494" s="84" t="n">
        <x:v>791</x:v>
      </x:c>
      <x:c r="D494" s="89" t="n">
        <x:v>44955.625925925924</x:v>
      </x:c>
      <x:c r="E494" s="89" t="n">
        <x:v>44955.77453703704</x:v>
      </x:c>
      <x:c r="F494" s="84" t="n">
        <x:v>214</x:v>
      </x:c>
      <x:c r="G494" s="84" t="n">
        <x:v>1</x:v>
      </x:c>
      <x:c r="H494" s="84" t="str">
        <x:v>Baixa pressão</x:v>
      </x:c>
      <x:c r="I494" s="84" t="n">
        <x:v>506</x:v>
      </x:c>
      <x:c r="J494" s="93" t="n">
        <x:v>4056.45</x:v>
      </x:c>
      <x:c r="K494" s="85" t="str">
        <x:v>3º Turno</x:v>
      </x:c>
    </x:row>
    <x:row r="495">
      <x:c r="A495" s="83" t="n">
        <x:v>494</x:v>
      </x:c>
      <x:c r="B495" s="84" t="n">
        <x:v>37</x:v>
      </x:c>
      <x:c r="C495" s="84" t="n">
        <x:v>792</x:v>
      </x:c>
      <x:c r="D495" s="89" t="n">
        <x:v>45080.701527777775</x:v>
      </x:c>
      <x:c r="E495" s="89" t="n">
        <x:v>45081.127916666665</x:v>
      </x:c>
      <x:c r="F495" s="84" t="n">
        <x:v>614</x:v>
      </x:c>
      <x:c r="G495" s="84" t="n">
        <x:v>1</x:v>
      </x:c>
      <x:c r="H495" s="84" t="str">
        <x:v>Vazamento</x:v>
      </x:c>
      <x:c r="I495" s="84" t="n">
        <x:v>798</x:v>
      </x:c>
      <x:c r="J495" s="93" t="n">
        <x:v>17405.35</x:v>
      </x:c>
      <x:c r="K495" s="85" t="str">
        <x:v>3º Turno</x:v>
      </x:c>
    </x:row>
    <x:row r="496">
      <x:c r="A496" s="83" t="n">
        <x:v>495</x:v>
      </x:c>
      <x:c r="B496" s="84" t="n">
        <x:v>44</x:v>
      </x:c>
      <x:c r="C496" s="84" t="n">
        <x:v>793</x:v>
      </x:c>
      <x:c r="D496" s="89" t="n">
        <x:v>45210.27079861111</x:v>
      </x:c>
      <x:c r="E496" s="89" t="n">
        <x:v>45210.89302083333</x:v>
      </x:c>
      <x:c r="F496" s="84" t="n">
        <x:v>896</x:v>
      </x:c>
      <x:c r="G496" s="84" t="n">
        <x:v>1</x:v>
      </x:c>
      <x:c r="H496" s="84" t="str">
        <x:v>Baixa pressão</x:v>
      </x:c>
      <x:c r="I496" s="84" t="n">
        <x:v>1389</x:v>
      </x:c>
      <x:c r="J496" s="93" t="n">
        <x:v>48246.51</x:v>
      </x:c>
      <x:c r="K496" s="85" t="str">
        <x:v>1º Turno</x:v>
      </x:c>
    </x:row>
    <x:row r="497">
      <x:c r="A497" s="83" t="n">
        <x:v>496</x:v>
      </x:c>
      <x:c r="B497" s="84" t="n">
        <x:v>39</x:v>
      </x:c>
      <x:c r="C497" s="84" t="n">
        <x:v>794</x:v>
      </x:c>
      <x:c r="D497" s="89" t="n">
        <x:v>45006.04429398148</x:v>
      </x:c>
      <x:c r="E497" s="89" t="n">
        <x:v>45006.188043981485</x:v>
      </x:c>
      <x:c r="F497" s="84" t="n">
        <x:v>207</x:v>
      </x:c>
      <x:c r="G497" s="84" t="n">
        <x:v>0</x:v>
      </x:c>
      <x:c r="H497" s="84" t="str">
        <x:v>Superaquecimento</x:v>
      </x:c>
      <x:c r="I497" s="84" t="n">
        <x:v>345</x:v>
      </x:c>
      <x:c r="J497" s="93" t="n">
        <x:v>6318.43</x:v>
      </x:c>
      <x:c r="K497" s="85" t="str">
        <x:v>3º Turno</x:v>
      </x:c>
    </x:row>
    <x:row r="498">
      <x:c r="A498" s="83" t="n">
        <x:v>497</x:v>
      </x:c>
      <x:c r="B498" s="84" t="n">
        <x:v>1</x:v>
      </x:c>
      <x:c r="C498" s="84" t="n">
        <x:v>795</x:v>
      </x:c>
      <x:c r="D498" s="89" t="n">
        <x:v>45553.71403935185</x:v>
      </x:c>
      <x:c r="E498" s="89" t="n">
        <x:v>45554.260567129626</x:v>
      </x:c>
      <x:c r="F498" s="84" t="n">
        <x:v>787</x:v>
      </x:c>
      <x:c r="G498" s="84" t="n">
        <x:v>1</x:v>
      </x:c>
      <x:c r="H498" s="84" t="str">
        <x:v>Ruído anormal</x:v>
      </x:c>
      <x:c r="I498" s="84" t="n">
        <x:v>1194</x:v>
      </x:c>
      <x:c r="J498" s="93" t="n">
        <x:v>34920.12</x:v>
      </x:c>
      <x:c r="K498" s="85" t="str">
        <x:v>3º Turno</x:v>
      </x:c>
    </x:row>
    <x:row r="499">
      <x:c r="A499" s="83" t="n">
        <x:v>498</x:v>
      </x:c>
      <x:c r="B499" s="84" t="n">
        <x:v>6</x:v>
      </x:c>
      <x:c r="C499" s="84" t="n">
        <x:v>797</x:v>
      </x:c>
      <x:c r="D499" s="89" t="n">
        <x:v>45577.604108796295</x:v>
      </x:c>
      <x:c r="E499" s="89" t="n">
        <x:v>45577.69924768519</x:v>
      </x:c>
      <x:c r="F499" s="84" t="n">
        <x:v>137</x:v>
      </x:c>
      <x:c r="G499" s="84" t="n">
        <x:v>1</x:v>
      </x:c>
      <x:c r="H499" s="84" t="str">
        <x:v>Falha elétrica</x:v>
      </x:c>
      <x:c r="I499" s="84" t="n">
        <x:v>178</x:v>
      </x:c>
      <x:c r="J499" s="93" t="n">
        <x:v>5560.17</x:v>
      </x:c>
      <x:c r="K499" s="85" t="str">
        <x:v>3º Turno</x:v>
      </x:c>
    </x:row>
    <x:row r="500">
      <x:c r="A500" s="83" t="n">
        <x:v>499</x:v>
      </x:c>
      <x:c r="B500" s="84" t="n">
        <x:v>21</x:v>
      </x:c>
      <x:c r="C500" s="84" t="n">
        <x:v>800</x:v>
      </x:c>
      <x:c r="D500" s="89" t="n">
        <x:v>44979.035995370374</x:v>
      </x:c>
      <x:c r="E500" s="89" t="n">
        <x:v>44979.606828703705</x:v>
      </x:c>
      <x:c r="F500" s="84" t="n">
        <x:v>822</x:v>
      </x:c>
      <x:c r="G500" s="84" t="n">
        <x:v>0</x:v>
      </x:c>
      <x:c r="H500" s="84" t="str">
        <x:v>Falha elétrica</x:v>
      </x:c>
      <x:c r="I500" s="84" t="n">
        <x:v>945</x:v>
      </x:c>
      <x:c r="J500" s="93" t="n">
        <x:v>40062.24</x:v>
      </x:c>
      <x:c r="K500" s="85" t="str">
        <x:v>2º Turno</x:v>
      </x:c>
    </x:row>
    <x:row r="501">
      <x:c r="A501" s="83" t="n">
        <x:v>500</x:v>
      </x:c>
      <x:c r="B501" s="84" t="n">
        <x:v>44</x:v>
      </x:c>
      <x:c r="C501" s="84" t="n">
        <x:v>801</x:v>
      </x:c>
      <x:c r="D501" s="89" t="n">
        <x:v>45062.449421296296</x:v>
      </x:c>
      <x:c r="E501" s="89" t="n">
        <x:v>45062.515393518515</x:v>
      </x:c>
      <x:c r="F501" s="84" t="n">
        <x:v>95</x:v>
      </x:c>
      <x:c r="G501" s="84" t="n">
        <x:v>0</x:v>
      </x:c>
      <x:c r="H501" s="84" t="str">
        <x:v>Ruído anormal</x:v>
      </x:c>
      <x:c r="I501" s="84" t="n">
        <x:v>144</x:v>
      </x:c>
      <x:c r="J501" s="93" t="n">
        <x:v>4678.29</x:v>
      </x:c>
      <x:c r="K501" s="85" t="str">
        <x:v>2º Turno</x:v>
      </x:c>
    </x:row>
    <x:row r="502">
      <x:c r="A502" s="83" t="n">
        <x:v>501</x:v>
      </x:c>
      <x:c r="B502" s="84" t="n">
        <x:v>71</x:v>
      </x:c>
      <x:c r="C502" s="84" t="n">
        <x:v>804</x:v>
      </x:c>
      <x:c r="D502" s="89" t="n">
        <x:v>45599.09206018518</x:v>
      </x:c>
      <x:c r="E502" s="89" t="n">
        <x:v>45599.66636574074</x:v>
      </x:c>
      <x:c r="F502" s="84" t="n">
        <x:v>827</x:v>
      </x:c>
      <x:c r="G502" s="84" t="n">
        <x:v>0</x:v>
      </x:c>
      <x:c r="H502" s="84" t="str">
        <x:v>Ruído anormal</x:v>
      </x:c>
      <x:c r="I502" s="84" t="n">
        <x:v>1006</x:v>
      </x:c>
      <x:c r="J502" s="93" t="n">
        <x:v>12822.26</x:v>
      </x:c>
      <x:c r="K502" s="85" t="str">
        <x:v>2º Turno</x:v>
      </x:c>
    </x:row>
    <x:row r="503">
      <x:c r="A503" s="83" t="n">
        <x:v>502</x:v>
      </x:c>
      <x:c r="B503" s="84" t="n">
        <x:v>73</x:v>
      </x:c>
      <x:c r="C503" s="84" t="n">
        <x:v>805</x:v>
      </x:c>
      <x:c r="D503" s="89" t="n">
        <x:v>45460.40752314815</x:v>
      </x:c>
      <x:c r="E503" s="89" t="n">
        <x:v>45460.581828703704</x:v>
      </x:c>
      <x:c r="F503" s="84" t="n">
        <x:v>251</x:v>
      </x:c>
      <x:c r="G503" s="84" t="n">
        <x:v>0</x:v>
      </x:c>
      <x:c r="H503" s="84" t="str">
        <x:v>Vazamento</x:v>
      </x:c>
      <x:c r="I503" s="84" t="n">
        <x:v>301</x:v>
      </x:c>
      <x:c r="J503" s="93" t="n">
        <x:v>3396.25</x:v>
      </x:c>
      <x:c r="K503" s="85" t="str">
        <x:v>3º Turno</x:v>
      </x:c>
    </x:row>
    <x:row r="504">
      <x:c r="A504" s="83" t="n">
        <x:v>503</x:v>
      </x:c>
      <x:c r="B504" s="84" t="n">
        <x:v>16</x:v>
      </x:c>
      <x:c r="C504" s="84" t="n">
        <x:v>806</x:v>
      </x:c>
      <x:c r="D504" s="89" t="n">
        <x:v>45240.31863425926</x:v>
      </x:c>
      <x:c r="E504" s="89" t="n">
        <x:v>45240.42627314815</x:v>
      </x:c>
      <x:c r="F504" s="84" t="n">
        <x:v>155</x:v>
      </x:c>
      <x:c r="G504" s="84" t="n">
        <x:v>1</x:v>
      </x:c>
      <x:c r="H504" s="84" t="str">
        <x:v>Alarme intermitente</x:v>
      </x:c>
      <x:c r="I504" s="84" t="n">
        <x:v>173</x:v>
      </x:c>
      <x:c r="J504" s="93" t="n">
        <x:v>2619.19</x:v>
      </x:c>
      <x:c r="K504" s="85" t="str">
        <x:v>3º Turno</x:v>
      </x:c>
    </x:row>
    <x:row r="505">
      <x:c r="A505" s="83" t="n">
        <x:v>504</x:v>
      </x:c>
      <x:c r="B505" s="84" t="n">
        <x:v>51</x:v>
      </x:c>
      <x:c r="C505" s="84" t="n">
        <x:v>807</x:v>
      </x:c>
      <x:c r="D505" s="89" t="n">
        <x:v>45660.40498842593</x:v>
      </x:c>
      <x:c r="E505" s="89" t="n">
        <x:v>45660.60568287037</x:v>
      </x:c>
      <x:c r="F505" s="84" t="n">
        <x:v>289</x:v>
      </x:c>
      <x:c r="G505" s="84" t="n">
        <x:v>0</x:v>
      </x:c>
      <x:c r="H505" s="84" t="str">
        <x:v>Superaquecimento</x:v>
      </x:c>
      <x:c r="I505" s="84" t="n">
        <x:v>462</x:v>
      </x:c>
      <x:c r="J505" s="93" t="n">
        <x:v>10791.87</x:v>
      </x:c>
      <x:c r="K505" s="85" t="str">
        <x:v>1º Turno</x:v>
      </x:c>
    </x:row>
    <x:row r="506">
      <x:c r="A506" s="83" t="n">
        <x:v>505</x:v>
      </x:c>
      <x:c r="B506" s="84" t="n">
        <x:v>24</x:v>
      </x:c>
      <x:c r="C506" s="84" t="n">
        <x:v>808</x:v>
      </x:c>
      <x:c r="D506" s="89" t="n">
        <x:v>45842.94752314815</x:v>
      </x:c>
      <x:c r="E506" s="89" t="n">
        <x:v>45843.14891203704</x:v>
      </x:c>
      <x:c r="F506" s="84" t="n">
        <x:v>290</x:v>
      </x:c>
      <x:c r="G506" s="84" t="n">
        <x:v>0</x:v>
      </x:c>
      <x:c r="H506" s="84" t="str">
        <x:v>Superaquecimento</x:v>
      </x:c>
      <x:c r="I506" s="84" t="n">
        <x:v>483</x:v>
      </x:c>
      <x:c r="J506" s="93" t="n">
        <x:v>8850.31</x:v>
      </x:c>
      <x:c r="K506" s="85" t="str">
        <x:v>2º Turno</x:v>
      </x:c>
    </x:row>
    <x:row r="507">
      <x:c r="A507" s="83" t="n">
        <x:v>506</x:v>
      </x:c>
      <x:c r="B507" s="84" t="n">
        <x:v>85</x:v>
      </x:c>
      <x:c r="C507" s="84" t="n">
        <x:v>811</x:v>
      </x:c>
      <x:c r="D507" s="89" t="n">
        <x:v>45690.567453703705</x:v>
      </x:c>
      <x:c r="E507" s="89" t="n">
        <x:v>45690.672314814816</x:v>
      </x:c>
      <x:c r="F507" s="84" t="n">
        <x:v>151</x:v>
      </x:c>
      <x:c r="G507" s="84" t="n">
        <x:v>1</x:v>
      </x:c>
      <x:c r="H507" s="84" t="str">
        <x:v>Desalinhamento</x:v>
      </x:c>
      <x:c r="I507" s="84" t="n">
        <x:v>375</x:v>
      </x:c>
      <x:c r="J507" s="93" t="n">
        <x:v>7361.76</x:v>
      </x:c>
      <x:c r="K507" s="85" t="str">
        <x:v>1º Turno</x:v>
      </x:c>
    </x:row>
    <x:row r="508">
      <x:c r="A508" s="83" t="n">
        <x:v>507</x:v>
      </x:c>
      <x:c r="B508" s="84" t="n">
        <x:v>80</x:v>
      </x:c>
      <x:c r="C508" s="84" t="n">
        <x:v>812</x:v>
      </x:c>
      <x:c r="D508" s="89" t="n">
        <x:v>45751.916979166665</x:v>
      </x:c>
      <x:c r="E508" s="89" t="n">
        <x:v>45752.00309027778</x:v>
      </x:c>
      <x:c r="F508" s="84" t="n">
        <x:v>124</x:v>
      </x:c>
      <x:c r="G508" s="84" t="n">
        <x:v>1</x:v>
      </x:c>
      <x:c r="H508" s="84" t="str">
        <x:v>Vazamento</x:v>
      </x:c>
      <x:c r="I508" s="84" t="n">
        <x:v>163</x:v>
      </x:c>
      <x:c r="J508" s="93" t="n">
        <x:v>2226.51</x:v>
      </x:c>
      <x:c r="K508" s="85" t="str">
        <x:v>3º Turno</x:v>
      </x:c>
    </x:row>
    <x:row r="509">
      <x:c r="A509" s="83" t="n">
        <x:v>508</x:v>
      </x:c>
      <x:c r="B509" s="84" t="n">
        <x:v>70</x:v>
      </x:c>
      <x:c r="C509" s="84" t="n">
        <x:v>814</x:v>
      </x:c>
      <x:c r="D509" s="89" t="n">
        <x:v>46009.88422453704</x:v>
      </x:c>
      <x:c r="E509" s="89" t="n">
        <x:v>46010.17380787037</x:v>
      </x:c>
      <x:c r="F509" s="84" t="n">
        <x:v>417</x:v>
      </x:c>
      <x:c r="G509" s="84" t="n">
        <x:v>1</x:v>
      </x:c>
      <x:c r="H509" s="84" t="str">
        <x:v>Desalinhamento</x:v>
      </x:c>
      <x:c r="I509" s="84" t="n">
        <x:v>632</x:v>
      </x:c>
      <x:c r="J509" s="93" t="n">
        <x:v>23125.54</x:v>
      </x:c>
      <x:c r="K509" s="85" t="str">
        <x:v>3º Turno</x:v>
      </x:c>
    </x:row>
    <x:row r="510">
      <x:c r="A510" s="83" t="n">
        <x:v>509</x:v>
      </x:c>
      <x:c r="B510" s="84" t="n">
        <x:v>88</x:v>
      </x:c>
      <x:c r="C510" s="84" t="n">
        <x:v>816</x:v>
      </x:c>
      <x:c r="D510" s="89" t="n">
        <x:v>45015.36960648148</x:v>
      </x:c>
      <x:c r="E510" s="89" t="n">
        <x:v>45015.71127314815</x:v>
      </x:c>
      <x:c r="F510" s="84" t="n">
        <x:v>492</x:v>
      </x:c>
      <x:c r="G510" s="84" t="n">
        <x:v>0</x:v>
      </x:c>
      <x:c r="H510" s="84" t="str">
        <x:v>Vazamento</x:v>
      </x:c>
      <x:c r="I510" s="84" t="n">
        <x:v>951</x:v>
      </x:c>
      <x:c r="J510" s="93" t="n">
        <x:v>17761.24</x:v>
      </x:c>
      <x:c r="K510" s="85" t="str">
        <x:v>3º Turno</x:v>
      </x:c>
    </x:row>
    <x:row r="511">
      <x:c r="A511" s="83" t="n">
        <x:v>510</x:v>
      </x:c>
      <x:c r="B511" s="84" t="n">
        <x:v>19</x:v>
      </x:c>
      <x:c r="C511" s="84" t="n">
        <x:v>817</x:v>
      </x:c>
      <x:c r="D511" s="89" t="n">
        <x:v>45639.45179398148</x:v>
      </x:c>
      <x:c r="E511" s="89" t="n">
        <x:v>45639.63512731482</x:v>
      </x:c>
      <x:c r="F511" s="84" t="n">
        <x:v>264</x:v>
      </x:c>
      <x:c r="G511" s="84" t="n">
        <x:v>1</x:v>
      </x:c>
      <x:c r="H511" s="84" t="str">
        <x:v>Falha elétrica</x:v>
      </x:c>
      <x:c r="I511" s="84" t="n">
        <x:v>418</x:v>
      </x:c>
      <x:c r="J511" s="93" t="n">
        <x:v>12682.27</x:v>
      </x:c>
      <x:c r="K511" s="85" t="str">
        <x:v>2º Turno</x:v>
      </x:c>
    </x:row>
    <x:row r="512">
      <x:c r="A512" s="83" t="n">
        <x:v>511</x:v>
      </x:c>
      <x:c r="B512" s="84" t="n">
        <x:v>80</x:v>
      </x:c>
      <x:c r="C512" s="84" t="n">
        <x:v>818</x:v>
      </x:c>
      <x:c r="D512" s="89" t="n">
        <x:v>45148.532638888886</x:v>
      </x:c>
      <x:c r="E512" s="89" t="n">
        <x:v>45149.08125</x:v>
      </x:c>
      <x:c r="F512" s="84" t="n">
        <x:v>790</x:v>
      </x:c>
      <x:c r="G512" s="84" t="n">
        <x:v>1</x:v>
      </x:c>
      <x:c r="H512" s="84" t="str">
        <x:v>Vazamento</x:v>
      </x:c>
      <x:c r="I512" s="84" t="n">
        <x:v>1962</x:v>
      </x:c>
      <x:c r="J512" s="93" t="n">
        <x:v>37333.83</x:v>
      </x:c>
      <x:c r="K512" s="85" t="str">
        <x:v>1º Turno</x:v>
      </x:c>
    </x:row>
    <x:row r="513">
      <x:c r="A513" s="83" t="n">
        <x:v>512</x:v>
      </x:c>
      <x:c r="B513" s="84" t="n">
        <x:v>73</x:v>
      </x:c>
      <x:c r="C513" s="84" t="n">
        <x:v>819</x:v>
      </x:c>
      <x:c r="D513" s="89" t="n">
        <x:v>45956.30458333333</x:v>
      </x:c>
      <x:c r="E513" s="89" t="n">
        <x:v>45956.38861111111</x:v>
      </x:c>
      <x:c r="F513" s="84" t="n">
        <x:v>121</x:v>
      </x:c>
      <x:c r="G513" s="84" t="n">
        <x:v>1</x:v>
      </x:c>
      <x:c r="H513" s="84" t="str">
        <x:v>Ruído anormal</x:v>
      </x:c>
      <x:c r="I513" s="84" t="n">
        <x:v>246</x:v>
      </x:c>
      <x:c r="J513" s="93" t="n">
        <x:v>5891.24</x:v>
      </x:c>
      <x:c r="K513" s="85" t="str">
        <x:v>2º Turno</x:v>
      </x:c>
    </x:row>
    <x:row r="514">
      <x:c r="A514" s="83" t="n">
        <x:v>513</x:v>
      </x:c>
      <x:c r="B514" s="84" t="n">
        <x:v>59</x:v>
      </x:c>
      <x:c r="C514" s="84" t="n">
        <x:v>823</x:v>
      </x:c>
      <x:c r="D514" s="89" t="n">
        <x:v>46016.861666666664</x:v>
      </x:c>
      <x:c r="E514" s="89" t="n">
        <x:v>46017.05263888889</x:v>
      </x:c>
      <x:c r="F514" s="84" t="n">
        <x:v>275</x:v>
      </x:c>
      <x:c r="G514" s="84" t="n">
        <x:v>1</x:v>
      </x:c>
      <x:c r="H514" s="84" t="str">
        <x:v>Desalinhamento</x:v>
      </x:c>
      <x:c r="I514" s="84" t="n">
        <x:v>545</x:v>
      </x:c>
      <x:c r="J514" s="93" t="n">
        <x:v>5480.08</x:v>
      </x:c>
      <x:c r="K514" s="85" t="str">
        <x:v>3º Turno</x:v>
      </x:c>
    </x:row>
    <x:row r="515">
      <x:c r="A515" s="83" t="n">
        <x:v>514</x:v>
      </x:c>
      <x:c r="B515" s="84" t="n">
        <x:v>17</x:v>
      </x:c>
      <x:c r="C515" s="84" t="n">
        <x:v>824</x:v>
      </x:c>
      <x:c r="D515" s="89" t="n">
        <x:v>44993.0850462963</x:v>
      </x:c>
      <x:c r="E515" s="89" t="n">
        <x:v>44993.131574074076</x:v>
      </x:c>
      <x:c r="F515" s="84" t="n">
        <x:v>67</x:v>
      </x:c>
      <x:c r="G515" s="84" t="n">
        <x:v>0</x:v>
      </x:c>
      <x:c r="H515" s="84" t="str">
        <x:v>Baixa pressão</x:v>
      </x:c>
      <x:c r="I515" s="84" t="n">
        <x:v>152</x:v>
      </x:c>
      <x:c r="J515" s="93" t="n">
        <x:v>3566.65</x:v>
      </x:c>
      <x:c r="K515" s="85" t="str">
        <x:v>1º Turno</x:v>
      </x:c>
    </x:row>
    <x:row r="516">
      <x:c r="A516" s="83" t="n">
        <x:v>515</x:v>
      </x:c>
      <x:c r="B516" s="84" t="n">
        <x:v>8</x:v>
      </x:c>
      <x:c r="C516" s="84" t="n">
        <x:v>826</x:v>
      </x:c>
      <x:c r="D516" s="89" t="n">
        <x:v>45964.525625</x:v>
      </x:c>
      <x:c r="E516" s="89" t="n">
        <x:v>45964.570763888885</x:v>
      </x:c>
      <x:c r="F516" s="84" t="n">
        <x:v>65</x:v>
      </x:c>
      <x:c r="G516" s="84" t="n">
        <x:v>1</x:v>
      </x:c>
      <x:c r="H516" s="84" t="str">
        <x:v>Superaquecimento</x:v>
      </x:c>
      <x:c r="I516" s="84" t="n">
        <x:v>94</x:v>
      </x:c>
      <x:c r="J516" s="93" t="n">
        <x:v>2007.82</x:v>
      </x:c>
      <x:c r="K516" s="85" t="str">
        <x:v>3º Turno</x:v>
      </x:c>
    </x:row>
    <x:row r="517">
      <x:c r="A517" s="83" t="n">
        <x:v>516</x:v>
      </x:c>
      <x:c r="B517" s="84" t="n">
        <x:v>19</x:v>
      </x:c>
      <x:c r="C517" s="84" t="n">
        <x:v>827</x:v>
      </x:c>
      <x:c r="D517" s="89" t="n">
        <x:v>45602.47938657407</x:v>
      </x:c>
      <x:c r="E517" s="89" t="n">
        <x:v>45602.79883101852</x:v>
      </x:c>
      <x:c r="F517" s="84" t="n">
        <x:v>460</x:v>
      </x:c>
      <x:c r="G517" s="84" t="n">
        <x:v>1</x:v>
      </x:c>
      <x:c r="H517" s="84" t="str">
        <x:v>Falha elétrica</x:v>
      </x:c>
      <x:c r="I517" s="84" t="n">
        <x:v>797</x:v>
      </x:c>
      <x:c r="J517" s="93" t="n">
        <x:v>24102.96</x:v>
      </x:c>
      <x:c r="K517" s="85" t="str">
        <x:v>3º Turno</x:v>
      </x:c>
    </x:row>
    <x:row r="518">
      <x:c r="A518" s="83" t="n">
        <x:v>517</x:v>
      </x:c>
      <x:c r="B518" s="84" t="n">
        <x:v>82</x:v>
      </x:c>
      <x:c r="C518" s="84" t="n">
        <x:v>829</x:v>
      </x:c>
      <x:c r="D518" s="89" t="n">
        <x:v>45970.36802083333</x:v>
      </x:c>
      <x:c r="E518" s="89" t="n">
        <x:v>45970.50760416667</x:v>
      </x:c>
      <x:c r="F518" s="84" t="n">
        <x:v>201</x:v>
      </x:c>
      <x:c r="G518" s="84" t="n">
        <x:v>1</x:v>
      </x:c>
      <x:c r="H518" s="84" t="str">
        <x:v>Ruído anormal</x:v>
      </x:c>
      <x:c r="I518" s="84" t="n">
        <x:v>365</x:v>
      </x:c>
      <x:c r="J518" s="93" t="n">
        <x:v>4646.44</x:v>
      </x:c>
      <x:c r="K518" s="85" t="str">
        <x:v>3º Turno</x:v>
      </x:c>
    </x:row>
    <x:row r="519">
      <x:c r="A519" s="83" t="n">
        <x:v>518</x:v>
      </x:c>
      <x:c r="B519" s="84" t="n">
        <x:v>83</x:v>
      </x:c>
      <x:c r="C519" s="84" t="n">
        <x:v>830</x:v>
      </x:c>
      <x:c r="D519" s="89" t="n">
        <x:v>45677.48737268519</x:v>
      </x:c>
      <x:c r="E519" s="89" t="n">
        <x:v>45677.84431712963</x:v>
      </x:c>
      <x:c r="F519" s="84" t="n">
        <x:v>514</x:v>
      </x:c>
      <x:c r="G519" s="84" t="n">
        <x:v>1</x:v>
      </x:c>
      <x:c r="H519" s="84" t="str">
        <x:v>Desalinhamento</x:v>
      </x:c>
      <x:c r="I519" s="84" t="n">
        <x:v>1199</x:v>
      </x:c>
      <x:c r="J519" s="93" t="n">
        <x:v>7965.95</x:v>
      </x:c>
      <x:c r="K519" s="85" t="str">
        <x:v>2º Turno</x:v>
      </x:c>
    </x:row>
    <x:row r="520">
      <x:c r="A520" s="83" t="n">
        <x:v>519</x:v>
      </x:c>
      <x:c r="B520" s="84" t="n">
        <x:v>63</x:v>
      </x:c>
      <x:c r="C520" s="84" t="n">
        <x:v>833</x:v>
      </x:c>
      <x:c r="D520" s="89" t="n">
        <x:v>45724.94965277778</x:v>
      </x:c>
      <x:c r="E520" s="89" t="n">
        <x:v>45725.303819444445</x:v>
      </x:c>
      <x:c r="F520" s="84" t="n">
        <x:v>510</x:v>
      </x:c>
      <x:c r="G520" s="84" t="n">
        <x:v>1</x:v>
      </x:c>
      <x:c r="H520" s="84" t="str">
        <x:v>Alarme intermitente</x:v>
      </x:c>
      <x:c r="I520" s="84" t="n">
        <x:v>960</x:v>
      </x:c>
      <x:c r="J520" s="93" t="n">
        <x:v>17151.83</x:v>
      </x:c>
      <x:c r="K520" s="85" t="str">
        <x:v>3º Turno</x:v>
      </x:c>
    </x:row>
    <x:row r="521">
      <x:c r="A521" s="83" t="n">
        <x:v>520</x:v>
      </x:c>
      <x:c r="B521" s="84" t="n">
        <x:v>84</x:v>
      </x:c>
      <x:c r="C521" s="84" t="n">
        <x:v>834</x:v>
      </x:c>
      <x:c r="D521" s="89" t="n">
        <x:v>45014.73043981481</x:v>
      </x:c>
      <x:c r="E521" s="89" t="n">
        <x:v>45015.058217592596</x:v>
      </x:c>
      <x:c r="F521" s="84" t="n">
        <x:v>472</x:v>
      </x:c>
      <x:c r="G521" s="84" t="n">
        <x:v>1</x:v>
      </x:c>
      <x:c r="H521" s="84" t="str">
        <x:v>Desalinhamento</x:v>
      </x:c>
      <x:c r="I521" s="84" t="n">
        <x:v>1101</x:v>
      </x:c>
      <x:c r="J521" s="93" t="n">
        <x:v>8823.6</x:v>
      </x:c>
      <x:c r="K521" s="85" t="str">
        <x:v>1º Turno</x:v>
      </x:c>
    </x:row>
    <x:row r="522">
      <x:c r="A522" s="83" t="n">
        <x:v>521</x:v>
      </x:c>
      <x:c r="B522" s="84" t="n">
        <x:v>12</x:v>
      </x:c>
      <x:c r="C522" s="84" t="n">
        <x:v>835</x:v>
      </x:c>
      <x:c r="D522" s="89" t="n">
        <x:v>45181.604050925926</x:v>
      </x:c>
      <x:c r="E522" s="89" t="n">
        <x:v>45181.825578703705</x:v>
      </x:c>
      <x:c r="F522" s="84" t="n">
        <x:v>319</x:v>
      </x:c>
      <x:c r="G522" s="84" t="n">
        <x:v>1</x:v>
      </x:c>
      <x:c r="H522" s="84" t="str">
        <x:v>Ruído anormal</x:v>
      </x:c>
      <x:c r="I522" s="84" t="n">
        <x:v>431</x:v>
      </x:c>
      <x:c r="J522" s="93" t="n">
        <x:v>17391.42</x:v>
      </x:c>
      <x:c r="K522" s="85" t="str">
        <x:v>3º Turno</x:v>
      </x:c>
    </x:row>
    <x:row r="523">
      <x:c r="A523" s="83" t="n">
        <x:v>522</x:v>
      </x:c>
      <x:c r="B523" s="84" t="n">
        <x:v>6</x:v>
      </x:c>
      <x:c r="C523" s="84" t="n">
        <x:v>836</x:v>
      </x:c>
      <x:c r="D523" s="89" t="n">
        <x:v>45893.44732638889</x:v>
      </x:c>
      <x:c r="E523" s="89" t="n">
        <x:v>45894.05913194444</x:v>
      </x:c>
      <x:c r="F523" s="84" t="n">
        <x:v>881</x:v>
      </x:c>
      <x:c r="G523" s="84" t="n">
        <x:v>1</x:v>
      </x:c>
      <x:c r="H523" s="84" t="str">
        <x:v>Baixa pressão</x:v>
      </x:c>
      <x:c r="I523" s="84" t="n">
        <x:v>1645</x:v>
      </x:c>
      <x:c r="J523" s="93" t="n">
        <x:v>49364.58</x:v>
      </x:c>
      <x:c r="K523" s="85" t="str">
        <x:v>3º Turno</x:v>
      </x:c>
    </x:row>
    <x:row r="524">
      <x:c r="A524" s="83" t="n">
        <x:v>523</x:v>
      </x:c>
      <x:c r="B524" s="84" t="n">
        <x:v>58</x:v>
      </x:c>
      <x:c r="C524" s="84" t="n">
        <x:v>837</x:v>
      </x:c>
      <x:c r="D524" s="89" t="n">
        <x:v>45823.23253472222</x:v>
      </x:c>
      <x:c r="E524" s="89" t="n">
        <x:v>45823.319340277776</x:v>
      </x:c>
      <x:c r="F524" s="84" t="n">
        <x:v>125</x:v>
      </x:c>
      <x:c r="G524" s="84" t="n">
        <x:v>0</x:v>
      </x:c>
      <x:c r="H524" s="84" t="str">
        <x:v>Alarme intermitente</x:v>
      </x:c>
      <x:c r="I524" s="84" t="n">
        <x:v>290</x:v>
      </x:c>
      <x:c r="J524" s="93" t="n">
        <x:v>2216.93</x:v>
      </x:c>
      <x:c r="K524" s="85" t="str">
        <x:v>3º Turno</x:v>
      </x:c>
    </x:row>
    <x:row r="525">
      <x:c r="A525" s="83" t="n">
        <x:v>524</x:v>
      </x:c>
      <x:c r="B525" s="84" t="n">
        <x:v>60</x:v>
      </x:c>
      <x:c r="C525" s="84" t="n">
        <x:v>839</x:v>
      </x:c>
      <x:c r="D525" s="89" t="n">
        <x:v>45454.2430787037</x:v>
      </x:c>
      <x:c r="E525" s="89" t="n">
        <x:v>45454.37710648148</x:v>
      </x:c>
      <x:c r="F525" s="84" t="n">
        <x:v>193</x:v>
      </x:c>
      <x:c r="G525" s="84" t="n">
        <x:v>1</x:v>
      </x:c>
      <x:c r="H525" s="84" t="str">
        <x:v>Desalinhamento</x:v>
      </x:c>
      <x:c r="I525" s="84" t="n">
        <x:v>309</x:v>
      </x:c>
      <x:c r="J525" s="93" t="n">
        <x:v>2623.79</x:v>
      </x:c>
      <x:c r="K525" s="85" t="str">
        <x:v>3º Turno</x:v>
      </x:c>
    </x:row>
    <x:row r="526">
      <x:c r="A526" s="83" t="n">
        <x:v>525</x:v>
      </x:c>
      <x:c r="B526" s="84" t="n">
        <x:v>62</x:v>
      </x:c>
      <x:c r="C526" s="84" t="n">
        <x:v>840</x:v>
      </x:c>
      <x:c r="D526" s="89" t="n">
        <x:v>44963.14840277778</x:v>
      </x:c>
      <x:c r="E526" s="89" t="n">
        <x:v>44963.412986111114</x:v>
      </x:c>
      <x:c r="F526" s="84" t="n">
        <x:v>381</x:v>
      </x:c>
      <x:c r="G526" s="84" t="n">
        <x:v>1</x:v>
      </x:c>
      <x:c r="H526" s="84" t="str">
        <x:v>Baixa pressão</x:v>
      </x:c>
      <x:c r="I526" s="84" t="n">
        <x:v>838</x:v>
      </x:c>
      <x:c r="J526" s="93" t="n">
        <x:v>12200.98</x:v>
      </x:c>
      <x:c r="K526" s="85" t="str">
        <x:v>2º Turno</x:v>
      </x:c>
    </x:row>
    <x:row r="527">
      <x:c r="A527" s="83" t="n">
        <x:v>526</x:v>
      </x:c>
      <x:c r="B527" s="84" t="n">
        <x:v>7</x:v>
      </x:c>
      <x:c r="C527" s="84" t="n">
        <x:v>841</x:v>
      </x:c>
      <x:c r="D527" s="89" t="n">
        <x:v>45586.59568287037</x:v>
      </x:c>
      <x:c r="E527" s="89" t="n">
        <x:v>45586.96026620371</x:v>
      </x:c>
      <x:c r="F527" s="84" t="n">
        <x:v>525</x:v>
      </x:c>
      <x:c r="G527" s="84" t="n">
        <x:v>0</x:v>
      </x:c>
      <x:c r="H527" s="84" t="str">
        <x:v>Falha elétrica</x:v>
      </x:c>
      <x:c r="I527" s="84" t="n">
        <x:v>735</x:v>
      </x:c>
      <x:c r="J527" s="93" t="n">
        <x:v>18039.34</x:v>
      </x:c>
      <x:c r="K527" s="85" t="str">
        <x:v>2º Turno</x:v>
      </x:c>
    </x:row>
    <x:row r="528">
      <x:c r="A528" s="83" t="n">
        <x:v>527</x:v>
      </x:c>
      <x:c r="B528" s="84" t="n">
        <x:v>47</x:v>
      </x:c>
      <x:c r="C528" s="84" t="n">
        <x:v>842</x:v>
      </x:c>
      <x:c r="D528" s="89" t="n">
        <x:v>45415.721724537034</x:v>
      </x:c>
      <x:c r="E528" s="89" t="n">
        <x:v>45415.95297453704</x:v>
      </x:c>
      <x:c r="F528" s="84" t="n">
        <x:v>333</x:v>
      </x:c>
      <x:c r="G528" s="84" t="n">
        <x:v>1</x:v>
      </x:c>
      <x:c r="H528" s="84" t="str">
        <x:v>Falha elétrica</x:v>
      </x:c>
      <x:c r="I528" s="84" t="n">
        <x:v>544</x:v>
      </x:c>
      <x:c r="J528" s="93" t="n">
        <x:v>15724.58</x:v>
      </x:c>
      <x:c r="K528" s="85" t="str">
        <x:v>2º Turno</x:v>
      </x:c>
    </x:row>
    <x:row r="529">
      <x:c r="A529" s="83" t="n">
        <x:v>528</x:v>
      </x:c>
      <x:c r="B529" s="84" t="n">
        <x:v>70</x:v>
      </x:c>
      <x:c r="C529" s="84" t="n">
        <x:v>843</x:v>
      </x:c>
      <x:c r="D529" s="89" t="n">
        <x:v>45791.17050925926</x:v>
      </x:c>
      <x:c r="E529" s="89" t="n">
        <x:v>45791.510092592594</x:v>
      </x:c>
      <x:c r="F529" s="84" t="n">
        <x:v>489</x:v>
      </x:c>
      <x:c r="G529" s="84" t="n">
        <x:v>1</x:v>
      </x:c>
      <x:c r="H529" s="84" t="str">
        <x:v>Baixa pressão</x:v>
      </x:c>
      <x:c r="I529" s="84" t="n">
        <x:v>1125</x:v>
      </x:c>
      <x:c r="J529" s="93" t="n">
        <x:v>21893.35</x:v>
      </x:c>
      <x:c r="K529" s="85" t="str">
        <x:v>3º Turno</x:v>
      </x:c>
    </x:row>
    <x:row r="530">
      <x:c r="A530" s="83" t="n">
        <x:v>529</x:v>
      </x:c>
      <x:c r="B530" s="84" t="n">
        <x:v>31</x:v>
      </x:c>
      <x:c r="C530" s="84" t="n">
        <x:v>844</x:v>
      </x:c>
      <x:c r="D530" s="89" t="n">
        <x:v>45711.634421296294</x:v>
      </x:c>
      <x:c r="E530" s="89" t="n">
        <x:v>45711.89969907407</x:v>
      </x:c>
      <x:c r="F530" s="84" t="n">
        <x:v>382</x:v>
      </x:c>
      <x:c r="G530" s="84" t="n">
        <x:v>1</x:v>
      </x:c>
      <x:c r="H530" s="84" t="str">
        <x:v>Falha elétrica</x:v>
      </x:c>
      <x:c r="I530" s="84" t="n">
        <x:v>439</x:v>
      </x:c>
      <x:c r="J530" s="93" t="n">
        <x:v>12729.31</x:v>
      </x:c>
      <x:c r="K530" s="85" t="str">
        <x:v>1º Turno</x:v>
      </x:c>
    </x:row>
    <x:row r="531">
      <x:c r="A531" s="83" t="n">
        <x:v>530</x:v>
      </x:c>
      <x:c r="B531" s="84" t="n">
        <x:v>33</x:v>
      </x:c>
      <x:c r="C531" s="84" t="n">
        <x:v>845</x:v>
      </x:c>
      <x:c r="D531" s="89" t="n">
        <x:v>44982.903402777774</x:v>
      </x:c>
      <x:c r="E531" s="89" t="n">
        <x:v>44983.12284722222</x:v>
      </x:c>
      <x:c r="F531" s="84" t="n">
        <x:v>316</x:v>
      </x:c>
      <x:c r="G531" s="84" t="n">
        <x:v>1</x:v>
      </x:c>
      <x:c r="H531" s="84" t="str">
        <x:v>Vazamento</x:v>
      </x:c>
      <x:c r="I531" s="84" t="n">
        <x:v>363</x:v>
      </x:c>
      <x:c r="J531" s="93" t="n">
        <x:v>14646.47</x:v>
      </x:c>
      <x:c r="K531" s="85" t="str">
        <x:v>1º Turno</x:v>
      </x:c>
    </x:row>
    <x:row r="532">
      <x:c r="A532" s="83" t="n">
        <x:v>531</x:v>
      </x:c>
      <x:c r="B532" s="84" t="n">
        <x:v>87</x:v>
      </x:c>
      <x:c r="C532" s="84" t="n">
        <x:v>846</x:v>
      </x:c>
      <x:c r="D532" s="89" t="n">
        <x:v>45619.532476851855</x:v>
      </x:c>
      <x:c r="E532" s="89" t="n">
        <x:v>45619.68247685185</x:v>
      </x:c>
      <x:c r="F532" s="84" t="n">
        <x:v>216</x:v>
      </x:c>
      <x:c r="G532" s="84" t="n">
        <x:v>1</x:v>
      </x:c>
      <x:c r="H532" s="84" t="str">
        <x:v>Falha elétrica</x:v>
      </x:c>
      <x:c r="I532" s="84" t="n">
        <x:v>295</x:v>
      </x:c>
      <x:c r="J532" s="93" t="n">
        <x:v>5154.37</x:v>
      </x:c>
      <x:c r="K532" s="85" t="str">
        <x:v>1º Turno</x:v>
      </x:c>
    </x:row>
    <x:row r="533">
      <x:c r="A533" s="83" t="n">
        <x:v>532</x:v>
      </x:c>
      <x:c r="B533" s="84" t="n">
        <x:v>62</x:v>
      </x:c>
      <x:c r="C533" s="84" t="n">
        <x:v>847</x:v>
      </x:c>
      <x:c r="D533" s="89" t="n">
        <x:v>46005.81728009259</x:v>
      </x:c>
      <x:c r="E533" s="89" t="n">
        <x:v>46006.28880787037</x:v>
      </x:c>
      <x:c r="F533" s="84" t="n">
        <x:v>679</x:v>
      </x:c>
      <x:c r="G533" s="84" t="n">
        <x:v>0</x:v>
      </x:c>
      <x:c r="H533" s="84" t="str">
        <x:v>Superaquecimento</x:v>
      </x:c>
      <x:c r="I533" s="84" t="n">
        <x:v>679</x:v>
      </x:c>
      <x:c r="J533" s="93" t="n">
        <x:v>39281.86</x:v>
      </x:c>
      <x:c r="K533" s="85" t="str">
        <x:v>3º Turno</x:v>
      </x:c>
    </x:row>
    <x:row r="534">
      <x:c r="A534" s="83" t="n">
        <x:v>533</x:v>
      </x:c>
      <x:c r="B534" s="84" t="n">
        <x:v>25</x:v>
      </x:c>
      <x:c r="C534" s="84" t="n">
        <x:v>848</x:v>
      </x:c>
      <x:c r="D534" s="89" t="n">
        <x:v>45120.21059027778</x:v>
      </x:c>
      <x:c r="E534" s="89" t="n">
        <x:v>45120.49253472222</x:v>
      </x:c>
      <x:c r="F534" s="84" t="n">
        <x:v>406</x:v>
      </x:c>
      <x:c r="G534" s="84" t="n">
        <x:v>1</x:v>
      </x:c>
      <x:c r="H534" s="84" t="str">
        <x:v>Vazamento</x:v>
      </x:c>
      <x:c r="I534" s="84" t="n">
        <x:v>460</x:v>
      </x:c>
      <x:c r="J534" s="93" t="n">
        <x:v>12903.67</x:v>
      </x:c>
      <x:c r="K534" s="85" t="str">
        <x:v>2º Turno</x:v>
      </x:c>
    </x:row>
    <x:row r="535">
      <x:c r="A535" s="83" t="n">
        <x:v>534</x:v>
      </x:c>
      <x:c r="B535" s="84" t="n">
        <x:v>23</x:v>
      </x:c>
      <x:c r="C535" s="84" t="n">
        <x:v>849</x:v>
      </x:c>
      <x:c r="D535" s="89" t="n">
        <x:v>45403.89638888889</x:v>
      </x:c>
      <x:c r="E535" s="89" t="n">
        <x:v>45403.9325</x:v>
      </x:c>
      <x:c r="F535" s="84" t="n">
        <x:v>52</x:v>
      </x:c>
      <x:c r="G535" s="84" t="n">
        <x:v>0</x:v>
      </x:c>
      <x:c r="H535" s="84" t="str">
        <x:v>Desalinhamento</x:v>
      </x:c>
      <x:c r="I535" s="84" t="n">
        <x:v>78</x:v>
      </x:c>
      <x:c r="J535" s="93" t="n">
        <x:v>1515.91</x:v>
      </x:c>
      <x:c r="K535" s="85" t="str">
        <x:v>3º Turno</x:v>
      </x:c>
    </x:row>
    <x:row r="536">
      <x:c r="A536" s="83" t="n">
        <x:v>535</x:v>
      </x:c>
      <x:c r="B536" s="84" t="n">
        <x:v>49</x:v>
      </x:c>
      <x:c r="C536" s="84" t="n">
        <x:v>851</x:v>
      </x:c>
      <x:c r="D536" s="89" t="n">
        <x:v>45731.018587962964</x:v>
      </x:c>
      <x:c r="E536" s="89" t="n">
        <x:v>45731.49428240741</x:v>
      </x:c>
      <x:c r="F536" s="84" t="n">
        <x:v>685</x:v>
      </x:c>
      <x:c r="G536" s="84" t="n">
        <x:v>0</x:v>
      </x:c>
      <x:c r="H536" s="84" t="str">
        <x:v>Ruído anormal</x:v>
      </x:c>
      <x:c r="I536" s="84" t="n">
        <x:v>1404</x:v>
      </x:c>
      <x:c r="J536" s="93" t="n">
        <x:v>39217.96</x:v>
      </x:c>
      <x:c r="K536" s="85" t="str">
        <x:v>1º Turno</x:v>
      </x:c>
    </x:row>
    <x:row r="537">
      <x:c r="A537" s="83" t="n">
        <x:v>536</x:v>
      </x:c>
      <x:c r="B537" s="84" t="n">
        <x:v>42</x:v>
      </x:c>
      <x:c r="C537" s="84" t="n">
        <x:v>852</x:v>
      </x:c>
      <x:c r="D537" s="89" t="n">
        <x:v>45061.740636574075</x:v>
      </x:c>
      <x:c r="E537" s="89" t="n">
        <x:v>45062.1378587963</x:v>
      </x:c>
      <x:c r="F537" s="84" t="n">
        <x:v>572</x:v>
      </x:c>
      <x:c r="G537" s="84" t="n">
        <x:v>1</x:v>
      </x:c>
      <x:c r="H537" s="84" t="str">
        <x:v>Vazamento</x:v>
      </x:c>
      <x:c r="I537" s="84" t="n">
        <x:v>810</x:v>
      </x:c>
      <x:c r="J537" s="93" t="n">
        <x:v>24306.61</x:v>
      </x:c>
      <x:c r="K537" s="85" t="str">
        <x:v>1º Turno</x:v>
      </x:c>
    </x:row>
    <x:row r="538">
      <x:c r="A538" s="83" t="n">
        <x:v>537</x:v>
      </x:c>
      <x:c r="B538" s="84" t="n">
        <x:v>46</x:v>
      </x:c>
      <x:c r="C538" s="84" t="n">
        <x:v>853</x:v>
      </x:c>
      <x:c r="D538" s="89" t="n">
        <x:v>45440.324467592596</x:v>
      </x:c>
      <x:c r="E538" s="89" t="n">
        <x:v>45440.83210648148</x:v>
      </x:c>
      <x:c r="F538" s="84" t="n">
        <x:v>731</x:v>
      </x:c>
      <x:c r="G538" s="84" t="n">
        <x:v>1</x:v>
      </x:c>
      <x:c r="H538" s="84" t="str">
        <x:v>Falha elétrica</x:v>
      </x:c>
      <x:c r="I538" s="84" t="n">
        <x:v>1206</x:v>
      </x:c>
      <x:c r="J538" s="93" t="n">
        <x:v>41236.72</x:v>
      </x:c>
      <x:c r="K538" s="85" t="str">
        <x:v>2º Turno</x:v>
      </x:c>
    </x:row>
    <x:row r="539">
      <x:c r="A539" s="83" t="n">
        <x:v>538</x:v>
      </x:c>
      <x:c r="B539" s="84" t="n">
        <x:v>8</x:v>
      </x:c>
      <x:c r="C539" s="84" t="n">
        <x:v>855</x:v>
      </x:c>
      <x:c r="D539" s="89" t="n">
        <x:v>45116.37054398148</x:v>
      </x:c>
      <x:c r="E539" s="89" t="n">
        <x:v>45116.655960648146</x:v>
      </x:c>
      <x:c r="F539" s="84" t="n">
        <x:v>411</x:v>
      </x:c>
      <x:c r="G539" s="84" t="n">
        <x:v>1</x:v>
      </x:c>
      <x:c r="H539" s="84" t="str">
        <x:v>Falha elétrica</x:v>
      </x:c>
      <x:c r="I539" s="84" t="n">
        <x:v>843</x:v>
      </x:c>
      <x:c r="J539" s="93" t="n">
        <x:v>13177.65</x:v>
      </x:c>
      <x:c r="K539" s="85" t="str">
        <x:v>1º Turno</x:v>
      </x:c>
    </x:row>
    <x:row r="540">
      <x:c r="A540" s="83" t="n">
        <x:v>539</x:v>
      </x:c>
      <x:c r="B540" s="84" t="n">
        <x:v>24</x:v>
      </x:c>
      <x:c r="C540" s="84" t="n">
        <x:v>856</x:v>
      </x:c>
      <x:c r="D540" s="89" t="n">
        <x:v>45446.81664351852</x:v>
      </x:c>
      <x:c r="E540" s="89" t="n">
        <x:v>45446.83331018518</x:v>
      </x:c>
      <x:c r="F540" s="84" t="n">
        <x:v>24</x:v>
      </x:c>
      <x:c r="G540" s="84" t="n">
        <x:v>0</x:v>
      </x:c>
      <x:c r="H540" s="84" t="str">
        <x:v>Ruído anormal</x:v>
      </x:c>
      <x:c r="I540" s="84" t="n">
        <x:v>57</x:v>
      </x:c>
      <x:c r="J540" s="93" t="n">
        <x:v>947.09</x:v>
      </x:c>
      <x:c r="K540" s="85" t="str">
        <x:v>3º Turno</x:v>
      </x:c>
    </x:row>
    <x:row r="541">
      <x:c r="A541" s="83" t="n">
        <x:v>540</x:v>
      </x:c>
      <x:c r="B541" s="84" t="n">
        <x:v>70</x:v>
      </x:c>
      <x:c r="C541" s="84" t="n">
        <x:v>858</x:v>
      </x:c>
      <x:c r="D541" s="89" t="n">
        <x:v>45610.600381944445</x:v>
      </x:c>
      <x:c r="E541" s="89" t="n">
        <x:v>45610.6934375</x:v>
      </x:c>
      <x:c r="F541" s="84" t="n">
        <x:v>134</x:v>
      </x:c>
      <x:c r="G541" s="84" t="n">
        <x:v>1</x:v>
      </x:c>
      <x:c r="H541" s="84" t="str">
        <x:v>Ruído anormal</x:v>
      </x:c>
      <x:c r="I541" s="84" t="n">
        <x:v>159</x:v>
      </x:c>
      <x:c r="J541" s="93" t="n">
        <x:v>5423.13</x:v>
      </x:c>
      <x:c r="K541" s="85" t="str">
        <x:v>3º Turno</x:v>
      </x:c>
    </x:row>
    <x:row r="542">
      <x:c r="A542" s="83" t="n">
        <x:v>541</x:v>
      </x:c>
      <x:c r="B542" s="84" t="n">
        <x:v>88</x:v>
      </x:c>
      <x:c r="C542" s="84" t="n">
        <x:v>859</x:v>
      </x:c>
      <x:c r="D542" s="89" t="n">
        <x:v>45846.34028935185</x:v>
      </x:c>
      <x:c r="E542" s="89" t="n">
        <x:v>45846.82292824074</x:v>
      </x:c>
      <x:c r="F542" s="84" t="n">
        <x:v>695</x:v>
      </x:c>
      <x:c r="G542" s="84" t="n">
        <x:v>1</x:v>
      </x:c>
      <x:c r="H542" s="84" t="str">
        <x:v>Ruído anormal</x:v>
      </x:c>
      <x:c r="I542" s="84" t="n">
        <x:v>1622</x:v>
      </x:c>
      <x:c r="J542" s="93" t="n">
        <x:v>30870.17</x:v>
      </x:c>
      <x:c r="K542" s="85" t="str">
        <x:v>1º Turno</x:v>
      </x:c>
    </x:row>
    <x:row r="543">
      <x:c r="A543" s="83" t="n">
        <x:v>542</x:v>
      </x:c>
      <x:c r="B543" s="84" t="n">
        <x:v>34</x:v>
      </x:c>
      <x:c r="C543" s="84" t="n">
        <x:v>860</x:v>
      </x:c>
      <x:c r="D543" s="89" t="n">
        <x:v>45134.39604166667</x:v>
      </x:c>
      <x:c r="E543" s="89" t="n">
        <x:v>45134.50298611111</x:v>
      </x:c>
      <x:c r="F543" s="84" t="n">
        <x:v>154</x:v>
      </x:c>
      <x:c r="G543" s="84" t="n">
        <x:v>1</x:v>
      </x:c>
      <x:c r="H543" s="84" t="str">
        <x:v>Ruído anormal</x:v>
      </x:c>
      <x:c r="I543" s="84" t="n">
        <x:v>259</x:v>
      </x:c>
      <x:c r="J543" s="93" t="n">
        <x:v>8756.3</x:v>
      </x:c>
      <x:c r="K543" s="85" t="str">
        <x:v>3º Turno</x:v>
      </x:c>
    </x:row>
    <x:row r="544">
      <x:c r="A544" s="83" t="n">
        <x:v>543</x:v>
      </x:c>
      <x:c r="B544" s="84" t="n">
        <x:v>56</x:v>
      </x:c>
      <x:c r="C544" s="84" t="n">
        <x:v>862</x:v>
      </x:c>
      <x:c r="D544" s="89" t="n">
        <x:v>45657.95804398148</x:v>
      </x:c>
      <x:c r="E544" s="89" t="n">
        <x:v>45658.03859953704</x:v>
      </x:c>
      <x:c r="F544" s="84" t="n">
        <x:v>116</x:v>
      </x:c>
      <x:c r="G544" s="84" t="n">
        <x:v>1</x:v>
      </x:c>
      <x:c r="H544" s="84" t="str">
        <x:v>Superaquecimento</x:v>
      </x:c>
      <x:c r="I544" s="84" t="n">
        <x:v>139</x:v>
      </x:c>
      <x:c r="J544" s="93" t="n">
        <x:v>6509.13</x:v>
      </x:c>
      <x:c r="K544" s="85" t="str">
        <x:v>1º Turno</x:v>
      </x:c>
    </x:row>
    <x:row r="545">
      <x:c r="A545" s="83" t="n">
        <x:v>544</x:v>
      </x:c>
      <x:c r="B545" s="84" t="n">
        <x:v>48</x:v>
      </x:c>
      <x:c r="C545" s="84" t="n">
        <x:v>867</x:v>
      </x:c>
      <x:c r="D545" s="89" t="n">
        <x:v>45467.405694444446</x:v>
      </x:c>
      <x:c r="E545" s="89" t="n">
        <x:v>45467.75361111111</x:v>
      </x:c>
      <x:c r="F545" s="84" t="n">
        <x:v>501</x:v>
      </x:c>
      <x:c r="G545" s="84" t="n">
        <x:v>1</x:v>
      </x:c>
      <x:c r="H545" s="84" t="str">
        <x:v>Desalinhamento</x:v>
      </x:c>
      <x:c r="I545" s="84" t="n">
        <x:v>1144</x:v>
      </x:c>
      <x:c r="J545" s="93" t="n">
        <x:v>15845.72</x:v>
      </x:c>
      <x:c r="K545" s="85" t="str">
        <x:v>3º Turno</x:v>
      </x:c>
    </x:row>
    <x:row r="546">
      <x:c r="A546" s="83" t="n">
        <x:v>545</x:v>
      </x:c>
      <x:c r="B546" s="84" t="n">
        <x:v>56</x:v>
      </x:c>
      <x:c r="C546" s="84" t="n">
        <x:v>870</x:v>
      </x:c>
      <x:c r="D546" s="89" t="n">
        <x:v>45397.020682870374</x:v>
      </x:c>
      <x:c r="E546" s="89" t="n">
        <x:v>45397.30123842593</x:v>
      </x:c>
      <x:c r="F546" s="84" t="n">
        <x:v>404</x:v>
      </x:c>
      <x:c r="G546" s="84" t="n">
        <x:v>1</x:v>
      </x:c>
      <x:c r="H546" s="84" t="str">
        <x:v>Falha elétrica</x:v>
      </x:c>
      <x:c r="I546" s="84" t="n">
        <x:v>438</x:v>
      </x:c>
      <x:c r="J546" s="93" t="n">
        <x:v>20883.91</x:v>
      </x:c>
      <x:c r="K546" s="85" t="str">
        <x:v>2º Turno</x:v>
      </x:c>
    </x:row>
    <x:row r="547">
      <x:c r="A547" s="83" t="n">
        <x:v>546</x:v>
      </x:c>
      <x:c r="B547" s="84" t="n">
        <x:v>51</x:v>
      </x:c>
      <x:c r="C547" s="84" t="n">
        <x:v>871</x:v>
      </x:c>
      <x:c r="D547" s="89" t="n">
        <x:v>45776.027708333335</x:v>
      </x:c>
      <x:c r="E547" s="89" t="n">
        <x:v>45776.088125</x:v>
      </x:c>
      <x:c r="F547" s="84" t="n">
        <x:v>87</x:v>
      </x:c>
      <x:c r="G547" s="84" t="n">
        <x:v>1</x:v>
      </x:c>
      <x:c r="H547" s="84" t="str">
        <x:v>Vazamento</x:v>
      </x:c>
      <x:c r="I547" s="84" t="n">
        <x:v>154</x:v>
      </x:c>
      <x:c r="J547" s="93" t="n">
        <x:v>2822.71</x:v>
      </x:c>
      <x:c r="K547" s="85" t="str">
        <x:v>2º Turno</x:v>
      </x:c>
    </x:row>
    <x:row r="548">
      <x:c r="A548" s="83" t="n">
        <x:v>547</x:v>
      </x:c>
      <x:c r="B548" s="84" t="n">
        <x:v>34</x:v>
      </x:c>
      <x:c r="C548" s="84" t="n">
        <x:v>872</x:v>
      </x:c>
      <x:c r="D548" s="89" t="n">
        <x:v>45491.452523148146</x:v>
      </x:c>
      <x:c r="E548" s="89" t="n">
        <x:v>45491.5330787037</x:v>
      </x:c>
      <x:c r="F548" s="84" t="n">
        <x:v>116</x:v>
      </x:c>
      <x:c r="G548" s="84" t="n">
        <x:v>0</x:v>
      </x:c>
      <x:c r="H548" s="84" t="str">
        <x:v>Superaquecimento</x:v>
      </x:c>
      <x:c r="I548" s="84" t="n">
        <x:v>178</x:v>
      </x:c>
      <x:c r="J548" s="93" t="n">
        <x:v>1967.41</x:v>
      </x:c>
      <x:c r="K548" s="85" t="str">
        <x:v>3º Turno</x:v>
      </x:c>
    </x:row>
    <x:row r="549">
      <x:c r="A549" s="83" t="n">
        <x:v>548</x:v>
      </x:c>
      <x:c r="B549" s="84" t="n">
        <x:v>18</x:v>
      </x:c>
      <x:c r="C549" s="84" t="n">
        <x:v>874</x:v>
      </x:c>
      <x:c r="D549" s="89" t="n">
        <x:v>45978.44136574074</x:v>
      </x:c>
      <x:c r="E549" s="89" t="n">
        <x:v>45978.73164351852</x:v>
      </x:c>
      <x:c r="F549" s="84" t="n">
        <x:v>418</x:v>
      </x:c>
      <x:c r="G549" s="84" t="n">
        <x:v>1</x:v>
      </x:c>
      <x:c r="H549" s="84" t="str">
        <x:v>Desalinhamento</x:v>
      </x:c>
      <x:c r="I549" s="84" t="n">
        <x:v>620</x:v>
      </x:c>
      <x:c r="J549" s="93" t="n">
        <x:v>17417.3</x:v>
      </x:c>
      <x:c r="K549" s="85" t="str">
        <x:v>3º Turno</x:v>
      </x:c>
    </x:row>
    <x:row r="550">
      <x:c r="A550" s="83" t="n">
        <x:v>549</x:v>
      </x:c>
      <x:c r="B550" s="84" t="n">
        <x:v>72</x:v>
      </x:c>
      <x:c r="C550" s="84" t="n">
        <x:v>875</x:v>
      </x:c>
      <x:c r="D550" s="89" t="n">
        <x:v>45668.26466435185</x:v>
      </x:c>
      <x:c r="E550" s="89" t="n">
        <x:v>45668.61605324074</x:v>
      </x:c>
      <x:c r="F550" s="84" t="n">
        <x:v>506</x:v>
      </x:c>
      <x:c r="G550" s="84" t="n">
        <x:v>1</x:v>
      </x:c>
      <x:c r="H550" s="84" t="str">
        <x:v>Desalinhamento</x:v>
      </x:c>
      <x:c r="I550" s="84" t="n">
        <x:v>683</x:v>
      </x:c>
      <x:c r="J550" s="93" t="n">
        <x:v>22518.47</x:v>
      </x:c>
      <x:c r="K550" s="85" t="str">
        <x:v>2º Turno</x:v>
      </x:c>
    </x:row>
    <x:row r="551">
      <x:c r="A551" s="83" t="n">
        <x:v>550</x:v>
      </x:c>
      <x:c r="B551" s="84" t="n">
        <x:v>45</x:v>
      </x:c>
      <x:c r="C551" s="84" t="n">
        <x:v>876</x:v>
      </x:c>
      <x:c r="D551" s="89" t="n">
        <x:v>45213.725648148145</x:v>
      </x:c>
      <x:c r="E551" s="89" t="n">
        <x:v>45214.0187037037</x:v>
      </x:c>
      <x:c r="F551" s="84" t="n">
        <x:v>422</x:v>
      </x:c>
      <x:c r="G551" s="84" t="n">
        <x:v>1</x:v>
      </x:c>
      <x:c r="H551" s="84" t="str">
        <x:v>Falha elétrica</x:v>
      </x:c>
      <x:c r="I551" s="84" t="n">
        <x:v>879</x:v>
      </x:c>
      <x:c r="J551" s="93" t="n">
        <x:v>15312.99</x:v>
      </x:c>
      <x:c r="K551" s="85" t="str">
        <x:v>2º Turno</x:v>
      </x:c>
    </x:row>
    <x:row r="552">
      <x:c r="A552" s="83" t="n">
        <x:v>551</x:v>
      </x:c>
      <x:c r="B552" s="84" t="n">
        <x:v>33</x:v>
      </x:c>
      <x:c r="C552" s="84" t="n">
        <x:v>881</x:v>
      </x:c>
      <x:c r="D552" s="89" t="n">
        <x:v>45627.34471064815</x:v>
      </x:c>
      <x:c r="E552" s="89" t="n">
        <x:v>45627.3690162037</x:v>
      </x:c>
      <x:c r="F552" s="84" t="n">
        <x:v>35</x:v>
      </x:c>
      <x:c r="G552" s="84" t="n">
        <x:v>1</x:v>
      </x:c>
      <x:c r="H552" s="84" t="str">
        <x:v>Vazamento</x:v>
      </x:c>
      <x:c r="I552" s="84" t="n">
        <x:v>82</x:v>
      </x:c>
      <x:c r="J552" s="93" t="n">
        <x:v>1603.09</x:v>
      </x:c>
      <x:c r="K552" s="85" t="str">
        <x:v>1º Turno</x:v>
      </x:c>
    </x:row>
    <x:row r="553">
      <x:c r="A553" s="83" t="n">
        <x:v>552</x:v>
      </x:c>
      <x:c r="B553" s="84" t="n">
        <x:v>52</x:v>
      </x:c>
      <x:c r="C553" s="84" t="n">
        <x:v>882</x:v>
      </x:c>
      <x:c r="D553" s="89" t="n">
        <x:v>45695.89380787037</x:v>
      </x:c>
      <x:c r="E553" s="89" t="n">
        <x:v>45696.24450231482</x:v>
      </x:c>
      <x:c r="F553" s="84" t="n">
        <x:v>505</x:v>
      </x:c>
      <x:c r="G553" s="84" t="n">
        <x:v>1</x:v>
      </x:c>
      <x:c r="H553" s="84" t="str">
        <x:v>Superaquecimento</x:v>
      </x:c>
      <x:c r="I553" s="84" t="n">
        <x:v>1212</x:v>
      </x:c>
      <x:c r="J553" s="93" t="n">
        <x:v>17261.56</x:v>
      </x:c>
      <x:c r="K553" s="85" t="str">
        <x:v>2º Turno</x:v>
      </x:c>
    </x:row>
    <x:row r="554">
      <x:c r="A554" s="83" t="n">
        <x:v>553</x:v>
      </x:c>
      <x:c r="B554" s="84" t="n">
        <x:v>48</x:v>
      </x:c>
      <x:c r="C554" s="84" t="n">
        <x:v>884</x:v>
      </x:c>
      <x:c r="D554" s="89" t="n">
        <x:v>45600.18952546296</x:v>
      </x:c>
      <x:c r="E554" s="89" t="n">
        <x:v>45600.41869212963</x:v>
      </x:c>
      <x:c r="F554" s="84" t="n">
        <x:v>330</x:v>
      </x:c>
      <x:c r="G554" s="84" t="n">
        <x:v>0</x:v>
      </x:c>
      <x:c r="H554" s="84" t="str">
        <x:v>Falha elétrica</x:v>
      </x:c>
      <x:c r="I554" s="84" t="n">
        <x:v>434</x:v>
      </x:c>
      <x:c r="J554" s="93" t="n">
        <x:v>6131.01</x:v>
      </x:c>
      <x:c r="K554" s="85" t="str">
        <x:v>3º Turno</x:v>
      </x:c>
    </x:row>
    <x:row r="555">
      <x:c r="A555" s="83" t="n">
        <x:v>554</x:v>
      </x:c>
      <x:c r="B555" s="84" t="n">
        <x:v>17</x:v>
      </x:c>
      <x:c r="C555" s="84" t="n">
        <x:v>885</x:v>
      </x:c>
      <x:c r="D555" s="89" t="n">
        <x:v>45090.37478009259</x:v>
      </x:c>
      <x:c r="E555" s="89" t="n">
        <x:v>45090.893530092595</x:v>
      </x:c>
      <x:c r="F555" s="84" t="n">
        <x:v>747</x:v>
      </x:c>
      <x:c r="G555" s="84" t="n">
        <x:v>1</x:v>
      </x:c>
      <x:c r="H555" s="84" t="str">
        <x:v>Desalinhamento</x:v>
      </x:c>
      <x:c r="I555" s="84" t="n">
        <x:v>1083</x:v>
      </x:c>
      <x:c r="J555" s="93" t="n">
        <x:v>26507.5</x:v>
      </x:c>
      <x:c r="K555" s="85" t="str">
        <x:v>2º Turno</x:v>
      </x:c>
    </x:row>
    <x:row r="556">
      <x:c r="A556" s="83" t="n">
        <x:v>555</x:v>
      </x:c>
      <x:c r="B556" s="84" t="n">
        <x:v>82</x:v>
      </x:c>
      <x:c r="C556" s="84" t="n">
        <x:v>886</x:v>
      </x:c>
      <x:c r="D556" s="89" t="n">
        <x:v>45638.11614583333</x:v>
      </x:c>
      <x:c r="E556" s="89" t="n">
        <x:v>45638.3453125</x:v>
      </x:c>
      <x:c r="F556" s="84" t="n">
        <x:v>330</x:v>
      </x:c>
      <x:c r="G556" s="84" t="n">
        <x:v>1</x:v>
      </x:c>
      <x:c r="H556" s="84" t="str">
        <x:v>Vazamento</x:v>
      </x:c>
      <x:c r="I556" s="84" t="n">
        <x:v>792</x:v>
      </x:c>
      <x:c r="J556" s="93" t="n">
        <x:v>14178.31</x:v>
      </x:c>
      <x:c r="K556" s="85" t="str">
        <x:v>2º Turno</x:v>
      </x:c>
    </x:row>
    <x:row r="557">
      <x:c r="A557" s="83" t="n">
        <x:v>556</x:v>
      </x:c>
      <x:c r="B557" s="84" t="n">
        <x:v>73</x:v>
      </x:c>
      <x:c r="C557" s="84" t="n">
        <x:v>887</x:v>
      </x:c>
      <x:c r="D557" s="89" t="n">
        <x:v>45983.35769675926</x:v>
      </x:c>
      <x:c r="E557" s="89" t="n">
        <x:v>45983.82644675926</x:v>
      </x:c>
      <x:c r="F557" s="84" t="n">
        <x:v>675</x:v>
      </x:c>
      <x:c r="G557" s="84" t="n">
        <x:v>1</x:v>
      </x:c>
      <x:c r="H557" s="84" t="str">
        <x:v>Alarme intermitente</x:v>
      </x:c>
      <x:c r="I557" s="84" t="n">
        <x:v>1519</x:v>
      </x:c>
      <x:c r="J557" s="93" t="n">
        <x:v>17506.6</x:v>
      </x:c>
      <x:c r="K557" s="85" t="str">
        <x:v>2º Turno</x:v>
      </x:c>
    </x:row>
    <x:row r="558">
      <x:c r="A558" s="83" t="n">
        <x:v>557</x:v>
      </x:c>
      <x:c r="B558" s="84" t="n">
        <x:v>44</x:v>
      </x:c>
      <x:c r="C558" s="84" t="n">
        <x:v>889</x:v>
      </x:c>
      <x:c r="D558" s="89" t="n">
        <x:v>45679.67259259259</x:v>
      </x:c>
      <x:c r="E558" s="89" t="n">
        <x:v>45679.82050925926</x:v>
      </x:c>
      <x:c r="F558" s="84" t="n">
        <x:v>213</x:v>
      </x:c>
      <x:c r="G558" s="84" t="n">
        <x:v>1</x:v>
      </x:c>
      <x:c r="H558" s="84" t="str">
        <x:v>Superaquecimento</x:v>
      </x:c>
      <x:c r="I558" s="84" t="n">
        <x:v>490</x:v>
      </x:c>
      <x:c r="J558" s="93" t="n">
        <x:v>4825.95</x:v>
      </x:c>
      <x:c r="K558" s="85" t="str">
        <x:v>3º Turno</x:v>
      </x:c>
    </x:row>
    <x:row r="559">
      <x:c r="A559" s="83" t="n">
        <x:v>558</x:v>
      </x:c>
      <x:c r="B559" s="84" t="n">
        <x:v>47</x:v>
      </x:c>
      <x:c r="C559" s="84" t="n">
        <x:v>891</x:v>
      </x:c>
      <x:c r="D559" s="89" t="n">
        <x:v>45080.39498842593</x:v>
      </x:c>
      <x:c r="E559" s="89" t="n">
        <x:v>45080.907488425924</x:v>
      </x:c>
      <x:c r="F559" s="84" t="n">
        <x:v>738</x:v>
      </x:c>
      <x:c r="G559" s="84" t="n">
        <x:v>1</x:v>
      </x:c>
      <x:c r="H559" s="84" t="str">
        <x:v>Desalinhamento</x:v>
      </x:c>
      <x:c r="I559" s="84" t="n">
        <x:v>1218</x:v>
      </x:c>
      <x:c r="J559" s="93" t="n">
        <x:v>11598.69</x:v>
      </x:c>
      <x:c r="K559" s="85" t="str">
        <x:v>2º Turno</x:v>
      </x:c>
    </x:row>
    <x:row r="560">
      <x:c r="A560" s="83" t="n">
        <x:v>559</x:v>
      </x:c>
      <x:c r="B560" s="84" t="n">
        <x:v>74</x:v>
      </x:c>
      <x:c r="C560" s="84" t="n">
        <x:v>893</x:v>
      </x:c>
      <x:c r="D560" s="89" t="n">
        <x:v>45729.87384259259</x:v>
      </x:c>
      <x:c r="E560" s="89" t="n">
        <x:v>45730.19467592592</x:v>
      </x:c>
      <x:c r="F560" s="84" t="n">
        <x:v>462</x:v>
      </x:c>
      <x:c r="G560" s="84" t="n">
        <x:v>0</x:v>
      </x:c>
      <x:c r="H560" s="84" t="str">
        <x:v>Falha elétrica</x:v>
      </x:c>
      <x:c r="I560" s="84" t="n">
        <x:v>1055</x:v>
      </x:c>
      <x:c r="J560" s="93" t="n">
        <x:v>20233.73</x:v>
      </x:c>
      <x:c r="K560" s="85" t="str">
        <x:v>1º Turno</x:v>
      </x:c>
    </x:row>
    <x:row r="561">
      <x:c r="A561" s="83" t="n">
        <x:v>560</x:v>
      </x:c>
      <x:c r="B561" s="84" t="n">
        <x:v>43</x:v>
      </x:c>
      <x:c r="C561" s="84" t="n">
        <x:v>895</x:v>
      </x:c>
      <x:c r="D561" s="89" t="n">
        <x:v>45257.384722222225</x:v>
      </x:c>
      <x:c r="E561" s="89" t="n">
        <x:v>45257.97152777778</x:v>
      </x:c>
      <x:c r="F561" s="84" t="n">
        <x:v>845</x:v>
      </x:c>
      <x:c r="G561" s="84" t="n">
        <x:v>1</x:v>
      </x:c>
      <x:c r="H561" s="84" t="str">
        <x:v>Superaquecimento</x:v>
      </x:c>
      <x:c r="I561" s="84" t="n">
        <x:v>1718</x:v>
      </x:c>
      <x:c r="J561" s="93" t="n">
        <x:v>32304.44</x:v>
      </x:c>
      <x:c r="K561" s="85" t="str">
        <x:v>3º Turno</x:v>
      </x:c>
    </x:row>
    <x:row r="562">
      <x:c r="A562" s="83" t="n">
        <x:v>561</x:v>
      </x:c>
      <x:c r="B562" s="84" t="n">
        <x:v>45</x:v>
      </x:c>
      <x:c r="C562" s="84" t="n">
        <x:v>896</x:v>
      </x:c>
      <x:c r="D562" s="89" t="n">
        <x:v>45072.23001157407</x:v>
      </x:c>
      <x:c r="E562" s="89" t="n">
        <x:v>45072.30570601852</x:v>
      </x:c>
      <x:c r="F562" s="84" t="n">
        <x:v>109</x:v>
      </x:c>
      <x:c r="G562" s="84" t="n">
        <x:v>0</x:v>
      </x:c>
      <x:c r="H562" s="84" t="str">
        <x:v>Baixa pressão</x:v>
      </x:c>
      <x:c r="I562" s="84" t="n">
        <x:v>174</x:v>
      </x:c>
      <x:c r="J562" s="93" t="n">
        <x:v>2311.38</x:v>
      </x:c>
      <x:c r="K562" s="85" t="str">
        <x:v>2º Turno</x:v>
      </x:c>
    </x:row>
    <x:row r="563">
      <x:c r="A563" s="83" t="n">
        <x:v>562</x:v>
      </x:c>
      <x:c r="B563" s="84" t="n">
        <x:v>41</x:v>
      </x:c>
      <x:c r="C563" s="84" t="n">
        <x:v>897</x:v>
      </x:c>
      <x:c r="D563" s="89" t="n">
        <x:v>45001.752604166664</x:v>
      </x:c>
      <x:c r="E563" s="89" t="n">
        <x:v>45001.99288194445</x:v>
      </x:c>
      <x:c r="F563" s="84" t="n">
        <x:v>346</x:v>
      </x:c>
      <x:c r="G563" s="84" t="n">
        <x:v>1</x:v>
      </x:c>
      <x:c r="H563" s="84" t="str">
        <x:v>Superaquecimento</x:v>
      </x:c>
      <x:c r="I563" s="84" t="n">
        <x:v>450</x:v>
      </x:c>
      <x:c r="J563" s="93" t="n">
        <x:v>10402.44</x:v>
      </x:c>
      <x:c r="K563" s="85" t="str">
        <x:v>1º Turno</x:v>
      </x:c>
    </x:row>
    <x:row r="564">
      <x:c r="A564" s="83" t="n">
        <x:v>563</x:v>
      </x:c>
      <x:c r="B564" s="84" t="n">
        <x:v>62</x:v>
      </x:c>
      <x:c r="C564" s="84" t="n">
        <x:v>899</x:v>
      </x:c>
      <x:c r="D564" s="89" t="n">
        <x:v>45859.93429398148</x:v>
      </x:c>
      <x:c r="E564" s="89" t="n">
        <x:v>45860.43984953704</x:v>
      </x:c>
      <x:c r="F564" s="84" t="n">
        <x:v>728</x:v>
      </x:c>
      <x:c r="G564" s="84" t="n">
        <x:v>1</x:v>
      </x:c>
      <x:c r="H564" s="84" t="str">
        <x:v>Alarme intermitente</x:v>
      </x:c>
      <x:c r="I564" s="84" t="n">
        <x:v>1153</x:v>
      </x:c>
      <x:c r="J564" s="93" t="n">
        <x:v>14230.12</x:v>
      </x:c>
      <x:c r="K564" s="85" t="str">
        <x:v>1º Turno</x:v>
      </x:c>
    </x:row>
    <x:row r="565">
      <x:c r="A565" s="83" t="n">
        <x:v>564</x:v>
      </x:c>
      <x:c r="B565" s="84" t="n">
        <x:v>32</x:v>
      </x:c>
      <x:c r="C565" s="84" t="n">
        <x:v>900</x:v>
      </x:c>
      <x:c r="D565" s="89" t="n">
        <x:v>45125.437106481484</x:v>
      </x:c>
      <x:c r="E565" s="89" t="n">
        <x:v>45126.045439814814</x:v>
      </x:c>
      <x:c r="F565" s="84" t="n">
        <x:v>876</x:v>
      </x:c>
      <x:c r="G565" s="84" t="n">
        <x:v>1</x:v>
      </x:c>
      <x:c r="H565" s="84" t="str">
        <x:v>Desalinhamento</x:v>
      </x:c>
      <x:c r="I565" s="84" t="n">
        <x:v>1256</x:v>
      </x:c>
      <x:c r="J565" s="93" t="n">
        <x:v>36222.32</x:v>
      </x:c>
      <x:c r="K565" s="85" t="str">
        <x:v>2º Turno</x:v>
      </x:c>
    </x:row>
    <x:row r="566">
      <x:c r="A566" s="83" t="n">
        <x:v>565</x:v>
      </x:c>
      <x:c r="B566" s="84" t="n">
        <x:v>51</x:v>
      </x:c>
      <x:c r="C566" s="84" t="n">
        <x:v>901</x:v>
      </x:c>
      <x:c r="D566" s="89" t="n">
        <x:v>45226.6021412037</x:v>
      </x:c>
      <x:c r="E566" s="89" t="n">
        <x:v>45226.782002314816</x:v>
      </x:c>
      <x:c r="F566" s="84" t="n">
        <x:v>259</x:v>
      </x:c>
      <x:c r="G566" s="84" t="n">
        <x:v>1</x:v>
      </x:c>
      <x:c r="H566" s="84" t="str">
        <x:v>Alarme intermitente</x:v>
      </x:c>
      <x:c r="I566" s="84" t="n">
        <x:v>298</x:v>
      </x:c>
      <x:c r="J566" s="93" t="n">
        <x:v>6986.6</x:v>
      </x:c>
      <x:c r="K566" s="85" t="str">
        <x:v>1º Turno</x:v>
      </x:c>
    </x:row>
    <x:row r="567">
      <x:c r="A567" s="83" t="n">
        <x:v>566</x:v>
      </x:c>
      <x:c r="B567" s="84" t="n">
        <x:v>18</x:v>
      </x:c>
      <x:c r="C567" s="84" t="n">
        <x:v>902</x:v>
      </x:c>
      <x:c r="D567" s="89" t="n">
        <x:v>45301.429606481484</x:v>
      </x:c>
      <x:c r="E567" s="89" t="n">
        <x:v>45302.01641203704</x:v>
      </x:c>
      <x:c r="F567" s="84" t="n">
        <x:v>845</x:v>
      </x:c>
      <x:c r="G567" s="84" t="n">
        <x:v>1</x:v>
      </x:c>
      <x:c r="H567" s="84" t="str">
        <x:v>Superaquecimento</x:v>
      </x:c>
      <x:c r="I567" s="84" t="n">
        <x:v>1746</x:v>
      </x:c>
      <x:c r="J567" s="93" t="n">
        <x:v>14817.11</x:v>
      </x:c>
      <x:c r="K567" s="85" t="str">
        <x:v>2º Turno</x:v>
      </x:c>
    </x:row>
    <x:row r="568">
      <x:c r="A568" s="83" t="n">
        <x:v>567</x:v>
      </x:c>
      <x:c r="B568" s="84" t="n">
        <x:v>49</x:v>
      </x:c>
      <x:c r="C568" s="84" t="n">
        <x:v>904</x:v>
      </x:c>
      <x:c r="D568" s="89" t="n">
        <x:v>45861.91667824074</x:v>
      </x:c>
      <x:c r="E568" s="89" t="n">
        <x:v>45861.97015046296</x:v>
      </x:c>
      <x:c r="F568" s="84" t="n">
        <x:v>77</x:v>
      </x:c>
      <x:c r="G568" s="84" t="n">
        <x:v>1</x:v>
      </x:c>
      <x:c r="H568" s="84" t="str">
        <x:v>Superaquecimento</x:v>
      </x:c>
      <x:c r="I568" s="84" t="n">
        <x:v>98</x:v>
      </x:c>
      <x:c r="J568" s="93" t="n">
        <x:v>2054.3</x:v>
      </x:c>
      <x:c r="K568" s="85" t="str">
        <x:v>1º Turno</x:v>
      </x:c>
    </x:row>
    <x:row r="569">
      <x:c r="A569" s="83" t="n">
        <x:v>568</x:v>
      </x:c>
      <x:c r="B569" s="84" t="n">
        <x:v>37</x:v>
      </x:c>
      <x:c r="C569" s="84" t="n">
        <x:v>911</x:v>
      </x:c>
      <x:c r="D569" s="89" t="n">
        <x:v>45480.002905092595</x:v>
      </x:c>
      <x:c r="E569" s="89" t="n">
        <x:v>45480.26887731482</x:v>
      </x:c>
      <x:c r="F569" s="84" t="n">
        <x:v>383</x:v>
      </x:c>
      <x:c r="G569" s="84" t="n">
        <x:v>1</x:v>
      </x:c>
      <x:c r="H569" s="84" t="str">
        <x:v>Desalinhamento</x:v>
      </x:c>
      <x:c r="I569" s="84" t="n">
        <x:v>466</x:v>
      </x:c>
      <x:c r="J569" s="93" t="n">
        <x:v>7787.5</x:v>
      </x:c>
      <x:c r="K569" s="85" t="str">
        <x:v>3º Turno</x:v>
      </x:c>
    </x:row>
    <x:row r="570">
      <x:c r="A570" s="83" t="n">
        <x:v>569</x:v>
      </x:c>
      <x:c r="B570" s="84" t="n">
        <x:v>62</x:v>
      </x:c>
      <x:c r="C570" s="84" t="n">
        <x:v>912</x:v>
      </x:c>
      <x:c r="D570" s="89" t="n">
        <x:v>45559.39362268519</x:v>
      </x:c>
      <x:c r="E570" s="89" t="n">
        <x:v>45559.42626157407</x:v>
      </x:c>
      <x:c r="F570" s="84" t="n">
        <x:v>47</x:v>
      </x:c>
      <x:c r="G570" s="84" t="n">
        <x:v>1</x:v>
      </x:c>
      <x:c r="H570" s="84" t="str">
        <x:v>Falha elétrica</x:v>
      </x:c>
      <x:c r="I570" s="84" t="n">
        <x:v>89</x:v>
      </x:c>
      <x:c r="J570" s="93" t="n">
        <x:v>1710.99</x:v>
      </x:c>
      <x:c r="K570" s="85" t="str">
        <x:v>3º Turno</x:v>
      </x:c>
    </x:row>
    <x:row r="571">
      <x:c r="A571" s="83" t="n">
        <x:v>570</x:v>
      </x:c>
      <x:c r="B571" s="84" t="n">
        <x:v>10</x:v>
      </x:c>
      <x:c r="C571" s="84" t="n">
        <x:v>914</x:v>
      </x:c>
      <x:c r="D571" s="89" t="n">
        <x:v>45228.04829861111</x:v>
      </x:c>
      <x:c r="E571" s="89" t="n">
        <x:v>45228.572604166664</x:v>
      </x:c>
      <x:c r="F571" s="84" t="n">
        <x:v>755</x:v>
      </x:c>
      <x:c r="G571" s="84" t="n">
        <x:v>1</x:v>
      </x:c>
      <x:c r="H571" s="84" t="str">
        <x:v>Ruído anormal</x:v>
      </x:c>
      <x:c r="I571" s="84" t="n">
        <x:v>919</x:v>
      </x:c>
      <x:c r="J571" s="93" t="n">
        <x:v>38695.69</x:v>
      </x:c>
      <x:c r="K571" s="85" t="str">
        <x:v>2º Turno</x:v>
      </x:c>
    </x:row>
    <x:row r="572">
      <x:c r="A572" s="83" t="n">
        <x:v>571</x:v>
      </x:c>
      <x:c r="B572" s="84" t="n">
        <x:v>84</x:v>
      </x:c>
      <x:c r="C572" s="84" t="n">
        <x:v>916</x:v>
      </x:c>
      <x:c r="D572" s="89" t="n">
        <x:v>45916.81686342593</x:v>
      </x:c>
      <x:c r="E572" s="89" t="n">
        <x:v>45917.420335648145</x:v>
      </x:c>
      <x:c r="F572" s="84" t="n">
        <x:v>869</x:v>
      </x:c>
      <x:c r="G572" s="84" t="n">
        <x:v>1</x:v>
      </x:c>
      <x:c r="H572" s="84" t="str">
        <x:v>Vazamento</x:v>
      </x:c>
      <x:c r="I572" s="84" t="n">
        <x:v>1231</x:v>
      </x:c>
      <x:c r="J572" s="93" t="n">
        <x:v>31705.83</x:v>
      </x:c>
      <x:c r="K572" s="85" t="str">
        <x:v>3º Turno</x:v>
      </x:c>
    </x:row>
    <x:row r="573">
      <x:c r="A573" s="83" t="n">
        <x:v>572</x:v>
      </x:c>
      <x:c r="B573" s="84" t="n">
        <x:v>4</x:v>
      </x:c>
      <x:c r="C573" s="84" t="n">
        <x:v>917</x:v>
      </x:c>
      <x:c r="D573" s="89" t="n">
        <x:v>45689.24165509259</x:v>
      </x:c>
      <x:c r="E573" s="89" t="n">
        <x:v>45689.743738425925</x:v>
      </x:c>
      <x:c r="F573" s="84" t="n">
        <x:v>723</x:v>
      </x:c>
      <x:c r="G573" s="84" t="n">
        <x:v>1</x:v>
      </x:c>
      <x:c r="H573" s="84" t="str">
        <x:v>Desalinhamento</x:v>
      </x:c>
      <x:c r="I573" s="84" t="n">
        <x:v>1470</x:v>
      </x:c>
      <x:c r="J573" s="93" t="n">
        <x:v>16231.55</x:v>
      </x:c>
      <x:c r="K573" s="85" t="str">
        <x:v>3º Turno</x:v>
      </x:c>
    </x:row>
    <x:row r="574">
      <x:c r="A574" s="83" t="n">
        <x:v>573</x:v>
      </x:c>
      <x:c r="B574" s="84" t="n">
        <x:v>63</x:v>
      </x:c>
      <x:c r="C574" s="84" t="n">
        <x:v>918</x:v>
      </x:c>
      <x:c r="D574" s="89" t="n">
        <x:v>45247.60178240741</x:v>
      </x:c>
      <x:c r="E574" s="89" t="n">
        <x:v>45248.17400462963</x:v>
      </x:c>
      <x:c r="F574" s="84" t="n">
        <x:v>824</x:v>
      </x:c>
      <x:c r="G574" s="84" t="n">
        <x:v>1</x:v>
      </x:c>
      <x:c r="H574" s="84" t="str">
        <x:v>Baixa pressão</x:v>
      </x:c>
      <x:c r="I574" s="84" t="n">
        <x:v>1936</x:v>
      </x:c>
      <x:c r="J574" s="93" t="n">
        <x:v>30622.02</x:v>
      </x:c>
      <x:c r="K574" s="85" t="str">
        <x:v>3º Turno</x:v>
      </x:c>
    </x:row>
    <x:row r="575">
      <x:c r="A575" s="83" t="n">
        <x:v>574</x:v>
      </x:c>
      <x:c r="B575" s="84" t="n">
        <x:v>45</x:v>
      </x:c>
      <x:c r="C575" s="84" t="n">
        <x:v>919</x:v>
      </x:c>
      <x:c r="D575" s="89" t="n">
        <x:v>45167.56783564815</x:v>
      </x:c>
      <x:c r="E575" s="89" t="n">
        <x:v>45167.96853009259</x:v>
      </x:c>
      <x:c r="F575" s="84" t="n">
        <x:v>577</x:v>
      </x:c>
      <x:c r="G575" s="84" t="n">
        <x:v>0</x:v>
      </x:c>
      <x:c r="H575" s="84" t="str">
        <x:v>Ruído anormal</x:v>
      </x:c>
      <x:c r="I575" s="84" t="n">
        <x:v>914</x:v>
      </x:c>
      <x:c r="J575" s="93" t="n">
        <x:v>8580.79</x:v>
      </x:c>
      <x:c r="K575" s="85" t="str">
        <x:v>2º Turno</x:v>
      </x:c>
    </x:row>
    <x:row r="576">
      <x:c r="A576" s="83" t="n">
        <x:v>575</x:v>
      </x:c>
      <x:c r="B576" s="84" t="n">
        <x:v>61</x:v>
      </x:c>
      <x:c r="C576" s="84" t="n">
        <x:v>920</x:v>
      </x:c>
      <x:c r="D576" s="89" t="n">
        <x:v>45423.94259259259</x:v>
      </x:c>
      <x:c r="E576" s="89" t="n">
        <x:v>45424.54467592593</x:v>
      </x:c>
      <x:c r="F576" s="84" t="n">
        <x:v>867</x:v>
      </x:c>
      <x:c r="G576" s="84" t="n">
        <x:v>1</x:v>
      </x:c>
      <x:c r="H576" s="84" t="str">
        <x:v>Ruído anormal</x:v>
      </x:c>
      <x:c r="I576" s="84" t="n">
        <x:v>1662</x:v>
      </x:c>
      <x:c r="J576" s="93" t="n">
        <x:v>13278.19</x:v>
      </x:c>
      <x:c r="K576" s="85" t="str">
        <x:v>1º Turno</x:v>
      </x:c>
    </x:row>
    <x:row r="577">
      <x:c r="A577" s="83" t="n">
        <x:v>576</x:v>
      </x:c>
      <x:c r="B577" s="84" t="n">
        <x:v>20</x:v>
      </x:c>
      <x:c r="C577" s="84" t="n">
        <x:v>922</x:v>
      </x:c>
      <x:c r="D577" s="89" t="n">
        <x:v>45948.03556712963</x:v>
      </x:c>
      <x:c r="E577" s="89" t="n">
        <x:v>45948.363344907404</x:v>
      </x:c>
      <x:c r="F577" s="84" t="n">
        <x:v>472</x:v>
      </x:c>
      <x:c r="G577" s="84" t="n">
        <x:v>1</x:v>
      </x:c>
      <x:c r="H577" s="84" t="str">
        <x:v>Ruído anormal</x:v>
      </x:c>
      <x:c r="I577" s="84" t="n">
        <x:v>897</x:v>
      </x:c>
      <x:c r="J577" s="93" t="n">
        <x:v>13113.78</x:v>
      </x:c>
      <x:c r="K577" s="85" t="str">
        <x:v>1º Turno</x:v>
      </x:c>
    </x:row>
    <x:row r="578">
      <x:c r="A578" s="83" t="n">
        <x:v>577</x:v>
      </x:c>
      <x:c r="B578" s="84" t="n">
        <x:v>49</x:v>
      </x:c>
      <x:c r="C578" s="84" t="n">
        <x:v>923</x:v>
      </x:c>
      <x:c r="D578" s="89" t="n">
        <x:v>45071.7928125</x:v>
      </x:c>
      <x:c r="E578" s="89" t="n">
        <x:v>45071.91711805556</x:v>
      </x:c>
      <x:c r="F578" s="84" t="n">
        <x:v>179</x:v>
      </x:c>
      <x:c r="G578" s="84" t="n">
        <x:v>0</x:v>
      </x:c>
      <x:c r="H578" s="84" t="str">
        <x:v>Baixa pressão</x:v>
      </x:c>
      <x:c r="I578" s="84" t="n">
        <x:v>328</x:v>
      </x:c>
      <x:c r="J578" s="93" t="n">
        <x:v>6825.52</x:v>
      </x:c>
      <x:c r="K578" s="85" t="str">
        <x:v>2º Turno</x:v>
      </x:c>
    </x:row>
    <x:row r="579">
      <x:c r="A579" s="83" t="n">
        <x:v>578</x:v>
      </x:c>
      <x:c r="B579" s="84" t="n">
        <x:v>12</x:v>
      </x:c>
      <x:c r="C579" s="84" t="n">
        <x:v>925</x:v>
      </x:c>
      <x:c r="D579" s="89" t="n">
        <x:v>45292.54649305555</x:v>
      </x:c>
      <x:c r="E579" s="89" t="n">
        <x:v>45292.929131944446</x:v>
      </x:c>
      <x:c r="F579" s="84" t="n">
        <x:v>551</x:v>
      </x:c>
      <x:c r="G579" s="84" t="n">
        <x:v>1</x:v>
      </x:c>
      <x:c r="H579" s="84" t="str">
        <x:v>Falha elétrica</x:v>
      </x:c>
      <x:c r="I579" s="84" t="n">
        <x:v>1065</x:v>
      </x:c>
      <x:c r="J579" s="93" t="n">
        <x:v>19695.52</x:v>
      </x:c>
      <x:c r="K579" s="85" t="str">
        <x:v>3º Turno</x:v>
      </x:c>
    </x:row>
    <x:row r="580">
      <x:c r="A580" s="83" t="n">
        <x:v>579</x:v>
      </x:c>
      <x:c r="B580" s="84" t="n">
        <x:v>20</x:v>
      </x:c>
      <x:c r="C580" s="84" t="n">
        <x:v>929</x:v>
      </x:c>
      <x:c r="D580" s="89" t="n">
        <x:v>45376.575474537036</x:v>
      </x:c>
      <x:c r="E580" s="89" t="n">
        <x:v>45376.73936342593</x:v>
      </x:c>
      <x:c r="F580" s="84" t="n">
        <x:v>236</x:v>
      </x:c>
      <x:c r="G580" s="84" t="n">
        <x:v>1</x:v>
      </x:c>
      <x:c r="H580" s="84" t="str">
        <x:v>Ruído anormal</x:v>
      </x:c>
      <x:c r="I580" s="84" t="n">
        <x:v>551</x:v>
      </x:c>
      <x:c r="J580" s="93" t="n">
        <x:v>3157.79</x:v>
      </x:c>
      <x:c r="K580" s="85" t="str">
        <x:v>2º Turno</x:v>
      </x:c>
    </x:row>
    <x:row r="581">
      <x:c r="A581" s="83" t="n">
        <x:v>580</x:v>
      </x:c>
      <x:c r="B581" s="84" t="n">
        <x:v>59</x:v>
      </x:c>
      <x:c r="C581" s="84" t="n">
        <x:v>931</x:v>
      </x:c>
      <x:c r="D581" s="89" t="n">
        <x:v>45844.686215277776</x:v>
      </x:c>
      <x:c r="E581" s="89" t="n">
        <x:v>45845.10704861111</x:v>
      </x:c>
      <x:c r="F581" s="84" t="n">
        <x:v>606</x:v>
      </x:c>
      <x:c r="G581" s="84" t="n">
        <x:v>1</x:v>
      </x:c>
      <x:c r="H581" s="84" t="str">
        <x:v>Ruído anormal</x:v>
      </x:c>
      <x:c r="I581" s="84" t="n">
        <x:v>1192</x:v>
      </x:c>
      <x:c r="J581" s="93" t="n">
        <x:v>12529.35</x:v>
      </x:c>
      <x:c r="K581" s="85" t="str">
        <x:v>1º Turno</x:v>
      </x:c>
    </x:row>
    <x:row r="582">
      <x:c r="A582" s="83" t="n">
        <x:v>581</x:v>
      </x:c>
      <x:c r="B582" s="84" t="n">
        <x:v>89</x:v>
      </x:c>
      <x:c r="C582" s="84" t="n">
        <x:v>934</x:v>
      </x:c>
      <x:c r="D582" s="89" t="n">
        <x:v>44984.41440972222</x:v>
      </x:c>
      <x:c r="E582" s="89" t="n">
        <x:v>44984.53732638889</x:v>
      </x:c>
      <x:c r="F582" s="84" t="n">
        <x:v>177</x:v>
      </x:c>
      <x:c r="G582" s="84" t="n">
        <x:v>0</x:v>
      </x:c>
      <x:c r="H582" s="84" t="str">
        <x:v>Vazamento</x:v>
      </x:c>
      <x:c r="I582" s="84" t="n">
        <x:v>304</x:v>
      </x:c>
      <x:c r="J582" s="93" t="n">
        <x:v>2415.97</x:v>
      </x:c>
      <x:c r="K582" s="85" t="str">
        <x:v>2º Turno</x:v>
      </x:c>
    </x:row>
    <x:row r="583">
      <x:c r="A583" s="83" t="n">
        <x:v>582</x:v>
      </x:c>
      <x:c r="B583" s="84" t="n">
        <x:v>84</x:v>
      </x:c>
      <x:c r="C583" s="84" t="n">
        <x:v>935</x:v>
      </x:c>
      <x:c r="D583" s="89" t="n">
        <x:v>45820.4775</x:v>
      </x:c>
      <x:c r="E583" s="89" t="n">
        <x:v>45820.896944444445</x:v>
      </x:c>
      <x:c r="F583" s="84" t="n">
        <x:v>604</x:v>
      </x:c>
      <x:c r="G583" s="84" t="n">
        <x:v>1</x:v>
      </x:c>
      <x:c r="H583" s="84" t="str">
        <x:v>Ruído anormal</x:v>
      </x:c>
      <x:c r="I583" s="84" t="n">
        <x:v>906</x:v>
      </x:c>
      <x:c r="J583" s="93" t="n">
        <x:v>14153.65</x:v>
      </x:c>
      <x:c r="K583" s="85" t="str">
        <x:v>1º Turno</x:v>
      </x:c>
    </x:row>
    <x:row r="584">
      <x:c r="A584" s="83" t="n">
        <x:v>583</x:v>
      </x:c>
      <x:c r="B584" s="84" t="n">
        <x:v>47</x:v>
      </x:c>
      <x:c r="C584" s="84" t="n">
        <x:v>940</x:v>
      </x:c>
      <x:c r="D584" s="89" t="n">
        <x:v>45746.87847222222</x:v>
      </x:c>
      <x:c r="E584" s="89" t="n">
        <x:v>45747.25</x:v>
      </x:c>
      <x:c r="F584" s="84" t="n">
        <x:v>535</x:v>
      </x:c>
      <x:c r="G584" s="84" t="n">
        <x:v>1</x:v>
      </x:c>
      <x:c r="H584" s="84" t="str">
        <x:v>Desalinhamento</x:v>
      </x:c>
      <x:c r="I584" s="84" t="n">
        <x:v>740</x:v>
      </x:c>
      <x:c r="J584" s="93" t="n">
        <x:v>21191.26</x:v>
      </x:c>
      <x:c r="K584" s="85" t="str">
        <x:v>3º Turno</x:v>
      </x:c>
    </x:row>
    <x:row r="585">
      <x:c r="A585" s="83" t="n">
        <x:v>584</x:v>
      </x:c>
      <x:c r="B585" s="84" t="n">
        <x:v>23</x:v>
      </x:c>
      <x:c r="C585" s="84" t="n">
        <x:v>944</x:v>
      </x:c>
      <x:c r="D585" s="89" t="n">
        <x:v>45492.41541666666</x:v>
      </x:c>
      <x:c r="E585" s="89" t="n">
        <x:v>45492.49736111111</x:v>
      </x:c>
      <x:c r="F585" s="84" t="n">
        <x:v>118</x:v>
      </x:c>
      <x:c r="G585" s="84" t="n">
        <x:v>0</x:v>
      </x:c>
      <x:c r="H585" s="84" t="str">
        <x:v>Vazamento</x:v>
      </x:c>
      <x:c r="I585" s="84" t="n">
        <x:v>291</x:v>
      </x:c>
      <x:c r="J585" s="93" t="n">
        <x:v>5650.71</x:v>
      </x:c>
      <x:c r="K585" s="85" t="str">
        <x:v>1º Turno</x:v>
      </x:c>
    </x:row>
    <x:row r="586">
      <x:c r="A586" s="83" t="n">
        <x:v>585</x:v>
      </x:c>
      <x:c r="B586" s="84" t="n">
        <x:v>87</x:v>
      </x:c>
      <x:c r="C586" s="84" t="n">
        <x:v>945</x:v>
      </x:c>
      <x:c r="D586" s="89" t="n">
        <x:v>45175.857511574075</x:v>
      </x:c>
      <x:c r="E586" s="89" t="n">
        <x:v>45176.016539351855</x:v>
      </x:c>
      <x:c r="F586" s="84" t="n">
        <x:v>229</x:v>
      </x:c>
      <x:c r="G586" s="84" t="n">
        <x:v>1</x:v>
      </x:c>
      <x:c r="H586" s="84" t="str">
        <x:v>Ruído anormal</x:v>
      </x:c>
      <x:c r="I586" s="84" t="n">
        <x:v>305</x:v>
      </x:c>
      <x:c r="J586" s="93" t="n">
        <x:v>8308.78</x:v>
      </x:c>
      <x:c r="K586" s="85" t="str">
        <x:v>1º Turno</x:v>
      </x:c>
    </x:row>
    <x:row r="587">
      <x:c r="A587" s="83" t="n">
        <x:v>586</x:v>
      </x:c>
      <x:c r="B587" s="84" t="n">
        <x:v>78</x:v>
      </x:c>
      <x:c r="C587" s="84" t="n">
        <x:v>946</x:v>
      </x:c>
      <x:c r="D587" s="89" t="n">
        <x:v>45298.812268518515</x:v>
      </x:c>
      <x:c r="E587" s="89" t="n">
        <x:v>45298.89837962963</x:v>
      </x:c>
      <x:c r="F587" s="84" t="n">
        <x:v>124</x:v>
      </x:c>
      <x:c r="G587" s="84" t="n">
        <x:v>1</x:v>
      </x:c>
      <x:c r="H587" s="84" t="str">
        <x:v>Ruído anormal</x:v>
      </x:c>
      <x:c r="I587" s="84" t="n">
        <x:v>296</x:v>
      </x:c>
      <x:c r="J587" s="93" t="n">
        <x:v>4543.01</x:v>
      </x:c>
      <x:c r="K587" s="85" t="str">
        <x:v>2º Turno</x:v>
      </x:c>
    </x:row>
    <x:row r="588">
      <x:c r="A588" s="83" t="n">
        <x:v>587</x:v>
      </x:c>
      <x:c r="B588" s="84" t="n">
        <x:v>38</x:v>
      </x:c>
      <x:c r="C588" s="84" t="n">
        <x:v>947</x:v>
      </x:c>
      <x:c r="D588" s="89" t="n">
        <x:v>45646.155324074076</x:v>
      </x:c>
      <x:c r="E588" s="89" t="n">
        <x:v>45646.33587962963</x:v>
      </x:c>
      <x:c r="F588" s="84" t="n">
        <x:v>260</x:v>
      </x:c>
      <x:c r="G588" s="84" t="n">
        <x:v>1</x:v>
      </x:c>
      <x:c r="H588" s="84" t="str">
        <x:v>Vazamento</x:v>
      </x:c>
      <x:c r="I588" s="84" t="n">
        <x:v>620</x:v>
      </x:c>
      <x:c r="J588" s="93" t="n">
        <x:v>11334.04</x:v>
      </x:c>
      <x:c r="K588" s="85" t="str">
        <x:v>3º Turno</x:v>
      </x:c>
    </x:row>
    <x:row r="589">
      <x:c r="A589" s="83" t="n">
        <x:v>588</x:v>
      </x:c>
      <x:c r="B589" s="84" t="n">
        <x:v>2</x:v>
      </x:c>
      <x:c r="C589" s="84" t="n">
        <x:v>948</x:v>
      </x:c>
      <x:c r="D589" s="89" t="n">
        <x:v>45943.21115740741</x:v>
      </x:c>
      <x:c r="E589" s="89" t="n">
        <x:v>45943.34449074074</x:v>
      </x:c>
      <x:c r="F589" s="84" t="n">
        <x:v>192</x:v>
      </x:c>
      <x:c r="G589" s="84" t="n">
        <x:v>1</x:v>
      </x:c>
      <x:c r="H589" s="84" t="str">
        <x:v>Superaquecimento</x:v>
      </x:c>
      <x:c r="I589" s="84" t="n">
        <x:v>346</x:v>
      </x:c>
      <x:c r="J589" s="93" t="n">
        <x:v>4296.96</x:v>
      </x:c>
      <x:c r="K589" s="85" t="str">
        <x:v>1º Turno</x:v>
      </x:c>
    </x:row>
    <x:row r="590">
      <x:c r="A590" s="83" t="n">
        <x:v>589</x:v>
      </x:c>
      <x:c r="B590" s="84" t="n">
        <x:v>2</x:v>
      </x:c>
      <x:c r="C590" s="84" t="n">
        <x:v>951</x:v>
      </x:c>
      <x:c r="D590" s="89" t="n">
        <x:v>45366.410266203704</x:v>
      </x:c>
      <x:c r="E590" s="89" t="n">
        <x:v>45366.762349537035</x:v>
      </x:c>
      <x:c r="F590" s="84" t="n">
        <x:v>507</x:v>
      </x:c>
      <x:c r="G590" s="84" t="n">
        <x:v>0</x:v>
      </x:c>
      <x:c r="H590" s="84" t="str">
        <x:v>Falha elétrica</x:v>
      </x:c>
      <x:c r="I590" s="84" t="n">
        <x:v>1259</x:v>
      </x:c>
      <x:c r="J590" s="93" t="n">
        <x:v>15874.6</x:v>
      </x:c>
      <x:c r="K590" s="85" t="str">
        <x:v>3º Turno</x:v>
      </x:c>
    </x:row>
    <x:row r="591">
      <x:c r="A591" s="83" t="n">
        <x:v>590</x:v>
      </x:c>
      <x:c r="B591" s="84" t="n">
        <x:v>8</x:v>
      </x:c>
      <x:c r="C591" s="84" t="n">
        <x:v>953</x:v>
      </x:c>
      <x:c r="D591" s="89" t="n">
        <x:v>45849.21653935185</x:v>
      </x:c>
      <x:c r="E591" s="89" t="n">
        <x:v>45849.72070601852</x:v>
      </x:c>
      <x:c r="F591" s="84" t="n">
        <x:v>726</x:v>
      </x:c>
      <x:c r="G591" s="84" t="n">
        <x:v>0</x:v>
      </x:c>
      <x:c r="H591" s="84" t="str">
        <x:v>Vazamento</x:v>
      </x:c>
      <x:c r="I591" s="84" t="n">
        <x:v>1089</x:v>
      </x:c>
      <x:c r="J591" s="93" t="n">
        <x:v>15046.11</x:v>
      </x:c>
      <x:c r="K591" s="85" t="str">
        <x:v>3º Turno</x:v>
      </x:c>
    </x:row>
    <x:row r="592">
      <x:c r="A592" s="83" t="n">
        <x:v>591</x:v>
      </x:c>
      <x:c r="B592" s="84" t="n">
        <x:v>26</x:v>
      </x:c>
      <x:c r="C592" s="84" t="n">
        <x:v>956</x:v>
      </x:c>
      <x:c r="D592" s="89" t="n">
        <x:v>45409.452511574076</x:v>
      </x:c>
      <x:c r="E592" s="89" t="n">
        <x:v>45409.983761574076</x:v>
      </x:c>
      <x:c r="F592" s="84" t="n">
        <x:v>765</x:v>
      </x:c>
      <x:c r="G592" s="84" t="n">
        <x:v>1</x:v>
      </x:c>
      <x:c r="H592" s="84" t="str">
        <x:v>Superaquecimento</x:v>
      </x:c>
      <x:c r="I592" s="84" t="n">
        <x:v>1721</x:v>
      </x:c>
      <x:c r="J592" s="93" t="n">
        <x:v>20904.28</x:v>
      </x:c>
      <x:c r="K592" s="85" t="str">
        <x:v>1º Turno</x:v>
      </x:c>
    </x:row>
    <x:row r="593">
      <x:c r="A593" s="83" t="n">
        <x:v>592</x:v>
      </x:c>
      <x:c r="B593" s="84" t="n">
        <x:v>80</x:v>
      </x:c>
      <x:c r="C593" s="84" t="n">
        <x:v>957</x:v>
      </x:c>
      <x:c r="D593" s="89" t="n">
        <x:v>45597.114907407406</x:v>
      </x:c>
      <x:c r="E593" s="89" t="n">
        <x:v>45597.61907407407</x:v>
      </x:c>
      <x:c r="F593" s="84" t="n">
        <x:v>726</x:v>
      </x:c>
      <x:c r="G593" s="84" t="n">
        <x:v>1</x:v>
      </x:c>
      <x:c r="H593" s="84" t="str">
        <x:v>Superaquecimento</x:v>
      </x:c>
      <x:c r="I593" s="84" t="n">
        <x:v>738</x:v>
      </x:c>
      <x:c r="J593" s="93" t="n">
        <x:v>31141.29</x:v>
      </x:c>
      <x:c r="K593" s="85" t="str">
        <x:v>2º Turno</x:v>
      </x:c>
    </x:row>
    <x:row r="594">
      <x:c r="A594" s="83" t="n">
        <x:v>593</x:v>
      </x:c>
      <x:c r="B594" s="84" t="n">
        <x:v>44</x:v>
      </x:c>
      <x:c r="C594" s="84" t="n">
        <x:v>958</x:v>
      </x:c>
      <x:c r="D594" s="89" t="n">
        <x:v>45518.49894675926</x:v>
      </x:c>
      <x:c r="E594" s="89" t="n">
        <x:v>45518.96908564815</x:v>
      </x:c>
      <x:c r="F594" s="84" t="n">
        <x:v>677</x:v>
      </x:c>
      <x:c r="G594" s="84" t="n">
        <x:v>0</x:v>
      </x:c>
      <x:c r="H594" s="84" t="str">
        <x:v>Desalinhamento</x:v>
      </x:c>
      <x:c r="I594" s="84" t="n">
        <x:v>1365</x:v>
      </x:c>
      <x:c r="J594" s="93" t="n">
        <x:v>20129.69</x:v>
      </x:c>
      <x:c r="K594" s="85" t="str">
        <x:v>1º Turno</x:v>
      </x:c>
    </x:row>
    <x:row r="595">
      <x:c r="A595" s="83" t="n">
        <x:v>594</x:v>
      </x:c>
      <x:c r="B595" s="84" t="n">
        <x:v>85</x:v>
      </x:c>
      <x:c r="C595" s="84" t="n">
        <x:v>959</x:v>
      </x:c>
      <x:c r="D595" s="89" t="n">
        <x:v>44963.823969907404</x:v>
      </x:c>
      <x:c r="E595" s="89" t="n">
        <x:v>44964.067025462966</x:v>
      </x:c>
      <x:c r="F595" s="84" t="n">
        <x:v>350</x:v>
      </x:c>
      <x:c r="G595" s="84" t="n">
        <x:v>1</x:v>
      </x:c>
      <x:c r="H595" s="84" t="str">
        <x:v>Alarme intermitente</x:v>
      </x:c>
      <x:c r="I595" s="84" t="n">
        <x:v>852</x:v>
      </x:c>
      <x:c r="J595" s="93" t="n">
        <x:v>18852.39</x:v>
      </x:c>
      <x:c r="K595" s="85" t="str">
        <x:v>2º Turno</x:v>
      </x:c>
    </x:row>
    <x:row r="596">
      <x:c r="A596" s="83" t="n">
        <x:v>595</x:v>
      </x:c>
      <x:c r="B596" s="84" t="n">
        <x:v>73</x:v>
      </x:c>
      <x:c r="C596" s="84" t="n">
        <x:v>960</x:v>
      </x:c>
      <x:c r="D596" s="89" t="n">
        <x:v>45819.13140046296</x:v>
      </x:c>
      <x:c r="E596" s="89" t="n">
        <x:v>45819.48417824074</x:v>
      </x:c>
      <x:c r="F596" s="84" t="n">
        <x:v>508</x:v>
      </x:c>
      <x:c r="G596" s="84" t="n">
        <x:v>0</x:v>
      </x:c>
      <x:c r="H596" s="84" t="str">
        <x:v>Baixa pressão</x:v>
      </x:c>
      <x:c r="I596" s="84" t="n">
        <x:v>1160</x:v>
      </x:c>
      <x:c r="J596" s="93" t="n">
        <x:v>20610.18</x:v>
      </x:c>
      <x:c r="K596" s="85" t="str">
        <x:v>2º Turno</x:v>
      </x:c>
    </x:row>
    <x:row r="597">
      <x:c r="A597" s="83" t="n">
        <x:v>596</x:v>
      </x:c>
      <x:c r="B597" s="84" t="n">
        <x:v>71</x:v>
      </x:c>
      <x:c r="C597" s="84" t="n">
        <x:v>961</x:v>
      </x:c>
      <x:c r="D597" s="89" t="n">
        <x:v>45721.03159722222</x:v>
      </x:c>
      <x:c r="E597" s="89" t="n">
        <x:v>45721.44826388889</x:v>
      </x:c>
      <x:c r="F597" s="84" t="n">
        <x:v>600</x:v>
      </x:c>
      <x:c r="G597" s="84" t="n">
        <x:v>1</x:v>
      </x:c>
      <x:c r="H597" s="84" t="str">
        <x:v>Falha elétrica</x:v>
      </x:c>
      <x:c r="I597" s="84" t="n">
        <x:v>1450</x:v>
      </x:c>
      <x:c r="J597" s="93" t="n">
        <x:v>21050.47</x:v>
      </x:c>
      <x:c r="K597" s="85" t="str">
        <x:v>2º Turno</x:v>
      </x:c>
    </x:row>
    <x:row r="598">
      <x:c r="A598" s="83" t="n">
        <x:v>597</x:v>
      </x:c>
      <x:c r="B598" s="84" t="n">
        <x:v>82</x:v>
      </x:c>
      <x:c r="C598" s="84" t="n">
        <x:v>962</x:v>
      </x:c>
      <x:c r="D598" s="89" t="n">
        <x:v>45429.836689814816</x:v>
      </x:c>
      <x:c r="E598" s="89" t="n">
        <x:v>45430.11516203704</x:v>
      </x:c>
      <x:c r="F598" s="84" t="n">
        <x:v>401</x:v>
      </x:c>
      <x:c r="G598" s="84" t="n">
        <x:v>0</x:v>
      </x:c>
      <x:c r="H598" s="84" t="str">
        <x:v>Baixa pressão</x:v>
      </x:c>
      <x:c r="I598" s="84" t="n">
        <x:v>722</x:v>
      </x:c>
      <x:c r="J598" s="93" t="n">
        <x:v>23146.42</x:v>
      </x:c>
      <x:c r="K598" s="85" t="str">
        <x:v>2º Turno</x:v>
      </x:c>
    </x:row>
    <x:row r="599">
      <x:c r="A599" s="83" t="n">
        <x:v>598</x:v>
      </x:c>
      <x:c r="B599" s="84" t="n">
        <x:v>55</x:v>
      </x:c>
      <x:c r="C599" s="84" t="n">
        <x:v>963</x:v>
      </x:c>
      <x:c r="D599" s="89" t="n">
        <x:v>45127.77347222222</x:v>
      </x:c>
      <x:c r="E599" s="89" t="n">
        <x:v>45128.27763888889</x:v>
      </x:c>
      <x:c r="F599" s="84" t="n">
        <x:v>726</x:v>
      </x:c>
      <x:c r="G599" s="84" t="n">
        <x:v>1</x:v>
      </x:c>
      <x:c r="H599" s="84" t="str">
        <x:v>Baixa pressão</x:v>
      </x:c>
      <x:c r="I599" s="84" t="n">
        <x:v>1077</x:v>
      </x:c>
      <x:c r="J599" s="93" t="n">
        <x:v>15215.32</x:v>
      </x:c>
      <x:c r="K599" s="85" t="str">
        <x:v>3º Turno</x:v>
      </x:c>
    </x:row>
    <x:row r="600">
      <x:c r="A600" s="83" t="n">
        <x:v>599</x:v>
      </x:c>
      <x:c r="B600" s="84" t="n">
        <x:v>35</x:v>
      </x:c>
      <x:c r="C600" s="84" t="n">
        <x:v>965</x:v>
      </x:c>
      <x:c r="D600" s="89" t="n">
        <x:v>45368.857939814814</x:v>
      </x:c>
      <x:c r="E600" s="89" t="n">
        <x:v>45369.070439814815</x:v>
      </x:c>
      <x:c r="F600" s="84" t="n">
        <x:v>306</x:v>
      </x:c>
      <x:c r="G600" s="84" t="n">
        <x:v>0</x:v>
      </x:c>
      <x:c r="H600" s="84" t="str">
        <x:v>Desalinhamento</x:v>
      </x:c>
      <x:c r="I600" s="84" t="n">
        <x:v>479</x:v>
      </x:c>
      <x:c r="J600" s="93" t="n">
        <x:v>5064.09</x:v>
      </x:c>
      <x:c r="K600" s="85" t="str">
        <x:v>3º Turno</x:v>
      </x:c>
    </x:row>
    <x:row r="601">
      <x:c r="A601" s="83" t="n">
        <x:v>600</x:v>
      </x:c>
      <x:c r="B601" s="84" t="n">
        <x:v>31</x:v>
      </x:c>
      <x:c r="C601" s="84" t="n">
        <x:v>966</x:v>
      </x:c>
      <x:c r="D601" s="89" t="n">
        <x:v>45551.770266203705</x:v>
      </x:c>
      <x:c r="E601" s="89" t="n">
        <x:v>45551.97790509259</x:v>
      </x:c>
      <x:c r="F601" s="84" t="n">
        <x:v>299</x:v>
      </x:c>
      <x:c r="G601" s="84" t="n">
        <x:v>1</x:v>
      </x:c>
      <x:c r="H601" s="84" t="str">
        <x:v>Vazamento</x:v>
      </x:c>
      <x:c r="I601" s="84" t="n">
        <x:v>488</x:v>
      </x:c>
      <x:c r="J601" s="93" t="n">
        <x:v>6315.22</x:v>
      </x:c>
      <x:c r="K601" s="85" t="str">
        <x:v>3º Turno</x:v>
      </x:c>
    </x:row>
    <x:row r="602">
      <x:c r="A602" s="83" t="n">
        <x:v>601</x:v>
      </x:c>
      <x:c r="B602" s="84" t="n">
        <x:v>79</x:v>
      </x:c>
      <x:c r="C602" s="84" t="n">
        <x:v>967</x:v>
      </x:c>
      <x:c r="D602" s="89" t="n">
        <x:v>45799.19778935185</x:v>
      </x:c>
      <x:c r="E602" s="89" t="n">
        <x:v>45799.46792824074</x:v>
      </x:c>
      <x:c r="F602" s="84" t="n">
        <x:v>389</x:v>
      </x:c>
      <x:c r="G602" s="84" t="n">
        <x:v>1</x:v>
      </x:c>
      <x:c r="H602" s="84" t="str">
        <x:v>Falha elétrica</x:v>
      </x:c>
      <x:c r="I602" s="84" t="n">
        <x:v>668</x:v>
      </x:c>
      <x:c r="J602" s="93" t="n">
        <x:v>19199.68</x:v>
      </x:c>
      <x:c r="K602" s="85" t="str">
        <x:v>3º Turno</x:v>
      </x:c>
    </x:row>
    <x:row r="603">
      <x:c r="A603" s="83" t="n">
        <x:v>602</x:v>
      </x:c>
      <x:c r="B603" s="84" t="n">
        <x:v>38</x:v>
      </x:c>
      <x:c r="C603" s="84" t="n">
        <x:v>968</x:v>
      </x:c>
      <x:c r="D603" s="89" t="n">
        <x:v>45053.262453703705</x:v>
      </x:c>
      <x:c r="E603" s="89" t="n">
        <x:v>45053.30898148148</x:v>
      </x:c>
      <x:c r="F603" s="84" t="n">
        <x:v>67</x:v>
      </x:c>
      <x:c r="G603" s="84" t="n">
        <x:v>1</x:v>
      </x:c>
      <x:c r="H603" s="84" t="str">
        <x:v>Vazamento</x:v>
      </x:c>
      <x:c r="I603" s="84" t="n">
        <x:v>128</x:v>
      </x:c>
      <x:c r="J603" s="93" t="n">
        <x:v>938.86</x:v>
      </x:c>
      <x:c r="K603" s="85" t="str">
        <x:v>2º Turno</x:v>
      </x:c>
    </x:row>
    <x:row r="604">
      <x:c r="A604" s="83" t="n">
        <x:v>603</x:v>
      </x:c>
      <x:c r="B604" s="84" t="n">
        <x:v>21</x:v>
      </x:c>
      <x:c r="C604" s="84" t="n">
        <x:v>970</x:v>
      </x:c>
      <x:c r="D604" s="89" t="n">
        <x:v>45918.53136574074</x:v>
      </x:c>
      <x:c r="E604" s="89" t="n">
        <x:v>45918.97025462963</x:v>
      </x:c>
      <x:c r="F604" s="84" t="n">
        <x:v>632</x:v>
      </x:c>
      <x:c r="G604" s="84" t="n">
        <x:v>1</x:v>
      </x:c>
      <x:c r="H604" s="84" t="str">
        <x:v>Alarme intermitente</x:v>
      </x:c>
      <x:c r="I604" s="84" t="n">
        <x:v>1074</x:v>
      </x:c>
      <x:c r="J604" s="93" t="n">
        <x:v>15627.33</x:v>
      </x:c>
      <x:c r="K604" s="85" t="str">
        <x:v>2º Turno</x:v>
      </x:c>
    </x:row>
    <x:row r="605">
      <x:c r="A605" s="83" t="n">
        <x:v>604</x:v>
      </x:c>
      <x:c r="B605" s="84" t="n">
        <x:v>8</x:v>
      </x:c>
      <x:c r="C605" s="84" t="n">
        <x:v>971</x:v>
      </x:c>
      <x:c r="D605" s="89" t="n">
        <x:v>45183.1596875</x:v>
      </x:c>
      <x:c r="E605" s="89" t="n">
        <x:v>45183.6034375</x:v>
      </x:c>
      <x:c r="F605" s="84" t="n">
        <x:v>639</x:v>
      </x:c>
      <x:c r="G605" s="84" t="n">
        <x:v>1</x:v>
      </x:c>
      <x:c r="H605" s="84" t="str">
        <x:v>Alarme intermitente</x:v>
      </x:c>
      <x:c r="I605" s="84" t="n">
        <x:v>1427</x:v>
      </x:c>
      <x:c r="J605" s="93" t="n">
        <x:v>21278.04</x:v>
      </x:c>
      <x:c r="K605" s="85" t="str">
        <x:v>2º Turno</x:v>
      </x:c>
    </x:row>
    <x:row r="606">
      <x:c r="A606" s="83" t="n">
        <x:v>605</x:v>
      </x:c>
      <x:c r="B606" s="84" t="n">
        <x:v>70</x:v>
      </x:c>
      <x:c r="C606" s="84" t="n">
        <x:v>973</x:v>
      </x:c>
      <x:c r="D606" s="89" t="n">
        <x:v>45096.698483796295</x:v>
      </x:c>
      <x:c r="E606" s="89" t="n">
        <x:v>45097.26792824074</x:v>
      </x:c>
      <x:c r="F606" s="84" t="n">
        <x:v>820</x:v>
      </x:c>
      <x:c r="G606" s="84" t="n">
        <x:v>1</x:v>
      </x:c>
      <x:c r="H606" s="84" t="str">
        <x:v>Desalinhamento</x:v>
      </x:c>
      <x:c r="I606" s="84" t="n">
        <x:v>1039</x:v>
      </x:c>
      <x:c r="J606" s="93" t="n">
        <x:v>47530.38</x:v>
      </x:c>
      <x:c r="K606" s="85" t="str">
        <x:v>1º Turno</x:v>
      </x:c>
    </x:row>
    <x:row r="607">
      <x:c r="A607" s="83" t="n">
        <x:v>606</x:v>
      </x:c>
      <x:c r="B607" s="84" t="n">
        <x:v>77</x:v>
      </x:c>
      <x:c r="C607" s="84" t="n">
        <x:v>974</x:v>
      </x:c>
      <x:c r="D607" s="89" t="n">
        <x:v>45462.02532407407</x:v>
      </x:c>
      <x:c r="E607" s="89" t="n">
        <x:v>45462.25796296296</x:v>
      </x:c>
      <x:c r="F607" s="84" t="n">
        <x:v>335</x:v>
      </x:c>
      <x:c r="G607" s="84" t="n">
        <x:v>1</x:v>
      </x:c>
      <x:c r="H607" s="84" t="str">
        <x:v>Superaquecimento</x:v>
      </x:c>
      <x:c r="I607" s="84" t="n">
        <x:v>413</x:v>
      </x:c>
      <x:c r="J607" s="93" t="n">
        <x:v>9792.85</x:v>
      </x:c>
      <x:c r="K607" s="85" t="str">
        <x:v>2º Turno</x:v>
      </x:c>
    </x:row>
    <x:row r="608">
      <x:c r="A608" s="83" t="n">
        <x:v>607</x:v>
      </x:c>
      <x:c r="B608" s="84" t="n">
        <x:v>7</x:v>
      </x:c>
      <x:c r="C608" s="84" t="n">
        <x:v>977</x:v>
      </x:c>
      <x:c r="D608" s="89" t="n">
        <x:v>45703.67222222222</x:v>
      </x:c>
      <x:c r="E608" s="89" t="n">
        <x:v>45704.20208333333</x:v>
      </x:c>
      <x:c r="F608" s="84" t="n">
        <x:v>763</x:v>
      </x:c>
      <x:c r="G608" s="84" t="n">
        <x:v>0</x:v>
      </x:c>
      <x:c r="H608" s="84" t="str">
        <x:v>Falha elétrica</x:v>
      </x:c>
      <x:c r="I608" s="84" t="n">
        <x:v>1628</x:v>
      </x:c>
      <x:c r="J608" s="93" t="n">
        <x:v>32138.57</x:v>
      </x:c>
      <x:c r="K608" s="85" t="str">
        <x:v>1º Turno</x:v>
      </x:c>
    </x:row>
    <x:row r="609">
      <x:c r="A609" s="83" t="n">
        <x:v>608</x:v>
      </x:c>
      <x:c r="B609" s="84" t="n">
        <x:v>41</x:v>
      </x:c>
      <x:c r="C609" s="84" t="n">
        <x:v>979</x:v>
      </x:c>
      <x:c r="D609" s="89" t="n">
        <x:v>45990.34509259259</x:v>
      </x:c>
      <x:c r="E609" s="89" t="n">
        <x:v>45990.924259259256</x:v>
      </x:c>
      <x:c r="F609" s="84" t="n">
        <x:v>834</x:v>
      </x:c>
      <x:c r="G609" s="84" t="n">
        <x:v>0</x:v>
      </x:c>
      <x:c r="H609" s="84" t="str">
        <x:v>Falha elétrica</x:v>
      </x:c>
      <x:c r="I609" s="84" t="n">
        <x:v>1640</x:v>
      </x:c>
      <x:c r="J609" s="93" t="n">
        <x:v>45051.48</x:v>
      </x:c>
      <x:c r="K609" s="85" t="str">
        <x:v>2º Turno</x:v>
      </x:c>
    </x:row>
    <x:row r="610">
      <x:c r="A610" s="83" t="n">
        <x:v>609</x:v>
      </x:c>
      <x:c r="B610" s="84" t="n">
        <x:v>66</x:v>
      </x:c>
      <x:c r="C610" s="84" t="n">
        <x:v>982</x:v>
      </x:c>
      <x:c r="D610" s="89" t="n">
        <x:v>45991.55065972222</x:v>
      </x:c>
      <x:c r="E610" s="89" t="n">
        <x:v>45991.72288194444</x:v>
      </x:c>
      <x:c r="F610" s="84" t="n">
        <x:v>248</x:v>
      </x:c>
      <x:c r="G610" s="84" t="n">
        <x:v>1</x:v>
      </x:c>
      <x:c r="H610" s="84" t="str">
        <x:v>Ruído anormal</x:v>
      </x:c>
      <x:c r="I610" s="84" t="n">
        <x:v>430</x:v>
      </x:c>
      <x:c r="J610" s="93" t="n">
        <x:v>4587.99</x:v>
      </x:c>
      <x:c r="K610" s="85" t="str">
        <x:v>2º Turno</x:v>
      </x:c>
    </x:row>
    <x:row r="611">
      <x:c r="A611" s="83" t="n">
        <x:v>610</x:v>
      </x:c>
      <x:c r="B611" s="84" t="n">
        <x:v>38</x:v>
      </x:c>
      <x:c r="C611" s="84" t="n">
        <x:v>986</x:v>
      </x:c>
      <x:c r="D611" s="89" t="n">
        <x:v>45682.28255787037</x:v>
      </x:c>
      <x:c r="E611" s="89" t="n">
        <x:v>45682.59991898148</x:v>
      </x:c>
      <x:c r="F611" s="84" t="n">
        <x:v>457</x:v>
      </x:c>
      <x:c r="G611" s="84" t="n">
        <x:v>0</x:v>
      </x:c>
      <x:c r="H611" s="84" t="str">
        <x:v>Ruído anormal</x:v>
      </x:c>
      <x:c r="I611" s="84" t="n">
        <x:v>640</x:v>
      </x:c>
      <x:c r="J611" s="93" t="n">
        <x:v>21108.13</x:v>
      </x:c>
      <x:c r="K611" s="85" t="str">
        <x:v>2º Turno</x:v>
      </x:c>
    </x:row>
    <x:row r="612">
      <x:c r="A612" s="83" t="n">
        <x:v>611</x:v>
      </x:c>
      <x:c r="B612" s="84" t="n">
        <x:v>38</x:v>
      </x:c>
      <x:c r="C612" s="84" t="n">
        <x:v>987</x:v>
      </x:c>
      <x:c r="D612" s="89" t="n">
        <x:v>45292.08640046296</x:v>
      </x:c>
      <x:c r="E612" s="89" t="n">
        <x:v>45292.210011574076</x:v>
      </x:c>
      <x:c r="F612" s="84" t="n">
        <x:v>178</x:v>
      </x:c>
      <x:c r="G612" s="84" t="n">
        <x:v>1</x:v>
      </x:c>
      <x:c r="H612" s="84" t="str">
        <x:v>Superaquecimento</x:v>
      </x:c>
      <x:c r="I612" s="84" t="n">
        <x:v>395</x:v>
      </x:c>
      <x:c r="J612" s="93" t="n">
        <x:v>3860.2</x:v>
      </x:c>
      <x:c r="K612" s="85" t="str">
        <x:v>3º Turno</x:v>
      </x:c>
    </x:row>
    <x:row r="613">
      <x:c r="A613" s="83" t="n">
        <x:v>612</x:v>
      </x:c>
      <x:c r="B613" s="84" t="n">
        <x:v>24</x:v>
      </x:c>
      <x:c r="C613" s="84" t="n">
        <x:v>988</x:v>
      </x:c>
      <x:c r="D613" s="89" t="n">
        <x:v>45978.83652777778</x:v>
      </x:c>
      <x:c r="E613" s="89" t="n">
        <x:v>45979.14486111111</x:v>
      </x:c>
      <x:c r="F613" s="84" t="n">
        <x:v>444</x:v>
      </x:c>
      <x:c r="G613" s="84" t="n">
        <x:v>1</x:v>
      </x:c>
      <x:c r="H613" s="84" t="str">
        <x:v>Falha elétrica</x:v>
      </x:c>
      <x:c r="I613" s="84" t="n">
        <x:v>688</x:v>
      </x:c>
      <x:c r="J613" s="93" t="n">
        <x:v>21881.99</x:v>
      </x:c>
      <x:c r="K613" s="85" t="str">
        <x:v>2º Turno</x:v>
      </x:c>
    </x:row>
    <x:row r="614">
      <x:c r="A614" s="83" t="n">
        <x:v>613</x:v>
      </x:c>
      <x:c r="B614" s="84" t="n">
        <x:v>36</x:v>
      </x:c>
      <x:c r="C614" s="84" t="n">
        <x:v>989</x:v>
      </x:c>
      <x:c r="D614" s="89" t="n">
        <x:v>45103.899375</x:v>
      </x:c>
      <x:c r="E614" s="89" t="n">
        <x:v>45103.968819444446</x:v>
      </x:c>
      <x:c r="F614" s="84" t="n">
        <x:v>100</x:v>
      </x:c>
      <x:c r="G614" s="84" t="n">
        <x:v>0</x:v>
      </x:c>
      <x:c r="H614" s="84" t="str">
        <x:v>Alarme intermitente</x:v>
      </x:c>
      <x:c r="I614" s="84" t="n">
        <x:v>178</x:v>
      </x:c>
      <x:c r="J614" s="93" t="n">
        <x:v>4444.33</x:v>
      </x:c>
      <x:c r="K614" s="85" t="str">
        <x:v>2º Turno</x:v>
      </x:c>
    </x:row>
    <x:row r="615">
      <x:c r="A615" s="83" t="n">
        <x:v>614</x:v>
      </x:c>
      <x:c r="B615" s="84" t="n">
        <x:v>62</x:v>
      </x:c>
      <x:c r="C615" s="84" t="n">
        <x:v>990</x:v>
      </x:c>
      <x:c r="D615" s="89" t="n">
        <x:v>45275.443923611114</x:v>
      </x:c>
      <x:c r="E615" s="89" t="n">
        <x:v>45275.71128472222</x:v>
      </x:c>
      <x:c r="F615" s="84" t="n">
        <x:v>385</x:v>
      </x:c>
      <x:c r="G615" s="84" t="n">
        <x:v>0</x:v>
      </x:c>
      <x:c r="H615" s="84" t="str">
        <x:v>Baixa pressão</x:v>
      </x:c>
      <x:c r="I615" s="84" t="n">
        <x:v>680</x:v>
      </x:c>
      <x:c r="J615" s="93" t="n">
        <x:v>14039.26</x:v>
      </x:c>
      <x:c r="K615" s="85" t="str">
        <x:v>1º Turno</x:v>
      </x:c>
    </x:row>
    <x:row r="616">
      <x:c r="A616" s="83" t="n">
        <x:v>615</x:v>
      </x:c>
      <x:c r="B616" s="84" t="n">
        <x:v>48</x:v>
      </x:c>
      <x:c r="C616" s="84" t="n">
        <x:v>992</x:v>
      </x:c>
      <x:c r="D616" s="89" t="n">
        <x:v>45530.05451388889</x:v>
      </x:c>
      <x:c r="E616" s="89" t="n">
        <x:v>45530.12118055556</x:v>
      </x:c>
      <x:c r="F616" s="84" t="n">
        <x:v>96</x:v>
      </x:c>
      <x:c r="G616" s="84" t="n">
        <x:v>0</x:v>
      </x:c>
      <x:c r="H616" s="84" t="str">
        <x:v>Desalinhamento</x:v>
      </x:c>
      <x:c r="I616" s="84" t="n">
        <x:v>118</x:v>
      </x:c>
      <x:c r="J616" s="93" t="n">
        <x:v>5168.88</x:v>
      </x:c>
      <x:c r="K616" s="85" t="str">
        <x:v>1º Turno</x:v>
      </x:c>
    </x:row>
    <x:row r="617">
      <x:c r="A617" s="83" t="n">
        <x:v>616</x:v>
      </x:c>
      <x:c r="B617" s="84" t="n">
        <x:v>82</x:v>
      </x:c>
      <x:c r="C617" s="84" t="n">
        <x:v>993</x:v>
      </x:c>
      <x:c r="D617" s="89" t="n">
        <x:v>45392.45542824074</x:v>
      </x:c>
      <x:c r="E617" s="89" t="n">
        <x:v>45392.79570601852</x:v>
      </x:c>
      <x:c r="F617" s="84" t="n">
        <x:v>490</x:v>
      </x:c>
      <x:c r="G617" s="84" t="n">
        <x:v>1</x:v>
      </x:c>
      <x:c r="H617" s="84" t="str">
        <x:v>Ruído anormal</x:v>
      </x:c>
      <x:c r="I617" s="84" t="n">
        <x:v>1152</x:v>
      </x:c>
      <x:c r="J617" s="93" t="n">
        <x:v>12470.7</x:v>
      </x:c>
      <x:c r="K617" s="85" t="str">
        <x:v>3º Turno</x:v>
      </x:c>
    </x:row>
    <x:row r="618">
      <x:c r="A618" s="83" t="n">
        <x:v>617</x:v>
      </x:c>
      <x:c r="B618" s="84" t="n">
        <x:v>21</x:v>
      </x:c>
      <x:c r="C618" s="84" t="n">
        <x:v>994</x:v>
      </x:c>
      <x:c r="D618" s="89" t="n">
        <x:v>44948.20967592593</x:v>
      </x:c>
      <x:c r="E618" s="89" t="n">
        <x:v>44948.69648148148</x:v>
      </x:c>
      <x:c r="F618" s="84" t="n">
        <x:v>701</x:v>
      </x:c>
      <x:c r="G618" s="84" t="n">
        <x:v>1</x:v>
      </x:c>
      <x:c r="H618" s="84" t="str">
        <x:v>Alarme intermitente</x:v>
      </x:c>
      <x:c r="I618" s="84" t="n">
        <x:v>981</x:v>
      </x:c>
      <x:c r="J618" s="93" t="n">
        <x:v>31070.22</x:v>
      </x:c>
      <x:c r="K618" s="85" t="str">
        <x:v>3º Turno</x:v>
      </x:c>
    </x:row>
    <x:row r="619">
      <x:c r="A619" s="83" t="n">
        <x:v>618</x:v>
      </x:c>
      <x:c r="B619" s="84" t="n">
        <x:v>47</x:v>
      </x:c>
      <x:c r="C619" s="84" t="n">
        <x:v>996</x:v>
      </x:c>
      <x:c r="D619" s="89" t="n">
        <x:v>45625.13652777778</x:v>
      </x:c>
      <x:c r="E619" s="89" t="n">
        <x:v>45625.23930555556</x:v>
      </x:c>
      <x:c r="F619" s="84" t="n">
        <x:v>148</x:v>
      </x:c>
      <x:c r="G619" s="84" t="n">
        <x:v>1</x:v>
      </x:c>
      <x:c r="H619" s="84" t="str">
        <x:v>Alarme intermitente</x:v>
      </x:c>
      <x:c r="I619" s="84" t="n">
        <x:v>284</x:v>
      </x:c>
      <x:c r="J619" s="93" t="n">
        <x:v>4529.97</x:v>
      </x:c>
      <x:c r="K619" s="85" t="str">
        <x:v>3º Turno</x:v>
      </x:c>
    </x:row>
    <x:row r="620">
      <x:c r="A620" s="83" t="n">
        <x:v>619</x:v>
      </x:c>
      <x:c r="B620" s="84" t="n">
        <x:v>51</x:v>
      </x:c>
      <x:c r="C620" s="84" t="n">
        <x:v>997</x:v>
      </x:c>
      <x:c r="D620" s="89" t="n">
        <x:v>45952.5471412037</x:v>
      </x:c>
      <x:c r="E620" s="89" t="n">
        <x:v>45953.0783912037</x:v>
      </x:c>
      <x:c r="F620" s="84" t="n">
        <x:v>765</x:v>
      </x:c>
      <x:c r="G620" s="84" t="n">
        <x:v>1</x:v>
      </x:c>
      <x:c r="H620" s="84" t="str">
        <x:v>Superaquecimento</x:v>
      </x:c>
      <x:c r="I620" s="84" t="n">
        <x:v>1760</x:v>
      </x:c>
      <x:c r="J620" s="93" t="n">
        <x:v>39875.54</x:v>
      </x:c>
      <x:c r="K620" s="85" t="str">
        <x:v>1º Turno</x:v>
      </x:c>
    </x:row>
    <x:row r="621">
      <x:c r="A621" s="83" t="n">
        <x:v>620</x:v>
      </x:c>
      <x:c r="B621" s="84" t="n">
        <x:v>38</x:v>
      </x:c>
      <x:c r="C621" s="84" t="n">
        <x:v>999</x:v>
      </x:c>
      <x:c r="D621" s="89" t="n">
        <x:v>45215.759050925924</x:v>
      </x:c>
      <x:c r="E621" s="89" t="n">
        <x:v>45215.818078703705</x:v>
      </x:c>
      <x:c r="F621" s="84" t="n">
        <x:v>85</x:v>
      </x:c>
      <x:c r="G621" s="84" t="n">
        <x:v>1</x:v>
      </x:c>
      <x:c r="H621" s="84" t="str">
        <x:v>Desalinhamento</x:v>
      </x:c>
      <x:c r="I621" s="84" t="n">
        <x:v>163</x:v>
      </x:c>
      <x:c r="J621" s="93" t="n">
        <x:v>3788.58</x:v>
      </x:c>
      <x:c r="K621" s="85" t="str">
        <x:v>2º Turno</x:v>
      </x:c>
    </x:row>
    <x:row r="622">
      <x:c r="A622" s="83" t="n">
        <x:v>621</x:v>
      </x:c>
      <x:c r="B622" s="84" t="n">
        <x:v>81</x:v>
      </x:c>
      <x:c r="C622" s="84" t="n">
        <x:v>1001</x:v>
      </x:c>
      <x:c r="D622" s="89" t="n">
        <x:v>45999.28324074074</x:v>
      </x:c>
      <x:c r="E622" s="89" t="n">
        <x:v>45999.745046296295</x:v>
      </x:c>
      <x:c r="F622" s="84" t="n">
        <x:v>665</x:v>
      </x:c>
      <x:c r="G622" s="84" t="n">
        <x:v>0</x:v>
      </x:c>
      <x:c r="H622" s="84" t="str">
        <x:v>Desalinhamento</x:v>
      </x:c>
      <x:c r="I622" s="84" t="n">
        <x:v>1319</x:v>
      </x:c>
      <x:c r="J622" s="93" t="n">
        <x:v>13022.48</x:v>
      </x:c>
      <x:c r="K622" s="85" t="str">
        <x:v>1º Turno</x:v>
      </x:c>
    </x:row>
    <x:row r="623">
      <x:c r="A623" s="83" t="n">
        <x:v>622</x:v>
      </x:c>
      <x:c r="B623" s="84" t="n">
        <x:v>65</x:v>
      </x:c>
      <x:c r="C623" s="84" t="n">
        <x:v>1005</x:v>
      </x:c>
      <x:c r="D623" s="89" t="n">
        <x:v>45792.76525462963</x:v>
      </x:c>
      <x:c r="E623" s="89" t="n">
        <x:v>45793.14094907408</x:v>
      </x:c>
      <x:c r="F623" s="84" t="n">
        <x:v>541</x:v>
      </x:c>
      <x:c r="G623" s="84" t="n">
        <x:v>1</x:v>
      </x:c>
      <x:c r="H623" s="84" t="str">
        <x:v>Ruído anormal</x:v>
      </x:c>
      <x:c r="I623" s="84" t="n">
        <x:v>1262</x:v>
      </x:c>
      <x:c r="J623" s="93" t="n">
        <x:v>24835.71</x:v>
      </x:c>
      <x:c r="K623" s="85" t="str">
        <x:v>3º Turno</x:v>
      </x:c>
    </x:row>
    <x:row r="624">
      <x:c r="A624" s="83" t="n">
        <x:v>623</x:v>
      </x:c>
      <x:c r="B624" s="84" t="n">
        <x:v>9</x:v>
      </x:c>
      <x:c r="C624" s="84" t="n">
        <x:v>1006</x:v>
      </x:c>
      <x:c r="D624" s="89" t="n">
        <x:v>45810.58478009259</x:v>
      </x:c>
      <x:c r="E624" s="89" t="n">
        <x:v>45810.62505787037</x:v>
      </x:c>
      <x:c r="F624" s="84" t="n">
        <x:v>58</x:v>
      </x:c>
      <x:c r="G624" s="84" t="n">
        <x:v>0</x:v>
      </x:c>
      <x:c r="H624" s="84" t="str">
        <x:v>Falha elétrica</x:v>
      </x:c>
      <x:c r="I624" s="84" t="n">
        <x:v>114</x:v>
      </x:c>
      <x:c r="J624" s="93" t="n">
        <x:v>3140.25</x:v>
      </x:c>
      <x:c r="K624" s="85" t="str">
        <x:v>1º Turno</x:v>
      </x:c>
    </x:row>
    <x:row r="625">
      <x:c r="A625" s="83" t="n">
        <x:v>624</x:v>
      </x:c>
      <x:c r="B625" s="84" t="n">
        <x:v>88</x:v>
      </x:c>
      <x:c r="C625" s="84" t="n">
        <x:v>1007</x:v>
      </x:c>
      <x:c r="D625" s="89" t="n">
        <x:v>45711.27386574074</x:v>
      </x:c>
      <x:c r="E625" s="89" t="n">
        <x:v>45711.715532407405</x:v>
      </x:c>
      <x:c r="F625" s="84" t="n">
        <x:v>636</x:v>
      </x:c>
      <x:c r="G625" s="84" t="n">
        <x:v>0</x:v>
      </x:c>
      <x:c r="H625" s="84" t="str">
        <x:v>Falha elétrica</x:v>
      </x:c>
      <x:c r="I625" s="84" t="n">
        <x:v>806</x:v>
      </x:c>
      <x:c r="J625" s="93" t="n">
        <x:v>28317.32</x:v>
      </x:c>
      <x:c r="K625" s="85" t="str">
        <x:v>3º Turno</x:v>
      </x:c>
    </x:row>
    <x:row r="626">
      <x:c r="A626" s="83" t="n">
        <x:v>625</x:v>
      </x:c>
      <x:c r="B626" s="84" t="n">
        <x:v>8</x:v>
      </x:c>
      <x:c r="C626" s="84" t="n">
        <x:v>1010</x:v>
      </x:c>
      <x:c r="D626" s="89" t="n">
        <x:v>45702.22746527778</x:v>
      </x:c>
      <x:c r="E626" s="89" t="n">
        <x:v>45702.4121875</x:v>
      </x:c>
      <x:c r="F626" s="84" t="n">
        <x:v>266</x:v>
      </x:c>
      <x:c r="G626" s="84" t="n">
        <x:v>1</x:v>
      </x:c>
      <x:c r="H626" s="84" t="str">
        <x:v>Alarme intermitente</x:v>
      </x:c>
      <x:c r="I626" s="84" t="n">
        <x:v>528</x:v>
      </x:c>
      <x:c r="J626" s="93" t="n">
        <x:v>12922.88</x:v>
      </x:c>
      <x:c r="K626" s="85" t="str">
        <x:v>3º Turno</x:v>
      </x:c>
    </x:row>
    <x:row r="627">
      <x:c r="A627" s="83" t="n">
        <x:v>626</x:v>
      </x:c>
      <x:c r="B627" s="84" t="n">
        <x:v>36</x:v>
      </x:c>
      <x:c r="C627" s="84" t="n">
        <x:v>1011</x:v>
      </x:c>
      <x:c r="D627" s="89" t="n">
        <x:v>46013.65697916667</x:v>
      </x:c>
      <x:c r="E627" s="89" t="n">
        <x:v>46013.92989583333</x:v>
      </x:c>
      <x:c r="F627" s="84" t="n">
        <x:v>393</x:v>
      </x:c>
      <x:c r="G627" s="84" t="n">
        <x:v>0</x:v>
      </x:c>
      <x:c r="H627" s="84" t="str">
        <x:v>Ruído anormal</x:v>
      </x:c>
      <x:c r="I627" s="84" t="n">
        <x:v>707</x:v>
      </x:c>
      <x:c r="J627" s="93" t="n">
        <x:v>22689.42</x:v>
      </x:c>
      <x:c r="K627" s="85" t="str">
        <x:v>2º Turno</x:v>
      </x:c>
    </x:row>
    <x:row r="628">
      <x:c r="A628" s="83" t="n">
        <x:v>627</x:v>
      </x:c>
      <x:c r="B628" s="84" t="n">
        <x:v>60</x:v>
      </x:c>
      <x:c r="C628" s="84" t="n">
        <x:v>1013</x:v>
      </x:c>
      <x:c r="D628" s="89" t="n">
        <x:v>45189.98353009259</x:v>
      </x:c>
      <x:c r="E628" s="89" t="n">
        <x:v>45190.03561342593</x:v>
      </x:c>
      <x:c r="F628" s="84" t="n">
        <x:v>75</x:v>
      </x:c>
      <x:c r="G628" s="84" t="n">
        <x:v>1</x:v>
      </x:c>
      <x:c r="H628" s="84" t="str">
        <x:v>Baixa pressão</x:v>
      </x:c>
      <x:c r="I628" s="84" t="n">
        <x:v>114</x:v>
      </x:c>
      <x:c r="J628" s="93" t="n">
        <x:v>4085.89</x:v>
      </x:c>
      <x:c r="K628" s="85" t="str">
        <x:v>3º Turno</x:v>
      </x:c>
    </x:row>
    <x:row r="629">
      <x:c r="A629" s="83" t="n">
        <x:v>628</x:v>
      </x:c>
      <x:c r="B629" s="84" t="n">
        <x:v>9</x:v>
      </x:c>
      <x:c r="C629" s="84" t="n">
        <x:v>1014</x:v>
      </x:c>
      <x:c r="D629" s="89" t="n">
        <x:v>45949.57493055556</x:v>
      </x:c>
      <x:c r="E629" s="89" t="n">
        <x:v>45949.74506944444</x:v>
      </x:c>
      <x:c r="F629" s="84" t="n">
        <x:v>245</x:v>
      </x:c>
      <x:c r="G629" s="84" t="n">
        <x:v>0</x:v>
      </x:c>
      <x:c r="H629" s="84" t="str">
        <x:v>Alarme intermitente</x:v>
      </x:c>
      <x:c r="I629" s="84" t="n">
        <x:v>376</x:v>
      </x:c>
      <x:c r="J629" s="93" t="n">
        <x:v>5859.79</x:v>
      </x:c>
      <x:c r="K629" s="85" t="str">
        <x:v>2º Turno</x:v>
      </x:c>
    </x:row>
    <x:row r="630">
      <x:c r="A630" s="83" t="n">
        <x:v>629</x:v>
      </x:c>
      <x:c r="B630" s="84" t="n">
        <x:v>14</x:v>
      </x:c>
      <x:c r="C630" s="84" t="n">
        <x:v>1015</x:v>
      </x:c>
      <x:c r="D630" s="89" t="n">
        <x:v>45244.068657407406</x:v>
      </x:c>
      <x:c r="E630" s="89" t="n">
        <x:v>45244.68185185185</x:v>
      </x:c>
      <x:c r="F630" s="84" t="n">
        <x:v>883</x:v>
      </x:c>
      <x:c r="G630" s="84" t="n">
        <x:v>0</x:v>
      </x:c>
      <x:c r="H630" s="84" t="str">
        <x:v>Falha elétrica</x:v>
      </x:c>
      <x:c r="I630" s="84" t="n">
        <x:v>1354</x:v>
      </x:c>
      <x:c r="J630" s="93" t="n">
        <x:v>48142.95</x:v>
      </x:c>
      <x:c r="K630" s="85" t="str">
        <x:v>1º Turno</x:v>
      </x:c>
    </x:row>
    <x:row r="631">
      <x:c r="A631" s="83" t="n">
        <x:v>630</x:v>
      </x:c>
      <x:c r="B631" s="84" t="n">
        <x:v>47</x:v>
      </x:c>
      <x:c r="C631" s="84" t="n">
        <x:v>1016</x:v>
      </x:c>
      <x:c r="D631" s="89" t="n">
        <x:v>45957.52946759259</x:v>
      </x:c>
      <x:c r="E631" s="89" t="n">
        <x:v>45957.86488425926</x:v>
      </x:c>
      <x:c r="F631" s="84" t="n">
        <x:v>483</x:v>
      </x:c>
      <x:c r="G631" s="84" t="n">
        <x:v>1</x:v>
      </x:c>
      <x:c r="H631" s="84" t="str">
        <x:v>Desalinhamento</x:v>
      </x:c>
      <x:c r="I631" s="84" t="n">
        <x:v>861</x:v>
      </x:c>
      <x:c r="J631" s="93" t="n">
        <x:v>19637.57</x:v>
      </x:c>
      <x:c r="K631" s="85" t="str">
        <x:v>3º Turno</x:v>
      </x:c>
    </x:row>
    <x:row r="632">
      <x:c r="A632" s="83" t="n">
        <x:v>631</x:v>
      </x:c>
      <x:c r="B632" s="84" t="n">
        <x:v>15</x:v>
      </x:c>
      <x:c r="C632" s="84" t="n">
        <x:v>1017</x:v>
      </x:c>
      <x:c r="D632" s="89" t="n">
        <x:v>45585.2890162037</x:v>
      </x:c>
      <x:c r="E632" s="89" t="n">
        <x:v>45585.64943287037</x:v>
      </x:c>
      <x:c r="F632" s="84" t="n">
        <x:v>519</x:v>
      </x:c>
      <x:c r="G632" s="84" t="n">
        <x:v>1</x:v>
      </x:c>
      <x:c r="H632" s="84" t="str">
        <x:v>Ruído anormal</x:v>
      </x:c>
      <x:c r="I632" s="84" t="n">
        <x:v>1298</x:v>
      </x:c>
      <x:c r="J632" s="93" t="n">
        <x:v>8617.51</x:v>
      </x:c>
      <x:c r="K632" s="85" t="str">
        <x:v>1º Turno</x:v>
      </x:c>
    </x:row>
    <x:row r="633">
      <x:c r="A633" s="83" t="n">
        <x:v>632</x:v>
      </x:c>
      <x:c r="B633" s="84" t="n">
        <x:v>56</x:v>
      </x:c>
      <x:c r="C633" s="84" t="n">
        <x:v>1019</x:v>
      </x:c>
      <x:c r="D633" s="89" t="n">
        <x:v>44999.6159837963</x:v>
      </x:c>
      <x:c r="E633" s="89" t="n">
        <x:v>44999.892372685186</x:v>
      </x:c>
      <x:c r="F633" s="84" t="n">
        <x:v>398</x:v>
      </x:c>
      <x:c r="G633" s="84" t="n">
        <x:v>1</x:v>
      </x:c>
      <x:c r="H633" s="84" t="str">
        <x:v>Falha elétrica</x:v>
      </x:c>
      <x:c r="I633" s="84" t="n">
        <x:v>823</x:v>
      </x:c>
      <x:c r="J633" s="93" t="n">
        <x:v>5454.88</x:v>
      </x:c>
      <x:c r="K633" s="85" t="str">
        <x:v>1º Turno</x:v>
      </x:c>
    </x:row>
    <x:row r="634">
      <x:c r="A634" s="83" t="n">
        <x:v>633</x:v>
      </x:c>
      <x:c r="B634" s="84" t="n">
        <x:v>18</x:v>
      </x:c>
      <x:c r="C634" s="84" t="n">
        <x:v>1020</x:v>
      </x:c>
      <x:c r="D634" s="89" t="n">
        <x:v>45392.44920138889</x:v>
      </x:c>
      <x:c r="E634" s="89" t="n">
        <x:v>45392.51725694445</x:v>
      </x:c>
      <x:c r="F634" s="84" t="n">
        <x:v>98</x:v>
      </x:c>
      <x:c r="G634" s="84" t="n">
        <x:v>0</x:v>
      </x:c>
      <x:c r="H634" s="84" t="str">
        <x:v>Superaquecimento</x:v>
      </x:c>
      <x:c r="I634" s="84" t="n">
        <x:v>204</x:v>
      </x:c>
      <x:c r="J634" s="93" t="n">
        <x:v>5578.62</x:v>
      </x:c>
      <x:c r="K634" s="85" t="str">
        <x:v>3º Turno</x:v>
      </x:c>
    </x:row>
    <x:row r="635">
      <x:c r="A635" s="83" t="n">
        <x:v>634</x:v>
      </x:c>
      <x:c r="B635" s="84" t="n">
        <x:v>23</x:v>
      </x:c>
      <x:c r="C635" s="84" t="n">
        <x:v>1022</x:v>
      </x:c>
      <x:c r="D635" s="89" t="n">
        <x:v>45052.34457175926</x:v>
      </x:c>
      <x:c r="E635" s="89" t="n">
        <x:v>45052.71818287037</x:v>
      </x:c>
      <x:c r="F635" s="84" t="n">
        <x:v>538</x:v>
      </x:c>
      <x:c r="G635" s="84" t="n">
        <x:v>0</x:v>
      </x:c>
      <x:c r="H635" s="84" t="str">
        <x:v>Alarme intermitente</x:v>
      </x:c>
      <x:c r="I635" s="84" t="n">
        <x:v>1022</x:v>
      </x:c>
      <x:c r="J635" s="93" t="n">
        <x:v>8256.11</x:v>
      </x:c>
      <x:c r="K635" s="85" t="str">
        <x:v>2º Turno</x:v>
      </x:c>
    </x:row>
    <x:row r="636">
      <x:c r="A636" s="83" t="n">
        <x:v>635</x:v>
      </x:c>
      <x:c r="B636" s="84" t="n">
        <x:v>19</x:v>
      </x:c>
      <x:c r="C636" s="84" t="n">
        <x:v>1024</x:v>
      </x:c>
      <x:c r="D636" s="89" t="n">
        <x:v>45408.77668981482</x:v>
      </x:c>
      <x:c r="E636" s="89" t="n">
        <x:v>45408.88710648148</x:v>
      </x:c>
      <x:c r="F636" s="84" t="n">
        <x:v>159</x:v>
      </x:c>
      <x:c r="G636" s="84" t="n">
        <x:v>0</x:v>
      </x:c>
      <x:c r="H636" s="84" t="str">
        <x:v>Baixa pressão</x:v>
      </x:c>
      <x:c r="I636" s="84" t="n">
        <x:v>299</x:v>
      </x:c>
      <x:c r="J636" s="93" t="n">
        <x:v>9089.97</x:v>
      </x:c>
      <x:c r="K636" s="85" t="str">
        <x:v>1º Turno</x:v>
      </x:c>
    </x:row>
    <x:row r="637">
      <x:c r="A637" s="83" t="n">
        <x:v>636</x:v>
      </x:c>
      <x:c r="B637" s="84" t="n">
        <x:v>12</x:v>
      </x:c>
      <x:c r="C637" s="84" t="n">
        <x:v>1025</x:v>
      </x:c>
      <x:c r="D637" s="89" t="n">
        <x:v>45249.79314814815</x:v>
      </x:c>
      <x:c r="E637" s="89" t="n">
        <x:v>45250.17162037037</x:v>
      </x:c>
      <x:c r="F637" s="84" t="n">
        <x:v>545</x:v>
      </x:c>
      <x:c r="G637" s="84" t="n">
        <x:v>1</x:v>
      </x:c>
      <x:c r="H637" s="84" t="str">
        <x:v>Alarme intermitente</x:v>
      </x:c>
      <x:c r="I637" s="84" t="n">
        <x:v>1172</x:v>
      </x:c>
      <x:c r="J637" s="93" t="n">
        <x:v>10512.67</x:v>
      </x:c>
      <x:c r="K637" s="85" t="str">
        <x:v>2º Turno</x:v>
      </x:c>
    </x:row>
    <x:row r="638">
      <x:c r="A638" s="83" t="n">
        <x:v>637</x:v>
      </x:c>
      <x:c r="B638" s="84" t="n">
        <x:v>60</x:v>
      </x:c>
      <x:c r="C638" s="84" t="n">
        <x:v>1027</x:v>
      </x:c>
      <x:c r="D638" s="89" t="n">
        <x:v>45298.15943287037</x:v>
      </x:c>
      <x:c r="E638" s="89" t="n">
        <x:v>45298.40734953704</x:v>
      </x:c>
      <x:c r="F638" s="84" t="n">
        <x:v>357</x:v>
      </x:c>
      <x:c r="G638" s="84" t="n">
        <x:v>1</x:v>
      </x:c>
      <x:c r="H638" s="84" t="str">
        <x:v>Falha elétrica</x:v>
      </x:c>
      <x:c r="I638" s="84" t="n">
        <x:v>434</x:v>
      </x:c>
      <x:c r="J638" s="93" t="n">
        <x:v>5965.88</x:v>
      </x:c>
      <x:c r="K638" s="85" t="str">
        <x:v>1º Turno</x:v>
      </x:c>
    </x:row>
    <x:row r="639">
      <x:c r="A639" s="83" t="n">
        <x:v>638</x:v>
      </x:c>
      <x:c r="B639" s="84" t="n">
        <x:v>83</x:v>
      </x:c>
      <x:c r="C639" s="84" t="n">
        <x:v>1030</x:v>
      </x:c>
      <x:c r="D639" s="89" t="n">
        <x:v>45608.77164351852</x:v>
      </x:c>
      <x:c r="E639" s="89" t="n">
        <x:v>45608.9994212963</x:v>
      </x:c>
      <x:c r="F639" s="84" t="n">
        <x:v>328</x:v>
      </x:c>
      <x:c r="G639" s="84" t="n">
        <x:v>1</x:v>
      </x:c>
      <x:c r="H639" s="84" t="str">
        <x:v>Desalinhamento</x:v>
      </x:c>
      <x:c r="I639" s="84" t="n">
        <x:v>738</x:v>
      </x:c>
      <x:c r="J639" s="93" t="n">
        <x:v>5905.8</x:v>
      </x:c>
      <x:c r="K639" s="85" t="str">
        <x:v>1º Turno</x:v>
      </x:c>
    </x:row>
    <x:row r="640">
      <x:c r="A640" s="83" t="n">
        <x:v>639</x:v>
      </x:c>
      <x:c r="B640" s="84" t="n">
        <x:v>76</x:v>
      </x:c>
      <x:c r="C640" s="84" t="n">
        <x:v>1031</x:v>
      </x:c>
      <x:c r="D640" s="89" t="n">
        <x:v>45318.51888888889</x:v>
      </x:c>
      <x:c r="E640" s="89" t="n">
        <x:v>45319.01472222222</x:v>
      </x:c>
      <x:c r="F640" s="84" t="n">
        <x:v>714</x:v>
      </x:c>
      <x:c r="G640" s="84" t="n">
        <x:v>1</x:v>
      </x:c>
      <x:c r="H640" s="84" t="str">
        <x:v>Desalinhamento</x:v>
      </x:c>
      <x:c r="I640" s="84" t="n">
        <x:v>1511</x:v>
      </x:c>
      <x:c r="J640" s="93" t="n">
        <x:v>25892.49</x:v>
      </x:c>
      <x:c r="K640" s="85" t="str">
        <x:v>3º Turno</x:v>
      </x:c>
    </x:row>
    <x:row r="641">
      <x:c r="A641" s="83" t="n">
        <x:v>640</x:v>
      </x:c>
      <x:c r="B641" s="84" t="n">
        <x:v>68</x:v>
      </x:c>
      <x:c r="C641" s="84" t="n">
        <x:v>1032</x:v>
      </x:c>
      <x:c r="D641" s="89" t="n">
        <x:v>45537.655023148145</x:v>
      </x:c>
      <x:c r="E641" s="89" t="n">
        <x:v>45537.71891203704</x:v>
      </x:c>
      <x:c r="F641" s="84" t="n">
        <x:v>92</x:v>
      </x:c>
      <x:c r="G641" s="84" t="n">
        <x:v>1</x:v>
      </x:c>
      <x:c r="H641" s="84" t="str">
        <x:v>Falha elétrica</x:v>
      </x:c>
      <x:c r="I641" s="84" t="n">
        <x:v>146</x:v>
      </x:c>
      <x:c r="J641" s="93" t="n">
        <x:v>4935.17</x:v>
      </x:c>
      <x:c r="K641" s="85" t="str">
        <x:v>1º Turno</x:v>
      </x:c>
    </x:row>
    <x:row r="642">
      <x:c r="A642" s="83" t="n">
        <x:v>641</x:v>
      </x:c>
      <x:c r="B642" s="84" t="n">
        <x:v>2</x:v>
      </x:c>
      <x:c r="C642" s="84" t="n">
        <x:v>1034</x:v>
      </x:c>
      <x:c r="D642" s="89" t="n">
        <x:v>45617.54320601852</x:v>
      </x:c>
      <x:c r="E642" s="89" t="n">
        <x:v>45617.96612268518</x:v>
      </x:c>
      <x:c r="F642" s="84" t="n">
        <x:v>609</x:v>
      </x:c>
      <x:c r="G642" s="84" t="n">
        <x:v>0</x:v>
      </x:c>
      <x:c r="H642" s="84" t="str">
        <x:v>Falha elétrica</x:v>
      </x:c>
      <x:c r="I642" s="84" t="n">
        <x:v>822</x:v>
      </x:c>
      <x:c r="J642" s="93" t="n">
        <x:v>23994.77</x:v>
      </x:c>
      <x:c r="K642" s="85" t="str">
        <x:v>1º Turno</x:v>
      </x:c>
    </x:row>
    <x:row r="643">
      <x:c r="A643" s="83" t="n">
        <x:v>642</x:v>
      </x:c>
      <x:c r="B643" s="84" t="n">
        <x:v>43</x:v>
      </x:c>
      <x:c r="C643" s="84" t="n">
        <x:v>1036</x:v>
      </x:c>
      <x:c r="D643" s="89" t="n">
        <x:v>45988.824212962965</x:v>
      </x:c>
      <x:c r="E643" s="89" t="n">
        <x:v>45989.154074074075</x:v>
      </x:c>
      <x:c r="F643" s="84" t="n">
        <x:v>475</x:v>
      </x:c>
      <x:c r="G643" s="84" t="n">
        <x:v>1</x:v>
      </x:c>
      <x:c r="H643" s="84" t="str">
        <x:v>Baixa pressão</x:v>
      </x:c>
      <x:c r="I643" s="84" t="n">
        <x:v>926</x:v>
      </x:c>
      <x:c r="J643" s="93" t="n">
        <x:v>24452.43</x:v>
      </x:c>
      <x:c r="K643" s="85" t="str">
        <x:v>3º Turno</x:v>
      </x:c>
    </x:row>
    <x:row r="644">
      <x:c r="A644" s="83" t="n">
        <x:v>643</x:v>
      </x:c>
      <x:c r="B644" s="84" t="n">
        <x:v>23</x:v>
      </x:c>
      <x:c r="C644" s="84" t="n">
        <x:v>1037</x:v>
      </x:c>
      <x:c r="D644" s="89" t="n">
        <x:v>45290.288518518515</x:v>
      </x:c>
      <x:c r="E644" s="89" t="n">
        <x:v>45290.8412962963</x:v>
      </x:c>
      <x:c r="F644" s="84" t="n">
        <x:v>796</x:v>
      </x:c>
      <x:c r="G644" s="84" t="n">
        <x:v>1</x:v>
      </x:c>
      <x:c r="H644" s="84" t="str">
        <x:v>Alarme intermitente</x:v>
      </x:c>
      <x:c r="I644" s="84" t="n">
        <x:v>1725</x:v>
      </x:c>
      <x:c r="J644" s="93" t="n">
        <x:v>40715.27</x:v>
      </x:c>
      <x:c r="K644" s="85" t="str">
        <x:v>1º Turno</x:v>
      </x:c>
    </x:row>
    <x:row r="645">
      <x:c r="A645" s="83" t="n">
        <x:v>644</x:v>
      </x:c>
      <x:c r="B645" s="84" t="n">
        <x:v>18</x:v>
      </x:c>
      <x:c r="C645" s="84" t="n">
        <x:v>1038</x:v>
      </x:c>
      <x:c r="D645" s="89" t="n">
        <x:v>45837.715092592596</x:v>
      </x:c>
      <x:c r="E645" s="89" t="n">
        <x:v>45837.794953703706</x:v>
      </x:c>
      <x:c r="F645" s="84" t="n">
        <x:v>115</x:v>
      </x:c>
      <x:c r="G645" s="84" t="n">
        <x:v>1</x:v>
      </x:c>
      <x:c r="H645" s="84" t="str">
        <x:v>Baixa pressão</x:v>
      </x:c>
      <x:c r="I645" s="84" t="n">
        <x:v>188</x:v>
      </x:c>
      <x:c r="J645" s="93" t="n">
        <x:v>4720.59</x:v>
      </x:c>
      <x:c r="K645" s="85" t="str">
        <x:v>1º Turno</x:v>
      </x:c>
    </x:row>
    <x:row r="646">
      <x:c r="A646" s="83" t="n">
        <x:v>645</x:v>
      </x:c>
      <x:c r="B646" s="84" t="n">
        <x:v>90</x:v>
      </x:c>
      <x:c r="C646" s="84" t="n">
        <x:v>1039</x:v>
      </x:c>
      <x:c r="D646" s="89" t="n">
        <x:v>45674.47042824074</x:v>
      </x:c>
      <x:c r="E646" s="89" t="n">
        <x:v>45675.01556712963</x:v>
      </x:c>
      <x:c r="F646" s="84" t="n">
        <x:v>785</x:v>
      </x:c>
      <x:c r="G646" s="84" t="n">
        <x:v>1</x:v>
      </x:c>
      <x:c r="H646" s="84" t="str">
        <x:v>Baixa pressão</x:v>
      </x:c>
      <x:c r="I646" s="84" t="n">
        <x:v>1020</x:v>
      </x:c>
      <x:c r="J646" s="93" t="n">
        <x:v>16265.06</x:v>
      </x:c>
      <x:c r="K646" s="85" t="str">
        <x:v>2º Turno</x:v>
      </x:c>
    </x:row>
    <x:row r="647">
      <x:c r="A647" s="83" t="n">
        <x:v>646</x:v>
      </x:c>
      <x:c r="B647" s="84" t="n">
        <x:v>42</x:v>
      </x:c>
      <x:c r="C647" s="84" t="n">
        <x:v>1040</x:v>
      </x:c>
      <x:c r="D647" s="89" t="n">
        <x:v>45772.866064814814</x:v>
      </x:c>
      <x:c r="E647" s="89" t="n">
        <x:v>45773.31953703704</x:v>
      </x:c>
      <x:c r="F647" s="84" t="n">
        <x:v>653</x:v>
      </x:c>
      <x:c r="G647" s="84" t="n">
        <x:v>1</x:v>
      </x:c>
      <x:c r="H647" s="84" t="str">
        <x:v>Vazamento</x:v>
      </x:c>
      <x:c r="I647" s="84" t="n">
        <x:v>1012</x:v>
      </x:c>
      <x:c r="J647" s="93" t="n">
        <x:v>14015.42</x:v>
      </x:c>
      <x:c r="K647" s="85" t="str">
        <x:v>1º Turno</x:v>
      </x:c>
    </x:row>
    <x:row r="648">
      <x:c r="A648" s="83" t="n">
        <x:v>647</x:v>
      </x:c>
      <x:c r="B648" s="84" t="n">
        <x:v>33</x:v>
      </x:c>
      <x:c r="C648" s="84" t="n">
        <x:v>1041</x:v>
      </x:c>
      <x:c r="D648" s="89" t="n">
        <x:v>45227.9446875</x:v>
      </x:c>
      <x:c r="E648" s="89" t="n">
        <x:v>45227.99260416667</x:v>
      </x:c>
      <x:c r="F648" s="84" t="n">
        <x:v>69</x:v>
      </x:c>
      <x:c r="G648" s="84" t="n">
        <x:v>1</x:v>
      </x:c>
      <x:c r="H648" s="84" t="str">
        <x:v>Alarme intermitente</x:v>
      </x:c>
      <x:c r="I648" s="84" t="n">
        <x:v>99</x:v>
      </x:c>
      <x:c r="J648" s="93" t="n">
        <x:v>2028.54</x:v>
      </x:c>
      <x:c r="K648" s="85" t="str">
        <x:v>2º Turno</x:v>
      </x:c>
    </x:row>
    <x:row r="649">
      <x:c r="A649" s="83" t="n">
        <x:v>648</x:v>
      </x:c>
      <x:c r="B649" s="84" t="n">
        <x:v>43</x:v>
      </x:c>
      <x:c r="C649" s="84" t="n">
        <x:v>1042</x:v>
      </x:c>
      <x:c r="D649" s="89" t="n">
        <x:v>45069.27486111111</x:v>
      </x:c>
      <x:c r="E649" s="89" t="n">
        <x:v>45069.72416666667</x:v>
      </x:c>
      <x:c r="F649" s="84" t="n">
        <x:v>647</x:v>
      </x:c>
      <x:c r="G649" s="84" t="n">
        <x:v>1</x:v>
      </x:c>
      <x:c r="H649" s="84" t="str">
        <x:v>Vazamento</x:v>
      </x:c>
      <x:c r="I649" s="84" t="n">
        <x:v>1208</x:v>
      </x:c>
      <x:c r="J649" s="93" t="n">
        <x:v>21759.51</x:v>
      </x:c>
      <x:c r="K649" s="85" t="str">
        <x:v>1º Turno</x:v>
      </x:c>
    </x:row>
    <x:row r="650">
      <x:c r="A650" s="83" t="n">
        <x:v>649</x:v>
      </x:c>
      <x:c r="B650" s="84" t="n">
        <x:v>19</x:v>
      </x:c>
      <x:c r="C650" s="84" t="n">
        <x:v>1043</x:v>
      </x:c>
      <x:c r="D650" s="89" t="n">
        <x:v>45085.25892361111</x:v>
      </x:c>
      <x:c r="E650" s="89" t="n">
        <x:v>45085.47420138889</x:v>
      </x:c>
      <x:c r="F650" s="84" t="n">
        <x:v>310</x:v>
      </x:c>
      <x:c r="G650" s="84" t="n">
        <x:v>0</x:v>
      </x:c>
      <x:c r="H650" s="84" t="str">
        <x:v>Desalinhamento</x:v>
      </x:c>
      <x:c r="I650" s="84" t="n">
        <x:v>625</x:v>
      </x:c>
      <x:c r="J650" s="93" t="n">
        <x:v>8160.7</x:v>
      </x:c>
      <x:c r="K650" s="85" t="str">
        <x:v>3º Turno</x:v>
      </x:c>
    </x:row>
    <x:row r="651">
      <x:c r="A651" s="83" t="n">
        <x:v>650</x:v>
      </x:c>
      <x:c r="B651" s="84" t="n">
        <x:v>74</x:v>
      </x:c>
      <x:c r="C651" s="84" t="n">
        <x:v>1044</x:v>
      </x:c>
      <x:c r="D651" s="89" t="n">
        <x:v>44951.38657407407</x:v>
      </x:c>
      <x:c r="E651" s="89" t="n">
        <x:v>44951.75949074074</x:v>
      </x:c>
      <x:c r="F651" s="84" t="n">
        <x:v>537</x:v>
      </x:c>
      <x:c r="G651" s="84" t="n">
        <x:v>1</x:v>
      </x:c>
      <x:c r="H651" s="84" t="str">
        <x:v>Vazamento</x:v>
      </x:c>
      <x:c r="I651" s="84" t="n">
        <x:v>805</x:v>
      </x:c>
      <x:c r="J651" s="93" t="n">
        <x:v>19557.22</x:v>
      </x:c>
      <x:c r="K651" s="85" t="str">
        <x:v>3º Turno</x:v>
      </x:c>
    </x:row>
    <x:row r="652">
      <x:c r="A652" s="83" t="n">
        <x:v>651</x:v>
      </x:c>
      <x:c r="B652" s="84" t="n">
        <x:v>36</x:v>
      </x:c>
      <x:c r="C652" s="84" t="n">
        <x:v>1045</x:v>
      </x:c>
      <x:c r="D652" s="89" t="n">
        <x:v>44987.38246527778</x:v>
      </x:c>
      <x:c r="E652" s="89" t="n">
        <x:v>44987.55677083333</x:v>
      </x:c>
      <x:c r="F652" s="84" t="n">
        <x:v>251</x:v>
      </x:c>
      <x:c r="G652" s="84" t="n">
        <x:v>1</x:v>
      </x:c>
      <x:c r="H652" s="84" t="str">
        <x:v>Vazamento</x:v>
      </x:c>
      <x:c r="I652" s="84" t="n">
        <x:v>284</x:v>
      </x:c>
      <x:c r="J652" s="93" t="n">
        <x:v>9375.91</x:v>
      </x:c>
      <x:c r="K652" s="85" t="str">
        <x:v>3º Turno</x:v>
      </x:c>
    </x:row>
    <x:row r="653">
      <x:c r="A653" s="83" t="n">
        <x:v>652</x:v>
      </x:c>
      <x:c r="B653" s="84" t="n">
        <x:v>35</x:v>
      </x:c>
      <x:c r="C653" s="84" t="n">
        <x:v>1046</x:v>
      </x:c>
      <x:c r="D653" s="89" t="n">
        <x:v>45827.043229166666</x:v>
      </x:c>
      <x:c r="E653" s="89" t="n">
        <x:v>45827.45711805556</x:v>
      </x:c>
      <x:c r="F653" s="84" t="n">
        <x:v>596</x:v>
      </x:c>
      <x:c r="G653" s="84" t="n">
        <x:v>0</x:v>
      </x:c>
      <x:c r="H653" s="84" t="str">
        <x:v>Vazamento</x:v>
      </x:c>
      <x:c r="I653" s="84" t="n">
        <x:v>705</x:v>
      </x:c>
      <x:c r="J653" s="93" t="n">
        <x:v>10403.88</x:v>
      </x:c>
      <x:c r="K653" s="85" t="str">
        <x:v>1º Turno</x:v>
      </x:c>
    </x:row>
    <x:row r="654">
      <x:c r="A654" s="83" t="n">
        <x:v>653</x:v>
      </x:c>
      <x:c r="B654" s="84" t="n">
        <x:v>33</x:v>
      </x:c>
      <x:c r="C654" s="84" t="n">
        <x:v>1047</x:v>
      </x:c>
      <x:c r="D654" s="89" t="n">
        <x:v>45100.92699074074</x:v>
      </x:c>
      <x:c r="E654" s="89" t="n">
        <x:v>45101.12074074074</x:v>
      </x:c>
      <x:c r="F654" s="84" t="n">
        <x:v>279</x:v>
      </x:c>
      <x:c r="G654" s="84" t="n">
        <x:v>1</x:v>
      </x:c>
      <x:c r="H654" s="84" t="str">
        <x:v>Baixa pressão</x:v>
      </x:c>
      <x:c r="I654" s="84" t="n">
        <x:v>460</x:v>
      </x:c>
      <x:c r="J654" s="93" t="n">
        <x:v>5484.01</x:v>
      </x:c>
      <x:c r="K654" s="85" t="str">
        <x:v>2º Turno</x:v>
      </x:c>
    </x:row>
    <x:row r="655">
      <x:c r="A655" s="83" t="n">
        <x:v>654</x:v>
      </x:c>
      <x:c r="B655" s="84" t="n">
        <x:v>68</x:v>
      </x:c>
      <x:c r="C655" s="84" t="n">
        <x:v>1048</x:v>
      </x:c>
      <x:c r="D655" s="89" t="n">
        <x:v>45092.58783564815</x:v>
      </x:c>
      <x:c r="E655" s="89" t="n">
        <x:v>45092.66769675926</x:v>
      </x:c>
      <x:c r="F655" s="84" t="n">
        <x:v>115</x:v>
      </x:c>
      <x:c r="G655" s="84" t="n">
        <x:v>1</x:v>
      </x:c>
      <x:c r="H655" s="84" t="str">
        <x:v>Alarme intermitente</x:v>
      </x:c>
      <x:c r="I655" s="84" t="n">
        <x:v>194</x:v>
      </x:c>
      <x:c r="J655" s="93" t="n">
        <x:v>4673.78</x:v>
      </x:c>
      <x:c r="K655" s="85" t="str">
        <x:v>1º Turno</x:v>
      </x:c>
    </x:row>
    <x:row r="656">
      <x:c r="A656" s="83" t="n">
        <x:v>655</x:v>
      </x:c>
      <x:c r="B656" s="84" t="n">
        <x:v>51</x:v>
      </x:c>
      <x:c r="C656" s="84" t="n">
        <x:v>1049</x:v>
      </x:c>
      <x:c r="D656" s="89" t="n">
        <x:v>45054.64818287037</x:v>
      </x:c>
      <x:c r="E656" s="89" t="n">
        <x:v>45054.98012731481</x:v>
      </x:c>
      <x:c r="F656" s="84" t="n">
        <x:v>478</x:v>
      </x:c>
      <x:c r="G656" s="84" t="n">
        <x:v>0</x:v>
      </x:c>
      <x:c r="H656" s="84" t="str">
        <x:v>Baixa pressão</x:v>
      </x:c>
      <x:c r="I656" s="84" t="n">
        <x:v>1195</x:v>
      </x:c>
      <x:c r="J656" s="93" t="n">
        <x:v>18765.31</x:v>
      </x:c>
      <x:c r="K656" s="85" t="str">
        <x:v>3º Turno</x:v>
      </x:c>
    </x:row>
    <x:row r="657">
      <x:c r="A657" s="83" t="n">
        <x:v>656</x:v>
      </x:c>
      <x:c r="B657" s="84" t="n">
        <x:v>79</x:v>
      </x:c>
      <x:c r="C657" s="84" t="n">
        <x:v>1050</x:v>
      </x:c>
      <x:c r="D657" s="89" t="n">
        <x:v>45975.83189814815</x:v>
      </x:c>
      <x:c r="E657" s="89" t="n">
        <x:v>45976.00064814815</x:v>
      </x:c>
      <x:c r="F657" s="84" t="n">
        <x:v>243</x:v>
      </x:c>
      <x:c r="G657" s="84" t="n">
        <x:v>0</x:v>
      </x:c>
      <x:c r="H657" s="84" t="str">
        <x:v>Superaquecimento</x:v>
      </x:c>
      <x:c r="I657" s="84" t="n">
        <x:v>373</x:v>
      </x:c>
      <x:c r="J657" s="93" t="n">
        <x:v>11826.03</x:v>
      </x:c>
      <x:c r="K657" s="85" t="str">
        <x:v>1º Turno</x:v>
      </x:c>
    </x:row>
    <x:row r="658">
      <x:c r="A658" s="83" t="n">
        <x:v>657</x:v>
      </x:c>
      <x:c r="B658" s="84" t="n">
        <x:v>10</x:v>
      </x:c>
      <x:c r="C658" s="84" t="n">
        <x:v>1052</x:v>
      </x:c>
      <x:c r="D658" s="89" t="n">
        <x:v>45722.11618055555</x:v>
      </x:c>
      <x:c r="E658" s="89" t="n">
        <x:v>45722.658541666664</x:v>
      </x:c>
      <x:c r="F658" s="84" t="n">
        <x:v>781</x:v>
      </x:c>
      <x:c r="G658" s="84" t="n">
        <x:v>1</x:v>
      </x:c>
      <x:c r="H658" s="84" t="str">
        <x:v>Baixa pressão</x:v>
      </x:c>
      <x:c r="I658" s="84" t="n">
        <x:v>1809</x:v>
      </x:c>
      <x:c r="J658" s="93" t="n">
        <x:v>16916.86</x:v>
      </x:c>
      <x:c r="K658" s="85" t="str">
        <x:v>3º Turno</x:v>
      </x:c>
    </x:row>
    <x:row r="659">
      <x:c r="A659" s="83" t="n">
        <x:v>658</x:v>
      </x:c>
      <x:c r="B659" s="84" t="n">
        <x:v>80</x:v>
      </x:c>
      <x:c r="C659" s="84" t="n">
        <x:v>1055</x:v>
      </x:c>
      <x:c r="D659" s="89" t="n">
        <x:v>45970.55017361111</x:v>
      </x:c>
      <x:c r="E659" s="89" t="n">
        <x:v>45970.84947916667</x:v>
      </x:c>
      <x:c r="F659" s="84" t="n">
        <x:v>431</x:v>
      </x:c>
      <x:c r="G659" s="84" t="n">
        <x:v>1</x:v>
      </x:c>
      <x:c r="H659" s="84" t="str">
        <x:v>Desalinhamento</x:v>
      </x:c>
      <x:c r="I659" s="84" t="n">
        <x:v>934</x:v>
      </x:c>
      <x:c r="J659" s="93" t="n">
        <x:v>11633.1</x:v>
      </x:c>
      <x:c r="K659" s="85" t="str">
        <x:v>2º Turno</x:v>
      </x:c>
    </x:row>
    <x:row r="660">
      <x:c r="A660" s="83" t="n">
        <x:v>659</x:v>
      </x:c>
      <x:c r="B660" s="84" t="n">
        <x:v>58</x:v>
      </x:c>
      <x:c r="C660" s="84" t="n">
        <x:v>1056</x:v>
      </x:c>
      <x:c r="D660" s="89" t="n">
        <x:v>45726.001296296294</x:v>
      </x:c>
      <x:c r="E660" s="89" t="n">
        <x:v>45726.105462962965</x:v>
      </x:c>
      <x:c r="F660" s="84" t="n">
        <x:v>150</x:v>
      </x:c>
      <x:c r="G660" s="84" t="n">
        <x:v>0</x:v>
      </x:c>
      <x:c r="H660" s="84" t="str">
        <x:v>Baixa pressão</x:v>
      </x:c>
      <x:c r="I660" s="84" t="n">
        <x:v>320</x:v>
      </x:c>
      <x:c r="J660" s="93" t="n">
        <x:v>4945.32</x:v>
      </x:c>
      <x:c r="K660" s="85" t="str">
        <x:v>1º Turno</x:v>
      </x:c>
    </x:row>
    <x:row r="661">
      <x:c r="A661" s="83" t="n">
        <x:v>660</x:v>
      </x:c>
      <x:c r="B661" s="84" t="n">
        <x:v>49</x:v>
      </x:c>
      <x:c r="C661" s="84" t="n">
        <x:v>1057</x:v>
      </x:c>
      <x:c r="D661" s="89" t="n">
        <x:v>45604.16570601852</x:v>
      </x:c>
      <x:c r="E661" s="89" t="n">
        <x:v>45604.7872337963</x:v>
      </x:c>
      <x:c r="F661" s="84" t="n">
        <x:v>895</x:v>
      </x:c>
      <x:c r="G661" s="84" t="n">
        <x:v>1</x:v>
      </x:c>
      <x:c r="H661" s="84" t="str">
        <x:v>Desalinhamento</x:v>
      </x:c>
      <x:c r="I661" s="84" t="n">
        <x:v>1477</x:v>
      </x:c>
      <x:c r="J661" s="93" t="n">
        <x:v>43122.65</x:v>
      </x:c>
      <x:c r="K661" s="85" t="str">
        <x:v>3º Turno</x:v>
      </x:c>
    </x:row>
    <x:row r="662">
      <x:c r="A662" s="83" t="n">
        <x:v>661</x:v>
      </x:c>
      <x:c r="B662" s="84" t="n">
        <x:v>13</x:v>
      </x:c>
      <x:c r="C662" s="84" t="n">
        <x:v>1058</x:v>
      </x:c>
      <x:c r="D662" s="89" t="n">
        <x:v>45062.712372685186</x:v>
      </x:c>
      <x:c r="E662" s="89" t="n">
        <x:v>45062.98737268519</x:v>
      </x:c>
      <x:c r="F662" s="84" t="n">
        <x:v>396</x:v>
      </x:c>
      <x:c r="G662" s="84" t="n">
        <x:v>1</x:v>
      </x:c>
      <x:c r="H662" s="84" t="str">
        <x:v>Desalinhamento</x:v>
      </x:c>
      <x:c r="I662" s="84" t="n">
        <x:v>884</x:v>
      </x:c>
      <x:c r="J662" s="93" t="n">
        <x:v>19555.53</x:v>
      </x:c>
      <x:c r="K662" s="85" t="str">
        <x:v>3º Turno</x:v>
      </x:c>
    </x:row>
    <x:row r="663">
      <x:c r="A663" s="83" t="n">
        <x:v>662</x:v>
      </x:c>
      <x:c r="B663" s="84" t="n">
        <x:v>61</x:v>
      </x:c>
      <x:c r="C663" s="84" t="n">
        <x:v>1060</x:v>
      </x:c>
      <x:c r="D663" s="89" t="n">
        <x:v>45942.380960648145</x:v>
      </x:c>
      <x:c r="E663" s="89" t="n">
        <x:v>45942.59137731481</x:v>
      </x:c>
      <x:c r="F663" s="84" t="n">
        <x:v>303</x:v>
      </x:c>
      <x:c r="G663" s="84" t="n">
        <x:v>0</x:v>
      </x:c>
      <x:c r="H663" s="84" t="str">
        <x:v>Superaquecimento</x:v>
      </x:c>
      <x:c r="I663" s="84" t="n">
        <x:v>444</x:v>
      </x:c>
      <x:c r="J663" s="93" t="n">
        <x:v>15288.2</x:v>
      </x:c>
      <x:c r="K663" s="85" t="str">
        <x:v>3º Turno</x:v>
      </x:c>
    </x:row>
    <x:row r="664">
      <x:c r="A664" s="83" t="n">
        <x:v>663</x:v>
      </x:c>
      <x:c r="B664" s="84" t="n">
        <x:v>85</x:v>
      </x:c>
      <x:c r="C664" s="84" t="n">
        <x:v>1062</x:v>
      </x:c>
      <x:c r="D664" s="89" t="n">
        <x:v>45075.56596064815</x:v>
      </x:c>
      <x:c r="E664" s="89" t="n">
        <x:v>45075.84373842592</x:v>
      </x:c>
      <x:c r="F664" s="84" t="n">
        <x:v>400</x:v>
      </x:c>
      <x:c r="G664" s="84" t="n">
        <x:v>1</x:v>
      </x:c>
      <x:c r="H664" s="84" t="str">
        <x:v>Desalinhamento</x:v>
      </x:c>
      <x:c r="I664" s="84" t="n">
        <x:v>973</x:v>
      </x:c>
      <x:c r="J664" s="93" t="n">
        <x:v>14824.46</x:v>
      </x:c>
      <x:c r="K664" s="85" t="str">
        <x:v>3º Turno</x:v>
      </x:c>
    </x:row>
    <x:row r="665">
      <x:c r="A665" s="83" t="n">
        <x:v>664</x:v>
      </x:c>
      <x:c r="B665" s="84" t="n">
        <x:v>78</x:v>
      </x:c>
      <x:c r="C665" s="84" t="n">
        <x:v>1063</x:v>
      </x:c>
      <x:c r="D665" s="89" t="n">
        <x:v>45313.85717592593</x:v>
      </x:c>
      <x:c r="E665" s="89" t="n">
        <x:v>45314.167592592596</x:v>
      </x:c>
      <x:c r="F665" s="84" t="n">
        <x:v>447</x:v>
      </x:c>
      <x:c r="G665" s="84" t="n">
        <x:v>0</x:v>
      </x:c>
      <x:c r="H665" s="84" t="str">
        <x:v>Vazamento</x:v>
      </x:c>
      <x:c r="I665" s="84" t="n">
        <x:v>812</x:v>
      </x:c>
      <x:c r="J665" s="93" t="n">
        <x:v>7303.36</x:v>
      </x:c>
      <x:c r="K665" s="85" t="str">
        <x:v>2º Turno</x:v>
      </x:c>
    </x:row>
    <x:row r="666">
      <x:c r="A666" s="83" t="n">
        <x:v>665</x:v>
      </x:c>
      <x:c r="B666" s="84" t="n">
        <x:v>6</x:v>
      </x:c>
      <x:c r="C666" s="84" t="n">
        <x:v>1064</x:v>
      </x:c>
      <x:c r="D666" s="89" t="n">
        <x:v>45403.11502314815</x:v>
      </x:c>
      <x:c r="E666" s="89" t="n">
        <x:v>45403.24071759259</x:v>
      </x:c>
      <x:c r="F666" s="84" t="n">
        <x:v>181</x:v>
      </x:c>
      <x:c r="G666" s="84" t="n">
        <x:v>1</x:v>
      </x:c>
      <x:c r="H666" s="84" t="str">
        <x:v>Alarme intermitente</x:v>
      </x:c>
      <x:c r="I666" s="84" t="n">
        <x:v>416</x:v>
      </x:c>
      <x:c r="J666" s="93" t="n">
        <x:v>9093.72</x:v>
      </x:c>
      <x:c r="K666" s="85" t="str">
        <x:v>2º Turno</x:v>
      </x:c>
    </x:row>
    <x:row r="667">
      <x:c r="A667" s="83" t="n">
        <x:v>666</x:v>
      </x:c>
      <x:c r="B667" s="84" t="n">
        <x:v>45</x:v>
      </x:c>
      <x:c r="C667" s="84" t="n">
        <x:v>1065</x:v>
      </x:c>
      <x:c r="D667" s="89" t="n">
        <x:v>45461.8415625</x:v>
      </x:c>
      <x:c r="E667" s="89" t="n">
        <x:v>45461.86864583333</x:v>
      </x:c>
      <x:c r="F667" s="84" t="n">
        <x:v>39</x:v>
      </x:c>
      <x:c r="G667" s="84" t="n">
        <x:v>1</x:v>
      </x:c>
      <x:c r="H667" s="84" t="str">
        <x:v>Vazamento</x:v>
      </x:c>
      <x:c r="I667" s="84" t="n">
        <x:v>85</x:v>
      </x:c>
      <x:c r="J667" s="93" t="n">
        <x:v>1948.2</x:v>
      </x:c>
      <x:c r="K667" s="85" t="str">
        <x:v>2º Turno</x:v>
      </x:c>
    </x:row>
    <x:row r="668">
      <x:c r="A668" s="83" t="n">
        <x:v>667</x:v>
      </x:c>
      <x:c r="B668" s="84" t="n">
        <x:v>68</x:v>
      </x:c>
      <x:c r="C668" s="84" t="n">
        <x:v>1067</x:v>
      </x:c>
      <x:c r="D668" s="89" t="n">
        <x:v>44988.52119212963</x:v>
      </x:c>
      <x:c r="E668" s="89" t="n">
        <x:v>44988.70521990741</x:v>
      </x:c>
      <x:c r="F668" s="84" t="n">
        <x:v>265</x:v>
      </x:c>
      <x:c r="G668" s="84" t="n">
        <x:v>0</x:v>
      </x:c>
      <x:c r="H668" s="84" t="str">
        <x:v>Ruído anormal</x:v>
      </x:c>
      <x:c r="I668" s="84" t="n">
        <x:v>552</x:v>
      </x:c>
      <x:c r="J668" s="93" t="n">
        <x:v>13482.83</x:v>
      </x:c>
      <x:c r="K668" s="85" t="str">
        <x:v>1º Turno</x:v>
      </x:c>
    </x:row>
    <x:row r="669">
      <x:c r="A669" s="83" t="n">
        <x:v>668</x:v>
      </x:c>
      <x:c r="B669" s="84" t="n">
        <x:v>89</x:v>
      </x:c>
      <x:c r="C669" s="84" t="n">
        <x:v>1068</x:v>
      </x:c>
      <x:c r="D669" s="89" t="n">
        <x:v>45003.087546296294</x:v>
      </x:c>
      <x:c r="E669" s="89" t="n">
        <x:v>45003.23546296296</x:v>
      </x:c>
      <x:c r="F669" s="84" t="n">
        <x:v>213</x:v>
      </x:c>
      <x:c r="G669" s="84" t="n">
        <x:v>1</x:v>
      </x:c>
      <x:c r="H669" s="84" t="str">
        <x:v>Desalinhamento</x:v>
      </x:c>
      <x:c r="I669" s="84" t="n">
        <x:v>522</x:v>
      </x:c>
      <x:c r="J669" s="93" t="n">
        <x:v>10171.93</x:v>
      </x:c>
      <x:c r="K669" s="85" t="str">
        <x:v>3º Turno</x:v>
      </x:c>
    </x:row>
    <x:row r="670">
      <x:c r="A670" s="83" t="n">
        <x:v>669</x:v>
      </x:c>
      <x:c r="B670" s="84" t="n">
        <x:v>22</x:v>
      </x:c>
      <x:c r="C670" s="84" t="n">
        <x:v>1069</x:v>
      </x:c>
      <x:c r="D670" s="89" t="n">
        <x:v>45699.65027777778</x:v>
      </x:c>
      <x:c r="E670" s="89" t="n">
        <x:v>45700.17875</x:v>
      </x:c>
      <x:c r="F670" s="84" t="n">
        <x:v>761</x:v>
      </x:c>
      <x:c r="G670" s="84" t="n">
        <x:v>1</x:v>
      </x:c>
      <x:c r="H670" s="84" t="str">
        <x:v>Alarme intermitente</x:v>
      </x:c>
      <x:c r="I670" s="84" t="n">
        <x:v>1662</x:v>
      </x:c>
      <x:c r="J670" s="93" t="n">
        <x:v>41864.57</x:v>
      </x:c>
      <x:c r="K670" s="85" t="str">
        <x:v>3º Turno</x:v>
      </x:c>
    </x:row>
    <x:row r="671">
      <x:c r="A671" s="83" t="n">
        <x:v>670</x:v>
      </x:c>
      <x:c r="B671" s="84" t="n">
        <x:v>43</x:v>
      </x:c>
      <x:c r="C671" s="84" t="n">
        <x:v>1071</x:v>
      </x:c>
      <x:c r="D671" s="89" t="n">
        <x:v>45207.655752314815</x:v>
      </x:c>
      <x:c r="E671" s="89" t="n">
        <x:v>45207.79880787037</x:v>
      </x:c>
      <x:c r="F671" s="84" t="n">
        <x:v>206</x:v>
      </x:c>
      <x:c r="G671" s="84" t="n">
        <x:v>1</x:v>
      </x:c>
      <x:c r="H671" s="84" t="str">
        <x:v>Vazamento</x:v>
      </x:c>
      <x:c r="I671" s="84" t="n">
        <x:v>295</x:v>
      </x:c>
      <x:c r="J671" s="93" t="n">
        <x:v>4607.53</x:v>
      </x:c>
      <x:c r="K671" s="85" t="str">
        <x:v>3º Turno</x:v>
      </x:c>
    </x:row>
    <x:row r="672">
      <x:c r="A672" s="83" t="n">
        <x:v>671</x:v>
      </x:c>
      <x:c r="B672" s="84" t="n">
        <x:v>67</x:v>
      </x:c>
      <x:c r="C672" s="84" t="n">
        <x:v>1072</x:v>
      </x:c>
      <x:c r="D672" s="89" t="n">
        <x:v>45318.278020833335</x:v>
      </x:c>
      <x:c r="E672" s="89" t="n">
        <x:v>45318.298854166664</x:v>
      </x:c>
      <x:c r="F672" s="84" t="n">
        <x:v>30</x:v>
      </x:c>
      <x:c r="G672" s="84" t="n">
        <x:v>1</x:v>
      </x:c>
      <x:c r="H672" s="84" t="str">
        <x:v>Alarme intermitente</x:v>
      </x:c>
      <x:c r="I672" s="84" t="n">
        <x:v>30</x:v>
      </x:c>
      <x:c r="J672" s="93" t="n">
        <x:v>621.51</x:v>
      </x:c>
      <x:c r="K672" s="85" t="str">
        <x:v>2º Turno</x:v>
      </x:c>
    </x:row>
    <x:row r="673">
      <x:c r="A673" s="83" t="n">
        <x:v>672</x:v>
      </x:c>
      <x:c r="B673" s="84" t="n">
        <x:v>64</x:v>
      </x:c>
      <x:c r="C673" s="84" t="n">
        <x:v>1076</x:v>
      </x:c>
      <x:c r="D673" s="89" t="n">
        <x:v>45515.36331018519</x:v>
      </x:c>
      <x:c r="E673" s="89" t="n">
        <x:v>45515.386921296296</x:v>
      </x:c>
      <x:c r="F673" s="84" t="n">
        <x:v>34</x:v>
      </x:c>
      <x:c r="G673" s="84" t="n">
        <x:v>1</x:v>
      </x:c>
      <x:c r="H673" s="84" t="str">
        <x:v>Vazamento</x:v>
      </x:c>
      <x:c r="I673" s="84" t="n">
        <x:v>44</x:v>
      </x:c>
      <x:c r="J673" s="93" t="n">
        <x:v>760.21</x:v>
      </x:c>
      <x:c r="K673" s="85" t="str">
        <x:v>1º Turno</x:v>
      </x:c>
    </x:row>
    <x:row r="674">
      <x:c r="A674" s="83" t="n">
        <x:v>673</x:v>
      </x:c>
      <x:c r="B674" s="84" t="n">
        <x:v>64</x:v>
      </x:c>
      <x:c r="C674" s="84" t="n">
        <x:v>1077</x:v>
      </x:c>
      <x:c r="D674" s="89" t="n">
        <x:v>45437.36618055555</x:v>
      </x:c>
      <x:c r="E674" s="89" t="n">
        <x:v>45437.81895833334</x:v>
      </x:c>
      <x:c r="F674" s="84" t="n">
        <x:v>652</x:v>
      </x:c>
      <x:c r="G674" s="84" t="n">
        <x:v>0</x:v>
      </x:c>
      <x:c r="H674" s="84" t="str">
        <x:v>Falha elétrica</x:v>
      </x:c>
      <x:c r="I674" s="84" t="n">
        <x:v>1510</x:v>
      </x:c>
      <x:c r="J674" s="93" t="n">
        <x:v>15796.38</x:v>
      </x:c>
      <x:c r="K674" s="85" t="str">
        <x:v>2º Turno</x:v>
      </x:c>
    </x:row>
    <x:row r="675">
      <x:c r="A675" s="83" t="n">
        <x:v>674</x:v>
      </x:c>
      <x:c r="B675" s="84" t="n">
        <x:v>33</x:v>
      </x:c>
      <x:c r="C675" s="84" t="n">
        <x:v>1078</x:v>
      </x:c>
      <x:c r="D675" s="89" t="n">
        <x:v>45867.91341435185</x:v>
      </x:c>
      <x:c r="E675" s="89" t="n">
        <x:v>45868.296747685185</x:v>
      </x:c>
      <x:c r="F675" s="84" t="n">
        <x:v>552</x:v>
      </x:c>
      <x:c r="G675" s="84" t="n">
        <x:v>1</x:v>
      </x:c>
      <x:c r="H675" s="84" t="str">
        <x:v>Alarme intermitente</x:v>
      </x:c>
      <x:c r="I675" s="84" t="n">
        <x:v>727</x:v>
      </x:c>
      <x:c r="J675" s="93" t="n">
        <x:v>31177.82</x:v>
      </x:c>
      <x:c r="K675" s="85" t="str">
        <x:v>1º Turno</x:v>
      </x:c>
    </x:row>
    <x:row r="676">
      <x:c r="A676" s="83" t="n">
        <x:v>675</x:v>
      </x:c>
      <x:c r="B676" s="84" t="n">
        <x:v>60</x:v>
      </x:c>
      <x:c r="C676" s="84" t="n">
        <x:v>1079</x:v>
      </x:c>
      <x:c r="D676" s="89" t="n">
        <x:v>45556.34630787037</x:v>
      </x:c>
      <x:c r="E676" s="89" t="n">
        <x:v>45556.797002314815</x:v>
      </x:c>
      <x:c r="F676" s="84" t="n">
        <x:v>649</x:v>
      </x:c>
      <x:c r="G676" s="84" t="n">
        <x:v>0</x:v>
      </x:c>
      <x:c r="H676" s="84" t="str">
        <x:v>Falha elétrica</x:v>
      </x:c>
      <x:c r="I676" s="84" t="n">
        <x:v>671</x:v>
      </x:c>
      <x:c r="J676" s="93" t="n">
        <x:v>13233.57</x:v>
      </x:c>
      <x:c r="K676" s="85" t="str">
        <x:v>1º Turno</x:v>
      </x:c>
    </x:row>
    <x:row r="677">
      <x:c r="A677" s="83" t="n">
        <x:v>676</x:v>
      </x:c>
      <x:c r="B677" s="84" t="n">
        <x:v>88</x:v>
      </x:c>
      <x:c r="C677" s="84" t="n">
        <x:v>1080</x:v>
      </x:c>
      <x:c r="D677" s="89" t="n">
        <x:v>45117.97456018518</x:v>
      </x:c>
      <x:c r="E677" s="89" t="n">
        <x:v>45118.021782407406</x:v>
      </x:c>
      <x:c r="F677" s="84" t="n">
        <x:v>68</x:v>
      </x:c>
      <x:c r="G677" s="84" t="n">
        <x:v>1</x:v>
      </x:c>
      <x:c r="H677" s="84" t="str">
        <x:v>Ruído anormal</x:v>
      </x:c>
      <x:c r="I677" s="84" t="n">
        <x:v>154</x:v>
      </x:c>
      <x:c r="J677" s="93" t="n">
        <x:v>1598.76</x:v>
      </x:c>
      <x:c r="K677" s="85" t="str">
        <x:v>3º Turno</x:v>
      </x:c>
    </x:row>
    <x:row r="678">
      <x:c r="A678" s="83" t="n">
        <x:v>677</x:v>
      </x:c>
      <x:c r="B678" s="84" t="n">
        <x:v>68</x:v>
      </x:c>
      <x:c r="C678" s="84" t="n">
        <x:v>1081</x:v>
      </x:c>
      <x:c r="D678" s="89" t="n">
        <x:v>45197.17508101852</x:v>
      </x:c>
      <x:c r="E678" s="89" t="n">
        <x:v>45197.27855324074</x:v>
      </x:c>
      <x:c r="F678" s="84" t="n">
        <x:v>149</x:v>
      </x:c>
      <x:c r="G678" s="84" t="n">
        <x:v>1</x:v>
      </x:c>
      <x:c r="H678" s="84" t="str">
        <x:v>Ruído anormal</x:v>
      </x:c>
      <x:c r="I678" s="84" t="n">
        <x:v>161</x:v>
      </x:c>
      <x:c r="J678" s="93" t="n">
        <x:v>6467.38</x:v>
      </x:c>
      <x:c r="K678" s="85" t="str">
        <x:v>3º Turno</x:v>
      </x:c>
    </x:row>
    <x:row r="679">
      <x:c r="A679" s="83" t="n">
        <x:v>678</x:v>
      </x:c>
      <x:c r="B679" s="84" t="n">
        <x:v>32</x:v>
      </x:c>
      <x:c r="C679" s="84" t="n">
        <x:v>1084</x:v>
      </x:c>
      <x:c r="D679" s="89" t="n">
        <x:v>45890.76148148148</x:v>
      </x:c>
      <x:c r="E679" s="89" t="n">
        <x:v>45891.13717592593</x:v>
      </x:c>
      <x:c r="F679" s="84" t="n">
        <x:v>541</x:v>
      </x:c>
      <x:c r="G679" s="84" t="n">
        <x:v>1</x:v>
      </x:c>
      <x:c r="H679" s="84" t="str">
        <x:v>Falha elétrica</x:v>
      </x:c>
      <x:c r="I679" s="84" t="n">
        <x:v>992</x:v>
      </x:c>
      <x:c r="J679" s="93" t="n">
        <x:v>8891.44</x:v>
      </x:c>
      <x:c r="K679" s="85" t="str">
        <x:v>3º Turno</x:v>
      </x:c>
    </x:row>
    <x:row r="680">
      <x:c r="A680" s="83" t="n">
        <x:v>679</x:v>
      </x:c>
      <x:c r="B680" s="84" t="n">
        <x:v>22</x:v>
      </x:c>
      <x:c r="C680" s="84" t="n">
        <x:v>1086</x:v>
      </x:c>
      <x:c r="D680" s="89" t="n">
        <x:v>45044.823645833334</x:v>
      </x:c>
      <x:c r="E680" s="89" t="n">
        <x:v>45044.936840277776</x:v>
      </x:c>
      <x:c r="F680" s="84" t="n">
        <x:v>163</x:v>
      </x:c>
      <x:c r="G680" s="84" t="n">
        <x:v>1</x:v>
      </x:c>
      <x:c r="H680" s="84" t="str">
        <x:v>Vazamento</x:v>
      </x:c>
      <x:c r="I680" s="84" t="n">
        <x:v>367</x:v>
      </x:c>
      <x:c r="J680" s="93" t="n">
        <x:v>4309.21</x:v>
      </x:c>
      <x:c r="K680" s="85" t="str">
        <x:v>2º Turno</x:v>
      </x:c>
    </x:row>
    <x:row r="681">
      <x:c r="A681" s="83" t="n">
        <x:v>680</x:v>
      </x:c>
      <x:c r="B681" s="84" t="n">
        <x:v>23</x:v>
      </x:c>
      <x:c r="C681" s="84" t="n">
        <x:v>1087</x:v>
      </x:c>
      <x:c r="D681" s="89" t="n">
        <x:v>45591.294074074074</x:v>
      </x:c>
      <x:c r="E681" s="89" t="n">
        <x:v>45591.63851851852</x:v>
      </x:c>
      <x:c r="F681" s="84" t="n">
        <x:v>496</x:v>
      </x:c>
      <x:c r="G681" s="84" t="n">
        <x:v>0</x:v>
      </x:c>
      <x:c r="H681" s="84" t="str">
        <x:v>Desalinhamento</x:v>
      </x:c>
      <x:c r="I681" s="84" t="n">
        <x:v>942</x:v>
      </x:c>
      <x:c r="J681" s="93" t="n">
        <x:v>21452.3</x:v>
      </x:c>
      <x:c r="K681" s="85" t="str">
        <x:v>1º Turno</x:v>
      </x:c>
    </x:row>
    <x:row r="682">
      <x:c r="A682" s="83" t="n">
        <x:v>681</x:v>
      </x:c>
      <x:c r="B682" s="84" t="n">
        <x:v>39</x:v>
      </x:c>
      <x:c r="C682" s="84" t="n">
        <x:v>1088</x:v>
      </x:c>
      <x:c r="D682" s="89" t="n">
        <x:v>44948.22461805555</x:v>
      </x:c>
      <x:c r="E682" s="89" t="n">
        <x:v>44948.43920138889</x:v>
      </x:c>
      <x:c r="F682" s="84" t="n">
        <x:v>309</x:v>
      </x:c>
      <x:c r="G682" s="84" t="n">
        <x:v>1</x:v>
      </x:c>
      <x:c r="H682" s="84" t="str">
        <x:v>Falha elétrica</x:v>
      </x:c>
      <x:c r="I682" s="84" t="n">
        <x:v>716</x:v>
      </x:c>
      <x:c r="J682" s="93" t="n">
        <x:v>8990.07</x:v>
      </x:c>
      <x:c r="K682" s="85" t="str">
        <x:v>1º Turno</x:v>
      </x:c>
    </x:row>
    <x:row r="683">
      <x:c r="A683" s="83" t="n">
        <x:v>682</x:v>
      </x:c>
      <x:c r="B683" s="84" t="n">
        <x:v>89</x:v>
      </x:c>
      <x:c r="C683" s="84" t="n">
        <x:v>1090</x:v>
      </x:c>
      <x:c r="D683" s="89" t="n">
        <x:v>45606.54069444445</x:v>
      </x:c>
      <x:c r="E683" s="89" t="n">
        <x:v>45606.720555555556</x:v>
      </x:c>
      <x:c r="F683" s="84" t="n">
        <x:v>259</x:v>
      </x:c>
      <x:c r="G683" s="84" t="n">
        <x:v>1</x:v>
      </x:c>
      <x:c r="H683" s="84" t="str">
        <x:v>Falha elétrica</x:v>
      </x:c>
      <x:c r="I683" s="84" t="n">
        <x:v>626</x:v>
      </x:c>
      <x:c r="J683" s="93" t="n">
        <x:v>6114.49</x:v>
      </x:c>
      <x:c r="K683" s="85" t="str">
        <x:v>3º Turno</x:v>
      </x:c>
    </x:row>
    <x:row r="684">
      <x:c r="A684" s="83" t="n">
        <x:v>683</x:v>
      </x:c>
      <x:c r="B684" s="84" t="n">
        <x:v>35</x:v>
      </x:c>
      <x:c r="C684" s="84" t="n">
        <x:v>1092</x:v>
      </x:c>
      <x:c r="D684" s="89" t="n">
        <x:v>44941.17042824074</x:v>
      </x:c>
      <x:c r="E684" s="89" t="n">
        <x:v>44941.19820601852</x:v>
      </x:c>
      <x:c r="F684" s="84" t="n">
        <x:v>40</x:v>
      </x:c>
      <x:c r="G684" s="84" t="n">
        <x:v>1</x:v>
      </x:c>
      <x:c r="H684" s="84" t="str">
        <x:v>Ruído anormal</x:v>
      </x:c>
      <x:c r="I684" s="84" t="n">
        <x:v>99</x:v>
      </x:c>
      <x:c r="J684" s="93" t="n">
        <x:v>1903.64</x:v>
      </x:c>
      <x:c r="K684" s="85" t="str">
        <x:v>2º Turno</x:v>
      </x:c>
    </x:row>
    <x:row r="685">
      <x:c r="A685" s="83" t="n">
        <x:v>684</x:v>
      </x:c>
      <x:c r="B685" s="84" t="n">
        <x:v>73</x:v>
      </x:c>
      <x:c r="C685" s="84" t="n">
        <x:v>1093</x:v>
      </x:c>
      <x:c r="D685" s="89" t="n">
        <x:v>45051.68178240741</x:v>
      </x:c>
      <x:c r="E685" s="89" t="n">
        <x:v>45052.29636574074</x:v>
      </x:c>
      <x:c r="F685" s="84" t="n">
        <x:v>885</x:v>
      </x:c>
      <x:c r="G685" s="84" t="n">
        <x:v>1</x:v>
      </x:c>
      <x:c r="H685" s="84" t="str">
        <x:v>Baixa pressão</x:v>
      </x:c>
      <x:c r="I685" s="84" t="n">
        <x:v>2094</x:v>
      </x:c>
      <x:c r="J685" s="93" t="n">
        <x:v>12471.65</x:v>
      </x:c>
      <x:c r="K685" s="85" t="str">
        <x:v>3º Turno</x:v>
      </x:c>
    </x:row>
    <x:row r="686">
      <x:c r="A686" s="83" t="n">
        <x:v>685</x:v>
      </x:c>
      <x:c r="B686" s="84" t="n">
        <x:v>40</x:v>
      </x:c>
      <x:c r="C686" s="84" t="n">
        <x:v>1096</x:v>
      </x:c>
      <x:c r="D686" s="89" t="n">
        <x:v>45417.70359953704</x:v>
      </x:c>
      <x:c r="E686" s="89" t="n">
        <x:v>45417.73137731481</x:v>
      </x:c>
      <x:c r="F686" s="84" t="n">
        <x:v>40</x:v>
      </x:c>
      <x:c r="G686" s="84" t="n">
        <x:v>1</x:v>
      </x:c>
      <x:c r="H686" s="84" t="str">
        <x:v>Ruído anormal</x:v>
      </x:c>
      <x:c r="I686" s="84" t="n">
        <x:v>41</x:v>
      </x:c>
      <x:c r="J686" s="93" t="n">
        <x:v>1152.38</x:v>
      </x:c>
      <x:c r="K686" s="85" t="str">
        <x:v>3º Turno</x:v>
      </x:c>
    </x:row>
    <x:row r="687">
      <x:c r="A687" s="83" t="n">
        <x:v>686</x:v>
      </x:c>
      <x:c r="B687" s="84" t="n">
        <x:v>46</x:v>
      </x:c>
      <x:c r="C687" s="84" t="n">
        <x:v>1097</x:v>
      </x:c>
      <x:c r="D687" s="89" t="n">
        <x:v>45607.38555555556</x:v>
      </x:c>
      <x:c r="E687" s="89" t="n">
        <x:v>45607.564722222225</x:v>
      </x:c>
      <x:c r="F687" s="84" t="n">
        <x:v>258</x:v>
      </x:c>
      <x:c r="G687" s="84" t="n">
        <x:v>1</x:v>
      </x:c>
      <x:c r="H687" s="84" t="str">
        <x:v>Alarme intermitente</x:v>
      </x:c>
      <x:c r="I687" s="84" t="n">
        <x:v>624</x:v>
      </x:c>
      <x:c r="J687" s="93" t="n">
        <x:v>5390.64</x:v>
      </x:c>
      <x:c r="K687" s="85" t="str">
        <x:v>3º Turno</x:v>
      </x:c>
    </x:row>
    <x:row r="688">
      <x:c r="A688" s="83" t="n">
        <x:v>687</x:v>
      </x:c>
      <x:c r="B688" s="84" t="n">
        <x:v>72</x:v>
      </x:c>
      <x:c r="C688" s="84" t="n">
        <x:v>1099</x:v>
      </x:c>
      <x:c r="D688" s="89" t="n">
        <x:v>45450.67618055556</x:v>
      </x:c>
      <x:c r="E688" s="89" t="n">
        <x:v>45450.958125</x:v>
      </x:c>
      <x:c r="F688" s="84" t="n">
        <x:v>406</x:v>
      </x:c>
      <x:c r="G688" s="84" t="n">
        <x:v>1</x:v>
      </x:c>
      <x:c r="H688" s="84" t="str">
        <x:v>Alarme intermitente</x:v>
      </x:c>
      <x:c r="I688" s="84" t="n">
        <x:v>900</x:v>
      </x:c>
      <x:c r="J688" s="93" t="n">
        <x:v>21031.97</x:v>
      </x:c>
      <x:c r="K688" s="85" t="str">
        <x:v>1º Turno</x:v>
      </x:c>
    </x:row>
    <x:row r="689">
      <x:c r="A689" s="83" t="n">
        <x:v>688</x:v>
      </x:c>
      <x:c r="B689" s="84" t="n">
        <x:v>7</x:v>
      </x:c>
      <x:c r="C689" s="84" t="n">
        <x:v>1100</x:v>
      </x:c>
      <x:c r="D689" s="89" t="n">
        <x:v>45957.49863425926</x:v>
      </x:c>
      <x:c r="E689" s="89" t="n">
        <x:v>45957.54377314815</x:v>
      </x:c>
      <x:c r="F689" s="84" t="n">
        <x:v>65</x:v>
      </x:c>
      <x:c r="G689" s="84" t="n">
        <x:v>1</x:v>
      </x:c>
      <x:c r="H689" s="84" t="str">
        <x:v>Superaquecimento</x:v>
      </x:c>
      <x:c r="I689" s="84" t="n">
        <x:v>147</x:v>
      </x:c>
      <x:c r="J689" s="93" t="n">
        <x:v>1080.24</x:v>
      </x:c>
      <x:c r="K689" s="85" t="str">
        <x:v>2º Turno</x:v>
      </x:c>
    </x:row>
    <x:row r="690">
      <x:c r="A690" s="83" t="n">
        <x:v>689</x:v>
      </x:c>
      <x:c r="B690" s="84" t="n">
        <x:v>82</x:v>
      </x:c>
      <x:c r="C690" s="84" t="n">
        <x:v>1101</x:v>
      </x:c>
      <x:c r="D690" s="89" t="n">
        <x:v>45153.148310185185</x:v>
      </x:c>
      <x:c r="E690" s="89" t="n">
        <x:v>45153.49275462963</x:v>
      </x:c>
      <x:c r="F690" s="84" t="n">
        <x:v>496</x:v>
      </x:c>
      <x:c r="G690" s="84" t="n">
        <x:v>1</x:v>
      </x:c>
      <x:c r="H690" s="84" t="str">
        <x:v>Superaquecimento</x:v>
      </x:c>
      <x:c r="I690" s="84" t="n">
        <x:v>1232</x:v>
      </x:c>
      <x:c r="J690" s="93" t="n">
        <x:v>14112.97</x:v>
      </x:c>
      <x:c r="K690" s="85" t="str">
        <x:v>1º Turno</x:v>
      </x:c>
    </x:row>
    <x:row r="691">
      <x:c r="A691" s="83" t="n">
        <x:v>690</x:v>
      </x:c>
      <x:c r="B691" s="84" t="n">
        <x:v>83</x:v>
      </x:c>
      <x:c r="C691" s="84" t="n">
        <x:v>1102</x:v>
      </x:c>
      <x:c r="D691" s="89" t="n">
        <x:v>45106.79913194444</x:v>
      </x:c>
      <x:c r="E691" s="89" t="n">
        <x:v>45107.35260416667</x:v>
      </x:c>
      <x:c r="F691" s="84" t="n">
        <x:v>797</x:v>
      </x:c>
      <x:c r="G691" s="84" t="n">
        <x:v>1</x:v>
      </x:c>
      <x:c r="H691" s="84" t="str">
        <x:v>Desalinhamento</x:v>
      </x:c>
      <x:c r="I691" s="84" t="n">
        <x:v>1514</x:v>
      </x:c>
      <x:c r="J691" s="93" t="n">
        <x:v>38699.37</x:v>
      </x:c>
      <x:c r="K691" s="85" t="str">
        <x:v>1º Turno</x:v>
      </x:c>
    </x:row>
    <x:row r="692">
      <x:c r="A692" s="83" t="n">
        <x:v>691</x:v>
      </x:c>
      <x:c r="B692" s="84" t="n">
        <x:v>14</x:v>
      </x:c>
      <x:c r="C692" s="84" t="n">
        <x:v>1103</x:v>
      </x:c>
      <x:c r="D692" s="89" t="n">
        <x:v>45634.813263888886</x:v>
      </x:c>
      <x:c r="E692" s="89" t="n">
        <x:v>45635.06673611111</x:v>
      </x:c>
      <x:c r="F692" s="84" t="n">
        <x:v>365</x:v>
      </x:c>
      <x:c r="G692" s="84" t="n">
        <x:v>0</x:v>
      </x:c>
      <x:c r="H692" s="84" t="str">
        <x:v>Alarme intermitente</x:v>
      </x:c>
      <x:c r="I692" s="84" t="n">
        <x:v>888</x:v>
      </x:c>
      <x:c r="J692" s="93" t="n">
        <x:v>13919.74</x:v>
      </x:c>
      <x:c r="K692" s="85" t="str">
        <x:v>1º Turno</x:v>
      </x:c>
    </x:row>
    <x:row r="693">
      <x:c r="A693" s="83" t="n">
        <x:v>692</x:v>
      </x:c>
      <x:c r="B693" s="84" t="n">
        <x:v>13</x:v>
      </x:c>
      <x:c r="C693" s="84" t="n">
        <x:v>1104</x:v>
      </x:c>
      <x:c r="D693" s="89" t="n">
        <x:v>45362.587743055556</x:v>
      </x:c>
      <x:c r="E693" s="89" t="n">
        <x:v>45363.08913194444</x:v>
      </x:c>
      <x:c r="F693" s="84" t="n">
        <x:v>722</x:v>
      </x:c>
      <x:c r="G693" s="84" t="n">
        <x:v>1</x:v>
      </x:c>
      <x:c r="H693" s="84" t="str">
        <x:v>Alarme intermitente</x:v>
      </x:c>
      <x:c r="I693" s="84" t="n">
        <x:v>734</x:v>
      </x:c>
      <x:c r="J693" s="93" t="n">
        <x:v>27981.16</x:v>
      </x:c>
      <x:c r="K693" s="85" t="str">
        <x:v>3º Turno</x:v>
      </x:c>
    </x:row>
    <x:row r="694">
      <x:c r="A694" s="83" t="n">
        <x:v>693</x:v>
      </x:c>
      <x:c r="B694" s="84" t="n">
        <x:v>57</x:v>
      </x:c>
      <x:c r="C694" s="84" t="n">
        <x:v>1106</x:v>
      </x:c>
      <x:c r="D694" s="89" t="n">
        <x:v>46007.089479166665</x:v>
      </x:c>
      <x:c r="E694" s="89" t="n">
        <x:v>46007.59989583334</x:v>
      </x:c>
      <x:c r="F694" s="84" t="n">
        <x:v>735</x:v>
      </x:c>
      <x:c r="G694" s="84" t="n">
        <x:v>0</x:v>
      </x:c>
      <x:c r="H694" s="84" t="str">
        <x:v>Ruído anormal</x:v>
      </x:c>
      <x:c r="I694" s="84" t="n">
        <x:v>1482</x:v>
      </x:c>
      <x:c r="J694" s="93" t="n">
        <x:v>19013.55</x:v>
      </x:c>
      <x:c r="K694" s="85" t="str">
        <x:v>3º Turno</x:v>
      </x:c>
    </x:row>
    <x:row r="695">
      <x:c r="A695" s="83" t="n">
        <x:v>694</x:v>
      </x:c>
      <x:c r="B695" s="84" t="n">
        <x:v>41</x:v>
      </x:c>
      <x:c r="C695" s="84" t="n">
        <x:v>1107</x:v>
      </x:c>
      <x:c r="D695" s="89" t="n">
        <x:v>45178.263136574074</x:v>
      </x:c>
      <x:c r="E695" s="89" t="n">
        <x:v>45178.86730324074</x:v>
      </x:c>
      <x:c r="F695" s="84" t="n">
        <x:v>870</x:v>
      </x:c>
      <x:c r="G695" s="84" t="n">
        <x:v>0</x:v>
      </x:c>
      <x:c r="H695" s="84" t="str">
        <x:v>Desalinhamento</x:v>
      </x:c>
      <x:c r="I695" s="84" t="n">
        <x:v>1740</x:v>
      </x:c>
      <x:c r="J695" s="93" t="n">
        <x:v>13753.23</x:v>
      </x:c>
      <x:c r="K695" s="85" t="str">
        <x:v>3º Turno</x:v>
      </x:c>
    </x:row>
    <x:row r="696">
      <x:c r="A696" s="83" t="n">
        <x:v>695</x:v>
      </x:c>
      <x:c r="B696" s="84" t="n">
        <x:v>90</x:v>
      </x:c>
      <x:c r="C696" s="84" t="n">
        <x:v>1109</x:v>
      </x:c>
      <x:c r="D696" s="89" t="n">
        <x:v>45474.973807870374</x:v>
      </x:c>
      <x:c r="E696" s="89" t="n">
        <x:v>45475.15991898148</x:v>
      </x:c>
      <x:c r="F696" s="84" t="n">
        <x:v>268</x:v>
      </x:c>
      <x:c r="G696" s="84" t="n">
        <x:v>1</x:v>
      </x:c>
      <x:c r="H696" s="84" t="str">
        <x:v>Falha elétrica</x:v>
      </x:c>
      <x:c r="I696" s="84" t="n">
        <x:v>648</x:v>
      </x:c>
      <x:c r="J696" s="93" t="n">
        <x:v>7985.09</x:v>
      </x:c>
      <x:c r="K696" s="85" t="str">
        <x:v>2º Turno</x:v>
      </x:c>
    </x:row>
    <x:row r="697">
      <x:c r="A697" s="83" t="n">
        <x:v>696</x:v>
      </x:c>
      <x:c r="B697" s="84" t="n">
        <x:v>85</x:v>
      </x:c>
      <x:c r="C697" s="84" t="n">
        <x:v>1110</x:v>
      </x:c>
      <x:c r="D697" s="89" t="n">
        <x:v>44956.483506944445</x:v>
      </x:c>
      <x:c r="E697" s="89" t="n">
        <x:v>44956.509201388886</x:v>
      </x:c>
      <x:c r="F697" s="84" t="n">
        <x:v>37</x:v>
      </x:c>
      <x:c r="G697" s="84" t="n">
        <x:v>1</x:v>
      </x:c>
      <x:c r="H697" s="84" t="str">
        <x:v>Superaquecimento</x:v>
      </x:c>
      <x:c r="I697" s="84" t="n">
        <x:v>67</x:v>
      </x:c>
      <x:c r="J697" s="93" t="n">
        <x:v>2109.57</x:v>
      </x:c>
      <x:c r="K697" s="85" t="str">
        <x:v>2º Turno</x:v>
      </x:c>
    </x:row>
    <x:row r="698">
      <x:c r="A698" s="83" t="n">
        <x:v>697</x:v>
      </x:c>
      <x:c r="B698" s="84" t="n">
        <x:v>74</x:v>
      </x:c>
      <x:c r="C698" s="84" t="n">
        <x:v>1112</x:v>
      </x:c>
      <x:c r="D698" s="89" t="n">
        <x:v>45085.08957175926</x:v>
      </x:c>
      <x:c r="E698" s="89" t="n">
        <x:v>45085.5340162037</x:v>
      </x:c>
      <x:c r="F698" s="84" t="n">
        <x:v>640</x:v>
      </x:c>
      <x:c r="G698" s="84" t="n">
        <x:v>1</x:v>
      </x:c>
      <x:c r="H698" s="84" t="str">
        <x:v>Superaquecimento</x:v>
      </x:c>
      <x:c r="I698" s="84" t="n">
        <x:v>1525</x:v>
      </x:c>
      <x:c r="J698" s="93" t="n">
        <x:v>22560.68</x:v>
      </x:c>
      <x:c r="K698" s="85" t="str">
        <x:v>2º Turno</x:v>
      </x:c>
    </x:row>
    <x:row r="699">
      <x:c r="A699" s="83" t="n">
        <x:v>698</x:v>
      </x:c>
      <x:c r="B699" s="84" t="n">
        <x:v>79</x:v>
      </x:c>
      <x:c r="C699" s="84" t="n">
        <x:v>1116</x:v>
      </x:c>
      <x:c r="D699" s="89" t="n">
        <x:v>45920.783159722225</x:v>
      </x:c>
      <x:c r="E699" s="89" t="n">
        <x:v>45921.00954861111</x:v>
      </x:c>
      <x:c r="F699" s="84" t="n">
        <x:v>326</x:v>
      </x:c>
      <x:c r="G699" s="84" t="n">
        <x:v>1</x:v>
      </x:c>
      <x:c r="H699" s="84" t="str">
        <x:v>Falha elétrica</x:v>
      </x:c>
      <x:c r="I699" s="84" t="n">
        <x:v>326</x:v>
      </x:c>
      <x:c r="J699" s="93" t="n">
        <x:v>15935.61</x:v>
      </x:c>
      <x:c r="K699" s="85" t="str">
        <x:v>2º Turno</x:v>
      </x:c>
    </x:row>
    <x:row r="700">
      <x:c r="A700" s="83" t="n">
        <x:v>699</x:v>
      </x:c>
      <x:c r="B700" s="84" t="n">
        <x:v>82</x:v>
      </x:c>
      <x:c r="C700" s="84" t="n">
        <x:v>1117</x:v>
      </x:c>
      <x:c r="D700" s="89" t="n">
        <x:v>45104.35503472222</x:v>
      </x:c>
      <x:c r="E700" s="89" t="n">
        <x:v>45104.47378472222</x:v>
      </x:c>
      <x:c r="F700" s="84" t="n">
        <x:v>171</x:v>
      </x:c>
      <x:c r="G700" s="84" t="n">
        <x:v>1</x:v>
      </x:c>
      <x:c r="H700" s="84" t="str">
        <x:v>Vazamento</x:v>
      </x:c>
      <x:c r="I700" s="84" t="n">
        <x:v>399</x:v>
      </x:c>
      <x:c r="J700" s="93" t="n">
        <x:v>7166.69</x:v>
      </x:c>
      <x:c r="K700" s="85" t="str">
        <x:v>3º Turno</x:v>
      </x:c>
    </x:row>
    <x:row r="701">
      <x:c r="A701" s="83" t="n">
        <x:v>700</x:v>
      </x:c>
      <x:c r="B701" s="84" t="n">
        <x:v>76</x:v>
      </x:c>
      <x:c r="C701" s="84" t="n">
        <x:v>1118</x:v>
      </x:c>
      <x:c r="D701" s="89" t="n">
        <x:v>45317.48070601852</x:v>
      </x:c>
      <x:c r="E701" s="89" t="n">
        <x:v>45317.817511574074</x:v>
      </x:c>
      <x:c r="F701" s="84" t="n">
        <x:v>485</x:v>
      </x:c>
      <x:c r="G701" s="84" t="n">
        <x:v>1</x:v>
      </x:c>
      <x:c r="H701" s="84" t="str">
        <x:v>Baixa pressão</x:v>
      </x:c>
      <x:c r="I701" s="84" t="n">
        <x:v>663</x:v>
      </x:c>
      <x:c r="J701" s="93" t="n">
        <x:v>21102.11</x:v>
      </x:c>
      <x:c r="K701" s="85" t="str">
        <x:v>1º Turno</x:v>
      </x:c>
    </x:row>
    <x:row r="702">
      <x:c r="A702" s="83" t="n">
        <x:v>701</x:v>
      </x:c>
      <x:c r="B702" s="84" t="n">
        <x:v>26</x:v>
      </x:c>
      <x:c r="C702" s="84" t="n">
        <x:v>1120</x:v>
      </x:c>
      <x:c r="D702" s="89" t="n">
        <x:v>45027.91695601852</x:v>
      </x:c>
      <x:c r="E702" s="89" t="n">
        <x:v>45028.42390046296</x:v>
      </x:c>
      <x:c r="F702" s="84" t="n">
        <x:v>730</x:v>
      </x:c>
      <x:c r="G702" s="84" t="n">
        <x:v>1</x:v>
      </x:c>
      <x:c r="H702" s="84" t="str">
        <x:v>Baixa pressão</x:v>
      </x:c>
      <x:c r="I702" s="84" t="n">
        <x:v>1387</x:v>
      </x:c>
      <x:c r="J702" s="93" t="n">
        <x:v>39147.51</x:v>
      </x:c>
      <x:c r="K702" s="85" t="str">
        <x:v>2º Turno</x:v>
      </x:c>
    </x:row>
    <x:row r="703">
      <x:c r="A703" s="83" t="n">
        <x:v>702</x:v>
      </x:c>
      <x:c r="B703" s="84" t="n">
        <x:v>87</x:v>
      </x:c>
      <x:c r="C703" s="84" t="n">
        <x:v>1121</x:v>
      </x:c>
      <x:c r="D703" s="89" t="n">
        <x:v>45725.05872685185</x:v>
      </x:c>
      <x:c r="E703" s="89" t="n">
        <x:v>45725.57469907407</x:v>
      </x:c>
      <x:c r="F703" s="84" t="n">
        <x:v>743</x:v>
      </x:c>
      <x:c r="G703" s="84" t="n">
        <x:v>1</x:v>
      </x:c>
      <x:c r="H703" s="84" t="str">
        <x:v>Vazamento</x:v>
      </x:c>
      <x:c r="I703" s="84" t="n">
        <x:v>1511</x:v>
      </x:c>
      <x:c r="J703" s="93" t="n">
        <x:v>40166.17</x:v>
      </x:c>
      <x:c r="K703" s="85" t="str">
        <x:v>2º Turno</x:v>
      </x:c>
    </x:row>
    <x:row r="704">
      <x:c r="A704" s="83" t="n">
        <x:v>703</x:v>
      </x:c>
      <x:c r="B704" s="84" t="n">
        <x:v>85</x:v>
      </x:c>
      <x:c r="C704" s="84" t="n">
        <x:v>1123</x:v>
      </x:c>
      <x:c r="D704" s="89" t="n">
        <x:v>45759.48542824074</x:v>
      </x:c>
      <x:c r="E704" s="89" t="n">
        <x:v>45760.10070601852</x:v>
      </x:c>
      <x:c r="F704" s="84" t="n">
        <x:v>886</x:v>
      </x:c>
      <x:c r="G704" s="84" t="n">
        <x:v>1</x:v>
      </x:c>
      <x:c r="H704" s="84" t="str">
        <x:v>Falha elétrica</x:v>
      </x:c>
      <x:c r="I704" s="84" t="n">
        <x:v>1226</x:v>
      </x:c>
      <x:c r="J704" s="93" t="n">
        <x:v>25058.41</x:v>
      </x:c>
      <x:c r="K704" s="85" t="str">
        <x:v>1º Turno</x:v>
      </x:c>
    </x:row>
    <x:row r="705">
      <x:c r="A705" s="83" t="n">
        <x:v>704</x:v>
      </x:c>
      <x:c r="B705" s="84" t="n">
        <x:v>46</x:v>
      </x:c>
      <x:c r="C705" s="84" t="n">
        <x:v>1125</x:v>
      </x:c>
      <x:c r="D705" s="89" t="n">
        <x:v>45152.776712962965</x:v>
      </x:c>
      <x:c r="E705" s="89" t="n">
        <x:v>45152.96907407408</x:v>
      </x:c>
      <x:c r="F705" s="84" t="n">
        <x:v>277</x:v>
      </x:c>
      <x:c r="G705" s="84" t="n">
        <x:v>1</x:v>
      </x:c>
      <x:c r="H705" s="84" t="str">
        <x:v>Desalinhamento</x:v>
      </x:c>
      <x:c r="I705" s="84" t="n">
        <x:v>480</x:v>
      </x:c>
      <x:c r="J705" s="93" t="n">
        <x:v>7099.8</x:v>
      </x:c>
      <x:c r="K705" s="85" t="str">
        <x:v>1º Turno</x:v>
      </x:c>
    </x:row>
    <x:row r="706">
      <x:c r="A706" s="83" t="n">
        <x:v>705</x:v>
      </x:c>
      <x:c r="B706" s="84" t="n">
        <x:v>89</x:v>
      </x:c>
      <x:c r="C706" s="84" t="n">
        <x:v>1127</x:v>
      </x:c>
      <x:c r="D706" s="89" t="n">
        <x:v>45712.51018518519</x:v>
      </x:c>
      <x:c r="E706" s="89" t="n">
        <x:v>45712.81365740741</x:v>
      </x:c>
      <x:c r="F706" s="84" t="n">
        <x:v>437</x:v>
      </x:c>
      <x:c r="G706" s="84" t="n">
        <x:v>1</x:v>
      </x:c>
      <x:c r="H706" s="84" t="str">
        <x:v>Ruído anormal</x:v>
      </x:c>
      <x:c r="I706" s="84" t="n">
        <x:v>721</x:v>
      </x:c>
      <x:c r="J706" s="93" t="n">
        <x:v>7647.65</x:v>
      </x:c>
      <x:c r="K706" s="85" t="str">
        <x:v>2º Turno</x:v>
      </x:c>
    </x:row>
    <x:row r="707">
      <x:c r="A707" s="83" t="n">
        <x:v>706</x:v>
      </x:c>
      <x:c r="B707" s="84" t="n">
        <x:v>37</x:v>
      </x:c>
      <x:c r="C707" s="84" t="n">
        <x:v>1128</x:v>
      </x:c>
      <x:c r="D707" s="89" t="n">
        <x:v>45851.2346412037</x:v>
      </x:c>
      <x:c r="E707" s="89" t="n">
        <x:v>45851.2533912037</x:v>
      </x:c>
      <x:c r="F707" s="84" t="n">
        <x:v>27</x:v>
      </x:c>
      <x:c r="G707" s="84" t="n">
        <x:v>1</x:v>
      </x:c>
      <x:c r="H707" s="84" t="str">
        <x:v>Alarme intermitente</x:v>
      </x:c>
      <x:c r="I707" s="84" t="n">
        <x:v>35</x:v>
      </x:c>
      <x:c r="J707" s="93" t="n">
        <x:v>717.95</x:v>
      </x:c>
      <x:c r="K707" s="85" t="str">
        <x:v>3º Turno</x:v>
      </x:c>
    </x:row>
    <x:row r="708">
      <x:c r="A708" s="83" t="n">
        <x:v>707</x:v>
      </x:c>
      <x:c r="B708" s="84" t="n">
        <x:v>84</x:v>
      </x:c>
      <x:c r="C708" s="84" t="n">
        <x:v>1130</x:v>
      </x:c>
      <x:c r="D708" s="89" t="n">
        <x:v>45811.711180555554</x:v>
      </x:c>
      <x:c r="E708" s="89" t="n">
        <x:v>45811.947291666664</x:v>
      </x:c>
      <x:c r="F708" s="84" t="n">
        <x:v>340</x:v>
      </x:c>
      <x:c r="G708" s="84" t="n">
        <x:v>1</x:v>
      </x:c>
      <x:c r="H708" s="84" t="str">
        <x:v>Baixa pressão</x:v>
      </x:c>
      <x:c r="I708" s="84" t="n">
        <x:v>470</x:v>
      </x:c>
      <x:c r="J708" s="93" t="n">
        <x:v>10844.29</x:v>
      </x:c>
      <x:c r="K708" s="85" t="str">
        <x:v>2º Turno</x:v>
      </x:c>
    </x:row>
    <x:row r="709">
      <x:c r="A709" s="83" t="n">
        <x:v>708</x:v>
      </x:c>
      <x:c r="B709" s="84" t="n">
        <x:v>34</x:v>
      </x:c>
      <x:c r="C709" s="84" t="n">
        <x:v>1132</x:v>
      </x:c>
      <x:c r="D709" s="89" t="n">
        <x:v>46020.373564814814</x:v>
      </x:c>
      <x:c r="E709" s="89" t="n">
        <x:v>46020.65412037037</x:v>
      </x:c>
      <x:c r="F709" s="84" t="n">
        <x:v>404</x:v>
      </x:c>
      <x:c r="G709" s="84" t="n">
        <x:v>1</x:v>
      </x:c>
      <x:c r="H709" s="84" t="str">
        <x:v>Alarme intermitente</x:v>
      </x:c>
      <x:c r="I709" s="84" t="n">
        <x:v>741</x:v>
      </x:c>
      <x:c r="J709" s="93" t="n">
        <x:v>13910.1</x:v>
      </x:c>
      <x:c r="K709" s="85" t="str">
        <x:v>2º Turno</x:v>
      </x:c>
    </x:row>
    <x:row r="710">
      <x:c r="A710" s="83" t="n">
        <x:v>709</x:v>
      </x:c>
      <x:c r="B710" s="84" t="n">
        <x:v>30</x:v>
      </x:c>
      <x:c r="C710" s="84" t="n">
        <x:v>1134</x:v>
      </x:c>
      <x:c r="D710" s="89" t="n">
        <x:v>45830.5628125</x:v>
      </x:c>
      <x:c r="E710" s="89" t="n">
        <x:v>45831.18017361111</x:v>
      </x:c>
      <x:c r="F710" s="84" t="n">
        <x:v>889</x:v>
      </x:c>
      <x:c r="G710" s="84" t="n">
        <x:v>1</x:v>
      </x:c>
      <x:c r="H710" s="84" t="str">
        <x:v>Desalinhamento</x:v>
      </x:c>
      <x:c r="I710" s="84" t="n">
        <x:v>889</x:v>
      </x:c>
      <x:c r="J710" s="93" t="n">
        <x:v>28028.96</x:v>
      </x:c>
      <x:c r="K710" s="85" t="str">
        <x:v>3º Turno</x:v>
      </x:c>
    </x:row>
    <x:row r="711">
      <x:c r="A711" s="83" t="n">
        <x:v>710</x:v>
      </x:c>
      <x:c r="B711" s="84" t="n">
        <x:v>81</x:v>
      </x:c>
      <x:c r="C711" s="84" t="n">
        <x:v>1138</x:v>
      </x:c>
      <x:c r="D711" s="89" t="n">
        <x:v>45573.88550925926</x:v>
      </x:c>
      <x:c r="E711" s="89" t="n">
        <x:v>45574.075787037036</x:v>
      </x:c>
      <x:c r="F711" s="84" t="n">
        <x:v>274</x:v>
      </x:c>
      <x:c r="G711" s="84" t="n">
        <x:v>1</x:v>
      </x:c>
      <x:c r="H711" s="84" t="str">
        <x:v>Ruído anormal</x:v>
      </x:c>
      <x:c r="I711" s="84" t="n">
        <x:v>639</x:v>
      </x:c>
      <x:c r="J711" s="93" t="n">
        <x:v>9104.09</x:v>
      </x:c>
      <x:c r="K711" s="85" t="str">
        <x:v>3º Turno</x:v>
      </x:c>
    </x:row>
    <x:row r="712">
      <x:c r="A712" s="83" t="n">
        <x:v>711</x:v>
      </x:c>
      <x:c r="B712" s="84" t="n">
        <x:v>65</x:v>
      </x:c>
      <x:c r="C712" s="84" t="n">
        <x:v>1140</x:v>
      </x:c>
      <x:c r="D712" s="89" t="n">
        <x:v>45696.46908564815</x:v>
      </x:c>
      <x:c r="E712" s="89" t="n">
        <x:v>45696.57255787037</x:v>
      </x:c>
      <x:c r="F712" s="84" t="n">
        <x:v>149</x:v>
      </x:c>
      <x:c r="G712" s="84" t="n">
        <x:v>1</x:v>
      </x:c>
      <x:c r="H712" s="84" t="str">
        <x:v>Falha elétrica</x:v>
      </x:c>
      <x:c r="I712" s="84" t="n">
        <x:v>159</x:v>
      </x:c>
      <x:c r="J712" s="93" t="n">
        <x:v>5285.4</x:v>
      </x:c>
      <x:c r="K712" s="85" t="str">
        <x:v>3º Turno</x:v>
      </x:c>
    </x:row>
    <x:row r="713">
      <x:c r="A713" s="83" t="n">
        <x:v>712</x:v>
      </x:c>
      <x:c r="B713" s="84" t="n">
        <x:v>5</x:v>
      </x:c>
      <x:c r="C713" s="84" t="n">
        <x:v>1141</x:v>
      </x:c>
      <x:c r="D713" s="89" t="n">
        <x:v>45861.42184027778</x:v>
      </x:c>
      <x:c r="E713" s="89" t="n">
        <x:v>45861.75586805555</x:v>
      </x:c>
      <x:c r="F713" s="84" t="n">
        <x:v>481</x:v>
      </x:c>
      <x:c r="G713" s="84" t="n">
        <x:v>0</x:v>
      </x:c>
      <x:c r="H713" s="84" t="str">
        <x:v>Alarme intermitente</x:v>
      </x:c>
      <x:c r="I713" s="84" t="n">
        <x:v>489</x:v>
      </x:c>
      <x:c r="J713" s="93" t="n">
        <x:v>26520.19</x:v>
      </x:c>
      <x:c r="K713" s="85" t="str">
        <x:v>1º Turno</x:v>
      </x:c>
    </x:row>
    <x:row r="714">
      <x:c r="A714" s="83" t="n">
        <x:v>713</x:v>
      </x:c>
      <x:c r="B714" s="84" t="n">
        <x:v>77</x:v>
      </x:c>
      <x:c r="C714" s="84" t="n">
        <x:v>1142</x:v>
      </x:c>
      <x:c r="D714" s="89" t="n">
        <x:v>45036.606087962966</x:v>
      </x:c>
      <x:c r="E714" s="89" t="n">
        <x:v>45036.78942129629</x:v>
      </x:c>
      <x:c r="F714" s="84" t="n">
        <x:v>264</x:v>
      </x:c>
      <x:c r="G714" s="84" t="n">
        <x:v>1</x:v>
      </x:c>
      <x:c r="H714" s="84" t="str">
        <x:v>Falha elétrica</x:v>
      </x:c>
      <x:c r="I714" s="84" t="n">
        <x:v>458</x:v>
      </x:c>
      <x:c r="J714" s="93" t="n">
        <x:v>12627.49</x:v>
      </x:c>
      <x:c r="K714" s="85" t="str">
        <x:v>3º Turno</x:v>
      </x:c>
    </x:row>
    <x:row r="715">
      <x:c r="A715" s="83" t="n">
        <x:v>714</x:v>
      </x:c>
      <x:c r="B715" s="84" t="n">
        <x:v>58</x:v>
      </x:c>
      <x:c r="C715" s="84" t="n">
        <x:v>1143</x:v>
      </x:c>
      <x:c r="D715" s="89" t="n">
        <x:v>45056.195543981485</x:v>
      </x:c>
      <x:c r="E715" s="89" t="n">
        <x:v>45056.4865162037</x:v>
      </x:c>
      <x:c r="F715" s="84" t="n">
        <x:v>419</x:v>
      </x:c>
      <x:c r="G715" s="84" t="n">
        <x:v>0</x:v>
      </x:c>
      <x:c r="H715" s="84" t="str">
        <x:v>Superaquecimento</x:v>
      </x:c>
      <x:c r="I715" s="84" t="n">
        <x:v>747</x:v>
      </x:c>
      <x:c r="J715" s="93" t="n">
        <x:v>10644.58</x:v>
      </x:c>
      <x:c r="K715" s="85" t="str">
        <x:v>3º Turno</x:v>
      </x:c>
    </x:row>
    <x:row r="716">
      <x:c r="A716" s="83" t="n">
        <x:v>715</x:v>
      </x:c>
      <x:c r="B716" s="84" t="n">
        <x:v>28</x:v>
      </x:c>
      <x:c r="C716" s="84" t="n">
        <x:v>1146</x:v>
      </x:c>
      <x:c r="D716" s="89" t="n">
        <x:v>45581.32648148148</x:v>
      </x:c>
      <x:c r="E716" s="89" t="n">
        <x:v>45581.88759259259</x:v>
      </x:c>
      <x:c r="F716" s="84" t="n">
        <x:v>808</x:v>
      </x:c>
      <x:c r="G716" s="84" t="n">
        <x:v>1</x:v>
      </x:c>
      <x:c r="H716" s="84" t="str">
        <x:v>Alarme intermitente</x:v>
      </x:c>
      <x:c r="I716" s="84" t="n">
        <x:v>1508</x:v>
      </x:c>
      <x:c r="J716" s="93" t="n">
        <x:v>23416.03</x:v>
      </x:c>
      <x:c r="K716" s="85" t="str">
        <x:v>2º Turno</x:v>
      </x:c>
    </x:row>
    <x:row r="717">
      <x:c r="A717" s="83" t="n">
        <x:v>716</x:v>
      </x:c>
      <x:c r="B717" s="84" t="n">
        <x:v>82</x:v>
      </x:c>
      <x:c r="C717" s="84" t="n">
        <x:v>1149</x:v>
      </x:c>
      <x:c r="D717" s="89" t="n">
        <x:v>45293.85304398148</x:v>
      </x:c>
      <x:c r="E717" s="89" t="n">
        <x:v>45294.277349537035</x:v>
      </x:c>
      <x:c r="F717" s="84" t="n">
        <x:v>611</x:v>
      </x:c>
      <x:c r="G717" s="84" t="n">
        <x:v>1</x:v>
      </x:c>
      <x:c r="H717" s="84" t="str">
        <x:v>Superaquecimento</x:v>
      </x:c>
      <x:c r="I717" s="84" t="n">
        <x:v>1120</x:v>
      </x:c>
      <x:c r="J717" s="93" t="n">
        <x:v>22267.41</x:v>
      </x:c>
      <x:c r="K717" s="85" t="str">
        <x:v>2º Turno</x:v>
      </x:c>
    </x:row>
    <x:row r="718">
      <x:c r="A718" s="83" t="n">
        <x:v>717</x:v>
      </x:c>
      <x:c r="B718" s="84" t="n">
        <x:v>64</x:v>
      </x:c>
      <x:c r="C718" s="84" t="n">
        <x:v>1150</x:v>
      </x:c>
      <x:c r="D718" s="89" t="n">
        <x:v>45956.912673611114</x:v>
      </x:c>
      <x:c r="E718" s="89" t="n">
        <x:v>45956.952256944445</x:v>
      </x:c>
      <x:c r="F718" s="84" t="n">
        <x:v>57</x:v>
      </x:c>
      <x:c r="G718" s="84" t="n">
        <x:v>1</x:v>
      </x:c>
      <x:c r="H718" s="84" t="str">
        <x:v>Vazamento</x:v>
      </x:c>
      <x:c r="I718" s="84" t="n">
        <x:v>58</x:v>
      </x:c>
      <x:c r="J718" s="93" t="n">
        <x:v>2259.48</x:v>
      </x:c>
      <x:c r="K718" s="85" t="str">
        <x:v>2º Turno</x:v>
      </x:c>
    </x:row>
    <x:row r="719">
      <x:c r="A719" s="83" t="n">
        <x:v>718</x:v>
      </x:c>
      <x:c r="B719" s="84" t="n">
        <x:v>74</x:v>
      </x:c>
      <x:c r="C719" s="84" t="n">
        <x:v>1151</x:v>
      </x:c>
      <x:c r="D719" s="89" t="n">
        <x:v>45003.296631944446</x:v>
      </x:c>
      <x:c r="E719" s="89" t="n">
        <x:v>45003.50982638889</x:v>
      </x:c>
      <x:c r="F719" s="84" t="n">
        <x:v>307</x:v>
      </x:c>
      <x:c r="G719" s="84" t="n">
        <x:v>1</x:v>
      </x:c>
      <x:c r="H719" s="84" t="str">
        <x:v>Desalinhamento</x:v>
      </x:c>
      <x:c r="I719" s="84" t="n">
        <x:v>532</x:v>
      </x:c>
      <x:c r="J719" s="93" t="n">
        <x:v>14008.58</x:v>
      </x:c>
      <x:c r="K719" s="85" t="str">
        <x:v>3º Turno</x:v>
      </x:c>
    </x:row>
    <x:row r="720">
      <x:c r="A720" s="83" t="n">
        <x:v>719</x:v>
      </x:c>
      <x:c r="B720" s="84" t="n">
        <x:v>9</x:v>
      </x:c>
      <x:c r="C720" s="84" t="n">
        <x:v>1152</x:v>
      </x:c>
      <x:c r="D720" s="89" t="n">
        <x:v>45479.58969907407</x:v>
      </x:c>
      <x:c r="E720" s="89" t="n">
        <x:v>45480.11678240741</x:v>
      </x:c>
      <x:c r="F720" s="84" t="n">
        <x:v>759</x:v>
      </x:c>
      <x:c r="G720" s="84" t="n">
        <x:v>0</x:v>
      </x:c>
      <x:c r="H720" s="84" t="str">
        <x:v>Ruído anormal</x:v>
      </x:c>
      <x:c r="I720" s="84" t="n">
        <x:v>1531</x:v>
      </x:c>
      <x:c r="J720" s="93" t="n">
        <x:v>34969.01</x:v>
      </x:c>
      <x:c r="K720" s="85" t="str">
        <x:v>1º Turno</x:v>
      </x:c>
    </x:row>
    <x:row r="721">
      <x:c r="A721" s="83" t="n">
        <x:v>720</x:v>
      </x:c>
      <x:c r="B721" s="84" t="n">
        <x:v>16</x:v>
      </x:c>
      <x:c r="C721" s="84" t="n">
        <x:v>1154</x:v>
      </x:c>
      <x:c r="D721" s="89" t="n">
        <x:v>45981.98113425926</x:v>
      </x:c>
      <x:c r="E721" s="89" t="n">
        <x:v>45982.14224537037</x:v>
      </x:c>
      <x:c r="F721" s="84" t="n">
        <x:v>232</x:v>
      </x:c>
      <x:c r="G721" s="84" t="n">
        <x:v>0</x:v>
      </x:c>
      <x:c r="H721" s="84" t="str">
        <x:v>Desalinhamento</x:v>
      </x:c>
      <x:c r="I721" s="84" t="n">
        <x:v>290</x:v>
      </x:c>
      <x:c r="J721" s="93" t="n">
        <x:v>7439.09</x:v>
      </x:c>
      <x:c r="K721" s="85" t="str">
        <x:v>2º Turno</x:v>
      </x:c>
    </x:row>
    <x:row r="722">
      <x:c r="A722" s="83" t="n">
        <x:v>721</x:v>
      </x:c>
      <x:c r="B722" s="84" t="n">
        <x:v>45</x:v>
      </x:c>
      <x:c r="C722" s="84" t="n">
        <x:v>1155</x:v>
      </x:c>
      <x:c r="D722" s="89" t="n">
        <x:v>45477.10407407407</x:v>
      </x:c>
      <x:c r="E722" s="89" t="n">
        <x:v>45477.523518518516</x:v>
      </x:c>
      <x:c r="F722" s="84" t="n">
        <x:v>604</x:v>
      </x:c>
      <x:c r="G722" s="84" t="n">
        <x:v>1</x:v>
      </x:c>
      <x:c r="H722" s="84" t="str">
        <x:v>Falha elétrica</x:v>
      </x:c>
      <x:c r="I722" s="84" t="n">
        <x:v>1107</x:v>
      </x:c>
      <x:c r="J722" s="93" t="n">
        <x:v>15918.3</x:v>
      </x:c>
      <x:c r="K722" s="85" t="str">
        <x:v>3º Turno</x:v>
      </x:c>
    </x:row>
    <x:row r="723">
      <x:c r="A723" s="83" t="n">
        <x:v>722</x:v>
      </x:c>
      <x:c r="B723" s="84" t="n">
        <x:v>15</x:v>
      </x:c>
      <x:c r="C723" s="84" t="n">
        <x:v>1157</x:v>
      </x:c>
      <x:c r="D723" s="89" t="n">
        <x:v>45671.73268518518</x:v>
      </x:c>
      <x:c r="E723" s="89" t="n">
        <x:v>45671.927824074075</x:v>
      </x:c>
      <x:c r="F723" s="84" t="n">
        <x:v>281</x:v>
      </x:c>
      <x:c r="G723" s="84" t="n">
        <x:v>0</x:v>
      </x:c>
      <x:c r="H723" s="84" t="str">
        <x:v>Alarme intermitente</x:v>
      </x:c>
      <x:c r="I723" s="84" t="n">
        <x:v>595</x:v>
      </x:c>
      <x:c r="J723" s="93" t="n">
        <x:v>3812.39</x:v>
      </x:c>
      <x:c r="K723" s="85" t="str">
        <x:v>1º Turno</x:v>
      </x:c>
    </x:row>
    <x:row r="724">
      <x:c r="A724" s="83" t="n">
        <x:v>723</x:v>
      </x:c>
      <x:c r="B724" s="84" t="n">
        <x:v>84</x:v>
      </x:c>
      <x:c r="C724" s="84" t="n">
        <x:v>1160</x:v>
      </x:c>
      <x:c r="D724" s="89" t="n">
        <x:v>45215.89592592593</x:v>
      </x:c>
      <x:c r="E724" s="89" t="n">
        <x:v>45216.36814814815</x:v>
      </x:c>
      <x:c r="F724" s="84" t="n">
        <x:v>680</x:v>
      </x:c>
      <x:c r="G724" s="84" t="n">
        <x:v>1</x:v>
      </x:c>
      <x:c r="H724" s="84" t="str">
        <x:v>Desalinhamento</x:v>
      </x:c>
      <x:c r="I724" s="84" t="n">
        <x:v>748</x:v>
      </x:c>
      <x:c r="J724" s="93" t="n">
        <x:v>14164.56</x:v>
      </x:c>
      <x:c r="K724" s="85" t="str">
        <x:v>3º Turno</x:v>
      </x:c>
    </x:row>
    <x:row r="725">
      <x:c r="A725" s="83" t="n">
        <x:v>724</x:v>
      </x:c>
      <x:c r="B725" s="84" t="n">
        <x:v>20</x:v>
      </x:c>
      <x:c r="C725" s="84" t="n">
        <x:v>1161</x:v>
      </x:c>
      <x:c r="D725" s="89" t="n">
        <x:v>46018.45390046296</x:v>
      </x:c>
      <x:c r="E725" s="89" t="n">
        <x:v>46018.529594907406</x:v>
      </x:c>
      <x:c r="F725" s="84" t="n">
        <x:v>109</x:v>
      </x:c>
      <x:c r="G725" s="84" t="n">
        <x:v>1</x:v>
      </x:c>
      <x:c r="H725" s="84" t="str">
        <x:v>Falha elétrica</x:v>
      </x:c>
      <x:c r="I725" s="84" t="n">
        <x:v>203</x:v>
      </x:c>
      <x:c r="J725" s="93" t="n">
        <x:v>1631.31</x:v>
      </x:c>
      <x:c r="K725" s="85" t="str">
        <x:v>2º Turno</x:v>
      </x:c>
    </x:row>
    <x:row r="726">
      <x:c r="A726" s="83" t="n">
        <x:v>725</x:v>
      </x:c>
      <x:c r="B726" s="84" t="n">
        <x:v>28</x:v>
      </x:c>
      <x:c r="C726" s="84" t="n">
        <x:v>1162</x:v>
      </x:c>
      <x:c r="D726" s="89" t="n">
        <x:v>45208.53387731482</x:v>
      </x:c>
      <x:c r="E726" s="89" t="n">
        <x:v>45208.8290162037</x:v>
      </x:c>
      <x:c r="F726" s="84" t="n">
        <x:v>425</x:v>
      </x:c>
      <x:c r="G726" s="84" t="n">
        <x:v>1</x:v>
      </x:c>
      <x:c r="H726" s="84" t="str">
        <x:v>Falha elétrica</x:v>
      </x:c>
      <x:c r="I726" s="84" t="n">
        <x:v>446</x:v>
      </x:c>
      <x:c r="J726" s="93" t="n">
        <x:v>8533.86</x:v>
      </x:c>
      <x:c r="K726" s="85" t="str">
        <x:v>3º Turno</x:v>
      </x:c>
    </x:row>
    <x:row r="727">
      <x:c r="A727" s="83" t="n">
        <x:v>726</x:v>
      </x:c>
      <x:c r="B727" s="84" t="n">
        <x:v>63</x:v>
      </x:c>
      <x:c r="C727" s="84" t="n">
        <x:v>1165</x:v>
      </x:c>
      <x:c r="D727" s="89" t="n">
        <x:v>45016.96527777778</x:v>
      </x:c>
      <x:c r="E727" s="89" t="n">
        <x:v>45017.53680555556</x:v>
      </x:c>
      <x:c r="F727" s="84" t="n">
        <x:v>823</x:v>
      </x:c>
      <x:c r="G727" s="84" t="n">
        <x:v>1</x:v>
      </x:c>
      <x:c r="H727" s="84" t="str">
        <x:v>Ruído anormal</x:v>
      </x:c>
      <x:c r="I727" s="84" t="n">
        <x:v>1070</x:v>
      </x:c>
      <x:c r="J727" s="93" t="n">
        <x:v>46421.82</x:v>
      </x:c>
      <x:c r="K727" s="85" t="str">
        <x:v>3º Turno</x:v>
      </x:c>
    </x:row>
    <x:row r="728">
      <x:c r="A728" s="83" t="n">
        <x:v>727</x:v>
      </x:c>
      <x:c r="B728" s="84" t="n">
        <x:v>88</x:v>
      </x:c>
      <x:c r="C728" s="84" t="n">
        <x:v>1166</x:v>
      </x:c>
      <x:c r="D728" s="89" t="n">
        <x:v>45661.21907407408</x:v>
      </x:c>
      <x:c r="E728" s="89" t="n">
        <x:v>45661.676712962966</x:v>
      </x:c>
      <x:c r="F728" s="84" t="n">
        <x:v>659</x:v>
      </x:c>
      <x:c r="G728" s="84" t="n">
        <x:v>0</x:v>
      </x:c>
      <x:c r="H728" s="84" t="str">
        <x:v>Baixa pressão</x:v>
      </x:c>
      <x:c r="I728" s="84" t="n">
        <x:v>1010</x:v>
      </x:c>
      <x:c r="J728" s="93" t="n">
        <x:v>20465.2</x:v>
      </x:c>
      <x:c r="K728" s="85" t="str">
        <x:v>2º Turno</x:v>
      </x:c>
    </x:row>
    <x:row r="729">
      <x:c r="A729" s="83" t="n">
        <x:v>728</x:v>
      </x:c>
      <x:c r="B729" s="84" t="n">
        <x:v>52</x:v>
      </x:c>
      <x:c r="C729" s="84" t="n">
        <x:v>1168</x:v>
      </x:c>
      <x:c r="D729" s="89" t="n">
        <x:v>45840.97991898148</x:v>
      </x:c>
      <x:c r="E729" s="89" t="n">
        <x:v>45841.07297453703</x:v>
      </x:c>
      <x:c r="F729" s="84" t="n">
        <x:v>134</x:v>
      </x:c>
      <x:c r="G729" s="84" t="n">
        <x:v>1</x:v>
      </x:c>
      <x:c r="H729" s="84" t="str">
        <x:v>Falha elétrica</x:v>
      </x:c>
      <x:c r="I729" s="84" t="n">
        <x:v>264</x:v>
      </x:c>
      <x:c r="J729" s="93" t="n">
        <x:v>3662.07</x:v>
      </x:c>
      <x:c r="K729" s="85" t="str">
        <x:v>2º Turno</x:v>
      </x:c>
    </x:row>
    <x:row r="730">
      <x:c r="A730" s="83" t="n">
        <x:v>729</x:v>
      </x:c>
      <x:c r="B730" s="84" t="n">
        <x:v>29</x:v>
      </x:c>
      <x:c r="C730" s="84" t="n">
        <x:v>1169</x:v>
      </x:c>
      <x:c r="D730" s="89" t="n">
        <x:v>45205.30159722222</x:v>
      </x:c>
      <x:c r="E730" s="89" t="n">
        <x:v>45205.47381944444</x:v>
      </x:c>
      <x:c r="F730" s="84" t="n">
        <x:v>248</x:v>
      </x:c>
      <x:c r="G730" s="84" t="n">
        <x:v>0</x:v>
      </x:c>
      <x:c r="H730" s="84" t="str">
        <x:v>Ruído anormal</x:v>
      </x:c>
      <x:c r="I730" s="84" t="n">
        <x:v>492</x:v>
      </x:c>
      <x:c r="J730" s="93" t="n">
        <x:v>11614.39</x:v>
      </x:c>
      <x:c r="K730" s="85" t="str">
        <x:v>1º Turno</x:v>
      </x:c>
    </x:row>
    <x:row r="731">
      <x:c r="A731" s="83" t="n">
        <x:v>730</x:v>
      </x:c>
      <x:c r="B731" s="84" t="n">
        <x:v>71</x:v>
      </x:c>
      <x:c r="C731" s="84" t="n">
        <x:v>1170</x:v>
      </x:c>
      <x:c r="D731" s="89" t="n">
        <x:v>45217.06502314815</x:v>
      </x:c>
      <x:c r="E731" s="89" t="n">
        <x:v>45217.56780092593</x:v>
      </x:c>
      <x:c r="F731" s="84" t="n">
        <x:v>724</x:v>
      </x:c>
      <x:c r="G731" s="84" t="n">
        <x:v>1</x:v>
      </x:c>
      <x:c r="H731" s="84" t="str">
        <x:v>Superaquecimento</x:v>
      </x:c>
      <x:c r="I731" s="84" t="n">
        <x:v>1388</x:v>
      </x:c>
      <x:c r="J731" s="93" t="n">
        <x:v>39923.58</x:v>
      </x:c>
      <x:c r="K731" s="85" t="str">
        <x:v>3º Turno</x:v>
      </x:c>
    </x:row>
    <x:row r="732">
      <x:c r="A732" s="83" t="n">
        <x:v>731</x:v>
      </x:c>
      <x:c r="B732" s="84" t="n">
        <x:v>12</x:v>
      </x:c>
      <x:c r="C732" s="84" t="n">
        <x:v>1171</x:v>
      </x:c>
      <x:c r="D732" s="89" t="n">
        <x:v>45139.283738425926</x:v>
      </x:c>
      <x:c r="E732" s="89" t="n">
        <x:v>45139.67332175926</x:v>
      </x:c>
      <x:c r="F732" s="84" t="n">
        <x:v>561</x:v>
      </x:c>
      <x:c r="G732" s="84" t="n">
        <x:v>1</x:v>
      </x:c>
      <x:c r="H732" s="84" t="str">
        <x:v>Vazamento</x:v>
      </x:c>
      <x:c r="I732" s="84" t="n">
        <x:v>673</x:v>
      </x:c>
      <x:c r="J732" s="93" t="n">
        <x:v>9907.92</x:v>
      </x:c>
      <x:c r="K732" s="85" t="str">
        <x:v>2º Turno</x:v>
      </x:c>
    </x:row>
    <x:row r="733">
      <x:c r="A733" s="83" t="n">
        <x:v>732</x:v>
      </x:c>
      <x:c r="B733" s="84" t="n">
        <x:v>54</x:v>
      </x:c>
      <x:c r="C733" s="84" t="n">
        <x:v>1172</x:v>
      </x:c>
      <x:c r="D733" s="89" t="n">
        <x:v>45349.731840277775</x:v>
      </x:c>
      <x:c r="E733" s="89" t="n">
        <x:v>45350.180451388886</x:v>
      </x:c>
      <x:c r="F733" s="84" t="n">
        <x:v>646</x:v>
      </x:c>
      <x:c r="G733" s="84" t="n">
        <x:v>1</x:v>
      </x:c>
      <x:c r="H733" s="84" t="str">
        <x:v>Falha elétrica</x:v>
      </x:c>
      <x:c r="I733" s="84" t="n">
        <x:v>711</x:v>
      </x:c>
      <x:c r="J733" s="93" t="n">
        <x:v>15531.8</x:v>
      </x:c>
      <x:c r="K733" s="85" t="str">
        <x:v>1º Turno</x:v>
      </x:c>
    </x:row>
    <x:row r="734">
      <x:c r="A734" s="83" t="n">
        <x:v>733</x:v>
      </x:c>
      <x:c r="B734" s="84" t="n">
        <x:v>32</x:v>
      </x:c>
      <x:c r="C734" s="84" t="n">
        <x:v>1173</x:v>
      </x:c>
      <x:c r="D734" s="89" t="n">
        <x:v>45499.58321759259</x:v>
      </x:c>
      <x:c r="E734" s="89" t="n">
        <x:v>45500.047106481485</x:v>
      </x:c>
      <x:c r="F734" s="84" t="n">
        <x:v>668</x:v>
      </x:c>
      <x:c r="G734" s="84" t="n">
        <x:v>1</x:v>
      </x:c>
      <x:c r="H734" s="84" t="str">
        <x:v>Vazamento</x:v>
      </x:c>
      <x:c r="I734" s="84" t="n">
        <x:v>1191</x:v>
      </x:c>
      <x:c r="J734" s="93" t="n">
        <x:v>31416.71</x:v>
      </x:c>
      <x:c r="K734" s="85" t="str">
        <x:v>2º Turno</x:v>
      </x:c>
    </x:row>
    <x:row r="735">
      <x:c r="A735" s="83" t="n">
        <x:v>734</x:v>
      </x:c>
      <x:c r="B735" s="84" t="n">
        <x:v>9</x:v>
      </x:c>
      <x:c r="C735" s="84" t="n">
        <x:v>1174</x:v>
      </x:c>
      <x:c r="D735" s="89" t="n">
        <x:v>45546.251435185186</x:v>
      </x:c>
      <x:c r="E735" s="89" t="n">
        <x:v>45546.37712962963</x:v>
      </x:c>
      <x:c r="F735" s="84" t="n">
        <x:v>181</x:v>
      </x:c>
      <x:c r="G735" s="84" t="n">
        <x:v>1</x:v>
      </x:c>
      <x:c r="H735" s="84" t="str">
        <x:v>Vazamento</x:v>
      </x:c>
      <x:c r="I735" s="84" t="n">
        <x:v>253</x:v>
      </x:c>
      <x:c r="J735" s="93" t="n">
        <x:v>10456.63</x:v>
      </x:c>
      <x:c r="K735" s="85" t="str">
        <x:v>3º Turno</x:v>
      </x:c>
    </x:row>
    <x:row r="736">
      <x:c r="A736" s="83" t="n">
        <x:v>735</x:v>
      </x:c>
      <x:c r="B736" s="84" t="n">
        <x:v>55</x:v>
      </x:c>
      <x:c r="C736" s="84" t="n">
        <x:v>1175</x:v>
      </x:c>
      <x:c r="D736" s="89" t="n">
        <x:v>45194.310266203705</x:v>
      </x:c>
      <x:c r="E736" s="89" t="n">
        <x:v>45194.71512731481</x:v>
      </x:c>
      <x:c r="F736" s="84" t="n">
        <x:v>583</x:v>
      </x:c>
      <x:c r="G736" s="84" t="n">
        <x:v>0</x:v>
      </x:c>
      <x:c r="H736" s="84" t="str">
        <x:v>Ruído anormal</x:v>
      </x:c>
      <x:c r="I736" s="84" t="n">
        <x:v>1292</x:v>
      </x:c>
      <x:c r="J736" s="93" t="n">
        <x:v>15373.78</x:v>
      </x:c>
      <x:c r="K736" s="85" t="str">
        <x:v>3º Turno</x:v>
      </x:c>
    </x:row>
    <x:row r="737">
      <x:c r="A737" s="83" t="n">
        <x:v>736</x:v>
      </x:c>
      <x:c r="B737" s="84" t="n">
        <x:v>21</x:v>
      </x:c>
      <x:c r="C737" s="84" t="n">
        <x:v>1176</x:v>
      </x:c>
      <x:c r="D737" s="89" t="n">
        <x:v>45876.57912037037</x:v>
      </x:c>
      <x:c r="E737" s="89" t="n">
        <x:v>45876.98050925926</x:v>
      </x:c>
      <x:c r="F737" s="84" t="n">
        <x:v>578</x:v>
      </x:c>
      <x:c r="G737" s="84" t="n">
        <x:v>1</x:v>
      </x:c>
      <x:c r="H737" s="84" t="str">
        <x:v>Baixa pressão</x:v>
      </x:c>
      <x:c r="I737" s="84" t="n">
        <x:v>857</x:v>
      </x:c>
      <x:c r="J737" s="93" t="n">
        <x:v>17127.41</x:v>
      </x:c>
      <x:c r="K737" s="85" t="str">
        <x:v>3º Turno</x:v>
      </x:c>
    </x:row>
    <x:row r="738">
      <x:c r="A738" s="83" t="n">
        <x:v>737</x:v>
      </x:c>
      <x:c r="B738" s="84" t="n">
        <x:v>69</x:v>
      </x:c>
      <x:c r="C738" s="84" t="n">
        <x:v>1177</x:v>
      </x:c>
      <x:c r="D738" s="89" t="n">
        <x:v>45009.521099537036</x:v>
      </x:c>
      <x:c r="E738" s="89" t="n">
        <x:v>45009.66484953704</x:v>
      </x:c>
      <x:c r="F738" s="84" t="n">
        <x:v>207</x:v>
      </x:c>
      <x:c r="G738" s="84" t="n">
        <x:v>1</x:v>
      </x:c>
      <x:c r="H738" s="84" t="str">
        <x:v>Vazamento</x:v>
      </x:c>
      <x:c r="I738" s="84" t="n">
        <x:v>262</x:v>
      </x:c>
      <x:c r="J738" s="93" t="n">
        <x:v>3770.38</x:v>
      </x:c>
      <x:c r="K738" s="85" t="str">
        <x:v>1º Turno</x:v>
      </x:c>
    </x:row>
    <x:row r="739">
      <x:c r="A739" s="83" t="n">
        <x:v>738</x:v>
      </x:c>
      <x:c r="B739" s="84" t="n">
        <x:v>23</x:v>
      </x:c>
      <x:c r="C739" s="84" t="n">
        <x:v>1178</x:v>
      </x:c>
      <x:c r="D739" s="89" t="n">
        <x:v>45962.5725</x:v>
      </x:c>
      <x:c r="E739" s="89" t="n">
        <x:v>45962.974583333336</x:v>
      </x:c>
      <x:c r="F739" s="84" t="n">
        <x:v>579</x:v>
      </x:c>
      <x:c r="G739" s="84" t="n">
        <x:v>1</x:v>
      </x:c>
      <x:c r="H739" s="84" t="str">
        <x:v>Falha elétrica</x:v>
      </x:c>
      <x:c r="I739" s="84" t="n">
        <x:v>627</x:v>
      </x:c>
      <x:c r="J739" s="93" t="n">
        <x:v>32965.18</x:v>
      </x:c>
      <x:c r="K739" s="85" t="str">
        <x:v>2º Turno</x:v>
      </x:c>
    </x:row>
    <x:row r="740">
      <x:c r="A740" s="83" t="n">
        <x:v>739</x:v>
      </x:c>
      <x:c r="B740" s="84" t="n">
        <x:v>33</x:v>
      </x:c>
      <x:c r="C740" s="84" t="n">
        <x:v>1179</x:v>
      </x:c>
      <x:c r="D740" s="89" t="n">
        <x:v>45171.229363425926</x:v>
      </x:c>
      <x:c r="E740" s="89" t="n">
        <x:v>45171.391863425924</x:v>
      </x:c>
      <x:c r="F740" s="84" t="n">
        <x:v>234</x:v>
      </x:c>
      <x:c r="G740" s="84" t="n">
        <x:v>1</x:v>
      </x:c>
      <x:c r="H740" s="84" t="str">
        <x:v>Ruído anormal</x:v>
      </x:c>
      <x:c r="I740" s="84" t="n">
        <x:v>339</x:v>
      </x:c>
      <x:c r="J740" s="93" t="n">
        <x:v>10230.08</x:v>
      </x:c>
      <x:c r="K740" s="85" t="str">
        <x:v>2º Turno</x:v>
      </x:c>
    </x:row>
    <x:row r="741">
      <x:c r="A741" s="83" t="n">
        <x:v>740</x:v>
      </x:c>
      <x:c r="B741" s="84" t="n">
        <x:v>35</x:v>
      </x:c>
      <x:c r="C741" s="84" t="n">
        <x:v>1182</x:v>
      </x:c>
      <x:c r="D741" s="89" t="n">
        <x:v>45243.2572337963</x:v>
      </x:c>
      <x:c r="E741" s="89" t="n">
        <x:v>45243.84820601852</x:v>
      </x:c>
      <x:c r="F741" s="84" t="n">
        <x:v>851</x:v>
      </x:c>
      <x:c r="G741" s="84" t="n">
        <x:v>1</x:v>
      </x:c>
      <x:c r="H741" s="84" t="str">
        <x:v>Baixa pressão</x:v>
      </x:c>
      <x:c r="I741" s="84" t="n">
        <x:v>894</x:v>
      </x:c>
      <x:c r="J741" s="93" t="n">
        <x:v>42205.56</x:v>
      </x:c>
      <x:c r="K741" s="85" t="str">
        <x:v>2º Turno</x:v>
      </x:c>
    </x:row>
    <x:row r="742">
      <x:c r="A742" s="83" t="n">
        <x:v>741</x:v>
      </x:c>
      <x:c r="B742" s="84" t="n">
        <x:v>7</x:v>
      </x:c>
      <x:c r="C742" s="84" t="n">
        <x:v>1184</x:v>
      </x:c>
      <x:c r="D742" s="89" t="n">
        <x:v>45788.83325231481</x:v>
      </x:c>
      <x:c r="E742" s="89" t="n">
        <x:v>45789.30269675926</x:v>
      </x:c>
      <x:c r="F742" s="84" t="n">
        <x:v>676</x:v>
      </x:c>
      <x:c r="G742" s="84" t="n">
        <x:v>1</x:v>
      </x:c>
      <x:c r="H742" s="84" t="str">
        <x:v>Alarme intermitente</x:v>
      </x:c>
      <x:c r="I742" s="84" t="n">
        <x:v>1048</x:v>
      </x:c>
      <x:c r="J742" s="93" t="n">
        <x:v>21100.96</x:v>
      </x:c>
      <x:c r="K742" s="85" t="str">
        <x:v>1º Turno</x:v>
      </x:c>
    </x:row>
    <x:row r="743">
      <x:c r="A743" s="83" t="n">
        <x:v>742</x:v>
      </x:c>
      <x:c r="B743" s="84" t="n">
        <x:v>35</x:v>
      </x:c>
      <x:c r="C743" s="84" t="n">
        <x:v>1185</x:v>
      </x:c>
      <x:c r="D743" s="89" t="n">
        <x:v>45429.47398148148</x:v>
      </x:c>
      <x:c r="E743" s="89" t="n">
        <x:v>45429.94412037037</x:v>
      </x:c>
      <x:c r="F743" s="84" t="n">
        <x:v>677</x:v>
      </x:c>
      <x:c r="G743" s="84" t="n">
        <x:v>1</x:v>
      </x:c>
      <x:c r="H743" s="84" t="str">
        <x:v>Ruído anormal</x:v>
      </x:c>
      <x:c r="I743" s="84" t="n">
        <x:v>711</x:v>
      </x:c>
      <x:c r="J743" s="93" t="n">
        <x:v>37380.05</x:v>
      </x:c>
      <x:c r="K743" s="85" t="str">
        <x:v>3º Turno</x:v>
      </x:c>
    </x:row>
    <x:row r="744">
      <x:c r="A744" s="83" t="n">
        <x:v>743</x:v>
      </x:c>
      <x:c r="B744" s="84" t="n">
        <x:v>22</x:v>
      </x:c>
      <x:c r="C744" s="84" t="n">
        <x:v>1186</x:v>
      </x:c>
      <x:c r="D744" s="89" t="n">
        <x:v>45992.101805555554</x:v>
      </x:c>
      <x:c r="E744" s="89" t="n">
        <x:v>45992.24694444444</x:v>
      </x:c>
      <x:c r="F744" s="84" t="n">
        <x:v>209</x:v>
      </x:c>
      <x:c r="G744" s="84" t="n">
        <x:v>1</x:v>
      </x:c>
      <x:c r="H744" s="84" t="str">
        <x:v>Superaquecimento</x:v>
      </x:c>
      <x:c r="I744" s="84" t="n">
        <x:v>341</x:v>
      </x:c>
      <x:c r="J744" s="93" t="n">
        <x:v>11636.98</x:v>
      </x:c>
      <x:c r="K744" s="85" t="str">
        <x:v>3º Turno</x:v>
      </x:c>
    </x:row>
    <x:row r="745">
      <x:c r="A745" s="83" t="n">
        <x:v>744</x:v>
      </x:c>
      <x:c r="B745" s="84" t="n">
        <x:v>4</x:v>
      </x:c>
      <x:c r="C745" s="84" t="n">
        <x:v>1187</x:v>
      </x:c>
      <x:c r="D745" s="89" t="n">
        <x:v>45736.82407407407</x:v>
      </x:c>
      <x:c r="E745" s="89" t="n">
        <x:v>45737.00601851852</x:v>
      </x:c>
      <x:c r="F745" s="84" t="n">
        <x:v>262</x:v>
      </x:c>
      <x:c r="G745" s="84" t="n">
        <x:v>1</x:v>
      </x:c>
      <x:c r="H745" s="84" t="str">
        <x:v>Baixa pressão</x:v>
      </x:c>
      <x:c r="I745" s="84" t="n">
        <x:v>651</x:v>
      </x:c>
      <x:c r="J745" s="93" t="n">
        <x:v>6095.65</x:v>
      </x:c>
      <x:c r="K745" s="85" t="str">
        <x:v>2º Turno</x:v>
      </x:c>
    </x:row>
    <x:row r="746">
      <x:c r="A746" s="83" t="n">
        <x:v>745</x:v>
      </x:c>
      <x:c r="B746" s="84" t="n">
        <x:v>13</x:v>
      </x:c>
      <x:c r="C746" s="84" t="n">
        <x:v>1188</x:v>
      </x:c>
      <x:c r="D746" s="89" t="n">
        <x:v>45062.08903935185</x:v>
      </x:c>
      <x:c r="E746" s="89" t="n">
        <x:v>45062.637650462966</x:v>
      </x:c>
      <x:c r="F746" s="84" t="n">
        <x:v>790</x:v>
      </x:c>
      <x:c r="G746" s="84" t="n">
        <x:v>1</x:v>
      </x:c>
      <x:c r="H746" s="84" t="str">
        <x:v>Vazamento</x:v>
      </x:c>
      <x:c r="I746" s="84" t="n">
        <x:v>988</x:v>
      </x:c>
      <x:c r="J746" s="93" t="n">
        <x:v>16178.92</x:v>
      </x:c>
      <x:c r="K746" s="85" t="str">
        <x:v>3º Turno</x:v>
      </x:c>
    </x:row>
    <x:row r="747">
      <x:c r="A747" s="83" t="n">
        <x:v>746</x:v>
      </x:c>
      <x:c r="B747" s="84" t="n">
        <x:v>51</x:v>
      </x:c>
      <x:c r="C747" s="84" t="n">
        <x:v>1190</x:v>
      </x:c>
      <x:c r="D747" s="89" t="n">
        <x:v>45801.099178240744</x:v>
      </x:c>
      <x:c r="E747" s="89" t="n">
        <x:v>45801.70681712963</x:v>
      </x:c>
      <x:c r="F747" s="84" t="n">
        <x:v>875</x:v>
      </x:c>
      <x:c r="G747" s="84" t="n">
        <x:v>1</x:v>
      </x:c>
      <x:c r="H747" s="84" t="str">
        <x:v>Falha elétrica</x:v>
      </x:c>
      <x:c r="I747" s="84" t="n">
        <x:v>1035</x:v>
      </x:c>
      <x:c r="J747" s="93" t="n">
        <x:v>39749.13</x:v>
      </x:c>
      <x:c r="K747" s="85" t="str">
        <x:v>1º Turno</x:v>
      </x:c>
    </x:row>
    <x:row r="748">
      <x:c r="A748" s="83" t="n">
        <x:v>747</x:v>
      </x:c>
      <x:c r="B748" s="84" t="n">
        <x:v>4</x:v>
      </x:c>
      <x:c r="C748" s="84" t="n">
        <x:v>1191</x:v>
      </x:c>
      <x:c r="D748" s="89" t="n">
        <x:v>45476.25582175926</x:v>
      </x:c>
      <x:c r="E748" s="89" t="n">
        <x:v>45476.44957175926</x:v>
      </x:c>
      <x:c r="F748" s="84" t="n">
        <x:v>279</x:v>
      </x:c>
      <x:c r="G748" s="84" t="n">
        <x:v>1</x:v>
      </x:c>
      <x:c r="H748" s="84" t="str">
        <x:v>Superaquecimento</x:v>
      </x:c>
      <x:c r="I748" s="84" t="n">
        <x:v>400</x:v>
      </x:c>
      <x:c r="J748" s="93" t="n">
        <x:v>16210.85</x:v>
      </x:c>
      <x:c r="K748" s="85" t="str">
        <x:v>2º Turno</x:v>
      </x:c>
    </x:row>
    <x:row r="749">
      <x:c r="A749" s="83" t="n">
        <x:v>748</x:v>
      </x:c>
      <x:c r="B749" s="84" t="n">
        <x:v>17</x:v>
      </x:c>
      <x:c r="C749" s="84" t="n">
        <x:v>1193</x:v>
      </x:c>
      <x:c r="D749" s="89" t="n">
        <x:v>45318.81659722222</x:v>
      </x:c>
      <x:c r="E749" s="89" t="n">
        <x:v>45319.39229166666</x:v>
      </x:c>
      <x:c r="F749" s="84" t="n">
        <x:v>829</x:v>
      </x:c>
      <x:c r="G749" s="84" t="n">
        <x:v>1</x:v>
      </x:c>
      <x:c r="H749" s="84" t="str">
        <x:v>Superaquecimento</x:v>
      </x:c>
      <x:c r="I749" s="84" t="n">
        <x:v>1824</x:v>
      </x:c>
      <x:c r="J749" s="93" t="n">
        <x:v>14370.92</x:v>
      </x:c>
      <x:c r="K749" s="85" t="str">
        <x:v>2º Turno</x:v>
      </x:c>
    </x:row>
    <x:row r="750">
      <x:c r="A750" s="83" t="n">
        <x:v>749</x:v>
      </x:c>
      <x:c r="B750" s="84" t="n">
        <x:v>66</x:v>
      </x:c>
      <x:c r="C750" s="84" t="n">
        <x:v>1195</x:v>
      </x:c>
      <x:c r="D750" s="89" t="n">
        <x:v>44941.32378472222</x:v>
      </x:c>
      <x:c r="E750" s="89" t="n">
        <x:v>44941.47309027778</x:v>
      </x:c>
      <x:c r="F750" s="84" t="n">
        <x:v>215</x:v>
      </x:c>
      <x:c r="G750" s="84" t="n">
        <x:v>1</x:v>
      </x:c>
      <x:c r="H750" s="84" t="str">
        <x:v>Baixa pressão</x:v>
      </x:c>
      <x:c r="I750" s="84" t="n">
        <x:v>297</x:v>
      </x:c>
      <x:c r="J750" s="93" t="n">
        <x:v>8019.51</x:v>
      </x:c>
      <x:c r="K750" s="85" t="str">
        <x:v>3º Turno</x:v>
      </x:c>
    </x:row>
    <x:row r="751">
      <x:c r="A751" s="83" t="n">
        <x:v>750</x:v>
      </x:c>
      <x:c r="B751" s="84" t="n">
        <x:v>67</x:v>
      </x:c>
      <x:c r="C751" s="84" t="n">
        <x:v>1196</x:v>
      </x:c>
      <x:c r="D751" s="89" t="n">
        <x:v>45648.17625</x:v>
      </x:c>
      <x:c r="E751" s="89" t="n">
        <x:v>45648.20055555556</x:v>
      </x:c>
      <x:c r="F751" s="84" t="n">
        <x:v>35</x:v>
      </x:c>
      <x:c r="G751" s="84" t="n">
        <x:v>1</x:v>
      </x:c>
      <x:c r="H751" s="84" t="str">
        <x:v>Superaquecimento</x:v>
      </x:c>
      <x:c r="I751" s="84" t="n">
        <x:v>74</x:v>
      </x:c>
      <x:c r="J751" s="93" t="n">
        <x:v>1943.6</x:v>
      </x:c>
      <x:c r="K751" s="85" t="str">
        <x:v>2º Turno</x:v>
      </x:c>
    </x:row>
    <x:row r="752">
      <x:c r="A752" s="83" t="n">
        <x:v>751</x:v>
      </x:c>
      <x:c r="B752" s="84" t="n">
        <x:v>85</x:v>
      </x:c>
      <x:c r="C752" s="84" t="n">
        <x:v>1197</x:v>
      </x:c>
      <x:c r="D752" s="89" t="n">
        <x:v>45067.07466435185</x:v>
      </x:c>
      <x:c r="E752" s="89" t="n">
        <x:v>45067.26008101852</x:v>
      </x:c>
      <x:c r="F752" s="84" t="n">
        <x:v>267</x:v>
      </x:c>
      <x:c r="G752" s="84" t="n">
        <x:v>1</x:v>
      </x:c>
      <x:c r="H752" s="84" t="str">
        <x:v>Falha elétrica</x:v>
      </x:c>
      <x:c r="I752" s="84" t="n">
        <x:v>641</x:v>
      </x:c>
      <x:c r="J752" s="93" t="n">
        <x:v>7329.88</x:v>
      </x:c>
      <x:c r="K752" s="85" t="str">
        <x:v>3º Turno</x:v>
      </x:c>
    </x:row>
    <x:row r="753">
      <x:c r="A753" s="83" t="n">
        <x:v>752</x:v>
      </x:c>
      <x:c r="B753" s="84" t="n">
        <x:v>34</x:v>
      </x:c>
      <x:c r="C753" s="84" t="n">
        <x:v>1199</x:v>
      </x:c>
      <x:c r="D753" s="89" t="n">
        <x:v>45821.737025462964</x:v>
      </x:c>
      <x:c r="E753" s="89" t="n">
        <x:v>45822.3578587963</x:v>
      </x:c>
      <x:c r="F753" s="84" t="n">
        <x:v>894</x:v>
      </x:c>
      <x:c r="G753" s="84" t="n">
        <x:v>1</x:v>
      </x:c>
      <x:c r="H753" s="84" t="str">
        <x:v>Alarme intermitente</x:v>
      </x:c>
      <x:c r="I753" s="84" t="n">
        <x:v>1803</x:v>
      </x:c>
      <x:c r="J753" s="93" t="n">
        <x:v>19683.42</x:v>
      </x:c>
      <x:c r="K753" s="85" t="str">
        <x:v>2º Turno</x:v>
      </x:c>
    </x:row>
    <x:row r="754">
      <x:c r="A754" s="83" t="n">
        <x:v>753</x:v>
      </x:c>
      <x:c r="B754" s="84" t="n">
        <x:v>41</x:v>
      </x:c>
      <x:c r="C754" s="84" t="n">
        <x:v>1201</x:v>
      </x:c>
      <x:c r="D754" s="89" t="n">
        <x:v>45050.83048611111</x:v>
      </x:c>
      <x:c r="E754" s="89" t="n">
        <x:v>45051.33118055556</x:v>
      </x:c>
      <x:c r="F754" s="84" t="n">
        <x:v>721</x:v>
      </x:c>
      <x:c r="G754" s="84" t="n">
        <x:v>1</x:v>
      </x:c>
      <x:c r="H754" s="84" t="str">
        <x:v>Baixa pressão</x:v>
      </x:c>
      <x:c r="I754" s="84" t="n">
        <x:v>1190</x:v>
      </x:c>
      <x:c r="J754" s="93" t="n">
        <x:v>16058.17</x:v>
      </x:c>
      <x:c r="K754" s="85" t="str">
        <x:v>1º Turno</x:v>
      </x:c>
    </x:row>
    <x:row r="755">
      <x:c r="A755" s="83" t="n">
        <x:v>754</x:v>
      </x:c>
      <x:c r="B755" s="84" t="n">
        <x:v>9</x:v>
      </x:c>
      <x:c r="C755" s="84" t="n">
        <x:v>1203</x:v>
      </x:c>
      <x:c r="D755" s="89" t="n">
        <x:v>45928.511354166665</x:v>
      </x:c>
      <x:c r="E755" s="89" t="n">
        <x:v>45928.96135416667</x:v>
      </x:c>
      <x:c r="F755" s="84" t="n">
        <x:v>648</x:v>
      </x:c>
      <x:c r="G755" s="84" t="n">
        <x:v>0</x:v>
      </x:c>
      <x:c r="H755" s="84" t="str">
        <x:v>Desalinhamento</x:v>
      </x:c>
      <x:c r="I755" s="84" t="n">
        <x:v>788</x:v>
      </x:c>
      <x:c r="J755" s="93" t="n">
        <x:v>14281.74</x:v>
      </x:c>
      <x:c r="K755" s="85" t="str">
        <x:v>3º Turno</x:v>
      </x:c>
    </x:row>
    <x:row r="756">
      <x:c r="A756" s="83" t="n">
        <x:v>755</x:v>
      </x:c>
      <x:c r="B756" s="84" t="n">
        <x:v>68</x:v>
      </x:c>
      <x:c r="C756" s="84" t="n">
        <x:v>1204</x:v>
      </x:c>
      <x:c r="D756" s="89" t="n">
        <x:v>45747.81251157408</x:v>
      </x:c>
      <x:c r="E756" s="89" t="n">
        <x:v>45748.35140046296</x:v>
      </x:c>
      <x:c r="F756" s="84" t="n">
        <x:v>776</x:v>
      </x:c>
      <x:c r="G756" s="84" t="n">
        <x:v>1</x:v>
      </x:c>
      <x:c r="H756" s="84" t="str">
        <x:v>Superaquecimento</x:v>
      </x:c>
      <x:c r="I756" s="84" t="n">
        <x:v>1138</x:v>
      </x:c>
      <x:c r="J756" s="93" t="n">
        <x:v>31711.85</x:v>
      </x:c>
      <x:c r="K756" s="85" t="str">
        <x:v>1º Turno</x:v>
      </x:c>
    </x:row>
    <x:row r="757">
      <x:c r="A757" s="83" t="n">
        <x:v>756</x:v>
      </x:c>
      <x:c r="B757" s="84" t="n">
        <x:v>42</x:v>
      </x:c>
      <x:c r="C757" s="84" t="n">
        <x:v>1207</x:v>
      </x:c>
      <x:c r="D757" s="89" t="n">
        <x:v>45985.21263888889</x:v>
      </x:c>
      <x:c r="E757" s="89" t="n">
        <x:v>45985.46472222222</x:v>
      </x:c>
      <x:c r="F757" s="84" t="n">
        <x:v>363</x:v>
      </x:c>
      <x:c r="G757" s="84" t="n">
        <x:v>1</x:v>
      </x:c>
      <x:c r="H757" s="84" t="str">
        <x:v>Superaquecimento</x:v>
      </x:c>
      <x:c r="I757" s="84" t="n">
        <x:v>895</x:v>
      </x:c>
      <x:c r="J757" s="93" t="n">
        <x:v>13845.55</x:v>
      </x:c>
      <x:c r="K757" s="85" t="str">
        <x:v>3º Turno</x:v>
      </x:c>
    </x:row>
    <x:row r="758">
      <x:c r="A758" s="83" t="n">
        <x:v>757</x:v>
      </x:c>
      <x:c r="B758" s="84" t="n">
        <x:v>25</x:v>
      </x:c>
      <x:c r="C758" s="84" t="n">
        <x:v>1208</x:v>
      </x:c>
      <x:c r="D758" s="89" t="n">
        <x:v>45217.21310185185</x:v>
      </x:c>
      <x:c r="E758" s="89" t="n">
        <x:v>45217.60824074074</x:v>
      </x:c>
      <x:c r="F758" s="84" t="n">
        <x:v>569</x:v>
      </x:c>
      <x:c r="G758" s="84" t="n">
        <x:v>0</x:v>
      </x:c>
      <x:c r="H758" s="84" t="str">
        <x:v>Vazamento</x:v>
      </x:c>
      <x:c r="I758" s="84" t="n">
        <x:v>1024</x:v>
      </x:c>
      <x:c r="J758" s="93" t="n">
        <x:v>20712.12</x:v>
      </x:c>
      <x:c r="K758" s="85" t="str">
        <x:v>2º Turno</x:v>
      </x:c>
    </x:row>
    <x:row r="759">
      <x:c r="A759" s="83" t="n">
        <x:v>758</x:v>
      </x:c>
      <x:c r="B759" s="84" t="n">
        <x:v>28</x:v>
      </x:c>
      <x:c r="C759" s="84" t="n">
        <x:v>1209</x:v>
      </x:c>
      <x:c r="D759" s="89" t="n">
        <x:v>45479.696805555555</x:v>
      </x:c>
      <x:c r="E759" s="89" t="n">
        <x:v>45480.006527777776</x:v>
      </x:c>
      <x:c r="F759" s="84" t="n">
        <x:v>446</x:v>
      </x:c>
      <x:c r="G759" s="84" t="n">
        <x:v>1</x:v>
      </x:c>
      <x:c r="H759" s="84" t="str">
        <x:v>Desalinhamento</x:v>
      </x:c>
      <x:c r="I759" s="84" t="n">
        <x:v>840</x:v>
      </x:c>
      <x:c r="J759" s="93" t="n">
        <x:v>16176.22</x:v>
      </x:c>
      <x:c r="K759" s="85" t="str">
        <x:v>2º Turno</x:v>
      </x:c>
    </x:row>
    <x:row r="760">
      <x:c r="A760" s="83" t="n">
        <x:v>759</x:v>
      </x:c>
      <x:c r="B760" s="84" t="n">
        <x:v>40</x:v>
      </x:c>
      <x:c r="C760" s="84" t="n">
        <x:v>1210</x:v>
      </x:c>
      <x:c r="D760" s="89" t="n">
        <x:v>45120.983773148146</x:v>
      </x:c>
      <x:c r="E760" s="89" t="n">
        <x:v>45121.0955787037</x:v>
      </x:c>
      <x:c r="F760" s="84" t="n">
        <x:v>161</x:v>
      </x:c>
      <x:c r="G760" s="84" t="n">
        <x:v>1</x:v>
      </x:c>
      <x:c r="H760" s="84" t="str">
        <x:v>Vazamento</x:v>
      </x:c>
      <x:c r="I760" s="84" t="n">
        <x:v>174</x:v>
      </x:c>
      <x:c r="J760" s="93" t="n">
        <x:v>4374.34</x:v>
      </x:c>
      <x:c r="K760" s="85" t="str">
        <x:v>2º Turno</x:v>
      </x:c>
    </x:row>
    <x:row r="761">
      <x:c r="A761" s="83" t="n">
        <x:v>760</x:v>
      </x:c>
      <x:c r="B761" s="84" t="n">
        <x:v>55</x:v>
      </x:c>
      <x:c r="C761" s="84" t="n">
        <x:v>1212</x:v>
      </x:c>
      <x:c r="D761" s="89" t="n">
        <x:v>45706.88846064815</x:v>
      </x:c>
      <x:c r="E761" s="89" t="n">
        <x:v>45707.44054398148</x:v>
      </x:c>
      <x:c r="F761" s="84" t="n">
        <x:v>795</x:v>
      </x:c>
      <x:c r="G761" s="84" t="n">
        <x:v>1</x:v>
      </x:c>
      <x:c r="H761" s="84" t="str">
        <x:v>Baixa pressão</x:v>
      </x:c>
      <x:c r="I761" s="84" t="n">
        <x:v>1020</x:v>
      </x:c>
      <x:c r="J761" s="93" t="n">
        <x:v>24337.35</x:v>
      </x:c>
      <x:c r="K761" s="85" t="str">
        <x:v>1º Turno</x:v>
      </x:c>
    </x:row>
    <x:row r="762">
      <x:c r="A762" s="83" t="n">
        <x:v>761</x:v>
      </x:c>
      <x:c r="B762" s="84" t="n">
        <x:v>22</x:v>
      </x:c>
      <x:c r="C762" s="84" t="n">
        <x:v>1213</x:v>
      </x:c>
      <x:c r="D762" s="89" t="n">
        <x:v>45625.92387731482</x:v>
      </x:c>
      <x:c r="E762" s="89" t="n">
        <x:v>45626.44054398148</x:v>
      </x:c>
      <x:c r="F762" s="84" t="n">
        <x:v>744</x:v>
      </x:c>
      <x:c r="G762" s="84" t="n">
        <x:v>1</x:v>
      </x:c>
      <x:c r="H762" s="84" t="str">
        <x:v>Alarme intermitente</x:v>
      </x:c>
      <x:c r="I762" s="84" t="n">
        <x:v>1042</x:v>
      </x:c>
      <x:c r="J762" s="93" t="n">
        <x:v>42644.31</x:v>
      </x:c>
      <x:c r="K762" s="85" t="str">
        <x:v>3º Turno</x:v>
      </x:c>
    </x:row>
    <x:row r="763">
      <x:c r="A763" s="83" t="n">
        <x:v>762</x:v>
      </x:c>
      <x:c r="B763" s="84" t="n">
        <x:v>33</x:v>
      </x:c>
      <x:c r="C763" s="84" t="n">
        <x:v>1214</x:v>
      </x:c>
      <x:c r="D763" s="89" t="n">
        <x:v>44955.831666666665</x:v>
      </x:c>
      <x:c r="E763" s="89" t="n">
        <x:v>44956.41638888889</x:v>
      </x:c>
      <x:c r="F763" s="84" t="n">
        <x:v>842</x:v>
      </x:c>
      <x:c r="G763" s="84" t="n">
        <x:v>0</x:v>
      </x:c>
      <x:c r="H763" s="84" t="str">
        <x:v>Falha elétrica</x:v>
      </x:c>
      <x:c r="I763" s="84" t="n">
        <x:v>2091</x:v>
      </x:c>
      <x:c r="J763" s="93" t="n">
        <x:v>46962.37</x:v>
      </x:c>
      <x:c r="K763" s="85" t="str">
        <x:v>1º Turno</x:v>
      </x:c>
    </x:row>
    <x:row r="764">
      <x:c r="A764" s="83" t="n">
        <x:v>763</x:v>
      </x:c>
      <x:c r="B764" s="84" t="n">
        <x:v>46</x:v>
      </x:c>
      <x:c r="C764" s="84" t="n">
        <x:v>1215</x:v>
      </x:c>
      <x:c r="D764" s="89" t="n">
        <x:v>45830.6146875</x:v>
      </x:c>
      <x:c r="E764" s="89" t="n">
        <x:v>45830.65149305556</x:v>
      </x:c>
      <x:c r="F764" s="84" t="n">
        <x:v>53</x:v>
      </x:c>
      <x:c r="G764" s="84" t="n">
        <x:v>1</x:v>
      </x:c>
      <x:c r="H764" s="84" t="str">
        <x:v>Falha elétrica</x:v>
      </x:c>
      <x:c r="I764" s="84" t="n">
        <x:v>70</x:v>
      </x:c>
      <x:c r="J764" s="93" t="n">
        <x:v>2199.96</x:v>
      </x:c>
      <x:c r="K764" s="85" t="str">
        <x:v>3º Turno</x:v>
      </x:c>
    </x:row>
    <x:row r="765">
      <x:c r="A765" s="83" t="n">
        <x:v>764</x:v>
      </x:c>
      <x:c r="B765" s="84" t="n">
        <x:v>43</x:v>
      </x:c>
      <x:c r="C765" s="84" t="n">
        <x:v>1216</x:v>
      </x:c>
      <x:c r="D765" s="89" t="n">
        <x:v>45030.53569444444</x:v>
      </x:c>
      <x:c r="E765" s="89" t="n">
        <x:v>45030.90305555556</x:v>
      </x:c>
      <x:c r="F765" s="84" t="n">
        <x:v>529</x:v>
      </x:c>
      <x:c r="G765" s="84" t="n">
        <x:v>1</x:v>
      </x:c>
      <x:c r="H765" s="84" t="str">
        <x:v>Baixa pressão</x:v>
      </x:c>
      <x:c r="I765" s="84" t="n">
        <x:v>855</x:v>
      </x:c>
      <x:c r="J765" s="93" t="n">
        <x:v>30180.98</x:v>
      </x:c>
      <x:c r="K765" s="85" t="str">
        <x:v>1º Turno</x:v>
      </x:c>
    </x:row>
    <x:row r="766">
      <x:c r="A766" s="83" t="n">
        <x:v>765</x:v>
      </x:c>
      <x:c r="B766" s="84" t="n">
        <x:v>33</x:v>
      </x:c>
      <x:c r="C766" s="84" t="n">
        <x:v>1217</x:v>
      </x:c>
      <x:c r="D766" s="89" t="n">
        <x:v>45614.6391087963</x:v>
      </x:c>
      <x:c r="E766" s="89" t="n">
        <x:v>45614.85438657407</x:v>
      </x:c>
      <x:c r="F766" s="84" t="n">
        <x:v>310</x:v>
      </x:c>
      <x:c r="G766" s="84" t="n">
        <x:v>1</x:v>
      </x:c>
      <x:c r="H766" s="84" t="str">
        <x:v>Alarme intermitente</x:v>
      </x:c>
      <x:c r="I766" s="84" t="n">
        <x:v>336</x:v>
      </x:c>
      <x:c r="J766" s="93" t="n">
        <x:v>11104.11</x:v>
      </x:c>
      <x:c r="K766" s="85" t="str">
        <x:v>3º Turno</x:v>
      </x:c>
    </x:row>
    <x:row r="767">
      <x:c r="A767" s="83" t="n">
        <x:v>766</x:v>
      </x:c>
      <x:c r="B767" s="84" t="n">
        <x:v>82</x:v>
      </x:c>
      <x:c r="C767" s="84" t="n">
        <x:v>1218</x:v>
      </x:c>
      <x:c r="D767" s="89" t="n">
        <x:v>45932.648726851854</x:v>
      </x:c>
      <x:c r="E767" s="89" t="n">
        <x:v>45932.97511574074</x:v>
      </x:c>
      <x:c r="F767" s="84" t="n">
        <x:v>470</x:v>
      </x:c>
      <x:c r="G767" s="84" t="n">
        <x:v>1</x:v>
      </x:c>
      <x:c r="H767" s="84" t="str">
        <x:v>Falha elétrica</x:v>
      </x:c>
      <x:c r="I767" s="84" t="n">
        <x:v>689</x:v>
      </x:c>
      <x:c r="J767" s="93" t="n">
        <x:v>11815.31</x:v>
      </x:c>
      <x:c r="K767" s="85" t="str">
        <x:v>1º Turno</x:v>
      </x:c>
    </x:row>
    <x:row r="768">
      <x:c r="A768" s="83" t="n">
        <x:v>767</x:v>
      </x:c>
      <x:c r="B768" s="84" t="n">
        <x:v>84</x:v>
      </x:c>
      <x:c r="C768" s="84" t="n">
        <x:v>1220</x:v>
      </x:c>
      <x:c r="D768" s="89" t="n">
        <x:v>45793.5200462963</x:v>
      </x:c>
      <x:c r="E768" s="89" t="n">
        <x:v>45794.12907407407</x:v>
      </x:c>
      <x:c r="F768" s="84" t="n">
        <x:v>877</x:v>
      </x:c>
      <x:c r="G768" s="84" t="n">
        <x:v>0</x:v>
      </x:c>
      <x:c r="H768" s="84" t="str">
        <x:v>Baixa pressão</x:v>
      </x:c>
      <x:c r="I768" s="84" t="n">
        <x:v>1944</x:v>
      </x:c>
      <x:c r="J768" s="93" t="n">
        <x:v>34169.69</x:v>
      </x:c>
      <x:c r="K768" s="85" t="str">
        <x:v>3º Turno</x:v>
      </x:c>
    </x:row>
    <x:row r="769">
      <x:c r="A769" s="83" t="n">
        <x:v>768</x:v>
      </x:c>
      <x:c r="B769" s="84" t="n">
        <x:v>36</x:v>
      </x:c>
      <x:c r="C769" s="84" t="n">
        <x:v>1221</x:v>
      </x:c>
      <x:c r="D769" s="89" t="n">
        <x:v>45147.60710648148</x:v>
      </x:c>
      <x:c r="E769" s="89" t="n">
        <x:v>45147.86474537037</x:v>
      </x:c>
      <x:c r="F769" s="84" t="n">
        <x:v>371</x:v>
      </x:c>
      <x:c r="G769" s="84" t="n">
        <x:v>1</x:v>
      </x:c>
      <x:c r="H769" s="84" t="str">
        <x:v>Vazamento</x:v>
      </x:c>
      <x:c r="I769" s="84" t="n">
        <x:v>420</x:v>
      </x:c>
      <x:c r="J769" s="93" t="n">
        <x:v>14621</x:v>
      </x:c>
      <x:c r="K769" s="85" t="str">
        <x:v>2º Turno</x:v>
      </x:c>
    </x:row>
    <x:row r="770">
      <x:c r="A770" s="83" t="n">
        <x:v>769</x:v>
      </x:c>
      <x:c r="B770" s="84" t="n">
        <x:v>15</x:v>
      </x:c>
      <x:c r="C770" s="84" t="n">
        <x:v>1222</x:v>
      </x:c>
      <x:c r="D770" s="89" t="n">
        <x:v>45588.77684027778</x:v>
      </x:c>
      <x:c r="E770" s="89" t="n">
        <x:v>45589.30739583333</x:v>
      </x:c>
      <x:c r="F770" s="84" t="n">
        <x:v>764</x:v>
      </x:c>
      <x:c r="G770" s="84" t="n">
        <x:v>1</x:v>
      </x:c>
      <x:c r="H770" s="84" t="str">
        <x:v>Falha elétrica</x:v>
      </x:c>
      <x:c r="I770" s="84" t="n">
        <x:v>993</x:v>
      </x:c>
      <x:c r="J770" s="93" t="n">
        <x:v>17246.68</x:v>
      </x:c>
      <x:c r="K770" s="85" t="str">
        <x:v>3º Turno</x:v>
      </x:c>
    </x:row>
    <x:row r="771">
      <x:c r="A771" s="83" t="n">
        <x:v>770</x:v>
      </x:c>
      <x:c r="B771" s="84" t="n">
        <x:v>1</x:v>
      </x:c>
      <x:c r="C771" s="84" t="n">
        <x:v>1223</x:v>
      </x:c>
      <x:c r="D771" s="89" t="n">
        <x:v>45066.15491898148</x:v>
      </x:c>
      <x:c r="E771" s="89" t="n">
        <x:v>45066.39728009259</x:v>
      </x:c>
      <x:c r="F771" s="84" t="n">
        <x:v>349</x:v>
      </x:c>
      <x:c r="G771" s="84" t="n">
        <x:v>1</x:v>
      </x:c>
      <x:c r="H771" s="84" t="str">
        <x:v>Vazamento</x:v>
      </x:c>
      <x:c r="I771" s="84" t="n">
        <x:v>809</x:v>
      </x:c>
      <x:c r="J771" s="93" t="n">
        <x:v>10226.85</x:v>
      </x:c>
      <x:c r="K771" s="85" t="str">
        <x:v>1º Turno</x:v>
      </x:c>
    </x:row>
    <x:row r="772">
      <x:c r="A772" s="83" t="n">
        <x:v>771</x:v>
      </x:c>
      <x:c r="B772" s="84" t="n">
        <x:v>4</x:v>
      </x:c>
      <x:c r="C772" s="84" t="n">
        <x:v>1224</x:v>
      </x:c>
      <x:c r="D772" s="89" t="n">
        <x:v>45318.36195601852</x:v>
      </x:c>
      <x:c r="E772" s="89" t="n">
        <x:v>45318.58001157407</x:v>
      </x:c>
      <x:c r="F772" s="84" t="n">
        <x:v>314</x:v>
      </x:c>
      <x:c r="G772" s="84" t="n">
        <x:v>1</x:v>
      </x:c>
      <x:c r="H772" s="84" t="str">
        <x:v>Falha elétrica</x:v>
      </x:c>
      <x:c r="I772" s="84" t="n">
        <x:v>555</x:v>
      </x:c>
      <x:c r="J772" s="93" t="n">
        <x:v>17361.86</x:v>
      </x:c>
      <x:c r="K772" s="85" t="str">
        <x:v>1º Turno</x:v>
      </x:c>
    </x:row>
    <x:row r="773">
      <x:c r="A773" s="83" t="n">
        <x:v>772</x:v>
      </x:c>
      <x:c r="B773" s="84" t="n">
        <x:v>83</x:v>
      </x:c>
      <x:c r="C773" s="84" t="n">
        <x:v>1227</x:v>
      </x:c>
      <x:c r="D773" s="89" t="n">
        <x:v>45109.010613425926</x:v>
      </x:c>
      <x:c r="E773" s="89" t="n">
        <x:v>45109.348807870374</x:v>
      </x:c>
      <x:c r="F773" s="84" t="n">
        <x:v>487</x:v>
      </x:c>
      <x:c r="G773" s="84" t="n">
        <x:v>1</x:v>
      </x:c>
      <x:c r="H773" s="84" t="str">
        <x:v>Falha elétrica</x:v>
      </x:c>
      <x:c r="I773" s="84" t="n">
        <x:v>1218</x:v>
      </x:c>
      <x:c r="J773" s="93" t="n">
        <x:v>6528.02</x:v>
      </x:c>
      <x:c r="K773" s="85" t="str">
        <x:v>2º Turno</x:v>
      </x:c>
    </x:row>
    <x:row r="774">
      <x:c r="A774" s="83" t="n">
        <x:v>773</x:v>
      </x:c>
      <x:c r="B774" s="84" t="n">
        <x:v>6</x:v>
      </x:c>
      <x:c r="C774" s="84" t="n">
        <x:v>1228</x:v>
      </x:c>
      <x:c r="D774" s="89" t="n">
        <x:v>45790.605</x:v>
      </x:c>
      <x:c r="E774" s="89" t="n">
        <x:v>45790.798055555555</x:v>
      </x:c>
      <x:c r="F774" s="84" t="n">
        <x:v>278</x:v>
      </x:c>
      <x:c r="G774" s="84" t="n">
        <x:v>1</x:v>
      </x:c>
      <x:c r="H774" s="84" t="str">
        <x:v>Falha elétrica</x:v>
      </x:c>
      <x:c r="I774" s="84" t="n">
        <x:v>454</x:v>
      </x:c>
      <x:c r="J774" s="93" t="n">
        <x:v>11072.98</x:v>
      </x:c>
      <x:c r="K774" s="85" t="str">
        <x:v>2º Turno</x:v>
      </x:c>
    </x:row>
    <x:row r="775">
      <x:c r="A775" s="83" t="n">
        <x:v>774</x:v>
      </x:c>
      <x:c r="B775" s="84" t="n">
        <x:v>8</x:v>
      </x:c>
      <x:c r="C775" s="84" t="n">
        <x:v>1229</x:v>
      </x:c>
      <x:c r="D775" s="89" t="n">
        <x:v>45371.22209490741</x:v>
      </x:c>
      <x:c r="E775" s="89" t="n">
        <x:v>45371.40542824074</x:v>
      </x:c>
      <x:c r="F775" s="84" t="n">
        <x:v>264</x:v>
      </x:c>
      <x:c r="G775" s="84" t="n">
        <x:v>1</x:v>
      </x:c>
      <x:c r="H775" s="84" t="str">
        <x:v>Superaquecimento</x:v>
      </x:c>
      <x:c r="I775" s="84" t="n">
        <x:v>629</x:v>
      </x:c>
      <x:c r="J775" s="93" t="n">
        <x:v>13339.14</x:v>
      </x:c>
      <x:c r="K775" s="85" t="str">
        <x:v>1º Turno</x:v>
      </x:c>
    </x:row>
    <x:row r="776">
      <x:c r="A776" s="83" t="n">
        <x:v>775</x:v>
      </x:c>
      <x:c r="B776" s="84" t="n">
        <x:v>34</x:v>
      </x:c>
      <x:c r="C776" s="84" t="n">
        <x:v>1230</x:v>
      </x:c>
      <x:c r="D776" s="89" t="n">
        <x:v>45800.543854166666</x:v>
      </x:c>
      <x:c r="E776" s="89" t="n">
        <x:v>45800.74246527778</x:v>
      </x:c>
      <x:c r="F776" s="84" t="n">
        <x:v>286</x:v>
      </x:c>
      <x:c r="G776" s="84" t="n">
        <x:v>1</x:v>
      </x:c>
      <x:c r="H776" s="84" t="str">
        <x:v>Desalinhamento</x:v>
      </x:c>
      <x:c r="I776" s="84" t="n">
        <x:v>682</x:v>
      </x:c>
      <x:c r="J776" s="93" t="n">
        <x:v>13207.58</x:v>
      </x:c>
      <x:c r="K776" s="85" t="str">
        <x:v>3º Turno</x:v>
      </x:c>
    </x:row>
    <x:row r="777">
      <x:c r="A777" s="83" t="n">
        <x:v>776</x:v>
      </x:c>
      <x:c r="B777" s="84" t="n">
        <x:v>34</x:v>
      </x:c>
      <x:c r="C777" s="84" t="n">
        <x:v>1232</x:v>
      </x:c>
      <x:c r="D777" s="89" t="n">
        <x:v>45152.37805555556</x:v>
      </x:c>
      <x:c r="E777" s="89" t="n">
        <x:v>45152.600277777776</x:v>
      </x:c>
      <x:c r="F777" s="84" t="n">
        <x:v>320</x:v>
      </x:c>
      <x:c r="G777" s="84" t="n">
        <x:v>1</x:v>
      </x:c>
      <x:c r="H777" s="84" t="str">
        <x:v>Ruído anormal</x:v>
      </x:c>
      <x:c r="I777" s="84" t="n">
        <x:v>416</x:v>
      </x:c>
      <x:c r="J777" s="93" t="n">
        <x:v>8011.83</x:v>
      </x:c>
      <x:c r="K777" s="85" t="str">
        <x:v>3º Turno</x:v>
      </x:c>
    </x:row>
    <x:row r="778">
      <x:c r="A778" s="83" t="n">
        <x:v>777</x:v>
      </x:c>
      <x:c r="B778" s="84" t="n">
        <x:v>22</x:v>
      </x:c>
      <x:c r="C778" s="84" t="n">
        <x:v>1233</x:v>
      </x:c>
      <x:c r="D778" s="89" t="n">
        <x:v>45751.35221064815</x:v>
      </x:c>
      <x:c r="E778" s="89" t="n">
        <x:v>45751.37443287037</x:v>
      </x:c>
      <x:c r="F778" s="84" t="n">
        <x:v>32</x:v>
      </x:c>
      <x:c r="G778" s="84" t="n">
        <x:v>1</x:v>
      </x:c>
      <x:c r="H778" s="84" t="str">
        <x:v>Superaquecimento</x:v>
      </x:c>
      <x:c r="I778" s="84" t="n">
        <x:v>34</x:v>
      </x:c>
      <x:c r="J778" s="93" t="n">
        <x:v>511.23</x:v>
      </x:c>
      <x:c r="K778" s="85" t="str">
        <x:v>1º Turno</x:v>
      </x:c>
    </x:row>
    <x:row r="779">
      <x:c r="A779" s="83" t="n">
        <x:v>778</x:v>
      </x:c>
      <x:c r="B779" s="84" t="n">
        <x:v>38</x:v>
      </x:c>
      <x:c r="C779" s="84" t="n">
        <x:v>1234</x:v>
      </x:c>
      <x:c r="D779" s="89" t="n">
        <x:v>45982.168344907404</x:v>
      </x:c>
      <x:c r="E779" s="89" t="n">
        <x:v>45982.72390046297</x:v>
      </x:c>
      <x:c r="F779" s="84" t="n">
        <x:v>800</x:v>
      </x:c>
      <x:c r="G779" s="84" t="n">
        <x:v>1</x:v>
      </x:c>
      <x:c r="H779" s="84" t="str">
        <x:v>Desalinhamento</x:v>
      </x:c>
      <x:c r="I779" s="84" t="n">
        <x:v>1853</x:v>
      </x:c>
      <x:c r="J779" s="93" t="n">
        <x:v>37963.74</x:v>
      </x:c>
      <x:c r="K779" s="85" t="str">
        <x:v>1º Turno</x:v>
      </x:c>
    </x:row>
    <x:row r="780">
      <x:c r="A780" s="83" t="n">
        <x:v>779</x:v>
      </x:c>
      <x:c r="B780" s="84" t="n">
        <x:v>22</x:v>
      </x:c>
      <x:c r="C780" s="84" t="n">
        <x:v>1235</x:v>
      </x:c>
      <x:c r="D780" s="89" t="n">
        <x:v>45574.13284722222</x:v>
      </x:c>
      <x:c r="E780" s="89" t="n">
        <x:v>45574.18284722222</x:v>
      </x:c>
      <x:c r="F780" s="84" t="n">
        <x:v>72</x:v>
      </x:c>
      <x:c r="G780" s="84" t="n">
        <x:v>1</x:v>
      </x:c>
      <x:c r="H780" s="84" t="str">
        <x:v>Alarme intermitente</x:v>
      </x:c>
      <x:c r="I780" s="84" t="n">
        <x:v>82</x:v>
      </x:c>
      <x:c r="J780" s="93" t="n">
        <x:v>1085.62</x:v>
      </x:c>
      <x:c r="K780" s="85" t="str">
        <x:v>1º Turno</x:v>
      </x:c>
    </x:row>
    <x:row r="781">
      <x:c r="A781" s="83" t="n">
        <x:v>780</x:v>
      </x:c>
      <x:c r="B781" s="84" t="n">
        <x:v>4</x:v>
      </x:c>
      <x:c r="C781" s="84" t="n">
        <x:v>1237</x:v>
      </x:c>
      <x:c r="D781" s="89" t="n">
        <x:v>45024.524733796294</x:v>
      </x:c>
      <x:c r="E781" s="89" t="n">
        <x:v>45025.1059837963</x:v>
      </x:c>
      <x:c r="F781" s="84" t="n">
        <x:v>837</x:v>
      </x:c>
      <x:c r="G781" s="84" t="n">
        <x:v>1</x:v>
      </x:c>
      <x:c r="H781" s="84" t="str">
        <x:v>Alarme intermitente</x:v>
      </x:c>
      <x:c r="I781" s="84" t="n">
        <x:v>1507</x:v>
      </x:c>
      <x:c r="J781" s="93" t="n">
        <x:v>39354.61</x:v>
      </x:c>
      <x:c r="K781" s="85" t="str">
        <x:v>3º Turno</x:v>
      </x:c>
    </x:row>
    <x:row r="782">
      <x:c r="A782" s="83" t="n">
        <x:v>781</x:v>
      </x:c>
      <x:c r="B782" s="84" t="n">
        <x:v>49</x:v>
      </x:c>
      <x:c r="C782" s="84" t="n">
        <x:v>1239</x:v>
      </x:c>
      <x:c r="D782" s="89" t="n">
        <x:v>45440.147569444445</x:v>
      </x:c>
      <x:c r="E782" s="89" t="n">
        <x:v>45440.58159722222</x:v>
      </x:c>
      <x:c r="F782" s="84" t="n">
        <x:v>625</x:v>
      </x:c>
      <x:c r="G782" s="84" t="n">
        <x:v>1</x:v>
      </x:c>
      <x:c r="H782" s="84" t="str">
        <x:v>Baixa pressão</x:v>
      </x:c>
      <x:c r="I782" s="84" t="n">
        <x:v>1542</x:v>
      </x:c>
      <x:c r="J782" s="93" t="n">
        <x:v>35631.14</x:v>
      </x:c>
      <x:c r="K782" s="85" t="str">
        <x:v>1º Turno</x:v>
      </x:c>
    </x:row>
    <x:row r="783">
      <x:c r="A783" s="83" t="n">
        <x:v>782</x:v>
      </x:c>
      <x:c r="B783" s="84" t="n">
        <x:v>62</x:v>
      </x:c>
      <x:c r="C783" s="84" t="n">
        <x:v>1241</x:v>
      </x:c>
      <x:c r="D783" s="89" t="n">
        <x:v>45079.01553240741</x:v>
      </x:c>
      <x:c r="E783" s="89" t="n">
        <x:v>45079.04956018519</x:v>
      </x:c>
      <x:c r="F783" s="84" t="n">
        <x:v>49</x:v>
      </x:c>
      <x:c r="G783" s="84" t="n">
        <x:v>1</x:v>
      </x:c>
      <x:c r="H783" s="84" t="str">
        <x:v>Vazamento</x:v>
      </x:c>
      <x:c r="I783" s="84" t="n">
        <x:v>81</x:v>
      </x:c>
      <x:c r="J783" s="93" t="n">
        <x:v>1750.28</x:v>
      </x:c>
      <x:c r="K783" s="85" t="str">
        <x:v>2º Turno</x:v>
      </x:c>
    </x:row>
    <x:row r="784">
      <x:c r="A784" s="83" t="n">
        <x:v>783</x:v>
      </x:c>
      <x:c r="B784" s="84" t="n">
        <x:v>87</x:v>
      </x:c>
      <x:c r="C784" s="84" t="n">
        <x:v>1244</x:v>
      </x:c>
      <x:c r="D784" s="89" t="n">
        <x:v>45015.87993055556</x:v>
      </x:c>
      <x:c r="E784" s="89" t="n">
        <x:v>45016.405625</x:v>
      </x:c>
      <x:c r="F784" s="84" t="n">
        <x:v>757</x:v>
      </x:c>
      <x:c r="G784" s="84" t="n">
        <x:v>1</x:v>
      </x:c>
      <x:c r="H784" s="84" t="str">
        <x:v>Desalinhamento</x:v>
      </x:c>
      <x:c r="I784" s="84" t="n">
        <x:v>782</x:v>
      </x:c>
      <x:c r="J784" s="93" t="n">
        <x:v>26001.02</x:v>
      </x:c>
      <x:c r="K784" s="85" t="str">
        <x:v>1º Turno</x:v>
      </x:c>
    </x:row>
    <x:row r="785">
      <x:c r="A785" s="83" t="n">
        <x:v>784</x:v>
      </x:c>
      <x:c r="B785" s="84" t="n">
        <x:v>33</x:v>
      </x:c>
      <x:c r="C785" s="84" t="n">
        <x:v>1246</x:v>
      </x:c>
      <x:c r="D785" s="89" t="n">
        <x:v>45378.264016203706</x:v>
      </x:c>
      <x:c r="E785" s="89" t="n">
        <x:v>45378.87721064815</x:v>
      </x:c>
      <x:c r="F785" s="84" t="n">
        <x:v>883</x:v>
      </x:c>
      <x:c r="G785" s="84" t="n">
        <x:v>1</x:v>
      </x:c>
      <x:c r="H785" s="84" t="str">
        <x:v>Superaquecimento</x:v>
      </x:c>
      <x:c r="I785" s="84" t="n">
        <x:v>883</x:v>
      </x:c>
      <x:c r="J785" s="93" t="n">
        <x:v>49366.19</x:v>
      </x:c>
      <x:c r="K785" s="85" t="str">
        <x:v>1º Turno</x:v>
      </x:c>
    </x:row>
    <x:row r="786">
      <x:c r="A786" s="83" t="n">
        <x:v>785</x:v>
      </x:c>
      <x:c r="B786" s="84" t="n">
        <x:v>57</x:v>
      </x:c>
      <x:c r="C786" s="84" t="n">
        <x:v>1247</x:v>
      </x:c>
      <x:c r="D786" s="89" t="n">
        <x:v>45512.673414351855</x:v>
      </x:c>
      <x:c r="E786" s="89" t="n">
        <x:v>45512.867164351854</x:v>
      </x:c>
      <x:c r="F786" s="84" t="n">
        <x:v>279</x:v>
      </x:c>
      <x:c r="G786" s="84" t="n">
        <x:v>0</x:v>
      </x:c>
      <x:c r="H786" s="84" t="str">
        <x:v>Ruído anormal</x:v>
      </x:c>
      <x:c r="I786" s="84" t="n">
        <x:v>693</x:v>
      </x:c>
      <x:c r="J786" s="93" t="n">
        <x:v>5722.14</x:v>
      </x:c>
      <x:c r="K786" s="85" t="str">
        <x:v>2º Turno</x:v>
      </x:c>
    </x:row>
    <x:row r="787">
      <x:c r="A787" s="83" t="n">
        <x:v>786</x:v>
      </x:c>
      <x:c r="B787" s="84" t="n">
        <x:v>76</x:v>
      </x:c>
      <x:c r="C787" s="84" t="n">
        <x:v>1248</x:v>
      </x:c>
      <x:c r="D787" s="89" t="n">
        <x:v>45526.20846064815</x:v>
      </x:c>
      <x:c r="E787" s="89" t="n">
        <x:v>45526.34943287037</x:v>
      </x:c>
      <x:c r="F787" s="84" t="n">
        <x:v>203</x:v>
      </x:c>
      <x:c r="G787" s="84" t="n">
        <x:v>1</x:v>
      </x:c>
      <x:c r="H787" s="84" t="str">
        <x:v>Falha elétrica</x:v>
      </x:c>
      <x:c r="I787" s="84" t="n">
        <x:v>220</x:v>
      </x:c>
      <x:c r="J787" s="93" t="n">
        <x:v>7610.05</x:v>
      </x:c>
      <x:c r="K787" s="85" t="str">
        <x:v>1º Turno</x:v>
      </x:c>
    </x:row>
    <x:row r="788">
      <x:c r="A788" s="83" t="n">
        <x:v>787</x:v>
      </x:c>
      <x:c r="B788" s="84" t="n">
        <x:v>28</x:v>
      </x:c>
      <x:c r="C788" s="84" t="n">
        <x:v>1250</x:v>
      </x:c>
      <x:c r="D788" s="89" t="n">
        <x:v>45952.50033564815</x:v>
      </x:c>
      <x:c r="E788" s="89" t="n">
        <x:v>45952.989224537036</x:v>
      </x:c>
      <x:c r="F788" s="84" t="n">
        <x:v>704</x:v>
      </x:c>
      <x:c r="G788" s="84" t="n">
        <x:v>0</x:v>
      </x:c>
      <x:c r="H788" s="84" t="str">
        <x:v>Alarme intermitente</x:v>
      </x:c>
      <x:c r="I788" s="84" t="n">
        <x:v>1490</x:v>
      </x:c>
      <x:c r="J788" s="93" t="n">
        <x:v>33823.3</x:v>
      </x:c>
      <x:c r="K788" s="85" t="str">
        <x:v>3º Turno</x:v>
      </x:c>
    </x:row>
    <x:row r="789">
      <x:c r="A789" s="83" t="n">
        <x:v>788</x:v>
      </x:c>
      <x:c r="B789" s="84" t="n">
        <x:v>31</x:v>
      </x:c>
      <x:c r="C789" s="84" t="n">
        <x:v>1251</x:v>
      </x:c>
      <x:c r="D789" s="89" t="n">
        <x:v>45099.845289351855</x:v>
      </x:c>
      <x:c r="E789" s="89" t="n">
        <x:v>45100.209872685184</x:v>
      </x:c>
      <x:c r="F789" s="84" t="n">
        <x:v>525</x:v>
      </x:c>
      <x:c r="G789" s="84" t="n">
        <x:v>1</x:v>
      </x:c>
      <x:c r="H789" s="84" t="str">
        <x:v>Superaquecimento</x:v>
      </x:c>
      <x:c r="I789" s="84" t="n">
        <x:v>1234</x:v>
      </x:c>
      <x:c r="J789" s="93" t="n">
        <x:v>24843.87</x:v>
      </x:c>
      <x:c r="K789" s="85" t="str">
        <x:v>2º Turno</x:v>
      </x:c>
    </x:row>
    <x:row r="790">
      <x:c r="A790" s="83" t="n">
        <x:v>789</x:v>
      </x:c>
      <x:c r="B790" s="84" t="n">
        <x:v>31</x:v>
      </x:c>
      <x:c r="C790" s="84" t="n">
        <x:v>1253</x:v>
      </x:c>
      <x:c r="D790" s="89" t="n">
        <x:v>45721.51368055555</x:v>
      </x:c>
      <x:c r="E790" s="89" t="n">
        <x:v>45722.04076388889</x:v>
      </x:c>
      <x:c r="F790" s="84" t="n">
        <x:v>759</x:v>
      </x:c>
      <x:c r="G790" s="84" t="n">
        <x:v>1</x:v>
      </x:c>
      <x:c r="H790" s="84" t="str">
        <x:v>Alarme intermitente</x:v>
      </x:c>
      <x:c r="I790" s="84" t="n">
        <x:v>1189</x:v>
      </x:c>
      <x:c r="J790" s="93" t="n">
        <x:v>22080.32</x:v>
      </x:c>
      <x:c r="K790" s="85" t="str">
        <x:v>3º Turno</x:v>
      </x:c>
    </x:row>
    <x:row r="791">
      <x:c r="A791" s="83" t="n">
        <x:v>790</x:v>
      </x:c>
      <x:c r="B791" s="84" t="n">
        <x:v>10</x:v>
      </x:c>
      <x:c r="C791" s="84" t="n">
        <x:v>1256</x:v>
      </x:c>
      <x:c r="D791" s="89" t="n">
        <x:v>45783.445381944446</x:v>
      </x:c>
      <x:c r="E791" s="89" t="n">
        <x:v>45783.508576388886</x:v>
      </x:c>
      <x:c r="F791" s="84" t="n">
        <x:v>91</x:v>
      </x:c>
      <x:c r="G791" s="84" t="n">
        <x:v>0</x:v>
      </x:c>
      <x:c r="H791" s="84" t="str">
        <x:v>Vazamento</x:v>
      </x:c>
      <x:c r="I791" s="84" t="n">
        <x:v>174</x:v>
      </x:c>
      <x:c r="J791" s="93" t="n">
        <x:v>3058.51</x:v>
      </x:c>
      <x:c r="K791" s="85" t="str">
        <x:v>1º Turno</x:v>
      </x:c>
    </x:row>
    <x:row r="792">
      <x:c r="A792" s="83" t="n">
        <x:v>791</x:v>
      </x:c>
      <x:c r="B792" s="84" t="n">
        <x:v>79</x:v>
      </x:c>
      <x:c r="C792" s="84" t="n">
        <x:v>1258</x:v>
      </x:c>
      <x:c r="D792" s="89" t="n">
        <x:v>45820.73295138889</x:v>
      </x:c>
      <x:c r="E792" s="89" t="n">
        <x:v>45820.964895833335</x:v>
      </x:c>
      <x:c r="F792" s="84" t="n">
        <x:v>334</x:v>
      </x:c>
      <x:c r="G792" s="84" t="n">
        <x:v>1</x:v>
      </x:c>
      <x:c r="H792" s="84" t="str">
        <x:v>Desalinhamento</x:v>
      </x:c>
      <x:c r="I792" s="84" t="n">
        <x:v>390</x:v>
      </x:c>
      <x:c r="J792" s="93" t="n">
        <x:v>12304.46</x:v>
      </x:c>
      <x:c r="K792" s="85" t="str">
        <x:v>2º Turno</x:v>
      </x:c>
    </x:row>
    <x:row r="793">
      <x:c r="A793" s="83" t="n">
        <x:v>792</x:v>
      </x:c>
      <x:c r="B793" s="84" t="n">
        <x:v>27</x:v>
      </x:c>
      <x:c r="C793" s="84" t="n">
        <x:v>1259</x:v>
      </x:c>
      <x:c r="D793" s="89" t="n">
        <x:v>45304.850439814814</x:v>
      </x:c>
      <x:c r="E793" s="89" t="n">
        <x:v>45305.34071759259</x:v>
      </x:c>
      <x:c r="F793" s="84" t="n">
        <x:v>706</x:v>
      </x:c>
      <x:c r="G793" s="84" t="n">
        <x:v>1</x:v>
      </x:c>
      <x:c r="H793" s="84" t="str">
        <x:v>Baixa pressão</x:v>
      </x:c>
      <x:c r="I793" s="84" t="n">
        <x:v>1059</x:v>
      </x:c>
      <x:c r="J793" s="93" t="n">
        <x:v>15336.11</x:v>
      </x:c>
      <x:c r="K793" s="85" t="str">
        <x:v>3º Turno</x:v>
      </x:c>
    </x:row>
    <x:row r="794">
      <x:c r="A794" s="83" t="n">
        <x:v>793</x:v>
      </x:c>
      <x:c r="B794" s="84" t="n">
        <x:v>27</x:v>
      </x:c>
      <x:c r="C794" s="84" t="n">
        <x:v>1260</x:v>
      </x:c>
      <x:c r="D794" s="89" t="n">
        <x:v>45303.7983912037</x:v>
      </x:c>
      <x:c r="E794" s="89" t="n">
        <x:v>45303.953252314815</x:v>
      </x:c>
      <x:c r="F794" s="84" t="n">
        <x:v>223</x:v>
      </x:c>
      <x:c r="G794" s="84" t="n">
        <x:v>0</x:v>
      </x:c>
      <x:c r="H794" s="84" t="str">
        <x:v>Superaquecimento</x:v>
      </x:c>
      <x:c r="I794" s="84" t="n">
        <x:v>349</x:v>
      </x:c>
      <x:c r="J794" s="93" t="n">
        <x:v>11096.57</x:v>
      </x:c>
      <x:c r="K794" s="85" t="str">
        <x:v>3º Turno</x:v>
      </x:c>
    </x:row>
    <x:row r="795">
      <x:c r="A795" s="83" t="n">
        <x:v>794</x:v>
      </x:c>
      <x:c r="B795" s="84" t="n">
        <x:v>90</x:v>
      </x:c>
      <x:c r="C795" s="84" t="n">
        <x:v>1262</x:v>
      </x:c>
      <x:c r="D795" s="89" t="n">
        <x:v>45667.285162037035</x:v>
      </x:c>
      <x:c r="E795" s="89" t="n">
        <x:v>45667.89071759259</x:v>
      </x:c>
      <x:c r="F795" s="84" t="n">
        <x:v>872</x:v>
      </x:c>
      <x:c r="G795" s="84" t="n">
        <x:v>1</x:v>
      </x:c>
      <x:c r="H795" s="84" t="str">
        <x:v>Alarme intermitente</x:v>
      </x:c>
      <x:c r="I795" s="84" t="n">
        <x:v>945</x:v>
      </x:c>
      <x:c r="J795" s="93" t="n">
        <x:v>11986.59</x:v>
      </x:c>
      <x:c r="K795" s="85" t="str">
        <x:v>3º Turno</x:v>
      </x:c>
    </x:row>
    <x:row r="796">
      <x:c r="A796" s="83" t="n">
        <x:v>795</x:v>
      </x:c>
      <x:c r="B796" s="84" t="n">
        <x:v>58</x:v>
      </x:c>
      <x:c r="C796" s="84" t="n">
        <x:v>1263</x:v>
      </x:c>
      <x:c r="D796" s="89" t="n">
        <x:v>45845.98003472222</x:v>
      </x:c>
      <x:c r="E796" s="89" t="n">
        <x:v>45846.45086805556</x:v>
      </x:c>
      <x:c r="F796" s="84" t="n">
        <x:v>678</x:v>
      </x:c>
      <x:c r="G796" s="84" t="n">
        <x:v>1</x:v>
      </x:c>
      <x:c r="H796" s="84" t="str">
        <x:v>Falha elétrica</x:v>
      </x:c>
      <x:c r="I796" s="84" t="n">
        <x:v>983</x:v>
      </x:c>
      <x:c r="J796" s="93" t="n">
        <x:v>39517.67</x:v>
      </x:c>
      <x:c r="K796" s="85" t="str">
        <x:v>3º Turno</x:v>
      </x:c>
    </x:row>
    <x:row r="797">
      <x:c r="A797" s="83" t="n">
        <x:v>796</x:v>
      </x:c>
      <x:c r="B797" s="84" t="n">
        <x:v>51</x:v>
      </x:c>
      <x:c r="C797" s="84" t="n">
        <x:v>1264</x:v>
      </x:c>
      <x:c r="D797" s="89" t="n">
        <x:v>45792.79346064815</x:v>
      </x:c>
      <x:c r="E797" s="89" t="n">
        <x:v>45793.13234953704</x:v>
      </x:c>
      <x:c r="F797" s="84" t="n">
        <x:v>488</x:v>
      </x:c>
      <x:c r="G797" s="84" t="n">
        <x:v>0</x:v>
      </x:c>
      <x:c r="H797" s="84" t="str">
        <x:v>Vazamento</x:v>
      </x:c>
      <x:c r="I797" s="84" t="n">
        <x:v>952</x:v>
      </x:c>
      <x:c r="J797" s="93" t="n">
        <x:v>23567.43</x:v>
      </x:c>
      <x:c r="K797" s="85" t="str">
        <x:v>2º Turno</x:v>
      </x:c>
    </x:row>
    <x:row r="798">
      <x:c r="A798" s="83" t="n">
        <x:v>797</x:v>
      </x:c>
      <x:c r="B798" s="84" t="n">
        <x:v>11</x:v>
      </x:c>
      <x:c r="C798" s="84" t="n">
        <x:v>1265</x:v>
      </x:c>
      <x:c r="D798" s="89" t="n">
        <x:v>45111.05328703704</x:v>
      </x:c>
      <x:c r="E798" s="89" t="n">
        <x:v>45111.676203703704</x:v>
      </x:c>
      <x:c r="F798" s="84" t="n">
        <x:v>897</x:v>
      </x:c>
      <x:c r="G798" s="84" t="n">
        <x:v>0</x:v>
      </x:c>
      <x:c r="H798" s="84" t="str">
        <x:v>Desalinhamento</x:v>
      </x:c>
      <x:c r="I798" s="84" t="n">
        <x:v>1405</x:v>
      </x:c>
      <x:c r="J798" s="93" t="n">
        <x:v>35343.73</x:v>
      </x:c>
      <x:c r="K798" s="85" t="str">
        <x:v>3º Turno</x:v>
      </x:c>
    </x:row>
    <x:row r="799">
      <x:c r="A799" s="83" t="n">
        <x:v>798</x:v>
      </x:c>
      <x:c r="B799" s="84" t="n">
        <x:v>70</x:v>
      </x:c>
      <x:c r="C799" s="84" t="n">
        <x:v>1268</x:v>
      </x:c>
      <x:c r="D799" s="89" t="n">
        <x:v>45924.17798611111</x:v>
      </x:c>
      <x:c r="E799" s="89" t="n">
        <x:v>45924.448125</x:v>
      </x:c>
      <x:c r="F799" s="84" t="n">
        <x:v>389</x:v>
      </x:c>
      <x:c r="G799" s="84" t="n">
        <x:v>0</x:v>
      </x:c>
      <x:c r="H799" s="84" t="str">
        <x:v>Alarme intermitente</x:v>
      </x:c>
      <x:c r="I799" s="84" t="n">
        <x:v>940</x:v>
      </x:c>
      <x:c r="J799" s="93" t="n">
        <x:v>18337.28</x:v>
      </x:c>
      <x:c r="K799" s="85" t="str">
        <x:v>1º Turno</x:v>
      </x:c>
    </x:row>
    <x:row r="800">
      <x:c r="A800" s="83" t="n">
        <x:v>799</x:v>
      </x:c>
      <x:c r="B800" s="84" t="n">
        <x:v>44</x:v>
      </x:c>
      <x:c r="C800" s="84" t="n">
        <x:v>1269</x:v>
      </x:c>
      <x:c r="D800" s="89" t="n">
        <x:v>45302.46042824074</x:v>
      </x:c>
      <x:c r="E800" s="89" t="n">
        <x:v>45302.99931712963</x:v>
      </x:c>
      <x:c r="F800" s="84" t="n">
        <x:v>776</x:v>
      </x:c>
      <x:c r="G800" s="84" t="n">
        <x:v>1</x:v>
      </x:c>
      <x:c r="H800" s="84" t="str">
        <x:v>Baixa pressão</x:v>
      </x:c>
      <x:c r="I800" s="84" t="n">
        <x:v>1177</x:v>
      </x:c>
      <x:c r="J800" s="93" t="n">
        <x:v>36579.24</x:v>
      </x:c>
      <x:c r="K800" s="85" t="str">
        <x:v>3º Turno</x:v>
      </x:c>
    </x:row>
    <x:row r="801">
      <x:c r="A801" s="83" t="n">
        <x:v>800</x:v>
      </x:c>
      <x:c r="B801" s="84" t="n">
        <x:v>58</x:v>
      </x:c>
      <x:c r="C801" s="84" t="n">
        <x:v>1270</x:v>
      </x:c>
      <x:c r="D801" s="89" t="n">
        <x:v>45255.73457175926</x:v>
      </x:c>
      <x:c r="E801" s="89" t="n">
        <x:v>45256.11373842593</x:v>
      </x:c>
      <x:c r="F801" s="84" t="n">
        <x:v>546</x:v>
      </x:c>
      <x:c r="G801" s="84" t="n">
        <x:v>0</x:v>
      </x:c>
      <x:c r="H801" s="84" t="str">
        <x:v>Alarme intermitente</x:v>
      </x:c>
      <x:c r="I801" s="84" t="n">
        <x:v>737</x:v>
      </x:c>
      <x:c r="J801" s="93" t="n">
        <x:v>9190.98</x:v>
      </x:c>
      <x:c r="K801" s="85" t="str">
        <x:v>1º Turno</x:v>
      </x:c>
    </x:row>
    <x:row r="802">
      <x:c r="A802" s="83" t="n">
        <x:v>801</x:v>
      </x:c>
      <x:c r="B802" s="84" t="n">
        <x:v>6</x:v>
      </x:c>
      <x:c r="C802" s="84" t="n">
        <x:v>1271</x:v>
      </x:c>
      <x:c r="D802" s="89" t="n">
        <x:v>45554.52974537037</x:v>
      </x:c>
      <x:c r="E802" s="89" t="n">
        <x:v>45554.922106481485</x:v>
      </x:c>
      <x:c r="F802" s="84" t="n">
        <x:v>565</x:v>
      </x:c>
      <x:c r="G802" s="84" t="n">
        <x:v>1</x:v>
      </x:c>
      <x:c r="H802" s="84" t="str">
        <x:v>Superaquecimento</x:v>
      </x:c>
      <x:c r="I802" s="84" t="n">
        <x:v>1026</x:v>
      </x:c>
      <x:c r="J802" s="93" t="n">
        <x:v>19449.97</x:v>
      </x:c>
      <x:c r="K802" s="85" t="str">
        <x:v>2º Turno</x:v>
      </x:c>
    </x:row>
    <x:row r="803">
      <x:c r="A803" s="83" t="n">
        <x:v>802</x:v>
      </x:c>
      <x:c r="B803" s="84" t="n">
        <x:v>77</x:v>
      </x:c>
      <x:c r="C803" s="84" t="n">
        <x:v>1273</x:v>
      </x:c>
      <x:c r="D803" s="89" t="n">
        <x:v>44932.03498842593</x:v>
      </x:c>
      <x:c r="E803" s="89" t="n">
        <x:v>44932.44679398148</x:v>
      </x:c>
      <x:c r="F803" s="84" t="n">
        <x:v>593</x:v>
      </x:c>
      <x:c r="G803" s="84" t="n">
        <x:v>0</x:v>
      </x:c>
      <x:c r="H803" s="84" t="str">
        <x:v>Ruído anormal</x:v>
      </x:c>
      <x:c r="I803" s="84" t="n">
        <x:v>702</x:v>
      </x:c>
      <x:c r="J803" s="93" t="n">
        <x:v>32618.8</x:v>
      </x:c>
      <x:c r="K803" s="85" t="str">
        <x:v>3º Turno</x:v>
      </x:c>
    </x:row>
    <x:row r="804">
      <x:c r="A804" s="83" t="n">
        <x:v>803</x:v>
      </x:c>
      <x:c r="B804" s="84" t="n">
        <x:v>74</x:v>
      </x:c>
      <x:c r="C804" s="84" t="n">
        <x:v>1274</x:v>
      </x:c>
      <x:c r="D804" s="89" t="n">
        <x:v>45613.46292824074</x:v>
      </x:c>
      <x:c r="E804" s="89" t="n">
        <x:v>45614.04417824074</x:v>
      </x:c>
      <x:c r="F804" s="84" t="n">
        <x:v>837</x:v>
      </x:c>
      <x:c r="G804" s="84" t="n">
        <x:v>1</x:v>
      </x:c>
      <x:c r="H804" s="84" t="str">
        <x:v>Alarme intermitente</x:v>
      </x:c>
      <x:c r="I804" s="84" t="n">
        <x:v>1493</x:v>
      </x:c>
      <x:c r="J804" s="93" t="n">
        <x:v>27679.14</x:v>
      </x:c>
      <x:c r="K804" s="85" t="str">
        <x:v>3º Turno</x:v>
      </x:c>
    </x:row>
    <x:row r="805">
      <x:c r="A805" s="83" t="n">
        <x:v>804</x:v>
      </x:c>
      <x:c r="B805" s="84" t="n">
        <x:v>22</x:v>
      </x:c>
      <x:c r="C805" s="84" t="n">
        <x:v>1275</x:v>
      </x:c>
      <x:c r="D805" s="89" t="n">
        <x:v>45376.712118055555</x:v>
      </x:c>
      <x:c r="E805" s="89" t="n">
        <x:v>45376.98572916666</x:v>
      </x:c>
      <x:c r="F805" s="84" t="n">
        <x:v>394</x:v>
      </x:c>
      <x:c r="G805" s="84" t="n">
        <x:v>1</x:v>
      </x:c>
      <x:c r="H805" s="84" t="str">
        <x:v>Vazamento</x:v>
      </x:c>
      <x:c r="I805" s="84" t="n">
        <x:v>644</x:v>
      </x:c>
      <x:c r="J805" s="93" t="n">
        <x:v>9222.46</x:v>
      </x:c>
      <x:c r="K805" s="85" t="str">
        <x:v>3º Turno</x:v>
      </x:c>
    </x:row>
    <x:row r="806">
      <x:c r="A806" s="83" t="n">
        <x:v>805</x:v>
      </x:c>
      <x:c r="B806" s="84" t="n">
        <x:v>23</x:v>
      </x:c>
      <x:c r="C806" s="84" t="n">
        <x:v>1276</x:v>
      </x:c>
      <x:c r="D806" s="89" t="n">
        <x:v>45437.31</x:v>
      </x:c>
      <x:c r="E806" s="89" t="n">
        <x:v>45437.498194444444</x:v>
      </x:c>
      <x:c r="F806" s="84" t="n">
        <x:v>271</x:v>
      </x:c>
      <x:c r="G806" s="84" t="n">
        <x:v>0</x:v>
      </x:c>
      <x:c r="H806" s="84" t="str">
        <x:v>Alarme intermitente</x:v>
      </x:c>
      <x:c r="I806" s="84" t="n">
        <x:v>655</x:v>
      </x:c>
      <x:c r="J806" s="93" t="n">
        <x:v>6388.68</x:v>
      </x:c>
      <x:c r="K806" s="85" t="str">
        <x:v>2º Turno</x:v>
      </x:c>
    </x:row>
    <x:row r="807">
      <x:c r="A807" s="83" t="n">
        <x:v>806</x:v>
      </x:c>
      <x:c r="B807" s="84" t="n">
        <x:v>80</x:v>
      </x:c>
      <x:c r="C807" s="84" t="n">
        <x:v>1277</x:v>
      </x:c>
      <x:c r="D807" s="89" t="n">
        <x:v>45827.4431712963</x:v>
      </x:c>
      <x:c r="E807" s="89" t="n">
        <x:v>45827.725810185184</x:v>
      </x:c>
      <x:c r="F807" s="84" t="n">
        <x:v>407</x:v>
      </x:c>
      <x:c r="G807" s="84" t="n">
        <x:v>1</x:v>
      </x:c>
      <x:c r="H807" s="84" t="str">
        <x:v>Desalinhamento</x:v>
      </x:c>
      <x:c r="I807" s="84" t="n">
        <x:v>889</x:v>
      </x:c>
      <x:c r="J807" s="93" t="n">
        <x:v>8557.29</x:v>
      </x:c>
      <x:c r="K807" s="85" t="str">
        <x:v>3º Turno</x:v>
      </x:c>
    </x:row>
    <x:row r="808">
      <x:c r="A808" s="83" t="n">
        <x:v>807</x:v>
      </x:c>
      <x:c r="B808" s="84" t="n">
        <x:v>47</x:v>
      </x:c>
      <x:c r="C808" s="84" t="n">
        <x:v>1278</x:v>
      </x:c>
      <x:c r="D808" s="89" t="n">
        <x:v>45429.993310185186</x:v>
      </x:c>
      <x:c r="E808" s="89" t="n">
        <x:v>45430.36344907407</x:v>
      </x:c>
      <x:c r="F808" s="84" t="n">
        <x:v>533</x:v>
      </x:c>
      <x:c r="G808" s="84" t="n">
        <x:v>1</x:v>
      </x:c>
      <x:c r="H808" s="84" t="str">
        <x:v>Falha elétrica</x:v>
      </x:c>
      <x:c r="I808" s="84" t="n">
        <x:v>782</x:v>
      </x:c>
      <x:c r="J808" s="93" t="n">
        <x:v>15141.31</x:v>
      </x:c>
      <x:c r="K808" s="85" t="str">
        <x:v>2º Turno</x:v>
      </x:c>
    </x:row>
    <x:row r="809">
      <x:c r="A809" s="83" t="n">
        <x:v>808</x:v>
      </x:c>
      <x:c r="B809" s="84" t="n">
        <x:v>67</x:v>
      </x:c>
      <x:c r="C809" s="84" t="n">
        <x:v>1279</x:v>
      </x:c>
      <x:c r="D809" s="89" t="n">
        <x:v>45466.13778935185</x:v>
      </x:c>
      <x:c r="E809" s="89" t="n">
        <x:v>45466.289872685185</x:v>
      </x:c>
      <x:c r="F809" s="84" t="n">
        <x:v>219</x:v>
      </x:c>
      <x:c r="G809" s="84" t="n">
        <x:v>1</x:v>
      </x:c>
      <x:c r="H809" s="84" t="str">
        <x:v>Falha elétrica</x:v>
      </x:c>
      <x:c r="I809" s="84" t="n">
        <x:v>478</x:v>
      </x:c>
      <x:c r="J809" s="93" t="n">
        <x:v>12408.12</x:v>
      </x:c>
      <x:c r="K809" s="85" t="str">
        <x:v>3º Turno</x:v>
      </x:c>
    </x:row>
    <x:row r="810">
      <x:c r="A810" s="83" t="n">
        <x:v>809</x:v>
      </x:c>
      <x:c r="B810" s="84" t="n">
        <x:v>1</x:v>
      </x:c>
      <x:c r="C810" s="84" t="n">
        <x:v>1281</x:v>
      </x:c>
      <x:c r="D810" s="89" t="n">
        <x:v>45373.312951388885</x:v>
      </x:c>
      <x:c r="E810" s="89" t="n">
        <x:v>45373.708090277774</x:v>
      </x:c>
      <x:c r="F810" s="84" t="n">
        <x:v>569</x:v>
      </x:c>
      <x:c r="G810" s="84" t="n">
        <x:v>1</x:v>
      </x:c>
      <x:c r="H810" s="84" t="str">
        <x:v>Superaquecimento</x:v>
      </x:c>
      <x:c r="I810" s="84" t="n">
        <x:v>910</x:v>
      </x:c>
      <x:c r="J810" s="93" t="n">
        <x:v>7706.22</x:v>
      </x:c>
      <x:c r="K810" s="85" t="str">
        <x:v>1º Turno</x:v>
      </x:c>
    </x:row>
    <x:row r="811">
      <x:c r="A811" s="83" t="n">
        <x:v>810</x:v>
      </x:c>
      <x:c r="B811" s="84" t="n">
        <x:v>12</x:v>
      </x:c>
      <x:c r="C811" s="84" t="n">
        <x:v>1282</x:v>
      </x:c>
      <x:c r="D811" s="89" t="n">
        <x:v>45047.945763888885</x:v>
      </x:c>
      <x:c r="E811" s="89" t="n">
        <x:v>45048.399930555555</x:v>
      </x:c>
      <x:c r="F811" s="84" t="n">
        <x:v>654</x:v>
      </x:c>
      <x:c r="G811" s="84" t="n">
        <x:v>0</x:v>
      </x:c>
      <x:c r="H811" s="84" t="str">
        <x:v>Superaquecimento</x:v>
      </x:c>
      <x:c r="I811" s="84" t="n">
        <x:v>654</x:v>
      </x:c>
      <x:c r="J811" s="93" t="n">
        <x:v>13096.85</x:v>
      </x:c>
      <x:c r="K811" s="85" t="str">
        <x:v>3º Turno</x:v>
      </x:c>
    </x:row>
    <x:row r="812">
      <x:c r="A812" s="83" t="n">
        <x:v>811</x:v>
      </x:c>
      <x:c r="B812" s="84" t="n">
        <x:v>51</x:v>
      </x:c>
      <x:c r="C812" s="84" t="n">
        <x:v>1284</x:v>
      </x:c>
      <x:c r="D812" s="89" t="n">
        <x:v>45563.4252662037</x:v>
      </x:c>
      <x:c r="E812" s="89" t="n">
        <x:v>45563.54540509259</x:v>
      </x:c>
      <x:c r="F812" s="84" t="n">
        <x:v>173</x:v>
      </x:c>
      <x:c r="G812" s="84" t="n">
        <x:v>1</x:v>
      </x:c>
      <x:c r="H812" s="84" t="str">
        <x:v>Baixa pressão</x:v>
      </x:c>
      <x:c r="I812" s="84" t="n">
        <x:v>340</x:v>
      </x:c>
      <x:c r="J812" s="93" t="n">
        <x:v>3927.73</x:v>
      </x:c>
      <x:c r="K812" s="85" t="str">
        <x:v>1º Turno</x:v>
      </x:c>
    </x:row>
    <x:row r="813">
      <x:c r="A813" s="83" t="n">
        <x:v>812</x:v>
      </x:c>
      <x:c r="B813" s="84" t="n">
        <x:v>69</x:v>
      </x:c>
      <x:c r="C813" s="84" t="n">
        <x:v>1286</x:v>
      </x:c>
      <x:c r="D813" s="89" t="n">
        <x:v>46010.665983796294</x:v>
      </x:c>
      <x:c r="E813" s="89" t="n">
        <x:v>46010.929872685185</x:v>
      </x:c>
      <x:c r="F813" s="84" t="n">
        <x:v>380</x:v>
      </x:c>
      <x:c r="G813" s="84" t="n">
        <x:v>1</x:v>
      </x:c>
      <x:c r="H813" s="84" t="str">
        <x:v>Desalinhamento</x:v>
      </x:c>
      <x:c r="I813" s="84" t="n">
        <x:v>519</x:v>
      </x:c>
      <x:c r="J813" s="93" t="n">
        <x:v>20183.55</x:v>
      </x:c>
      <x:c r="K813" s="85" t="str">
        <x:v>2º Turno</x:v>
      </x:c>
    </x:row>
    <x:row r="814">
      <x:c r="A814" s="83" t="n">
        <x:v>813</x:v>
      </x:c>
      <x:c r="B814" s="84" t="n">
        <x:v>61</x:v>
      </x:c>
      <x:c r="C814" s="84" t="n">
        <x:v>1288</x:v>
      </x:c>
      <x:c r="D814" s="89" t="n">
        <x:v>45262.72788194445</x:v>
      </x:c>
      <x:c r="E814" s="89" t="n">
        <x:v>45262.77788194444</x:v>
      </x:c>
      <x:c r="F814" s="84" t="n">
        <x:v>72</x:v>
      </x:c>
      <x:c r="G814" s="84" t="n">
        <x:v>1</x:v>
      </x:c>
      <x:c r="H814" s="84" t="str">
        <x:v>Baixa pressão</x:v>
      </x:c>
      <x:c r="I814" s="84" t="n">
        <x:v>160</x:v>
      </x:c>
      <x:c r="J814" s="93" t="n">
        <x:v>2276.09</x:v>
      </x:c>
      <x:c r="K814" s="85" t="str">
        <x:v>3º Turno</x:v>
      </x:c>
    </x:row>
    <x:row r="815">
      <x:c r="A815" s="83" t="n">
        <x:v>814</x:v>
      </x:c>
      <x:c r="B815" s="84" t="n">
        <x:v>57</x:v>
      </x:c>
      <x:c r="C815" s="84" t="n">
        <x:v>1291</x:v>
      </x:c>
      <x:c r="D815" s="89" t="n">
        <x:v>45842.15078703704</x:v>
      </x:c>
      <x:c r="E815" s="89" t="n">
        <x:v>45842.72787037037</x:v>
      </x:c>
      <x:c r="F815" s="84" t="n">
        <x:v>831</x:v>
      </x:c>
      <x:c r="G815" s="84" t="n">
        <x:v>1</x:v>
      </x:c>
      <x:c r="H815" s="84" t="str">
        <x:v>Alarme intermitente</x:v>
      </x:c>
      <x:c r="I815" s="84" t="n">
        <x:v>1524</x:v>
      </x:c>
      <x:c r="J815" s="93" t="n">
        <x:v>23856.79</x:v>
      </x:c>
      <x:c r="K815" s="85" t="str">
        <x:v>3º Turno</x:v>
      </x:c>
    </x:row>
    <x:row r="816">
      <x:c r="A816" s="83" t="n">
        <x:v>815</x:v>
      </x:c>
      <x:c r="B816" s="84" t="n">
        <x:v>44</x:v>
      </x:c>
      <x:c r="C816" s="84" t="n">
        <x:v>1292</x:v>
      </x:c>
      <x:c r="D816" s="89" t="n">
        <x:v>45932.8675</x:v>
      </x:c>
      <x:c r="E816" s="89" t="n">
        <x:v>45933.068194444444</x:v>
      </x:c>
      <x:c r="F816" s="84" t="n">
        <x:v>289</x:v>
      </x:c>
      <x:c r="G816" s="84" t="n">
        <x:v>0</x:v>
      </x:c>
      <x:c r="H816" s="84" t="str">
        <x:v>Falha elétrica</x:v>
      </x:c>
      <x:c r="I816" s="84" t="n">
        <x:v>371</x:v>
      </x:c>
      <x:c r="J816" s="93" t="n">
        <x:v>5219.17</x:v>
      </x:c>
      <x:c r="K816" s="85" t="str">
        <x:v>3º Turno</x:v>
      </x:c>
    </x:row>
    <x:row r="817">
      <x:c r="A817" s="83" t="n">
        <x:v>816</x:v>
      </x:c>
      <x:c r="B817" s="84" t="n">
        <x:v>33</x:v>
      </x:c>
      <x:c r="C817" s="84" t="n">
        <x:v>1294</x:v>
      </x:c>
      <x:c r="D817" s="89" t="n">
        <x:v>45749.99542824074</x:v>
      </x:c>
      <x:c r="E817" s="89" t="n">
        <x:v>45750.06417824074</x:v>
      </x:c>
      <x:c r="F817" s="84" t="n">
        <x:v>99</x:v>
      </x:c>
      <x:c r="G817" s="84" t="n">
        <x:v>0</x:v>
      </x:c>
      <x:c r="H817" s="84" t="str">
        <x:v>Baixa pressão</x:v>
      </x:c>
      <x:c r="I817" s="84" t="n">
        <x:v>153</x:v>
      </x:c>
      <x:c r="J817" s="93" t="n">
        <x:v>2224.98</x:v>
      </x:c>
      <x:c r="K817" s="85" t="str">
        <x:v>3º Turno</x:v>
      </x:c>
    </x:row>
    <x:row r="818">
      <x:c r="A818" s="83" t="n">
        <x:v>817</x:v>
      </x:c>
      <x:c r="B818" s="84" t="n">
        <x:v>70</x:v>
      </x:c>
      <x:c r="C818" s="84" t="n">
        <x:v>1296</x:v>
      </x:c>
      <x:c r="D818" s="89" t="n">
        <x:v>44998.913935185185</x:v>
      </x:c>
      <x:c r="E818" s="89" t="n">
        <x:v>44999.223657407405</x:v>
      </x:c>
      <x:c r="F818" s="84" t="n">
        <x:v>446</x:v>
      </x:c>
      <x:c r="G818" s="84" t="n">
        <x:v>1</x:v>
      </x:c>
      <x:c r="H818" s="84" t="str">
        <x:v>Alarme intermitente</x:v>
      </x:c>
      <x:c r="I818" s="84" t="n">
        <x:v>862</x:v>
      </x:c>
      <x:c r="J818" s="93" t="n">
        <x:v>11281.84</x:v>
      </x:c>
      <x:c r="K818" s="85" t="str">
        <x:v>1º Turno</x:v>
      </x:c>
    </x:row>
    <x:row r="819">
      <x:c r="A819" s="83" t="n">
        <x:v>818</x:v>
      </x:c>
      <x:c r="B819" s="84" t="n">
        <x:v>28</x:v>
      </x:c>
      <x:c r="C819" s="84" t="n">
        <x:v>1297</x:v>
      </x:c>
      <x:c r="D819" s="89" t="n">
        <x:v>45859.91954861111</x:v>
      </x:c>
      <x:c r="E819" s="89" t="n">
        <x:v>45860.53135416667</x:v>
      </x:c>
      <x:c r="F819" s="84" t="n">
        <x:v>881</x:v>
      </x:c>
      <x:c r="G819" s="84" t="n">
        <x:v>1</x:v>
      </x:c>
      <x:c r="H819" s="84" t="str">
        <x:v>Superaquecimento</x:v>
      </x:c>
      <x:c r="I819" s="84" t="n">
        <x:v>1131</x:v>
      </x:c>
      <x:c r="J819" s="93" t="n">
        <x:v>48113.21</x:v>
      </x:c>
      <x:c r="K819" s="85" t="str">
        <x:v>2º Turno</x:v>
      </x:c>
    </x:row>
    <x:row r="820">
      <x:c r="A820" s="83" t="n">
        <x:v>819</x:v>
      </x:c>
      <x:c r="B820" s="84" t="n">
        <x:v>21</x:v>
      </x:c>
      <x:c r="C820" s="84" t="n">
        <x:v>1299</x:v>
      </x:c>
      <x:c r="D820" s="89" t="n">
        <x:v>45793.23657407407</x:v>
      </x:c>
      <x:c r="E820" s="89" t="n">
        <x:v>45793.592824074076</x:v>
      </x:c>
      <x:c r="F820" s="84" t="n">
        <x:v>513</x:v>
      </x:c>
      <x:c r="G820" s="84" t="n">
        <x:v>1</x:v>
      </x:c>
      <x:c r="H820" s="84" t="str">
        <x:v>Baixa pressão</x:v>
      </x:c>
      <x:c r="I820" s="84" t="n">
        <x:v>1171</x:v>
      </x:c>
      <x:c r="J820" s="93" t="n">
        <x:v>27481.62</x:v>
      </x:c>
      <x:c r="K820" s="85" t="str">
        <x:v>1º Turno</x:v>
      </x:c>
    </x:row>
    <x:row r="821">
      <x:c r="A821" s="83" t="n">
        <x:v>820</x:v>
      </x:c>
      <x:c r="B821" s="84" t="n">
        <x:v>65</x:v>
      </x:c>
      <x:c r="C821" s="84" t="n">
        <x:v>1302</x:v>
      </x:c>
      <x:c r="D821" s="89" t="n">
        <x:v>45780.41780092593</x:v>
      </x:c>
      <x:c r="E821" s="89" t="n">
        <x:v>45780.653912037036</x:v>
      </x:c>
      <x:c r="F821" s="84" t="n">
        <x:v>340</x:v>
      </x:c>
      <x:c r="G821" s="84" t="n">
        <x:v>0</x:v>
      </x:c>
      <x:c r="H821" s="84" t="str">
        <x:v>Baixa pressão</x:v>
      </x:c>
      <x:c r="I821" s="84" t="n">
        <x:v>561</x:v>
      </x:c>
      <x:c r="J821" s="93" t="n">
        <x:v>6241.93</x:v>
      </x:c>
      <x:c r="K821" s="85" t="str">
        <x:v>1º Turno</x:v>
      </x:c>
    </x:row>
    <x:row r="822">
      <x:c r="A822" s="83" t="n">
        <x:v>821</x:v>
      </x:c>
      <x:c r="B822" s="84" t="n">
        <x:v>68</x:v>
      </x:c>
      <x:c r="C822" s="84" t="n">
        <x:v>1303</x:v>
      </x:c>
      <x:c r="D822" s="89" t="n">
        <x:v>45463.87510416667</x:v>
      </x:c>
      <x:c r="E822" s="89" t="n">
        <x:v>45464.14524305556</x:v>
      </x:c>
      <x:c r="F822" s="84" t="n">
        <x:v>389</x:v>
      </x:c>
      <x:c r="G822" s="84" t="n">
        <x:v>1</x:v>
      </x:c>
      <x:c r="H822" s="84" t="str">
        <x:v>Superaquecimento</x:v>
      </x:c>
      <x:c r="I822" s="84" t="n">
        <x:v>927</x:v>
      </x:c>
      <x:c r="J822" s="93" t="n">
        <x:v>6613.98</x:v>
      </x:c>
      <x:c r="K822" s="85" t="str">
        <x:v>3º Turno</x:v>
      </x:c>
    </x:row>
    <x:row r="823">
      <x:c r="A823" s="83" t="n">
        <x:v>822</x:v>
      </x:c>
      <x:c r="B823" s="84" t="n">
        <x:v>67</x:v>
      </x:c>
      <x:c r="C823" s="84" t="n">
        <x:v>1304</x:v>
      </x:c>
      <x:c r="D823" s="89" t="n">
        <x:v>45521.27197916667</x:v>
      </x:c>
      <x:c r="E823" s="89" t="n">
        <x:v>45521.48170138889</x:v>
      </x:c>
      <x:c r="F823" s="84" t="n">
        <x:v>302</x:v>
      </x:c>
      <x:c r="G823" s="84" t="n">
        <x:v>0</x:v>
      </x:c>
      <x:c r="H823" s="84" t="str">
        <x:v>Desalinhamento</x:v>
      </x:c>
      <x:c r="I823" s="84" t="n">
        <x:v>755</x:v>
      </x:c>
      <x:c r="J823" s="93" t="n">
        <x:v>8656.87</x:v>
      </x:c>
      <x:c r="K823" s="85" t="str">
        <x:v>1º Turno</x:v>
      </x:c>
    </x:row>
    <x:row r="824">
      <x:c r="A824" s="83" t="n">
        <x:v>823</x:v>
      </x:c>
      <x:c r="B824" s="84" t="n">
        <x:v>33</x:v>
      </x:c>
      <x:c r="C824" s="84" t="n">
        <x:v>1306</x:v>
      </x:c>
      <x:c r="D824" s="89" t="n">
        <x:v>44996.525185185186</x:v>
      </x:c>
      <x:c r="E824" s="89" t="n">
        <x:v>44996.77726851852</x:v>
      </x:c>
      <x:c r="F824" s="84" t="n">
        <x:v>363</x:v>
      </x:c>
      <x:c r="G824" s="84" t="n">
        <x:v>0</x:v>
      </x:c>
      <x:c r="H824" s="84" t="str">
        <x:v>Ruído anormal</x:v>
      </x:c>
      <x:c r="I824" s="84" t="n">
        <x:v>605</x:v>
      </x:c>
      <x:c r="J824" s="93" t="n">
        <x:v>18782.86</x:v>
      </x:c>
      <x:c r="K824" s="85" t="str">
        <x:v>1º Turno</x:v>
      </x:c>
    </x:row>
    <x:row r="825">
      <x:c r="A825" s="83" t="n">
        <x:v>824</x:v>
      </x:c>
      <x:c r="B825" s="84" t="n">
        <x:v>57</x:v>
      </x:c>
      <x:c r="C825" s="84" t="n">
        <x:v>1307</x:v>
      </x:c>
      <x:c r="D825" s="89" t="n">
        <x:v>45859.565983796296</x:v>
      </x:c>
      <x:c r="E825" s="89" t="n">
        <x:v>45860.10556712963</x:v>
      </x:c>
      <x:c r="F825" s="84" t="n">
        <x:v>777</x:v>
      </x:c>
      <x:c r="G825" s="84" t="n">
        <x:v>1</x:v>
      </x:c>
      <x:c r="H825" s="84" t="str">
        <x:v>Superaquecimento</x:v>
      </x:c>
      <x:c r="I825" s="84" t="n">
        <x:v>1774</x:v>
      </x:c>
      <x:c r="J825" s="93" t="n">
        <x:v>42067.44</x:v>
      </x:c>
      <x:c r="K825" s="85" t="str">
        <x:v>2º Turno</x:v>
      </x:c>
    </x:row>
    <x:row r="826">
      <x:c r="A826" s="83" t="n">
        <x:v>825</x:v>
      </x:c>
      <x:c r="B826" s="84" t="n">
        <x:v>64</x:v>
      </x:c>
      <x:c r="C826" s="84" t="n">
        <x:v>1308</x:v>
      </x:c>
      <x:c r="D826" s="89" t="n">
        <x:v>45351.40928240741</x:v>
      </x:c>
      <x:c r="E826" s="89" t="n">
        <x:v>45351.433587962965</x:v>
      </x:c>
      <x:c r="F826" s="84" t="n">
        <x:v>35</x:v>
      </x:c>
      <x:c r="G826" s="84" t="n">
        <x:v>1</x:v>
      </x:c>
      <x:c r="H826" s="84" t="str">
        <x:v>Baixa pressão</x:v>
      </x:c>
      <x:c r="I826" s="84" t="n">
        <x:v>58</x:v>
      </x:c>
      <x:c r="J826" s="93" t="n">
        <x:v>1072.41</x:v>
      </x:c>
      <x:c r="K826" s="85" t="str">
        <x:v>3º Turno</x:v>
      </x:c>
    </x:row>
    <x:row r="827">
      <x:c r="A827" s="83" t="n">
        <x:v>826</x:v>
      </x:c>
      <x:c r="B827" s="84" t="n">
        <x:v>3</x:v>
      </x:c>
      <x:c r="C827" s="84" t="n">
        <x:v>1309</x:v>
      </x:c>
      <x:c r="D827" s="89" t="n">
        <x:v>45546.273680555554</x:v>
      </x:c>
      <x:c r="E827" s="89" t="n">
        <x:v>45546.540347222224</x:v>
      </x:c>
      <x:c r="F827" s="84" t="n">
        <x:v>384</x:v>
      </x:c>
      <x:c r="G827" s="84" t="n">
        <x:v>1</x:v>
      </x:c>
      <x:c r="H827" s="84" t="str">
        <x:v>Superaquecimento</x:v>
      </x:c>
      <x:c r="I827" s="84" t="n">
        <x:v>845</x:v>
      </x:c>
      <x:c r="J827" s="93" t="n">
        <x:v>14726.37</x:v>
      </x:c>
      <x:c r="K827" s="85" t="str">
        <x:v>3º Turno</x:v>
      </x:c>
    </x:row>
    <x:row r="828">
      <x:c r="A828" s="83" t="n">
        <x:v>827</x:v>
      </x:c>
      <x:c r="B828" s="84" t="n">
        <x:v>81</x:v>
      </x:c>
      <x:c r="C828" s="84" t="n">
        <x:v>1312</x:v>
      </x:c>
      <x:c r="D828" s="89" t="n">
        <x:v>45605.31136574074</x:v>
      </x:c>
      <x:c r="E828" s="89" t="n">
        <x:v>45605.709282407406</x:v>
      </x:c>
      <x:c r="F828" s="84" t="n">
        <x:v>573</x:v>
      </x:c>
      <x:c r="G828" s="84" t="n">
        <x:v>0</x:v>
      </x:c>
      <x:c r="H828" s="84" t="str">
        <x:v>Desalinhamento</x:v>
      </x:c>
      <x:c r="I828" s="84" t="n">
        <x:v>812</x:v>
      </x:c>
      <x:c r="J828" s="93" t="n">
        <x:v>21470.76</x:v>
      </x:c>
      <x:c r="K828" s="85" t="str">
        <x:v>2º Turno</x:v>
      </x:c>
    </x:row>
    <x:row r="829">
      <x:c r="A829" s="83" t="n">
        <x:v>828</x:v>
      </x:c>
      <x:c r="B829" s="84" t="n">
        <x:v>85</x:v>
      </x:c>
      <x:c r="C829" s="84" t="n">
        <x:v>1314</x:v>
      </x:c>
      <x:c r="D829" s="89" t="n">
        <x:v>45294.39331018519</x:v>
      </x:c>
      <x:c r="E829" s="89" t="n">
        <x:v>45294.69956018519</x:v>
      </x:c>
      <x:c r="F829" s="84" t="n">
        <x:v>441</x:v>
      </x:c>
      <x:c r="G829" s="84" t="n">
        <x:v>0</x:v>
      </x:c>
      <x:c r="H829" s="84" t="str">
        <x:v>Falha elétrica</x:v>
      </x:c>
      <x:c r="I829" s="84" t="n">
        <x:v>911</x:v>
      </x:c>
      <x:c r="J829" s="93" t="n">
        <x:v>8494.11</x:v>
      </x:c>
      <x:c r="K829" s="85" t="str">
        <x:v>1º Turno</x:v>
      </x:c>
    </x:row>
    <x:row r="830">
      <x:c r="A830" s="83" t="n">
        <x:v>829</x:v>
      </x:c>
      <x:c r="B830" s="84" t="n">
        <x:v>39</x:v>
      </x:c>
      <x:c r="C830" s="84" t="n">
        <x:v>1315</x:v>
      </x:c>
      <x:c r="D830" s="89" t="n">
        <x:v>45329.40226851852</x:v>
      </x:c>
      <x:c r="E830" s="89" t="n">
        <x:v>45329.57032407408</x:v>
      </x:c>
      <x:c r="F830" s="84" t="n">
        <x:v>242</x:v>
      </x:c>
      <x:c r="G830" s="84" t="n">
        <x:v>1</x:v>
      </x:c>
      <x:c r="H830" s="84" t="str">
        <x:v>Superaquecimento</x:v>
      </x:c>
      <x:c r="I830" s="84" t="n">
        <x:v>553</x:v>
      </x:c>
      <x:c r="J830" s="93" t="n">
        <x:v>7865.94</x:v>
      </x:c>
      <x:c r="K830" s="85" t="str">
        <x:v>1º Turno</x:v>
      </x:c>
    </x:row>
    <x:row r="831">
      <x:c r="A831" s="83" t="n">
        <x:v>830</x:v>
      </x:c>
      <x:c r="B831" s="84" t="n">
        <x:v>8</x:v>
      </x:c>
      <x:c r="C831" s="84" t="n">
        <x:v>1318</x:v>
      </x:c>
      <x:c r="D831" s="89" t="n">
        <x:v>45857.53872685185</x:v>
      </x:c>
      <x:c r="E831" s="89" t="n">
        <x:v>45857.8581712963</x:v>
      </x:c>
      <x:c r="F831" s="84" t="n">
        <x:v>460</x:v>
      </x:c>
      <x:c r="G831" s="84" t="n">
        <x:v>0</x:v>
      </x:c>
      <x:c r="H831" s="84" t="str">
        <x:v>Falha elétrica</x:v>
      </x:c>
      <x:c r="I831" s="84" t="n">
        <x:v>1127</x:v>
      </x:c>
      <x:c r="J831" s="93" t="n">
        <x:v>25477.46</x:v>
      </x:c>
      <x:c r="K831" s="85" t="str">
        <x:v>1º Turno</x:v>
      </x:c>
    </x:row>
    <x:row r="832">
      <x:c r="A832" s="83" t="n">
        <x:v>831</x:v>
      </x:c>
      <x:c r="B832" s="84" t="n">
        <x:v>43</x:v>
      </x:c>
      <x:c r="C832" s="84" t="n">
        <x:v>1320</x:v>
      </x:c>
      <x:c r="D832" s="89" t="n">
        <x:v>45319.57393518519</x:v>
      </x:c>
      <x:c r="E832" s="89" t="n">
        <x:v>45320.09824074074</x:v>
      </x:c>
      <x:c r="F832" s="84" t="n">
        <x:v>755</x:v>
      </x:c>
      <x:c r="G832" s="84" t="n">
        <x:v>1</x:v>
      </x:c>
      <x:c r="H832" s="84" t="str">
        <x:v>Desalinhamento</x:v>
      </x:c>
      <x:c r="I832" s="84" t="n">
        <x:v>1384</x:v>
      </x:c>
      <x:c r="J832" s="93" t="n">
        <x:v>36035.44</x:v>
      </x:c>
      <x:c r="K832" s="85" t="str">
        <x:v>1º Turno</x:v>
      </x:c>
    </x:row>
    <x:row r="833">
      <x:c r="A833" s="83" t="n">
        <x:v>832</x:v>
      </x:c>
      <x:c r="B833" s="84" t="n">
        <x:v>77</x:v>
      </x:c>
      <x:c r="C833" s="84" t="n">
        <x:v>1321</x:v>
      </x:c>
      <x:c r="D833" s="89" t="n">
        <x:v>45166.211180555554</x:v>
      </x:c>
      <x:c r="E833" s="89" t="n">
        <x:v>45166.59104166667</x:v>
      </x:c>
      <x:c r="F833" s="84" t="n">
        <x:v>547</x:v>
      </x:c>
      <x:c r="G833" s="84" t="n">
        <x:v>1</x:v>
      </x:c>
      <x:c r="H833" s="84" t="str">
        <x:v>Alarme intermitente</x:v>
      </x:c>
      <x:c r="I833" s="84" t="n">
        <x:v>811</x:v>
      </x:c>
      <x:c r="J833" s="93" t="n">
        <x:v>9924.33</x:v>
      </x:c>
      <x:c r="K833" s="85" t="str">
        <x:v>2º Turno</x:v>
      </x:c>
    </x:row>
    <x:row r="834">
      <x:c r="A834" s="83" t="n">
        <x:v>833</x:v>
      </x:c>
      <x:c r="B834" s="84" t="n">
        <x:v>1</x:v>
      </x:c>
      <x:c r="C834" s="84" t="n">
        <x:v>1323</x:v>
      </x:c>
      <x:c r="D834" s="89" t="n">
        <x:v>45954.54881944445</x:v>
      </x:c>
      <x:c r="E834" s="89" t="n">
        <x:v>45954.575208333335</x:v>
      </x:c>
      <x:c r="F834" s="84" t="n">
        <x:v>38</x:v>
      </x:c>
      <x:c r="G834" s="84" t="n">
        <x:v>1</x:v>
      </x:c>
      <x:c r="H834" s="84" t="str">
        <x:v>Baixa pressão</x:v>
      </x:c>
      <x:c r="I834" s="84" t="n">
        <x:v>41</x:v>
      </x:c>
      <x:c r="J834" s="93" t="n">
        <x:v>1241.24</x:v>
      </x:c>
      <x:c r="K834" s="85" t="str">
        <x:v>3º Turno</x:v>
      </x:c>
    </x:row>
    <x:row r="835">
      <x:c r="A835" s="83" t="n">
        <x:v>834</x:v>
      </x:c>
      <x:c r="B835" s="84" t="n">
        <x:v>9</x:v>
      </x:c>
      <x:c r="C835" s="84" t="n">
        <x:v>1324</x:v>
      </x:c>
      <x:c r="D835" s="89" t="n">
        <x:v>45868.71890046296</x:v>
      </x:c>
      <x:c r="E835" s="89" t="n">
        <x:v>45869.12931712963</x:v>
      </x:c>
      <x:c r="F835" s="84" t="n">
        <x:v>591</x:v>
      </x:c>
      <x:c r="G835" s="84" t="n">
        <x:v>0</x:v>
      </x:c>
      <x:c r="H835" s="84" t="str">
        <x:v>Superaquecimento</x:v>
      </x:c>
      <x:c r="I835" s="84" t="n">
        <x:v>621</x:v>
      </x:c>
      <x:c r="J835" s="93" t="n">
        <x:v>14047.46</x:v>
      </x:c>
      <x:c r="K835" s="85" t="str">
        <x:v>1º Turno</x:v>
      </x:c>
    </x:row>
    <x:row r="836">
      <x:c r="A836" s="83" t="n">
        <x:v>835</x:v>
      </x:c>
      <x:c r="B836" s="84" t="n">
        <x:v>71</x:v>
      </x:c>
      <x:c r="C836" s="84" t="n">
        <x:v>1326</x:v>
      </x:c>
      <x:c r="D836" s="89" t="n">
        <x:v>45667.15708333333</x:v>
      </x:c>
      <x:c r="E836" s="89" t="n">
        <x:v>45667.41125</x:v>
      </x:c>
      <x:c r="F836" s="84" t="n">
        <x:v>366</x:v>
      </x:c>
      <x:c r="G836" s="84" t="n">
        <x:v>1</x:v>
      </x:c>
      <x:c r="H836" s="84" t="str">
        <x:v>Baixa pressão</x:v>
      </x:c>
      <x:c r="I836" s="84" t="n">
        <x:v>464</x:v>
      </x:c>
      <x:c r="J836" s="93" t="n">
        <x:v>11885.63</x:v>
      </x:c>
      <x:c r="K836" s="85" t="str">
        <x:v>1º Turno</x:v>
      </x:c>
    </x:row>
    <x:row r="837">
      <x:c r="A837" s="83" t="n">
        <x:v>836</x:v>
      </x:c>
      <x:c r="B837" s="84" t="n">
        <x:v>13</x:v>
      </x:c>
      <x:c r="C837" s="84" t="n">
        <x:v>1327</x:v>
      </x:c>
      <x:c r="D837" s="89" t="n">
        <x:v>45208.81761574074</x:v>
      </x:c>
      <x:c r="E837" s="89" t="n">
        <x:v>45209.234976851854</x:v>
      </x:c>
      <x:c r="F837" s="84" t="n">
        <x:v>601</x:v>
      </x:c>
      <x:c r="G837" s="84" t="n">
        <x:v>1</x:v>
      </x:c>
      <x:c r="H837" s="84" t="str">
        <x:v>Baixa pressão</x:v>
      </x:c>
      <x:c r="I837" s="84" t="n">
        <x:v>721</x:v>
      </x:c>
      <x:c r="J837" s="93" t="n">
        <x:v>32579.17</x:v>
      </x:c>
      <x:c r="K837" s="85" t="str">
        <x:v>2º Turno</x:v>
      </x:c>
    </x:row>
    <x:row r="838">
      <x:c r="A838" s="83" t="n">
        <x:v>837</x:v>
      </x:c>
      <x:c r="B838" s="84" t="n">
        <x:v>77</x:v>
      </x:c>
      <x:c r="C838" s="84" t="n">
        <x:v>1328</x:v>
      </x:c>
      <x:c r="D838" s="89" t="n">
        <x:v>45249.38783564815</x:v>
      </x:c>
      <x:c r="E838" s="89" t="n">
        <x:v>45249.995474537034</x:v>
      </x:c>
      <x:c r="F838" s="84" t="n">
        <x:v>875</x:v>
      </x:c>
      <x:c r="G838" s="84" t="n">
        <x:v>1</x:v>
      </x:c>
      <x:c r="H838" s="84" t="str">
        <x:v>Alarme intermitente</x:v>
      </x:c>
      <x:c r="I838" s="84" t="n">
        <x:v>1079</x:v>
      </x:c>
      <x:c r="J838" s="93" t="n">
        <x:v>12441.01</x:v>
      </x:c>
      <x:c r="K838" s="85" t="str">
        <x:v>3º Turno</x:v>
      </x:c>
    </x:row>
    <x:row r="839">
      <x:c r="A839" s="83" t="n">
        <x:v>838</x:v>
      </x:c>
      <x:c r="B839" s="84" t="n">
        <x:v>78</x:v>
      </x:c>
      <x:c r="C839" s="84" t="n">
        <x:v>1330</x:v>
      </x:c>
      <x:c r="D839" s="89" t="n">
        <x:v>45902.6352662037</x:v>
      </x:c>
      <x:c r="E839" s="89" t="n">
        <x:v>45903.11929398148</x:v>
      </x:c>
      <x:c r="F839" s="84" t="n">
        <x:v>697</x:v>
      </x:c>
      <x:c r="G839" s="84" t="n">
        <x:v>0</x:v>
      </x:c>
      <x:c r="H839" s="84" t="str">
        <x:v>Ruído anormal</x:v>
      </x:c>
      <x:c r="I839" s="84" t="n">
        <x:v>1708</x:v>
      </x:c>
      <x:c r="J839" s="93" t="n">
        <x:v>26592.06</x:v>
      </x:c>
      <x:c r="K839" s="85" t="str">
        <x:v>3º Turno</x:v>
      </x:c>
    </x:row>
    <x:row r="840">
      <x:c r="A840" s="83" t="n">
        <x:v>839</x:v>
      </x:c>
      <x:c r="B840" s="84" t="n">
        <x:v>26</x:v>
      </x:c>
      <x:c r="C840" s="84" t="n">
        <x:v>1331</x:v>
      </x:c>
      <x:c r="D840" s="89" t="n">
        <x:v>45355.14127314815</x:v>
      </x:c>
      <x:c r="E840" s="89" t="n">
        <x:v>45355.465578703705</x:v>
      </x:c>
      <x:c r="F840" s="84" t="n">
        <x:v>467</x:v>
      </x:c>
      <x:c r="G840" s="84" t="n">
        <x:v>0</x:v>
      </x:c>
      <x:c r="H840" s="84" t="str">
        <x:v>Vazamento</x:v>
      </x:c>
      <x:c r="I840" s="84" t="n">
        <x:v>506</x:v>
      </x:c>
      <x:c r="J840" s="93" t="n">
        <x:v>22788.91</x:v>
      </x:c>
      <x:c r="K840" s="85" t="str">
        <x:v>3º Turno</x:v>
      </x:c>
    </x:row>
    <x:row r="841">
      <x:c r="A841" s="83" t="n">
        <x:v>840</x:v>
      </x:c>
      <x:c r="B841" s="84" t="n">
        <x:v>11</x:v>
      </x:c>
      <x:c r="C841" s="84" t="n">
        <x:v>1332</x:v>
      </x:c>
      <x:c r="D841" s="89" t="n">
        <x:v>45450.95321759259</x:v>
      </x:c>
      <x:c r="E841" s="89" t="n">
        <x:v>45451.43655092592</x:v>
      </x:c>
      <x:c r="F841" s="84" t="n">
        <x:v>696</x:v>
      </x:c>
      <x:c r="G841" s="84" t="n">
        <x:v>1</x:v>
      </x:c>
      <x:c r="H841" s="84" t="str">
        <x:v>Desalinhamento</x:v>
      </x:c>
      <x:c r="I841" s="84" t="n">
        <x:v>1357</x:v>
      </x:c>
      <x:c r="J841" s="93" t="n">
        <x:v>37235.9</x:v>
      </x:c>
      <x:c r="K841" s="85" t="str">
        <x:v>1º Turno</x:v>
      </x:c>
    </x:row>
    <x:row r="842">
      <x:c r="A842" s="83" t="n">
        <x:v>841</x:v>
      </x:c>
      <x:c r="B842" s="84" t="n">
        <x:v>52</x:v>
      </x:c>
      <x:c r="C842" s="84" t="n">
        <x:v>1334</x:v>
      </x:c>
      <x:c r="D842" s="89" t="n">
        <x:v>45001.18064814815</x:v>
      </x:c>
      <x:c r="E842" s="89" t="n">
        <x:v>45001.218148148146</x:v>
      </x:c>
      <x:c r="F842" s="84" t="n">
        <x:v>54</x:v>
      </x:c>
      <x:c r="G842" s="84" t="n">
        <x:v>1</x:v>
      </x:c>
      <x:c r="H842" s="84" t="str">
        <x:v>Alarme intermitente</x:v>
      </x:c>
      <x:c r="I842" s="84" t="n">
        <x:v>77</x:v>
      </x:c>
      <x:c r="J842" s="93" t="n">
        <x:v>2051.71</x:v>
      </x:c>
      <x:c r="K842" s="85" t="str">
        <x:v>1º Turno</x:v>
      </x:c>
    </x:row>
    <x:row r="843">
      <x:c r="A843" s="83" t="n">
        <x:v>842</x:v>
      </x:c>
      <x:c r="B843" s="84" t="n">
        <x:v>10</x:v>
      </x:c>
      <x:c r="C843" s="84" t="n">
        <x:v>1335</x:v>
      </x:c>
      <x:c r="D843" s="89" t="n">
        <x:v>45873.18603009259</x:v>
      </x:c>
      <x:c r="E843" s="89" t="n">
        <x:v>45873.406863425924</x:v>
      </x:c>
      <x:c r="F843" s="84" t="n">
        <x:v>318</x:v>
      </x:c>
      <x:c r="G843" s="84" t="n">
        <x:v>1</x:v>
      </x:c>
      <x:c r="H843" s="84" t="str">
        <x:v>Falha elétrica</x:v>
      </x:c>
      <x:c r="I843" s="84" t="n">
        <x:v>509</x:v>
      </x:c>
      <x:c r="J843" s="93" t="n">
        <x:v>17456.75</x:v>
      </x:c>
      <x:c r="K843" s="85" t="str">
        <x:v>1º Turno</x:v>
      </x:c>
    </x:row>
    <x:row r="844">
      <x:c r="A844" s="83" t="n">
        <x:v>843</x:v>
      </x:c>
      <x:c r="B844" s="84" t="n">
        <x:v>27</x:v>
      </x:c>
      <x:c r="C844" s="84" t="n">
        <x:v>1336</x:v>
      </x:c>
      <x:c r="D844" s="89" t="n">
        <x:v>45393.17471064815</x:v>
      </x:c>
      <x:c r="E844" s="89" t="n">
        <x:v>45393.63165509259</x:v>
      </x:c>
      <x:c r="F844" s="84" t="n">
        <x:v>658</x:v>
      </x:c>
      <x:c r="G844" s="84" t="n">
        <x:v>0</x:v>
      </x:c>
      <x:c r="H844" s="84" t="str">
        <x:v>Falha elétrica</x:v>
      </x:c>
      <x:c r="I844" s="84" t="n">
        <x:v>1075</x:v>
      </x:c>
      <x:c r="J844" s="93" t="n">
        <x:v>34489.82</x:v>
      </x:c>
      <x:c r="K844" s="85" t="str">
        <x:v>3º Turno</x:v>
      </x:c>
    </x:row>
    <x:row r="845">
      <x:c r="A845" s="83" t="n">
        <x:v>844</x:v>
      </x:c>
      <x:c r="B845" s="84" t="n">
        <x:v>73</x:v>
      </x:c>
      <x:c r="C845" s="84" t="n">
        <x:v>1338</x:v>
      </x:c>
      <x:c r="D845" s="89" t="n">
        <x:v>45246.26579861111</x:v>
      </x:c>
      <x:c r="E845" s="89" t="n">
        <x:v>45246.45538194444</x:v>
      </x:c>
      <x:c r="F845" s="84" t="n">
        <x:v>273</x:v>
      </x:c>
      <x:c r="G845" s="84" t="n">
        <x:v>1</x:v>
      </x:c>
      <x:c r="H845" s="84" t="str">
        <x:v>Vazamento</x:v>
      </x:c>
      <x:c r="I845" s="84" t="n">
        <x:v>610</x:v>
      </x:c>
      <x:c r="J845" s="93" t="n">
        <x:v>11671.46</x:v>
      </x:c>
      <x:c r="K845" s="85" t="str">
        <x:v>3º Turno</x:v>
      </x:c>
    </x:row>
    <x:row r="846">
      <x:c r="A846" s="83" t="n">
        <x:v>845</x:v>
      </x:c>
      <x:c r="B846" s="84" t="n">
        <x:v>12</x:v>
      </x:c>
      <x:c r="C846" s="84" t="n">
        <x:v>1341</x:v>
      </x:c>
      <x:c r="D846" s="89" t="n">
        <x:v>45333.391689814816</x:v>
      </x:c>
      <x:c r="E846" s="89" t="n">
        <x:v>45333.52710648148</x:v>
      </x:c>
      <x:c r="F846" s="84" t="n">
        <x:v>195</x:v>
      </x:c>
      <x:c r="G846" s="84" t="n">
        <x:v>0</x:v>
      </x:c>
      <x:c r="H846" s="84" t="str">
        <x:v>Ruído anormal</x:v>
      </x:c>
      <x:c r="I846" s="84" t="n">
        <x:v>429</x:v>
      </x:c>
      <x:c r="J846" s="93" t="n">
        <x:v>2922.92</x:v>
      </x:c>
      <x:c r="K846" s="85" t="str">
        <x:v>3º Turno</x:v>
      </x:c>
    </x:row>
    <x:row r="847">
      <x:c r="A847" s="83" t="n">
        <x:v>846</x:v>
      </x:c>
      <x:c r="B847" s="84" t="n">
        <x:v>4</x:v>
      </x:c>
      <x:c r="C847" s="84" t="n">
        <x:v>1344</x:v>
      </x:c>
      <x:c r="D847" s="89" t="n">
        <x:v>45044.06680555556</x:v>
      </x:c>
      <x:c r="E847" s="89" t="n">
        <x:v>45044.52305555555</x:v>
      </x:c>
      <x:c r="F847" s="84" t="n">
        <x:v>657</x:v>
      </x:c>
      <x:c r="G847" s="84" t="n">
        <x:v>1</x:v>
      </x:c>
      <x:c r="H847" s="84" t="str">
        <x:v>Ruído anormal</x:v>
      </x:c>
      <x:c r="I847" s="84" t="n">
        <x:v>668</x:v>
      </x:c>
      <x:c r="J847" s="93" t="n">
        <x:v>17494.93</x:v>
      </x:c>
      <x:c r="K847" s="85" t="str">
        <x:v>3º Turno</x:v>
      </x:c>
    </x:row>
    <x:row r="848">
      <x:c r="A848" s="83" t="n">
        <x:v>847</x:v>
      </x:c>
      <x:c r="B848" s="84" t="n">
        <x:v>23</x:v>
      </x:c>
      <x:c r="C848" s="84" t="n">
        <x:v>1347</x:v>
      </x:c>
      <x:c r="D848" s="89" t="n">
        <x:v>45118.969664351855</x:v>
      </x:c>
      <x:c r="E848" s="89" t="n">
        <x:v>45119.38216435185</x:v>
      </x:c>
      <x:c r="F848" s="84" t="n">
        <x:v>594</x:v>
      </x:c>
      <x:c r="G848" s="84" t="n">
        <x:v>0</x:v>
      </x:c>
      <x:c r="H848" s="84" t="str">
        <x:v>Vazamento</x:v>
      </x:c>
      <x:c r="I848" s="84" t="n">
        <x:v>1277</x:v>
      </x:c>
      <x:c r="J848" s="93" t="n">
        <x:v>25698.87</x:v>
      </x:c>
      <x:c r="K848" s="85" t="str">
        <x:v>1º Turno</x:v>
      </x:c>
    </x:row>
    <x:row r="849">
      <x:c r="A849" s="83" t="n">
        <x:v>848</x:v>
      </x:c>
      <x:c r="B849" s="84" t="n">
        <x:v>4</x:v>
      </x:c>
      <x:c r="C849" s="84" t="n">
        <x:v>1349</x:v>
      </x:c>
      <x:c r="D849" s="89" t="n">
        <x:v>45334.80310185185</x:v>
      </x:c>
      <x:c r="E849" s="89" t="n">
        <x:v>45335.080879629626</x:v>
      </x:c>
      <x:c r="F849" s="84" t="n">
        <x:v>400</x:v>
      </x:c>
      <x:c r="G849" s="84" t="n">
        <x:v>1</x:v>
      </x:c>
      <x:c r="H849" s="84" t="str">
        <x:v>Ruído anormal</x:v>
      </x:c>
      <x:c r="I849" s="84" t="n">
        <x:v>773</x:v>
      </x:c>
      <x:c r="J849" s="93" t="n">
        <x:v>8392.59</x:v>
      </x:c>
      <x:c r="K849" s="85" t="str">
        <x:v>1º Turno</x:v>
      </x:c>
    </x:row>
    <x:row r="850">
      <x:c r="A850" s="83" t="n">
        <x:v>849</x:v>
      </x:c>
      <x:c r="B850" s="84" t="n">
        <x:v>64</x:v>
      </x:c>
      <x:c r="C850" s="84" t="n">
        <x:v>1350</x:v>
      </x:c>
      <x:c r="D850" s="89" t="n">
        <x:v>45514.42046296296</x:v>
      </x:c>
      <x:c r="E850" s="89" t="n">
        <x:v>45514.5225462963</x:v>
      </x:c>
      <x:c r="F850" s="84" t="n">
        <x:v>147</x:v>
      </x:c>
      <x:c r="G850" s="84" t="n">
        <x:v>0</x:v>
      </x:c>
      <x:c r="H850" s="84" t="str">
        <x:v>Falha elétrica</x:v>
      </x:c>
      <x:c r="I850" s="84" t="n">
        <x:v>154</x:v>
      </x:c>
      <x:c r="J850" s="93" t="n">
        <x:v>7209.62</x:v>
      </x:c>
      <x:c r="K850" s="85" t="str">
        <x:v>3º Turno</x:v>
      </x:c>
    </x:row>
    <x:row r="851">
      <x:c r="A851" s="83" t="n">
        <x:v>850</x:v>
      </x:c>
      <x:c r="B851" s="84" t="n">
        <x:v>74</x:v>
      </x:c>
      <x:c r="C851" s="84" t="n">
        <x:v>1351</x:v>
      </x:c>
      <x:c r="D851" s="89" t="n">
        <x:v>45207.152280092596</x:v>
      </x:c>
      <x:c r="E851" s="89" t="n">
        <x:v>45207.68630787037</x:v>
      </x:c>
      <x:c r="F851" s="84" t="n">
        <x:v>769</x:v>
      </x:c>
      <x:c r="G851" s="84" t="n">
        <x:v>1</x:v>
      </x:c>
      <x:c r="H851" s="84" t="str">
        <x:v>Desalinhamento</x:v>
      </x:c>
      <x:c r="I851" s="84" t="n">
        <x:v>1230</x:v>
      </x:c>
      <x:c r="J851" s="93" t="n">
        <x:v>13709.05</x:v>
      </x:c>
      <x:c r="K851" s="85" t="str">
        <x:v>1º Turno</x:v>
      </x:c>
    </x:row>
    <x:row r="852">
      <x:c r="A852" s="83" t="n">
        <x:v>851</x:v>
      </x:c>
      <x:c r="B852" s="84" t="n">
        <x:v>47</x:v>
      </x:c>
      <x:c r="C852" s="84" t="n">
        <x:v>1353</x:v>
      </x:c>
      <x:c r="D852" s="89" t="n">
        <x:v>45767.23099537037</x:v>
      </x:c>
      <x:c r="E852" s="89" t="n">
        <x:v>45767.74835648148</x:v>
      </x:c>
      <x:c r="F852" s="84" t="n">
        <x:v>745</x:v>
      </x:c>
      <x:c r="G852" s="84" t="n">
        <x:v>1</x:v>
      </x:c>
      <x:c r="H852" s="84" t="str">
        <x:v>Baixa pressão</x:v>
      </x:c>
      <x:c r="I852" s="84" t="n">
        <x:v>1391</x:v>
      </x:c>
      <x:c r="J852" s="93" t="n">
        <x:v>13652.35</x:v>
      </x:c>
      <x:c r="K852" s="85" t="str">
        <x:v>3º Turno</x:v>
      </x:c>
    </x:row>
    <x:row r="853">
      <x:c r="A853" s="83" t="n">
        <x:v>852</x:v>
      </x:c>
      <x:c r="B853" s="84" t="n">
        <x:v>78</x:v>
      </x:c>
      <x:c r="C853" s="84" t="n">
        <x:v>1354</x:v>
      </x:c>
      <x:c r="D853" s="89" t="n">
        <x:v>45546.831412037034</x:v>
      </x:c>
      <x:c r="E853" s="89" t="n">
        <x:v>45547.20502314815</x:v>
      </x:c>
      <x:c r="F853" s="84" t="n">
        <x:v>538</x:v>
      </x:c>
      <x:c r="G853" s="84" t="n">
        <x:v>1</x:v>
      </x:c>
      <x:c r="H853" s="84" t="str">
        <x:v>Superaquecimento</x:v>
      </x:c>
      <x:c r="I853" s="84" t="n">
        <x:v>888</x:v>
      </x:c>
      <x:c r="J853" s="93" t="n">
        <x:v>17720.98</x:v>
      </x:c>
      <x:c r="K853" s="85" t="str">
        <x:v>2º Turno</x:v>
      </x:c>
    </x:row>
    <x:row r="854">
      <x:c r="A854" s="83" t="n">
        <x:v>853</x:v>
      </x:c>
      <x:c r="B854" s="84" t="n">
        <x:v>7</x:v>
      </x:c>
      <x:c r="C854" s="84" t="n">
        <x:v>1355</x:v>
      </x:c>
      <x:c r="D854" s="89" t="n">
        <x:v>45126.1021412037</x:v>
      </x:c>
      <x:c r="E854" s="89" t="n">
        <x:v>45126.41116898148</x:v>
      </x:c>
      <x:c r="F854" s="84" t="n">
        <x:v>445</x:v>
      </x:c>
      <x:c r="G854" s="84" t="n">
        <x:v>1</x:v>
      </x:c>
      <x:c r="H854" s="84" t="str">
        <x:v>Superaquecimento</x:v>
      </x:c>
      <x:c r="I854" s="84" t="n">
        <x:v>1016</x:v>
      </x:c>
      <x:c r="J854" s="93" t="n">
        <x:v>10221.32</x:v>
      </x:c>
      <x:c r="K854" s="85" t="str">
        <x:v>2º Turno</x:v>
      </x:c>
    </x:row>
    <x:row r="855">
      <x:c r="A855" s="83" t="n">
        <x:v>854</x:v>
      </x:c>
      <x:c r="B855" s="84" t="n">
        <x:v>4</x:v>
      </x:c>
      <x:c r="C855" s="84" t="n">
        <x:v>1356</x:v>
      </x:c>
      <x:c r="D855" s="89" t="n">
        <x:v>45966.463055555556</x:v>
      </x:c>
      <x:c r="E855" s="89" t="n">
        <x:v>45966.75958333333</x:v>
      </x:c>
      <x:c r="F855" s="84" t="n">
        <x:v>427</x:v>
      </x:c>
      <x:c r="G855" s="84" t="n">
        <x:v>1</x:v>
      </x:c>
      <x:c r="H855" s="84" t="str">
        <x:v>Superaquecimento</x:v>
      </x:c>
      <x:c r="I855" s="84" t="n">
        <x:v>534</x:v>
      </x:c>
      <x:c r="J855" s="93" t="n">
        <x:v>7678.83</x:v>
      </x:c>
      <x:c r="K855" s="85" t="str">
        <x:v>1º Turno</x:v>
      </x:c>
    </x:row>
    <x:row r="856">
      <x:c r="A856" s="83" t="n">
        <x:v>855</x:v>
      </x:c>
      <x:c r="B856" s="84" t="n">
        <x:v>7</x:v>
      </x:c>
      <x:c r="C856" s="84" t="n">
        <x:v>1357</x:v>
      </x:c>
      <x:c r="D856" s="89" t="n">
        <x:v>45747.78885416667</x:v>
      </x:c>
      <x:c r="E856" s="89" t="n">
        <x:v>45748.313159722224</x:v>
      </x:c>
      <x:c r="F856" s="84" t="n">
        <x:v>755</x:v>
      </x:c>
      <x:c r="G856" s="84" t="n">
        <x:v>1</x:v>
      </x:c>
      <x:c r="H856" s="84" t="str">
        <x:v>Falha elétrica</x:v>
      </x:c>
      <x:c r="I856" s="84" t="n">
        <x:v>1888</x:v>
      </x:c>
      <x:c r="J856" s="93" t="n">
        <x:v>40182.36</x:v>
      </x:c>
      <x:c r="K856" s="85" t="str">
        <x:v>3º Turno</x:v>
      </x:c>
    </x:row>
    <x:row r="857">
      <x:c r="A857" s="83" t="n">
        <x:v>856</x:v>
      </x:c>
      <x:c r="B857" s="84" t="n">
        <x:v>28</x:v>
      </x:c>
      <x:c r="C857" s="84" t="n">
        <x:v>1358</x:v>
      </x:c>
      <x:c r="D857" s="89" t="n">
        <x:v>45612.65049768519</x:v>
      </x:c>
      <x:c r="E857" s="89" t="n">
        <x:v>45613.22758101852</x:v>
      </x:c>
      <x:c r="F857" s="84" t="n">
        <x:v>831</x:v>
      </x:c>
      <x:c r="G857" s="84" t="n">
        <x:v>1</x:v>
      </x:c>
      <x:c r="H857" s="84" t="str">
        <x:v>Ruído anormal</x:v>
      </x:c>
      <x:c r="I857" s="84" t="n">
        <x:v>873</x:v>
      </x:c>
      <x:c r="J857" s="93" t="n">
        <x:v>20334.03</x:v>
      </x:c>
      <x:c r="K857" s="85" t="str">
        <x:v>3º Turno</x:v>
      </x:c>
    </x:row>
    <x:row r="858">
      <x:c r="A858" s="83" t="n">
        <x:v>857</x:v>
      </x:c>
      <x:c r="B858" s="84" t="n">
        <x:v>50</x:v>
      </x:c>
      <x:c r="C858" s="84" t="n">
        <x:v>1360</x:v>
      </x:c>
      <x:c r="D858" s="89" t="n">
        <x:v>45817.84756944444</x:v>
      </x:c>
      <x:c r="E858" s="89" t="n">
        <x:v>45818.11145833333</x:v>
      </x:c>
      <x:c r="F858" s="84" t="n">
        <x:v>380</x:v>
      </x:c>
      <x:c r="G858" s="84" t="n">
        <x:v>1</x:v>
      </x:c>
      <x:c r="H858" s="84" t="str">
        <x:v>Vazamento</x:v>
      </x:c>
      <x:c r="I858" s="84" t="n">
        <x:v>671</x:v>
      </x:c>
      <x:c r="J858" s="93" t="n">
        <x:v>5089.68</x:v>
      </x:c>
      <x:c r="K858" s="85" t="str">
        <x:v>2º Turno</x:v>
      </x:c>
    </x:row>
    <x:row r="859">
      <x:c r="A859" s="83" t="n">
        <x:v>858</x:v>
      </x:c>
      <x:c r="B859" s="84" t="n">
        <x:v>44</x:v>
      </x:c>
      <x:c r="C859" s="84" t="n">
        <x:v>1361</x:v>
      </x:c>
      <x:c r="D859" s="89" t="n">
        <x:v>45093.42548611111</x:v>
      </x:c>
      <x:c r="E859" s="89" t="n">
        <x:v>45093.56854166667</x:v>
      </x:c>
      <x:c r="F859" s="84" t="n">
        <x:v>206</x:v>
      </x:c>
      <x:c r="G859" s="84" t="n">
        <x:v>1</x:v>
      </x:c>
      <x:c r="H859" s="84" t="str">
        <x:v>Baixa pressão</x:v>
      </x:c>
      <x:c r="I859" s="84" t="n">
        <x:v>343</x:v>
      </x:c>
      <x:c r="J859" s="93" t="n">
        <x:v>6294.56</x:v>
      </x:c>
      <x:c r="K859" s="85" t="str">
        <x:v>1º Turno</x:v>
      </x:c>
    </x:row>
    <x:row r="860">
      <x:c r="A860" s="83" t="n">
        <x:v>859</x:v>
      </x:c>
      <x:c r="B860" s="84" t="n">
        <x:v>69</x:v>
      </x:c>
      <x:c r="C860" s="84" t="n">
        <x:v>1362</x:v>
      </x:c>
      <x:c r="D860" s="89" t="n">
        <x:v>46012.95990740741</x:v>
      </x:c>
      <x:c r="E860" s="89" t="n">
        <x:v>46013.36615740741</x:v>
      </x:c>
      <x:c r="F860" s="84" t="n">
        <x:v>585</x:v>
      </x:c>
      <x:c r="G860" s="84" t="n">
        <x:v>1</x:v>
      </x:c>
      <x:c r="H860" s="84" t="str">
        <x:v>Superaquecimento</x:v>
      </x:c>
      <x:c r="I860" s="84" t="n">
        <x:v>1209</x:v>
      </x:c>
      <x:c r="J860" s="93" t="n">
        <x:v>33207.59</x:v>
      </x:c>
      <x:c r="K860" s="85" t="str">
        <x:v>3º Turno</x:v>
      </x:c>
    </x:row>
    <x:row r="861">
      <x:c r="A861" s="83" t="n">
        <x:v>860</x:v>
      </x:c>
      <x:c r="B861" s="84" t="n">
        <x:v>84</x:v>
      </x:c>
      <x:c r="C861" s="84" t="n">
        <x:v>1364</x:v>
      </x:c>
      <x:c r="D861" s="89" t="n">
        <x:v>45157.996770833335</x:v>
      </x:c>
      <x:c r="E861" s="89" t="n">
        <x:v>45158.468993055554</x:v>
      </x:c>
      <x:c r="F861" s="84" t="n">
        <x:v>680</x:v>
      </x:c>
      <x:c r="G861" s="84" t="n">
        <x:v>1</x:v>
      </x:c>
      <x:c r="H861" s="84" t="str">
        <x:v>Baixa pressão</x:v>
      </x:c>
      <x:c r="I861" s="84" t="n">
        <x:v>975</x:v>
      </x:c>
      <x:c r="J861" s="93" t="n">
        <x:v>27567.54</x:v>
      </x:c>
      <x:c r="K861" s="85" t="str">
        <x:v>2º Turno</x:v>
      </x:c>
    </x:row>
    <x:row r="862">
      <x:c r="A862" s="83" t="n">
        <x:v>861</x:v>
      </x:c>
      <x:c r="B862" s="84" t="n">
        <x:v>23</x:v>
      </x:c>
      <x:c r="C862" s="84" t="n">
        <x:v>1366</x:v>
      </x:c>
      <x:c r="D862" s="89" t="n">
        <x:v>46002.37614583333</x:v>
      </x:c>
      <x:c r="E862" s="89" t="n">
        <x:v>46002.6240625</x:v>
      </x:c>
      <x:c r="F862" s="84" t="n">
        <x:v>357</x:v>
      </x:c>
      <x:c r="G862" s="84" t="n">
        <x:v>1</x:v>
      </x:c>
      <x:c r="H862" s="84" t="str">
        <x:v>Superaquecimento</x:v>
      </x:c>
      <x:c r="I862" s="84" t="n">
        <x:v>500</x:v>
      </x:c>
      <x:c r="J862" s="93" t="n">
        <x:v>12638.64</x:v>
      </x:c>
      <x:c r="K862" s="85" t="str">
        <x:v>1º Turno</x:v>
      </x:c>
    </x:row>
    <x:row r="863">
      <x:c r="A863" s="83" t="n">
        <x:v>862</x:v>
      </x:c>
      <x:c r="B863" s="84" t="n">
        <x:v>80</x:v>
      </x:c>
      <x:c r="C863" s="84" t="n">
        <x:v>1368</x:v>
      </x:c>
      <x:c r="D863" s="89" t="n">
        <x:v>45478.01263888889</x:v>
      </x:c>
      <x:c r="E863" s="89" t="n">
        <x:v>45478.21402777778</x:v>
      </x:c>
      <x:c r="F863" s="84" t="n">
        <x:v>290</x:v>
      </x:c>
      <x:c r="G863" s="84" t="n">
        <x:v>0</x:v>
      </x:c>
      <x:c r="H863" s="84" t="str">
        <x:v>Vazamento</x:v>
      </x:c>
      <x:c r="I863" s="84" t="n">
        <x:v>464</x:v>
      </x:c>
      <x:c r="J863" s="93" t="n">
        <x:v>15628</x:v>
      </x:c>
      <x:c r="K863" s="85" t="str">
        <x:v>3º Turno</x:v>
      </x:c>
    </x:row>
    <x:row r="864">
      <x:c r="A864" s="83" t="n">
        <x:v>863</x:v>
      </x:c>
      <x:c r="B864" s="84" t="n">
        <x:v>2</x:v>
      </x:c>
      <x:c r="C864" s="84" t="n">
        <x:v>1369</x:v>
      </x:c>
      <x:c r="D864" s="89" t="n">
        <x:v>45840.81980324074</x:v>
      </x:c>
      <x:c r="E864" s="89" t="n">
        <x:v>45841.442025462966</x:v>
      </x:c>
      <x:c r="F864" s="84" t="n">
        <x:v>896</x:v>
      </x:c>
      <x:c r="G864" s="84" t="n">
        <x:v>0</x:v>
      </x:c>
      <x:c r="H864" s="84" t="str">
        <x:v>Vazamento</x:v>
      </x:c>
      <x:c r="I864" s="84" t="n">
        <x:v>1463</x:v>
      </x:c>
      <x:c r="J864" s="93" t="n">
        <x:v>18126.76</x:v>
      </x:c>
      <x:c r="K864" s="85" t="str">
        <x:v>1º Turno</x:v>
      </x:c>
    </x:row>
    <x:row r="865">
      <x:c r="A865" s="83" t="n">
        <x:v>864</x:v>
      </x:c>
      <x:c r="B865" s="84" t="n">
        <x:v>60</x:v>
      </x:c>
      <x:c r="C865" s="84" t="n">
        <x:v>1370</x:v>
      </x:c>
      <x:c r="D865" s="89" t="n">
        <x:v>45771.15831018519</x:v>
      </x:c>
      <x:c r="E865" s="89" t="n">
        <x:v>45771.40831018519</x:v>
      </x:c>
      <x:c r="F865" s="84" t="n">
        <x:v>360</x:v>
      </x:c>
      <x:c r="G865" s="84" t="n">
        <x:v>1</x:v>
      </x:c>
      <x:c r="H865" s="84" t="str">
        <x:v>Vazamento</x:v>
      </x:c>
      <x:c r="I865" s="84" t="n">
        <x:v>594</x:v>
      </x:c>
      <x:c r="J865" s="93" t="n">
        <x:v>17829.18</x:v>
      </x:c>
      <x:c r="K865" s="85" t="str">
        <x:v>3º Turno</x:v>
      </x:c>
    </x:row>
    <x:row r="866">
      <x:c r="A866" s="83" t="n">
        <x:v>865</x:v>
      </x:c>
      <x:c r="B866" s="84" t="n">
        <x:v>28</x:v>
      </x:c>
      <x:c r="C866" s="84" t="n">
        <x:v>1371</x:v>
      </x:c>
      <x:c r="D866" s="89" t="n">
        <x:v>45631.872465277775</x:v>
      </x:c>
      <x:c r="E866" s="89" t="n">
        <x:v>45632.45024305556</x:v>
      </x:c>
      <x:c r="F866" s="84" t="n">
        <x:v>832</x:v>
      </x:c>
      <x:c r="G866" s="84" t="n">
        <x:v>1</x:v>
      </x:c>
      <x:c r="H866" s="84" t="str">
        <x:v>Superaquecimento</x:v>
      </x:c>
      <x:c r="I866" s="84" t="n">
        <x:v>1428</x:v>
      </x:c>
      <x:c r="J866" s="93" t="n">
        <x:v>24177.4</x:v>
      </x:c>
      <x:c r="K866" s="85" t="str">
        <x:v>2º Turno</x:v>
      </x:c>
    </x:row>
    <x:row r="867">
      <x:c r="A867" s="83" t="n">
        <x:v>866</x:v>
      </x:c>
      <x:c r="B867" s="84" t="n">
        <x:v>11</x:v>
      </x:c>
      <x:c r="C867" s="84" t="n">
        <x:v>1372</x:v>
      </x:c>
      <x:c r="D867" s="89" t="n">
        <x:v>45122.169328703705</x:v>
      </x:c>
      <x:c r="E867" s="89" t="n">
        <x:v>45122.297800925924</x:v>
      </x:c>
      <x:c r="F867" s="84" t="n">
        <x:v>185</x:v>
      </x:c>
      <x:c r="G867" s="84" t="n">
        <x:v>1</x:v>
      </x:c>
      <x:c r="H867" s="84" t="str">
        <x:v>Baixa pressão</x:v>
      </x:c>
      <x:c r="I867" s="84" t="n">
        <x:v>385</x:v>
      </x:c>
      <x:c r="J867" s="93" t="n">
        <x:v>5572.34</x:v>
      </x:c>
      <x:c r="K867" s="85" t="str">
        <x:v>2º Turno</x:v>
      </x:c>
    </x:row>
    <x:row r="868">
      <x:c r="A868" s="83" t="n">
        <x:v>867</x:v>
      </x:c>
      <x:c r="B868" s="84" t="n">
        <x:v>72</x:v>
      </x:c>
      <x:c r="C868" s="84" t="n">
        <x:v>1373</x:v>
      </x:c>
      <x:c r="D868" s="89" t="n">
        <x:v>45668.86305555556</x:v>
      </x:c>
      <x:c r="E868" s="89" t="n">
        <x:v>45669.07902777778</x:v>
      </x:c>
      <x:c r="F868" s="84" t="n">
        <x:v>311</x:v>
      </x:c>
      <x:c r="G868" s="84" t="n">
        <x:v>1</x:v>
      </x:c>
      <x:c r="H868" s="84" t="str">
        <x:v>Baixa pressão</x:v>
      </x:c>
      <x:c r="I868" s="84" t="n">
        <x:v>420</x:v>
      </x:c>
      <x:c r="J868" s="93" t="n">
        <x:v>16796.46</x:v>
      </x:c>
      <x:c r="K868" s="85" t="str">
        <x:v>1º Turno</x:v>
      </x:c>
    </x:row>
    <x:row r="869">
      <x:c r="A869" s="83" t="n">
        <x:v>868</x:v>
      </x:c>
      <x:c r="B869" s="84" t="n">
        <x:v>3</x:v>
      </x:c>
      <x:c r="C869" s="84" t="n">
        <x:v>1374</x:v>
      </x:c>
      <x:c r="D869" s="89" t="n">
        <x:v>45887.49456018519</x:v>
      </x:c>
      <x:c r="E869" s="89" t="n">
        <x:v>45887.51261574074</x:v>
      </x:c>
      <x:c r="F869" s="84" t="n">
        <x:v>26</x:v>
      </x:c>
      <x:c r="G869" s="84" t="n">
        <x:v>1</x:v>
      </x:c>
      <x:c r="H869" s="84" t="str">
        <x:v>Superaquecimento</x:v>
      </x:c>
      <x:c r="I869" s="84" t="n">
        <x:v>54</x:v>
      </x:c>
      <x:c r="J869" s="93" t="n">
        <x:v>1299.77</x:v>
      </x:c>
      <x:c r="K869" s="85" t="str">
        <x:v>3º Turno</x:v>
      </x:c>
    </x:row>
    <x:row r="870">
      <x:c r="A870" s="83" t="n">
        <x:v>869</x:v>
      </x:c>
      <x:c r="B870" s="84" t="n">
        <x:v>54</x:v>
      </x:c>
      <x:c r="C870" s="84" t="n">
        <x:v>1377</x:v>
      </x:c>
      <x:c r="D870" s="89" t="n">
        <x:v>45380.747083333335</x:v>
      </x:c>
      <x:c r="E870" s="89" t="n">
        <x:v>45380.85125</x:v>
      </x:c>
      <x:c r="F870" s="84" t="n">
        <x:v>150</x:v>
      </x:c>
      <x:c r="G870" s="84" t="n">
        <x:v>1</x:v>
      </x:c>
      <x:c r="H870" s="84" t="str">
        <x:v>Ruído anormal</x:v>
      </x:c>
      <x:c r="I870" s="84" t="n">
        <x:v>158</x:v>
      </x:c>
      <x:c r="J870" s="93" t="n">
        <x:v>7064.26</x:v>
      </x:c>
      <x:c r="K870" s="85" t="str">
        <x:v>3º Turno</x:v>
      </x:c>
    </x:row>
    <x:row r="871">
      <x:c r="A871" s="83" t="n">
        <x:v>870</x:v>
      </x:c>
      <x:c r="B871" s="84" t="n">
        <x:v>52</x:v>
      </x:c>
      <x:c r="C871" s="84" t="n">
        <x:v>1378</x:v>
      </x:c>
      <x:c r="D871" s="89" t="n">
        <x:v>45675.23971064815</x:v>
      </x:c>
      <x:c r="E871" s="89" t="n">
        <x:v>45675.827210648145</x:v>
      </x:c>
      <x:c r="F871" s="84" t="n">
        <x:v>846</x:v>
      </x:c>
      <x:c r="G871" s="84" t="n">
        <x:v>1</x:v>
      </x:c>
      <x:c r="H871" s="84" t="str">
        <x:v>Alarme intermitente</x:v>
      </x:c>
      <x:c r="I871" s="84" t="n">
        <x:v>2002</x:v>
      </x:c>
      <x:c r="J871" s="93" t="n">
        <x:v>43148.6</x:v>
      </x:c>
      <x:c r="K871" s="85" t="str">
        <x:v>3º Turno</x:v>
      </x:c>
    </x:row>
    <x:row r="872">
      <x:c r="A872" s="83" t="n">
        <x:v>871</x:v>
      </x:c>
      <x:c r="B872" s="84" t="n">
        <x:v>70</x:v>
      </x:c>
      <x:c r="C872" s="84" t="n">
        <x:v>1379</x:v>
      </x:c>
      <x:c r="D872" s="89" t="n">
        <x:v>45517.871412037035</x:v>
      </x:c>
      <x:c r="E872" s="89" t="n">
        <x:v>45518.44293981481</x:v>
      </x:c>
      <x:c r="F872" s="84" t="n">
        <x:v>823</x:v>
      </x:c>
      <x:c r="G872" s="84" t="n">
        <x:v>1</x:v>
      </x:c>
      <x:c r="H872" s="84" t="str">
        <x:v>Superaquecimento</x:v>
      </x:c>
      <x:c r="I872" s="84" t="n">
        <x:v>1372</x:v>
      </x:c>
      <x:c r="J872" s="93" t="n">
        <x:v>14980.2</x:v>
      </x:c>
      <x:c r="K872" s="85" t="str">
        <x:v>2º Turno</x:v>
      </x:c>
    </x:row>
    <x:row r="873">
      <x:c r="A873" s="83" t="n">
        <x:v>872</x:v>
      </x:c>
      <x:c r="B873" s="84" t="n">
        <x:v>7</x:v>
      </x:c>
      <x:c r="C873" s="84" t="n">
        <x:v>1380</x:v>
      </x:c>
      <x:c r="D873" s="89" t="n">
        <x:v>45813.40001157407</x:v>
      </x:c>
      <x:c r="E873" s="89" t="n">
        <x:v>45813.93681712963</x:v>
      </x:c>
      <x:c r="F873" s="84" t="n">
        <x:v>773</x:v>
      </x:c>
      <x:c r="G873" s="84" t="n">
        <x:v>1</x:v>
      </x:c>
      <x:c r="H873" s="84" t="str">
        <x:v>Alarme intermitente</x:v>
      </x:c>
      <x:c r="I873" s="84" t="n">
        <x:v>1456</x:v>
      </x:c>
      <x:c r="J873" s="93" t="n">
        <x:v>32665.43</x:v>
      </x:c>
      <x:c r="K873" s="85" t="str">
        <x:v>1º Turno</x:v>
      </x:c>
    </x:row>
    <x:row r="874">
      <x:c r="A874" s="83" t="n">
        <x:v>873</x:v>
      </x:c>
      <x:c r="B874" s="84" t="n">
        <x:v>32</x:v>
      </x:c>
      <x:c r="C874" s="84" t="n">
        <x:v>1382</x:v>
      </x:c>
      <x:c r="D874" s="89" t="n">
        <x:v>45004.193715277775</x:v>
      </x:c>
      <x:c r="E874" s="89" t="n">
        <x:v>45004.2471875</x:v>
      </x:c>
      <x:c r="F874" s="84" t="n">
        <x:v>77</x:v>
      </x:c>
      <x:c r="G874" s="84" t="n">
        <x:v>0</x:v>
      </x:c>
      <x:c r="H874" s="84" t="str">
        <x:v>Superaquecimento</x:v>
      </x:c>
      <x:c r="I874" s="84" t="n">
        <x:v>149</x:v>
      </x:c>
      <x:c r="J874" s="93" t="n">
        <x:v>1333.29</x:v>
      </x:c>
      <x:c r="K874" s="85" t="str">
        <x:v>3º Turno</x:v>
      </x:c>
    </x:row>
    <x:row r="875">
      <x:c r="A875" s="83" t="n">
        <x:v>874</x:v>
      </x:c>
      <x:c r="B875" s="84" t="n">
        <x:v>61</x:v>
      </x:c>
      <x:c r="C875" s="84" t="n">
        <x:v>1383</x:v>
      </x:c>
      <x:c r="D875" s="89" t="n">
        <x:v>45994.986180555556</x:v>
      </x:c>
      <x:c r="E875" s="89" t="n">
        <x:v>45995.165347222224</x:v>
      </x:c>
      <x:c r="F875" s="84" t="n">
        <x:v>258</x:v>
      </x:c>
      <x:c r="G875" s="84" t="n">
        <x:v>1</x:v>
      </x:c>
      <x:c r="H875" s="84" t="str">
        <x:v>Vazamento</x:v>
      </x:c>
      <x:c r="I875" s="84" t="n">
        <x:v>447</x:v>
      </x:c>
      <x:c r="J875" s="93" t="n">
        <x:v>5555.73</x:v>
      </x:c>
      <x:c r="K875" s="85" t="str">
        <x:v>3º Turno</x:v>
      </x:c>
    </x:row>
    <x:row r="876">
      <x:c r="A876" s="83" t="n">
        <x:v>875</x:v>
      </x:c>
      <x:c r="B876" s="84" t="n">
        <x:v>45</x:v>
      </x:c>
      <x:c r="C876" s="84" t="n">
        <x:v>1385</x:v>
      </x:c>
      <x:c r="D876" s="89" t="n">
        <x:v>45595.25876157408</x:v>
      </x:c>
      <x:c r="E876" s="89" t="n">
        <x:v>45595.30320601852</x:v>
      </x:c>
      <x:c r="F876" s="84" t="n">
        <x:v>64</x:v>
      </x:c>
      <x:c r="G876" s="84" t="n">
        <x:v>0</x:v>
      </x:c>
      <x:c r="H876" s="84" t="str">
        <x:v>Alarme intermitente</x:v>
      </x:c>
      <x:c r="I876" s="84" t="n">
        <x:v>75</x:v>
      </x:c>
      <x:c r="J876" s="93" t="n">
        <x:v>2905.2</x:v>
      </x:c>
      <x:c r="K876" s="85" t="str">
        <x:v>3º Turno</x:v>
      </x:c>
    </x:row>
    <x:row r="877">
      <x:c r="A877" s="83" t="n">
        <x:v>876</x:v>
      </x:c>
      <x:c r="B877" s="84" t="n">
        <x:v>11</x:v>
      </x:c>
      <x:c r="C877" s="84" t="n">
        <x:v>1387</x:v>
      </x:c>
      <x:c r="D877" s="89" t="n">
        <x:v>45894.97137731482</x:v>
      </x:c>
      <x:c r="E877" s="89" t="n">
        <x:v>45894.99984953704</x:v>
      </x:c>
      <x:c r="F877" s="84" t="n">
        <x:v>41</x:v>
      </x:c>
      <x:c r="G877" s="84" t="n">
        <x:v>1</x:v>
      </x:c>
      <x:c r="H877" s="84" t="str">
        <x:v>Baixa pressão</x:v>
      </x:c>
      <x:c r="I877" s="84" t="n">
        <x:v>75</x:v>
      </x:c>
      <x:c r="J877" s="93" t="n">
        <x:v>606.62</x:v>
      </x:c>
      <x:c r="K877" s="85" t="str">
        <x:v>1º Turno</x:v>
      </x:c>
    </x:row>
    <x:row r="878">
      <x:c r="A878" s="83" t="n">
        <x:v>877</x:v>
      </x:c>
      <x:c r="B878" s="84" t="n">
        <x:v>5</x:v>
      </x:c>
      <x:c r="C878" s="84" t="n">
        <x:v>1390</x:v>
      </x:c>
      <x:c r="D878" s="89" t="n">
        <x:v>45988.03481481481</x:v>
      </x:c>
      <x:c r="E878" s="89" t="n">
        <x:v>45988.62787037037</x:v>
      </x:c>
      <x:c r="F878" s="84" t="n">
        <x:v>854</x:v>
      </x:c>
      <x:c r="G878" s="84" t="n">
        <x:v>0</x:v>
      </x:c>
      <x:c r="H878" s="84" t="str">
        <x:v>Desalinhamento</x:v>
      </x:c>
      <x:c r="I878" s="84" t="n">
        <x:v>1438</x:v>
      </x:c>
      <x:c r="J878" s="93" t="n">
        <x:v>21813.47</x:v>
      </x:c>
      <x:c r="K878" s="85" t="str">
        <x:v>3º Turno</x:v>
      </x:c>
    </x:row>
    <x:row r="879">
      <x:c r="A879" s="83" t="n">
        <x:v>878</x:v>
      </x:c>
      <x:c r="B879" s="84" t="n">
        <x:v>72</x:v>
      </x:c>
      <x:c r="C879" s="84" t="n">
        <x:v>1393</x:v>
      </x:c>
      <x:c r="D879" s="89" t="n">
        <x:v>45309.325902777775</x:v>
      </x:c>
      <x:c r="E879" s="89" t="n">
        <x:v>45309.45159722222</x:v>
      </x:c>
      <x:c r="F879" s="84" t="n">
        <x:v>181</x:v>
      </x:c>
      <x:c r="G879" s="84" t="n">
        <x:v>0</x:v>
      </x:c>
      <x:c r="H879" s="84" t="str">
        <x:v>Desalinhamento</x:v>
      </x:c>
      <x:c r="I879" s="84" t="n">
        <x:v>347</x:v>
      </x:c>
      <x:c r="J879" s="93" t="n">
        <x:v>7877.2</x:v>
      </x:c>
      <x:c r="K879" s="85" t="str">
        <x:v>3º Turno</x:v>
      </x:c>
    </x:row>
    <x:row r="880">
      <x:c r="A880" s="83" t="n">
        <x:v>879</x:v>
      </x:c>
      <x:c r="B880" s="84" t="n">
        <x:v>10</x:v>
      </x:c>
      <x:c r="C880" s="84" t="n">
        <x:v>1394</x:v>
      </x:c>
      <x:c r="D880" s="89" t="n">
        <x:v>45017.066400462965</x:v>
      </x:c>
      <x:c r="E880" s="89" t="n">
        <x:v>45017.56292824074</x:v>
      </x:c>
      <x:c r="F880" s="84" t="n">
        <x:v>715</x:v>
      </x:c>
      <x:c r="G880" s="84" t="n">
        <x:v>1</x:v>
      </x:c>
      <x:c r="H880" s="84" t="str">
        <x:v>Desalinhamento</x:v>
      </x:c>
      <x:c r="I880" s="84" t="n">
        <x:v>1061</x:v>
      </x:c>
      <x:c r="J880" s="93" t="n">
        <x:v>18201.16</x:v>
      </x:c>
      <x:c r="K880" s="85" t="str">
        <x:v>1º Turno</x:v>
      </x:c>
    </x:row>
    <x:row r="881">
      <x:c r="A881" s="83" t="n">
        <x:v>880</x:v>
      </x:c>
      <x:c r="B881" s="84" t="n">
        <x:v>13</x:v>
      </x:c>
      <x:c r="C881" s="84" t="n">
        <x:v>1395</x:v>
      </x:c>
      <x:c r="D881" s="89" t="n">
        <x:v>45313.77978009259</x:v>
      </x:c>
      <x:c r="E881" s="89" t="n">
        <x:v>45314.08741898148</x:v>
      </x:c>
      <x:c r="F881" s="84" t="n">
        <x:v>443</x:v>
      </x:c>
      <x:c r="G881" s="84" t="n">
        <x:v>1</x:v>
      </x:c>
      <x:c r="H881" s="84" t="str">
        <x:v>Desalinhamento</x:v>
      </x:c>
      <x:c r="I881" s="84" t="n">
        <x:v>664</x:v>
      </x:c>
      <x:c r="J881" s="93" t="n">
        <x:v>17372.1</x:v>
      </x:c>
      <x:c r="K881" s="85" t="str">
        <x:v>2º Turno</x:v>
      </x:c>
    </x:row>
    <x:row r="882">
      <x:c r="A882" s="83" t="n">
        <x:v>881</x:v>
      </x:c>
      <x:c r="B882" s="84" t="n">
        <x:v>2</x:v>
      </x:c>
      <x:c r="C882" s="84" t="n">
        <x:v>1396</x:v>
      </x:c>
      <x:c r="D882" s="89" t="n">
        <x:v>45068.19961805556</x:v>
      </x:c>
      <x:c r="E882" s="89" t="n">
        <x:v>45068.709340277775</x:v>
      </x:c>
      <x:c r="F882" s="84" t="n">
        <x:v>734</x:v>
      </x:c>
      <x:c r="G882" s="84" t="n">
        <x:v>1</x:v>
      </x:c>
      <x:c r="H882" s="84" t="str">
        <x:v>Baixa pressão</x:v>
      </x:c>
      <x:c r="I882" s="84" t="n">
        <x:v>1395</x:v>
      </x:c>
      <x:c r="J882" s="93" t="n">
        <x:v>32320.3</x:v>
      </x:c>
      <x:c r="K882" s="85" t="str">
        <x:v>3º Turno</x:v>
      </x:c>
    </x:row>
    <x:row r="883">
      <x:c r="A883" s="83" t="n">
        <x:v>882</x:v>
      </x:c>
      <x:c r="B883" s="84" t="n">
        <x:v>43</x:v>
      </x:c>
      <x:c r="C883" s="84" t="n">
        <x:v>1397</x:v>
      </x:c>
      <x:c r="D883" s="89" t="n">
        <x:v>45089.12363425926</x:v>
      </x:c>
      <x:c r="E883" s="89" t="n">
        <x:v>45089.64863425926</x:v>
      </x:c>
      <x:c r="F883" s="84" t="n">
        <x:v>756</x:v>
      </x:c>
      <x:c r="G883" s="84" t="n">
        <x:v>0</x:v>
      </x:c>
      <x:c r="H883" s="84" t="str">
        <x:v>Vazamento</x:v>
      </x:c>
      <x:c r="I883" s="84" t="n">
        <x:v>1235</x:v>
      </x:c>
      <x:c r="J883" s="93" t="n">
        <x:v>22204.19</x:v>
      </x:c>
      <x:c r="K883" s="85" t="str">
        <x:v>2º Turno</x:v>
      </x:c>
    </x:row>
    <x:row r="884">
      <x:c r="A884" s="83" t="n">
        <x:v>883</x:v>
      </x:c>
      <x:c r="B884" s="84" t="n">
        <x:v>7</x:v>
      </x:c>
      <x:c r="C884" s="84" t="n">
        <x:v>1398</x:v>
      </x:c>
      <x:c r="D884" s="89" t="n">
        <x:v>44939.587118055555</x:v>
      </x:c>
      <x:c r="E884" s="89" t="n">
        <x:v>44939.90170138889</x:v>
      </x:c>
      <x:c r="F884" s="84" t="n">
        <x:v>453</x:v>
      </x:c>
      <x:c r="G884" s="84" t="n">
        <x:v>1</x:v>
      </x:c>
      <x:c r="H884" s="84" t="str">
        <x:v>Vazamento</x:v>
      </x:c>
      <x:c r="I884" s="84" t="n">
        <x:v>921</x:v>
      </x:c>
      <x:c r="J884" s="93" t="n">
        <x:v>8411.96</x:v>
      </x:c>
      <x:c r="K884" s="85" t="str">
        <x:v>3º Turno</x:v>
      </x:c>
    </x:row>
    <x:row r="885">
      <x:c r="A885" s="83" t="n">
        <x:v>884</x:v>
      </x:c>
      <x:c r="B885" s="84" t="n">
        <x:v>10</x:v>
      </x:c>
      <x:c r="C885" s="84" t="n">
        <x:v>1399</x:v>
      </x:c>
      <x:c r="D885" s="89" t="n">
        <x:v>45915.499872685185</x:v>
      </x:c>
      <x:c r="E885" s="89" t="n">
        <x:v>45915.62001157407</x:v>
      </x:c>
      <x:c r="F885" s="84" t="n">
        <x:v>173</x:v>
      </x:c>
      <x:c r="G885" s="84" t="n">
        <x:v>0</x:v>
      </x:c>
      <x:c r="H885" s="84" t="str">
        <x:v>Baixa pressão</x:v>
      </x:c>
      <x:c r="I885" s="84" t="n">
        <x:v>363</x:v>
      </x:c>
      <x:c r="J885" s="93" t="n">
        <x:v>6728.79</x:v>
      </x:c>
      <x:c r="K885" s="85" t="str">
        <x:v>1º Turno</x:v>
      </x:c>
    </x:row>
    <x:row r="886">
      <x:c r="A886" s="83" t="n">
        <x:v>885</x:v>
      </x:c>
      <x:c r="B886" s="84" t="n">
        <x:v>24</x:v>
      </x:c>
      <x:c r="C886" s="84" t="n">
        <x:v>1400</x:v>
      </x:c>
      <x:c r="D886" s="89" t="n">
        <x:v>45099.78199074074</x:v>
      </x:c>
      <x:c r="E886" s="89" t="n">
        <x:v>45099.836851851855</x:v>
      </x:c>
      <x:c r="F886" s="84" t="n">
        <x:v>79</x:v>
      </x:c>
      <x:c r="G886" s="84" t="n">
        <x:v>1</x:v>
      </x:c>
      <x:c r="H886" s="84" t="str">
        <x:v>Baixa pressão</x:v>
      </x:c>
      <x:c r="I886" s="84" t="n">
        <x:v>167</x:v>
      </x:c>
      <x:c r="J886" s="93" t="n">
        <x:v>3053.72</x:v>
      </x:c>
      <x:c r="K886" s="85" t="str">
        <x:v>1º Turno</x:v>
      </x:c>
    </x:row>
    <x:row r="887">
      <x:c r="A887" s="83" t="n">
        <x:v>886</x:v>
      </x:c>
      <x:c r="B887" s="84" t="n">
        <x:v>10</x:v>
      </x:c>
      <x:c r="C887" s="84" t="n">
        <x:v>1404</x:v>
      </x:c>
      <x:c r="D887" s="89" t="n">
        <x:v>45581.24701388889</x:v>
      </x:c>
      <x:c r="E887" s="89" t="n">
        <x:v>45581.64215277778</x:v>
      </x:c>
      <x:c r="F887" s="84" t="n">
        <x:v>569</x:v>
      </x:c>
      <x:c r="G887" s="84" t="n">
        <x:v>0</x:v>
      </x:c>
      <x:c r="H887" s="84" t="str">
        <x:v>Alarme intermitente</x:v>
      </x:c>
      <x:c r="I887" s="84" t="n">
        <x:v>1138</x:v>
      </x:c>
      <x:c r="J887" s="93" t="n">
        <x:v>30401.8</x:v>
      </x:c>
      <x:c r="K887" s="85" t="str">
        <x:v>1º Turno</x:v>
      </x:c>
    </x:row>
    <x:row r="888">
      <x:c r="A888" s="83" t="n">
        <x:v>887</x:v>
      </x:c>
      <x:c r="B888" s="84" t="n">
        <x:v>47</x:v>
      </x:c>
      <x:c r="C888" s="84" t="n">
        <x:v>1405</x:v>
      </x:c>
      <x:c r="D888" s="89" t="n">
        <x:v>44945.40167824074</x:v>
      </x:c>
      <x:c r="E888" s="89" t="n">
        <x:v>44945.52042824074</x:v>
      </x:c>
      <x:c r="F888" s="84" t="n">
        <x:v>171</x:v>
      </x:c>
      <x:c r="G888" s="84" t="n">
        <x:v>1</x:v>
      </x:c>
      <x:c r="H888" s="84" t="str">
        <x:v>Desalinhamento</x:v>
      </x:c>
      <x:c r="I888" s="84" t="n">
        <x:v>336</x:v>
      </x:c>
      <x:c r="J888" s="93" t="n">
        <x:v>6672.36</x:v>
      </x:c>
      <x:c r="K888" s="85" t="str">
        <x:v>2º Turno</x:v>
      </x:c>
    </x:row>
    <x:row r="889">
      <x:c r="A889" s="83" t="n">
        <x:v>888</x:v>
      </x:c>
      <x:c r="B889" s="84" t="n">
        <x:v>28</x:v>
      </x:c>
      <x:c r="C889" s="84" t="n">
        <x:v>1407</x:v>
      </x:c>
      <x:c r="D889" s="89" t="n">
        <x:v>45384.319027777776</x:v>
      </x:c>
      <x:c r="E889" s="89" t="n">
        <x:v>45384.83361111111</x:v>
      </x:c>
      <x:c r="F889" s="84" t="n">
        <x:v>741</x:v>
      </x:c>
      <x:c r="G889" s="84" t="n">
        <x:v>0</x:v>
      </x:c>
      <x:c r="H889" s="84" t="str">
        <x:v>Superaquecimento</x:v>
      </x:c>
      <x:c r="I889" s="84" t="n">
        <x:v>1297</x:v>
      </x:c>
      <x:c r="J889" s="93" t="n">
        <x:v>20109.51</x:v>
      </x:c>
      <x:c r="K889" s="85" t="str">
        <x:v>1º Turno</x:v>
      </x:c>
    </x:row>
    <x:row r="890">
      <x:c r="A890" s="83" t="n">
        <x:v>889</x:v>
      </x:c>
      <x:c r="B890" s="84" t="n">
        <x:v>7</x:v>
      </x:c>
      <x:c r="C890" s="84" t="n">
        <x:v>1408</x:v>
      </x:c>
      <x:c r="D890" s="89" t="n">
        <x:v>44943.41363425926</x:v>
      </x:c>
      <x:c r="E890" s="89" t="n">
        <x:v>44944.01085648148</x:v>
      </x:c>
      <x:c r="F890" s="84" t="n">
        <x:v>860</x:v>
      </x:c>
      <x:c r="G890" s="84" t="n">
        <x:v>0</x:v>
      </x:c>
      <x:c r="H890" s="84" t="str">
        <x:v>Vazamento</x:v>
      </x:c>
      <x:c r="I890" s="84" t="n">
        <x:v>1835</x:v>
      </x:c>
      <x:c r="J890" s="93" t="n">
        <x:v>38212.24</x:v>
      </x:c>
      <x:c r="K890" s="85" t="str">
        <x:v>3º Turno</x:v>
      </x:c>
    </x:row>
    <x:row r="891">
      <x:c r="A891" s="83" t="n">
        <x:v>890</x:v>
      </x:c>
      <x:c r="B891" s="84" t="n">
        <x:v>81</x:v>
      </x:c>
      <x:c r="C891" s="84" t="n">
        <x:v>1409</x:v>
      </x:c>
      <x:c r="D891" s="89" t="n">
        <x:v>45763.7866087963</x:v>
      </x:c>
      <x:c r="E891" s="89" t="n">
        <x:v>45764.24285879629</x:v>
      </x:c>
      <x:c r="F891" s="84" t="n">
        <x:v>657</x:v>
      </x:c>
      <x:c r="G891" s="84" t="n">
        <x:v>1</x:v>
      </x:c>
      <x:c r="H891" s="84" t="str">
        <x:v>Superaquecimento</x:v>
      </x:c>
      <x:c r="I891" s="84" t="n">
        <x:v>1588</x:v>
      </x:c>
      <x:c r="J891" s="93" t="n">
        <x:v>18272.99</x:v>
      </x:c>
      <x:c r="K891" s="85" t="str">
        <x:v>1º Turno</x:v>
      </x:c>
    </x:row>
    <x:row r="892">
      <x:c r="A892" s="83" t="n">
        <x:v>891</x:v>
      </x:c>
      <x:c r="B892" s="84" t="n">
        <x:v>5</x:v>
      </x:c>
      <x:c r="C892" s="84" t="n">
        <x:v>1410</x:v>
      </x:c>
      <x:c r="D892" s="89" t="n">
        <x:v>45493.75576388889</x:v>
      </x:c>
      <x:c r="E892" s="89" t="n">
        <x:v>45493.987708333334</x:v>
      </x:c>
      <x:c r="F892" s="84" t="n">
        <x:v>334</x:v>
      </x:c>
      <x:c r="G892" s="84" t="n">
        <x:v>1</x:v>
      </x:c>
      <x:c r="H892" s="84" t="str">
        <x:v>Baixa pressão</x:v>
      </x:c>
      <x:c r="I892" s="84" t="n">
        <x:v>507</x:v>
      </x:c>
      <x:c r="J892" s="93" t="n">
        <x:v>16350.15</x:v>
      </x:c>
      <x:c r="K892" s="85" t="str">
        <x:v>3º Turno</x:v>
      </x:c>
    </x:row>
    <x:row r="893">
      <x:c r="A893" s="83" t="n">
        <x:v>892</x:v>
      </x:c>
      <x:c r="B893" s="84" t="n">
        <x:v>51</x:v>
      </x:c>
      <x:c r="C893" s="84" t="n">
        <x:v>1411</x:v>
      </x:c>
      <x:c r="D893" s="89" t="n">
        <x:v>45875.28346064815</x:v>
      </x:c>
      <x:c r="E893" s="89" t="n">
        <x:v>45875.47998842593</x:v>
      </x:c>
      <x:c r="F893" s="84" t="n">
        <x:v>283</x:v>
      </x:c>
      <x:c r="G893" s="84" t="n">
        <x:v>0</x:v>
      </x:c>
      <x:c r="H893" s="84" t="str">
        <x:v>Falha elétrica</x:v>
      </x:c>
      <x:c r="I893" s="84" t="n">
        <x:v>410</x:v>
      </x:c>
      <x:c r="J893" s="93" t="n">
        <x:v>12713.13</x:v>
      </x:c>
      <x:c r="K893" s="85" t="str">
        <x:v>2º Turno</x:v>
      </x:c>
    </x:row>
    <x:row r="894">
      <x:c r="A894" s="83" t="n">
        <x:v>893</x:v>
      </x:c>
      <x:c r="B894" s="84" t="n">
        <x:v>61</x:v>
      </x:c>
      <x:c r="C894" s="84" t="n">
        <x:v>1413</x:v>
      </x:c>
      <x:c r="D894" s="89" t="n">
        <x:v>45705.18885416666</x:v>
      </x:c>
      <x:c r="E894" s="89" t="n">
        <x:v>45705.77982638889</x:v>
      </x:c>
      <x:c r="F894" s="84" t="n">
        <x:v>851</x:v>
      </x:c>
      <x:c r="G894" s="84" t="n">
        <x:v>0</x:v>
      </x:c>
      <x:c r="H894" s="84" t="str">
        <x:v>Falha elétrica</x:v>
      </x:c>
      <x:c r="I894" s="84" t="n">
        <x:v>1645</x:v>
      </x:c>
      <x:c r="J894" s="93" t="n">
        <x:v>38247.73</x:v>
      </x:c>
      <x:c r="K894" s="85" t="str">
        <x:v>2º Turno</x:v>
      </x:c>
    </x:row>
    <x:row r="895">
      <x:c r="A895" s="83" t="n">
        <x:v>894</x:v>
      </x:c>
      <x:c r="B895" s="84" t="n">
        <x:v>45</x:v>
      </x:c>
      <x:c r="C895" s="84" t="n">
        <x:v>1414</x:v>
      </x:c>
      <x:c r="D895" s="89" t="n">
        <x:v>45269.09732638889</x:v>
      </x:c>
      <x:c r="E895" s="89" t="n">
        <x:v>45269.13829861111</x:v>
      </x:c>
      <x:c r="F895" s="84" t="n">
        <x:v>59</x:v>
      </x:c>
      <x:c r="G895" s="84" t="n">
        <x:v>1</x:v>
      </x:c>
      <x:c r="H895" s="84" t="str">
        <x:v>Baixa pressão</x:v>
      </x:c>
      <x:c r="I895" s="84" t="n">
        <x:v>115</x:v>
      </x:c>
      <x:c r="J895" s="93" t="n">
        <x:v>1351</x:v>
      </x:c>
      <x:c r="K895" s="85" t="str">
        <x:v>2º Turno</x:v>
      </x:c>
    </x:row>
    <x:row r="896">
      <x:c r="A896" s="83" t="n">
        <x:v>895</x:v>
      </x:c>
      <x:c r="B896" s="84" t="n">
        <x:v>10</x:v>
      </x:c>
      <x:c r="C896" s="84" t="n">
        <x:v>1415</x:v>
      </x:c>
      <x:c r="D896" s="89" t="n">
        <x:v>45373.874814814815</x:v>
      </x:c>
      <x:c r="E896" s="89" t="n">
        <x:v>45373.98106481481</x:v>
      </x:c>
      <x:c r="F896" s="84" t="n">
        <x:v>153</x:v>
      </x:c>
      <x:c r="G896" s="84" t="n">
        <x:v>0</x:v>
      </x:c>
      <x:c r="H896" s="84" t="str">
        <x:v>Vazamento</x:v>
      </x:c>
      <x:c r="I896" s="84" t="n">
        <x:v>270</x:v>
      </x:c>
      <x:c r="J896" s="93" t="n">
        <x:v>4346.74</x:v>
      </x:c>
      <x:c r="K896" s="85" t="str">
        <x:v>2º Turno</x:v>
      </x:c>
    </x:row>
    <x:row r="897">
      <x:c r="A897" s="83" t="n">
        <x:v>896</x:v>
      </x:c>
      <x:c r="B897" s="84" t="n">
        <x:v>45</x:v>
      </x:c>
      <x:c r="C897" s="84" t="n">
        <x:v>1416</x:v>
      </x:c>
      <x:c r="D897" s="89" t="n">
        <x:v>45074.88858796296</x:v>
      </x:c>
      <x:c r="E897" s="89" t="n">
        <x:v>45075.25178240741</x:v>
      </x:c>
      <x:c r="F897" s="84" t="n">
        <x:v>523</x:v>
      </x:c>
      <x:c r="G897" s="84" t="n">
        <x:v>1</x:v>
      </x:c>
      <x:c r="H897" s="84" t="str">
        <x:v>Desalinhamento</x:v>
      </x:c>
      <x:c r="I897" s="84" t="n">
        <x:v>1098</x:v>
      </x:c>
      <x:c r="J897" s="93" t="n">
        <x:v>24978.92</x:v>
      </x:c>
      <x:c r="K897" s="85" t="str">
        <x:v>3º Turno</x:v>
      </x:c>
    </x:row>
    <x:row r="898">
      <x:c r="A898" s="83" t="n">
        <x:v>897</x:v>
      </x:c>
      <x:c r="B898" s="84" t="n">
        <x:v>48</x:v>
      </x:c>
      <x:c r="C898" s="84" t="n">
        <x:v>1417</x:v>
      </x:c>
      <x:c r="D898" s="89" t="n">
        <x:v>45978.96907407408</x:v>
      </x:c>
      <x:c r="E898" s="89" t="n">
        <x:v>45979.540601851855</x:v>
      </x:c>
      <x:c r="F898" s="84" t="n">
        <x:v>823</x:v>
      </x:c>
      <x:c r="G898" s="84" t="n">
        <x:v>0</x:v>
      </x:c>
      <x:c r="H898" s="84" t="str">
        <x:v>Alarme intermitente</x:v>
      </x:c>
      <x:c r="I898" s="84" t="n">
        <x:v>1619</x:v>
      </x:c>
      <x:c r="J898" s="93" t="n">
        <x:v>27488.16</x:v>
      </x:c>
      <x:c r="K898" s="85" t="str">
        <x:v>2º Turno</x:v>
      </x:c>
    </x:row>
    <x:row r="899">
      <x:c r="A899" s="83" t="n">
        <x:v>898</x:v>
      </x:c>
      <x:c r="B899" s="84" t="n">
        <x:v>85</x:v>
      </x:c>
      <x:c r="C899" s="84" t="n">
        <x:v>1419</x:v>
      </x:c>
      <x:c r="D899" s="89" t="n">
        <x:v>45529.197534722225</x:v>
      </x:c>
      <x:c r="E899" s="89" t="n">
        <x:v>45529.27322916667</x:v>
      </x:c>
      <x:c r="F899" s="84" t="n">
        <x:v>109</x:v>
      </x:c>
      <x:c r="G899" s="84" t="n">
        <x:v>0</x:v>
      </x:c>
      <x:c r="H899" s="84" t="str">
        <x:v>Vazamento</x:v>
      </x:c>
      <x:c r="I899" s="84" t="n">
        <x:v>162</x:v>
      </x:c>
      <x:c r="J899" s="93" t="n">
        <x:v>5688.77</x:v>
      </x:c>
      <x:c r="K899" s="85" t="str">
        <x:v>1º Turno</x:v>
      </x:c>
    </x:row>
    <x:row r="900">
      <x:c r="A900" s="83" t="n">
        <x:v>899</x:v>
      </x:c>
      <x:c r="B900" s="84" t="n">
        <x:v>72</x:v>
      </x:c>
      <x:c r="C900" s="84" t="n">
        <x:v>1420</x:v>
      </x:c>
      <x:c r="D900" s="89" t="n">
        <x:v>45882.76211805556</x:v>
      </x:c>
      <x:c r="E900" s="89" t="n">
        <x:v>45883.21420138889</x:v>
      </x:c>
      <x:c r="F900" s="84" t="n">
        <x:v>651</x:v>
      </x:c>
      <x:c r="G900" s="84" t="n">
        <x:v>1</x:v>
      </x:c>
      <x:c r="H900" s="84" t="str">
        <x:v>Falha elétrica</x:v>
      </x:c>
      <x:c r="I900" s="84" t="n">
        <x:v>922</x:v>
      </x:c>
      <x:c r="J900" s="93" t="n">
        <x:v>25172.7</x:v>
      </x:c>
      <x:c r="K900" s="85" t="str">
        <x:v>3º Turno</x:v>
      </x:c>
    </x:row>
    <x:row r="901">
      <x:c r="A901" s="83" t="n">
        <x:v>900</x:v>
      </x:c>
      <x:c r="B901" s="84" t="n">
        <x:v>85</x:v>
      </x:c>
      <x:c r="C901" s="84" t="n">
        <x:v>1421</x:v>
      </x:c>
      <x:c r="D901" s="89" t="n">
        <x:v>45520.79325231481</x:v>
      </x:c>
      <x:c r="E901" s="89" t="n">
        <x:v>45521.1508912037</x:v>
      </x:c>
      <x:c r="F901" s="84" t="n">
        <x:v>515</x:v>
      </x:c>
      <x:c r="G901" s="84" t="n">
        <x:v>1</x:v>
      </x:c>
      <x:c r="H901" s="84" t="str">
        <x:v>Vazamento</x:v>
      </x:c>
      <x:c r="I901" s="84" t="n">
        <x:v>1184</x:v>
      </x:c>
      <x:c r="J901" s="93" t="n">
        <x:v>28759.98</x:v>
      </x:c>
      <x:c r="K901" s="85" t="str">
        <x:v>2º Turno</x:v>
      </x:c>
    </x:row>
    <x:row r="902">
      <x:c r="A902" s="83" t="n">
        <x:v>901</x:v>
      </x:c>
      <x:c r="B902" s="84" t="n">
        <x:v>38</x:v>
      </x:c>
      <x:c r="C902" s="84" t="n">
        <x:v>1423</x:v>
      </x:c>
      <x:c r="D902" s="89" t="n">
        <x:v>45331.13921296296</x:v>
      </x:c>
      <x:c r="E902" s="89" t="n">
        <x:v>45331.30657407407</x:v>
      </x:c>
      <x:c r="F902" s="84" t="n">
        <x:v>241</x:v>
      </x:c>
      <x:c r="G902" s="84" t="n">
        <x:v>0</x:v>
      </x:c>
      <x:c r="H902" s="84" t="str">
        <x:v>Superaquecimento</x:v>
      </x:c>
      <x:c r="I902" s="84" t="n">
        <x:v>582</x:v>
      </x:c>
      <x:c r="J902" s="93" t="n">
        <x:v>13702.22</x:v>
      </x:c>
      <x:c r="K902" s="85" t="str">
        <x:v>3º Turno</x:v>
      </x:c>
    </x:row>
    <x:row r="903">
      <x:c r="A903" s="83" t="n">
        <x:v>902</x:v>
      </x:c>
      <x:c r="B903" s="84" t="n">
        <x:v>13</x:v>
      </x:c>
      <x:c r="C903" s="84" t="n">
        <x:v>1424</x:v>
      </x:c>
      <x:c r="D903" s="89" t="n">
        <x:v>45746.82103009259</x:v>
      </x:c>
      <x:c r="E903" s="89" t="n">
        <x:v>45747.252280092594</x:v>
      </x:c>
      <x:c r="F903" s="84" t="n">
        <x:v>621</x:v>
      </x:c>
      <x:c r="G903" s="84" t="n">
        <x:v>0</x:v>
      </x:c>
      <x:c r="H903" s="84" t="str">
        <x:v>Vazamento</x:v>
      </x:c>
      <x:c r="I903" s="84" t="n">
        <x:v>1532</x:v>
      </x:c>
      <x:c r="J903" s="93" t="n">
        <x:v>35202.48</x:v>
      </x:c>
      <x:c r="K903" s="85" t="str">
        <x:v>2º Turno</x:v>
      </x:c>
    </x:row>
    <x:row r="904">
      <x:c r="A904" s="83" t="n">
        <x:v>903</x:v>
      </x:c>
      <x:c r="B904" s="84" t="n">
        <x:v>87</x:v>
      </x:c>
      <x:c r="C904" s="84" t="n">
        <x:v>1425</x:v>
      </x:c>
      <x:c r="D904" s="89" t="n">
        <x:v>45810.09789351852</x:v>
      </x:c>
      <x:c r="E904" s="89" t="n">
        <x:v>45810.5756712963</x:v>
      </x:c>
      <x:c r="F904" s="84" t="n">
        <x:v>688</x:v>
      </x:c>
      <x:c r="G904" s="84" t="n">
        <x:v>1</x:v>
      </x:c>
      <x:c r="H904" s="84" t="str">
        <x:v>Alarme intermitente</x:v>
      </x:c>
      <x:c r="I904" s="84" t="n">
        <x:v>1330</x:v>
      </x:c>
      <x:c r="J904" s="93" t="n">
        <x:v>19854</x:v>
      </x:c>
      <x:c r="K904" s="85" t="str">
        <x:v>3º Turno</x:v>
      </x:c>
    </x:row>
    <x:row r="905">
      <x:c r="A905" s="83" t="n">
        <x:v>904</x:v>
      </x:c>
      <x:c r="B905" s="84" t="n">
        <x:v>52</x:v>
      </x:c>
      <x:c r="C905" s="84" t="n">
        <x:v>1426</x:v>
      </x:c>
      <x:c r="D905" s="89" t="n">
        <x:v>44979.78172453704</x:v>
      </x:c>
      <x:c r="E905" s="89" t="n">
        <x:v>44979.80950231481</x:v>
      </x:c>
      <x:c r="F905" s="84" t="n">
        <x:v>40</x:v>
      </x:c>
      <x:c r="G905" s="84" t="n">
        <x:v>0</x:v>
      </x:c>
      <x:c r="H905" s="84" t="str">
        <x:v>Desalinhamento</x:v>
      </x:c>
      <x:c r="I905" s="84" t="n">
        <x:v>93</x:v>
      </x:c>
      <x:c r="J905" s="93" t="n">
        <x:v>570.51</x:v>
      </x:c>
      <x:c r="K905" s="85" t="str">
        <x:v>1º Turno</x:v>
      </x:c>
    </x:row>
    <x:row r="906">
      <x:c r="A906" s="83" t="n">
        <x:v>905</x:v>
      </x:c>
      <x:c r="B906" s="84" t="n">
        <x:v>27</x:v>
      </x:c>
      <x:c r="C906" s="84" t="n">
        <x:v>1427</x:v>
      </x:c>
      <x:c r="D906" s="89" t="n">
        <x:v>46021.653495370374</x:v>
      </x:c>
      <x:c r="E906" s="89" t="n">
        <x:v>46022.016689814816</x:v>
      </x:c>
      <x:c r="F906" s="84" t="n">
        <x:v>523</x:v>
      </x:c>
      <x:c r="G906" s="84" t="n">
        <x:v>0</x:v>
      </x:c>
      <x:c r="H906" s="84" t="str">
        <x:v>Falha elétrica</x:v>
      </x:c>
      <x:c r="I906" s="84" t="n">
        <x:v>636</x:v>
      </x:c>
      <x:c r="J906" s="93" t="n">
        <x:v>25074.11</x:v>
      </x:c>
      <x:c r="K906" s="85" t="str">
        <x:v>2º Turno</x:v>
      </x:c>
    </x:row>
    <x:row r="907">
      <x:c r="A907" s="83" t="n">
        <x:v>906</x:v>
      </x:c>
      <x:c r="B907" s="84" t="n">
        <x:v>81</x:v>
      </x:c>
      <x:c r="C907" s="84" t="n">
        <x:v>1428</x:v>
      </x:c>
      <x:c r="D907" s="89" t="n">
        <x:v>45194.97148148148</x:v>
      </x:c>
      <x:c r="E907" s="89" t="n">
        <x:v>45195.29787037037</x:v>
      </x:c>
      <x:c r="F907" s="84" t="n">
        <x:v>470</x:v>
      </x:c>
      <x:c r="G907" s="84" t="n">
        <x:v>1</x:v>
      </x:c>
      <x:c r="H907" s="84" t="str">
        <x:v>Alarme intermitente</x:v>
      </x:c>
      <x:c r="I907" s="84" t="n">
        <x:v>713</x:v>
      </x:c>
      <x:c r="J907" s="93" t="n">
        <x:v>7269.21</x:v>
      </x:c>
      <x:c r="K907" s="85" t="str">
        <x:v>2º Turno</x:v>
      </x:c>
    </x:row>
    <x:row r="908">
      <x:c r="A908" s="83" t="n">
        <x:v>907</x:v>
      </x:c>
      <x:c r="B908" s="84" t="n">
        <x:v>41</x:v>
      </x:c>
      <x:c r="C908" s="84" t="n">
        <x:v>1429</x:v>
      </x:c>
      <x:c r="D908" s="89" t="n">
        <x:v>45584.89197916666</x:v>
      </x:c>
      <x:c r="E908" s="89" t="n">
        <x:v>45584.973229166666</x:v>
      </x:c>
      <x:c r="F908" s="84" t="n">
        <x:v>117</x:v>
      </x:c>
      <x:c r="G908" s="84" t="n">
        <x:v>1</x:v>
      </x:c>
      <x:c r="H908" s="84" t="str">
        <x:v>Desalinhamento</x:v>
      </x:c>
      <x:c r="I908" s="84" t="n">
        <x:v>230</x:v>
      </x:c>
      <x:c r="J908" s="93" t="n">
        <x:v>5319.76</x:v>
      </x:c>
      <x:c r="K908" s="85" t="str">
        <x:v>2º Turno</x:v>
      </x:c>
    </x:row>
    <x:row r="909">
      <x:c r="A909" s="83" t="n">
        <x:v>908</x:v>
      </x:c>
      <x:c r="B909" s="84" t="n">
        <x:v>25</x:v>
      </x:c>
      <x:c r="C909" s="84" t="n">
        <x:v>1430</x:v>
      </x:c>
      <x:c r="D909" s="89" t="n">
        <x:v>45900.67297453704</x:v>
      </x:c>
      <x:c r="E909" s="89" t="n">
        <x:v>45900.84033564815</x:v>
      </x:c>
      <x:c r="F909" s="84" t="n">
        <x:v>241</x:v>
      </x:c>
      <x:c r="G909" s="84" t="n">
        <x:v>1</x:v>
      </x:c>
      <x:c r="H909" s="84" t="str">
        <x:v>Desalinhamento</x:v>
      </x:c>
      <x:c r="I909" s="84" t="n">
        <x:v>370</x:v>
      </x:c>
      <x:c r="J909" s="93" t="n">
        <x:v>9350.41</x:v>
      </x:c>
      <x:c r="K909" s="85" t="str">
        <x:v>1º Turno</x:v>
      </x:c>
    </x:row>
    <x:row r="910">
      <x:c r="A910" s="83" t="n">
        <x:v>909</x:v>
      </x:c>
      <x:c r="B910" s="84" t="n">
        <x:v>18</x:v>
      </x:c>
      <x:c r="C910" s="84" t="n">
        <x:v>1431</x:v>
      </x:c>
      <x:c r="D910" s="89" t="n">
        <x:v>45769.10497685185</x:v>
      </x:c>
      <x:c r="E910" s="89" t="n">
        <x:v>45769.69872685185</x:v>
      </x:c>
      <x:c r="F910" s="84" t="n">
        <x:v>855</x:v>
      </x:c>
      <x:c r="G910" s="84" t="n">
        <x:v>1</x:v>
      </x:c>
      <x:c r="H910" s="84" t="str">
        <x:v>Vazamento</x:v>
      </x:c>
      <x:c r="I910" s="84" t="n">
        <x:v>898</x:v>
      </x:c>
      <x:c r="J910" s="93" t="n">
        <x:v>28128.02</x:v>
      </x:c>
      <x:c r="K910" s="85" t="str">
        <x:v>2º Turno</x:v>
      </x:c>
    </x:row>
    <x:row r="911">
      <x:c r="A911" s="83" t="n">
        <x:v>910</x:v>
      </x:c>
      <x:c r="B911" s="84" t="n">
        <x:v>14</x:v>
      </x:c>
      <x:c r="C911" s="84" t="n">
        <x:v>1432</x:v>
      </x:c>
      <x:c r="D911" s="89" t="n">
        <x:v>45400.5387962963</x:v>
      </x:c>
      <x:c r="E911" s="89" t="n">
        <x:v>45400.56726851852</x:v>
      </x:c>
      <x:c r="F911" s="84" t="n">
        <x:v>41</x:v>
      </x:c>
      <x:c r="G911" s="84" t="n">
        <x:v>1</x:v>
      </x:c>
      <x:c r="H911" s="84" t="str">
        <x:v>Falha elétrica</x:v>
      </x:c>
      <x:c r="I911" s="84" t="n">
        <x:v>87</x:v>
      </x:c>
      <x:c r="J911" s="93" t="n">
        <x:v>780.57</x:v>
      </x:c>
      <x:c r="K911" s="85" t="str">
        <x:v>1º Turno</x:v>
      </x:c>
    </x:row>
    <x:row r="912">
      <x:c r="A912" s="83" t="n">
        <x:v>911</x:v>
      </x:c>
      <x:c r="B912" s="84" t="n">
        <x:v>2</x:v>
      </x:c>
      <x:c r="C912" s="84" t="n">
        <x:v>1433</x:v>
      </x:c>
      <x:c r="D912" s="89" t="n">
        <x:v>45215.96326388889</x:v>
      </x:c>
      <x:c r="E912" s="89" t="n">
        <x:v>45216.11326388889</x:v>
      </x:c>
      <x:c r="F912" s="84" t="n">
        <x:v>216</x:v>
      </x:c>
      <x:c r="G912" s="84" t="n">
        <x:v>0</x:v>
      </x:c>
      <x:c r="H912" s="84" t="str">
        <x:v>Baixa pressão</x:v>
      </x:c>
      <x:c r="I912" s="84" t="n">
        <x:v>270</x:v>
      </x:c>
      <x:c r="J912" s="93" t="n">
        <x:v>9052.73</x:v>
      </x:c>
      <x:c r="K912" s="85" t="str">
        <x:v>2º Turno</x:v>
      </x:c>
    </x:row>
    <x:row r="913">
      <x:c r="A913" s="83" t="n">
        <x:v>912</x:v>
      </x:c>
      <x:c r="B913" s="84" t="n">
        <x:v>81</x:v>
      </x:c>
      <x:c r="C913" s="84" t="n">
        <x:v>1434</x:v>
      </x:c>
      <x:c r="D913" s="89" t="n">
        <x:v>45061.5291087963</x:v>
      </x:c>
      <x:c r="E913" s="89" t="n">
        <x:v>45061.899247685185</x:v>
      </x:c>
      <x:c r="F913" s="84" t="n">
        <x:v>533</x:v>
      </x:c>
      <x:c r="G913" s="84" t="n">
        <x:v>1</x:v>
      </x:c>
      <x:c r="H913" s="84" t="str">
        <x:v>Superaquecimento</x:v>
      </x:c>
      <x:c r="I913" s="84" t="n">
        <x:v>1137</x:v>
      </x:c>
      <x:c r="J913" s="93" t="n">
        <x:v>8487.91</x:v>
      </x:c>
      <x:c r="K913" s="85" t="str">
        <x:v>3º Turno</x:v>
      </x:c>
    </x:row>
    <x:row r="914">
      <x:c r="A914" s="83" t="n">
        <x:v>913</x:v>
      </x:c>
      <x:c r="B914" s="84" t="n">
        <x:v>89</x:v>
      </x:c>
      <x:c r="C914" s="84" t="n">
        <x:v>1435</x:v>
      </x:c>
      <x:c r="D914" s="89" t="n">
        <x:v>45045.818391203706</x:v>
      </x:c>
      <x:c r="E914" s="89" t="n">
        <x:v>45045.842002314814</x:v>
      </x:c>
      <x:c r="F914" s="84" t="n">
        <x:v>34</x:v>
      </x:c>
      <x:c r="G914" s="84" t="n">
        <x:v>1</x:v>
      </x:c>
      <x:c r="H914" s="84" t="str">
        <x:v>Ruído anormal</x:v>
      </x:c>
      <x:c r="I914" s="84" t="n">
        <x:v>73</x:v>
      </x:c>
      <x:c r="J914" s="93" t="n">
        <x:v>869.19</x:v>
      </x:c>
      <x:c r="K914" s="85" t="str">
        <x:v>3º Turno</x:v>
      </x:c>
    </x:row>
    <x:row r="915">
      <x:c r="A915" s="83" t="n">
        <x:v>914</x:v>
      </x:c>
      <x:c r="B915" s="84" t="n">
        <x:v>80</x:v>
      </x:c>
      <x:c r="C915" s="84" t="n">
        <x:v>1438</x:v>
      </x:c>
      <x:c r="D915" s="89" t="n">
        <x:v>45547.54027777778</x:v>
      </x:c>
      <x:c r="E915" s="89" t="n">
        <x:v>45547.586805555555</x:v>
      </x:c>
      <x:c r="F915" s="84" t="n">
        <x:v>67</x:v>
      </x:c>
      <x:c r="G915" s="84" t="n">
        <x:v>0</x:v>
      </x:c>
      <x:c r="H915" s="84" t="str">
        <x:v>Desalinhamento</x:v>
      </x:c>
      <x:c r="I915" s="84" t="n">
        <x:v>77</x:v>
      </x:c>
      <x:c r="J915" s="93" t="n">
        <x:v>3526.02</x:v>
      </x:c>
      <x:c r="K915" s="85" t="str">
        <x:v>3º Turno</x:v>
      </x:c>
    </x:row>
    <x:row r="916">
      <x:c r="A916" s="83" t="n">
        <x:v>915</x:v>
      </x:c>
      <x:c r="B916" s="84" t="n">
        <x:v>42</x:v>
      </x:c>
      <x:c r="C916" s="84" t="n">
        <x:v>1439</x:v>
      </x:c>
      <x:c r="D916" s="89" t="n">
        <x:v>45961.92888888889</x:v>
      </x:c>
      <x:c r="E916" s="89" t="n">
        <x:v>45962.15944444444</x:v>
      </x:c>
      <x:c r="F916" s="84" t="n">
        <x:v>332</x:v>
      </x:c>
      <x:c r="G916" s="84" t="n">
        <x:v>1</x:v>
      </x:c>
      <x:c r="H916" s="84" t="str">
        <x:v>Vazamento</x:v>
      </x:c>
      <x:c r="I916" s="84" t="n">
        <x:v>681</x:v>
      </x:c>
      <x:c r="J916" s="93" t="n">
        <x:v>4430.86</x:v>
      </x:c>
      <x:c r="K916" s="85" t="str">
        <x:v>1º Turno</x:v>
      </x:c>
    </x:row>
    <x:row r="917">
      <x:c r="A917" s="83" t="n">
        <x:v>916</x:v>
      </x:c>
      <x:c r="B917" s="84" t="n">
        <x:v>71</x:v>
      </x:c>
      <x:c r="C917" s="84" t="n">
        <x:v>1441</x:v>
      </x:c>
      <x:c r="D917" s="89" t="n">
        <x:v>45070.82387731481</x:v>
      </x:c>
      <x:c r="E917" s="89" t="n">
        <x:v>45071.31623842593</x:v>
      </x:c>
      <x:c r="F917" s="84" t="n">
        <x:v>709</x:v>
      </x:c>
      <x:c r="G917" s="84" t="n">
        <x:v>0</x:v>
      </x:c>
      <x:c r="H917" s="84" t="str">
        <x:v>Superaquecimento</x:v>
      </x:c>
      <x:c r="I917" s="84" t="n">
        <x:v>1477</x:v>
      </x:c>
      <x:c r="J917" s="93" t="n">
        <x:v>19040</x:v>
      </x:c>
      <x:c r="K917" s="85" t="str">
        <x:v>1º Turno</x:v>
      </x:c>
    </x:row>
    <x:row r="918">
      <x:c r="A918" s="83" t="n">
        <x:v>917</x:v>
      </x:c>
      <x:c r="B918" s="84" t="n">
        <x:v>38</x:v>
      </x:c>
      <x:c r="C918" s="84" t="n">
        <x:v>1442</x:v>
      </x:c>
      <x:c r="D918" s="89" t="n">
        <x:v>45332.55908564815</x:v>
      </x:c>
      <x:c r="E918" s="89" t="n">
        <x:v>45332.802141203705</x:v>
      </x:c>
      <x:c r="F918" s="84" t="n">
        <x:v>350</x:v>
      </x:c>
      <x:c r="G918" s="84" t="n">
        <x:v>1</x:v>
      </x:c>
      <x:c r="H918" s="84" t="str">
        <x:v>Superaquecimento</x:v>
      </x:c>
      <x:c r="I918" s="84" t="n">
        <x:v>443</x:v>
      </x:c>
      <x:c r="J918" s="93" t="n">
        <x:v>10126.9</x:v>
      </x:c>
      <x:c r="K918" s="85" t="str">
        <x:v>3º Turno</x:v>
      </x:c>
    </x:row>
    <x:row r="919">
      <x:c r="A919" s="83" t="n">
        <x:v>918</x:v>
      </x:c>
      <x:c r="B919" s="84" t="n">
        <x:v>58</x:v>
      </x:c>
      <x:c r="C919" s="84" t="n">
        <x:v>1443</x:v>
      </x:c>
      <x:c r="D919" s="89" t="n">
        <x:v>45966.600949074076</x:v>
      </x:c>
      <x:c r="E919" s="89" t="n">
        <x:v>45966.6919212963</x:v>
      </x:c>
      <x:c r="F919" s="84" t="n">
        <x:v>131</x:v>
      </x:c>
      <x:c r="G919" s="84" t="n">
        <x:v>1</x:v>
      </x:c>
      <x:c r="H919" s="84" t="str">
        <x:v>Alarme intermitente</x:v>
      </x:c>
      <x:c r="I919" s="84" t="n">
        <x:v>155</x:v>
      </x:c>
      <x:c r="J919" s="93" t="n">
        <x:v>4613.44</x:v>
      </x:c>
      <x:c r="K919" s="85" t="str">
        <x:v>2º Turno</x:v>
      </x:c>
    </x:row>
    <x:row r="920">
      <x:c r="A920" s="83" t="n">
        <x:v>919</x:v>
      </x:c>
      <x:c r="B920" s="84" t="n">
        <x:v>80</x:v>
      </x:c>
      <x:c r="C920" s="84" t="n">
        <x:v>1446</x:v>
      </x:c>
      <x:c r="D920" s="89" t="n">
        <x:v>44993.528449074074</x:v>
      </x:c>
      <x:c r="E920" s="89" t="n">
        <x:v>44993.73469907408</x:v>
      </x:c>
      <x:c r="F920" s="84" t="n">
        <x:v>297</x:v>
      </x:c>
      <x:c r="G920" s="84" t="n">
        <x:v>1</x:v>
      </x:c>
      <x:c r="H920" s="84" t="str">
        <x:v>Alarme intermitente</x:v>
      </x:c>
      <x:c r="I920" s="84" t="n">
        <x:v>668</x:v>
      </x:c>
      <x:c r="J920" s="93" t="n">
        <x:v>5931.88</x:v>
      </x:c>
      <x:c r="K920" s="85" t="str">
        <x:v>2º Turno</x:v>
      </x:c>
    </x:row>
    <x:row r="921">
      <x:c r="A921" s="83" t="n">
        <x:v>920</x:v>
      </x:c>
      <x:c r="B921" s="84" t="n">
        <x:v>12</x:v>
      </x:c>
      <x:c r="C921" s="84" t="n">
        <x:v>1447</x:v>
      </x:c>
      <x:c r="D921" s="89" t="n">
        <x:v>45448.255960648145</x:v>
      </x:c>
      <x:c r="E921" s="89" t="n">
        <x:v>45448.72540509259</x:v>
      </x:c>
      <x:c r="F921" s="84" t="n">
        <x:v>676</x:v>
      </x:c>
      <x:c r="G921" s="84" t="n">
        <x:v>1</x:v>
      </x:c>
      <x:c r="H921" s="84" t="str">
        <x:v>Superaquecimento</x:v>
      </x:c>
      <x:c r="I921" s="84" t="n">
        <x:v>1555</x:v>
      </x:c>
      <x:c r="J921" s="93" t="n">
        <x:v>22847.99</x:v>
      </x:c>
      <x:c r="K921" s="85" t="str">
        <x:v>1º Turno</x:v>
      </x:c>
    </x:row>
    <x:row r="922">
      <x:c r="A922" s="83" t="n">
        <x:v>921</x:v>
      </x:c>
      <x:c r="B922" s="84" t="n">
        <x:v>51</x:v>
      </x:c>
      <x:c r="C922" s="84" t="n">
        <x:v>1448</x:v>
      </x:c>
      <x:c r="D922" s="89" t="n">
        <x:v>45141.161157407405</x:v>
      </x:c>
      <x:c r="E922" s="89" t="n">
        <x:v>45141.459074074075</x:v>
      </x:c>
      <x:c r="F922" s="84" t="n">
        <x:v>429</x:v>
      </x:c>
      <x:c r="G922" s="84" t="n">
        <x:v>0</x:v>
      </x:c>
      <x:c r="H922" s="84" t="str">
        <x:v>Desalinhamento</x:v>
      </x:c>
      <x:c r="I922" s="84" t="n">
        <x:v>951</x:v>
      </x:c>
      <x:c r="J922" s="93" t="n">
        <x:v>7074.64</x:v>
      </x:c>
      <x:c r="K922" s="85" t="str">
        <x:v>2º Turno</x:v>
      </x:c>
    </x:row>
    <x:row r="923">
      <x:c r="A923" s="83" t="n">
        <x:v>922</x:v>
      </x:c>
      <x:c r="B923" s="84" t="n">
        <x:v>39</x:v>
      </x:c>
      <x:c r="C923" s="84" t="n">
        <x:v>1449</x:v>
      </x:c>
      <x:c r="D923" s="89" t="n">
        <x:v>45259.39949074074</x:v>
      </x:c>
      <x:c r="E923" s="89" t="n">
        <x:v>45259.77449074074</x:v>
      </x:c>
      <x:c r="F923" s="84" t="n">
        <x:v>540</x:v>
      </x:c>
      <x:c r="G923" s="84" t="n">
        <x:v>0</x:v>
      </x:c>
      <x:c r="H923" s="84" t="str">
        <x:v>Ruído anormal</x:v>
      </x:c>
      <x:c r="I923" s="84" t="n">
        <x:v>945</x:v>
      </x:c>
      <x:c r="J923" s="93" t="n">
        <x:v>9960.11</x:v>
      </x:c>
      <x:c r="K923" s="85" t="str">
        <x:v>3º Turno</x:v>
      </x:c>
    </x:row>
    <x:row r="924">
      <x:c r="A924" s="83" t="n">
        <x:v>923</x:v>
      </x:c>
      <x:c r="B924" s="84" t="n">
        <x:v>66</x:v>
      </x:c>
      <x:c r="C924" s="84" t="n">
        <x:v>1452</x:v>
      </x:c>
      <x:c r="D924" s="89" t="n">
        <x:v>45120.717152777775</x:v>
      </x:c>
      <x:c r="E924" s="89" t="n">
        <x:v>45120.878958333335</x:v>
      </x:c>
      <x:c r="F924" s="84" t="n">
        <x:v>233</x:v>
      </x:c>
      <x:c r="G924" s="84" t="n">
        <x:v>1</x:v>
      </x:c>
      <x:c r="H924" s="84" t="str">
        <x:v>Desalinhamento</x:v>
      </x:c>
      <x:c r="I924" s="84" t="n">
        <x:v>276</x:v>
      </x:c>
      <x:c r="J924" s="93" t="n">
        <x:v>6649.27</x:v>
      </x:c>
      <x:c r="K924" s="85" t="str">
        <x:v>1º Turno</x:v>
      </x:c>
    </x:row>
    <x:row r="925">
      <x:c r="A925" s="83" t="n">
        <x:v>924</x:v>
      </x:c>
      <x:c r="B925" s="84" t="n">
        <x:v>25</x:v>
      </x:c>
      <x:c r="C925" s="84" t="n">
        <x:v>1455</x:v>
      </x:c>
      <x:c r="D925" s="89" t="n">
        <x:v>45306.27883101852</x:v>
      </x:c>
      <x:c r="E925" s="89" t="n">
        <x:v>45306.646886574075</x:v>
      </x:c>
      <x:c r="F925" s="84" t="n">
        <x:v>530</x:v>
      </x:c>
      <x:c r="G925" s="84" t="n">
        <x:v>1</x:v>
      </x:c>
      <x:c r="H925" s="84" t="str">
        <x:v>Ruído anormal</x:v>
      </x:c>
      <x:c r="I925" s="84" t="n">
        <x:v>795</x:v>
      </x:c>
      <x:c r="J925" s="93" t="n">
        <x:v>19084.34</x:v>
      </x:c>
      <x:c r="K925" s="85" t="str">
        <x:v>1º Turno</x:v>
      </x:c>
    </x:row>
    <x:row r="926">
      <x:c r="A926" s="83" t="n">
        <x:v>925</x:v>
      </x:c>
      <x:c r="B926" s="84" t="n">
        <x:v>46</x:v>
      </x:c>
      <x:c r="C926" s="84" t="n">
        <x:v>1458</x:v>
      </x:c>
      <x:c r="D926" s="89" t="n">
        <x:v>45321.38386574074</x:v>
      </x:c>
      <x:c r="E926" s="89" t="n">
        <x:v>45321.82761574074</x:v>
      </x:c>
      <x:c r="F926" s="84" t="n">
        <x:v>639</x:v>
      </x:c>
      <x:c r="G926" s="84" t="n">
        <x:v>1</x:v>
      </x:c>
      <x:c r="H926" s="84" t="str">
        <x:v>Vazamento</x:v>
      </x:c>
      <x:c r="I926" s="84" t="n">
        <x:v>660</x:v>
      </x:c>
      <x:c r="J926" s="93" t="n">
        <x:v>18995.53</x:v>
      </x:c>
      <x:c r="K926" s="85" t="str">
        <x:v>2º Turno</x:v>
      </x:c>
    </x:row>
    <x:row r="927">
      <x:c r="A927" s="83" t="n">
        <x:v>926</x:v>
      </x:c>
      <x:c r="B927" s="84" t="n">
        <x:v>7</x:v>
      </x:c>
      <x:c r="C927" s="84" t="n">
        <x:v>1459</x:v>
      </x:c>
      <x:c r="D927" s="89" t="n">
        <x:v>45294.40472222222</x:v>
      </x:c>
      <x:c r="E927" s="89" t="n">
        <x:v>45294.62486111111</x:v>
      </x:c>
      <x:c r="F927" s="84" t="n">
        <x:v>317</x:v>
      </x:c>
      <x:c r="G927" s="84" t="n">
        <x:v>1</x:v>
      </x:c>
      <x:c r="H927" s="84" t="str">
        <x:v>Vazamento</x:v>
      </x:c>
      <x:c r="I927" s="84" t="n">
        <x:v>740</x:v>
      </x:c>
      <x:c r="J927" s="93" t="n">
        <x:v>12939.61</x:v>
      </x:c>
      <x:c r="K927" s="85" t="str">
        <x:v>2º Turno</x:v>
      </x:c>
    </x:row>
    <x:row r="928">
      <x:c r="A928" s="83" t="n">
        <x:v>927</x:v>
      </x:c>
      <x:c r="B928" s="84" t="n">
        <x:v>87</x:v>
      </x:c>
      <x:c r="C928" s="84" t="n">
        <x:v>1461</x:v>
      </x:c>
      <x:c r="D928" s="89" t="n">
        <x:v>45595.4002662037</x:v>
      </x:c>
      <x:c r="E928" s="89" t="n">
        <x:v>45595.43846064815</x:v>
      </x:c>
      <x:c r="F928" s="84" t="n">
        <x:v>55</x:v>
      </x:c>
      <x:c r="G928" s="84" t="n">
        <x:v>0</x:v>
      </x:c>
      <x:c r="H928" s="84" t="str">
        <x:v>Baixa pressão</x:v>
      </x:c>
      <x:c r="I928" s="84" t="n">
        <x:v>76</x:v>
      </x:c>
      <x:c r="J928" s="93" t="n">
        <x:v>938.71</x:v>
      </x:c>
      <x:c r="K928" s="85" t="str">
        <x:v>1º Turno</x:v>
      </x:c>
    </x:row>
    <x:row r="929">
      <x:c r="A929" s="83" t="n">
        <x:v>928</x:v>
      </x:c>
      <x:c r="B929" s="84" t="n">
        <x:v>31</x:v>
      </x:c>
      <x:c r="C929" s="84" t="n">
        <x:v>1462</x:v>
      </x:c>
      <x:c r="D929" s="89" t="n">
        <x:v>45282.694340277776</x:v>
      </x:c>
      <x:c r="E929" s="89" t="n">
        <x:v>45283.163090277776</x:v>
      </x:c>
      <x:c r="F929" s="84" t="n">
        <x:v>675</x:v>
      </x:c>
      <x:c r="G929" s="84" t="n">
        <x:v>1</x:v>
      </x:c>
      <x:c r="H929" s="84" t="str">
        <x:v>Desalinhamento</x:v>
      </x:c>
      <x:c r="I929" s="84" t="n">
        <x:v>1238</x:v>
      </x:c>
      <x:c r="J929" s="93" t="n">
        <x:v>19952.31</x:v>
      </x:c>
      <x:c r="K929" s="85" t="str">
        <x:v>2º Turno</x:v>
      </x:c>
    </x:row>
    <x:row r="930">
      <x:c r="A930" s="83" t="n">
        <x:v>929</x:v>
      </x:c>
      <x:c r="B930" s="84" t="n">
        <x:v>17</x:v>
      </x:c>
      <x:c r="C930" s="84" t="n">
        <x:v>1463</x:v>
      </x:c>
      <x:c r="D930" s="89" t="n">
        <x:v>45698.34783564815</x:v>
      </x:c>
      <x:c r="E930" s="89" t="n">
        <x:v>45698.704780092594</x:v>
      </x:c>
      <x:c r="F930" s="84" t="n">
        <x:v>514</x:v>
      </x:c>
      <x:c r="G930" s="84" t="n">
        <x:v>1</x:v>
      </x:c>
      <x:c r="H930" s="84" t="str">
        <x:v>Superaquecimento</x:v>
      </x:c>
      <x:c r="I930" s="84" t="n">
        <x:v>1011</x:v>
      </x:c>
      <x:c r="J930" s="93" t="n">
        <x:v>26217.02</x:v>
      </x:c>
      <x:c r="K930" s="85" t="str">
        <x:v>3º Turno</x:v>
      </x:c>
    </x:row>
    <x:row r="931">
      <x:c r="A931" s="83" t="n">
        <x:v>930</x:v>
      </x:c>
      <x:c r="B931" s="84" t="n">
        <x:v>65</x:v>
      </x:c>
      <x:c r="C931" s="84" t="n">
        <x:v>1464</x:v>
      </x:c>
      <x:c r="D931" s="89" t="n">
        <x:v>45515.113854166666</x:v>
      </x:c>
      <x:c r="E931" s="89" t="n">
        <x:v>45515.39927083333</x:v>
      </x:c>
      <x:c r="F931" s="84" t="n">
        <x:v>411</x:v>
      </x:c>
      <x:c r="G931" s="84" t="n">
        <x:v>1</x:v>
      </x:c>
      <x:c r="H931" s="84" t="str">
        <x:v>Vazamento</x:v>
      </x:c>
      <x:c r="I931" s="84" t="n">
        <x:v>527</x:v>
      </x:c>
      <x:c r="J931" s="93" t="n">
        <x:v>16454.46</x:v>
      </x:c>
      <x:c r="K931" s="85" t="str">
        <x:v>1º Turno</x:v>
      </x:c>
    </x:row>
    <x:row r="932">
      <x:c r="A932" s="83" t="n">
        <x:v>931</x:v>
      </x:c>
      <x:c r="B932" s="84" t="n">
        <x:v>67</x:v>
      </x:c>
      <x:c r="C932" s="84" t="n">
        <x:v>1465</x:v>
      </x:c>
      <x:c r="D932" s="89" t="n">
        <x:v>45828.59652777778</x:v>
      </x:c>
      <x:c r="E932" s="89" t="n">
        <x:v>45828.788194444445</x:v>
      </x:c>
      <x:c r="F932" s="84" t="n">
        <x:v>276</x:v>
      </x:c>
      <x:c r="G932" s="84" t="n">
        <x:v>0</x:v>
      </x:c>
      <x:c r="H932" s="84" t="str">
        <x:v>Superaquecimento</x:v>
      </x:c>
      <x:c r="I932" s="84" t="n">
        <x:v>557</x:v>
      </x:c>
      <x:c r="J932" s="93" t="n">
        <x:v>8696</x:v>
      </x:c>
      <x:c r="K932" s="85" t="str">
        <x:v>1º Turno</x:v>
      </x:c>
    </x:row>
    <x:row r="933">
      <x:c r="A933" s="83" t="n">
        <x:v>932</x:v>
      </x:c>
      <x:c r="B933" s="84" t="n">
        <x:v>15</x:v>
      </x:c>
      <x:c r="C933" s="84" t="n">
        <x:v>1467</x:v>
      </x:c>
      <x:c r="D933" s="89" t="n">
        <x:v>44982.871828703705</x:v>
      </x:c>
      <x:c r="E933" s="89" t="n">
        <x:v>44983.28155092592</x:v>
      </x:c>
      <x:c r="F933" s="84" t="n">
        <x:v>590</x:v>
      </x:c>
      <x:c r="G933" s="84" t="n">
        <x:v>1</x:v>
      </x:c>
      <x:c r="H933" s="84" t="str">
        <x:v>Baixa pressão</x:v>
      </x:c>
      <x:c r="I933" s="84" t="n">
        <x:v>600</x:v>
      </x:c>
      <x:c r="J933" s="93" t="n">
        <x:v>32601.88</x:v>
      </x:c>
      <x:c r="K933" s="85" t="str">
        <x:v>3º Turno</x:v>
      </x:c>
    </x:row>
    <x:row r="934">
      <x:c r="A934" s="83" t="n">
        <x:v>933</x:v>
      </x:c>
      <x:c r="B934" s="84" t="n">
        <x:v>64</x:v>
      </x:c>
      <x:c r="C934" s="84" t="n">
        <x:v>1469</x:v>
      </x:c>
      <x:c r="D934" s="89" t="n">
        <x:v>45100.817337962966</x:v>
      </x:c>
      <x:c r="E934" s="89" t="n">
        <x:v>45100.89928240741</x:v>
      </x:c>
      <x:c r="F934" s="84" t="n">
        <x:v>118</x:v>
      </x:c>
      <x:c r="G934" s="84" t="n">
        <x:v>1</x:v>
      </x:c>
      <x:c r="H934" s="84" t="str">
        <x:v>Superaquecimento</x:v>
      </x:c>
      <x:c r="I934" s="84" t="n">
        <x:v>144</x:v>
      </x:c>
      <x:c r="J934" s="93" t="n">
        <x:v>5695.96</x:v>
      </x:c>
      <x:c r="K934" s="85" t="str">
        <x:v>1º Turno</x:v>
      </x:c>
    </x:row>
    <x:row r="935">
      <x:c r="A935" s="83" t="n">
        <x:v>934</x:v>
      </x:c>
      <x:c r="B935" s="84" t="n">
        <x:v>8</x:v>
      </x:c>
      <x:c r="C935" s="84" t="n">
        <x:v>1470</x:v>
      </x:c>
      <x:c r="D935" s="89" t="n">
        <x:v>45041.04927083333</x:v>
      </x:c>
      <x:c r="E935" s="89" t="n">
        <x:v>45041.49927083333</x:v>
      </x:c>
      <x:c r="F935" s="84" t="n">
        <x:v>648</x:v>
      </x:c>
      <x:c r="G935" s="84" t="n">
        <x:v>1</x:v>
      </x:c>
      <x:c r="H935" s="84" t="str">
        <x:v>Ruído anormal</x:v>
      </x:c>
      <x:c r="I935" s="84" t="n">
        <x:v>1091</x:v>
      </x:c>
      <x:c r="J935" s="93" t="n">
        <x:v>26242.9</x:v>
      </x:c>
      <x:c r="K935" s="85" t="str">
        <x:v>3º Turno</x:v>
      </x:c>
    </x:row>
    <x:row r="936">
      <x:c r="A936" s="83" t="n">
        <x:v>935</x:v>
      </x:c>
      <x:c r="B936" s="84" t="n">
        <x:v>77</x:v>
      </x:c>
      <x:c r="C936" s="84" t="n">
        <x:v>1472</x:v>
      </x:c>
      <x:c r="D936" s="89" t="n">
        <x:v>45779.29545138889</x:v>
      </x:c>
      <x:c r="E936" s="89" t="n">
        <x:v>45779.49267361111</x:v>
      </x:c>
      <x:c r="F936" s="84" t="n">
        <x:v>284</x:v>
      </x:c>
      <x:c r="G936" s="84" t="n">
        <x:v>1</x:v>
      </x:c>
      <x:c r="H936" s="84" t="str">
        <x:v>Alarme intermitente</x:v>
      </x:c>
      <x:c r="I936" s="84" t="n">
        <x:v>596</x:v>
      </x:c>
      <x:c r="J936" s="93" t="n">
        <x:v>7381.93</x:v>
      </x:c>
      <x:c r="K936" s="85" t="str">
        <x:v>3º Turno</x:v>
      </x:c>
    </x:row>
    <x:row r="937">
      <x:c r="A937" s="83" t="n">
        <x:v>936</x:v>
      </x:c>
      <x:c r="B937" s="84" t="n">
        <x:v>28</x:v>
      </x:c>
      <x:c r="C937" s="84" t="n">
        <x:v>1473</x:v>
      </x:c>
      <x:c r="D937" s="89" t="n">
        <x:v>45329.43366898148</x:v>
      </x:c>
      <x:c r="E937" s="89" t="n">
        <x:v>45329.7996412037</x:v>
      </x:c>
      <x:c r="F937" s="84" t="n">
        <x:v>527</x:v>
      </x:c>
      <x:c r="G937" s="84" t="n">
        <x:v>1</x:v>
      </x:c>
      <x:c r="H937" s="84" t="str">
        <x:v>Alarme intermitente</x:v>
      </x:c>
      <x:c r="I937" s="84" t="n">
        <x:v>957</x:v>
      </x:c>
      <x:c r="J937" s="93" t="n">
        <x:v>22744.52</x:v>
      </x:c>
      <x:c r="K937" s="85" t="str">
        <x:v>1º Turno</x:v>
      </x:c>
    </x:row>
    <x:row r="938">
      <x:c r="A938" s="83" t="n">
        <x:v>937</x:v>
      </x:c>
      <x:c r="B938" s="84" t="n">
        <x:v>5</x:v>
      </x:c>
      <x:c r="C938" s="84" t="n">
        <x:v>1474</x:v>
      </x:c>
      <x:c r="D938" s="89" t="n">
        <x:v>45604.79211805556</x:v>
      </x:c>
      <x:c r="E938" s="89" t="n">
        <x:v>45605.07822916667</x:v>
      </x:c>
      <x:c r="F938" s="84" t="n">
        <x:v>412</x:v>
      </x:c>
      <x:c r="G938" s="84" t="n">
        <x:v>1</x:v>
      </x:c>
      <x:c r="H938" s="84" t="str">
        <x:v>Alarme intermitente</x:v>
      </x:c>
      <x:c r="I938" s="84" t="n">
        <x:v>632</x:v>
      </x:c>
      <x:c r="J938" s="93" t="n">
        <x:v>16308.62</x:v>
      </x:c>
      <x:c r="K938" s="85" t="str">
        <x:v>1º Turno</x:v>
      </x:c>
    </x:row>
    <x:row r="939">
      <x:c r="A939" s="83" t="n">
        <x:v>938</x:v>
      </x:c>
      <x:c r="B939" s="84" t="n">
        <x:v>38</x:v>
      </x:c>
      <x:c r="C939" s="84" t="n">
        <x:v>1475</x:v>
      </x:c>
      <x:c r="D939" s="89" t="n">
        <x:v>45293.58128472222</x:v>
      </x:c>
      <x:c r="E939" s="89" t="n">
        <x:v>45293.99864583334</x:v>
      </x:c>
      <x:c r="F939" s="84" t="n">
        <x:v>601</x:v>
      </x:c>
      <x:c r="G939" s="84" t="n">
        <x:v>0</x:v>
      </x:c>
      <x:c r="H939" s="84" t="str">
        <x:v>Falha elétrica</x:v>
      </x:c>
      <x:c r="I939" s="84" t="n">
        <x:v>1402</x:v>
      </x:c>
      <x:c r="J939" s="93" t="n">
        <x:v>14149.41</x:v>
      </x:c>
      <x:c r="K939" s="85" t="str">
        <x:v>2º Turno</x:v>
      </x:c>
    </x:row>
    <x:row r="940">
      <x:c r="A940" s="83" t="n">
        <x:v>939</x:v>
      </x:c>
      <x:c r="B940" s="84" t="n">
        <x:v>85</x:v>
      </x:c>
      <x:c r="C940" s="84" t="n">
        <x:v>1476</x:v>
      </x:c>
      <x:c r="D940" s="89" t="n">
        <x:v>45471.44657407407</x:v>
      </x:c>
      <x:c r="E940" s="89" t="n">
        <x:v>45471.981990740744</x:v>
      </x:c>
      <x:c r="F940" s="84" t="n">
        <x:v>771</x:v>
      </x:c>
      <x:c r="G940" s="84" t="n">
        <x:v>1</x:v>
      </x:c>
      <x:c r="H940" s="84" t="str">
        <x:v>Vazamento</x:v>
      </x:c>
      <x:c r="I940" s="84" t="n">
        <x:v>1491</x:v>
      </x:c>
      <x:c r="J940" s="93" t="n">
        <x:v>30545.01</x:v>
      </x:c>
      <x:c r="K940" s="85" t="str">
        <x:v>3º Turno</x:v>
      </x:c>
    </x:row>
    <x:row r="941">
      <x:c r="A941" s="83" t="n">
        <x:v>940</x:v>
      </x:c>
      <x:c r="B941" s="84" t="n">
        <x:v>14</x:v>
      </x:c>
      <x:c r="C941" s="84" t="n">
        <x:v>1477</x:v>
      </x:c>
      <x:c r="D941" s="89" t="n">
        <x:v>45711.82083333333</x:v>
      </x:c>
      <x:c r="E941" s="89" t="n">
        <x:v>45712.350694444445</x:v>
      </x:c>
      <x:c r="F941" s="84" t="n">
        <x:v>763</x:v>
      </x:c>
      <x:c r="G941" s="84" t="n">
        <x:v>1</x:v>
      </x:c>
      <x:c r="H941" s="84" t="str">
        <x:v>Ruído anormal</x:v>
      </x:c>
      <x:c r="I941" s="84" t="n">
        <x:v>1755</x:v>
      </x:c>
      <x:c r="J941" s="93" t="n">
        <x:v>14399.01</x:v>
      </x:c>
      <x:c r="K941" s="85" t="str">
        <x:v>1º Turno</x:v>
      </x:c>
    </x:row>
    <x:row r="942">
      <x:c r="A942" s="83" t="n">
        <x:v>941</x:v>
      </x:c>
      <x:c r="B942" s="84" t="n">
        <x:v>41</x:v>
      </x:c>
      <x:c r="C942" s="84" t="n">
        <x:v>1479</x:v>
      </x:c>
      <x:c r="D942" s="89" t="n">
        <x:v>45182.20238425926</x:v>
      </x:c>
      <x:c r="E942" s="89" t="n">
        <x:v>45182.573217592595</x:v>
      </x:c>
      <x:c r="F942" s="84" t="n">
        <x:v>534</x:v>
      </x:c>
      <x:c r="G942" s="84" t="n">
        <x:v>1</x:v>
      </x:c>
      <x:c r="H942" s="84" t="str">
        <x:v>Alarme intermitente</x:v>
      </x:c>
      <x:c r="I942" s="84" t="n">
        <x:v>1121</x:v>
      </x:c>
      <x:c r="J942" s="93" t="n">
        <x:v>18927.3</x:v>
      </x:c>
      <x:c r="K942" s="85" t="str">
        <x:v>3º Turno</x:v>
      </x:c>
    </x:row>
    <x:row r="943">
      <x:c r="A943" s="83" t="n">
        <x:v>942</x:v>
      </x:c>
      <x:c r="B943" s="84" t="n">
        <x:v>50</x:v>
      </x:c>
      <x:c r="C943" s="84" t="n">
        <x:v>1480</x:v>
      </x:c>
      <x:c r="D943" s="89" t="n">
        <x:v>45023.049733796295</x:v>
      </x:c>
      <x:c r="E943" s="89" t="n">
        <x:v>45023.34070601852</x:v>
      </x:c>
      <x:c r="F943" s="84" t="n">
        <x:v>419</x:v>
      </x:c>
      <x:c r="G943" s="84" t="n">
        <x:v>0</x:v>
      </x:c>
      <x:c r="H943" s="84" t="str">
        <x:v>Falha elétrica</x:v>
      </x:c>
      <x:c r="I943" s="84" t="n">
        <x:v>845</x:v>
      </x:c>
      <x:c r="J943" s="93" t="n">
        <x:v>9260.91</x:v>
      </x:c>
      <x:c r="K943" s="85" t="str">
        <x:v>2º Turno</x:v>
      </x:c>
    </x:row>
    <x:row r="944">
      <x:c r="A944" s="83" t="n">
        <x:v>943</x:v>
      </x:c>
      <x:c r="B944" s="84" t="n">
        <x:v>59</x:v>
      </x:c>
      <x:c r="C944" s="84" t="n">
        <x:v>1482</x:v>
      </x:c>
      <x:c r="D944" s="89" t="n">
        <x:v>45074.99172453704</x:v>
      </x:c>
      <x:c r="E944" s="89" t="n">
        <x:v>45075.375752314816</x:v>
      </x:c>
      <x:c r="F944" s="84" t="n">
        <x:v>553</x:v>
      </x:c>
      <x:c r="G944" s="84" t="n">
        <x:v>0</x:v>
      </x:c>
      <x:c r="H944" s="84" t="str">
        <x:v>Vazamento</x:v>
      </x:c>
      <x:c r="I944" s="84" t="n">
        <x:v>931</x:v>
      </x:c>
      <x:c r="J944" s="93" t="n">
        <x:v>7741.58</x:v>
      </x:c>
      <x:c r="K944" s="85" t="str">
        <x:v>2º Turno</x:v>
      </x:c>
    </x:row>
    <x:row r="945">
      <x:c r="A945" s="83" t="n">
        <x:v>944</x:v>
      </x:c>
      <x:c r="B945" s="84" t="n">
        <x:v>67</x:v>
      </x:c>
      <x:c r="C945" s="84" t="n">
        <x:v>1483</x:v>
      </x:c>
      <x:c r="D945" s="89" t="n">
        <x:v>44954.11877314815</x:v>
      </x:c>
      <x:c r="E945" s="89" t="n">
        <x:v>44954.361134259256</x:v>
      </x:c>
      <x:c r="F945" s="84" t="n">
        <x:v>349</x:v>
      </x:c>
      <x:c r="G945" s="84" t="n">
        <x:v>1</x:v>
      </x:c>
      <x:c r="H945" s="84" t="str">
        <x:v>Desalinhamento</x:v>
      </x:c>
      <x:c r="I945" s="84" t="n">
        <x:v>413</x:v>
      </x:c>
      <x:c r="J945" s="93" t="n">
        <x:v>8457.18</x:v>
      </x:c>
      <x:c r="K945" s="85" t="str">
        <x:v>2º Turno</x:v>
      </x:c>
    </x:row>
    <x:row r="946">
      <x:c r="A946" s="83" t="n">
        <x:v>945</x:v>
      </x:c>
      <x:c r="B946" s="84" t="n">
        <x:v>66</x:v>
      </x:c>
      <x:c r="C946" s="84" t="n">
        <x:v>1484</x:v>
      </x:c>
      <x:c r="D946" s="89" t="n">
        <x:v>45050.01414351852</x:v>
      </x:c>
      <x:c r="E946" s="89" t="n">
        <x:v>45050.50303240741</x:v>
      </x:c>
      <x:c r="F946" s="84" t="n">
        <x:v>704</x:v>
      </x:c>
      <x:c r="G946" s="84" t="n">
        <x:v>1</x:v>
      </x:c>
      <x:c r="H946" s="84" t="str">
        <x:v>Baixa pressão</x:v>
      </x:c>
      <x:c r="I946" s="84" t="n">
        <x:v>1138</x:v>
      </x:c>
      <x:c r="J946" s="93" t="n">
        <x:v>36470.99</x:v>
      </x:c>
      <x:c r="K946" s="85" t="str">
        <x:v>1º Turno</x:v>
      </x:c>
    </x:row>
    <x:row r="947">
      <x:c r="A947" s="83" t="n">
        <x:v>946</x:v>
      </x:c>
      <x:c r="B947" s="84" t="n">
        <x:v>22</x:v>
      </x:c>
      <x:c r="C947" s="84" t="n">
        <x:v>1485</x:v>
      </x:c>
      <x:c r="D947" s="89" t="n">
        <x:v>45570.15400462963</x:v>
      </x:c>
      <x:c r="E947" s="89" t="n">
        <x:v>45570.71303240741</x:v>
      </x:c>
      <x:c r="F947" s="84" t="n">
        <x:v>805</x:v>
      </x:c>
      <x:c r="G947" s="84" t="n">
        <x:v>0</x:v>
      </x:c>
      <x:c r="H947" s="84" t="str">
        <x:v>Baixa pressão</x:v>
      </x:c>
      <x:c r="I947" s="84" t="n">
        <x:v>1221</x:v>
      </x:c>
      <x:c r="J947" s="93" t="n">
        <x:v>22250.24</x:v>
      </x:c>
      <x:c r="K947" s="85" t="str">
        <x:v>2º Turno</x:v>
      </x:c>
    </x:row>
    <x:row r="948">
      <x:c r="A948" s="83" t="n">
        <x:v>947</x:v>
      </x:c>
      <x:c r="B948" s="84" t="n">
        <x:v>56</x:v>
      </x:c>
      <x:c r="C948" s="84" t="n">
        <x:v>1487</x:v>
      </x:c>
      <x:c r="D948" s="89" t="n">
        <x:v>45575.69599537037</x:v>
      </x:c>
      <x:c r="E948" s="89" t="n">
        <x:v>45575.7668287037</x:v>
      </x:c>
      <x:c r="F948" s="84" t="n">
        <x:v>102</x:v>
      </x:c>
      <x:c r="G948" s="84" t="n">
        <x:v>1</x:v>
      </x:c>
      <x:c r="H948" s="84" t="str">
        <x:v>Desalinhamento</x:v>
      </x:c>
      <x:c r="I948" s="84" t="n">
        <x:v>226</x:v>
      </x:c>
      <x:c r="J948" s="93" t="n">
        <x:v>1592.67</x:v>
      </x:c>
      <x:c r="K948" s="85" t="str">
        <x:v>1º Turno</x:v>
      </x:c>
    </x:row>
    <x:row r="949">
      <x:c r="A949" s="83" t="n">
        <x:v>948</x:v>
      </x:c>
      <x:c r="B949" s="84" t="n">
        <x:v>86</x:v>
      </x:c>
      <x:c r="C949" s="84" t="n">
        <x:v>1488</x:v>
      </x:c>
      <x:c r="D949" s="89" t="n">
        <x:v>44958.80773148148</x:v>
      </x:c>
      <x:c r="E949" s="89" t="n">
        <x:v>44959.36537037037</x:v>
      </x:c>
      <x:c r="F949" s="84" t="n">
        <x:v>803</x:v>
      </x:c>
      <x:c r="G949" s="84" t="n">
        <x:v>1</x:v>
      </x:c>
      <x:c r="H949" s="84" t="str">
        <x:v>Baixa pressão</x:v>
      </x:c>
      <x:c r="I949" s="84" t="n">
        <x:v>1459</x:v>
      </x:c>
      <x:c r="J949" s="93" t="n">
        <x:v>31159.56</x:v>
      </x:c>
      <x:c r="K949" s="85" t="str">
        <x:v>3º Turno</x:v>
      </x:c>
    </x:row>
    <x:row r="950">
      <x:c r="A950" s="83" t="n">
        <x:v>949</x:v>
      </x:c>
      <x:c r="B950" s="84" t="n">
        <x:v>82</x:v>
      </x:c>
      <x:c r="C950" s="84" t="n">
        <x:v>1489</x:v>
      </x:c>
      <x:c r="D950" s="89" t="n">
        <x:v>45279.0893287037</x:v>
      </x:c>
      <x:c r="E950" s="89" t="n">
        <x:v>45279.54696759259</x:v>
      </x:c>
      <x:c r="F950" s="84" t="n">
        <x:v>659</x:v>
      </x:c>
      <x:c r="G950" s="84" t="n">
        <x:v>1</x:v>
      </x:c>
      <x:c r="H950" s="84" t="str">
        <x:v>Falha elétrica</x:v>
      </x:c>
      <x:c r="I950" s="84" t="n">
        <x:v>1021</x:v>
      </x:c>
      <x:c r="J950" s="93" t="n">
        <x:v>10162.9</x:v>
      </x:c>
      <x:c r="K950" s="85" t="str">
        <x:v>1º Turno</x:v>
      </x:c>
    </x:row>
    <x:row r="951">
      <x:c r="A951" s="83" t="n">
        <x:v>950</x:v>
      </x:c>
      <x:c r="B951" s="84" t="n">
        <x:v>17</x:v>
      </x:c>
      <x:c r="C951" s="84" t="n">
        <x:v>1490</x:v>
      </x:c>
      <x:c r="D951" s="89" t="n">
        <x:v>45845.73201388889</x:v>
      </x:c>
      <x:c r="E951" s="89" t="n">
        <x:v>45846.06951388889</x:v>
      </x:c>
      <x:c r="F951" s="84" t="n">
        <x:v>486</x:v>
      </x:c>
      <x:c r="G951" s="84" t="n">
        <x:v>1</x:v>
      </x:c>
      <x:c r="H951" s="84" t="str">
        <x:v>Baixa pressão</x:v>
      </x:c>
      <x:c r="I951" s="84" t="n">
        <x:v>948</x:v>
      </x:c>
      <x:c r="J951" s="93" t="n">
        <x:v>20533.17</x:v>
      </x:c>
      <x:c r="K951" s="85" t="str">
        <x:v>3º Turno</x:v>
      </x:c>
    </x:row>
    <x:row r="952">
      <x:c r="A952" s="83" t="n">
        <x:v>951</x:v>
      </x:c>
      <x:c r="B952" s="84" t="n">
        <x:v>58</x:v>
      </x:c>
      <x:c r="C952" s="84" t="n">
        <x:v>1491</x:v>
      </x:c>
      <x:c r="D952" s="89" t="n">
        <x:v>45657.67092592592</x:v>
      </x:c>
      <x:c r="E952" s="89" t="n">
        <x:v>45657.817453703705</x:v>
      </x:c>
      <x:c r="F952" s="84" t="n">
        <x:v>211</x:v>
      </x:c>
      <x:c r="G952" s="84" t="n">
        <x:v>1</x:v>
      </x:c>
      <x:c r="H952" s="84" t="str">
        <x:v>Vazamento</x:v>
      </x:c>
      <x:c r="I952" s="84" t="n">
        <x:v>506</x:v>
      </x:c>
      <x:c r="J952" s="93" t="n">
        <x:v>5796.98</x:v>
      </x:c>
      <x:c r="K952" s="85" t="str">
        <x:v>3º Turno</x:v>
      </x:c>
    </x:row>
    <x:row r="953">
      <x:c r="A953" s="83" t="n">
        <x:v>952</x:v>
      </x:c>
      <x:c r="B953" s="84" t="n">
        <x:v>85</x:v>
      </x:c>
      <x:c r="C953" s="84" t="n">
        <x:v>1492</x:v>
      </x:c>
      <x:c r="D953" s="89" t="n">
        <x:v>45849.81459490741</x:v>
      </x:c>
      <x:c r="E953" s="89" t="n">
        <x:v>45850.438206018516</x:v>
      </x:c>
      <x:c r="F953" s="84" t="n">
        <x:v>898</x:v>
      </x:c>
      <x:c r="G953" s="84" t="n">
        <x:v>1</x:v>
      </x:c>
      <x:c r="H953" s="84" t="str">
        <x:v>Vazamento</x:v>
      </x:c>
      <x:c r="I953" s="84" t="n">
        <x:v>1033</x:v>
      </x:c>
      <x:c r="J953" s="93" t="n">
        <x:v>29994.87</x:v>
      </x:c>
      <x:c r="K953" s="85" t="str">
        <x:v>2º Turno</x:v>
      </x:c>
    </x:row>
    <x:row r="954">
      <x:c r="A954" s="83" t="n">
        <x:v>953</x:v>
      </x:c>
      <x:c r="B954" s="84" t="n">
        <x:v>90</x:v>
      </x:c>
      <x:c r="C954" s="84" t="n">
        <x:v>1493</x:v>
      </x:c>
      <x:c r="D954" s="89" t="n">
        <x:v>45238.517743055556</x:v>
      </x:c>
      <x:c r="E954" s="89" t="n">
        <x:v>45238.91079861111</x:v>
      </x:c>
      <x:c r="F954" s="84" t="n">
        <x:v>566</x:v>
      </x:c>
      <x:c r="G954" s="84" t="n">
        <x:v>1</x:v>
      </x:c>
      <x:c r="H954" s="84" t="str">
        <x:v>Baixa pressão</x:v>
      </x:c>
      <x:c r="I954" s="84" t="n">
        <x:v>1047</x:v>
      </x:c>
      <x:c r="J954" s="93" t="n">
        <x:v>9669.47</x:v>
      </x:c>
      <x:c r="K954" s="85" t="str">
        <x:v>3º Turno</x:v>
      </x:c>
    </x:row>
    <x:row r="955">
      <x:c r="A955" s="83" t="n">
        <x:v>954</x:v>
      </x:c>
      <x:c r="B955" s="84" t="n">
        <x:v>30</x:v>
      </x:c>
      <x:c r="C955" s="84" t="n">
        <x:v>1495</x:v>
      </x:c>
      <x:c r="D955" s="89" t="n">
        <x:v>45009.076689814814</x:v>
      </x:c>
      <x:c r="E955" s="89" t="n">
        <x:v>45009.31627314815</x:v>
      </x:c>
      <x:c r="F955" s="84" t="n">
        <x:v>345</x:v>
      </x:c>
      <x:c r="G955" s="84" t="n">
        <x:v>1</x:v>
      </x:c>
      <x:c r="H955" s="84" t="str">
        <x:v>Vazamento</x:v>
      </x:c>
      <x:c r="I955" s="84" t="n">
        <x:v>684</x:v>
      </x:c>
      <x:c r="J955" s="93" t="n">
        <x:v>8631.12</x:v>
      </x:c>
      <x:c r="K955" s="85" t="str">
        <x:v>3º Turno</x:v>
      </x:c>
    </x:row>
    <x:row r="956">
      <x:c r="A956" s="83" t="n">
        <x:v>955</x:v>
      </x:c>
      <x:c r="B956" s="84" t="n">
        <x:v>88</x:v>
      </x:c>
      <x:c r="C956" s="84" t="n">
        <x:v>1497</x:v>
      </x:c>
      <x:c r="D956" s="89" t="n">
        <x:v>45524.45024305556</x:v>
      </x:c>
      <x:c r="E956" s="89" t="n">
        <x:v>45525.06621527778</x:v>
      </x:c>
      <x:c r="F956" s="84" t="n">
        <x:v>887</x:v>
      </x:c>
      <x:c r="G956" s="84" t="n">
        <x:v>0</x:v>
      </x:c>
      <x:c r="H956" s="84" t="str">
        <x:v>Desalinhamento</x:v>
      </x:c>
      <x:c r="I956" s="84" t="n">
        <x:v>1774</x:v>
      </x:c>
      <x:c r="J956" s="93" t="n">
        <x:v>32241.4</x:v>
      </x:c>
      <x:c r="K956" s="85" t="str">
        <x:v>1º Turno</x:v>
      </x:c>
    </x:row>
    <x:row r="957">
      <x:c r="A957" s="83" t="n">
        <x:v>956</x:v>
      </x:c>
      <x:c r="B957" s="84" t="n">
        <x:v>75</x:v>
      </x:c>
      <x:c r="C957" s="84" t="n">
        <x:v>1498</x:v>
      </x:c>
      <x:c r="D957" s="89" t="n">
        <x:v>45839.8828125</x:v>
      </x:c>
      <x:c r="E957" s="89" t="n">
        <x:v>45840.267534722225</x:v>
      </x:c>
      <x:c r="F957" s="84" t="n">
        <x:v>554</x:v>
      </x:c>
      <x:c r="G957" s="84" t="n">
        <x:v>1</x:v>
      </x:c>
      <x:c r="H957" s="84" t="str">
        <x:v>Desalinhamento</x:v>
      </x:c>
      <x:c r="I957" s="84" t="n">
        <x:v>646</x:v>
      </x:c>
      <x:c r="J957" s="93" t="n">
        <x:v>24239.9</x:v>
      </x:c>
      <x:c r="K957" s="85" t="str">
        <x:v>1º Turno</x:v>
      </x:c>
    </x:row>
    <x:row r="958">
      <x:c r="A958" s="83" t="n">
        <x:v>957</x:v>
      </x:c>
      <x:c r="B958" s="84" t="n">
        <x:v>28</x:v>
      </x:c>
      <x:c r="C958" s="84" t="n">
        <x:v>1499</x:v>
      </x:c>
      <x:c r="D958" s="89" t="n">
        <x:v>45964.361909722225</x:v>
      </x:c>
      <x:c r="E958" s="89" t="n">
        <x:v>45964.663298611114</x:v>
      </x:c>
      <x:c r="F958" s="84" t="n">
        <x:v>434</x:v>
      </x:c>
      <x:c r="G958" s="84" t="n">
        <x:v>1</x:v>
      </x:c>
      <x:c r="H958" s="84" t="str">
        <x:v>Superaquecimento</x:v>
      </x:c>
      <x:c r="I958" s="84" t="n">
        <x:v>615</x:v>
      </x:c>
      <x:c r="J958" s="93" t="n">
        <x:v>14471.16</x:v>
      </x:c>
      <x:c r="K958" s="85" t="str">
        <x:v>2º Turno</x:v>
      </x:c>
    </x:row>
    <x:row r="959">
      <x:c r="A959" s="83" t="n">
        <x:v>958</x:v>
      </x:c>
      <x:c r="B959" s="84" t="n">
        <x:v>47</x:v>
      </x:c>
      <x:c r="C959" s="84" t="n">
        <x:v>1500</x:v>
      </x:c>
      <x:c r="D959" s="89" t="n">
        <x:v>45079.56611111111</x:v>
      </x:c>
      <x:c r="E959" s="89" t="n">
        <x:v>45080.139027777775</x:v>
      </x:c>
      <x:c r="F959" s="84" t="n">
        <x:v>825</x:v>
      </x:c>
      <x:c r="G959" s="84" t="n">
        <x:v>0</x:v>
      </x:c>
      <x:c r="H959" s="84" t="str">
        <x:v>Desalinhamento</x:v>
      </x:c>
      <x:c r="I959" s="84" t="n">
        <x:v>1169</x:v>
      </x:c>
      <x:c r="J959" s="93" t="n">
        <x:v>36155.02</x:v>
      </x:c>
      <x:c r="K959" s="85" t="str">
        <x:v>1º Turno</x:v>
      </x:c>
    </x:row>
    <x:row r="960">
      <x:c r="A960" s="83" t="n">
        <x:v>959</x:v>
      </x:c>
      <x:c r="B960" s="84" t="n">
        <x:v>1</x:v>
      </x:c>
      <x:c r="C960" s="84" t="n">
        <x:v>1501</x:v>
      </x:c>
      <x:c r="D960" s="89" t="n">
        <x:v>45421.91407407408</x:v>
      </x:c>
      <x:c r="E960" s="89" t="n">
        <x:v>45422.43907407407</x:v>
      </x:c>
      <x:c r="F960" s="84" t="n">
        <x:v>756</x:v>
      </x:c>
      <x:c r="G960" s="84" t="n">
        <x:v>1</x:v>
      </x:c>
      <x:c r="H960" s="84" t="str">
        <x:v>Desalinhamento</x:v>
      </x:c>
      <x:c r="I960" s="84" t="n">
        <x:v>794</x:v>
      </x:c>
      <x:c r="J960" s="93" t="n">
        <x:v>40283.16</x:v>
      </x:c>
      <x:c r="K960" s="85" t="str">
        <x:v>2º Turno</x:v>
      </x:c>
    </x:row>
    <x:row r="961">
      <x:c r="A961" s="83" t="n">
        <x:v>960</x:v>
      </x:c>
      <x:c r="B961" s="84" t="n">
        <x:v>73</x:v>
      </x:c>
      <x:c r="C961" s="84" t="n">
        <x:v>1502</x:v>
      </x:c>
      <x:c r="D961" s="89" t="n">
        <x:v>45617.60023148148</x:v>
      </x:c>
      <x:c r="E961" s="89" t="n">
        <x:v>45618.048842592594</x:v>
      </x:c>
      <x:c r="F961" s="84" t="n">
        <x:v>646</x:v>
      </x:c>
      <x:c r="G961" s="84" t="n">
        <x:v>0</x:v>
      </x:c>
      <x:c r="H961" s="84" t="str">
        <x:v>Desalinhamento</x:v>
      </x:c>
      <x:c r="I961" s="84" t="n">
        <x:v>904</x:v>
      </x:c>
      <x:c r="J961" s="93" t="n">
        <x:v>21762.07</x:v>
      </x:c>
      <x:c r="K961" s="85" t="str">
        <x:v>3º Turno</x:v>
      </x:c>
    </x:row>
    <x:row r="962">
      <x:c r="A962" s="83" t="n">
        <x:v>961</x:v>
      </x:c>
      <x:c r="B962" s="84" t="n">
        <x:v>14</x:v>
      </x:c>
      <x:c r="C962" s="84" t="n">
        <x:v>1504</x:v>
      </x:c>
      <x:c r="D962" s="89" t="n">
        <x:v>45215.293587962966</x:v>
      </x:c>
      <x:c r="E962" s="89" t="n">
        <x:v>45215.81511574074</x:v>
      </x:c>
      <x:c r="F962" s="84" t="n">
        <x:v>751</x:v>
      </x:c>
      <x:c r="G962" s="84" t="n">
        <x:v>1</x:v>
      </x:c>
      <x:c r="H962" s="84" t="str">
        <x:v>Desalinhamento</x:v>
      </x:c>
      <x:c r="I962" s="84" t="n">
        <x:v>1690</x:v>
      </x:c>
      <x:c r="J962" s="93" t="n">
        <x:v>25859.01</x:v>
      </x:c>
      <x:c r="K962" s="85" t="str">
        <x:v>1º Turno</x:v>
      </x:c>
    </x:row>
    <x:row r="963">
      <x:c r="A963" s="83" t="n">
        <x:v>962</x:v>
      </x:c>
      <x:c r="B963" s="84" t="n">
        <x:v>28</x:v>
      </x:c>
      <x:c r="C963" s="84" t="n">
        <x:v>1506</x:v>
      </x:c>
      <x:c r="D963" s="89" t="n">
        <x:v>45009.90591435185</x:v>
      </x:c>
      <x:c r="E963" s="89" t="n">
        <x:v>45010.03021990741</x:v>
      </x:c>
      <x:c r="F963" s="84" t="n">
        <x:v>179</x:v>
      </x:c>
      <x:c r="G963" s="84" t="n">
        <x:v>0</x:v>
      </x:c>
      <x:c r="H963" s="84" t="str">
        <x:v>Baixa pressão</x:v>
      </x:c>
      <x:c r="I963" s="84" t="n">
        <x:v>188</x:v>
      </x:c>
      <x:c r="J963" s="93" t="n">
        <x:v>6036.92</x:v>
      </x:c>
      <x:c r="K963" s="85" t="str">
        <x:v>2º Turno</x:v>
      </x:c>
    </x:row>
    <x:row r="964">
      <x:c r="A964" s="83" t="n">
        <x:v>963</x:v>
      </x:c>
      <x:c r="B964" s="84" t="n">
        <x:v>40</x:v>
      </x:c>
      <x:c r="C964" s="84" t="n">
        <x:v>1507</x:v>
      </x:c>
      <x:c r="D964" s="89" t="n">
        <x:v>45074.31988425926</x:v>
      </x:c>
      <x:c r="E964" s="89" t="n">
        <x:v>45074.71988425926</x:v>
      </x:c>
      <x:c r="F964" s="84" t="n">
        <x:v>576</x:v>
      </x:c>
      <x:c r="G964" s="84" t="n">
        <x:v>0</x:v>
      </x:c>
      <x:c r="H964" s="84" t="str">
        <x:v>Baixa pressão</x:v>
      </x:c>
      <x:c r="I964" s="84" t="n">
        <x:v>1085</x:v>
      </x:c>
      <x:c r="J964" s="93" t="n">
        <x:v>27870.62</x:v>
      </x:c>
      <x:c r="K964" s="85" t="str">
        <x:v>2º Turno</x:v>
      </x:c>
    </x:row>
    <x:row r="965">
      <x:c r="A965" s="83" t="n">
        <x:v>964</x:v>
      </x:c>
      <x:c r="B965" s="84" t="n">
        <x:v>55</x:v>
      </x:c>
      <x:c r="C965" s="84" t="n">
        <x:v>1508</x:v>
      </x:c>
      <x:c r="D965" s="89" t="n">
        <x:v>45898.643854166665</x:v>
      </x:c>
      <x:c r="E965" s="89" t="n">
        <x:v>45899.202881944446</x:v>
      </x:c>
      <x:c r="F965" s="84" t="n">
        <x:v>805</x:v>
      </x:c>
      <x:c r="G965" s="84" t="n">
        <x:v>1</x:v>
      </x:c>
      <x:c r="H965" s="84" t="str">
        <x:v>Vazamento</x:v>
      </x:c>
      <x:c r="I965" s="84" t="n">
        <x:v>1368</x:v>
      </x:c>
      <x:c r="J965" s="93" t="n">
        <x:v>10816.28</x:v>
      </x:c>
      <x:c r="K965" s="85" t="str">
        <x:v>1º Turno</x:v>
      </x:c>
    </x:row>
    <x:row r="966">
      <x:c r="A966" s="83" t="n">
        <x:v>965</x:v>
      </x:c>
      <x:c r="B966" s="84" t="n">
        <x:v>13</x:v>
      </x:c>
      <x:c r="C966" s="84" t="n">
        <x:v>1509</x:v>
      </x:c>
      <x:c r="D966" s="89" t="n">
        <x:v>45568.82197916666</x:v>
      </x:c>
      <x:c r="E966" s="89" t="n">
        <x:v>45569.17475694444</x:v>
      </x:c>
      <x:c r="F966" s="84" t="n">
        <x:v>508</x:v>
      </x:c>
      <x:c r="G966" s="84" t="n">
        <x:v>1</x:v>
      </x:c>
      <x:c r="H966" s="84" t="str">
        <x:v>Baixa pressão</x:v>
      </x:c>
      <x:c r="I966" s="84" t="n">
        <x:v>830</x:v>
      </x:c>
      <x:c r="J966" s="93" t="n">
        <x:v>15149.17</x:v>
      </x:c>
      <x:c r="K966" s="85" t="str">
        <x:v>1º Turno</x:v>
      </x:c>
    </x:row>
    <x:row r="967">
      <x:c r="A967" s="83" t="n">
        <x:v>966</x:v>
      </x:c>
      <x:c r="B967" s="84" t="n">
        <x:v>80</x:v>
      </x:c>
      <x:c r="C967" s="84" t="n">
        <x:v>1510</x:v>
      </x:c>
      <x:c r="D967" s="89" t="n">
        <x:v>45387.96480324074</x:v>
      </x:c>
      <x:c r="E967" s="89" t="n">
        <x:v>45388.22591435185</x:v>
      </x:c>
      <x:c r="F967" s="84" t="n">
        <x:v>376</x:v>
      </x:c>
      <x:c r="G967" s="84" t="n">
        <x:v>1</x:v>
      </x:c>
      <x:c r="H967" s="84" t="str">
        <x:v>Falha elétrica</x:v>
      </x:c>
      <x:c r="I967" s="84" t="n">
        <x:v>783</x:v>
      </x:c>
      <x:c r="J967" s="93" t="n">
        <x:v>11875.11</x:v>
      </x:c>
      <x:c r="K967" s="85" t="str">
        <x:v>2º Turno</x:v>
      </x:c>
    </x:row>
    <x:row r="968">
      <x:c r="A968" s="83" t="n">
        <x:v>967</x:v>
      </x:c>
      <x:c r="B968" s="84" t="n">
        <x:v>70</x:v>
      </x:c>
      <x:c r="C968" s="84" t="n">
        <x:v>1511</x:v>
      </x:c>
      <x:c r="D968" s="89" t="n">
        <x:v>45444.160405092596</x:v>
      </x:c>
      <x:c r="E968" s="89" t="n">
        <x:v>45444.552766203706</x:v>
      </x:c>
      <x:c r="F968" s="84" t="n">
        <x:v>565</x:v>
      </x:c>
      <x:c r="G968" s="84" t="n">
        <x:v>1</x:v>
      </x:c>
      <x:c r="H968" s="84" t="str">
        <x:v>Falha elétrica</x:v>
      </x:c>
      <x:c r="I968" s="84" t="n">
        <x:v>979</x:v>
      </x:c>
      <x:c r="J968" s="93" t="n">
        <x:v>25666.07</x:v>
      </x:c>
      <x:c r="K968" s="85" t="str">
        <x:v>1º Turno</x:v>
      </x:c>
    </x:row>
    <x:row r="969">
      <x:c r="A969" s="83" t="n">
        <x:v>968</x:v>
      </x:c>
      <x:c r="B969" s="84" t="n">
        <x:v>70</x:v>
      </x:c>
      <x:c r="C969" s="84" t="n">
        <x:v>1512</x:v>
      </x:c>
      <x:c r="D969" s="89" t="n">
        <x:v>45312.7912037037</x:v>
      </x:c>
      <x:c r="E969" s="89" t="n">
        <x:v>45312.99953703704</x:v>
      </x:c>
      <x:c r="F969" s="84" t="n">
        <x:v>300</x:v>
      </x:c>
      <x:c r="G969" s="84" t="n">
        <x:v>1</x:v>
      </x:c>
      <x:c r="H969" s="84" t="str">
        <x:v>Falha elétrica</x:v>
      </x:c>
      <x:c r="I969" s="84" t="n">
        <x:v>505</x:v>
      </x:c>
      <x:c r="J969" s="93" t="n">
        <x:v>16954.61</x:v>
      </x:c>
      <x:c r="K969" s="85" t="str">
        <x:v>2º Turno</x:v>
      </x:c>
    </x:row>
    <x:row r="970">
      <x:c r="A970" s="83" t="n">
        <x:v>969</x:v>
      </x:c>
      <x:c r="B970" s="84" t="n">
        <x:v>10</x:v>
      </x:c>
      <x:c r="C970" s="84" t="n">
        <x:v>1513</x:v>
      </x:c>
      <x:c r="D970" s="89" t="n">
        <x:v>45912.751909722225</x:v>
      </x:c>
      <x:c r="E970" s="89" t="n">
        <x:v>45913.25052083333</x:v>
      </x:c>
      <x:c r="F970" s="84" t="n">
        <x:v>718</x:v>
      </x:c>
      <x:c r="G970" s="84" t="n">
        <x:v>1</x:v>
      </x:c>
      <x:c r="H970" s="84" t="str">
        <x:v>Superaquecimento</x:v>
      </x:c>
      <x:c r="I970" s="84" t="n">
        <x:v>1436</x:v>
      </x:c>
      <x:c r="J970" s="93" t="n">
        <x:v>14849.5</x:v>
      </x:c>
      <x:c r="K970" s="85" t="str">
        <x:v>1º Turno</x:v>
      </x:c>
    </x:row>
    <x:row r="971">
      <x:c r="A971" s="83" t="n">
        <x:v>970</x:v>
      </x:c>
      <x:c r="B971" s="84" t="n">
        <x:v>55</x:v>
      </x:c>
      <x:c r="C971" s="84" t="n">
        <x:v>1514</x:v>
      </x:c>
      <x:c r="D971" s="89" t="n">
        <x:v>45644.267847222225</x:v>
      </x:c>
      <x:c r="E971" s="89" t="n">
        <x:v>45644.58590277778</x:v>
      </x:c>
      <x:c r="F971" s="84" t="n">
        <x:v>458</x:v>
      </x:c>
      <x:c r="G971" s="84" t="n">
        <x:v>0</x:v>
      </x:c>
      <x:c r="H971" s="84" t="str">
        <x:v>Baixa pressão</x:v>
      </x:c>
      <x:c r="I971" s="84" t="n">
        <x:v>1038</x:v>
      </x:c>
      <x:c r="J971" s="93" t="n">
        <x:v>9785.57</x:v>
      </x:c>
      <x:c r="K971" s="85" t="str">
        <x:v>2º Turno</x:v>
      </x:c>
    </x:row>
    <x:row r="972">
      <x:c r="A972" s="83" t="n">
        <x:v>971</x:v>
      </x:c>
      <x:c r="B972" s="84" t="n">
        <x:v>52</x:v>
      </x:c>
      <x:c r="C972" s="84" t="n">
        <x:v>1516</x:v>
      </x:c>
      <x:c r="D972" s="89" t="n">
        <x:v>45768.8028587963</x:v>
      </x:c>
      <x:c r="E972" s="89" t="n">
        <x:v>45769.03619212963</x:v>
      </x:c>
      <x:c r="F972" s="84" t="n">
        <x:v>336</x:v>
      </x:c>
      <x:c r="G972" s="84" t="n">
        <x:v>1</x:v>
      </x:c>
      <x:c r="H972" s="84" t="str">
        <x:v>Alarme intermitente</x:v>
      </x:c>
      <x:c r="I972" s="84" t="n">
        <x:v>694</x:v>
      </x:c>
      <x:c r="J972" s="93" t="n">
        <x:v>10837.65</x:v>
      </x:c>
      <x:c r="K972" s="85" t="str">
        <x:v>1º Turno</x:v>
      </x:c>
    </x:row>
    <x:row r="973">
      <x:c r="A973" s="83" t="n">
        <x:v>972</x:v>
      </x:c>
      <x:c r="B973" s="84" t="n">
        <x:v>56</x:v>
      </x:c>
      <x:c r="C973" s="84" t="n">
        <x:v>1517</x:v>
      </x:c>
      <x:c r="D973" s="89" t="n">
        <x:v>45600.32703703704</x:v>
      </x:c>
      <x:c r="E973" s="89" t="n">
        <x:v>45600.84092592593</x:v>
      </x:c>
      <x:c r="F973" s="84" t="n">
        <x:v>740</x:v>
      </x:c>
      <x:c r="G973" s="84" t="n">
        <x:v>1</x:v>
      </x:c>
      <x:c r="H973" s="84" t="str">
        <x:v>Baixa pressão</x:v>
      </x:c>
      <x:c r="I973" s="84" t="n">
        <x:v>913</x:v>
      </x:c>
      <x:c r="J973" s="93" t="n">
        <x:v>27004.34</x:v>
      </x:c>
      <x:c r="K973" s="85" t="str">
        <x:v>2º Turno</x:v>
      </x:c>
    </x:row>
    <x:row r="974">
      <x:c r="A974" s="83" t="n">
        <x:v>973</x:v>
      </x:c>
      <x:c r="B974" s="84" t="n">
        <x:v>32</x:v>
      </x:c>
      <x:c r="C974" s="84" t="n">
        <x:v>1518</x:v>
      </x:c>
      <x:c r="D974" s="89" t="n">
        <x:v>45794.693240740744</x:v>
      </x:c>
      <x:c r="E974" s="89" t="n">
        <x:v>45795.01615740741</x:v>
      </x:c>
      <x:c r="F974" s="84" t="n">
        <x:v>465</x:v>
      </x:c>
      <x:c r="G974" s="84" t="n">
        <x:v>1</x:v>
      </x:c>
      <x:c r="H974" s="84" t="str">
        <x:v>Baixa pressão</x:v>
      </x:c>
      <x:c r="I974" s="84" t="n">
        <x:v>953</x:v>
      </x:c>
      <x:c r="J974" s="93" t="n">
        <x:v>22449.05</x:v>
      </x:c>
      <x:c r="K974" s="85" t="str">
        <x:v>2º Turno</x:v>
      </x:c>
    </x:row>
    <x:row r="975">
      <x:c r="A975" s="83" t="n">
        <x:v>974</x:v>
      </x:c>
      <x:c r="B975" s="84" t="n">
        <x:v>61</x:v>
      </x:c>
      <x:c r="C975" s="84" t="n">
        <x:v>1519</x:v>
      </x:c>
      <x:c r="D975" s="89" t="n">
        <x:v>45528.93616898148</x:v>
      </x:c>
      <x:c r="E975" s="89" t="n">
        <x:v>45529.19241898148</x:v>
      </x:c>
      <x:c r="F975" s="84" t="n">
        <x:v>369</x:v>
      </x:c>
      <x:c r="G975" s="84" t="n">
        <x:v>1</x:v>
      </x:c>
      <x:c r="H975" s="84" t="str">
        <x:v>Ruído anormal</x:v>
      </x:c>
      <x:c r="I975" s="84" t="n">
        <x:v>381</x:v>
      </x:c>
      <x:c r="J975" s="93" t="n">
        <x:v>18215.64</x:v>
      </x:c>
      <x:c r="K975" s="85" t="str">
        <x:v>1º Turno</x:v>
      </x:c>
    </x:row>
    <x:row r="976">
      <x:c r="A976" s="83" t="n">
        <x:v>975</x:v>
      </x:c>
      <x:c r="B976" s="84" t="n">
        <x:v>68</x:v>
      </x:c>
      <x:c r="C976" s="84" t="n">
        <x:v>1521</x:v>
      </x:c>
      <x:c r="D976" s="89" t="n">
        <x:v>45664.72908564815</x:v>
      </x:c>
      <x:c r="E976" s="89" t="n">
        <x:v>45664.78811342592</x:v>
      </x:c>
      <x:c r="F976" s="84" t="n">
        <x:v>85</x:v>
      </x:c>
      <x:c r="G976" s="84" t="n">
        <x:v>1</x:v>
      </x:c>
      <x:c r="H976" s="84" t="str">
        <x:v>Falha elétrica</x:v>
      </x:c>
      <x:c r="I976" s="84" t="n">
        <x:v>156</x:v>
      </x:c>
      <x:c r="J976" s="93" t="n">
        <x:v>3384.88</x:v>
      </x:c>
      <x:c r="K976" s="85" t="str">
        <x:v>2º Turno</x:v>
      </x:c>
    </x:row>
    <x:row r="977">
      <x:c r="A977" s="83" t="n">
        <x:v>976</x:v>
      </x:c>
      <x:c r="B977" s="84" t="n">
        <x:v>61</x:v>
      </x:c>
      <x:c r="C977" s="84" t="n">
        <x:v>1522</x:v>
      </x:c>
      <x:c r="D977" s="89" t="n">
        <x:v>45891.00184027778</x:v>
      </x:c>
      <x:c r="E977" s="89" t="n">
        <x:v>45891.11850694445</x:v>
      </x:c>
      <x:c r="F977" s="84" t="n">
        <x:v>168</x:v>
      </x:c>
      <x:c r="G977" s="84" t="n">
        <x:v>0</x:v>
      </x:c>
      <x:c r="H977" s="84" t="str">
        <x:v>Alarme intermitente</x:v>
      </x:c>
      <x:c r="I977" s="84" t="n">
        <x:v>224</x:v>
      </x:c>
      <x:c r="J977" s="93" t="n">
        <x:v>2854.99</x:v>
      </x:c>
      <x:c r="K977" s="85" t="str">
        <x:v>2º Turno</x:v>
      </x:c>
    </x:row>
    <x:row r="978">
      <x:c r="A978" s="83" t="n">
        <x:v>977</x:v>
      </x:c>
      <x:c r="B978" s="84" t="n">
        <x:v>13</x:v>
      </x:c>
      <x:c r="C978" s="84" t="n">
        <x:v>1524</x:v>
      </x:c>
      <x:c r="D978" s="89" t="n">
        <x:v>45077.50278935185</x:v>
      </x:c>
      <x:c r="E978" s="89" t="n">
        <x:v>45078.12778935185</x:v>
      </x:c>
      <x:c r="F978" s="84" t="n">
        <x:v>900</x:v>
      </x:c>
      <x:c r="G978" s="84" t="n">
        <x:v>1</x:v>
      </x:c>
      <x:c r="H978" s="84" t="str">
        <x:v>Falha elétrica</x:v>
      </x:c>
      <x:c r="I978" s="84" t="n">
        <x:v>2010</x:v>
      </x:c>
      <x:c r="J978" s="93" t="n">
        <x:v>32265.04</x:v>
      </x:c>
      <x:c r="K978" s="85" t="str">
        <x:v>1º Turno</x:v>
      </x:c>
    </x:row>
    <x:row r="979">
      <x:c r="A979" s="83" t="n">
        <x:v>978</x:v>
      </x:c>
      <x:c r="B979" s="84" t="n">
        <x:v>76</x:v>
      </x:c>
      <x:c r="C979" s="84" t="n">
        <x:v>1525</x:v>
      </x:c>
      <x:c r="D979" s="89" t="n">
        <x:v>45938.720497685186</x:v>
      </x:c>
      <x:c r="E979" s="89" t="n">
        <x:v>45939.27049768518</x:v>
      </x:c>
      <x:c r="F979" s="84" t="n">
        <x:v>792</x:v>
      </x:c>
      <x:c r="G979" s="84" t="n">
        <x:v>1</x:v>
      </x:c>
      <x:c r="H979" s="84" t="str">
        <x:v>Vazamento</x:v>
      </x:c>
      <x:c r="I979" s="84" t="n">
        <x:v>1531</x:v>
      </x:c>
      <x:c r="J979" s="93" t="n">
        <x:v>39317.45</x:v>
      </x:c>
      <x:c r="K979" s="85" t="str">
        <x:v>2º Turno</x:v>
      </x:c>
    </x:row>
    <x:row r="980">
      <x:c r="A980" s="83" t="n">
        <x:v>979</x:v>
      </x:c>
      <x:c r="B980" s="84" t="n">
        <x:v>73</x:v>
      </x:c>
      <x:c r="C980" s="84" t="n">
        <x:v>1526</x:v>
      </x:c>
      <x:c r="D980" s="89" t="n">
        <x:v>45170.746099537035</x:v>
      </x:c>
      <x:c r="E980" s="89" t="n">
        <x:v>45171.21068287037</x:v>
      </x:c>
      <x:c r="F980" s="84" t="n">
        <x:v>669</x:v>
      </x:c>
      <x:c r="G980" s="84" t="n">
        <x:v>0</x:v>
      </x:c>
      <x:c r="H980" s="84" t="str">
        <x:v>Desalinhamento</x:v>
      </x:c>
      <x:c r="I980" s="84" t="n">
        <x:v>1450</x:v>
      </x:c>
      <x:c r="J980" s="93" t="n">
        <x:v>24910.88</x:v>
      </x:c>
      <x:c r="K980" s="85" t="str">
        <x:v>2º Turno</x:v>
      </x:c>
    </x:row>
    <x:row r="981">
      <x:c r="A981" s="83" t="n">
        <x:v>980</x:v>
      </x:c>
      <x:c r="B981" s="84" t="n">
        <x:v>64</x:v>
      </x:c>
      <x:c r="C981" s="84" t="n">
        <x:v>1528</x:v>
      </x:c>
      <x:c r="D981" s="89" t="n">
        <x:v>45199.562002314815</x:v>
      </x:c>
      <x:c r="E981" s="89" t="n">
        <x:v>45199.64741898148</x:v>
      </x:c>
      <x:c r="F981" s="84" t="n">
        <x:v>123</x:v>
      </x:c>
      <x:c r="G981" s="84" t="n">
        <x:v>1</x:v>
      </x:c>
      <x:c r="H981" s="84" t="str">
        <x:v>Desalinhamento</x:v>
      </x:c>
      <x:c r="I981" s="84" t="n">
        <x:v>230</x:v>
      </x:c>
      <x:c r="J981" s="93" t="n">
        <x:v>3733.4</x:v>
      </x:c>
      <x:c r="K981" s="85" t="str">
        <x:v>3º Turno</x:v>
      </x:c>
    </x:row>
    <x:row r="982">
      <x:c r="A982" s="83" t="n">
        <x:v>981</x:v>
      </x:c>
      <x:c r="B982" s="84" t="n">
        <x:v>90</x:v>
      </x:c>
      <x:c r="C982" s="84" t="n">
        <x:v>1530</x:v>
      </x:c>
      <x:c r="D982" s="89" t="n">
        <x:v>45632.11938657407</x:v>
      </x:c>
      <x:c r="E982" s="89" t="n">
        <x:v>45632.43188657407</x:v>
      </x:c>
      <x:c r="F982" s="84" t="n">
        <x:v>450</x:v>
      </x:c>
      <x:c r="G982" s="84" t="n">
        <x:v>1</x:v>
      </x:c>
      <x:c r="H982" s="84" t="str">
        <x:v>Vazamento</x:v>
      </x:c>
      <x:c r="I982" s="84" t="n">
        <x:v>1035</x:v>
      </x:c>
      <x:c r="J982" s="93" t="n">
        <x:v>20210.99</x:v>
      </x:c>
      <x:c r="K982" s="85" t="str">
        <x:v>1º Turno</x:v>
      </x:c>
    </x:row>
    <x:row r="983">
      <x:c r="A983" s="83" t="n">
        <x:v>982</x:v>
      </x:c>
      <x:c r="B983" s="84" t="n">
        <x:v>49</x:v>
      </x:c>
      <x:c r="C983" s="84" t="n">
        <x:v>1531</x:v>
      </x:c>
      <x:c r="D983" s="89" t="n">
        <x:v>45433.84554398148</x:v>
      </x:c>
      <x:c r="E983" s="89" t="n">
        <x:v>45434.38859953704</x:v>
      </x:c>
      <x:c r="F983" s="84" t="n">
        <x:v>782</x:v>
      </x:c>
      <x:c r="G983" s="84" t="n">
        <x:v>0</x:v>
      </x:c>
      <x:c r="H983" s="84" t="str">
        <x:v>Alarme intermitente</x:v>
      </x:c>
      <x:c r="I983" s="84" t="n">
        <x:v>1069</x:v>
      </x:c>
      <x:c r="J983" s="93" t="n">
        <x:v>41648.59</x:v>
      </x:c>
      <x:c r="K983" s="85" t="str">
        <x:v>2º Turno</x:v>
      </x:c>
    </x:row>
    <x:row r="984">
      <x:c r="A984" s="83" t="n">
        <x:v>983</x:v>
      </x:c>
      <x:c r="B984" s="84" t="n">
        <x:v>61</x:v>
      </x:c>
      <x:c r="C984" s="84" t="n">
        <x:v>1532</x:v>
      </x:c>
      <x:c r="D984" s="89" t="n">
        <x:v>45039.331655092596</x:v>
      </x:c>
      <x:c r="E984" s="89" t="n">
        <x:v>45039.471238425926</x:v>
      </x:c>
      <x:c r="F984" s="84" t="n">
        <x:v>201</x:v>
      </x:c>
      <x:c r="G984" s="84" t="n">
        <x:v>1</x:v>
      </x:c>
      <x:c r="H984" s="84" t="str">
        <x:v>Vazamento</x:v>
      </x:c>
      <x:c r="I984" s="84" t="n">
        <x:v>399</x:v>
      </x:c>
      <x:c r="J984" s="93" t="n">
        <x:v>5184.93</x:v>
      </x:c>
      <x:c r="K984" s="85" t="str">
        <x:v>3º Turno</x:v>
      </x:c>
    </x:row>
    <x:row r="985">
      <x:c r="A985" s="83" t="n">
        <x:v>984</x:v>
      </x:c>
      <x:c r="B985" s="84" t="n">
        <x:v>39</x:v>
      </x:c>
      <x:c r="C985" s="84" t="n">
        <x:v>1533</x:v>
      </x:c>
      <x:c r="D985" s="89" t="n">
        <x:v>45168.52574074074</x:v>
      </x:c>
      <x:c r="E985" s="89" t="n">
        <x:v>45169.0125462963</x:v>
      </x:c>
      <x:c r="F985" s="84" t="n">
        <x:v>701</x:v>
      </x:c>
      <x:c r="G985" s="84" t="n">
        <x:v>1</x:v>
      </x:c>
      <x:c r="H985" s="84" t="str">
        <x:v>Desalinhamento</x:v>
      </x:c>
      <x:c r="I985" s="84" t="n">
        <x:v>1087</x:v>
      </x:c>
      <x:c r="J985" s="93" t="n">
        <x:v>12347.41</x:v>
      </x:c>
      <x:c r="K985" s="85" t="str">
        <x:v>1º Turno</x:v>
      </x:c>
    </x:row>
    <x:row r="986">
      <x:c r="A986" s="83" t="n">
        <x:v>985</x:v>
      </x:c>
      <x:c r="B986" s="84" t="n">
        <x:v>34</x:v>
      </x:c>
      <x:c r="C986" s="84" t="n">
        <x:v>1539</x:v>
      </x:c>
      <x:c r="D986" s="89" t="n">
        <x:v>45420.975023148145</x:v>
      </x:c>
      <x:c r="E986" s="89" t="n">
        <x:v>45421.329884259256</x:v>
      </x:c>
      <x:c r="F986" s="84" t="n">
        <x:v>511</x:v>
      </x:c>
      <x:c r="G986" s="84" t="n">
        <x:v>1</x:v>
      </x:c>
      <x:c r="H986" s="84" t="str">
        <x:v>Vazamento</x:v>
      </x:c>
      <x:c r="I986" s="84" t="n">
        <x:v>656</x:v>
      </x:c>
      <x:c r="J986" s="93" t="n">
        <x:v>16064.54</x:v>
      </x:c>
      <x:c r="K986" s="85" t="str">
        <x:v>2º Turno</x:v>
      </x:c>
    </x:row>
    <x:row r="987">
      <x:c r="A987" s="83" t="n">
        <x:v>986</x:v>
      </x:c>
      <x:c r="B987" s="84" t="n">
        <x:v>35</x:v>
      </x:c>
      <x:c r="C987" s="84" t="n">
        <x:v>1540</x:v>
      </x:c>
      <x:c r="D987" s="89" t="n">
        <x:v>45828.908171296294</x:v>
      </x:c>
      <x:c r="E987" s="89" t="n">
        <x:v>45829.13872685185</x:v>
      </x:c>
      <x:c r="F987" s="84" t="n">
        <x:v>332</x:v>
      </x:c>
      <x:c r="G987" s="84" t="n">
        <x:v>1</x:v>
      </x:c>
      <x:c r="H987" s="84" t="str">
        <x:v>Superaquecimento</x:v>
      </x:c>
      <x:c r="I987" s="84" t="n">
        <x:v>459</x:v>
      </x:c>
      <x:c r="J987" s="93" t="n">
        <x:v>7010.85</x:v>
      </x:c>
      <x:c r="K987" s="85" t="str">
        <x:v>1º Turno</x:v>
      </x:c>
    </x:row>
    <x:row r="988">
      <x:c r="A988" s="83" t="n">
        <x:v>987</x:v>
      </x:c>
      <x:c r="B988" s="84" t="n">
        <x:v>23</x:v>
      </x:c>
      <x:c r="C988" s="84" t="n">
        <x:v>1544</x:v>
      </x:c>
      <x:c r="D988" s="89" t="n">
        <x:v>45830.91148148148</x:v>
      </x:c>
      <x:c r="E988" s="89" t="n">
        <x:v>45831.08787037037</x:v>
      </x:c>
      <x:c r="F988" s="84" t="n">
        <x:v>254</x:v>
      </x:c>
      <x:c r="G988" s="84" t="n">
        <x:v>1</x:v>
      </x:c>
      <x:c r="H988" s="84" t="str">
        <x:v>Baixa pressão</x:v>
      </x:c>
      <x:c r="I988" s="84" t="n">
        <x:v>461</x:v>
      </x:c>
      <x:c r="J988" s="93" t="n">
        <x:v>12472.35</x:v>
      </x:c>
      <x:c r="K988" s="85" t="str">
        <x:v>3º Turno</x:v>
      </x:c>
    </x:row>
    <x:row r="989">
      <x:c r="A989" s="83" t="n">
        <x:v>988</x:v>
      </x:c>
      <x:c r="B989" s="84" t="n">
        <x:v>21</x:v>
      </x:c>
      <x:c r="C989" s="84" t="n">
        <x:v>1545</x:v>
      </x:c>
      <x:c r="D989" s="89" t="n">
        <x:v>45769.85266203704</x:v>
      </x:c>
      <x:c r="E989" s="89" t="n">
        <x:v>45769.88113425926</x:v>
      </x:c>
      <x:c r="F989" s="84" t="n">
        <x:v>41</x:v>
      </x:c>
      <x:c r="G989" s="84" t="n">
        <x:v>1</x:v>
      </x:c>
      <x:c r="H989" s="84" t="str">
        <x:v>Alarme intermitente</x:v>
      </x:c>
      <x:c r="I989" s="84" t="n">
        <x:v>62</x:v>
      </x:c>
      <x:c r="J989" s="93" t="n">
        <x:v>608.29</x:v>
      </x:c>
      <x:c r="K989" s="85" t="str">
        <x:v>1º Turno</x:v>
      </x:c>
    </x:row>
    <x:row r="990">
      <x:c r="A990" s="83" t="n">
        <x:v>989</x:v>
      </x:c>
      <x:c r="B990" s="84" t="n">
        <x:v>23</x:v>
      </x:c>
      <x:c r="C990" s="84" t="n">
        <x:v>1546</x:v>
      </x:c>
      <x:c r="D990" s="89" t="n">
        <x:v>44991.28326388889</x:v>
      </x:c>
      <x:c r="E990" s="89" t="n">
        <x:v>44991.740208333336</x:v>
      </x:c>
      <x:c r="F990" s="84" t="n">
        <x:v>658</x:v>
      </x:c>
      <x:c r="G990" s="84" t="n">
        <x:v>1</x:v>
      </x:c>
      <x:c r="H990" s="84" t="str">
        <x:v>Vazamento</x:v>
      </x:c>
      <x:c r="I990" s="84" t="n">
        <x:v>1162</x:v>
      </x:c>
      <x:c r="J990" s="93" t="n">
        <x:v>26819.18</x:v>
      </x:c>
      <x:c r="K990" s="85" t="str">
        <x:v>2º Turno</x:v>
      </x:c>
    </x:row>
    <x:row r="991">
      <x:c r="A991" s="83" t="n">
        <x:v>990</x:v>
      </x:c>
      <x:c r="B991" s="84" t="n">
        <x:v>48</x:v>
      </x:c>
      <x:c r="C991" s="84" t="n">
        <x:v>1547</x:v>
      </x:c>
      <x:c r="D991" s="89" t="n">
        <x:v>45635.67040509259</x:v>
      </x:c>
      <x:c r="E991" s="89" t="n">
        <x:v>45635.72248842593</x:v>
      </x:c>
      <x:c r="F991" s="84" t="n">
        <x:v>75</x:v>
      </x:c>
      <x:c r="G991" s="84" t="n">
        <x:v>1</x:v>
      </x:c>
      <x:c r="H991" s="84" t="str">
        <x:v>Desalinhamento</x:v>
      </x:c>
      <x:c r="I991" s="84" t="n">
        <x:v>108</x:v>
      </x:c>
      <x:c r="J991" s="93" t="n">
        <x:v>1123.63</x:v>
      </x:c>
      <x:c r="K991" s="85" t="str">
        <x:v>2º Turno</x:v>
      </x:c>
    </x:row>
    <x:row r="992">
      <x:c r="A992" s="83" t="n">
        <x:v>991</x:v>
      </x:c>
      <x:c r="B992" s="84" t="n">
        <x:v>40</x:v>
      </x:c>
      <x:c r="C992" s="84" t="n">
        <x:v>1549</x:v>
      </x:c>
      <x:c r="D992" s="89" t="n">
        <x:v>45476.184641203705</x:v>
      </x:c>
      <x:c r="E992" s="89" t="n">
        <x:v>45476.25130787037</x:v>
      </x:c>
      <x:c r="F992" s="84" t="n">
        <x:v>96</x:v>
      </x:c>
      <x:c r="G992" s="84" t="n">
        <x:v>1</x:v>
      </x:c>
      <x:c r="H992" s="84" t="str">
        <x:v>Vazamento</x:v>
      </x:c>
      <x:c r="I992" s="84" t="n">
        <x:v>200</x:v>
      </x:c>
      <x:c r="J992" s="93" t="n">
        <x:v>4167.49</x:v>
      </x:c>
      <x:c r="K992" s="85" t="str">
        <x:v>1º Turno</x:v>
      </x:c>
    </x:row>
    <x:row r="993">
      <x:c r="A993" s="83" t="n">
        <x:v>992</x:v>
      </x:c>
      <x:c r="B993" s="84" t="n">
        <x:v>6</x:v>
      </x:c>
      <x:c r="C993" s="84" t="n">
        <x:v>1550</x:v>
      </x:c>
      <x:c r="D993" s="89" t="n">
        <x:v>45843.934525462966</x:v>
      </x:c>
      <x:c r="E993" s="89" t="n">
        <x:v>45844.19771990741</x:v>
      </x:c>
      <x:c r="F993" s="84" t="n">
        <x:v>379</x:v>
      </x:c>
      <x:c r="G993" s="84" t="n">
        <x:v>1</x:v>
      </x:c>
      <x:c r="H993" s="84" t="str">
        <x:v>Superaquecimento</x:v>
      </x:c>
      <x:c r="I993" s="84" t="n">
        <x:v>689</x:v>
      </x:c>
      <x:c r="J993" s="93" t="n">
        <x:v>8808.47</x:v>
      </x:c>
      <x:c r="K993" s="85" t="str">
        <x:v>1º Turno</x:v>
      </x:c>
    </x:row>
    <x:row r="994">
      <x:c r="A994" s="83" t="n">
        <x:v>993</x:v>
      </x:c>
      <x:c r="B994" s="84" t="n">
        <x:v>27</x:v>
      </x:c>
      <x:c r="C994" s="84" t="n">
        <x:v>1551</x:v>
      </x:c>
      <x:c r="D994" s="89" t="n">
        <x:v>45960.30751157407</x:v>
      </x:c>
      <x:c r="E994" s="89" t="n">
        <x:v>45960.77070601852</x:v>
      </x:c>
      <x:c r="F994" s="84" t="n">
        <x:v>667</x:v>
      </x:c>
      <x:c r="G994" s="84" t="n">
        <x:v>1</x:v>
      </x:c>
      <x:c r="H994" s="84" t="str">
        <x:v>Baixa pressão</x:v>
      </x:c>
      <x:c r="I994" s="84" t="n">
        <x:v>1434</x:v>
      </x:c>
      <x:c r="J994" s="93" t="n">
        <x:v>36581.91</x:v>
      </x:c>
      <x:c r="K994" s="85" t="str">
        <x:v>1º Turno</x:v>
      </x:c>
    </x:row>
    <x:row r="995">
      <x:c r="A995" s="83" t="n">
        <x:v>994</x:v>
      </x:c>
      <x:c r="B995" s="84" t="n">
        <x:v>25</x:v>
      </x:c>
      <x:c r="C995" s="84" t="n">
        <x:v>1552</x:v>
      </x:c>
      <x:c r="D995" s="89" t="n">
        <x:v>45185.084652777776</x:v>
      </x:c>
      <x:c r="E995" s="89" t="n">
        <x:v>45185.528402777774</x:v>
      </x:c>
      <x:c r="F995" s="84" t="n">
        <x:v>639</x:v>
      </x:c>
      <x:c r="G995" s="84" t="n">
        <x:v>1</x:v>
      </x:c>
      <x:c r="H995" s="84" t="str">
        <x:v>Desalinhamento</x:v>
      </x:c>
      <x:c r="I995" s="84" t="n">
        <x:v>777</x:v>
      </x:c>
      <x:c r="J995" s="93" t="n">
        <x:v>13199.32</x:v>
      </x:c>
      <x:c r="K995" s="85" t="str">
        <x:v>3º Turno</x:v>
      </x:c>
    </x:row>
    <x:row r="996">
      <x:c r="A996" s="83" t="n">
        <x:v>995</x:v>
      </x:c>
      <x:c r="B996" s="84" t="n">
        <x:v>39</x:v>
      </x:c>
      <x:c r="C996" s="84" t="n">
        <x:v>1553</x:v>
      </x:c>
      <x:c r="D996" s="89" t="n">
        <x:v>44974.769791666666</x:v>
      </x:c>
      <x:c r="E996" s="89" t="n">
        <x:v>44975.14618055556</x:v>
      </x:c>
      <x:c r="F996" s="84" t="n">
        <x:v>542</x:v>
      </x:c>
      <x:c r="G996" s="84" t="n">
        <x:v>1</x:v>
      </x:c>
      <x:c r="H996" s="84" t="str">
        <x:v>Falha elétrica</x:v>
      </x:c>
      <x:c r="I996" s="84" t="n">
        <x:v>759</x:v>
      </x:c>
      <x:c r="J996" s="93" t="n">
        <x:v>26599.59</x:v>
      </x:c>
      <x:c r="K996" s="85" t="str">
        <x:v>1º Turno</x:v>
      </x:c>
    </x:row>
    <x:row r="997">
      <x:c r="A997" s="83" t="n">
        <x:v>996</x:v>
      </x:c>
      <x:c r="B997" s="84" t="n">
        <x:v>16</x:v>
      </x:c>
      <x:c r="C997" s="84" t="n">
        <x:v>1555</x:v>
      </x:c>
      <x:c r="D997" s="89" t="n">
        <x:v>45549.605891203704</x:v>
      </x:c>
      <x:c r="E997" s="89" t="n">
        <x:v>45550.22116898148</x:v>
      </x:c>
      <x:c r="F997" s="84" t="n">
        <x:v>886</x:v>
      </x:c>
      <x:c r="G997" s="84" t="n">
        <x:v>1</x:v>
      </x:c>
      <x:c r="H997" s="84" t="str">
        <x:v>Alarme intermitente</x:v>
      </x:c>
      <x:c r="I997" s="84" t="n">
        <x:v>1979</x:v>
      </x:c>
      <x:c r="J997" s="93" t="n">
        <x:v>39270.01</x:v>
      </x:c>
      <x:c r="K997" s="85" t="str">
        <x:v>1º Turno</x:v>
      </x:c>
    </x:row>
    <x:row r="998">
      <x:c r="A998" s="83" t="n">
        <x:v>997</x:v>
      </x:c>
      <x:c r="B998" s="84" t="n">
        <x:v>61</x:v>
      </x:c>
      <x:c r="C998" s="84" t="n">
        <x:v>1557</x:v>
      </x:c>
      <x:c r="D998" s="89" t="n">
        <x:v>45050.84103009259</x:v>
      </x:c>
      <x:c r="E998" s="89" t="n">
        <x:v>45051.10005787037</x:v>
      </x:c>
      <x:c r="F998" s="84" t="n">
        <x:v>373</x:v>
      </x:c>
      <x:c r="G998" s="84" t="n">
        <x:v>1</x:v>
      </x:c>
      <x:c r="H998" s="84" t="str">
        <x:v>Baixa pressão</x:v>
      </x:c>
      <x:c r="I998" s="84" t="n">
        <x:v>373</x:v>
      </x:c>
      <x:c r="J998" s="93" t="n">
        <x:v>17751.4</x:v>
      </x:c>
      <x:c r="K998" s="85" t="str">
        <x:v>2º Turno</x:v>
      </x:c>
    </x:row>
    <x:row r="999">
      <x:c r="A999" s="83" t="n">
        <x:v>998</x:v>
      </x:c>
      <x:c r="B999" s="84" t="n">
        <x:v>6</x:v>
      </x:c>
      <x:c r="C999" s="84" t="n">
        <x:v>1560</x:v>
      </x:c>
      <x:c r="D999" s="89" t="n">
        <x:v>45616.77643518519</x:v>
      </x:c>
      <x:c r="E999" s="89" t="n">
        <x:v>45617.05351851852</x:v>
      </x:c>
      <x:c r="F999" s="84" t="n">
        <x:v>399</x:v>
      </x:c>
      <x:c r="G999" s="84" t="n">
        <x:v>1</x:v>
      </x:c>
      <x:c r="H999" s="84" t="str">
        <x:v>Falha elétrica</x:v>
      </x:c>
      <x:c r="I999" s="84" t="n">
        <x:v>791</x:v>
      </x:c>
      <x:c r="J999" s="93" t="n">
        <x:v>12892.82</x:v>
      </x:c>
      <x:c r="K999" s="85" t="str">
        <x:v>1º Turno</x:v>
      </x:c>
    </x:row>
    <x:row r="1000">
      <x:c r="A1000" s="83" t="n">
        <x:v>999</x:v>
      </x:c>
      <x:c r="B1000" s="84" t="n">
        <x:v>25</x:v>
      </x:c>
      <x:c r="C1000" s="84" t="n">
        <x:v>1562</x:v>
      </x:c>
      <x:c r="D1000" s="89" t="n">
        <x:v>45700.60712962963</x:v>
      </x:c>
      <x:c r="E1000" s="89" t="n">
        <x:v>45701.164768518516</x:v>
      </x:c>
      <x:c r="F1000" s="84" t="n">
        <x:v>803</x:v>
      </x:c>
      <x:c r="G1000" s="84" t="n">
        <x:v>0</x:v>
      </x:c>
      <x:c r="H1000" s="84" t="str">
        <x:v>Alarme intermitente</x:v>
      </x:c>
      <x:c r="I1000" s="84" t="n">
        <x:v>1405</x:v>
      </x:c>
      <x:c r="J1000" s="93" t="n">
        <x:v>35483.95</x:v>
      </x:c>
      <x:c r="K1000" s="85" t="str">
        <x:v>1º Turno</x:v>
      </x:c>
    </x:row>
    <x:row r="1001">
      <x:c r="A1001" s="83" t="n">
        <x:v>1000</x:v>
      </x:c>
      <x:c r="B1001" s="84" t="n">
        <x:v>9</x:v>
      </x:c>
      <x:c r="C1001" s="84" t="n">
        <x:v>1563</x:v>
      </x:c>
      <x:c r="D1001" s="89" t="n">
        <x:v>45709.08175925926</x:v>
      </x:c>
      <x:c r="E1001" s="89" t="n">
        <x:v>45709.54981481482</x:v>
      </x:c>
      <x:c r="F1001" s="84" t="n">
        <x:v>674</x:v>
      </x:c>
      <x:c r="G1001" s="84" t="n">
        <x:v>1</x:v>
      </x:c>
      <x:c r="H1001" s="84" t="str">
        <x:v>Vazamento</x:v>
      </x:c>
      <x:c r="I1001" s="84" t="n">
        <x:v>854</x:v>
      </x:c>
      <x:c r="J1001" s="93" t="n">
        <x:v>35551.71</x:v>
      </x:c>
      <x:c r="K1001" s="85" t="str">
        <x:v>2º Turno</x:v>
      </x:c>
    </x:row>
    <x:row r="1002">
      <x:c r="A1002" s="83" t="n">
        <x:v>1001</x:v>
      </x:c>
      <x:c r="B1002" s="84" t="n">
        <x:v>90</x:v>
      </x:c>
      <x:c r="C1002" s="84" t="n">
        <x:v>1564</x:v>
      </x:c>
      <x:c r="D1002" s="89" t="n">
        <x:v>45575.485983796294</x:v>
      </x:c>
      <x:c r="E1002" s="89" t="n">
        <x:v>45576.04570601852</x:v>
      </x:c>
      <x:c r="F1002" s="84" t="n">
        <x:v>806</x:v>
      </x:c>
      <x:c r="G1002" s="84" t="n">
        <x:v>0</x:v>
      </x:c>
      <x:c r="H1002" s="84" t="str">
        <x:v>Baixa pressão</x:v>
      </x:c>
      <x:c r="I1002" s="84" t="n">
        <x:v>1048</x:v>
      </x:c>
      <x:c r="J1002" s="93" t="n">
        <x:v>27419.73</x:v>
      </x:c>
      <x:c r="K1002" s="85" t="str">
        <x:v>3º Turno</x:v>
      </x:c>
    </x:row>
    <x:row r="1003">
      <x:c r="A1003" s="83" t="n">
        <x:v>1002</x:v>
      </x:c>
      <x:c r="B1003" s="84" t="n">
        <x:v>84</x:v>
      </x:c>
      <x:c r="C1003" s="84" t="n">
        <x:v>1565</x:v>
      </x:c>
      <x:c r="D1003" s="89" t="n">
        <x:v>45289.67119212963</x:v>
      </x:c>
      <x:c r="E1003" s="89" t="n">
        <x:v>45290.25035879629</x:v>
      </x:c>
      <x:c r="F1003" s="84" t="n">
        <x:v>834</x:v>
      </x:c>
      <x:c r="G1003" s="84" t="n">
        <x:v>1</x:v>
      </x:c>
      <x:c r="H1003" s="84" t="str">
        <x:v>Ruído anormal</x:v>
      </x:c>
      <x:c r="I1003" s="84" t="n">
        <x:v>1293</x:v>
      </x:c>
      <x:c r="J1003" s="93" t="n">
        <x:v>38415.23</x:v>
      </x:c>
      <x:c r="K1003" s="85" t="str">
        <x:v>3º Turno</x:v>
      </x:c>
    </x:row>
    <x:row r="1004">
      <x:c r="A1004" s="83" t="n">
        <x:v>1003</x:v>
      </x:c>
      <x:c r="B1004" s="84" t="n">
        <x:v>72</x:v>
      </x:c>
      <x:c r="C1004" s="84" t="n">
        <x:v>1567</x:v>
      </x:c>
      <x:c r="D1004" s="89" t="n">
        <x:v>45274.41559027778</x:v>
      </x:c>
      <x:c r="E1004" s="89" t="n">
        <x:v>45275.03503472222</x:v>
      </x:c>
      <x:c r="F1004" s="84" t="n">
        <x:v>892</x:v>
      </x:c>
      <x:c r="G1004" s="84" t="n">
        <x:v>1</x:v>
      </x:c>
      <x:c r="H1004" s="84" t="str">
        <x:v>Baixa pressão</x:v>
      </x:c>
      <x:c r="I1004" s="84" t="n">
        <x:v>1085</x:v>
      </x:c>
      <x:c r="J1004" s="93" t="n">
        <x:v>26852.17</x:v>
      </x:c>
      <x:c r="K1004" s="85" t="str">
        <x:v>3º Turno</x:v>
      </x:c>
    </x:row>
    <x:row r="1005">
      <x:c r="A1005" s="83" t="n">
        <x:v>1004</x:v>
      </x:c>
      <x:c r="B1005" s="84" t="n">
        <x:v>19</x:v>
      </x:c>
      <x:c r="C1005" s="84" t="n">
        <x:v>1568</x:v>
      </x:c>
      <x:c r="D1005" s="89" t="n">
        <x:v>45912.87075231481</x:v>
      </x:c>
      <x:c r="E1005" s="89" t="n">
        <x:v>45913.31380787037</x:v>
      </x:c>
      <x:c r="F1005" s="84" t="n">
        <x:v>638</x:v>
      </x:c>
      <x:c r="G1005" s="84" t="n">
        <x:v>0</x:v>
      </x:c>
      <x:c r="H1005" s="84" t="str">
        <x:v>Desalinhamento</x:v>
      </x:c>
      <x:c r="I1005" s="84" t="n">
        <x:v>1042</x:v>
      </x:c>
      <x:c r="J1005" s="93" t="n">
        <x:v>14988.03</x:v>
      </x:c>
      <x:c r="K1005" s="85" t="str">
        <x:v>2º Turno</x:v>
      </x:c>
    </x:row>
    <x:row r="1006">
      <x:c r="A1006" s="83" t="n">
        <x:v>1005</x:v>
      </x:c>
      <x:c r="B1006" s="84" t="n">
        <x:v>35</x:v>
      </x:c>
      <x:c r="C1006" s="84" t="n">
        <x:v>1569</x:v>
      </x:c>
      <x:c r="D1006" s="89" t="n">
        <x:v>45161.54849537037</x:v>
      </x:c>
      <x:c r="E1006" s="89" t="n">
        <x:v>45162.104050925926</x:v>
      </x:c>
      <x:c r="F1006" s="84" t="n">
        <x:v>800</x:v>
      </x:c>
      <x:c r="G1006" s="84" t="n">
        <x:v>1</x:v>
      </x:c>
      <x:c r="H1006" s="84" t="str">
        <x:v>Falha elétrica</x:v>
      </x:c>
      <x:c r="I1006" s="84" t="n">
        <x:v>1173</x:v>
      </x:c>
      <x:c r="J1006" s="93" t="n">
        <x:v>37286.18</x:v>
      </x:c>
      <x:c r="K1006" s="85" t="str">
        <x:v>1º Turno</x:v>
      </x:c>
    </x:row>
    <x:row r="1007">
      <x:c r="A1007" s="83" t="n">
        <x:v>1006</x:v>
      </x:c>
      <x:c r="B1007" s="84" t="n">
        <x:v>50</x:v>
      </x:c>
      <x:c r="C1007" s="84" t="n">
        <x:v>1571</x:v>
      </x:c>
      <x:c r="D1007" s="89" t="n">
        <x:v>45086.55674768519</x:v>
      </x:c>
      <x:c r="E1007" s="89" t="n">
        <x:v>45086.62966435185</x:v>
      </x:c>
      <x:c r="F1007" s="84" t="n">
        <x:v>105</x:v>
      </x:c>
      <x:c r="G1007" s="84" t="n">
        <x:v>1</x:v>
      </x:c>
      <x:c r="H1007" s="84" t="str">
        <x:v>Alarme intermitente</x:v>
      </x:c>
      <x:c r="I1007" s="84" t="n">
        <x:v>238</x:v>
      </x:c>
      <x:c r="J1007" s="93" t="n">
        <x:v>3938.97</x:v>
      </x:c>
      <x:c r="K1007" s="85" t="str">
        <x:v>2º Turno</x:v>
      </x:c>
    </x:row>
    <x:row r="1008">
      <x:c r="A1008" s="83" t="n">
        <x:v>1007</x:v>
      </x:c>
      <x:c r="B1008" s="84" t="n">
        <x:v>60</x:v>
      </x:c>
      <x:c r="C1008" s="84" t="n">
        <x:v>1575</x:v>
      </x:c>
      <x:c r="D1008" s="89" t="n">
        <x:v>44954.89251157407</x:v>
      </x:c>
      <x:c r="E1008" s="89" t="n">
        <x:v>44955.48556712963</x:v>
      </x:c>
      <x:c r="F1008" s="84" t="n">
        <x:v>854</x:v>
      </x:c>
      <x:c r="G1008" s="84" t="n">
        <x:v>1</x:v>
      </x:c>
      <x:c r="H1008" s="84" t="str">
        <x:v>Alarme intermitente</x:v>
      </x:c>
      <x:c r="I1008" s="84" t="n">
        <x:v>1836</x:v>
      </x:c>
      <x:c r="J1008" s="93" t="n">
        <x:v>28085.3</x:v>
      </x:c>
      <x:c r="K1008" s="85" t="str">
        <x:v>2º Turno</x:v>
      </x:c>
    </x:row>
    <x:row r="1009">
      <x:c r="A1009" s="83" t="n">
        <x:v>1008</x:v>
      </x:c>
      <x:c r="B1009" s="84" t="n">
        <x:v>6</x:v>
      </x:c>
      <x:c r="C1009" s="84" t="n">
        <x:v>1577</x:v>
      </x:c>
      <x:c r="D1009" s="89" t="n">
        <x:v>45115.85146990741</x:v>
      </x:c>
      <x:c r="E1009" s="89" t="n">
        <x:v>45116.06466435185</x:v>
      </x:c>
      <x:c r="F1009" s="84" t="n">
        <x:v>307</x:v>
      </x:c>
      <x:c r="G1009" s="84" t="n">
        <x:v>1</x:v>
      </x:c>
      <x:c r="H1009" s="84" t="str">
        <x:v>Vazamento</x:v>
      </x:c>
      <x:c r="I1009" s="84" t="n">
        <x:v>655</x:v>
      </x:c>
      <x:c r="J1009" s="93" t="n">
        <x:v>13551.71</x:v>
      </x:c>
      <x:c r="K1009" s="85" t="str">
        <x:v>1º Turno</x:v>
      </x:c>
    </x:row>
    <x:row r="1010">
      <x:c r="A1010" s="83" t="n">
        <x:v>1009</x:v>
      </x:c>
      <x:c r="B1010" s="84" t="n">
        <x:v>70</x:v>
      </x:c>
      <x:c r="C1010" s="84" t="n">
        <x:v>1578</x:v>
      </x:c>
      <x:c r="D1010" s="89" t="n">
        <x:v>45312.633414351854</x:v>
      </x:c>
      <x:c r="E1010" s="89" t="n">
        <x:v>45312.804247685184</x:v>
      </x:c>
      <x:c r="F1010" s="84" t="n">
        <x:v>246</x:v>
      </x:c>
      <x:c r="G1010" s="84" t="n">
        <x:v>1</x:v>
      </x:c>
      <x:c r="H1010" s="84" t="str">
        <x:v>Desalinhamento</x:v>
      </x:c>
      <x:c r="I1010" s="84" t="n">
        <x:v>578</x:v>
      </x:c>
      <x:c r="J1010" s="93" t="n">
        <x:v>10075.83</x:v>
      </x:c>
      <x:c r="K1010" s="85" t="str">
        <x:v>1º Turno</x:v>
      </x:c>
    </x:row>
    <x:row r="1011">
      <x:c r="A1011" s="83" t="n">
        <x:v>1010</x:v>
      </x:c>
      <x:c r="B1011" s="84" t="n">
        <x:v>68</x:v>
      </x:c>
      <x:c r="C1011" s="84" t="n">
        <x:v>1579</x:v>
      </x:c>
      <x:c r="D1011" s="89" t="n">
        <x:v>45473.871157407404</x:v>
      </x:c>
      <x:c r="E1011" s="89" t="n">
        <x:v>45473.9662962963</x:v>
      </x:c>
      <x:c r="F1011" s="84" t="n">
        <x:v>137</x:v>
      </x:c>
      <x:c r="G1011" s="84" t="n">
        <x:v>1</x:v>
      </x:c>
      <x:c r="H1011" s="84" t="str">
        <x:v>Ruído anormal</x:v>
      </x:c>
      <x:c r="I1011" s="84" t="n">
        <x:v>171</x:v>
      </x:c>
      <x:c r="J1011" s="93" t="n">
        <x:v>5792.46</x:v>
      </x:c>
      <x:c r="K1011" s="85" t="str">
        <x:v>2º Turno</x:v>
      </x:c>
    </x:row>
    <x:row r="1012">
      <x:c r="A1012" s="83" t="n">
        <x:v>1011</x:v>
      </x:c>
      <x:c r="B1012" s="84" t="n">
        <x:v>57</x:v>
      </x:c>
      <x:c r="C1012" s="84" t="n">
        <x:v>1581</x:v>
      </x:c>
      <x:c r="D1012" s="89" t="n">
        <x:v>45444.22446759259</x:v>
      </x:c>
      <x:c r="E1012" s="89" t="n">
        <x:v>45444.69599537037</x:v>
      </x:c>
      <x:c r="F1012" s="84" t="n">
        <x:v>679</x:v>
      </x:c>
      <x:c r="G1012" s="84" t="n">
        <x:v>1</x:v>
      </x:c>
      <x:c r="H1012" s="84" t="str">
        <x:v>Desalinhamento</x:v>
      </x:c>
      <x:c r="I1012" s="84" t="n">
        <x:v>1256</x:v>
      </x:c>
      <x:c r="J1012" s="93" t="n">
        <x:v>11559.67</x:v>
      </x:c>
      <x:c r="K1012" s="85" t="str">
        <x:v>1º Turno</x:v>
      </x:c>
    </x:row>
    <x:row r="1013">
      <x:c r="A1013" s="83" t="n">
        <x:v>1012</x:v>
      </x:c>
      <x:c r="B1013" s="84" t="n">
        <x:v>60</x:v>
      </x:c>
      <x:c r="C1013" s="84" t="n">
        <x:v>1582</x:v>
      </x:c>
      <x:c r="D1013" s="89" t="n">
        <x:v>45850.727106481485</x:v>
      </x:c>
      <x:c r="E1013" s="89" t="n">
        <x:v>45851.09307870371</x:v>
      </x:c>
      <x:c r="F1013" s="84" t="n">
        <x:v>527</x:v>
      </x:c>
      <x:c r="G1013" s="84" t="n">
        <x:v>1</x:v>
      </x:c>
      <x:c r="H1013" s="84" t="str">
        <x:v>Desalinhamento</x:v>
      </x:c>
      <x:c r="I1013" s="84" t="n">
        <x:v>834</x:v>
      </x:c>
      <x:c r="J1013" s="93" t="n">
        <x:v>7802.58</x:v>
      </x:c>
      <x:c r="K1013" s="85" t="str">
        <x:v>3º Turno</x:v>
      </x:c>
    </x:row>
    <x:row r="1014">
      <x:c r="A1014" s="83" t="n">
        <x:v>1013</x:v>
      </x:c>
      <x:c r="B1014" s="84" t="n">
        <x:v>44</x:v>
      </x:c>
      <x:c r="C1014" s="84" t="n">
        <x:v>1584</x:v>
      </x:c>
      <x:c r="D1014" s="89" t="n">
        <x:v>45983.60413194444</x:v>
      </x:c>
      <x:c r="E1014" s="89" t="n">
        <x:v>45984.162465277775</x:v>
      </x:c>
      <x:c r="F1014" s="84" t="n">
        <x:v>804</x:v>
      </x:c>
      <x:c r="G1014" s="84" t="n">
        <x:v>1</x:v>
      </x:c>
      <x:c r="H1014" s="84" t="str">
        <x:v>Falha elétrica</x:v>
      </x:c>
      <x:c r="I1014" s="84" t="n">
        <x:v>844</x:v>
      </x:c>
      <x:c r="J1014" s="93" t="n">
        <x:v>27951.57</x:v>
      </x:c>
      <x:c r="K1014" s="85" t="str">
        <x:v>1º Turno</x:v>
      </x:c>
    </x:row>
    <x:row r="1015">
      <x:c r="A1015" s="83" t="n">
        <x:v>1014</x:v>
      </x:c>
      <x:c r="B1015" s="84" t="n">
        <x:v>60</x:v>
      </x:c>
      <x:c r="C1015" s="84" t="n">
        <x:v>1585</x:v>
      </x:c>
      <x:c r="D1015" s="89" t="n">
        <x:v>45805.68693287037</x:v>
      </x:c>
      <x:c r="E1015" s="89" t="n">
        <x:v>45806.06332175926</x:v>
      </x:c>
      <x:c r="F1015" s="84" t="n">
        <x:v>542</x:v>
      </x:c>
      <x:c r="G1015" s="84" t="n">
        <x:v>1</x:v>
      </x:c>
      <x:c r="H1015" s="84" t="str">
        <x:v>Superaquecimento</x:v>
      </x:c>
      <x:c r="I1015" s="84" t="n">
        <x:v>687</x:v>
      </x:c>
      <x:c r="J1015" s="93" t="n">
        <x:v>31089.35</x:v>
      </x:c>
      <x:c r="K1015" s="85" t="str">
        <x:v>1º Turno</x:v>
      </x:c>
    </x:row>
    <x:row r="1016">
      <x:c r="A1016" s="83" t="n">
        <x:v>1015</x:v>
      </x:c>
      <x:c r="B1016" s="84" t="n">
        <x:v>59</x:v>
      </x:c>
      <x:c r="C1016" s="84" t="n">
        <x:v>1588</x:v>
      </x:c>
      <x:c r="D1016" s="89" t="n">
        <x:v>44980.792974537035</x:v>
      </x:c>
      <x:c r="E1016" s="89" t="n">
        <x:v>44980.96380787037</x:v>
      </x:c>
      <x:c r="F1016" s="84" t="n">
        <x:v>246</x:v>
      </x:c>
      <x:c r="G1016" s="84" t="n">
        <x:v>1</x:v>
      </x:c>
      <x:c r="H1016" s="84" t="str">
        <x:v>Vazamento</x:v>
      </x:c>
      <x:c r="I1016" s="84" t="n">
        <x:v>381</x:v>
      </x:c>
      <x:c r="J1016" s="93" t="n">
        <x:v>9379.85</x:v>
      </x:c>
      <x:c r="K1016" s="85" t="str">
        <x:v>1º Turno</x:v>
      </x:c>
    </x:row>
    <x:row r="1017">
      <x:c r="A1017" s="83" t="n">
        <x:v>1016</x:v>
      </x:c>
      <x:c r="B1017" s="84" t="n">
        <x:v>55</x:v>
      </x:c>
      <x:c r="C1017" s="84" t="n">
        <x:v>1589</x:v>
      </x:c>
      <x:c r="D1017" s="89" t="n">
        <x:v>45616.14393518519</x:v>
      </x:c>
      <x:c r="E1017" s="89" t="n">
        <x:v>45616.539768518516</x:v>
      </x:c>
      <x:c r="F1017" s="84" t="n">
        <x:v>570</x:v>
      </x:c>
      <x:c r="G1017" s="84" t="n">
        <x:v>1</x:v>
      </x:c>
      <x:c r="H1017" s="84" t="str">
        <x:v>Alarme intermitente</x:v>
      </x:c>
      <x:c r="I1017" s="84" t="n">
        <x:v>1197</x:v>
      </x:c>
      <x:c r="J1017" s="93" t="n">
        <x:v>19911.12</x:v>
      </x:c>
      <x:c r="K1017" s="85" t="str">
        <x:v>3º Turno</x:v>
      </x:c>
    </x:row>
    <x:row r="1018">
      <x:c r="A1018" s="83" t="n">
        <x:v>1017</x:v>
      </x:c>
      <x:c r="B1018" s="84" t="n">
        <x:v>9</x:v>
      </x:c>
      <x:c r="C1018" s="84" t="n">
        <x:v>1590</x:v>
      </x:c>
      <x:c r="D1018" s="89" t="n">
        <x:v>45260.66583333333</x:v>
      </x:c>
      <x:c r="E1018" s="89" t="n">
        <x:v>45260.730416666665</x:v>
      </x:c>
      <x:c r="F1018" s="84" t="n">
        <x:v>93</x:v>
      </x:c>
      <x:c r="G1018" s="84" t="n">
        <x:v>1</x:v>
      </x:c>
      <x:c r="H1018" s="84" t="str">
        <x:v>Superaquecimento</x:v>
      </x:c>
      <x:c r="I1018" s="84" t="n">
        <x:v>167</x:v>
      </x:c>
      <x:c r="J1018" s="93" t="n">
        <x:v>1258.09</x:v>
      </x:c>
      <x:c r="K1018" s="85" t="str">
        <x:v>1º Turno</x:v>
      </x:c>
    </x:row>
    <x:row r="1019">
      <x:c r="A1019" s="83" t="n">
        <x:v>1018</x:v>
      </x:c>
      <x:c r="B1019" s="84" t="n">
        <x:v>12</x:v>
      </x:c>
      <x:c r="C1019" s="84" t="n">
        <x:v>1591</x:v>
      </x:c>
      <x:c r="D1019" s="89" t="n">
        <x:v>45765.38364583333</x:v>
      </x:c>
      <x:c r="E1019" s="89" t="n">
        <x:v>45765.75517361111</x:v>
      </x:c>
      <x:c r="F1019" s="84" t="n">
        <x:v>535</x:v>
      </x:c>
      <x:c r="G1019" s="84" t="n">
        <x:v>1</x:v>
      </x:c>
      <x:c r="H1019" s="84" t="str">
        <x:v>Vazamento</x:v>
      </x:c>
      <x:c r="I1019" s="84" t="n">
        <x:v>1088</x:v>
      </x:c>
      <x:c r="J1019" s="93" t="n">
        <x:v>20609.91</x:v>
      </x:c>
      <x:c r="K1019" s="85" t="str">
        <x:v>3º Turno</x:v>
      </x:c>
    </x:row>
    <x:row r="1020">
      <x:c r="A1020" s="83" t="n">
        <x:v>1019</x:v>
      </x:c>
      <x:c r="B1020" s="84" t="n">
        <x:v>6</x:v>
      </x:c>
      <x:c r="C1020" s="84" t="n">
        <x:v>1592</x:v>
      </x:c>
      <x:c r="D1020" s="89" t="n">
        <x:v>45137.53239583333</x:v>
      </x:c>
      <x:c r="E1020" s="89" t="n">
        <x:v>45137.653229166666</x:v>
      </x:c>
      <x:c r="F1020" s="84" t="n">
        <x:v>174</x:v>
      </x:c>
      <x:c r="G1020" s="84" t="n">
        <x:v>0</x:v>
      </x:c>
      <x:c r="H1020" s="84" t="str">
        <x:v>Baixa pressão</x:v>
      </x:c>
      <x:c r="I1020" s="84" t="n">
        <x:v>220</x:v>
      </x:c>
      <x:c r="J1020" s="93" t="n">
        <x:v>5943.53</x:v>
      </x:c>
      <x:c r="K1020" s="85" t="str">
        <x:v>1º Turno</x:v>
      </x:c>
    </x:row>
    <x:row r="1021">
      <x:c r="A1021" s="83" t="n">
        <x:v>1020</x:v>
      </x:c>
      <x:c r="B1021" s="84" t="n">
        <x:v>6</x:v>
      </x:c>
      <x:c r="C1021" s="84" t="n">
        <x:v>1593</x:v>
      </x:c>
      <x:c r="D1021" s="89" t="n">
        <x:v>45877.38998842592</x:v>
      </x:c>
      <x:c r="E1021" s="89" t="n">
        <x:v>45877.81290509259</x:v>
      </x:c>
      <x:c r="F1021" s="84" t="n">
        <x:v>609</x:v>
      </x:c>
      <x:c r="G1021" s="84" t="n">
        <x:v>1</x:v>
      </x:c>
      <x:c r="H1021" s="84" t="str">
        <x:v>Superaquecimento</x:v>
      </x:c>
      <x:c r="I1021" s="84" t="n">
        <x:v>1279</x:v>
      </x:c>
      <x:c r="J1021" s="93" t="n">
        <x:v>33092.3</x:v>
      </x:c>
      <x:c r="K1021" s="85" t="str">
        <x:v>1º Turno</x:v>
      </x:c>
    </x:row>
    <x:row r="1022">
      <x:c r="A1022" s="83" t="n">
        <x:v>1021</x:v>
      </x:c>
      <x:c r="B1022" s="84" t="n">
        <x:v>18</x:v>
      </x:c>
      <x:c r="C1022" s="84" t="n">
        <x:v>1595</x:v>
      </x:c>
      <x:c r="D1022" s="89" t="n">
        <x:v>45111.03743055555</x:v>
      </x:c>
      <x:c r="E1022" s="89" t="n">
        <x:v>45111.31034722222</x:v>
      </x:c>
      <x:c r="F1022" s="84" t="n">
        <x:v>393</x:v>
      </x:c>
      <x:c r="G1022" s="84" t="n">
        <x:v>0</x:v>
      </x:c>
      <x:c r="H1022" s="84" t="str">
        <x:v>Vazamento</x:v>
      </x:c>
      <x:c r="I1022" s="84" t="n">
        <x:v>819</x:v>
      </x:c>
      <x:c r="J1022" s="93" t="n">
        <x:v>18958.74</x:v>
      </x:c>
      <x:c r="K1022" s="85" t="str">
        <x:v>2º Turno</x:v>
      </x:c>
    </x:row>
    <x:row r="1023">
      <x:c r="A1023" s="83" t="n">
        <x:v>1022</x:v>
      </x:c>
      <x:c r="B1023" s="84" t="n">
        <x:v>53</x:v>
      </x:c>
      <x:c r="C1023" s="84" t="n">
        <x:v>1596</x:v>
      </x:c>
      <x:c r="D1023" s="89" t="n">
        <x:v>45184.714224537034</x:v>
      </x:c>
      <x:c r="E1023" s="89" t="n">
        <x:v>45184.921168981484</x:v>
      </x:c>
      <x:c r="F1023" s="84" t="n">
        <x:v>298</x:v>
      </x:c>
      <x:c r="G1023" s="84" t="n">
        <x:v>1</x:v>
      </x:c>
      <x:c r="H1023" s="84" t="str">
        <x:v>Falha elétrica</x:v>
      </x:c>
      <x:c r="I1023" s="84" t="n">
        <x:v>447</x:v>
      </x:c>
      <x:c r="J1023" s="93" t="n">
        <x:v>10861.88</x:v>
      </x:c>
      <x:c r="K1023" s="85" t="str">
        <x:v>3º Turno</x:v>
      </x:c>
    </x:row>
    <x:row r="1024">
      <x:c r="A1024" s="83" t="n">
        <x:v>1023</x:v>
      </x:c>
      <x:c r="B1024" s="84" t="n">
        <x:v>54</x:v>
      </x:c>
      <x:c r="C1024" s="84" t="n">
        <x:v>1597</x:v>
      </x:c>
      <x:c r="D1024" s="89" t="n">
        <x:v>45548.00984953704</x:v>
      </x:c>
      <x:c r="E1024" s="89" t="n">
        <x:v>45548.16818287037</x:v>
      </x:c>
      <x:c r="F1024" s="84" t="n">
        <x:v>228</x:v>
      </x:c>
      <x:c r="G1024" s="84" t="n">
        <x:v>1</x:v>
      </x:c>
      <x:c r="H1024" s="84" t="str">
        <x:v>Alarme intermitente</x:v>
      </x:c>
      <x:c r="I1024" s="84" t="n">
        <x:v>498</x:v>
      </x:c>
      <x:c r="J1024" s="93" t="n">
        <x:v>12097.41</x:v>
      </x:c>
      <x:c r="K1024" s="85" t="str">
        <x:v>2º Turno</x:v>
      </x:c>
    </x:row>
    <x:row r="1025">
      <x:c r="A1025" s="83" t="n">
        <x:v>1024</x:v>
      </x:c>
      <x:c r="B1025" s="84" t="n">
        <x:v>66</x:v>
      </x:c>
      <x:c r="C1025" s="84" t="n">
        <x:v>1598</x:v>
      </x:c>
      <x:c r="D1025" s="89" t="n">
        <x:v>45310.036770833336</x:v>
      </x:c>
      <x:c r="E1025" s="89" t="n">
        <x:v>45310.59579861111</x:v>
      </x:c>
      <x:c r="F1025" s="84" t="n">
        <x:v>805</x:v>
      </x:c>
      <x:c r="G1025" s="84" t="n">
        <x:v>0</x:v>
      </x:c>
      <x:c r="H1025" s="84" t="str">
        <x:v>Ruído anormal</x:v>
      </x:c>
      <x:c r="I1025" s="84" t="n">
        <x:v>1784</x:v>
      </x:c>
      <x:c r="J1025" s="93" t="n">
        <x:v>25728.84</x:v>
      </x:c>
      <x:c r="K1025" s="85" t="str">
        <x:v>2º Turno</x:v>
      </x:c>
    </x:row>
    <x:row r="1026">
      <x:c r="A1026" s="83" t="n">
        <x:v>1025</x:v>
      </x:c>
      <x:c r="B1026" s="84" t="n">
        <x:v>71</x:v>
      </x:c>
      <x:c r="C1026" s="84" t="n">
        <x:v>1599</x:v>
      </x:c>
      <x:c r="D1026" s="89" t="n">
        <x:v>45339.79854166666</x:v>
      </x:c>
      <x:c r="E1026" s="89" t="n">
        <x:v>45340.238125</x:v>
      </x:c>
      <x:c r="F1026" s="84" t="n">
        <x:v>633</x:v>
      </x:c>
      <x:c r="G1026" s="84" t="n">
        <x:v>1</x:v>
      </x:c>
      <x:c r="H1026" s="84" t="str">
        <x:v>Alarme intermitente</x:v>
      </x:c>
      <x:c r="I1026" s="84" t="n">
        <x:v>1160</x:v>
      </x:c>
      <x:c r="J1026" s="93" t="n">
        <x:v>34628.68</x:v>
      </x:c>
      <x:c r="K1026" s="85" t="str">
        <x:v>3º Turno</x:v>
      </x:c>
    </x:row>
    <x:row r="1027">
      <x:c r="A1027" s="83" t="n">
        <x:v>1026</x:v>
      </x:c>
      <x:c r="B1027" s="84" t="n">
        <x:v>55</x:v>
      </x:c>
      <x:c r="C1027" s="84" t="n">
        <x:v>1601</x:v>
      </x:c>
      <x:c r="D1027" s="89" t="n">
        <x:v>45110.13892361111</x:v>
      </x:c>
      <x:c r="E1027" s="89" t="n">
        <x:v>45110.55559027778</x:v>
      </x:c>
      <x:c r="F1027" s="84" t="n">
        <x:v>600</x:v>
      </x:c>
      <x:c r="G1027" s="84" t="n">
        <x:v>0</x:v>
      </x:c>
      <x:c r="H1027" s="84" t="str">
        <x:v>Baixa pressão</x:v>
      </x:c>
      <x:c r="I1027" s="84" t="n">
        <x:v>1390</x:v>
      </x:c>
      <x:c r="J1027" s="93" t="n">
        <x:v>21650.42</x:v>
      </x:c>
      <x:c r="K1027" s="85" t="str">
        <x:v>1º Turno</x:v>
      </x:c>
    </x:row>
    <x:row r="1028">
      <x:c r="A1028" s="83" t="n">
        <x:v>1027</x:v>
      </x:c>
      <x:c r="B1028" s="84" t="n">
        <x:v>85</x:v>
      </x:c>
      <x:c r="C1028" s="84" t="n">
        <x:v>1602</x:v>
      </x:c>
      <x:c r="D1028" s="89" t="n">
        <x:v>45977.9062962963</x:v>
      </x:c>
      <x:c r="E1028" s="89" t="n">
        <x:v>45978.30490740741</x:v>
      </x:c>
      <x:c r="F1028" s="84" t="n">
        <x:v>574</x:v>
      </x:c>
      <x:c r="G1028" s="84" t="n">
        <x:v>0</x:v>
      </x:c>
      <x:c r="H1028" s="84" t="str">
        <x:v>Vazamento</x:v>
      </x:c>
      <x:c r="I1028" s="84" t="n">
        <x:v>698</x:v>
      </x:c>
      <x:c r="J1028" s="93" t="n">
        <x:v>22746.56</x:v>
      </x:c>
      <x:c r="K1028" s="85" t="str">
        <x:v>3º Turno</x:v>
      </x:c>
    </x:row>
    <x:row r="1029">
      <x:c r="A1029" s="83" t="n">
        <x:v>1028</x:v>
      </x:c>
      <x:c r="B1029" s="84" t="n">
        <x:v>44</x:v>
      </x:c>
      <x:c r="C1029" s="84" t="n">
        <x:v>1603</x:v>
      </x:c>
      <x:c r="D1029" s="89" t="n">
        <x:v>45158.05532407408</x:v>
      </x:c>
      <x:c r="E1029" s="89" t="n">
        <x:v>45158.40115740741</x:v>
      </x:c>
      <x:c r="F1029" s="84" t="n">
        <x:v>498</x:v>
      </x:c>
      <x:c r="G1029" s="84" t="n">
        <x:v>1</x:v>
      </x:c>
      <x:c r="H1029" s="84" t="str">
        <x:v>Baixa pressão</x:v>
      </x:c>
      <x:c r="I1029" s="84" t="n">
        <x:v>664</x:v>
      </x:c>
      <x:c r="J1029" s="93" t="n">
        <x:v>24929.26</x:v>
      </x:c>
      <x:c r="K1029" s="85" t="str">
        <x:v>1º Turno</x:v>
      </x:c>
    </x:row>
    <x:row r="1030">
      <x:c r="A1030" s="83" t="n">
        <x:v>1029</x:v>
      </x:c>
      <x:c r="B1030" s="84" t="n">
        <x:v>64</x:v>
      </x:c>
      <x:c r="C1030" s="84" t="n">
        <x:v>1605</x:v>
      </x:c>
      <x:c r="D1030" s="89" t="n">
        <x:v>45080.29665509259</x:v>
      </x:c>
      <x:c r="E1030" s="89" t="n">
        <x:v>45080.80568287037</x:v>
      </x:c>
      <x:c r="F1030" s="84" t="n">
        <x:v>733</x:v>
      </x:c>
      <x:c r="G1030" s="84" t="n">
        <x:v>0</x:v>
      </x:c>
      <x:c r="H1030" s="84" t="str">
        <x:v>Alarme intermitente</x:v>
      </x:c>
      <x:c r="I1030" s="84" t="n">
        <x:v>745</x:v>
      </x:c>
      <x:c r="J1030" s="93" t="n">
        <x:v>36553.01</x:v>
      </x:c>
      <x:c r="K1030" s="85" t="str">
        <x:v>1º Turno</x:v>
      </x:c>
    </x:row>
    <x:row r="1031">
      <x:c r="A1031" s="83" t="n">
        <x:v>1030</x:v>
      </x:c>
      <x:c r="B1031" s="84" t="n">
        <x:v>76</x:v>
      </x:c>
      <x:c r="C1031" s="84" t="n">
        <x:v>1606</x:v>
      </x:c>
      <x:c r="D1031" s="89" t="n">
        <x:v>45082.81351851852</x:v>
      </x:c>
      <x:c r="E1031" s="89" t="n">
        <x:v>45083.22046296296</x:v>
      </x:c>
      <x:c r="F1031" s="84" t="n">
        <x:v>586</x:v>
      </x:c>
      <x:c r="G1031" s="84" t="n">
        <x:v>1</x:v>
      </x:c>
      <x:c r="H1031" s="84" t="str">
        <x:v>Baixa pressão</x:v>
      </x:c>
      <x:c r="I1031" s="84" t="n">
        <x:v>1152</x:v>
      </x:c>
      <x:c r="J1031" s="93" t="n">
        <x:v>29829.38</x:v>
      </x:c>
      <x:c r="K1031" s="85" t="str">
        <x:v>3º Turno</x:v>
      </x:c>
    </x:row>
    <x:row r="1032">
      <x:c r="A1032" s="83" t="n">
        <x:v>1031</x:v>
      </x:c>
      <x:c r="B1032" s="84" t="n">
        <x:v>14</x:v>
      </x:c>
      <x:c r="C1032" s="84" t="n">
        <x:v>1607</x:v>
      </x:c>
      <x:c r="D1032" s="89" t="n">
        <x:v>45379.65047453704</x:v>
      </x:c>
      <x:c r="E1032" s="89" t="n">
        <x:v>45380.126863425925</x:v>
      </x:c>
      <x:c r="F1032" s="84" t="n">
        <x:v>686</x:v>
      </x:c>
      <x:c r="G1032" s="84" t="n">
        <x:v>0</x:v>
      </x:c>
      <x:c r="H1032" s="84" t="str">
        <x:v>Baixa pressão</x:v>
      </x:c>
      <x:c r="I1032" s="84" t="n">
        <x:v>1578</x:v>
      </x:c>
      <x:c r="J1032" s="93" t="n">
        <x:v>12582.88</x:v>
      </x:c>
      <x:c r="K1032" s="85" t="str">
        <x:v>3º Turno</x:v>
      </x:c>
    </x:row>
    <x:row r="1033">
      <x:c r="A1033" s="83" t="n">
        <x:v>1032</x:v>
      </x:c>
      <x:c r="B1033" s="84" t="n">
        <x:v>84</x:v>
      </x:c>
      <x:c r="C1033" s="84" t="n">
        <x:v>1608</x:v>
      </x:c>
      <x:c r="D1033" s="89" t="n">
        <x:v>44963.22491898148</x:v>
      </x:c>
      <x:c r="E1033" s="89" t="n">
        <x:v>44963.261724537035</x:v>
      </x:c>
      <x:c r="F1033" s="84" t="n">
        <x:v>53</x:v>
      </x:c>
      <x:c r="G1033" s="84" t="n">
        <x:v>1</x:v>
      </x:c>
      <x:c r="H1033" s="84" t="str">
        <x:v>Falha elétrica</x:v>
      </x:c>
      <x:c r="I1033" s="84" t="n">
        <x:v>104</x:v>
      </x:c>
      <x:c r="J1033" s="93" t="n">
        <x:v>2090.88</x:v>
      </x:c>
      <x:c r="K1033" s="85" t="str">
        <x:v>3º Turno</x:v>
      </x:c>
    </x:row>
    <x:row r="1034">
      <x:c r="A1034" s="83" t="n">
        <x:v>1033</x:v>
      </x:c>
      <x:c r="B1034" s="84" t="n">
        <x:v>86</x:v>
      </x:c>
      <x:c r="C1034" s="84" t="n">
        <x:v>1609</x:v>
      </x:c>
      <x:c r="D1034" s="89" t="n">
        <x:v>45362.959398148145</x:v>
      </x:c>
      <x:c r="E1034" s="89" t="n">
        <x:v>45363.21425925926</x:v>
      </x:c>
      <x:c r="F1034" s="84" t="n">
        <x:v>367</x:v>
      </x:c>
      <x:c r="G1034" s="84" t="n">
        <x:v>1</x:v>
      </x:c>
      <x:c r="H1034" s="84" t="str">
        <x:v>Falha elétrica</x:v>
      </x:c>
      <x:c r="I1034" s="84" t="n">
        <x:v>887</x:v>
      </x:c>
      <x:c r="J1034" s="93" t="n">
        <x:v>17633.25</x:v>
      </x:c>
      <x:c r="K1034" s="85" t="str">
        <x:v>3º Turno</x:v>
      </x:c>
    </x:row>
    <x:row r="1035">
      <x:c r="A1035" s="83" t="n">
        <x:v>1034</x:v>
      </x:c>
      <x:c r="B1035" s="84" t="n">
        <x:v>49</x:v>
      </x:c>
      <x:c r="C1035" s="84" t="n">
        <x:v>1610</x:v>
      </x:c>
      <x:c r="D1035" s="89" t="n">
        <x:v>45150.95274305555</x:v>
      </x:c>
      <x:c r="E1035" s="89" t="n">
        <x:v>45151.1096875</x:v>
      </x:c>
      <x:c r="F1035" s="84" t="n">
        <x:v>226</x:v>
      </x:c>
      <x:c r="G1035" s="84" t="n">
        <x:v>0</x:v>
      </x:c>
      <x:c r="H1035" s="84" t="str">
        <x:v>Baixa pressão</x:v>
      </x:c>
      <x:c r="I1035" s="84" t="n">
        <x:v>226</x:v>
      </x:c>
      <x:c r="J1035" s="93" t="n">
        <x:v>4063.18</x:v>
      </x:c>
      <x:c r="K1035" s="85" t="str">
        <x:v>2º Turno</x:v>
      </x:c>
    </x:row>
    <x:row r="1036">
      <x:c r="A1036" s="83" t="n">
        <x:v>1035</x:v>
      </x:c>
      <x:c r="B1036" s="84" t="n">
        <x:v>80</x:v>
      </x:c>
      <x:c r="C1036" s="84" t="n">
        <x:v>1612</x:v>
      </x:c>
      <x:c r="D1036" s="89" t="n">
        <x:v>45718.40641203704</x:v>
      </x:c>
      <x:c r="E1036" s="89" t="n">
        <x:v>45718.998773148145</x:v>
      </x:c>
      <x:c r="F1036" s="84" t="n">
        <x:v>853</x:v>
      </x:c>
      <x:c r="G1036" s="84" t="n">
        <x:v>1</x:v>
      </x:c>
      <x:c r="H1036" s="84" t="str">
        <x:v>Falha elétrica</x:v>
      </x:c>
      <x:c r="I1036" s="84" t="n">
        <x:v>2076</x:v>
      </x:c>
      <x:c r="J1036" s="93" t="n">
        <x:v>28645.28</x:v>
      </x:c>
      <x:c r="K1036" s="85" t="str">
        <x:v>1º Turno</x:v>
      </x:c>
    </x:row>
    <x:row r="1037">
      <x:c r="A1037" s="83" t="n">
        <x:v>1036</x:v>
      </x:c>
      <x:c r="B1037" s="84" t="n">
        <x:v>57</x:v>
      </x:c>
      <x:c r="C1037" s="84" t="n">
        <x:v>1613</x:v>
      </x:c>
      <x:c r="D1037" s="89" t="n">
        <x:v>45046.11471064815</x:v>
      </x:c>
      <x:c r="E1037" s="89" t="n">
        <x:v>45046.4140162037</x:v>
      </x:c>
      <x:c r="F1037" s="84" t="n">
        <x:v>431</x:v>
      </x:c>
      <x:c r="G1037" s="84" t="n">
        <x:v>1</x:v>
      </x:c>
      <x:c r="H1037" s="84" t="str">
        <x:v>Superaquecimento</x:v>
      </x:c>
      <x:c r="I1037" s="84" t="n">
        <x:v>668</x:v>
      </x:c>
      <x:c r="J1037" s="93" t="n">
        <x:v>15609.68</x:v>
      </x:c>
      <x:c r="K1037" s="85" t="str">
        <x:v>3º Turno</x:v>
      </x:c>
    </x:row>
    <x:row r="1038">
      <x:c r="A1038" s="83" t="n">
        <x:v>1037</x:v>
      </x:c>
      <x:c r="B1038" s="84" t="n">
        <x:v>83</x:v>
      </x:c>
      <x:c r="C1038" s="84" t="n">
        <x:v>1614</x:v>
      </x:c>
      <x:c r="D1038" s="89" t="n">
        <x:v>45585.30421296296</x:v>
      </x:c>
      <x:c r="E1038" s="89" t="n">
        <x:v>45585.91810185185</x:v>
      </x:c>
      <x:c r="F1038" s="84" t="n">
        <x:v>884</x:v>
      </x:c>
      <x:c r="G1038" s="84" t="n">
        <x:v>1</x:v>
      </x:c>
      <x:c r="H1038" s="84" t="str">
        <x:v>Vazamento</x:v>
      </x:c>
      <x:c r="I1038" s="84" t="n">
        <x:v>1105</x:v>
      </x:c>
      <x:c r="J1038" s="93" t="n">
        <x:v>34595.96</x:v>
      </x:c>
      <x:c r="K1038" s="85" t="str">
        <x:v>2º Turno</x:v>
      </x:c>
    </x:row>
    <x:row r="1039">
      <x:c r="A1039" s="83" t="n">
        <x:v>1038</x:v>
      </x:c>
      <x:c r="B1039" s="84" t="n">
        <x:v>39</x:v>
      </x:c>
      <x:c r="C1039" s="84" t="n">
        <x:v>1615</x:v>
      </x:c>
      <x:c r="D1039" s="89" t="n">
        <x:v>44957.04996527778</x:v>
      </x:c>
      <x:c r="E1039" s="89" t="n">
        <x:v>44957.33677083333</x:v>
      </x:c>
      <x:c r="F1039" s="84" t="n">
        <x:v>413</x:v>
      </x:c>
      <x:c r="G1039" s="84" t="n">
        <x:v>1</x:v>
      </x:c>
      <x:c r="H1039" s="84" t="str">
        <x:v>Superaquecimento</x:v>
      </x:c>
      <x:c r="I1039" s="84" t="n">
        <x:v>571</x:v>
      </x:c>
      <x:c r="J1039" s="93" t="n">
        <x:v>7348.31</x:v>
      </x:c>
      <x:c r="K1039" s="85" t="str">
        <x:v>2º Turno</x:v>
      </x:c>
    </x:row>
    <x:row r="1040">
      <x:c r="A1040" s="83" t="n">
        <x:v>1039</x:v>
      </x:c>
      <x:c r="B1040" s="84" t="n">
        <x:v>64</x:v>
      </x:c>
      <x:c r="C1040" s="84" t="n">
        <x:v>1617</x:v>
      </x:c>
      <x:c r="D1040" s="89" t="n">
        <x:v>45222.72269675926</x:v>
      </x:c>
      <x:c r="E1040" s="89" t="n">
        <x:v>45222.9483912037</x:v>
      </x:c>
      <x:c r="F1040" s="84" t="n">
        <x:v>325</x:v>
      </x:c>
      <x:c r="G1040" s="84" t="n">
        <x:v>1</x:v>
      </x:c>
      <x:c r="H1040" s="84" t="str">
        <x:v>Alarme intermitente</x:v>
      </x:c>
      <x:c r="I1040" s="84" t="n">
        <x:v>807</x:v>
      </x:c>
      <x:c r="J1040" s="93" t="n">
        <x:v>18865.71</x:v>
      </x:c>
      <x:c r="K1040" s="85" t="str">
        <x:v>2º Turno</x:v>
      </x:c>
    </x:row>
    <x:row r="1041">
      <x:c r="A1041" s="83" t="n">
        <x:v>1040</x:v>
      </x:c>
      <x:c r="B1041" s="84" t="n">
        <x:v>58</x:v>
      </x:c>
      <x:c r="C1041" s="84" t="n">
        <x:v>1620</x:v>
      </x:c>
      <x:c r="D1041" s="89" t="n">
        <x:v>45373.70501157407</x:v>
      </x:c>
      <x:c r="E1041" s="89" t="n">
        <x:v>45374.20153935185</x:v>
      </x:c>
      <x:c r="F1041" s="84" t="n">
        <x:v>715</x:v>
      </x:c>
      <x:c r="G1041" s="84" t="n">
        <x:v>0</x:v>
      </x:c>
      <x:c r="H1041" s="84" t="str">
        <x:v>Baixa pressão</x:v>
      </x:c>
      <x:c r="I1041" s="84" t="n">
        <x:v>810</x:v>
      </x:c>
      <x:c r="J1041" s="93" t="n">
        <x:v>38289.68</x:v>
      </x:c>
      <x:c r="K1041" s="85" t="str">
        <x:v>2º Turno</x:v>
      </x:c>
    </x:row>
    <x:row r="1042">
      <x:c r="A1042" s="83" t="n">
        <x:v>1041</x:v>
      </x:c>
      <x:c r="B1042" s="84" t="n">
        <x:v>8</x:v>
      </x:c>
      <x:c r="C1042" s="84" t="n">
        <x:v>1623</x:v>
      </x:c>
      <x:c r="D1042" s="89" t="n">
        <x:v>45203.85496527778</x:v>
      </x:c>
      <x:c r="E1042" s="89" t="n">
        <x:v>45204.08899305556</x:v>
      </x:c>
      <x:c r="F1042" s="84" t="n">
        <x:v>337</x:v>
      </x:c>
      <x:c r="G1042" s="84" t="n">
        <x:v>0</x:v>
      </x:c>
      <x:c r="H1042" s="84" t="str">
        <x:v>Baixa pressão</x:v>
      </x:c>
      <x:c r="I1042" s="84" t="n">
        <x:v>809</x:v>
      </x:c>
      <x:c r="J1042" s="93" t="n">
        <x:v>13516.16</x:v>
      </x:c>
      <x:c r="K1042" s="85" t="str">
        <x:v>1º Turno</x:v>
      </x:c>
    </x:row>
    <x:row r="1043">
      <x:c r="A1043" s="83" t="n">
        <x:v>1042</x:v>
      </x:c>
      <x:c r="B1043" s="84" t="n">
        <x:v>75</x:v>
      </x:c>
      <x:c r="C1043" s="84" t="n">
        <x:v>1625</x:v>
      </x:c>
      <x:c r="D1043" s="89" t="n">
        <x:v>45946.61417824074</x:v>
      </x:c>
      <x:c r="E1043" s="89" t="n">
        <x:v>45947.085011574076</x:v>
      </x:c>
      <x:c r="F1043" s="84" t="n">
        <x:v>678</x:v>
      </x:c>
      <x:c r="G1043" s="84" t="n">
        <x:v>1</x:v>
      </x:c>
      <x:c r="H1043" s="84" t="str">
        <x:v>Baixa pressão</x:v>
      </x:c>
      <x:c r="I1043" s="84" t="n">
        <x:v>1096</x:v>
      </x:c>
      <x:c r="J1043" s="93" t="n">
        <x:v>26480.18</x:v>
      </x:c>
      <x:c r="K1043" s="85" t="str">
        <x:v>3º Turno</x:v>
      </x:c>
    </x:row>
    <x:row r="1044">
      <x:c r="A1044" s="83" t="n">
        <x:v>1043</x:v>
      </x:c>
      <x:c r="B1044" s="84" t="n">
        <x:v>17</x:v>
      </x:c>
      <x:c r="C1044" s="84" t="n">
        <x:v>1626</x:v>
      </x:c>
      <x:c r="D1044" s="89" t="n">
        <x:v>45362.334756944445</x:v>
      </x:c>
      <x:c r="E1044" s="89" t="n">
        <x:v>45362.95211805555</x:v>
      </x:c>
      <x:c r="F1044" s="84" t="n">
        <x:v>889</x:v>
      </x:c>
      <x:c r="G1044" s="84" t="n">
        <x:v>1</x:v>
      </x:c>
      <x:c r="H1044" s="84" t="str">
        <x:v>Superaquecimento</x:v>
      </x:c>
      <x:c r="I1044" s="84" t="n">
        <x:v>1808</x:v>
      </x:c>
      <x:c r="J1044" s="93" t="n">
        <x:v>15063.26</x:v>
      </x:c>
      <x:c r="K1044" s="85" t="str">
        <x:v>3º Turno</x:v>
      </x:c>
    </x:row>
    <x:row r="1045">
      <x:c r="A1045" s="83" t="n">
        <x:v>1044</x:v>
      </x:c>
      <x:c r="B1045" s="84" t="n">
        <x:v>48</x:v>
      </x:c>
      <x:c r="C1045" s="84" t="n">
        <x:v>1628</x:v>
      </x:c>
      <x:c r="D1045" s="89" t="n">
        <x:v>45864.985914351855</x:v>
      </x:c>
      <x:c r="E1045" s="89" t="n">
        <x:v>45865.06508101852</x:v>
      </x:c>
      <x:c r="F1045" s="84" t="n">
        <x:v>114</x:v>
      </x:c>
      <x:c r="G1045" s="84" t="n">
        <x:v>1</x:v>
      </x:c>
      <x:c r="H1045" s="84" t="str">
        <x:v>Desalinhamento</x:v>
      </x:c>
      <x:c r="I1045" s="84" t="n">
        <x:v>205</x:v>
      </x:c>
      <x:c r="J1045" s="93" t="n">
        <x:v>2328.76</x:v>
      </x:c>
      <x:c r="K1045" s="85" t="str">
        <x:v>3º Turno</x:v>
      </x:c>
    </x:row>
    <x:row r="1046">
      <x:c r="A1046" s="83" t="n">
        <x:v>1045</x:v>
      </x:c>
      <x:c r="B1046" s="84" t="n">
        <x:v>65</x:v>
      </x:c>
      <x:c r="C1046" s="84" t="n">
        <x:v>1630</x:v>
      </x:c>
      <x:c r="D1046" s="89" t="n">
        <x:v>45918.803564814814</x:v>
      </x:c>
      <x:c r="E1046" s="89" t="n">
        <x:v>45918.96884259259</x:v>
      </x:c>
      <x:c r="F1046" s="84" t="n">
        <x:v>238</x:v>
      </x:c>
      <x:c r="G1046" s="84" t="n">
        <x:v>1</x:v>
      </x:c>
      <x:c r="H1046" s="84" t="str">
        <x:v>Falha elétrica</x:v>
      </x:c>
      <x:c r="I1046" s="84" t="n">
        <x:v>559</x:v>
      </x:c>
      <x:c r="J1046" s="93" t="n">
        <x:v>6869.61</x:v>
      </x:c>
      <x:c r="K1046" s="85" t="str">
        <x:v>3º Turno</x:v>
      </x:c>
    </x:row>
    <x:row r="1047">
      <x:c r="A1047" s="83" t="n">
        <x:v>1046</x:v>
      </x:c>
      <x:c r="B1047" s="84" t="n">
        <x:v>25</x:v>
      </x:c>
      <x:c r="C1047" s="84" t="n">
        <x:v>1631</x:v>
      </x:c>
      <x:c r="D1047" s="89" t="n">
        <x:v>45825.202569444446</x:v>
      </x:c>
      <x:c r="E1047" s="89" t="n">
        <x:v>45825.30118055556</x:v>
      </x:c>
      <x:c r="F1047" s="84" t="n">
        <x:v>142</x:v>
      </x:c>
      <x:c r="G1047" s="84" t="n">
        <x:v>0</x:v>
      </x:c>
      <x:c r="H1047" s="84" t="str">
        <x:v>Superaquecimento</x:v>
      </x:c>
      <x:c r="I1047" s="84" t="n">
        <x:v>258</x:v>
      </x:c>
      <x:c r="J1047" s="93" t="n">
        <x:v>3941.08</x:v>
      </x:c>
      <x:c r="K1047" s="85" t="str">
        <x:v>2º Turno</x:v>
      </x:c>
    </x:row>
    <x:row r="1048">
      <x:c r="A1048" s="83" t="n">
        <x:v>1047</x:v>
      </x:c>
      <x:c r="B1048" s="84" t="n">
        <x:v>22</x:v>
      </x:c>
      <x:c r="C1048" s="84" t="n">
        <x:v>1634</x:v>
      </x:c>
      <x:c r="D1048" s="89" t="n">
        <x:v>44932.12644675926</x:v>
      </x:c>
      <x:c r="E1048" s="89" t="n">
        <x:v>44932.72158564815</x:v>
      </x:c>
      <x:c r="F1048" s="84" t="n">
        <x:v>857</x:v>
      </x:c>
      <x:c r="G1048" s="84" t="n">
        <x:v>1</x:v>
      </x:c>
      <x:c r="H1048" s="84" t="str">
        <x:v>Superaquecimento</x:v>
      </x:c>
      <x:c r="I1048" s="84" t="n">
        <x:v>1000</x:v>
      </x:c>
      <x:c r="J1048" s="93" t="n">
        <x:v>41723.66</x:v>
      </x:c>
      <x:c r="K1048" s="85" t="str">
        <x:v>2º Turno</x:v>
      </x:c>
    </x:row>
    <x:row r="1049">
      <x:c r="A1049" s="83" t="n">
        <x:v>1048</x:v>
      </x:c>
      <x:c r="B1049" s="84" t="n">
        <x:v>51</x:v>
      </x:c>
      <x:c r="C1049" s="84" t="n">
        <x:v>1635</x:v>
      </x:c>
      <x:c r="D1049" s="89" t="n">
        <x:v>45178.37625</x:v>
      </x:c>
      <x:c r="E1049" s="89" t="n">
        <x:v>45178.79361111111</x:v>
      </x:c>
      <x:c r="F1049" s="84" t="n">
        <x:v>601</x:v>
      </x:c>
      <x:c r="G1049" s="84" t="n">
        <x:v>1</x:v>
      </x:c>
      <x:c r="H1049" s="84" t="str">
        <x:v>Ruído anormal</x:v>
      </x:c>
      <x:c r="I1049" s="84" t="n">
        <x:v>791</x:v>
      </x:c>
      <x:c r="J1049" s="93" t="n">
        <x:v>21974.23</x:v>
      </x:c>
      <x:c r="K1049" s="85" t="str">
        <x:v>1º Turno</x:v>
      </x:c>
    </x:row>
    <x:row r="1050">
      <x:c r="A1050" s="83" t="n">
        <x:v>1049</x:v>
      </x:c>
      <x:c r="B1050" s="84" t="n">
        <x:v>41</x:v>
      </x:c>
      <x:c r="C1050" s="84" t="n">
        <x:v>1636</x:v>
      </x:c>
      <x:c r="D1050" s="89" t="n">
        <x:v>45347.98484953704</x:v>
      </x:c>
      <x:c r="E1050" s="89" t="n">
        <x:v>45348.57234953704</x:v>
      </x:c>
      <x:c r="F1050" s="84" t="n">
        <x:v>846</x:v>
      </x:c>
      <x:c r="G1050" s="84" t="n">
        <x:v>1</x:v>
      </x:c>
      <x:c r="H1050" s="84" t="str">
        <x:v>Desalinhamento</x:v>
      </x:c>
      <x:c r="I1050" s="84" t="n">
        <x:v>987</x:v>
      </x:c>
      <x:c r="J1050" s="93" t="n">
        <x:v>17276.33</x:v>
      </x:c>
      <x:c r="K1050" s="85" t="str">
        <x:v>3º Turno</x:v>
      </x:c>
    </x:row>
    <x:row r="1051">
      <x:c r="A1051" s="83" t="n">
        <x:v>1050</x:v>
      </x:c>
      <x:c r="B1051" s="84" t="n">
        <x:v>18</x:v>
      </x:c>
      <x:c r="C1051" s="84" t="n">
        <x:v>1637</x:v>
      </x:c>
      <x:c r="D1051" s="89" t="n">
        <x:v>45361.12293981481</x:v>
      </x:c>
      <x:c r="E1051" s="89" t="n">
        <x:v>45361.62432870371</x:v>
      </x:c>
      <x:c r="F1051" s="84" t="n">
        <x:v>722</x:v>
      </x:c>
      <x:c r="G1051" s="84" t="n">
        <x:v>1</x:v>
      </x:c>
      <x:c r="H1051" s="84" t="str">
        <x:v>Desalinhamento</x:v>
      </x:c>
      <x:c r="I1051" s="84" t="n">
        <x:v>1155</x:v>
      </x:c>
      <x:c r="J1051" s="93" t="n">
        <x:v>12859.31</x:v>
      </x:c>
      <x:c r="K1051" s="85" t="str">
        <x:v>2º Turno</x:v>
      </x:c>
    </x:row>
    <x:row r="1052">
      <x:c r="A1052" s="83" t="n">
        <x:v>1051</x:v>
      </x:c>
      <x:c r="B1052" s="84" t="n">
        <x:v>67</x:v>
      </x:c>
      <x:c r="C1052" s="84" t="n">
        <x:v>1638</x:v>
      </x:c>
      <x:c r="D1052" s="89" t="n">
        <x:v>44946.00524305556</x:v>
      </x:c>
      <x:c r="E1052" s="89" t="n">
        <x:v>44946.25177083333</x:v>
      </x:c>
      <x:c r="F1052" s="84" t="n">
        <x:v>355</x:v>
      </x:c>
      <x:c r="G1052" s="84" t="n">
        <x:v>1</x:v>
      </x:c>
      <x:c r="H1052" s="84" t="str">
        <x:v>Ruído anormal</x:v>
      </x:c>
      <x:c r="I1052" s="84" t="n">
        <x:v>390</x:v>
      </x:c>
      <x:c r="J1052" s="93" t="n">
        <x:v>18386.26</x:v>
      </x:c>
      <x:c r="K1052" s="85" t="str">
        <x:v>3º Turno</x:v>
      </x:c>
    </x:row>
    <x:row r="1053">
      <x:c r="A1053" s="83" t="n">
        <x:v>1052</x:v>
      </x:c>
      <x:c r="B1053" s="84" t="n">
        <x:v>44</x:v>
      </x:c>
      <x:c r="C1053" s="84" t="n">
        <x:v>1641</x:v>
      </x:c>
      <x:c r="D1053" s="89" t="n">
        <x:v>45545.65782407407</x:v>
      </x:c>
      <x:c r="E1053" s="89" t="n">
        <x:v>45546.06337962963</x:v>
      </x:c>
      <x:c r="F1053" s="84" t="n">
        <x:v>584</x:v>
      </x:c>
      <x:c r="G1053" s="84" t="n">
        <x:v>1</x:v>
      </x:c>
      <x:c r="H1053" s="84" t="str">
        <x:v>Baixa pressão</x:v>
      </x:c>
      <x:c r="I1053" s="84" t="n">
        <x:v>642</x:v>
      </x:c>
      <x:c r="J1053" s="93" t="n">
        <x:v>28161.82</x:v>
      </x:c>
      <x:c r="K1053" s="85" t="str">
        <x:v>1º Turno</x:v>
      </x:c>
    </x:row>
    <x:row r="1054">
      <x:c r="A1054" s="83" t="n">
        <x:v>1053</x:v>
      </x:c>
      <x:c r="B1054" s="84" t="n">
        <x:v>31</x:v>
      </x:c>
      <x:c r="C1054" s="84" t="n">
        <x:v>1644</x:v>
      </x:c>
      <x:c r="D1054" s="89" t="n">
        <x:v>45417.742210648146</x:v>
      </x:c>
      <x:c r="E1054" s="89" t="n">
        <x:v>45418.13109953704</x:v>
      </x:c>
      <x:c r="F1054" s="84" t="n">
        <x:v>560</x:v>
      </x:c>
      <x:c r="G1054" s="84" t="n">
        <x:v>1</x:v>
      </x:c>
      <x:c r="H1054" s="84" t="str">
        <x:v>Baixa pressão</x:v>
      </x:c>
      <x:c r="I1054" s="84" t="n">
        <x:v>1260</x:v>
      </x:c>
      <x:c r="J1054" s="93" t="n">
        <x:v>20271.8</x:v>
      </x:c>
      <x:c r="K1054" s="85" t="str">
        <x:v>3º Turno</x:v>
      </x:c>
    </x:row>
    <x:row r="1055">
      <x:c r="A1055" s="83" t="n">
        <x:v>1054</x:v>
      </x:c>
      <x:c r="B1055" s="84" t="n">
        <x:v>35</x:v>
      </x:c>
      <x:c r="C1055" s="84" t="n">
        <x:v>1645</x:v>
      </x:c>
      <x:c r="D1055" s="89" t="n">
        <x:v>45902.46435185185</x:v>
      </x:c>
      <x:c r="E1055" s="89" t="n">
        <x:v>45902.51296296297</x:v>
      </x:c>
      <x:c r="F1055" s="84" t="n">
        <x:v>70</x:v>
      </x:c>
      <x:c r="G1055" s="84" t="n">
        <x:v>1</x:v>
      </x:c>
      <x:c r="H1055" s="84" t="str">
        <x:v>Superaquecimento</x:v>
      </x:c>
      <x:c r="I1055" s="84" t="n">
        <x:v>149</x:v>
      </x:c>
      <x:c r="J1055" s="93" t="n">
        <x:v>3534.23</x:v>
      </x:c>
      <x:c r="K1055" s="85" t="str">
        <x:v>3º Turno</x:v>
      </x:c>
    </x:row>
    <x:row r="1056">
      <x:c r="A1056" s="83" t="n">
        <x:v>1055</x:v>
      </x:c>
      <x:c r="B1056" s="84" t="n">
        <x:v>76</x:v>
      </x:c>
      <x:c r="C1056" s="84" t="n">
        <x:v>1646</x:v>
      </x:c>
      <x:c r="D1056" s="89" t="n">
        <x:v>45367.8409375</x:v>
      </x:c>
      <x:c r="E1056" s="89" t="n">
        <x:v>45368.09302083333</x:v>
      </x:c>
      <x:c r="F1056" s="84" t="n">
        <x:v>363</x:v>
      </x:c>
      <x:c r="G1056" s="84" t="n">
        <x:v>1</x:v>
      </x:c>
      <x:c r="H1056" s="84" t="str">
        <x:v>Desalinhamento</x:v>
      </x:c>
      <x:c r="I1056" s="84" t="n">
        <x:v>732</x:v>
      </x:c>
      <x:c r="J1056" s="93" t="n">
        <x:v>11593.46</x:v>
      </x:c>
      <x:c r="K1056" s="85" t="str">
        <x:v>3º Turno</x:v>
      </x:c>
    </x:row>
    <x:row r="1057">
      <x:c r="A1057" s="83" t="n">
        <x:v>1056</x:v>
      </x:c>
      <x:c r="B1057" s="84" t="n">
        <x:v>38</x:v>
      </x:c>
      <x:c r="C1057" s="84" t="n">
        <x:v>1647</x:v>
      </x:c>
      <x:c r="D1057" s="89" t="n">
        <x:v>45687.17016203704</x:v>
      </x:c>
      <x:c r="E1057" s="89" t="n">
        <x:v>45687.672939814816</x:v>
      </x:c>
      <x:c r="F1057" s="84" t="n">
        <x:v>724</x:v>
      </x:c>
      <x:c r="G1057" s="84" t="n">
        <x:v>0</x:v>
      </x:c>
      <x:c r="H1057" s="84" t="str">
        <x:v>Vazamento</x:v>
      </x:c>
      <x:c r="I1057" s="84" t="n">
        <x:v>1762</x:v>
      </x:c>
      <x:c r="J1057" s="93" t="n">
        <x:v>14997.43</x:v>
      </x:c>
      <x:c r="K1057" s="85" t="str">
        <x:v>1º Turno</x:v>
      </x:c>
    </x:row>
    <x:row r="1058">
      <x:c r="A1058" s="83" t="n">
        <x:v>1057</x:v>
      </x:c>
      <x:c r="B1058" s="84" t="n">
        <x:v>20</x:v>
      </x:c>
      <x:c r="C1058" s="84" t="n">
        <x:v>1648</x:v>
      </x:c>
      <x:c r="D1058" s="89" t="n">
        <x:v>45526.8325</x:v>
      </x:c>
      <x:c r="E1058" s="89" t="n">
        <x:v>45527.102638888886</x:v>
      </x:c>
      <x:c r="F1058" s="84" t="n">
        <x:v>389</x:v>
      </x:c>
      <x:c r="G1058" s="84" t="n">
        <x:v>0</x:v>
      </x:c>
      <x:c r="H1058" s="84" t="str">
        <x:v>Superaquecimento</x:v>
      </x:c>
      <x:c r="I1058" s="84" t="n">
        <x:v>402</x:v>
      </x:c>
      <x:c r="J1058" s="93" t="n">
        <x:v>13593.36</x:v>
      </x:c>
      <x:c r="K1058" s="85" t="str">
        <x:v>3º Turno</x:v>
      </x:c>
    </x:row>
    <x:row r="1059">
      <x:c r="A1059" s="83" t="n">
        <x:v>1058</x:v>
      </x:c>
      <x:c r="B1059" s="84" t="n">
        <x:v>77</x:v>
      </x:c>
      <x:c r="C1059" s="84" t="n">
        <x:v>1650</x:v>
      </x:c>
      <x:c r="D1059" s="89" t="n">
        <x:v>45934.266550925924</x:v>
      </x:c>
      <x:c r="E1059" s="89" t="n">
        <x:v>45934.735300925924</x:v>
      </x:c>
      <x:c r="F1059" s="84" t="n">
        <x:v>675</x:v>
      </x:c>
      <x:c r="G1059" s="84" t="n">
        <x:v>1</x:v>
      </x:c>
      <x:c r="H1059" s="84" t="str">
        <x:v>Superaquecimento</x:v>
      </x:c>
      <x:c r="I1059" s="84" t="n">
        <x:v>1271</x:v>
      </x:c>
      <x:c r="J1059" s="93" t="n">
        <x:v>19932.51</x:v>
      </x:c>
      <x:c r="K1059" s="85" t="str">
        <x:v>1º Turno</x:v>
      </x:c>
    </x:row>
    <x:row r="1060">
      <x:c r="A1060" s="83" t="n">
        <x:v>1059</x:v>
      </x:c>
      <x:c r="B1060" s="84" t="n">
        <x:v>30</x:v>
      </x:c>
      <x:c r="C1060" s="84" t="n">
        <x:v>1652</x:v>
      </x:c>
      <x:c r="D1060" s="89" t="n">
        <x:v>45125.46863425926</x:v>
      </x:c>
      <x:c r="E1060" s="89" t="n">
        <x:v>45125.777662037035</x:v>
      </x:c>
      <x:c r="F1060" s="84" t="n">
        <x:v>445</x:v>
      </x:c>
      <x:c r="G1060" s="84" t="n">
        <x:v>1</x:v>
      </x:c>
      <x:c r="H1060" s="84" t="str">
        <x:v>Falha elétrica</x:v>
      </x:c>
      <x:c r="I1060" s="84" t="n">
        <x:v>868</x:v>
      </x:c>
      <x:c r="J1060" s="93" t="n">
        <x:v>15571.83</x:v>
      </x:c>
      <x:c r="K1060" s="85" t="str">
        <x:v>3º Turno</x:v>
      </x:c>
    </x:row>
    <x:row r="1061">
      <x:c r="A1061" s="83" t="n">
        <x:v>1060</x:v>
      </x:c>
      <x:c r="B1061" s="84" t="n">
        <x:v>36</x:v>
      </x:c>
      <x:c r="C1061" s="84" t="n">
        <x:v>1653</x:v>
      </x:c>
      <x:c r="D1061" s="89" t="n">
        <x:v>45944.25241898148</x:v>
      </x:c>
      <x:c r="E1061" s="89" t="n">
        <x:v>45944.51075231482</x:v>
      </x:c>
      <x:c r="F1061" s="84" t="n">
        <x:v>372</x:v>
      </x:c>
      <x:c r="G1061" s="84" t="n">
        <x:v>1</x:v>
      </x:c>
      <x:c r="H1061" s="84" t="str">
        <x:v>Desalinhamento</x:v>
      </x:c>
      <x:c r="I1061" s="84" t="n">
        <x:v>843</x:v>
      </x:c>
      <x:c r="J1061" s="93" t="n">
        <x:v>15872.93</x:v>
      </x:c>
      <x:c r="K1061" s="85" t="str">
        <x:v>3º Turno</x:v>
      </x:c>
    </x:row>
    <x:row r="1062">
      <x:c r="A1062" s="83" t="n">
        <x:v>1061</x:v>
      </x:c>
      <x:c r="B1062" s="84" t="n">
        <x:v>35</x:v>
      </x:c>
      <x:c r="C1062" s="84" t="n">
        <x:v>1654</x:v>
      </x:c>
      <x:c r="D1062" s="89" t="n">
        <x:v>45233.083599537036</x:v>
      </x:c>
      <x:c r="E1062" s="89" t="n">
        <x:v>45233.61971064815</x:v>
      </x:c>
      <x:c r="F1062" s="84" t="n">
        <x:v>772</x:v>
      </x:c>
      <x:c r="G1062" s="84" t="n">
        <x:v>1</x:v>
      </x:c>
      <x:c r="H1062" s="84" t="str">
        <x:v>Desalinhamento</x:v>
      </x:c>
      <x:c r="I1062" s="84" t="n">
        <x:v>1055</x:v>
      </x:c>
      <x:c r="J1062" s="93" t="n">
        <x:v>40944.35</x:v>
      </x:c>
      <x:c r="K1062" s="85" t="str">
        <x:v>3º Turno</x:v>
      </x:c>
    </x:row>
    <x:row r="1063">
      <x:c r="A1063" s="83" t="n">
        <x:v>1062</x:v>
      </x:c>
      <x:c r="B1063" s="84" t="n">
        <x:v>53</x:v>
      </x:c>
      <x:c r="C1063" s="84" t="n">
        <x:v>1656</x:v>
      </x:c>
      <x:c r="D1063" s="89" t="n">
        <x:v>45078.98741898148</x:v>
      </x:c>
      <x:c r="E1063" s="89" t="n">
        <x:v>45079.147141203706</x:v>
      </x:c>
      <x:c r="F1063" s="84" t="n">
        <x:v>230</x:v>
      </x:c>
      <x:c r="G1063" s="84" t="n">
        <x:v>1</x:v>
      </x:c>
      <x:c r="H1063" s="84" t="str">
        <x:v>Falha elétrica</x:v>
      </x:c>
      <x:c r="I1063" s="84" t="n">
        <x:v>418</x:v>
      </x:c>
      <x:c r="J1063" s="93" t="n">
        <x:v>5148.17</x:v>
      </x:c>
      <x:c r="K1063" s="85" t="str">
        <x:v>2º Turno</x:v>
      </x:c>
    </x:row>
    <x:row r="1064">
      <x:c r="A1064" s="83" t="n">
        <x:v>1063</x:v>
      </x:c>
      <x:c r="B1064" s="84" t="n">
        <x:v>60</x:v>
      </x:c>
      <x:c r="C1064" s="84" t="n">
        <x:v>1657</x:v>
      </x:c>
      <x:c r="D1064" s="89" t="n">
        <x:v>45837.32556712963</x:v>
      </x:c>
      <x:c r="E1064" s="89" t="n">
        <x:v>45837.755428240744</x:v>
      </x:c>
      <x:c r="F1064" s="84" t="n">
        <x:v>619</x:v>
      </x:c>
      <x:c r="G1064" s="84" t="n">
        <x:v>1</x:v>
      </x:c>
      <x:c r="H1064" s="84" t="str">
        <x:v>Desalinhamento</x:v>
      </x:c>
      <x:c r="I1064" s="84" t="n">
        <x:v>1351</x:v>
      </x:c>
      <x:c r="J1064" s="93" t="n">
        <x:v>19543.72</x:v>
      </x:c>
      <x:c r="K1064" s="85" t="str">
        <x:v>1º Turno</x:v>
      </x:c>
    </x:row>
    <x:row r="1065">
      <x:c r="A1065" s="83" t="n">
        <x:v>1064</x:v>
      </x:c>
      <x:c r="B1065" s="84" t="n">
        <x:v>65</x:v>
      </x:c>
      <x:c r="C1065" s="84" t="n">
        <x:v>1661</x:v>
      </x:c>
      <x:c r="D1065" s="89" t="n">
        <x:v>45557.33042824074</x:v>
      </x:c>
      <x:c r="E1065" s="89" t="n">
        <x:v>45557.36515046296</x:v>
      </x:c>
      <x:c r="F1065" s="84" t="n">
        <x:v>50</x:v>
      </x:c>
      <x:c r="G1065" s="84" t="n">
        <x:v>0</x:v>
      </x:c>
      <x:c r="H1065" s="84" t="str">
        <x:v>Baixa pressão</x:v>
      </x:c>
      <x:c r="I1065" s="84" t="n">
        <x:v>64</x:v>
      </x:c>
      <x:c r="J1065" s="93" t="n">
        <x:v>2399.44</x:v>
      </x:c>
      <x:c r="K1065" s="85" t="str">
        <x:v>1º Turno</x:v>
      </x:c>
    </x:row>
    <x:row r="1066">
      <x:c r="A1066" s="83" t="n">
        <x:v>1065</x:v>
      </x:c>
      <x:c r="B1066" s="84" t="n">
        <x:v>65</x:v>
      </x:c>
      <x:c r="C1066" s="84" t="n">
        <x:v>1662</x:v>
      </x:c>
      <x:c r="D1066" s="89" t="n">
        <x:v>45479.40440972222</x:v>
      </x:c>
      <x:c r="E1066" s="89" t="n">
        <x:v>45479.641909722224</x:v>
      </x:c>
      <x:c r="F1066" s="84" t="n">
        <x:v>342</x:v>
      </x:c>
      <x:c r="G1066" s="84" t="n">
        <x:v>1</x:v>
      </x:c>
      <x:c r="H1066" s="84" t="str">
        <x:v>Alarme intermitente</x:v>
      </x:c>
      <x:c r="I1066" s="84" t="n">
        <x:v>787</x:v>
      </x:c>
      <x:c r="J1066" s="93" t="n">
        <x:v>13139.26</x:v>
      </x:c>
      <x:c r="K1066" s="85" t="str">
        <x:v>1º Turno</x:v>
      </x:c>
    </x:row>
    <x:row r="1067">
      <x:c r="A1067" s="83" t="n">
        <x:v>1066</x:v>
      </x:c>
      <x:c r="B1067" s="84" t="n">
        <x:v>50</x:v>
      </x:c>
      <x:c r="C1067" s="84" t="n">
        <x:v>1664</x:v>
      </x:c>
      <x:c r="D1067" s="89" t="n">
        <x:v>45215.12878472222</x:v>
      </x:c>
      <x:c r="E1067" s="89" t="n">
        <x:v>45215.5128125</x:v>
      </x:c>
      <x:c r="F1067" s="84" t="n">
        <x:v>553</x:v>
      </x:c>
      <x:c r="G1067" s="84" t="n">
        <x:v>1</x:v>
      </x:c>
      <x:c r="H1067" s="84" t="str">
        <x:v>Baixa pressão</x:v>
      </x:c>
      <x:c r="I1067" s="84" t="n">
        <x:v>1198</x:v>
      </x:c>
      <x:c r="J1067" s="93" t="n">
        <x:v>30276.97</x:v>
      </x:c>
      <x:c r="K1067" s="85" t="str">
        <x:v>2º Turno</x:v>
      </x:c>
    </x:row>
    <x:row r="1068">
      <x:c r="A1068" s="83" t="n">
        <x:v>1067</x:v>
      </x:c>
      <x:c r="B1068" s="84" t="n">
        <x:v>20</x:v>
      </x:c>
      <x:c r="C1068" s="84" t="n">
        <x:v>1667</x:v>
      </x:c>
      <x:c r="D1068" s="89" t="n">
        <x:v>45100.527037037034</x:v>
      </x:c>
      <x:c r="E1068" s="89" t="n">
        <x:v>45100.64231481482</x:v>
      </x:c>
      <x:c r="F1068" s="84" t="n">
        <x:v>166</x:v>
      </x:c>
      <x:c r="G1068" s="84" t="n">
        <x:v>1</x:v>
      </x:c>
      <x:c r="H1068" s="84" t="str">
        <x:v>Vazamento</x:v>
      </x:c>
      <x:c r="I1068" s="84" t="n">
        <x:v>252</x:v>
      </x:c>
      <x:c r="J1068" s="93" t="n">
        <x:v>2238.45</x:v>
      </x:c>
      <x:c r="K1068" s="85" t="str">
        <x:v>3º Turno</x:v>
      </x:c>
    </x:row>
    <x:row r="1069">
      <x:c r="A1069" s="83" t="n">
        <x:v>1068</x:v>
      </x:c>
      <x:c r="B1069" s="84" t="n">
        <x:v>26</x:v>
      </x:c>
      <x:c r="C1069" s="84" t="n">
        <x:v>1669</x:v>
      </x:c>
      <x:c r="D1069" s="89" t="n">
        <x:v>45144.94488425926</x:v>
      </x:c>
      <x:c r="E1069" s="89" t="n">
        <x:v>45145.11363425926</x:v>
      </x:c>
      <x:c r="F1069" s="84" t="n">
        <x:v>243</x:v>
      </x:c>
      <x:c r="G1069" s="84" t="n">
        <x:v>1</x:v>
      </x:c>
      <x:c r="H1069" s="84" t="str">
        <x:v>Desalinhamento</x:v>
      </x:c>
      <x:c r="I1069" s="84" t="n">
        <x:v>316</x:v>
      </x:c>
      <x:c r="J1069" s="93" t="n">
        <x:v>11771.52</x:v>
      </x:c>
      <x:c r="K1069" s="85" t="str">
        <x:v>3º Turno</x:v>
      </x:c>
    </x:row>
    <x:row r="1070">
      <x:c r="A1070" s="83" t="n">
        <x:v>1069</x:v>
      </x:c>
      <x:c r="B1070" s="84" t="n">
        <x:v>90</x:v>
      </x:c>
      <x:c r="C1070" s="84" t="n">
        <x:v>1670</x:v>
      </x:c>
      <x:c r="D1070" s="89" t="n">
        <x:v>45036.33707175926</x:v>
      </x:c>
      <x:c r="E1070" s="89" t="n">
        <x:v>45036.873877314814</x:v>
      </x:c>
      <x:c r="F1070" s="84" t="n">
        <x:v>773</x:v>
      </x:c>
      <x:c r="G1070" s="84" t="n">
        <x:v>0</x:v>
      </x:c>
      <x:c r="H1070" s="84" t="str">
        <x:v>Baixa pressão</x:v>
      </x:c>
      <x:c r="I1070" s="84" t="n">
        <x:v>1765</x:v>
      </x:c>
      <x:c r="J1070" s="93" t="n">
        <x:v>35438.4</x:v>
      </x:c>
      <x:c r="K1070" s="85" t="str">
        <x:v>3º Turno</x:v>
      </x:c>
    </x:row>
    <x:row r="1071">
      <x:c r="A1071" s="83" t="n">
        <x:v>1070</x:v>
      </x:c>
      <x:c r="B1071" s="84" t="n">
        <x:v>46</x:v>
      </x:c>
      <x:c r="C1071" s="84" t="n">
        <x:v>1672</x:v>
      </x:c>
      <x:c r="D1071" s="89" t="n">
        <x:v>45295.49050925926</x:v>
      </x:c>
      <x:c r="E1071" s="89" t="n">
        <x:v>45295.793287037035</x:v>
      </x:c>
      <x:c r="F1071" s="84" t="n">
        <x:v>436</x:v>
      </x:c>
      <x:c r="G1071" s="84" t="n">
        <x:v>0</x:v>
      </x:c>
      <x:c r="H1071" s="84" t="str">
        <x:v>Vazamento</x:v>
      </x:c>
      <x:c r="I1071" s="84" t="n">
        <x:v>589</x:v>
      </x:c>
      <x:c r="J1071" s="93" t="n">
        <x:v>22153.21</x:v>
      </x:c>
      <x:c r="K1071" s="85" t="str">
        <x:v>3º Turno</x:v>
      </x:c>
    </x:row>
    <x:row r="1072">
      <x:c r="A1072" s="83" t="n">
        <x:v>1071</x:v>
      </x:c>
      <x:c r="B1072" s="84" t="n">
        <x:v>55</x:v>
      </x:c>
      <x:c r="C1072" s="84" t="n">
        <x:v>1674</x:v>
      </x:c>
      <x:c r="D1072" s="89" t="n">
        <x:v>45526.150243055556</x:v>
      </x:c>
      <x:c r="E1072" s="89" t="n">
        <x:v>45526.315520833334</x:v>
      </x:c>
      <x:c r="F1072" s="84" t="n">
        <x:v>238</x:v>
      </x:c>
      <x:c r="G1072" s="84" t="n">
        <x:v>1</x:v>
      </x:c>
      <x:c r="H1072" s="84" t="str">
        <x:v>Superaquecimento</x:v>
      </x:c>
      <x:c r="I1072" s="84" t="n">
        <x:v>262</x:v>
      </x:c>
      <x:c r="J1072" s="93" t="n">
        <x:v>12452.75</x:v>
      </x:c>
      <x:c r="K1072" s="85" t="str">
        <x:v>2º Turno</x:v>
      </x:c>
    </x:row>
    <x:row r="1073">
      <x:c r="A1073" s="83" t="n">
        <x:v>1072</x:v>
      </x:c>
      <x:c r="B1073" s="84" t="n">
        <x:v>45</x:v>
      </x:c>
      <x:c r="C1073" s="84" t="n">
        <x:v>1675</x:v>
      </x:c>
      <x:c r="D1073" s="89" t="n">
        <x:v>45138.81909722222</x:v>
      </x:c>
      <x:c r="E1073" s="89" t="n">
        <x:v>45139.10381944444</x:v>
      </x:c>
      <x:c r="F1073" s="84" t="n">
        <x:v>410</x:v>
      </x:c>
      <x:c r="G1073" s="84" t="n">
        <x:v>1</x:v>
      </x:c>
      <x:c r="H1073" s="84" t="str">
        <x:v>Ruído anormal</x:v>
      </x:c>
      <x:c r="I1073" s="84" t="n">
        <x:v>492</x:v>
      </x:c>
      <x:c r="J1073" s="93" t="n">
        <x:v>23091.3</x:v>
      </x:c>
      <x:c r="K1073" s="85" t="str">
        <x:v>2º Turno</x:v>
      </x:c>
    </x:row>
    <x:row r="1074">
      <x:c r="A1074" s="83" t="n">
        <x:v>1073</x:v>
      </x:c>
      <x:c r="B1074" s="84" t="n">
        <x:v>5</x:v>
      </x:c>
      <x:c r="C1074" s="84" t="n">
        <x:v>1676</x:v>
      </x:c>
      <x:c r="D1074" s="89" t="n">
        <x:v>45713.019166666665</x:v>
      </x:c>
      <x:c r="E1074" s="89" t="n">
        <x:v>45713.53444444444</x:v>
      </x:c>
      <x:c r="F1074" s="84" t="n">
        <x:v>742</x:v>
      </x:c>
      <x:c r="G1074" s="84" t="n">
        <x:v>1</x:v>
      </x:c>
      <x:c r="H1074" s="84" t="str">
        <x:v>Superaquecimento</x:v>
      </x:c>
      <x:c r="I1074" s="84" t="n">
        <x:v>742</x:v>
      </x:c>
      <x:c r="J1074" s="93" t="n">
        <x:v>22036.18</x:v>
      </x:c>
      <x:c r="K1074" s="85" t="str">
        <x:v>2º Turno</x:v>
      </x:c>
    </x:row>
    <x:row r="1075">
      <x:c r="A1075" s="83" t="n">
        <x:v>1074</x:v>
      </x:c>
      <x:c r="B1075" s="84" t="n">
        <x:v>12</x:v>
      </x:c>
      <x:c r="C1075" s="84" t="n">
        <x:v>1678</x:v>
      </x:c>
      <x:c r="D1075" s="89" t="n">
        <x:v>45818.851805555554</x:v>
      </x:c>
      <x:c r="E1075" s="89" t="n">
        <x:v>45819.05736111111</x:v>
      </x:c>
      <x:c r="F1075" s="84" t="n">
        <x:v>296</x:v>
      </x:c>
      <x:c r="G1075" s="84" t="n">
        <x:v>1</x:v>
      </x:c>
      <x:c r="H1075" s="84" t="str">
        <x:v>Alarme intermitente</x:v>
      </x:c>
      <x:c r="I1075" s="84" t="n">
        <x:v>681</x:v>
      </x:c>
      <x:c r="J1075" s="93" t="n">
        <x:v>16800.51</x:v>
      </x:c>
      <x:c r="K1075" s="85" t="str">
        <x:v>2º Turno</x:v>
      </x:c>
    </x:row>
    <x:row r="1076">
      <x:c r="A1076" s="83" t="n">
        <x:v>1075</x:v>
      </x:c>
      <x:c r="B1076" s="84" t="n">
        <x:v>51</x:v>
      </x:c>
      <x:c r="C1076" s="84" t="n">
        <x:v>1679</x:v>
      </x:c>
      <x:c r="D1076" s="89" t="n">
        <x:v>45899.03420138889</x:v>
      </x:c>
      <x:c r="E1076" s="89" t="n">
        <x:v>45899.0828125</x:v>
      </x:c>
      <x:c r="F1076" s="84" t="n">
        <x:v>70</x:v>
      </x:c>
      <x:c r="G1076" s="84" t="n">
        <x:v>1</x:v>
      </x:c>
      <x:c r="H1076" s="84" t="str">
        <x:v>Desalinhamento</x:v>
      </x:c>
      <x:c r="I1076" s="84" t="n">
        <x:v>170</x:v>
      </x:c>
      <x:c r="J1076" s="93" t="n">
        <x:v>1311.22</x:v>
      </x:c>
      <x:c r="K1076" s="85" t="str">
        <x:v>3º Turno</x:v>
      </x:c>
    </x:row>
    <x:row r="1077">
      <x:c r="A1077" s="83" t="n">
        <x:v>1076</x:v>
      </x:c>
      <x:c r="B1077" s="84" t="n">
        <x:v>52</x:v>
      </x:c>
      <x:c r="C1077" s="84" t="n">
        <x:v>1680</x:v>
      </x:c>
      <x:c r="D1077" s="89" t="n">
        <x:v>45868.91006944444</x:v>
      </x:c>
      <x:c r="E1077" s="89" t="n">
        <x:v>45869.025347222225</x:v>
      </x:c>
      <x:c r="F1077" s="84" t="n">
        <x:v>166</x:v>
      </x:c>
      <x:c r="G1077" s="84" t="n">
        <x:v>0</x:v>
      </x:c>
      <x:c r="H1077" s="84" t="str">
        <x:v>Vazamento</x:v>
      </x:c>
      <x:c r="I1077" s="84" t="n">
        <x:v>290</x:v>
      </x:c>
      <x:c r="J1077" s="93" t="n">
        <x:v>4361.65</x:v>
      </x:c>
      <x:c r="K1077" s="85" t="str">
        <x:v>2º Turno</x:v>
      </x:c>
    </x:row>
    <x:row r="1078">
      <x:c r="A1078" s="83" t="n">
        <x:v>1077</x:v>
      </x:c>
      <x:c r="B1078" s="84" t="n">
        <x:v>21</x:v>
      </x:c>
      <x:c r="C1078" s="84" t="n">
        <x:v>1681</x:v>
      </x:c>
      <x:c r="D1078" s="89" t="n">
        <x:v>45208.617268518516</x:v>
      </x:c>
      <x:c r="E1078" s="89" t="n">
        <x:v>45208.93324074074</x:v>
      </x:c>
      <x:c r="F1078" s="84" t="n">
        <x:v>455</x:v>
      </x:c>
      <x:c r="G1078" s="84" t="n">
        <x:v>1</x:v>
      </x:c>
      <x:c r="H1078" s="84" t="str">
        <x:v>Desalinhamento</x:v>
      </x:c>
      <x:c r="I1078" s="84" t="n">
        <x:v>789</x:v>
      </x:c>
      <x:c r="J1078" s="93" t="n">
        <x:v>12016.51</x:v>
      </x:c>
      <x:c r="K1078" s="85" t="str">
        <x:v>1º Turno</x:v>
      </x:c>
    </x:row>
    <x:row r="1079">
      <x:c r="A1079" s="83" t="n">
        <x:v>1078</x:v>
      </x:c>
      <x:c r="B1079" s="84" t="n">
        <x:v>5</x:v>
      </x:c>
      <x:c r="C1079" s="84" t="n">
        <x:v>1683</x:v>
      </x:c>
      <x:c r="D1079" s="89" t="n">
        <x:v>46009.63081018518</x:v>
      </x:c>
      <x:c r="E1079" s="89" t="n">
        <x:v>46009.93636574074</x:v>
      </x:c>
      <x:c r="F1079" s="84" t="n">
        <x:v>440</x:v>
      </x:c>
      <x:c r="G1079" s="84" t="n">
        <x:v>1</x:v>
      </x:c>
      <x:c r="H1079" s="84" t="str">
        <x:v>Baixa pressão</x:v>
      </x:c>
      <x:c r="I1079" s="84" t="n">
        <x:v>1063</x:v>
      </x:c>
      <x:c r="J1079" s="93" t="n">
        <x:v>14258.44</x:v>
      </x:c>
      <x:c r="K1079" s="85" t="str">
        <x:v>3º Turno</x:v>
      </x:c>
    </x:row>
    <x:row r="1080">
      <x:c r="A1080" s="83" t="n">
        <x:v>1079</x:v>
      </x:c>
      <x:c r="B1080" s="84" t="n">
        <x:v>57</x:v>
      </x:c>
      <x:c r="C1080" s="84" t="n">
        <x:v>1684</x:v>
      </x:c>
      <x:c r="D1080" s="89" t="n">
        <x:v>45414.75634259259</x:v>
      </x:c>
      <x:c r="E1080" s="89" t="n">
        <x:v>45414.94939814815</x:v>
      </x:c>
      <x:c r="F1080" s="84" t="n">
        <x:v>278</x:v>
      </x:c>
      <x:c r="G1080" s="84" t="n">
        <x:v>1</x:v>
      </x:c>
      <x:c r="H1080" s="84" t="str">
        <x:v>Superaquecimento</x:v>
      </x:c>
      <x:c r="I1080" s="84" t="n">
        <x:v>366</x:v>
      </x:c>
      <x:c r="J1080" s="93" t="n">
        <x:v>10103.35</x:v>
      </x:c>
      <x:c r="K1080" s="85" t="str">
        <x:v>3º Turno</x:v>
      </x:c>
    </x:row>
    <x:row r="1081">
      <x:c r="A1081" s="83" t="n">
        <x:v>1080</x:v>
      </x:c>
      <x:c r="B1081" s="84" t="n">
        <x:v>14</x:v>
      </x:c>
      <x:c r="C1081" s="84" t="n">
        <x:v>1685</x:v>
      </x:c>
      <x:c r="D1081" s="89" t="n">
        <x:v>45479.10884259259</x:v>
      </x:c>
      <x:c r="E1081" s="89" t="n">
        <x:v>45479.67550925926</x:v>
      </x:c>
      <x:c r="F1081" s="84" t="n">
        <x:v>816</x:v>
      </x:c>
      <x:c r="G1081" s="84" t="n">
        <x:v>1</x:v>
      </x:c>
      <x:c r="H1081" s="84" t="str">
        <x:v>Alarme intermitente</x:v>
      </x:c>
      <x:c r="I1081" s="84" t="n">
        <x:v>966</x:v>
      </x:c>
      <x:c r="J1081" s="93" t="n">
        <x:v>16152.06</x:v>
      </x:c>
      <x:c r="K1081" s="85" t="str">
        <x:v>2º Turno</x:v>
      </x:c>
    </x:row>
    <x:row r="1082">
      <x:c r="A1082" s="83" t="n">
        <x:v>1081</x:v>
      </x:c>
      <x:c r="B1082" s="84" t="n">
        <x:v>32</x:v>
      </x:c>
      <x:c r="C1082" s="84" t="n">
        <x:v>1687</x:v>
      </x:c>
      <x:c r="D1082" s="89" t="n">
        <x:v>45502.17550925926</x:v>
      </x:c>
      <x:c r="E1082" s="89" t="n">
        <x:v>45502.22898148148</x:v>
      </x:c>
      <x:c r="F1082" s="84" t="n">
        <x:v>77</x:v>
      </x:c>
      <x:c r="G1082" s="84" t="n">
        <x:v>1</x:v>
      </x:c>
      <x:c r="H1082" s="84" t="str">
        <x:v>Superaquecimento</x:v>
      </x:c>
      <x:c r="I1082" s="84" t="n">
        <x:v>98</x:v>
      </x:c>
      <x:c r="J1082" s="93" t="n">
        <x:v>1402.28</x:v>
      </x:c>
      <x:c r="K1082" s="85" t="str">
        <x:v>1º Turno</x:v>
      </x:c>
    </x:row>
    <x:row r="1083">
      <x:c r="A1083" s="83" t="n">
        <x:v>1082</x:v>
      </x:c>
      <x:c r="B1083" s="84" t="n">
        <x:v>84</x:v>
      </x:c>
      <x:c r="C1083" s="84" t="n">
        <x:v>1688</x:v>
      </x:c>
      <x:c r="D1083" s="89" t="n">
        <x:v>45947.43247685185</x:v>
      </x:c>
      <x:c r="E1083" s="89" t="n">
        <x:v>45947.896365740744</x:v>
      </x:c>
      <x:c r="F1083" s="84" t="n">
        <x:v>668</x:v>
      </x:c>
      <x:c r="G1083" s="84" t="n">
        <x:v>1</x:v>
      </x:c>
      <x:c r="H1083" s="84" t="str">
        <x:v>Baixa pressão</x:v>
      </x:c>
      <x:c r="I1083" s="84" t="n">
        <x:v>1403</x:v>
      </x:c>
      <x:c r="J1083" s="93" t="n">
        <x:v>32933.61</x:v>
      </x:c>
      <x:c r="K1083" s="85" t="str">
        <x:v>2º Turno</x:v>
      </x:c>
    </x:row>
    <x:row r="1084">
      <x:c r="A1084" s="83" t="n">
        <x:v>1083</x:v>
      </x:c>
      <x:c r="B1084" s="84" t="n">
        <x:v>19</x:v>
      </x:c>
      <x:c r="C1084" s="84" t="n">
        <x:v>1689</x:v>
      </x:c>
      <x:c r="D1084" s="89" t="n">
        <x:v>45265.413460648146</x:v>
      </x:c>
      <x:c r="E1084" s="89" t="n">
        <x:v>45265.55165509259</x:v>
      </x:c>
      <x:c r="F1084" s="84" t="n">
        <x:v>199</x:v>
      </x:c>
      <x:c r="G1084" s="84" t="n">
        <x:v>1</x:v>
      </x:c>
      <x:c r="H1084" s="84" t="str">
        <x:v>Falha elétrica</x:v>
      </x:c>
      <x:c r="I1084" s="84" t="n">
        <x:v>498</x:v>
      </x:c>
      <x:c r="J1084" s="93" t="n">
        <x:v>10755.7</x:v>
      </x:c>
      <x:c r="K1084" s="85" t="str">
        <x:v>2º Turno</x:v>
      </x:c>
    </x:row>
    <x:row r="1085">
      <x:c r="A1085" s="83" t="n">
        <x:v>1084</x:v>
      </x:c>
      <x:c r="B1085" s="84" t="n">
        <x:v>62</x:v>
      </x:c>
      <x:c r="C1085" s="84" t="n">
        <x:v>1691</x:v>
      </x:c>
      <x:c r="D1085" s="89" t="n">
        <x:v>45968.37844907407</x:v>
      </x:c>
      <x:c r="E1085" s="89" t="n">
        <x:v>45968.86456018518</x:v>
      </x:c>
      <x:c r="F1085" s="84" t="n">
        <x:v>700</x:v>
      </x:c>
      <x:c r="G1085" s="84" t="n">
        <x:v>1</x:v>
      </x:c>
      <x:c r="H1085" s="84" t="str">
        <x:v>Vazamento</x:v>
      </x:c>
      <x:c r="I1085" s="84" t="n">
        <x:v>1132</x:v>
      </x:c>
      <x:c r="J1085" s="93" t="n">
        <x:v>36668.42</x:v>
      </x:c>
      <x:c r="K1085" s="85" t="str">
        <x:v>2º Turno</x:v>
      </x:c>
    </x:row>
    <x:row r="1086">
      <x:c r="A1086" s="83" t="n">
        <x:v>1085</x:v>
      </x:c>
      <x:c r="B1086" s="84" t="n">
        <x:v>51</x:v>
      </x:c>
      <x:c r="C1086" s="84" t="n">
        <x:v>1694</x:v>
      </x:c>
      <x:c r="D1086" s="89" t="n">
        <x:v>45216.75337962963</x:v>
      </x:c>
      <x:c r="E1086" s="89" t="n">
        <x:v>45217.242268518516</x:v>
      </x:c>
      <x:c r="F1086" s="84" t="n">
        <x:v>704</x:v>
      </x:c>
      <x:c r="G1086" s="84" t="n">
        <x:v>1</x:v>
      </x:c>
      <x:c r="H1086" s="84" t="str">
        <x:v>Alarme intermitente</x:v>
      </x:c>
      <x:c r="I1086" s="84" t="n">
        <x:v>927</x:v>
      </x:c>
      <x:c r="J1086" s="93" t="n">
        <x:v>11927.24</x:v>
      </x:c>
      <x:c r="K1086" s="85" t="str">
        <x:v>3º Turno</x:v>
      </x:c>
    </x:row>
    <x:row r="1087">
      <x:c r="A1087" s="83" t="n">
        <x:v>1086</x:v>
      </x:c>
      <x:c r="B1087" s="84" t="n">
        <x:v>3</x:v>
      </x:c>
      <x:c r="C1087" s="84" t="n">
        <x:v>1697</x:v>
      </x:c>
      <x:c r="D1087" s="89" t="n">
        <x:v>45337.812743055554</x:v>
      </x:c>
      <x:c r="E1087" s="89" t="n">
        <x:v>45338.17177083333</x:v>
      </x:c>
      <x:c r="F1087" s="84" t="n">
        <x:v>517</x:v>
      </x:c>
      <x:c r="G1087" s="84" t="n">
        <x:v>1</x:v>
      </x:c>
      <x:c r="H1087" s="84" t="str">
        <x:v>Superaquecimento</x:v>
      </x:c>
      <x:c r="I1087" s="84" t="n">
        <x:v>896</x:v>
      </x:c>
      <x:c r="J1087" s="93" t="n">
        <x:v>11825.94</x:v>
      </x:c>
      <x:c r="K1087" s="85" t="str">
        <x:v>3º Turno</x:v>
      </x:c>
    </x:row>
    <x:row r="1088">
      <x:c r="A1088" s="83" t="n">
        <x:v>1087</x:v>
      </x:c>
      <x:c r="B1088" s="84" t="n">
        <x:v>39</x:v>
      </x:c>
      <x:c r="C1088" s="84" t="n">
        <x:v>1698</x:v>
      </x:c>
      <x:c r="D1088" s="89" t="n">
        <x:v>45801.15126157407</x:v>
      </x:c>
      <x:c r="E1088" s="89" t="n">
        <x:v>45801.45751157407</x:v>
      </x:c>
      <x:c r="F1088" s="84" t="n">
        <x:v>441</x:v>
      </x:c>
      <x:c r="G1088" s="84" t="n">
        <x:v>1</x:v>
      </x:c>
      <x:c r="H1088" s="84" t="str">
        <x:v>Vazamento</x:v>
      </x:c>
      <x:c r="I1088" s="84" t="n">
        <x:v>617</x:v>
      </x:c>
      <x:c r="J1088" s="93" t="n">
        <x:v>9170.95</x:v>
      </x:c>
      <x:c r="K1088" s="85" t="str">
        <x:v>2º Turno</x:v>
      </x:c>
    </x:row>
    <x:row r="1089">
      <x:c r="A1089" s="83" t="n">
        <x:v>1088</x:v>
      </x:c>
      <x:c r="B1089" s="84" t="n">
        <x:v>35</x:v>
      </x:c>
      <x:c r="C1089" s="84" t="n">
        <x:v>1699</x:v>
      </x:c>
      <x:c r="D1089" s="89" t="n">
        <x:v>44981.91599537037</x:v>
      </x:c>
      <x:c r="E1089" s="89" t="n">
        <x:v>44982.218773148146</x:v>
      </x:c>
      <x:c r="F1089" s="84" t="n">
        <x:v>436</x:v>
      </x:c>
      <x:c r="G1089" s="84" t="n">
        <x:v>1</x:v>
      </x:c>
      <x:c r="H1089" s="84" t="str">
        <x:v>Vazamento</x:v>
      </x:c>
      <x:c r="I1089" s="84" t="n">
        <x:v>690</x:v>
      </x:c>
      <x:c r="J1089" s="93" t="n">
        <x:v>14555.63</x:v>
      </x:c>
      <x:c r="K1089" s="85" t="str">
        <x:v>1º Turno</x:v>
      </x:c>
    </x:row>
    <x:row r="1090">
      <x:c r="A1090" s="83" t="n">
        <x:v>1089</x:v>
      </x:c>
      <x:c r="B1090" s="84" t="n">
        <x:v>87</x:v>
      </x:c>
      <x:c r="C1090" s="84" t="n">
        <x:v>1700</x:v>
      </x:c>
      <x:c r="D1090" s="89" t="n">
        <x:v>45927.05055555556</x:v>
      </x:c>
      <x:c r="E1090" s="89" t="n">
        <x:v>45927.16027777778</x:v>
      </x:c>
      <x:c r="F1090" s="84" t="n">
        <x:v>158</x:v>
      </x:c>
      <x:c r="G1090" s="84" t="n">
        <x:v>1</x:v>
      </x:c>
      <x:c r="H1090" s="84" t="str">
        <x:v>Ruído anormal</x:v>
      </x:c>
      <x:c r="I1090" s="84" t="n">
        <x:v>282</x:v>
      </x:c>
      <x:c r="J1090" s="93" t="n">
        <x:v>5317.17</x:v>
      </x:c>
      <x:c r="K1090" s="85" t="str">
        <x:v>1º Turno</x:v>
      </x:c>
    </x:row>
    <x:row r="1091">
      <x:c r="A1091" s="83" t="n">
        <x:v>1090</x:v>
      </x:c>
      <x:c r="B1091" s="84" t="n">
        <x:v>9</x:v>
      </x:c>
      <x:c r="C1091" s="84" t="n">
        <x:v>1701</x:v>
      </x:c>
      <x:c r="D1091" s="89" t="n">
        <x:v>45358.25572916667</x:v>
      </x:c>
      <x:c r="E1091" s="89" t="n">
        <x:v>45358.65503472222</x:v>
      </x:c>
      <x:c r="F1091" s="84" t="n">
        <x:v>575</x:v>
      </x:c>
      <x:c r="G1091" s="84" t="n">
        <x:v>1</x:v>
      </x:c>
      <x:c r="H1091" s="84" t="str">
        <x:v>Alarme intermitente</x:v>
      </x:c>
      <x:c r="I1091" s="84" t="n">
        <x:v>680</x:v>
      </x:c>
      <x:c r="J1091" s="93" t="n">
        <x:v>8269.41</x:v>
      </x:c>
      <x:c r="K1091" s="85" t="str">
        <x:v>1º Turno</x:v>
      </x:c>
    </x:row>
    <x:row r="1092">
      <x:c r="A1092" s="83" t="n">
        <x:v>1091</x:v>
      </x:c>
      <x:c r="B1092" s="84" t="n">
        <x:v>29</x:v>
      </x:c>
      <x:c r="C1092" s="84" t="n">
        <x:v>1703</x:v>
      </x:c>
      <x:c r="D1092" s="89" t="n">
        <x:v>45927.86236111111</x:v>
      </x:c>
      <x:c r="E1092" s="89" t="n">
        <x:v>45927.87625</x:v>
      </x:c>
      <x:c r="F1092" s="84" t="n">
        <x:v>20</x:v>
      </x:c>
      <x:c r="G1092" s="84" t="n">
        <x:v>1</x:v>
      </x:c>
      <x:c r="H1092" s="84" t="str">
        <x:v>Baixa pressão</x:v>
      </x:c>
      <x:c r="I1092" s="84" t="n">
        <x:v>49</x:v>
      </x:c>
      <x:c r="J1092" s="93" t="n">
        <x:v>846.46</x:v>
      </x:c>
      <x:c r="K1092" s="85" t="str">
        <x:v>2º Turno</x:v>
      </x:c>
    </x:row>
    <x:row r="1093">
      <x:c r="A1093" s="83" t="n">
        <x:v>1092</x:v>
      </x:c>
      <x:c r="B1093" s="84" t="n">
        <x:v>45</x:v>
      </x:c>
      <x:c r="C1093" s="84" t="n">
        <x:v>1705</x:v>
      </x:c>
      <x:c r="D1093" s="89" t="n">
        <x:v>45401.231145833335</x:v>
      </x:c>
      <x:c r="E1093" s="89" t="n">
        <x:v>45401.513090277775</x:v>
      </x:c>
      <x:c r="F1093" s="84" t="n">
        <x:v>406</x:v>
      </x:c>
      <x:c r="G1093" s="84" t="n">
        <x:v>0</x:v>
      </x:c>
      <x:c r="H1093" s="84" t="str">
        <x:v>Vazamento</x:v>
      </x:c>
      <x:c r="I1093" s="84" t="n">
        <x:v>508</x:v>
      </x:c>
      <x:c r="J1093" s="93" t="n">
        <x:v>21820.67</x:v>
      </x:c>
      <x:c r="K1093" s="85" t="str">
        <x:v>1º Turno</x:v>
      </x:c>
    </x:row>
    <x:row r="1094">
      <x:c r="A1094" s="83" t="n">
        <x:v>1093</x:v>
      </x:c>
      <x:c r="B1094" s="84" t="n">
        <x:v>47</x:v>
      </x:c>
      <x:c r="C1094" s="84" t="n">
        <x:v>1706</x:v>
      </x:c>
      <x:c r="D1094" s="89" t="n">
        <x:v>45378.02501157407</x:v>
      </x:c>
      <x:c r="E1094" s="89" t="n">
        <x:v>45378.54445601852</x:v>
      </x:c>
      <x:c r="F1094" s="84" t="n">
        <x:v>748</x:v>
      </x:c>
      <x:c r="G1094" s="84" t="n">
        <x:v>1</x:v>
      </x:c>
      <x:c r="H1094" s="84" t="str">
        <x:v>Alarme intermitente</x:v>
      </x:c>
      <x:c r="I1094" s="84" t="n">
        <x:v>1197</x:v>
      </x:c>
      <x:c r="J1094" s="93" t="n">
        <x:v>39058.96</x:v>
      </x:c>
      <x:c r="K1094" s="85" t="str">
        <x:v>2º Turno</x:v>
      </x:c>
    </x:row>
    <x:row r="1095">
      <x:c r="A1095" s="83" t="n">
        <x:v>1094</x:v>
      </x:c>
      <x:c r="B1095" s="84" t="n">
        <x:v>19</x:v>
      </x:c>
      <x:c r="C1095" s="84" t="n">
        <x:v>1709</x:v>
      </x:c>
      <x:c r="D1095" s="89" t="n">
        <x:v>45396.51042824074</x:v>
      </x:c>
      <x:c r="E1095" s="89" t="n">
        <x:v>45397.10140046296</x:v>
      </x:c>
      <x:c r="F1095" s="84" t="n">
        <x:v>851</x:v>
      </x:c>
      <x:c r="G1095" s="84" t="n">
        <x:v>1</x:v>
      </x:c>
      <x:c r="H1095" s="84" t="str">
        <x:v>Vazamento</x:v>
      </x:c>
      <x:c r="I1095" s="84" t="n">
        <x:v>993</x:v>
      </x:c>
      <x:c r="J1095" s="93" t="n">
        <x:v>36958.5</x:v>
      </x:c>
      <x:c r="K1095" s="85" t="str">
        <x:v>3º Turno</x:v>
      </x:c>
    </x:row>
    <x:row r="1096">
      <x:c r="A1096" s="83" t="n">
        <x:v>1095</x:v>
      </x:c>
      <x:c r="B1096" s="84" t="n">
        <x:v>88</x:v>
      </x:c>
      <x:c r="C1096" s="84" t="n">
        <x:v>1710</x:v>
      </x:c>
      <x:c r="D1096" s="89" t="n">
        <x:v>45902.96171296296</x:v>
      </x:c>
      <x:c r="E1096" s="89" t="n">
        <x:v>45903.37837962963</x:v>
      </x:c>
      <x:c r="F1096" s="84" t="n">
        <x:v>600</x:v>
      </x:c>
      <x:c r="G1096" s="84" t="n">
        <x:v>1</x:v>
      </x:c>
      <x:c r="H1096" s="84" t="str">
        <x:v>Superaquecimento</x:v>
      </x:c>
      <x:c r="I1096" s="84" t="n">
        <x:v>1210</x:v>
      </x:c>
      <x:c r="J1096" s="93" t="n">
        <x:v>27504.12</x:v>
      </x:c>
      <x:c r="K1096" s="85" t="str">
        <x:v>1º Turno</x:v>
      </x:c>
    </x:row>
    <x:row r="1097">
      <x:c r="A1097" s="83" t="n">
        <x:v>1096</x:v>
      </x:c>
      <x:c r="B1097" s="84" t="n">
        <x:v>24</x:v>
      </x:c>
      <x:c r="C1097" s="84" t="n">
        <x:v>1711</x:v>
      </x:c>
      <x:c r="D1097" s="89" t="n">
        <x:v>45693.538993055554</x:v>
      </x:c>
      <x:c r="E1097" s="89" t="n">
        <x:v>45693.734826388885</x:v>
      </x:c>
      <x:c r="F1097" s="84" t="n">
        <x:v>282</x:v>
      </x:c>
      <x:c r="G1097" s="84" t="n">
        <x:v>0</x:v>
      </x:c>
      <x:c r="H1097" s="84" t="str">
        <x:v>Baixa pressão</x:v>
      </x:c>
      <x:c r="I1097" s="84" t="n">
        <x:v>705</x:v>
      </x:c>
      <x:c r="J1097" s="93" t="n">
        <x:v>11839.68</x:v>
      </x:c>
      <x:c r="K1097" s="85" t="str">
        <x:v>3º Turno</x:v>
      </x:c>
    </x:row>
    <x:row r="1098">
      <x:c r="A1098" s="83" t="n">
        <x:v>1097</x:v>
      </x:c>
      <x:c r="B1098" s="84" t="n">
        <x:v>89</x:v>
      </x:c>
      <x:c r="C1098" s="84" t="n">
        <x:v>1712</x:v>
      </x:c>
      <x:c r="D1098" s="89" t="n">
        <x:v>45053.18540509259</x:v>
      </x:c>
      <x:c r="E1098" s="89" t="n">
        <x:v>45053.56943287037</x:v>
      </x:c>
      <x:c r="F1098" s="84" t="n">
        <x:v>553</x:v>
      </x:c>
      <x:c r="G1098" s="84" t="n">
        <x:v>1</x:v>
      </x:c>
      <x:c r="H1098" s="84" t="str">
        <x:v>Ruído anormal</x:v>
      </x:c>
      <x:c r="I1098" s="84" t="n">
        <x:v>857</x:v>
      </x:c>
      <x:c r="J1098" s="93" t="n">
        <x:v>10497.52</x:v>
      </x:c>
      <x:c r="K1098" s="85" t="str">
        <x:v>2º Turno</x:v>
      </x:c>
    </x:row>
    <x:row r="1099">
      <x:c r="A1099" s="83" t="n">
        <x:v>1098</x:v>
      </x:c>
      <x:c r="B1099" s="84" t="n">
        <x:v>71</x:v>
      </x:c>
      <x:c r="C1099" s="84" t="n">
        <x:v>1713</x:v>
      </x:c>
      <x:c r="D1099" s="89" t="n">
        <x:v>45295.01729166666</x:v>
      </x:c>
      <x:c r="E1099" s="89" t="n">
        <x:v>45295.15965277778</x:v>
      </x:c>
      <x:c r="F1099" s="84" t="n">
        <x:v>205</x:v>
      </x:c>
      <x:c r="G1099" s="84" t="n">
        <x:v>1</x:v>
      </x:c>
      <x:c r="H1099" s="84" t="str">
        <x:v>Ruído anormal</x:v>
      </x:c>
      <x:c r="I1099" s="84" t="n">
        <x:v>451</x:v>
      </x:c>
      <x:c r="J1099" s="93" t="n">
        <x:v>11759.94</x:v>
      </x:c>
      <x:c r="K1099" s="85" t="str">
        <x:v>3º Turno</x:v>
      </x:c>
    </x:row>
    <x:row r="1100">
      <x:c r="A1100" s="83" t="n">
        <x:v>1099</x:v>
      </x:c>
      <x:c r="B1100" s="84" t="n">
        <x:v>41</x:v>
      </x:c>
      <x:c r="C1100" s="84" t="n">
        <x:v>1714</x:v>
      </x:c>
      <x:c r="D1100" s="89" t="n">
        <x:v>45204.115115740744</x:v>
      </x:c>
      <x:c r="E1100" s="89" t="n">
        <x:v>45204.169282407405</x:v>
      </x:c>
      <x:c r="F1100" s="84" t="n">
        <x:v>78</x:v>
      </x:c>
      <x:c r="G1100" s="84" t="n">
        <x:v>1</x:v>
      </x:c>
      <x:c r="H1100" s="84" t="str">
        <x:v>Baixa pressão</x:v>
      </x:c>
      <x:c r="I1100" s="84" t="n">
        <x:v>165</x:v>
      </x:c>
      <x:c r="J1100" s="93" t="n">
        <x:v>3564.85</x:v>
      </x:c>
      <x:c r="K1100" s="85" t="str">
        <x:v>2º Turno</x:v>
      </x:c>
    </x:row>
    <x:row r="1101">
      <x:c r="A1101" s="83" t="n">
        <x:v>1100</x:v>
      </x:c>
      <x:c r="B1101" s="84" t="n">
        <x:v>4</x:v>
      </x:c>
      <x:c r="C1101" s="84" t="n">
        <x:v>1715</x:v>
      </x:c>
      <x:c r="D1101" s="89" t="n">
        <x:v>45326.098969907405</x:v>
      </x:c>
      <x:c r="E1101" s="89" t="n">
        <x:v>45326.63994212963</x:v>
      </x:c>
      <x:c r="F1101" s="84" t="n">
        <x:v>779</x:v>
      </x:c>
      <x:c r="G1101" s="84" t="n">
        <x:v>1</x:v>
      </x:c>
      <x:c r="H1101" s="84" t="str">
        <x:v>Superaquecimento</x:v>
      </x:c>
      <x:c r="I1101" s="84" t="n">
        <x:v>987</x:v>
      </x:c>
      <x:c r="J1101" s="93" t="n">
        <x:v>26887.02</x:v>
      </x:c>
      <x:c r="K1101" s="85" t="str">
        <x:v>3º Turno</x:v>
      </x:c>
    </x:row>
    <x:row r="1102">
      <x:c r="A1102" s="83" t="n">
        <x:v>1101</x:v>
      </x:c>
      <x:c r="B1102" s="84" t="n">
        <x:v>27</x:v>
      </x:c>
      <x:c r="C1102" s="84" t="n">
        <x:v>1716</x:v>
      </x:c>
      <x:c r="D1102" s="89" t="n">
        <x:v>45434.86993055556</x:v>
      </x:c>
      <x:c r="E1102" s="89" t="n">
        <x:v>45435.04423611111</x:v>
      </x:c>
      <x:c r="F1102" s="84" t="n">
        <x:v>251</x:v>
      </x:c>
      <x:c r="G1102" s="84" t="n">
        <x:v>1</x:v>
      </x:c>
      <x:c r="H1102" s="84" t="str">
        <x:v>Superaquecimento</x:v>
      </x:c>
      <x:c r="I1102" s="84" t="n">
        <x:v>477</x:v>
      </x:c>
      <x:c r="J1102" s="93" t="n">
        <x:v>10661.59</x:v>
      </x:c>
      <x:c r="K1102" s="85" t="str">
        <x:v>3º Turno</x:v>
      </x:c>
    </x:row>
    <x:row r="1103">
      <x:c r="A1103" s="83" t="n">
        <x:v>1102</x:v>
      </x:c>
      <x:c r="B1103" s="84" t="n">
        <x:v>31</x:v>
      </x:c>
      <x:c r="C1103" s="84" t="n">
        <x:v>1717</x:v>
      </x:c>
      <x:c r="D1103" s="89" t="n">
        <x:v>45046.746666666666</x:v>
      </x:c>
      <x:c r="E1103" s="89" t="n">
        <x:v>45046.83833333333</x:v>
      </x:c>
      <x:c r="F1103" s="84" t="n">
        <x:v>132</x:v>
      </x:c>
      <x:c r="G1103" s="84" t="n">
        <x:v>0</x:v>
      </x:c>
      <x:c r="H1103" s="84" t="str">
        <x:v>Superaquecimento</x:v>
      </x:c>
      <x:c r="I1103" s="84" t="n">
        <x:v>328</x:v>
      </x:c>
      <x:c r="J1103" s="93" t="n">
        <x:v>6542.2</x:v>
      </x:c>
      <x:c r="K1103" s="85" t="str">
        <x:v>1º Turno</x:v>
      </x:c>
    </x:row>
    <x:row r="1104">
      <x:c r="A1104" s="83" t="n">
        <x:v>1103</x:v>
      </x:c>
      <x:c r="B1104" s="84" t="n">
        <x:v>28</x:v>
      </x:c>
      <x:c r="C1104" s="84" t="n">
        <x:v>1718</x:v>
      </x:c>
      <x:c r="D1104" s="89" t="n">
        <x:v>45125.35125</x:v>
      </x:c>
      <x:c r="E1104" s="89" t="n">
        <x:v>45125.38527777778</x:v>
      </x:c>
      <x:c r="F1104" s="84" t="n">
        <x:v>49</x:v>
      </x:c>
      <x:c r="G1104" s="84" t="n">
        <x:v>1</x:v>
      </x:c>
      <x:c r="H1104" s="84" t="str">
        <x:v>Ruído anormal</x:v>
      </x:c>
      <x:c r="I1104" s="84" t="n">
        <x:v>60</x:v>
      </x:c>
      <x:c r="J1104" s="93" t="n">
        <x:v>1707.1</x:v>
      </x:c>
      <x:c r="K1104" s="85" t="str">
        <x:v>1º Turno</x:v>
      </x:c>
    </x:row>
    <x:row r="1105">
      <x:c r="A1105" s="83" t="n">
        <x:v>1104</x:v>
      </x:c>
      <x:c r="B1105" s="84" t="n">
        <x:v>5</x:v>
      </x:c>
      <x:c r="C1105" s="84" t="n">
        <x:v>1719</x:v>
      </x:c>
      <x:c r="D1105" s="89" t="n">
        <x:v>45777.589641203704</x:v>
      </x:c>
      <x:c r="E1105" s="89" t="n">
        <x:v>45777.802141203705</x:v>
      </x:c>
      <x:c r="F1105" s="84" t="n">
        <x:v>306</x:v>
      </x:c>
      <x:c r="G1105" s="84" t="n">
        <x:v>1</x:v>
      </x:c>
      <x:c r="H1105" s="84" t="str">
        <x:v>Baixa pressão</x:v>
      </x:c>
      <x:c r="I1105" s="84" t="n">
        <x:v>709</x:v>
      </x:c>
      <x:c r="J1105" s="93" t="n">
        <x:v>10920.35</x:v>
      </x:c>
      <x:c r="K1105" s="85" t="str">
        <x:v>2º Turno</x:v>
      </x:c>
    </x:row>
    <x:row r="1106">
      <x:c r="A1106" s="83" t="n">
        <x:v>1105</x:v>
      </x:c>
      <x:c r="B1106" s="84" t="n">
        <x:v>37</x:v>
      </x:c>
      <x:c r="C1106" s="84" t="n">
        <x:v>1720</x:v>
      </x:c>
      <x:c r="D1106" s="89" t="n">
        <x:v>45342.896006944444</x:v>
      </x:c>
      <x:c r="E1106" s="89" t="n">
        <x:v>45343.287673611114</x:v>
      </x:c>
      <x:c r="F1106" s="84" t="n">
        <x:v>564</x:v>
      </x:c>
      <x:c r="G1106" s="84" t="n">
        <x:v>1</x:v>
      </x:c>
      <x:c r="H1106" s="84" t="str">
        <x:v>Falha elétrica</x:v>
      </x:c>
      <x:c r="I1106" s="84" t="n">
        <x:v>677</x:v>
      </x:c>
      <x:c r="J1106" s="93" t="n">
        <x:v>18203.85</x:v>
      </x:c>
      <x:c r="K1106" s="85" t="str">
        <x:v>2º Turno</x:v>
      </x:c>
    </x:row>
    <x:row r="1107">
      <x:c r="A1107" s="83" t="n">
        <x:v>1106</x:v>
      </x:c>
      <x:c r="B1107" s="84" t="n">
        <x:v>84</x:v>
      </x:c>
      <x:c r="C1107" s="84" t="n">
        <x:v>1722</x:v>
      </x:c>
      <x:c r="D1107" s="89" t="n">
        <x:v>45039.18502314815</x:v>
      </x:c>
      <x:c r="E1107" s="89" t="n">
        <x:v>45039.32113425926</x:v>
      </x:c>
      <x:c r="F1107" s="84" t="n">
        <x:v>196</x:v>
      </x:c>
      <x:c r="G1107" s="84" t="n">
        <x:v>1</x:v>
      </x:c>
      <x:c r="H1107" s="84" t="str">
        <x:v>Baixa pressão</x:v>
      </x:c>
      <x:c r="I1107" s="84" t="n">
        <x:v>330</x:v>
      </x:c>
      <x:c r="J1107" s="93" t="n">
        <x:v>11377.59</x:v>
      </x:c>
      <x:c r="K1107" s="85" t="str">
        <x:v>3º Turno</x:v>
      </x:c>
    </x:row>
    <x:row r="1108">
      <x:c r="A1108" s="83" t="n">
        <x:v>1107</x:v>
      </x:c>
      <x:c r="B1108" s="84" t="n">
        <x:v>42</x:v>
      </x:c>
      <x:c r="C1108" s="84" t="n">
        <x:v>1723</x:v>
      </x:c>
      <x:c r="D1108" s="89" t="n">
        <x:v>45364.84038194444</x:v>
      </x:c>
      <x:c r="E1108" s="89" t="n">
        <x:v>45365.00079861111</x:v>
      </x:c>
      <x:c r="F1108" s="84" t="n">
        <x:v>231</x:v>
      </x:c>
      <x:c r="G1108" s="84" t="n">
        <x:v>1</x:v>
      </x:c>
      <x:c r="H1108" s="84" t="str">
        <x:v>Superaquecimento</x:v>
      </x:c>
      <x:c r="I1108" s="84" t="n">
        <x:v>296</x:v>
      </x:c>
      <x:c r="J1108" s="93" t="n">
        <x:v>8210.81</x:v>
      </x:c>
      <x:c r="K1108" s="85" t="str">
        <x:v>3º Turno</x:v>
      </x:c>
    </x:row>
    <x:row r="1109">
      <x:c r="A1109" s="83" t="n">
        <x:v>1108</x:v>
      </x:c>
      <x:c r="B1109" s="84" t="n">
        <x:v>40</x:v>
      </x:c>
      <x:c r="C1109" s="84" t="n">
        <x:v>1724</x:v>
      </x:c>
      <x:c r="D1109" s="89" t="n">
        <x:v>45767.478634259256</x:v>
      </x:c>
      <x:c r="E1109" s="89" t="n">
        <x:v>45767.90571759259</x:v>
      </x:c>
      <x:c r="F1109" s="84" t="n">
        <x:v>615</x:v>
      </x:c>
      <x:c r="G1109" s="84" t="n">
        <x:v>1</x:v>
      </x:c>
      <x:c r="H1109" s="84" t="str">
        <x:v>Falha elétrica</x:v>
      </x:c>
      <x:c r="I1109" s="84" t="n">
        <x:v>830</x:v>
      </x:c>
      <x:c r="J1109" s="93" t="n">
        <x:v>9684.96</x:v>
      </x:c>
      <x:c r="K1109" s="85" t="str">
        <x:v>2º Turno</x:v>
      </x:c>
    </x:row>
    <x:row r="1110">
      <x:c r="A1110" s="83" t="n">
        <x:v>1109</x:v>
      </x:c>
      <x:c r="B1110" s="84" t="n">
        <x:v>70</x:v>
      </x:c>
      <x:c r="C1110" s="84" t="n">
        <x:v>1725</x:v>
      </x:c>
      <x:c r="D1110" s="89" t="n">
        <x:v>44986.078194444446</x:v>
      </x:c>
      <x:c r="E1110" s="89" t="n">
        <x:v>44986.400416666664</x:v>
      </x:c>
      <x:c r="F1110" s="84" t="n">
        <x:v>464</x:v>
      </x:c>
      <x:c r="G1110" s="84" t="n">
        <x:v>1</x:v>
      </x:c>
      <x:c r="H1110" s="84" t="str">
        <x:v>Vazamento</x:v>
      </x:c>
      <x:c r="I1110" s="84" t="n">
        <x:v>503</x:v>
      </x:c>
      <x:c r="J1110" s="93" t="n">
        <x:v>12809.98</x:v>
      </x:c>
      <x:c r="K1110" s="85" t="str">
        <x:v>2º Turno</x:v>
      </x:c>
    </x:row>
    <x:row r="1111">
      <x:c r="A1111" s="83" t="n">
        <x:v>1110</x:v>
      </x:c>
      <x:c r="B1111" s="84" t="n">
        <x:v>18</x:v>
      </x:c>
      <x:c r="C1111" s="84" t="n">
        <x:v>1727</x:v>
      </x:c>
      <x:c r="D1111" s="89" t="n">
        <x:v>45644.38657407407</x:v>
      </x:c>
      <x:c r="E1111" s="89" t="n">
        <x:v>45644.440046296295</x:v>
      </x:c>
      <x:c r="F1111" s="84" t="n">
        <x:v>77</x:v>
      </x:c>
      <x:c r="G1111" s="84" t="n">
        <x:v>0</x:v>
      </x:c>
      <x:c r="H1111" s="84" t="str">
        <x:v>Vazamento</x:v>
      </x:c>
      <x:c r="I1111" s="84" t="n">
        <x:v>144</x:v>
      </x:c>
      <x:c r="J1111" s="93" t="n">
        <x:v>1491.13</x:v>
      </x:c>
      <x:c r="K1111" s="85" t="str">
        <x:v>3º Turno</x:v>
      </x:c>
    </x:row>
    <x:row r="1112">
      <x:c r="A1112" s="83" t="n">
        <x:v>1111</x:v>
      </x:c>
      <x:c r="B1112" s="84" t="n">
        <x:v>36</x:v>
      </x:c>
      <x:c r="C1112" s="84" t="n">
        <x:v>1728</x:v>
      </x:c>
      <x:c r="D1112" s="89" t="n">
        <x:v>45833.85865740741</x:v>
      </x:c>
      <x:c r="E1112" s="89" t="n">
        <x:v>45834.24060185185</x:v>
      </x:c>
      <x:c r="F1112" s="84" t="n">
        <x:v>550</x:v>
      </x:c>
      <x:c r="G1112" s="84" t="n">
        <x:v>1</x:v>
      </x:c>
      <x:c r="H1112" s="84" t="str">
        <x:v>Falha elétrica</x:v>
      </x:c>
      <x:c r="I1112" s="84" t="n">
        <x:v>1017</x:v>
      </x:c>
      <x:c r="J1112" s="93" t="n">
        <x:v>12146.84</x:v>
      </x:c>
      <x:c r="K1112" s="85" t="str">
        <x:v>2º Turno</x:v>
      </x:c>
    </x:row>
    <x:row r="1113">
      <x:c r="A1113" s="83" t="n">
        <x:v>1112</x:v>
      </x:c>
      <x:c r="B1113" s="84" t="n">
        <x:v>89</x:v>
      </x:c>
      <x:c r="C1113" s="84" t="n">
        <x:v>1730</x:v>
      </x:c>
      <x:c r="D1113" s="89" t="n">
        <x:v>45307.19310185185</x:v>
      </x:c>
      <x:c r="E1113" s="89" t="n">
        <x:v>45307.55351851852</x:v>
      </x:c>
      <x:c r="F1113" s="84" t="n">
        <x:v>519</x:v>
      </x:c>
      <x:c r="G1113" s="84" t="n">
        <x:v>0</x:v>
      </x:c>
      <x:c r="H1113" s="84" t="str">
        <x:v>Vazamento</x:v>
      </x:c>
      <x:c r="I1113" s="84" t="n">
        <x:v>640</x:v>
      </x:c>
      <x:c r="J1113" s="93" t="n">
        <x:v>21496.56</x:v>
      </x:c>
      <x:c r="K1113" s="85" t="str">
        <x:v>3º Turno</x:v>
      </x:c>
    </x:row>
    <x:row r="1114">
      <x:c r="A1114" s="83" t="n">
        <x:v>1113</x:v>
      </x:c>
      <x:c r="B1114" s="84" t="n">
        <x:v>15</x:v>
      </x:c>
      <x:c r="C1114" s="84" t="n">
        <x:v>1731</x:v>
      </x:c>
      <x:c r="D1114" s="89" t="n">
        <x:v>45047.631215277775</x:v>
      </x:c>
      <x:c r="E1114" s="89" t="n">
        <x:v>45047.70899305555</x:v>
      </x:c>
      <x:c r="F1114" s="84" t="n">
        <x:v>112</x:v>
      </x:c>
      <x:c r="G1114" s="84" t="n">
        <x:v>1</x:v>
      </x:c>
      <x:c r="H1114" s="84" t="str">
        <x:v>Baixa pressão</x:v>
      </x:c>
      <x:c r="I1114" s="84" t="n">
        <x:v>217</x:v>
      </x:c>
      <x:c r="J1114" s="93" t="n">
        <x:v>6141.61</x:v>
      </x:c>
      <x:c r="K1114" s="85" t="str">
        <x:v>3º Turno</x:v>
      </x:c>
    </x:row>
    <x:row r="1115">
      <x:c r="A1115" s="83" t="n">
        <x:v>1114</x:v>
      </x:c>
      <x:c r="B1115" s="84" t="n">
        <x:v>53</x:v>
      </x:c>
      <x:c r="C1115" s="84" t="n">
        <x:v>1732</x:v>
      </x:c>
      <x:c r="D1115" s="89" t="n">
        <x:v>45346.77704861111</x:v>
      </x:c>
      <x:c r="E1115" s="89" t="n">
        <x:v>45347.24996527778</x:v>
      </x:c>
      <x:c r="F1115" s="84" t="n">
        <x:v>681</x:v>
      </x:c>
      <x:c r="G1115" s="84" t="n">
        <x:v>1</x:v>
      </x:c>
      <x:c r="H1115" s="84" t="str">
        <x:v>Ruído anormal</x:v>
      </x:c>
      <x:c r="I1115" s="84" t="n">
        <x:v>760</x:v>
      </x:c>
      <x:c r="J1115" s="93" t="n">
        <x:v>30111.16</x:v>
      </x:c>
      <x:c r="K1115" s="85" t="str">
        <x:v>2º Turno</x:v>
      </x:c>
    </x:row>
    <x:row r="1116">
      <x:c r="A1116" s="83" t="n">
        <x:v>1115</x:v>
      </x:c>
      <x:c r="B1116" s="84" t="n">
        <x:v>3</x:v>
      </x:c>
      <x:c r="C1116" s="84" t="n">
        <x:v>1733</x:v>
      </x:c>
      <x:c r="D1116" s="89" t="n">
        <x:v>44948.087233796294</x:v>
      </x:c>
      <x:c r="E1116" s="89" t="n">
        <x:v>44948.44626157408</x:v>
      </x:c>
      <x:c r="F1116" s="84" t="n">
        <x:v>517</x:v>
      </x:c>
      <x:c r="G1116" s="84" t="n">
        <x:v>1</x:v>
      </x:c>
      <x:c r="H1116" s="84" t="str">
        <x:v>Superaquecimento</x:v>
      </x:c>
      <x:c r="I1116" s="84" t="n">
        <x:v>1215</x:v>
      </x:c>
      <x:c r="J1116" s="93" t="n">
        <x:v>8177.88</x:v>
      </x:c>
      <x:c r="K1116" s="85" t="str">
        <x:v>1º Turno</x:v>
      </x:c>
    </x:row>
    <x:row r="1117">
      <x:c r="A1117" s="83" t="n">
        <x:v>1116</x:v>
      </x:c>
      <x:c r="B1117" s="84" t="n">
        <x:v>19</x:v>
      </x:c>
      <x:c r="C1117" s="84" t="n">
        <x:v>1735</x:v>
      </x:c>
      <x:c r="D1117" s="89" t="n">
        <x:v>45519.93405092593</x:v>
      </x:c>
      <x:c r="E1117" s="89" t="n">
        <x:v>45519.99793981481</x:v>
      </x:c>
      <x:c r="F1117" s="84" t="n">
        <x:v>92</x:v>
      </x:c>
      <x:c r="G1117" s="84" t="n">
        <x:v>1</x:v>
      </x:c>
      <x:c r="H1117" s="84" t="str">
        <x:v>Desalinhamento</x:v>
      </x:c>
      <x:c r="I1117" s="84" t="n">
        <x:v>198</x:v>
      </x:c>
      <x:c r="J1117" s="93" t="n">
        <x:v>1584.85</x:v>
      </x:c>
      <x:c r="K1117" s="85" t="str">
        <x:v>2º Turno</x:v>
      </x:c>
    </x:row>
    <x:row r="1118">
      <x:c r="A1118" s="83" t="n">
        <x:v>1117</x:v>
      </x:c>
      <x:c r="B1118" s="84" t="n">
        <x:v>29</x:v>
      </x:c>
      <x:c r="C1118" s="84" t="n">
        <x:v>1736</x:v>
      </x:c>
      <x:c r="D1118" s="89" t="n">
        <x:v>45344.67545138889</x:v>
      </x:c>
      <x:c r="E1118" s="89" t="n">
        <x:v>45345.124756944446</x:v>
      </x:c>
      <x:c r="F1118" s="84" t="n">
        <x:v>647</x:v>
      </x:c>
      <x:c r="G1118" s="84" t="n">
        <x:v>1</x:v>
      </x:c>
      <x:c r="H1118" s="84" t="str">
        <x:v>Desalinhamento</x:v>
      </x:c>
      <x:c r="I1118" s="84" t="n">
        <x:v>1272</x:v>
      </x:c>
      <x:c r="J1118" s="93" t="n">
        <x:v>14026.06</x:v>
      </x:c>
      <x:c r="K1118" s="85" t="str">
        <x:v>1º Turno</x:v>
      </x:c>
    </x:row>
    <x:row r="1119">
      <x:c r="A1119" s="83" t="n">
        <x:v>1118</x:v>
      </x:c>
      <x:c r="B1119" s="84" t="n">
        <x:v>65</x:v>
      </x:c>
      <x:c r="C1119" s="84" t="n">
        <x:v>1738</x:v>
      </x:c>
      <x:c r="D1119" s="89" t="n">
        <x:v>45277.230104166665</x:v>
      </x:c>
      <x:c r="E1119" s="89" t="n">
        <x:v>45277.761354166665</x:v>
      </x:c>
      <x:c r="F1119" s="84" t="n">
        <x:v>765</x:v>
      </x:c>
      <x:c r="G1119" s="84" t="n">
        <x:v>0</x:v>
      </x:c>
      <x:c r="H1119" s="84" t="str">
        <x:v>Desalinhamento</x:v>
      </x:c>
      <x:c r="I1119" s="84" t="n">
        <x:v>880</x:v>
      </x:c>
      <x:c r="J1119" s="93" t="n">
        <x:v>43736.66</x:v>
      </x:c>
      <x:c r="K1119" s="85" t="str">
        <x:v>1º Turno</x:v>
      </x:c>
    </x:row>
    <x:row r="1120">
      <x:c r="A1120" s="83" t="n">
        <x:v>1119</x:v>
      </x:c>
      <x:c r="B1120" s="84" t="n">
        <x:v>25</x:v>
      </x:c>
      <x:c r="C1120" s="84" t="n">
        <x:v>1739</x:v>
      </x:c>
      <x:c r="D1120" s="89" t="n">
        <x:v>45470.29771990741</x:v>
      </x:c>
      <x:c r="E1120" s="89" t="n">
        <x:v>45470.656747685185</x:v>
      </x:c>
      <x:c r="F1120" s="84" t="n">
        <x:v>517</x:v>
      </x:c>
      <x:c r="G1120" s="84" t="n">
        <x:v>1</x:v>
      </x:c>
      <x:c r="H1120" s="84" t="str">
        <x:v>Falha elétrica</x:v>
      </x:c>
      <x:c r="I1120" s="84" t="n">
        <x:v>724</x:v>
      </x:c>
      <x:c r="J1120" s="93" t="n">
        <x:v>16453.79</x:v>
      </x:c>
      <x:c r="K1120" s="85" t="str">
        <x:v>3º Turno</x:v>
      </x:c>
    </x:row>
    <x:row r="1121">
      <x:c r="A1121" s="83" t="n">
        <x:v>1120</x:v>
      </x:c>
      <x:c r="B1121" s="84" t="n">
        <x:v>77</x:v>
      </x:c>
      <x:c r="C1121" s="84" t="n">
        <x:v>1740</x:v>
      </x:c>
      <x:c r="D1121" s="89" t="n">
        <x:v>45861.932337962964</x:v>
      </x:c>
      <x:c r="E1121" s="89" t="n">
        <x:v>45861.97400462963</x:v>
      </x:c>
      <x:c r="F1121" s="84" t="n">
        <x:v>60</x:v>
      </x:c>
      <x:c r="G1121" s="84" t="n">
        <x:v>1</x:v>
      </x:c>
      <x:c r="H1121" s="84" t="str">
        <x:v>Desalinhamento</x:v>
      </x:c>
      <x:c r="I1121" s="84" t="n">
        <x:v>147</x:v>
      </x:c>
      <x:c r="J1121" s="93" t="n">
        <x:v>3172.42</x:v>
      </x:c>
      <x:c r="K1121" s="85" t="str">
        <x:v>3º Turno</x:v>
      </x:c>
    </x:row>
    <x:row r="1122">
      <x:c r="A1122" s="83" t="n">
        <x:v>1121</x:v>
      </x:c>
      <x:c r="B1122" s="84" t="n">
        <x:v>21</x:v>
      </x:c>
      <x:c r="C1122" s="84" t="n">
        <x:v>1741</x:v>
      </x:c>
      <x:c r="D1122" s="89" t="n">
        <x:v>45743.682337962964</x:v>
      </x:c>
      <x:c r="E1122" s="89" t="n">
        <x:v>45743.713587962964</x:v>
      </x:c>
      <x:c r="F1122" s="84" t="n">
        <x:v>45</x:v>
      </x:c>
      <x:c r="G1122" s="84" t="n">
        <x:v>1</x:v>
      </x:c>
      <x:c r="H1122" s="84" t="str">
        <x:v>Ruído anormal</x:v>
      </x:c>
      <x:c r="I1122" s="84" t="n">
        <x:v>64</x:v>
      </x:c>
      <x:c r="J1122" s="93" t="n">
        <x:v>1056.26</x:v>
      </x:c>
      <x:c r="K1122" s="85" t="str">
        <x:v>3º Turno</x:v>
      </x:c>
    </x:row>
    <x:row r="1123">
      <x:c r="A1123" s="83" t="n">
        <x:v>1122</x:v>
      </x:c>
      <x:c r="B1123" s="84" t="n">
        <x:v>13</x:v>
      </x:c>
      <x:c r="C1123" s="84" t="n">
        <x:v>1742</x:v>
      </x:c>
      <x:c r="D1123" s="89" t="n">
        <x:v>45505.871724537035</x:v>
      </x:c>
      <x:c r="E1123" s="89" t="n">
        <x:v>45506.03700231481</x:v>
      </x:c>
      <x:c r="F1123" s="84" t="n">
        <x:v>238</x:v>
      </x:c>
      <x:c r="G1123" s="84" t="n">
        <x:v>1</x:v>
      </x:c>
      <x:c r="H1123" s="84" t="str">
        <x:v>Ruído anormal</x:v>
      </x:c>
      <x:c r="I1123" s="84" t="n">
        <x:v>476</x:v>
      </x:c>
      <x:c r="J1123" s="93" t="n">
        <x:v>10909.62</x:v>
      </x:c>
      <x:c r="K1123" s="85" t="str">
        <x:v>3º Turno</x:v>
      </x:c>
    </x:row>
    <x:row r="1124">
      <x:c r="A1124" s="83" t="n">
        <x:v>1123</x:v>
      </x:c>
      <x:c r="B1124" s="84" t="n">
        <x:v>22</x:v>
      </x:c>
      <x:c r="C1124" s="84" t="n">
        <x:v>1743</x:v>
      </x:c>
      <x:c r="D1124" s="89" t="n">
        <x:v>45403.053935185184</x:v>
      </x:c>
      <x:c r="E1124" s="89" t="n">
        <x:v>45403.082407407404</x:v>
      </x:c>
      <x:c r="F1124" s="84" t="n">
        <x:v>41</x:v>
      </x:c>
      <x:c r="G1124" s="84" t="n">
        <x:v>0</x:v>
      </x:c>
      <x:c r="H1124" s="84" t="str">
        <x:v>Ruído anormal</x:v>
      </x:c>
      <x:c r="I1124" s="84" t="n">
        <x:v>45</x:v>
      </x:c>
      <x:c r="J1124" s="93" t="n">
        <x:v>1401</x:v>
      </x:c>
      <x:c r="K1124" s="85" t="str">
        <x:v>1º Turno</x:v>
      </x:c>
    </x:row>
    <x:row r="1125">
      <x:c r="A1125" s="83" t="n">
        <x:v>1124</x:v>
      </x:c>
      <x:c r="B1125" s="84" t="n">
        <x:v>78</x:v>
      </x:c>
      <x:c r="C1125" s="84" t="n">
        <x:v>1744</x:v>
      </x:c>
      <x:c r="D1125" s="89" t="n">
        <x:v>45607.57331018519</x:v>
      </x:c>
      <x:c r="E1125" s="89" t="n">
        <x:v>45608.117060185185</x:v>
      </x:c>
      <x:c r="F1125" s="84" t="n">
        <x:v>783</x:v>
      </x:c>
      <x:c r="G1125" s="84" t="n">
        <x:v>1</x:v>
      </x:c>
      <x:c r="H1125" s="84" t="str">
        <x:v>Baixa pressão</x:v>
      </x:c>
      <x:c r="I1125" s="84" t="n">
        <x:v>1514</x:v>
      </x:c>
      <x:c r="J1125" s="93" t="n">
        <x:v>26921.94</x:v>
      </x:c>
      <x:c r="K1125" s="85" t="str">
        <x:v>1º Turno</x:v>
      </x:c>
    </x:row>
    <x:row r="1126">
      <x:c r="A1126" s="83" t="n">
        <x:v>1125</x:v>
      </x:c>
      <x:c r="B1126" s="84" t="n">
        <x:v>61</x:v>
      </x:c>
      <x:c r="C1126" s="84" t="n">
        <x:v>1745</x:v>
      </x:c>
      <x:c r="D1126" s="89" t="n">
        <x:v>45619.841412037036</x:v>
      </x:c>
      <x:c r="E1126" s="89" t="n">
        <x:v>45620.1643287037</x:v>
      </x:c>
      <x:c r="F1126" s="84" t="n">
        <x:v>465</x:v>
      </x:c>
      <x:c r="G1126" s="84" t="n">
        <x:v>1</x:v>
      </x:c>
      <x:c r="H1126" s="84" t="str">
        <x:v>Baixa pressão</x:v>
      </x:c>
      <x:c r="I1126" s="84" t="n">
        <x:v>488</x:v>
      </x:c>
      <x:c r="J1126" s="93" t="n">
        <x:v>19746.19</x:v>
      </x:c>
      <x:c r="K1126" s="85" t="str">
        <x:v>3º Turno</x:v>
      </x:c>
    </x:row>
    <x:row r="1127">
      <x:c r="A1127" s="83" t="n">
        <x:v>1126</x:v>
      </x:c>
      <x:c r="B1127" s="84" t="n">
        <x:v>59</x:v>
      </x:c>
      <x:c r="C1127" s="84" t="n">
        <x:v>1746</x:v>
      </x:c>
      <x:c r="D1127" s="89" t="n">
        <x:v>45298.11892361111</x:v>
      </x:c>
      <x:c r="E1127" s="89" t="n">
        <x:v>45298.23003472222</x:v>
      </x:c>
      <x:c r="F1127" s="84" t="n">
        <x:v>160</x:v>
      </x:c>
      <x:c r="G1127" s="84" t="n">
        <x:v>1</x:v>
      </x:c>
      <x:c r="H1127" s="84" t="str">
        <x:v>Desalinhamento</x:v>
      </x:c>
      <x:c r="I1127" s="84" t="n">
        <x:v>192</x:v>
      </x:c>
      <x:c r="J1127" s="93" t="n">
        <x:v>2822.96</x:v>
      </x:c>
      <x:c r="K1127" s="85" t="str">
        <x:v>2º Turno</x:v>
      </x:c>
    </x:row>
    <x:row r="1128">
      <x:c r="A1128" s="83" t="n">
        <x:v>1127</x:v>
      </x:c>
      <x:c r="B1128" s="84" t="n">
        <x:v>26</x:v>
      </x:c>
      <x:c r="C1128" s="84" t="n">
        <x:v>1747</x:v>
      </x:c>
      <x:c r="D1128" s="89" t="n">
        <x:v>45340.75822916667</x:v>
      </x:c>
      <x:c r="E1128" s="89" t="n">
        <x:v>45341.05336805555</x:v>
      </x:c>
      <x:c r="F1128" s="84" t="n">
        <x:v>425</x:v>
      </x:c>
      <x:c r="G1128" s="84" t="n">
        <x:v>1</x:v>
      </x:c>
      <x:c r="H1128" s="84" t="str">
        <x:v>Superaquecimento</x:v>
      </x:c>
      <x:c r="I1128" s="84" t="n">
        <x:v>978</x:v>
      </x:c>
      <x:c r="J1128" s="93" t="n">
        <x:v>11969.41</x:v>
      </x:c>
      <x:c r="K1128" s="85" t="str">
        <x:v>2º Turno</x:v>
      </x:c>
    </x:row>
    <x:row r="1129">
      <x:c r="A1129" s="83" t="n">
        <x:v>1128</x:v>
      </x:c>
      <x:c r="B1129" s="84" t="n">
        <x:v>74</x:v>
      </x:c>
      <x:c r="C1129" s="84" t="n">
        <x:v>1750</x:v>
      </x:c>
      <x:c r="D1129" s="89" t="n">
        <x:v>45762.89273148148</x:v>
      </x:c>
      <x:c r="E1129" s="89" t="n">
        <x:v>45763.31078703704</x:v>
      </x:c>
      <x:c r="F1129" s="84" t="n">
        <x:v>602</x:v>
      </x:c>
      <x:c r="G1129" s="84" t="n">
        <x:v>1</x:v>
      </x:c>
      <x:c r="H1129" s="84" t="str">
        <x:v>Falha elétrica</x:v>
      </x:c>
      <x:c r="I1129" s="84" t="n">
        <x:v>1204</x:v>
      </x:c>
      <x:c r="J1129" s="93" t="n">
        <x:v>35038.31</x:v>
      </x:c>
      <x:c r="K1129" s="85" t="str">
        <x:v>2º Turno</x:v>
      </x:c>
    </x:row>
    <x:row r="1130">
      <x:c r="A1130" s="83" t="n">
        <x:v>1129</x:v>
      </x:c>
      <x:c r="B1130" s="84" t="n">
        <x:v>58</x:v>
      </x:c>
      <x:c r="C1130" s="84" t="n">
        <x:v>1751</x:v>
      </x:c>
      <x:c r="D1130" s="89" t="n">
        <x:v>45457.07263888889</x:v>
      </x:c>
      <x:c r="E1130" s="89" t="n">
        <x:v>45457.525416666664</x:v>
      </x:c>
      <x:c r="F1130" s="84" t="n">
        <x:v>652</x:v>
      </x:c>
      <x:c r="G1130" s="84" t="n">
        <x:v>1</x:v>
      </x:c>
      <x:c r="H1130" s="84" t="str">
        <x:v>Baixa pressão</x:v>
      </x:c>
      <x:c r="I1130" s="84" t="n">
        <x:v>1619</x:v>
      </x:c>
      <x:c r="J1130" s="93" t="n">
        <x:v>12418.1</x:v>
      </x:c>
      <x:c r="K1130" s="85" t="str">
        <x:v>3º Turno</x:v>
      </x:c>
    </x:row>
    <x:row r="1131">
      <x:c r="A1131" s="83" t="n">
        <x:v>1130</x:v>
      </x:c>
      <x:c r="B1131" s="84" t="n">
        <x:v>6</x:v>
      </x:c>
      <x:c r="C1131" s="84" t="n">
        <x:v>1753</x:v>
      </x:c>
      <x:c r="D1131" s="89" t="n">
        <x:v>45511.53335648148</x:v>
      </x:c>
      <x:c r="E1131" s="89" t="n">
        <x:v>45511.596550925926</x:v>
      </x:c>
      <x:c r="F1131" s="84" t="n">
        <x:v>91</x:v>
      </x:c>
      <x:c r="G1131" s="84" t="n">
        <x:v>0</x:v>
      </x:c>
      <x:c r="H1131" s="84" t="str">
        <x:v>Ruído anormal</x:v>
      </x:c>
      <x:c r="I1131" s="84" t="n">
        <x:v>118</x:v>
      </x:c>
      <x:c r="J1131" s="93" t="n">
        <x:v>3579.77</x:v>
      </x:c>
      <x:c r="K1131" s="85" t="str">
        <x:v>1º Turno</x:v>
      </x:c>
    </x:row>
    <x:row r="1132">
      <x:c r="A1132" s="83" t="n">
        <x:v>1131</x:v>
      </x:c>
      <x:c r="B1132" s="84" t="n">
        <x:v>59</x:v>
      </x:c>
      <x:c r="C1132" s="84" t="n">
        <x:v>1755</x:v>
      </x:c>
      <x:c r="D1132" s="89" t="n">
        <x:v>45330.14847222222</x:v>
      </x:c>
      <x:c r="E1132" s="89" t="n">
        <x:v>45330.66583333333</x:v>
      </x:c>
      <x:c r="F1132" s="84" t="n">
        <x:v>745</x:v>
      </x:c>
      <x:c r="G1132" s="84" t="n">
        <x:v>1</x:v>
      </x:c>
      <x:c r="H1132" s="84" t="str">
        <x:v>Desalinhamento</x:v>
      </x:c>
      <x:c r="I1132" s="84" t="n">
        <x:v>981</x:v>
      </x:c>
      <x:c r="J1132" s="93" t="n">
        <x:v>14792.56</x:v>
      </x:c>
      <x:c r="K1132" s="85" t="str">
        <x:v>3º Turno</x:v>
      </x:c>
    </x:row>
    <x:row r="1133">
      <x:c r="A1133" s="83" t="n">
        <x:v>1132</x:v>
      </x:c>
      <x:c r="B1133" s="84" t="n">
        <x:v>48</x:v>
      </x:c>
      <x:c r="C1133" s="84" t="n">
        <x:v>1756</x:v>
      </x:c>
      <x:c r="D1133" s="89" t="n">
        <x:v>45725.80126157407</x:v>
      </x:c>
      <x:c r="E1133" s="89" t="n">
        <x:v>45725.85612268518</x:v>
      </x:c>
      <x:c r="F1133" s="84" t="n">
        <x:v>79</x:v>
      </x:c>
      <x:c r="G1133" s="84" t="n">
        <x:v>1</x:v>
      </x:c>
      <x:c r="H1133" s="84" t="str">
        <x:v>Ruído anormal</x:v>
      </x:c>
      <x:c r="I1133" s="84" t="n">
        <x:v>194</x:v>
      </x:c>
      <x:c r="J1133" s="93" t="n">
        <x:v>3227.95</x:v>
      </x:c>
      <x:c r="K1133" s="85" t="str">
        <x:v>1º Turno</x:v>
      </x:c>
    </x:row>
    <x:row r="1134">
      <x:c r="A1134" s="83" t="n">
        <x:v>1133</x:v>
      </x:c>
      <x:c r="B1134" s="84" t="n">
        <x:v>27</x:v>
      </x:c>
      <x:c r="C1134" s="84" t="n">
        <x:v>1759</x:v>
      </x:c>
      <x:c r="D1134" s="89" t="n">
        <x:v>45824.10196759259</x:v>
      </x:c>
      <x:c r="E1134" s="89" t="n">
        <x:v>45824.24016203704</x:v>
      </x:c>
      <x:c r="F1134" s="84" t="n">
        <x:v>199</x:v>
      </x:c>
      <x:c r="G1134" s="84" t="n">
        <x:v>1</x:v>
      </x:c>
      <x:c r="H1134" s="84" t="str">
        <x:v>Desalinhamento</x:v>
      </x:c>
      <x:c r="I1134" s="84" t="n">
        <x:v>362</x:v>
      </x:c>
      <x:c r="J1134" s="93" t="n">
        <x:v>4325.75</x:v>
      </x:c>
      <x:c r="K1134" s="85" t="str">
        <x:v>2º Turno</x:v>
      </x:c>
    </x:row>
    <x:row r="1135">
      <x:c r="A1135" s="83" t="n">
        <x:v>1134</x:v>
      </x:c>
      <x:c r="B1135" s="84" t="n">
        <x:v>70</x:v>
      </x:c>
      <x:c r="C1135" s="84" t="n">
        <x:v>1761</x:v>
      </x:c>
      <x:c r="D1135" s="89" t="n">
        <x:v>45268.0381712963</x:v>
      </x:c>
      <x:c r="E1135" s="89" t="n">
        <x:v>45268.335393518515</x:v>
      </x:c>
      <x:c r="F1135" s="84" t="n">
        <x:v>428</x:v>
      </x:c>
      <x:c r="G1135" s="84" t="n">
        <x:v>0</x:v>
      </x:c>
      <x:c r="H1135" s="84" t="str">
        <x:v>Baixa pressão</x:v>
      </x:c>
      <x:c r="I1135" s="84" t="n">
        <x:v>542</x:v>
      </x:c>
      <x:c r="J1135" s="93" t="n">
        <x:v>8683.24</x:v>
      </x:c>
      <x:c r="K1135" s="85" t="str">
        <x:v>2º Turno</x:v>
      </x:c>
    </x:row>
    <x:row r="1136">
      <x:c r="A1136" s="83" t="n">
        <x:v>1135</x:v>
      </x:c>
      <x:c r="B1136" s="84" t="n">
        <x:v>25</x:v>
      </x:c>
      <x:c r="C1136" s="84" t="n">
        <x:v>1762</x:v>
      </x:c>
      <x:c r="D1136" s="89" t="n">
        <x:v>45828.07778935185</x:v>
      </x:c>
      <x:c r="E1136" s="89" t="n">
        <x:v>45828.4597337963</x:v>
      </x:c>
      <x:c r="F1136" s="84" t="n">
        <x:v>550</x:v>
      </x:c>
      <x:c r="G1136" s="84" t="n">
        <x:v>1</x:v>
      </x:c>
      <x:c r="H1136" s="84" t="str">
        <x:v>Alarme intermitente</x:v>
      </x:c>
      <x:c r="I1136" s="84" t="n">
        <x:v>761</x:v>
      </x:c>
      <x:c r="J1136" s="93" t="n">
        <x:v>25946.61</x:v>
      </x:c>
      <x:c r="K1136" s="85" t="str">
        <x:v>1º Turno</x:v>
      </x:c>
    </x:row>
    <x:row r="1137">
      <x:c r="A1137" s="83" t="n">
        <x:v>1136</x:v>
      </x:c>
      <x:c r="B1137" s="84" t="n">
        <x:v>29</x:v>
      </x:c>
      <x:c r="C1137" s="84" t="n">
        <x:v>1763</x:v>
      </x:c>
      <x:c r="D1137" s="89" t="n">
        <x:v>45913.50914351852</x:v>
      </x:c>
      <x:c r="E1137" s="89" t="n">
        <x:v>45913.648726851854</x:v>
      </x:c>
      <x:c r="F1137" s="84" t="n">
        <x:v>201</x:v>
      </x:c>
      <x:c r="G1137" s="84" t="n">
        <x:v>1</x:v>
      </x:c>
      <x:c r="H1137" s="84" t="str">
        <x:v>Falha elétrica</x:v>
      </x:c>
      <x:c r="I1137" s="84" t="n">
        <x:v>211</x:v>
      </x:c>
      <x:c r="J1137" s="93" t="n">
        <x:v>5327.17</x:v>
      </x:c>
      <x:c r="K1137" s="85" t="str">
        <x:v>2º Turno</x:v>
      </x:c>
    </x:row>
    <x:row r="1138">
      <x:c r="A1138" s="83" t="n">
        <x:v>1137</x:v>
      </x:c>
      <x:c r="B1138" s="84" t="n">
        <x:v>68</x:v>
      </x:c>
      <x:c r="C1138" s="84" t="n">
        <x:v>1764</x:v>
      </x:c>
      <x:c r="D1138" s="89" t="n">
        <x:v>45626.15765046296</x:v>
      </x:c>
      <x:c r="E1138" s="89" t="n">
        <x:v>45626.51042824074</x:v>
      </x:c>
      <x:c r="F1138" s="84" t="n">
        <x:v>508</x:v>
      </x:c>
      <x:c r="G1138" s="84" t="n">
        <x:v>1</x:v>
      </x:c>
      <x:c r="H1138" s="84" t="str">
        <x:v>Falha elétrica</x:v>
      </x:c>
      <x:c r="I1138" s="84" t="n">
        <x:v>1126</x:v>
      </x:c>
      <x:c r="J1138" s="93" t="n">
        <x:v>10871.41</x:v>
      </x:c>
      <x:c r="K1138" s="85" t="str">
        <x:v>2º Turno</x:v>
      </x:c>
    </x:row>
    <x:row r="1139">
      <x:c r="A1139" s="83" t="n">
        <x:v>1138</x:v>
      </x:c>
      <x:c r="B1139" s="84" t="n">
        <x:v>46</x:v>
      </x:c>
      <x:c r="C1139" s="84" t="n">
        <x:v>1766</x:v>
      </x:c>
      <x:c r="D1139" s="89" t="n">
        <x:v>45699.21363425926</x:v>
      </x:c>
      <x:c r="E1139" s="89" t="n">
        <x:v>45699.55321759259</x:v>
      </x:c>
      <x:c r="F1139" s="84" t="n">
        <x:v>489</x:v>
      </x:c>
      <x:c r="G1139" s="84" t="n">
        <x:v>0</x:v>
      </x:c>
      <x:c r="H1139" s="84" t="str">
        <x:v>Baixa pressão</x:v>
      </x:c>
      <x:c r="I1139" s="84" t="n">
        <x:v>750</x:v>
      </x:c>
      <x:c r="J1139" s="93" t="n">
        <x:v>7215.26</x:v>
      </x:c>
      <x:c r="K1139" s="85" t="str">
        <x:v>2º Turno</x:v>
      </x:c>
    </x:row>
    <x:row r="1140">
      <x:c r="A1140" s="83" t="n">
        <x:v>1139</x:v>
      </x:c>
      <x:c r="B1140" s="84" t="n">
        <x:v>68</x:v>
      </x:c>
      <x:c r="C1140" s="84" t="n">
        <x:v>1767</x:v>
      </x:c>
      <x:c r="D1140" s="89" t="n">
        <x:v>45893.946747685186</x:v>
      </x:c>
      <x:c r="E1140" s="89" t="n">
        <x:v>45894.38494212963</x:v>
      </x:c>
      <x:c r="F1140" s="84" t="n">
        <x:v>631</x:v>
      </x:c>
      <x:c r="G1140" s="84" t="n">
        <x:v>1</x:v>
      </x:c>
      <x:c r="H1140" s="84" t="str">
        <x:v>Superaquecimento</x:v>
      </x:c>
      <x:c r="I1140" s="84" t="n">
        <x:v>1441</x:v>
      </x:c>
      <x:c r="J1140" s="93" t="n">
        <x:v>9396.03</x:v>
      </x:c>
      <x:c r="K1140" s="85" t="str">
        <x:v>1º Turno</x:v>
      </x:c>
    </x:row>
    <x:row r="1141">
      <x:c r="A1141" s="83" t="n">
        <x:v>1140</x:v>
      </x:c>
      <x:c r="B1141" s="84" t="n">
        <x:v>76</x:v>
      </x:c>
      <x:c r="C1141" s="84" t="n">
        <x:v>1768</x:v>
      </x:c>
      <x:c r="D1141" s="89" t="n">
        <x:v>45593.57890046296</x:v>
      </x:c>
      <x:c r="E1141" s="89" t="n">
        <x:v>45594.055983796294</x:v>
      </x:c>
      <x:c r="F1141" s="84" t="n">
        <x:v>687</x:v>
      </x:c>
      <x:c r="G1141" s="84" t="n">
        <x:v>0</x:v>
      </x:c>
      <x:c r="H1141" s="84" t="str">
        <x:v>Superaquecimento</x:v>
      </x:c>
      <x:c r="I1141" s="84" t="n">
        <x:v>733</x:v>
      </x:c>
      <x:c r="J1141" s="93" t="n">
        <x:v>28492.42</x:v>
      </x:c>
      <x:c r="K1141" s="85" t="str">
        <x:v>1º Turno</x:v>
      </x:c>
    </x:row>
    <x:row r="1142">
      <x:c r="A1142" s="83" t="n">
        <x:v>1141</x:v>
      </x:c>
      <x:c r="B1142" s="84" t="n">
        <x:v>67</x:v>
      </x:c>
      <x:c r="C1142" s="84" t="n">
        <x:v>1769</x:v>
      </x:c>
      <x:c r="D1142" s="89" t="n">
        <x:v>45214.77866898148</x:v>
      </x:c>
      <x:c r="E1142" s="89" t="n">
        <x:v>45214.95505787037</x:v>
      </x:c>
      <x:c r="F1142" s="84" t="n">
        <x:v>254</x:v>
      </x:c>
      <x:c r="G1142" s="84" t="n">
        <x:v>1</x:v>
      </x:c>
      <x:c r="H1142" s="84" t="str">
        <x:v>Ruído anormal</x:v>
      </x:c>
      <x:c r="I1142" s="84" t="n">
        <x:v>605</x:v>
      </x:c>
      <x:c r="J1142" s="93" t="n">
        <x:v>11019.92</x:v>
      </x:c>
      <x:c r="K1142" s="85" t="str">
        <x:v>1º Turno</x:v>
      </x:c>
    </x:row>
    <x:row r="1143">
      <x:c r="A1143" s="83" t="n">
        <x:v>1142</x:v>
      </x:c>
      <x:c r="B1143" s="84" t="n">
        <x:v>1</x:v>
      </x:c>
      <x:c r="C1143" s="84" t="n">
        <x:v>1770</x:v>
      </x:c>
      <x:c r="D1143" s="89" t="n">
        <x:v>45863.893900462965</x:v>
      </x:c>
      <x:c r="E1143" s="89" t="n">
        <x:v>45864.02306712963</x:v>
      </x:c>
      <x:c r="F1143" s="84" t="n">
        <x:v>186</x:v>
      </x:c>
      <x:c r="G1143" s="84" t="n">
        <x:v>1</x:v>
      </x:c>
      <x:c r="H1143" s="84" t="str">
        <x:v>Vazamento</x:v>
      </x:c>
      <x:c r="I1143" s="84" t="n">
        <x:v>301</x:v>
      </x:c>
      <x:c r="J1143" s="93" t="n">
        <x:v>10811.94</x:v>
      </x:c>
      <x:c r="K1143" s="85" t="str">
        <x:v>3º Turno</x:v>
      </x:c>
    </x:row>
    <x:row r="1144">
      <x:c r="A1144" s="83" t="n">
        <x:v>1143</x:v>
      </x:c>
      <x:c r="B1144" s="84" t="n">
        <x:v>34</x:v>
      </x:c>
      <x:c r="C1144" s="84" t="n">
        <x:v>1772</x:v>
      </x:c>
      <x:c r="D1144" s="89" t="n">
        <x:v>45624.431608796294</x:v>
      </x:c>
      <x:c r="E1144" s="89" t="n">
        <x:v>45624.57188657407</x:v>
      </x:c>
      <x:c r="F1144" s="84" t="n">
        <x:v>202</x:v>
      </x:c>
      <x:c r="G1144" s="84" t="n">
        <x:v>1</x:v>
      </x:c>
      <x:c r="H1144" s="84" t="str">
        <x:v>Vazamento</x:v>
      </x:c>
      <x:c r="I1144" s="84" t="n">
        <x:v>340</x:v>
      </x:c>
      <x:c r="J1144" s="93" t="n">
        <x:v>7841.16</x:v>
      </x:c>
      <x:c r="K1144" s="85" t="str">
        <x:v>1º Turno</x:v>
      </x:c>
    </x:row>
    <x:row r="1145">
      <x:c r="A1145" s="83" t="n">
        <x:v>1144</x:v>
      </x:c>
      <x:c r="B1145" s="84" t="n">
        <x:v>52</x:v>
      </x:c>
      <x:c r="C1145" s="84" t="n">
        <x:v>1773</x:v>
      </x:c>
      <x:c r="D1145" s="89" t="n">
        <x:v>45124.428194444445</x:v>
      </x:c>
      <x:c r="E1145" s="89" t="n">
        <x:v>45124.79</x:v>
      </x:c>
      <x:c r="F1145" s="84" t="n">
        <x:v>521</x:v>
      </x:c>
      <x:c r="G1145" s="84" t="n">
        <x:v>0</x:v>
      </x:c>
      <x:c r="H1145" s="84" t="str">
        <x:v>Ruído anormal</x:v>
      </x:c>
      <x:c r="I1145" s="84" t="n">
        <x:v>582</x:v>
      </x:c>
      <x:c r="J1145" s="93" t="n">
        <x:v>11645.48</x:v>
      </x:c>
      <x:c r="K1145" s="85" t="str">
        <x:v>2º Turno</x:v>
      </x:c>
    </x:row>
    <x:row r="1146">
      <x:c r="A1146" s="83" t="n">
        <x:v>1145</x:v>
      </x:c>
      <x:c r="B1146" s="84" t="n">
        <x:v>66</x:v>
      </x:c>
      <x:c r="C1146" s="84" t="n">
        <x:v>1774</x:v>
      </x:c>
      <x:c r="D1146" s="89" t="n">
        <x:v>45783.031701388885</x:v>
      </x:c>
      <x:c r="E1146" s="89" t="n">
        <x:v>45783.32892361111</x:v>
      </x:c>
      <x:c r="F1146" s="84" t="n">
        <x:v>428</x:v>
      </x:c>
      <x:c r="G1146" s="84" t="n">
        <x:v>0</x:v>
      </x:c>
      <x:c r="H1146" s="84" t="str">
        <x:v>Superaquecimento</x:v>
      </x:c>
      <x:c r="I1146" s="84" t="n">
        <x:v>656</x:v>
      </x:c>
      <x:c r="J1146" s="93" t="n">
        <x:v>11639.13</x:v>
      </x:c>
      <x:c r="K1146" s="85" t="str">
        <x:v>1º Turno</x:v>
      </x:c>
    </x:row>
    <x:row r="1147">
      <x:c r="A1147" s="83" t="n">
        <x:v>1146</x:v>
      </x:c>
      <x:c r="B1147" s="84" t="n">
        <x:v>1</x:v>
      </x:c>
      <x:c r="C1147" s="84" t="n">
        <x:v>1775</x:v>
      </x:c>
      <x:c r="D1147" s="89" t="n">
        <x:v>45372.0369212963</x:v>
      </x:c>
      <x:c r="E1147" s="89" t="n">
        <x:v>45372.077893518515</x:v>
      </x:c>
      <x:c r="F1147" s="84" t="n">
        <x:v>59</x:v>
      </x:c>
      <x:c r="G1147" s="84" t="n">
        <x:v>0</x:v>
      </x:c>
      <x:c r="H1147" s="84" t="str">
        <x:v>Desalinhamento</x:v>
      </x:c>
      <x:c r="I1147" s="84" t="n">
        <x:v>68</x:v>
      </x:c>
      <x:c r="J1147" s="93" t="n">
        <x:v>2037.23</x:v>
      </x:c>
      <x:c r="K1147" s="85" t="str">
        <x:v>3º Turno</x:v>
      </x:c>
    </x:row>
    <x:row r="1148">
      <x:c r="A1148" s="83" t="n">
        <x:v>1147</x:v>
      </x:c>
      <x:c r="B1148" s="84" t="n">
        <x:v>5</x:v>
      </x:c>
      <x:c r="C1148" s="84" t="n">
        <x:v>1777</x:v>
      </x:c>
      <x:c r="D1148" s="89" t="n">
        <x:v>45087.66248842593</x:v>
      </x:c>
      <x:c r="E1148" s="89" t="n">
        <x:v>45087.712488425925</x:v>
      </x:c>
      <x:c r="F1148" s="84" t="n">
        <x:v>72</x:v>
      </x:c>
      <x:c r="G1148" s="84" t="n">
        <x:v>0</x:v>
      </x:c>
      <x:c r="H1148" s="84" t="str">
        <x:v>Falha elétrica</x:v>
      </x:c>
      <x:c r="I1148" s="84" t="n">
        <x:v>80</x:v>
      </x:c>
      <x:c r="J1148" s="93" t="n">
        <x:v>1199.96</x:v>
      </x:c>
      <x:c r="K1148" s="85" t="str">
        <x:v>2º Turno</x:v>
      </x:c>
    </x:row>
    <x:row r="1149">
      <x:c r="A1149" s="83" t="n">
        <x:v>1148</x:v>
      </x:c>
      <x:c r="B1149" s="84" t="n">
        <x:v>82</x:v>
      </x:c>
      <x:c r="C1149" s="84" t="n">
        <x:v>1778</x:v>
      </x:c>
      <x:c r="D1149" s="89" t="n">
        <x:v>45871.09241898148</x:v>
      </x:c>
      <x:c r="E1149" s="89" t="n">
        <x:v>45871.48200231481</x:v>
      </x:c>
      <x:c r="F1149" s="84" t="n">
        <x:v>561</x:v>
      </x:c>
      <x:c r="G1149" s="84" t="n">
        <x:v>1</x:v>
      </x:c>
      <x:c r="H1149" s="84" t="str">
        <x:v>Superaquecimento</x:v>
      </x:c>
      <x:c r="I1149" s="84" t="n">
        <x:v>589</x:v>
      </x:c>
      <x:c r="J1149" s="93" t="n">
        <x:v>24225.56</x:v>
      </x:c>
      <x:c r="K1149" s="85" t="str">
        <x:v>1º Turno</x:v>
      </x:c>
    </x:row>
    <x:row r="1150">
      <x:c r="A1150" s="83" t="n">
        <x:v>1149</x:v>
      </x:c>
      <x:c r="B1150" s="84" t="n">
        <x:v>18</x:v>
      </x:c>
      <x:c r="C1150" s="84" t="n">
        <x:v>1780</x:v>
      </x:c>
      <x:c r="D1150" s="89" t="n">
        <x:v>45017.930925925924</x:v>
      </x:c>
      <x:c r="E1150" s="89" t="n">
        <x:v>45018.5024537037</x:v>
      </x:c>
      <x:c r="F1150" s="84" t="n">
        <x:v>823</x:v>
      </x:c>
      <x:c r="G1150" s="84" t="n">
        <x:v>1</x:v>
      </x:c>
      <x:c r="H1150" s="84" t="str">
        <x:v>Ruído anormal</x:v>
      </x:c>
      <x:c r="I1150" s="84" t="n">
        <x:v>1262</x:v>
      </x:c>
      <x:c r="J1150" s="93" t="n">
        <x:v>32096.22</x:v>
      </x:c>
      <x:c r="K1150" s="85" t="str">
        <x:v>1º Turno</x:v>
      </x:c>
    </x:row>
    <x:row r="1151">
      <x:c r="A1151" s="83" t="n">
        <x:v>1150</x:v>
      </x:c>
      <x:c r="B1151" s="84" t="n">
        <x:v>13</x:v>
      </x:c>
      <x:c r="C1151" s="84" t="n">
        <x:v>1781</x:v>
      </x:c>
      <x:c r="D1151" s="89" t="n">
        <x:v>45956.33876157407</x:v>
      </x:c>
      <x:c r="E1151" s="89" t="n">
        <x:v>45956.86931712963</x:v>
      </x:c>
      <x:c r="F1151" s="84" t="n">
        <x:v>764</x:v>
      </x:c>
      <x:c r="G1151" s="84" t="n">
        <x:v>1</x:v>
      </x:c>
      <x:c r="H1151" s="84" t="str">
        <x:v>Ruído anormal</x:v>
      </x:c>
      <x:c r="I1151" s="84" t="n">
        <x:v>1108</x:v>
      </x:c>
      <x:c r="J1151" s="93" t="n">
        <x:v>13496.99</x:v>
      </x:c>
      <x:c r="K1151" s="85" t="str">
        <x:v>1º Turno</x:v>
      </x:c>
    </x:row>
    <x:row r="1152">
      <x:c r="A1152" s="83" t="n">
        <x:v>1151</x:v>
      </x:c>
      <x:c r="B1152" s="84" t="n">
        <x:v>73</x:v>
      </x:c>
      <x:c r="C1152" s="84" t="n">
        <x:v>1782</x:v>
      </x:c>
      <x:c r="D1152" s="89" t="n">
        <x:v>45752.124872685185</x:v>
      </x:c>
      <x:c r="E1152" s="89" t="n">
        <x:v>45752.55195601852</x:v>
      </x:c>
      <x:c r="F1152" s="84" t="n">
        <x:v>615</x:v>
      </x:c>
      <x:c r="G1152" s="84" t="n">
        <x:v>0</x:v>
      </x:c>
      <x:c r="H1152" s="84" t="str">
        <x:v>Baixa pressão</x:v>
      </x:c>
      <x:c r="I1152" s="84" t="n">
        <x:v>666</x:v>
      </x:c>
      <x:c r="J1152" s="93" t="n">
        <x:v>8505.4</x:v>
      </x:c>
      <x:c r="K1152" s="85" t="str">
        <x:v>1º Turno</x:v>
      </x:c>
    </x:row>
    <x:row r="1153">
      <x:c r="A1153" s="83" t="n">
        <x:v>1152</x:v>
      </x:c>
      <x:c r="B1153" s="84" t="n">
        <x:v>49</x:v>
      </x:c>
      <x:c r="C1153" s="84" t="n">
        <x:v>1783</x:v>
      </x:c>
      <x:c r="D1153" s="89" t="n">
        <x:v>45167.796168981484</x:v>
      </x:c>
      <x:c r="E1153" s="89" t="n">
        <x:v>45168.32603009259</x:v>
      </x:c>
      <x:c r="F1153" s="84" t="n">
        <x:v>763</x:v>
      </x:c>
      <x:c r="G1153" s="84" t="n">
        <x:v>0</x:v>
      </x:c>
      <x:c r="H1153" s="84" t="str">
        <x:v>Alarme intermitente</x:v>
      </x:c>
      <x:c r="I1153" s="84" t="n">
        <x:v>979</x:v>
      </x:c>
      <x:c r="J1153" s="93" t="n">
        <x:v>13063.6</x:v>
      </x:c>
      <x:c r="K1153" s="85" t="str">
        <x:v>3º Turno</x:v>
      </x:c>
    </x:row>
    <x:row r="1154">
      <x:c r="A1154" s="83" t="n">
        <x:v>1153</x:v>
      </x:c>
      <x:c r="B1154" s="84" t="n">
        <x:v>54</x:v>
      </x:c>
      <x:c r="C1154" s="84" t="n">
        <x:v>1784</x:v>
      </x:c>
      <x:c r="D1154" s="89" t="n">
        <x:v>45837.53736111111</x:v>
      </x:c>
      <x:c r="E1154" s="89" t="n">
        <x:v>45837.96861111111</x:v>
      </x:c>
      <x:c r="F1154" s="84" t="n">
        <x:v>621</x:v>
      </x:c>
      <x:c r="G1154" s="84" t="n">
        <x:v>1</x:v>
      </x:c>
      <x:c r="H1154" s="84" t="str">
        <x:v>Superaquecimento</x:v>
      </x:c>
      <x:c r="I1154" s="84" t="n">
        <x:v>900</x:v>
      </x:c>
      <x:c r="J1154" s="93" t="n">
        <x:v>11503.82</x:v>
      </x:c>
      <x:c r="K1154" s="85" t="str">
        <x:v>2º Turno</x:v>
      </x:c>
    </x:row>
    <x:row r="1155">
      <x:c r="A1155" s="83" t="n">
        <x:v>1154</x:v>
      </x:c>
      <x:c r="B1155" s="84" t="n">
        <x:v>43</x:v>
      </x:c>
      <x:c r="C1155" s="84" t="n">
        <x:v>1785</x:v>
      </x:c>
      <x:c r="D1155" s="89" t="n">
        <x:v>45855.65902777778</x:v>
      </x:c>
      <x:c r="E1155" s="89" t="n">
        <x:v>45855.729166666664</x:v>
      </x:c>
      <x:c r="F1155" s="84" t="n">
        <x:v>101</x:v>
      </x:c>
      <x:c r="G1155" s="84" t="n">
        <x:v>0</x:v>
      </x:c>
      <x:c r="H1155" s="84" t="str">
        <x:v>Falha elétrica</x:v>
      </x:c>
      <x:c r="I1155" s="84" t="n">
        <x:v>219</x:v>
      </x:c>
      <x:c r="J1155" s="93" t="n">
        <x:v>5774.55</x:v>
      </x:c>
      <x:c r="K1155" s="85" t="str">
        <x:v>1º Turno</x:v>
      </x:c>
    </x:row>
    <x:row r="1156">
      <x:c r="A1156" s="83" t="n">
        <x:v>1155</x:v>
      </x:c>
      <x:c r="B1156" s="84" t="n">
        <x:v>69</x:v>
      </x:c>
      <x:c r="C1156" s="84" t="n">
        <x:v>1787</x:v>
      </x:c>
      <x:c r="D1156" s="89" t="n">
        <x:v>45881.6559837963</x:v>
      </x:c>
      <x:c r="E1156" s="89" t="n">
        <x:v>45882.0684837963</x:v>
      </x:c>
      <x:c r="F1156" s="84" t="n">
        <x:v>594</x:v>
      </x:c>
      <x:c r="G1156" s="84" t="n">
        <x:v>1</x:v>
      </x:c>
      <x:c r="H1156" s="84" t="str">
        <x:v>Alarme intermitente</x:v>
      </x:c>
      <x:c r="I1156" s="84" t="n">
        <x:v>881</x:v>
      </x:c>
      <x:c r="J1156" s="93" t="n">
        <x:v>9619.29</x:v>
      </x:c>
      <x:c r="K1156" s="85" t="str">
        <x:v>2º Turno</x:v>
      </x:c>
    </x:row>
    <x:row r="1157">
      <x:c r="A1157" s="83" t="n">
        <x:v>1156</x:v>
      </x:c>
      <x:c r="B1157" s="84" t="n">
        <x:v>74</x:v>
      </x:c>
      <x:c r="C1157" s="84" t="n">
        <x:v>1789</x:v>
      </x:c>
      <x:c r="D1157" s="89" t="n">
        <x:v>45830.833715277775</x:v>
      </x:c>
      <x:c r="E1157" s="89" t="n">
        <x:v>45830.94899305556</x:v>
      </x:c>
      <x:c r="F1157" s="84" t="n">
        <x:v>166</x:v>
      </x:c>
      <x:c r="G1157" s="84" t="n">
        <x:v>1</x:v>
      </x:c>
      <x:c r="H1157" s="84" t="str">
        <x:v>Falha elétrica</x:v>
      </x:c>
      <x:c r="I1157" s="84" t="n">
        <x:v>219</x:v>
      </x:c>
      <x:c r="J1157" s="93" t="n">
        <x:v>4207.39</x:v>
      </x:c>
      <x:c r="K1157" s="85" t="str">
        <x:v>3º Turno</x:v>
      </x:c>
    </x:row>
    <x:row r="1158">
      <x:c r="A1158" s="83" t="n">
        <x:v>1157</x:v>
      </x:c>
      <x:c r="B1158" s="84" t="n">
        <x:v>29</x:v>
      </x:c>
      <x:c r="C1158" s="84" t="n">
        <x:v>1792</x:v>
      </x:c>
      <x:c r="D1158" s="89" t="n">
        <x:v>45297.53733796296</x:v>
      </x:c>
      <x:c r="E1158" s="89" t="n">
        <x:v>45297.80886574074</x:v>
      </x:c>
      <x:c r="F1158" s="84" t="n">
        <x:v>391</x:v>
      </x:c>
      <x:c r="G1158" s="84" t="n">
        <x:v>1</x:v>
      </x:c>
      <x:c r="H1158" s="84" t="str">
        <x:v>Desalinhamento</x:v>
      </x:c>
      <x:c r="I1158" s="84" t="n">
        <x:v>808</x:v>
      </x:c>
      <x:c r="J1158" s="93" t="n">
        <x:v>22156.9</x:v>
      </x:c>
      <x:c r="K1158" s="85" t="str">
        <x:v>2º Turno</x:v>
      </x:c>
    </x:row>
    <x:row r="1159">
      <x:c r="A1159" s="83" t="n">
        <x:v>1158</x:v>
      </x:c>
      <x:c r="B1159" s="84" t="n">
        <x:v>48</x:v>
      </x:c>
      <x:c r="C1159" s="84" t="n">
        <x:v>1794</x:v>
      </x:c>
      <x:c r="D1159" s="89" t="n">
        <x:v>45073.085069444445</x:v>
      </x:c>
      <x:c r="E1159" s="89" t="n">
        <x:v>45073.20590277778</x:v>
      </x:c>
      <x:c r="F1159" s="84" t="n">
        <x:v>174</x:v>
      </x:c>
      <x:c r="G1159" s="84" t="n">
        <x:v>1</x:v>
      </x:c>
      <x:c r="H1159" s="84" t="str">
        <x:v>Falha elétrica</x:v>
      </x:c>
      <x:c r="I1159" s="84" t="n">
        <x:v>194</x:v>
      </x:c>
      <x:c r="J1159" s="93" t="n">
        <x:v>8557.99</x:v>
      </x:c>
      <x:c r="K1159" s="85" t="str">
        <x:v>3º Turno</x:v>
      </x:c>
    </x:row>
    <x:row r="1160">
      <x:c r="A1160" s="83" t="n">
        <x:v>1159</x:v>
      </x:c>
      <x:c r="B1160" s="84" t="n">
        <x:v>59</x:v>
      </x:c>
      <x:c r="C1160" s="84" t="n">
        <x:v>1795</x:v>
      </x:c>
      <x:c r="D1160" s="89" t="n">
        <x:v>45981.12962962963</x:v>
      </x:c>
      <x:c r="E1160" s="89" t="n">
        <x:v>45981.25115740741</x:v>
      </x:c>
      <x:c r="F1160" s="84" t="n">
        <x:v>175</x:v>
      </x:c>
      <x:c r="G1160" s="84" t="n">
        <x:v>1</x:v>
      </x:c>
      <x:c r="H1160" s="84" t="str">
        <x:v>Superaquecimento</x:v>
      </x:c>
      <x:c r="I1160" s="84" t="n">
        <x:v>175</x:v>
      </x:c>
      <x:c r="J1160" s="93" t="n">
        <x:v>8307.15</x:v>
      </x:c>
      <x:c r="K1160" s="85" t="str">
        <x:v>3º Turno</x:v>
      </x:c>
    </x:row>
    <x:row r="1161">
      <x:c r="A1161" s="83" t="n">
        <x:v>1160</x:v>
      </x:c>
      <x:c r="B1161" s="84" t="n">
        <x:v>81</x:v>
      </x:c>
      <x:c r="C1161" s="84" t="n">
        <x:v>1797</x:v>
      </x:c>
      <x:c r="D1161" s="89" t="n">
        <x:v>45761.45652777778</x:v>
      </x:c>
      <x:c r="E1161" s="89" t="n">
        <x:v>45761.904444444444</x:v>
      </x:c>
      <x:c r="F1161" s="84" t="n">
        <x:v>645</x:v>
      </x:c>
      <x:c r="G1161" s="84" t="n">
        <x:v>1</x:v>
      </x:c>
      <x:c r="H1161" s="84" t="str">
        <x:v>Falha elétrica</x:v>
      </x:c>
      <x:c r="I1161" s="84" t="n">
        <x:v>1064</x:v>
      </x:c>
      <x:c r="J1161" s="93" t="n">
        <x:v>21380.95</x:v>
      </x:c>
      <x:c r="K1161" s="85" t="str">
        <x:v>1º Turno</x:v>
      </x:c>
    </x:row>
    <x:row r="1162">
      <x:c r="A1162" s="83" t="n">
        <x:v>1161</x:v>
      </x:c>
      <x:c r="B1162" s="84" t="n">
        <x:v>49</x:v>
      </x:c>
      <x:c r="C1162" s="84" t="n">
        <x:v>1798</x:v>
      </x:c>
      <x:c r="D1162" s="89" t="n">
        <x:v>44954.331979166665</x:v>
      </x:c>
      <x:c r="E1162" s="89" t="n">
        <x:v>44954.74725694444</x:v>
      </x:c>
      <x:c r="F1162" s="84" t="n">
        <x:v>598</x:v>
      </x:c>
      <x:c r="G1162" s="84" t="n">
        <x:v>1</x:v>
      </x:c>
      <x:c r="H1162" s="84" t="str">
        <x:v>Vazamento</x:v>
      </x:c>
      <x:c r="I1162" s="84" t="n">
        <x:v>1136</x:v>
      </x:c>
      <x:c r="J1162" s="93" t="n">
        <x:v>11192.08</x:v>
      </x:c>
      <x:c r="K1162" s="85" t="str">
        <x:v>1º Turno</x:v>
      </x:c>
    </x:row>
    <x:row r="1163">
      <x:c r="A1163" s="83" t="n">
        <x:v>1162</x:v>
      </x:c>
      <x:c r="B1163" s="84" t="n">
        <x:v>59</x:v>
      </x:c>
      <x:c r="C1163" s="84" t="n">
        <x:v>1800</x:v>
      </x:c>
      <x:c r="D1163" s="89" t="n">
        <x:v>45769.39744212963</x:v>
      </x:c>
      <x:c r="E1163" s="89" t="n">
        <x:v>45769.68494212963</x:v>
      </x:c>
      <x:c r="F1163" s="84" t="n">
        <x:v>414</x:v>
      </x:c>
      <x:c r="G1163" s="84" t="n">
        <x:v>1</x:v>
      </x:c>
      <x:c r="H1163" s="84" t="str">
        <x:v>Ruído anormal</x:v>
      </x:c>
      <x:c r="I1163" s="84" t="n">
        <x:v>745</x:v>
      </x:c>
      <x:c r="J1163" s="93" t="n">
        <x:v>23468.66</x:v>
      </x:c>
      <x:c r="K1163" s="85" t="str">
        <x:v>2º Turno</x:v>
      </x:c>
    </x:row>
    <x:row r="1164">
      <x:c r="A1164" s="83" t="n">
        <x:v>1163</x:v>
      </x:c>
      <x:c r="B1164" s="84" t="n">
        <x:v>10</x:v>
      </x:c>
      <x:c r="C1164" s="84" t="n">
        <x:v>1802</x:v>
      </x:c>
      <x:c r="D1164" s="89" t="n">
        <x:v>45856.763125</x:v>
      </x:c>
      <x:c r="E1164" s="89" t="n">
        <x:v>45857.14923611111</x:v>
      </x:c>
      <x:c r="F1164" s="84" t="n">
        <x:v>556</x:v>
      </x:c>
      <x:c r="G1164" s="84" t="n">
        <x:v>0</x:v>
      </x:c>
      <x:c r="H1164" s="84" t="str">
        <x:v>Ruído anormal</x:v>
      </x:c>
      <x:c r="I1164" s="84" t="n">
        <x:v>769</x:v>
      </x:c>
      <x:c r="J1164" s="93" t="n">
        <x:v>30385.09</x:v>
      </x:c>
      <x:c r="K1164" s="85" t="str">
        <x:v>1º Turno</x:v>
      </x:c>
    </x:row>
    <x:row r="1165">
      <x:c r="A1165" s="83" t="n">
        <x:v>1164</x:v>
      </x:c>
      <x:c r="B1165" s="84" t="n">
        <x:v>3</x:v>
      </x:c>
      <x:c r="C1165" s="84" t="n">
        <x:v>1803</x:v>
      </x:c>
      <x:c r="D1165" s="89" t="n">
        <x:v>45864.74114583333</x:v>
      </x:c>
      <x:c r="E1165" s="89" t="n">
        <x:v>45865.01545138889</x:v>
      </x:c>
      <x:c r="F1165" s="84" t="n">
        <x:v>395</x:v>
      </x:c>
      <x:c r="G1165" s="84" t="n">
        <x:v>1</x:v>
      </x:c>
      <x:c r="H1165" s="84" t="str">
        <x:v>Ruído anormal</x:v>
      </x:c>
      <x:c r="I1165" s="84" t="n">
        <x:v>665</x:v>
      </x:c>
      <x:c r="J1165" s="93" t="n">
        <x:v>22370.72</x:v>
      </x:c>
      <x:c r="K1165" s="85" t="str">
        <x:v>3º Turno</x:v>
      </x:c>
    </x:row>
    <x:row r="1166">
      <x:c r="A1166" s="83" t="n">
        <x:v>1165</x:v>
      </x:c>
      <x:c r="B1166" s="84" t="n">
        <x:v>7</x:v>
      </x:c>
      <x:c r="C1166" s="84" t="n">
        <x:v>1805</x:v>
      </x:c>
      <x:c r="D1166" s="89" t="n">
        <x:v>45599.980046296296</x:v>
      </x:c>
      <x:c r="E1166" s="89" t="n">
        <x:v>45600.24810185185</x:v>
      </x:c>
      <x:c r="F1166" s="84" t="n">
        <x:v>386</x:v>
      </x:c>
      <x:c r="G1166" s="84" t="n">
        <x:v>1</x:v>
      </x:c>
      <x:c r="H1166" s="84" t="str">
        <x:v>Vazamento</x:v>
      </x:c>
      <x:c r="I1166" s="84" t="n">
        <x:v>650</x:v>
      </x:c>
      <x:c r="J1166" s="93" t="n">
        <x:v>7877.29</x:v>
      </x:c>
      <x:c r="K1166" s="85" t="str">
        <x:v>2º Turno</x:v>
      </x:c>
    </x:row>
    <x:row r="1167">
      <x:c r="A1167" s="83" t="n">
        <x:v>1166</x:v>
      </x:c>
      <x:c r="B1167" s="84" t="n">
        <x:v>49</x:v>
      </x:c>
      <x:c r="C1167" s="84" t="n">
        <x:v>1808</x:v>
      </x:c>
      <x:c r="D1167" s="89" t="n">
        <x:v>45756.328518518516</x:v>
      </x:c>
      <x:c r="E1167" s="89" t="n">
        <x:v>45756.88476851852</x:v>
      </x:c>
      <x:c r="F1167" s="84" t="n">
        <x:v>801</x:v>
      </x:c>
      <x:c r="G1167" s="84" t="n">
        <x:v>1</x:v>
      </x:c>
      <x:c r="H1167" s="84" t="str">
        <x:v>Ruído anormal</x:v>
      </x:c>
      <x:c r="I1167" s="84" t="n">
        <x:v>1482</x:v>
      </x:c>
      <x:c r="J1167" s="93" t="n">
        <x:v>22679.27</x:v>
      </x:c>
      <x:c r="K1167" s="85" t="str">
        <x:v>1º Turno</x:v>
      </x:c>
    </x:row>
    <x:row r="1168">
      <x:c r="A1168" s="83" t="n">
        <x:v>1167</x:v>
      </x:c>
      <x:c r="B1168" s="84" t="n">
        <x:v>75</x:v>
      </x:c>
      <x:c r="C1168" s="84" t="n">
        <x:v>1809</x:v>
      </x:c>
      <x:c r="D1168" s="89" t="n">
        <x:v>45617.71341435185</x:v>
      </x:c>
      <x:c r="E1168" s="89" t="n">
        <x:v>45618.22383101852</x:v>
      </x:c>
      <x:c r="F1168" s="84" t="n">
        <x:v>735</x:v>
      </x:c>
      <x:c r="G1168" s="84" t="n">
        <x:v>1</x:v>
      </x:c>
      <x:c r="H1168" s="84" t="str">
        <x:v>Superaquecimento</x:v>
      </x:c>
      <x:c r="I1168" s="84" t="n">
        <x:v>1152</x:v>
      </x:c>
      <x:c r="J1168" s="93" t="n">
        <x:v>20753.86</x:v>
      </x:c>
      <x:c r="K1168" s="85" t="str">
        <x:v>1º Turno</x:v>
      </x:c>
    </x:row>
    <x:row r="1169">
      <x:c r="A1169" s="83" t="n">
        <x:v>1168</x:v>
      </x:c>
      <x:c r="B1169" s="84" t="n">
        <x:v>33</x:v>
      </x:c>
      <x:c r="C1169" s="84" t="n">
        <x:v>1810</x:v>
      </x:c>
      <x:c r="D1169" s="89" t="n">
        <x:v>44956.94951388889</x:v>
      </x:c>
      <x:c r="E1169" s="89" t="n">
        <x:v>44957.573125</x:v>
      </x:c>
      <x:c r="F1169" s="84" t="n">
        <x:v>898</x:v>
      </x:c>
      <x:c r="G1169" s="84" t="n">
        <x:v>1</x:v>
      </x:c>
      <x:c r="H1169" s="84" t="str">
        <x:v>Superaquecimento</x:v>
      </x:c>
      <x:c r="I1169" s="84" t="n">
        <x:v>1317</x:v>
      </x:c>
      <x:c r="J1169" s="93" t="n">
        <x:v>40455.45</x:v>
      </x:c>
      <x:c r="K1169" s="85" t="str">
        <x:v>1º Turno</x:v>
      </x:c>
    </x:row>
    <x:row r="1170">
      <x:c r="A1170" s="83" t="n">
        <x:v>1169</x:v>
      </x:c>
      <x:c r="B1170" s="84" t="n">
        <x:v>89</x:v>
      </x:c>
      <x:c r="C1170" s="84" t="n">
        <x:v>1811</x:v>
      </x:c>
      <x:c r="D1170" s="89" t="n">
        <x:v>45916.60487268519</x:v>
      </x:c>
      <x:c r="E1170" s="89" t="n">
        <x:v>45917.06737268518</x:v>
      </x:c>
      <x:c r="F1170" s="84" t="n">
        <x:v>666</x:v>
      </x:c>
      <x:c r="G1170" s="84" t="n">
        <x:v>1</x:v>
      </x:c>
      <x:c r="H1170" s="84" t="str">
        <x:v>Alarme intermitente</x:v>
      </x:c>
      <x:c r="I1170" s="84" t="n">
        <x:v>877</x:v>
      </x:c>
      <x:c r="J1170" s="93" t="n">
        <x:v>9210.76</x:v>
      </x:c>
      <x:c r="K1170" s="85" t="str">
        <x:v>1º Turno</x:v>
      </x:c>
    </x:row>
    <x:row r="1171">
      <x:c r="A1171" s="83" t="n">
        <x:v>1170</x:v>
      </x:c>
      <x:c r="B1171" s="84" t="n">
        <x:v>45</x:v>
      </x:c>
      <x:c r="C1171" s="84" t="n">
        <x:v>1813</x:v>
      </x:c>
      <x:c r="D1171" s="89" t="n">
        <x:v>45174.560648148145</x:v>
      </x:c>
      <x:c r="E1171" s="89" t="n">
        <x:v>45174.858564814815</x:v>
      </x:c>
      <x:c r="F1171" s="84" t="n">
        <x:v>429</x:v>
      </x:c>
      <x:c r="G1171" s="84" t="n">
        <x:v>1</x:v>
      </x:c>
      <x:c r="H1171" s="84" t="str">
        <x:v>Falha elétrica</x:v>
      </x:c>
      <x:c r="I1171" s="84" t="n">
        <x:v>965</x:v>
      </x:c>
      <x:c r="J1171" s="93" t="n">
        <x:v>13320.26</x:v>
      </x:c>
      <x:c r="K1171" s="85" t="str">
        <x:v>3º Turno</x:v>
      </x:c>
    </x:row>
    <x:row r="1172">
      <x:c r="A1172" s="83" t="n">
        <x:v>1171</x:v>
      </x:c>
      <x:c r="B1172" s="84" t="n">
        <x:v>89</x:v>
      </x:c>
      <x:c r="C1172" s="84" t="n">
        <x:v>1814</x:v>
      </x:c>
      <x:c r="D1172" s="89" t="n">
        <x:v>45903.921793981484</x:v>
      </x:c>
      <x:c r="E1172" s="89" t="n">
        <x:v>45904.27248842592</x:v>
      </x:c>
      <x:c r="F1172" s="84" t="n">
        <x:v>505</x:v>
      </x:c>
      <x:c r="G1172" s="84" t="n">
        <x:v>1</x:v>
      </x:c>
      <x:c r="H1172" s="84" t="str">
        <x:v>Superaquecimento</x:v>
      </x:c>
      <x:c r="I1172" s="84" t="n">
        <x:v>976</x:v>
      </x:c>
      <x:c r="J1172" s="93" t="n">
        <x:v>26227.81</x:v>
      </x:c>
      <x:c r="K1172" s="85" t="str">
        <x:v>2º Turno</x:v>
      </x:c>
    </x:row>
    <x:row r="1173">
      <x:c r="A1173" s="83" t="n">
        <x:v>1172</x:v>
      </x:c>
      <x:c r="B1173" s="84" t="n">
        <x:v>77</x:v>
      </x:c>
      <x:c r="C1173" s="84" t="n">
        <x:v>1815</x:v>
      </x:c>
      <x:c r="D1173" s="89" t="n">
        <x:v>45717.109930555554</x:v>
      </x:c>
      <x:c r="E1173" s="89" t="n">
        <x:v>45717.42173611111</x:v>
      </x:c>
      <x:c r="F1173" s="84" t="n">
        <x:v>449</x:v>
      </x:c>
      <x:c r="G1173" s="84" t="n">
        <x:v>0</x:v>
      </x:c>
      <x:c r="H1173" s="84" t="str">
        <x:v>Falha elétrica</x:v>
      </x:c>
      <x:c r="I1173" s="84" t="n">
        <x:v>726</x:v>
      </x:c>
      <x:c r="J1173" s="93" t="n">
        <x:v>10269.73</x:v>
      </x:c>
      <x:c r="K1173" s="85" t="str">
        <x:v>2º Turno</x:v>
      </x:c>
    </x:row>
    <x:row r="1174">
      <x:c r="A1174" s="83" t="n">
        <x:v>1173</x:v>
      </x:c>
      <x:c r="B1174" s="84" t="n">
        <x:v>25</x:v>
      </x:c>
      <x:c r="C1174" s="84" t="n">
        <x:v>1817</x:v>
      </x:c>
      <x:c r="D1174" s="89" t="n">
        <x:v>45545.636412037034</x:v>
      </x:c>
      <x:c r="E1174" s="89" t="n">
        <x:v>45546.01002314815</x:v>
      </x:c>
      <x:c r="F1174" s="84" t="n">
        <x:v>538</x:v>
      </x:c>
      <x:c r="G1174" s="84" t="n">
        <x:v>1</x:v>
      </x:c>
      <x:c r="H1174" s="84" t="str">
        <x:v>Ruído anormal</x:v>
      </x:c>
      <x:c r="I1174" s="84" t="n">
        <x:v>628</x:v>
      </x:c>
      <x:c r="J1174" s="93" t="n">
        <x:v>18010.4</x:v>
      </x:c>
      <x:c r="K1174" s="85" t="str">
        <x:v>3º Turno</x:v>
      </x:c>
    </x:row>
    <x:row r="1175">
      <x:c r="A1175" s="83" t="n">
        <x:v>1174</x:v>
      </x:c>
      <x:c r="B1175" s="84" t="n">
        <x:v>33</x:v>
      </x:c>
      <x:c r="C1175" s="84" t="n">
        <x:v>1820</x:v>
      </x:c>
      <x:c r="D1175" s="89" t="n">
        <x:v>45405.68267361111</x:v>
      </x:c>
      <x:c r="E1175" s="89" t="n">
        <x:v>45405.82225694445</x:v>
      </x:c>
      <x:c r="F1175" s="84" t="n">
        <x:v>201</x:v>
      </x:c>
      <x:c r="G1175" s="84" t="n">
        <x:v>0</x:v>
      </x:c>
      <x:c r="H1175" s="84" t="str">
        <x:v>Desalinhamento</x:v>
      </x:c>
      <x:c r="I1175" s="84" t="n">
        <x:v>305</x:v>
      </x:c>
      <x:c r="J1175" s="93" t="n">
        <x:v>7543.13</x:v>
      </x:c>
      <x:c r="K1175" s="85" t="str">
        <x:v>3º Turno</x:v>
      </x:c>
    </x:row>
    <x:row r="1176">
      <x:c r="A1176" s="83" t="n">
        <x:v>1175</x:v>
      </x:c>
      <x:c r="B1176" s="84" t="n">
        <x:v>6</x:v>
      </x:c>
      <x:c r="C1176" s="84" t="n">
        <x:v>1821</x:v>
      </x:c>
      <x:c r="D1176" s="89" t="n">
        <x:v>45975.11001157408</x:v>
      </x:c>
      <x:c r="E1176" s="89" t="n">
        <x:v>45975.61140046296</x:v>
      </x:c>
      <x:c r="F1176" s="84" t="n">
        <x:v>722</x:v>
      </x:c>
      <x:c r="G1176" s="84" t="n">
        <x:v>1</x:v>
      </x:c>
      <x:c r="H1176" s="84" t="str">
        <x:v>Vazamento</x:v>
      </x:c>
      <x:c r="I1176" s="84" t="n">
        <x:v>1492</x:v>
      </x:c>
      <x:c r="J1176" s="93" t="n">
        <x:v>41303.81</x:v>
      </x:c>
      <x:c r="K1176" s="85" t="str">
        <x:v>1º Turno</x:v>
      </x:c>
    </x:row>
    <x:row r="1177">
      <x:c r="A1177" s="83" t="n">
        <x:v>1176</x:v>
      </x:c>
      <x:c r="B1177" s="84" t="n">
        <x:v>68</x:v>
      </x:c>
      <x:c r="C1177" s="84" t="n">
        <x:v>1823</x:v>
      </x:c>
      <x:c r="D1177" s="89" t="n">
        <x:v>45408.27873842593</x:v>
      </x:c>
      <x:c r="E1177" s="89" t="n">
        <x:v>45408.84193287037</x:v>
      </x:c>
      <x:c r="F1177" s="84" t="n">
        <x:v>811</x:v>
      </x:c>
      <x:c r="G1177" s="84" t="n">
        <x:v>1</x:v>
      </x:c>
      <x:c r="H1177" s="84" t="str">
        <x:v>Desalinhamento</x:v>
      </x:c>
      <x:c r="I1177" s="84" t="n">
        <x:v>1298</x:v>
      </x:c>
      <x:c r="J1177" s="93" t="n">
        <x:v>31364.2</x:v>
      </x:c>
      <x:c r="K1177" s="85" t="str">
        <x:v>3º Turno</x:v>
      </x:c>
    </x:row>
    <x:row r="1178">
      <x:c r="A1178" s="83" t="n">
        <x:v>1177</x:v>
      </x:c>
      <x:c r="B1178" s="84" t="n">
        <x:v>11</x:v>
      </x:c>
      <x:c r="C1178" s="84" t="n">
        <x:v>1825</x:v>
      </x:c>
      <x:c r="D1178" s="89" t="n">
        <x:v>45836.494155092594</x:v>
      </x:c>
      <x:c r="E1178" s="89" t="n">
        <x:v>45837.078877314816</x:v>
      </x:c>
      <x:c r="F1178" s="84" t="n">
        <x:v>842</x:v>
      </x:c>
      <x:c r="G1178" s="84" t="n">
        <x:v>0</x:v>
      </x:c>
      <x:c r="H1178" s="84" t="str">
        <x:v>Baixa pressão</x:v>
      </x:c>
      <x:c r="I1178" s="84" t="n">
        <x:v>1347</x:v>
      </x:c>
      <x:c r="J1178" s="93" t="n">
        <x:v>26126.05</x:v>
      </x:c>
      <x:c r="K1178" s="85" t="str">
        <x:v>3º Turno</x:v>
      </x:c>
    </x:row>
    <x:row r="1179">
      <x:c r="A1179" s="83" t="n">
        <x:v>1178</x:v>
      </x:c>
      <x:c r="B1179" s="84" t="n">
        <x:v>45</x:v>
      </x:c>
      <x:c r="C1179" s="84" t="n">
        <x:v>1826</x:v>
      </x:c>
      <x:c r="D1179" s="89" t="n">
        <x:v>45004.76960648148</x:v>
      </x:c>
      <x:c r="E1179" s="89" t="n">
        <x:v>45005.28974537037</x:v>
      </x:c>
      <x:c r="F1179" s="84" t="n">
        <x:v>749</x:v>
      </x:c>
      <x:c r="G1179" s="84" t="n">
        <x:v>0</x:v>
      </x:c>
      <x:c r="H1179" s="84" t="str">
        <x:v>Vazamento</x:v>
      </x:c>
      <x:c r="I1179" s="84" t="n">
        <x:v>1286</x:v>
      </x:c>
      <x:c r="J1179" s="93" t="n">
        <x:v>10735.38</x:v>
      </x:c>
      <x:c r="K1179" s="85" t="str">
        <x:v>2º Turno</x:v>
      </x:c>
    </x:row>
    <x:row r="1180">
      <x:c r="A1180" s="83" t="n">
        <x:v>1179</x:v>
      </x:c>
      <x:c r="B1180" s="84" t="n">
        <x:v>77</x:v>
      </x:c>
      <x:c r="C1180" s="84" t="n">
        <x:v>1828</x:v>
      </x:c>
      <x:c r="D1180" s="89" t="n">
        <x:v>45790.66422453704</x:v>
      </x:c>
      <x:c r="E1180" s="89" t="n">
        <x:v>45791.18436342593</x:v>
      </x:c>
      <x:c r="F1180" s="84" t="n">
        <x:v>749</x:v>
      </x:c>
      <x:c r="G1180" s="84" t="n">
        <x:v>0</x:v>
      </x:c>
      <x:c r="H1180" s="84" t="str">
        <x:v>Vazamento</x:v>
      </x:c>
      <x:c r="I1180" s="84" t="n">
        <x:v>1411</x:v>
      </x:c>
      <x:c r="J1180" s="93" t="n">
        <x:v>42537.39</x:v>
      </x:c>
      <x:c r="K1180" s="85" t="str">
        <x:v>2º Turno</x:v>
      </x:c>
    </x:row>
    <x:row r="1181">
      <x:c r="A1181" s="83" t="n">
        <x:v>1180</x:v>
      </x:c>
      <x:c r="B1181" s="84" t="n">
        <x:v>22</x:v>
      </x:c>
      <x:c r="C1181" s="84" t="n">
        <x:v>1830</x:v>
      </x:c>
      <x:c r="D1181" s="89" t="n">
        <x:v>45312.46302083333</x:v>
      </x:c>
      <x:c r="E1181" s="89" t="n">
        <x:v>45312.99427083333</x:v>
      </x:c>
      <x:c r="F1181" s="84" t="n">
        <x:v>765</x:v>
      </x:c>
      <x:c r="G1181" s="84" t="n">
        <x:v>1</x:v>
      </x:c>
      <x:c r="H1181" s="84" t="str">
        <x:v>Baixa pressão</x:v>
      </x:c>
      <x:c r="I1181" s="84" t="n">
        <x:v>1849</x:v>
      </x:c>
      <x:c r="J1181" s="93" t="n">
        <x:v>13208.3</x:v>
      </x:c>
      <x:c r="K1181" s="85" t="str">
        <x:v>2º Turno</x:v>
      </x:c>
    </x:row>
    <x:row r="1182">
      <x:c r="A1182" s="83" t="n">
        <x:v>1181</x:v>
      </x:c>
      <x:c r="B1182" s="84" t="n">
        <x:v>40</x:v>
      </x:c>
      <x:c r="C1182" s="84" t="n">
        <x:v>1833</x:v>
      </x:c>
      <x:c r="D1182" s="89" t="n">
        <x:v>45453.12762731482</x:v>
      </x:c>
      <x:c r="E1182" s="89" t="n">
        <x:v>45453.62762731482</x:v>
      </x:c>
      <x:c r="F1182" s="84" t="n">
        <x:v>720</x:v>
      </x:c>
      <x:c r="G1182" s="84" t="n">
        <x:v>1</x:v>
      </x:c>
      <x:c r="H1182" s="84" t="str">
        <x:v>Vazamento</x:v>
      </x:c>
      <x:c r="I1182" s="84" t="n">
        <x:v>1188</x:v>
      </x:c>
      <x:c r="J1182" s="93" t="n">
        <x:v>27906.94</x:v>
      </x:c>
      <x:c r="K1182" s="85" t="str">
        <x:v>1º Turno</x:v>
      </x:c>
    </x:row>
    <x:row r="1183">
      <x:c r="A1183" s="83" t="n">
        <x:v>1182</x:v>
      </x:c>
      <x:c r="B1183" s="84" t="n">
        <x:v>80</x:v>
      </x:c>
      <x:c r="C1183" s="84" t="n">
        <x:v>1834</x:v>
      </x:c>
      <x:c r="D1183" s="89" t="n">
        <x:v>45832.797534722224</x:v>
      </x:c>
      <x:c r="E1183" s="89" t="n">
        <x:v>45833.1253125</x:v>
      </x:c>
      <x:c r="F1183" s="84" t="n">
        <x:v>472</x:v>
      </x:c>
      <x:c r="G1183" s="84" t="n">
        <x:v>1</x:v>
      </x:c>
      <x:c r="H1183" s="84" t="str">
        <x:v>Alarme intermitente</x:v>
      </x:c>
      <x:c r="I1183" s="84" t="n">
        <x:v>795</x:v>
      </x:c>
      <x:c r="J1183" s="93" t="n">
        <x:v>18695.6</x:v>
      </x:c>
      <x:c r="K1183" s="85" t="str">
        <x:v>1º Turno</x:v>
      </x:c>
    </x:row>
    <x:row r="1184">
      <x:c r="A1184" s="83" t="n">
        <x:v>1183</x:v>
      </x:c>
      <x:c r="B1184" s="84" t="n">
        <x:v>68</x:v>
      </x:c>
      <x:c r="C1184" s="84" t="n">
        <x:v>1835</x:v>
      </x:c>
      <x:c r="D1184" s="89" t="n">
        <x:v>45932.26619212963</x:v>
      </x:c>
      <x:c r="E1184" s="89" t="n">
        <x:v>45932.29744212963</x:v>
      </x:c>
      <x:c r="F1184" s="84" t="n">
        <x:v>45</x:v>
      </x:c>
      <x:c r="G1184" s="84" t="n">
        <x:v>1</x:v>
      </x:c>
      <x:c r="H1184" s="84" t="str">
        <x:v>Baixa pressão</x:v>
      </x:c>
      <x:c r="I1184" s="84" t="n">
        <x:v>55</x:v>
      </x:c>
      <x:c r="J1184" s="93" t="n">
        <x:v>2556.86</x:v>
      </x:c>
      <x:c r="K1184" s="85" t="str">
        <x:v>1º Turno</x:v>
      </x:c>
    </x:row>
    <x:row r="1185">
      <x:c r="A1185" s="83" t="n">
        <x:v>1184</x:v>
      </x:c>
      <x:c r="B1185" s="84" t="n">
        <x:v>28</x:v>
      </x:c>
      <x:c r="C1185" s="84" t="n">
        <x:v>1837</x:v>
      </x:c>
      <x:c r="D1185" s="89" t="n">
        <x:v>45011.148356481484</x:v>
      </x:c>
      <x:c r="E1185" s="89" t="n">
        <x:v>45011.299050925925</x:v>
      </x:c>
      <x:c r="F1185" s="84" t="n">
        <x:v>217</x:v>
      </x:c>
      <x:c r="G1185" s="84" t="n">
        <x:v>1</x:v>
      </x:c>
      <x:c r="H1185" s="84" t="str">
        <x:v>Falha elétrica</x:v>
      </x:c>
      <x:c r="I1185" s="84" t="n">
        <x:v>456</x:v>
      </x:c>
      <x:c r="J1185" s="93" t="n">
        <x:v>7062.89</x:v>
      </x:c>
      <x:c r="K1185" s="85" t="str">
        <x:v>3º Turno</x:v>
      </x:c>
    </x:row>
    <x:row r="1186">
      <x:c r="A1186" s="83" t="n">
        <x:v>1185</x:v>
      </x:c>
      <x:c r="B1186" s="84" t="n">
        <x:v>23</x:v>
      </x:c>
      <x:c r="C1186" s="84" t="n">
        <x:v>1839</x:v>
      </x:c>
      <x:c r="D1186" s="89" t="n">
        <x:v>45908.43212962963</x:v>
      </x:c>
      <x:c r="E1186" s="89" t="n">
        <x:v>45908.97587962963</x:v>
      </x:c>
      <x:c r="F1186" s="84" t="n">
        <x:v>783</x:v>
      </x:c>
      <x:c r="G1186" s="84" t="n">
        <x:v>1</x:v>
      </x:c>
      <x:c r="H1186" s="84" t="str">
        <x:v>Desalinhamento</x:v>
      </x:c>
      <x:c r="I1186" s="84" t="n">
        <x:v>1018</x:v>
      </x:c>
      <x:c r="J1186" s="93" t="n">
        <x:v>16598.95</x:v>
      </x:c>
      <x:c r="K1186" s="85" t="str">
        <x:v>1º Turno</x:v>
      </x:c>
    </x:row>
    <x:row r="1187">
      <x:c r="A1187" s="83" t="n">
        <x:v>1186</x:v>
      </x:c>
      <x:c r="B1187" s="84" t="n">
        <x:v>44</x:v>
      </x:c>
      <x:c r="C1187" s="84" t="n">
        <x:v>1840</x:v>
      </x:c>
      <x:c r="D1187" s="89" t="n">
        <x:v>45522.1794212963</x:v>
      </x:c>
      <x:c r="E1187" s="89" t="n">
        <x:v>45522.448171296295</x:v>
      </x:c>
      <x:c r="F1187" s="84" t="n">
        <x:v>387</x:v>
      </x:c>
      <x:c r="G1187" s="84" t="n">
        <x:v>0</x:v>
      </x:c>
      <x:c r="H1187" s="84" t="str">
        <x:v>Vazamento</x:v>
      </x:c>
      <x:c r="I1187" s="84" t="n">
        <x:v>419</x:v>
      </x:c>
      <x:c r="J1187" s="93" t="n">
        <x:v>9638.67</x:v>
      </x:c>
      <x:c r="K1187" s="85" t="str">
        <x:v>3º Turno</x:v>
      </x:c>
    </x:row>
    <x:row r="1188">
      <x:c r="A1188" s="83" t="n">
        <x:v>1187</x:v>
      </x:c>
      <x:c r="B1188" s="84" t="n">
        <x:v>63</x:v>
      </x:c>
      <x:c r="C1188" s="84" t="n">
        <x:v>1841</x:v>
      </x:c>
      <x:c r="D1188" s="89" t="n">
        <x:v>45957.00380787037</x:v>
      </x:c>
      <x:c r="E1188" s="89" t="n">
        <x:v>45957.5246412037</x:v>
      </x:c>
      <x:c r="F1188" s="84" t="n">
        <x:v>750</x:v>
      </x:c>
      <x:c r="G1188" s="84" t="n">
        <x:v>1</x:v>
      </x:c>
      <x:c r="H1188" s="84" t="str">
        <x:v>Superaquecimento</x:v>
      </x:c>
      <x:c r="I1188" s="84" t="n">
        <x:v>1100</x:v>
      </x:c>
      <x:c r="J1188" s="93" t="n">
        <x:v>36081.82</x:v>
      </x:c>
      <x:c r="K1188" s="85" t="str">
        <x:v>2º Turno</x:v>
      </x:c>
    </x:row>
    <x:row r="1189">
      <x:c r="A1189" s="83" t="n">
        <x:v>1188</x:v>
      </x:c>
      <x:c r="B1189" s="84" t="n">
        <x:v>54</x:v>
      </x:c>
      <x:c r="C1189" s="84" t="n">
        <x:v>1842</x:v>
      </x:c>
      <x:c r="D1189" s="89" t="n">
        <x:v>45878.17045138889</x:v>
      </x:c>
      <x:c r="E1189" s="89" t="n">
        <x:v>45878.419756944444</x:v>
      </x:c>
      <x:c r="F1189" s="84" t="n">
        <x:v>359</x:v>
      </x:c>
      <x:c r="G1189" s="84" t="n">
        <x:v>1</x:v>
      </x:c>
      <x:c r="H1189" s="84" t="str">
        <x:v>Alarme intermitente</x:v>
      </x:c>
      <x:c r="I1189" s="84" t="n">
        <x:v>652</x:v>
      </x:c>
      <x:c r="J1189" s="93" t="n">
        <x:v>17572.77</x:v>
      </x:c>
      <x:c r="K1189" s="85" t="str">
        <x:v>3º Turno</x:v>
      </x:c>
    </x:row>
    <x:row r="1190">
      <x:c r="A1190" s="83" t="n">
        <x:v>1189</x:v>
      </x:c>
      <x:c r="B1190" s="84" t="n">
        <x:v>65</x:v>
      </x:c>
      <x:c r="C1190" s="84" t="n">
        <x:v>1843</x:v>
      </x:c>
      <x:c r="D1190" s="89" t="n">
        <x:v>45594.07976851852</x:v>
      </x:c>
      <x:c r="E1190" s="89" t="n">
        <x:v>45594.31101851852</x:v>
      </x:c>
      <x:c r="F1190" s="84" t="n">
        <x:v>333</x:v>
      </x:c>
      <x:c r="G1190" s="84" t="n">
        <x:v>1</x:v>
      </x:c>
      <x:c r="H1190" s="84" t="str">
        <x:v>Superaquecimento</x:v>
      </x:c>
      <x:c r="I1190" s="84" t="n">
        <x:v>649</x:v>
      </x:c>
      <x:c r="J1190" s="93" t="n">
        <x:v>15822.24</x:v>
      </x:c>
      <x:c r="K1190" s="85" t="str">
        <x:v>3º Turno</x:v>
      </x:c>
    </x:row>
    <x:row r="1191">
      <x:c r="A1191" s="83" t="n">
        <x:v>1190</x:v>
      </x:c>
      <x:c r="B1191" s="84" t="n">
        <x:v>80</x:v>
      </x:c>
      <x:c r="C1191" s="84" t="n">
        <x:v>1845</x:v>
      </x:c>
      <x:c r="D1191" s="89" t="n">
        <x:v>45782.092627314814</x:v>
      </x:c>
      <x:c r="E1191" s="89" t="n">
        <x:v>45782.58429398148</x:v>
      </x:c>
      <x:c r="F1191" s="84" t="n">
        <x:v>708</x:v>
      </x:c>
      <x:c r="G1191" s="84" t="n">
        <x:v>1</x:v>
      </x:c>
      <x:c r="H1191" s="84" t="str">
        <x:v>Vazamento</x:v>
      </x:c>
      <x:c r="I1191" s="84" t="n">
        <x:v>1227</x:v>
      </x:c>
      <x:c r="J1191" s="93" t="n">
        <x:v>32696.42</x:v>
      </x:c>
      <x:c r="K1191" s="85" t="str">
        <x:v>3º Turno</x:v>
      </x:c>
    </x:row>
    <x:row r="1192">
      <x:c r="A1192" s="83" t="n">
        <x:v>1191</x:v>
      </x:c>
      <x:c r="B1192" s="84" t="n">
        <x:v>26</x:v>
      </x:c>
      <x:c r="C1192" s="84" t="n">
        <x:v>1849</x:v>
      </x:c>
      <x:c r="D1192" s="89" t="n">
        <x:v>45693.11832175926</x:v>
      </x:c>
      <x:c r="E1192" s="89" t="n">
        <x:v>45693.71068287037</x:v>
      </x:c>
      <x:c r="F1192" s="84" t="n">
        <x:v>853</x:v>
      </x:c>
      <x:c r="G1192" s="84" t="n">
        <x:v>1</x:v>
      </x:c>
      <x:c r="H1192" s="84" t="str">
        <x:v>Vazamento</x:v>
      </x:c>
      <x:c r="I1192" s="84" t="n">
        <x:v>1080</x:v>
      </x:c>
      <x:c r="J1192" s="93" t="n">
        <x:v>38420.47</x:v>
      </x:c>
      <x:c r="K1192" s="85" t="str">
        <x:v>3º Turno</x:v>
      </x:c>
    </x:row>
    <x:row r="1193">
      <x:c r="A1193" s="83" t="n">
        <x:v>1192</x:v>
      </x:c>
      <x:c r="B1193" s="84" t="n">
        <x:v>89</x:v>
      </x:c>
      <x:c r="C1193" s="84" t="n">
        <x:v>1850</x:v>
      </x:c>
      <x:c r="D1193" s="89" t="n">
        <x:v>45117.99668981481</x:v>
      </x:c>
      <x:c r="E1193" s="89" t="n">
        <x:v>45118.61682870371</x:v>
      </x:c>
      <x:c r="F1193" s="84" t="n">
        <x:v>893</x:v>
      </x:c>
      <x:c r="G1193" s="84" t="n">
        <x:v>1</x:v>
      </x:c>
      <x:c r="H1193" s="84" t="str">
        <x:v>Vazamento</x:v>
      </x:c>
      <x:c r="I1193" s="84" t="n">
        <x:v>1116</x:v>
      </x:c>
      <x:c r="J1193" s="93" t="n">
        <x:v>48721.19</x:v>
      </x:c>
      <x:c r="K1193" s="85" t="str">
        <x:v>3º Turno</x:v>
      </x:c>
    </x:row>
    <x:row r="1194">
      <x:c r="A1194" s="83" t="n">
        <x:v>1193</x:v>
      </x:c>
      <x:c r="B1194" s="84" t="n">
        <x:v>68</x:v>
      </x:c>
      <x:c r="C1194" s="84" t="n">
        <x:v>1851</x:v>
      </x:c>
      <x:c r="D1194" s="89" t="n">
        <x:v>45746.929027777776</x:v>
      </x:c>
      <x:c r="E1194" s="89" t="n">
        <x:v>45747.15611111111</x:v>
      </x:c>
      <x:c r="F1194" s="84" t="n">
        <x:v>327</x:v>
      </x:c>
      <x:c r="G1194" s="84" t="n">
        <x:v>1</x:v>
      </x:c>
      <x:c r="H1194" s="84" t="str">
        <x:v>Desalinhamento</x:v>
      </x:c>
      <x:c r="I1194" s="84" t="n">
        <x:v>692</x:v>
      </x:c>
      <x:c r="J1194" s="93" t="n">
        <x:v>10079.9</x:v>
      </x:c>
      <x:c r="K1194" s="85" t="str">
        <x:v>1º Turno</x:v>
      </x:c>
    </x:row>
    <x:row r="1195">
      <x:c r="A1195" s="83" t="n">
        <x:v>1194</x:v>
      </x:c>
      <x:c r="B1195" s="84" t="n">
        <x:v>5</x:v>
      </x:c>
      <x:c r="C1195" s="84" t="n">
        <x:v>1856</x:v>
      </x:c>
      <x:c r="D1195" s="89" t="n">
        <x:v>45924.40179398148</x:v>
      </x:c>
      <x:c r="E1195" s="89" t="n">
        <x:v>45924.44693287037</x:v>
      </x:c>
      <x:c r="F1195" s="84" t="n">
        <x:v>65</x:v>
      </x:c>
      <x:c r="G1195" s="84" t="n">
        <x:v>1</x:v>
      </x:c>
      <x:c r="H1195" s="84" t="str">
        <x:v>Vazamento</x:v>
      </x:c>
      <x:c r="I1195" s="84" t="n">
        <x:v>146</x:v>
      </x:c>
      <x:c r="J1195" s="93" t="n">
        <x:v>2781.66</x:v>
      </x:c>
      <x:c r="K1195" s="85" t="str">
        <x:v>2º Turno</x:v>
      </x:c>
    </x:row>
    <x:row r="1196">
      <x:c r="A1196" s="83" t="n">
        <x:v>1195</x:v>
      </x:c>
      <x:c r="B1196" s="84" t="n">
        <x:v>74</x:v>
      </x:c>
      <x:c r="C1196" s="84" t="n">
        <x:v>1857</x:v>
      </x:c>
      <x:c r="D1196" s="89" t="n">
        <x:v>45638.71238425926</x:v>
      </x:c>
      <x:c r="E1196" s="89" t="n">
        <x:v>45638.78530092593</x:v>
      </x:c>
      <x:c r="F1196" s="84" t="n">
        <x:v>105</x:v>
      </x:c>
      <x:c r="G1196" s="84" t="n">
        <x:v>0</x:v>
      </x:c>
      <x:c r="H1196" s="84" t="str">
        <x:v>Vazamento</x:v>
      </x:c>
      <x:c r="I1196" s="84" t="n">
        <x:v>112</x:v>
      </x:c>
      <x:c r="J1196" s="93" t="n">
        <x:v>4388.86</x:v>
      </x:c>
      <x:c r="K1196" s="85" t="str">
        <x:v>1º Turno</x:v>
      </x:c>
    </x:row>
    <x:row r="1197">
      <x:c r="A1197" s="83" t="n">
        <x:v>1196</x:v>
      </x:c>
      <x:c r="B1197" s="84" t="n">
        <x:v>66</x:v>
      </x:c>
      <x:c r="C1197" s="84" t="n">
        <x:v>1859</x:v>
      </x:c>
      <x:c r="D1197" s="89" t="n">
        <x:v>45999.14114583333</x:v>
      </x:c>
      <x:c r="E1197" s="89" t="n">
        <x:v>45999.60364583333</x:v>
      </x:c>
      <x:c r="F1197" s="84" t="n">
        <x:v>666</x:v>
      </x:c>
      <x:c r="G1197" s="84" t="n">
        <x:v>1</x:v>
      </x:c>
      <x:c r="H1197" s="84" t="str">
        <x:v>Desalinhamento</x:v>
      </x:c>
      <x:c r="I1197" s="84" t="n">
        <x:v>1454</x:v>
      </x:c>
      <x:c r="J1197" s="93" t="n">
        <x:v>25334.15</x:v>
      </x:c>
      <x:c r="K1197" s="85" t="str">
        <x:v>1º Turno</x:v>
      </x:c>
    </x:row>
    <x:row r="1198">
      <x:c r="A1198" s="83" t="n">
        <x:v>1197</x:v>
      </x:c>
      <x:c r="B1198" s="84" t="n">
        <x:v>21</x:v>
      </x:c>
      <x:c r="C1198" s="84" t="n">
        <x:v>1860</x:v>
      </x:c>
      <x:c r="D1198" s="89" t="n">
        <x:v>45066.37170138889</x:v>
      </x:c>
      <x:c r="E1198" s="89" t="n">
        <x:v>45066.86267361111</x:v>
      </x:c>
      <x:c r="F1198" s="84" t="n">
        <x:v>707</x:v>
      </x:c>
      <x:c r="G1198" s="84" t="n">
        <x:v>1</x:v>
      </x:c>
      <x:c r="H1198" s="84" t="str">
        <x:v>Baixa pressão</x:v>
      </x:c>
      <x:c r="I1198" s="84" t="n">
        <x:v>1768</x:v>
      </x:c>
      <x:c r="J1198" s="93" t="n">
        <x:v>35918.55</x:v>
      </x:c>
      <x:c r="K1198" s="85" t="str">
        <x:v>1º Turno</x:v>
      </x:c>
    </x:row>
    <x:row r="1199">
      <x:c r="A1199" s="83" t="n">
        <x:v>1198</x:v>
      </x:c>
      <x:c r="B1199" s="84" t="n">
        <x:v>90</x:v>
      </x:c>
      <x:c r="C1199" s="84" t="n">
        <x:v>1862</x:v>
      </x:c>
      <x:c r="D1199" s="89" t="n">
        <x:v>45964.54728009259</x:v>
      </x:c>
      <x:c r="E1199" s="89" t="n">
        <x:v>45964.652141203704</x:v>
      </x:c>
      <x:c r="F1199" s="84" t="n">
        <x:v>151</x:v>
      </x:c>
      <x:c r="G1199" s="84" t="n">
        <x:v>1</x:v>
      </x:c>
      <x:c r="H1199" s="84" t="str">
        <x:v>Falha elétrica</x:v>
      </x:c>
      <x:c r="I1199" s="84" t="n">
        <x:v>232</x:v>
      </x:c>
      <x:c r="J1199" s="93" t="n">
        <x:v>5544.98</x:v>
      </x:c>
      <x:c r="K1199" s="85" t="str">
        <x:v>2º Turno</x:v>
      </x:c>
    </x:row>
    <x:row r="1200">
      <x:c r="A1200" s="83" t="n">
        <x:v>1199</x:v>
      </x:c>
      <x:c r="B1200" s="84" t="n">
        <x:v>56</x:v>
      </x:c>
      <x:c r="C1200" s="84" t="n">
        <x:v>1863</x:v>
      </x:c>
      <x:c r="D1200" s="89" t="n">
        <x:v>45858.83306712963</x:v>
      </x:c>
      <x:c r="E1200" s="89" t="n">
        <x:v>45859.17681712963</x:v>
      </x:c>
      <x:c r="F1200" s="84" t="n">
        <x:v>495</x:v>
      </x:c>
      <x:c r="G1200" s="84" t="n">
        <x:v>1</x:v>
      </x:c>
      <x:c r="H1200" s="84" t="str">
        <x:v>Ruído anormal</x:v>
      </x:c>
      <x:c r="I1200" s="84" t="n">
        <x:v>1196</x:v>
      </x:c>
      <x:c r="J1200" s="93" t="n">
        <x:v>25181.71</x:v>
      </x:c>
      <x:c r="K1200" s="85" t="str">
        <x:v>3º Turno</x:v>
      </x:c>
    </x:row>
    <x:row r="1201">
      <x:c r="A1201" s="83" t="n">
        <x:v>1200</x:v>
      </x:c>
      <x:c r="B1201" s="84" t="n">
        <x:v>81</x:v>
      </x:c>
      <x:c r="C1201" s="84" t="n">
        <x:v>1866</x:v>
      </x:c>
      <x:c r="D1201" s="89" t="n">
        <x:v>45036.975856481484</x:v>
      </x:c>
      <x:c r="E1201" s="89" t="n">
        <x:v>45037.47655092592</x:v>
      </x:c>
      <x:c r="F1201" s="84" t="n">
        <x:v>721</x:v>
      </x:c>
      <x:c r="G1201" s="84" t="n">
        <x:v>1</x:v>
      </x:c>
      <x:c r="H1201" s="84" t="str">
        <x:v>Vazamento</x:v>
      </x:c>
      <x:c r="I1201" s="84" t="n">
        <x:v>1430</x:v>
      </x:c>
      <x:c r="J1201" s="93" t="n">
        <x:v>31354.41</x:v>
      </x:c>
      <x:c r="K1201" s="85" t="str">
        <x:v>1º Turno</x:v>
      </x:c>
    </x:row>
    <x:row r="1202">
      <x:c r="A1202" s="83" t="n">
        <x:v>1201</x:v>
      </x:c>
      <x:c r="B1202" s="84" t="n">
        <x:v>47</x:v>
      </x:c>
      <x:c r="C1202" s="84" t="n">
        <x:v>1867</x:v>
      </x:c>
      <x:c r="D1202" s="89" t="n">
        <x:v>45299.023252314815</x:v>
      </x:c>
      <x:c r="E1202" s="89" t="n">
        <x:v>45299.12464120371</x:v>
      </x:c>
      <x:c r="F1202" s="84" t="n">
        <x:v>146</x:v>
      </x:c>
      <x:c r="G1202" s="84" t="n">
        <x:v>1</x:v>
      </x:c>
      <x:c r="H1202" s="84" t="str">
        <x:v>Vazamento</x:v>
      </x:c>
      <x:c r="I1202" s="84" t="n">
        <x:v>178</x:v>
      </x:c>
      <x:c r="J1202" s="93" t="n">
        <x:v>8465.33</x:v>
      </x:c>
      <x:c r="K1202" s="85" t="str">
        <x:v>1º Turno</x:v>
      </x:c>
    </x:row>
    <x:row r="1203">
      <x:c r="A1203" s="83" t="n">
        <x:v>1202</x:v>
      </x:c>
      <x:c r="B1203" s="84" t="n">
        <x:v>16</x:v>
      </x:c>
      <x:c r="C1203" s="84" t="n">
        <x:v>1869</x:v>
      </x:c>
      <x:c r="D1203" s="89" t="n">
        <x:v>45888.02076388889</x:v>
      </x:c>
      <x:c r="E1203" s="89" t="n">
        <x:v>45888.04993055556</x:v>
      </x:c>
      <x:c r="F1203" s="84" t="n">
        <x:v>42</x:v>
      </x:c>
      <x:c r="G1203" s="84" t="n">
        <x:v>1</x:v>
      </x:c>
      <x:c r="H1203" s="84" t="str">
        <x:v>Alarme intermitente</x:v>
      </x:c>
      <x:c r="I1203" s="84" t="n">
        <x:v>91</x:v>
      </x:c>
      <x:c r="J1203" s="93" t="n">
        <x:v>1210.43</x:v>
      </x:c>
      <x:c r="K1203" s="85" t="str">
        <x:v>2º Turno</x:v>
      </x:c>
    </x:row>
    <x:row r="1204">
      <x:c r="A1204" s="83" t="n">
        <x:v>1203</x:v>
      </x:c>
      <x:c r="B1204" s="84" t="n">
        <x:v>32</x:v>
      </x:c>
      <x:c r="C1204" s="84" t="n">
        <x:v>1870</x:v>
      </x:c>
      <x:c r="D1204" s="89" t="n">
        <x:v>45344.18341435185</x:v>
      </x:c>
      <x:c r="E1204" s="89" t="n">
        <x:v>45344.53896990741</x:v>
      </x:c>
      <x:c r="F1204" s="84" t="n">
        <x:v>512</x:v>
      </x:c>
      <x:c r="G1204" s="84" t="n">
        <x:v>1</x:v>
      </x:c>
      <x:c r="H1204" s="84" t="str">
        <x:v>Ruído anormal</x:v>
      </x:c>
      <x:c r="I1204" s="84" t="n">
        <x:v>623</x:v>
      </x:c>
      <x:c r="J1204" s="93" t="n">
        <x:v>20990.58</x:v>
      </x:c>
      <x:c r="K1204" s="85" t="str">
        <x:v>2º Turno</x:v>
      </x:c>
    </x:row>
    <x:row r="1205">
      <x:c r="A1205" s="83" t="n">
        <x:v>1204</x:v>
      </x:c>
      <x:c r="B1205" s="84" t="n">
        <x:v>27</x:v>
      </x:c>
      <x:c r="C1205" s="84" t="n">
        <x:v>1871</x:v>
      </x:c>
      <x:c r="D1205" s="89" t="n">
        <x:v>45028.29017361111</x:v>
      </x:c>
      <x:c r="E1205" s="89" t="n">
        <x:v>45028.38322916667</x:v>
      </x:c>
      <x:c r="F1205" s="84" t="n">
        <x:v>134</x:v>
      </x:c>
      <x:c r="G1205" s="84" t="n">
        <x:v>0</x:v>
      </x:c>
      <x:c r="H1205" s="84" t="str">
        <x:v>Superaquecimento</x:v>
      </x:c>
      <x:c r="I1205" s="84" t="n">
        <x:v>290</x:v>
      </x:c>
      <x:c r="J1205" s="93" t="n">
        <x:v>7610.47</x:v>
      </x:c>
      <x:c r="K1205" s="85" t="str">
        <x:v>1º Turno</x:v>
      </x:c>
    </x:row>
    <x:row r="1206">
      <x:c r="A1206" s="83" t="n">
        <x:v>1205</x:v>
      </x:c>
      <x:c r="B1206" s="84" t="n">
        <x:v>11</x:v>
      </x:c>
      <x:c r="C1206" s="84" t="n">
        <x:v>1874</x:v>
      </x:c>
      <x:c r="D1206" s="89" t="n">
        <x:v>45088.13050925926</x:v>
      </x:c>
      <x:c r="E1206" s="89" t="n">
        <x:v>45088.69300925926</x:v>
      </x:c>
      <x:c r="F1206" s="84" t="n">
        <x:v>810</x:v>
      </x:c>
      <x:c r="G1206" s="84" t="n">
        <x:v>1</x:v>
      </x:c>
      <x:c r="H1206" s="84" t="str">
        <x:v>Alarme intermitente</x:v>
      </x:c>
      <x:c r="I1206" s="84" t="n">
        <x:v>1404</x:v>
      </x:c>
      <x:c r="J1206" s="93" t="n">
        <x:v>42055.3</x:v>
      </x:c>
      <x:c r="K1206" s="85" t="str">
        <x:v>2º Turno</x:v>
      </x:c>
    </x:row>
    <x:row r="1207">
      <x:c r="A1207" s="83" t="n">
        <x:v>1206</x:v>
      </x:c>
      <x:c r="B1207" s="84" t="n">
        <x:v>65</x:v>
      </x:c>
      <x:c r="C1207" s="84" t="n">
        <x:v>1878</x:v>
      </x:c>
      <x:c r="D1207" s="89" t="n">
        <x:v>45230.14424768519</x:v>
      </x:c>
      <x:c r="E1207" s="89" t="n">
        <x:v>45230.66855324074</x:v>
      </x:c>
      <x:c r="F1207" s="84" t="n">
        <x:v>755</x:v>
      </x:c>
      <x:c r="G1207" s="84" t="n">
        <x:v>0</x:v>
      </x:c>
      <x:c r="H1207" s="84" t="str">
        <x:v>Ruído anormal</x:v>
      </x:c>
      <x:c r="I1207" s="84" t="n">
        <x:v>768</x:v>
      </x:c>
      <x:c r="J1207" s="93" t="n">
        <x:v>29539.19</x:v>
      </x:c>
      <x:c r="K1207" s="85" t="str">
        <x:v>3º Turno</x:v>
      </x:c>
    </x:row>
    <x:row r="1208">
      <x:c r="A1208" s="83" t="n">
        <x:v>1207</x:v>
      </x:c>
      <x:c r="B1208" s="84" t="n">
        <x:v>18</x:v>
      </x:c>
      <x:c r="C1208" s="84" t="n">
        <x:v>1880</x:v>
      </x:c>
      <x:c r="D1208" s="89" t="n">
        <x:v>45136.23494212963</x:v>
      </x:c>
      <x:c r="E1208" s="89" t="n">
        <x:v>45136.665497685186</x:v>
      </x:c>
      <x:c r="F1208" s="84" t="n">
        <x:v>620</x:v>
      </x:c>
      <x:c r="G1208" s="84" t="n">
        <x:v>1</x:v>
      </x:c>
      <x:c r="H1208" s="84" t="str">
        <x:v>Baixa pressão</x:v>
      </x:c>
      <x:c r="I1208" s="84" t="n">
        <x:v>785</x:v>
      </x:c>
      <x:c r="J1208" s="93" t="n">
        <x:v>33918.28</x:v>
      </x:c>
      <x:c r="K1208" s="85" t="str">
        <x:v>1º Turno</x:v>
      </x:c>
    </x:row>
    <x:row r="1209">
      <x:c r="A1209" s="83" t="n">
        <x:v>1208</x:v>
      </x:c>
      <x:c r="B1209" s="84" t="n">
        <x:v>31</x:v>
      </x:c>
      <x:c r="C1209" s="84" t="n">
        <x:v>1882</x:v>
      </x:c>
      <x:c r="D1209" s="89" t="n">
        <x:v>45848.66707175926</x:v>
      </x:c>
      <x:c r="E1209" s="89" t="n">
        <x:v>45849.21082175926</x:v>
      </x:c>
      <x:c r="F1209" s="84" t="n">
        <x:v>783</x:v>
      </x:c>
      <x:c r="G1209" s="84" t="n">
        <x:v>1</x:v>
      </x:c>
      <x:c r="H1209" s="84" t="str">
        <x:v>Superaquecimento</x:v>
      </x:c>
      <x:c r="I1209" s="84" t="n">
        <x:v>1840</x:v>
      </x:c>
      <x:c r="J1209" s="93" t="n">
        <x:v>19751.3</x:v>
      </x:c>
      <x:c r="K1209" s="85" t="str">
        <x:v>1º Turno</x:v>
      </x:c>
    </x:row>
    <x:row r="1210">
      <x:c r="A1210" s="83" t="n">
        <x:v>1209</x:v>
      </x:c>
      <x:c r="B1210" s="84" t="n">
        <x:v>3</x:v>
      </x:c>
      <x:c r="C1210" s="84" t="n">
        <x:v>1883</x:v>
      </x:c>
      <x:c r="D1210" s="89" t="n">
        <x:v>45284.21855324074</x:v>
      </x:c>
      <x:c r="E1210" s="89" t="n">
        <x:v>45284.80674768519</x:v>
      </x:c>
      <x:c r="F1210" s="84" t="n">
        <x:v>847</x:v>
      </x:c>
      <x:c r="G1210" s="84" t="n">
        <x:v>1</x:v>
      </x:c>
      <x:c r="H1210" s="84" t="str">
        <x:v>Falha elétrica</x:v>
      </x:c>
      <x:c r="I1210" s="84" t="n">
        <x:v>932</x:v>
      </x:c>
      <x:c r="J1210" s="93" t="n">
        <x:v>18213.54</x:v>
      </x:c>
      <x:c r="K1210" s="85" t="str">
        <x:v>2º Turno</x:v>
      </x:c>
    </x:row>
    <x:row r="1211">
      <x:c r="A1211" s="83" t="n">
        <x:v>1210</x:v>
      </x:c>
      <x:c r="B1211" s="84" t="n">
        <x:v>14</x:v>
      </x:c>
      <x:c r="C1211" s="84" t="n">
        <x:v>1885</x:v>
      </x:c>
      <x:c r="D1211" s="89" t="n">
        <x:v>45670.71908564815</x:v>
      </x:c>
      <x:c r="E1211" s="89" t="n">
        <x:v>45670.76144675926</x:v>
      </x:c>
      <x:c r="F1211" s="84" t="n">
        <x:v>61</x:v>
      </x:c>
      <x:c r="G1211" s="84" t="n">
        <x:v>1</x:v>
      </x:c>
      <x:c r="H1211" s="84" t="str">
        <x:v>Desalinhamento</x:v>
      </x:c>
      <x:c r="I1211" s="84" t="n">
        <x:v>70</x:v>
      </x:c>
      <x:c r="J1211" s="93" t="n">
        <x:v>1470.24</x:v>
      </x:c>
      <x:c r="K1211" s="85" t="str">
        <x:v>2º Turno</x:v>
      </x:c>
    </x:row>
    <x:row r="1212">
      <x:c r="A1212" s="83" t="n">
        <x:v>1211</x:v>
      </x:c>
      <x:c r="B1212" s="84" t="n">
        <x:v>12</x:v>
      </x:c>
      <x:c r="C1212" s="84" t="n">
        <x:v>1886</x:v>
      </x:c>
      <x:c r="D1212" s="89" t="n">
        <x:v>45182.74</x:v>
      </x:c>
      <x:c r="E1212" s="89" t="n">
        <x:v>45182.88722222222</x:v>
      </x:c>
      <x:c r="F1212" s="84" t="n">
        <x:v>212</x:v>
      </x:c>
      <x:c r="G1212" s="84" t="n">
        <x:v>0</x:v>
      </x:c>
      <x:c r="H1212" s="84" t="str">
        <x:v>Alarme intermitente</x:v>
      </x:c>
      <x:c r="I1212" s="84" t="n">
        <x:v>502</x:v>
      </x:c>
      <x:c r="J1212" s="93" t="n">
        <x:v>3800.8</x:v>
      </x:c>
      <x:c r="K1212" s="85" t="str">
        <x:v>1º Turno</x:v>
      </x:c>
    </x:row>
    <x:row r="1213">
      <x:c r="A1213" s="83" t="n">
        <x:v>1212</x:v>
      </x:c>
      <x:c r="B1213" s="84" t="n">
        <x:v>41</x:v>
      </x:c>
      <x:c r="C1213" s="84" t="n">
        <x:v>1887</x:v>
      </x:c>
      <x:c r="D1213" s="89" t="n">
        <x:v>45990.20927083334</x:v>
      </x:c>
      <x:c r="E1213" s="89" t="n">
        <x:v>45990.41204861111</x:v>
      </x:c>
      <x:c r="F1213" s="84" t="n">
        <x:v>292</x:v>
      </x:c>
      <x:c r="G1213" s="84" t="n">
        <x:v>0</x:v>
      </x:c>
      <x:c r="H1213" s="84" t="str">
        <x:v>Vazamento</x:v>
      </x:c>
      <x:c r="I1213" s="84" t="n">
        <x:v>647</x:v>
      </x:c>
      <x:c r="J1213" s="93" t="n">
        <x:v>9646.56</x:v>
      </x:c>
      <x:c r="K1213" s="85" t="str">
        <x:v>1º Turno</x:v>
      </x:c>
    </x:row>
    <x:row r="1214">
      <x:c r="A1214" s="83" t="n">
        <x:v>1213</x:v>
      </x:c>
      <x:c r="B1214" s="84" t="n">
        <x:v>84</x:v>
      </x:c>
      <x:c r="C1214" s="84" t="n">
        <x:v>1889</x:v>
      </x:c>
      <x:c r="D1214" s="89" t="n">
        <x:v>45661.61519675926</x:v>
      </x:c>
      <x:c r="E1214" s="89" t="n">
        <x:v>45661.949224537035</x:v>
      </x:c>
      <x:c r="F1214" s="84" t="n">
        <x:v>481</x:v>
      </x:c>
      <x:c r="G1214" s="84" t="n">
        <x:v>1</x:v>
      </x:c>
      <x:c r="H1214" s="84" t="str">
        <x:v>Falha elétrica</x:v>
      </x:c>
      <x:c r="I1214" s="84" t="n">
        <x:v>1026</x:v>
      </x:c>
      <x:c r="J1214" s="93" t="n">
        <x:v>21786.2</x:v>
      </x:c>
      <x:c r="K1214" s="85" t="str">
        <x:v>3º Turno</x:v>
      </x:c>
    </x:row>
    <x:row r="1215">
      <x:c r="A1215" s="83" t="n">
        <x:v>1214</x:v>
      </x:c>
      <x:c r="B1215" s="84" t="n">
        <x:v>49</x:v>
      </x:c>
      <x:c r="C1215" s="84" t="n">
        <x:v>1891</x:v>
      </x:c>
      <x:c r="D1215" s="89" t="n">
        <x:v>45520.60120370371</x:v>
      </x:c>
      <x:c r="E1215" s="89" t="n">
        <x:v>45521.19703703704</x:v>
      </x:c>
      <x:c r="F1215" s="84" t="n">
        <x:v>858</x:v>
      </x:c>
      <x:c r="G1215" s="84" t="n">
        <x:v>0</x:v>
      </x:c>
      <x:c r="H1215" s="84" t="str">
        <x:v>Desalinhamento</x:v>
      </x:c>
      <x:c r="I1215" s="84" t="n">
        <x:v>1930</x:v>
      </x:c>
      <x:c r="J1215" s="93" t="n">
        <x:v>32324.33</x:v>
      </x:c>
      <x:c r="K1215" s="85" t="str">
        <x:v>3º Turno</x:v>
      </x:c>
    </x:row>
    <x:row r="1216">
      <x:c r="A1216" s="83" t="n">
        <x:v>1215</x:v>
      </x:c>
      <x:c r="B1216" s="84" t="n">
        <x:v>3</x:v>
      </x:c>
      <x:c r="C1216" s="84" t="n">
        <x:v>1892</x:v>
      </x:c>
      <x:c r="D1216" s="89" t="n">
        <x:v>45890.07644675926</x:v>
      </x:c>
      <x:c r="E1216" s="89" t="n">
        <x:v>45890.29797453704</x:v>
      </x:c>
      <x:c r="F1216" s="84" t="n">
        <x:v>319</x:v>
      </x:c>
      <x:c r="G1216" s="84" t="n">
        <x:v>1</x:v>
      </x:c>
      <x:c r="H1216" s="84" t="str">
        <x:v>Ruído anormal</x:v>
      </x:c>
      <x:c r="I1216" s="84" t="n">
        <x:v>707</x:v>
      </x:c>
      <x:c r="J1216" s="93" t="n">
        <x:v>7079.14</x:v>
      </x:c>
      <x:c r="K1216" s="85" t="str">
        <x:v>3º Turno</x:v>
      </x:c>
    </x:row>
    <x:row r="1217">
      <x:c r="A1217" s="83" t="n">
        <x:v>1216</x:v>
      </x:c>
      <x:c r="B1217" s="84" t="n">
        <x:v>62</x:v>
      </x:c>
      <x:c r="C1217" s="84" t="n">
        <x:v>1893</x:v>
      </x:c>
      <x:c r="D1217" s="89" t="n">
        <x:v>45828.459502314814</x:v>
      </x:c>
      <x:c r="E1217" s="89" t="n">
        <x:v>45828.689363425925</x:v>
      </x:c>
      <x:c r="F1217" s="84" t="n">
        <x:v>331</x:v>
      </x:c>
      <x:c r="G1217" s="84" t="n">
        <x:v>1</x:v>
      </x:c>
      <x:c r="H1217" s="84" t="str">
        <x:v>Superaquecimento</x:v>
      </x:c>
      <x:c r="I1217" s="84" t="n">
        <x:v>364</x:v>
      </x:c>
      <x:c r="J1217" s="93" t="n">
        <x:v>13326.13</x:v>
      </x:c>
      <x:c r="K1217" s="85" t="str">
        <x:v>1º Turno</x:v>
      </x:c>
    </x:row>
    <x:row r="1218">
      <x:c r="A1218" s="83" t="n">
        <x:v>1217</x:v>
      </x:c>
      <x:c r="B1218" s="84" t="n">
        <x:v>77</x:v>
      </x:c>
      <x:c r="C1218" s="84" t="n">
        <x:v>1894</x:v>
      </x:c>
      <x:c r="D1218" s="89" t="n">
        <x:v>45463.866747685184</x:v>
      </x:c>
      <x:c r="E1218" s="89" t="n">
        <x:v>45464.32230324074</x:v>
      </x:c>
      <x:c r="F1218" s="84" t="n">
        <x:v>656</x:v>
      </x:c>
      <x:c r="G1218" s="84" t="n">
        <x:v>0</x:v>
      </x:c>
      <x:c r="H1218" s="84" t="str">
        <x:v>Baixa pressão</x:v>
      </x:c>
      <x:c r="I1218" s="84" t="n">
        <x:v>1192</x:v>
      </x:c>
      <x:c r="J1218" s="93" t="n">
        <x:v>18615.43</x:v>
      </x:c>
      <x:c r="K1218" s="85" t="str">
        <x:v>2º Turno</x:v>
      </x:c>
    </x:row>
    <x:row r="1219">
      <x:c r="A1219" s="83" t="n">
        <x:v>1218</x:v>
      </x:c>
      <x:c r="B1219" s="84" t="n">
        <x:v>52</x:v>
      </x:c>
      <x:c r="C1219" s="84" t="n">
        <x:v>1896</x:v>
      </x:c>
      <x:c r="D1219" s="89" t="n">
        <x:v>45843.20275462963</x:v>
      </x:c>
      <x:c r="E1219" s="89" t="n">
        <x:v>45843.77358796296</x:v>
      </x:c>
      <x:c r="F1219" s="84" t="n">
        <x:v>822</x:v>
      </x:c>
      <x:c r="G1219" s="84" t="n">
        <x:v>1</x:v>
      </x:c>
      <x:c r="H1219" s="84" t="str">
        <x:v>Desalinhamento</x:v>
      </x:c>
      <x:c r="I1219" s="84" t="n">
        <x:v>1356</x:v>
      </x:c>
      <x:c r="J1219" s="93" t="n">
        <x:v>42467.88</x:v>
      </x:c>
      <x:c r="K1219" s="85" t="str">
        <x:v>1º Turno</x:v>
      </x:c>
    </x:row>
    <x:row r="1220">
      <x:c r="A1220" s="83" t="n">
        <x:v>1219</x:v>
      </x:c>
      <x:c r="B1220" s="84" t="n">
        <x:v>79</x:v>
      </x:c>
      <x:c r="C1220" s="84" t="n">
        <x:v>1898</x:v>
      </x:c>
      <x:c r="D1220" s="89" t="n">
        <x:v>45346.0750462963</x:v>
      </x:c>
      <x:c r="E1220" s="89" t="n">
        <x:v>45346.46532407407</x:v>
      </x:c>
      <x:c r="F1220" s="84" t="n">
        <x:v>562</x:v>
      </x:c>
      <x:c r="G1220" s="84" t="n">
        <x:v>1</x:v>
      </x:c>
      <x:c r="H1220" s="84" t="str">
        <x:v>Superaquecimento</x:v>
      </x:c>
      <x:c r="I1220" s="84" t="n">
        <x:v>1012</x:v>
      </x:c>
      <x:c r="J1220" s="93" t="n">
        <x:v>9665.43</x:v>
      </x:c>
      <x:c r="K1220" s="85" t="str">
        <x:v>1º Turno</x:v>
      </x:c>
    </x:row>
    <x:row r="1221">
      <x:c r="A1221" s="83" t="n">
        <x:v>1220</x:v>
      </x:c>
      <x:c r="B1221" s="84" t="n">
        <x:v>2</x:v>
      </x:c>
      <x:c r="C1221" s="84" t="n">
        <x:v>1899</x:v>
      </x:c>
      <x:c r="D1221" s="89" t="n">
        <x:v>45929.00533564815</x:v>
      </x:c>
      <x:c r="E1221" s="89" t="n">
        <x:v>45929.624085648145</x:v>
      </x:c>
      <x:c r="F1221" s="84" t="n">
        <x:v>891</x:v>
      </x:c>
      <x:c r="G1221" s="84" t="n">
        <x:v>1</x:v>
      </x:c>
      <x:c r="H1221" s="84" t="str">
        <x:v>Desalinhamento</x:v>
      </x:c>
      <x:c r="I1221" s="84" t="n">
        <x:v>1723</x:v>
      </x:c>
      <x:c r="J1221" s="93" t="n">
        <x:v>42818.34</x:v>
      </x:c>
      <x:c r="K1221" s="85" t="str">
        <x:v>3º Turno</x:v>
      </x:c>
    </x:row>
    <x:row r="1222">
      <x:c r="A1222" s="83" t="n">
        <x:v>1221</x:v>
      </x:c>
      <x:c r="B1222" s="84" t="n">
        <x:v>38</x:v>
      </x:c>
      <x:c r="C1222" s="84" t="n">
        <x:v>1900</x:v>
      </x:c>
      <x:c r="D1222" s="89" t="n">
        <x:v>45056.08744212963</x:v>
      </x:c>
      <x:c r="E1222" s="89" t="n">
        <x:v>45056.50619212963</x:v>
      </x:c>
      <x:c r="F1222" s="84" t="n">
        <x:v>603</x:v>
      </x:c>
      <x:c r="G1222" s="84" t="n">
        <x:v>1</x:v>
      </x:c>
      <x:c r="H1222" s="84" t="str">
        <x:v>Ruído anormal</x:v>
      </x:c>
      <x:c r="I1222" s="84" t="n">
        <x:v>774</x:v>
      </x:c>
      <x:c r="J1222" s="93" t="n">
        <x:v>32756.84</x:v>
      </x:c>
      <x:c r="K1222" s="85" t="str">
        <x:v>2º Turno</x:v>
      </x:c>
    </x:row>
    <x:row r="1223">
      <x:c r="A1223" s="83" t="n">
        <x:v>1222</x:v>
      </x:c>
      <x:c r="B1223" s="84" t="n">
        <x:v>79</x:v>
      </x:c>
      <x:c r="C1223" s="84" t="n">
        <x:v>1903</x:v>
      </x:c>
      <x:c r="D1223" s="89" t="n">
        <x:v>45206.65164351852</x:v>
      </x:c>
      <x:c r="E1223" s="89" t="n">
        <x:v>45206.749560185184</x:v>
      </x:c>
      <x:c r="F1223" s="84" t="n">
        <x:v>141</x:v>
      </x:c>
      <x:c r="G1223" s="84" t="n">
        <x:v>0</x:v>
      </x:c>
      <x:c r="H1223" s="84" t="str">
        <x:v>Desalinhamento</x:v>
      </x:c>
      <x:c r="I1223" s="84" t="n">
        <x:v>251</x:v>
      </x:c>
      <x:c r="J1223" s="93" t="n">
        <x:v>4263.81</x:v>
      </x:c>
      <x:c r="K1223" s="85" t="str">
        <x:v>1º Turno</x:v>
      </x:c>
    </x:row>
    <x:row r="1224">
      <x:c r="A1224" s="83" t="n">
        <x:v>1223</x:v>
      </x:c>
      <x:c r="B1224" s="84" t="n">
        <x:v>40</x:v>
      </x:c>
      <x:c r="C1224" s="84" t="n">
        <x:v>1904</x:v>
      </x:c>
      <x:c r="D1224" s="89" t="n">
        <x:v>45114.55432870371</x:v>
      </x:c>
      <x:c r="E1224" s="89" t="n">
        <x:v>45115.11405092593</x:v>
      </x:c>
      <x:c r="F1224" s="84" t="n">
        <x:v>806</x:v>
      </x:c>
      <x:c r="G1224" s="84" t="n">
        <x:v>0</x:v>
      </x:c>
      <x:c r="H1224" s="84" t="str">
        <x:v>Falha elétrica</x:v>
      </x:c>
      <x:c r="I1224" s="84" t="n">
        <x:v>1370</x:v>
      </x:c>
      <x:c r="J1224" s="93" t="n">
        <x:v>45279.12</x:v>
      </x:c>
      <x:c r="K1224" s="85" t="str">
        <x:v>1º Turno</x:v>
      </x:c>
    </x:row>
    <x:row r="1225">
      <x:c r="A1225" s="83" t="n">
        <x:v>1224</x:v>
      </x:c>
      <x:c r="B1225" s="84" t="n">
        <x:v>1</x:v>
      </x:c>
      <x:c r="C1225" s="84" t="n">
        <x:v>1905</x:v>
      </x:c>
      <x:c r="D1225" s="89" t="n">
        <x:v>45615.166921296295</x:v>
      </x:c>
      <x:c r="E1225" s="89" t="n">
        <x:v>45615.41136574074</x:v>
      </x:c>
      <x:c r="F1225" s="84" t="n">
        <x:v>352</x:v>
      </x:c>
      <x:c r="G1225" s="84" t="n">
        <x:v>1</x:v>
      </x:c>
      <x:c r="H1225" s="84" t="str">
        <x:v>Falha elétrica</x:v>
      </x:c>
      <x:c r="I1225" s="84" t="n">
        <x:v>745</x:v>
      </x:c>
      <x:c r="J1225" s="93" t="n">
        <x:v>8185.98</x:v>
      </x:c>
      <x:c r="K1225" s="85" t="str">
        <x:v>3º Turno</x:v>
      </x:c>
    </x:row>
    <x:row r="1226">
      <x:c r="A1226" s="83" t="n">
        <x:v>1225</x:v>
      </x:c>
      <x:c r="B1226" s="84" t="n">
        <x:v>82</x:v>
      </x:c>
      <x:c r="C1226" s="84" t="n">
        <x:v>1906</x:v>
      </x:c>
      <x:c r="D1226" s="89" t="n">
        <x:v>45905.90825231482</x:v>
      </x:c>
      <x:c r="E1226" s="89" t="n">
        <x:v>45906.10686342593</x:v>
      </x:c>
      <x:c r="F1226" s="84" t="n">
        <x:v>286</x:v>
      </x:c>
      <x:c r="G1226" s="84" t="n">
        <x:v>1</x:v>
      </x:c>
      <x:c r="H1226" s="84" t="str">
        <x:v>Superaquecimento</x:v>
      </x:c>
      <x:c r="I1226" s="84" t="n">
        <x:v>439</x:v>
      </x:c>
      <x:c r="J1226" s="93" t="n">
        <x:v>11967.94</x:v>
      </x:c>
      <x:c r="K1226" s="85" t="str">
        <x:v>3º Turno</x:v>
      </x:c>
    </x:row>
    <x:row r="1227">
      <x:c r="A1227" s="83" t="n">
        <x:v>1226</x:v>
      </x:c>
      <x:c r="B1227" s="84" t="n">
        <x:v>12</x:v>
      </x:c>
      <x:c r="C1227" s="84" t="n">
        <x:v>1907</x:v>
      </x:c>
      <x:c r="D1227" s="89" t="n">
        <x:v>45847.07879629629</x:v>
      </x:c>
      <x:c r="E1227" s="89" t="n">
        <x:v>45847.691296296296</x:v>
      </x:c>
      <x:c r="F1227" s="84" t="n">
        <x:v>882</x:v>
      </x:c>
      <x:c r="G1227" s="84" t="n">
        <x:v>1</x:v>
      </x:c>
      <x:c r="H1227" s="84" t="str">
        <x:v>Desalinhamento</x:v>
      </x:c>
      <x:c r="I1227" s="84" t="n">
        <x:v>956</x:v>
      </x:c>
      <x:c r="J1227" s="93" t="n">
        <x:v>18185.84</x:v>
      </x:c>
      <x:c r="K1227" s="85" t="str">
        <x:v>2º Turno</x:v>
      </x:c>
    </x:row>
    <x:row r="1228">
      <x:c r="A1228" s="83" t="n">
        <x:v>1227</x:v>
      </x:c>
      <x:c r="B1228" s="84" t="n">
        <x:v>64</x:v>
      </x:c>
      <x:c r="C1228" s="84" t="n">
        <x:v>1909</x:v>
      </x:c>
      <x:c r="D1228" s="89" t="n">
        <x:v>45360.41170138889</x:v>
      </x:c>
      <x:c r="E1228" s="89" t="n">
        <x:v>45360.84086805556</x:v>
      </x:c>
      <x:c r="F1228" s="84" t="n">
        <x:v>618</x:v>
      </x:c>
      <x:c r="G1228" s="84" t="n">
        <x:v>1</x:v>
      </x:c>
      <x:c r="H1228" s="84" t="str">
        <x:v>Superaquecimento</x:v>
      </x:c>
      <x:c r="I1228" s="84" t="n">
        <x:v>1246</x:v>
      </x:c>
      <x:c r="J1228" s="93" t="n">
        <x:v>27659.07</x:v>
      </x:c>
      <x:c r="K1228" s="85" t="str">
        <x:v>1º Turno</x:v>
      </x:c>
    </x:row>
    <x:row r="1229">
      <x:c r="A1229" s="83" t="n">
        <x:v>1228</x:v>
      </x:c>
      <x:c r="B1229" s="84" t="n">
        <x:v>89</x:v>
      </x:c>
      <x:c r="C1229" s="84" t="n">
        <x:v>1910</x:v>
      </x:c>
      <x:c r="D1229" s="89" t="n">
        <x:v>45468.82231481482</x:v>
      </x:c>
      <x:c r="E1229" s="89" t="n">
        <x:v>45469.10773148148</x:v>
      </x:c>
      <x:c r="F1229" s="84" t="n">
        <x:v>411</x:v>
      </x:c>
      <x:c r="G1229" s="84" t="n">
        <x:v>0</x:v>
      </x:c>
      <x:c r="H1229" s="84" t="str">
        <x:v>Falha elétrica</x:v>
      </x:c>
      <x:c r="I1229" s="84" t="n">
        <x:v>938</x:v>
      </x:c>
      <x:c r="J1229" s="93" t="n">
        <x:v>22604.05</x:v>
      </x:c>
      <x:c r="K1229" s="85" t="str">
        <x:v>2º Turno</x:v>
      </x:c>
    </x:row>
    <x:row r="1230">
      <x:c r="A1230" s="83" t="n">
        <x:v>1229</x:v>
      </x:c>
      <x:c r="B1230" s="84" t="n">
        <x:v>70</x:v>
      </x:c>
      <x:c r="C1230" s="84" t="n">
        <x:v>1911</x:v>
      </x:c>
      <x:c r="D1230" s="89" t="n">
        <x:v>45584.6525</x:v>
      </x:c>
      <x:c r="E1230" s="89" t="n">
        <x:v>45585.130277777775</x:v>
      </x:c>
      <x:c r="F1230" s="84" t="n">
        <x:v>688</x:v>
      </x:c>
      <x:c r="G1230" s="84" t="n">
        <x:v>0</x:v>
      </x:c>
      <x:c r="H1230" s="84" t="str">
        <x:v>Baixa pressão</x:v>
      </x:c>
      <x:c r="I1230" s="84" t="n">
        <x:v>1663</x:v>
      </x:c>
      <x:c r="J1230" s="93" t="n">
        <x:v>38337.01</x:v>
      </x:c>
      <x:c r="K1230" s="85" t="str">
        <x:v>2º Turno</x:v>
      </x:c>
    </x:row>
    <x:row r="1231">
      <x:c r="A1231" s="83" t="n">
        <x:v>1230</x:v>
      </x:c>
      <x:c r="B1231" s="84" t="n">
        <x:v>3</x:v>
      </x:c>
      <x:c r="C1231" s="84" t="n">
        <x:v>1913</x:v>
      </x:c>
      <x:c r="D1231" s="89" t="n">
        <x:v>45411.646319444444</x:v>
      </x:c>
      <x:c r="E1231" s="89" t="n">
        <x:v>45412.21368055556</x:v>
      </x:c>
      <x:c r="F1231" s="84" t="n">
        <x:v>817</x:v>
      </x:c>
      <x:c r="G1231" s="84" t="n">
        <x:v>1</x:v>
      </x:c>
      <x:c r="H1231" s="84" t="str">
        <x:v>Superaquecimento</x:v>
      </x:c>
      <x:c r="I1231" s="84" t="n">
        <x:v>1716</x:v>
      </x:c>
      <x:c r="J1231" s="93" t="n">
        <x:v>14579.88</x:v>
      </x:c>
      <x:c r="K1231" s="85" t="str">
        <x:v>1º Turno</x:v>
      </x:c>
    </x:row>
    <x:row r="1232">
      <x:c r="A1232" s="83" t="n">
        <x:v>1231</x:v>
      </x:c>
      <x:c r="B1232" s="84" t="n">
        <x:v>82</x:v>
      </x:c>
      <x:c r="C1232" s="84" t="n">
        <x:v>1914</x:v>
      </x:c>
      <x:c r="D1232" s="89" t="n">
        <x:v>45125.68157407407</x:v>
      </x:c>
      <x:c r="E1232" s="89" t="n">
        <x:v>45125.82046296296</x:v>
      </x:c>
      <x:c r="F1232" s="84" t="n">
        <x:v>200</x:v>
      </x:c>
      <x:c r="G1232" s="84" t="n">
        <x:v>0</x:v>
      </x:c>
      <x:c r="H1232" s="84" t="str">
        <x:v>Superaquecimento</x:v>
      </x:c>
      <x:c r="I1232" s="84" t="n">
        <x:v>293</x:v>
      </x:c>
      <x:c r="J1232" s="93" t="n">
        <x:v>7193.03</x:v>
      </x:c>
      <x:c r="K1232" s="85" t="str">
        <x:v>2º Turno</x:v>
      </x:c>
    </x:row>
    <x:row r="1233">
      <x:c r="A1233" s="83" t="n">
        <x:v>1232</x:v>
      </x:c>
      <x:c r="B1233" s="84" t="n">
        <x:v>65</x:v>
      </x:c>
      <x:c r="C1233" s="84" t="n">
        <x:v>1917</x:v>
      </x:c>
      <x:c r="D1233" s="89" t="n">
        <x:v>45041.37395833333</x:v>
      </x:c>
      <x:c r="E1233" s="89" t="n">
        <x:v>45041.72604166667</x:v>
      </x:c>
      <x:c r="F1233" s="84" t="n">
        <x:v>507</x:v>
      </x:c>
      <x:c r="G1233" s="84" t="n">
        <x:v>0</x:v>
      </x:c>
      <x:c r="H1233" s="84" t="str">
        <x:v>Ruído anormal</x:v>
      </x:c>
      <x:c r="I1233" s="84" t="n">
        <x:v>617</x:v>
      </x:c>
      <x:c r="J1233" s="93" t="n">
        <x:v>16211.88</x:v>
      </x:c>
      <x:c r="K1233" s="85" t="str">
        <x:v>2º Turno</x:v>
      </x:c>
    </x:row>
    <x:row r="1234">
      <x:c r="A1234" s="83" t="n">
        <x:v>1233</x:v>
      </x:c>
      <x:c r="B1234" s="84" t="n">
        <x:v>53</x:v>
      </x:c>
      <x:c r="C1234" s="84" t="n">
        <x:v>1918</x:v>
      </x:c>
      <x:c r="D1234" s="89" t="n">
        <x:v>45908.107766203706</x:v>
      </x:c>
      <x:c r="E1234" s="89" t="n">
        <x:v>45908.20915509259</x:v>
      </x:c>
      <x:c r="F1234" s="84" t="n">
        <x:v>146</x:v>
      </x:c>
      <x:c r="G1234" s="84" t="n">
        <x:v>1</x:v>
      </x:c>
      <x:c r="H1234" s="84" t="str">
        <x:v>Alarme intermitente</x:v>
      </x:c>
      <x:c r="I1234" s="84" t="n">
        <x:v>234</x:v>
      </x:c>
      <x:c r="J1234" s="93" t="n">
        <x:v>6899.12</x:v>
      </x:c>
      <x:c r="K1234" s="85" t="str">
        <x:v>2º Turno</x:v>
      </x:c>
    </x:row>
    <x:row r="1235">
      <x:c r="A1235" s="83" t="n">
        <x:v>1234</x:v>
      </x:c>
      <x:c r="B1235" s="84" t="n">
        <x:v>15</x:v>
      </x:c>
      <x:c r="C1235" s="84" t="n">
        <x:v>1922</x:v>
      </x:c>
      <x:c r="D1235" s="89" t="n">
        <x:v>45817.73112268518</x:v>
      </x:c>
      <x:c r="E1235" s="89" t="n">
        <x:v>45818.11584490741</x:v>
      </x:c>
      <x:c r="F1235" s="84" t="n">
        <x:v>554</x:v>
      </x:c>
      <x:c r="G1235" s="84" t="n">
        <x:v>0</x:v>
      </x:c>
      <x:c r="H1235" s="84" t="str">
        <x:v>Alarme intermitente</x:v>
      </x:c>
      <x:c r="I1235" s="84" t="n">
        <x:v>1108</x:v>
      </x:c>
      <x:c r="J1235" s="93" t="n">
        <x:v>27579.67</x:v>
      </x:c>
      <x:c r="K1235" s="85" t="str">
        <x:v>2º Turno</x:v>
      </x:c>
    </x:row>
    <x:row r="1236">
      <x:c r="A1236" s="83" t="n">
        <x:v>1235</x:v>
      </x:c>
      <x:c r="B1236" s="84" t="n">
        <x:v>6</x:v>
      </x:c>
      <x:c r="C1236" s="84" t="n">
        <x:v>1924</x:v>
      </x:c>
      <x:c r="D1236" s="89" t="n">
        <x:v>46009.76430555555</x:v>
      </x:c>
      <x:c r="E1236" s="89" t="n">
        <x:v>46010.12194444444</x:v>
      </x:c>
      <x:c r="F1236" s="84" t="n">
        <x:v>515</x:v>
      </x:c>
      <x:c r="G1236" s="84" t="n">
        <x:v>1</x:v>
      </x:c>
      <x:c r="H1236" s="84" t="str">
        <x:v>Superaquecimento</x:v>
      </x:c>
      <x:c r="I1236" s="84" t="n">
        <x:v>970</x:v>
      </x:c>
      <x:c r="J1236" s="93" t="n">
        <x:v>15598.9</x:v>
      </x:c>
      <x:c r="K1236" s="85" t="str">
        <x:v>2º Turno</x:v>
      </x:c>
    </x:row>
    <x:row r="1237">
      <x:c r="A1237" s="83" t="n">
        <x:v>1236</x:v>
      </x:c>
      <x:c r="B1237" s="84" t="n">
        <x:v>89</x:v>
      </x:c>
      <x:c r="C1237" s="84" t="n">
        <x:v>1925</x:v>
      </x:c>
      <x:c r="D1237" s="89" t="n">
        <x:v>44982.148310185185</x:v>
      </x:c>
      <x:c r="E1237" s="89" t="n">
        <x:v>44982.20525462963</x:v>
      </x:c>
      <x:c r="F1237" s="84" t="n">
        <x:v>82</x:v>
      </x:c>
      <x:c r="G1237" s="84" t="n">
        <x:v>1</x:v>
      </x:c>
      <x:c r="H1237" s="84" t="str">
        <x:v>Baixa pressão</x:v>
      </x:c>
      <x:c r="I1237" s="84" t="n">
        <x:v>108</x:v>
      </x:c>
      <x:c r="J1237" s="93" t="n">
        <x:v>2952.34</x:v>
      </x:c>
      <x:c r="K1237" s="85" t="str">
        <x:v>1º Turno</x:v>
      </x:c>
    </x:row>
    <x:row r="1238">
      <x:c r="A1238" s="83" t="n">
        <x:v>1237</x:v>
      </x:c>
      <x:c r="B1238" s="84" t="n">
        <x:v>6</x:v>
      </x:c>
      <x:c r="C1238" s="84" t="n">
        <x:v>1926</x:v>
      </x:c>
      <x:c r="D1238" s="89" t="n">
        <x:v>45773.38842592593</x:v>
      </x:c>
      <x:c r="E1238" s="89" t="n">
        <x:v>45773.88148148148</x:v>
      </x:c>
      <x:c r="F1238" s="84" t="n">
        <x:v>710</x:v>
      </x:c>
      <x:c r="G1238" s="84" t="n">
        <x:v>0</x:v>
      </x:c>
      <x:c r="H1238" s="84" t="str">
        <x:v>Ruído anormal</x:v>
      </x:c>
      <x:c r="I1238" s="84" t="n">
        <x:v>1172</x:v>
      </x:c>
      <x:c r="J1238" s="93" t="n">
        <x:v>19417.15</x:v>
      </x:c>
      <x:c r="K1238" s="85" t="str">
        <x:v>1º Turno</x:v>
      </x:c>
    </x:row>
    <x:row r="1239">
      <x:c r="A1239" s="83" t="n">
        <x:v>1238</x:v>
      </x:c>
      <x:c r="B1239" s="84" t="n">
        <x:v>79</x:v>
      </x:c>
      <x:c r="C1239" s="84" t="n">
        <x:v>1927</x:v>
      </x:c>
      <x:c r="D1239" s="89" t="n">
        <x:v>45926.977789351855</x:v>
      </x:c>
      <x:c r="E1239" s="89" t="n">
        <x:v>45927.19237268518</x:v>
      </x:c>
      <x:c r="F1239" s="84" t="n">
        <x:v>309</x:v>
      </x:c>
      <x:c r="G1239" s="84" t="n">
        <x:v>1</x:v>
      </x:c>
      <x:c r="H1239" s="84" t="str">
        <x:v>Vazamento</x:v>
      </x:c>
      <x:c r="I1239" s="84" t="n">
        <x:v>700</x:v>
      </x:c>
      <x:c r="J1239" s="93" t="n">
        <x:v>11703.08</x:v>
      </x:c>
      <x:c r="K1239" s="85" t="str">
        <x:v>3º Turno</x:v>
      </x:c>
    </x:row>
    <x:row r="1240">
      <x:c r="A1240" s="83" t="n">
        <x:v>1239</x:v>
      </x:c>
      <x:c r="B1240" s="84" t="n">
        <x:v>55</x:v>
      </x:c>
      <x:c r="C1240" s="84" t="n">
        <x:v>1929</x:v>
      </x:c>
      <x:c r="D1240" s="89" t="n">
        <x:v>45048.612974537034</x:v>
      </x:c>
      <x:c r="E1240" s="89" t="n">
        <x:v>45048.90116898148</x:v>
      </x:c>
      <x:c r="F1240" s="84" t="n">
        <x:v>415</x:v>
      </x:c>
      <x:c r="G1240" s="84" t="n">
        <x:v>1</x:v>
      </x:c>
      <x:c r="H1240" s="84" t="str">
        <x:v>Falha elétrica</x:v>
      </x:c>
      <x:c r="I1240" s="84" t="n">
        <x:v>643</x:v>
      </x:c>
      <x:c r="J1240" s="93" t="n">
        <x:v>20021.59</x:v>
      </x:c>
      <x:c r="K1240" s="85" t="str">
        <x:v>3º Turno</x:v>
      </x:c>
    </x:row>
    <x:row r="1241">
      <x:c r="A1241" s="83" t="n">
        <x:v>1240</x:v>
      </x:c>
      <x:c r="B1241" s="84" t="n">
        <x:v>42</x:v>
      </x:c>
      <x:c r="C1241" s="84" t="n">
        <x:v>1930</x:v>
      </x:c>
      <x:c r="D1241" s="89" t="n">
        <x:v>45218.350486111114</x:v>
      </x:c>
      <x:c r="E1241" s="89" t="n">
        <x:v>45218.563680555555</x:v>
      </x:c>
      <x:c r="F1241" s="84" t="n">
        <x:v>307</x:v>
      </x:c>
      <x:c r="G1241" s="84" t="n">
        <x:v>1</x:v>
      </x:c>
      <x:c r="H1241" s="84" t="str">
        <x:v>Desalinhamento</x:v>
      </x:c>
      <x:c r="I1241" s="84" t="n">
        <x:v>742</x:v>
      </x:c>
      <x:c r="J1241" s="93" t="n">
        <x:v>17777.32</x:v>
      </x:c>
      <x:c r="K1241" s="85" t="str">
        <x:v>1º Turno</x:v>
      </x:c>
    </x:row>
    <x:row r="1242">
      <x:c r="A1242" s="83" t="n">
        <x:v>1241</x:v>
      </x:c>
      <x:c r="B1242" s="84" t="n">
        <x:v>62</x:v>
      </x:c>
      <x:c r="C1242" s="84" t="n">
        <x:v>1932</x:v>
      </x:c>
      <x:c r="D1242" s="89" t="n">
        <x:v>45770.10965277778</x:v>
      </x:c>
      <x:c r="E1242" s="89" t="n">
        <x:v>45770.406875</x:v>
      </x:c>
      <x:c r="F1242" s="84" t="n">
        <x:v>428</x:v>
      </x:c>
      <x:c r="G1242" s="84" t="n">
        <x:v>0</x:v>
      </x:c>
      <x:c r="H1242" s="84" t="str">
        <x:v>Desalinhamento</x:v>
      </x:c>
      <x:c r="I1242" s="84" t="n">
        <x:v>663</x:v>
      </x:c>
      <x:c r="J1242" s="93" t="n">
        <x:v>8604.03</x:v>
      </x:c>
      <x:c r="K1242" s="85" t="str">
        <x:v>3º Turno</x:v>
      </x:c>
    </x:row>
    <x:row r="1243">
      <x:c r="A1243" s="83" t="n">
        <x:v>1242</x:v>
      </x:c>
      <x:c r="B1243" s="84" t="n">
        <x:v>10</x:v>
      </x:c>
      <x:c r="C1243" s="84" t="n">
        <x:v>1933</x:v>
      </x:c>
      <x:c r="D1243" s="89" t="n">
        <x:v>45394.689467592594</x:v>
      </x:c>
      <x:c r="E1243" s="89" t="n">
        <x:v>45395.16863425926</x:v>
      </x:c>
      <x:c r="F1243" s="84" t="n">
        <x:v>690</x:v>
      </x:c>
      <x:c r="G1243" s="84" t="n">
        <x:v>1</x:v>
      </x:c>
      <x:c r="H1243" s="84" t="str">
        <x:v>Superaquecimento</x:v>
      </x:c>
      <x:c r="I1243" s="84" t="n">
        <x:v>886</x:v>
      </x:c>
      <x:c r="J1243" s="93" t="n">
        <x:v>35436.28</x:v>
      </x:c>
      <x:c r="K1243" s="85" t="str">
        <x:v>2º Turno</x:v>
      </x:c>
    </x:row>
    <x:row r="1244">
      <x:c r="A1244" s="83" t="n">
        <x:v>1243</x:v>
      </x:c>
      <x:c r="B1244" s="84" t="n">
        <x:v>69</x:v>
      </x:c>
      <x:c r="C1244" s="84" t="n">
        <x:v>1934</x:v>
      </x:c>
      <x:c r="D1244" s="89" t="n">
        <x:v>45394.90224537037</x:v>
      </x:c>
      <x:c r="E1244" s="89" t="n">
        <x:v>45395.245300925926</x:v>
      </x:c>
      <x:c r="F1244" s="84" t="n">
        <x:v>494</x:v>
      </x:c>
      <x:c r="G1244" s="84" t="n">
        <x:v>1</x:v>
      </x:c>
      <x:c r="H1244" s="84" t="str">
        <x:v>Desalinhamento</x:v>
      </x:c>
      <x:c r="I1244" s="84" t="n">
        <x:v>848</x:v>
      </x:c>
      <x:c r="J1244" s="93" t="n">
        <x:v>17231.68</x:v>
      </x:c>
      <x:c r="K1244" s="85" t="str">
        <x:v>3º Turno</x:v>
      </x:c>
    </x:row>
    <x:row r="1245">
      <x:c r="A1245" s="83" t="n">
        <x:v>1244</x:v>
      </x:c>
      <x:c r="B1245" s="84" t="n">
        <x:v>7</x:v>
      </x:c>
      <x:c r="C1245" s="84" t="n">
        <x:v>1935</x:v>
      </x:c>
      <x:c r="D1245" s="89" t="n">
        <x:v>45345.01905092593</x:v>
      </x:c>
      <x:c r="E1245" s="89" t="n">
        <x:v>45345.50655092593</x:v>
      </x:c>
      <x:c r="F1245" s="84" t="n">
        <x:v>702</x:v>
      </x:c>
      <x:c r="G1245" s="84" t="n">
        <x:v>0</x:v>
      </x:c>
      <x:c r="H1245" s="84" t="str">
        <x:v>Baixa pressão</x:v>
      </x:c>
      <x:c r="I1245" s="84" t="n">
        <x:v>878</x:v>
      </x:c>
      <x:c r="J1245" s="93" t="n">
        <x:v>18994.72</x:v>
      </x:c>
      <x:c r="K1245" s="85" t="str">
        <x:v>3º Turno</x:v>
      </x:c>
    </x:row>
    <x:row r="1246">
      <x:c r="A1246" s="83" t="n">
        <x:v>1245</x:v>
      </x:c>
      <x:c r="B1246" s="84" t="n">
        <x:v>62</x:v>
      </x:c>
      <x:c r="C1246" s="84" t="n">
        <x:v>1936</x:v>
      </x:c>
      <x:c r="D1246" s="89" t="n">
        <x:v>45731.64962962963</x:v>
      </x:c>
      <x:c r="E1246" s="89" t="n">
        <x:v>45732.03157407408</x:v>
      </x:c>
      <x:c r="F1246" s="84" t="n">
        <x:v>550</x:v>
      </x:c>
      <x:c r="G1246" s="84" t="n">
        <x:v>1</x:v>
      </x:c>
      <x:c r="H1246" s="84" t="str">
        <x:v>Superaquecimento</x:v>
      </x:c>
      <x:c r="I1246" s="84" t="n">
        <x:v>990</x:v>
      </x:c>
      <x:c r="J1246" s="93" t="n">
        <x:v>27237.96</x:v>
      </x:c>
      <x:c r="K1246" s="85" t="str">
        <x:v>2º Turno</x:v>
      </x:c>
    </x:row>
    <x:row r="1247">
      <x:c r="A1247" s="83" t="n">
        <x:v>1246</x:v>
      </x:c>
      <x:c r="B1247" s="84" t="n">
        <x:v>29</x:v>
      </x:c>
      <x:c r="C1247" s="84" t="n">
        <x:v>1937</x:v>
      </x:c>
      <x:c r="D1247" s="89" t="n">
        <x:v>45222.511608796296</x:v>
      </x:c>
      <x:c r="E1247" s="89" t="n">
        <x:v>45222.997719907406</x:v>
      </x:c>
      <x:c r="F1247" s="84" t="n">
        <x:v>700</x:v>
      </x:c>
      <x:c r="G1247" s="84" t="n">
        <x:v>1</x:v>
      </x:c>
      <x:c r="H1247" s="84" t="str">
        <x:v>Ruído anormal</x:v>
      </x:c>
      <x:c r="I1247" s="84" t="n">
        <x:v>1202</x:v>
      </x:c>
      <x:c r="J1247" s="93" t="n">
        <x:v>26601.34</x:v>
      </x:c>
      <x:c r="K1247" s="85" t="str">
        <x:v>2º Turno</x:v>
      </x:c>
    </x:row>
    <x:row r="1248">
      <x:c r="A1248" s="83" t="n">
        <x:v>1247</x:v>
      </x:c>
      <x:c r="B1248" s="84" t="n">
        <x:v>50</x:v>
      </x:c>
      <x:c r="C1248" s="84" t="n">
        <x:v>1938</x:v>
      </x:c>
      <x:c r="D1248" s="89" t="n">
        <x:v>45846.43127314815</x:v>
      </x:c>
      <x:c r="E1248" s="89" t="n">
        <x:v>45846.588912037034</x:v>
      </x:c>
      <x:c r="F1248" s="84" t="n">
        <x:v>227</x:v>
      </x:c>
      <x:c r="G1248" s="84" t="n">
        <x:v>0</x:v>
      </x:c>
      <x:c r="H1248" s="84" t="str">
        <x:v>Alarme intermitente</x:v>
      </x:c>
      <x:c r="I1248" s="84" t="n">
        <x:v>549</x:v>
      </x:c>
      <x:c r="J1248" s="93" t="n">
        <x:v>3731.98</x:v>
      </x:c>
      <x:c r="K1248" s="85" t="str">
        <x:v>1º Turno</x:v>
      </x:c>
    </x:row>
    <x:row r="1249">
      <x:c r="A1249" s="83" t="n">
        <x:v>1248</x:v>
      </x:c>
      <x:c r="B1249" s="84" t="n">
        <x:v>4</x:v>
      </x:c>
      <x:c r="C1249" s="84" t="n">
        <x:v>1939</x:v>
      </x:c>
      <x:c r="D1249" s="89" t="n">
        <x:v>45814.27962962963</x:v>
      </x:c>
      <x:c r="E1249" s="89" t="n">
        <x:v>45814.36157407407</x:v>
      </x:c>
      <x:c r="F1249" s="84" t="n">
        <x:v>118</x:v>
      </x:c>
      <x:c r="G1249" s="84" t="n">
        <x:v>0</x:v>
      </x:c>
      <x:c r="H1249" s="84" t="str">
        <x:v>Alarme intermitente</x:v>
      </x:c>
      <x:c r="I1249" s="84" t="n">
        <x:v>281</x:v>
      </x:c>
      <x:c r="J1249" s="93" t="n">
        <x:v>2376.77</x:v>
      </x:c>
      <x:c r="K1249" s="85" t="str">
        <x:v>2º Turno</x:v>
      </x:c>
    </x:row>
    <x:row r="1250">
      <x:c r="A1250" s="83" t="n">
        <x:v>1249</x:v>
      </x:c>
      <x:c r="B1250" s="84" t="n">
        <x:v>82</x:v>
      </x:c>
      <x:c r="C1250" s="84" t="n">
        <x:v>1940</x:v>
      </x:c>
      <x:c r="D1250" s="89" t="n">
        <x:v>45448.7419212963</x:v>
      </x:c>
      <x:c r="E1250" s="89" t="n">
        <x:v>45448.79956018519</x:v>
      </x:c>
      <x:c r="F1250" s="84" t="n">
        <x:v>83</x:v>
      </x:c>
      <x:c r="G1250" s="84" t="n">
        <x:v>1</x:v>
      </x:c>
      <x:c r="H1250" s="84" t="str">
        <x:v>Superaquecimento</x:v>
      </x:c>
      <x:c r="I1250" s="84" t="n">
        <x:v>102</x:v>
      </x:c>
      <x:c r="J1250" s="93" t="n">
        <x:v>4800.92</x:v>
      </x:c>
      <x:c r="K1250" s="85" t="str">
        <x:v>1º Turno</x:v>
      </x:c>
    </x:row>
    <x:row r="1251">
      <x:c r="A1251" s="83" t="n">
        <x:v>1250</x:v>
      </x:c>
      <x:c r="B1251" s="84" t="n">
        <x:v>46</x:v>
      </x:c>
      <x:c r="C1251" s="84" t="n">
        <x:v>1943</x:v>
      </x:c>
      <x:c r="D1251" s="89" t="n">
        <x:v>45399.65167824074</x:v>
      </x:c>
      <x:c r="E1251" s="89" t="n">
        <x:v>45400.06417824074</x:v>
      </x:c>
      <x:c r="F1251" s="84" t="n">
        <x:v>594</x:v>
      </x:c>
      <x:c r="G1251" s="84" t="n">
        <x:v>0</x:v>
      </x:c>
      <x:c r="H1251" s="84" t="str">
        <x:v>Desalinhamento</x:v>
      </x:c>
      <x:c r="I1251" s="84" t="n">
        <x:v>1386</x:v>
      </x:c>
      <x:c r="J1251" s="93" t="n">
        <x:v>30709.45</x:v>
      </x:c>
      <x:c r="K1251" s="85" t="str">
        <x:v>2º Turno</x:v>
      </x:c>
    </x:row>
    <x:row r="1252">
      <x:c r="A1252" s="83" t="n">
        <x:v>1251</x:v>
      </x:c>
      <x:c r="B1252" s="84" t="n">
        <x:v>44</x:v>
      </x:c>
      <x:c r="C1252" s="84" t="n">
        <x:v>1944</x:v>
      </x:c>
      <x:c r="D1252" s="89" t="n">
        <x:v>45453.95282407408</x:v>
      </x:c>
      <x:c r="E1252" s="89" t="n">
        <x:v>45454.411157407405</x:v>
      </x:c>
      <x:c r="F1252" s="84" t="n">
        <x:v>660</x:v>
      </x:c>
      <x:c r="G1252" s="84" t="n">
        <x:v>1</x:v>
      </x:c>
      <x:c r="H1252" s="84" t="str">
        <x:v>Vazamento</x:v>
      </x:c>
      <x:c r="I1252" s="84" t="n">
        <x:v>1562</x:v>
      </x:c>
      <x:c r="J1252" s="93" t="n">
        <x:v>26436.94</x:v>
      </x:c>
      <x:c r="K1252" s="85" t="str">
        <x:v>3º Turno</x:v>
      </x:c>
    </x:row>
    <x:row r="1253">
      <x:c r="A1253" s="83" t="n">
        <x:v>1252</x:v>
      </x:c>
      <x:c r="B1253" s="84" t="n">
        <x:v>70</x:v>
      </x:c>
      <x:c r="C1253" s="84" t="n">
        <x:v>1946</x:v>
      </x:c>
      <x:c r="D1253" s="89" t="n">
        <x:v>45689.518379629626</x:v>
      </x:c>
      <x:c r="E1253" s="89" t="n">
        <x:v>45689.68226851852</x:v>
      </x:c>
      <x:c r="F1253" s="84" t="n">
        <x:v>236</x:v>
      </x:c>
      <x:c r="G1253" s="84" t="n">
        <x:v>0</x:v>
      </x:c>
      <x:c r="H1253" s="84" t="str">
        <x:v>Alarme intermitente</x:v>
      </x:c>
      <x:c r="I1253" s="84" t="n">
        <x:v>244</x:v>
      </x:c>
      <x:c r="J1253" s="93" t="n">
        <x:v>12091.04</x:v>
      </x:c>
      <x:c r="K1253" s="85" t="str">
        <x:v>3º Turno</x:v>
      </x:c>
    </x:row>
    <x:row r="1254">
      <x:c r="A1254" s="83" t="n">
        <x:v>1253</x:v>
      </x:c>
      <x:c r="B1254" s="84" t="n">
        <x:v>53</x:v>
      </x:c>
      <x:c r="C1254" s="84" t="n">
        <x:v>1947</x:v>
      </x:c>
      <x:c r="D1254" s="89" t="n">
        <x:v>45803.862592592595</x:v>
      </x:c>
      <x:c r="E1254" s="89" t="n">
        <x:v>45804.48134259259</x:v>
      </x:c>
      <x:c r="F1254" s="84" t="n">
        <x:v>891</x:v>
      </x:c>
      <x:c r="G1254" s="84" t="n">
        <x:v>0</x:v>
      </x:c>
      <x:c r="H1254" s="84" t="str">
        <x:v>Desalinhamento</x:v>
      </x:c>
      <x:c r="I1254" s="84" t="n">
        <x:v>1381</x:v>
      </x:c>
      <x:c r="J1254" s="93" t="n">
        <x:v>38351.08</x:v>
      </x:c>
      <x:c r="K1254" s="85" t="str">
        <x:v>2º Turno</x:v>
      </x:c>
    </x:row>
    <x:row r="1255">
      <x:c r="A1255" s="83" t="n">
        <x:v>1254</x:v>
      </x:c>
      <x:c r="B1255" s="84" t="n">
        <x:v>70</x:v>
      </x:c>
      <x:c r="C1255" s="84" t="n">
        <x:v>1948</x:v>
      </x:c>
      <x:c r="D1255" s="89" t="n">
        <x:v>45975.69091435185</x:v>
      </x:c>
      <x:c r="E1255" s="89" t="n">
        <x:v>45975.78744212963</x:v>
      </x:c>
      <x:c r="F1255" s="84" t="n">
        <x:v>139</x:v>
      </x:c>
      <x:c r="G1255" s="84" t="n">
        <x:v>1</x:v>
      </x:c>
      <x:c r="H1255" s="84" t="str">
        <x:v>Baixa pressão</x:v>
      </x:c>
      <x:c r="I1255" s="84" t="n">
        <x:v>213</x:v>
      </x:c>
      <x:c r="J1255" s="93" t="n">
        <x:v>7565.82</x:v>
      </x:c>
      <x:c r="K1255" s="85" t="str">
        <x:v>2º Turno</x:v>
      </x:c>
    </x:row>
    <x:row r="1256">
      <x:c r="A1256" s="83" t="n">
        <x:v>1255</x:v>
      </x:c>
      <x:c r="B1256" s="84" t="n">
        <x:v>86</x:v>
      </x:c>
      <x:c r="C1256" s="84" t="n">
        <x:v>1949</x:v>
      </x:c>
      <x:c r="D1256" s="89" t="n">
        <x:v>45276.51938657407</x:v>
      </x:c>
      <x:c r="E1256" s="89" t="n">
        <x:v>45277.13049768518</x:v>
      </x:c>
      <x:c r="F1256" s="84" t="n">
        <x:v>880</x:v>
      </x:c>
      <x:c r="G1256" s="84" t="n">
        <x:v>1</x:v>
      </x:c>
      <x:c r="H1256" s="84" t="str">
        <x:v>Desalinhamento</x:v>
      </x:c>
      <x:c r="I1256" s="84" t="n">
        <x:v>1276</x:v>
      </x:c>
      <x:c r="J1256" s="93" t="n">
        <x:v>14129.94</x:v>
      </x:c>
      <x:c r="K1256" s="85" t="str">
        <x:v>3º Turno</x:v>
      </x:c>
    </x:row>
    <x:row r="1257">
      <x:c r="A1257" s="83" t="n">
        <x:v>1256</x:v>
      </x:c>
      <x:c r="B1257" s="84" t="n">
        <x:v>46</x:v>
      </x:c>
      <x:c r="C1257" s="84" t="n">
        <x:v>1950</x:v>
      </x:c>
      <x:c r="D1257" s="89" t="n">
        <x:v>45370.35555555556</x:v>
      </x:c>
      <x:c r="E1257" s="89" t="n">
        <x:v>45370.95972222222</x:v>
      </x:c>
      <x:c r="F1257" s="84" t="n">
        <x:v>870</x:v>
      </x:c>
      <x:c r="G1257" s="84" t="n">
        <x:v>1</x:v>
      </x:c>
      <x:c r="H1257" s="84" t="str">
        <x:v>Desalinhamento</x:v>
      </x:c>
      <x:c r="I1257" s="84" t="n">
        <x:v>1740</x:v>
      </x:c>
      <x:c r="J1257" s="93" t="n">
        <x:v>36538.37</x:v>
      </x:c>
      <x:c r="K1257" s="85" t="str">
        <x:v>1º Turno</x:v>
      </x:c>
    </x:row>
    <x:row r="1258">
      <x:c r="A1258" s="83" t="n">
        <x:v>1257</x:v>
      </x:c>
      <x:c r="B1258" s="84" t="n">
        <x:v>12</x:v>
      </x:c>
      <x:c r="C1258" s="84" t="n">
        <x:v>1951</x:v>
      </x:c>
      <x:c r="D1258" s="89" t="n">
        <x:v>45740.08391203704</x:v>
      </x:c>
      <x:c r="E1258" s="89" t="n">
        <x:v>45740.1193287037</x:v>
      </x:c>
      <x:c r="F1258" s="84" t="n">
        <x:v>51</x:v>
      </x:c>
      <x:c r="G1258" s="84" t="n">
        <x:v>1</x:v>
      </x:c>
      <x:c r="H1258" s="84" t="str">
        <x:v>Alarme intermitente</x:v>
      </x:c>
      <x:c r="I1258" s="84" t="n">
        <x:v>110</x:v>
      </x:c>
      <x:c r="J1258" s="93" t="n">
        <x:v>2974.4</x:v>
      </x:c>
      <x:c r="K1258" s="85" t="str">
        <x:v>1º Turno</x:v>
      </x:c>
    </x:row>
    <x:row r="1259">
      <x:c r="A1259" s="83" t="n">
        <x:v>1258</x:v>
      </x:c>
      <x:c r="B1259" s="84" t="n">
        <x:v>29</x:v>
      </x:c>
      <x:c r="C1259" s="84" t="n">
        <x:v>1952</x:v>
      </x:c>
      <x:c r="D1259" s="89" t="n">
        <x:v>45168.79133101852</x:v>
      </x:c>
      <x:c r="E1259" s="89" t="n">
        <x:v>45169.18785879629</x:v>
      </x:c>
      <x:c r="F1259" s="84" t="n">
        <x:v>571</x:v>
      </x:c>
      <x:c r="G1259" s="84" t="n">
        <x:v>1</x:v>
      </x:c>
      <x:c r="H1259" s="84" t="str">
        <x:v>Falha elétrica</x:v>
      </x:c>
      <x:c r="I1259" s="84" t="n">
        <x:v>857</x:v>
      </x:c>
      <x:c r="J1259" s="93" t="n">
        <x:v>28827.11</x:v>
      </x:c>
      <x:c r="K1259" s="85" t="str">
        <x:v>2º Turno</x:v>
      </x:c>
    </x:row>
    <x:row r="1260">
      <x:c r="A1260" s="83" t="n">
        <x:v>1259</x:v>
      </x:c>
      <x:c r="B1260" s="84" t="n">
        <x:v>76</x:v>
      </x:c>
      <x:c r="C1260" s="84" t="n">
        <x:v>1953</x:v>
      </x:c>
      <x:c r="D1260" s="89" t="n">
        <x:v>45952.8690162037</x:v>
      </x:c>
      <x:c r="E1260" s="89" t="n">
        <x:v>45953.30721064815</x:v>
      </x:c>
      <x:c r="F1260" s="84" t="n">
        <x:v>631</x:v>
      </x:c>
      <x:c r="G1260" s="84" t="n">
        <x:v>0</x:v>
      </x:c>
      <x:c r="H1260" s="84" t="str">
        <x:v>Vazamento</x:v>
      </x:c>
      <x:c r="I1260" s="84" t="n">
        <x:v>652</x:v>
      </x:c>
      <x:c r="J1260" s="93" t="n">
        <x:v>14062.64</x:v>
      </x:c>
      <x:c r="K1260" s="85" t="str">
        <x:v>2º Turno</x:v>
      </x:c>
    </x:row>
    <x:row r="1261">
      <x:c r="A1261" s="83" t="n">
        <x:v>1260</x:v>
      </x:c>
      <x:c r="B1261" s="84" t="n">
        <x:v>46</x:v>
      </x:c>
      <x:c r="C1261" s="84" t="n">
        <x:v>1954</x:v>
      </x:c>
      <x:c r="D1261" s="89" t="n">
        <x:v>45686.91134259259</x:v>
      </x:c>
      <x:c r="E1261" s="89" t="n">
        <x:v>45687.29467592593</x:v>
      </x:c>
      <x:c r="F1261" s="84" t="n">
        <x:v>552</x:v>
      </x:c>
      <x:c r="G1261" s="84" t="n">
        <x:v>0</x:v>
      </x:c>
      <x:c r="H1261" s="84" t="str">
        <x:v>Superaquecimento</x:v>
      </x:c>
      <x:c r="I1261" s="84" t="n">
        <x:v>570</x:v>
      </x:c>
      <x:c r="J1261" s="93" t="n">
        <x:v>10556.41</x:v>
      </x:c>
      <x:c r="K1261" s="85" t="str">
        <x:v>2º Turno</x:v>
      </x:c>
    </x:row>
    <x:row r="1262">
      <x:c r="A1262" s="83" t="n">
        <x:v>1261</x:v>
      </x:c>
      <x:c r="B1262" s="84" t="n">
        <x:v>62</x:v>
      </x:c>
      <x:c r="C1262" s="84" t="n">
        <x:v>1955</x:v>
      </x:c>
      <x:c r="D1262" s="89" t="n">
        <x:v>45140.60733796296</x:v>
      </x:c>
      <x:c r="E1262" s="89" t="n">
        <x:v>45140.682337962964</x:v>
      </x:c>
      <x:c r="F1262" s="84" t="n">
        <x:v>108</x:v>
      </x:c>
      <x:c r="G1262" s="84" t="n">
        <x:v>1</x:v>
      </x:c>
      <x:c r="H1262" s="84" t="str">
        <x:v>Ruído anormal</x:v>
      </x:c>
      <x:c r="I1262" s="84" t="n">
        <x:v>259</x:v>
      </x:c>
      <x:c r="J1262" s="93" t="n">
        <x:v>2930.27</x:v>
      </x:c>
      <x:c r="K1262" s="85" t="str">
        <x:v>1º Turno</x:v>
      </x:c>
    </x:row>
    <x:row r="1263">
      <x:c r="A1263" s="83" t="n">
        <x:v>1262</x:v>
      </x:c>
      <x:c r="B1263" s="84" t="n">
        <x:v>77</x:v>
      </x:c>
      <x:c r="C1263" s="84" t="n">
        <x:v>1956</x:v>
      </x:c>
      <x:c r="D1263" s="89" t="n">
        <x:v>45089.69596064815</x:v>
      </x:c>
      <x:c r="E1263" s="89" t="n">
        <x:v>45090.29248842593</x:v>
      </x:c>
      <x:c r="F1263" s="84" t="n">
        <x:v>859</x:v>
      </x:c>
      <x:c r="G1263" s="84" t="n">
        <x:v>0</x:v>
      </x:c>
      <x:c r="H1263" s="84" t="str">
        <x:v>Ruído anormal</x:v>
      </x:c>
      <x:c r="I1263" s="84" t="n">
        <x:v>1904</x:v>
      </x:c>
      <x:c r="J1263" s="93" t="n">
        <x:v>31578.86</x:v>
      </x:c>
      <x:c r="K1263" s="85" t="str">
        <x:v>1º Turno</x:v>
      </x:c>
    </x:row>
    <x:row r="1264">
      <x:c r="A1264" s="83" t="n">
        <x:v>1263</x:v>
      </x:c>
      <x:c r="B1264" s="84" t="n">
        <x:v>49</x:v>
      </x:c>
      <x:c r="C1264" s="84" t="n">
        <x:v>1957</x:v>
      </x:c>
      <x:c r="D1264" s="89" t="n">
        <x:v>45939.29206018519</x:v>
      </x:c>
      <x:c r="E1264" s="89" t="n">
        <x:v>45939.31219907408</x:v>
      </x:c>
      <x:c r="F1264" s="84" t="n">
        <x:v>29</x:v>
      </x:c>
      <x:c r="G1264" s="84" t="n">
        <x:v>1</x:v>
      </x:c>
      <x:c r="H1264" s="84" t="str">
        <x:v>Ruído anormal</x:v>
      </x:c>
      <x:c r="I1264" s="84" t="n">
        <x:v>56</x:v>
      </x:c>
      <x:c r="J1264" s="93" t="n">
        <x:v>604.4</x:v>
      </x:c>
      <x:c r="K1264" s="85" t="str">
        <x:v>1º Turno</x:v>
      </x:c>
    </x:row>
    <x:row r="1265">
      <x:c r="A1265" s="83" t="n">
        <x:v>1264</x:v>
      </x:c>
      <x:c r="B1265" s="84" t="n">
        <x:v>75</x:v>
      </x:c>
      <x:c r="C1265" s="84" t="n">
        <x:v>1958</x:v>
      </x:c>
      <x:c r="D1265" s="89" t="n">
        <x:v>45615.100694444445</x:v>
      </x:c>
      <x:c r="E1265" s="89" t="n">
        <x:v>45615.35902777778</x:v>
      </x:c>
      <x:c r="F1265" s="84" t="n">
        <x:v>372</x:v>
      </x:c>
      <x:c r="G1265" s="84" t="n">
        <x:v>0</x:v>
      </x:c>
      <x:c r="H1265" s="84" t="str">
        <x:v>Falha elétrica</x:v>
      </x:c>
      <x:c r="I1265" s="84" t="n">
        <x:v>918</x:v>
      </x:c>
      <x:c r="J1265" s="93" t="n">
        <x:v>19253.5</x:v>
      </x:c>
      <x:c r="K1265" s="85" t="str">
        <x:v>3º Turno</x:v>
      </x:c>
    </x:row>
    <x:row r="1266">
      <x:c r="A1266" s="83" t="n">
        <x:v>1265</x:v>
      </x:c>
      <x:c r="B1266" s="84" t="n">
        <x:v>79</x:v>
      </x:c>
      <x:c r="C1266" s="84" t="n">
        <x:v>1959</x:v>
      </x:c>
      <x:c r="D1266" s="89" t="n">
        <x:v>45049.32082175926</x:v>
      </x:c>
      <x:c r="E1266" s="89" t="n">
        <x:v>45049.57776620371</x:v>
      </x:c>
      <x:c r="F1266" s="84" t="n">
        <x:v>370</x:v>
      </x:c>
      <x:c r="G1266" s="84" t="n">
        <x:v>1</x:v>
      </x:c>
      <x:c r="H1266" s="84" t="str">
        <x:v>Ruído anormal</x:v>
      </x:c>
      <x:c r="I1266" s="84" t="n">
        <x:v>660</x:v>
      </x:c>
      <x:c r="J1266" s="93" t="n">
        <x:v>12531.7</x:v>
      </x:c>
      <x:c r="K1266" s="85" t="str">
        <x:v>2º Turno</x:v>
      </x:c>
    </x:row>
    <x:row r="1267">
      <x:c r="A1267" s="83" t="n">
        <x:v>1266</x:v>
      </x:c>
      <x:c r="B1267" s="84" t="n">
        <x:v>9</x:v>
      </x:c>
      <x:c r="C1267" s="84" t="n">
        <x:v>1960</x:v>
      </x:c>
      <x:c r="D1267" s="89" t="n">
        <x:v>45249.30173611111</x:v>
      </x:c>
      <x:c r="E1267" s="89" t="n">
        <x:v>45249.80034722222</x:v>
      </x:c>
      <x:c r="F1267" s="84" t="n">
        <x:v>718</x:v>
      </x:c>
      <x:c r="G1267" s="84" t="n">
        <x:v>1</x:v>
      </x:c>
      <x:c r="H1267" s="84" t="str">
        <x:v>Vazamento</x:v>
      </x:c>
      <x:c r="I1267" s="84" t="n">
        <x:v>1627</x:v>
      </x:c>
      <x:c r="J1267" s="93" t="n">
        <x:v>11674.42</x:v>
      </x:c>
      <x:c r="K1267" s="85" t="str">
        <x:v>1º Turno</x:v>
      </x:c>
    </x:row>
    <x:row r="1268">
      <x:c r="A1268" s="83" t="n">
        <x:v>1267</x:v>
      </x:c>
      <x:c r="B1268" s="84" t="n">
        <x:v>12</x:v>
      </x:c>
      <x:c r="C1268" s="84" t="n">
        <x:v>1961</x:v>
      </x:c>
      <x:c r="D1268" s="89" t="n">
        <x:v>45330.83378472222</x:v>
      </x:c>
      <x:c r="E1268" s="89" t="n">
        <x:v>45330.89420138889</x:v>
      </x:c>
      <x:c r="F1268" s="84" t="n">
        <x:v>87</x:v>
      </x:c>
      <x:c r="G1268" s="84" t="n">
        <x:v>1</x:v>
      </x:c>
      <x:c r="H1268" s="84" t="str">
        <x:v>Alarme intermitente</x:v>
      </x:c>
      <x:c r="I1268" s="84" t="n">
        <x:v>103</x:v>
      </x:c>
      <x:c r="J1268" s="93" t="n">
        <x:v>2473.88</x:v>
      </x:c>
      <x:c r="K1268" s="85" t="str">
        <x:v>1º Turno</x:v>
      </x:c>
    </x:row>
    <x:row r="1269">
      <x:c r="A1269" s="83" t="n">
        <x:v>1268</x:v>
      </x:c>
      <x:c r="B1269" s="84" t="n">
        <x:v>33</x:v>
      </x:c>
      <x:c r="C1269" s="84" t="n">
        <x:v>1962</x:v>
      </x:c>
      <x:c r="D1269" s="89" t="n">
        <x:v>45513.766168981485</x:v>
      </x:c>
      <x:c r="E1269" s="89" t="n">
        <x:v>45514.090474537035</x:v>
      </x:c>
      <x:c r="F1269" s="84" t="n">
        <x:v>467</x:v>
      </x:c>
      <x:c r="G1269" s="84" t="n">
        <x:v>1</x:v>
      </x:c>
      <x:c r="H1269" s="84" t="str">
        <x:v>Ruído anormal</x:v>
      </x:c>
      <x:c r="I1269" s="84" t="n">
        <x:v>506</x:v>
      </x:c>
      <x:c r="J1269" s="93" t="n">
        <x:v>26318.6</x:v>
      </x:c>
      <x:c r="K1269" s="85" t="str">
        <x:v>2º Turno</x:v>
      </x:c>
    </x:row>
    <x:row r="1270">
      <x:c r="A1270" s="83" t="n">
        <x:v>1269</x:v>
      </x:c>
      <x:c r="B1270" s="84" t="n">
        <x:v>47</x:v>
      </x:c>
      <x:c r="C1270" s="84" t="n">
        <x:v>1963</x:v>
      </x:c>
      <x:c r="D1270" s="89" t="n">
        <x:v>45487.08253472222</x:v>
      </x:c>
      <x:c r="E1270" s="89" t="n">
        <x:v>45487.14503472222</x:v>
      </x:c>
      <x:c r="F1270" s="84" t="n">
        <x:v>90</x:v>
      </x:c>
      <x:c r="G1270" s="84" t="n">
        <x:v>0</x:v>
      </x:c>
      <x:c r="H1270" s="84" t="str">
        <x:v>Superaquecimento</x:v>
      </x:c>
      <x:c r="I1270" s="84" t="n">
        <x:v>206</x:v>
      </x:c>
      <x:c r="J1270" s="93" t="n">
        <x:v>4863.23</x:v>
      </x:c>
      <x:c r="K1270" s="85" t="str">
        <x:v>3º Turno</x:v>
      </x:c>
    </x:row>
    <x:row r="1271">
      <x:c r="A1271" s="83" t="n">
        <x:v>1270</x:v>
      </x:c>
      <x:c r="B1271" s="84" t="n">
        <x:v>81</x:v>
      </x:c>
      <x:c r="C1271" s="84" t="n">
        <x:v>1965</x:v>
      </x:c>
      <x:c r="D1271" s="89" t="n">
        <x:v>45429.77445601852</x:v>
      </x:c>
      <x:c r="E1271" s="89" t="n">
        <x:v>45430.36751157408</x:v>
      </x:c>
      <x:c r="F1271" s="84" t="n">
        <x:v>854</x:v>
      </x:c>
      <x:c r="G1271" s="84" t="n">
        <x:v>1</x:v>
      </x:c>
      <x:c r="H1271" s="84" t="str">
        <x:v>Superaquecimento</x:v>
      </x:c>
      <x:c r="I1271" s="84" t="n">
        <x:v>2135</x:v>
      </x:c>
      <x:c r="J1271" s="93" t="n">
        <x:v>15442.28</x:v>
      </x:c>
      <x:c r="K1271" s="85" t="str">
        <x:v>2º Turno</x:v>
      </x:c>
    </x:row>
    <x:row r="1272">
      <x:c r="A1272" s="83" t="n">
        <x:v>1271</x:v>
      </x:c>
      <x:c r="B1272" s="84" t="n">
        <x:v>20</x:v>
      </x:c>
      <x:c r="C1272" s="84" t="n">
        <x:v>1966</x:v>
      </x:c>
      <x:c r="D1272" s="89" t="n">
        <x:v>45332.67930555555</x:v>
      </x:c>
      <x:c r="E1272" s="89" t="n">
        <x:v>45333.147361111114</x:v>
      </x:c>
      <x:c r="F1272" s="84" t="n">
        <x:v>674</x:v>
      </x:c>
      <x:c r="G1272" s="84" t="n">
        <x:v>0</x:v>
      </x:c>
      <x:c r="H1272" s="84" t="str">
        <x:v>Baixa pressão</x:v>
      </x:c>
      <x:c r="I1272" s="84" t="n">
        <x:v>1269</x:v>
      </x:c>
      <x:c r="J1272" s="93" t="n">
        <x:v>18587.67</x:v>
      </x:c>
      <x:c r="K1272" s="85" t="str">
        <x:v>1º Turno</x:v>
      </x:c>
    </x:row>
    <x:row r="1273">
      <x:c r="A1273" s="83" t="n">
        <x:v>1272</x:v>
      </x:c>
      <x:c r="B1273" s="84" t="n">
        <x:v>63</x:v>
      </x:c>
      <x:c r="C1273" s="84" t="n">
        <x:v>1967</x:v>
      </x:c>
      <x:c r="D1273" s="89" t="n">
        <x:v>45137.51224537037</x:v>
      </x:c>
      <x:c r="E1273" s="89" t="n">
        <x:v>45138.11502314815</x:v>
      </x:c>
      <x:c r="F1273" s="84" t="n">
        <x:v>868</x:v>
      </x:c>
      <x:c r="G1273" s="84" t="n">
        <x:v>1</x:v>
      </x:c>
      <x:c r="H1273" s="84" t="str">
        <x:v>Falha elétrica</x:v>
      </x:c>
      <x:c r="I1273" s="84" t="n">
        <x:v>1085</x:v>
      </x:c>
      <x:c r="J1273" s="93" t="n">
        <x:v>21940.58</x:v>
      </x:c>
      <x:c r="K1273" s="85" t="str">
        <x:v>3º Turno</x:v>
      </x:c>
    </x:row>
    <x:row r="1274">
      <x:c r="A1274" s="83" t="n">
        <x:v>1273</x:v>
      </x:c>
      <x:c r="B1274" s="84" t="n">
        <x:v>26</x:v>
      </x:c>
      <x:c r="C1274" s="84" t="n">
        <x:v>1968</x:v>
      </x:c>
      <x:c r="D1274" s="89" t="n">
        <x:v>45234.383576388886</x:v>
      </x:c>
      <x:c r="E1274" s="89" t="n">
        <x:v>45234.76899305556</x:v>
      </x:c>
      <x:c r="F1274" s="84" t="n">
        <x:v>555</x:v>
      </x:c>
      <x:c r="G1274" s="84" t="n">
        <x:v>1</x:v>
      </x:c>
      <x:c r="H1274" s="84" t="str">
        <x:v>Ruído anormal</x:v>
      </x:c>
      <x:c r="I1274" s="84" t="n">
        <x:v>1332</x:v>
      </x:c>
      <x:c r="J1274" s="93" t="n">
        <x:v>30663.78</x:v>
      </x:c>
      <x:c r="K1274" s="85" t="str">
        <x:v>1º Turno</x:v>
      </x:c>
    </x:row>
    <x:row r="1275">
      <x:c r="A1275" s="83" t="n">
        <x:v>1274</x:v>
      </x:c>
      <x:c r="B1275" s="84" t="n">
        <x:v>11</x:v>
      </x:c>
      <x:c r="C1275" s="84" t="n">
        <x:v>1970</x:v>
      </x:c>
      <x:c r="D1275" s="89" t="n">
        <x:v>45769.14758101852</x:v>
      </x:c>
      <x:c r="E1275" s="89" t="n">
        <x:v>45769.36077546296</x:v>
      </x:c>
      <x:c r="F1275" s="84" t="n">
        <x:v>307</x:v>
      </x:c>
      <x:c r="G1275" s="84" t="n">
        <x:v>1</x:v>
      </x:c>
      <x:c r="H1275" s="84" t="str">
        <x:v>Alarme intermitente</x:v>
      </x:c>
      <x:c r="I1275" s="84" t="n">
        <x:v>701</x:v>
      </x:c>
      <x:c r="J1275" s="93" t="n">
        <x:v>13932.89</x:v>
      </x:c>
      <x:c r="K1275" s="85" t="str">
        <x:v>3º Turno</x:v>
      </x:c>
    </x:row>
    <x:row r="1276">
      <x:c r="A1276" s="83" t="n">
        <x:v>1275</x:v>
      </x:c>
      <x:c r="B1276" s="84" t="n">
        <x:v>37</x:v>
      </x:c>
      <x:c r="C1276" s="84" t="n">
        <x:v>1971</x:v>
      </x:c>
      <x:c r="D1276" s="89" t="n">
        <x:v>46016.298726851855</x:v>
      </x:c>
      <x:c r="E1276" s="89" t="n">
        <x:v>46016.57650462963</x:v>
      </x:c>
      <x:c r="F1276" s="84" t="n">
        <x:v>400</x:v>
      </x:c>
      <x:c r="G1276" s="84" t="n">
        <x:v>1</x:v>
      </x:c>
      <x:c r="H1276" s="84" t="str">
        <x:v>Ruído anormal</x:v>
      </x:c>
      <x:c r="I1276" s="84" t="n">
        <x:v>593</x:v>
      </x:c>
      <x:c r="J1276" s="93" t="n">
        <x:v>7898.05</x:v>
      </x:c>
      <x:c r="K1276" s="85" t="str">
        <x:v>2º Turno</x:v>
      </x:c>
    </x:row>
    <x:row r="1277">
      <x:c r="A1277" s="83" t="n">
        <x:v>1276</x:v>
      </x:c>
      <x:c r="B1277" s="84" t="n">
        <x:v>45</x:v>
      </x:c>
      <x:c r="C1277" s="84" t="n">
        <x:v>1972</x:v>
      </x:c>
      <x:c r="D1277" s="89" t="n">
        <x:v>45475.56033564815</x:v>
      </x:c>
      <x:c r="E1277" s="89" t="n">
        <x:v>45475.70547453704</x:v>
      </x:c>
      <x:c r="F1277" s="84" t="n">
        <x:v>209</x:v>
      </x:c>
      <x:c r="G1277" s="84" t="n">
        <x:v>1</x:v>
      </x:c>
      <x:c r="H1277" s="84" t="str">
        <x:v>Alarme intermitente</x:v>
      </x:c>
      <x:c r="I1277" s="84" t="n">
        <x:v>251</x:v>
      </x:c>
      <x:c r="J1277" s="93" t="n">
        <x:v>11831.72</x:v>
      </x:c>
      <x:c r="K1277" s="85" t="str">
        <x:v>1º Turno</x:v>
      </x:c>
    </x:row>
    <x:row r="1278">
      <x:c r="A1278" s="83" t="n">
        <x:v>1277</x:v>
      </x:c>
      <x:c r="B1278" s="84" t="n">
        <x:v>10</x:v>
      </x:c>
      <x:c r="C1278" s="84" t="n">
        <x:v>1975</x:v>
      </x:c>
      <x:c r="D1278" s="89" t="n">
        <x:v>45461.03775462963</x:v>
      </x:c>
      <x:c r="E1278" s="89" t="n">
        <x:v>45461.64331018519</x:v>
      </x:c>
      <x:c r="F1278" s="84" t="n">
        <x:v>872</x:v>
      </x:c>
      <x:c r="G1278" s="84" t="n">
        <x:v>1</x:v>
      </x:c>
      <x:c r="H1278" s="84" t="str">
        <x:v>Superaquecimento</x:v>
      </x:c>
      <x:c r="I1278" s="84" t="n">
        <x:v>1918</x:v>
      </x:c>
      <x:c r="J1278" s="93" t="n">
        <x:v>37143.89</x:v>
      </x:c>
      <x:c r="K1278" s="85" t="str">
        <x:v>1º Turno</x:v>
      </x:c>
    </x:row>
    <x:row r="1279">
      <x:c r="A1279" s="83" t="n">
        <x:v>1278</x:v>
      </x:c>
      <x:c r="B1279" s="84" t="n">
        <x:v>73</x:v>
      </x:c>
      <x:c r="C1279" s="84" t="n">
        <x:v>1977</x:v>
      </x:c>
      <x:c r="D1279" s="89" t="n">
        <x:v>45270.9437962963</x:v>
      </x:c>
      <x:c r="E1279" s="89" t="n">
        <x:v>45271.09171296296</x:v>
      </x:c>
      <x:c r="F1279" s="84" t="n">
        <x:v>213</x:v>
      </x:c>
      <x:c r="G1279" s="84" t="n">
        <x:v>0</x:v>
      </x:c>
      <x:c r="H1279" s="84" t="str">
        <x:v>Baixa pressão</x:v>
      </x:c>
      <x:c r="I1279" s="84" t="n">
        <x:v>252</x:v>
      </x:c>
      <x:c r="J1279" s="93" t="n">
        <x:v>3042.04</x:v>
      </x:c>
      <x:c r="K1279" s="85" t="str">
        <x:v>1º Turno</x:v>
      </x:c>
    </x:row>
    <x:row r="1280">
      <x:c r="A1280" s="83" t="n">
        <x:v>1279</x:v>
      </x:c>
      <x:c r="B1280" s="84" t="n">
        <x:v>40</x:v>
      </x:c>
      <x:c r="C1280" s="84" t="n">
        <x:v>1979</x:v>
      </x:c>
      <x:c r="D1280" s="89" t="n">
        <x:v>45664.24743055556</x:v>
      </x:c>
      <x:c r="E1280" s="89" t="n">
        <x:v>45664.67451388889</x:v>
      </x:c>
      <x:c r="F1280" s="84" t="n">
        <x:v>615</x:v>
      </x:c>
      <x:c r="G1280" s="84" t="n">
        <x:v>1</x:v>
      </x:c>
      <x:c r="H1280" s="84" t="str">
        <x:v>Baixa pressão</x:v>
      </x:c>
      <x:c r="I1280" s="84" t="n">
        <x:v>1527</x:v>
      </x:c>
      <x:c r="J1280" s="93" t="n">
        <x:v>21316.49</x:v>
      </x:c>
      <x:c r="K1280" s="85" t="str">
        <x:v>2º Turno</x:v>
      </x:c>
    </x:row>
    <x:row r="1281">
      <x:c r="A1281" s="83" t="n">
        <x:v>1280</x:v>
      </x:c>
      <x:c r="B1281" s="84" t="n">
        <x:v>34</x:v>
      </x:c>
      <x:c r="C1281" s="84" t="n">
        <x:v>1981</x:v>
      </x:c>
      <x:c r="D1281" s="89" t="n">
        <x:v>45654.604895833334</x:v>
      </x:c>
      <x:c r="E1281" s="89" t="n">
        <x:v>45654.82850694445</x:v>
      </x:c>
      <x:c r="F1281" s="84" t="n">
        <x:v>322</x:v>
      </x:c>
      <x:c r="G1281" s="84" t="n">
        <x:v>1</x:v>
      </x:c>
      <x:c r="H1281" s="84" t="str">
        <x:v>Baixa pressão</x:v>
      </x:c>
      <x:c r="I1281" s="84" t="n">
        <x:v>633</x:v>
      </x:c>
      <x:c r="J1281" s="93" t="n">
        <x:v>4345.77</x:v>
      </x:c>
      <x:c r="K1281" s="85" t="str">
        <x:v>1º Turno</x:v>
      </x:c>
    </x:row>
    <x:row r="1282">
      <x:c r="A1282" s="83" t="n">
        <x:v>1281</x:v>
      </x:c>
      <x:c r="B1282" s="84" t="n">
        <x:v>82</x:v>
      </x:c>
      <x:c r="C1282" s="84" t="n">
        <x:v>1982</x:v>
      </x:c>
      <x:c r="D1282" s="89" t="n">
        <x:v>45982.17428240741</x:v>
      </x:c>
      <x:c r="E1282" s="89" t="n">
        <x:v>45982.41039351852</x:v>
      </x:c>
      <x:c r="F1282" s="84" t="n">
        <x:v>340</x:v>
      </x:c>
      <x:c r="G1282" s="84" t="n">
        <x:v>0</x:v>
      </x:c>
      <x:c r="H1282" s="84" t="str">
        <x:v>Falha elétrica</x:v>
      </x:c>
      <x:c r="I1282" s="84" t="n">
        <x:v>606</x:v>
      </x:c>
      <x:c r="J1282" s="93" t="n">
        <x:v>9200.94</x:v>
      </x:c>
      <x:c r="K1282" s="85" t="str">
        <x:v>1º Turno</x:v>
      </x:c>
    </x:row>
    <x:row r="1283">
      <x:c r="A1283" s="83" t="n">
        <x:v>1282</x:v>
      </x:c>
      <x:c r="B1283" s="84" t="n">
        <x:v>76</x:v>
      </x:c>
      <x:c r="C1283" s="84" t="n">
        <x:v>1983</x:v>
      </x:c>
      <x:c r="D1283" s="89" t="n">
        <x:v>45321.017743055556</x:v>
      </x:c>
      <x:c r="E1283" s="89" t="n">
        <x:v>45321.45663194444</x:v>
      </x:c>
      <x:c r="F1283" s="84" t="n">
        <x:v>632</x:v>
      </x:c>
      <x:c r="G1283" s="84" t="n">
        <x:v>0</x:v>
      </x:c>
      <x:c r="H1283" s="84" t="str">
        <x:v>Alarme intermitente</x:v>
      </x:c>
      <x:c r="I1283" s="84" t="n">
        <x:v>906</x:v>
      </x:c>
      <x:c r="J1283" s="93" t="n">
        <x:v>36310.45</x:v>
      </x:c>
      <x:c r="K1283" s="85" t="str">
        <x:v>2º Turno</x:v>
      </x:c>
    </x:row>
    <x:row r="1284">
      <x:c r="A1284" s="83" t="n">
        <x:v>1283</x:v>
      </x:c>
      <x:c r="B1284" s="84" t="n">
        <x:v>29</x:v>
      </x:c>
      <x:c r="C1284" s="84" t="n">
        <x:v>1985</x:v>
      </x:c>
      <x:c r="D1284" s="89" t="n">
        <x:v>45887.67805555555</x:v>
      </x:c>
      <x:c r="E1284" s="89" t="n">
        <x:v>45887.912777777776</x:v>
      </x:c>
      <x:c r="F1284" s="84" t="n">
        <x:v>338</x:v>
      </x:c>
      <x:c r="G1284" s="84" t="n">
        <x:v>1</x:v>
      </x:c>
      <x:c r="H1284" s="84" t="str">
        <x:v>Superaquecimento</x:v>
      </x:c>
      <x:c r="I1284" s="84" t="n">
        <x:v>439</x:v>
      </x:c>
      <x:c r="J1284" s="93" t="n">
        <x:v>6094.35</x:v>
      </x:c>
      <x:c r="K1284" s="85" t="str">
        <x:v>3º Turno</x:v>
      </x:c>
    </x:row>
    <x:row r="1285">
      <x:c r="A1285" s="83" t="n">
        <x:v>1284</x:v>
      </x:c>
      <x:c r="B1285" s="84" t="n">
        <x:v>13</x:v>
      </x:c>
      <x:c r="C1285" s="84" t="n">
        <x:v>1987</x:v>
      </x:c>
      <x:c r="D1285" s="89" t="n">
        <x:v>45983.1655787037</x:v>
      </x:c>
      <x:c r="E1285" s="89" t="n">
        <x:v>45983.335023148145</x:v>
      </x:c>
      <x:c r="F1285" s="84" t="n">
        <x:v>244</x:v>
      </x:c>
      <x:c r="G1285" s="84" t="n">
        <x:v>1</x:v>
      </x:c>
      <x:c r="H1285" s="84" t="str">
        <x:v>Alarme intermitente</x:v>
      </x:c>
      <x:c r="I1285" s="84" t="n">
        <x:v>386</x:v>
      </x:c>
      <x:c r="J1285" s="93" t="n">
        <x:v>8834.57</x:v>
      </x:c>
      <x:c r="K1285" s="85" t="str">
        <x:v>2º Turno</x:v>
      </x:c>
    </x:row>
    <x:row r="1286">
      <x:c r="A1286" s="83" t="n">
        <x:v>1285</x:v>
      </x:c>
      <x:c r="B1286" s="84" t="n">
        <x:v>37</x:v>
      </x:c>
      <x:c r="C1286" s="84" t="n">
        <x:v>1988</x:v>
      </x:c>
      <x:c r="D1286" s="89" t="n">
        <x:v>45425.514444444445</x:v>
      </x:c>
      <x:c r="E1286" s="89" t="n">
        <x:v>45425.84569444445</x:v>
      </x:c>
      <x:c r="F1286" s="84" t="n">
        <x:v>477</x:v>
      </x:c>
      <x:c r="G1286" s="84" t="n">
        <x:v>1</x:v>
      </x:c>
      <x:c r="H1286" s="84" t="str">
        <x:v>Baixa pressão</x:v>
      </x:c>
      <x:c r="I1286" s="84" t="n">
        <x:v>708</x:v>
      </x:c>
      <x:c r="J1286" s="93" t="n">
        <x:v>12047.01</x:v>
      </x:c>
      <x:c r="K1286" s="85" t="str">
        <x:v>3º Turno</x:v>
      </x:c>
    </x:row>
    <x:row r="1287">
      <x:c r="A1287" s="83" t="n">
        <x:v>1286</x:v>
      </x:c>
      <x:c r="B1287" s="84" t="n">
        <x:v>18</x:v>
      </x:c>
      <x:c r="C1287" s="84" t="n">
        <x:v>1989</x:v>
      </x:c>
      <x:c r="D1287" s="89" t="n">
        <x:v>45246.99115740741</x:v>
      </x:c>
      <x:c r="E1287" s="89" t="n">
        <x:v>45247.07587962963</x:v>
      </x:c>
      <x:c r="F1287" s="84" t="n">
        <x:v>122</x:v>
      </x:c>
      <x:c r="G1287" s="84" t="n">
        <x:v>1</x:v>
      </x:c>
      <x:c r="H1287" s="84" t="str">
        <x:v>Alarme intermitente</x:v>
      </x:c>
      <x:c r="I1287" s="84" t="n">
        <x:v>281</x:v>
      </x:c>
      <x:c r="J1287" s="93" t="n">
        <x:v>4597.47</x:v>
      </x:c>
      <x:c r="K1287" s="85" t="str">
        <x:v>1º Turno</x:v>
      </x:c>
    </x:row>
    <x:row r="1288">
      <x:c r="A1288" s="83" t="n">
        <x:v>1287</x:v>
      </x:c>
      <x:c r="B1288" s="84" t="n">
        <x:v>68</x:v>
      </x:c>
      <x:c r="C1288" s="84" t="n">
        <x:v>1994</x:v>
      </x:c>
      <x:c r="D1288" s="89" t="n">
        <x:v>45045.59496527778</x:v>
      </x:c>
      <x:c r="E1288" s="89" t="n">
        <x:v>45046.14357638889</x:v>
      </x:c>
      <x:c r="F1288" s="84" t="n">
        <x:v>790</x:v>
      </x:c>
      <x:c r="G1288" s="84" t="n">
        <x:v>0</x:v>
      </x:c>
      <x:c r="H1288" s="84" t="str">
        <x:v>Ruído anormal</x:v>
      </x:c>
      <x:c r="I1288" s="84" t="n">
        <x:v>908</x:v>
      </x:c>
      <x:c r="J1288" s="93" t="n">
        <x:v>35774.57</x:v>
      </x:c>
      <x:c r="K1288" s="85" t="str">
        <x:v>2º Turno</x:v>
      </x:c>
    </x:row>
    <x:row r="1289">
      <x:c r="A1289" s="83" t="n">
        <x:v>1288</x:v>
      </x:c>
      <x:c r="B1289" s="84" t="n">
        <x:v>74</x:v>
      </x:c>
      <x:c r="C1289" s="84" t="n">
        <x:v>1995</x:v>
      </x:c>
      <x:c r="D1289" s="89" t="n">
        <x:v>45677.16273148148</x:v>
      </x:c>
      <x:c r="E1289" s="89" t="n">
        <x:v>45677.18703703704</x:v>
      </x:c>
      <x:c r="F1289" s="84" t="n">
        <x:v>35</x:v>
      </x:c>
      <x:c r="G1289" s="84" t="n">
        <x:v>1</x:v>
      </x:c>
      <x:c r="H1289" s="84" t="str">
        <x:v>Vazamento</x:v>
      </x:c>
      <x:c r="I1289" s="84" t="n">
        <x:v>65</x:v>
      </x:c>
      <x:c r="J1289" s="93" t="n">
        <x:v>1644.81</x:v>
      </x:c>
      <x:c r="K1289" s="85" t="str">
        <x:v>3º Turno</x:v>
      </x:c>
    </x:row>
    <x:row r="1290">
      <x:c r="A1290" s="83" t="n">
        <x:v>1289</x:v>
      </x:c>
      <x:c r="B1290" s="84" t="n">
        <x:v>68</x:v>
      </x:c>
      <x:c r="C1290" s="84" t="n">
        <x:v>1996</x:v>
      </x:c>
      <x:c r="D1290" s="89" t="n">
        <x:v>45662.5987962963</x:v>
      </x:c>
      <x:c r="E1290" s="89" t="n">
        <x:v>45662.85851851852</x:v>
      </x:c>
      <x:c r="F1290" s="84" t="n">
        <x:v>374</x:v>
      </x:c>
      <x:c r="G1290" s="84" t="n">
        <x:v>1</x:v>
      </x:c>
      <x:c r="H1290" s="84" t="str">
        <x:v>Alarme intermitente</x:v>
      </x:c>
      <x:c r="I1290" s="84" t="n">
        <x:v>499</x:v>
      </x:c>
      <x:c r="J1290" s="93" t="n">
        <x:v>20002.17</x:v>
      </x:c>
      <x:c r="K1290" s="85" t="str">
        <x:v>3º Turno</x:v>
      </x:c>
    </x:row>
    <x:row r="1291">
      <x:c r="A1291" s="83" t="n">
        <x:v>1290</x:v>
      </x:c>
      <x:c r="B1291" s="84" t="n">
        <x:v>27</x:v>
      </x:c>
      <x:c r="C1291" s="84" t="n">
        <x:v>1997</x:v>
      </x:c>
      <x:c r="D1291" s="89" t="n">
        <x:v>45950.3434375</x:v>
      </x:c>
      <x:c r="E1291" s="89" t="n">
        <x:v>45950.61010416667</x:v>
      </x:c>
      <x:c r="F1291" s="84" t="n">
        <x:v>384</x:v>
      </x:c>
      <x:c r="G1291" s="84" t="n">
        <x:v>0</x:v>
      </x:c>
      <x:c r="H1291" s="84" t="str">
        <x:v>Alarme intermitente</x:v>
      </x:c>
      <x:c r="I1291" s="84" t="n">
        <x:v>531</x:v>
      </x:c>
      <x:c r="J1291" s="93" t="n">
        <x:v>7475.01</x:v>
      </x:c>
      <x:c r="K1291" s="85" t="str">
        <x:v>1º Turno</x:v>
      </x:c>
    </x:row>
    <x:row r="1292">
      <x:c r="A1292" s="83" t="n">
        <x:v>1291</x:v>
      </x:c>
      <x:c r="B1292" s="84" t="n">
        <x:v>9</x:v>
      </x:c>
      <x:c r="C1292" s="84" t="n">
        <x:v>1999</x:v>
      </x:c>
      <x:c r="D1292" s="89" t="n">
        <x:v>45859.25188657407</x:v>
      </x:c>
      <x:c r="E1292" s="89" t="n">
        <x:v>45859.42619212963</x:v>
      </x:c>
      <x:c r="F1292" s="84" t="n">
        <x:v>251</x:v>
      </x:c>
      <x:c r="G1292" s="84" t="n">
        <x:v>1</x:v>
      </x:c>
      <x:c r="H1292" s="84" t="str">
        <x:v>Alarme intermitente</x:v>
      </x:c>
      <x:c r="I1292" s="84" t="n">
        <x:v>427</x:v>
      </x:c>
      <x:c r="J1292" s="93" t="n">
        <x:v>11312.84</x:v>
      </x:c>
      <x:c r="K1292" s="85" t="str">
        <x:v>3º Turno</x:v>
      </x:c>
    </x:row>
    <x:row r="1293">
      <x:c r="A1293" s="83" t="n">
        <x:v>1292</x:v>
      </x:c>
      <x:c r="B1293" s="84" t="n">
        <x:v>73</x:v>
      </x:c>
      <x:c r="C1293" s="84" t="n">
        <x:v>2000</x:v>
      </x:c>
      <x:c r="D1293" s="89" t="n">
        <x:v>45835.07126157408</x:v>
      </x:c>
      <x:c r="E1293" s="89" t="n">
        <x:v>45835.205983796295</x:v>
      </x:c>
      <x:c r="F1293" s="84" t="n">
        <x:v>194</x:v>
      </x:c>
      <x:c r="G1293" s="84" t="n">
        <x:v>1</x:v>
      </x:c>
      <x:c r="H1293" s="84" t="str">
        <x:v>Superaquecimento</x:v>
      </x:c>
      <x:c r="I1293" s="84" t="n">
        <x:v>200</x:v>
      </x:c>
      <x:c r="J1293" s="93" t="n">
        <x:v>6506.71</x:v>
      </x:c>
      <x:c r="K1293" s="85" t="str">
        <x:v>1º Turno</x:v>
      </x:c>
    </x:row>
    <x:row r="1294">
      <x:c r="A1294" s="83" t="n">
        <x:v>1293</x:v>
      </x:c>
      <x:c r="B1294" s="84" t="n">
        <x:v>1</x:v>
      </x:c>
      <x:c r="C1294" s="84" t="n">
        <x:v>2001</x:v>
      </x:c>
      <x:c r="D1294" s="89" t="n">
        <x:v>45544.30136574074</x:v>
      </x:c>
      <x:c r="E1294" s="89" t="n">
        <x:v>45544.77011574074</x:v>
      </x:c>
      <x:c r="F1294" s="84" t="n">
        <x:v>675</x:v>
      </x:c>
      <x:c r="G1294" s="84" t="n">
        <x:v>1</x:v>
      </x:c>
      <x:c r="H1294" s="84" t="str">
        <x:v>Alarme intermitente</x:v>
      </x:c>
      <x:c r="I1294" s="84" t="n">
        <x:v>1418</x:v>
      </x:c>
      <x:c r="J1294" s="93" t="n">
        <x:v>37848.64</x:v>
      </x:c>
      <x:c r="K1294" s="85" t="str">
        <x:v>1º Turno</x:v>
      </x:c>
    </x:row>
    <x:row r="1295">
      <x:c r="A1295" s="83" t="n">
        <x:v>1294</x:v>
      </x:c>
      <x:c r="B1295" s="84" t="n">
        <x:v>85</x:v>
      </x:c>
      <x:c r="C1295" s="84" t="n">
        <x:v>2004</x:v>
      </x:c>
      <x:c r="D1295" s="89" t="n">
        <x:v>45519.45894675926</x:v>
      </x:c>
      <x:c r="E1295" s="89" t="n">
        <x:v>45519.77144675926</x:v>
      </x:c>
      <x:c r="F1295" s="84" t="n">
        <x:v>450</x:v>
      </x:c>
      <x:c r="G1295" s="84" t="n">
        <x:v>1</x:v>
      </x:c>
      <x:c r="H1295" s="84" t="str">
        <x:v>Falha elétrica</x:v>
      </x:c>
      <x:c r="I1295" s="84" t="n">
        <x:v>1088</x:v>
      </x:c>
      <x:c r="J1295" s="93" t="n">
        <x:v>18288.57</x:v>
      </x:c>
      <x:c r="K1295" s="85" t="str">
        <x:v>1º Turno</x:v>
      </x:c>
    </x:row>
    <x:row r="1296">
      <x:c r="A1296" s="83" t="n">
        <x:v>1295</x:v>
      </x:c>
      <x:c r="B1296" s="84" t="n">
        <x:v>47</x:v>
      </x:c>
      <x:c r="C1296" s="84" t="n">
        <x:v>2005</x:v>
      </x:c>
      <x:c r="D1296" s="89" t="n">
        <x:v>45375.44478009259</x:v>
      </x:c>
      <x:c r="E1296" s="89" t="n">
        <x:v>45375.46630787037</x:v>
      </x:c>
      <x:c r="F1296" s="84" t="n">
        <x:v>31</x:v>
      </x:c>
      <x:c r="G1296" s="84" t="n">
        <x:v>1</x:v>
      </x:c>
      <x:c r="H1296" s="84" t="str">
        <x:v>Falha elétrica</x:v>
      </x:c>
      <x:c r="I1296" s="84" t="n">
        <x:v>73</x:v>
      </x:c>
      <x:c r="J1296" s="93" t="n">
        <x:v>459.34</x:v>
      </x:c>
      <x:c r="K1296" s="85" t="str">
        <x:v>3º Turno</x:v>
      </x:c>
    </x:row>
    <x:row r="1297">
      <x:c r="A1297" s="83" t="n">
        <x:v>1296</x:v>
      </x:c>
      <x:c r="B1297" s="84" t="n">
        <x:v>70</x:v>
      </x:c>
      <x:c r="C1297" s="84" t="n">
        <x:v>2006</x:v>
      </x:c>
      <x:c r="D1297" s="89" t="n">
        <x:v>45879.97662037037</x:v>
      </x:c>
      <x:c r="E1297" s="89" t="n">
        <x:v>45880.51898148148</x:v>
      </x:c>
      <x:c r="F1297" s="84" t="n">
        <x:v>781</x:v>
      </x:c>
      <x:c r="G1297" s="84" t="n">
        <x:v>0</x:v>
      </x:c>
      <x:c r="H1297" s="84" t="str">
        <x:v>Ruído anormal</x:v>
      </x:c>
      <x:c r="I1297" s="84" t="n">
        <x:v>1263</x:v>
      </x:c>
      <x:c r="J1297" s="93" t="n">
        <x:v>27462.96</x:v>
      </x:c>
      <x:c r="K1297" s="85" t="str">
        <x:v>2º Turno</x:v>
      </x:c>
    </x:row>
    <x:row r="1298">
      <x:c r="A1298" s="83" t="n">
        <x:v>1297</x:v>
      </x:c>
      <x:c r="B1298" s="84" t="n">
        <x:v>88</x:v>
      </x:c>
      <x:c r="C1298" s="84" t="n">
        <x:v>2007</x:v>
      </x:c>
      <x:c r="D1298" s="89" t="n">
        <x:v>45682.65767361111</x:v>
      </x:c>
      <x:c r="E1298" s="89" t="n">
        <x:v>45683.10142361111</x:v>
      </x:c>
      <x:c r="F1298" s="84" t="n">
        <x:v>639</x:v>
      </x:c>
      <x:c r="G1298" s="84" t="n">
        <x:v>1</x:v>
      </x:c>
      <x:c r="H1298" s="84" t="str">
        <x:v>Falha elétrica</x:v>
      </x:c>
      <x:c r="I1298" s="84" t="n">
        <x:v>969</x:v>
      </x:c>
      <x:c r="J1298" s="93" t="n">
        <x:v>19498.94</x:v>
      </x:c>
      <x:c r="K1298" s="85" t="str">
        <x:v>2º Turno</x:v>
      </x:c>
    </x:row>
    <x:row r="1299">
      <x:c r="A1299" s="83" t="n">
        <x:v>1298</x:v>
      </x:c>
      <x:c r="B1299" s="84" t="n">
        <x:v>26</x:v>
      </x:c>
      <x:c r="C1299" s="84" t="n">
        <x:v>2008</x:v>
      </x:c>
      <x:c r="D1299" s="89" t="n">
        <x:v>45952.09479166667</x:v>
      </x:c>
      <x:c r="E1299" s="89" t="n">
        <x:v>45952.65173611111</x:v>
      </x:c>
      <x:c r="F1299" s="84" t="n">
        <x:v>802</x:v>
      </x:c>
      <x:c r="G1299" s="84" t="n">
        <x:v>1</x:v>
      </x:c>
      <x:c r="H1299" s="84" t="str">
        <x:v>Desalinhamento</x:v>
      </x:c>
      <x:c r="I1299" s="84" t="n">
        <x:v>1577</x:v>
      </x:c>
      <x:c r="J1299" s="93" t="n">
        <x:v>37682.26</x:v>
      </x:c>
      <x:c r="K1299" s="85" t="str">
        <x:v>3º Turno</x:v>
      </x:c>
    </x:row>
    <x:row r="1300">
      <x:c r="A1300" s="83" t="n">
        <x:v>1299</x:v>
      </x:c>
      <x:c r="B1300" s="84" t="n">
        <x:v>63</x:v>
      </x:c>
      <x:c r="C1300" s="84" t="n">
        <x:v>2009</x:v>
      </x:c>
      <x:c r="D1300" s="89" t="n">
        <x:v>45340.30688657407</x:v>
      </x:c>
      <x:c r="E1300" s="89" t="n">
        <x:v>45340.41730324074</x:v>
      </x:c>
      <x:c r="F1300" s="84" t="n">
        <x:v>159</x:v>
      </x:c>
      <x:c r="G1300" s="84" t="n">
        <x:v>1</x:v>
      </x:c>
      <x:c r="H1300" s="84" t="str">
        <x:v>Ruído anormal</x:v>
      </x:c>
      <x:c r="I1300" s="84" t="n">
        <x:v>371</x:v>
      </x:c>
      <x:c r="J1300" s="93" t="n">
        <x:v>9188.04</x:v>
      </x:c>
      <x:c r="K1300" s="85" t="str">
        <x:v>3º Turno</x:v>
      </x:c>
    </x:row>
    <x:row r="1301">
      <x:c r="A1301" s="83" t="n">
        <x:v>1300</x:v>
      </x:c>
      <x:c r="B1301" s="84" t="n">
        <x:v>18</x:v>
      </x:c>
      <x:c r="C1301" s="84" t="n">
        <x:v>2010</x:v>
      </x:c>
      <x:c r="D1301" s="89" t="n">
        <x:v>45234.71765046296</x:v>
      </x:c>
      <x:c r="E1301" s="89" t="n">
        <x:v>45235.30237268518</x:v>
      </x:c>
      <x:c r="F1301" s="84" t="n">
        <x:v>842</x:v>
      </x:c>
      <x:c r="G1301" s="84" t="n">
        <x:v>1</x:v>
      </x:c>
      <x:c r="H1301" s="84" t="str">
        <x:v>Ruído anormal</x:v>
      </x:c>
      <x:c r="I1301" s="84" t="n">
        <x:v>1894</x:v>
      </x:c>
      <x:c r="J1301" s="93" t="n">
        <x:v>33477.81</x:v>
      </x:c>
      <x:c r="K1301" s="85" t="str">
        <x:v>1º Turno</x:v>
      </x:c>
    </x:row>
    <x:row r="1302">
      <x:c r="A1302" s="83" t="n">
        <x:v>1301</x:v>
      </x:c>
      <x:c r="B1302" s="84" t="n">
        <x:v>27</x:v>
      </x:c>
      <x:c r="C1302" s="84" t="n">
        <x:v>2012</x:v>
      </x:c>
      <x:c r="D1302" s="89" t="n">
        <x:v>45748.94819444444</x:v>
      </x:c>
      <x:c r="E1302" s="89" t="n">
        <x:v>45749.50305555556</x:v>
      </x:c>
      <x:c r="F1302" s="84" t="n">
        <x:v>799</x:v>
      </x:c>
      <x:c r="G1302" s="84" t="n">
        <x:v>1</x:v>
      </x:c>
      <x:c r="H1302" s="84" t="str">
        <x:v>Ruído anormal</x:v>
      </x:c>
      <x:c r="I1302" s="84" t="n">
        <x:v>1531</x:v>
      </x:c>
      <x:c r="J1302" s="93" t="n">
        <x:v>11636.62</x:v>
      </x:c>
      <x:c r="K1302" s="85" t="str">
        <x:v>3º Turno</x:v>
      </x:c>
    </x:row>
    <x:row r="1303">
      <x:c r="A1303" s="83" t="n">
        <x:v>1302</x:v>
      </x:c>
      <x:c r="B1303" s="84" t="n">
        <x:v>41</x:v>
      </x:c>
      <x:c r="C1303" s="84" t="n">
        <x:v>2013</x:v>
      </x:c>
      <x:c r="D1303" s="89" t="n">
        <x:v>45464.71954861111</x:v>
      </x:c>
      <x:c r="E1303" s="89" t="n">
        <x:v>45465.13621527778</x:v>
      </x:c>
      <x:c r="F1303" s="84" t="n">
        <x:v>600</x:v>
      </x:c>
      <x:c r="G1303" s="84" t="n">
        <x:v>1</x:v>
      </x:c>
      <x:c r="H1303" s="84" t="str">
        <x:v>Baixa pressão</x:v>
      </x:c>
      <x:c r="I1303" s="84" t="n">
        <x:v>1470</x:v>
      </x:c>
      <x:c r="J1303" s="93" t="n">
        <x:v>23450.92</x:v>
      </x:c>
      <x:c r="K1303" s="85" t="str">
        <x:v>1º Turno</x:v>
      </x:c>
    </x:row>
    <x:row r="1304">
      <x:c r="A1304" s="83" t="n">
        <x:v>1303</x:v>
      </x:c>
      <x:c r="B1304" s="84" t="n">
        <x:v>88</x:v>
      </x:c>
      <x:c r="C1304" s="84" t="n">
        <x:v>2014</x:v>
      </x:c>
      <x:c r="D1304" s="89" t="n">
        <x:v>45832.715833333335</x:v>
      </x:c>
      <x:c r="E1304" s="89" t="n">
        <x:v>45832.77416666667</x:v>
      </x:c>
      <x:c r="F1304" s="84" t="n">
        <x:v>84</x:v>
      </x:c>
      <x:c r="G1304" s="84" t="n">
        <x:v>1</x:v>
      </x:c>
      <x:c r="H1304" s="84" t="str">
        <x:v>Ruído anormal</x:v>
      </x:c>
      <x:c r="I1304" s="84" t="n">
        <x:v>130</x:v>
      </x:c>
      <x:c r="J1304" s="93" t="n">
        <x:v>3828.02</x:v>
      </x:c>
      <x:c r="K1304" s="85" t="str">
        <x:v>3º Turno</x:v>
      </x:c>
    </x:row>
    <x:row r="1305">
      <x:c r="A1305" s="83" t="n">
        <x:v>1304</x:v>
      </x:c>
      <x:c r="B1305" s="84" t="n">
        <x:v>37</x:v>
      </x:c>
      <x:c r="C1305" s="84" t="n">
        <x:v>2016</x:v>
      </x:c>
      <x:c r="D1305" s="89" t="n">
        <x:v>45786.87236111111</x:v>
      </x:c>
      <x:c r="E1305" s="89" t="n">
        <x:v>45787.05777777778</x:v>
      </x:c>
      <x:c r="F1305" s="84" t="n">
        <x:v>267</x:v>
      </x:c>
      <x:c r="G1305" s="84" t="n">
        <x:v>1</x:v>
      </x:c>
      <x:c r="H1305" s="84" t="str">
        <x:v>Falha elétrica</x:v>
      </x:c>
      <x:c r="I1305" s="84" t="n">
        <x:v>476</x:v>
      </x:c>
      <x:c r="J1305" s="93" t="n">
        <x:v>8790.33</x:v>
      </x:c>
      <x:c r="K1305" s="85" t="str">
        <x:v>1º Turno</x:v>
      </x:c>
    </x:row>
    <x:row r="1306">
      <x:c r="A1306" s="83" t="n">
        <x:v>1305</x:v>
      </x:c>
      <x:c r="B1306" s="84" t="n">
        <x:v>45</x:v>
      </x:c>
      <x:c r="C1306" s="84" t="n">
        <x:v>2017</x:v>
      </x:c>
      <x:c r="D1306" s="89" t="n">
        <x:v>45908.399733796294</x:v>
      </x:c>
      <x:c r="E1306" s="89" t="n">
        <x:v>45908.976122685184</x:v>
      </x:c>
      <x:c r="F1306" s="84" t="n">
        <x:v>830</x:v>
      </x:c>
      <x:c r="G1306" s="84" t="n">
        <x:v>1</x:v>
      </x:c>
      <x:c r="H1306" s="84" t="str">
        <x:v>Ruído anormal</x:v>
      </x:c>
      <x:c r="I1306" s="84" t="n">
        <x:v>1217</x:v>
      </x:c>
      <x:c r="J1306" s="93" t="n">
        <x:v>36383.25</x:v>
      </x:c>
      <x:c r="K1306" s="85" t="str">
        <x:v>3º Turno</x:v>
      </x:c>
    </x:row>
    <x:row r="1307">
      <x:c r="A1307" s="83" t="n">
        <x:v>1306</x:v>
      </x:c>
      <x:c r="B1307" s="84" t="n">
        <x:v>76</x:v>
      </x:c>
      <x:c r="C1307" s="84" t="n">
        <x:v>2019</x:v>
      </x:c>
      <x:c r="D1307" s="89" t="n">
        <x:v>45210.72116898148</x:v>
      </x:c>
      <x:c r="E1307" s="89" t="n">
        <x:v>45210.967002314814</x:v>
      </x:c>
      <x:c r="F1307" s="84" t="n">
        <x:v>354</x:v>
      </x:c>
      <x:c r="G1307" s="84" t="n">
        <x:v>1</x:v>
      </x:c>
      <x:c r="H1307" s="84" t="str">
        <x:v>Superaquecimento</x:v>
      </x:c>
      <x:c r="I1307" s="84" t="n">
        <x:v>472</x:v>
      </x:c>
      <x:c r="J1307" s="93" t="n">
        <x:v>13038.65</x:v>
      </x:c>
      <x:c r="K1307" s="85" t="str">
        <x:v>1º Turno</x:v>
      </x:c>
    </x:row>
    <x:row r="1308">
      <x:c r="A1308" s="83" t="n">
        <x:v>1307</x:v>
      </x:c>
      <x:c r="B1308" s="84" t="n">
        <x:v>3</x:v>
      </x:c>
      <x:c r="C1308" s="84" t="n">
        <x:v>2020</x:v>
      </x:c>
      <x:c r="D1308" s="89" t="n">
        <x:v>45180.73872685185</x:v>
      </x:c>
      <x:c r="E1308" s="89" t="n">
        <x:v>45181.20747685185</x:v>
      </x:c>
      <x:c r="F1308" s="84" t="n">
        <x:v>675</x:v>
      </x:c>
      <x:c r="G1308" s="84" t="n">
        <x:v>1</x:v>
      </x:c>
      <x:c r="H1308" s="84" t="str">
        <x:v>Falha elétrica</x:v>
      </x:c>
      <x:c r="I1308" s="84" t="n">
        <x:v>1508</x:v>
      </x:c>
      <x:c r="J1308" s="93" t="n">
        <x:v>14827.84</x:v>
      </x:c>
      <x:c r="K1308" s="85" t="str">
        <x:v>3º Turno</x:v>
      </x:c>
    </x:row>
    <x:row r="1309">
      <x:c r="A1309" s="83" t="n">
        <x:v>1308</x:v>
      </x:c>
      <x:c r="B1309" s="84" t="n">
        <x:v>56</x:v>
      </x:c>
      <x:c r="C1309" s="84" t="n">
        <x:v>2021</x:v>
      </x:c>
      <x:c r="D1309" s="89" t="n">
        <x:v>45479.68472222222</x:v>
      </x:c>
      <x:c r="E1309" s="89" t="n">
        <x:v>45480.08263888889</x:v>
      </x:c>
      <x:c r="F1309" s="84" t="n">
        <x:v>573</x:v>
      </x:c>
      <x:c r="G1309" s="84" t="n">
        <x:v>1</x:v>
      </x:c>
      <x:c r="H1309" s="84" t="str">
        <x:v>Alarme intermitente</x:v>
      </x:c>
      <x:c r="I1309" s="84" t="n">
        <x:v>783</x:v>
      </x:c>
      <x:c r="J1309" s="93" t="n">
        <x:v>18295.28</x:v>
      </x:c>
      <x:c r="K1309" s="85" t="str">
        <x:v>3º Turno</x:v>
      </x:c>
    </x:row>
    <x:row r="1310">
      <x:c r="A1310" s="83" t="n">
        <x:v>1309</x:v>
      </x:c>
      <x:c r="B1310" s="84" t="n">
        <x:v>58</x:v>
      </x:c>
      <x:c r="C1310" s="84" t="n">
        <x:v>2023</x:v>
      </x:c>
      <x:c r="D1310" s="89" t="n">
        <x:v>45628.0772337963</x:v>
      </x:c>
      <x:c r="E1310" s="89" t="n">
        <x:v>45628.481400462966</x:v>
      </x:c>
      <x:c r="F1310" s="84" t="n">
        <x:v>582</x:v>
      </x:c>
      <x:c r="G1310" s="84" t="n">
        <x:v>1</x:v>
      </x:c>
      <x:c r="H1310" s="84" t="str">
        <x:v>Ruído anormal</x:v>
      </x:c>
      <x:c r="I1310" s="84" t="n">
        <x:v>1368</x:v>
      </x:c>
      <x:c r="J1310" s="93" t="n">
        <x:v>16638.44</x:v>
      </x:c>
      <x:c r="K1310" s="85" t="str">
        <x:v>1º Turno</x:v>
      </x:c>
    </x:row>
    <x:row r="1311">
      <x:c r="A1311" s="83" t="n">
        <x:v>1310</x:v>
      </x:c>
      <x:c r="B1311" s="84" t="n">
        <x:v>8</x:v>
      </x:c>
      <x:c r="C1311" s="84" t="n">
        <x:v>2024</x:v>
      </x:c>
      <x:c r="D1311" s="89" t="n">
        <x:v>45428.22255787037</x:v>
      </x:c>
      <x:c r="E1311" s="89" t="n">
        <x:v>45428.69200231481</x:v>
      </x:c>
      <x:c r="F1311" s="84" t="n">
        <x:v>676</x:v>
      </x:c>
      <x:c r="G1311" s="84" t="n">
        <x:v>1</x:v>
      </x:c>
      <x:c r="H1311" s="84" t="str">
        <x:v>Ruído anormal</x:v>
      </x:c>
      <x:c r="I1311" s="84" t="n">
        <x:v>1172</x:v>
      </x:c>
      <x:c r="J1311" s="93" t="n">
        <x:v>25472.28</x:v>
      </x:c>
      <x:c r="K1311" s="85" t="str">
        <x:v>1º Turno</x:v>
      </x:c>
    </x:row>
    <x:row r="1312">
      <x:c r="A1312" s="83" t="n">
        <x:v>1311</x:v>
      </x:c>
      <x:c r="B1312" s="84" t="n">
        <x:v>9</x:v>
      </x:c>
      <x:c r="C1312" s="84" t="n">
        <x:v>2029</x:v>
      </x:c>
      <x:c r="D1312" s="89" t="n">
        <x:v>44964.77851851852</x:v>
      </x:c>
      <x:c r="E1312" s="89" t="n">
        <x:v>44965.30490740741</x:v>
      </x:c>
      <x:c r="F1312" s="84" t="n">
        <x:v>758</x:v>
      </x:c>
      <x:c r="G1312" s="84" t="n">
        <x:v>1</x:v>
      </x:c>
      <x:c r="H1312" s="84" t="str">
        <x:v>Superaquecimento</x:v>
      </x:c>
      <x:c r="I1312" s="84" t="n">
        <x:v>1529</x:v>
      </x:c>
      <x:c r="J1312" s="93" t="n">
        <x:v>35158.43</x:v>
      </x:c>
      <x:c r="K1312" s="85" t="str">
        <x:v>3º Turno</x:v>
      </x:c>
    </x:row>
    <x:row r="1313">
      <x:c r="A1313" s="83" t="n">
        <x:v>1312</x:v>
      </x:c>
      <x:c r="B1313" s="84" t="n">
        <x:v>27</x:v>
      </x:c>
      <x:c r="C1313" s="84" t="n">
        <x:v>2030</x:v>
      </x:c>
      <x:c r="D1313" s="89" t="n">
        <x:v>45383.92018518518</x:v>
      </x:c>
      <x:c r="E1313" s="89" t="n">
        <x:v>45383.9375462963</x:v>
      </x:c>
      <x:c r="F1313" s="84" t="n">
        <x:v>25</x:v>
      </x:c>
      <x:c r="G1313" s="84" t="n">
        <x:v>1</x:v>
      </x:c>
      <x:c r="H1313" s="84" t="str">
        <x:v>Baixa pressão</x:v>
      </x:c>
      <x:c r="I1313" s="84" t="n">
        <x:v>57</x:v>
      </x:c>
      <x:c r="J1313" s="93" t="n">
        <x:v>1291.01</x:v>
      </x:c>
      <x:c r="K1313" s="85" t="str">
        <x:v>2º Turno</x:v>
      </x:c>
    </x:row>
    <x:row r="1314">
      <x:c r="A1314" s="83" t="n">
        <x:v>1313</x:v>
      </x:c>
      <x:c r="B1314" s="84" t="n">
        <x:v>75</x:v>
      </x:c>
      <x:c r="C1314" s="84" t="n">
        <x:v>2031</x:v>
      </x:c>
      <x:c r="D1314" s="89" t="n">
        <x:v>45582.42082175926</x:v>
      </x:c>
      <x:c r="E1314" s="89" t="n">
        <x:v>45582.52568287037</x:v>
      </x:c>
      <x:c r="F1314" s="84" t="n">
        <x:v>151</x:v>
      </x:c>
      <x:c r="G1314" s="84" t="n">
        <x:v>1</x:v>
      </x:c>
      <x:c r="H1314" s="84" t="str">
        <x:v>Vazamento</x:v>
      </x:c>
      <x:c r="I1314" s="84" t="n">
        <x:v>201</x:v>
      </x:c>
      <x:c r="J1314" s="93" t="n">
        <x:v>3727.84</x:v>
      </x:c>
      <x:c r="K1314" s="85" t="str">
        <x:v>1º Turno</x:v>
      </x:c>
    </x:row>
    <x:row r="1315">
      <x:c r="A1315" s="83" t="n">
        <x:v>1314</x:v>
      </x:c>
      <x:c r="B1315" s="84" t="n">
        <x:v>77</x:v>
      </x:c>
      <x:c r="C1315" s="84" t="n">
        <x:v>2032</x:v>
      </x:c>
      <x:c r="D1315" s="89" t="n">
        <x:v>45348.548854166664</x:v>
      </x:c>
      <x:c r="E1315" s="89" t="n">
        <x:v>45348.701631944445</x:v>
      </x:c>
      <x:c r="F1315" s="84" t="n">
        <x:v>220</x:v>
      </x:c>
      <x:c r="G1315" s="84" t="n">
        <x:v>0</x:v>
      </x:c>
      <x:c r="H1315" s="84" t="str">
        <x:v>Baixa pressão</x:v>
      </x:c>
      <x:c r="I1315" s="84" t="n">
        <x:v>403</x:v>
      </x:c>
      <x:c r="J1315" s="93" t="n">
        <x:v>12093.36</x:v>
      </x:c>
      <x:c r="K1315" s="85" t="str">
        <x:v>3º Turno</x:v>
      </x:c>
    </x:row>
    <x:row r="1316">
      <x:c r="A1316" s="83" t="n">
        <x:v>1315</x:v>
      </x:c>
      <x:c r="B1316" s="84" t="n">
        <x:v>66</x:v>
      </x:c>
      <x:c r="C1316" s="84" t="n">
        <x:v>2034</x:v>
      </x:c>
      <x:c r="D1316" s="89" t="n">
        <x:v>45727.6740625</x:v>
      </x:c>
      <x:c r="E1316" s="89" t="n">
        <x:v>45728.14420138889</x:v>
      </x:c>
      <x:c r="F1316" s="84" t="n">
        <x:v>677</x:v>
      </x:c>
      <x:c r="G1316" s="84" t="n">
        <x:v>1</x:v>
      </x:c>
      <x:c r="H1316" s="84" t="str">
        <x:v>Alarme intermitente</x:v>
      </x:c>
      <x:c r="I1316" s="84" t="n">
        <x:v>1309</x:v>
      </x:c>
      <x:c r="J1316" s="93" t="n">
        <x:v>23283.69</x:v>
      </x:c>
      <x:c r="K1316" s="85" t="str">
        <x:v>1º Turno</x:v>
      </x:c>
    </x:row>
    <x:row r="1317">
      <x:c r="A1317" s="83" t="n">
        <x:v>1316</x:v>
      </x:c>
      <x:c r="B1317" s="84" t="n">
        <x:v>44</x:v>
      </x:c>
      <x:c r="C1317" s="84" t="n">
        <x:v>2035</x:v>
      </x:c>
      <x:c r="D1317" s="89" t="n">
        <x:v>45092.411087962966</x:v>
      </x:c>
      <x:c r="E1317" s="89" t="n">
        <x:v>45092.70344907408</x:v>
      </x:c>
      <x:c r="F1317" s="84" t="n">
        <x:v>421</x:v>
      </x:c>
      <x:c r="G1317" s="84" t="n">
        <x:v>1</x:v>
      </x:c>
      <x:c r="H1317" s="84" t="str">
        <x:v>Superaquecimento</x:v>
      </x:c>
      <x:c r="I1317" s="84" t="n">
        <x:v>1052</x:v>
      </x:c>
      <x:c r="J1317" s="93" t="n">
        <x:v>15760.53</x:v>
      </x:c>
      <x:c r="K1317" s="85" t="str">
        <x:v>2º Turno</x:v>
      </x:c>
    </x:row>
    <x:row r="1318">
      <x:c r="A1318" s="83" t="n">
        <x:v>1317</x:v>
      </x:c>
      <x:c r="B1318" s="84" t="n">
        <x:v>66</x:v>
      </x:c>
      <x:c r="C1318" s="84" t="n">
        <x:v>2036</x:v>
      </x:c>
      <x:c r="D1318" s="89" t="n">
        <x:v>45875.27756944444</x:v>
      </x:c>
      <x:c r="E1318" s="89" t="n">
        <x:v>45875.55673611111</x:v>
      </x:c>
      <x:c r="F1318" s="84" t="n">
        <x:v>402</x:v>
      </x:c>
      <x:c r="G1318" s="84" t="n">
        <x:v>1</x:v>
      </x:c>
      <x:c r="H1318" s="84" t="str">
        <x:v>Vazamento</x:v>
      </x:c>
      <x:c r="I1318" s="84" t="n">
        <x:v>650</x:v>
      </x:c>
      <x:c r="J1318" s="93" t="n">
        <x:v>9050.31</x:v>
      </x:c>
      <x:c r="K1318" s="85" t="str">
        <x:v>3º Turno</x:v>
      </x:c>
    </x:row>
    <x:row r="1319">
      <x:c r="A1319" s="83" t="n">
        <x:v>1318</x:v>
      </x:c>
      <x:c r="B1319" s="84" t="n">
        <x:v>56</x:v>
      </x:c>
      <x:c r="C1319" s="84" t="n">
        <x:v>2039</x:v>
      </x:c>
      <x:c r="D1319" s="89" t="n">
        <x:v>45222.86136574074</x:v>
      </x:c>
      <x:c r="E1319" s="89" t="n">
        <x:v>45223.08081018519</x:v>
      </x:c>
      <x:c r="F1319" s="84" t="n">
        <x:v>316</x:v>
      </x:c>
      <x:c r="G1319" s="84" t="n">
        <x:v>1</x:v>
      </x:c>
      <x:c r="H1319" s="84" t="str">
        <x:v>Ruído anormal</x:v>
      </x:c>
      <x:c r="I1319" s="84" t="n">
        <x:v>764</x:v>
      </x:c>
      <x:c r="J1319" s="93" t="n">
        <x:v>9781.24</x:v>
      </x:c>
      <x:c r="K1319" s="85" t="str">
        <x:v>1º Turno</x:v>
      </x:c>
    </x:row>
    <x:row r="1320">
      <x:c r="A1320" s="83" t="n">
        <x:v>1319</x:v>
      </x:c>
      <x:c r="B1320" s="84" t="n">
        <x:v>23</x:v>
      </x:c>
      <x:c r="C1320" s="84" t="n">
        <x:v>2040</x:v>
      </x:c>
      <x:c r="D1320" s="89" t="n">
        <x:v>45076.80931712963</x:v>
      </x:c>
      <x:c r="E1320" s="89" t="n">
        <x:v>45076.917650462965</x:v>
      </x:c>
      <x:c r="F1320" s="84" t="n">
        <x:v>156</x:v>
      </x:c>
      <x:c r="G1320" s="84" t="n">
        <x:v>1</x:v>
      </x:c>
      <x:c r="H1320" s="84" t="str">
        <x:v>Baixa pressão</x:v>
      </x:c>
      <x:c r="I1320" s="84" t="n">
        <x:v>198</x:v>
      </x:c>
      <x:c r="J1320" s="93" t="n">
        <x:v>3837.55</x:v>
      </x:c>
      <x:c r="K1320" s="85" t="str">
        <x:v>2º Turno</x:v>
      </x:c>
    </x:row>
    <x:row r="1321">
      <x:c r="A1321" s="83" t="n">
        <x:v>1320</x:v>
      </x:c>
      <x:c r="B1321" s="84" t="n">
        <x:v>55</x:v>
      </x:c>
      <x:c r="C1321" s="84" t="n">
        <x:v>2041</x:v>
      </x:c>
      <x:c r="D1321" s="89" t="n">
        <x:v>45037.52056712963</x:v>
      </x:c>
      <x:c r="E1321" s="89" t="n">
        <x:v>45038.13862268518</x:v>
      </x:c>
      <x:c r="F1321" s="84" t="n">
        <x:v>890</x:v>
      </x:c>
      <x:c r="G1321" s="84" t="n">
        <x:v>1</x:v>
      </x:c>
      <x:c r="H1321" s="84" t="str">
        <x:v>Superaquecimento</x:v>
      </x:c>
      <x:c r="I1321" s="84" t="n">
        <x:v>964</x:v>
      </x:c>
      <x:c r="J1321" s="93" t="n">
        <x:v>47173.24</x:v>
      </x:c>
      <x:c r="K1321" s="85" t="str">
        <x:v>2º Turno</x:v>
      </x:c>
    </x:row>
    <x:row r="1322">
      <x:c r="A1322" s="83" t="n">
        <x:v>1321</x:v>
      </x:c>
      <x:c r="B1322" s="84" t="n">
        <x:v>26</x:v>
      </x:c>
      <x:c r="C1322" s="84" t="n">
        <x:v>2042</x:v>
      </x:c>
      <x:c r="D1322" s="89" t="n">
        <x:v>45151.42422453704</x:v>
      </x:c>
      <x:c r="E1322" s="89" t="n">
        <x:v>45152.02700231481</x:v>
      </x:c>
      <x:c r="F1322" s="84" t="n">
        <x:v>868</x:v>
      </x:c>
      <x:c r="G1322" s="84" t="n">
        <x:v>1</x:v>
      </x:c>
      <x:c r="H1322" s="84" t="str">
        <x:v>Vazamento</x:v>
      </x:c>
      <x:c r="I1322" s="84" t="n">
        <x:v>1157</x:v>
      </x:c>
      <x:c r="J1322" s="93" t="n">
        <x:v>20201.2</x:v>
      </x:c>
      <x:c r="K1322" s="85" t="str">
        <x:v>3º Turno</x:v>
      </x:c>
    </x:row>
    <x:row r="1323">
      <x:c r="A1323" s="83" t="n">
        <x:v>1322</x:v>
      </x:c>
      <x:c r="B1323" s="84" t="n">
        <x:v>1</x:v>
      </x:c>
      <x:c r="C1323" s="84" t="n">
        <x:v>2043</x:v>
      </x:c>
      <x:c r="D1323" s="89" t="n">
        <x:v>45377.20929398148</x:v>
      </x:c>
      <x:c r="E1323" s="89" t="n">
        <x:v>45377.40998842593</x:v>
      </x:c>
      <x:c r="F1323" s="84" t="n">
        <x:v>289</x:v>
      </x:c>
      <x:c r="G1323" s="84" t="n">
        <x:v>1</x:v>
      </x:c>
      <x:c r="H1323" s="84" t="str">
        <x:v>Vazamento</x:v>
      </x:c>
      <x:c r="I1323" s="84" t="n">
        <x:v>573</x:v>
      </x:c>
      <x:c r="J1323" s="93" t="n">
        <x:v>15500.37</x:v>
      </x:c>
      <x:c r="K1323" s="85" t="str">
        <x:v>1º Turno</x:v>
      </x:c>
    </x:row>
    <x:row r="1324">
      <x:c r="A1324" s="83" t="n">
        <x:v>1323</x:v>
      </x:c>
      <x:c r="B1324" s="84" t="n">
        <x:v>38</x:v>
      </x:c>
      <x:c r="C1324" s="84" t="n">
        <x:v>2045</x:v>
      </x:c>
      <x:c r="D1324" s="89" t="n">
        <x:v>45682.20429398148</x:v>
      </x:c>
      <x:c r="E1324" s="89" t="n">
        <x:v>45682.73832175926</x:v>
      </x:c>
      <x:c r="F1324" s="84" t="n">
        <x:v>769</x:v>
      </x:c>
      <x:c r="G1324" s="84" t="n">
        <x:v>1</x:v>
      </x:c>
      <x:c r="H1324" s="84" t="str">
        <x:v>Falha elétrica</x:v>
      </x:c>
      <x:c r="I1324" s="84" t="n">
        <x:v>1794</x:v>
      </x:c>
      <x:c r="J1324" s="93" t="n">
        <x:v>19213.24</x:v>
      </x:c>
      <x:c r="K1324" s="85" t="str">
        <x:v>1º Turno</x:v>
      </x:c>
    </x:row>
    <x:row r="1325">
      <x:c r="A1325" s="83" t="n">
        <x:v>1324</x:v>
      </x:c>
      <x:c r="B1325" s="84" t="n">
        <x:v>49</x:v>
      </x:c>
      <x:c r="C1325" s="84" t="n">
        <x:v>2046</x:v>
      </x:c>
      <x:c r="D1325" s="89" t="n">
        <x:v>45183.43814814815</x:v>
      </x:c>
      <x:c r="E1325" s="89" t="n">
        <x:v>45184.02773148148</x:v>
      </x:c>
      <x:c r="F1325" s="84" t="n">
        <x:v>849</x:v>
      </x:c>
      <x:c r="G1325" s="84" t="n">
        <x:v>1</x:v>
      </x:c>
      <x:c r="H1325" s="84" t="str">
        <x:v>Ruído anormal</x:v>
      </x:c>
      <x:c r="I1325" s="84" t="n">
        <x:v>1217</x:v>
      </x:c>
      <x:c r="J1325" s="93" t="n">
        <x:v>39548.39</x:v>
      </x:c>
      <x:c r="K1325" s="85" t="str">
        <x:v>2º Turno</x:v>
      </x:c>
    </x:row>
    <x:row r="1326">
      <x:c r="A1326" s="83" t="n">
        <x:v>1325</x:v>
      </x:c>
      <x:c r="B1326" s="84" t="n">
        <x:v>75</x:v>
      </x:c>
      <x:c r="C1326" s="84" t="n">
        <x:v>2047</x:v>
      </x:c>
      <x:c r="D1326" s="89" t="n">
        <x:v>45109.09460648148</x:v>
      </x:c>
      <x:c r="E1326" s="89" t="n">
        <x:v>45109.52724537037</x:v>
      </x:c>
      <x:c r="F1326" s="84" t="n">
        <x:v>623</x:v>
      </x:c>
      <x:c r="G1326" s="84" t="n">
        <x:v>1</x:v>
      </x:c>
      <x:c r="H1326" s="84" t="str">
        <x:v>Desalinhamento</x:v>
      </x:c>
      <x:c r="I1326" s="84" t="n">
        <x:v>1184</x:v>
      </x:c>
      <x:c r="J1326" s="93" t="n">
        <x:v>9391.99</x:v>
      </x:c>
      <x:c r="K1326" s="85" t="str">
        <x:v>1º Turno</x:v>
      </x:c>
    </x:row>
    <x:row r="1327">
      <x:c r="A1327" s="83" t="n">
        <x:v>1326</x:v>
      </x:c>
      <x:c r="B1327" s="84" t="n">
        <x:v>50</x:v>
      </x:c>
      <x:c r="C1327" s="84" t="n">
        <x:v>2049</x:v>
      </x:c>
      <x:c r="D1327" s="89" t="n">
        <x:v>45039.07199074074</x:v>
      </x:c>
      <x:c r="E1327" s="89" t="n">
        <x:v>45039.23587962963</x:v>
      </x:c>
      <x:c r="F1327" s="84" t="n">
        <x:v>236</x:v>
      </x:c>
      <x:c r="G1327" s="84" t="n">
        <x:v>1</x:v>
      </x:c>
      <x:c r="H1327" s="84" t="str">
        <x:v>Falha elétrica</x:v>
      </x:c>
      <x:c r="I1327" s="84" t="n">
        <x:v>252</x:v>
      </x:c>
      <x:c r="J1327" s="93" t="n">
        <x:v>4660.57</x:v>
      </x:c>
      <x:c r="K1327" s="85" t="str">
        <x:v>3º Turno</x:v>
      </x:c>
    </x:row>
    <x:row r="1328">
      <x:c r="A1328" s="83" t="n">
        <x:v>1327</x:v>
      </x:c>
      <x:c r="B1328" s="84" t="n">
        <x:v>5</x:v>
      </x:c>
      <x:c r="C1328" s="84" t="n">
        <x:v>2050</x:v>
      </x:c>
      <x:c r="D1328" s="89" t="n">
        <x:v>45874.67765046296</x:v>
      </x:c>
      <x:c r="E1328" s="89" t="n">
        <x:v>45875.170011574075</x:v>
      </x:c>
      <x:c r="F1328" s="84" t="n">
        <x:v>709</x:v>
      </x:c>
      <x:c r="G1328" s="84" t="n">
        <x:v>1</x:v>
      </x:c>
      <x:c r="H1328" s="84" t="str">
        <x:v>Vazamento</x:v>
      </x:c>
      <x:c r="I1328" s="84" t="n">
        <x:v>945</x:v>
      </x:c>
      <x:c r="J1328" s="93" t="n">
        <x:v>33147.81</x:v>
      </x:c>
      <x:c r="K1328" s="85" t="str">
        <x:v>2º Turno</x:v>
      </x:c>
    </x:row>
    <x:row r="1329">
      <x:c r="A1329" s="83" t="n">
        <x:v>1328</x:v>
      </x:c>
      <x:c r="B1329" s="84" t="n">
        <x:v>85</x:v>
      </x:c>
      <x:c r="C1329" s="84" t="n">
        <x:v>2052</x:v>
      </x:c>
      <x:c r="D1329" s="89" t="n">
        <x:v>44965.53979166667</x:v>
      </x:c>
      <x:c r="E1329" s="89" t="n">
        <x:v>44965.57034722222</x:v>
      </x:c>
      <x:c r="F1329" s="84" t="n">
        <x:v>44</x:v>
      </x:c>
      <x:c r="G1329" s="84" t="n">
        <x:v>1</x:v>
      </x:c>
      <x:c r="H1329" s="84" t="str">
        <x:v>Falha elétrica</x:v>
      </x:c>
      <x:c r="I1329" s="84" t="n">
        <x:v>55</x:v>
      </x:c>
      <x:c r="J1329" s="93" t="n">
        <x:v>1734.59</x:v>
      </x:c>
      <x:c r="K1329" s="85" t="str">
        <x:v>1º Turno</x:v>
      </x:c>
    </x:row>
    <x:row r="1330">
      <x:c r="A1330" s="83" t="n">
        <x:v>1329</x:v>
      </x:c>
      <x:c r="B1330" s="84" t="n">
        <x:v>11</x:v>
      </x:c>
      <x:c r="C1330" s="84" t="n">
        <x:v>2054</x:v>
      </x:c>
      <x:c r="D1330" s="89" t="n">
        <x:v>45964.70043981481</x:v>
      </x:c>
      <x:c r="E1330" s="89" t="n">
        <x:v>45965.108078703706</x:v>
      </x:c>
      <x:c r="F1330" s="84" t="n">
        <x:v>587</x:v>
      </x:c>
      <x:c r="G1330" s="84" t="n">
        <x:v>1</x:v>
      </x:c>
      <x:c r="H1330" s="84" t="str">
        <x:v>Ruído anormal</x:v>
      </x:c>
      <x:c r="I1330" s="84" t="n">
        <x:v>1419</x:v>
      </x:c>
      <x:c r="J1330" s="93" t="n">
        <x:v>29924.58</x:v>
      </x:c>
      <x:c r="K1330" s="85" t="str">
        <x:v>3º Turno</x:v>
      </x:c>
    </x:row>
    <x:row r="1331">
      <x:c r="A1331" s="83" t="n">
        <x:v>1330</x:v>
      </x:c>
      <x:c r="B1331" s="84" t="n">
        <x:v>77</x:v>
      </x:c>
      <x:c r="C1331" s="84" t="n">
        <x:v>2055</x:v>
      </x:c>
      <x:c r="D1331" s="89" t="n">
        <x:v>45088.987129629626</x:v>
      </x:c>
      <x:c r="E1331" s="89" t="n">
        <x:v>45089.515601851854</x:v>
      </x:c>
      <x:c r="F1331" s="84" t="n">
        <x:v>761</x:v>
      </x:c>
      <x:c r="G1331" s="84" t="n">
        <x:v>1</x:v>
      </x:c>
      <x:c r="H1331" s="84" t="str">
        <x:v>Alarme intermitente</x:v>
      </x:c>
      <x:c r="I1331" s="84" t="n">
        <x:v>774</x:v>
      </x:c>
      <x:c r="J1331" s="93" t="n">
        <x:v>41971.24</x:v>
      </x:c>
      <x:c r="K1331" s="85" t="str">
        <x:v>3º Turno</x:v>
      </x:c>
    </x:row>
    <x:row r="1332">
      <x:c r="A1332" s="83" t="n">
        <x:v>1331</x:v>
      </x:c>
      <x:c r="B1332" s="84" t="n">
        <x:v>75</x:v>
      </x:c>
      <x:c r="C1332" s="84" t="n">
        <x:v>2056</x:v>
      </x:c>
      <x:c r="D1332" s="89" t="n">
        <x:v>45531.221666666665</x:v>
      </x:c>
      <x:c r="E1332" s="89" t="n">
        <x:v>45531.57513888889</x:v>
      </x:c>
      <x:c r="F1332" s="84" t="n">
        <x:v>509</x:v>
      </x:c>
      <x:c r="G1332" s="84" t="n">
        <x:v>0</x:v>
      </x:c>
      <x:c r="H1332" s="84" t="str">
        <x:v>Superaquecimento</x:v>
      </x:c>
      <x:c r="I1332" s="84" t="n">
        <x:v>1035</x:v>
      </x:c>
      <x:c r="J1332" s="93" t="n">
        <x:v>16842.36</x:v>
      </x:c>
      <x:c r="K1332" s="85" t="str">
        <x:v>1º Turno</x:v>
      </x:c>
    </x:row>
    <x:row r="1333">
      <x:c r="A1333" s="83" t="n">
        <x:v>1332</x:v>
      </x:c>
      <x:c r="B1333" s="84" t="n">
        <x:v>71</x:v>
      </x:c>
      <x:c r="C1333" s="84" t="n">
        <x:v>2057</x:v>
      </x:c>
      <x:c r="D1333" s="89" t="n">
        <x:v>45341.098078703704</x:v>
      </x:c>
      <x:c r="E1333" s="89" t="n">
        <x:v>45341.55363425926</x:v>
      </x:c>
      <x:c r="F1333" s="84" t="n">
        <x:v>656</x:v>
      </x:c>
      <x:c r="G1333" s="84" t="n">
        <x:v>0</x:v>
      </x:c>
      <x:c r="H1333" s="84" t="str">
        <x:v>Baixa pressão</x:v>
      </x:c>
      <x:c r="I1333" s="84" t="n">
        <x:v>886</x:v>
      </x:c>
      <x:c r="J1333" s="93" t="n">
        <x:v>27605.63</x:v>
      </x:c>
      <x:c r="K1333" s="85" t="str">
        <x:v>3º Turno</x:v>
      </x:c>
    </x:row>
    <x:row r="1334">
      <x:c r="A1334" s="83" t="n">
        <x:v>1333</x:v>
      </x:c>
      <x:c r="B1334" s="84" t="n">
        <x:v>32</x:v>
      </x:c>
      <x:c r="C1334" s="84" t="n">
        <x:v>2058</x:v>
      </x:c>
      <x:c r="D1334" s="89" t="n">
        <x:v>45320.95060185185</x:v>
      </x:c>
      <x:c r="E1334" s="89" t="n">
        <x:v>45321.563796296294</x:v>
      </x:c>
      <x:c r="F1334" s="84" t="n">
        <x:v>883</x:v>
      </x:c>
      <x:c r="G1334" s="84" t="n">
        <x:v>0</x:v>
      </x:c>
      <x:c r="H1334" s="84" t="str">
        <x:v>Ruído anormal</x:v>
      </x:c>
      <x:c r="I1334" s="84" t="n">
        <x:v>1781</x:v>
      </x:c>
      <x:c r="J1334" s="93" t="n">
        <x:v>38784.82</x:v>
      </x:c>
      <x:c r="K1334" s="85" t="str">
        <x:v>2º Turno</x:v>
      </x:c>
    </x:row>
    <x:row r="1335">
      <x:c r="A1335" s="83" t="n">
        <x:v>1334</x:v>
      </x:c>
      <x:c r="B1335" s="84" t="n">
        <x:v>5</x:v>
      </x:c>
      <x:c r="C1335" s="84" t="n">
        <x:v>2059</x:v>
      </x:c>
      <x:c r="D1335" s="89" t="n">
        <x:v>45611.93748842592</x:v>
      </x:c>
      <x:c r="E1335" s="89" t="n">
        <x:v>45612.26943287037</x:v>
      </x:c>
      <x:c r="F1335" s="84" t="n">
        <x:v>478</x:v>
      </x:c>
      <x:c r="G1335" s="84" t="n">
        <x:v>1</x:v>
      </x:c>
      <x:c r="H1335" s="84" t="str">
        <x:v>Falha elétrica</x:v>
      </x:c>
      <x:c r="I1335" s="84" t="n">
        <x:v>741</x:v>
      </x:c>
      <x:c r="J1335" s="93" t="n">
        <x:v>13061.59</x:v>
      </x:c>
      <x:c r="K1335" s="85" t="str">
        <x:v>2º Turno</x:v>
      </x:c>
    </x:row>
    <x:row r="1336">
      <x:c r="A1336" s="83" t="n">
        <x:v>1335</x:v>
      </x:c>
      <x:c r="B1336" s="84" t="n">
        <x:v>49</x:v>
      </x:c>
      <x:c r="C1336" s="84" t="n">
        <x:v>2061</x:v>
      </x:c>
      <x:c r="D1336" s="89" t="n">
        <x:v>45101.49413194445</x:v>
      </x:c>
      <x:c r="E1336" s="89" t="n">
        <x:v>45101.98163194444</x:v>
      </x:c>
      <x:c r="F1336" s="84" t="n">
        <x:v>702</x:v>
      </x:c>
      <x:c r="G1336" s="84" t="n">
        <x:v>1</x:v>
      </x:c>
      <x:c r="H1336" s="84" t="str">
        <x:v>Vazamento</x:v>
      </x:c>
      <x:c r="I1336" s="84" t="n">
        <x:v>1404</x:v>
      </x:c>
      <x:c r="J1336" s="93" t="n">
        <x:v>21021.29</x:v>
      </x:c>
      <x:c r="K1336" s="85" t="str">
        <x:v>1º Turno</x:v>
      </x:c>
    </x:row>
    <x:row r="1337">
      <x:c r="A1337" s="83" t="n">
        <x:v>1336</x:v>
      </x:c>
      <x:c r="B1337" s="84" t="n">
        <x:v>28</x:v>
      </x:c>
      <x:c r="C1337" s="84" t="n">
        <x:v>2062</x:v>
      </x:c>
      <x:c r="D1337" s="89" t="n">
        <x:v>45050.14943287037</x:v>
      </x:c>
      <x:c r="E1337" s="89" t="n">
        <x:v>45050.26540509259</x:v>
      </x:c>
      <x:c r="F1337" s="84" t="n">
        <x:v>167</x:v>
      </x:c>
      <x:c r="G1337" s="84" t="n">
        <x:v>1</x:v>
      </x:c>
      <x:c r="H1337" s="84" t="str">
        <x:v>Vazamento</x:v>
      </x:c>
      <x:c r="I1337" s="84" t="n">
        <x:v>320</x:v>
      </x:c>
      <x:c r="J1337" s="93" t="n">
        <x:v>2255.8</x:v>
      </x:c>
      <x:c r="K1337" s="85" t="str">
        <x:v>2º Turno</x:v>
      </x:c>
    </x:row>
    <x:row r="1338">
      <x:c r="A1338" s="83" t="n">
        <x:v>1337</x:v>
      </x:c>
      <x:c r="B1338" s="84" t="n">
        <x:v>37</x:v>
      </x:c>
      <x:c r="C1338" s="84" t="n">
        <x:v>2063</x:v>
      </x:c>
      <x:c r="D1338" s="89" t="n">
        <x:v>45872.49789351852</x:v>
      </x:c>
      <x:c r="E1338" s="89" t="n">
        <x:v>45872.90553240741</x:v>
      </x:c>
      <x:c r="F1338" s="84" t="n">
        <x:v>587</x:v>
      </x:c>
      <x:c r="G1338" s="84" t="n">
        <x:v>1</x:v>
      </x:c>
      <x:c r="H1338" s="84" t="str">
        <x:v>Desalinhamento</x:v>
      </x:c>
      <x:c r="I1338" s="84" t="n">
        <x:v>1194</x:v>
      </x:c>
      <x:c r="J1338" s="93" t="n">
        <x:v>25419.37</x:v>
      </x:c>
      <x:c r="K1338" s="85" t="str">
        <x:v>1º Turno</x:v>
      </x:c>
    </x:row>
    <x:row r="1339">
      <x:c r="A1339" s="83" t="n">
        <x:v>1338</x:v>
      </x:c>
      <x:c r="B1339" s="84" t="n">
        <x:v>49</x:v>
      </x:c>
      <x:c r="C1339" s="84" t="n">
        <x:v>2064</x:v>
      </x:c>
      <x:c r="D1339" s="89" t="n">
        <x:v>45810.16166666667</x:v>
      </x:c>
      <x:c r="E1339" s="89" t="n">
        <x:v>45810.61861111111</x:v>
      </x:c>
      <x:c r="F1339" s="84" t="n">
        <x:v>658</x:v>
      </x:c>
      <x:c r="G1339" s="84" t="n">
        <x:v>0</x:v>
      </x:c>
      <x:c r="H1339" s="84" t="str">
        <x:v>Ruído anormal</x:v>
      </x:c>
      <x:c r="I1339" s="84" t="n">
        <x:v>790</x:v>
      </x:c>
      <x:c r="J1339" s="93" t="n">
        <x:v>33892.64</x:v>
      </x:c>
      <x:c r="K1339" s="85" t="str">
        <x:v>1º Turno</x:v>
      </x:c>
    </x:row>
    <x:row r="1340">
      <x:c r="A1340" s="83" t="n">
        <x:v>1339</x:v>
      </x:c>
      <x:c r="B1340" s="84" t="n">
        <x:v>53</x:v>
      </x:c>
      <x:c r="C1340" s="84" t="n">
        <x:v>2065</x:v>
      </x:c>
      <x:c r="D1340" s="89" t="n">
        <x:v>45684.915821759256</x:v>
      </x:c>
      <x:c r="E1340" s="89" t="n">
        <x:v>45685.32346064815</x:v>
      </x:c>
      <x:c r="F1340" s="84" t="n">
        <x:v>587</x:v>
      </x:c>
      <x:c r="G1340" s="84" t="n">
        <x:v>0</x:v>
      </x:c>
      <x:c r="H1340" s="84" t="str">
        <x:v>Alarme intermitente</x:v>
      </x:c>
      <x:c r="I1340" s="84" t="n">
        <x:v>1399</x:v>
      </x:c>
      <x:c r="J1340" s="93" t="n">
        <x:v>30555.7</x:v>
      </x:c>
      <x:c r="K1340" s="85" t="str">
        <x:v>2º Turno</x:v>
      </x:c>
    </x:row>
    <x:row r="1341">
      <x:c r="A1341" s="83" t="n">
        <x:v>1340</x:v>
      </x:c>
      <x:c r="B1341" s="84" t="n">
        <x:v>22</x:v>
      </x:c>
      <x:c r="C1341" s="84" t="n">
        <x:v>2066</x:v>
      </x:c>
      <x:c r="D1341" s="89" t="n">
        <x:v>45729.80980324074</x:v>
      </x:c>
      <x:c r="E1341" s="89" t="n">
        <x:v>45729.852164351854</x:v>
      </x:c>
      <x:c r="F1341" s="84" t="n">
        <x:v>61</x:v>
      </x:c>
      <x:c r="G1341" s="84" t="n">
        <x:v>1</x:v>
      </x:c>
      <x:c r="H1341" s="84" t="str">
        <x:v>Falha elétrica</x:v>
      </x:c>
      <x:c r="I1341" s="84" t="n">
        <x:v>67</x:v>
      </x:c>
      <x:c r="J1341" s="93" t="n">
        <x:v>2861.62</x:v>
      </x:c>
      <x:c r="K1341" s="85" t="str">
        <x:v>1º Turno</x:v>
      </x:c>
    </x:row>
    <x:row r="1342">
      <x:c r="A1342" s="83" t="n">
        <x:v>1341</x:v>
      </x:c>
      <x:c r="B1342" s="84" t="n">
        <x:v>24</x:v>
      </x:c>
      <x:c r="C1342" s="84" t="n">
        <x:v>2067</x:v>
      </x:c>
      <x:c r="D1342" s="89" t="n">
        <x:v>45328.38931712963</x:v>
      </x:c>
      <x:c r="E1342" s="89" t="n">
        <x:v>45328.71640046296</x:v>
      </x:c>
      <x:c r="F1342" s="84" t="n">
        <x:v>471</x:v>
      </x:c>
      <x:c r="G1342" s="84" t="n">
        <x:v>1</x:v>
      </x:c>
      <x:c r="H1342" s="84" t="str">
        <x:v>Desalinhamento</x:v>
      </x:c>
      <x:c r="I1342" s="84" t="n">
        <x:v>746</x:v>
      </x:c>
      <x:c r="J1342" s="93" t="n">
        <x:v>12112.76</x:v>
      </x:c>
      <x:c r="K1342" s="85" t="str">
        <x:v>1º Turno</x:v>
      </x:c>
    </x:row>
    <x:row r="1343">
      <x:c r="A1343" s="83" t="n">
        <x:v>1342</x:v>
      </x:c>
      <x:c r="B1343" s="84" t="n">
        <x:v>49</x:v>
      </x:c>
      <x:c r="C1343" s="84" t="n">
        <x:v>2069</x:v>
      </x:c>
      <x:c r="D1343" s="89" t="n">
        <x:v>45802.722905092596</x:v>
      </x:c>
      <x:c r="E1343" s="89" t="n">
        <x:v>45803.08887731482</x:v>
      </x:c>
      <x:c r="F1343" s="84" t="n">
        <x:v>527</x:v>
      </x:c>
      <x:c r="G1343" s="84" t="n">
        <x:v>0</x:v>
      </x:c>
      <x:c r="H1343" s="84" t="str">
        <x:v>Vazamento</x:v>
      </x:c>
      <x:c r="I1343" s="84" t="n">
        <x:v>1063</x:v>
      </x:c>
      <x:c r="J1343" s="93" t="n">
        <x:v>20690.82</x:v>
      </x:c>
      <x:c r="K1343" s="85" t="str">
        <x:v>2º Turno</x:v>
      </x:c>
    </x:row>
    <x:row r="1344">
      <x:c r="A1344" s="83" t="n">
        <x:v>1343</x:v>
      </x:c>
      <x:c r="B1344" s="84" t="n">
        <x:v>57</x:v>
      </x:c>
      <x:c r="C1344" s="84" t="n">
        <x:v>2072</x:v>
      </x:c>
      <x:c r="D1344" s="89" t="n">
        <x:v>45019.282314814816</x:v>
      </x:c>
      <x:c r="E1344" s="89" t="n">
        <x:v>45019.74898148148</x:v>
      </x:c>
      <x:c r="F1344" s="84" t="n">
        <x:v>672</x:v>
      </x:c>
      <x:c r="G1344" s="84" t="n">
        <x:v>1</x:v>
      </x:c>
      <x:c r="H1344" s="84" t="str">
        <x:v>Alarme intermitente</x:v>
      </x:c>
      <x:c r="I1344" s="84" t="n">
        <x:v>1019</x:v>
      </x:c>
      <x:c r="J1344" s="93" t="n">
        <x:v>36583.21</x:v>
      </x:c>
      <x:c r="K1344" s="85" t="str">
        <x:v>3º Turno</x:v>
      </x:c>
    </x:row>
    <x:row r="1345">
      <x:c r="A1345" s="83" t="n">
        <x:v>1344</x:v>
      </x:c>
      <x:c r="B1345" s="84" t="n">
        <x:v>26</x:v>
      </x:c>
      <x:c r="C1345" s="84" t="n">
        <x:v>2073</x:v>
      </x:c>
      <x:c r="D1345" s="89" t="n">
        <x:v>44985.80327546296</x:v>
      </x:c>
      <x:c r="E1345" s="89" t="n">
        <x:v>44986.03938657408</x:v>
      </x:c>
      <x:c r="F1345" s="84" t="n">
        <x:v>340</x:v>
      </x:c>
      <x:c r="G1345" s="84" t="n">
        <x:v>1</x:v>
      </x:c>
      <x:c r="H1345" s="84" t="str">
        <x:v>Vazamento</x:v>
      </x:c>
      <x:c r="I1345" s="84" t="n">
        <x:v>544</x:v>
      </x:c>
      <x:c r="J1345" s="93" t="n">
        <x:v>18305.66</x:v>
      </x:c>
      <x:c r="K1345" s="85" t="str">
        <x:v>1º Turno</x:v>
      </x:c>
    </x:row>
    <x:row r="1346">
      <x:c r="A1346" s="83" t="n">
        <x:v>1345</x:v>
      </x:c>
      <x:c r="B1346" s="84" t="n">
        <x:v>15</x:v>
      </x:c>
      <x:c r="C1346" s="84" t="n">
        <x:v>2074</x:v>
      </x:c>
      <x:c r="D1346" s="89" t="n">
        <x:v>45248.01592592592</x:v>
      </x:c>
      <x:c r="E1346" s="89" t="n">
        <x:v>45248.54717592592</x:v>
      </x:c>
      <x:c r="F1346" s="84" t="n">
        <x:v>765</x:v>
      </x:c>
      <x:c r="G1346" s="84" t="n">
        <x:v>1</x:v>
      </x:c>
      <x:c r="H1346" s="84" t="str">
        <x:v>Alarme intermitente</x:v>
      </x:c>
      <x:c r="I1346" s="84" t="n">
        <x:v>790</x:v>
      </x:c>
      <x:c r="J1346" s="93" t="n">
        <x:v>34939.17</x:v>
      </x:c>
      <x:c r="K1346" s="85" t="str">
        <x:v>1º Turno</x:v>
      </x:c>
    </x:row>
    <x:row r="1347">
      <x:c r="A1347" s="83" t="n">
        <x:v>1346</x:v>
      </x:c>
      <x:c r="B1347" s="84" t="n">
        <x:v>65</x:v>
      </x:c>
      <x:c r="C1347" s="84" t="n">
        <x:v>2075</x:v>
      </x:c>
      <x:c r="D1347" s="89" t="n">
        <x:v>45557.21209490741</x:v>
      </x:c>
      <x:c r="E1347" s="89" t="n">
        <x:v>45557.53501157407</x:v>
      </x:c>
      <x:c r="F1347" s="84" t="n">
        <x:v>465</x:v>
      </x:c>
      <x:c r="G1347" s="84" t="n">
        <x:v>1</x:v>
      </x:c>
      <x:c r="H1347" s="84" t="str">
        <x:v>Desalinhamento</x:v>
      </x:c>
      <x:c r="I1347" s="84" t="n">
        <x:v>907</x:v>
      </x:c>
      <x:c r="J1347" s="93" t="n">
        <x:v>25126.62</x:v>
      </x:c>
      <x:c r="K1347" s="85" t="str">
        <x:v>1º Turno</x:v>
      </x:c>
    </x:row>
    <x:row r="1348">
      <x:c r="A1348" s="83" t="n">
        <x:v>1347</x:v>
      </x:c>
      <x:c r="B1348" s="84" t="n">
        <x:v>12</x:v>
      </x:c>
      <x:c r="C1348" s="84" t="n">
        <x:v>2079</x:v>
      </x:c>
      <x:c r="D1348" s="89" t="n">
        <x:v>45907.49254629629</x:v>
      </x:c>
      <x:c r="E1348" s="89" t="n">
        <x:v>45908.0987962963</x:v>
      </x:c>
      <x:c r="F1348" s="84" t="n">
        <x:v>873</x:v>
      </x:c>
      <x:c r="G1348" s="84" t="n">
        <x:v>0</x:v>
      </x:c>
      <x:c r="H1348" s="84" t="str">
        <x:v>Superaquecimento</x:v>
      </x:c>
      <x:c r="I1348" s="84" t="n">
        <x:v>1484</x:v>
      </x:c>
      <x:c r="J1348" s="93" t="n">
        <x:v>35820.74</x:v>
      </x:c>
      <x:c r="K1348" s="85" t="str">
        <x:v>1º Turno</x:v>
      </x:c>
    </x:row>
    <x:row r="1349">
      <x:c r="A1349" s="83" t="n">
        <x:v>1348</x:v>
      </x:c>
      <x:c r="B1349" s="84" t="n">
        <x:v>3</x:v>
      </x:c>
      <x:c r="C1349" s="84" t="n">
        <x:v>2080</x:v>
      </x:c>
      <x:c r="D1349" s="89" t="n">
        <x:v>45864.69484953704</x:v>
      </x:c>
      <x:c r="E1349" s="89" t="n">
        <x:v>45864.86221064815</x:v>
      </x:c>
      <x:c r="F1349" s="84" t="n">
        <x:v>241</x:v>
      </x:c>
      <x:c r="G1349" s="84" t="n">
        <x:v>1</x:v>
      </x:c>
      <x:c r="H1349" s="84" t="str">
        <x:v>Falha elétrica</x:v>
      </x:c>
      <x:c r="I1349" s="84" t="n">
        <x:v>574</x:v>
      </x:c>
      <x:c r="J1349" s="93" t="n">
        <x:v>3329.31</x:v>
      </x:c>
      <x:c r="K1349" s="85" t="str">
        <x:v>2º Turno</x:v>
      </x:c>
    </x:row>
    <x:row r="1350">
      <x:c r="A1350" s="83" t="n">
        <x:v>1349</x:v>
      </x:c>
      <x:c r="B1350" s="84" t="n">
        <x:v>49</x:v>
      </x:c>
      <x:c r="C1350" s="84" t="n">
        <x:v>2083</x:v>
      </x:c>
      <x:c r="D1350" s="89" t="n">
        <x:v>45554.17377314815</x:v>
      </x:c>
      <x:c r="E1350" s="89" t="n">
        <x:v>45554.717523148145</x:v>
      </x:c>
      <x:c r="F1350" s="84" t="n">
        <x:v>783</x:v>
      </x:c>
      <x:c r="G1350" s="84" t="n">
        <x:v>1</x:v>
      </x:c>
      <x:c r="H1350" s="84" t="str">
        <x:v>Desalinhamento</x:v>
      </x:c>
      <x:c r="I1350" s="84" t="n">
        <x:v>1057</x:v>
      </x:c>
      <x:c r="J1350" s="93" t="n">
        <x:v>34679.73</x:v>
      </x:c>
      <x:c r="K1350" s="85" t="str">
        <x:v>3º Turno</x:v>
      </x:c>
    </x:row>
    <x:row r="1351">
      <x:c r="A1351" s="83" t="n">
        <x:v>1350</x:v>
      </x:c>
      <x:c r="B1351" s="84" t="n">
        <x:v>16</x:v>
      </x:c>
      <x:c r="C1351" s="84" t="n">
        <x:v>2084</x:v>
      </x:c>
      <x:c r="D1351" s="89" t="n">
        <x:v>45963.00576388889</x:v>
      </x:c>
      <x:c r="E1351" s="89" t="n">
        <x:v>45963.20229166667</x:v>
      </x:c>
      <x:c r="F1351" s="84" t="n">
        <x:v>283</x:v>
      </x:c>
      <x:c r="G1351" s="84" t="n">
        <x:v>1</x:v>
      </x:c>
      <x:c r="H1351" s="84" t="str">
        <x:v>Desalinhamento</x:v>
      </x:c>
      <x:c r="I1351" s="84" t="n">
        <x:v>627</x:v>
      </x:c>
      <x:c r="J1351" s="93" t="n">
        <x:v>4144.03</x:v>
      </x:c>
      <x:c r="K1351" s="85" t="str">
        <x:v>1º Turno</x:v>
      </x:c>
    </x:row>
    <x:row r="1352">
      <x:c r="A1352" s="83" t="n">
        <x:v>1351</x:v>
      </x:c>
      <x:c r="B1352" s="84" t="n">
        <x:v>56</x:v>
      </x:c>
      <x:c r="C1352" s="84" t="n">
        <x:v>2085</x:v>
      </x:c>
      <x:c r="D1352" s="89" t="n">
        <x:v>45860.81015046296</x:v>
      </x:c>
      <x:c r="E1352" s="89" t="n">
        <x:v>45860.83931712963</x:v>
      </x:c>
      <x:c r="F1352" s="84" t="n">
        <x:v>42</x:v>
      </x:c>
      <x:c r="G1352" s="84" t="n">
        <x:v>0</x:v>
      </x:c>
      <x:c r="H1352" s="84" t="str">
        <x:v>Ruído anormal</x:v>
      </x:c>
      <x:c r="I1352" s="84" t="n">
        <x:v>58</x:v>
      </x:c>
      <x:c r="J1352" s="93" t="n">
        <x:v>1603.23</x:v>
      </x:c>
      <x:c r="K1352" s="85" t="str">
        <x:v>3º Turno</x:v>
      </x:c>
    </x:row>
    <x:row r="1353">
      <x:c r="A1353" s="83" t="n">
        <x:v>1352</x:v>
      </x:c>
      <x:c r="B1353" s="84" t="n">
        <x:v>34</x:v>
      </x:c>
      <x:c r="C1353" s="84" t="n">
        <x:v>2086</x:v>
      </x:c>
      <x:c r="D1353" s="89" t="n">
        <x:v>45049.997349537036</x:v>
      </x:c>
      <x:c r="E1353" s="89" t="n">
        <x:v>45050.21679398148</x:v>
      </x:c>
      <x:c r="F1353" s="84" t="n">
        <x:v>316</x:v>
      </x:c>
      <x:c r="G1353" s="84" t="n">
        <x:v>0</x:v>
      </x:c>
      <x:c r="H1353" s="84" t="str">
        <x:v>Baixa pressão</x:v>
      </x:c>
      <x:c r="I1353" s="84" t="n">
        <x:v>737</x:v>
      </x:c>
      <x:c r="J1353" s="93" t="n">
        <x:v>8429.6</x:v>
      </x:c>
      <x:c r="K1353" s="85" t="str">
        <x:v>1º Turno</x:v>
      </x:c>
    </x:row>
    <x:row r="1354">
      <x:c r="A1354" s="83" t="n">
        <x:v>1353</x:v>
      </x:c>
      <x:c r="B1354" s="84" t="n">
        <x:v>48</x:v>
      </x:c>
      <x:c r="C1354" s="84" t="n">
        <x:v>2087</x:v>
      </x:c>
      <x:c r="D1354" s="89" t="n">
        <x:v>45647.09427083333</x:v>
      </x:c>
      <x:c r="E1354" s="89" t="n">
        <x:v>45647.35607638889</x:v>
      </x:c>
      <x:c r="F1354" s="84" t="n">
        <x:v>377</x:v>
      </x:c>
      <x:c r="G1354" s="84" t="n">
        <x:v>1</x:v>
      </x:c>
      <x:c r="H1354" s="84" t="str">
        <x:v>Desalinhamento</x:v>
      </x:c>
      <x:c r="I1354" s="84" t="n">
        <x:v>697</x:v>
      </x:c>
      <x:c r="J1354" s="93" t="n">
        <x:v>12736.45</x:v>
      </x:c>
      <x:c r="K1354" s="85" t="str">
        <x:v>1º Turno</x:v>
      </x:c>
    </x:row>
    <x:row r="1355">
      <x:c r="A1355" s="83" t="n">
        <x:v>1354</x:v>
      </x:c>
      <x:c r="B1355" s="84" t="n">
        <x:v>25</x:v>
      </x:c>
      <x:c r="C1355" s="84" t="n">
        <x:v>2088</x:v>
      </x:c>
      <x:c r="D1355" s="89" t="n">
        <x:v>45434.74633101852</x:v>
      </x:c>
      <x:c r="E1355" s="89" t="n">
        <x:v>45435.35119212963</x:v>
      </x:c>
      <x:c r="F1355" s="84" t="n">
        <x:v>871</x:v>
      </x:c>
      <x:c r="G1355" s="84" t="n">
        <x:v>1</x:v>
      </x:c>
      <x:c r="H1355" s="84" t="str">
        <x:v>Desalinhamento</x:v>
      </x:c>
      <x:c r="I1355" s="84" t="n">
        <x:v>1248</x:v>
      </x:c>
      <x:c r="J1355" s="93" t="n">
        <x:v>37167.11</x:v>
      </x:c>
      <x:c r="K1355" s="85" t="str">
        <x:v>3º Turno</x:v>
      </x:c>
    </x:row>
    <x:row r="1356">
      <x:c r="A1356" s="83" t="n">
        <x:v>1355</x:v>
      </x:c>
      <x:c r="B1356" s="84" t="n">
        <x:v>31</x:v>
      </x:c>
      <x:c r="C1356" s="84" t="n">
        <x:v>2089</x:v>
      </x:c>
      <x:c r="D1356" s="89" t="n">
        <x:v>45546.04922453704</x:v>
      </x:c>
      <x:c r="E1356" s="89" t="n">
        <x:v>45546.23116898148</x:v>
      </x:c>
      <x:c r="F1356" s="84" t="n">
        <x:v>262</x:v>
      </x:c>
      <x:c r="G1356" s="84" t="n">
        <x:v>0</x:v>
      </x:c>
      <x:c r="H1356" s="84" t="str">
        <x:v>Vazamento</x:v>
      </x:c>
      <x:c r="I1356" s="84" t="n">
        <x:v>568</x:v>
      </x:c>
      <x:c r="J1356" s="93" t="n">
        <x:v>8398.19</x:v>
      </x:c>
      <x:c r="K1356" s="85" t="str">
        <x:v>3º Turno</x:v>
      </x:c>
    </x:row>
    <x:row r="1357">
      <x:c r="A1357" s="83" t="n">
        <x:v>1356</x:v>
      </x:c>
      <x:c r="B1357" s="84" t="n">
        <x:v>26</x:v>
      </x:c>
      <x:c r="C1357" s="84" t="n">
        <x:v>2092</x:v>
      </x:c>
      <x:c r="D1357" s="89" t="n">
        <x:v>45623.61056712963</x:v>
      </x:c>
      <x:c r="E1357" s="89" t="n">
        <x:v>45624.06890046296</x:v>
      </x:c>
      <x:c r="F1357" s="84" t="n">
        <x:v>660</x:v>
      </x:c>
      <x:c r="G1357" s="84" t="n">
        <x:v>1</x:v>
      </x:c>
      <x:c r="H1357" s="84" t="str">
        <x:v>Vazamento</x:v>
      </x:c>
      <x:c r="I1357" s="84" t="n">
        <x:v>1496</x:v>
      </x:c>
      <x:c r="J1357" s="93" t="n">
        <x:v>26296.22</x:v>
      </x:c>
      <x:c r="K1357" s="85" t="str">
        <x:v>3º Turno</x:v>
      </x:c>
    </x:row>
    <x:row r="1358">
      <x:c r="A1358" s="83" t="n">
        <x:v>1357</x:v>
      </x:c>
      <x:c r="B1358" s="84" t="n">
        <x:v>20</x:v>
      </x:c>
      <x:c r="C1358" s="84" t="n">
        <x:v>2093</x:v>
      </x:c>
      <x:c r="D1358" s="89" t="n">
        <x:v>45546.29651620371</x:v>
      </x:c>
      <x:c r="E1358" s="89" t="n">
        <x:v>45546.33540509259</x:v>
      </x:c>
      <x:c r="F1358" s="84" t="n">
        <x:v>56</x:v>
      </x:c>
      <x:c r="G1358" s="84" t="n">
        <x:v>1</x:v>
      </x:c>
      <x:c r="H1358" s="84" t="str">
        <x:v>Falha elétrica</x:v>
      </x:c>
      <x:c r="I1358" s="84" t="n">
        <x:v>88</x:v>
      </x:c>
      <x:c r="J1358" s="93" t="n">
        <x:v>3169.3</x:v>
      </x:c>
      <x:c r="K1358" s="85" t="str">
        <x:v>2º Turno</x:v>
      </x:c>
    </x:row>
    <x:row r="1359">
      <x:c r="A1359" s="83" t="n">
        <x:v>1358</x:v>
      </x:c>
      <x:c r="B1359" s="84" t="n">
        <x:v>83</x:v>
      </x:c>
      <x:c r="C1359" s="84" t="n">
        <x:v>2094</x:v>
      </x:c>
      <x:c r="D1359" s="89" t="n">
        <x:v>45552.649363425924</x:v>
      </x:c>
      <x:c r="E1359" s="89" t="n">
        <x:v>45552.7271412037</x:v>
      </x:c>
      <x:c r="F1359" s="84" t="n">
        <x:v>112</x:v>
      </x:c>
      <x:c r="G1359" s="84" t="n">
        <x:v>1</x:v>
      </x:c>
      <x:c r="H1359" s="84" t="str">
        <x:v>Superaquecimento</x:v>
      </x:c>
      <x:c r="I1359" s="84" t="n">
        <x:v>222</x:v>
      </x:c>
      <x:c r="J1359" s="93" t="n">
        <x:v>5770.04</x:v>
      </x:c>
      <x:c r="K1359" s="85" t="str">
        <x:v>2º Turno</x:v>
      </x:c>
    </x:row>
    <x:row r="1360">
      <x:c r="A1360" s="83" t="n">
        <x:v>1359</x:v>
      </x:c>
      <x:c r="B1360" s="84" t="n">
        <x:v>61</x:v>
      </x:c>
      <x:c r="C1360" s="84" t="n">
        <x:v>2095</x:v>
      </x:c>
      <x:c r="D1360" s="89" t="n">
        <x:v>45647.61287037037</x:v>
      </x:c>
      <x:c r="E1360" s="89" t="n">
        <x:v>45647.84203703704</x:v>
      </x:c>
      <x:c r="F1360" s="84" t="n">
        <x:v>330</x:v>
      </x:c>
      <x:c r="G1360" s="84" t="n">
        <x:v>1</x:v>
      </x:c>
      <x:c r="H1360" s="84" t="str">
        <x:v>Falha elétrica</x:v>
      </x:c>
      <x:c r="I1360" s="84" t="n">
        <x:v>566</x:v>
      </x:c>
      <x:c r="J1360" s="93" t="n">
        <x:v>11781.22</x:v>
      </x:c>
      <x:c r="K1360" s="85" t="str">
        <x:v>3º Turno</x:v>
      </x:c>
    </x:row>
    <x:row r="1361">
      <x:c r="A1361" s="83" t="n">
        <x:v>1360</x:v>
      </x:c>
      <x:c r="B1361" s="84" t="n">
        <x:v>1</x:v>
      </x:c>
      <x:c r="C1361" s="84" t="n">
        <x:v>2096</x:v>
      </x:c>
      <x:c r="D1361" s="89" t="n">
        <x:v>44977.78469907407</x:v>
      </x:c>
      <x:c r="E1361" s="89" t="n">
        <x:v>44978.34581018519</x:v>
      </x:c>
      <x:c r="F1361" s="84" t="n">
        <x:v>808</x:v>
      </x:c>
      <x:c r="G1361" s="84" t="n">
        <x:v>1</x:v>
      </x:c>
      <x:c r="H1361" s="84" t="str">
        <x:v>Ruído anormal</x:v>
      </x:c>
      <x:c r="I1361" s="84" t="n">
        <x:v>1643</x:v>
      </x:c>
      <x:c r="J1361" s="93" t="n">
        <x:v>11470.79</x:v>
      </x:c>
      <x:c r="K1361" s="85" t="str">
        <x:v>3º Turno</x:v>
      </x:c>
    </x:row>
    <x:row r="1362">
      <x:c r="A1362" s="83" t="n">
        <x:v>1361</x:v>
      </x:c>
      <x:c r="B1362" s="84" t="n">
        <x:v>37</x:v>
      </x:c>
      <x:c r="C1362" s="84" t="n">
        <x:v>2100</x:v>
      </x:c>
      <x:c r="D1362" s="89" t="n">
        <x:v>45785.11079861111</x:v>
      </x:c>
      <x:c r="E1362" s="89" t="n">
        <x:v>45785.55663194445</x:v>
      </x:c>
      <x:c r="F1362" s="84" t="n">
        <x:v>642</x:v>
      </x:c>
      <x:c r="G1362" s="84" t="n">
        <x:v>1</x:v>
      </x:c>
      <x:c r="H1362" s="84" t="str">
        <x:v>Vazamento</x:v>
      </x:c>
      <x:c r="I1362" s="84" t="n">
        <x:v>1070</x:v>
      </x:c>
      <x:c r="J1362" s="93" t="n">
        <x:v>23300.88</x:v>
      </x:c>
      <x:c r="K1362" s="85" t="str">
        <x:v>3º Turno</x:v>
      </x:c>
    </x:row>
    <x:row r="1363">
      <x:c r="A1363" s="83" t="n">
        <x:v>1362</x:v>
      </x:c>
      <x:c r="B1363" s="84" t="n">
        <x:v>56</x:v>
      </x:c>
      <x:c r="C1363" s="84" t="n">
        <x:v>2101</x:v>
      </x:c>
      <x:c r="D1363" s="89" t="n">
        <x:v>45912.82346064815</x:v>
      </x:c>
      <x:c r="E1363" s="89" t="n">
        <x:v>45913.236655092594</x:v>
      </x:c>
      <x:c r="F1363" s="84" t="n">
        <x:v>595</x:v>
      </x:c>
      <x:c r="G1363" s="84" t="n">
        <x:v>1</x:v>
      </x:c>
      <x:c r="H1363" s="84" t="str">
        <x:v>Ruído anormal</x:v>
      </x:c>
      <x:c r="I1363" s="84" t="n">
        <x:v>843</x:v>
      </x:c>
      <x:c r="J1363" s="93" t="n">
        <x:v>8344.13</x:v>
      </x:c>
      <x:c r="K1363" s="85" t="str">
        <x:v>2º Turno</x:v>
      </x:c>
    </x:row>
    <x:row r="1364">
      <x:c r="A1364" s="83" t="n">
        <x:v>1363</x:v>
      </x:c>
      <x:c r="B1364" s="84" t="n">
        <x:v>55</x:v>
      </x:c>
      <x:c r="C1364" s="84" t="n">
        <x:v>2102</x:v>
      </x:c>
      <x:c r="D1364" s="89" t="n">
        <x:v>45105.187743055554</x:v>
      </x:c>
      <x:c r="E1364" s="89" t="n">
        <x:v>45105.42663194444</x:v>
      </x:c>
      <x:c r="F1364" s="84" t="n">
        <x:v>344</x:v>
      </x:c>
      <x:c r="G1364" s="84" t="n">
        <x:v>1</x:v>
      </x:c>
      <x:c r="H1364" s="84" t="str">
        <x:v>Baixa pressão</x:v>
      </x:c>
      <x:c r="I1364" s="84" t="n">
        <x:v>791</x:v>
      </x:c>
      <x:c r="J1364" s="93" t="n">
        <x:v>4723.38</x:v>
      </x:c>
      <x:c r="K1364" s="85" t="str">
        <x:v>3º Turno</x:v>
      </x:c>
    </x:row>
    <x:row r="1365">
      <x:c r="A1365" s="83" t="n">
        <x:v>1364</x:v>
      </x:c>
      <x:c r="B1365" s="84" t="n">
        <x:v>45</x:v>
      </x:c>
      <x:c r="C1365" s="84" t="n">
        <x:v>2103</x:v>
      </x:c>
      <x:c r="D1365" s="89" t="n">
        <x:v>45183.337546296294</x:v>
      </x:c>
      <x:c r="E1365" s="89" t="n">
        <x:v>45183.785462962966</x:v>
      </x:c>
      <x:c r="F1365" s="84" t="n">
        <x:v>645</x:v>
      </x:c>
      <x:c r="G1365" s="84" t="n">
        <x:v>1</x:v>
      </x:c>
      <x:c r="H1365" s="84" t="str">
        <x:v>Superaquecimento</x:v>
      </x:c>
      <x:c r="I1365" s="84" t="n">
        <x:v>806</x:v>
      </x:c>
      <x:c r="J1365" s="93" t="n">
        <x:v>32400.98</x:v>
      </x:c>
      <x:c r="K1365" s="85" t="str">
        <x:v>2º Turno</x:v>
      </x:c>
    </x:row>
    <x:row r="1366">
      <x:c r="A1366" s="83" t="n">
        <x:v>1365</x:v>
      </x:c>
      <x:c r="B1366" s="84" t="n">
        <x:v>34</x:v>
      </x:c>
      <x:c r="C1366" s="84" t="n">
        <x:v>2104</x:v>
      </x:c>
      <x:c r="D1366" s="89" t="n">
        <x:v>45892.25990740741</x:v>
      </x:c>
      <x:c r="E1366" s="89" t="n">
        <x:v>45892.62449074074</x:v>
      </x:c>
      <x:c r="F1366" s="84" t="n">
        <x:v>525</x:v>
      </x:c>
      <x:c r="G1366" s="84" t="n">
        <x:v>0</x:v>
      </x:c>
      <x:c r="H1366" s="84" t="str">
        <x:v>Alarme intermitente</x:v>
      </x:c>
      <x:c r="I1366" s="84" t="n">
        <x:v>971</x:v>
      </x:c>
      <x:c r="J1366" s="93" t="n">
        <x:v>24991.06</x:v>
      </x:c>
      <x:c r="K1366" s="85" t="str">
        <x:v>2º Turno</x:v>
      </x:c>
    </x:row>
    <x:row r="1367">
      <x:c r="A1367" s="83" t="n">
        <x:v>1366</x:v>
      </x:c>
      <x:c r="B1367" s="84" t="n">
        <x:v>87</x:v>
      </x:c>
      <x:c r="C1367" s="84" t="n">
        <x:v>2106</x:v>
      </x:c>
      <x:c r="D1367" s="89" t="n">
        <x:v>45238.69797453703</x:v>
      </x:c>
      <x:c r="E1367" s="89" t="n">
        <x:v>45238.9083912037</x:v>
      </x:c>
      <x:c r="F1367" s="84" t="n">
        <x:v>303</x:v>
      </x:c>
      <x:c r="G1367" s="84" t="n">
        <x:v>1</x:v>
      </x:c>
      <x:c r="H1367" s="84" t="str">
        <x:v>Superaquecimento</x:v>
      </x:c>
      <x:c r="I1367" s="84" t="n">
        <x:v>364</x:v>
      </x:c>
      <x:c r="J1367" s="93" t="n">
        <x:v>15046.21</x:v>
      </x:c>
      <x:c r="K1367" s="85" t="str">
        <x:v>3º Turno</x:v>
      </x:c>
    </x:row>
    <x:row r="1368">
      <x:c r="A1368" s="83" t="n">
        <x:v>1367</x:v>
      </x:c>
      <x:c r="B1368" s="84" t="n">
        <x:v>29</x:v>
      </x:c>
      <x:c r="C1368" s="84" t="n">
        <x:v>2109</x:v>
      </x:c>
      <x:c r="D1368" s="89" t="n">
        <x:v>45179.52863425926</x:v>
      </x:c>
      <x:c r="E1368" s="89" t="n">
        <x:v>45179.6105787037</x:v>
      </x:c>
      <x:c r="F1368" s="84" t="n">
        <x:v>118</x:v>
      </x:c>
      <x:c r="G1368" s="84" t="n">
        <x:v>1</x:v>
      </x:c>
      <x:c r="H1368" s="84" t="str">
        <x:v>Ruído anormal</x:v>
      </x:c>
      <x:c r="I1368" s="84" t="n">
        <x:v>122</x:v>
      </x:c>
      <x:c r="J1368" s="93" t="n">
        <x:v>5585.82</x:v>
      </x:c>
      <x:c r="K1368" s="85" t="str">
        <x:v>2º Turno</x:v>
      </x:c>
    </x:row>
    <x:row r="1369">
      <x:c r="A1369" s="83" t="n">
        <x:v>1368</x:v>
      </x:c>
      <x:c r="B1369" s="84" t="n">
        <x:v>8</x:v>
      </x:c>
      <x:c r="C1369" s="84" t="n">
        <x:v>2111</x:v>
      </x:c>
      <x:c r="D1369" s="89" t="n">
        <x:v>45166.59216435185</x:v>
      </x:c>
      <x:c r="E1369" s="89" t="n">
        <x:v>45166.78383101852</x:v>
      </x:c>
      <x:c r="F1369" s="84" t="n">
        <x:v>276</x:v>
      </x:c>
      <x:c r="G1369" s="84" t="n">
        <x:v>1</x:v>
      </x:c>
      <x:c r="H1369" s="84" t="str">
        <x:v>Ruído anormal</x:v>
      </x:c>
      <x:c r="I1369" s="84" t="n">
        <x:v>529</x:v>
      </x:c>
      <x:c r="J1369" s="93" t="n">
        <x:v>13897.66</x:v>
      </x:c>
      <x:c r="K1369" s="85" t="str">
        <x:v>3º Turno</x:v>
      </x:c>
    </x:row>
    <x:row r="1370">
      <x:c r="A1370" s="83" t="n">
        <x:v>1369</x:v>
      </x:c>
      <x:c r="B1370" s="84" t="n">
        <x:v>55</x:v>
      </x:c>
      <x:c r="C1370" s="84" t="n">
        <x:v>2112</x:v>
      </x:c>
      <x:c r="D1370" s="89" t="n">
        <x:v>45811.88366898148</x:v>
      </x:c>
      <x:c r="E1370" s="89" t="n">
        <x:v>45812.40311342593</x:v>
      </x:c>
      <x:c r="F1370" s="84" t="n">
        <x:v>748</x:v>
      </x:c>
      <x:c r="G1370" s="84" t="n">
        <x:v>1</x:v>
      </x:c>
      <x:c r="H1370" s="84" t="str">
        <x:v>Vazamento</x:v>
      </x:c>
      <x:c r="I1370" s="84" t="n">
        <x:v>1546</x:v>
      </x:c>
      <x:c r="J1370" s="93" t="n">
        <x:v>36881.25</x:v>
      </x:c>
      <x:c r="K1370" s="85" t="str">
        <x:v>2º Turno</x:v>
      </x:c>
    </x:row>
    <x:row r="1371">
      <x:c r="A1371" s="83" t="n">
        <x:v>1370</x:v>
      </x:c>
      <x:c r="B1371" s="84" t="n">
        <x:v>39</x:v>
      </x:c>
      <x:c r="C1371" s="84" t="n">
        <x:v>2113</x:v>
      </x:c>
      <x:c r="D1371" s="89" t="n">
        <x:v>45546.42854166667</x:v>
      </x:c>
      <x:c r="E1371" s="89" t="n">
        <x:v>45546.66465277778</x:v>
      </x:c>
      <x:c r="F1371" s="84" t="n">
        <x:v>340</x:v>
      </x:c>
      <x:c r="G1371" s="84" t="n">
        <x:v>1</x:v>
      </x:c>
      <x:c r="H1371" s="84" t="str">
        <x:v>Ruído anormal</x:v>
      </x:c>
      <x:c r="I1371" s="84" t="n">
        <x:v>578</x:v>
      </x:c>
      <x:c r="J1371" s="93" t="n">
        <x:v>7991.66</x:v>
      </x:c>
      <x:c r="K1371" s="85" t="str">
        <x:v>2º Turno</x:v>
      </x:c>
    </x:row>
    <x:row r="1372">
      <x:c r="A1372" s="83" t="n">
        <x:v>1371</x:v>
      </x:c>
      <x:c r="B1372" s="84" t="n">
        <x:v>30</x:v>
      </x:c>
      <x:c r="C1372" s="84" t="n">
        <x:v>2114</x:v>
      </x:c>
      <x:c r="D1372" s="89" t="n">
        <x:v>44957.47375</x:v>
      </x:c>
      <x:c r="E1372" s="89" t="n">
        <x:v>44957.58</x:v>
      </x:c>
      <x:c r="F1372" s="84" t="n">
        <x:v>153</x:v>
      </x:c>
      <x:c r="G1372" s="84" t="n">
        <x:v>1</x:v>
      </x:c>
      <x:c r="H1372" s="84" t="str">
        <x:v>Desalinhamento</x:v>
      </x:c>
      <x:c r="I1372" s="84" t="n">
        <x:v>263</x:v>
      </x:c>
      <x:c r="J1372" s="93" t="n">
        <x:v>5905.62</x:v>
      </x:c>
      <x:c r="K1372" s="85" t="str">
        <x:v>1º Turno</x:v>
      </x:c>
    </x:row>
    <x:row r="1373">
      <x:c r="A1373" s="83" t="n">
        <x:v>1372</x:v>
      </x:c>
      <x:c r="B1373" s="84" t="n">
        <x:v>56</x:v>
      </x:c>
      <x:c r="C1373" s="84" t="n">
        <x:v>2116</x:v>
      </x:c>
      <x:c r="D1373" s="89" t="n">
        <x:v>45669.37813657407</x:v>
      </x:c>
      <x:c r="E1373" s="89" t="n">
        <x:v>45669.67466435185</x:v>
      </x:c>
      <x:c r="F1373" s="84" t="n">
        <x:v>427</x:v>
      </x:c>
      <x:c r="G1373" s="84" t="n">
        <x:v>1</x:v>
      </x:c>
      <x:c r="H1373" s="84" t="str">
        <x:v>Superaquecimento</x:v>
      </x:c>
      <x:c r="I1373" s="84" t="n">
        <x:v>548</x:v>
      </x:c>
      <x:c r="J1373" s="93" t="n">
        <x:v>7394.38</x:v>
      </x:c>
      <x:c r="K1373" s="85" t="str">
        <x:v>3º Turno</x:v>
      </x:c>
    </x:row>
    <x:row r="1374">
      <x:c r="A1374" s="83" t="n">
        <x:v>1373</x:v>
      </x:c>
      <x:c r="B1374" s="84" t="n">
        <x:v>8</x:v>
      </x:c>
      <x:c r="C1374" s="84" t="n">
        <x:v>2117</x:v>
      </x:c>
      <x:c r="D1374" s="89" t="n">
        <x:v>46001.12185185185</x:v>
      </x:c>
      <x:c r="E1374" s="89" t="n">
        <x:v>46001.225324074076</x:v>
      </x:c>
      <x:c r="F1374" s="84" t="n">
        <x:v>149</x:v>
      </x:c>
      <x:c r="G1374" s="84" t="n">
        <x:v>0</x:v>
      </x:c>
      <x:c r="H1374" s="84" t="str">
        <x:v>Superaquecimento</x:v>
      </x:c>
      <x:c r="I1374" s="84" t="n">
        <x:v>171</x:v>
      </x:c>
      <x:c r="J1374" s="93" t="n">
        <x:v>2011.26</x:v>
      </x:c>
      <x:c r="K1374" s="85" t="str">
        <x:v>1º Turno</x:v>
      </x:c>
    </x:row>
    <x:row r="1375">
      <x:c r="A1375" s="83" t="n">
        <x:v>1374</x:v>
      </x:c>
      <x:c r="B1375" s="84" t="n">
        <x:v>71</x:v>
      </x:c>
      <x:c r="C1375" s="84" t="n">
        <x:v>2118</x:v>
      </x:c>
      <x:c r="D1375" s="89" t="n">
        <x:v>45646.44321759259</x:v>
      </x:c>
      <x:c r="E1375" s="89" t="n">
        <x:v>45646.515439814815</x:v>
      </x:c>
      <x:c r="F1375" s="84" t="n">
        <x:v>104</x:v>
      </x:c>
      <x:c r="G1375" s="84" t="n">
        <x:v>1</x:v>
      </x:c>
      <x:c r="H1375" s="84" t="str">
        <x:v>Vazamento</x:v>
      </x:c>
      <x:c r="I1375" s="84" t="n">
        <x:v>229</x:v>
      </x:c>
      <x:c r="J1375" s="93" t="n">
        <x:v>5656.92</x:v>
      </x:c>
      <x:c r="K1375" s="85" t="str">
        <x:v>1º Turno</x:v>
      </x:c>
    </x:row>
    <x:row r="1376">
      <x:c r="A1376" s="83" t="n">
        <x:v>1375</x:v>
      </x:c>
      <x:c r="B1376" s="84" t="n">
        <x:v>86</x:v>
      </x:c>
      <x:c r="C1376" s="84" t="n">
        <x:v>2119</x:v>
      </x:c>
      <x:c r="D1376" s="89" t="n">
        <x:v>45438.816099537034</x:v>
      </x:c>
      <x:c r="E1376" s="89" t="n">
        <x:v>45439.17998842592</x:v>
      </x:c>
      <x:c r="F1376" s="84" t="n">
        <x:v>524</x:v>
      </x:c>
      <x:c r="G1376" s="84" t="n">
        <x:v>1</x:v>
      </x:c>
      <x:c r="H1376" s="84" t="str">
        <x:v>Desalinhamento</x:v>
      </x:c>
      <x:c r="I1376" s="84" t="n">
        <x:v>1013</x:v>
      </x:c>
      <x:c r="J1376" s="93" t="n">
        <x:v>28130.22</x:v>
      </x:c>
      <x:c r="K1376" s="85" t="str">
        <x:v>1º Turno</x:v>
      </x:c>
    </x:row>
    <x:row r="1377">
      <x:c r="A1377" s="83" t="n">
        <x:v>1376</x:v>
      </x:c>
      <x:c r="B1377" s="84" t="n">
        <x:v>77</x:v>
      </x:c>
      <x:c r="C1377" s="84" t="n">
        <x:v>2123</x:v>
      </x:c>
      <x:c r="D1377" s="89" t="n">
        <x:v>45294.029131944444</x:v>
      </x:c>
      <x:c r="E1377" s="89" t="n">
        <x:v>45294.51038194444</x:v>
      </x:c>
      <x:c r="F1377" s="84" t="n">
        <x:v>693</x:v>
      </x:c>
      <x:c r="G1377" s="84" t="n">
        <x:v>1</x:v>
      </x:c>
      <x:c r="H1377" s="84" t="str">
        <x:v>Vazamento</x:v>
      </x:c>
      <x:c r="I1377" s="84" t="n">
        <x:v>1120</x:v>
      </x:c>
      <x:c r="J1377" s="93" t="n">
        <x:v>31351.36</x:v>
      </x:c>
      <x:c r="K1377" s="85" t="str">
        <x:v>2º Turno</x:v>
      </x:c>
    </x:row>
    <x:row r="1378">
      <x:c r="A1378" s="83" t="n">
        <x:v>1377</x:v>
      </x:c>
      <x:c r="B1378" s="84" t="n">
        <x:v>82</x:v>
      </x:c>
      <x:c r="C1378" s="84" t="n">
        <x:v>2124</x:v>
      </x:c>
      <x:c r="D1378" s="89" t="n">
        <x:v>45407.701469907406</x:v>
      </x:c>
      <x:c r="E1378" s="89" t="n">
        <x:v>45407.738275462965</x:v>
      </x:c>
      <x:c r="F1378" s="84" t="n">
        <x:v>53</x:v>
      </x:c>
      <x:c r="G1378" s="84" t="n">
        <x:v>1</x:v>
      </x:c>
      <x:c r="H1378" s="84" t="str">
        <x:v>Baixa pressão</x:v>
      </x:c>
      <x:c r="I1378" s="84" t="n">
        <x:v>95</x:v>
      </x:c>
      <x:c r="J1378" s="93" t="n">
        <x:v>1341.05</x:v>
      </x:c>
      <x:c r="K1378" s="85" t="str">
        <x:v>2º Turno</x:v>
      </x:c>
    </x:row>
    <x:row r="1379">
      <x:c r="A1379" s="83" t="n">
        <x:v>1378</x:v>
      </x:c>
      <x:c r="B1379" s="84" t="n">
        <x:v>58</x:v>
      </x:c>
      <x:c r="C1379" s="84" t="n">
        <x:v>2125</x:v>
      </x:c>
      <x:c r="D1379" s="89" t="n">
        <x:v>45470.575740740744</x:v>
      </x:c>
      <x:c r="E1379" s="89" t="n">
        <x:v>45470.612546296295</x:v>
      </x:c>
      <x:c r="F1379" s="84" t="n">
        <x:v>53</x:v>
      </x:c>
      <x:c r="G1379" s="84" t="n">
        <x:v>1</x:v>
      </x:c>
      <x:c r="H1379" s="84" t="str">
        <x:v>Alarme intermitente</x:v>
      </x:c>
      <x:c r="I1379" s="84" t="n">
        <x:v>132</x:v>
      </x:c>
      <x:c r="J1379" s="93" t="n">
        <x:v>1598.66</x:v>
      </x:c>
      <x:c r="K1379" s="85" t="str">
        <x:v>1º Turno</x:v>
      </x:c>
    </x:row>
    <x:row r="1380">
      <x:c r="A1380" s="83" t="n">
        <x:v>1379</x:v>
      </x:c>
      <x:c r="B1380" s="84" t="n">
        <x:v>37</x:v>
      </x:c>
      <x:c r="C1380" s="84" t="n">
        <x:v>2126</x:v>
      </x:c>
      <x:c r="D1380" s="89" t="n">
        <x:v>45584.02012731481</x:v>
      </x:c>
      <x:c r="E1380" s="89" t="n">
        <x:v>45584.254849537036</x:v>
      </x:c>
      <x:c r="F1380" s="84" t="n">
        <x:v>338</x:v>
      </x:c>
      <x:c r="G1380" s="84" t="n">
        <x:v>0</x:v>
      </x:c>
      <x:c r="H1380" s="84" t="str">
        <x:v>Desalinhamento</x:v>
      </x:c>
      <x:c r="I1380" s="84" t="n">
        <x:v>800</x:v>
      </x:c>
      <x:c r="J1380" s="93" t="n">
        <x:v>13267.62</x:v>
      </x:c>
      <x:c r="K1380" s="85" t="str">
        <x:v>3º Turno</x:v>
      </x:c>
    </x:row>
    <x:row r="1381">
      <x:c r="A1381" s="83" t="n">
        <x:v>1380</x:v>
      </x:c>
      <x:c r="B1381" s="84" t="n">
        <x:v>14</x:v>
      </x:c>
      <x:c r="C1381" s="84" t="n">
        <x:v>2127</x:v>
      </x:c>
      <x:c r="D1381" s="89" t="n">
        <x:v>45053.87699074074</x:v>
      </x:c>
      <x:c r="E1381" s="89" t="n">
        <x:v>45054.46449074074</x:v>
      </x:c>
      <x:c r="F1381" s="84" t="n">
        <x:v>846</x:v>
      </x:c>
      <x:c r="G1381" s="84" t="n">
        <x:v>1</x:v>
      </x:c>
      <x:c r="H1381" s="84" t="str">
        <x:v>Baixa pressão</x:v>
      </x:c>
      <x:c r="I1381" s="84" t="n">
        <x:v>2002</x:v>
      </x:c>
      <x:c r="J1381" s="93" t="n">
        <x:v>43301.93</x:v>
      </x:c>
      <x:c r="K1381" s="85" t="str">
        <x:v>1º Turno</x:v>
      </x:c>
    </x:row>
    <x:row r="1382">
      <x:c r="A1382" s="83" t="n">
        <x:v>1381</x:v>
      </x:c>
      <x:c r="B1382" s="84" t="n">
        <x:v>74</x:v>
      </x:c>
      <x:c r="C1382" s="84" t="n">
        <x:v>2128</x:v>
      </x:c>
      <x:c r="D1382" s="89" t="n">
        <x:v>45918.57965277778</x:v>
      </x:c>
      <x:c r="E1382" s="89" t="n">
        <x:v>45919.100486111114</x:v>
      </x:c>
      <x:c r="F1382" s="84" t="n">
        <x:v>750</x:v>
      </x:c>
      <x:c r="G1382" s="84" t="n">
        <x:v>1</x:v>
      </x:c>
      <x:c r="H1382" s="84" t="str">
        <x:v>Desalinhamento</x:v>
      </x:c>
      <x:c r="I1382" s="84" t="n">
        <x:v>1475</x:v>
      </x:c>
      <x:c r="J1382" s="93" t="n">
        <x:v>14541.77</x:v>
      </x:c>
      <x:c r="K1382" s="85" t="str">
        <x:v>2º Turno</x:v>
      </x:c>
    </x:row>
    <x:row r="1383">
      <x:c r="A1383" s="83" t="n">
        <x:v>1382</x:v>
      </x:c>
      <x:c r="B1383" s="84" t="n">
        <x:v>5</x:v>
      </x:c>
      <x:c r="C1383" s="84" t="n">
        <x:v>2129</x:v>
      </x:c>
      <x:c r="D1383" s="89" t="n">
        <x:v>45548.4940162037</x:v>
      </x:c>
      <x:c r="E1383" s="89" t="n">
        <x:v>45548.62318287037</x:v>
      </x:c>
      <x:c r="F1383" s="84" t="n">
        <x:v>186</x:v>
      </x:c>
      <x:c r="G1383" s="84" t="n">
        <x:v>1</x:v>
      </x:c>
      <x:c r="H1383" s="84" t="str">
        <x:v>Superaquecimento</x:v>
      </x:c>
      <x:c r="I1383" s="84" t="n">
        <x:v>288</x:v>
      </x:c>
      <x:c r="J1383" s="93" t="n">
        <x:v>9234.75</x:v>
      </x:c>
      <x:c r="K1383" s="85" t="str">
        <x:v>2º Turno</x:v>
      </x:c>
    </x:row>
    <x:row r="1384">
      <x:c r="A1384" s="83" t="n">
        <x:v>1383</x:v>
      </x:c>
      <x:c r="B1384" s="84" t="n">
        <x:v>61</x:v>
      </x:c>
      <x:c r="C1384" s="84" t="n">
        <x:v>2131</x:v>
      </x:c>
      <x:c r="D1384" s="89" t="n">
        <x:v>45831.231770833336</x:v>
      </x:c>
      <x:c r="E1384" s="89" t="n">
        <x:v>45831.68871527778</x:v>
      </x:c>
      <x:c r="F1384" s="84" t="n">
        <x:v>658</x:v>
      </x:c>
      <x:c r="G1384" s="84" t="n">
        <x:v>1</x:v>
      </x:c>
      <x:c r="H1384" s="84" t="str">
        <x:v>Vazamento</x:v>
      </x:c>
      <x:c r="I1384" s="84" t="n">
        <x:v>833</x:v>
      </x:c>
      <x:c r="J1384" s="93" t="n">
        <x:v>36636.28</x:v>
      </x:c>
      <x:c r="K1384" s="85" t="str">
        <x:v>2º Turno</x:v>
      </x:c>
    </x:row>
    <x:row r="1385">
      <x:c r="A1385" s="83" t="n">
        <x:v>1384</x:v>
      </x:c>
      <x:c r="B1385" s="84" t="n">
        <x:v>73</x:v>
      </x:c>
      <x:c r="C1385" s="84" t="n">
        <x:v>2132</x:v>
      </x:c>
      <x:c r="D1385" s="89" t="n">
        <x:v>45018.87119212963</x:v>
      </x:c>
      <x:c r="E1385" s="89" t="n">
        <x:v>45019.14758101852</x:v>
      </x:c>
      <x:c r="F1385" s="84" t="n">
        <x:v>398</x:v>
      </x:c>
      <x:c r="G1385" s="84" t="n">
        <x:v>1</x:v>
      </x:c>
      <x:c r="H1385" s="84" t="str">
        <x:v>Superaquecimento</x:v>
      </x:c>
      <x:c r="I1385" s="84" t="n">
        <x:v>604</x:v>
      </x:c>
      <x:c r="J1385" s="93" t="n">
        <x:v>15790.81</x:v>
      </x:c>
      <x:c r="K1385" s="85" t="str">
        <x:v>1º Turno</x:v>
      </x:c>
    </x:row>
    <x:row r="1386">
      <x:c r="A1386" s="83" t="n">
        <x:v>1385</x:v>
      </x:c>
      <x:c r="B1386" s="84" t="n">
        <x:v>49</x:v>
      </x:c>
      <x:c r="C1386" s="84" t="n">
        <x:v>2135</x:v>
      </x:c>
      <x:c r="D1386" s="89" t="n">
        <x:v>45588.31002314815</x:v>
      </x:c>
      <x:c r="E1386" s="89" t="n">
        <x:v>45588.71627314815</x:v>
      </x:c>
      <x:c r="F1386" s="84" t="n">
        <x:v>585</x:v>
      </x:c>
      <x:c r="G1386" s="84" t="n">
        <x:v>0</x:v>
      </x:c>
      <x:c r="H1386" s="84" t="str">
        <x:v>Vazamento</x:v>
      </x:c>
      <x:c r="I1386" s="84" t="n">
        <x:v>1102</x:v>
      </x:c>
      <x:c r="J1386" s="93" t="n">
        <x:v>24301.97</x:v>
      </x:c>
      <x:c r="K1386" s="85" t="str">
        <x:v>2º Turno</x:v>
      </x:c>
    </x:row>
    <x:row r="1387">
      <x:c r="A1387" s="83" t="n">
        <x:v>1386</x:v>
      </x:c>
      <x:c r="B1387" s="84" t="n">
        <x:v>75</x:v>
      </x:c>
      <x:c r="C1387" s="84" t="n">
        <x:v>2137</x:v>
      </x:c>
      <x:c r="D1387" s="89" t="n">
        <x:v>46011.03196759259</x:v>
      </x:c>
      <x:c r="E1387" s="89" t="n">
        <x:v>46011.2118287037</x:v>
      </x:c>
      <x:c r="F1387" s="84" t="n">
        <x:v>259</x:v>
      </x:c>
      <x:c r="G1387" s="84" t="n">
        <x:v>1</x:v>
      </x:c>
      <x:c r="H1387" s="84" t="str">
        <x:v>Baixa pressão</x:v>
      </x:c>
      <x:c r="I1387" s="84" t="n">
        <x:v>380</x:v>
      </x:c>
      <x:c r="J1387" s="93" t="n">
        <x:v>6448.44</x:v>
      </x:c>
      <x:c r="K1387" s="85" t="str">
        <x:v>3º Turno</x:v>
      </x:c>
    </x:row>
    <x:row r="1388">
      <x:c r="A1388" s="83" t="n">
        <x:v>1387</x:v>
      </x:c>
      <x:c r="B1388" s="84" t="n">
        <x:v>63</x:v>
      </x:c>
      <x:c r="C1388" s="84" t="n">
        <x:v>2138</x:v>
      </x:c>
      <x:c r="D1388" s="89" t="n">
        <x:v>45847.725810185184</x:v>
      </x:c>
      <x:c r="E1388" s="89" t="n">
        <x:v>45848.30567129629</x:v>
      </x:c>
      <x:c r="F1388" s="84" t="n">
        <x:v>835</x:v>
      </x:c>
      <x:c r="G1388" s="84" t="n">
        <x:v>1</x:v>
      </x:c>
      <x:c r="H1388" s="84" t="str">
        <x:v>Alarme intermitente</x:v>
      </x:c>
      <x:c r="I1388" s="84" t="n">
        <x:v>1976</x:v>
      </x:c>
      <x:c r="J1388" s="93" t="n">
        <x:v>13797.85</x:v>
      </x:c>
      <x:c r="K1388" s="85" t="str">
        <x:v>3º Turno</x:v>
      </x:c>
    </x:row>
    <x:row r="1389">
      <x:c r="A1389" s="83" t="n">
        <x:v>1388</x:v>
      </x:c>
      <x:c r="B1389" s="84" t="n">
        <x:v>89</x:v>
      </x:c>
      <x:c r="C1389" s="84" t="n">
        <x:v>2140</x:v>
      </x:c>
      <x:c r="D1389" s="89" t="n">
        <x:v>45159.54771990741</x:v>
      </x:c>
      <x:c r="E1389" s="89" t="n">
        <x:v>45159.66924768518</x:v>
      </x:c>
      <x:c r="F1389" s="84" t="n">
        <x:v>175</x:v>
      </x:c>
      <x:c r="G1389" s="84" t="n">
        <x:v>1</x:v>
      </x:c>
      <x:c r="H1389" s="84" t="str">
        <x:v>Alarme intermitente</x:v>
      </x:c>
      <x:c r="I1389" s="84" t="n">
        <x:v>207</x:v>
      </x:c>
      <x:c r="J1389" s="93" t="n">
        <x:v>5468.21</x:v>
      </x:c>
      <x:c r="K1389" s="85" t="str">
        <x:v>2º Turno</x:v>
      </x:c>
    </x:row>
    <x:row r="1390">
      <x:c r="A1390" s="83" t="n">
        <x:v>1389</x:v>
      </x:c>
      <x:c r="B1390" s="84" t="n">
        <x:v>4</x:v>
      </x:c>
      <x:c r="C1390" s="84" t="n">
        <x:v>2143</x:v>
      </x:c>
      <x:c r="D1390" s="89" t="n">
        <x:v>45622.11653935185</x:v>
      </x:c>
      <x:c r="E1390" s="89" t="n">
        <x:v>45622.31584490741</x:v>
      </x:c>
      <x:c r="F1390" s="84" t="n">
        <x:v>287</x:v>
      </x:c>
      <x:c r="G1390" s="84" t="n">
        <x:v>1</x:v>
      </x:c>
      <x:c r="H1390" s="84" t="str">
        <x:v>Superaquecimento</x:v>
      </x:c>
      <x:c r="I1390" s="84" t="n">
        <x:v>392</x:v>
      </x:c>
      <x:c r="J1390" s="93" t="n">
        <x:v>5004.71</x:v>
      </x:c>
      <x:c r="K1390" s="85" t="str">
        <x:v>3º Turno</x:v>
      </x:c>
    </x:row>
    <x:row r="1391">
      <x:c r="A1391" s="83" t="n">
        <x:v>1390</x:v>
      </x:c>
      <x:c r="B1391" s="84" t="n">
        <x:v>29</x:v>
      </x:c>
      <x:c r="C1391" s="84" t="n">
        <x:v>2144</x:v>
      </x:c>
      <x:c r="D1391" s="89" t="n">
        <x:v>45430.718298611115</x:v>
      </x:c>
      <x:c r="E1391" s="89" t="n">
        <x:v>45430.75996527778</x:v>
      </x:c>
      <x:c r="F1391" s="84" t="n">
        <x:v>60</x:v>
      </x:c>
      <x:c r="G1391" s="84" t="n">
        <x:v>1</x:v>
      </x:c>
      <x:c r="H1391" s="84" t="str">
        <x:v>Desalinhamento</x:v>
      </x:c>
      <x:c r="I1391" s="84" t="n">
        <x:v>65</x:v>
      </x:c>
      <x:c r="J1391" s="93" t="n">
        <x:v>2045.65</x:v>
      </x:c>
      <x:c r="K1391" s="85" t="str">
        <x:v>2º Turno</x:v>
      </x:c>
    </x:row>
    <x:row r="1392">
      <x:c r="A1392" s="83" t="n">
        <x:v>1391</x:v>
      </x:c>
      <x:c r="B1392" s="84" t="n">
        <x:v>27</x:v>
      </x:c>
      <x:c r="C1392" s="84" t="n">
        <x:v>2149</x:v>
      </x:c>
      <x:c r="D1392" s="89" t="n">
        <x:v>45872.62365740741</x:v>
      </x:c>
      <x:c r="E1392" s="89" t="n">
        <x:v>45872.96601851852</x:v>
      </x:c>
      <x:c r="F1392" s="84" t="n">
        <x:v>493</x:v>
      </x:c>
      <x:c r="G1392" s="84" t="n">
        <x:v>0</x:v>
      </x:c>
      <x:c r="H1392" s="84" t="str">
        <x:v>Falha elétrica</x:v>
      </x:c>
      <x:c r="I1392" s="84" t="n">
        <x:v>592</x:v>
      </x:c>
      <x:c r="J1392" s="93" t="n">
        <x:v>11228.53</x:v>
      </x:c>
      <x:c r="K1392" s="85" t="str">
        <x:v>1º Turno</x:v>
      </x:c>
    </x:row>
    <x:row r="1393">
      <x:c r="A1393" s="83" t="n">
        <x:v>1392</x:v>
      </x:c>
      <x:c r="B1393" s="84" t="n">
        <x:v>51</x:v>
      </x:c>
      <x:c r="C1393" s="84" t="n">
        <x:v>2150</x:v>
      </x:c>
      <x:c r="D1393" s="89" t="n">
        <x:v>45755.267118055555</x:v>
      </x:c>
      <x:c r="E1393" s="89" t="n">
        <x:v>45755.446284722224</x:v>
      </x:c>
      <x:c r="F1393" s="84" t="n">
        <x:v>258</x:v>
      </x:c>
      <x:c r="G1393" s="84" t="n">
        <x:v>1</x:v>
      </x:c>
      <x:c r="H1393" s="84" t="str">
        <x:v>Desalinhamento</x:v>
      </x:c>
      <x:c r="I1393" s="84" t="n">
        <x:v>366</x:v>
      </x:c>
      <x:c r="J1393" s="93" t="n">
        <x:v>7995.14</x:v>
      </x:c>
      <x:c r="K1393" s="85" t="str">
        <x:v>1º Turno</x:v>
      </x:c>
    </x:row>
    <x:row r="1394">
      <x:c r="A1394" s="83" t="n">
        <x:v>1393</x:v>
      </x:c>
      <x:c r="B1394" s="84" t="n">
        <x:v>19</x:v>
      </x:c>
      <x:c r="C1394" s="84" t="n">
        <x:v>2151</x:v>
      </x:c>
      <x:c r="D1394" s="89" t="n">
        <x:v>45600.00708333333</x:v>
      </x:c>
      <x:c r="E1394" s="89" t="n">
        <x:v>45600.49180555555</x:v>
      </x:c>
      <x:c r="F1394" s="84" t="n">
        <x:v>698</x:v>
      </x:c>
      <x:c r="G1394" s="84" t="n">
        <x:v>0</x:v>
      </x:c>
      <x:c r="H1394" s="84" t="str">
        <x:v>Baixa pressão</x:v>
      </x:c>
      <x:c r="I1394" s="84" t="n">
        <x:v>1605</x:v>
      </x:c>
      <x:c r="J1394" s="93" t="n">
        <x:v>40034</x:v>
      </x:c>
      <x:c r="K1394" s="85" t="str">
        <x:v>2º Turno</x:v>
      </x:c>
    </x:row>
    <x:row r="1395">
      <x:c r="A1395" s="83" t="n">
        <x:v>1394</x:v>
      </x:c>
      <x:c r="B1395" s="84" t="n">
        <x:v>36</x:v>
      </x:c>
      <x:c r="C1395" s="84" t="n">
        <x:v>2152</x:v>
      </x:c>
      <x:c r="D1395" s="89" t="n">
        <x:v>45250.87509259259</x:v>
      </x:c>
      <x:c r="E1395" s="89" t="n">
        <x:v>45251.10564814815</x:v>
      </x:c>
      <x:c r="F1395" s="84" t="n">
        <x:v>332</x:v>
      </x:c>
      <x:c r="G1395" s="84" t="n">
        <x:v>1</x:v>
      </x:c>
      <x:c r="H1395" s="84" t="str">
        <x:v>Baixa pressão</x:v>
      </x:c>
      <x:c r="I1395" s="84" t="n">
        <x:v>708</x:v>
      </x:c>
      <x:c r="J1395" s="93" t="n">
        <x:v>8831.55</x:v>
      </x:c>
      <x:c r="K1395" s="85" t="str">
        <x:v>1º Turno</x:v>
      </x:c>
    </x:row>
    <x:row r="1396">
      <x:c r="A1396" s="83" t="n">
        <x:v>1395</x:v>
      </x:c>
      <x:c r="B1396" s="84" t="n">
        <x:v>2</x:v>
      </x:c>
      <x:c r="C1396" s="84" t="n">
        <x:v>2153</x:v>
      </x:c>
      <x:c r="D1396" s="89" t="n">
        <x:v>45136.626296296294</x:v>
      </x:c>
      <x:c r="E1396" s="89" t="n">
        <x:v>45136.838796296295</x:v>
      </x:c>
      <x:c r="F1396" s="84" t="n">
        <x:v>306</x:v>
      </x:c>
      <x:c r="G1396" s="84" t="n">
        <x:v>0</x:v>
      </x:c>
      <x:c r="H1396" s="84" t="str">
        <x:v>Alarme intermitente</x:v>
      </x:c>
      <x:c r="I1396" s="84" t="n">
        <x:v>709</x:v>
      </x:c>
      <x:c r="J1396" s="93" t="n">
        <x:v>17417.69</x:v>
      </x:c>
      <x:c r="K1396" s="85" t="str">
        <x:v>2º Turno</x:v>
      </x:c>
    </x:row>
    <x:row r="1397">
      <x:c r="A1397" s="83" t="n">
        <x:v>1396</x:v>
      </x:c>
      <x:c r="B1397" s="84" t="n">
        <x:v>55</x:v>
      </x:c>
      <x:c r="C1397" s="84" t="n">
        <x:v>2156</x:v>
      </x:c>
      <x:c r="D1397" s="89" t="n">
        <x:v>45078.84506944445</x:v>
      </x:c>
      <x:c r="E1397" s="89" t="n">
        <x:v>45079.258263888885</x:v>
      </x:c>
      <x:c r="F1397" s="84" t="n">
        <x:v>595</x:v>
      </x:c>
      <x:c r="G1397" s="84" t="n">
        <x:v>1</x:v>
      </x:c>
      <x:c r="H1397" s="84" t="str">
        <x:v>Alarme intermitente</x:v>
      </x:c>
      <x:c r="I1397" s="84" t="n">
        <x:v>922</x:v>
      </x:c>
      <x:c r="J1397" s="93" t="n">
        <x:v>11682.35</x:v>
      </x:c>
      <x:c r="K1397" s="85" t="str">
        <x:v>2º Turno</x:v>
      </x:c>
    </x:row>
    <x:row r="1398">
      <x:c r="A1398" s="83" t="n">
        <x:v>1397</x:v>
      </x:c>
      <x:c r="B1398" s="84" t="n">
        <x:v>23</x:v>
      </x:c>
      <x:c r="C1398" s="84" t="n">
        <x:v>2157</x:v>
      </x:c>
      <x:c r="D1398" s="89" t="n">
        <x:v>45006.088912037034</x:v>
      </x:c>
      <x:c r="E1398" s="89" t="n">
        <x:v>45006.47571759259</x:v>
      </x:c>
      <x:c r="F1398" s="84" t="n">
        <x:v>557</x:v>
      </x:c>
      <x:c r="G1398" s="84" t="n">
        <x:v>1</x:v>
      </x:c>
      <x:c r="H1398" s="84" t="str">
        <x:v>Desalinhamento</x:v>
      </x:c>
      <x:c r="I1398" s="84" t="n">
        <x:v>1188</x:v>
      </x:c>
      <x:c r="J1398" s="93" t="n">
        <x:v>19016.67</x:v>
      </x:c>
      <x:c r="K1398" s="85" t="str">
        <x:v>3º Turno</x:v>
      </x:c>
    </x:row>
    <x:row r="1399">
      <x:c r="A1399" s="83" t="n">
        <x:v>1398</x:v>
      </x:c>
      <x:c r="B1399" s="84" t="n">
        <x:v>78</x:v>
      </x:c>
      <x:c r="C1399" s="84" t="n">
        <x:v>2159</x:v>
      </x:c>
      <x:c r="D1399" s="89" t="n">
        <x:v>45781.31915509259</x:v>
      </x:c>
      <x:c r="E1399" s="89" t="n">
        <x:v>45781.627488425926</x:v>
      </x:c>
      <x:c r="F1399" s="84" t="n">
        <x:v>444</x:v>
      </x:c>
      <x:c r="G1399" s="84" t="n">
        <x:v>1</x:v>
      </x:c>
      <x:c r="H1399" s="84" t="str">
        <x:v>Ruído anormal</x:v>
      </x:c>
      <x:c r="I1399" s="84" t="n">
        <x:v>925</x:v>
      </x:c>
      <x:c r="J1399" s="93" t="n">
        <x:v>18966.7</x:v>
      </x:c>
      <x:c r="K1399" s="85" t="str">
        <x:v>2º Turno</x:v>
      </x:c>
    </x:row>
    <x:row r="1400">
      <x:c r="A1400" s="83" t="n">
        <x:v>1399</x:v>
      </x:c>
      <x:c r="B1400" s="84" t="n">
        <x:v>26</x:v>
      </x:c>
      <x:c r="C1400" s="84" t="n">
        <x:v>2160</x:v>
      </x:c>
      <x:c r="D1400" s="89" t="n">
        <x:v>45972.03518518519</x:v>
      </x:c>
      <x:c r="E1400" s="89" t="n">
        <x:v>45972.56296296296</x:v>
      </x:c>
      <x:c r="F1400" s="84" t="n">
        <x:v>760</x:v>
      </x:c>
      <x:c r="G1400" s="84" t="n">
        <x:v>0</x:v>
      </x:c>
      <x:c r="H1400" s="84" t="str">
        <x:v>Vazamento</x:v>
      </x:c>
      <x:c r="I1400" s="84" t="n">
        <x:v>899</x:v>
      </x:c>
      <x:c r="J1400" s="93" t="n">
        <x:v>40276.48</x:v>
      </x:c>
      <x:c r="K1400" s="85" t="str">
        <x:v>2º Turno</x:v>
      </x:c>
    </x:row>
    <x:row r="1401">
      <x:c r="A1401" s="83" t="n">
        <x:v>1400</x:v>
      </x:c>
      <x:c r="B1401" s="84" t="n">
        <x:v>43</x:v>
      </x:c>
      <x:c r="C1401" s="84" t="n">
        <x:v>2161</x:v>
      </x:c>
      <x:c r="D1401" s="89" t="n">
        <x:v>45058.59128472222</x:v>
      </x:c>
      <x:c r="E1401" s="89" t="n">
        <x:v>45059.0315625</x:v>
      </x:c>
      <x:c r="F1401" s="84" t="n">
        <x:v>634</x:v>
      </x:c>
      <x:c r="G1401" s="84" t="n">
        <x:v>0</x:v>
      </x:c>
      <x:c r="H1401" s="84" t="str">
        <x:v>Desalinhamento</x:v>
      </x:c>
      <x:c r="I1401" s="84" t="n">
        <x:v>962</x:v>
      </x:c>
      <x:c r="J1401" s="93" t="n">
        <x:v>36682.91</x:v>
      </x:c>
      <x:c r="K1401" s="85" t="str">
        <x:v>2º Turno</x:v>
      </x:c>
    </x:row>
    <x:row r="1402">
      <x:c r="A1402" s="83" t="n">
        <x:v>1401</x:v>
      </x:c>
      <x:c r="B1402" s="84" t="n">
        <x:v>1</x:v>
      </x:c>
      <x:c r="C1402" s="84" t="n">
        <x:v>2162</x:v>
      </x:c>
      <x:c r="D1402" s="89" t="n">
        <x:v>45116.41863425926</x:v>
      </x:c>
      <x:c r="E1402" s="89" t="n">
        <x:v>45116.916550925926</x:v>
      </x:c>
      <x:c r="F1402" s="84" t="n">
        <x:v>717</x:v>
      </x:c>
      <x:c r="G1402" s="84" t="n">
        <x:v>1</x:v>
      </x:c>
      <x:c r="H1402" s="84" t="str">
        <x:v>Vazamento</x:v>
      </x:c>
      <x:c r="I1402" s="84" t="n">
        <x:v>1577</x:v>
      </x:c>
      <x:c r="J1402" s="93" t="n">
        <x:v>34347.03</x:v>
      </x:c>
      <x:c r="K1402" s="85" t="str">
        <x:v>2º Turno</x:v>
      </x:c>
    </x:row>
    <x:row r="1403">
      <x:c r="A1403" s="83" t="n">
        <x:v>1402</x:v>
      </x:c>
      <x:c r="B1403" s="84" t="n">
        <x:v>28</x:v>
      </x:c>
      <x:c r="C1403" s="84" t="n">
        <x:v>2163</x:v>
      </x:c>
      <x:c r="D1403" s="89" t="n">
        <x:v>46017.52587962963</x:v>
      </x:c>
      <x:c r="E1403" s="89" t="n">
        <x:v>46017.81407407407</x:v>
      </x:c>
      <x:c r="F1403" s="84" t="n">
        <x:v>415</x:v>
      </x:c>
      <x:c r="G1403" s="84" t="n">
        <x:v>0</x:v>
      </x:c>
      <x:c r="H1403" s="84" t="str">
        <x:v>Falha elétrica</x:v>
      </x:c>
      <x:c r="I1403" s="84" t="n">
        <x:v>830</x:v>
      </x:c>
      <x:c r="J1403" s="93" t="n">
        <x:v>16802.25</x:v>
      </x:c>
      <x:c r="K1403" s="85" t="str">
        <x:v>2º Turno</x:v>
      </x:c>
    </x:row>
    <x:row r="1404">
      <x:c r="A1404" s="83" t="n">
        <x:v>1403</x:v>
      </x:c>
      <x:c r="B1404" s="84" t="n">
        <x:v>77</x:v>
      </x:c>
      <x:c r="C1404" s="84" t="n">
        <x:v>2165</x:v>
      </x:c>
      <x:c r="D1404" s="89" t="n">
        <x:v>45020.13895833334</x:v>
      </x:c>
      <x:c r="E1404" s="89" t="n">
        <x:v>45020.61604166667</x:v>
      </x:c>
      <x:c r="F1404" s="84" t="n">
        <x:v>687</x:v>
      </x:c>
      <x:c r="G1404" s="84" t="n">
        <x:v>1</x:v>
      </x:c>
      <x:c r="H1404" s="84" t="str">
        <x:v>Vazamento</x:v>
      </x:c>
      <x:c r="I1404" s="84" t="n">
        <x:v>813</x:v>
      </x:c>
      <x:c r="J1404" s="93" t="n">
        <x:v>26762.98</x:v>
      </x:c>
      <x:c r="K1404" s="85" t="str">
        <x:v>2º Turno</x:v>
      </x:c>
    </x:row>
    <x:row r="1405">
      <x:c r="A1405" s="83" t="n">
        <x:v>1404</x:v>
      </x:c>
      <x:c r="B1405" s="84" t="n">
        <x:v>22</x:v>
      </x:c>
      <x:c r="C1405" s="84" t="n">
        <x:v>2166</x:v>
      </x:c>
      <x:c r="D1405" s="89" t="n">
        <x:v>45075.98224537037</x:v>
      </x:c>
      <x:c r="E1405" s="89" t="n">
        <x:v>45076.465578703705</x:v>
      </x:c>
      <x:c r="F1405" s="84" t="n">
        <x:v>696</x:v>
      </x:c>
      <x:c r="G1405" s="84" t="n">
        <x:v>1</x:v>
      </x:c>
      <x:c r="H1405" s="84" t="str">
        <x:v>Baixa pressão</x:v>
      </x:c>
      <x:c r="I1405" s="84" t="n">
        <x:v>1148</x:v>
      </x:c>
      <x:c r="J1405" s="93" t="n">
        <x:v>34379.23</x:v>
      </x:c>
      <x:c r="K1405" s="85" t="str">
        <x:v>3º Turno</x:v>
      </x:c>
    </x:row>
    <x:row r="1406">
      <x:c r="A1406" s="83" t="n">
        <x:v>1405</x:v>
      </x:c>
      <x:c r="B1406" s="84" t="n">
        <x:v>73</x:v>
      </x:c>
      <x:c r="C1406" s="84" t="n">
        <x:v>2167</x:v>
      </x:c>
      <x:c r="D1406" s="89" t="n">
        <x:v>45594.503657407404</x:v>
      </x:c>
      <x:c r="E1406" s="89" t="n">
        <x:v>45594.98837962963</x:v>
      </x:c>
      <x:c r="F1406" s="84" t="n">
        <x:v>698</x:v>
      </x:c>
      <x:c r="G1406" s="84" t="n">
        <x:v>1</x:v>
      </x:c>
      <x:c r="H1406" s="84" t="str">
        <x:v>Vazamento</x:v>
      </x:c>
      <x:c r="I1406" s="84" t="n">
        <x:v>849</x:v>
      </x:c>
      <x:c r="J1406" s="93" t="n">
        <x:v>31882.49</x:v>
      </x:c>
      <x:c r="K1406" s="85" t="str">
        <x:v>2º Turno</x:v>
      </x:c>
    </x:row>
    <x:row r="1407">
      <x:c r="A1407" s="83" t="n">
        <x:v>1406</x:v>
      </x:c>
      <x:c r="B1407" s="84" t="n">
        <x:v>56</x:v>
      </x:c>
      <x:c r="C1407" s="84" t="n">
        <x:v>2168</x:v>
      </x:c>
      <x:c r="D1407" s="89" t="n">
        <x:v>45703.85722222222</x:v>
      </x:c>
      <x:c r="E1407" s="89" t="n">
        <x:v>45704.185</x:v>
      </x:c>
      <x:c r="F1407" s="84" t="n">
        <x:v>472</x:v>
      </x:c>
      <x:c r="G1407" s="84" t="n">
        <x:v>1</x:v>
      </x:c>
      <x:c r="H1407" s="84" t="str">
        <x:v>Ruído anormal</x:v>
      </x:c>
      <x:c r="I1407" s="84" t="n">
        <x:v>834</x:v>
      </x:c>
      <x:c r="J1407" s="93" t="n">
        <x:v>23355.04</x:v>
      </x:c>
      <x:c r="K1407" s="85" t="str">
        <x:v>3º Turno</x:v>
      </x:c>
    </x:row>
    <x:row r="1408">
      <x:c r="A1408" s="83" t="n">
        <x:v>1407</x:v>
      </x:c>
      <x:c r="B1408" s="84" t="n">
        <x:v>43</x:v>
      </x:c>
      <x:c r="C1408" s="84" t="n">
        <x:v>2172</x:v>
      </x:c>
      <x:c r="D1408" s="89" t="n">
        <x:v>45932.894270833334</x:v>
      </x:c>
      <x:c r="E1408" s="89" t="n">
        <x:v>45932.959548611114</x:v>
      </x:c>
      <x:c r="F1408" s="84" t="n">
        <x:v>94</x:v>
      </x:c>
      <x:c r="G1408" s="84" t="n">
        <x:v>1</x:v>
      </x:c>
      <x:c r="H1408" s="84" t="str">
        <x:v>Ruído anormal</x:v>
      </x:c>
      <x:c r="I1408" s="84" t="n">
        <x:v>201</x:v>
      </x:c>
      <x:c r="J1408" s="93" t="n">
        <x:v>5322.08</x:v>
      </x:c>
      <x:c r="K1408" s="85" t="str">
        <x:v>1º Turno</x:v>
      </x:c>
    </x:row>
    <x:row r="1409">
      <x:c r="A1409" s="83" t="n">
        <x:v>1408</x:v>
      </x:c>
      <x:c r="B1409" s="84" t="n">
        <x:v>63</x:v>
      </x:c>
      <x:c r="C1409" s="84" t="n">
        <x:v>2173</x:v>
      </x:c>
      <x:c r="D1409" s="89" t="n">
        <x:v>45824.278136574074</x:v>
      </x:c>
      <x:c r="E1409" s="89" t="n">
        <x:v>45824.42049768518</x:v>
      </x:c>
      <x:c r="F1409" s="84" t="n">
        <x:v>205</x:v>
      </x:c>
      <x:c r="G1409" s="84" t="n">
        <x:v>1</x:v>
      </x:c>
      <x:c r="H1409" s="84" t="str">
        <x:v>Desalinhamento</x:v>
      </x:c>
      <x:c r="I1409" s="84" t="n">
        <x:v>403</x:v>
      </x:c>
      <x:c r="J1409" s="93" t="n">
        <x:v>8610.32</x:v>
      </x:c>
      <x:c r="K1409" s="85" t="str">
        <x:v>3º Turno</x:v>
      </x:c>
    </x:row>
    <x:row r="1410">
      <x:c r="A1410" s="83" t="n">
        <x:v>1409</x:v>
      </x:c>
      <x:c r="B1410" s="84" t="n">
        <x:v>5</x:v>
      </x:c>
      <x:c r="C1410" s="84" t="n">
        <x:v>2174</x:v>
      </x:c>
      <x:c r="D1410" s="89" t="n">
        <x:v>45694.64829861111</x:v>
      </x:c>
      <x:c r="E1410" s="89" t="n">
        <x:v>45695.01288194444</x:v>
      </x:c>
      <x:c r="F1410" s="84" t="n">
        <x:v>525</x:v>
      </x:c>
      <x:c r="G1410" s="84" t="n">
        <x:v>1</x:v>
      </x:c>
      <x:c r="H1410" s="84" t="str">
        <x:v>Superaquecimento</x:v>
      </x:c>
      <x:c r="I1410" s="84" t="n">
        <x:v>779</x:v>
      </x:c>
      <x:c r="J1410" s="93" t="n">
        <x:v>19576.93</x:v>
      </x:c>
      <x:c r="K1410" s="85" t="str">
        <x:v>1º Turno</x:v>
      </x:c>
    </x:row>
    <x:row r="1411">
      <x:c r="A1411" s="83" t="n">
        <x:v>1410</x:v>
      </x:c>
      <x:c r="B1411" s="84" t="n">
        <x:v>79</x:v>
      </x:c>
      <x:c r="C1411" s="84" t="n">
        <x:v>2175</x:v>
      </x:c>
      <x:c r="D1411" s="89" t="n">
        <x:v>45299.36570601852</x:v>
      </x:c>
      <x:c r="E1411" s="89" t="n">
        <x:v>45299.87820601852</x:v>
      </x:c>
      <x:c r="F1411" s="84" t="n">
        <x:v>738</x:v>
      </x:c>
      <x:c r="G1411" s="84" t="n">
        <x:v>1</x:v>
      </x:c>
      <x:c r="H1411" s="84" t="str">
        <x:v>Desalinhamento</x:v>
      </x:c>
      <x:c r="I1411" s="84" t="n">
        <x:v>1156</x:v>
      </x:c>
      <x:c r="J1411" s="93" t="n">
        <x:v>32126.47</x:v>
      </x:c>
      <x:c r="K1411" s="85" t="str">
        <x:v>2º Turno</x:v>
      </x:c>
    </x:row>
    <x:row r="1412">
      <x:c r="A1412" s="83" t="n">
        <x:v>1411</x:v>
      </x:c>
      <x:c r="B1412" s="84" t="n">
        <x:v>1</x:v>
      </x:c>
      <x:c r="C1412" s="84" t="n">
        <x:v>2176</x:v>
      </x:c>
      <x:c r="D1412" s="89" t="n">
        <x:v>45816.459965277776</x:v>
      </x:c>
      <x:c r="E1412" s="89" t="n">
        <x:v>45816.51552083333</x:v>
      </x:c>
      <x:c r="F1412" s="84" t="n">
        <x:v>80</x:v>
      </x:c>
      <x:c r="G1412" s="84" t="n">
        <x:v>1</x:v>
      </x:c>
      <x:c r="H1412" s="84" t="str">
        <x:v>Vazamento</x:v>
      </x:c>
      <x:c r="I1412" s="84" t="n">
        <x:v>87</x:v>
      </x:c>
      <x:c r="J1412" s="93" t="n">
        <x:v>3890.19</x:v>
      </x:c>
      <x:c r="K1412" s="85" t="str">
        <x:v>1º Turno</x:v>
      </x:c>
    </x:row>
    <x:row r="1413">
      <x:c r="A1413" s="83" t="n">
        <x:v>1412</x:v>
      </x:c>
      <x:c r="B1413" s="84" t="n">
        <x:v>61</x:v>
      </x:c>
      <x:c r="C1413" s="84" t="n">
        <x:v>2178</x:v>
      </x:c>
      <x:c r="D1413" s="89" t="n">
        <x:v>45715.94747685185</x:v>
      </x:c>
      <x:c r="E1413" s="89" t="n">
        <x:v>45716.41900462963</x:v>
      </x:c>
      <x:c r="F1413" s="84" t="n">
        <x:v>679</x:v>
      </x:c>
      <x:c r="G1413" s="84" t="n">
        <x:v>0</x:v>
      </x:c>
      <x:c r="H1413" s="84" t="str">
        <x:v>Vazamento</x:v>
      </x:c>
      <x:c r="I1413" s="84" t="n">
        <x:v>1562</x:v>
      </x:c>
      <x:c r="J1413" s="93" t="n">
        <x:v>20616.57</x:v>
      </x:c>
      <x:c r="K1413" s="85" t="str">
        <x:v>3º Turno</x:v>
      </x:c>
    </x:row>
    <x:row r="1414">
      <x:c r="A1414" s="83" t="n">
        <x:v>1413</x:v>
      </x:c>
      <x:c r="B1414" s="84" t="n">
        <x:v>84</x:v>
      </x:c>
      <x:c r="C1414" s="84" t="n">
        <x:v>2179</x:v>
      </x:c>
      <x:c r="D1414" s="89" t="n">
        <x:v>45834.590219907404</x:v>
      </x:c>
      <x:c r="E1414" s="89" t="n">
        <x:v>45835.155497685184</x:v>
      </x:c>
      <x:c r="F1414" s="84" t="n">
        <x:v>814</x:v>
      </x:c>
      <x:c r="G1414" s="84" t="n">
        <x:v>1</x:v>
      </x:c>
      <x:c r="H1414" s="84" t="str">
        <x:v>Baixa pressão</x:v>
      </x:c>
      <x:c r="I1414" s="84" t="n">
        <x:v>1452</x:v>
      </x:c>
      <x:c r="J1414" s="93" t="n">
        <x:v>36178.82</x:v>
      </x:c>
      <x:c r="K1414" s="85" t="str">
        <x:v>3º Turno</x:v>
      </x:c>
    </x:row>
    <x:row r="1415">
      <x:c r="A1415" s="83" t="n">
        <x:v>1414</x:v>
      </x:c>
      <x:c r="B1415" s="84" t="n">
        <x:v>17</x:v>
      </x:c>
      <x:c r="C1415" s="84" t="n">
        <x:v>2180</x:v>
      </x:c>
      <x:c r="D1415" s="89" t="n">
        <x:v>45141.43834490741</x:v>
      </x:c>
      <x:c r="E1415" s="89" t="n">
        <x:v>45141.63903935185</x:v>
      </x:c>
      <x:c r="F1415" s="84" t="n">
        <x:v>289</x:v>
      </x:c>
      <x:c r="G1415" s="84" t="n">
        <x:v>1</x:v>
      </x:c>
      <x:c r="H1415" s="84" t="str">
        <x:v>Superaquecimento</x:v>
      </x:c>
      <x:c r="I1415" s="84" t="n">
        <x:v>530</x:v>
      </x:c>
      <x:c r="J1415" s="93" t="n">
        <x:v>12542.65</x:v>
      </x:c>
      <x:c r="K1415" s="85" t="str">
        <x:v>1º Turno</x:v>
      </x:c>
    </x:row>
    <x:row r="1416">
      <x:c r="A1416" s="83" t="n">
        <x:v>1415</x:v>
      </x:c>
      <x:c r="B1416" s="84" t="n">
        <x:v>21</x:v>
      </x:c>
      <x:c r="C1416" s="84" t="n">
        <x:v>2181</x:v>
      </x:c>
      <x:c r="D1416" s="89" t="n">
        <x:v>45417.16873842593</x:v>
      </x:c>
      <x:c r="E1416" s="89" t="n">
        <x:v>45417.701377314814</x:v>
      </x:c>
      <x:c r="F1416" s="84" t="n">
        <x:v>767</x:v>
      </x:c>
      <x:c r="G1416" s="84" t="n">
        <x:v>0</x:v>
      </x:c>
      <x:c r="H1416" s="84" t="str">
        <x:v>Alarme intermitente</x:v>
      </x:c>
      <x:c r="I1416" s="84" t="n">
        <x:v>1099</x:v>
      </x:c>
      <x:c r="J1416" s="93" t="n">
        <x:v>18408.8</x:v>
      </x:c>
      <x:c r="K1416" s="85" t="str">
        <x:v>1º Turno</x:v>
      </x:c>
    </x:row>
    <x:row r="1417">
      <x:c r="A1417" s="83" t="n">
        <x:v>1416</x:v>
      </x:c>
      <x:c r="B1417" s="84" t="n">
        <x:v>90</x:v>
      </x:c>
      <x:c r="C1417" s="84" t="n">
        <x:v>2182</x:v>
      </x:c>
      <x:c r="D1417" s="89" t="n">
        <x:v>45921.44196759259</x:v>
      </x:c>
      <x:c r="E1417" s="89" t="n">
        <x:v>45921.52113425926</x:v>
      </x:c>
      <x:c r="F1417" s="84" t="n">
        <x:v>114</x:v>
      </x:c>
      <x:c r="G1417" s="84" t="n">
        <x:v>1</x:v>
      </x:c>
      <x:c r="H1417" s="84" t="str">
        <x:v>Superaquecimento</x:v>
      </x:c>
      <x:c r="I1417" s="84" t="n">
        <x:v>144</x:v>
      </x:c>
      <x:c r="J1417" s="93" t="n">
        <x:v>2943.32</x:v>
      </x:c>
      <x:c r="K1417" s="85" t="str">
        <x:v>1º Turno</x:v>
      </x:c>
    </x:row>
    <x:row r="1418">
      <x:c r="A1418" s="83" t="n">
        <x:v>1417</x:v>
      </x:c>
      <x:c r="B1418" s="84" t="n">
        <x:v>17</x:v>
      </x:c>
      <x:c r="C1418" s="84" t="n">
        <x:v>2183</x:v>
      </x:c>
      <x:c r="D1418" s="89" t="n">
        <x:v>45865.73611111111</x:v>
      </x:c>
      <x:c r="E1418" s="89" t="n">
        <x:v>45865.955555555556</x:v>
      </x:c>
      <x:c r="F1418" s="84" t="n">
        <x:v>316</x:v>
      </x:c>
      <x:c r="G1418" s="84" t="n">
        <x:v>1</x:v>
      </x:c>
      <x:c r="H1418" s="84" t="str">
        <x:v>Vazamento</x:v>
      </x:c>
      <x:c r="I1418" s="84" t="n">
        <x:v>779</x:v>
      </x:c>
      <x:c r="J1418" s="93" t="n">
        <x:v>16759.17</x:v>
      </x:c>
      <x:c r="K1418" s="85" t="str">
        <x:v>2º Turno</x:v>
      </x:c>
    </x:row>
    <x:row r="1419">
      <x:c r="A1419" s="83" t="n">
        <x:v>1418</x:v>
      </x:c>
      <x:c r="B1419" s="84" t="n">
        <x:v>42</x:v>
      </x:c>
      <x:c r="C1419" s="84" t="n">
        <x:v>2186</x:v>
      </x:c>
      <x:c r="D1419" s="89" t="n">
        <x:v>45224.85601851852</x:v>
      </x:c>
      <x:c r="E1419" s="89" t="n">
        <x:v>45225.42824074074</x:v>
      </x:c>
      <x:c r="F1419" s="84" t="n">
        <x:v>824</x:v>
      </x:c>
      <x:c r="G1419" s="84" t="n">
        <x:v>1</x:v>
      </x:c>
      <x:c r="H1419" s="84" t="str">
        <x:v>Desalinhamento</x:v>
      </x:c>
      <x:c r="I1419" s="84" t="n">
        <x:v>1607</x:v>
      </x:c>
      <x:c r="J1419" s="93" t="n">
        <x:v>15266.63</x:v>
      </x:c>
      <x:c r="K1419" s="85" t="str">
        <x:v>3º Turno</x:v>
      </x:c>
    </x:row>
    <x:row r="1420">
      <x:c r="A1420" s="83" t="n">
        <x:v>1419</x:v>
      </x:c>
      <x:c r="B1420" s="84" t="n">
        <x:v>82</x:v>
      </x:c>
      <x:c r="C1420" s="84" t="n">
        <x:v>2187</x:v>
      </x:c>
      <x:c r="D1420" s="89" t="n">
        <x:v>44957.936886574076</x:v>
      </x:c>
      <x:c r="E1420" s="89" t="n">
        <x:v>44958.43966435185</x:v>
      </x:c>
      <x:c r="F1420" s="84" t="n">
        <x:v>724</x:v>
      </x:c>
      <x:c r="G1420" s="84" t="n">
        <x:v>1</x:v>
      </x:c>
      <x:c r="H1420" s="84" t="str">
        <x:v>Ruído anormal</x:v>
      </x:c>
      <x:c r="I1420" s="84" t="n">
        <x:v>1750</x:v>
      </x:c>
      <x:c r="J1420" s="93" t="n">
        <x:v>41487.88</x:v>
      </x:c>
      <x:c r="K1420" s="85" t="str">
        <x:v>2º Turno</x:v>
      </x:c>
    </x:row>
    <x:row r="1421">
      <x:c r="A1421" s="83" t="n">
        <x:v>1420</x:v>
      </x:c>
      <x:c r="B1421" s="84" t="n">
        <x:v>39</x:v>
      </x:c>
      <x:c r="C1421" s="84" t="n">
        <x:v>2188</x:v>
      </x:c>
      <x:c r="D1421" s="89" t="n">
        <x:v>45458.440254629626</x:v>
      </x:c>
      <x:c r="E1421" s="89" t="n">
        <x:v>45458.68539351852</x:v>
      </x:c>
      <x:c r="F1421" s="84" t="n">
        <x:v>353</x:v>
      </x:c>
      <x:c r="G1421" s="84" t="n">
        <x:v>1</x:v>
      </x:c>
      <x:c r="H1421" s="84" t="str">
        <x:v>Falha elétrica</x:v>
      </x:c>
      <x:c r="I1421" s="84" t="n">
        <x:v>718</x:v>
      </x:c>
      <x:c r="J1421" s="93" t="n">
        <x:v>15392.07</x:v>
      </x:c>
      <x:c r="K1421" s="85" t="str">
        <x:v>1º Turno</x:v>
      </x:c>
    </x:row>
    <x:row r="1422">
      <x:c r="A1422" s="83" t="n">
        <x:v>1421</x:v>
      </x:c>
      <x:c r="B1422" s="84" t="n">
        <x:v>67</x:v>
      </x:c>
      <x:c r="C1422" s="84" t="n">
        <x:v>2189</x:v>
      </x:c>
      <x:c r="D1422" s="89" t="n">
        <x:v>45698.36708333333</x:v>
      </x:c>
      <x:c r="E1422" s="89" t="n">
        <x:v>45698.893472222226</x:v>
      </x:c>
      <x:c r="F1422" s="84" t="n">
        <x:v>758</x:v>
      </x:c>
      <x:c r="G1422" s="84" t="n">
        <x:v>1</x:v>
      </x:c>
      <x:c r="H1422" s="84" t="str">
        <x:v>Ruído anormal</x:v>
      </x:c>
      <x:c r="I1422" s="84" t="n">
        <x:v>1428</x:v>
      </x:c>
      <x:c r="J1422" s="93" t="n">
        <x:v>36095.49</x:v>
      </x:c>
      <x:c r="K1422" s="85" t="str">
        <x:v>2º Turno</x:v>
      </x:c>
    </x:row>
    <x:row r="1423">
      <x:c r="A1423" s="83" t="n">
        <x:v>1422</x:v>
      </x:c>
      <x:c r="B1423" s="84" t="n">
        <x:v>51</x:v>
      </x:c>
      <x:c r="C1423" s="84" t="n">
        <x:v>2190</x:v>
      </x:c>
      <x:c r="D1423" s="89" t="n">
        <x:v>44982.14314814815</x:v>
      </x:c>
      <x:c r="E1423" s="89" t="n">
        <x:v>44982.43828703704</x:v>
      </x:c>
      <x:c r="F1423" s="84" t="n">
        <x:v>425</x:v>
      </x:c>
      <x:c r="G1423" s="84" t="n">
        <x:v>1</x:v>
      </x:c>
      <x:c r="H1423" s="84" t="str">
        <x:v>Falha elétrica</x:v>
      </x:c>
      <x:c r="I1423" s="84" t="n">
        <x:v>708</x:v>
      </x:c>
      <x:c r="J1423" s="93" t="n">
        <x:v>15772.46</x:v>
      </x:c>
      <x:c r="K1423" s="85" t="str">
        <x:v>1º Turno</x:v>
      </x:c>
    </x:row>
    <x:row r="1424">
      <x:c r="A1424" s="83" t="n">
        <x:v>1423</x:v>
      </x:c>
      <x:c r="B1424" s="84" t="n">
        <x:v>73</x:v>
      </x:c>
      <x:c r="C1424" s="84" t="n">
        <x:v>2191</x:v>
      </x:c>
      <x:c r="D1424" s="89" t="n">
        <x:v>45230.48268518518</x:v>
      </x:c>
      <x:c r="E1424" s="89" t="n">
        <x:v>45230.65907407407</x:v>
      </x:c>
      <x:c r="F1424" s="84" t="n">
        <x:v>254</x:v>
      </x:c>
      <x:c r="G1424" s="84" t="n">
        <x:v>0</x:v>
      </x:c>
      <x:c r="H1424" s="84" t="str">
        <x:v>Vazamento</x:v>
      </x:c>
      <x:c r="I1424" s="84" t="n">
        <x:v>279</x:v>
      </x:c>
      <x:c r="J1424" s="93" t="n">
        <x:v>6077.76</x:v>
      </x:c>
      <x:c r="K1424" s="85" t="str">
        <x:v>2º Turno</x:v>
      </x:c>
    </x:row>
    <x:row r="1425">
      <x:c r="A1425" s="83" t="n">
        <x:v>1424</x:v>
      </x:c>
      <x:c r="B1425" s="84" t="n">
        <x:v>63</x:v>
      </x:c>
      <x:c r="C1425" s="84" t="n">
        <x:v>2192</x:v>
      </x:c>
      <x:c r="D1425" s="89" t="n">
        <x:v>45822.15447916667</x:v>
      </x:c>
      <x:c r="E1425" s="89" t="n">
        <x:v>45822.28711805555</x:v>
      </x:c>
      <x:c r="F1425" s="84" t="n">
        <x:v>191</x:v>
      </x:c>
      <x:c r="G1425" s="84" t="n">
        <x:v>1</x:v>
      </x:c>
      <x:c r="H1425" s="84" t="str">
        <x:v>Alarme intermitente</x:v>
      </x:c>
      <x:c r="I1425" s="84" t="n">
        <x:v>347</x:v>
      </x:c>
      <x:c r="J1425" s="93" t="n">
        <x:v>9330.53</x:v>
      </x:c>
      <x:c r="K1425" s="85" t="str">
        <x:v>2º Turno</x:v>
      </x:c>
    </x:row>
    <x:row r="1426">
      <x:c r="A1426" s="83" t="n">
        <x:v>1425</x:v>
      </x:c>
      <x:c r="B1426" s="84" t="n">
        <x:v>46</x:v>
      </x:c>
      <x:c r="C1426" s="84" t="n">
        <x:v>2193</x:v>
      </x:c>
      <x:c r="D1426" s="89" t="n">
        <x:v>45031.55342592593</x:v>
      </x:c>
      <x:c r="E1426" s="89" t="n">
        <x:v>45031.66037037037</x:v>
      </x:c>
      <x:c r="F1426" s="84" t="n">
        <x:v>154</x:v>
      </x:c>
      <x:c r="G1426" s="84" t="n">
        <x:v>0</x:v>
      </x:c>
      <x:c r="H1426" s="84" t="str">
        <x:v>Superaquecimento</x:v>
      </x:c>
      <x:c r="I1426" s="84" t="n">
        <x:v>228</x:v>
      </x:c>
      <x:c r="J1426" s="93" t="n">
        <x:v>6462.34</x:v>
      </x:c>
      <x:c r="K1426" s="85" t="str">
        <x:v>2º Turno</x:v>
      </x:c>
    </x:row>
    <x:row r="1427">
      <x:c r="A1427" s="83" t="n">
        <x:v>1426</x:v>
      </x:c>
      <x:c r="B1427" s="84" t="n">
        <x:v>13</x:v>
      </x:c>
      <x:c r="C1427" s="84" t="n">
        <x:v>2195</x:v>
      </x:c>
      <x:c r="D1427" s="89" t="n">
        <x:v>45360.82891203704</x:v>
      </x:c>
      <x:c r="E1427" s="89" t="n">
        <x:v>45361.375439814816</x:v>
      </x:c>
      <x:c r="F1427" s="84" t="n">
        <x:v>787</x:v>
      </x:c>
      <x:c r="G1427" s="84" t="n">
        <x:v>1</x:v>
      </x:c>
      <x:c r="H1427" s="84" t="str">
        <x:v>Falha elétrica</x:v>
      </x:c>
      <x:c r="I1427" s="84" t="n">
        <x:v>853</x:v>
      </x:c>
      <x:c r="J1427" s="93" t="n">
        <x:v>33273.23</x:v>
      </x:c>
      <x:c r="K1427" s="85" t="str">
        <x:v>3º Turno</x:v>
      </x:c>
    </x:row>
    <x:row r="1428">
      <x:c r="A1428" s="83" t="n">
        <x:v>1427</x:v>
      </x:c>
      <x:c r="B1428" s="84" t="n">
        <x:v>65</x:v>
      </x:c>
      <x:c r="C1428" s="84" t="n">
        <x:v>2196</x:v>
      </x:c>
      <x:c r="D1428" s="89" t="n">
        <x:v>45214.42524305556</x:v>
      </x:c>
      <x:c r="E1428" s="89" t="n">
        <x:v>45215.01552083333</x:v>
      </x:c>
      <x:c r="F1428" s="84" t="n">
        <x:v>850</x:v>
      </x:c>
      <x:c r="G1428" s="84" t="n">
        <x:v>1</x:v>
      </x:c>
      <x:c r="H1428" s="84" t="str">
        <x:v>Superaquecimento</x:v>
      </x:c>
      <x:c r="I1428" s="84" t="n">
        <x:v>2040</x:v>
      </x:c>
      <x:c r="J1428" s="93" t="n">
        <x:v>43805.09</x:v>
      </x:c>
      <x:c r="K1428" s="85" t="str">
        <x:v>1º Turno</x:v>
      </x:c>
    </x:row>
    <x:row r="1429">
      <x:c r="A1429" s="83" t="n">
        <x:v>1428</x:v>
      </x:c>
      <x:c r="B1429" s="84" t="n">
        <x:v>39</x:v>
      </x:c>
      <x:c r="C1429" s="84" t="n">
        <x:v>2198</x:v>
      </x:c>
      <x:c r="D1429" s="89" t="n">
        <x:v>44958.44569444445</x:v>
      </x:c>
      <x:c r="E1429" s="89" t="n">
        <x:v>44958.892222222225</x:v>
      </x:c>
      <x:c r="F1429" s="84" t="n">
        <x:v>643</x:v>
      </x:c>
      <x:c r="G1429" s="84" t="n">
        <x:v>1</x:v>
      </x:c>
      <x:c r="H1429" s="84" t="str">
        <x:v>Desalinhamento</x:v>
      </x:c>
      <x:c r="I1429" s="84" t="n">
        <x:v>986</x:v>
      </x:c>
      <x:c r="J1429" s="93" t="n">
        <x:v>16178.71</x:v>
      </x:c>
      <x:c r="K1429" s="85" t="str">
        <x:v>3º Turno</x:v>
      </x:c>
    </x:row>
    <x:row r="1430">
      <x:c r="A1430" s="83" t="n">
        <x:v>1429</x:v>
      </x:c>
      <x:c r="B1430" s="84" t="n">
        <x:v>61</x:v>
      </x:c>
      <x:c r="C1430" s="84" t="n">
        <x:v>2200</x:v>
      </x:c>
      <x:c r="D1430" s="89" t="n">
        <x:v>44967.1184375</x:v>
      </x:c>
      <x:c r="E1430" s="89" t="n">
        <x:v>44967.45940972222</x:v>
      </x:c>
      <x:c r="F1430" s="84" t="n">
        <x:v>491</x:v>
      </x:c>
      <x:c r="G1430" s="84" t="n">
        <x:v>1</x:v>
      </x:c>
      <x:c r="H1430" s="84" t="str">
        <x:v>Desalinhamento</x:v>
      </x:c>
      <x:c r="I1430" s="84" t="n">
        <x:v>712</x:v>
      </x:c>
      <x:c r="J1430" s="93" t="n">
        <x:v>7637.95</x:v>
      </x:c>
      <x:c r="K1430" s="85" t="str">
        <x:v>2º Turno</x:v>
      </x:c>
    </x:row>
    <x:row r="1431">
      <x:c r="A1431" s="83" t="n">
        <x:v>1430</x:v>
      </x:c>
      <x:c r="B1431" s="84" t="n">
        <x:v>46</x:v>
      </x:c>
      <x:c r="C1431" s="84" t="n">
        <x:v>2201</x:v>
      </x:c>
      <x:c r="D1431" s="89" t="n">
        <x:v>45091.918900462966</x:v>
      </x:c>
      <x:c r="E1431" s="89" t="n">
        <x:v>45092.05778935185</x:v>
      </x:c>
      <x:c r="F1431" s="84" t="n">
        <x:v>200</x:v>
      </x:c>
      <x:c r="G1431" s="84" t="n">
        <x:v>1</x:v>
      </x:c>
      <x:c r="H1431" s="84" t="str">
        <x:v>Alarme intermitente</x:v>
      </x:c>
      <x:c r="I1431" s="84" t="n">
        <x:v>230</x:v>
      </x:c>
      <x:c r="J1431" s="93" t="n">
        <x:v>7557.2</x:v>
      </x:c>
      <x:c r="K1431" s="85" t="str">
        <x:v>2º Turno</x:v>
      </x:c>
    </x:row>
    <x:row r="1432">
      <x:c r="A1432" s="83" t="n">
        <x:v>1431</x:v>
      </x:c>
      <x:c r="B1432" s="84" t="n">
        <x:v>45</x:v>
      </x:c>
      <x:c r="C1432" s="84" t="n">
        <x:v>2203</x:v>
      </x:c>
      <x:c r="D1432" s="89" t="n">
        <x:v>44980.83002314815</x:v>
      </x:c>
      <x:c r="E1432" s="89" t="n">
        <x:v>44980.95224537037</x:v>
      </x:c>
      <x:c r="F1432" s="84" t="n">
        <x:v>176</x:v>
      </x:c>
      <x:c r="G1432" s="84" t="n">
        <x:v>1</x:v>
      </x:c>
      <x:c r="H1432" s="84" t="str">
        <x:v>Falha elétrica</x:v>
      </x:c>
      <x:c r="I1432" s="84" t="n">
        <x:v>214</x:v>
      </x:c>
      <x:c r="J1432" s="93" t="n">
        <x:v>4416.64</x:v>
      </x:c>
      <x:c r="K1432" s="85" t="str">
        <x:v>3º Turno</x:v>
      </x:c>
    </x:row>
    <x:row r="1433">
      <x:c r="A1433" s="83" t="n">
        <x:v>1432</x:v>
      </x:c>
      <x:c r="B1433" s="84" t="n">
        <x:v>58</x:v>
      </x:c>
      <x:c r="C1433" s="84" t="n">
        <x:v>2205</x:v>
      </x:c>
      <x:c r="D1433" s="89" t="n">
        <x:v>44981.61288194444</x:v>
      </x:c>
      <x:c r="E1433" s="89" t="n">
        <x:v>44981.673993055556</x:v>
      </x:c>
      <x:c r="F1433" s="84" t="n">
        <x:v>88</x:v>
      </x:c>
      <x:c r="G1433" s="84" t="n">
        <x:v>1</x:v>
      </x:c>
      <x:c r="H1433" s="84" t="str">
        <x:v>Baixa pressão</x:v>
      </x:c>
      <x:c r="I1433" s="84" t="n">
        <x:v>163</x:v>
      </x:c>
      <x:c r="J1433" s="93" t="n">
        <x:v>2243.61</x:v>
      </x:c>
      <x:c r="K1433" s="85" t="str">
        <x:v>3º Turno</x:v>
      </x:c>
    </x:row>
    <x:row r="1434">
      <x:c r="A1434" s="83" t="n">
        <x:v>1433</x:v>
      </x:c>
      <x:c r="B1434" s="84" t="n">
        <x:v>29</x:v>
      </x:c>
      <x:c r="C1434" s="84" t="n">
        <x:v>2208</x:v>
      </x:c>
      <x:c r="D1434" s="89" t="n">
        <x:v>45996.80394675926</x:v>
      </x:c>
      <x:c r="E1434" s="89" t="n">
        <x:v>45996.92755787037</x:v>
      </x:c>
      <x:c r="F1434" s="84" t="n">
        <x:v>178</x:v>
      </x:c>
      <x:c r="G1434" s="84" t="n">
        <x:v>1</x:v>
      </x:c>
      <x:c r="H1434" s="84" t="str">
        <x:v>Baixa pressão</x:v>
      </x:c>
      <x:c r="I1434" s="84" t="n">
        <x:v>374</x:v>
      </x:c>
      <x:c r="J1434" s="93" t="n">
        <x:v>9006.6</x:v>
      </x:c>
      <x:c r="K1434" s="85" t="str">
        <x:v>1º Turno</x:v>
      </x:c>
    </x:row>
    <x:row r="1435">
      <x:c r="A1435" s="83" t="n">
        <x:v>1434</x:v>
      </x:c>
      <x:c r="B1435" s="84" t="n">
        <x:v>20</x:v>
      </x:c>
      <x:c r="C1435" s="84" t="n">
        <x:v>2210</x:v>
      </x:c>
      <x:c r="D1435" s="89" t="n">
        <x:v>45534.006840277776</x:v>
      </x:c>
      <x:c r="E1435" s="89" t="n">
        <x:v>45534.37559027778</x:v>
      </x:c>
      <x:c r="F1435" s="84" t="n">
        <x:v>531</x:v>
      </x:c>
      <x:c r="G1435" s="84" t="n">
        <x:v>0</x:v>
      </x:c>
      <x:c r="H1435" s="84" t="str">
        <x:v>Falha elétrica</x:v>
      </x:c>
      <x:c r="I1435" s="84" t="n">
        <x:v>1239</x:v>
      </x:c>
      <x:c r="J1435" s="93" t="n">
        <x:v>20816.28</x:v>
      </x:c>
      <x:c r="K1435" s="85" t="str">
        <x:v>2º Turno</x:v>
      </x:c>
    </x:row>
    <x:row r="1436">
      <x:c r="A1436" s="83" t="n">
        <x:v>1435</x:v>
      </x:c>
      <x:c r="B1436" s="84" t="n">
        <x:v>23</x:v>
      </x:c>
      <x:c r="C1436" s="84" t="n">
        <x:v>2216</x:v>
      </x:c>
      <x:c r="D1436" s="89" t="n">
        <x:v>45076.709641203706</x:v>
      </x:c>
      <x:c r="E1436" s="89" t="n">
        <x:v>45076.85894675926</x:v>
      </x:c>
      <x:c r="F1436" s="84" t="n">
        <x:v>215</x:v>
      </x:c>
      <x:c r="G1436" s="84" t="n">
        <x:v>1</x:v>
      </x:c>
      <x:c r="H1436" s="84" t="str">
        <x:v>Desalinhamento</x:v>
      </x:c>
      <x:c r="I1436" s="84" t="n">
        <x:v>226</x:v>
      </x:c>
      <x:c r="J1436" s="93" t="n">
        <x:v>8002.24</x:v>
      </x:c>
      <x:c r="K1436" s="85" t="str">
        <x:v>3º Turno</x:v>
      </x:c>
    </x:row>
    <x:row r="1437">
      <x:c r="A1437" s="83" t="n">
        <x:v>1436</x:v>
      </x:c>
      <x:c r="B1437" s="84" t="n">
        <x:v>52</x:v>
      </x:c>
      <x:c r="C1437" s="84" t="n">
        <x:v>2217</x:v>
      </x:c>
      <x:c r="D1437" s="89" t="n">
        <x:v>45388.009733796294</x:v>
      </x:c>
      <x:c r="E1437" s="89" t="n">
        <x:v>45388.45209490741</x:v>
      </x:c>
      <x:c r="F1437" s="84" t="n">
        <x:v>637</x:v>
      </x:c>
      <x:c r="G1437" s="84" t="n">
        <x:v>1</x:v>
      </x:c>
      <x:c r="H1437" s="84" t="str">
        <x:v>Baixa pressão</x:v>
      </x:c>
      <x:c r="I1437" s="84" t="n">
        <x:v>796</x:v>
      </x:c>
      <x:c r="J1437" s="93" t="n">
        <x:v>30361.26</x:v>
      </x:c>
      <x:c r="K1437" s="85" t="str">
        <x:v>3º Turno</x:v>
      </x:c>
    </x:row>
    <x:row r="1438">
      <x:c r="A1438" s="83" t="n">
        <x:v>1437</x:v>
      </x:c>
      <x:c r="B1438" s="84" t="n">
        <x:v>55</x:v>
      </x:c>
      <x:c r="C1438" s="84" t="n">
        <x:v>2218</x:v>
      </x:c>
      <x:c r="D1438" s="89" t="n">
        <x:v>45153.344363425924</x:v>
      </x:c>
      <x:c r="E1438" s="89" t="n">
        <x:v>45153.50755787037</x:v>
      </x:c>
      <x:c r="F1438" s="84" t="n">
        <x:v>235</x:v>
      </x:c>
      <x:c r="G1438" s="84" t="n">
        <x:v>1</x:v>
      </x:c>
      <x:c r="H1438" s="84" t="str">
        <x:v>Desalinhamento</x:v>
      </x:c>
      <x:c r="I1438" s="84" t="n">
        <x:v>560</x:v>
      </x:c>
      <x:c r="J1438" s="93" t="n">
        <x:v>13370.19</x:v>
      </x:c>
      <x:c r="K1438" s="85" t="str">
        <x:v>2º Turno</x:v>
      </x:c>
    </x:row>
    <x:row r="1439">
      <x:c r="A1439" s="83" t="n">
        <x:v>1438</x:v>
      </x:c>
      <x:c r="B1439" s="84" t="n">
        <x:v>69</x:v>
      </x:c>
      <x:c r="C1439" s="84" t="n">
        <x:v>2219</x:v>
      </x:c>
      <x:c r="D1439" s="89" t="n">
        <x:v>45694.41071759259</x:v>
      </x:c>
      <x:c r="E1439" s="89" t="n">
        <x:v>45694.68502314815</x:v>
      </x:c>
      <x:c r="F1439" s="84" t="n">
        <x:v>395</x:v>
      </x:c>
      <x:c r="G1439" s="84" t="n">
        <x:v>1</x:v>
      </x:c>
      <x:c r="H1439" s="84" t="str">
        <x:v>Baixa pressão</x:v>
      </x:c>
      <x:c r="I1439" s="84" t="n">
        <x:v>981</x:v>
      </x:c>
      <x:c r="J1439" s="93" t="n">
        <x:v>13290.56</x:v>
      </x:c>
      <x:c r="K1439" s="85" t="str">
        <x:v>3º Turno</x:v>
      </x:c>
    </x:row>
    <x:row r="1440">
      <x:c r="A1440" s="83" t="n">
        <x:v>1439</x:v>
      </x:c>
      <x:c r="B1440" s="84" t="n">
        <x:v>14</x:v>
      </x:c>
      <x:c r="C1440" s="84" t="n">
        <x:v>2220</x:v>
      </x:c>
      <x:c r="D1440" s="89" t="n">
        <x:v>45381.00539351852</x:v>
      </x:c>
      <x:c r="E1440" s="89" t="n">
        <x:v>45381.40331018518</x:v>
      </x:c>
      <x:c r="F1440" s="84" t="n">
        <x:v>573</x:v>
      </x:c>
      <x:c r="G1440" s="84" t="n">
        <x:v>1</x:v>
      </x:c>
      <x:c r="H1440" s="84" t="str">
        <x:v>Alarme intermitente</x:v>
      </x:c>
      <x:c r="I1440" s="84" t="n">
        <x:v>1337</x:v>
      </x:c>
      <x:c r="J1440" s="93" t="n">
        <x:v>24942.22</x:v>
      </x:c>
      <x:c r="K1440" s="85" t="str">
        <x:v>2º Turno</x:v>
      </x:c>
    </x:row>
    <x:row r="1441">
      <x:c r="A1441" s="83" t="n">
        <x:v>1440</x:v>
      </x:c>
      <x:c r="B1441" s="84" t="n">
        <x:v>35</x:v>
      </x:c>
      <x:c r="C1441" s="84" t="n">
        <x:v>2221</x:v>
      </x:c>
      <x:c r="D1441" s="89" t="n">
        <x:v>45847.6349537037</x:v>
      </x:c>
      <x:c r="E1441" s="89" t="n">
        <x:v>45847.72939814815</x:v>
      </x:c>
      <x:c r="F1441" s="84" t="n">
        <x:v>136</x:v>
      </x:c>
      <x:c r="G1441" s="84" t="n">
        <x:v>1</x:v>
      </x:c>
      <x:c r="H1441" s="84" t="str">
        <x:v>Ruído anormal</x:v>
      </x:c>
      <x:c r="I1441" s="84" t="n">
        <x:v>340</x:v>
      </x:c>
      <x:c r="J1441" s="93" t="n">
        <x:v>2049.48</x:v>
      </x:c>
      <x:c r="K1441" s="85" t="str">
        <x:v>2º Turno</x:v>
      </x:c>
    </x:row>
    <x:row r="1442">
      <x:c r="A1442" s="83" t="n">
        <x:v>1441</x:v>
      </x:c>
      <x:c r="B1442" s="84" t="n">
        <x:v>86</x:v>
      </x:c>
      <x:c r="C1442" s="84" t="n">
        <x:v>2222</x:v>
      </x:c>
      <x:c r="D1442" s="89" t="n">
        <x:v>45975.56966435185</x:v>
      </x:c>
      <x:c r="E1442" s="89" t="n">
        <x:v>45976.077997685185</x:v>
      </x:c>
      <x:c r="F1442" s="84" t="n">
        <x:v>732</x:v>
      </x:c>
      <x:c r="G1442" s="84" t="n">
        <x:v>1</x:v>
      </x:c>
      <x:c r="H1442" s="84" t="str">
        <x:v>Superaquecimento</x:v>
      </x:c>
      <x:c r="I1442" s="84" t="n">
        <x:v>1427</x:v>
      </x:c>
      <x:c r="J1442" s="93" t="n">
        <x:v>23918.32</x:v>
      </x:c>
      <x:c r="K1442" s="85" t="str">
        <x:v>1º Turno</x:v>
      </x:c>
    </x:row>
    <x:row r="1443">
      <x:c r="A1443" s="83" t="n">
        <x:v>1442</x:v>
      </x:c>
      <x:c r="B1443" s="84" t="n">
        <x:v>40</x:v>
      </x:c>
      <x:c r="C1443" s="84" t="n">
        <x:v>2223</x:v>
      </x:c>
      <x:c r="D1443" s="89" t="n">
        <x:v>45091.88894675926</x:v>
      </x:c>
      <x:c r="E1443" s="89" t="n">
        <x:v>45092.13061342593</x:v>
      </x:c>
      <x:c r="F1443" s="84" t="n">
        <x:v>348</x:v>
      </x:c>
      <x:c r="G1443" s="84" t="n">
        <x:v>1</x:v>
      </x:c>
      <x:c r="H1443" s="84" t="str">
        <x:v>Vazamento</x:v>
      </x:c>
      <x:c r="I1443" s="84" t="n">
        <x:v>719</x:v>
      </x:c>
      <x:c r="J1443" s="93" t="n">
        <x:v>19124.63</x:v>
      </x:c>
      <x:c r="K1443" s="85" t="str">
        <x:v>2º Turno</x:v>
      </x:c>
    </x:row>
    <x:row r="1444">
      <x:c r="A1444" s="83" t="n">
        <x:v>1443</x:v>
      </x:c>
      <x:c r="B1444" s="84" t="n">
        <x:v>23</x:v>
      </x:c>
      <x:c r="C1444" s="84" t="n">
        <x:v>2224</x:v>
      </x:c>
      <x:c r="D1444" s="89" t="n">
        <x:v>45474.11083333333</x:v>
      </x:c>
      <x:c r="E1444" s="89" t="n">
        <x:v>45474.22125</x:v>
      </x:c>
      <x:c r="F1444" s="84" t="n">
        <x:v>159</x:v>
      </x:c>
      <x:c r="G1444" s="84" t="n">
        <x:v>0</x:v>
      </x:c>
      <x:c r="H1444" s="84" t="str">
        <x:v>Desalinhamento</x:v>
      </x:c>
      <x:c r="I1444" s="84" t="n">
        <x:v>257</x:v>
      </x:c>
      <x:c r="J1444" s="93" t="n">
        <x:v>8586.64</x:v>
      </x:c>
      <x:c r="K1444" s="85" t="str">
        <x:v>3º Turno</x:v>
      </x:c>
    </x:row>
    <x:row r="1445">
      <x:c r="A1445" s="83" t="n">
        <x:v>1444</x:v>
      </x:c>
      <x:c r="B1445" s="84" t="n">
        <x:v>3</x:v>
      </x:c>
      <x:c r="C1445" s="84" t="n">
        <x:v>2225</x:v>
      </x:c>
      <x:c r="D1445" s="89" t="n">
        <x:v>45910.102118055554</x:v>
      </x:c>
      <x:c r="E1445" s="89" t="n">
        <x:v>45910.55142361111</x:v>
      </x:c>
      <x:c r="F1445" s="84" t="n">
        <x:v>647</x:v>
      </x:c>
      <x:c r="G1445" s="84" t="n">
        <x:v>1</x:v>
      </x:c>
      <x:c r="H1445" s="84" t="str">
        <x:v>Superaquecimento</x:v>
      </x:c>
      <x:c r="I1445" s="84" t="n">
        <x:v>1467</x:v>
      </x:c>
      <x:c r="J1445" s="93" t="n">
        <x:v>35845.39</x:v>
      </x:c>
      <x:c r="K1445" s="85" t="str">
        <x:v>3º Turno</x:v>
      </x:c>
    </x:row>
    <x:row r="1446">
      <x:c r="A1446" s="83" t="n">
        <x:v>1445</x:v>
      </x:c>
      <x:c r="B1446" s="84" t="n">
        <x:v>88</x:v>
      </x:c>
      <x:c r="C1446" s="84" t="n">
        <x:v>2228</x:v>
      </x:c>
      <x:c r="D1446" s="89" t="n">
        <x:v>45755.45290509259</x:v>
      </x:c>
      <x:c r="E1446" s="89" t="n">
        <x:v>45755.701516203706</x:v>
      </x:c>
      <x:c r="F1446" s="84" t="n">
        <x:v>358</x:v>
      </x:c>
      <x:c r="G1446" s="84" t="n">
        <x:v>0</x:v>
      </x:c>
      <x:c r="H1446" s="84" t="str">
        <x:v>Vazamento</x:v>
      </x:c>
      <x:c r="I1446" s="84" t="n">
        <x:v>698</x:v>
      </x:c>
      <x:c r="J1446" s="93" t="n">
        <x:v>9633.35</x:v>
      </x:c>
      <x:c r="K1446" s="85" t="str">
        <x:v>1º Turno</x:v>
      </x:c>
    </x:row>
    <x:row r="1447">
      <x:c r="A1447" s="83" t="n">
        <x:v>1446</x:v>
      </x:c>
      <x:c r="B1447" s="84" t="n">
        <x:v>31</x:v>
      </x:c>
      <x:c r="C1447" s="84" t="n">
        <x:v>2232</x:v>
      </x:c>
      <x:c r="D1447" s="89" t="n">
        <x:v>45418.48443287037</x:v>
      </x:c>
      <x:c r="E1447" s="89" t="n">
        <x:v>45418.86984953703</x:v>
      </x:c>
      <x:c r="F1447" s="84" t="n">
        <x:v>555</x:v>
      </x:c>
      <x:c r="G1447" s="84" t="n">
        <x:v>1</x:v>
      </x:c>
      <x:c r="H1447" s="84" t="str">
        <x:v>Superaquecimento</x:v>
      </x:c>
      <x:c r="I1447" s="84" t="n">
        <x:v>1092</x:v>
      </x:c>
      <x:c r="J1447" s="93" t="n">
        <x:v>13704.44</x:v>
      </x:c>
      <x:c r="K1447" s="85" t="str">
        <x:v>2º Turno</x:v>
      </x:c>
    </x:row>
    <x:row r="1448">
      <x:c r="A1448" s="83" t="n">
        <x:v>1447</x:v>
      </x:c>
      <x:c r="B1448" s="84" t="n">
        <x:v>71</x:v>
      </x:c>
      <x:c r="C1448" s="84" t="n">
        <x:v>2234</x:v>
      </x:c>
      <x:c r="D1448" s="89" t="n">
        <x:v>45368.089583333334</x:v>
      </x:c>
      <x:c r="E1448" s="89" t="n">
        <x:v>45368.211805555555</x:v>
      </x:c>
      <x:c r="F1448" s="84" t="n">
        <x:v>176</x:v>
      </x:c>
      <x:c r="G1448" s="84" t="n">
        <x:v>0</x:v>
      </x:c>
      <x:c r="H1448" s="84" t="str">
        <x:v>Superaquecimento</x:v>
      </x:c>
      <x:c r="I1448" s="84" t="n">
        <x:v>279</x:v>
      </x:c>
      <x:c r="J1448" s="93" t="n">
        <x:v>7139.1</x:v>
      </x:c>
      <x:c r="K1448" s="85" t="str">
        <x:v>1º Turno</x:v>
      </x:c>
    </x:row>
    <x:row r="1449">
      <x:c r="A1449" s="83" t="n">
        <x:v>1448</x:v>
      </x:c>
      <x:c r="B1449" s="84" t="n">
        <x:v>25</x:v>
      </x:c>
      <x:c r="C1449" s="84" t="n">
        <x:v>2235</x:v>
      </x:c>
      <x:c r="D1449" s="89" t="n">
        <x:v>45991.5703587963</x:v>
      </x:c>
      <x:c r="E1449" s="89" t="n">
        <x:v>45991.88216435185</x:v>
      </x:c>
      <x:c r="F1449" s="84" t="n">
        <x:v>449</x:v>
      </x:c>
      <x:c r="G1449" s="84" t="n">
        <x:v>1</x:v>
      </x:c>
      <x:c r="H1449" s="84" t="str">
        <x:v>Vazamento</x:v>
      </x:c>
      <x:c r="I1449" s="84" t="n">
        <x:v>539</x:v>
      </x:c>
      <x:c r="J1449" s="93" t="n">
        <x:v>12734.89</x:v>
      </x:c>
      <x:c r="K1449" s="85" t="str">
        <x:v>1º Turno</x:v>
      </x:c>
    </x:row>
    <x:row r="1450">
      <x:c r="A1450" s="83" t="n">
        <x:v>1449</x:v>
      </x:c>
      <x:c r="B1450" s="84" t="n">
        <x:v>66</x:v>
      </x:c>
      <x:c r="C1450" s="84" t="n">
        <x:v>2236</x:v>
      </x:c>
      <x:c r="D1450" s="89" t="n">
        <x:v>44978.862708333334</x:v>
      </x:c>
      <x:c r="E1450" s="89" t="n">
        <x:v>44979.277291666665</x:v>
      </x:c>
      <x:c r="F1450" s="84" t="n">
        <x:v>597</x:v>
      </x:c>
      <x:c r="G1450" s="84" t="n">
        <x:v>1</x:v>
      </x:c>
      <x:c r="H1450" s="84" t="str">
        <x:v>Superaquecimento</x:v>
      </x:c>
      <x:c r="I1450" s="84" t="n">
        <x:v>696</x:v>
      </x:c>
      <x:c r="J1450" s="93" t="n">
        <x:v>25175.54</x:v>
      </x:c>
      <x:c r="K1450" s="85" t="str">
        <x:v>1º Turno</x:v>
      </x:c>
    </x:row>
    <x:row r="1451">
      <x:c r="A1451" s="83" t="n">
        <x:v>1450</x:v>
      </x:c>
      <x:c r="B1451" s="84" t="n">
        <x:v>31</x:v>
      </x:c>
      <x:c r="C1451" s="84" t="n">
        <x:v>2237</x:v>
      </x:c>
      <x:c r="D1451" s="89" t="n">
        <x:v>45452.43734953704</x:v>
      </x:c>
      <x:c r="E1451" s="89" t="n">
        <x:v>45452.56234953704</x:v>
      </x:c>
      <x:c r="F1451" s="84" t="n">
        <x:v>180</x:v>
      </x:c>
      <x:c r="G1451" s="84" t="n">
        <x:v>1</x:v>
      </x:c>
      <x:c r="H1451" s="84" t="str">
        <x:v>Superaquecimento</x:v>
      </x:c>
      <x:c r="I1451" s="84" t="n">
        <x:v>303</x:v>
      </x:c>
      <x:c r="J1451" s="93" t="n">
        <x:v>8698.57</x:v>
      </x:c>
      <x:c r="K1451" s="85" t="str">
        <x:v>1º Turno</x:v>
      </x:c>
    </x:row>
    <x:row r="1452">
      <x:c r="A1452" s="83" t="n">
        <x:v>1451</x:v>
      </x:c>
      <x:c r="B1452" s="84" t="n">
        <x:v>30</x:v>
      </x:c>
      <x:c r="C1452" s="84" t="n">
        <x:v>2238</x:v>
      </x:c>
      <x:c r="D1452" s="89" t="n">
        <x:v>45659.97415509259</x:v>
      </x:c>
      <x:c r="E1452" s="89" t="n">
        <x:v>45660.174155092594</x:v>
      </x:c>
      <x:c r="F1452" s="84" t="n">
        <x:v>288</x:v>
      </x:c>
      <x:c r="G1452" s="84" t="n">
        <x:v>1</x:v>
      </x:c>
      <x:c r="H1452" s="84" t="str">
        <x:v>Superaquecimento</x:v>
      </x:c>
      <x:c r="I1452" s="84" t="n">
        <x:v>571</x:v>
      </x:c>
      <x:c r="J1452" s="93" t="n">
        <x:v>15891.13</x:v>
      </x:c>
      <x:c r="K1452" s="85" t="str">
        <x:v>3º Turno</x:v>
      </x:c>
    </x:row>
    <x:row r="1453">
      <x:c r="A1453" s="83" t="n">
        <x:v>1452</x:v>
      </x:c>
      <x:c r="B1453" s="84" t="n">
        <x:v>31</x:v>
      </x:c>
      <x:c r="C1453" s="84" t="n">
        <x:v>2240</x:v>
      </x:c>
      <x:c r="D1453" s="89" t="n">
        <x:v>45700.3215162037</x:v>
      </x:c>
      <x:c r="E1453" s="89" t="n">
        <x:v>45700.712488425925</x:v>
      </x:c>
      <x:c r="F1453" s="84" t="n">
        <x:v>563</x:v>
      </x:c>
      <x:c r="G1453" s="84" t="n">
        <x:v>1</x:v>
      </x:c>
      <x:c r="H1453" s="84" t="str">
        <x:v>Desalinhamento</x:v>
      </x:c>
      <x:c r="I1453" s="84" t="n">
        <x:v>1098</x:v>
      </x:c>
      <x:c r="J1453" s="93" t="n">
        <x:v>19275.12</x:v>
      </x:c>
      <x:c r="K1453" s="85" t="str">
        <x:v>2º Turno</x:v>
      </x:c>
    </x:row>
    <x:row r="1454">
      <x:c r="A1454" s="83" t="n">
        <x:v>1453</x:v>
      </x:c>
      <x:c r="B1454" s="84" t="n">
        <x:v>13</x:v>
      </x:c>
      <x:c r="C1454" s="84" t="n">
        <x:v>2241</x:v>
      </x:c>
      <x:c r="D1454" s="89" t="n">
        <x:v>45552.68784722222</x:v>
      </x:c>
      <x:c r="E1454" s="89" t="n">
        <x:v>45552.82881944445</x:v>
      </x:c>
      <x:c r="F1454" s="84" t="n">
        <x:v>203</x:v>
      </x:c>
      <x:c r="G1454" s="84" t="n">
        <x:v>1</x:v>
      </x:c>
      <x:c r="H1454" s="84" t="str">
        <x:v>Superaquecimento</x:v>
      </x:c>
      <x:c r="I1454" s="84" t="n">
        <x:v>244</x:v>
      </x:c>
      <x:c r="J1454" s="93" t="n">
        <x:v>7764.91</x:v>
      </x:c>
      <x:c r="K1454" s="85" t="str">
        <x:v>2º Turno</x:v>
      </x:c>
    </x:row>
    <x:row r="1455">
      <x:c r="A1455" s="83" t="n">
        <x:v>1454</x:v>
      </x:c>
      <x:c r="B1455" s="84" t="n">
        <x:v>24</x:v>
      </x:c>
      <x:c r="C1455" s="84" t="n">
        <x:v>2242</x:v>
      </x:c>
      <x:c r="D1455" s="89" t="n">
        <x:v>45047.148368055554</x:v>
      </x:c>
      <x:c r="E1455" s="89" t="n">
        <x:v>45047.508784722224</x:v>
      </x:c>
      <x:c r="F1455" s="84" t="n">
        <x:v>519</x:v>
      </x:c>
      <x:c r="G1455" s="84" t="n">
        <x:v>1</x:v>
      </x:c>
      <x:c r="H1455" s="84" t="str">
        <x:v>Alarme intermitente</x:v>
      </x:c>
      <x:c r="I1455" s="84" t="n">
        <x:v>683</x:v>
      </x:c>
      <x:c r="J1455" s="93" t="n">
        <x:v>16684.3</x:v>
      </x:c>
      <x:c r="K1455" s="85" t="str">
        <x:v>1º Turno</x:v>
      </x:c>
    </x:row>
    <x:row r="1456">
      <x:c r="A1456" s="83" t="n">
        <x:v>1455</x:v>
      </x:c>
      <x:c r="B1456" s="84" t="n">
        <x:v>30</x:v>
      </x:c>
      <x:c r="C1456" s="84" t="n">
        <x:v>2245</x:v>
      </x:c>
      <x:c r="D1456" s="89" t="n">
        <x:v>45163.75210648148</x:v>
      </x:c>
      <x:c r="E1456" s="89" t="n">
        <x:v>45164.320856481485</x:v>
      </x:c>
      <x:c r="F1456" s="84" t="n">
        <x:v>819</x:v>
      </x:c>
      <x:c r="G1456" s="84" t="n">
        <x:v>1</x:v>
      </x:c>
      <x:c r="H1456" s="84" t="str">
        <x:v>Falha elétrica</x:v>
      </x:c>
      <x:c r="I1456" s="84" t="n">
        <x:v>1993</x:v>
      </x:c>
      <x:c r="J1456" s="93" t="n">
        <x:v>38884.13</x:v>
      </x:c>
      <x:c r="K1456" s="85" t="str">
        <x:v>1º Turno</x:v>
      </x:c>
    </x:row>
    <x:row r="1457">
      <x:c r="A1457" s="83" t="n">
        <x:v>1456</x:v>
      </x:c>
      <x:c r="B1457" s="84" t="n">
        <x:v>48</x:v>
      </x:c>
      <x:c r="C1457" s="84" t="n">
        <x:v>2246</x:v>
      </x:c>
      <x:c r="D1457" s="89" t="n">
        <x:v>45164.204618055555</x:v>
      </x:c>
      <x:c r="E1457" s="89" t="n">
        <x:v>45164.801840277774</x:v>
      </x:c>
      <x:c r="F1457" s="84" t="n">
        <x:v>860</x:v>
      </x:c>
      <x:c r="G1457" s="84" t="n">
        <x:v>1</x:v>
      </x:c>
      <x:c r="H1457" s="84" t="str">
        <x:v>Falha elétrica</x:v>
      </x:c>
      <x:c r="I1457" s="84" t="n">
        <x:v>960</x:v>
      </x:c>
      <x:c r="J1457" s="93" t="n">
        <x:v>40336.28</x:v>
      </x:c>
      <x:c r="K1457" s="85" t="str">
        <x:v>2º Turno</x:v>
      </x:c>
    </x:row>
    <x:row r="1458">
      <x:c r="A1458" s="83" t="n">
        <x:v>1457</x:v>
      </x:c>
      <x:c r="B1458" s="84" t="n">
        <x:v>16</x:v>
      </x:c>
      <x:c r="C1458" s="84" t="n">
        <x:v>2247</x:v>
      </x:c>
      <x:c r="D1458" s="89" t="n">
        <x:v>45865.6066087963</x:v>
      </x:c>
      <x:c r="E1458" s="89" t="n">
        <x:v>45866.184386574074</x:v>
      </x:c>
      <x:c r="F1458" s="84" t="n">
        <x:v>832</x:v>
      </x:c>
      <x:c r="G1458" s="84" t="n">
        <x:v>1</x:v>
      </x:c>
      <x:c r="H1458" s="84" t="str">
        <x:v>Superaquecimento</x:v>
      </x:c>
      <x:c r="I1458" s="84" t="n">
        <x:v>1858</x:v>
      </x:c>
      <x:c r="J1458" s="93" t="n">
        <x:v>48112.25</x:v>
      </x:c>
      <x:c r="K1458" s="85" t="str">
        <x:v>1º Turno</x:v>
      </x:c>
    </x:row>
    <x:row r="1459">
      <x:c r="A1459" s="83" t="n">
        <x:v>1458</x:v>
      </x:c>
      <x:c r="B1459" s="84" t="n">
        <x:v>89</x:v>
      </x:c>
      <x:c r="C1459" s="84" t="n">
        <x:v>2249</x:v>
      </x:c>
      <x:c r="D1459" s="89" t="n">
        <x:v>44932.29657407408</x:v>
      </x:c>
      <x:c r="E1459" s="89" t="n">
        <x:v>44932.68546296296</x:v>
      </x:c>
      <x:c r="F1459" s="84" t="n">
        <x:v>560</x:v>
      </x:c>
      <x:c r="G1459" s="84" t="n">
        <x:v>1</x:v>
      </x:c>
      <x:c r="H1459" s="84" t="str">
        <x:v>Falha elétrica</x:v>
      </x:c>
      <x:c r="I1459" s="84" t="n">
        <x:v>616</x:v>
      </x:c>
      <x:c r="J1459" s="93" t="n">
        <x:v>19568.22</x:v>
      </x:c>
      <x:c r="K1459" s="85" t="str">
        <x:v>3º Turno</x:v>
      </x:c>
    </x:row>
    <x:row r="1460">
      <x:c r="A1460" s="83" t="n">
        <x:v>1459</x:v>
      </x:c>
      <x:c r="B1460" s="84" t="n">
        <x:v>76</x:v>
      </x:c>
      <x:c r="C1460" s="84" t="n">
        <x:v>2250</x:v>
      </x:c>
      <x:c r="D1460" s="89" t="n">
        <x:v>45948.32208333333</x:v>
      </x:c>
      <x:c r="E1460" s="89" t="n">
        <x:v>45948.80819444444</x:v>
      </x:c>
      <x:c r="F1460" s="84" t="n">
        <x:v>700</x:v>
      </x:c>
      <x:c r="G1460" s="84" t="n">
        <x:v>1</x:v>
      </x:c>
      <x:c r="H1460" s="84" t="str">
        <x:v>Desalinhamento</x:v>
      </x:c>
      <x:c r="I1460" s="84" t="n">
        <x:v>1318</x:v>
      </x:c>
      <x:c r="J1460" s="93" t="n">
        <x:v>21223.62</x:v>
      </x:c>
      <x:c r="K1460" s="85" t="str">
        <x:v>3º Turno</x:v>
      </x:c>
    </x:row>
    <x:row r="1461">
      <x:c r="A1461" s="83" t="n">
        <x:v>1460</x:v>
      </x:c>
      <x:c r="B1461" s="84" t="n">
        <x:v>57</x:v>
      </x:c>
      <x:c r="C1461" s="84" t="n">
        <x:v>2251</x:v>
      </x:c>
      <x:c r="D1461" s="89" t="n">
        <x:v>45169.63107638889</x:v>
      </x:c>
      <x:c r="E1461" s="89" t="n">
        <x:v>45169.92413194444</x:v>
      </x:c>
      <x:c r="F1461" s="84" t="n">
        <x:v>422</x:v>
      </x:c>
      <x:c r="G1461" s="84" t="n">
        <x:v>1</x:v>
      </x:c>
      <x:c r="H1461" s="84" t="str">
        <x:v>Baixa pressão</x:v>
      </x:c>
      <x:c r="I1461" s="84" t="n">
        <x:v>1055</x:v>
      </x:c>
      <x:c r="J1461" s="93" t="n">
        <x:v>9766.98</x:v>
      </x:c>
      <x:c r="K1461" s="85" t="str">
        <x:v>3º Turno</x:v>
      </x:c>
    </x:row>
    <x:row r="1462">
      <x:c r="A1462" s="83" t="n">
        <x:v>1461</x:v>
      </x:c>
      <x:c r="B1462" s="84" t="n">
        <x:v>62</x:v>
      </x:c>
      <x:c r="C1462" s="84" t="n">
        <x:v>2252</x:v>
      </x:c>
      <x:c r="D1462" s="89" t="n">
        <x:v>45083.355358796296</x:v>
      </x:c>
      <x:c r="E1462" s="89" t="n">
        <x:v>45083.43938657407</x:v>
      </x:c>
      <x:c r="F1462" s="84" t="n">
        <x:v>121</x:v>
      </x:c>
      <x:c r="G1462" s="84" t="n">
        <x:v>1</x:v>
      </x:c>
      <x:c r="H1462" s="84" t="str">
        <x:v>Vazamento</x:v>
      </x:c>
      <x:c r="I1462" s="84" t="n">
        <x:v>155</x:v>
      </x:c>
      <x:c r="J1462" s="93" t="n">
        <x:v>2319.82</x:v>
      </x:c>
      <x:c r="K1462" s="85" t="str">
        <x:v>1º Turno</x:v>
      </x:c>
    </x:row>
    <x:row r="1463">
      <x:c r="A1463" s="83" t="n">
        <x:v>1462</x:v>
      </x:c>
      <x:c r="B1463" s="84" t="n">
        <x:v>31</x:v>
      </x:c>
      <x:c r="C1463" s="84" t="n">
        <x:v>2253</x:v>
      </x:c>
      <x:c r="D1463" s="89" t="n">
        <x:v>45446.73637731482</x:v>
      </x:c>
      <x:c r="E1463" s="89" t="n">
        <x:v>45446.819016203706</x:v>
      </x:c>
      <x:c r="F1463" s="84" t="n">
        <x:v>119</x:v>
      </x:c>
      <x:c r="G1463" s="84" t="n">
        <x:v>1</x:v>
      </x:c>
      <x:c r="H1463" s="84" t="str">
        <x:v>Baixa pressão</x:v>
      </x:c>
      <x:c r="I1463" s="84" t="n">
        <x:v>294</x:v>
      </x:c>
      <x:c r="J1463" s="93" t="n">
        <x:v>2159.31</x:v>
      </x:c>
      <x:c r="K1463" s="85" t="str">
        <x:v>2º Turno</x:v>
      </x:c>
    </x:row>
    <x:row r="1464">
      <x:c r="A1464" s="83" t="n">
        <x:v>1463</x:v>
      </x:c>
      <x:c r="B1464" s="84" t="n">
        <x:v>38</x:v>
      </x:c>
      <x:c r="C1464" s="84" t="n">
        <x:v>2254</x:v>
      </x:c>
      <x:c r="D1464" s="89" t="n">
        <x:v>45660.561886574076</x:v>
      </x:c>
      <x:c r="E1464" s="89" t="n">
        <x:v>45660.84521990741</x:v>
      </x:c>
      <x:c r="F1464" s="84" t="n">
        <x:v>408</x:v>
      </x:c>
      <x:c r="G1464" s="84" t="n">
        <x:v>1</x:v>
      </x:c>
      <x:c r="H1464" s="84" t="str">
        <x:v>Baixa pressão</x:v>
      </x:c>
      <x:c r="I1464" s="84" t="n">
        <x:v>972</x:v>
      </x:c>
      <x:c r="J1464" s="93" t="n">
        <x:v>6036.13</x:v>
      </x:c>
      <x:c r="K1464" s="85" t="str">
        <x:v>1º Turno</x:v>
      </x:c>
    </x:row>
    <x:row r="1465">
      <x:c r="A1465" s="83" t="n">
        <x:v>1464</x:v>
      </x:c>
      <x:c r="B1465" s="84" t="n">
        <x:v>20</x:v>
      </x:c>
      <x:c r="C1465" s="84" t="n">
        <x:v>2255</x:v>
      </x:c>
      <x:c r="D1465" s="89" t="n">
        <x:v>45901.69244212963</x:v>
      </x:c>
      <x:c r="E1465" s="89" t="n">
        <x:v>45902.27091435185</x:v>
      </x:c>
      <x:c r="F1465" s="84" t="n">
        <x:v>833</x:v>
      </x:c>
      <x:c r="G1465" s="84" t="n">
        <x:v>0</x:v>
      </x:c>
      <x:c r="H1465" s="84" t="str">
        <x:v>Superaquecimento</x:v>
      </x:c>
      <x:c r="I1465" s="84" t="n">
        <x:v>1000</x:v>
      </x:c>
      <x:c r="J1465" s="93" t="n">
        <x:v>32321</x:v>
      </x:c>
      <x:c r="K1465" s="85" t="str">
        <x:v>2º Turno</x:v>
      </x:c>
    </x:row>
    <x:row r="1466">
      <x:c r="A1466" s="83" t="n">
        <x:v>1465</x:v>
      </x:c>
      <x:c r="B1466" s="84" t="n">
        <x:v>31</x:v>
      </x:c>
      <x:c r="C1466" s="84" t="n">
        <x:v>2256</x:v>
      </x:c>
      <x:c r="D1466" s="89" t="n">
        <x:v>45370.92653935185</x:v>
      </x:c>
      <x:c r="E1466" s="89" t="n">
        <x:v>45371.282789351855</x:v>
      </x:c>
      <x:c r="F1466" s="84" t="n">
        <x:v>513</x:v>
      </x:c>
      <x:c r="G1466" s="84" t="n">
        <x:v>0</x:v>
      </x:c>
      <x:c r="H1466" s="84" t="str">
        <x:v>Baixa pressão</x:v>
      </x:c>
      <x:c r="I1466" s="84" t="n">
        <x:v>1112</x:v>
      </x:c>
      <x:c r="J1466" s="93" t="n">
        <x:v>28850.7</x:v>
      </x:c>
      <x:c r="K1466" s="85" t="str">
        <x:v>2º Turno</x:v>
      </x:c>
    </x:row>
    <x:row r="1467">
      <x:c r="A1467" s="83" t="n">
        <x:v>1466</x:v>
      </x:c>
      <x:c r="B1467" s="84" t="n">
        <x:v>15</x:v>
      </x:c>
      <x:c r="C1467" s="84" t="n">
        <x:v>2257</x:v>
      </x:c>
      <x:c r="D1467" s="89" t="n">
        <x:v>45249.5952662037</x:v>
      </x:c>
      <x:c r="E1467" s="89" t="n">
        <x:v>45249.98971064815</x:v>
      </x:c>
      <x:c r="F1467" s="84" t="n">
        <x:v>568</x:v>
      </x:c>
      <x:c r="G1467" s="84" t="n">
        <x:v>1</x:v>
      </x:c>
      <x:c r="H1467" s="84" t="str">
        <x:v>Ruído anormal</x:v>
      </x:c>
      <x:c r="I1467" s="84" t="n">
        <x:v>691</x:v>
      </x:c>
      <x:c r="J1467" s="93" t="n">
        <x:v>22793.68</x:v>
      </x:c>
      <x:c r="K1467" s="85" t="str">
        <x:v>3º Turno</x:v>
      </x:c>
    </x:row>
    <x:row r="1468">
      <x:c r="A1468" s="83" t="n">
        <x:v>1467</x:v>
      </x:c>
      <x:c r="B1468" s="84" t="n">
        <x:v>19</x:v>
      </x:c>
      <x:c r="C1468" s="84" t="n">
        <x:v>2258</x:v>
      </x:c>
      <x:c r="D1468" s="89" t="n">
        <x:v>45934.03613425926</x:v>
      </x:c>
      <x:c r="E1468" s="89" t="n">
        <x:v>45934.252800925926</x:v>
      </x:c>
      <x:c r="F1468" s="84" t="n">
        <x:v>312</x:v>
      </x:c>
      <x:c r="G1468" s="84" t="n">
        <x:v>1</x:v>
      </x:c>
      <x:c r="H1468" s="84" t="str">
        <x:v>Desalinhamento</x:v>
      </x:c>
      <x:c r="I1468" s="84" t="n">
        <x:v>702</x:v>
      </x:c>
      <x:c r="J1468" s="93" t="n">
        <x:v>6876.52</x:v>
      </x:c>
      <x:c r="K1468" s="85" t="str">
        <x:v>2º Turno</x:v>
      </x:c>
    </x:row>
    <x:row r="1469">
      <x:c r="A1469" s="83" t="n">
        <x:v>1468</x:v>
      </x:c>
      <x:c r="B1469" s="84" t="n">
        <x:v>44</x:v>
      </x:c>
      <x:c r="C1469" s="84" t="n">
        <x:v>2259</x:v>
      </x:c>
      <x:c r="D1469" s="89" t="n">
        <x:v>44990.50033564815</x:v>
      </x:c>
      <x:c r="E1469" s="89" t="n">
        <x:v>44990.623252314814</x:v>
      </x:c>
      <x:c r="F1469" s="84" t="n">
        <x:v>177</x:v>
      </x:c>
      <x:c r="G1469" s="84" t="n">
        <x:v>1</x:v>
      </x:c>
      <x:c r="H1469" s="84" t="str">
        <x:v>Alarme intermitente</x:v>
      </x:c>
      <x:c r="I1469" s="84" t="n">
        <x:v>177</x:v>
      </x:c>
      <x:c r="J1469" s="93" t="n">
        <x:v>10297.8</x:v>
      </x:c>
      <x:c r="K1469" s="85" t="str">
        <x:v>2º Turno</x:v>
      </x:c>
    </x:row>
    <x:row r="1470">
      <x:c r="A1470" s="83" t="n">
        <x:v>1469</x:v>
      </x:c>
      <x:c r="B1470" s="84" t="n">
        <x:v>1</x:v>
      </x:c>
      <x:c r="C1470" s="84" t="n">
        <x:v>2260</x:v>
      </x:c>
      <x:c r="D1470" s="89" t="n">
        <x:v>45615.776087962964</x:v>
      </x:c>
      <x:c r="E1470" s="89" t="n">
        <x:v>45616.01775462963</x:v>
      </x:c>
      <x:c r="F1470" s="84" t="n">
        <x:v>348</x:v>
      </x:c>
      <x:c r="G1470" s="84" t="n">
        <x:v>1</x:v>
      </x:c>
      <x:c r="H1470" s="84" t="str">
        <x:v>Falha elétrica</x:v>
      </x:c>
      <x:c r="I1470" s="84" t="n">
        <x:v>661</x:v>
      </x:c>
      <x:c r="J1470" s="93" t="n">
        <x:v>19674.64</x:v>
      </x:c>
      <x:c r="K1470" s="85" t="str">
        <x:v>2º Turno</x:v>
      </x:c>
    </x:row>
    <x:row r="1471">
      <x:c r="A1471" s="83" t="n">
        <x:v>1470</x:v>
      </x:c>
      <x:c r="B1471" s="84" t="n">
        <x:v>84</x:v>
      </x:c>
      <x:c r="C1471" s="84" t="n">
        <x:v>2261</x:v>
      </x:c>
      <x:c r="D1471" s="89" t="n">
        <x:v>45184.2722337963</x:v>
      </x:c>
      <x:c r="E1471" s="89" t="n">
        <x:v>45184.43959490741</x:v>
      </x:c>
      <x:c r="F1471" s="84" t="n">
        <x:v>241</x:v>
      </x:c>
      <x:c r="G1471" s="84" t="n">
        <x:v>0</x:v>
      </x:c>
      <x:c r="H1471" s="84" t="str">
        <x:v>Falha elétrica</x:v>
      </x:c>
      <x:c r="I1471" s="84" t="n">
        <x:v>542</x:v>
      </x:c>
      <x:c r="J1471" s="93" t="n">
        <x:v>9975.61</x:v>
      </x:c>
      <x:c r="K1471" s="85" t="str">
        <x:v>1º Turno</x:v>
      </x:c>
    </x:row>
    <x:row r="1472">
      <x:c r="A1472" s="83" t="n">
        <x:v>1471</x:v>
      </x:c>
      <x:c r="B1472" s="84" t="n">
        <x:v>6</x:v>
      </x:c>
      <x:c r="C1472" s="84" t="n">
        <x:v>2263</x:v>
      </x:c>
      <x:c r="D1472" s="89" t="n">
        <x:v>45361.5405787037</x:v>
      </x:c>
      <x:c r="E1472" s="89" t="n">
        <x:v>45361.55585648148</x:v>
      </x:c>
      <x:c r="F1472" s="84" t="n">
        <x:v>22</x:v>
      </x:c>
      <x:c r="G1472" s="84" t="n">
        <x:v>1</x:v>
      </x:c>
      <x:c r="H1472" s="84" t="str">
        <x:v>Alarme intermitente</x:v>
      </x:c>
      <x:c r="I1472" s="84" t="n">
        <x:v>50</x:v>
      </x:c>
      <x:c r="J1472" s="93" t="n">
        <x:v>1027.78</x:v>
      </x:c>
      <x:c r="K1472" s="85" t="str">
        <x:v>1º Turno</x:v>
      </x:c>
    </x:row>
    <x:row r="1473">
      <x:c r="A1473" s="83" t="n">
        <x:v>1472</x:v>
      </x:c>
      <x:c r="B1473" s="84" t="n">
        <x:v>89</x:v>
      </x:c>
      <x:c r="C1473" s="84" t="n">
        <x:v>2267</x:v>
      </x:c>
      <x:c r="D1473" s="89" t="n">
        <x:v>45082.805868055555</x:v>
      </x:c>
      <x:c r="E1473" s="89" t="n">
        <x:v>45083.38295138889</x:v>
      </x:c>
      <x:c r="F1473" s="84" t="n">
        <x:v>831</x:v>
      </x:c>
      <x:c r="G1473" s="84" t="n">
        <x:v>1</x:v>
      </x:c>
      <x:c r="H1473" s="84" t="str">
        <x:v>Baixa pressão</x:v>
      </x:c>
      <x:c r="I1473" s="84" t="n">
        <x:v>1634</x:v>
      </x:c>
      <x:c r="J1473" s="93" t="n">
        <x:v>45179.19</x:v>
      </x:c>
      <x:c r="K1473" s="85" t="str">
        <x:v>1º Turno</x:v>
      </x:c>
    </x:row>
    <x:row r="1474">
      <x:c r="A1474" s="83" t="n">
        <x:v>1473</x:v>
      </x:c>
      <x:c r="B1474" s="84" t="n">
        <x:v>37</x:v>
      </x:c>
      <x:c r="C1474" s="84" t="n">
        <x:v>2269</x:v>
      </x:c>
      <x:c r="D1474" s="89" t="n">
        <x:v>45595.23355324074</x:v>
      </x:c>
      <x:c r="E1474" s="89" t="n">
        <x:v>45595.637025462966</x:v>
      </x:c>
      <x:c r="F1474" s="84" t="n">
        <x:v>581</x:v>
      </x:c>
      <x:c r="G1474" s="84" t="n">
        <x:v>1</x:v>
      </x:c>
      <x:c r="H1474" s="84" t="str">
        <x:v>Desalinhamento</x:v>
      </x:c>
      <x:c r="I1474" s="84" t="n">
        <x:v>629</x:v>
      </x:c>
      <x:c r="J1474" s="93" t="n">
        <x:v>13623.43</x:v>
      </x:c>
      <x:c r="K1474" s="85" t="str">
        <x:v>3º Turno</x:v>
      </x:c>
    </x:row>
    <x:row r="1475">
      <x:c r="A1475" s="83" t="n">
        <x:v>1474</x:v>
      </x:c>
      <x:c r="B1475" s="84" t="n">
        <x:v>86</x:v>
      </x:c>
      <x:c r="C1475" s="84" t="n">
        <x:v>2270</x:v>
      </x:c>
      <x:c r="D1475" s="89" t="n">
        <x:v>45912.136828703704</x:v>
      </x:c>
      <x:c r="E1475" s="89" t="n">
        <x:v>45912.375023148146</x:v>
      </x:c>
      <x:c r="F1475" s="84" t="n">
        <x:v>343</x:v>
      </x:c>
      <x:c r="G1475" s="84" t="n">
        <x:v>1</x:v>
      </x:c>
      <x:c r="H1475" s="84" t="str">
        <x:v>Vazamento</x:v>
      </x:c>
      <x:c r="I1475" s="84" t="n">
        <x:v>520</x:v>
      </x:c>
      <x:c r="J1475" s="93" t="n">
        <x:v>5916.25</x:v>
      </x:c>
      <x:c r="K1475" s="85" t="str">
        <x:v>1º Turno</x:v>
      </x:c>
    </x:row>
    <x:row r="1476">
      <x:c r="A1476" s="83" t="n">
        <x:v>1475</x:v>
      </x:c>
      <x:c r="B1476" s="84" t="n">
        <x:v>52</x:v>
      </x:c>
      <x:c r="C1476" s="84" t="n">
        <x:v>2272</x:v>
      </x:c>
      <x:c r="D1476" s="89" t="n">
        <x:v>45648.52861111111</x:v>
      </x:c>
      <x:c r="E1476" s="89" t="n">
        <x:v>45648.863333333335</x:v>
      </x:c>
      <x:c r="F1476" s="84" t="n">
        <x:v>482</x:v>
      </x:c>
      <x:c r="G1476" s="84" t="n">
        <x:v>0</x:v>
      </x:c>
      <x:c r="H1476" s="84" t="str">
        <x:v>Vazamento</x:v>
      </x:c>
      <x:c r="I1476" s="84" t="n">
        <x:v>763</x:v>
      </x:c>
      <x:c r="J1476" s="93" t="n">
        <x:v>15045.89</x:v>
      </x:c>
      <x:c r="K1476" s="85" t="str">
        <x:v>3º Turno</x:v>
      </x:c>
    </x:row>
    <x:row r="1477">
      <x:c r="A1477" s="83" t="n">
        <x:v>1476</x:v>
      </x:c>
      <x:c r="B1477" s="84" t="n">
        <x:v>13</x:v>
      </x:c>
      <x:c r="C1477" s="84" t="n">
        <x:v>2273</x:v>
      </x:c>
      <x:c r="D1477" s="89" t="n">
        <x:v>45376.53037037037</x:v>
      </x:c>
      <x:c r="E1477" s="89" t="n">
        <x:v>45376.64287037037</x:v>
      </x:c>
      <x:c r="F1477" s="84" t="n">
        <x:v>162</x:v>
      </x:c>
      <x:c r="G1477" s="84" t="n">
        <x:v>0</x:v>
      </x:c>
      <x:c r="H1477" s="84" t="str">
        <x:v>Desalinhamento</x:v>
      </x:c>
      <x:c r="I1477" s="84" t="n">
        <x:v>173</x:v>
      </x:c>
      <x:c r="J1477" s="93" t="n">
        <x:v>3900.72</x:v>
      </x:c>
      <x:c r="K1477" s="85" t="str">
        <x:v>3º Turno</x:v>
      </x:c>
    </x:row>
    <x:row r="1478">
      <x:c r="A1478" s="83" t="n">
        <x:v>1477</x:v>
      </x:c>
      <x:c r="B1478" s="84" t="n">
        <x:v>81</x:v>
      </x:c>
      <x:c r="C1478" s="84" t="n">
        <x:v>2274</x:v>
      </x:c>
      <x:c r="D1478" s="89" t="n">
        <x:v>45670.38240740741</x:v>
      </x:c>
      <x:c r="E1478" s="89" t="n">
        <x:v>45670.68518518518</x:v>
      </x:c>
      <x:c r="F1478" s="84" t="n">
        <x:v>436</x:v>
      </x:c>
      <x:c r="G1478" s="84" t="n">
        <x:v>1</x:v>
      </x:c>
      <x:c r="H1478" s="84" t="str">
        <x:v>Falha elétrica</x:v>
      </x:c>
      <x:c r="I1478" s="84" t="n">
        <x:v>828</x:v>
      </x:c>
      <x:c r="J1478" s="93" t="n">
        <x:v>13803.42</x:v>
      </x:c>
      <x:c r="K1478" s="85" t="str">
        <x:v>3º Turno</x:v>
      </x:c>
    </x:row>
    <x:row r="1479">
      <x:c r="A1479" s="83" t="n">
        <x:v>1478</x:v>
      </x:c>
      <x:c r="B1479" s="84" t="n">
        <x:v>48</x:v>
      </x:c>
      <x:c r="C1479" s="84" t="n">
        <x:v>2276</x:v>
      </x:c>
      <x:c r="D1479" s="89" t="n">
        <x:v>45793.481782407405</x:v>
      </x:c>
      <x:c r="E1479" s="89" t="n">
        <x:v>45793.92969907408</x:v>
      </x:c>
      <x:c r="F1479" s="84" t="n">
        <x:v>645</x:v>
      </x:c>
      <x:c r="G1479" s="84" t="n">
        <x:v>1</x:v>
      </x:c>
      <x:c r="H1479" s="84" t="str">
        <x:v>Ruído anormal</x:v>
      </x:c>
      <x:c r="I1479" s="84" t="n">
        <x:v>924</x:v>
      </x:c>
      <x:c r="J1479" s="93" t="n">
        <x:v>10854.57</x:v>
      </x:c>
      <x:c r="K1479" s="85" t="str">
        <x:v>3º Turno</x:v>
      </x:c>
    </x:row>
    <x:row r="1480">
      <x:c r="A1480" s="83" t="n">
        <x:v>1479</x:v>
      </x:c>
      <x:c r="B1480" s="84" t="n">
        <x:v>26</x:v>
      </x:c>
      <x:c r="C1480" s="84" t="n">
        <x:v>2277</x:v>
      </x:c>
      <x:c r="D1480" s="89" t="n">
        <x:v>45769.456724537034</x:v>
      </x:c>
      <x:c r="E1480" s="89" t="n">
        <x:v>45770.07130787037</x:v>
      </x:c>
      <x:c r="F1480" s="84" t="n">
        <x:v>885</x:v>
      </x:c>
      <x:c r="G1480" s="84" t="n">
        <x:v>1</x:v>
      </x:c>
      <x:c r="H1480" s="84" t="str">
        <x:v>Superaquecimento</x:v>
      </x:c>
      <x:c r="I1480" s="84" t="n">
        <x:v>959</x:v>
      </x:c>
      <x:c r="J1480" s="93" t="n">
        <x:v>28170.69</x:v>
      </x:c>
      <x:c r="K1480" s="85" t="str">
        <x:v>3º Turno</x:v>
      </x:c>
    </x:row>
    <x:row r="1481">
      <x:c r="A1481" s="83" t="n">
        <x:v>1480</x:v>
      </x:c>
      <x:c r="B1481" s="84" t="n">
        <x:v>21</x:v>
      </x:c>
      <x:c r="C1481" s="84" t="n">
        <x:v>2278</x:v>
      </x:c>
      <x:c r="D1481" s="89" t="n">
        <x:v>45354.50902777778</x:v>
      </x:c>
      <x:c r="E1481" s="89" t="n">
        <x:v>45354.714583333334</x:v>
      </x:c>
      <x:c r="F1481" s="84" t="n">
        <x:v>296</x:v>
      </x:c>
      <x:c r="G1481" s="84" t="n">
        <x:v>1</x:v>
      </x:c>
      <x:c r="H1481" s="84" t="str">
        <x:v>Ruído anormal</x:v>
      </x:c>
      <x:c r="I1481" s="84" t="n">
        <x:v>572</x:v>
      </x:c>
      <x:c r="J1481" s="93" t="n">
        <x:v>12302.29</x:v>
      </x:c>
      <x:c r="K1481" s="85" t="str">
        <x:v>3º Turno</x:v>
      </x:c>
    </x:row>
    <x:row r="1482">
      <x:c r="A1482" s="83" t="n">
        <x:v>1481</x:v>
      </x:c>
      <x:c r="B1482" s="84" t="n">
        <x:v>27</x:v>
      </x:c>
      <x:c r="C1482" s="84" t="n">
        <x:v>2281</x:v>
      </x:c>
      <x:c r="D1482" s="89" t="n">
        <x:v>45797.612291666665</x:v>
      </x:c>
      <x:c r="E1482" s="89" t="n">
        <x:v>45797.84979166667</x:v>
      </x:c>
      <x:c r="F1482" s="84" t="n">
        <x:v>342</x:v>
      </x:c>
      <x:c r="G1482" s="84" t="n">
        <x:v>0</x:v>
      </x:c>
      <x:c r="H1482" s="84" t="str">
        <x:v>Baixa pressão</x:v>
      </x:c>
      <x:c r="I1482" s="84" t="n">
        <x:v>524</x:v>
      </x:c>
      <x:c r="J1482" s="93" t="n">
        <x:v>8272.97</x:v>
      </x:c>
      <x:c r="K1482" s="85" t="str">
        <x:v>3º Turno</x:v>
      </x:c>
    </x:row>
    <x:row r="1483">
      <x:c r="A1483" s="83" t="n">
        <x:v>1482</x:v>
      </x:c>
      <x:c r="B1483" s="84" t="n">
        <x:v>44</x:v>
      </x:c>
      <x:c r="C1483" s="84" t="n">
        <x:v>2282</x:v>
      </x:c>
      <x:c r="D1483" s="89" t="n">
        <x:v>45709.22775462963</x:v>
      </x:c>
      <x:c r="E1483" s="89" t="n">
        <x:v>45709.52358796296</x:v>
      </x:c>
      <x:c r="F1483" s="84" t="n">
        <x:v>426</x:v>
      </x:c>
      <x:c r="G1483" s="84" t="n">
        <x:v>1</x:v>
      </x:c>
      <x:c r="H1483" s="84" t="str">
        <x:v>Vazamento</x:v>
      </x:c>
      <x:c r="I1483" s="84" t="n">
        <x:v>944</x:v>
      </x:c>
      <x:c r="J1483" s="93" t="n">
        <x:v>11414.57</x:v>
      </x:c>
      <x:c r="K1483" s="85" t="str">
        <x:v>2º Turno</x:v>
      </x:c>
    </x:row>
    <x:row r="1484">
      <x:c r="A1484" s="83" t="n">
        <x:v>1483</x:v>
      </x:c>
      <x:c r="B1484" s="84" t="n">
        <x:v>20</x:v>
      </x:c>
      <x:c r="C1484" s="84" t="n">
        <x:v>2283</x:v>
      </x:c>
      <x:c r="D1484" s="89" t="n">
        <x:v>45896.10086805555</x:v>
      </x:c>
      <x:c r="E1484" s="89" t="n">
        <x:v>45896.65572916667</x:v>
      </x:c>
      <x:c r="F1484" s="84" t="n">
        <x:v>799</x:v>
      </x:c>
      <x:c r="G1484" s="84" t="n">
        <x:v>1</x:v>
      </x:c>
      <x:c r="H1484" s="84" t="str">
        <x:v>Ruído anormal</x:v>
      </x:c>
      <x:c r="I1484" s="84" t="n">
        <x:v>866</x:v>
      </x:c>
      <x:c r="J1484" s="93" t="n">
        <x:v>22592.84</x:v>
      </x:c>
      <x:c r="K1484" s="85" t="str">
        <x:v>2º Turno</x:v>
      </x:c>
    </x:row>
    <x:row r="1485">
      <x:c r="A1485" s="83" t="n">
        <x:v>1484</x:v>
      </x:c>
      <x:c r="B1485" s="84" t="n">
        <x:v>73</x:v>
      </x:c>
      <x:c r="C1485" s="84" t="n">
        <x:v>2284</x:v>
      </x:c>
      <x:c r="D1485" s="89" t="n">
        <x:v>45762.69196759259</x:v>
      </x:c>
      <x:c r="E1485" s="89" t="n">
        <x:v>45762.857939814814</x:v>
      </x:c>
      <x:c r="F1485" s="84" t="n">
        <x:v>239</x:v>
      </x:c>
      <x:c r="G1485" s="84" t="n">
        <x:v>1</x:v>
      </x:c>
      <x:c r="H1485" s="84" t="str">
        <x:v>Alarme intermitente</x:v>
      </x:c>
      <x:c r="I1485" s="84" t="n">
        <x:v>303</x:v>
      </x:c>
      <x:c r="J1485" s="93" t="n">
        <x:v>8827.23</x:v>
      </x:c>
      <x:c r="K1485" s="85" t="str">
        <x:v>1º Turno</x:v>
      </x:c>
    </x:row>
    <x:row r="1486">
      <x:c r="A1486" s="83" t="n">
        <x:v>1485</x:v>
      </x:c>
      <x:c r="B1486" s="84" t="n">
        <x:v>89</x:v>
      </x:c>
      <x:c r="C1486" s="84" t="n">
        <x:v>2286</x:v>
      </x:c>
      <x:c r="D1486" s="89" t="n">
        <x:v>45397.15280092593</x:v>
      </x:c>
      <x:c r="E1486" s="89" t="n">
        <x:v>45397.36460648148</x:v>
      </x:c>
      <x:c r="F1486" s="84" t="n">
        <x:v>305</x:v>
      </x:c>
      <x:c r="G1486" s="84" t="n">
        <x:v>0</x:v>
      </x:c>
      <x:c r="H1486" s="84" t="str">
        <x:v>Alarme intermitente</x:v>
      </x:c>
      <x:c r="I1486" s="84" t="n">
        <x:v>549</x:v>
      </x:c>
      <x:c r="J1486" s="93" t="n">
        <x:v>15885.44</x:v>
      </x:c>
      <x:c r="K1486" s="85" t="str">
        <x:v>3º Turno</x:v>
      </x:c>
    </x:row>
    <x:row r="1487">
      <x:c r="A1487" s="83" t="n">
        <x:v>1486</x:v>
      </x:c>
      <x:c r="B1487" s="84" t="n">
        <x:v>12</x:v>
      </x:c>
      <x:c r="C1487" s="84" t="n">
        <x:v>2287</x:v>
      </x:c>
      <x:c r="D1487" s="89" t="n">
        <x:v>45197.732881944445</x:v>
      </x:c>
      <x:c r="E1487" s="89" t="n">
        <x:v>45198.133576388886</x:v>
      </x:c>
      <x:c r="F1487" s="84" t="n">
        <x:v>577</x:v>
      </x:c>
      <x:c r="G1487" s="84" t="n">
        <x:v>0</x:v>
      </x:c>
      <x:c r="H1487" s="84" t="str">
        <x:v>Falha elétrica</x:v>
      </x:c>
      <x:c r="I1487" s="84" t="n">
        <x:v>1442</x:v>
      </x:c>
      <x:c r="J1487" s="93" t="n">
        <x:v>14704.19</x:v>
      </x:c>
      <x:c r="K1487" s="85" t="str">
        <x:v>2º Turno</x:v>
      </x:c>
    </x:row>
    <x:row r="1488">
      <x:c r="A1488" s="83" t="n">
        <x:v>1487</x:v>
      </x:c>
      <x:c r="B1488" s="84" t="n">
        <x:v>42</x:v>
      </x:c>
      <x:c r="C1488" s="84" t="n">
        <x:v>2288</x:v>
      </x:c>
      <x:c r="D1488" s="89" t="n">
        <x:v>45459.43980324074</x:v>
      </x:c>
      <x:c r="E1488" s="89" t="n">
        <x:v>45459.60369212963</x:v>
      </x:c>
      <x:c r="F1488" s="84" t="n">
        <x:v>236</x:v>
      </x:c>
      <x:c r="G1488" s="84" t="n">
        <x:v>1</x:v>
      </x:c>
      <x:c r="H1488" s="84" t="str">
        <x:v>Falha elétrica</x:v>
      </x:c>
      <x:c r="I1488" s="84" t="n">
        <x:v>437</x:v>
      </x:c>
      <x:c r="J1488" s="93" t="n">
        <x:v>4774.5</x:v>
      </x:c>
      <x:c r="K1488" s="85" t="str">
        <x:v>1º Turno</x:v>
      </x:c>
    </x:row>
    <x:row r="1489">
      <x:c r="A1489" s="83" t="n">
        <x:v>1488</x:v>
      </x:c>
      <x:c r="B1489" s="84" t="n">
        <x:v>74</x:v>
      </x:c>
      <x:c r="C1489" s="84" t="n">
        <x:v>2289</x:v>
      </x:c>
      <x:c r="D1489" s="89" t="n">
        <x:v>45588.23782407407</x:v>
      </x:c>
      <x:c r="E1489" s="89" t="n">
        <x:v>45588.617685185185</x:v>
      </x:c>
      <x:c r="F1489" s="84" t="n">
        <x:v>547</x:v>
      </x:c>
      <x:c r="G1489" s="84" t="n">
        <x:v>0</x:v>
      </x:c>
      <x:c r="H1489" s="84" t="str">
        <x:v>Baixa pressão</x:v>
      </x:c>
      <x:c r="I1489" s="84" t="n">
        <x:v>893</x:v>
      </x:c>
      <x:c r="J1489" s="93" t="n">
        <x:v>11425.16</x:v>
      </x:c>
      <x:c r="K1489" s="85" t="str">
        <x:v>1º Turno</x:v>
      </x:c>
    </x:row>
    <x:row r="1490">
      <x:c r="A1490" s="83" t="n">
        <x:v>1489</x:v>
      </x:c>
      <x:c r="B1490" s="84" t="n">
        <x:v>79</x:v>
      </x:c>
      <x:c r="C1490" s="84" t="n">
        <x:v>2290</x:v>
      </x:c>
      <x:c r="D1490" s="89" t="n">
        <x:v>45033.23636574074</x:v>
      </x:c>
      <x:c r="E1490" s="89" t="n">
        <x:v>45033.840532407405</x:v>
      </x:c>
      <x:c r="F1490" s="84" t="n">
        <x:v>870</x:v>
      </x:c>
      <x:c r="G1490" s="84" t="n">
        <x:v>0</x:v>
      </x:c>
      <x:c r="H1490" s="84" t="str">
        <x:v>Ruído anormal</x:v>
      </x:c>
      <x:c r="I1490" s="84" t="n">
        <x:v>1320</x:v>
      </x:c>
      <x:c r="J1490" s="93" t="n">
        <x:v>40389.99</x:v>
      </x:c>
      <x:c r="K1490" s="85" t="str">
        <x:v>1º Turno</x:v>
      </x:c>
    </x:row>
    <x:row r="1491">
      <x:c r="A1491" s="83" t="n">
        <x:v>1490</x:v>
      </x:c>
      <x:c r="B1491" s="84" t="n">
        <x:v>7</x:v>
      </x:c>
      <x:c r="C1491" s="84" t="n">
        <x:v>2291</x:v>
      </x:c>
      <x:c r="D1491" s="89" t="n">
        <x:v>45002.89195601852</x:v>
      </x:c>
      <x:c r="E1491" s="89" t="n">
        <x:v>45003.04195601852</x:v>
      </x:c>
      <x:c r="F1491" s="84" t="n">
        <x:v>216</x:v>
      </x:c>
      <x:c r="G1491" s="84" t="n">
        <x:v>0</x:v>
      </x:c>
      <x:c r="H1491" s="84" t="str">
        <x:v>Vazamento</x:v>
      </x:c>
      <x:c r="I1491" s="84" t="n">
        <x:v>414</x:v>
      </x:c>
      <x:c r="J1491" s="93" t="n">
        <x:v>6122.95</x:v>
      </x:c>
      <x:c r="K1491" s="85" t="str">
        <x:v>1º Turno</x:v>
      </x:c>
    </x:row>
    <x:row r="1492">
      <x:c r="A1492" s="83" t="n">
        <x:v>1491</x:v>
      </x:c>
      <x:c r="B1492" s="84" t="n">
        <x:v>4</x:v>
      </x:c>
      <x:c r="C1492" s="84" t="n">
        <x:v>2292</x:v>
      </x:c>
      <x:c r="D1492" s="89" t="n">
        <x:v>45462.62414351852</x:v>
      </x:c>
      <x:c r="E1492" s="89" t="n">
        <x:v>45463.24150462963</x:v>
      </x:c>
      <x:c r="F1492" s="84" t="n">
        <x:v>889</x:v>
      </x:c>
      <x:c r="G1492" s="84" t="n">
        <x:v>1</x:v>
      </x:c>
      <x:c r="H1492" s="84" t="str">
        <x:v>Ruído anormal</x:v>
      </x:c>
      <x:c r="I1492" s="84" t="n">
        <x:v>1111</x:v>
      </x:c>
      <x:c r="J1492" s="93" t="n">
        <x:v>13333.72</x:v>
      </x:c>
      <x:c r="K1492" s="85" t="str">
        <x:v>3º Turno</x:v>
      </x:c>
    </x:row>
    <x:row r="1493">
      <x:c r="A1493" s="83" t="n">
        <x:v>1492</x:v>
      </x:c>
      <x:c r="B1493" s="84" t="n">
        <x:v>55</x:v>
      </x:c>
      <x:c r="C1493" s="84" t="n">
        <x:v>2293</x:v>
      </x:c>
      <x:c r="D1493" s="89" t="n">
        <x:v>45717.78196759259</x:v>
      </x:c>
      <x:c r="E1493" s="89" t="n">
        <x:v>45718.05835648148</x:v>
      </x:c>
      <x:c r="F1493" s="84" t="n">
        <x:v>398</x:v>
      </x:c>
      <x:c r="G1493" s="84" t="n">
        <x:v>1</x:v>
      </x:c>
      <x:c r="H1493" s="84" t="str">
        <x:v>Vazamento</x:v>
      </x:c>
      <x:c r="I1493" s="84" t="n">
        <x:v>504</x:v>
      </x:c>
      <x:c r="J1493" s="93" t="n">
        <x:v>11657.32</x:v>
      </x:c>
      <x:c r="K1493" s="85" t="str">
        <x:v>2º Turno</x:v>
      </x:c>
    </x:row>
    <x:row r="1494">
      <x:c r="A1494" s="83" t="n">
        <x:v>1493</x:v>
      </x:c>
      <x:c r="B1494" s="84" t="n">
        <x:v>77</x:v>
      </x:c>
      <x:c r="C1494" s="84" t="n">
        <x:v>2294</x:v>
      </x:c>
      <x:c r="D1494" s="89" t="n">
        <x:v>45217.63673611111</x:v>
      </x:c>
      <x:c r="E1494" s="89" t="n">
        <x:v>45217.91798611111</x:v>
      </x:c>
      <x:c r="F1494" s="84" t="n">
        <x:v>405</x:v>
      </x:c>
      <x:c r="G1494" s="84" t="n">
        <x:v>0</x:v>
      </x:c>
      <x:c r="H1494" s="84" t="str">
        <x:v>Superaquecimento</x:v>
      </x:c>
      <x:c r="I1494" s="84" t="n">
        <x:v>580</x:v>
      </x:c>
      <x:c r="J1494" s="93" t="n">
        <x:v>20145.17</x:v>
      </x:c>
      <x:c r="K1494" s="85" t="str">
        <x:v>1º Turno</x:v>
      </x:c>
    </x:row>
    <x:row r="1495">
      <x:c r="A1495" s="83" t="n">
        <x:v>1494</x:v>
      </x:c>
      <x:c r="B1495" s="84" t="n">
        <x:v>2</x:v>
      </x:c>
      <x:c r="C1495" s="84" t="n">
        <x:v>2296</x:v>
      </x:c>
      <x:c r="D1495" s="89" t="n">
        <x:v>45632.22541666667</x:v>
      </x:c>
      <x:c r="E1495" s="89" t="n">
        <x:v>45632.43375</x:v>
      </x:c>
      <x:c r="F1495" s="84" t="n">
        <x:v>300</x:v>
      </x:c>
      <x:c r="G1495" s="84" t="n">
        <x:v>1</x:v>
      </x:c>
      <x:c r="H1495" s="84" t="str">
        <x:v>Baixa pressão</x:v>
      </x:c>
      <x:c r="I1495" s="84" t="n">
        <x:v>310</x:v>
      </x:c>
      <x:c r="J1495" s="93" t="n">
        <x:v>6328.55</x:v>
      </x:c>
      <x:c r="K1495" s="85" t="str">
        <x:v>2º Turno</x:v>
      </x:c>
    </x:row>
    <x:row r="1496">
      <x:c r="A1496" s="83" t="n">
        <x:v>1495</x:v>
      </x:c>
      <x:c r="B1496" s="84" t="n">
        <x:v>60</x:v>
      </x:c>
      <x:c r="C1496" s="84" t="n">
        <x:v>2298</x:v>
      </x:c>
      <x:c r="D1496" s="89" t="n">
        <x:v>45972.096817129626</x:v>
      </x:c>
      <x:c r="E1496" s="89" t="n">
        <x:v>45972.156539351854</x:v>
      </x:c>
      <x:c r="F1496" s="84" t="n">
        <x:v>86</x:v>
      </x:c>
      <x:c r="G1496" s="84" t="n">
        <x:v>0</x:v>
      </x:c>
      <x:c r="H1496" s="84" t="str">
        <x:v>Desalinhamento</x:v>
      </x:c>
      <x:c r="I1496" s="84" t="n">
        <x:v>215</x:v>
      </x:c>
      <x:c r="J1496" s="93" t="n">
        <x:v>3939.29</x:v>
      </x:c>
      <x:c r="K1496" s="85" t="str">
        <x:v>3º Turno</x:v>
      </x:c>
    </x:row>
    <x:row r="1497">
      <x:c r="A1497" s="83" t="n">
        <x:v>1496</x:v>
      </x:c>
      <x:c r="B1497" s="84" t="n">
        <x:v>66</x:v>
      </x:c>
      <x:c r="C1497" s="84" t="n">
        <x:v>2299</x:v>
      </x:c>
      <x:c r="D1497" s="89" t="n">
        <x:v>45804.608125</x:v>
      </x:c>
      <x:c r="E1497" s="89" t="n">
        <x:v>45804.67201388889</x:v>
      </x:c>
      <x:c r="F1497" s="84" t="n">
        <x:v>92</x:v>
      </x:c>
      <x:c r="G1497" s="84" t="n">
        <x:v>0</x:v>
      </x:c>
      <x:c r="H1497" s="84" t="str">
        <x:v>Falha elétrica</x:v>
      </x:c>
      <x:c r="I1497" s="84" t="n">
        <x:v>112</x:v>
      </x:c>
      <x:c r="J1497" s="93" t="n">
        <x:v>4209.49</x:v>
      </x:c>
      <x:c r="K1497" s="85" t="str">
        <x:v>3º Turno</x:v>
      </x:c>
    </x:row>
    <x:row r="1498">
      <x:c r="A1498" s="83" t="n">
        <x:v>1497</x:v>
      </x:c>
      <x:c r="B1498" s="84" t="n">
        <x:v>12</x:v>
      </x:c>
      <x:c r="C1498" s="84" t="n">
        <x:v>2301</x:v>
      </x:c>
      <x:c r="D1498" s="89" t="n">
        <x:v>45481.59237268518</x:v>
      </x:c>
      <x:c r="E1498" s="89" t="n">
        <x:v>45481.90556712963</x:v>
      </x:c>
      <x:c r="F1498" s="84" t="n">
        <x:v>451</x:v>
      </x:c>
      <x:c r="G1498" s="84" t="n">
        <x:v>1</x:v>
      </x:c>
      <x:c r="H1498" s="84" t="str">
        <x:v>Vazamento</x:v>
      </x:c>
      <x:c r="I1498" s="84" t="n">
        <x:v>752</x:v>
      </x:c>
      <x:c r="J1498" s="93" t="n">
        <x:v>9818.95</x:v>
      </x:c>
      <x:c r="K1498" s="85" t="str">
        <x:v>1º Turno</x:v>
      </x:c>
    </x:row>
    <x:row r="1499">
      <x:c r="A1499" s="83" t="n">
        <x:v>1498</x:v>
      </x:c>
      <x:c r="B1499" s="84" t="n">
        <x:v>76</x:v>
      </x:c>
      <x:c r="C1499" s="84" t="n">
        <x:v>2303</x:v>
      </x:c>
      <x:c r="D1499" s="89" t="n">
        <x:v>45460.62127314815</x:v>
      </x:c>
      <x:c r="E1499" s="89" t="n">
        <x:v>45461.02474537037</x:v>
      </x:c>
      <x:c r="F1499" s="84" t="n">
        <x:v>581</x:v>
      </x:c>
      <x:c r="G1499" s="84" t="n">
        <x:v>0</x:v>
      </x:c>
      <x:c r="H1499" s="84" t="str">
        <x:v>Alarme intermitente</x:v>
      </x:c>
      <x:c r="I1499" s="84" t="n">
        <x:v>1375</x:v>
      </x:c>
      <x:c r="J1499" s="93" t="n">
        <x:v>27974.7</x:v>
      </x:c>
      <x:c r="K1499" s="85" t="str">
        <x:v>2º Turno</x:v>
      </x:c>
    </x:row>
    <x:row r="1500">
      <x:c r="A1500" s="83" t="n">
        <x:v>1499</x:v>
      </x:c>
      <x:c r="B1500" s="84" t="n">
        <x:v>74</x:v>
      </x:c>
      <x:c r="C1500" s="84" t="n">
        <x:v>2304</x:v>
      </x:c>
      <x:c r="D1500" s="89" t="n">
        <x:v>45872.661944444444</x:v>
      </x:c>
      <x:c r="E1500" s="89" t="n">
        <x:v>45873.121666666666</x:v>
      </x:c>
      <x:c r="F1500" s="84" t="n">
        <x:v>662</x:v>
      </x:c>
      <x:c r="G1500" s="84" t="n">
        <x:v>1</x:v>
      </x:c>
      <x:c r="H1500" s="84" t="str">
        <x:v>Ruído anormal</x:v>
      </x:c>
      <x:c r="I1500" s="84" t="n">
        <x:v>1478</x:v>
      </x:c>
      <x:c r="J1500" s="93" t="n">
        <x:v>27740.28</x:v>
      </x:c>
      <x:c r="K1500" s="85" t="str">
        <x:v>2º Turno</x:v>
      </x:c>
    </x:row>
    <x:row r="1501">
      <x:c r="A1501" s="83" t="n">
        <x:v>1500</x:v>
      </x:c>
      <x:c r="B1501" s="84" t="n">
        <x:v>82</x:v>
      </x:c>
      <x:c r="C1501" s="84" t="n">
        <x:v>2306</x:v>
      </x:c>
      <x:c r="D1501" s="89" t="n">
        <x:v>45833.991111111114</x:v>
      </x:c>
      <x:c r="E1501" s="89" t="n">
        <x:v>45834.0425</x:v>
      </x:c>
      <x:c r="F1501" s="84" t="n">
        <x:v>74</x:v>
      </x:c>
      <x:c r="G1501" s="84" t="n">
        <x:v>0</x:v>
      </x:c>
      <x:c r="H1501" s="84" t="str">
        <x:v>Superaquecimento</x:v>
      </x:c>
      <x:c r="I1501" s="84" t="n">
        <x:v>94</x:v>
      </x:c>
      <x:c r="J1501" s="93" t="n">
        <x:v>1792.04</x:v>
      </x:c>
      <x:c r="K1501" s="85" t="str">
        <x:v>1º Turno</x:v>
      </x:c>
    </x:row>
    <x:row r="1502">
      <x:c r="A1502" s="83" t="n">
        <x:v>1501</x:v>
      </x:c>
      <x:c r="B1502" s="84" t="n">
        <x:v>6</x:v>
      </x:c>
      <x:c r="C1502" s="84" t="n">
        <x:v>2307</x:v>
      </x:c>
      <x:c r="D1502" s="89" t="n">
        <x:v>45185.83793981482</x:v>
      </x:c>
      <x:c r="E1502" s="89" t="n">
        <x:v>45185.951828703706</x:v>
      </x:c>
      <x:c r="F1502" s="84" t="n">
        <x:v>164</x:v>
      </x:c>
      <x:c r="G1502" s="84" t="n">
        <x:v>1</x:v>
      </x:c>
      <x:c r="H1502" s="84" t="str">
        <x:v>Desalinhamento</x:v>
      </x:c>
      <x:c r="I1502" s="84" t="n">
        <x:v>257</x:v>
      </x:c>
      <x:c r="J1502" s="93" t="n">
        <x:v>3264.77</x:v>
      </x:c>
      <x:c r="K1502" s="85" t="str">
        <x:v>1º Turno</x:v>
      </x:c>
    </x:row>
    <x:row r="1503">
      <x:c r="A1503" s="83" t="n">
        <x:v>1502</x:v>
      </x:c>
      <x:c r="B1503" s="84" t="n">
        <x:v>27</x:v>
      </x:c>
      <x:c r="C1503" s="84" t="n">
        <x:v>2310</x:v>
      </x:c>
      <x:c r="D1503" s="89" t="n">
        <x:v>45790.706712962965</x:v>
      </x:c>
      <x:c r="E1503" s="89" t="n">
        <x:v>45790.78449074074</x:v>
      </x:c>
      <x:c r="F1503" s="84" t="n">
        <x:v>112</x:v>
      </x:c>
      <x:c r="G1503" s="84" t="n">
        <x:v>1</x:v>
      </x:c>
      <x:c r="H1503" s="84" t="str">
        <x:v>Baixa pressão</x:v>
      </x:c>
      <x:c r="I1503" s="84" t="n">
        <x:v>269</x:v>
      </x:c>
      <x:c r="J1503" s="93" t="n">
        <x:v>4223.95</x:v>
      </x:c>
      <x:c r="K1503" s="85" t="str">
        <x:v>2º Turno</x:v>
      </x:c>
    </x:row>
    <x:row r="1504">
      <x:c r="A1504" s="83" t="n">
        <x:v>1503</x:v>
      </x:c>
      <x:c r="B1504" s="84" t="n">
        <x:v>18</x:v>
      </x:c>
      <x:c r="C1504" s="84" t="n">
        <x:v>2312</x:v>
      </x:c>
      <x:c r="D1504" s="89" t="n">
        <x:v>45351.75540509259</x:v>
      </x:c>
      <x:c r="E1504" s="89" t="n">
        <x:v>45352.227627314816</x:v>
      </x:c>
      <x:c r="F1504" s="84" t="n">
        <x:v>680</x:v>
      </x:c>
      <x:c r="G1504" s="84" t="n">
        <x:v>1</x:v>
      </x:c>
      <x:c r="H1504" s="84" t="str">
        <x:v>Superaquecimento</x:v>
      </x:c>
      <x:c r="I1504" s="84" t="n">
        <x:v>1530</x:v>
      </x:c>
      <x:c r="J1504" s="93" t="n">
        <x:v>29167.88</x:v>
      </x:c>
      <x:c r="K1504" s="85" t="str">
        <x:v>1º Turno</x:v>
      </x:c>
    </x:row>
    <x:row r="1505">
      <x:c r="A1505" s="83" t="n">
        <x:v>1504</x:v>
      </x:c>
      <x:c r="B1505" s="84" t="n">
        <x:v>46</x:v>
      </x:c>
      <x:c r="C1505" s="84" t="n">
        <x:v>2313</x:v>
      </x:c>
      <x:c r="D1505" s="89" t="n">
        <x:v>45354.99291666667</x:v>
      </x:c>
      <x:c r="E1505" s="89" t="n">
        <x:v>45355.57069444445</x:v>
      </x:c>
      <x:c r="F1505" s="84" t="n">
        <x:v>832</x:v>
      </x:c>
      <x:c r="G1505" s="84" t="n">
        <x:v>0</x:v>
      </x:c>
      <x:c r="H1505" s="84" t="str">
        <x:v>Alarme intermitente</x:v>
      </x:c>
      <x:c r="I1505" s="84" t="n">
        <x:v>1470</x:v>
      </x:c>
      <x:c r="J1505" s="93" t="n">
        <x:v>32380.43</x:v>
      </x:c>
      <x:c r="K1505" s="85" t="str">
        <x:v>2º Turno</x:v>
      </x:c>
    </x:row>
    <x:row r="1506">
      <x:c r="A1506" s="83" t="n">
        <x:v>1505</x:v>
      </x:c>
      <x:c r="B1506" s="84" t="n">
        <x:v>31</x:v>
      </x:c>
      <x:c r="C1506" s="84" t="n">
        <x:v>2314</x:v>
      </x:c>
      <x:c r="D1506" s="89" t="n">
        <x:v>45153.36108796296</x:v>
      </x:c>
      <x:c r="E1506" s="89" t="n">
        <x:v>45153.93261574074</x:v>
      </x:c>
      <x:c r="F1506" s="84" t="n">
        <x:v>823</x:v>
      </x:c>
      <x:c r="G1506" s="84" t="n">
        <x:v>1</x:v>
      </x:c>
      <x:c r="H1506" s="84" t="str">
        <x:v>Alarme intermitente</x:v>
      </x:c>
      <x:c r="I1506" s="84" t="n">
        <x:v>1989</x:v>
      </x:c>
      <x:c r="J1506" s="93" t="n">
        <x:v>31182.81</x:v>
      </x:c>
      <x:c r="K1506" s="85" t="str">
        <x:v>1º Turno</x:v>
      </x:c>
    </x:row>
    <x:row r="1507">
      <x:c r="A1507" s="83" t="n">
        <x:v>1506</x:v>
      </x:c>
      <x:c r="B1507" s="84" t="n">
        <x:v>6</x:v>
      </x:c>
      <x:c r="C1507" s="84" t="n">
        <x:v>2315</x:v>
      </x:c>
      <x:c r="D1507" s="89" t="n">
        <x:v>44947.106875</x:v>
      </x:c>
      <x:c r="E1507" s="89" t="n">
        <x:v>44947.17631944444</x:v>
      </x:c>
      <x:c r="F1507" s="84" t="n">
        <x:v>100</x:v>
      </x:c>
      <x:c r="G1507" s="84" t="n">
        <x:v>0</x:v>
      </x:c>
      <x:c r="H1507" s="84" t="str">
        <x:v>Vazamento</x:v>
      </x:c>
      <x:c r="I1507" s="84" t="n">
        <x:v>113</x:v>
      </x:c>
      <x:c r="J1507" s="93" t="n">
        <x:v>3586.56</x:v>
      </x:c>
      <x:c r="K1507" s="85" t="str">
        <x:v>1º Turno</x:v>
      </x:c>
    </x:row>
    <x:row r="1508">
      <x:c r="A1508" s="83" t="n">
        <x:v>1507</x:v>
      </x:c>
      <x:c r="B1508" s="84" t="n">
        <x:v>55</x:v>
      </x:c>
      <x:c r="C1508" s="84" t="n">
        <x:v>2316</x:v>
      </x:c>
      <x:c r="D1508" s="89" t="n">
        <x:v>45035.53841435185</x:v>
      </x:c>
      <x:c r="E1508" s="89" t="n">
        <x:v>45036.094664351855</x:v>
      </x:c>
      <x:c r="F1508" s="84" t="n">
        <x:v>801</x:v>
      </x:c>
      <x:c r="G1508" s="84" t="n">
        <x:v>1</x:v>
      </x:c>
      <x:c r="H1508" s="84" t="str">
        <x:v>Vazamento</x:v>
      </x:c>
      <x:c r="I1508" s="84" t="n">
        <x:v>1308</x:v>
      </x:c>
      <x:c r="J1508" s="93" t="n">
        <x:v>23596.48</x:v>
      </x:c>
      <x:c r="K1508" s="85" t="str">
        <x:v>2º Turno</x:v>
      </x:c>
    </x:row>
    <x:row r="1509">
      <x:c r="A1509" s="83" t="n">
        <x:v>1508</x:v>
      </x:c>
      <x:c r="B1509" s="84" t="n">
        <x:v>29</x:v>
      </x:c>
      <x:c r="C1509" s="84" t="n">
        <x:v>2318</x:v>
      </x:c>
      <x:c r="D1509" s="89" t="n">
        <x:v>44941.82898148148</x:v>
      </x:c>
      <x:c r="E1509" s="89" t="n">
        <x:v>44942.32481481481</x:v>
      </x:c>
      <x:c r="F1509" s="84" t="n">
        <x:v>714</x:v>
      </x:c>
      <x:c r="G1509" s="84" t="n">
        <x:v>1</x:v>
      </x:c>
      <x:c r="H1509" s="84" t="str">
        <x:v>Baixa pressão</x:v>
      </x:c>
      <x:c r="I1509" s="84" t="n">
        <x:v>1142</x:v>
      </x:c>
      <x:c r="J1509" s="93" t="n">
        <x:v>10339.87</x:v>
      </x:c>
      <x:c r="K1509" s="85" t="str">
        <x:v>3º Turno</x:v>
      </x:c>
    </x:row>
    <x:row r="1510">
      <x:c r="A1510" s="83" t="n">
        <x:v>1509</x:v>
      </x:c>
      <x:c r="B1510" s="84" t="n">
        <x:v>12</x:v>
      </x:c>
      <x:c r="C1510" s="84" t="n">
        <x:v>2319</x:v>
      </x:c>
      <x:c r="D1510" s="89" t="n">
        <x:v>45650.194085648145</x:v>
      </x:c>
      <x:c r="E1510" s="89" t="n">
        <x:v>45650.34825231481</x:v>
      </x:c>
      <x:c r="F1510" s="84" t="n">
        <x:v>222</x:v>
      </x:c>
      <x:c r="G1510" s="84" t="n">
        <x:v>1</x:v>
      </x:c>
      <x:c r="H1510" s="84" t="str">
        <x:v>Ruído anormal</x:v>
      </x:c>
      <x:c r="I1510" s="84" t="n">
        <x:v>466</x:v>
      </x:c>
      <x:c r="J1510" s="93" t="n">
        <x:v>11783.31</x:v>
      </x:c>
      <x:c r="K1510" s="85" t="str">
        <x:v>2º Turno</x:v>
      </x:c>
    </x:row>
    <x:row r="1511">
      <x:c r="A1511" s="83" t="n">
        <x:v>1510</x:v>
      </x:c>
      <x:c r="B1511" s="84" t="n">
        <x:v>66</x:v>
      </x:c>
      <x:c r="C1511" s="84" t="n">
        <x:v>2320</x:v>
      </x:c>
      <x:c r="D1511" s="89" t="n">
        <x:v>45500.46947916667</x:v>
      </x:c>
      <x:c r="E1511" s="89" t="n">
        <x:v>45500.568090277775</x:v>
      </x:c>
      <x:c r="F1511" s="84" t="n">
        <x:v>142</x:v>
      </x:c>
      <x:c r="G1511" s="84" t="n">
        <x:v>1</x:v>
      </x:c>
      <x:c r="H1511" s="84" t="str">
        <x:v>Superaquecimento</x:v>
      </x:c>
      <x:c r="I1511" s="84" t="n">
        <x:v>170</x:v>
      </x:c>
      <x:c r="J1511" s="93" t="n">
        <x:v>5533.98</x:v>
      </x:c>
      <x:c r="K1511" s="85" t="str">
        <x:v>3º Turno</x:v>
      </x:c>
    </x:row>
    <x:row r="1512">
      <x:c r="A1512" s="83" t="n">
        <x:v>1511</x:v>
      </x:c>
      <x:c r="B1512" s="84" t="n">
        <x:v>75</x:v>
      </x:c>
      <x:c r="C1512" s="84" t="n">
        <x:v>2321</x:v>
      </x:c>
      <x:c r="D1512" s="89" t="n">
        <x:v>45013.341203703705</x:v>
      </x:c>
      <x:c r="E1512" s="89" t="n">
        <x:v>45013.93425925926</x:v>
      </x:c>
      <x:c r="F1512" s="84" t="n">
        <x:v>854</x:v>
      </x:c>
      <x:c r="G1512" s="84" t="n">
        <x:v>1</x:v>
      </x:c>
      <x:c r="H1512" s="84" t="str">
        <x:v>Vazamento</x:v>
      </x:c>
      <x:c r="I1512" s="84" t="n">
        <x:v>982</x:v>
      </x:c>
      <x:c r="J1512" s="93" t="n">
        <x:v>39707.54</x:v>
      </x:c>
      <x:c r="K1512" s="85" t="str">
        <x:v>1º Turno</x:v>
      </x:c>
    </x:row>
    <x:row r="1513">
      <x:c r="A1513" s="83" t="n">
        <x:v>1512</x:v>
      </x:c>
      <x:c r="B1513" s="84" t="n">
        <x:v>57</x:v>
      </x:c>
      <x:c r="C1513" s="84" t="n">
        <x:v>2323</x:v>
      </x:c>
      <x:c r="D1513" s="89" t="n">
        <x:v>45660.43597222222</x:v>
      </x:c>
      <x:c r="E1513" s="89" t="n">
        <x:v>45660.674166666664</x:v>
      </x:c>
      <x:c r="F1513" s="84" t="n">
        <x:v>343</x:v>
      </x:c>
      <x:c r="G1513" s="84" t="n">
        <x:v>1</x:v>
      </x:c>
      <x:c r="H1513" s="84" t="str">
        <x:v>Baixa pressão</x:v>
      </x:c>
      <x:c r="I1513" s="84" t="n">
        <x:v>800</x:v>
      </x:c>
      <x:c r="J1513" s="93" t="n">
        <x:v>13556.2</x:v>
      </x:c>
      <x:c r="K1513" s="85" t="str">
        <x:v>2º Turno</x:v>
      </x:c>
    </x:row>
    <x:row r="1514">
      <x:c r="A1514" s="83" t="n">
        <x:v>1513</x:v>
      </x:c>
      <x:c r="B1514" s="84" t="n">
        <x:v>44</x:v>
      </x:c>
      <x:c r="C1514" s="84" t="n">
        <x:v>2325</x:v>
      </x:c>
      <x:c r="D1514" s="89" t="n">
        <x:v>45189.43986111111</x:v>
      </x:c>
      <x:c r="E1514" s="89" t="n">
        <x:v>45189.75513888889</x:v>
      </x:c>
      <x:c r="F1514" s="84" t="n">
        <x:v>454</x:v>
      </x:c>
      <x:c r="G1514" s="84" t="n">
        <x:v>0</x:v>
      </x:c>
      <x:c r="H1514" s="84" t="str">
        <x:v>Baixa pressão</x:v>
      </x:c>
      <x:c r="I1514" s="84" t="n">
        <x:v>1112</x:v>
      </x:c>
      <x:c r="J1514" s="93" t="n">
        <x:v>13955.51</x:v>
      </x:c>
      <x:c r="K1514" s="85" t="str">
        <x:v>3º Turno</x:v>
      </x:c>
    </x:row>
    <x:row r="1515">
      <x:c r="A1515" s="83" t="n">
        <x:v>1514</x:v>
      </x:c>
      <x:c r="B1515" s="84" t="n">
        <x:v>72</x:v>
      </x:c>
      <x:c r="C1515" s="84" t="n">
        <x:v>2327</x:v>
      </x:c>
      <x:c r="D1515" s="89" t="n">
        <x:v>45480.748761574076</x:v>
      </x:c>
      <x:c r="E1515" s="89" t="n">
        <x:v>45481.147372685184</x:v>
      </x:c>
      <x:c r="F1515" s="84" t="n">
        <x:v>574</x:v>
      </x:c>
      <x:c r="G1515" s="84" t="n">
        <x:v>0</x:v>
      </x:c>
      <x:c r="H1515" s="84" t="str">
        <x:v>Vazamento</x:v>
      </x:c>
      <x:c r="I1515" s="84" t="n">
        <x:v>1033</x:v>
      </x:c>
      <x:c r="J1515" s="93" t="n">
        <x:v>27249.67</x:v>
      </x:c>
      <x:c r="K1515" s="85" t="str">
        <x:v>1º Turno</x:v>
      </x:c>
    </x:row>
    <x:row r="1516">
      <x:c r="A1516" s="83" t="n">
        <x:v>1515</x:v>
      </x:c>
      <x:c r="B1516" s="84" t="n">
        <x:v>81</x:v>
      </x:c>
      <x:c r="C1516" s="84" t="n">
        <x:v>2328</x:v>
      </x:c>
      <x:c r="D1516" s="89" t="n">
        <x:v>45391.510034722225</x:v>
      </x:c>
      <x:c r="E1516" s="89" t="n">
        <x:v>45391.5753125</x:v>
      </x:c>
      <x:c r="F1516" s="84" t="n">
        <x:v>94</x:v>
      </x:c>
      <x:c r="G1516" s="84" t="n">
        <x:v>1</x:v>
      </x:c>
      <x:c r="H1516" s="84" t="str">
        <x:v>Superaquecimento</x:v>
      </x:c>
      <x:c r="I1516" s="84" t="n">
        <x:v>183</x:v>
      </x:c>
      <x:c r="J1516" s="93" t="n">
        <x:v>4392.17</x:v>
      </x:c>
      <x:c r="K1516" s="85" t="str">
        <x:v>2º Turno</x:v>
      </x:c>
    </x:row>
    <x:row r="1517">
      <x:c r="A1517" s="83" t="n">
        <x:v>1516</x:v>
      </x:c>
      <x:c r="B1517" s="84" t="n">
        <x:v>2</x:v>
      </x:c>
      <x:c r="C1517" s="84" t="n">
        <x:v>2329</x:v>
      </x:c>
      <x:c r="D1517" s="89" t="n">
        <x:v>45020.96555555556</x:v>
      </x:c>
      <x:c r="E1517" s="89" t="n">
        <x:v>45020.99402777778</x:v>
      </x:c>
      <x:c r="F1517" s="84" t="n">
        <x:v>41</x:v>
      </x:c>
      <x:c r="G1517" s="84" t="n">
        <x:v>0</x:v>
      </x:c>
      <x:c r="H1517" s="84" t="str">
        <x:v>Superaquecimento</x:v>
      </x:c>
      <x:c r="I1517" s="84" t="n">
        <x:v>74</x:v>
      </x:c>
      <x:c r="J1517" s="93" t="n">
        <x:v>1049.8</x:v>
      </x:c>
      <x:c r="K1517" s="85" t="str">
        <x:v>1º Turno</x:v>
      </x:c>
    </x:row>
    <x:row r="1518">
      <x:c r="A1518" s="83" t="n">
        <x:v>1517</x:v>
      </x:c>
      <x:c r="B1518" s="84" t="n">
        <x:v>11</x:v>
      </x:c>
      <x:c r="C1518" s="84" t="n">
        <x:v>2330</x:v>
      </x:c>
      <x:c r="D1518" s="89" t="n">
        <x:v>45880.57640046296</x:v>
      </x:c>
      <x:c r="E1518" s="89" t="n">
        <x:v>45880.89306712963</x:v>
      </x:c>
      <x:c r="F1518" s="84" t="n">
        <x:v>456</x:v>
      </x:c>
      <x:c r="G1518" s="84" t="n">
        <x:v>1</x:v>
      </x:c>
      <x:c r="H1518" s="84" t="str">
        <x:v>Superaquecimento</x:v>
      </x:c>
      <x:c r="I1518" s="84" t="n">
        <x:v>524</x:v>
      </x:c>
      <x:c r="J1518" s="93" t="n">
        <x:v>24766.93</x:v>
      </x:c>
      <x:c r="K1518" s="85" t="str">
        <x:v>2º Turno</x:v>
      </x:c>
    </x:row>
    <x:row r="1519">
      <x:c r="A1519" s="83" t="n">
        <x:v>1518</x:v>
      </x:c>
      <x:c r="B1519" s="84" t="n">
        <x:v>21</x:v>
      </x:c>
      <x:c r="C1519" s="84" t="n">
        <x:v>2332</x:v>
      </x:c>
      <x:c r="D1519" s="89" t="n">
        <x:v>45858.22107638889</x:v>
      </x:c>
      <x:c r="E1519" s="89" t="n">
        <x:v>45858.747465277775</x:v>
      </x:c>
      <x:c r="F1519" s="84" t="n">
        <x:v>758</x:v>
      </x:c>
      <x:c r="G1519" s="84" t="n">
        <x:v>1</x:v>
      </x:c>
      <x:c r="H1519" s="84" t="str">
        <x:v>Alarme intermitente</x:v>
      </x:c>
      <x:c r="I1519" s="84" t="n">
        <x:v>1642</x:v>
      </x:c>
      <x:c r="J1519" s="93" t="n">
        <x:v>23715.38</x:v>
      </x:c>
      <x:c r="K1519" s="85" t="str">
        <x:v>2º Turno</x:v>
      </x:c>
    </x:row>
    <x:row r="1520">
      <x:c r="A1520" s="83" t="n">
        <x:v>1519</x:v>
      </x:c>
      <x:c r="B1520" s="84" t="n">
        <x:v>4</x:v>
      </x:c>
      <x:c r="C1520" s="84" t="n">
        <x:v>2333</x:v>
      </x:c>
      <x:c r="D1520" s="89" t="n">
        <x:v>45289.142488425925</x:v>
      </x:c>
      <x:c r="E1520" s="89" t="n">
        <x:v>45289.35082175926</x:v>
      </x:c>
      <x:c r="F1520" s="84" t="n">
        <x:v>300</x:v>
      </x:c>
      <x:c r="G1520" s="84" t="n">
        <x:v>0</x:v>
      </x:c>
      <x:c r="H1520" s="84" t="str">
        <x:v>Ruído anormal</x:v>
      </x:c>
      <x:c r="I1520" s="84" t="n">
        <x:v>610</x:v>
      </x:c>
      <x:c r="J1520" s="93" t="n">
        <x:v>4591.68</x:v>
      </x:c>
      <x:c r="K1520" s="85" t="str">
        <x:v>3º Turno</x:v>
      </x:c>
    </x:row>
    <x:row r="1521">
      <x:c r="A1521" s="83" t="n">
        <x:v>1520</x:v>
      </x:c>
      <x:c r="B1521" s="84" t="n">
        <x:v>11</x:v>
      </x:c>
      <x:c r="C1521" s="84" t="n">
        <x:v>2334</x:v>
      </x:c>
      <x:c r="D1521" s="89" t="n">
        <x:v>45029.528333333335</x:v>
      </x:c>
      <x:c r="E1521" s="89" t="n">
        <x:v>45029.88597222222</x:v>
      </x:c>
      <x:c r="F1521" s="84" t="n">
        <x:v>515</x:v>
      </x:c>
      <x:c r="G1521" s="84" t="n">
        <x:v>1</x:v>
      </x:c>
      <x:c r="H1521" s="84" t="str">
        <x:v>Alarme intermitente</x:v>
      </x:c>
      <x:c r="I1521" s="84" t="n">
        <x:v>1236</x:v>
      </x:c>
      <x:c r="J1521" s="93" t="n">
        <x:v>15705.17</x:v>
      </x:c>
      <x:c r="K1521" s="85" t="str">
        <x:v>3º Turno</x:v>
      </x:c>
    </x:row>
    <x:row r="1522">
      <x:c r="A1522" s="83" t="n">
        <x:v>1521</x:v>
      </x:c>
      <x:c r="B1522" s="84" t="n">
        <x:v>76</x:v>
      </x:c>
      <x:c r="C1522" s="84" t="n">
        <x:v>2337</x:v>
      </x:c>
      <x:c r="D1522" s="89" t="n">
        <x:v>45527.24118055555</x:v>
      </x:c>
      <x:c r="E1522" s="89" t="n">
        <x:v>45527.460625</x:v>
      </x:c>
      <x:c r="F1522" s="84" t="n">
        <x:v>316</x:v>
      </x:c>
      <x:c r="G1522" s="84" t="n">
        <x:v>0</x:v>
      </x:c>
      <x:c r="H1522" s="84" t="str">
        <x:v>Vazamento</x:v>
      </x:c>
      <x:c r="I1522" s="84" t="n">
        <x:v>669</x:v>
      </x:c>
      <x:c r="J1522" s="93" t="n">
        <x:v>11023.43</x:v>
      </x:c>
      <x:c r="K1522" s="85" t="str">
        <x:v>1º Turno</x:v>
      </x:c>
    </x:row>
    <x:row r="1523">
      <x:c r="A1523" s="83" t="n">
        <x:v>1522</x:v>
      </x:c>
      <x:c r="B1523" s="84" t="n">
        <x:v>8</x:v>
      </x:c>
      <x:c r="C1523" s="84" t="n">
        <x:v>2343</x:v>
      </x:c>
      <x:c r="D1523" s="89" t="n">
        <x:v>45449.17428240741</x:v>
      </x:c>
      <x:c r="E1523" s="89" t="n">
        <x:v>45449.702060185184</x:v>
      </x:c>
      <x:c r="F1523" s="84" t="n">
        <x:v>760</x:v>
      </x:c>
      <x:c r="G1523" s="84" t="n">
        <x:v>1</x:v>
      </x:c>
      <x:c r="H1523" s="84" t="str">
        <x:v>Falha elétrica</x:v>
      </x:c>
      <x:c r="I1523" s="84" t="n">
        <x:v>1279</x:v>
      </x:c>
      <x:c r="J1523" s="93" t="n">
        <x:v>20858.76</x:v>
      </x:c>
      <x:c r="K1523" s="85" t="str">
        <x:v>1º Turno</x:v>
      </x:c>
    </x:row>
    <x:row r="1524">
      <x:c r="A1524" s="83" t="n">
        <x:v>1523</x:v>
      </x:c>
      <x:c r="B1524" s="84" t="n">
        <x:v>62</x:v>
      </x:c>
      <x:c r="C1524" s="84" t="n">
        <x:v>2346</x:v>
      </x:c>
      <x:c r="D1524" s="89" t="n">
        <x:v>45826.53741898148</x:v>
      </x:c>
      <x:c r="E1524" s="89" t="n">
        <x:v>45827.15408564815</x:v>
      </x:c>
      <x:c r="F1524" s="84" t="n">
        <x:v>888</x:v>
      </x:c>
      <x:c r="G1524" s="84" t="n">
        <x:v>0</x:v>
      </x:c>
      <x:c r="H1524" s="84" t="str">
        <x:v>Vazamento</x:v>
      </x:c>
      <x:c r="I1524" s="84" t="n">
        <x:v>1687</x:v>
      </x:c>
      <x:c r="J1524" s="93" t="n">
        <x:v>42897.44</x:v>
      </x:c>
      <x:c r="K1524" s="85" t="str">
        <x:v>3º Turno</x:v>
      </x:c>
    </x:row>
    <x:row r="1525">
      <x:c r="A1525" s="83" t="n">
        <x:v>1524</x:v>
      </x:c>
      <x:c r="B1525" s="84" t="n">
        <x:v>39</x:v>
      </x:c>
      <x:c r="C1525" s="84" t="n">
        <x:v>2347</x:v>
      </x:c>
      <x:c r="D1525" s="89" t="n">
        <x:v>44957.08797453704</x:v>
      </x:c>
      <x:c r="E1525" s="89" t="n">
        <x:v>44957.38728009259</x:v>
      </x:c>
      <x:c r="F1525" s="84" t="n">
        <x:v>431</x:v>
      </x:c>
      <x:c r="G1525" s="84" t="n">
        <x:v>1</x:v>
      </x:c>
      <x:c r="H1525" s="84" t="str">
        <x:v>Vazamento</x:v>
      </x:c>
      <x:c r="I1525" s="84" t="n">
        <x:v>618</x:v>
      </x:c>
      <x:c r="J1525" s="93" t="n">
        <x:v>14344.29</x:v>
      </x:c>
      <x:c r="K1525" s="85" t="str">
        <x:v>2º Turno</x:v>
      </x:c>
    </x:row>
    <x:row r="1526">
      <x:c r="A1526" s="83" t="n">
        <x:v>1525</x:v>
      </x:c>
      <x:c r="B1526" s="84" t="n">
        <x:v>73</x:v>
      </x:c>
      <x:c r="C1526" s="84" t="n">
        <x:v>2348</x:v>
      </x:c>
      <x:c r="D1526" s="89" t="n">
        <x:v>45389.84248842593</x:v>
      </x:c>
      <x:c r="E1526" s="89" t="n">
        <x:v>45389.89665509259</x:v>
      </x:c>
      <x:c r="F1526" s="84" t="n">
        <x:v>78</x:v>
      </x:c>
      <x:c r="G1526" s="84" t="n">
        <x:v>1</x:v>
      </x:c>
      <x:c r="H1526" s="84" t="str">
        <x:v>Falha elétrica</x:v>
      </x:c>
      <x:c r="I1526" s="84" t="n">
        <x:v>142</x:v>
      </x:c>
      <x:c r="J1526" s="93" t="n">
        <x:v>3329.64</x:v>
      </x:c>
      <x:c r="K1526" s="85" t="str">
        <x:v>2º Turno</x:v>
      </x:c>
    </x:row>
    <x:row r="1527">
      <x:c r="A1527" s="83" t="n">
        <x:v>1526</x:v>
      </x:c>
      <x:c r="B1527" s="84" t="n">
        <x:v>71</x:v>
      </x:c>
      <x:c r="C1527" s="84" t="n">
        <x:v>2349</x:v>
      </x:c>
      <x:c r="D1527" s="89" t="n">
        <x:v>45156.51043981482</x:v>
      </x:c>
      <x:c r="E1527" s="89" t="n">
        <x:v>45156.897939814815</x:v>
      </x:c>
      <x:c r="F1527" s="84" t="n">
        <x:v>558</x:v>
      </x:c>
      <x:c r="G1527" s="84" t="n">
        <x:v>1</x:v>
      </x:c>
      <x:c r="H1527" s="84" t="str">
        <x:v>Vazamento</x:v>
      </x:c>
      <x:c r="I1527" s="84" t="n">
        <x:v>604</x:v>
      </x:c>
      <x:c r="J1527" s="93" t="n">
        <x:v>32461.8</x:v>
      </x:c>
      <x:c r="K1527" s="85" t="str">
        <x:v>1º Turno</x:v>
      </x:c>
    </x:row>
    <x:row r="1528">
      <x:c r="A1528" s="83" t="n">
        <x:v>1527</x:v>
      </x:c>
      <x:c r="B1528" s="84" t="n">
        <x:v>4</x:v>
      </x:c>
      <x:c r="C1528" s="84" t="n">
        <x:v>2350</x:v>
      </x:c>
      <x:c r="D1528" s="89" t="n">
        <x:v>45824.40756944445</x:v>
      </x:c>
      <x:c r="E1528" s="89" t="n">
        <x:v>45824.97770833333</x:v>
      </x:c>
      <x:c r="F1528" s="84" t="n">
        <x:v>821</x:v>
      </x:c>
      <x:c r="G1528" s="84" t="n">
        <x:v>0</x:v>
      </x:c>
      <x:c r="H1528" s="84" t="str">
        <x:v>Alarme intermitente</x:v>
      </x:c>
      <x:c r="I1528" s="84" t="n">
        <x:v>862</x:v>
      </x:c>
      <x:c r="J1528" s="93" t="n">
        <x:v>40733.49</x:v>
      </x:c>
      <x:c r="K1528" s="85" t="str">
        <x:v>1º Turno</x:v>
      </x:c>
    </x:row>
    <x:row r="1529">
      <x:c r="A1529" s="83" t="n">
        <x:v>1528</x:v>
      </x:c>
      <x:c r="B1529" s="84" t="n">
        <x:v>11</x:v>
      </x:c>
      <x:c r="C1529" s="84" t="n">
        <x:v>2352</x:v>
      </x:c>
      <x:c r="D1529" s="89" t="n">
        <x:v>45317.46340277778</x:v>
      </x:c>
      <x:c r="E1529" s="89" t="n">
        <x:v>45318.038402777776</x:v>
      </x:c>
      <x:c r="F1529" s="84" t="n">
        <x:v>828</x:v>
      </x:c>
      <x:c r="G1529" s="84" t="n">
        <x:v>1</x:v>
      </x:c>
      <x:c r="H1529" s="84" t="str">
        <x:v>Falha elétrica</x:v>
      </x:c>
      <x:c r="I1529" s="84" t="n">
        <x:v>1615</x:v>
      </x:c>
      <x:c r="J1529" s="93" t="n">
        <x:v>39600.77</x:v>
      </x:c>
      <x:c r="K1529" s="85" t="str">
        <x:v>1º Turno</x:v>
      </x:c>
    </x:row>
    <x:row r="1530">
      <x:c r="A1530" s="83" t="n">
        <x:v>1529</x:v>
      </x:c>
      <x:c r="B1530" s="84" t="n">
        <x:v>2</x:v>
      </x:c>
      <x:c r="C1530" s="84" t="n">
        <x:v>2355</x:v>
      </x:c>
      <x:c r="D1530" s="89" t="n">
        <x:v>45834.66636574074</x:v>
      </x:c>
      <x:c r="E1530" s="89" t="n">
        <x:v>45834.755949074075</x:v>
      </x:c>
      <x:c r="F1530" s="84" t="n">
        <x:v>129</x:v>
      </x:c>
      <x:c r="G1530" s="84" t="n">
        <x:v>1</x:v>
      </x:c>
      <x:c r="H1530" s="84" t="str">
        <x:v>Vazamento</x:v>
      </x:c>
      <x:c r="I1530" s="84" t="n">
        <x:v>301</x:v>
      </x:c>
      <x:c r="J1530" s="93" t="n">
        <x:v>6449.19</x:v>
      </x:c>
      <x:c r="K1530" s="85" t="str">
        <x:v>2º Turno</x:v>
      </x:c>
    </x:row>
    <x:row r="1531">
      <x:c r="A1531" s="83" t="n">
        <x:v>1530</x:v>
      </x:c>
      <x:c r="B1531" s="84" t="n">
        <x:v>17</x:v>
      </x:c>
      <x:c r="C1531" s="84" t="n">
        <x:v>2356</x:v>
      </x:c>
      <x:c r="D1531" s="89" t="n">
        <x:v>45237.72994212963</x:v>
      </x:c>
      <x:c r="E1531" s="89" t="n">
        <x:v>45238.338275462964</x:v>
      </x:c>
      <x:c r="F1531" s="84" t="n">
        <x:v>876</x:v>
      </x:c>
      <x:c r="G1531" s="84" t="n">
        <x:v>1</x:v>
      </x:c>
      <x:c r="H1531" s="84" t="str">
        <x:v>Superaquecimento</x:v>
      </x:c>
      <x:c r="I1531" s="84" t="n">
        <x:v>1883</x:v>
      </x:c>
      <x:c r="J1531" s="93" t="n">
        <x:v>44868.12</x:v>
      </x:c>
      <x:c r="K1531" s="85" t="str">
        <x:v>1º Turno</x:v>
      </x:c>
    </x:row>
    <x:row r="1532">
      <x:c r="A1532" s="83" t="n">
        <x:v>1531</x:v>
      </x:c>
      <x:c r="B1532" s="84" t="n">
        <x:v>8</x:v>
      </x:c>
      <x:c r="C1532" s="84" t="n">
        <x:v>2357</x:v>
      </x:c>
      <x:c r="D1532" s="89" t="n">
        <x:v>45707.55509259259</x:v>
      </x:c>
      <x:c r="E1532" s="89" t="n">
        <x:v>45708.15578703704</x:v>
      </x:c>
      <x:c r="F1532" s="84" t="n">
        <x:v>865</x:v>
      </x:c>
      <x:c r="G1532" s="84" t="n">
        <x:v>1</x:v>
      </x:c>
      <x:c r="H1532" s="84" t="str">
        <x:v>Falha elétrica</x:v>
      </x:c>
      <x:c r="I1532" s="84" t="n">
        <x:v>865</x:v>
      </x:c>
      <x:c r="J1532" s="93" t="n">
        <x:v>38524.81</x:v>
      </x:c>
      <x:c r="K1532" s="85" t="str">
        <x:v>1º Turno</x:v>
      </x:c>
    </x:row>
    <x:row r="1533">
      <x:c r="A1533" s="83" t="n">
        <x:v>1532</x:v>
      </x:c>
      <x:c r="B1533" s="84" t="n">
        <x:v>38</x:v>
      </x:c>
      <x:c r="C1533" s="84" t="n">
        <x:v>2358</x:v>
      </x:c>
      <x:c r="D1533" s="89" t="n">
        <x:v>45291.239016203705</x:v>
      </x:c>
      <x:c r="E1533" s="89" t="n">
        <x:v>45291.775821759256</x:v>
      </x:c>
      <x:c r="F1533" s="84" t="n">
        <x:v>773</x:v>
      </x:c>
      <x:c r="G1533" s="84" t="n">
        <x:v>0</x:v>
      </x:c>
      <x:c r="H1533" s="84" t="str">
        <x:v>Ruído anormal</x:v>
      </x:c>
      <x:c r="I1533" s="84" t="n">
        <x:v>1920</x:v>
      </x:c>
      <x:c r="J1533" s="93" t="n">
        <x:v>15112.61</x:v>
      </x:c>
      <x:c r="K1533" s="85" t="str">
        <x:v>3º Turno</x:v>
      </x:c>
    </x:row>
    <x:row r="1534">
      <x:c r="A1534" s="83" t="n">
        <x:v>1533</x:v>
      </x:c>
      <x:c r="B1534" s="84" t="n">
        <x:v>36</x:v>
      </x:c>
      <x:c r="C1534" s="84" t="n">
        <x:v>2359</x:v>
      </x:c>
      <x:c r="D1534" s="89" t="n">
        <x:v>45206.29283564815</x:v>
      </x:c>
      <x:c r="E1534" s="89" t="n">
        <x:v>45206.89005787037</x:v>
      </x:c>
      <x:c r="F1534" s="84" t="n">
        <x:v>860</x:v>
      </x:c>
      <x:c r="G1534" s="84" t="n">
        <x:v>0</x:v>
      </x:c>
      <x:c r="H1534" s="84" t="str">
        <x:v>Baixa pressão</x:v>
      </x:c>
      <x:c r="I1534" s="84" t="n">
        <x:v>2035</x:v>
      </x:c>
      <x:c r="J1534" s="93" t="n">
        <x:v>39620.5</x:v>
      </x:c>
      <x:c r="K1534" s="85" t="str">
        <x:v>3º Turno</x:v>
      </x:c>
    </x:row>
    <x:row r="1535">
      <x:c r="A1535" s="83" t="n">
        <x:v>1534</x:v>
      </x:c>
      <x:c r="B1535" s="84" t="n">
        <x:v>21</x:v>
      </x:c>
      <x:c r="C1535" s="84" t="n">
        <x:v>2360</x:v>
      </x:c>
      <x:c r="D1535" s="89" t="n">
        <x:v>45986.60009259259</x:v>
      </x:c>
      <x:c r="E1535" s="89" t="n">
        <x:v>45987.2049537037</x:v>
      </x:c>
      <x:c r="F1535" s="84" t="n">
        <x:v>871</x:v>
      </x:c>
      <x:c r="G1535" s="84" t="n">
        <x:v>1</x:v>
      </x:c>
      <x:c r="H1535" s="84" t="str">
        <x:v>Desalinhamento</x:v>
      </x:c>
      <x:c r="I1535" s="84" t="n">
        <x:v>1873</x:v>
      </x:c>
      <x:c r="J1535" s="93" t="n">
        <x:v>22143.92</x:v>
      </x:c>
      <x:c r="K1535" s="85" t="str">
        <x:v>3º Turno</x:v>
      </x:c>
    </x:row>
    <x:row r="1536">
      <x:c r="A1536" s="83" t="n">
        <x:v>1535</x:v>
      </x:c>
      <x:c r="B1536" s="84" t="n">
        <x:v>81</x:v>
      </x:c>
      <x:c r="C1536" s="84" t="n">
        <x:v>2361</x:v>
      </x:c>
      <x:c r="D1536" s="89" t="n">
        <x:v>45777.23195601852</x:v>
      </x:c>
      <x:c r="E1536" s="89" t="n">
        <x:v>45777.32917824074</x:v>
      </x:c>
      <x:c r="F1536" s="84" t="n">
        <x:v>140</x:v>
      </x:c>
      <x:c r="G1536" s="84" t="n">
        <x:v>1</x:v>
      </x:c>
      <x:c r="H1536" s="84" t="str">
        <x:v>Ruído anormal</x:v>
      </x:c>
      <x:c r="I1536" s="84" t="n">
        <x:v>280</x:v>
      </x:c>
      <x:c r="J1536" s="93" t="n">
        <x:v>7451.8</x:v>
      </x:c>
      <x:c r="K1536" s="85" t="str">
        <x:v>2º Turno</x:v>
      </x:c>
    </x:row>
    <x:row r="1537">
      <x:c r="A1537" s="83" t="n">
        <x:v>1536</x:v>
      </x:c>
      <x:c r="B1537" s="84" t="n">
        <x:v>85</x:v>
      </x:c>
      <x:c r="C1537" s="84" t="n">
        <x:v>2364</x:v>
      </x:c>
      <x:c r="D1537" s="89" t="n">
        <x:v>44967.896527777775</x:v>
      </x:c>
      <x:c r="E1537" s="89" t="n">
        <x:v>44968.49444444444</x:v>
      </x:c>
      <x:c r="F1537" s="84" t="n">
        <x:v>861</x:v>
      </x:c>
      <x:c r="G1537" s="84" t="n">
        <x:v>0</x:v>
      </x:c>
      <x:c r="H1537" s="84" t="str">
        <x:v>Superaquecimento</x:v>
      </x:c>
      <x:c r="I1537" s="84" t="n">
        <x:v>875</x:v>
      </x:c>
      <x:c r="J1537" s="93" t="n">
        <x:v>19556.09</x:v>
      </x:c>
      <x:c r="K1537" s="85" t="str">
        <x:v>1º Turno</x:v>
      </x:c>
    </x:row>
    <x:row r="1538">
      <x:c r="A1538" s="83" t="n">
        <x:v>1537</x:v>
      </x:c>
      <x:c r="B1538" s="84" t="n">
        <x:v>23</x:v>
      </x:c>
      <x:c r="C1538" s="84" t="n">
        <x:v>2365</x:v>
      </x:c>
      <x:c r="D1538" s="89" t="n">
        <x:v>46019.13711805556</x:v>
      </x:c>
      <x:c r="E1538" s="89" t="n">
        <x:v>46019.21559027778</x:v>
      </x:c>
      <x:c r="F1538" s="84" t="n">
        <x:v>113</x:v>
      </x:c>
      <x:c r="G1538" s="84" t="n">
        <x:v>0</x:v>
      </x:c>
      <x:c r="H1538" s="84" t="str">
        <x:v>Vazamento</x:v>
      </x:c>
      <x:c r="I1538" s="84" t="n">
        <x:v>215</x:v>
      </x:c>
      <x:c r="J1538" s="93" t="n">
        <x:v>2389.65</x:v>
      </x:c>
      <x:c r="K1538" s="85" t="str">
        <x:v>3º Turno</x:v>
      </x:c>
    </x:row>
    <x:row r="1539">
      <x:c r="A1539" s="83" t="n">
        <x:v>1538</x:v>
      </x:c>
      <x:c r="B1539" s="84" t="n">
        <x:v>81</x:v>
      </x:c>
      <x:c r="C1539" s="84" t="n">
        <x:v>2367</x:v>
      </x:c>
      <x:c r="D1539" s="89" t="n">
        <x:v>45554.59997685185</x:v>
      </x:c>
      <x:c r="E1539" s="89" t="n">
        <x:v>45555.12150462963</x:v>
      </x:c>
      <x:c r="F1539" s="84" t="n">
        <x:v>751</x:v>
      </x:c>
      <x:c r="G1539" s="84" t="n">
        <x:v>1</x:v>
      </x:c>
      <x:c r="H1539" s="84" t="str">
        <x:v>Desalinhamento</x:v>
      </x:c>
      <x:c r="I1539" s="84" t="n">
        <x:v>901</x:v>
      </x:c>
      <x:c r="J1539" s="93" t="n">
        <x:v>23092.37</x:v>
      </x:c>
      <x:c r="K1539" s="85" t="str">
        <x:v>1º Turno</x:v>
      </x:c>
    </x:row>
    <x:row r="1540">
      <x:c r="A1540" s="83" t="n">
        <x:v>1539</x:v>
      </x:c>
      <x:c r="B1540" s="84" t="n">
        <x:v>12</x:v>
      </x:c>
      <x:c r="C1540" s="84" t="n">
        <x:v>2368</x:v>
      </x:c>
      <x:c r="D1540" s="89" t="n">
        <x:v>45020.941145833334</x:v>
      </x:c>
      <x:c r="E1540" s="89" t="n">
        <x:v>45021.23211805556</x:v>
      </x:c>
      <x:c r="F1540" s="84" t="n">
        <x:v>419</x:v>
      </x:c>
      <x:c r="G1540" s="84" t="n">
        <x:v>1</x:v>
      </x:c>
      <x:c r="H1540" s="84" t="str">
        <x:v>Desalinhamento</x:v>
      </x:c>
      <x:c r="I1540" s="84" t="n">
        <x:v>524</x:v>
      </x:c>
      <x:c r="J1540" s="93" t="n">
        <x:v>18393.86</x:v>
      </x:c>
      <x:c r="K1540" s="85" t="str">
        <x:v>2º Turno</x:v>
      </x:c>
    </x:row>
    <x:row r="1541">
      <x:c r="A1541" s="83" t="n">
        <x:v>1540</x:v>
      </x:c>
      <x:c r="B1541" s="84" t="n">
        <x:v>84</x:v>
      </x:c>
      <x:c r="C1541" s="84" t="n">
        <x:v>2370</x:v>
      </x:c>
      <x:c r="D1541" s="89" t="n">
        <x:v>45313.851481481484</x:v>
      </x:c>
      <x:c r="E1541" s="89" t="n">
        <x:v>45314.32787037037</x:v>
      </x:c>
      <x:c r="F1541" s="84" t="n">
        <x:v>686</x:v>
      </x:c>
      <x:c r="G1541" s="84" t="n">
        <x:v>1</x:v>
      </x:c>
      <x:c r="H1541" s="84" t="str">
        <x:v>Baixa pressão</x:v>
      </x:c>
      <x:c r="I1541" s="84" t="n">
        <x:v>1715</x:v>
      </x:c>
      <x:c r="J1541" s="93" t="n">
        <x:v>31235.11</x:v>
      </x:c>
      <x:c r="K1541" s="85" t="str">
        <x:v>2º Turno</x:v>
      </x:c>
    </x:row>
    <x:row r="1542">
      <x:c r="A1542" s="83" t="n">
        <x:v>1541</x:v>
      </x:c>
      <x:c r="B1542" s="84" t="n">
        <x:v>8</x:v>
      </x:c>
      <x:c r="C1542" s="84" t="n">
        <x:v>2371</x:v>
      </x:c>
      <x:c r="D1542" s="89" t="n">
        <x:v>45721.42344907407</x:v>
      </x:c>
      <x:c r="E1542" s="89" t="n">
        <x:v>45721.863032407404</x:v>
      </x:c>
      <x:c r="F1542" s="84" t="n">
        <x:v>633</x:v>
      </x:c>
      <x:c r="G1542" s="84" t="n">
        <x:v>1</x:v>
      </x:c>
      <x:c r="H1542" s="84" t="str">
        <x:v>Superaquecimento</x:v>
      </x:c>
      <x:c r="I1542" s="84" t="n">
        <x:v>1551</x:v>
      </x:c>
      <x:c r="J1542" s="93" t="n">
        <x:v>17435.3</x:v>
      </x:c>
      <x:c r="K1542" s="85" t="str">
        <x:v>2º Turno</x:v>
      </x:c>
    </x:row>
    <x:row r="1543">
      <x:c r="A1543" s="83" t="n">
        <x:v>1542</x:v>
      </x:c>
      <x:c r="B1543" s="84" t="n">
        <x:v>26</x:v>
      </x:c>
      <x:c r="C1543" s="84" t="n">
        <x:v>2372</x:v>
      </x:c>
      <x:c r="D1543" s="89" t="n">
        <x:v>45795.08859953703</x:v>
      </x:c>
      <x:c r="E1543" s="89" t="n">
        <x:v>45795.51359953704</x:v>
      </x:c>
      <x:c r="F1543" s="84" t="n">
        <x:v>612</x:v>
      </x:c>
      <x:c r="G1543" s="84" t="n">
        <x:v>1</x:v>
      </x:c>
      <x:c r="H1543" s="84" t="str">
        <x:v>Desalinhamento</x:v>
      </x:c>
      <x:c r="I1543" s="84" t="n">
        <x:v>806</x:v>
      </x:c>
      <x:c r="J1543" s="93" t="n">
        <x:v>33126.35</x:v>
      </x:c>
      <x:c r="K1543" s="85" t="str">
        <x:v>2º Turno</x:v>
      </x:c>
    </x:row>
    <x:row r="1544">
      <x:c r="A1544" s="83" t="n">
        <x:v>1543</x:v>
      </x:c>
      <x:c r="B1544" s="84" t="n">
        <x:v>8</x:v>
      </x:c>
      <x:c r="C1544" s="84" t="n">
        <x:v>2374</x:v>
      </x:c>
      <x:c r="D1544" s="89" t="n">
        <x:v>45387.24040509259</x:v>
      </x:c>
      <x:c r="E1544" s="89" t="n">
        <x:v>45387.56748842593</x:v>
      </x:c>
      <x:c r="F1544" s="84" t="n">
        <x:v>471</x:v>
      </x:c>
      <x:c r="G1544" s="84" t="n">
        <x:v>1</x:v>
      </x:c>
      <x:c r="H1544" s="84" t="str">
        <x:v>Desalinhamento</x:v>
      </x:c>
      <x:c r="I1544" s="84" t="n">
        <x:v>903</x:v>
      </x:c>
      <x:c r="J1544" s="93" t="n">
        <x:v>18693.12</x:v>
      </x:c>
      <x:c r="K1544" s="85" t="str">
        <x:v>1º Turno</x:v>
      </x:c>
    </x:row>
    <x:row r="1545">
      <x:c r="A1545" s="83" t="n">
        <x:v>1544</x:v>
      </x:c>
      <x:c r="B1545" s="84" t="n">
        <x:v>37</x:v>
      </x:c>
      <x:c r="C1545" s="84" t="n">
        <x:v>2375</x:v>
      </x:c>
      <x:c r="D1545" s="89" t="n">
        <x:v>45921.92969907408</x:v>
      </x:c>
      <x:c r="E1545" s="89" t="n">
        <x:v>45922.481087962966</x:v>
      </x:c>
      <x:c r="F1545" s="84" t="n">
        <x:v>794</x:v>
      </x:c>
      <x:c r="G1545" s="84" t="n">
        <x:v>0</x:v>
      </x:c>
      <x:c r="H1545" s="84" t="str">
        <x:v>Baixa pressão</x:v>
      </x:c>
      <x:c r="I1545" s="84" t="n">
        <x:v>1495</x:v>
      </x:c>
      <x:c r="J1545" s="93" t="n">
        <x:v>29159.15</x:v>
      </x:c>
      <x:c r="K1545" s="85" t="str">
        <x:v>3º Turno</x:v>
      </x:c>
    </x:row>
    <x:row r="1546">
      <x:c r="A1546" s="83" t="n">
        <x:v>1545</x:v>
      </x:c>
      <x:c r="B1546" s="84" t="n">
        <x:v>59</x:v>
      </x:c>
      <x:c r="C1546" s="84" t="n">
        <x:v>2377</x:v>
      </x:c>
      <x:c r="D1546" s="89" t="n">
        <x:v>44972.97144675926</x:v>
      </x:c>
      <x:c r="E1546" s="89" t="n">
        <x:v>44973.02630787037</x:v>
      </x:c>
      <x:c r="F1546" s="84" t="n">
        <x:v>79</x:v>
      </x:c>
      <x:c r="G1546" s="84" t="n">
        <x:v>1</x:v>
      </x:c>
      <x:c r="H1546" s="84" t="str">
        <x:v>Vazamento</x:v>
      </x:c>
      <x:c r="I1546" s="84" t="n">
        <x:v>196</x:v>
      </x:c>
      <x:c r="J1546" s="93" t="n">
        <x:v>2471.31</x:v>
      </x:c>
      <x:c r="K1546" s="85" t="str">
        <x:v>1º Turno</x:v>
      </x:c>
    </x:row>
    <x:row r="1547">
      <x:c r="A1547" s="83" t="n">
        <x:v>1546</x:v>
      </x:c>
      <x:c r="B1547" s="84" t="n">
        <x:v>61</x:v>
      </x:c>
      <x:c r="C1547" s="84" t="n">
        <x:v>2378</x:v>
      </x:c>
      <x:c r="D1547" s="89" t="n">
        <x:v>45277.938935185186</x:v>
      </x:c>
      <x:c r="E1547" s="89" t="n">
        <x:v>45278.348657407405</x:v>
      </x:c>
      <x:c r="F1547" s="84" t="n">
        <x:v>590</x:v>
      </x:c>
      <x:c r="G1547" s="84" t="n">
        <x:v>1</x:v>
      </x:c>
      <x:c r="H1547" s="84" t="str">
        <x:v>Vazamento</x:v>
      </x:c>
      <x:c r="I1547" s="84" t="n">
        <x:v>974</x:v>
      </x:c>
      <x:c r="J1547" s="93" t="n">
        <x:v>29944.13</x:v>
      </x:c>
      <x:c r="K1547" s="85" t="str">
        <x:v>1º Turno</x:v>
      </x:c>
    </x:row>
    <x:row r="1548">
      <x:c r="A1548" s="83" t="n">
        <x:v>1547</x:v>
      </x:c>
      <x:c r="B1548" s="84" t="n">
        <x:v>63</x:v>
      </x:c>
      <x:c r="C1548" s="84" t="n">
        <x:v>2382</x:v>
      </x:c>
      <x:c r="D1548" s="89" t="n">
        <x:v>45119.75337962963</x:v>
      </x:c>
      <x:c r="E1548" s="89" t="n">
        <x:v>45120.03046296296</x:v>
      </x:c>
      <x:c r="F1548" s="84" t="n">
        <x:v>399</x:v>
      </x:c>
      <x:c r="G1548" s="84" t="n">
        <x:v>0</x:v>
      </x:c>
      <x:c r="H1548" s="84" t="str">
        <x:v>Falha elétrica</x:v>
      </x:c>
      <x:c r="I1548" s="84" t="n">
        <x:v>831</x:v>
      </x:c>
      <x:c r="J1548" s="93" t="n">
        <x:v>12189.55</x:v>
      </x:c>
      <x:c r="K1548" s="85" t="str">
        <x:v>2º Turno</x:v>
      </x:c>
    </x:row>
    <x:row r="1549">
      <x:c r="A1549" s="83" t="n">
        <x:v>1548</x:v>
      </x:c>
      <x:c r="B1549" s="84" t="n">
        <x:v>84</x:v>
      </x:c>
      <x:c r="C1549" s="84" t="n">
        <x:v>2385</x:v>
      </x:c>
      <x:c r="D1549" s="89" t="n">
        <x:v>45659.63805555556</x:v>
      </x:c>
      <x:c r="E1549" s="89" t="n">
        <x:v>45660.12763888889</x:v>
      </x:c>
      <x:c r="F1549" s="84" t="n">
        <x:v>705</x:v>
      </x:c>
      <x:c r="G1549" s="84" t="n">
        <x:v>1</x:v>
      </x:c>
      <x:c r="H1549" s="84" t="str">
        <x:v>Falha elétrica</x:v>
      </x:c>
      <x:c r="I1549" s="84" t="n">
        <x:v>728</x:v>
      </x:c>
      <x:c r="J1549" s="93" t="n">
        <x:v>27642.6</x:v>
      </x:c>
      <x:c r="K1549" s="85" t="str">
        <x:v>2º Turno</x:v>
      </x:c>
    </x:row>
    <x:row r="1550">
      <x:c r="A1550" s="83" t="n">
        <x:v>1549</x:v>
      </x:c>
      <x:c r="B1550" s="84" t="n">
        <x:v>24</x:v>
      </x:c>
      <x:c r="C1550" s="84" t="n">
        <x:v>2386</x:v>
      </x:c>
      <x:c r="D1550" s="89" t="n">
        <x:v>45238.783634259256</x:v>
      </x:c>
      <x:c r="E1550" s="89" t="n">
        <x:v>45239.26627314815</x:v>
      </x:c>
      <x:c r="F1550" s="84" t="n">
        <x:v>695</x:v>
      </x:c>
      <x:c r="G1550" s="84" t="n">
        <x:v>1</x:v>
      </x:c>
      <x:c r="H1550" s="84" t="str">
        <x:v>Superaquecimento</x:v>
      </x:c>
      <x:c r="I1550" s="84" t="n">
        <x:v>927</x:v>
      </x:c>
      <x:c r="J1550" s="93" t="n">
        <x:v>27468.12</x:v>
      </x:c>
      <x:c r="K1550" s="85" t="str">
        <x:v>2º Turno</x:v>
      </x:c>
    </x:row>
    <x:row r="1551">
      <x:c r="A1551" s="83" t="n">
        <x:v>1550</x:v>
      </x:c>
      <x:c r="B1551" s="84" t="n">
        <x:v>72</x:v>
      </x:c>
      <x:c r="C1551" s="84" t="n">
        <x:v>2387</x:v>
      </x:c>
      <x:c r="D1551" s="89" t="n">
        <x:v>45052.575891203705</x:v>
      </x:c>
      <x:c r="E1551" s="89" t="n">
        <x:v>45053.16339120371</x:v>
      </x:c>
      <x:c r="F1551" s="84" t="n">
        <x:v>846</x:v>
      </x:c>
      <x:c r="G1551" s="84" t="n">
        <x:v>1</x:v>
      </x:c>
      <x:c r="H1551" s="84" t="str">
        <x:v>Ruído anormal</x:v>
      </x:c>
      <x:c r="I1551" s="84" t="n">
        <x:v>1480</x:v>
      </x:c>
      <x:c r="J1551" s="93" t="n">
        <x:v>27591.3</x:v>
      </x:c>
      <x:c r="K1551" s="85" t="str">
        <x:v>1º Turno</x:v>
      </x:c>
    </x:row>
    <x:row r="1552">
      <x:c r="A1552" s="83" t="n">
        <x:v>1551</x:v>
      </x:c>
      <x:c r="B1552" s="84" t="n">
        <x:v>49</x:v>
      </x:c>
      <x:c r="C1552" s="84" t="n">
        <x:v>2390</x:v>
      </x:c>
      <x:c r="D1552" s="89" t="n">
        <x:v>45933.390069444446</x:v>
      </x:c>
      <x:c r="E1552" s="89" t="n">
        <x:v>45933.86993055556</x:v>
      </x:c>
      <x:c r="F1552" s="84" t="n">
        <x:v>691</x:v>
      </x:c>
      <x:c r="G1552" s="84" t="n">
        <x:v>1</x:v>
      </x:c>
      <x:c r="H1552" s="84" t="str">
        <x:v>Alarme intermitente</x:v>
      </x:c>
      <x:c r="I1552" s="84" t="n">
        <x:v>1060</x:v>
      </x:c>
      <x:c r="J1552" s="93" t="n">
        <x:v>26490.64</x:v>
      </x:c>
      <x:c r="K1552" s="85" t="str">
        <x:v>3º Turno</x:v>
      </x:c>
    </x:row>
    <x:row r="1553">
      <x:c r="A1553" s="83" t="n">
        <x:v>1552</x:v>
      </x:c>
      <x:c r="B1553" s="84" t="n">
        <x:v>64</x:v>
      </x:c>
      <x:c r="C1553" s="84" t="n">
        <x:v>2391</x:v>
      </x:c>
      <x:c r="D1553" s="89" t="n">
        <x:v>45879.973645833335</x:v>
      </x:c>
      <x:c r="E1553" s="89" t="n">
        <x:v>45880.01809027778</x:v>
      </x:c>
      <x:c r="F1553" s="84" t="n">
        <x:v>64</x:v>
      </x:c>
      <x:c r="G1553" s="84" t="n">
        <x:v>1</x:v>
      </x:c>
      <x:c r="H1553" s="84" t="str">
        <x:v>Superaquecimento</x:v>
      </x:c>
      <x:c r="I1553" s="84" t="n">
        <x:v>145</x:v>
      </x:c>
      <x:c r="J1553" s="93" t="n">
        <x:v>1975.61</x:v>
      </x:c>
      <x:c r="K1553" s="85" t="str">
        <x:v>2º Turno</x:v>
      </x:c>
    </x:row>
    <x:row r="1554">
      <x:c r="A1554" s="83" t="n">
        <x:v>1553</x:v>
      </x:c>
      <x:c r="B1554" s="84" t="n">
        <x:v>5</x:v>
      </x:c>
      <x:c r="C1554" s="84" t="n">
        <x:v>2392</x:v>
      </x:c>
      <x:c r="D1554" s="89" t="n">
        <x:v>45138.38383101852</x:v>
      </x:c>
      <x:c r="E1554" s="89" t="n">
        <x:v>45138.73452546296</x:v>
      </x:c>
      <x:c r="F1554" s="84" t="n">
        <x:v>505</x:v>
      </x:c>
      <x:c r="G1554" s="84" t="n">
        <x:v>1</x:v>
      </x:c>
      <x:c r="H1554" s="84" t="str">
        <x:v>Vazamento</x:v>
      </x:c>
      <x:c r="I1554" s="84" t="n">
        <x:v>1195</x:v>
      </x:c>
      <x:c r="J1554" s="93" t="n">
        <x:v>15020.81</x:v>
      </x:c>
      <x:c r="K1554" s="85" t="str">
        <x:v>1º Turno</x:v>
      </x:c>
    </x:row>
    <x:row r="1555">
      <x:c r="A1555" s="83" t="n">
        <x:v>1554</x:v>
      </x:c>
      <x:c r="B1555" s="84" t="n">
        <x:v>2</x:v>
      </x:c>
      <x:c r="C1555" s="84" t="n">
        <x:v>2393</x:v>
      </x:c>
      <x:c r="D1555" s="89" t="n">
        <x:v>45698.57711805555</x:v>
      </x:c>
      <x:c r="E1555" s="89" t="n">
        <x:v>45698.88961805555</x:v>
      </x:c>
      <x:c r="F1555" s="84" t="n">
        <x:v>450</x:v>
      </x:c>
      <x:c r="G1555" s="84" t="n">
        <x:v>1</x:v>
      </x:c>
      <x:c r="H1555" s="84" t="str">
        <x:v>Falha elétrica</x:v>
      </x:c>
      <x:c r="I1555" s="84" t="n">
        <x:v>668</x:v>
      </x:c>
      <x:c r="J1555" s="93" t="n">
        <x:v>13394.47</x:v>
      </x:c>
      <x:c r="K1555" s="85" t="str">
        <x:v>3º Turno</x:v>
      </x:c>
    </x:row>
    <x:row r="1556">
      <x:c r="A1556" s="83" t="n">
        <x:v>1555</x:v>
      </x:c>
      <x:c r="B1556" s="84" t="n">
        <x:v>31</x:v>
      </x:c>
      <x:c r="C1556" s="84" t="n">
        <x:v>2396</x:v>
      </x:c>
      <x:c r="D1556" s="89" t="n">
        <x:v>45271.26427083334</x:v>
      </x:c>
      <x:c r="E1556" s="89" t="n">
        <x:v>45271.55454861111</x:v>
      </x:c>
      <x:c r="F1556" s="84" t="n">
        <x:v>418</x:v>
      </x:c>
      <x:c r="G1556" s="84" t="n">
        <x:v>1</x:v>
      </x:c>
      <x:c r="H1556" s="84" t="str">
        <x:v>Desalinhamento</x:v>
      </x:c>
      <x:c r="I1556" s="84" t="n">
        <x:v>1045</x:v>
      </x:c>
      <x:c r="J1556" s="93" t="n">
        <x:v>9064.54</x:v>
      </x:c>
      <x:c r="K1556" s="85" t="str">
        <x:v>1º Turno</x:v>
      </x:c>
    </x:row>
    <x:row r="1557">
      <x:c r="A1557" s="83" t="n">
        <x:v>1556</x:v>
      </x:c>
      <x:c r="B1557" s="84" t="n">
        <x:v>42</x:v>
      </x:c>
      <x:c r="C1557" s="84" t="n">
        <x:v>2397</x:v>
      </x:c>
      <x:c r="D1557" s="89" t="n">
        <x:v>45470.6037037037</x:v>
      </x:c>
      <x:c r="E1557" s="89" t="n">
        <x:v>45471.14328703703</x:v>
      </x:c>
      <x:c r="F1557" s="84" t="n">
        <x:v>777</x:v>
      </x:c>
      <x:c r="G1557" s="84" t="n">
        <x:v>1</x:v>
      </x:c>
      <x:c r="H1557" s="84" t="str">
        <x:v>Vazamento</x:v>
      </x:c>
      <x:c r="I1557" s="84" t="n">
        <x:v>1930</x:v>
      </x:c>
      <x:c r="J1557" s="93" t="n">
        <x:v>20199.18</x:v>
      </x:c>
      <x:c r="K1557" s="85" t="str">
        <x:v>2º Turno</x:v>
      </x:c>
    </x:row>
    <x:row r="1558">
      <x:c r="A1558" s="83" t="n">
        <x:v>1557</x:v>
      </x:c>
      <x:c r="B1558" s="84" t="n">
        <x:v>13</x:v>
      </x:c>
      <x:c r="C1558" s="84" t="n">
        <x:v>2399</x:v>
      </x:c>
      <x:c r="D1558" s="89" t="n">
        <x:v>45569.85668981481</x:v>
      </x:c>
      <x:c r="E1558" s="89" t="n">
        <x:v>45570.326828703706</x:v>
      </x:c>
      <x:c r="F1558" s="84" t="n">
        <x:v>677</x:v>
      </x:c>
      <x:c r="G1558" s="84" t="n">
        <x:v>1</x:v>
      </x:c>
      <x:c r="H1558" s="84" t="str">
        <x:v>Alarme intermitente</x:v>
      </x:c>
      <x:c r="I1558" s="84" t="n">
        <x:v>1185</x:v>
      </x:c>
      <x:c r="J1558" s="93" t="n">
        <x:v>31659.71</x:v>
      </x:c>
      <x:c r="K1558" s="85" t="str">
        <x:v>2º Turno</x:v>
      </x:c>
    </x:row>
    <x:row r="1559">
      <x:c r="A1559" s="86" t="n">
        <x:v>1558</x:v>
      </x:c>
      <x:c r="B1559" s="87" t="n">
        <x:v>44</x:v>
      </x:c>
      <x:c r="C1559" s="87" t="n">
        <x:v>2400</x:v>
      </x:c>
      <x:c r="D1559" s="90" t="n">
        <x:v>45551.62920138889</x:v>
      </x:c>
      <x:c r="E1559" s="90" t="n">
        <x:v>45551.905590277776</x:v>
      </x:c>
      <x:c r="F1559" s="87" t="n">
        <x:v>398</x:v>
      </x:c>
      <x:c r="G1559" s="87" t="n">
        <x:v>0</x:v>
      </x:c>
      <x:c r="H1559" s="87" t="str">
        <x:v>Falha elétrica</x:v>
      </x:c>
      <x:c r="I1559" s="87" t="n">
        <x:v>922</x:v>
      </x:c>
      <x:c r="J1559" s="94" t="n">
        <x:v>8882.6</x:v>
      </x:c>
      <x:c r="K1559" s="88" t="str">
        <x:v>3º Turno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.78000020980835" hidden="0" customWidth="1"/>
    <x:col min="3" max="3" width="13.670000076293945" hidden="0" customWidth="1"/>
    <x:col min="4" max="4" width="11.779999732971191" hidden="0" customWidth="1"/>
    <x:col min="5" max="5" width="17.889999389648438" hidden="0" customWidth="1"/>
    <x:col min="6" max="6" width="7.21999979019165" hidden="0" customWidth="1"/>
    <x:col min="7" max="7" width="6.670000076293945" hidden="0" customWidth="1"/>
    <x:col min="8" max="8" width="9.109999656677246" hidden="0" customWidth="1"/>
    <x:col min="9" max="9" width="9.329999923706055" hidden="0" customWidth="1"/>
    <x:col min="10" max="10" width="15.670000076293945" hidden="0" customWidth="1"/>
  </x:cols>
  <x:sheetData>
    <x:row r="1">
      <x:c r="A1" s="80" t="str">
        <x:v>id_colaborador</x:v>
      </x:c>
      <x:c r="B1" s="81" t="str">
        <x:v>matricula</x:v>
      </x:c>
      <x:c r="C1" s="81" t="str">
        <x:v>nome_ficticio</x:v>
      </x:c>
      <x:c r="D1" s="81" t="str">
        <x:v>especialidade</x:v>
      </x:c>
      <x:c r="E1" s="81" t="str">
        <x:v>cargo</x:v>
      </x:c>
      <x:c r="F1" s="81" t="str">
        <x:v>equipe</x:v>
      </x:c>
      <x:c r="G1" s="81" t="str">
        <x:v>turno</x:v>
      </x:c>
      <x:c r="H1" s="81" t="str">
        <x:v>id_unidade</x:v>
      </x:c>
      <x:c r="I1" s="81" t="str">
        <x:v>custo_hora</x:v>
      </x:c>
      <x:c r="J1" s="82" t="str">
        <x:v>status_colaborador</x:v>
      </x:c>
    </x:row>
    <x:row r="2">
      <x:c r="A2" s="83" t="n">
        <x:v>1</x:v>
      </x:c>
      <x:c r="B2" s="84" t="str">
        <x:v>M0001</x:v>
      </x:c>
      <x:c r="C2" s="84" t="str">
        <x:v>Lucas Souza</x:v>
      </x:c>
      <x:c r="D2" s="84" t="str">
        <x:v>Elétrica</x:v>
      </x:c>
      <x:c r="E2" s="84" t="str">
        <x:v>Técnico de Manutenção</x:v>
      </x:c>
      <x:c r="F2" s="84" t="str">
        <x:v>Equipe A</x:v>
      </x:c>
      <x:c r="G2" s="84" t="str">
        <x:v>3º Turno</x:v>
      </x:c>
      <x:c r="H2" s="84" t="n">
        <x:v>2</x:v>
      </x:c>
      <x:c r="I2" s="93" t="n">
        <x:v>35.37</x:v>
      </x:c>
      <x:c r="J2" s="85" t="str">
        <x:v>Ativo</x:v>
      </x:c>
    </x:row>
    <x:row r="3">
      <x:c r="A3" s="83" t="n">
        <x:v>2</x:v>
      </x:c>
      <x:c r="B3" s="84" t="str">
        <x:v>M0002</x:v>
      </x:c>
      <x:c r="C3" s="84" t="str">
        <x:v>Elias Almeida</x:v>
      </x:c>
      <x:c r="D3" s="84" t="str">
        <x:v>Instrumentação</x:v>
      </x:c>
      <x:c r="E3" s="84" t="str">
        <x:v>Técnico de Manutenção</x:v>
      </x:c>
      <x:c r="F3" s="84" t="str">
        <x:v>Equipe C</x:v>
      </x:c>
      <x:c r="G3" s="84" t="str">
        <x:v>2º Turno</x:v>
      </x:c>
      <x:c r="H3" s="84" t="n">
        <x:v>3</x:v>
      </x:c>
      <x:c r="I3" s="93" t="n">
        <x:v>37.26</x:v>
      </x:c>
      <x:c r="J3" s="85" t="str">
        <x:v>Ativo</x:v>
      </x:c>
    </x:row>
    <x:row r="4">
      <x:c r="A4" s="83" t="n">
        <x:v>3</x:v>
      </x:c>
      <x:c r="B4" s="84" t="str">
        <x:v>M0003</x:v>
      </x:c>
      <x:c r="C4" s="84" t="str">
        <x:v>Igor Ferreira</x:v>
      </x:c>
      <x:c r="D4" s="84" t="str">
        <x:v>Automação</x:v>
      </x:c>
      <x:c r="E4" s="84" t="str">
        <x:v>Técnico de Manutenção</x:v>
      </x:c>
      <x:c r="F4" s="84" t="str">
        <x:v>Equipe C</x:v>
      </x:c>
      <x:c r="G4" s="84" t="str">
        <x:v>3º Turno</x:v>
      </x:c>
      <x:c r="H4" s="84" t="n">
        <x:v>3</x:v>
      </x:c>
      <x:c r="I4" s="93" t="n">
        <x:v>49.24</x:v>
      </x:c>
      <x:c r="J4" s="85" t="str">
        <x:v>Ativo</x:v>
      </x:c>
    </x:row>
    <x:row r="5">
      <x:c r="A5" s="83" t="n">
        <x:v>4</x:v>
      </x:c>
      <x:c r="B5" s="84" t="str">
        <x:v>M0004</x:v>
      </x:c>
      <x:c r="C5" s="84" t="str">
        <x:v>Caio Almeida</x:v>
      </x:c>
      <x:c r="D5" s="84" t="str">
        <x:v>Elétrica</x:v>
      </x:c>
      <x:c r="E5" s="84" t="str">
        <x:v>Técnico de Manutenção</x:v>
      </x:c>
      <x:c r="F5" s="84" t="str">
        <x:v>Equipe C</x:v>
      </x:c>
      <x:c r="G5" s="84" t="str">
        <x:v>3º Turno</x:v>
      </x:c>
      <x:c r="H5" s="84" t="n">
        <x:v>1</x:v>
      </x:c>
      <x:c r="I5" s="93" t="n">
        <x:v>49.19</x:v>
      </x:c>
      <x:c r="J5" s="85" t="str">
        <x:v>Ativo</x:v>
      </x:c>
    </x:row>
    <x:row r="6">
      <x:c r="A6" s="83" t="n">
        <x:v>5</x:v>
      </x:c>
      <x:c r="B6" s="84" t="str">
        <x:v>M0005</x:v>
      </x:c>
      <x:c r="C6" s="84" t="str">
        <x:v>Bruna Pereira</x:v>
      </x:c>
      <x:c r="D6" s="84" t="str">
        <x:v>Elétrica</x:v>
      </x:c>
      <x:c r="E6" s="84" t="str">
        <x:v>Técnico de Manutenção</x:v>
      </x:c>
      <x:c r="F6" s="84" t="str">
        <x:v>Equipe B</x:v>
      </x:c>
      <x:c r="G6" s="84" t="str">
        <x:v>2º Turno</x:v>
      </x:c>
      <x:c r="H6" s="84" t="n">
        <x:v>3</x:v>
      </x:c>
      <x:c r="I6" s="93" t="n">
        <x:v>28.82</x:v>
      </x:c>
      <x:c r="J6" s="85" t="str">
        <x:v>Ativo</x:v>
      </x:c>
    </x:row>
    <x:row r="7">
      <x:c r="A7" s="83" t="n">
        <x:v>6</x:v>
      </x:c>
      <x:c r="B7" s="84" t="str">
        <x:v>M0006</x:v>
      </x:c>
      <x:c r="C7" s="84" t="str">
        <x:v>Bruna Costa</x:v>
      </x:c>
      <x:c r="D7" s="84" t="str">
        <x:v>Elétrica</x:v>
      </x:c>
      <x:c r="E7" s="84" t="str">
        <x:v>Técnico de Manutenção</x:v>
      </x:c>
      <x:c r="F7" s="84" t="str">
        <x:v>Equipe C</x:v>
      </x:c>
      <x:c r="G7" s="84" t="str">
        <x:v>1º Turno</x:v>
      </x:c>
      <x:c r="H7" s="84" t="n">
        <x:v>3</x:v>
      </x:c>
      <x:c r="I7" s="93" t="n">
        <x:v>52.26</x:v>
      </x:c>
      <x:c r="J7" s="85" t="str">
        <x:v>Ativo</x:v>
      </x:c>
    </x:row>
    <x:row r="8">
      <x:c r="A8" s="83" t="n">
        <x:v>7</x:v>
      </x:c>
      <x:c r="B8" s="84" t="str">
        <x:v>M0007</x:v>
      </x:c>
      <x:c r="C8" s="84" t="str">
        <x:v>Katia Costa</x:v>
      </x:c>
      <x:c r="D8" s="84" t="str">
        <x:v>Mecânica</x:v>
      </x:c>
      <x:c r="E8" s="84" t="str">
        <x:v>Técnico de Manutenção</x:v>
      </x:c>
      <x:c r="F8" s="84" t="str">
        <x:v>Equipe C</x:v>
      </x:c>
      <x:c r="G8" s="84" t="str">
        <x:v>2º Turno</x:v>
      </x:c>
      <x:c r="H8" s="84" t="n">
        <x:v>3</x:v>
      </x:c>
      <x:c r="I8" s="93" t="n">
        <x:v>58.21</x:v>
      </x:c>
      <x:c r="J8" s="85" t="str">
        <x:v>Ativo</x:v>
      </x:c>
    </x:row>
    <x:row r="9">
      <x:c r="A9" s="83" t="n">
        <x:v>8</x:v>
      </x:c>
      <x:c r="B9" s="84" t="str">
        <x:v>M0008</x:v>
      </x:c>
      <x:c r="C9" s="84" t="str">
        <x:v>Katia Souza</x:v>
      </x:c>
      <x:c r="D9" s="84" t="str">
        <x:v>Mecânica</x:v>
      </x:c>
      <x:c r="E9" s="84" t="str">
        <x:v>Técnico de Manutenção</x:v>
      </x:c>
      <x:c r="F9" s="84" t="str">
        <x:v>Equipe A</x:v>
      </x:c>
      <x:c r="G9" s="84" t="str">
        <x:v>1º Turno</x:v>
      </x:c>
      <x:c r="H9" s="84" t="n">
        <x:v>1</x:v>
      </x:c>
      <x:c r="I9" s="93" t="n">
        <x:v>46.5</x:v>
      </x:c>
      <x:c r="J9" s="85" t="str">
        <x:v>Ativo</x:v>
      </x:c>
    </x:row>
    <x:row r="10">
      <x:c r="A10" s="83" t="n">
        <x:v>9</x:v>
      </x:c>
      <x:c r="B10" s="84" t="str">
        <x:v>M0009</x:v>
      </x:c>
      <x:c r="C10" s="84" t="str">
        <x:v>Fernanda Pereira</x:v>
      </x:c>
      <x:c r="D10" s="84" t="str">
        <x:v>Elétrica</x:v>
      </x:c>
      <x:c r="E10" s="84" t="str">
        <x:v>Técnico de Manutenção</x:v>
      </x:c>
      <x:c r="F10" s="84" t="str">
        <x:v>Equipe B</x:v>
      </x:c>
      <x:c r="G10" s="84" t="str">
        <x:v>2º Turno</x:v>
      </x:c>
      <x:c r="H10" s="84" t="n">
        <x:v>1</x:v>
      </x:c>
      <x:c r="I10" s="93" t="n">
        <x:v>52.67</x:v>
      </x:c>
      <x:c r="J10" s="85" t="str">
        <x:v>Ativo</x:v>
      </x:c>
    </x:row>
    <x:row r="11">
      <x:c r="A11" s="83" t="n">
        <x:v>10</x:v>
      </x:c>
      <x:c r="B11" s="84" t="str">
        <x:v>M0010</x:v>
      </x:c>
      <x:c r="C11" s="84" t="str">
        <x:v>Diana Silva</x:v>
      </x:c>
      <x:c r="D11" s="84" t="str">
        <x:v>Automação</x:v>
      </x:c>
      <x:c r="E11" s="84" t="str">
        <x:v>Técnico de Manutenção</x:v>
      </x:c>
      <x:c r="F11" s="84" t="str">
        <x:v>Equipe C</x:v>
      </x:c>
      <x:c r="G11" s="84" t="str">
        <x:v>1º Turno</x:v>
      </x:c>
      <x:c r="H11" s="84" t="n">
        <x:v>1</x:v>
      </x:c>
      <x:c r="I11" s="93" t="n">
        <x:v>29.69</x:v>
      </x:c>
      <x:c r="J11" s="85" t="str">
        <x:v>Ativo</x:v>
      </x:c>
    </x:row>
    <x:row r="12">
      <x:c r="A12" s="83" t="n">
        <x:v>11</x:v>
      </x:c>
      <x:c r="B12" s="84" t="str">
        <x:v>M0011</x:v>
      </x:c>
      <x:c r="C12" s="84" t="str">
        <x:v>Katia Silva</x:v>
      </x:c>
      <x:c r="D12" s="84" t="str">
        <x:v>Instrumentação</x:v>
      </x:c>
      <x:c r="E12" s="84" t="str">
        <x:v>Técnico de Manutenção</x:v>
      </x:c>
      <x:c r="F12" s="84" t="str">
        <x:v>Equipe C</x:v>
      </x:c>
      <x:c r="G12" s="84" t="str">
        <x:v>1º Turno</x:v>
      </x:c>
      <x:c r="H12" s="84" t="n">
        <x:v>1</x:v>
      </x:c>
      <x:c r="I12" s="93" t="n">
        <x:v>41.68</x:v>
      </x:c>
      <x:c r="J12" s="85" t="str">
        <x:v>Ativo</x:v>
      </x:c>
    </x:row>
    <x:row r="13">
      <x:c r="A13" s="83" t="n">
        <x:v>12</x:v>
      </x:c>
      <x:c r="B13" s="84" t="str">
        <x:v>M0012</x:v>
      </x:c>
      <x:c r="C13" s="84" t="str">
        <x:v>Katia Lima</x:v>
      </x:c>
      <x:c r="D13" s="84" t="str">
        <x:v>Automação</x:v>
      </x:c>
      <x:c r="E13" s="84" t="str">
        <x:v>Técnico de Manutenção</x:v>
      </x:c>
      <x:c r="F13" s="84" t="str">
        <x:v>Equipe A</x:v>
      </x:c>
      <x:c r="G13" s="84" t="str">
        <x:v>2º Turno</x:v>
      </x:c>
      <x:c r="H13" s="84" t="n">
        <x:v>3</x:v>
      </x:c>
      <x:c r="I13" s="93" t="n">
        <x:v>34.5</x:v>
      </x:c>
      <x:c r="J13" s="85" t="str">
        <x:v>Ativo</x:v>
      </x:c>
    </x:row>
    <x:row r="14">
      <x:c r="A14" s="83" t="n">
        <x:v>13</x:v>
      </x:c>
      <x:c r="B14" s="84" t="str">
        <x:v>M0013</x:v>
      </x:c>
      <x:c r="C14" s="84" t="str">
        <x:v>Elias Silva</x:v>
      </x:c>
      <x:c r="D14" s="84" t="str">
        <x:v>Instrumentação</x:v>
      </x:c>
      <x:c r="E14" s="84" t="str">
        <x:v>Técnico de Manutenção</x:v>
      </x:c>
      <x:c r="F14" s="84" t="str">
        <x:v>Equipe A</x:v>
      </x:c>
      <x:c r="G14" s="84" t="str">
        <x:v>2º Turno</x:v>
      </x:c>
      <x:c r="H14" s="84" t="n">
        <x:v>2</x:v>
      </x:c>
      <x:c r="I14" s="93" t="n">
        <x:v>33.88</x:v>
      </x:c>
      <x:c r="J14" s="85" t="str">
        <x:v>Ativo</x:v>
      </x:c>
    </x:row>
    <x:row r="15">
      <x:c r="A15" s="83" t="n">
        <x:v>14</x:v>
      </x:c>
      <x:c r="B15" s="84" t="str">
        <x:v>M0014</x:v>
      </x:c>
      <x:c r="C15" s="84" t="str">
        <x:v>Igor Ferreira</x:v>
      </x:c>
      <x:c r="D15" s="84" t="str">
        <x:v>Automação</x:v>
      </x:c>
      <x:c r="E15" s="84" t="str">
        <x:v>Técnico de Manutenção</x:v>
      </x:c>
      <x:c r="F15" s="84" t="str">
        <x:v>Equipe C</x:v>
      </x:c>
      <x:c r="G15" s="84" t="str">
        <x:v>2º Turno</x:v>
      </x:c>
      <x:c r="H15" s="84" t="n">
        <x:v>2</x:v>
      </x:c>
      <x:c r="I15" s="93" t="n">
        <x:v>56.66</x:v>
      </x:c>
      <x:c r="J15" s="85" t="str">
        <x:v>Ativo</x:v>
      </x:c>
    </x:row>
    <x:row r="16">
      <x:c r="A16" s="83" t="n">
        <x:v>15</x:v>
      </x:c>
      <x:c r="B16" s="84" t="str">
        <x:v>M0015</x:v>
      </x:c>
      <x:c r="C16" s="84" t="str">
        <x:v>Igor Pereira</x:v>
      </x:c>
      <x:c r="D16" s="84" t="str">
        <x:v>Automação</x:v>
      </x:c>
      <x:c r="E16" s="84" t="str">
        <x:v>Técnico de Manutenção</x:v>
      </x:c>
      <x:c r="F16" s="84" t="str">
        <x:v>Equipe C</x:v>
      </x:c>
      <x:c r="G16" s="84" t="str">
        <x:v>3º Turno</x:v>
      </x:c>
      <x:c r="H16" s="84" t="n">
        <x:v>2</x:v>
      </x:c>
      <x:c r="I16" s="93" t="n">
        <x:v>30.24</x:v>
      </x:c>
      <x:c r="J16" s="85" t="str">
        <x:v>Ativo</x:v>
      </x:c>
    </x:row>
    <x:row r="17">
      <x:c r="A17" s="83" t="n">
        <x:v>16</x:v>
      </x:c>
      <x:c r="B17" s="84" t="str">
        <x:v>M0016</x:v>
      </x:c>
      <x:c r="C17" s="84" t="str">
        <x:v>Fernanda Ferreira</x:v>
      </x:c>
      <x:c r="D17" s="84" t="str">
        <x:v>Elétrica</x:v>
      </x:c>
      <x:c r="E17" s="84" t="str">
        <x:v>Técnico de Manutenção</x:v>
      </x:c>
      <x:c r="F17" s="84" t="str">
        <x:v>Equipe A</x:v>
      </x:c>
      <x:c r="G17" s="84" t="str">
        <x:v>3º Turno</x:v>
      </x:c>
      <x:c r="H17" s="84" t="n">
        <x:v>1</x:v>
      </x:c>
      <x:c r="I17" s="93" t="n">
        <x:v>40.52</x:v>
      </x:c>
      <x:c r="J17" s="85" t="str">
        <x:v>Ativo</x:v>
      </x:c>
    </x:row>
    <x:row r="18">
      <x:c r="A18" s="83" t="n">
        <x:v>17</x:v>
      </x:c>
      <x:c r="B18" s="84" t="str">
        <x:v>M0017</x:v>
      </x:c>
      <x:c r="C18" s="84" t="str">
        <x:v>Gustavo Costa</x:v>
      </x:c>
      <x:c r="D18" s="84" t="str">
        <x:v>Mecânica</x:v>
      </x:c>
      <x:c r="E18" s="84" t="str">
        <x:v>Técnico de Manutenção</x:v>
      </x:c>
      <x:c r="F18" s="84" t="str">
        <x:v>Equipe A</x:v>
      </x:c>
      <x:c r="G18" s="84" t="str">
        <x:v>2º Turno</x:v>
      </x:c>
      <x:c r="H18" s="84" t="n">
        <x:v>2</x:v>
      </x:c>
      <x:c r="I18" s="93" t="n">
        <x:v>55.78</x:v>
      </x:c>
      <x:c r="J18" s="85" t="str">
        <x:v>Ativo</x:v>
      </x:c>
    </x:row>
    <x:row r="19">
      <x:c r="A19" s="83" t="n">
        <x:v>18</x:v>
      </x:c>
      <x:c r="B19" s="84" t="str">
        <x:v>M0018</x:v>
      </x:c>
      <x:c r="C19" s="84" t="str">
        <x:v>Fernanda Costa</x:v>
      </x:c>
      <x:c r="D19" s="84" t="str">
        <x:v>Elétrica</x:v>
      </x:c>
      <x:c r="E19" s="84" t="str">
        <x:v>Técnico de Manutenção</x:v>
      </x:c>
      <x:c r="F19" s="84" t="str">
        <x:v>Equipe B</x:v>
      </x:c>
      <x:c r="G19" s="84" t="str">
        <x:v>3º Turno</x:v>
      </x:c>
      <x:c r="H19" s="84" t="n">
        <x:v>3</x:v>
      </x:c>
      <x:c r="I19" s="93" t="n">
        <x:v>63.09</x:v>
      </x:c>
      <x:c r="J19" s="85" t="str">
        <x:v>Ativo</x:v>
      </x:c>
    </x:row>
    <x:row r="20">
      <x:c r="A20" s="83" t="n">
        <x:v>19</x:v>
      </x:c>
      <x:c r="B20" s="84" t="str">
        <x:v>M0019</x:v>
      </x:c>
      <x:c r="C20" s="84" t="str">
        <x:v>Juliana Souza</x:v>
      </x:c>
      <x:c r="D20" s="84" t="str">
        <x:v>Elétrica</x:v>
      </x:c>
      <x:c r="E20" s="84" t="str">
        <x:v>Técnico de Manutenção</x:v>
      </x:c>
      <x:c r="F20" s="84" t="str">
        <x:v>Equipe C</x:v>
      </x:c>
      <x:c r="G20" s="84" t="str">
        <x:v>2º Turno</x:v>
      </x:c>
      <x:c r="H20" s="84" t="n">
        <x:v>3</x:v>
      </x:c>
      <x:c r="I20" s="93" t="n">
        <x:v>46.48</x:v>
      </x:c>
      <x:c r="J20" s="85" t="str">
        <x:v>Ativo</x:v>
      </x:c>
    </x:row>
    <x:row r="21">
      <x:c r="A21" s="83" t="n">
        <x:v>20</x:v>
      </x:c>
      <x:c r="B21" s="84" t="str">
        <x:v>M0020</x:v>
      </x:c>
      <x:c r="C21" s="84" t="str">
        <x:v>Lucas Ferreira</x:v>
      </x:c>
      <x:c r="D21" s="84" t="str">
        <x:v>Mecânica</x:v>
      </x:c>
      <x:c r="E21" s="84" t="str">
        <x:v>Técnico de Manutenção</x:v>
      </x:c>
      <x:c r="F21" s="84" t="str">
        <x:v>Equipe A</x:v>
      </x:c>
      <x:c r="G21" s="84" t="str">
        <x:v>2º Turno</x:v>
      </x:c>
      <x:c r="H21" s="84" t="n">
        <x:v>1</x:v>
      </x:c>
      <x:c r="I21" s="93" t="n">
        <x:v>33.52</x:v>
      </x:c>
      <x:c r="J21" s="85" t="str">
        <x:v>Ativo</x:v>
      </x:c>
    </x:row>
    <x:row r="22">
      <x:c r="A22" s="83" t="n">
        <x:v>21</x:v>
      </x:c>
      <x:c r="B22" s="84" t="str">
        <x:v>M0021</x:v>
      </x:c>
      <x:c r="C22" s="84" t="str">
        <x:v>Diana Pereira</x:v>
      </x:c>
      <x:c r="D22" s="84" t="str">
        <x:v>Mecânica</x:v>
      </x:c>
      <x:c r="E22" s="84" t="str">
        <x:v>Técnico de Manutenção</x:v>
      </x:c>
      <x:c r="F22" s="84" t="str">
        <x:v>Equipe C</x:v>
      </x:c>
      <x:c r="G22" s="84" t="str">
        <x:v>3º Turno</x:v>
      </x:c>
      <x:c r="H22" s="84" t="n">
        <x:v>2</x:v>
      </x:c>
      <x:c r="I22" s="93" t="n">
        <x:v>61.43</x:v>
      </x:c>
      <x:c r="J22" s="85" t="str">
        <x:v>Ativo</x:v>
      </x:c>
    </x:row>
    <x:row r="23">
      <x:c r="A23" s="83" t="n">
        <x:v>22</x:v>
      </x:c>
      <x:c r="B23" s="84" t="str">
        <x:v>M0022</x:v>
      </x:c>
      <x:c r="C23" s="84" t="str">
        <x:v>Helena Costa</x:v>
      </x:c>
      <x:c r="D23" s="84" t="str">
        <x:v>Elétrica</x:v>
      </x:c>
      <x:c r="E23" s="84" t="str">
        <x:v>Técnico de Manutenção</x:v>
      </x:c>
      <x:c r="F23" s="84" t="str">
        <x:v>Equipe B</x:v>
      </x:c>
      <x:c r="G23" s="84" t="str">
        <x:v>3º Turno</x:v>
      </x:c>
      <x:c r="H23" s="84" t="n">
        <x:v>2</x:v>
      </x:c>
      <x:c r="I23" s="93" t="n">
        <x:v>38.46</x:v>
      </x:c>
      <x:c r="J23" s="85" t="str">
        <x:v>Ativo</x:v>
      </x:c>
    </x:row>
    <x:row r="24">
      <x:c r="A24" s="83" t="n">
        <x:v>23</x:v>
      </x:c>
      <x:c r="B24" s="84" t="str">
        <x:v>M0023</x:v>
      </x:c>
      <x:c r="C24" s="84" t="str">
        <x:v>Diana Ferreira</x:v>
      </x:c>
      <x:c r="D24" s="84" t="str">
        <x:v>Automação</x:v>
      </x:c>
      <x:c r="E24" s="84" t="str">
        <x:v>Técnico de Manutenção</x:v>
      </x:c>
      <x:c r="F24" s="84" t="str">
        <x:v>Equipe C</x:v>
      </x:c>
      <x:c r="G24" s="84" t="str">
        <x:v>2º Turno</x:v>
      </x:c>
      <x:c r="H24" s="84" t="n">
        <x:v>2</x:v>
      </x:c>
      <x:c r="I24" s="93" t="n">
        <x:v>43.11</x:v>
      </x:c>
      <x:c r="J24" s="85" t="str">
        <x:v>Ativo</x:v>
      </x:c>
    </x:row>
    <x:row r="25">
      <x:c r="A25" s="83" t="n">
        <x:v>24</x:v>
      </x:c>
      <x:c r="B25" s="84" t="str">
        <x:v>M0024</x:v>
      </x:c>
      <x:c r="C25" s="84" t="str">
        <x:v>Fernanda Silva</x:v>
      </x:c>
      <x:c r="D25" s="84" t="str">
        <x:v>Instrumentação</x:v>
      </x:c>
      <x:c r="E25" s="84" t="str">
        <x:v>Técnico de Manutenção</x:v>
      </x:c>
      <x:c r="F25" s="84" t="str">
        <x:v>Equipe C</x:v>
      </x:c>
      <x:c r="G25" s="84" t="str">
        <x:v>2º Turno</x:v>
      </x:c>
      <x:c r="H25" s="84" t="n">
        <x:v>2</x:v>
      </x:c>
      <x:c r="I25" s="93" t="n">
        <x:v>59.24</x:v>
      </x:c>
      <x:c r="J25" s="85" t="str">
        <x:v>Ativo</x:v>
      </x:c>
    </x:row>
    <x:row r="26">
      <x:c r="A26" s="83" t="n">
        <x:v>25</x:v>
      </x:c>
      <x:c r="B26" s="84" t="str">
        <x:v>M0025</x:v>
      </x:c>
      <x:c r="C26" s="84" t="str">
        <x:v>Caio Pereira</x:v>
      </x:c>
      <x:c r="D26" s="84" t="str">
        <x:v>Elétrica</x:v>
      </x:c>
      <x:c r="E26" s="84" t="str">
        <x:v>Técnico de Manutenção</x:v>
      </x:c>
      <x:c r="F26" s="84" t="str">
        <x:v>Equipe B</x:v>
      </x:c>
      <x:c r="G26" s="84" t="str">
        <x:v>2º Turno</x:v>
      </x:c>
      <x:c r="H26" s="84" t="n">
        <x:v>3</x:v>
      </x:c>
      <x:c r="I26" s="93" t="n">
        <x:v>53.59</x:v>
      </x:c>
      <x:c r="J26" s="85" t="str">
        <x:v>Ativo</x:v>
      </x:c>
    </x:row>
    <x:row r="27">
      <x:c r="A27" s="83" t="n">
        <x:v>26</x:v>
      </x:c>
      <x:c r="B27" s="84" t="str">
        <x:v>M0026</x:v>
      </x:c>
      <x:c r="C27" s="84" t="str">
        <x:v>Katia Almeida</x:v>
      </x:c>
      <x:c r="D27" s="84" t="str">
        <x:v>Instrumentação</x:v>
      </x:c>
      <x:c r="E27" s="84" t="str">
        <x:v>Técnico de Manutenção</x:v>
      </x:c>
      <x:c r="F27" s="84" t="str">
        <x:v>Equipe B</x:v>
      </x:c>
      <x:c r="G27" s="84" t="str">
        <x:v>1º Turno</x:v>
      </x:c>
      <x:c r="H27" s="84" t="n">
        <x:v>2</x:v>
      </x:c>
      <x:c r="I27" s="93" t="n">
        <x:v>39.12</x:v>
      </x:c>
      <x:c r="J27" s="85" t="str">
        <x:v>Ativo</x:v>
      </x:c>
    </x:row>
    <x:row r="28">
      <x:c r="A28" s="83" t="n">
        <x:v>27</x:v>
      </x:c>
      <x:c r="B28" s="84" t="str">
        <x:v>M0027</x:v>
      </x:c>
      <x:c r="C28" s="84" t="str">
        <x:v>Alex Silva</x:v>
      </x:c>
      <x:c r="D28" s="84" t="str">
        <x:v>Instrumentação</x:v>
      </x:c>
      <x:c r="E28" s="84" t="str">
        <x:v>Técnico de Manutenção</x:v>
      </x:c>
      <x:c r="F28" s="84" t="str">
        <x:v>Equipe B</x:v>
      </x:c>
      <x:c r="G28" s="84" t="str">
        <x:v>2º Turno</x:v>
      </x:c>
      <x:c r="H28" s="84" t="n">
        <x:v>2</x:v>
      </x:c>
      <x:c r="I28" s="93" t="n">
        <x:v>60.99</x:v>
      </x:c>
      <x:c r="J28" s="85" t="str">
        <x:v>Ativo</x:v>
      </x:c>
    </x:row>
    <x:row r="29">
      <x:c r="A29" s="83" t="n">
        <x:v>28</x:v>
      </x:c>
      <x:c r="B29" s="84" t="str">
        <x:v>M0028</x:v>
      </x:c>
      <x:c r="C29" s="84" t="str">
        <x:v>Gustavo Ferreira</x:v>
      </x:c>
      <x:c r="D29" s="84" t="str">
        <x:v>Instrumentação</x:v>
      </x:c>
      <x:c r="E29" s="84" t="str">
        <x:v>Técnico de Manutenção</x:v>
      </x:c>
      <x:c r="F29" s="84" t="str">
        <x:v>Equipe A</x:v>
      </x:c>
      <x:c r="G29" s="84" t="str">
        <x:v>1º Turno</x:v>
      </x:c>
      <x:c r="H29" s="84" t="n">
        <x:v>1</x:v>
      </x:c>
      <x:c r="I29" s="93" t="n">
        <x:v>37.62</x:v>
      </x:c>
      <x:c r="J29" s="85" t="str">
        <x:v>Ativo</x:v>
      </x:c>
    </x:row>
    <x:row r="30">
      <x:c r="A30" s="83" t="n">
        <x:v>29</x:v>
      </x:c>
      <x:c r="B30" s="84" t="str">
        <x:v>M0029</x:v>
      </x:c>
      <x:c r="C30" s="84" t="str">
        <x:v>Fernanda Ferreira</x:v>
      </x:c>
      <x:c r="D30" s="84" t="str">
        <x:v>Automação</x:v>
      </x:c>
      <x:c r="E30" s="84" t="str">
        <x:v>Técnico de Manutenção</x:v>
      </x:c>
      <x:c r="F30" s="84" t="str">
        <x:v>Equipe B</x:v>
      </x:c>
      <x:c r="G30" s="84" t="str">
        <x:v>3º Turno</x:v>
      </x:c>
      <x:c r="H30" s="84" t="n">
        <x:v>2</x:v>
      </x:c>
      <x:c r="I30" s="93" t="n">
        <x:v>49.52</x:v>
      </x:c>
      <x:c r="J30" s="85" t="str">
        <x:v>Ativo</x:v>
      </x:c>
    </x:row>
    <x:row r="31">
      <x:c r="A31" s="83" t="n">
        <x:v>30</x:v>
      </x:c>
      <x:c r="B31" s="84" t="str">
        <x:v>M0030</x:v>
      </x:c>
      <x:c r="C31" s="84" t="str">
        <x:v>Elias Souza</x:v>
      </x:c>
      <x:c r="D31" s="84" t="str">
        <x:v>Mecânica</x:v>
      </x:c>
      <x:c r="E31" s="84" t="str">
        <x:v>Técnico de Manutenção</x:v>
      </x:c>
      <x:c r="F31" s="84" t="str">
        <x:v>Equipe C</x:v>
      </x:c>
      <x:c r="G31" s="84" t="str">
        <x:v>2º Turno</x:v>
      </x:c>
      <x:c r="H31" s="84" t="n">
        <x:v>1</x:v>
      </x:c>
      <x:c r="I31" s="93" t="n">
        <x:v>41.41</x:v>
      </x:c>
      <x:c r="J31" s="85" t="str">
        <x:v>Ativo</x:v>
      </x:c>
    </x:row>
    <x:row r="32">
      <x:c r="A32" s="83" t="n">
        <x:v>31</x:v>
      </x:c>
      <x:c r="B32" s="84" t="str">
        <x:v>M0031</x:v>
      </x:c>
      <x:c r="C32" s="84" t="str">
        <x:v>Igor Almeida</x:v>
      </x:c>
      <x:c r="D32" s="84" t="str">
        <x:v>Mecânica</x:v>
      </x:c>
      <x:c r="E32" s="84" t="str">
        <x:v>Técnico de Manutenção</x:v>
      </x:c>
      <x:c r="F32" s="84" t="str">
        <x:v>Equipe C</x:v>
      </x:c>
      <x:c r="G32" s="84" t="str">
        <x:v>1º Turno</x:v>
      </x:c>
      <x:c r="H32" s="84" t="n">
        <x:v>2</x:v>
      </x:c>
      <x:c r="I32" s="93" t="n">
        <x:v>48.9</x:v>
      </x:c>
      <x:c r="J32" s="85" t="str">
        <x:v>Ativo</x:v>
      </x:c>
    </x:row>
    <x:row r="33">
      <x:c r="A33" s="83" t="n">
        <x:v>32</x:v>
      </x:c>
      <x:c r="B33" s="84" t="str">
        <x:v>M0032</x:v>
      </x:c>
      <x:c r="C33" s="84" t="str">
        <x:v>Helena Souza</x:v>
      </x:c>
      <x:c r="D33" s="84" t="str">
        <x:v>Elétrica</x:v>
      </x:c>
      <x:c r="E33" s="84" t="str">
        <x:v>Técnico de Manutenção</x:v>
      </x:c>
      <x:c r="F33" s="84" t="str">
        <x:v>Equipe B</x:v>
      </x:c>
      <x:c r="G33" s="84" t="str">
        <x:v>2º Turno</x:v>
      </x:c>
      <x:c r="H33" s="84" t="n">
        <x:v>3</x:v>
      </x:c>
      <x:c r="I33" s="93" t="n">
        <x:v>43.65</x:v>
      </x:c>
      <x:c r="J33" s="85" t="str">
        <x:v>Ativo</x:v>
      </x:c>
    </x:row>
    <x:row r="34">
      <x:c r="A34" s="83" t="n">
        <x:v>33</x:v>
      </x:c>
      <x:c r="B34" s="84" t="str">
        <x:v>M0033</x:v>
      </x:c>
      <x:c r="C34" s="84" t="str">
        <x:v>Helena Oliveira</x:v>
      </x:c>
      <x:c r="D34" s="84" t="str">
        <x:v>Instrumentação</x:v>
      </x:c>
      <x:c r="E34" s="84" t="str">
        <x:v>Técnico de Manutenção</x:v>
      </x:c>
      <x:c r="F34" s="84" t="str">
        <x:v>Equipe B</x:v>
      </x:c>
      <x:c r="G34" s="84" t="str">
        <x:v>1º Turno</x:v>
      </x:c>
      <x:c r="H34" s="84" t="n">
        <x:v>1</x:v>
      </x:c>
      <x:c r="I34" s="93" t="n">
        <x:v>34.49</x:v>
      </x:c>
      <x:c r="J34" s="85" t="str">
        <x:v>Ativo</x:v>
      </x:c>
    </x:row>
    <x:row r="35">
      <x:c r="A35" s="83" t="n">
        <x:v>34</x:v>
      </x:c>
      <x:c r="B35" s="84" t="str">
        <x:v>M0034</x:v>
      </x:c>
      <x:c r="C35" s="84" t="str">
        <x:v>Alex Costa</x:v>
      </x:c>
      <x:c r="D35" s="84" t="str">
        <x:v>Instrumentação</x:v>
      </x:c>
      <x:c r="E35" s="84" t="str">
        <x:v>Técnico de Manutenção</x:v>
      </x:c>
      <x:c r="F35" s="84" t="str">
        <x:v>Equipe A</x:v>
      </x:c>
      <x:c r="G35" s="84" t="str">
        <x:v>2º Turno</x:v>
      </x:c>
      <x:c r="H35" s="84" t="n">
        <x:v>1</x:v>
      </x:c>
      <x:c r="I35" s="93" t="n">
        <x:v>43.23</x:v>
      </x:c>
      <x:c r="J35" s="85" t="str">
        <x:v>Ativo</x:v>
      </x:c>
    </x:row>
    <x:row r="36">
      <x:c r="A36" s="83" t="n">
        <x:v>35</x:v>
      </x:c>
      <x:c r="B36" s="84" t="str">
        <x:v>M0035</x:v>
      </x:c>
      <x:c r="C36" s="84" t="str">
        <x:v>Helena Lima</x:v>
      </x:c>
      <x:c r="D36" s="84" t="str">
        <x:v>Elétrica</x:v>
      </x:c>
      <x:c r="E36" s="84" t="str">
        <x:v>Técnico de Manutenção</x:v>
      </x:c>
      <x:c r="F36" s="84" t="str">
        <x:v>Equipe B</x:v>
      </x:c>
      <x:c r="G36" s="84" t="str">
        <x:v>1º Turno</x:v>
      </x:c>
      <x:c r="H36" s="84" t="n">
        <x:v>2</x:v>
      </x:c>
      <x:c r="I36" s="93" t="n">
        <x:v>49.19</x:v>
      </x:c>
      <x:c r="J36" s="85" t="str">
        <x:v>Ativo</x:v>
      </x:c>
    </x:row>
    <x:row r="37">
      <x:c r="A37" s="83" t="n">
        <x:v>36</x:v>
      </x:c>
      <x:c r="B37" s="84" t="str">
        <x:v>M0036</x:v>
      </x:c>
      <x:c r="C37" s="84" t="str">
        <x:v>Katia Costa</x:v>
      </x:c>
      <x:c r="D37" s="84" t="str">
        <x:v>Elétrica</x:v>
      </x:c>
      <x:c r="E37" s="84" t="str">
        <x:v>Técnico de Manutenção</x:v>
      </x:c>
      <x:c r="F37" s="84" t="str">
        <x:v>Equipe C</x:v>
      </x:c>
      <x:c r="G37" s="84" t="str">
        <x:v>1º Turno</x:v>
      </x:c>
      <x:c r="H37" s="84" t="n">
        <x:v>3</x:v>
      </x:c>
      <x:c r="I37" s="93" t="n">
        <x:v>29.66</x:v>
      </x:c>
      <x:c r="J37" s="85" t="str">
        <x:v>Ativo</x:v>
      </x:c>
    </x:row>
    <x:row r="38">
      <x:c r="A38" s="83" t="n">
        <x:v>37</x:v>
      </x:c>
      <x:c r="B38" s="84" t="str">
        <x:v>M0037</x:v>
      </x:c>
      <x:c r="C38" s="84" t="str">
        <x:v>Alex Costa</x:v>
      </x:c>
      <x:c r="D38" s="84" t="str">
        <x:v>Elétrica</x:v>
      </x:c>
      <x:c r="E38" s="84" t="str">
        <x:v>Técnico de Manutenção</x:v>
      </x:c>
      <x:c r="F38" s="84" t="str">
        <x:v>Equipe C</x:v>
      </x:c>
      <x:c r="G38" s="84" t="str">
        <x:v>2º Turno</x:v>
      </x:c>
      <x:c r="H38" s="84" t="n">
        <x:v>3</x:v>
      </x:c>
      <x:c r="I38" s="93" t="n">
        <x:v>58.97</x:v>
      </x:c>
      <x:c r="J38" s="85" t="str">
        <x:v>Ativo</x:v>
      </x:c>
    </x:row>
    <x:row r="39">
      <x:c r="A39" s="83" t="n">
        <x:v>38</x:v>
      </x:c>
      <x:c r="B39" s="84" t="str">
        <x:v>M0038</x:v>
      </x:c>
      <x:c r="C39" s="84" t="str">
        <x:v>Elias Ferreira</x:v>
      </x:c>
      <x:c r="D39" s="84" t="str">
        <x:v>Automação</x:v>
      </x:c>
      <x:c r="E39" s="84" t="str">
        <x:v>Técnico de Manutenção</x:v>
      </x:c>
      <x:c r="F39" s="84" t="str">
        <x:v>Equipe C</x:v>
      </x:c>
      <x:c r="G39" s="84" t="str">
        <x:v>1º Turno</x:v>
      </x:c>
      <x:c r="H39" s="84" t="n">
        <x:v>2</x:v>
      </x:c>
      <x:c r="I39" s="93" t="n">
        <x:v>33.67</x:v>
      </x:c>
      <x:c r="J39" s="85" t="str">
        <x:v>Ativo</x:v>
      </x:c>
    </x:row>
    <x:row r="40">
      <x:c r="A40" s="83" t="n">
        <x:v>39</x:v>
      </x:c>
      <x:c r="B40" s="84" t="str">
        <x:v>M0039</x:v>
      </x:c>
      <x:c r="C40" s="84" t="str">
        <x:v>Elias Almeida</x:v>
      </x:c>
      <x:c r="D40" s="84" t="str">
        <x:v>Mecânica</x:v>
      </x:c>
      <x:c r="E40" s="84" t="str">
        <x:v>Técnico de Manutenção</x:v>
      </x:c>
      <x:c r="F40" s="84" t="str">
        <x:v>Equipe B</x:v>
      </x:c>
      <x:c r="G40" s="84" t="str">
        <x:v>1º Turno</x:v>
      </x:c>
      <x:c r="H40" s="84" t="n">
        <x:v>2</x:v>
      </x:c>
      <x:c r="I40" s="93" t="n">
        <x:v>57.9</x:v>
      </x:c>
      <x:c r="J40" s="85" t="str">
        <x:v>Ativo</x:v>
      </x:c>
    </x:row>
    <x:row r="41">
      <x:c r="A41" s="83" t="n">
        <x:v>40</x:v>
      </x:c>
      <x:c r="B41" s="84" t="str">
        <x:v>M0040</x:v>
      </x:c>
      <x:c r="C41" s="84" t="str">
        <x:v>Bruna Ferreira</x:v>
      </x:c>
      <x:c r="D41" s="84" t="str">
        <x:v>Automação</x:v>
      </x:c>
      <x:c r="E41" s="84" t="str">
        <x:v>Técnico de Manutenção</x:v>
      </x:c>
      <x:c r="F41" s="84" t="str">
        <x:v>Equipe C</x:v>
      </x:c>
      <x:c r="G41" s="84" t="str">
        <x:v>2º Turno</x:v>
      </x:c>
      <x:c r="H41" s="84" t="n">
        <x:v>3</x:v>
      </x:c>
      <x:c r="I41" s="93" t="n">
        <x:v>49.42</x:v>
      </x:c>
      <x:c r="J41" s="85" t="str">
        <x:v>Ativo</x:v>
      </x:c>
    </x:row>
    <x:row r="42">
      <x:c r="A42" s="83" t="n">
        <x:v>41</x:v>
      </x:c>
      <x:c r="B42" s="84" t="str">
        <x:v>M0041</x:v>
      </x:c>
      <x:c r="C42" s="84" t="str">
        <x:v>Bruna Oliveira</x:v>
      </x:c>
      <x:c r="D42" s="84" t="str">
        <x:v>Elétrica</x:v>
      </x:c>
      <x:c r="E42" s="84" t="str">
        <x:v>Técnico de Manutenção</x:v>
      </x:c>
      <x:c r="F42" s="84" t="str">
        <x:v>Equipe C</x:v>
      </x:c>
      <x:c r="G42" s="84" t="str">
        <x:v>1º Turno</x:v>
      </x:c>
      <x:c r="H42" s="84" t="n">
        <x:v>1</x:v>
      </x:c>
      <x:c r="I42" s="93" t="n">
        <x:v>50.58</x:v>
      </x:c>
      <x:c r="J42" s="85" t="str">
        <x:v>Ativo</x:v>
      </x:c>
    </x:row>
    <x:row r="43">
      <x:c r="A43" s="83" t="n">
        <x:v>42</x:v>
      </x:c>
      <x:c r="B43" s="84" t="str">
        <x:v>M0042</x:v>
      </x:c>
      <x:c r="C43" s="84" t="str">
        <x:v>Helena Silva</x:v>
      </x:c>
      <x:c r="D43" s="84" t="str">
        <x:v>Automação</x:v>
      </x:c>
      <x:c r="E43" s="84" t="str">
        <x:v>Técnico de Manutenção</x:v>
      </x:c>
      <x:c r="F43" s="84" t="str">
        <x:v>Equipe C</x:v>
      </x:c>
      <x:c r="G43" s="84" t="str">
        <x:v>1º Turno</x:v>
      </x:c>
      <x:c r="H43" s="84" t="n">
        <x:v>2</x:v>
      </x:c>
      <x:c r="I43" s="93" t="n">
        <x:v>42.18</x:v>
      </x:c>
      <x:c r="J43" s="85" t="str">
        <x:v>Ativo</x:v>
      </x:c>
    </x:row>
    <x:row r="44">
      <x:c r="A44" s="83" t="n">
        <x:v>43</x:v>
      </x:c>
      <x:c r="B44" s="84" t="str">
        <x:v>M0043</x:v>
      </x:c>
      <x:c r="C44" s="84" t="str">
        <x:v>Bruna Costa</x:v>
      </x:c>
      <x:c r="D44" s="84" t="str">
        <x:v>Elétrica</x:v>
      </x:c>
      <x:c r="E44" s="84" t="str">
        <x:v>Técnico de Manutenção</x:v>
      </x:c>
      <x:c r="F44" s="84" t="str">
        <x:v>Equipe C</x:v>
      </x:c>
      <x:c r="G44" s="84" t="str">
        <x:v>1º Turno</x:v>
      </x:c>
      <x:c r="H44" s="84" t="n">
        <x:v>1</x:v>
      </x:c>
      <x:c r="I44" s="93" t="n">
        <x:v>54.66</x:v>
      </x:c>
      <x:c r="J44" s="85" t="str">
        <x:v>Ativo</x:v>
      </x:c>
    </x:row>
    <x:row r="45">
      <x:c r="A45" s="83" t="n">
        <x:v>44</x:v>
      </x:c>
      <x:c r="B45" s="84" t="str">
        <x:v>M0044</x:v>
      </x:c>
      <x:c r="C45" s="84" t="str">
        <x:v>Alex Costa</x:v>
      </x:c>
      <x:c r="D45" s="84" t="str">
        <x:v>Instrumentação</x:v>
      </x:c>
      <x:c r="E45" s="84" t="str">
        <x:v>Técnico de Manutenção</x:v>
      </x:c>
      <x:c r="F45" s="84" t="str">
        <x:v>Equipe A</x:v>
      </x:c>
      <x:c r="G45" s="84" t="str">
        <x:v>1º Turno</x:v>
      </x:c>
      <x:c r="H45" s="84" t="n">
        <x:v>3</x:v>
      </x:c>
      <x:c r="I45" s="93" t="n">
        <x:v>28.04</x:v>
      </x:c>
      <x:c r="J45" s="85" t="str">
        <x:v>Ativo</x:v>
      </x:c>
    </x:row>
    <x:row r="46">
      <x:c r="A46" s="86" t="n">
        <x:v>45</x:v>
      </x:c>
      <x:c r="B46" s="87" t="str">
        <x:v>M0045</x:v>
      </x:c>
      <x:c r="C46" s="87" t="str">
        <x:v>Fernanda Oliveira</x:v>
      </x:c>
      <x:c r="D46" s="87" t="str">
        <x:v>Mecânica</x:v>
      </x:c>
      <x:c r="E46" s="87" t="str">
        <x:v>Técnico de Manutenção</x:v>
      </x:c>
      <x:c r="F46" s="87" t="str">
        <x:v>Equipe B</x:v>
      </x:c>
      <x:c r="G46" s="87" t="str">
        <x:v>1º Turno</x:v>
      </x:c>
      <x:c r="H46" s="87" t="n">
        <x:v>1</x:v>
      </x:c>
      <x:c r="I46" s="94" t="n">
        <x:v>53.57</x:v>
      </x:c>
      <x:c r="J46" s="88" t="str">
        <x:v>Ativo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4.78000020980835" hidden="0" customWidth="1"/>
    <x:col min="3" max="3" width="12.220000267028809" hidden="0" customWidth="1"/>
    <x:col min="4" max="4" width="15" hidden="0" customWidth="1"/>
    <x:col min="5" max="5" width="4.889999866485596" hidden="0" customWidth="1"/>
    <x:col min="6" max="6" width="7.889999866485596" hidden="0" customWidth="1"/>
    <x:col min="7" max="7" width="8" hidden="0" customWidth="1"/>
    <x:col min="8" max="8" width="28" hidden="0" customWidth="1"/>
  </x:cols>
  <x:sheetData>
    <x:row r="1">
      <x:c r="A1" s="80" t="str">
        <x:v>id_apontamento</x:v>
      </x:c>
      <x:c r="B1" s="81" t="str">
        <x:v>id_os</x:v>
      </x:c>
      <x:c r="C1" s="81" t="str">
        <x:v>id_colaborador</x:v>
      </x:c>
      <x:c r="D1" s="81" t="str">
        <x:v>data_apontamento</x:v>
      </x:c>
      <x:c r="E1" s="81" t="str">
        <x:v>horas</x:v>
      </x:c>
      <x:c r="F1" s="81" t="str">
        <x:v>tipo_hora</x:v>
      </x:c>
      <x:c r="G1" s="81" t="str">
        <x:v>custo</x:v>
      </x:c>
      <x:c r="H1" s="82" t="str">
        <x:v>atividade</x:v>
      </x:c>
    </x:row>
    <x:row r="2">
      <x:c r="A2" s="83" t="n">
        <x:v>1</x:v>
      </x:c>
      <x:c r="B2" s="84" t="n">
        <x:v>1</x:v>
      </x:c>
      <x:c r="C2" s="84" t="n">
        <x:v>23</x:v>
      </x:c>
      <x:c r="D2" s="89" t="n">
        <x:v>45599</x:v>
      </x:c>
      <x:c r="E2" s="84" t="n">
        <x:v>5.3</x:v>
      </x:c>
      <x:c r="F2" s="84" t="str">
        <x:v>Normal</x:v>
      </x:c>
      <x:c r="G2" s="93" t="n">
        <x:v>228.48</x:v>
      </x:c>
      <x:c r="H2" s="85" t="str">
        <x:v>Diagnóstico e execução</x:v>
      </x:c>
    </x:row>
    <x:row r="3">
      <x:c r="A3" s="83" t="n">
        <x:v>2</x:v>
      </x:c>
      <x:c r="B3" s="84" t="n">
        <x:v>2</x:v>
      </x:c>
      <x:c r="C3" s="84" t="n">
        <x:v>36</x:v>
      </x:c>
      <x:c r="D3" s="89" t="n">
        <x:v>44989</x:v>
      </x:c>
      <x:c r="E3" s="84" t="n">
        <x:v>0.5</x:v>
      </x:c>
      <x:c r="F3" s="84" t="str">
        <x:v>Normal</x:v>
      </x:c>
      <x:c r="G3" s="93" t="n">
        <x:v>14.83</x:v>
      </x:c>
      <x:c r="H3" s="85" t="str">
        <x:v>Diagnóstico e execução</x:v>
      </x:c>
    </x:row>
    <x:row r="4">
      <x:c r="A4" s="83" t="n">
        <x:v>3</x:v>
      </x:c>
      <x:c r="B4" s="84" t="n">
        <x:v>2</x:v>
      </x:c>
      <x:c r="C4" s="84" t="n">
        <x:v>24</x:v>
      </x:c>
      <x:c r="D4" s="89" t="n">
        <x:v>44989</x:v>
      </x:c>
      <x:c r="E4" s="84" t="n">
        <x:v>5.8</x:v>
      </x:c>
      <x:c r="F4" s="84" t="str">
        <x:v>Normal</x:v>
      </x:c>
      <x:c r="G4" s="93" t="n">
        <x:v>343.59</x:v>
      </x:c>
      <x:c r="H4" s="85" t="str">
        <x:v>Diagnóstico e execução</x:v>
      </x:c>
    </x:row>
    <x:row r="5">
      <x:c r="A5" s="83" t="n">
        <x:v>4</x:v>
      </x:c>
      <x:c r="B5" s="84" t="n">
        <x:v>3</x:v>
      </x:c>
      <x:c r="C5" s="84" t="n">
        <x:v>8</x:v>
      </x:c>
      <x:c r="D5" s="89" t="n">
        <x:v>45664</x:v>
      </x:c>
      <x:c r="E5" s="84" t="n">
        <x:v>2.7</x:v>
      </x:c>
      <x:c r="F5" s="84" t="str">
        <x:v>Normal</x:v>
      </x:c>
      <x:c r="G5" s="93" t="n">
        <x:v>125.55</x:v>
      </x:c>
      <x:c r="H5" s="85" t="str">
        <x:v>Diagnóstico e execução</x:v>
      </x:c>
    </x:row>
    <x:row r="6">
      <x:c r="A6" s="83" t="n">
        <x:v>5</x:v>
      </x:c>
      <x:c r="B6" s="84" t="n">
        <x:v>3</x:v>
      </x:c>
      <x:c r="C6" s="84" t="n">
        <x:v>13</x:v>
      </x:c>
      <x:c r="D6" s="89" t="n">
        <x:v>45664</x:v>
      </x:c>
      <x:c r="E6" s="84" t="n">
        <x:v>1.5</x:v>
      </x:c>
      <x:c r="F6" s="84" t="str">
        <x:v>Normal</x:v>
      </x:c>
      <x:c r="G6" s="93" t="n">
        <x:v>50.82</x:v>
      </x:c>
      <x:c r="H6" s="85" t="str">
        <x:v>Diagnóstico e execução</x:v>
      </x:c>
    </x:row>
    <x:row r="7">
      <x:c r="A7" s="83" t="n">
        <x:v>6</x:v>
      </x:c>
      <x:c r="B7" s="84" t="n">
        <x:v>4</x:v>
      </x:c>
      <x:c r="C7" s="84" t="n">
        <x:v>15</x:v>
      </x:c>
      <x:c r="D7" s="89" t="n">
        <x:v>45522</x:v>
      </x:c>
      <x:c r="E7" s="84" t="n">
        <x:v>7.7</x:v>
      </x:c>
      <x:c r="F7" s="84" t="str">
        <x:v>Normal</x:v>
      </x:c>
      <x:c r="G7" s="93" t="n">
        <x:v>232.85</x:v>
      </x:c>
      <x:c r="H7" s="85" t="str">
        <x:v>Diagnóstico e execução</x:v>
      </x:c>
    </x:row>
    <x:row r="8">
      <x:c r="A8" s="83" t="n">
        <x:v>7</x:v>
      </x:c>
      <x:c r="B8" s="84" t="n">
        <x:v>4</x:v>
      </x:c>
      <x:c r="C8" s="84" t="n">
        <x:v>34</x:v>
      </x:c>
      <x:c r="D8" s="89" t="n">
        <x:v>45522</x:v>
      </x:c>
      <x:c r="E8" s="84" t="n">
        <x:v>4.3</x:v>
      </x:c>
      <x:c r="F8" s="84" t="str">
        <x:v>Normal</x:v>
      </x:c>
      <x:c r="G8" s="93" t="n">
        <x:v>185.89</x:v>
      </x:c>
      <x:c r="H8" s="85" t="str">
        <x:v>Diagnóstico e execução</x:v>
      </x:c>
    </x:row>
    <x:row r="9">
      <x:c r="A9" s="83" t="n">
        <x:v>8</x:v>
      </x:c>
      <x:c r="B9" s="84" t="n">
        <x:v>4</x:v>
      </x:c>
      <x:c r="C9" s="84" t="n">
        <x:v>9</x:v>
      </x:c>
      <x:c r="D9" s="89" t="n">
        <x:v>45522</x:v>
      </x:c>
      <x:c r="E9" s="84" t="n">
        <x:v>5.6</x:v>
      </x:c>
      <x:c r="F9" s="84" t="str">
        <x:v>Normal</x:v>
      </x:c>
      <x:c r="G9" s="93" t="n">
        <x:v>294.95</x:v>
      </x:c>
      <x:c r="H9" s="85" t="str">
        <x:v>Diagnóstico e execução</x:v>
      </x:c>
    </x:row>
    <x:row r="10">
      <x:c r="A10" s="83" t="n">
        <x:v>9</x:v>
      </x:c>
      <x:c r="B10" s="84" t="n">
        <x:v>7</x:v>
      </x:c>
      <x:c r="C10" s="84" t="n">
        <x:v>15</x:v>
      </x:c>
      <x:c r="D10" s="89" t="n">
        <x:v>45515</x:v>
      </x:c>
      <x:c r="E10" s="84" t="n">
        <x:v>2.7</x:v>
      </x:c>
      <x:c r="F10" s="84" t="str">
        <x:v>Normal</x:v>
      </x:c>
      <x:c r="G10" s="93" t="n">
        <x:v>81.65</x:v>
      </x:c>
      <x:c r="H10" s="85" t="str">
        <x:v>Diagnóstico e execução</x:v>
      </x:c>
    </x:row>
    <x:row r="11">
      <x:c r="A11" s="83" t="n">
        <x:v>10</x:v>
      </x:c>
      <x:c r="B11" s="84" t="n">
        <x:v>9</x:v>
      </x:c>
      <x:c r="C11" s="84" t="n">
        <x:v>30</x:v>
      </x:c>
      <x:c r="D11" s="89" t="n">
        <x:v>45186</x:v>
      </x:c>
      <x:c r="E11" s="84" t="n">
        <x:v>6.7</x:v>
      </x:c>
      <x:c r="F11" s="84" t="str">
        <x:v>Normal</x:v>
      </x:c>
      <x:c r="G11" s="93" t="n">
        <x:v>277.45</x:v>
      </x:c>
      <x:c r="H11" s="85" t="str">
        <x:v>Diagnóstico e execução</x:v>
      </x:c>
    </x:row>
    <x:row r="12">
      <x:c r="A12" s="83" t="n">
        <x:v>11</x:v>
      </x:c>
      <x:c r="B12" s="84" t="n">
        <x:v>9</x:v>
      </x:c>
      <x:c r="C12" s="84" t="n">
        <x:v>41</x:v>
      </x:c>
      <x:c r="D12" s="89" t="n">
        <x:v>45186</x:v>
      </x:c>
      <x:c r="E12" s="84" t="n">
        <x:v>2.4</x:v>
      </x:c>
      <x:c r="F12" s="84" t="str">
        <x:v>Normal</x:v>
      </x:c>
      <x:c r="G12" s="93" t="n">
        <x:v>121.39</x:v>
      </x:c>
      <x:c r="H12" s="85" t="str">
        <x:v>Diagnóstico e execução</x:v>
      </x:c>
    </x:row>
    <x:row r="13">
      <x:c r="A13" s="83" t="n">
        <x:v>12</x:v>
      </x:c>
      <x:c r="B13" s="84" t="n">
        <x:v>10</x:v>
      </x:c>
      <x:c r="C13" s="84" t="n">
        <x:v>26</x:v>
      </x:c>
      <x:c r="D13" s="89" t="n">
        <x:v>45496</x:v>
      </x:c>
      <x:c r="E13" s="84" t="n">
        <x:v>6.6</x:v>
      </x:c>
      <x:c r="F13" s="84" t="str">
        <x:v>Normal</x:v>
      </x:c>
      <x:c r="G13" s="93" t="n">
        <x:v>258.19</x:v>
      </x:c>
      <x:c r="H13" s="85" t="str">
        <x:v>Diagnóstico e execução</x:v>
      </x:c>
    </x:row>
    <x:row r="14">
      <x:c r="A14" s="83" t="n">
        <x:v>13</x:v>
      </x:c>
      <x:c r="B14" s="84" t="n">
        <x:v>10</x:v>
      </x:c>
      <x:c r="C14" s="84" t="n">
        <x:v>18</x:v>
      </x:c>
      <x:c r="D14" s="89" t="n">
        <x:v>45496</x:v>
      </x:c>
      <x:c r="E14" s="84" t="n">
        <x:v>4.9</x:v>
      </x:c>
      <x:c r="F14" s="84" t="str">
        <x:v>Normal</x:v>
      </x:c>
      <x:c r="G14" s="93" t="n">
        <x:v>309.14</x:v>
      </x:c>
      <x:c r="H14" s="85" t="str">
        <x:v>Diagnóstico e execução</x:v>
      </x:c>
    </x:row>
    <x:row r="15">
      <x:c r="A15" s="83" t="n">
        <x:v>14</x:v>
      </x:c>
      <x:c r="B15" s="84" t="n">
        <x:v>11</x:v>
      </x:c>
      <x:c r="C15" s="84" t="n">
        <x:v>38</x:v>
      </x:c>
      <x:c r="D15" s="89" t="n">
        <x:v>45433</x:v>
      </x:c>
      <x:c r="E15" s="84" t="n">
        <x:v>2.2</x:v>
      </x:c>
      <x:c r="F15" s="84" t="str">
        <x:v>Normal</x:v>
      </x:c>
      <x:c r="G15" s="93" t="n">
        <x:v>74.07</x:v>
      </x:c>
      <x:c r="H15" s="85" t="str">
        <x:v>Diagnóstico e execução</x:v>
      </x:c>
    </x:row>
    <x:row r="16">
      <x:c r="A16" s="83" t="n">
        <x:v>15</x:v>
      </x:c>
      <x:c r="B16" s="84" t="n">
        <x:v>12</x:v>
      </x:c>
      <x:c r="C16" s="84" t="n">
        <x:v>38</x:v>
      </x:c>
      <x:c r="D16" s="89" t="n">
        <x:v>45631</x:v>
      </x:c>
      <x:c r="E16" s="84" t="n">
        <x:v>4.5</x:v>
      </x:c>
      <x:c r="F16" s="84" t="str">
        <x:v>Normal</x:v>
      </x:c>
      <x:c r="G16" s="93" t="n">
        <x:v>151.52</x:v>
      </x:c>
      <x:c r="H16" s="85" t="str">
        <x:v>Diagnóstico e execução</x:v>
      </x:c>
    </x:row>
    <x:row r="17">
      <x:c r="A17" s="83" t="n">
        <x:v>16</x:v>
      </x:c>
      <x:c r="B17" s="84" t="n">
        <x:v>13</x:v>
      </x:c>
      <x:c r="C17" s="84" t="n">
        <x:v>1</x:v>
      </x:c>
      <x:c r="D17" s="89" t="n">
        <x:v>45279</x:v>
      </x:c>
      <x:c r="E17" s="84" t="n">
        <x:v>1.2</x:v>
      </x:c>
      <x:c r="F17" s="84" t="str">
        <x:v>Normal</x:v>
      </x:c>
      <x:c r="G17" s="93" t="n">
        <x:v>42.44</x:v>
      </x:c>
      <x:c r="H17" s="85" t="str">
        <x:v>Diagnóstico e execução</x:v>
      </x:c>
    </x:row>
    <x:row r="18">
      <x:c r="A18" s="83" t="n">
        <x:v>17</x:v>
      </x:c>
      <x:c r="B18" s="84" t="n">
        <x:v>13</x:v>
      </x:c>
      <x:c r="C18" s="84" t="n">
        <x:v>23</x:v>
      </x:c>
      <x:c r="D18" s="89" t="n">
        <x:v>45279</x:v>
      </x:c>
      <x:c r="E18" s="84" t="n">
        <x:v>1.1</x:v>
      </x:c>
      <x:c r="F18" s="84" t="str">
        <x:v>Normal</x:v>
      </x:c>
      <x:c r="G18" s="93" t="n">
        <x:v>47.42</x:v>
      </x:c>
      <x:c r="H18" s="85" t="str">
        <x:v>Diagnóstico e execução</x:v>
      </x:c>
    </x:row>
    <x:row r="19">
      <x:c r="A19" s="83" t="n">
        <x:v>18</x:v>
      </x:c>
      <x:c r="B19" s="84" t="n">
        <x:v>14</x:v>
      </x:c>
      <x:c r="C19" s="84" t="n">
        <x:v>33</x:v>
      </x:c>
      <x:c r="D19" s="89" t="n">
        <x:v>45990</x:v>
      </x:c>
      <x:c r="E19" s="84" t="n">
        <x:v>4.9</x:v>
      </x:c>
      <x:c r="F19" s="84" t="str">
        <x:v>Normal</x:v>
      </x:c>
      <x:c r="G19" s="93" t="n">
        <x:v>169</x:v>
      </x:c>
      <x:c r="H19" s="85" t="str">
        <x:v>Diagnóstico e execução</x:v>
      </x:c>
    </x:row>
    <x:row r="20">
      <x:c r="A20" s="83" t="n">
        <x:v>19</x:v>
      </x:c>
      <x:c r="B20" s="84" t="n">
        <x:v>14</x:v>
      </x:c>
      <x:c r="C20" s="84" t="n">
        <x:v>12</x:v>
      </x:c>
      <x:c r="D20" s="89" t="n">
        <x:v>45990</x:v>
      </x:c>
      <x:c r="E20" s="84" t="n">
        <x:v>2.5</x:v>
      </x:c>
      <x:c r="F20" s="84" t="str">
        <x:v>Normal</x:v>
      </x:c>
      <x:c r="G20" s="93" t="n">
        <x:v>86.25</x:v>
      </x:c>
      <x:c r="H20" s="85" t="str">
        <x:v>Diagnóstico e execução</x:v>
      </x:c>
    </x:row>
    <x:row r="21">
      <x:c r="A21" s="83" t="n">
        <x:v>20</x:v>
      </x:c>
      <x:c r="B21" s="84" t="n">
        <x:v>14</x:v>
      </x:c>
      <x:c r="C21" s="84" t="n">
        <x:v>16</x:v>
      </x:c>
      <x:c r="D21" s="89" t="n">
        <x:v>45990</x:v>
      </x:c>
      <x:c r="E21" s="84" t="n">
        <x:v>4.7</x:v>
      </x:c>
      <x:c r="F21" s="84" t="str">
        <x:v>Normal</x:v>
      </x:c>
      <x:c r="G21" s="93" t="n">
        <x:v>190.44</x:v>
      </x:c>
      <x:c r="H21" s="85" t="str">
        <x:v>Diagnóstico e execução</x:v>
      </x:c>
    </x:row>
    <x:row r="22">
      <x:c r="A22" s="83" t="n">
        <x:v>21</x:v>
      </x:c>
      <x:c r="B22" s="84" t="n">
        <x:v>15</x:v>
      </x:c>
      <x:c r="C22" s="84" t="n">
        <x:v>21</x:v>
      </x:c>
      <x:c r="D22" s="89" t="n">
        <x:v>45198</x:v>
      </x:c>
      <x:c r="E22" s="84" t="n">
        <x:v>4.2</x:v>
      </x:c>
      <x:c r="F22" s="84" t="str">
        <x:v>Normal</x:v>
      </x:c>
      <x:c r="G22" s="93" t="n">
        <x:v>258.01</x:v>
      </x:c>
      <x:c r="H22" s="85" t="str">
        <x:v>Diagnóstico e execução</x:v>
      </x:c>
    </x:row>
    <x:row r="23">
      <x:c r="A23" s="83" t="n">
        <x:v>22</x:v>
      </x:c>
      <x:c r="B23" s="84" t="n">
        <x:v>15</x:v>
      </x:c>
      <x:c r="C23" s="84" t="n">
        <x:v>41</x:v>
      </x:c>
      <x:c r="D23" s="89" t="n">
        <x:v>45198</x:v>
      </x:c>
      <x:c r="E23" s="84" t="n">
        <x:v>5.5</x:v>
      </x:c>
      <x:c r="F23" s="84" t="str">
        <x:v>Normal</x:v>
      </x:c>
      <x:c r="G23" s="93" t="n">
        <x:v>278.19</x:v>
      </x:c>
      <x:c r="H23" s="85" t="str">
        <x:v>Diagnóstico e execução</x:v>
      </x:c>
    </x:row>
    <x:row r="24">
      <x:c r="A24" s="83" t="n">
        <x:v>23</x:v>
      </x:c>
      <x:c r="B24" s="84" t="n">
        <x:v>16</x:v>
      </x:c>
      <x:c r="C24" s="84" t="n">
        <x:v>5</x:v>
      </x:c>
      <x:c r="D24" s="89" t="n">
        <x:v>45590</x:v>
      </x:c>
      <x:c r="E24" s="84" t="n">
        <x:v>3.4</x:v>
      </x:c>
      <x:c r="F24" s="84" t="str">
        <x:v>Normal</x:v>
      </x:c>
      <x:c r="G24" s="93" t="n">
        <x:v>97.99</x:v>
      </x:c>
      <x:c r="H24" s="85" t="str">
        <x:v>Diagnóstico e execução</x:v>
      </x:c>
    </x:row>
    <x:row r="25">
      <x:c r="A25" s="83" t="n">
        <x:v>24</x:v>
      </x:c>
      <x:c r="B25" s="84" t="n">
        <x:v>17</x:v>
      </x:c>
      <x:c r="C25" s="84" t="n">
        <x:v>30</x:v>
      </x:c>
      <x:c r="D25" s="89" t="n">
        <x:v>45309</x:v>
      </x:c>
      <x:c r="E25" s="84" t="n">
        <x:v>6.5</x:v>
      </x:c>
      <x:c r="F25" s="84" t="str">
        <x:v>Normal</x:v>
      </x:c>
      <x:c r="G25" s="93" t="n">
        <x:v>269.16</x:v>
      </x:c>
      <x:c r="H25" s="85" t="str">
        <x:v>Diagnóstico e execução</x:v>
      </x:c>
    </x:row>
    <x:row r="26">
      <x:c r="A26" s="83" t="n">
        <x:v>25</x:v>
      </x:c>
      <x:c r="B26" s="84" t="n">
        <x:v>18</x:v>
      </x:c>
      <x:c r="C26" s="84" t="n">
        <x:v>26</x:v>
      </x:c>
      <x:c r="D26" s="89" t="n">
        <x:v>45653</x:v>
      </x:c>
      <x:c r="E26" s="84" t="n">
        <x:v>2.6</x:v>
      </x:c>
      <x:c r="F26" s="84" t="str">
        <x:v>Normal</x:v>
      </x:c>
      <x:c r="G26" s="93" t="n">
        <x:v>101.71</x:v>
      </x:c>
      <x:c r="H26" s="85" t="str">
        <x:v>Diagnóstico e execução</x:v>
      </x:c>
    </x:row>
    <x:row r="27">
      <x:c r="A27" s="83" t="n">
        <x:v>26</x:v>
      </x:c>
      <x:c r="B27" s="84" t="n">
        <x:v>18</x:v>
      </x:c>
      <x:c r="C27" s="84" t="n">
        <x:v>13</x:v>
      </x:c>
      <x:c r="D27" s="89" t="n">
        <x:v>45653</x:v>
      </x:c>
      <x:c r="E27" s="84" t="n">
        <x:v>0.9</x:v>
      </x:c>
      <x:c r="F27" s="84" t="str">
        <x:v>Normal</x:v>
      </x:c>
      <x:c r="G27" s="93" t="n">
        <x:v>30.49</x:v>
      </x:c>
      <x:c r="H27" s="85" t="str">
        <x:v>Diagnóstico e execução</x:v>
      </x:c>
    </x:row>
    <x:row r="28">
      <x:c r="A28" s="83" t="n">
        <x:v>27</x:v>
      </x:c>
      <x:c r="B28" s="84" t="n">
        <x:v>18</x:v>
      </x:c>
      <x:c r="C28" s="84" t="n">
        <x:v>8</x:v>
      </x:c>
      <x:c r="D28" s="89" t="n">
        <x:v>45653</x:v>
      </x:c>
      <x:c r="E28" s="84" t="n">
        <x:v>4</x:v>
      </x:c>
      <x:c r="F28" s="84" t="str">
        <x:v>Normal</x:v>
      </x:c>
      <x:c r="G28" s="93" t="n">
        <x:v>186</x:v>
      </x:c>
      <x:c r="H28" s="85" t="str">
        <x:v>Diagnóstico e execução</x:v>
      </x:c>
    </x:row>
    <x:row r="29">
      <x:c r="A29" s="83" t="n">
        <x:v>28</x:v>
      </x:c>
      <x:c r="B29" s="84" t="n">
        <x:v>19</x:v>
      </x:c>
      <x:c r="C29" s="84" t="n">
        <x:v>22</x:v>
      </x:c>
      <x:c r="D29" s="89" t="n">
        <x:v>45902</x:v>
      </x:c>
      <x:c r="E29" s="84" t="n">
        <x:v>4.9</x:v>
      </x:c>
      <x:c r="F29" s="84" t="str">
        <x:v>Normal</x:v>
      </x:c>
      <x:c r="G29" s="93" t="n">
        <x:v>188.45</x:v>
      </x:c>
      <x:c r="H29" s="85" t="str">
        <x:v>Diagnóstico e execução</x:v>
      </x:c>
    </x:row>
    <x:row r="30">
      <x:c r="A30" s="83" t="n">
        <x:v>29</x:v>
      </x:c>
      <x:c r="B30" s="84" t="n">
        <x:v>19</x:v>
      </x:c>
      <x:c r="C30" s="84" t="n">
        <x:v>21</x:v>
      </x:c>
      <x:c r="D30" s="89" t="n">
        <x:v>45902</x:v>
      </x:c>
      <x:c r="E30" s="84" t="n">
        <x:v>7.1</x:v>
      </x:c>
      <x:c r="F30" s="84" t="str">
        <x:v>Normal</x:v>
      </x:c>
      <x:c r="G30" s="93" t="n">
        <x:v>436.15</x:v>
      </x:c>
      <x:c r="H30" s="85" t="str">
        <x:v>Diagnóstico e execução</x:v>
      </x:c>
    </x:row>
    <x:row r="31">
      <x:c r="A31" s="83" t="n">
        <x:v>30</x:v>
      </x:c>
      <x:c r="B31" s="84" t="n">
        <x:v>20</x:v>
      </x:c>
      <x:c r="C31" s="84" t="n">
        <x:v>34</x:v>
      </x:c>
      <x:c r="D31" s="89" t="n">
        <x:v>45211</x:v>
      </x:c>
      <x:c r="E31" s="84" t="n">
        <x:v>7.3</x:v>
      </x:c>
      <x:c r="F31" s="84" t="str">
        <x:v>Normal</x:v>
      </x:c>
      <x:c r="G31" s="93" t="n">
        <x:v>315.58</x:v>
      </x:c>
      <x:c r="H31" s="85" t="str">
        <x:v>Diagnóstico e execução</x:v>
      </x:c>
    </x:row>
    <x:row r="32">
      <x:c r="A32" s="83" t="n">
        <x:v>31</x:v>
      </x:c>
      <x:c r="B32" s="84" t="n">
        <x:v>21</x:v>
      </x:c>
      <x:c r="C32" s="84" t="n">
        <x:v>32</x:v>
      </x:c>
      <x:c r="D32" s="89" t="n">
        <x:v>45155</x:v>
      </x:c>
      <x:c r="E32" s="84" t="n">
        <x:v>6.2</x:v>
      </x:c>
      <x:c r="F32" s="84" t="str">
        <x:v>Normal</x:v>
      </x:c>
      <x:c r="G32" s="93" t="n">
        <x:v>270.63</x:v>
      </x:c>
      <x:c r="H32" s="85" t="str">
        <x:v>Diagnóstico e execução</x:v>
      </x:c>
    </x:row>
    <x:row r="33">
      <x:c r="A33" s="83" t="n">
        <x:v>32</x:v>
      </x:c>
      <x:c r="B33" s="84" t="n">
        <x:v>22</x:v>
      </x:c>
      <x:c r="C33" s="84" t="n">
        <x:v>26</x:v>
      </x:c>
      <x:c r="D33" s="89" t="n">
        <x:v>46000</x:v>
      </x:c>
      <x:c r="E33" s="84" t="n">
        <x:v>1.4</x:v>
      </x:c>
      <x:c r="F33" s="84" t="str">
        <x:v>Normal</x:v>
      </x:c>
      <x:c r="G33" s="93" t="n">
        <x:v>54.77</x:v>
      </x:c>
      <x:c r="H33" s="85" t="str">
        <x:v>Diagnóstico e execução</x:v>
      </x:c>
    </x:row>
    <x:row r="34">
      <x:c r="A34" s="83" t="n">
        <x:v>33</x:v>
      </x:c>
      <x:c r="B34" s="84" t="n">
        <x:v>23</x:v>
      </x:c>
      <x:c r="C34" s="84" t="n">
        <x:v>24</x:v>
      </x:c>
      <x:c r="D34" s="89" t="n">
        <x:v>45408</x:v>
      </x:c>
      <x:c r="E34" s="84" t="n">
        <x:v>2.8</x:v>
      </x:c>
      <x:c r="F34" s="84" t="str">
        <x:v>Normal</x:v>
      </x:c>
      <x:c r="G34" s="93" t="n">
        <x:v>165.87</x:v>
      </x:c>
      <x:c r="H34" s="85" t="str">
        <x:v>Diagnóstico e execução</x:v>
      </x:c>
    </x:row>
    <x:row r="35">
      <x:c r="A35" s="83" t="n">
        <x:v>34</x:v>
      </x:c>
      <x:c r="B35" s="84" t="n">
        <x:v>23</x:v>
      </x:c>
      <x:c r="C35" s="84" t="n">
        <x:v>11</x:v>
      </x:c>
      <x:c r="D35" s="89" t="n">
        <x:v>45408</x:v>
      </x:c>
      <x:c r="E35" s="84" t="n">
        <x:v>1</x:v>
      </x:c>
      <x:c r="F35" s="84" t="str">
        <x:v>Normal</x:v>
      </x:c>
      <x:c r="G35" s="93" t="n">
        <x:v>41.68</x:v>
      </x:c>
      <x:c r="H35" s="85" t="str">
        <x:v>Diagnóstico e execução</x:v>
      </x:c>
    </x:row>
    <x:row r="36">
      <x:c r="A36" s="83" t="n">
        <x:v>35</x:v>
      </x:c>
      <x:c r="B36" s="84" t="n">
        <x:v>23</x:v>
      </x:c>
      <x:c r="C36" s="84" t="n">
        <x:v>24</x:v>
      </x:c>
      <x:c r="D36" s="89" t="n">
        <x:v>45408</x:v>
      </x:c>
      <x:c r="E36" s="84" t="n">
        <x:v>4.9</x:v>
      </x:c>
      <x:c r="F36" s="84" t="str">
        <x:v>Normal</x:v>
      </x:c>
      <x:c r="G36" s="93" t="n">
        <x:v>290.28</x:v>
      </x:c>
      <x:c r="H36" s="85" t="str">
        <x:v>Diagnóstico e execução</x:v>
      </x:c>
    </x:row>
    <x:row r="37">
      <x:c r="A37" s="83" t="n">
        <x:v>36</x:v>
      </x:c>
      <x:c r="B37" s="84" t="n">
        <x:v>24</x:v>
      </x:c>
      <x:c r="C37" s="84" t="n">
        <x:v>30</x:v>
      </x:c>
      <x:c r="D37" s="89" t="n">
        <x:v>45850</x:v>
      </x:c>
      <x:c r="E37" s="84" t="n">
        <x:v>4.4</x:v>
      </x:c>
      <x:c r="F37" s="84" t="str">
        <x:v>Normal</x:v>
      </x:c>
      <x:c r="G37" s="93" t="n">
        <x:v>182.2</x:v>
      </x:c>
      <x:c r="H37" s="85" t="str">
        <x:v>Diagnóstico e execução</x:v>
      </x:c>
    </x:row>
    <x:row r="38">
      <x:c r="A38" s="83" t="n">
        <x:v>37</x:v>
      </x:c>
      <x:c r="B38" s="84" t="n">
        <x:v>24</x:v>
      </x:c>
      <x:c r="C38" s="84" t="n">
        <x:v>33</x:v>
      </x:c>
      <x:c r="D38" s="89" t="n">
        <x:v>45850</x:v>
      </x:c>
      <x:c r="E38" s="84" t="n">
        <x:v>4.7</x:v>
      </x:c>
      <x:c r="F38" s="84" t="str">
        <x:v>Normal</x:v>
      </x:c>
      <x:c r="G38" s="93" t="n">
        <x:v>162.1</x:v>
      </x:c>
      <x:c r="H38" s="85" t="str">
        <x:v>Diagnóstico e execução</x:v>
      </x:c>
    </x:row>
    <x:row r="39">
      <x:c r="A39" s="83" t="n">
        <x:v>38</x:v>
      </x:c>
      <x:c r="B39" s="84" t="n">
        <x:v>26</x:v>
      </x:c>
      <x:c r="C39" s="84" t="n">
        <x:v>39</x:v>
      </x:c>
      <x:c r="D39" s="89" t="n">
        <x:v>45038</x:v>
      </x:c>
      <x:c r="E39" s="84" t="n">
        <x:v>2.1</x:v>
      </x:c>
      <x:c r="F39" s="84" t="str">
        <x:v>Normal</x:v>
      </x:c>
      <x:c r="G39" s="93" t="n">
        <x:v>121.59</x:v>
      </x:c>
      <x:c r="H39" s="85" t="str">
        <x:v>Diagnóstico e execução</x:v>
      </x:c>
    </x:row>
    <x:row r="40">
      <x:c r="A40" s="83" t="n">
        <x:v>39</x:v>
      </x:c>
      <x:c r="B40" s="84" t="n">
        <x:v>26</x:v>
      </x:c>
      <x:c r="C40" s="84" t="n">
        <x:v>19</x:v>
      </x:c>
      <x:c r="D40" s="89" t="n">
        <x:v>45038</x:v>
      </x:c>
      <x:c r="E40" s="84" t="n">
        <x:v>1.9</x:v>
      </x:c>
      <x:c r="F40" s="84" t="str">
        <x:v>Normal</x:v>
      </x:c>
      <x:c r="G40" s="93" t="n">
        <x:v>88.31</x:v>
      </x:c>
      <x:c r="H40" s="85" t="str">
        <x:v>Diagnóstico e execução</x:v>
      </x:c>
    </x:row>
    <x:row r="41">
      <x:c r="A41" s="83" t="n">
        <x:v>40</x:v>
      </x:c>
      <x:c r="B41" s="84" t="n">
        <x:v>27</x:v>
      </x:c>
      <x:c r="C41" s="84" t="n">
        <x:v>42</x:v>
      </x:c>
      <x:c r="D41" s="89" t="n">
        <x:v>45857</x:v>
      </x:c>
      <x:c r="E41" s="84" t="n">
        <x:v>2.8</x:v>
      </x:c>
      <x:c r="F41" s="84" t="str">
        <x:v>Normal</x:v>
      </x:c>
      <x:c r="G41" s="93" t="n">
        <x:v>118.1</x:v>
      </x:c>
      <x:c r="H41" s="85" t="str">
        <x:v>Diagnóstico e execução</x:v>
      </x:c>
    </x:row>
    <x:row r="42">
      <x:c r="A42" s="83" t="n">
        <x:v>41</x:v>
      </x:c>
      <x:c r="B42" s="84" t="n">
        <x:v>27</x:v>
      </x:c>
      <x:c r="C42" s="84" t="n">
        <x:v>42</x:v>
      </x:c>
      <x:c r="D42" s="89" t="n">
        <x:v>45857</x:v>
      </x:c>
      <x:c r="E42" s="84" t="n">
        <x:v>6</x:v>
      </x:c>
      <x:c r="F42" s="84" t="str">
        <x:v>Normal</x:v>
      </x:c>
      <x:c r="G42" s="93" t="n">
        <x:v>253.08</x:v>
      </x:c>
      <x:c r="H42" s="85" t="str">
        <x:v>Diagnóstico e execução</x:v>
      </x:c>
    </x:row>
    <x:row r="43">
      <x:c r="A43" s="83" t="n">
        <x:v>42</x:v>
      </x:c>
      <x:c r="B43" s="84" t="n">
        <x:v>28</x:v>
      </x:c>
      <x:c r="C43" s="84" t="n">
        <x:v>6</x:v>
      </x:c>
      <x:c r="D43" s="89" t="n">
        <x:v>45993</x:v>
      </x:c>
      <x:c r="E43" s="84" t="n">
        <x:v>2</x:v>
      </x:c>
      <x:c r="F43" s="84" t="str">
        <x:v>Normal</x:v>
      </x:c>
      <x:c r="G43" s="93" t="n">
        <x:v>104.52</x:v>
      </x:c>
      <x:c r="H43" s="85" t="str">
        <x:v>Diagnóstico e execução</x:v>
      </x:c>
    </x:row>
    <x:row r="44">
      <x:c r="A44" s="83" t="n">
        <x:v>43</x:v>
      </x:c>
      <x:c r="B44" s="84" t="n">
        <x:v>28</x:v>
      </x:c>
      <x:c r="C44" s="84" t="n">
        <x:v>35</x:v>
      </x:c>
      <x:c r="D44" s="89" t="n">
        <x:v>45993</x:v>
      </x:c>
      <x:c r="E44" s="84" t="n">
        <x:v>3.3</x:v>
      </x:c>
      <x:c r="F44" s="84" t="str">
        <x:v>Normal</x:v>
      </x:c>
      <x:c r="G44" s="93" t="n">
        <x:v>162.33</x:v>
      </x:c>
      <x:c r="H44" s="85" t="str">
        <x:v>Diagnóstico e execução</x:v>
      </x:c>
    </x:row>
    <x:row r="45">
      <x:c r="A45" s="83" t="n">
        <x:v>44</x:v>
      </x:c>
      <x:c r="B45" s="84" t="n">
        <x:v>30</x:v>
      </x:c>
      <x:c r="C45" s="84" t="n">
        <x:v>36</x:v>
      </x:c>
      <x:c r="D45" s="89" t="n">
        <x:v>45670</x:v>
      </x:c>
      <x:c r="E45" s="84" t="n">
        <x:v>0.8</x:v>
      </x:c>
      <x:c r="F45" s="84" t="str">
        <x:v>Normal</x:v>
      </x:c>
      <x:c r="G45" s="93" t="n">
        <x:v>23.73</x:v>
      </x:c>
      <x:c r="H45" s="85" t="str">
        <x:v>Diagnóstico e execução</x:v>
      </x:c>
    </x:row>
    <x:row r="46">
      <x:c r="A46" s="83" t="n">
        <x:v>45</x:v>
      </x:c>
      <x:c r="B46" s="84" t="n">
        <x:v>30</x:v>
      </x:c>
      <x:c r="C46" s="84" t="n">
        <x:v>38</x:v>
      </x:c>
      <x:c r="D46" s="89" t="n">
        <x:v>45670</x:v>
      </x:c>
      <x:c r="E46" s="84" t="n">
        <x:v>3.3</x:v>
      </x:c>
      <x:c r="F46" s="84" t="str">
        <x:v>Normal</x:v>
      </x:c>
      <x:c r="G46" s="93" t="n">
        <x:v>111.11</x:v>
      </x:c>
      <x:c r="H46" s="85" t="str">
        <x:v>Diagnóstico e execução</x:v>
      </x:c>
    </x:row>
    <x:row r="47">
      <x:c r="A47" s="83" t="n">
        <x:v>46</x:v>
      </x:c>
      <x:c r="B47" s="84" t="n">
        <x:v>30</x:v>
      </x:c>
      <x:c r="C47" s="84" t="n">
        <x:v>3</x:v>
      </x:c>
      <x:c r="D47" s="89" t="n">
        <x:v>45670</x:v>
      </x:c>
      <x:c r="E47" s="84" t="n">
        <x:v>0.8</x:v>
      </x:c>
      <x:c r="F47" s="84" t="str">
        <x:v>Normal</x:v>
      </x:c>
      <x:c r="G47" s="93" t="n">
        <x:v>39.39</x:v>
      </x:c>
      <x:c r="H47" s="85" t="str">
        <x:v>Diagnóstico e execução</x:v>
      </x:c>
    </x:row>
    <x:row r="48">
      <x:c r="A48" s="83" t="n">
        <x:v>47</x:v>
      </x:c>
      <x:c r="B48" s="84" t="n">
        <x:v>31</x:v>
      </x:c>
      <x:c r="C48" s="84" t="n">
        <x:v>25</x:v>
      </x:c>
      <x:c r="D48" s="89" t="n">
        <x:v>45560</x:v>
      </x:c>
      <x:c r="E48" s="84" t="n">
        <x:v>6.8</x:v>
      </x:c>
      <x:c r="F48" s="84" t="str">
        <x:v>Normal</x:v>
      </x:c>
      <x:c r="G48" s="93" t="n">
        <x:v>364.41</x:v>
      </x:c>
      <x:c r="H48" s="85" t="str">
        <x:v>Diagnóstico e execução</x:v>
      </x:c>
    </x:row>
    <x:row r="49">
      <x:c r="A49" s="83" t="n">
        <x:v>48</x:v>
      </x:c>
      <x:c r="B49" s="84" t="n">
        <x:v>32</x:v>
      </x:c>
      <x:c r="C49" s="84" t="n">
        <x:v>37</x:v>
      </x:c>
      <x:c r="D49" s="89" t="n">
        <x:v>45787</x:v>
      </x:c>
      <x:c r="E49" s="84" t="n">
        <x:v>4.8</x:v>
      </x:c>
      <x:c r="F49" s="84" t="str">
        <x:v>Normal</x:v>
      </x:c>
      <x:c r="G49" s="93" t="n">
        <x:v>283.06</x:v>
      </x:c>
      <x:c r="H49" s="85" t="str">
        <x:v>Diagnóstico e execução</x:v>
      </x:c>
    </x:row>
    <x:row r="50">
      <x:c r="A50" s="83" t="n">
        <x:v>49</x:v>
      </x:c>
      <x:c r="B50" s="84" t="n">
        <x:v>33</x:v>
      </x:c>
      <x:c r="C50" s="84" t="n">
        <x:v>42</x:v>
      </x:c>
      <x:c r="D50" s="89" t="n">
        <x:v>45432</x:v>
      </x:c>
      <x:c r="E50" s="84" t="n">
        <x:v>7.9</x:v>
      </x:c>
      <x:c r="F50" s="84" t="str">
        <x:v>Normal</x:v>
      </x:c>
      <x:c r="G50" s="93" t="n">
        <x:v>333.22</x:v>
      </x:c>
      <x:c r="H50" s="85" t="str">
        <x:v>Diagnóstico e execução</x:v>
      </x:c>
    </x:row>
    <x:row r="51">
      <x:c r="A51" s="83" t="n">
        <x:v>50</x:v>
      </x:c>
      <x:c r="B51" s="84" t="n">
        <x:v>34</x:v>
      </x:c>
      <x:c r="C51" s="84" t="n">
        <x:v>25</x:v>
      </x:c>
      <x:c r="D51" s="89" t="n">
        <x:v>44982</x:v>
      </x:c>
      <x:c r="E51" s="84" t="n">
        <x:v>0.9</x:v>
      </x:c>
      <x:c r="F51" s="84" t="str">
        <x:v>Normal</x:v>
      </x:c>
      <x:c r="G51" s="93" t="n">
        <x:v>48.23</x:v>
      </x:c>
      <x:c r="H51" s="85" t="str">
        <x:v>Diagnóstico e execução</x:v>
      </x:c>
    </x:row>
    <x:row r="52">
      <x:c r="A52" s="83" t="n">
        <x:v>51</x:v>
      </x:c>
      <x:c r="B52" s="84" t="n">
        <x:v>34</x:v>
      </x:c>
      <x:c r="C52" s="84" t="n">
        <x:v>21</x:v>
      </x:c>
      <x:c r="D52" s="89" t="n">
        <x:v>44982</x:v>
      </x:c>
      <x:c r="E52" s="84" t="n">
        <x:v>1.2</x:v>
      </x:c>
      <x:c r="F52" s="84" t="str">
        <x:v>Normal</x:v>
      </x:c>
      <x:c r="G52" s="93" t="n">
        <x:v>73.72</x:v>
      </x:c>
      <x:c r="H52" s="85" t="str">
        <x:v>Diagnóstico e execução</x:v>
      </x:c>
    </x:row>
    <x:row r="53">
      <x:c r="A53" s="83" t="n">
        <x:v>52</x:v>
      </x:c>
      <x:c r="B53" s="84" t="n">
        <x:v>34</x:v>
      </x:c>
      <x:c r="C53" s="84" t="n">
        <x:v>7</x:v>
      </x:c>
      <x:c r="D53" s="89" t="n">
        <x:v>44982</x:v>
      </x:c>
      <x:c r="E53" s="84" t="n">
        <x:v>2.2</x:v>
      </x:c>
      <x:c r="F53" s="84" t="str">
        <x:v>Normal</x:v>
      </x:c>
      <x:c r="G53" s="93" t="n">
        <x:v>128.06</x:v>
      </x:c>
      <x:c r="H53" s="85" t="str">
        <x:v>Diagnóstico e execução</x:v>
      </x:c>
    </x:row>
    <x:row r="54">
      <x:c r="A54" s="83" t="n">
        <x:v>53</x:v>
      </x:c>
      <x:c r="B54" s="84" t="n">
        <x:v>35</x:v>
      </x:c>
      <x:c r="C54" s="84" t="n">
        <x:v>34</x:v>
      </x:c>
      <x:c r="D54" s="89" t="n">
        <x:v>45427</x:v>
      </x:c>
      <x:c r="E54" s="84" t="n">
        <x:v>4.4</x:v>
      </x:c>
      <x:c r="F54" s="84" t="str">
        <x:v>Normal</x:v>
      </x:c>
      <x:c r="G54" s="93" t="n">
        <x:v>190.21</x:v>
      </x:c>
      <x:c r="H54" s="85" t="str">
        <x:v>Diagnóstico e execução</x:v>
      </x:c>
    </x:row>
    <x:row r="55">
      <x:c r="A55" s="83" t="n">
        <x:v>54</x:v>
      </x:c>
      <x:c r="B55" s="84" t="n">
        <x:v>35</x:v>
      </x:c>
      <x:c r="C55" s="84" t="n">
        <x:v>16</x:v>
      </x:c>
      <x:c r="D55" s="89" t="n">
        <x:v>45427</x:v>
      </x:c>
      <x:c r="E55" s="84" t="n">
        <x:v>2.9</x:v>
      </x:c>
      <x:c r="F55" s="84" t="str">
        <x:v>Normal</x:v>
      </x:c>
      <x:c r="G55" s="93" t="n">
        <x:v>117.51</x:v>
      </x:c>
      <x:c r="H55" s="85" t="str">
        <x:v>Diagnóstico e execução</x:v>
      </x:c>
    </x:row>
    <x:row r="56">
      <x:c r="A56" s="83" t="n">
        <x:v>55</x:v>
      </x:c>
      <x:c r="B56" s="84" t="n">
        <x:v>35</x:v>
      </x:c>
      <x:c r="C56" s="84" t="n">
        <x:v>22</x:v>
      </x:c>
      <x:c r="D56" s="89" t="n">
        <x:v>45427</x:v>
      </x:c>
      <x:c r="E56" s="84" t="n">
        <x:v>2.9</x:v>
      </x:c>
      <x:c r="F56" s="84" t="str">
        <x:v>Normal</x:v>
      </x:c>
      <x:c r="G56" s="93" t="n">
        <x:v>111.53</x:v>
      </x:c>
      <x:c r="H56" s="85" t="str">
        <x:v>Diagnóstico e execução</x:v>
      </x:c>
    </x:row>
    <x:row r="57">
      <x:c r="A57" s="83" t="n">
        <x:v>56</x:v>
      </x:c>
      <x:c r="B57" s="84" t="n">
        <x:v>36</x:v>
      </x:c>
      <x:c r="C57" s="84" t="n">
        <x:v>10</x:v>
      </x:c>
      <x:c r="D57" s="89" t="n">
        <x:v>45729</x:v>
      </x:c>
      <x:c r="E57" s="84" t="n">
        <x:v>1.4</x:v>
      </x:c>
      <x:c r="F57" s="84" t="str">
        <x:v>Normal</x:v>
      </x:c>
      <x:c r="G57" s="93" t="n">
        <x:v>41.57</x:v>
      </x:c>
      <x:c r="H57" s="85" t="str">
        <x:v>Diagnóstico e execução</x:v>
      </x:c>
    </x:row>
    <x:row r="58">
      <x:c r="A58" s="83" t="n">
        <x:v>57</x:v>
      </x:c>
      <x:c r="B58" s="84" t="n">
        <x:v>36</x:v>
      </x:c>
      <x:c r="C58" s="84" t="n">
        <x:v>19</x:v>
      </x:c>
      <x:c r="D58" s="89" t="n">
        <x:v>45729</x:v>
      </x:c>
      <x:c r="E58" s="84" t="n">
        <x:v>4</x:v>
      </x:c>
      <x:c r="F58" s="84" t="str">
        <x:v>Normal</x:v>
      </x:c>
      <x:c r="G58" s="93" t="n">
        <x:v>185.92</x:v>
      </x:c>
      <x:c r="H58" s="85" t="str">
        <x:v>Diagnóstico e execução</x:v>
      </x:c>
    </x:row>
    <x:row r="59">
      <x:c r="A59" s="83" t="n">
        <x:v>58</x:v>
      </x:c>
      <x:c r="B59" s="84" t="n">
        <x:v>37</x:v>
      </x:c>
      <x:c r="C59" s="84" t="n">
        <x:v>32</x:v>
      </x:c>
      <x:c r="D59" s="89" t="n">
        <x:v>45396</x:v>
      </x:c>
      <x:c r="E59" s="84" t="n">
        <x:v>6</x:v>
      </x:c>
      <x:c r="F59" s="84" t="str">
        <x:v>Normal</x:v>
      </x:c>
      <x:c r="G59" s="93" t="n">
        <x:v>261.9</x:v>
      </x:c>
      <x:c r="H59" s="85" t="str">
        <x:v>Diagnóstico e execução</x:v>
      </x:c>
    </x:row>
    <x:row r="60">
      <x:c r="A60" s="83" t="n">
        <x:v>59</x:v>
      </x:c>
      <x:c r="B60" s="84" t="n">
        <x:v>37</x:v>
      </x:c>
      <x:c r="C60" s="84" t="n">
        <x:v>12</x:v>
      </x:c>
      <x:c r="D60" s="89" t="n">
        <x:v>45396</x:v>
      </x:c>
      <x:c r="E60" s="84" t="n">
        <x:v>4.8</x:v>
      </x:c>
      <x:c r="F60" s="84" t="str">
        <x:v>Normal</x:v>
      </x:c>
      <x:c r="G60" s="93" t="n">
        <x:v>165.6</x:v>
      </x:c>
      <x:c r="H60" s="85" t="str">
        <x:v>Diagnóstico e execução</x:v>
      </x:c>
    </x:row>
    <x:row r="61">
      <x:c r="A61" s="83" t="n">
        <x:v>60</x:v>
      </x:c>
      <x:c r="B61" s="84" t="n">
        <x:v>37</x:v>
      </x:c>
      <x:c r="C61" s="84" t="n">
        <x:v>7</x:v>
      </x:c>
      <x:c r="D61" s="89" t="n">
        <x:v>45396</x:v>
      </x:c>
      <x:c r="E61" s="84" t="n">
        <x:v>2.4</x:v>
      </x:c>
      <x:c r="F61" s="84" t="str">
        <x:v>Normal</x:v>
      </x:c>
      <x:c r="G61" s="93" t="n">
        <x:v>139.7</x:v>
      </x:c>
      <x:c r="H61" s="85" t="str">
        <x:v>Diagnóstico e execução</x:v>
      </x:c>
    </x:row>
    <x:row r="62">
      <x:c r="A62" s="83" t="n">
        <x:v>61</x:v>
      </x:c>
      <x:c r="B62" s="84" t="n">
        <x:v>38</x:v>
      </x:c>
      <x:c r="C62" s="84" t="n">
        <x:v>14</x:v>
      </x:c>
      <x:c r="D62" s="89" t="n">
        <x:v>45292</x:v>
      </x:c>
      <x:c r="E62" s="84" t="n">
        <x:v>0.5</x:v>
      </x:c>
      <x:c r="F62" s="84" t="str">
        <x:v>Normal</x:v>
      </x:c>
      <x:c r="G62" s="93" t="n">
        <x:v>28.33</x:v>
      </x:c>
      <x:c r="H62" s="85" t="str">
        <x:v>Diagnóstico e execução</x:v>
      </x:c>
    </x:row>
    <x:row r="63">
      <x:c r="A63" s="83" t="n">
        <x:v>62</x:v>
      </x:c>
      <x:c r="B63" s="84" t="n">
        <x:v>38</x:v>
      </x:c>
      <x:c r="C63" s="84" t="n">
        <x:v>42</x:v>
      </x:c>
      <x:c r="D63" s="89" t="n">
        <x:v>45292</x:v>
      </x:c>
      <x:c r="E63" s="84" t="n">
        <x:v>5.5</x:v>
      </x:c>
      <x:c r="F63" s="84" t="str">
        <x:v>Normal</x:v>
      </x:c>
      <x:c r="G63" s="93" t="n">
        <x:v>231.99</x:v>
      </x:c>
      <x:c r="H63" s="85" t="str">
        <x:v>Diagnóstico e execução</x:v>
      </x:c>
    </x:row>
    <x:row r="64">
      <x:c r="A64" s="83" t="n">
        <x:v>63</x:v>
      </x:c>
      <x:c r="B64" s="84" t="n">
        <x:v>39</x:v>
      </x:c>
      <x:c r="C64" s="84" t="n">
        <x:v>40</x:v>
      </x:c>
      <x:c r="D64" s="89" t="n">
        <x:v>45580</x:v>
      </x:c>
      <x:c r="E64" s="84" t="n">
        <x:v>5.4</x:v>
      </x:c>
      <x:c r="F64" s="84" t="str">
        <x:v>Normal</x:v>
      </x:c>
      <x:c r="G64" s="93" t="n">
        <x:v>266.87</x:v>
      </x:c>
      <x:c r="H64" s="85" t="str">
        <x:v>Diagnóstico e execução</x:v>
      </x:c>
    </x:row>
    <x:row r="65">
      <x:c r="A65" s="83" t="n">
        <x:v>64</x:v>
      </x:c>
      <x:c r="B65" s="84" t="n">
        <x:v>41</x:v>
      </x:c>
      <x:c r="C65" s="84" t="n">
        <x:v>19</x:v>
      </x:c>
      <x:c r="D65" s="89" t="n">
        <x:v>45565</x:v>
      </x:c>
      <x:c r="E65" s="84" t="n">
        <x:v>7.5</x:v>
      </x:c>
      <x:c r="F65" s="84" t="str">
        <x:v>Normal</x:v>
      </x:c>
      <x:c r="G65" s="93" t="n">
        <x:v>348.6</x:v>
      </x:c>
      <x:c r="H65" s="85" t="str">
        <x:v>Diagnóstico e execução</x:v>
      </x:c>
    </x:row>
    <x:row r="66">
      <x:c r="A66" s="83" t="n">
        <x:v>65</x:v>
      </x:c>
      <x:c r="B66" s="84" t="n">
        <x:v>41</x:v>
      </x:c>
      <x:c r="C66" s="84" t="n">
        <x:v>33</x:v>
      </x:c>
      <x:c r="D66" s="89" t="n">
        <x:v>45565</x:v>
      </x:c>
      <x:c r="E66" s="84" t="n">
        <x:v>6.2</x:v>
      </x:c>
      <x:c r="F66" s="84" t="str">
        <x:v>Normal</x:v>
      </x:c>
      <x:c r="G66" s="93" t="n">
        <x:v>213.84</x:v>
      </x:c>
      <x:c r="H66" s="85" t="str">
        <x:v>Diagnóstico e execução</x:v>
      </x:c>
    </x:row>
    <x:row r="67">
      <x:c r="A67" s="83" t="n">
        <x:v>66</x:v>
      </x:c>
      <x:c r="B67" s="84" t="n">
        <x:v>41</x:v>
      </x:c>
      <x:c r="C67" s="84" t="n">
        <x:v>42</x:v>
      </x:c>
      <x:c r="D67" s="89" t="n">
        <x:v>45565</x:v>
      </x:c>
      <x:c r="E67" s="84" t="n">
        <x:v>3.2</x:v>
      </x:c>
      <x:c r="F67" s="84" t="str">
        <x:v>Normal</x:v>
      </x:c>
      <x:c r="G67" s="93" t="n">
        <x:v>134.98</x:v>
      </x:c>
      <x:c r="H67" s="85" t="str">
        <x:v>Diagnóstico e execução</x:v>
      </x:c>
    </x:row>
    <x:row r="68">
      <x:c r="A68" s="83" t="n">
        <x:v>67</x:v>
      </x:c>
      <x:c r="B68" s="84" t="n">
        <x:v>42</x:v>
      </x:c>
      <x:c r="C68" s="84" t="n">
        <x:v>14</x:v>
      </x:c>
      <x:c r="D68" s="89" t="n">
        <x:v>44954</x:v>
      </x:c>
      <x:c r="E68" s="84" t="n">
        <x:v>3</x:v>
      </x:c>
      <x:c r="F68" s="84" t="str">
        <x:v>Normal</x:v>
      </x:c>
      <x:c r="G68" s="93" t="n">
        <x:v>169.98</x:v>
      </x:c>
      <x:c r="H68" s="85" t="str">
        <x:v>Diagnóstico e execução</x:v>
      </x:c>
    </x:row>
    <x:row r="69">
      <x:c r="A69" s="83" t="n">
        <x:v>68</x:v>
      </x:c>
      <x:c r="B69" s="84" t="n">
        <x:v>43</x:v>
      </x:c>
      <x:c r="C69" s="84" t="n">
        <x:v>19</x:v>
      </x:c>
      <x:c r="D69" s="89" t="n">
        <x:v>45058</x:v>
      </x:c>
      <x:c r="E69" s="84" t="n">
        <x:v>5.3</x:v>
      </x:c>
      <x:c r="F69" s="84" t="str">
        <x:v>Normal</x:v>
      </x:c>
      <x:c r="G69" s="93" t="n">
        <x:v>246.34</x:v>
      </x:c>
      <x:c r="H69" s="85" t="str">
        <x:v>Diagnóstico e execução</x:v>
      </x:c>
    </x:row>
    <x:row r="70">
      <x:c r="A70" s="83" t="n">
        <x:v>69</x:v>
      </x:c>
      <x:c r="B70" s="84" t="n">
        <x:v>44</x:v>
      </x:c>
      <x:c r="C70" s="84" t="n">
        <x:v>12</x:v>
      </x:c>
      <x:c r="D70" s="89" t="n">
        <x:v>45570</x:v>
      </x:c>
      <x:c r="E70" s="84" t="n">
        <x:v>6.1</x:v>
      </x:c>
      <x:c r="F70" s="84" t="str">
        <x:v>Normal</x:v>
      </x:c>
      <x:c r="G70" s="93" t="n">
        <x:v>210.45</x:v>
      </x:c>
      <x:c r="H70" s="85" t="str">
        <x:v>Diagnóstico e execução</x:v>
      </x:c>
    </x:row>
    <x:row r="71">
      <x:c r="A71" s="83" t="n">
        <x:v>70</x:v>
      </x:c>
      <x:c r="B71" s="84" t="n">
        <x:v>44</x:v>
      </x:c>
      <x:c r="C71" s="84" t="n">
        <x:v>27</x:v>
      </x:c>
      <x:c r="D71" s="89" t="n">
        <x:v>45570</x:v>
      </x:c>
      <x:c r="E71" s="84" t="n">
        <x:v>1</x:v>
      </x:c>
      <x:c r="F71" s="84" t="str">
        <x:v>Normal</x:v>
      </x:c>
      <x:c r="G71" s="93" t="n">
        <x:v>60.99</x:v>
      </x:c>
      <x:c r="H71" s="85" t="str">
        <x:v>Diagnóstico e execução</x:v>
      </x:c>
    </x:row>
    <x:row r="72">
      <x:c r="A72" s="83" t="n">
        <x:v>71</x:v>
      </x:c>
      <x:c r="B72" s="84" t="n">
        <x:v>44</x:v>
      </x:c>
      <x:c r="C72" s="84" t="n">
        <x:v>19</x:v>
      </x:c>
      <x:c r="D72" s="89" t="n">
        <x:v>45570</x:v>
      </x:c>
      <x:c r="E72" s="84" t="n">
        <x:v>0.8</x:v>
      </x:c>
      <x:c r="F72" s="84" t="str">
        <x:v>Normal</x:v>
      </x:c>
      <x:c r="G72" s="93" t="n">
        <x:v>37.18</x:v>
      </x:c>
      <x:c r="H72" s="85" t="str">
        <x:v>Diagnóstico e execução</x:v>
      </x:c>
    </x:row>
    <x:row r="73">
      <x:c r="A73" s="83" t="n">
        <x:v>72</x:v>
      </x:c>
      <x:c r="B73" s="84" t="n">
        <x:v>45</x:v>
      </x:c>
      <x:c r="C73" s="84" t="n">
        <x:v>14</x:v>
      </x:c>
      <x:c r="D73" s="89" t="n">
        <x:v>45743</x:v>
      </x:c>
      <x:c r="E73" s="84" t="n">
        <x:v>3.7</x:v>
      </x:c>
      <x:c r="F73" s="84" t="str">
        <x:v>Normal</x:v>
      </x:c>
      <x:c r="G73" s="93" t="n">
        <x:v>209.64</x:v>
      </x:c>
      <x:c r="H73" s="85" t="str">
        <x:v>Diagnóstico e execução</x:v>
      </x:c>
    </x:row>
    <x:row r="74">
      <x:c r="A74" s="83" t="n">
        <x:v>73</x:v>
      </x:c>
      <x:c r="B74" s="84" t="n">
        <x:v>45</x:v>
      </x:c>
      <x:c r="C74" s="84" t="n">
        <x:v>30</x:v>
      </x:c>
      <x:c r="D74" s="89" t="n">
        <x:v>45743</x:v>
      </x:c>
      <x:c r="E74" s="84" t="n">
        <x:v>1.8</x:v>
      </x:c>
      <x:c r="F74" s="84" t="str">
        <x:v>Normal</x:v>
      </x:c>
      <x:c r="G74" s="93" t="n">
        <x:v>74.54</x:v>
      </x:c>
      <x:c r="H74" s="85" t="str">
        <x:v>Diagnóstico e execução</x:v>
      </x:c>
    </x:row>
    <x:row r="75">
      <x:c r="A75" s="83" t="n">
        <x:v>74</x:v>
      </x:c>
      <x:c r="B75" s="84" t="n">
        <x:v>46</x:v>
      </x:c>
      <x:c r="C75" s="84" t="n">
        <x:v>12</x:v>
      </x:c>
      <x:c r="D75" s="89" t="n">
        <x:v>45075</x:v>
      </x:c>
      <x:c r="E75" s="84" t="n">
        <x:v>0.6</x:v>
      </x:c>
      <x:c r="F75" s="84" t="str">
        <x:v>Normal</x:v>
      </x:c>
      <x:c r="G75" s="93" t="n">
        <x:v>20.7</x:v>
      </x:c>
      <x:c r="H75" s="85" t="str">
        <x:v>Diagnóstico e execução</x:v>
      </x:c>
    </x:row>
    <x:row r="76">
      <x:c r="A76" s="83" t="n">
        <x:v>75</x:v>
      </x:c>
      <x:c r="B76" s="84" t="n">
        <x:v>47</x:v>
      </x:c>
      <x:c r="C76" s="84" t="n">
        <x:v>6</x:v>
      </x:c>
      <x:c r="D76" s="89" t="n">
        <x:v>45002</x:v>
      </x:c>
      <x:c r="E76" s="84" t="n">
        <x:v>6.2</x:v>
      </x:c>
      <x:c r="F76" s="84" t="str">
        <x:v>Normal</x:v>
      </x:c>
      <x:c r="G76" s="93" t="n">
        <x:v>324.01</x:v>
      </x:c>
      <x:c r="H76" s="85" t="str">
        <x:v>Diagnóstico e execução</x:v>
      </x:c>
    </x:row>
    <x:row r="77">
      <x:c r="A77" s="83" t="n">
        <x:v>76</x:v>
      </x:c>
      <x:c r="B77" s="84" t="n">
        <x:v>47</x:v>
      </x:c>
      <x:c r="C77" s="84" t="n">
        <x:v>28</x:v>
      </x:c>
      <x:c r="D77" s="89" t="n">
        <x:v>45002</x:v>
      </x:c>
      <x:c r="E77" s="84" t="n">
        <x:v>5.3</x:v>
      </x:c>
      <x:c r="F77" s="84" t="str">
        <x:v>Normal</x:v>
      </x:c>
      <x:c r="G77" s="93" t="n">
        <x:v>199.39</x:v>
      </x:c>
      <x:c r="H77" s="85" t="str">
        <x:v>Diagnóstico e execução</x:v>
      </x:c>
    </x:row>
    <x:row r="78">
      <x:c r="A78" s="83" t="n">
        <x:v>77</x:v>
      </x:c>
      <x:c r="B78" s="84" t="n">
        <x:v>48</x:v>
      </x:c>
      <x:c r="C78" s="84" t="n">
        <x:v>6</x:v>
      </x:c>
      <x:c r="D78" s="89" t="n">
        <x:v>45979</x:v>
      </x:c>
      <x:c r="E78" s="84" t="n">
        <x:v>4.1</x:v>
      </x:c>
      <x:c r="F78" s="84" t="str">
        <x:v>Normal</x:v>
      </x:c>
      <x:c r="G78" s="93" t="n">
        <x:v>214.27</x:v>
      </x:c>
      <x:c r="H78" s="85" t="str">
        <x:v>Diagnóstico e execução</x:v>
      </x:c>
    </x:row>
    <x:row r="79">
      <x:c r="A79" s="83" t="n">
        <x:v>78</x:v>
      </x:c>
      <x:c r="B79" s="84" t="n">
        <x:v>48</x:v>
      </x:c>
      <x:c r="C79" s="84" t="n">
        <x:v>32</x:v>
      </x:c>
      <x:c r="D79" s="89" t="n">
        <x:v>45979</x:v>
      </x:c>
      <x:c r="E79" s="84" t="n">
        <x:v>1.8</x:v>
      </x:c>
      <x:c r="F79" s="84" t="str">
        <x:v>Normal</x:v>
      </x:c>
      <x:c r="G79" s="93" t="n">
        <x:v>78.57</x:v>
      </x:c>
      <x:c r="H79" s="85" t="str">
        <x:v>Diagnóstico e execução</x:v>
      </x:c>
    </x:row>
    <x:row r="80">
      <x:c r="A80" s="83" t="n">
        <x:v>79</x:v>
      </x:c>
      <x:c r="B80" s="84" t="n">
        <x:v>48</x:v>
      </x:c>
      <x:c r="C80" s="84" t="n">
        <x:v>16</x:v>
      </x:c>
      <x:c r="D80" s="89" t="n">
        <x:v>45979</x:v>
      </x:c>
      <x:c r="E80" s="84" t="n">
        <x:v>1.6</x:v>
      </x:c>
      <x:c r="F80" s="84" t="str">
        <x:v>Normal</x:v>
      </x:c>
      <x:c r="G80" s="93" t="n">
        <x:v>64.83</x:v>
      </x:c>
      <x:c r="H80" s="85" t="str">
        <x:v>Diagnóstico e execução</x:v>
      </x:c>
    </x:row>
    <x:row r="81">
      <x:c r="A81" s="83" t="n">
        <x:v>80</x:v>
      </x:c>
      <x:c r="B81" s="84" t="n">
        <x:v>51</x:v>
      </x:c>
      <x:c r="C81" s="84" t="n">
        <x:v>30</x:v>
      </x:c>
      <x:c r="D81" s="89" t="n">
        <x:v>45828</x:v>
      </x:c>
      <x:c r="E81" s="84" t="n">
        <x:v>2.7</x:v>
      </x:c>
      <x:c r="F81" s="84" t="str">
        <x:v>Normal</x:v>
      </x:c>
      <x:c r="G81" s="93" t="n">
        <x:v>111.81</x:v>
      </x:c>
      <x:c r="H81" s="85" t="str">
        <x:v>Diagnóstico e execução</x:v>
      </x:c>
    </x:row>
    <x:row r="82">
      <x:c r="A82" s="83" t="n">
        <x:v>81</x:v>
      </x:c>
      <x:c r="B82" s="84" t="n">
        <x:v>53</x:v>
      </x:c>
      <x:c r="C82" s="84" t="n">
        <x:v>3</x:v>
      </x:c>
      <x:c r="D82" s="89" t="n">
        <x:v>45862</x:v>
      </x:c>
      <x:c r="E82" s="84" t="n">
        <x:v>3</x:v>
      </x:c>
      <x:c r="F82" s="84" t="str">
        <x:v>Normal</x:v>
      </x:c>
      <x:c r="G82" s="93" t="n">
        <x:v>147.72</x:v>
      </x:c>
      <x:c r="H82" s="85" t="str">
        <x:v>Diagnóstico e execução</x:v>
      </x:c>
    </x:row>
    <x:row r="83">
      <x:c r="A83" s="83" t="n">
        <x:v>82</x:v>
      </x:c>
      <x:c r="B83" s="84" t="n">
        <x:v>55</x:v>
      </x:c>
      <x:c r="C83" s="84" t="n">
        <x:v>5</x:v>
      </x:c>
      <x:c r="D83" s="89" t="n">
        <x:v>45368</x:v>
      </x:c>
      <x:c r="E83" s="84" t="n">
        <x:v>2.5</x:v>
      </x:c>
      <x:c r="F83" s="84" t="str">
        <x:v>Normal</x:v>
      </x:c>
      <x:c r="G83" s="93" t="n">
        <x:v>72.05</x:v>
      </x:c>
      <x:c r="H83" s="85" t="str">
        <x:v>Diagnóstico e execução</x:v>
      </x:c>
    </x:row>
    <x:row r="84">
      <x:c r="A84" s="83" t="n">
        <x:v>83</x:v>
      </x:c>
      <x:c r="B84" s="84" t="n">
        <x:v>56</x:v>
      </x:c>
      <x:c r="C84" s="84" t="n">
        <x:v>41</x:v>
      </x:c>
      <x:c r="D84" s="89" t="n">
        <x:v>44957</x:v>
      </x:c>
      <x:c r="E84" s="84" t="n">
        <x:v>4.9</x:v>
      </x:c>
      <x:c r="F84" s="84" t="str">
        <x:v>Normal</x:v>
      </x:c>
      <x:c r="G84" s="93" t="n">
        <x:v>247.84</x:v>
      </x:c>
      <x:c r="H84" s="85" t="str">
        <x:v>Diagnóstico e execução</x:v>
      </x:c>
    </x:row>
    <x:row r="85">
      <x:c r="A85" s="83" t="n">
        <x:v>84</x:v>
      </x:c>
      <x:c r="B85" s="84" t="n">
        <x:v>56</x:v>
      </x:c>
      <x:c r="C85" s="84" t="n">
        <x:v>4</x:v>
      </x:c>
      <x:c r="D85" s="89" t="n">
        <x:v>44957</x:v>
      </x:c>
      <x:c r="E85" s="84" t="n">
        <x:v>5.6</x:v>
      </x:c>
      <x:c r="F85" s="84" t="str">
        <x:v>Normal</x:v>
      </x:c>
      <x:c r="G85" s="93" t="n">
        <x:v>275.46</x:v>
      </x:c>
      <x:c r="H85" s="85" t="str">
        <x:v>Diagnóstico e execução</x:v>
      </x:c>
    </x:row>
    <x:row r="86">
      <x:c r="A86" s="83" t="n">
        <x:v>85</x:v>
      </x:c>
      <x:c r="B86" s="84" t="n">
        <x:v>56</x:v>
      </x:c>
      <x:c r="C86" s="84" t="n">
        <x:v>39</x:v>
      </x:c>
      <x:c r="D86" s="89" t="n">
        <x:v>44957</x:v>
      </x:c>
      <x:c r="E86" s="84" t="n">
        <x:v>7.4</x:v>
      </x:c>
      <x:c r="F86" s="84" t="str">
        <x:v>Normal</x:v>
      </x:c>
      <x:c r="G86" s="93" t="n">
        <x:v>428.46</x:v>
      </x:c>
      <x:c r="H86" s="85" t="str">
        <x:v>Diagnóstico e execução</x:v>
      </x:c>
    </x:row>
    <x:row r="87">
      <x:c r="A87" s="83" t="n">
        <x:v>86</x:v>
      </x:c>
      <x:c r="B87" s="84" t="n">
        <x:v>57</x:v>
      </x:c>
      <x:c r="C87" s="84" t="n">
        <x:v>34</x:v>
      </x:c>
      <x:c r="D87" s="89" t="n">
        <x:v>44979</x:v>
      </x:c>
      <x:c r="E87" s="84" t="n">
        <x:v>5.6</x:v>
      </x:c>
      <x:c r="F87" s="84" t="str">
        <x:v>Normal</x:v>
      </x:c>
      <x:c r="G87" s="93" t="n">
        <x:v>242.09</x:v>
      </x:c>
      <x:c r="H87" s="85" t="str">
        <x:v>Diagnóstico e execução</x:v>
      </x:c>
    </x:row>
    <x:row r="88">
      <x:c r="A88" s="83" t="n">
        <x:v>87</x:v>
      </x:c>
      <x:c r="B88" s="84" t="n">
        <x:v>57</x:v>
      </x:c>
      <x:c r="C88" s="84" t="n">
        <x:v>13</x:v>
      </x:c>
      <x:c r="D88" s="89" t="n">
        <x:v>44979</x:v>
      </x:c>
      <x:c r="E88" s="84" t="n">
        <x:v>0.7</x:v>
      </x:c>
      <x:c r="F88" s="84" t="str">
        <x:v>Normal</x:v>
      </x:c>
      <x:c r="G88" s="93" t="n">
        <x:v>23.72</x:v>
      </x:c>
      <x:c r="H88" s="85" t="str">
        <x:v>Diagnóstico e execução</x:v>
      </x:c>
    </x:row>
    <x:row r="89">
      <x:c r="A89" s="83" t="n">
        <x:v>88</x:v>
      </x:c>
      <x:c r="B89" s="84" t="n">
        <x:v>58</x:v>
      </x:c>
      <x:c r="C89" s="84" t="n">
        <x:v>22</x:v>
      </x:c>
      <x:c r="D89" s="89" t="n">
        <x:v>44935</x:v>
      </x:c>
      <x:c r="E89" s="84" t="n">
        <x:v>2.3</x:v>
      </x:c>
      <x:c r="F89" s="84" t="str">
        <x:v>Normal</x:v>
      </x:c>
      <x:c r="G89" s="93" t="n">
        <x:v>88.46</x:v>
      </x:c>
      <x:c r="H89" s="85" t="str">
        <x:v>Diagnóstico e execução</x:v>
      </x:c>
    </x:row>
    <x:row r="90">
      <x:c r="A90" s="83" t="n">
        <x:v>89</x:v>
      </x:c>
      <x:c r="B90" s="84" t="n">
        <x:v>59</x:v>
      </x:c>
      <x:c r="C90" s="84" t="n">
        <x:v>31</x:v>
      </x:c>
      <x:c r="D90" s="89" t="n">
        <x:v>45792</x:v>
      </x:c>
      <x:c r="E90" s="84" t="n">
        <x:v>6.8</x:v>
      </x:c>
      <x:c r="F90" s="84" t="str">
        <x:v>Normal</x:v>
      </x:c>
      <x:c r="G90" s="93" t="n">
        <x:v>332.52</x:v>
      </x:c>
      <x:c r="H90" s="85" t="str">
        <x:v>Diagnóstico e execução</x:v>
      </x:c>
    </x:row>
    <x:row r="91">
      <x:c r="A91" s="83" t="n">
        <x:v>90</x:v>
      </x:c>
      <x:c r="B91" s="84" t="n">
        <x:v>59</x:v>
      </x:c>
      <x:c r="C91" s="84" t="n">
        <x:v>30</x:v>
      </x:c>
      <x:c r="D91" s="89" t="n">
        <x:v>45792</x:v>
      </x:c>
      <x:c r="E91" s="84" t="n">
        <x:v>2.8</x:v>
      </x:c>
      <x:c r="F91" s="84" t="str">
        <x:v>Normal</x:v>
      </x:c>
      <x:c r="G91" s="93" t="n">
        <x:v>115.95</x:v>
      </x:c>
      <x:c r="H91" s="85" t="str">
        <x:v>Diagnóstico e execução</x:v>
      </x:c>
    </x:row>
    <x:row r="92">
      <x:c r="A92" s="83" t="n">
        <x:v>91</x:v>
      </x:c>
      <x:c r="B92" s="84" t="n">
        <x:v>59</x:v>
      </x:c>
      <x:c r="C92" s="84" t="n">
        <x:v>15</x:v>
      </x:c>
      <x:c r="D92" s="89" t="n">
        <x:v>45792</x:v>
      </x:c>
      <x:c r="E92" s="84" t="n">
        <x:v>3.4</x:v>
      </x:c>
      <x:c r="F92" s="84" t="str">
        <x:v>Normal</x:v>
      </x:c>
      <x:c r="G92" s="93" t="n">
        <x:v>102.82</x:v>
      </x:c>
      <x:c r="H92" s="85" t="str">
        <x:v>Diagnóstico e execução</x:v>
      </x:c>
    </x:row>
    <x:row r="93">
      <x:c r="A93" s="83" t="n">
        <x:v>92</x:v>
      </x:c>
      <x:c r="B93" s="84" t="n">
        <x:v>60</x:v>
      </x:c>
      <x:c r="C93" s="84" t="n">
        <x:v>10</x:v>
      </x:c>
      <x:c r="D93" s="89" t="n">
        <x:v>45333</x:v>
      </x:c>
      <x:c r="E93" s="84" t="n">
        <x:v>2.2</x:v>
      </x:c>
      <x:c r="F93" s="84" t="str">
        <x:v>Normal</x:v>
      </x:c>
      <x:c r="G93" s="93" t="n">
        <x:v>65.32</x:v>
      </x:c>
      <x:c r="H93" s="85" t="str">
        <x:v>Diagnóstico e execução</x:v>
      </x:c>
    </x:row>
    <x:row r="94">
      <x:c r="A94" s="83" t="n">
        <x:v>93</x:v>
      </x:c>
      <x:c r="B94" s="84" t="n">
        <x:v>60</x:v>
      </x:c>
      <x:c r="C94" s="84" t="n">
        <x:v>45</x:v>
      </x:c>
      <x:c r="D94" s="89" t="n">
        <x:v>45333</x:v>
      </x:c>
      <x:c r="E94" s="84" t="n">
        <x:v>2.3</x:v>
      </x:c>
      <x:c r="F94" s="84" t="str">
        <x:v>Normal</x:v>
      </x:c>
      <x:c r="G94" s="93" t="n">
        <x:v>123.21</x:v>
      </x:c>
      <x:c r="H94" s="85" t="str">
        <x:v>Diagnóstico e execução</x:v>
      </x:c>
    </x:row>
    <x:row r="95">
      <x:c r="A95" s="83" t="n">
        <x:v>94</x:v>
      </x:c>
      <x:c r="B95" s="84" t="n">
        <x:v>60</x:v>
      </x:c>
      <x:c r="C95" s="84" t="n">
        <x:v>12</x:v>
      </x:c>
      <x:c r="D95" s="89" t="n">
        <x:v>45333</x:v>
      </x:c>
      <x:c r="E95" s="84" t="n">
        <x:v>0.7</x:v>
      </x:c>
      <x:c r="F95" s="84" t="str">
        <x:v>Normal</x:v>
      </x:c>
      <x:c r="G95" s="93" t="n">
        <x:v>24.15</x:v>
      </x:c>
      <x:c r="H95" s="85" t="str">
        <x:v>Diagnóstico e execução</x:v>
      </x:c>
    </x:row>
    <x:row r="96">
      <x:c r="A96" s="83" t="n">
        <x:v>95</x:v>
      </x:c>
      <x:c r="B96" s="84" t="n">
        <x:v>61</x:v>
      </x:c>
      <x:c r="C96" s="84" t="n">
        <x:v>7</x:v>
      </x:c>
      <x:c r="D96" s="89" t="n">
        <x:v>45149</x:v>
      </x:c>
      <x:c r="E96" s="84" t="n">
        <x:v>1</x:v>
      </x:c>
      <x:c r="F96" s="84" t="str">
        <x:v>Normal</x:v>
      </x:c>
      <x:c r="G96" s="93" t="n">
        <x:v>58.21</x:v>
      </x:c>
      <x:c r="H96" s="85" t="str">
        <x:v>Diagnóstico e execução</x:v>
      </x:c>
    </x:row>
    <x:row r="97">
      <x:c r="A97" s="83" t="n">
        <x:v>96</x:v>
      </x:c>
      <x:c r="B97" s="84" t="n">
        <x:v>61</x:v>
      </x:c>
      <x:c r="C97" s="84" t="n">
        <x:v>10</x:v>
      </x:c>
      <x:c r="D97" s="89" t="n">
        <x:v>45149</x:v>
      </x:c>
      <x:c r="E97" s="84" t="n">
        <x:v>6.9</x:v>
      </x:c>
      <x:c r="F97" s="84" t="str">
        <x:v>Normal</x:v>
      </x:c>
      <x:c r="G97" s="93" t="n">
        <x:v>204.86</x:v>
      </x:c>
      <x:c r="H97" s="85" t="str">
        <x:v>Diagnóstico e execução</x:v>
      </x:c>
    </x:row>
    <x:row r="98">
      <x:c r="A98" s="83" t="n">
        <x:v>97</x:v>
      </x:c>
      <x:c r="B98" s="84" t="n">
        <x:v>61</x:v>
      </x:c>
      <x:c r="C98" s="84" t="n">
        <x:v>13</x:v>
      </x:c>
      <x:c r="D98" s="89" t="n">
        <x:v>45149</x:v>
      </x:c>
      <x:c r="E98" s="84" t="n">
        <x:v>6</x:v>
      </x:c>
      <x:c r="F98" s="84" t="str">
        <x:v>Normal</x:v>
      </x:c>
      <x:c r="G98" s="93" t="n">
        <x:v>203.28</x:v>
      </x:c>
      <x:c r="H98" s="85" t="str">
        <x:v>Diagnóstico e execução</x:v>
      </x:c>
    </x:row>
    <x:row r="99">
      <x:c r="A99" s="83" t="n">
        <x:v>98</x:v>
      </x:c>
      <x:c r="B99" s="84" t="n">
        <x:v>62</x:v>
      </x:c>
      <x:c r="C99" s="84" t="n">
        <x:v>13</x:v>
      </x:c>
      <x:c r="D99" s="89" t="n">
        <x:v>45261</x:v>
      </x:c>
      <x:c r="E99" s="84" t="n">
        <x:v>3.1</x:v>
      </x:c>
      <x:c r="F99" s="84" t="str">
        <x:v>Normal</x:v>
      </x:c>
      <x:c r="G99" s="93" t="n">
        <x:v>105.03</x:v>
      </x:c>
      <x:c r="H99" s="85" t="str">
        <x:v>Diagnóstico e execução</x:v>
      </x:c>
    </x:row>
    <x:row r="100">
      <x:c r="A100" s="83" t="n">
        <x:v>99</x:v>
      </x:c>
      <x:c r="B100" s="84" t="n">
        <x:v>63</x:v>
      </x:c>
      <x:c r="C100" s="84" t="n">
        <x:v>14</x:v>
      </x:c>
      <x:c r="D100" s="89" t="n">
        <x:v>45712</x:v>
      </x:c>
      <x:c r="E100" s="84" t="n">
        <x:v>6.1</x:v>
      </x:c>
      <x:c r="F100" s="84" t="str">
        <x:v>Normal</x:v>
      </x:c>
      <x:c r="G100" s="93" t="n">
        <x:v>345.63</x:v>
      </x:c>
      <x:c r="H100" s="85" t="str">
        <x:v>Diagnóstico e execução</x:v>
      </x:c>
    </x:row>
    <x:row r="101">
      <x:c r="A101" s="83" t="n">
        <x:v>100</x:v>
      </x:c>
      <x:c r="B101" s="84" t="n">
        <x:v>63</x:v>
      </x:c>
      <x:c r="C101" s="84" t="n">
        <x:v>39</x:v>
      </x:c>
      <x:c r="D101" s="89" t="n">
        <x:v>45712</x:v>
      </x:c>
      <x:c r="E101" s="84" t="n">
        <x:v>0.5</x:v>
      </x:c>
      <x:c r="F101" s="84" t="str">
        <x:v>Normal</x:v>
      </x:c>
      <x:c r="G101" s="93" t="n">
        <x:v>28.95</x:v>
      </x:c>
      <x:c r="H101" s="85" t="str">
        <x:v>Diagnóstico e execução</x:v>
      </x:c>
    </x:row>
    <x:row r="102">
      <x:c r="A102" s="83" t="n">
        <x:v>101</x:v>
      </x:c>
      <x:c r="B102" s="84" t="n">
        <x:v>64</x:v>
      </x:c>
      <x:c r="C102" s="84" t="n">
        <x:v>37</x:v>
      </x:c>
      <x:c r="D102" s="89" t="n">
        <x:v>45851</x:v>
      </x:c>
      <x:c r="E102" s="84" t="n">
        <x:v>0.5</x:v>
      </x:c>
      <x:c r="F102" s="84" t="str">
        <x:v>Normal</x:v>
      </x:c>
      <x:c r="G102" s="93" t="n">
        <x:v>29.48</x:v>
      </x:c>
      <x:c r="H102" s="85" t="str">
        <x:v>Diagnóstico e execução</x:v>
      </x:c>
    </x:row>
    <x:row r="103">
      <x:c r="A103" s="83" t="n">
        <x:v>102</x:v>
      </x:c>
      <x:c r="B103" s="84" t="n">
        <x:v>64</x:v>
      </x:c>
      <x:c r="C103" s="84" t="n">
        <x:v>17</x:v>
      </x:c>
      <x:c r="D103" s="89" t="n">
        <x:v>45851</x:v>
      </x:c>
      <x:c r="E103" s="84" t="n">
        <x:v>4.5</x:v>
      </x:c>
      <x:c r="F103" s="84" t="str">
        <x:v>Normal</x:v>
      </x:c>
      <x:c r="G103" s="93" t="n">
        <x:v>251.01</x:v>
      </x:c>
      <x:c r="H103" s="85" t="str">
        <x:v>Diagnóstico e execução</x:v>
      </x:c>
    </x:row>
    <x:row r="104">
      <x:c r="A104" s="83" t="n">
        <x:v>103</x:v>
      </x:c>
      <x:c r="B104" s="84" t="n">
        <x:v>64</x:v>
      </x:c>
      <x:c r="C104" s="84" t="n">
        <x:v>4</x:v>
      </x:c>
      <x:c r="D104" s="89" t="n">
        <x:v>45851</x:v>
      </x:c>
      <x:c r="E104" s="84" t="n">
        <x:v>4.2</x:v>
      </x:c>
      <x:c r="F104" s="84" t="str">
        <x:v>Normal</x:v>
      </x:c>
      <x:c r="G104" s="93" t="n">
        <x:v>206.6</x:v>
      </x:c>
      <x:c r="H104" s="85" t="str">
        <x:v>Diagnóstico e execução</x:v>
      </x:c>
    </x:row>
    <x:row r="105">
      <x:c r="A105" s="83" t="n">
        <x:v>104</x:v>
      </x:c>
      <x:c r="B105" s="84" t="n">
        <x:v>67</x:v>
      </x:c>
      <x:c r="C105" s="84" t="n">
        <x:v>44</x:v>
      </x:c>
      <x:c r="D105" s="89" t="n">
        <x:v>45222</x:v>
      </x:c>
      <x:c r="E105" s="84" t="n">
        <x:v>6.1</x:v>
      </x:c>
      <x:c r="F105" s="84" t="str">
        <x:v>Normal</x:v>
      </x:c>
      <x:c r="G105" s="93" t="n">
        <x:v>171.04</x:v>
      </x:c>
      <x:c r="H105" s="85" t="str">
        <x:v>Diagnóstico e execução</x:v>
      </x:c>
    </x:row>
    <x:row r="106">
      <x:c r="A106" s="83" t="n">
        <x:v>105</x:v>
      </x:c>
      <x:c r="B106" s="84" t="n">
        <x:v>67</x:v>
      </x:c>
      <x:c r="C106" s="84" t="n">
        <x:v>11</x:v>
      </x:c>
      <x:c r="D106" s="89" t="n">
        <x:v>45222</x:v>
      </x:c>
      <x:c r="E106" s="84" t="n">
        <x:v>4.9</x:v>
      </x:c>
      <x:c r="F106" s="84" t="str">
        <x:v>Normal</x:v>
      </x:c>
      <x:c r="G106" s="93" t="n">
        <x:v>204.23</x:v>
      </x:c>
      <x:c r="H106" s="85" t="str">
        <x:v>Diagnóstico e execução</x:v>
      </x:c>
    </x:row>
    <x:row r="107">
      <x:c r="A107" s="83" t="n">
        <x:v>106</x:v>
      </x:c>
      <x:c r="B107" s="84" t="n">
        <x:v>68</x:v>
      </x:c>
      <x:c r="C107" s="84" t="n">
        <x:v>38</x:v>
      </x:c>
      <x:c r="D107" s="89" t="n">
        <x:v>45279</x:v>
      </x:c>
      <x:c r="E107" s="84" t="n">
        <x:v>2.8</x:v>
      </x:c>
      <x:c r="F107" s="84" t="str">
        <x:v>Normal</x:v>
      </x:c>
      <x:c r="G107" s="93" t="n">
        <x:v>94.28</x:v>
      </x:c>
      <x:c r="H107" s="85" t="str">
        <x:v>Diagnóstico e execução</x:v>
      </x:c>
    </x:row>
    <x:row r="108">
      <x:c r="A108" s="83" t="n">
        <x:v>107</x:v>
      </x:c>
      <x:c r="B108" s="84" t="n">
        <x:v>68</x:v>
      </x:c>
      <x:c r="C108" s="84" t="n">
        <x:v>3</x:v>
      </x:c>
      <x:c r="D108" s="89" t="n">
        <x:v>45279</x:v>
      </x:c>
      <x:c r="E108" s="84" t="n">
        <x:v>7.8</x:v>
      </x:c>
      <x:c r="F108" s="84" t="str">
        <x:v>Normal</x:v>
      </x:c>
      <x:c r="G108" s="93" t="n">
        <x:v>384.07</x:v>
      </x:c>
      <x:c r="H108" s="85" t="str">
        <x:v>Diagnóstico e execução</x:v>
      </x:c>
    </x:row>
    <x:row r="109">
      <x:c r="A109" s="83" t="n">
        <x:v>108</x:v>
      </x:c>
      <x:c r="B109" s="84" t="n">
        <x:v>68</x:v>
      </x:c>
      <x:c r="C109" s="84" t="n">
        <x:v>18</x:v>
      </x:c>
      <x:c r="D109" s="89" t="n">
        <x:v>45279</x:v>
      </x:c>
      <x:c r="E109" s="84" t="n">
        <x:v>3.7</x:v>
      </x:c>
      <x:c r="F109" s="84" t="str">
        <x:v>Normal</x:v>
      </x:c>
      <x:c r="G109" s="93" t="n">
        <x:v>233.43</x:v>
      </x:c>
      <x:c r="H109" s="85" t="str">
        <x:v>Diagnóstico e execução</x:v>
      </x:c>
    </x:row>
    <x:row r="110">
      <x:c r="A110" s="83" t="n">
        <x:v>109</x:v>
      </x:c>
      <x:c r="B110" s="84" t="n">
        <x:v>69</x:v>
      </x:c>
      <x:c r="C110" s="84" t="n">
        <x:v>28</x:v>
      </x:c>
      <x:c r="D110" s="89" t="n">
        <x:v>45761</x:v>
      </x:c>
      <x:c r="E110" s="84" t="n">
        <x:v>6.3</x:v>
      </x:c>
      <x:c r="F110" s="84" t="str">
        <x:v>Normal</x:v>
      </x:c>
      <x:c r="G110" s="93" t="n">
        <x:v>237.01</x:v>
      </x:c>
      <x:c r="H110" s="85" t="str">
        <x:v>Diagnóstico e execução</x:v>
      </x:c>
    </x:row>
    <x:row r="111">
      <x:c r="A111" s="83" t="n">
        <x:v>110</x:v>
      </x:c>
      <x:c r="B111" s="84" t="n">
        <x:v>70</x:v>
      </x:c>
      <x:c r="C111" s="84" t="n">
        <x:v>8</x:v>
      </x:c>
      <x:c r="D111" s="89" t="n">
        <x:v>45339</x:v>
      </x:c>
      <x:c r="E111" s="84" t="n">
        <x:v>1</x:v>
      </x:c>
      <x:c r="F111" s="84" t="str">
        <x:v>Normal</x:v>
      </x:c>
      <x:c r="G111" s="93" t="n">
        <x:v>46.5</x:v>
      </x:c>
      <x:c r="H111" s="85" t="str">
        <x:v>Diagnóstico e execução</x:v>
      </x:c>
    </x:row>
    <x:row r="112">
      <x:c r="A112" s="83" t="n">
        <x:v>111</x:v>
      </x:c>
      <x:c r="B112" s="84" t="n">
        <x:v>71</x:v>
      </x:c>
      <x:c r="C112" s="84" t="n">
        <x:v>25</x:v>
      </x:c>
      <x:c r="D112" s="89" t="n">
        <x:v>45614</x:v>
      </x:c>
      <x:c r="E112" s="84" t="n">
        <x:v>1.5</x:v>
      </x:c>
      <x:c r="F112" s="84" t="str">
        <x:v>Normal</x:v>
      </x:c>
      <x:c r="G112" s="93" t="n">
        <x:v>80.39</x:v>
      </x:c>
      <x:c r="H112" s="85" t="str">
        <x:v>Diagnóstico e execução</x:v>
      </x:c>
    </x:row>
    <x:row r="113">
      <x:c r="A113" s="83" t="n">
        <x:v>112</x:v>
      </x:c>
      <x:c r="B113" s="84" t="n">
        <x:v>73</x:v>
      </x:c>
      <x:c r="C113" s="84" t="n">
        <x:v>7</x:v>
      </x:c>
      <x:c r="D113" s="89" t="n">
        <x:v>45431</x:v>
      </x:c>
      <x:c r="E113" s="84" t="n">
        <x:v>4.2</x:v>
      </x:c>
      <x:c r="F113" s="84" t="str">
        <x:v>Normal</x:v>
      </x:c>
      <x:c r="G113" s="93" t="n">
        <x:v>244.48</x:v>
      </x:c>
      <x:c r="H113" s="85" t="str">
        <x:v>Diagnóstico e execução</x:v>
      </x:c>
    </x:row>
    <x:row r="114">
      <x:c r="A114" s="83" t="n">
        <x:v>113</x:v>
      </x:c>
      <x:c r="B114" s="84" t="n">
        <x:v>73</x:v>
      </x:c>
      <x:c r="C114" s="84" t="n">
        <x:v>5</x:v>
      </x:c>
      <x:c r="D114" s="89" t="n">
        <x:v>45431</x:v>
      </x:c>
      <x:c r="E114" s="84" t="n">
        <x:v>3.5</x:v>
      </x:c>
      <x:c r="F114" s="84" t="str">
        <x:v>Normal</x:v>
      </x:c>
      <x:c r="G114" s="93" t="n">
        <x:v>100.87</x:v>
      </x:c>
      <x:c r="H114" s="85" t="str">
        <x:v>Diagnóstico e execução</x:v>
      </x:c>
    </x:row>
    <x:row r="115">
      <x:c r="A115" s="83" t="n">
        <x:v>114</x:v>
      </x:c>
      <x:c r="B115" s="84" t="n">
        <x:v>73</x:v>
      </x:c>
      <x:c r="C115" s="84" t="n">
        <x:v>26</x:v>
      </x:c>
      <x:c r="D115" s="89" t="n">
        <x:v>45431</x:v>
      </x:c>
      <x:c r="E115" s="84" t="n">
        <x:v>2.2</x:v>
      </x:c>
      <x:c r="F115" s="84" t="str">
        <x:v>Normal</x:v>
      </x:c>
      <x:c r="G115" s="93" t="n">
        <x:v>86.06</x:v>
      </x:c>
      <x:c r="H115" s="85" t="str">
        <x:v>Diagnóstico e execução</x:v>
      </x:c>
    </x:row>
    <x:row r="116">
      <x:c r="A116" s="83" t="n">
        <x:v>115</x:v>
      </x:c>
      <x:c r="B116" s="84" t="n">
        <x:v>74</x:v>
      </x:c>
      <x:c r="C116" s="84" t="n">
        <x:v>32</x:v>
      </x:c>
      <x:c r="D116" s="89" t="n">
        <x:v>45412</x:v>
      </x:c>
      <x:c r="E116" s="84" t="n">
        <x:v>6.6</x:v>
      </x:c>
      <x:c r="F116" s="84" t="str">
        <x:v>Normal</x:v>
      </x:c>
      <x:c r="G116" s="93" t="n">
        <x:v>288.09</x:v>
      </x:c>
      <x:c r="H116" s="85" t="str">
        <x:v>Diagnóstico e execução</x:v>
      </x:c>
    </x:row>
    <x:row r="117">
      <x:c r="A117" s="83" t="n">
        <x:v>116</x:v>
      </x:c>
      <x:c r="B117" s="84" t="n">
        <x:v>74</x:v>
      </x:c>
      <x:c r="C117" s="84" t="n">
        <x:v>26</x:v>
      </x:c>
      <x:c r="D117" s="89" t="n">
        <x:v>45412</x:v>
      </x:c>
      <x:c r="E117" s="84" t="n">
        <x:v>5.5</x:v>
      </x:c>
      <x:c r="F117" s="84" t="str">
        <x:v>Normal</x:v>
      </x:c>
      <x:c r="G117" s="93" t="n">
        <x:v>215.16</x:v>
      </x:c>
      <x:c r="H117" s="85" t="str">
        <x:v>Diagnóstico e execução</x:v>
      </x:c>
    </x:row>
    <x:row r="118">
      <x:c r="A118" s="83" t="n">
        <x:v>117</x:v>
      </x:c>
      <x:c r="B118" s="84" t="n">
        <x:v>75</x:v>
      </x:c>
      <x:c r="C118" s="84" t="n">
        <x:v>18</x:v>
      </x:c>
      <x:c r="D118" s="89" t="n">
        <x:v>45092</x:v>
      </x:c>
      <x:c r="E118" s="84" t="n">
        <x:v>4.3</x:v>
      </x:c>
      <x:c r="F118" s="84" t="str">
        <x:v>Normal</x:v>
      </x:c>
      <x:c r="G118" s="93" t="n">
        <x:v>271.29</x:v>
      </x:c>
      <x:c r="H118" s="85" t="str">
        <x:v>Diagnóstico e execução</x:v>
      </x:c>
    </x:row>
    <x:row r="119">
      <x:c r="A119" s="83" t="n">
        <x:v>118</x:v>
      </x:c>
      <x:c r="B119" s="84" t="n">
        <x:v>76</x:v>
      </x:c>
      <x:c r="C119" s="84" t="n">
        <x:v>45</x:v>
      </x:c>
      <x:c r="D119" s="89" t="n">
        <x:v>45295</x:v>
      </x:c>
      <x:c r="E119" s="84" t="n">
        <x:v>2.7</x:v>
      </x:c>
      <x:c r="F119" s="84" t="str">
        <x:v>Normal</x:v>
      </x:c>
      <x:c r="G119" s="93" t="n">
        <x:v>144.64</x:v>
      </x:c>
      <x:c r="H119" s="85" t="str">
        <x:v>Diagnóstico e execução</x:v>
      </x:c>
    </x:row>
    <x:row r="120">
      <x:c r="A120" s="83" t="n">
        <x:v>119</x:v>
      </x:c>
      <x:c r="B120" s="84" t="n">
        <x:v>76</x:v>
      </x:c>
      <x:c r="C120" s="84" t="n">
        <x:v>14</x:v>
      </x:c>
      <x:c r="D120" s="89" t="n">
        <x:v>45295</x:v>
      </x:c>
      <x:c r="E120" s="84" t="n">
        <x:v>7.8</x:v>
      </x:c>
      <x:c r="F120" s="84" t="str">
        <x:v>Normal</x:v>
      </x:c>
      <x:c r="G120" s="93" t="n">
        <x:v>441.95</x:v>
      </x:c>
      <x:c r="H120" s="85" t="str">
        <x:v>Diagnóstico e execução</x:v>
      </x:c>
    </x:row>
    <x:row r="121">
      <x:c r="A121" s="83" t="n">
        <x:v>120</x:v>
      </x:c>
      <x:c r="B121" s="84" t="n">
        <x:v>76</x:v>
      </x:c>
      <x:c r="C121" s="84" t="n">
        <x:v>12</x:v>
      </x:c>
      <x:c r="D121" s="89" t="n">
        <x:v>45295</x:v>
      </x:c>
      <x:c r="E121" s="84" t="n">
        <x:v>1</x:v>
      </x:c>
      <x:c r="F121" s="84" t="str">
        <x:v>Normal</x:v>
      </x:c>
      <x:c r="G121" s="93" t="n">
        <x:v>34.5</x:v>
      </x:c>
      <x:c r="H121" s="85" t="str">
        <x:v>Diagnóstico e execução</x:v>
      </x:c>
    </x:row>
    <x:row r="122">
      <x:c r="A122" s="83" t="n">
        <x:v>121</x:v>
      </x:c>
      <x:c r="B122" s="84" t="n">
        <x:v>78</x:v>
      </x:c>
      <x:c r="C122" s="84" t="n">
        <x:v>14</x:v>
      </x:c>
      <x:c r="D122" s="89" t="n">
        <x:v>45206</x:v>
      </x:c>
      <x:c r="E122" s="84" t="n">
        <x:v>6</x:v>
      </x:c>
      <x:c r="F122" s="84" t="str">
        <x:v>Normal</x:v>
      </x:c>
      <x:c r="G122" s="93" t="n">
        <x:v>339.96</x:v>
      </x:c>
      <x:c r="H122" s="85" t="str">
        <x:v>Diagnóstico e execução</x:v>
      </x:c>
    </x:row>
    <x:row r="123">
      <x:c r="A123" s="83" t="n">
        <x:v>122</x:v>
      </x:c>
      <x:c r="B123" s="84" t="n">
        <x:v>78</x:v>
      </x:c>
      <x:c r="C123" s="84" t="n">
        <x:v>40</x:v>
      </x:c>
      <x:c r="D123" s="89" t="n">
        <x:v>45206</x:v>
      </x:c>
      <x:c r="E123" s="84" t="n">
        <x:v>1</x:v>
      </x:c>
      <x:c r="F123" s="84" t="str">
        <x:v>Normal</x:v>
      </x:c>
      <x:c r="G123" s="93" t="n">
        <x:v>49.42</x:v>
      </x:c>
      <x:c r="H123" s="85" t="str">
        <x:v>Diagnóstico e execução</x:v>
      </x:c>
    </x:row>
    <x:row r="124">
      <x:c r="A124" s="83" t="n">
        <x:v>123</x:v>
      </x:c>
      <x:c r="B124" s="84" t="n">
        <x:v>79</x:v>
      </x:c>
      <x:c r="C124" s="84" t="n">
        <x:v>15</x:v>
      </x:c>
      <x:c r="D124" s="89" t="n">
        <x:v>45096</x:v>
      </x:c>
      <x:c r="E124" s="84" t="n">
        <x:v>3.3</x:v>
      </x:c>
      <x:c r="F124" s="84" t="str">
        <x:v>Normal</x:v>
      </x:c>
      <x:c r="G124" s="93" t="n">
        <x:v>99.79</x:v>
      </x:c>
      <x:c r="H124" s="85" t="str">
        <x:v>Diagnóstico e execução</x:v>
      </x:c>
    </x:row>
    <x:row r="125">
      <x:c r="A125" s="83" t="n">
        <x:v>124</x:v>
      </x:c>
      <x:c r="B125" s="84" t="n">
        <x:v>79</x:v>
      </x:c>
      <x:c r="C125" s="84" t="n">
        <x:v>9</x:v>
      </x:c>
      <x:c r="D125" s="89" t="n">
        <x:v>45096</x:v>
      </x:c>
      <x:c r="E125" s="84" t="n">
        <x:v>1.5</x:v>
      </x:c>
      <x:c r="F125" s="84" t="str">
        <x:v>Normal</x:v>
      </x:c>
      <x:c r="G125" s="93" t="n">
        <x:v>79</x:v>
      </x:c>
      <x:c r="H125" s="85" t="str">
        <x:v>Diagnóstico e execução</x:v>
      </x:c>
    </x:row>
    <x:row r="126">
      <x:c r="A126" s="83" t="n">
        <x:v>125</x:v>
      </x:c>
      <x:c r="B126" s="84" t="n">
        <x:v>79</x:v>
      </x:c>
      <x:c r="C126" s="84" t="n">
        <x:v>37</x:v>
      </x:c>
      <x:c r="D126" s="89" t="n">
        <x:v>45096</x:v>
      </x:c>
      <x:c r="E126" s="84" t="n">
        <x:v>1.2</x:v>
      </x:c>
      <x:c r="F126" s="84" t="str">
        <x:v>Normal</x:v>
      </x:c>
      <x:c r="G126" s="93" t="n">
        <x:v>70.76</x:v>
      </x:c>
      <x:c r="H126" s="85" t="str">
        <x:v>Diagnóstico e execução</x:v>
      </x:c>
    </x:row>
    <x:row r="127">
      <x:c r="A127" s="83" t="n">
        <x:v>126</x:v>
      </x:c>
      <x:c r="B127" s="84" t="n">
        <x:v>80</x:v>
      </x:c>
      <x:c r="C127" s="84" t="n">
        <x:v>28</x:v>
      </x:c>
      <x:c r="D127" s="89" t="n">
        <x:v>45804</x:v>
      </x:c>
      <x:c r="E127" s="84" t="n">
        <x:v>4.4</x:v>
      </x:c>
      <x:c r="F127" s="84" t="str">
        <x:v>Normal</x:v>
      </x:c>
      <x:c r="G127" s="93" t="n">
        <x:v>165.53</x:v>
      </x:c>
      <x:c r="H127" s="85" t="str">
        <x:v>Diagnóstico e execução</x:v>
      </x:c>
    </x:row>
    <x:row r="128">
      <x:c r="A128" s="83" t="n">
        <x:v>127</x:v>
      </x:c>
      <x:c r="B128" s="84" t="n">
        <x:v>80</x:v>
      </x:c>
      <x:c r="C128" s="84" t="n">
        <x:v>45</x:v>
      </x:c>
      <x:c r="D128" s="89" t="n">
        <x:v>45804</x:v>
      </x:c>
      <x:c r="E128" s="84" t="n">
        <x:v>0.7</x:v>
      </x:c>
      <x:c r="F128" s="84" t="str">
        <x:v>Normal</x:v>
      </x:c>
      <x:c r="G128" s="93" t="n">
        <x:v>37.5</x:v>
      </x:c>
      <x:c r="H128" s="85" t="str">
        <x:v>Diagnóstico e execução</x:v>
      </x:c>
    </x:row>
    <x:row r="129">
      <x:c r="A129" s="83" t="n">
        <x:v>128</x:v>
      </x:c>
      <x:c r="B129" s="84" t="n">
        <x:v>81</x:v>
      </x:c>
      <x:c r="C129" s="84" t="n">
        <x:v>14</x:v>
      </x:c>
      <x:c r="D129" s="89" t="n">
        <x:v>45897</x:v>
      </x:c>
      <x:c r="E129" s="84" t="n">
        <x:v>3.7</x:v>
      </x:c>
      <x:c r="F129" s="84" t="str">
        <x:v>Normal</x:v>
      </x:c>
      <x:c r="G129" s="93" t="n">
        <x:v>209.64</x:v>
      </x:c>
      <x:c r="H129" s="85" t="str">
        <x:v>Diagnóstico e execução</x:v>
      </x:c>
    </x:row>
    <x:row r="130">
      <x:c r="A130" s="83" t="n">
        <x:v>129</x:v>
      </x:c>
      <x:c r="B130" s="84" t="n">
        <x:v>81</x:v>
      </x:c>
      <x:c r="C130" s="84" t="n">
        <x:v>36</x:v>
      </x:c>
      <x:c r="D130" s="89" t="n">
        <x:v>45897</x:v>
      </x:c>
      <x:c r="E130" s="84" t="n">
        <x:v>1.3</x:v>
      </x:c>
      <x:c r="F130" s="84" t="str">
        <x:v>Normal</x:v>
      </x:c>
      <x:c r="G130" s="93" t="n">
        <x:v>38.56</x:v>
      </x:c>
      <x:c r="H130" s="85" t="str">
        <x:v>Diagnóstico e execução</x:v>
      </x:c>
    </x:row>
    <x:row r="131">
      <x:c r="A131" s="83" t="n">
        <x:v>130</x:v>
      </x:c>
      <x:c r="B131" s="84" t="n">
        <x:v>82</x:v>
      </x:c>
      <x:c r="C131" s="84" t="n">
        <x:v>40</x:v>
      </x:c>
      <x:c r="D131" s="89" t="n">
        <x:v>45418</x:v>
      </x:c>
      <x:c r="E131" s="84" t="n">
        <x:v>5.4</x:v>
      </x:c>
      <x:c r="F131" s="84" t="str">
        <x:v>Normal</x:v>
      </x:c>
      <x:c r="G131" s="93" t="n">
        <x:v>266.87</x:v>
      </x:c>
      <x:c r="H131" s="85" t="str">
        <x:v>Diagnóstico e execução</x:v>
      </x:c>
    </x:row>
    <x:row r="132">
      <x:c r="A132" s="83" t="n">
        <x:v>131</x:v>
      </x:c>
      <x:c r="B132" s="84" t="n">
        <x:v>83</x:v>
      </x:c>
      <x:c r="C132" s="84" t="n">
        <x:v>34</x:v>
      </x:c>
      <x:c r="D132" s="89" t="n">
        <x:v>45984</x:v>
      </x:c>
      <x:c r="E132" s="84" t="n">
        <x:v>5.2</x:v>
      </x:c>
      <x:c r="F132" s="84" t="str">
        <x:v>Normal</x:v>
      </x:c>
      <x:c r="G132" s="93" t="n">
        <x:v>224.8</x:v>
      </x:c>
      <x:c r="H132" s="85" t="str">
        <x:v>Diagnóstico e execução</x:v>
      </x:c>
    </x:row>
    <x:row r="133">
      <x:c r="A133" s="83" t="n">
        <x:v>132</x:v>
      </x:c>
      <x:c r="B133" s="84" t="n">
        <x:v>84</x:v>
      </x:c>
      <x:c r="C133" s="84" t="n">
        <x:v>6</x:v>
      </x:c>
      <x:c r="D133" s="89" t="n">
        <x:v>45953</x:v>
      </x:c>
      <x:c r="E133" s="84" t="n">
        <x:v>2.9</x:v>
      </x:c>
      <x:c r="F133" s="84" t="str">
        <x:v>Normal</x:v>
      </x:c>
      <x:c r="G133" s="93" t="n">
        <x:v>151.55</x:v>
      </x:c>
      <x:c r="H133" s="85" t="str">
        <x:v>Diagnóstico e execução</x:v>
      </x:c>
    </x:row>
    <x:row r="134">
      <x:c r="A134" s="83" t="n">
        <x:v>133</x:v>
      </x:c>
      <x:c r="B134" s="84" t="n">
        <x:v>84</x:v>
      </x:c>
      <x:c r="C134" s="84" t="n">
        <x:v>34</x:v>
      </x:c>
      <x:c r="D134" s="89" t="n">
        <x:v>45953</x:v>
      </x:c>
      <x:c r="E134" s="84" t="n">
        <x:v>3.7</x:v>
      </x:c>
      <x:c r="F134" s="84" t="str">
        <x:v>Normal</x:v>
      </x:c>
      <x:c r="G134" s="93" t="n">
        <x:v>159.95</x:v>
      </x:c>
      <x:c r="H134" s="85" t="str">
        <x:v>Diagnóstico e execução</x:v>
      </x:c>
    </x:row>
    <x:row r="135">
      <x:c r="A135" s="83" t="n">
        <x:v>134</x:v>
      </x:c>
      <x:c r="B135" s="84" t="n">
        <x:v>84</x:v>
      </x:c>
      <x:c r="C135" s="84" t="n">
        <x:v>3</x:v>
      </x:c>
      <x:c r="D135" s="89" t="n">
        <x:v>45953</x:v>
      </x:c>
      <x:c r="E135" s="84" t="n">
        <x:v>5.8</x:v>
      </x:c>
      <x:c r="F135" s="84" t="str">
        <x:v>Normal</x:v>
      </x:c>
      <x:c r="G135" s="93" t="n">
        <x:v>285.59</x:v>
      </x:c>
      <x:c r="H135" s="85" t="str">
        <x:v>Diagnóstico e execução</x:v>
      </x:c>
    </x:row>
    <x:row r="136">
      <x:c r="A136" s="83" t="n">
        <x:v>135</x:v>
      </x:c>
      <x:c r="B136" s="84" t="n">
        <x:v>85</x:v>
      </x:c>
      <x:c r="C136" s="84" t="n">
        <x:v>12</x:v>
      </x:c>
      <x:c r="D136" s="89" t="n">
        <x:v>45254</x:v>
      </x:c>
      <x:c r="E136" s="84" t="n">
        <x:v>2.2</x:v>
      </x:c>
      <x:c r="F136" s="84" t="str">
        <x:v>Normal</x:v>
      </x:c>
      <x:c r="G136" s="93" t="n">
        <x:v>75.9</x:v>
      </x:c>
      <x:c r="H136" s="85" t="str">
        <x:v>Diagnóstico e execução</x:v>
      </x:c>
    </x:row>
    <x:row r="137">
      <x:c r="A137" s="83" t="n">
        <x:v>136</x:v>
      </x:c>
      <x:c r="B137" s="84" t="n">
        <x:v>86</x:v>
      </x:c>
      <x:c r="C137" s="84" t="n">
        <x:v>22</x:v>
      </x:c>
      <x:c r="D137" s="89" t="n">
        <x:v>44949</x:v>
      </x:c>
      <x:c r="E137" s="84" t="n">
        <x:v>2.9</x:v>
      </x:c>
      <x:c r="F137" s="84" t="str">
        <x:v>Normal</x:v>
      </x:c>
      <x:c r="G137" s="93" t="n">
        <x:v>111.53</x:v>
      </x:c>
      <x:c r="H137" s="85" t="str">
        <x:v>Diagnóstico e execução</x:v>
      </x:c>
    </x:row>
    <x:row r="138">
      <x:c r="A138" s="83" t="n">
        <x:v>137</x:v>
      </x:c>
      <x:c r="B138" s="84" t="n">
        <x:v>86</x:v>
      </x:c>
      <x:c r="C138" s="84" t="n">
        <x:v>4</x:v>
      </x:c>
      <x:c r="D138" s="89" t="n">
        <x:v>44949</x:v>
      </x:c>
      <x:c r="E138" s="84" t="n">
        <x:v>6.2</x:v>
      </x:c>
      <x:c r="F138" s="84" t="str">
        <x:v>Normal</x:v>
      </x:c>
      <x:c r="G138" s="93" t="n">
        <x:v>304.98</x:v>
      </x:c>
      <x:c r="H138" s="85" t="str">
        <x:v>Diagnóstico e execução</x:v>
      </x:c>
    </x:row>
    <x:row r="139">
      <x:c r="A139" s="83" t="n">
        <x:v>138</x:v>
      </x:c>
      <x:c r="B139" s="84" t="n">
        <x:v>86</x:v>
      </x:c>
      <x:c r="C139" s="84" t="n">
        <x:v>41</x:v>
      </x:c>
      <x:c r="D139" s="89" t="n">
        <x:v>44949</x:v>
      </x:c>
      <x:c r="E139" s="84" t="n">
        <x:v>7.8</x:v>
      </x:c>
      <x:c r="F139" s="84" t="str">
        <x:v>Normal</x:v>
      </x:c>
      <x:c r="G139" s="93" t="n">
        <x:v>394.52</x:v>
      </x:c>
      <x:c r="H139" s="85" t="str">
        <x:v>Diagnóstico e execução</x:v>
      </x:c>
    </x:row>
    <x:row r="140">
      <x:c r="A140" s="83" t="n">
        <x:v>139</x:v>
      </x:c>
      <x:c r="B140" s="84" t="n">
        <x:v>87</x:v>
      </x:c>
      <x:c r="C140" s="84" t="n">
        <x:v>3</x:v>
      </x:c>
      <x:c r="D140" s="89" t="n">
        <x:v>45540</x:v>
      </x:c>
      <x:c r="E140" s="84" t="n">
        <x:v>1.8</x:v>
      </x:c>
      <x:c r="F140" s="84" t="str">
        <x:v>Normal</x:v>
      </x:c>
      <x:c r="G140" s="93" t="n">
        <x:v>88.63</x:v>
      </x:c>
      <x:c r="H140" s="85" t="str">
        <x:v>Diagnóstico e execução</x:v>
      </x:c>
    </x:row>
    <x:row r="141">
      <x:c r="A141" s="83" t="n">
        <x:v>140</x:v>
      </x:c>
      <x:c r="B141" s="84" t="n">
        <x:v>88</x:v>
      </x:c>
      <x:c r="C141" s="84" t="n">
        <x:v>29</x:v>
      </x:c>
      <x:c r="D141" s="89" t="n">
        <x:v>45703</x:v>
      </x:c>
      <x:c r="E141" s="84" t="n">
        <x:v>7.2</x:v>
      </x:c>
      <x:c r="F141" s="84" t="str">
        <x:v>Normal</x:v>
      </x:c>
      <x:c r="G141" s="93" t="n">
        <x:v>356.54</x:v>
      </x:c>
      <x:c r="H141" s="85" t="str">
        <x:v>Diagnóstico e execução</x:v>
      </x:c>
    </x:row>
    <x:row r="142">
      <x:c r="A142" s="83" t="n">
        <x:v>141</x:v>
      </x:c>
      <x:c r="B142" s="84" t="n">
        <x:v>88</x:v>
      </x:c>
      <x:c r="C142" s="84" t="n">
        <x:v>28</x:v>
      </x:c>
      <x:c r="D142" s="89" t="n">
        <x:v>45703</x:v>
      </x:c>
      <x:c r="E142" s="84" t="n">
        <x:v>5</x:v>
      </x:c>
      <x:c r="F142" s="84" t="str">
        <x:v>Normal</x:v>
      </x:c>
      <x:c r="G142" s="93" t="n">
        <x:v>188.1</x:v>
      </x:c>
      <x:c r="H142" s="85" t="str">
        <x:v>Diagnóstico e execução</x:v>
      </x:c>
    </x:row>
    <x:row r="143">
      <x:c r="A143" s="83" t="n">
        <x:v>142</x:v>
      </x:c>
      <x:c r="B143" s="84" t="n">
        <x:v>89</x:v>
      </x:c>
      <x:c r="C143" s="84" t="n">
        <x:v>6</x:v>
      </x:c>
      <x:c r="D143" s="89" t="n">
        <x:v>45846</x:v>
      </x:c>
      <x:c r="E143" s="84" t="n">
        <x:v>3.8</x:v>
      </x:c>
      <x:c r="F143" s="84" t="str">
        <x:v>Normal</x:v>
      </x:c>
      <x:c r="G143" s="93" t="n">
        <x:v>198.59</x:v>
      </x:c>
      <x:c r="H143" s="85" t="str">
        <x:v>Diagnóstico e execução</x:v>
      </x:c>
    </x:row>
    <x:row r="144">
      <x:c r="A144" s="83" t="n">
        <x:v>143</x:v>
      </x:c>
      <x:c r="B144" s="84" t="n">
        <x:v>89</x:v>
      </x:c>
      <x:c r="C144" s="84" t="n">
        <x:v>14</x:v>
      </x:c>
      <x:c r="D144" s="89" t="n">
        <x:v>45846</x:v>
      </x:c>
      <x:c r="E144" s="84" t="n">
        <x:v>2.4</x:v>
      </x:c>
      <x:c r="F144" s="84" t="str">
        <x:v>Normal</x:v>
      </x:c>
      <x:c r="G144" s="93" t="n">
        <x:v>135.98</x:v>
      </x:c>
      <x:c r="H144" s="85" t="str">
        <x:v>Diagnóstico e execução</x:v>
      </x:c>
    </x:row>
    <x:row r="145">
      <x:c r="A145" s="83" t="n">
        <x:v>144</x:v>
      </x:c>
      <x:c r="B145" s="84" t="n">
        <x:v>89</x:v>
      </x:c>
      <x:c r="C145" s="84" t="n">
        <x:v>15</x:v>
      </x:c>
      <x:c r="D145" s="89" t="n">
        <x:v>45846</x:v>
      </x:c>
      <x:c r="E145" s="84" t="n">
        <x:v>2.3</x:v>
      </x:c>
      <x:c r="F145" s="84" t="str">
        <x:v>Normal</x:v>
      </x:c>
      <x:c r="G145" s="93" t="n">
        <x:v>69.55</x:v>
      </x:c>
      <x:c r="H145" s="85" t="str">
        <x:v>Diagnóstico e execução</x:v>
      </x:c>
    </x:row>
    <x:row r="146">
      <x:c r="A146" s="83" t="n">
        <x:v>145</x:v>
      </x:c>
      <x:c r="B146" s="84" t="n">
        <x:v>90</x:v>
      </x:c>
      <x:c r="C146" s="84" t="n">
        <x:v>14</x:v>
      </x:c>
      <x:c r="D146" s="89" t="n">
        <x:v>45224</x:v>
      </x:c>
      <x:c r="E146" s="84" t="n">
        <x:v>5.1</x:v>
      </x:c>
      <x:c r="F146" s="84" t="str">
        <x:v>Normal</x:v>
      </x:c>
      <x:c r="G146" s="93" t="n">
        <x:v>288.97</x:v>
      </x:c>
      <x:c r="H146" s="85" t="str">
        <x:v>Diagnóstico e execução</x:v>
      </x:c>
    </x:row>
    <x:row r="147">
      <x:c r="A147" s="83" t="n">
        <x:v>146</x:v>
      </x:c>
      <x:c r="B147" s="84" t="n">
        <x:v>91</x:v>
      </x:c>
      <x:c r="C147" s="84" t="n">
        <x:v>31</x:v>
      </x:c>
      <x:c r="D147" s="89" t="n">
        <x:v>45990</x:v>
      </x:c>
      <x:c r="E147" s="84" t="n">
        <x:v>6.9</x:v>
      </x:c>
      <x:c r="F147" s="84" t="str">
        <x:v>Normal</x:v>
      </x:c>
      <x:c r="G147" s="93" t="n">
        <x:v>337.41</x:v>
      </x:c>
      <x:c r="H147" s="85" t="str">
        <x:v>Diagnóstico e execução</x:v>
      </x:c>
    </x:row>
    <x:row r="148">
      <x:c r="A148" s="83" t="n">
        <x:v>147</x:v>
      </x:c>
      <x:c r="B148" s="84" t="n">
        <x:v>91</x:v>
      </x:c>
      <x:c r="C148" s="84" t="n">
        <x:v>8</x:v>
      </x:c>
      <x:c r="D148" s="89" t="n">
        <x:v>45990</x:v>
      </x:c>
      <x:c r="E148" s="84" t="n">
        <x:v>0.8</x:v>
      </x:c>
      <x:c r="F148" s="84" t="str">
        <x:v>Normal</x:v>
      </x:c>
      <x:c r="G148" s="93" t="n">
        <x:v>37.2</x:v>
      </x:c>
      <x:c r="H148" s="85" t="str">
        <x:v>Diagnóstico e execução</x:v>
      </x:c>
    </x:row>
    <x:row r="149">
      <x:c r="A149" s="83" t="n">
        <x:v>148</x:v>
      </x:c>
      <x:c r="B149" s="84" t="n">
        <x:v>92</x:v>
      </x:c>
      <x:c r="C149" s="84" t="n">
        <x:v>25</x:v>
      </x:c>
      <x:c r="D149" s="89" t="n">
        <x:v>45823</x:v>
      </x:c>
      <x:c r="E149" s="84" t="n">
        <x:v>1.2</x:v>
      </x:c>
      <x:c r="F149" s="84" t="str">
        <x:v>Normal</x:v>
      </x:c>
      <x:c r="G149" s="93" t="n">
        <x:v>64.31</x:v>
      </x:c>
      <x:c r="H149" s="85" t="str">
        <x:v>Diagnóstico e execução</x:v>
      </x:c>
    </x:row>
    <x:row r="150">
      <x:c r="A150" s="83" t="n">
        <x:v>149</x:v>
      </x:c>
      <x:c r="B150" s="84" t="n">
        <x:v>92</x:v>
      </x:c>
      <x:c r="C150" s="84" t="n">
        <x:v>2</x:v>
      </x:c>
      <x:c r="D150" s="89" t="n">
        <x:v>45823</x:v>
      </x:c>
      <x:c r="E150" s="84" t="n">
        <x:v>6</x:v>
      </x:c>
      <x:c r="F150" s="84" t="str">
        <x:v>Normal</x:v>
      </x:c>
      <x:c r="G150" s="93" t="n">
        <x:v>223.56</x:v>
      </x:c>
      <x:c r="H150" s="85" t="str">
        <x:v>Diagnóstico e execução</x:v>
      </x:c>
    </x:row>
    <x:row r="151">
      <x:c r="A151" s="83" t="n">
        <x:v>150</x:v>
      </x:c>
      <x:c r="B151" s="84" t="n">
        <x:v>93</x:v>
      </x:c>
      <x:c r="C151" s="84" t="n">
        <x:v>30</x:v>
      </x:c>
      <x:c r="D151" s="89" t="n">
        <x:v>45074</x:v>
      </x:c>
      <x:c r="E151" s="84" t="n">
        <x:v>6.1</x:v>
      </x:c>
      <x:c r="F151" s="84" t="str">
        <x:v>Normal</x:v>
      </x:c>
      <x:c r="G151" s="93" t="n">
        <x:v>252.6</x:v>
      </x:c>
      <x:c r="H151" s="85" t="str">
        <x:v>Diagnóstico e execução</x:v>
      </x:c>
    </x:row>
    <x:row r="152">
      <x:c r="A152" s="83" t="n">
        <x:v>151</x:v>
      </x:c>
      <x:c r="B152" s="84" t="n">
        <x:v>94</x:v>
      </x:c>
      <x:c r="C152" s="84" t="n">
        <x:v>41</x:v>
      </x:c>
      <x:c r="D152" s="89" t="n">
        <x:v>45759</x:v>
      </x:c>
      <x:c r="E152" s="84" t="n">
        <x:v>2.2</x:v>
      </x:c>
      <x:c r="F152" s="84" t="str">
        <x:v>Normal</x:v>
      </x:c>
      <x:c r="G152" s="93" t="n">
        <x:v>111.28</x:v>
      </x:c>
      <x:c r="H152" s="85" t="str">
        <x:v>Diagnóstico e execução</x:v>
      </x:c>
    </x:row>
    <x:row r="153">
      <x:c r="A153" s="83" t="n">
        <x:v>152</x:v>
      </x:c>
      <x:c r="B153" s="84" t="n">
        <x:v>95</x:v>
      </x:c>
      <x:c r="C153" s="84" t="n">
        <x:v>9</x:v>
      </x:c>
      <x:c r="D153" s="89" t="n">
        <x:v>45362</x:v>
      </x:c>
      <x:c r="E153" s="84" t="n">
        <x:v>3.5</x:v>
      </x:c>
      <x:c r="F153" s="84" t="str">
        <x:v>Normal</x:v>
      </x:c>
      <x:c r="G153" s="93" t="n">
        <x:v>184.34</x:v>
      </x:c>
      <x:c r="H153" s="85" t="str">
        <x:v>Diagnóstico e execução</x:v>
      </x:c>
    </x:row>
    <x:row r="154">
      <x:c r="A154" s="83" t="n">
        <x:v>153</x:v>
      </x:c>
      <x:c r="B154" s="84" t="n">
        <x:v>95</x:v>
      </x:c>
      <x:c r="C154" s="84" t="n">
        <x:v>16</x:v>
      </x:c>
      <x:c r="D154" s="89" t="n">
        <x:v>45362</x:v>
      </x:c>
      <x:c r="E154" s="84" t="n">
        <x:v>4</x:v>
      </x:c>
      <x:c r="F154" s="84" t="str">
        <x:v>Normal</x:v>
      </x:c>
      <x:c r="G154" s="93" t="n">
        <x:v>162.08</x:v>
      </x:c>
      <x:c r="H154" s="85" t="str">
        <x:v>Diagnóstico e execução</x:v>
      </x:c>
    </x:row>
    <x:row r="155">
      <x:c r="A155" s="83" t="n">
        <x:v>154</x:v>
      </x:c>
      <x:c r="B155" s="84" t="n">
        <x:v>96</x:v>
      </x:c>
      <x:c r="C155" s="84" t="n">
        <x:v>18</x:v>
      </x:c>
      <x:c r="D155" s="89" t="n">
        <x:v>45407</x:v>
      </x:c>
      <x:c r="E155" s="84" t="n">
        <x:v>3.2</x:v>
      </x:c>
      <x:c r="F155" s="84" t="str">
        <x:v>Normal</x:v>
      </x:c>
      <x:c r="G155" s="93" t="n">
        <x:v>201.89</x:v>
      </x:c>
      <x:c r="H155" s="85" t="str">
        <x:v>Diagnóstico e execução</x:v>
      </x:c>
    </x:row>
    <x:row r="156">
      <x:c r="A156" s="83" t="n">
        <x:v>155</x:v>
      </x:c>
      <x:c r="B156" s="84" t="n">
        <x:v>96</x:v>
      </x:c>
      <x:c r="C156" s="84" t="n">
        <x:v>15</x:v>
      </x:c>
      <x:c r="D156" s="89" t="n">
        <x:v>45407</x:v>
      </x:c>
      <x:c r="E156" s="84" t="n">
        <x:v>3.7</x:v>
      </x:c>
      <x:c r="F156" s="84" t="str">
        <x:v>Normal</x:v>
      </x:c>
      <x:c r="G156" s="93" t="n">
        <x:v>111.89</x:v>
      </x:c>
      <x:c r="H156" s="85" t="str">
        <x:v>Diagnóstico e execução</x:v>
      </x:c>
    </x:row>
    <x:row r="157">
      <x:c r="A157" s="83" t="n">
        <x:v>156</x:v>
      </x:c>
      <x:c r="B157" s="84" t="n">
        <x:v>97</x:v>
      </x:c>
      <x:c r="C157" s="84" t="n">
        <x:v>8</x:v>
      </x:c>
      <x:c r="D157" s="89" t="n">
        <x:v>45522</x:v>
      </x:c>
      <x:c r="E157" s="84" t="n">
        <x:v>1</x:v>
      </x:c>
      <x:c r="F157" s="84" t="str">
        <x:v>Normal</x:v>
      </x:c>
      <x:c r="G157" s="93" t="n">
        <x:v>46.5</x:v>
      </x:c>
      <x:c r="H157" s="85" t="str">
        <x:v>Diagnóstico e execução</x:v>
      </x:c>
    </x:row>
    <x:row r="158">
      <x:c r="A158" s="83" t="n">
        <x:v>157</x:v>
      </x:c>
      <x:c r="B158" s="84" t="n">
        <x:v>98</x:v>
      </x:c>
      <x:c r="C158" s="84" t="n">
        <x:v>31</x:v>
      </x:c>
      <x:c r="D158" s="89" t="n">
        <x:v>45338</x:v>
      </x:c>
      <x:c r="E158" s="84" t="n">
        <x:v>6.9</x:v>
      </x:c>
      <x:c r="F158" s="84" t="str">
        <x:v>Normal</x:v>
      </x:c>
      <x:c r="G158" s="93" t="n">
        <x:v>337.41</x:v>
      </x:c>
      <x:c r="H158" s="85" t="str">
        <x:v>Diagnóstico e execução</x:v>
      </x:c>
    </x:row>
    <x:row r="159">
      <x:c r="A159" s="83" t="n">
        <x:v>158</x:v>
      </x:c>
      <x:c r="B159" s="84" t="n">
        <x:v>98</x:v>
      </x:c>
      <x:c r="C159" s="84" t="n">
        <x:v>30</x:v>
      </x:c>
      <x:c r="D159" s="89" t="n">
        <x:v>45338</x:v>
      </x:c>
      <x:c r="E159" s="84" t="n">
        <x:v>0.8</x:v>
      </x:c>
      <x:c r="F159" s="84" t="str">
        <x:v>Normal</x:v>
      </x:c>
      <x:c r="G159" s="93" t="n">
        <x:v>33.13</x:v>
      </x:c>
      <x:c r="H159" s="85" t="str">
        <x:v>Diagnóstico e execução</x:v>
      </x:c>
    </x:row>
    <x:row r="160">
      <x:c r="A160" s="83" t="n">
        <x:v>159</x:v>
      </x:c>
      <x:c r="B160" s="84" t="n">
        <x:v>98</x:v>
      </x:c>
      <x:c r="C160" s="84" t="n">
        <x:v>45</x:v>
      </x:c>
      <x:c r="D160" s="89" t="n">
        <x:v>45338</x:v>
      </x:c>
      <x:c r="E160" s="84" t="n">
        <x:v>5.8</x:v>
      </x:c>
      <x:c r="F160" s="84" t="str">
        <x:v>Normal</x:v>
      </x:c>
      <x:c r="G160" s="93" t="n">
        <x:v>310.71</x:v>
      </x:c>
      <x:c r="H160" s="85" t="str">
        <x:v>Diagnóstico e execução</x:v>
      </x:c>
    </x:row>
    <x:row r="161">
      <x:c r="A161" s="83" t="n">
        <x:v>160</x:v>
      </x:c>
      <x:c r="B161" s="84" t="n">
        <x:v>100</x:v>
      </x:c>
      <x:c r="C161" s="84" t="n">
        <x:v>16</x:v>
      </x:c>
      <x:c r="D161" s="89" t="n">
        <x:v>45240</x:v>
      </x:c>
      <x:c r="E161" s="84" t="n">
        <x:v>5.4</x:v>
      </x:c>
      <x:c r="F161" s="84" t="str">
        <x:v>Normal</x:v>
      </x:c>
      <x:c r="G161" s="93" t="n">
        <x:v>218.81</x:v>
      </x:c>
      <x:c r="H161" s="85" t="str">
        <x:v>Diagnóstico e execução</x:v>
      </x:c>
    </x:row>
    <x:row r="162">
      <x:c r="A162" s="83" t="n">
        <x:v>161</x:v>
      </x:c>
      <x:c r="B162" s="84" t="n">
        <x:v>100</x:v>
      </x:c>
      <x:c r="C162" s="84" t="n">
        <x:v>31</x:v>
      </x:c>
      <x:c r="D162" s="89" t="n">
        <x:v>45240</x:v>
      </x:c>
      <x:c r="E162" s="84" t="n">
        <x:v>7.4</x:v>
      </x:c>
      <x:c r="F162" s="84" t="str">
        <x:v>Normal</x:v>
      </x:c>
      <x:c r="G162" s="93" t="n">
        <x:v>361.86</x:v>
      </x:c>
      <x:c r="H162" s="85" t="str">
        <x:v>Diagnóstico e execução</x:v>
      </x:c>
    </x:row>
    <x:row r="163">
      <x:c r="A163" s="83" t="n">
        <x:v>162</x:v>
      </x:c>
      <x:c r="B163" s="84" t="n">
        <x:v>101</x:v>
      </x:c>
      <x:c r="C163" s="84" t="n">
        <x:v>12</x:v>
      </x:c>
      <x:c r="D163" s="89" t="n">
        <x:v>44948</x:v>
      </x:c>
      <x:c r="E163" s="84" t="n">
        <x:v>4.4</x:v>
      </x:c>
      <x:c r="F163" s="84" t="str">
        <x:v>Normal</x:v>
      </x:c>
      <x:c r="G163" s="93" t="n">
        <x:v>151.8</x:v>
      </x:c>
      <x:c r="H163" s="85" t="str">
        <x:v>Diagnóstico e execução</x:v>
      </x:c>
    </x:row>
    <x:row r="164">
      <x:c r="A164" s="83" t="n">
        <x:v>163</x:v>
      </x:c>
      <x:c r="B164" s="84" t="n">
        <x:v>101</x:v>
      </x:c>
      <x:c r="C164" s="84" t="n">
        <x:v>23</x:v>
      </x:c>
      <x:c r="D164" s="89" t="n">
        <x:v>44948</x:v>
      </x:c>
      <x:c r="E164" s="84" t="n">
        <x:v>7.7</x:v>
      </x:c>
      <x:c r="F164" s="84" t="str">
        <x:v>Normal</x:v>
      </x:c>
      <x:c r="G164" s="93" t="n">
        <x:v>331.95</x:v>
      </x:c>
      <x:c r="H164" s="85" t="str">
        <x:v>Diagnóstico e execução</x:v>
      </x:c>
    </x:row>
    <x:row r="165">
      <x:c r="A165" s="83" t="n">
        <x:v>164</x:v>
      </x:c>
      <x:c r="B165" s="84" t="n">
        <x:v>102</x:v>
      </x:c>
      <x:c r="C165" s="84" t="n">
        <x:v>31</x:v>
      </x:c>
      <x:c r="D165" s="89" t="n">
        <x:v>45013</x:v>
      </x:c>
      <x:c r="E165" s="84" t="n">
        <x:v>7.2</x:v>
      </x:c>
      <x:c r="F165" s="84" t="str">
        <x:v>Normal</x:v>
      </x:c>
      <x:c r="G165" s="93" t="n">
        <x:v>352.08</x:v>
      </x:c>
      <x:c r="H165" s="85" t="str">
        <x:v>Diagnóstico e execução</x:v>
      </x:c>
    </x:row>
    <x:row r="166">
      <x:c r="A166" s="83" t="n">
        <x:v>165</x:v>
      </x:c>
      <x:c r="B166" s="84" t="n">
        <x:v>102</x:v>
      </x:c>
      <x:c r="C166" s="84" t="n">
        <x:v>45</x:v>
      </x:c>
      <x:c r="D166" s="89" t="n">
        <x:v>45013</x:v>
      </x:c>
      <x:c r="E166" s="84" t="n">
        <x:v>6.8</x:v>
      </x:c>
      <x:c r="F166" s="84" t="str">
        <x:v>Normal</x:v>
      </x:c>
      <x:c r="G166" s="93" t="n">
        <x:v>364.28</x:v>
      </x:c>
      <x:c r="H166" s="85" t="str">
        <x:v>Diagnóstico e execução</x:v>
      </x:c>
    </x:row>
    <x:row r="167">
      <x:c r="A167" s="83" t="n">
        <x:v>166</x:v>
      </x:c>
      <x:c r="B167" s="84" t="n">
        <x:v>103</x:v>
      </x:c>
      <x:c r="C167" s="84" t="n">
        <x:v>11</x:v>
      </x:c>
      <x:c r="D167" s="89" t="n">
        <x:v>45757</x:v>
      </x:c>
      <x:c r="E167" s="84" t="n">
        <x:v>6</x:v>
      </x:c>
      <x:c r="F167" s="84" t="str">
        <x:v>Normal</x:v>
      </x:c>
      <x:c r="G167" s="93" t="n">
        <x:v>250.08</x:v>
      </x:c>
      <x:c r="H167" s="85" t="str">
        <x:v>Diagnóstico e execução</x:v>
      </x:c>
    </x:row>
    <x:row r="168">
      <x:c r="A168" s="83" t="n">
        <x:v>167</x:v>
      </x:c>
      <x:c r="B168" s="84" t="n">
        <x:v>104</x:v>
      </x:c>
      <x:c r="C168" s="84" t="n">
        <x:v>36</x:v>
      </x:c>
      <x:c r="D168" s="89" t="n">
        <x:v>45604</x:v>
      </x:c>
      <x:c r="E168" s="84" t="n">
        <x:v>3.6</x:v>
      </x:c>
      <x:c r="F168" s="84" t="str">
        <x:v>Normal</x:v>
      </x:c>
      <x:c r="G168" s="93" t="n">
        <x:v>106.78</x:v>
      </x:c>
      <x:c r="H168" s="85" t="str">
        <x:v>Diagnóstico e execução</x:v>
      </x:c>
    </x:row>
    <x:row r="169">
      <x:c r="A169" s="83" t="n">
        <x:v>168</x:v>
      </x:c>
      <x:c r="B169" s="84" t="n">
        <x:v>105</x:v>
      </x:c>
      <x:c r="C169" s="84" t="n">
        <x:v>41</x:v>
      </x:c>
      <x:c r="D169" s="89" t="n">
        <x:v>44947</x:v>
      </x:c>
      <x:c r="E169" s="84" t="n">
        <x:v>7</x:v>
      </x:c>
      <x:c r="F169" s="84" t="str">
        <x:v>Normal</x:v>
      </x:c>
      <x:c r="G169" s="93" t="n">
        <x:v>354.06</x:v>
      </x:c>
      <x:c r="H169" s="85" t="str">
        <x:v>Diagnóstico e execução</x:v>
      </x:c>
    </x:row>
    <x:row r="170">
      <x:c r="A170" s="83" t="n">
        <x:v>169</x:v>
      </x:c>
      <x:c r="B170" s="84" t="n">
        <x:v>107</x:v>
      </x:c>
      <x:c r="C170" s="84" t="n">
        <x:v>29</x:v>
      </x:c>
      <x:c r="D170" s="89" t="n">
        <x:v>45611</x:v>
      </x:c>
      <x:c r="E170" s="84" t="n">
        <x:v>3.1</x:v>
      </x:c>
      <x:c r="F170" s="84" t="str">
        <x:v>Normal</x:v>
      </x:c>
      <x:c r="G170" s="93" t="n">
        <x:v>153.51</x:v>
      </x:c>
      <x:c r="H170" s="85" t="str">
        <x:v>Diagnóstico e execução</x:v>
      </x:c>
    </x:row>
    <x:row r="171">
      <x:c r="A171" s="83" t="n">
        <x:v>170</x:v>
      </x:c>
      <x:c r="B171" s="84" t="n">
        <x:v>107</x:v>
      </x:c>
      <x:c r="C171" s="84" t="n">
        <x:v>40</x:v>
      </x:c>
      <x:c r="D171" s="89" t="n">
        <x:v>45611</x:v>
      </x:c>
      <x:c r="E171" s="84" t="n">
        <x:v>2.4</x:v>
      </x:c>
      <x:c r="F171" s="84" t="str">
        <x:v>Normal</x:v>
      </x:c>
      <x:c r="G171" s="93" t="n">
        <x:v>118.61</x:v>
      </x:c>
      <x:c r="H171" s="85" t="str">
        <x:v>Diagnóstico e execução</x:v>
      </x:c>
    </x:row>
    <x:row r="172">
      <x:c r="A172" s="83" t="n">
        <x:v>171</x:v>
      </x:c>
      <x:c r="B172" s="84" t="n">
        <x:v>107</x:v>
      </x:c>
      <x:c r="C172" s="84" t="n">
        <x:v>19</x:v>
      </x:c>
      <x:c r="D172" s="89" t="n">
        <x:v>45611</x:v>
      </x:c>
      <x:c r="E172" s="84" t="n">
        <x:v>2.1</x:v>
      </x:c>
      <x:c r="F172" s="84" t="str">
        <x:v>Normal</x:v>
      </x:c>
      <x:c r="G172" s="93" t="n">
        <x:v>97.61</x:v>
      </x:c>
      <x:c r="H172" s="85" t="str">
        <x:v>Diagnóstico e execução</x:v>
      </x:c>
    </x:row>
    <x:row r="173">
      <x:c r="A173" s="83" t="n">
        <x:v>172</x:v>
      </x:c>
      <x:c r="B173" s="84" t="n">
        <x:v>108</x:v>
      </x:c>
      <x:c r="C173" s="84" t="n">
        <x:v>17</x:v>
      </x:c>
      <x:c r="D173" s="89" t="n">
        <x:v>45742</x:v>
      </x:c>
      <x:c r="E173" s="84" t="n">
        <x:v>2.5</x:v>
      </x:c>
      <x:c r="F173" s="84" t="str">
        <x:v>Normal</x:v>
      </x:c>
      <x:c r="G173" s="93" t="n">
        <x:v>139.45</x:v>
      </x:c>
      <x:c r="H173" s="85" t="str">
        <x:v>Diagnóstico e execução</x:v>
      </x:c>
    </x:row>
    <x:row r="174">
      <x:c r="A174" s="83" t="n">
        <x:v>173</x:v>
      </x:c>
      <x:c r="B174" s="84" t="n">
        <x:v>109</x:v>
      </x:c>
      <x:c r="C174" s="84" t="n">
        <x:v>12</x:v>
      </x:c>
      <x:c r="D174" s="89" t="n">
        <x:v>45226</x:v>
      </x:c>
      <x:c r="E174" s="84" t="n">
        <x:v>3.1</x:v>
      </x:c>
      <x:c r="F174" s="84" t="str">
        <x:v>Normal</x:v>
      </x:c>
      <x:c r="G174" s="93" t="n">
        <x:v>106.95</x:v>
      </x:c>
      <x:c r="H174" s="85" t="str">
        <x:v>Diagnóstico e execução</x:v>
      </x:c>
    </x:row>
    <x:row r="175">
      <x:c r="A175" s="83" t="n">
        <x:v>174</x:v>
      </x:c>
      <x:c r="B175" s="84" t="n">
        <x:v>109</x:v>
      </x:c>
      <x:c r="C175" s="84" t="n">
        <x:v>1</x:v>
      </x:c>
      <x:c r="D175" s="89" t="n">
        <x:v>45226</x:v>
      </x:c>
      <x:c r="E175" s="84" t="n">
        <x:v>3.1</x:v>
      </x:c>
      <x:c r="F175" s="84" t="str">
        <x:v>Normal</x:v>
      </x:c>
      <x:c r="G175" s="93" t="n">
        <x:v>109.65</x:v>
      </x:c>
      <x:c r="H175" s="85" t="str">
        <x:v>Diagnóstico e execução</x:v>
      </x:c>
    </x:row>
    <x:row r="176">
      <x:c r="A176" s="83" t="n">
        <x:v>175</x:v>
      </x:c>
      <x:c r="B176" s="84" t="n">
        <x:v>109</x:v>
      </x:c>
      <x:c r="C176" s="84" t="n">
        <x:v>10</x:v>
      </x:c>
      <x:c r="D176" s="89" t="n">
        <x:v>45226</x:v>
      </x:c>
      <x:c r="E176" s="84" t="n">
        <x:v>5.4</x:v>
      </x:c>
      <x:c r="F176" s="84" t="str">
        <x:v>Normal</x:v>
      </x:c>
      <x:c r="G176" s="93" t="n">
        <x:v>160.33</x:v>
      </x:c>
      <x:c r="H176" s="85" t="str">
        <x:v>Diagnóstico e execução</x:v>
      </x:c>
    </x:row>
    <x:row r="177">
      <x:c r="A177" s="83" t="n">
        <x:v>176</x:v>
      </x:c>
      <x:c r="B177" s="84" t="n">
        <x:v>113</x:v>
      </x:c>
      <x:c r="C177" s="84" t="n">
        <x:v>7</x:v>
      </x:c>
      <x:c r="D177" s="89" t="n">
        <x:v>45199</x:v>
      </x:c>
      <x:c r="E177" s="84" t="n">
        <x:v>2.8</x:v>
      </x:c>
      <x:c r="F177" s="84" t="str">
        <x:v>Normal</x:v>
      </x:c>
      <x:c r="G177" s="93" t="n">
        <x:v>162.99</x:v>
      </x:c>
      <x:c r="H177" s="85" t="str">
        <x:v>Diagnóstico e execução</x:v>
      </x:c>
    </x:row>
    <x:row r="178">
      <x:c r="A178" s="83" t="n">
        <x:v>177</x:v>
      </x:c>
      <x:c r="B178" s="84" t="n">
        <x:v>114</x:v>
      </x:c>
      <x:c r="C178" s="84" t="n">
        <x:v>36</x:v>
      </x:c>
      <x:c r="D178" s="89" t="n">
        <x:v>45478</x:v>
      </x:c>
      <x:c r="E178" s="84" t="n">
        <x:v>5.6</x:v>
      </x:c>
      <x:c r="F178" s="84" t="str">
        <x:v>Normal</x:v>
      </x:c>
      <x:c r="G178" s="93" t="n">
        <x:v>166.1</x:v>
      </x:c>
      <x:c r="H178" s="85" t="str">
        <x:v>Diagnóstico e execução</x:v>
      </x:c>
    </x:row>
    <x:row r="179">
      <x:c r="A179" s="83" t="n">
        <x:v>178</x:v>
      </x:c>
      <x:c r="B179" s="84" t="n">
        <x:v>114</x:v>
      </x:c>
      <x:c r="C179" s="84" t="n">
        <x:v>39</x:v>
      </x:c>
      <x:c r="D179" s="89" t="n">
        <x:v>45478</x:v>
      </x:c>
      <x:c r="E179" s="84" t="n">
        <x:v>5.8</x:v>
      </x:c>
      <x:c r="F179" s="84" t="str">
        <x:v>Normal</x:v>
      </x:c>
      <x:c r="G179" s="93" t="n">
        <x:v>335.82</x:v>
      </x:c>
      <x:c r="H179" s="85" t="str">
        <x:v>Diagnóstico e execução</x:v>
      </x:c>
    </x:row>
    <x:row r="180">
      <x:c r="A180" s="83" t="n">
        <x:v>179</x:v>
      </x:c>
      <x:c r="B180" s="84" t="n">
        <x:v>115</x:v>
      </x:c>
      <x:c r="C180" s="84" t="n">
        <x:v>34</x:v>
      </x:c>
      <x:c r="D180" s="89" t="n">
        <x:v>44980</x:v>
      </x:c>
      <x:c r="E180" s="84" t="n">
        <x:v>5.7</x:v>
      </x:c>
      <x:c r="F180" s="84" t="str">
        <x:v>Normal</x:v>
      </x:c>
      <x:c r="G180" s="93" t="n">
        <x:v>246.41</x:v>
      </x:c>
      <x:c r="H180" s="85" t="str">
        <x:v>Diagnóstico e execução</x:v>
      </x:c>
    </x:row>
    <x:row r="181">
      <x:c r="A181" s="83" t="n">
        <x:v>180</x:v>
      </x:c>
      <x:c r="B181" s="84" t="n">
        <x:v>115</x:v>
      </x:c>
      <x:c r="C181" s="84" t="n">
        <x:v>31</x:v>
      </x:c>
      <x:c r="D181" s="89" t="n">
        <x:v>44980</x:v>
      </x:c>
      <x:c r="E181" s="84" t="n">
        <x:v>4.4</x:v>
      </x:c>
      <x:c r="F181" s="84" t="str">
        <x:v>Normal</x:v>
      </x:c>
      <x:c r="G181" s="93" t="n">
        <x:v>215.16</x:v>
      </x:c>
      <x:c r="H181" s="85" t="str">
        <x:v>Diagnóstico e execução</x:v>
      </x:c>
    </x:row>
    <x:row r="182">
      <x:c r="A182" s="83" t="n">
        <x:v>181</x:v>
      </x:c>
      <x:c r="B182" s="84" t="n">
        <x:v>115</x:v>
      </x:c>
      <x:c r="C182" s="84" t="n">
        <x:v>31</x:v>
      </x:c>
      <x:c r="D182" s="89" t="n">
        <x:v>44980</x:v>
      </x:c>
      <x:c r="E182" s="84" t="n">
        <x:v>5.7</x:v>
      </x:c>
      <x:c r="F182" s="84" t="str">
        <x:v>Normal</x:v>
      </x:c>
      <x:c r="G182" s="93" t="n">
        <x:v>278.73</x:v>
      </x:c>
      <x:c r="H182" s="85" t="str">
        <x:v>Diagnóstico e execução</x:v>
      </x:c>
    </x:row>
    <x:row r="183">
      <x:c r="A183" s="83" t="n">
        <x:v>182</x:v>
      </x:c>
      <x:c r="B183" s="84" t="n">
        <x:v>116</x:v>
      </x:c>
      <x:c r="C183" s="84" t="n">
        <x:v>37</x:v>
      </x:c>
      <x:c r="D183" s="89" t="n">
        <x:v>45767</x:v>
      </x:c>
      <x:c r="E183" s="84" t="n">
        <x:v>2.8</x:v>
      </x:c>
      <x:c r="F183" s="84" t="str">
        <x:v>Normal</x:v>
      </x:c>
      <x:c r="G183" s="93" t="n">
        <x:v>165.12</x:v>
      </x:c>
      <x:c r="H183" s="85" t="str">
        <x:v>Diagnóstico e execução</x:v>
      </x:c>
    </x:row>
    <x:row r="184">
      <x:c r="A184" s="83" t="n">
        <x:v>183</x:v>
      </x:c>
      <x:c r="B184" s="84" t="n">
        <x:v>116</x:v>
      </x:c>
      <x:c r="C184" s="84" t="n">
        <x:v>8</x:v>
      </x:c>
      <x:c r="D184" s="89" t="n">
        <x:v>45767</x:v>
      </x:c>
      <x:c r="E184" s="84" t="n">
        <x:v>2.1</x:v>
      </x:c>
      <x:c r="F184" s="84" t="str">
        <x:v>Normal</x:v>
      </x:c>
      <x:c r="G184" s="93" t="n">
        <x:v>97.65</x:v>
      </x:c>
      <x:c r="H184" s="85" t="str">
        <x:v>Diagnóstico e execução</x:v>
      </x:c>
    </x:row>
    <x:row r="185">
      <x:c r="A185" s="83" t="n">
        <x:v>184</x:v>
      </x:c>
      <x:c r="B185" s="84" t="n">
        <x:v>117</x:v>
      </x:c>
      <x:c r="C185" s="84" t="n">
        <x:v>11</x:v>
      </x:c>
      <x:c r="D185" s="89" t="n">
        <x:v>46009</x:v>
      </x:c>
      <x:c r="E185" s="84" t="n">
        <x:v>6.4</x:v>
      </x:c>
      <x:c r="F185" s="84" t="str">
        <x:v>Normal</x:v>
      </x:c>
      <x:c r="G185" s="93" t="n">
        <x:v>266.75</x:v>
      </x:c>
      <x:c r="H185" s="85" t="str">
        <x:v>Diagnóstico e execução</x:v>
      </x:c>
    </x:row>
    <x:row r="186">
      <x:c r="A186" s="83" t="n">
        <x:v>185</x:v>
      </x:c>
      <x:c r="B186" s="84" t="n">
        <x:v>117</x:v>
      </x:c>
      <x:c r="C186" s="84" t="n">
        <x:v>2</x:v>
      </x:c>
      <x:c r="D186" s="89" t="n">
        <x:v>46009</x:v>
      </x:c>
      <x:c r="E186" s="84" t="n">
        <x:v>1.2</x:v>
      </x:c>
      <x:c r="F186" s="84" t="str">
        <x:v>Normal</x:v>
      </x:c>
      <x:c r="G186" s="93" t="n">
        <x:v>44.71</x:v>
      </x:c>
      <x:c r="H186" s="85" t="str">
        <x:v>Diagnóstico e execução</x:v>
      </x:c>
    </x:row>
    <x:row r="187">
      <x:c r="A187" s="83" t="n">
        <x:v>186</x:v>
      </x:c>
      <x:c r="B187" s="84" t="n">
        <x:v>118</x:v>
      </x:c>
      <x:c r="C187" s="84" t="n">
        <x:v>12</x:v>
      </x:c>
      <x:c r="D187" s="89" t="n">
        <x:v>45865</x:v>
      </x:c>
      <x:c r="E187" s="84" t="n">
        <x:v>3.4</x:v>
      </x:c>
      <x:c r="F187" s="84" t="str">
        <x:v>Normal</x:v>
      </x:c>
      <x:c r="G187" s="93" t="n">
        <x:v>117.3</x:v>
      </x:c>
      <x:c r="H187" s="85" t="str">
        <x:v>Diagnóstico e execução</x:v>
      </x:c>
    </x:row>
    <x:row r="188">
      <x:c r="A188" s="83" t="n">
        <x:v>187</x:v>
      </x:c>
      <x:c r="B188" s="84" t="n">
        <x:v>118</x:v>
      </x:c>
      <x:c r="C188" s="84" t="n">
        <x:v>36</x:v>
      </x:c>
      <x:c r="D188" s="89" t="n">
        <x:v>45865</x:v>
      </x:c>
      <x:c r="E188" s="84" t="n">
        <x:v>6.9</x:v>
      </x:c>
      <x:c r="F188" s="84" t="str">
        <x:v>Normal</x:v>
      </x:c>
      <x:c r="G188" s="93" t="n">
        <x:v>204.65</x:v>
      </x:c>
      <x:c r="H188" s="85" t="str">
        <x:v>Diagnóstico e execução</x:v>
      </x:c>
    </x:row>
    <x:row r="189">
      <x:c r="A189" s="83" t="n">
        <x:v>188</x:v>
      </x:c>
      <x:c r="B189" s="84" t="n">
        <x:v>119</x:v>
      </x:c>
      <x:c r="C189" s="84" t="n">
        <x:v>37</x:v>
      </x:c>
      <x:c r="D189" s="89" t="n">
        <x:v>45570</x:v>
      </x:c>
      <x:c r="E189" s="84" t="n">
        <x:v>4.8</x:v>
      </x:c>
      <x:c r="F189" s="84" t="str">
        <x:v>Normal</x:v>
      </x:c>
      <x:c r="G189" s="93" t="n">
        <x:v>283.06</x:v>
      </x:c>
      <x:c r="H189" s="85" t="str">
        <x:v>Diagnóstico e execução</x:v>
      </x:c>
    </x:row>
    <x:row r="190">
      <x:c r="A190" s="83" t="n">
        <x:v>189</x:v>
      </x:c>
      <x:c r="B190" s="84" t="n">
        <x:v>119</x:v>
      </x:c>
      <x:c r="C190" s="84" t="n">
        <x:v>4</x:v>
      </x:c>
      <x:c r="D190" s="89" t="n">
        <x:v>45570</x:v>
      </x:c>
      <x:c r="E190" s="84" t="n">
        <x:v>3.5</x:v>
      </x:c>
      <x:c r="F190" s="84" t="str">
        <x:v>Normal</x:v>
      </x:c>
      <x:c r="G190" s="93" t="n">
        <x:v>172.16</x:v>
      </x:c>
      <x:c r="H190" s="85" t="str">
        <x:v>Diagnóstico e execução</x:v>
      </x:c>
    </x:row>
    <x:row r="191">
      <x:c r="A191" s="83" t="n">
        <x:v>190</x:v>
      </x:c>
      <x:c r="B191" s="84" t="n">
        <x:v>120</x:v>
      </x:c>
      <x:c r="C191" s="84" t="n">
        <x:v>43</x:v>
      </x:c>
      <x:c r="D191" s="89" t="n">
        <x:v>46005</x:v>
      </x:c>
      <x:c r="E191" s="84" t="n">
        <x:v>4.8</x:v>
      </x:c>
      <x:c r="F191" s="84" t="str">
        <x:v>Normal</x:v>
      </x:c>
      <x:c r="G191" s="93" t="n">
        <x:v>262.37</x:v>
      </x:c>
      <x:c r="H191" s="85" t="str">
        <x:v>Diagnóstico e execução</x:v>
      </x:c>
    </x:row>
    <x:row r="192">
      <x:c r="A192" s="83" t="n">
        <x:v>191</x:v>
      </x:c>
      <x:c r="B192" s="84" t="n">
        <x:v>120</x:v>
      </x:c>
      <x:c r="C192" s="84" t="n">
        <x:v>3</x:v>
      </x:c>
      <x:c r="D192" s="89" t="n">
        <x:v>46005</x:v>
      </x:c>
      <x:c r="E192" s="84" t="n">
        <x:v>4</x:v>
      </x:c>
      <x:c r="F192" s="84" t="str">
        <x:v>Normal</x:v>
      </x:c>
      <x:c r="G192" s="93" t="n">
        <x:v>196.96</x:v>
      </x:c>
      <x:c r="H192" s="85" t="str">
        <x:v>Diagnóstico e execução</x:v>
      </x:c>
    </x:row>
    <x:row r="193">
      <x:c r="A193" s="83" t="n">
        <x:v>192</x:v>
      </x:c>
      <x:c r="B193" s="84" t="n">
        <x:v>121</x:v>
      </x:c>
      <x:c r="C193" s="84" t="n">
        <x:v>31</x:v>
      </x:c>
      <x:c r="D193" s="89" t="n">
        <x:v>46014</x:v>
      </x:c>
      <x:c r="E193" s="84" t="n">
        <x:v>2.3</x:v>
      </x:c>
      <x:c r="F193" s="84" t="str">
        <x:v>Normal</x:v>
      </x:c>
      <x:c r="G193" s="93" t="n">
        <x:v>112.47</x:v>
      </x:c>
      <x:c r="H193" s="85" t="str">
        <x:v>Diagnóstico e execução</x:v>
      </x:c>
    </x:row>
    <x:row r="194">
      <x:c r="A194" s="83" t="n">
        <x:v>193</x:v>
      </x:c>
      <x:c r="B194" s="84" t="n">
        <x:v>122</x:v>
      </x:c>
      <x:c r="C194" s="84" t="n">
        <x:v>9</x:v>
      </x:c>
      <x:c r="D194" s="89" t="n">
        <x:v>44969</x:v>
      </x:c>
      <x:c r="E194" s="84" t="n">
        <x:v>2.3</x:v>
      </x:c>
      <x:c r="F194" s="84" t="str">
        <x:v>Normal</x:v>
      </x:c>
      <x:c r="G194" s="93" t="n">
        <x:v>121.14</x:v>
      </x:c>
      <x:c r="H194" s="85" t="str">
        <x:v>Diagnóstico e execução</x:v>
      </x:c>
    </x:row>
    <x:row r="195">
      <x:c r="A195" s="83" t="n">
        <x:v>194</x:v>
      </x:c>
      <x:c r="B195" s="84" t="n">
        <x:v>123</x:v>
      </x:c>
      <x:c r="C195" s="84" t="n">
        <x:v>8</x:v>
      </x:c>
      <x:c r="D195" s="89" t="n">
        <x:v>44967</x:v>
      </x:c>
      <x:c r="E195" s="84" t="n">
        <x:v>7</x:v>
      </x:c>
      <x:c r="F195" s="84" t="str">
        <x:v>Normal</x:v>
      </x:c>
      <x:c r="G195" s="93" t="n">
        <x:v>325.5</x:v>
      </x:c>
      <x:c r="H195" s="85" t="str">
        <x:v>Diagnóstico e execução</x:v>
      </x:c>
    </x:row>
    <x:row r="196">
      <x:c r="A196" s="83" t="n">
        <x:v>195</x:v>
      </x:c>
      <x:c r="B196" s="84" t="n">
        <x:v>123</x:v>
      </x:c>
      <x:c r="C196" s="84" t="n">
        <x:v>21</x:v>
      </x:c>
      <x:c r="D196" s="89" t="n">
        <x:v>44967</x:v>
      </x:c>
      <x:c r="E196" s="84" t="n">
        <x:v>7.9</x:v>
      </x:c>
      <x:c r="F196" s="84" t="str">
        <x:v>Normal</x:v>
      </x:c>
      <x:c r="G196" s="93" t="n">
        <x:v>485.3</x:v>
      </x:c>
      <x:c r="H196" s="85" t="str">
        <x:v>Diagnóstico e execução</x:v>
      </x:c>
    </x:row>
    <x:row r="197">
      <x:c r="A197" s="83" t="n">
        <x:v>196</x:v>
      </x:c>
      <x:c r="B197" s="84" t="n">
        <x:v>123</x:v>
      </x:c>
      <x:c r="C197" s="84" t="n">
        <x:v>8</x:v>
      </x:c>
      <x:c r="D197" s="89" t="n">
        <x:v>44967</x:v>
      </x:c>
      <x:c r="E197" s="84" t="n">
        <x:v>6.7</x:v>
      </x:c>
      <x:c r="F197" s="84" t="str">
        <x:v>Normal</x:v>
      </x:c>
      <x:c r="G197" s="93" t="n">
        <x:v>311.55</x:v>
      </x:c>
      <x:c r="H197" s="85" t="str">
        <x:v>Diagnóstico e execução</x:v>
      </x:c>
    </x:row>
    <x:row r="198">
      <x:c r="A198" s="83" t="n">
        <x:v>197</x:v>
      </x:c>
      <x:c r="B198" s="84" t="n">
        <x:v>124</x:v>
      </x:c>
      <x:c r="C198" s="84" t="n">
        <x:v>43</x:v>
      </x:c>
      <x:c r="D198" s="89" t="n">
        <x:v>45455</x:v>
      </x:c>
      <x:c r="E198" s="84" t="n">
        <x:v>7.4</x:v>
      </x:c>
      <x:c r="F198" s="84" t="str">
        <x:v>Normal</x:v>
      </x:c>
      <x:c r="G198" s="93" t="n">
        <x:v>404.48</x:v>
      </x:c>
      <x:c r="H198" s="85" t="str">
        <x:v>Diagnóstico e execução</x:v>
      </x:c>
    </x:row>
    <x:row r="199">
      <x:c r="A199" s="83" t="n">
        <x:v>198</x:v>
      </x:c>
      <x:c r="B199" s="84" t="n">
        <x:v>125</x:v>
      </x:c>
      <x:c r="C199" s="84" t="n">
        <x:v>26</x:v>
      </x:c>
      <x:c r="D199" s="89" t="n">
        <x:v>45492</x:v>
      </x:c>
      <x:c r="E199" s="84" t="n">
        <x:v>2.6</x:v>
      </x:c>
      <x:c r="F199" s="84" t="str">
        <x:v>Normal</x:v>
      </x:c>
      <x:c r="G199" s="93" t="n">
        <x:v>101.71</x:v>
      </x:c>
      <x:c r="H199" s="85" t="str">
        <x:v>Diagnóstico e execução</x:v>
      </x:c>
    </x:row>
    <x:row r="200">
      <x:c r="A200" s="83" t="n">
        <x:v>199</x:v>
      </x:c>
      <x:c r="B200" s="84" t="n">
        <x:v>125</x:v>
      </x:c>
      <x:c r="C200" s="84" t="n">
        <x:v>5</x:v>
      </x:c>
      <x:c r="D200" s="89" t="n">
        <x:v>45492</x:v>
      </x:c>
      <x:c r="E200" s="84" t="n">
        <x:v>3.7</x:v>
      </x:c>
      <x:c r="F200" s="84" t="str">
        <x:v>Normal</x:v>
      </x:c>
      <x:c r="G200" s="93" t="n">
        <x:v>106.63</x:v>
      </x:c>
      <x:c r="H200" s="85" t="str">
        <x:v>Diagnóstico e execução</x:v>
      </x:c>
    </x:row>
    <x:row r="201">
      <x:c r="A201" s="83" t="n">
        <x:v>200</x:v>
      </x:c>
      <x:c r="B201" s="84" t="n">
        <x:v>125</x:v>
      </x:c>
      <x:c r="C201" s="84" t="n">
        <x:v>11</x:v>
      </x:c>
      <x:c r="D201" s="89" t="n">
        <x:v>45492</x:v>
      </x:c>
      <x:c r="E201" s="84" t="n">
        <x:v>7.1</x:v>
      </x:c>
      <x:c r="F201" s="84" t="str">
        <x:v>Normal</x:v>
      </x:c>
      <x:c r="G201" s="93" t="n">
        <x:v>295.93</x:v>
      </x:c>
      <x:c r="H201" s="85" t="str">
        <x:v>Diagnóstico e execução</x:v>
      </x:c>
    </x:row>
    <x:row r="202">
      <x:c r="A202" s="83" t="n">
        <x:v>201</x:v>
      </x:c>
      <x:c r="B202" s="84" t="n">
        <x:v>126</x:v>
      </x:c>
      <x:c r="C202" s="84" t="n">
        <x:v>37</x:v>
      </x:c>
      <x:c r="D202" s="89" t="n">
        <x:v>45213</x:v>
      </x:c>
      <x:c r="E202" s="84" t="n">
        <x:v>5.6</x:v>
      </x:c>
      <x:c r="F202" s="84" t="str">
        <x:v>Normal</x:v>
      </x:c>
      <x:c r="G202" s="93" t="n">
        <x:v>330.23</x:v>
      </x:c>
      <x:c r="H202" s="85" t="str">
        <x:v>Diagnóstico e execução</x:v>
      </x:c>
    </x:row>
    <x:row r="203">
      <x:c r="A203" s="83" t="n">
        <x:v>202</x:v>
      </x:c>
      <x:c r="B203" s="84" t="n">
        <x:v>126</x:v>
      </x:c>
      <x:c r="C203" s="84" t="n">
        <x:v>34</x:v>
      </x:c>
      <x:c r="D203" s="89" t="n">
        <x:v>45213</x:v>
      </x:c>
      <x:c r="E203" s="84" t="n">
        <x:v>6.3</x:v>
      </x:c>
      <x:c r="F203" s="84" t="str">
        <x:v>Normal</x:v>
      </x:c>
      <x:c r="G203" s="93" t="n">
        <x:v>272.35</x:v>
      </x:c>
      <x:c r="H203" s="85" t="str">
        <x:v>Diagnóstico e execução</x:v>
      </x:c>
    </x:row>
    <x:row r="204">
      <x:c r="A204" s="83" t="n">
        <x:v>203</x:v>
      </x:c>
      <x:c r="B204" s="84" t="n">
        <x:v>127</x:v>
      </x:c>
      <x:c r="C204" s="84" t="n">
        <x:v>30</x:v>
      </x:c>
      <x:c r="D204" s="89" t="n">
        <x:v>46016</x:v>
      </x:c>
      <x:c r="E204" s="84" t="n">
        <x:v>5.2</x:v>
      </x:c>
      <x:c r="F204" s="84" t="str">
        <x:v>Normal</x:v>
      </x:c>
      <x:c r="G204" s="93" t="n">
        <x:v>215.33</x:v>
      </x:c>
      <x:c r="H204" s="85" t="str">
        <x:v>Diagnóstico e execução</x:v>
      </x:c>
    </x:row>
    <x:row r="205">
      <x:c r="A205" s="83" t="n">
        <x:v>204</x:v>
      </x:c>
      <x:c r="B205" s="84" t="n">
        <x:v>127</x:v>
      </x:c>
      <x:c r="C205" s="84" t="n">
        <x:v>31</x:v>
      </x:c>
      <x:c r="D205" s="89" t="n">
        <x:v>46016</x:v>
      </x:c>
      <x:c r="E205" s="84" t="n">
        <x:v>5.9</x:v>
      </x:c>
      <x:c r="F205" s="84" t="str">
        <x:v>Normal</x:v>
      </x:c>
      <x:c r="G205" s="93" t="n">
        <x:v>288.51</x:v>
      </x:c>
      <x:c r="H205" s="85" t="str">
        <x:v>Diagnóstico e execução</x:v>
      </x:c>
    </x:row>
    <x:row r="206">
      <x:c r="A206" s="83" t="n">
        <x:v>205</x:v>
      </x:c>
      <x:c r="B206" s="84" t="n">
        <x:v>127</x:v>
      </x:c>
      <x:c r="C206" s="84" t="n">
        <x:v>4</x:v>
      </x:c>
      <x:c r="D206" s="89" t="n">
        <x:v>46016</x:v>
      </x:c>
      <x:c r="E206" s="84" t="n">
        <x:v>6.8</x:v>
      </x:c>
      <x:c r="F206" s="84" t="str">
        <x:v>Normal</x:v>
      </x:c>
      <x:c r="G206" s="93" t="n">
        <x:v>334.49</x:v>
      </x:c>
      <x:c r="H206" s="85" t="str">
        <x:v>Diagnóstico e execução</x:v>
      </x:c>
    </x:row>
    <x:row r="207">
      <x:c r="A207" s="83" t="n">
        <x:v>206</x:v>
      </x:c>
      <x:c r="B207" s="84" t="n">
        <x:v>128</x:v>
      </x:c>
      <x:c r="C207" s="84" t="n">
        <x:v>4</x:v>
      </x:c>
      <x:c r="D207" s="89" t="n">
        <x:v>45779</x:v>
      </x:c>
      <x:c r="E207" s="84" t="n">
        <x:v>2.6</x:v>
      </x:c>
      <x:c r="F207" s="84" t="str">
        <x:v>Normal</x:v>
      </x:c>
      <x:c r="G207" s="93" t="n">
        <x:v>127.89</x:v>
      </x:c>
      <x:c r="H207" s="85" t="str">
        <x:v>Diagnóstico e execução</x:v>
      </x:c>
    </x:row>
    <x:row r="208">
      <x:c r="A208" s="83" t="n">
        <x:v>207</x:v>
      </x:c>
      <x:c r="B208" s="84" t="n">
        <x:v>129</x:v>
      </x:c>
      <x:c r="C208" s="84" t="n">
        <x:v>35</x:v>
      </x:c>
      <x:c r="D208" s="89" t="n">
        <x:v>45185</x:v>
      </x:c>
      <x:c r="E208" s="84" t="n">
        <x:v>3.3</x:v>
      </x:c>
      <x:c r="F208" s="84" t="str">
        <x:v>Normal</x:v>
      </x:c>
      <x:c r="G208" s="93" t="n">
        <x:v>162.33</x:v>
      </x:c>
      <x:c r="H208" s="85" t="str">
        <x:v>Diagnóstico e execução</x:v>
      </x:c>
    </x:row>
    <x:row r="209">
      <x:c r="A209" s="83" t="n">
        <x:v>208</x:v>
      </x:c>
      <x:c r="B209" s="84" t="n">
        <x:v>129</x:v>
      </x:c>
      <x:c r="C209" s="84" t="n">
        <x:v>33</x:v>
      </x:c>
      <x:c r="D209" s="89" t="n">
        <x:v>45185</x:v>
      </x:c>
      <x:c r="E209" s="84" t="n">
        <x:v>1.4</x:v>
      </x:c>
      <x:c r="F209" s="84" t="str">
        <x:v>Normal</x:v>
      </x:c>
      <x:c r="G209" s="93" t="n">
        <x:v>48.29</x:v>
      </x:c>
      <x:c r="H209" s="85" t="str">
        <x:v>Diagnóstico e execução</x:v>
      </x:c>
    </x:row>
    <x:row r="210">
      <x:c r="A210" s="83" t="n">
        <x:v>209</x:v>
      </x:c>
      <x:c r="B210" s="84" t="n">
        <x:v>130</x:v>
      </x:c>
      <x:c r="C210" s="84" t="n">
        <x:v>30</x:v>
      </x:c>
      <x:c r="D210" s="89" t="n">
        <x:v>45801</x:v>
      </x:c>
      <x:c r="E210" s="84" t="n">
        <x:v>3.7</x:v>
      </x:c>
      <x:c r="F210" s="84" t="str">
        <x:v>Normal</x:v>
      </x:c>
      <x:c r="G210" s="93" t="n">
        <x:v>153.22</x:v>
      </x:c>
      <x:c r="H210" s="85" t="str">
        <x:v>Diagnóstico e execução</x:v>
      </x:c>
    </x:row>
    <x:row r="211">
      <x:c r="A211" s="83" t="n">
        <x:v>210</x:v>
      </x:c>
      <x:c r="B211" s="84" t="n">
        <x:v>130</x:v>
      </x:c>
      <x:c r="C211" s="84" t="n">
        <x:v>26</x:v>
      </x:c>
      <x:c r="D211" s="89" t="n">
        <x:v>45801</x:v>
      </x:c>
      <x:c r="E211" s="84" t="n">
        <x:v>0.5</x:v>
      </x:c>
      <x:c r="F211" s="84" t="str">
        <x:v>Normal</x:v>
      </x:c>
      <x:c r="G211" s="93" t="n">
        <x:v>19.56</x:v>
      </x:c>
      <x:c r="H211" s="85" t="str">
        <x:v>Diagnóstico e execução</x:v>
      </x:c>
    </x:row>
    <x:row r="212">
      <x:c r="A212" s="83" t="n">
        <x:v>211</x:v>
      </x:c>
      <x:c r="B212" s="84" t="n">
        <x:v>130</x:v>
      </x:c>
      <x:c r="C212" s="84" t="n">
        <x:v>3</x:v>
      </x:c>
      <x:c r="D212" s="89" t="n">
        <x:v>45801</x:v>
      </x:c>
      <x:c r="E212" s="84" t="n">
        <x:v>2.7</x:v>
      </x:c>
      <x:c r="F212" s="84" t="str">
        <x:v>Normal</x:v>
      </x:c>
      <x:c r="G212" s="93" t="n">
        <x:v>132.95</x:v>
      </x:c>
      <x:c r="H212" s="85" t="str">
        <x:v>Diagnóstico e execução</x:v>
      </x:c>
    </x:row>
    <x:row r="213">
      <x:c r="A213" s="83" t="n">
        <x:v>212</x:v>
      </x:c>
      <x:c r="B213" s="84" t="n">
        <x:v>131</x:v>
      </x:c>
      <x:c r="C213" s="84" t="n">
        <x:v>6</x:v>
      </x:c>
      <x:c r="D213" s="89" t="n">
        <x:v>45200</x:v>
      </x:c>
      <x:c r="E213" s="84" t="n">
        <x:v>6</x:v>
      </x:c>
      <x:c r="F213" s="84" t="str">
        <x:v>Normal</x:v>
      </x:c>
      <x:c r="G213" s="93" t="n">
        <x:v>313.56</x:v>
      </x:c>
      <x:c r="H213" s="85" t="str">
        <x:v>Diagnóstico e execução</x:v>
      </x:c>
    </x:row>
    <x:row r="214">
      <x:c r="A214" s="83" t="n">
        <x:v>213</x:v>
      </x:c>
      <x:c r="B214" s="84" t="n">
        <x:v>131</x:v>
      </x:c>
      <x:c r="C214" s="84" t="n">
        <x:v>9</x:v>
      </x:c>
      <x:c r="D214" s="89" t="n">
        <x:v>45200</x:v>
      </x:c>
      <x:c r="E214" s="84" t="n">
        <x:v>6.4</x:v>
      </x:c>
      <x:c r="F214" s="84" t="str">
        <x:v>Normal</x:v>
      </x:c>
      <x:c r="G214" s="93" t="n">
        <x:v>337.09</x:v>
      </x:c>
      <x:c r="H214" s="85" t="str">
        <x:v>Diagnóstico e execução</x:v>
      </x:c>
    </x:row>
    <x:row r="215">
      <x:c r="A215" s="83" t="n">
        <x:v>214</x:v>
      </x:c>
      <x:c r="B215" s="84" t="n">
        <x:v>131</x:v>
      </x:c>
      <x:c r="C215" s="84" t="n">
        <x:v>21</x:v>
      </x:c>
      <x:c r="D215" s="89" t="n">
        <x:v>45200</x:v>
      </x:c>
      <x:c r="E215" s="84" t="n">
        <x:v>4.5</x:v>
      </x:c>
      <x:c r="F215" s="84" t="str">
        <x:v>Normal</x:v>
      </x:c>
      <x:c r="G215" s="93" t="n">
        <x:v>276.44</x:v>
      </x:c>
      <x:c r="H215" s="85" t="str">
        <x:v>Diagnóstico e execução</x:v>
      </x:c>
    </x:row>
    <x:row r="216">
      <x:c r="A216" s="83" t="n">
        <x:v>215</x:v>
      </x:c>
      <x:c r="B216" s="84" t="n">
        <x:v>132</x:v>
      </x:c>
      <x:c r="C216" s="84" t="n">
        <x:v>11</x:v>
      </x:c>
      <x:c r="D216" s="89" t="n">
        <x:v>45617</x:v>
      </x:c>
      <x:c r="E216" s="84" t="n">
        <x:v>7</x:v>
      </x:c>
      <x:c r="F216" s="84" t="str">
        <x:v>Normal</x:v>
      </x:c>
      <x:c r="G216" s="93" t="n">
        <x:v>291.76</x:v>
      </x:c>
      <x:c r="H216" s="85" t="str">
        <x:v>Diagnóstico e execução</x:v>
      </x:c>
    </x:row>
    <x:row r="217">
      <x:c r="A217" s="83" t="n">
        <x:v>216</x:v>
      </x:c>
      <x:c r="B217" s="84" t="n">
        <x:v>133</x:v>
      </x:c>
      <x:c r="C217" s="84" t="n">
        <x:v>28</x:v>
      </x:c>
      <x:c r="D217" s="89" t="n">
        <x:v>45503</x:v>
      </x:c>
      <x:c r="E217" s="84" t="n">
        <x:v>2.3</x:v>
      </x:c>
      <x:c r="F217" s="84" t="str">
        <x:v>Normal</x:v>
      </x:c>
      <x:c r="G217" s="93" t="n">
        <x:v>86.53</x:v>
      </x:c>
      <x:c r="H217" s="85" t="str">
        <x:v>Diagnóstico e execução</x:v>
      </x:c>
    </x:row>
    <x:row r="218">
      <x:c r="A218" s="83" t="n">
        <x:v>217</x:v>
      </x:c>
      <x:c r="B218" s="84" t="n">
        <x:v>134</x:v>
      </x:c>
      <x:c r="C218" s="84" t="n">
        <x:v>28</x:v>
      </x:c>
      <x:c r="D218" s="89" t="n">
        <x:v>45984</x:v>
      </x:c>
      <x:c r="E218" s="84" t="n">
        <x:v>1.4</x:v>
      </x:c>
      <x:c r="F218" s="84" t="str">
        <x:v>Normal</x:v>
      </x:c>
      <x:c r="G218" s="93" t="n">
        <x:v>52.67</x:v>
      </x:c>
      <x:c r="H218" s="85" t="str">
        <x:v>Diagnóstico e execução</x:v>
      </x:c>
    </x:row>
    <x:row r="219">
      <x:c r="A219" s="83" t="n">
        <x:v>218</x:v>
      </x:c>
      <x:c r="B219" s="84" t="n">
        <x:v>134</x:v>
      </x:c>
      <x:c r="C219" s="84" t="n">
        <x:v>31</x:v>
      </x:c>
      <x:c r="D219" s="89" t="n">
        <x:v>45984</x:v>
      </x:c>
      <x:c r="E219" s="84" t="n">
        <x:v>4</x:v>
      </x:c>
      <x:c r="F219" s="84" t="str">
        <x:v>Normal</x:v>
      </x:c>
      <x:c r="G219" s="93" t="n">
        <x:v>195.6</x:v>
      </x:c>
      <x:c r="H219" s="85" t="str">
        <x:v>Diagnóstico e execução</x:v>
      </x:c>
    </x:row>
    <x:row r="220">
      <x:c r="A220" s="83" t="n">
        <x:v>219</x:v>
      </x:c>
      <x:c r="B220" s="84" t="n">
        <x:v>134</x:v>
      </x:c>
      <x:c r="C220" s="84" t="n">
        <x:v>31</x:v>
      </x:c>
      <x:c r="D220" s="89" t="n">
        <x:v>45984</x:v>
      </x:c>
      <x:c r="E220" s="84" t="n">
        <x:v>4.3</x:v>
      </x:c>
      <x:c r="F220" s="84" t="str">
        <x:v>Normal</x:v>
      </x:c>
      <x:c r="G220" s="93" t="n">
        <x:v>210.27</x:v>
      </x:c>
      <x:c r="H220" s="85" t="str">
        <x:v>Diagnóstico e execução</x:v>
      </x:c>
    </x:row>
    <x:row r="221">
      <x:c r="A221" s="83" t="n">
        <x:v>220</x:v>
      </x:c>
      <x:c r="B221" s="84" t="n">
        <x:v>135</x:v>
      </x:c>
      <x:c r="C221" s="84" t="n">
        <x:v>23</x:v>
      </x:c>
      <x:c r="D221" s="89" t="n">
        <x:v>45569</x:v>
      </x:c>
      <x:c r="E221" s="84" t="n">
        <x:v>6.3</x:v>
      </x:c>
      <x:c r="F221" s="84" t="str">
        <x:v>Normal</x:v>
      </x:c>
      <x:c r="G221" s="93" t="n">
        <x:v>271.59</x:v>
      </x:c>
      <x:c r="H221" s="85" t="str">
        <x:v>Diagnóstico e execução</x:v>
      </x:c>
    </x:row>
    <x:row r="222">
      <x:c r="A222" s="83" t="n">
        <x:v>221</x:v>
      </x:c>
      <x:c r="B222" s="84" t="n">
        <x:v>135</x:v>
      </x:c>
      <x:c r="C222" s="84" t="n">
        <x:v>34</x:v>
      </x:c>
      <x:c r="D222" s="89" t="n">
        <x:v>45569</x:v>
      </x:c>
      <x:c r="E222" s="84" t="n">
        <x:v>5.7</x:v>
      </x:c>
      <x:c r="F222" s="84" t="str">
        <x:v>Normal</x:v>
      </x:c>
      <x:c r="G222" s="93" t="n">
        <x:v>246.41</x:v>
      </x:c>
      <x:c r="H222" s="85" t="str">
        <x:v>Diagnóstico e execução</x:v>
      </x:c>
    </x:row>
    <x:row r="223">
      <x:c r="A223" s="83" t="n">
        <x:v>222</x:v>
      </x:c>
      <x:c r="B223" s="84" t="n">
        <x:v>135</x:v>
      </x:c>
      <x:c r="C223" s="84" t="n">
        <x:v>3</x:v>
      </x:c>
      <x:c r="D223" s="89" t="n">
        <x:v>45569</x:v>
      </x:c>
      <x:c r="E223" s="84" t="n">
        <x:v>1.7</x:v>
      </x:c>
      <x:c r="F223" s="84" t="str">
        <x:v>Normal</x:v>
      </x:c>
      <x:c r="G223" s="93" t="n">
        <x:v>83.71</x:v>
      </x:c>
      <x:c r="H223" s="85" t="str">
        <x:v>Diagnóstico e execução</x:v>
      </x:c>
    </x:row>
    <x:row r="224">
      <x:c r="A224" s="83" t="n">
        <x:v>223</x:v>
      </x:c>
      <x:c r="B224" s="84" t="n">
        <x:v>136</x:v>
      </x:c>
      <x:c r="C224" s="84" t="n">
        <x:v>6</x:v>
      </x:c>
      <x:c r="D224" s="89" t="n">
        <x:v>45633</x:v>
      </x:c>
      <x:c r="E224" s="84" t="n">
        <x:v>1.7</x:v>
      </x:c>
      <x:c r="F224" s="84" t="str">
        <x:v>Normal</x:v>
      </x:c>
      <x:c r="G224" s="93" t="n">
        <x:v>88.84</x:v>
      </x:c>
      <x:c r="H224" s="85" t="str">
        <x:v>Diagnóstico e execução</x:v>
      </x:c>
    </x:row>
    <x:row r="225">
      <x:c r="A225" s="83" t="n">
        <x:v>224</x:v>
      </x:c>
      <x:c r="B225" s="84" t="n">
        <x:v>136</x:v>
      </x:c>
      <x:c r="C225" s="84" t="n">
        <x:v>16</x:v>
      </x:c>
      <x:c r="D225" s="89" t="n">
        <x:v>45633</x:v>
      </x:c>
      <x:c r="E225" s="84" t="n">
        <x:v>0.6</x:v>
      </x:c>
      <x:c r="F225" s="84" t="str">
        <x:v>Normal</x:v>
      </x:c>
      <x:c r="G225" s="93" t="n">
        <x:v>24.31</x:v>
      </x:c>
      <x:c r="H225" s="85" t="str">
        <x:v>Diagnóstico e execução</x:v>
      </x:c>
    </x:row>
    <x:row r="226">
      <x:c r="A226" s="83" t="n">
        <x:v>225</x:v>
      </x:c>
      <x:c r="B226" s="84" t="n">
        <x:v>138</x:v>
      </x:c>
      <x:c r="C226" s="84" t="n">
        <x:v>5</x:v>
      </x:c>
      <x:c r="D226" s="89" t="n">
        <x:v>45261</x:v>
      </x:c>
      <x:c r="E226" s="84" t="n">
        <x:v>5.6</x:v>
      </x:c>
      <x:c r="F226" s="84" t="str">
        <x:v>Normal</x:v>
      </x:c>
      <x:c r="G226" s="93" t="n">
        <x:v>161.39</x:v>
      </x:c>
      <x:c r="H226" s="85" t="str">
        <x:v>Diagnóstico e execução</x:v>
      </x:c>
    </x:row>
    <x:row r="227">
      <x:c r="A227" s="83" t="n">
        <x:v>226</x:v>
      </x:c>
      <x:c r="B227" s="84" t="n">
        <x:v>138</x:v>
      </x:c>
      <x:c r="C227" s="84" t="n">
        <x:v>15</x:v>
      </x:c>
      <x:c r="D227" s="89" t="n">
        <x:v>45261</x:v>
      </x:c>
      <x:c r="E227" s="84" t="n">
        <x:v>1.7</x:v>
      </x:c>
      <x:c r="F227" s="84" t="str">
        <x:v>Normal</x:v>
      </x:c>
      <x:c r="G227" s="93" t="n">
        <x:v>51.41</x:v>
      </x:c>
      <x:c r="H227" s="85" t="str">
        <x:v>Diagnóstico e execução</x:v>
      </x:c>
    </x:row>
    <x:row r="228">
      <x:c r="A228" s="83" t="n">
        <x:v>227</x:v>
      </x:c>
      <x:c r="B228" s="84" t="n">
        <x:v>138</x:v>
      </x:c>
      <x:c r="C228" s="84" t="n">
        <x:v>3</x:v>
      </x:c>
      <x:c r="D228" s="89" t="n">
        <x:v>45261</x:v>
      </x:c>
      <x:c r="E228" s="84" t="n">
        <x:v>2.5</x:v>
      </x:c>
      <x:c r="F228" s="84" t="str">
        <x:v>Normal</x:v>
      </x:c>
      <x:c r="G228" s="93" t="n">
        <x:v>123.1</x:v>
      </x:c>
      <x:c r="H228" s="85" t="str">
        <x:v>Diagnóstico e execução</x:v>
      </x:c>
    </x:row>
    <x:row r="229">
      <x:c r="A229" s="83" t="n">
        <x:v>228</x:v>
      </x:c>
      <x:c r="B229" s="84" t="n">
        <x:v>139</x:v>
      </x:c>
      <x:c r="C229" s="84" t="n">
        <x:v>20</x:v>
      </x:c>
      <x:c r="D229" s="89" t="n">
        <x:v>44944</x:v>
      </x:c>
      <x:c r="E229" s="84" t="n">
        <x:v>6.7</x:v>
      </x:c>
      <x:c r="F229" s="84" t="str">
        <x:v>Normal</x:v>
      </x:c>
      <x:c r="G229" s="93" t="n">
        <x:v>224.58</x:v>
      </x:c>
      <x:c r="H229" s="85" t="str">
        <x:v>Diagnóstico e execução</x:v>
      </x:c>
    </x:row>
    <x:row r="230">
      <x:c r="A230" s="83" t="n">
        <x:v>229</x:v>
      </x:c>
      <x:c r="B230" s="84" t="n">
        <x:v>139</x:v>
      </x:c>
      <x:c r="C230" s="84" t="n">
        <x:v>19</x:v>
      </x:c>
      <x:c r="D230" s="89" t="n">
        <x:v>44944</x:v>
      </x:c>
      <x:c r="E230" s="84" t="n">
        <x:v>4.9</x:v>
      </x:c>
      <x:c r="F230" s="84" t="str">
        <x:v>Normal</x:v>
      </x:c>
      <x:c r="G230" s="93" t="n">
        <x:v>227.75</x:v>
      </x:c>
      <x:c r="H230" s="85" t="str">
        <x:v>Diagnóstico e execução</x:v>
      </x:c>
    </x:row>
    <x:row r="231">
      <x:c r="A231" s="83" t="n">
        <x:v>230</x:v>
      </x:c>
      <x:c r="B231" s="84" t="n">
        <x:v>139</x:v>
      </x:c>
      <x:c r="C231" s="84" t="n">
        <x:v>7</x:v>
      </x:c>
      <x:c r="D231" s="89" t="n">
        <x:v>44944</x:v>
      </x:c>
      <x:c r="E231" s="84" t="n">
        <x:v>4.8</x:v>
      </x:c>
      <x:c r="F231" s="84" t="str">
        <x:v>Normal</x:v>
      </x:c>
      <x:c r="G231" s="93" t="n">
        <x:v>279.41</x:v>
      </x:c>
      <x:c r="H231" s="85" t="str">
        <x:v>Diagnóstico e execução</x:v>
      </x:c>
    </x:row>
    <x:row r="232">
      <x:c r="A232" s="83" t="n">
        <x:v>231</x:v>
      </x:c>
      <x:c r="B232" s="84" t="n">
        <x:v>141</x:v>
      </x:c>
      <x:c r="C232" s="84" t="n">
        <x:v>3</x:v>
      </x:c>
      <x:c r="D232" s="89" t="n">
        <x:v>45175</x:v>
      </x:c>
      <x:c r="E232" s="84" t="n">
        <x:v>4.8</x:v>
      </x:c>
      <x:c r="F232" s="84" t="str">
        <x:v>Normal</x:v>
      </x:c>
      <x:c r="G232" s="93" t="n">
        <x:v>236.35</x:v>
      </x:c>
      <x:c r="H232" s="85" t="str">
        <x:v>Diagnóstico e execução</x:v>
      </x:c>
    </x:row>
    <x:row r="233">
      <x:c r="A233" s="83" t="n">
        <x:v>232</x:v>
      </x:c>
      <x:c r="B233" s="84" t="n">
        <x:v>141</x:v>
      </x:c>
      <x:c r="C233" s="84" t="n">
        <x:v>15</x:v>
      </x:c>
      <x:c r="D233" s="89" t="n">
        <x:v>45175</x:v>
      </x:c>
      <x:c r="E233" s="84" t="n">
        <x:v>2</x:v>
      </x:c>
      <x:c r="F233" s="84" t="str">
        <x:v>Normal</x:v>
      </x:c>
      <x:c r="G233" s="93" t="n">
        <x:v>60.48</x:v>
      </x:c>
      <x:c r="H233" s="85" t="str">
        <x:v>Diagnóstico e execução</x:v>
      </x:c>
    </x:row>
    <x:row r="234">
      <x:c r="A234" s="83" t="n">
        <x:v>233</x:v>
      </x:c>
      <x:c r="B234" s="84" t="n">
        <x:v>142</x:v>
      </x:c>
      <x:c r="C234" s="84" t="n">
        <x:v>3</x:v>
      </x:c>
      <x:c r="D234" s="89" t="n">
        <x:v>45774</x:v>
      </x:c>
      <x:c r="E234" s="84" t="n">
        <x:v>2.5</x:v>
      </x:c>
      <x:c r="F234" s="84" t="str">
        <x:v>Normal</x:v>
      </x:c>
      <x:c r="G234" s="93" t="n">
        <x:v>123.1</x:v>
      </x:c>
      <x:c r="H234" s="85" t="str">
        <x:v>Diagnóstico e execução</x:v>
      </x:c>
    </x:row>
    <x:row r="235">
      <x:c r="A235" s="83" t="n">
        <x:v>234</x:v>
      </x:c>
      <x:c r="B235" s="84" t="n">
        <x:v>142</x:v>
      </x:c>
      <x:c r="C235" s="84" t="n">
        <x:v>42</x:v>
      </x:c>
      <x:c r="D235" s="89" t="n">
        <x:v>45774</x:v>
      </x:c>
      <x:c r="E235" s="84" t="n">
        <x:v>7</x:v>
      </x:c>
      <x:c r="F235" s="84" t="str">
        <x:v>Normal</x:v>
      </x:c>
      <x:c r="G235" s="93" t="n">
        <x:v>295.26</x:v>
      </x:c>
      <x:c r="H235" s="85" t="str">
        <x:v>Diagnóstico e execução</x:v>
      </x:c>
    </x:row>
    <x:row r="236">
      <x:c r="A236" s="83" t="n">
        <x:v>235</x:v>
      </x:c>
      <x:c r="B236" s="84" t="n">
        <x:v>142</x:v>
      </x:c>
      <x:c r="C236" s="84" t="n">
        <x:v>41</x:v>
      </x:c>
      <x:c r="D236" s="89" t="n">
        <x:v>45774</x:v>
      </x:c>
      <x:c r="E236" s="84" t="n">
        <x:v>2.4</x:v>
      </x:c>
      <x:c r="F236" s="84" t="str">
        <x:v>Normal</x:v>
      </x:c>
      <x:c r="G236" s="93" t="n">
        <x:v>121.39</x:v>
      </x:c>
      <x:c r="H236" s="85" t="str">
        <x:v>Diagnóstico e execução</x:v>
      </x:c>
    </x:row>
    <x:row r="237">
      <x:c r="A237" s="83" t="n">
        <x:v>236</x:v>
      </x:c>
      <x:c r="B237" s="84" t="n">
        <x:v>143</x:v>
      </x:c>
      <x:c r="C237" s="84" t="n">
        <x:v>31</x:v>
      </x:c>
      <x:c r="D237" s="89" t="n">
        <x:v>45203</x:v>
      </x:c>
      <x:c r="E237" s="84" t="n">
        <x:v>3.2</x:v>
      </x:c>
      <x:c r="F237" s="84" t="str">
        <x:v>Normal</x:v>
      </x:c>
      <x:c r="G237" s="93" t="n">
        <x:v>156.48</x:v>
      </x:c>
      <x:c r="H237" s="85" t="str">
        <x:v>Diagnóstico e execução</x:v>
      </x:c>
    </x:row>
    <x:row r="238">
      <x:c r="A238" s="83" t="n">
        <x:v>237</x:v>
      </x:c>
      <x:c r="B238" s="84" t="n">
        <x:v>143</x:v>
      </x:c>
      <x:c r="C238" s="84" t="n">
        <x:v>34</x:v>
      </x:c>
      <x:c r="D238" s="89" t="n">
        <x:v>45203</x:v>
      </x:c>
      <x:c r="E238" s="84" t="n">
        <x:v>4.5</x:v>
      </x:c>
      <x:c r="F238" s="84" t="str">
        <x:v>Normal</x:v>
      </x:c>
      <x:c r="G238" s="93" t="n">
        <x:v>194.53</x:v>
      </x:c>
      <x:c r="H238" s="85" t="str">
        <x:v>Diagnóstico e execução</x:v>
      </x:c>
    </x:row>
    <x:row r="239">
      <x:c r="A239" s="83" t="n">
        <x:v>238</x:v>
      </x:c>
      <x:c r="B239" s="84" t="n">
        <x:v>143</x:v>
      </x:c>
      <x:c r="C239" s="84" t="n">
        <x:v>18</x:v>
      </x:c>
      <x:c r="D239" s="89" t="n">
        <x:v>45203</x:v>
      </x:c>
      <x:c r="E239" s="84" t="n">
        <x:v>1.4</x:v>
      </x:c>
      <x:c r="F239" s="84" t="str">
        <x:v>Normal</x:v>
      </x:c>
      <x:c r="G239" s="93" t="n">
        <x:v>88.33</x:v>
      </x:c>
      <x:c r="H239" s="85" t="str">
        <x:v>Diagnóstico e execução</x:v>
      </x:c>
    </x:row>
    <x:row r="240">
      <x:c r="A240" s="83" t="n">
        <x:v>239</x:v>
      </x:c>
      <x:c r="B240" s="84" t="n">
        <x:v>144</x:v>
      </x:c>
      <x:c r="C240" s="84" t="n">
        <x:v>34</x:v>
      </x:c>
      <x:c r="D240" s="89" t="n">
        <x:v>45182</x:v>
      </x:c>
      <x:c r="E240" s="84" t="n">
        <x:v>7.9</x:v>
      </x:c>
      <x:c r="F240" s="84" t="str">
        <x:v>Normal</x:v>
      </x:c>
      <x:c r="G240" s="93" t="n">
        <x:v>341.52</x:v>
      </x:c>
      <x:c r="H240" s="85" t="str">
        <x:v>Diagnóstico e execução</x:v>
      </x:c>
    </x:row>
    <x:row r="241">
      <x:c r="A241" s="83" t="n">
        <x:v>240</x:v>
      </x:c>
      <x:c r="B241" s="84" t="n">
        <x:v>144</x:v>
      </x:c>
      <x:c r="C241" s="84" t="n">
        <x:v>7</x:v>
      </x:c>
      <x:c r="D241" s="89" t="n">
        <x:v>45182</x:v>
      </x:c>
      <x:c r="E241" s="84" t="n">
        <x:v>6.5</x:v>
      </x:c>
      <x:c r="F241" s="84" t="str">
        <x:v>Normal</x:v>
      </x:c>
      <x:c r="G241" s="93" t="n">
        <x:v>378.37</x:v>
      </x:c>
      <x:c r="H241" s="85" t="str">
        <x:v>Diagnóstico e execução</x:v>
      </x:c>
    </x:row>
    <x:row r="242">
      <x:c r="A242" s="83" t="n">
        <x:v>241</x:v>
      </x:c>
      <x:c r="B242" s="84" t="n">
        <x:v>145</x:v>
      </x:c>
      <x:c r="C242" s="84" t="n">
        <x:v>8</x:v>
      </x:c>
      <x:c r="D242" s="89" t="n">
        <x:v>45634</x:v>
      </x:c>
      <x:c r="E242" s="84" t="n">
        <x:v>4.9</x:v>
      </x:c>
      <x:c r="F242" s="84" t="str">
        <x:v>Normal</x:v>
      </x:c>
      <x:c r="G242" s="93" t="n">
        <x:v>227.85</x:v>
      </x:c>
      <x:c r="H242" s="85" t="str">
        <x:v>Diagnóstico e execução</x:v>
      </x:c>
    </x:row>
    <x:row r="243">
      <x:c r="A243" s="83" t="n">
        <x:v>242</x:v>
      </x:c>
      <x:c r="B243" s="84" t="n">
        <x:v>145</x:v>
      </x:c>
      <x:c r="C243" s="84" t="n">
        <x:v>42</x:v>
      </x:c>
      <x:c r="D243" s="89" t="n">
        <x:v>45634</x:v>
      </x:c>
      <x:c r="E243" s="84" t="n">
        <x:v>2.9</x:v>
      </x:c>
      <x:c r="F243" s="84" t="str">
        <x:v>Normal</x:v>
      </x:c>
      <x:c r="G243" s="93" t="n">
        <x:v>122.32</x:v>
      </x:c>
      <x:c r="H243" s="85" t="str">
        <x:v>Diagnóstico e execução</x:v>
      </x:c>
    </x:row>
    <x:row r="244">
      <x:c r="A244" s="83" t="n">
        <x:v>243</x:v>
      </x:c>
      <x:c r="B244" s="84" t="n">
        <x:v>147</x:v>
      </x:c>
      <x:c r="C244" s="84" t="n">
        <x:v>10</x:v>
      </x:c>
      <x:c r="D244" s="89" t="n">
        <x:v>45663</x:v>
      </x:c>
      <x:c r="E244" s="84" t="n">
        <x:v>4.7</x:v>
      </x:c>
      <x:c r="F244" s="84" t="str">
        <x:v>Normal</x:v>
      </x:c>
      <x:c r="G244" s="93" t="n">
        <x:v>139.54</x:v>
      </x:c>
      <x:c r="H244" s="85" t="str">
        <x:v>Diagnóstico e execução</x:v>
      </x:c>
    </x:row>
    <x:row r="245">
      <x:c r="A245" s="83" t="n">
        <x:v>244</x:v>
      </x:c>
      <x:c r="B245" s="84" t="n">
        <x:v>147</x:v>
      </x:c>
      <x:c r="C245" s="84" t="n">
        <x:v>11</x:v>
      </x:c>
      <x:c r="D245" s="89" t="n">
        <x:v>45663</x:v>
      </x:c>
      <x:c r="E245" s="84" t="n">
        <x:v>2.6</x:v>
      </x:c>
      <x:c r="F245" s="84" t="str">
        <x:v>Normal</x:v>
      </x:c>
      <x:c r="G245" s="93" t="n">
        <x:v>108.37</x:v>
      </x:c>
      <x:c r="H245" s="85" t="str">
        <x:v>Diagnóstico e execução</x:v>
      </x:c>
    </x:row>
    <x:row r="246">
      <x:c r="A246" s="83" t="n">
        <x:v>245</x:v>
      </x:c>
      <x:c r="B246" s="84" t="n">
        <x:v>148</x:v>
      </x:c>
      <x:c r="C246" s="84" t="n">
        <x:v>6</x:v>
      </x:c>
      <x:c r="D246" s="89" t="n">
        <x:v>44932</x:v>
      </x:c>
      <x:c r="E246" s="84" t="n">
        <x:v>5.4</x:v>
      </x:c>
      <x:c r="F246" s="84" t="str">
        <x:v>Normal</x:v>
      </x:c>
      <x:c r="G246" s="93" t="n">
        <x:v>282.2</x:v>
      </x:c>
      <x:c r="H246" s="85" t="str">
        <x:v>Diagnóstico e execução</x:v>
      </x:c>
    </x:row>
    <x:row r="247">
      <x:c r="A247" s="83" t="n">
        <x:v>246</x:v>
      </x:c>
      <x:c r="B247" s="84" t="n">
        <x:v>148</x:v>
      </x:c>
      <x:c r="C247" s="84" t="n">
        <x:v>8</x:v>
      </x:c>
      <x:c r="D247" s="89" t="n">
        <x:v>44932</x:v>
      </x:c>
      <x:c r="E247" s="84" t="n">
        <x:v>2.5</x:v>
      </x:c>
      <x:c r="F247" s="84" t="str">
        <x:v>Normal</x:v>
      </x:c>
      <x:c r="G247" s="93" t="n">
        <x:v>116.25</x:v>
      </x:c>
      <x:c r="H247" s="85" t="str">
        <x:v>Diagnóstico e execução</x:v>
      </x:c>
    </x:row>
    <x:row r="248">
      <x:c r="A248" s="83" t="n">
        <x:v>247</x:v>
      </x:c>
      <x:c r="B248" s="84" t="n">
        <x:v>149</x:v>
      </x:c>
      <x:c r="C248" s="84" t="n">
        <x:v>30</x:v>
      </x:c>
      <x:c r="D248" s="89" t="n">
        <x:v>45758</x:v>
      </x:c>
      <x:c r="E248" s="84" t="n">
        <x:v>1.3</x:v>
      </x:c>
      <x:c r="F248" s="84" t="str">
        <x:v>Normal</x:v>
      </x:c>
      <x:c r="G248" s="93" t="n">
        <x:v>53.83</x:v>
      </x:c>
      <x:c r="H248" s="85" t="str">
        <x:v>Diagnóstico e execução</x:v>
      </x:c>
    </x:row>
    <x:row r="249">
      <x:c r="A249" s="83" t="n">
        <x:v>248</x:v>
      </x:c>
      <x:c r="B249" s="84" t="n">
        <x:v>149</x:v>
      </x:c>
      <x:c r="C249" s="84" t="n">
        <x:v>42</x:v>
      </x:c>
      <x:c r="D249" s="89" t="n">
        <x:v>45758</x:v>
      </x:c>
      <x:c r="E249" s="84" t="n">
        <x:v>7</x:v>
      </x:c>
      <x:c r="F249" s="84" t="str">
        <x:v>Normal</x:v>
      </x:c>
      <x:c r="G249" s="93" t="n">
        <x:v>295.26</x:v>
      </x:c>
      <x:c r="H249" s="85" t="str">
        <x:v>Diagnóstico e execução</x:v>
      </x:c>
    </x:row>
    <x:row r="250">
      <x:c r="A250" s="83" t="n">
        <x:v>249</x:v>
      </x:c>
      <x:c r="B250" s="84" t="n">
        <x:v>150</x:v>
      </x:c>
      <x:c r="C250" s="84" t="n">
        <x:v>16</x:v>
      </x:c>
      <x:c r="D250" s="89" t="n">
        <x:v>45578</x:v>
      </x:c>
      <x:c r="E250" s="84" t="n">
        <x:v>2.6</x:v>
      </x:c>
      <x:c r="F250" s="84" t="str">
        <x:v>Normal</x:v>
      </x:c>
      <x:c r="G250" s="93" t="n">
        <x:v>105.35</x:v>
      </x:c>
      <x:c r="H250" s="85" t="str">
        <x:v>Diagnóstico e execução</x:v>
      </x:c>
    </x:row>
    <x:row r="251">
      <x:c r="A251" s="83" t="n">
        <x:v>250</x:v>
      </x:c>
      <x:c r="B251" s="84" t="n">
        <x:v>150</x:v>
      </x:c>
      <x:c r="C251" s="84" t="n">
        <x:v>23</x:v>
      </x:c>
      <x:c r="D251" s="89" t="n">
        <x:v>45578</x:v>
      </x:c>
      <x:c r="E251" s="84" t="n">
        <x:v>4.7</x:v>
      </x:c>
      <x:c r="F251" s="84" t="str">
        <x:v>Normal</x:v>
      </x:c>
      <x:c r="G251" s="93" t="n">
        <x:v>202.62</x:v>
      </x:c>
      <x:c r="H251" s="85" t="str">
        <x:v>Diagnóstico e execução</x:v>
      </x:c>
    </x:row>
    <x:row r="252">
      <x:c r="A252" s="83" t="n">
        <x:v>251</x:v>
      </x:c>
      <x:c r="B252" s="84" t="n">
        <x:v>150</x:v>
      </x:c>
      <x:c r="C252" s="84" t="n">
        <x:v>1</x:v>
      </x:c>
      <x:c r="D252" s="89" t="n">
        <x:v>45578</x:v>
      </x:c>
      <x:c r="E252" s="84" t="n">
        <x:v>1.9</x:v>
      </x:c>
      <x:c r="F252" s="84" t="str">
        <x:v>Normal</x:v>
      </x:c>
      <x:c r="G252" s="93" t="n">
        <x:v>67.2</x:v>
      </x:c>
      <x:c r="H252" s="85" t="str">
        <x:v>Diagnóstico e execução</x:v>
      </x:c>
    </x:row>
    <x:row r="253">
      <x:c r="A253" s="83" t="n">
        <x:v>252</x:v>
      </x:c>
      <x:c r="B253" s="84" t="n">
        <x:v>151</x:v>
      </x:c>
      <x:c r="C253" s="84" t="n">
        <x:v>17</x:v>
      </x:c>
      <x:c r="D253" s="89" t="n">
        <x:v>46017</x:v>
      </x:c>
      <x:c r="E253" s="84" t="n">
        <x:v>7.3</x:v>
      </x:c>
      <x:c r="F253" s="84" t="str">
        <x:v>Normal</x:v>
      </x:c>
      <x:c r="G253" s="93" t="n">
        <x:v>407.19</x:v>
      </x:c>
      <x:c r="H253" s="85" t="str">
        <x:v>Diagnóstico e execução</x:v>
      </x:c>
    </x:row>
    <x:row r="254">
      <x:c r="A254" s="83" t="n">
        <x:v>253</x:v>
      </x:c>
      <x:c r="B254" s="84" t="n">
        <x:v>151</x:v>
      </x:c>
      <x:c r="C254" s="84" t="n">
        <x:v>13</x:v>
      </x:c>
      <x:c r="D254" s="89" t="n">
        <x:v>46017</x:v>
      </x:c>
      <x:c r="E254" s="84" t="n">
        <x:v>4.6</x:v>
      </x:c>
      <x:c r="F254" s="84" t="str">
        <x:v>Normal</x:v>
      </x:c>
      <x:c r="G254" s="93" t="n">
        <x:v>155.85</x:v>
      </x:c>
      <x:c r="H254" s="85" t="str">
        <x:v>Diagnóstico e execução</x:v>
      </x:c>
    </x:row>
    <x:row r="255">
      <x:c r="A255" s="83" t="n">
        <x:v>254</x:v>
      </x:c>
      <x:c r="B255" s="84" t="n">
        <x:v>151</x:v>
      </x:c>
      <x:c r="C255" s="84" t="n">
        <x:v>36</x:v>
      </x:c>
      <x:c r="D255" s="89" t="n">
        <x:v>46017</x:v>
      </x:c>
      <x:c r="E255" s="84" t="n">
        <x:v>2.3</x:v>
      </x:c>
      <x:c r="F255" s="84" t="str">
        <x:v>Normal</x:v>
      </x:c>
      <x:c r="G255" s="93" t="n">
        <x:v>68.22</x:v>
      </x:c>
      <x:c r="H255" s="85" t="str">
        <x:v>Diagnóstico e execução</x:v>
      </x:c>
    </x:row>
    <x:row r="256">
      <x:c r="A256" s="83" t="n">
        <x:v>255</x:v>
      </x:c>
      <x:c r="B256" s="84" t="n">
        <x:v>152</x:v>
      </x:c>
      <x:c r="C256" s="84" t="n">
        <x:v>40</x:v>
      </x:c>
      <x:c r="D256" s="89" t="n">
        <x:v>45297</x:v>
      </x:c>
      <x:c r="E256" s="84" t="n">
        <x:v>2</x:v>
      </x:c>
      <x:c r="F256" s="84" t="str">
        <x:v>Normal</x:v>
      </x:c>
      <x:c r="G256" s="93" t="n">
        <x:v>98.84</x:v>
      </x:c>
      <x:c r="H256" s="85" t="str">
        <x:v>Diagnóstico e execução</x:v>
      </x:c>
    </x:row>
    <x:row r="257">
      <x:c r="A257" s="83" t="n">
        <x:v>256</x:v>
      </x:c>
      <x:c r="B257" s="84" t="n">
        <x:v>152</x:v>
      </x:c>
      <x:c r="C257" s="84" t="n">
        <x:v>44</x:v>
      </x:c>
      <x:c r="D257" s="89" t="n">
        <x:v>45297</x:v>
      </x:c>
      <x:c r="E257" s="84" t="n">
        <x:v>6.9</x:v>
      </x:c>
      <x:c r="F257" s="84" t="str">
        <x:v>Normal</x:v>
      </x:c>
      <x:c r="G257" s="93" t="n">
        <x:v>193.48</x:v>
      </x:c>
      <x:c r="H257" s="85" t="str">
        <x:v>Diagnóstico e execução</x:v>
      </x:c>
    </x:row>
    <x:row r="258">
      <x:c r="A258" s="83" t="n">
        <x:v>257</x:v>
      </x:c>
      <x:c r="B258" s="84" t="n">
        <x:v>152</x:v>
      </x:c>
      <x:c r="C258" s="84" t="n">
        <x:v>32</x:v>
      </x:c>
      <x:c r="D258" s="89" t="n">
        <x:v>45297</x:v>
      </x:c>
      <x:c r="E258" s="84" t="n">
        <x:v>7.4</x:v>
      </x:c>
      <x:c r="F258" s="84" t="str">
        <x:v>Normal</x:v>
      </x:c>
      <x:c r="G258" s="93" t="n">
        <x:v>323.01</x:v>
      </x:c>
      <x:c r="H258" s="85" t="str">
        <x:v>Diagnóstico e execução</x:v>
      </x:c>
    </x:row>
    <x:row r="259">
      <x:c r="A259" s="83" t="n">
        <x:v>258</x:v>
      </x:c>
      <x:c r="B259" s="84" t="n">
        <x:v>153</x:v>
      </x:c>
      <x:c r="C259" s="84" t="n">
        <x:v>11</x:v>
      </x:c>
      <x:c r="D259" s="89" t="n">
        <x:v>45568</x:v>
      </x:c>
      <x:c r="E259" s="84" t="n">
        <x:v>0.8</x:v>
      </x:c>
      <x:c r="F259" s="84" t="str">
        <x:v>Normal</x:v>
      </x:c>
      <x:c r="G259" s="93" t="n">
        <x:v>33.34</x:v>
      </x:c>
      <x:c r="H259" s="85" t="str">
        <x:v>Diagnóstico e execução</x:v>
      </x:c>
    </x:row>
    <x:row r="260">
      <x:c r="A260" s="83" t="n">
        <x:v>259</x:v>
      </x:c>
      <x:c r="B260" s="84" t="n">
        <x:v>154</x:v>
      </x:c>
      <x:c r="C260" s="84" t="n">
        <x:v>32</x:v>
      </x:c>
      <x:c r="D260" s="89" t="n">
        <x:v>45208</x:v>
      </x:c>
      <x:c r="E260" s="84" t="n">
        <x:v>6.2</x:v>
      </x:c>
      <x:c r="F260" s="84" t="str">
        <x:v>Normal</x:v>
      </x:c>
      <x:c r="G260" s="93" t="n">
        <x:v>270.63</x:v>
      </x:c>
      <x:c r="H260" s="85" t="str">
        <x:v>Diagnóstico e execução</x:v>
      </x:c>
    </x:row>
    <x:row r="261">
      <x:c r="A261" s="83" t="n">
        <x:v>260</x:v>
      </x:c>
      <x:c r="B261" s="84" t="n">
        <x:v>155</x:v>
      </x:c>
      <x:c r="C261" s="84" t="n">
        <x:v>32</x:v>
      </x:c>
      <x:c r="D261" s="89" t="n">
        <x:v>45587</x:v>
      </x:c>
      <x:c r="E261" s="84" t="n">
        <x:v>4.7</x:v>
      </x:c>
      <x:c r="F261" s="84" t="str">
        <x:v>Normal</x:v>
      </x:c>
      <x:c r="G261" s="93" t="n">
        <x:v>205.16</x:v>
      </x:c>
      <x:c r="H261" s="85" t="str">
        <x:v>Diagnóstico e execução</x:v>
      </x:c>
    </x:row>
    <x:row r="262">
      <x:c r="A262" s="83" t="n">
        <x:v>261</x:v>
      </x:c>
      <x:c r="B262" s="84" t="n">
        <x:v>156</x:v>
      </x:c>
      <x:c r="C262" s="84" t="n">
        <x:v>8</x:v>
      </x:c>
      <x:c r="D262" s="89" t="n">
        <x:v>45263</x:v>
      </x:c>
      <x:c r="E262" s="84" t="n">
        <x:v>5.1</x:v>
      </x:c>
      <x:c r="F262" s="84" t="str">
        <x:v>Normal</x:v>
      </x:c>
      <x:c r="G262" s="93" t="n">
        <x:v>237.15</x:v>
      </x:c>
      <x:c r="H262" s="85" t="str">
        <x:v>Diagnóstico e execução</x:v>
      </x:c>
    </x:row>
    <x:row r="263">
      <x:c r="A263" s="83" t="n">
        <x:v>262</x:v>
      </x:c>
      <x:c r="B263" s="84" t="n">
        <x:v>156</x:v>
      </x:c>
      <x:c r="C263" s="84" t="n">
        <x:v>41</x:v>
      </x:c>
      <x:c r="D263" s="89" t="n">
        <x:v>45263</x:v>
      </x:c>
      <x:c r="E263" s="84" t="n">
        <x:v>4.3</x:v>
      </x:c>
      <x:c r="F263" s="84" t="str">
        <x:v>Normal</x:v>
      </x:c>
      <x:c r="G263" s="93" t="n">
        <x:v>217.49</x:v>
      </x:c>
      <x:c r="H263" s="85" t="str">
        <x:v>Diagnóstico e execução</x:v>
      </x:c>
    </x:row>
    <x:row r="264">
      <x:c r="A264" s="83" t="n">
        <x:v>263</x:v>
      </x:c>
      <x:c r="B264" s="84" t="n">
        <x:v>156</x:v>
      </x:c>
      <x:c r="C264" s="84" t="n">
        <x:v>45</x:v>
      </x:c>
      <x:c r="D264" s="89" t="n">
        <x:v>45263</x:v>
      </x:c>
      <x:c r="E264" s="84" t="n">
        <x:v>6.7</x:v>
      </x:c>
      <x:c r="F264" s="84" t="str">
        <x:v>Normal</x:v>
      </x:c>
      <x:c r="G264" s="93" t="n">
        <x:v>358.92</x:v>
      </x:c>
      <x:c r="H264" s="85" t="str">
        <x:v>Diagnóstico e execução</x:v>
      </x:c>
    </x:row>
    <x:row r="265">
      <x:c r="A265" s="83" t="n">
        <x:v>264</x:v>
      </x:c>
      <x:c r="B265" s="84" t="n">
        <x:v>157</x:v>
      </x:c>
      <x:c r="C265" s="84" t="n">
        <x:v>42</x:v>
      </x:c>
      <x:c r="D265" s="89" t="n">
        <x:v>45401</x:v>
      </x:c>
      <x:c r="E265" s="84" t="n">
        <x:v>4.2</x:v>
      </x:c>
      <x:c r="F265" s="84" t="str">
        <x:v>Normal</x:v>
      </x:c>
      <x:c r="G265" s="93" t="n">
        <x:v>177.16</x:v>
      </x:c>
      <x:c r="H265" s="85" t="str">
        <x:v>Diagnóstico e execução</x:v>
      </x:c>
    </x:row>
    <x:row r="266">
      <x:c r="A266" s="83" t="n">
        <x:v>265</x:v>
      </x:c>
      <x:c r="B266" s="84" t="n">
        <x:v>159</x:v>
      </x:c>
      <x:c r="C266" s="84" t="n">
        <x:v>45</x:v>
      </x:c>
      <x:c r="D266" s="89" t="n">
        <x:v>45200</x:v>
      </x:c>
      <x:c r="E266" s="84" t="n">
        <x:v>1.2</x:v>
      </x:c>
      <x:c r="F266" s="84" t="str">
        <x:v>Normal</x:v>
      </x:c>
      <x:c r="G266" s="93" t="n">
        <x:v>64.28</x:v>
      </x:c>
      <x:c r="H266" s="85" t="str">
        <x:v>Diagnóstico e execução</x:v>
      </x:c>
    </x:row>
    <x:row r="267">
      <x:c r="A267" s="83" t="n">
        <x:v>266</x:v>
      </x:c>
      <x:c r="B267" s="84" t="n">
        <x:v>159</x:v>
      </x:c>
      <x:c r="C267" s="84" t="n">
        <x:v>37</x:v>
      </x:c>
      <x:c r="D267" s="89" t="n">
        <x:v>45200</x:v>
      </x:c>
      <x:c r="E267" s="84" t="n">
        <x:v>5.1</x:v>
      </x:c>
      <x:c r="F267" s="84" t="str">
        <x:v>Normal</x:v>
      </x:c>
      <x:c r="G267" s="93" t="n">
        <x:v>300.75</x:v>
      </x:c>
      <x:c r="H267" s="85" t="str">
        <x:v>Diagnóstico e execução</x:v>
      </x:c>
    </x:row>
    <x:row r="268">
      <x:c r="A268" s="83" t="n">
        <x:v>267</x:v>
      </x:c>
      <x:c r="B268" s="84" t="n">
        <x:v>159</x:v>
      </x:c>
      <x:c r="C268" s="84" t="n">
        <x:v>18</x:v>
      </x:c>
      <x:c r="D268" s="89" t="n">
        <x:v>45200</x:v>
      </x:c>
      <x:c r="E268" s="84" t="n">
        <x:v>0.7</x:v>
      </x:c>
      <x:c r="F268" s="84" t="str">
        <x:v>Normal</x:v>
      </x:c>
      <x:c r="G268" s="93" t="n">
        <x:v>44.16</x:v>
      </x:c>
      <x:c r="H268" s="85" t="str">
        <x:v>Diagnóstico e execução</x:v>
      </x:c>
    </x:row>
    <x:row r="269">
      <x:c r="A269" s="83" t="n">
        <x:v>268</x:v>
      </x:c>
      <x:c r="B269" s="84" t="n">
        <x:v>160</x:v>
      </x:c>
      <x:c r="C269" s="84" t="n">
        <x:v>8</x:v>
      </x:c>
      <x:c r="D269" s="89" t="n">
        <x:v>45427</x:v>
      </x:c>
      <x:c r="E269" s="84" t="n">
        <x:v>3</x:v>
      </x:c>
      <x:c r="F269" s="84" t="str">
        <x:v>Normal</x:v>
      </x:c>
      <x:c r="G269" s="93" t="n">
        <x:v>139.5</x:v>
      </x:c>
      <x:c r="H269" s="85" t="str">
        <x:v>Diagnóstico e execução</x:v>
      </x:c>
    </x:row>
    <x:row r="270">
      <x:c r="A270" s="83" t="n">
        <x:v>269</x:v>
      </x:c>
      <x:c r="B270" s="84" t="n">
        <x:v>160</x:v>
      </x:c>
      <x:c r="C270" s="84" t="n">
        <x:v>20</x:v>
      </x:c>
      <x:c r="D270" s="89" t="n">
        <x:v>45427</x:v>
      </x:c>
      <x:c r="E270" s="84" t="n">
        <x:v>4.5</x:v>
      </x:c>
      <x:c r="F270" s="84" t="str">
        <x:v>Normal</x:v>
      </x:c>
      <x:c r="G270" s="93" t="n">
        <x:v>150.84</x:v>
      </x:c>
      <x:c r="H270" s="85" t="str">
        <x:v>Diagnóstico e execução</x:v>
      </x:c>
    </x:row>
    <x:row r="271">
      <x:c r="A271" s="83" t="n">
        <x:v>270</x:v>
      </x:c>
      <x:c r="B271" s="84" t="n">
        <x:v>160</x:v>
      </x:c>
      <x:c r="C271" s="84" t="n">
        <x:v>30</x:v>
      </x:c>
      <x:c r="D271" s="89" t="n">
        <x:v>45427</x:v>
      </x:c>
      <x:c r="E271" s="84" t="n">
        <x:v>5</x:v>
      </x:c>
      <x:c r="F271" s="84" t="str">
        <x:v>Normal</x:v>
      </x:c>
      <x:c r="G271" s="93" t="n">
        <x:v>207.05</x:v>
      </x:c>
      <x:c r="H271" s="85" t="str">
        <x:v>Diagnóstico e execução</x:v>
      </x:c>
    </x:row>
    <x:row r="272">
      <x:c r="A272" s="83" t="n">
        <x:v>271</x:v>
      </x:c>
      <x:c r="B272" s="84" t="n">
        <x:v>161</x:v>
      </x:c>
      <x:c r="C272" s="84" t="n">
        <x:v>5</x:v>
      </x:c>
      <x:c r="D272" s="89" t="n">
        <x:v>45125</x:v>
      </x:c>
      <x:c r="E272" s="84" t="n">
        <x:v>5.3</x:v>
      </x:c>
      <x:c r="F272" s="84" t="str">
        <x:v>Normal</x:v>
      </x:c>
      <x:c r="G272" s="93" t="n">
        <x:v>152.75</x:v>
      </x:c>
      <x:c r="H272" s="85" t="str">
        <x:v>Diagnóstico e execução</x:v>
      </x:c>
    </x:row>
    <x:row r="273">
      <x:c r="A273" s="83" t="n">
        <x:v>272</x:v>
      </x:c>
      <x:c r="B273" s="84" t="n">
        <x:v>162</x:v>
      </x:c>
      <x:c r="C273" s="84" t="n">
        <x:v>3</x:v>
      </x:c>
      <x:c r="D273" s="89" t="n">
        <x:v>45631</x:v>
      </x:c>
      <x:c r="E273" s="84" t="n">
        <x:v>5.5</x:v>
      </x:c>
      <x:c r="F273" s="84" t="str">
        <x:v>Normal</x:v>
      </x:c>
      <x:c r="G273" s="93" t="n">
        <x:v>270.82</x:v>
      </x:c>
      <x:c r="H273" s="85" t="str">
        <x:v>Diagnóstico e execução</x:v>
      </x:c>
    </x:row>
    <x:row r="274">
      <x:c r="A274" s="83" t="n">
        <x:v>273</x:v>
      </x:c>
      <x:c r="B274" s="84" t="n">
        <x:v>162</x:v>
      </x:c>
      <x:c r="C274" s="84" t="n">
        <x:v>40</x:v>
      </x:c>
      <x:c r="D274" s="89" t="n">
        <x:v>45631</x:v>
      </x:c>
      <x:c r="E274" s="84" t="n">
        <x:v>5.9</x:v>
      </x:c>
      <x:c r="F274" s="84" t="str">
        <x:v>Normal</x:v>
      </x:c>
      <x:c r="G274" s="93" t="n">
        <x:v>291.58</x:v>
      </x:c>
      <x:c r="H274" s="85" t="str">
        <x:v>Diagnóstico e execução</x:v>
      </x:c>
    </x:row>
    <x:row r="275">
      <x:c r="A275" s="83" t="n">
        <x:v>274</x:v>
      </x:c>
      <x:c r="B275" s="84" t="n">
        <x:v>162</x:v>
      </x:c>
      <x:c r="C275" s="84" t="n">
        <x:v>7</x:v>
      </x:c>
      <x:c r="D275" s="89" t="n">
        <x:v>45631</x:v>
      </x:c>
      <x:c r="E275" s="84" t="n">
        <x:v>7.5</x:v>
      </x:c>
      <x:c r="F275" s="84" t="str">
        <x:v>Normal</x:v>
      </x:c>
      <x:c r="G275" s="93" t="n">
        <x:v>436.57</x:v>
      </x:c>
      <x:c r="H275" s="85" t="str">
        <x:v>Diagnóstico e execução</x:v>
      </x:c>
    </x:row>
    <x:row r="276">
      <x:c r="A276" s="83" t="n">
        <x:v>275</x:v>
      </x:c>
      <x:c r="B276" s="84" t="n">
        <x:v>163</x:v>
      </x:c>
      <x:c r="C276" s="84" t="n">
        <x:v>29</x:v>
      </x:c>
      <x:c r="D276" s="89" t="n">
        <x:v>45864</x:v>
      </x:c>
      <x:c r="E276" s="84" t="n">
        <x:v>5.5</x:v>
      </x:c>
      <x:c r="F276" s="84" t="str">
        <x:v>Normal</x:v>
      </x:c>
      <x:c r="G276" s="93" t="n">
        <x:v>272.36</x:v>
      </x:c>
      <x:c r="H276" s="85" t="str">
        <x:v>Diagnóstico e execução</x:v>
      </x:c>
    </x:row>
    <x:row r="277">
      <x:c r="A277" s="83" t="n">
        <x:v>276</x:v>
      </x:c>
      <x:c r="B277" s="84" t="n">
        <x:v>163</x:v>
      </x:c>
      <x:c r="C277" s="84" t="n">
        <x:v>2</x:v>
      </x:c>
      <x:c r="D277" s="89" t="n">
        <x:v>45864</x:v>
      </x:c>
      <x:c r="E277" s="84" t="n">
        <x:v>2.2</x:v>
      </x:c>
      <x:c r="F277" s="84" t="str">
        <x:v>Normal</x:v>
      </x:c>
      <x:c r="G277" s="93" t="n">
        <x:v>81.97</x:v>
      </x:c>
      <x:c r="H277" s="85" t="str">
        <x:v>Diagnóstico e execução</x:v>
      </x:c>
    </x:row>
    <x:row r="278">
      <x:c r="A278" s="83" t="n">
        <x:v>277</x:v>
      </x:c>
      <x:c r="B278" s="84" t="n">
        <x:v>163</x:v>
      </x:c>
      <x:c r="C278" s="84" t="n">
        <x:v>4</x:v>
      </x:c>
      <x:c r="D278" s="89" t="n">
        <x:v>45864</x:v>
      </x:c>
      <x:c r="E278" s="84" t="n">
        <x:v>7.9</x:v>
      </x:c>
      <x:c r="F278" s="84" t="str">
        <x:v>Normal</x:v>
      </x:c>
      <x:c r="G278" s="93" t="n">
        <x:v>388.6</x:v>
      </x:c>
      <x:c r="H278" s="85" t="str">
        <x:v>Diagnóstico e execução</x:v>
      </x:c>
    </x:row>
    <x:row r="279">
      <x:c r="A279" s="83" t="n">
        <x:v>278</x:v>
      </x:c>
      <x:c r="B279" s="84" t="n">
        <x:v>164</x:v>
      </x:c>
      <x:c r="C279" s="84" t="n">
        <x:v>25</x:v>
      </x:c>
      <x:c r="D279" s="89" t="n">
        <x:v>45806</x:v>
      </x:c>
      <x:c r="E279" s="84" t="n">
        <x:v>4.3</x:v>
      </x:c>
      <x:c r="F279" s="84" t="str">
        <x:v>Normal</x:v>
      </x:c>
      <x:c r="G279" s="93" t="n">
        <x:v>230.44</x:v>
      </x:c>
      <x:c r="H279" s="85" t="str">
        <x:v>Diagnóstico e execução</x:v>
      </x:c>
    </x:row>
    <x:row r="280">
      <x:c r="A280" s="83" t="n">
        <x:v>279</x:v>
      </x:c>
      <x:c r="B280" s="84" t="n">
        <x:v>165</x:v>
      </x:c>
      <x:c r="C280" s="84" t="n">
        <x:v>29</x:v>
      </x:c>
      <x:c r="D280" s="89" t="n">
        <x:v>45676</x:v>
      </x:c>
      <x:c r="E280" s="84" t="n">
        <x:v>5.5</x:v>
      </x:c>
      <x:c r="F280" s="84" t="str">
        <x:v>Normal</x:v>
      </x:c>
      <x:c r="G280" s="93" t="n">
        <x:v>272.36</x:v>
      </x:c>
      <x:c r="H280" s="85" t="str">
        <x:v>Diagnóstico e execução</x:v>
      </x:c>
    </x:row>
    <x:row r="281">
      <x:c r="A281" s="83" t="n">
        <x:v>280</x:v>
      </x:c>
      <x:c r="B281" s="84" t="n">
        <x:v>165</x:v>
      </x:c>
      <x:c r="C281" s="84" t="n">
        <x:v>15</x:v>
      </x:c>
      <x:c r="D281" s="89" t="n">
        <x:v>45676</x:v>
      </x:c>
      <x:c r="E281" s="84" t="n">
        <x:v>4.4</x:v>
      </x:c>
      <x:c r="F281" s="84" t="str">
        <x:v>Normal</x:v>
      </x:c>
      <x:c r="G281" s="93" t="n">
        <x:v>133.06</x:v>
      </x:c>
      <x:c r="H281" s="85" t="str">
        <x:v>Diagnóstico e execução</x:v>
      </x:c>
    </x:row>
    <x:row r="282">
      <x:c r="A282" s="83" t="n">
        <x:v>281</x:v>
      </x:c>
      <x:c r="B282" s="84" t="n">
        <x:v>166</x:v>
      </x:c>
      <x:c r="C282" s="84" t="n">
        <x:v>6</x:v>
      </x:c>
      <x:c r="D282" s="89" t="n">
        <x:v>45487</x:v>
      </x:c>
      <x:c r="E282" s="84" t="n">
        <x:v>0.9</x:v>
      </x:c>
      <x:c r="F282" s="84" t="str">
        <x:v>Normal</x:v>
      </x:c>
      <x:c r="G282" s="93" t="n">
        <x:v>47.03</x:v>
      </x:c>
      <x:c r="H282" s="85" t="str">
        <x:v>Diagnóstico e execução</x:v>
      </x:c>
    </x:row>
    <x:row r="283">
      <x:c r="A283" s="83" t="n">
        <x:v>282</x:v>
      </x:c>
      <x:c r="B283" s="84" t="n">
        <x:v>166</x:v>
      </x:c>
      <x:c r="C283" s="84" t="n">
        <x:v>4</x:v>
      </x:c>
      <x:c r="D283" s="89" t="n">
        <x:v>45487</x:v>
      </x:c>
      <x:c r="E283" s="84" t="n">
        <x:v>7.7</x:v>
      </x:c>
      <x:c r="F283" s="84" t="str">
        <x:v>Normal</x:v>
      </x:c>
      <x:c r="G283" s="93" t="n">
        <x:v>378.76</x:v>
      </x:c>
      <x:c r="H283" s="85" t="str">
        <x:v>Diagnóstico e execução</x:v>
      </x:c>
    </x:row>
    <x:row r="284">
      <x:c r="A284" s="83" t="n">
        <x:v>283</x:v>
      </x:c>
      <x:c r="B284" s="84" t="n">
        <x:v>168</x:v>
      </x:c>
      <x:c r="C284" s="84" t="n">
        <x:v>31</x:v>
      </x:c>
      <x:c r="D284" s="89" t="n">
        <x:v>45187</x:v>
      </x:c>
      <x:c r="E284" s="84" t="n">
        <x:v>4.8</x:v>
      </x:c>
      <x:c r="F284" s="84" t="str">
        <x:v>Normal</x:v>
      </x:c>
      <x:c r="G284" s="93" t="n">
        <x:v>234.72</x:v>
      </x:c>
      <x:c r="H284" s="85" t="str">
        <x:v>Diagnóstico e execução</x:v>
      </x:c>
    </x:row>
    <x:row r="285">
      <x:c r="A285" s="83" t="n">
        <x:v>284</x:v>
      </x:c>
      <x:c r="B285" s="84" t="n">
        <x:v>168</x:v>
      </x:c>
      <x:c r="C285" s="84" t="n">
        <x:v>42</x:v>
      </x:c>
      <x:c r="D285" s="89" t="n">
        <x:v>45187</x:v>
      </x:c>
      <x:c r="E285" s="84" t="n">
        <x:v>5</x:v>
      </x:c>
      <x:c r="F285" s="84" t="str">
        <x:v>Normal</x:v>
      </x:c>
      <x:c r="G285" s="93" t="n">
        <x:v>210.9</x:v>
      </x:c>
      <x:c r="H285" s="85" t="str">
        <x:v>Diagnóstico e execução</x:v>
      </x:c>
    </x:row>
    <x:row r="286">
      <x:c r="A286" s="83" t="n">
        <x:v>285</x:v>
      </x:c>
      <x:c r="B286" s="84" t="n">
        <x:v>168</x:v>
      </x:c>
      <x:c r="C286" s="84" t="n">
        <x:v>6</x:v>
      </x:c>
      <x:c r="D286" s="89" t="n">
        <x:v>45187</x:v>
      </x:c>
      <x:c r="E286" s="84" t="n">
        <x:v>1.9</x:v>
      </x:c>
      <x:c r="F286" s="84" t="str">
        <x:v>Normal</x:v>
      </x:c>
      <x:c r="G286" s="93" t="n">
        <x:v>99.29</x:v>
      </x:c>
      <x:c r="H286" s="85" t="str">
        <x:v>Diagnóstico e execução</x:v>
      </x:c>
    </x:row>
    <x:row r="287">
      <x:c r="A287" s="83" t="n">
        <x:v>286</x:v>
      </x:c>
      <x:c r="B287" s="84" t="n">
        <x:v>169</x:v>
      </x:c>
      <x:c r="C287" s="84" t="n">
        <x:v>30</x:v>
      </x:c>
      <x:c r="D287" s="89" t="n">
        <x:v>45210</x:v>
      </x:c>
      <x:c r="E287" s="84" t="n">
        <x:v>0.8</x:v>
      </x:c>
      <x:c r="F287" s="84" t="str">
        <x:v>Normal</x:v>
      </x:c>
      <x:c r="G287" s="93" t="n">
        <x:v>33.13</x:v>
      </x:c>
      <x:c r="H287" s="85" t="str">
        <x:v>Diagnóstico e execução</x:v>
      </x:c>
    </x:row>
    <x:row r="288">
      <x:c r="A288" s="83" t="n">
        <x:v>287</x:v>
      </x:c>
      <x:c r="B288" s="84" t="n">
        <x:v>170</x:v>
      </x:c>
      <x:c r="C288" s="84" t="n">
        <x:v>4</x:v>
      </x:c>
      <x:c r="D288" s="89" t="n">
        <x:v>45674</x:v>
      </x:c>
      <x:c r="E288" s="84" t="n">
        <x:v>5.4</x:v>
      </x:c>
      <x:c r="F288" s="84" t="str">
        <x:v>Normal</x:v>
      </x:c>
      <x:c r="G288" s="93" t="n">
        <x:v>265.63</x:v>
      </x:c>
      <x:c r="H288" s="85" t="str">
        <x:v>Diagnóstico e execução</x:v>
      </x:c>
    </x:row>
    <x:row r="289">
      <x:c r="A289" s="83" t="n">
        <x:v>288</x:v>
      </x:c>
      <x:c r="B289" s="84" t="n">
        <x:v>171</x:v>
      </x:c>
      <x:c r="C289" s="84" t="n">
        <x:v>15</x:v>
      </x:c>
      <x:c r="D289" s="89" t="n">
        <x:v>45677</x:v>
      </x:c>
      <x:c r="E289" s="84" t="n">
        <x:v>5.9</x:v>
      </x:c>
      <x:c r="F289" s="84" t="str">
        <x:v>Normal</x:v>
      </x:c>
      <x:c r="G289" s="93" t="n">
        <x:v>178.42</x:v>
      </x:c>
      <x:c r="H289" s="85" t="str">
        <x:v>Diagnóstico e execução</x:v>
      </x:c>
    </x:row>
    <x:row r="290">
      <x:c r="A290" s="83" t="n">
        <x:v>289</x:v>
      </x:c>
      <x:c r="B290" s="84" t="n">
        <x:v>171</x:v>
      </x:c>
      <x:c r="C290" s="84" t="n">
        <x:v>22</x:v>
      </x:c>
      <x:c r="D290" s="89" t="n">
        <x:v>45677</x:v>
      </x:c>
      <x:c r="E290" s="84" t="n">
        <x:v>7.6</x:v>
      </x:c>
      <x:c r="F290" s="84" t="str">
        <x:v>Normal</x:v>
      </x:c>
      <x:c r="G290" s="93" t="n">
        <x:v>292.3</x:v>
      </x:c>
      <x:c r="H290" s="85" t="str">
        <x:v>Diagnóstico e execução</x:v>
      </x:c>
    </x:row>
    <x:row r="291">
      <x:c r="A291" s="83" t="n">
        <x:v>290</x:v>
      </x:c>
      <x:c r="B291" s="84" t="n">
        <x:v>172</x:v>
      </x:c>
      <x:c r="C291" s="84" t="n">
        <x:v>22</x:v>
      </x:c>
      <x:c r="D291" s="89" t="n">
        <x:v>45526</x:v>
      </x:c>
      <x:c r="E291" s="84" t="n">
        <x:v>5.6</x:v>
      </x:c>
      <x:c r="F291" s="84" t="str">
        <x:v>Normal</x:v>
      </x:c>
      <x:c r="G291" s="93" t="n">
        <x:v>215.38</x:v>
      </x:c>
      <x:c r="H291" s="85" t="str">
        <x:v>Diagnóstico e execução</x:v>
      </x:c>
    </x:row>
    <x:row r="292">
      <x:c r="A292" s="83" t="n">
        <x:v>291</x:v>
      </x:c>
      <x:c r="B292" s="84" t="n">
        <x:v>173</x:v>
      </x:c>
      <x:c r="C292" s="84" t="n">
        <x:v>22</x:v>
      </x:c>
      <x:c r="D292" s="89" t="n">
        <x:v>45600</x:v>
      </x:c>
      <x:c r="E292" s="84" t="n">
        <x:v>5.4</x:v>
      </x:c>
      <x:c r="F292" s="84" t="str">
        <x:v>Normal</x:v>
      </x:c>
      <x:c r="G292" s="93" t="n">
        <x:v>207.68</x:v>
      </x:c>
      <x:c r="H292" s="85" t="str">
        <x:v>Diagnóstico e execução</x:v>
      </x:c>
    </x:row>
    <x:row r="293">
      <x:c r="A293" s="83" t="n">
        <x:v>292</x:v>
      </x:c>
      <x:c r="B293" s="84" t="n">
        <x:v>174</x:v>
      </x:c>
      <x:c r="C293" s="84" t="n">
        <x:v>23</x:v>
      </x:c>
      <x:c r="D293" s="89" t="n">
        <x:v>45031</x:v>
      </x:c>
      <x:c r="E293" s="84" t="n">
        <x:v>7.3</x:v>
      </x:c>
      <x:c r="F293" s="84" t="str">
        <x:v>Normal</x:v>
      </x:c>
      <x:c r="G293" s="93" t="n">
        <x:v>314.7</x:v>
      </x:c>
      <x:c r="H293" s="85" t="str">
        <x:v>Diagnóstico e execução</x:v>
      </x:c>
    </x:row>
    <x:row r="294">
      <x:c r="A294" s="83" t="n">
        <x:v>293</x:v>
      </x:c>
      <x:c r="B294" s="84" t="n">
        <x:v>174</x:v>
      </x:c>
      <x:c r="C294" s="84" t="n">
        <x:v>44</x:v>
      </x:c>
      <x:c r="D294" s="89" t="n">
        <x:v>45031</x:v>
      </x:c>
      <x:c r="E294" s="84" t="n">
        <x:v>0.9</x:v>
      </x:c>
      <x:c r="F294" s="84" t="str">
        <x:v>Normal</x:v>
      </x:c>
      <x:c r="G294" s="93" t="n">
        <x:v>25.24</x:v>
      </x:c>
      <x:c r="H294" s="85" t="str">
        <x:v>Diagnóstico e execução</x:v>
      </x:c>
    </x:row>
    <x:row r="295">
      <x:c r="A295" s="83" t="n">
        <x:v>294</x:v>
      </x:c>
      <x:c r="B295" s="84" t="n">
        <x:v>174</x:v>
      </x:c>
      <x:c r="C295" s="84" t="n">
        <x:v>20</x:v>
      </x:c>
      <x:c r="D295" s="89" t="n">
        <x:v>45031</x:v>
      </x:c>
      <x:c r="E295" s="84" t="n">
        <x:v>7.5</x:v>
      </x:c>
      <x:c r="F295" s="84" t="str">
        <x:v>Normal</x:v>
      </x:c>
      <x:c r="G295" s="93" t="n">
        <x:v>251.4</x:v>
      </x:c>
      <x:c r="H295" s="85" t="str">
        <x:v>Diagnóstico e execução</x:v>
      </x:c>
    </x:row>
    <x:row r="296">
      <x:c r="A296" s="83" t="n">
        <x:v>295</x:v>
      </x:c>
      <x:c r="B296" s="84" t="n">
        <x:v>175</x:v>
      </x:c>
      <x:c r="C296" s="84" t="n">
        <x:v>17</x:v>
      </x:c>
      <x:c r="D296" s="89" t="n">
        <x:v>44971</x:v>
      </x:c>
      <x:c r="E296" s="84" t="n">
        <x:v>3.1</x:v>
      </x:c>
      <x:c r="F296" s="84" t="str">
        <x:v>Normal</x:v>
      </x:c>
      <x:c r="G296" s="93" t="n">
        <x:v>172.92</x:v>
      </x:c>
      <x:c r="H296" s="85" t="str">
        <x:v>Diagnóstico e execução</x:v>
      </x:c>
    </x:row>
    <x:row r="297">
      <x:c r="A297" s="83" t="n">
        <x:v>296</x:v>
      </x:c>
      <x:c r="B297" s="84" t="n">
        <x:v>175</x:v>
      </x:c>
      <x:c r="C297" s="84" t="n">
        <x:v>1</x:v>
      </x:c>
      <x:c r="D297" s="89" t="n">
        <x:v>44971</x:v>
      </x:c>
      <x:c r="E297" s="84" t="n">
        <x:v>7.4</x:v>
      </x:c>
      <x:c r="F297" s="84" t="str">
        <x:v>Normal</x:v>
      </x:c>
      <x:c r="G297" s="93" t="n">
        <x:v>261.74</x:v>
      </x:c>
      <x:c r="H297" s="85" t="str">
        <x:v>Diagnóstico e execução</x:v>
      </x:c>
    </x:row>
    <x:row r="298">
      <x:c r="A298" s="83" t="n">
        <x:v>297</x:v>
      </x:c>
      <x:c r="B298" s="84" t="n">
        <x:v>177</x:v>
      </x:c>
      <x:c r="C298" s="84" t="n">
        <x:v>6</x:v>
      </x:c>
      <x:c r="D298" s="89" t="n">
        <x:v>44952</x:v>
      </x:c>
      <x:c r="E298" s="84" t="n">
        <x:v>1.5</x:v>
      </x:c>
      <x:c r="F298" s="84" t="str">
        <x:v>Normal</x:v>
      </x:c>
      <x:c r="G298" s="93" t="n">
        <x:v>78.39</x:v>
      </x:c>
      <x:c r="H298" s="85" t="str">
        <x:v>Diagnóstico e execução</x:v>
      </x:c>
    </x:row>
    <x:row r="299">
      <x:c r="A299" s="83" t="n">
        <x:v>298</x:v>
      </x:c>
      <x:c r="B299" s="84" t="n">
        <x:v>177</x:v>
      </x:c>
      <x:c r="C299" s="84" t="n">
        <x:v>24</x:v>
      </x:c>
      <x:c r="D299" s="89" t="n">
        <x:v>44952</x:v>
      </x:c>
      <x:c r="E299" s="84" t="n">
        <x:v>1.3</x:v>
      </x:c>
      <x:c r="F299" s="84" t="str">
        <x:v>Normal</x:v>
      </x:c>
      <x:c r="G299" s="93" t="n">
        <x:v>77.01</x:v>
      </x:c>
      <x:c r="H299" s="85" t="str">
        <x:v>Diagnóstico e execução</x:v>
      </x:c>
    </x:row>
    <x:row r="300">
      <x:c r="A300" s="83" t="n">
        <x:v>299</x:v>
      </x:c>
      <x:c r="B300" s="84" t="n">
        <x:v>178</x:v>
      </x:c>
      <x:c r="C300" s="84" t="n">
        <x:v>32</x:v>
      </x:c>
      <x:c r="D300" s="89" t="n">
        <x:v>45770</x:v>
      </x:c>
      <x:c r="E300" s="84" t="n">
        <x:v>3.8</x:v>
      </x:c>
      <x:c r="F300" s="84" t="str">
        <x:v>Normal</x:v>
      </x:c>
      <x:c r="G300" s="93" t="n">
        <x:v>165.87</x:v>
      </x:c>
      <x:c r="H300" s="85" t="str">
        <x:v>Diagnóstico e execução</x:v>
      </x:c>
    </x:row>
    <x:row r="301">
      <x:c r="A301" s="83" t="n">
        <x:v>300</x:v>
      </x:c>
      <x:c r="B301" s="84" t="n">
        <x:v>178</x:v>
      </x:c>
      <x:c r="C301" s="84" t="n">
        <x:v>13</x:v>
      </x:c>
      <x:c r="D301" s="89" t="n">
        <x:v>45770</x:v>
      </x:c>
      <x:c r="E301" s="84" t="n">
        <x:v>2.2</x:v>
      </x:c>
      <x:c r="F301" s="84" t="str">
        <x:v>Normal</x:v>
      </x:c>
      <x:c r="G301" s="93" t="n">
        <x:v>74.54</x:v>
      </x:c>
      <x:c r="H301" s="85" t="str">
        <x:v>Diagnóstico e execução</x:v>
      </x:c>
    </x:row>
    <x:row r="302">
      <x:c r="A302" s="83" t="n">
        <x:v>301</x:v>
      </x:c>
      <x:c r="B302" s="84" t="n">
        <x:v>179</x:v>
      </x:c>
      <x:c r="C302" s="84" t="n">
        <x:v>39</x:v>
      </x:c>
      <x:c r="D302" s="89" t="n">
        <x:v>45233</x:v>
      </x:c>
      <x:c r="E302" s="84" t="n">
        <x:v>2.9</x:v>
      </x:c>
      <x:c r="F302" s="84" t="str">
        <x:v>Normal</x:v>
      </x:c>
      <x:c r="G302" s="93" t="n">
        <x:v>167.91</x:v>
      </x:c>
      <x:c r="H302" s="85" t="str">
        <x:v>Diagnóstico e execução</x:v>
      </x:c>
    </x:row>
    <x:row r="303">
      <x:c r="A303" s="83" t="n">
        <x:v>302</x:v>
      </x:c>
      <x:c r="B303" s="84" t="n">
        <x:v>179</x:v>
      </x:c>
      <x:c r="C303" s="84" t="n">
        <x:v>8</x:v>
      </x:c>
      <x:c r="D303" s="89" t="n">
        <x:v>45233</x:v>
      </x:c>
      <x:c r="E303" s="84" t="n">
        <x:v>7.2</x:v>
      </x:c>
      <x:c r="F303" s="84" t="str">
        <x:v>Normal</x:v>
      </x:c>
      <x:c r="G303" s="93" t="n">
        <x:v>334.8</x:v>
      </x:c>
      <x:c r="H303" s="85" t="str">
        <x:v>Diagnóstico e execução</x:v>
      </x:c>
    </x:row>
    <x:row r="304">
      <x:c r="A304" s="83" t="n">
        <x:v>303</x:v>
      </x:c>
      <x:c r="B304" s="84" t="n">
        <x:v>179</x:v>
      </x:c>
      <x:c r="C304" s="84" t="n">
        <x:v>9</x:v>
      </x:c>
      <x:c r="D304" s="89" t="n">
        <x:v>45233</x:v>
      </x:c>
      <x:c r="E304" s="84" t="n">
        <x:v>2.4</x:v>
      </x:c>
      <x:c r="F304" s="84" t="str">
        <x:v>Normal</x:v>
      </x:c>
      <x:c r="G304" s="93" t="n">
        <x:v>126.41</x:v>
      </x:c>
      <x:c r="H304" s="85" t="str">
        <x:v>Diagnóstico e execução</x:v>
      </x:c>
    </x:row>
    <x:row r="305">
      <x:c r="A305" s="83" t="n">
        <x:v>304</x:v>
      </x:c>
      <x:c r="B305" s="84" t="n">
        <x:v>180</x:v>
      </x:c>
      <x:c r="C305" s="84" t="n">
        <x:v>14</x:v>
      </x:c>
      <x:c r="D305" s="89" t="n">
        <x:v>45184</x:v>
      </x:c>
      <x:c r="E305" s="84" t="n">
        <x:v>5.7</x:v>
      </x:c>
      <x:c r="F305" s="84" t="str">
        <x:v>Normal</x:v>
      </x:c>
      <x:c r="G305" s="93" t="n">
        <x:v>322.96</x:v>
      </x:c>
      <x:c r="H305" s="85" t="str">
        <x:v>Diagnóstico e execução</x:v>
      </x:c>
    </x:row>
    <x:row r="306">
      <x:c r="A306" s="83" t="n">
        <x:v>305</x:v>
      </x:c>
      <x:c r="B306" s="84" t="n">
        <x:v>181</x:v>
      </x:c>
      <x:c r="C306" s="84" t="n">
        <x:v>43</x:v>
      </x:c>
      <x:c r="D306" s="89" t="n">
        <x:v>45946</x:v>
      </x:c>
      <x:c r="E306" s="84" t="n">
        <x:v>1.2</x:v>
      </x:c>
      <x:c r="F306" s="84" t="str">
        <x:v>Normal</x:v>
      </x:c>
      <x:c r="G306" s="93" t="n">
        <x:v>65.59</x:v>
      </x:c>
      <x:c r="H306" s="85" t="str">
        <x:v>Diagnóstico e execução</x:v>
      </x:c>
    </x:row>
    <x:row r="307">
      <x:c r="A307" s="83" t="n">
        <x:v>306</x:v>
      </x:c>
      <x:c r="B307" s="84" t="n">
        <x:v>181</x:v>
      </x:c>
      <x:c r="C307" s="84" t="n">
        <x:v>27</x:v>
      </x:c>
      <x:c r="D307" s="89" t="n">
        <x:v>45946</x:v>
      </x:c>
      <x:c r="E307" s="84" t="n">
        <x:v>6.9</x:v>
      </x:c>
      <x:c r="F307" s="84" t="str">
        <x:v>Normal</x:v>
      </x:c>
      <x:c r="G307" s="93" t="n">
        <x:v>420.83</x:v>
      </x:c>
      <x:c r="H307" s="85" t="str">
        <x:v>Diagnóstico e execução</x:v>
      </x:c>
    </x:row>
    <x:row r="308">
      <x:c r="A308" s="83" t="n">
        <x:v>307</x:v>
      </x:c>
      <x:c r="B308" s="84" t="n">
        <x:v>181</x:v>
      </x:c>
      <x:c r="C308" s="84" t="n">
        <x:v>19</x:v>
      </x:c>
      <x:c r="D308" s="89" t="n">
        <x:v>45946</x:v>
      </x:c>
      <x:c r="E308" s="84" t="n">
        <x:v>2.4</x:v>
      </x:c>
      <x:c r="F308" s="84" t="str">
        <x:v>Normal</x:v>
      </x:c>
      <x:c r="G308" s="93" t="n">
        <x:v>111.55</x:v>
      </x:c>
      <x:c r="H308" s="85" t="str">
        <x:v>Diagnóstico e execução</x:v>
      </x:c>
    </x:row>
    <x:row r="309">
      <x:c r="A309" s="83" t="n">
        <x:v>308</x:v>
      </x:c>
      <x:c r="B309" s="84" t="n">
        <x:v>182</x:v>
      </x:c>
      <x:c r="C309" s="84" t="n">
        <x:v>31</x:v>
      </x:c>
      <x:c r="D309" s="89" t="n">
        <x:v>45115</x:v>
      </x:c>
      <x:c r="E309" s="84" t="n">
        <x:v>0.6</x:v>
      </x:c>
      <x:c r="F309" s="84" t="str">
        <x:v>Normal</x:v>
      </x:c>
      <x:c r="G309" s="93" t="n">
        <x:v>29.34</x:v>
      </x:c>
      <x:c r="H309" s="85" t="str">
        <x:v>Diagnóstico e execução</x:v>
      </x:c>
    </x:row>
    <x:row r="310">
      <x:c r="A310" s="83" t="n">
        <x:v>309</x:v>
      </x:c>
      <x:c r="B310" s="84" t="n">
        <x:v>182</x:v>
      </x:c>
      <x:c r="C310" s="84" t="n">
        <x:v>30</x:v>
      </x:c>
      <x:c r="D310" s="89" t="n">
        <x:v>45115</x:v>
      </x:c>
      <x:c r="E310" s="84" t="n">
        <x:v>4.1</x:v>
      </x:c>
      <x:c r="F310" s="84" t="str">
        <x:v>Normal</x:v>
      </x:c>
      <x:c r="G310" s="93" t="n">
        <x:v>169.78</x:v>
      </x:c>
      <x:c r="H310" s="85" t="str">
        <x:v>Diagnóstico e execução</x:v>
      </x:c>
    </x:row>
    <x:row r="311">
      <x:c r="A311" s="83" t="n">
        <x:v>310</x:v>
      </x:c>
      <x:c r="B311" s="84" t="n">
        <x:v>183</x:v>
      </x:c>
      <x:c r="C311" s="84" t="n">
        <x:v>27</x:v>
      </x:c>
      <x:c r="D311" s="89" t="n">
        <x:v>44966</x:v>
      </x:c>
      <x:c r="E311" s="84" t="n">
        <x:v>7.1</x:v>
      </x:c>
      <x:c r="F311" s="84" t="str">
        <x:v>Normal</x:v>
      </x:c>
      <x:c r="G311" s="93" t="n">
        <x:v>433.03</x:v>
      </x:c>
      <x:c r="H311" s="85" t="str">
        <x:v>Diagnóstico e execução</x:v>
      </x:c>
    </x:row>
    <x:row r="312">
      <x:c r="A312" s="83" t="n">
        <x:v>311</x:v>
      </x:c>
      <x:c r="B312" s="84" t="n">
        <x:v>183</x:v>
      </x:c>
      <x:c r="C312" s="84" t="n">
        <x:v>23</x:v>
      </x:c>
      <x:c r="D312" s="89" t="n">
        <x:v>44966</x:v>
      </x:c>
      <x:c r="E312" s="84" t="n">
        <x:v>7.5</x:v>
      </x:c>
      <x:c r="F312" s="84" t="str">
        <x:v>Normal</x:v>
      </x:c>
      <x:c r="G312" s="93" t="n">
        <x:v>323.32</x:v>
      </x:c>
      <x:c r="H312" s="85" t="str">
        <x:v>Diagnóstico e execução</x:v>
      </x:c>
    </x:row>
    <x:row r="313">
      <x:c r="A313" s="83" t="n">
        <x:v>312</x:v>
      </x:c>
      <x:c r="B313" s="84" t="n">
        <x:v>184</x:v>
      </x:c>
      <x:c r="C313" s="84" t="n">
        <x:v>45</x:v>
      </x:c>
      <x:c r="D313" s="89" t="n">
        <x:v>45768</x:v>
      </x:c>
      <x:c r="E313" s="84" t="n">
        <x:v>4.3</x:v>
      </x:c>
      <x:c r="F313" s="84" t="str">
        <x:v>Normal</x:v>
      </x:c>
      <x:c r="G313" s="93" t="n">
        <x:v>230.35</x:v>
      </x:c>
      <x:c r="H313" s="85" t="str">
        <x:v>Diagnóstico e execução</x:v>
      </x:c>
    </x:row>
    <x:row r="314">
      <x:c r="A314" s="83" t="n">
        <x:v>313</x:v>
      </x:c>
      <x:c r="B314" s="84" t="n">
        <x:v>184</x:v>
      </x:c>
      <x:c r="C314" s="84" t="n">
        <x:v>43</x:v>
      </x:c>
      <x:c r="D314" s="89" t="n">
        <x:v>45768</x:v>
      </x:c>
      <x:c r="E314" s="84" t="n">
        <x:v>4.2</x:v>
      </x:c>
      <x:c r="F314" s="84" t="str">
        <x:v>Normal</x:v>
      </x:c>
      <x:c r="G314" s="93" t="n">
        <x:v>229.57</x:v>
      </x:c>
      <x:c r="H314" s="85" t="str">
        <x:v>Diagnóstico e execução</x:v>
      </x:c>
    </x:row>
    <x:row r="315">
      <x:c r="A315" s="83" t="n">
        <x:v>314</x:v>
      </x:c>
      <x:c r="B315" s="84" t="n">
        <x:v>184</x:v>
      </x:c>
      <x:c r="C315" s="84" t="n">
        <x:v>15</x:v>
      </x:c>
      <x:c r="D315" s="89" t="n">
        <x:v>45768</x:v>
      </x:c>
      <x:c r="E315" s="84" t="n">
        <x:v>1.1</x:v>
      </x:c>
      <x:c r="F315" s="84" t="str">
        <x:v>Normal</x:v>
      </x:c>
      <x:c r="G315" s="93" t="n">
        <x:v>33.26</x:v>
      </x:c>
      <x:c r="H315" s="85" t="str">
        <x:v>Diagnóstico e execução</x:v>
      </x:c>
    </x:row>
    <x:row r="316">
      <x:c r="A316" s="83" t="n">
        <x:v>315</x:v>
      </x:c>
      <x:c r="B316" s="84" t="n">
        <x:v>185</x:v>
      </x:c>
      <x:c r="C316" s="84" t="n">
        <x:v>21</x:v>
      </x:c>
      <x:c r="D316" s="89" t="n">
        <x:v>45775</x:v>
      </x:c>
      <x:c r="E316" s="84" t="n">
        <x:v>1</x:v>
      </x:c>
      <x:c r="F316" s="84" t="str">
        <x:v>Normal</x:v>
      </x:c>
      <x:c r="G316" s="93" t="n">
        <x:v>61.43</x:v>
      </x:c>
      <x:c r="H316" s="85" t="str">
        <x:v>Diagnóstico e execução</x:v>
      </x:c>
    </x:row>
    <x:row r="317">
      <x:c r="A317" s="83" t="n">
        <x:v>316</x:v>
      </x:c>
      <x:c r="B317" s="84" t="n">
        <x:v>185</x:v>
      </x:c>
      <x:c r="C317" s="84" t="n">
        <x:v>41</x:v>
      </x:c>
      <x:c r="D317" s="89" t="n">
        <x:v>45775</x:v>
      </x:c>
      <x:c r="E317" s="84" t="n">
        <x:v>6.8</x:v>
      </x:c>
      <x:c r="F317" s="84" t="str">
        <x:v>Normal</x:v>
      </x:c>
      <x:c r="G317" s="93" t="n">
        <x:v>343.94</x:v>
      </x:c>
      <x:c r="H317" s="85" t="str">
        <x:v>Diagnóstico e execução</x:v>
      </x:c>
    </x:row>
    <x:row r="318">
      <x:c r="A318" s="83" t="n">
        <x:v>317</x:v>
      </x:c>
      <x:c r="B318" s="84" t="n">
        <x:v>186</x:v>
      </x:c>
      <x:c r="C318" s="84" t="n">
        <x:v>25</x:v>
      </x:c>
      <x:c r="D318" s="89" t="n">
        <x:v>45834</x:v>
      </x:c>
      <x:c r="E318" s="84" t="n">
        <x:v>8</x:v>
      </x:c>
      <x:c r="F318" s="84" t="str">
        <x:v>Normal</x:v>
      </x:c>
      <x:c r="G318" s="93" t="n">
        <x:v>428.72</x:v>
      </x:c>
      <x:c r="H318" s="85" t="str">
        <x:v>Diagnóstico e execução</x:v>
      </x:c>
    </x:row>
    <x:row r="319">
      <x:c r="A319" s="83" t="n">
        <x:v>318</x:v>
      </x:c>
      <x:c r="B319" s="84" t="n">
        <x:v>186</x:v>
      </x:c>
      <x:c r="C319" s="84" t="n">
        <x:v>22</x:v>
      </x:c>
      <x:c r="D319" s="89" t="n">
        <x:v>45834</x:v>
      </x:c>
      <x:c r="E319" s="84" t="n">
        <x:v>6.3</x:v>
      </x:c>
      <x:c r="F319" s="84" t="str">
        <x:v>Normal</x:v>
      </x:c>
      <x:c r="G319" s="93" t="n">
        <x:v>242.3</x:v>
      </x:c>
      <x:c r="H319" s="85" t="str">
        <x:v>Diagnóstico e execução</x:v>
      </x:c>
    </x:row>
    <x:row r="320">
      <x:c r="A320" s="83" t="n">
        <x:v>319</x:v>
      </x:c>
      <x:c r="B320" s="84" t="n">
        <x:v>187</x:v>
      </x:c>
      <x:c r="C320" s="84" t="n">
        <x:v>10</x:v>
      </x:c>
      <x:c r="D320" s="89" t="n">
        <x:v>45025</x:v>
      </x:c>
      <x:c r="E320" s="84" t="n">
        <x:v>5.8</x:v>
      </x:c>
      <x:c r="F320" s="84" t="str">
        <x:v>Normal</x:v>
      </x:c>
      <x:c r="G320" s="93" t="n">
        <x:v>172.2</x:v>
      </x:c>
      <x:c r="H320" s="85" t="str">
        <x:v>Diagnóstico e execução</x:v>
      </x:c>
    </x:row>
    <x:row r="321">
      <x:c r="A321" s="83" t="n">
        <x:v>320</x:v>
      </x:c>
      <x:c r="B321" s="84" t="n">
        <x:v>188</x:v>
      </x:c>
      <x:c r="C321" s="84" t="n">
        <x:v>28</x:v>
      </x:c>
      <x:c r="D321" s="89" t="n">
        <x:v>45286</x:v>
      </x:c>
      <x:c r="E321" s="84" t="n">
        <x:v>3.9</x:v>
      </x:c>
      <x:c r="F321" s="84" t="str">
        <x:v>Normal</x:v>
      </x:c>
      <x:c r="G321" s="93" t="n">
        <x:v>146.72</x:v>
      </x:c>
      <x:c r="H321" s="85" t="str">
        <x:v>Diagnóstico e execução</x:v>
      </x:c>
    </x:row>
    <x:row r="322">
      <x:c r="A322" s="83" t="n">
        <x:v>321</x:v>
      </x:c>
      <x:c r="B322" s="84" t="n">
        <x:v>189</x:v>
      </x:c>
      <x:c r="C322" s="84" t="n">
        <x:v>20</x:v>
      </x:c>
      <x:c r="D322" s="89" t="n">
        <x:v>45431</x:v>
      </x:c>
      <x:c r="E322" s="84" t="n">
        <x:v>1.9</x:v>
      </x:c>
      <x:c r="F322" s="84" t="str">
        <x:v>Normal</x:v>
      </x:c>
      <x:c r="G322" s="93" t="n">
        <x:v>63.69</x:v>
      </x:c>
      <x:c r="H322" s="85" t="str">
        <x:v>Diagnóstico e execução</x:v>
      </x:c>
    </x:row>
    <x:row r="323">
      <x:c r="A323" s="83" t="n">
        <x:v>322</x:v>
      </x:c>
      <x:c r="B323" s="84" t="n">
        <x:v>190</x:v>
      </x:c>
      <x:c r="C323" s="84" t="n">
        <x:v>7</x:v>
      </x:c>
      <x:c r="D323" s="89" t="n">
        <x:v>45005</x:v>
      </x:c>
      <x:c r="E323" s="84" t="n">
        <x:v>3.1</x:v>
      </x:c>
      <x:c r="F323" s="84" t="str">
        <x:v>Normal</x:v>
      </x:c>
      <x:c r="G323" s="93" t="n">
        <x:v>180.45</x:v>
      </x:c>
      <x:c r="H323" s="85" t="str">
        <x:v>Diagnóstico e execução</x:v>
      </x:c>
    </x:row>
    <x:row r="324">
      <x:c r="A324" s="83" t="n">
        <x:v>323</x:v>
      </x:c>
      <x:c r="B324" s="84" t="n">
        <x:v>190</x:v>
      </x:c>
      <x:c r="C324" s="84" t="n">
        <x:v>29</x:v>
      </x:c>
      <x:c r="D324" s="89" t="n">
        <x:v>45005</x:v>
      </x:c>
      <x:c r="E324" s="84" t="n">
        <x:v>4.7</x:v>
      </x:c>
      <x:c r="F324" s="84" t="str">
        <x:v>Normal</x:v>
      </x:c>
      <x:c r="G324" s="93" t="n">
        <x:v>232.74</x:v>
      </x:c>
      <x:c r="H324" s="85" t="str">
        <x:v>Diagnóstico e execução</x:v>
      </x:c>
    </x:row>
    <x:row r="325">
      <x:c r="A325" s="83" t="n">
        <x:v>324</x:v>
      </x:c>
      <x:c r="B325" s="84" t="n">
        <x:v>190</x:v>
      </x:c>
      <x:c r="C325" s="84" t="n">
        <x:v>43</x:v>
      </x:c>
      <x:c r="D325" s="89" t="n">
        <x:v>45005</x:v>
      </x:c>
      <x:c r="E325" s="84" t="n">
        <x:v>5.8</x:v>
      </x:c>
      <x:c r="F325" s="84" t="str">
        <x:v>Normal</x:v>
      </x:c>
      <x:c r="G325" s="93" t="n">
        <x:v>317.03</x:v>
      </x:c>
      <x:c r="H325" s="85" t="str">
        <x:v>Diagnóstico e execução</x:v>
      </x:c>
    </x:row>
    <x:row r="326">
      <x:c r="A326" s="83" t="n">
        <x:v>325</x:v>
      </x:c>
      <x:c r="B326" s="84" t="n">
        <x:v>191</x:v>
      </x:c>
      <x:c r="C326" s="84" t="n">
        <x:v>40</x:v>
      </x:c>
      <x:c r="D326" s="89" t="n">
        <x:v>45171</x:v>
      </x:c>
      <x:c r="E326" s="84" t="n">
        <x:v>7.1</x:v>
      </x:c>
      <x:c r="F326" s="84" t="str">
        <x:v>Normal</x:v>
      </x:c>
      <x:c r="G326" s="93" t="n">
        <x:v>350.88</x:v>
      </x:c>
      <x:c r="H326" s="85" t="str">
        <x:v>Diagnóstico e execução</x:v>
      </x:c>
    </x:row>
    <x:row r="327">
      <x:c r="A327" s="83" t="n">
        <x:v>326</x:v>
      </x:c>
      <x:c r="B327" s="84" t="n">
        <x:v>192</x:v>
      </x:c>
      <x:c r="C327" s="84" t="n">
        <x:v>28</x:v>
      </x:c>
      <x:c r="D327" s="89" t="n">
        <x:v>45940</x:v>
      </x:c>
      <x:c r="E327" s="84" t="n">
        <x:v>4.9</x:v>
      </x:c>
      <x:c r="F327" s="84" t="str">
        <x:v>Normal</x:v>
      </x:c>
      <x:c r="G327" s="93" t="n">
        <x:v>184.34</x:v>
      </x:c>
      <x:c r="H327" s="85" t="str">
        <x:v>Diagnóstico e execução</x:v>
      </x:c>
    </x:row>
    <x:row r="328">
      <x:c r="A328" s="83" t="n">
        <x:v>327</x:v>
      </x:c>
      <x:c r="B328" s="84" t="n">
        <x:v>193</x:v>
      </x:c>
      <x:c r="C328" s="84" t="n">
        <x:v>20</x:v>
      </x:c>
      <x:c r="D328" s="89" t="n">
        <x:v>45063</x:v>
      </x:c>
      <x:c r="E328" s="84" t="n">
        <x:v>5.5</x:v>
      </x:c>
      <x:c r="F328" s="84" t="str">
        <x:v>Normal</x:v>
      </x:c>
      <x:c r="G328" s="93" t="n">
        <x:v>184.36</x:v>
      </x:c>
      <x:c r="H328" s="85" t="str">
        <x:v>Diagnóstico e execução</x:v>
      </x:c>
    </x:row>
    <x:row r="329">
      <x:c r="A329" s="83" t="n">
        <x:v>328</x:v>
      </x:c>
      <x:c r="B329" s="84" t="n">
        <x:v>193</x:v>
      </x:c>
      <x:c r="C329" s="84" t="n">
        <x:v>18</x:v>
      </x:c>
      <x:c r="D329" s="89" t="n">
        <x:v>45063</x:v>
      </x:c>
      <x:c r="E329" s="84" t="n">
        <x:v>1.5</x:v>
      </x:c>
      <x:c r="F329" s="84" t="str">
        <x:v>Normal</x:v>
      </x:c>
      <x:c r="G329" s="93" t="n">
        <x:v>94.64</x:v>
      </x:c>
      <x:c r="H329" s="85" t="str">
        <x:v>Diagnóstico e execução</x:v>
      </x:c>
    </x:row>
    <x:row r="330">
      <x:c r="A330" s="83" t="n">
        <x:v>329</x:v>
      </x:c>
      <x:c r="B330" s="84" t="n">
        <x:v>193</x:v>
      </x:c>
      <x:c r="C330" s="84" t="n">
        <x:v>20</x:v>
      </x:c>
      <x:c r="D330" s="89" t="n">
        <x:v>45063</x:v>
      </x:c>
      <x:c r="E330" s="84" t="n">
        <x:v>4.4</x:v>
      </x:c>
      <x:c r="F330" s="84" t="str">
        <x:v>Normal</x:v>
      </x:c>
      <x:c r="G330" s="93" t="n">
        <x:v>147.49</x:v>
      </x:c>
      <x:c r="H330" s="85" t="str">
        <x:v>Diagnóstico e execução</x:v>
      </x:c>
    </x:row>
    <x:row r="331">
      <x:c r="A331" s="83" t="n">
        <x:v>330</x:v>
      </x:c>
      <x:c r="B331" s="84" t="n">
        <x:v>194</x:v>
      </x:c>
      <x:c r="C331" s="84" t="n">
        <x:v>18</x:v>
      </x:c>
      <x:c r="D331" s="89" t="n">
        <x:v>45908</x:v>
      </x:c>
      <x:c r="E331" s="84" t="n">
        <x:v>1.9</x:v>
      </x:c>
      <x:c r="F331" s="84" t="str">
        <x:v>Normal</x:v>
      </x:c>
      <x:c r="G331" s="93" t="n">
        <x:v>119.87</x:v>
      </x:c>
      <x:c r="H331" s="85" t="str">
        <x:v>Diagnóstico e execução</x:v>
      </x:c>
    </x:row>
    <x:row r="332">
      <x:c r="A332" s="83" t="n">
        <x:v>331</x:v>
      </x:c>
      <x:c r="B332" s="84" t="n">
        <x:v>196</x:v>
      </x:c>
      <x:c r="C332" s="84" t="n">
        <x:v>43</x:v>
      </x:c>
      <x:c r="D332" s="89" t="n">
        <x:v>45335</x:v>
      </x:c>
      <x:c r="E332" s="84" t="n">
        <x:v>6.2</x:v>
      </x:c>
      <x:c r="F332" s="84" t="str">
        <x:v>Normal</x:v>
      </x:c>
      <x:c r="G332" s="93" t="n">
        <x:v>338.89</x:v>
      </x:c>
      <x:c r="H332" s="85" t="str">
        <x:v>Diagnóstico e execução</x:v>
      </x:c>
    </x:row>
    <x:row r="333">
      <x:c r="A333" s="83" t="n">
        <x:v>332</x:v>
      </x:c>
      <x:c r="B333" s="84" t="n">
        <x:v>196</x:v>
      </x:c>
      <x:c r="C333" s="84" t="n">
        <x:v>30</x:v>
      </x:c>
      <x:c r="D333" s="89" t="n">
        <x:v>45335</x:v>
      </x:c>
      <x:c r="E333" s="84" t="n">
        <x:v>0.7</x:v>
      </x:c>
      <x:c r="F333" s="84" t="str">
        <x:v>Normal</x:v>
      </x:c>
      <x:c r="G333" s="93" t="n">
        <x:v>28.99</x:v>
      </x:c>
      <x:c r="H333" s="85" t="str">
        <x:v>Diagnóstico e execução</x:v>
      </x:c>
    </x:row>
    <x:row r="334">
      <x:c r="A334" s="83" t="n">
        <x:v>333</x:v>
      </x:c>
      <x:c r="B334" s="84" t="n">
        <x:v>196</x:v>
      </x:c>
      <x:c r="C334" s="84" t="n">
        <x:v>5</x:v>
      </x:c>
      <x:c r="D334" s="89" t="n">
        <x:v>45335</x:v>
      </x:c>
      <x:c r="E334" s="84" t="n">
        <x:v>5.1</x:v>
      </x:c>
      <x:c r="F334" s="84" t="str">
        <x:v>Normal</x:v>
      </x:c>
      <x:c r="G334" s="93" t="n">
        <x:v>146.98</x:v>
      </x:c>
      <x:c r="H334" s="85" t="str">
        <x:v>Diagnóstico e execução</x:v>
      </x:c>
    </x:row>
    <x:row r="335">
      <x:c r="A335" s="83" t="n">
        <x:v>334</x:v>
      </x:c>
      <x:c r="B335" s="84" t="n">
        <x:v>197</x:v>
      </x:c>
      <x:c r="C335" s="84" t="n">
        <x:v>9</x:v>
      </x:c>
      <x:c r="D335" s="89" t="n">
        <x:v>46005</x:v>
      </x:c>
      <x:c r="E335" s="84" t="n">
        <x:v>1.1</x:v>
      </x:c>
      <x:c r="F335" s="84" t="str">
        <x:v>Normal</x:v>
      </x:c>
      <x:c r="G335" s="93" t="n">
        <x:v>57.94</x:v>
      </x:c>
      <x:c r="H335" s="85" t="str">
        <x:v>Diagnóstico e execução</x:v>
      </x:c>
    </x:row>
    <x:row r="336">
      <x:c r="A336" s="83" t="n">
        <x:v>335</x:v>
      </x:c>
      <x:c r="B336" s="84" t="n">
        <x:v>197</x:v>
      </x:c>
      <x:c r="C336" s="84" t="n">
        <x:v>34</x:v>
      </x:c>
      <x:c r="D336" s="89" t="n">
        <x:v>46005</x:v>
      </x:c>
      <x:c r="E336" s="84" t="n">
        <x:v>3.4</x:v>
      </x:c>
      <x:c r="F336" s="84" t="str">
        <x:v>Normal</x:v>
      </x:c>
      <x:c r="G336" s="93" t="n">
        <x:v>146.98</x:v>
      </x:c>
      <x:c r="H336" s="85" t="str">
        <x:v>Diagnóstico e execução</x:v>
      </x:c>
    </x:row>
    <x:row r="337">
      <x:c r="A337" s="83" t="n">
        <x:v>336</x:v>
      </x:c>
      <x:c r="B337" s="84" t="n">
        <x:v>198</x:v>
      </x:c>
      <x:c r="C337" s="84" t="n">
        <x:v>11</x:v>
      </x:c>
      <x:c r="D337" s="89" t="n">
        <x:v>45083</x:v>
      </x:c>
      <x:c r="E337" s="84" t="n">
        <x:v>6.1</x:v>
      </x:c>
      <x:c r="F337" s="84" t="str">
        <x:v>Normal</x:v>
      </x:c>
      <x:c r="G337" s="93" t="n">
        <x:v>254.25</x:v>
      </x:c>
      <x:c r="H337" s="85" t="str">
        <x:v>Diagnóstico e execução</x:v>
      </x:c>
    </x:row>
    <x:row r="338">
      <x:c r="A338" s="83" t="n">
        <x:v>337</x:v>
      </x:c>
      <x:c r="B338" s="84" t="n">
        <x:v>198</x:v>
      </x:c>
      <x:c r="C338" s="84" t="n">
        <x:v>24</x:v>
      </x:c>
      <x:c r="D338" s="89" t="n">
        <x:v>45083</x:v>
      </x:c>
      <x:c r="E338" s="84" t="n">
        <x:v>0.6</x:v>
      </x:c>
      <x:c r="F338" s="84" t="str">
        <x:v>Normal</x:v>
      </x:c>
      <x:c r="G338" s="93" t="n">
        <x:v>35.54</x:v>
      </x:c>
      <x:c r="H338" s="85" t="str">
        <x:v>Diagnóstico e execução</x:v>
      </x:c>
    </x:row>
    <x:row r="339">
      <x:c r="A339" s="83" t="n">
        <x:v>338</x:v>
      </x:c>
      <x:c r="B339" s="84" t="n">
        <x:v>199</x:v>
      </x:c>
      <x:c r="C339" s="84" t="n">
        <x:v>3</x:v>
      </x:c>
      <x:c r="D339" s="89" t="n">
        <x:v>45253</x:v>
      </x:c>
      <x:c r="E339" s="84" t="n">
        <x:v>6.3</x:v>
      </x:c>
      <x:c r="F339" s="84" t="str">
        <x:v>Normal</x:v>
      </x:c>
      <x:c r="G339" s="93" t="n">
        <x:v>310.21</x:v>
      </x:c>
      <x:c r="H339" s="85" t="str">
        <x:v>Diagnóstico e execução</x:v>
      </x:c>
    </x:row>
    <x:row r="340">
      <x:c r="A340" s="83" t="n">
        <x:v>339</x:v>
      </x:c>
      <x:c r="B340" s="84" t="n">
        <x:v>201</x:v>
      </x:c>
      <x:c r="C340" s="84" t="n">
        <x:v>9</x:v>
      </x:c>
      <x:c r="D340" s="89" t="n">
        <x:v>45249</x:v>
      </x:c>
      <x:c r="E340" s="84" t="n">
        <x:v>2.3</x:v>
      </x:c>
      <x:c r="F340" s="84" t="str">
        <x:v>Normal</x:v>
      </x:c>
      <x:c r="G340" s="93" t="n">
        <x:v>121.14</x:v>
      </x:c>
      <x:c r="H340" s="85" t="str">
        <x:v>Diagnóstico e execução</x:v>
      </x:c>
    </x:row>
    <x:row r="341">
      <x:c r="A341" s="83" t="n">
        <x:v>340</x:v>
      </x:c>
      <x:c r="B341" s="84" t="n">
        <x:v>204</x:v>
      </x:c>
      <x:c r="C341" s="84" t="n">
        <x:v>37</x:v>
      </x:c>
      <x:c r="D341" s="89" t="n">
        <x:v>45944</x:v>
      </x:c>
      <x:c r="E341" s="84" t="n">
        <x:v>4.7</x:v>
      </x:c>
      <x:c r="F341" s="84" t="str">
        <x:v>Normal</x:v>
      </x:c>
      <x:c r="G341" s="93" t="n">
        <x:v>277.16</x:v>
      </x:c>
      <x:c r="H341" s="85" t="str">
        <x:v>Diagnóstico e execução</x:v>
      </x:c>
    </x:row>
    <x:row r="342">
      <x:c r="A342" s="83" t="n">
        <x:v>341</x:v>
      </x:c>
      <x:c r="B342" s="84" t="n">
        <x:v>205</x:v>
      </x:c>
      <x:c r="C342" s="84" t="n">
        <x:v>9</x:v>
      </x:c>
      <x:c r="D342" s="89" t="n">
        <x:v>45012</x:v>
      </x:c>
      <x:c r="E342" s="84" t="n">
        <x:v>4</x:v>
      </x:c>
      <x:c r="F342" s="84" t="str">
        <x:v>Normal</x:v>
      </x:c>
      <x:c r="G342" s="93" t="n">
        <x:v>210.68</x:v>
      </x:c>
      <x:c r="H342" s="85" t="str">
        <x:v>Diagnóstico e execução</x:v>
      </x:c>
    </x:row>
    <x:row r="343">
      <x:c r="A343" s="83" t="n">
        <x:v>342</x:v>
      </x:c>
      <x:c r="B343" s="84" t="n">
        <x:v>207</x:v>
      </x:c>
      <x:c r="C343" s="84" t="n">
        <x:v>30</x:v>
      </x:c>
      <x:c r="D343" s="89" t="n">
        <x:v>45777</x:v>
      </x:c>
      <x:c r="E343" s="84" t="n">
        <x:v>1.3</x:v>
      </x:c>
      <x:c r="F343" s="84" t="str">
        <x:v>Normal</x:v>
      </x:c>
      <x:c r="G343" s="93" t="n">
        <x:v>53.83</x:v>
      </x:c>
      <x:c r="H343" s="85" t="str">
        <x:v>Diagnóstico e execução</x:v>
      </x:c>
    </x:row>
    <x:row r="344">
      <x:c r="A344" s="83" t="n">
        <x:v>343</x:v>
      </x:c>
      <x:c r="B344" s="84" t="n">
        <x:v>207</x:v>
      </x:c>
      <x:c r="C344" s="84" t="n">
        <x:v>11</x:v>
      </x:c>
      <x:c r="D344" s="89" t="n">
        <x:v>45777</x:v>
      </x:c>
      <x:c r="E344" s="84" t="n">
        <x:v>5.5</x:v>
      </x:c>
      <x:c r="F344" s="84" t="str">
        <x:v>Normal</x:v>
      </x:c>
      <x:c r="G344" s="93" t="n">
        <x:v>229.24</x:v>
      </x:c>
      <x:c r="H344" s="85" t="str">
        <x:v>Diagnóstico e execução</x:v>
      </x:c>
    </x:row>
    <x:row r="345">
      <x:c r="A345" s="83" t="n">
        <x:v>344</x:v>
      </x:c>
      <x:c r="B345" s="84" t="n">
        <x:v>208</x:v>
      </x:c>
      <x:c r="C345" s="84" t="n">
        <x:v>38</x:v>
      </x:c>
      <x:c r="D345" s="89" t="n">
        <x:v>45844</x:v>
      </x:c>
      <x:c r="E345" s="84" t="n">
        <x:v>3.4</x:v>
      </x:c>
      <x:c r="F345" s="84" t="str">
        <x:v>Normal</x:v>
      </x:c>
      <x:c r="G345" s="93" t="n">
        <x:v>114.48</x:v>
      </x:c>
      <x:c r="H345" s="85" t="str">
        <x:v>Diagnóstico e execução</x:v>
      </x:c>
    </x:row>
    <x:row r="346">
      <x:c r="A346" s="83" t="n">
        <x:v>345</x:v>
      </x:c>
      <x:c r="B346" s="84" t="n">
        <x:v>209</x:v>
      </x:c>
      <x:c r="C346" s="84" t="n">
        <x:v>4</x:v>
      </x:c>
      <x:c r="D346" s="89" t="n">
        <x:v>44944</x:v>
      </x:c>
      <x:c r="E346" s="84" t="n">
        <x:v>4.3</x:v>
      </x:c>
      <x:c r="F346" s="84" t="str">
        <x:v>Normal</x:v>
      </x:c>
      <x:c r="G346" s="93" t="n">
        <x:v>211.52</x:v>
      </x:c>
      <x:c r="H346" s="85" t="str">
        <x:v>Diagnóstico e execução</x:v>
      </x:c>
    </x:row>
    <x:row r="347">
      <x:c r="A347" s="83" t="n">
        <x:v>346</x:v>
      </x:c>
      <x:c r="B347" s="84" t="n">
        <x:v>209</x:v>
      </x:c>
      <x:c r="C347" s="84" t="n">
        <x:v>26</x:v>
      </x:c>
      <x:c r="D347" s="89" t="n">
        <x:v>44944</x:v>
      </x:c>
      <x:c r="E347" s="84" t="n">
        <x:v>3.3</x:v>
      </x:c>
      <x:c r="F347" s="84" t="str">
        <x:v>Normal</x:v>
      </x:c>
      <x:c r="G347" s="93" t="n">
        <x:v>129.1</x:v>
      </x:c>
      <x:c r="H347" s="85" t="str">
        <x:v>Diagnóstico e execução</x:v>
      </x:c>
    </x:row>
    <x:row r="348">
      <x:c r="A348" s="83" t="n">
        <x:v>347</x:v>
      </x:c>
      <x:c r="B348" s="84" t="n">
        <x:v>210</x:v>
      </x:c>
      <x:c r="C348" s="84" t="n">
        <x:v>14</x:v>
      </x:c>
      <x:c r="D348" s="89" t="n">
        <x:v>45648</x:v>
      </x:c>
      <x:c r="E348" s="84" t="n">
        <x:v>1.1</x:v>
      </x:c>
      <x:c r="F348" s="84" t="str">
        <x:v>Normal</x:v>
      </x:c>
      <x:c r="G348" s="93" t="n">
        <x:v>62.33</x:v>
      </x:c>
      <x:c r="H348" s="85" t="str">
        <x:v>Diagnóstico e execução</x:v>
      </x:c>
    </x:row>
    <x:row r="349">
      <x:c r="A349" s="83" t="n">
        <x:v>348</x:v>
      </x:c>
      <x:c r="B349" s="84" t="n">
        <x:v>210</x:v>
      </x:c>
      <x:c r="C349" s="84" t="n">
        <x:v>2</x:v>
      </x:c>
      <x:c r="D349" s="89" t="n">
        <x:v>45648</x:v>
      </x:c>
      <x:c r="E349" s="84" t="n">
        <x:v>6.2</x:v>
      </x:c>
      <x:c r="F349" s="84" t="str">
        <x:v>Normal</x:v>
      </x:c>
      <x:c r="G349" s="93" t="n">
        <x:v>231.01</x:v>
      </x:c>
      <x:c r="H349" s="85" t="str">
        <x:v>Diagnóstico e execução</x:v>
      </x:c>
    </x:row>
    <x:row r="350">
      <x:c r="A350" s="83" t="n">
        <x:v>349</x:v>
      </x:c>
      <x:c r="B350" s="84" t="n">
        <x:v>211</x:v>
      </x:c>
      <x:c r="C350" s="84" t="n">
        <x:v>43</x:v>
      </x:c>
      <x:c r="D350" s="89" t="n">
        <x:v>45867</x:v>
      </x:c>
      <x:c r="E350" s="84" t="n">
        <x:v>6.9</x:v>
      </x:c>
      <x:c r="F350" s="84" t="str">
        <x:v>Normal</x:v>
      </x:c>
      <x:c r="G350" s="93" t="n">
        <x:v>377.15</x:v>
      </x:c>
      <x:c r="H350" s="85" t="str">
        <x:v>Diagnóstico e execução</x:v>
      </x:c>
    </x:row>
    <x:row r="351">
      <x:c r="A351" s="83" t="n">
        <x:v>350</x:v>
      </x:c>
      <x:c r="B351" s="84" t="n">
        <x:v>211</x:v>
      </x:c>
      <x:c r="C351" s="84" t="n">
        <x:v>24</x:v>
      </x:c>
      <x:c r="D351" s="89" t="n">
        <x:v>45867</x:v>
      </x:c>
      <x:c r="E351" s="84" t="n">
        <x:v>5.3</x:v>
      </x:c>
      <x:c r="F351" s="84" t="str">
        <x:v>Normal</x:v>
      </x:c>
      <x:c r="G351" s="93" t="n">
        <x:v>313.97</x:v>
      </x:c>
      <x:c r="H351" s="85" t="str">
        <x:v>Diagnóstico e execução</x:v>
      </x:c>
    </x:row>
    <x:row r="352">
      <x:c r="A352" s="83" t="n">
        <x:v>351</x:v>
      </x:c>
      <x:c r="B352" s="84" t="n">
        <x:v>211</x:v>
      </x:c>
      <x:c r="C352" s="84" t="n">
        <x:v>8</x:v>
      </x:c>
      <x:c r="D352" s="89" t="n">
        <x:v>45867</x:v>
      </x:c>
      <x:c r="E352" s="84" t="n">
        <x:v>5.9</x:v>
      </x:c>
      <x:c r="F352" s="84" t="str">
        <x:v>Normal</x:v>
      </x:c>
      <x:c r="G352" s="93" t="n">
        <x:v>274.35</x:v>
      </x:c>
      <x:c r="H352" s="85" t="str">
        <x:v>Diagnóstico e execução</x:v>
      </x:c>
    </x:row>
    <x:row r="353">
      <x:c r="A353" s="83" t="n">
        <x:v>352</x:v>
      </x:c>
      <x:c r="B353" s="84" t="n">
        <x:v>212</x:v>
      </x:c>
      <x:c r="C353" s="84" t="n">
        <x:v>16</x:v>
      </x:c>
      <x:c r="D353" s="89" t="n">
        <x:v>45928</x:v>
      </x:c>
      <x:c r="E353" s="84" t="n">
        <x:v>3</x:v>
      </x:c>
      <x:c r="F353" s="84" t="str">
        <x:v>Normal</x:v>
      </x:c>
      <x:c r="G353" s="93" t="n">
        <x:v>121.56</x:v>
      </x:c>
      <x:c r="H353" s="85" t="str">
        <x:v>Diagnóstico e execução</x:v>
      </x:c>
    </x:row>
    <x:row r="354">
      <x:c r="A354" s="83" t="n">
        <x:v>353</x:v>
      </x:c>
      <x:c r="B354" s="84" t="n">
        <x:v>212</x:v>
      </x:c>
      <x:c r="C354" s="84" t="n">
        <x:v>18</x:v>
      </x:c>
      <x:c r="D354" s="89" t="n">
        <x:v>45928</x:v>
      </x:c>
      <x:c r="E354" s="84" t="n">
        <x:v>3.1</x:v>
      </x:c>
      <x:c r="F354" s="84" t="str">
        <x:v>Normal</x:v>
      </x:c>
      <x:c r="G354" s="93" t="n">
        <x:v>195.58</x:v>
      </x:c>
      <x:c r="H354" s="85" t="str">
        <x:v>Diagnóstico e execução</x:v>
      </x:c>
    </x:row>
    <x:row r="355">
      <x:c r="A355" s="83" t="n">
        <x:v>354</x:v>
      </x:c>
      <x:c r="B355" s="84" t="n">
        <x:v>214</x:v>
      </x:c>
      <x:c r="C355" s="84" t="n">
        <x:v>4</x:v>
      </x:c>
      <x:c r="D355" s="89" t="n">
        <x:v>45749</x:v>
      </x:c>
      <x:c r="E355" s="84" t="n">
        <x:v>3.2</x:v>
      </x:c>
      <x:c r="F355" s="84" t="str">
        <x:v>Normal</x:v>
      </x:c>
      <x:c r="G355" s="93" t="n">
        <x:v>157.41</x:v>
      </x:c>
      <x:c r="H355" s="85" t="str">
        <x:v>Diagnóstico e execução</x:v>
      </x:c>
    </x:row>
    <x:row r="356">
      <x:c r="A356" s="83" t="n">
        <x:v>355</x:v>
      </x:c>
      <x:c r="B356" s="84" t="n">
        <x:v>215</x:v>
      </x:c>
      <x:c r="C356" s="84" t="n">
        <x:v>2</x:v>
      </x:c>
      <x:c r="D356" s="89" t="n">
        <x:v>45361</x:v>
      </x:c>
      <x:c r="E356" s="84" t="n">
        <x:v>4.4</x:v>
      </x:c>
      <x:c r="F356" s="84" t="str">
        <x:v>Normal</x:v>
      </x:c>
      <x:c r="G356" s="93" t="n">
        <x:v>163.94</x:v>
      </x:c>
      <x:c r="H356" s="85" t="str">
        <x:v>Diagnóstico e execução</x:v>
      </x:c>
    </x:row>
    <x:row r="357">
      <x:c r="A357" s="83" t="n">
        <x:v>356</x:v>
      </x:c>
      <x:c r="B357" s="84" t="n">
        <x:v>215</x:v>
      </x:c>
      <x:c r="C357" s="84" t="n">
        <x:v>32</x:v>
      </x:c>
      <x:c r="D357" s="89" t="n">
        <x:v>45361</x:v>
      </x:c>
      <x:c r="E357" s="84" t="n">
        <x:v>7.9</x:v>
      </x:c>
      <x:c r="F357" s="84" t="str">
        <x:v>Normal</x:v>
      </x:c>
      <x:c r="G357" s="93" t="n">
        <x:v>344.83</x:v>
      </x:c>
      <x:c r="H357" s="85" t="str">
        <x:v>Diagnóstico e execução</x:v>
      </x:c>
    </x:row>
    <x:row r="358">
      <x:c r="A358" s="83" t="n">
        <x:v>357</x:v>
      </x:c>
      <x:c r="B358" s="84" t="n">
        <x:v>215</x:v>
      </x:c>
      <x:c r="C358" s="84" t="n">
        <x:v>31</x:v>
      </x:c>
      <x:c r="D358" s="89" t="n">
        <x:v>45361</x:v>
      </x:c>
      <x:c r="E358" s="84" t="n">
        <x:v>1.2</x:v>
      </x:c>
      <x:c r="F358" s="84" t="str">
        <x:v>Normal</x:v>
      </x:c>
      <x:c r="G358" s="93" t="n">
        <x:v>58.68</x:v>
      </x:c>
      <x:c r="H358" s="85" t="str">
        <x:v>Diagnóstico e execução</x:v>
      </x:c>
    </x:row>
    <x:row r="359">
      <x:c r="A359" s="83" t="n">
        <x:v>358</x:v>
      </x:c>
      <x:c r="B359" s="84" t="n">
        <x:v>216</x:v>
      </x:c>
      <x:c r="C359" s="84" t="n">
        <x:v>8</x:v>
      </x:c>
      <x:c r="D359" s="89" t="n">
        <x:v>45211</x:v>
      </x:c>
      <x:c r="E359" s="84" t="n">
        <x:v>3</x:v>
      </x:c>
      <x:c r="F359" s="84" t="str">
        <x:v>Normal</x:v>
      </x:c>
      <x:c r="G359" s="93" t="n">
        <x:v>139.5</x:v>
      </x:c>
      <x:c r="H359" s="85" t="str">
        <x:v>Diagnóstico e execução</x:v>
      </x:c>
    </x:row>
    <x:row r="360">
      <x:c r="A360" s="83" t="n">
        <x:v>359</x:v>
      </x:c>
      <x:c r="B360" s="84" t="n">
        <x:v>216</x:v>
      </x:c>
      <x:c r="C360" s="84" t="n">
        <x:v>28</x:v>
      </x:c>
      <x:c r="D360" s="89" t="n">
        <x:v>45211</x:v>
      </x:c>
      <x:c r="E360" s="84" t="n">
        <x:v>4.2</x:v>
      </x:c>
      <x:c r="F360" s="84" t="str">
        <x:v>Normal</x:v>
      </x:c>
      <x:c r="G360" s="93" t="n">
        <x:v>158</x:v>
      </x:c>
      <x:c r="H360" s="85" t="str">
        <x:v>Diagnóstico e execução</x:v>
      </x:c>
    </x:row>
    <x:row r="361">
      <x:c r="A361" s="83" t="n">
        <x:v>360</x:v>
      </x:c>
      <x:c r="B361" s="84" t="n">
        <x:v>216</x:v>
      </x:c>
      <x:c r="C361" s="84" t="n">
        <x:v>45</x:v>
      </x:c>
      <x:c r="D361" s="89" t="n">
        <x:v>45211</x:v>
      </x:c>
      <x:c r="E361" s="84" t="n">
        <x:v>5.4</x:v>
      </x:c>
      <x:c r="F361" s="84" t="str">
        <x:v>Normal</x:v>
      </x:c>
      <x:c r="G361" s="93" t="n">
        <x:v>289.28</x:v>
      </x:c>
      <x:c r="H361" s="85" t="str">
        <x:v>Diagnóstico e execução</x:v>
      </x:c>
    </x:row>
    <x:row r="362">
      <x:c r="A362" s="83" t="n">
        <x:v>361</x:v>
      </x:c>
      <x:c r="B362" s="84" t="n">
        <x:v>217</x:v>
      </x:c>
      <x:c r="C362" s="84" t="n">
        <x:v>1</x:v>
      </x:c>
      <x:c r="D362" s="89" t="n">
        <x:v>45223</x:v>
      </x:c>
      <x:c r="E362" s="84" t="n">
        <x:v>6.8</x:v>
      </x:c>
      <x:c r="F362" s="84" t="str">
        <x:v>Normal</x:v>
      </x:c>
      <x:c r="G362" s="93" t="n">
        <x:v>240.52</x:v>
      </x:c>
      <x:c r="H362" s="85" t="str">
        <x:v>Diagnóstico e execução</x:v>
      </x:c>
    </x:row>
    <x:row r="363">
      <x:c r="A363" s="83" t="n">
        <x:v>362</x:v>
      </x:c>
      <x:c r="B363" s="84" t="n">
        <x:v>217</x:v>
      </x:c>
      <x:c r="C363" s="84" t="n">
        <x:v>36</x:v>
      </x:c>
      <x:c r="D363" s="89" t="n">
        <x:v>45223</x:v>
      </x:c>
      <x:c r="E363" s="84" t="n">
        <x:v>7.1</x:v>
      </x:c>
      <x:c r="F363" s="84" t="str">
        <x:v>Normal</x:v>
      </x:c>
      <x:c r="G363" s="93" t="n">
        <x:v>210.59</x:v>
      </x:c>
      <x:c r="H363" s="85" t="str">
        <x:v>Diagnóstico e execução</x:v>
      </x:c>
    </x:row>
    <x:row r="364">
      <x:c r="A364" s="83" t="n">
        <x:v>363</x:v>
      </x:c>
      <x:c r="B364" s="84" t="n">
        <x:v>217</x:v>
      </x:c>
      <x:c r="C364" s="84" t="n">
        <x:v>35</x:v>
      </x:c>
      <x:c r="D364" s="89" t="n">
        <x:v>45223</x:v>
      </x:c>
      <x:c r="E364" s="84" t="n">
        <x:v>4</x:v>
      </x:c>
      <x:c r="F364" s="84" t="str">
        <x:v>Normal</x:v>
      </x:c>
      <x:c r="G364" s="93" t="n">
        <x:v>196.76</x:v>
      </x:c>
      <x:c r="H364" s="85" t="str">
        <x:v>Diagnóstico e execução</x:v>
      </x:c>
    </x:row>
    <x:row r="365">
      <x:c r="A365" s="83" t="n">
        <x:v>364</x:v>
      </x:c>
      <x:c r="B365" s="84" t="n">
        <x:v>218</x:v>
      </x:c>
      <x:c r="C365" s="84" t="n">
        <x:v>42</x:v>
      </x:c>
      <x:c r="D365" s="89" t="n">
        <x:v>45385</x:v>
      </x:c>
      <x:c r="E365" s="84" t="n">
        <x:v>4.2</x:v>
      </x:c>
      <x:c r="F365" s="84" t="str">
        <x:v>Normal</x:v>
      </x:c>
      <x:c r="G365" s="93" t="n">
        <x:v>177.16</x:v>
      </x:c>
      <x:c r="H365" s="85" t="str">
        <x:v>Diagnóstico e execução</x:v>
      </x:c>
    </x:row>
    <x:row r="366">
      <x:c r="A366" s="83" t="n">
        <x:v>365</x:v>
      </x:c>
      <x:c r="B366" s="84" t="n">
        <x:v>218</x:v>
      </x:c>
      <x:c r="C366" s="84" t="n">
        <x:v>33</x:v>
      </x:c>
      <x:c r="D366" s="89" t="n">
        <x:v>45385</x:v>
      </x:c>
      <x:c r="E366" s="84" t="n">
        <x:v>1</x:v>
      </x:c>
      <x:c r="F366" s="84" t="str">
        <x:v>Normal</x:v>
      </x:c>
      <x:c r="G366" s="93" t="n">
        <x:v>34.49</x:v>
      </x:c>
      <x:c r="H366" s="85" t="str">
        <x:v>Diagnóstico e execução</x:v>
      </x:c>
    </x:row>
    <x:row r="367">
      <x:c r="A367" s="83" t="n">
        <x:v>366</x:v>
      </x:c>
      <x:c r="B367" s="84" t="n">
        <x:v>219</x:v>
      </x:c>
      <x:c r="C367" s="84" t="n">
        <x:v>1</x:v>
      </x:c>
      <x:c r="D367" s="89" t="n">
        <x:v>45842</x:v>
      </x:c>
      <x:c r="E367" s="84" t="n">
        <x:v>2.8</x:v>
      </x:c>
      <x:c r="F367" s="84" t="str">
        <x:v>Normal</x:v>
      </x:c>
      <x:c r="G367" s="93" t="n">
        <x:v>99.04</x:v>
      </x:c>
      <x:c r="H367" s="85" t="str">
        <x:v>Diagnóstico e execução</x:v>
      </x:c>
    </x:row>
    <x:row r="368">
      <x:c r="A368" s="83" t="n">
        <x:v>367</x:v>
      </x:c>
      <x:c r="B368" s="84" t="n">
        <x:v>219</x:v>
      </x:c>
      <x:c r="C368" s="84" t="n">
        <x:v>2</x:v>
      </x:c>
      <x:c r="D368" s="89" t="n">
        <x:v>45842</x:v>
      </x:c>
      <x:c r="E368" s="84" t="n">
        <x:v>7.1</x:v>
      </x:c>
      <x:c r="F368" s="84" t="str">
        <x:v>Normal</x:v>
      </x:c>
      <x:c r="G368" s="93" t="n">
        <x:v>264.55</x:v>
      </x:c>
      <x:c r="H368" s="85" t="str">
        <x:v>Diagnóstico e execução</x:v>
      </x:c>
    </x:row>
    <x:row r="369">
      <x:c r="A369" s="83" t="n">
        <x:v>368</x:v>
      </x:c>
      <x:c r="B369" s="84" t="n">
        <x:v>220</x:v>
      </x:c>
      <x:c r="C369" s="84" t="n">
        <x:v>44</x:v>
      </x:c>
      <x:c r="D369" s="89" t="n">
        <x:v>45418</x:v>
      </x:c>
      <x:c r="E369" s="84" t="n">
        <x:v>2.7</x:v>
      </x:c>
      <x:c r="F369" s="84" t="str">
        <x:v>Normal</x:v>
      </x:c>
      <x:c r="G369" s="93" t="n">
        <x:v>75.71</x:v>
      </x:c>
      <x:c r="H369" s="85" t="str">
        <x:v>Diagnóstico e execução</x:v>
      </x:c>
    </x:row>
    <x:row r="370">
      <x:c r="A370" s="83" t="n">
        <x:v>369</x:v>
      </x:c>
      <x:c r="B370" s="84" t="n">
        <x:v>220</x:v>
      </x:c>
      <x:c r="C370" s="84" t="n">
        <x:v>3</x:v>
      </x:c>
      <x:c r="D370" s="89" t="n">
        <x:v>45418</x:v>
      </x:c>
      <x:c r="E370" s="84" t="n">
        <x:v>3.3</x:v>
      </x:c>
      <x:c r="F370" s="84" t="str">
        <x:v>Normal</x:v>
      </x:c>
      <x:c r="G370" s="93" t="n">
        <x:v>162.49</x:v>
      </x:c>
      <x:c r="H370" s="85" t="str">
        <x:v>Diagnóstico e execução</x:v>
      </x:c>
    </x:row>
    <x:row r="371">
      <x:c r="A371" s="83" t="n">
        <x:v>370</x:v>
      </x:c>
      <x:c r="B371" s="84" t="n">
        <x:v>221</x:v>
      </x:c>
      <x:c r="C371" s="84" t="n">
        <x:v>43</x:v>
      </x:c>
      <x:c r="D371" s="89" t="n">
        <x:v>45915</x:v>
      </x:c>
      <x:c r="E371" s="84" t="n">
        <x:v>1.6</x:v>
      </x:c>
      <x:c r="F371" s="84" t="str">
        <x:v>Normal</x:v>
      </x:c>
      <x:c r="G371" s="93" t="n">
        <x:v>87.46</x:v>
      </x:c>
      <x:c r="H371" s="85" t="str">
        <x:v>Diagnóstico e execução</x:v>
      </x:c>
    </x:row>
    <x:row r="372">
      <x:c r="A372" s="83" t="n">
        <x:v>371</x:v>
      </x:c>
      <x:c r="B372" s="84" t="n">
        <x:v>221</x:v>
      </x:c>
      <x:c r="C372" s="84" t="n">
        <x:v>39</x:v>
      </x:c>
      <x:c r="D372" s="89" t="n">
        <x:v>45915</x:v>
      </x:c>
      <x:c r="E372" s="84" t="n">
        <x:v>2.3</x:v>
      </x:c>
      <x:c r="F372" s="84" t="str">
        <x:v>Normal</x:v>
      </x:c>
      <x:c r="G372" s="93" t="n">
        <x:v>133.17</x:v>
      </x:c>
      <x:c r="H372" s="85" t="str">
        <x:v>Diagnóstico e execução</x:v>
      </x:c>
    </x:row>
    <x:row r="373">
      <x:c r="A373" s="83" t="n">
        <x:v>372</x:v>
      </x:c>
      <x:c r="B373" s="84" t="n">
        <x:v>222</x:v>
      </x:c>
      <x:c r="C373" s="84" t="n">
        <x:v>2</x:v>
      </x:c>
      <x:c r="D373" s="89" t="n">
        <x:v>45248</x:v>
      </x:c>
      <x:c r="E373" s="84" t="n">
        <x:v>4.6</x:v>
      </x:c>
      <x:c r="F373" s="84" t="str">
        <x:v>Normal</x:v>
      </x:c>
      <x:c r="G373" s="93" t="n">
        <x:v>171.4</x:v>
      </x:c>
      <x:c r="H373" s="85" t="str">
        <x:v>Diagnóstico e execução</x:v>
      </x:c>
    </x:row>
    <x:row r="374">
      <x:c r="A374" s="83" t="n">
        <x:v>373</x:v>
      </x:c>
      <x:c r="B374" s="84" t="n">
        <x:v>222</x:v>
      </x:c>
      <x:c r="C374" s="84" t="n">
        <x:v>23</x:v>
      </x:c>
      <x:c r="D374" s="89" t="n">
        <x:v>45248</x:v>
      </x:c>
      <x:c r="E374" s="84" t="n">
        <x:v>6.2</x:v>
      </x:c>
      <x:c r="F374" s="84" t="str">
        <x:v>Normal</x:v>
      </x:c>
      <x:c r="G374" s="93" t="n">
        <x:v>267.28</x:v>
      </x:c>
      <x:c r="H374" s="85" t="str">
        <x:v>Diagnóstico e execução</x:v>
      </x:c>
    </x:row>
    <x:row r="375">
      <x:c r="A375" s="83" t="n">
        <x:v>374</x:v>
      </x:c>
      <x:c r="B375" s="84" t="n">
        <x:v>222</x:v>
      </x:c>
      <x:c r="C375" s="84" t="n">
        <x:v>12</x:v>
      </x:c>
      <x:c r="D375" s="89" t="n">
        <x:v>45248</x:v>
      </x:c>
      <x:c r="E375" s="84" t="n">
        <x:v>6.8</x:v>
      </x:c>
      <x:c r="F375" s="84" t="str">
        <x:v>Normal</x:v>
      </x:c>
      <x:c r="G375" s="93" t="n">
        <x:v>234.6</x:v>
      </x:c>
      <x:c r="H375" s="85" t="str">
        <x:v>Diagnóstico e execução</x:v>
      </x:c>
    </x:row>
    <x:row r="376">
      <x:c r="A376" s="83" t="n">
        <x:v>375</x:v>
      </x:c>
      <x:c r="B376" s="84" t="n">
        <x:v>223</x:v>
      </x:c>
      <x:c r="C376" s="84" t="n">
        <x:v>12</x:v>
      </x:c>
      <x:c r="D376" s="89" t="n">
        <x:v>45343</x:v>
      </x:c>
      <x:c r="E376" s="84" t="n">
        <x:v>4.9</x:v>
      </x:c>
      <x:c r="F376" s="84" t="str">
        <x:v>Normal</x:v>
      </x:c>
      <x:c r="G376" s="93" t="n">
        <x:v>169.05</x:v>
      </x:c>
      <x:c r="H376" s="85" t="str">
        <x:v>Diagnóstico e execução</x:v>
      </x:c>
    </x:row>
    <x:row r="377">
      <x:c r="A377" s="83" t="n">
        <x:v>376</x:v>
      </x:c>
      <x:c r="B377" s="84" t="n">
        <x:v>223</x:v>
      </x:c>
      <x:c r="C377" s="84" t="n">
        <x:v>40</x:v>
      </x:c>
      <x:c r="D377" s="89" t="n">
        <x:v>45343</x:v>
      </x:c>
      <x:c r="E377" s="84" t="n">
        <x:v>2.5</x:v>
      </x:c>
      <x:c r="F377" s="84" t="str">
        <x:v>Normal</x:v>
      </x:c>
      <x:c r="G377" s="93" t="n">
        <x:v>123.55</x:v>
      </x:c>
      <x:c r="H377" s="85" t="str">
        <x:v>Diagnóstico e execução</x:v>
      </x:c>
    </x:row>
    <x:row r="378">
      <x:c r="A378" s="83" t="n">
        <x:v>377</x:v>
      </x:c>
      <x:c r="B378" s="84" t="n">
        <x:v>225</x:v>
      </x:c>
      <x:c r="C378" s="84" t="n">
        <x:v>40</x:v>
      </x:c>
      <x:c r="D378" s="89" t="n">
        <x:v>45760</x:v>
      </x:c>
      <x:c r="E378" s="84" t="n">
        <x:v>0.5</x:v>
      </x:c>
      <x:c r="F378" s="84" t="str">
        <x:v>Normal</x:v>
      </x:c>
      <x:c r="G378" s="93" t="n">
        <x:v>24.71</x:v>
      </x:c>
      <x:c r="H378" s="85" t="str">
        <x:v>Diagnóstico e execução</x:v>
      </x:c>
    </x:row>
    <x:row r="379">
      <x:c r="A379" s="83" t="n">
        <x:v>378</x:v>
      </x:c>
      <x:c r="B379" s="84" t="n">
        <x:v>225</x:v>
      </x:c>
      <x:c r="C379" s="84" t="n">
        <x:v>38</x:v>
      </x:c>
      <x:c r="D379" s="89" t="n">
        <x:v>45760</x:v>
      </x:c>
      <x:c r="E379" s="84" t="n">
        <x:v>5.6</x:v>
      </x:c>
      <x:c r="F379" s="84" t="str">
        <x:v>Normal</x:v>
      </x:c>
      <x:c r="G379" s="93" t="n">
        <x:v>188.55</x:v>
      </x:c>
      <x:c r="H379" s="85" t="str">
        <x:v>Diagnóstico e execução</x:v>
      </x:c>
    </x:row>
    <x:row r="380">
      <x:c r="A380" s="83" t="n">
        <x:v>379</x:v>
      </x:c>
      <x:c r="B380" s="84" t="n">
        <x:v>225</x:v>
      </x:c>
      <x:c r="C380" s="84" t="n">
        <x:v>10</x:v>
      </x:c>
      <x:c r="D380" s="89" t="n">
        <x:v>45760</x:v>
      </x:c>
      <x:c r="E380" s="84" t="n">
        <x:v>4.8</x:v>
      </x:c>
      <x:c r="F380" s="84" t="str">
        <x:v>Normal</x:v>
      </x:c>
      <x:c r="G380" s="93" t="n">
        <x:v>142.51</x:v>
      </x:c>
      <x:c r="H380" s="85" t="str">
        <x:v>Diagnóstico e execução</x:v>
      </x:c>
    </x:row>
    <x:row r="381">
      <x:c r="A381" s="83" t="n">
        <x:v>380</x:v>
      </x:c>
      <x:c r="B381" s="84" t="n">
        <x:v>226</x:v>
      </x:c>
      <x:c r="C381" s="84" t="n">
        <x:v>1</x:v>
      </x:c>
      <x:c r="D381" s="89" t="n">
        <x:v>45121</x:v>
      </x:c>
      <x:c r="E381" s="84" t="n">
        <x:v>0.6</x:v>
      </x:c>
      <x:c r="F381" s="84" t="str">
        <x:v>Normal</x:v>
      </x:c>
      <x:c r="G381" s="93" t="n">
        <x:v>21.22</x:v>
      </x:c>
      <x:c r="H381" s="85" t="str">
        <x:v>Diagnóstico e execução</x:v>
      </x:c>
    </x:row>
    <x:row r="382">
      <x:c r="A382" s="83" t="n">
        <x:v>381</x:v>
      </x:c>
      <x:c r="B382" s="84" t="n">
        <x:v>226</x:v>
      </x:c>
      <x:c r="C382" s="84" t="n">
        <x:v>45</x:v>
      </x:c>
      <x:c r="D382" s="89" t="n">
        <x:v>45121</x:v>
      </x:c>
      <x:c r="E382" s="84" t="n">
        <x:v>1.8</x:v>
      </x:c>
      <x:c r="F382" s="84" t="str">
        <x:v>Normal</x:v>
      </x:c>
      <x:c r="G382" s="93" t="n">
        <x:v>96.43</x:v>
      </x:c>
      <x:c r="H382" s="85" t="str">
        <x:v>Diagnóstico e execução</x:v>
      </x:c>
    </x:row>
    <x:row r="383">
      <x:c r="A383" s="83" t="n">
        <x:v>382</x:v>
      </x:c>
      <x:c r="B383" s="84" t="n">
        <x:v>226</x:v>
      </x:c>
      <x:c r="C383" s="84" t="n">
        <x:v>22</x:v>
      </x:c>
      <x:c r="D383" s="89" t="n">
        <x:v>45121</x:v>
      </x:c>
      <x:c r="E383" s="84" t="n">
        <x:v>6.9</x:v>
      </x:c>
      <x:c r="F383" s="84" t="str">
        <x:v>Normal</x:v>
      </x:c>
      <x:c r="G383" s="93" t="n">
        <x:v>265.37</x:v>
      </x:c>
      <x:c r="H383" s="85" t="str">
        <x:v>Diagnóstico e execução</x:v>
      </x:c>
    </x:row>
    <x:row r="384">
      <x:c r="A384" s="83" t="n">
        <x:v>383</x:v>
      </x:c>
      <x:c r="B384" s="84" t="n">
        <x:v>227</x:v>
      </x:c>
      <x:c r="C384" s="84" t="n">
        <x:v>30</x:v>
      </x:c>
      <x:c r="D384" s="89" t="n">
        <x:v>45753</x:v>
      </x:c>
      <x:c r="E384" s="84" t="n">
        <x:v>6.1</x:v>
      </x:c>
      <x:c r="F384" s="84" t="str">
        <x:v>Normal</x:v>
      </x:c>
      <x:c r="G384" s="93" t="n">
        <x:v>252.6</x:v>
      </x:c>
      <x:c r="H384" s="85" t="str">
        <x:v>Diagnóstico e execução</x:v>
      </x:c>
    </x:row>
    <x:row r="385">
      <x:c r="A385" s="83" t="n">
        <x:v>384</x:v>
      </x:c>
      <x:c r="B385" s="84" t="n">
        <x:v>228</x:v>
      </x:c>
      <x:c r="C385" s="84" t="n">
        <x:v>4</x:v>
      </x:c>
      <x:c r="D385" s="89" t="n">
        <x:v>45146</x:v>
      </x:c>
      <x:c r="E385" s="84" t="n">
        <x:v>2.9</x:v>
      </x:c>
      <x:c r="F385" s="84" t="str">
        <x:v>Normal</x:v>
      </x:c>
      <x:c r="G385" s="93" t="n">
        <x:v>142.65</x:v>
      </x:c>
      <x:c r="H385" s="85" t="str">
        <x:v>Diagnóstico e execução</x:v>
      </x:c>
    </x:row>
    <x:row r="386">
      <x:c r="A386" s="83" t="n">
        <x:v>385</x:v>
      </x:c>
      <x:c r="B386" s="84" t="n">
        <x:v>229</x:v>
      </x:c>
      <x:c r="C386" s="84" t="n">
        <x:v>6</x:v>
      </x:c>
      <x:c r="D386" s="89" t="n">
        <x:v>45266</x:v>
      </x:c>
      <x:c r="E386" s="84" t="n">
        <x:v>5.6</x:v>
      </x:c>
      <x:c r="F386" s="84" t="str">
        <x:v>Normal</x:v>
      </x:c>
      <x:c r="G386" s="93" t="n">
        <x:v>292.66</x:v>
      </x:c>
      <x:c r="H386" s="85" t="str">
        <x:v>Diagnóstico e execução</x:v>
      </x:c>
    </x:row>
    <x:row r="387">
      <x:c r="A387" s="83" t="n">
        <x:v>386</x:v>
      </x:c>
      <x:c r="B387" s="84" t="n">
        <x:v>231</x:v>
      </x:c>
      <x:c r="C387" s="84" t="n">
        <x:v>4</x:v>
      </x:c>
      <x:c r="D387" s="89" t="n">
        <x:v>44930</x:v>
      </x:c>
      <x:c r="E387" s="84" t="n">
        <x:v>7.8</x:v>
      </x:c>
      <x:c r="F387" s="84" t="str">
        <x:v>Normal</x:v>
      </x:c>
      <x:c r="G387" s="93" t="n">
        <x:v>383.68</x:v>
      </x:c>
      <x:c r="H387" s="85" t="str">
        <x:v>Diagnóstico e execução</x:v>
      </x:c>
    </x:row>
    <x:row r="388">
      <x:c r="A388" s="83" t="n">
        <x:v>387</x:v>
      </x:c>
      <x:c r="B388" s="84" t="n">
        <x:v>232</x:v>
      </x:c>
      <x:c r="C388" s="84" t="n">
        <x:v>20</x:v>
      </x:c>
      <x:c r="D388" s="89" t="n">
        <x:v>45119</x:v>
      </x:c>
      <x:c r="E388" s="84" t="n">
        <x:v>7.1</x:v>
      </x:c>
      <x:c r="F388" s="84" t="str">
        <x:v>Normal</x:v>
      </x:c>
      <x:c r="G388" s="93" t="n">
        <x:v>237.99</x:v>
      </x:c>
      <x:c r="H388" s="85" t="str">
        <x:v>Diagnóstico e execução</x:v>
      </x:c>
    </x:row>
    <x:row r="389">
      <x:c r="A389" s="83" t="n">
        <x:v>388</x:v>
      </x:c>
      <x:c r="B389" s="84" t="n">
        <x:v>232</x:v>
      </x:c>
      <x:c r="C389" s="84" t="n">
        <x:v>19</x:v>
      </x:c>
      <x:c r="D389" s="89" t="n">
        <x:v>45119</x:v>
      </x:c>
      <x:c r="E389" s="84" t="n">
        <x:v>6.6</x:v>
      </x:c>
      <x:c r="F389" s="84" t="str">
        <x:v>Normal</x:v>
      </x:c>
      <x:c r="G389" s="93" t="n">
        <x:v>306.77</x:v>
      </x:c>
      <x:c r="H389" s="85" t="str">
        <x:v>Diagnóstico e execução</x:v>
      </x:c>
    </x:row>
    <x:row r="390">
      <x:c r="A390" s="83" t="n">
        <x:v>389</x:v>
      </x:c>
      <x:c r="B390" s="84" t="n">
        <x:v>232</x:v>
      </x:c>
      <x:c r="C390" s="84" t="n">
        <x:v>22</x:v>
      </x:c>
      <x:c r="D390" s="89" t="n">
        <x:v>45119</x:v>
      </x:c>
      <x:c r="E390" s="84" t="n">
        <x:v>3.7</x:v>
      </x:c>
      <x:c r="F390" s="84" t="str">
        <x:v>Normal</x:v>
      </x:c>
      <x:c r="G390" s="93" t="n">
        <x:v>142.3</x:v>
      </x:c>
      <x:c r="H390" s="85" t="str">
        <x:v>Diagnóstico e execução</x:v>
      </x:c>
    </x:row>
    <x:row r="391">
      <x:c r="A391" s="83" t="n">
        <x:v>390</x:v>
      </x:c>
      <x:c r="B391" s="84" t="n">
        <x:v>233</x:v>
      </x:c>
      <x:c r="C391" s="84" t="n">
        <x:v>21</x:v>
      </x:c>
      <x:c r="D391" s="89" t="n">
        <x:v>45932</x:v>
      </x:c>
      <x:c r="E391" s="84" t="n">
        <x:v>2.5</x:v>
      </x:c>
      <x:c r="F391" s="84" t="str">
        <x:v>Normal</x:v>
      </x:c>
      <x:c r="G391" s="93" t="n">
        <x:v>153.57</x:v>
      </x:c>
      <x:c r="H391" s="85" t="str">
        <x:v>Diagnóstico e execução</x:v>
      </x:c>
    </x:row>
    <x:row r="392">
      <x:c r="A392" s="83" t="n">
        <x:v>391</x:v>
      </x:c>
      <x:c r="B392" s="84" t="n">
        <x:v>233</x:v>
      </x:c>
      <x:c r="C392" s="84" t="n">
        <x:v>18</x:v>
      </x:c>
      <x:c r="D392" s="89" t="n">
        <x:v>45932</x:v>
      </x:c>
      <x:c r="E392" s="84" t="n">
        <x:v>2.5</x:v>
      </x:c>
      <x:c r="F392" s="84" t="str">
        <x:v>Normal</x:v>
      </x:c>
      <x:c r="G392" s="93" t="n">
        <x:v>157.73</x:v>
      </x:c>
      <x:c r="H392" s="85" t="str">
        <x:v>Diagnóstico e execução</x:v>
      </x:c>
    </x:row>
    <x:row r="393">
      <x:c r="A393" s="83" t="n">
        <x:v>392</x:v>
      </x:c>
      <x:c r="B393" s="84" t="n">
        <x:v>233</x:v>
      </x:c>
      <x:c r="C393" s="84" t="n">
        <x:v>19</x:v>
      </x:c>
      <x:c r="D393" s="89" t="n">
        <x:v>45932</x:v>
      </x:c>
      <x:c r="E393" s="84" t="n">
        <x:v>7.1</x:v>
      </x:c>
      <x:c r="F393" s="84" t="str">
        <x:v>Normal</x:v>
      </x:c>
      <x:c r="G393" s="93" t="n">
        <x:v>330.01</x:v>
      </x:c>
      <x:c r="H393" s="85" t="str">
        <x:v>Diagnóstico e execução</x:v>
      </x:c>
    </x:row>
    <x:row r="394">
      <x:c r="A394" s="83" t="n">
        <x:v>393</x:v>
      </x:c>
      <x:c r="B394" s="84" t="n">
        <x:v>234</x:v>
      </x:c>
      <x:c r="C394" s="84" t="n">
        <x:v>37</x:v>
      </x:c>
      <x:c r="D394" s="89" t="n">
        <x:v>45158</x:v>
      </x:c>
      <x:c r="E394" s="84" t="n">
        <x:v>3.3</x:v>
      </x:c>
      <x:c r="F394" s="84" t="str">
        <x:v>Normal</x:v>
      </x:c>
      <x:c r="G394" s="93" t="n">
        <x:v>194.6</x:v>
      </x:c>
      <x:c r="H394" s="85" t="str">
        <x:v>Diagnóstico e execução</x:v>
      </x:c>
    </x:row>
    <x:row r="395">
      <x:c r="A395" s="83" t="n">
        <x:v>394</x:v>
      </x:c>
      <x:c r="B395" s="84" t="n">
        <x:v>234</x:v>
      </x:c>
      <x:c r="C395" s="84" t="n">
        <x:v>31</x:v>
      </x:c>
      <x:c r="D395" s="89" t="n">
        <x:v>45158</x:v>
      </x:c>
      <x:c r="E395" s="84" t="n">
        <x:v>3.4</x:v>
      </x:c>
      <x:c r="F395" s="84" t="str">
        <x:v>Normal</x:v>
      </x:c>
      <x:c r="G395" s="93" t="n">
        <x:v>166.26</x:v>
      </x:c>
      <x:c r="H395" s="85" t="str">
        <x:v>Diagnóstico e execução</x:v>
      </x:c>
    </x:row>
    <x:row r="396">
      <x:c r="A396" s="83" t="n">
        <x:v>395</x:v>
      </x:c>
      <x:c r="B396" s="84" t="n">
        <x:v>234</x:v>
      </x:c>
      <x:c r="C396" s="84" t="n">
        <x:v>19</x:v>
      </x:c>
      <x:c r="D396" s="89" t="n">
        <x:v>45158</x:v>
      </x:c>
      <x:c r="E396" s="84" t="n">
        <x:v>4.3</x:v>
      </x:c>
      <x:c r="F396" s="84" t="str">
        <x:v>Normal</x:v>
      </x:c>
      <x:c r="G396" s="93" t="n">
        <x:v>199.86</x:v>
      </x:c>
      <x:c r="H396" s="85" t="str">
        <x:v>Diagnóstico e execução</x:v>
      </x:c>
    </x:row>
    <x:row r="397">
      <x:c r="A397" s="83" t="n">
        <x:v>396</x:v>
      </x:c>
      <x:c r="B397" s="84" t="n">
        <x:v>235</x:v>
      </x:c>
      <x:c r="C397" s="84" t="n">
        <x:v>3</x:v>
      </x:c>
      <x:c r="D397" s="89" t="n">
        <x:v>45289</x:v>
      </x:c>
      <x:c r="E397" s="84" t="n">
        <x:v>3.3</x:v>
      </x:c>
      <x:c r="F397" s="84" t="str">
        <x:v>Normal</x:v>
      </x:c>
      <x:c r="G397" s="93" t="n">
        <x:v>162.49</x:v>
      </x:c>
      <x:c r="H397" s="85" t="str">
        <x:v>Diagnóstico e execução</x:v>
      </x:c>
    </x:row>
    <x:row r="398">
      <x:c r="A398" s="83" t="n">
        <x:v>397</x:v>
      </x:c>
      <x:c r="B398" s="84" t="n">
        <x:v>235</x:v>
      </x:c>
      <x:c r="C398" s="84" t="n">
        <x:v>21</x:v>
      </x:c>
      <x:c r="D398" s="89" t="n">
        <x:v>45289</x:v>
      </x:c>
      <x:c r="E398" s="84" t="n">
        <x:v>3.2</x:v>
      </x:c>
      <x:c r="F398" s="84" t="str">
        <x:v>Normal</x:v>
      </x:c>
      <x:c r="G398" s="93" t="n">
        <x:v>196.58</x:v>
      </x:c>
      <x:c r="H398" s="85" t="str">
        <x:v>Diagnóstico e execução</x:v>
      </x:c>
    </x:row>
    <x:row r="399">
      <x:c r="A399" s="83" t="n">
        <x:v>398</x:v>
      </x:c>
      <x:c r="B399" s="84" t="n">
        <x:v>236</x:v>
      </x:c>
      <x:c r="C399" s="84" t="n">
        <x:v>43</x:v>
      </x:c>
      <x:c r="D399" s="89" t="n">
        <x:v>45167</x:v>
      </x:c>
      <x:c r="E399" s="84" t="n">
        <x:v>6.8</x:v>
      </x:c>
      <x:c r="F399" s="84" t="str">
        <x:v>Normal</x:v>
      </x:c>
      <x:c r="G399" s="93" t="n">
        <x:v>371.69</x:v>
      </x:c>
      <x:c r="H399" s="85" t="str">
        <x:v>Diagnóstico e execução</x:v>
      </x:c>
    </x:row>
    <x:row r="400">
      <x:c r="A400" s="83" t="n">
        <x:v>399</x:v>
      </x:c>
      <x:c r="B400" s="84" t="n">
        <x:v>237</x:v>
      </x:c>
      <x:c r="C400" s="84" t="n">
        <x:v>4</x:v>
      </x:c>
      <x:c r="D400" s="89" t="n">
        <x:v>45448</x:v>
      </x:c>
      <x:c r="E400" s="84" t="n">
        <x:v>7</x:v>
      </x:c>
      <x:c r="F400" s="84" t="str">
        <x:v>Normal</x:v>
      </x:c>
      <x:c r="G400" s="93" t="n">
        <x:v>344.33</x:v>
      </x:c>
      <x:c r="H400" s="85" t="str">
        <x:v>Diagnóstico e execução</x:v>
      </x:c>
    </x:row>
    <x:row r="401">
      <x:c r="A401" s="83" t="n">
        <x:v>400</x:v>
      </x:c>
      <x:c r="B401" s="84" t="n">
        <x:v>239</x:v>
      </x:c>
      <x:c r="C401" s="84" t="n">
        <x:v>35</x:v>
      </x:c>
      <x:c r="D401" s="89" t="n">
        <x:v>45111</x:v>
      </x:c>
      <x:c r="E401" s="84" t="n">
        <x:v>5.8</x:v>
      </x:c>
      <x:c r="F401" s="84" t="str">
        <x:v>Normal</x:v>
      </x:c>
      <x:c r="G401" s="93" t="n">
        <x:v>285.3</x:v>
      </x:c>
      <x:c r="H401" s="85" t="str">
        <x:v>Diagnóstico e execução</x:v>
      </x:c>
    </x:row>
    <x:row r="402">
      <x:c r="A402" s="83" t="n">
        <x:v>401</x:v>
      </x:c>
      <x:c r="B402" s="84" t="n">
        <x:v>239</x:v>
      </x:c>
      <x:c r="C402" s="84" t="n">
        <x:v>26</x:v>
      </x:c>
      <x:c r="D402" s="89" t="n">
        <x:v>45111</x:v>
      </x:c>
      <x:c r="E402" s="84" t="n">
        <x:v>7.2</x:v>
      </x:c>
      <x:c r="F402" s="84" t="str">
        <x:v>Normal</x:v>
      </x:c>
      <x:c r="G402" s="93" t="n">
        <x:v>281.66</x:v>
      </x:c>
      <x:c r="H402" s="85" t="str">
        <x:v>Diagnóstico e execução</x:v>
      </x:c>
    </x:row>
    <x:row r="403">
      <x:c r="A403" s="83" t="n">
        <x:v>402</x:v>
      </x:c>
      <x:c r="B403" s="84" t="n">
        <x:v>239</x:v>
      </x:c>
      <x:c r="C403" s="84" t="n">
        <x:v>14</x:v>
      </x:c>
      <x:c r="D403" s="89" t="n">
        <x:v>45111</x:v>
      </x:c>
      <x:c r="E403" s="84" t="n">
        <x:v>2.3</x:v>
      </x:c>
      <x:c r="F403" s="84" t="str">
        <x:v>Normal</x:v>
      </x:c>
      <x:c r="G403" s="93" t="n">
        <x:v>130.32</x:v>
      </x:c>
      <x:c r="H403" s="85" t="str">
        <x:v>Diagnóstico e execução</x:v>
      </x:c>
    </x:row>
    <x:row r="404">
      <x:c r="A404" s="83" t="n">
        <x:v>403</x:v>
      </x:c>
      <x:c r="B404" s="84" t="n">
        <x:v>240</x:v>
      </x:c>
      <x:c r="C404" s="84" t="n">
        <x:v>25</x:v>
      </x:c>
      <x:c r="D404" s="89" t="n">
        <x:v>45449</x:v>
      </x:c>
      <x:c r="E404" s="84" t="n">
        <x:v>6.8</x:v>
      </x:c>
      <x:c r="F404" s="84" t="str">
        <x:v>Normal</x:v>
      </x:c>
      <x:c r="G404" s="93" t="n">
        <x:v>364.41</x:v>
      </x:c>
      <x:c r="H404" s="85" t="str">
        <x:v>Diagnóstico e execução</x:v>
      </x:c>
    </x:row>
    <x:row r="405">
      <x:c r="A405" s="83" t="n">
        <x:v>404</x:v>
      </x:c>
      <x:c r="B405" s="84" t="n">
        <x:v>240</x:v>
      </x:c>
      <x:c r="C405" s="84" t="n">
        <x:v>29</x:v>
      </x:c>
      <x:c r="D405" s="89" t="n">
        <x:v>45449</x:v>
      </x:c>
      <x:c r="E405" s="84" t="n">
        <x:v>6</x:v>
      </x:c>
      <x:c r="F405" s="84" t="str">
        <x:v>Normal</x:v>
      </x:c>
      <x:c r="G405" s="93" t="n">
        <x:v>297.12</x:v>
      </x:c>
      <x:c r="H405" s="85" t="str">
        <x:v>Diagnóstico e execução</x:v>
      </x:c>
    </x:row>
    <x:row r="406">
      <x:c r="A406" s="83" t="n">
        <x:v>405</x:v>
      </x:c>
      <x:c r="B406" s="84" t="n">
        <x:v>242</x:v>
      </x:c>
      <x:c r="C406" s="84" t="n">
        <x:v>30</x:v>
      </x:c>
      <x:c r="D406" s="89" t="n">
        <x:v>45246</x:v>
      </x:c>
      <x:c r="E406" s="84" t="n">
        <x:v>4.8</x:v>
      </x:c>
      <x:c r="F406" s="84" t="str">
        <x:v>Normal</x:v>
      </x:c>
      <x:c r="G406" s="93" t="n">
        <x:v>198.77</x:v>
      </x:c>
      <x:c r="H406" s="85" t="str">
        <x:v>Diagnóstico e execução</x:v>
      </x:c>
    </x:row>
    <x:row r="407">
      <x:c r="A407" s="83" t="n">
        <x:v>406</x:v>
      </x:c>
      <x:c r="B407" s="84" t="n">
        <x:v>242</x:v>
      </x:c>
      <x:c r="C407" s="84" t="n">
        <x:v>10</x:v>
      </x:c>
      <x:c r="D407" s="89" t="n">
        <x:v>45246</x:v>
      </x:c>
      <x:c r="E407" s="84" t="n">
        <x:v>7.2</x:v>
      </x:c>
      <x:c r="F407" s="84" t="str">
        <x:v>Normal</x:v>
      </x:c>
      <x:c r="G407" s="93" t="n">
        <x:v>213.77</x:v>
      </x:c>
      <x:c r="H407" s="85" t="str">
        <x:v>Diagnóstico e execução</x:v>
      </x:c>
    </x:row>
    <x:row r="408">
      <x:c r="A408" s="83" t="n">
        <x:v>407</x:v>
      </x:c>
      <x:c r="B408" s="84" t="n">
        <x:v>243</x:v>
      </x:c>
      <x:c r="C408" s="84" t="n">
        <x:v>3</x:v>
      </x:c>
      <x:c r="D408" s="89" t="n">
        <x:v>45517</x:v>
      </x:c>
      <x:c r="E408" s="84" t="n">
        <x:v>5.2</x:v>
      </x:c>
      <x:c r="F408" s="84" t="str">
        <x:v>Normal</x:v>
      </x:c>
      <x:c r="G408" s="93" t="n">
        <x:v>256.05</x:v>
      </x:c>
      <x:c r="H408" s="85" t="str">
        <x:v>Diagnóstico e execução</x:v>
      </x:c>
    </x:row>
    <x:row r="409">
      <x:c r="A409" s="83" t="n">
        <x:v>408</x:v>
      </x:c>
      <x:c r="B409" s="84" t="n">
        <x:v>244</x:v>
      </x:c>
      <x:c r="C409" s="84" t="n">
        <x:v>24</x:v>
      </x:c>
      <x:c r="D409" s="89" t="n">
        <x:v>45650</x:v>
      </x:c>
      <x:c r="E409" s="84" t="n">
        <x:v>6.3</x:v>
      </x:c>
      <x:c r="F409" s="84" t="str">
        <x:v>Normal</x:v>
      </x:c>
      <x:c r="G409" s="93" t="n">
        <x:v>373.21</x:v>
      </x:c>
      <x:c r="H409" s="85" t="str">
        <x:v>Diagnóstico e execução</x:v>
      </x:c>
    </x:row>
    <x:row r="410">
      <x:c r="A410" s="83" t="n">
        <x:v>409</x:v>
      </x:c>
      <x:c r="B410" s="84" t="n">
        <x:v>245</x:v>
      </x:c>
      <x:c r="C410" s="84" t="n">
        <x:v>18</x:v>
      </x:c>
      <x:c r="D410" s="89" t="n">
        <x:v>45509</x:v>
      </x:c>
      <x:c r="E410" s="84" t="n">
        <x:v>1.7</x:v>
      </x:c>
      <x:c r="F410" s="84" t="str">
        <x:v>Normal</x:v>
      </x:c>
      <x:c r="G410" s="93" t="n">
        <x:v>107.25</x:v>
      </x:c>
      <x:c r="H410" s="85" t="str">
        <x:v>Diagnóstico e execução</x:v>
      </x:c>
    </x:row>
    <x:row r="411">
      <x:c r="A411" s="83" t="n">
        <x:v>410</x:v>
      </x:c>
      <x:c r="B411" s="84" t="n">
        <x:v>245</x:v>
      </x:c>
      <x:c r="C411" s="84" t="n">
        <x:v>40</x:v>
      </x:c>
      <x:c r="D411" s="89" t="n">
        <x:v>45509</x:v>
      </x:c>
      <x:c r="E411" s="84" t="n">
        <x:v>1.3</x:v>
      </x:c>
      <x:c r="F411" s="84" t="str">
        <x:v>Normal</x:v>
      </x:c>
      <x:c r="G411" s="93" t="n">
        <x:v>64.25</x:v>
      </x:c>
      <x:c r="H411" s="85" t="str">
        <x:v>Diagnóstico e execução</x:v>
      </x:c>
    </x:row>
    <x:row r="412">
      <x:c r="A412" s="83" t="n">
        <x:v>411</x:v>
      </x:c>
      <x:c r="B412" s="84" t="n">
        <x:v>245</x:v>
      </x:c>
      <x:c r="C412" s="84" t="n">
        <x:v>7</x:v>
      </x:c>
      <x:c r="D412" s="89" t="n">
        <x:v>45509</x:v>
      </x:c>
      <x:c r="E412" s="84" t="n">
        <x:v>5.8</x:v>
      </x:c>
      <x:c r="F412" s="84" t="str">
        <x:v>Normal</x:v>
      </x:c>
      <x:c r="G412" s="93" t="n">
        <x:v>337.62</x:v>
      </x:c>
      <x:c r="H412" s="85" t="str">
        <x:v>Diagnóstico e execução</x:v>
      </x:c>
    </x:row>
    <x:row r="413">
      <x:c r="A413" s="83" t="n">
        <x:v>412</x:v>
      </x:c>
      <x:c r="B413" s="84" t="n">
        <x:v>246</x:v>
      </x:c>
      <x:c r="C413" s="84" t="n">
        <x:v>2</x:v>
      </x:c>
      <x:c r="D413" s="89" t="n">
        <x:v>45464</x:v>
      </x:c>
      <x:c r="E413" s="84" t="n">
        <x:v>2</x:v>
      </x:c>
      <x:c r="F413" s="84" t="str">
        <x:v>Normal</x:v>
      </x:c>
      <x:c r="G413" s="93" t="n">
        <x:v>74.52</x:v>
      </x:c>
      <x:c r="H413" s="85" t="str">
        <x:v>Diagnóstico e execução</x:v>
      </x:c>
    </x:row>
    <x:row r="414">
      <x:c r="A414" s="83" t="n">
        <x:v>413</x:v>
      </x:c>
      <x:c r="B414" s="84" t="n">
        <x:v>246</x:v>
      </x:c>
      <x:c r="C414" s="84" t="n">
        <x:v>1</x:v>
      </x:c>
      <x:c r="D414" s="89" t="n">
        <x:v>45464</x:v>
      </x:c>
      <x:c r="E414" s="84" t="n">
        <x:v>5.5</x:v>
      </x:c>
      <x:c r="F414" s="84" t="str">
        <x:v>Normal</x:v>
      </x:c>
      <x:c r="G414" s="93" t="n">
        <x:v>194.53</x:v>
      </x:c>
      <x:c r="H414" s="85" t="str">
        <x:v>Diagnóstico e execução</x:v>
      </x:c>
    </x:row>
    <x:row r="415">
      <x:c r="A415" s="83" t="n">
        <x:v>414</x:v>
      </x:c>
      <x:c r="B415" s="84" t="n">
        <x:v>246</x:v>
      </x:c>
      <x:c r="C415" s="84" t="n">
        <x:v>43</x:v>
      </x:c>
      <x:c r="D415" s="89" t="n">
        <x:v>45464</x:v>
      </x:c>
      <x:c r="E415" s="84" t="n">
        <x:v>6.5</x:v>
      </x:c>
      <x:c r="F415" s="84" t="str">
        <x:v>Normal</x:v>
      </x:c>
      <x:c r="G415" s="93" t="n">
        <x:v>355.29</x:v>
      </x:c>
      <x:c r="H415" s="85" t="str">
        <x:v>Diagnóstico e execução</x:v>
      </x:c>
    </x:row>
    <x:row r="416">
      <x:c r="A416" s="83" t="n">
        <x:v>415</x:v>
      </x:c>
      <x:c r="B416" s="84" t="n">
        <x:v>247</x:v>
      </x:c>
      <x:c r="C416" s="84" t="n">
        <x:v>18</x:v>
      </x:c>
      <x:c r="D416" s="89" t="n">
        <x:v>45812</x:v>
      </x:c>
      <x:c r="E416" s="84" t="n">
        <x:v>4.7</x:v>
      </x:c>
      <x:c r="F416" s="84" t="str">
        <x:v>Normal</x:v>
      </x:c>
      <x:c r="G416" s="93" t="n">
        <x:v>296.52</x:v>
      </x:c>
      <x:c r="H416" s="85" t="str">
        <x:v>Diagnóstico e execução</x:v>
      </x:c>
    </x:row>
    <x:row r="417">
      <x:c r="A417" s="83" t="n">
        <x:v>416</x:v>
      </x:c>
      <x:c r="B417" s="84" t="n">
        <x:v>248</x:v>
      </x:c>
      <x:c r="C417" s="84" t="n">
        <x:v>10</x:v>
      </x:c>
      <x:c r="D417" s="89" t="n">
        <x:v>45808</x:v>
      </x:c>
      <x:c r="E417" s="84" t="n">
        <x:v>7.6</x:v>
      </x:c>
      <x:c r="F417" s="84" t="str">
        <x:v>Normal</x:v>
      </x:c>
      <x:c r="G417" s="93" t="n">
        <x:v>225.64</x:v>
      </x:c>
      <x:c r="H417" s="85" t="str">
        <x:v>Diagnóstico e execução</x:v>
      </x:c>
    </x:row>
    <x:row r="418">
      <x:c r="A418" s="83" t="n">
        <x:v>417</x:v>
      </x:c>
      <x:c r="B418" s="84" t="n">
        <x:v>248</x:v>
      </x:c>
      <x:c r="C418" s="84" t="n">
        <x:v>3</x:v>
      </x:c>
      <x:c r="D418" s="89" t="n">
        <x:v>45808</x:v>
      </x:c>
      <x:c r="E418" s="84" t="n">
        <x:v>2.4</x:v>
      </x:c>
      <x:c r="F418" s="84" t="str">
        <x:v>Normal</x:v>
      </x:c>
      <x:c r="G418" s="93" t="n">
        <x:v>118.18</x:v>
      </x:c>
      <x:c r="H418" s="85" t="str">
        <x:v>Diagnóstico e execução</x:v>
      </x:c>
    </x:row>
    <x:row r="419">
      <x:c r="A419" s="83" t="n">
        <x:v>418</x:v>
      </x:c>
      <x:c r="B419" s="84" t="n">
        <x:v>250</x:v>
      </x:c>
      <x:c r="C419" s="84" t="n">
        <x:v>23</x:v>
      </x:c>
      <x:c r="D419" s="89" t="n">
        <x:v>45693</x:v>
      </x:c>
      <x:c r="E419" s="84" t="n">
        <x:v>3.6</x:v>
      </x:c>
      <x:c r="F419" s="84" t="str">
        <x:v>Normal</x:v>
      </x:c>
      <x:c r="G419" s="93" t="n">
        <x:v>155.2</x:v>
      </x:c>
      <x:c r="H419" s="85" t="str">
        <x:v>Diagnóstico e execução</x:v>
      </x:c>
    </x:row>
    <x:row r="420">
      <x:c r="A420" s="83" t="n">
        <x:v>419</x:v>
      </x:c>
      <x:c r="B420" s="84" t="n">
        <x:v>250</x:v>
      </x:c>
      <x:c r="C420" s="84" t="n">
        <x:v>19</x:v>
      </x:c>
      <x:c r="D420" s="89" t="n">
        <x:v>45693</x:v>
      </x:c>
      <x:c r="E420" s="84" t="n">
        <x:v>1.4</x:v>
      </x:c>
      <x:c r="F420" s="84" t="str">
        <x:v>Normal</x:v>
      </x:c>
      <x:c r="G420" s="93" t="n">
        <x:v>65.07</x:v>
      </x:c>
      <x:c r="H420" s="85" t="str">
        <x:v>Diagnóstico e execução</x:v>
      </x:c>
    </x:row>
    <x:row r="421">
      <x:c r="A421" s="83" t="n">
        <x:v>420</x:v>
      </x:c>
      <x:c r="B421" s="84" t="n">
        <x:v>250</x:v>
      </x:c>
      <x:c r="C421" s="84" t="n">
        <x:v>15</x:v>
      </x:c>
      <x:c r="D421" s="89" t="n">
        <x:v>45693</x:v>
      </x:c>
      <x:c r="E421" s="84" t="n">
        <x:v>4.5</x:v>
      </x:c>
      <x:c r="F421" s="84" t="str">
        <x:v>Normal</x:v>
      </x:c>
      <x:c r="G421" s="93" t="n">
        <x:v>136.08</x:v>
      </x:c>
      <x:c r="H421" s="85" t="str">
        <x:v>Diagnóstico e execução</x:v>
      </x:c>
    </x:row>
    <x:row r="422">
      <x:c r="A422" s="83" t="n">
        <x:v>421</x:v>
      </x:c>
      <x:c r="B422" s="84" t="n">
        <x:v>251</x:v>
      </x:c>
      <x:c r="C422" s="84" t="n">
        <x:v>14</x:v>
      </x:c>
      <x:c r="D422" s="89" t="n">
        <x:v>45273</x:v>
      </x:c>
      <x:c r="E422" s="84" t="n">
        <x:v>5.2</x:v>
      </x:c>
      <x:c r="F422" s="84" t="str">
        <x:v>Normal</x:v>
      </x:c>
      <x:c r="G422" s="93" t="n">
        <x:v>294.63</x:v>
      </x:c>
      <x:c r="H422" s="85" t="str">
        <x:v>Diagnóstico e execução</x:v>
      </x:c>
    </x:row>
    <x:row r="423">
      <x:c r="A423" s="83" t="n">
        <x:v>422</x:v>
      </x:c>
      <x:c r="B423" s="84" t="n">
        <x:v>251</x:v>
      </x:c>
      <x:c r="C423" s="84" t="n">
        <x:v>1</x:v>
      </x:c>
      <x:c r="D423" s="89" t="n">
        <x:v>45273</x:v>
      </x:c>
      <x:c r="E423" s="84" t="n">
        <x:v>4.5</x:v>
      </x:c>
      <x:c r="F423" s="84" t="str">
        <x:v>Normal</x:v>
      </x:c>
      <x:c r="G423" s="93" t="n">
        <x:v>159.16</x:v>
      </x:c>
      <x:c r="H423" s="85" t="str">
        <x:v>Diagnóstico e execução</x:v>
      </x:c>
    </x:row>
    <x:row r="424">
      <x:c r="A424" s="83" t="n">
        <x:v>423</x:v>
      </x:c>
      <x:c r="B424" s="84" t="n">
        <x:v>252</x:v>
      </x:c>
      <x:c r="C424" s="84" t="n">
        <x:v>5</x:v>
      </x:c>
      <x:c r="D424" s="89" t="n">
        <x:v>45689</x:v>
      </x:c>
      <x:c r="E424" s="84" t="n">
        <x:v>1.3</x:v>
      </x:c>
      <x:c r="F424" s="84" t="str">
        <x:v>Normal</x:v>
      </x:c>
      <x:c r="G424" s="93" t="n">
        <x:v>37.47</x:v>
      </x:c>
      <x:c r="H424" s="85" t="str">
        <x:v>Diagnóstico e execução</x:v>
      </x:c>
    </x:row>
    <x:row r="425">
      <x:c r="A425" s="83" t="n">
        <x:v>424</x:v>
      </x:c>
      <x:c r="B425" s="84" t="n">
        <x:v>253</x:v>
      </x:c>
      <x:c r="C425" s="84" t="n">
        <x:v>31</x:v>
      </x:c>
      <x:c r="D425" s="89" t="n">
        <x:v>45204</x:v>
      </x:c>
      <x:c r="E425" s="84" t="n">
        <x:v>3.2</x:v>
      </x:c>
      <x:c r="F425" s="84" t="str">
        <x:v>Normal</x:v>
      </x:c>
      <x:c r="G425" s="93" t="n">
        <x:v>156.48</x:v>
      </x:c>
      <x:c r="H425" s="85" t="str">
        <x:v>Diagnóstico e execução</x:v>
      </x:c>
    </x:row>
    <x:row r="426">
      <x:c r="A426" s="83" t="n">
        <x:v>425</x:v>
      </x:c>
      <x:c r="B426" s="84" t="n">
        <x:v>254</x:v>
      </x:c>
      <x:c r="C426" s="84" t="n">
        <x:v>1</x:v>
      </x:c>
      <x:c r="D426" s="89" t="n">
        <x:v>45082</x:v>
      </x:c>
      <x:c r="E426" s="84" t="n">
        <x:v>3.8</x:v>
      </x:c>
      <x:c r="F426" s="84" t="str">
        <x:v>Normal</x:v>
      </x:c>
      <x:c r="G426" s="93" t="n">
        <x:v>134.41</x:v>
      </x:c>
      <x:c r="H426" s="85" t="str">
        <x:v>Diagnóstico e execução</x:v>
      </x:c>
    </x:row>
    <x:row r="427">
      <x:c r="A427" s="83" t="n">
        <x:v>426</x:v>
      </x:c>
      <x:c r="B427" s="84" t="n">
        <x:v>254</x:v>
      </x:c>
      <x:c r="C427" s="84" t="n">
        <x:v>34</x:v>
      </x:c>
      <x:c r="D427" s="89" t="n">
        <x:v>45082</x:v>
      </x:c>
      <x:c r="E427" s="84" t="n">
        <x:v>2.8</x:v>
      </x:c>
      <x:c r="F427" s="84" t="str">
        <x:v>Normal</x:v>
      </x:c>
      <x:c r="G427" s="93" t="n">
        <x:v>121.04</x:v>
      </x:c>
      <x:c r="H427" s="85" t="str">
        <x:v>Diagnóstico e execução</x:v>
      </x:c>
    </x:row>
    <x:row r="428">
      <x:c r="A428" s="83" t="n">
        <x:v>427</x:v>
      </x:c>
      <x:c r="B428" s="84" t="n">
        <x:v>254</x:v>
      </x:c>
      <x:c r="C428" s="84" t="n">
        <x:v>37</x:v>
      </x:c>
      <x:c r="D428" s="89" t="n">
        <x:v>45082</x:v>
      </x:c>
      <x:c r="E428" s="84" t="n">
        <x:v>4.5</x:v>
      </x:c>
      <x:c r="F428" s="84" t="str">
        <x:v>Normal</x:v>
      </x:c>
      <x:c r="G428" s="93" t="n">
        <x:v>265.37</x:v>
      </x:c>
      <x:c r="H428" s="85" t="str">
        <x:v>Diagnóstico e execução</x:v>
      </x:c>
    </x:row>
    <x:row r="429">
      <x:c r="A429" s="83" t="n">
        <x:v>428</x:v>
      </x:c>
      <x:c r="B429" s="84" t="n">
        <x:v>256</x:v>
      </x:c>
      <x:c r="C429" s="84" t="n">
        <x:v>9</x:v>
      </x:c>
      <x:c r="D429" s="89" t="n">
        <x:v>45703</x:v>
      </x:c>
      <x:c r="E429" s="84" t="n">
        <x:v>7.1</x:v>
      </x:c>
      <x:c r="F429" s="84" t="str">
        <x:v>Normal</x:v>
      </x:c>
      <x:c r="G429" s="93" t="n">
        <x:v>373.96</x:v>
      </x:c>
      <x:c r="H429" s="85" t="str">
        <x:v>Diagnóstico e execução</x:v>
      </x:c>
    </x:row>
    <x:row r="430">
      <x:c r="A430" s="83" t="n">
        <x:v>429</x:v>
      </x:c>
      <x:c r="B430" s="84" t="n">
        <x:v>256</x:v>
      </x:c>
      <x:c r="C430" s="84" t="n">
        <x:v>32</x:v>
      </x:c>
      <x:c r="D430" s="89" t="n">
        <x:v>45703</x:v>
      </x:c>
      <x:c r="E430" s="84" t="n">
        <x:v>7.8</x:v>
      </x:c>
      <x:c r="F430" s="84" t="str">
        <x:v>Normal</x:v>
      </x:c>
      <x:c r="G430" s="93" t="n">
        <x:v>340.47</x:v>
      </x:c>
      <x:c r="H430" s="85" t="str">
        <x:v>Diagnóstico e execução</x:v>
      </x:c>
    </x:row>
    <x:row r="431">
      <x:c r="A431" s="83" t="n">
        <x:v>430</x:v>
      </x:c>
      <x:c r="B431" s="84" t="n">
        <x:v>256</x:v>
      </x:c>
      <x:c r="C431" s="84" t="n">
        <x:v>41</x:v>
      </x:c>
      <x:c r="D431" s="89" t="n">
        <x:v>45703</x:v>
      </x:c>
      <x:c r="E431" s="84" t="n">
        <x:v>6.7</x:v>
      </x:c>
      <x:c r="F431" s="84" t="str">
        <x:v>Normal</x:v>
      </x:c>
      <x:c r="G431" s="93" t="n">
        <x:v>338.89</x:v>
      </x:c>
      <x:c r="H431" s="85" t="str">
        <x:v>Diagnóstico e execução</x:v>
      </x:c>
    </x:row>
    <x:row r="432">
      <x:c r="A432" s="83" t="n">
        <x:v>431</x:v>
      </x:c>
      <x:c r="B432" s="84" t="n">
        <x:v>257</x:v>
      </x:c>
      <x:c r="C432" s="84" t="n">
        <x:v>36</x:v>
      </x:c>
      <x:c r="D432" s="89" t="n">
        <x:v>45869</x:v>
      </x:c>
      <x:c r="E432" s="84" t="n">
        <x:v>5.6</x:v>
      </x:c>
      <x:c r="F432" s="84" t="str">
        <x:v>Normal</x:v>
      </x:c>
      <x:c r="G432" s="93" t="n">
        <x:v>166.1</x:v>
      </x:c>
      <x:c r="H432" s="85" t="str">
        <x:v>Diagnóstico e execução</x:v>
      </x:c>
    </x:row>
    <x:row r="433">
      <x:c r="A433" s="83" t="n">
        <x:v>432</x:v>
      </x:c>
      <x:c r="B433" s="84" t="n">
        <x:v>257</x:v>
      </x:c>
      <x:c r="C433" s="84" t="n">
        <x:v>31</x:v>
      </x:c>
      <x:c r="D433" s="89" t="n">
        <x:v>45869</x:v>
      </x:c>
      <x:c r="E433" s="84" t="n">
        <x:v>7</x:v>
      </x:c>
      <x:c r="F433" s="84" t="str">
        <x:v>Normal</x:v>
      </x:c>
      <x:c r="G433" s="93" t="n">
        <x:v>342.3</x:v>
      </x:c>
      <x:c r="H433" s="85" t="str">
        <x:v>Diagnóstico e execução</x:v>
      </x:c>
    </x:row>
    <x:row r="434">
      <x:c r="A434" s="83" t="n">
        <x:v>433</x:v>
      </x:c>
      <x:c r="B434" s="84" t="n">
        <x:v>257</x:v>
      </x:c>
      <x:c r="C434" s="84" t="n">
        <x:v>3</x:v>
      </x:c>
      <x:c r="D434" s="89" t="n">
        <x:v>45869</x:v>
      </x:c>
      <x:c r="E434" s="84" t="n">
        <x:v>2.2</x:v>
      </x:c>
      <x:c r="F434" s="84" t="str">
        <x:v>Normal</x:v>
      </x:c>
      <x:c r="G434" s="93" t="n">
        <x:v>108.33</x:v>
      </x:c>
      <x:c r="H434" s="85" t="str">
        <x:v>Diagnóstico e execução</x:v>
      </x:c>
    </x:row>
    <x:row r="435">
      <x:c r="A435" s="83" t="n">
        <x:v>434</x:v>
      </x:c>
      <x:c r="B435" s="84" t="n">
        <x:v>258</x:v>
      </x:c>
      <x:c r="C435" s="84" t="n">
        <x:v>33</x:v>
      </x:c>
      <x:c r="D435" s="89" t="n">
        <x:v>45458</x:v>
      </x:c>
      <x:c r="E435" s="84" t="n">
        <x:v>5.9</x:v>
      </x:c>
      <x:c r="F435" s="84" t="str">
        <x:v>Normal</x:v>
      </x:c>
      <x:c r="G435" s="93" t="n">
        <x:v>203.49</x:v>
      </x:c>
      <x:c r="H435" s="85" t="str">
        <x:v>Diagnóstico e execução</x:v>
      </x:c>
    </x:row>
    <x:row r="436">
      <x:c r="A436" s="83" t="n">
        <x:v>435</x:v>
      </x:c>
      <x:c r="B436" s="84" t="n">
        <x:v>258</x:v>
      </x:c>
      <x:c r="C436" s="84" t="n">
        <x:v>25</x:v>
      </x:c>
      <x:c r="D436" s="89" t="n">
        <x:v>45458</x:v>
      </x:c>
      <x:c r="E436" s="84" t="n">
        <x:v>2.6</x:v>
      </x:c>
      <x:c r="F436" s="84" t="str">
        <x:v>Normal</x:v>
      </x:c>
      <x:c r="G436" s="93" t="n">
        <x:v>139.33</x:v>
      </x:c>
      <x:c r="H436" s="85" t="str">
        <x:v>Diagnóstico e execução</x:v>
      </x:c>
    </x:row>
    <x:row r="437">
      <x:c r="A437" s="83" t="n">
        <x:v>436</x:v>
      </x:c>
      <x:c r="B437" s="84" t="n">
        <x:v>258</x:v>
      </x:c>
      <x:c r="C437" s="84" t="n">
        <x:v>22</x:v>
      </x:c>
      <x:c r="D437" s="89" t="n">
        <x:v>45458</x:v>
      </x:c>
      <x:c r="E437" s="84" t="n">
        <x:v>3.8</x:v>
      </x:c>
      <x:c r="F437" s="84" t="str">
        <x:v>Normal</x:v>
      </x:c>
      <x:c r="G437" s="93" t="n">
        <x:v>146.15</x:v>
      </x:c>
      <x:c r="H437" s="85" t="str">
        <x:v>Diagnóstico e execução</x:v>
      </x:c>
    </x:row>
    <x:row r="438">
      <x:c r="A438" s="83" t="n">
        <x:v>437</x:v>
      </x:c>
      <x:c r="B438" s="84" t="n">
        <x:v>259</x:v>
      </x:c>
      <x:c r="C438" s="84" t="n">
        <x:v>12</x:v>
      </x:c>
      <x:c r="D438" s="89" t="n">
        <x:v>45221</x:v>
      </x:c>
      <x:c r="E438" s="84" t="n">
        <x:v>4.9</x:v>
      </x:c>
      <x:c r="F438" s="84" t="str">
        <x:v>Normal</x:v>
      </x:c>
      <x:c r="G438" s="93" t="n">
        <x:v>169.05</x:v>
      </x:c>
      <x:c r="H438" s="85" t="str">
        <x:v>Diagnóstico e execução</x:v>
      </x:c>
    </x:row>
    <x:row r="439">
      <x:c r="A439" s="83" t="n">
        <x:v>438</x:v>
      </x:c>
      <x:c r="B439" s="84" t="n">
        <x:v>259</x:v>
      </x:c>
      <x:c r="C439" s="84" t="n">
        <x:v>27</x:v>
      </x:c>
      <x:c r="D439" s="89" t="n">
        <x:v>45221</x:v>
      </x:c>
      <x:c r="E439" s="84" t="n">
        <x:v>7.2</x:v>
      </x:c>
      <x:c r="F439" s="84" t="str">
        <x:v>Normal</x:v>
      </x:c>
      <x:c r="G439" s="93" t="n">
        <x:v>439.13</x:v>
      </x:c>
      <x:c r="H439" s="85" t="str">
        <x:v>Diagnóstico e execução</x:v>
      </x:c>
    </x:row>
    <x:row r="440">
      <x:c r="A440" s="83" t="n">
        <x:v>439</x:v>
      </x:c>
      <x:c r="B440" s="84" t="n">
        <x:v>259</x:v>
      </x:c>
      <x:c r="C440" s="84" t="n">
        <x:v>19</x:v>
      </x:c>
      <x:c r="D440" s="89" t="n">
        <x:v>45221</x:v>
      </x:c>
      <x:c r="E440" s="84" t="n">
        <x:v>7.9</x:v>
      </x:c>
      <x:c r="F440" s="84" t="str">
        <x:v>Normal</x:v>
      </x:c>
      <x:c r="G440" s="93" t="n">
        <x:v>367.19</x:v>
      </x:c>
      <x:c r="H440" s="85" t="str">
        <x:v>Diagnóstico e execução</x:v>
      </x:c>
    </x:row>
    <x:row r="441">
      <x:c r="A441" s="83" t="n">
        <x:v>440</x:v>
      </x:c>
      <x:c r="B441" s="84" t="n">
        <x:v>262</x:v>
      </x:c>
      <x:c r="C441" s="84" t="n">
        <x:v>20</x:v>
      </x:c>
      <x:c r="D441" s="89" t="n">
        <x:v>45082</x:v>
      </x:c>
      <x:c r="E441" s="84" t="n">
        <x:v>2.5</x:v>
      </x:c>
      <x:c r="F441" s="84" t="str">
        <x:v>Normal</x:v>
      </x:c>
      <x:c r="G441" s="93" t="n">
        <x:v>83.8</x:v>
      </x:c>
      <x:c r="H441" s="85" t="str">
        <x:v>Diagnóstico e execução</x:v>
      </x:c>
    </x:row>
    <x:row r="442">
      <x:c r="A442" s="83" t="n">
        <x:v>441</x:v>
      </x:c>
      <x:c r="B442" s="84" t="n">
        <x:v>262</x:v>
      </x:c>
      <x:c r="C442" s="84" t="n">
        <x:v>42</x:v>
      </x:c>
      <x:c r="D442" s="89" t="n">
        <x:v>45082</x:v>
      </x:c>
      <x:c r="E442" s="84" t="n">
        <x:v>4.6</x:v>
      </x:c>
      <x:c r="F442" s="84" t="str">
        <x:v>Normal</x:v>
      </x:c>
      <x:c r="G442" s="93" t="n">
        <x:v>194.03</x:v>
      </x:c>
      <x:c r="H442" s="85" t="str">
        <x:v>Diagnóstico e execução</x:v>
      </x:c>
    </x:row>
    <x:row r="443">
      <x:c r="A443" s="83" t="n">
        <x:v>442</x:v>
      </x:c>
      <x:c r="B443" s="84" t="n">
        <x:v>262</x:v>
      </x:c>
      <x:c r="C443" s="84" t="n">
        <x:v>32</x:v>
      </x:c>
      <x:c r="D443" s="89" t="n">
        <x:v>45082</x:v>
      </x:c>
      <x:c r="E443" s="84" t="n">
        <x:v>1.7</x:v>
      </x:c>
      <x:c r="F443" s="84" t="str">
        <x:v>Normal</x:v>
      </x:c>
      <x:c r="G443" s="93" t="n">
        <x:v>74.2</x:v>
      </x:c>
      <x:c r="H443" s="85" t="str">
        <x:v>Diagnóstico e execução</x:v>
      </x:c>
    </x:row>
    <x:row r="444">
      <x:c r="A444" s="83" t="n">
        <x:v>443</x:v>
      </x:c>
      <x:c r="B444" s="84" t="n">
        <x:v>263</x:v>
      </x:c>
      <x:c r="C444" s="84" t="n">
        <x:v>20</x:v>
      </x:c>
      <x:c r="D444" s="89" t="n">
        <x:v>45377</x:v>
      </x:c>
      <x:c r="E444" s="84" t="n">
        <x:v>2.8</x:v>
      </x:c>
      <x:c r="F444" s="84" t="str">
        <x:v>Normal</x:v>
      </x:c>
      <x:c r="G444" s="93" t="n">
        <x:v>93.86</x:v>
      </x:c>
      <x:c r="H444" s="85" t="str">
        <x:v>Diagnóstico e execução</x:v>
      </x:c>
    </x:row>
    <x:row r="445">
      <x:c r="A445" s="83" t="n">
        <x:v>444</x:v>
      </x:c>
      <x:c r="B445" s="84" t="n">
        <x:v>265</x:v>
      </x:c>
      <x:c r="C445" s="84" t="n">
        <x:v>2</x:v>
      </x:c>
      <x:c r="D445" s="89" t="n">
        <x:v>45366</x:v>
      </x:c>
      <x:c r="E445" s="84" t="n">
        <x:v>7.8</x:v>
      </x:c>
      <x:c r="F445" s="84" t="str">
        <x:v>Normal</x:v>
      </x:c>
      <x:c r="G445" s="93" t="n">
        <x:v>290.63</x:v>
      </x:c>
      <x:c r="H445" s="85" t="str">
        <x:v>Diagnóstico e execução</x:v>
      </x:c>
    </x:row>
    <x:row r="446">
      <x:c r="A446" s="83" t="n">
        <x:v>445</x:v>
      </x:c>
      <x:c r="B446" s="84" t="n">
        <x:v>265</x:v>
      </x:c>
      <x:c r="C446" s="84" t="n">
        <x:v>25</x:v>
      </x:c>
      <x:c r="D446" s="89" t="n">
        <x:v>45366</x:v>
      </x:c>
      <x:c r="E446" s="84" t="n">
        <x:v>7.4</x:v>
      </x:c>
      <x:c r="F446" s="84" t="str">
        <x:v>Normal</x:v>
      </x:c>
      <x:c r="G446" s="93" t="n">
        <x:v>396.57</x:v>
      </x:c>
      <x:c r="H446" s="85" t="str">
        <x:v>Diagnóstico e execução</x:v>
      </x:c>
    </x:row>
    <x:row r="447">
      <x:c r="A447" s="83" t="n">
        <x:v>446</x:v>
      </x:c>
      <x:c r="B447" s="84" t="n">
        <x:v>266</x:v>
      </x:c>
      <x:c r="C447" s="84" t="n">
        <x:v>16</x:v>
      </x:c>
      <x:c r="D447" s="89" t="n">
        <x:v>45272</x:v>
      </x:c>
      <x:c r="E447" s="84" t="n">
        <x:v>1.9</x:v>
      </x:c>
      <x:c r="F447" s="84" t="str">
        <x:v>Normal</x:v>
      </x:c>
      <x:c r="G447" s="93" t="n">
        <x:v>76.99</x:v>
      </x:c>
      <x:c r="H447" s="85" t="str">
        <x:v>Diagnóstico e execução</x:v>
      </x:c>
    </x:row>
    <x:row r="448">
      <x:c r="A448" s="83" t="n">
        <x:v>447</x:v>
      </x:c>
      <x:c r="B448" s="84" t="n">
        <x:v>266</x:v>
      </x:c>
      <x:c r="C448" s="84" t="n">
        <x:v>5</x:v>
      </x:c>
      <x:c r="D448" s="89" t="n">
        <x:v>45272</x:v>
      </x:c>
      <x:c r="E448" s="84" t="n">
        <x:v>2.4</x:v>
      </x:c>
      <x:c r="F448" s="84" t="str">
        <x:v>Normal</x:v>
      </x:c>
      <x:c r="G448" s="93" t="n">
        <x:v>69.17</x:v>
      </x:c>
      <x:c r="H448" s="85" t="str">
        <x:v>Diagnóstico e execução</x:v>
      </x:c>
    </x:row>
    <x:row r="449">
      <x:c r="A449" s="83" t="n">
        <x:v>448</x:v>
      </x:c>
      <x:c r="B449" s="84" t="n">
        <x:v>267</x:v>
      </x:c>
      <x:c r="C449" s="84" t="n">
        <x:v>12</x:v>
      </x:c>
      <x:c r="D449" s="89" t="n">
        <x:v>45385</x:v>
      </x:c>
      <x:c r="E449" s="84" t="n">
        <x:v>3.9</x:v>
      </x:c>
      <x:c r="F449" s="84" t="str">
        <x:v>Normal</x:v>
      </x:c>
      <x:c r="G449" s="93" t="n">
        <x:v>134.55</x:v>
      </x:c>
      <x:c r="H449" s="85" t="str">
        <x:v>Diagnóstico e execução</x:v>
      </x:c>
    </x:row>
    <x:row r="450">
      <x:c r="A450" s="83" t="n">
        <x:v>449</x:v>
      </x:c>
      <x:c r="B450" s="84" t="n">
        <x:v>268</x:v>
      </x:c>
      <x:c r="C450" s="84" t="n">
        <x:v>43</x:v>
      </x:c>
      <x:c r="D450" s="89" t="n">
        <x:v>45192</x:v>
      </x:c>
      <x:c r="E450" s="84" t="n">
        <x:v>6.7</x:v>
      </x:c>
      <x:c r="F450" s="84" t="str">
        <x:v>Normal</x:v>
      </x:c>
      <x:c r="G450" s="93" t="n">
        <x:v>366.22</x:v>
      </x:c>
      <x:c r="H450" s="85" t="str">
        <x:v>Diagnóstico e execução</x:v>
      </x:c>
    </x:row>
    <x:row r="451">
      <x:c r="A451" s="83" t="n">
        <x:v>450</x:v>
      </x:c>
      <x:c r="B451" s="84" t="n">
        <x:v>269</x:v>
      </x:c>
      <x:c r="C451" s="84" t="n">
        <x:v>38</x:v>
      </x:c>
      <x:c r="D451" s="89" t="n">
        <x:v>45947</x:v>
      </x:c>
      <x:c r="E451" s="84" t="n">
        <x:v>0.9</x:v>
      </x:c>
      <x:c r="F451" s="84" t="str">
        <x:v>Normal</x:v>
      </x:c>
      <x:c r="G451" s="93" t="n">
        <x:v>30.3</x:v>
      </x:c>
      <x:c r="H451" s="85" t="str">
        <x:v>Diagnóstico e execução</x:v>
      </x:c>
    </x:row>
    <x:row r="452">
      <x:c r="A452" s="83" t="n">
        <x:v>451</x:v>
      </x:c>
      <x:c r="B452" s="84" t="n">
        <x:v>269</x:v>
      </x:c>
      <x:c r="C452" s="84" t="n">
        <x:v>32</x:v>
      </x:c>
      <x:c r="D452" s="89" t="n">
        <x:v>45947</x:v>
      </x:c>
      <x:c r="E452" s="84" t="n">
        <x:v>4.5</x:v>
      </x:c>
      <x:c r="F452" s="84" t="str">
        <x:v>Normal</x:v>
      </x:c>
      <x:c r="G452" s="93" t="n">
        <x:v>196.42</x:v>
      </x:c>
      <x:c r="H452" s="85" t="str">
        <x:v>Diagnóstico e execução</x:v>
      </x:c>
    </x:row>
    <x:row r="453">
      <x:c r="A453" s="83" t="n">
        <x:v>452</x:v>
      </x:c>
      <x:c r="B453" s="84" t="n">
        <x:v>272</x:v>
      </x:c>
      <x:c r="C453" s="84" t="n">
        <x:v>15</x:v>
      </x:c>
      <x:c r="D453" s="89" t="n">
        <x:v>45519</x:v>
      </x:c>
      <x:c r="E453" s="84" t="n">
        <x:v>2.4</x:v>
      </x:c>
      <x:c r="F453" s="84" t="str">
        <x:v>Normal</x:v>
      </x:c>
      <x:c r="G453" s="93" t="n">
        <x:v>72.58</x:v>
      </x:c>
      <x:c r="H453" s="85" t="str">
        <x:v>Diagnóstico e execução</x:v>
      </x:c>
    </x:row>
    <x:row r="454">
      <x:c r="A454" s="83" t="n">
        <x:v>453</x:v>
      </x:c>
      <x:c r="B454" s="84" t="n">
        <x:v>272</x:v>
      </x:c>
      <x:c r="C454" s="84" t="n">
        <x:v>42</x:v>
      </x:c>
      <x:c r="D454" s="89" t="n">
        <x:v>45519</x:v>
      </x:c>
      <x:c r="E454" s="84" t="n">
        <x:v>1.4</x:v>
      </x:c>
      <x:c r="F454" s="84" t="str">
        <x:v>Normal</x:v>
      </x:c>
      <x:c r="G454" s="93" t="n">
        <x:v>59.05</x:v>
      </x:c>
      <x:c r="H454" s="85" t="str">
        <x:v>Diagnóstico e execução</x:v>
      </x:c>
    </x:row>
    <x:row r="455">
      <x:c r="A455" s="83" t="n">
        <x:v>454</x:v>
      </x:c>
      <x:c r="B455" s="84" t="n">
        <x:v>272</x:v>
      </x:c>
      <x:c r="C455" s="84" t="n">
        <x:v>1</x:v>
      </x:c>
      <x:c r="D455" s="89" t="n">
        <x:v>45519</x:v>
      </x:c>
      <x:c r="E455" s="84" t="n">
        <x:v>2.7</x:v>
      </x:c>
      <x:c r="F455" s="84" t="str">
        <x:v>Normal</x:v>
      </x:c>
      <x:c r="G455" s="93" t="n">
        <x:v>95.5</x:v>
      </x:c>
      <x:c r="H455" s="85" t="str">
        <x:v>Diagnóstico e execução</x:v>
      </x:c>
    </x:row>
    <x:row r="456">
      <x:c r="A456" s="83" t="n">
        <x:v>455</x:v>
      </x:c>
      <x:c r="B456" s="84" t="n">
        <x:v>273</x:v>
      </x:c>
      <x:c r="C456" s="84" t="n">
        <x:v>18</x:v>
      </x:c>
      <x:c r="D456" s="89" t="n">
        <x:v>45814</x:v>
      </x:c>
      <x:c r="E456" s="84" t="n">
        <x:v>1.3</x:v>
      </x:c>
      <x:c r="F456" s="84" t="str">
        <x:v>Normal</x:v>
      </x:c>
      <x:c r="G456" s="93" t="n">
        <x:v>82.02</x:v>
      </x:c>
      <x:c r="H456" s="85" t="str">
        <x:v>Diagnóstico e execução</x:v>
      </x:c>
    </x:row>
    <x:row r="457">
      <x:c r="A457" s="83" t="n">
        <x:v>456</x:v>
      </x:c>
      <x:c r="B457" s="84" t="n">
        <x:v>274</x:v>
      </x:c>
      <x:c r="C457" s="84" t="n">
        <x:v>30</x:v>
      </x:c>
      <x:c r="D457" s="89" t="n">
        <x:v>45891</x:v>
      </x:c>
      <x:c r="E457" s="84" t="n">
        <x:v>2</x:v>
      </x:c>
      <x:c r="F457" s="84" t="str">
        <x:v>Normal</x:v>
      </x:c>
      <x:c r="G457" s="93" t="n">
        <x:v>82.82</x:v>
      </x:c>
      <x:c r="H457" s="85" t="str">
        <x:v>Diagnóstico e execução</x:v>
      </x:c>
    </x:row>
    <x:row r="458">
      <x:c r="A458" s="83" t="n">
        <x:v>457</x:v>
      </x:c>
      <x:c r="B458" s="84" t="n">
        <x:v>275</x:v>
      </x:c>
      <x:c r="C458" s="84" t="n">
        <x:v>8</x:v>
      </x:c>
      <x:c r="D458" s="89" t="n">
        <x:v>45727</x:v>
      </x:c>
      <x:c r="E458" s="84" t="n">
        <x:v>7</x:v>
      </x:c>
      <x:c r="F458" s="84" t="str">
        <x:v>Normal</x:v>
      </x:c>
      <x:c r="G458" s="93" t="n">
        <x:v>325.5</x:v>
      </x:c>
      <x:c r="H458" s="85" t="str">
        <x:v>Diagnóstico e execução</x:v>
      </x:c>
    </x:row>
    <x:row r="459">
      <x:c r="A459" s="83" t="n">
        <x:v>458</x:v>
      </x:c>
      <x:c r="B459" s="84" t="n">
        <x:v>275</x:v>
      </x:c>
      <x:c r="C459" s="84" t="n">
        <x:v>36</x:v>
      </x:c>
      <x:c r="D459" s="89" t="n">
        <x:v>45727</x:v>
      </x:c>
      <x:c r="E459" s="84" t="n">
        <x:v>6.7</x:v>
      </x:c>
      <x:c r="F459" s="84" t="str">
        <x:v>Normal</x:v>
      </x:c>
      <x:c r="G459" s="93" t="n">
        <x:v>198.72</x:v>
      </x:c>
      <x:c r="H459" s="85" t="str">
        <x:v>Diagnóstico e execução</x:v>
      </x:c>
    </x:row>
    <x:row r="460">
      <x:c r="A460" s="83" t="n">
        <x:v>459</x:v>
      </x:c>
      <x:c r="B460" s="84" t="n">
        <x:v>276</x:v>
      </x:c>
      <x:c r="C460" s="84" t="n">
        <x:v>40</x:v>
      </x:c>
      <x:c r="D460" s="89" t="n">
        <x:v>44996</x:v>
      </x:c>
      <x:c r="E460" s="84" t="n">
        <x:v>2.4</x:v>
      </x:c>
      <x:c r="F460" s="84" t="str">
        <x:v>Normal</x:v>
      </x:c>
      <x:c r="G460" s="93" t="n">
        <x:v>118.61</x:v>
      </x:c>
      <x:c r="H460" s="85" t="str">
        <x:v>Diagnóstico e execução</x:v>
      </x:c>
    </x:row>
    <x:row r="461">
      <x:c r="A461" s="83" t="n">
        <x:v>460</x:v>
      </x:c>
      <x:c r="B461" s="84" t="n">
        <x:v>276</x:v>
      </x:c>
      <x:c r="C461" s="84" t="n">
        <x:v>7</x:v>
      </x:c>
      <x:c r="D461" s="89" t="n">
        <x:v>44996</x:v>
      </x:c>
      <x:c r="E461" s="84" t="n">
        <x:v>6.3</x:v>
      </x:c>
      <x:c r="F461" s="84" t="str">
        <x:v>Normal</x:v>
      </x:c>
      <x:c r="G461" s="93" t="n">
        <x:v>366.72</x:v>
      </x:c>
      <x:c r="H461" s="85" t="str">
        <x:v>Diagnóstico e execução</x:v>
      </x:c>
    </x:row>
    <x:row r="462">
      <x:c r="A462" s="83" t="n">
        <x:v>461</x:v>
      </x:c>
      <x:c r="B462" s="84" t="n">
        <x:v>277</x:v>
      </x:c>
      <x:c r="C462" s="84" t="n">
        <x:v>24</x:v>
      </x:c>
      <x:c r="D462" s="89" t="n">
        <x:v>45238</x:v>
      </x:c>
      <x:c r="E462" s="84" t="n">
        <x:v>1.1</x:v>
      </x:c>
      <x:c r="F462" s="84" t="str">
        <x:v>Normal</x:v>
      </x:c>
      <x:c r="G462" s="93" t="n">
        <x:v>65.16</x:v>
      </x:c>
      <x:c r="H462" s="85" t="str">
        <x:v>Diagnóstico e execução</x:v>
      </x:c>
    </x:row>
    <x:row r="463">
      <x:c r="A463" s="83" t="n">
        <x:v>462</x:v>
      </x:c>
      <x:c r="B463" s="84" t="n">
        <x:v>278</x:v>
      </x:c>
      <x:c r="C463" s="84" t="n">
        <x:v>17</x:v>
      </x:c>
      <x:c r="D463" s="89" t="n">
        <x:v>46013</x:v>
      </x:c>
      <x:c r="E463" s="84" t="n">
        <x:v>3.3</x:v>
      </x:c>
      <x:c r="F463" s="84" t="str">
        <x:v>Normal</x:v>
      </x:c>
      <x:c r="G463" s="93" t="n">
        <x:v>184.07</x:v>
      </x:c>
      <x:c r="H463" s="85" t="str">
        <x:v>Diagnóstico e execução</x:v>
      </x:c>
    </x:row>
    <x:row r="464">
      <x:c r="A464" s="83" t="n">
        <x:v>463</x:v>
      </x:c>
      <x:c r="B464" s="84" t="n">
        <x:v>278</x:v>
      </x:c>
      <x:c r="C464" s="84" t="n">
        <x:v>6</x:v>
      </x:c>
      <x:c r="D464" s="89" t="n">
        <x:v>46013</x:v>
      </x:c>
      <x:c r="E464" s="84" t="n">
        <x:v>4.1</x:v>
      </x:c>
      <x:c r="F464" s="84" t="str">
        <x:v>Normal</x:v>
      </x:c>
      <x:c r="G464" s="93" t="n">
        <x:v>214.27</x:v>
      </x:c>
      <x:c r="H464" s="85" t="str">
        <x:v>Diagnóstico e execução</x:v>
      </x:c>
    </x:row>
    <x:row r="465">
      <x:c r="A465" s="83" t="n">
        <x:v>464</x:v>
      </x:c>
      <x:c r="B465" s="84" t="n">
        <x:v>278</x:v>
      </x:c>
      <x:c r="C465" s="84" t="n">
        <x:v>35</x:v>
      </x:c>
      <x:c r="D465" s="89" t="n">
        <x:v>46013</x:v>
      </x:c>
      <x:c r="E465" s="84" t="n">
        <x:v>2.8</x:v>
      </x:c>
      <x:c r="F465" s="84" t="str">
        <x:v>Normal</x:v>
      </x:c>
      <x:c r="G465" s="93" t="n">
        <x:v>137.73</x:v>
      </x:c>
      <x:c r="H465" s="85" t="str">
        <x:v>Diagnóstico e execução</x:v>
      </x:c>
    </x:row>
    <x:row r="466">
      <x:c r="A466" s="83" t="n">
        <x:v>465</x:v>
      </x:c>
      <x:c r="B466" s="84" t="n">
        <x:v>279</x:v>
      </x:c>
      <x:c r="C466" s="84" t="n">
        <x:v>11</x:v>
      </x:c>
      <x:c r="D466" s="89" t="n">
        <x:v>45150</x:v>
      </x:c>
      <x:c r="E466" s="84" t="n">
        <x:v>6.3</x:v>
      </x:c>
      <x:c r="F466" s="84" t="str">
        <x:v>Normal</x:v>
      </x:c>
      <x:c r="G466" s="93" t="n">
        <x:v>262.58</x:v>
      </x:c>
      <x:c r="H466" s="85" t="str">
        <x:v>Diagnóstico e execução</x:v>
      </x:c>
    </x:row>
    <x:row r="467">
      <x:c r="A467" s="83" t="n">
        <x:v>466</x:v>
      </x:c>
      <x:c r="B467" s="84" t="n">
        <x:v>280</x:v>
      </x:c>
      <x:c r="C467" s="84" t="n">
        <x:v>3</x:v>
      </x:c>
      <x:c r="D467" s="89" t="n">
        <x:v>46016</x:v>
      </x:c>
      <x:c r="E467" s="84" t="n">
        <x:v>3.7</x:v>
      </x:c>
      <x:c r="F467" s="84" t="str">
        <x:v>Normal</x:v>
      </x:c>
      <x:c r="G467" s="93" t="n">
        <x:v>182.19</x:v>
      </x:c>
      <x:c r="H467" s="85" t="str">
        <x:v>Diagnóstico e execução</x:v>
      </x:c>
    </x:row>
    <x:row r="468">
      <x:c r="A468" s="83" t="n">
        <x:v>467</x:v>
      </x:c>
      <x:c r="B468" s="84" t="n">
        <x:v>280</x:v>
      </x:c>
      <x:c r="C468" s="84" t="n">
        <x:v>27</x:v>
      </x:c>
      <x:c r="D468" s="89" t="n">
        <x:v>46016</x:v>
      </x:c>
      <x:c r="E468" s="84" t="n">
        <x:v>5.3</x:v>
      </x:c>
      <x:c r="F468" s="84" t="str">
        <x:v>Normal</x:v>
      </x:c>
      <x:c r="G468" s="93" t="n">
        <x:v>323.25</x:v>
      </x:c>
      <x:c r="H468" s="85" t="str">
        <x:v>Diagnóstico e execução</x:v>
      </x:c>
    </x:row>
    <x:row r="469">
      <x:c r="A469" s="83" t="n">
        <x:v>468</x:v>
      </x:c>
      <x:c r="B469" s="84" t="n">
        <x:v>281</x:v>
      </x:c>
      <x:c r="C469" s="84" t="n">
        <x:v>26</x:v>
      </x:c>
      <x:c r="D469" s="89" t="n">
        <x:v>45893</x:v>
      </x:c>
      <x:c r="E469" s="84" t="n">
        <x:v>2.1</x:v>
      </x:c>
      <x:c r="F469" s="84" t="str">
        <x:v>Normal</x:v>
      </x:c>
      <x:c r="G469" s="93" t="n">
        <x:v>82.15</x:v>
      </x:c>
      <x:c r="H469" s="85" t="str">
        <x:v>Diagnóstico e execução</x:v>
      </x:c>
    </x:row>
    <x:row r="470">
      <x:c r="A470" s="83" t="n">
        <x:v>469</x:v>
      </x:c>
      <x:c r="B470" s="84" t="n">
        <x:v>281</x:v>
      </x:c>
      <x:c r="C470" s="84" t="n">
        <x:v>3</x:v>
      </x:c>
      <x:c r="D470" s="89" t="n">
        <x:v>45893</x:v>
      </x:c>
      <x:c r="E470" s="84" t="n">
        <x:v>7.4</x:v>
      </x:c>
      <x:c r="F470" s="84" t="str">
        <x:v>Normal</x:v>
      </x:c>
      <x:c r="G470" s="93" t="n">
        <x:v>364.38</x:v>
      </x:c>
      <x:c r="H470" s="85" t="str">
        <x:v>Diagnóstico e execução</x:v>
      </x:c>
    </x:row>
    <x:row r="471">
      <x:c r="A471" s="83" t="n">
        <x:v>470</x:v>
      </x:c>
      <x:c r="B471" s="84" t="n">
        <x:v>281</x:v>
      </x:c>
      <x:c r="C471" s="84" t="n">
        <x:v>35</x:v>
      </x:c>
      <x:c r="D471" s="89" t="n">
        <x:v>45893</x:v>
      </x:c>
      <x:c r="E471" s="84" t="n">
        <x:v>1.3</x:v>
      </x:c>
      <x:c r="F471" s="84" t="str">
        <x:v>Normal</x:v>
      </x:c>
      <x:c r="G471" s="93" t="n">
        <x:v>63.95</x:v>
      </x:c>
      <x:c r="H471" s="85" t="str">
        <x:v>Diagnóstico e execução</x:v>
      </x:c>
    </x:row>
    <x:row r="472">
      <x:c r="A472" s="83" t="n">
        <x:v>471</x:v>
      </x:c>
      <x:c r="B472" s="84" t="n">
        <x:v>282</x:v>
      </x:c>
      <x:c r="C472" s="84" t="n">
        <x:v>41</x:v>
      </x:c>
      <x:c r="D472" s="89" t="n">
        <x:v>45962</x:v>
      </x:c>
      <x:c r="E472" s="84" t="n">
        <x:v>7.5</x:v>
      </x:c>
      <x:c r="F472" s="84" t="str">
        <x:v>Normal</x:v>
      </x:c>
      <x:c r="G472" s="93" t="n">
        <x:v>379.35</x:v>
      </x:c>
      <x:c r="H472" s="85" t="str">
        <x:v>Diagnóstico e execução</x:v>
      </x:c>
    </x:row>
    <x:row r="473">
      <x:c r="A473" s="83" t="n">
        <x:v>472</x:v>
      </x:c>
      <x:c r="B473" s="84" t="n">
        <x:v>283</x:v>
      </x:c>
      <x:c r="C473" s="84" t="n">
        <x:v>5</x:v>
      </x:c>
      <x:c r="D473" s="89" t="n">
        <x:v>45849</x:v>
      </x:c>
      <x:c r="E473" s="84" t="n">
        <x:v>3</x:v>
      </x:c>
      <x:c r="F473" s="84" t="str">
        <x:v>Normal</x:v>
      </x:c>
      <x:c r="G473" s="93" t="n">
        <x:v>86.46</x:v>
      </x:c>
      <x:c r="H473" s="85" t="str">
        <x:v>Diagnóstico e execução</x:v>
      </x:c>
    </x:row>
    <x:row r="474">
      <x:c r="A474" s="83" t="n">
        <x:v>473</x:v>
      </x:c>
      <x:c r="B474" s="84" t="n">
        <x:v>283</x:v>
      </x:c>
      <x:c r="C474" s="84" t="n">
        <x:v>41</x:v>
      </x:c>
      <x:c r="D474" s="89" t="n">
        <x:v>45849</x:v>
      </x:c>
      <x:c r="E474" s="84" t="n">
        <x:v>3.5</x:v>
      </x:c>
      <x:c r="F474" s="84" t="str">
        <x:v>Normal</x:v>
      </x:c>
      <x:c r="G474" s="93" t="n">
        <x:v>177.03</x:v>
      </x:c>
      <x:c r="H474" s="85" t="str">
        <x:v>Diagnóstico e execução</x:v>
      </x:c>
    </x:row>
    <x:row r="475">
      <x:c r="A475" s="83" t="n">
        <x:v>474</x:v>
      </x:c>
      <x:c r="B475" s="84" t="n">
        <x:v>283</x:v>
      </x:c>
      <x:c r="C475" s="84" t="n">
        <x:v>8</x:v>
      </x:c>
      <x:c r="D475" s="89" t="n">
        <x:v>45849</x:v>
      </x:c>
      <x:c r="E475" s="84" t="n">
        <x:v>6.9</x:v>
      </x:c>
      <x:c r="F475" s="84" t="str">
        <x:v>Normal</x:v>
      </x:c>
      <x:c r="G475" s="93" t="n">
        <x:v>320.85</x:v>
      </x:c>
      <x:c r="H475" s="85" t="str">
        <x:v>Diagnóstico e execução</x:v>
      </x:c>
    </x:row>
    <x:row r="476">
      <x:c r="A476" s="83" t="n">
        <x:v>475</x:v>
      </x:c>
      <x:c r="B476" s="84" t="n">
        <x:v>284</x:v>
      </x:c>
      <x:c r="C476" s="84" t="n">
        <x:v>44</x:v>
      </x:c>
      <x:c r="D476" s="89" t="n">
        <x:v>45931</x:v>
      </x:c>
      <x:c r="E476" s="84" t="n">
        <x:v>7.8</x:v>
      </x:c>
      <x:c r="F476" s="84" t="str">
        <x:v>Normal</x:v>
      </x:c>
      <x:c r="G476" s="93" t="n">
        <x:v>218.71</x:v>
      </x:c>
      <x:c r="H476" s="85" t="str">
        <x:v>Diagnóstico e execução</x:v>
      </x:c>
    </x:row>
    <x:row r="477">
      <x:c r="A477" s="83" t="n">
        <x:v>476</x:v>
      </x:c>
      <x:c r="B477" s="84" t="n">
        <x:v>284</x:v>
      </x:c>
      <x:c r="C477" s="84" t="n">
        <x:v>9</x:v>
      </x:c>
      <x:c r="D477" s="89" t="n">
        <x:v>45931</x:v>
      </x:c>
      <x:c r="E477" s="84" t="n">
        <x:v>4.3</x:v>
      </x:c>
      <x:c r="F477" s="84" t="str">
        <x:v>Normal</x:v>
      </x:c>
      <x:c r="G477" s="93" t="n">
        <x:v>226.48</x:v>
      </x:c>
      <x:c r="H477" s="85" t="str">
        <x:v>Diagnóstico e execução</x:v>
      </x:c>
    </x:row>
    <x:row r="478">
      <x:c r="A478" s="83" t="n">
        <x:v>477</x:v>
      </x:c>
      <x:c r="B478" s="84" t="n">
        <x:v>285</x:v>
      </x:c>
      <x:c r="C478" s="84" t="n">
        <x:v>9</x:v>
      </x:c>
      <x:c r="D478" s="89" t="n">
        <x:v>45617</x:v>
      </x:c>
      <x:c r="E478" s="84" t="n">
        <x:v>3.9</x:v>
      </x:c>
      <x:c r="F478" s="84" t="str">
        <x:v>Normal</x:v>
      </x:c>
      <x:c r="G478" s="93" t="n">
        <x:v>205.41</x:v>
      </x:c>
      <x:c r="H478" s="85" t="str">
        <x:v>Diagnóstico e execução</x:v>
      </x:c>
    </x:row>
    <x:row r="479">
      <x:c r="A479" s="83" t="n">
        <x:v>478</x:v>
      </x:c>
      <x:c r="B479" s="84" t="n">
        <x:v>285</x:v>
      </x:c>
      <x:c r="C479" s="84" t="n">
        <x:v>13</x:v>
      </x:c>
      <x:c r="D479" s="89" t="n">
        <x:v>45617</x:v>
      </x:c>
      <x:c r="E479" s="84" t="n">
        <x:v>3</x:v>
      </x:c>
      <x:c r="F479" s="84" t="str">
        <x:v>Normal</x:v>
      </x:c>
      <x:c r="G479" s="93" t="n">
        <x:v>101.64</x:v>
      </x:c>
      <x:c r="H479" s="85" t="str">
        <x:v>Diagnóstico e execução</x:v>
      </x:c>
    </x:row>
    <x:row r="480">
      <x:c r="A480" s="83" t="n">
        <x:v>479</x:v>
      </x:c>
      <x:c r="B480" s="84" t="n">
        <x:v>285</x:v>
      </x:c>
      <x:c r="C480" s="84" t="n">
        <x:v>42</x:v>
      </x:c>
      <x:c r="D480" s="89" t="n">
        <x:v>45617</x:v>
      </x:c>
      <x:c r="E480" s="84" t="n">
        <x:v>0.5</x:v>
      </x:c>
      <x:c r="F480" s="84" t="str">
        <x:v>Normal</x:v>
      </x:c>
      <x:c r="G480" s="93" t="n">
        <x:v>21.09</x:v>
      </x:c>
      <x:c r="H480" s="85" t="str">
        <x:v>Diagnóstico e execução</x:v>
      </x:c>
    </x:row>
    <x:row r="481">
      <x:c r="A481" s="83" t="n">
        <x:v>480</x:v>
      </x:c>
      <x:c r="B481" s="84" t="n">
        <x:v>286</x:v>
      </x:c>
      <x:c r="C481" s="84" t="n">
        <x:v>26</x:v>
      </x:c>
      <x:c r="D481" s="89" t="n">
        <x:v>45095</x:v>
      </x:c>
      <x:c r="E481" s="84" t="n">
        <x:v>5.3</x:v>
      </x:c>
      <x:c r="F481" s="84" t="str">
        <x:v>Normal</x:v>
      </x:c>
      <x:c r="G481" s="93" t="n">
        <x:v>207.34</x:v>
      </x:c>
      <x:c r="H481" s="85" t="str">
        <x:v>Diagnóstico e execução</x:v>
      </x:c>
    </x:row>
    <x:row r="482">
      <x:c r="A482" s="83" t="n">
        <x:v>481</x:v>
      </x:c>
      <x:c r="B482" s="84" t="n">
        <x:v>286</x:v>
      </x:c>
      <x:c r="C482" s="84" t="n">
        <x:v>8</x:v>
      </x:c>
      <x:c r="D482" s="89" t="n">
        <x:v>45095</x:v>
      </x:c>
      <x:c r="E482" s="84" t="n">
        <x:v>1.9</x:v>
      </x:c>
      <x:c r="F482" s="84" t="str">
        <x:v>Normal</x:v>
      </x:c>
      <x:c r="G482" s="93" t="n">
        <x:v>88.35</x:v>
      </x:c>
      <x:c r="H482" s="85" t="str">
        <x:v>Diagnóstico e execução</x:v>
      </x:c>
    </x:row>
    <x:row r="483">
      <x:c r="A483" s="83" t="n">
        <x:v>482</x:v>
      </x:c>
      <x:c r="B483" s="84" t="n">
        <x:v>288</x:v>
      </x:c>
      <x:c r="C483" s="84" t="n">
        <x:v>29</x:v>
      </x:c>
      <x:c r="D483" s="89" t="n">
        <x:v>45551</x:v>
      </x:c>
      <x:c r="E483" s="84" t="n">
        <x:v>4.8</x:v>
      </x:c>
      <x:c r="F483" s="84" t="str">
        <x:v>Normal</x:v>
      </x:c>
      <x:c r="G483" s="93" t="n">
        <x:v>237.7</x:v>
      </x:c>
      <x:c r="H483" s="85" t="str">
        <x:v>Diagnóstico e execução</x:v>
      </x:c>
    </x:row>
    <x:row r="484">
      <x:c r="A484" s="83" t="n">
        <x:v>483</x:v>
      </x:c>
      <x:c r="B484" s="84" t="n">
        <x:v>288</x:v>
      </x:c>
      <x:c r="C484" s="84" t="n">
        <x:v>36</x:v>
      </x:c>
      <x:c r="D484" s="89" t="n">
        <x:v>45551</x:v>
      </x:c>
      <x:c r="E484" s="84" t="n">
        <x:v>5.2</x:v>
      </x:c>
      <x:c r="F484" s="84" t="str">
        <x:v>Normal</x:v>
      </x:c>
      <x:c r="G484" s="93" t="n">
        <x:v>154.23</x:v>
      </x:c>
      <x:c r="H484" s="85" t="str">
        <x:v>Diagnóstico e execução</x:v>
      </x:c>
    </x:row>
    <x:row r="485">
      <x:c r="A485" s="83" t="n">
        <x:v>484</x:v>
      </x:c>
      <x:c r="B485" s="84" t="n">
        <x:v>289</x:v>
      </x:c>
      <x:c r="C485" s="84" t="n">
        <x:v>3</x:v>
      </x:c>
      <x:c r="D485" s="89" t="n">
        <x:v>45670</x:v>
      </x:c>
      <x:c r="E485" s="84" t="n">
        <x:v>5.8</x:v>
      </x:c>
      <x:c r="F485" s="84" t="str">
        <x:v>Normal</x:v>
      </x:c>
      <x:c r="G485" s="93" t="n">
        <x:v>285.59</x:v>
      </x:c>
      <x:c r="H485" s="85" t="str">
        <x:v>Diagnóstico e execução</x:v>
      </x:c>
    </x:row>
    <x:row r="486">
      <x:c r="A486" s="83" t="n">
        <x:v>485</x:v>
      </x:c>
      <x:c r="B486" s="84" t="n">
        <x:v>289</x:v>
      </x:c>
      <x:c r="C486" s="84" t="n">
        <x:v>42</x:v>
      </x:c>
      <x:c r="D486" s="89" t="n">
        <x:v>45670</x:v>
      </x:c>
      <x:c r="E486" s="84" t="n">
        <x:v>3.9</x:v>
      </x:c>
      <x:c r="F486" s="84" t="str">
        <x:v>Normal</x:v>
      </x:c>
      <x:c r="G486" s="93" t="n">
        <x:v>164.5</x:v>
      </x:c>
      <x:c r="H486" s="85" t="str">
        <x:v>Diagnóstico e execução</x:v>
      </x:c>
    </x:row>
    <x:row r="487">
      <x:c r="A487" s="83" t="n">
        <x:v>486</x:v>
      </x:c>
      <x:c r="B487" s="84" t="n">
        <x:v>290</x:v>
      </x:c>
      <x:c r="C487" s="84" t="n">
        <x:v>14</x:v>
      </x:c>
      <x:c r="D487" s="89" t="n">
        <x:v>45617</x:v>
      </x:c>
      <x:c r="E487" s="84" t="n">
        <x:v>5.5</x:v>
      </x:c>
      <x:c r="F487" s="84" t="str">
        <x:v>Normal</x:v>
      </x:c>
      <x:c r="G487" s="93" t="n">
        <x:v>311.63</x:v>
      </x:c>
      <x:c r="H487" s="85" t="str">
        <x:v>Diagnóstico e execução</x:v>
      </x:c>
    </x:row>
    <x:row r="488">
      <x:c r="A488" s="83" t="n">
        <x:v>487</x:v>
      </x:c>
      <x:c r="B488" s="84" t="n">
        <x:v>290</x:v>
      </x:c>
      <x:c r="C488" s="84" t="n">
        <x:v>4</x:v>
      </x:c>
      <x:c r="D488" s="89" t="n">
        <x:v>45617</x:v>
      </x:c>
      <x:c r="E488" s="84" t="n">
        <x:v>6.1</x:v>
      </x:c>
      <x:c r="F488" s="84" t="str">
        <x:v>Normal</x:v>
      </x:c>
      <x:c r="G488" s="93" t="n">
        <x:v>300.06</x:v>
      </x:c>
      <x:c r="H488" s="85" t="str">
        <x:v>Diagnóstico e execução</x:v>
      </x:c>
    </x:row>
    <x:row r="489">
      <x:c r="A489" s="83" t="n">
        <x:v>488</x:v>
      </x:c>
      <x:c r="B489" s="84" t="n">
        <x:v>290</x:v>
      </x:c>
      <x:c r="C489" s="84" t="n">
        <x:v>26</x:v>
      </x:c>
      <x:c r="D489" s="89" t="n">
        <x:v>45617</x:v>
      </x:c>
      <x:c r="E489" s="84" t="n">
        <x:v>7.1</x:v>
      </x:c>
      <x:c r="F489" s="84" t="str">
        <x:v>Normal</x:v>
      </x:c>
      <x:c r="G489" s="93" t="n">
        <x:v>277.75</x:v>
      </x:c>
      <x:c r="H489" s="85" t="str">
        <x:v>Diagnóstico e execução</x:v>
      </x:c>
    </x:row>
    <x:row r="490">
      <x:c r="A490" s="83" t="n">
        <x:v>489</x:v>
      </x:c>
      <x:c r="B490" s="84" t="n">
        <x:v>291</x:v>
      </x:c>
      <x:c r="C490" s="84" t="n">
        <x:v>20</x:v>
      </x:c>
      <x:c r="D490" s="89" t="n">
        <x:v>45209</x:v>
      </x:c>
      <x:c r="E490" s="84" t="n">
        <x:v>7.2</x:v>
      </x:c>
      <x:c r="F490" s="84" t="str">
        <x:v>Normal</x:v>
      </x:c>
      <x:c r="G490" s="93" t="n">
        <x:v>241.34</x:v>
      </x:c>
      <x:c r="H490" s="85" t="str">
        <x:v>Diagnóstico e execução</x:v>
      </x:c>
    </x:row>
    <x:row r="491">
      <x:c r="A491" s="83" t="n">
        <x:v>490</x:v>
      </x:c>
      <x:c r="B491" s="84" t="n">
        <x:v>291</x:v>
      </x:c>
      <x:c r="C491" s="84" t="n">
        <x:v>9</x:v>
      </x:c>
      <x:c r="D491" s="89" t="n">
        <x:v>45209</x:v>
      </x:c>
      <x:c r="E491" s="84" t="n">
        <x:v>1</x:v>
      </x:c>
      <x:c r="F491" s="84" t="str">
        <x:v>Normal</x:v>
      </x:c>
      <x:c r="G491" s="93" t="n">
        <x:v>52.67</x:v>
      </x:c>
      <x:c r="H491" s="85" t="str">
        <x:v>Diagnóstico e execução</x:v>
      </x:c>
    </x:row>
    <x:row r="492">
      <x:c r="A492" s="83" t="n">
        <x:v>491</x:v>
      </x:c>
      <x:c r="B492" s="84" t="n">
        <x:v>292</x:v>
      </x:c>
      <x:c r="C492" s="84" t="n">
        <x:v>25</x:v>
      </x:c>
      <x:c r="D492" s="89" t="n">
        <x:v>46019</x:v>
      </x:c>
      <x:c r="E492" s="84" t="n">
        <x:v>7.9</x:v>
      </x:c>
      <x:c r="F492" s="84" t="str">
        <x:v>Normal</x:v>
      </x:c>
      <x:c r="G492" s="93" t="n">
        <x:v>423.36</x:v>
      </x:c>
      <x:c r="H492" s="85" t="str">
        <x:v>Diagnóstico e execução</x:v>
      </x:c>
    </x:row>
    <x:row r="493">
      <x:c r="A493" s="83" t="n">
        <x:v>492</x:v>
      </x:c>
      <x:c r="B493" s="84" t="n">
        <x:v>292</x:v>
      </x:c>
      <x:c r="C493" s="84" t="n">
        <x:v>26</x:v>
      </x:c>
      <x:c r="D493" s="89" t="n">
        <x:v>46019</x:v>
      </x:c>
      <x:c r="E493" s="84" t="n">
        <x:v>1.2</x:v>
      </x:c>
      <x:c r="F493" s="84" t="str">
        <x:v>Normal</x:v>
      </x:c>
      <x:c r="G493" s="93" t="n">
        <x:v>46.94</x:v>
      </x:c>
      <x:c r="H493" s="85" t="str">
        <x:v>Diagnóstico e execução</x:v>
      </x:c>
    </x:row>
    <x:row r="494">
      <x:c r="A494" s="83" t="n">
        <x:v>493</x:v>
      </x:c>
      <x:c r="B494" s="84" t="n">
        <x:v>292</x:v>
      </x:c>
      <x:c r="C494" s="84" t="n">
        <x:v>5</x:v>
      </x:c>
      <x:c r="D494" s="89" t="n">
        <x:v>46019</x:v>
      </x:c>
      <x:c r="E494" s="84" t="n">
        <x:v>3.7</x:v>
      </x:c>
      <x:c r="F494" s="84" t="str">
        <x:v>Normal</x:v>
      </x:c>
      <x:c r="G494" s="93" t="n">
        <x:v>106.63</x:v>
      </x:c>
      <x:c r="H494" s="85" t="str">
        <x:v>Diagnóstico e execução</x:v>
      </x:c>
    </x:row>
    <x:row r="495">
      <x:c r="A495" s="83" t="n">
        <x:v>494</x:v>
      </x:c>
      <x:c r="B495" s="84" t="n">
        <x:v>293</x:v>
      </x:c>
      <x:c r="C495" s="84" t="n">
        <x:v>34</x:v>
      </x:c>
      <x:c r="D495" s="89" t="n">
        <x:v>45705</x:v>
      </x:c>
      <x:c r="E495" s="84" t="n">
        <x:v>6.5</x:v>
      </x:c>
      <x:c r="F495" s="84" t="str">
        <x:v>Normal</x:v>
      </x:c>
      <x:c r="G495" s="93" t="n">
        <x:v>281</x:v>
      </x:c>
      <x:c r="H495" s="85" t="str">
        <x:v>Diagnóstico e execução</x:v>
      </x:c>
    </x:row>
    <x:row r="496">
      <x:c r="A496" s="83" t="n">
        <x:v>495</x:v>
      </x:c>
      <x:c r="B496" s="84" t="n">
        <x:v>293</x:v>
      </x:c>
      <x:c r="C496" s="84" t="n">
        <x:v>29</x:v>
      </x:c>
      <x:c r="D496" s="89" t="n">
        <x:v>45705</x:v>
      </x:c>
      <x:c r="E496" s="84" t="n">
        <x:v>4.7</x:v>
      </x:c>
      <x:c r="F496" s="84" t="str">
        <x:v>Normal</x:v>
      </x:c>
      <x:c r="G496" s="93" t="n">
        <x:v>232.74</x:v>
      </x:c>
      <x:c r="H496" s="85" t="str">
        <x:v>Diagnóstico e execução</x:v>
      </x:c>
    </x:row>
    <x:row r="497">
      <x:c r="A497" s="83" t="n">
        <x:v>496</x:v>
      </x:c>
      <x:c r="B497" s="84" t="n">
        <x:v>294</x:v>
      </x:c>
      <x:c r="C497" s="84" t="n">
        <x:v>2</x:v>
      </x:c>
      <x:c r="D497" s="89" t="n">
        <x:v>45563</x:v>
      </x:c>
      <x:c r="E497" s="84" t="n">
        <x:v>6.3</x:v>
      </x:c>
      <x:c r="F497" s="84" t="str">
        <x:v>Normal</x:v>
      </x:c>
      <x:c r="G497" s="93" t="n">
        <x:v>234.74</x:v>
      </x:c>
      <x:c r="H497" s="85" t="str">
        <x:v>Diagnóstico e execução</x:v>
      </x:c>
    </x:row>
    <x:row r="498">
      <x:c r="A498" s="83" t="n">
        <x:v>497</x:v>
      </x:c>
      <x:c r="B498" s="84" t="n">
        <x:v>294</x:v>
      </x:c>
      <x:c r="C498" s="84" t="n">
        <x:v>43</x:v>
      </x:c>
      <x:c r="D498" s="89" t="n">
        <x:v>45563</x:v>
      </x:c>
      <x:c r="E498" s="84" t="n">
        <x:v>7</x:v>
      </x:c>
      <x:c r="F498" s="84" t="str">
        <x:v>Normal</x:v>
      </x:c>
      <x:c r="G498" s="93" t="n">
        <x:v>382.62</x:v>
      </x:c>
      <x:c r="H498" s="85" t="str">
        <x:v>Diagnóstico e execução</x:v>
      </x:c>
    </x:row>
    <x:row r="499">
      <x:c r="A499" s="83" t="n">
        <x:v>498</x:v>
      </x:c>
      <x:c r="B499" s="84" t="n">
        <x:v>295</x:v>
      </x:c>
      <x:c r="C499" s="84" t="n">
        <x:v>15</x:v>
      </x:c>
      <x:c r="D499" s="89" t="n">
        <x:v>45229</x:v>
      </x:c>
      <x:c r="E499" s="84" t="n">
        <x:v>7.3</x:v>
      </x:c>
      <x:c r="F499" s="84" t="str">
        <x:v>Normal</x:v>
      </x:c>
      <x:c r="G499" s="93" t="n">
        <x:v>220.75</x:v>
      </x:c>
      <x:c r="H499" s="85" t="str">
        <x:v>Diagnóstico e execução</x:v>
      </x:c>
    </x:row>
    <x:row r="500">
      <x:c r="A500" s="83" t="n">
        <x:v>499</x:v>
      </x:c>
      <x:c r="B500" s="84" t="n">
        <x:v>296</x:v>
      </x:c>
      <x:c r="C500" s="84" t="n">
        <x:v>25</x:v>
      </x:c>
      <x:c r="D500" s="89" t="n">
        <x:v>45415</x:v>
      </x:c>
      <x:c r="E500" s="84" t="n">
        <x:v>3.4</x:v>
      </x:c>
      <x:c r="F500" s="84" t="str">
        <x:v>Normal</x:v>
      </x:c>
      <x:c r="G500" s="93" t="n">
        <x:v>182.21</x:v>
      </x:c>
      <x:c r="H500" s="85" t="str">
        <x:v>Diagnóstico e execução</x:v>
      </x:c>
    </x:row>
    <x:row r="501">
      <x:c r="A501" s="83" t="n">
        <x:v>500</x:v>
      </x:c>
      <x:c r="B501" s="84" t="n">
        <x:v>296</x:v>
      </x:c>
      <x:c r="C501" s="84" t="n">
        <x:v>16</x:v>
      </x:c>
      <x:c r="D501" s="89" t="n">
        <x:v>45415</x:v>
      </x:c>
      <x:c r="E501" s="84" t="n">
        <x:v>7.1</x:v>
      </x:c>
      <x:c r="F501" s="84" t="str">
        <x:v>Normal</x:v>
      </x:c>
      <x:c r="G501" s="93" t="n">
        <x:v>287.69</x:v>
      </x:c>
      <x:c r="H501" s="85" t="str">
        <x:v>Diagnóstico e execução</x:v>
      </x:c>
    </x:row>
    <x:row r="502">
      <x:c r="A502" s="83" t="n">
        <x:v>501</x:v>
      </x:c>
      <x:c r="B502" s="84" t="n">
        <x:v>297</x:v>
      </x:c>
      <x:c r="C502" s="84" t="n">
        <x:v>8</x:v>
      </x:c>
      <x:c r="D502" s="89" t="n">
        <x:v>45335</x:v>
      </x:c>
      <x:c r="E502" s="84" t="n">
        <x:v>1.2</x:v>
      </x:c>
      <x:c r="F502" s="84" t="str">
        <x:v>Normal</x:v>
      </x:c>
      <x:c r="G502" s="93" t="n">
        <x:v>55.8</x:v>
      </x:c>
      <x:c r="H502" s="85" t="str">
        <x:v>Diagnóstico e execução</x:v>
      </x:c>
    </x:row>
    <x:row r="503">
      <x:c r="A503" s="83" t="n">
        <x:v>502</x:v>
      </x:c>
      <x:c r="B503" s="84" t="n">
        <x:v>298</x:v>
      </x:c>
      <x:c r="C503" s="84" t="n">
        <x:v>11</x:v>
      </x:c>
      <x:c r="D503" s="89" t="n">
        <x:v>45472</x:v>
      </x:c>
      <x:c r="E503" s="84" t="n">
        <x:v>2.3</x:v>
      </x:c>
      <x:c r="F503" s="84" t="str">
        <x:v>Normal</x:v>
      </x:c>
      <x:c r="G503" s="93" t="n">
        <x:v>95.86</x:v>
      </x:c>
      <x:c r="H503" s="85" t="str">
        <x:v>Diagnóstico e execução</x:v>
      </x:c>
    </x:row>
    <x:row r="504">
      <x:c r="A504" s="83" t="n">
        <x:v>503</x:v>
      </x:c>
      <x:c r="B504" s="84" t="n">
        <x:v>298</x:v>
      </x:c>
      <x:c r="C504" s="84" t="n">
        <x:v>25</x:v>
      </x:c>
      <x:c r="D504" s="89" t="n">
        <x:v>45472</x:v>
      </x:c>
      <x:c r="E504" s="84" t="n">
        <x:v>4.8</x:v>
      </x:c>
      <x:c r="F504" s="84" t="str">
        <x:v>Normal</x:v>
      </x:c>
      <x:c r="G504" s="93" t="n">
        <x:v>257.23</x:v>
      </x:c>
      <x:c r="H504" s="85" t="str">
        <x:v>Diagnóstico e execução</x:v>
      </x:c>
    </x:row>
    <x:row r="505">
      <x:c r="A505" s="83" t="n">
        <x:v>504</x:v>
      </x:c>
      <x:c r="B505" s="84" t="n">
        <x:v>298</x:v>
      </x:c>
      <x:c r="C505" s="84" t="n">
        <x:v>15</x:v>
      </x:c>
      <x:c r="D505" s="89" t="n">
        <x:v>45472</x:v>
      </x:c>
      <x:c r="E505" s="84" t="n">
        <x:v>4.4</x:v>
      </x:c>
      <x:c r="F505" s="84" t="str">
        <x:v>Normal</x:v>
      </x:c>
      <x:c r="G505" s="93" t="n">
        <x:v>133.06</x:v>
      </x:c>
      <x:c r="H505" s="85" t="str">
        <x:v>Diagnóstico e execução</x:v>
      </x:c>
    </x:row>
    <x:row r="506">
      <x:c r="A506" s="83" t="n">
        <x:v>505</x:v>
      </x:c>
      <x:c r="B506" s="84" t="n">
        <x:v>300</x:v>
      </x:c>
      <x:c r="C506" s="84" t="n">
        <x:v>30</x:v>
      </x:c>
      <x:c r="D506" s="89" t="n">
        <x:v>45912</x:v>
      </x:c>
      <x:c r="E506" s="84" t="n">
        <x:v>6.5</x:v>
      </x:c>
      <x:c r="F506" s="84" t="str">
        <x:v>Normal</x:v>
      </x:c>
      <x:c r="G506" s="93" t="n">
        <x:v>269.16</x:v>
      </x:c>
      <x:c r="H506" s="85" t="str">
        <x:v>Diagnóstico e execução</x:v>
      </x:c>
    </x:row>
    <x:row r="507">
      <x:c r="A507" s="83" t="n">
        <x:v>506</x:v>
      </x:c>
      <x:c r="B507" s="84" t="n">
        <x:v>301</x:v>
      </x:c>
      <x:c r="C507" s="84" t="n">
        <x:v>45</x:v>
      </x:c>
      <x:c r="D507" s="89" t="n">
        <x:v>45306</x:v>
      </x:c>
      <x:c r="E507" s="84" t="n">
        <x:v>6.4</x:v>
      </x:c>
      <x:c r="F507" s="84" t="str">
        <x:v>Normal</x:v>
      </x:c>
      <x:c r="G507" s="93" t="n">
        <x:v>342.85</x:v>
      </x:c>
      <x:c r="H507" s="85" t="str">
        <x:v>Diagnóstico e execução</x:v>
      </x:c>
    </x:row>
    <x:row r="508">
      <x:c r="A508" s="83" t="n">
        <x:v>507</x:v>
      </x:c>
      <x:c r="B508" s="84" t="n">
        <x:v>302</x:v>
      </x:c>
      <x:c r="C508" s="84" t="n">
        <x:v>4</x:v>
      </x:c>
      <x:c r="D508" s="89" t="n">
        <x:v>45556</x:v>
      </x:c>
      <x:c r="E508" s="84" t="n">
        <x:v>2.9</x:v>
      </x:c>
      <x:c r="F508" s="84" t="str">
        <x:v>Normal</x:v>
      </x:c>
      <x:c r="G508" s="93" t="n">
        <x:v>142.65</x:v>
      </x:c>
      <x:c r="H508" s="85" t="str">
        <x:v>Diagnóstico e execução</x:v>
      </x:c>
    </x:row>
    <x:row r="509">
      <x:c r="A509" s="83" t="n">
        <x:v>508</x:v>
      </x:c>
      <x:c r="B509" s="84" t="n">
        <x:v>302</x:v>
      </x:c>
      <x:c r="C509" s="84" t="n">
        <x:v>15</x:v>
      </x:c>
      <x:c r="D509" s="89" t="n">
        <x:v>45556</x:v>
      </x:c>
      <x:c r="E509" s="84" t="n">
        <x:v>1.2</x:v>
      </x:c>
      <x:c r="F509" s="84" t="str">
        <x:v>Normal</x:v>
      </x:c>
      <x:c r="G509" s="93" t="n">
        <x:v>36.29</x:v>
      </x:c>
      <x:c r="H509" s="85" t="str">
        <x:v>Diagnóstico e execução</x:v>
      </x:c>
    </x:row>
    <x:row r="510">
      <x:c r="A510" s="83" t="n">
        <x:v>509</x:v>
      </x:c>
      <x:c r="B510" s="84" t="n">
        <x:v>303</x:v>
      </x:c>
      <x:c r="C510" s="84" t="n">
        <x:v>34</x:v>
      </x:c>
      <x:c r="D510" s="89" t="n">
        <x:v>45616</x:v>
      </x:c>
      <x:c r="E510" s="84" t="n">
        <x:v>4.3</x:v>
      </x:c>
      <x:c r="F510" s="84" t="str">
        <x:v>Normal</x:v>
      </x:c>
      <x:c r="G510" s="93" t="n">
        <x:v>185.89</x:v>
      </x:c>
      <x:c r="H510" s="85" t="str">
        <x:v>Diagnóstico e execução</x:v>
      </x:c>
    </x:row>
    <x:row r="511">
      <x:c r="A511" s="83" t="n">
        <x:v>510</x:v>
      </x:c>
      <x:c r="B511" s="84" t="n">
        <x:v>304</x:v>
      </x:c>
      <x:c r="C511" s="84" t="n">
        <x:v>26</x:v>
      </x:c>
      <x:c r="D511" s="89" t="n">
        <x:v>45128</x:v>
      </x:c>
      <x:c r="E511" s="84" t="n">
        <x:v>4.2</x:v>
      </x:c>
      <x:c r="F511" s="84" t="str">
        <x:v>Normal</x:v>
      </x:c>
      <x:c r="G511" s="93" t="n">
        <x:v>164.3</x:v>
      </x:c>
      <x:c r="H511" s="85" t="str">
        <x:v>Diagnóstico e execução</x:v>
      </x:c>
    </x:row>
    <x:row r="512">
      <x:c r="A512" s="83" t="n">
        <x:v>511</x:v>
      </x:c>
      <x:c r="B512" s="84" t="n">
        <x:v>305</x:v>
      </x:c>
      <x:c r="C512" s="84" t="n">
        <x:v>9</x:v>
      </x:c>
      <x:c r="D512" s="89" t="n">
        <x:v>45027</x:v>
      </x:c>
      <x:c r="E512" s="84" t="n">
        <x:v>6.8</x:v>
      </x:c>
      <x:c r="F512" s="84" t="str">
        <x:v>Normal</x:v>
      </x:c>
      <x:c r="G512" s="93" t="n">
        <x:v>358.16</x:v>
      </x:c>
      <x:c r="H512" s="85" t="str">
        <x:v>Diagnóstico e execução</x:v>
      </x:c>
    </x:row>
    <x:row r="513">
      <x:c r="A513" s="83" t="n">
        <x:v>512</x:v>
      </x:c>
      <x:c r="B513" s="84" t="n">
        <x:v>305</x:v>
      </x:c>
      <x:c r="C513" s="84" t="n">
        <x:v>20</x:v>
      </x:c>
      <x:c r="D513" s="89" t="n">
        <x:v>45027</x:v>
      </x:c>
      <x:c r="E513" s="84" t="n">
        <x:v>2.2</x:v>
      </x:c>
      <x:c r="F513" s="84" t="str">
        <x:v>Normal</x:v>
      </x:c>
      <x:c r="G513" s="93" t="n">
        <x:v>73.74</x:v>
      </x:c>
      <x:c r="H513" s="85" t="str">
        <x:v>Diagnóstico e execução</x:v>
      </x:c>
    </x:row>
    <x:row r="514">
      <x:c r="A514" s="83" t="n">
        <x:v>513</x:v>
      </x:c>
      <x:c r="B514" s="84" t="n">
        <x:v>305</x:v>
      </x:c>
      <x:c r="C514" s="84" t="n">
        <x:v>22</x:v>
      </x:c>
      <x:c r="D514" s="89" t="n">
        <x:v>45027</x:v>
      </x:c>
      <x:c r="E514" s="84" t="n">
        <x:v>7.7</x:v>
      </x:c>
      <x:c r="F514" s="84" t="str">
        <x:v>Normal</x:v>
      </x:c>
      <x:c r="G514" s="93" t="n">
        <x:v>296.14</x:v>
      </x:c>
      <x:c r="H514" s="85" t="str">
        <x:v>Diagnóstico e execução</x:v>
      </x:c>
    </x:row>
    <x:row r="515">
      <x:c r="A515" s="83" t="n">
        <x:v>514</x:v>
      </x:c>
      <x:c r="B515" s="84" t="n">
        <x:v>306</x:v>
      </x:c>
      <x:c r="C515" s="84" t="n">
        <x:v>28</x:v>
      </x:c>
      <x:c r="D515" s="89" t="n">
        <x:v>45944</x:v>
      </x:c>
      <x:c r="E515" s="84" t="n">
        <x:v>5.2</x:v>
      </x:c>
      <x:c r="F515" s="84" t="str">
        <x:v>Normal</x:v>
      </x:c>
      <x:c r="G515" s="93" t="n">
        <x:v>195.62</x:v>
      </x:c>
      <x:c r="H515" s="85" t="str">
        <x:v>Diagnóstico e execução</x:v>
      </x:c>
    </x:row>
    <x:row r="516">
      <x:c r="A516" s="83" t="n">
        <x:v>515</x:v>
      </x:c>
      <x:c r="B516" s="84" t="n">
        <x:v>306</x:v>
      </x:c>
      <x:c r="C516" s="84" t="n">
        <x:v>41</x:v>
      </x:c>
      <x:c r="D516" s="89" t="n">
        <x:v>45944</x:v>
      </x:c>
      <x:c r="E516" s="84" t="n">
        <x:v>5.7</x:v>
      </x:c>
      <x:c r="F516" s="84" t="str">
        <x:v>Normal</x:v>
      </x:c>
      <x:c r="G516" s="93" t="n">
        <x:v>288.31</x:v>
      </x:c>
      <x:c r="H516" s="85" t="str">
        <x:v>Diagnóstico e execução</x:v>
      </x:c>
    </x:row>
    <x:row r="517">
      <x:c r="A517" s="83" t="n">
        <x:v>516</x:v>
      </x:c>
      <x:c r="B517" s="84" t="n">
        <x:v>307</x:v>
      </x:c>
      <x:c r="C517" s="84" t="n">
        <x:v>12</x:v>
      </x:c>
      <x:c r="D517" s="89" t="n">
        <x:v>45141</x:v>
      </x:c>
      <x:c r="E517" s="84" t="n">
        <x:v>0.8</x:v>
      </x:c>
      <x:c r="F517" s="84" t="str">
        <x:v>Normal</x:v>
      </x:c>
      <x:c r="G517" s="93" t="n">
        <x:v>27.6</x:v>
      </x:c>
      <x:c r="H517" s="85" t="str">
        <x:v>Diagnóstico e execução</x:v>
      </x:c>
    </x:row>
    <x:row r="518">
      <x:c r="A518" s="83" t="n">
        <x:v>517</x:v>
      </x:c>
      <x:c r="B518" s="84" t="n">
        <x:v>307</x:v>
      </x:c>
      <x:c r="C518" s="84" t="n">
        <x:v>30</x:v>
      </x:c>
      <x:c r="D518" s="89" t="n">
        <x:v>45141</x:v>
      </x:c>
      <x:c r="E518" s="84" t="n">
        <x:v>3.3</x:v>
      </x:c>
      <x:c r="F518" s="84" t="str">
        <x:v>Normal</x:v>
      </x:c>
      <x:c r="G518" s="93" t="n">
        <x:v>136.65</x:v>
      </x:c>
      <x:c r="H518" s="85" t="str">
        <x:v>Diagnóstico e execução</x:v>
      </x:c>
    </x:row>
    <x:row r="519">
      <x:c r="A519" s="83" t="n">
        <x:v>518</x:v>
      </x:c>
      <x:c r="B519" s="84" t="n">
        <x:v>310</x:v>
      </x:c>
      <x:c r="C519" s="84" t="n">
        <x:v>35</x:v>
      </x:c>
      <x:c r="D519" s="89" t="n">
        <x:v>45071</x:v>
      </x:c>
      <x:c r="E519" s="84" t="n">
        <x:v>3.9</x:v>
      </x:c>
      <x:c r="F519" s="84" t="str">
        <x:v>Normal</x:v>
      </x:c>
      <x:c r="G519" s="93" t="n">
        <x:v>191.84</x:v>
      </x:c>
      <x:c r="H519" s="85" t="str">
        <x:v>Diagnóstico e execução</x:v>
      </x:c>
    </x:row>
    <x:row r="520">
      <x:c r="A520" s="83" t="n">
        <x:v>519</x:v>
      </x:c>
      <x:c r="B520" s="84" t="n">
        <x:v>310</x:v>
      </x:c>
      <x:c r="C520" s="84" t="n">
        <x:v>44</x:v>
      </x:c>
      <x:c r="D520" s="89" t="n">
        <x:v>45071</x:v>
      </x:c>
      <x:c r="E520" s="84" t="n">
        <x:v>6.7</x:v>
      </x:c>
      <x:c r="F520" s="84" t="str">
        <x:v>Normal</x:v>
      </x:c>
      <x:c r="G520" s="93" t="n">
        <x:v>187.87</x:v>
      </x:c>
      <x:c r="H520" s="85" t="str">
        <x:v>Diagnóstico e execução</x:v>
      </x:c>
    </x:row>
    <x:row r="521">
      <x:c r="A521" s="83" t="n">
        <x:v>520</x:v>
      </x:c>
      <x:c r="B521" s="84" t="n">
        <x:v>311</x:v>
      </x:c>
      <x:c r="C521" s="84" t="n">
        <x:v>7</x:v>
      </x:c>
      <x:c r="D521" s="89" t="n">
        <x:v>45232</x:v>
      </x:c>
      <x:c r="E521" s="84" t="n">
        <x:v>2.9</x:v>
      </x:c>
      <x:c r="F521" s="84" t="str">
        <x:v>Normal</x:v>
      </x:c>
      <x:c r="G521" s="93" t="n">
        <x:v>168.81</x:v>
      </x:c>
      <x:c r="H521" s="85" t="str">
        <x:v>Diagnóstico e execução</x:v>
      </x:c>
    </x:row>
    <x:row r="522">
      <x:c r="A522" s="83" t="n">
        <x:v>521</x:v>
      </x:c>
      <x:c r="B522" s="84" t="n">
        <x:v>311</x:v>
      </x:c>
      <x:c r="C522" s="84" t="n">
        <x:v>15</x:v>
      </x:c>
      <x:c r="D522" s="89" t="n">
        <x:v>45232</x:v>
      </x:c>
      <x:c r="E522" s="84" t="n">
        <x:v>1.3</x:v>
      </x:c>
      <x:c r="F522" s="84" t="str">
        <x:v>Normal</x:v>
      </x:c>
      <x:c r="G522" s="93" t="n">
        <x:v>39.31</x:v>
      </x:c>
      <x:c r="H522" s="85" t="str">
        <x:v>Diagnóstico e execução</x:v>
      </x:c>
    </x:row>
    <x:row r="523">
      <x:c r="A523" s="83" t="n">
        <x:v>522</x:v>
      </x:c>
      <x:c r="B523" s="84" t="n">
        <x:v>311</x:v>
      </x:c>
      <x:c r="C523" s="84" t="n">
        <x:v>30</x:v>
      </x:c>
      <x:c r="D523" s="89" t="n">
        <x:v>45232</x:v>
      </x:c>
      <x:c r="E523" s="84" t="n">
        <x:v>5</x:v>
      </x:c>
      <x:c r="F523" s="84" t="str">
        <x:v>Normal</x:v>
      </x:c>
      <x:c r="G523" s="93" t="n">
        <x:v>207.05</x:v>
      </x:c>
      <x:c r="H523" s="85" t="str">
        <x:v>Diagnóstico e execução</x:v>
      </x:c>
    </x:row>
    <x:row r="524">
      <x:c r="A524" s="83" t="n">
        <x:v>523</x:v>
      </x:c>
      <x:c r="B524" s="84" t="n">
        <x:v>312</x:v>
      </x:c>
      <x:c r="C524" s="84" t="n">
        <x:v>16</x:v>
      </x:c>
      <x:c r="D524" s="89" t="n">
        <x:v>45213</x:v>
      </x:c>
      <x:c r="E524" s="84" t="n">
        <x:v>6.8</x:v>
      </x:c>
      <x:c r="F524" s="84" t="str">
        <x:v>Normal</x:v>
      </x:c>
      <x:c r="G524" s="93" t="n">
        <x:v>275.54</x:v>
      </x:c>
      <x:c r="H524" s="85" t="str">
        <x:v>Diagnóstico e execução</x:v>
      </x:c>
    </x:row>
    <x:row r="525">
      <x:c r="A525" s="83" t="n">
        <x:v>524</x:v>
      </x:c>
      <x:c r="B525" s="84" t="n">
        <x:v>313</x:v>
      </x:c>
      <x:c r="C525" s="84" t="n">
        <x:v>20</x:v>
      </x:c>
      <x:c r="D525" s="89" t="n">
        <x:v>45473</x:v>
      </x:c>
      <x:c r="E525" s="84" t="n">
        <x:v>4.7</x:v>
      </x:c>
      <x:c r="F525" s="84" t="str">
        <x:v>Normal</x:v>
      </x:c>
      <x:c r="G525" s="93" t="n">
        <x:v>157.54</x:v>
      </x:c>
      <x:c r="H525" s="85" t="str">
        <x:v>Diagnóstico e execução</x:v>
      </x:c>
    </x:row>
    <x:row r="526">
      <x:c r="A526" s="83" t="n">
        <x:v>525</x:v>
      </x:c>
      <x:c r="B526" s="84" t="n">
        <x:v>313</x:v>
      </x:c>
      <x:c r="C526" s="84" t="n">
        <x:v>15</x:v>
      </x:c>
      <x:c r="D526" s="89" t="n">
        <x:v>45473</x:v>
      </x:c>
      <x:c r="E526" s="84" t="n">
        <x:v>2.6</x:v>
      </x:c>
      <x:c r="F526" s="84" t="str">
        <x:v>Normal</x:v>
      </x:c>
      <x:c r="G526" s="93" t="n">
        <x:v>78.62</x:v>
      </x:c>
      <x:c r="H526" s="85" t="str">
        <x:v>Diagnóstico e execução</x:v>
      </x:c>
    </x:row>
    <x:row r="527">
      <x:c r="A527" s="83" t="n">
        <x:v>526</x:v>
      </x:c>
      <x:c r="B527" s="84" t="n">
        <x:v>313</x:v>
      </x:c>
      <x:c r="C527" s="84" t="n">
        <x:v>9</x:v>
      </x:c>
      <x:c r="D527" s="89" t="n">
        <x:v>45473</x:v>
      </x:c>
      <x:c r="E527" s="84" t="n">
        <x:v>6.3</x:v>
      </x:c>
      <x:c r="F527" s="84" t="str">
        <x:v>Normal</x:v>
      </x:c>
      <x:c r="G527" s="93" t="n">
        <x:v>331.82</x:v>
      </x:c>
      <x:c r="H527" s="85" t="str">
        <x:v>Diagnóstico e execução</x:v>
      </x:c>
    </x:row>
    <x:row r="528">
      <x:c r="A528" s="83" t="n">
        <x:v>527</x:v>
      </x:c>
      <x:c r="B528" s="84" t="n">
        <x:v>314</x:v>
      </x:c>
      <x:c r="C528" s="84" t="n">
        <x:v>34</x:v>
      </x:c>
      <x:c r="D528" s="89" t="n">
        <x:v>45017</x:v>
      </x:c>
      <x:c r="E528" s="84" t="n">
        <x:v>5</x:v>
      </x:c>
      <x:c r="F528" s="84" t="str">
        <x:v>Normal</x:v>
      </x:c>
      <x:c r="G528" s="93" t="n">
        <x:v>216.15</x:v>
      </x:c>
      <x:c r="H528" s="85" t="str">
        <x:v>Diagnóstico e execução</x:v>
      </x:c>
    </x:row>
    <x:row r="529">
      <x:c r="A529" s="83" t="n">
        <x:v>528</x:v>
      </x:c>
      <x:c r="B529" s="84" t="n">
        <x:v>314</x:v>
      </x:c>
      <x:c r="C529" s="84" t="n">
        <x:v>31</x:v>
      </x:c>
      <x:c r="D529" s="89" t="n">
        <x:v>45017</x:v>
      </x:c>
      <x:c r="E529" s="84" t="n">
        <x:v>7.1</x:v>
      </x:c>
      <x:c r="F529" s="84" t="str">
        <x:v>Normal</x:v>
      </x:c>
      <x:c r="G529" s="93" t="n">
        <x:v>347.19</x:v>
      </x:c>
      <x:c r="H529" s="85" t="str">
        <x:v>Diagnóstico e execução</x:v>
      </x:c>
    </x:row>
    <x:row r="530">
      <x:c r="A530" s="83" t="n">
        <x:v>529</x:v>
      </x:c>
      <x:c r="B530" s="84" t="n">
        <x:v>315</x:v>
      </x:c>
      <x:c r="C530" s="84" t="n">
        <x:v>33</x:v>
      </x:c>
      <x:c r="D530" s="89" t="n">
        <x:v>45307</x:v>
      </x:c>
      <x:c r="E530" s="84" t="n">
        <x:v>3.8</x:v>
      </x:c>
      <x:c r="F530" s="84" t="str">
        <x:v>Normal</x:v>
      </x:c>
      <x:c r="G530" s="93" t="n">
        <x:v>131.06</x:v>
      </x:c>
      <x:c r="H530" s="85" t="str">
        <x:v>Diagnóstico e execução</x:v>
      </x:c>
    </x:row>
    <x:row r="531">
      <x:c r="A531" s="83" t="n">
        <x:v>530</x:v>
      </x:c>
      <x:c r="B531" s="84" t="n">
        <x:v>315</x:v>
      </x:c>
      <x:c r="C531" s="84" t="n">
        <x:v>24</x:v>
      </x:c>
      <x:c r="D531" s="89" t="n">
        <x:v>45307</x:v>
      </x:c>
      <x:c r="E531" s="84" t="n">
        <x:v>3.7</x:v>
      </x:c>
      <x:c r="F531" s="84" t="str">
        <x:v>Normal</x:v>
      </x:c>
      <x:c r="G531" s="93" t="n">
        <x:v>219.19</x:v>
      </x:c>
      <x:c r="H531" s="85" t="str">
        <x:v>Diagnóstico e execução</x:v>
      </x:c>
    </x:row>
    <x:row r="532">
      <x:c r="A532" s="83" t="n">
        <x:v>531</x:v>
      </x:c>
      <x:c r="B532" s="84" t="n">
        <x:v>315</x:v>
      </x:c>
      <x:c r="C532" s="84" t="n">
        <x:v>27</x:v>
      </x:c>
      <x:c r="D532" s="89" t="n">
        <x:v>45307</x:v>
      </x:c>
      <x:c r="E532" s="84" t="n">
        <x:v>7.2</x:v>
      </x:c>
      <x:c r="F532" s="84" t="str">
        <x:v>Normal</x:v>
      </x:c>
      <x:c r="G532" s="93" t="n">
        <x:v>439.13</x:v>
      </x:c>
      <x:c r="H532" s="85" t="str">
        <x:v>Diagnóstico e execução</x:v>
      </x:c>
    </x:row>
    <x:row r="533">
      <x:c r="A533" s="83" t="n">
        <x:v>532</x:v>
      </x:c>
      <x:c r="B533" s="84" t="n">
        <x:v>316</x:v>
      </x:c>
      <x:c r="C533" s="84" t="n">
        <x:v>23</x:v>
      </x:c>
      <x:c r="D533" s="89" t="n">
        <x:v>45587</x:v>
      </x:c>
      <x:c r="E533" s="84" t="n">
        <x:v>6.7</x:v>
      </x:c>
      <x:c r="F533" s="84" t="str">
        <x:v>Normal</x:v>
      </x:c>
      <x:c r="G533" s="93" t="n">
        <x:v>288.84</x:v>
      </x:c>
      <x:c r="H533" s="85" t="str">
        <x:v>Diagnóstico e execução</x:v>
      </x:c>
    </x:row>
    <x:row r="534">
      <x:c r="A534" s="83" t="n">
        <x:v>533</x:v>
      </x:c>
      <x:c r="B534" s="84" t="n">
        <x:v>317</x:v>
      </x:c>
      <x:c r="C534" s="84" t="n">
        <x:v>16</x:v>
      </x:c>
      <x:c r="D534" s="89" t="n">
        <x:v>45596</x:v>
      </x:c>
      <x:c r="E534" s="84" t="n">
        <x:v>3.6</x:v>
      </x:c>
      <x:c r="F534" s="84" t="str">
        <x:v>Normal</x:v>
      </x:c>
      <x:c r="G534" s="93" t="n">
        <x:v>145.87</x:v>
      </x:c>
      <x:c r="H534" s="85" t="str">
        <x:v>Diagnóstico e execução</x:v>
      </x:c>
    </x:row>
    <x:row r="535">
      <x:c r="A535" s="83" t="n">
        <x:v>534</x:v>
      </x:c>
      <x:c r="B535" s="84" t="n">
        <x:v>318</x:v>
      </x:c>
      <x:c r="C535" s="84" t="n">
        <x:v>5</x:v>
      </x:c>
      <x:c r="D535" s="89" t="n">
        <x:v>45213</x:v>
      </x:c>
      <x:c r="E535" s="84" t="n">
        <x:v>2.6</x:v>
      </x:c>
      <x:c r="F535" s="84" t="str">
        <x:v>Normal</x:v>
      </x:c>
      <x:c r="G535" s="93" t="n">
        <x:v>74.93</x:v>
      </x:c>
      <x:c r="H535" s="85" t="str">
        <x:v>Diagnóstico e execução</x:v>
      </x:c>
    </x:row>
    <x:row r="536">
      <x:c r="A536" s="83" t="n">
        <x:v>535</x:v>
      </x:c>
      <x:c r="B536" s="84" t="n">
        <x:v>318</x:v>
      </x:c>
      <x:c r="C536" s="84" t="n">
        <x:v>39</x:v>
      </x:c>
      <x:c r="D536" s="89" t="n">
        <x:v>45213</x:v>
      </x:c>
      <x:c r="E536" s="84" t="n">
        <x:v>2.7</x:v>
      </x:c>
      <x:c r="F536" s="84" t="str">
        <x:v>Normal</x:v>
      </x:c>
      <x:c r="G536" s="93" t="n">
        <x:v>156.33</x:v>
      </x:c>
      <x:c r="H536" s="85" t="str">
        <x:v>Diagnóstico e execução</x:v>
      </x:c>
    </x:row>
    <x:row r="537">
      <x:c r="A537" s="83" t="n">
        <x:v>536</x:v>
      </x:c>
      <x:c r="B537" s="84" t="n">
        <x:v>318</x:v>
      </x:c>
      <x:c r="C537" s="84" t="n">
        <x:v>32</x:v>
      </x:c>
      <x:c r="D537" s="89" t="n">
        <x:v>45213</x:v>
      </x:c>
      <x:c r="E537" s="84" t="n">
        <x:v>5.2</x:v>
      </x:c>
      <x:c r="F537" s="84" t="str">
        <x:v>Normal</x:v>
      </x:c>
      <x:c r="G537" s="93" t="n">
        <x:v>226.98</x:v>
      </x:c>
      <x:c r="H537" s="85" t="str">
        <x:v>Diagnóstico e execução</x:v>
      </x:c>
    </x:row>
    <x:row r="538">
      <x:c r="A538" s="83" t="n">
        <x:v>537</x:v>
      </x:c>
      <x:c r="B538" s="84" t="n">
        <x:v>319</x:v>
      </x:c>
      <x:c r="C538" s="84" t="n">
        <x:v>20</x:v>
      </x:c>
      <x:c r="D538" s="89" t="n">
        <x:v>45362</x:v>
      </x:c>
      <x:c r="E538" s="84" t="n">
        <x:v>1.5</x:v>
      </x:c>
      <x:c r="F538" s="84" t="str">
        <x:v>Normal</x:v>
      </x:c>
      <x:c r="G538" s="93" t="n">
        <x:v>50.28</x:v>
      </x:c>
      <x:c r="H538" s="85" t="str">
        <x:v>Diagnóstico e execução</x:v>
      </x:c>
    </x:row>
    <x:row r="539">
      <x:c r="A539" s="83" t="n">
        <x:v>538</x:v>
      </x:c>
      <x:c r="B539" s="84" t="n">
        <x:v>319</x:v>
      </x:c>
      <x:c r="C539" s="84" t="n">
        <x:v>38</x:v>
      </x:c>
      <x:c r="D539" s="89" t="n">
        <x:v>45362</x:v>
      </x:c>
      <x:c r="E539" s="84" t="n">
        <x:v>4.3</x:v>
      </x:c>
      <x:c r="F539" s="84" t="str">
        <x:v>Normal</x:v>
      </x:c>
      <x:c r="G539" s="93" t="n">
        <x:v>144.78</x:v>
      </x:c>
      <x:c r="H539" s="85" t="str">
        <x:v>Diagnóstico e execução</x:v>
      </x:c>
    </x:row>
    <x:row r="540">
      <x:c r="A540" s="83" t="n">
        <x:v>539</x:v>
      </x:c>
      <x:c r="B540" s="84" t="n">
        <x:v>319</x:v>
      </x:c>
      <x:c r="C540" s="84" t="n">
        <x:v>41</x:v>
      </x:c>
      <x:c r="D540" s="89" t="n">
        <x:v>45362</x:v>
      </x:c>
      <x:c r="E540" s="84" t="n">
        <x:v>4.6</x:v>
      </x:c>
      <x:c r="F540" s="84" t="str">
        <x:v>Normal</x:v>
      </x:c>
      <x:c r="G540" s="93" t="n">
        <x:v>232.67</x:v>
      </x:c>
      <x:c r="H540" s="85" t="str">
        <x:v>Diagnóstico e execução</x:v>
      </x:c>
    </x:row>
    <x:row r="541">
      <x:c r="A541" s="83" t="n">
        <x:v>540</x:v>
      </x:c>
      <x:c r="B541" s="84" t="n">
        <x:v>320</x:v>
      </x:c>
      <x:c r="C541" s="84" t="n">
        <x:v>26</x:v>
      </x:c>
      <x:c r="D541" s="89" t="n">
        <x:v>45560</x:v>
      </x:c>
      <x:c r="E541" s="84" t="n">
        <x:v>5.1</x:v>
      </x:c>
      <x:c r="F541" s="84" t="str">
        <x:v>Normal</x:v>
      </x:c>
      <x:c r="G541" s="93" t="n">
        <x:v>199.51</x:v>
      </x:c>
      <x:c r="H541" s="85" t="str">
        <x:v>Diagnóstico e execução</x:v>
      </x:c>
    </x:row>
    <x:row r="542">
      <x:c r="A542" s="83" t="n">
        <x:v>541</x:v>
      </x:c>
      <x:c r="B542" s="84" t="n">
        <x:v>320</x:v>
      </x:c>
      <x:c r="C542" s="84" t="n">
        <x:v>8</x:v>
      </x:c>
      <x:c r="D542" s="89" t="n">
        <x:v>45560</x:v>
      </x:c>
      <x:c r="E542" s="84" t="n">
        <x:v>3.5</x:v>
      </x:c>
      <x:c r="F542" s="84" t="str">
        <x:v>Normal</x:v>
      </x:c>
      <x:c r="G542" s="93" t="n">
        <x:v>162.75</x:v>
      </x:c>
      <x:c r="H542" s="85" t="str">
        <x:v>Diagnóstico e execução</x:v>
      </x:c>
    </x:row>
    <x:row r="543">
      <x:c r="A543" s="83" t="n">
        <x:v>542</x:v>
      </x:c>
      <x:c r="B543" s="84" t="n">
        <x:v>321</x:v>
      </x:c>
      <x:c r="C543" s="84" t="n">
        <x:v>16</x:v>
      </x:c>
      <x:c r="D543" s="89" t="n">
        <x:v>45629</x:v>
      </x:c>
      <x:c r="E543" s="84" t="n">
        <x:v>2.3</x:v>
      </x:c>
      <x:c r="F543" s="84" t="str">
        <x:v>Normal</x:v>
      </x:c>
      <x:c r="G543" s="93" t="n">
        <x:v>93.2</x:v>
      </x:c>
      <x:c r="H543" s="85" t="str">
        <x:v>Diagnóstico e execução</x:v>
      </x:c>
    </x:row>
    <x:row r="544">
      <x:c r="A544" s="83" t="n">
        <x:v>543</x:v>
      </x:c>
      <x:c r="B544" s="84" t="n">
        <x:v>321</x:v>
      </x:c>
      <x:c r="C544" s="84" t="n">
        <x:v>42</x:v>
      </x:c>
      <x:c r="D544" s="89" t="n">
        <x:v>45629</x:v>
      </x:c>
      <x:c r="E544" s="84" t="n">
        <x:v>5.3</x:v>
      </x:c>
      <x:c r="F544" s="84" t="str">
        <x:v>Normal</x:v>
      </x:c>
      <x:c r="G544" s="93" t="n">
        <x:v>223.55</x:v>
      </x:c>
      <x:c r="H544" s="85" t="str">
        <x:v>Diagnóstico e execução</x:v>
      </x:c>
    </x:row>
    <x:row r="545">
      <x:c r="A545" s="83" t="n">
        <x:v>544</x:v>
      </x:c>
      <x:c r="B545" s="84" t="n">
        <x:v>321</x:v>
      </x:c>
      <x:c r="C545" s="84" t="n">
        <x:v>45</x:v>
      </x:c>
      <x:c r="D545" s="89" t="n">
        <x:v>45629</x:v>
      </x:c>
      <x:c r="E545" s="84" t="n">
        <x:v>7.5</x:v>
      </x:c>
      <x:c r="F545" s="84" t="str">
        <x:v>Normal</x:v>
      </x:c>
      <x:c r="G545" s="93" t="n">
        <x:v>401.77</x:v>
      </x:c>
      <x:c r="H545" s="85" t="str">
        <x:v>Diagnóstico e execução</x:v>
      </x:c>
    </x:row>
    <x:row r="546">
      <x:c r="A546" s="83" t="n">
        <x:v>545</x:v>
      </x:c>
      <x:c r="B546" s="84" t="n">
        <x:v>322</x:v>
      </x:c>
      <x:c r="C546" s="84" t="n">
        <x:v>4</x:v>
      </x:c>
      <x:c r="D546" s="89" t="n">
        <x:v>45377</x:v>
      </x:c>
      <x:c r="E546" s="84" t="n">
        <x:v>1.2</x:v>
      </x:c>
      <x:c r="F546" s="84" t="str">
        <x:v>Normal</x:v>
      </x:c>
      <x:c r="G546" s="93" t="n">
        <x:v>59.03</x:v>
      </x:c>
      <x:c r="H546" s="85" t="str">
        <x:v>Diagnóstico e execução</x:v>
      </x:c>
    </x:row>
    <x:row r="547">
      <x:c r="A547" s="83" t="n">
        <x:v>546</x:v>
      </x:c>
      <x:c r="B547" s="84" t="n">
        <x:v>322</x:v>
      </x:c>
      <x:c r="C547" s="84" t="n">
        <x:v>2</x:v>
      </x:c>
      <x:c r="D547" s="89" t="n">
        <x:v>45377</x:v>
      </x:c>
      <x:c r="E547" s="84" t="n">
        <x:v>7.5</x:v>
      </x:c>
      <x:c r="F547" s="84" t="str">
        <x:v>Normal</x:v>
      </x:c>
      <x:c r="G547" s="93" t="n">
        <x:v>279.45</x:v>
      </x:c>
      <x:c r="H547" s="85" t="str">
        <x:v>Diagnóstico e execução</x:v>
      </x:c>
    </x:row>
    <x:row r="548">
      <x:c r="A548" s="83" t="n">
        <x:v>547</x:v>
      </x:c>
      <x:c r="B548" s="84" t="n">
        <x:v>322</x:v>
      </x:c>
      <x:c r="C548" s="84" t="n">
        <x:v>30</x:v>
      </x:c>
      <x:c r="D548" s="89" t="n">
        <x:v>45377</x:v>
      </x:c>
      <x:c r="E548" s="84" t="n">
        <x:v>6.1</x:v>
      </x:c>
      <x:c r="F548" s="84" t="str">
        <x:v>Normal</x:v>
      </x:c>
      <x:c r="G548" s="93" t="n">
        <x:v>252.6</x:v>
      </x:c>
      <x:c r="H548" s="85" t="str">
        <x:v>Diagnóstico e execução</x:v>
      </x:c>
    </x:row>
    <x:row r="549">
      <x:c r="A549" s="83" t="n">
        <x:v>548</x:v>
      </x:c>
      <x:c r="B549" s="84" t="n">
        <x:v>323</x:v>
      </x:c>
      <x:c r="C549" s="84" t="n">
        <x:v>39</x:v>
      </x:c>
      <x:c r="D549" s="89" t="n">
        <x:v>45327</x:v>
      </x:c>
      <x:c r="E549" s="84" t="n">
        <x:v>2.9</x:v>
      </x:c>
      <x:c r="F549" s="84" t="str">
        <x:v>Normal</x:v>
      </x:c>
      <x:c r="G549" s="93" t="n">
        <x:v>167.91</x:v>
      </x:c>
      <x:c r="H549" s="85" t="str">
        <x:v>Diagnóstico e execução</x:v>
      </x:c>
    </x:row>
    <x:row r="550">
      <x:c r="A550" s="83" t="n">
        <x:v>549</x:v>
      </x:c>
      <x:c r="B550" s="84" t="n">
        <x:v>323</x:v>
      </x:c>
      <x:c r="C550" s="84" t="n">
        <x:v>2</x:v>
      </x:c>
      <x:c r="D550" s="89" t="n">
        <x:v>45327</x:v>
      </x:c>
      <x:c r="E550" s="84" t="n">
        <x:v>5.2</x:v>
      </x:c>
      <x:c r="F550" s="84" t="str">
        <x:v>Normal</x:v>
      </x:c>
      <x:c r="G550" s="93" t="n">
        <x:v>193.75</x:v>
      </x:c>
      <x:c r="H550" s="85" t="str">
        <x:v>Diagnóstico e execução</x:v>
      </x:c>
    </x:row>
    <x:row r="551">
      <x:c r="A551" s="83" t="n">
        <x:v>550</x:v>
      </x:c>
      <x:c r="B551" s="84" t="n">
        <x:v>323</x:v>
      </x:c>
      <x:c r="C551" s="84" t="n">
        <x:v>24</x:v>
      </x:c>
      <x:c r="D551" s="89" t="n">
        <x:v>45327</x:v>
      </x:c>
      <x:c r="E551" s="84" t="n">
        <x:v>0.6</x:v>
      </x:c>
      <x:c r="F551" s="84" t="str">
        <x:v>Normal</x:v>
      </x:c>
      <x:c r="G551" s="93" t="n">
        <x:v>35.54</x:v>
      </x:c>
      <x:c r="H551" s="85" t="str">
        <x:v>Diagnóstico e execução</x:v>
      </x:c>
    </x:row>
    <x:row r="552">
      <x:c r="A552" s="83" t="n">
        <x:v>551</x:v>
      </x:c>
      <x:c r="B552" s="84" t="n">
        <x:v>325</x:v>
      </x:c>
      <x:c r="C552" s="84" t="n">
        <x:v>31</x:v>
      </x:c>
      <x:c r="D552" s="89" t="n">
        <x:v>45327</x:v>
      </x:c>
      <x:c r="E552" s="84" t="n">
        <x:v>3.5</x:v>
      </x:c>
      <x:c r="F552" s="84" t="str">
        <x:v>Normal</x:v>
      </x:c>
      <x:c r="G552" s="93" t="n">
        <x:v>171.15</x:v>
      </x:c>
      <x:c r="H552" s="85" t="str">
        <x:v>Diagnóstico e execução</x:v>
      </x:c>
    </x:row>
    <x:row r="553">
      <x:c r="A553" s="83" t="n">
        <x:v>552</x:v>
      </x:c>
      <x:c r="B553" s="84" t="n">
        <x:v>325</x:v>
      </x:c>
      <x:c r="C553" s="84" t="n">
        <x:v>7</x:v>
      </x:c>
      <x:c r="D553" s="89" t="n">
        <x:v>45327</x:v>
      </x:c>
      <x:c r="E553" s="84" t="n">
        <x:v>4.5</x:v>
      </x:c>
      <x:c r="F553" s="84" t="str">
        <x:v>Normal</x:v>
      </x:c>
      <x:c r="G553" s="93" t="n">
        <x:v>261.94</x:v>
      </x:c>
      <x:c r="H553" s="85" t="str">
        <x:v>Diagnóstico e execução</x:v>
      </x:c>
    </x:row>
    <x:row r="554">
      <x:c r="A554" s="83" t="n">
        <x:v>553</x:v>
      </x:c>
      <x:c r="B554" s="84" t="n">
        <x:v>326</x:v>
      </x:c>
      <x:c r="C554" s="84" t="n">
        <x:v>17</x:v>
      </x:c>
      <x:c r="D554" s="89" t="n">
        <x:v>45595</x:v>
      </x:c>
      <x:c r="E554" s="84" t="n">
        <x:v>1.6</x:v>
      </x:c>
      <x:c r="F554" s="84" t="str">
        <x:v>Normal</x:v>
      </x:c>
      <x:c r="G554" s="93" t="n">
        <x:v>89.25</x:v>
      </x:c>
      <x:c r="H554" s="85" t="str">
        <x:v>Diagnóstico e execução</x:v>
      </x:c>
    </x:row>
    <x:row r="555">
      <x:c r="A555" s="83" t="n">
        <x:v>554</x:v>
      </x:c>
      <x:c r="B555" s="84" t="n">
        <x:v>326</x:v>
      </x:c>
      <x:c r="C555" s="84" t="n">
        <x:v>31</x:v>
      </x:c>
      <x:c r="D555" s="89" t="n">
        <x:v>45595</x:v>
      </x:c>
      <x:c r="E555" s="84" t="n">
        <x:v>2.2</x:v>
      </x:c>
      <x:c r="F555" s="84" t="str">
        <x:v>Normal</x:v>
      </x:c>
      <x:c r="G555" s="93" t="n">
        <x:v>107.58</x:v>
      </x:c>
      <x:c r="H555" s="85" t="str">
        <x:v>Diagnóstico e execução</x:v>
      </x:c>
    </x:row>
    <x:row r="556">
      <x:c r="A556" s="83" t="n">
        <x:v>555</x:v>
      </x:c>
      <x:c r="B556" s="84" t="n">
        <x:v>327</x:v>
      </x:c>
      <x:c r="C556" s="84" t="n">
        <x:v>32</x:v>
      </x:c>
      <x:c r="D556" s="89" t="n">
        <x:v>44977</x:v>
      </x:c>
      <x:c r="E556" s="84" t="n">
        <x:v>7</x:v>
      </x:c>
      <x:c r="F556" s="84" t="str">
        <x:v>Normal</x:v>
      </x:c>
      <x:c r="G556" s="93" t="n">
        <x:v>305.55</x:v>
      </x:c>
      <x:c r="H556" s="85" t="str">
        <x:v>Diagnóstico e execução</x:v>
      </x:c>
    </x:row>
    <x:row r="557">
      <x:c r="A557" s="83" t="n">
        <x:v>556</x:v>
      </x:c>
      <x:c r="B557" s="84" t="n">
        <x:v>327</x:v>
      </x:c>
      <x:c r="C557" s="84" t="n">
        <x:v>6</x:v>
      </x:c>
      <x:c r="D557" s="89" t="n">
        <x:v>44977</x:v>
      </x:c>
      <x:c r="E557" s="84" t="n">
        <x:v>0.7</x:v>
      </x:c>
      <x:c r="F557" s="84" t="str">
        <x:v>Normal</x:v>
      </x:c>
      <x:c r="G557" s="93" t="n">
        <x:v>36.58</x:v>
      </x:c>
      <x:c r="H557" s="85" t="str">
        <x:v>Diagnóstico e execução</x:v>
      </x:c>
    </x:row>
    <x:row r="558">
      <x:c r="A558" s="83" t="n">
        <x:v>557</x:v>
      </x:c>
      <x:c r="B558" s="84" t="n">
        <x:v>327</x:v>
      </x:c>
      <x:c r="C558" s="84" t="n">
        <x:v>8</x:v>
      </x:c>
      <x:c r="D558" s="89" t="n">
        <x:v>44977</x:v>
      </x:c>
      <x:c r="E558" s="84" t="n">
        <x:v>2.9</x:v>
      </x:c>
      <x:c r="F558" s="84" t="str">
        <x:v>Normal</x:v>
      </x:c>
      <x:c r="G558" s="93" t="n">
        <x:v>134.85</x:v>
      </x:c>
      <x:c r="H558" s="85" t="str">
        <x:v>Diagnóstico e execução</x:v>
      </x:c>
    </x:row>
    <x:row r="559">
      <x:c r="A559" s="83" t="n">
        <x:v>558</x:v>
      </x:c>
      <x:c r="B559" s="84" t="n">
        <x:v>328</x:v>
      </x:c>
      <x:c r="C559" s="84" t="n">
        <x:v>13</x:v>
      </x:c>
      <x:c r="D559" s="89" t="n">
        <x:v>45733</x:v>
      </x:c>
      <x:c r="E559" s="84" t="n">
        <x:v>2.6</x:v>
      </x:c>
      <x:c r="F559" s="84" t="str">
        <x:v>Normal</x:v>
      </x:c>
      <x:c r="G559" s="93" t="n">
        <x:v>88.09</x:v>
      </x:c>
      <x:c r="H559" s="85" t="str">
        <x:v>Diagnóstico e execução</x:v>
      </x:c>
    </x:row>
    <x:row r="560">
      <x:c r="A560" s="83" t="n">
        <x:v>559</x:v>
      </x:c>
      <x:c r="B560" s="84" t="n">
        <x:v>329</x:v>
      </x:c>
      <x:c r="C560" s="84" t="n">
        <x:v>11</x:v>
      </x:c>
      <x:c r="D560" s="89" t="n">
        <x:v>45034</x:v>
      </x:c>
      <x:c r="E560" s="84" t="n">
        <x:v>4.6</x:v>
      </x:c>
      <x:c r="F560" s="84" t="str">
        <x:v>Normal</x:v>
      </x:c>
      <x:c r="G560" s="93" t="n">
        <x:v>191.73</x:v>
      </x:c>
      <x:c r="H560" s="85" t="str">
        <x:v>Diagnóstico e execução</x:v>
      </x:c>
    </x:row>
    <x:row r="561">
      <x:c r="A561" s="83" t="n">
        <x:v>560</x:v>
      </x:c>
      <x:c r="B561" s="84" t="n">
        <x:v>329</x:v>
      </x:c>
      <x:c r="C561" s="84" t="n">
        <x:v>3</x:v>
      </x:c>
      <x:c r="D561" s="89" t="n">
        <x:v>45034</x:v>
      </x:c>
      <x:c r="E561" s="84" t="n">
        <x:v>5.3</x:v>
      </x:c>
      <x:c r="F561" s="84" t="str">
        <x:v>Normal</x:v>
      </x:c>
      <x:c r="G561" s="93" t="n">
        <x:v>260.97</x:v>
      </x:c>
      <x:c r="H561" s="85" t="str">
        <x:v>Diagnóstico e execução</x:v>
      </x:c>
    </x:row>
    <x:row r="562">
      <x:c r="A562" s="83" t="n">
        <x:v>561</x:v>
      </x:c>
      <x:c r="B562" s="84" t="n">
        <x:v>330</x:v>
      </x:c>
      <x:c r="C562" s="84" t="n">
        <x:v>43</x:v>
      </x:c>
      <x:c r="D562" s="89" t="n">
        <x:v>45190</x:v>
      </x:c>
      <x:c r="E562" s="84" t="n">
        <x:v>3.3</x:v>
      </x:c>
      <x:c r="F562" s="84" t="str">
        <x:v>Normal</x:v>
      </x:c>
      <x:c r="G562" s="93" t="n">
        <x:v>180.38</x:v>
      </x:c>
      <x:c r="H562" s="85" t="str">
        <x:v>Diagnóstico e execução</x:v>
      </x:c>
    </x:row>
    <x:row r="563">
      <x:c r="A563" s="83" t="n">
        <x:v>562</x:v>
      </x:c>
      <x:c r="B563" s="84" t="n">
        <x:v>330</x:v>
      </x:c>
      <x:c r="C563" s="84" t="n">
        <x:v>7</x:v>
      </x:c>
      <x:c r="D563" s="89" t="n">
        <x:v>45190</x:v>
      </x:c>
      <x:c r="E563" s="84" t="n">
        <x:v>3.4</x:v>
      </x:c>
      <x:c r="F563" s="84" t="str">
        <x:v>Normal</x:v>
      </x:c>
      <x:c r="G563" s="93" t="n">
        <x:v>197.91</x:v>
      </x:c>
      <x:c r="H563" s="85" t="str">
        <x:v>Diagnóstico e execução</x:v>
      </x:c>
    </x:row>
    <x:row r="564">
      <x:c r="A564" s="83" t="n">
        <x:v>563</x:v>
      </x:c>
      <x:c r="B564" s="84" t="n">
        <x:v>331</x:v>
      </x:c>
      <x:c r="C564" s="84" t="n">
        <x:v>12</x:v>
      </x:c>
      <x:c r="D564" s="89" t="n">
        <x:v>45264</x:v>
      </x:c>
      <x:c r="E564" s="84" t="n">
        <x:v>3.1</x:v>
      </x:c>
      <x:c r="F564" s="84" t="str">
        <x:v>Normal</x:v>
      </x:c>
      <x:c r="G564" s="93" t="n">
        <x:v>106.95</x:v>
      </x:c>
      <x:c r="H564" s="85" t="str">
        <x:v>Diagnóstico e execução</x:v>
      </x:c>
    </x:row>
    <x:row r="565">
      <x:c r="A565" s="83" t="n">
        <x:v>564</x:v>
      </x:c>
      <x:c r="B565" s="84" t="n">
        <x:v>332</x:v>
      </x:c>
      <x:c r="C565" s="84" t="n">
        <x:v>21</x:v>
      </x:c>
      <x:c r="D565" s="89" t="n">
        <x:v>45937</x:v>
      </x:c>
      <x:c r="E565" s="84" t="n">
        <x:v>6.1</x:v>
      </x:c>
      <x:c r="F565" s="84" t="str">
        <x:v>Normal</x:v>
      </x:c>
      <x:c r="G565" s="93" t="n">
        <x:v>374.72</x:v>
      </x:c>
      <x:c r="H565" s="85" t="str">
        <x:v>Diagnóstico e execução</x:v>
      </x:c>
    </x:row>
    <x:row r="566">
      <x:c r="A566" s="83" t="n">
        <x:v>565</x:v>
      </x:c>
      <x:c r="B566" s="84" t="n">
        <x:v>333</x:v>
      </x:c>
      <x:c r="C566" s="84" t="n">
        <x:v>35</x:v>
      </x:c>
      <x:c r="D566" s="89" t="n">
        <x:v>45228</x:v>
      </x:c>
      <x:c r="E566" s="84" t="n">
        <x:v>1</x:v>
      </x:c>
      <x:c r="F566" s="84" t="str">
        <x:v>Normal</x:v>
      </x:c>
      <x:c r="G566" s="93" t="n">
        <x:v>49.19</x:v>
      </x:c>
      <x:c r="H566" s="85" t="str">
        <x:v>Diagnóstico e execução</x:v>
      </x:c>
    </x:row>
    <x:row r="567">
      <x:c r="A567" s="83" t="n">
        <x:v>566</x:v>
      </x:c>
      <x:c r="B567" s="84" t="n">
        <x:v>333</x:v>
      </x:c>
      <x:c r="C567" s="84" t="n">
        <x:v>30</x:v>
      </x:c>
      <x:c r="D567" s="89" t="n">
        <x:v>45228</x:v>
      </x:c>
      <x:c r="E567" s="84" t="n">
        <x:v>0.8</x:v>
      </x:c>
      <x:c r="F567" s="84" t="str">
        <x:v>Normal</x:v>
      </x:c>
      <x:c r="G567" s="93" t="n">
        <x:v>33.13</x:v>
      </x:c>
      <x:c r="H567" s="85" t="str">
        <x:v>Diagnóstico e execução</x:v>
      </x:c>
    </x:row>
    <x:row r="568">
      <x:c r="A568" s="83" t="n">
        <x:v>567</x:v>
      </x:c>
      <x:c r="B568" s="84" t="n">
        <x:v>333</x:v>
      </x:c>
      <x:c r="C568" s="84" t="n">
        <x:v>13</x:v>
      </x:c>
      <x:c r="D568" s="89" t="n">
        <x:v>45228</x:v>
      </x:c>
      <x:c r="E568" s="84" t="n">
        <x:v>2.1</x:v>
      </x:c>
      <x:c r="F568" s="84" t="str">
        <x:v>Normal</x:v>
      </x:c>
      <x:c r="G568" s="93" t="n">
        <x:v>71.15</x:v>
      </x:c>
      <x:c r="H568" s="85" t="str">
        <x:v>Diagnóstico e execução</x:v>
      </x:c>
    </x:row>
    <x:row r="569">
      <x:c r="A569" s="83" t="n">
        <x:v>568</x:v>
      </x:c>
      <x:c r="B569" s="84" t="n">
        <x:v>334</x:v>
      </x:c>
      <x:c r="C569" s="84" t="n">
        <x:v>27</x:v>
      </x:c>
      <x:c r="D569" s="89" t="n">
        <x:v>45748</x:v>
      </x:c>
      <x:c r="E569" s="84" t="n">
        <x:v>7.1</x:v>
      </x:c>
      <x:c r="F569" s="84" t="str">
        <x:v>Normal</x:v>
      </x:c>
      <x:c r="G569" s="93" t="n">
        <x:v>433.03</x:v>
      </x:c>
      <x:c r="H569" s="85" t="str">
        <x:v>Diagnóstico e execução</x:v>
      </x:c>
    </x:row>
    <x:row r="570">
      <x:c r="A570" s="83" t="n">
        <x:v>569</x:v>
      </x:c>
      <x:c r="B570" s="84" t="n">
        <x:v>336</x:v>
      </x:c>
      <x:c r="C570" s="84" t="n">
        <x:v>36</x:v>
      </x:c>
      <x:c r="D570" s="89" t="n">
        <x:v>45867</x:v>
      </x:c>
      <x:c r="E570" s="84" t="n">
        <x:v>7.2</x:v>
      </x:c>
      <x:c r="F570" s="84" t="str">
        <x:v>Normal</x:v>
      </x:c>
      <x:c r="G570" s="93" t="n">
        <x:v>213.55</x:v>
      </x:c>
      <x:c r="H570" s="85" t="str">
        <x:v>Diagnóstico e execução</x:v>
      </x:c>
    </x:row>
    <x:row r="571">
      <x:c r="A571" s="83" t="n">
        <x:v>570</x:v>
      </x:c>
      <x:c r="B571" s="84" t="n">
        <x:v>336</x:v>
      </x:c>
      <x:c r="C571" s="84" t="n">
        <x:v>5</x:v>
      </x:c>
      <x:c r="D571" s="89" t="n">
        <x:v>45867</x:v>
      </x:c>
      <x:c r="E571" s="84" t="n">
        <x:v>4.9</x:v>
      </x:c>
      <x:c r="F571" s="84" t="str">
        <x:v>Normal</x:v>
      </x:c>
      <x:c r="G571" s="93" t="n">
        <x:v>141.22</x:v>
      </x:c>
      <x:c r="H571" s="85" t="str">
        <x:v>Diagnóstico e execução</x:v>
      </x:c>
    </x:row>
    <x:row r="572">
      <x:c r="A572" s="83" t="n">
        <x:v>571</x:v>
      </x:c>
      <x:c r="B572" s="84" t="n">
        <x:v>337</x:v>
      </x:c>
      <x:c r="C572" s="84" t="n">
        <x:v>40</x:v>
      </x:c>
      <x:c r="D572" s="89" t="n">
        <x:v>45691</x:v>
      </x:c>
      <x:c r="E572" s="84" t="n">
        <x:v>3.5</x:v>
      </x:c>
      <x:c r="F572" s="84" t="str">
        <x:v>Normal</x:v>
      </x:c>
      <x:c r="G572" s="93" t="n">
        <x:v>172.97</x:v>
      </x:c>
      <x:c r="H572" s="85" t="str">
        <x:v>Diagnóstico e execução</x:v>
      </x:c>
    </x:row>
    <x:row r="573">
      <x:c r="A573" s="83" t="n">
        <x:v>572</x:v>
      </x:c>
      <x:c r="B573" s="84" t="n">
        <x:v>337</x:v>
      </x:c>
      <x:c r="C573" s="84" t="n">
        <x:v>43</x:v>
      </x:c>
      <x:c r="D573" s="89" t="n">
        <x:v>45691</x:v>
      </x:c>
      <x:c r="E573" s="84" t="n">
        <x:v>2.5</x:v>
      </x:c>
      <x:c r="F573" s="84" t="str">
        <x:v>Normal</x:v>
      </x:c>
      <x:c r="G573" s="93" t="n">
        <x:v>136.65</x:v>
      </x:c>
      <x:c r="H573" s="85" t="str">
        <x:v>Diagnóstico e execução</x:v>
      </x:c>
    </x:row>
    <x:row r="574">
      <x:c r="A574" s="83" t="n">
        <x:v>573</x:v>
      </x:c>
      <x:c r="B574" s="84" t="n">
        <x:v>338</x:v>
      </x:c>
      <x:c r="C574" s="84" t="n">
        <x:v>34</x:v>
      </x:c>
      <x:c r="D574" s="89" t="n">
        <x:v>45809</x:v>
      </x:c>
      <x:c r="E574" s="84" t="n">
        <x:v>2</x:v>
      </x:c>
      <x:c r="F574" s="84" t="str">
        <x:v>Normal</x:v>
      </x:c>
      <x:c r="G574" s="93" t="n">
        <x:v>86.46</x:v>
      </x:c>
      <x:c r="H574" s="85" t="str">
        <x:v>Diagnóstico e execução</x:v>
      </x:c>
    </x:row>
    <x:row r="575">
      <x:c r="A575" s="83" t="n">
        <x:v>574</x:v>
      </x:c>
      <x:c r="B575" s="84" t="n">
        <x:v>339</x:v>
      </x:c>
      <x:c r="C575" s="84" t="n">
        <x:v>20</x:v>
      </x:c>
      <x:c r="D575" s="89" t="n">
        <x:v>45779</x:v>
      </x:c>
      <x:c r="E575" s="84" t="n">
        <x:v>6.4</x:v>
      </x:c>
      <x:c r="F575" s="84" t="str">
        <x:v>Normal</x:v>
      </x:c>
      <x:c r="G575" s="93" t="n">
        <x:v>214.53</x:v>
      </x:c>
      <x:c r="H575" s="85" t="str">
        <x:v>Diagnóstico e execução</x:v>
      </x:c>
    </x:row>
    <x:row r="576">
      <x:c r="A576" s="83" t="n">
        <x:v>575</x:v>
      </x:c>
      <x:c r="B576" s="84" t="n">
        <x:v>339</x:v>
      </x:c>
      <x:c r="C576" s="84" t="n">
        <x:v>33</x:v>
      </x:c>
      <x:c r="D576" s="89" t="n">
        <x:v>45779</x:v>
      </x:c>
      <x:c r="E576" s="84" t="n">
        <x:v>6.5</x:v>
      </x:c>
      <x:c r="F576" s="84" t="str">
        <x:v>Normal</x:v>
      </x:c>
      <x:c r="G576" s="93" t="n">
        <x:v>224.19</x:v>
      </x:c>
      <x:c r="H576" s="85" t="str">
        <x:v>Diagnóstico e execução</x:v>
      </x:c>
    </x:row>
    <x:row r="577">
      <x:c r="A577" s="83" t="n">
        <x:v>576</x:v>
      </x:c>
      <x:c r="B577" s="84" t="n">
        <x:v>340</x:v>
      </x:c>
      <x:c r="C577" s="84" t="n">
        <x:v>18</x:v>
      </x:c>
      <x:c r="D577" s="89" t="n">
        <x:v>45203</x:v>
      </x:c>
      <x:c r="E577" s="84" t="n">
        <x:v>1.5</x:v>
      </x:c>
      <x:c r="F577" s="84" t="str">
        <x:v>Normal</x:v>
      </x:c>
      <x:c r="G577" s="93" t="n">
        <x:v>94.64</x:v>
      </x:c>
      <x:c r="H577" s="85" t="str">
        <x:v>Diagnóstico e execução</x:v>
      </x:c>
    </x:row>
    <x:row r="578">
      <x:c r="A578" s="83" t="n">
        <x:v>577</x:v>
      </x:c>
      <x:c r="B578" s="84" t="n">
        <x:v>340</x:v>
      </x:c>
      <x:c r="C578" s="84" t="n">
        <x:v>13</x:v>
      </x:c>
      <x:c r="D578" s="89" t="n">
        <x:v>45203</x:v>
      </x:c>
      <x:c r="E578" s="84" t="n">
        <x:v>7.5</x:v>
      </x:c>
      <x:c r="F578" s="84" t="str">
        <x:v>Normal</x:v>
      </x:c>
      <x:c r="G578" s="93" t="n">
        <x:v>254.1</x:v>
      </x:c>
      <x:c r="H578" s="85" t="str">
        <x:v>Diagnóstico e execução</x:v>
      </x:c>
    </x:row>
    <x:row r="579">
      <x:c r="A579" s="83" t="n">
        <x:v>578</x:v>
      </x:c>
      <x:c r="B579" s="84" t="n">
        <x:v>341</x:v>
      </x:c>
      <x:c r="C579" s="84" t="n">
        <x:v>4</x:v>
      </x:c>
      <x:c r="D579" s="89" t="n">
        <x:v>45314</x:v>
      </x:c>
      <x:c r="E579" s="84" t="n">
        <x:v>4.2</x:v>
      </x:c>
      <x:c r="F579" s="84" t="str">
        <x:v>Normal</x:v>
      </x:c>
      <x:c r="G579" s="93" t="n">
        <x:v>206.6</x:v>
      </x:c>
      <x:c r="H579" s="85" t="str">
        <x:v>Diagnóstico e execução</x:v>
      </x:c>
    </x:row>
    <x:row r="580">
      <x:c r="A580" s="83" t="n">
        <x:v>579</x:v>
      </x:c>
      <x:c r="B580" s="84" t="n">
        <x:v>342</x:v>
      </x:c>
      <x:c r="C580" s="84" t="n">
        <x:v>43</x:v>
      </x:c>
      <x:c r="D580" s="89" t="n">
        <x:v>45386</x:v>
      </x:c>
      <x:c r="E580" s="84" t="n">
        <x:v>1.7</x:v>
      </x:c>
      <x:c r="F580" s="84" t="str">
        <x:v>Normal</x:v>
      </x:c>
      <x:c r="G580" s="93" t="n">
        <x:v>92.92</x:v>
      </x:c>
      <x:c r="H580" s="85" t="str">
        <x:v>Diagnóstico e execução</x:v>
      </x:c>
    </x:row>
    <x:row r="581">
      <x:c r="A581" s="83" t="n">
        <x:v>580</x:v>
      </x:c>
      <x:c r="B581" s="84" t="n">
        <x:v>343</x:v>
      </x:c>
      <x:c r="C581" s="84" t="n">
        <x:v>11</x:v>
      </x:c>
      <x:c r="D581" s="89" t="n">
        <x:v>45383</x:v>
      </x:c>
      <x:c r="E581" s="84" t="n">
        <x:v>7.3</x:v>
      </x:c>
      <x:c r="F581" s="84" t="str">
        <x:v>Normal</x:v>
      </x:c>
      <x:c r="G581" s="93" t="n">
        <x:v>304.26</x:v>
      </x:c>
      <x:c r="H581" s="85" t="str">
        <x:v>Diagnóstico e execução</x:v>
      </x:c>
    </x:row>
    <x:row r="582">
      <x:c r="A582" s="83" t="n">
        <x:v>581</x:v>
      </x:c>
      <x:c r="B582" s="84" t="n">
        <x:v>343</x:v>
      </x:c>
      <x:c r="C582" s="84" t="n">
        <x:v>30</x:v>
      </x:c>
      <x:c r="D582" s="89" t="n">
        <x:v>45383</x:v>
      </x:c>
      <x:c r="E582" s="84" t="n">
        <x:v>6.8</x:v>
      </x:c>
      <x:c r="F582" s="84" t="str">
        <x:v>Normal</x:v>
      </x:c>
      <x:c r="G582" s="93" t="n">
        <x:v>281.59</x:v>
      </x:c>
      <x:c r="H582" s="85" t="str">
        <x:v>Diagnóstico e execução</x:v>
      </x:c>
    </x:row>
    <x:row r="583">
      <x:c r="A583" s="83" t="n">
        <x:v>582</x:v>
      </x:c>
      <x:c r="B583" s="84" t="n">
        <x:v>346</x:v>
      </x:c>
      <x:c r="C583" s="84" t="n">
        <x:v>33</x:v>
      </x:c>
      <x:c r="D583" s="89" t="n">
        <x:v>45835</x:v>
      </x:c>
      <x:c r="E583" s="84" t="n">
        <x:v>4.5</x:v>
      </x:c>
      <x:c r="F583" s="84" t="str">
        <x:v>Normal</x:v>
      </x:c>
      <x:c r="G583" s="93" t="n">
        <x:v>155.21</x:v>
      </x:c>
      <x:c r="H583" s="85" t="str">
        <x:v>Diagnóstico e execução</x:v>
      </x:c>
    </x:row>
    <x:row r="584">
      <x:c r="A584" s="83" t="n">
        <x:v>583</x:v>
      </x:c>
      <x:c r="B584" s="84" t="n">
        <x:v>346</x:v>
      </x:c>
      <x:c r="C584" s="84" t="n">
        <x:v>12</x:v>
      </x:c>
      <x:c r="D584" s="89" t="n">
        <x:v>45835</x:v>
      </x:c>
      <x:c r="E584" s="84" t="n">
        <x:v>6</x:v>
      </x:c>
      <x:c r="F584" s="84" t="str">
        <x:v>Normal</x:v>
      </x:c>
      <x:c r="G584" s="93" t="n">
        <x:v>207</x:v>
      </x:c>
      <x:c r="H584" s="85" t="str">
        <x:v>Diagnóstico e execução</x:v>
      </x:c>
    </x:row>
    <x:row r="585">
      <x:c r="A585" s="83" t="n">
        <x:v>584</x:v>
      </x:c>
      <x:c r="B585" s="84" t="n">
        <x:v>346</x:v>
      </x:c>
      <x:c r="C585" s="84" t="n">
        <x:v>23</x:v>
      </x:c>
      <x:c r="D585" s="89" t="n">
        <x:v>45835</x:v>
      </x:c>
      <x:c r="E585" s="84" t="n">
        <x:v>7.6</x:v>
      </x:c>
      <x:c r="F585" s="84" t="str">
        <x:v>Normal</x:v>
      </x:c>
      <x:c r="G585" s="93" t="n">
        <x:v>327.64</x:v>
      </x:c>
      <x:c r="H585" s="85" t="str">
        <x:v>Diagnóstico e execução</x:v>
      </x:c>
    </x:row>
    <x:row r="586">
      <x:c r="A586" s="83" t="n">
        <x:v>585</x:v>
      </x:c>
      <x:c r="B586" s="84" t="n">
        <x:v>347</x:v>
      </x:c>
      <x:c r="C586" s="84" t="n">
        <x:v>40</x:v>
      </x:c>
      <x:c r="D586" s="89" t="n">
        <x:v>45222</x:v>
      </x:c>
      <x:c r="E586" s="84" t="n">
        <x:v>1.2</x:v>
      </x:c>
      <x:c r="F586" s="84" t="str">
        <x:v>Normal</x:v>
      </x:c>
      <x:c r="G586" s="93" t="n">
        <x:v>59.3</x:v>
      </x:c>
      <x:c r="H586" s="85" t="str">
        <x:v>Diagnóstico e execução</x:v>
      </x:c>
    </x:row>
    <x:row r="587">
      <x:c r="A587" s="83" t="n">
        <x:v>586</x:v>
      </x:c>
      <x:c r="B587" s="84" t="n">
        <x:v>347</x:v>
      </x:c>
      <x:c r="C587" s="84" t="n">
        <x:v>22</x:v>
      </x:c>
      <x:c r="D587" s="89" t="n">
        <x:v>45222</x:v>
      </x:c>
      <x:c r="E587" s="84" t="n">
        <x:v>7.3</x:v>
      </x:c>
      <x:c r="F587" s="84" t="str">
        <x:v>Normal</x:v>
      </x:c>
      <x:c r="G587" s="93" t="n">
        <x:v>280.76</x:v>
      </x:c>
      <x:c r="H587" s="85" t="str">
        <x:v>Diagnóstico e execução</x:v>
      </x:c>
    </x:row>
    <x:row r="588">
      <x:c r="A588" s="83" t="n">
        <x:v>587</x:v>
      </x:c>
      <x:c r="B588" s="84" t="n">
        <x:v>347</x:v>
      </x:c>
      <x:c r="C588" s="84" t="n">
        <x:v>42</x:v>
      </x:c>
      <x:c r="D588" s="89" t="n">
        <x:v>45222</x:v>
      </x:c>
      <x:c r="E588" s="84" t="n">
        <x:v>5.3</x:v>
      </x:c>
      <x:c r="F588" s="84" t="str">
        <x:v>Normal</x:v>
      </x:c>
      <x:c r="G588" s="93" t="n">
        <x:v>223.55</x:v>
      </x:c>
      <x:c r="H588" s="85" t="str">
        <x:v>Diagnóstico e execução</x:v>
      </x:c>
    </x:row>
    <x:row r="589">
      <x:c r="A589" s="83" t="n">
        <x:v>588</x:v>
      </x:c>
      <x:c r="B589" s="84" t="n">
        <x:v>348</x:v>
      </x:c>
      <x:c r="C589" s="84" t="n">
        <x:v>27</x:v>
      </x:c>
      <x:c r="D589" s="89" t="n">
        <x:v>45085</x:v>
      </x:c>
      <x:c r="E589" s="84" t="n">
        <x:v>4.6</x:v>
      </x:c>
      <x:c r="F589" s="84" t="str">
        <x:v>Normal</x:v>
      </x:c>
      <x:c r="G589" s="93" t="n">
        <x:v>280.55</x:v>
      </x:c>
      <x:c r="H589" s="85" t="str">
        <x:v>Diagnóstico e execução</x:v>
      </x:c>
    </x:row>
    <x:row r="590">
      <x:c r="A590" s="83" t="n">
        <x:v>589</x:v>
      </x:c>
      <x:c r="B590" s="84" t="n">
        <x:v>348</x:v>
      </x:c>
      <x:c r="C590" s="84" t="n">
        <x:v>37</x:v>
      </x:c>
      <x:c r="D590" s="89" t="n">
        <x:v>45085</x:v>
      </x:c>
      <x:c r="E590" s="84" t="n">
        <x:v>1.4</x:v>
      </x:c>
      <x:c r="F590" s="84" t="str">
        <x:v>Normal</x:v>
      </x:c>
      <x:c r="G590" s="93" t="n">
        <x:v>82.56</x:v>
      </x:c>
      <x:c r="H590" s="85" t="str">
        <x:v>Diagnóstico e execução</x:v>
      </x:c>
    </x:row>
    <x:row r="591">
      <x:c r="A591" s="83" t="n">
        <x:v>590</x:v>
      </x:c>
      <x:c r="B591" s="84" t="n">
        <x:v>349</x:v>
      </x:c>
      <x:c r="C591" s="84" t="n">
        <x:v>45</x:v>
      </x:c>
      <x:c r="D591" s="89" t="n">
        <x:v>45956</x:v>
      </x:c>
      <x:c r="E591" s="84" t="n">
        <x:v>7.8</x:v>
      </x:c>
      <x:c r="F591" s="84" t="str">
        <x:v>Normal</x:v>
      </x:c>
      <x:c r="G591" s="93" t="n">
        <x:v>417.85</x:v>
      </x:c>
      <x:c r="H591" s="85" t="str">
        <x:v>Diagnóstico e execução</x:v>
      </x:c>
    </x:row>
    <x:row r="592">
      <x:c r="A592" s="83" t="n">
        <x:v>591</x:v>
      </x:c>
      <x:c r="B592" s="84" t="n">
        <x:v>349</x:v>
      </x:c>
      <x:c r="C592" s="84" t="n">
        <x:v>29</x:v>
      </x:c>
      <x:c r="D592" s="89" t="n">
        <x:v>45956</x:v>
      </x:c>
      <x:c r="E592" s="84" t="n">
        <x:v>1.2</x:v>
      </x:c>
      <x:c r="F592" s="84" t="str">
        <x:v>Normal</x:v>
      </x:c>
      <x:c r="G592" s="93" t="n">
        <x:v>59.42</x:v>
      </x:c>
      <x:c r="H592" s="85" t="str">
        <x:v>Diagnóstico e execução</x:v>
      </x:c>
    </x:row>
    <x:row r="593">
      <x:c r="A593" s="83" t="n">
        <x:v>592</x:v>
      </x:c>
      <x:c r="B593" s="84" t="n">
        <x:v>350</x:v>
      </x:c>
      <x:c r="C593" s="84" t="n">
        <x:v>35</x:v>
      </x:c>
      <x:c r="D593" s="89" t="n">
        <x:v>45825</x:v>
      </x:c>
      <x:c r="E593" s="84" t="n">
        <x:v>7.7</x:v>
      </x:c>
      <x:c r="F593" s="84" t="str">
        <x:v>Normal</x:v>
      </x:c>
      <x:c r="G593" s="93" t="n">
        <x:v>378.76</x:v>
      </x:c>
      <x:c r="H593" s="85" t="str">
        <x:v>Diagnóstico e execução</x:v>
      </x:c>
    </x:row>
    <x:row r="594">
      <x:c r="A594" s="83" t="n">
        <x:v>593</x:v>
      </x:c>
      <x:c r="B594" s="84" t="n">
        <x:v>350</x:v>
      </x:c>
      <x:c r="C594" s="84" t="n">
        <x:v>11</x:v>
      </x:c>
      <x:c r="D594" s="89" t="n">
        <x:v>45825</x:v>
      </x:c>
      <x:c r="E594" s="84" t="n">
        <x:v>7.7</x:v>
      </x:c>
      <x:c r="F594" s="84" t="str">
        <x:v>Normal</x:v>
      </x:c>
      <x:c r="G594" s="93" t="n">
        <x:v>320.94</x:v>
      </x:c>
      <x:c r="H594" s="85" t="str">
        <x:v>Diagnóstico e execução</x:v>
      </x:c>
    </x:row>
    <x:row r="595">
      <x:c r="A595" s="83" t="n">
        <x:v>594</x:v>
      </x:c>
      <x:c r="B595" s="84" t="n">
        <x:v>351</x:v>
      </x:c>
      <x:c r="C595" s="84" t="n">
        <x:v>25</x:v>
      </x:c>
      <x:c r="D595" s="89" t="n">
        <x:v>45341</x:v>
      </x:c>
      <x:c r="E595" s="84" t="n">
        <x:v>2.8</x:v>
      </x:c>
      <x:c r="F595" s="84" t="str">
        <x:v>Normal</x:v>
      </x:c>
      <x:c r="G595" s="93" t="n">
        <x:v>150.05</x:v>
      </x:c>
      <x:c r="H595" s="85" t="str">
        <x:v>Diagnóstico e execução</x:v>
      </x:c>
    </x:row>
    <x:row r="596">
      <x:c r="A596" s="83" t="n">
        <x:v>595</x:v>
      </x:c>
      <x:c r="B596" s="84" t="n">
        <x:v>351</x:v>
      </x:c>
      <x:c r="C596" s="84" t="n">
        <x:v>32</x:v>
      </x:c>
      <x:c r="D596" s="89" t="n">
        <x:v>45341</x:v>
      </x:c>
      <x:c r="E596" s="84" t="n">
        <x:v>1.9</x:v>
      </x:c>
      <x:c r="F596" s="84" t="str">
        <x:v>Normal</x:v>
      </x:c>
      <x:c r="G596" s="93" t="n">
        <x:v>82.93</x:v>
      </x:c>
      <x:c r="H596" s="85" t="str">
        <x:v>Diagnóstico e execução</x:v>
      </x:c>
    </x:row>
    <x:row r="597">
      <x:c r="A597" s="83" t="n">
        <x:v>596</x:v>
      </x:c>
      <x:c r="B597" s="84" t="n">
        <x:v>352</x:v>
      </x:c>
      <x:c r="C597" s="84" t="n">
        <x:v>21</x:v>
      </x:c>
      <x:c r="D597" s="89" t="n">
        <x:v>45377</x:v>
      </x:c>
      <x:c r="E597" s="84" t="n">
        <x:v>2.2</x:v>
      </x:c>
      <x:c r="F597" s="84" t="str">
        <x:v>Normal</x:v>
      </x:c>
      <x:c r="G597" s="93" t="n">
        <x:v>135.15</x:v>
      </x:c>
      <x:c r="H597" s="85" t="str">
        <x:v>Diagnóstico e execução</x:v>
      </x:c>
    </x:row>
    <x:row r="598">
      <x:c r="A598" s="83" t="n">
        <x:v>597</x:v>
      </x:c>
      <x:c r="B598" s="84" t="n">
        <x:v>353</x:v>
      </x:c>
      <x:c r="C598" s="84" t="n">
        <x:v>11</x:v>
      </x:c>
      <x:c r="D598" s="89" t="n">
        <x:v>45583</x:v>
      </x:c>
      <x:c r="E598" s="84" t="n">
        <x:v>5.1</x:v>
      </x:c>
      <x:c r="F598" s="84" t="str">
        <x:v>Normal</x:v>
      </x:c>
      <x:c r="G598" s="93" t="n">
        <x:v>212.57</x:v>
      </x:c>
      <x:c r="H598" s="85" t="str">
        <x:v>Diagnóstico e execução</x:v>
      </x:c>
    </x:row>
    <x:row r="599">
      <x:c r="A599" s="83" t="n">
        <x:v>598</x:v>
      </x:c>
      <x:c r="B599" s="84" t="n">
        <x:v>353</x:v>
      </x:c>
      <x:c r="C599" s="84" t="n">
        <x:v>4</x:v>
      </x:c>
      <x:c r="D599" s="89" t="n">
        <x:v>45583</x:v>
      </x:c>
      <x:c r="E599" s="84" t="n">
        <x:v>3.5</x:v>
      </x:c>
      <x:c r="F599" s="84" t="str">
        <x:v>Normal</x:v>
      </x:c>
      <x:c r="G599" s="93" t="n">
        <x:v>172.16</x:v>
      </x:c>
      <x:c r="H599" s="85" t="str">
        <x:v>Diagnóstico e execução</x:v>
      </x:c>
    </x:row>
    <x:row r="600">
      <x:c r="A600" s="83" t="n">
        <x:v>599</x:v>
      </x:c>
      <x:c r="B600" s="84" t="n">
        <x:v>353</x:v>
      </x:c>
      <x:c r="C600" s="84" t="n">
        <x:v>37</x:v>
      </x:c>
      <x:c r="D600" s="89" t="n">
        <x:v>45583</x:v>
      </x:c>
      <x:c r="E600" s="84" t="n">
        <x:v>1.4</x:v>
      </x:c>
      <x:c r="F600" s="84" t="str">
        <x:v>Normal</x:v>
      </x:c>
      <x:c r="G600" s="93" t="n">
        <x:v>82.56</x:v>
      </x:c>
      <x:c r="H600" s="85" t="str">
        <x:v>Diagnóstico e execução</x:v>
      </x:c>
    </x:row>
    <x:row r="601">
      <x:c r="A601" s="83" t="n">
        <x:v>600</x:v>
      </x:c>
      <x:c r="B601" s="84" t="n">
        <x:v>354</x:v>
      </x:c>
      <x:c r="C601" s="84" t="n">
        <x:v>7</x:v>
      </x:c>
      <x:c r="D601" s="89" t="n">
        <x:v>45128</x:v>
      </x:c>
      <x:c r="E601" s="84" t="n">
        <x:v>5.1</x:v>
      </x:c>
      <x:c r="F601" s="84" t="str">
        <x:v>Normal</x:v>
      </x:c>
      <x:c r="G601" s="93" t="n">
        <x:v>296.87</x:v>
      </x:c>
      <x:c r="H601" s="85" t="str">
        <x:v>Diagnóstico e execução</x:v>
      </x:c>
    </x:row>
    <x:row r="602">
      <x:c r="A602" s="83" t="n">
        <x:v>601</x:v>
      </x:c>
      <x:c r="B602" s="84" t="n">
        <x:v>355</x:v>
      </x:c>
      <x:c r="C602" s="84" t="n">
        <x:v>35</x:v>
      </x:c>
      <x:c r="D602" s="89" t="n">
        <x:v>45309</x:v>
      </x:c>
      <x:c r="E602" s="84" t="n">
        <x:v>6.8</x:v>
      </x:c>
      <x:c r="F602" s="84" t="str">
        <x:v>Normal</x:v>
      </x:c>
      <x:c r="G602" s="93" t="n">
        <x:v>334.49</x:v>
      </x:c>
      <x:c r="H602" s="85" t="str">
        <x:v>Diagnóstico e execução</x:v>
      </x:c>
    </x:row>
    <x:row r="603">
      <x:c r="A603" s="83" t="n">
        <x:v>602</x:v>
      </x:c>
      <x:c r="B603" s="84" t="n">
        <x:v>356</x:v>
      </x:c>
      <x:c r="C603" s="84" t="n">
        <x:v>37</x:v>
      </x:c>
      <x:c r="D603" s="89" t="n">
        <x:v>45397</x:v>
      </x:c>
      <x:c r="E603" s="84" t="n">
        <x:v>7.8</x:v>
      </x:c>
      <x:c r="F603" s="84" t="str">
        <x:v>Normal</x:v>
      </x:c>
      <x:c r="G603" s="93" t="n">
        <x:v>459.97</x:v>
      </x:c>
      <x:c r="H603" s="85" t="str">
        <x:v>Diagnóstico e execução</x:v>
      </x:c>
    </x:row>
    <x:row r="604">
      <x:c r="A604" s="83" t="n">
        <x:v>603</x:v>
      </x:c>
      <x:c r="B604" s="84" t="n">
        <x:v>356</x:v>
      </x:c>
      <x:c r="C604" s="84" t="n">
        <x:v>10</x:v>
      </x:c>
      <x:c r="D604" s="89" t="n">
        <x:v>45397</x:v>
      </x:c>
      <x:c r="E604" s="84" t="n">
        <x:v>5.6</x:v>
      </x:c>
      <x:c r="F604" s="84" t="str">
        <x:v>Normal</x:v>
      </x:c>
      <x:c r="G604" s="93" t="n">
        <x:v>166.26</x:v>
      </x:c>
      <x:c r="H604" s="85" t="str">
        <x:v>Diagnóstico e execução</x:v>
      </x:c>
    </x:row>
    <x:row r="605">
      <x:c r="A605" s="83" t="n">
        <x:v>604</x:v>
      </x:c>
      <x:c r="B605" s="84" t="n">
        <x:v>356</x:v>
      </x:c>
      <x:c r="C605" s="84" t="n">
        <x:v>10</x:v>
      </x:c>
      <x:c r="D605" s="89" t="n">
        <x:v>45397</x:v>
      </x:c>
      <x:c r="E605" s="84" t="n">
        <x:v>5.6</x:v>
      </x:c>
      <x:c r="F605" s="84" t="str">
        <x:v>Normal</x:v>
      </x:c>
      <x:c r="G605" s="93" t="n">
        <x:v>166.26</x:v>
      </x:c>
      <x:c r="H605" s="85" t="str">
        <x:v>Diagnóstico e execução</x:v>
      </x:c>
    </x:row>
    <x:row r="606">
      <x:c r="A606" s="83" t="n">
        <x:v>605</x:v>
      </x:c>
      <x:c r="B606" s="84" t="n">
        <x:v>358</x:v>
      </x:c>
      <x:c r="C606" s="84" t="n">
        <x:v>5</x:v>
      </x:c>
      <x:c r="D606" s="89" t="n">
        <x:v>45467</x:v>
      </x:c>
      <x:c r="E606" s="84" t="n">
        <x:v>1.3</x:v>
      </x:c>
      <x:c r="F606" s="84" t="str">
        <x:v>Normal</x:v>
      </x:c>
      <x:c r="G606" s="93" t="n">
        <x:v>37.47</x:v>
      </x:c>
      <x:c r="H606" s="85" t="str">
        <x:v>Diagnóstico e execução</x:v>
      </x:c>
    </x:row>
    <x:row r="607">
      <x:c r="A607" s="83" t="n">
        <x:v>606</x:v>
      </x:c>
      <x:c r="B607" s="84" t="n">
        <x:v>358</x:v>
      </x:c>
      <x:c r="C607" s="84" t="n">
        <x:v>5</x:v>
      </x:c>
      <x:c r="D607" s="89" t="n">
        <x:v>45467</x:v>
      </x:c>
      <x:c r="E607" s="84" t="n">
        <x:v>7.2</x:v>
      </x:c>
      <x:c r="F607" s="84" t="str">
        <x:v>Normal</x:v>
      </x:c>
      <x:c r="G607" s="93" t="n">
        <x:v>207.5</x:v>
      </x:c>
      <x:c r="H607" s="85" t="str">
        <x:v>Diagnóstico e execução</x:v>
      </x:c>
    </x:row>
    <x:row r="608">
      <x:c r="A608" s="83" t="n">
        <x:v>607</x:v>
      </x:c>
      <x:c r="B608" s="84" t="n">
        <x:v>359</x:v>
      </x:c>
      <x:c r="C608" s="84" t="n">
        <x:v>19</x:v>
      </x:c>
      <x:c r="D608" s="89" t="n">
        <x:v>45093</x:v>
      </x:c>
      <x:c r="E608" s="84" t="n">
        <x:v>6.3</x:v>
      </x:c>
      <x:c r="F608" s="84" t="str">
        <x:v>Normal</x:v>
      </x:c>
      <x:c r="G608" s="93" t="n">
        <x:v>292.82</x:v>
      </x:c>
      <x:c r="H608" s="85" t="str">
        <x:v>Diagnóstico e execução</x:v>
      </x:c>
    </x:row>
    <x:row r="609">
      <x:c r="A609" s="83" t="n">
        <x:v>608</x:v>
      </x:c>
      <x:c r="B609" s="84" t="n">
        <x:v>359</x:v>
      </x:c>
      <x:c r="C609" s="84" t="n">
        <x:v>26</x:v>
      </x:c>
      <x:c r="D609" s="89" t="n">
        <x:v>45093</x:v>
      </x:c>
      <x:c r="E609" s="84" t="n">
        <x:v>1.9</x:v>
      </x:c>
      <x:c r="F609" s="84" t="str">
        <x:v>Normal</x:v>
      </x:c>
      <x:c r="G609" s="93" t="n">
        <x:v>74.33</x:v>
      </x:c>
      <x:c r="H609" s="85" t="str">
        <x:v>Diagnóstico e execução</x:v>
      </x:c>
    </x:row>
    <x:row r="610">
      <x:c r="A610" s="83" t="n">
        <x:v>609</x:v>
      </x:c>
      <x:c r="B610" s="84" t="n">
        <x:v>360</x:v>
      </x:c>
      <x:c r="C610" s="84" t="n">
        <x:v>3</x:v>
      </x:c>
      <x:c r="D610" s="89" t="n">
        <x:v>45319</x:v>
      </x:c>
      <x:c r="E610" s="84" t="n">
        <x:v>1</x:v>
      </x:c>
      <x:c r="F610" s="84" t="str">
        <x:v>Normal</x:v>
      </x:c>
      <x:c r="G610" s="93" t="n">
        <x:v>49.24</x:v>
      </x:c>
      <x:c r="H610" s="85" t="str">
        <x:v>Diagnóstico e execução</x:v>
      </x:c>
    </x:row>
    <x:row r="611">
      <x:c r="A611" s="83" t="n">
        <x:v>610</x:v>
      </x:c>
      <x:c r="B611" s="84" t="n">
        <x:v>361</x:v>
      </x:c>
      <x:c r="C611" s="84" t="n">
        <x:v>32</x:v>
      </x:c>
      <x:c r="D611" s="89" t="n">
        <x:v>45334</x:v>
      </x:c>
      <x:c r="E611" s="84" t="n">
        <x:v>0.8</x:v>
      </x:c>
      <x:c r="F611" s="84" t="str">
        <x:v>Normal</x:v>
      </x:c>
      <x:c r="G611" s="93" t="n">
        <x:v>34.92</x:v>
      </x:c>
      <x:c r="H611" s="85" t="str">
        <x:v>Diagnóstico e execução</x:v>
      </x:c>
    </x:row>
    <x:row r="612">
      <x:c r="A612" s="83" t="n">
        <x:v>611</x:v>
      </x:c>
      <x:c r="B612" s="84" t="n">
        <x:v>362</x:v>
      </x:c>
      <x:c r="C612" s="84" t="n">
        <x:v>30</x:v>
      </x:c>
      <x:c r="D612" s="89" t="n">
        <x:v>46018</x:v>
      </x:c>
      <x:c r="E612" s="84" t="n">
        <x:v>3.8</x:v>
      </x:c>
      <x:c r="F612" s="84" t="str">
        <x:v>Normal</x:v>
      </x:c>
      <x:c r="G612" s="93" t="n">
        <x:v>157.36</x:v>
      </x:c>
      <x:c r="H612" s="85" t="str">
        <x:v>Diagnóstico e execução</x:v>
      </x:c>
    </x:row>
    <x:row r="613">
      <x:c r="A613" s="83" t="n">
        <x:v>612</x:v>
      </x:c>
      <x:c r="B613" s="84" t="n">
        <x:v>362</x:v>
      </x:c>
      <x:c r="C613" s="84" t="n">
        <x:v>24</x:v>
      </x:c>
      <x:c r="D613" s="89" t="n">
        <x:v>46018</x:v>
      </x:c>
      <x:c r="E613" s="84" t="n">
        <x:v>3.5</x:v>
      </x:c>
      <x:c r="F613" s="84" t="str">
        <x:v>Normal</x:v>
      </x:c>
      <x:c r="G613" s="93" t="n">
        <x:v>207.34</x:v>
      </x:c>
      <x:c r="H613" s="85" t="str">
        <x:v>Diagnóstico e execução</x:v>
      </x:c>
    </x:row>
    <x:row r="614">
      <x:c r="A614" s="83" t="n">
        <x:v>613</x:v>
      </x:c>
      <x:c r="B614" s="84" t="n">
        <x:v>362</x:v>
      </x:c>
      <x:c r="C614" s="84" t="n">
        <x:v>8</x:v>
      </x:c>
      <x:c r="D614" s="89" t="n">
        <x:v>46018</x:v>
      </x:c>
      <x:c r="E614" s="84" t="n">
        <x:v>0.5</x:v>
      </x:c>
      <x:c r="F614" s="84" t="str">
        <x:v>Normal</x:v>
      </x:c>
      <x:c r="G614" s="93" t="n">
        <x:v>23.25</x:v>
      </x:c>
      <x:c r="H614" s="85" t="str">
        <x:v>Diagnóstico e execução</x:v>
      </x:c>
    </x:row>
    <x:row r="615">
      <x:c r="A615" s="83" t="n">
        <x:v>614</x:v>
      </x:c>
      <x:c r="B615" s="84" t="n">
        <x:v>363</x:v>
      </x:c>
      <x:c r="C615" s="84" t="n">
        <x:v>15</x:v>
      </x:c>
      <x:c r="D615" s="89" t="n">
        <x:v>45615</x:v>
      </x:c>
      <x:c r="E615" s="84" t="n">
        <x:v>2.4</x:v>
      </x:c>
      <x:c r="F615" s="84" t="str">
        <x:v>Normal</x:v>
      </x:c>
      <x:c r="G615" s="93" t="n">
        <x:v>72.58</x:v>
      </x:c>
      <x:c r="H615" s="85" t="str">
        <x:v>Diagnóstico e execução</x:v>
      </x:c>
    </x:row>
    <x:row r="616">
      <x:c r="A616" s="83" t="n">
        <x:v>615</x:v>
      </x:c>
      <x:c r="B616" s="84" t="n">
        <x:v>363</x:v>
      </x:c>
      <x:c r="C616" s="84" t="n">
        <x:v>8</x:v>
      </x:c>
      <x:c r="D616" s="89" t="n">
        <x:v>45615</x:v>
      </x:c>
      <x:c r="E616" s="84" t="n">
        <x:v>6.3</x:v>
      </x:c>
      <x:c r="F616" s="84" t="str">
        <x:v>Normal</x:v>
      </x:c>
      <x:c r="G616" s="93" t="n">
        <x:v>292.95</x:v>
      </x:c>
      <x:c r="H616" s="85" t="str">
        <x:v>Diagnóstico e execução</x:v>
      </x:c>
    </x:row>
    <x:row r="617">
      <x:c r="A617" s="83" t="n">
        <x:v>616</x:v>
      </x:c>
      <x:c r="B617" s="84" t="n">
        <x:v>363</x:v>
      </x:c>
      <x:c r="C617" s="84" t="n">
        <x:v>9</x:v>
      </x:c>
      <x:c r="D617" s="89" t="n">
        <x:v>45615</x:v>
      </x:c>
      <x:c r="E617" s="84" t="n">
        <x:v>3.6</x:v>
      </x:c>
      <x:c r="F617" s="84" t="str">
        <x:v>Normal</x:v>
      </x:c>
      <x:c r="G617" s="93" t="n">
        <x:v>189.61</x:v>
      </x:c>
      <x:c r="H617" s="85" t="str">
        <x:v>Diagnóstico e execução</x:v>
      </x:c>
    </x:row>
    <x:row r="618">
      <x:c r="A618" s="83" t="n">
        <x:v>617</x:v>
      </x:c>
      <x:c r="B618" s="84" t="n">
        <x:v>364</x:v>
      </x:c>
      <x:c r="C618" s="84" t="n">
        <x:v>30</x:v>
      </x:c>
      <x:c r="D618" s="89" t="n">
        <x:v>45030</x:v>
      </x:c>
      <x:c r="E618" s="84" t="n">
        <x:v>4.6</x:v>
      </x:c>
      <x:c r="F618" s="84" t="str">
        <x:v>Normal</x:v>
      </x:c>
      <x:c r="G618" s="93" t="n">
        <x:v>190.49</x:v>
      </x:c>
      <x:c r="H618" s="85" t="str">
        <x:v>Diagnóstico e execução</x:v>
      </x:c>
    </x:row>
    <x:row r="619">
      <x:c r="A619" s="83" t="n">
        <x:v>618</x:v>
      </x:c>
      <x:c r="B619" s="84" t="n">
        <x:v>365</x:v>
      </x:c>
      <x:c r="C619" s="84" t="n">
        <x:v>6</x:v>
      </x:c>
      <x:c r="D619" s="89" t="n">
        <x:v>44980</x:v>
      </x:c>
      <x:c r="E619" s="84" t="n">
        <x:v>3.8</x:v>
      </x:c>
      <x:c r="F619" s="84" t="str">
        <x:v>Normal</x:v>
      </x:c>
      <x:c r="G619" s="93" t="n">
        <x:v>198.59</x:v>
      </x:c>
      <x:c r="H619" s="85" t="str">
        <x:v>Diagnóstico e execução</x:v>
      </x:c>
    </x:row>
    <x:row r="620">
      <x:c r="A620" s="83" t="n">
        <x:v>619</x:v>
      </x:c>
      <x:c r="B620" s="84" t="n">
        <x:v>365</x:v>
      </x:c>
      <x:c r="C620" s="84" t="n">
        <x:v>4</x:v>
      </x:c>
      <x:c r="D620" s="89" t="n">
        <x:v>44980</x:v>
      </x:c>
      <x:c r="E620" s="84" t="n">
        <x:v>6.6</x:v>
      </x:c>
      <x:c r="F620" s="84" t="str">
        <x:v>Normal</x:v>
      </x:c>
      <x:c r="G620" s="93" t="n">
        <x:v>324.65</x:v>
      </x:c>
      <x:c r="H620" s="85" t="str">
        <x:v>Diagnóstico e execução</x:v>
      </x:c>
    </x:row>
    <x:row r="621">
      <x:c r="A621" s="83" t="n">
        <x:v>620</x:v>
      </x:c>
      <x:c r="B621" s="84" t="n">
        <x:v>366</x:v>
      </x:c>
      <x:c r="C621" s="84" t="n">
        <x:v>8</x:v>
      </x:c>
      <x:c r="D621" s="89" t="n">
        <x:v>45793</x:v>
      </x:c>
      <x:c r="E621" s="84" t="n">
        <x:v>0.6</x:v>
      </x:c>
      <x:c r="F621" s="84" t="str">
        <x:v>Normal</x:v>
      </x:c>
      <x:c r="G621" s="93" t="n">
        <x:v>27.9</x:v>
      </x:c>
      <x:c r="H621" s="85" t="str">
        <x:v>Diagnóstico e execução</x:v>
      </x:c>
    </x:row>
    <x:row r="622">
      <x:c r="A622" s="83" t="n">
        <x:v>621</x:v>
      </x:c>
      <x:c r="B622" s="84" t="n">
        <x:v>366</x:v>
      </x:c>
      <x:c r="C622" s="84" t="n">
        <x:v>32</x:v>
      </x:c>
      <x:c r="D622" s="89" t="n">
        <x:v>45793</x:v>
      </x:c>
      <x:c r="E622" s="84" t="n">
        <x:v>5.8</x:v>
      </x:c>
      <x:c r="F622" s="84" t="str">
        <x:v>Normal</x:v>
      </x:c>
      <x:c r="G622" s="93" t="n">
        <x:v>253.17</x:v>
      </x:c>
      <x:c r="H622" s="85" t="str">
        <x:v>Diagnóstico e execução</x:v>
      </x:c>
    </x:row>
    <x:row r="623">
      <x:c r="A623" s="83" t="n">
        <x:v>622</x:v>
      </x:c>
      <x:c r="B623" s="84" t="n">
        <x:v>366</x:v>
      </x:c>
      <x:c r="C623" s="84" t="n">
        <x:v>10</x:v>
      </x:c>
      <x:c r="D623" s="89" t="n">
        <x:v>45793</x:v>
      </x:c>
      <x:c r="E623" s="84" t="n">
        <x:v>5.7</x:v>
      </x:c>
      <x:c r="F623" s="84" t="str">
        <x:v>Normal</x:v>
      </x:c>
      <x:c r="G623" s="93" t="n">
        <x:v>169.23</x:v>
      </x:c>
      <x:c r="H623" s="85" t="str">
        <x:v>Diagnóstico e execução</x:v>
      </x:c>
    </x:row>
    <x:row r="624">
      <x:c r="A624" s="83" t="n">
        <x:v>623</x:v>
      </x:c>
      <x:c r="B624" s="84" t="n">
        <x:v>367</x:v>
      </x:c>
      <x:c r="C624" s="84" t="n">
        <x:v>33</x:v>
      </x:c>
      <x:c r="D624" s="89" t="n">
        <x:v>45538</x:v>
      </x:c>
      <x:c r="E624" s="84" t="n">
        <x:v>7.7</x:v>
      </x:c>
      <x:c r="F624" s="84" t="str">
        <x:v>Normal</x:v>
      </x:c>
      <x:c r="G624" s="93" t="n">
        <x:v>265.57</x:v>
      </x:c>
      <x:c r="H624" s="85" t="str">
        <x:v>Diagnóstico e execução</x:v>
      </x:c>
    </x:row>
    <x:row r="625">
      <x:c r="A625" s="83" t="n">
        <x:v>624</x:v>
      </x:c>
      <x:c r="B625" s="84" t="n">
        <x:v>368</x:v>
      </x:c>
      <x:c r="C625" s="84" t="n">
        <x:v>33</x:v>
      </x:c>
      <x:c r="D625" s="89" t="n">
        <x:v>45339</x:v>
      </x:c>
      <x:c r="E625" s="84" t="n">
        <x:v>4.6</x:v>
      </x:c>
      <x:c r="F625" s="84" t="str">
        <x:v>Normal</x:v>
      </x:c>
      <x:c r="G625" s="93" t="n">
        <x:v>158.65</x:v>
      </x:c>
      <x:c r="H625" s="85" t="str">
        <x:v>Diagnóstico e execução</x:v>
      </x:c>
    </x:row>
    <x:row r="626">
      <x:c r="A626" s="83" t="n">
        <x:v>625</x:v>
      </x:c>
      <x:c r="B626" s="84" t="n">
        <x:v>368</x:v>
      </x:c>
      <x:c r="C626" s="84" t="n">
        <x:v>15</x:v>
      </x:c>
      <x:c r="D626" s="89" t="n">
        <x:v>45339</x:v>
      </x:c>
      <x:c r="E626" s="84" t="n">
        <x:v>3.9</x:v>
      </x:c>
      <x:c r="F626" s="84" t="str">
        <x:v>Normal</x:v>
      </x:c>
      <x:c r="G626" s="93" t="n">
        <x:v>117.94</x:v>
      </x:c>
      <x:c r="H626" s="85" t="str">
        <x:v>Diagnóstico e execução</x:v>
      </x:c>
    </x:row>
    <x:row r="627">
      <x:c r="A627" s="83" t="n">
        <x:v>626</x:v>
      </x:c>
      <x:c r="B627" s="84" t="n">
        <x:v>368</x:v>
      </x:c>
      <x:c r="C627" s="84" t="n">
        <x:v>24</x:v>
      </x:c>
      <x:c r="D627" s="89" t="n">
        <x:v>45339</x:v>
      </x:c>
      <x:c r="E627" s="84" t="n">
        <x:v>6.4</x:v>
      </x:c>
      <x:c r="F627" s="84" t="str">
        <x:v>Normal</x:v>
      </x:c>
      <x:c r="G627" s="93" t="n">
        <x:v>379.14</x:v>
      </x:c>
      <x:c r="H627" s="85" t="str">
        <x:v>Diagnóstico e execução</x:v>
      </x:c>
    </x:row>
    <x:row r="628">
      <x:c r="A628" s="83" t="n">
        <x:v>627</x:v>
      </x:c>
      <x:c r="B628" s="84" t="n">
        <x:v>369</x:v>
      </x:c>
      <x:c r="C628" s="84" t="n">
        <x:v>37</x:v>
      </x:c>
      <x:c r="D628" s="89" t="n">
        <x:v>45121</x:v>
      </x:c>
      <x:c r="E628" s="84" t="n">
        <x:v>4.8</x:v>
      </x:c>
      <x:c r="F628" s="84" t="str">
        <x:v>Normal</x:v>
      </x:c>
      <x:c r="G628" s="93" t="n">
        <x:v>283.06</x:v>
      </x:c>
      <x:c r="H628" s="85" t="str">
        <x:v>Diagnóstico e execução</x:v>
      </x:c>
    </x:row>
    <x:row r="629">
      <x:c r="A629" s="83" t="n">
        <x:v>628</x:v>
      </x:c>
      <x:c r="B629" s="84" t="n">
        <x:v>369</x:v>
      </x:c>
      <x:c r="C629" s="84" t="n">
        <x:v>24</x:v>
      </x:c>
      <x:c r="D629" s="89" t="n">
        <x:v>45121</x:v>
      </x:c>
      <x:c r="E629" s="84" t="n">
        <x:v>7.7</x:v>
      </x:c>
      <x:c r="F629" s="84" t="str">
        <x:v>Normal</x:v>
      </x:c>
      <x:c r="G629" s="93" t="n">
        <x:v>456.15</x:v>
      </x:c>
      <x:c r="H629" s="85" t="str">
        <x:v>Diagnóstico e execução</x:v>
      </x:c>
    </x:row>
    <x:row r="630">
      <x:c r="A630" s="83" t="n">
        <x:v>629</x:v>
      </x:c>
      <x:c r="B630" s="84" t="n">
        <x:v>369</x:v>
      </x:c>
      <x:c r="C630" s="84" t="n">
        <x:v>42</x:v>
      </x:c>
      <x:c r="D630" s="89" t="n">
        <x:v>45121</x:v>
      </x:c>
      <x:c r="E630" s="84" t="n">
        <x:v>7.5</x:v>
      </x:c>
      <x:c r="F630" s="84" t="str">
        <x:v>Normal</x:v>
      </x:c>
      <x:c r="G630" s="93" t="n">
        <x:v>316.35</x:v>
      </x:c>
      <x:c r="H630" s="85" t="str">
        <x:v>Diagnóstico e execução</x:v>
      </x:c>
    </x:row>
    <x:row r="631">
      <x:c r="A631" s="83" t="n">
        <x:v>630</x:v>
      </x:c>
      <x:c r="B631" s="84" t="n">
        <x:v>370</x:v>
      </x:c>
      <x:c r="C631" s="84" t="n">
        <x:v>12</x:v>
      </x:c>
      <x:c r="D631" s="89" t="n">
        <x:v>45112</x:v>
      </x:c>
      <x:c r="E631" s="84" t="n">
        <x:v>4.3</x:v>
      </x:c>
      <x:c r="F631" s="84" t="str">
        <x:v>Normal</x:v>
      </x:c>
      <x:c r="G631" s="93" t="n">
        <x:v>148.35</x:v>
      </x:c>
      <x:c r="H631" s="85" t="str">
        <x:v>Diagnóstico e execução</x:v>
      </x:c>
    </x:row>
    <x:row r="632">
      <x:c r="A632" s="83" t="n">
        <x:v>631</x:v>
      </x:c>
      <x:c r="B632" s="84" t="n">
        <x:v>370</x:v>
      </x:c>
      <x:c r="C632" s="84" t="n">
        <x:v>33</x:v>
      </x:c>
      <x:c r="D632" s="89" t="n">
        <x:v>45112</x:v>
      </x:c>
      <x:c r="E632" s="84" t="n">
        <x:v>3.7</x:v>
      </x:c>
      <x:c r="F632" s="84" t="str">
        <x:v>Normal</x:v>
      </x:c>
      <x:c r="G632" s="93" t="n">
        <x:v>127.61</x:v>
      </x:c>
      <x:c r="H632" s="85" t="str">
        <x:v>Diagnóstico e execução</x:v>
      </x:c>
    </x:row>
    <x:row r="633">
      <x:c r="A633" s="83" t="n">
        <x:v>632</x:v>
      </x:c>
      <x:c r="B633" s="84" t="n">
        <x:v>370</x:v>
      </x:c>
      <x:c r="C633" s="84" t="n">
        <x:v>28</x:v>
      </x:c>
      <x:c r="D633" s="89" t="n">
        <x:v>45112</x:v>
      </x:c>
      <x:c r="E633" s="84" t="n">
        <x:v>1.3</x:v>
      </x:c>
      <x:c r="F633" s="84" t="str">
        <x:v>Normal</x:v>
      </x:c>
      <x:c r="G633" s="93" t="n">
        <x:v>48.91</x:v>
      </x:c>
      <x:c r="H633" s="85" t="str">
        <x:v>Diagnóstico e execução</x:v>
      </x:c>
    </x:row>
    <x:row r="634">
      <x:c r="A634" s="83" t="n">
        <x:v>633</x:v>
      </x:c>
      <x:c r="B634" s="84" t="n">
        <x:v>372</x:v>
      </x:c>
      <x:c r="C634" s="84" t="n">
        <x:v>19</x:v>
      </x:c>
      <x:c r="D634" s="89" t="n">
        <x:v>45487</x:v>
      </x:c>
      <x:c r="E634" s="84" t="n">
        <x:v>4.1</x:v>
      </x:c>
      <x:c r="F634" s="84" t="str">
        <x:v>Normal</x:v>
      </x:c>
      <x:c r="G634" s="93" t="n">
        <x:v>190.57</x:v>
      </x:c>
      <x:c r="H634" s="85" t="str">
        <x:v>Diagnóstico e execução</x:v>
      </x:c>
    </x:row>
    <x:row r="635">
      <x:c r="A635" s="83" t="n">
        <x:v>634</x:v>
      </x:c>
      <x:c r="B635" s="84" t="n">
        <x:v>373</x:v>
      </x:c>
      <x:c r="C635" s="84" t="n">
        <x:v>14</x:v>
      </x:c>
      <x:c r="D635" s="89" t="n">
        <x:v>45819</x:v>
      </x:c>
      <x:c r="E635" s="84" t="n">
        <x:v>7.9</x:v>
      </x:c>
      <x:c r="F635" s="84" t="str">
        <x:v>Normal</x:v>
      </x:c>
      <x:c r="G635" s="93" t="n">
        <x:v>447.61</x:v>
      </x:c>
      <x:c r="H635" s="85" t="str">
        <x:v>Diagnóstico e execução</x:v>
      </x:c>
    </x:row>
    <x:row r="636">
      <x:c r="A636" s="83" t="n">
        <x:v>635</x:v>
      </x:c>
      <x:c r="B636" s="84" t="n">
        <x:v>373</x:v>
      </x:c>
      <x:c r="C636" s="84" t="n">
        <x:v>23</x:v>
      </x:c>
      <x:c r="D636" s="89" t="n">
        <x:v>45819</x:v>
      </x:c>
      <x:c r="E636" s="84" t="n">
        <x:v>6.1</x:v>
      </x:c>
      <x:c r="F636" s="84" t="str">
        <x:v>Normal</x:v>
      </x:c>
      <x:c r="G636" s="93" t="n">
        <x:v>262.97</x:v>
      </x:c>
      <x:c r="H636" s="85" t="str">
        <x:v>Diagnóstico e execução</x:v>
      </x:c>
    </x:row>
    <x:row r="637">
      <x:c r="A637" s="83" t="n">
        <x:v>636</x:v>
      </x:c>
      <x:c r="B637" s="84" t="n">
        <x:v>373</x:v>
      </x:c>
      <x:c r="C637" s="84" t="n">
        <x:v>12</x:v>
      </x:c>
      <x:c r="D637" s="89" t="n">
        <x:v>45819</x:v>
      </x:c>
      <x:c r="E637" s="84" t="n">
        <x:v>3</x:v>
      </x:c>
      <x:c r="F637" s="84" t="str">
        <x:v>Normal</x:v>
      </x:c>
      <x:c r="G637" s="93" t="n">
        <x:v>103.5</x:v>
      </x:c>
      <x:c r="H637" s="85" t="str">
        <x:v>Diagnóstico e execução</x:v>
      </x:c>
    </x:row>
    <x:row r="638">
      <x:c r="A638" s="83" t="n">
        <x:v>637</x:v>
      </x:c>
      <x:c r="B638" s="84" t="n">
        <x:v>374</x:v>
      </x:c>
      <x:c r="C638" s="84" t="n">
        <x:v>7</x:v>
      </x:c>
      <x:c r="D638" s="89" t="n">
        <x:v>45846</x:v>
      </x:c>
      <x:c r="E638" s="84" t="n">
        <x:v>1.9</x:v>
      </x:c>
      <x:c r="F638" s="84" t="str">
        <x:v>Normal</x:v>
      </x:c>
      <x:c r="G638" s="93" t="n">
        <x:v>110.6</x:v>
      </x:c>
      <x:c r="H638" s="85" t="str">
        <x:v>Diagnóstico e execução</x:v>
      </x:c>
    </x:row>
    <x:row r="639">
      <x:c r="A639" s="83" t="n">
        <x:v>638</x:v>
      </x:c>
      <x:c r="B639" s="84" t="n">
        <x:v>375</x:v>
      </x:c>
      <x:c r="C639" s="84" t="n">
        <x:v>38</x:v>
      </x:c>
      <x:c r="D639" s="89" t="n">
        <x:v>45609</x:v>
      </x:c>
      <x:c r="E639" s="84" t="n">
        <x:v>1.2</x:v>
      </x:c>
      <x:c r="F639" s="84" t="str">
        <x:v>Normal</x:v>
      </x:c>
      <x:c r="G639" s="93" t="n">
        <x:v>40.4</x:v>
      </x:c>
      <x:c r="H639" s="85" t="str">
        <x:v>Diagnóstico e execução</x:v>
      </x:c>
    </x:row>
    <x:row r="640">
      <x:c r="A640" s="83" t="n">
        <x:v>639</x:v>
      </x:c>
      <x:c r="B640" s="84" t="n">
        <x:v>376</x:v>
      </x:c>
      <x:c r="C640" s="84" t="n">
        <x:v>4</x:v>
      </x:c>
      <x:c r="D640" s="89" t="n">
        <x:v>45996</x:v>
      </x:c>
      <x:c r="E640" s="84" t="n">
        <x:v>1.1</x:v>
      </x:c>
      <x:c r="F640" s="84" t="str">
        <x:v>Normal</x:v>
      </x:c>
      <x:c r="G640" s="93" t="n">
        <x:v>54.11</x:v>
      </x:c>
      <x:c r="H640" s="85" t="str">
        <x:v>Diagnóstico e execução</x:v>
      </x:c>
    </x:row>
    <x:row r="641">
      <x:c r="A641" s="83" t="n">
        <x:v>640</x:v>
      </x:c>
      <x:c r="B641" s="84" t="n">
        <x:v>377</x:v>
      </x:c>
      <x:c r="C641" s="84" t="n">
        <x:v>36</x:v>
      </x:c>
      <x:c r="D641" s="89" t="n">
        <x:v>45011</x:v>
      </x:c>
      <x:c r="E641" s="84" t="n">
        <x:v>3.6</x:v>
      </x:c>
      <x:c r="F641" s="84" t="str">
        <x:v>Normal</x:v>
      </x:c>
      <x:c r="G641" s="93" t="n">
        <x:v>106.78</x:v>
      </x:c>
      <x:c r="H641" s="85" t="str">
        <x:v>Diagnóstico e execução</x:v>
      </x:c>
    </x:row>
    <x:row r="642">
      <x:c r="A642" s="83" t="n">
        <x:v>641</x:v>
      </x:c>
      <x:c r="B642" s="84" t="n">
        <x:v>377</x:v>
      </x:c>
      <x:c r="C642" s="84" t="n">
        <x:v>14</x:v>
      </x:c>
      <x:c r="D642" s="89" t="n">
        <x:v>45011</x:v>
      </x:c>
      <x:c r="E642" s="84" t="n">
        <x:v>4.8</x:v>
      </x:c>
      <x:c r="F642" s="84" t="str">
        <x:v>Normal</x:v>
      </x:c>
      <x:c r="G642" s="93" t="n">
        <x:v>271.97</x:v>
      </x:c>
      <x:c r="H642" s="85" t="str">
        <x:v>Diagnóstico e execução</x:v>
      </x:c>
    </x:row>
    <x:row r="643">
      <x:c r="A643" s="83" t="n">
        <x:v>642</x:v>
      </x:c>
      <x:c r="B643" s="84" t="n">
        <x:v>377</x:v>
      </x:c>
      <x:c r="C643" s="84" t="n">
        <x:v>39</x:v>
      </x:c>
      <x:c r="D643" s="89" t="n">
        <x:v>45011</x:v>
      </x:c>
      <x:c r="E643" s="84" t="n">
        <x:v>2.6</x:v>
      </x:c>
      <x:c r="F643" s="84" t="str">
        <x:v>Normal</x:v>
      </x:c>
      <x:c r="G643" s="93" t="n">
        <x:v>150.54</x:v>
      </x:c>
      <x:c r="H643" s="85" t="str">
        <x:v>Diagnóstico e execução</x:v>
      </x:c>
    </x:row>
    <x:row r="644">
      <x:c r="A644" s="83" t="n">
        <x:v>643</x:v>
      </x:c>
      <x:c r="B644" s="84" t="n">
        <x:v>378</x:v>
      </x:c>
      <x:c r="C644" s="84" t="n">
        <x:v>6</x:v>
      </x:c>
      <x:c r="D644" s="89" t="n">
        <x:v>45808</x:v>
      </x:c>
      <x:c r="E644" s="84" t="n">
        <x:v>1.6</x:v>
      </x:c>
      <x:c r="F644" s="84" t="str">
        <x:v>Normal</x:v>
      </x:c>
      <x:c r="G644" s="93" t="n">
        <x:v>83.62</x:v>
      </x:c>
      <x:c r="H644" s="85" t="str">
        <x:v>Diagnóstico e execução</x:v>
      </x:c>
    </x:row>
    <x:row r="645">
      <x:c r="A645" s="83" t="n">
        <x:v>644</x:v>
      </x:c>
      <x:c r="B645" s="84" t="n">
        <x:v>378</x:v>
      </x:c>
      <x:c r="C645" s="84" t="n">
        <x:v>14</x:v>
      </x:c>
      <x:c r="D645" s="89" t="n">
        <x:v>45808</x:v>
      </x:c>
      <x:c r="E645" s="84" t="n">
        <x:v>1.4</x:v>
      </x:c>
      <x:c r="F645" s="84" t="str">
        <x:v>Normal</x:v>
      </x:c>
      <x:c r="G645" s="93" t="n">
        <x:v>79.32</x:v>
      </x:c>
      <x:c r="H645" s="85" t="str">
        <x:v>Diagnóstico e execução</x:v>
      </x:c>
    </x:row>
    <x:row r="646">
      <x:c r="A646" s="83" t="n">
        <x:v>645</x:v>
      </x:c>
      <x:c r="B646" s="84" t="n">
        <x:v>378</x:v>
      </x:c>
      <x:c r="C646" s="84" t="n">
        <x:v>27</x:v>
      </x:c>
      <x:c r="D646" s="89" t="n">
        <x:v>45808</x:v>
      </x:c>
      <x:c r="E646" s="84" t="n">
        <x:v>2.4</x:v>
      </x:c>
      <x:c r="F646" s="84" t="str">
        <x:v>Normal</x:v>
      </x:c>
      <x:c r="G646" s="93" t="n">
        <x:v>146.38</x:v>
      </x:c>
      <x:c r="H646" s="85" t="str">
        <x:v>Diagnóstico e execução</x:v>
      </x:c>
    </x:row>
    <x:row r="647">
      <x:c r="A647" s="83" t="n">
        <x:v>646</x:v>
      </x:c>
      <x:c r="B647" s="84" t="n">
        <x:v>379</x:v>
      </x:c>
      <x:c r="C647" s="84" t="n">
        <x:v>2</x:v>
      </x:c>
      <x:c r="D647" s="89" t="n">
        <x:v>44992</x:v>
      </x:c>
      <x:c r="E647" s="84" t="n">
        <x:v>2.4</x:v>
      </x:c>
      <x:c r="F647" s="84" t="str">
        <x:v>Normal</x:v>
      </x:c>
      <x:c r="G647" s="93" t="n">
        <x:v>89.42</x:v>
      </x:c>
      <x:c r="H647" s="85" t="str">
        <x:v>Diagnóstico e execução</x:v>
      </x:c>
    </x:row>
    <x:row r="648">
      <x:c r="A648" s="83" t="n">
        <x:v>647</x:v>
      </x:c>
      <x:c r="B648" s="84" t="n">
        <x:v>379</x:v>
      </x:c>
      <x:c r="C648" s="84" t="n">
        <x:v>7</x:v>
      </x:c>
      <x:c r="D648" s="89" t="n">
        <x:v>44992</x:v>
      </x:c>
      <x:c r="E648" s="84" t="n">
        <x:v>2.3</x:v>
      </x:c>
      <x:c r="F648" s="84" t="str">
        <x:v>Normal</x:v>
      </x:c>
      <x:c r="G648" s="93" t="n">
        <x:v>133.88</x:v>
      </x:c>
      <x:c r="H648" s="85" t="str">
        <x:v>Diagnóstico e execução</x:v>
      </x:c>
    </x:row>
    <x:row r="649">
      <x:c r="A649" s="83" t="n">
        <x:v>648</x:v>
      </x:c>
      <x:c r="B649" s="84" t="n">
        <x:v>379</x:v>
      </x:c>
      <x:c r="C649" s="84" t="n">
        <x:v>23</x:v>
      </x:c>
      <x:c r="D649" s="89" t="n">
        <x:v>44992</x:v>
      </x:c>
      <x:c r="E649" s="84" t="n">
        <x:v>4</x:v>
      </x:c>
      <x:c r="F649" s="84" t="str">
        <x:v>Normal</x:v>
      </x:c>
      <x:c r="G649" s="93" t="n">
        <x:v>172.44</x:v>
      </x:c>
      <x:c r="H649" s="85" t="str">
        <x:v>Diagnóstico e execução</x:v>
      </x:c>
    </x:row>
    <x:row r="650">
      <x:c r="A650" s="83" t="n">
        <x:v>649</x:v>
      </x:c>
      <x:c r="B650" s="84" t="n">
        <x:v>381</x:v>
      </x:c>
      <x:c r="C650" s="84" t="n">
        <x:v>11</x:v>
      </x:c>
      <x:c r="D650" s="89" t="n">
        <x:v>45451</x:v>
      </x:c>
      <x:c r="E650" s="84" t="n">
        <x:v>1.1</x:v>
      </x:c>
      <x:c r="F650" s="84" t="str">
        <x:v>Normal</x:v>
      </x:c>
      <x:c r="G650" s="93" t="n">
        <x:v>45.85</x:v>
      </x:c>
      <x:c r="H650" s="85" t="str">
        <x:v>Diagnóstico e execução</x:v>
      </x:c>
    </x:row>
    <x:row r="651">
      <x:c r="A651" s="83" t="n">
        <x:v>650</x:v>
      </x:c>
      <x:c r="B651" s="84" t="n">
        <x:v>382</x:v>
      </x:c>
      <x:c r="C651" s="84" t="n">
        <x:v>25</x:v>
      </x:c>
      <x:c r="D651" s="89" t="n">
        <x:v>45139</x:v>
      </x:c>
      <x:c r="E651" s="84" t="n">
        <x:v>2.8</x:v>
      </x:c>
      <x:c r="F651" s="84" t="str">
        <x:v>Normal</x:v>
      </x:c>
      <x:c r="G651" s="93" t="n">
        <x:v>150.05</x:v>
      </x:c>
      <x:c r="H651" s="85" t="str">
        <x:v>Diagnóstico e execução</x:v>
      </x:c>
    </x:row>
    <x:row r="652">
      <x:c r="A652" s="83" t="n">
        <x:v>651</x:v>
      </x:c>
      <x:c r="B652" s="84" t="n">
        <x:v>382</x:v>
      </x:c>
      <x:c r="C652" s="84" t="n">
        <x:v>1</x:v>
      </x:c>
      <x:c r="D652" s="89" t="n">
        <x:v>45139</x:v>
      </x:c>
      <x:c r="E652" s="84" t="n">
        <x:v>0.9</x:v>
      </x:c>
      <x:c r="F652" s="84" t="str">
        <x:v>Normal</x:v>
      </x:c>
      <x:c r="G652" s="93" t="n">
        <x:v>31.83</x:v>
      </x:c>
      <x:c r="H652" s="85" t="str">
        <x:v>Diagnóstico e execução</x:v>
      </x:c>
    </x:row>
    <x:row r="653">
      <x:c r="A653" s="83" t="n">
        <x:v>652</x:v>
      </x:c>
      <x:c r="B653" s="84" t="n">
        <x:v>382</x:v>
      </x:c>
      <x:c r="C653" s="84" t="n">
        <x:v>29</x:v>
      </x:c>
      <x:c r="D653" s="89" t="n">
        <x:v>45139</x:v>
      </x:c>
      <x:c r="E653" s="84" t="n">
        <x:v>2.4</x:v>
      </x:c>
      <x:c r="F653" s="84" t="str">
        <x:v>Normal</x:v>
      </x:c>
      <x:c r="G653" s="93" t="n">
        <x:v>118.85</x:v>
      </x:c>
      <x:c r="H653" s="85" t="str">
        <x:v>Diagnóstico e execução</x:v>
      </x:c>
    </x:row>
    <x:row r="654">
      <x:c r="A654" s="83" t="n">
        <x:v>653</x:v>
      </x:c>
      <x:c r="B654" s="84" t="n">
        <x:v>383</x:v>
      </x:c>
      <x:c r="C654" s="84" t="n">
        <x:v>28</x:v>
      </x:c>
      <x:c r="D654" s="89" t="n">
        <x:v>45890</x:v>
      </x:c>
      <x:c r="E654" s="84" t="n">
        <x:v>7.4</x:v>
      </x:c>
      <x:c r="F654" s="84" t="str">
        <x:v>Normal</x:v>
      </x:c>
      <x:c r="G654" s="93" t="n">
        <x:v>278.39</x:v>
      </x:c>
      <x:c r="H654" s="85" t="str">
        <x:v>Diagnóstico e execução</x:v>
      </x:c>
    </x:row>
    <x:row r="655">
      <x:c r="A655" s="83" t="n">
        <x:v>654</x:v>
      </x:c>
      <x:c r="B655" s="84" t="n">
        <x:v>383</x:v>
      </x:c>
      <x:c r="C655" s="84" t="n">
        <x:v>45</x:v>
      </x:c>
      <x:c r="D655" s="89" t="n">
        <x:v>45890</x:v>
      </x:c>
      <x:c r="E655" s="84" t="n">
        <x:v>6.5</x:v>
      </x:c>
      <x:c r="F655" s="84" t="str">
        <x:v>Normal</x:v>
      </x:c>
      <x:c r="G655" s="93" t="n">
        <x:v>348.2</x:v>
      </x:c>
      <x:c r="H655" s="85" t="str">
        <x:v>Diagnóstico e execução</x:v>
      </x:c>
    </x:row>
    <x:row r="656">
      <x:c r="A656" s="83" t="n">
        <x:v>655</x:v>
      </x:c>
      <x:c r="B656" s="84" t="n">
        <x:v>385</x:v>
      </x:c>
      <x:c r="C656" s="84" t="n">
        <x:v>12</x:v>
      </x:c>
      <x:c r="D656" s="89" t="n">
        <x:v>45773</x:v>
      </x:c>
      <x:c r="E656" s="84" t="n">
        <x:v>5.9</x:v>
      </x:c>
      <x:c r="F656" s="84" t="str">
        <x:v>Normal</x:v>
      </x:c>
      <x:c r="G656" s="93" t="n">
        <x:v>203.55</x:v>
      </x:c>
      <x:c r="H656" s="85" t="str">
        <x:v>Diagnóstico e execução</x:v>
      </x:c>
    </x:row>
    <x:row r="657">
      <x:c r="A657" s="83" t="n">
        <x:v>656</x:v>
      </x:c>
      <x:c r="B657" s="84" t="n">
        <x:v>387</x:v>
      </x:c>
      <x:c r="C657" s="84" t="n">
        <x:v>12</x:v>
      </x:c>
      <x:c r="D657" s="89" t="n">
        <x:v>45793</x:v>
      </x:c>
      <x:c r="E657" s="84" t="n">
        <x:v>6.3</x:v>
      </x:c>
      <x:c r="F657" s="84" t="str">
        <x:v>Normal</x:v>
      </x:c>
      <x:c r="G657" s="93" t="n">
        <x:v>217.35</x:v>
      </x:c>
      <x:c r="H657" s="85" t="str">
        <x:v>Diagnóstico e execução</x:v>
      </x:c>
    </x:row>
    <x:row r="658">
      <x:c r="A658" s="83" t="n">
        <x:v>657</x:v>
      </x:c>
      <x:c r="B658" s="84" t="n">
        <x:v>388</x:v>
      </x:c>
      <x:c r="C658" s="84" t="n">
        <x:v>40</x:v>
      </x:c>
      <x:c r="D658" s="89" t="n">
        <x:v>46016</x:v>
      </x:c>
      <x:c r="E658" s="84" t="n">
        <x:v>7.3</x:v>
      </x:c>
      <x:c r="F658" s="84" t="str">
        <x:v>Normal</x:v>
      </x:c>
      <x:c r="G658" s="93" t="n">
        <x:v>360.77</x:v>
      </x:c>
      <x:c r="H658" s="85" t="str">
        <x:v>Diagnóstico e execução</x:v>
      </x:c>
    </x:row>
    <x:row r="659">
      <x:c r="A659" s="83" t="n">
        <x:v>658</x:v>
      </x:c>
      <x:c r="B659" s="84" t="n">
        <x:v>388</x:v>
      </x:c>
      <x:c r="C659" s="84" t="n">
        <x:v>39</x:v>
      </x:c>
      <x:c r="D659" s="89" t="n">
        <x:v>46016</x:v>
      </x:c>
      <x:c r="E659" s="84" t="n">
        <x:v>6.2</x:v>
      </x:c>
      <x:c r="F659" s="84" t="str">
        <x:v>Normal</x:v>
      </x:c>
      <x:c r="G659" s="93" t="n">
        <x:v>358.98</x:v>
      </x:c>
      <x:c r="H659" s="85" t="str">
        <x:v>Diagnóstico e execução</x:v>
      </x:c>
    </x:row>
    <x:row r="660">
      <x:c r="A660" s="83" t="n">
        <x:v>659</x:v>
      </x:c>
      <x:c r="B660" s="84" t="n">
        <x:v>389</x:v>
      </x:c>
      <x:c r="C660" s="84" t="n">
        <x:v>4</x:v>
      </x:c>
      <x:c r="D660" s="89" t="n">
        <x:v>45722</x:v>
      </x:c>
      <x:c r="E660" s="84" t="n">
        <x:v>5.4</x:v>
      </x:c>
      <x:c r="F660" s="84" t="str">
        <x:v>Normal</x:v>
      </x:c>
      <x:c r="G660" s="93" t="n">
        <x:v>265.63</x:v>
      </x:c>
      <x:c r="H660" s="85" t="str">
        <x:v>Diagnóstico e execução</x:v>
      </x:c>
    </x:row>
    <x:row r="661">
      <x:c r="A661" s="83" t="n">
        <x:v>660</x:v>
      </x:c>
      <x:c r="B661" s="84" t="n">
        <x:v>389</x:v>
      </x:c>
      <x:c r="C661" s="84" t="n">
        <x:v>15</x:v>
      </x:c>
      <x:c r="D661" s="89" t="n">
        <x:v>45722</x:v>
      </x:c>
      <x:c r="E661" s="84" t="n">
        <x:v>4.8</x:v>
      </x:c>
      <x:c r="F661" s="84" t="str">
        <x:v>Normal</x:v>
      </x:c>
      <x:c r="G661" s="93" t="n">
        <x:v>145.15</x:v>
      </x:c>
      <x:c r="H661" s="85" t="str">
        <x:v>Diagnóstico e execução</x:v>
      </x:c>
    </x:row>
    <x:row r="662">
      <x:c r="A662" s="83" t="n">
        <x:v>661</x:v>
      </x:c>
      <x:c r="B662" s="84" t="n">
        <x:v>389</x:v>
      </x:c>
      <x:c r="C662" s="84" t="n">
        <x:v>2</x:v>
      </x:c>
      <x:c r="D662" s="89" t="n">
        <x:v>45722</x:v>
      </x:c>
      <x:c r="E662" s="84" t="n">
        <x:v>3.4</x:v>
      </x:c>
      <x:c r="F662" s="84" t="str">
        <x:v>Normal</x:v>
      </x:c>
      <x:c r="G662" s="93" t="n">
        <x:v>126.68</x:v>
      </x:c>
      <x:c r="H662" s="85" t="str">
        <x:v>Diagnóstico e execução</x:v>
      </x:c>
    </x:row>
    <x:row r="663">
      <x:c r="A663" s="83" t="n">
        <x:v>662</x:v>
      </x:c>
      <x:c r="B663" s="84" t="n">
        <x:v>390</x:v>
      </x:c>
      <x:c r="C663" s="84" t="n">
        <x:v>18</x:v>
      </x:c>
      <x:c r="D663" s="89" t="n">
        <x:v>45434</x:v>
      </x:c>
      <x:c r="E663" s="84" t="n">
        <x:v>4.5</x:v>
      </x:c>
      <x:c r="F663" s="84" t="str">
        <x:v>Normal</x:v>
      </x:c>
      <x:c r="G663" s="93" t="n">
        <x:v>283.91</x:v>
      </x:c>
      <x:c r="H663" s="85" t="str">
        <x:v>Diagnóstico e execução</x:v>
      </x:c>
    </x:row>
    <x:row r="664">
      <x:c r="A664" s="83" t="n">
        <x:v>663</x:v>
      </x:c>
      <x:c r="B664" s="84" t="n">
        <x:v>390</x:v>
      </x:c>
      <x:c r="C664" s="84" t="n">
        <x:v>31</x:v>
      </x:c>
      <x:c r="D664" s="89" t="n">
        <x:v>45434</x:v>
      </x:c>
      <x:c r="E664" s="84" t="n">
        <x:v>5.3</x:v>
      </x:c>
      <x:c r="F664" s="84" t="str">
        <x:v>Normal</x:v>
      </x:c>
      <x:c r="G664" s="93" t="n">
        <x:v>259.17</x:v>
      </x:c>
      <x:c r="H664" s="85" t="str">
        <x:v>Diagnóstico e execução</x:v>
      </x:c>
    </x:row>
    <x:row r="665">
      <x:c r="A665" s="83" t="n">
        <x:v>664</x:v>
      </x:c>
      <x:c r="B665" s="84" t="n">
        <x:v>390</x:v>
      </x:c>
      <x:c r="C665" s="84" t="n">
        <x:v>2</x:v>
      </x:c>
      <x:c r="D665" s="89" t="n">
        <x:v>45434</x:v>
      </x:c>
      <x:c r="E665" s="84" t="n">
        <x:v>7.4</x:v>
      </x:c>
      <x:c r="F665" s="84" t="str">
        <x:v>Normal</x:v>
      </x:c>
      <x:c r="G665" s="93" t="n">
        <x:v>275.72</x:v>
      </x:c>
      <x:c r="H665" s="85" t="str">
        <x:v>Diagnóstico e execução</x:v>
      </x:c>
    </x:row>
    <x:row r="666">
      <x:c r="A666" s="83" t="n">
        <x:v>665</x:v>
      </x:c>
      <x:c r="B666" s="84" t="n">
        <x:v>391</x:v>
      </x:c>
      <x:c r="C666" s="84" t="n">
        <x:v>24</x:v>
      </x:c>
      <x:c r="D666" s="89" t="n">
        <x:v>45666</x:v>
      </x:c>
      <x:c r="E666" s="84" t="n">
        <x:v>4</x:v>
      </x:c>
      <x:c r="F666" s="84" t="str">
        <x:v>Normal</x:v>
      </x:c>
      <x:c r="G666" s="93" t="n">
        <x:v>236.96</x:v>
      </x:c>
      <x:c r="H666" s="85" t="str">
        <x:v>Diagnóstico e execução</x:v>
      </x:c>
    </x:row>
    <x:row r="667">
      <x:c r="A667" s="83" t="n">
        <x:v>666</x:v>
      </x:c>
      <x:c r="B667" s="84" t="n">
        <x:v>391</x:v>
      </x:c>
      <x:c r="C667" s="84" t="n">
        <x:v>20</x:v>
      </x:c>
      <x:c r="D667" s="89" t="n">
        <x:v>45666</x:v>
      </x:c>
      <x:c r="E667" s="84" t="n">
        <x:v>7.3</x:v>
      </x:c>
      <x:c r="F667" s="84" t="str">
        <x:v>Normal</x:v>
      </x:c>
      <x:c r="G667" s="93" t="n">
        <x:v>244.7</x:v>
      </x:c>
      <x:c r="H667" s="85" t="str">
        <x:v>Diagnóstico e execução</x:v>
      </x:c>
    </x:row>
    <x:row r="668">
      <x:c r="A668" s="83" t="n">
        <x:v>667</x:v>
      </x:c>
      <x:c r="B668" s="84" t="n">
        <x:v>392</x:v>
      </x:c>
      <x:c r="C668" s="84" t="n">
        <x:v>21</x:v>
      </x:c>
      <x:c r="D668" s="89" t="n">
        <x:v>45908</x:v>
      </x:c>
      <x:c r="E668" s="84" t="n">
        <x:v>7</x:v>
      </x:c>
      <x:c r="F668" s="84" t="str">
        <x:v>Normal</x:v>
      </x:c>
      <x:c r="G668" s="93" t="n">
        <x:v>430.01</x:v>
      </x:c>
      <x:c r="H668" s="85" t="str">
        <x:v>Diagnóstico e execução</x:v>
      </x:c>
    </x:row>
    <x:row r="669">
      <x:c r="A669" s="83" t="n">
        <x:v>668</x:v>
      </x:c>
      <x:c r="B669" s="84" t="n">
        <x:v>393</x:v>
      </x:c>
      <x:c r="C669" s="84" t="n">
        <x:v>36</x:v>
      </x:c>
      <x:c r="D669" s="89" t="n">
        <x:v>45343</x:v>
      </x:c>
      <x:c r="E669" s="84" t="n">
        <x:v>2.1</x:v>
      </x:c>
      <x:c r="F669" s="84" t="str">
        <x:v>Normal</x:v>
      </x:c>
      <x:c r="G669" s="93" t="n">
        <x:v>62.29</x:v>
      </x:c>
      <x:c r="H669" s="85" t="str">
        <x:v>Diagnóstico e execução</x:v>
      </x:c>
    </x:row>
    <x:row r="670">
      <x:c r="A670" s="83" t="n">
        <x:v>669</x:v>
      </x:c>
      <x:c r="B670" s="84" t="n">
        <x:v>393</x:v>
      </x:c>
      <x:c r="C670" s="84" t="n">
        <x:v>8</x:v>
      </x:c>
      <x:c r="D670" s="89" t="n">
        <x:v>45343</x:v>
      </x:c>
      <x:c r="E670" s="84" t="n">
        <x:v>2.3</x:v>
      </x:c>
      <x:c r="F670" s="84" t="str">
        <x:v>Normal</x:v>
      </x:c>
      <x:c r="G670" s="93" t="n">
        <x:v>106.95</x:v>
      </x:c>
      <x:c r="H670" s="85" t="str">
        <x:v>Diagnóstico e execução</x:v>
      </x:c>
    </x:row>
    <x:row r="671">
      <x:c r="A671" s="83" t="n">
        <x:v>670</x:v>
      </x:c>
      <x:c r="B671" s="84" t="n">
        <x:v>394</x:v>
      </x:c>
      <x:c r="C671" s="84" t="n">
        <x:v>8</x:v>
      </x:c>
      <x:c r="D671" s="89" t="n">
        <x:v>45491</x:v>
      </x:c>
      <x:c r="E671" s="84" t="n">
        <x:v>5.4</x:v>
      </x:c>
      <x:c r="F671" s="84" t="str">
        <x:v>Normal</x:v>
      </x:c>
      <x:c r="G671" s="93" t="n">
        <x:v>251.1</x:v>
      </x:c>
      <x:c r="H671" s="85" t="str">
        <x:v>Diagnóstico e execução</x:v>
      </x:c>
    </x:row>
    <x:row r="672">
      <x:c r="A672" s="83" t="n">
        <x:v>671</x:v>
      </x:c>
      <x:c r="B672" s="84" t="n">
        <x:v>394</x:v>
      </x:c>
      <x:c r="C672" s="84" t="n">
        <x:v>45</x:v>
      </x:c>
      <x:c r="D672" s="89" t="n">
        <x:v>45491</x:v>
      </x:c>
      <x:c r="E672" s="84" t="n">
        <x:v>2.6</x:v>
      </x:c>
      <x:c r="F672" s="84" t="str">
        <x:v>Normal</x:v>
      </x:c>
      <x:c r="G672" s="93" t="n">
        <x:v>139.28</x:v>
      </x:c>
      <x:c r="H672" s="85" t="str">
        <x:v>Diagnóstico e execução</x:v>
      </x:c>
    </x:row>
    <x:row r="673">
      <x:c r="A673" s="83" t="n">
        <x:v>672</x:v>
      </x:c>
      <x:c r="B673" s="84" t="n">
        <x:v>395</x:v>
      </x:c>
      <x:c r="C673" s="84" t="n">
        <x:v>35</x:v>
      </x:c>
      <x:c r="D673" s="89" t="n">
        <x:v>45617</x:v>
      </x:c>
      <x:c r="E673" s="84" t="n">
        <x:v>4</x:v>
      </x:c>
      <x:c r="F673" s="84" t="str">
        <x:v>Normal</x:v>
      </x:c>
      <x:c r="G673" s="93" t="n">
        <x:v>196.76</x:v>
      </x:c>
      <x:c r="H673" s="85" t="str">
        <x:v>Diagnóstico e execução</x:v>
      </x:c>
    </x:row>
    <x:row r="674">
      <x:c r="A674" s="83" t="n">
        <x:v>673</x:v>
      </x:c>
      <x:c r="B674" s="84" t="n">
        <x:v>395</x:v>
      </x:c>
      <x:c r="C674" s="84" t="n">
        <x:v>45</x:v>
      </x:c>
      <x:c r="D674" s="89" t="n">
        <x:v>45617</x:v>
      </x:c>
      <x:c r="E674" s="84" t="n">
        <x:v>3.7</x:v>
      </x:c>
      <x:c r="F674" s="84" t="str">
        <x:v>Normal</x:v>
      </x:c>
      <x:c r="G674" s="93" t="n">
        <x:v>198.21</x:v>
      </x:c>
      <x:c r="H674" s="85" t="str">
        <x:v>Diagnóstico e execução</x:v>
      </x:c>
    </x:row>
    <x:row r="675">
      <x:c r="A675" s="83" t="n">
        <x:v>674</x:v>
      </x:c>
      <x:c r="B675" s="84" t="n">
        <x:v>396</x:v>
      </x:c>
      <x:c r="C675" s="84" t="n">
        <x:v>27</x:v>
      </x:c>
      <x:c r="D675" s="89" t="n">
        <x:v>45368</x:v>
      </x:c>
      <x:c r="E675" s="84" t="n">
        <x:v>5.6</x:v>
      </x:c>
      <x:c r="F675" s="84" t="str">
        <x:v>Normal</x:v>
      </x:c>
      <x:c r="G675" s="93" t="n">
        <x:v>341.54</x:v>
      </x:c>
      <x:c r="H675" s="85" t="str">
        <x:v>Diagnóstico e execução</x:v>
      </x:c>
    </x:row>
    <x:row r="676">
      <x:c r="A676" s="83" t="n">
        <x:v>675</x:v>
      </x:c>
      <x:c r="B676" s="84" t="n">
        <x:v>396</x:v>
      </x:c>
      <x:c r="C676" s="84" t="n">
        <x:v>17</x:v>
      </x:c>
      <x:c r="D676" s="89" t="n">
        <x:v>45368</x:v>
      </x:c>
      <x:c r="E676" s="84" t="n">
        <x:v>7</x:v>
      </x:c>
      <x:c r="F676" s="84" t="str">
        <x:v>Normal</x:v>
      </x:c>
      <x:c r="G676" s="93" t="n">
        <x:v>390.46</x:v>
      </x:c>
      <x:c r="H676" s="85" t="str">
        <x:v>Diagnóstico e execução</x:v>
      </x:c>
    </x:row>
    <x:row r="677">
      <x:c r="A677" s="83" t="n">
        <x:v>676</x:v>
      </x:c>
      <x:c r="B677" s="84" t="n">
        <x:v>396</x:v>
      </x:c>
      <x:c r="C677" s="84" t="n">
        <x:v>12</x:v>
      </x:c>
      <x:c r="D677" s="89" t="n">
        <x:v>45368</x:v>
      </x:c>
      <x:c r="E677" s="84" t="n">
        <x:v>0.7</x:v>
      </x:c>
      <x:c r="F677" s="84" t="str">
        <x:v>Normal</x:v>
      </x:c>
      <x:c r="G677" s="93" t="n">
        <x:v>24.15</x:v>
      </x:c>
      <x:c r="H677" s="85" t="str">
        <x:v>Diagnóstico e execução</x:v>
      </x:c>
    </x:row>
    <x:row r="678">
      <x:c r="A678" s="83" t="n">
        <x:v>677</x:v>
      </x:c>
      <x:c r="B678" s="84" t="n">
        <x:v>397</x:v>
      </x:c>
      <x:c r="C678" s="84" t="n">
        <x:v>33</x:v>
      </x:c>
      <x:c r="D678" s="89" t="n">
        <x:v>45683</x:v>
      </x:c>
      <x:c r="E678" s="84" t="n">
        <x:v>5.3</x:v>
      </x:c>
      <x:c r="F678" s="84" t="str">
        <x:v>Normal</x:v>
      </x:c>
      <x:c r="G678" s="93" t="n">
        <x:v>182.8</x:v>
      </x:c>
      <x:c r="H678" s="85" t="str">
        <x:v>Diagnóstico e execução</x:v>
      </x:c>
    </x:row>
    <x:row r="679">
      <x:c r="A679" s="83" t="n">
        <x:v>678</x:v>
      </x:c>
      <x:c r="B679" s="84" t="n">
        <x:v>397</x:v>
      </x:c>
      <x:c r="C679" s="84" t="n">
        <x:v>16</x:v>
      </x:c>
      <x:c r="D679" s="89" t="n">
        <x:v>45683</x:v>
      </x:c>
      <x:c r="E679" s="84" t="n">
        <x:v>5.4</x:v>
      </x:c>
      <x:c r="F679" s="84" t="str">
        <x:v>Normal</x:v>
      </x:c>
      <x:c r="G679" s="93" t="n">
        <x:v>218.81</x:v>
      </x:c>
      <x:c r="H679" s="85" t="str">
        <x:v>Diagnóstico e execução</x:v>
      </x:c>
    </x:row>
    <x:row r="680">
      <x:c r="A680" s="83" t="n">
        <x:v>679</x:v>
      </x:c>
      <x:c r="B680" s="84" t="n">
        <x:v>397</x:v>
      </x:c>
      <x:c r="C680" s="84" t="n">
        <x:v>21</x:v>
      </x:c>
      <x:c r="D680" s="89" t="n">
        <x:v>45683</x:v>
      </x:c>
      <x:c r="E680" s="84" t="n">
        <x:v>5.1</x:v>
      </x:c>
      <x:c r="F680" s="84" t="str">
        <x:v>Normal</x:v>
      </x:c>
      <x:c r="G680" s="93" t="n">
        <x:v>313.29</x:v>
      </x:c>
      <x:c r="H680" s="85" t="str">
        <x:v>Diagnóstico e execução</x:v>
      </x:c>
    </x:row>
    <x:row r="681">
      <x:c r="A681" s="83" t="n">
        <x:v>680</x:v>
      </x:c>
      <x:c r="B681" s="84" t="n">
        <x:v>398</x:v>
      </x:c>
      <x:c r="C681" s="84" t="n">
        <x:v>10</x:v>
      </x:c>
      <x:c r="D681" s="89" t="n">
        <x:v>45715</x:v>
      </x:c>
      <x:c r="E681" s="84" t="n">
        <x:v>5.1</x:v>
      </x:c>
      <x:c r="F681" s="84" t="str">
        <x:v>Normal</x:v>
      </x:c>
      <x:c r="G681" s="93" t="n">
        <x:v>151.42</x:v>
      </x:c>
      <x:c r="H681" s="85" t="str">
        <x:v>Diagnóstico e execução</x:v>
      </x:c>
    </x:row>
    <x:row r="682">
      <x:c r="A682" s="83" t="n">
        <x:v>681</x:v>
      </x:c>
      <x:c r="B682" s="84" t="n">
        <x:v>398</x:v>
      </x:c>
      <x:c r="C682" s="84" t="n">
        <x:v>14</x:v>
      </x:c>
      <x:c r="D682" s="89" t="n">
        <x:v>45715</x:v>
      </x:c>
      <x:c r="E682" s="84" t="n">
        <x:v>2.3</x:v>
      </x:c>
      <x:c r="F682" s="84" t="str">
        <x:v>Normal</x:v>
      </x:c>
      <x:c r="G682" s="93" t="n">
        <x:v>130.32</x:v>
      </x:c>
      <x:c r="H682" s="85" t="str">
        <x:v>Diagnóstico e execução</x:v>
      </x:c>
    </x:row>
    <x:row r="683">
      <x:c r="A683" s="83" t="n">
        <x:v>682</x:v>
      </x:c>
      <x:c r="B683" s="84" t="n">
        <x:v>398</x:v>
      </x:c>
      <x:c r="C683" s="84" t="n">
        <x:v>44</x:v>
      </x:c>
      <x:c r="D683" s="89" t="n">
        <x:v>45715</x:v>
      </x:c>
      <x:c r="E683" s="84" t="n">
        <x:v>6.3</x:v>
      </x:c>
      <x:c r="F683" s="84" t="str">
        <x:v>Normal</x:v>
      </x:c>
      <x:c r="G683" s="93" t="n">
        <x:v>176.65</x:v>
      </x:c>
      <x:c r="H683" s="85" t="str">
        <x:v>Diagnóstico e execução</x:v>
      </x:c>
    </x:row>
    <x:row r="684">
      <x:c r="A684" s="83" t="n">
        <x:v>683</x:v>
      </x:c>
      <x:c r="B684" s="84" t="n">
        <x:v>399</x:v>
      </x:c>
      <x:c r="C684" s="84" t="n">
        <x:v>40</x:v>
      </x:c>
      <x:c r="D684" s="89" t="n">
        <x:v>45797</x:v>
      </x:c>
      <x:c r="E684" s="84" t="n">
        <x:v>8</x:v>
      </x:c>
      <x:c r="F684" s="84" t="str">
        <x:v>Normal</x:v>
      </x:c>
      <x:c r="G684" s="93" t="n">
        <x:v>395.36</x:v>
      </x:c>
      <x:c r="H684" s="85" t="str">
        <x:v>Diagnóstico e execução</x:v>
      </x:c>
    </x:row>
    <x:row r="685">
      <x:c r="A685" s="83" t="n">
        <x:v>684</x:v>
      </x:c>
      <x:c r="B685" s="84" t="n">
        <x:v>399</x:v>
      </x:c>
      <x:c r="C685" s="84" t="n">
        <x:v>8</x:v>
      </x:c>
      <x:c r="D685" s="89" t="n">
        <x:v>45797</x:v>
      </x:c>
      <x:c r="E685" s="84" t="n">
        <x:v>5.3</x:v>
      </x:c>
      <x:c r="F685" s="84" t="str">
        <x:v>Normal</x:v>
      </x:c>
      <x:c r="G685" s="93" t="n">
        <x:v>246.45</x:v>
      </x:c>
      <x:c r="H685" s="85" t="str">
        <x:v>Diagnóstico e execução</x:v>
      </x:c>
    </x:row>
    <x:row r="686">
      <x:c r="A686" s="83" t="n">
        <x:v>685</x:v>
      </x:c>
      <x:c r="B686" s="84" t="n">
        <x:v>400</x:v>
      </x:c>
      <x:c r="C686" s="84" t="n">
        <x:v>1</x:v>
      </x:c>
      <x:c r="D686" s="89" t="n">
        <x:v>44940</x:v>
      </x:c>
      <x:c r="E686" s="84" t="n">
        <x:v>3</x:v>
      </x:c>
      <x:c r="F686" s="84" t="str">
        <x:v>Normal</x:v>
      </x:c>
      <x:c r="G686" s="93" t="n">
        <x:v>106.11</x:v>
      </x:c>
      <x:c r="H686" s="85" t="str">
        <x:v>Diagnóstico e execução</x:v>
      </x:c>
    </x:row>
    <x:row r="687">
      <x:c r="A687" s="83" t="n">
        <x:v>686</x:v>
      </x:c>
      <x:c r="B687" s="84" t="n">
        <x:v>401</x:v>
      </x:c>
      <x:c r="C687" s="84" t="n">
        <x:v>19</x:v>
      </x:c>
      <x:c r="D687" s="89" t="n">
        <x:v>45095</x:v>
      </x:c>
      <x:c r="E687" s="84" t="n">
        <x:v>6.4</x:v>
      </x:c>
      <x:c r="F687" s="84" t="str">
        <x:v>Normal</x:v>
      </x:c>
      <x:c r="G687" s="93" t="n">
        <x:v>297.47</x:v>
      </x:c>
      <x:c r="H687" s="85" t="str">
        <x:v>Diagnóstico e execução</x:v>
      </x:c>
    </x:row>
    <x:row r="688">
      <x:c r="A688" s="83" t="n">
        <x:v>687</x:v>
      </x:c>
      <x:c r="B688" s="84" t="n">
        <x:v>401</x:v>
      </x:c>
      <x:c r="C688" s="84" t="n">
        <x:v>20</x:v>
      </x:c>
      <x:c r="D688" s="89" t="n">
        <x:v>45095</x:v>
      </x:c>
      <x:c r="E688" s="84" t="n">
        <x:v>7.2</x:v>
      </x:c>
      <x:c r="F688" s="84" t="str">
        <x:v>Normal</x:v>
      </x:c>
      <x:c r="G688" s="93" t="n">
        <x:v>241.34</x:v>
      </x:c>
      <x:c r="H688" s="85" t="str">
        <x:v>Diagnóstico e execução</x:v>
      </x:c>
    </x:row>
    <x:row r="689">
      <x:c r="A689" s="83" t="n">
        <x:v>688</x:v>
      </x:c>
      <x:c r="B689" s="84" t="n">
        <x:v>401</x:v>
      </x:c>
      <x:c r="C689" s="84" t="n">
        <x:v>16</x:v>
      </x:c>
      <x:c r="D689" s="89" t="n">
        <x:v>45095</x:v>
      </x:c>
      <x:c r="E689" s="84" t="n">
        <x:v>0.8</x:v>
      </x:c>
      <x:c r="F689" s="84" t="str">
        <x:v>Normal</x:v>
      </x:c>
      <x:c r="G689" s="93" t="n">
        <x:v>32.42</x:v>
      </x:c>
      <x:c r="H689" s="85" t="str">
        <x:v>Diagnóstico e execução</x:v>
      </x:c>
    </x:row>
    <x:row r="690">
      <x:c r="A690" s="83" t="n">
        <x:v>689</x:v>
      </x:c>
      <x:c r="B690" s="84" t="n">
        <x:v>402</x:v>
      </x:c>
      <x:c r="C690" s="84" t="n">
        <x:v>7</x:v>
      </x:c>
      <x:c r="D690" s="89" t="n">
        <x:v>45403</x:v>
      </x:c>
      <x:c r="E690" s="84" t="n">
        <x:v>5.3</x:v>
      </x:c>
      <x:c r="F690" s="84" t="str">
        <x:v>Normal</x:v>
      </x:c>
      <x:c r="G690" s="93" t="n">
        <x:v>308.51</x:v>
      </x:c>
      <x:c r="H690" s="85" t="str">
        <x:v>Diagnóstico e execução</x:v>
      </x:c>
    </x:row>
    <x:row r="691">
      <x:c r="A691" s="83" t="n">
        <x:v>690</x:v>
      </x:c>
      <x:c r="B691" s="84" t="n">
        <x:v>402</x:v>
      </x:c>
      <x:c r="C691" s="84" t="n">
        <x:v>33</x:v>
      </x:c>
      <x:c r="D691" s="89" t="n">
        <x:v>45403</x:v>
      </x:c>
      <x:c r="E691" s="84" t="n">
        <x:v>4.9</x:v>
      </x:c>
      <x:c r="F691" s="84" t="str">
        <x:v>Normal</x:v>
      </x:c>
      <x:c r="G691" s="93" t="n">
        <x:v>169</x:v>
      </x:c>
      <x:c r="H691" s="85" t="str">
        <x:v>Diagnóstico e execução</x:v>
      </x:c>
    </x:row>
    <x:row r="692">
      <x:c r="A692" s="83" t="n">
        <x:v>691</x:v>
      </x:c>
      <x:c r="B692" s="84" t="n">
        <x:v>403</x:v>
      </x:c>
      <x:c r="C692" s="84" t="n">
        <x:v>18</x:v>
      </x:c>
      <x:c r="D692" s="89" t="n">
        <x:v>44993</x:v>
      </x:c>
      <x:c r="E692" s="84" t="n">
        <x:v>2.9</x:v>
      </x:c>
      <x:c r="F692" s="84" t="str">
        <x:v>Normal</x:v>
      </x:c>
      <x:c r="G692" s="93" t="n">
        <x:v>182.96</x:v>
      </x:c>
      <x:c r="H692" s="85" t="str">
        <x:v>Diagnóstico e execução</x:v>
      </x:c>
    </x:row>
    <x:row r="693">
      <x:c r="A693" s="83" t="n">
        <x:v>692</x:v>
      </x:c>
      <x:c r="B693" s="84" t="n">
        <x:v>403</x:v>
      </x:c>
      <x:c r="C693" s="84" t="n">
        <x:v>14</x:v>
      </x:c>
      <x:c r="D693" s="89" t="n">
        <x:v>44993</x:v>
      </x:c>
      <x:c r="E693" s="84" t="n">
        <x:v>4.6</x:v>
      </x:c>
      <x:c r="F693" s="84" t="str">
        <x:v>Normal</x:v>
      </x:c>
      <x:c r="G693" s="93" t="n">
        <x:v>260.64</x:v>
      </x:c>
      <x:c r="H693" s="85" t="str">
        <x:v>Diagnóstico e execução</x:v>
      </x:c>
    </x:row>
    <x:row r="694">
      <x:c r="A694" s="83" t="n">
        <x:v>693</x:v>
      </x:c>
      <x:c r="B694" s="84" t="n">
        <x:v>404</x:v>
      </x:c>
      <x:c r="C694" s="84" t="n">
        <x:v>45</x:v>
      </x:c>
      <x:c r="D694" s="89" t="n">
        <x:v>45526</x:v>
      </x:c>
      <x:c r="E694" s="84" t="n">
        <x:v>4.4</x:v>
      </x:c>
      <x:c r="F694" s="84" t="str">
        <x:v>Normal</x:v>
      </x:c>
      <x:c r="G694" s="93" t="n">
        <x:v>235.71</x:v>
      </x:c>
      <x:c r="H694" s="85" t="str">
        <x:v>Diagnóstico e execução</x:v>
      </x:c>
    </x:row>
    <x:row r="695">
      <x:c r="A695" s="83" t="n">
        <x:v>694</x:v>
      </x:c>
      <x:c r="B695" s="84" t="n">
        <x:v>407</x:v>
      </x:c>
      <x:c r="C695" s="84" t="n">
        <x:v>20</x:v>
      </x:c>
      <x:c r="D695" s="89" t="n">
        <x:v>44977</x:v>
      </x:c>
      <x:c r="E695" s="84" t="n">
        <x:v>4</x:v>
      </x:c>
      <x:c r="F695" s="84" t="str">
        <x:v>Normal</x:v>
      </x:c>
      <x:c r="G695" s="93" t="n">
        <x:v>134.08</x:v>
      </x:c>
      <x:c r="H695" s="85" t="str">
        <x:v>Diagnóstico e execução</x:v>
      </x:c>
    </x:row>
    <x:row r="696">
      <x:c r="A696" s="83" t="n">
        <x:v>695</x:v>
      </x:c>
      <x:c r="B696" s="84" t="n">
        <x:v>407</x:v>
      </x:c>
      <x:c r="C696" s="84" t="n">
        <x:v>33</x:v>
      </x:c>
      <x:c r="D696" s="89" t="n">
        <x:v>44977</x:v>
      </x:c>
      <x:c r="E696" s="84" t="n">
        <x:v>3.8</x:v>
      </x:c>
      <x:c r="F696" s="84" t="str">
        <x:v>Normal</x:v>
      </x:c>
      <x:c r="G696" s="93" t="n">
        <x:v>131.06</x:v>
      </x:c>
      <x:c r="H696" s="85" t="str">
        <x:v>Diagnóstico e execução</x:v>
      </x:c>
    </x:row>
    <x:row r="697">
      <x:c r="A697" s="83" t="n">
        <x:v>696</x:v>
      </x:c>
      <x:c r="B697" s="84" t="n">
        <x:v>408</x:v>
      </x:c>
      <x:c r="C697" s="84" t="n">
        <x:v>22</x:v>
      </x:c>
      <x:c r="D697" s="89" t="n">
        <x:v>45638</x:v>
      </x:c>
      <x:c r="E697" s="84" t="n">
        <x:v>6.8</x:v>
      </x:c>
      <x:c r="F697" s="84" t="str">
        <x:v>Normal</x:v>
      </x:c>
      <x:c r="G697" s="93" t="n">
        <x:v>261.53</x:v>
      </x:c>
      <x:c r="H697" s="85" t="str">
        <x:v>Diagnóstico e execução</x:v>
      </x:c>
    </x:row>
    <x:row r="698">
      <x:c r="A698" s="83" t="n">
        <x:v>697</x:v>
      </x:c>
      <x:c r="B698" s="84" t="n">
        <x:v>408</x:v>
      </x:c>
      <x:c r="C698" s="84" t="n">
        <x:v>34</x:v>
      </x:c>
      <x:c r="D698" s="89" t="n">
        <x:v>45638</x:v>
      </x:c>
      <x:c r="E698" s="84" t="n">
        <x:v>5.7</x:v>
      </x:c>
      <x:c r="F698" s="84" t="str">
        <x:v>Normal</x:v>
      </x:c>
      <x:c r="G698" s="93" t="n">
        <x:v>246.41</x:v>
      </x:c>
      <x:c r="H698" s="85" t="str">
        <x:v>Diagnóstico e execução</x:v>
      </x:c>
    </x:row>
    <x:row r="699">
      <x:c r="A699" s="83" t="n">
        <x:v>698</x:v>
      </x:c>
      <x:c r="B699" s="84" t="n">
        <x:v>408</x:v>
      </x:c>
      <x:c r="C699" s="84" t="n">
        <x:v>35</x:v>
      </x:c>
      <x:c r="D699" s="89" t="n">
        <x:v>45638</x:v>
      </x:c>
      <x:c r="E699" s="84" t="n">
        <x:v>6.9</x:v>
      </x:c>
      <x:c r="F699" s="84" t="str">
        <x:v>Normal</x:v>
      </x:c>
      <x:c r="G699" s="93" t="n">
        <x:v>339.41</x:v>
      </x:c>
      <x:c r="H699" s="85" t="str">
        <x:v>Diagnóstico e execução</x:v>
      </x:c>
    </x:row>
    <x:row r="700">
      <x:c r="A700" s="83" t="n">
        <x:v>699</x:v>
      </x:c>
      <x:c r="B700" s="84" t="n">
        <x:v>409</x:v>
      </x:c>
      <x:c r="C700" s="84" t="n">
        <x:v>35</x:v>
      </x:c>
      <x:c r="D700" s="89" t="n">
        <x:v>45773</x:v>
      </x:c>
      <x:c r="E700" s="84" t="n">
        <x:v>5</x:v>
      </x:c>
      <x:c r="F700" s="84" t="str">
        <x:v>Normal</x:v>
      </x:c>
      <x:c r="G700" s="93" t="n">
        <x:v>245.95</x:v>
      </x:c>
      <x:c r="H700" s="85" t="str">
        <x:v>Diagnóstico e execução</x:v>
      </x:c>
    </x:row>
    <x:row r="701">
      <x:c r="A701" s="83" t="n">
        <x:v>700</x:v>
      </x:c>
      <x:c r="B701" s="84" t="n">
        <x:v>410</x:v>
      </x:c>
      <x:c r="C701" s="84" t="n">
        <x:v>35</x:v>
      </x:c>
      <x:c r="D701" s="89" t="n">
        <x:v>45938</x:v>
      </x:c>
      <x:c r="E701" s="84" t="n">
        <x:v>3.4</x:v>
      </x:c>
      <x:c r="F701" s="84" t="str">
        <x:v>Normal</x:v>
      </x:c>
      <x:c r="G701" s="93" t="n">
        <x:v>167.25</x:v>
      </x:c>
      <x:c r="H701" s="85" t="str">
        <x:v>Diagnóstico e execução</x:v>
      </x:c>
    </x:row>
    <x:row r="702">
      <x:c r="A702" s="83" t="n">
        <x:v>701</x:v>
      </x:c>
      <x:c r="B702" s="84" t="n">
        <x:v>410</x:v>
      </x:c>
      <x:c r="C702" s="84" t="n">
        <x:v>38</x:v>
      </x:c>
      <x:c r="D702" s="89" t="n">
        <x:v>45938</x:v>
      </x:c>
      <x:c r="E702" s="84" t="n">
        <x:v>1.5</x:v>
      </x:c>
      <x:c r="F702" s="84" t="str">
        <x:v>Normal</x:v>
      </x:c>
      <x:c r="G702" s="93" t="n">
        <x:v>50.51</x:v>
      </x:c>
      <x:c r="H702" s="85" t="str">
        <x:v>Diagnóstico e execução</x:v>
      </x:c>
    </x:row>
    <x:row r="703">
      <x:c r="A703" s="83" t="n">
        <x:v>702</x:v>
      </x:c>
      <x:c r="B703" s="84" t="n">
        <x:v>410</x:v>
      </x:c>
      <x:c r="C703" s="84" t="n">
        <x:v>33</x:v>
      </x:c>
      <x:c r="D703" s="89" t="n">
        <x:v>45938</x:v>
      </x:c>
      <x:c r="E703" s="84" t="n">
        <x:v>2.2</x:v>
      </x:c>
      <x:c r="F703" s="84" t="str">
        <x:v>Normal</x:v>
      </x:c>
      <x:c r="G703" s="93" t="n">
        <x:v>75.88</x:v>
      </x:c>
      <x:c r="H703" s="85" t="str">
        <x:v>Diagnóstico e execução</x:v>
      </x:c>
    </x:row>
    <x:row r="704">
      <x:c r="A704" s="83" t="n">
        <x:v>703</x:v>
      </x:c>
      <x:c r="B704" s="84" t="n">
        <x:v>411</x:v>
      </x:c>
      <x:c r="C704" s="84" t="n">
        <x:v>20</x:v>
      </x:c>
      <x:c r="D704" s="89" t="n">
        <x:v>45466</x:v>
      </x:c>
      <x:c r="E704" s="84" t="n">
        <x:v>3.9</x:v>
      </x:c>
      <x:c r="F704" s="84" t="str">
        <x:v>Normal</x:v>
      </x:c>
      <x:c r="G704" s="93" t="n">
        <x:v>130.73</x:v>
      </x:c>
      <x:c r="H704" s="85" t="str">
        <x:v>Diagnóstico e execução</x:v>
      </x:c>
    </x:row>
    <x:row r="705">
      <x:c r="A705" s="83" t="n">
        <x:v>704</x:v>
      </x:c>
      <x:c r="B705" s="84" t="n">
        <x:v>412</x:v>
      </x:c>
      <x:c r="C705" s="84" t="n">
        <x:v>37</x:v>
      </x:c>
      <x:c r="D705" s="89" t="n">
        <x:v>45829</x:v>
      </x:c>
      <x:c r="E705" s="84" t="n">
        <x:v>1.3</x:v>
      </x:c>
      <x:c r="F705" s="84" t="str">
        <x:v>Normal</x:v>
      </x:c>
      <x:c r="G705" s="93" t="n">
        <x:v>76.66</x:v>
      </x:c>
      <x:c r="H705" s="85" t="str">
        <x:v>Diagnóstico e execução</x:v>
      </x:c>
    </x:row>
    <x:row r="706">
      <x:c r="A706" s="83" t="n">
        <x:v>705</x:v>
      </x:c>
      <x:c r="B706" s="84" t="n">
        <x:v>412</x:v>
      </x:c>
      <x:c r="C706" s="84" t="n">
        <x:v>25</x:v>
      </x:c>
      <x:c r="D706" s="89" t="n">
        <x:v>45829</x:v>
      </x:c>
      <x:c r="E706" s="84" t="n">
        <x:v>6.5</x:v>
      </x:c>
      <x:c r="F706" s="84" t="str">
        <x:v>Normal</x:v>
      </x:c>
      <x:c r="G706" s="93" t="n">
        <x:v>348.34</x:v>
      </x:c>
      <x:c r="H706" s="85" t="str">
        <x:v>Diagnóstico e execução</x:v>
      </x:c>
    </x:row>
    <x:row r="707">
      <x:c r="A707" s="83" t="n">
        <x:v>706</x:v>
      </x:c>
      <x:c r="B707" s="84" t="n">
        <x:v>413</x:v>
      </x:c>
      <x:c r="C707" s="84" t="n">
        <x:v>15</x:v>
      </x:c>
      <x:c r="D707" s="89" t="n">
        <x:v>45708</x:v>
      </x:c>
      <x:c r="E707" s="84" t="n">
        <x:v>5.4</x:v>
      </x:c>
      <x:c r="F707" s="84" t="str">
        <x:v>Normal</x:v>
      </x:c>
      <x:c r="G707" s="93" t="n">
        <x:v>163.3</x:v>
      </x:c>
      <x:c r="H707" s="85" t="str">
        <x:v>Diagnóstico e execução</x:v>
      </x:c>
    </x:row>
    <x:row r="708">
      <x:c r="A708" s="83" t="n">
        <x:v>707</x:v>
      </x:c>
      <x:c r="B708" s="84" t="n">
        <x:v>414</x:v>
      </x:c>
      <x:c r="C708" s="84" t="n">
        <x:v>42</x:v>
      </x:c>
      <x:c r="D708" s="89" t="n">
        <x:v>45411</x:v>
      </x:c>
      <x:c r="E708" s="84" t="n">
        <x:v>4</x:v>
      </x:c>
      <x:c r="F708" s="84" t="str">
        <x:v>Normal</x:v>
      </x:c>
      <x:c r="G708" s="93" t="n">
        <x:v>168.72</x:v>
      </x:c>
      <x:c r="H708" s="85" t="str">
        <x:v>Diagnóstico e execução</x:v>
      </x:c>
    </x:row>
    <x:row r="709">
      <x:c r="A709" s="83" t="n">
        <x:v>708</x:v>
      </x:c>
      <x:c r="B709" s="84" t="n">
        <x:v>414</x:v>
      </x:c>
      <x:c r="C709" s="84" t="n">
        <x:v>25</x:v>
      </x:c>
      <x:c r="D709" s="89" t="n">
        <x:v>45411</x:v>
      </x:c>
      <x:c r="E709" s="84" t="n">
        <x:v>5.6</x:v>
      </x:c>
      <x:c r="F709" s="84" t="str">
        <x:v>Normal</x:v>
      </x:c>
      <x:c r="G709" s="93" t="n">
        <x:v>300.1</x:v>
      </x:c>
      <x:c r="H709" s="85" t="str">
        <x:v>Diagnóstico e execução</x:v>
      </x:c>
    </x:row>
    <x:row r="710">
      <x:c r="A710" s="83" t="n">
        <x:v>709</x:v>
      </x:c>
      <x:c r="B710" s="84" t="n">
        <x:v>414</x:v>
      </x:c>
      <x:c r="C710" s="84" t="n">
        <x:v>4</x:v>
      </x:c>
      <x:c r="D710" s="89" t="n">
        <x:v>45411</x:v>
      </x:c>
      <x:c r="E710" s="84" t="n">
        <x:v>4.8</x:v>
      </x:c>
      <x:c r="F710" s="84" t="str">
        <x:v>Normal</x:v>
      </x:c>
      <x:c r="G710" s="93" t="n">
        <x:v>236.11</x:v>
      </x:c>
      <x:c r="H710" s="85" t="str">
        <x:v>Diagnóstico e execução</x:v>
      </x:c>
    </x:row>
    <x:row r="711">
      <x:c r="A711" s="83" t="n">
        <x:v>710</x:v>
      </x:c>
      <x:c r="B711" s="84" t="n">
        <x:v>415</x:v>
      </x:c>
      <x:c r="C711" s="84" t="n">
        <x:v>8</x:v>
      </x:c>
      <x:c r="D711" s="89" t="n">
        <x:v>45889</x:v>
      </x:c>
      <x:c r="E711" s="84" t="n">
        <x:v>3.3</x:v>
      </x:c>
      <x:c r="F711" s="84" t="str">
        <x:v>Normal</x:v>
      </x:c>
      <x:c r="G711" s="93" t="n">
        <x:v>153.45</x:v>
      </x:c>
      <x:c r="H711" s="85" t="str">
        <x:v>Diagnóstico e execução</x:v>
      </x:c>
    </x:row>
    <x:row r="712">
      <x:c r="A712" s="83" t="n">
        <x:v>711</x:v>
      </x:c>
      <x:c r="B712" s="84" t="n">
        <x:v>415</x:v>
      </x:c>
      <x:c r="C712" s="84" t="n">
        <x:v>44</x:v>
      </x:c>
      <x:c r="D712" s="89" t="n">
        <x:v>45889</x:v>
      </x:c>
      <x:c r="E712" s="84" t="n">
        <x:v>1.4</x:v>
      </x:c>
      <x:c r="F712" s="84" t="str">
        <x:v>Normal</x:v>
      </x:c>
      <x:c r="G712" s="93" t="n">
        <x:v>39.26</x:v>
      </x:c>
      <x:c r="H712" s="85" t="str">
        <x:v>Diagnóstico e execução</x:v>
      </x:c>
    </x:row>
    <x:row r="713">
      <x:c r="A713" s="83" t="n">
        <x:v>712</x:v>
      </x:c>
      <x:c r="B713" s="84" t="n">
        <x:v>415</x:v>
      </x:c>
      <x:c r="C713" s="84" t="n">
        <x:v>24</x:v>
      </x:c>
      <x:c r="D713" s="89" t="n">
        <x:v>45889</x:v>
      </x:c>
      <x:c r="E713" s="84" t="n">
        <x:v>2.3</x:v>
      </x:c>
      <x:c r="F713" s="84" t="str">
        <x:v>Normal</x:v>
      </x:c>
      <x:c r="G713" s="93" t="n">
        <x:v>136.25</x:v>
      </x:c>
      <x:c r="H713" s="85" t="str">
        <x:v>Diagnóstico e execução</x:v>
      </x:c>
    </x:row>
    <x:row r="714">
      <x:c r="A714" s="83" t="n">
        <x:v>713</x:v>
      </x:c>
      <x:c r="B714" s="84" t="n">
        <x:v>416</x:v>
      </x:c>
      <x:c r="C714" s="84" t="n">
        <x:v>38</x:v>
      </x:c>
      <x:c r="D714" s="89" t="n">
        <x:v>45770</x:v>
      </x:c>
      <x:c r="E714" s="84" t="n">
        <x:v>2.1</x:v>
      </x:c>
      <x:c r="F714" s="84" t="str">
        <x:v>Normal</x:v>
      </x:c>
      <x:c r="G714" s="93" t="n">
        <x:v>70.71</x:v>
      </x:c>
      <x:c r="H714" s="85" t="str">
        <x:v>Diagnóstico e execução</x:v>
      </x:c>
    </x:row>
    <x:row r="715">
      <x:c r="A715" s="83" t="n">
        <x:v>714</x:v>
      </x:c>
      <x:c r="B715" s="84" t="n">
        <x:v>416</x:v>
      </x:c>
      <x:c r="C715" s="84" t="n">
        <x:v>7</x:v>
      </x:c>
      <x:c r="D715" s="89" t="n">
        <x:v>45770</x:v>
      </x:c>
      <x:c r="E715" s="84" t="n">
        <x:v>5.2</x:v>
      </x:c>
      <x:c r="F715" s="84" t="str">
        <x:v>Normal</x:v>
      </x:c>
      <x:c r="G715" s="93" t="n">
        <x:v>302.69</x:v>
      </x:c>
      <x:c r="H715" s="85" t="str">
        <x:v>Diagnóstico e execução</x:v>
      </x:c>
    </x:row>
    <x:row r="716">
      <x:c r="A716" s="83" t="n">
        <x:v>715</x:v>
      </x:c>
      <x:c r="B716" s="84" t="n">
        <x:v>416</x:v>
      </x:c>
      <x:c r="C716" s="84" t="n">
        <x:v>1</x:v>
      </x:c>
      <x:c r="D716" s="89" t="n">
        <x:v>45770</x:v>
      </x:c>
      <x:c r="E716" s="84" t="n">
        <x:v>3.3</x:v>
      </x:c>
      <x:c r="F716" s="84" t="str">
        <x:v>Normal</x:v>
      </x:c>
      <x:c r="G716" s="93" t="n">
        <x:v>116.72</x:v>
      </x:c>
      <x:c r="H716" s="85" t="str">
        <x:v>Diagnóstico e execução</x:v>
      </x:c>
    </x:row>
    <x:row r="717">
      <x:c r="A717" s="83" t="n">
        <x:v>716</x:v>
      </x:c>
      <x:c r="B717" s="84" t="n">
        <x:v>417</x:v>
      </x:c>
      <x:c r="C717" s="84" t="n">
        <x:v>11</x:v>
      </x:c>
      <x:c r="D717" s="89" t="n">
        <x:v>45187</x:v>
      </x:c>
      <x:c r="E717" s="84" t="n">
        <x:v>2.1</x:v>
      </x:c>
      <x:c r="F717" s="84" t="str">
        <x:v>Normal</x:v>
      </x:c>
      <x:c r="G717" s="93" t="n">
        <x:v>87.53</x:v>
      </x:c>
      <x:c r="H717" s="85" t="str">
        <x:v>Diagnóstico e execução</x:v>
      </x:c>
    </x:row>
    <x:row r="718">
      <x:c r="A718" s="83" t="n">
        <x:v>717</x:v>
      </x:c>
      <x:c r="B718" s="84" t="n">
        <x:v>418</x:v>
      </x:c>
      <x:c r="C718" s="84" t="n">
        <x:v>35</x:v>
      </x:c>
      <x:c r="D718" s="89" t="n">
        <x:v>45985</x:v>
      </x:c>
      <x:c r="E718" s="84" t="n">
        <x:v>4.2</x:v>
      </x:c>
      <x:c r="F718" s="84" t="str">
        <x:v>Normal</x:v>
      </x:c>
      <x:c r="G718" s="93" t="n">
        <x:v>206.6</x:v>
      </x:c>
      <x:c r="H718" s="85" t="str">
        <x:v>Diagnóstico e execução</x:v>
      </x:c>
    </x:row>
    <x:row r="719">
      <x:c r="A719" s="83" t="n">
        <x:v>718</x:v>
      </x:c>
      <x:c r="B719" s="84" t="n">
        <x:v>418</x:v>
      </x:c>
      <x:c r="C719" s="84" t="n">
        <x:v>26</x:v>
      </x:c>
      <x:c r="D719" s="89" t="n">
        <x:v>45985</x:v>
      </x:c>
      <x:c r="E719" s="84" t="n">
        <x:v>5.4</x:v>
      </x:c>
      <x:c r="F719" s="84" t="str">
        <x:v>Normal</x:v>
      </x:c>
      <x:c r="G719" s="93" t="n">
        <x:v>211.25</x:v>
      </x:c>
      <x:c r="H719" s="85" t="str">
        <x:v>Diagnóstico e execução</x:v>
      </x:c>
    </x:row>
    <x:row r="720">
      <x:c r="A720" s="83" t="n">
        <x:v>719</x:v>
      </x:c>
      <x:c r="B720" s="84" t="n">
        <x:v>419</x:v>
      </x:c>
      <x:c r="C720" s="84" t="n">
        <x:v>1</x:v>
      </x:c>
      <x:c r="D720" s="89" t="n">
        <x:v>45981</x:v>
      </x:c>
      <x:c r="E720" s="84" t="n">
        <x:v>7.5</x:v>
      </x:c>
      <x:c r="F720" s="84" t="str">
        <x:v>Normal</x:v>
      </x:c>
      <x:c r="G720" s="93" t="n">
        <x:v>265.27</x:v>
      </x:c>
      <x:c r="H720" s="85" t="str">
        <x:v>Diagnóstico e execução</x:v>
      </x:c>
    </x:row>
    <x:row r="721">
      <x:c r="A721" s="83" t="n">
        <x:v>720</x:v>
      </x:c>
      <x:c r="B721" s="84" t="n">
        <x:v>419</x:v>
      </x:c>
      <x:c r="C721" s="84" t="n">
        <x:v>41</x:v>
      </x:c>
      <x:c r="D721" s="89" t="n">
        <x:v>45981</x:v>
      </x:c>
      <x:c r="E721" s="84" t="n">
        <x:v>6.1</x:v>
      </x:c>
      <x:c r="F721" s="84" t="str">
        <x:v>Normal</x:v>
      </x:c>
      <x:c r="G721" s="93" t="n">
        <x:v>308.54</x:v>
      </x:c>
      <x:c r="H721" s="85" t="str">
        <x:v>Diagnóstico e execução</x:v>
      </x:c>
    </x:row>
    <x:row r="722">
      <x:c r="A722" s="83" t="n">
        <x:v>721</x:v>
      </x:c>
      <x:c r="B722" s="84" t="n">
        <x:v>420</x:v>
      </x:c>
      <x:c r="C722" s="84" t="n">
        <x:v>12</x:v>
      </x:c>
      <x:c r="D722" s="89" t="n">
        <x:v>45013</x:v>
      </x:c>
      <x:c r="E722" s="84" t="n">
        <x:v>6.6</x:v>
      </x:c>
      <x:c r="F722" s="84" t="str">
        <x:v>Normal</x:v>
      </x:c>
      <x:c r="G722" s="93" t="n">
        <x:v>227.7</x:v>
      </x:c>
      <x:c r="H722" s="85" t="str">
        <x:v>Diagnóstico e execução</x:v>
      </x:c>
    </x:row>
    <x:row r="723">
      <x:c r="A723" s="83" t="n">
        <x:v>722</x:v>
      </x:c>
      <x:c r="B723" s="84" t="n">
        <x:v>422</x:v>
      </x:c>
      <x:c r="C723" s="84" t="n">
        <x:v>40</x:v>
      </x:c>
      <x:c r="D723" s="89" t="n">
        <x:v>45638</x:v>
      </x:c>
      <x:c r="E723" s="84" t="n">
        <x:v>5.2</x:v>
      </x:c>
      <x:c r="F723" s="84" t="str">
        <x:v>Normal</x:v>
      </x:c>
      <x:c r="G723" s="93" t="n">
        <x:v>256.98</x:v>
      </x:c>
      <x:c r="H723" s="85" t="str">
        <x:v>Diagnóstico e execução</x:v>
      </x:c>
    </x:row>
    <x:row r="724">
      <x:c r="A724" s="83" t="n">
        <x:v>723</x:v>
      </x:c>
      <x:c r="B724" s="84" t="n">
        <x:v>422</x:v>
      </x:c>
      <x:c r="C724" s="84" t="n">
        <x:v>26</x:v>
      </x:c>
      <x:c r="D724" s="89" t="n">
        <x:v>45638</x:v>
      </x:c>
      <x:c r="E724" s="84" t="n">
        <x:v>4.7</x:v>
      </x:c>
      <x:c r="F724" s="84" t="str">
        <x:v>Normal</x:v>
      </x:c>
      <x:c r="G724" s="93" t="n">
        <x:v>183.86</x:v>
      </x:c>
      <x:c r="H724" s="85" t="str">
        <x:v>Diagnóstico e execução</x:v>
      </x:c>
    </x:row>
    <x:row r="725">
      <x:c r="A725" s="83" t="n">
        <x:v>724</x:v>
      </x:c>
      <x:c r="B725" s="84" t="n">
        <x:v>425</x:v>
      </x:c>
      <x:c r="C725" s="84" t="n">
        <x:v>32</x:v>
      </x:c>
      <x:c r="D725" s="89" t="n">
        <x:v>45053</x:v>
      </x:c>
      <x:c r="E725" s="84" t="n">
        <x:v>1.5</x:v>
      </x:c>
      <x:c r="F725" s="84" t="str">
        <x:v>Normal</x:v>
      </x:c>
      <x:c r="G725" s="93" t="n">
        <x:v>65.47</x:v>
      </x:c>
      <x:c r="H725" s="85" t="str">
        <x:v>Diagnóstico e execução</x:v>
      </x:c>
    </x:row>
    <x:row r="726">
      <x:c r="A726" s="83" t="n">
        <x:v>725</x:v>
      </x:c>
      <x:c r="B726" s="84" t="n">
        <x:v>425</x:v>
      </x:c>
      <x:c r="C726" s="84" t="n">
        <x:v>9</x:v>
      </x:c>
      <x:c r="D726" s="89" t="n">
        <x:v>45053</x:v>
      </x:c>
      <x:c r="E726" s="84" t="n">
        <x:v>7.5</x:v>
      </x:c>
      <x:c r="F726" s="84" t="str">
        <x:v>Normal</x:v>
      </x:c>
      <x:c r="G726" s="93" t="n">
        <x:v>395.03</x:v>
      </x:c>
      <x:c r="H726" s="85" t="str">
        <x:v>Diagnóstico e execução</x:v>
      </x:c>
    </x:row>
    <x:row r="727">
      <x:c r="A727" s="83" t="n">
        <x:v>726</x:v>
      </x:c>
      <x:c r="B727" s="84" t="n">
        <x:v>425</x:v>
      </x:c>
      <x:c r="C727" s="84" t="n">
        <x:v>28</x:v>
      </x:c>
      <x:c r="D727" s="89" t="n">
        <x:v>45053</x:v>
      </x:c>
      <x:c r="E727" s="84" t="n">
        <x:v>6.6</x:v>
      </x:c>
      <x:c r="F727" s="84" t="str">
        <x:v>Normal</x:v>
      </x:c>
      <x:c r="G727" s="93" t="n">
        <x:v>248.29</x:v>
      </x:c>
      <x:c r="H727" s="85" t="str">
        <x:v>Diagnóstico e execução</x:v>
      </x:c>
    </x:row>
    <x:row r="728">
      <x:c r="A728" s="83" t="n">
        <x:v>727</x:v>
      </x:c>
      <x:c r="B728" s="84" t="n">
        <x:v>426</x:v>
      </x:c>
      <x:c r="C728" s="84" t="n">
        <x:v>7</x:v>
      </x:c>
      <x:c r="D728" s="89" t="n">
        <x:v>45225</x:v>
      </x:c>
      <x:c r="E728" s="84" t="n">
        <x:v>4.7</x:v>
      </x:c>
      <x:c r="F728" s="84" t="str">
        <x:v>Normal</x:v>
      </x:c>
      <x:c r="G728" s="93" t="n">
        <x:v>273.59</x:v>
      </x:c>
      <x:c r="H728" s="85" t="str">
        <x:v>Diagnóstico e execução</x:v>
      </x:c>
    </x:row>
    <x:row r="729">
      <x:c r="A729" s="83" t="n">
        <x:v>728</x:v>
      </x:c>
      <x:c r="B729" s="84" t="n">
        <x:v>426</x:v>
      </x:c>
      <x:c r="C729" s="84" t="n">
        <x:v>11</x:v>
      </x:c>
      <x:c r="D729" s="89" t="n">
        <x:v>45225</x:v>
      </x:c>
      <x:c r="E729" s="84" t="n">
        <x:v>3.9</x:v>
      </x:c>
      <x:c r="F729" s="84" t="str">
        <x:v>Normal</x:v>
      </x:c>
      <x:c r="G729" s="93" t="n">
        <x:v>162.55</x:v>
      </x:c>
      <x:c r="H729" s="85" t="str">
        <x:v>Diagnóstico e execução</x:v>
      </x:c>
    </x:row>
    <x:row r="730">
      <x:c r="A730" s="83" t="n">
        <x:v>729</x:v>
      </x:c>
      <x:c r="B730" s="84" t="n">
        <x:v>426</x:v>
      </x:c>
      <x:c r="C730" s="84" t="n">
        <x:v>4</x:v>
      </x:c>
      <x:c r="D730" s="89" t="n">
        <x:v>45225</x:v>
      </x:c>
      <x:c r="E730" s="84" t="n">
        <x:v>7.1</x:v>
      </x:c>
      <x:c r="F730" s="84" t="str">
        <x:v>Normal</x:v>
      </x:c>
      <x:c r="G730" s="93" t="n">
        <x:v>349.25</x:v>
      </x:c>
      <x:c r="H730" s="85" t="str">
        <x:v>Diagnóstico e execução</x:v>
      </x:c>
    </x:row>
    <x:row r="731">
      <x:c r="A731" s="83" t="n">
        <x:v>730</x:v>
      </x:c>
      <x:c r="B731" s="84" t="n">
        <x:v>427</x:v>
      </x:c>
      <x:c r="C731" s="84" t="n">
        <x:v>19</x:v>
      </x:c>
      <x:c r="D731" s="89" t="n">
        <x:v>45283</x:v>
      </x:c>
      <x:c r="E731" s="84" t="n">
        <x:v>4.4</x:v>
      </x:c>
      <x:c r="F731" s="84" t="str">
        <x:v>Normal</x:v>
      </x:c>
      <x:c r="G731" s="93" t="n">
        <x:v>204.51</x:v>
      </x:c>
      <x:c r="H731" s="85" t="str">
        <x:v>Diagnóstico e execução</x:v>
      </x:c>
    </x:row>
    <x:row r="732">
      <x:c r="A732" s="83" t="n">
        <x:v>731</x:v>
      </x:c>
      <x:c r="B732" s="84" t="n">
        <x:v>427</x:v>
      </x:c>
      <x:c r="C732" s="84" t="n">
        <x:v>28</x:v>
      </x:c>
      <x:c r="D732" s="89" t="n">
        <x:v>45283</x:v>
      </x:c>
      <x:c r="E732" s="84" t="n">
        <x:v>6.2</x:v>
      </x:c>
      <x:c r="F732" s="84" t="str">
        <x:v>Normal</x:v>
      </x:c>
      <x:c r="G732" s="93" t="n">
        <x:v>233.24</x:v>
      </x:c>
      <x:c r="H732" s="85" t="str">
        <x:v>Diagnóstico e execução</x:v>
      </x:c>
    </x:row>
    <x:row r="733">
      <x:c r="A733" s="83" t="n">
        <x:v>732</x:v>
      </x:c>
      <x:c r="B733" s="84" t="n">
        <x:v>428</x:v>
      </x:c>
      <x:c r="C733" s="84" t="n">
        <x:v>40</x:v>
      </x:c>
      <x:c r="D733" s="89" t="n">
        <x:v>45625</x:v>
      </x:c>
      <x:c r="E733" s="84" t="n">
        <x:v>3</x:v>
      </x:c>
      <x:c r="F733" s="84" t="str">
        <x:v>Normal</x:v>
      </x:c>
      <x:c r="G733" s="93" t="n">
        <x:v>148.26</x:v>
      </x:c>
      <x:c r="H733" s="85" t="str">
        <x:v>Diagnóstico e execução</x:v>
      </x:c>
    </x:row>
    <x:row r="734">
      <x:c r="A734" s="83" t="n">
        <x:v>733</x:v>
      </x:c>
      <x:c r="B734" s="84" t="n">
        <x:v>428</x:v>
      </x:c>
      <x:c r="C734" s="84" t="n">
        <x:v>31</x:v>
      </x:c>
      <x:c r="D734" s="89" t="n">
        <x:v>45625</x:v>
      </x:c>
      <x:c r="E734" s="84" t="n">
        <x:v>2.1</x:v>
      </x:c>
      <x:c r="F734" s="84" t="str">
        <x:v>Normal</x:v>
      </x:c>
      <x:c r="G734" s="93" t="n">
        <x:v>102.69</x:v>
      </x:c>
      <x:c r="H734" s="85" t="str">
        <x:v>Diagnóstico e execução</x:v>
      </x:c>
    </x:row>
    <x:row r="735">
      <x:c r="A735" s="83" t="n">
        <x:v>734</x:v>
      </x:c>
      <x:c r="B735" s="84" t="n">
        <x:v>429</x:v>
      </x:c>
      <x:c r="C735" s="84" t="n">
        <x:v>2</x:v>
      </x:c>
      <x:c r="D735" s="89" t="n">
        <x:v>45817</x:v>
      </x:c>
      <x:c r="E735" s="84" t="n">
        <x:v>4.6</x:v>
      </x:c>
      <x:c r="F735" s="84" t="str">
        <x:v>Normal</x:v>
      </x:c>
      <x:c r="G735" s="93" t="n">
        <x:v>171.4</x:v>
      </x:c>
      <x:c r="H735" s="85" t="str">
        <x:v>Diagnóstico e execução</x:v>
      </x:c>
    </x:row>
    <x:row r="736">
      <x:c r="A736" s="83" t="n">
        <x:v>735</x:v>
      </x:c>
      <x:c r="B736" s="84" t="n">
        <x:v>429</x:v>
      </x:c>
      <x:c r="C736" s="84" t="n">
        <x:v>43</x:v>
      </x:c>
      <x:c r="D736" s="89" t="n">
        <x:v>45817</x:v>
      </x:c>
      <x:c r="E736" s="84" t="n">
        <x:v>2.8</x:v>
      </x:c>
      <x:c r="F736" s="84" t="str">
        <x:v>Normal</x:v>
      </x:c>
      <x:c r="G736" s="93" t="n">
        <x:v>153.05</x:v>
      </x:c>
      <x:c r="H736" s="85" t="str">
        <x:v>Diagnóstico e execução</x:v>
      </x:c>
    </x:row>
    <x:row r="737">
      <x:c r="A737" s="83" t="n">
        <x:v>736</x:v>
      </x:c>
      <x:c r="B737" s="84" t="n">
        <x:v>429</x:v>
      </x:c>
      <x:c r="C737" s="84" t="n">
        <x:v>26</x:v>
      </x:c>
      <x:c r="D737" s="89" t="n">
        <x:v>45817</x:v>
      </x:c>
      <x:c r="E737" s="84" t="n">
        <x:v>5.2</x:v>
      </x:c>
      <x:c r="F737" s="84" t="str">
        <x:v>Normal</x:v>
      </x:c>
      <x:c r="G737" s="93" t="n">
        <x:v>203.42</x:v>
      </x:c>
      <x:c r="H737" s="85" t="str">
        <x:v>Diagnóstico e execução</x:v>
      </x:c>
    </x:row>
    <x:row r="738">
      <x:c r="A738" s="83" t="n">
        <x:v>737</x:v>
      </x:c>
      <x:c r="B738" s="84" t="n">
        <x:v>430</x:v>
      </x:c>
      <x:c r="C738" s="84" t="n">
        <x:v>10</x:v>
      </x:c>
      <x:c r="D738" s="89" t="n">
        <x:v>45146</x:v>
      </x:c>
      <x:c r="E738" s="84" t="n">
        <x:v>5.1</x:v>
      </x:c>
      <x:c r="F738" s="84" t="str">
        <x:v>Normal</x:v>
      </x:c>
      <x:c r="G738" s="93" t="n">
        <x:v>151.42</x:v>
      </x:c>
      <x:c r="H738" s="85" t="str">
        <x:v>Diagnóstico e execução</x:v>
      </x:c>
    </x:row>
    <x:row r="739">
      <x:c r="A739" s="83" t="n">
        <x:v>738</x:v>
      </x:c>
      <x:c r="B739" s="84" t="n">
        <x:v>431</x:v>
      </x:c>
      <x:c r="C739" s="84" t="n">
        <x:v>27</x:v>
      </x:c>
      <x:c r="D739" s="89" t="n">
        <x:v>45572</x:v>
      </x:c>
      <x:c r="E739" s="84" t="n">
        <x:v>1.3</x:v>
      </x:c>
      <x:c r="F739" s="84" t="str">
        <x:v>Normal</x:v>
      </x:c>
      <x:c r="G739" s="93" t="n">
        <x:v>79.29</x:v>
      </x:c>
      <x:c r="H739" s="85" t="str">
        <x:v>Diagnóstico e execução</x:v>
      </x:c>
    </x:row>
    <x:row r="740">
      <x:c r="A740" s="83" t="n">
        <x:v>739</x:v>
      </x:c>
      <x:c r="B740" s="84" t="n">
        <x:v>431</x:v>
      </x:c>
      <x:c r="C740" s="84" t="n">
        <x:v>40</x:v>
      </x:c>
      <x:c r="D740" s="89" t="n">
        <x:v>45572</x:v>
      </x:c>
      <x:c r="E740" s="84" t="n">
        <x:v>3</x:v>
      </x:c>
      <x:c r="F740" s="84" t="str">
        <x:v>Normal</x:v>
      </x:c>
      <x:c r="G740" s="93" t="n">
        <x:v>148.26</x:v>
      </x:c>
      <x:c r="H740" s="85" t="str">
        <x:v>Diagnóstico e execução</x:v>
      </x:c>
    </x:row>
    <x:row r="741">
      <x:c r="A741" s="83" t="n">
        <x:v>740</x:v>
      </x:c>
      <x:c r="B741" s="84" t="n">
        <x:v>433</x:v>
      </x:c>
      <x:c r="C741" s="84" t="n">
        <x:v>32</x:v>
      </x:c>
      <x:c r="D741" s="89" t="n">
        <x:v>45934</x:v>
      </x:c>
      <x:c r="E741" s="84" t="n">
        <x:v>0.8</x:v>
      </x:c>
      <x:c r="F741" s="84" t="str">
        <x:v>Normal</x:v>
      </x:c>
      <x:c r="G741" s="93" t="n">
        <x:v>34.92</x:v>
      </x:c>
      <x:c r="H741" s="85" t="str">
        <x:v>Diagnóstico e execução</x:v>
      </x:c>
    </x:row>
    <x:row r="742">
      <x:c r="A742" s="83" t="n">
        <x:v>741</x:v>
      </x:c>
      <x:c r="B742" s="84" t="n">
        <x:v>434</x:v>
      </x:c>
      <x:c r="C742" s="84" t="n">
        <x:v>26</x:v>
      </x:c>
      <x:c r="D742" s="89" t="n">
        <x:v>45042</x:v>
      </x:c>
      <x:c r="E742" s="84" t="n">
        <x:v>3.8</x:v>
      </x:c>
      <x:c r="F742" s="84" t="str">
        <x:v>Normal</x:v>
      </x:c>
      <x:c r="G742" s="93" t="n">
        <x:v>148.66</x:v>
      </x:c>
      <x:c r="H742" s="85" t="str">
        <x:v>Diagnóstico e execução</x:v>
      </x:c>
    </x:row>
    <x:row r="743">
      <x:c r="A743" s="83" t="n">
        <x:v>742</x:v>
      </x:c>
      <x:c r="B743" s="84" t="n">
        <x:v>434</x:v>
      </x:c>
      <x:c r="C743" s="84" t="n">
        <x:v>10</x:v>
      </x:c>
      <x:c r="D743" s="89" t="n">
        <x:v>45042</x:v>
      </x:c>
      <x:c r="E743" s="84" t="n">
        <x:v>5.3</x:v>
      </x:c>
      <x:c r="F743" s="84" t="str">
        <x:v>Normal</x:v>
      </x:c>
      <x:c r="G743" s="93" t="n">
        <x:v>157.36</x:v>
      </x:c>
      <x:c r="H743" s="85" t="str">
        <x:v>Diagnóstico e execução</x:v>
      </x:c>
    </x:row>
    <x:row r="744">
      <x:c r="A744" s="83" t="n">
        <x:v>743</x:v>
      </x:c>
      <x:c r="B744" s="84" t="n">
        <x:v>435</x:v>
      </x:c>
      <x:c r="C744" s="84" t="n">
        <x:v>5</x:v>
      </x:c>
      <x:c r="D744" s="89" t="n">
        <x:v>45949</x:v>
      </x:c>
      <x:c r="E744" s="84" t="n">
        <x:v>4.7</x:v>
      </x:c>
      <x:c r="F744" s="84" t="str">
        <x:v>Normal</x:v>
      </x:c>
      <x:c r="G744" s="93" t="n">
        <x:v>135.45</x:v>
      </x:c>
      <x:c r="H744" s="85" t="str">
        <x:v>Diagnóstico e execução</x:v>
      </x:c>
    </x:row>
    <x:row r="745">
      <x:c r="A745" s="83" t="n">
        <x:v>744</x:v>
      </x:c>
      <x:c r="B745" s="84" t="n">
        <x:v>436</x:v>
      </x:c>
      <x:c r="C745" s="84" t="n">
        <x:v>5</x:v>
      </x:c>
      <x:c r="D745" s="89" t="n">
        <x:v>45373</x:v>
      </x:c>
      <x:c r="E745" s="84" t="n">
        <x:v>7.5</x:v>
      </x:c>
      <x:c r="F745" s="84" t="str">
        <x:v>Normal</x:v>
      </x:c>
      <x:c r="G745" s="93" t="n">
        <x:v>216.15</x:v>
      </x:c>
      <x:c r="H745" s="85" t="str">
        <x:v>Diagnóstico e execução</x:v>
      </x:c>
    </x:row>
    <x:row r="746">
      <x:c r="A746" s="83" t="n">
        <x:v>745</x:v>
      </x:c>
      <x:c r="B746" s="84" t="n">
        <x:v>437</x:v>
      </x:c>
      <x:c r="C746" s="84" t="n">
        <x:v>17</x:v>
      </x:c>
      <x:c r="D746" s="89" t="n">
        <x:v>45344</x:v>
      </x:c>
      <x:c r="E746" s="84" t="n">
        <x:v>3.9</x:v>
      </x:c>
      <x:c r="F746" s="84" t="str">
        <x:v>Normal</x:v>
      </x:c>
      <x:c r="G746" s="93" t="n">
        <x:v>217.54</x:v>
      </x:c>
      <x:c r="H746" s="85" t="str">
        <x:v>Diagnóstico e execução</x:v>
      </x:c>
    </x:row>
    <x:row r="747">
      <x:c r="A747" s="83" t="n">
        <x:v>746</x:v>
      </x:c>
      <x:c r="B747" s="84" t="n">
        <x:v>437</x:v>
      </x:c>
      <x:c r="C747" s="84" t="n">
        <x:v>22</x:v>
      </x:c>
      <x:c r="D747" s="89" t="n">
        <x:v>45344</x:v>
      </x:c>
      <x:c r="E747" s="84" t="n">
        <x:v>1.3</x:v>
      </x:c>
      <x:c r="F747" s="84" t="str">
        <x:v>Normal</x:v>
      </x:c>
      <x:c r="G747" s="93" t="n">
        <x:v>50</x:v>
      </x:c>
      <x:c r="H747" s="85" t="str">
        <x:v>Diagnóstico e execução</x:v>
      </x:c>
    </x:row>
    <x:row r="748">
      <x:c r="A748" s="83" t="n">
        <x:v>747</x:v>
      </x:c>
      <x:c r="B748" s="84" t="n">
        <x:v>437</x:v>
      </x:c>
      <x:c r="C748" s="84" t="n">
        <x:v>20</x:v>
      </x:c>
      <x:c r="D748" s="89" t="n">
        <x:v>45344</x:v>
      </x:c>
      <x:c r="E748" s="84" t="n">
        <x:v>7.2</x:v>
      </x:c>
      <x:c r="F748" s="84" t="str">
        <x:v>Normal</x:v>
      </x:c>
      <x:c r="G748" s="93" t="n">
        <x:v>241.34</x:v>
      </x:c>
      <x:c r="H748" s="85" t="str">
        <x:v>Diagnóstico e execução</x:v>
      </x:c>
    </x:row>
    <x:row r="749">
      <x:c r="A749" s="83" t="n">
        <x:v>748</x:v>
      </x:c>
      <x:c r="B749" s="84" t="n">
        <x:v>438</x:v>
      </x:c>
      <x:c r="C749" s="84" t="n">
        <x:v>3</x:v>
      </x:c>
      <x:c r="D749" s="89" t="n">
        <x:v>45960</x:v>
      </x:c>
      <x:c r="E749" s="84" t="n">
        <x:v>6.3</x:v>
      </x:c>
      <x:c r="F749" s="84" t="str">
        <x:v>Normal</x:v>
      </x:c>
      <x:c r="G749" s="93" t="n">
        <x:v>310.21</x:v>
      </x:c>
      <x:c r="H749" s="85" t="str">
        <x:v>Diagnóstico e execução</x:v>
      </x:c>
    </x:row>
    <x:row r="750">
      <x:c r="A750" s="83" t="n">
        <x:v>749</x:v>
      </x:c>
      <x:c r="B750" s="84" t="n">
        <x:v>438</x:v>
      </x:c>
      <x:c r="C750" s="84" t="n">
        <x:v>20</x:v>
      </x:c>
      <x:c r="D750" s="89" t="n">
        <x:v>45960</x:v>
      </x:c>
      <x:c r="E750" s="84" t="n">
        <x:v>5.9</x:v>
      </x:c>
      <x:c r="F750" s="84" t="str">
        <x:v>Normal</x:v>
      </x:c>
      <x:c r="G750" s="93" t="n">
        <x:v>197.77</x:v>
      </x:c>
      <x:c r="H750" s="85" t="str">
        <x:v>Diagnóstico e execução</x:v>
      </x:c>
    </x:row>
    <x:row r="751">
      <x:c r="A751" s="83" t="n">
        <x:v>750</x:v>
      </x:c>
      <x:c r="B751" s="84" t="n">
        <x:v>438</x:v>
      </x:c>
      <x:c r="C751" s="84" t="n">
        <x:v>30</x:v>
      </x:c>
      <x:c r="D751" s="89" t="n">
        <x:v>45960</x:v>
      </x:c>
      <x:c r="E751" s="84" t="n">
        <x:v>4.3</x:v>
      </x:c>
      <x:c r="F751" s="84" t="str">
        <x:v>Normal</x:v>
      </x:c>
      <x:c r="G751" s="93" t="n">
        <x:v>178.06</x:v>
      </x:c>
      <x:c r="H751" s="85" t="str">
        <x:v>Diagnóstico e execução</x:v>
      </x:c>
    </x:row>
    <x:row r="752">
      <x:c r="A752" s="83" t="n">
        <x:v>751</x:v>
      </x:c>
      <x:c r="B752" s="84" t="n">
        <x:v>439</x:v>
      </x:c>
      <x:c r="C752" s="84" t="n">
        <x:v>13</x:v>
      </x:c>
      <x:c r="D752" s="89" t="n">
        <x:v>45043</x:v>
      </x:c>
      <x:c r="E752" s="84" t="n">
        <x:v>2.2</x:v>
      </x:c>
      <x:c r="F752" s="84" t="str">
        <x:v>Normal</x:v>
      </x:c>
      <x:c r="G752" s="93" t="n">
        <x:v>74.54</x:v>
      </x:c>
      <x:c r="H752" s="85" t="str">
        <x:v>Diagnóstico e execução</x:v>
      </x:c>
    </x:row>
    <x:row r="753">
      <x:c r="A753" s="83" t="n">
        <x:v>752</x:v>
      </x:c>
      <x:c r="B753" s="84" t="n">
        <x:v>439</x:v>
      </x:c>
      <x:c r="C753" s="84" t="n">
        <x:v>38</x:v>
      </x:c>
      <x:c r="D753" s="89" t="n">
        <x:v>45043</x:v>
      </x:c>
      <x:c r="E753" s="84" t="n">
        <x:v>4</x:v>
      </x:c>
      <x:c r="F753" s="84" t="str">
        <x:v>Normal</x:v>
      </x:c>
      <x:c r="G753" s="93" t="n">
        <x:v>134.68</x:v>
      </x:c>
      <x:c r="H753" s="85" t="str">
        <x:v>Diagnóstico e execução</x:v>
      </x:c>
    </x:row>
    <x:row r="754">
      <x:c r="A754" s="83" t="n">
        <x:v>753</x:v>
      </x:c>
      <x:c r="B754" s="84" t="n">
        <x:v>440</x:v>
      </x:c>
      <x:c r="C754" s="84" t="n">
        <x:v>32</x:v>
      </x:c>
      <x:c r="D754" s="89" t="n">
        <x:v>45173</x:v>
      </x:c>
      <x:c r="E754" s="84" t="n">
        <x:v>0.6</x:v>
      </x:c>
      <x:c r="F754" s="84" t="str">
        <x:v>Normal</x:v>
      </x:c>
      <x:c r="G754" s="93" t="n">
        <x:v>26.19</x:v>
      </x:c>
      <x:c r="H754" s="85" t="str">
        <x:v>Diagnóstico e execução</x:v>
      </x:c>
    </x:row>
    <x:row r="755">
      <x:c r="A755" s="83" t="n">
        <x:v>754</x:v>
      </x:c>
      <x:c r="B755" s="84" t="n">
        <x:v>440</x:v>
      </x:c>
      <x:c r="C755" s="84" t="n">
        <x:v>31</x:v>
      </x:c>
      <x:c r="D755" s="89" t="n">
        <x:v>45173</x:v>
      </x:c>
      <x:c r="E755" s="84" t="n">
        <x:v>1.5</x:v>
      </x:c>
      <x:c r="F755" s="84" t="str">
        <x:v>Normal</x:v>
      </x:c>
      <x:c r="G755" s="93" t="n">
        <x:v>73.35</x:v>
      </x:c>
      <x:c r="H755" s="85" t="str">
        <x:v>Diagnóstico e execução</x:v>
      </x:c>
    </x:row>
    <x:row r="756">
      <x:c r="A756" s="83" t="n">
        <x:v>755</x:v>
      </x:c>
      <x:c r="B756" s="84" t="n">
        <x:v>441</x:v>
      </x:c>
      <x:c r="C756" s="84" t="n">
        <x:v>40</x:v>
      </x:c>
      <x:c r="D756" s="89" t="n">
        <x:v>45671</x:v>
      </x:c>
      <x:c r="E756" s="84" t="n">
        <x:v>2</x:v>
      </x:c>
      <x:c r="F756" s="84" t="str">
        <x:v>Normal</x:v>
      </x:c>
      <x:c r="G756" s="93" t="n">
        <x:v>98.84</x:v>
      </x:c>
      <x:c r="H756" s="85" t="str">
        <x:v>Diagnóstico e execução</x:v>
      </x:c>
    </x:row>
    <x:row r="757">
      <x:c r="A757" s="83" t="n">
        <x:v>756</x:v>
      </x:c>
      <x:c r="B757" s="84" t="n">
        <x:v>442</x:v>
      </x:c>
      <x:c r="C757" s="84" t="n">
        <x:v>40</x:v>
      </x:c>
      <x:c r="D757" s="89" t="n">
        <x:v>45437</x:v>
      </x:c>
      <x:c r="E757" s="84" t="n">
        <x:v>5.6</x:v>
      </x:c>
      <x:c r="F757" s="84" t="str">
        <x:v>Normal</x:v>
      </x:c>
      <x:c r="G757" s="93" t="n">
        <x:v>276.75</x:v>
      </x:c>
      <x:c r="H757" s="85" t="str">
        <x:v>Diagnóstico e execução</x:v>
      </x:c>
    </x:row>
    <x:row r="758">
      <x:c r="A758" s="83" t="n">
        <x:v>757</x:v>
      </x:c>
      <x:c r="B758" s="84" t="n">
        <x:v>442</x:v>
      </x:c>
      <x:c r="C758" s="84" t="n">
        <x:v>31</x:v>
      </x:c>
      <x:c r="D758" s="89" t="n">
        <x:v>45437</x:v>
      </x:c>
      <x:c r="E758" s="84" t="n">
        <x:v>1</x:v>
      </x:c>
      <x:c r="F758" s="84" t="str">
        <x:v>Normal</x:v>
      </x:c>
      <x:c r="G758" s="93" t="n">
        <x:v>48.9</x:v>
      </x:c>
      <x:c r="H758" s="85" t="str">
        <x:v>Diagnóstico e execução</x:v>
      </x:c>
    </x:row>
    <x:row r="759">
      <x:c r="A759" s="83" t="n">
        <x:v>758</x:v>
      </x:c>
      <x:c r="B759" s="84" t="n">
        <x:v>445</x:v>
      </x:c>
      <x:c r="C759" s="84" t="n">
        <x:v>14</x:v>
      </x:c>
      <x:c r="D759" s="89" t="n">
        <x:v>45687</x:v>
      </x:c>
      <x:c r="E759" s="84" t="n">
        <x:v>5.4</x:v>
      </x:c>
      <x:c r="F759" s="84" t="str">
        <x:v>Normal</x:v>
      </x:c>
      <x:c r="G759" s="93" t="n">
        <x:v>305.96</x:v>
      </x:c>
      <x:c r="H759" s="85" t="str">
        <x:v>Diagnóstico e execução</x:v>
      </x:c>
    </x:row>
    <x:row r="760">
      <x:c r="A760" s="83" t="n">
        <x:v>759</x:v>
      </x:c>
      <x:c r="B760" s="84" t="n">
        <x:v>445</x:v>
      </x:c>
      <x:c r="C760" s="84" t="n">
        <x:v>1</x:v>
      </x:c>
      <x:c r="D760" s="89" t="n">
        <x:v>45687</x:v>
      </x:c>
      <x:c r="E760" s="84" t="n">
        <x:v>3.9</x:v>
      </x:c>
      <x:c r="F760" s="84" t="str">
        <x:v>Normal</x:v>
      </x:c>
      <x:c r="G760" s="93" t="n">
        <x:v>137.94</x:v>
      </x:c>
      <x:c r="H760" s="85" t="str">
        <x:v>Diagnóstico e execução</x:v>
      </x:c>
    </x:row>
    <x:row r="761">
      <x:c r="A761" s="83" t="n">
        <x:v>760</x:v>
      </x:c>
      <x:c r="B761" s="84" t="n">
        <x:v>446</x:v>
      </x:c>
      <x:c r="C761" s="84" t="n">
        <x:v>43</x:v>
      </x:c>
      <x:c r="D761" s="89" t="n">
        <x:v>44996</x:v>
      </x:c>
      <x:c r="E761" s="84" t="n">
        <x:v>4.5</x:v>
      </x:c>
      <x:c r="F761" s="84" t="str">
        <x:v>Normal</x:v>
      </x:c>
      <x:c r="G761" s="93" t="n">
        <x:v>245.97</x:v>
      </x:c>
      <x:c r="H761" s="85" t="str">
        <x:v>Diagnóstico e execução</x:v>
      </x:c>
    </x:row>
    <x:row r="762">
      <x:c r="A762" s="83" t="n">
        <x:v>761</x:v>
      </x:c>
      <x:c r="B762" s="84" t="n">
        <x:v>446</x:v>
      </x:c>
      <x:c r="C762" s="84" t="n">
        <x:v>2</x:v>
      </x:c>
      <x:c r="D762" s="89" t="n">
        <x:v>44996</x:v>
      </x:c>
      <x:c r="E762" s="84" t="n">
        <x:v>6.3</x:v>
      </x:c>
      <x:c r="F762" s="84" t="str">
        <x:v>Normal</x:v>
      </x:c>
      <x:c r="G762" s="93" t="n">
        <x:v>234.74</x:v>
      </x:c>
      <x:c r="H762" s="85" t="str">
        <x:v>Diagnóstico e execução</x:v>
      </x:c>
    </x:row>
    <x:row r="763">
      <x:c r="A763" s="83" t="n">
        <x:v>762</x:v>
      </x:c>
      <x:c r="B763" s="84" t="n">
        <x:v>446</x:v>
      </x:c>
      <x:c r="C763" s="84" t="n">
        <x:v>13</x:v>
      </x:c>
      <x:c r="D763" s="89" t="n">
        <x:v>44996</x:v>
      </x:c>
      <x:c r="E763" s="84" t="n">
        <x:v>4.2</x:v>
      </x:c>
      <x:c r="F763" s="84" t="str">
        <x:v>Normal</x:v>
      </x:c>
      <x:c r="G763" s="93" t="n">
        <x:v>142.3</x:v>
      </x:c>
      <x:c r="H763" s="85" t="str">
        <x:v>Diagnóstico e execução</x:v>
      </x:c>
    </x:row>
    <x:row r="764">
      <x:c r="A764" s="83" t="n">
        <x:v>763</x:v>
      </x:c>
      <x:c r="B764" s="84" t="n">
        <x:v>447</x:v>
      </x:c>
      <x:c r="C764" s="84" t="n">
        <x:v>11</x:v>
      </x:c>
      <x:c r="D764" s="89" t="n">
        <x:v>45662</x:v>
      </x:c>
      <x:c r="E764" s="84" t="n">
        <x:v>4.4</x:v>
      </x:c>
      <x:c r="F764" s="84" t="str">
        <x:v>Normal</x:v>
      </x:c>
      <x:c r="G764" s="93" t="n">
        <x:v>183.39</x:v>
      </x:c>
      <x:c r="H764" s="85" t="str">
        <x:v>Diagnóstico e execução</x:v>
      </x:c>
    </x:row>
    <x:row r="765">
      <x:c r="A765" s="83" t="n">
        <x:v>764</x:v>
      </x:c>
      <x:c r="B765" s="84" t="n">
        <x:v>447</x:v>
      </x:c>
      <x:c r="C765" s="84" t="n">
        <x:v>29</x:v>
      </x:c>
      <x:c r="D765" s="89" t="n">
        <x:v>45662</x:v>
      </x:c>
      <x:c r="E765" s="84" t="n">
        <x:v>7.3</x:v>
      </x:c>
      <x:c r="F765" s="84" t="str">
        <x:v>Normal</x:v>
      </x:c>
      <x:c r="G765" s="93" t="n">
        <x:v>361.5</x:v>
      </x:c>
      <x:c r="H765" s="85" t="str">
        <x:v>Diagnóstico e execução</x:v>
      </x:c>
    </x:row>
    <x:row r="766">
      <x:c r="A766" s="83" t="n">
        <x:v>765</x:v>
      </x:c>
      <x:c r="B766" s="84" t="n">
        <x:v>448</x:v>
      </x:c>
      <x:c r="C766" s="84" t="n">
        <x:v>14</x:v>
      </x:c>
      <x:c r="D766" s="89" t="n">
        <x:v>45743</x:v>
      </x:c>
      <x:c r="E766" s="84" t="n">
        <x:v>7</x:v>
      </x:c>
      <x:c r="F766" s="84" t="str">
        <x:v>Normal</x:v>
      </x:c>
      <x:c r="G766" s="93" t="n">
        <x:v>396.62</x:v>
      </x:c>
      <x:c r="H766" s="85" t="str">
        <x:v>Diagnóstico e execução</x:v>
      </x:c>
    </x:row>
    <x:row r="767">
      <x:c r="A767" s="83" t="n">
        <x:v>766</x:v>
      </x:c>
      <x:c r="B767" s="84" t="n">
        <x:v>448</x:v>
      </x:c>
      <x:c r="C767" s="84" t="n">
        <x:v>8</x:v>
      </x:c>
      <x:c r="D767" s="89" t="n">
        <x:v>45743</x:v>
      </x:c>
      <x:c r="E767" s="84" t="n">
        <x:v>5.3</x:v>
      </x:c>
      <x:c r="F767" s="84" t="str">
        <x:v>Normal</x:v>
      </x:c>
      <x:c r="G767" s="93" t="n">
        <x:v>246.45</x:v>
      </x:c>
      <x:c r="H767" s="85" t="str">
        <x:v>Diagnóstico e execução</x:v>
      </x:c>
    </x:row>
    <x:row r="768">
      <x:c r="A768" s="83" t="n">
        <x:v>767</x:v>
      </x:c>
      <x:c r="B768" s="84" t="n">
        <x:v>449</x:v>
      </x:c>
      <x:c r="C768" s="84" t="n">
        <x:v>21</x:v>
      </x:c>
      <x:c r="D768" s="89" t="n">
        <x:v>45038</x:v>
      </x:c>
      <x:c r="E768" s="84" t="n">
        <x:v>8</x:v>
      </x:c>
      <x:c r="F768" s="84" t="str">
        <x:v>Normal</x:v>
      </x:c>
      <x:c r="G768" s="93" t="n">
        <x:v>491.44</x:v>
      </x:c>
      <x:c r="H768" s="85" t="str">
        <x:v>Diagnóstico e execução</x:v>
      </x:c>
    </x:row>
    <x:row r="769">
      <x:c r="A769" s="83" t="n">
        <x:v>768</x:v>
      </x:c>
      <x:c r="B769" s="84" t="n">
        <x:v>449</x:v>
      </x:c>
      <x:c r="C769" s="84" t="n">
        <x:v>44</x:v>
      </x:c>
      <x:c r="D769" s="89" t="n">
        <x:v>45038</x:v>
      </x:c>
      <x:c r="E769" s="84" t="n">
        <x:v>6.7</x:v>
      </x:c>
      <x:c r="F769" s="84" t="str">
        <x:v>Normal</x:v>
      </x:c>
      <x:c r="G769" s="93" t="n">
        <x:v>187.87</x:v>
      </x:c>
      <x:c r="H769" s="85" t="str">
        <x:v>Diagnóstico e execução</x:v>
      </x:c>
    </x:row>
    <x:row r="770">
      <x:c r="A770" s="83" t="n">
        <x:v>769</x:v>
      </x:c>
      <x:c r="B770" s="84" t="n">
        <x:v>449</x:v>
      </x:c>
      <x:c r="C770" s="84" t="n">
        <x:v>33</x:v>
      </x:c>
      <x:c r="D770" s="89" t="n">
        <x:v>45038</x:v>
      </x:c>
      <x:c r="E770" s="84" t="n">
        <x:v>4.9</x:v>
      </x:c>
      <x:c r="F770" s="84" t="str">
        <x:v>Normal</x:v>
      </x:c>
      <x:c r="G770" s="93" t="n">
        <x:v>169</x:v>
      </x:c>
      <x:c r="H770" s="85" t="str">
        <x:v>Diagnóstico e execução</x:v>
      </x:c>
    </x:row>
    <x:row r="771">
      <x:c r="A771" s="83" t="n">
        <x:v>770</x:v>
      </x:c>
      <x:c r="B771" s="84" t="n">
        <x:v>450</x:v>
      </x:c>
      <x:c r="C771" s="84" t="n">
        <x:v>6</x:v>
      </x:c>
      <x:c r="D771" s="89" t="n">
        <x:v>45460</x:v>
      </x:c>
      <x:c r="E771" s="84" t="n">
        <x:v>7.9</x:v>
      </x:c>
      <x:c r="F771" s="84" t="str">
        <x:v>Normal</x:v>
      </x:c>
      <x:c r="G771" s="93" t="n">
        <x:v>412.85</x:v>
      </x:c>
      <x:c r="H771" s="85" t="str">
        <x:v>Diagnóstico e execução</x:v>
      </x:c>
    </x:row>
    <x:row r="772">
      <x:c r="A772" s="83" t="n">
        <x:v>771</x:v>
      </x:c>
      <x:c r="B772" s="84" t="n">
        <x:v>450</x:v>
      </x:c>
      <x:c r="C772" s="84" t="n">
        <x:v>12</x:v>
      </x:c>
      <x:c r="D772" s="89" t="n">
        <x:v>45460</x:v>
      </x:c>
      <x:c r="E772" s="84" t="n">
        <x:v>6</x:v>
      </x:c>
      <x:c r="F772" s="84" t="str">
        <x:v>Normal</x:v>
      </x:c>
      <x:c r="G772" s="93" t="n">
        <x:v>207</x:v>
      </x:c>
      <x:c r="H772" s="85" t="str">
        <x:v>Diagnóstico e execução</x:v>
      </x:c>
    </x:row>
    <x:row r="773">
      <x:c r="A773" s="83" t="n">
        <x:v>772</x:v>
      </x:c>
      <x:c r="B773" s="84" t="n">
        <x:v>450</x:v>
      </x:c>
      <x:c r="C773" s="84" t="n">
        <x:v>37</x:v>
      </x:c>
      <x:c r="D773" s="89" t="n">
        <x:v>45460</x:v>
      </x:c>
      <x:c r="E773" s="84" t="n">
        <x:v>0.6</x:v>
      </x:c>
      <x:c r="F773" s="84" t="str">
        <x:v>Normal</x:v>
      </x:c>
      <x:c r="G773" s="93" t="n">
        <x:v>35.38</x:v>
      </x:c>
      <x:c r="H773" s="85" t="str">
        <x:v>Diagnóstico e execução</x:v>
      </x:c>
    </x:row>
    <x:row r="774">
      <x:c r="A774" s="83" t="n">
        <x:v>773</x:v>
      </x:c>
      <x:c r="B774" s="84" t="n">
        <x:v>451</x:v>
      </x:c>
      <x:c r="C774" s="84" t="n">
        <x:v>25</x:v>
      </x:c>
      <x:c r="D774" s="89" t="n">
        <x:v>45603</x:v>
      </x:c>
      <x:c r="E774" s="84" t="n">
        <x:v>7.1</x:v>
      </x:c>
      <x:c r="F774" s="84" t="str">
        <x:v>Normal</x:v>
      </x:c>
      <x:c r="G774" s="93" t="n">
        <x:v>380.49</x:v>
      </x:c>
      <x:c r="H774" s="85" t="str">
        <x:v>Diagnóstico e execução</x:v>
      </x:c>
    </x:row>
    <x:row r="775">
      <x:c r="A775" s="83" t="n">
        <x:v>774</x:v>
      </x:c>
      <x:c r="B775" s="84" t="n">
        <x:v>451</x:v>
      </x:c>
      <x:c r="C775" s="84" t="n">
        <x:v>34</x:v>
      </x:c>
      <x:c r="D775" s="89" t="n">
        <x:v>45603</x:v>
      </x:c>
      <x:c r="E775" s="84" t="n">
        <x:v>2.5</x:v>
      </x:c>
      <x:c r="F775" s="84" t="str">
        <x:v>Normal</x:v>
      </x:c>
      <x:c r="G775" s="93" t="n">
        <x:v>108.07</x:v>
      </x:c>
      <x:c r="H775" s="85" t="str">
        <x:v>Diagnóstico e execução</x:v>
      </x:c>
    </x:row>
    <x:row r="776">
      <x:c r="A776" s="83" t="n">
        <x:v>775</x:v>
      </x:c>
      <x:c r="B776" s="84" t="n">
        <x:v>451</x:v>
      </x:c>
      <x:c r="C776" s="84" t="n">
        <x:v>25</x:v>
      </x:c>
      <x:c r="D776" s="89" t="n">
        <x:v>45603</x:v>
      </x:c>
      <x:c r="E776" s="84" t="n">
        <x:v>3.9</x:v>
      </x:c>
      <x:c r="F776" s="84" t="str">
        <x:v>Normal</x:v>
      </x:c>
      <x:c r="G776" s="93" t="n">
        <x:v>209</x:v>
      </x:c>
      <x:c r="H776" s="85" t="str">
        <x:v>Diagnóstico e execução</x:v>
      </x:c>
    </x:row>
    <x:row r="777">
      <x:c r="A777" s="83" t="n">
        <x:v>776</x:v>
      </x:c>
      <x:c r="B777" s="84" t="n">
        <x:v>452</x:v>
      </x:c>
      <x:c r="C777" s="84" t="n">
        <x:v>20</x:v>
      </x:c>
      <x:c r="D777" s="89" t="n">
        <x:v>44930</x:v>
      </x:c>
      <x:c r="E777" s="84" t="n">
        <x:v>2.8</x:v>
      </x:c>
      <x:c r="F777" s="84" t="str">
        <x:v>Normal</x:v>
      </x:c>
      <x:c r="G777" s="93" t="n">
        <x:v>93.86</x:v>
      </x:c>
      <x:c r="H777" s="85" t="str">
        <x:v>Diagnóstico e execução</x:v>
      </x:c>
    </x:row>
    <x:row r="778">
      <x:c r="A778" s="83" t="n">
        <x:v>777</x:v>
      </x:c>
      <x:c r="B778" s="84" t="n">
        <x:v>453</x:v>
      </x:c>
      <x:c r="C778" s="84" t="n">
        <x:v>30</x:v>
      </x:c>
      <x:c r="D778" s="89" t="n">
        <x:v>45585</x:v>
      </x:c>
      <x:c r="E778" s="84" t="n">
        <x:v>3.8</x:v>
      </x:c>
      <x:c r="F778" s="84" t="str">
        <x:v>Normal</x:v>
      </x:c>
      <x:c r="G778" s="93" t="n">
        <x:v>157.36</x:v>
      </x:c>
      <x:c r="H778" s="85" t="str">
        <x:v>Diagnóstico e execução</x:v>
      </x:c>
    </x:row>
    <x:row r="779">
      <x:c r="A779" s="83" t="n">
        <x:v>778</x:v>
      </x:c>
      <x:c r="B779" s="84" t="n">
        <x:v>453</x:v>
      </x:c>
      <x:c r="C779" s="84" t="n">
        <x:v>38</x:v>
      </x:c>
      <x:c r="D779" s="89" t="n">
        <x:v>45585</x:v>
      </x:c>
      <x:c r="E779" s="84" t="n">
        <x:v>2.5</x:v>
      </x:c>
      <x:c r="F779" s="84" t="str">
        <x:v>Normal</x:v>
      </x:c>
      <x:c r="G779" s="93" t="n">
        <x:v>84.18</x:v>
      </x:c>
      <x:c r="H779" s="85" t="str">
        <x:v>Diagnóstico e execução</x:v>
      </x:c>
    </x:row>
    <x:row r="780">
      <x:c r="A780" s="83" t="n">
        <x:v>779</x:v>
      </x:c>
      <x:c r="B780" s="84" t="n">
        <x:v>453</x:v>
      </x:c>
      <x:c r="C780" s="84" t="n">
        <x:v>42</x:v>
      </x:c>
      <x:c r="D780" s="89" t="n">
        <x:v>45585</x:v>
      </x:c>
      <x:c r="E780" s="84" t="n">
        <x:v>1.1</x:v>
      </x:c>
      <x:c r="F780" s="84" t="str">
        <x:v>Normal</x:v>
      </x:c>
      <x:c r="G780" s="93" t="n">
        <x:v>46.4</x:v>
      </x:c>
      <x:c r="H780" s="85" t="str">
        <x:v>Diagnóstico e execução</x:v>
      </x:c>
    </x:row>
    <x:row r="781">
      <x:c r="A781" s="83" t="n">
        <x:v>780</x:v>
      </x:c>
      <x:c r="B781" s="84" t="n">
        <x:v>454</x:v>
      </x:c>
      <x:c r="C781" s="84" t="n">
        <x:v>25</x:v>
      </x:c>
      <x:c r="D781" s="89" t="n">
        <x:v>45858</x:v>
      </x:c>
      <x:c r="E781" s="84" t="n">
        <x:v>6.6</x:v>
      </x:c>
      <x:c r="F781" s="84" t="str">
        <x:v>Normal</x:v>
      </x:c>
      <x:c r="G781" s="93" t="n">
        <x:v>353.69</x:v>
      </x:c>
      <x:c r="H781" s="85" t="str">
        <x:v>Diagnóstico e execução</x:v>
      </x:c>
    </x:row>
    <x:row r="782">
      <x:c r="A782" s="83" t="n">
        <x:v>781</x:v>
      </x:c>
      <x:c r="B782" s="84" t="n">
        <x:v>454</x:v>
      </x:c>
      <x:c r="C782" s="84" t="n">
        <x:v>28</x:v>
      </x:c>
      <x:c r="D782" s="89" t="n">
        <x:v>45858</x:v>
      </x:c>
      <x:c r="E782" s="84" t="n">
        <x:v>5.4</x:v>
      </x:c>
      <x:c r="F782" s="84" t="str">
        <x:v>Normal</x:v>
      </x:c>
      <x:c r="G782" s="93" t="n">
        <x:v>203.15</x:v>
      </x:c>
      <x:c r="H782" s="85" t="str">
        <x:v>Diagnóstico e execução</x:v>
      </x:c>
    </x:row>
    <x:row r="783">
      <x:c r="A783" s="83" t="n">
        <x:v>782</x:v>
      </x:c>
      <x:c r="B783" s="84" t="n">
        <x:v>455</x:v>
      </x:c>
      <x:c r="C783" s="84" t="n">
        <x:v>32</x:v>
      </x:c>
      <x:c r="D783" s="89" t="n">
        <x:v>45111</x:v>
      </x:c>
      <x:c r="E783" s="84" t="n">
        <x:v>5.1</x:v>
      </x:c>
      <x:c r="F783" s="84" t="str">
        <x:v>Normal</x:v>
      </x:c>
      <x:c r="G783" s="93" t="n">
        <x:v>222.61</x:v>
      </x:c>
      <x:c r="H783" s="85" t="str">
        <x:v>Diagnóstico e execução</x:v>
      </x:c>
    </x:row>
    <x:row r="784">
      <x:c r="A784" s="83" t="n">
        <x:v>783</x:v>
      </x:c>
      <x:c r="B784" s="84" t="n">
        <x:v>455</x:v>
      </x:c>
      <x:c r="C784" s="84" t="n">
        <x:v>37</x:v>
      </x:c>
      <x:c r="D784" s="89" t="n">
        <x:v>45111</x:v>
      </x:c>
      <x:c r="E784" s="84" t="n">
        <x:v>1.2</x:v>
      </x:c>
      <x:c r="F784" s="84" t="str">
        <x:v>Normal</x:v>
      </x:c>
      <x:c r="G784" s="93" t="n">
        <x:v>70.76</x:v>
      </x:c>
      <x:c r="H784" s="85" t="str">
        <x:v>Diagnóstico e execução</x:v>
      </x:c>
    </x:row>
    <x:row r="785">
      <x:c r="A785" s="83" t="n">
        <x:v>784</x:v>
      </x:c>
      <x:c r="B785" s="84" t="n">
        <x:v>455</x:v>
      </x:c>
      <x:c r="C785" s="84" t="n">
        <x:v>31</x:v>
      </x:c>
      <x:c r="D785" s="89" t="n">
        <x:v>45111</x:v>
      </x:c>
      <x:c r="E785" s="84" t="n">
        <x:v>1.2</x:v>
      </x:c>
      <x:c r="F785" s="84" t="str">
        <x:v>Normal</x:v>
      </x:c>
      <x:c r="G785" s="93" t="n">
        <x:v>58.68</x:v>
      </x:c>
      <x:c r="H785" s="85" t="str">
        <x:v>Diagnóstico e execução</x:v>
      </x:c>
    </x:row>
    <x:row r="786">
      <x:c r="A786" s="83" t="n">
        <x:v>785</x:v>
      </x:c>
      <x:c r="B786" s="84" t="n">
        <x:v>458</x:v>
      </x:c>
      <x:c r="C786" s="84" t="n">
        <x:v>44</x:v>
      </x:c>
      <x:c r="D786" s="89" t="n">
        <x:v>45924</x:v>
      </x:c>
      <x:c r="E786" s="84" t="n">
        <x:v>5.8</x:v>
      </x:c>
      <x:c r="F786" s="84" t="str">
        <x:v>Normal</x:v>
      </x:c>
      <x:c r="G786" s="93" t="n">
        <x:v>162.63</x:v>
      </x:c>
      <x:c r="H786" s="85" t="str">
        <x:v>Diagnóstico e execução</x:v>
      </x:c>
    </x:row>
    <x:row r="787">
      <x:c r="A787" s="83" t="n">
        <x:v>786</x:v>
      </x:c>
      <x:c r="B787" s="84" t="n">
        <x:v>458</x:v>
      </x:c>
      <x:c r="C787" s="84" t="n">
        <x:v>2</x:v>
      </x:c>
      <x:c r="D787" s="89" t="n">
        <x:v>45924</x:v>
      </x:c>
      <x:c r="E787" s="84" t="n">
        <x:v>4</x:v>
      </x:c>
      <x:c r="F787" s="84" t="str">
        <x:v>Normal</x:v>
      </x:c>
      <x:c r="G787" s="93" t="n">
        <x:v>149.04</x:v>
      </x:c>
      <x:c r="H787" s="85" t="str">
        <x:v>Diagnóstico e execução</x:v>
      </x:c>
    </x:row>
    <x:row r="788">
      <x:c r="A788" s="83" t="n">
        <x:v>787</x:v>
      </x:c>
      <x:c r="B788" s="84" t="n">
        <x:v>458</x:v>
      </x:c>
      <x:c r="C788" s="84" t="n">
        <x:v>26</x:v>
      </x:c>
      <x:c r="D788" s="89" t="n">
        <x:v>45924</x:v>
      </x:c>
      <x:c r="E788" s="84" t="n">
        <x:v>4.2</x:v>
      </x:c>
      <x:c r="F788" s="84" t="str">
        <x:v>Normal</x:v>
      </x:c>
      <x:c r="G788" s="93" t="n">
        <x:v>164.3</x:v>
      </x:c>
      <x:c r="H788" s="85" t="str">
        <x:v>Diagnóstico e execução</x:v>
      </x:c>
    </x:row>
    <x:row r="789">
      <x:c r="A789" s="83" t="n">
        <x:v>788</x:v>
      </x:c>
      <x:c r="B789" s="84" t="n">
        <x:v>459</x:v>
      </x:c>
      <x:c r="C789" s="84" t="n">
        <x:v>11</x:v>
      </x:c>
      <x:c r="D789" s="89" t="n">
        <x:v>45835</x:v>
      </x:c>
      <x:c r="E789" s="84" t="n">
        <x:v>1.3</x:v>
      </x:c>
      <x:c r="F789" s="84" t="str">
        <x:v>Normal</x:v>
      </x:c>
      <x:c r="G789" s="93" t="n">
        <x:v>54.18</x:v>
      </x:c>
      <x:c r="H789" s="85" t="str">
        <x:v>Diagnóstico e execução</x:v>
      </x:c>
    </x:row>
    <x:row r="790">
      <x:c r="A790" s="83" t="n">
        <x:v>789</x:v>
      </x:c>
      <x:c r="B790" s="84" t="n">
        <x:v>460</x:v>
      </x:c>
      <x:c r="C790" s="84" t="n">
        <x:v>12</x:v>
      </x:c>
      <x:c r="D790" s="89" t="n">
        <x:v>45026</x:v>
      </x:c>
      <x:c r="E790" s="84" t="n">
        <x:v>5</x:v>
      </x:c>
      <x:c r="F790" s="84" t="str">
        <x:v>Normal</x:v>
      </x:c>
      <x:c r="G790" s="93" t="n">
        <x:v>172.5</x:v>
      </x:c>
      <x:c r="H790" s="85" t="str">
        <x:v>Diagnóstico e execução</x:v>
      </x:c>
    </x:row>
    <x:row r="791">
      <x:c r="A791" s="83" t="n">
        <x:v>790</x:v>
      </x:c>
      <x:c r="B791" s="84" t="n">
        <x:v>461</x:v>
      </x:c>
      <x:c r="C791" s="84" t="n">
        <x:v>24</x:v>
      </x:c>
      <x:c r="D791" s="89" t="n">
        <x:v>45011</x:v>
      </x:c>
      <x:c r="E791" s="84" t="n">
        <x:v>4.6</x:v>
      </x:c>
      <x:c r="F791" s="84" t="str">
        <x:v>Normal</x:v>
      </x:c>
      <x:c r="G791" s="93" t="n">
        <x:v>272.5</x:v>
      </x:c>
      <x:c r="H791" s="85" t="str">
        <x:v>Diagnóstico e execução</x:v>
      </x:c>
    </x:row>
    <x:row r="792">
      <x:c r="A792" s="83" t="n">
        <x:v>791</x:v>
      </x:c>
      <x:c r="B792" s="84" t="n">
        <x:v>462</x:v>
      </x:c>
      <x:c r="C792" s="84" t="n">
        <x:v>7</x:v>
      </x:c>
      <x:c r="D792" s="89" t="n">
        <x:v>45625</x:v>
      </x:c>
      <x:c r="E792" s="84" t="n">
        <x:v>3.2</x:v>
      </x:c>
      <x:c r="F792" s="84" t="str">
        <x:v>Normal</x:v>
      </x:c>
      <x:c r="G792" s="93" t="n">
        <x:v>186.27</x:v>
      </x:c>
      <x:c r="H792" s="85" t="str">
        <x:v>Diagnóstico e execução</x:v>
      </x:c>
    </x:row>
    <x:row r="793">
      <x:c r="A793" s="83" t="n">
        <x:v>792</x:v>
      </x:c>
      <x:c r="B793" s="84" t="n">
        <x:v>462</x:v>
      </x:c>
      <x:c r="C793" s="84" t="n">
        <x:v>17</x:v>
      </x:c>
      <x:c r="D793" s="89" t="n">
        <x:v>45625</x:v>
      </x:c>
      <x:c r="E793" s="84" t="n">
        <x:v>1.6</x:v>
      </x:c>
      <x:c r="F793" s="84" t="str">
        <x:v>Normal</x:v>
      </x:c>
      <x:c r="G793" s="93" t="n">
        <x:v>89.25</x:v>
      </x:c>
      <x:c r="H793" s="85" t="str">
        <x:v>Diagnóstico e execução</x:v>
      </x:c>
    </x:row>
    <x:row r="794">
      <x:c r="A794" s="83" t="n">
        <x:v>793</x:v>
      </x:c>
      <x:c r="B794" s="84" t="n">
        <x:v>463</x:v>
      </x:c>
      <x:c r="C794" s="84" t="n">
        <x:v>41</x:v>
      </x:c>
      <x:c r="D794" s="89" t="n">
        <x:v>45506</x:v>
      </x:c>
      <x:c r="E794" s="84" t="n">
        <x:v>6.5</x:v>
      </x:c>
      <x:c r="F794" s="84" t="str">
        <x:v>Normal</x:v>
      </x:c>
      <x:c r="G794" s="93" t="n">
        <x:v>328.77</x:v>
      </x:c>
      <x:c r="H794" s="85" t="str">
        <x:v>Diagnóstico e execução</x:v>
      </x:c>
    </x:row>
    <x:row r="795">
      <x:c r="A795" s="83" t="n">
        <x:v>794</x:v>
      </x:c>
      <x:c r="B795" s="84" t="n">
        <x:v>464</x:v>
      </x:c>
      <x:c r="C795" s="84" t="n">
        <x:v>39</x:v>
      </x:c>
      <x:c r="D795" s="89" t="n">
        <x:v>45917</x:v>
      </x:c>
      <x:c r="E795" s="84" t="n">
        <x:v>6.6</x:v>
      </x:c>
      <x:c r="F795" s="84" t="str">
        <x:v>Normal</x:v>
      </x:c>
      <x:c r="G795" s="93" t="n">
        <x:v>382.14</x:v>
      </x:c>
      <x:c r="H795" s="85" t="str">
        <x:v>Diagnóstico e execução</x:v>
      </x:c>
    </x:row>
    <x:row r="796">
      <x:c r="A796" s="83" t="n">
        <x:v>795</x:v>
      </x:c>
      <x:c r="B796" s="84" t="n">
        <x:v>464</x:v>
      </x:c>
      <x:c r="C796" s="84" t="n">
        <x:v>10</x:v>
      </x:c>
      <x:c r="D796" s="89" t="n">
        <x:v>45917</x:v>
      </x:c>
      <x:c r="E796" s="84" t="n">
        <x:v>0.5</x:v>
      </x:c>
      <x:c r="F796" s="84" t="str">
        <x:v>Normal</x:v>
      </x:c>
      <x:c r="G796" s="93" t="n">
        <x:v>14.85</x:v>
      </x:c>
      <x:c r="H796" s="85" t="str">
        <x:v>Diagnóstico e execução</x:v>
      </x:c>
    </x:row>
    <x:row r="797">
      <x:c r="A797" s="83" t="n">
        <x:v>796</x:v>
      </x:c>
      <x:c r="B797" s="84" t="n">
        <x:v>465</x:v>
      </x:c>
      <x:c r="C797" s="84" t="n">
        <x:v>10</x:v>
      </x:c>
      <x:c r="D797" s="89" t="n">
        <x:v>45381</x:v>
      </x:c>
      <x:c r="E797" s="84" t="n">
        <x:v>3.7</x:v>
      </x:c>
      <x:c r="F797" s="84" t="str">
        <x:v>Normal</x:v>
      </x:c>
      <x:c r="G797" s="93" t="n">
        <x:v>109.85</x:v>
      </x:c>
      <x:c r="H797" s="85" t="str">
        <x:v>Diagnóstico e execução</x:v>
      </x:c>
    </x:row>
    <x:row r="798">
      <x:c r="A798" s="83" t="n">
        <x:v>797</x:v>
      </x:c>
      <x:c r="B798" s="84" t="n">
        <x:v>467</x:v>
      </x:c>
      <x:c r="C798" s="84" t="n">
        <x:v>3</x:v>
      </x:c>
      <x:c r="D798" s="89" t="n">
        <x:v>45339</x:v>
      </x:c>
      <x:c r="E798" s="84" t="n">
        <x:v>5</x:v>
      </x:c>
      <x:c r="F798" s="84" t="str">
        <x:v>Normal</x:v>
      </x:c>
      <x:c r="G798" s="93" t="n">
        <x:v>246.2</x:v>
      </x:c>
      <x:c r="H798" s="85" t="str">
        <x:v>Diagnóstico e execução</x:v>
      </x:c>
    </x:row>
    <x:row r="799">
      <x:c r="A799" s="83" t="n">
        <x:v>798</x:v>
      </x:c>
      <x:c r="B799" s="84" t="n">
        <x:v>467</x:v>
      </x:c>
      <x:c r="C799" s="84" t="n">
        <x:v>44</x:v>
      </x:c>
      <x:c r="D799" s="89" t="n">
        <x:v>45339</x:v>
      </x:c>
      <x:c r="E799" s="84" t="n">
        <x:v>4.2</x:v>
      </x:c>
      <x:c r="F799" s="84" t="str">
        <x:v>Normal</x:v>
      </x:c>
      <x:c r="G799" s="93" t="n">
        <x:v>117.77</x:v>
      </x:c>
      <x:c r="H799" s="85" t="str">
        <x:v>Diagnóstico e execução</x:v>
      </x:c>
    </x:row>
    <x:row r="800">
      <x:c r="A800" s="83" t="n">
        <x:v>799</x:v>
      </x:c>
      <x:c r="B800" s="84" t="n">
        <x:v>468</x:v>
      </x:c>
      <x:c r="C800" s="84" t="n">
        <x:v>17</x:v>
      </x:c>
      <x:c r="D800" s="89" t="n">
        <x:v>45636</x:v>
      </x:c>
      <x:c r="E800" s="84" t="n">
        <x:v>5.4</x:v>
      </x:c>
      <x:c r="F800" s="84" t="str">
        <x:v>Normal</x:v>
      </x:c>
      <x:c r="G800" s="93" t="n">
        <x:v>301.21</x:v>
      </x:c>
      <x:c r="H800" s="85" t="str">
        <x:v>Diagnóstico e execução</x:v>
      </x:c>
    </x:row>
    <x:row r="801">
      <x:c r="A801" s="83" t="n">
        <x:v>800</x:v>
      </x:c>
      <x:c r="B801" s="84" t="n">
        <x:v>469</x:v>
      </x:c>
      <x:c r="C801" s="84" t="n">
        <x:v>30</x:v>
      </x:c>
      <x:c r="D801" s="89" t="n">
        <x:v>44950</x:v>
      </x:c>
      <x:c r="E801" s="84" t="n">
        <x:v>2.5</x:v>
      </x:c>
      <x:c r="F801" s="84" t="str">
        <x:v>Normal</x:v>
      </x:c>
      <x:c r="G801" s="93" t="n">
        <x:v>103.52</x:v>
      </x:c>
      <x:c r="H801" s="85" t="str">
        <x:v>Diagnóstico e execução</x:v>
      </x:c>
    </x:row>
    <x:row r="802">
      <x:c r="A802" s="83" t="n">
        <x:v>801</x:v>
      </x:c>
      <x:c r="B802" s="84" t="n">
        <x:v>469</x:v>
      </x:c>
      <x:c r="C802" s="84" t="n">
        <x:v>42</x:v>
      </x:c>
      <x:c r="D802" s="89" t="n">
        <x:v>44950</x:v>
      </x:c>
      <x:c r="E802" s="84" t="n">
        <x:v>5.4</x:v>
      </x:c>
      <x:c r="F802" s="84" t="str">
        <x:v>Normal</x:v>
      </x:c>
      <x:c r="G802" s="93" t="n">
        <x:v>227.77</x:v>
      </x:c>
      <x:c r="H802" s="85" t="str">
        <x:v>Diagnóstico e execução</x:v>
      </x:c>
    </x:row>
    <x:row r="803">
      <x:c r="A803" s="83" t="n">
        <x:v>802</x:v>
      </x:c>
      <x:c r="B803" s="84" t="n">
        <x:v>471</x:v>
      </x:c>
      <x:c r="C803" s="84" t="n">
        <x:v>22</x:v>
      </x:c>
      <x:c r="D803" s="89" t="n">
        <x:v>45339</x:v>
      </x:c>
      <x:c r="E803" s="84" t="n">
        <x:v>4.7</x:v>
      </x:c>
      <x:c r="F803" s="84" t="str">
        <x:v>Normal</x:v>
      </x:c>
      <x:c r="G803" s="93" t="n">
        <x:v>180.76</x:v>
      </x:c>
      <x:c r="H803" s="85" t="str">
        <x:v>Diagnóstico e execução</x:v>
      </x:c>
    </x:row>
    <x:row r="804">
      <x:c r="A804" s="83" t="n">
        <x:v>803</x:v>
      </x:c>
      <x:c r="B804" s="84" t="n">
        <x:v>471</x:v>
      </x:c>
      <x:c r="C804" s="84" t="n">
        <x:v>36</x:v>
      </x:c>
      <x:c r="D804" s="89" t="n">
        <x:v>45339</x:v>
      </x:c>
      <x:c r="E804" s="84" t="n">
        <x:v>6.4</x:v>
      </x:c>
      <x:c r="F804" s="84" t="str">
        <x:v>Normal</x:v>
      </x:c>
      <x:c r="G804" s="93" t="n">
        <x:v>189.82</x:v>
      </x:c>
      <x:c r="H804" s="85" t="str">
        <x:v>Diagnóstico e execução</x:v>
      </x:c>
    </x:row>
    <x:row r="805">
      <x:c r="A805" s="83" t="n">
        <x:v>804</x:v>
      </x:c>
      <x:c r="B805" s="84" t="n">
        <x:v>471</x:v>
      </x:c>
      <x:c r="C805" s="84" t="n">
        <x:v>23</x:v>
      </x:c>
      <x:c r="D805" s="89" t="n">
        <x:v>45339</x:v>
      </x:c>
      <x:c r="E805" s="84" t="n">
        <x:v>3.7</x:v>
      </x:c>
      <x:c r="F805" s="84" t="str">
        <x:v>Normal</x:v>
      </x:c>
      <x:c r="G805" s="93" t="n">
        <x:v>159.51</x:v>
      </x:c>
      <x:c r="H805" s="85" t="str">
        <x:v>Diagnóstico e execução</x:v>
      </x:c>
    </x:row>
    <x:row r="806">
      <x:c r="A806" s="83" t="n">
        <x:v>805</x:v>
      </x:c>
      <x:c r="B806" s="84" t="n">
        <x:v>472</x:v>
      </x:c>
      <x:c r="C806" s="84" t="n">
        <x:v>22</x:v>
      </x:c>
      <x:c r="D806" s="89" t="n">
        <x:v>44978</x:v>
      </x:c>
      <x:c r="E806" s="84" t="n">
        <x:v>5.7</x:v>
      </x:c>
      <x:c r="F806" s="84" t="str">
        <x:v>Normal</x:v>
      </x:c>
      <x:c r="G806" s="93" t="n">
        <x:v>219.22</x:v>
      </x:c>
      <x:c r="H806" s="85" t="str">
        <x:v>Diagnóstico e execução</x:v>
      </x:c>
    </x:row>
    <x:row r="807">
      <x:c r="A807" s="83" t="n">
        <x:v>806</x:v>
      </x:c>
      <x:c r="B807" s="84" t="n">
        <x:v>472</x:v>
      </x:c>
      <x:c r="C807" s="84" t="n">
        <x:v>20</x:v>
      </x:c>
      <x:c r="D807" s="89" t="n">
        <x:v>44978</x:v>
      </x:c>
      <x:c r="E807" s="84" t="n">
        <x:v>2.6</x:v>
      </x:c>
      <x:c r="F807" s="84" t="str">
        <x:v>Normal</x:v>
      </x:c>
      <x:c r="G807" s="93" t="n">
        <x:v>87.15</x:v>
      </x:c>
      <x:c r="H807" s="85" t="str">
        <x:v>Diagnóstico e execução</x:v>
      </x:c>
    </x:row>
    <x:row r="808">
      <x:c r="A808" s="83" t="n">
        <x:v>807</x:v>
      </x:c>
      <x:c r="B808" s="84" t="n">
        <x:v>472</x:v>
      </x:c>
      <x:c r="C808" s="84" t="n">
        <x:v>37</x:v>
      </x:c>
      <x:c r="D808" s="89" t="n">
        <x:v>44978</x:v>
      </x:c>
      <x:c r="E808" s="84" t="n">
        <x:v>4</x:v>
      </x:c>
      <x:c r="F808" s="84" t="str">
        <x:v>Normal</x:v>
      </x:c>
      <x:c r="G808" s="93" t="n">
        <x:v>235.88</x:v>
      </x:c>
      <x:c r="H808" s="85" t="str">
        <x:v>Diagnóstico e execução</x:v>
      </x:c>
    </x:row>
    <x:row r="809">
      <x:c r="A809" s="83" t="n">
        <x:v>808</x:v>
      </x:c>
      <x:c r="B809" s="84" t="n">
        <x:v>473</x:v>
      </x:c>
      <x:c r="C809" s="84" t="n">
        <x:v>19</x:v>
      </x:c>
      <x:c r="D809" s="89" t="n">
        <x:v>45511</x:v>
      </x:c>
      <x:c r="E809" s="84" t="n">
        <x:v>1.3</x:v>
      </x:c>
      <x:c r="F809" s="84" t="str">
        <x:v>Normal</x:v>
      </x:c>
      <x:c r="G809" s="93" t="n">
        <x:v>60.42</x:v>
      </x:c>
      <x:c r="H809" s="85" t="str">
        <x:v>Diagnóstico e execução</x:v>
      </x:c>
    </x:row>
    <x:row r="810">
      <x:c r="A810" s="83" t="n">
        <x:v>809</x:v>
      </x:c>
      <x:c r="B810" s="84" t="n">
        <x:v>474</x:v>
      </x:c>
      <x:c r="C810" s="84" t="n">
        <x:v>15</x:v>
      </x:c>
      <x:c r="D810" s="89" t="n">
        <x:v>45447</x:v>
      </x:c>
      <x:c r="E810" s="84" t="n">
        <x:v>5.3</x:v>
      </x:c>
      <x:c r="F810" s="84" t="str">
        <x:v>Normal</x:v>
      </x:c>
      <x:c r="G810" s="93" t="n">
        <x:v>160.27</x:v>
      </x:c>
      <x:c r="H810" s="85" t="str">
        <x:v>Diagnóstico e execução</x:v>
      </x:c>
    </x:row>
    <x:row r="811">
      <x:c r="A811" s="83" t="n">
        <x:v>810</x:v>
      </x:c>
      <x:c r="B811" s="84" t="n">
        <x:v>474</x:v>
      </x:c>
      <x:c r="C811" s="84" t="n">
        <x:v>33</x:v>
      </x:c>
      <x:c r="D811" s="89" t="n">
        <x:v>45447</x:v>
      </x:c>
      <x:c r="E811" s="84" t="n">
        <x:v>0.7</x:v>
      </x:c>
      <x:c r="F811" s="84" t="str">
        <x:v>Normal</x:v>
      </x:c>
      <x:c r="G811" s="93" t="n">
        <x:v>24.14</x:v>
      </x:c>
      <x:c r="H811" s="85" t="str">
        <x:v>Diagnóstico e execução</x:v>
      </x:c>
    </x:row>
    <x:row r="812">
      <x:c r="A812" s="83" t="n">
        <x:v>811</x:v>
      </x:c>
      <x:c r="B812" s="84" t="n">
        <x:v>475</x:v>
      </x:c>
      <x:c r="C812" s="84" t="n">
        <x:v>10</x:v>
      </x:c>
      <x:c r="D812" s="89" t="n">
        <x:v>45929</x:v>
      </x:c>
      <x:c r="E812" s="84" t="n">
        <x:v>0.8</x:v>
      </x:c>
      <x:c r="F812" s="84" t="str">
        <x:v>Normal</x:v>
      </x:c>
      <x:c r="G812" s="93" t="n">
        <x:v>23.75</x:v>
      </x:c>
      <x:c r="H812" s="85" t="str">
        <x:v>Diagnóstico e execução</x:v>
      </x:c>
    </x:row>
    <x:row r="813">
      <x:c r="A813" s="83" t="n">
        <x:v>812</x:v>
      </x:c>
      <x:c r="B813" s="84" t="n">
        <x:v>476</x:v>
      </x:c>
      <x:c r="C813" s="84" t="n">
        <x:v>39</x:v>
      </x:c>
      <x:c r="D813" s="89" t="n">
        <x:v>45892</x:v>
      </x:c>
      <x:c r="E813" s="84" t="n">
        <x:v>1.9</x:v>
      </x:c>
      <x:c r="F813" s="84" t="str">
        <x:v>Normal</x:v>
      </x:c>
      <x:c r="G813" s="93" t="n">
        <x:v>110.01</x:v>
      </x:c>
      <x:c r="H813" s="85" t="str">
        <x:v>Diagnóstico e execução</x:v>
      </x:c>
    </x:row>
    <x:row r="814">
      <x:c r="A814" s="83" t="n">
        <x:v>813</x:v>
      </x:c>
      <x:c r="B814" s="84" t="n">
        <x:v>476</x:v>
      </x:c>
      <x:c r="C814" s="84" t="n">
        <x:v>31</x:v>
      </x:c>
      <x:c r="D814" s="89" t="n">
        <x:v>45892</x:v>
      </x:c>
      <x:c r="E814" s="84" t="n">
        <x:v>5.7</x:v>
      </x:c>
      <x:c r="F814" s="84" t="str">
        <x:v>Normal</x:v>
      </x:c>
      <x:c r="G814" s="93" t="n">
        <x:v>278.73</x:v>
      </x:c>
      <x:c r="H814" s="85" t="str">
        <x:v>Diagnóstico e execução</x:v>
      </x:c>
    </x:row>
    <x:row r="815">
      <x:c r="A815" s="83" t="n">
        <x:v>814</x:v>
      </x:c>
      <x:c r="B815" s="84" t="n">
        <x:v>477</x:v>
      </x:c>
      <x:c r="C815" s="84" t="n">
        <x:v>8</x:v>
      </x:c>
      <x:c r="D815" s="89" t="n">
        <x:v>45531</x:v>
      </x:c>
      <x:c r="E815" s="84" t="n">
        <x:v>3.8</x:v>
      </x:c>
      <x:c r="F815" s="84" t="str">
        <x:v>Normal</x:v>
      </x:c>
      <x:c r="G815" s="93" t="n">
        <x:v>176.7</x:v>
      </x:c>
      <x:c r="H815" s="85" t="str">
        <x:v>Diagnóstico e execução</x:v>
      </x:c>
    </x:row>
    <x:row r="816">
      <x:c r="A816" s="83" t="n">
        <x:v>815</x:v>
      </x:c>
      <x:c r="B816" s="84" t="n">
        <x:v>477</x:v>
      </x:c>
      <x:c r="C816" s="84" t="n">
        <x:v>10</x:v>
      </x:c>
      <x:c r="D816" s="89" t="n">
        <x:v>45531</x:v>
      </x:c>
      <x:c r="E816" s="84" t="n">
        <x:v>1.6</x:v>
      </x:c>
      <x:c r="F816" s="84" t="str">
        <x:v>Normal</x:v>
      </x:c>
      <x:c r="G816" s="93" t="n">
        <x:v>47.5</x:v>
      </x:c>
      <x:c r="H816" s="85" t="str">
        <x:v>Diagnóstico e execução</x:v>
      </x:c>
    </x:row>
    <x:row r="817">
      <x:c r="A817" s="83" t="n">
        <x:v>816</x:v>
      </x:c>
      <x:c r="B817" s="84" t="n">
        <x:v>478</x:v>
      </x:c>
      <x:c r="C817" s="84" t="n">
        <x:v>43</x:v>
      </x:c>
      <x:c r="D817" s="89" t="n">
        <x:v>45616</x:v>
      </x:c>
      <x:c r="E817" s="84" t="n">
        <x:v>4.3</x:v>
      </x:c>
      <x:c r="F817" s="84" t="str">
        <x:v>Normal</x:v>
      </x:c>
      <x:c r="G817" s="93" t="n">
        <x:v>235.04</x:v>
      </x:c>
      <x:c r="H817" s="85" t="str">
        <x:v>Diagnóstico e execução</x:v>
      </x:c>
    </x:row>
    <x:row r="818">
      <x:c r="A818" s="83" t="n">
        <x:v>817</x:v>
      </x:c>
      <x:c r="B818" s="84" t="n">
        <x:v>478</x:v>
      </x:c>
      <x:c r="C818" s="84" t="n">
        <x:v>43</x:v>
      </x:c>
      <x:c r="D818" s="89" t="n">
        <x:v>45616</x:v>
      </x:c>
      <x:c r="E818" s="84" t="n">
        <x:v>0.9</x:v>
      </x:c>
      <x:c r="F818" s="84" t="str">
        <x:v>Normal</x:v>
      </x:c>
      <x:c r="G818" s="93" t="n">
        <x:v>49.19</x:v>
      </x:c>
      <x:c r="H818" s="85" t="str">
        <x:v>Diagnóstico e execução</x:v>
      </x:c>
    </x:row>
    <x:row r="819">
      <x:c r="A819" s="83" t="n">
        <x:v>818</x:v>
      </x:c>
      <x:c r="B819" s="84" t="n">
        <x:v>478</x:v>
      </x:c>
      <x:c r="C819" s="84" t="n">
        <x:v>30</x:v>
      </x:c>
      <x:c r="D819" s="89" t="n">
        <x:v>45616</x:v>
      </x:c>
      <x:c r="E819" s="84" t="n">
        <x:v>4.2</x:v>
      </x:c>
      <x:c r="F819" s="84" t="str">
        <x:v>Normal</x:v>
      </x:c>
      <x:c r="G819" s="93" t="n">
        <x:v>173.92</x:v>
      </x:c>
      <x:c r="H819" s="85" t="str">
        <x:v>Diagnóstico e execução</x:v>
      </x:c>
    </x:row>
    <x:row r="820">
      <x:c r="A820" s="83" t="n">
        <x:v>819</x:v>
      </x:c>
      <x:c r="B820" s="84" t="n">
        <x:v>479</x:v>
      </x:c>
      <x:c r="C820" s="84" t="n">
        <x:v>28</x:v>
      </x:c>
      <x:c r="D820" s="89" t="n">
        <x:v>45867</x:v>
      </x:c>
      <x:c r="E820" s="84" t="n">
        <x:v>7.8</x:v>
      </x:c>
      <x:c r="F820" s="84" t="str">
        <x:v>Normal</x:v>
      </x:c>
      <x:c r="G820" s="93" t="n">
        <x:v>293.44</x:v>
      </x:c>
      <x:c r="H820" s="85" t="str">
        <x:v>Diagnóstico e execução</x:v>
      </x:c>
    </x:row>
    <x:row r="821">
      <x:c r="A821" s="83" t="n">
        <x:v>820</x:v>
      </x:c>
      <x:c r="B821" s="84" t="n">
        <x:v>480</x:v>
      </x:c>
      <x:c r="C821" s="84" t="n">
        <x:v>17</x:v>
      </x:c>
      <x:c r="D821" s="89" t="n">
        <x:v>45668</x:v>
      </x:c>
      <x:c r="E821" s="84" t="n">
        <x:v>3.2</x:v>
      </x:c>
      <x:c r="F821" s="84" t="str">
        <x:v>Normal</x:v>
      </x:c>
      <x:c r="G821" s="93" t="n">
        <x:v>178.5</x:v>
      </x:c>
      <x:c r="H821" s="85" t="str">
        <x:v>Diagnóstico e execução</x:v>
      </x:c>
    </x:row>
    <x:row r="822">
      <x:c r="A822" s="83" t="n">
        <x:v>821</x:v>
      </x:c>
      <x:c r="B822" s="84" t="n">
        <x:v>480</x:v>
      </x:c>
      <x:c r="C822" s="84" t="n">
        <x:v>6</x:v>
      </x:c>
      <x:c r="D822" s="89" t="n">
        <x:v>45668</x:v>
      </x:c>
      <x:c r="E822" s="84" t="n">
        <x:v>2.1</x:v>
      </x:c>
      <x:c r="F822" s="84" t="str">
        <x:v>Normal</x:v>
      </x:c>
      <x:c r="G822" s="93" t="n">
        <x:v>109.75</x:v>
      </x:c>
      <x:c r="H822" s="85" t="str">
        <x:v>Diagnóstico e execução</x:v>
      </x:c>
    </x:row>
    <x:row r="823">
      <x:c r="A823" s="83" t="n">
        <x:v>822</x:v>
      </x:c>
      <x:c r="B823" s="84" t="n">
        <x:v>481</x:v>
      </x:c>
      <x:c r="C823" s="84" t="n">
        <x:v>40</x:v>
      </x:c>
      <x:c r="D823" s="89" t="n">
        <x:v>45012</x:v>
      </x:c>
      <x:c r="E823" s="84" t="n">
        <x:v>5.9</x:v>
      </x:c>
      <x:c r="F823" s="84" t="str">
        <x:v>Normal</x:v>
      </x:c>
      <x:c r="G823" s="93" t="n">
        <x:v>291.58</x:v>
      </x:c>
      <x:c r="H823" s="85" t="str">
        <x:v>Diagnóstico e execução</x:v>
      </x:c>
    </x:row>
    <x:row r="824">
      <x:c r="A824" s="83" t="n">
        <x:v>823</x:v>
      </x:c>
      <x:c r="B824" s="84" t="n">
        <x:v>482</x:v>
      </x:c>
      <x:c r="C824" s="84" t="n">
        <x:v>12</x:v>
      </x:c>
      <x:c r="D824" s="89" t="n">
        <x:v>45414</x:v>
      </x:c>
      <x:c r="E824" s="84" t="n">
        <x:v>1.8</x:v>
      </x:c>
      <x:c r="F824" s="84" t="str">
        <x:v>Normal</x:v>
      </x:c>
      <x:c r="G824" s="93" t="n">
        <x:v>62.1</x:v>
      </x:c>
      <x:c r="H824" s="85" t="str">
        <x:v>Diagnóstico e execução</x:v>
      </x:c>
    </x:row>
    <x:row r="825">
      <x:c r="A825" s="83" t="n">
        <x:v>824</x:v>
      </x:c>
      <x:c r="B825" s="84" t="n">
        <x:v>482</x:v>
      </x:c>
      <x:c r="C825" s="84" t="n">
        <x:v>10</x:v>
      </x:c>
      <x:c r="D825" s="89" t="n">
        <x:v>45414</x:v>
      </x:c>
      <x:c r="E825" s="84" t="n">
        <x:v>7.1</x:v>
      </x:c>
      <x:c r="F825" s="84" t="str">
        <x:v>Normal</x:v>
      </x:c>
      <x:c r="G825" s="93" t="n">
        <x:v>210.8</x:v>
      </x:c>
      <x:c r="H825" s="85" t="str">
        <x:v>Diagnóstico e execução</x:v>
      </x:c>
    </x:row>
    <x:row r="826">
      <x:c r="A826" s="83" t="n">
        <x:v>825</x:v>
      </x:c>
      <x:c r="B826" s="84" t="n">
        <x:v>483</x:v>
      </x:c>
      <x:c r="C826" s="84" t="n">
        <x:v>23</x:v>
      </x:c>
      <x:c r="D826" s="89" t="n">
        <x:v>45433</x:v>
      </x:c>
      <x:c r="E826" s="84" t="n">
        <x:v>4.9</x:v>
      </x:c>
      <x:c r="F826" s="84" t="str">
        <x:v>Normal</x:v>
      </x:c>
      <x:c r="G826" s="93" t="n">
        <x:v>211.24</x:v>
      </x:c>
      <x:c r="H826" s="85" t="str">
        <x:v>Diagnóstico e execução</x:v>
      </x:c>
    </x:row>
    <x:row r="827">
      <x:c r="A827" s="83" t="n">
        <x:v>826</x:v>
      </x:c>
      <x:c r="B827" s="84" t="n">
        <x:v>485</x:v>
      </x:c>
      <x:c r="C827" s="84" t="n">
        <x:v>13</x:v>
      </x:c>
      <x:c r="D827" s="89" t="n">
        <x:v>45041</x:v>
      </x:c>
      <x:c r="E827" s="84" t="n">
        <x:v>2.3</x:v>
      </x:c>
      <x:c r="F827" s="84" t="str">
        <x:v>Normal</x:v>
      </x:c>
      <x:c r="G827" s="93" t="n">
        <x:v>77.92</x:v>
      </x:c>
      <x:c r="H827" s="85" t="str">
        <x:v>Diagnóstico e execução</x:v>
      </x:c>
    </x:row>
    <x:row r="828">
      <x:c r="A828" s="83" t="n">
        <x:v>827</x:v>
      </x:c>
      <x:c r="B828" s="84" t="n">
        <x:v>485</x:v>
      </x:c>
      <x:c r="C828" s="84" t="n">
        <x:v>3</x:v>
      </x:c>
      <x:c r="D828" s="89" t="n">
        <x:v>45041</x:v>
      </x:c>
      <x:c r="E828" s="84" t="n">
        <x:v>7.9</x:v>
      </x:c>
      <x:c r="F828" s="84" t="str">
        <x:v>Normal</x:v>
      </x:c>
      <x:c r="G828" s="93" t="n">
        <x:v>389</x:v>
      </x:c>
      <x:c r="H828" s="85" t="str">
        <x:v>Diagnóstico e execução</x:v>
      </x:c>
    </x:row>
    <x:row r="829">
      <x:c r="A829" s="83" t="n">
        <x:v>828</x:v>
      </x:c>
      <x:c r="B829" s="84" t="n">
        <x:v>485</x:v>
      </x:c>
      <x:c r="C829" s="84" t="n">
        <x:v>42</x:v>
      </x:c>
      <x:c r="D829" s="89" t="n">
        <x:v>45041</x:v>
      </x:c>
      <x:c r="E829" s="84" t="n">
        <x:v>5.1</x:v>
      </x:c>
      <x:c r="F829" s="84" t="str">
        <x:v>Normal</x:v>
      </x:c>
      <x:c r="G829" s="93" t="n">
        <x:v>215.12</x:v>
      </x:c>
      <x:c r="H829" s="85" t="str">
        <x:v>Diagnóstico e execução</x:v>
      </x:c>
    </x:row>
    <x:row r="830">
      <x:c r="A830" s="83" t="n">
        <x:v>829</x:v>
      </x:c>
      <x:c r="B830" s="84" t="n">
        <x:v>486</x:v>
      </x:c>
      <x:c r="C830" s="84" t="n">
        <x:v>3</x:v>
      </x:c>
      <x:c r="D830" s="89" t="n">
        <x:v>45902</x:v>
      </x:c>
      <x:c r="E830" s="84" t="n">
        <x:v>2.5</x:v>
      </x:c>
      <x:c r="F830" s="84" t="str">
        <x:v>Normal</x:v>
      </x:c>
      <x:c r="G830" s="93" t="n">
        <x:v>123.1</x:v>
      </x:c>
      <x:c r="H830" s="85" t="str">
        <x:v>Diagnóstico e execução</x:v>
      </x:c>
    </x:row>
    <x:row r="831">
      <x:c r="A831" s="83" t="n">
        <x:v>830</x:v>
      </x:c>
      <x:c r="B831" s="84" t="n">
        <x:v>487</x:v>
      </x:c>
      <x:c r="C831" s="84" t="n">
        <x:v>30</x:v>
      </x:c>
      <x:c r="D831" s="89" t="n">
        <x:v>45321</x:v>
      </x:c>
      <x:c r="E831" s="84" t="n">
        <x:v>1.1</x:v>
      </x:c>
      <x:c r="F831" s="84" t="str">
        <x:v>Normal</x:v>
      </x:c>
      <x:c r="G831" s="93" t="n">
        <x:v>45.55</x:v>
      </x:c>
      <x:c r="H831" s="85" t="str">
        <x:v>Diagnóstico e execução</x:v>
      </x:c>
    </x:row>
    <x:row r="832">
      <x:c r="A832" s="83" t="n">
        <x:v>831</x:v>
      </x:c>
      <x:c r="B832" s="84" t="n">
        <x:v>487</x:v>
      </x:c>
      <x:c r="C832" s="84" t="n">
        <x:v>44</x:v>
      </x:c>
      <x:c r="D832" s="89" t="n">
        <x:v>45321</x:v>
      </x:c>
      <x:c r="E832" s="84" t="n">
        <x:v>7.5</x:v>
      </x:c>
      <x:c r="F832" s="84" t="str">
        <x:v>Normal</x:v>
      </x:c>
      <x:c r="G832" s="93" t="n">
        <x:v>210.3</x:v>
      </x:c>
      <x:c r="H832" s="85" t="str">
        <x:v>Diagnóstico e execução</x:v>
      </x:c>
    </x:row>
    <x:row r="833">
      <x:c r="A833" s="83" t="n">
        <x:v>832</x:v>
      </x:c>
      <x:c r="B833" s="84" t="n">
        <x:v>489</x:v>
      </x:c>
      <x:c r="C833" s="84" t="n">
        <x:v>13</x:v>
      </x:c>
      <x:c r="D833" s="89" t="n">
        <x:v>45005</x:v>
      </x:c>
      <x:c r="E833" s="84" t="n">
        <x:v>4.5</x:v>
      </x:c>
      <x:c r="F833" s="84" t="str">
        <x:v>Normal</x:v>
      </x:c>
      <x:c r="G833" s="93" t="n">
        <x:v>152.46</x:v>
      </x:c>
      <x:c r="H833" s="85" t="str">
        <x:v>Diagnóstico e execução</x:v>
      </x:c>
    </x:row>
    <x:row r="834">
      <x:c r="A834" s="83" t="n">
        <x:v>833</x:v>
      </x:c>
      <x:c r="B834" s="84" t="n">
        <x:v>490</x:v>
      </x:c>
      <x:c r="C834" s="84" t="n">
        <x:v>9</x:v>
      </x:c>
      <x:c r="D834" s="89" t="n">
        <x:v>45077</x:v>
      </x:c>
      <x:c r="E834" s="84" t="n">
        <x:v>2.5</x:v>
      </x:c>
      <x:c r="F834" s="84" t="str">
        <x:v>Normal</x:v>
      </x:c>
      <x:c r="G834" s="93" t="n">
        <x:v>131.68</x:v>
      </x:c>
      <x:c r="H834" s="85" t="str">
        <x:v>Diagnóstico e execução</x:v>
      </x:c>
    </x:row>
    <x:row r="835">
      <x:c r="A835" s="83" t="n">
        <x:v>834</x:v>
      </x:c>
      <x:c r="B835" s="84" t="n">
        <x:v>490</x:v>
      </x:c>
      <x:c r="C835" s="84" t="n">
        <x:v>6</x:v>
      </x:c>
      <x:c r="D835" s="89" t="n">
        <x:v>45077</x:v>
      </x:c>
      <x:c r="E835" s="84" t="n">
        <x:v>3.7</x:v>
      </x:c>
      <x:c r="F835" s="84" t="str">
        <x:v>Normal</x:v>
      </x:c>
      <x:c r="G835" s="93" t="n">
        <x:v>193.36</x:v>
      </x:c>
      <x:c r="H835" s="85" t="str">
        <x:v>Diagnóstico e execução</x:v>
      </x:c>
    </x:row>
    <x:row r="836">
      <x:c r="A836" s="83" t="n">
        <x:v>835</x:v>
      </x:c>
      <x:c r="B836" s="84" t="n">
        <x:v>490</x:v>
      </x:c>
      <x:c r="C836" s="84" t="n">
        <x:v>6</x:v>
      </x:c>
      <x:c r="D836" s="89" t="n">
        <x:v>45077</x:v>
      </x:c>
      <x:c r="E836" s="84" t="n">
        <x:v>6.9</x:v>
      </x:c>
      <x:c r="F836" s="84" t="str">
        <x:v>Normal</x:v>
      </x:c>
      <x:c r="G836" s="93" t="n">
        <x:v>360.59</x:v>
      </x:c>
      <x:c r="H836" s="85" t="str">
        <x:v>Diagnóstico e execução</x:v>
      </x:c>
    </x:row>
    <x:row r="837">
      <x:c r="A837" s="83" t="n">
        <x:v>836</x:v>
      </x:c>
      <x:c r="B837" s="84" t="n">
        <x:v>491</x:v>
      </x:c>
      <x:c r="C837" s="84" t="n">
        <x:v>28</x:v>
      </x:c>
      <x:c r="D837" s="89" t="n">
        <x:v>45403</x:v>
      </x:c>
      <x:c r="E837" s="84" t="n">
        <x:v>7.7</x:v>
      </x:c>
      <x:c r="F837" s="84" t="str">
        <x:v>Normal</x:v>
      </x:c>
      <x:c r="G837" s="93" t="n">
        <x:v>289.67</x:v>
      </x:c>
      <x:c r="H837" s="85" t="str">
        <x:v>Diagnóstico e execução</x:v>
      </x:c>
    </x:row>
    <x:row r="838">
      <x:c r="A838" s="83" t="n">
        <x:v>837</x:v>
      </x:c>
      <x:c r="B838" s="84" t="n">
        <x:v>491</x:v>
      </x:c>
      <x:c r="C838" s="84" t="n">
        <x:v>33</x:v>
      </x:c>
      <x:c r="D838" s="89" t="n">
        <x:v>45403</x:v>
      </x:c>
      <x:c r="E838" s="84" t="n">
        <x:v>0.6</x:v>
      </x:c>
      <x:c r="F838" s="84" t="str">
        <x:v>Normal</x:v>
      </x:c>
      <x:c r="G838" s="93" t="n">
        <x:v>20.69</x:v>
      </x:c>
      <x:c r="H838" s="85" t="str">
        <x:v>Diagnóstico e execução</x:v>
      </x:c>
    </x:row>
    <x:row r="839">
      <x:c r="A839" s="83" t="n">
        <x:v>838</x:v>
      </x:c>
      <x:c r="B839" s="84" t="n">
        <x:v>492</x:v>
      </x:c>
      <x:c r="C839" s="84" t="n">
        <x:v>44</x:v>
      </x:c>
      <x:c r="D839" s="89" t="n">
        <x:v>45316</x:v>
      </x:c>
      <x:c r="E839" s="84" t="n">
        <x:v>2.5</x:v>
      </x:c>
      <x:c r="F839" s="84" t="str">
        <x:v>Normal</x:v>
      </x:c>
      <x:c r="G839" s="93" t="n">
        <x:v>70.1</x:v>
      </x:c>
      <x:c r="H839" s="85" t="str">
        <x:v>Diagnóstico e execução</x:v>
      </x:c>
    </x:row>
    <x:row r="840">
      <x:c r="A840" s="83" t="n">
        <x:v>839</x:v>
      </x:c>
      <x:c r="B840" s="84" t="n">
        <x:v>492</x:v>
      </x:c>
      <x:c r="C840" s="84" t="n">
        <x:v>35</x:v>
      </x:c>
      <x:c r="D840" s="89" t="n">
        <x:v>45316</x:v>
      </x:c>
      <x:c r="E840" s="84" t="n">
        <x:v>7.9</x:v>
      </x:c>
      <x:c r="F840" s="84" t="str">
        <x:v>Normal</x:v>
      </x:c>
      <x:c r="G840" s="93" t="n">
        <x:v>388.6</x:v>
      </x:c>
      <x:c r="H840" s="85" t="str">
        <x:v>Diagnóstico e execução</x:v>
      </x:c>
    </x:row>
    <x:row r="841">
      <x:c r="A841" s="83" t="n">
        <x:v>840</x:v>
      </x:c>
      <x:c r="B841" s="84" t="n">
        <x:v>493</x:v>
      </x:c>
      <x:c r="C841" s="84" t="n">
        <x:v>22</x:v>
      </x:c>
      <x:c r="D841" s="89" t="n">
        <x:v>45765</x:v>
      </x:c>
      <x:c r="E841" s="84" t="n">
        <x:v>5.7</x:v>
      </x:c>
      <x:c r="F841" s="84" t="str">
        <x:v>Normal</x:v>
      </x:c>
      <x:c r="G841" s="93" t="n">
        <x:v>219.22</x:v>
      </x:c>
      <x:c r="H841" s="85" t="str">
        <x:v>Diagnóstico e execução</x:v>
      </x:c>
    </x:row>
    <x:row r="842">
      <x:c r="A842" s="83" t="n">
        <x:v>841</x:v>
      </x:c>
      <x:c r="B842" s="84" t="n">
        <x:v>494</x:v>
      </x:c>
      <x:c r="C842" s="84" t="n">
        <x:v>25</x:v>
      </x:c>
      <x:c r="D842" s="89" t="n">
        <x:v>45492</x:v>
      </x:c>
      <x:c r="E842" s="84" t="n">
        <x:v>7.5</x:v>
      </x:c>
      <x:c r="F842" s="84" t="str">
        <x:v>Normal</x:v>
      </x:c>
      <x:c r="G842" s="93" t="n">
        <x:v>401.93</x:v>
      </x:c>
      <x:c r="H842" s="85" t="str">
        <x:v>Diagnóstico e execução</x:v>
      </x:c>
    </x:row>
    <x:row r="843">
      <x:c r="A843" s="83" t="n">
        <x:v>842</x:v>
      </x:c>
      <x:c r="B843" s="84" t="n">
        <x:v>496</x:v>
      </x:c>
      <x:c r="C843" s="84" t="n">
        <x:v>3</x:v>
      </x:c>
      <x:c r="D843" s="89" t="n">
        <x:v>45497</x:v>
      </x:c>
      <x:c r="E843" s="84" t="n">
        <x:v>2.2</x:v>
      </x:c>
      <x:c r="F843" s="84" t="str">
        <x:v>Normal</x:v>
      </x:c>
      <x:c r="G843" s="93" t="n">
        <x:v>108.33</x:v>
      </x:c>
      <x:c r="H843" s="85" t="str">
        <x:v>Diagnóstico e execução</x:v>
      </x:c>
    </x:row>
    <x:row r="844">
      <x:c r="A844" s="83" t="n">
        <x:v>843</x:v>
      </x:c>
      <x:c r="B844" s="84" t="n">
        <x:v>496</x:v>
      </x:c>
      <x:c r="C844" s="84" t="n">
        <x:v>1</x:v>
      </x:c>
      <x:c r="D844" s="89" t="n">
        <x:v>45497</x:v>
      </x:c>
      <x:c r="E844" s="84" t="n">
        <x:v>1.6</x:v>
      </x:c>
      <x:c r="F844" s="84" t="str">
        <x:v>Normal</x:v>
      </x:c>
      <x:c r="G844" s="93" t="n">
        <x:v>56.59</x:v>
      </x:c>
      <x:c r="H844" s="85" t="str">
        <x:v>Diagnóstico e execução</x:v>
      </x:c>
    </x:row>
    <x:row r="845">
      <x:c r="A845" s="83" t="n">
        <x:v>844</x:v>
      </x:c>
      <x:c r="B845" s="84" t="n">
        <x:v>497</x:v>
      </x:c>
      <x:c r="C845" s="84" t="n">
        <x:v>31</x:v>
      </x:c>
      <x:c r="D845" s="89" t="n">
        <x:v>45318</x:v>
      </x:c>
      <x:c r="E845" s="84" t="n">
        <x:v>1.1</x:v>
      </x:c>
      <x:c r="F845" s="84" t="str">
        <x:v>Normal</x:v>
      </x:c>
      <x:c r="G845" s="93" t="n">
        <x:v>53.79</x:v>
      </x:c>
      <x:c r="H845" s="85" t="str">
        <x:v>Diagnóstico e execução</x:v>
      </x:c>
    </x:row>
    <x:row r="846">
      <x:c r="A846" s="83" t="n">
        <x:v>845</x:v>
      </x:c>
      <x:c r="B846" s="84" t="n">
        <x:v>497</x:v>
      </x:c>
      <x:c r="C846" s="84" t="n">
        <x:v>7</x:v>
      </x:c>
      <x:c r="D846" s="89" t="n">
        <x:v>45318</x:v>
      </x:c>
      <x:c r="E846" s="84" t="n">
        <x:v>5.3</x:v>
      </x:c>
      <x:c r="F846" s="84" t="str">
        <x:v>Normal</x:v>
      </x:c>
      <x:c r="G846" s="93" t="n">
        <x:v>308.51</x:v>
      </x:c>
      <x:c r="H846" s="85" t="str">
        <x:v>Diagnóstico e execução</x:v>
      </x:c>
    </x:row>
    <x:row r="847">
      <x:c r="A847" s="83" t="n">
        <x:v>846</x:v>
      </x:c>
      <x:c r="B847" s="84" t="n">
        <x:v>497</x:v>
      </x:c>
      <x:c r="C847" s="84" t="n">
        <x:v>18</x:v>
      </x:c>
      <x:c r="D847" s="89" t="n">
        <x:v>45318</x:v>
      </x:c>
      <x:c r="E847" s="84" t="n">
        <x:v>3</x:v>
      </x:c>
      <x:c r="F847" s="84" t="str">
        <x:v>Normal</x:v>
      </x:c>
      <x:c r="G847" s="93" t="n">
        <x:v>189.27</x:v>
      </x:c>
      <x:c r="H847" s="85" t="str">
        <x:v>Diagnóstico e execução</x:v>
      </x:c>
    </x:row>
    <x:row r="848">
      <x:c r="A848" s="83" t="n">
        <x:v>847</x:v>
      </x:c>
      <x:c r="B848" s="84" t="n">
        <x:v>498</x:v>
      </x:c>
      <x:c r="C848" s="84" t="n">
        <x:v>7</x:v>
      </x:c>
      <x:c r="D848" s="89" t="n">
        <x:v>45528</x:v>
      </x:c>
      <x:c r="E848" s="84" t="n">
        <x:v>5</x:v>
      </x:c>
      <x:c r="F848" s="84" t="str">
        <x:v>Normal</x:v>
      </x:c>
      <x:c r="G848" s="93" t="n">
        <x:v>291.05</x:v>
      </x:c>
      <x:c r="H848" s="85" t="str">
        <x:v>Diagnóstico e execução</x:v>
      </x:c>
    </x:row>
    <x:row r="849">
      <x:c r="A849" s="83" t="n">
        <x:v>848</x:v>
      </x:c>
      <x:c r="B849" s="84" t="n">
        <x:v>499</x:v>
      </x:c>
      <x:c r="C849" s="84" t="n">
        <x:v>40</x:v>
      </x:c>
      <x:c r="D849" s="89" t="n">
        <x:v>45128</x:v>
      </x:c>
      <x:c r="E849" s="84" t="n">
        <x:v>3.5</x:v>
      </x:c>
      <x:c r="F849" s="84" t="str">
        <x:v>Normal</x:v>
      </x:c>
      <x:c r="G849" s="93" t="n">
        <x:v>172.97</x:v>
      </x:c>
      <x:c r="H849" s="85" t="str">
        <x:v>Diagnóstico e execução</x:v>
      </x:c>
    </x:row>
    <x:row r="850">
      <x:c r="A850" s="83" t="n">
        <x:v>849</x:v>
      </x:c>
      <x:c r="B850" s="84" t="n">
        <x:v>500</x:v>
      </x:c>
      <x:c r="C850" s="84" t="n">
        <x:v>10</x:v>
      </x:c>
      <x:c r="D850" s="89" t="n">
        <x:v>45037</x:v>
      </x:c>
      <x:c r="E850" s="84" t="n">
        <x:v>1.4</x:v>
      </x:c>
      <x:c r="F850" s="84" t="str">
        <x:v>Normal</x:v>
      </x:c>
      <x:c r="G850" s="93" t="n">
        <x:v>41.57</x:v>
      </x:c>
      <x:c r="H850" s="85" t="str">
        <x:v>Diagnóstico e execução</x:v>
      </x:c>
    </x:row>
    <x:row r="851">
      <x:c r="A851" s="83" t="n">
        <x:v>850</x:v>
      </x:c>
      <x:c r="B851" s="84" t="n">
        <x:v>500</x:v>
      </x:c>
      <x:c r="C851" s="84" t="n">
        <x:v>31</x:v>
      </x:c>
      <x:c r="D851" s="89" t="n">
        <x:v>45037</x:v>
      </x:c>
      <x:c r="E851" s="84" t="n">
        <x:v>1.1</x:v>
      </x:c>
      <x:c r="F851" s="84" t="str">
        <x:v>Normal</x:v>
      </x:c>
      <x:c r="G851" s="93" t="n">
        <x:v>53.79</x:v>
      </x:c>
      <x:c r="H851" s="85" t="str">
        <x:v>Diagnóstico e execução</x:v>
      </x:c>
    </x:row>
    <x:row r="852">
      <x:c r="A852" s="83" t="n">
        <x:v>851</x:v>
      </x:c>
      <x:c r="B852" s="84" t="n">
        <x:v>500</x:v>
      </x:c>
      <x:c r="C852" s="84" t="n">
        <x:v>18</x:v>
      </x:c>
      <x:c r="D852" s="89" t="n">
        <x:v>45037</x:v>
      </x:c>
      <x:c r="E852" s="84" t="n">
        <x:v>5.1</x:v>
      </x:c>
      <x:c r="F852" s="84" t="str">
        <x:v>Normal</x:v>
      </x:c>
      <x:c r="G852" s="93" t="n">
        <x:v>321.76</x:v>
      </x:c>
      <x:c r="H852" s="85" t="str">
        <x:v>Diagnóstico e execução</x:v>
      </x:c>
    </x:row>
    <x:row r="853">
      <x:c r="A853" s="83" t="n">
        <x:v>852</x:v>
      </x:c>
      <x:c r="B853" s="84" t="n">
        <x:v>501</x:v>
      </x:c>
      <x:c r="C853" s="84" t="n">
        <x:v>36</x:v>
      </x:c>
      <x:c r="D853" s="89" t="n">
        <x:v>45141</x:v>
      </x:c>
      <x:c r="E853" s="84" t="n">
        <x:v>6.2</x:v>
      </x:c>
      <x:c r="F853" s="84" t="str">
        <x:v>Normal</x:v>
      </x:c>
      <x:c r="G853" s="93" t="n">
        <x:v>183.89</x:v>
      </x:c>
      <x:c r="H853" s="85" t="str">
        <x:v>Diagnóstico e execução</x:v>
      </x:c>
    </x:row>
    <x:row r="854">
      <x:c r="A854" s="83" t="n">
        <x:v>853</x:v>
      </x:c>
      <x:c r="B854" s="84" t="n">
        <x:v>501</x:v>
      </x:c>
      <x:c r="C854" s="84" t="n">
        <x:v>19</x:v>
      </x:c>
      <x:c r="D854" s="89" t="n">
        <x:v>45141</x:v>
      </x:c>
      <x:c r="E854" s="84" t="n">
        <x:v>2.6</x:v>
      </x:c>
      <x:c r="F854" s="84" t="str">
        <x:v>Normal</x:v>
      </x:c>
      <x:c r="G854" s="93" t="n">
        <x:v>120.85</x:v>
      </x:c>
      <x:c r="H854" s="85" t="str">
        <x:v>Diagnóstico e execução</x:v>
      </x:c>
    </x:row>
    <x:row r="855">
      <x:c r="A855" s="83" t="n">
        <x:v>854</x:v>
      </x:c>
      <x:c r="B855" s="84" t="n">
        <x:v>502</x:v>
      </x:c>
      <x:c r="C855" s="84" t="n">
        <x:v>27</x:v>
      </x:c>
      <x:c r="D855" s="89" t="n">
        <x:v>45890</x:v>
      </x:c>
      <x:c r="E855" s="84" t="n">
        <x:v>2</x:v>
      </x:c>
      <x:c r="F855" s="84" t="str">
        <x:v>Normal</x:v>
      </x:c>
      <x:c r="G855" s="93" t="n">
        <x:v>121.98</x:v>
      </x:c>
      <x:c r="H855" s="85" t="str">
        <x:v>Diagnóstico e execução</x:v>
      </x:c>
    </x:row>
    <x:row r="856">
      <x:c r="A856" s="83" t="n">
        <x:v>855</x:v>
      </x:c>
      <x:c r="B856" s="84" t="n">
        <x:v>502</x:v>
      </x:c>
      <x:c r="C856" s="84" t="n">
        <x:v>27</x:v>
      </x:c>
      <x:c r="D856" s="89" t="n">
        <x:v>45890</x:v>
      </x:c>
      <x:c r="E856" s="84" t="n">
        <x:v>4.6</x:v>
      </x:c>
      <x:c r="F856" s="84" t="str">
        <x:v>Normal</x:v>
      </x:c>
      <x:c r="G856" s="93" t="n">
        <x:v>280.55</x:v>
      </x:c>
      <x:c r="H856" s="85" t="str">
        <x:v>Diagnóstico e execução</x:v>
      </x:c>
    </x:row>
    <x:row r="857">
      <x:c r="A857" s="83" t="n">
        <x:v>856</x:v>
      </x:c>
      <x:c r="B857" s="84" t="n">
        <x:v>503</x:v>
      </x:c>
      <x:c r="C857" s="84" t="n">
        <x:v>21</x:v>
      </x:c>
      <x:c r="D857" s="89" t="n">
        <x:v>44929</x:v>
      </x:c>
      <x:c r="E857" s="84" t="n">
        <x:v>6.7</x:v>
      </x:c>
      <x:c r="F857" s="84" t="str">
        <x:v>Normal</x:v>
      </x:c>
      <x:c r="G857" s="93" t="n">
        <x:v>411.58</x:v>
      </x:c>
      <x:c r="H857" s="85" t="str">
        <x:v>Diagnóstico e execução</x:v>
      </x:c>
    </x:row>
    <x:row r="858">
      <x:c r="A858" s="83" t="n">
        <x:v>857</x:v>
      </x:c>
      <x:c r="B858" s="84" t="n">
        <x:v>503</x:v>
      </x:c>
      <x:c r="C858" s="84" t="n">
        <x:v>25</x:v>
      </x:c>
      <x:c r="D858" s="89" t="n">
        <x:v>44929</x:v>
      </x:c>
      <x:c r="E858" s="84" t="n">
        <x:v>3.3</x:v>
      </x:c>
      <x:c r="F858" s="84" t="str">
        <x:v>Normal</x:v>
      </x:c>
      <x:c r="G858" s="93" t="n">
        <x:v>176.85</x:v>
      </x:c>
      <x:c r="H858" s="85" t="str">
        <x:v>Diagnóstico e execução</x:v>
      </x:c>
    </x:row>
    <x:row r="859">
      <x:c r="A859" s="83" t="n">
        <x:v>858</x:v>
      </x:c>
      <x:c r="B859" s="84" t="n">
        <x:v>504</x:v>
      </x:c>
      <x:c r="C859" s="84" t="n">
        <x:v>13</x:v>
      </x:c>
      <x:c r="D859" s="89" t="n">
        <x:v>45647</x:v>
      </x:c>
      <x:c r="E859" s="84" t="n">
        <x:v>3</x:v>
      </x:c>
      <x:c r="F859" s="84" t="str">
        <x:v>Normal</x:v>
      </x:c>
      <x:c r="G859" s="93" t="n">
        <x:v>101.64</x:v>
      </x:c>
      <x:c r="H859" s="85" t="str">
        <x:v>Diagnóstico e execução</x:v>
      </x:c>
    </x:row>
    <x:row r="860">
      <x:c r="A860" s="83" t="n">
        <x:v>859</x:v>
      </x:c>
      <x:c r="B860" s="84" t="n">
        <x:v>504</x:v>
      </x:c>
      <x:c r="C860" s="84" t="n">
        <x:v>27</x:v>
      </x:c>
      <x:c r="D860" s="89" t="n">
        <x:v>45647</x:v>
      </x:c>
      <x:c r="E860" s="84" t="n">
        <x:v>3.5</x:v>
      </x:c>
      <x:c r="F860" s="84" t="str">
        <x:v>Normal</x:v>
      </x:c>
      <x:c r="G860" s="93" t="n">
        <x:v>213.47</x:v>
      </x:c>
      <x:c r="H860" s="85" t="str">
        <x:v>Diagnóstico e execução</x:v>
      </x:c>
    </x:row>
    <x:row r="861">
      <x:c r="A861" s="83" t="n">
        <x:v>860</x:v>
      </x:c>
      <x:c r="B861" s="84" t="n">
        <x:v>505</x:v>
      </x:c>
      <x:c r="C861" s="84" t="n">
        <x:v>44</x:v>
      </x:c>
      <x:c r="D861" s="89" t="n">
        <x:v>45566</x:v>
      </x:c>
      <x:c r="E861" s="84" t="n">
        <x:v>0.7</x:v>
      </x:c>
      <x:c r="F861" s="84" t="str">
        <x:v>Normal</x:v>
      </x:c>
      <x:c r="G861" s="93" t="n">
        <x:v>19.63</x:v>
      </x:c>
      <x:c r="H861" s="85" t="str">
        <x:v>Diagnóstico e execução</x:v>
      </x:c>
    </x:row>
    <x:row r="862">
      <x:c r="A862" s="83" t="n">
        <x:v>861</x:v>
      </x:c>
      <x:c r="B862" s="84" t="n">
        <x:v>505</x:v>
      </x:c>
      <x:c r="C862" s="84" t="n">
        <x:v>35</x:v>
      </x:c>
      <x:c r="D862" s="89" t="n">
        <x:v>45566</x:v>
      </x:c>
      <x:c r="E862" s="84" t="n">
        <x:v>2.9</x:v>
      </x:c>
      <x:c r="F862" s="84" t="str">
        <x:v>Normal</x:v>
      </x:c>
      <x:c r="G862" s="93" t="n">
        <x:v>142.65</x:v>
      </x:c>
      <x:c r="H862" s="85" t="str">
        <x:v>Diagnóstico e execução</x:v>
      </x:c>
    </x:row>
    <x:row r="863">
      <x:c r="A863" s="83" t="n">
        <x:v>862</x:v>
      </x:c>
      <x:c r="B863" s="84" t="n">
        <x:v>505</x:v>
      </x:c>
      <x:c r="C863" s="84" t="n">
        <x:v>36</x:v>
      </x:c>
      <x:c r="D863" s="89" t="n">
        <x:v>45566</x:v>
      </x:c>
      <x:c r="E863" s="84" t="n">
        <x:v>1</x:v>
      </x:c>
      <x:c r="F863" s="84" t="str">
        <x:v>Normal</x:v>
      </x:c>
      <x:c r="G863" s="93" t="n">
        <x:v>29.66</x:v>
      </x:c>
      <x:c r="H863" s="85" t="str">
        <x:v>Diagnóstico e execução</x:v>
      </x:c>
    </x:row>
    <x:row r="864">
      <x:c r="A864" s="83" t="n">
        <x:v>863</x:v>
      </x:c>
      <x:c r="B864" s="84" t="n">
        <x:v>506</x:v>
      </x:c>
      <x:c r="C864" s="84" t="n">
        <x:v>43</x:v>
      </x:c>
      <x:c r="D864" s="89" t="n">
        <x:v>45332</x:v>
      </x:c>
      <x:c r="E864" s="84" t="n">
        <x:v>5.3</x:v>
      </x:c>
      <x:c r="F864" s="84" t="str">
        <x:v>Normal</x:v>
      </x:c>
      <x:c r="G864" s="93" t="n">
        <x:v>289.7</x:v>
      </x:c>
      <x:c r="H864" s="85" t="str">
        <x:v>Diagnóstico e execução</x:v>
      </x:c>
    </x:row>
    <x:row r="865">
      <x:c r="A865" s="83" t="n">
        <x:v>864</x:v>
      </x:c>
      <x:c r="B865" s="84" t="n">
        <x:v>509</x:v>
      </x:c>
      <x:c r="C865" s="84" t="n">
        <x:v>26</x:v>
      </x:c>
      <x:c r="D865" s="89" t="n">
        <x:v>45976</x:v>
      </x:c>
      <x:c r="E865" s="84" t="n">
        <x:v>0.5</x:v>
      </x:c>
      <x:c r="F865" s="84" t="str">
        <x:v>Normal</x:v>
      </x:c>
      <x:c r="G865" s="93" t="n">
        <x:v>19.56</x:v>
      </x:c>
      <x:c r="H865" s="85" t="str">
        <x:v>Diagnóstico e execução</x:v>
      </x:c>
    </x:row>
    <x:row r="866">
      <x:c r="A866" s="83" t="n">
        <x:v>865</x:v>
      </x:c>
      <x:c r="B866" s="84" t="n">
        <x:v>509</x:v>
      </x:c>
      <x:c r="C866" s="84" t="n">
        <x:v>35</x:v>
      </x:c>
      <x:c r="D866" s="89" t="n">
        <x:v>45976</x:v>
      </x:c>
      <x:c r="E866" s="84" t="n">
        <x:v>3</x:v>
      </x:c>
      <x:c r="F866" s="84" t="str">
        <x:v>Normal</x:v>
      </x:c>
      <x:c r="G866" s="93" t="n">
        <x:v>147.57</x:v>
      </x:c>
      <x:c r="H866" s="85" t="str">
        <x:v>Diagnóstico e execução</x:v>
      </x:c>
    </x:row>
    <x:row r="867">
      <x:c r="A867" s="83" t="n">
        <x:v>866</x:v>
      </x:c>
      <x:c r="B867" s="84" t="n">
        <x:v>509</x:v>
      </x:c>
      <x:c r="C867" s="84" t="n">
        <x:v>2</x:v>
      </x:c>
      <x:c r="D867" s="89" t="n">
        <x:v>45976</x:v>
      </x:c>
      <x:c r="E867" s="84" t="n">
        <x:v>1.4</x:v>
      </x:c>
      <x:c r="F867" s="84" t="str">
        <x:v>Normal</x:v>
      </x:c>
      <x:c r="G867" s="93" t="n">
        <x:v>52.16</x:v>
      </x:c>
      <x:c r="H867" s="85" t="str">
        <x:v>Diagnóstico e execução</x:v>
      </x:c>
    </x:row>
    <x:row r="868">
      <x:c r="A868" s="83" t="n">
        <x:v>867</x:v>
      </x:c>
      <x:c r="B868" s="84" t="n">
        <x:v>510</x:v>
      </x:c>
      <x:c r="C868" s="84" t="n">
        <x:v>33</x:v>
      </x:c>
      <x:c r="D868" s="89" t="n">
        <x:v>45822</x:v>
      </x:c>
      <x:c r="E868" s="84" t="n">
        <x:v>6.7</x:v>
      </x:c>
      <x:c r="F868" s="84" t="str">
        <x:v>Normal</x:v>
      </x:c>
      <x:c r="G868" s="93" t="n">
        <x:v>231.08</x:v>
      </x:c>
      <x:c r="H868" s="85" t="str">
        <x:v>Diagnóstico e execução</x:v>
      </x:c>
    </x:row>
    <x:row r="869">
      <x:c r="A869" s="83" t="n">
        <x:v>868</x:v>
      </x:c>
      <x:c r="B869" s="84" t="n">
        <x:v>511</x:v>
      </x:c>
      <x:c r="C869" s="84" t="n">
        <x:v>39</x:v>
      </x:c>
      <x:c r="D869" s="89" t="n">
        <x:v>45261</x:v>
      </x:c>
      <x:c r="E869" s="84" t="n">
        <x:v>7.3</x:v>
      </x:c>
      <x:c r="F869" s="84" t="str">
        <x:v>Normal</x:v>
      </x:c>
      <x:c r="G869" s="93" t="n">
        <x:v>422.67</x:v>
      </x:c>
      <x:c r="H869" s="85" t="str">
        <x:v>Diagnóstico e execução</x:v>
      </x:c>
    </x:row>
    <x:row r="870">
      <x:c r="A870" s="83" t="n">
        <x:v>869</x:v>
      </x:c>
      <x:c r="B870" s="84" t="n">
        <x:v>511</x:v>
      </x:c>
      <x:c r="C870" s="84" t="n">
        <x:v>12</x:v>
      </x:c>
      <x:c r="D870" s="89" t="n">
        <x:v>45261</x:v>
      </x:c>
      <x:c r="E870" s="84" t="n">
        <x:v>1.2</x:v>
      </x:c>
      <x:c r="F870" s="84" t="str">
        <x:v>Normal</x:v>
      </x:c>
      <x:c r="G870" s="93" t="n">
        <x:v>41.4</x:v>
      </x:c>
      <x:c r="H870" s="85" t="str">
        <x:v>Diagnóstico e execução</x:v>
      </x:c>
    </x:row>
    <x:row r="871">
      <x:c r="A871" s="83" t="n">
        <x:v>870</x:v>
      </x:c>
      <x:c r="B871" s="84" t="n">
        <x:v>511</x:v>
      </x:c>
      <x:c r="C871" s="84" t="n">
        <x:v>13</x:v>
      </x:c>
      <x:c r="D871" s="89" t="n">
        <x:v>45261</x:v>
      </x:c>
      <x:c r="E871" s="84" t="n">
        <x:v>1.1</x:v>
      </x:c>
      <x:c r="F871" s="84" t="str">
        <x:v>Normal</x:v>
      </x:c>
      <x:c r="G871" s="93" t="n">
        <x:v>37.27</x:v>
      </x:c>
      <x:c r="H871" s="85" t="str">
        <x:v>Diagnóstico e execução</x:v>
      </x:c>
    </x:row>
    <x:row r="872">
      <x:c r="A872" s="83" t="n">
        <x:v>871</x:v>
      </x:c>
      <x:c r="B872" s="84" t="n">
        <x:v>512</x:v>
      </x:c>
      <x:c r="C872" s="84" t="n">
        <x:v>26</x:v>
      </x:c>
      <x:c r="D872" s="89" t="n">
        <x:v>44960</x:v>
      </x:c>
      <x:c r="E872" s="84" t="n">
        <x:v>1.1</x:v>
      </x:c>
      <x:c r="F872" s="84" t="str">
        <x:v>Normal</x:v>
      </x:c>
      <x:c r="G872" s="93" t="n">
        <x:v>43.03</x:v>
      </x:c>
      <x:c r="H872" s="85" t="str">
        <x:v>Diagnóstico e execução</x:v>
      </x:c>
    </x:row>
    <x:row r="873">
      <x:c r="A873" s="83" t="n">
        <x:v>872</x:v>
      </x:c>
      <x:c r="B873" s="84" t="n">
        <x:v>512</x:v>
      </x:c>
      <x:c r="C873" s="84" t="n">
        <x:v>8</x:v>
      </x:c>
      <x:c r="D873" s="89" t="n">
        <x:v>44960</x:v>
      </x:c>
      <x:c r="E873" s="84" t="n">
        <x:v>2.8</x:v>
      </x:c>
      <x:c r="F873" s="84" t="str">
        <x:v>Normal</x:v>
      </x:c>
      <x:c r="G873" s="93" t="n">
        <x:v>130.2</x:v>
      </x:c>
      <x:c r="H873" s="85" t="str">
        <x:v>Diagnóstico e execução</x:v>
      </x:c>
    </x:row>
    <x:row r="874">
      <x:c r="A874" s="83" t="n">
        <x:v>873</x:v>
      </x:c>
      <x:c r="B874" s="84" t="n">
        <x:v>512</x:v>
      </x:c>
      <x:c r="C874" s="84" t="n">
        <x:v>11</x:v>
      </x:c>
      <x:c r="D874" s="89" t="n">
        <x:v>44960</x:v>
      </x:c>
      <x:c r="E874" s="84" t="n">
        <x:v>4.4</x:v>
      </x:c>
      <x:c r="F874" s="84" t="str">
        <x:v>Normal</x:v>
      </x:c>
      <x:c r="G874" s="93" t="n">
        <x:v>183.39</x:v>
      </x:c>
      <x:c r="H874" s="85" t="str">
        <x:v>Diagnóstico e execução</x:v>
      </x:c>
    </x:row>
    <x:row r="875">
      <x:c r="A875" s="83" t="n">
        <x:v>874</x:v>
      </x:c>
      <x:c r="B875" s="84" t="n">
        <x:v>513</x:v>
      </x:c>
      <x:c r="C875" s="84" t="n">
        <x:v>6</x:v>
      </x:c>
      <x:c r="D875" s="89" t="n">
        <x:v>45673</x:v>
      </x:c>
      <x:c r="E875" s="84" t="n">
        <x:v>2.9</x:v>
      </x:c>
      <x:c r="F875" s="84" t="str">
        <x:v>Normal</x:v>
      </x:c>
      <x:c r="G875" s="93" t="n">
        <x:v>151.55</x:v>
      </x:c>
      <x:c r="H875" s="85" t="str">
        <x:v>Diagnóstico e execução</x:v>
      </x:c>
    </x:row>
    <x:row r="876">
      <x:c r="A876" s="83" t="n">
        <x:v>875</x:v>
      </x:c>
      <x:c r="B876" s="84" t="n">
        <x:v>513</x:v>
      </x:c>
      <x:c r="C876" s="84" t="n">
        <x:v>6</x:v>
      </x:c>
      <x:c r="D876" s="89" t="n">
        <x:v>45673</x:v>
      </x:c>
      <x:c r="E876" s="84" t="n">
        <x:v>5.7</x:v>
      </x:c>
      <x:c r="F876" s="84" t="str">
        <x:v>Normal</x:v>
      </x:c>
      <x:c r="G876" s="93" t="n">
        <x:v>297.88</x:v>
      </x:c>
      <x:c r="H876" s="85" t="str">
        <x:v>Diagnóstico e execução</x:v>
      </x:c>
    </x:row>
    <x:row r="877">
      <x:c r="A877" s="83" t="n">
        <x:v>876</x:v>
      </x:c>
      <x:c r="B877" s="84" t="n">
        <x:v>513</x:v>
      </x:c>
      <x:c r="C877" s="84" t="n">
        <x:v>27</x:v>
      </x:c>
      <x:c r="D877" s="89" t="n">
        <x:v>45673</x:v>
      </x:c>
      <x:c r="E877" s="84" t="n">
        <x:v>7.7</x:v>
      </x:c>
      <x:c r="F877" s="84" t="str">
        <x:v>Normal</x:v>
      </x:c>
      <x:c r="G877" s="93" t="n">
        <x:v>469.62</x:v>
      </x:c>
      <x:c r="H877" s="85" t="str">
        <x:v>Diagnóstico e execução</x:v>
      </x:c>
    </x:row>
    <x:row r="878">
      <x:c r="A878" s="83" t="n">
        <x:v>877</x:v>
      </x:c>
      <x:c r="B878" s="84" t="n">
        <x:v>514</x:v>
      </x:c>
      <x:c r="C878" s="84" t="n">
        <x:v>16</x:v>
      </x:c>
      <x:c r="D878" s="89" t="n">
        <x:v>45158</x:v>
      </x:c>
      <x:c r="E878" s="84" t="n">
        <x:v>2.5</x:v>
      </x:c>
      <x:c r="F878" s="84" t="str">
        <x:v>Normal</x:v>
      </x:c>
      <x:c r="G878" s="93" t="n">
        <x:v>101.3</x:v>
      </x:c>
      <x:c r="H878" s="85" t="str">
        <x:v>Diagnóstico e execução</x:v>
      </x:c>
    </x:row>
    <x:row r="879">
      <x:c r="A879" s="83" t="n">
        <x:v>878</x:v>
      </x:c>
      <x:c r="B879" s="84" t="n">
        <x:v>514</x:v>
      </x:c>
      <x:c r="C879" s="84" t="n">
        <x:v>15</x:v>
      </x:c>
      <x:c r="D879" s="89" t="n">
        <x:v>45158</x:v>
      </x:c>
      <x:c r="E879" s="84" t="n">
        <x:v>1.3</x:v>
      </x:c>
      <x:c r="F879" s="84" t="str">
        <x:v>Normal</x:v>
      </x:c>
      <x:c r="G879" s="93" t="n">
        <x:v>39.31</x:v>
      </x:c>
      <x:c r="H879" s="85" t="str">
        <x:v>Diagnóstico e execução</x:v>
      </x:c>
    </x:row>
    <x:row r="880">
      <x:c r="A880" s="83" t="n">
        <x:v>879</x:v>
      </x:c>
      <x:c r="B880" s="84" t="n">
        <x:v>514</x:v>
      </x:c>
      <x:c r="C880" s="84" t="n">
        <x:v>10</x:v>
      </x:c>
      <x:c r="D880" s="89" t="n">
        <x:v>45158</x:v>
      </x:c>
      <x:c r="E880" s="84" t="n">
        <x:v>2.5</x:v>
      </x:c>
      <x:c r="F880" s="84" t="str">
        <x:v>Normal</x:v>
      </x:c>
      <x:c r="G880" s="93" t="n">
        <x:v>74.23</x:v>
      </x:c>
      <x:c r="H880" s="85" t="str">
        <x:v>Diagnóstico e execução</x:v>
      </x:c>
    </x:row>
    <x:row r="881">
      <x:c r="A881" s="83" t="n">
        <x:v>880</x:v>
      </x:c>
      <x:c r="B881" s="84" t="n">
        <x:v>516</x:v>
      </x:c>
      <x:c r="C881" s="84" t="n">
        <x:v>43</x:v>
      </x:c>
      <x:c r="D881" s="89" t="n">
        <x:v>45752</x:v>
      </x:c>
      <x:c r="E881" s="84" t="n">
        <x:v>3.3</x:v>
      </x:c>
      <x:c r="F881" s="84" t="str">
        <x:v>Normal</x:v>
      </x:c>
      <x:c r="G881" s="93" t="n">
        <x:v>180.38</x:v>
      </x:c>
      <x:c r="H881" s="85" t="str">
        <x:v>Diagnóstico e execução</x:v>
      </x:c>
    </x:row>
    <x:row r="882">
      <x:c r="A882" s="83" t="n">
        <x:v>881</x:v>
      </x:c>
      <x:c r="B882" s="84" t="n">
        <x:v>516</x:v>
      </x:c>
      <x:c r="C882" s="84" t="n">
        <x:v>4</x:v>
      </x:c>
      <x:c r="D882" s="89" t="n">
        <x:v>45752</x:v>
      </x:c>
      <x:c r="E882" s="84" t="n">
        <x:v>3.5</x:v>
      </x:c>
      <x:c r="F882" s="84" t="str">
        <x:v>Normal</x:v>
      </x:c>
      <x:c r="G882" s="93" t="n">
        <x:v>172.16</x:v>
      </x:c>
      <x:c r="H882" s="85" t="str">
        <x:v>Diagnóstico e execução</x:v>
      </x:c>
    </x:row>
    <x:row r="883">
      <x:c r="A883" s="83" t="n">
        <x:v>882</x:v>
      </x:c>
      <x:c r="B883" s="84" t="n">
        <x:v>516</x:v>
      </x:c>
      <x:c r="C883" s="84" t="n">
        <x:v>27</x:v>
      </x:c>
      <x:c r="D883" s="89" t="n">
        <x:v>45752</x:v>
      </x:c>
      <x:c r="E883" s="84" t="n">
        <x:v>0.5</x:v>
      </x:c>
      <x:c r="F883" s="84" t="str">
        <x:v>Normal</x:v>
      </x:c>
      <x:c r="G883" s="93" t="n">
        <x:v>30.5</x:v>
      </x:c>
      <x:c r="H883" s="85" t="str">
        <x:v>Diagnóstico e execução</x:v>
      </x:c>
    </x:row>
    <x:row r="884">
      <x:c r="A884" s="83" t="n">
        <x:v>883</x:v>
      </x:c>
      <x:c r="B884" s="84" t="n">
        <x:v>518</x:v>
      </x:c>
      <x:c r="C884" s="84" t="n">
        <x:v>12</x:v>
      </x:c>
      <x:c r="D884" s="89" t="n">
        <x:v>45524</x:v>
      </x:c>
      <x:c r="E884" s="84" t="n">
        <x:v>5.9</x:v>
      </x:c>
      <x:c r="F884" s="84" t="str">
        <x:v>Normal</x:v>
      </x:c>
      <x:c r="G884" s="93" t="n">
        <x:v>203.55</x:v>
      </x:c>
      <x:c r="H884" s="85" t="str">
        <x:v>Diagnóstico e execução</x:v>
      </x:c>
    </x:row>
    <x:row r="885">
      <x:c r="A885" s="83" t="n">
        <x:v>884</x:v>
      </x:c>
      <x:c r="B885" s="84" t="n">
        <x:v>518</x:v>
      </x:c>
      <x:c r="C885" s="84" t="n">
        <x:v>34</x:v>
      </x:c>
      <x:c r="D885" s="89" t="n">
        <x:v>45524</x:v>
      </x:c>
      <x:c r="E885" s="84" t="n">
        <x:v>1.8</x:v>
      </x:c>
      <x:c r="F885" s="84" t="str">
        <x:v>Normal</x:v>
      </x:c>
      <x:c r="G885" s="93" t="n">
        <x:v>77.81</x:v>
      </x:c>
      <x:c r="H885" s="85" t="str">
        <x:v>Diagnóstico e execução</x:v>
      </x:c>
    </x:row>
    <x:row r="886">
      <x:c r="A886" s="83" t="n">
        <x:v>885</x:v>
      </x:c>
      <x:c r="B886" s="84" t="n">
        <x:v>518</x:v>
      </x:c>
      <x:c r="C886" s="84" t="n">
        <x:v>34</x:v>
      </x:c>
      <x:c r="D886" s="89" t="n">
        <x:v>45524</x:v>
      </x:c>
      <x:c r="E886" s="84" t="n">
        <x:v>1.5</x:v>
      </x:c>
      <x:c r="F886" s="84" t="str">
        <x:v>Normal</x:v>
      </x:c>
      <x:c r="G886" s="93" t="n">
        <x:v>64.84</x:v>
      </x:c>
      <x:c r="H886" s="85" t="str">
        <x:v>Diagnóstico e execução</x:v>
      </x:c>
    </x:row>
    <x:row r="887">
      <x:c r="A887" s="83" t="n">
        <x:v>886</x:v>
      </x:c>
      <x:c r="B887" s="84" t="n">
        <x:v>519</x:v>
      </x:c>
      <x:c r="C887" s="84" t="n">
        <x:v>14</x:v>
      </x:c>
      <x:c r="D887" s="89" t="n">
        <x:v>45537</x:v>
      </x:c>
      <x:c r="E887" s="84" t="n">
        <x:v>7.8</x:v>
      </x:c>
      <x:c r="F887" s="84" t="str">
        <x:v>Normal</x:v>
      </x:c>
      <x:c r="G887" s="93" t="n">
        <x:v>441.95</x:v>
      </x:c>
      <x:c r="H887" s="85" t="str">
        <x:v>Diagnóstico e execução</x:v>
      </x:c>
    </x:row>
    <x:row r="888">
      <x:c r="A888" s="83" t="n">
        <x:v>887</x:v>
      </x:c>
      <x:c r="B888" s="84" t="n">
        <x:v>519</x:v>
      </x:c>
      <x:c r="C888" s="84" t="n">
        <x:v>19</x:v>
      </x:c>
      <x:c r="D888" s="89" t="n">
        <x:v>45537</x:v>
      </x:c>
      <x:c r="E888" s="84" t="n">
        <x:v>5.3</x:v>
      </x:c>
      <x:c r="F888" s="84" t="str">
        <x:v>Normal</x:v>
      </x:c>
      <x:c r="G888" s="93" t="n">
        <x:v>246.34</x:v>
      </x:c>
      <x:c r="H888" s="85" t="str">
        <x:v>Diagnóstico e execução</x:v>
      </x:c>
    </x:row>
    <x:row r="889">
      <x:c r="A889" s="83" t="n">
        <x:v>888</x:v>
      </x:c>
      <x:c r="B889" s="84" t="n">
        <x:v>519</x:v>
      </x:c>
      <x:c r="C889" s="84" t="n">
        <x:v>3</x:v>
      </x:c>
      <x:c r="D889" s="89" t="n">
        <x:v>45537</x:v>
      </x:c>
      <x:c r="E889" s="84" t="n">
        <x:v>1.9</x:v>
      </x:c>
      <x:c r="F889" s="84" t="str">
        <x:v>Normal</x:v>
      </x:c>
      <x:c r="G889" s="93" t="n">
        <x:v>93.56</x:v>
      </x:c>
      <x:c r="H889" s="85" t="str">
        <x:v>Diagnóstico e execução</x:v>
      </x:c>
    </x:row>
    <x:row r="890">
      <x:c r="A890" s="83" t="n">
        <x:v>889</x:v>
      </x:c>
      <x:c r="B890" s="84" t="n">
        <x:v>520</x:v>
      </x:c>
      <x:c r="C890" s="84" t="n">
        <x:v>24</x:v>
      </x:c>
      <x:c r="D890" s="89" t="n">
        <x:v>45858</x:v>
      </x:c>
      <x:c r="E890" s="84" t="n">
        <x:v>0.5</x:v>
      </x:c>
      <x:c r="F890" s="84" t="str">
        <x:v>Normal</x:v>
      </x:c>
      <x:c r="G890" s="93" t="n">
        <x:v>29.62</x:v>
      </x:c>
      <x:c r="H890" s="85" t="str">
        <x:v>Diagnóstico e execução</x:v>
      </x:c>
    </x:row>
    <x:row r="891">
      <x:c r="A891" s="83" t="n">
        <x:v>890</x:v>
      </x:c>
      <x:c r="B891" s="84" t="n">
        <x:v>521</x:v>
      </x:c>
      <x:c r="C891" s="84" t="n">
        <x:v>6</x:v>
      </x:c>
      <x:c r="D891" s="89" t="n">
        <x:v>45056</x:v>
      </x:c>
      <x:c r="E891" s="84" t="n">
        <x:v>5.2</x:v>
      </x:c>
      <x:c r="F891" s="84" t="str">
        <x:v>Normal</x:v>
      </x:c>
      <x:c r="G891" s="93" t="n">
        <x:v>271.75</x:v>
      </x:c>
      <x:c r="H891" s="85" t="str">
        <x:v>Diagnóstico e execução</x:v>
      </x:c>
    </x:row>
    <x:row r="892">
      <x:c r="A892" s="83" t="n">
        <x:v>891</x:v>
      </x:c>
      <x:c r="B892" s="84" t="n">
        <x:v>522</x:v>
      </x:c>
      <x:c r="C892" s="84" t="n">
        <x:v>17</x:v>
      </x:c>
      <x:c r="D892" s="89" t="n">
        <x:v>45875</x:v>
      </x:c>
      <x:c r="E892" s="84" t="n">
        <x:v>4</x:v>
      </x:c>
      <x:c r="F892" s="84" t="str">
        <x:v>Normal</x:v>
      </x:c>
      <x:c r="G892" s="93" t="n">
        <x:v>223.12</x:v>
      </x:c>
      <x:c r="H892" s="85" t="str">
        <x:v>Diagnóstico e execução</x:v>
      </x:c>
    </x:row>
    <x:row r="893">
      <x:c r="A893" s="83" t="n">
        <x:v>892</x:v>
      </x:c>
      <x:c r="B893" s="84" t="n">
        <x:v>524</x:v>
      </x:c>
      <x:c r="C893" s="84" t="n">
        <x:v>9</x:v>
      </x:c>
      <x:c r="D893" s="89" t="n">
        <x:v>45115</x:v>
      </x:c>
      <x:c r="E893" s="84" t="n">
        <x:v>7.4</x:v>
      </x:c>
      <x:c r="F893" s="84" t="str">
        <x:v>Normal</x:v>
      </x:c>
      <x:c r="G893" s="93" t="n">
        <x:v>389.76</x:v>
      </x:c>
      <x:c r="H893" s="85" t="str">
        <x:v>Diagnóstico e execução</x:v>
      </x:c>
    </x:row>
    <x:row r="894">
      <x:c r="A894" s="83" t="n">
        <x:v>893</x:v>
      </x:c>
      <x:c r="B894" s="84" t="n">
        <x:v>525</x:v>
      </x:c>
      <x:c r="C894" s="84" t="n">
        <x:v>31</x:v>
      </x:c>
      <x:c r="D894" s="89" t="n">
        <x:v>45541</x:v>
      </x:c>
      <x:c r="E894" s="84" t="n">
        <x:v>6</x:v>
      </x:c>
      <x:c r="F894" s="84" t="str">
        <x:v>Normal</x:v>
      </x:c>
      <x:c r="G894" s="93" t="n">
        <x:v>293.4</x:v>
      </x:c>
      <x:c r="H894" s="85" t="str">
        <x:v>Diagnóstico e execução</x:v>
      </x:c>
    </x:row>
    <x:row r="895">
      <x:c r="A895" s="83" t="n">
        <x:v>894</x:v>
      </x:c>
      <x:c r="B895" s="84" t="n">
        <x:v>525</x:v>
      </x:c>
      <x:c r="C895" s="84" t="n">
        <x:v>25</x:v>
      </x:c>
      <x:c r="D895" s="89" t="n">
        <x:v>45541</x:v>
      </x:c>
      <x:c r="E895" s="84" t="n">
        <x:v>4.5</x:v>
      </x:c>
      <x:c r="F895" s="84" t="str">
        <x:v>Normal</x:v>
      </x:c>
      <x:c r="G895" s="93" t="n">
        <x:v>241.16</x:v>
      </x:c>
      <x:c r="H895" s="85" t="str">
        <x:v>Diagnóstico e execução</x:v>
      </x:c>
    </x:row>
    <x:row r="896">
      <x:c r="A896" s="83" t="n">
        <x:v>895</x:v>
      </x:c>
      <x:c r="B896" s="84" t="n">
        <x:v>525</x:v>
      </x:c>
      <x:c r="C896" s="84" t="n">
        <x:v>35</x:v>
      </x:c>
      <x:c r="D896" s="89" t="n">
        <x:v>45541</x:v>
      </x:c>
      <x:c r="E896" s="84" t="n">
        <x:v>6.9</x:v>
      </x:c>
      <x:c r="F896" s="84" t="str">
        <x:v>Normal</x:v>
      </x:c>
      <x:c r="G896" s="93" t="n">
        <x:v>339.41</x:v>
      </x:c>
      <x:c r="H896" s="85" t="str">
        <x:v>Diagnóstico e execução</x:v>
      </x:c>
    </x:row>
    <x:row r="897">
      <x:c r="A897" s="83" t="n">
        <x:v>896</x:v>
      </x:c>
      <x:c r="B897" s="84" t="n">
        <x:v>526</x:v>
      </x:c>
      <x:c r="C897" s="84" t="n">
        <x:v>43</x:v>
      </x:c>
      <x:c r="D897" s="89" t="n">
        <x:v>44963</x:v>
      </x:c>
      <x:c r="E897" s="84" t="n">
        <x:v>7.4</x:v>
      </x:c>
      <x:c r="F897" s="84" t="str">
        <x:v>Normal</x:v>
      </x:c>
      <x:c r="G897" s="93" t="n">
        <x:v>404.48</x:v>
      </x:c>
      <x:c r="H897" s="85" t="str">
        <x:v>Diagnóstico e execução</x:v>
      </x:c>
    </x:row>
    <x:row r="898">
      <x:c r="A898" s="83" t="n">
        <x:v>897</x:v>
      </x:c>
      <x:c r="B898" s="84" t="n">
        <x:v>526</x:v>
      </x:c>
      <x:c r="C898" s="84" t="n">
        <x:v>38</x:v>
      </x:c>
      <x:c r="D898" s="89" t="n">
        <x:v>44963</x:v>
      </x:c>
      <x:c r="E898" s="84" t="n">
        <x:v>4.1</x:v>
      </x:c>
      <x:c r="F898" s="84" t="str">
        <x:v>Normal</x:v>
      </x:c>
      <x:c r="G898" s="93" t="n">
        <x:v>138.05</x:v>
      </x:c>
      <x:c r="H898" s="85" t="str">
        <x:v>Diagnóstico e execução</x:v>
      </x:c>
    </x:row>
    <x:row r="899">
      <x:c r="A899" s="83" t="n">
        <x:v>898</x:v>
      </x:c>
      <x:c r="B899" s="84" t="n">
        <x:v>526</x:v>
      </x:c>
      <x:c r="C899" s="84" t="n">
        <x:v>2</x:v>
      </x:c>
      <x:c r="D899" s="89" t="n">
        <x:v>44963</x:v>
      </x:c>
      <x:c r="E899" s="84" t="n">
        <x:v>1.4</x:v>
      </x:c>
      <x:c r="F899" s="84" t="str">
        <x:v>Normal</x:v>
      </x:c>
      <x:c r="G899" s="93" t="n">
        <x:v>52.16</x:v>
      </x:c>
      <x:c r="H899" s="85" t="str">
        <x:v>Diagnóstico e execução</x:v>
      </x:c>
    </x:row>
    <x:row r="900">
      <x:c r="A900" s="83" t="n">
        <x:v>899</x:v>
      </x:c>
      <x:c r="B900" s="84" t="n">
        <x:v>528</x:v>
      </x:c>
      <x:c r="C900" s="84" t="n">
        <x:v>28</x:v>
      </x:c>
      <x:c r="D900" s="89" t="n">
        <x:v>45211</x:v>
      </x:c>
      <x:c r="E900" s="84" t="n">
        <x:v>7.1</x:v>
      </x:c>
      <x:c r="F900" s="84" t="str">
        <x:v>Normal</x:v>
      </x:c>
      <x:c r="G900" s="93" t="n">
        <x:v>267.1</x:v>
      </x:c>
      <x:c r="H900" s="85" t="str">
        <x:v>Diagnóstico e execução</x:v>
      </x:c>
    </x:row>
    <x:row r="901">
      <x:c r="A901" s="83" t="n">
        <x:v>900</x:v>
      </x:c>
      <x:c r="B901" s="84" t="n">
        <x:v>528</x:v>
      </x:c>
      <x:c r="C901" s="84" t="n">
        <x:v>25</x:v>
      </x:c>
      <x:c r="D901" s="89" t="n">
        <x:v>45211</x:v>
      </x:c>
      <x:c r="E901" s="84" t="n">
        <x:v>3.3</x:v>
      </x:c>
      <x:c r="F901" s="84" t="str">
        <x:v>Normal</x:v>
      </x:c>
      <x:c r="G901" s="93" t="n">
        <x:v>176.85</x:v>
      </x:c>
      <x:c r="H901" s="85" t="str">
        <x:v>Diagnóstico e execução</x:v>
      </x:c>
    </x:row>
    <x:row r="902">
      <x:c r="A902" s="83" t="n">
        <x:v>901</x:v>
      </x:c>
      <x:c r="B902" s="84" t="n">
        <x:v>528</x:v>
      </x:c>
      <x:c r="C902" s="84" t="n">
        <x:v>23</x:v>
      </x:c>
      <x:c r="D902" s="89" t="n">
        <x:v>45211</x:v>
      </x:c>
      <x:c r="E902" s="84" t="n">
        <x:v>3.1</x:v>
      </x:c>
      <x:c r="F902" s="84" t="str">
        <x:v>Normal</x:v>
      </x:c>
      <x:c r="G902" s="93" t="n">
        <x:v>133.64</x:v>
      </x:c>
      <x:c r="H902" s="85" t="str">
        <x:v>Diagnóstico e execução</x:v>
      </x:c>
    </x:row>
    <x:row r="903">
      <x:c r="A903" s="83" t="n">
        <x:v>902</x:v>
      </x:c>
      <x:c r="B903" s="84" t="n">
        <x:v>530</x:v>
      </x:c>
      <x:c r="C903" s="84" t="n">
        <x:v>29</x:v>
      </x:c>
      <x:c r="D903" s="89" t="n">
        <x:v>45568</x:v>
      </x:c>
      <x:c r="E903" s="84" t="n">
        <x:v>5.2</x:v>
      </x:c>
      <x:c r="F903" s="84" t="str">
        <x:v>Normal</x:v>
      </x:c>
      <x:c r="G903" s="93" t="n">
        <x:v>257.5</x:v>
      </x:c>
      <x:c r="H903" s="85" t="str">
        <x:v>Diagnóstico e execução</x:v>
      </x:c>
    </x:row>
    <x:row r="904">
      <x:c r="A904" s="83" t="n">
        <x:v>903</x:v>
      </x:c>
      <x:c r="B904" s="84" t="n">
        <x:v>530</x:v>
      </x:c>
      <x:c r="C904" s="84" t="n">
        <x:v>44</x:v>
      </x:c>
      <x:c r="D904" s="89" t="n">
        <x:v>45568</x:v>
      </x:c>
      <x:c r="E904" s="84" t="n">
        <x:v>7.2</x:v>
      </x:c>
      <x:c r="F904" s="84" t="str">
        <x:v>Normal</x:v>
      </x:c>
      <x:c r="G904" s="93" t="n">
        <x:v>201.89</x:v>
      </x:c>
      <x:c r="H904" s="85" t="str">
        <x:v>Diagnóstico e execução</x:v>
      </x:c>
    </x:row>
    <x:row r="905">
      <x:c r="A905" s="83" t="n">
        <x:v>904</x:v>
      </x:c>
      <x:c r="B905" s="84" t="n">
        <x:v>531</x:v>
      </x:c>
      <x:c r="C905" s="84" t="n">
        <x:v>44</x:v>
      </x:c>
      <x:c r="D905" s="89" t="n">
        <x:v>45735</x:v>
      </x:c>
      <x:c r="E905" s="84" t="n">
        <x:v>5.8</x:v>
      </x:c>
      <x:c r="F905" s="84" t="str">
        <x:v>Normal</x:v>
      </x:c>
      <x:c r="G905" s="93" t="n">
        <x:v>162.63</x:v>
      </x:c>
      <x:c r="H905" s="85" t="str">
        <x:v>Diagnóstico e execução</x:v>
      </x:c>
    </x:row>
    <x:row r="906">
      <x:c r="A906" s="83" t="n">
        <x:v>905</x:v>
      </x:c>
      <x:c r="B906" s="84" t="n">
        <x:v>531</x:v>
      </x:c>
      <x:c r="C906" s="84" t="n">
        <x:v>29</x:v>
      </x:c>
      <x:c r="D906" s="89" t="n">
        <x:v>45735</x:v>
      </x:c>
      <x:c r="E906" s="84" t="n">
        <x:v>2.8</x:v>
      </x:c>
      <x:c r="F906" s="84" t="str">
        <x:v>Normal</x:v>
      </x:c>
      <x:c r="G906" s="93" t="n">
        <x:v>138.66</x:v>
      </x:c>
      <x:c r="H906" s="85" t="str">
        <x:v>Diagnóstico e execução</x:v>
      </x:c>
    </x:row>
    <x:row r="907">
      <x:c r="A907" s="83" t="n">
        <x:v>906</x:v>
      </x:c>
      <x:c r="B907" s="84" t="n">
        <x:v>532</x:v>
      </x:c>
      <x:c r="C907" s="84" t="n">
        <x:v>5</x:v>
      </x:c>
      <x:c r="D907" s="89" t="n">
        <x:v>45458</x:v>
      </x:c>
      <x:c r="E907" s="84" t="n">
        <x:v>1</x:v>
      </x:c>
      <x:c r="F907" s="84" t="str">
        <x:v>Normal</x:v>
      </x:c>
      <x:c r="G907" s="93" t="n">
        <x:v>28.82</x:v>
      </x:c>
      <x:c r="H907" s="85" t="str">
        <x:v>Diagnóstico e execução</x:v>
      </x:c>
    </x:row>
    <x:row r="908">
      <x:c r="A908" s="83" t="n">
        <x:v>907</x:v>
      </x:c>
      <x:c r="B908" s="84" t="n">
        <x:v>532</x:v>
      </x:c>
      <x:c r="C908" s="84" t="n">
        <x:v>40</x:v>
      </x:c>
      <x:c r="D908" s="89" t="n">
        <x:v>45458</x:v>
      </x:c>
      <x:c r="E908" s="84" t="n">
        <x:v>5.6</x:v>
      </x:c>
      <x:c r="F908" s="84" t="str">
        <x:v>Normal</x:v>
      </x:c>
      <x:c r="G908" s="93" t="n">
        <x:v>276.75</x:v>
      </x:c>
      <x:c r="H908" s="85" t="str">
        <x:v>Diagnóstico e execução</x:v>
      </x:c>
    </x:row>
    <x:row r="909">
      <x:c r="A909" s="83" t="n">
        <x:v>908</x:v>
      </x:c>
      <x:c r="B909" s="84" t="n">
        <x:v>533</x:v>
      </x:c>
      <x:c r="C909" s="84" t="n">
        <x:v>43</x:v>
      </x:c>
      <x:c r="D909" s="89" t="n">
        <x:v>45305</x:v>
      </x:c>
      <x:c r="E909" s="84" t="n">
        <x:v>0.5</x:v>
      </x:c>
      <x:c r="F909" s="84" t="str">
        <x:v>Normal</x:v>
      </x:c>
      <x:c r="G909" s="93" t="n">
        <x:v>27.33</x:v>
      </x:c>
      <x:c r="H909" s="85" t="str">
        <x:v>Diagnóstico e execução</x:v>
      </x:c>
    </x:row>
    <x:row r="910">
      <x:c r="A910" s="83" t="n">
        <x:v>909</x:v>
      </x:c>
      <x:c r="B910" s="84" t="n">
        <x:v>533</x:v>
      </x:c>
      <x:c r="C910" s="84" t="n">
        <x:v>16</x:v>
      </x:c>
      <x:c r="D910" s="89" t="n">
        <x:v>45305</x:v>
      </x:c>
      <x:c r="E910" s="84" t="n">
        <x:v>1.1</x:v>
      </x:c>
      <x:c r="F910" s="84" t="str">
        <x:v>Normal</x:v>
      </x:c>
      <x:c r="G910" s="93" t="n">
        <x:v>44.57</x:v>
      </x:c>
      <x:c r="H910" s="85" t="str">
        <x:v>Diagnóstico e execução</x:v>
      </x:c>
    </x:row>
    <x:row r="911">
      <x:c r="A911" s="83" t="n">
        <x:v>910</x:v>
      </x:c>
      <x:c r="B911" s="84" t="n">
        <x:v>533</x:v>
      </x:c>
      <x:c r="C911" s="84" t="n">
        <x:v>13</x:v>
      </x:c>
      <x:c r="D911" s="89" t="n">
        <x:v>45305</x:v>
      </x:c>
      <x:c r="E911" s="84" t="n">
        <x:v>6.7</x:v>
      </x:c>
      <x:c r="F911" s="84" t="str">
        <x:v>Normal</x:v>
      </x:c>
      <x:c r="G911" s="93" t="n">
        <x:v>227</x:v>
      </x:c>
      <x:c r="H911" s="85" t="str">
        <x:v>Diagnóstico e execução</x:v>
      </x:c>
    </x:row>
    <x:row r="912">
      <x:c r="A912" s="83" t="n">
        <x:v>911</x:v>
      </x:c>
      <x:c r="B912" s="84" t="n">
        <x:v>534</x:v>
      </x:c>
      <x:c r="C912" s="84" t="n">
        <x:v>9</x:v>
      </x:c>
      <x:c r="D912" s="89" t="n">
        <x:v>45375</x:v>
      </x:c>
      <x:c r="E912" s="84" t="n">
        <x:v>1.5</x:v>
      </x:c>
      <x:c r="F912" s="84" t="str">
        <x:v>Normal</x:v>
      </x:c>
      <x:c r="G912" s="93" t="n">
        <x:v>79</x:v>
      </x:c>
      <x:c r="H912" s="85" t="str">
        <x:v>Diagnóstico e execução</x:v>
      </x:c>
    </x:row>
    <x:row r="913">
      <x:c r="A913" s="83" t="n">
        <x:v>912</x:v>
      </x:c>
      <x:c r="B913" s="84" t="n">
        <x:v>535</x:v>
      </x:c>
      <x:c r="C913" s="84" t="n">
        <x:v>1</x:v>
      </x:c>
      <x:c r="D913" s="89" t="n">
        <x:v>45635</x:v>
      </x:c>
      <x:c r="E913" s="84" t="n">
        <x:v>4.8</x:v>
      </x:c>
      <x:c r="F913" s="84" t="str">
        <x:v>Normal</x:v>
      </x:c>
      <x:c r="G913" s="93" t="n">
        <x:v>169.78</x:v>
      </x:c>
      <x:c r="H913" s="85" t="str">
        <x:v>Diagnóstico e execução</x:v>
      </x:c>
    </x:row>
    <x:row r="914">
      <x:c r="A914" s="83" t="n">
        <x:v>913</x:v>
      </x:c>
      <x:c r="B914" s="84" t="n">
        <x:v>536</x:v>
      </x:c>
      <x:c r="C914" s="84" t="n">
        <x:v>37</x:v>
      </x:c>
      <x:c r="D914" s="89" t="n">
        <x:v>45560</x:v>
      </x:c>
      <x:c r="E914" s="84" t="n">
        <x:v>2</x:v>
      </x:c>
      <x:c r="F914" s="84" t="str">
        <x:v>Normal</x:v>
      </x:c>
      <x:c r="G914" s="93" t="n">
        <x:v>117.94</x:v>
      </x:c>
      <x:c r="H914" s="85" t="str">
        <x:v>Diagnóstico e execução</x:v>
      </x:c>
    </x:row>
    <x:row r="915">
      <x:c r="A915" s="83" t="n">
        <x:v>914</x:v>
      </x:c>
      <x:c r="B915" s="84" t="n">
        <x:v>537</x:v>
      </x:c>
      <x:c r="C915" s="84" t="n">
        <x:v>23</x:v>
      </x:c>
      <x:c r="D915" s="89" t="n">
        <x:v>45582</x:v>
      </x:c>
      <x:c r="E915" s="84" t="n">
        <x:v>1.9</x:v>
      </x:c>
      <x:c r="F915" s="84" t="str">
        <x:v>Normal</x:v>
      </x:c>
      <x:c r="G915" s="93" t="n">
        <x:v>81.91</x:v>
      </x:c>
      <x:c r="H915" s="85" t="str">
        <x:v>Diagnóstico e execução</x:v>
      </x:c>
    </x:row>
    <x:row r="916">
      <x:c r="A916" s="83" t="n">
        <x:v>915</x:v>
      </x:c>
      <x:c r="B916" s="84" t="n">
        <x:v>537</x:v>
      </x:c>
      <x:c r="C916" s="84" t="n">
        <x:v>14</x:v>
      </x:c>
      <x:c r="D916" s="89" t="n">
        <x:v>45582</x:v>
      </x:c>
      <x:c r="E916" s="84" t="n">
        <x:v>3.1</x:v>
      </x:c>
      <x:c r="F916" s="84" t="str">
        <x:v>Normal</x:v>
      </x:c>
      <x:c r="G916" s="93" t="n">
        <x:v>175.65</x:v>
      </x:c>
      <x:c r="H916" s="85" t="str">
        <x:v>Diagnóstico e execução</x:v>
      </x:c>
    </x:row>
    <x:row r="917">
      <x:c r="A917" s="83" t="n">
        <x:v>916</x:v>
      </x:c>
      <x:c r="B917" s="84" t="n">
        <x:v>537</x:v>
      </x:c>
      <x:c r="C917" s="84" t="n">
        <x:v>10</x:v>
      </x:c>
      <x:c r="D917" s="89" t="n">
        <x:v>45582</x:v>
      </x:c>
      <x:c r="E917" s="84" t="n">
        <x:v>1.3</x:v>
      </x:c>
      <x:c r="F917" s="84" t="str">
        <x:v>Normal</x:v>
      </x:c>
      <x:c r="G917" s="93" t="n">
        <x:v>38.6</x:v>
      </x:c>
      <x:c r="H917" s="85" t="str">
        <x:v>Diagnóstico e execução</x:v>
      </x:c>
    </x:row>
    <x:row r="918">
      <x:c r="A918" s="83" t="n">
        <x:v>917</x:v>
      </x:c>
      <x:c r="B918" s="84" t="n">
        <x:v>538</x:v>
      </x:c>
      <x:c r="C918" s="84" t="n">
        <x:v>36</x:v>
      </x:c>
      <x:c r="D918" s="89" t="n">
        <x:v>45357</x:v>
      </x:c>
      <x:c r="E918" s="84" t="n">
        <x:v>3.3</x:v>
      </x:c>
      <x:c r="F918" s="84" t="str">
        <x:v>Normal</x:v>
      </x:c>
      <x:c r="G918" s="93" t="n">
        <x:v>97.88</x:v>
      </x:c>
      <x:c r="H918" s="85" t="str">
        <x:v>Diagnóstico e execução</x:v>
      </x:c>
    </x:row>
    <x:row r="919">
      <x:c r="A919" s="83" t="n">
        <x:v>918</x:v>
      </x:c>
      <x:c r="B919" s="84" t="n">
        <x:v>538</x:v>
      </x:c>
      <x:c r="C919" s="84" t="n">
        <x:v>4</x:v>
      </x:c>
      <x:c r="D919" s="89" t="n">
        <x:v>45357</x:v>
      </x:c>
      <x:c r="E919" s="84" t="n">
        <x:v>4.5</x:v>
      </x:c>
      <x:c r="F919" s="84" t="str">
        <x:v>Normal</x:v>
      </x:c>
      <x:c r="G919" s="93" t="n">
        <x:v>221.35</x:v>
      </x:c>
      <x:c r="H919" s="85" t="str">
        <x:v>Diagnóstico e execução</x:v>
      </x:c>
    </x:row>
    <x:row r="920">
      <x:c r="A920" s="83" t="n">
        <x:v>919</x:v>
      </x:c>
      <x:c r="B920" s="84" t="n">
        <x:v>539</x:v>
      </x:c>
      <x:c r="C920" s="84" t="n">
        <x:v>12</x:v>
      </x:c>
      <x:c r="D920" s="89" t="n">
        <x:v>45281</x:v>
      </x:c>
      <x:c r="E920" s="84" t="n">
        <x:v>7.3</x:v>
      </x:c>
      <x:c r="F920" s="84" t="str">
        <x:v>Normal</x:v>
      </x:c>
      <x:c r="G920" s="93" t="n">
        <x:v>251.85</x:v>
      </x:c>
      <x:c r="H920" s="85" t="str">
        <x:v>Diagnóstico e execução</x:v>
      </x:c>
    </x:row>
    <x:row r="921">
      <x:c r="A921" s="83" t="n">
        <x:v>920</x:v>
      </x:c>
      <x:c r="B921" s="84" t="n">
        <x:v>539</x:v>
      </x:c>
      <x:c r="C921" s="84" t="n">
        <x:v>26</x:v>
      </x:c>
      <x:c r="D921" s="89" t="n">
        <x:v>45281</x:v>
      </x:c>
      <x:c r="E921" s="84" t="n">
        <x:v>3.1</x:v>
      </x:c>
      <x:c r="F921" s="84" t="str">
        <x:v>Normal</x:v>
      </x:c>
      <x:c r="G921" s="93" t="n">
        <x:v>121.27</x:v>
      </x:c>
      <x:c r="H921" s="85" t="str">
        <x:v>Diagnóstico e execução</x:v>
      </x:c>
    </x:row>
    <x:row r="922">
      <x:c r="A922" s="83" t="n">
        <x:v>921</x:v>
      </x:c>
      <x:c r="B922" s="84" t="n">
        <x:v>540</x:v>
      </x:c>
      <x:c r="C922" s="84" t="n">
        <x:v>17</x:v>
      </x:c>
      <x:c r="D922" s="89" t="n">
        <x:v>45262</x:v>
      </x:c>
      <x:c r="E922" s="84" t="n">
        <x:v>6.9</x:v>
      </x:c>
      <x:c r="F922" s="84" t="str">
        <x:v>Normal</x:v>
      </x:c>
      <x:c r="G922" s="93" t="n">
        <x:v>384.88</x:v>
      </x:c>
      <x:c r="H922" s="85" t="str">
        <x:v>Diagnóstico e execução</x:v>
      </x:c>
    </x:row>
    <x:row r="923">
      <x:c r="A923" s="83" t="n">
        <x:v>922</x:v>
      </x:c>
      <x:c r="B923" s="84" t="n">
        <x:v>540</x:v>
      </x:c>
      <x:c r="C923" s="84" t="n">
        <x:v>8</x:v>
      </x:c>
      <x:c r="D923" s="89" t="n">
        <x:v>45262</x:v>
      </x:c>
      <x:c r="E923" s="84" t="n">
        <x:v>4.4</x:v>
      </x:c>
      <x:c r="F923" s="84" t="str">
        <x:v>Normal</x:v>
      </x:c>
      <x:c r="G923" s="93" t="n">
        <x:v>204.6</x:v>
      </x:c>
      <x:c r="H923" s="85" t="str">
        <x:v>Diagnóstico e execução</x:v>
      </x:c>
    </x:row>
    <x:row r="924">
      <x:c r="A924" s="83" t="n">
        <x:v>923</x:v>
      </x:c>
      <x:c r="B924" s="84" t="n">
        <x:v>541</x:v>
      </x:c>
      <x:c r="C924" s="84" t="n">
        <x:v>45</x:v>
      </x:c>
      <x:c r="D924" s="89" t="n">
        <x:v>45324</x:v>
      </x:c>
      <x:c r="E924" s="84" t="n">
        <x:v>3.3</x:v>
      </x:c>
      <x:c r="F924" s="84" t="str">
        <x:v>Normal</x:v>
      </x:c>
      <x:c r="G924" s="93" t="n">
        <x:v>176.78</x:v>
      </x:c>
      <x:c r="H924" s="85" t="str">
        <x:v>Diagnóstico e execução</x:v>
      </x:c>
    </x:row>
    <x:row r="925">
      <x:c r="A925" s="83" t="n">
        <x:v>924</x:v>
      </x:c>
      <x:c r="B925" s="84" t="n">
        <x:v>542</x:v>
      </x:c>
      <x:c r="C925" s="84" t="n">
        <x:v>17</x:v>
      </x:c>
      <x:c r="D925" s="89" t="n">
        <x:v>45916</x:v>
      </x:c>
      <x:c r="E925" s="84" t="n">
        <x:v>2.5</x:v>
      </x:c>
      <x:c r="F925" s="84" t="str">
        <x:v>Normal</x:v>
      </x:c>
      <x:c r="G925" s="93" t="n">
        <x:v>139.45</x:v>
      </x:c>
      <x:c r="H925" s="85" t="str">
        <x:v>Diagnóstico e execução</x:v>
      </x:c>
    </x:row>
    <x:row r="926">
      <x:c r="A926" s="83" t="n">
        <x:v>925</x:v>
      </x:c>
      <x:c r="B926" s="84" t="n">
        <x:v>542</x:v>
      </x:c>
      <x:c r="C926" s="84" t="n">
        <x:v>39</x:v>
      </x:c>
      <x:c r="D926" s="89" t="n">
        <x:v>45916</x:v>
      </x:c>
      <x:c r="E926" s="84" t="n">
        <x:v>5.5</x:v>
      </x:c>
      <x:c r="F926" s="84" t="str">
        <x:v>Normal</x:v>
      </x:c>
      <x:c r="G926" s="93" t="n">
        <x:v>318.45</x:v>
      </x:c>
      <x:c r="H926" s="85" t="str">
        <x:v>Diagnóstico e execução</x:v>
      </x:c>
    </x:row>
    <x:row r="927">
      <x:c r="A927" s="83" t="n">
        <x:v>926</x:v>
      </x:c>
      <x:c r="B927" s="84" t="n">
        <x:v>543</x:v>
      </x:c>
      <x:c r="C927" s="84" t="n">
        <x:v>18</x:v>
      </x:c>
      <x:c r="D927" s="89" t="n">
        <x:v>45203</x:v>
      </x:c>
      <x:c r="E927" s="84" t="n">
        <x:v>4.7</x:v>
      </x:c>
      <x:c r="F927" s="84" t="str">
        <x:v>Normal</x:v>
      </x:c>
      <x:c r="G927" s="93" t="n">
        <x:v>296.52</x:v>
      </x:c>
      <x:c r="H927" s="85" t="str">
        <x:v>Diagnóstico e execução</x:v>
      </x:c>
    </x:row>
    <x:row r="928">
      <x:c r="A928" s="83" t="n">
        <x:v>927</x:v>
      </x:c>
      <x:c r="B928" s="84" t="n">
        <x:v>545</x:v>
      </x:c>
      <x:c r="C928" s="84" t="n">
        <x:v>41</x:v>
      </x:c>
      <x:c r="D928" s="89" t="n">
        <x:v>45452</x:v>
      </x:c>
      <x:c r="E928" s="84" t="n">
        <x:v>3.6</x:v>
      </x:c>
      <x:c r="F928" s="84" t="str">
        <x:v>Normal</x:v>
      </x:c>
      <x:c r="G928" s="93" t="n">
        <x:v>182.09</x:v>
      </x:c>
      <x:c r="H928" s="85" t="str">
        <x:v>Diagnóstico e execução</x:v>
      </x:c>
    </x:row>
    <x:row r="929">
      <x:c r="A929" s="83" t="n">
        <x:v>928</x:v>
      </x:c>
      <x:c r="B929" s="84" t="n">
        <x:v>545</x:v>
      </x:c>
      <x:c r="C929" s="84" t="n">
        <x:v>22</x:v>
      </x:c>
      <x:c r="D929" s="89" t="n">
        <x:v>45452</x:v>
      </x:c>
      <x:c r="E929" s="84" t="n">
        <x:v>1.6</x:v>
      </x:c>
      <x:c r="F929" s="84" t="str">
        <x:v>Normal</x:v>
      </x:c>
      <x:c r="G929" s="93" t="n">
        <x:v>61.54</x:v>
      </x:c>
      <x:c r="H929" s="85" t="str">
        <x:v>Diagnóstico e execução</x:v>
      </x:c>
    </x:row>
    <x:row r="930">
      <x:c r="A930" s="83" t="n">
        <x:v>929</x:v>
      </x:c>
      <x:c r="B930" s="84" t="n">
        <x:v>545</x:v>
      </x:c>
      <x:c r="C930" s="84" t="n">
        <x:v>29</x:v>
      </x:c>
      <x:c r="D930" s="89" t="n">
        <x:v>45452</x:v>
      </x:c>
      <x:c r="E930" s="84" t="n">
        <x:v>7</x:v>
      </x:c>
      <x:c r="F930" s="84" t="str">
        <x:v>Normal</x:v>
      </x:c>
      <x:c r="G930" s="93" t="n">
        <x:v>346.64</x:v>
      </x:c>
      <x:c r="H930" s="85" t="str">
        <x:v>Diagnóstico e execução</x:v>
      </x:c>
    </x:row>
    <x:row r="931">
      <x:c r="A931" s="83" t="n">
        <x:v>930</x:v>
      </x:c>
      <x:c r="B931" s="84" t="n">
        <x:v>546</x:v>
      </x:c>
      <x:c r="C931" s="84" t="n">
        <x:v>41</x:v>
      </x:c>
      <x:c r="D931" s="89" t="n">
        <x:v>45315</x:v>
      </x:c>
      <x:c r="E931" s="84" t="n">
        <x:v>6.5</x:v>
      </x:c>
      <x:c r="F931" s="84" t="str">
        <x:v>Normal</x:v>
      </x:c>
      <x:c r="G931" s="93" t="n">
        <x:v>328.77</x:v>
      </x:c>
      <x:c r="H931" s="85" t="str">
        <x:v>Diagnóstico e execução</x:v>
      </x:c>
    </x:row>
    <x:row r="932">
      <x:c r="A932" s="83" t="n">
        <x:v>931</x:v>
      </x:c>
      <x:c r="B932" s="84" t="n">
        <x:v>547</x:v>
      </x:c>
      <x:c r="C932" s="84" t="n">
        <x:v>18</x:v>
      </x:c>
      <x:c r="D932" s="89" t="n">
        <x:v>44960</x:v>
      </x:c>
      <x:c r="E932" s="84" t="n">
        <x:v>5.4</x:v>
      </x:c>
      <x:c r="F932" s="84" t="str">
        <x:v>Normal</x:v>
      </x:c>
      <x:c r="G932" s="93" t="n">
        <x:v>340.69</x:v>
      </x:c>
      <x:c r="H932" s="85" t="str">
        <x:v>Diagnóstico e execução</x:v>
      </x:c>
    </x:row>
    <x:row r="933">
      <x:c r="A933" s="83" t="n">
        <x:v>932</x:v>
      </x:c>
      <x:c r="B933" s="84" t="n">
        <x:v>547</x:v>
      </x:c>
      <x:c r="C933" s="84" t="n">
        <x:v>13</x:v>
      </x:c>
      <x:c r="D933" s="89" t="n">
        <x:v>44960</x:v>
      </x:c>
      <x:c r="E933" s="84" t="n">
        <x:v>1.3</x:v>
      </x:c>
      <x:c r="F933" s="84" t="str">
        <x:v>Normal</x:v>
      </x:c>
      <x:c r="G933" s="93" t="n">
        <x:v>44.04</x:v>
      </x:c>
      <x:c r="H933" s="85" t="str">
        <x:v>Diagnóstico e execução</x:v>
      </x:c>
    </x:row>
    <x:row r="934">
      <x:c r="A934" s="83" t="n">
        <x:v>933</x:v>
      </x:c>
      <x:c r="B934" s="84" t="n">
        <x:v>547</x:v>
      </x:c>
      <x:c r="C934" s="84" t="n">
        <x:v>26</x:v>
      </x:c>
      <x:c r="D934" s="89" t="n">
        <x:v>44960</x:v>
      </x:c>
      <x:c r="E934" s="84" t="n">
        <x:v>7.1</x:v>
      </x:c>
      <x:c r="F934" s="84" t="str">
        <x:v>Normal</x:v>
      </x:c>
      <x:c r="G934" s="93" t="n">
        <x:v>277.75</x:v>
      </x:c>
      <x:c r="H934" s="85" t="str">
        <x:v>Diagnóstico e execução</x:v>
      </x:c>
    </x:row>
    <x:row r="935">
      <x:c r="A935" s="83" t="n">
        <x:v>934</x:v>
      </x:c>
      <x:c r="B935" s="84" t="n">
        <x:v>548</x:v>
      </x:c>
      <x:c r="C935" s="84" t="n">
        <x:v>27</x:v>
      </x:c>
      <x:c r="D935" s="89" t="n">
        <x:v>45425</x:v>
      </x:c>
      <x:c r="E935" s="84" t="n">
        <x:v>4.7</x:v>
      </x:c>
      <x:c r="F935" s="84" t="str">
        <x:v>Normal</x:v>
      </x:c>
      <x:c r="G935" s="93" t="n">
        <x:v>286.65</x:v>
      </x:c>
      <x:c r="H935" s="85" t="str">
        <x:v>Diagnóstico e execução</x:v>
      </x:c>
    </x:row>
    <x:row r="936">
      <x:c r="A936" s="83" t="n">
        <x:v>935</x:v>
      </x:c>
      <x:c r="B936" s="84" t="n">
        <x:v>548</x:v>
      </x:c>
      <x:c r="C936" s="84" t="n">
        <x:v>20</x:v>
      </x:c>
      <x:c r="D936" s="89" t="n">
        <x:v>45425</x:v>
      </x:c>
      <x:c r="E936" s="84" t="n">
        <x:v>7.6</x:v>
      </x:c>
      <x:c r="F936" s="84" t="str">
        <x:v>Normal</x:v>
      </x:c>
      <x:c r="G936" s="93" t="n">
        <x:v>254.75</x:v>
      </x:c>
      <x:c r="H936" s="85" t="str">
        <x:v>Diagnóstico e execução</x:v>
      </x:c>
    </x:row>
    <x:row r="937">
      <x:c r="A937" s="83" t="n">
        <x:v>936</x:v>
      </x:c>
      <x:c r="B937" s="84" t="n">
        <x:v>548</x:v>
      </x:c>
      <x:c r="C937" s="84" t="n">
        <x:v>41</x:v>
      </x:c>
      <x:c r="D937" s="89" t="n">
        <x:v>45425</x:v>
      </x:c>
      <x:c r="E937" s="84" t="n">
        <x:v>3.9</x:v>
      </x:c>
      <x:c r="F937" s="84" t="str">
        <x:v>Normal</x:v>
      </x:c>
      <x:c r="G937" s="93" t="n">
        <x:v>197.26</x:v>
      </x:c>
      <x:c r="H937" s="85" t="str">
        <x:v>Diagnóstico e execução</x:v>
      </x:c>
    </x:row>
    <x:row r="938">
      <x:c r="A938" s="83" t="n">
        <x:v>937</x:v>
      </x:c>
      <x:c r="B938" s="84" t="n">
        <x:v>549</x:v>
      </x:c>
      <x:c r="C938" s="84" t="n">
        <x:v>33</x:v>
      </x:c>
      <x:c r="D938" s="89" t="n">
        <x:v>45235</x:v>
      </x:c>
      <x:c r="E938" s="84" t="n">
        <x:v>4.7</x:v>
      </x:c>
      <x:c r="F938" s="84" t="str">
        <x:v>Normal</x:v>
      </x:c>
      <x:c r="G938" s="93" t="n">
        <x:v>162.1</x:v>
      </x:c>
      <x:c r="H938" s="85" t="str">
        <x:v>Diagnóstico e execução</x:v>
      </x:c>
    </x:row>
    <x:row r="939">
      <x:c r="A939" s="83" t="n">
        <x:v>938</x:v>
      </x:c>
      <x:c r="B939" s="84" t="n">
        <x:v>550</x:v>
      </x:c>
      <x:c r="C939" s="84" t="n">
        <x:v>23</x:v>
      </x:c>
      <x:c r="D939" s="89" t="n">
        <x:v>45898</x:v>
      </x:c>
      <x:c r="E939" s="84" t="n">
        <x:v>5.6</x:v>
      </x:c>
      <x:c r="F939" s="84" t="str">
        <x:v>Normal</x:v>
      </x:c>
      <x:c r="G939" s="93" t="n">
        <x:v>241.42</x:v>
      </x:c>
      <x:c r="H939" s="85" t="str">
        <x:v>Diagnóstico e execução</x:v>
      </x:c>
    </x:row>
    <x:row r="940">
      <x:c r="A940" s="83" t="n">
        <x:v>939</x:v>
      </x:c>
      <x:c r="B940" s="84" t="n">
        <x:v>551</x:v>
      </x:c>
      <x:c r="C940" s="84" t="n">
        <x:v>24</x:v>
      </x:c>
      <x:c r="D940" s="89" t="n">
        <x:v>45666</x:v>
      </x:c>
      <x:c r="E940" s="84" t="n">
        <x:v>5.3</x:v>
      </x:c>
      <x:c r="F940" s="84" t="str">
        <x:v>Normal</x:v>
      </x:c>
      <x:c r="G940" s="93" t="n">
        <x:v>313.97</x:v>
      </x:c>
      <x:c r="H940" s="85" t="str">
        <x:v>Diagnóstico e execução</x:v>
      </x:c>
    </x:row>
    <x:row r="941">
      <x:c r="A941" s="83" t="n">
        <x:v>940</x:v>
      </x:c>
      <x:c r="B941" s="84" t="n">
        <x:v>551</x:v>
      </x:c>
      <x:c r="C941" s="84" t="n">
        <x:v>14</x:v>
      </x:c>
      <x:c r="D941" s="89" t="n">
        <x:v>45666</x:v>
      </x:c>
      <x:c r="E941" s="84" t="n">
        <x:v>4.4</x:v>
      </x:c>
      <x:c r="F941" s="84" t="str">
        <x:v>Normal</x:v>
      </x:c>
      <x:c r="G941" s="93" t="n">
        <x:v>249.3</x:v>
      </x:c>
      <x:c r="H941" s="85" t="str">
        <x:v>Diagnóstico e execução</x:v>
      </x:c>
    </x:row>
    <x:row r="942">
      <x:c r="A942" s="83" t="n">
        <x:v>941</x:v>
      </x:c>
      <x:c r="B942" s="84" t="n">
        <x:v>551</x:v>
      </x:c>
      <x:c r="C942" s="84" t="n">
        <x:v>24</x:v>
      </x:c>
      <x:c r="D942" s="89" t="n">
        <x:v>45666</x:v>
      </x:c>
      <x:c r="E942" s="84" t="n">
        <x:v>5.2</x:v>
      </x:c>
      <x:c r="F942" s="84" t="str">
        <x:v>Normal</x:v>
      </x:c>
      <x:c r="G942" s="93" t="n">
        <x:v>308.05</x:v>
      </x:c>
      <x:c r="H942" s="85" t="str">
        <x:v>Diagnóstico e execução</x:v>
      </x:c>
    </x:row>
    <x:row r="943">
      <x:c r="A943" s="83" t="n">
        <x:v>942</x:v>
      </x:c>
      <x:c r="B943" s="84" t="n">
        <x:v>552</x:v>
      </x:c>
      <x:c r="C943" s="84" t="n">
        <x:v>19</x:v>
      </x:c>
      <x:c r="D943" s="89" t="n">
        <x:v>45478</x:v>
      </x:c>
      <x:c r="E943" s="84" t="n">
        <x:v>7.8</x:v>
      </x:c>
      <x:c r="F943" s="84" t="str">
        <x:v>Normal</x:v>
      </x:c>
      <x:c r="G943" s="93" t="n">
        <x:v>362.54</x:v>
      </x:c>
      <x:c r="H943" s="85" t="str">
        <x:v>Diagnóstico e execução</x:v>
      </x:c>
    </x:row>
    <x:row r="944">
      <x:c r="A944" s="83" t="n">
        <x:v>943</x:v>
      </x:c>
      <x:c r="B944" s="84" t="n">
        <x:v>552</x:v>
      </x:c>
      <x:c r="C944" s="84" t="n">
        <x:v>9</x:v>
      </x:c>
      <x:c r="D944" s="89" t="n">
        <x:v>45478</x:v>
      </x:c>
      <x:c r="E944" s="84" t="n">
        <x:v>2.6</x:v>
      </x:c>
      <x:c r="F944" s="84" t="str">
        <x:v>Normal</x:v>
      </x:c>
      <x:c r="G944" s="93" t="n">
        <x:v>136.94</x:v>
      </x:c>
      <x:c r="H944" s="85" t="str">
        <x:v>Diagnóstico e execução</x:v>
      </x:c>
    </x:row>
    <x:row r="945">
      <x:c r="A945" s="83" t="n">
        <x:v>944</x:v>
      </x:c>
      <x:c r="B945" s="84" t="n">
        <x:v>553</x:v>
      </x:c>
      <x:c r="C945" s="84" t="n">
        <x:v>21</x:v>
      </x:c>
      <x:c r="D945" s="89" t="n">
        <x:v>45612</x:v>
      </x:c>
      <x:c r="E945" s="84" t="n">
        <x:v>7.6</x:v>
      </x:c>
      <x:c r="F945" s="84" t="str">
        <x:v>Normal</x:v>
      </x:c>
      <x:c r="G945" s="93" t="n">
        <x:v>466.87</x:v>
      </x:c>
      <x:c r="H945" s="85" t="str">
        <x:v>Diagnóstico e execução</x:v>
      </x:c>
    </x:row>
    <x:row r="946">
      <x:c r="A946" s="83" t="n">
        <x:v>945</x:v>
      </x:c>
      <x:c r="B946" s="84" t="n">
        <x:v>554</x:v>
      </x:c>
      <x:c r="C946" s="84" t="n">
        <x:v>18</x:v>
      </x:c>
      <x:c r="D946" s="89" t="n">
        <x:v>45783</x:v>
      </x:c>
      <x:c r="E946" s="84" t="n">
        <x:v>4.5</x:v>
      </x:c>
      <x:c r="F946" s="84" t="str">
        <x:v>Normal</x:v>
      </x:c>
      <x:c r="G946" s="93" t="n">
        <x:v>283.91</x:v>
      </x:c>
      <x:c r="H946" s="85" t="str">
        <x:v>Diagnóstico e execução</x:v>
      </x:c>
    </x:row>
    <x:row r="947">
      <x:c r="A947" s="83" t="n">
        <x:v>946</x:v>
      </x:c>
      <x:c r="B947" s="84" t="n">
        <x:v>554</x:v>
      </x:c>
      <x:c r="C947" s="84" t="n">
        <x:v>16</x:v>
      </x:c>
      <x:c r="D947" s="89" t="n">
        <x:v>45783</x:v>
      </x:c>
      <x:c r="E947" s="84" t="n">
        <x:v>5.3</x:v>
      </x:c>
      <x:c r="F947" s="84" t="str">
        <x:v>Normal</x:v>
      </x:c>
      <x:c r="G947" s="93" t="n">
        <x:v>214.76</x:v>
      </x:c>
      <x:c r="H947" s="85" t="str">
        <x:v>Diagnóstico e execução</x:v>
      </x:c>
    </x:row>
    <x:row r="948">
      <x:c r="A948" s="83" t="n">
        <x:v>947</x:v>
      </x:c>
      <x:c r="B948" s="84" t="n">
        <x:v>555</x:v>
      </x:c>
      <x:c r="C948" s="84" t="n">
        <x:v>2</x:v>
      </x:c>
      <x:c r="D948" s="89" t="n">
        <x:v>45397</x:v>
      </x:c>
      <x:c r="E948" s="84" t="n">
        <x:v>7.8</x:v>
      </x:c>
      <x:c r="F948" s="84" t="str">
        <x:v>Normal</x:v>
      </x:c>
      <x:c r="G948" s="93" t="n">
        <x:v>290.63</x:v>
      </x:c>
      <x:c r="H948" s="85" t="str">
        <x:v>Diagnóstico e execução</x:v>
      </x:c>
    </x:row>
    <x:row r="949">
      <x:c r="A949" s="83" t="n">
        <x:v>948</x:v>
      </x:c>
      <x:c r="B949" s="84" t="n">
        <x:v>556</x:v>
      </x:c>
      <x:c r="C949" s="84" t="n">
        <x:v>20</x:v>
      </x:c>
      <x:c r="D949" s="89" t="n">
        <x:v>45492</x:v>
      </x:c>
      <x:c r="E949" s="84" t="n">
        <x:v>7.7</x:v>
      </x:c>
      <x:c r="F949" s="84" t="str">
        <x:v>Normal</x:v>
      </x:c>
      <x:c r="G949" s="93" t="n">
        <x:v>258.1</x:v>
      </x:c>
      <x:c r="H949" s="85" t="str">
        <x:v>Diagnóstico e execução</x:v>
      </x:c>
    </x:row>
    <x:row r="950">
      <x:c r="A950" s="83" t="n">
        <x:v>949</x:v>
      </x:c>
      <x:c r="B950" s="84" t="n">
        <x:v>556</x:v>
      </x:c>
      <x:c r="C950" s="84" t="n">
        <x:v>26</x:v>
      </x:c>
      <x:c r="D950" s="89" t="n">
        <x:v>45492</x:v>
      </x:c>
      <x:c r="E950" s="84" t="n">
        <x:v>3.3</x:v>
      </x:c>
      <x:c r="F950" s="84" t="str">
        <x:v>Normal</x:v>
      </x:c>
      <x:c r="G950" s="93" t="n">
        <x:v>129.1</x:v>
      </x:c>
      <x:c r="H950" s="85" t="str">
        <x:v>Diagnóstico e execução</x:v>
      </x:c>
    </x:row>
    <x:row r="951">
      <x:c r="A951" s="83" t="n">
        <x:v>950</x:v>
      </x:c>
      <x:c r="B951" s="84" t="n">
        <x:v>556</x:v>
      </x:c>
      <x:c r="C951" s="84" t="n">
        <x:v>11</x:v>
      </x:c>
      <x:c r="D951" s="89" t="n">
        <x:v>45492</x:v>
      </x:c>
      <x:c r="E951" s="84" t="n">
        <x:v>1.4</x:v>
      </x:c>
      <x:c r="F951" s="84" t="str">
        <x:v>Normal</x:v>
      </x:c>
      <x:c r="G951" s="93" t="n">
        <x:v>58.35</x:v>
      </x:c>
      <x:c r="H951" s="85" t="str">
        <x:v>Diagnóstico e execução</x:v>
      </x:c>
    </x:row>
    <x:row r="952">
      <x:c r="A952" s="83" t="n">
        <x:v>951</x:v>
      </x:c>
      <x:c r="B952" s="84" t="n">
        <x:v>557</x:v>
      </x:c>
      <x:c r="C952" s="84" t="n">
        <x:v>28</x:v>
      </x:c>
      <x:c r="D952" s="89" t="n">
        <x:v>45710</x:v>
      </x:c>
      <x:c r="E952" s="84" t="n">
        <x:v>4.5</x:v>
      </x:c>
      <x:c r="F952" s="84" t="str">
        <x:v>Normal</x:v>
      </x:c>
      <x:c r="G952" s="93" t="n">
        <x:v>169.29</x:v>
      </x:c>
      <x:c r="H952" s="85" t="str">
        <x:v>Diagnóstico e execução</x:v>
      </x:c>
    </x:row>
    <x:row r="953">
      <x:c r="A953" s="83" t="n">
        <x:v>952</x:v>
      </x:c>
      <x:c r="B953" s="84" t="n">
        <x:v>557</x:v>
      </x:c>
      <x:c r="C953" s="84" t="n">
        <x:v>17</x:v>
      </x:c>
      <x:c r="D953" s="89" t="n">
        <x:v>45710</x:v>
      </x:c>
      <x:c r="E953" s="84" t="n">
        <x:v>3.7</x:v>
      </x:c>
      <x:c r="F953" s="84" t="str">
        <x:v>Normal</x:v>
      </x:c>
      <x:c r="G953" s="93" t="n">
        <x:v>206.39</x:v>
      </x:c>
      <x:c r="H953" s="85" t="str">
        <x:v>Diagnóstico e execução</x:v>
      </x:c>
    </x:row>
    <x:row r="954">
      <x:c r="A954" s="83" t="n">
        <x:v>953</x:v>
      </x:c>
      <x:c r="B954" s="84" t="n">
        <x:v>557</x:v>
      </x:c>
      <x:c r="C954" s="84" t="n">
        <x:v>15</x:v>
      </x:c>
      <x:c r="D954" s="89" t="n">
        <x:v>45710</x:v>
      </x:c>
      <x:c r="E954" s="84" t="n">
        <x:v>3.9</x:v>
      </x:c>
      <x:c r="F954" s="84" t="str">
        <x:v>Normal</x:v>
      </x:c>
      <x:c r="G954" s="93" t="n">
        <x:v>117.94</x:v>
      </x:c>
      <x:c r="H954" s="85" t="str">
        <x:v>Diagnóstico e execução</x:v>
      </x:c>
    </x:row>
    <x:row r="955">
      <x:c r="A955" s="83" t="n">
        <x:v>954</x:v>
      </x:c>
      <x:c r="B955" s="84" t="n">
        <x:v>558</x:v>
      </x:c>
      <x:c r="C955" s="84" t="n">
        <x:v>40</x:v>
      </x:c>
      <x:c r="D955" s="89" t="n">
        <x:v>45137</x:v>
      </x:c>
      <x:c r="E955" s="84" t="n">
        <x:v>1.6</x:v>
      </x:c>
      <x:c r="F955" s="84" t="str">
        <x:v>Normal</x:v>
      </x:c>
      <x:c r="G955" s="93" t="n">
        <x:v>79.07</x:v>
      </x:c>
      <x:c r="H955" s="85" t="str">
        <x:v>Diagnóstico e execução</x:v>
      </x:c>
    </x:row>
    <x:row r="956">
      <x:c r="A956" s="83" t="n">
        <x:v>955</x:v>
      </x:c>
      <x:c r="B956" s="84" t="n">
        <x:v>560</x:v>
      </x:c>
      <x:c r="C956" s="84" t="n">
        <x:v>15</x:v>
      </x:c>
      <x:c r="D956" s="89" t="n">
        <x:v>45363</x:v>
      </x:c>
      <x:c r="E956" s="84" t="n">
        <x:v>3.3</x:v>
      </x:c>
      <x:c r="F956" s="84" t="str">
        <x:v>Normal</x:v>
      </x:c>
      <x:c r="G956" s="93" t="n">
        <x:v>99.79</x:v>
      </x:c>
      <x:c r="H956" s="85" t="str">
        <x:v>Diagnóstico e execução</x:v>
      </x:c>
    </x:row>
    <x:row r="957">
      <x:c r="A957" s="83" t="n">
        <x:v>956</x:v>
      </x:c>
      <x:c r="B957" s="84" t="n">
        <x:v>561</x:v>
      </x:c>
      <x:c r="C957" s="84" t="n">
        <x:v>25</x:v>
      </x:c>
      <x:c r="D957" s="89" t="n">
        <x:v>45645</x:v>
      </x:c>
      <x:c r="E957" s="84" t="n">
        <x:v>4</x:v>
      </x:c>
      <x:c r="F957" s="84" t="str">
        <x:v>Normal</x:v>
      </x:c>
      <x:c r="G957" s="93" t="n">
        <x:v>214.36</x:v>
      </x:c>
      <x:c r="H957" s="85" t="str">
        <x:v>Diagnóstico e execução</x:v>
      </x:c>
    </x:row>
    <x:row r="958">
      <x:c r="A958" s="83" t="n">
        <x:v>957</x:v>
      </x:c>
      <x:c r="B958" s="84" t="n">
        <x:v>561</x:v>
      </x:c>
      <x:c r="C958" s="84" t="n">
        <x:v>6</x:v>
      </x:c>
      <x:c r="D958" s="89" t="n">
        <x:v>45645</x:v>
      </x:c>
      <x:c r="E958" s="84" t="n">
        <x:v>7.8</x:v>
      </x:c>
      <x:c r="F958" s="84" t="str">
        <x:v>Normal</x:v>
      </x:c>
      <x:c r="G958" s="93" t="n">
        <x:v>407.63</x:v>
      </x:c>
      <x:c r="H958" s="85" t="str">
        <x:v>Diagnóstico e execução</x:v>
      </x:c>
    </x:row>
    <x:row r="959">
      <x:c r="A959" s="83" t="n">
        <x:v>958</x:v>
      </x:c>
      <x:c r="B959" s="84" t="n">
        <x:v>562</x:v>
      </x:c>
      <x:c r="C959" s="84" t="n">
        <x:v>16</x:v>
      </x:c>
      <x:c r="D959" s="89" t="n">
        <x:v>45687</x:v>
      </x:c>
      <x:c r="E959" s="84" t="n">
        <x:v>3</x:v>
      </x:c>
      <x:c r="F959" s="84" t="str">
        <x:v>Normal</x:v>
      </x:c>
      <x:c r="G959" s="93" t="n">
        <x:v>121.56</x:v>
      </x:c>
      <x:c r="H959" s="85" t="str">
        <x:v>Diagnóstico e execução</x:v>
      </x:c>
    </x:row>
    <x:row r="960">
      <x:c r="A960" s="83" t="n">
        <x:v>959</x:v>
      </x:c>
      <x:c r="B960" s="84" t="n">
        <x:v>562</x:v>
      </x:c>
      <x:c r="C960" s="84" t="n">
        <x:v>44</x:v>
      </x:c>
      <x:c r="D960" s="89" t="n">
        <x:v>45687</x:v>
      </x:c>
      <x:c r="E960" s="84" t="n">
        <x:v>4.1</x:v>
      </x:c>
      <x:c r="F960" s="84" t="str">
        <x:v>Normal</x:v>
      </x:c>
      <x:c r="G960" s="93" t="n">
        <x:v>114.96</x:v>
      </x:c>
      <x:c r="H960" s="85" t="str">
        <x:v>Diagnóstico e execução</x:v>
      </x:c>
    </x:row>
    <x:row r="961">
      <x:c r="A961" s="83" t="n">
        <x:v>960</x:v>
      </x:c>
      <x:c r="B961" s="84" t="n">
        <x:v>564</x:v>
      </x:c>
      <x:c r="C961" s="84" t="n">
        <x:v>26</x:v>
      </x:c>
      <x:c r="D961" s="89" t="n">
        <x:v>44993</x:v>
      </x:c>
      <x:c r="E961" s="84" t="n">
        <x:v>5.5</x:v>
      </x:c>
      <x:c r="F961" s="84" t="str">
        <x:v>Normal</x:v>
      </x:c>
      <x:c r="G961" s="93" t="n">
        <x:v>215.16</x:v>
      </x:c>
      <x:c r="H961" s="85" t="str">
        <x:v>Diagnóstico e execução</x:v>
      </x:c>
    </x:row>
    <x:row r="962">
      <x:c r="A962" s="83" t="n">
        <x:v>961</x:v>
      </x:c>
      <x:c r="B962" s="84" t="n">
        <x:v>564</x:v>
      </x:c>
      <x:c r="C962" s="84" t="n">
        <x:v>7</x:v>
      </x:c>
      <x:c r="D962" s="89" t="n">
        <x:v>44993</x:v>
      </x:c>
      <x:c r="E962" s="84" t="n">
        <x:v>1.7</x:v>
      </x:c>
      <x:c r="F962" s="84" t="str">
        <x:v>Normal</x:v>
      </x:c>
      <x:c r="G962" s="93" t="n">
        <x:v>98.96</x:v>
      </x:c>
      <x:c r="H962" s="85" t="str">
        <x:v>Diagnóstico e execução</x:v>
      </x:c>
    </x:row>
    <x:row r="963">
      <x:c r="A963" s="83" t="n">
        <x:v>962</x:v>
      </x:c>
      <x:c r="B963" s="84" t="n">
        <x:v>565</x:v>
      </x:c>
      <x:c r="C963" s="84" t="n">
        <x:v>44</x:v>
      </x:c>
      <x:c r="D963" s="89" t="n">
        <x:v>45489</x:v>
      </x:c>
      <x:c r="E963" s="84" t="n">
        <x:v>3.8</x:v>
      </x:c>
      <x:c r="F963" s="84" t="str">
        <x:v>Normal</x:v>
      </x:c>
      <x:c r="G963" s="93" t="n">
        <x:v>106.55</x:v>
      </x:c>
      <x:c r="H963" s="85" t="str">
        <x:v>Diagnóstico e execução</x:v>
      </x:c>
    </x:row>
    <x:row r="964">
      <x:c r="A964" s="83" t="n">
        <x:v>963</x:v>
      </x:c>
      <x:c r="B964" s="84" t="n">
        <x:v>565</x:v>
      </x:c>
      <x:c r="C964" s="84" t="n">
        <x:v>12</x:v>
      </x:c>
      <x:c r="D964" s="89" t="n">
        <x:v>45489</x:v>
      </x:c>
      <x:c r="E964" s="84" t="n">
        <x:v>6.3</x:v>
      </x:c>
      <x:c r="F964" s="84" t="str">
        <x:v>Normal</x:v>
      </x:c>
      <x:c r="G964" s="93" t="n">
        <x:v>217.35</x:v>
      </x:c>
      <x:c r="H964" s="85" t="str">
        <x:v>Diagnóstico e execução</x:v>
      </x:c>
    </x:row>
    <x:row r="965">
      <x:c r="A965" s="83" t="n">
        <x:v>964</x:v>
      </x:c>
      <x:c r="B965" s="84" t="n">
        <x:v>565</x:v>
      </x:c>
      <x:c r="C965" s="84" t="n">
        <x:v>15</x:v>
      </x:c>
      <x:c r="D965" s="89" t="n">
        <x:v>45489</x:v>
      </x:c>
      <x:c r="E965" s="84" t="n">
        <x:v>0.8</x:v>
      </x:c>
      <x:c r="F965" s="84" t="str">
        <x:v>Normal</x:v>
      </x:c>
      <x:c r="G965" s="93" t="n">
        <x:v>24.19</x:v>
      </x:c>
      <x:c r="H965" s="85" t="str">
        <x:v>Diagnóstico e execução</x:v>
      </x:c>
    </x:row>
    <x:row r="966">
      <x:c r="A966" s="83" t="n">
        <x:v>965</x:v>
      </x:c>
      <x:c r="B966" s="84" t="n">
        <x:v>566</x:v>
      </x:c>
      <x:c r="C966" s="84" t="n">
        <x:v>31</x:v>
      </x:c>
      <x:c r="D966" s="89" t="n">
        <x:v>45143</x:v>
      </x:c>
      <x:c r="E966" s="84" t="n">
        <x:v>3.9</x:v>
      </x:c>
      <x:c r="F966" s="84" t="str">
        <x:v>Normal</x:v>
      </x:c>
      <x:c r="G966" s="93" t="n">
        <x:v>190.71</x:v>
      </x:c>
      <x:c r="H966" s="85" t="str">
        <x:v>Diagnóstico e execução</x:v>
      </x:c>
    </x:row>
    <x:row r="967">
      <x:c r="A967" s="83" t="n">
        <x:v>966</x:v>
      </x:c>
      <x:c r="B967" s="84" t="n">
        <x:v>566</x:v>
      </x:c>
      <x:c r="C967" s="84" t="n">
        <x:v>42</x:v>
      </x:c>
      <x:c r="D967" s="89" t="n">
        <x:v>45143</x:v>
      </x:c>
      <x:c r="E967" s="84" t="n">
        <x:v>3.1</x:v>
      </x:c>
      <x:c r="F967" s="84" t="str">
        <x:v>Normal</x:v>
      </x:c>
      <x:c r="G967" s="93" t="n">
        <x:v>130.76</x:v>
      </x:c>
      <x:c r="H967" s="85" t="str">
        <x:v>Diagnóstico e execução</x:v>
      </x:c>
    </x:row>
    <x:row r="968">
      <x:c r="A968" s="83" t="n">
        <x:v>967</x:v>
      </x:c>
      <x:c r="B968" s="84" t="n">
        <x:v>566</x:v>
      </x:c>
      <x:c r="C968" s="84" t="n">
        <x:v>3</x:v>
      </x:c>
      <x:c r="D968" s="89" t="n">
        <x:v>45143</x:v>
      </x:c>
      <x:c r="E968" s="84" t="n">
        <x:v>1.2</x:v>
      </x:c>
      <x:c r="F968" s="84" t="str">
        <x:v>Normal</x:v>
      </x:c>
      <x:c r="G968" s="93" t="n">
        <x:v>59.09</x:v>
      </x:c>
      <x:c r="H968" s="85" t="str">
        <x:v>Diagnóstico e execução</x:v>
      </x:c>
    </x:row>
    <x:row r="969">
      <x:c r="A969" s="83" t="n">
        <x:v>968</x:v>
      </x:c>
      <x:c r="B969" s="84" t="n">
        <x:v>567</x:v>
      </x:c>
      <x:c r="C969" s="84" t="n">
        <x:v>14</x:v>
      </x:c>
      <x:c r="D969" s="89" t="n">
        <x:v>45080</x:v>
      </x:c>
      <x:c r="E969" s="84" t="n">
        <x:v>6.8</x:v>
      </x:c>
      <x:c r="F969" s="84" t="str">
        <x:v>Normal</x:v>
      </x:c>
      <x:c r="G969" s="93" t="n">
        <x:v>385.29</x:v>
      </x:c>
      <x:c r="H969" s="85" t="str">
        <x:v>Diagnóstico e execução</x:v>
      </x:c>
    </x:row>
    <x:row r="970">
      <x:c r="A970" s="83" t="n">
        <x:v>969</x:v>
      </x:c>
      <x:c r="B970" s="84" t="n">
        <x:v>567</x:v>
      </x:c>
      <x:c r="C970" s="84" t="n">
        <x:v>33</x:v>
      </x:c>
      <x:c r="D970" s="89" t="n">
        <x:v>45080</x:v>
      </x:c>
      <x:c r="E970" s="84" t="n">
        <x:v>7.1</x:v>
      </x:c>
      <x:c r="F970" s="84" t="str">
        <x:v>Normal</x:v>
      </x:c>
      <x:c r="G970" s="93" t="n">
        <x:v>244.88</x:v>
      </x:c>
      <x:c r="H970" s="85" t="str">
        <x:v>Diagnóstico e execução</x:v>
      </x:c>
    </x:row>
    <x:row r="971">
      <x:c r="A971" s="83" t="n">
        <x:v>970</x:v>
      </x:c>
      <x:c r="B971" s="84" t="n">
        <x:v>567</x:v>
      </x:c>
      <x:c r="C971" s="84" t="n">
        <x:v>4</x:v>
      </x:c>
      <x:c r="D971" s="89" t="n">
        <x:v>45080</x:v>
      </x:c>
      <x:c r="E971" s="84" t="n">
        <x:v>2.3</x:v>
      </x:c>
      <x:c r="F971" s="84" t="str">
        <x:v>Normal</x:v>
      </x:c>
      <x:c r="G971" s="93" t="n">
        <x:v>113.14</x:v>
      </x:c>
      <x:c r="H971" s="85" t="str">
        <x:v>Diagnóstico e execução</x:v>
      </x:c>
    </x:row>
    <x:row r="972">
      <x:c r="A972" s="83" t="n">
        <x:v>971</x:v>
      </x:c>
      <x:c r="B972" s="84" t="n">
        <x:v>568</x:v>
      </x:c>
      <x:c r="C972" s="84" t="n">
        <x:v>32</x:v>
      </x:c>
      <x:c r="D972" s="89" t="n">
        <x:v>45723</x:v>
      </x:c>
      <x:c r="E972" s="84" t="n">
        <x:v>5.3</x:v>
      </x:c>
      <x:c r="F972" s="84" t="str">
        <x:v>Normal</x:v>
      </x:c>
      <x:c r="G972" s="93" t="n">
        <x:v>231.34</x:v>
      </x:c>
      <x:c r="H972" s="85" t="str">
        <x:v>Diagnóstico e execução</x:v>
      </x:c>
    </x:row>
    <x:row r="973">
      <x:c r="A973" s="83" t="n">
        <x:v>972</x:v>
      </x:c>
      <x:c r="B973" s="84" t="n">
        <x:v>568</x:v>
      </x:c>
      <x:c r="C973" s="84" t="n">
        <x:v>34</x:v>
      </x:c>
      <x:c r="D973" s="89" t="n">
        <x:v>45723</x:v>
      </x:c>
      <x:c r="E973" s="84" t="n">
        <x:v>5.1</x:v>
      </x:c>
      <x:c r="F973" s="84" t="str">
        <x:v>Normal</x:v>
      </x:c>
      <x:c r="G973" s="93" t="n">
        <x:v>220.47</x:v>
      </x:c>
      <x:c r="H973" s="85" t="str">
        <x:v>Diagnóstico e execução</x:v>
      </x:c>
    </x:row>
    <x:row r="974">
      <x:c r="A974" s="83" t="n">
        <x:v>973</x:v>
      </x:c>
      <x:c r="B974" s="84" t="n">
        <x:v>569</x:v>
      </x:c>
      <x:c r="C974" s="84" t="n">
        <x:v>8</x:v>
      </x:c>
      <x:c r="D974" s="89" t="n">
        <x:v>45456</x:v>
      </x:c>
      <x:c r="E974" s="84" t="n">
        <x:v>7.4</x:v>
      </x:c>
      <x:c r="F974" s="84" t="str">
        <x:v>Normal</x:v>
      </x:c>
      <x:c r="G974" s="93" t="n">
        <x:v>344.1</x:v>
      </x:c>
      <x:c r="H974" s="85" t="str">
        <x:v>Diagnóstico e execução</x:v>
      </x:c>
    </x:row>
    <x:row r="975">
      <x:c r="A975" s="83" t="n">
        <x:v>974</x:v>
      </x:c>
      <x:c r="B975" s="84" t="n">
        <x:v>569</x:v>
      </x:c>
      <x:c r="C975" s="84" t="n">
        <x:v>1</x:v>
      </x:c>
      <x:c r="D975" s="89" t="n">
        <x:v>45456</x:v>
      </x:c>
      <x:c r="E975" s="84" t="n">
        <x:v>1</x:v>
      </x:c>
      <x:c r="F975" s="84" t="str">
        <x:v>Normal</x:v>
      </x:c>
      <x:c r="G975" s="93" t="n">
        <x:v>35.37</x:v>
      </x:c>
      <x:c r="H975" s="85" t="str">
        <x:v>Diagnóstico e execução</x:v>
      </x:c>
    </x:row>
    <x:row r="976">
      <x:c r="A976" s="83" t="n">
        <x:v>975</x:v>
      </x:c>
      <x:c r="B976" s="84" t="n">
        <x:v>570</x:v>
      </x:c>
      <x:c r="C976" s="84" t="n">
        <x:v>7</x:v>
      </x:c>
      <x:c r="D976" s="89" t="n">
        <x:v>45510</x:v>
      </x:c>
      <x:c r="E976" s="84" t="n">
        <x:v>7.1</x:v>
      </x:c>
      <x:c r="F976" s="84" t="str">
        <x:v>Normal</x:v>
      </x:c>
      <x:c r="G976" s="93" t="n">
        <x:v>413.29</x:v>
      </x:c>
      <x:c r="H976" s="85" t="str">
        <x:v>Diagnóstico e execução</x:v>
      </x:c>
    </x:row>
    <x:row r="977">
      <x:c r="A977" s="83" t="n">
        <x:v>976</x:v>
      </x:c>
      <x:c r="B977" s="84" t="n">
        <x:v>571</x:v>
      </x:c>
      <x:c r="C977" s="84" t="n">
        <x:v>4</x:v>
      </x:c>
      <x:c r="D977" s="89" t="n">
        <x:v>45858</x:v>
      </x:c>
      <x:c r="E977" s="84" t="n">
        <x:v>1.8</x:v>
      </x:c>
      <x:c r="F977" s="84" t="str">
        <x:v>Normal</x:v>
      </x:c>
      <x:c r="G977" s="93" t="n">
        <x:v>88.54</x:v>
      </x:c>
      <x:c r="H977" s="85" t="str">
        <x:v>Diagnóstico e execução</x:v>
      </x:c>
    </x:row>
    <x:row r="978">
      <x:c r="A978" s="83" t="n">
        <x:v>977</x:v>
      </x:c>
      <x:c r="B978" s="84" t="n">
        <x:v>571</x:v>
      </x:c>
      <x:c r="C978" s="84" t="n">
        <x:v>8</x:v>
      </x:c>
      <x:c r="D978" s="89" t="n">
        <x:v>45858</x:v>
      </x:c>
      <x:c r="E978" s="84" t="n">
        <x:v>1.8</x:v>
      </x:c>
      <x:c r="F978" s="84" t="str">
        <x:v>Normal</x:v>
      </x:c>
      <x:c r="G978" s="93" t="n">
        <x:v>83.7</x:v>
      </x:c>
      <x:c r="H978" s="85" t="str">
        <x:v>Diagnóstico e execução</x:v>
      </x:c>
    </x:row>
    <x:row r="979">
      <x:c r="A979" s="83" t="n">
        <x:v>978</x:v>
      </x:c>
      <x:c r="B979" s="84" t="n">
        <x:v>571</x:v>
      </x:c>
      <x:c r="C979" s="84" t="n">
        <x:v>19</x:v>
      </x:c>
      <x:c r="D979" s="89" t="n">
        <x:v>45858</x:v>
      </x:c>
      <x:c r="E979" s="84" t="n">
        <x:v>5.8</x:v>
      </x:c>
      <x:c r="F979" s="84" t="str">
        <x:v>Normal</x:v>
      </x:c>
      <x:c r="G979" s="93" t="n">
        <x:v>269.58</x:v>
      </x:c>
      <x:c r="H979" s="85" t="str">
        <x:v>Diagnóstico e execução</x:v>
      </x:c>
    </x:row>
    <x:row r="980">
      <x:c r="A980" s="83" t="n">
        <x:v>979</x:v>
      </x:c>
      <x:c r="B980" s="84" t="n">
        <x:v>572</x:v>
      </x:c>
      <x:c r="C980" s="84" t="n">
        <x:v>40</x:v>
      </x:c>
      <x:c r="D980" s="89" t="n">
        <x:v>45441</x:v>
      </x:c>
      <x:c r="E980" s="84" t="n">
        <x:v>4.7</x:v>
      </x:c>
      <x:c r="F980" s="84" t="str">
        <x:v>Normal</x:v>
      </x:c>
      <x:c r="G980" s="93" t="n">
        <x:v>232.27</x:v>
      </x:c>
      <x:c r="H980" s="85" t="str">
        <x:v>Diagnóstico e execução</x:v>
      </x:c>
    </x:row>
    <x:row r="981">
      <x:c r="A981" s="83" t="n">
        <x:v>980</x:v>
      </x:c>
      <x:c r="B981" s="84" t="n">
        <x:v>572</x:v>
      </x:c>
      <x:c r="C981" s="84" t="n">
        <x:v>39</x:v>
      </x:c>
      <x:c r="D981" s="89" t="n">
        <x:v>45441</x:v>
      </x:c>
      <x:c r="E981" s="84" t="n">
        <x:v>6.5</x:v>
      </x:c>
      <x:c r="F981" s="84" t="str">
        <x:v>Normal</x:v>
      </x:c>
      <x:c r="G981" s="93" t="n">
        <x:v>376.35</x:v>
      </x:c>
      <x:c r="H981" s="85" t="str">
        <x:v>Diagnóstico e execução</x:v>
      </x:c>
    </x:row>
    <x:row r="982">
      <x:c r="A982" s="83" t="n">
        <x:v>981</x:v>
      </x:c>
      <x:c r="B982" s="84" t="n">
        <x:v>573</x:v>
      </x:c>
      <x:c r="C982" s="84" t="n">
        <x:v>6</x:v>
      </x:c>
      <x:c r="D982" s="89" t="n">
        <x:v>45870</x:v>
      </x:c>
      <x:c r="E982" s="84" t="n">
        <x:v>3</x:v>
      </x:c>
      <x:c r="F982" s="84" t="str">
        <x:v>Normal</x:v>
      </x:c>
      <x:c r="G982" s="93" t="n">
        <x:v>156.78</x:v>
      </x:c>
      <x:c r="H982" s="85" t="str">
        <x:v>Diagnóstico e execução</x:v>
      </x:c>
    </x:row>
    <x:row r="983">
      <x:c r="A983" s="83" t="n">
        <x:v>982</x:v>
      </x:c>
      <x:c r="B983" s="84" t="n">
        <x:v>573</x:v>
      </x:c>
      <x:c r="C983" s="84" t="n">
        <x:v>43</x:v>
      </x:c>
      <x:c r="D983" s="89" t="n">
        <x:v>45870</x:v>
      </x:c>
      <x:c r="E983" s="84" t="n">
        <x:v>4.2</x:v>
      </x:c>
      <x:c r="F983" s="84" t="str">
        <x:v>Normal</x:v>
      </x:c>
      <x:c r="G983" s="93" t="n">
        <x:v>229.57</x:v>
      </x:c>
      <x:c r="H983" s="85" t="str">
        <x:v>Diagnóstico e execução</x:v>
      </x:c>
    </x:row>
    <x:row r="984">
      <x:c r="A984" s="83" t="n">
        <x:v>983</x:v>
      </x:c>
      <x:c r="B984" s="84" t="n">
        <x:v>574</x:v>
      </x:c>
      <x:c r="C984" s="84" t="n">
        <x:v>22</x:v>
      </x:c>
      <x:c r="D984" s="89" t="n">
        <x:v>44954</x:v>
      </x:c>
      <x:c r="E984" s="84" t="n">
        <x:v>7.4</x:v>
      </x:c>
      <x:c r="F984" s="84" t="str">
        <x:v>Normal</x:v>
      </x:c>
      <x:c r="G984" s="93" t="n">
        <x:v>284.6</x:v>
      </x:c>
      <x:c r="H984" s="85" t="str">
        <x:v>Diagnóstico e execução</x:v>
      </x:c>
    </x:row>
    <x:row r="985">
      <x:c r="A985" s="83" t="n">
        <x:v>984</x:v>
      </x:c>
      <x:c r="B985" s="84" t="n">
        <x:v>574</x:v>
      </x:c>
      <x:c r="C985" s="84" t="n">
        <x:v>2</x:v>
      </x:c>
      <x:c r="D985" s="89" t="n">
        <x:v>44954</x:v>
      </x:c>
      <x:c r="E985" s="84" t="n">
        <x:v>4.6</x:v>
      </x:c>
      <x:c r="F985" s="84" t="str">
        <x:v>Normal</x:v>
      </x:c>
      <x:c r="G985" s="93" t="n">
        <x:v>171.4</x:v>
      </x:c>
      <x:c r="H985" s="85" t="str">
        <x:v>Diagnóstico e execução</x:v>
      </x:c>
    </x:row>
    <x:row r="986">
      <x:c r="A986" s="83" t="n">
        <x:v>985</x:v>
      </x:c>
      <x:c r="B986" s="84" t="n">
        <x:v>575</x:v>
      </x:c>
      <x:c r="C986" s="84" t="n">
        <x:v>21</x:v>
      </x:c>
      <x:c r="D986" s="89" t="n">
        <x:v>45927</x:v>
      </x:c>
      <x:c r="E986" s="84" t="n">
        <x:v>6.3</x:v>
      </x:c>
      <x:c r="F986" s="84" t="str">
        <x:v>Normal</x:v>
      </x:c>
      <x:c r="G986" s="93" t="n">
        <x:v>387.01</x:v>
      </x:c>
      <x:c r="H986" s="85" t="str">
        <x:v>Diagnóstico e execução</x:v>
      </x:c>
    </x:row>
    <x:row r="987">
      <x:c r="A987" s="83" t="n">
        <x:v>986</x:v>
      </x:c>
      <x:c r="B987" s="84" t="n">
        <x:v>575</x:v>
      </x:c>
      <x:c r="C987" s="84" t="n">
        <x:v>32</x:v>
      </x:c>
      <x:c r="D987" s="89" t="n">
        <x:v>45927</x:v>
      </x:c>
      <x:c r="E987" s="84" t="n">
        <x:v>1</x:v>
      </x:c>
      <x:c r="F987" s="84" t="str">
        <x:v>Normal</x:v>
      </x:c>
      <x:c r="G987" s="93" t="n">
        <x:v>43.65</x:v>
      </x:c>
      <x:c r="H987" s="85" t="str">
        <x:v>Diagnóstico e execução</x:v>
      </x:c>
    </x:row>
    <x:row r="988">
      <x:c r="A988" s="83" t="n">
        <x:v>987</x:v>
      </x:c>
      <x:c r="B988" s="84" t="n">
        <x:v>575</x:v>
      </x:c>
      <x:c r="C988" s="84" t="n">
        <x:v>3</x:v>
      </x:c>
      <x:c r="D988" s="89" t="n">
        <x:v>45927</x:v>
      </x:c>
      <x:c r="E988" s="84" t="n">
        <x:v>6.9</x:v>
      </x:c>
      <x:c r="F988" s="84" t="str">
        <x:v>Normal</x:v>
      </x:c>
      <x:c r="G988" s="93" t="n">
        <x:v>339.76</x:v>
      </x:c>
      <x:c r="H988" s="85" t="str">
        <x:v>Diagnóstico e execução</x:v>
      </x:c>
    </x:row>
    <x:row r="989">
      <x:c r="A989" s="83" t="n">
        <x:v>988</x:v>
      </x:c>
      <x:c r="B989" s="84" t="n">
        <x:v>576</x:v>
      </x:c>
      <x:c r="C989" s="84" t="n">
        <x:v>28</x:v>
      </x:c>
      <x:c r="D989" s="89" t="n">
        <x:v>45566</x:v>
      </x:c>
      <x:c r="E989" s="84" t="n">
        <x:v>7.1</x:v>
      </x:c>
      <x:c r="F989" s="84" t="str">
        <x:v>Normal</x:v>
      </x:c>
      <x:c r="G989" s="93" t="n">
        <x:v>267.1</x:v>
      </x:c>
      <x:c r="H989" s="85" t="str">
        <x:v>Diagnóstico e execução</x:v>
      </x:c>
    </x:row>
    <x:row r="990">
      <x:c r="A990" s="83" t="n">
        <x:v>989</x:v>
      </x:c>
      <x:c r="B990" s="84" t="n">
        <x:v>576</x:v>
      </x:c>
      <x:c r="C990" s="84" t="n">
        <x:v>17</x:v>
      </x:c>
      <x:c r="D990" s="89" t="n">
        <x:v>45566</x:v>
      </x:c>
      <x:c r="E990" s="84" t="n">
        <x:v>2.4</x:v>
      </x:c>
      <x:c r="F990" s="84" t="str">
        <x:v>Normal</x:v>
      </x:c>
      <x:c r="G990" s="93" t="n">
        <x:v>133.87</x:v>
      </x:c>
      <x:c r="H990" s="85" t="str">
        <x:v>Diagnóstico e execução</x:v>
      </x:c>
    </x:row>
    <x:row r="991">
      <x:c r="A991" s="83" t="n">
        <x:v>990</x:v>
      </x:c>
      <x:c r="B991" s="84" t="n">
        <x:v>577</x:v>
      </x:c>
      <x:c r="C991" s="84" t="n">
        <x:v>12</x:v>
      </x:c>
      <x:c r="D991" s="89" t="n">
        <x:v>45014</x:v>
      </x:c>
      <x:c r="E991" s="84" t="n">
        <x:v>4.2</x:v>
      </x:c>
      <x:c r="F991" s="84" t="str">
        <x:v>Normal</x:v>
      </x:c>
      <x:c r="G991" s="93" t="n">
        <x:v>144.9</x:v>
      </x:c>
      <x:c r="H991" s="85" t="str">
        <x:v>Diagnóstico e execução</x:v>
      </x:c>
    </x:row>
    <x:row r="992">
      <x:c r="A992" s="83" t="n">
        <x:v>991</x:v>
      </x:c>
      <x:c r="B992" s="84" t="n">
        <x:v>577</x:v>
      </x:c>
      <x:c r="C992" s="84" t="n">
        <x:v>23</x:v>
      </x:c>
      <x:c r="D992" s="89" t="n">
        <x:v>45014</x:v>
      </x:c>
      <x:c r="E992" s="84" t="n">
        <x:v>0.8</x:v>
      </x:c>
      <x:c r="F992" s="84" t="str">
        <x:v>Normal</x:v>
      </x:c>
      <x:c r="G992" s="93" t="n">
        <x:v>34.49</x:v>
      </x:c>
      <x:c r="H992" s="85" t="str">
        <x:v>Diagnóstico e execução</x:v>
      </x:c>
    </x:row>
    <x:row r="993">
      <x:c r="A993" s="83" t="n">
        <x:v>992</x:v>
      </x:c>
      <x:c r="B993" s="84" t="n">
        <x:v>578</x:v>
      </x:c>
      <x:c r="C993" s="84" t="n">
        <x:v>33</x:v>
      </x:c>
      <x:c r="D993" s="89" t="n">
        <x:v>45653</x:v>
      </x:c>
      <x:c r="E993" s="84" t="n">
        <x:v>7.1</x:v>
      </x:c>
      <x:c r="F993" s="84" t="str">
        <x:v>Normal</x:v>
      </x:c>
      <x:c r="G993" s="93" t="n">
        <x:v>244.88</x:v>
      </x:c>
      <x:c r="H993" s="85" t="str">
        <x:v>Diagnóstico e execução</x:v>
      </x:c>
    </x:row>
    <x:row r="994">
      <x:c r="A994" s="83" t="n">
        <x:v>993</x:v>
      </x:c>
      <x:c r="B994" s="84" t="n">
        <x:v>578</x:v>
      </x:c>
      <x:c r="C994" s="84" t="n">
        <x:v>19</x:v>
      </x:c>
      <x:c r="D994" s="89" t="n">
        <x:v>45653</x:v>
      </x:c>
      <x:c r="E994" s="84" t="n">
        <x:v>5.7</x:v>
      </x:c>
      <x:c r="F994" s="84" t="str">
        <x:v>Normal</x:v>
      </x:c>
      <x:c r="G994" s="93" t="n">
        <x:v>264.94</x:v>
      </x:c>
      <x:c r="H994" s="85" t="str">
        <x:v>Diagnóstico e execução</x:v>
      </x:c>
    </x:row>
    <x:row r="995">
      <x:c r="A995" s="83" t="n">
        <x:v>994</x:v>
      </x:c>
      <x:c r="B995" s="84" t="n">
        <x:v>578</x:v>
      </x:c>
      <x:c r="C995" s="84" t="n">
        <x:v>3</x:v>
      </x:c>
      <x:c r="D995" s="89" t="n">
        <x:v>45653</x:v>
      </x:c>
      <x:c r="E995" s="84" t="n">
        <x:v>3.2</x:v>
      </x:c>
      <x:c r="F995" s="84" t="str">
        <x:v>Normal</x:v>
      </x:c>
      <x:c r="G995" s="93" t="n">
        <x:v>157.57</x:v>
      </x:c>
      <x:c r="H995" s="85" t="str">
        <x:v>Diagnóstico e execução</x:v>
      </x:c>
    </x:row>
    <x:row r="996">
      <x:c r="A996" s="83" t="n">
        <x:v>995</x:v>
      </x:c>
      <x:c r="B996" s="84" t="n">
        <x:v>579</x:v>
      </x:c>
      <x:c r="C996" s="84" t="n">
        <x:v>39</x:v>
      </x:c>
      <x:c r="D996" s="89" t="n">
        <x:v>45712</x:v>
      </x:c>
      <x:c r="E996" s="84" t="n">
        <x:v>2</x:v>
      </x:c>
      <x:c r="F996" s="84" t="str">
        <x:v>Normal</x:v>
      </x:c>
      <x:c r="G996" s="93" t="n">
        <x:v>115.8</x:v>
      </x:c>
      <x:c r="H996" s="85" t="str">
        <x:v>Diagnóstico e execução</x:v>
      </x:c>
    </x:row>
    <x:row r="997">
      <x:c r="A997" s="83" t="n">
        <x:v>996</x:v>
      </x:c>
      <x:c r="B997" s="84" t="n">
        <x:v>579</x:v>
      </x:c>
      <x:c r="C997" s="84" t="n">
        <x:v>2</x:v>
      </x:c>
      <x:c r="D997" s="89" t="n">
        <x:v>45712</x:v>
      </x:c>
      <x:c r="E997" s="84" t="n">
        <x:v>4.3</x:v>
      </x:c>
      <x:c r="F997" s="84" t="str">
        <x:v>Normal</x:v>
      </x:c>
      <x:c r="G997" s="93" t="n">
        <x:v>160.22</x:v>
      </x:c>
      <x:c r="H997" s="85" t="str">
        <x:v>Diagnóstico e execução</x:v>
      </x:c>
    </x:row>
    <x:row r="998">
      <x:c r="A998" s="83" t="n">
        <x:v>997</x:v>
      </x:c>
      <x:c r="B998" s="84" t="n">
        <x:v>579</x:v>
      </x:c>
      <x:c r="C998" s="84" t="n">
        <x:v>13</x:v>
      </x:c>
      <x:c r="D998" s="89" t="n">
        <x:v>45712</x:v>
      </x:c>
      <x:c r="E998" s="84" t="n">
        <x:v>7.8</x:v>
      </x:c>
      <x:c r="F998" s="84" t="str">
        <x:v>Normal</x:v>
      </x:c>
      <x:c r="G998" s="93" t="n">
        <x:v>264.26</x:v>
      </x:c>
      <x:c r="H998" s="85" t="str">
        <x:v>Diagnóstico e execução</x:v>
      </x:c>
    </x:row>
    <x:row r="999">
      <x:c r="A999" s="83" t="n">
        <x:v>998</x:v>
      </x:c>
      <x:c r="B999" s="84" t="n">
        <x:v>580</x:v>
      </x:c>
      <x:c r="C999" s="84" t="n">
        <x:v>14</x:v>
      </x:c>
      <x:c r="D999" s="89" t="n">
        <x:v>45700</x:v>
      </x:c>
      <x:c r="E999" s="84" t="n">
        <x:v>4.4</x:v>
      </x:c>
      <x:c r="F999" s="84" t="str">
        <x:v>Normal</x:v>
      </x:c>
      <x:c r="G999" s="93" t="n">
        <x:v>249.3</x:v>
      </x:c>
      <x:c r="H999" s="85" t="str">
        <x:v>Diagnóstico e execução</x:v>
      </x:c>
    </x:row>
    <x:row r="1000">
      <x:c r="A1000" s="83" t="n">
        <x:v>999</x:v>
      </x:c>
      <x:c r="B1000" s="84" t="n">
        <x:v>581</x:v>
      </x:c>
      <x:c r="C1000" s="84" t="n">
        <x:v>15</x:v>
      </x:c>
      <x:c r="D1000" s="89" t="n">
        <x:v>45031</x:v>
      </x:c>
      <x:c r="E1000" s="84" t="n">
        <x:v>7.7</x:v>
      </x:c>
      <x:c r="F1000" s="84" t="str">
        <x:v>Normal</x:v>
      </x:c>
      <x:c r="G1000" s="93" t="n">
        <x:v>232.85</x:v>
      </x:c>
      <x:c r="H1000" s="85" t="str">
        <x:v>Diagnóstico e execução</x:v>
      </x:c>
    </x:row>
    <x:row r="1001">
      <x:c r="A1001" s="83" t="n">
        <x:v>1000</x:v>
      </x:c>
      <x:c r="B1001" s="84" t="n">
        <x:v>581</x:v>
      </x:c>
      <x:c r="C1001" s="84" t="n">
        <x:v>37</x:v>
      </x:c>
      <x:c r="D1001" s="89" t="n">
        <x:v>45031</x:v>
      </x:c>
      <x:c r="E1001" s="84" t="n">
        <x:v>2.6</x:v>
      </x:c>
      <x:c r="F1001" s="84" t="str">
        <x:v>Normal</x:v>
      </x:c>
      <x:c r="G1001" s="93" t="n">
        <x:v>153.32</x:v>
      </x:c>
      <x:c r="H1001" s="85" t="str">
        <x:v>Diagnóstico e execução</x:v>
      </x:c>
    </x:row>
    <x:row r="1002">
      <x:c r="A1002" s="83" t="n">
        <x:v>1001</x:v>
      </x:c>
      <x:c r="B1002" s="84" t="n">
        <x:v>583</x:v>
      </x:c>
      <x:c r="C1002" s="84" t="n">
        <x:v>16</x:v>
      </x:c>
      <x:c r="D1002" s="89" t="n">
        <x:v>45887</x:v>
      </x:c>
      <x:c r="E1002" s="84" t="n">
        <x:v>5.8</x:v>
      </x:c>
      <x:c r="F1002" s="84" t="str">
        <x:v>Normal</x:v>
      </x:c>
      <x:c r="G1002" s="93" t="n">
        <x:v>235.02</x:v>
      </x:c>
      <x:c r="H1002" s="85" t="str">
        <x:v>Diagnóstico e execução</x:v>
      </x:c>
    </x:row>
    <x:row r="1003">
      <x:c r="A1003" s="83" t="n">
        <x:v>1002</x:v>
      </x:c>
      <x:c r="B1003" s="84" t="n">
        <x:v>583</x:v>
      </x:c>
      <x:c r="C1003" s="84" t="n">
        <x:v>45</x:v>
      </x:c>
      <x:c r="D1003" s="89" t="n">
        <x:v>45887</x:v>
      </x:c>
      <x:c r="E1003" s="84" t="n">
        <x:v>3.4</x:v>
      </x:c>
      <x:c r="F1003" s="84" t="str">
        <x:v>Normal</x:v>
      </x:c>
      <x:c r="G1003" s="93" t="n">
        <x:v>182.14</x:v>
      </x:c>
      <x:c r="H1003" s="85" t="str">
        <x:v>Diagnóstico e execução</x:v>
      </x:c>
    </x:row>
    <x:row r="1004">
      <x:c r="A1004" s="83" t="n">
        <x:v>1003</x:v>
      </x:c>
      <x:c r="B1004" s="84" t="n">
        <x:v>584</x:v>
      </x:c>
      <x:c r="C1004" s="84" t="n">
        <x:v>5</x:v>
      </x:c>
      <x:c r="D1004" s="89" t="n">
        <x:v>45955</x:v>
      </x:c>
      <x:c r="E1004" s="84" t="n">
        <x:v>2.4</x:v>
      </x:c>
      <x:c r="F1004" s="84" t="str">
        <x:v>Normal</x:v>
      </x:c>
      <x:c r="G1004" s="93" t="n">
        <x:v>69.17</x:v>
      </x:c>
      <x:c r="H1004" s="85" t="str">
        <x:v>Diagnóstico e execução</x:v>
      </x:c>
    </x:row>
    <x:row r="1005">
      <x:c r="A1005" s="83" t="n">
        <x:v>1004</x:v>
      </x:c>
      <x:c r="B1005" s="84" t="n">
        <x:v>584</x:v>
      </x:c>
      <x:c r="C1005" s="84" t="n">
        <x:v>33</x:v>
      </x:c>
      <x:c r="D1005" s="89" t="n">
        <x:v>45955</x:v>
      </x:c>
      <x:c r="E1005" s="84" t="n">
        <x:v>7.2</x:v>
      </x:c>
      <x:c r="F1005" s="84" t="str">
        <x:v>Normal</x:v>
      </x:c>
      <x:c r="G1005" s="93" t="n">
        <x:v>248.33</x:v>
      </x:c>
      <x:c r="H1005" s="85" t="str">
        <x:v>Diagnóstico e execução</x:v>
      </x:c>
    </x:row>
    <x:row r="1006">
      <x:c r="A1006" s="83" t="n">
        <x:v>1005</x:v>
      </x:c>
      <x:c r="B1006" s="84" t="n">
        <x:v>585</x:v>
      </x:c>
      <x:c r="C1006" s="84" t="n">
        <x:v>11</x:v>
      </x:c>
      <x:c r="D1006" s="89" t="n">
        <x:v>45525</x:v>
      </x:c>
      <x:c r="E1006" s="84" t="n">
        <x:v>3.4</x:v>
      </x:c>
      <x:c r="F1006" s="84" t="str">
        <x:v>Normal</x:v>
      </x:c>
      <x:c r="G1006" s="93" t="n">
        <x:v>141.71</x:v>
      </x:c>
      <x:c r="H1006" s="85" t="str">
        <x:v>Diagnóstico e execução</x:v>
      </x:c>
    </x:row>
    <x:row r="1007">
      <x:c r="A1007" s="83" t="n">
        <x:v>1006</x:v>
      </x:c>
      <x:c r="B1007" s="84" t="n">
        <x:v>585</x:v>
      </x:c>
      <x:c r="C1007" s="84" t="n">
        <x:v>15</x:v>
      </x:c>
      <x:c r="D1007" s="89" t="n">
        <x:v>45525</x:v>
      </x:c>
      <x:c r="E1007" s="84" t="n">
        <x:v>4.9</x:v>
      </x:c>
      <x:c r="F1007" s="84" t="str">
        <x:v>Normal</x:v>
      </x:c>
      <x:c r="G1007" s="93" t="n">
        <x:v>148.18</x:v>
      </x:c>
      <x:c r="H1007" s="85" t="str">
        <x:v>Diagnóstico e execução</x:v>
      </x:c>
    </x:row>
    <x:row r="1008">
      <x:c r="A1008" s="83" t="n">
        <x:v>1007</x:v>
      </x:c>
      <x:c r="B1008" s="84" t="n">
        <x:v>586</x:v>
      </x:c>
      <x:c r="C1008" s="84" t="n">
        <x:v>19</x:v>
      </x:c>
      <x:c r="D1008" s="89" t="n">
        <x:v>45635</x:v>
      </x:c>
      <x:c r="E1008" s="84" t="n">
        <x:v>4.9</x:v>
      </x:c>
      <x:c r="F1008" s="84" t="str">
        <x:v>Normal</x:v>
      </x:c>
      <x:c r="G1008" s="93" t="n">
        <x:v>227.75</x:v>
      </x:c>
      <x:c r="H1008" s="85" t="str">
        <x:v>Diagnóstico e execução</x:v>
      </x:c>
    </x:row>
    <x:row r="1009">
      <x:c r="A1009" s="83" t="n">
        <x:v>1008</x:v>
      </x:c>
      <x:c r="B1009" s="84" t="n">
        <x:v>587</x:v>
      </x:c>
      <x:c r="C1009" s="84" t="n">
        <x:v>37</x:v>
      </x:c>
      <x:c r="D1009" s="89" t="n">
        <x:v>45052</x:v>
      </x:c>
      <x:c r="E1009" s="84" t="n">
        <x:v>3.7</x:v>
      </x:c>
      <x:c r="F1009" s="84" t="str">
        <x:v>Normal</x:v>
      </x:c>
      <x:c r="G1009" s="93" t="n">
        <x:v>218.19</x:v>
      </x:c>
      <x:c r="H1009" s="85" t="str">
        <x:v>Diagnóstico e execução</x:v>
      </x:c>
    </x:row>
    <x:row r="1010">
      <x:c r="A1010" s="83" t="n">
        <x:v>1009</x:v>
      </x:c>
      <x:c r="B1010" s="84" t="n">
        <x:v>587</x:v>
      </x:c>
      <x:c r="C1010" s="84" t="n">
        <x:v>4</x:v>
      </x:c>
      <x:c r="D1010" s="89" t="n">
        <x:v>45052</x:v>
      </x:c>
      <x:c r="E1010" s="84" t="n">
        <x:v>2.5</x:v>
      </x:c>
      <x:c r="F1010" s="84" t="str">
        <x:v>Normal</x:v>
      </x:c>
      <x:c r="G1010" s="93" t="n">
        <x:v>122.97</x:v>
      </x:c>
      <x:c r="H1010" s="85" t="str">
        <x:v>Diagnóstico e execução</x:v>
      </x:c>
    </x:row>
    <x:row r="1011">
      <x:c r="A1011" s="83" t="n">
        <x:v>1010</x:v>
      </x:c>
      <x:c r="B1011" s="84" t="n">
        <x:v>588</x:v>
      </x:c>
      <x:c r="C1011" s="84" t="n">
        <x:v>18</x:v>
      </x:c>
      <x:c r="D1011" s="89" t="n">
        <x:v>45228</x:v>
      </x:c>
      <x:c r="E1011" s="84" t="n">
        <x:v>5.6</x:v>
      </x:c>
      <x:c r="F1011" s="84" t="str">
        <x:v>Normal</x:v>
      </x:c>
      <x:c r="G1011" s="93" t="n">
        <x:v>353.3</x:v>
      </x:c>
      <x:c r="H1011" s="85" t="str">
        <x:v>Diagnóstico e execução</x:v>
      </x:c>
    </x:row>
    <x:row r="1012">
      <x:c r="A1012" s="83" t="n">
        <x:v>1011</x:v>
      </x:c>
      <x:c r="B1012" s="84" t="n">
        <x:v>589</x:v>
      </x:c>
      <x:c r="C1012" s="84" t="n">
        <x:v>19</x:v>
      </x:c>
      <x:c r="D1012" s="89" t="n">
        <x:v>45694</x:v>
      </x:c>
      <x:c r="E1012" s="84" t="n">
        <x:v>0.9</x:v>
      </x:c>
      <x:c r="F1012" s="84" t="str">
        <x:v>Normal</x:v>
      </x:c>
      <x:c r="G1012" s="93" t="n">
        <x:v>41.83</x:v>
      </x:c>
      <x:c r="H1012" s="85" t="str">
        <x:v>Diagnóstico e execução</x:v>
      </x:c>
    </x:row>
    <x:row r="1013">
      <x:c r="A1013" s="83" t="n">
        <x:v>1012</x:v>
      </x:c>
      <x:c r="B1013" s="84" t="n">
        <x:v>590</x:v>
      </x:c>
      <x:c r="C1013" s="84" t="n">
        <x:v>2</x:v>
      </x:c>
      <x:c r="D1013" s="89" t="n">
        <x:v>44992</x:v>
      </x:c>
      <x:c r="E1013" s="84" t="n">
        <x:v>7.5</x:v>
      </x:c>
      <x:c r="F1013" s="84" t="str">
        <x:v>Normal</x:v>
      </x:c>
      <x:c r="G1013" s="93" t="n">
        <x:v>279.45</x:v>
      </x:c>
      <x:c r="H1013" s="85" t="str">
        <x:v>Diagnóstico e execução</x:v>
      </x:c>
    </x:row>
    <x:row r="1014">
      <x:c r="A1014" s="83" t="n">
        <x:v>1013</x:v>
      </x:c>
      <x:c r="B1014" s="84" t="n">
        <x:v>591</x:v>
      </x:c>
      <x:c r="C1014" s="84" t="n">
        <x:v>36</x:v>
      </x:c>
      <x:c r="D1014" s="89" t="n">
        <x:v>45990</x:v>
      </x:c>
      <x:c r="E1014" s="84" t="n">
        <x:v>2</x:v>
      </x:c>
      <x:c r="F1014" s="84" t="str">
        <x:v>Normal</x:v>
      </x:c>
      <x:c r="G1014" s="93" t="n">
        <x:v>59.32</x:v>
      </x:c>
      <x:c r="H1014" s="85" t="str">
        <x:v>Diagnóstico e execução</x:v>
      </x:c>
    </x:row>
    <x:row r="1015">
      <x:c r="A1015" s="83" t="n">
        <x:v>1014</x:v>
      </x:c>
      <x:c r="B1015" s="84" t="n">
        <x:v>591</x:v>
      </x:c>
      <x:c r="C1015" s="84" t="n">
        <x:v>38</x:v>
      </x:c>
      <x:c r="D1015" s="89" t="n">
        <x:v>45990</x:v>
      </x:c>
      <x:c r="E1015" s="84" t="n">
        <x:v>5.6</x:v>
      </x:c>
      <x:c r="F1015" s="84" t="str">
        <x:v>Normal</x:v>
      </x:c>
      <x:c r="G1015" s="93" t="n">
        <x:v>188.55</x:v>
      </x:c>
      <x:c r="H1015" s="85" t="str">
        <x:v>Diagnóstico e execução</x:v>
      </x:c>
    </x:row>
    <x:row r="1016">
      <x:c r="A1016" s="83" t="n">
        <x:v>1015</x:v>
      </x:c>
      <x:c r="B1016" s="84" t="n">
        <x:v>591</x:v>
      </x:c>
      <x:c r="C1016" s="84" t="n">
        <x:v>45</x:v>
      </x:c>
      <x:c r="D1016" s="89" t="n">
        <x:v>45990</x:v>
      </x:c>
      <x:c r="E1016" s="84" t="n">
        <x:v>0.7</x:v>
      </x:c>
      <x:c r="F1016" s="84" t="str">
        <x:v>Normal</x:v>
      </x:c>
      <x:c r="G1016" s="93" t="n">
        <x:v>37.5</x:v>
      </x:c>
      <x:c r="H1016" s="85" t="str">
        <x:v>Diagnóstico e execução</x:v>
      </x:c>
    </x:row>
    <x:row r="1017">
      <x:c r="A1017" s="83" t="n">
        <x:v>1016</x:v>
      </x:c>
      <x:c r="B1017" s="84" t="n">
        <x:v>592</x:v>
      </x:c>
      <x:c r="C1017" s="84" t="n">
        <x:v>37</x:v>
      </x:c>
      <x:c r="D1017" s="89" t="n">
        <x:v>44950</x:v>
      </x:c>
      <x:c r="E1017" s="84" t="n">
        <x:v>7.2</x:v>
      </x:c>
      <x:c r="F1017" s="84" t="str">
        <x:v>Normal</x:v>
      </x:c>
      <x:c r="G1017" s="93" t="n">
        <x:v>424.58</x:v>
      </x:c>
      <x:c r="H1017" s="85" t="str">
        <x:v>Diagnóstico e execução</x:v>
      </x:c>
    </x:row>
    <x:row r="1018">
      <x:c r="A1018" s="83" t="n">
        <x:v>1017</x:v>
      </x:c>
      <x:c r="B1018" s="84" t="n">
        <x:v>592</x:v>
      </x:c>
      <x:c r="C1018" s="84" t="n">
        <x:v>44</x:v>
      </x:c>
      <x:c r="D1018" s="89" t="n">
        <x:v>44950</x:v>
      </x:c>
      <x:c r="E1018" s="84" t="n">
        <x:v>7.5</x:v>
      </x:c>
      <x:c r="F1018" s="84" t="str">
        <x:v>Normal</x:v>
      </x:c>
      <x:c r="G1018" s="93" t="n">
        <x:v>210.3</x:v>
      </x:c>
      <x:c r="H1018" s="85" t="str">
        <x:v>Diagnóstico e execução</x:v>
      </x:c>
    </x:row>
    <x:row r="1019">
      <x:c r="A1019" s="83" t="n">
        <x:v>1018</x:v>
      </x:c>
      <x:c r="B1019" s="84" t="n">
        <x:v>594</x:v>
      </x:c>
      <x:c r="C1019" s="84" t="n">
        <x:v>2</x:v>
      </x:c>
      <x:c r="D1019" s="89" t="n">
        <x:v>45538</x:v>
      </x:c>
      <x:c r="E1019" s="84" t="n">
        <x:v>7.8</x:v>
      </x:c>
      <x:c r="F1019" s="84" t="str">
        <x:v>Normal</x:v>
      </x:c>
      <x:c r="G1019" s="93" t="n">
        <x:v>290.63</x:v>
      </x:c>
      <x:c r="H1019" s="85" t="str">
        <x:v>Diagnóstico e execução</x:v>
      </x:c>
    </x:row>
    <x:row r="1020">
      <x:c r="A1020" s="83" t="n">
        <x:v>1019</x:v>
      </x:c>
      <x:c r="B1020" s="84" t="n">
        <x:v>594</x:v>
      </x:c>
      <x:c r="C1020" s="84" t="n">
        <x:v>27</x:v>
      </x:c>
      <x:c r="D1020" s="89" t="n">
        <x:v>45538</x:v>
      </x:c>
      <x:c r="E1020" s="84" t="n">
        <x:v>2.7</x:v>
      </x:c>
      <x:c r="F1020" s="84" t="str">
        <x:v>Normal</x:v>
      </x:c>
      <x:c r="G1020" s="93" t="n">
        <x:v>164.67</x:v>
      </x:c>
      <x:c r="H1020" s="85" t="str">
        <x:v>Diagnóstico e execução</x:v>
      </x:c>
    </x:row>
    <x:row r="1021">
      <x:c r="A1021" s="83" t="n">
        <x:v>1020</x:v>
      </x:c>
      <x:c r="B1021" s="84" t="n">
        <x:v>594</x:v>
      </x:c>
      <x:c r="C1021" s="84" t="n">
        <x:v>11</x:v>
      </x:c>
      <x:c r="D1021" s="89" t="n">
        <x:v>45538</x:v>
      </x:c>
      <x:c r="E1021" s="84" t="n">
        <x:v>1.7</x:v>
      </x:c>
      <x:c r="F1021" s="84" t="str">
        <x:v>Normal</x:v>
      </x:c>
      <x:c r="G1021" s="93" t="n">
        <x:v>70.86</x:v>
      </x:c>
      <x:c r="H1021" s="85" t="str">
        <x:v>Diagnóstico e execução</x:v>
      </x:c>
    </x:row>
    <x:row r="1022">
      <x:c r="A1022" s="83" t="n">
        <x:v>1021</x:v>
      </x:c>
      <x:c r="B1022" s="84" t="n">
        <x:v>595</x:v>
      </x:c>
      <x:c r="C1022" s="84" t="n">
        <x:v>18</x:v>
      </x:c>
      <x:c r="D1022" s="89" t="n">
        <x:v>45634</x:v>
      </x:c>
      <x:c r="E1022" s="84" t="n">
        <x:v>0.9</x:v>
      </x:c>
      <x:c r="F1022" s="84" t="str">
        <x:v>Normal</x:v>
      </x:c>
      <x:c r="G1022" s="93" t="n">
        <x:v>56.78</x:v>
      </x:c>
      <x:c r="H1022" s="85" t="str">
        <x:v>Diagnóstico e execução</x:v>
      </x:c>
    </x:row>
    <x:row r="1023">
      <x:c r="A1023" s="83" t="n">
        <x:v>1022</x:v>
      </x:c>
      <x:c r="B1023" s="84" t="n">
        <x:v>595</x:v>
      </x:c>
      <x:c r="C1023" s="84" t="n">
        <x:v>12</x:v>
      </x:c>
      <x:c r="D1023" s="89" t="n">
        <x:v>45634</x:v>
      </x:c>
      <x:c r="E1023" s="84" t="n">
        <x:v>3.1</x:v>
      </x:c>
      <x:c r="F1023" s="84" t="str">
        <x:v>Normal</x:v>
      </x:c>
      <x:c r="G1023" s="93" t="n">
        <x:v>106.95</x:v>
      </x:c>
      <x:c r="H1023" s="85" t="str">
        <x:v>Diagnóstico e execução</x:v>
      </x:c>
    </x:row>
    <x:row r="1024">
      <x:c r="A1024" s="83" t="n">
        <x:v>1023</x:v>
      </x:c>
      <x:c r="B1024" s="84" t="n">
        <x:v>595</x:v>
      </x:c>
      <x:c r="C1024" s="84" t="n">
        <x:v>42</x:v>
      </x:c>
      <x:c r="D1024" s="89" t="n">
        <x:v>45634</x:v>
      </x:c>
      <x:c r="E1024" s="84" t="n">
        <x:v>2.1</x:v>
      </x:c>
      <x:c r="F1024" s="84" t="str">
        <x:v>Normal</x:v>
      </x:c>
      <x:c r="G1024" s="93" t="n">
        <x:v>88.58</x:v>
      </x:c>
      <x:c r="H1024" s="85" t="str">
        <x:v>Diagnóstico e execução</x:v>
      </x:c>
    </x:row>
    <x:row r="1025">
      <x:c r="A1025" s="83" t="n">
        <x:v>1024</x:v>
      </x:c>
      <x:c r="B1025" s="84" t="n">
        <x:v>596</x:v>
      </x:c>
      <x:c r="C1025" s="84" t="n">
        <x:v>34</x:v>
      </x:c>
      <x:c r="D1025" s="89" t="n">
        <x:v>45721</x:v>
      </x:c>
      <x:c r="E1025" s="84" t="n">
        <x:v>6</x:v>
      </x:c>
      <x:c r="F1025" s="84" t="str">
        <x:v>Normal</x:v>
      </x:c>
      <x:c r="G1025" s="93" t="n">
        <x:v>259.38</x:v>
      </x:c>
      <x:c r="H1025" s="85" t="str">
        <x:v>Diagnóstico e execução</x:v>
      </x:c>
    </x:row>
    <x:row r="1026">
      <x:c r="A1026" s="83" t="n">
        <x:v>1025</x:v>
      </x:c>
      <x:c r="B1026" s="84" t="n">
        <x:v>596</x:v>
      </x:c>
      <x:c r="C1026" s="84" t="n">
        <x:v>42</x:v>
      </x:c>
      <x:c r="D1026" s="89" t="n">
        <x:v>45721</x:v>
      </x:c>
      <x:c r="E1026" s="84" t="n">
        <x:v>4.4</x:v>
      </x:c>
      <x:c r="F1026" s="84" t="str">
        <x:v>Normal</x:v>
      </x:c>
      <x:c r="G1026" s="93" t="n">
        <x:v>185.59</x:v>
      </x:c>
      <x:c r="H1026" s="85" t="str">
        <x:v>Diagnóstico e execução</x:v>
      </x:c>
    </x:row>
    <x:row r="1027">
      <x:c r="A1027" s="83" t="n">
        <x:v>1026</x:v>
      </x:c>
      <x:c r="B1027" s="84" t="n">
        <x:v>596</x:v>
      </x:c>
      <x:c r="C1027" s="84" t="n">
        <x:v>28</x:v>
      </x:c>
      <x:c r="D1027" s="89" t="n">
        <x:v>45721</x:v>
      </x:c>
      <x:c r="E1027" s="84" t="n">
        <x:v>6</x:v>
      </x:c>
      <x:c r="F1027" s="84" t="str">
        <x:v>Normal</x:v>
      </x:c>
      <x:c r="G1027" s="93" t="n">
        <x:v>225.72</x:v>
      </x:c>
      <x:c r="H1027" s="85" t="str">
        <x:v>Diagnóstico e execução</x:v>
      </x:c>
    </x:row>
    <x:row r="1028">
      <x:c r="A1028" s="83" t="n">
        <x:v>1027</x:v>
      </x:c>
      <x:c r="B1028" s="84" t="n">
        <x:v>597</x:v>
      </x:c>
      <x:c r="C1028" s="84" t="n">
        <x:v>7</x:v>
      </x:c>
      <x:c r="D1028" s="89" t="n">
        <x:v>45225</x:v>
      </x:c>
      <x:c r="E1028" s="84" t="n">
        <x:v>1.1</x:v>
      </x:c>
      <x:c r="F1028" s="84" t="str">
        <x:v>Normal</x:v>
      </x:c>
      <x:c r="G1028" s="93" t="n">
        <x:v>64.03</x:v>
      </x:c>
      <x:c r="H1028" s="85" t="str">
        <x:v>Diagnóstico e execução</x:v>
      </x:c>
    </x:row>
    <x:row r="1029">
      <x:c r="A1029" s="83" t="n">
        <x:v>1028</x:v>
      </x:c>
      <x:c r="B1029" s="84" t="n">
        <x:v>597</x:v>
      </x:c>
      <x:c r="C1029" s="84" t="n">
        <x:v>41</x:v>
      </x:c>
      <x:c r="D1029" s="89" t="n">
        <x:v>45225</x:v>
      </x:c>
      <x:c r="E1029" s="84" t="n">
        <x:v>2.6</x:v>
      </x:c>
      <x:c r="F1029" s="84" t="str">
        <x:v>Normal</x:v>
      </x:c>
      <x:c r="G1029" s="93" t="n">
        <x:v>131.51</x:v>
      </x:c>
      <x:c r="H1029" s="85" t="str">
        <x:v>Diagnóstico e execução</x:v>
      </x:c>
    </x:row>
    <x:row r="1030">
      <x:c r="A1030" s="83" t="n">
        <x:v>1029</x:v>
      </x:c>
      <x:c r="B1030" s="84" t="n">
        <x:v>598</x:v>
      </x:c>
      <x:c r="C1030" s="84" t="n">
        <x:v>39</x:v>
      </x:c>
      <x:c r="D1030" s="89" t="n">
        <x:v>45589</x:v>
      </x:c>
      <x:c r="E1030" s="84" t="n">
        <x:v>0.8</x:v>
      </x:c>
      <x:c r="F1030" s="84" t="str">
        <x:v>Normal</x:v>
      </x:c>
      <x:c r="G1030" s="93" t="n">
        <x:v>46.32</x:v>
      </x:c>
      <x:c r="H1030" s="85" t="str">
        <x:v>Diagnóstico e execução</x:v>
      </x:c>
    </x:row>
    <x:row r="1031">
      <x:c r="A1031" s="83" t="n">
        <x:v>1030</x:v>
      </x:c>
      <x:c r="B1031" s="84" t="n">
        <x:v>599</x:v>
      </x:c>
      <x:c r="C1031" s="84" t="n">
        <x:v>3</x:v>
      </x:c>
      <x:c r="D1031" s="89" t="n">
        <x:v>45827</x:v>
      </x:c>
      <x:c r="E1031" s="84" t="n">
        <x:v>1.5</x:v>
      </x:c>
      <x:c r="F1031" s="84" t="str">
        <x:v>Normal</x:v>
      </x:c>
      <x:c r="G1031" s="93" t="n">
        <x:v>73.86</x:v>
      </x:c>
      <x:c r="H1031" s="85" t="str">
        <x:v>Diagnóstico e execução</x:v>
      </x:c>
    </x:row>
    <x:row r="1032">
      <x:c r="A1032" s="83" t="n">
        <x:v>1031</x:v>
      </x:c>
      <x:c r="B1032" s="84" t="n">
        <x:v>599</x:v>
      </x:c>
      <x:c r="C1032" s="84" t="n">
        <x:v>35</x:v>
      </x:c>
      <x:c r="D1032" s="89" t="n">
        <x:v>45827</x:v>
      </x:c>
      <x:c r="E1032" s="84" t="n">
        <x:v>5</x:v>
      </x:c>
      <x:c r="F1032" s="84" t="str">
        <x:v>Normal</x:v>
      </x:c>
      <x:c r="G1032" s="93" t="n">
        <x:v>245.95</x:v>
      </x:c>
      <x:c r="H1032" s="85" t="str">
        <x:v>Diagnóstico e execução</x:v>
      </x:c>
    </x:row>
    <x:row r="1033">
      <x:c r="A1033" s="83" t="n">
        <x:v>1032</x:v>
      </x:c>
      <x:c r="B1033" s="84" t="n">
        <x:v>599</x:v>
      </x:c>
      <x:c r="C1033" s="84" t="n">
        <x:v>41</x:v>
      </x:c>
      <x:c r="D1033" s="89" t="n">
        <x:v>45827</x:v>
      </x:c>
      <x:c r="E1033" s="84" t="n">
        <x:v>6.5</x:v>
      </x:c>
      <x:c r="F1033" s="84" t="str">
        <x:v>Normal</x:v>
      </x:c>
      <x:c r="G1033" s="93" t="n">
        <x:v>328.77</x:v>
      </x:c>
      <x:c r="H1033" s="85" t="str">
        <x:v>Diagnóstico e execução</x:v>
      </x:c>
    </x:row>
    <x:row r="1034">
      <x:c r="A1034" s="83" t="n">
        <x:v>1033</x:v>
      </x:c>
      <x:c r="B1034" s="84" t="n">
        <x:v>600</x:v>
      </x:c>
      <x:c r="C1034" s="84" t="n">
        <x:v>14</x:v>
      </x:c>
      <x:c r="D1034" s="89" t="n">
        <x:v>45970</x:v>
      </x:c>
      <x:c r="E1034" s="84" t="n">
        <x:v>7.2</x:v>
      </x:c>
      <x:c r="F1034" s="84" t="str">
        <x:v>Normal</x:v>
      </x:c>
      <x:c r="G1034" s="93" t="n">
        <x:v>407.95</x:v>
      </x:c>
      <x:c r="H1034" s="85" t="str">
        <x:v>Diagnóstico e execução</x:v>
      </x:c>
    </x:row>
    <x:row r="1035">
      <x:c r="A1035" s="83" t="n">
        <x:v>1034</x:v>
      </x:c>
      <x:c r="B1035" s="84" t="n">
        <x:v>601</x:v>
      </x:c>
      <x:c r="C1035" s="84" t="n">
        <x:v>17</x:v>
      </x:c>
      <x:c r="D1035" s="89" t="n">
        <x:v>45249</x:v>
      </x:c>
      <x:c r="E1035" s="84" t="n">
        <x:v>2.1</x:v>
      </x:c>
      <x:c r="F1035" s="84" t="str">
        <x:v>Normal</x:v>
      </x:c>
      <x:c r="G1035" s="93" t="n">
        <x:v>117.14</x:v>
      </x:c>
      <x:c r="H1035" s="85" t="str">
        <x:v>Diagnóstico e execução</x:v>
      </x:c>
    </x:row>
    <x:row r="1036">
      <x:c r="A1036" s="83" t="n">
        <x:v>1035</x:v>
      </x:c>
      <x:c r="B1036" s="84" t="n">
        <x:v>601</x:v>
      </x:c>
      <x:c r="C1036" s="84" t="n">
        <x:v>5</x:v>
      </x:c>
      <x:c r="D1036" s="89" t="n">
        <x:v>45249</x:v>
      </x:c>
      <x:c r="E1036" s="84" t="n">
        <x:v>6.2</x:v>
      </x:c>
      <x:c r="F1036" s="84" t="str">
        <x:v>Normal</x:v>
      </x:c>
      <x:c r="G1036" s="93" t="n">
        <x:v>178.68</x:v>
      </x:c>
      <x:c r="H1036" s="85" t="str">
        <x:v>Diagnóstico e execução</x:v>
      </x:c>
    </x:row>
    <x:row r="1037">
      <x:c r="A1037" s="83" t="n">
        <x:v>1036</x:v>
      </x:c>
      <x:c r="B1037" s="84" t="n">
        <x:v>602</x:v>
      </x:c>
      <x:c r="C1037" s="84" t="n">
        <x:v>32</x:v>
      </x:c>
      <x:c r="D1037" s="89" t="n">
        <x:v>45986</x:v>
      </x:c>
      <x:c r="E1037" s="84" t="n">
        <x:v>2.2</x:v>
      </x:c>
      <x:c r="F1037" s="84" t="str">
        <x:v>Normal</x:v>
      </x:c>
      <x:c r="G1037" s="93" t="n">
        <x:v>96.03</x:v>
      </x:c>
      <x:c r="H1037" s="85" t="str">
        <x:v>Diagnóstico e execução</x:v>
      </x:c>
    </x:row>
    <x:row r="1038">
      <x:c r="A1038" s="83" t="n">
        <x:v>1037</x:v>
      </x:c>
      <x:c r="B1038" s="84" t="n">
        <x:v>603</x:v>
      </x:c>
      <x:c r="C1038" s="84" t="n">
        <x:v>10</x:v>
      </x:c>
      <x:c r="D1038" s="89" t="n">
        <x:v>45950</x:v>
      </x:c>
      <x:c r="E1038" s="84" t="n">
        <x:v>7.4</x:v>
      </x:c>
      <x:c r="F1038" s="84" t="str">
        <x:v>Normal</x:v>
      </x:c>
      <x:c r="G1038" s="93" t="n">
        <x:v>219.71</x:v>
      </x:c>
      <x:c r="H1038" s="85" t="str">
        <x:v>Diagnóstico e execução</x:v>
      </x:c>
    </x:row>
    <x:row r="1039">
      <x:c r="A1039" s="83" t="n">
        <x:v>1038</x:v>
      </x:c>
      <x:c r="B1039" s="84" t="n">
        <x:v>603</x:v>
      </x:c>
      <x:c r="C1039" s="84" t="n">
        <x:v>34</x:v>
      </x:c>
      <x:c r="D1039" s="89" t="n">
        <x:v>45950</x:v>
      </x:c>
      <x:c r="E1039" s="84" t="n">
        <x:v>1.3</x:v>
      </x:c>
      <x:c r="F1039" s="84" t="str">
        <x:v>Normal</x:v>
      </x:c>
      <x:c r="G1039" s="93" t="n">
        <x:v>56.2</x:v>
      </x:c>
      <x:c r="H1039" s="85" t="str">
        <x:v>Diagnóstico e execução</x:v>
      </x:c>
    </x:row>
    <x:row r="1040">
      <x:c r="A1040" s="83" t="n">
        <x:v>1039</x:v>
      </x:c>
      <x:c r="B1040" s="84" t="n">
        <x:v>604</x:v>
      </x:c>
      <x:c r="C1040" s="84" t="n">
        <x:v>19</x:v>
      </x:c>
      <x:c r="D1040" s="89" t="n">
        <x:v>45345</x:v>
      </x:c>
      <x:c r="E1040" s="84" t="n">
        <x:v>3.1</x:v>
      </x:c>
      <x:c r="F1040" s="84" t="str">
        <x:v>Normal</x:v>
      </x:c>
      <x:c r="G1040" s="93" t="n">
        <x:v>144.09</x:v>
      </x:c>
      <x:c r="H1040" s="85" t="str">
        <x:v>Diagnóstico e execução</x:v>
      </x:c>
    </x:row>
    <x:row r="1041">
      <x:c r="A1041" s="83" t="n">
        <x:v>1040</x:v>
      </x:c>
      <x:c r="B1041" s="84" t="n">
        <x:v>604</x:v>
      </x:c>
      <x:c r="C1041" s="84" t="n">
        <x:v>38</x:v>
      </x:c>
      <x:c r="D1041" s="89" t="n">
        <x:v>45345</x:v>
      </x:c>
      <x:c r="E1041" s="84" t="n">
        <x:v>7.6</x:v>
      </x:c>
      <x:c r="F1041" s="84" t="str">
        <x:v>Normal</x:v>
      </x:c>
      <x:c r="G1041" s="93" t="n">
        <x:v>255.89</x:v>
      </x:c>
      <x:c r="H1041" s="85" t="str">
        <x:v>Diagnóstico e execução</x:v>
      </x:c>
    </x:row>
    <x:row r="1042">
      <x:c r="A1042" s="83" t="n">
        <x:v>1041</x:v>
      </x:c>
      <x:c r="B1042" s="84" t="n">
        <x:v>604</x:v>
      </x:c>
      <x:c r="C1042" s="84" t="n">
        <x:v>22</x:v>
      </x:c>
      <x:c r="D1042" s="89" t="n">
        <x:v>45345</x:v>
      </x:c>
      <x:c r="E1042" s="84" t="n">
        <x:v>3.5</x:v>
      </x:c>
      <x:c r="F1042" s="84" t="str">
        <x:v>Normal</x:v>
      </x:c>
      <x:c r="G1042" s="93" t="n">
        <x:v>134.61</x:v>
      </x:c>
      <x:c r="H1042" s="85" t="str">
        <x:v>Diagnóstico e execução</x:v>
      </x:c>
    </x:row>
    <x:row r="1043">
      <x:c r="A1043" s="83" t="n">
        <x:v>1042</x:v>
      </x:c>
      <x:c r="B1043" s="84" t="n">
        <x:v>605</x:v>
      </x:c>
      <x:c r="C1043" s="84" t="n">
        <x:v>29</x:v>
      </x:c>
      <x:c r="D1043" s="89" t="n">
        <x:v>45341</x:v>
      </x:c>
      <x:c r="E1043" s="84" t="n">
        <x:v>3.2</x:v>
      </x:c>
      <x:c r="F1043" s="84" t="str">
        <x:v>Normal</x:v>
      </x:c>
      <x:c r="G1043" s="93" t="n">
        <x:v>158.46</x:v>
      </x:c>
      <x:c r="H1043" s="85" t="str">
        <x:v>Diagnóstico e execução</x:v>
      </x:c>
    </x:row>
    <x:row r="1044">
      <x:c r="A1044" s="83" t="n">
        <x:v>1043</x:v>
      </x:c>
      <x:c r="B1044" s="84" t="n">
        <x:v>606</x:v>
      </x:c>
      <x:c r="C1044" s="84" t="n">
        <x:v>23</x:v>
      </x:c>
      <x:c r="D1044" s="89" t="n">
        <x:v>45343</x:v>
      </x:c>
      <x:c r="E1044" s="84" t="n">
        <x:v>1.3</x:v>
      </x:c>
      <x:c r="F1044" s="84" t="str">
        <x:v>Normal</x:v>
      </x:c>
      <x:c r="G1044" s="93" t="n">
        <x:v>56.04</x:v>
      </x:c>
      <x:c r="H1044" s="85" t="str">
        <x:v>Diagnóstico e execução</x:v>
      </x:c>
    </x:row>
    <x:row r="1045">
      <x:c r="A1045" s="83" t="n">
        <x:v>1044</x:v>
      </x:c>
      <x:c r="B1045" s="84" t="n">
        <x:v>606</x:v>
      </x:c>
      <x:c r="C1045" s="84" t="n">
        <x:v>44</x:v>
      </x:c>
      <x:c r="D1045" s="89" t="n">
        <x:v>45343</x:v>
      </x:c>
      <x:c r="E1045" s="84" t="n">
        <x:v>6.9</x:v>
      </x:c>
      <x:c r="F1045" s="84" t="str">
        <x:v>Normal</x:v>
      </x:c>
      <x:c r="G1045" s="93" t="n">
        <x:v>193.48</x:v>
      </x:c>
      <x:c r="H1045" s="85" t="str">
        <x:v>Diagnóstico e execução</x:v>
      </x:c>
    </x:row>
    <x:row r="1046">
      <x:c r="A1046" s="83" t="n">
        <x:v>1045</x:v>
      </x:c>
      <x:c r="B1046" s="84" t="n">
        <x:v>607</x:v>
      </x:c>
      <x:c r="C1046" s="84" t="n">
        <x:v>30</x:v>
      </x:c>
      <x:c r="D1046" s="89" t="n">
        <x:v>45404</x:v>
      </x:c>
      <x:c r="E1046" s="84" t="n">
        <x:v>2.3</x:v>
      </x:c>
      <x:c r="F1046" s="84" t="str">
        <x:v>Normal</x:v>
      </x:c>
      <x:c r="G1046" s="93" t="n">
        <x:v>95.24</x:v>
      </x:c>
      <x:c r="H1046" s="85" t="str">
        <x:v>Diagnóstico e execução</x:v>
      </x:c>
    </x:row>
    <x:row r="1047">
      <x:c r="A1047" s="83" t="n">
        <x:v>1046</x:v>
      </x:c>
      <x:c r="B1047" s="84" t="n">
        <x:v>607</x:v>
      </x:c>
      <x:c r="C1047" s="84" t="n">
        <x:v>16</x:v>
      </x:c>
      <x:c r="D1047" s="89" t="n">
        <x:v>45404</x:v>
      </x:c>
      <x:c r="E1047" s="84" t="n">
        <x:v>6.9</x:v>
      </x:c>
      <x:c r="F1047" s="84" t="str">
        <x:v>Normal</x:v>
      </x:c>
      <x:c r="G1047" s="93" t="n">
        <x:v>279.59</x:v>
      </x:c>
      <x:c r="H1047" s="85" t="str">
        <x:v>Diagnóstico e execução</x:v>
      </x:c>
    </x:row>
    <x:row r="1048">
      <x:c r="A1048" s="83" t="n">
        <x:v>1047</x:v>
      </x:c>
      <x:c r="B1048" s="84" t="n">
        <x:v>608</x:v>
      </x:c>
      <x:c r="C1048" s="84" t="n">
        <x:v>11</x:v>
      </x:c>
      <x:c r="D1048" s="89" t="n">
        <x:v>45410</x:v>
      </x:c>
      <x:c r="E1048" s="84" t="n">
        <x:v>6.6</x:v>
      </x:c>
      <x:c r="F1048" s="84" t="str">
        <x:v>Normal</x:v>
      </x:c>
      <x:c r="G1048" s="93" t="n">
        <x:v>275.09</x:v>
      </x:c>
      <x:c r="H1048" s="85" t="str">
        <x:v>Diagnóstico e execução</x:v>
      </x:c>
    </x:row>
    <x:row r="1049">
      <x:c r="A1049" s="83" t="n">
        <x:v>1048</x:v>
      </x:c>
      <x:c r="B1049" s="84" t="n">
        <x:v>608</x:v>
      </x:c>
      <x:c r="C1049" s="84" t="n">
        <x:v>13</x:v>
      </x:c>
      <x:c r="D1049" s="89" t="n">
        <x:v>45410</x:v>
      </x:c>
      <x:c r="E1049" s="84" t="n">
        <x:v>1.9</x:v>
      </x:c>
      <x:c r="F1049" s="84" t="str">
        <x:v>Normal</x:v>
      </x:c>
      <x:c r="G1049" s="93" t="n">
        <x:v>64.37</x:v>
      </x:c>
      <x:c r="H1049" s="85" t="str">
        <x:v>Diagnóstico e execução</x:v>
      </x:c>
    </x:row>
    <x:row r="1050">
      <x:c r="A1050" s="83" t="n">
        <x:v>1049</x:v>
      </x:c>
      <x:c r="B1050" s="84" t="n">
        <x:v>608</x:v>
      </x:c>
      <x:c r="C1050" s="84" t="n">
        <x:v>33</x:v>
      </x:c>
      <x:c r="D1050" s="89" t="n">
        <x:v>45410</x:v>
      </x:c>
      <x:c r="E1050" s="84" t="n">
        <x:v>7</x:v>
      </x:c>
      <x:c r="F1050" s="84" t="str">
        <x:v>Normal</x:v>
      </x:c>
      <x:c r="G1050" s="93" t="n">
        <x:v>241.43</x:v>
      </x:c>
      <x:c r="H1050" s="85" t="str">
        <x:v>Diagnóstico e execução</x:v>
      </x:c>
    </x:row>
    <x:row r="1051">
      <x:c r="A1051" s="83" t="n">
        <x:v>1050</x:v>
      </x:c>
      <x:c r="B1051" s="84" t="n">
        <x:v>609</x:v>
      </x:c>
      <x:c r="C1051" s="84" t="n">
        <x:v>1</x:v>
      </x:c>
      <x:c r="D1051" s="89" t="n">
        <x:v>45456</x:v>
      </x:c>
      <x:c r="E1051" s="84" t="n">
        <x:v>1.3</x:v>
      </x:c>
      <x:c r="F1051" s="84" t="str">
        <x:v>Normal</x:v>
      </x:c>
      <x:c r="G1051" s="93" t="n">
        <x:v>45.98</x:v>
      </x:c>
      <x:c r="H1051" s="85" t="str">
        <x:v>Diagnóstico e execução</x:v>
      </x:c>
    </x:row>
    <x:row r="1052">
      <x:c r="A1052" s="83" t="n">
        <x:v>1051</x:v>
      </x:c>
      <x:c r="B1052" s="84" t="n">
        <x:v>610</x:v>
      </x:c>
      <x:c r="C1052" s="84" t="n">
        <x:v>7</x:v>
      </x:c>
      <x:c r="D1052" s="89" t="n">
        <x:v>45664</x:v>
      </x:c>
      <x:c r="E1052" s="84" t="n">
        <x:v>6.6</x:v>
      </x:c>
      <x:c r="F1052" s="84" t="str">
        <x:v>Normal</x:v>
      </x:c>
      <x:c r="G1052" s="93" t="n">
        <x:v>384.19</x:v>
      </x:c>
      <x:c r="H1052" s="85" t="str">
        <x:v>Diagnóstico e execução</x:v>
      </x:c>
    </x:row>
    <x:row r="1053">
      <x:c r="A1053" s="83" t="n">
        <x:v>1052</x:v>
      </x:c>
      <x:c r="B1053" s="84" t="n">
        <x:v>610</x:v>
      </x:c>
      <x:c r="C1053" s="84" t="n">
        <x:v>7</x:v>
      </x:c>
      <x:c r="D1053" s="89" t="n">
        <x:v>45664</x:v>
      </x:c>
      <x:c r="E1053" s="84" t="n">
        <x:v>7.4</x:v>
      </x:c>
      <x:c r="F1053" s="84" t="str">
        <x:v>Normal</x:v>
      </x:c>
      <x:c r="G1053" s="93" t="n">
        <x:v>430.75</x:v>
      </x:c>
      <x:c r="H1053" s="85" t="str">
        <x:v>Diagnóstico e execução</x:v>
      </x:c>
    </x:row>
    <x:row r="1054">
      <x:c r="A1054" s="83" t="n">
        <x:v>1053</x:v>
      </x:c>
      <x:c r="B1054" s="84" t="n">
        <x:v>611</x:v>
      </x:c>
      <x:c r="C1054" s="84" t="n">
        <x:v>3</x:v>
      </x:c>
      <x:c r="D1054" s="89" t="n">
        <x:v>45143</x:v>
      </x:c>
      <x:c r="E1054" s="84" t="n">
        <x:v>5.1</x:v>
      </x:c>
      <x:c r="F1054" s="84" t="str">
        <x:v>Normal</x:v>
      </x:c>
      <x:c r="G1054" s="93" t="n">
        <x:v>251.12</x:v>
      </x:c>
      <x:c r="H1054" s="85" t="str">
        <x:v>Diagnóstico e execução</x:v>
      </x:c>
    </x:row>
    <x:row r="1055">
      <x:c r="A1055" s="83" t="n">
        <x:v>1054</x:v>
      </x:c>
      <x:c r="B1055" s="84" t="n">
        <x:v>611</x:v>
      </x:c>
      <x:c r="C1055" s="84" t="n">
        <x:v>17</x:v>
      </x:c>
      <x:c r="D1055" s="89" t="n">
        <x:v>45143</x:v>
      </x:c>
      <x:c r="E1055" s="84" t="n">
        <x:v>7.6</x:v>
      </x:c>
      <x:c r="F1055" s="84" t="str">
        <x:v>Normal</x:v>
      </x:c>
      <x:c r="G1055" s="93" t="n">
        <x:v>423.93</x:v>
      </x:c>
      <x:c r="H1055" s="85" t="str">
        <x:v>Diagnóstico e execução</x:v>
      </x:c>
    </x:row>
    <x:row r="1056">
      <x:c r="A1056" s="83" t="n">
        <x:v>1055</x:v>
      </x:c>
      <x:c r="B1056" s="84" t="n">
        <x:v>611</x:v>
      </x:c>
      <x:c r="C1056" s="84" t="n">
        <x:v>8</x:v>
      </x:c>
      <x:c r="D1056" s="89" t="n">
        <x:v>45143</x:v>
      </x:c>
      <x:c r="E1056" s="84" t="n">
        <x:v>3.8</x:v>
      </x:c>
      <x:c r="F1056" s="84" t="str">
        <x:v>Normal</x:v>
      </x:c>
      <x:c r="G1056" s="93" t="n">
        <x:v>176.7</x:v>
      </x:c>
      <x:c r="H1056" s="85" t="str">
        <x:v>Diagnóstico e execução</x:v>
      </x:c>
    </x:row>
    <x:row r="1057">
      <x:c r="A1057" s="83" t="n">
        <x:v>1056</x:v>
      </x:c>
      <x:c r="B1057" s="84" t="n">
        <x:v>612</x:v>
      </x:c>
      <x:c r="C1057" s="84" t="n">
        <x:v>39</x:v>
      </x:c>
      <x:c r="D1057" s="89" t="n">
        <x:v>45326</x:v>
      </x:c>
      <x:c r="E1057" s="84" t="n">
        <x:v>6.7</x:v>
      </x:c>
      <x:c r="F1057" s="84" t="str">
        <x:v>Normal</x:v>
      </x:c>
      <x:c r="G1057" s="93" t="n">
        <x:v>387.93</x:v>
      </x:c>
      <x:c r="H1057" s="85" t="str">
        <x:v>Diagnóstico e execução</x:v>
      </x:c>
    </x:row>
    <x:row r="1058">
      <x:c r="A1058" s="83" t="n">
        <x:v>1057</x:v>
      </x:c>
      <x:c r="B1058" s="84" t="n">
        <x:v>612</x:v>
      </x:c>
      <x:c r="C1058" s="84" t="n">
        <x:v>22</x:v>
      </x:c>
      <x:c r="D1058" s="89" t="n">
        <x:v>45326</x:v>
      </x:c>
      <x:c r="E1058" s="84" t="n">
        <x:v>3.8</x:v>
      </x:c>
      <x:c r="F1058" s="84" t="str">
        <x:v>Normal</x:v>
      </x:c>
      <x:c r="G1058" s="93" t="n">
        <x:v>146.15</x:v>
      </x:c>
      <x:c r="H1058" s="85" t="str">
        <x:v>Diagnóstico e execução</x:v>
      </x:c>
    </x:row>
    <x:row r="1059">
      <x:c r="A1059" s="83" t="n">
        <x:v>1058</x:v>
      </x:c>
      <x:c r="B1059" s="84" t="n">
        <x:v>613</x:v>
      </x:c>
      <x:c r="C1059" s="84" t="n">
        <x:v>4</x:v>
      </x:c>
      <x:c r="D1059" s="89" t="n">
        <x:v>45521</x:v>
      </x:c>
      <x:c r="E1059" s="84" t="n">
        <x:v>1.9</x:v>
      </x:c>
      <x:c r="F1059" s="84" t="str">
        <x:v>Normal</x:v>
      </x:c>
      <x:c r="G1059" s="93" t="n">
        <x:v>93.46</x:v>
      </x:c>
      <x:c r="H1059" s="85" t="str">
        <x:v>Diagnóstico e execução</x:v>
      </x:c>
    </x:row>
    <x:row r="1060">
      <x:c r="A1060" s="83" t="n">
        <x:v>1059</x:v>
      </x:c>
      <x:c r="B1060" s="84" t="n">
        <x:v>614</x:v>
      </x:c>
      <x:c r="C1060" s="84" t="n">
        <x:v>23</x:v>
      </x:c>
      <x:c r="D1060" s="89" t="n">
        <x:v>45604</x:v>
      </x:c>
      <x:c r="E1060" s="84" t="n">
        <x:v>7</x:v>
      </x:c>
      <x:c r="F1060" s="84" t="str">
        <x:v>Normal</x:v>
      </x:c>
      <x:c r="G1060" s="93" t="n">
        <x:v>301.77</x:v>
      </x:c>
      <x:c r="H1060" s="85" t="str">
        <x:v>Diagnóstico e execução</x:v>
      </x:c>
    </x:row>
    <x:row r="1061">
      <x:c r="A1061" s="83" t="n">
        <x:v>1060</x:v>
      </x:c>
      <x:c r="B1061" s="84" t="n">
        <x:v>615</x:v>
      </x:c>
      <x:c r="C1061" s="84" t="n">
        <x:v>16</x:v>
      </x:c>
      <x:c r="D1061" s="89" t="n">
        <x:v>45804</x:v>
      </x:c>
      <x:c r="E1061" s="84" t="n">
        <x:v>3.7</x:v>
      </x:c>
      <x:c r="F1061" s="84" t="str">
        <x:v>Normal</x:v>
      </x:c>
      <x:c r="G1061" s="93" t="n">
        <x:v>149.92</x:v>
      </x:c>
      <x:c r="H1061" s="85" t="str">
        <x:v>Diagnóstico e execução</x:v>
      </x:c>
    </x:row>
    <x:row r="1062">
      <x:c r="A1062" s="83" t="n">
        <x:v>1061</x:v>
      </x:c>
      <x:c r="B1062" s="84" t="n">
        <x:v>615</x:v>
      </x:c>
      <x:c r="C1062" s="84" t="n">
        <x:v>14</x:v>
      </x:c>
      <x:c r="D1062" s="89" t="n">
        <x:v>45804</x:v>
      </x:c>
      <x:c r="E1062" s="84" t="n">
        <x:v>1</x:v>
      </x:c>
      <x:c r="F1062" s="84" t="str">
        <x:v>Normal</x:v>
      </x:c>
      <x:c r="G1062" s="93" t="n">
        <x:v>56.66</x:v>
      </x:c>
      <x:c r="H1062" s="85" t="str">
        <x:v>Diagnóstico e execução</x:v>
      </x:c>
    </x:row>
    <x:row r="1063">
      <x:c r="A1063" s="83" t="n">
        <x:v>1062</x:v>
      </x:c>
      <x:c r="B1063" s="84" t="n">
        <x:v>615</x:v>
      </x:c>
      <x:c r="C1063" s="84" t="n">
        <x:v>44</x:v>
      </x:c>
      <x:c r="D1063" s="89" t="n">
        <x:v>45804</x:v>
      </x:c>
      <x:c r="E1063" s="84" t="n">
        <x:v>2.1</x:v>
      </x:c>
      <x:c r="F1063" s="84" t="str">
        <x:v>Normal</x:v>
      </x:c>
      <x:c r="G1063" s="93" t="n">
        <x:v>58.88</x:v>
      </x:c>
      <x:c r="H1063" s="85" t="str">
        <x:v>Diagnóstico e execução</x:v>
      </x:c>
    </x:row>
    <x:row r="1064">
      <x:c r="A1064" s="83" t="n">
        <x:v>1063</x:v>
      </x:c>
      <x:c r="B1064" s="84" t="n">
        <x:v>616</x:v>
      </x:c>
      <x:c r="C1064" s="84" t="n">
        <x:v>31</x:v>
      </x:c>
      <x:c r="D1064" s="89" t="n">
        <x:v>45662</x:v>
      </x:c>
      <x:c r="E1064" s="84" t="n">
        <x:v>7.9</x:v>
      </x:c>
      <x:c r="F1064" s="84" t="str">
        <x:v>Normal</x:v>
      </x:c>
      <x:c r="G1064" s="93" t="n">
        <x:v>386.31</x:v>
      </x:c>
      <x:c r="H1064" s="85" t="str">
        <x:v>Diagnóstico e execução</x:v>
      </x:c>
    </x:row>
    <x:row r="1065">
      <x:c r="A1065" s="83" t="n">
        <x:v>1064</x:v>
      </x:c>
      <x:c r="B1065" s="84" t="n">
        <x:v>617</x:v>
      </x:c>
      <x:c r="C1065" s="84" t="n">
        <x:v>4</x:v>
      </x:c>
      <x:c r="D1065" s="89" t="n">
        <x:v>45064</x:v>
      </x:c>
      <x:c r="E1065" s="84" t="n">
        <x:v>1.8</x:v>
      </x:c>
      <x:c r="F1065" s="84" t="str">
        <x:v>Normal</x:v>
      </x:c>
      <x:c r="G1065" s="93" t="n">
        <x:v>88.54</x:v>
      </x:c>
      <x:c r="H1065" s="85" t="str">
        <x:v>Diagnóstico e execução</x:v>
      </x:c>
    </x:row>
    <x:row r="1066">
      <x:c r="A1066" s="83" t="n">
        <x:v>1065</x:v>
      </x:c>
      <x:c r="B1066" s="84" t="n">
        <x:v>617</x:v>
      </x:c>
      <x:c r="C1066" s="84" t="n">
        <x:v>30</x:v>
      </x:c>
      <x:c r="D1066" s="89" t="n">
        <x:v>45064</x:v>
      </x:c>
      <x:c r="E1066" s="84" t="n">
        <x:v>7.2</x:v>
      </x:c>
      <x:c r="F1066" s="84" t="str">
        <x:v>Normal</x:v>
      </x:c>
      <x:c r="G1066" s="93" t="n">
        <x:v>298.15</x:v>
      </x:c>
      <x:c r="H1066" s="85" t="str">
        <x:v>Diagnóstico e execução</x:v>
      </x:c>
    </x:row>
    <x:row r="1067">
      <x:c r="A1067" s="83" t="n">
        <x:v>1066</x:v>
      </x:c>
      <x:c r="B1067" s="84" t="n">
        <x:v>618</x:v>
      </x:c>
      <x:c r="C1067" s="84" t="n">
        <x:v>23</x:v>
      </x:c>
      <x:c r="D1067" s="89" t="n">
        <x:v>45656</x:v>
      </x:c>
      <x:c r="E1067" s="84" t="n">
        <x:v>2</x:v>
      </x:c>
      <x:c r="F1067" s="84" t="str">
        <x:v>Normal</x:v>
      </x:c>
      <x:c r="G1067" s="93" t="n">
        <x:v>86.22</x:v>
      </x:c>
      <x:c r="H1067" s="85" t="str">
        <x:v>Diagnóstico e execução</x:v>
      </x:c>
    </x:row>
    <x:row r="1068">
      <x:c r="A1068" s="83" t="n">
        <x:v>1067</x:v>
      </x:c>
      <x:c r="B1068" s="84" t="n">
        <x:v>618</x:v>
      </x:c>
      <x:c r="C1068" s="84" t="n">
        <x:v>23</x:v>
      </x:c>
      <x:c r="D1068" s="89" t="n">
        <x:v>45656</x:v>
      </x:c>
      <x:c r="E1068" s="84" t="n">
        <x:v>3.6</x:v>
      </x:c>
      <x:c r="F1068" s="84" t="str">
        <x:v>Normal</x:v>
      </x:c>
      <x:c r="G1068" s="93" t="n">
        <x:v>155.2</x:v>
      </x:c>
      <x:c r="H1068" s="85" t="str">
        <x:v>Diagnóstico e execução</x:v>
      </x:c>
    </x:row>
    <x:row r="1069">
      <x:c r="A1069" s="83" t="n">
        <x:v>1068</x:v>
      </x:c>
      <x:c r="B1069" s="84" t="n">
        <x:v>619</x:v>
      </x:c>
      <x:c r="C1069" s="84" t="n">
        <x:v>41</x:v>
      </x:c>
      <x:c r="D1069" s="89" t="n">
        <x:v>45763</x:v>
      </x:c>
      <x:c r="E1069" s="84" t="n">
        <x:v>5.2</x:v>
      </x:c>
      <x:c r="F1069" s="84" t="str">
        <x:v>Normal</x:v>
      </x:c>
      <x:c r="G1069" s="93" t="n">
        <x:v>263.02</x:v>
      </x:c>
      <x:c r="H1069" s="85" t="str">
        <x:v>Diagnóstico e execução</x:v>
      </x:c>
    </x:row>
    <x:row r="1070">
      <x:c r="A1070" s="83" t="n">
        <x:v>1069</x:v>
      </x:c>
      <x:c r="B1070" s="84" t="n">
        <x:v>620</x:v>
      </x:c>
      <x:c r="C1070" s="84" t="n">
        <x:v>22</x:v>
      </x:c>
      <x:c r="D1070" s="89" t="n">
        <x:v>45593</x:v>
      </x:c>
      <x:c r="E1070" s="84" t="n">
        <x:v>6.8</x:v>
      </x:c>
      <x:c r="F1070" s="84" t="str">
        <x:v>Normal</x:v>
      </x:c>
      <x:c r="G1070" s="93" t="n">
        <x:v>261.53</x:v>
      </x:c>
      <x:c r="H1070" s="85" t="str">
        <x:v>Diagnóstico e execução</x:v>
      </x:c>
    </x:row>
    <x:row r="1071">
      <x:c r="A1071" s="83" t="n">
        <x:v>1070</x:v>
      </x:c>
      <x:c r="B1071" s="84" t="n">
        <x:v>622</x:v>
      </x:c>
      <x:c r="C1071" s="84" t="n">
        <x:v>6</x:v>
      </x:c>
      <x:c r="D1071" s="89" t="n">
        <x:v>45207</x:v>
      </x:c>
      <x:c r="E1071" s="84" t="n">
        <x:v>5.1</x:v>
      </x:c>
      <x:c r="F1071" s="84" t="str">
        <x:v>Normal</x:v>
      </x:c>
      <x:c r="G1071" s="93" t="n">
        <x:v>266.53</x:v>
      </x:c>
      <x:c r="H1071" s="85" t="str">
        <x:v>Diagnóstico e execução</x:v>
      </x:c>
    </x:row>
    <x:row r="1072">
      <x:c r="A1072" s="83" t="n">
        <x:v>1071</x:v>
      </x:c>
      <x:c r="B1072" s="84" t="n">
        <x:v>622</x:v>
      </x:c>
      <x:c r="C1072" s="84" t="n">
        <x:v>29</x:v>
      </x:c>
      <x:c r="D1072" s="89" t="n">
        <x:v>45207</x:v>
      </x:c>
      <x:c r="E1072" s="84" t="n">
        <x:v>4.3</x:v>
      </x:c>
      <x:c r="F1072" s="84" t="str">
        <x:v>Normal</x:v>
      </x:c>
      <x:c r="G1072" s="93" t="n">
        <x:v>212.94</x:v>
      </x:c>
      <x:c r="H1072" s="85" t="str">
        <x:v>Diagnóstico e execução</x:v>
      </x:c>
    </x:row>
    <x:row r="1073">
      <x:c r="A1073" s="83" t="n">
        <x:v>1072</x:v>
      </x:c>
      <x:c r="B1073" s="84" t="n">
        <x:v>623</x:v>
      </x:c>
      <x:c r="C1073" s="84" t="n">
        <x:v>25</x:v>
      </x:c>
      <x:c r="D1073" s="89" t="n">
        <x:v>45145</x:v>
      </x:c>
      <x:c r="E1073" s="84" t="n">
        <x:v>1</x:v>
      </x:c>
      <x:c r="F1073" s="84" t="str">
        <x:v>Normal</x:v>
      </x:c>
      <x:c r="G1073" s="93" t="n">
        <x:v>53.59</x:v>
      </x:c>
      <x:c r="H1073" s="85" t="str">
        <x:v>Diagnóstico e execução</x:v>
      </x:c>
    </x:row>
    <x:row r="1074">
      <x:c r="A1074" s="83" t="n">
        <x:v>1073</x:v>
      </x:c>
      <x:c r="B1074" s="84" t="n">
        <x:v>623</x:v>
      </x:c>
      <x:c r="C1074" s="84" t="n">
        <x:v>4</x:v>
      </x:c>
      <x:c r="D1074" s="89" t="n">
        <x:v>45145</x:v>
      </x:c>
      <x:c r="E1074" s="84" t="n">
        <x:v>2.9</x:v>
      </x:c>
      <x:c r="F1074" s="84" t="str">
        <x:v>Normal</x:v>
      </x:c>
      <x:c r="G1074" s="93" t="n">
        <x:v>142.65</x:v>
      </x:c>
      <x:c r="H1074" s="85" t="str">
        <x:v>Diagnóstico e execução</x:v>
      </x:c>
    </x:row>
    <x:row r="1075">
      <x:c r="A1075" s="83" t="n">
        <x:v>1074</x:v>
      </x:c>
      <x:c r="B1075" s="84" t="n">
        <x:v>624</x:v>
      </x:c>
      <x:c r="C1075" s="84" t="n">
        <x:v>27</x:v>
      </x:c>
      <x:c r="D1075" s="89" t="n">
        <x:v>45347</x:v>
      </x:c>
      <x:c r="E1075" s="84" t="n">
        <x:v>7.5</x:v>
      </x:c>
      <x:c r="F1075" s="84" t="str">
        <x:v>Normal</x:v>
      </x:c>
      <x:c r="G1075" s="93" t="n">
        <x:v>457.43</x:v>
      </x:c>
      <x:c r="H1075" s="85" t="str">
        <x:v>Diagnóstico e execução</x:v>
      </x:c>
    </x:row>
    <x:row r="1076">
      <x:c r="A1076" s="83" t="n">
        <x:v>1075</x:v>
      </x:c>
      <x:c r="B1076" s="84" t="n">
        <x:v>624</x:v>
      </x:c>
      <x:c r="C1076" s="84" t="n">
        <x:v>24</x:v>
      </x:c>
      <x:c r="D1076" s="89" t="n">
        <x:v>45347</x:v>
      </x:c>
      <x:c r="E1076" s="84" t="n">
        <x:v>7.5</x:v>
      </x:c>
      <x:c r="F1076" s="84" t="str">
        <x:v>Normal</x:v>
      </x:c>
      <x:c r="G1076" s="93" t="n">
        <x:v>444.3</x:v>
      </x:c>
      <x:c r="H1076" s="85" t="str">
        <x:v>Diagnóstico e execução</x:v>
      </x:c>
    </x:row>
    <x:row r="1077">
      <x:c r="A1077" s="83" t="n">
        <x:v>1076</x:v>
      </x:c>
      <x:c r="B1077" s="84" t="n">
        <x:v>624</x:v>
      </x:c>
      <x:c r="C1077" s="84" t="n">
        <x:v>28</x:v>
      </x:c>
      <x:c r="D1077" s="89" t="n">
        <x:v>45347</x:v>
      </x:c>
      <x:c r="E1077" s="84" t="n">
        <x:v>5.3</x:v>
      </x:c>
      <x:c r="F1077" s="84" t="str">
        <x:v>Normal</x:v>
      </x:c>
      <x:c r="G1077" s="93" t="n">
        <x:v>199.39</x:v>
      </x:c>
      <x:c r="H1077" s="85" t="str">
        <x:v>Diagnóstico e execução</x:v>
      </x:c>
    </x:row>
    <x:row r="1078">
      <x:c r="A1078" s="83" t="n">
        <x:v>1077</x:v>
      </x:c>
      <x:c r="B1078" s="84" t="n">
        <x:v>625</x:v>
      </x:c>
      <x:c r="C1078" s="84" t="n">
        <x:v>29</x:v>
      </x:c>
      <x:c r="D1078" s="89" t="n">
        <x:v>45437</x:v>
      </x:c>
      <x:c r="E1078" s="84" t="n">
        <x:v>1.8</x:v>
      </x:c>
      <x:c r="F1078" s="84" t="str">
        <x:v>Normal</x:v>
      </x:c>
      <x:c r="G1078" s="93" t="n">
        <x:v>89.14</x:v>
      </x:c>
      <x:c r="H1078" s="85" t="str">
        <x:v>Diagnóstico e execução</x:v>
      </x:c>
    </x:row>
    <x:row r="1079">
      <x:c r="A1079" s="83" t="n">
        <x:v>1078</x:v>
      </x:c>
      <x:c r="B1079" s="84" t="n">
        <x:v>626</x:v>
      </x:c>
      <x:c r="C1079" s="84" t="n">
        <x:v>27</x:v>
      </x:c>
      <x:c r="D1079" s="89" t="n">
        <x:v>45363</x:v>
      </x:c>
      <x:c r="E1079" s="84" t="n">
        <x:v>7.1</x:v>
      </x:c>
      <x:c r="F1079" s="84" t="str">
        <x:v>Normal</x:v>
      </x:c>
      <x:c r="G1079" s="93" t="n">
        <x:v>433.03</x:v>
      </x:c>
      <x:c r="H1079" s="85" t="str">
        <x:v>Diagnóstico e execução</x:v>
      </x:c>
    </x:row>
    <x:row r="1080">
      <x:c r="A1080" s="83" t="n">
        <x:v>1079</x:v>
      </x:c>
      <x:c r="B1080" s="84" t="n">
        <x:v>629</x:v>
      </x:c>
      <x:c r="C1080" s="84" t="n">
        <x:v>22</x:v>
      </x:c>
      <x:c r="D1080" s="89" t="n">
        <x:v>44937</x:v>
      </x:c>
      <x:c r="E1080" s="84" t="n">
        <x:v>5.3</x:v>
      </x:c>
      <x:c r="F1080" s="84" t="str">
        <x:v>Normal</x:v>
      </x:c>
      <x:c r="G1080" s="93" t="n">
        <x:v>203.84</x:v>
      </x:c>
      <x:c r="H1080" s="85" t="str">
        <x:v>Diagnóstico e execução</x:v>
      </x:c>
    </x:row>
    <x:row r="1081">
      <x:c r="A1081" s="83" t="n">
        <x:v>1080</x:v>
      </x:c>
      <x:c r="B1081" s="84" t="n">
        <x:v>629</x:v>
      </x:c>
      <x:c r="C1081" s="84" t="n">
        <x:v>24</x:v>
      </x:c>
      <x:c r="D1081" s="89" t="n">
        <x:v>44937</x:v>
      </x:c>
      <x:c r="E1081" s="84" t="n">
        <x:v>2.5</x:v>
      </x:c>
      <x:c r="F1081" s="84" t="str">
        <x:v>Normal</x:v>
      </x:c>
      <x:c r="G1081" s="93" t="n">
        <x:v>148.1</x:v>
      </x:c>
      <x:c r="H1081" s="85" t="str">
        <x:v>Diagnóstico e execução</x:v>
      </x:c>
    </x:row>
    <x:row r="1082">
      <x:c r="A1082" s="83" t="n">
        <x:v>1081</x:v>
      </x:c>
      <x:c r="B1082" s="84" t="n">
        <x:v>629</x:v>
      </x:c>
      <x:c r="C1082" s="84" t="n">
        <x:v>13</x:v>
      </x:c>
      <x:c r="D1082" s="89" t="n">
        <x:v>44937</x:v>
      </x:c>
      <x:c r="E1082" s="84" t="n">
        <x:v>3.6</x:v>
      </x:c>
      <x:c r="F1082" s="84" t="str">
        <x:v>Normal</x:v>
      </x:c>
      <x:c r="G1082" s="93" t="n">
        <x:v>121.97</x:v>
      </x:c>
      <x:c r="H1082" s="85" t="str">
        <x:v>Diagnóstico e execução</x:v>
      </x:c>
    </x:row>
    <x:row r="1083">
      <x:c r="A1083" s="83" t="n">
        <x:v>1082</x:v>
      </x:c>
      <x:c r="B1083" s="84" t="n">
        <x:v>630</x:v>
      </x:c>
      <x:c r="C1083" s="84" t="n">
        <x:v>33</x:v>
      </x:c>
      <x:c r="D1083" s="89" t="n">
        <x:v>45243</x:v>
      </x:c>
      <x:c r="E1083" s="84" t="n">
        <x:v>6.1</x:v>
      </x:c>
      <x:c r="F1083" s="84" t="str">
        <x:v>Normal</x:v>
      </x:c>
      <x:c r="G1083" s="93" t="n">
        <x:v>210.39</x:v>
      </x:c>
      <x:c r="H1083" s="85" t="str">
        <x:v>Diagnóstico e execução</x:v>
      </x:c>
    </x:row>
    <x:row r="1084">
      <x:c r="A1084" s="83" t="n">
        <x:v>1083</x:v>
      </x:c>
      <x:c r="B1084" s="84" t="n">
        <x:v>631</x:v>
      </x:c>
      <x:c r="C1084" s="84" t="n">
        <x:v>11</x:v>
      </x:c>
      <x:c r="D1084" s="89" t="n">
        <x:v>45440</x:v>
      </x:c>
      <x:c r="E1084" s="84" t="n">
        <x:v>2.6</x:v>
      </x:c>
      <x:c r="F1084" s="84" t="str">
        <x:v>Normal</x:v>
      </x:c>
      <x:c r="G1084" s="93" t="n">
        <x:v>108.37</x:v>
      </x:c>
      <x:c r="H1084" s="85" t="str">
        <x:v>Diagnóstico e execução</x:v>
      </x:c>
    </x:row>
    <x:row r="1085">
      <x:c r="A1085" s="83" t="n">
        <x:v>1084</x:v>
      </x:c>
      <x:c r="B1085" s="84" t="n">
        <x:v>631</x:v>
      </x:c>
      <x:c r="C1085" s="84" t="n">
        <x:v>9</x:v>
      </x:c>
      <x:c r="D1085" s="89" t="n">
        <x:v>45440</x:v>
      </x:c>
      <x:c r="E1085" s="84" t="n">
        <x:v>0.5</x:v>
      </x:c>
      <x:c r="F1085" s="84" t="str">
        <x:v>Normal</x:v>
      </x:c>
      <x:c r="G1085" s="93" t="n">
        <x:v>26.34</x:v>
      </x:c>
      <x:c r="H1085" s="85" t="str">
        <x:v>Diagnóstico e execução</x:v>
      </x:c>
    </x:row>
    <x:row r="1086">
      <x:c r="A1086" s="83" t="n">
        <x:v>1085</x:v>
      </x:c>
      <x:c r="B1086" s="84" t="n">
        <x:v>631</x:v>
      </x:c>
      <x:c r="C1086" s="84" t="n">
        <x:v>10</x:v>
      </x:c>
      <x:c r="D1086" s="89" t="n">
        <x:v>45440</x:v>
      </x:c>
      <x:c r="E1086" s="84" t="n">
        <x:v>5.3</x:v>
      </x:c>
      <x:c r="F1086" s="84" t="str">
        <x:v>Normal</x:v>
      </x:c>
      <x:c r="G1086" s="93" t="n">
        <x:v>157.36</x:v>
      </x:c>
      <x:c r="H1086" s="85" t="str">
        <x:v>Diagnóstico e execução</x:v>
      </x:c>
    </x:row>
    <x:row r="1087">
      <x:c r="A1087" s="83" t="n">
        <x:v>1086</x:v>
      </x:c>
      <x:c r="B1087" s="84" t="n">
        <x:v>633</x:v>
      </x:c>
      <x:c r="C1087" s="84" t="n">
        <x:v>24</x:v>
      </x:c>
      <x:c r="D1087" s="89" t="n">
        <x:v>45066</x:v>
      </x:c>
      <x:c r="E1087" s="84" t="n">
        <x:v>6.3</x:v>
      </x:c>
      <x:c r="F1087" s="84" t="str">
        <x:v>Normal</x:v>
      </x:c>
      <x:c r="G1087" s="93" t="n">
        <x:v>373.21</x:v>
      </x:c>
      <x:c r="H1087" s="85" t="str">
        <x:v>Diagnóstico e execução</x:v>
      </x:c>
    </x:row>
    <x:row r="1088">
      <x:c r="A1088" s="83" t="n">
        <x:v>1087</x:v>
      </x:c>
      <x:c r="B1088" s="84" t="n">
        <x:v>634</x:v>
      </x:c>
      <x:c r="C1088" s="84" t="n">
        <x:v>2</x:v>
      </x:c>
      <x:c r="D1088" s="89" t="n">
        <x:v>45878</x:v>
      </x:c>
      <x:c r="E1088" s="84" t="n">
        <x:v>1.4</x:v>
      </x:c>
      <x:c r="F1088" s="84" t="str">
        <x:v>Normal</x:v>
      </x:c>
      <x:c r="G1088" s="93" t="n">
        <x:v>52.16</x:v>
      </x:c>
      <x:c r="H1088" s="85" t="str">
        <x:v>Diagnóstico e execução</x:v>
      </x:c>
    </x:row>
    <x:row r="1089">
      <x:c r="A1089" s="83" t="n">
        <x:v>1088</x:v>
      </x:c>
      <x:c r="B1089" s="84" t="n">
        <x:v>634</x:v>
      </x:c>
      <x:c r="C1089" s="84" t="n">
        <x:v>39</x:v>
      </x:c>
      <x:c r="D1089" s="89" t="n">
        <x:v>45878</x:v>
      </x:c>
      <x:c r="E1089" s="84" t="n">
        <x:v>5.2</x:v>
      </x:c>
      <x:c r="F1089" s="84" t="str">
        <x:v>Normal</x:v>
      </x:c>
      <x:c r="G1089" s="93" t="n">
        <x:v>301.08</x:v>
      </x:c>
      <x:c r="H1089" s="85" t="str">
        <x:v>Diagnóstico e execução</x:v>
      </x:c>
    </x:row>
    <x:row r="1090">
      <x:c r="A1090" s="83" t="n">
        <x:v>1089</x:v>
      </x:c>
      <x:c r="B1090" s="84" t="n">
        <x:v>636</x:v>
      </x:c>
      <x:c r="C1090" s="84" t="n">
        <x:v>31</x:v>
      </x:c>
      <x:c r="D1090" s="89" t="n">
        <x:v>45626</x:v>
      </x:c>
      <x:c r="E1090" s="84" t="n">
        <x:v>4.8</x:v>
      </x:c>
      <x:c r="F1090" s="84" t="str">
        <x:v>Normal</x:v>
      </x:c>
      <x:c r="G1090" s="93" t="n">
        <x:v>234.72</x:v>
      </x:c>
      <x:c r="H1090" s="85" t="str">
        <x:v>Diagnóstico e execução</x:v>
      </x:c>
    </x:row>
    <x:row r="1091">
      <x:c r="A1091" s="83" t="n">
        <x:v>1090</x:v>
      </x:c>
      <x:c r="B1091" s="84" t="n">
        <x:v>636</x:v>
      </x:c>
      <x:c r="C1091" s="84" t="n">
        <x:v>34</x:v>
      </x:c>
      <x:c r="D1091" s="89" t="n">
        <x:v>45626</x:v>
      </x:c>
      <x:c r="E1091" s="84" t="n">
        <x:v>6</x:v>
      </x:c>
      <x:c r="F1091" s="84" t="str">
        <x:v>Normal</x:v>
      </x:c>
      <x:c r="G1091" s="93" t="n">
        <x:v>259.38</x:v>
      </x:c>
      <x:c r="H1091" s="85" t="str">
        <x:v>Diagnóstico e execução</x:v>
      </x:c>
    </x:row>
    <x:row r="1092">
      <x:c r="A1092" s="83" t="n">
        <x:v>1091</x:v>
      </x:c>
      <x:c r="B1092" s="84" t="n">
        <x:v>637</x:v>
      </x:c>
      <x:c r="C1092" s="84" t="n">
        <x:v>30</x:v>
      </x:c>
      <x:c r="D1092" s="89" t="n">
        <x:v>45641</x:v>
      </x:c>
      <x:c r="E1092" s="84" t="n">
        <x:v>4.1</x:v>
      </x:c>
      <x:c r="F1092" s="84" t="str">
        <x:v>Normal</x:v>
      </x:c>
      <x:c r="G1092" s="93" t="n">
        <x:v>169.78</x:v>
      </x:c>
      <x:c r="H1092" s="85" t="str">
        <x:v>Diagnóstico e execução</x:v>
      </x:c>
    </x:row>
    <x:row r="1093">
      <x:c r="A1093" s="83" t="n">
        <x:v>1092</x:v>
      </x:c>
      <x:c r="B1093" s="84" t="n">
        <x:v>637</x:v>
      </x:c>
      <x:c r="C1093" s="84" t="n">
        <x:v>38</x:v>
      </x:c>
      <x:c r="D1093" s="89" t="n">
        <x:v>45641</x:v>
      </x:c>
      <x:c r="E1093" s="84" t="n">
        <x:v>0.8</x:v>
      </x:c>
      <x:c r="F1093" s="84" t="str">
        <x:v>Normal</x:v>
      </x:c>
      <x:c r="G1093" s="93" t="n">
        <x:v>26.94</x:v>
      </x:c>
      <x:c r="H1093" s="85" t="str">
        <x:v>Diagnóstico e execução</x:v>
      </x:c>
    </x:row>
    <x:row r="1094">
      <x:c r="A1094" s="83" t="n">
        <x:v>1093</x:v>
      </x:c>
      <x:c r="B1094" s="84" t="n">
        <x:v>638</x:v>
      </x:c>
      <x:c r="C1094" s="84" t="n">
        <x:v>6</x:v>
      </x:c>
      <x:c r="D1094" s="89" t="n">
        <x:v>45095</x:v>
      </x:c>
      <x:c r="E1094" s="84" t="n">
        <x:v>6.3</x:v>
      </x:c>
      <x:c r="F1094" s="84" t="str">
        <x:v>Normal</x:v>
      </x:c>
      <x:c r="G1094" s="93" t="n">
        <x:v>329.24</x:v>
      </x:c>
      <x:c r="H1094" s="85" t="str">
        <x:v>Diagnóstico e execução</x:v>
      </x:c>
    </x:row>
    <x:row r="1095">
      <x:c r="A1095" s="83" t="n">
        <x:v>1094</x:v>
      </x:c>
      <x:c r="B1095" s="84" t="n">
        <x:v>639</x:v>
      </x:c>
      <x:c r="C1095" s="84" t="n">
        <x:v>23</x:v>
      </x:c>
      <x:c r="D1095" s="89" t="n">
        <x:v>45439</x:v>
      </x:c>
      <x:c r="E1095" s="84" t="n">
        <x:v>2.1</x:v>
      </x:c>
      <x:c r="F1095" s="84" t="str">
        <x:v>Normal</x:v>
      </x:c>
      <x:c r="G1095" s="93" t="n">
        <x:v>90.53</x:v>
      </x:c>
      <x:c r="H1095" s="85" t="str">
        <x:v>Diagnóstico e execução</x:v>
      </x:c>
    </x:row>
    <x:row r="1096">
      <x:c r="A1096" s="83" t="n">
        <x:v>1095</x:v>
      </x:c>
      <x:c r="B1096" s="84" t="n">
        <x:v>640</x:v>
      </x:c>
      <x:c r="C1096" s="84" t="n">
        <x:v>28</x:v>
      </x:c>
      <x:c r="D1096" s="89" t="n">
        <x:v>45287</x:v>
      </x:c>
      <x:c r="E1096" s="84" t="n">
        <x:v>7.7</x:v>
      </x:c>
      <x:c r="F1096" s="84" t="str">
        <x:v>Normal</x:v>
      </x:c>
      <x:c r="G1096" s="93" t="n">
        <x:v>289.67</x:v>
      </x:c>
      <x:c r="H1096" s="85" t="str">
        <x:v>Diagnóstico e execução</x:v>
      </x:c>
    </x:row>
    <x:row r="1097">
      <x:c r="A1097" s="83" t="n">
        <x:v>1096</x:v>
      </x:c>
      <x:c r="B1097" s="84" t="n">
        <x:v>640</x:v>
      </x:c>
      <x:c r="C1097" s="84" t="n">
        <x:v>21</x:v>
      </x:c>
      <x:c r="D1097" s="89" t="n">
        <x:v>45287</x:v>
      </x:c>
      <x:c r="E1097" s="84" t="n">
        <x:v>3</x:v>
      </x:c>
      <x:c r="F1097" s="84" t="str">
        <x:v>Normal</x:v>
      </x:c>
      <x:c r="G1097" s="93" t="n">
        <x:v>184.29</x:v>
      </x:c>
      <x:c r="H1097" s="85" t="str">
        <x:v>Diagnóstico e execução</x:v>
      </x:c>
    </x:row>
    <x:row r="1098">
      <x:c r="A1098" s="83" t="n">
        <x:v>1097</x:v>
      </x:c>
      <x:c r="B1098" s="84" t="n">
        <x:v>641</x:v>
      </x:c>
      <x:c r="C1098" s="84" t="n">
        <x:v>18</x:v>
      </x:c>
      <x:c r="D1098" s="89" t="n">
        <x:v>45046</x:v>
      </x:c>
      <x:c r="E1098" s="84" t="n">
        <x:v>1.9</x:v>
      </x:c>
      <x:c r="F1098" s="84" t="str">
        <x:v>Normal</x:v>
      </x:c>
      <x:c r="G1098" s="93" t="n">
        <x:v>119.87</x:v>
      </x:c>
      <x:c r="H1098" s="85" t="str">
        <x:v>Diagnóstico e execução</x:v>
      </x:c>
    </x:row>
    <x:row r="1099">
      <x:c r="A1099" s="83" t="n">
        <x:v>1098</x:v>
      </x:c>
      <x:c r="B1099" s="84" t="n">
        <x:v>641</x:v>
      </x:c>
      <x:c r="C1099" s="84" t="n">
        <x:v>17</x:v>
      </x:c>
      <x:c r="D1099" s="89" t="n">
        <x:v>45046</x:v>
      </x:c>
      <x:c r="E1099" s="84" t="n">
        <x:v>6.5</x:v>
      </x:c>
      <x:c r="F1099" s="84" t="str">
        <x:v>Normal</x:v>
      </x:c>
      <x:c r="G1099" s="93" t="n">
        <x:v>362.57</x:v>
      </x:c>
      <x:c r="H1099" s="85" t="str">
        <x:v>Diagnóstico e execução</x:v>
      </x:c>
    </x:row>
    <x:row r="1100">
      <x:c r="A1100" s="83" t="n">
        <x:v>1099</x:v>
      </x:c>
      <x:c r="B1100" s="84" t="n">
        <x:v>642</x:v>
      </x:c>
      <x:c r="C1100" s="84" t="n">
        <x:v>36</x:v>
      </x:c>
      <x:c r="D1100" s="89" t="n">
        <x:v>46011</x:v>
      </x:c>
      <x:c r="E1100" s="84" t="n">
        <x:v>4.6</x:v>
      </x:c>
      <x:c r="F1100" s="84" t="str">
        <x:v>Normal</x:v>
      </x:c>
      <x:c r="G1100" s="93" t="n">
        <x:v>136.44</x:v>
      </x:c>
      <x:c r="H1100" s="85" t="str">
        <x:v>Diagnóstico e execução</x:v>
      </x:c>
    </x:row>
    <x:row r="1101">
      <x:c r="A1101" s="83" t="n">
        <x:v>1100</x:v>
      </x:c>
      <x:c r="B1101" s="84" t="n">
        <x:v>642</x:v>
      </x:c>
      <x:c r="C1101" s="84" t="n">
        <x:v>24</x:v>
      </x:c>
      <x:c r="D1101" s="89" t="n">
        <x:v>46011</x:v>
      </x:c>
      <x:c r="E1101" s="84" t="n">
        <x:v>1.4</x:v>
      </x:c>
      <x:c r="F1101" s="84" t="str">
        <x:v>Normal</x:v>
      </x:c>
      <x:c r="G1101" s="93" t="n">
        <x:v>82.94</x:v>
      </x:c>
      <x:c r="H1101" s="85" t="str">
        <x:v>Diagnóstico e execução</x:v>
      </x:c>
    </x:row>
    <x:row r="1102">
      <x:c r="A1102" s="83" t="n">
        <x:v>1101</x:v>
      </x:c>
      <x:c r="B1102" s="84" t="n">
        <x:v>642</x:v>
      </x:c>
      <x:c r="C1102" s="84" t="n">
        <x:v>4</x:v>
      </x:c>
      <x:c r="D1102" s="89" t="n">
        <x:v>46011</x:v>
      </x:c>
      <x:c r="E1102" s="84" t="n">
        <x:v>6.2</x:v>
      </x:c>
      <x:c r="F1102" s="84" t="str">
        <x:v>Normal</x:v>
      </x:c>
      <x:c r="G1102" s="93" t="n">
        <x:v>304.98</x:v>
      </x:c>
      <x:c r="H1102" s="85" t="str">
        <x:v>Diagnóstico e execução</x:v>
      </x:c>
    </x:row>
    <x:row r="1103">
      <x:c r="A1103" s="83" t="n">
        <x:v>1102</x:v>
      </x:c>
      <x:c r="B1103" s="84" t="n">
        <x:v>643</x:v>
      </x:c>
      <x:c r="C1103" s="84" t="n">
        <x:v>30</x:v>
      </x:c>
      <x:c r="D1103" s="89" t="n">
        <x:v>45575</x:v>
      </x:c>
      <x:c r="E1103" s="84" t="n">
        <x:v>2.1</x:v>
      </x:c>
      <x:c r="F1103" s="84" t="str">
        <x:v>Normal</x:v>
      </x:c>
      <x:c r="G1103" s="93" t="n">
        <x:v>86.96</x:v>
      </x:c>
      <x:c r="H1103" s="85" t="str">
        <x:v>Diagnóstico e execução</x:v>
      </x:c>
    </x:row>
    <x:row r="1104">
      <x:c r="A1104" s="83" t="n">
        <x:v>1103</x:v>
      </x:c>
      <x:c r="B1104" s="84" t="n">
        <x:v>644</x:v>
      </x:c>
      <x:c r="C1104" s="84" t="n">
        <x:v>15</x:v>
      </x:c>
      <x:c r="D1104" s="89" t="n">
        <x:v>45565</x:v>
      </x:c>
      <x:c r="E1104" s="84" t="n">
        <x:v>2.7</x:v>
      </x:c>
      <x:c r="F1104" s="84" t="str">
        <x:v>Normal</x:v>
      </x:c>
      <x:c r="G1104" s="93" t="n">
        <x:v>81.65</x:v>
      </x:c>
      <x:c r="H1104" s="85" t="str">
        <x:v>Diagnóstico e execução</x:v>
      </x:c>
    </x:row>
    <x:row r="1105">
      <x:c r="A1105" s="83" t="n">
        <x:v>1104</x:v>
      </x:c>
      <x:c r="B1105" s="84" t="n">
        <x:v>644</x:v>
      </x:c>
      <x:c r="C1105" s="84" t="n">
        <x:v>18</x:v>
      </x:c>
      <x:c r="D1105" s="89" t="n">
        <x:v>45565</x:v>
      </x:c>
      <x:c r="E1105" s="84" t="n">
        <x:v>3.3</x:v>
      </x:c>
      <x:c r="F1105" s="84" t="str">
        <x:v>Normal</x:v>
      </x:c>
      <x:c r="G1105" s="93" t="n">
        <x:v>208.2</x:v>
      </x:c>
      <x:c r="H1105" s="85" t="str">
        <x:v>Diagnóstico e execução</x:v>
      </x:c>
    </x:row>
    <x:row r="1106">
      <x:c r="A1106" s="83" t="n">
        <x:v>1105</x:v>
      </x:c>
      <x:c r="B1106" s="84" t="n">
        <x:v>644</x:v>
      </x:c>
      <x:c r="C1106" s="84" t="n">
        <x:v>24</x:v>
      </x:c>
      <x:c r="D1106" s="89" t="n">
        <x:v>45565</x:v>
      </x:c>
      <x:c r="E1106" s="84" t="n">
        <x:v>5.8</x:v>
      </x:c>
      <x:c r="F1106" s="84" t="str">
        <x:v>Normal</x:v>
      </x:c>
      <x:c r="G1106" s="93" t="n">
        <x:v>343.59</x:v>
      </x:c>
      <x:c r="H1106" s="85" t="str">
        <x:v>Diagnóstico e execução</x:v>
      </x:c>
    </x:row>
    <x:row r="1107">
      <x:c r="A1107" s="83" t="n">
        <x:v>1106</x:v>
      </x:c>
      <x:c r="B1107" s="84" t="n">
        <x:v>645</x:v>
      </x:c>
      <x:c r="C1107" s="84" t="n">
        <x:v>8</x:v>
      </x:c>
      <x:c r="D1107" s="89" t="n">
        <x:v>45081</x:v>
      </x:c>
      <x:c r="E1107" s="84" t="n">
        <x:v>3.4</x:v>
      </x:c>
      <x:c r="F1107" s="84" t="str">
        <x:v>Normal</x:v>
      </x:c>
      <x:c r="G1107" s="93" t="n">
        <x:v>158.1</x:v>
      </x:c>
      <x:c r="H1107" s="85" t="str">
        <x:v>Diagnóstico e execução</x:v>
      </x:c>
    </x:row>
    <x:row r="1108">
      <x:c r="A1108" s="83" t="n">
        <x:v>1107</x:v>
      </x:c>
      <x:c r="B1108" s="84" t="n">
        <x:v>646</x:v>
      </x:c>
      <x:c r="C1108" s="84" t="n">
        <x:v>39</x:v>
      </x:c>
      <x:c r="D1108" s="89" t="n">
        <x:v>45321</x:v>
      </x:c>
      <x:c r="E1108" s="84" t="n">
        <x:v>5.8</x:v>
      </x:c>
      <x:c r="F1108" s="84" t="str">
        <x:v>Normal</x:v>
      </x:c>
      <x:c r="G1108" s="93" t="n">
        <x:v>335.82</x:v>
      </x:c>
      <x:c r="H1108" s="85" t="str">
        <x:v>Diagnóstico e execução</x:v>
      </x:c>
    </x:row>
    <x:row r="1109">
      <x:c r="A1109" s="83" t="n">
        <x:v>1108</x:v>
      </x:c>
      <x:c r="B1109" s="84" t="n">
        <x:v>649</x:v>
      </x:c>
      <x:c r="C1109" s="84" t="n">
        <x:v>44</x:v>
      </x:c>
      <x:c r="D1109" s="89" t="n">
        <x:v>45495</x:v>
      </x:c>
      <x:c r="E1109" s="84" t="n">
        <x:v>1.6</x:v>
      </x:c>
      <x:c r="F1109" s="84" t="str">
        <x:v>Normal</x:v>
      </x:c>
      <x:c r="G1109" s="93" t="n">
        <x:v>44.86</x:v>
      </x:c>
      <x:c r="H1109" s="85" t="str">
        <x:v>Diagnóstico e execução</x:v>
      </x:c>
    </x:row>
    <x:row r="1110">
      <x:c r="A1110" s="83" t="n">
        <x:v>1109</x:v>
      </x:c>
      <x:c r="B1110" s="84" t="n">
        <x:v>649</x:v>
      </x:c>
      <x:c r="C1110" s="84" t="n">
        <x:v>23</x:v>
      </x:c>
      <x:c r="D1110" s="89" t="n">
        <x:v>45495</x:v>
      </x:c>
      <x:c r="E1110" s="84" t="n">
        <x:v>2.9</x:v>
      </x:c>
      <x:c r="F1110" s="84" t="str">
        <x:v>Normal</x:v>
      </x:c>
      <x:c r="G1110" s="93" t="n">
        <x:v>125.02</x:v>
      </x:c>
      <x:c r="H1110" s="85" t="str">
        <x:v>Diagnóstico e execução</x:v>
      </x:c>
    </x:row>
    <x:row r="1111">
      <x:c r="A1111" s="83" t="n">
        <x:v>1110</x:v>
      </x:c>
      <x:c r="B1111" s="84" t="n">
        <x:v>649</x:v>
      </x:c>
      <x:c r="C1111" s="84" t="n">
        <x:v>29</x:v>
      </x:c>
      <x:c r="D1111" s="89" t="n">
        <x:v>45495</x:v>
      </x:c>
      <x:c r="E1111" s="84" t="n">
        <x:v>3.8</x:v>
      </x:c>
      <x:c r="F1111" s="84" t="str">
        <x:v>Normal</x:v>
      </x:c>
      <x:c r="G1111" s="93" t="n">
        <x:v>188.18</x:v>
      </x:c>
      <x:c r="H1111" s="85" t="str">
        <x:v>Diagnóstico e execução</x:v>
      </x:c>
    </x:row>
    <x:row r="1112">
      <x:c r="A1112" s="83" t="n">
        <x:v>1111</x:v>
      </x:c>
      <x:c r="B1112" s="84" t="n">
        <x:v>650</x:v>
      </x:c>
      <x:c r="C1112" s="84" t="n">
        <x:v>9</x:v>
      </x:c>
      <x:c r="D1112" s="89" t="n">
        <x:v>45310</x:v>
      </x:c>
      <x:c r="E1112" s="84" t="n">
        <x:v>1.5</x:v>
      </x:c>
      <x:c r="F1112" s="84" t="str">
        <x:v>Normal</x:v>
      </x:c>
      <x:c r="G1112" s="93" t="n">
        <x:v>79</x:v>
      </x:c>
      <x:c r="H1112" s="85" t="str">
        <x:v>Diagnóstico e execução</x:v>
      </x:c>
    </x:row>
    <x:row r="1113">
      <x:c r="A1113" s="83" t="n">
        <x:v>1112</x:v>
      </x:c>
      <x:c r="B1113" s="84" t="n">
        <x:v>650</x:v>
      </x:c>
      <x:c r="C1113" s="84" t="n">
        <x:v>3</x:v>
      </x:c>
      <x:c r="D1113" s="89" t="n">
        <x:v>45310</x:v>
      </x:c>
      <x:c r="E1113" s="84" t="n">
        <x:v>3.8</x:v>
      </x:c>
      <x:c r="F1113" s="84" t="str">
        <x:v>Normal</x:v>
      </x:c>
      <x:c r="G1113" s="93" t="n">
        <x:v>187.11</x:v>
      </x:c>
      <x:c r="H1113" s="85" t="str">
        <x:v>Diagnóstico e execução</x:v>
      </x:c>
    </x:row>
    <x:row r="1114">
      <x:c r="A1114" s="83" t="n">
        <x:v>1113</x:v>
      </x:c>
      <x:c r="B1114" s="84" t="n">
        <x:v>651</x:v>
      </x:c>
      <x:c r="C1114" s="84" t="n">
        <x:v>10</x:v>
      </x:c>
      <x:c r="D1114" s="89" t="n">
        <x:v>45177</x:v>
      </x:c>
      <x:c r="E1114" s="84" t="n">
        <x:v>3.1</x:v>
      </x:c>
      <x:c r="F1114" s="84" t="str">
        <x:v>Normal</x:v>
      </x:c>
      <x:c r="G1114" s="93" t="n">
        <x:v>92.04</x:v>
      </x:c>
      <x:c r="H1114" s="85" t="str">
        <x:v>Diagnóstico e execução</x:v>
      </x:c>
    </x:row>
    <x:row r="1115">
      <x:c r="A1115" s="83" t="n">
        <x:v>1114</x:v>
      </x:c>
      <x:c r="B1115" s="84" t="n">
        <x:v>651</x:v>
      </x:c>
      <x:c r="C1115" s="84" t="n">
        <x:v>10</x:v>
      </x:c>
      <x:c r="D1115" s="89" t="n">
        <x:v>45177</x:v>
      </x:c>
      <x:c r="E1115" s="84" t="n">
        <x:v>6.5</x:v>
      </x:c>
      <x:c r="F1115" s="84" t="str">
        <x:v>Normal</x:v>
      </x:c>
      <x:c r="G1115" s="93" t="n">
        <x:v>192.99</x:v>
      </x:c>
      <x:c r="H1115" s="85" t="str">
        <x:v>Diagnóstico e execução</x:v>
      </x:c>
    </x:row>
    <x:row r="1116">
      <x:c r="A1116" s="83" t="n">
        <x:v>1115</x:v>
      </x:c>
      <x:c r="B1116" s="84" t="n">
        <x:v>651</x:v>
      </x:c>
      <x:c r="C1116" s="84" t="n">
        <x:v>42</x:v>
      </x:c>
      <x:c r="D1116" s="89" t="n">
        <x:v>45177</x:v>
      </x:c>
      <x:c r="E1116" s="84" t="n">
        <x:v>3.4</x:v>
      </x:c>
      <x:c r="F1116" s="84" t="str">
        <x:v>Normal</x:v>
      </x:c>
      <x:c r="G1116" s="93" t="n">
        <x:v>143.41</x:v>
      </x:c>
      <x:c r="H1116" s="85" t="str">
        <x:v>Diagnóstico e execução</x:v>
      </x:c>
    </x:row>
    <x:row r="1117">
      <x:c r="A1117" s="83" t="n">
        <x:v>1116</x:v>
      </x:c>
      <x:c r="B1117" s="84" t="n">
        <x:v>653</x:v>
      </x:c>
      <x:c r="C1117" s="84" t="n">
        <x:v>13</x:v>
      </x:c>
      <x:c r="D1117" s="89" t="n">
        <x:v>45498</x:v>
      </x:c>
      <x:c r="E1117" s="84" t="n">
        <x:v>4.9</x:v>
      </x:c>
      <x:c r="F1117" s="84" t="str">
        <x:v>Normal</x:v>
      </x:c>
      <x:c r="G1117" s="93" t="n">
        <x:v>166.01</x:v>
      </x:c>
      <x:c r="H1117" s="85" t="str">
        <x:v>Diagnóstico e execução</x:v>
      </x:c>
    </x:row>
    <x:row r="1118">
      <x:c r="A1118" s="83" t="n">
        <x:v>1117</x:v>
      </x:c>
      <x:c r="B1118" s="84" t="n">
        <x:v>654</x:v>
      </x:c>
      <x:c r="C1118" s="84" t="n">
        <x:v>11</x:v>
      </x:c>
      <x:c r="D1118" s="89" t="n">
        <x:v>44929</x:v>
      </x:c>
      <x:c r="E1118" s="84" t="n">
        <x:v>1.7</x:v>
      </x:c>
      <x:c r="F1118" s="84" t="str">
        <x:v>Normal</x:v>
      </x:c>
      <x:c r="G1118" s="93" t="n">
        <x:v>70.86</x:v>
      </x:c>
      <x:c r="H1118" s="85" t="str">
        <x:v>Diagnóstico e execução</x:v>
      </x:c>
    </x:row>
    <x:row r="1119">
      <x:c r="A1119" s="83" t="n">
        <x:v>1118</x:v>
      </x:c>
      <x:c r="B1119" s="84" t="n">
        <x:v>654</x:v>
      </x:c>
      <x:c r="C1119" s="84" t="n">
        <x:v>23</x:v>
      </x:c>
      <x:c r="D1119" s="89" t="n">
        <x:v>44929</x:v>
      </x:c>
      <x:c r="E1119" s="84" t="n">
        <x:v>7.7</x:v>
      </x:c>
      <x:c r="F1119" s="84" t="str">
        <x:v>Normal</x:v>
      </x:c>
      <x:c r="G1119" s="93" t="n">
        <x:v>331.95</x:v>
      </x:c>
      <x:c r="H1119" s="85" t="str">
        <x:v>Diagnóstico e execução</x:v>
      </x:c>
    </x:row>
    <x:row r="1120">
      <x:c r="A1120" s="83" t="n">
        <x:v>1119</x:v>
      </x:c>
      <x:c r="B1120" s="84" t="n">
        <x:v>656</x:v>
      </x:c>
      <x:c r="C1120" s="84" t="n">
        <x:v>1</x:v>
      </x:c>
      <x:c r="D1120" s="89" t="n">
        <x:v>45211</x:v>
      </x:c>
      <x:c r="E1120" s="84" t="n">
        <x:v>5.8</x:v>
      </x:c>
      <x:c r="F1120" s="84" t="str">
        <x:v>Normal</x:v>
      </x:c>
      <x:c r="G1120" s="93" t="n">
        <x:v>205.15</x:v>
      </x:c>
      <x:c r="H1120" s="85" t="str">
        <x:v>Diagnóstico e execução</x:v>
      </x:c>
    </x:row>
    <x:row r="1121">
      <x:c r="A1121" s="83" t="n">
        <x:v>1120</x:v>
      </x:c>
      <x:c r="B1121" s="84" t="n">
        <x:v>657</x:v>
      </x:c>
      <x:c r="C1121" s="84" t="n">
        <x:v>38</x:v>
      </x:c>
      <x:c r="D1121" s="89" t="n">
        <x:v>45966</x:v>
      </x:c>
      <x:c r="E1121" s="84" t="n">
        <x:v>2.8</x:v>
      </x:c>
      <x:c r="F1121" s="84" t="str">
        <x:v>Normal</x:v>
      </x:c>
      <x:c r="G1121" s="93" t="n">
        <x:v>94.28</x:v>
      </x:c>
      <x:c r="H1121" s="85" t="str">
        <x:v>Diagnóstico e execução</x:v>
      </x:c>
    </x:row>
    <x:row r="1122">
      <x:c r="A1122" s="83" t="n">
        <x:v>1121</x:v>
      </x:c>
      <x:c r="B1122" s="84" t="n">
        <x:v>659</x:v>
      </x:c>
      <x:c r="C1122" s="84" t="n">
        <x:v>35</x:v>
      </x:c>
      <x:c r="D1122" s="89" t="n">
        <x:v>45372</x:v>
      </x:c>
      <x:c r="E1122" s="84" t="n">
        <x:v>3.6</x:v>
      </x:c>
      <x:c r="F1122" s="84" t="str">
        <x:v>Normal</x:v>
      </x:c>
      <x:c r="G1122" s="93" t="n">
        <x:v>177.08</x:v>
      </x:c>
      <x:c r="H1122" s="85" t="str">
        <x:v>Diagnóstico e execução</x:v>
      </x:c>
    </x:row>
    <x:row r="1123">
      <x:c r="A1123" s="83" t="n">
        <x:v>1122</x:v>
      </x:c>
      <x:c r="B1123" s="84" t="n">
        <x:v>659</x:v>
      </x:c>
      <x:c r="C1123" s="84" t="n">
        <x:v>19</x:v>
      </x:c>
      <x:c r="D1123" s="89" t="n">
        <x:v>45372</x:v>
      </x:c>
      <x:c r="E1123" s="84" t="n">
        <x:v>5.7</x:v>
      </x:c>
      <x:c r="F1123" s="84" t="str">
        <x:v>Normal</x:v>
      </x:c>
      <x:c r="G1123" s="93" t="n">
        <x:v>264.94</x:v>
      </x:c>
      <x:c r="H1123" s="85" t="str">
        <x:v>Diagnóstico e execução</x:v>
      </x:c>
    </x:row>
    <x:row r="1124">
      <x:c r="A1124" s="83" t="n">
        <x:v>1123</x:v>
      </x:c>
      <x:c r="B1124" s="84" t="n">
        <x:v>660</x:v>
      </x:c>
      <x:c r="C1124" s="84" t="n">
        <x:v>3</x:v>
      </x:c>
      <x:c r="D1124" s="89" t="n">
        <x:v>45382</x:v>
      </x:c>
      <x:c r="E1124" s="84" t="n">
        <x:v>5.7</x:v>
      </x:c>
      <x:c r="F1124" s="84" t="str">
        <x:v>Normal</x:v>
      </x:c>
      <x:c r="G1124" s="93" t="n">
        <x:v>280.67</x:v>
      </x:c>
      <x:c r="H1124" s="85" t="str">
        <x:v>Diagnóstico e execução</x:v>
      </x:c>
    </x:row>
    <x:row r="1125">
      <x:c r="A1125" s="83" t="n">
        <x:v>1124</x:v>
      </x:c>
      <x:c r="B1125" s="84" t="n">
        <x:v>662</x:v>
      </x:c>
      <x:c r="C1125" s="84" t="n">
        <x:v>26</x:v>
      </x:c>
      <x:c r="D1125" s="89" t="n">
        <x:v>45709</x:v>
      </x:c>
      <x:c r="E1125" s="84" t="n">
        <x:v>1.7</x:v>
      </x:c>
      <x:c r="F1125" s="84" t="str">
        <x:v>Normal</x:v>
      </x:c>
      <x:c r="G1125" s="93" t="n">
        <x:v>66.5</x:v>
      </x:c>
      <x:c r="H1125" s="85" t="str">
        <x:v>Diagnóstico e execução</x:v>
      </x:c>
    </x:row>
    <x:row r="1126">
      <x:c r="A1126" s="83" t="n">
        <x:v>1125</x:v>
      </x:c>
      <x:c r="B1126" s="84" t="n">
        <x:v>663</x:v>
      </x:c>
      <x:c r="C1126" s="84" t="n">
        <x:v>21</x:v>
      </x:c>
      <x:c r="D1126" s="89" t="n">
        <x:v>45365</x:v>
      </x:c>
      <x:c r="E1126" s="84" t="n">
        <x:v>4</x:v>
      </x:c>
      <x:c r="F1126" s="84" t="str">
        <x:v>Normal</x:v>
      </x:c>
      <x:c r="G1126" s="93" t="n">
        <x:v>245.72</x:v>
      </x:c>
      <x:c r="H1126" s="85" t="str">
        <x:v>Diagnóstico e execução</x:v>
      </x:c>
    </x:row>
    <x:row r="1127">
      <x:c r="A1127" s="83" t="n">
        <x:v>1126</x:v>
      </x:c>
      <x:c r="B1127" s="84" t="n">
        <x:v>663</x:v>
      </x:c>
      <x:c r="C1127" s="84" t="n">
        <x:v>6</x:v>
      </x:c>
      <x:c r="D1127" s="89" t="n">
        <x:v>45365</x:v>
      </x:c>
      <x:c r="E1127" s="84" t="n">
        <x:v>1.8</x:v>
      </x:c>
      <x:c r="F1127" s="84" t="str">
        <x:v>Normal</x:v>
      </x:c>
      <x:c r="G1127" s="93" t="n">
        <x:v>94.07</x:v>
      </x:c>
      <x:c r="H1127" s="85" t="str">
        <x:v>Diagnóstico e execução</x:v>
      </x:c>
    </x:row>
    <x:row r="1128">
      <x:c r="A1128" s="83" t="n">
        <x:v>1127</x:v>
      </x:c>
      <x:c r="B1128" s="84" t="n">
        <x:v>664</x:v>
      </x:c>
      <x:c r="C1128" s="84" t="n">
        <x:v>10</x:v>
      </x:c>
      <x:c r="D1128" s="89" t="n">
        <x:v>45443</x:v>
      </x:c>
      <x:c r="E1128" s="84" t="n">
        <x:v>5.4</x:v>
      </x:c>
      <x:c r="F1128" s="84" t="str">
        <x:v>Normal</x:v>
      </x:c>
      <x:c r="G1128" s="93" t="n">
        <x:v>160.33</x:v>
      </x:c>
      <x:c r="H1128" s="85" t="str">
        <x:v>Diagnóstico e execução</x:v>
      </x:c>
    </x:row>
    <x:row r="1129">
      <x:c r="A1129" s="83" t="n">
        <x:v>1128</x:v>
      </x:c>
      <x:c r="B1129" s="84" t="n">
        <x:v>664</x:v>
      </x:c>
      <x:c r="C1129" s="84" t="n">
        <x:v>28</x:v>
      </x:c>
      <x:c r="D1129" s="89" t="n">
        <x:v>45443</x:v>
      </x:c>
      <x:c r="E1129" s="84" t="n">
        <x:v>6.2</x:v>
      </x:c>
      <x:c r="F1129" s="84" t="str">
        <x:v>Normal</x:v>
      </x:c>
      <x:c r="G1129" s="93" t="n">
        <x:v>233.24</x:v>
      </x:c>
      <x:c r="H1129" s="85" t="str">
        <x:v>Diagnóstico e execução</x:v>
      </x:c>
    </x:row>
    <x:row r="1130">
      <x:c r="A1130" s="83" t="n">
        <x:v>1129</x:v>
      </x:c>
      <x:c r="B1130" s="84" t="n">
        <x:v>665</x:v>
      </x:c>
      <x:c r="C1130" s="84" t="n">
        <x:v>38</x:v>
      </x:c>
      <x:c r="D1130" s="89" t="n">
        <x:v>45200</x:v>
      </x:c>
      <x:c r="E1130" s="84" t="n">
        <x:v>1.5</x:v>
      </x:c>
      <x:c r="F1130" s="84" t="str">
        <x:v>Normal</x:v>
      </x:c>
      <x:c r="G1130" s="93" t="n">
        <x:v>50.51</x:v>
      </x:c>
      <x:c r="H1130" s="85" t="str">
        <x:v>Diagnóstico e execução</x:v>
      </x:c>
    </x:row>
    <x:row r="1131">
      <x:c r="A1131" s="83" t="n">
        <x:v>1130</x:v>
      </x:c>
      <x:c r="B1131" s="84" t="n">
        <x:v>665</x:v>
      </x:c>
      <x:c r="C1131" s="84" t="n">
        <x:v>14</x:v>
      </x:c>
      <x:c r="D1131" s="89" t="n">
        <x:v>45200</x:v>
      </x:c>
      <x:c r="E1131" s="84" t="n">
        <x:v>3.2</x:v>
      </x:c>
      <x:c r="F1131" s="84" t="str">
        <x:v>Normal</x:v>
      </x:c>
      <x:c r="G1131" s="93" t="n">
        <x:v>181.31</x:v>
      </x:c>
      <x:c r="H1131" s="85" t="str">
        <x:v>Diagnóstico e execução</x:v>
      </x:c>
    </x:row>
    <x:row r="1132">
      <x:c r="A1132" s="83" t="n">
        <x:v>1131</x:v>
      </x:c>
      <x:c r="B1132" s="84" t="n">
        <x:v>665</x:v>
      </x:c>
      <x:c r="C1132" s="84" t="n">
        <x:v>32</x:v>
      </x:c>
      <x:c r="D1132" s="89" t="n">
        <x:v>45200</x:v>
      </x:c>
      <x:c r="E1132" s="84" t="n">
        <x:v>8</x:v>
      </x:c>
      <x:c r="F1132" s="84" t="str">
        <x:v>Normal</x:v>
      </x:c>
      <x:c r="G1132" s="93" t="n">
        <x:v>349.2</x:v>
      </x:c>
      <x:c r="H1132" s="85" t="str">
        <x:v>Diagnóstico e execução</x:v>
      </x:c>
    </x:row>
    <x:row r="1133">
      <x:c r="A1133" s="83" t="n">
        <x:v>1132</x:v>
      </x:c>
      <x:c r="B1133" s="84" t="n">
        <x:v>666</x:v>
      </x:c>
      <x:c r="C1133" s="84" t="n">
        <x:v>25</x:v>
      </x:c>
      <x:c r="D1133" s="89" t="n">
        <x:v>45647</x:v>
      </x:c>
      <x:c r="E1133" s="84" t="n">
        <x:v>6.9</x:v>
      </x:c>
      <x:c r="F1133" s="84" t="str">
        <x:v>Normal</x:v>
      </x:c>
      <x:c r="G1133" s="93" t="n">
        <x:v>369.77</x:v>
      </x:c>
      <x:c r="H1133" s="85" t="str">
        <x:v>Diagnóstico e execução</x:v>
      </x:c>
    </x:row>
    <x:row r="1134">
      <x:c r="A1134" s="83" t="n">
        <x:v>1133</x:v>
      </x:c>
      <x:c r="B1134" s="84" t="n">
        <x:v>666</x:v>
      </x:c>
      <x:c r="C1134" s="84" t="n">
        <x:v>10</x:v>
      </x:c>
      <x:c r="D1134" s="89" t="n">
        <x:v>45647</x:v>
      </x:c>
      <x:c r="E1134" s="84" t="n">
        <x:v>5.5</x:v>
      </x:c>
      <x:c r="F1134" s="84" t="str">
        <x:v>Normal</x:v>
      </x:c>
      <x:c r="G1134" s="93" t="n">
        <x:v>163.3</x:v>
      </x:c>
      <x:c r="H1134" s="85" t="str">
        <x:v>Diagnóstico e execução</x:v>
      </x:c>
    </x:row>
    <x:row r="1135">
      <x:c r="A1135" s="83" t="n">
        <x:v>1134</x:v>
      </x:c>
      <x:c r="B1135" s="84" t="n">
        <x:v>666</x:v>
      </x:c>
      <x:c r="C1135" s="84" t="n">
        <x:v>40</x:v>
      </x:c>
      <x:c r="D1135" s="89" t="n">
        <x:v>45647</x:v>
      </x:c>
      <x:c r="E1135" s="84" t="n">
        <x:v>4.6</x:v>
      </x:c>
      <x:c r="F1135" s="84" t="str">
        <x:v>Normal</x:v>
      </x:c>
      <x:c r="G1135" s="93" t="n">
        <x:v>227.33</x:v>
      </x:c>
      <x:c r="H1135" s="85" t="str">
        <x:v>Diagnóstico e execução</x:v>
      </x:c>
    </x:row>
    <x:row r="1136">
      <x:c r="A1136" s="83" t="n">
        <x:v>1135</x:v>
      </x:c>
      <x:c r="B1136" s="84" t="n">
        <x:v>668</x:v>
      </x:c>
      <x:c r="C1136" s="84" t="n">
        <x:v>6</x:v>
      </x:c>
      <x:c r="D1136" s="89" t="n">
        <x:v>45333</x:v>
      </x:c>
      <x:c r="E1136" s="84" t="n">
        <x:v>3.6</x:v>
      </x:c>
      <x:c r="F1136" s="84" t="str">
        <x:v>Normal</x:v>
      </x:c>
      <x:c r="G1136" s="93" t="n">
        <x:v>188.14</x:v>
      </x:c>
      <x:c r="H1136" s="85" t="str">
        <x:v>Diagnóstico e execução</x:v>
      </x:c>
    </x:row>
    <x:row r="1137">
      <x:c r="A1137" s="83" t="n">
        <x:v>1136</x:v>
      </x:c>
      <x:c r="B1137" s="84" t="n">
        <x:v>668</x:v>
      </x:c>
      <x:c r="C1137" s="84" t="n">
        <x:v>2</x:v>
      </x:c>
      <x:c r="D1137" s="89" t="n">
        <x:v>45333</x:v>
      </x:c>
      <x:c r="E1137" s="84" t="n">
        <x:v>7.6</x:v>
      </x:c>
      <x:c r="F1137" s="84" t="str">
        <x:v>Normal</x:v>
      </x:c>
      <x:c r="G1137" s="93" t="n">
        <x:v>283.18</x:v>
      </x:c>
      <x:c r="H1137" s="85" t="str">
        <x:v>Diagnóstico e execução</x:v>
      </x:c>
    </x:row>
    <x:row r="1138">
      <x:c r="A1138" s="83" t="n">
        <x:v>1137</x:v>
      </x:c>
      <x:c r="B1138" s="84" t="n">
        <x:v>669</x:v>
      </x:c>
      <x:c r="C1138" s="84" t="n">
        <x:v>30</x:v>
      </x:c>
      <x:c r="D1138" s="89" t="n">
        <x:v>45267</x:v>
      </x:c>
      <x:c r="E1138" s="84" t="n">
        <x:v>3.2</x:v>
      </x:c>
      <x:c r="F1138" s="84" t="str">
        <x:v>Normal</x:v>
      </x:c>
      <x:c r="G1138" s="93" t="n">
        <x:v>132.51</x:v>
      </x:c>
      <x:c r="H1138" s="85" t="str">
        <x:v>Diagnóstico e execução</x:v>
      </x:c>
    </x:row>
    <x:row r="1139">
      <x:c r="A1139" s="83" t="n">
        <x:v>1138</x:v>
      </x:c>
      <x:c r="B1139" s="84" t="n">
        <x:v>669</x:v>
      </x:c>
      <x:c r="C1139" s="84" t="n">
        <x:v>27</x:v>
      </x:c>
      <x:c r="D1139" s="89" t="n">
        <x:v>45267</x:v>
      </x:c>
      <x:c r="E1139" s="84" t="n">
        <x:v>4.1</x:v>
      </x:c>
      <x:c r="F1139" s="84" t="str">
        <x:v>Normal</x:v>
      </x:c>
      <x:c r="G1139" s="93" t="n">
        <x:v>250.06</x:v>
      </x:c>
      <x:c r="H1139" s="85" t="str">
        <x:v>Diagnóstico e execução</x:v>
      </x:c>
    </x:row>
    <x:row r="1140">
      <x:c r="A1140" s="83" t="n">
        <x:v>1139</x:v>
      </x:c>
      <x:c r="B1140" s="84" t="n">
        <x:v>669</x:v>
      </x:c>
      <x:c r="C1140" s="84" t="n">
        <x:v>37</x:v>
      </x:c>
      <x:c r="D1140" s="89" t="n">
        <x:v>45267</x:v>
      </x:c>
      <x:c r="E1140" s="84" t="n">
        <x:v>7.1</x:v>
      </x:c>
      <x:c r="F1140" s="84" t="str">
        <x:v>Normal</x:v>
      </x:c>
      <x:c r="G1140" s="93" t="n">
        <x:v>418.69</x:v>
      </x:c>
      <x:c r="H1140" s="85" t="str">
        <x:v>Diagnóstico e execução</x:v>
      </x:c>
    </x:row>
    <x:row r="1141">
      <x:c r="A1141" s="83" t="n">
        <x:v>1140</x:v>
      </x:c>
      <x:c r="B1141" s="84" t="n">
        <x:v>670</x:v>
      </x:c>
      <x:c r="C1141" s="84" t="n">
        <x:v>12</x:v>
      </x:c>
      <x:c r="D1141" s="89" t="n">
        <x:v>45633</x:v>
      </x:c>
      <x:c r="E1141" s="84" t="n">
        <x:v>6</x:v>
      </x:c>
      <x:c r="F1141" s="84" t="str">
        <x:v>Normal</x:v>
      </x:c>
      <x:c r="G1141" s="93" t="n">
        <x:v>207</x:v>
      </x:c>
      <x:c r="H1141" s="85" t="str">
        <x:v>Diagnóstico e execução</x:v>
      </x:c>
    </x:row>
    <x:row r="1142">
      <x:c r="A1142" s="83" t="n">
        <x:v>1141</x:v>
      </x:c>
      <x:c r="B1142" s="84" t="n">
        <x:v>670</x:v>
      </x:c>
      <x:c r="C1142" s="84" t="n">
        <x:v>32</x:v>
      </x:c>
      <x:c r="D1142" s="89" t="n">
        <x:v>45633</x:v>
      </x:c>
      <x:c r="E1142" s="84" t="n">
        <x:v>6.7</x:v>
      </x:c>
      <x:c r="F1142" s="84" t="str">
        <x:v>Normal</x:v>
      </x:c>
      <x:c r="G1142" s="93" t="n">
        <x:v>292.45</x:v>
      </x:c>
      <x:c r="H1142" s="85" t="str">
        <x:v>Diagnóstico e execução</x:v>
      </x:c>
    </x:row>
    <x:row r="1143">
      <x:c r="A1143" s="83" t="n">
        <x:v>1142</x:v>
      </x:c>
      <x:c r="B1143" s="84" t="n">
        <x:v>670</x:v>
      </x:c>
      <x:c r="C1143" s="84" t="n">
        <x:v>9</x:v>
      </x:c>
      <x:c r="D1143" s="89" t="n">
        <x:v>45633</x:v>
      </x:c>
      <x:c r="E1143" s="84" t="n">
        <x:v>5.1</x:v>
      </x:c>
      <x:c r="F1143" s="84" t="str">
        <x:v>Normal</x:v>
      </x:c>
      <x:c r="G1143" s="93" t="n">
        <x:v>268.62</x:v>
      </x:c>
      <x:c r="H1143" s="85" t="str">
        <x:v>Diagnóstico e execução</x:v>
      </x:c>
    </x:row>
    <x:row r="1144">
      <x:c r="A1144" s="83" t="n">
        <x:v>1143</x:v>
      </x:c>
      <x:c r="B1144" s="84" t="n">
        <x:v>672</x:v>
      </x:c>
      <x:c r="C1144" s="84" t="n">
        <x:v>32</x:v>
      </x:c>
      <x:c r="D1144" s="89" t="n">
        <x:v>45848</x:v>
      </x:c>
      <x:c r="E1144" s="84" t="n">
        <x:v>2.6</x:v>
      </x:c>
      <x:c r="F1144" s="84" t="str">
        <x:v>Normal</x:v>
      </x:c>
      <x:c r="G1144" s="93" t="n">
        <x:v>113.49</x:v>
      </x:c>
      <x:c r="H1144" s="85" t="str">
        <x:v>Diagnóstico e execução</x:v>
      </x:c>
    </x:row>
    <x:row r="1145">
      <x:c r="A1145" s="83" t="n">
        <x:v>1144</x:v>
      </x:c>
      <x:c r="B1145" s="84" t="n">
        <x:v>672</x:v>
      </x:c>
      <x:c r="C1145" s="84" t="n">
        <x:v>40</x:v>
      </x:c>
      <x:c r="D1145" s="89" t="n">
        <x:v>45848</x:v>
      </x:c>
      <x:c r="E1145" s="84" t="n">
        <x:v>4.2</x:v>
      </x:c>
      <x:c r="F1145" s="84" t="str">
        <x:v>Normal</x:v>
      </x:c>
      <x:c r="G1145" s="93" t="n">
        <x:v>207.56</x:v>
      </x:c>
      <x:c r="H1145" s="85" t="str">
        <x:v>Diagnóstico e execução</x:v>
      </x:c>
    </x:row>
    <x:row r="1146">
      <x:c r="A1146" s="83" t="n">
        <x:v>1145</x:v>
      </x:c>
      <x:c r="B1146" s="84" t="n">
        <x:v>672</x:v>
      </x:c>
      <x:c r="C1146" s="84" t="n">
        <x:v>23</x:v>
      </x:c>
      <x:c r="D1146" s="89" t="n">
        <x:v>45848</x:v>
      </x:c>
      <x:c r="E1146" s="84" t="n">
        <x:v>7</x:v>
      </x:c>
      <x:c r="F1146" s="84" t="str">
        <x:v>Normal</x:v>
      </x:c>
      <x:c r="G1146" s="93" t="n">
        <x:v>301.77</x:v>
      </x:c>
      <x:c r="H1146" s="85" t="str">
        <x:v>Diagnóstico e execução</x:v>
      </x:c>
    </x:row>
    <x:row r="1147">
      <x:c r="A1147" s="83" t="n">
        <x:v>1146</x:v>
      </x:c>
      <x:c r="B1147" s="84" t="n">
        <x:v>673</x:v>
      </x:c>
      <x:c r="C1147" s="84" t="n">
        <x:v>25</x:v>
      </x:c>
      <x:c r="D1147" s="89" t="n">
        <x:v>45070</x:v>
      </x:c>
      <x:c r="E1147" s="84" t="n">
        <x:v>6.2</x:v>
      </x:c>
      <x:c r="F1147" s="84" t="str">
        <x:v>Normal</x:v>
      </x:c>
      <x:c r="G1147" s="93" t="n">
        <x:v>332.26</x:v>
      </x:c>
      <x:c r="H1147" s="85" t="str">
        <x:v>Diagnóstico e execução</x:v>
      </x:c>
    </x:row>
    <x:row r="1148">
      <x:c r="A1148" s="83" t="n">
        <x:v>1147</x:v>
      </x:c>
      <x:c r="B1148" s="84" t="n">
        <x:v>673</x:v>
      </x:c>
      <x:c r="C1148" s="84" t="n">
        <x:v>42</x:v>
      </x:c>
      <x:c r="D1148" s="89" t="n">
        <x:v>45070</x:v>
      </x:c>
      <x:c r="E1148" s="84" t="n">
        <x:v>6.3</x:v>
      </x:c>
      <x:c r="F1148" s="84" t="str">
        <x:v>Normal</x:v>
      </x:c>
      <x:c r="G1148" s="93" t="n">
        <x:v>265.73</x:v>
      </x:c>
      <x:c r="H1148" s="85" t="str">
        <x:v>Diagnóstico e execução</x:v>
      </x:c>
    </x:row>
    <x:row r="1149">
      <x:c r="A1149" s="83" t="n">
        <x:v>1148</x:v>
      </x:c>
      <x:c r="B1149" s="84" t="n">
        <x:v>673</x:v>
      </x:c>
      <x:c r="C1149" s="84" t="n">
        <x:v>42</x:v>
      </x:c>
      <x:c r="D1149" s="89" t="n">
        <x:v>45070</x:v>
      </x:c>
      <x:c r="E1149" s="84" t="n">
        <x:v>7.6</x:v>
      </x:c>
      <x:c r="F1149" s="84" t="str">
        <x:v>Normal</x:v>
      </x:c>
      <x:c r="G1149" s="93" t="n">
        <x:v>320.57</x:v>
      </x:c>
      <x:c r="H1149" s="85" t="str">
        <x:v>Diagnóstico e execução</x:v>
      </x:c>
    </x:row>
    <x:row r="1150">
      <x:c r="A1150" s="83" t="n">
        <x:v>1149</x:v>
      </x:c>
      <x:c r="B1150" s="84" t="n">
        <x:v>674</x:v>
      </x:c>
      <x:c r="C1150" s="84" t="n">
        <x:v>4</x:v>
      </x:c>
      <x:c r="D1150" s="89" t="n">
        <x:v>45997</x:v>
      </x:c>
      <x:c r="E1150" s="84" t="n">
        <x:v>7.6</x:v>
      </x:c>
      <x:c r="F1150" s="84" t="str">
        <x:v>Normal</x:v>
      </x:c>
      <x:c r="G1150" s="93" t="n">
        <x:v>373.84</x:v>
      </x:c>
      <x:c r="H1150" s="85" t="str">
        <x:v>Diagnóstico e execução</x:v>
      </x:c>
    </x:row>
    <x:row r="1151">
      <x:c r="A1151" s="83" t="n">
        <x:v>1150</x:v>
      </x:c>
      <x:c r="B1151" s="84" t="n">
        <x:v>674</x:v>
      </x:c>
      <x:c r="C1151" s="84" t="n">
        <x:v>16</x:v>
      </x:c>
      <x:c r="D1151" s="89" t="n">
        <x:v>45997</x:v>
      </x:c>
      <x:c r="E1151" s="84" t="n">
        <x:v>4.3</x:v>
      </x:c>
      <x:c r="F1151" s="84" t="str">
        <x:v>Normal</x:v>
      </x:c>
      <x:c r="G1151" s="93" t="n">
        <x:v>174.24</x:v>
      </x:c>
      <x:c r="H1151" s="85" t="str">
        <x:v>Diagnóstico e execução</x:v>
      </x:c>
    </x:row>
    <x:row r="1152">
      <x:c r="A1152" s="83" t="n">
        <x:v>1151</x:v>
      </x:c>
      <x:c r="B1152" s="84" t="n">
        <x:v>674</x:v>
      </x:c>
      <x:c r="C1152" s="84" t="n">
        <x:v>12</x:v>
      </x:c>
      <x:c r="D1152" s="89" t="n">
        <x:v>45997</x:v>
      </x:c>
      <x:c r="E1152" s="84" t="n">
        <x:v>4.6</x:v>
      </x:c>
      <x:c r="F1152" s="84" t="str">
        <x:v>Normal</x:v>
      </x:c>
      <x:c r="G1152" s="93" t="n">
        <x:v>158.7</x:v>
      </x:c>
      <x:c r="H1152" s="85" t="str">
        <x:v>Diagnóstico e execução</x:v>
      </x:c>
    </x:row>
    <x:row r="1153">
      <x:c r="A1153" s="83" t="n">
        <x:v>1152</x:v>
      </x:c>
      <x:c r="B1153" s="84" t="n">
        <x:v>675</x:v>
      </x:c>
      <x:c r="C1153" s="84" t="n">
        <x:v>7</x:v>
      </x:c>
      <x:c r="D1153" s="89" t="n">
        <x:v>45767</x:v>
      </x:c>
      <x:c r="E1153" s="84" t="n">
        <x:v>3.4</x:v>
      </x:c>
      <x:c r="F1153" s="84" t="str">
        <x:v>Normal</x:v>
      </x:c>
      <x:c r="G1153" s="93" t="n">
        <x:v>197.91</x:v>
      </x:c>
      <x:c r="H1153" s="85" t="str">
        <x:v>Diagnóstico e execução</x:v>
      </x:c>
    </x:row>
    <x:row r="1154">
      <x:c r="A1154" s="83" t="n">
        <x:v>1153</x:v>
      </x:c>
      <x:c r="B1154" s="84" t="n">
        <x:v>675</x:v>
      </x:c>
      <x:c r="C1154" s="84" t="n">
        <x:v>27</x:v>
      </x:c>
      <x:c r="D1154" s="89" t="n">
        <x:v>45767</x:v>
      </x:c>
      <x:c r="E1154" s="84" t="n">
        <x:v>1.9</x:v>
      </x:c>
      <x:c r="F1154" s="84" t="str">
        <x:v>Normal</x:v>
      </x:c>
      <x:c r="G1154" s="93" t="n">
        <x:v>115.88</x:v>
      </x:c>
      <x:c r="H1154" s="85" t="str">
        <x:v>Diagnóstico e execução</x:v>
      </x:c>
    </x:row>
    <x:row r="1155">
      <x:c r="A1155" s="83" t="n">
        <x:v>1154</x:v>
      </x:c>
      <x:c r="B1155" s="84" t="n">
        <x:v>675</x:v>
      </x:c>
      <x:c r="C1155" s="84" t="n">
        <x:v>33</x:v>
      </x:c>
      <x:c r="D1155" s="89" t="n">
        <x:v>45767</x:v>
      </x:c>
      <x:c r="E1155" s="84" t="n">
        <x:v>7.8</x:v>
      </x:c>
      <x:c r="F1155" s="84" t="str">
        <x:v>Normal</x:v>
      </x:c>
      <x:c r="G1155" s="93" t="n">
        <x:v>269.02</x:v>
      </x:c>
      <x:c r="H1155" s="85" t="str">
        <x:v>Diagnóstico e execução</x:v>
      </x:c>
    </x:row>
    <x:row r="1156">
      <x:c r="A1156" s="83" t="n">
        <x:v>1155</x:v>
      </x:c>
      <x:c r="B1156" s="84" t="n">
        <x:v>676</x:v>
      </x:c>
      <x:c r="C1156" s="84" t="n">
        <x:v>24</x:v>
      </x:c>
      <x:c r="D1156" s="89" t="n">
        <x:v>45778</x:v>
      </x:c>
      <x:c r="E1156" s="84" t="n">
        <x:v>2.3</x:v>
      </x:c>
      <x:c r="F1156" s="84" t="str">
        <x:v>Normal</x:v>
      </x:c>
      <x:c r="G1156" s="93" t="n">
        <x:v>136.25</x:v>
      </x:c>
      <x:c r="H1156" s="85" t="str">
        <x:v>Diagnóstico e execução</x:v>
      </x:c>
    </x:row>
    <x:row r="1157">
      <x:c r="A1157" s="83" t="n">
        <x:v>1156</x:v>
      </x:c>
      <x:c r="B1157" s="84" t="n">
        <x:v>677</x:v>
      </x:c>
      <x:c r="C1157" s="84" t="n">
        <x:v>6</x:v>
      </x:c>
      <x:c r="D1157" s="89" t="n">
        <x:v>45577</x:v>
      </x:c>
      <x:c r="E1157" s="84" t="n">
        <x:v>7.9</x:v>
      </x:c>
      <x:c r="F1157" s="84" t="str">
        <x:v>Normal</x:v>
      </x:c>
      <x:c r="G1157" s="93" t="n">
        <x:v>412.85</x:v>
      </x:c>
      <x:c r="H1157" s="85" t="str">
        <x:v>Diagnóstico e execução</x:v>
      </x:c>
    </x:row>
    <x:row r="1158">
      <x:c r="A1158" s="83" t="n">
        <x:v>1157</x:v>
      </x:c>
      <x:c r="B1158" s="84" t="n">
        <x:v>677</x:v>
      </x:c>
      <x:c r="C1158" s="84" t="n">
        <x:v>43</x:v>
      </x:c>
      <x:c r="D1158" s="89" t="n">
        <x:v>45577</x:v>
      </x:c>
      <x:c r="E1158" s="84" t="n">
        <x:v>1.9</x:v>
      </x:c>
      <x:c r="F1158" s="84" t="str">
        <x:v>Normal</x:v>
      </x:c>
      <x:c r="G1158" s="93" t="n">
        <x:v>103.85</x:v>
      </x:c>
      <x:c r="H1158" s="85" t="str">
        <x:v>Diagnóstico e execução</x:v>
      </x:c>
    </x:row>
    <x:row r="1159">
      <x:c r="A1159" s="83" t="n">
        <x:v>1158</x:v>
      </x:c>
      <x:c r="B1159" s="84" t="n">
        <x:v>677</x:v>
      </x:c>
      <x:c r="C1159" s="84" t="n">
        <x:v>5</x:v>
      </x:c>
      <x:c r="D1159" s="89" t="n">
        <x:v>45577</x:v>
      </x:c>
      <x:c r="E1159" s="84" t="n">
        <x:v>4.1</x:v>
      </x:c>
      <x:c r="F1159" s="84" t="str">
        <x:v>Normal</x:v>
      </x:c>
      <x:c r="G1159" s="93" t="n">
        <x:v>118.16</x:v>
      </x:c>
      <x:c r="H1159" s="85" t="str">
        <x:v>Diagnóstico e execução</x:v>
      </x:c>
    </x:row>
    <x:row r="1160">
      <x:c r="A1160" s="83" t="n">
        <x:v>1159</x:v>
      </x:c>
      <x:c r="B1160" s="84" t="n">
        <x:v>679</x:v>
      </x:c>
      <x:c r="C1160" s="84" t="n">
        <x:v>30</x:v>
      </x:c>
      <x:c r="D1160" s="89" t="n">
        <x:v>45323</x:v>
      </x:c>
      <x:c r="E1160" s="84" t="n">
        <x:v>2.7</x:v>
      </x:c>
      <x:c r="F1160" s="84" t="str">
        <x:v>Normal</x:v>
      </x:c>
      <x:c r="G1160" s="93" t="n">
        <x:v>111.81</x:v>
      </x:c>
      <x:c r="H1160" s="85" t="str">
        <x:v>Diagnóstico e execução</x:v>
      </x:c>
    </x:row>
    <x:row r="1161">
      <x:c r="A1161" s="83" t="n">
        <x:v>1160</x:v>
      </x:c>
      <x:c r="B1161" s="84" t="n">
        <x:v>679</x:v>
      </x:c>
      <x:c r="C1161" s="84" t="n">
        <x:v>24</x:v>
      </x:c>
      <x:c r="D1161" s="89" t="n">
        <x:v>45323</x:v>
      </x:c>
      <x:c r="E1161" s="84" t="n">
        <x:v>0.7</x:v>
      </x:c>
      <x:c r="F1161" s="84" t="str">
        <x:v>Normal</x:v>
      </x:c>
      <x:c r="G1161" s="93" t="n">
        <x:v>41.47</x:v>
      </x:c>
      <x:c r="H1161" s="85" t="str">
        <x:v>Diagnóstico e execução</x:v>
      </x:c>
    </x:row>
    <x:row r="1162">
      <x:c r="A1162" s="83" t="n">
        <x:v>1161</x:v>
      </x:c>
      <x:c r="B1162" s="84" t="n">
        <x:v>681</x:v>
      </x:c>
      <x:c r="C1162" s="84" t="n">
        <x:v>3</x:v>
      </x:c>
      <x:c r="D1162" s="89" t="n">
        <x:v>45200</x:v>
      </x:c>
      <x:c r="E1162" s="84" t="n">
        <x:v>1.7</x:v>
      </x:c>
      <x:c r="F1162" s="84" t="str">
        <x:v>Normal</x:v>
      </x:c>
      <x:c r="G1162" s="93" t="n">
        <x:v>83.71</x:v>
      </x:c>
      <x:c r="H1162" s="85" t="str">
        <x:v>Diagnóstico e execução</x:v>
      </x:c>
    </x:row>
    <x:row r="1163">
      <x:c r="A1163" s="83" t="n">
        <x:v>1162</x:v>
      </x:c>
      <x:c r="B1163" s="84" t="n">
        <x:v>681</x:v>
      </x:c>
      <x:c r="C1163" s="84" t="n">
        <x:v>37</x:v>
      </x:c>
      <x:c r="D1163" s="89" t="n">
        <x:v>45200</x:v>
      </x:c>
      <x:c r="E1163" s="84" t="n">
        <x:v>4.7</x:v>
      </x:c>
      <x:c r="F1163" s="84" t="str">
        <x:v>Normal</x:v>
      </x:c>
      <x:c r="G1163" s="93" t="n">
        <x:v>277.16</x:v>
      </x:c>
      <x:c r="H1163" s="85" t="str">
        <x:v>Diagnóstico e execução</x:v>
      </x:c>
    </x:row>
    <x:row r="1164">
      <x:c r="A1164" s="83" t="n">
        <x:v>1163</x:v>
      </x:c>
      <x:c r="B1164" s="84" t="n">
        <x:v>682</x:v>
      </x:c>
      <x:c r="C1164" s="84" t="n">
        <x:v>36</x:v>
      </x:c>
      <x:c r="D1164" s="89" t="n">
        <x:v>45700</x:v>
      </x:c>
      <x:c r="E1164" s="84" t="n">
        <x:v>2.4</x:v>
      </x:c>
      <x:c r="F1164" s="84" t="str">
        <x:v>Normal</x:v>
      </x:c>
      <x:c r="G1164" s="93" t="n">
        <x:v>71.18</x:v>
      </x:c>
      <x:c r="H1164" s="85" t="str">
        <x:v>Diagnóstico e execução</x:v>
      </x:c>
    </x:row>
    <x:row r="1165">
      <x:c r="A1165" s="83" t="n">
        <x:v>1164</x:v>
      </x:c>
      <x:c r="B1165" s="84" t="n">
        <x:v>682</x:v>
      </x:c>
      <x:c r="C1165" s="84" t="n">
        <x:v>41</x:v>
      </x:c>
      <x:c r="D1165" s="89" t="n">
        <x:v>45700</x:v>
      </x:c>
      <x:c r="E1165" s="84" t="n">
        <x:v>5.3</x:v>
      </x:c>
      <x:c r="F1165" s="84" t="str">
        <x:v>Normal</x:v>
      </x:c>
      <x:c r="G1165" s="93" t="n">
        <x:v>268.07</x:v>
      </x:c>
      <x:c r="H1165" s="85" t="str">
        <x:v>Diagnóstico e execução</x:v>
      </x:c>
    </x:row>
    <x:row r="1166">
      <x:c r="A1166" s="83" t="n">
        <x:v>1165</x:v>
      </x:c>
      <x:c r="B1166" s="84" t="n">
        <x:v>683</x:v>
      </x:c>
      <x:c r="C1166" s="84" t="n">
        <x:v>9</x:v>
      </x:c>
      <x:c r="D1166" s="89" t="n">
        <x:v>44980</x:v>
      </x:c>
      <x:c r="E1166" s="84" t="n">
        <x:v>4.3</x:v>
      </x:c>
      <x:c r="F1166" s="84" t="str">
        <x:v>Normal</x:v>
      </x:c>
      <x:c r="G1166" s="93" t="n">
        <x:v>226.48</x:v>
      </x:c>
      <x:c r="H1166" s="85" t="str">
        <x:v>Diagnóstico e execução</x:v>
      </x:c>
    </x:row>
    <x:row r="1167">
      <x:c r="A1167" s="83" t="n">
        <x:v>1166</x:v>
      </x:c>
      <x:c r="B1167" s="84" t="n">
        <x:v>683</x:v>
      </x:c>
      <x:c r="C1167" s="84" t="n">
        <x:v>19</x:v>
      </x:c>
      <x:c r="D1167" s="89" t="n">
        <x:v>44980</x:v>
      </x:c>
      <x:c r="E1167" s="84" t="n">
        <x:v>2.8</x:v>
      </x:c>
      <x:c r="F1167" s="84" t="str">
        <x:v>Normal</x:v>
      </x:c>
      <x:c r="G1167" s="93" t="n">
        <x:v>130.14</x:v>
      </x:c>
      <x:c r="H1167" s="85" t="str">
        <x:v>Diagnóstico e execução</x:v>
      </x:c>
    </x:row>
    <x:row r="1168">
      <x:c r="A1168" s="83" t="n">
        <x:v>1167</x:v>
      </x:c>
      <x:c r="B1168" s="84" t="n">
        <x:v>683</x:v>
      </x:c>
      <x:c r="C1168" s="84" t="n">
        <x:v>30</x:v>
      </x:c>
      <x:c r="D1168" s="89" t="n">
        <x:v>44980</x:v>
      </x:c>
      <x:c r="E1168" s="84" t="n">
        <x:v>3.2</x:v>
      </x:c>
      <x:c r="F1168" s="84" t="str">
        <x:v>Normal</x:v>
      </x:c>
      <x:c r="G1168" s="93" t="n">
        <x:v>132.51</x:v>
      </x:c>
      <x:c r="H1168" s="85" t="str">
        <x:v>Diagnóstico e execução</x:v>
      </x:c>
    </x:row>
    <x:row r="1169">
      <x:c r="A1169" s="83" t="n">
        <x:v>1168</x:v>
      </x:c>
      <x:c r="B1169" s="84" t="n">
        <x:v>684</x:v>
      </x:c>
      <x:c r="C1169" s="84" t="n">
        <x:v>37</x:v>
      </x:c>
      <x:c r="D1169" s="89" t="n">
        <x:v>45074</x:v>
      </x:c>
      <x:c r="E1169" s="84" t="n">
        <x:v>2.2</x:v>
      </x:c>
      <x:c r="F1169" s="84" t="str">
        <x:v>Normal</x:v>
      </x:c>
      <x:c r="G1169" s="93" t="n">
        <x:v>129.73</x:v>
      </x:c>
      <x:c r="H1169" s="85" t="str">
        <x:v>Diagnóstico e execução</x:v>
      </x:c>
    </x:row>
    <x:row r="1170">
      <x:c r="A1170" s="83" t="n">
        <x:v>1169</x:v>
      </x:c>
      <x:c r="B1170" s="84" t="n">
        <x:v>686</x:v>
      </x:c>
      <x:c r="C1170" s="84" t="n">
        <x:v>1</x:v>
      </x:c>
      <x:c r="D1170" s="89" t="n">
        <x:v>45195</x:v>
      </x:c>
      <x:c r="E1170" s="84" t="n">
        <x:v>3.5</x:v>
      </x:c>
      <x:c r="F1170" s="84" t="str">
        <x:v>Normal</x:v>
      </x:c>
      <x:c r="G1170" s="93" t="n">
        <x:v>123.79</x:v>
      </x:c>
      <x:c r="H1170" s="85" t="str">
        <x:v>Diagnóstico e execução</x:v>
      </x:c>
    </x:row>
    <x:row r="1171">
      <x:c r="A1171" s="83" t="n">
        <x:v>1170</x:v>
      </x:c>
      <x:c r="B1171" s="84" t="n">
        <x:v>686</x:v>
      </x:c>
      <x:c r="C1171" s="84" t="n">
        <x:v>32</x:v>
      </x:c>
      <x:c r="D1171" s="89" t="n">
        <x:v>45195</x:v>
      </x:c>
      <x:c r="E1171" s="84" t="n">
        <x:v>2.8</x:v>
      </x:c>
      <x:c r="F1171" s="84" t="str">
        <x:v>Normal</x:v>
      </x:c>
      <x:c r="G1171" s="93" t="n">
        <x:v>122.22</x:v>
      </x:c>
      <x:c r="H1171" s="85" t="str">
        <x:v>Diagnóstico e execução</x:v>
      </x:c>
    </x:row>
    <x:row r="1172">
      <x:c r="A1172" s="83" t="n">
        <x:v>1171</x:v>
      </x:c>
      <x:c r="B1172" s="84" t="n">
        <x:v>687</x:v>
      </x:c>
      <x:c r="C1172" s="84" t="n">
        <x:v>19</x:v>
      </x:c>
      <x:c r="D1172" s="89" t="n">
        <x:v>45596</x:v>
      </x:c>
      <x:c r="E1172" s="84" t="n">
        <x:v>7.6</x:v>
      </x:c>
      <x:c r="F1172" s="84" t="str">
        <x:v>Normal</x:v>
      </x:c>
      <x:c r="G1172" s="93" t="n">
        <x:v>353.25</x:v>
      </x:c>
      <x:c r="H1172" s="85" t="str">
        <x:v>Diagnóstico e execução</x:v>
      </x:c>
    </x:row>
    <x:row r="1173">
      <x:c r="A1173" s="83" t="n">
        <x:v>1172</x:v>
      </x:c>
      <x:c r="B1173" s="84" t="n">
        <x:v>687</x:v>
      </x:c>
      <x:c r="C1173" s="84" t="n">
        <x:v>33</x:v>
      </x:c>
      <x:c r="D1173" s="89" t="n">
        <x:v>45596</x:v>
      </x:c>
      <x:c r="E1173" s="84" t="n">
        <x:v>2.6</x:v>
      </x:c>
      <x:c r="F1173" s="84" t="str">
        <x:v>Normal</x:v>
      </x:c>
      <x:c r="G1173" s="93" t="n">
        <x:v>89.67</x:v>
      </x:c>
      <x:c r="H1173" s="85" t="str">
        <x:v>Diagnóstico e execução</x:v>
      </x:c>
    </x:row>
    <x:row r="1174">
      <x:c r="A1174" s="83" t="n">
        <x:v>1173</x:v>
      </x:c>
      <x:c r="B1174" s="84" t="n">
        <x:v>688</x:v>
      </x:c>
      <x:c r="C1174" s="84" t="n">
        <x:v>31</x:v>
      </x:c>
      <x:c r="D1174" s="89" t="n">
        <x:v>45545</x:v>
      </x:c>
      <x:c r="E1174" s="84" t="n">
        <x:v>4.5</x:v>
      </x:c>
      <x:c r="F1174" s="84" t="str">
        <x:v>Normal</x:v>
      </x:c>
      <x:c r="G1174" s="93" t="n">
        <x:v>220.05</x:v>
      </x:c>
      <x:c r="H1174" s="85" t="str">
        <x:v>Diagnóstico e execução</x:v>
      </x:c>
    </x:row>
    <x:row r="1175">
      <x:c r="A1175" s="83" t="n">
        <x:v>1174</x:v>
      </x:c>
      <x:c r="B1175" s="84" t="n">
        <x:v>689</x:v>
      </x:c>
      <x:c r="C1175" s="84" t="n">
        <x:v>26</x:v>
      </x:c>
      <x:c r="D1175" s="89" t="n">
        <x:v>45021</x:v>
      </x:c>
      <x:c r="E1175" s="84" t="n">
        <x:v>6.3</x:v>
      </x:c>
      <x:c r="F1175" s="84" t="str">
        <x:v>Normal</x:v>
      </x:c>
      <x:c r="G1175" s="93" t="n">
        <x:v>246.46</x:v>
      </x:c>
      <x:c r="H1175" s="85" t="str">
        <x:v>Diagnóstico e execução</x:v>
      </x:c>
    </x:row>
    <x:row r="1176">
      <x:c r="A1176" s="83" t="n">
        <x:v>1175</x:v>
      </x:c>
      <x:c r="B1176" s="84" t="n">
        <x:v>689</x:v>
      </x:c>
      <x:c r="C1176" s="84" t="n">
        <x:v>33</x:v>
      </x:c>
      <x:c r="D1176" s="89" t="n">
        <x:v>45021</x:v>
      </x:c>
      <x:c r="E1176" s="84" t="n">
        <x:v>6.3</x:v>
      </x:c>
      <x:c r="F1176" s="84" t="str">
        <x:v>Normal</x:v>
      </x:c>
      <x:c r="G1176" s="93" t="n">
        <x:v>217.29</x:v>
      </x:c>
      <x:c r="H1176" s="85" t="str">
        <x:v>Diagnóstico e execução</x:v>
      </x:c>
    </x:row>
    <x:row r="1177">
      <x:c r="A1177" s="83" t="n">
        <x:v>1176</x:v>
      </x:c>
      <x:c r="B1177" s="84" t="n">
        <x:v>689</x:v>
      </x:c>
      <x:c r="C1177" s="84" t="n">
        <x:v>12</x:v>
      </x:c>
      <x:c r="D1177" s="89" t="n">
        <x:v>45021</x:v>
      </x:c>
      <x:c r="E1177" s="84" t="n">
        <x:v>2.3</x:v>
      </x:c>
      <x:c r="F1177" s="84" t="str">
        <x:v>Normal</x:v>
      </x:c>
      <x:c r="G1177" s="93" t="n">
        <x:v>79.35</x:v>
      </x:c>
      <x:c r="H1177" s="85" t="str">
        <x:v>Diagnóstico e execução</x:v>
      </x:c>
    </x:row>
    <x:row r="1178">
      <x:c r="A1178" s="83" t="n">
        <x:v>1177</x:v>
      </x:c>
      <x:c r="B1178" s="84" t="n">
        <x:v>690</x:v>
      </x:c>
      <x:c r="C1178" s="84" t="n">
        <x:v>4</x:v>
      </x:c>
      <x:c r="D1178" s="89" t="n">
        <x:v>45194</x:v>
      </x:c>
      <x:c r="E1178" s="84" t="n">
        <x:v>5.6</x:v>
      </x:c>
      <x:c r="F1178" s="84" t="str">
        <x:v>Normal</x:v>
      </x:c>
      <x:c r="G1178" s="93" t="n">
        <x:v>275.46</x:v>
      </x:c>
      <x:c r="H1178" s="85" t="str">
        <x:v>Diagnóstico e execução</x:v>
      </x:c>
    </x:row>
    <x:row r="1179">
      <x:c r="A1179" s="83" t="n">
        <x:v>1178</x:v>
      </x:c>
      <x:c r="B1179" s="84" t="n">
        <x:v>690</x:v>
      </x:c>
      <x:c r="C1179" s="84" t="n">
        <x:v>14</x:v>
      </x:c>
      <x:c r="D1179" s="89" t="n">
        <x:v>45194</x:v>
      </x:c>
      <x:c r="E1179" s="84" t="n">
        <x:v>0.8</x:v>
      </x:c>
      <x:c r="F1179" s="84" t="str">
        <x:v>Normal</x:v>
      </x:c>
      <x:c r="G1179" s="93" t="n">
        <x:v>45.33</x:v>
      </x:c>
      <x:c r="H1179" s="85" t="str">
        <x:v>Diagnóstico e execução</x:v>
      </x:c>
    </x:row>
    <x:row r="1180">
      <x:c r="A1180" s="83" t="n">
        <x:v>1179</x:v>
      </x:c>
      <x:c r="B1180" s="84" t="n">
        <x:v>692</x:v>
      </x:c>
      <x:c r="C1180" s="84" t="n">
        <x:v>12</x:v>
      </x:c>
      <x:c r="D1180" s="89" t="n">
        <x:v>45383</x:v>
      </x:c>
      <x:c r="E1180" s="84" t="n">
        <x:v>6.5</x:v>
      </x:c>
      <x:c r="F1180" s="84" t="str">
        <x:v>Normal</x:v>
      </x:c>
      <x:c r="G1180" s="93" t="n">
        <x:v>224.25</x:v>
      </x:c>
      <x:c r="H1180" s="85" t="str">
        <x:v>Diagnóstico e execução</x:v>
      </x:c>
    </x:row>
    <x:row r="1181">
      <x:c r="A1181" s="83" t="n">
        <x:v>1180</x:v>
      </x:c>
      <x:c r="B1181" s="84" t="n">
        <x:v>692</x:v>
      </x:c>
      <x:c r="C1181" s="84" t="n">
        <x:v>34</x:v>
      </x:c>
      <x:c r="D1181" s="89" t="n">
        <x:v>45383</x:v>
      </x:c>
      <x:c r="E1181" s="84" t="n">
        <x:v>0.5</x:v>
      </x:c>
      <x:c r="F1181" s="84" t="str">
        <x:v>Normal</x:v>
      </x:c>
      <x:c r="G1181" s="93" t="n">
        <x:v>21.61</x:v>
      </x:c>
      <x:c r="H1181" s="85" t="str">
        <x:v>Diagnóstico e execução</x:v>
      </x:c>
    </x:row>
    <x:row r="1182">
      <x:c r="A1182" s="83" t="n">
        <x:v>1181</x:v>
      </x:c>
      <x:c r="B1182" s="84" t="n">
        <x:v>693</x:v>
      </x:c>
      <x:c r="C1182" s="84" t="n">
        <x:v>11</x:v>
      </x:c>
      <x:c r="D1182" s="89" t="n">
        <x:v>45214</x:v>
      </x:c>
      <x:c r="E1182" s="84" t="n">
        <x:v>6.2</x:v>
      </x:c>
      <x:c r="F1182" s="84" t="str">
        <x:v>Normal</x:v>
      </x:c>
      <x:c r="G1182" s="93" t="n">
        <x:v>258.42</x:v>
      </x:c>
      <x:c r="H1182" s="85" t="str">
        <x:v>Diagnóstico e execução</x:v>
      </x:c>
    </x:row>
    <x:row r="1183">
      <x:c r="A1183" s="83" t="n">
        <x:v>1182</x:v>
      </x:c>
      <x:c r="B1183" s="84" t="n">
        <x:v>693</x:v>
      </x:c>
      <x:c r="C1183" s="84" t="n">
        <x:v>36</x:v>
      </x:c>
      <x:c r="D1183" s="89" t="n">
        <x:v>45214</x:v>
      </x:c>
      <x:c r="E1183" s="84" t="n">
        <x:v>1.3</x:v>
      </x:c>
      <x:c r="F1183" s="84" t="str">
        <x:v>Normal</x:v>
      </x:c>
      <x:c r="G1183" s="93" t="n">
        <x:v>38.56</x:v>
      </x:c>
      <x:c r="H1183" s="85" t="str">
        <x:v>Diagnóstico e execução</x:v>
      </x:c>
    </x:row>
    <x:row r="1184">
      <x:c r="A1184" s="83" t="n">
        <x:v>1183</x:v>
      </x:c>
      <x:c r="B1184" s="84" t="n">
        <x:v>693</x:v>
      </x:c>
      <x:c r="C1184" s="84" t="n">
        <x:v>40</x:v>
      </x:c>
      <x:c r="D1184" s="89" t="n">
        <x:v>45214</x:v>
      </x:c>
      <x:c r="E1184" s="84" t="n">
        <x:v>6.7</x:v>
      </x:c>
      <x:c r="F1184" s="84" t="str">
        <x:v>Normal</x:v>
      </x:c>
      <x:c r="G1184" s="93" t="n">
        <x:v>331.11</x:v>
      </x:c>
      <x:c r="H1184" s="85" t="str">
        <x:v>Diagnóstico e execução</x:v>
      </x:c>
    </x:row>
    <x:row r="1185">
      <x:c r="A1185" s="83" t="n">
        <x:v>1184</x:v>
      </x:c>
      <x:c r="B1185" s="84" t="n">
        <x:v>694</x:v>
      </x:c>
      <x:c r="C1185" s="84" t="n">
        <x:v>12</x:v>
      </x:c>
      <x:c r="D1185" s="89" t="n">
        <x:v>45699</x:v>
      </x:c>
      <x:c r="E1185" s="84" t="n">
        <x:v>5.6</x:v>
      </x:c>
      <x:c r="F1185" s="84" t="str">
        <x:v>Normal</x:v>
      </x:c>
      <x:c r="G1185" s="93" t="n">
        <x:v>193.2</x:v>
      </x:c>
      <x:c r="H1185" s="85" t="str">
        <x:v>Diagnóstico e execução</x:v>
      </x:c>
    </x:row>
    <x:row r="1186">
      <x:c r="A1186" s="83" t="n">
        <x:v>1185</x:v>
      </x:c>
      <x:c r="B1186" s="84" t="n">
        <x:v>694</x:v>
      </x:c>
      <x:c r="C1186" s="84" t="n">
        <x:v>4</x:v>
      </x:c>
      <x:c r="D1186" s="89" t="n">
        <x:v>45699</x:v>
      </x:c>
      <x:c r="E1186" s="84" t="n">
        <x:v>4.6</x:v>
      </x:c>
      <x:c r="F1186" s="84" t="str">
        <x:v>Normal</x:v>
      </x:c>
      <x:c r="G1186" s="93" t="n">
        <x:v>226.27</x:v>
      </x:c>
      <x:c r="H1186" s="85" t="str">
        <x:v>Diagnóstico e execução</x:v>
      </x:c>
    </x:row>
    <x:row r="1187">
      <x:c r="A1187" s="83" t="n">
        <x:v>1186</x:v>
      </x:c>
      <x:c r="B1187" s="84" t="n">
        <x:v>695</x:v>
      </x:c>
      <x:c r="C1187" s="84" t="n">
        <x:v>5</x:v>
      </x:c>
      <x:c r="D1187" s="89" t="n">
        <x:v>45089</x:v>
      </x:c>
      <x:c r="E1187" s="84" t="n">
        <x:v>2.1</x:v>
      </x:c>
      <x:c r="F1187" s="84" t="str">
        <x:v>Normal</x:v>
      </x:c>
      <x:c r="G1187" s="93" t="n">
        <x:v>60.52</x:v>
      </x:c>
      <x:c r="H1187" s="85" t="str">
        <x:v>Diagnóstico e execução</x:v>
      </x:c>
    </x:row>
    <x:row r="1188">
      <x:c r="A1188" s="83" t="n">
        <x:v>1187</x:v>
      </x:c>
      <x:c r="B1188" s="84" t="n">
        <x:v>695</x:v>
      </x:c>
      <x:c r="C1188" s="84" t="n">
        <x:v>45</x:v>
      </x:c>
      <x:c r="D1188" s="89" t="n">
        <x:v>45089</x:v>
      </x:c>
      <x:c r="E1188" s="84" t="n">
        <x:v>7.9</x:v>
      </x:c>
      <x:c r="F1188" s="84" t="str">
        <x:v>Normal</x:v>
      </x:c>
      <x:c r="G1188" s="93" t="n">
        <x:v>423.2</x:v>
      </x:c>
      <x:c r="H1188" s="85" t="str">
        <x:v>Diagnóstico e execução</x:v>
      </x:c>
    </x:row>
    <x:row r="1189">
      <x:c r="A1189" s="83" t="n">
        <x:v>1188</x:v>
      </x:c>
      <x:c r="B1189" s="84" t="n">
        <x:v>696</x:v>
      </x:c>
      <x:c r="C1189" s="84" t="n">
        <x:v>19</x:v>
      </x:c>
      <x:c r="D1189" s="89" t="n">
        <x:v>44965</x:v>
      </x:c>
      <x:c r="E1189" s="84" t="n">
        <x:v>6.5</x:v>
      </x:c>
      <x:c r="F1189" s="84" t="str">
        <x:v>Normal</x:v>
      </x:c>
      <x:c r="G1189" s="93" t="n">
        <x:v>302.12</x:v>
      </x:c>
      <x:c r="H1189" s="85" t="str">
        <x:v>Diagnóstico e execução</x:v>
      </x:c>
    </x:row>
    <x:row r="1190">
      <x:c r="A1190" s="83" t="n">
        <x:v>1189</x:v>
      </x:c>
      <x:c r="B1190" s="84" t="n">
        <x:v>696</x:v>
      </x:c>
      <x:c r="C1190" s="84" t="n">
        <x:v>21</x:v>
      </x:c>
      <x:c r="D1190" s="89" t="n">
        <x:v>44965</x:v>
      </x:c>
      <x:c r="E1190" s="84" t="n">
        <x:v>3.3</x:v>
      </x:c>
      <x:c r="F1190" s="84" t="str">
        <x:v>Normal</x:v>
      </x:c>
      <x:c r="G1190" s="93" t="n">
        <x:v>202.72</x:v>
      </x:c>
      <x:c r="H1190" s="85" t="str">
        <x:v>Diagnóstico e execução</x:v>
      </x:c>
    </x:row>
    <x:row r="1191">
      <x:c r="A1191" s="83" t="n">
        <x:v>1190</x:v>
      </x:c>
      <x:c r="B1191" s="84" t="n">
        <x:v>696</x:v>
      </x:c>
      <x:c r="C1191" s="84" t="n">
        <x:v>9</x:v>
      </x:c>
      <x:c r="D1191" s="89" t="n">
        <x:v>44965</x:v>
      </x:c>
      <x:c r="E1191" s="84" t="n">
        <x:v>5.4</x:v>
      </x:c>
      <x:c r="F1191" s="84" t="str">
        <x:v>Normal</x:v>
      </x:c>
      <x:c r="G1191" s="93" t="n">
        <x:v>284.42</x:v>
      </x:c>
      <x:c r="H1191" s="85" t="str">
        <x:v>Diagnóstico e execução</x:v>
      </x:c>
    </x:row>
    <x:row r="1192">
      <x:c r="A1192" s="83" t="n">
        <x:v>1191</x:v>
      </x:c>
      <x:c r="B1192" s="84" t="n">
        <x:v>698</x:v>
      </x:c>
      <x:c r="C1192" s="84" t="n">
        <x:v>3</x:v>
      </x:c>
      <x:c r="D1192" s="89" t="n">
        <x:v>44958</x:v>
      </x:c>
      <x:c r="E1192" s="84" t="n">
        <x:v>5.6</x:v>
      </x:c>
      <x:c r="F1192" s="84" t="str">
        <x:v>Normal</x:v>
      </x:c>
      <x:c r="G1192" s="93" t="n">
        <x:v>275.74</x:v>
      </x:c>
      <x:c r="H1192" s="85" t="str">
        <x:v>Diagnóstico e execução</x:v>
      </x:c>
    </x:row>
    <x:row r="1193">
      <x:c r="A1193" s="83" t="n">
        <x:v>1192</x:v>
      </x:c>
      <x:c r="B1193" s="84" t="n">
        <x:v>699</x:v>
      </x:c>
      <x:c r="C1193" s="84" t="n">
        <x:v>37</x:v>
      </x:c>
      <x:c r="D1193" s="89" t="n">
        <x:v>45001</x:v>
      </x:c>
      <x:c r="E1193" s="84" t="n">
        <x:v>2.9</x:v>
      </x:c>
      <x:c r="F1193" s="84" t="str">
        <x:v>Normal</x:v>
      </x:c>
      <x:c r="G1193" s="93" t="n">
        <x:v>171.01</x:v>
      </x:c>
      <x:c r="H1193" s="85" t="str">
        <x:v>Diagnóstico e execução</x:v>
      </x:c>
    </x:row>
    <x:row r="1194">
      <x:c r="A1194" s="83" t="n">
        <x:v>1193</x:v>
      </x:c>
      <x:c r="B1194" s="84" t="n">
        <x:v>699</x:v>
      </x:c>
      <x:c r="C1194" s="84" t="n">
        <x:v>12</x:v>
      </x:c>
      <x:c r="D1194" s="89" t="n">
        <x:v>45001</x:v>
      </x:c>
      <x:c r="E1194" s="84" t="n">
        <x:v>1.1</x:v>
      </x:c>
      <x:c r="F1194" s="84" t="str">
        <x:v>Normal</x:v>
      </x:c>
      <x:c r="G1194" s="93" t="n">
        <x:v>37.95</x:v>
      </x:c>
      <x:c r="H1194" s="85" t="str">
        <x:v>Diagnóstico e execução</x:v>
      </x:c>
    </x:row>
    <x:row r="1195">
      <x:c r="A1195" s="83" t="n">
        <x:v>1194</x:v>
      </x:c>
      <x:c r="B1195" s="84" t="n">
        <x:v>699</x:v>
      </x:c>
      <x:c r="C1195" s="84" t="n">
        <x:v>30</x:v>
      </x:c>
      <x:c r="D1195" s="89" t="n">
        <x:v>45001</x:v>
      </x:c>
      <x:c r="E1195" s="84" t="n">
        <x:v>3.5</x:v>
      </x:c>
      <x:c r="F1195" s="84" t="str">
        <x:v>Normal</x:v>
      </x:c>
      <x:c r="G1195" s="93" t="n">
        <x:v>144.94</x:v>
      </x:c>
      <x:c r="H1195" s="85" t="str">
        <x:v>Diagnóstico e execução</x:v>
      </x:c>
    </x:row>
    <x:row r="1196">
      <x:c r="A1196" s="83" t="n">
        <x:v>1195</x:v>
      </x:c>
      <x:c r="B1196" s="84" t="n">
        <x:v>700</x:v>
      </x:c>
      <x:c r="C1196" s="84" t="n">
        <x:v>1</x:v>
      </x:c>
      <x:c r="D1196" s="89" t="n">
        <x:v>45040</x:v>
      </x:c>
      <x:c r="E1196" s="84" t="n">
        <x:v>0.9</x:v>
      </x:c>
      <x:c r="F1196" s="84" t="str">
        <x:v>Normal</x:v>
      </x:c>
      <x:c r="G1196" s="93" t="n">
        <x:v>31.83</x:v>
      </x:c>
      <x:c r="H1196" s="85" t="str">
        <x:v>Diagnóstico e execução</x:v>
      </x:c>
    </x:row>
    <x:row r="1197">
      <x:c r="A1197" s="83" t="n">
        <x:v>1196</x:v>
      </x:c>
      <x:c r="B1197" s="84" t="n">
        <x:v>702</x:v>
      </x:c>
      <x:c r="C1197" s="84" t="n">
        <x:v>27</x:v>
      </x:c>
      <x:c r="D1197" s="89" t="n">
        <x:v>45565</x:v>
      </x:c>
      <x:c r="E1197" s="84" t="n">
        <x:v>3.6</x:v>
      </x:c>
      <x:c r="F1197" s="84" t="str">
        <x:v>Normal</x:v>
      </x:c>
      <x:c r="G1197" s="93" t="n">
        <x:v>219.56</x:v>
      </x:c>
      <x:c r="H1197" s="85" t="str">
        <x:v>Diagnóstico e execução</x:v>
      </x:c>
    </x:row>
    <x:row r="1198">
      <x:c r="A1198" s="83" t="n">
        <x:v>1197</x:v>
      </x:c>
      <x:c r="B1198" s="84" t="n">
        <x:v>702</x:v>
      </x:c>
      <x:c r="C1198" s="84" t="n">
        <x:v>13</x:v>
      </x:c>
      <x:c r="D1198" s="89" t="n">
        <x:v>45565</x:v>
      </x:c>
      <x:c r="E1198" s="84" t="n">
        <x:v>5.4</x:v>
      </x:c>
      <x:c r="F1198" s="84" t="str">
        <x:v>Normal</x:v>
      </x:c>
      <x:c r="G1198" s="93" t="n">
        <x:v>182.95</x:v>
      </x:c>
      <x:c r="H1198" s="85" t="str">
        <x:v>Diagnóstico e execução</x:v>
      </x:c>
    </x:row>
    <x:row r="1199">
      <x:c r="A1199" s="83" t="n">
        <x:v>1198</x:v>
      </x:c>
      <x:c r="B1199" s="84" t="n">
        <x:v>703</x:v>
      </x:c>
      <x:c r="C1199" s="84" t="n">
        <x:v>27</x:v>
      </x:c>
      <x:c r="D1199" s="89" t="n">
        <x:v>45162</x:v>
      </x:c>
      <x:c r="E1199" s="84" t="n">
        <x:v>1.2</x:v>
      </x:c>
      <x:c r="F1199" s="84" t="str">
        <x:v>Normal</x:v>
      </x:c>
      <x:c r="G1199" s="93" t="n">
        <x:v>73.19</x:v>
      </x:c>
      <x:c r="H1199" s="85" t="str">
        <x:v>Diagnóstico e execução</x:v>
      </x:c>
    </x:row>
    <x:row r="1200">
      <x:c r="A1200" s="83" t="n">
        <x:v>1199</x:v>
      </x:c>
      <x:c r="B1200" s="84" t="n">
        <x:v>703</x:v>
      </x:c>
      <x:c r="C1200" s="84" t="n">
        <x:v>8</x:v>
      </x:c>
      <x:c r="D1200" s="89" t="n">
        <x:v>45162</x:v>
      </x:c>
      <x:c r="E1200" s="84" t="n">
        <x:v>3.1</x:v>
      </x:c>
      <x:c r="F1200" s="84" t="str">
        <x:v>Normal</x:v>
      </x:c>
      <x:c r="G1200" s="93" t="n">
        <x:v>144.15</x:v>
      </x:c>
      <x:c r="H1200" s="85" t="str">
        <x:v>Diagnóstico e execução</x:v>
      </x:c>
    </x:row>
    <x:row r="1201">
      <x:c r="A1201" s="83" t="n">
        <x:v>1200</x:v>
      </x:c>
      <x:c r="B1201" s="84" t="n">
        <x:v>703</x:v>
      </x:c>
      <x:c r="C1201" s="84" t="n">
        <x:v>10</x:v>
      </x:c>
      <x:c r="D1201" s="89" t="n">
        <x:v>45162</x:v>
      </x:c>
      <x:c r="E1201" s="84" t="n">
        <x:v>3.9</x:v>
      </x:c>
      <x:c r="F1201" s="84" t="str">
        <x:v>Normal</x:v>
      </x:c>
      <x:c r="G1201" s="93" t="n">
        <x:v>115.79</x:v>
      </x:c>
      <x:c r="H1201" s="85" t="str">
        <x:v>Diagnóstico e execução</x:v>
      </x:c>
    </x:row>
    <x:row r="1202">
      <x:c r="A1202" s="83" t="n">
        <x:v>1201</x:v>
      </x:c>
      <x:c r="B1202" s="84" t="n">
        <x:v>704</x:v>
      </x:c>
      <x:c r="C1202" s="84" t="n">
        <x:v>16</x:v>
      </x:c>
      <x:c r="D1202" s="89" t="n">
        <x:v>45398</x:v>
      </x:c>
      <x:c r="E1202" s="84" t="n">
        <x:v>1.3</x:v>
      </x:c>
      <x:c r="F1202" s="84" t="str">
        <x:v>Normal</x:v>
      </x:c>
      <x:c r="G1202" s="93" t="n">
        <x:v>52.68</x:v>
      </x:c>
      <x:c r="H1202" s="85" t="str">
        <x:v>Diagnóstico e execução</x:v>
      </x:c>
    </x:row>
    <x:row r="1203">
      <x:c r="A1203" s="83" t="n">
        <x:v>1202</x:v>
      </x:c>
      <x:c r="B1203" s="84" t="n">
        <x:v>704</x:v>
      </x:c>
      <x:c r="C1203" s="84" t="n">
        <x:v>2</x:v>
      </x:c>
      <x:c r="D1203" s="89" t="n">
        <x:v>45398</x:v>
      </x:c>
      <x:c r="E1203" s="84" t="n">
        <x:v>4.8</x:v>
      </x:c>
      <x:c r="F1203" s="84" t="str">
        <x:v>Normal</x:v>
      </x:c>
      <x:c r="G1203" s="93" t="n">
        <x:v>178.85</x:v>
      </x:c>
      <x:c r="H1203" s="85" t="str">
        <x:v>Diagnóstico e execução</x:v>
      </x:c>
    </x:row>
    <x:row r="1204">
      <x:c r="A1204" s="83" t="n">
        <x:v>1203</x:v>
      </x:c>
      <x:c r="B1204" s="84" t="n">
        <x:v>704</x:v>
      </x:c>
      <x:c r="C1204" s="84" t="n">
        <x:v>20</x:v>
      </x:c>
      <x:c r="D1204" s="89" t="n">
        <x:v>45398</x:v>
      </x:c>
      <x:c r="E1204" s="84" t="n">
        <x:v>6.5</x:v>
      </x:c>
      <x:c r="F1204" s="84" t="str">
        <x:v>Normal</x:v>
      </x:c>
      <x:c r="G1204" s="93" t="n">
        <x:v>217.88</x:v>
      </x:c>
      <x:c r="H1204" s="85" t="str">
        <x:v>Diagnóstico e execução</x:v>
      </x:c>
    </x:row>
    <x:row r="1205">
      <x:c r="A1205" s="83" t="n">
        <x:v>1204</x:v>
      </x:c>
      <x:c r="B1205" s="84" t="n">
        <x:v>705</x:v>
      </x:c>
      <x:c r="C1205" s="84" t="n">
        <x:v>19</x:v>
      </x:c>
      <x:c r="D1205" s="89" t="n">
        <x:v>45907</x:v>
      </x:c>
      <x:c r="E1205" s="84" t="n">
        <x:v>0.6</x:v>
      </x:c>
      <x:c r="F1205" s="84" t="str">
        <x:v>Normal</x:v>
      </x:c>
      <x:c r="G1205" s="93" t="n">
        <x:v>27.89</x:v>
      </x:c>
      <x:c r="H1205" s="85" t="str">
        <x:v>Diagnóstico e execução</x:v>
      </x:c>
    </x:row>
    <x:row r="1206">
      <x:c r="A1206" s="83" t="n">
        <x:v>1205</x:v>
      </x:c>
      <x:c r="B1206" s="84" t="n">
        <x:v>706</x:v>
      </x:c>
      <x:c r="C1206" s="84" t="n">
        <x:v>20</x:v>
      </x:c>
      <x:c r="D1206" s="89" t="n">
        <x:v>45548</x:v>
      </x:c>
      <x:c r="E1206" s="84" t="n">
        <x:v>5.5</x:v>
      </x:c>
      <x:c r="F1206" s="84" t="str">
        <x:v>Normal</x:v>
      </x:c>
      <x:c r="G1206" s="93" t="n">
        <x:v>184.36</x:v>
      </x:c>
      <x:c r="H1206" s="85" t="str">
        <x:v>Diagnóstico e execução</x:v>
      </x:c>
    </x:row>
    <x:row r="1207">
      <x:c r="A1207" s="83" t="n">
        <x:v>1206</x:v>
      </x:c>
      <x:c r="B1207" s="84" t="n">
        <x:v>706</x:v>
      </x:c>
      <x:c r="C1207" s="84" t="n">
        <x:v>1</x:v>
      </x:c>
      <x:c r="D1207" s="89" t="n">
        <x:v>45548</x:v>
      </x:c>
      <x:c r="E1207" s="84" t="n">
        <x:v>1.9</x:v>
      </x:c>
      <x:c r="F1207" s="84" t="str">
        <x:v>Normal</x:v>
      </x:c>
      <x:c r="G1207" s="93" t="n">
        <x:v>67.2</x:v>
      </x:c>
      <x:c r="H1207" s="85" t="str">
        <x:v>Diagnóstico e execução</x:v>
      </x:c>
    </x:row>
    <x:row r="1208">
      <x:c r="A1208" s="83" t="n">
        <x:v>1207</x:v>
      </x:c>
      <x:c r="B1208" s="84" t="n">
        <x:v>706</x:v>
      </x:c>
      <x:c r="C1208" s="84" t="n">
        <x:v>9</x:v>
      </x:c>
      <x:c r="D1208" s="89" t="n">
        <x:v>45548</x:v>
      </x:c>
      <x:c r="E1208" s="84" t="n">
        <x:v>4.7</x:v>
      </x:c>
      <x:c r="F1208" s="84" t="str">
        <x:v>Normal</x:v>
      </x:c>
      <x:c r="G1208" s="93" t="n">
        <x:v>247.55</x:v>
      </x:c>
      <x:c r="H1208" s="85" t="str">
        <x:v>Diagnóstico e execução</x:v>
      </x:c>
    </x:row>
    <x:row r="1209">
      <x:c r="A1209" s="83" t="n">
        <x:v>1208</x:v>
      </x:c>
      <x:c r="B1209" s="84" t="n">
        <x:v>707</x:v>
      </x:c>
      <x:c r="C1209" s="84" t="n">
        <x:v>19</x:v>
      </x:c>
      <x:c r="D1209" s="89" t="n">
        <x:v>45424</x:v>
      </x:c>
      <x:c r="E1209" s="84" t="n">
        <x:v>6.3</x:v>
      </x:c>
      <x:c r="F1209" s="84" t="str">
        <x:v>Normal</x:v>
      </x:c>
      <x:c r="G1209" s="93" t="n">
        <x:v>292.82</x:v>
      </x:c>
      <x:c r="H1209" s="85" t="str">
        <x:v>Diagnóstico e execução</x:v>
      </x:c>
    </x:row>
    <x:row r="1210">
      <x:c r="A1210" s="83" t="n">
        <x:v>1209</x:v>
      </x:c>
      <x:c r="B1210" s="84" t="n">
        <x:v>708</x:v>
      </x:c>
      <x:c r="C1210" s="84" t="n">
        <x:v>42</x:v>
      </x:c>
      <x:c r="D1210" s="89" t="n">
        <x:v>45705</x:v>
      </x:c>
      <x:c r="E1210" s="84" t="n">
        <x:v>6.5</x:v>
      </x:c>
      <x:c r="F1210" s="84" t="str">
        <x:v>Normal</x:v>
      </x:c>
      <x:c r="G1210" s="93" t="n">
        <x:v>274.17</x:v>
      </x:c>
      <x:c r="H1210" s="85" t="str">
        <x:v>Diagnóstico e execução</x:v>
      </x:c>
    </x:row>
    <x:row r="1211">
      <x:c r="A1211" s="83" t="n">
        <x:v>1210</x:v>
      </x:c>
      <x:c r="B1211" s="84" t="n">
        <x:v>708</x:v>
      </x:c>
      <x:c r="C1211" s="84" t="n">
        <x:v>5</x:v>
      </x:c>
      <x:c r="D1211" s="89" t="n">
        <x:v>45705</x:v>
      </x:c>
      <x:c r="E1211" s="84" t="n">
        <x:v>6</x:v>
      </x:c>
      <x:c r="F1211" s="84" t="str">
        <x:v>Normal</x:v>
      </x:c>
      <x:c r="G1211" s="93" t="n">
        <x:v>172.92</x:v>
      </x:c>
      <x:c r="H1211" s="85" t="str">
        <x:v>Diagnóstico e execução</x:v>
      </x:c>
    </x:row>
    <x:row r="1212">
      <x:c r="A1212" s="83" t="n">
        <x:v>1211</x:v>
      </x:c>
      <x:c r="B1212" s="84" t="n">
        <x:v>709</x:v>
      </x:c>
      <x:c r="C1212" s="84" t="n">
        <x:v>22</x:v>
      </x:c>
      <x:c r="D1212" s="89" t="n">
        <x:v>45120</x:v>
      </x:c>
      <x:c r="E1212" s="84" t="n">
        <x:v>5.8</x:v>
      </x:c>
      <x:c r="F1212" s="84" t="str">
        <x:v>Normal</x:v>
      </x:c>
      <x:c r="G1212" s="93" t="n">
        <x:v>223.07</x:v>
      </x:c>
      <x:c r="H1212" s="85" t="str">
        <x:v>Diagnóstico e execução</x:v>
      </x:c>
    </x:row>
    <x:row r="1213">
      <x:c r="A1213" s="83" t="n">
        <x:v>1212</x:v>
      </x:c>
      <x:c r="B1213" s="84" t="n">
        <x:v>709</x:v>
      </x:c>
      <x:c r="C1213" s="84" t="n">
        <x:v>2</x:v>
      </x:c>
      <x:c r="D1213" s="89" t="n">
        <x:v>45120</x:v>
      </x:c>
      <x:c r="E1213" s="84" t="n">
        <x:v>4.8</x:v>
      </x:c>
      <x:c r="F1213" s="84" t="str">
        <x:v>Normal</x:v>
      </x:c>
      <x:c r="G1213" s="93" t="n">
        <x:v>178.85</x:v>
      </x:c>
      <x:c r="H1213" s="85" t="str">
        <x:v>Diagnóstico e execução</x:v>
      </x:c>
    </x:row>
    <x:row r="1214">
      <x:c r="A1214" s="83" t="n">
        <x:v>1213</x:v>
      </x:c>
      <x:c r="B1214" s="84" t="n">
        <x:v>710</x:v>
      </x:c>
      <x:c r="C1214" s="84" t="n">
        <x:v>23</x:v>
      </x:c>
      <x:c r="D1214" s="89" t="n">
        <x:v>45654</x:v>
      </x:c>
      <x:c r="E1214" s="84" t="n">
        <x:v>1.4</x:v>
      </x:c>
      <x:c r="F1214" s="84" t="str">
        <x:v>Normal</x:v>
      </x:c>
      <x:c r="G1214" s="93" t="n">
        <x:v>60.35</x:v>
      </x:c>
      <x:c r="H1214" s="85" t="str">
        <x:v>Diagnóstico e execução</x:v>
      </x:c>
    </x:row>
    <x:row r="1215">
      <x:c r="A1215" s="83" t="n">
        <x:v>1214</x:v>
      </x:c>
      <x:c r="B1215" s="84" t="n">
        <x:v>712</x:v>
      </x:c>
      <x:c r="C1215" s="84" t="n">
        <x:v>31</x:v>
      </x:c>
      <x:c r="D1215" s="89" t="n">
        <x:v>45319</x:v>
      </x:c>
      <x:c r="E1215" s="84" t="n">
        <x:v>1.5</x:v>
      </x:c>
      <x:c r="F1215" s="84" t="str">
        <x:v>Normal</x:v>
      </x:c>
      <x:c r="G1215" s="93" t="n">
        <x:v>73.35</x:v>
      </x:c>
      <x:c r="H1215" s="85" t="str">
        <x:v>Diagnóstico e execução</x:v>
      </x:c>
    </x:row>
    <x:row r="1216">
      <x:c r="A1216" s="83" t="n">
        <x:v>1215</x:v>
      </x:c>
      <x:c r="B1216" s="84" t="n">
        <x:v>712</x:v>
      </x:c>
      <x:c r="C1216" s="84" t="n">
        <x:v>33</x:v>
      </x:c>
      <x:c r="D1216" s="89" t="n">
        <x:v>45319</x:v>
      </x:c>
      <x:c r="E1216" s="84" t="n">
        <x:v>7.5</x:v>
      </x:c>
      <x:c r="F1216" s="84" t="str">
        <x:v>Normal</x:v>
      </x:c>
      <x:c r="G1216" s="93" t="n">
        <x:v>258.68</x:v>
      </x:c>
      <x:c r="H1216" s="85" t="str">
        <x:v>Diagnóstico e execução</x:v>
      </x:c>
    </x:row>
    <x:row r="1217">
      <x:c r="A1217" s="83" t="n">
        <x:v>1216</x:v>
      </x:c>
      <x:c r="B1217" s="84" t="n">
        <x:v>712</x:v>
      </x:c>
      <x:c r="C1217" s="84" t="n">
        <x:v>11</x:v>
      </x:c>
      <x:c r="D1217" s="89" t="n">
        <x:v>45319</x:v>
      </x:c>
      <x:c r="E1217" s="84" t="n">
        <x:v>6.3</x:v>
      </x:c>
      <x:c r="F1217" s="84" t="str">
        <x:v>Normal</x:v>
      </x:c>
      <x:c r="G1217" s="93" t="n">
        <x:v>262.58</x:v>
      </x:c>
      <x:c r="H1217" s="85" t="str">
        <x:v>Diagnóstico e execução</x:v>
      </x:c>
    </x:row>
    <x:row r="1218">
      <x:c r="A1218" s="83" t="n">
        <x:v>1217</x:v>
      </x:c>
      <x:c r="B1218" s="84" t="n">
        <x:v>713</x:v>
      </x:c>
      <x:c r="C1218" s="84" t="n">
        <x:v>23</x:v>
      </x:c>
      <x:c r="D1218" s="89" t="n">
        <x:v>45709</x:v>
      </x:c>
      <x:c r="E1218" s="84" t="n">
        <x:v>6.5</x:v>
      </x:c>
      <x:c r="F1218" s="84" t="str">
        <x:v>Normal</x:v>
      </x:c>
      <x:c r="G1218" s="93" t="n">
        <x:v>280.21</x:v>
      </x:c>
      <x:c r="H1218" s="85" t="str">
        <x:v>Diagnóstico e execução</x:v>
      </x:c>
    </x:row>
    <x:row r="1219">
      <x:c r="A1219" s="83" t="n">
        <x:v>1218</x:v>
      </x:c>
      <x:c r="B1219" s="84" t="n">
        <x:v>713</x:v>
      </x:c>
      <x:c r="C1219" s="84" t="n">
        <x:v>34</x:v>
      </x:c>
      <x:c r="D1219" s="89" t="n">
        <x:v>45709</x:v>
      </x:c>
      <x:c r="E1219" s="84" t="n">
        <x:v>1.3</x:v>
      </x:c>
      <x:c r="F1219" s="84" t="str">
        <x:v>Normal</x:v>
      </x:c>
      <x:c r="G1219" s="93" t="n">
        <x:v>56.2</x:v>
      </x:c>
      <x:c r="H1219" s="85" t="str">
        <x:v>Diagnóstico e execução</x:v>
      </x:c>
    </x:row>
    <x:row r="1220">
      <x:c r="A1220" s="83" t="n">
        <x:v>1219</x:v>
      </x:c>
      <x:c r="B1220" s="84" t="n">
        <x:v>713</x:v>
      </x:c>
      <x:c r="C1220" s="84" t="n">
        <x:v>36</x:v>
      </x:c>
      <x:c r="D1220" s="89" t="n">
        <x:v>45709</x:v>
      </x:c>
      <x:c r="E1220" s="84" t="n">
        <x:v>2.1</x:v>
      </x:c>
      <x:c r="F1220" s="84" t="str">
        <x:v>Normal</x:v>
      </x:c>
      <x:c r="G1220" s="93" t="n">
        <x:v>62.29</x:v>
      </x:c>
      <x:c r="H1220" s="85" t="str">
        <x:v>Diagnóstico e execução</x:v>
      </x:c>
    </x:row>
    <x:row r="1221">
      <x:c r="A1221" s="83" t="n">
        <x:v>1220</x:v>
      </x:c>
      <x:c r="B1221" s="84" t="n">
        <x:v>714</x:v>
      </x:c>
      <x:c r="C1221" s="84" t="n">
        <x:v>4</x:v>
      </x:c>
      <x:c r="D1221" s="89" t="n">
        <x:v>45173</x:v>
      </x:c>
      <x:c r="E1221" s="84" t="n">
        <x:v>4.1</x:v>
      </x:c>
      <x:c r="F1221" s="84" t="str">
        <x:v>Normal</x:v>
      </x:c>
      <x:c r="G1221" s="93" t="n">
        <x:v>201.68</x:v>
      </x:c>
      <x:c r="H1221" s="85" t="str">
        <x:v>Diagnóstico e execução</x:v>
      </x:c>
    </x:row>
    <x:row r="1222">
      <x:c r="A1222" s="83" t="n">
        <x:v>1221</x:v>
      </x:c>
      <x:c r="B1222" s="84" t="n">
        <x:v>714</x:v>
      </x:c>
      <x:c r="C1222" s="84" t="n">
        <x:v>9</x:v>
      </x:c>
      <x:c r="D1222" s="89" t="n">
        <x:v>45173</x:v>
      </x:c>
      <x:c r="E1222" s="84" t="n">
        <x:v>1.3</x:v>
      </x:c>
      <x:c r="F1222" s="84" t="str">
        <x:v>Normal</x:v>
      </x:c>
      <x:c r="G1222" s="93" t="n">
        <x:v>68.47</x:v>
      </x:c>
      <x:c r="H1222" s="85" t="str">
        <x:v>Diagnóstico e execução</x:v>
      </x:c>
    </x:row>
    <x:row r="1223">
      <x:c r="A1223" s="83" t="n">
        <x:v>1222</x:v>
      </x:c>
      <x:c r="B1223" s="84" t="n">
        <x:v>715</x:v>
      </x:c>
      <x:c r="C1223" s="84" t="n">
        <x:v>28</x:v>
      </x:c>
      <x:c r="D1223" s="89" t="n">
        <x:v>45170</x:v>
      </x:c>
      <x:c r="E1223" s="84" t="n">
        <x:v>7.2</x:v>
      </x:c>
      <x:c r="F1223" s="84" t="str">
        <x:v>Normal</x:v>
      </x:c>
      <x:c r="G1223" s="93" t="n">
        <x:v>270.86</x:v>
      </x:c>
      <x:c r="H1223" s="85" t="str">
        <x:v>Diagnóstico e execução</x:v>
      </x:c>
    </x:row>
    <x:row r="1224">
      <x:c r="A1224" s="83" t="n">
        <x:v>1223</x:v>
      </x:c>
      <x:c r="B1224" s="84" t="n">
        <x:v>715</x:v>
      </x:c>
      <x:c r="C1224" s="84" t="n">
        <x:v>31</x:v>
      </x:c>
      <x:c r="D1224" s="89" t="n">
        <x:v>45170</x:v>
      </x:c>
      <x:c r="E1224" s="84" t="n">
        <x:v>3.1</x:v>
      </x:c>
      <x:c r="F1224" s="84" t="str">
        <x:v>Normal</x:v>
      </x:c>
      <x:c r="G1224" s="93" t="n">
        <x:v>151.59</x:v>
      </x:c>
      <x:c r="H1224" s="85" t="str">
        <x:v>Diagnóstico e execução</x:v>
      </x:c>
    </x:row>
    <x:row r="1225">
      <x:c r="A1225" s="83" t="n">
        <x:v>1224</x:v>
      </x:c>
      <x:c r="B1225" s="84" t="n">
        <x:v>717</x:v>
      </x:c>
      <x:c r="C1225" s="84" t="n">
        <x:v>10</x:v>
      </x:c>
      <x:c r="D1225" s="89" t="n">
        <x:v>44962</x:v>
      </x:c>
      <x:c r="E1225" s="84" t="n">
        <x:v>6.9</x:v>
      </x:c>
      <x:c r="F1225" s="84" t="str">
        <x:v>Normal</x:v>
      </x:c>
      <x:c r="G1225" s="93" t="n">
        <x:v>204.86</x:v>
      </x:c>
      <x:c r="H1225" s="85" t="str">
        <x:v>Diagnóstico e execução</x:v>
      </x:c>
    </x:row>
    <x:row r="1226">
      <x:c r="A1226" s="83" t="n">
        <x:v>1225</x:v>
      </x:c>
      <x:c r="B1226" s="84" t="n">
        <x:v>717</x:v>
      </x:c>
      <x:c r="C1226" s="84" t="n">
        <x:v>20</x:v>
      </x:c>
      <x:c r="D1226" s="89" t="n">
        <x:v>44962</x:v>
      </x:c>
      <x:c r="E1226" s="84" t="n">
        <x:v>5.2</x:v>
      </x:c>
      <x:c r="F1226" s="84" t="str">
        <x:v>Normal</x:v>
      </x:c>
      <x:c r="G1226" s="93" t="n">
        <x:v>174.3</x:v>
      </x:c>
      <x:c r="H1226" s="85" t="str">
        <x:v>Diagnóstico e execução</x:v>
      </x:c>
    </x:row>
    <x:row r="1227">
      <x:c r="A1227" s="83" t="n">
        <x:v>1226</x:v>
      </x:c>
      <x:c r="B1227" s="84" t="n">
        <x:v>718</x:v>
      </x:c>
      <x:c r="C1227" s="84" t="n">
        <x:v>8</x:v>
      </x:c>
      <x:c r="D1227" s="89" t="n">
        <x:v>45181</x:v>
      </x:c>
      <x:c r="E1227" s="84" t="n">
        <x:v>6.2</x:v>
      </x:c>
      <x:c r="F1227" s="84" t="str">
        <x:v>Normal</x:v>
      </x:c>
      <x:c r="G1227" s="93" t="n">
        <x:v>288.3</x:v>
      </x:c>
      <x:c r="H1227" s="85" t="str">
        <x:v>Diagnóstico e execução</x:v>
      </x:c>
    </x:row>
    <x:row r="1228">
      <x:c r="A1228" s="83" t="n">
        <x:v>1227</x:v>
      </x:c>
      <x:c r="B1228" s="84" t="n">
        <x:v>718</x:v>
      </x:c>
      <x:c r="C1228" s="84" t="n">
        <x:v>39</x:v>
      </x:c>
      <x:c r="D1228" s="89" t="n">
        <x:v>45181</x:v>
      </x:c>
      <x:c r="E1228" s="84" t="n">
        <x:v>6.7</x:v>
      </x:c>
      <x:c r="F1228" s="84" t="str">
        <x:v>Normal</x:v>
      </x:c>
      <x:c r="G1228" s="93" t="n">
        <x:v>387.93</x:v>
      </x:c>
      <x:c r="H1228" s="85" t="str">
        <x:v>Diagnóstico e execução</x:v>
      </x:c>
    </x:row>
    <x:row r="1229">
      <x:c r="A1229" s="83" t="n">
        <x:v>1228</x:v>
      </x:c>
      <x:c r="B1229" s="84" t="n">
        <x:v>718</x:v>
      </x:c>
      <x:c r="C1229" s="84" t="n">
        <x:v>15</x:v>
      </x:c>
      <x:c r="D1229" s="89" t="n">
        <x:v>45181</x:v>
      </x:c>
      <x:c r="E1229" s="84" t="n">
        <x:v>7.9</x:v>
      </x:c>
      <x:c r="F1229" s="84" t="str">
        <x:v>Normal</x:v>
      </x:c>
      <x:c r="G1229" s="93" t="n">
        <x:v>238.9</x:v>
      </x:c>
      <x:c r="H1229" s="85" t="str">
        <x:v>Diagnóstico e execução</x:v>
      </x:c>
    </x:row>
    <x:row r="1230">
      <x:c r="A1230" s="83" t="n">
        <x:v>1229</x:v>
      </x:c>
      <x:c r="B1230" s="84" t="n">
        <x:v>719</x:v>
      </x:c>
      <x:c r="C1230" s="84" t="n">
        <x:v>41</x:v>
      </x:c>
      <x:c r="D1230" s="89" t="n">
        <x:v>45586</x:v>
      </x:c>
      <x:c r="E1230" s="84" t="n">
        <x:v>3.6</x:v>
      </x:c>
      <x:c r="F1230" s="84" t="str">
        <x:v>Normal</x:v>
      </x:c>
      <x:c r="G1230" s="93" t="n">
        <x:v>182.09</x:v>
      </x:c>
      <x:c r="H1230" s="85" t="str">
        <x:v>Diagnóstico e execução</x:v>
      </x:c>
    </x:row>
    <x:row r="1231">
      <x:c r="A1231" s="83" t="n">
        <x:v>1230</x:v>
      </x:c>
      <x:c r="B1231" s="84" t="n">
        <x:v>719</x:v>
      </x:c>
      <x:c r="C1231" s="84" t="n">
        <x:v>36</x:v>
      </x:c>
      <x:c r="D1231" s="89" t="n">
        <x:v>45586</x:v>
      </x:c>
      <x:c r="E1231" s="84" t="n">
        <x:v>3.1</x:v>
      </x:c>
      <x:c r="F1231" s="84" t="str">
        <x:v>Normal</x:v>
      </x:c>
      <x:c r="G1231" s="93" t="n">
        <x:v>91.95</x:v>
      </x:c>
      <x:c r="H1231" s="85" t="str">
        <x:v>Diagnóstico e execução</x:v>
      </x:c>
    </x:row>
    <x:row r="1232">
      <x:c r="A1232" s="83" t="n">
        <x:v>1231</x:v>
      </x:c>
      <x:c r="B1232" s="84" t="n">
        <x:v>719</x:v>
      </x:c>
      <x:c r="C1232" s="84" t="n">
        <x:v>3</x:v>
      </x:c>
      <x:c r="D1232" s="89" t="n">
        <x:v>45586</x:v>
      </x:c>
      <x:c r="E1232" s="84" t="n">
        <x:v>4.3</x:v>
      </x:c>
      <x:c r="F1232" s="84" t="str">
        <x:v>Normal</x:v>
      </x:c>
      <x:c r="G1232" s="93" t="n">
        <x:v>211.73</x:v>
      </x:c>
      <x:c r="H1232" s="85" t="str">
        <x:v>Diagnóstico e execução</x:v>
      </x:c>
    </x:row>
    <x:row r="1233">
      <x:c r="A1233" s="83" t="n">
        <x:v>1232</x:v>
      </x:c>
      <x:c r="B1233" s="84" t="n">
        <x:v>720</x:v>
      </x:c>
      <x:c r="C1233" s="84" t="n">
        <x:v>23</x:v>
      </x:c>
      <x:c r="D1233" s="89" t="n">
        <x:v>45987</x:v>
      </x:c>
      <x:c r="E1233" s="84" t="n">
        <x:v>3.5</x:v>
      </x:c>
      <x:c r="F1233" s="84" t="str">
        <x:v>Normal</x:v>
      </x:c>
      <x:c r="G1233" s="93" t="n">
        <x:v>150.88</x:v>
      </x:c>
      <x:c r="H1233" s="85" t="str">
        <x:v>Diagnóstico e execução</x:v>
      </x:c>
    </x:row>
    <x:row r="1234">
      <x:c r="A1234" s="83" t="n">
        <x:v>1233</x:v>
      </x:c>
      <x:c r="B1234" s="84" t="n">
        <x:v>720</x:v>
      </x:c>
      <x:c r="C1234" s="84" t="n">
        <x:v>42</x:v>
      </x:c>
      <x:c r="D1234" s="89" t="n">
        <x:v>45987</x:v>
      </x:c>
      <x:c r="E1234" s="84" t="n">
        <x:v>4.6</x:v>
      </x:c>
      <x:c r="F1234" s="84" t="str">
        <x:v>Normal</x:v>
      </x:c>
      <x:c r="G1234" s="93" t="n">
        <x:v>194.03</x:v>
      </x:c>
      <x:c r="H1234" s="85" t="str">
        <x:v>Diagnóstico e execução</x:v>
      </x:c>
    </x:row>
    <x:row r="1235">
      <x:c r="A1235" s="83" t="n">
        <x:v>1234</x:v>
      </x:c>
      <x:c r="B1235" s="84" t="n">
        <x:v>720</x:v>
      </x:c>
      <x:c r="C1235" s="84" t="n">
        <x:v>31</x:v>
      </x:c>
      <x:c r="D1235" s="89" t="n">
        <x:v>45987</x:v>
      </x:c>
      <x:c r="E1235" s="84" t="n">
        <x:v>6.8</x:v>
      </x:c>
      <x:c r="F1235" s="84" t="str">
        <x:v>Normal</x:v>
      </x:c>
      <x:c r="G1235" s="93" t="n">
        <x:v>332.52</x:v>
      </x:c>
      <x:c r="H1235" s="85" t="str">
        <x:v>Diagnóstico e execução</x:v>
      </x:c>
    </x:row>
    <x:row r="1236">
      <x:c r="A1236" s="83" t="n">
        <x:v>1235</x:v>
      </x:c>
      <x:c r="B1236" s="84" t="n">
        <x:v>721</x:v>
      </x:c>
      <x:c r="C1236" s="84" t="n">
        <x:v>32</x:v>
      </x:c>
      <x:c r="D1236" s="89" t="n">
        <x:v>45780</x:v>
      </x:c>
      <x:c r="E1236" s="84" t="n">
        <x:v>6.3</x:v>
      </x:c>
      <x:c r="F1236" s="84" t="str">
        <x:v>Normal</x:v>
      </x:c>
      <x:c r="G1236" s="93" t="n">
        <x:v>275</x:v>
      </x:c>
      <x:c r="H1236" s="85" t="str">
        <x:v>Diagnóstico e execução</x:v>
      </x:c>
    </x:row>
    <x:row r="1237">
      <x:c r="A1237" s="83" t="n">
        <x:v>1236</x:v>
      </x:c>
      <x:c r="B1237" s="84" t="n">
        <x:v>721</x:v>
      </x:c>
      <x:c r="C1237" s="84" t="n">
        <x:v>27</x:v>
      </x:c>
      <x:c r="D1237" s="89" t="n">
        <x:v>45780</x:v>
      </x:c>
      <x:c r="E1237" s="84" t="n">
        <x:v>1.1</x:v>
      </x:c>
      <x:c r="F1237" s="84" t="str">
        <x:v>Normal</x:v>
      </x:c>
      <x:c r="G1237" s="93" t="n">
        <x:v>67.09</x:v>
      </x:c>
      <x:c r="H1237" s="85" t="str">
        <x:v>Diagnóstico e execução</x:v>
      </x:c>
    </x:row>
    <x:row r="1238">
      <x:c r="A1238" s="83" t="n">
        <x:v>1237</x:v>
      </x:c>
      <x:c r="B1238" s="84" t="n">
        <x:v>722</x:v>
      </x:c>
      <x:c r="C1238" s="84" t="n">
        <x:v>18</x:v>
      </x:c>
      <x:c r="D1238" s="89" t="n">
        <x:v>45708</x:v>
      </x:c>
      <x:c r="E1238" s="84" t="n">
        <x:v>3.6</x:v>
      </x:c>
      <x:c r="F1238" s="84" t="str">
        <x:v>Normal</x:v>
      </x:c>
      <x:c r="G1238" s="93" t="n">
        <x:v>227.12</x:v>
      </x:c>
      <x:c r="H1238" s="85" t="str">
        <x:v>Diagnóstico e execução</x:v>
      </x:c>
    </x:row>
    <x:row r="1239">
      <x:c r="A1239" s="83" t="n">
        <x:v>1238</x:v>
      </x:c>
      <x:c r="B1239" s="84" t="n">
        <x:v>722</x:v>
      </x:c>
      <x:c r="C1239" s="84" t="n">
        <x:v>26</x:v>
      </x:c>
      <x:c r="D1239" s="89" t="n">
        <x:v>45708</x:v>
      </x:c>
      <x:c r="E1239" s="84" t="n">
        <x:v>4</x:v>
      </x:c>
      <x:c r="F1239" s="84" t="str">
        <x:v>Normal</x:v>
      </x:c>
      <x:c r="G1239" s="93" t="n">
        <x:v>156.48</x:v>
      </x:c>
      <x:c r="H1239" s="85" t="str">
        <x:v>Diagnóstico e execução</x:v>
      </x:c>
    </x:row>
    <x:row r="1240">
      <x:c r="A1240" s="83" t="n">
        <x:v>1239</x:v>
      </x:c>
      <x:c r="B1240" s="84" t="n">
        <x:v>723</x:v>
      </x:c>
      <x:c r="C1240" s="84" t="n">
        <x:v>20</x:v>
      </x:c>
      <x:c r="D1240" s="89" t="n">
        <x:v>45666</x:v>
      </x:c>
      <x:c r="E1240" s="84" t="n">
        <x:v>4.9</x:v>
      </x:c>
      <x:c r="F1240" s="84" t="str">
        <x:v>Normal</x:v>
      </x:c>
      <x:c r="G1240" s="93" t="n">
        <x:v>164.25</x:v>
      </x:c>
      <x:c r="H1240" s="85" t="str">
        <x:v>Diagnóstico e execução</x:v>
      </x:c>
    </x:row>
    <x:row r="1241">
      <x:c r="A1241" s="83" t="n">
        <x:v>1240</x:v>
      </x:c>
      <x:c r="B1241" s="84" t="n">
        <x:v>723</x:v>
      </x:c>
      <x:c r="C1241" s="84" t="n">
        <x:v>17</x:v>
      </x:c>
      <x:c r="D1241" s="89" t="n">
        <x:v>45666</x:v>
      </x:c>
      <x:c r="E1241" s="84" t="n">
        <x:v>2.8</x:v>
      </x:c>
      <x:c r="F1241" s="84" t="str">
        <x:v>Normal</x:v>
      </x:c>
      <x:c r="G1241" s="93" t="n">
        <x:v>156.18</x:v>
      </x:c>
      <x:c r="H1241" s="85" t="str">
        <x:v>Diagnóstico e execução</x:v>
      </x:c>
    </x:row>
    <x:row r="1242">
      <x:c r="A1242" s="83" t="n">
        <x:v>1241</x:v>
      </x:c>
      <x:c r="B1242" s="84" t="n">
        <x:v>723</x:v>
      </x:c>
      <x:c r="C1242" s="84" t="n">
        <x:v>23</x:v>
      </x:c>
      <x:c r="D1242" s="89" t="n">
        <x:v>45666</x:v>
      </x:c>
      <x:c r="E1242" s="84" t="n">
        <x:v>3.7</x:v>
      </x:c>
      <x:c r="F1242" s="84" t="str">
        <x:v>Normal</x:v>
      </x:c>
      <x:c r="G1242" s="93" t="n">
        <x:v>159.51</x:v>
      </x:c>
      <x:c r="H1242" s="85" t="str">
        <x:v>Diagnóstico e execução</x:v>
      </x:c>
    </x:row>
    <x:row r="1243">
      <x:c r="A1243" s="83" t="n">
        <x:v>1242</x:v>
      </x:c>
      <x:c r="B1243" s="84" t="n">
        <x:v>725</x:v>
      </x:c>
      <x:c r="C1243" s="84" t="n">
        <x:v>19</x:v>
      </x:c>
      <x:c r="D1243" s="89" t="n">
        <x:v>45081</x:v>
      </x:c>
      <x:c r="E1243" s="84" t="n">
        <x:v>4.6</x:v>
      </x:c>
      <x:c r="F1243" s="84" t="str">
        <x:v>Normal</x:v>
      </x:c>
      <x:c r="G1243" s="93" t="n">
        <x:v>213.81</x:v>
      </x:c>
      <x:c r="H1243" s="85" t="str">
        <x:v>Diagnóstico e execução</x:v>
      </x:c>
    </x:row>
    <x:row r="1244">
      <x:c r="A1244" s="83" t="n">
        <x:v>1243</x:v>
      </x:c>
      <x:c r="B1244" s="84" t="n">
        <x:v>726</x:v>
      </x:c>
      <x:c r="C1244" s="84" t="n">
        <x:v>11</x:v>
      </x:c>
      <x:c r="D1244" s="89" t="n">
        <x:v>45734</x:v>
      </x:c>
      <x:c r="E1244" s="84" t="n">
        <x:v>2.2</x:v>
      </x:c>
      <x:c r="F1244" s="84" t="str">
        <x:v>Normal</x:v>
      </x:c>
      <x:c r="G1244" s="93" t="n">
        <x:v>91.7</x:v>
      </x:c>
      <x:c r="H1244" s="85" t="str">
        <x:v>Diagnóstico e execução</x:v>
      </x:c>
    </x:row>
    <x:row r="1245">
      <x:c r="A1245" s="83" t="n">
        <x:v>1244</x:v>
      </x:c>
      <x:c r="B1245" s="84" t="n">
        <x:v>726</x:v>
      </x:c>
      <x:c r="C1245" s="84" t="n">
        <x:v>2</x:v>
      </x:c>
      <x:c r="D1245" s="89" t="n">
        <x:v>45734</x:v>
      </x:c>
      <x:c r="E1245" s="84" t="n">
        <x:v>5</x:v>
      </x:c>
      <x:c r="F1245" s="84" t="str">
        <x:v>Normal</x:v>
      </x:c>
      <x:c r="G1245" s="93" t="n">
        <x:v>186.3</x:v>
      </x:c>
      <x:c r="H1245" s="85" t="str">
        <x:v>Diagnóstico e execução</x:v>
      </x:c>
    </x:row>
    <x:row r="1246">
      <x:c r="A1246" s="83" t="n">
        <x:v>1245</x:v>
      </x:c>
      <x:c r="B1246" s="84" t="n">
        <x:v>726</x:v>
      </x:c>
      <x:c r="C1246" s="84" t="n">
        <x:v>9</x:v>
      </x:c>
      <x:c r="D1246" s="89" t="n">
        <x:v>45734</x:v>
      </x:c>
      <x:c r="E1246" s="84" t="n">
        <x:v>2.6</x:v>
      </x:c>
      <x:c r="F1246" s="84" t="str">
        <x:v>Normal</x:v>
      </x:c>
      <x:c r="G1246" s="93" t="n">
        <x:v>136.94</x:v>
      </x:c>
      <x:c r="H1246" s="85" t="str">
        <x:v>Diagnóstico e execução</x:v>
      </x:c>
    </x:row>
    <x:row r="1247">
      <x:c r="A1247" s="83" t="n">
        <x:v>1246</x:v>
      </x:c>
      <x:c r="B1247" s="84" t="n">
        <x:v>727</x:v>
      </x:c>
      <x:c r="C1247" s="84" t="n">
        <x:v>11</x:v>
      </x:c>
      <x:c r="D1247" s="89" t="n">
        <x:v>45948</x:v>
      </x:c>
      <x:c r="E1247" s="84" t="n">
        <x:v>1</x:v>
      </x:c>
      <x:c r="F1247" s="84" t="str">
        <x:v>Normal</x:v>
      </x:c>
      <x:c r="G1247" s="93" t="n">
        <x:v>41.68</x:v>
      </x:c>
      <x:c r="H1247" s="85" t="str">
        <x:v>Diagnóstico e execução</x:v>
      </x:c>
    </x:row>
    <x:row r="1248">
      <x:c r="A1248" s="83" t="n">
        <x:v>1247</x:v>
      </x:c>
      <x:c r="B1248" s="84" t="n">
        <x:v>727</x:v>
      </x:c>
      <x:c r="C1248" s="84" t="n">
        <x:v>26</x:v>
      </x:c>
      <x:c r="D1248" s="89" t="n">
        <x:v>45948</x:v>
      </x:c>
      <x:c r="E1248" s="84" t="n">
        <x:v>7.8</x:v>
      </x:c>
      <x:c r="F1248" s="84" t="str">
        <x:v>Normal</x:v>
      </x:c>
      <x:c r="G1248" s="93" t="n">
        <x:v>305.14</x:v>
      </x:c>
      <x:c r="H1248" s="85" t="str">
        <x:v>Diagnóstico e execução</x:v>
      </x:c>
    </x:row>
    <x:row r="1249">
      <x:c r="A1249" s="83" t="n">
        <x:v>1248</x:v>
      </x:c>
      <x:c r="B1249" s="84" t="n">
        <x:v>727</x:v>
      </x:c>
      <x:c r="C1249" s="84" t="n">
        <x:v>43</x:v>
      </x:c>
      <x:c r="D1249" s="89" t="n">
        <x:v>45948</x:v>
      </x:c>
      <x:c r="E1249" s="84" t="n">
        <x:v>7.3</x:v>
      </x:c>
      <x:c r="F1249" s="84" t="str">
        <x:v>Normal</x:v>
      </x:c>
      <x:c r="G1249" s="93" t="n">
        <x:v>399.02</x:v>
      </x:c>
      <x:c r="H1249" s="85" t="str">
        <x:v>Diagnóstico e execução</x:v>
      </x:c>
    </x:row>
    <x:row r="1250">
      <x:c r="A1250" s="83" t="n">
        <x:v>1249</x:v>
      </x:c>
      <x:c r="B1250" s="84" t="n">
        <x:v>728</x:v>
      </x:c>
      <x:c r="C1250" s="84" t="n">
        <x:v>24</x:v>
      </x:c>
      <x:c r="D1250" s="89" t="n">
        <x:v>45301</x:v>
      </x:c>
      <x:c r="E1250" s="84" t="n">
        <x:v>7.9</x:v>
      </x:c>
      <x:c r="F1250" s="84" t="str">
        <x:v>Normal</x:v>
      </x:c>
      <x:c r="G1250" s="93" t="n">
        <x:v>468</x:v>
      </x:c>
      <x:c r="H1250" s="85" t="str">
        <x:v>Diagnóstico e execução</x:v>
      </x:c>
    </x:row>
    <x:row r="1251">
      <x:c r="A1251" s="83" t="n">
        <x:v>1250</x:v>
      </x:c>
      <x:c r="B1251" s="84" t="n">
        <x:v>729</x:v>
      </x:c>
      <x:c r="C1251" s="84" t="n">
        <x:v>1</x:v>
      </x:c>
      <x:c r="D1251" s="89" t="n">
        <x:v>45475</x:v>
      </x:c>
      <x:c r="E1251" s="84" t="n">
        <x:v>0.6</x:v>
      </x:c>
      <x:c r="F1251" s="84" t="str">
        <x:v>Normal</x:v>
      </x:c>
      <x:c r="G1251" s="93" t="n">
        <x:v>21.22</x:v>
      </x:c>
      <x:c r="H1251" s="85" t="str">
        <x:v>Diagnóstico e execução</x:v>
      </x:c>
    </x:row>
    <x:row r="1252">
      <x:c r="A1252" s="83" t="n">
        <x:v>1251</x:v>
      </x:c>
      <x:c r="B1252" s="84" t="n">
        <x:v>730</x:v>
      </x:c>
      <x:c r="C1252" s="84" t="n">
        <x:v>44</x:v>
      </x:c>
      <x:c r="D1252" s="89" t="n">
        <x:v>45818</x:v>
      </x:c>
      <x:c r="E1252" s="84" t="n">
        <x:v>2.6</x:v>
      </x:c>
      <x:c r="F1252" s="84" t="str">
        <x:v>Normal</x:v>
      </x:c>
      <x:c r="G1252" s="93" t="n">
        <x:v>72.9</x:v>
      </x:c>
      <x:c r="H1252" s="85" t="str">
        <x:v>Diagnóstico e execução</x:v>
      </x:c>
    </x:row>
    <x:row r="1253">
      <x:c r="A1253" s="83" t="n">
        <x:v>1252</x:v>
      </x:c>
      <x:c r="B1253" s="84" t="n">
        <x:v>733</x:v>
      </x:c>
      <x:c r="C1253" s="84" t="n">
        <x:v>33</x:v>
      </x:c>
      <x:c r="D1253" s="89" t="n">
        <x:v>45457</x:v>
      </x:c>
      <x:c r="E1253" s="84" t="n">
        <x:v>1.7</x:v>
      </x:c>
      <x:c r="F1253" s="84" t="str">
        <x:v>Normal</x:v>
      </x:c>
      <x:c r="G1253" s="93" t="n">
        <x:v>58.63</x:v>
      </x:c>
      <x:c r="H1253" s="85" t="str">
        <x:v>Diagnóstico e execução</x:v>
      </x:c>
    </x:row>
    <x:row r="1254">
      <x:c r="A1254" s="83" t="n">
        <x:v>1253</x:v>
      </x:c>
      <x:c r="B1254" s="84" t="n">
        <x:v>734</x:v>
      </x:c>
      <x:c r="C1254" s="84" t="n">
        <x:v>13</x:v>
      </x:c>
      <x:c r="D1254" s="89" t="n">
        <x:v>45140</x:v>
      </x:c>
      <x:c r="E1254" s="84" t="n">
        <x:v>5.8</x:v>
      </x:c>
      <x:c r="F1254" s="84" t="str">
        <x:v>Normal</x:v>
      </x:c>
      <x:c r="G1254" s="93" t="n">
        <x:v>196.5</x:v>
      </x:c>
      <x:c r="H1254" s="85" t="str">
        <x:v>Diagnóstico e execução</x:v>
      </x:c>
    </x:row>
    <x:row r="1255">
      <x:c r="A1255" s="83" t="n">
        <x:v>1254</x:v>
      </x:c>
      <x:c r="B1255" s="84" t="n">
        <x:v>737</x:v>
      </x:c>
      <x:c r="C1255" s="84" t="n">
        <x:v>44</x:v>
      </x:c>
      <x:c r="D1255" s="89" t="n">
        <x:v>45679</x:v>
      </x:c>
      <x:c r="E1255" s="84" t="n">
        <x:v>1</x:v>
      </x:c>
      <x:c r="F1255" s="84" t="str">
        <x:v>Normal</x:v>
      </x:c>
      <x:c r="G1255" s="93" t="n">
        <x:v>28.04</x:v>
      </x:c>
      <x:c r="H1255" s="85" t="str">
        <x:v>Diagnóstico e execução</x:v>
      </x:c>
    </x:row>
    <x:row r="1256">
      <x:c r="A1256" s="83" t="n">
        <x:v>1255</x:v>
      </x:c>
      <x:c r="B1256" s="84" t="n">
        <x:v>738</x:v>
      </x:c>
      <x:c r="C1256" s="84" t="n">
        <x:v>35</x:v>
      </x:c>
      <x:c r="D1256" s="89" t="n">
        <x:v>45936</x:v>
      </x:c>
      <x:c r="E1256" s="84" t="n">
        <x:v>2.6</x:v>
      </x:c>
      <x:c r="F1256" s="84" t="str">
        <x:v>Normal</x:v>
      </x:c>
      <x:c r="G1256" s="93" t="n">
        <x:v>127.89</x:v>
      </x:c>
      <x:c r="H1256" s="85" t="str">
        <x:v>Diagnóstico e execução</x:v>
      </x:c>
    </x:row>
    <x:row r="1257">
      <x:c r="A1257" s="83" t="n">
        <x:v>1256</x:v>
      </x:c>
      <x:c r="B1257" s="84" t="n">
        <x:v>738</x:v>
      </x:c>
      <x:c r="C1257" s="84" t="n">
        <x:v>22</x:v>
      </x:c>
      <x:c r="D1257" s="89" t="n">
        <x:v>45936</x:v>
      </x:c>
      <x:c r="E1257" s="84" t="n">
        <x:v>8</x:v>
      </x:c>
      <x:c r="F1257" s="84" t="str">
        <x:v>Normal</x:v>
      </x:c>
      <x:c r="G1257" s="93" t="n">
        <x:v>307.68</x:v>
      </x:c>
      <x:c r="H1257" s="85" t="str">
        <x:v>Diagnóstico e execução</x:v>
      </x:c>
    </x:row>
    <x:row r="1258">
      <x:c r="A1258" s="83" t="n">
        <x:v>1257</x:v>
      </x:c>
      <x:c r="B1258" s="84" t="n">
        <x:v>738</x:v>
      </x:c>
      <x:c r="C1258" s="84" t="n">
        <x:v>11</x:v>
      </x:c>
      <x:c r="D1258" s="89" t="n">
        <x:v>45936</x:v>
      </x:c>
      <x:c r="E1258" s="84" t="n">
        <x:v>6.5</x:v>
      </x:c>
      <x:c r="F1258" s="84" t="str">
        <x:v>Normal</x:v>
      </x:c>
      <x:c r="G1258" s="93" t="n">
        <x:v>270.92</x:v>
      </x:c>
      <x:c r="H1258" s="85" t="str">
        <x:v>Diagnóstico e execução</x:v>
      </x:c>
    </x:row>
    <x:row r="1259">
      <x:c r="A1259" s="83" t="n">
        <x:v>1258</x:v>
      </x:c>
      <x:c r="B1259" s="84" t="n">
        <x:v>739</x:v>
      </x:c>
      <x:c r="C1259" s="84" t="n">
        <x:v>34</x:v>
      </x:c>
      <x:c r="D1259" s="89" t="n">
        <x:v>45115</x:v>
      </x:c>
      <x:c r="E1259" s="84" t="n">
        <x:v>6.2</x:v>
      </x:c>
      <x:c r="F1259" s="84" t="str">
        <x:v>Normal</x:v>
      </x:c>
      <x:c r="G1259" s="93" t="n">
        <x:v>268.03</x:v>
      </x:c>
      <x:c r="H1259" s="85" t="str">
        <x:v>Diagnóstico e execução</x:v>
      </x:c>
    </x:row>
    <x:row r="1260">
      <x:c r="A1260" s="83" t="n">
        <x:v>1259</x:v>
      </x:c>
      <x:c r="B1260" s="84" t="n">
        <x:v>739</x:v>
      </x:c>
      <x:c r="C1260" s="84" t="n">
        <x:v>10</x:v>
      </x:c>
      <x:c r="D1260" s="89" t="n">
        <x:v>45115</x:v>
      </x:c>
      <x:c r="E1260" s="84" t="n">
        <x:v>7.5</x:v>
      </x:c>
      <x:c r="F1260" s="84" t="str">
        <x:v>Normal</x:v>
      </x:c>
      <x:c r="G1260" s="93" t="n">
        <x:v>222.68</x:v>
      </x:c>
      <x:c r="H1260" s="85" t="str">
        <x:v>Diagnóstico e execução</x:v>
      </x:c>
    </x:row>
    <x:row r="1261">
      <x:c r="A1261" s="83" t="n">
        <x:v>1260</x:v>
      </x:c>
      <x:c r="B1261" s="84" t="n">
        <x:v>739</x:v>
      </x:c>
      <x:c r="C1261" s="84" t="n">
        <x:v>14</x:v>
      </x:c>
      <x:c r="D1261" s="89" t="n">
        <x:v>45115</x:v>
      </x:c>
      <x:c r="E1261" s="84" t="n">
        <x:v>5.8</x:v>
      </x:c>
      <x:c r="F1261" s="84" t="str">
        <x:v>Normal</x:v>
      </x:c>
      <x:c r="G1261" s="93" t="n">
        <x:v>328.63</x:v>
      </x:c>
      <x:c r="H1261" s="85" t="str">
        <x:v>Diagnóstico e execução</x:v>
      </x:c>
    </x:row>
    <x:row r="1262">
      <x:c r="A1262" s="83" t="n">
        <x:v>1261</x:v>
      </x:c>
      <x:c r="B1262" s="84" t="n">
        <x:v>740</x:v>
      </x:c>
      <x:c r="C1262" s="84" t="n">
        <x:v>38</x:v>
      </x:c>
      <x:c r="D1262" s="89" t="n">
        <x:v>45034</x:v>
      </x:c>
      <x:c r="E1262" s="84" t="n">
        <x:v>3.4</x:v>
      </x:c>
      <x:c r="F1262" s="84" t="str">
        <x:v>Normal</x:v>
      </x:c>
      <x:c r="G1262" s="93" t="n">
        <x:v>114.48</x:v>
      </x:c>
      <x:c r="H1262" s="85" t="str">
        <x:v>Diagnóstico e execução</x:v>
      </x:c>
    </x:row>
    <x:row r="1263">
      <x:c r="A1263" s="83" t="n">
        <x:v>1262</x:v>
      </x:c>
      <x:c r="B1263" s="84" t="n">
        <x:v>740</x:v>
      </x:c>
      <x:c r="C1263" s="84" t="n">
        <x:v>22</x:v>
      </x:c>
      <x:c r="D1263" s="89" t="n">
        <x:v>45034</x:v>
      </x:c>
      <x:c r="E1263" s="84" t="n">
        <x:v>4.1</x:v>
      </x:c>
      <x:c r="F1263" s="84" t="str">
        <x:v>Normal</x:v>
      </x:c>
      <x:c r="G1263" s="93" t="n">
        <x:v>157.69</x:v>
      </x:c>
      <x:c r="H1263" s="85" t="str">
        <x:v>Diagnóstico e execução</x:v>
      </x:c>
    </x:row>
    <x:row r="1264">
      <x:c r="A1264" s="83" t="n">
        <x:v>1263</x:v>
      </x:c>
      <x:c r="B1264" s="84" t="n">
        <x:v>741</x:v>
      </x:c>
      <x:c r="C1264" s="84" t="n">
        <x:v>31</x:v>
      </x:c>
      <x:c r="D1264" s="89" t="n">
        <x:v>45114</x:v>
      </x:c>
      <x:c r="E1264" s="84" t="n">
        <x:v>2.3</x:v>
      </x:c>
      <x:c r="F1264" s="84" t="str">
        <x:v>Normal</x:v>
      </x:c>
      <x:c r="G1264" s="93" t="n">
        <x:v>112.47</x:v>
      </x:c>
      <x:c r="H1264" s="85" t="str">
        <x:v>Diagnóstico e execução</x:v>
      </x:c>
    </x:row>
    <x:row r="1265">
      <x:c r="A1265" s="83" t="n">
        <x:v>1264</x:v>
      </x:c>
      <x:c r="B1265" s="84" t="n">
        <x:v>742</x:v>
      </x:c>
      <x:c r="C1265" s="84" t="n">
        <x:v>6</x:v>
      </x:c>
      <x:c r="D1265" s="89" t="n">
        <x:v>45827</x:v>
      </x:c>
      <x:c r="E1265" s="84" t="n">
        <x:v>6</x:v>
      </x:c>
      <x:c r="F1265" s="84" t="str">
        <x:v>Normal</x:v>
      </x:c>
      <x:c r="G1265" s="93" t="n">
        <x:v>313.56</x:v>
      </x:c>
      <x:c r="H1265" s="85" t="str">
        <x:v>Diagnóstico e execução</x:v>
      </x:c>
    </x:row>
    <x:row r="1266">
      <x:c r="A1266" s="83" t="n">
        <x:v>1265</x:v>
      </x:c>
      <x:c r="B1266" s="84" t="n">
        <x:v>742</x:v>
      </x:c>
      <x:c r="C1266" s="84" t="n">
        <x:v>24</x:v>
      </x:c>
      <x:c r="D1266" s="89" t="n">
        <x:v>45827</x:v>
      </x:c>
      <x:c r="E1266" s="84" t="n">
        <x:v>1.4</x:v>
      </x:c>
      <x:c r="F1266" s="84" t="str">
        <x:v>Normal</x:v>
      </x:c>
      <x:c r="G1266" s="93" t="n">
        <x:v>82.94</x:v>
      </x:c>
      <x:c r="H1266" s="85" t="str">
        <x:v>Diagnóstico e execução</x:v>
      </x:c>
    </x:row>
    <x:row r="1267">
      <x:c r="A1267" s="83" t="n">
        <x:v>1266</x:v>
      </x:c>
      <x:c r="B1267" s="84" t="n">
        <x:v>742</x:v>
      </x:c>
      <x:c r="C1267" s="84" t="n">
        <x:v>42</x:v>
      </x:c>
      <x:c r="D1267" s="89" t="n">
        <x:v>45827</x:v>
      </x:c>
      <x:c r="E1267" s="84" t="n">
        <x:v>2.7</x:v>
      </x:c>
      <x:c r="F1267" s="84" t="str">
        <x:v>Normal</x:v>
      </x:c>
      <x:c r="G1267" s="93" t="n">
        <x:v>113.89</x:v>
      </x:c>
      <x:c r="H1267" s="85" t="str">
        <x:v>Diagnóstico e execução</x:v>
      </x:c>
    </x:row>
    <x:row r="1268">
      <x:c r="A1268" s="83" t="n">
        <x:v>1267</x:v>
      </x:c>
      <x:c r="B1268" s="84" t="n">
        <x:v>744</x:v>
      </x:c>
      <x:c r="C1268" s="84" t="n">
        <x:v>40</x:v>
      </x:c>
      <x:c r="D1268" s="89" t="n">
        <x:v>45089</x:v>
      </x:c>
      <x:c r="E1268" s="84" t="n">
        <x:v>3.1</x:v>
      </x:c>
      <x:c r="F1268" s="84" t="str">
        <x:v>Normal</x:v>
      </x:c>
      <x:c r="G1268" s="93" t="n">
        <x:v>153.2</x:v>
      </x:c>
      <x:c r="H1268" s="85" t="str">
        <x:v>Diagnóstico e execução</x:v>
      </x:c>
    </x:row>
    <x:row r="1269">
      <x:c r="A1269" s="83" t="n">
        <x:v>1268</x:v>
      </x:c>
      <x:c r="B1269" s="84" t="n">
        <x:v>745</x:v>
      </x:c>
      <x:c r="C1269" s="84" t="n">
        <x:v>13</x:v>
      </x:c>
      <x:c r="D1269" s="89" t="n">
        <x:v>45246</x:v>
      </x:c>
      <x:c r="E1269" s="84" t="n">
        <x:v>3.7</x:v>
      </x:c>
      <x:c r="F1269" s="84" t="str">
        <x:v>Normal</x:v>
      </x:c>
      <x:c r="G1269" s="93" t="n">
        <x:v>125.36</x:v>
      </x:c>
      <x:c r="H1269" s="85" t="str">
        <x:v>Diagnóstico e execução</x:v>
      </x:c>
    </x:row>
    <x:row r="1270">
      <x:c r="A1270" s="83" t="n">
        <x:v>1269</x:v>
      </x:c>
      <x:c r="B1270" s="84" t="n">
        <x:v>745</x:v>
      </x:c>
      <x:c r="C1270" s="84" t="n">
        <x:v>23</x:v>
      </x:c>
      <x:c r="D1270" s="89" t="n">
        <x:v>45246</x:v>
      </x:c>
      <x:c r="E1270" s="84" t="n">
        <x:v>6.6</x:v>
      </x:c>
      <x:c r="F1270" s="84" t="str">
        <x:v>Normal</x:v>
      </x:c>
      <x:c r="G1270" s="93" t="n">
        <x:v>284.53</x:v>
      </x:c>
      <x:c r="H1270" s="85" t="str">
        <x:v>Diagnóstico e execução</x:v>
      </x:c>
    </x:row>
    <x:row r="1271">
      <x:c r="A1271" s="83" t="n">
        <x:v>1270</x:v>
      </x:c>
      <x:c r="B1271" s="84" t="n">
        <x:v>745</x:v>
      </x:c>
      <x:c r="C1271" s="84" t="n">
        <x:v>31</x:v>
      </x:c>
      <x:c r="D1271" s="89" t="n">
        <x:v>45246</x:v>
      </x:c>
      <x:c r="E1271" s="84" t="n">
        <x:v>6.8</x:v>
      </x:c>
      <x:c r="F1271" s="84" t="str">
        <x:v>Normal</x:v>
      </x:c>
      <x:c r="G1271" s="93" t="n">
        <x:v>332.52</x:v>
      </x:c>
      <x:c r="H1271" s="85" t="str">
        <x:v>Diagnóstico e execução</x:v>
      </x:c>
    </x:row>
    <x:row r="1272">
      <x:c r="A1272" s="83" t="n">
        <x:v>1271</x:v>
      </x:c>
      <x:c r="B1272" s="84" t="n">
        <x:v>747</x:v>
      </x:c>
      <x:c r="C1272" s="84" t="n">
        <x:v>34</x:v>
      </x:c>
      <x:c r="D1272" s="89" t="n">
        <x:v>45127</x:v>
      </x:c>
      <x:c r="E1272" s="84" t="n">
        <x:v>4.6</x:v>
      </x:c>
      <x:c r="F1272" s="84" t="str">
        <x:v>Normal</x:v>
      </x:c>
      <x:c r="G1272" s="93" t="n">
        <x:v>198.86</x:v>
      </x:c>
      <x:c r="H1272" s="85" t="str">
        <x:v>Diagnóstico e execução</x:v>
      </x:c>
    </x:row>
    <x:row r="1273">
      <x:c r="A1273" s="83" t="n">
        <x:v>1272</x:v>
      </x:c>
      <x:c r="B1273" s="84" t="n">
        <x:v>747</x:v>
      </x:c>
      <x:c r="C1273" s="84" t="n">
        <x:v>30</x:v>
      </x:c>
      <x:c r="D1273" s="89" t="n">
        <x:v>45127</x:v>
      </x:c>
      <x:c r="E1273" s="84" t="n">
        <x:v>7.8</x:v>
      </x:c>
      <x:c r="F1273" s="84" t="str">
        <x:v>Normal</x:v>
      </x:c>
      <x:c r="G1273" s="93" t="n">
        <x:v>323</x:v>
      </x:c>
      <x:c r="H1273" s="85" t="str">
        <x:v>Diagnóstico e execução</x:v>
      </x:c>
    </x:row>
    <x:row r="1274">
      <x:c r="A1274" s="83" t="n">
        <x:v>1273</x:v>
      </x:c>
      <x:c r="B1274" s="84" t="n">
        <x:v>747</x:v>
      </x:c>
      <x:c r="C1274" s="84" t="n">
        <x:v>8</x:v>
      </x:c>
      <x:c r="D1274" s="89" t="n">
        <x:v>45127</x:v>
      </x:c>
      <x:c r="E1274" s="84" t="n">
        <x:v>4.8</x:v>
      </x:c>
      <x:c r="F1274" s="84" t="str">
        <x:v>Normal</x:v>
      </x:c>
      <x:c r="G1274" s="93" t="n">
        <x:v>223.2</x:v>
      </x:c>
      <x:c r="H1274" s="85" t="str">
        <x:v>Diagnóstico e execução</x:v>
      </x:c>
    </x:row>
    <x:row r="1275">
      <x:c r="A1275" s="83" t="n">
        <x:v>1274</x:v>
      </x:c>
      <x:c r="B1275" s="84" t="n">
        <x:v>748</x:v>
      </x:c>
      <x:c r="C1275" s="84" t="n">
        <x:v>4</x:v>
      </x:c>
      <x:c r="D1275" s="89" t="n">
        <x:v>45162</x:v>
      </x:c>
      <x:c r="E1275" s="84" t="n">
        <x:v>4</x:v>
      </x:c>
      <x:c r="F1275" s="84" t="str">
        <x:v>Normal</x:v>
      </x:c>
      <x:c r="G1275" s="93" t="n">
        <x:v>196.76</x:v>
      </x:c>
      <x:c r="H1275" s="85" t="str">
        <x:v>Diagnóstico e execução</x:v>
      </x:c>
    </x:row>
    <x:row r="1276">
      <x:c r="A1276" s="83" t="n">
        <x:v>1275</x:v>
      </x:c>
      <x:c r="B1276" s="84" t="n">
        <x:v>748</x:v>
      </x:c>
      <x:c r="C1276" s="84" t="n">
        <x:v>39</x:v>
      </x:c>
      <x:c r="D1276" s="89" t="n">
        <x:v>45162</x:v>
      </x:c>
      <x:c r="E1276" s="84" t="n">
        <x:v>5.9</x:v>
      </x:c>
      <x:c r="F1276" s="84" t="str">
        <x:v>Normal</x:v>
      </x:c>
      <x:c r="G1276" s="93" t="n">
        <x:v>341.61</x:v>
      </x:c>
      <x:c r="H1276" s="85" t="str">
        <x:v>Diagnóstico e execução</x:v>
      </x:c>
    </x:row>
    <x:row r="1277">
      <x:c r="A1277" s="83" t="n">
        <x:v>1276</x:v>
      </x:c>
      <x:c r="B1277" s="84" t="n">
        <x:v>748</x:v>
      </x:c>
      <x:c r="C1277" s="84" t="n">
        <x:v>41</x:v>
      </x:c>
      <x:c r="D1277" s="89" t="n">
        <x:v>45162</x:v>
      </x:c>
      <x:c r="E1277" s="84" t="n">
        <x:v>1.4</x:v>
      </x:c>
      <x:c r="F1277" s="84" t="str">
        <x:v>Normal</x:v>
      </x:c>
      <x:c r="G1277" s="93" t="n">
        <x:v>70.81</x:v>
      </x:c>
      <x:c r="H1277" s="85" t="str">
        <x:v>Diagnóstico e execução</x:v>
      </x:c>
    </x:row>
    <x:row r="1278">
      <x:c r="A1278" s="83" t="n">
        <x:v>1277</x:v>
      </x:c>
      <x:c r="B1278" s="84" t="n">
        <x:v>749</x:v>
      </x:c>
      <x:c r="C1278" s="84" t="n">
        <x:v>33</x:v>
      </x:c>
      <x:c r="D1278" s="89" t="n">
        <x:v>45909</x:v>
      </x:c>
      <x:c r="E1278" s="84" t="n">
        <x:v>2.6</x:v>
      </x:c>
      <x:c r="F1278" s="84" t="str">
        <x:v>Normal</x:v>
      </x:c>
      <x:c r="G1278" s="93" t="n">
        <x:v>89.67</x:v>
      </x:c>
      <x:c r="H1278" s="85" t="str">
        <x:v>Diagnóstico e execução</x:v>
      </x:c>
    </x:row>
    <x:row r="1279">
      <x:c r="A1279" s="83" t="n">
        <x:v>1278</x:v>
      </x:c>
      <x:c r="B1279" s="84" t="n">
        <x:v>749</x:v>
      </x:c>
      <x:c r="C1279" s="84" t="n">
        <x:v>21</x:v>
      </x:c>
      <x:c r="D1279" s="89" t="n">
        <x:v>45909</x:v>
      </x:c>
      <x:c r="E1279" s="84" t="n">
        <x:v>6.6</x:v>
      </x:c>
      <x:c r="F1279" s="84" t="str">
        <x:v>Normal</x:v>
      </x:c>
      <x:c r="G1279" s="93" t="n">
        <x:v>405.44</x:v>
      </x:c>
      <x:c r="H1279" s="85" t="str">
        <x:v>Diagnóstico e execução</x:v>
      </x:c>
    </x:row>
    <x:row r="1280">
      <x:c r="A1280" s="83" t="n">
        <x:v>1279</x:v>
      </x:c>
      <x:c r="B1280" s="84" t="n">
        <x:v>750</x:v>
      </x:c>
      <x:c r="C1280" s="84" t="n">
        <x:v>42</x:v>
      </x:c>
      <x:c r="D1280" s="89" t="n">
        <x:v>45609</x:v>
      </x:c>
      <x:c r="E1280" s="84" t="n">
        <x:v>6.4</x:v>
      </x:c>
      <x:c r="F1280" s="84" t="str">
        <x:v>Normal</x:v>
      </x:c>
      <x:c r="G1280" s="93" t="n">
        <x:v>269.95</x:v>
      </x:c>
      <x:c r="H1280" s="85" t="str">
        <x:v>Diagnóstico e execução</x:v>
      </x:c>
    </x:row>
    <x:row r="1281">
      <x:c r="A1281" s="83" t="n">
        <x:v>1280</x:v>
      </x:c>
      <x:c r="B1281" s="84" t="n">
        <x:v>751</x:v>
      </x:c>
      <x:c r="C1281" s="84" t="n">
        <x:v>31</x:v>
      </x:c>
      <x:c r="D1281" s="89" t="n">
        <x:v>45419</x:v>
      </x:c>
      <x:c r="E1281" s="84" t="n">
        <x:v>7.6</x:v>
      </x:c>
      <x:c r="F1281" s="84" t="str">
        <x:v>Normal</x:v>
      </x:c>
      <x:c r="G1281" s="93" t="n">
        <x:v>371.64</x:v>
      </x:c>
      <x:c r="H1281" s="85" t="str">
        <x:v>Diagnóstico e execução</x:v>
      </x:c>
    </x:row>
    <x:row r="1282">
      <x:c r="A1282" s="83" t="n">
        <x:v>1281</x:v>
      </x:c>
      <x:c r="B1282" s="84" t="n">
        <x:v>751</x:v>
      </x:c>
      <x:c r="C1282" s="84" t="n">
        <x:v>32</x:v>
      </x:c>
      <x:c r="D1282" s="89" t="n">
        <x:v>45419</x:v>
      </x:c>
      <x:c r="E1282" s="84" t="n">
        <x:v>6.1</x:v>
      </x:c>
      <x:c r="F1282" s="84" t="str">
        <x:v>Normal</x:v>
      </x:c>
      <x:c r="G1282" s="93" t="n">
        <x:v>266.26</x:v>
      </x:c>
      <x:c r="H1282" s="85" t="str">
        <x:v>Diagnóstico e execução</x:v>
      </x:c>
    </x:row>
    <x:row r="1283">
      <x:c r="A1283" s="83" t="n">
        <x:v>1282</x:v>
      </x:c>
      <x:c r="B1283" s="84" t="n">
        <x:v>752</x:v>
      </x:c>
      <x:c r="C1283" s="84" t="n">
        <x:v>25</x:v>
      </x:c>
      <x:c r="D1283" s="89" t="n">
        <x:v>45725</x:v>
      </x:c>
      <x:c r="E1283" s="84" t="n">
        <x:v>2.3</x:v>
      </x:c>
      <x:c r="F1283" s="84" t="str">
        <x:v>Normal</x:v>
      </x:c>
      <x:c r="G1283" s="93" t="n">
        <x:v>123.26</x:v>
      </x:c>
      <x:c r="H1283" s="85" t="str">
        <x:v>Diagnóstico e execução</x:v>
      </x:c>
    </x:row>
    <x:row r="1284">
      <x:c r="A1284" s="83" t="n">
        <x:v>1283</x:v>
      </x:c>
      <x:c r="B1284" s="84" t="n">
        <x:v>753</x:v>
      </x:c>
      <x:c r="C1284" s="84" t="n">
        <x:v>1</x:v>
      </x:c>
      <x:c r="D1284" s="89" t="n">
        <x:v>45564</x:v>
      </x:c>
      <x:c r="E1284" s="84" t="n">
        <x:v>6.7</x:v>
      </x:c>
      <x:c r="F1284" s="84" t="str">
        <x:v>Normal</x:v>
      </x:c>
      <x:c r="G1284" s="93" t="n">
        <x:v>236.98</x:v>
      </x:c>
      <x:c r="H1284" s="85" t="str">
        <x:v>Diagnóstico e execução</x:v>
      </x:c>
    </x:row>
    <x:row r="1285">
      <x:c r="A1285" s="83" t="n">
        <x:v>1284</x:v>
      </x:c>
      <x:c r="B1285" s="84" t="n">
        <x:v>753</x:v>
      </x:c>
      <x:c r="C1285" s="84" t="n">
        <x:v>15</x:v>
      </x:c>
      <x:c r="D1285" s="89" t="n">
        <x:v>45564</x:v>
      </x:c>
      <x:c r="E1285" s="84" t="n">
        <x:v>4.3</x:v>
      </x:c>
      <x:c r="F1285" s="84" t="str">
        <x:v>Normal</x:v>
      </x:c>
      <x:c r="G1285" s="93" t="n">
        <x:v>130.03</x:v>
      </x:c>
      <x:c r="H1285" s="85" t="str">
        <x:v>Diagnóstico e execução</x:v>
      </x:c>
    </x:row>
    <x:row r="1286">
      <x:c r="A1286" s="83" t="n">
        <x:v>1285</x:v>
      </x:c>
      <x:c r="B1286" s="84" t="n">
        <x:v>753</x:v>
      </x:c>
      <x:c r="C1286" s="84" t="n">
        <x:v>9</x:v>
      </x:c>
      <x:c r="D1286" s="89" t="n">
        <x:v>45564</x:v>
      </x:c>
      <x:c r="E1286" s="84" t="n">
        <x:v>0.6</x:v>
      </x:c>
      <x:c r="F1286" s="84" t="str">
        <x:v>Normal</x:v>
      </x:c>
      <x:c r="G1286" s="93" t="n">
        <x:v>31.6</x:v>
      </x:c>
      <x:c r="H1286" s="85" t="str">
        <x:v>Diagnóstico e execução</x:v>
      </x:c>
    </x:row>
    <x:row r="1287">
      <x:c r="A1287" s="83" t="n">
        <x:v>1286</x:v>
      </x:c>
      <x:c r="B1287" s="84" t="n">
        <x:v>754</x:v>
      </x:c>
      <x:c r="C1287" s="84" t="n">
        <x:v>4</x:v>
      </x:c>
      <x:c r="D1287" s="89" t="n">
        <x:v>45071</x:v>
      </x:c>
      <x:c r="E1287" s="84" t="n">
        <x:v>7.2</x:v>
      </x:c>
      <x:c r="F1287" s="84" t="str">
        <x:v>Normal</x:v>
      </x:c>
      <x:c r="G1287" s="93" t="n">
        <x:v>354.17</x:v>
      </x:c>
      <x:c r="H1287" s="85" t="str">
        <x:v>Diagnóstico e execução</x:v>
      </x:c>
    </x:row>
    <x:row r="1288">
      <x:c r="A1288" s="83" t="n">
        <x:v>1287</x:v>
      </x:c>
      <x:c r="B1288" s="84" t="n">
        <x:v>754</x:v>
      </x:c>
      <x:c r="C1288" s="84" t="n">
        <x:v>42</x:v>
      </x:c>
      <x:c r="D1288" s="89" t="n">
        <x:v>45071</x:v>
      </x:c>
      <x:c r="E1288" s="84" t="n">
        <x:v>0.7</x:v>
      </x:c>
      <x:c r="F1288" s="84" t="str">
        <x:v>Normal</x:v>
      </x:c>
      <x:c r="G1288" s="93" t="n">
        <x:v>29.53</x:v>
      </x:c>
      <x:c r="H1288" s="85" t="str">
        <x:v>Diagnóstico e execução</x:v>
      </x:c>
    </x:row>
    <x:row r="1289">
      <x:c r="A1289" s="83" t="n">
        <x:v>1288</x:v>
      </x:c>
      <x:c r="B1289" s="84" t="n">
        <x:v>755</x:v>
      </x:c>
      <x:c r="C1289" s="84" t="n">
        <x:v>19</x:v>
      </x:c>
      <x:c r="D1289" s="89" t="n">
        <x:v>45744</x:v>
      </x:c>
      <x:c r="E1289" s="84" t="n">
        <x:v>7.1</x:v>
      </x:c>
      <x:c r="F1289" s="84" t="str">
        <x:v>Normal</x:v>
      </x:c>
      <x:c r="G1289" s="93" t="n">
        <x:v>330.01</x:v>
      </x:c>
      <x:c r="H1289" s="85" t="str">
        <x:v>Diagnóstico e execução</x:v>
      </x:c>
    </x:row>
    <x:row r="1290">
      <x:c r="A1290" s="83" t="n">
        <x:v>1289</x:v>
      </x:c>
      <x:c r="B1290" s="84" t="n">
        <x:v>756</x:v>
      </x:c>
      <x:c r="C1290" s="84" t="n">
        <x:v>21</x:v>
      </x:c>
      <x:c r="D1290" s="89" t="n">
        <x:v>45497</x:v>
      </x:c>
      <x:c r="E1290" s="84" t="n">
        <x:v>1.1</x:v>
      </x:c>
      <x:c r="F1290" s="84" t="str">
        <x:v>Normal</x:v>
      </x:c>
      <x:c r="G1290" s="93" t="n">
        <x:v>67.57</x:v>
      </x:c>
      <x:c r="H1290" s="85" t="str">
        <x:v>Diagnóstico e execução</x:v>
      </x:c>
    </x:row>
    <x:row r="1291">
      <x:c r="A1291" s="83" t="n">
        <x:v>1290</x:v>
      </x:c>
      <x:c r="B1291" s="84" t="n">
        <x:v>756</x:v>
      </x:c>
      <x:c r="C1291" s="84" t="n">
        <x:v>23</x:v>
      </x:c>
      <x:c r="D1291" s="89" t="n">
        <x:v>45497</x:v>
      </x:c>
      <x:c r="E1291" s="84" t="n">
        <x:v>0.7</x:v>
      </x:c>
      <x:c r="F1291" s="84" t="str">
        <x:v>Normal</x:v>
      </x:c>
      <x:c r="G1291" s="93" t="n">
        <x:v>30.18</x:v>
      </x:c>
      <x:c r="H1291" s="85" t="str">
        <x:v>Diagnóstico e execução</x:v>
      </x:c>
    </x:row>
    <x:row r="1292">
      <x:c r="A1292" s="83" t="n">
        <x:v>1291</x:v>
      </x:c>
      <x:c r="B1292" s="84" t="n">
        <x:v>756</x:v>
      </x:c>
      <x:c r="C1292" s="84" t="n">
        <x:v>14</x:v>
      </x:c>
      <x:c r="D1292" s="89" t="n">
        <x:v>45497</x:v>
      </x:c>
      <x:c r="E1292" s="84" t="n">
        <x:v>5.7</x:v>
      </x:c>
      <x:c r="F1292" s="84" t="str">
        <x:v>Normal</x:v>
      </x:c>
      <x:c r="G1292" s="93" t="n">
        <x:v>322.96</x:v>
      </x:c>
      <x:c r="H1292" s="85" t="str">
        <x:v>Diagnóstico e execução</x:v>
      </x:c>
    </x:row>
    <x:row r="1293">
      <x:c r="A1293" s="83" t="n">
        <x:v>1292</x:v>
      </x:c>
      <x:c r="B1293" s="84" t="n">
        <x:v>757</x:v>
      </x:c>
      <x:c r="C1293" s="84" t="n">
        <x:v>44</x:v>
      </x:c>
      <x:c r="D1293" s="89" t="n">
        <x:v>45173</x:v>
      </x:c>
      <x:c r="E1293" s="84" t="n">
        <x:v>2.4</x:v>
      </x:c>
      <x:c r="F1293" s="84" t="str">
        <x:v>Normal</x:v>
      </x:c>
      <x:c r="G1293" s="93" t="n">
        <x:v>67.3</x:v>
      </x:c>
      <x:c r="H1293" s="85" t="str">
        <x:v>Diagnóstico e execução</x:v>
      </x:c>
    </x:row>
    <x:row r="1294">
      <x:c r="A1294" s="83" t="n">
        <x:v>1293</x:v>
      </x:c>
      <x:c r="B1294" s="84" t="n">
        <x:v>758</x:v>
      </x:c>
      <x:c r="C1294" s="84" t="n">
        <x:v>2</x:v>
      </x:c>
      <x:c r="D1294" s="89" t="n">
        <x:v>45240</x:v>
      </x:c>
      <x:c r="E1294" s="84" t="n">
        <x:v>4.2</x:v>
      </x:c>
      <x:c r="F1294" s="84" t="str">
        <x:v>Normal</x:v>
      </x:c>
      <x:c r="G1294" s="93" t="n">
        <x:v>156.49</x:v>
      </x:c>
      <x:c r="H1294" s="85" t="str">
        <x:v>Diagnóstico e execução</x:v>
      </x:c>
    </x:row>
    <x:row r="1295">
      <x:c r="A1295" s="83" t="n">
        <x:v>1294</x:v>
      </x:c>
      <x:c r="B1295" s="84" t="n">
        <x:v>758</x:v>
      </x:c>
      <x:c r="C1295" s="84" t="n">
        <x:v>25</x:v>
      </x:c>
      <x:c r="D1295" s="89" t="n">
        <x:v>45240</x:v>
      </x:c>
      <x:c r="E1295" s="84" t="n">
        <x:v>2</x:v>
      </x:c>
      <x:c r="F1295" s="84" t="str">
        <x:v>Normal</x:v>
      </x:c>
      <x:c r="G1295" s="93" t="n">
        <x:v>107.18</x:v>
      </x:c>
      <x:c r="H1295" s="85" t="str">
        <x:v>Diagnóstico e execução</x:v>
      </x:c>
    </x:row>
    <x:row r="1296">
      <x:c r="A1296" s="83" t="n">
        <x:v>1295</x:v>
      </x:c>
      <x:c r="B1296" s="84" t="n">
        <x:v>758</x:v>
      </x:c>
      <x:c r="C1296" s="84" t="n">
        <x:v>30</x:v>
      </x:c>
      <x:c r="D1296" s="89" t="n">
        <x:v>45240</x:v>
      </x:c>
      <x:c r="E1296" s="84" t="n">
        <x:v>1</x:v>
      </x:c>
      <x:c r="F1296" s="84" t="str">
        <x:v>Normal</x:v>
      </x:c>
      <x:c r="G1296" s="93" t="n">
        <x:v>41.41</x:v>
      </x:c>
      <x:c r="H1296" s="85" t="str">
        <x:v>Diagnóstico e execução</x:v>
      </x:c>
    </x:row>
    <x:row r="1297">
      <x:c r="A1297" s="83" t="n">
        <x:v>1296</x:v>
      </x:c>
      <x:c r="B1297" s="84" t="n">
        <x:v>759</x:v>
      </x:c>
      <x:c r="C1297" s="84" t="n">
        <x:v>39</x:v>
      </x:c>
      <x:c r="D1297" s="89" t="n">
        <x:v>45251</x:v>
      </x:c>
      <x:c r="E1297" s="84" t="n">
        <x:v>3.9</x:v>
      </x:c>
      <x:c r="F1297" s="84" t="str">
        <x:v>Normal</x:v>
      </x:c>
      <x:c r="G1297" s="93" t="n">
        <x:v>225.81</x:v>
      </x:c>
      <x:c r="H1297" s="85" t="str">
        <x:v>Diagnóstico e execução</x:v>
      </x:c>
    </x:row>
    <x:row r="1298">
      <x:c r="A1298" s="83" t="n">
        <x:v>1297</x:v>
      </x:c>
      <x:c r="B1298" s="84" t="n">
        <x:v>760</x:v>
      </x:c>
      <x:c r="C1298" s="84" t="n">
        <x:v>40</x:v>
      </x:c>
      <x:c r="D1298" s="89" t="n">
        <x:v>45435</x:v>
      </x:c>
      <x:c r="E1298" s="84" t="n">
        <x:v>3.5</x:v>
      </x:c>
      <x:c r="F1298" s="84" t="str">
        <x:v>Normal</x:v>
      </x:c>
      <x:c r="G1298" s="93" t="n">
        <x:v>172.97</x:v>
      </x:c>
      <x:c r="H1298" s="85" t="str">
        <x:v>Diagnóstico e execução</x:v>
      </x:c>
    </x:row>
    <x:row r="1299">
      <x:c r="A1299" s="83" t="n">
        <x:v>1298</x:v>
      </x:c>
      <x:c r="B1299" s="84" t="n">
        <x:v>760</x:v>
      </x:c>
      <x:c r="C1299" s="84" t="n">
        <x:v>34</x:v>
      </x:c>
      <x:c r="D1299" s="89" t="n">
        <x:v>45435</x:v>
      </x:c>
      <x:c r="E1299" s="84" t="n">
        <x:v>5.4</x:v>
      </x:c>
      <x:c r="F1299" s="84" t="str">
        <x:v>Normal</x:v>
      </x:c>
      <x:c r="G1299" s="93" t="n">
        <x:v>233.44</x:v>
      </x:c>
      <x:c r="H1299" s="85" t="str">
        <x:v>Diagnóstico e execução</x:v>
      </x:c>
    </x:row>
    <x:row r="1300">
      <x:c r="A1300" s="83" t="n">
        <x:v>1299</x:v>
      </x:c>
      <x:c r="B1300" s="84" t="n">
        <x:v>761</x:v>
      </x:c>
      <x:c r="C1300" s="84" t="n">
        <x:v>1</x:v>
      </x:c>
      <x:c r="D1300" s="89" t="n">
        <x:v>44971</x:v>
      </x:c>
      <x:c r="E1300" s="84" t="n">
        <x:v>4</x:v>
      </x:c>
      <x:c r="F1300" s="84" t="str">
        <x:v>Normal</x:v>
      </x:c>
      <x:c r="G1300" s="93" t="n">
        <x:v>141.48</x:v>
      </x:c>
      <x:c r="H1300" s="85" t="str">
        <x:v>Diagnóstico e execução</x:v>
      </x:c>
    </x:row>
    <x:row r="1301">
      <x:c r="A1301" s="83" t="n">
        <x:v>1300</x:v>
      </x:c>
      <x:c r="B1301" s="84" t="n">
        <x:v>762</x:v>
      </x:c>
      <x:c r="C1301" s="84" t="n">
        <x:v>14</x:v>
      </x:c>
      <x:c r="D1301" s="89" t="n">
        <x:v>45336</x:v>
      </x:c>
      <x:c r="E1301" s="84" t="n">
        <x:v>7.2</x:v>
      </x:c>
      <x:c r="F1301" s="84" t="str">
        <x:v>Normal</x:v>
      </x:c>
      <x:c r="G1301" s="93" t="n">
        <x:v>407.95</x:v>
      </x:c>
      <x:c r="H1301" s="85" t="str">
        <x:v>Diagnóstico e execução</x:v>
      </x:c>
    </x:row>
    <x:row r="1302">
      <x:c r="A1302" s="83" t="n">
        <x:v>1301</x:v>
      </x:c>
      <x:c r="B1302" s="84" t="n">
        <x:v>763</x:v>
      </x:c>
      <x:c r="C1302" s="84" t="n">
        <x:v>24</x:v>
      </x:c>
      <x:c r="D1302" s="89" t="n">
        <x:v>45254</x:v>
      </x:c>
      <x:c r="E1302" s="84" t="n">
        <x:v>1.5</x:v>
      </x:c>
      <x:c r="F1302" s="84" t="str">
        <x:v>Normal</x:v>
      </x:c>
      <x:c r="G1302" s="93" t="n">
        <x:v>88.86</x:v>
      </x:c>
      <x:c r="H1302" s="85" t="str">
        <x:v>Diagnóstico e execução</x:v>
      </x:c>
    </x:row>
    <x:row r="1303">
      <x:c r="A1303" s="83" t="n">
        <x:v>1302</x:v>
      </x:c>
      <x:c r="B1303" s="84" t="n">
        <x:v>763</x:v>
      </x:c>
      <x:c r="C1303" s="84" t="n">
        <x:v>24</x:v>
      </x:c>
      <x:c r="D1303" s="89" t="n">
        <x:v>45254</x:v>
      </x:c>
      <x:c r="E1303" s="84" t="n">
        <x:v>3.5</x:v>
      </x:c>
      <x:c r="F1303" s="84" t="str">
        <x:v>Normal</x:v>
      </x:c>
      <x:c r="G1303" s="93" t="n">
        <x:v>207.34</x:v>
      </x:c>
      <x:c r="H1303" s="85" t="str">
        <x:v>Diagnóstico e execução</x:v>
      </x:c>
    </x:row>
    <x:row r="1304">
      <x:c r="A1304" s="83" t="n">
        <x:v>1303</x:v>
      </x:c>
      <x:c r="B1304" s="84" t="n">
        <x:v>765</x:v>
      </x:c>
      <x:c r="C1304" s="84" t="n">
        <x:v>8</x:v>
      </x:c>
      <x:c r="D1304" s="89" t="n">
        <x:v>45128</x:v>
      </x:c>
      <x:c r="E1304" s="84" t="n">
        <x:v>4.3</x:v>
      </x:c>
      <x:c r="F1304" s="84" t="str">
        <x:v>Normal</x:v>
      </x:c>
      <x:c r="G1304" s="93" t="n">
        <x:v>199.95</x:v>
      </x:c>
      <x:c r="H1304" s="85" t="str">
        <x:v>Diagnóstico e execução</x:v>
      </x:c>
    </x:row>
    <x:row r="1305">
      <x:c r="A1305" s="83" t="n">
        <x:v>1304</x:v>
      </x:c>
      <x:c r="B1305" s="84" t="n">
        <x:v>766</x:v>
      </x:c>
      <x:c r="C1305" s="84" t="n">
        <x:v>40</x:v>
      </x:c>
      <x:c r="D1305" s="89" t="n">
        <x:v>45290</x:v>
      </x:c>
      <x:c r="E1305" s="84" t="n">
        <x:v>1.6</x:v>
      </x:c>
      <x:c r="F1305" s="84" t="str">
        <x:v>Normal</x:v>
      </x:c>
      <x:c r="G1305" s="93" t="n">
        <x:v>79.07</x:v>
      </x:c>
      <x:c r="H1305" s="85" t="str">
        <x:v>Diagnóstico e execução</x:v>
      </x:c>
    </x:row>
    <x:row r="1306">
      <x:c r="A1306" s="83" t="n">
        <x:v>1305</x:v>
      </x:c>
      <x:c r="B1306" s="84" t="n">
        <x:v>766</x:v>
      </x:c>
      <x:c r="C1306" s="84" t="n">
        <x:v>41</x:v>
      </x:c>
      <x:c r="D1306" s="89" t="n">
        <x:v>45290</x:v>
      </x:c>
      <x:c r="E1306" s="84" t="n">
        <x:v>1.4</x:v>
      </x:c>
      <x:c r="F1306" s="84" t="str">
        <x:v>Normal</x:v>
      </x:c>
      <x:c r="G1306" s="93" t="n">
        <x:v>70.81</x:v>
      </x:c>
      <x:c r="H1306" s="85" t="str">
        <x:v>Diagnóstico e execução</x:v>
      </x:c>
    </x:row>
    <x:row r="1307">
      <x:c r="A1307" s="83" t="n">
        <x:v>1306</x:v>
      </x:c>
      <x:c r="B1307" s="84" t="n">
        <x:v>766</x:v>
      </x:c>
      <x:c r="C1307" s="84" t="n">
        <x:v>9</x:v>
      </x:c>
      <x:c r="D1307" s="89" t="n">
        <x:v>45290</x:v>
      </x:c>
      <x:c r="E1307" s="84" t="n">
        <x:v>4.1</x:v>
      </x:c>
      <x:c r="F1307" s="84" t="str">
        <x:v>Normal</x:v>
      </x:c>
      <x:c r="G1307" s="93" t="n">
        <x:v>215.95</x:v>
      </x:c>
      <x:c r="H1307" s="85" t="str">
        <x:v>Diagnóstico e execução</x:v>
      </x:c>
    </x:row>
    <x:row r="1308">
      <x:c r="A1308" s="83" t="n">
        <x:v>1307</x:v>
      </x:c>
      <x:c r="B1308" s="84" t="n">
        <x:v>767</x:v>
      </x:c>
      <x:c r="C1308" s="84" t="n">
        <x:v>8</x:v>
      </x:c>
      <x:c r="D1308" s="89" t="n">
        <x:v>45559</x:v>
      </x:c>
      <x:c r="E1308" s="84" t="n">
        <x:v>5.4</x:v>
      </x:c>
      <x:c r="F1308" s="84" t="str">
        <x:v>Normal</x:v>
      </x:c>
      <x:c r="G1308" s="93" t="n">
        <x:v>251.1</x:v>
      </x:c>
      <x:c r="H1308" s="85" t="str">
        <x:v>Diagnóstico e execução</x:v>
      </x:c>
    </x:row>
    <x:row r="1309">
      <x:c r="A1309" s="83" t="n">
        <x:v>1308</x:v>
      </x:c>
      <x:c r="B1309" s="84" t="n">
        <x:v>768</x:v>
      </x:c>
      <x:c r="C1309" s="84" t="n">
        <x:v>13</x:v>
      </x:c>
      <x:c r="D1309" s="89" t="n">
        <x:v>45337</x:v>
      </x:c>
      <x:c r="E1309" s="84" t="n">
        <x:v>2.3</x:v>
      </x:c>
      <x:c r="F1309" s="84" t="str">
        <x:v>Normal</x:v>
      </x:c>
      <x:c r="G1309" s="93" t="n">
        <x:v>77.92</x:v>
      </x:c>
      <x:c r="H1309" s="85" t="str">
        <x:v>Diagnóstico e execução</x:v>
      </x:c>
    </x:row>
    <x:row r="1310">
      <x:c r="A1310" s="83" t="n">
        <x:v>1309</x:v>
      </x:c>
      <x:c r="B1310" s="84" t="n">
        <x:v>768</x:v>
      </x:c>
      <x:c r="C1310" s="84" t="n">
        <x:v>30</x:v>
      </x:c>
      <x:c r="D1310" s="89" t="n">
        <x:v>45337</x:v>
      </x:c>
      <x:c r="E1310" s="84" t="n">
        <x:v>5.5</x:v>
      </x:c>
      <x:c r="F1310" s="84" t="str">
        <x:v>Normal</x:v>
      </x:c>
      <x:c r="G1310" s="93" t="n">
        <x:v>227.75</x:v>
      </x:c>
      <x:c r="H1310" s="85" t="str">
        <x:v>Diagnóstico e execução</x:v>
      </x:c>
    </x:row>
    <x:row r="1311">
      <x:c r="A1311" s="83" t="n">
        <x:v>1310</x:v>
      </x:c>
      <x:c r="B1311" s="84" t="n">
        <x:v>768</x:v>
      </x:c>
      <x:c r="C1311" s="84" t="n">
        <x:v>30</x:v>
      </x:c>
      <x:c r="D1311" s="89" t="n">
        <x:v>45337</x:v>
      </x:c>
      <x:c r="E1311" s="84" t="n">
        <x:v>4.2</x:v>
      </x:c>
      <x:c r="F1311" s="84" t="str">
        <x:v>Normal</x:v>
      </x:c>
      <x:c r="G1311" s="93" t="n">
        <x:v>173.92</x:v>
      </x:c>
      <x:c r="H1311" s="85" t="str">
        <x:v>Diagnóstico e execução</x:v>
      </x:c>
    </x:row>
    <x:row r="1312">
      <x:c r="A1312" s="83" t="n">
        <x:v>1311</x:v>
      </x:c>
      <x:c r="B1312" s="84" t="n">
        <x:v>769</x:v>
      </x:c>
      <x:c r="C1312" s="84" t="n">
        <x:v>36</x:v>
      </x:c>
      <x:c r="D1312" s="89" t="n">
        <x:v>45970</x:v>
      </x:c>
      <x:c r="E1312" s="84" t="n">
        <x:v>5.4</x:v>
      </x:c>
      <x:c r="F1312" s="84" t="str">
        <x:v>Normal</x:v>
      </x:c>
      <x:c r="G1312" s="93" t="n">
        <x:v>160.16</x:v>
      </x:c>
      <x:c r="H1312" s="85" t="str">
        <x:v>Diagnóstico e execução</x:v>
      </x:c>
    </x:row>
    <x:row r="1313">
      <x:c r="A1313" s="83" t="n">
        <x:v>1312</x:v>
      </x:c>
      <x:c r="B1313" s="84" t="n">
        <x:v>769</x:v>
      </x:c>
      <x:c r="C1313" s="84" t="n">
        <x:v>37</x:v>
      </x:c>
      <x:c r="D1313" s="89" t="n">
        <x:v>45970</x:v>
      </x:c>
      <x:c r="E1313" s="84" t="n">
        <x:v>7.5</x:v>
      </x:c>
      <x:c r="F1313" s="84" t="str">
        <x:v>Normal</x:v>
      </x:c>
      <x:c r="G1313" s="93" t="n">
        <x:v>442.27</x:v>
      </x:c>
      <x:c r="H1313" s="85" t="str">
        <x:v>Diagnóstico e execução</x:v>
      </x:c>
    </x:row>
    <x:row r="1314">
      <x:c r="A1314" s="83" t="n">
        <x:v>1313</x:v>
      </x:c>
      <x:c r="B1314" s="84" t="n">
        <x:v>769</x:v>
      </x:c>
      <x:c r="C1314" s="84" t="n">
        <x:v>17</x:v>
      </x:c>
      <x:c r="D1314" s="89" t="n">
        <x:v>45970</x:v>
      </x:c>
      <x:c r="E1314" s="84" t="n">
        <x:v>1.1</x:v>
      </x:c>
      <x:c r="F1314" s="84" t="str">
        <x:v>Normal</x:v>
      </x:c>
      <x:c r="G1314" s="93" t="n">
        <x:v>61.36</x:v>
      </x:c>
      <x:c r="H1314" s="85" t="str">
        <x:v>Diagnóstico e execução</x:v>
      </x:c>
    </x:row>
    <x:row r="1315">
      <x:c r="A1315" s="83" t="n">
        <x:v>1314</x:v>
      </x:c>
      <x:c r="B1315" s="84" t="n">
        <x:v>770</x:v>
      </x:c>
      <x:c r="C1315" s="84" t="n">
        <x:v>27</x:v>
      </x:c>
      <x:c r="D1315" s="89" t="n">
        <x:v>45814</x:v>
      </x:c>
      <x:c r="E1315" s="84" t="n">
        <x:v>5.1</x:v>
      </x:c>
      <x:c r="F1315" s="84" t="str">
        <x:v>Normal</x:v>
      </x:c>
      <x:c r="G1315" s="93" t="n">
        <x:v>311.05</x:v>
      </x:c>
      <x:c r="H1315" s="85" t="str">
        <x:v>Diagnóstico e execução</x:v>
      </x:c>
    </x:row>
    <x:row r="1316">
      <x:c r="A1316" s="83" t="n">
        <x:v>1315</x:v>
      </x:c>
      <x:c r="B1316" s="84" t="n">
        <x:v>771</x:v>
      </x:c>
      <x:c r="C1316" s="84" t="n">
        <x:v>30</x:v>
      </x:c>
      <x:c r="D1316" s="89" t="n">
        <x:v>45816</x:v>
      </x:c>
      <x:c r="E1316" s="84" t="n">
        <x:v>2.5</x:v>
      </x:c>
      <x:c r="F1316" s="84" t="str">
        <x:v>Normal</x:v>
      </x:c>
      <x:c r="G1316" s="93" t="n">
        <x:v>103.52</x:v>
      </x:c>
      <x:c r="H1316" s="85" t="str">
        <x:v>Diagnóstico e execução</x:v>
      </x:c>
    </x:row>
    <x:row r="1317">
      <x:c r="A1317" s="83" t="n">
        <x:v>1316</x:v>
      </x:c>
      <x:c r="B1317" s="84" t="n">
        <x:v>771</x:v>
      </x:c>
      <x:c r="C1317" s="84" t="n">
        <x:v>7</x:v>
      </x:c>
      <x:c r="D1317" s="89" t="n">
        <x:v>45816</x:v>
      </x:c>
      <x:c r="E1317" s="84" t="n">
        <x:v>6.9</x:v>
      </x:c>
      <x:c r="F1317" s="84" t="str">
        <x:v>Normal</x:v>
      </x:c>
      <x:c r="G1317" s="93" t="n">
        <x:v>401.65</x:v>
      </x:c>
      <x:c r="H1317" s="85" t="str">
        <x:v>Diagnóstico e execução</x:v>
      </x:c>
    </x:row>
    <x:row r="1318">
      <x:c r="A1318" s="83" t="n">
        <x:v>1317</x:v>
      </x:c>
      <x:c r="B1318" s="84" t="n">
        <x:v>771</x:v>
      </x:c>
      <x:c r="C1318" s="84" t="n">
        <x:v>33</x:v>
      </x:c>
      <x:c r="D1318" s="89" t="n">
        <x:v>45816</x:v>
      </x:c>
      <x:c r="E1318" s="84" t="n">
        <x:v>1.9</x:v>
      </x:c>
      <x:c r="F1318" s="84" t="str">
        <x:v>Normal</x:v>
      </x:c>
      <x:c r="G1318" s="93" t="n">
        <x:v>65.53</x:v>
      </x:c>
      <x:c r="H1318" s="85" t="str">
        <x:v>Diagnóstico e execução</x:v>
      </x:c>
    </x:row>
    <x:row r="1319">
      <x:c r="A1319" s="83" t="n">
        <x:v>1318</x:v>
      </x:c>
      <x:c r="B1319" s="84" t="n">
        <x:v>772</x:v>
      </x:c>
      <x:c r="C1319" s="84" t="n">
        <x:v>7</x:v>
      </x:c>
      <x:c r="D1319" s="89" t="n">
        <x:v>45257</x:v>
      </x:c>
      <x:c r="E1319" s="84" t="n">
        <x:v>7.3</x:v>
      </x:c>
      <x:c r="F1319" s="84" t="str">
        <x:v>Normal</x:v>
      </x:c>
      <x:c r="G1319" s="93" t="n">
        <x:v>424.93</x:v>
      </x:c>
      <x:c r="H1319" s="85" t="str">
        <x:v>Diagnóstico e execução</x:v>
      </x:c>
    </x:row>
    <x:row r="1320">
      <x:c r="A1320" s="83" t="n">
        <x:v>1319</x:v>
      </x:c>
      <x:c r="B1320" s="84" t="n">
        <x:v>773</x:v>
      </x:c>
      <x:c r="C1320" s="84" t="n">
        <x:v>17</x:v>
      </x:c>
      <x:c r="D1320" s="89" t="n">
        <x:v>45700</x:v>
      </x:c>
      <x:c r="E1320" s="84" t="n">
        <x:v>4.3</x:v>
      </x:c>
      <x:c r="F1320" s="84" t="str">
        <x:v>Normal</x:v>
      </x:c>
      <x:c r="G1320" s="93" t="n">
        <x:v>239.85</x:v>
      </x:c>
      <x:c r="H1320" s="85" t="str">
        <x:v>Diagnóstico e execução</x:v>
      </x:c>
    </x:row>
    <x:row r="1321">
      <x:c r="A1321" s="83" t="n">
        <x:v>1320</x:v>
      </x:c>
      <x:c r="B1321" s="84" t="n">
        <x:v>773</x:v>
      </x:c>
      <x:c r="C1321" s="84" t="n">
        <x:v>8</x:v>
      </x:c>
      <x:c r="D1321" s="89" t="n">
        <x:v>45700</x:v>
      </x:c>
      <x:c r="E1321" s="84" t="n">
        <x:v>4.1</x:v>
      </x:c>
      <x:c r="F1321" s="84" t="str">
        <x:v>Normal</x:v>
      </x:c>
      <x:c r="G1321" s="93" t="n">
        <x:v>190.65</x:v>
      </x:c>
      <x:c r="H1321" s="85" t="str">
        <x:v>Diagnóstico e execução</x:v>
      </x:c>
    </x:row>
    <x:row r="1322">
      <x:c r="A1322" s="83" t="n">
        <x:v>1321</x:v>
      </x:c>
      <x:c r="B1322" s="84" t="n">
        <x:v>773</x:v>
      </x:c>
      <x:c r="C1322" s="84" t="n">
        <x:v>37</x:v>
      </x:c>
      <x:c r="D1322" s="89" t="n">
        <x:v>45700</x:v>
      </x:c>
      <x:c r="E1322" s="84" t="n">
        <x:v>6.2</x:v>
      </x:c>
      <x:c r="F1322" s="84" t="str">
        <x:v>Normal</x:v>
      </x:c>
      <x:c r="G1322" s="93" t="n">
        <x:v>365.61</x:v>
      </x:c>
      <x:c r="H1322" s="85" t="str">
        <x:v>Diagnóstico e execução</x:v>
      </x:c>
    </x:row>
    <x:row r="1323">
      <x:c r="A1323" s="83" t="n">
        <x:v>1322</x:v>
      </x:c>
      <x:c r="B1323" s="84" t="n">
        <x:v>775</x:v>
      </x:c>
      <x:c r="C1323" s="84" t="n">
        <x:v>20</x:v>
      </x:c>
      <x:c r="D1323" s="89" t="n">
        <x:v>45723</x:v>
      </x:c>
      <x:c r="E1323" s="84" t="n">
        <x:v>5.2</x:v>
      </x:c>
      <x:c r="F1323" s="84" t="str">
        <x:v>Normal</x:v>
      </x:c>
      <x:c r="G1323" s="93" t="n">
        <x:v>174.3</x:v>
      </x:c>
      <x:c r="H1323" s="85" t="str">
        <x:v>Diagnóstico e execução</x:v>
      </x:c>
    </x:row>
    <x:row r="1324">
      <x:c r="A1324" s="83" t="n">
        <x:v>1323</x:v>
      </x:c>
      <x:c r="B1324" s="84" t="n">
        <x:v>775</x:v>
      </x:c>
      <x:c r="C1324" s="84" t="n">
        <x:v>1</x:v>
      </x:c>
      <x:c r="D1324" s="89" t="n">
        <x:v>45723</x:v>
      </x:c>
      <x:c r="E1324" s="84" t="n">
        <x:v>2.4</x:v>
      </x:c>
      <x:c r="F1324" s="84" t="str">
        <x:v>Normal</x:v>
      </x:c>
      <x:c r="G1324" s="93" t="n">
        <x:v>84.89</x:v>
      </x:c>
      <x:c r="H1324" s="85" t="str">
        <x:v>Diagnóstico e execução</x:v>
      </x:c>
    </x:row>
    <x:row r="1325">
      <x:c r="A1325" s="83" t="n">
        <x:v>1324</x:v>
      </x:c>
      <x:c r="B1325" s="84" t="n">
        <x:v>775</x:v>
      </x:c>
      <x:c r="C1325" s="84" t="n">
        <x:v>13</x:v>
      </x:c>
      <x:c r="D1325" s="89" t="n">
        <x:v>45723</x:v>
      </x:c>
      <x:c r="E1325" s="84" t="n">
        <x:v>5.6</x:v>
      </x:c>
      <x:c r="F1325" s="84" t="str">
        <x:v>Normal</x:v>
      </x:c>
      <x:c r="G1325" s="93" t="n">
        <x:v>189.73</x:v>
      </x:c>
      <x:c r="H1325" s="85" t="str">
        <x:v>Diagnóstico e execução</x:v>
      </x:c>
    </x:row>
    <x:row r="1326">
      <x:c r="A1326" s="83" t="n">
        <x:v>1325</x:v>
      </x:c>
      <x:c r="B1326" s="84" t="n">
        <x:v>777</x:v>
      </x:c>
      <x:c r="C1326" s="84" t="n">
        <x:v>2</x:v>
      </x:c>
      <x:c r="D1326" s="89" t="n">
        <x:v>45801</x:v>
      </x:c>
      <x:c r="E1326" s="84" t="n">
        <x:v>1.1</x:v>
      </x:c>
      <x:c r="F1326" s="84" t="str">
        <x:v>Normal</x:v>
      </x:c>
      <x:c r="G1326" s="93" t="n">
        <x:v>40.99</x:v>
      </x:c>
      <x:c r="H1326" s="85" t="str">
        <x:v>Diagnóstico e execução</x:v>
      </x:c>
    </x:row>
    <x:row r="1327">
      <x:c r="A1327" s="83" t="n">
        <x:v>1326</x:v>
      </x:c>
      <x:c r="B1327" s="84" t="n">
        <x:v>777</x:v>
      </x:c>
      <x:c r="C1327" s="84" t="n">
        <x:v>13</x:v>
      </x:c>
      <x:c r="D1327" s="89" t="n">
        <x:v>45801</x:v>
      </x:c>
      <x:c r="E1327" s="84" t="n">
        <x:v>2.5</x:v>
      </x:c>
      <x:c r="F1327" s="84" t="str">
        <x:v>Normal</x:v>
      </x:c>
      <x:c r="G1327" s="93" t="n">
        <x:v>84.7</x:v>
      </x:c>
      <x:c r="H1327" s="85" t="str">
        <x:v>Diagnóstico e execução</x:v>
      </x:c>
    </x:row>
    <x:row r="1328">
      <x:c r="A1328" s="83" t="n">
        <x:v>1327</x:v>
      </x:c>
      <x:c r="B1328" s="84" t="n">
        <x:v>777</x:v>
      </x:c>
      <x:c r="C1328" s="84" t="n">
        <x:v>25</x:v>
      </x:c>
      <x:c r="D1328" s="89" t="n">
        <x:v>45801</x:v>
      </x:c>
      <x:c r="E1328" s="84" t="n">
        <x:v>6.6</x:v>
      </x:c>
      <x:c r="F1328" s="84" t="str">
        <x:v>Normal</x:v>
      </x:c>
      <x:c r="G1328" s="93" t="n">
        <x:v>353.69</x:v>
      </x:c>
      <x:c r="H1328" s="85" t="str">
        <x:v>Diagnóstico e execução</x:v>
      </x:c>
    </x:row>
    <x:row r="1329">
      <x:c r="A1329" s="83" t="n">
        <x:v>1328</x:v>
      </x:c>
      <x:c r="B1329" s="84" t="n">
        <x:v>778</x:v>
      </x:c>
      <x:c r="C1329" s="84" t="n">
        <x:v>20</x:v>
      </x:c>
      <x:c r="D1329" s="89" t="n">
        <x:v>45479</x:v>
      </x:c>
      <x:c r="E1329" s="84" t="n">
        <x:v>7.1</x:v>
      </x:c>
      <x:c r="F1329" s="84" t="str">
        <x:v>Normal</x:v>
      </x:c>
      <x:c r="G1329" s="93" t="n">
        <x:v>237.99</x:v>
      </x:c>
      <x:c r="H1329" s="85" t="str">
        <x:v>Diagnóstico e execução</x:v>
      </x:c>
    </x:row>
    <x:row r="1330">
      <x:c r="A1330" s="83" t="n">
        <x:v>1329</x:v>
      </x:c>
      <x:c r="B1330" s="84" t="n">
        <x:v>778</x:v>
      </x:c>
      <x:c r="C1330" s="84" t="n">
        <x:v>6</x:v>
      </x:c>
      <x:c r="D1330" s="89" t="n">
        <x:v>45479</x:v>
      </x:c>
      <x:c r="E1330" s="84" t="n">
        <x:v>5.2</x:v>
      </x:c>
      <x:c r="F1330" s="84" t="str">
        <x:v>Normal</x:v>
      </x:c>
      <x:c r="G1330" s="93" t="n">
        <x:v>271.75</x:v>
      </x:c>
      <x:c r="H1330" s="85" t="str">
        <x:v>Diagnóstico e execução</x:v>
      </x:c>
    </x:row>
    <x:row r="1331">
      <x:c r="A1331" s="83" t="n">
        <x:v>1330</x:v>
      </x:c>
      <x:c r="B1331" s="84" t="n">
        <x:v>779</x:v>
      </x:c>
      <x:c r="C1331" s="84" t="n">
        <x:v>14</x:v>
      </x:c>
      <x:c r="D1331" s="89" t="n">
        <x:v>45422</x:v>
      </x:c>
      <x:c r="E1331" s="84" t="n">
        <x:v>5.6</x:v>
      </x:c>
      <x:c r="F1331" s="84" t="str">
        <x:v>Normal</x:v>
      </x:c>
      <x:c r="G1331" s="93" t="n">
        <x:v>317.3</x:v>
      </x:c>
      <x:c r="H1331" s="85" t="str">
        <x:v>Diagnóstico e execução</x:v>
      </x:c>
    </x:row>
    <x:row r="1332">
      <x:c r="A1332" s="83" t="n">
        <x:v>1331</x:v>
      </x:c>
      <x:c r="B1332" s="84" t="n">
        <x:v>780</x:v>
      </x:c>
      <x:c r="C1332" s="84" t="n">
        <x:v>11</x:v>
      </x:c>
      <x:c r="D1332" s="89" t="n">
        <x:v>45711</x:v>
      </x:c>
      <x:c r="E1332" s="84" t="n">
        <x:v>5.5</x:v>
      </x:c>
      <x:c r="F1332" s="84" t="str">
        <x:v>Normal</x:v>
      </x:c>
      <x:c r="G1332" s="93" t="n">
        <x:v>229.24</x:v>
      </x:c>
      <x:c r="H1332" s="85" t="str">
        <x:v>Diagnóstico e execução</x:v>
      </x:c>
    </x:row>
    <x:row r="1333">
      <x:c r="A1333" s="83" t="n">
        <x:v>1332</x:v>
      </x:c>
      <x:c r="B1333" s="84" t="n">
        <x:v>780</x:v>
      </x:c>
      <x:c r="C1333" s="84" t="n">
        <x:v>32</x:v>
      </x:c>
      <x:c r="D1333" s="89" t="n">
        <x:v>45711</x:v>
      </x:c>
      <x:c r="E1333" s="84" t="n">
        <x:v>0.5</x:v>
      </x:c>
      <x:c r="F1333" s="84" t="str">
        <x:v>Normal</x:v>
      </x:c>
      <x:c r="G1333" s="93" t="n">
        <x:v>21.82</x:v>
      </x:c>
      <x:c r="H1333" s="85" t="str">
        <x:v>Diagnóstico e execução</x:v>
      </x:c>
    </x:row>
    <x:row r="1334">
      <x:c r="A1334" s="83" t="n">
        <x:v>1333</x:v>
      </x:c>
      <x:c r="B1334" s="84" t="n">
        <x:v>780</x:v>
      </x:c>
      <x:c r="C1334" s="84" t="n">
        <x:v>41</x:v>
      </x:c>
      <x:c r="D1334" s="89" t="n">
        <x:v>45711</x:v>
      </x:c>
      <x:c r="E1334" s="84" t="n">
        <x:v>0.5</x:v>
      </x:c>
      <x:c r="F1334" s="84" t="str">
        <x:v>Normal</x:v>
      </x:c>
      <x:c r="G1334" s="93" t="n">
        <x:v>25.29</x:v>
      </x:c>
      <x:c r="H1334" s="85" t="str">
        <x:v>Diagnóstico e execução</x:v>
      </x:c>
    </x:row>
    <x:row r="1335">
      <x:c r="A1335" s="83" t="n">
        <x:v>1334</x:v>
      </x:c>
      <x:c r="B1335" s="84" t="n">
        <x:v>781</x:v>
      </x:c>
      <x:c r="C1335" s="84" t="n">
        <x:v>10</x:v>
      </x:c>
      <x:c r="D1335" s="89" t="n">
        <x:v>45769</x:v>
      </x:c>
      <x:c r="E1335" s="84" t="n">
        <x:v>1.5</x:v>
      </x:c>
      <x:c r="F1335" s="84" t="str">
        <x:v>Normal</x:v>
      </x:c>
      <x:c r="G1335" s="93" t="n">
        <x:v>44.54</x:v>
      </x:c>
      <x:c r="H1335" s="85" t="str">
        <x:v>Diagnóstico e execução</x:v>
      </x:c>
    </x:row>
    <x:row r="1336">
      <x:c r="A1336" s="83" t="n">
        <x:v>1335</x:v>
      </x:c>
      <x:c r="B1336" s="84" t="n">
        <x:v>781</x:v>
      </x:c>
      <x:c r="C1336" s="84" t="n">
        <x:v>21</x:v>
      </x:c>
      <x:c r="D1336" s="89" t="n">
        <x:v>45769</x:v>
      </x:c>
      <x:c r="E1336" s="84" t="n">
        <x:v>1.7</x:v>
      </x:c>
      <x:c r="F1336" s="84" t="str">
        <x:v>Normal</x:v>
      </x:c>
      <x:c r="G1336" s="93" t="n">
        <x:v>104.43</x:v>
      </x:c>
      <x:c r="H1336" s="85" t="str">
        <x:v>Diagnóstico e execução</x:v>
      </x:c>
    </x:row>
    <x:row r="1337">
      <x:c r="A1337" s="83" t="n">
        <x:v>1336</x:v>
      </x:c>
      <x:c r="B1337" s="84" t="n">
        <x:v>782</x:v>
      </x:c>
      <x:c r="C1337" s="84" t="n">
        <x:v>13</x:v>
      </x:c>
      <x:c r="D1337" s="89" t="n">
        <x:v>45517</x:v>
      </x:c>
      <x:c r="E1337" s="84" t="n">
        <x:v>1.8</x:v>
      </x:c>
      <x:c r="F1337" s="84" t="str">
        <x:v>Normal</x:v>
      </x:c>
      <x:c r="G1337" s="93" t="n">
        <x:v>60.98</x:v>
      </x:c>
      <x:c r="H1337" s="85" t="str">
        <x:v>Diagnóstico e execução</x:v>
      </x:c>
    </x:row>
    <x:row r="1338">
      <x:c r="A1338" s="83" t="n">
        <x:v>1337</x:v>
      </x:c>
      <x:c r="B1338" s="84" t="n">
        <x:v>782</x:v>
      </x:c>
      <x:c r="C1338" s="84" t="n">
        <x:v>22</x:v>
      </x:c>
      <x:c r="D1338" s="89" t="n">
        <x:v>45517</x:v>
      </x:c>
      <x:c r="E1338" s="84" t="n">
        <x:v>4.4</x:v>
      </x:c>
      <x:c r="F1338" s="84" t="str">
        <x:v>Normal</x:v>
      </x:c>
      <x:c r="G1338" s="93" t="n">
        <x:v>169.22</x:v>
      </x:c>
      <x:c r="H1338" s="85" t="str">
        <x:v>Diagnóstico e execução</x:v>
      </x:c>
    </x:row>
    <x:row r="1339">
      <x:c r="A1339" s="83" t="n">
        <x:v>1338</x:v>
      </x:c>
      <x:c r="B1339" s="84" t="n">
        <x:v>782</x:v>
      </x:c>
      <x:c r="C1339" s="84" t="n">
        <x:v>34</x:v>
      </x:c>
      <x:c r="D1339" s="89" t="n">
        <x:v>45517</x:v>
      </x:c>
      <x:c r="E1339" s="84" t="n">
        <x:v>1.1</x:v>
      </x:c>
      <x:c r="F1339" s="84" t="str">
        <x:v>Normal</x:v>
      </x:c>
      <x:c r="G1339" s="93" t="n">
        <x:v>47.55</x:v>
      </x:c>
      <x:c r="H1339" s="85" t="str">
        <x:v>Diagnóstico e execução</x:v>
      </x:c>
    </x:row>
    <x:row r="1340">
      <x:c r="A1340" s="83" t="n">
        <x:v>1339</x:v>
      </x:c>
      <x:c r="B1340" s="84" t="n">
        <x:v>784</x:v>
      </x:c>
      <x:c r="C1340" s="84" t="n">
        <x:v>16</x:v>
      </x:c>
      <x:c r="D1340" s="89" t="n">
        <x:v>45009</x:v>
      </x:c>
      <x:c r="E1340" s="84" t="n">
        <x:v>2.1</x:v>
      </x:c>
      <x:c r="F1340" s="84" t="str">
        <x:v>Normal</x:v>
      </x:c>
      <x:c r="G1340" s="93" t="n">
        <x:v>85.09</x:v>
      </x:c>
      <x:c r="H1340" s="85" t="str">
        <x:v>Diagnóstico e execução</x:v>
      </x:c>
    </x:row>
    <x:row r="1341">
      <x:c r="A1341" s="83" t="n">
        <x:v>1340</x:v>
      </x:c>
      <x:c r="B1341" s="84" t="n">
        <x:v>785</x:v>
      </x:c>
      <x:c r="C1341" s="84" t="n">
        <x:v>29</x:v>
      </x:c>
      <x:c r="D1341" s="89" t="n">
        <x:v>45855</x:v>
      </x:c>
      <x:c r="E1341" s="84" t="n">
        <x:v>5.4</x:v>
      </x:c>
      <x:c r="F1341" s="84" t="str">
        <x:v>Normal</x:v>
      </x:c>
      <x:c r="G1341" s="93" t="n">
        <x:v>267.41</x:v>
      </x:c>
      <x:c r="H1341" s="85" t="str">
        <x:v>Diagnóstico e execução</x:v>
      </x:c>
    </x:row>
    <x:row r="1342">
      <x:c r="A1342" s="83" t="n">
        <x:v>1341</x:v>
      </x:c>
      <x:c r="B1342" s="84" t="n">
        <x:v>786</x:v>
      </x:c>
      <x:c r="C1342" s="84" t="n">
        <x:v>14</x:v>
      </x:c>
      <x:c r="D1342" s="89" t="n">
        <x:v>45588</x:v>
      </x:c>
      <x:c r="E1342" s="84" t="n">
        <x:v>4.6</x:v>
      </x:c>
      <x:c r="F1342" s="84" t="str">
        <x:v>Normal</x:v>
      </x:c>
      <x:c r="G1342" s="93" t="n">
        <x:v>260.64</x:v>
      </x:c>
      <x:c r="H1342" s="85" t="str">
        <x:v>Diagnóstico e execução</x:v>
      </x:c>
    </x:row>
    <x:row r="1343">
      <x:c r="A1343" s="83" t="n">
        <x:v>1342</x:v>
      </x:c>
      <x:c r="B1343" s="84" t="n">
        <x:v>786</x:v>
      </x:c>
      <x:c r="C1343" s="84" t="n">
        <x:v>21</x:v>
      </x:c>
      <x:c r="D1343" s="89" t="n">
        <x:v>45588</x:v>
      </x:c>
      <x:c r="E1343" s="84" t="n">
        <x:v>4.3</x:v>
      </x:c>
      <x:c r="F1343" s="84" t="str">
        <x:v>Normal</x:v>
      </x:c>
      <x:c r="G1343" s="93" t="n">
        <x:v>264.15</x:v>
      </x:c>
      <x:c r="H1343" s="85" t="str">
        <x:v>Diagnóstico e execução</x:v>
      </x:c>
    </x:row>
    <x:row r="1344">
      <x:c r="A1344" s="83" t="n">
        <x:v>1343</x:v>
      </x:c>
      <x:c r="B1344" s="84" t="n">
        <x:v>786</x:v>
      </x:c>
      <x:c r="C1344" s="84" t="n">
        <x:v>7</x:v>
      </x:c>
      <x:c r="D1344" s="89" t="n">
        <x:v>45588</x:v>
      </x:c>
      <x:c r="E1344" s="84" t="n">
        <x:v>4.6</x:v>
      </x:c>
      <x:c r="F1344" s="84" t="str">
        <x:v>Normal</x:v>
      </x:c>
      <x:c r="G1344" s="93" t="n">
        <x:v>267.77</x:v>
      </x:c>
      <x:c r="H1344" s="85" t="str">
        <x:v>Diagnóstico e execução</x:v>
      </x:c>
    </x:row>
    <x:row r="1345">
      <x:c r="A1345" s="83" t="n">
        <x:v>1344</x:v>
      </x:c>
      <x:c r="B1345" s="84" t="n">
        <x:v>788</x:v>
      </x:c>
      <x:c r="C1345" s="84" t="n">
        <x:v>25</x:v>
      </x:c>
      <x:c r="D1345" s="89" t="n">
        <x:v>45235</x:v>
      </x:c>
      <x:c r="E1345" s="84" t="n">
        <x:v>1.3</x:v>
      </x:c>
      <x:c r="F1345" s="84" t="str">
        <x:v>Normal</x:v>
      </x:c>
      <x:c r="G1345" s="93" t="n">
        <x:v>69.67</x:v>
      </x:c>
      <x:c r="H1345" s="85" t="str">
        <x:v>Diagnóstico e execução</x:v>
      </x:c>
    </x:row>
    <x:row r="1346">
      <x:c r="A1346" s="83" t="n">
        <x:v>1345</x:v>
      </x:c>
      <x:c r="B1346" s="84" t="n">
        <x:v>788</x:v>
      </x:c>
      <x:c r="C1346" s="84" t="n">
        <x:v>18</x:v>
      </x:c>
      <x:c r="D1346" s="89" t="n">
        <x:v>45235</x:v>
      </x:c>
      <x:c r="E1346" s="84" t="n">
        <x:v>7.8</x:v>
      </x:c>
      <x:c r="F1346" s="84" t="str">
        <x:v>Normal</x:v>
      </x:c>
      <x:c r="G1346" s="93" t="n">
        <x:v>492.1</x:v>
      </x:c>
      <x:c r="H1346" s="85" t="str">
        <x:v>Diagnóstico e execução</x:v>
      </x:c>
    </x:row>
    <x:row r="1347">
      <x:c r="A1347" s="83" t="n">
        <x:v>1346</x:v>
      </x:c>
      <x:c r="B1347" s="84" t="n">
        <x:v>788</x:v>
      </x:c>
      <x:c r="C1347" s="84" t="n">
        <x:v>33</x:v>
      </x:c>
      <x:c r="D1347" s="89" t="n">
        <x:v>45235</x:v>
      </x:c>
      <x:c r="E1347" s="84" t="n">
        <x:v>7</x:v>
      </x:c>
      <x:c r="F1347" s="84" t="str">
        <x:v>Normal</x:v>
      </x:c>
      <x:c r="G1347" s="93" t="n">
        <x:v>241.43</x:v>
      </x:c>
      <x:c r="H1347" s="85" t="str">
        <x:v>Diagnóstico e execução</x:v>
      </x:c>
    </x:row>
    <x:row r="1348">
      <x:c r="A1348" s="83" t="n">
        <x:v>1347</x:v>
      </x:c>
      <x:c r="B1348" s="84" t="n">
        <x:v>791</x:v>
      </x:c>
      <x:c r="C1348" s="84" t="n">
        <x:v>10</x:v>
      </x:c>
      <x:c r="D1348" s="89" t="n">
        <x:v>44955</x:v>
      </x:c>
      <x:c r="E1348" s="84" t="n">
        <x:v>3</x:v>
      </x:c>
      <x:c r="F1348" s="84" t="str">
        <x:v>Normal</x:v>
      </x:c>
      <x:c r="G1348" s="93" t="n">
        <x:v>89.07</x:v>
      </x:c>
      <x:c r="H1348" s="85" t="str">
        <x:v>Diagnóstico e execução</x:v>
      </x:c>
    </x:row>
    <x:row r="1349">
      <x:c r="A1349" s="83" t="n">
        <x:v>1348</x:v>
      </x:c>
      <x:c r="B1349" s="84" t="n">
        <x:v>791</x:v>
      </x:c>
      <x:c r="C1349" s="84" t="n">
        <x:v>44</x:v>
      </x:c>
      <x:c r="D1349" s="89" t="n">
        <x:v>44955</x:v>
      </x:c>
      <x:c r="E1349" s="84" t="n">
        <x:v>7.4</x:v>
      </x:c>
      <x:c r="F1349" s="84" t="str">
        <x:v>Normal</x:v>
      </x:c>
      <x:c r="G1349" s="93" t="n">
        <x:v>207.5</x:v>
      </x:c>
      <x:c r="H1349" s="85" t="str">
        <x:v>Diagnóstico e execução</x:v>
      </x:c>
    </x:row>
    <x:row r="1350">
      <x:c r="A1350" s="83" t="n">
        <x:v>1349</x:v>
      </x:c>
      <x:c r="B1350" s="84" t="n">
        <x:v>792</x:v>
      </x:c>
      <x:c r="C1350" s="84" t="n">
        <x:v>34</x:v>
      </x:c>
      <x:c r="D1350" s="89" t="n">
        <x:v>45080</x:v>
      </x:c>
      <x:c r="E1350" s="84" t="n">
        <x:v>4</x:v>
      </x:c>
      <x:c r="F1350" s="84" t="str">
        <x:v>Normal</x:v>
      </x:c>
      <x:c r="G1350" s="93" t="n">
        <x:v>172.92</x:v>
      </x:c>
      <x:c r="H1350" s="85" t="str">
        <x:v>Diagnóstico e execução</x:v>
      </x:c>
    </x:row>
    <x:row r="1351">
      <x:c r="A1351" s="83" t="n">
        <x:v>1350</x:v>
      </x:c>
      <x:c r="B1351" s="84" t="n">
        <x:v>792</x:v>
      </x:c>
      <x:c r="C1351" s="84" t="n">
        <x:v>33</x:v>
      </x:c>
      <x:c r="D1351" s="89" t="n">
        <x:v>45080</x:v>
      </x:c>
      <x:c r="E1351" s="84" t="n">
        <x:v>7.7</x:v>
      </x:c>
      <x:c r="F1351" s="84" t="str">
        <x:v>Normal</x:v>
      </x:c>
      <x:c r="G1351" s="93" t="n">
        <x:v>265.57</x:v>
      </x:c>
      <x:c r="H1351" s="85" t="str">
        <x:v>Diagnóstico e execução</x:v>
      </x:c>
    </x:row>
    <x:row r="1352">
      <x:c r="A1352" s="83" t="n">
        <x:v>1351</x:v>
      </x:c>
      <x:c r="B1352" s="84" t="n">
        <x:v>792</x:v>
      </x:c>
      <x:c r="C1352" s="84" t="n">
        <x:v>1</x:v>
      </x:c>
      <x:c r="D1352" s="89" t="n">
        <x:v>45080</x:v>
      </x:c>
      <x:c r="E1352" s="84" t="n">
        <x:v>6.8</x:v>
      </x:c>
      <x:c r="F1352" s="84" t="str">
        <x:v>Normal</x:v>
      </x:c>
      <x:c r="G1352" s="93" t="n">
        <x:v>240.52</x:v>
      </x:c>
      <x:c r="H1352" s="85" t="str">
        <x:v>Diagnóstico e execução</x:v>
      </x:c>
    </x:row>
    <x:row r="1353">
      <x:c r="A1353" s="83" t="n">
        <x:v>1352</x:v>
      </x:c>
      <x:c r="B1353" s="84" t="n">
        <x:v>793</x:v>
      </x:c>
      <x:c r="C1353" s="84" t="n">
        <x:v>40</x:v>
      </x:c>
      <x:c r="D1353" s="89" t="n">
        <x:v>45210</x:v>
      </x:c>
      <x:c r="E1353" s="84" t="n">
        <x:v>2.1</x:v>
      </x:c>
      <x:c r="F1353" s="84" t="str">
        <x:v>Normal</x:v>
      </x:c>
      <x:c r="G1353" s="93" t="n">
        <x:v>103.78</x:v>
      </x:c>
      <x:c r="H1353" s="85" t="str">
        <x:v>Diagnóstico e execução</x:v>
      </x:c>
    </x:row>
    <x:row r="1354">
      <x:c r="A1354" s="83" t="n">
        <x:v>1353</x:v>
      </x:c>
      <x:c r="B1354" s="84" t="n">
        <x:v>793</x:v>
      </x:c>
      <x:c r="C1354" s="84" t="n">
        <x:v>29</x:v>
      </x:c>
      <x:c r="D1354" s="89" t="n">
        <x:v>45210</x:v>
      </x:c>
      <x:c r="E1354" s="84" t="n">
        <x:v>1.3</x:v>
      </x:c>
      <x:c r="F1354" s="84" t="str">
        <x:v>Normal</x:v>
      </x:c>
      <x:c r="G1354" s="93" t="n">
        <x:v>64.38</x:v>
      </x:c>
      <x:c r="H1354" s="85" t="str">
        <x:v>Diagnóstico e execução</x:v>
      </x:c>
    </x:row>
    <x:row r="1355">
      <x:c r="A1355" s="83" t="n">
        <x:v>1354</x:v>
      </x:c>
      <x:c r="B1355" s="84" t="n">
        <x:v>794</x:v>
      </x:c>
      <x:c r="C1355" s="84" t="n">
        <x:v>39</x:v>
      </x:c>
      <x:c r="D1355" s="89" t="n">
        <x:v>45006</x:v>
      </x:c>
      <x:c r="E1355" s="84" t="n">
        <x:v>5.3</x:v>
      </x:c>
      <x:c r="F1355" s="84" t="str">
        <x:v>Normal</x:v>
      </x:c>
      <x:c r="G1355" s="93" t="n">
        <x:v>306.87</x:v>
      </x:c>
      <x:c r="H1355" s="85" t="str">
        <x:v>Diagnóstico e execução</x:v>
      </x:c>
    </x:row>
    <x:row r="1356">
      <x:c r="A1356" s="83" t="n">
        <x:v>1355</x:v>
      </x:c>
      <x:c r="B1356" s="84" t="n">
        <x:v>794</x:v>
      </x:c>
      <x:c r="C1356" s="84" t="n">
        <x:v>37</x:v>
      </x:c>
      <x:c r="D1356" s="89" t="n">
        <x:v>45006</x:v>
      </x:c>
      <x:c r="E1356" s="84" t="n">
        <x:v>3.5</x:v>
      </x:c>
      <x:c r="F1356" s="84" t="str">
        <x:v>Normal</x:v>
      </x:c>
      <x:c r="G1356" s="93" t="n">
        <x:v>206.39</x:v>
      </x:c>
      <x:c r="H1356" s="85" t="str">
        <x:v>Diagnóstico e execução</x:v>
      </x:c>
    </x:row>
    <x:row r="1357">
      <x:c r="A1357" s="83" t="n">
        <x:v>1356</x:v>
      </x:c>
      <x:c r="B1357" s="84" t="n">
        <x:v>795</x:v>
      </x:c>
      <x:c r="C1357" s="84" t="n">
        <x:v>17</x:v>
      </x:c>
      <x:c r="D1357" s="89" t="n">
        <x:v>45554</x:v>
      </x:c>
      <x:c r="E1357" s="84" t="n">
        <x:v>6</x:v>
      </x:c>
      <x:c r="F1357" s="84" t="str">
        <x:v>Normal</x:v>
      </x:c>
      <x:c r="G1357" s="93" t="n">
        <x:v>334.68</x:v>
      </x:c>
      <x:c r="H1357" s="85" t="str">
        <x:v>Diagnóstico e execução</x:v>
      </x:c>
    </x:row>
    <x:row r="1358">
      <x:c r="A1358" s="83" t="n">
        <x:v>1357</x:v>
      </x:c>
      <x:c r="B1358" s="84" t="n">
        <x:v>795</x:v>
      </x:c>
      <x:c r="C1358" s="84" t="n">
        <x:v>30</x:v>
      </x:c>
      <x:c r="D1358" s="89" t="n">
        <x:v>45554</x:v>
      </x:c>
      <x:c r="E1358" s="84" t="n">
        <x:v>2.2</x:v>
      </x:c>
      <x:c r="F1358" s="84" t="str">
        <x:v>Normal</x:v>
      </x:c>
      <x:c r="G1358" s="93" t="n">
        <x:v>91.1</x:v>
      </x:c>
      <x:c r="H1358" s="85" t="str">
        <x:v>Diagnóstico e execução</x:v>
      </x:c>
    </x:row>
    <x:row r="1359">
      <x:c r="A1359" s="83" t="n">
        <x:v>1358</x:v>
      </x:c>
      <x:c r="B1359" s="84" t="n">
        <x:v>796</x:v>
      </x:c>
      <x:c r="C1359" s="84" t="n">
        <x:v>7</x:v>
      </x:c>
      <x:c r="D1359" s="89" t="n">
        <x:v>44942</x:v>
      </x:c>
      <x:c r="E1359" s="84" t="n">
        <x:v>4.3</x:v>
      </x:c>
      <x:c r="F1359" s="84" t="str">
        <x:v>Normal</x:v>
      </x:c>
      <x:c r="G1359" s="93" t="n">
        <x:v>250.3</x:v>
      </x:c>
      <x:c r="H1359" s="85" t="str">
        <x:v>Diagnóstico e execução</x:v>
      </x:c>
    </x:row>
    <x:row r="1360">
      <x:c r="A1360" s="83" t="n">
        <x:v>1359</x:v>
      </x:c>
      <x:c r="B1360" s="84" t="n">
        <x:v>796</x:v>
      </x:c>
      <x:c r="C1360" s="84" t="n">
        <x:v>27</x:v>
      </x:c>
      <x:c r="D1360" s="89" t="n">
        <x:v>44942</x:v>
      </x:c>
      <x:c r="E1360" s="84" t="n">
        <x:v>6.6</x:v>
      </x:c>
      <x:c r="F1360" s="84" t="str">
        <x:v>Normal</x:v>
      </x:c>
      <x:c r="G1360" s="93" t="n">
        <x:v>402.53</x:v>
      </x:c>
      <x:c r="H1360" s="85" t="str">
        <x:v>Diagnóstico e execução</x:v>
      </x:c>
    </x:row>
    <x:row r="1361">
      <x:c r="A1361" s="83" t="n">
        <x:v>1360</x:v>
      </x:c>
      <x:c r="B1361" s="84" t="n">
        <x:v>796</x:v>
      </x:c>
      <x:c r="C1361" s="84" t="n">
        <x:v>22</x:v>
      </x:c>
      <x:c r="D1361" s="89" t="n">
        <x:v>44942</x:v>
      </x:c>
      <x:c r="E1361" s="84" t="n">
        <x:v>5.7</x:v>
      </x:c>
      <x:c r="F1361" s="84" t="str">
        <x:v>Normal</x:v>
      </x:c>
      <x:c r="G1361" s="93" t="n">
        <x:v>219.22</x:v>
      </x:c>
      <x:c r="H1361" s="85" t="str">
        <x:v>Diagnóstico e execução</x:v>
      </x:c>
    </x:row>
    <x:row r="1362">
      <x:c r="A1362" s="83" t="n">
        <x:v>1361</x:v>
      </x:c>
      <x:c r="B1362" s="84" t="n">
        <x:v>797</x:v>
      </x:c>
      <x:c r="C1362" s="84" t="n">
        <x:v>24</x:v>
      </x:c>
      <x:c r="D1362" s="89" t="n">
        <x:v>45577</x:v>
      </x:c>
      <x:c r="E1362" s="84" t="n">
        <x:v>4.4</x:v>
      </x:c>
      <x:c r="F1362" s="84" t="str">
        <x:v>Normal</x:v>
      </x:c>
      <x:c r="G1362" s="93" t="n">
        <x:v>260.66</x:v>
      </x:c>
      <x:c r="H1362" s="85" t="str">
        <x:v>Diagnóstico e execução</x:v>
      </x:c>
    </x:row>
    <x:row r="1363">
      <x:c r="A1363" s="83" t="n">
        <x:v>1362</x:v>
      </x:c>
      <x:c r="B1363" s="84" t="n">
        <x:v>797</x:v>
      </x:c>
      <x:c r="C1363" s="84" t="n">
        <x:v>40</x:v>
      </x:c>
      <x:c r="D1363" s="89" t="n">
        <x:v>45577</x:v>
      </x:c>
      <x:c r="E1363" s="84" t="n">
        <x:v>2.3</x:v>
      </x:c>
      <x:c r="F1363" s="84" t="str">
        <x:v>Normal</x:v>
      </x:c>
      <x:c r="G1363" s="93" t="n">
        <x:v>113.67</x:v>
      </x:c>
      <x:c r="H1363" s="85" t="str">
        <x:v>Diagnóstico e execução</x:v>
      </x:c>
    </x:row>
    <x:row r="1364">
      <x:c r="A1364" s="83" t="n">
        <x:v>1363</x:v>
      </x:c>
      <x:c r="B1364" s="84" t="n">
        <x:v>798</x:v>
      </x:c>
      <x:c r="C1364" s="84" t="n">
        <x:v>12</x:v>
      </x:c>
      <x:c r="D1364" s="89" t="n">
        <x:v>45981</x:v>
      </x:c>
      <x:c r="E1364" s="84" t="n">
        <x:v>1.1</x:v>
      </x:c>
      <x:c r="F1364" s="84" t="str">
        <x:v>Normal</x:v>
      </x:c>
      <x:c r="G1364" s="93" t="n">
        <x:v>37.95</x:v>
      </x:c>
      <x:c r="H1364" s="85" t="str">
        <x:v>Diagnóstico e execução</x:v>
      </x:c>
    </x:row>
    <x:row r="1365">
      <x:c r="A1365" s="83" t="n">
        <x:v>1364</x:v>
      </x:c>
      <x:c r="B1365" s="84" t="n">
        <x:v>799</x:v>
      </x:c>
      <x:c r="C1365" s="84" t="n">
        <x:v>38</x:v>
      </x:c>
      <x:c r="D1365" s="89" t="n">
        <x:v>45039</x:v>
      </x:c>
      <x:c r="E1365" s="84" t="n">
        <x:v>6.7</x:v>
      </x:c>
      <x:c r="F1365" s="84" t="str">
        <x:v>Normal</x:v>
      </x:c>
      <x:c r="G1365" s="93" t="n">
        <x:v>225.59</x:v>
      </x:c>
      <x:c r="H1365" s="85" t="str">
        <x:v>Diagnóstico e execução</x:v>
      </x:c>
    </x:row>
    <x:row r="1366">
      <x:c r="A1366" s="83" t="n">
        <x:v>1365</x:v>
      </x:c>
      <x:c r="B1366" s="84" t="n">
        <x:v>799</x:v>
      </x:c>
      <x:c r="C1366" s="84" t="n">
        <x:v>29</x:v>
      </x:c>
      <x:c r="D1366" s="89" t="n">
        <x:v>45039</x:v>
      </x:c>
      <x:c r="E1366" s="84" t="n">
        <x:v>2.3</x:v>
      </x:c>
      <x:c r="F1366" s="84" t="str">
        <x:v>Normal</x:v>
      </x:c>
      <x:c r="G1366" s="93" t="n">
        <x:v>113.9</x:v>
      </x:c>
      <x:c r="H1366" s="85" t="str">
        <x:v>Diagnóstico e execução</x:v>
      </x:c>
    </x:row>
    <x:row r="1367">
      <x:c r="A1367" s="83" t="n">
        <x:v>1366</x:v>
      </x:c>
      <x:c r="B1367" s="84" t="n">
        <x:v>800</x:v>
      </x:c>
      <x:c r="C1367" s="84" t="n">
        <x:v>14</x:v>
      </x:c>
      <x:c r="D1367" s="89" t="n">
        <x:v>44979</x:v>
      </x:c>
      <x:c r="E1367" s="84" t="n">
        <x:v>2.8</x:v>
      </x:c>
      <x:c r="F1367" s="84" t="str">
        <x:v>Normal</x:v>
      </x:c>
      <x:c r="G1367" s="93" t="n">
        <x:v>158.65</x:v>
      </x:c>
      <x:c r="H1367" s="85" t="str">
        <x:v>Diagnóstico e execução</x:v>
      </x:c>
    </x:row>
    <x:row r="1368">
      <x:c r="A1368" s="83" t="n">
        <x:v>1367</x:v>
      </x:c>
      <x:c r="B1368" s="84" t="n">
        <x:v>801</x:v>
      </x:c>
      <x:c r="C1368" s="84" t="n">
        <x:v>44</x:v>
      </x:c>
      <x:c r="D1368" s="89" t="n">
        <x:v>45062</x:v>
      </x:c>
      <x:c r="E1368" s="84" t="n">
        <x:v>5.7</x:v>
      </x:c>
      <x:c r="F1368" s="84" t="str">
        <x:v>Normal</x:v>
      </x:c>
      <x:c r="G1368" s="93" t="n">
        <x:v>159.83</x:v>
      </x:c>
      <x:c r="H1368" s="85" t="str">
        <x:v>Diagnóstico e execução</x:v>
      </x:c>
    </x:row>
    <x:row r="1369">
      <x:c r="A1369" s="83" t="n">
        <x:v>1368</x:v>
      </x:c>
      <x:c r="B1369" s="84" t="n">
        <x:v>801</x:v>
      </x:c>
      <x:c r="C1369" s="84" t="n">
        <x:v>43</x:v>
      </x:c>
      <x:c r="D1369" s="89" t="n">
        <x:v>45062</x:v>
      </x:c>
      <x:c r="E1369" s="84" t="n">
        <x:v>4.3</x:v>
      </x:c>
      <x:c r="F1369" s="84" t="str">
        <x:v>Normal</x:v>
      </x:c>
      <x:c r="G1369" s="93" t="n">
        <x:v>235.04</x:v>
      </x:c>
      <x:c r="H1369" s="85" t="str">
        <x:v>Diagnóstico e execução</x:v>
      </x:c>
    </x:row>
    <x:row r="1370">
      <x:c r="A1370" s="83" t="n">
        <x:v>1369</x:v>
      </x:c>
      <x:c r="B1370" s="84" t="n">
        <x:v>802</x:v>
      </x:c>
      <x:c r="C1370" s="84" t="n">
        <x:v>22</x:v>
      </x:c>
      <x:c r="D1370" s="89" t="n">
        <x:v>45603</x:v>
      </x:c>
      <x:c r="E1370" s="84" t="n">
        <x:v>6.5</x:v>
      </x:c>
      <x:c r="F1370" s="84" t="str">
        <x:v>Normal</x:v>
      </x:c>
      <x:c r="G1370" s="93" t="n">
        <x:v>249.99</x:v>
      </x:c>
      <x:c r="H1370" s="85" t="str">
        <x:v>Diagnóstico e execução</x:v>
      </x:c>
    </x:row>
    <x:row r="1371">
      <x:c r="A1371" s="83" t="n">
        <x:v>1370</x:v>
      </x:c>
      <x:c r="B1371" s="84" t="n">
        <x:v>802</x:v>
      </x:c>
      <x:c r="C1371" s="84" t="n">
        <x:v>9</x:v>
      </x:c>
      <x:c r="D1371" s="89" t="n">
        <x:v>45603</x:v>
      </x:c>
      <x:c r="E1371" s="84" t="n">
        <x:v>3.5</x:v>
      </x:c>
      <x:c r="F1371" s="84" t="str">
        <x:v>Normal</x:v>
      </x:c>
      <x:c r="G1371" s="93" t="n">
        <x:v>184.34</x:v>
      </x:c>
      <x:c r="H1371" s="85" t="str">
        <x:v>Diagnóstico e execução</x:v>
      </x:c>
    </x:row>
    <x:row r="1372">
      <x:c r="A1372" s="83" t="n">
        <x:v>1371</x:v>
      </x:c>
      <x:c r="B1372" s="84" t="n">
        <x:v>804</x:v>
      </x:c>
      <x:c r="C1372" s="84" t="n">
        <x:v>12</x:v>
      </x:c>
      <x:c r="D1372" s="89" t="n">
        <x:v>45599</x:v>
      </x:c>
      <x:c r="E1372" s="84" t="n">
        <x:v>4.8</x:v>
      </x:c>
      <x:c r="F1372" s="84" t="str">
        <x:v>Normal</x:v>
      </x:c>
      <x:c r="G1372" s="93" t="n">
        <x:v>165.6</x:v>
      </x:c>
      <x:c r="H1372" s="85" t="str">
        <x:v>Diagnóstico e execução</x:v>
      </x:c>
    </x:row>
    <x:row r="1373">
      <x:c r="A1373" s="83" t="n">
        <x:v>1372</x:v>
      </x:c>
      <x:c r="B1373" s="84" t="n">
        <x:v>804</x:v>
      </x:c>
      <x:c r="C1373" s="84" t="n">
        <x:v>8</x:v>
      </x:c>
      <x:c r="D1373" s="89" t="n">
        <x:v>45599</x:v>
      </x:c>
      <x:c r="E1373" s="84" t="n">
        <x:v>7.2</x:v>
      </x:c>
      <x:c r="F1373" s="84" t="str">
        <x:v>Normal</x:v>
      </x:c>
      <x:c r="G1373" s="93" t="n">
        <x:v>334.8</x:v>
      </x:c>
      <x:c r="H1373" s="85" t="str">
        <x:v>Diagnóstico e execução</x:v>
      </x:c>
    </x:row>
    <x:row r="1374">
      <x:c r="A1374" s="83" t="n">
        <x:v>1373</x:v>
      </x:c>
      <x:c r="B1374" s="84" t="n">
        <x:v>804</x:v>
      </x:c>
      <x:c r="C1374" s="84" t="n">
        <x:v>23</x:v>
      </x:c>
      <x:c r="D1374" s="89" t="n">
        <x:v>45599</x:v>
      </x:c>
      <x:c r="E1374" s="84" t="n">
        <x:v>4.6</x:v>
      </x:c>
      <x:c r="F1374" s="84" t="str">
        <x:v>Normal</x:v>
      </x:c>
      <x:c r="G1374" s="93" t="n">
        <x:v>198.31</x:v>
      </x:c>
      <x:c r="H1374" s="85" t="str">
        <x:v>Diagnóstico e execução</x:v>
      </x:c>
    </x:row>
    <x:row r="1375">
      <x:c r="A1375" s="83" t="n">
        <x:v>1374</x:v>
      </x:c>
      <x:c r="B1375" s="84" t="n">
        <x:v>805</x:v>
      </x:c>
      <x:c r="C1375" s="84" t="n">
        <x:v>9</x:v>
      </x:c>
      <x:c r="D1375" s="89" t="n">
        <x:v>45460</x:v>
      </x:c>
      <x:c r="E1375" s="84" t="n">
        <x:v>2.6</x:v>
      </x:c>
      <x:c r="F1375" s="84" t="str">
        <x:v>Normal</x:v>
      </x:c>
      <x:c r="G1375" s="93" t="n">
        <x:v>136.94</x:v>
      </x:c>
      <x:c r="H1375" s="85" t="str">
        <x:v>Diagnóstico e execução</x:v>
      </x:c>
    </x:row>
    <x:row r="1376">
      <x:c r="A1376" s="83" t="n">
        <x:v>1375</x:v>
      </x:c>
      <x:c r="B1376" s="84" t="n">
        <x:v>805</x:v>
      </x:c>
      <x:c r="C1376" s="84" t="n">
        <x:v>45</x:v>
      </x:c>
      <x:c r="D1376" s="89" t="n">
        <x:v>45460</x:v>
      </x:c>
      <x:c r="E1376" s="84" t="n">
        <x:v>7.6</x:v>
      </x:c>
      <x:c r="F1376" s="84" t="str">
        <x:v>Normal</x:v>
      </x:c>
      <x:c r="G1376" s="93" t="n">
        <x:v>407.13</x:v>
      </x:c>
      <x:c r="H1376" s="85" t="str">
        <x:v>Diagnóstico e execução</x:v>
      </x:c>
    </x:row>
    <x:row r="1377">
      <x:c r="A1377" s="83" t="n">
        <x:v>1376</x:v>
      </x:c>
      <x:c r="B1377" s="84" t="n">
        <x:v>806</x:v>
      </x:c>
      <x:c r="C1377" s="84" t="n">
        <x:v>21</x:v>
      </x:c>
      <x:c r="D1377" s="89" t="n">
        <x:v>45240</x:v>
      </x:c>
      <x:c r="E1377" s="84" t="n">
        <x:v>2.6</x:v>
      </x:c>
      <x:c r="F1377" s="84" t="str">
        <x:v>Normal</x:v>
      </x:c>
      <x:c r="G1377" s="93" t="n">
        <x:v>159.72</x:v>
      </x:c>
      <x:c r="H1377" s="85" t="str">
        <x:v>Diagnóstico e execução</x:v>
      </x:c>
    </x:row>
    <x:row r="1378">
      <x:c r="A1378" s="83" t="n">
        <x:v>1377</x:v>
      </x:c>
      <x:c r="B1378" s="84" t="n">
        <x:v>806</x:v>
      </x:c>
      <x:c r="C1378" s="84" t="n">
        <x:v>41</x:v>
      </x:c>
      <x:c r="D1378" s="89" t="n">
        <x:v>45240</x:v>
      </x:c>
      <x:c r="E1378" s="84" t="n">
        <x:v>6.4</x:v>
      </x:c>
      <x:c r="F1378" s="84" t="str">
        <x:v>Normal</x:v>
      </x:c>
      <x:c r="G1378" s="93" t="n">
        <x:v>323.71</x:v>
      </x:c>
      <x:c r="H1378" s="85" t="str">
        <x:v>Diagnóstico e execução</x:v>
      </x:c>
    </x:row>
    <x:row r="1379">
      <x:c r="A1379" s="83" t="n">
        <x:v>1378</x:v>
      </x:c>
      <x:c r="B1379" s="84" t="n">
        <x:v>806</x:v>
      </x:c>
      <x:c r="C1379" s="84" t="n">
        <x:v>13</x:v>
      </x:c>
      <x:c r="D1379" s="89" t="n">
        <x:v>45240</x:v>
      </x:c>
      <x:c r="E1379" s="84" t="n">
        <x:v>4.9</x:v>
      </x:c>
      <x:c r="F1379" s="84" t="str">
        <x:v>Normal</x:v>
      </x:c>
      <x:c r="G1379" s="93" t="n">
        <x:v>166.01</x:v>
      </x:c>
      <x:c r="H1379" s="85" t="str">
        <x:v>Diagnóstico e execução</x:v>
      </x:c>
    </x:row>
    <x:row r="1380">
      <x:c r="A1380" s="83" t="n">
        <x:v>1379</x:v>
      </x:c>
      <x:c r="B1380" s="84" t="n">
        <x:v>807</x:v>
      </x:c>
      <x:c r="C1380" s="84" t="n">
        <x:v>10</x:v>
      </x:c>
      <x:c r="D1380" s="89" t="n">
        <x:v>45660</x:v>
      </x:c>
      <x:c r="E1380" s="84" t="n">
        <x:v>0.9</x:v>
      </x:c>
      <x:c r="F1380" s="84" t="str">
        <x:v>Normal</x:v>
      </x:c>
      <x:c r="G1380" s="93" t="n">
        <x:v>26.72</x:v>
      </x:c>
      <x:c r="H1380" s="85" t="str">
        <x:v>Diagnóstico e execução</x:v>
      </x:c>
    </x:row>
    <x:row r="1381">
      <x:c r="A1381" s="83" t="n">
        <x:v>1380</x:v>
      </x:c>
      <x:c r="B1381" s="84" t="n">
        <x:v>807</x:v>
      </x:c>
      <x:c r="C1381" s="84" t="n">
        <x:v>26</x:v>
      </x:c>
      <x:c r="D1381" s="89" t="n">
        <x:v>45660</x:v>
      </x:c>
      <x:c r="E1381" s="84" t="n">
        <x:v>6.6</x:v>
      </x:c>
      <x:c r="F1381" s="84" t="str">
        <x:v>Normal</x:v>
      </x:c>
      <x:c r="G1381" s="93" t="n">
        <x:v>258.19</x:v>
      </x:c>
      <x:c r="H1381" s="85" t="str">
        <x:v>Diagnóstico e execução</x:v>
      </x:c>
    </x:row>
    <x:row r="1382">
      <x:c r="A1382" s="83" t="n">
        <x:v>1381</x:v>
      </x:c>
      <x:c r="B1382" s="84" t="n">
        <x:v>807</x:v>
      </x:c>
      <x:c r="C1382" s="84" t="n">
        <x:v>33</x:v>
      </x:c>
      <x:c r="D1382" s="89" t="n">
        <x:v>45660</x:v>
      </x:c>
      <x:c r="E1382" s="84" t="n">
        <x:v>1.5</x:v>
      </x:c>
      <x:c r="F1382" s="84" t="str">
        <x:v>Normal</x:v>
      </x:c>
      <x:c r="G1382" s="93" t="n">
        <x:v>51.73</x:v>
      </x:c>
      <x:c r="H1382" s="85" t="str">
        <x:v>Diagnóstico e execução</x:v>
      </x:c>
    </x:row>
    <x:row r="1383">
      <x:c r="A1383" s="83" t="n">
        <x:v>1382</x:v>
      </x:c>
      <x:c r="B1383" s="84" t="n">
        <x:v>808</x:v>
      </x:c>
      <x:c r="C1383" s="84" t="n">
        <x:v>13</x:v>
      </x:c>
      <x:c r="D1383" s="89" t="n">
        <x:v>45843</x:v>
      </x:c>
      <x:c r="E1383" s="84" t="n">
        <x:v>4.2</x:v>
      </x:c>
      <x:c r="F1383" s="84" t="str">
        <x:v>Normal</x:v>
      </x:c>
      <x:c r="G1383" s="93" t="n">
        <x:v>142.3</x:v>
      </x:c>
      <x:c r="H1383" s="85" t="str">
        <x:v>Diagnóstico e execução</x:v>
      </x:c>
    </x:row>
    <x:row r="1384">
      <x:c r="A1384" s="83" t="n">
        <x:v>1383</x:v>
      </x:c>
      <x:c r="B1384" s="84" t="n">
        <x:v>811</x:v>
      </x:c>
      <x:c r="C1384" s="84" t="n">
        <x:v>45</x:v>
      </x:c>
      <x:c r="D1384" s="89" t="n">
        <x:v>45690</x:v>
      </x:c>
      <x:c r="E1384" s="84" t="n">
        <x:v>7.3</x:v>
      </x:c>
      <x:c r="F1384" s="84" t="str">
        <x:v>Normal</x:v>
      </x:c>
      <x:c r="G1384" s="93" t="n">
        <x:v>391.06</x:v>
      </x:c>
      <x:c r="H1384" s="85" t="str">
        <x:v>Diagnóstico e execução</x:v>
      </x:c>
    </x:row>
    <x:row r="1385">
      <x:c r="A1385" s="83" t="n">
        <x:v>1384</x:v>
      </x:c>
      <x:c r="B1385" s="84" t="n">
        <x:v>811</x:v>
      </x:c>
      <x:c r="C1385" s="84" t="n">
        <x:v>43</x:v>
      </x:c>
      <x:c r="D1385" s="89" t="n">
        <x:v>45690</x:v>
      </x:c>
      <x:c r="E1385" s="84" t="n">
        <x:v>3.6</x:v>
      </x:c>
      <x:c r="F1385" s="84" t="str">
        <x:v>Normal</x:v>
      </x:c>
      <x:c r="G1385" s="93" t="n">
        <x:v>196.78</x:v>
      </x:c>
      <x:c r="H1385" s="85" t="str">
        <x:v>Diagnóstico e execução</x:v>
      </x:c>
    </x:row>
    <x:row r="1386">
      <x:c r="A1386" s="83" t="n">
        <x:v>1385</x:v>
      </x:c>
      <x:c r="B1386" s="84" t="n">
        <x:v>812</x:v>
      </x:c>
      <x:c r="C1386" s="84" t="n">
        <x:v>21</x:v>
      </x:c>
      <x:c r="D1386" s="89" t="n">
        <x:v>45752</x:v>
      </x:c>
      <x:c r="E1386" s="84" t="n">
        <x:v>4.9</x:v>
      </x:c>
      <x:c r="F1386" s="84" t="str">
        <x:v>Normal</x:v>
      </x:c>
      <x:c r="G1386" s="93" t="n">
        <x:v>301.01</x:v>
      </x:c>
      <x:c r="H1386" s="85" t="str">
        <x:v>Diagnóstico e execução</x:v>
      </x:c>
    </x:row>
    <x:row r="1387">
      <x:c r="A1387" s="83" t="n">
        <x:v>1386</x:v>
      </x:c>
      <x:c r="B1387" s="84" t="n">
        <x:v>814</x:v>
      </x:c>
      <x:c r="C1387" s="84" t="n">
        <x:v>40</x:v>
      </x:c>
      <x:c r="D1387" s="89" t="n">
        <x:v>46010</x:v>
      </x:c>
      <x:c r="E1387" s="84" t="n">
        <x:v>1.8</x:v>
      </x:c>
      <x:c r="F1387" s="84" t="str">
        <x:v>Normal</x:v>
      </x:c>
      <x:c r="G1387" s="93" t="n">
        <x:v>88.96</x:v>
      </x:c>
      <x:c r="H1387" s="85" t="str">
        <x:v>Diagnóstico e execução</x:v>
      </x:c>
    </x:row>
    <x:row r="1388">
      <x:c r="A1388" s="83" t="n">
        <x:v>1387</x:v>
      </x:c>
      <x:c r="B1388" s="84" t="n">
        <x:v>814</x:v>
      </x:c>
      <x:c r="C1388" s="84" t="n">
        <x:v>35</x:v>
      </x:c>
      <x:c r="D1388" s="89" t="n">
        <x:v>46010</x:v>
      </x:c>
      <x:c r="E1388" s="84" t="n">
        <x:v>1.5</x:v>
      </x:c>
      <x:c r="F1388" s="84" t="str">
        <x:v>Normal</x:v>
      </x:c>
      <x:c r="G1388" s="93" t="n">
        <x:v>73.78</x:v>
      </x:c>
      <x:c r="H1388" s="85" t="str">
        <x:v>Diagnóstico e execução</x:v>
      </x:c>
    </x:row>
    <x:row r="1389">
      <x:c r="A1389" s="83" t="n">
        <x:v>1388</x:v>
      </x:c>
      <x:c r="B1389" s="84" t="n">
        <x:v>814</x:v>
      </x:c>
      <x:c r="C1389" s="84" t="n">
        <x:v>28</x:v>
      </x:c>
      <x:c r="D1389" s="89" t="n">
        <x:v>46010</x:v>
      </x:c>
      <x:c r="E1389" s="84" t="n">
        <x:v>1.9</x:v>
      </x:c>
      <x:c r="F1389" s="84" t="str">
        <x:v>Normal</x:v>
      </x:c>
      <x:c r="G1389" s="93" t="n">
        <x:v>71.48</x:v>
      </x:c>
      <x:c r="H1389" s="85" t="str">
        <x:v>Diagnóstico e execução</x:v>
      </x:c>
    </x:row>
    <x:row r="1390">
      <x:c r="A1390" s="83" t="n">
        <x:v>1389</x:v>
      </x:c>
      <x:c r="B1390" s="84" t="n">
        <x:v>815</x:v>
      </x:c>
      <x:c r="C1390" s="84" t="n">
        <x:v>2</x:v>
      </x:c>
      <x:c r="D1390" s="89" t="n">
        <x:v>45425</x:v>
      </x:c>
      <x:c r="E1390" s="84" t="n">
        <x:v>2.9</x:v>
      </x:c>
      <x:c r="F1390" s="84" t="str">
        <x:v>Normal</x:v>
      </x:c>
      <x:c r="G1390" s="93" t="n">
        <x:v>108.05</x:v>
      </x:c>
      <x:c r="H1390" s="85" t="str">
        <x:v>Diagnóstico e execução</x:v>
      </x:c>
    </x:row>
    <x:row r="1391">
      <x:c r="A1391" s="83" t="n">
        <x:v>1390</x:v>
      </x:c>
      <x:c r="B1391" s="84" t="n">
        <x:v>816</x:v>
      </x:c>
      <x:c r="C1391" s="84" t="n">
        <x:v>38</x:v>
      </x:c>
      <x:c r="D1391" s="89" t="n">
        <x:v>45015</x:v>
      </x:c>
      <x:c r="E1391" s="84" t="n">
        <x:v>3.5</x:v>
      </x:c>
      <x:c r="F1391" s="84" t="str">
        <x:v>Normal</x:v>
      </x:c>
      <x:c r="G1391" s="93" t="n">
        <x:v>117.84</x:v>
      </x:c>
      <x:c r="H1391" s="85" t="str">
        <x:v>Diagnóstico e execução</x:v>
      </x:c>
    </x:row>
    <x:row r="1392">
      <x:c r="A1392" s="83" t="n">
        <x:v>1391</x:v>
      </x:c>
      <x:c r="B1392" s="84" t="n">
        <x:v>817</x:v>
      </x:c>
      <x:c r="C1392" s="84" t="n">
        <x:v>34</x:v>
      </x:c>
      <x:c r="D1392" s="89" t="n">
        <x:v>45639</x:v>
      </x:c>
      <x:c r="E1392" s="84" t="n">
        <x:v>7.4</x:v>
      </x:c>
      <x:c r="F1392" s="84" t="str">
        <x:v>Normal</x:v>
      </x:c>
      <x:c r="G1392" s="93" t="n">
        <x:v>319.9</x:v>
      </x:c>
      <x:c r="H1392" s="85" t="str">
        <x:v>Diagnóstico e execução</x:v>
      </x:c>
    </x:row>
    <x:row r="1393">
      <x:c r="A1393" s="83" t="n">
        <x:v>1392</x:v>
      </x:c>
      <x:c r="B1393" s="84" t="n">
        <x:v>818</x:v>
      </x:c>
      <x:c r="C1393" s="84" t="n">
        <x:v>44</x:v>
      </x:c>
      <x:c r="D1393" s="89" t="n">
        <x:v>45148</x:v>
      </x:c>
      <x:c r="E1393" s="84" t="n">
        <x:v>4.5</x:v>
      </x:c>
      <x:c r="F1393" s="84" t="str">
        <x:v>Normal</x:v>
      </x:c>
      <x:c r="G1393" s="93" t="n">
        <x:v>126.18</x:v>
      </x:c>
      <x:c r="H1393" s="85" t="str">
        <x:v>Diagnóstico e execução</x:v>
      </x:c>
    </x:row>
    <x:row r="1394">
      <x:c r="A1394" s="83" t="n">
        <x:v>1393</x:v>
      </x:c>
      <x:c r="B1394" s="84" t="n">
        <x:v>818</x:v>
      </x:c>
      <x:c r="C1394" s="84" t="n">
        <x:v>20</x:v>
      </x:c>
      <x:c r="D1394" s="89" t="n">
        <x:v>45148</x:v>
      </x:c>
      <x:c r="E1394" s="84" t="n">
        <x:v>6.9</x:v>
      </x:c>
      <x:c r="F1394" s="84" t="str">
        <x:v>Normal</x:v>
      </x:c>
      <x:c r="G1394" s="93" t="n">
        <x:v>231.29</x:v>
      </x:c>
      <x:c r="H1394" s="85" t="str">
        <x:v>Diagnóstico e execução</x:v>
      </x:c>
    </x:row>
    <x:row r="1395">
      <x:c r="A1395" s="83" t="n">
        <x:v>1394</x:v>
      </x:c>
      <x:c r="B1395" s="84" t="n">
        <x:v>819</x:v>
      </x:c>
      <x:c r="C1395" s="84" t="n">
        <x:v>45</x:v>
      </x:c>
      <x:c r="D1395" s="89" t="n">
        <x:v>45956</x:v>
      </x:c>
      <x:c r="E1395" s="84" t="n">
        <x:v>5.2</x:v>
      </x:c>
      <x:c r="F1395" s="84" t="str">
        <x:v>Normal</x:v>
      </x:c>
      <x:c r="G1395" s="93" t="n">
        <x:v>278.56</x:v>
      </x:c>
      <x:c r="H1395" s="85" t="str">
        <x:v>Diagnóstico e execução</x:v>
      </x:c>
    </x:row>
    <x:row r="1396">
      <x:c r="A1396" s="83" t="n">
        <x:v>1395</x:v>
      </x:c>
      <x:c r="B1396" s="84" t="n">
        <x:v>819</x:v>
      </x:c>
      <x:c r="C1396" s="84" t="n">
        <x:v>30</x:v>
      </x:c>
      <x:c r="D1396" s="89" t="n">
        <x:v>45956</x:v>
      </x:c>
      <x:c r="E1396" s="84" t="n">
        <x:v>6.9</x:v>
      </x:c>
      <x:c r="F1396" s="84" t="str">
        <x:v>Normal</x:v>
      </x:c>
      <x:c r="G1396" s="93" t="n">
        <x:v>285.73</x:v>
      </x:c>
      <x:c r="H1396" s="85" t="str">
        <x:v>Diagnóstico e execução</x:v>
      </x:c>
    </x:row>
    <x:row r="1397">
      <x:c r="A1397" s="83" t="n">
        <x:v>1396</x:v>
      </x:c>
      <x:c r="B1397" s="84" t="n">
        <x:v>821</x:v>
      </x:c>
      <x:c r="C1397" s="84" t="n">
        <x:v>40</x:v>
      </x:c>
      <x:c r="D1397" s="89" t="n">
        <x:v>45801</x:v>
      </x:c>
      <x:c r="E1397" s="84" t="n">
        <x:v>6.6</x:v>
      </x:c>
      <x:c r="F1397" s="84" t="str">
        <x:v>Normal</x:v>
      </x:c>
      <x:c r="G1397" s="93" t="n">
        <x:v>326.17</x:v>
      </x:c>
      <x:c r="H1397" s="85" t="str">
        <x:v>Diagnóstico e execução</x:v>
      </x:c>
    </x:row>
    <x:row r="1398">
      <x:c r="A1398" s="83" t="n">
        <x:v>1397</x:v>
      </x:c>
      <x:c r="B1398" s="84" t="n">
        <x:v>821</x:v>
      </x:c>
      <x:c r="C1398" s="84" t="n">
        <x:v>18</x:v>
      </x:c>
      <x:c r="D1398" s="89" t="n">
        <x:v>45801</x:v>
      </x:c>
      <x:c r="E1398" s="84" t="n">
        <x:v>0.6</x:v>
      </x:c>
      <x:c r="F1398" s="84" t="str">
        <x:v>Normal</x:v>
      </x:c>
      <x:c r="G1398" s="93" t="n">
        <x:v>37.85</x:v>
      </x:c>
      <x:c r="H1398" s="85" t="str">
        <x:v>Diagnóstico e execução</x:v>
      </x:c>
    </x:row>
    <x:row r="1399">
      <x:c r="A1399" s="83" t="n">
        <x:v>1398</x:v>
      </x:c>
      <x:c r="B1399" s="84" t="n">
        <x:v>821</x:v>
      </x:c>
      <x:c r="C1399" s="84" t="n">
        <x:v>20</x:v>
      </x:c>
      <x:c r="D1399" s="89" t="n">
        <x:v>45801</x:v>
      </x:c>
      <x:c r="E1399" s="84" t="n">
        <x:v>4.3</x:v>
      </x:c>
      <x:c r="F1399" s="84" t="str">
        <x:v>Normal</x:v>
      </x:c>
      <x:c r="G1399" s="93" t="n">
        <x:v>144.14</x:v>
      </x:c>
      <x:c r="H1399" s="85" t="str">
        <x:v>Diagnóstico e execução</x:v>
      </x:c>
    </x:row>
    <x:row r="1400">
      <x:c r="A1400" s="83" t="n">
        <x:v>1399</x:v>
      </x:c>
      <x:c r="B1400" s="84" t="n">
        <x:v>822</x:v>
      </x:c>
      <x:c r="C1400" s="84" t="n">
        <x:v>37</x:v>
      </x:c>
      <x:c r="D1400" s="89" t="n">
        <x:v>45964</x:v>
      </x:c>
      <x:c r="E1400" s="84" t="n">
        <x:v>1.8</x:v>
      </x:c>
      <x:c r="F1400" s="84" t="str">
        <x:v>Normal</x:v>
      </x:c>
      <x:c r="G1400" s="93" t="n">
        <x:v>106.15</x:v>
      </x:c>
      <x:c r="H1400" s="85" t="str">
        <x:v>Diagnóstico e execução</x:v>
      </x:c>
    </x:row>
    <x:row r="1401">
      <x:c r="A1401" s="83" t="n">
        <x:v>1400</x:v>
      </x:c>
      <x:c r="B1401" s="84" t="n">
        <x:v>822</x:v>
      </x:c>
      <x:c r="C1401" s="84" t="n">
        <x:v>37</x:v>
      </x:c>
      <x:c r="D1401" s="89" t="n">
        <x:v>45964</x:v>
      </x:c>
      <x:c r="E1401" s="84" t="n">
        <x:v>4.2</x:v>
      </x:c>
      <x:c r="F1401" s="84" t="str">
        <x:v>Normal</x:v>
      </x:c>
      <x:c r="G1401" s="93" t="n">
        <x:v>247.67</x:v>
      </x:c>
      <x:c r="H1401" s="85" t="str">
        <x:v>Diagnóstico e execução</x:v>
      </x:c>
    </x:row>
    <x:row r="1402">
      <x:c r="A1402" s="83" t="n">
        <x:v>1401</x:v>
      </x:c>
      <x:c r="B1402" s="84" t="n">
        <x:v>823</x:v>
      </x:c>
      <x:c r="C1402" s="84" t="n">
        <x:v>13</x:v>
      </x:c>
      <x:c r="D1402" s="89" t="n">
        <x:v>46017</x:v>
      </x:c>
      <x:c r="E1402" s="84" t="n">
        <x:v>1.2</x:v>
      </x:c>
      <x:c r="F1402" s="84" t="str">
        <x:v>Normal</x:v>
      </x:c>
      <x:c r="G1402" s="93" t="n">
        <x:v>40.66</x:v>
      </x:c>
      <x:c r="H1402" s="85" t="str">
        <x:v>Diagnóstico e execução</x:v>
      </x:c>
    </x:row>
    <x:row r="1403">
      <x:c r="A1403" s="83" t="n">
        <x:v>1402</x:v>
      </x:c>
      <x:c r="B1403" s="84" t="n">
        <x:v>824</x:v>
      </x:c>
      <x:c r="C1403" s="84" t="n">
        <x:v>26</x:v>
      </x:c>
      <x:c r="D1403" s="89" t="n">
        <x:v>44993</x:v>
      </x:c>
      <x:c r="E1403" s="84" t="n">
        <x:v>5.9</x:v>
      </x:c>
      <x:c r="F1403" s="84" t="str">
        <x:v>Normal</x:v>
      </x:c>
      <x:c r="G1403" s="93" t="n">
        <x:v>230.81</x:v>
      </x:c>
      <x:c r="H1403" s="85" t="str">
        <x:v>Diagnóstico e execução</x:v>
      </x:c>
    </x:row>
    <x:row r="1404">
      <x:c r="A1404" s="83" t="n">
        <x:v>1403</x:v>
      </x:c>
      <x:c r="B1404" s="84" t="n">
        <x:v>824</x:v>
      </x:c>
      <x:c r="C1404" s="84" t="n">
        <x:v>3</x:v>
      </x:c>
      <x:c r="D1404" s="89" t="n">
        <x:v>44993</x:v>
      </x:c>
      <x:c r="E1404" s="84" t="n">
        <x:v>5.8</x:v>
      </x:c>
      <x:c r="F1404" s="84" t="str">
        <x:v>Normal</x:v>
      </x:c>
      <x:c r="G1404" s="93" t="n">
        <x:v>285.59</x:v>
      </x:c>
      <x:c r="H1404" s="85" t="str">
        <x:v>Diagnóstico e execução</x:v>
      </x:c>
    </x:row>
    <x:row r="1405">
      <x:c r="A1405" s="83" t="n">
        <x:v>1404</x:v>
      </x:c>
      <x:c r="B1405" s="84" t="n">
        <x:v>825</x:v>
      </x:c>
      <x:c r="C1405" s="84" t="n">
        <x:v>17</x:v>
      </x:c>
      <x:c r="D1405" s="89" t="n">
        <x:v>44935</x:v>
      </x:c>
      <x:c r="E1405" s="84" t="n">
        <x:v>6.2</x:v>
      </x:c>
      <x:c r="F1405" s="84" t="str">
        <x:v>Normal</x:v>
      </x:c>
      <x:c r="G1405" s="93" t="n">
        <x:v>345.84</x:v>
      </x:c>
      <x:c r="H1405" s="85" t="str">
        <x:v>Diagnóstico e execução</x:v>
      </x:c>
    </x:row>
    <x:row r="1406">
      <x:c r="A1406" s="83" t="n">
        <x:v>1405</x:v>
      </x:c>
      <x:c r="B1406" s="84" t="n">
        <x:v>826</x:v>
      </x:c>
      <x:c r="C1406" s="84" t="n">
        <x:v>45</x:v>
      </x:c>
      <x:c r="D1406" s="89" t="n">
        <x:v>45964</x:v>
      </x:c>
      <x:c r="E1406" s="84" t="n">
        <x:v>1.5</x:v>
      </x:c>
      <x:c r="F1406" s="84" t="str">
        <x:v>Normal</x:v>
      </x:c>
      <x:c r="G1406" s="93" t="n">
        <x:v>80.36</x:v>
      </x:c>
      <x:c r="H1406" s="85" t="str">
        <x:v>Diagnóstico e execução</x:v>
      </x:c>
    </x:row>
    <x:row r="1407">
      <x:c r="A1407" s="83" t="n">
        <x:v>1406</x:v>
      </x:c>
      <x:c r="B1407" s="84" t="n">
        <x:v>827</x:v>
      </x:c>
      <x:c r="C1407" s="84" t="n">
        <x:v>32</x:v>
      </x:c>
      <x:c r="D1407" s="89" t="n">
        <x:v>45602</x:v>
      </x:c>
      <x:c r="E1407" s="84" t="n">
        <x:v>1.2</x:v>
      </x:c>
      <x:c r="F1407" s="84" t="str">
        <x:v>Normal</x:v>
      </x:c>
      <x:c r="G1407" s="93" t="n">
        <x:v>52.38</x:v>
      </x:c>
      <x:c r="H1407" s="85" t="str">
        <x:v>Diagnóstico e execução</x:v>
      </x:c>
    </x:row>
    <x:row r="1408">
      <x:c r="A1408" s="83" t="n">
        <x:v>1407</x:v>
      </x:c>
      <x:c r="B1408" s="84" t="n">
        <x:v>827</x:v>
      </x:c>
      <x:c r="C1408" s="84" t="n">
        <x:v>9</x:v>
      </x:c>
      <x:c r="D1408" s="89" t="n">
        <x:v>45602</x:v>
      </x:c>
      <x:c r="E1408" s="84" t="n">
        <x:v>7.1</x:v>
      </x:c>
      <x:c r="F1408" s="84" t="str">
        <x:v>Normal</x:v>
      </x:c>
      <x:c r="G1408" s="93" t="n">
        <x:v>373.96</x:v>
      </x:c>
      <x:c r="H1408" s="85" t="str">
        <x:v>Diagnóstico e execução</x:v>
      </x:c>
    </x:row>
    <x:row r="1409">
      <x:c r="A1409" s="83" t="n">
        <x:v>1408</x:v>
      </x:c>
      <x:c r="B1409" s="84" t="n">
        <x:v>827</x:v>
      </x:c>
      <x:c r="C1409" s="84" t="n">
        <x:v>3</x:v>
      </x:c>
      <x:c r="D1409" s="89" t="n">
        <x:v>45602</x:v>
      </x:c>
      <x:c r="E1409" s="84" t="n">
        <x:v>4.4</x:v>
      </x:c>
      <x:c r="F1409" s="84" t="str">
        <x:v>Normal</x:v>
      </x:c>
      <x:c r="G1409" s="93" t="n">
        <x:v>216.66</x:v>
      </x:c>
      <x:c r="H1409" s="85" t="str">
        <x:v>Diagnóstico e execução</x:v>
      </x:c>
    </x:row>
    <x:row r="1410">
      <x:c r="A1410" s="83" t="n">
        <x:v>1409</x:v>
      </x:c>
      <x:c r="B1410" s="84" t="n">
        <x:v>828</x:v>
      </x:c>
      <x:c r="C1410" s="84" t="n">
        <x:v>32</x:v>
      </x:c>
      <x:c r="D1410" s="89" t="n">
        <x:v>45406</x:v>
      </x:c>
      <x:c r="E1410" s="84" t="n">
        <x:v>3</x:v>
      </x:c>
      <x:c r="F1410" s="84" t="str">
        <x:v>Normal</x:v>
      </x:c>
      <x:c r="G1410" s="93" t="n">
        <x:v>130.95</x:v>
      </x:c>
      <x:c r="H1410" s="85" t="str">
        <x:v>Diagnóstico e execução</x:v>
      </x:c>
    </x:row>
    <x:row r="1411">
      <x:c r="A1411" s="83" t="n">
        <x:v>1410</x:v>
      </x:c>
      <x:c r="B1411" s="84" t="n">
        <x:v>828</x:v>
      </x:c>
      <x:c r="C1411" s="84" t="n">
        <x:v>9</x:v>
      </x:c>
      <x:c r="D1411" s="89" t="n">
        <x:v>45406</x:v>
      </x:c>
      <x:c r="E1411" s="84" t="n">
        <x:v>6.7</x:v>
      </x:c>
      <x:c r="F1411" s="84" t="str">
        <x:v>Normal</x:v>
      </x:c>
      <x:c r="G1411" s="93" t="n">
        <x:v>352.89</x:v>
      </x:c>
      <x:c r="H1411" s="85" t="str">
        <x:v>Diagnóstico e execução</x:v>
      </x:c>
    </x:row>
    <x:row r="1412">
      <x:c r="A1412" s="83" t="n">
        <x:v>1411</x:v>
      </x:c>
      <x:c r="B1412" s="84" t="n">
        <x:v>828</x:v>
      </x:c>
      <x:c r="C1412" s="84" t="n">
        <x:v>6</x:v>
      </x:c>
      <x:c r="D1412" s="89" t="n">
        <x:v>45406</x:v>
      </x:c>
      <x:c r="E1412" s="84" t="n">
        <x:v>5.9</x:v>
      </x:c>
      <x:c r="F1412" s="84" t="str">
        <x:v>Normal</x:v>
      </x:c>
      <x:c r="G1412" s="93" t="n">
        <x:v>308.33</x:v>
      </x:c>
      <x:c r="H1412" s="85" t="str">
        <x:v>Diagnóstico e execução</x:v>
      </x:c>
    </x:row>
    <x:row r="1413">
      <x:c r="A1413" s="83" t="n">
        <x:v>1412</x:v>
      </x:c>
      <x:c r="B1413" s="84" t="n">
        <x:v>829</x:v>
      </x:c>
      <x:c r="C1413" s="84" t="n">
        <x:v>22</x:v>
      </x:c>
      <x:c r="D1413" s="89" t="n">
        <x:v>45970</x:v>
      </x:c>
      <x:c r="E1413" s="84" t="n">
        <x:v>7.8</x:v>
      </x:c>
      <x:c r="F1413" s="84" t="str">
        <x:v>Normal</x:v>
      </x:c>
      <x:c r="G1413" s="93" t="n">
        <x:v>299.99</x:v>
      </x:c>
      <x:c r="H1413" s="85" t="str">
        <x:v>Diagnóstico e execução</x:v>
      </x:c>
    </x:row>
    <x:row r="1414">
      <x:c r="A1414" s="83" t="n">
        <x:v>1413</x:v>
      </x:c>
      <x:c r="B1414" s="84" t="n">
        <x:v>829</x:v>
      </x:c>
      <x:c r="C1414" s="84" t="n">
        <x:v>18</x:v>
      </x:c>
      <x:c r="D1414" s="89" t="n">
        <x:v>45970</x:v>
      </x:c>
      <x:c r="E1414" s="84" t="n">
        <x:v>5.9</x:v>
      </x:c>
      <x:c r="F1414" s="84" t="str">
        <x:v>Normal</x:v>
      </x:c>
      <x:c r="G1414" s="93" t="n">
        <x:v>372.23</x:v>
      </x:c>
      <x:c r="H1414" s="85" t="str">
        <x:v>Diagnóstico e execução</x:v>
      </x:c>
    </x:row>
    <x:row r="1415">
      <x:c r="A1415" s="83" t="n">
        <x:v>1414</x:v>
      </x:c>
      <x:c r="B1415" s="84" t="n">
        <x:v>830</x:v>
      </x:c>
      <x:c r="C1415" s="84" t="n">
        <x:v>14</x:v>
      </x:c>
      <x:c r="D1415" s="89" t="n">
        <x:v>45677</x:v>
      </x:c>
      <x:c r="E1415" s="84" t="n">
        <x:v>7.8</x:v>
      </x:c>
      <x:c r="F1415" s="84" t="str">
        <x:v>Normal</x:v>
      </x:c>
      <x:c r="G1415" s="93" t="n">
        <x:v>441.95</x:v>
      </x:c>
      <x:c r="H1415" s="85" t="str">
        <x:v>Diagnóstico e execução</x:v>
      </x:c>
    </x:row>
    <x:row r="1416">
      <x:c r="A1416" s="83" t="n">
        <x:v>1415</x:v>
      </x:c>
      <x:c r="B1416" s="84" t="n">
        <x:v>830</x:v>
      </x:c>
      <x:c r="C1416" s="84" t="n">
        <x:v>22</x:v>
      </x:c>
      <x:c r="D1416" s="89" t="n">
        <x:v>45677</x:v>
      </x:c>
      <x:c r="E1416" s="84" t="n">
        <x:v>4.5</x:v>
      </x:c>
      <x:c r="F1416" s="84" t="str">
        <x:v>Normal</x:v>
      </x:c>
      <x:c r="G1416" s="93" t="n">
        <x:v>173.07</x:v>
      </x:c>
      <x:c r="H1416" s="85" t="str">
        <x:v>Diagnóstico e execução</x:v>
      </x:c>
    </x:row>
    <x:row r="1417">
      <x:c r="A1417" s="83" t="n">
        <x:v>1416</x:v>
      </x:c>
      <x:c r="B1417" s="84" t="n">
        <x:v>830</x:v>
      </x:c>
      <x:c r="C1417" s="84" t="n">
        <x:v>32</x:v>
      </x:c>
      <x:c r="D1417" s="89" t="n">
        <x:v>45677</x:v>
      </x:c>
      <x:c r="E1417" s="84" t="n">
        <x:v>2.7</x:v>
      </x:c>
      <x:c r="F1417" s="84" t="str">
        <x:v>Normal</x:v>
      </x:c>
      <x:c r="G1417" s="93" t="n">
        <x:v>117.86</x:v>
      </x:c>
      <x:c r="H1417" s="85" t="str">
        <x:v>Diagnóstico e execução</x:v>
      </x:c>
    </x:row>
    <x:row r="1418">
      <x:c r="A1418" s="83" t="n">
        <x:v>1417</x:v>
      </x:c>
      <x:c r="B1418" s="84" t="n">
        <x:v>832</x:v>
      </x:c>
      <x:c r="C1418" s="84" t="n">
        <x:v>45</x:v>
      </x:c>
      <x:c r="D1418" s="89" t="n">
        <x:v>45612</x:v>
      </x:c>
      <x:c r="E1418" s="84" t="n">
        <x:v>3.4</x:v>
      </x:c>
      <x:c r="F1418" s="84" t="str">
        <x:v>Normal</x:v>
      </x:c>
      <x:c r="G1418" s="93" t="n">
        <x:v>182.14</x:v>
      </x:c>
      <x:c r="H1418" s="85" t="str">
        <x:v>Diagnóstico e execução</x:v>
      </x:c>
    </x:row>
    <x:row r="1419">
      <x:c r="A1419" s="83" t="n">
        <x:v>1418</x:v>
      </x:c>
      <x:c r="B1419" s="84" t="n">
        <x:v>832</x:v>
      </x:c>
      <x:c r="C1419" s="84" t="n">
        <x:v>15</x:v>
      </x:c>
      <x:c r="D1419" s="89" t="n">
        <x:v>45612</x:v>
      </x:c>
      <x:c r="E1419" s="84" t="n">
        <x:v>5.9</x:v>
      </x:c>
      <x:c r="F1419" s="84" t="str">
        <x:v>Normal</x:v>
      </x:c>
      <x:c r="G1419" s="93" t="n">
        <x:v>178.42</x:v>
      </x:c>
      <x:c r="H1419" s="85" t="str">
        <x:v>Diagnóstico e execução</x:v>
      </x:c>
    </x:row>
    <x:row r="1420">
      <x:c r="A1420" s="83" t="n">
        <x:v>1419</x:v>
      </x:c>
      <x:c r="B1420" s="84" t="n">
        <x:v>833</x:v>
      </x:c>
      <x:c r="C1420" s="84" t="n">
        <x:v>24</x:v>
      </x:c>
      <x:c r="D1420" s="89" t="n">
        <x:v>45725</x:v>
      </x:c>
      <x:c r="E1420" s="84" t="n">
        <x:v>6.4</x:v>
      </x:c>
      <x:c r="F1420" s="84" t="str">
        <x:v>Normal</x:v>
      </x:c>
      <x:c r="G1420" s="93" t="n">
        <x:v>379.14</x:v>
      </x:c>
      <x:c r="H1420" s="85" t="str">
        <x:v>Diagnóstico e execução</x:v>
      </x:c>
    </x:row>
    <x:row r="1421">
      <x:c r="A1421" s="83" t="n">
        <x:v>1420</x:v>
      </x:c>
      <x:c r="B1421" s="84" t="n">
        <x:v>833</x:v>
      </x:c>
      <x:c r="C1421" s="84" t="n">
        <x:v>5</x:v>
      </x:c>
      <x:c r="D1421" s="89" t="n">
        <x:v>45725</x:v>
      </x:c>
      <x:c r="E1421" s="84" t="n">
        <x:v>6.7</x:v>
      </x:c>
      <x:c r="F1421" s="84" t="str">
        <x:v>Normal</x:v>
      </x:c>
      <x:c r="G1421" s="93" t="n">
        <x:v>193.09</x:v>
      </x:c>
      <x:c r="H1421" s="85" t="str">
        <x:v>Diagnóstico e execução</x:v>
      </x:c>
    </x:row>
    <x:row r="1422">
      <x:c r="A1422" s="83" t="n">
        <x:v>1421</x:v>
      </x:c>
      <x:c r="B1422" s="84" t="n">
        <x:v>834</x:v>
      </x:c>
      <x:c r="C1422" s="84" t="n">
        <x:v>6</x:v>
      </x:c>
      <x:c r="D1422" s="89" t="n">
        <x:v>45015</x:v>
      </x:c>
      <x:c r="E1422" s="84" t="n">
        <x:v>2.4</x:v>
      </x:c>
      <x:c r="F1422" s="84" t="str">
        <x:v>Normal</x:v>
      </x:c>
      <x:c r="G1422" s="93" t="n">
        <x:v>125.42</x:v>
      </x:c>
      <x:c r="H1422" s="85" t="str">
        <x:v>Diagnóstico e execução</x:v>
      </x:c>
    </x:row>
    <x:row r="1423">
      <x:c r="A1423" s="83" t="n">
        <x:v>1422</x:v>
      </x:c>
      <x:c r="B1423" s="84" t="n">
        <x:v>834</x:v>
      </x:c>
      <x:c r="C1423" s="84" t="n">
        <x:v>36</x:v>
      </x:c>
      <x:c r="D1423" s="89" t="n">
        <x:v>45015</x:v>
      </x:c>
      <x:c r="E1423" s="84" t="n">
        <x:v>3.9</x:v>
      </x:c>
      <x:c r="F1423" s="84" t="str">
        <x:v>Normal</x:v>
      </x:c>
      <x:c r="G1423" s="93" t="n">
        <x:v>115.67</x:v>
      </x:c>
      <x:c r="H1423" s="85" t="str">
        <x:v>Diagnóstico e execução</x:v>
      </x:c>
    </x:row>
    <x:row r="1424">
      <x:c r="A1424" s="83" t="n">
        <x:v>1423</x:v>
      </x:c>
      <x:c r="B1424" s="84" t="n">
        <x:v>835</x:v>
      </x:c>
      <x:c r="C1424" s="84" t="n">
        <x:v>32</x:v>
      </x:c>
      <x:c r="D1424" s="89" t="n">
        <x:v>45181</x:v>
      </x:c>
      <x:c r="E1424" s="84" t="n">
        <x:v>5</x:v>
      </x:c>
      <x:c r="F1424" s="84" t="str">
        <x:v>Normal</x:v>
      </x:c>
      <x:c r="G1424" s="93" t="n">
        <x:v>218.25</x:v>
      </x:c>
      <x:c r="H1424" s="85" t="str">
        <x:v>Diagnóstico e execução</x:v>
      </x:c>
    </x:row>
    <x:row r="1425">
      <x:c r="A1425" s="83" t="n">
        <x:v>1424</x:v>
      </x:c>
      <x:c r="B1425" s="84" t="n">
        <x:v>835</x:v>
      </x:c>
      <x:c r="C1425" s="84" t="n">
        <x:v>35</x:v>
      </x:c>
      <x:c r="D1425" s="89" t="n">
        <x:v>45181</x:v>
      </x:c>
      <x:c r="E1425" s="84" t="n">
        <x:v>0.7</x:v>
      </x:c>
      <x:c r="F1425" s="84" t="str">
        <x:v>Normal</x:v>
      </x:c>
      <x:c r="G1425" s="93" t="n">
        <x:v>34.43</x:v>
      </x:c>
      <x:c r="H1425" s="85" t="str">
        <x:v>Diagnóstico e execução</x:v>
      </x:c>
    </x:row>
    <x:row r="1426">
      <x:c r="A1426" s="83" t="n">
        <x:v>1425</x:v>
      </x:c>
      <x:c r="B1426" s="84" t="n">
        <x:v>835</x:v>
      </x:c>
      <x:c r="C1426" s="84" t="n">
        <x:v>6</x:v>
      </x:c>
      <x:c r="D1426" s="89" t="n">
        <x:v>45181</x:v>
      </x:c>
      <x:c r="E1426" s="84" t="n">
        <x:v>5.1</x:v>
      </x:c>
      <x:c r="F1426" s="84" t="str">
        <x:v>Normal</x:v>
      </x:c>
      <x:c r="G1426" s="93" t="n">
        <x:v>266.53</x:v>
      </x:c>
      <x:c r="H1426" s="85" t="str">
        <x:v>Diagnóstico e execução</x:v>
      </x:c>
    </x:row>
    <x:row r="1427">
      <x:c r="A1427" s="83" t="n">
        <x:v>1426</x:v>
      </x:c>
      <x:c r="B1427" s="84" t="n">
        <x:v>836</x:v>
      </x:c>
      <x:c r="C1427" s="84" t="n">
        <x:v>1</x:v>
      </x:c>
      <x:c r="D1427" s="89" t="n">
        <x:v>45893</x:v>
      </x:c>
      <x:c r="E1427" s="84" t="n">
        <x:v>3.1</x:v>
      </x:c>
      <x:c r="F1427" s="84" t="str">
        <x:v>Normal</x:v>
      </x:c>
      <x:c r="G1427" s="93" t="n">
        <x:v>109.65</x:v>
      </x:c>
      <x:c r="H1427" s="85" t="str">
        <x:v>Diagnóstico e execução</x:v>
      </x:c>
    </x:row>
    <x:row r="1428">
      <x:c r="A1428" s="83" t="n">
        <x:v>1427</x:v>
      </x:c>
      <x:c r="B1428" s="84" t="n">
        <x:v>836</x:v>
      </x:c>
      <x:c r="C1428" s="84" t="n">
        <x:v>24</x:v>
      </x:c>
      <x:c r="D1428" s="89" t="n">
        <x:v>45893</x:v>
      </x:c>
      <x:c r="E1428" s="84" t="n">
        <x:v>6.7</x:v>
      </x:c>
      <x:c r="F1428" s="84" t="str">
        <x:v>Normal</x:v>
      </x:c>
      <x:c r="G1428" s="93" t="n">
        <x:v>396.91</x:v>
      </x:c>
      <x:c r="H1428" s="85" t="str">
        <x:v>Diagnóstico e execução</x:v>
      </x:c>
    </x:row>
    <x:row r="1429">
      <x:c r="A1429" s="83" t="n">
        <x:v>1428</x:v>
      </x:c>
      <x:c r="B1429" s="84" t="n">
        <x:v>836</x:v>
      </x:c>
      <x:c r="C1429" s="84" t="n">
        <x:v>27</x:v>
      </x:c>
      <x:c r="D1429" s="89" t="n">
        <x:v>45893</x:v>
      </x:c>
      <x:c r="E1429" s="84" t="n">
        <x:v>4.6</x:v>
      </x:c>
      <x:c r="F1429" s="84" t="str">
        <x:v>Normal</x:v>
      </x:c>
      <x:c r="G1429" s="93" t="n">
        <x:v>280.55</x:v>
      </x:c>
      <x:c r="H1429" s="85" t="str">
        <x:v>Diagnóstico e execução</x:v>
      </x:c>
    </x:row>
    <x:row r="1430">
      <x:c r="A1430" s="83" t="n">
        <x:v>1429</x:v>
      </x:c>
      <x:c r="B1430" s="84" t="n">
        <x:v>837</x:v>
      </x:c>
      <x:c r="C1430" s="84" t="n">
        <x:v>11</x:v>
      </x:c>
      <x:c r="D1430" s="89" t="n">
        <x:v>45823</x:v>
      </x:c>
      <x:c r="E1430" s="84" t="n">
        <x:v>4.3</x:v>
      </x:c>
      <x:c r="F1430" s="84" t="str">
        <x:v>Normal</x:v>
      </x:c>
      <x:c r="G1430" s="93" t="n">
        <x:v>179.22</x:v>
      </x:c>
      <x:c r="H1430" s="85" t="str">
        <x:v>Diagnóstico e execução</x:v>
      </x:c>
    </x:row>
    <x:row r="1431">
      <x:c r="A1431" s="83" t="n">
        <x:v>1430</x:v>
      </x:c>
      <x:c r="B1431" s="84" t="n">
        <x:v>837</x:v>
      </x:c>
      <x:c r="C1431" s="84" t="n">
        <x:v>8</x:v>
      </x:c>
      <x:c r="D1431" s="89" t="n">
        <x:v>45823</x:v>
      </x:c>
      <x:c r="E1431" s="84" t="n">
        <x:v>2.1</x:v>
      </x:c>
      <x:c r="F1431" s="84" t="str">
        <x:v>Normal</x:v>
      </x:c>
      <x:c r="G1431" s="93" t="n">
        <x:v>97.65</x:v>
      </x:c>
      <x:c r="H1431" s="85" t="str">
        <x:v>Diagnóstico e execução</x:v>
      </x:c>
    </x:row>
    <x:row r="1432">
      <x:c r="A1432" s="83" t="n">
        <x:v>1431</x:v>
      </x:c>
      <x:c r="B1432" s="84" t="n">
        <x:v>838</x:v>
      </x:c>
      <x:c r="C1432" s="84" t="n">
        <x:v>34</x:v>
      </x:c>
      <x:c r="D1432" s="89" t="n">
        <x:v>45523</x:v>
      </x:c>
      <x:c r="E1432" s="84" t="n">
        <x:v>2.6</x:v>
      </x:c>
      <x:c r="F1432" s="84" t="str">
        <x:v>Normal</x:v>
      </x:c>
      <x:c r="G1432" s="93" t="n">
        <x:v>112.4</x:v>
      </x:c>
      <x:c r="H1432" s="85" t="str">
        <x:v>Diagnóstico e execução</x:v>
      </x:c>
    </x:row>
    <x:row r="1433">
      <x:c r="A1433" s="83" t="n">
        <x:v>1432</x:v>
      </x:c>
      <x:c r="B1433" s="84" t="n">
        <x:v>838</x:v>
      </x:c>
      <x:c r="C1433" s="84" t="n">
        <x:v>38</x:v>
      </x:c>
      <x:c r="D1433" s="89" t="n">
        <x:v>45523</x:v>
      </x:c>
      <x:c r="E1433" s="84" t="n">
        <x:v>2.9</x:v>
      </x:c>
      <x:c r="F1433" s="84" t="str">
        <x:v>Normal</x:v>
      </x:c>
      <x:c r="G1433" s="93" t="n">
        <x:v>97.64</x:v>
      </x:c>
      <x:c r="H1433" s="85" t="str">
        <x:v>Diagnóstico e execução</x:v>
      </x:c>
    </x:row>
    <x:row r="1434">
      <x:c r="A1434" s="83" t="n">
        <x:v>1433</x:v>
      </x:c>
      <x:c r="B1434" s="84" t="n">
        <x:v>838</x:v>
      </x:c>
      <x:c r="C1434" s="84" t="n">
        <x:v>38</x:v>
      </x:c>
      <x:c r="D1434" s="89" t="n">
        <x:v>45523</x:v>
      </x:c>
      <x:c r="E1434" s="84" t="n">
        <x:v>5.9</x:v>
      </x:c>
      <x:c r="F1434" s="84" t="str">
        <x:v>Normal</x:v>
      </x:c>
      <x:c r="G1434" s="93" t="n">
        <x:v>198.65</x:v>
      </x:c>
      <x:c r="H1434" s="85" t="str">
        <x:v>Diagnóstico e execução</x:v>
      </x:c>
    </x:row>
    <x:row r="1435">
      <x:c r="A1435" s="83" t="n">
        <x:v>1434</x:v>
      </x:c>
      <x:c r="B1435" s="84" t="n">
        <x:v>839</x:v>
      </x:c>
      <x:c r="C1435" s="84" t="n">
        <x:v>42</x:v>
      </x:c>
      <x:c r="D1435" s="89" t="n">
        <x:v>45454</x:v>
      </x:c>
      <x:c r="E1435" s="84" t="n">
        <x:v>6.1</x:v>
      </x:c>
      <x:c r="F1435" s="84" t="str">
        <x:v>Normal</x:v>
      </x:c>
      <x:c r="G1435" s="93" t="n">
        <x:v>257.3</x:v>
      </x:c>
      <x:c r="H1435" s="85" t="str">
        <x:v>Diagnóstico e execução</x:v>
      </x:c>
    </x:row>
    <x:row r="1436">
      <x:c r="A1436" s="83" t="n">
        <x:v>1435</x:v>
      </x:c>
      <x:c r="B1436" s="84" t="n">
        <x:v>840</x:v>
      </x:c>
      <x:c r="C1436" s="84" t="n">
        <x:v>34</x:v>
      </x:c>
      <x:c r="D1436" s="89" t="n">
        <x:v>44963</x:v>
      </x:c>
      <x:c r="E1436" s="84" t="n">
        <x:v>4</x:v>
      </x:c>
      <x:c r="F1436" s="84" t="str">
        <x:v>Normal</x:v>
      </x:c>
      <x:c r="G1436" s="93" t="n">
        <x:v>172.92</x:v>
      </x:c>
      <x:c r="H1436" s="85" t="str">
        <x:v>Diagnóstico e execução</x:v>
      </x:c>
    </x:row>
    <x:row r="1437">
      <x:c r="A1437" s="83" t="n">
        <x:v>1436</x:v>
      </x:c>
      <x:c r="B1437" s="84" t="n">
        <x:v>840</x:v>
      </x:c>
      <x:c r="C1437" s="84" t="n">
        <x:v>25</x:v>
      </x:c>
      <x:c r="D1437" s="89" t="n">
        <x:v>44963</x:v>
      </x:c>
      <x:c r="E1437" s="84" t="n">
        <x:v>4.1</x:v>
      </x:c>
      <x:c r="F1437" s="84" t="str">
        <x:v>Normal</x:v>
      </x:c>
      <x:c r="G1437" s="93" t="n">
        <x:v>219.72</x:v>
      </x:c>
      <x:c r="H1437" s="85" t="str">
        <x:v>Diagnóstico e execução</x:v>
      </x:c>
    </x:row>
    <x:row r="1438">
      <x:c r="A1438" s="83" t="n">
        <x:v>1437</x:v>
      </x:c>
      <x:c r="B1438" s="84" t="n">
        <x:v>840</x:v>
      </x:c>
      <x:c r="C1438" s="84" t="n">
        <x:v>42</x:v>
      </x:c>
      <x:c r="D1438" s="89" t="n">
        <x:v>44963</x:v>
      </x:c>
      <x:c r="E1438" s="84" t="n">
        <x:v>7.8</x:v>
      </x:c>
      <x:c r="F1438" s="84" t="str">
        <x:v>Normal</x:v>
      </x:c>
      <x:c r="G1438" s="93" t="n">
        <x:v>329</x:v>
      </x:c>
      <x:c r="H1438" s="85" t="str">
        <x:v>Diagnóstico e execução</x:v>
      </x:c>
    </x:row>
    <x:row r="1439">
      <x:c r="A1439" s="83" t="n">
        <x:v>1438</x:v>
      </x:c>
      <x:c r="B1439" s="84" t="n">
        <x:v>841</x:v>
      </x:c>
      <x:c r="C1439" s="84" t="n">
        <x:v>39</x:v>
      </x:c>
      <x:c r="D1439" s="89" t="n">
        <x:v>45586</x:v>
      </x:c>
      <x:c r="E1439" s="84" t="n">
        <x:v>6.3</x:v>
      </x:c>
      <x:c r="F1439" s="84" t="str">
        <x:v>Normal</x:v>
      </x:c>
      <x:c r="G1439" s="93" t="n">
        <x:v>364.77</x:v>
      </x:c>
      <x:c r="H1439" s="85" t="str">
        <x:v>Diagnóstico e execução</x:v>
      </x:c>
    </x:row>
    <x:row r="1440">
      <x:c r="A1440" s="83" t="n">
        <x:v>1439</x:v>
      </x:c>
      <x:c r="B1440" s="84" t="n">
        <x:v>841</x:v>
      </x:c>
      <x:c r="C1440" s="84" t="n">
        <x:v>22</x:v>
      </x:c>
      <x:c r="D1440" s="89" t="n">
        <x:v>45586</x:v>
      </x:c>
      <x:c r="E1440" s="84" t="n">
        <x:v>4.3</x:v>
      </x:c>
      <x:c r="F1440" s="84" t="str">
        <x:v>Normal</x:v>
      </x:c>
      <x:c r="G1440" s="93" t="n">
        <x:v>165.38</x:v>
      </x:c>
      <x:c r="H1440" s="85" t="str">
        <x:v>Diagnóstico e execução</x:v>
      </x:c>
    </x:row>
    <x:row r="1441">
      <x:c r="A1441" s="83" t="n">
        <x:v>1440</x:v>
      </x:c>
      <x:c r="B1441" s="84" t="n">
        <x:v>842</x:v>
      </x:c>
      <x:c r="C1441" s="84" t="n">
        <x:v>21</x:v>
      </x:c>
      <x:c r="D1441" s="89" t="n">
        <x:v>45416</x:v>
      </x:c>
      <x:c r="E1441" s="84" t="n">
        <x:v>6.6</x:v>
      </x:c>
      <x:c r="F1441" s="84" t="str">
        <x:v>Normal</x:v>
      </x:c>
      <x:c r="G1441" s="93" t="n">
        <x:v>405.44</x:v>
      </x:c>
      <x:c r="H1441" s="85" t="str">
        <x:v>Diagnóstico e execução</x:v>
      </x:c>
    </x:row>
    <x:row r="1442">
      <x:c r="A1442" s="83" t="n">
        <x:v>1441</x:v>
      </x:c>
      <x:c r="B1442" s="84" t="n">
        <x:v>842</x:v>
      </x:c>
      <x:c r="C1442" s="84" t="n">
        <x:v>35</x:v>
      </x:c>
      <x:c r="D1442" s="89" t="n">
        <x:v>45416</x:v>
      </x:c>
      <x:c r="E1442" s="84" t="n">
        <x:v>2.5</x:v>
      </x:c>
      <x:c r="F1442" s="84" t="str">
        <x:v>Normal</x:v>
      </x:c>
      <x:c r="G1442" s="93" t="n">
        <x:v>122.97</x:v>
      </x:c>
      <x:c r="H1442" s="85" t="str">
        <x:v>Diagnóstico e execução</x:v>
      </x:c>
    </x:row>
    <x:row r="1443">
      <x:c r="A1443" s="83" t="n">
        <x:v>1442</x:v>
      </x:c>
      <x:c r="B1443" s="84" t="n">
        <x:v>843</x:v>
      </x:c>
      <x:c r="C1443" s="84" t="n">
        <x:v>42</x:v>
      </x:c>
      <x:c r="D1443" s="89" t="n">
        <x:v>45791</x:v>
      </x:c>
      <x:c r="E1443" s="84" t="n">
        <x:v>0.6</x:v>
      </x:c>
      <x:c r="F1443" s="84" t="str">
        <x:v>Normal</x:v>
      </x:c>
      <x:c r="G1443" s="93" t="n">
        <x:v>25.31</x:v>
      </x:c>
      <x:c r="H1443" s="85" t="str">
        <x:v>Diagnóstico e execução</x:v>
      </x:c>
    </x:row>
    <x:row r="1444">
      <x:c r="A1444" s="83" t="n">
        <x:v>1443</x:v>
      </x:c>
      <x:c r="B1444" s="84" t="n">
        <x:v>843</x:v>
      </x:c>
      <x:c r="C1444" s="84" t="n">
        <x:v>32</x:v>
      </x:c>
      <x:c r="D1444" s="89" t="n">
        <x:v>45791</x:v>
      </x:c>
      <x:c r="E1444" s="84" t="n">
        <x:v>7.4</x:v>
      </x:c>
      <x:c r="F1444" s="84" t="str">
        <x:v>Normal</x:v>
      </x:c>
      <x:c r="G1444" s="93" t="n">
        <x:v>323.01</x:v>
      </x:c>
      <x:c r="H1444" s="85" t="str">
        <x:v>Diagnóstico e execução</x:v>
      </x:c>
    </x:row>
    <x:row r="1445">
      <x:c r="A1445" s="83" t="n">
        <x:v>1444</x:v>
      </x:c>
      <x:c r="B1445" s="84" t="n">
        <x:v>843</x:v>
      </x:c>
      <x:c r="C1445" s="84" t="n">
        <x:v>31</x:v>
      </x:c>
      <x:c r="D1445" s="89" t="n">
        <x:v>45791</x:v>
      </x:c>
      <x:c r="E1445" s="84" t="n">
        <x:v>6.3</x:v>
      </x:c>
      <x:c r="F1445" s="84" t="str">
        <x:v>Normal</x:v>
      </x:c>
      <x:c r="G1445" s="93" t="n">
        <x:v>308.07</x:v>
      </x:c>
      <x:c r="H1445" s="85" t="str">
        <x:v>Diagnóstico e execução</x:v>
      </x:c>
    </x:row>
    <x:row r="1446">
      <x:c r="A1446" s="83" t="n">
        <x:v>1445</x:v>
      </x:c>
      <x:c r="B1446" s="84" t="n">
        <x:v>844</x:v>
      </x:c>
      <x:c r="C1446" s="84" t="n">
        <x:v>38</x:v>
      </x:c>
      <x:c r="D1446" s="89" t="n">
        <x:v>45711</x:v>
      </x:c>
      <x:c r="E1446" s="84" t="n">
        <x:v>3.9</x:v>
      </x:c>
      <x:c r="F1446" s="84" t="str">
        <x:v>Normal</x:v>
      </x:c>
      <x:c r="G1446" s="93" t="n">
        <x:v>131.31</x:v>
      </x:c>
      <x:c r="H1446" s="85" t="str">
        <x:v>Diagnóstico e execução</x:v>
      </x:c>
    </x:row>
    <x:row r="1447">
      <x:c r="A1447" s="83" t="n">
        <x:v>1446</x:v>
      </x:c>
      <x:c r="B1447" s="84" t="n">
        <x:v>844</x:v>
      </x:c>
      <x:c r="C1447" s="84" t="n">
        <x:v>19</x:v>
      </x:c>
      <x:c r="D1447" s="89" t="n">
        <x:v>45711</x:v>
      </x:c>
      <x:c r="E1447" s="84" t="n">
        <x:v>1.4</x:v>
      </x:c>
      <x:c r="F1447" s="84" t="str">
        <x:v>Normal</x:v>
      </x:c>
      <x:c r="G1447" s="93" t="n">
        <x:v>65.07</x:v>
      </x:c>
      <x:c r="H1447" s="85" t="str">
        <x:v>Diagnóstico e execução</x:v>
      </x:c>
    </x:row>
    <x:row r="1448">
      <x:c r="A1448" s="83" t="n">
        <x:v>1447</x:v>
      </x:c>
      <x:c r="B1448" s="84" t="n">
        <x:v>845</x:v>
      </x:c>
      <x:c r="C1448" s="84" t="n">
        <x:v>13</x:v>
      </x:c>
      <x:c r="D1448" s="89" t="n">
        <x:v>44983</x:v>
      </x:c>
      <x:c r="E1448" s="84" t="n">
        <x:v>6.5</x:v>
      </x:c>
      <x:c r="F1448" s="84" t="str">
        <x:v>Normal</x:v>
      </x:c>
      <x:c r="G1448" s="93" t="n">
        <x:v>220.22</x:v>
      </x:c>
      <x:c r="H1448" s="85" t="str">
        <x:v>Diagnóstico e execução</x:v>
      </x:c>
    </x:row>
    <x:row r="1449">
      <x:c r="A1449" s="83" t="n">
        <x:v>1448</x:v>
      </x:c>
      <x:c r="B1449" s="84" t="n">
        <x:v>846</x:v>
      </x:c>
      <x:c r="C1449" s="84" t="n">
        <x:v>24</x:v>
      </x:c>
      <x:c r="D1449" s="89" t="n">
        <x:v>45619</x:v>
      </x:c>
      <x:c r="E1449" s="84" t="n">
        <x:v>4.4</x:v>
      </x:c>
      <x:c r="F1449" s="84" t="str">
        <x:v>Normal</x:v>
      </x:c>
      <x:c r="G1449" s="93" t="n">
        <x:v>260.66</x:v>
      </x:c>
      <x:c r="H1449" s="85" t="str">
        <x:v>Diagnóstico e execução</x:v>
      </x:c>
    </x:row>
    <x:row r="1450">
      <x:c r="A1450" s="83" t="n">
        <x:v>1449</x:v>
      </x:c>
      <x:c r="B1450" s="84" t="n">
        <x:v>846</x:v>
      </x:c>
      <x:c r="C1450" s="84" t="n">
        <x:v>29</x:v>
      </x:c>
      <x:c r="D1450" s="89" t="n">
        <x:v>45619</x:v>
      </x:c>
      <x:c r="E1450" s="84" t="n">
        <x:v>2.3</x:v>
      </x:c>
      <x:c r="F1450" s="84" t="str">
        <x:v>Normal</x:v>
      </x:c>
      <x:c r="G1450" s="93" t="n">
        <x:v>113.9</x:v>
      </x:c>
      <x:c r="H1450" s="85" t="str">
        <x:v>Diagnóstico e execução</x:v>
      </x:c>
    </x:row>
    <x:row r="1451">
      <x:c r="A1451" s="83" t="n">
        <x:v>1450</x:v>
      </x:c>
      <x:c r="B1451" s="84" t="n">
        <x:v>847</x:v>
      </x:c>
      <x:c r="C1451" s="84" t="n">
        <x:v>4</x:v>
      </x:c>
      <x:c r="D1451" s="89" t="n">
        <x:v>46006</x:v>
      </x:c>
      <x:c r="E1451" s="84" t="n">
        <x:v>5.4</x:v>
      </x:c>
      <x:c r="F1451" s="84" t="str">
        <x:v>Normal</x:v>
      </x:c>
      <x:c r="G1451" s="93" t="n">
        <x:v>265.63</x:v>
      </x:c>
      <x:c r="H1451" s="85" t="str">
        <x:v>Diagnóstico e execução</x:v>
      </x:c>
    </x:row>
    <x:row r="1452">
      <x:c r="A1452" s="83" t="n">
        <x:v>1451</x:v>
      </x:c>
      <x:c r="B1452" s="84" t="n">
        <x:v>847</x:v>
      </x:c>
      <x:c r="C1452" s="84" t="n">
        <x:v>14</x:v>
      </x:c>
      <x:c r="D1452" s="89" t="n">
        <x:v>46006</x:v>
      </x:c>
      <x:c r="E1452" s="84" t="n">
        <x:v>5</x:v>
      </x:c>
      <x:c r="F1452" s="84" t="str">
        <x:v>Normal</x:v>
      </x:c>
      <x:c r="G1452" s="93" t="n">
        <x:v>283.3</x:v>
      </x:c>
      <x:c r="H1452" s="85" t="str">
        <x:v>Diagnóstico e execução</x:v>
      </x:c>
    </x:row>
    <x:row r="1453">
      <x:c r="A1453" s="83" t="n">
        <x:v>1452</x:v>
      </x:c>
      <x:c r="B1453" s="84" t="n">
        <x:v>847</x:v>
      </x:c>
      <x:c r="C1453" s="84" t="n">
        <x:v>43</x:v>
      </x:c>
      <x:c r="D1453" s="89" t="n">
        <x:v>46006</x:v>
      </x:c>
      <x:c r="E1453" s="84" t="n">
        <x:v>0.6</x:v>
      </x:c>
      <x:c r="F1453" s="84" t="str">
        <x:v>Normal</x:v>
      </x:c>
      <x:c r="G1453" s="93" t="n">
        <x:v>32.8</x:v>
      </x:c>
      <x:c r="H1453" s="85" t="str">
        <x:v>Diagnóstico e execução</x:v>
      </x:c>
    </x:row>
    <x:row r="1454">
      <x:c r="A1454" s="83" t="n">
        <x:v>1453</x:v>
      </x:c>
      <x:c r="B1454" s="84" t="n">
        <x:v>848</x:v>
      </x:c>
      <x:c r="C1454" s="84" t="n">
        <x:v>28</x:v>
      </x:c>
      <x:c r="D1454" s="89" t="n">
        <x:v>45120</x:v>
      </x:c>
      <x:c r="E1454" s="84" t="n">
        <x:v>6.3</x:v>
      </x:c>
      <x:c r="F1454" s="84" t="str">
        <x:v>Normal</x:v>
      </x:c>
      <x:c r="G1454" s="93" t="n">
        <x:v>237.01</x:v>
      </x:c>
      <x:c r="H1454" s="85" t="str">
        <x:v>Diagnóstico e execução</x:v>
      </x:c>
    </x:row>
    <x:row r="1455">
      <x:c r="A1455" s="83" t="n">
        <x:v>1454</x:v>
      </x:c>
      <x:c r="B1455" s="84" t="n">
        <x:v>848</x:v>
      </x:c>
      <x:c r="C1455" s="84" t="n">
        <x:v>32</x:v>
      </x:c>
      <x:c r="D1455" s="89" t="n">
        <x:v>45120</x:v>
      </x:c>
      <x:c r="E1455" s="84" t="n">
        <x:v>6.5</x:v>
      </x:c>
      <x:c r="F1455" s="84" t="str">
        <x:v>Normal</x:v>
      </x:c>
      <x:c r="G1455" s="93" t="n">
        <x:v>283.72</x:v>
      </x:c>
      <x:c r="H1455" s="85" t="str">
        <x:v>Diagnóstico e execução</x:v>
      </x:c>
    </x:row>
    <x:row r="1456">
      <x:c r="A1456" s="83" t="n">
        <x:v>1455</x:v>
      </x:c>
      <x:c r="B1456" s="84" t="n">
        <x:v>849</x:v>
      </x:c>
      <x:c r="C1456" s="84" t="n">
        <x:v>41</x:v>
      </x:c>
      <x:c r="D1456" s="89" t="n">
        <x:v>45404</x:v>
      </x:c>
      <x:c r="E1456" s="84" t="n">
        <x:v>3.2</x:v>
      </x:c>
      <x:c r="F1456" s="84" t="str">
        <x:v>Normal</x:v>
      </x:c>
      <x:c r="G1456" s="93" t="n">
        <x:v>161.86</x:v>
      </x:c>
      <x:c r="H1456" s="85" t="str">
        <x:v>Diagnóstico e execução</x:v>
      </x:c>
    </x:row>
    <x:row r="1457">
      <x:c r="A1457" s="83" t="n">
        <x:v>1456</x:v>
      </x:c>
      <x:c r="B1457" s="84" t="n">
        <x:v>849</x:v>
      </x:c>
      <x:c r="C1457" s="84" t="n">
        <x:v>28</x:v>
      </x:c>
      <x:c r="D1457" s="89" t="n">
        <x:v>45404</x:v>
      </x:c>
      <x:c r="E1457" s="84" t="n">
        <x:v>7.8</x:v>
      </x:c>
      <x:c r="F1457" s="84" t="str">
        <x:v>Normal</x:v>
      </x:c>
      <x:c r="G1457" s="93" t="n">
        <x:v>293.44</x:v>
      </x:c>
      <x:c r="H1457" s="85" t="str">
        <x:v>Diagnóstico e execução</x:v>
      </x:c>
    </x:row>
    <x:row r="1458">
      <x:c r="A1458" s="83" t="n">
        <x:v>1457</x:v>
      </x:c>
      <x:c r="B1458" s="84" t="n">
        <x:v>849</x:v>
      </x:c>
      <x:c r="C1458" s="84" t="n">
        <x:v>9</x:v>
      </x:c>
      <x:c r="D1458" s="89" t="n">
        <x:v>45404</x:v>
      </x:c>
      <x:c r="E1458" s="84" t="n">
        <x:v>6.4</x:v>
      </x:c>
      <x:c r="F1458" s="84" t="str">
        <x:v>Normal</x:v>
      </x:c>
      <x:c r="G1458" s="93" t="n">
        <x:v>337.09</x:v>
      </x:c>
      <x:c r="H1458" s="85" t="str">
        <x:v>Diagnóstico e execução</x:v>
      </x:c>
    </x:row>
    <x:row r="1459">
      <x:c r="A1459" s="83" t="n">
        <x:v>1458</x:v>
      </x:c>
      <x:c r="B1459" s="84" t="n">
        <x:v>850</x:v>
      </x:c>
      <x:c r="C1459" s="84" t="n">
        <x:v>23</x:v>
      </x:c>
      <x:c r="D1459" s="89" t="n">
        <x:v>45865</x:v>
      </x:c>
      <x:c r="E1459" s="84" t="n">
        <x:v>4.5</x:v>
      </x:c>
      <x:c r="F1459" s="84" t="str">
        <x:v>Normal</x:v>
      </x:c>
      <x:c r="G1459" s="93" t="n">
        <x:v>194</x:v>
      </x:c>
      <x:c r="H1459" s="85" t="str">
        <x:v>Diagnóstico e execução</x:v>
      </x:c>
    </x:row>
    <x:row r="1460">
      <x:c r="A1460" s="83" t="n">
        <x:v>1459</x:v>
      </x:c>
      <x:c r="B1460" s="84" t="n">
        <x:v>850</x:v>
      </x:c>
      <x:c r="C1460" s="84" t="n">
        <x:v>26</x:v>
      </x:c>
      <x:c r="D1460" s="89" t="n">
        <x:v>45865</x:v>
      </x:c>
      <x:c r="E1460" s="84" t="n">
        <x:v>0.6</x:v>
      </x:c>
      <x:c r="F1460" s="84" t="str">
        <x:v>Normal</x:v>
      </x:c>
      <x:c r="G1460" s="93" t="n">
        <x:v>23.47</x:v>
      </x:c>
      <x:c r="H1460" s="85" t="str">
        <x:v>Diagnóstico e execução</x:v>
      </x:c>
    </x:row>
    <x:row r="1461">
      <x:c r="A1461" s="83" t="n">
        <x:v>1460</x:v>
      </x:c>
      <x:c r="B1461" s="84" t="n">
        <x:v>850</x:v>
      </x:c>
      <x:c r="C1461" s="84" t="n">
        <x:v>44</x:v>
      </x:c>
      <x:c r="D1461" s="89" t="n">
        <x:v>45865</x:v>
      </x:c>
      <x:c r="E1461" s="84" t="n">
        <x:v>3</x:v>
      </x:c>
      <x:c r="F1461" s="84" t="str">
        <x:v>Normal</x:v>
      </x:c>
      <x:c r="G1461" s="93" t="n">
        <x:v>84.12</x:v>
      </x:c>
      <x:c r="H1461" s="85" t="str">
        <x:v>Diagnóstico e execução</x:v>
      </x:c>
    </x:row>
    <x:row r="1462">
      <x:c r="A1462" s="83" t="n">
        <x:v>1461</x:v>
      </x:c>
      <x:c r="B1462" s="84" t="n">
        <x:v>851</x:v>
      </x:c>
      <x:c r="C1462" s="84" t="n">
        <x:v>25</x:v>
      </x:c>
      <x:c r="D1462" s="89" t="n">
        <x:v>45731</x:v>
      </x:c>
      <x:c r="E1462" s="84" t="n">
        <x:v>6.9</x:v>
      </x:c>
      <x:c r="F1462" s="84" t="str">
        <x:v>Normal</x:v>
      </x:c>
      <x:c r="G1462" s="93" t="n">
        <x:v>369.77</x:v>
      </x:c>
      <x:c r="H1462" s="85" t="str">
        <x:v>Diagnóstico e execução</x:v>
      </x:c>
    </x:row>
    <x:row r="1463">
      <x:c r="A1463" s="83" t="n">
        <x:v>1462</x:v>
      </x:c>
      <x:c r="B1463" s="84" t="n">
        <x:v>851</x:v>
      </x:c>
      <x:c r="C1463" s="84" t="n">
        <x:v>8</x:v>
      </x:c>
      <x:c r="D1463" s="89" t="n">
        <x:v>45731</x:v>
      </x:c>
      <x:c r="E1463" s="84" t="n">
        <x:v>2.8</x:v>
      </x:c>
      <x:c r="F1463" s="84" t="str">
        <x:v>Normal</x:v>
      </x:c>
      <x:c r="G1463" s="93" t="n">
        <x:v>130.2</x:v>
      </x:c>
      <x:c r="H1463" s="85" t="str">
        <x:v>Diagnóstico e execução</x:v>
      </x:c>
    </x:row>
    <x:row r="1464">
      <x:c r="A1464" s="83" t="n">
        <x:v>1463</x:v>
      </x:c>
      <x:c r="B1464" s="84" t="n">
        <x:v>851</x:v>
      </x:c>
      <x:c r="C1464" s="84" t="n">
        <x:v>38</x:v>
      </x:c>
      <x:c r="D1464" s="89" t="n">
        <x:v>45731</x:v>
      </x:c>
      <x:c r="E1464" s="84" t="n">
        <x:v>5.3</x:v>
      </x:c>
      <x:c r="F1464" s="84" t="str">
        <x:v>Normal</x:v>
      </x:c>
      <x:c r="G1464" s="93" t="n">
        <x:v>178.45</x:v>
      </x:c>
      <x:c r="H1464" s="85" t="str">
        <x:v>Diagnóstico e execução</x:v>
      </x:c>
    </x:row>
    <x:row r="1465">
      <x:c r="A1465" s="83" t="n">
        <x:v>1464</x:v>
      </x:c>
      <x:c r="B1465" s="84" t="n">
        <x:v>852</x:v>
      </x:c>
      <x:c r="C1465" s="84" t="n">
        <x:v>13</x:v>
      </x:c>
      <x:c r="D1465" s="89" t="n">
        <x:v>45062</x:v>
      </x:c>
      <x:c r="E1465" s="84" t="n">
        <x:v>2.9</x:v>
      </x:c>
      <x:c r="F1465" s="84" t="str">
        <x:v>Normal</x:v>
      </x:c>
      <x:c r="G1465" s="93" t="n">
        <x:v>98.25</x:v>
      </x:c>
      <x:c r="H1465" s="85" t="str">
        <x:v>Diagnóstico e execução</x:v>
      </x:c>
    </x:row>
    <x:row r="1466">
      <x:c r="A1466" s="83" t="n">
        <x:v>1465</x:v>
      </x:c>
      <x:c r="B1466" s="84" t="n">
        <x:v>852</x:v>
      </x:c>
      <x:c r="C1466" s="84" t="n">
        <x:v>27</x:v>
      </x:c>
      <x:c r="D1466" s="89" t="n">
        <x:v>45062</x:v>
      </x:c>
      <x:c r="E1466" s="84" t="n">
        <x:v>2.5</x:v>
      </x:c>
      <x:c r="F1466" s="84" t="str">
        <x:v>Normal</x:v>
      </x:c>
      <x:c r="G1466" s="93" t="n">
        <x:v>152.47</x:v>
      </x:c>
      <x:c r="H1466" s="85" t="str">
        <x:v>Diagnóstico e execução</x:v>
      </x:c>
    </x:row>
    <x:row r="1467">
      <x:c r="A1467" s="83" t="n">
        <x:v>1466</x:v>
      </x:c>
      <x:c r="B1467" s="84" t="n">
        <x:v>853</x:v>
      </x:c>
      <x:c r="C1467" s="84" t="n">
        <x:v>7</x:v>
      </x:c>
      <x:c r="D1467" s="89" t="n">
        <x:v>45440</x:v>
      </x:c>
      <x:c r="E1467" s="84" t="n">
        <x:v>6.5</x:v>
      </x:c>
      <x:c r="F1467" s="84" t="str">
        <x:v>Normal</x:v>
      </x:c>
      <x:c r="G1467" s="93" t="n">
        <x:v>378.37</x:v>
      </x:c>
      <x:c r="H1467" s="85" t="str">
        <x:v>Diagnóstico e execução</x:v>
      </x:c>
    </x:row>
    <x:row r="1468">
      <x:c r="A1468" s="83" t="n">
        <x:v>1467</x:v>
      </x:c>
      <x:c r="B1468" s="84" t="n">
        <x:v>853</x:v>
      </x:c>
      <x:c r="C1468" s="84" t="n">
        <x:v>6</x:v>
      </x:c>
      <x:c r="D1468" s="89" t="n">
        <x:v>45440</x:v>
      </x:c>
      <x:c r="E1468" s="84" t="n">
        <x:v>0.8</x:v>
      </x:c>
      <x:c r="F1468" s="84" t="str">
        <x:v>Normal</x:v>
      </x:c>
      <x:c r="G1468" s="93" t="n">
        <x:v>41.81</x:v>
      </x:c>
      <x:c r="H1468" s="85" t="str">
        <x:v>Diagnóstico e execução</x:v>
      </x:c>
    </x:row>
    <x:row r="1469">
      <x:c r="A1469" s="83" t="n">
        <x:v>1468</x:v>
      </x:c>
      <x:c r="B1469" s="84" t="n">
        <x:v>855</x:v>
      </x:c>
      <x:c r="C1469" s="84" t="n">
        <x:v>14</x:v>
      </x:c>
      <x:c r="D1469" s="89" t="n">
        <x:v>45116</x:v>
      </x:c>
      <x:c r="E1469" s="84" t="n">
        <x:v>2.4</x:v>
      </x:c>
      <x:c r="F1469" s="84" t="str">
        <x:v>Normal</x:v>
      </x:c>
      <x:c r="G1469" s="93" t="n">
        <x:v>135.98</x:v>
      </x:c>
      <x:c r="H1469" s="85" t="str">
        <x:v>Diagnóstico e execução</x:v>
      </x:c>
    </x:row>
    <x:row r="1470">
      <x:c r="A1470" s="83" t="n">
        <x:v>1469</x:v>
      </x:c>
      <x:c r="B1470" s="84" t="n">
        <x:v>855</x:v>
      </x:c>
      <x:c r="C1470" s="84" t="n">
        <x:v>24</x:v>
      </x:c>
      <x:c r="D1470" s="89" t="n">
        <x:v>45116</x:v>
      </x:c>
      <x:c r="E1470" s="84" t="n">
        <x:v>4</x:v>
      </x:c>
      <x:c r="F1470" s="84" t="str">
        <x:v>Normal</x:v>
      </x:c>
      <x:c r="G1470" s="93" t="n">
        <x:v>236.96</x:v>
      </x:c>
      <x:c r="H1470" s="85" t="str">
        <x:v>Diagnóstico e execução</x:v>
      </x:c>
    </x:row>
    <x:row r="1471">
      <x:c r="A1471" s="83" t="n">
        <x:v>1470</x:v>
      </x:c>
      <x:c r="B1471" s="84" t="n">
        <x:v>855</x:v>
      </x:c>
      <x:c r="C1471" s="84" t="n">
        <x:v>43</x:v>
      </x:c>
      <x:c r="D1471" s="89" t="n">
        <x:v>45116</x:v>
      </x:c>
      <x:c r="E1471" s="84" t="n">
        <x:v>7.1</x:v>
      </x:c>
      <x:c r="F1471" s="84" t="str">
        <x:v>Normal</x:v>
      </x:c>
      <x:c r="G1471" s="93" t="n">
        <x:v>388.09</x:v>
      </x:c>
      <x:c r="H1471" s="85" t="str">
        <x:v>Diagnóstico e execução</x:v>
      </x:c>
    </x:row>
    <x:row r="1472">
      <x:c r="A1472" s="83" t="n">
        <x:v>1471</x:v>
      </x:c>
      <x:c r="B1472" s="84" t="n">
        <x:v>856</x:v>
      </x:c>
      <x:c r="C1472" s="84" t="n">
        <x:v>2</x:v>
      </x:c>
      <x:c r="D1472" s="89" t="n">
        <x:v>45447</x:v>
      </x:c>
      <x:c r="E1472" s="84" t="n">
        <x:v>5.9</x:v>
      </x:c>
      <x:c r="F1472" s="84" t="str">
        <x:v>Normal</x:v>
      </x:c>
      <x:c r="G1472" s="93" t="n">
        <x:v>219.83</x:v>
      </x:c>
      <x:c r="H1472" s="85" t="str">
        <x:v>Diagnóstico e execução</x:v>
      </x:c>
    </x:row>
    <x:row r="1473">
      <x:c r="A1473" s="83" t="n">
        <x:v>1472</x:v>
      </x:c>
      <x:c r="B1473" s="84" t="n">
        <x:v>857</x:v>
      </x:c>
      <x:c r="C1473" s="84" t="n">
        <x:v>36</x:v>
      </x:c>
      <x:c r="D1473" s="89" t="n">
        <x:v>45764</x:v>
      </x:c>
      <x:c r="E1473" s="84" t="n">
        <x:v>3.4</x:v>
      </x:c>
      <x:c r="F1473" s="84" t="str">
        <x:v>Normal</x:v>
      </x:c>
      <x:c r="G1473" s="93" t="n">
        <x:v>100.84</x:v>
      </x:c>
      <x:c r="H1473" s="85" t="str">
        <x:v>Diagnóstico e execução</x:v>
      </x:c>
    </x:row>
    <x:row r="1474">
      <x:c r="A1474" s="83" t="n">
        <x:v>1473</x:v>
      </x:c>
      <x:c r="B1474" s="84" t="n">
        <x:v>858</x:v>
      </x:c>
      <x:c r="C1474" s="84" t="n">
        <x:v>13</x:v>
      </x:c>
      <x:c r="D1474" s="89" t="n">
        <x:v>45610</x:v>
      </x:c>
      <x:c r="E1474" s="84" t="n">
        <x:v>2.4</x:v>
      </x:c>
      <x:c r="F1474" s="84" t="str">
        <x:v>Normal</x:v>
      </x:c>
      <x:c r="G1474" s="93" t="n">
        <x:v>81.31</x:v>
      </x:c>
      <x:c r="H1474" s="85" t="str">
        <x:v>Diagnóstico e execução</x:v>
      </x:c>
    </x:row>
    <x:row r="1475">
      <x:c r="A1475" s="83" t="n">
        <x:v>1474</x:v>
      </x:c>
      <x:c r="B1475" s="84" t="n">
        <x:v>858</x:v>
      </x:c>
      <x:c r="C1475" s="84" t="n">
        <x:v>32</x:v>
      </x:c>
      <x:c r="D1475" s="89" t="n">
        <x:v>45610</x:v>
      </x:c>
      <x:c r="E1475" s="84" t="n">
        <x:v>6</x:v>
      </x:c>
      <x:c r="F1475" s="84" t="str">
        <x:v>Normal</x:v>
      </x:c>
      <x:c r="G1475" s="93" t="n">
        <x:v>261.9</x:v>
      </x:c>
      <x:c r="H1475" s="85" t="str">
        <x:v>Diagnóstico e execução</x:v>
      </x:c>
    </x:row>
    <x:row r="1476">
      <x:c r="A1476" s="83" t="n">
        <x:v>1475</x:v>
      </x:c>
      <x:c r="B1476" s="84" t="n">
        <x:v>859</x:v>
      </x:c>
      <x:c r="C1476" s="84" t="n">
        <x:v>34</x:v>
      </x:c>
      <x:c r="D1476" s="89" t="n">
        <x:v>45846</x:v>
      </x:c>
      <x:c r="E1476" s="84" t="n">
        <x:v>3.8</x:v>
      </x:c>
      <x:c r="F1476" s="84" t="str">
        <x:v>Normal</x:v>
      </x:c>
      <x:c r="G1476" s="93" t="n">
        <x:v>164.27</x:v>
      </x:c>
      <x:c r="H1476" s="85" t="str">
        <x:v>Diagnóstico e execução</x:v>
      </x:c>
    </x:row>
    <x:row r="1477">
      <x:c r="A1477" s="83" t="n">
        <x:v>1476</x:v>
      </x:c>
      <x:c r="B1477" s="84" t="n">
        <x:v>860</x:v>
      </x:c>
      <x:c r="C1477" s="84" t="n">
        <x:v>13</x:v>
      </x:c>
      <x:c r="D1477" s="89" t="n">
        <x:v>45134</x:v>
      </x:c>
      <x:c r="E1477" s="84" t="n">
        <x:v>7.8</x:v>
      </x:c>
      <x:c r="F1477" s="84" t="str">
        <x:v>Normal</x:v>
      </x:c>
      <x:c r="G1477" s="93" t="n">
        <x:v>264.26</x:v>
      </x:c>
      <x:c r="H1477" s="85" t="str">
        <x:v>Diagnóstico e execução</x:v>
      </x:c>
    </x:row>
    <x:row r="1478">
      <x:c r="A1478" s="83" t="n">
        <x:v>1477</x:v>
      </x:c>
      <x:c r="B1478" s="84" t="n">
        <x:v>862</x:v>
      </x:c>
      <x:c r="C1478" s="84" t="n">
        <x:v>26</x:v>
      </x:c>
      <x:c r="D1478" s="89" t="n">
        <x:v>45658</x:v>
      </x:c>
      <x:c r="E1478" s="84" t="n">
        <x:v>6.7</x:v>
      </x:c>
      <x:c r="F1478" s="84" t="str">
        <x:v>Normal</x:v>
      </x:c>
      <x:c r="G1478" s="93" t="n">
        <x:v>262.1</x:v>
      </x:c>
      <x:c r="H1478" s="85" t="str">
        <x:v>Diagnóstico e execução</x:v>
      </x:c>
    </x:row>
    <x:row r="1479">
      <x:c r="A1479" s="83" t="n">
        <x:v>1478</x:v>
      </x:c>
      <x:c r="B1479" s="84" t="n">
        <x:v>862</x:v>
      </x:c>
      <x:c r="C1479" s="84" t="n">
        <x:v>22</x:v>
      </x:c>
      <x:c r="D1479" s="89" t="n">
        <x:v>45658</x:v>
      </x:c>
      <x:c r="E1479" s="84" t="n">
        <x:v>3.1</x:v>
      </x:c>
      <x:c r="F1479" s="84" t="str">
        <x:v>Normal</x:v>
      </x:c>
      <x:c r="G1479" s="93" t="n">
        <x:v>119.23</x:v>
      </x:c>
      <x:c r="H1479" s="85" t="str">
        <x:v>Diagnóstico e execução</x:v>
      </x:c>
    </x:row>
    <x:row r="1480">
      <x:c r="A1480" s="83" t="n">
        <x:v>1479</x:v>
      </x:c>
      <x:c r="B1480" s="84" t="n">
        <x:v>862</x:v>
      </x:c>
      <x:c r="C1480" s="84" t="n">
        <x:v>26</x:v>
      </x:c>
      <x:c r="D1480" s="89" t="n">
        <x:v>45658</x:v>
      </x:c>
      <x:c r="E1480" s="84" t="n">
        <x:v>6.2</x:v>
      </x:c>
      <x:c r="F1480" s="84" t="str">
        <x:v>Normal</x:v>
      </x:c>
      <x:c r="G1480" s="93" t="n">
        <x:v>242.54</x:v>
      </x:c>
      <x:c r="H1480" s="85" t="str">
        <x:v>Diagnóstico e execução</x:v>
      </x:c>
    </x:row>
    <x:row r="1481">
      <x:c r="A1481" s="83" t="n">
        <x:v>1480</x:v>
      </x:c>
      <x:c r="B1481" s="84" t="n">
        <x:v>864</x:v>
      </x:c>
      <x:c r="C1481" s="84" t="n">
        <x:v>2</x:v>
      </x:c>
      <x:c r="D1481" s="89" t="n">
        <x:v>45080</x:v>
      </x:c>
      <x:c r="E1481" s="84" t="n">
        <x:v>0.9</x:v>
      </x:c>
      <x:c r="F1481" s="84" t="str">
        <x:v>Normal</x:v>
      </x:c>
      <x:c r="G1481" s="93" t="n">
        <x:v>33.53</x:v>
      </x:c>
      <x:c r="H1481" s="85" t="str">
        <x:v>Diagnóstico e execução</x:v>
      </x:c>
    </x:row>
    <x:row r="1482">
      <x:c r="A1482" s="83" t="n">
        <x:v>1481</x:v>
      </x:c>
      <x:c r="B1482" s="84" t="n">
        <x:v>864</x:v>
      </x:c>
      <x:c r="C1482" s="84" t="n">
        <x:v>28</x:v>
      </x:c>
      <x:c r="D1482" s="89" t="n">
        <x:v>45080</x:v>
      </x:c>
      <x:c r="E1482" s="84" t="n">
        <x:v>3.3</x:v>
      </x:c>
      <x:c r="F1482" s="84" t="str">
        <x:v>Normal</x:v>
      </x:c>
      <x:c r="G1482" s="93" t="n">
        <x:v>124.15</x:v>
      </x:c>
      <x:c r="H1482" s="85" t="str">
        <x:v>Diagnóstico e execução</x:v>
      </x:c>
    </x:row>
    <x:row r="1483">
      <x:c r="A1483" s="83" t="n">
        <x:v>1482</x:v>
      </x:c>
      <x:c r="B1483" s="84" t="n">
        <x:v>864</x:v>
      </x:c>
      <x:c r="C1483" s="84" t="n">
        <x:v>8</x:v>
      </x:c>
      <x:c r="D1483" s="89" t="n">
        <x:v>45080</x:v>
      </x:c>
      <x:c r="E1483" s="84" t="n">
        <x:v>7.7</x:v>
      </x:c>
      <x:c r="F1483" s="84" t="str">
        <x:v>Normal</x:v>
      </x:c>
      <x:c r="G1483" s="93" t="n">
        <x:v>358.05</x:v>
      </x:c>
      <x:c r="H1483" s="85" t="str">
        <x:v>Diagnóstico e execução</x:v>
      </x:c>
    </x:row>
    <x:row r="1484">
      <x:c r="A1484" s="83" t="n">
        <x:v>1483</x:v>
      </x:c>
      <x:c r="B1484" s="84" t="n">
        <x:v>865</x:v>
      </x:c>
      <x:c r="C1484" s="84" t="n">
        <x:v>19</x:v>
      </x:c>
      <x:c r="D1484" s="89" t="n">
        <x:v>45260</x:v>
      </x:c>
      <x:c r="E1484" s="84" t="n">
        <x:v>3.8</x:v>
      </x:c>
      <x:c r="F1484" s="84" t="str">
        <x:v>Normal</x:v>
      </x:c>
      <x:c r="G1484" s="93" t="n">
        <x:v>176.62</x:v>
      </x:c>
      <x:c r="H1484" s="85" t="str">
        <x:v>Diagnóstico e execução</x:v>
      </x:c>
    </x:row>
    <x:row r="1485">
      <x:c r="A1485" s="83" t="n">
        <x:v>1484</x:v>
      </x:c>
      <x:c r="B1485" s="84" t="n">
        <x:v>865</x:v>
      </x:c>
      <x:c r="C1485" s="84" t="n">
        <x:v>19</x:v>
      </x:c>
      <x:c r="D1485" s="89" t="n">
        <x:v>45260</x:v>
      </x:c>
      <x:c r="E1485" s="84" t="n">
        <x:v>6.6</x:v>
      </x:c>
      <x:c r="F1485" s="84" t="str">
        <x:v>Normal</x:v>
      </x:c>
      <x:c r="G1485" s="93" t="n">
        <x:v>306.77</x:v>
      </x:c>
      <x:c r="H1485" s="85" t="str">
        <x:v>Diagnóstico e execução</x:v>
      </x:c>
    </x:row>
    <x:row r="1486">
      <x:c r="A1486" s="83" t="n">
        <x:v>1485</x:v>
      </x:c>
      <x:c r="B1486" s="84" t="n">
        <x:v>867</x:v>
      </x:c>
      <x:c r="C1486" s="84" t="n">
        <x:v>39</x:v>
      </x:c>
      <x:c r="D1486" s="89" t="n">
        <x:v>45467</x:v>
      </x:c>
      <x:c r="E1486" s="84" t="n">
        <x:v>5.4</x:v>
      </x:c>
      <x:c r="F1486" s="84" t="str">
        <x:v>Normal</x:v>
      </x:c>
      <x:c r="G1486" s="93" t="n">
        <x:v>312.66</x:v>
      </x:c>
      <x:c r="H1486" s="85" t="str">
        <x:v>Diagnóstico e execução</x:v>
      </x:c>
    </x:row>
    <x:row r="1487">
      <x:c r="A1487" s="83" t="n">
        <x:v>1486</x:v>
      </x:c>
      <x:c r="B1487" s="84" t="n">
        <x:v>867</x:v>
      </x:c>
      <x:c r="C1487" s="84" t="n">
        <x:v>45</x:v>
      </x:c>
      <x:c r="D1487" s="89" t="n">
        <x:v>45467</x:v>
      </x:c>
      <x:c r="E1487" s="84" t="n">
        <x:v>5.7</x:v>
      </x:c>
      <x:c r="F1487" s="84" t="str">
        <x:v>Normal</x:v>
      </x:c>
      <x:c r="G1487" s="93" t="n">
        <x:v>305.35</x:v>
      </x:c>
      <x:c r="H1487" s="85" t="str">
        <x:v>Diagnóstico e execução</x:v>
      </x:c>
    </x:row>
    <x:row r="1488">
      <x:c r="A1488" s="83" t="n">
        <x:v>1487</x:v>
      </x:c>
      <x:c r="B1488" s="84" t="n">
        <x:v>867</x:v>
      </x:c>
      <x:c r="C1488" s="84" t="n">
        <x:v>32</x:v>
      </x:c>
      <x:c r="D1488" s="89" t="n">
        <x:v>45467</x:v>
      </x:c>
      <x:c r="E1488" s="84" t="n">
        <x:v>2.1</x:v>
      </x:c>
      <x:c r="F1488" s="84" t="str">
        <x:v>Normal</x:v>
      </x:c>
      <x:c r="G1488" s="93" t="n">
        <x:v>91.67</x:v>
      </x:c>
      <x:c r="H1488" s="85" t="str">
        <x:v>Diagnóstico e execução</x:v>
      </x:c>
    </x:row>
    <x:row r="1489">
      <x:c r="A1489" s="83" t="n">
        <x:v>1488</x:v>
      </x:c>
      <x:c r="B1489" s="84" t="n">
        <x:v>868</x:v>
      </x:c>
      <x:c r="C1489" s="84" t="n">
        <x:v>15</x:v>
      </x:c>
      <x:c r="D1489" s="89" t="n">
        <x:v>45779</x:v>
      </x:c>
      <x:c r="E1489" s="84" t="n">
        <x:v>7.2</x:v>
      </x:c>
      <x:c r="F1489" s="84" t="str">
        <x:v>Normal</x:v>
      </x:c>
      <x:c r="G1489" s="93" t="n">
        <x:v>217.73</x:v>
      </x:c>
      <x:c r="H1489" s="85" t="str">
        <x:v>Diagnóstico e execução</x:v>
      </x:c>
    </x:row>
    <x:row r="1490">
      <x:c r="A1490" s="83" t="n">
        <x:v>1489</x:v>
      </x:c>
      <x:c r="B1490" s="84" t="n">
        <x:v>868</x:v>
      </x:c>
      <x:c r="C1490" s="84" t="n">
        <x:v>11</x:v>
      </x:c>
      <x:c r="D1490" s="89" t="n">
        <x:v>45779</x:v>
      </x:c>
      <x:c r="E1490" s="84" t="n">
        <x:v>5.5</x:v>
      </x:c>
      <x:c r="F1490" s="84" t="str">
        <x:v>Normal</x:v>
      </x:c>
      <x:c r="G1490" s="93" t="n">
        <x:v>229.24</x:v>
      </x:c>
      <x:c r="H1490" s="85" t="str">
        <x:v>Diagnóstico e execução</x:v>
      </x:c>
    </x:row>
    <x:row r="1491">
      <x:c r="A1491" s="83" t="n">
        <x:v>1490</x:v>
      </x:c>
      <x:c r="B1491" s="84" t="n">
        <x:v>868</x:v>
      </x:c>
      <x:c r="C1491" s="84" t="n">
        <x:v>26</x:v>
      </x:c>
      <x:c r="D1491" s="89" t="n">
        <x:v>45779</x:v>
      </x:c>
      <x:c r="E1491" s="84" t="n">
        <x:v>7.1</x:v>
      </x:c>
      <x:c r="F1491" s="84" t="str">
        <x:v>Normal</x:v>
      </x:c>
      <x:c r="G1491" s="93" t="n">
        <x:v>277.75</x:v>
      </x:c>
      <x:c r="H1491" s="85" t="str">
        <x:v>Diagnóstico e execução</x:v>
      </x:c>
    </x:row>
    <x:row r="1492">
      <x:c r="A1492" s="83" t="n">
        <x:v>1491</x:v>
      </x:c>
      <x:c r="B1492" s="84" t="n">
        <x:v>870</x:v>
      </x:c>
      <x:c r="C1492" s="84" t="n">
        <x:v>45</x:v>
      </x:c>
      <x:c r="D1492" s="89" t="n">
        <x:v>45397</x:v>
      </x:c>
      <x:c r="E1492" s="84" t="n">
        <x:v>3.7</x:v>
      </x:c>
      <x:c r="F1492" s="84" t="str">
        <x:v>Normal</x:v>
      </x:c>
      <x:c r="G1492" s="93" t="n">
        <x:v>198.21</x:v>
      </x:c>
      <x:c r="H1492" s="85" t="str">
        <x:v>Diagnóstico e execução</x:v>
      </x:c>
    </x:row>
    <x:row r="1493">
      <x:c r="A1493" s="83" t="n">
        <x:v>1492</x:v>
      </x:c>
      <x:c r="B1493" s="84" t="n">
        <x:v>870</x:v>
      </x:c>
      <x:c r="C1493" s="84" t="n">
        <x:v>14</x:v>
      </x:c>
      <x:c r="D1493" s="89" t="n">
        <x:v>45397</x:v>
      </x:c>
      <x:c r="E1493" s="84" t="n">
        <x:v>7.4</x:v>
      </x:c>
      <x:c r="F1493" s="84" t="str">
        <x:v>Normal</x:v>
      </x:c>
      <x:c r="G1493" s="93" t="n">
        <x:v>419.28</x:v>
      </x:c>
      <x:c r="H1493" s="85" t="str">
        <x:v>Diagnóstico e execução</x:v>
      </x:c>
    </x:row>
    <x:row r="1494">
      <x:c r="A1494" s="83" t="n">
        <x:v>1493</x:v>
      </x:c>
      <x:c r="B1494" s="84" t="n">
        <x:v>871</x:v>
      </x:c>
      <x:c r="C1494" s="84" t="n">
        <x:v>40</x:v>
      </x:c>
      <x:c r="D1494" s="89" t="n">
        <x:v>45776</x:v>
      </x:c>
      <x:c r="E1494" s="84" t="n">
        <x:v>6.6</x:v>
      </x:c>
      <x:c r="F1494" s="84" t="str">
        <x:v>Normal</x:v>
      </x:c>
      <x:c r="G1494" s="93" t="n">
        <x:v>326.17</x:v>
      </x:c>
      <x:c r="H1494" s="85" t="str">
        <x:v>Diagnóstico e execução</x:v>
      </x:c>
    </x:row>
    <x:row r="1495">
      <x:c r="A1495" s="83" t="n">
        <x:v>1494</x:v>
      </x:c>
      <x:c r="B1495" s="84" t="n">
        <x:v>871</x:v>
      </x:c>
      <x:c r="C1495" s="84" t="n">
        <x:v>32</x:v>
      </x:c>
      <x:c r="D1495" s="89" t="n">
        <x:v>45776</x:v>
      </x:c>
      <x:c r="E1495" s="84" t="n">
        <x:v>2</x:v>
      </x:c>
      <x:c r="F1495" s="84" t="str">
        <x:v>Normal</x:v>
      </x:c>
      <x:c r="G1495" s="93" t="n">
        <x:v>87.3</x:v>
      </x:c>
      <x:c r="H1495" s="85" t="str">
        <x:v>Diagnóstico e execução</x:v>
      </x:c>
    </x:row>
    <x:row r="1496">
      <x:c r="A1496" s="83" t="n">
        <x:v>1495</x:v>
      </x:c>
      <x:c r="B1496" s="84" t="n">
        <x:v>871</x:v>
      </x:c>
      <x:c r="C1496" s="84" t="n">
        <x:v>31</x:v>
      </x:c>
      <x:c r="D1496" s="89" t="n">
        <x:v>45776</x:v>
      </x:c>
      <x:c r="E1496" s="84" t="n">
        <x:v>0.8</x:v>
      </x:c>
      <x:c r="F1496" s="84" t="str">
        <x:v>Normal</x:v>
      </x:c>
      <x:c r="G1496" s="93" t="n">
        <x:v>39.12</x:v>
      </x:c>
      <x:c r="H1496" s="85" t="str">
        <x:v>Diagnóstico e execução</x:v>
      </x:c>
    </x:row>
    <x:row r="1497">
      <x:c r="A1497" s="83" t="n">
        <x:v>1496</x:v>
      </x:c>
      <x:c r="B1497" s="84" t="n">
        <x:v>872</x:v>
      </x:c>
      <x:c r="C1497" s="84" t="n">
        <x:v>25</x:v>
      </x:c>
      <x:c r="D1497" s="89" t="n">
        <x:v>45491</x:v>
      </x:c>
      <x:c r="E1497" s="84" t="n">
        <x:v>7.7</x:v>
      </x:c>
      <x:c r="F1497" s="84" t="str">
        <x:v>Normal</x:v>
      </x:c>
      <x:c r="G1497" s="93" t="n">
        <x:v>412.64</x:v>
      </x:c>
      <x:c r="H1497" s="85" t="str">
        <x:v>Diagnóstico e execução</x:v>
      </x:c>
    </x:row>
    <x:row r="1498">
      <x:c r="A1498" s="83" t="n">
        <x:v>1497</x:v>
      </x:c>
      <x:c r="B1498" s="84" t="n">
        <x:v>872</x:v>
      </x:c>
      <x:c r="C1498" s="84" t="n">
        <x:v>20</x:v>
      </x:c>
      <x:c r="D1498" s="89" t="n">
        <x:v>45491</x:v>
      </x:c>
      <x:c r="E1498" s="84" t="n">
        <x:v>0.7</x:v>
      </x:c>
      <x:c r="F1498" s="84" t="str">
        <x:v>Normal</x:v>
      </x:c>
      <x:c r="G1498" s="93" t="n">
        <x:v>23.46</x:v>
      </x:c>
      <x:c r="H1498" s="85" t="str">
        <x:v>Diagnóstico e execução</x:v>
      </x:c>
    </x:row>
    <x:row r="1499">
      <x:c r="A1499" s="83" t="n">
        <x:v>1498</x:v>
      </x:c>
      <x:c r="B1499" s="84" t="n">
        <x:v>872</x:v>
      </x:c>
      <x:c r="C1499" s="84" t="n">
        <x:v>45</x:v>
      </x:c>
      <x:c r="D1499" s="89" t="n">
        <x:v>45491</x:v>
      </x:c>
      <x:c r="E1499" s="84" t="n">
        <x:v>5.3</x:v>
      </x:c>
      <x:c r="F1499" s="84" t="str">
        <x:v>Normal</x:v>
      </x:c>
      <x:c r="G1499" s="93" t="n">
        <x:v>283.92</x:v>
      </x:c>
      <x:c r="H1499" s="85" t="str">
        <x:v>Diagnóstico e execução</x:v>
      </x:c>
    </x:row>
    <x:row r="1500">
      <x:c r="A1500" s="83" t="n">
        <x:v>1499</x:v>
      </x:c>
      <x:c r="B1500" s="84" t="n">
        <x:v>874</x:v>
      </x:c>
      <x:c r="C1500" s="84" t="n">
        <x:v>8</x:v>
      </x:c>
      <x:c r="D1500" s="89" t="n">
        <x:v>45978</x:v>
      </x:c>
      <x:c r="E1500" s="84" t="n">
        <x:v>7.5</x:v>
      </x:c>
      <x:c r="F1500" s="84" t="str">
        <x:v>Normal</x:v>
      </x:c>
      <x:c r="G1500" s="93" t="n">
        <x:v>348.75</x:v>
      </x:c>
      <x:c r="H1500" s="85" t="str">
        <x:v>Diagnóstico e execução</x:v>
      </x:c>
    </x:row>
    <x:row r="1501">
      <x:c r="A1501" s="83" t="n">
        <x:v>1500</x:v>
      </x:c>
      <x:c r="B1501" s="84" t="n">
        <x:v>874</x:v>
      </x:c>
      <x:c r="C1501" s="84" t="n">
        <x:v>34</x:v>
      </x:c>
      <x:c r="D1501" s="89" t="n">
        <x:v>45978</x:v>
      </x:c>
      <x:c r="E1501" s="84" t="n">
        <x:v>7.9</x:v>
      </x:c>
      <x:c r="F1501" s="84" t="str">
        <x:v>Normal</x:v>
      </x:c>
      <x:c r="G1501" s="93" t="n">
        <x:v>341.52</x:v>
      </x:c>
      <x:c r="H1501" s="85" t="str">
        <x:v>Diagnóstico e execução</x:v>
      </x:c>
    </x:row>
    <x:row r="1502">
      <x:c r="A1502" s="83" t="n">
        <x:v>1501</x:v>
      </x:c>
      <x:c r="B1502" s="84" t="n">
        <x:v>874</x:v>
      </x:c>
      <x:c r="C1502" s="84" t="n">
        <x:v>1</x:v>
      </x:c>
      <x:c r="D1502" s="89" t="n">
        <x:v>45978</x:v>
      </x:c>
      <x:c r="E1502" s="84" t="n">
        <x:v>4.9</x:v>
      </x:c>
      <x:c r="F1502" s="84" t="str">
        <x:v>Normal</x:v>
      </x:c>
      <x:c r="G1502" s="93" t="n">
        <x:v>173.31</x:v>
      </x:c>
      <x:c r="H1502" s="85" t="str">
        <x:v>Diagnóstico e execução</x:v>
      </x:c>
    </x:row>
    <x:row r="1503">
      <x:c r="A1503" s="83" t="n">
        <x:v>1502</x:v>
      </x:c>
      <x:c r="B1503" s="84" t="n">
        <x:v>875</x:v>
      </x:c>
      <x:c r="C1503" s="84" t="n">
        <x:v>30</x:v>
      </x:c>
      <x:c r="D1503" s="89" t="n">
        <x:v>45668</x:v>
      </x:c>
      <x:c r="E1503" s="84" t="n">
        <x:v>2.8</x:v>
      </x:c>
      <x:c r="F1503" s="84" t="str">
        <x:v>Normal</x:v>
      </x:c>
      <x:c r="G1503" s="93" t="n">
        <x:v>115.95</x:v>
      </x:c>
      <x:c r="H1503" s="85" t="str">
        <x:v>Diagnóstico e execução</x:v>
      </x:c>
    </x:row>
    <x:row r="1504">
      <x:c r="A1504" s="83" t="n">
        <x:v>1503</x:v>
      </x:c>
      <x:c r="B1504" s="84" t="n">
        <x:v>875</x:v>
      </x:c>
      <x:c r="C1504" s="84" t="n">
        <x:v>17</x:v>
      </x:c>
      <x:c r="D1504" s="89" t="n">
        <x:v>45668</x:v>
      </x:c>
      <x:c r="E1504" s="84" t="n">
        <x:v>3</x:v>
      </x:c>
      <x:c r="F1504" s="84" t="str">
        <x:v>Normal</x:v>
      </x:c>
      <x:c r="G1504" s="93" t="n">
        <x:v>167.34</x:v>
      </x:c>
      <x:c r="H1504" s="85" t="str">
        <x:v>Diagnóstico e execução</x:v>
      </x:c>
    </x:row>
    <x:row r="1505">
      <x:c r="A1505" s="83" t="n">
        <x:v>1504</x:v>
      </x:c>
      <x:c r="B1505" s="84" t="n">
        <x:v>875</x:v>
      </x:c>
      <x:c r="C1505" s="84" t="n">
        <x:v>27</x:v>
      </x:c>
      <x:c r="D1505" s="89" t="n">
        <x:v>45668</x:v>
      </x:c>
      <x:c r="E1505" s="84" t="n">
        <x:v>5.8</x:v>
      </x:c>
      <x:c r="F1505" s="84" t="str">
        <x:v>Normal</x:v>
      </x:c>
      <x:c r="G1505" s="93" t="n">
        <x:v>353.74</x:v>
      </x:c>
      <x:c r="H1505" s="85" t="str">
        <x:v>Diagnóstico e execução</x:v>
      </x:c>
    </x:row>
    <x:row r="1506">
      <x:c r="A1506" s="83" t="n">
        <x:v>1505</x:v>
      </x:c>
      <x:c r="B1506" s="84" t="n">
        <x:v>876</x:v>
      </x:c>
      <x:c r="C1506" s="84" t="n">
        <x:v>12</x:v>
      </x:c>
      <x:c r="D1506" s="89" t="n">
        <x:v>45214</x:v>
      </x:c>
      <x:c r="E1506" s="84" t="n">
        <x:v>6.4</x:v>
      </x:c>
      <x:c r="F1506" s="84" t="str">
        <x:v>Normal</x:v>
      </x:c>
      <x:c r="G1506" s="93" t="n">
        <x:v>220.8</x:v>
      </x:c>
      <x:c r="H1506" s="85" t="str">
        <x:v>Diagnóstico e execução</x:v>
      </x:c>
    </x:row>
    <x:row r="1507">
      <x:c r="A1507" s="83" t="n">
        <x:v>1506</x:v>
      </x:c>
      <x:c r="B1507" s="84" t="n">
        <x:v>876</x:v>
      </x:c>
      <x:c r="C1507" s="84" t="n">
        <x:v>40</x:v>
      </x:c>
      <x:c r="D1507" s="89" t="n">
        <x:v>45214</x:v>
      </x:c>
      <x:c r="E1507" s="84" t="n">
        <x:v>3.9</x:v>
      </x:c>
      <x:c r="F1507" s="84" t="str">
        <x:v>Normal</x:v>
      </x:c>
      <x:c r="G1507" s="93" t="n">
        <x:v>192.74</x:v>
      </x:c>
      <x:c r="H1507" s="85" t="str">
        <x:v>Diagnóstico e execução</x:v>
      </x:c>
    </x:row>
    <x:row r="1508">
      <x:c r="A1508" s="83" t="n">
        <x:v>1507</x:v>
      </x:c>
      <x:c r="B1508" s="84" t="n">
        <x:v>878</x:v>
      </x:c>
      <x:c r="C1508" s="84" t="n">
        <x:v>25</x:v>
      </x:c>
      <x:c r="D1508" s="89" t="n">
        <x:v>45682</x:v>
      </x:c>
      <x:c r="E1508" s="84" t="n">
        <x:v>0.8</x:v>
      </x:c>
      <x:c r="F1508" s="84" t="str">
        <x:v>Normal</x:v>
      </x:c>
      <x:c r="G1508" s="93" t="n">
        <x:v>42.87</x:v>
      </x:c>
      <x:c r="H1508" s="85" t="str">
        <x:v>Diagnóstico e execução</x:v>
      </x:c>
    </x:row>
    <x:row r="1509">
      <x:c r="A1509" s="83" t="n">
        <x:v>1508</x:v>
      </x:c>
      <x:c r="B1509" s="84" t="n">
        <x:v>878</x:v>
      </x:c>
      <x:c r="C1509" s="84" t="n">
        <x:v>9</x:v>
      </x:c>
      <x:c r="D1509" s="89" t="n">
        <x:v>45682</x:v>
      </x:c>
      <x:c r="E1509" s="84" t="n">
        <x:v>6.2</x:v>
      </x:c>
      <x:c r="F1509" s="84" t="str">
        <x:v>Normal</x:v>
      </x:c>
      <x:c r="G1509" s="93" t="n">
        <x:v>326.55</x:v>
      </x:c>
      <x:c r="H1509" s="85" t="str">
        <x:v>Diagnóstico e execução</x:v>
      </x:c>
    </x:row>
    <x:row r="1510">
      <x:c r="A1510" s="83" t="n">
        <x:v>1509</x:v>
      </x:c>
      <x:c r="B1510" s="84" t="n">
        <x:v>881</x:v>
      </x:c>
      <x:c r="C1510" s="84" t="n">
        <x:v>21</x:v>
      </x:c>
      <x:c r="D1510" s="89" t="n">
        <x:v>45627</x:v>
      </x:c>
      <x:c r="E1510" s="84" t="n">
        <x:v>1.6</x:v>
      </x:c>
      <x:c r="F1510" s="84" t="str">
        <x:v>Normal</x:v>
      </x:c>
      <x:c r="G1510" s="93" t="n">
        <x:v>98.29</x:v>
      </x:c>
      <x:c r="H1510" s="85" t="str">
        <x:v>Diagnóstico e execução</x:v>
      </x:c>
    </x:row>
    <x:row r="1511">
      <x:c r="A1511" s="83" t="n">
        <x:v>1510</x:v>
      </x:c>
      <x:c r="B1511" s="84" t="n">
        <x:v>882</x:v>
      </x:c>
      <x:c r="C1511" s="84" t="n">
        <x:v>1</x:v>
      </x:c>
      <x:c r="D1511" s="89" t="n">
        <x:v>45696</x:v>
      </x:c>
      <x:c r="E1511" s="84" t="n">
        <x:v>0.7</x:v>
      </x:c>
      <x:c r="F1511" s="84" t="str">
        <x:v>Normal</x:v>
      </x:c>
      <x:c r="G1511" s="93" t="n">
        <x:v>24.76</x:v>
      </x:c>
      <x:c r="H1511" s="85" t="str">
        <x:v>Diagnóstico e execução</x:v>
      </x:c>
    </x:row>
    <x:row r="1512">
      <x:c r="A1512" s="83" t="n">
        <x:v>1511</x:v>
      </x:c>
      <x:c r="B1512" s="84" t="n">
        <x:v>882</x:v>
      </x:c>
      <x:c r="C1512" s="84" t="n">
        <x:v>10</x:v>
      </x:c>
      <x:c r="D1512" s="89" t="n">
        <x:v>45696</x:v>
      </x:c>
      <x:c r="E1512" s="84" t="n">
        <x:v>4</x:v>
      </x:c>
      <x:c r="F1512" s="84" t="str">
        <x:v>Normal</x:v>
      </x:c>
      <x:c r="G1512" s="93" t="n">
        <x:v>118.76</x:v>
      </x:c>
      <x:c r="H1512" s="85" t="str">
        <x:v>Diagnóstico e execução</x:v>
      </x:c>
    </x:row>
    <x:row r="1513">
      <x:c r="A1513" s="83" t="n">
        <x:v>1512</x:v>
      </x:c>
      <x:c r="B1513" s="84" t="n">
        <x:v>883</x:v>
      </x:c>
      <x:c r="C1513" s="84" t="n">
        <x:v>36</x:v>
      </x:c>
      <x:c r="D1513" s="89" t="n">
        <x:v>45160</x:v>
      </x:c>
      <x:c r="E1513" s="84" t="n">
        <x:v>8</x:v>
      </x:c>
      <x:c r="F1513" s="84" t="str">
        <x:v>Normal</x:v>
      </x:c>
      <x:c r="G1513" s="93" t="n">
        <x:v>237.28</x:v>
      </x:c>
      <x:c r="H1513" s="85" t="str">
        <x:v>Diagnóstico e execução</x:v>
      </x:c>
    </x:row>
    <x:row r="1514">
      <x:c r="A1514" s="83" t="n">
        <x:v>1513</x:v>
      </x:c>
      <x:c r="B1514" s="84" t="n">
        <x:v>883</x:v>
      </x:c>
      <x:c r="C1514" s="84" t="n">
        <x:v>17</x:v>
      </x:c>
      <x:c r="D1514" s="89" t="n">
        <x:v>45160</x:v>
      </x:c>
      <x:c r="E1514" s="84" t="n">
        <x:v>2.2</x:v>
      </x:c>
      <x:c r="F1514" s="84" t="str">
        <x:v>Normal</x:v>
      </x:c>
      <x:c r="G1514" s="93" t="n">
        <x:v>122.72</x:v>
      </x:c>
      <x:c r="H1514" s="85" t="str">
        <x:v>Diagnóstico e execução</x:v>
      </x:c>
    </x:row>
    <x:row r="1515">
      <x:c r="A1515" s="83" t="n">
        <x:v>1514</x:v>
      </x:c>
      <x:c r="B1515" s="84" t="n">
        <x:v>884</x:v>
      </x:c>
      <x:c r="C1515" s="84" t="n">
        <x:v>22</x:v>
      </x:c>
      <x:c r="D1515" s="89" t="n">
        <x:v>45600</x:v>
      </x:c>
      <x:c r="E1515" s="84" t="n">
        <x:v>4.8</x:v>
      </x:c>
      <x:c r="F1515" s="84" t="str">
        <x:v>Normal</x:v>
      </x:c>
      <x:c r="G1515" s="93" t="n">
        <x:v>184.61</x:v>
      </x:c>
      <x:c r="H1515" s="85" t="str">
        <x:v>Diagnóstico e execução</x:v>
      </x:c>
    </x:row>
    <x:row r="1516">
      <x:c r="A1516" s="83" t="n">
        <x:v>1515</x:v>
      </x:c>
      <x:c r="B1516" s="84" t="n">
        <x:v>884</x:v>
      </x:c>
      <x:c r="C1516" s="84" t="n">
        <x:v>10</x:v>
      </x:c>
      <x:c r="D1516" s="89" t="n">
        <x:v>45600</x:v>
      </x:c>
      <x:c r="E1516" s="84" t="n">
        <x:v>4.4</x:v>
      </x:c>
      <x:c r="F1516" s="84" t="str">
        <x:v>Normal</x:v>
      </x:c>
      <x:c r="G1516" s="93" t="n">
        <x:v>130.64</x:v>
      </x:c>
      <x:c r="H1516" s="85" t="str">
        <x:v>Diagnóstico e execução</x:v>
      </x:c>
    </x:row>
    <x:row r="1517">
      <x:c r="A1517" s="83" t="n">
        <x:v>1516</x:v>
      </x:c>
      <x:c r="B1517" s="84" t="n">
        <x:v>885</x:v>
      </x:c>
      <x:c r="C1517" s="84" t="n">
        <x:v>23</x:v>
      </x:c>
      <x:c r="D1517" s="89" t="n">
        <x:v>45090</x:v>
      </x:c>
      <x:c r="E1517" s="84" t="n">
        <x:v>6.3</x:v>
      </x:c>
      <x:c r="F1517" s="84" t="str">
        <x:v>Normal</x:v>
      </x:c>
      <x:c r="G1517" s="93" t="n">
        <x:v>271.59</x:v>
      </x:c>
      <x:c r="H1517" s="85" t="str">
        <x:v>Diagnóstico e execução</x:v>
      </x:c>
    </x:row>
    <x:row r="1518">
      <x:c r="A1518" s="83" t="n">
        <x:v>1517</x:v>
      </x:c>
      <x:c r="B1518" s="84" t="n">
        <x:v>885</x:v>
      </x:c>
      <x:c r="C1518" s="84" t="n">
        <x:v>42</x:v>
      </x:c>
      <x:c r="D1518" s="89" t="n">
        <x:v>45090</x:v>
      </x:c>
      <x:c r="E1518" s="84" t="n">
        <x:v>6.1</x:v>
      </x:c>
      <x:c r="F1518" s="84" t="str">
        <x:v>Normal</x:v>
      </x:c>
      <x:c r="G1518" s="93" t="n">
        <x:v>257.3</x:v>
      </x:c>
      <x:c r="H1518" s="85" t="str">
        <x:v>Diagnóstico e execução</x:v>
      </x:c>
    </x:row>
    <x:row r="1519">
      <x:c r="A1519" s="83" t="n">
        <x:v>1518</x:v>
      </x:c>
      <x:c r="B1519" s="84" t="n">
        <x:v>886</x:v>
      </x:c>
      <x:c r="C1519" s="84" t="n">
        <x:v>7</x:v>
      </x:c>
      <x:c r="D1519" s="89" t="n">
        <x:v>45638</x:v>
      </x:c>
      <x:c r="E1519" s="84" t="n">
        <x:v>3.7</x:v>
      </x:c>
      <x:c r="F1519" s="84" t="str">
        <x:v>Normal</x:v>
      </x:c>
      <x:c r="G1519" s="93" t="n">
        <x:v>215.38</x:v>
      </x:c>
      <x:c r="H1519" s="85" t="str">
        <x:v>Diagnóstico e execução</x:v>
      </x:c>
    </x:row>
    <x:row r="1520">
      <x:c r="A1520" s="83" t="n">
        <x:v>1519</x:v>
      </x:c>
      <x:c r="B1520" s="84" t="n">
        <x:v>886</x:v>
      </x:c>
      <x:c r="C1520" s="84" t="n">
        <x:v>15</x:v>
      </x:c>
      <x:c r="D1520" s="89" t="n">
        <x:v>45638</x:v>
      </x:c>
      <x:c r="E1520" s="84" t="n">
        <x:v>1.9</x:v>
      </x:c>
      <x:c r="F1520" s="84" t="str">
        <x:v>Normal</x:v>
      </x:c>
      <x:c r="G1520" s="93" t="n">
        <x:v>57.46</x:v>
      </x:c>
      <x:c r="H1520" s="85" t="str">
        <x:v>Diagnóstico e execução</x:v>
      </x:c>
    </x:row>
    <x:row r="1521">
      <x:c r="A1521" s="83" t="n">
        <x:v>1520</x:v>
      </x:c>
      <x:c r="B1521" s="84" t="n">
        <x:v>887</x:v>
      </x:c>
      <x:c r="C1521" s="84" t="n">
        <x:v>6</x:v>
      </x:c>
      <x:c r="D1521" s="89" t="n">
        <x:v>45983</x:v>
      </x:c>
      <x:c r="E1521" s="84" t="n">
        <x:v>7.2</x:v>
      </x:c>
      <x:c r="F1521" s="84" t="str">
        <x:v>Normal</x:v>
      </x:c>
      <x:c r="G1521" s="93" t="n">
        <x:v>376.27</x:v>
      </x:c>
      <x:c r="H1521" s="85" t="str">
        <x:v>Diagnóstico e execução</x:v>
      </x:c>
    </x:row>
    <x:row r="1522">
      <x:c r="A1522" s="83" t="n">
        <x:v>1521</x:v>
      </x:c>
      <x:c r="B1522" s="84" t="n">
        <x:v>888</x:v>
      </x:c>
      <x:c r="C1522" s="84" t="n">
        <x:v>11</x:v>
      </x:c>
      <x:c r="D1522" s="89" t="n">
        <x:v>45307</x:v>
      </x:c>
      <x:c r="E1522" s="84" t="n">
        <x:v>6.2</x:v>
      </x:c>
      <x:c r="F1522" s="84" t="str">
        <x:v>Normal</x:v>
      </x:c>
      <x:c r="G1522" s="93" t="n">
        <x:v>258.42</x:v>
      </x:c>
      <x:c r="H1522" s="85" t="str">
        <x:v>Diagnóstico e execução</x:v>
      </x:c>
    </x:row>
    <x:row r="1523">
      <x:c r="A1523" s="83" t="n">
        <x:v>1522</x:v>
      </x:c>
      <x:c r="B1523" s="84" t="n">
        <x:v>889</x:v>
      </x:c>
      <x:c r="C1523" s="84" t="n">
        <x:v>29</x:v>
      </x:c>
      <x:c r="D1523" s="89" t="n">
        <x:v>45679</x:v>
      </x:c>
      <x:c r="E1523" s="84" t="n">
        <x:v>6.8</x:v>
      </x:c>
      <x:c r="F1523" s="84" t="str">
        <x:v>Normal</x:v>
      </x:c>
      <x:c r="G1523" s="93" t="n">
        <x:v>336.74</x:v>
      </x:c>
      <x:c r="H1523" s="85" t="str">
        <x:v>Diagnóstico e execução</x:v>
      </x:c>
    </x:row>
    <x:row r="1524">
      <x:c r="A1524" s="83" t="n">
        <x:v>1523</x:v>
      </x:c>
      <x:c r="B1524" s="84" t="n">
        <x:v>889</x:v>
      </x:c>
      <x:c r="C1524" s="84" t="n">
        <x:v>31</x:v>
      </x:c>
      <x:c r="D1524" s="89" t="n">
        <x:v>45679</x:v>
      </x:c>
      <x:c r="E1524" s="84" t="n">
        <x:v>4.2</x:v>
      </x:c>
      <x:c r="F1524" s="84" t="str">
        <x:v>Normal</x:v>
      </x:c>
      <x:c r="G1524" s="93" t="n">
        <x:v>205.38</x:v>
      </x:c>
      <x:c r="H1524" s="85" t="str">
        <x:v>Diagnóstico e execução</x:v>
      </x:c>
    </x:row>
    <x:row r="1525">
      <x:c r="A1525" s="83" t="n">
        <x:v>1524</x:v>
      </x:c>
      <x:c r="B1525" s="84" t="n">
        <x:v>889</x:v>
      </x:c>
      <x:c r="C1525" s="84" t="n">
        <x:v>24</x:v>
      </x:c>
      <x:c r="D1525" s="89" t="n">
        <x:v>45679</x:v>
      </x:c>
      <x:c r="E1525" s="84" t="n">
        <x:v>5</x:v>
      </x:c>
      <x:c r="F1525" s="84" t="str">
        <x:v>Normal</x:v>
      </x:c>
      <x:c r="G1525" s="93" t="n">
        <x:v>296.2</x:v>
      </x:c>
      <x:c r="H1525" s="85" t="str">
        <x:v>Diagnóstico e execução</x:v>
      </x:c>
    </x:row>
    <x:row r="1526">
      <x:c r="A1526" s="83" t="n">
        <x:v>1525</x:v>
      </x:c>
      <x:c r="B1526" s="84" t="n">
        <x:v>890</x:v>
      </x:c>
      <x:c r="C1526" s="84" t="n">
        <x:v>23</x:v>
      </x:c>
      <x:c r="D1526" s="89" t="n">
        <x:v>45335</x:v>
      </x:c>
      <x:c r="E1526" s="84" t="n">
        <x:v>0.8</x:v>
      </x:c>
      <x:c r="F1526" s="84" t="str">
        <x:v>Normal</x:v>
      </x:c>
      <x:c r="G1526" s="93" t="n">
        <x:v>34.49</x:v>
      </x:c>
      <x:c r="H1526" s="85" t="str">
        <x:v>Diagnóstico e execução</x:v>
      </x:c>
    </x:row>
    <x:row r="1527">
      <x:c r="A1527" s="83" t="n">
        <x:v>1526</x:v>
      </x:c>
      <x:c r="B1527" s="84" t="n">
        <x:v>890</x:v>
      </x:c>
      <x:c r="C1527" s="84" t="n">
        <x:v>18</x:v>
      </x:c>
      <x:c r="D1527" s="89" t="n">
        <x:v>45335</x:v>
      </x:c>
      <x:c r="E1527" s="84" t="n">
        <x:v>4.8</x:v>
      </x:c>
      <x:c r="F1527" s="84" t="str">
        <x:v>Normal</x:v>
      </x:c>
      <x:c r="G1527" s="93" t="n">
        <x:v>302.83</x:v>
      </x:c>
      <x:c r="H1527" s="85" t="str">
        <x:v>Diagnóstico e execução</x:v>
      </x:c>
    </x:row>
    <x:row r="1528">
      <x:c r="A1528" s="83" t="n">
        <x:v>1527</x:v>
      </x:c>
      <x:c r="B1528" s="84" t="n">
        <x:v>891</x:v>
      </x:c>
      <x:c r="C1528" s="84" t="n">
        <x:v>43</x:v>
      </x:c>
      <x:c r="D1528" s="89" t="n">
        <x:v>45080</x:v>
      </x:c>
      <x:c r="E1528" s="84" t="n">
        <x:v>2.9</x:v>
      </x:c>
      <x:c r="F1528" s="84" t="str">
        <x:v>Normal</x:v>
      </x:c>
      <x:c r="G1528" s="93" t="n">
        <x:v>158.51</x:v>
      </x:c>
      <x:c r="H1528" s="85" t="str">
        <x:v>Diagnóstico e execução</x:v>
      </x:c>
    </x:row>
    <x:row r="1529">
      <x:c r="A1529" s="83" t="n">
        <x:v>1528</x:v>
      </x:c>
      <x:c r="B1529" s="84" t="n">
        <x:v>893</x:v>
      </x:c>
      <x:c r="C1529" s="84" t="n">
        <x:v>12</x:v>
      </x:c>
      <x:c r="D1529" s="89" t="n">
        <x:v>45730</x:v>
      </x:c>
      <x:c r="E1529" s="84" t="n">
        <x:v>3.9</x:v>
      </x:c>
      <x:c r="F1529" s="84" t="str">
        <x:v>Normal</x:v>
      </x:c>
      <x:c r="G1529" s="93" t="n">
        <x:v>134.55</x:v>
      </x:c>
      <x:c r="H1529" s="85" t="str">
        <x:v>Diagnóstico e execução</x:v>
      </x:c>
    </x:row>
    <x:row r="1530">
      <x:c r="A1530" s="83" t="n">
        <x:v>1529</x:v>
      </x:c>
      <x:c r="B1530" s="84" t="n">
        <x:v>895</x:v>
      </x:c>
      <x:c r="C1530" s="84" t="n">
        <x:v>40</x:v>
      </x:c>
      <x:c r="D1530" s="89" t="n">
        <x:v>45257</x:v>
      </x:c>
      <x:c r="E1530" s="84" t="n">
        <x:v>2.1</x:v>
      </x:c>
      <x:c r="F1530" s="84" t="str">
        <x:v>Normal</x:v>
      </x:c>
      <x:c r="G1530" s="93" t="n">
        <x:v>103.78</x:v>
      </x:c>
      <x:c r="H1530" s="85" t="str">
        <x:v>Diagnóstico e execução</x:v>
      </x:c>
    </x:row>
    <x:row r="1531">
      <x:c r="A1531" s="83" t="n">
        <x:v>1530</x:v>
      </x:c>
      <x:c r="B1531" s="84" t="n">
        <x:v>896</x:v>
      </x:c>
      <x:c r="C1531" s="84" t="n">
        <x:v>2</x:v>
      </x:c>
      <x:c r="D1531" s="89" t="n">
        <x:v>45072</x:v>
      </x:c>
      <x:c r="E1531" s="84" t="n">
        <x:v>6.4</x:v>
      </x:c>
      <x:c r="F1531" s="84" t="str">
        <x:v>Normal</x:v>
      </x:c>
      <x:c r="G1531" s="93" t="n">
        <x:v>238.46</x:v>
      </x:c>
      <x:c r="H1531" s="85" t="str">
        <x:v>Diagnóstico e execução</x:v>
      </x:c>
    </x:row>
    <x:row r="1532">
      <x:c r="A1532" s="83" t="n">
        <x:v>1531</x:v>
      </x:c>
      <x:c r="B1532" s="84" t="n">
        <x:v>896</x:v>
      </x:c>
      <x:c r="C1532" s="84" t="n">
        <x:v>3</x:v>
      </x:c>
      <x:c r="D1532" s="89" t="n">
        <x:v>45072</x:v>
      </x:c>
      <x:c r="E1532" s="84" t="n">
        <x:v>6.9</x:v>
      </x:c>
      <x:c r="F1532" s="84" t="str">
        <x:v>Normal</x:v>
      </x:c>
      <x:c r="G1532" s="93" t="n">
        <x:v>339.76</x:v>
      </x:c>
      <x:c r="H1532" s="85" t="str">
        <x:v>Diagnóstico e execução</x:v>
      </x:c>
    </x:row>
    <x:row r="1533">
      <x:c r="A1533" s="83" t="n">
        <x:v>1532</x:v>
      </x:c>
      <x:c r="B1533" s="84" t="n">
        <x:v>897</x:v>
      </x:c>
      <x:c r="C1533" s="84" t="n">
        <x:v>34</x:v>
      </x:c>
      <x:c r="D1533" s="89" t="n">
        <x:v>45002</x:v>
      </x:c>
      <x:c r="E1533" s="84" t="n">
        <x:v>7.6</x:v>
      </x:c>
      <x:c r="F1533" s="84" t="str">
        <x:v>Normal</x:v>
      </x:c>
      <x:c r="G1533" s="93" t="n">
        <x:v>328.55</x:v>
      </x:c>
      <x:c r="H1533" s="85" t="str">
        <x:v>Diagnóstico e execução</x:v>
      </x:c>
    </x:row>
    <x:row r="1534">
      <x:c r="A1534" s="83" t="n">
        <x:v>1533</x:v>
      </x:c>
      <x:c r="B1534" s="84" t="n">
        <x:v>897</x:v>
      </x:c>
      <x:c r="C1534" s="84" t="n">
        <x:v>21</x:v>
      </x:c>
      <x:c r="D1534" s="89" t="n">
        <x:v>45002</x:v>
      </x:c>
      <x:c r="E1534" s="84" t="n">
        <x:v>1.3</x:v>
      </x:c>
      <x:c r="F1534" s="84" t="str">
        <x:v>Normal</x:v>
      </x:c>
      <x:c r="G1534" s="93" t="n">
        <x:v>79.86</x:v>
      </x:c>
      <x:c r="H1534" s="85" t="str">
        <x:v>Diagnóstico e execução</x:v>
      </x:c>
    </x:row>
    <x:row r="1535">
      <x:c r="A1535" s="83" t="n">
        <x:v>1534</x:v>
      </x:c>
      <x:c r="B1535" s="84" t="n">
        <x:v>897</x:v>
      </x:c>
      <x:c r="C1535" s="84" t="n">
        <x:v>30</x:v>
      </x:c>
      <x:c r="D1535" s="89" t="n">
        <x:v>45002</x:v>
      </x:c>
      <x:c r="E1535" s="84" t="n">
        <x:v>2.8</x:v>
      </x:c>
      <x:c r="F1535" s="84" t="str">
        <x:v>Normal</x:v>
      </x:c>
      <x:c r="G1535" s="93" t="n">
        <x:v>115.95</x:v>
      </x:c>
      <x:c r="H1535" s="85" t="str">
        <x:v>Diagnóstico e execução</x:v>
      </x:c>
    </x:row>
    <x:row r="1536">
      <x:c r="A1536" s="83" t="n">
        <x:v>1535</x:v>
      </x:c>
      <x:c r="B1536" s="84" t="n">
        <x:v>899</x:v>
      </x:c>
      <x:c r="C1536" s="84" t="n">
        <x:v>18</x:v>
      </x:c>
      <x:c r="D1536" s="89" t="n">
        <x:v>45860</x:v>
      </x:c>
      <x:c r="E1536" s="84" t="n">
        <x:v>1.3</x:v>
      </x:c>
      <x:c r="F1536" s="84" t="str">
        <x:v>Normal</x:v>
      </x:c>
      <x:c r="G1536" s="93" t="n">
        <x:v>82.02</x:v>
      </x:c>
      <x:c r="H1536" s="85" t="str">
        <x:v>Diagnóstico e execução</x:v>
      </x:c>
    </x:row>
    <x:row r="1537">
      <x:c r="A1537" s="83" t="n">
        <x:v>1536</x:v>
      </x:c>
      <x:c r="B1537" s="84" t="n">
        <x:v>899</x:v>
      </x:c>
      <x:c r="C1537" s="84" t="n">
        <x:v>16</x:v>
      </x:c>
      <x:c r="D1537" s="89" t="n">
        <x:v>45860</x:v>
      </x:c>
      <x:c r="E1537" s="84" t="n">
        <x:v>2.6</x:v>
      </x:c>
      <x:c r="F1537" s="84" t="str">
        <x:v>Normal</x:v>
      </x:c>
      <x:c r="G1537" s="93" t="n">
        <x:v>105.35</x:v>
      </x:c>
      <x:c r="H1537" s="85" t="str">
        <x:v>Diagnóstico e execução</x:v>
      </x:c>
    </x:row>
    <x:row r="1538">
      <x:c r="A1538" s="83" t="n">
        <x:v>1537</x:v>
      </x:c>
      <x:c r="B1538" s="84" t="n">
        <x:v>900</x:v>
      </x:c>
      <x:c r="C1538" s="84" t="n">
        <x:v>2</x:v>
      </x:c>
      <x:c r="D1538" s="89" t="n">
        <x:v>45125</x:v>
      </x:c>
      <x:c r="E1538" s="84" t="n">
        <x:v>1.3</x:v>
      </x:c>
      <x:c r="F1538" s="84" t="str">
        <x:v>Normal</x:v>
      </x:c>
      <x:c r="G1538" s="93" t="n">
        <x:v>48.44</x:v>
      </x:c>
      <x:c r="H1538" s="85" t="str">
        <x:v>Diagnóstico e execução</x:v>
      </x:c>
    </x:row>
    <x:row r="1539">
      <x:c r="A1539" s="83" t="n">
        <x:v>1538</x:v>
      </x:c>
      <x:c r="B1539" s="84" t="n">
        <x:v>900</x:v>
      </x:c>
      <x:c r="C1539" s="84" t="n">
        <x:v>12</x:v>
      </x:c>
      <x:c r="D1539" s="89" t="n">
        <x:v>45125</x:v>
      </x:c>
      <x:c r="E1539" s="84" t="n">
        <x:v>0.9</x:v>
      </x:c>
      <x:c r="F1539" s="84" t="str">
        <x:v>Normal</x:v>
      </x:c>
      <x:c r="G1539" s="93" t="n">
        <x:v>31.05</x:v>
      </x:c>
      <x:c r="H1539" s="85" t="str">
        <x:v>Diagnóstico e execução</x:v>
      </x:c>
    </x:row>
    <x:row r="1540">
      <x:c r="A1540" s="83" t="n">
        <x:v>1539</x:v>
      </x:c>
      <x:c r="B1540" s="84" t="n">
        <x:v>901</x:v>
      </x:c>
      <x:c r="C1540" s="84" t="n">
        <x:v>11</x:v>
      </x:c>
      <x:c r="D1540" s="89" t="n">
        <x:v>45226</x:v>
      </x:c>
      <x:c r="E1540" s="84" t="n">
        <x:v>5</x:v>
      </x:c>
      <x:c r="F1540" s="84" t="str">
        <x:v>Normal</x:v>
      </x:c>
      <x:c r="G1540" s="93" t="n">
        <x:v>208.4</x:v>
      </x:c>
      <x:c r="H1540" s="85" t="str">
        <x:v>Diagnóstico e execução</x:v>
      </x:c>
    </x:row>
    <x:row r="1541">
      <x:c r="A1541" s="83" t="n">
        <x:v>1540</x:v>
      </x:c>
      <x:c r="B1541" s="84" t="n">
        <x:v>901</x:v>
      </x:c>
      <x:c r="C1541" s="84" t="n">
        <x:v>32</x:v>
      </x:c>
      <x:c r="D1541" s="89" t="n">
        <x:v>45226</x:v>
      </x:c>
      <x:c r="E1541" s="84" t="n">
        <x:v>5.3</x:v>
      </x:c>
      <x:c r="F1541" s="84" t="str">
        <x:v>Normal</x:v>
      </x:c>
      <x:c r="G1541" s="93" t="n">
        <x:v>231.34</x:v>
      </x:c>
      <x:c r="H1541" s="85" t="str">
        <x:v>Diagnóstico e execução</x:v>
      </x:c>
    </x:row>
    <x:row r="1542">
      <x:c r="A1542" s="83" t="n">
        <x:v>1541</x:v>
      </x:c>
      <x:c r="B1542" s="84" t="n">
        <x:v>902</x:v>
      </x:c>
      <x:c r="C1542" s="84" t="n">
        <x:v>35</x:v>
      </x:c>
      <x:c r="D1542" s="89" t="n">
        <x:v>45301</x:v>
      </x:c>
      <x:c r="E1542" s="84" t="n">
        <x:v>3.5</x:v>
      </x:c>
      <x:c r="F1542" s="84" t="str">
        <x:v>Normal</x:v>
      </x:c>
      <x:c r="G1542" s="93" t="n">
        <x:v>172.16</x:v>
      </x:c>
      <x:c r="H1542" s="85" t="str">
        <x:v>Diagnóstico e execução</x:v>
      </x:c>
    </x:row>
    <x:row r="1543">
      <x:c r="A1543" s="83" t="n">
        <x:v>1542</x:v>
      </x:c>
      <x:c r="B1543" s="84" t="n">
        <x:v>902</x:v>
      </x:c>
      <x:c r="C1543" s="84" t="n">
        <x:v>5</x:v>
      </x:c>
      <x:c r="D1543" s="89" t="n">
        <x:v>45301</x:v>
      </x:c>
      <x:c r="E1543" s="84" t="n">
        <x:v>6.9</x:v>
      </x:c>
      <x:c r="F1543" s="84" t="str">
        <x:v>Normal</x:v>
      </x:c>
      <x:c r="G1543" s="93" t="n">
        <x:v>198.86</x:v>
      </x:c>
      <x:c r="H1543" s="85" t="str">
        <x:v>Diagnóstico e execução</x:v>
      </x:c>
    </x:row>
    <x:row r="1544">
      <x:c r="A1544" s="83" t="n">
        <x:v>1543</x:v>
      </x:c>
      <x:c r="B1544" s="84" t="n">
        <x:v>902</x:v>
      </x:c>
      <x:c r="C1544" s="84" t="n">
        <x:v>10</x:v>
      </x:c>
      <x:c r="D1544" s="89" t="n">
        <x:v>45301</x:v>
      </x:c>
      <x:c r="E1544" s="84" t="n">
        <x:v>7.5</x:v>
      </x:c>
      <x:c r="F1544" s="84" t="str">
        <x:v>Normal</x:v>
      </x:c>
      <x:c r="G1544" s="93" t="n">
        <x:v>222.68</x:v>
      </x:c>
      <x:c r="H1544" s="85" t="str">
        <x:v>Diagnóstico e execução</x:v>
      </x:c>
    </x:row>
    <x:row r="1545">
      <x:c r="A1545" s="83" t="n">
        <x:v>1544</x:v>
      </x:c>
      <x:c r="B1545" s="84" t="n">
        <x:v>903</x:v>
      </x:c>
      <x:c r="C1545" s="84" t="n">
        <x:v>38</x:v>
      </x:c>
      <x:c r="D1545" s="89" t="n">
        <x:v>45656</x:v>
      </x:c>
      <x:c r="E1545" s="84" t="n">
        <x:v>2.5</x:v>
      </x:c>
      <x:c r="F1545" s="84" t="str">
        <x:v>Normal</x:v>
      </x:c>
      <x:c r="G1545" s="93" t="n">
        <x:v>84.18</x:v>
      </x:c>
      <x:c r="H1545" s="85" t="str">
        <x:v>Diagnóstico e execução</x:v>
      </x:c>
    </x:row>
    <x:row r="1546">
      <x:c r="A1546" s="83" t="n">
        <x:v>1545</x:v>
      </x:c>
      <x:c r="B1546" s="84" t="n">
        <x:v>903</x:v>
      </x:c>
      <x:c r="C1546" s="84" t="n">
        <x:v>30</x:v>
      </x:c>
      <x:c r="D1546" s="89" t="n">
        <x:v>45656</x:v>
      </x:c>
      <x:c r="E1546" s="84" t="n">
        <x:v>6.4</x:v>
      </x:c>
      <x:c r="F1546" s="84" t="str">
        <x:v>Normal</x:v>
      </x:c>
      <x:c r="G1546" s="93" t="n">
        <x:v>265.02</x:v>
      </x:c>
      <x:c r="H1546" s="85" t="str">
        <x:v>Diagnóstico e execução</x:v>
      </x:c>
    </x:row>
    <x:row r="1547">
      <x:c r="A1547" s="83" t="n">
        <x:v>1546</x:v>
      </x:c>
      <x:c r="B1547" s="84" t="n">
        <x:v>903</x:v>
      </x:c>
      <x:c r="C1547" s="84" t="n">
        <x:v>24</x:v>
      </x:c>
      <x:c r="D1547" s="89" t="n">
        <x:v>45656</x:v>
      </x:c>
      <x:c r="E1547" s="84" t="n">
        <x:v>5.3</x:v>
      </x:c>
      <x:c r="F1547" s="84" t="str">
        <x:v>Normal</x:v>
      </x:c>
      <x:c r="G1547" s="93" t="n">
        <x:v>313.97</x:v>
      </x:c>
      <x:c r="H1547" s="85" t="str">
        <x:v>Diagnóstico e execução</x:v>
      </x:c>
    </x:row>
    <x:row r="1548">
      <x:c r="A1548" s="83" t="n">
        <x:v>1547</x:v>
      </x:c>
      <x:c r="B1548" s="84" t="n">
        <x:v>904</x:v>
      </x:c>
      <x:c r="C1548" s="84" t="n">
        <x:v>18</x:v>
      </x:c>
      <x:c r="D1548" s="89" t="n">
        <x:v>45862</x:v>
      </x:c>
      <x:c r="E1548" s="84" t="n">
        <x:v>6.1</x:v>
      </x:c>
      <x:c r="F1548" s="84" t="str">
        <x:v>Normal</x:v>
      </x:c>
      <x:c r="G1548" s="93" t="n">
        <x:v>384.85</x:v>
      </x:c>
      <x:c r="H1548" s="85" t="str">
        <x:v>Diagnóstico e execução</x:v>
      </x:c>
    </x:row>
    <x:row r="1549">
      <x:c r="A1549" s="83" t="n">
        <x:v>1548</x:v>
      </x:c>
      <x:c r="B1549" s="84" t="n">
        <x:v>904</x:v>
      </x:c>
      <x:c r="C1549" s="84" t="n">
        <x:v>14</x:v>
      </x:c>
      <x:c r="D1549" s="89" t="n">
        <x:v>45862</x:v>
      </x:c>
      <x:c r="E1549" s="84" t="n">
        <x:v>4.1</x:v>
      </x:c>
      <x:c r="F1549" s="84" t="str">
        <x:v>Normal</x:v>
      </x:c>
      <x:c r="G1549" s="93" t="n">
        <x:v>232.31</x:v>
      </x:c>
      <x:c r="H1549" s="85" t="str">
        <x:v>Diagnóstico e execução</x:v>
      </x:c>
    </x:row>
    <x:row r="1550">
      <x:c r="A1550" s="83" t="n">
        <x:v>1549</x:v>
      </x:c>
      <x:c r="B1550" s="84" t="n">
        <x:v>904</x:v>
      </x:c>
      <x:c r="C1550" s="84" t="n">
        <x:v>6</x:v>
      </x:c>
      <x:c r="D1550" s="89" t="n">
        <x:v>45862</x:v>
      </x:c>
      <x:c r="E1550" s="84" t="n">
        <x:v>1.3</x:v>
      </x:c>
      <x:c r="F1550" s="84" t="str">
        <x:v>Normal</x:v>
      </x:c>
      <x:c r="G1550" s="93" t="n">
        <x:v>67.94</x:v>
      </x:c>
      <x:c r="H1550" s="85" t="str">
        <x:v>Diagnóstico e execução</x:v>
      </x:c>
    </x:row>
    <x:row r="1551">
      <x:c r="A1551" s="83" t="n">
        <x:v>1550</x:v>
      </x:c>
      <x:c r="B1551" s="84" t="n">
        <x:v>905</x:v>
      </x:c>
      <x:c r="C1551" s="84" t="n">
        <x:v>44</x:v>
      </x:c>
      <x:c r="D1551" s="89" t="n">
        <x:v>45779</x:v>
      </x:c>
      <x:c r="E1551" s="84" t="n">
        <x:v>6.8</x:v>
      </x:c>
      <x:c r="F1551" s="84" t="str">
        <x:v>Normal</x:v>
      </x:c>
      <x:c r="G1551" s="93" t="n">
        <x:v>190.67</x:v>
      </x:c>
      <x:c r="H1551" s="85" t="str">
        <x:v>Diagnóstico e execução</x:v>
      </x:c>
    </x:row>
    <x:row r="1552">
      <x:c r="A1552" s="83" t="n">
        <x:v>1551</x:v>
      </x:c>
      <x:c r="B1552" s="84" t="n">
        <x:v>905</x:v>
      </x:c>
      <x:c r="C1552" s="84" t="n">
        <x:v>22</x:v>
      </x:c>
      <x:c r="D1552" s="89" t="n">
        <x:v>45779</x:v>
      </x:c>
      <x:c r="E1552" s="84" t="n">
        <x:v>3.1</x:v>
      </x:c>
      <x:c r="F1552" s="84" t="str">
        <x:v>Normal</x:v>
      </x:c>
      <x:c r="G1552" s="93" t="n">
        <x:v>119.23</x:v>
      </x:c>
      <x:c r="H1552" s="85" t="str">
        <x:v>Diagnóstico e execução</x:v>
      </x:c>
    </x:row>
    <x:row r="1553">
      <x:c r="A1553" s="83" t="n">
        <x:v>1552</x:v>
      </x:c>
      <x:c r="B1553" s="84" t="n">
        <x:v>907</x:v>
      </x:c>
      <x:c r="C1553" s="84" t="n">
        <x:v>21</x:v>
      </x:c>
      <x:c r="D1553" s="89" t="n">
        <x:v>45363</x:v>
      </x:c>
      <x:c r="E1553" s="84" t="n">
        <x:v>5.9</x:v>
      </x:c>
      <x:c r="F1553" s="84" t="str">
        <x:v>Normal</x:v>
      </x:c>
      <x:c r="G1553" s="93" t="n">
        <x:v>362.44</x:v>
      </x:c>
      <x:c r="H1553" s="85" t="str">
        <x:v>Diagnóstico e execução</x:v>
      </x:c>
    </x:row>
    <x:row r="1554">
      <x:c r="A1554" s="83" t="n">
        <x:v>1553</x:v>
      </x:c>
      <x:c r="B1554" s="84" t="n">
        <x:v>907</x:v>
      </x:c>
      <x:c r="C1554" s="84" t="n">
        <x:v>43</x:v>
      </x:c>
      <x:c r="D1554" s="89" t="n">
        <x:v>45363</x:v>
      </x:c>
      <x:c r="E1554" s="84" t="n">
        <x:v>4.7</x:v>
      </x:c>
      <x:c r="F1554" s="84" t="str">
        <x:v>Normal</x:v>
      </x:c>
      <x:c r="G1554" s="93" t="n">
        <x:v>256.9</x:v>
      </x:c>
      <x:c r="H1554" s="85" t="str">
        <x:v>Diagnóstico e execução</x:v>
      </x:c>
    </x:row>
    <x:row r="1555">
      <x:c r="A1555" s="83" t="n">
        <x:v>1554</x:v>
      </x:c>
      <x:c r="B1555" s="84" t="n">
        <x:v>908</x:v>
      </x:c>
      <x:c r="C1555" s="84" t="n">
        <x:v>43</x:v>
      </x:c>
      <x:c r="D1555" s="89" t="n">
        <x:v>45386</x:v>
      </x:c>
      <x:c r="E1555" s="84" t="n">
        <x:v>7.7</x:v>
      </x:c>
      <x:c r="F1555" s="84" t="str">
        <x:v>Normal</x:v>
      </x:c>
      <x:c r="G1555" s="93" t="n">
        <x:v>420.88</x:v>
      </x:c>
      <x:c r="H1555" s="85" t="str">
        <x:v>Diagnóstico e execução</x:v>
      </x:c>
    </x:row>
    <x:row r="1556">
      <x:c r="A1556" s="83" t="n">
        <x:v>1555</x:v>
      </x:c>
      <x:c r="B1556" s="84" t="n">
        <x:v>908</x:v>
      </x:c>
      <x:c r="C1556" s="84" t="n">
        <x:v>24</x:v>
      </x:c>
      <x:c r="D1556" s="89" t="n">
        <x:v>45386</x:v>
      </x:c>
      <x:c r="E1556" s="84" t="n">
        <x:v>5.2</x:v>
      </x:c>
      <x:c r="F1556" s="84" t="str">
        <x:v>Normal</x:v>
      </x:c>
      <x:c r="G1556" s="93" t="n">
        <x:v>308.05</x:v>
      </x:c>
      <x:c r="H1556" s="85" t="str">
        <x:v>Diagnóstico e execução</x:v>
      </x:c>
    </x:row>
    <x:row r="1557">
      <x:c r="A1557" s="83" t="n">
        <x:v>1556</x:v>
      </x:c>
      <x:c r="B1557" s="84" t="n">
        <x:v>908</x:v>
      </x:c>
      <x:c r="C1557" s="84" t="n">
        <x:v>16</x:v>
      </x:c>
      <x:c r="D1557" s="89" t="n">
        <x:v>45386</x:v>
      </x:c>
      <x:c r="E1557" s="84" t="n">
        <x:v>1</x:v>
      </x:c>
      <x:c r="F1557" s="84" t="str">
        <x:v>Normal</x:v>
      </x:c>
      <x:c r="G1557" s="93" t="n">
        <x:v>40.52</x:v>
      </x:c>
      <x:c r="H1557" s="85" t="str">
        <x:v>Diagnóstico e execução</x:v>
      </x:c>
    </x:row>
    <x:row r="1558">
      <x:c r="A1558" s="83" t="n">
        <x:v>1557</x:v>
      </x:c>
      <x:c r="B1558" s="84" t="n">
        <x:v>909</x:v>
      </x:c>
      <x:c r="C1558" s="84" t="n">
        <x:v>44</x:v>
      </x:c>
      <x:c r="D1558" s="89" t="n">
        <x:v>45231</x:v>
      </x:c>
      <x:c r="E1558" s="84" t="n">
        <x:v>5.1</x:v>
      </x:c>
      <x:c r="F1558" s="84" t="str">
        <x:v>Normal</x:v>
      </x:c>
      <x:c r="G1558" s="93" t="n">
        <x:v>143</x:v>
      </x:c>
      <x:c r="H1558" s="85" t="str">
        <x:v>Diagnóstico e execução</x:v>
      </x:c>
    </x:row>
    <x:row r="1559">
      <x:c r="A1559" s="83" t="n">
        <x:v>1558</x:v>
      </x:c>
      <x:c r="B1559" s="84" t="n">
        <x:v>909</x:v>
      </x:c>
      <x:c r="C1559" s="84" t="n">
        <x:v>40</x:v>
      </x:c>
      <x:c r="D1559" s="89" t="n">
        <x:v>45231</x:v>
      </x:c>
      <x:c r="E1559" s="84" t="n">
        <x:v>1.1</x:v>
      </x:c>
      <x:c r="F1559" s="84" t="str">
        <x:v>Normal</x:v>
      </x:c>
      <x:c r="G1559" s="93" t="n">
        <x:v>54.36</x:v>
      </x:c>
      <x:c r="H1559" s="85" t="str">
        <x:v>Diagnóstico e execução</x:v>
      </x:c>
    </x:row>
    <x:row r="1560">
      <x:c r="A1560" s="83" t="n">
        <x:v>1559</x:v>
      </x:c>
      <x:c r="B1560" s="84" t="n">
        <x:v>911</x:v>
      </x:c>
      <x:c r="C1560" s="84" t="n">
        <x:v>41</x:v>
      </x:c>
      <x:c r="D1560" s="89" t="n">
        <x:v>45480</x:v>
      </x:c>
      <x:c r="E1560" s="84" t="n">
        <x:v>5.7</x:v>
      </x:c>
      <x:c r="F1560" s="84" t="str">
        <x:v>Normal</x:v>
      </x:c>
      <x:c r="G1560" s="93" t="n">
        <x:v>288.31</x:v>
      </x:c>
      <x:c r="H1560" s="85" t="str">
        <x:v>Diagnóstico e execução</x:v>
      </x:c>
    </x:row>
    <x:row r="1561">
      <x:c r="A1561" s="83" t="n">
        <x:v>1560</x:v>
      </x:c>
      <x:c r="B1561" s="84" t="n">
        <x:v>911</x:v>
      </x:c>
      <x:c r="C1561" s="84" t="n">
        <x:v>3</x:v>
      </x:c>
      <x:c r="D1561" s="89" t="n">
        <x:v>45480</x:v>
      </x:c>
      <x:c r="E1561" s="84" t="n">
        <x:v>3.6</x:v>
      </x:c>
      <x:c r="F1561" s="84" t="str">
        <x:v>Normal</x:v>
      </x:c>
      <x:c r="G1561" s="93" t="n">
        <x:v>177.26</x:v>
      </x:c>
      <x:c r="H1561" s="85" t="str">
        <x:v>Diagnóstico e execução</x:v>
      </x:c>
    </x:row>
    <x:row r="1562">
      <x:c r="A1562" s="83" t="n">
        <x:v>1561</x:v>
      </x:c>
      <x:c r="B1562" s="84" t="n">
        <x:v>912</x:v>
      </x:c>
      <x:c r="C1562" s="84" t="n">
        <x:v>19</x:v>
      </x:c>
      <x:c r="D1562" s="89" t="n">
        <x:v>45559</x:v>
      </x:c>
      <x:c r="E1562" s="84" t="n">
        <x:v>1.7</x:v>
      </x:c>
      <x:c r="F1562" s="84" t="str">
        <x:v>Normal</x:v>
      </x:c>
      <x:c r="G1562" s="93" t="n">
        <x:v>79.02</x:v>
      </x:c>
      <x:c r="H1562" s="85" t="str">
        <x:v>Diagnóstico e execução</x:v>
      </x:c>
    </x:row>
    <x:row r="1563">
      <x:c r="A1563" s="83" t="n">
        <x:v>1562</x:v>
      </x:c>
      <x:c r="B1563" s="84" t="n">
        <x:v>913</x:v>
      </x:c>
      <x:c r="C1563" s="84" t="n">
        <x:v>40</x:v>
      </x:c>
      <x:c r="D1563" s="89" t="n">
        <x:v>45553</x:v>
      </x:c>
      <x:c r="E1563" s="84" t="n">
        <x:v>6.3</x:v>
      </x:c>
      <x:c r="F1563" s="84" t="str">
        <x:v>Normal</x:v>
      </x:c>
      <x:c r="G1563" s="93" t="n">
        <x:v>311.35</x:v>
      </x:c>
      <x:c r="H1563" s="85" t="str">
        <x:v>Diagnóstico e execução</x:v>
      </x:c>
    </x:row>
    <x:row r="1564">
      <x:c r="A1564" s="83" t="n">
        <x:v>1563</x:v>
      </x:c>
      <x:c r="B1564" s="84" t="n">
        <x:v>913</x:v>
      </x:c>
      <x:c r="C1564" s="84" t="n">
        <x:v>11</x:v>
      </x:c>
      <x:c r="D1564" s="89" t="n">
        <x:v>45553</x:v>
      </x:c>
      <x:c r="E1564" s="84" t="n">
        <x:v>6.2</x:v>
      </x:c>
      <x:c r="F1564" s="84" t="str">
        <x:v>Normal</x:v>
      </x:c>
      <x:c r="G1564" s="93" t="n">
        <x:v>258.42</x:v>
      </x:c>
      <x:c r="H1564" s="85" t="str">
        <x:v>Diagnóstico e execução</x:v>
      </x:c>
    </x:row>
    <x:row r="1565">
      <x:c r="A1565" s="83" t="n">
        <x:v>1564</x:v>
      </x:c>
      <x:c r="B1565" s="84" t="n">
        <x:v>914</x:v>
      </x:c>
      <x:c r="C1565" s="84" t="n">
        <x:v>32</x:v>
      </x:c>
      <x:c r="D1565" s="89" t="n">
        <x:v>45228</x:v>
      </x:c>
      <x:c r="E1565" s="84" t="n">
        <x:v>6.2</x:v>
      </x:c>
      <x:c r="F1565" s="84" t="str">
        <x:v>Normal</x:v>
      </x:c>
      <x:c r="G1565" s="93" t="n">
        <x:v>270.63</x:v>
      </x:c>
      <x:c r="H1565" s="85" t="str">
        <x:v>Diagnóstico e execução</x:v>
      </x:c>
    </x:row>
    <x:row r="1566">
      <x:c r="A1566" s="83" t="n">
        <x:v>1565</x:v>
      </x:c>
      <x:c r="B1566" s="84" t="n">
        <x:v>914</x:v>
      </x:c>
      <x:c r="C1566" s="84" t="n">
        <x:v>30</x:v>
      </x:c>
      <x:c r="D1566" s="89" t="n">
        <x:v>45228</x:v>
      </x:c>
      <x:c r="E1566" s="84" t="n">
        <x:v>7.7</x:v>
      </x:c>
      <x:c r="F1566" s="84" t="str">
        <x:v>Normal</x:v>
      </x:c>
      <x:c r="G1566" s="93" t="n">
        <x:v>318.86</x:v>
      </x:c>
      <x:c r="H1566" s="85" t="str">
        <x:v>Diagnóstico e execução</x:v>
      </x:c>
    </x:row>
    <x:row r="1567">
      <x:c r="A1567" s="83" t="n">
        <x:v>1566</x:v>
      </x:c>
      <x:c r="B1567" s="84" t="n">
        <x:v>914</x:v>
      </x:c>
      <x:c r="C1567" s="84" t="n">
        <x:v>2</x:v>
      </x:c>
      <x:c r="D1567" s="89" t="n">
        <x:v>45228</x:v>
      </x:c>
      <x:c r="E1567" s="84" t="n">
        <x:v>3.5</x:v>
      </x:c>
      <x:c r="F1567" s="84" t="str">
        <x:v>Normal</x:v>
      </x:c>
      <x:c r="G1567" s="93" t="n">
        <x:v>130.41</x:v>
      </x:c>
      <x:c r="H1567" s="85" t="str">
        <x:v>Diagnóstico e execução</x:v>
      </x:c>
    </x:row>
    <x:row r="1568">
      <x:c r="A1568" s="83" t="n">
        <x:v>1567</x:v>
      </x:c>
      <x:c r="B1568" s="84" t="n">
        <x:v>915</x:v>
      </x:c>
      <x:c r="C1568" s="84" t="n">
        <x:v>33</x:v>
      </x:c>
      <x:c r="D1568" s="89" t="n">
        <x:v>45005</x:v>
      </x:c>
      <x:c r="E1568" s="84" t="n">
        <x:v>5</x:v>
      </x:c>
      <x:c r="F1568" s="84" t="str">
        <x:v>Normal</x:v>
      </x:c>
      <x:c r="G1568" s="93" t="n">
        <x:v>172.45</x:v>
      </x:c>
      <x:c r="H1568" s="85" t="str">
        <x:v>Diagnóstico e execução</x:v>
      </x:c>
    </x:row>
    <x:row r="1569">
      <x:c r="A1569" s="83" t="n">
        <x:v>1568</x:v>
      </x:c>
      <x:c r="B1569" s="84" t="n">
        <x:v>915</x:v>
      </x:c>
      <x:c r="C1569" s="84" t="n">
        <x:v>38</x:v>
      </x:c>
      <x:c r="D1569" s="89" t="n">
        <x:v>45005</x:v>
      </x:c>
      <x:c r="E1569" s="84" t="n">
        <x:v>7.2</x:v>
      </x:c>
      <x:c r="F1569" s="84" t="str">
        <x:v>Normal</x:v>
      </x:c>
      <x:c r="G1569" s="93" t="n">
        <x:v>242.42</x:v>
      </x:c>
      <x:c r="H1569" s="85" t="str">
        <x:v>Diagnóstico e execução</x:v>
      </x:c>
    </x:row>
    <x:row r="1570">
      <x:c r="A1570" s="83" t="n">
        <x:v>1569</x:v>
      </x:c>
      <x:c r="B1570" s="84" t="n">
        <x:v>915</x:v>
      </x:c>
      <x:c r="C1570" s="84" t="n">
        <x:v>23</x:v>
      </x:c>
      <x:c r="D1570" s="89" t="n">
        <x:v>45005</x:v>
      </x:c>
      <x:c r="E1570" s="84" t="n">
        <x:v>2</x:v>
      </x:c>
      <x:c r="F1570" s="84" t="str">
        <x:v>Normal</x:v>
      </x:c>
      <x:c r="G1570" s="93" t="n">
        <x:v>86.22</x:v>
      </x:c>
      <x:c r="H1570" s="85" t="str">
        <x:v>Diagnóstico e execução</x:v>
      </x:c>
    </x:row>
    <x:row r="1571">
      <x:c r="A1571" s="83" t="n">
        <x:v>1570</x:v>
      </x:c>
      <x:c r="B1571" s="84" t="n">
        <x:v>916</x:v>
      </x:c>
      <x:c r="C1571" s="84" t="n">
        <x:v>2</x:v>
      </x:c>
      <x:c r="D1571" s="89" t="n">
        <x:v>45917</x:v>
      </x:c>
      <x:c r="E1571" s="84" t="n">
        <x:v>3.7</x:v>
      </x:c>
      <x:c r="F1571" s="84" t="str">
        <x:v>Normal</x:v>
      </x:c>
      <x:c r="G1571" s="93" t="n">
        <x:v>137.86</x:v>
      </x:c>
      <x:c r="H1571" s="85" t="str">
        <x:v>Diagnóstico e execução</x:v>
      </x:c>
    </x:row>
    <x:row r="1572">
      <x:c r="A1572" s="83" t="n">
        <x:v>1571</x:v>
      </x:c>
      <x:c r="B1572" s="84" t="n">
        <x:v>916</x:v>
      </x:c>
      <x:c r="C1572" s="84" t="n">
        <x:v>18</x:v>
      </x:c>
      <x:c r="D1572" s="89" t="n">
        <x:v>45917</x:v>
      </x:c>
      <x:c r="E1572" s="84" t="n">
        <x:v>4.6</x:v>
      </x:c>
      <x:c r="F1572" s="84" t="str">
        <x:v>Normal</x:v>
      </x:c>
      <x:c r="G1572" s="93" t="n">
        <x:v>290.21</x:v>
      </x:c>
      <x:c r="H1572" s="85" t="str">
        <x:v>Diagnóstico e execução</x:v>
      </x:c>
    </x:row>
    <x:row r="1573">
      <x:c r="A1573" s="83" t="n">
        <x:v>1572</x:v>
      </x:c>
      <x:c r="B1573" s="84" t="n">
        <x:v>917</x:v>
      </x:c>
      <x:c r="C1573" s="84" t="n">
        <x:v>19</x:v>
      </x:c>
      <x:c r="D1573" s="89" t="n">
        <x:v>45689</x:v>
      </x:c>
      <x:c r="E1573" s="84" t="n">
        <x:v>6.1</x:v>
      </x:c>
      <x:c r="F1573" s="84" t="str">
        <x:v>Normal</x:v>
      </x:c>
      <x:c r="G1573" s="93" t="n">
        <x:v>283.53</x:v>
      </x:c>
      <x:c r="H1573" s="85" t="str">
        <x:v>Diagnóstico e execução</x:v>
      </x:c>
    </x:row>
    <x:row r="1574">
      <x:c r="A1574" s="83" t="n">
        <x:v>1573</x:v>
      </x:c>
      <x:c r="B1574" s="84" t="n">
        <x:v>917</x:v>
      </x:c>
      <x:c r="C1574" s="84" t="n">
        <x:v>19</x:v>
      </x:c>
      <x:c r="D1574" s="89" t="n">
        <x:v>45689</x:v>
      </x:c>
      <x:c r="E1574" s="84" t="n">
        <x:v>6.7</x:v>
      </x:c>
      <x:c r="F1574" s="84" t="str">
        <x:v>Normal</x:v>
      </x:c>
      <x:c r="G1574" s="93" t="n">
        <x:v>311.42</x:v>
      </x:c>
      <x:c r="H1574" s="85" t="str">
        <x:v>Diagnóstico e execução</x:v>
      </x:c>
    </x:row>
    <x:row r="1575">
      <x:c r="A1575" s="83" t="n">
        <x:v>1574</x:v>
      </x:c>
      <x:c r="B1575" s="84" t="n">
        <x:v>917</x:v>
      </x:c>
      <x:c r="C1575" s="84" t="n">
        <x:v>38</x:v>
      </x:c>
      <x:c r="D1575" s="89" t="n">
        <x:v>45689</x:v>
      </x:c>
      <x:c r="E1575" s="84" t="n">
        <x:v>6</x:v>
      </x:c>
      <x:c r="F1575" s="84" t="str">
        <x:v>Normal</x:v>
      </x:c>
      <x:c r="G1575" s="93" t="n">
        <x:v>202.02</x:v>
      </x:c>
      <x:c r="H1575" s="85" t="str">
        <x:v>Diagnóstico e execução</x:v>
      </x:c>
    </x:row>
    <x:row r="1576">
      <x:c r="A1576" s="83" t="n">
        <x:v>1575</x:v>
      </x:c>
      <x:c r="B1576" s="84" t="n">
        <x:v>918</x:v>
      </x:c>
      <x:c r="C1576" s="84" t="n">
        <x:v>19</x:v>
      </x:c>
      <x:c r="D1576" s="89" t="n">
        <x:v>45247</x:v>
      </x:c>
      <x:c r="E1576" s="84" t="n">
        <x:v>3.5</x:v>
      </x:c>
      <x:c r="F1576" s="84" t="str">
        <x:v>Normal</x:v>
      </x:c>
      <x:c r="G1576" s="93" t="n">
        <x:v>162.68</x:v>
      </x:c>
      <x:c r="H1576" s="85" t="str">
        <x:v>Diagnóstico e execução</x:v>
      </x:c>
    </x:row>
    <x:row r="1577">
      <x:c r="A1577" s="83" t="n">
        <x:v>1576</x:v>
      </x:c>
      <x:c r="B1577" s="84" t="n">
        <x:v>919</x:v>
      </x:c>
      <x:c r="C1577" s="84" t="n">
        <x:v>22</x:v>
      </x:c>
      <x:c r="D1577" s="89" t="n">
        <x:v>45167</x:v>
      </x:c>
      <x:c r="E1577" s="84" t="n">
        <x:v>2.8</x:v>
      </x:c>
      <x:c r="F1577" s="84" t="str">
        <x:v>Normal</x:v>
      </x:c>
      <x:c r="G1577" s="93" t="n">
        <x:v>107.69</x:v>
      </x:c>
      <x:c r="H1577" s="85" t="str">
        <x:v>Diagnóstico e execução</x:v>
      </x:c>
    </x:row>
    <x:row r="1578">
      <x:c r="A1578" s="83" t="n">
        <x:v>1577</x:v>
      </x:c>
      <x:c r="B1578" s="84" t="n">
        <x:v>919</x:v>
      </x:c>
      <x:c r="C1578" s="84" t="n">
        <x:v>33</x:v>
      </x:c>
      <x:c r="D1578" s="89" t="n">
        <x:v>45167</x:v>
      </x:c>
      <x:c r="E1578" s="84" t="n">
        <x:v>3.2</x:v>
      </x:c>
      <x:c r="F1578" s="84" t="str">
        <x:v>Normal</x:v>
      </x:c>
      <x:c r="G1578" s="93" t="n">
        <x:v>110.37</x:v>
      </x:c>
      <x:c r="H1578" s="85" t="str">
        <x:v>Diagnóstico e execução</x:v>
      </x:c>
    </x:row>
    <x:row r="1579">
      <x:c r="A1579" s="83" t="n">
        <x:v>1578</x:v>
      </x:c>
      <x:c r="B1579" s="84" t="n">
        <x:v>920</x:v>
      </x:c>
      <x:c r="C1579" s="84" t="n">
        <x:v>15</x:v>
      </x:c>
      <x:c r="D1579" s="89" t="n">
        <x:v>45424</x:v>
      </x:c>
      <x:c r="E1579" s="84" t="n">
        <x:v>6.3</x:v>
      </x:c>
      <x:c r="F1579" s="84" t="str">
        <x:v>Normal</x:v>
      </x:c>
      <x:c r="G1579" s="93" t="n">
        <x:v>190.51</x:v>
      </x:c>
      <x:c r="H1579" s="85" t="str">
        <x:v>Diagnóstico e execução</x:v>
      </x:c>
    </x:row>
    <x:row r="1580">
      <x:c r="A1580" s="83" t="n">
        <x:v>1579</x:v>
      </x:c>
      <x:c r="B1580" s="84" t="n">
        <x:v>921</x:v>
      </x:c>
      <x:c r="C1580" s="84" t="n">
        <x:v>37</x:v>
      </x:c>
      <x:c r="D1580" s="89" t="n">
        <x:v>45722</x:v>
      </x:c>
      <x:c r="E1580" s="84" t="n">
        <x:v>4.2</x:v>
      </x:c>
      <x:c r="F1580" s="84" t="str">
        <x:v>Normal</x:v>
      </x:c>
      <x:c r="G1580" s="93" t="n">
        <x:v>247.67</x:v>
      </x:c>
      <x:c r="H1580" s="85" t="str">
        <x:v>Diagnóstico e execução</x:v>
      </x:c>
    </x:row>
    <x:row r="1581">
      <x:c r="A1581" s="83" t="n">
        <x:v>1580</x:v>
      </x:c>
      <x:c r="B1581" s="84" t="n">
        <x:v>922</x:v>
      </x:c>
      <x:c r="C1581" s="84" t="n">
        <x:v>30</x:v>
      </x:c>
      <x:c r="D1581" s="89" t="n">
        <x:v>45948</x:v>
      </x:c>
      <x:c r="E1581" s="84" t="n">
        <x:v>0.8</x:v>
      </x:c>
      <x:c r="F1581" s="84" t="str">
        <x:v>Normal</x:v>
      </x:c>
      <x:c r="G1581" s="93" t="n">
        <x:v>33.13</x:v>
      </x:c>
      <x:c r="H1581" s="85" t="str">
        <x:v>Diagnóstico e execução</x:v>
      </x:c>
    </x:row>
    <x:row r="1582">
      <x:c r="A1582" s="83" t="n">
        <x:v>1581</x:v>
      </x:c>
      <x:c r="B1582" s="84" t="n">
        <x:v>922</x:v>
      </x:c>
      <x:c r="C1582" s="84" t="n">
        <x:v>28</x:v>
      </x:c>
      <x:c r="D1582" s="89" t="n">
        <x:v>45948</x:v>
      </x:c>
      <x:c r="E1582" s="84" t="n">
        <x:v>7.1</x:v>
      </x:c>
      <x:c r="F1582" s="84" t="str">
        <x:v>Normal</x:v>
      </x:c>
      <x:c r="G1582" s="93" t="n">
        <x:v>267.1</x:v>
      </x:c>
      <x:c r="H1582" s="85" t="str">
        <x:v>Diagnóstico e execução</x:v>
      </x:c>
    </x:row>
    <x:row r="1583">
      <x:c r="A1583" s="83" t="n">
        <x:v>1582</x:v>
      </x:c>
      <x:c r="B1583" s="84" t="n">
        <x:v>922</x:v>
      </x:c>
      <x:c r="C1583" s="84" t="n">
        <x:v>34</x:v>
      </x:c>
      <x:c r="D1583" s="89" t="n">
        <x:v>45948</x:v>
      </x:c>
      <x:c r="E1583" s="84" t="n">
        <x:v>1.3</x:v>
      </x:c>
      <x:c r="F1583" s="84" t="str">
        <x:v>Normal</x:v>
      </x:c>
      <x:c r="G1583" s="93" t="n">
        <x:v>56.2</x:v>
      </x:c>
      <x:c r="H1583" s="85" t="str">
        <x:v>Diagnóstico e execução</x:v>
      </x:c>
    </x:row>
    <x:row r="1584">
      <x:c r="A1584" s="83" t="n">
        <x:v>1583</x:v>
      </x:c>
      <x:c r="B1584" s="84" t="n">
        <x:v>923</x:v>
      </x:c>
      <x:c r="C1584" s="84" t="n">
        <x:v>27</x:v>
      </x:c>
      <x:c r="D1584" s="89" t="n">
        <x:v>45072</x:v>
      </x:c>
      <x:c r="E1584" s="84" t="n">
        <x:v>2.4</x:v>
      </x:c>
      <x:c r="F1584" s="84" t="str">
        <x:v>Normal</x:v>
      </x:c>
      <x:c r="G1584" s="93" t="n">
        <x:v>146.38</x:v>
      </x:c>
      <x:c r="H1584" s="85" t="str">
        <x:v>Diagnóstico e execução</x:v>
      </x:c>
    </x:row>
    <x:row r="1585">
      <x:c r="A1585" s="83" t="n">
        <x:v>1584</x:v>
      </x:c>
      <x:c r="B1585" s="84" t="n">
        <x:v>923</x:v>
      </x:c>
      <x:c r="C1585" s="84" t="n">
        <x:v>40</x:v>
      </x:c>
      <x:c r="D1585" s="89" t="n">
        <x:v>45072</x:v>
      </x:c>
      <x:c r="E1585" s="84" t="n">
        <x:v>1.9</x:v>
      </x:c>
      <x:c r="F1585" s="84" t="str">
        <x:v>Normal</x:v>
      </x:c>
      <x:c r="G1585" s="93" t="n">
        <x:v>93.9</x:v>
      </x:c>
      <x:c r="H1585" s="85" t="str">
        <x:v>Diagnóstico e execução</x:v>
      </x:c>
    </x:row>
    <x:row r="1586">
      <x:c r="A1586" s="83" t="n">
        <x:v>1585</x:v>
      </x:c>
      <x:c r="B1586" s="84" t="n">
        <x:v>923</x:v>
      </x:c>
      <x:c r="C1586" s="84" t="n">
        <x:v>44</x:v>
      </x:c>
      <x:c r="D1586" s="89" t="n">
        <x:v>45072</x:v>
      </x:c>
      <x:c r="E1586" s="84" t="n">
        <x:v>4.5</x:v>
      </x:c>
      <x:c r="F1586" s="84" t="str">
        <x:v>Normal</x:v>
      </x:c>
      <x:c r="G1586" s="93" t="n">
        <x:v>126.18</x:v>
      </x:c>
      <x:c r="H1586" s="85" t="str">
        <x:v>Diagnóstico e execução</x:v>
      </x:c>
    </x:row>
    <x:row r="1587">
      <x:c r="A1587" s="83" t="n">
        <x:v>1586</x:v>
      </x:c>
      <x:c r="B1587" s="84" t="n">
        <x:v>924</x:v>
      </x:c>
      <x:c r="C1587" s="84" t="n">
        <x:v>35</x:v>
      </x:c>
      <x:c r="D1587" s="89" t="n">
        <x:v>45587</x:v>
      </x:c>
      <x:c r="E1587" s="84" t="n">
        <x:v>3.7</x:v>
      </x:c>
      <x:c r="F1587" s="84" t="str">
        <x:v>Normal</x:v>
      </x:c>
      <x:c r="G1587" s="93" t="n">
        <x:v>182</x:v>
      </x:c>
      <x:c r="H1587" s="85" t="str">
        <x:v>Diagnóstico e execução</x:v>
      </x:c>
    </x:row>
    <x:row r="1588">
      <x:c r="A1588" s="83" t="n">
        <x:v>1587</x:v>
      </x:c>
      <x:c r="B1588" s="84" t="n">
        <x:v>924</x:v>
      </x:c>
      <x:c r="C1588" s="84" t="n">
        <x:v>42</x:v>
      </x:c>
      <x:c r="D1588" s="89" t="n">
        <x:v>45587</x:v>
      </x:c>
      <x:c r="E1588" s="84" t="n">
        <x:v>2.2</x:v>
      </x:c>
      <x:c r="F1588" s="84" t="str">
        <x:v>Normal</x:v>
      </x:c>
      <x:c r="G1588" s="93" t="n">
        <x:v>92.8</x:v>
      </x:c>
      <x:c r="H1588" s="85" t="str">
        <x:v>Diagnóstico e execução</x:v>
      </x:c>
    </x:row>
    <x:row r="1589">
      <x:c r="A1589" s="83" t="n">
        <x:v>1588</x:v>
      </x:c>
      <x:c r="B1589" s="84" t="n">
        <x:v>924</x:v>
      </x:c>
      <x:c r="C1589" s="84" t="n">
        <x:v>4</x:v>
      </x:c>
      <x:c r="D1589" s="89" t="n">
        <x:v>45587</x:v>
      </x:c>
      <x:c r="E1589" s="84" t="n">
        <x:v>5.5</x:v>
      </x:c>
      <x:c r="F1589" s="84" t="str">
        <x:v>Normal</x:v>
      </x:c>
      <x:c r="G1589" s="93" t="n">
        <x:v>270.54</x:v>
      </x:c>
      <x:c r="H1589" s="85" t="str">
        <x:v>Diagnóstico e execução</x:v>
      </x:c>
    </x:row>
    <x:row r="1590">
      <x:c r="A1590" s="83" t="n">
        <x:v>1589</x:v>
      </x:c>
      <x:c r="B1590" s="84" t="n">
        <x:v>925</x:v>
      </x:c>
      <x:c r="C1590" s="84" t="n">
        <x:v>4</x:v>
      </x:c>
      <x:c r="D1590" s="89" t="n">
        <x:v>45292</x:v>
      </x:c>
      <x:c r="E1590" s="84" t="n">
        <x:v>2.5</x:v>
      </x:c>
      <x:c r="F1590" s="84" t="str">
        <x:v>Normal</x:v>
      </x:c>
      <x:c r="G1590" s="93" t="n">
        <x:v>122.97</x:v>
      </x:c>
      <x:c r="H1590" s="85" t="str">
        <x:v>Diagnóstico e execução</x:v>
      </x:c>
    </x:row>
    <x:row r="1591">
      <x:c r="A1591" s="83" t="n">
        <x:v>1590</x:v>
      </x:c>
      <x:c r="B1591" s="84" t="n">
        <x:v>925</x:v>
      </x:c>
      <x:c r="C1591" s="84" t="n">
        <x:v>32</x:v>
      </x:c>
      <x:c r="D1591" s="89" t="n">
        <x:v>45292</x:v>
      </x:c>
      <x:c r="E1591" s="84" t="n">
        <x:v>7.1</x:v>
      </x:c>
      <x:c r="F1591" s="84" t="str">
        <x:v>Normal</x:v>
      </x:c>
      <x:c r="G1591" s="93" t="n">
        <x:v>309.91</x:v>
      </x:c>
      <x:c r="H1591" s="85" t="str">
        <x:v>Diagnóstico e execução</x:v>
      </x:c>
    </x:row>
    <x:row r="1592">
      <x:c r="A1592" s="83" t="n">
        <x:v>1591</x:v>
      </x:c>
      <x:c r="B1592" s="84" t="n">
        <x:v>926</x:v>
      </x:c>
      <x:c r="C1592" s="84" t="n">
        <x:v>31</x:v>
      </x:c>
      <x:c r="D1592" s="89" t="n">
        <x:v>46004</x:v>
      </x:c>
      <x:c r="E1592" s="84" t="n">
        <x:v>5.7</x:v>
      </x:c>
      <x:c r="F1592" s="84" t="str">
        <x:v>Normal</x:v>
      </x:c>
      <x:c r="G1592" s="93" t="n">
        <x:v>278.73</x:v>
      </x:c>
      <x:c r="H1592" s="85" t="str">
        <x:v>Diagnóstico e execução</x:v>
      </x:c>
    </x:row>
    <x:row r="1593">
      <x:c r="A1593" s="83" t="n">
        <x:v>1592</x:v>
      </x:c>
      <x:c r="B1593" s="84" t="n">
        <x:v>926</x:v>
      </x:c>
      <x:c r="C1593" s="84" t="n">
        <x:v>18</x:v>
      </x:c>
      <x:c r="D1593" s="89" t="n">
        <x:v>46004</x:v>
      </x:c>
      <x:c r="E1593" s="84" t="n">
        <x:v>2.1</x:v>
      </x:c>
      <x:c r="F1593" s="84" t="str">
        <x:v>Normal</x:v>
      </x:c>
      <x:c r="G1593" s="93" t="n">
        <x:v>132.49</x:v>
      </x:c>
      <x:c r="H1593" s="85" t="str">
        <x:v>Diagnóstico e execução</x:v>
      </x:c>
    </x:row>
    <x:row r="1594">
      <x:c r="A1594" s="83" t="n">
        <x:v>1593</x:v>
      </x:c>
      <x:c r="B1594" s="84" t="n">
        <x:v>928</x:v>
      </x:c>
      <x:c r="C1594" s="84" t="n">
        <x:v>15</x:v>
      </x:c>
      <x:c r="D1594" s="89" t="n">
        <x:v>45767</x:v>
      </x:c>
      <x:c r="E1594" s="84" t="n">
        <x:v>1.5</x:v>
      </x:c>
      <x:c r="F1594" s="84" t="str">
        <x:v>Normal</x:v>
      </x:c>
      <x:c r="G1594" s="93" t="n">
        <x:v>45.36</x:v>
      </x:c>
      <x:c r="H1594" s="85" t="str">
        <x:v>Diagnóstico e execução</x:v>
      </x:c>
    </x:row>
    <x:row r="1595">
      <x:c r="A1595" s="83" t="n">
        <x:v>1594</x:v>
      </x:c>
      <x:c r="B1595" s="84" t="n">
        <x:v>929</x:v>
      </x:c>
      <x:c r="C1595" s="84" t="n">
        <x:v>38</x:v>
      </x:c>
      <x:c r="D1595" s="89" t="n">
        <x:v>45376</x:v>
      </x:c>
      <x:c r="E1595" s="84" t="n">
        <x:v>2.2</x:v>
      </x:c>
      <x:c r="F1595" s="84" t="str">
        <x:v>Normal</x:v>
      </x:c>
      <x:c r="G1595" s="93" t="n">
        <x:v>74.07</x:v>
      </x:c>
      <x:c r="H1595" s="85" t="str">
        <x:v>Diagnóstico e execução</x:v>
      </x:c>
    </x:row>
    <x:row r="1596">
      <x:c r="A1596" s="83" t="n">
        <x:v>1595</x:v>
      </x:c>
      <x:c r="B1596" s="84" t="n">
        <x:v>931</x:v>
      </x:c>
      <x:c r="C1596" s="84" t="n">
        <x:v>18</x:v>
      </x:c>
      <x:c r="D1596" s="89" t="n">
        <x:v>45844</x:v>
      </x:c>
      <x:c r="E1596" s="84" t="n">
        <x:v>4.9</x:v>
      </x:c>
      <x:c r="F1596" s="84" t="str">
        <x:v>Normal</x:v>
      </x:c>
      <x:c r="G1596" s="93" t="n">
        <x:v>309.14</x:v>
      </x:c>
      <x:c r="H1596" s="85" t="str">
        <x:v>Diagnóstico e execução</x:v>
      </x:c>
    </x:row>
    <x:row r="1597">
      <x:c r="A1597" s="83" t="n">
        <x:v>1596</x:v>
      </x:c>
      <x:c r="B1597" s="84" t="n">
        <x:v>931</x:v>
      </x:c>
      <x:c r="C1597" s="84" t="n">
        <x:v>36</x:v>
      </x:c>
      <x:c r="D1597" s="89" t="n">
        <x:v>45844</x:v>
      </x:c>
      <x:c r="E1597" s="84" t="n">
        <x:v>3.6</x:v>
      </x:c>
      <x:c r="F1597" s="84" t="str">
        <x:v>Normal</x:v>
      </x:c>
      <x:c r="G1597" s="93" t="n">
        <x:v>106.78</x:v>
      </x:c>
      <x:c r="H1597" s="85" t="str">
        <x:v>Diagnóstico e execução</x:v>
      </x:c>
    </x:row>
    <x:row r="1598">
      <x:c r="A1598" s="83" t="n">
        <x:v>1597</x:v>
      </x:c>
      <x:c r="B1598" s="84" t="n">
        <x:v>933</x:v>
      </x:c>
      <x:c r="C1598" s="84" t="n">
        <x:v>11</x:v>
      </x:c>
      <x:c r="D1598" s="89" t="n">
        <x:v>45192</x:v>
      </x:c>
      <x:c r="E1598" s="84" t="n">
        <x:v>5.7</x:v>
      </x:c>
      <x:c r="F1598" s="84" t="str">
        <x:v>Normal</x:v>
      </x:c>
      <x:c r="G1598" s="93" t="n">
        <x:v>237.58</x:v>
      </x:c>
      <x:c r="H1598" s="85" t="str">
        <x:v>Diagnóstico e execução</x:v>
      </x:c>
    </x:row>
    <x:row r="1599">
      <x:c r="A1599" s="83" t="n">
        <x:v>1598</x:v>
      </x:c>
      <x:c r="B1599" s="84" t="n">
        <x:v>934</x:v>
      </x:c>
      <x:c r="C1599" s="84" t="n">
        <x:v>38</x:v>
      </x:c>
      <x:c r="D1599" s="89" t="n">
        <x:v>44984</x:v>
      </x:c>
      <x:c r="E1599" s="84" t="n">
        <x:v>4.4</x:v>
      </x:c>
      <x:c r="F1599" s="84" t="str">
        <x:v>Normal</x:v>
      </x:c>
      <x:c r="G1599" s="93" t="n">
        <x:v>148.15</x:v>
      </x:c>
      <x:c r="H1599" s="85" t="str">
        <x:v>Diagnóstico e execução</x:v>
      </x:c>
    </x:row>
    <x:row r="1600">
      <x:c r="A1600" s="83" t="n">
        <x:v>1599</x:v>
      </x:c>
      <x:c r="B1600" s="84" t="n">
        <x:v>934</x:v>
      </x:c>
      <x:c r="C1600" s="84" t="n">
        <x:v>20</x:v>
      </x:c>
      <x:c r="D1600" s="89" t="n">
        <x:v>44984</x:v>
      </x:c>
      <x:c r="E1600" s="84" t="n">
        <x:v>1.5</x:v>
      </x:c>
      <x:c r="F1600" s="84" t="str">
        <x:v>Normal</x:v>
      </x:c>
      <x:c r="G1600" s="93" t="n">
        <x:v>50.28</x:v>
      </x:c>
      <x:c r="H1600" s="85" t="str">
        <x:v>Diagnóstico e execução</x:v>
      </x:c>
    </x:row>
    <x:row r="1601">
      <x:c r="A1601" s="83" t="n">
        <x:v>1600</x:v>
      </x:c>
      <x:c r="B1601" s="84" t="n">
        <x:v>935</x:v>
      </x:c>
      <x:c r="C1601" s="84" t="n">
        <x:v>27</x:v>
      </x:c>
      <x:c r="D1601" s="89" t="n">
        <x:v>45820</x:v>
      </x:c>
      <x:c r="E1601" s="84" t="n">
        <x:v>3.5</x:v>
      </x:c>
      <x:c r="F1601" s="84" t="str">
        <x:v>Normal</x:v>
      </x:c>
      <x:c r="G1601" s="93" t="n">
        <x:v>213.47</x:v>
      </x:c>
      <x:c r="H1601" s="85" t="str">
        <x:v>Diagnóstico e execução</x:v>
      </x:c>
    </x:row>
    <x:row r="1602">
      <x:c r="A1602" s="83" t="n">
        <x:v>1601</x:v>
      </x:c>
      <x:c r="B1602" s="84" t="n">
        <x:v>937</x:v>
      </x:c>
      <x:c r="C1602" s="84" t="n">
        <x:v>21</x:v>
      </x:c>
      <x:c r="D1602" s="89" t="n">
        <x:v>45713</x:v>
      </x:c>
      <x:c r="E1602" s="84" t="n">
        <x:v>5</x:v>
      </x:c>
      <x:c r="F1602" s="84" t="str">
        <x:v>Normal</x:v>
      </x:c>
      <x:c r="G1602" s="93" t="n">
        <x:v>307.15</x:v>
      </x:c>
      <x:c r="H1602" s="85" t="str">
        <x:v>Diagnóstico e execução</x:v>
      </x:c>
    </x:row>
    <x:row r="1603">
      <x:c r="A1603" s="83" t="n">
        <x:v>1602</x:v>
      </x:c>
      <x:c r="B1603" s="84" t="n">
        <x:v>937</x:v>
      </x:c>
      <x:c r="C1603" s="84" t="n">
        <x:v>8</x:v>
      </x:c>
      <x:c r="D1603" s="89" t="n">
        <x:v>45713</x:v>
      </x:c>
      <x:c r="E1603" s="84" t="n">
        <x:v>3.9</x:v>
      </x:c>
      <x:c r="F1603" s="84" t="str">
        <x:v>Normal</x:v>
      </x:c>
      <x:c r="G1603" s="93" t="n">
        <x:v>181.35</x:v>
      </x:c>
      <x:c r="H1603" s="85" t="str">
        <x:v>Diagnóstico e execução</x:v>
      </x:c>
    </x:row>
    <x:row r="1604">
      <x:c r="A1604" s="83" t="n">
        <x:v>1603</x:v>
      </x:c>
      <x:c r="B1604" s="84" t="n">
        <x:v>938</x:v>
      </x:c>
      <x:c r="C1604" s="84" t="n">
        <x:v>10</x:v>
      </x:c>
      <x:c r="D1604" s="89" t="n">
        <x:v>45296</x:v>
      </x:c>
      <x:c r="E1604" s="84" t="n">
        <x:v>6</x:v>
      </x:c>
      <x:c r="F1604" s="84" t="str">
        <x:v>Normal</x:v>
      </x:c>
      <x:c r="G1604" s="93" t="n">
        <x:v>178.14</x:v>
      </x:c>
      <x:c r="H1604" s="85" t="str">
        <x:v>Diagnóstico e execução</x:v>
      </x:c>
    </x:row>
    <x:row r="1605">
      <x:c r="A1605" s="83" t="n">
        <x:v>1604</x:v>
      </x:c>
      <x:c r="B1605" s="84" t="n">
        <x:v>939</x:v>
      </x:c>
      <x:c r="C1605" s="84" t="n">
        <x:v>32</x:v>
      </x:c>
      <x:c r="D1605" s="89" t="n">
        <x:v>45123</x:v>
      </x:c>
      <x:c r="E1605" s="84" t="n">
        <x:v>6.2</x:v>
      </x:c>
      <x:c r="F1605" s="84" t="str">
        <x:v>Normal</x:v>
      </x:c>
      <x:c r="G1605" s="93" t="n">
        <x:v>270.63</x:v>
      </x:c>
      <x:c r="H1605" s="85" t="str">
        <x:v>Diagnóstico e execução</x:v>
      </x:c>
    </x:row>
    <x:row r="1606">
      <x:c r="A1606" s="83" t="n">
        <x:v>1605</x:v>
      </x:c>
      <x:c r="B1606" s="84" t="n">
        <x:v>939</x:v>
      </x:c>
      <x:c r="C1606" s="84" t="n">
        <x:v>33</x:v>
      </x:c>
      <x:c r="D1606" s="89" t="n">
        <x:v>45123</x:v>
      </x:c>
      <x:c r="E1606" s="84" t="n">
        <x:v>5.6</x:v>
      </x:c>
      <x:c r="F1606" s="84" t="str">
        <x:v>Normal</x:v>
      </x:c>
      <x:c r="G1606" s="93" t="n">
        <x:v>193.14</x:v>
      </x:c>
      <x:c r="H1606" s="85" t="str">
        <x:v>Diagnóstico e execução</x:v>
      </x:c>
    </x:row>
    <x:row r="1607">
      <x:c r="A1607" s="83" t="n">
        <x:v>1606</x:v>
      </x:c>
      <x:c r="B1607" s="84" t="n">
        <x:v>939</x:v>
      </x:c>
      <x:c r="C1607" s="84" t="n">
        <x:v>12</x:v>
      </x:c>
      <x:c r="D1607" s="89" t="n">
        <x:v>45123</x:v>
      </x:c>
      <x:c r="E1607" s="84" t="n">
        <x:v>7</x:v>
      </x:c>
      <x:c r="F1607" s="84" t="str">
        <x:v>Normal</x:v>
      </x:c>
      <x:c r="G1607" s="93" t="n">
        <x:v>241.5</x:v>
      </x:c>
      <x:c r="H1607" s="85" t="str">
        <x:v>Diagnóstico e execução</x:v>
      </x:c>
    </x:row>
    <x:row r="1608">
      <x:c r="A1608" s="83" t="n">
        <x:v>1607</x:v>
      </x:c>
      <x:c r="B1608" s="84" t="n">
        <x:v>940</x:v>
      </x:c>
      <x:c r="C1608" s="84" t="n">
        <x:v>35</x:v>
      </x:c>
      <x:c r="D1608" s="89" t="n">
        <x:v>45747</x:v>
      </x:c>
      <x:c r="E1608" s="84" t="n">
        <x:v>6</x:v>
      </x:c>
      <x:c r="F1608" s="84" t="str">
        <x:v>Normal</x:v>
      </x:c>
      <x:c r="G1608" s="93" t="n">
        <x:v>295.14</x:v>
      </x:c>
      <x:c r="H1608" s="85" t="str">
        <x:v>Diagnóstico e execução</x:v>
      </x:c>
    </x:row>
    <x:row r="1609">
      <x:c r="A1609" s="83" t="n">
        <x:v>1608</x:v>
      </x:c>
      <x:c r="B1609" s="84" t="n">
        <x:v>940</x:v>
      </x:c>
      <x:c r="C1609" s="84" t="n">
        <x:v>13</x:v>
      </x:c>
      <x:c r="D1609" s="89" t="n">
        <x:v>45747</x:v>
      </x:c>
      <x:c r="E1609" s="84" t="n">
        <x:v>3.4</x:v>
      </x:c>
      <x:c r="F1609" s="84" t="str">
        <x:v>Normal</x:v>
      </x:c>
      <x:c r="G1609" s="93" t="n">
        <x:v>115.19</x:v>
      </x:c>
      <x:c r="H1609" s="85" t="str">
        <x:v>Diagnóstico e execução</x:v>
      </x:c>
    </x:row>
    <x:row r="1610">
      <x:c r="A1610" s="83" t="n">
        <x:v>1609</x:v>
      </x:c>
      <x:c r="B1610" s="84" t="n">
        <x:v>941</x:v>
      </x:c>
      <x:c r="C1610" s="84" t="n">
        <x:v>10</x:v>
      </x:c>
      <x:c r="D1610" s="89" t="n">
        <x:v>46023</x:v>
      </x:c>
      <x:c r="E1610" s="84" t="n">
        <x:v>1.8</x:v>
      </x:c>
      <x:c r="F1610" s="84" t="str">
        <x:v>Normal</x:v>
      </x:c>
      <x:c r="G1610" s="93" t="n">
        <x:v>53.44</x:v>
      </x:c>
      <x:c r="H1610" s="85" t="str">
        <x:v>Diagnóstico e execução</x:v>
      </x:c>
    </x:row>
    <x:row r="1611">
      <x:c r="A1611" s="83" t="n">
        <x:v>1610</x:v>
      </x:c>
      <x:c r="B1611" s="84" t="n">
        <x:v>941</x:v>
      </x:c>
      <x:c r="C1611" s="84" t="n">
        <x:v>44</x:v>
      </x:c>
      <x:c r="D1611" s="89" t="n">
        <x:v>46023</x:v>
      </x:c>
      <x:c r="E1611" s="84" t="n">
        <x:v>0.8</x:v>
      </x:c>
      <x:c r="F1611" s="84" t="str">
        <x:v>Normal</x:v>
      </x:c>
      <x:c r="G1611" s="93" t="n">
        <x:v>22.43</x:v>
      </x:c>
      <x:c r="H1611" s="85" t="str">
        <x:v>Diagnóstico e execução</x:v>
      </x:c>
    </x:row>
    <x:row r="1612">
      <x:c r="A1612" s="83" t="n">
        <x:v>1611</x:v>
      </x:c>
      <x:c r="B1612" s="84" t="n">
        <x:v>941</x:v>
      </x:c>
      <x:c r="C1612" s="84" t="n">
        <x:v>25</x:v>
      </x:c>
      <x:c r="D1612" s="89" t="n">
        <x:v>46023</x:v>
      </x:c>
      <x:c r="E1612" s="84" t="n">
        <x:v>2.8</x:v>
      </x:c>
      <x:c r="F1612" s="84" t="str">
        <x:v>Normal</x:v>
      </x:c>
      <x:c r="G1612" s="93" t="n">
        <x:v>150.05</x:v>
      </x:c>
      <x:c r="H1612" s="85" t="str">
        <x:v>Diagnóstico e execução</x:v>
      </x:c>
    </x:row>
    <x:row r="1613">
      <x:c r="A1613" s="83" t="n">
        <x:v>1612</x:v>
      </x:c>
      <x:c r="B1613" s="84" t="n">
        <x:v>942</x:v>
      </x:c>
      <x:c r="C1613" s="84" t="n">
        <x:v>44</x:v>
      </x:c>
      <x:c r="D1613" s="89" t="n">
        <x:v>45107</x:v>
      </x:c>
      <x:c r="E1613" s="84" t="n">
        <x:v>2.8</x:v>
      </x:c>
      <x:c r="F1613" s="84" t="str">
        <x:v>Normal</x:v>
      </x:c>
      <x:c r="G1613" s="93" t="n">
        <x:v>78.51</x:v>
      </x:c>
      <x:c r="H1613" s="85" t="str">
        <x:v>Diagnóstico e execução</x:v>
      </x:c>
    </x:row>
    <x:row r="1614">
      <x:c r="A1614" s="83" t="n">
        <x:v>1613</x:v>
      </x:c>
      <x:c r="B1614" s="84" t="n">
        <x:v>942</x:v>
      </x:c>
      <x:c r="C1614" s="84" t="n">
        <x:v>7</x:v>
      </x:c>
      <x:c r="D1614" s="89" t="n">
        <x:v>45107</x:v>
      </x:c>
      <x:c r="E1614" s="84" t="n">
        <x:v>2.9</x:v>
      </x:c>
      <x:c r="F1614" s="84" t="str">
        <x:v>Normal</x:v>
      </x:c>
      <x:c r="G1614" s="93" t="n">
        <x:v>168.81</x:v>
      </x:c>
      <x:c r="H1614" s="85" t="str">
        <x:v>Diagnóstico e execução</x:v>
      </x:c>
    </x:row>
    <x:row r="1615">
      <x:c r="A1615" s="83" t="n">
        <x:v>1614</x:v>
      </x:c>
      <x:c r="B1615" s="84" t="n">
        <x:v>942</x:v>
      </x:c>
      <x:c r="C1615" s="84" t="n">
        <x:v>13</x:v>
      </x:c>
      <x:c r="D1615" s="89" t="n">
        <x:v>45107</x:v>
      </x:c>
      <x:c r="E1615" s="84" t="n">
        <x:v>1.6</x:v>
      </x:c>
      <x:c r="F1615" s="84" t="str">
        <x:v>Normal</x:v>
      </x:c>
      <x:c r="G1615" s="93" t="n">
        <x:v>54.21</x:v>
      </x:c>
      <x:c r="H1615" s="85" t="str">
        <x:v>Diagnóstico e execução</x:v>
      </x:c>
    </x:row>
    <x:row r="1616">
      <x:c r="A1616" s="83" t="n">
        <x:v>1615</x:v>
      </x:c>
      <x:c r="B1616" s="84" t="n">
        <x:v>943</x:v>
      </x:c>
      <x:c r="C1616" s="84" t="n">
        <x:v>12</x:v>
      </x:c>
      <x:c r="D1616" s="89" t="n">
        <x:v>46006</x:v>
      </x:c>
      <x:c r="E1616" s="84" t="n">
        <x:v>6.3</x:v>
      </x:c>
      <x:c r="F1616" s="84" t="str">
        <x:v>Normal</x:v>
      </x:c>
      <x:c r="G1616" s="93" t="n">
        <x:v>217.35</x:v>
      </x:c>
      <x:c r="H1616" s="85" t="str">
        <x:v>Diagnóstico e execução</x:v>
      </x:c>
    </x:row>
    <x:row r="1617">
      <x:c r="A1617" s="83" t="n">
        <x:v>1616</x:v>
      </x:c>
      <x:c r="B1617" s="84" t="n">
        <x:v>943</x:v>
      </x:c>
      <x:c r="C1617" s="84" t="n">
        <x:v>5</x:v>
      </x:c>
      <x:c r="D1617" s="89" t="n">
        <x:v>46006</x:v>
      </x:c>
      <x:c r="E1617" s="84" t="n">
        <x:v>4</x:v>
      </x:c>
      <x:c r="F1617" s="84" t="str">
        <x:v>Normal</x:v>
      </x:c>
      <x:c r="G1617" s="93" t="n">
        <x:v>115.28</x:v>
      </x:c>
      <x:c r="H1617" s="85" t="str">
        <x:v>Diagnóstico e execução</x:v>
      </x:c>
    </x:row>
    <x:row r="1618">
      <x:c r="A1618" s="83" t="n">
        <x:v>1617</x:v>
      </x:c>
      <x:c r="B1618" s="84" t="n">
        <x:v>943</x:v>
      </x:c>
      <x:c r="C1618" s="84" t="n">
        <x:v>31</x:v>
      </x:c>
      <x:c r="D1618" s="89" t="n">
        <x:v>46006</x:v>
      </x:c>
      <x:c r="E1618" s="84" t="n">
        <x:v>7.4</x:v>
      </x:c>
      <x:c r="F1618" s="84" t="str">
        <x:v>Normal</x:v>
      </x:c>
      <x:c r="G1618" s="93" t="n">
        <x:v>361.86</x:v>
      </x:c>
      <x:c r="H1618" s="85" t="str">
        <x:v>Diagnóstico e execução</x:v>
      </x:c>
    </x:row>
    <x:row r="1619">
      <x:c r="A1619" s="83" t="n">
        <x:v>1618</x:v>
      </x:c>
      <x:c r="B1619" s="84" t="n">
        <x:v>944</x:v>
      </x:c>
      <x:c r="C1619" s="84" t="n">
        <x:v>44</x:v>
      </x:c>
      <x:c r="D1619" s="89" t="n">
        <x:v>45492</x:v>
      </x:c>
      <x:c r="E1619" s="84" t="n">
        <x:v>7</x:v>
      </x:c>
      <x:c r="F1619" s="84" t="str">
        <x:v>Normal</x:v>
      </x:c>
      <x:c r="G1619" s="93" t="n">
        <x:v>196.28</x:v>
      </x:c>
      <x:c r="H1619" s="85" t="str">
        <x:v>Diagnóstico e execução</x:v>
      </x:c>
    </x:row>
    <x:row r="1620">
      <x:c r="A1620" s="83" t="n">
        <x:v>1619</x:v>
      </x:c>
      <x:c r="B1620" s="84" t="n">
        <x:v>945</x:v>
      </x:c>
      <x:c r="C1620" s="84" t="n">
        <x:v>20</x:v>
      </x:c>
      <x:c r="D1620" s="89" t="n">
        <x:v>45176</x:v>
      </x:c>
      <x:c r="E1620" s="84" t="n">
        <x:v>7.2</x:v>
      </x:c>
      <x:c r="F1620" s="84" t="str">
        <x:v>Normal</x:v>
      </x:c>
      <x:c r="G1620" s="93" t="n">
        <x:v>241.34</x:v>
      </x:c>
      <x:c r="H1620" s="85" t="str">
        <x:v>Diagnóstico e execução</x:v>
      </x:c>
    </x:row>
    <x:row r="1621">
      <x:c r="A1621" s="83" t="n">
        <x:v>1620</x:v>
      </x:c>
      <x:c r="B1621" s="84" t="n">
        <x:v>946</x:v>
      </x:c>
      <x:c r="C1621" s="84" t="n">
        <x:v>40</x:v>
      </x:c>
      <x:c r="D1621" s="89" t="n">
        <x:v>45299</x:v>
      </x:c>
      <x:c r="E1621" s="84" t="n">
        <x:v>2.3</x:v>
      </x:c>
      <x:c r="F1621" s="84" t="str">
        <x:v>Normal</x:v>
      </x:c>
      <x:c r="G1621" s="93" t="n">
        <x:v>113.67</x:v>
      </x:c>
      <x:c r="H1621" s="85" t="str">
        <x:v>Diagnóstico e execução</x:v>
      </x:c>
    </x:row>
    <x:row r="1622">
      <x:c r="A1622" s="83" t="n">
        <x:v>1621</x:v>
      </x:c>
      <x:c r="B1622" s="84" t="n">
        <x:v>946</x:v>
      </x:c>
      <x:c r="C1622" s="84" t="n">
        <x:v>4</x:v>
      </x:c>
      <x:c r="D1622" s="89" t="n">
        <x:v>45299</x:v>
      </x:c>
      <x:c r="E1622" s="84" t="n">
        <x:v>0.6</x:v>
      </x:c>
      <x:c r="F1622" s="84" t="str">
        <x:v>Normal</x:v>
      </x:c>
      <x:c r="G1622" s="93" t="n">
        <x:v>29.51</x:v>
      </x:c>
      <x:c r="H1622" s="85" t="str">
        <x:v>Diagnóstico e execução</x:v>
      </x:c>
    </x:row>
    <x:row r="1623">
      <x:c r="A1623" s="83" t="n">
        <x:v>1622</x:v>
      </x:c>
      <x:c r="B1623" s="84" t="n">
        <x:v>946</x:v>
      </x:c>
      <x:c r="C1623" s="84" t="n">
        <x:v>16</x:v>
      </x:c>
      <x:c r="D1623" s="89" t="n">
        <x:v>45299</x:v>
      </x:c>
      <x:c r="E1623" s="84" t="n">
        <x:v>5</x:v>
      </x:c>
      <x:c r="F1623" s="84" t="str">
        <x:v>Normal</x:v>
      </x:c>
      <x:c r="G1623" s="93" t="n">
        <x:v>202.6</x:v>
      </x:c>
      <x:c r="H1623" s="85" t="str">
        <x:v>Diagnóstico e execução</x:v>
      </x:c>
    </x:row>
    <x:row r="1624">
      <x:c r="A1624" s="83" t="n">
        <x:v>1623</x:v>
      </x:c>
      <x:c r="B1624" s="84" t="n">
        <x:v>947</x:v>
      </x:c>
      <x:c r="C1624" s="84" t="n">
        <x:v>19</x:v>
      </x:c>
      <x:c r="D1624" s="89" t="n">
        <x:v>45646</x:v>
      </x:c>
      <x:c r="E1624" s="84" t="n">
        <x:v>1.7</x:v>
      </x:c>
      <x:c r="F1624" s="84" t="str">
        <x:v>Normal</x:v>
      </x:c>
      <x:c r="G1624" s="93" t="n">
        <x:v>79.02</x:v>
      </x:c>
      <x:c r="H1624" s="85" t="str">
        <x:v>Diagnóstico e execução</x:v>
      </x:c>
    </x:row>
    <x:row r="1625">
      <x:c r="A1625" s="83" t="n">
        <x:v>1624</x:v>
      </x:c>
      <x:c r="B1625" s="84" t="n">
        <x:v>948</x:v>
      </x:c>
      <x:c r="C1625" s="84" t="n">
        <x:v>14</x:v>
      </x:c>
      <x:c r="D1625" s="89" t="n">
        <x:v>45943</x:v>
      </x:c>
      <x:c r="E1625" s="84" t="n">
        <x:v>3.5</x:v>
      </x:c>
      <x:c r="F1625" s="84" t="str">
        <x:v>Normal</x:v>
      </x:c>
      <x:c r="G1625" s="93" t="n">
        <x:v>198.31</x:v>
      </x:c>
      <x:c r="H1625" s="85" t="str">
        <x:v>Diagnóstico e execução</x:v>
      </x:c>
    </x:row>
    <x:row r="1626">
      <x:c r="A1626" s="83" t="n">
        <x:v>1625</x:v>
      </x:c>
      <x:c r="B1626" s="84" t="n">
        <x:v>950</x:v>
      </x:c>
      <x:c r="C1626" s="84" t="n">
        <x:v>27</x:v>
      </x:c>
      <x:c r="D1626" s="89" t="n">
        <x:v>45043</x:v>
      </x:c>
      <x:c r="E1626" s="84" t="n">
        <x:v>3.9</x:v>
      </x:c>
      <x:c r="F1626" s="84" t="str">
        <x:v>Normal</x:v>
      </x:c>
      <x:c r="G1626" s="93" t="n">
        <x:v>237.86</x:v>
      </x:c>
      <x:c r="H1626" s="85" t="str">
        <x:v>Diagnóstico e execução</x:v>
      </x:c>
    </x:row>
    <x:row r="1627">
      <x:c r="A1627" s="83" t="n">
        <x:v>1626</x:v>
      </x:c>
      <x:c r="B1627" s="84" t="n">
        <x:v>950</x:v>
      </x:c>
      <x:c r="C1627" s="84" t="n">
        <x:v>30</x:v>
      </x:c>
      <x:c r="D1627" s="89" t="n">
        <x:v>45043</x:v>
      </x:c>
      <x:c r="E1627" s="84" t="n">
        <x:v>2.6</x:v>
      </x:c>
      <x:c r="F1627" s="84" t="str">
        <x:v>Normal</x:v>
      </x:c>
      <x:c r="G1627" s="93" t="n">
        <x:v>107.67</x:v>
      </x:c>
      <x:c r="H1627" s="85" t="str">
        <x:v>Diagnóstico e execução</x:v>
      </x:c>
    </x:row>
    <x:row r="1628">
      <x:c r="A1628" s="83" t="n">
        <x:v>1627</x:v>
      </x:c>
      <x:c r="B1628" s="84" t="n">
        <x:v>951</x:v>
      </x:c>
      <x:c r="C1628" s="84" t="n">
        <x:v>30</x:v>
      </x:c>
      <x:c r="D1628" s="89" t="n">
        <x:v>45366</x:v>
      </x:c>
      <x:c r="E1628" s="84" t="n">
        <x:v>6.2</x:v>
      </x:c>
      <x:c r="F1628" s="84" t="str">
        <x:v>Normal</x:v>
      </x:c>
      <x:c r="G1628" s="93" t="n">
        <x:v>256.74</x:v>
      </x:c>
      <x:c r="H1628" s="85" t="str">
        <x:v>Diagnóstico e execução</x:v>
      </x:c>
    </x:row>
    <x:row r="1629">
      <x:c r="A1629" s="83" t="n">
        <x:v>1628</x:v>
      </x:c>
      <x:c r="B1629" s="84" t="n">
        <x:v>951</x:v>
      </x:c>
      <x:c r="C1629" s="84" t="n">
        <x:v>16</x:v>
      </x:c>
      <x:c r="D1629" s="89" t="n">
        <x:v>45366</x:v>
      </x:c>
      <x:c r="E1629" s="84" t="n">
        <x:v>2.4</x:v>
      </x:c>
      <x:c r="F1629" s="84" t="str">
        <x:v>Normal</x:v>
      </x:c>
      <x:c r="G1629" s="93" t="n">
        <x:v>97.25</x:v>
      </x:c>
      <x:c r="H1629" s="85" t="str">
        <x:v>Diagnóstico e execução</x:v>
      </x:c>
    </x:row>
    <x:row r="1630">
      <x:c r="A1630" s="83" t="n">
        <x:v>1629</x:v>
      </x:c>
      <x:c r="B1630" s="84" t="n">
        <x:v>953</x:v>
      </x:c>
      <x:c r="C1630" s="84" t="n">
        <x:v>23</x:v>
      </x:c>
      <x:c r="D1630" s="89" t="n">
        <x:v>45849</x:v>
      </x:c>
      <x:c r="E1630" s="84" t="n">
        <x:v>1.6</x:v>
      </x:c>
      <x:c r="F1630" s="84" t="str">
        <x:v>Normal</x:v>
      </x:c>
      <x:c r="G1630" s="93" t="n">
        <x:v>68.98</x:v>
      </x:c>
      <x:c r="H1630" s="85" t="str">
        <x:v>Diagnóstico e execução</x:v>
      </x:c>
    </x:row>
    <x:row r="1631">
      <x:c r="A1631" s="83" t="n">
        <x:v>1630</x:v>
      </x:c>
      <x:c r="B1631" s="84" t="n">
        <x:v>953</x:v>
      </x:c>
      <x:c r="C1631" s="84" t="n">
        <x:v>45</x:v>
      </x:c>
      <x:c r="D1631" s="89" t="n">
        <x:v>45849</x:v>
      </x:c>
      <x:c r="E1631" s="84" t="n">
        <x:v>5.1</x:v>
      </x:c>
      <x:c r="F1631" s="84" t="str">
        <x:v>Normal</x:v>
      </x:c>
      <x:c r="G1631" s="93" t="n">
        <x:v>273.21</x:v>
      </x:c>
      <x:c r="H1631" s="85" t="str">
        <x:v>Diagnóstico e execução</x:v>
      </x:c>
    </x:row>
    <x:row r="1632">
      <x:c r="A1632" s="83" t="n">
        <x:v>1631</x:v>
      </x:c>
      <x:c r="B1632" s="84" t="n">
        <x:v>956</x:v>
      </x:c>
      <x:c r="C1632" s="84" t="n">
        <x:v>28</x:v>
      </x:c>
      <x:c r="D1632" s="89" t="n">
        <x:v>45409</x:v>
      </x:c>
      <x:c r="E1632" s="84" t="n">
        <x:v>7.9</x:v>
      </x:c>
      <x:c r="F1632" s="84" t="str">
        <x:v>Normal</x:v>
      </x:c>
      <x:c r="G1632" s="93" t="n">
        <x:v>297.2</x:v>
      </x:c>
      <x:c r="H1632" s="85" t="str">
        <x:v>Diagnóstico e execução</x:v>
      </x:c>
    </x:row>
    <x:row r="1633">
      <x:c r="A1633" s="83" t="n">
        <x:v>1632</x:v>
      </x:c>
      <x:c r="B1633" s="84" t="n">
        <x:v>956</x:v>
      </x:c>
      <x:c r="C1633" s="84" t="n">
        <x:v>20</x:v>
      </x:c>
      <x:c r="D1633" s="89" t="n">
        <x:v>45409</x:v>
      </x:c>
      <x:c r="E1633" s="84" t="n">
        <x:v>6.4</x:v>
      </x:c>
      <x:c r="F1633" s="84" t="str">
        <x:v>Normal</x:v>
      </x:c>
      <x:c r="G1633" s="93" t="n">
        <x:v>214.53</x:v>
      </x:c>
      <x:c r="H1633" s="85" t="str">
        <x:v>Diagnóstico e execução</x:v>
      </x:c>
    </x:row>
    <x:row r="1634">
      <x:c r="A1634" s="83" t="n">
        <x:v>1633</x:v>
      </x:c>
      <x:c r="B1634" s="84" t="n">
        <x:v>956</x:v>
      </x:c>
      <x:c r="C1634" s="84" t="n">
        <x:v>32</x:v>
      </x:c>
      <x:c r="D1634" s="89" t="n">
        <x:v>45409</x:v>
      </x:c>
      <x:c r="E1634" s="84" t="n">
        <x:v>2</x:v>
      </x:c>
      <x:c r="F1634" s="84" t="str">
        <x:v>Normal</x:v>
      </x:c>
      <x:c r="G1634" s="93" t="n">
        <x:v>87.3</x:v>
      </x:c>
      <x:c r="H1634" s="85" t="str">
        <x:v>Diagnóstico e execução</x:v>
      </x:c>
    </x:row>
    <x:row r="1635">
      <x:c r="A1635" s="83" t="n">
        <x:v>1634</x:v>
      </x:c>
      <x:c r="B1635" s="84" t="n">
        <x:v>957</x:v>
      </x:c>
      <x:c r="C1635" s="84" t="n">
        <x:v>29</x:v>
      </x:c>
      <x:c r="D1635" s="89" t="n">
        <x:v>45597</x:v>
      </x:c>
      <x:c r="E1635" s="84" t="n">
        <x:v>4.6</x:v>
      </x:c>
      <x:c r="F1635" s="84" t="str">
        <x:v>Normal</x:v>
      </x:c>
      <x:c r="G1635" s="93" t="n">
        <x:v>227.79</x:v>
      </x:c>
      <x:c r="H1635" s="85" t="str">
        <x:v>Diagnóstico e execução</x:v>
      </x:c>
    </x:row>
    <x:row r="1636">
      <x:c r="A1636" s="83" t="n">
        <x:v>1635</x:v>
      </x:c>
      <x:c r="B1636" s="84" t="n">
        <x:v>957</x:v>
      </x:c>
      <x:c r="C1636" s="84" t="n">
        <x:v>3</x:v>
      </x:c>
      <x:c r="D1636" s="89" t="n">
        <x:v>45597</x:v>
      </x:c>
      <x:c r="E1636" s="84" t="n">
        <x:v>5.9</x:v>
      </x:c>
      <x:c r="F1636" s="84" t="str">
        <x:v>Normal</x:v>
      </x:c>
      <x:c r="G1636" s="93" t="n">
        <x:v>290.52</x:v>
      </x:c>
      <x:c r="H1636" s="85" t="str">
        <x:v>Diagnóstico e execução</x:v>
      </x:c>
    </x:row>
    <x:row r="1637">
      <x:c r="A1637" s="83" t="n">
        <x:v>1636</x:v>
      </x:c>
      <x:c r="B1637" s="84" t="n">
        <x:v>957</x:v>
      </x:c>
      <x:c r="C1637" s="84" t="n">
        <x:v>38</x:v>
      </x:c>
      <x:c r="D1637" s="89" t="n">
        <x:v>45597</x:v>
      </x:c>
      <x:c r="E1637" s="84" t="n">
        <x:v>5.3</x:v>
      </x:c>
      <x:c r="F1637" s="84" t="str">
        <x:v>Normal</x:v>
      </x:c>
      <x:c r="G1637" s="93" t="n">
        <x:v>178.45</x:v>
      </x:c>
      <x:c r="H1637" s="85" t="str">
        <x:v>Diagnóstico e execução</x:v>
      </x:c>
    </x:row>
    <x:row r="1638">
      <x:c r="A1638" s="83" t="n">
        <x:v>1637</x:v>
      </x:c>
      <x:c r="B1638" s="84" t="n">
        <x:v>958</x:v>
      </x:c>
      <x:c r="C1638" s="84" t="n">
        <x:v>9</x:v>
      </x:c>
      <x:c r="D1638" s="89" t="n">
        <x:v>45518</x:v>
      </x:c>
      <x:c r="E1638" s="84" t="n">
        <x:v>3.8</x:v>
      </x:c>
      <x:c r="F1638" s="84" t="str">
        <x:v>Normal</x:v>
      </x:c>
      <x:c r="G1638" s="93" t="n">
        <x:v>200.15</x:v>
      </x:c>
      <x:c r="H1638" s="85" t="str">
        <x:v>Diagnóstico e execução</x:v>
      </x:c>
    </x:row>
    <x:row r="1639">
      <x:c r="A1639" s="83" t="n">
        <x:v>1638</x:v>
      </x:c>
      <x:c r="B1639" s="84" t="n">
        <x:v>958</x:v>
      </x:c>
      <x:c r="C1639" s="84" t="n">
        <x:v>3</x:v>
      </x:c>
      <x:c r="D1639" s="89" t="n">
        <x:v>45518</x:v>
      </x:c>
      <x:c r="E1639" s="84" t="n">
        <x:v>1.1</x:v>
      </x:c>
      <x:c r="F1639" s="84" t="str">
        <x:v>Normal</x:v>
      </x:c>
      <x:c r="G1639" s="93" t="n">
        <x:v>54.16</x:v>
      </x:c>
      <x:c r="H1639" s="85" t="str">
        <x:v>Diagnóstico e execução</x:v>
      </x:c>
    </x:row>
    <x:row r="1640">
      <x:c r="A1640" s="83" t="n">
        <x:v>1639</x:v>
      </x:c>
      <x:c r="B1640" s="84" t="n">
        <x:v>959</x:v>
      </x:c>
      <x:c r="C1640" s="84" t="n">
        <x:v>39</x:v>
      </x:c>
      <x:c r="D1640" s="89" t="n">
        <x:v>44964</x:v>
      </x:c>
      <x:c r="E1640" s="84" t="n">
        <x:v>7.1</x:v>
      </x:c>
      <x:c r="F1640" s="84" t="str">
        <x:v>Normal</x:v>
      </x:c>
      <x:c r="G1640" s="93" t="n">
        <x:v>411.09</x:v>
      </x:c>
      <x:c r="H1640" s="85" t="str">
        <x:v>Diagnóstico e execução</x:v>
      </x:c>
    </x:row>
    <x:row r="1641">
      <x:c r="A1641" s="83" t="n">
        <x:v>1640</x:v>
      </x:c>
      <x:c r="B1641" s="84" t="n">
        <x:v>960</x:v>
      </x:c>
      <x:c r="C1641" s="84" t="n">
        <x:v>43</x:v>
      </x:c>
      <x:c r="D1641" s="89" t="n">
        <x:v>45819</x:v>
      </x:c>
      <x:c r="E1641" s="84" t="n">
        <x:v>4.4</x:v>
      </x:c>
      <x:c r="F1641" s="84" t="str">
        <x:v>Normal</x:v>
      </x:c>
      <x:c r="G1641" s="93" t="n">
        <x:v>240.5</x:v>
      </x:c>
      <x:c r="H1641" s="85" t="str">
        <x:v>Diagnóstico e execução</x:v>
      </x:c>
    </x:row>
    <x:row r="1642">
      <x:c r="A1642" s="83" t="n">
        <x:v>1641</x:v>
      </x:c>
      <x:c r="B1642" s="84" t="n">
        <x:v>960</x:v>
      </x:c>
      <x:c r="C1642" s="84" t="n">
        <x:v>7</x:v>
      </x:c>
      <x:c r="D1642" s="89" t="n">
        <x:v>45819</x:v>
      </x:c>
      <x:c r="E1642" s="84" t="n">
        <x:v>6.4</x:v>
      </x:c>
      <x:c r="F1642" s="84" t="str">
        <x:v>Normal</x:v>
      </x:c>
      <x:c r="G1642" s="93" t="n">
        <x:v>372.54</x:v>
      </x:c>
      <x:c r="H1642" s="85" t="str">
        <x:v>Diagnóstico e execução</x:v>
      </x:c>
    </x:row>
    <x:row r="1643">
      <x:c r="A1643" s="83" t="n">
        <x:v>1642</x:v>
      </x:c>
      <x:c r="B1643" s="84" t="n">
        <x:v>961</x:v>
      </x:c>
      <x:c r="C1643" s="84" t="n">
        <x:v>30</x:v>
      </x:c>
      <x:c r="D1643" s="89" t="n">
        <x:v>45721</x:v>
      </x:c>
      <x:c r="E1643" s="84" t="n">
        <x:v>3.3</x:v>
      </x:c>
      <x:c r="F1643" s="84" t="str">
        <x:v>Normal</x:v>
      </x:c>
      <x:c r="G1643" s="93" t="n">
        <x:v>136.65</x:v>
      </x:c>
      <x:c r="H1643" s="85" t="str">
        <x:v>Diagnóstico e execução</x:v>
      </x:c>
    </x:row>
    <x:row r="1644">
      <x:c r="A1644" s="83" t="n">
        <x:v>1643</x:v>
      </x:c>
      <x:c r="B1644" s="84" t="n">
        <x:v>962</x:v>
      </x:c>
      <x:c r="C1644" s="84" t="n">
        <x:v>44</x:v>
      </x:c>
      <x:c r="D1644" s="89" t="n">
        <x:v>45430</x:v>
      </x:c>
      <x:c r="E1644" s="84" t="n">
        <x:v>7.6</x:v>
      </x:c>
      <x:c r="F1644" s="84" t="str">
        <x:v>Normal</x:v>
      </x:c>
      <x:c r="G1644" s="93" t="n">
        <x:v>213.1</x:v>
      </x:c>
      <x:c r="H1644" s="85" t="str">
        <x:v>Diagnóstico e execução</x:v>
      </x:c>
    </x:row>
    <x:row r="1645">
      <x:c r="A1645" s="83" t="n">
        <x:v>1644</x:v>
      </x:c>
      <x:c r="B1645" s="84" t="n">
        <x:v>962</x:v>
      </x:c>
      <x:c r="C1645" s="84" t="n">
        <x:v>42</x:v>
      </x:c>
      <x:c r="D1645" s="89" t="n">
        <x:v>45430</x:v>
      </x:c>
      <x:c r="E1645" s="84" t="n">
        <x:v>2.1</x:v>
      </x:c>
      <x:c r="F1645" s="84" t="str">
        <x:v>Normal</x:v>
      </x:c>
      <x:c r="G1645" s="93" t="n">
        <x:v>88.58</x:v>
      </x:c>
      <x:c r="H1645" s="85" t="str">
        <x:v>Diagnóstico e execução</x:v>
      </x:c>
    </x:row>
    <x:row r="1646">
      <x:c r="A1646" s="83" t="n">
        <x:v>1645</x:v>
      </x:c>
      <x:c r="B1646" s="84" t="n">
        <x:v>963</x:v>
      </x:c>
      <x:c r="C1646" s="84" t="n">
        <x:v>31</x:v>
      </x:c>
      <x:c r="D1646" s="89" t="n">
        <x:v>45128</x:v>
      </x:c>
      <x:c r="E1646" s="84" t="n">
        <x:v>1.4</x:v>
      </x:c>
      <x:c r="F1646" s="84" t="str">
        <x:v>Normal</x:v>
      </x:c>
      <x:c r="G1646" s="93" t="n">
        <x:v>68.46</x:v>
      </x:c>
      <x:c r="H1646" s="85" t="str">
        <x:v>Diagnóstico e execução</x:v>
      </x:c>
    </x:row>
    <x:row r="1647">
      <x:c r="A1647" s="83" t="n">
        <x:v>1646</x:v>
      </x:c>
      <x:c r="B1647" s="84" t="n">
        <x:v>963</x:v>
      </x:c>
      <x:c r="C1647" s="84" t="n">
        <x:v>1</x:v>
      </x:c>
      <x:c r="D1647" s="89" t="n">
        <x:v>45128</x:v>
      </x:c>
      <x:c r="E1647" s="84" t="n">
        <x:v>7.4</x:v>
      </x:c>
      <x:c r="F1647" s="84" t="str">
        <x:v>Normal</x:v>
      </x:c>
      <x:c r="G1647" s="93" t="n">
        <x:v>261.74</x:v>
      </x:c>
      <x:c r="H1647" s="85" t="str">
        <x:v>Diagnóstico e execução</x:v>
      </x:c>
    </x:row>
    <x:row r="1648">
      <x:c r="A1648" s="83" t="n">
        <x:v>1647</x:v>
      </x:c>
      <x:c r="B1648" s="84" t="n">
        <x:v>964</x:v>
      </x:c>
      <x:c r="C1648" s="84" t="n">
        <x:v>42</x:v>
      </x:c>
      <x:c r="D1648" s="89" t="n">
        <x:v>45358</x:v>
      </x:c>
      <x:c r="E1648" s="84" t="n">
        <x:v>2.3</x:v>
      </x:c>
      <x:c r="F1648" s="84" t="str">
        <x:v>Normal</x:v>
      </x:c>
      <x:c r="G1648" s="93" t="n">
        <x:v>97.01</x:v>
      </x:c>
      <x:c r="H1648" s="85" t="str">
        <x:v>Diagnóstico e execução</x:v>
      </x:c>
    </x:row>
    <x:row r="1649">
      <x:c r="A1649" s="83" t="n">
        <x:v>1648</x:v>
      </x:c>
      <x:c r="B1649" s="84" t="n">
        <x:v>964</x:v>
      </x:c>
      <x:c r="C1649" s="84" t="n">
        <x:v>37</x:v>
      </x:c>
      <x:c r="D1649" s="89" t="n">
        <x:v>45358</x:v>
      </x:c>
      <x:c r="E1649" s="84" t="n">
        <x:v>5.7</x:v>
      </x:c>
      <x:c r="F1649" s="84" t="str">
        <x:v>Normal</x:v>
      </x:c>
      <x:c r="G1649" s="93" t="n">
        <x:v>336.13</x:v>
      </x:c>
      <x:c r="H1649" s="85" t="str">
        <x:v>Diagnóstico e execução</x:v>
      </x:c>
    </x:row>
    <x:row r="1650">
      <x:c r="A1650" s="83" t="n">
        <x:v>1649</x:v>
      </x:c>
      <x:c r="B1650" s="84" t="n">
        <x:v>965</x:v>
      </x:c>
      <x:c r="C1650" s="84" t="n">
        <x:v>23</x:v>
      </x:c>
      <x:c r="D1650" s="89" t="n">
        <x:v>45369</x:v>
      </x:c>
      <x:c r="E1650" s="84" t="n">
        <x:v>1.7</x:v>
      </x:c>
      <x:c r="F1650" s="84" t="str">
        <x:v>Normal</x:v>
      </x:c>
      <x:c r="G1650" s="93" t="n">
        <x:v>73.29</x:v>
      </x:c>
      <x:c r="H1650" s="85" t="str">
        <x:v>Diagnóstico e execução</x:v>
      </x:c>
    </x:row>
    <x:row r="1651">
      <x:c r="A1651" s="83" t="n">
        <x:v>1650</x:v>
      </x:c>
      <x:c r="B1651" s="84" t="n">
        <x:v>965</x:v>
      </x:c>
      <x:c r="C1651" s="84" t="n">
        <x:v>2</x:v>
      </x:c>
      <x:c r="D1651" s="89" t="n">
        <x:v>45369</x:v>
      </x:c>
      <x:c r="E1651" s="84" t="n">
        <x:v>5.6</x:v>
      </x:c>
      <x:c r="F1651" s="84" t="str">
        <x:v>Normal</x:v>
      </x:c>
      <x:c r="G1651" s="93" t="n">
        <x:v>208.66</x:v>
      </x:c>
      <x:c r="H1651" s="85" t="str">
        <x:v>Diagnóstico e execução</x:v>
      </x:c>
    </x:row>
    <x:row r="1652">
      <x:c r="A1652" s="83" t="n">
        <x:v>1651</x:v>
      </x:c>
      <x:c r="B1652" s="84" t="n">
        <x:v>966</x:v>
      </x:c>
      <x:c r="C1652" s="84" t="n">
        <x:v>35</x:v>
      </x:c>
      <x:c r="D1652" s="89" t="n">
        <x:v>45552</x:v>
      </x:c>
      <x:c r="E1652" s="84" t="n">
        <x:v>1.5</x:v>
      </x:c>
      <x:c r="F1652" s="84" t="str">
        <x:v>Normal</x:v>
      </x:c>
      <x:c r="G1652" s="93" t="n">
        <x:v>73.78</x:v>
      </x:c>
      <x:c r="H1652" s="85" t="str">
        <x:v>Diagnóstico e execução</x:v>
      </x:c>
    </x:row>
    <x:row r="1653">
      <x:c r="A1653" s="83" t="n">
        <x:v>1652</x:v>
      </x:c>
      <x:c r="B1653" s="84" t="n">
        <x:v>966</x:v>
      </x:c>
      <x:c r="C1653" s="84" t="n">
        <x:v>4</x:v>
      </x:c>
      <x:c r="D1653" s="89" t="n">
        <x:v>45552</x:v>
      </x:c>
      <x:c r="E1653" s="84" t="n">
        <x:v>0.7</x:v>
      </x:c>
      <x:c r="F1653" s="84" t="str">
        <x:v>Normal</x:v>
      </x:c>
      <x:c r="G1653" s="93" t="n">
        <x:v>34.43</x:v>
      </x:c>
      <x:c r="H1653" s="85" t="str">
        <x:v>Diagnóstico e execução</x:v>
      </x:c>
    </x:row>
    <x:row r="1654">
      <x:c r="A1654" s="83" t="n">
        <x:v>1653</x:v>
      </x:c>
      <x:c r="B1654" s="84" t="n">
        <x:v>966</x:v>
      </x:c>
      <x:c r="C1654" s="84" t="n">
        <x:v>36</x:v>
      </x:c>
      <x:c r="D1654" s="89" t="n">
        <x:v>45552</x:v>
      </x:c>
      <x:c r="E1654" s="84" t="n">
        <x:v>3.1</x:v>
      </x:c>
      <x:c r="F1654" s="84" t="str">
        <x:v>Normal</x:v>
      </x:c>
      <x:c r="G1654" s="93" t="n">
        <x:v>91.95</x:v>
      </x:c>
      <x:c r="H1654" s="85" t="str">
        <x:v>Diagnóstico e execução</x:v>
      </x:c>
    </x:row>
    <x:row r="1655">
      <x:c r="A1655" s="83" t="n">
        <x:v>1654</x:v>
      </x:c>
      <x:c r="B1655" s="84" t="n">
        <x:v>967</x:v>
      </x:c>
      <x:c r="C1655" s="84" t="n">
        <x:v>29</x:v>
      </x:c>
      <x:c r="D1655" s="89" t="n">
        <x:v>45799</x:v>
      </x:c>
      <x:c r="E1655" s="84" t="n">
        <x:v>3.2</x:v>
      </x:c>
      <x:c r="F1655" s="84" t="str">
        <x:v>Normal</x:v>
      </x:c>
      <x:c r="G1655" s="93" t="n">
        <x:v>158.46</x:v>
      </x:c>
      <x:c r="H1655" s="85" t="str">
        <x:v>Diagnóstico e execução</x:v>
      </x:c>
    </x:row>
    <x:row r="1656">
      <x:c r="A1656" s="83" t="n">
        <x:v>1655</x:v>
      </x:c>
      <x:c r="B1656" s="84" t="n">
        <x:v>968</x:v>
      </x:c>
      <x:c r="C1656" s="84" t="n">
        <x:v>23</x:v>
      </x:c>
      <x:c r="D1656" s="89" t="n">
        <x:v>45053</x:v>
      </x:c>
      <x:c r="E1656" s="84" t="n">
        <x:v>1</x:v>
      </x:c>
      <x:c r="F1656" s="84" t="str">
        <x:v>Normal</x:v>
      </x:c>
      <x:c r="G1656" s="93" t="n">
        <x:v>43.11</x:v>
      </x:c>
      <x:c r="H1656" s="85" t="str">
        <x:v>Diagnóstico e execução</x:v>
      </x:c>
    </x:row>
    <x:row r="1657">
      <x:c r="A1657" s="83" t="n">
        <x:v>1656</x:v>
      </x:c>
      <x:c r="B1657" s="84" t="n">
        <x:v>970</x:v>
      </x:c>
      <x:c r="C1657" s="84" t="n">
        <x:v>17</x:v>
      </x:c>
      <x:c r="D1657" s="89" t="n">
        <x:v>45918</x:v>
      </x:c>
      <x:c r="E1657" s="84" t="n">
        <x:v>3.1</x:v>
      </x:c>
      <x:c r="F1657" s="84" t="str">
        <x:v>Normal</x:v>
      </x:c>
      <x:c r="G1657" s="93" t="n">
        <x:v>172.92</x:v>
      </x:c>
      <x:c r="H1657" s="85" t="str">
        <x:v>Diagnóstico e execução</x:v>
      </x:c>
    </x:row>
    <x:row r="1658">
      <x:c r="A1658" s="83" t="n">
        <x:v>1657</x:v>
      </x:c>
      <x:c r="B1658" s="84" t="n">
        <x:v>970</x:v>
      </x:c>
      <x:c r="C1658" s="84" t="n">
        <x:v>27</x:v>
      </x:c>
      <x:c r="D1658" s="89" t="n">
        <x:v>45918</x:v>
      </x:c>
      <x:c r="E1658" s="84" t="n">
        <x:v>2</x:v>
      </x:c>
      <x:c r="F1658" s="84" t="str">
        <x:v>Normal</x:v>
      </x:c>
      <x:c r="G1658" s="93" t="n">
        <x:v>121.98</x:v>
      </x:c>
      <x:c r="H1658" s="85" t="str">
        <x:v>Diagnóstico e execução</x:v>
      </x:c>
    </x:row>
    <x:row r="1659">
      <x:c r="A1659" s="83" t="n">
        <x:v>1658</x:v>
      </x:c>
      <x:c r="B1659" s="84" t="n">
        <x:v>970</x:v>
      </x:c>
      <x:c r="C1659" s="84" t="n">
        <x:v>26</x:v>
      </x:c>
      <x:c r="D1659" s="89" t="n">
        <x:v>45918</x:v>
      </x:c>
      <x:c r="E1659" s="84" t="n">
        <x:v>2.8</x:v>
      </x:c>
      <x:c r="F1659" s="84" t="str">
        <x:v>Normal</x:v>
      </x:c>
      <x:c r="G1659" s="93" t="n">
        <x:v>109.54</x:v>
      </x:c>
      <x:c r="H1659" s="85" t="str">
        <x:v>Diagnóstico e execução</x:v>
      </x:c>
    </x:row>
    <x:row r="1660">
      <x:c r="A1660" s="83" t="n">
        <x:v>1659</x:v>
      </x:c>
      <x:c r="B1660" s="84" t="n">
        <x:v>971</x:v>
      </x:c>
      <x:c r="C1660" s="84" t="n">
        <x:v>37</x:v>
      </x:c>
      <x:c r="D1660" s="89" t="n">
        <x:v>45183</x:v>
      </x:c>
      <x:c r="E1660" s="84" t="n">
        <x:v>5.3</x:v>
      </x:c>
      <x:c r="F1660" s="84" t="str">
        <x:v>Normal</x:v>
      </x:c>
      <x:c r="G1660" s="93" t="n">
        <x:v>312.54</x:v>
      </x:c>
      <x:c r="H1660" s="85" t="str">
        <x:v>Diagnóstico e execução</x:v>
      </x:c>
    </x:row>
    <x:row r="1661">
      <x:c r="A1661" s="83" t="n">
        <x:v>1660</x:v>
      </x:c>
      <x:c r="B1661" s="84" t="n">
        <x:v>971</x:v>
      </x:c>
      <x:c r="C1661" s="84" t="n">
        <x:v>15</x:v>
      </x:c>
      <x:c r="D1661" s="89" t="n">
        <x:v>45183</x:v>
      </x:c>
      <x:c r="E1661" s="84" t="n">
        <x:v>4.3</x:v>
      </x:c>
      <x:c r="F1661" s="84" t="str">
        <x:v>Normal</x:v>
      </x:c>
      <x:c r="G1661" s="93" t="n">
        <x:v>130.03</x:v>
      </x:c>
      <x:c r="H1661" s="85" t="str">
        <x:v>Diagnóstico e execução</x:v>
      </x:c>
    </x:row>
    <x:row r="1662">
      <x:c r="A1662" s="83" t="n">
        <x:v>1661</x:v>
      </x:c>
      <x:c r="B1662" s="84" t="n">
        <x:v>971</x:v>
      </x:c>
      <x:c r="C1662" s="84" t="n">
        <x:v>24</x:v>
      </x:c>
      <x:c r="D1662" s="89" t="n">
        <x:v>45183</x:v>
      </x:c>
      <x:c r="E1662" s="84" t="n">
        <x:v>7.6</x:v>
      </x:c>
      <x:c r="F1662" s="84" t="str">
        <x:v>Normal</x:v>
      </x:c>
      <x:c r="G1662" s="93" t="n">
        <x:v>450.22</x:v>
      </x:c>
      <x:c r="H1662" s="85" t="str">
        <x:v>Diagnóstico e execução</x:v>
      </x:c>
    </x:row>
    <x:row r="1663">
      <x:c r="A1663" s="83" t="n">
        <x:v>1662</x:v>
      </x:c>
      <x:c r="B1663" s="84" t="n">
        <x:v>972</x:v>
      </x:c>
      <x:c r="C1663" s="84" t="n">
        <x:v>18</x:v>
      </x:c>
      <x:c r="D1663" s="89" t="n">
        <x:v>45337</x:v>
      </x:c>
      <x:c r="E1663" s="84" t="n">
        <x:v>5.3</x:v>
      </x:c>
      <x:c r="F1663" s="84" t="str">
        <x:v>Normal</x:v>
      </x:c>
      <x:c r="G1663" s="93" t="n">
        <x:v>334.38</x:v>
      </x:c>
      <x:c r="H1663" s="85" t="str">
        <x:v>Diagnóstico e execução</x:v>
      </x:c>
    </x:row>
    <x:row r="1664">
      <x:c r="A1664" s="83" t="n">
        <x:v>1663</x:v>
      </x:c>
      <x:c r="B1664" s="84" t="n">
        <x:v>973</x:v>
      </x:c>
      <x:c r="C1664" s="84" t="n">
        <x:v>25</x:v>
      </x:c>
      <x:c r="D1664" s="89" t="n">
        <x:v>45096</x:v>
      </x:c>
      <x:c r="E1664" s="84" t="n">
        <x:v>7.1</x:v>
      </x:c>
      <x:c r="F1664" s="84" t="str">
        <x:v>Normal</x:v>
      </x:c>
      <x:c r="G1664" s="93" t="n">
        <x:v>380.49</x:v>
      </x:c>
      <x:c r="H1664" s="85" t="str">
        <x:v>Diagnóstico e execução</x:v>
      </x:c>
    </x:row>
    <x:row r="1665">
      <x:c r="A1665" s="83" t="n">
        <x:v>1664</x:v>
      </x:c>
      <x:c r="B1665" s="84" t="n">
        <x:v>973</x:v>
      </x:c>
      <x:c r="C1665" s="84" t="n">
        <x:v>12</x:v>
      </x:c>
      <x:c r="D1665" s="89" t="n">
        <x:v>45096</x:v>
      </x:c>
      <x:c r="E1665" s="84" t="n">
        <x:v>3.2</x:v>
      </x:c>
      <x:c r="F1665" s="84" t="str">
        <x:v>Normal</x:v>
      </x:c>
      <x:c r="G1665" s="93" t="n">
        <x:v>110.4</x:v>
      </x:c>
      <x:c r="H1665" s="85" t="str">
        <x:v>Diagnóstico e execução</x:v>
      </x:c>
    </x:row>
    <x:row r="1666">
      <x:c r="A1666" s="83" t="n">
        <x:v>1665</x:v>
      </x:c>
      <x:c r="B1666" s="84" t="n">
        <x:v>974</x:v>
      </x:c>
      <x:c r="C1666" s="84" t="n">
        <x:v>37</x:v>
      </x:c>
      <x:c r="D1666" s="89" t="n">
        <x:v>45462</x:v>
      </x:c>
      <x:c r="E1666" s="84" t="n">
        <x:v>7.2</x:v>
      </x:c>
      <x:c r="F1666" s="84" t="str">
        <x:v>Normal</x:v>
      </x:c>
      <x:c r="G1666" s="93" t="n">
        <x:v>424.58</x:v>
      </x:c>
      <x:c r="H1666" s="85" t="str">
        <x:v>Diagnóstico e execução</x:v>
      </x:c>
    </x:row>
    <x:row r="1667">
      <x:c r="A1667" s="83" t="n">
        <x:v>1666</x:v>
      </x:c>
      <x:c r="B1667" s="84" t="n">
        <x:v>974</x:v>
      </x:c>
      <x:c r="C1667" s="84" t="n">
        <x:v>43</x:v>
      </x:c>
      <x:c r="D1667" s="89" t="n">
        <x:v>45462</x:v>
      </x:c>
      <x:c r="E1667" s="84" t="n">
        <x:v>5.1</x:v>
      </x:c>
      <x:c r="F1667" s="84" t="str">
        <x:v>Normal</x:v>
      </x:c>
      <x:c r="G1667" s="93" t="n">
        <x:v>278.77</x:v>
      </x:c>
      <x:c r="H1667" s="85" t="str">
        <x:v>Diagnóstico e execução</x:v>
      </x:c>
    </x:row>
    <x:row r="1668">
      <x:c r="A1668" s="83" t="n">
        <x:v>1667</x:v>
      </x:c>
      <x:c r="B1668" s="84" t="n">
        <x:v>974</x:v>
      </x:c>
      <x:c r="C1668" s="84" t="n">
        <x:v>27</x:v>
      </x:c>
      <x:c r="D1668" s="89" t="n">
        <x:v>45462</x:v>
      </x:c>
      <x:c r="E1668" s="84" t="n">
        <x:v>2.9</x:v>
      </x:c>
      <x:c r="F1668" s="84" t="str">
        <x:v>Normal</x:v>
      </x:c>
      <x:c r="G1668" s="93" t="n">
        <x:v>176.87</x:v>
      </x:c>
      <x:c r="H1668" s="85" t="str">
        <x:v>Diagnóstico e execução</x:v>
      </x:c>
    </x:row>
    <x:row r="1669">
      <x:c r="A1669" s="83" t="n">
        <x:v>1668</x:v>
      </x:c>
      <x:c r="B1669" s="84" t="n">
        <x:v>975</x:v>
      </x:c>
      <x:c r="C1669" s="84" t="n">
        <x:v>44</x:v>
      </x:c>
      <x:c r="D1669" s="89" t="n">
        <x:v>45584</x:v>
      </x:c>
      <x:c r="E1669" s="84" t="n">
        <x:v>2.5</x:v>
      </x:c>
      <x:c r="F1669" s="84" t="str">
        <x:v>Normal</x:v>
      </x:c>
      <x:c r="G1669" s="93" t="n">
        <x:v>70.1</x:v>
      </x:c>
      <x:c r="H1669" s="85" t="str">
        <x:v>Diagnóstico e execução</x:v>
      </x:c>
    </x:row>
    <x:row r="1670">
      <x:c r="A1670" s="83" t="n">
        <x:v>1669</x:v>
      </x:c>
      <x:c r="B1670" s="84" t="n">
        <x:v>975</x:v>
      </x:c>
      <x:c r="C1670" s="84" t="n">
        <x:v>36</x:v>
      </x:c>
      <x:c r="D1670" s="89" t="n">
        <x:v>45584</x:v>
      </x:c>
      <x:c r="E1670" s="84" t="n">
        <x:v>7.2</x:v>
      </x:c>
      <x:c r="F1670" s="84" t="str">
        <x:v>Normal</x:v>
      </x:c>
      <x:c r="G1670" s="93" t="n">
        <x:v>213.55</x:v>
      </x:c>
      <x:c r="H1670" s="85" t="str">
        <x:v>Diagnóstico e execução</x:v>
      </x:c>
    </x:row>
    <x:row r="1671">
      <x:c r="A1671" s="83" t="n">
        <x:v>1670</x:v>
      </x:c>
      <x:c r="B1671" s="84" t="n">
        <x:v>975</x:v>
      </x:c>
      <x:c r="C1671" s="84" t="n">
        <x:v>33</x:v>
      </x:c>
      <x:c r="D1671" s="89" t="n">
        <x:v>45584</x:v>
      </x:c>
      <x:c r="E1671" s="84" t="n">
        <x:v>3.1</x:v>
      </x:c>
      <x:c r="F1671" s="84" t="str">
        <x:v>Normal</x:v>
      </x:c>
      <x:c r="G1671" s="93" t="n">
        <x:v>106.92</x:v>
      </x:c>
      <x:c r="H1671" s="85" t="str">
        <x:v>Diagnóstico e execução</x:v>
      </x:c>
    </x:row>
    <x:row r="1672">
      <x:c r="A1672" s="83" t="n">
        <x:v>1671</x:v>
      </x:c>
      <x:c r="B1672" s="84" t="n">
        <x:v>977</x:v>
      </x:c>
      <x:c r="C1672" s="84" t="n">
        <x:v>10</x:v>
      </x:c>
      <x:c r="D1672" s="89" t="n">
        <x:v>45703</x:v>
      </x:c>
      <x:c r="E1672" s="84" t="n">
        <x:v>6</x:v>
      </x:c>
      <x:c r="F1672" s="84" t="str">
        <x:v>Normal</x:v>
      </x:c>
      <x:c r="G1672" s="93" t="n">
        <x:v>178.14</x:v>
      </x:c>
      <x:c r="H1672" s="85" t="str">
        <x:v>Diagnóstico e execução</x:v>
      </x:c>
    </x:row>
    <x:row r="1673">
      <x:c r="A1673" s="83" t="n">
        <x:v>1672</x:v>
      </x:c>
      <x:c r="B1673" s="84" t="n">
        <x:v>978</x:v>
      </x:c>
      <x:c r="C1673" s="84" t="n">
        <x:v>15</x:v>
      </x:c>
      <x:c r="D1673" s="89" t="n">
        <x:v>45835</x:v>
      </x:c>
      <x:c r="E1673" s="84" t="n">
        <x:v>1.1</x:v>
      </x:c>
      <x:c r="F1673" s="84" t="str">
        <x:v>Normal</x:v>
      </x:c>
      <x:c r="G1673" s="93" t="n">
        <x:v>33.26</x:v>
      </x:c>
      <x:c r="H1673" s="85" t="str">
        <x:v>Diagnóstico e execução</x:v>
      </x:c>
    </x:row>
    <x:row r="1674">
      <x:c r="A1674" s="83" t="n">
        <x:v>1673</x:v>
      </x:c>
      <x:c r="B1674" s="84" t="n">
        <x:v>979</x:v>
      </x:c>
      <x:c r="C1674" s="84" t="n">
        <x:v>45</x:v>
      </x:c>
      <x:c r="D1674" s="89" t="n">
        <x:v>45990</x:v>
      </x:c>
      <x:c r="E1674" s="84" t="n">
        <x:v>4.2</x:v>
      </x:c>
      <x:c r="F1674" s="84" t="str">
        <x:v>Normal</x:v>
      </x:c>
      <x:c r="G1674" s="93" t="n">
        <x:v>224.99</x:v>
      </x:c>
      <x:c r="H1674" s="85" t="str">
        <x:v>Diagnóstico e execução</x:v>
      </x:c>
    </x:row>
    <x:row r="1675">
      <x:c r="A1675" s="83" t="n">
        <x:v>1674</x:v>
      </x:c>
      <x:c r="B1675" s="84" t="n">
        <x:v>980</x:v>
      </x:c>
      <x:c r="C1675" s="84" t="n">
        <x:v>11</x:v>
      </x:c>
      <x:c r="D1675" s="89" t="n">
        <x:v>45391</x:v>
      </x:c>
      <x:c r="E1675" s="84" t="n">
        <x:v>2.8</x:v>
      </x:c>
      <x:c r="F1675" s="84" t="str">
        <x:v>Normal</x:v>
      </x:c>
      <x:c r="G1675" s="93" t="n">
        <x:v>116.7</x:v>
      </x:c>
      <x:c r="H1675" s="85" t="str">
        <x:v>Diagnóstico e execução</x:v>
      </x:c>
    </x:row>
    <x:row r="1676">
      <x:c r="A1676" s="83" t="n">
        <x:v>1675</x:v>
      </x:c>
      <x:c r="B1676" s="84" t="n">
        <x:v>980</x:v>
      </x:c>
      <x:c r="C1676" s="84" t="n">
        <x:v>6</x:v>
      </x:c>
      <x:c r="D1676" s="89" t="n">
        <x:v>45391</x:v>
      </x:c>
      <x:c r="E1676" s="84" t="n">
        <x:v>3.7</x:v>
      </x:c>
      <x:c r="F1676" s="84" t="str">
        <x:v>Normal</x:v>
      </x:c>
      <x:c r="G1676" s="93" t="n">
        <x:v>193.36</x:v>
      </x:c>
      <x:c r="H1676" s="85" t="str">
        <x:v>Diagnóstico e execução</x:v>
      </x:c>
    </x:row>
    <x:row r="1677">
      <x:c r="A1677" s="83" t="n">
        <x:v>1676</x:v>
      </x:c>
      <x:c r="B1677" s="84" t="n">
        <x:v>981</x:v>
      </x:c>
      <x:c r="C1677" s="84" t="n">
        <x:v>19</x:v>
      </x:c>
      <x:c r="D1677" s="89" t="n">
        <x:v>45069</x:v>
      </x:c>
      <x:c r="E1677" s="84" t="n">
        <x:v>7.5</x:v>
      </x:c>
      <x:c r="F1677" s="84" t="str">
        <x:v>Normal</x:v>
      </x:c>
      <x:c r="G1677" s="93" t="n">
        <x:v>348.6</x:v>
      </x:c>
      <x:c r="H1677" s="85" t="str">
        <x:v>Diagnóstico e execução</x:v>
      </x:c>
    </x:row>
    <x:row r="1678">
      <x:c r="A1678" s="83" t="n">
        <x:v>1677</x:v>
      </x:c>
      <x:c r="B1678" s="84" t="n">
        <x:v>982</x:v>
      </x:c>
      <x:c r="C1678" s="84" t="n">
        <x:v>31</x:v>
      </x:c>
      <x:c r="D1678" s="89" t="n">
        <x:v>45991</x:v>
      </x:c>
      <x:c r="E1678" s="84" t="n">
        <x:v>6.1</x:v>
      </x:c>
      <x:c r="F1678" s="84" t="str">
        <x:v>Normal</x:v>
      </x:c>
      <x:c r="G1678" s="93" t="n">
        <x:v>298.29</x:v>
      </x:c>
      <x:c r="H1678" s="85" t="str">
        <x:v>Diagnóstico e execução</x:v>
      </x:c>
    </x:row>
    <x:row r="1679">
      <x:c r="A1679" s="83" t="n">
        <x:v>1678</x:v>
      </x:c>
      <x:c r="B1679" s="84" t="n">
        <x:v>983</x:v>
      </x:c>
      <x:c r="C1679" s="84" t="n">
        <x:v>2</x:v>
      </x:c>
      <x:c r="D1679" s="89" t="n">
        <x:v>45182</x:v>
      </x:c>
      <x:c r="E1679" s="84" t="n">
        <x:v>3.5</x:v>
      </x:c>
      <x:c r="F1679" s="84" t="str">
        <x:v>Normal</x:v>
      </x:c>
      <x:c r="G1679" s="93" t="n">
        <x:v>130.41</x:v>
      </x:c>
      <x:c r="H1679" s="85" t="str">
        <x:v>Diagnóstico e execução</x:v>
      </x:c>
    </x:row>
    <x:row r="1680">
      <x:c r="A1680" s="83" t="n">
        <x:v>1679</x:v>
      </x:c>
      <x:c r="B1680" s="84" t="n">
        <x:v>984</x:v>
      </x:c>
      <x:c r="C1680" s="84" t="n">
        <x:v>37</x:v>
      </x:c>
      <x:c r="D1680" s="89" t="n">
        <x:v>45656</x:v>
      </x:c>
      <x:c r="E1680" s="84" t="n">
        <x:v>0.6</x:v>
      </x:c>
      <x:c r="F1680" s="84" t="str">
        <x:v>Normal</x:v>
      </x:c>
      <x:c r="G1680" s="93" t="n">
        <x:v>35.38</x:v>
      </x:c>
      <x:c r="H1680" s="85" t="str">
        <x:v>Diagnóstico e execução</x:v>
      </x:c>
    </x:row>
    <x:row r="1681">
      <x:c r="A1681" s="83" t="n">
        <x:v>1680</x:v>
      </x:c>
      <x:c r="B1681" s="84" t="n">
        <x:v>985</x:v>
      </x:c>
      <x:c r="C1681" s="84" t="n">
        <x:v>11</x:v>
      </x:c>
      <x:c r="D1681" s="89" t="n">
        <x:v>45337</x:v>
      </x:c>
      <x:c r="E1681" s="84" t="n">
        <x:v>7.3</x:v>
      </x:c>
      <x:c r="F1681" s="84" t="str">
        <x:v>Normal</x:v>
      </x:c>
      <x:c r="G1681" s="93" t="n">
        <x:v>304.26</x:v>
      </x:c>
      <x:c r="H1681" s="85" t="str">
        <x:v>Diagnóstico e execução</x:v>
      </x:c>
    </x:row>
    <x:row r="1682">
      <x:c r="A1682" s="83" t="n">
        <x:v>1681</x:v>
      </x:c>
      <x:c r="B1682" s="84" t="n">
        <x:v>985</x:v>
      </x:c>
      <x:c r="C1682" s="84" t="n">
        <x:v>4</x:v>
      </x:c>
      <x:c r="D1682" s="89" t="n">
        <x:v>45337</x:v>
      </x:c>
      <x:c r="E1682" s="84" t="n">
        <x:v>7.1</x:v>
      </x:c>
      <x:c r="F1682" s="84" t="str">
        <x:v>Normal</x:v>
      </x:c>
      <x:c r="G1682" s="93" t="n">
        <x:v>349.25</x:v>
      </x:c>
      <x:c r="H1682" s="85" t="str">
        <x:v>Diagnóstico e execução</x:v>
      </x:c>
    </x:row>
    <x:row r="1683">
      <x:c r="A1683" s="83" t="n">
        <x:v>1682</x:v>
      </x:c>
      <x:c r="B1683" s="84" t="n">
        <x:v>985</x:v>
      </x:c>
      <x:c r="C1683" s="84" t="n">
        <x:v>12</x:v>
      </x:c>
      <x:c r="D1683" s="89" t="n">
        <x:v>45337</x:v>
      </x:c>
      <x:c r="E1683" s="84" t="n">
        <x:v>2.1</x:v>
      </x:c>
      <x:c r="F1683" s="84" t="str">
        <x:v>Normal</x:v>
      </x:c>
      <x:c r="G1683" s="93" t="n">
        <x:v>72.45</x:v>
      </x:c>
      <x:c r="H1683" s="85" t="str">
        <x:v>Diagnóstico e execução</x:v>
      </x:c>
    </x:row>
    <x:row r="1684">
      <x:c r="A1684" s="83" t="n">
        <x:v>1683</x:v>
      </x:c>
      <x:c r="B1684" s="84" t="n">
        <x:v>986</x:v>
      </x:c>
      <x:c r="C1684" s="84" t="n">
        <x:v>40</x:v>
      </x:c>
      <x:c r="D1684" s="89" t="n">
        <x:v>45682</x:v>
      </x:c>
      <x:c r="E1684" s="84" t="n">
        <x:v>4</x:v>
      </x:c>
      <x:c r="F1684" s="84" t="str">
        <x:v>Normal</x:v>
      </x:c>
      <x:c r="G1684" s="93" t="n">
        <x:v>197.68</x:v>
      </x:c>
      <x:c r="H1684" s="85" t="str">
        <x:v>Diagnóstico e execução</x:v>
      </x:c>
    </x:row>
    <x:row r="1685">
      <x:c r="A1685" s="83" t="n">
        <x:v>1684</x:v>
      </x:c>
      <x:c r="B1685" s="84" t="n">
        <x:v>986</x:v>
      </x:c>
      <x:c r="C1685" s="84" t="n">
        <x:v>45</x:v>
      </x:c>
      <x:c r="D1685" s="89" t="n">
        <x:v>45682</x:v>
      </x:c>
      <x:c r="E1685" s="84" t="n">
        <x:v>6.1</x:v>
      </x:c>
      <x:c r="F1685" s="84" t="str">
        <x:v>Normal</x:v>
      </x:c>
      <x:c r="G1685" s="93" t="n">
        <x:v>326.78</x:v>
      </x:c>
      <x:c r="H1685" s="85" t="str">
        <x:v>Diagnóstico e execução</x:v>
      </x:c>
    </x:row>
    <x:row r="1686">
      <x:c r="A1686" s="83" t="n">
        <x:v>1685</x:v>
      </x:c>
      <x:c r="B1686" s="84" t="n">
        <x:v>986</x:v>
      </x:c>
      <x:c r="C1686" s="84" t="n">
        <x:v>25</x:v>
      </x:c>
      <x:c r="D1686" s="89" t="n">
        <x:v>45682</x:v>
      </x:c>
      <x:c r="E1686" s="84" t="n">
        <x:v>4.7</x:v>
      </x:c>
      <x:c r="F1686" s="84" t="str">
        <x:v>Normal</x:v>
      </x:c>
      <x:c r="G1686" s="93" t="n">
        <x:v>251.87</x:v>
      </x:c>
      <x:c r="H1686" s="85" t="str">
        <x:v>Diagnóstico e execução</x:v>
      </x:c>
    </x:row>
    <x:row r="1687">
      <x:c r="A1687" s="83" t="n">
        <x:v>1686</x:v>
      </x:c>
      <x:c r="B1687" s="84" t="n">
        <x:v>987</x:v>
      </x:c>
      <x:c r="C1687" s="84" t="n">
        <x:v>34</x:v>
      </x:c>
      <x:c r="D1687" s="89" t="n">
        <x:v>45292</x:v>
      </x:c>
      <x:c r="E1687" s="84" t="n">
        <x:v>4.4</x:v>
      </x:c>
      <x:c r="F1687" s="84" t="str">
        <x:v>Normal</x:v>
      </x:c>
      <x:c r="G1687" s="93" t="n">
        <x:v>190.21</x:v>
      </x:c>
      <x:c r="H1687" s="85" t="str">
        <x:v>Diagnóstico e execução</x:v>
      </x:c>
    </x:row>
    <x:row r="1688">
      <x:c r="A1688" s="83" t="n">
        <x:v>1687</x:v>
      </x:c>
      <x:c r="B1688" s="84" t="n">
        <x:v>988</x:v>
      </x:c>
      <x:c r="C1688" s="84" t="n">
        <x:v>38</x:v>
      </x:c>
      <x:c r="D1688" s="89" t="n">
        <x:v>45979</x:v>
      </x:c>
      <x:c r="E1688" s="84" t="n">
        <x:v>7.5</x:v>
      </x:c>
      <x:c r="F1688" s="84" t="str">
        <x:v>Normal</x:v>
      </x:c>
      <x:c r="G1688" s="93" t="n">
        <x:v>252.53</x:v>
      </x:c>
      <x:c r="H1688" s="85" t="str">
        <x:v>Diagnóstico e execução</x:v>
      </x:c>
    </x:row>
    <x:row r="1689">
      <x:c r="A1689" s="83" t="n">
        <x:v>1688</x:v>
      </x:c>
      <x:c r="B1689" s="84" t="n">
        <x:v>988</x:v>
      </x:c>
      <x:c r="C1689" s="84" t="n">
        <x:v>25</x:v>
      </x:c>
      <x:c r="D1689" s="89" t="n">
        <x:v>45979</x:v>
      </x:c>
      <x:c r="E1689" s="84" t="n">
        <x:v>7.7</x:v>
      </x:c>
      <x:c r="F1689" s="84" t="str">
        <x:v>Normal</x:v>
      </x:c>
      <x:c r="G1689" s="93" t="n">
        <x:v>412.64</x:v>
      </x:c>
      <x:c r="H1689" s="85" t="str">
        <x:v>Diagnóstico e execução</x:v>
      </x:c>
    </x:row>
    <x:row r="1690">
      <x:c r="A1690" s="83" t="n">
        <x:v>1689</x:v>
      </x:c>
      <x:c r="B1690" s="84" t="n">
        <x:v>988</x:v>
      </x:c>
      <x:c r="C1690" s="84" t="n">
        <x:v>9</x:v>
      </x:c>
      <x:c r="D1690" s="89" t="n">
        <x:v>45979</x:v>
      </x:c>
      <x:c r="E1690" s="84" t="n">
        <x:v>4.3</x:v>
      </x:c>
      <x:c r="F1690" s="84" t="str">
        <x:v>Normal</x:v>
      </x:c>
      <x:c r="G1690" s="93" t="n">
        <x:v>226.48</x:v>
      </x:c>
      <x:c r="H1690" s="85" t="str">
        <x:v>Diagnóstico e execução</x:v>
      </x:c>
    </x:row>
    <x:row r="1691">
      <x:c r="A1691" s="83" t="n">
        <x:v>1690</x:v>
      </x:c>
      <x:c r="B1691" s="84" t="n">
        <x:v>989</x:v>
      </x:c>
      <x:c r="C1691" s="84" t="n">
        <x:v>39</x:v>
      </x:c>
      <x:c r="D1691" s="89" t="n">
        <x:v>45104</x:v>
      </x:c>
      <x:c r="E1691" s="84" t="n">
        <x:v>7.6</x:v>
      </x:c>
      <x:c r="F1691" s="84" t="str">
        <x:v>Normal</x:v>
      </x:c>
      <x:c r="G1691" s="93" t="n">
        <x:v>440.04</x:v>
      </x:c>
      <x:c r="H1691" s="85" t="str">
        <x:v>Diagnóstico e execução</x:v>
      </x:c>
    </x:row>
    <x:row r="1692">
      <x:c r="A1692" s="83" t="n">
        <x:v>1691</x:v>
      </x:c>
      <x:c r="B1692" s="84" t="n">
        <x:v>989</x:v>
      </x:c>
      <x:c r="C1692" s="84" t="n">
        <x:v>1</x:v>
      </x:c>
      <x:c r="D1692" s="89" t="n">
        <x:v>45104</x:v>
      </x:c>
      <x:c r="E1692" s="84" t="n">
        <x:v>7.3</x:v>
      </x:c>
      <x:c r="F1692" s="84" t="str">
        <x:v>Normal</x:v>
      </x:c>
      <x:c r="G1692" s="93" t="n">
        <x:v>258.2</x:v>
      </x:c>
      <x:c r="H1692" s="85" t="str">
        <x:v>Diagnóstico e execução</x:v>
      </x:c>
    </x:row>
    <x:row r="1693">
      <x:c r="A1693" s="83" t="n">
        <x:v>1692</x:v>
      </x:c>
      <x:c r="B1693" s="84" t="n">
        <x:v>989</x:v>
      </x:c>
      <x:c r="C1693" s="84" t="n">
        <x:v>27</x:v>
      </x:c>
      <x:c r="D1693" s="89" t="n">
        <x:v>45104</x:v>
      </x:c>
      <x:c r="E1693" s="84" t="n">
        <x:v>2.8</x:v>
      </x:c>
      <x:c r="F1693" s="84" t="str">
        <x:v>Normal</x:v>
      </x:c>
      <x:c r="G1693" s="93" t="n">
        <x:v>170.77</x:v>
      </x:c>
      <x:c r="H1693" s="85" t="str">
        <x:v>Diagnóstico e execução</x:v>
      </x:c>
    </x:row>
    <x:row r="1694">
      <x:c r="A1694" s="83" t="n">
        <x:v>1693</x:v>
      </x:c>
      <x:c r="B1694" s="84" t="n">
        <x:v>990</x:v>
      </x:c>
      <x:c r="C1694" s="84" t="n">
        <x:v>36</x:v>
      </x:c>
      <x:c r="D1694" s="89" t="n">
        <x:v>45275</x:v>
      </x:c>
      <x:c r="E1694" s="84" t="n">
        <x:v>3.8</x:v>
      </x:c>
      <x:c r="F1694" s="84" t="str">
        <x:v>Normal</x:v>
      </x:c>
      <x:c r="G1694" s="93" t="n">
        <x:v>112.71</x:v>
      </x:c>
      <x:c r="H1694" s="85" t="str">
        <x:v>Diagnóstico e execução</x:v>
      </x:c>
    </x:row>
    <x:row r="1695">
      <x:c r="A1695" s="83" t="n">
        <x:v>1694</x:v>
      </x:c>
      <x:c r="B1695" s="84" t="n">
        <x:v>991</x:v>
      </x:c>
      <x:c r="C1695" s="84" t="n">
        <x:v>20</x:v>
      </x:c>
      <x:c r="D1695" s="89" t="n">
        <x:v>44989</x:v>
      </x:c>
      <x:c r="E1695" s="84" t="n">
        <x:v>0.7</x:v>
      </x:c>
      <x:c r="F1695" s="84" t="str">
        <x:v>Normal</x:v>
      </x:c>
      <x:c r="G1695" s="93" t="n">
        <x:v>23.46</x:v>
      </x:c>
      <x:c r="H1695" s="85" t="str">
        <x:v>Diagnóstico e execução</x:v>
      </x:c>
    </x:row>
    <x:row r="1696">
      <x:c r="A1696" s="83" t="n">
        <x:v>1695</x:v>
      </x:c>
      <x:c r="B1696" s="84" t="n">
        <x:v>991</x:v>
      </x:c>
      <x:c r="C1696" s="84" t="n">
        <x:v>34</x:v>
      </x:c>
      <x:c r="D1696" s="89" t="n">
        <x:v>44989</x:v>
      </x:c>
      <x:c r="E1696" s="84" t="n">
        <x:v>0.9</x:v>
      </x:c>
      <x:c r="F1696" s="84" t="str">
        <x:v>Normal</x:v>
      </x:c>
      <x:c r="G1696" s="93" t="n">
        <x:v>38.91</x:v>
      </x:c>
      <x:c r="H1696" s="85" t="str">
        <x:v>Diagnóstico e execução</x:v>
      </x:c>
    </x:row>
    <x:row r="1697">
      <x:c r="A1697" s="83" t="n">
        <x:v>1696</x:v>
      </x:c>
      <x:c r="B1697" s="84" t="n">
        <x:v>991</x:v>
      </x:c>
      <x:c r="C1697" s="84" t="n">
        <x:v>20</x:v>
      </x:c>
      <x:c r="D1697" s="89" t="n">
        <x:v>44989</x:v>
      </x:c>
      <x:c r="E1697" s="84" t="n">
        <x:v>0.6</x:v>
      </x:c>
      <x:c r="F1697" s="84" t="str">
        <x:v>Normal</x:v>
      </x:c>
      <x:c r="G1697" s="93" t="n">
        <x:v>20.11</x:v>
      </x:c>
      <x:c r="H1697" s="85" t="str">
        <x:v>Diagnóstico e execução</x:v>
      </x:c>
    </x:row>
    <x:row r="1698">
      <x:c r="A1698" s="83" t="n">
        <x:v>1697</x:v>
      </x:c>
      <x:c r="B1698" s="84" t="n">
        <x:v>992</x:v>
      </x:c>
      <x:c r="C1698" s="84" t="n">
        <x:v>22</x:v>
      </x:c>
      <x:c r="D1698" s="89" t="n">
        <x:v>45530</x:v>
      </x:c>
      <x:c r="E1698" s="84" t="n">
        <x:v>1.9</x:v>
      </x:c>
      <x:c r="F1698" s="84" t="str">
        <x:v>Normal</x:v>
      </x:c>
      <x:c r="G1698" s="93" t="n">
        <x:v>73.07</x:v>
      </x:c>
      <x:c r="H1698" s="85" t="str">
        <x:v>Diagnóstico e execução</x:v>
      </x:c>
    </x:row>
    <x:row r="1699">
      <x:c r="A1699" s="83" t="n">
        <x:v>1698</x:v>
      </x:c>
      <x:c r="B1699" s="84" t="n">
        <x:v>992</x:v>
      </x:c>
      <x:c r="C1699" s="84" t="n">
        <x:v>17</x:v>
      </x:c>
      <x:c r="D1699" s="89" t="n">
        <x:v>45530</x:v>
      </x:c>
      <x:c r="E1699" s="84" t="n">
        <x:v>3.7</x:v>
      </x:c>
      <x:c r="F1699" s="84" t="str">
        <x:v>Normal</x:v>
      </x:c>
      <x:c r="G1699" s="93" t="n">
        <x:v>206.39</x:v>
      </x:c>
      <x:c r="H1699" s="85" t="str">
        <x:v>Diagnóstico e execução</x:v>
      </x:c>
    </x:row>
    <x:row r="1700">
      <x:c r="A1700" s="83" t="n">
        <x:v>1699</x:v>
      </x:c>
      <x:c r="B1700" s="84" t="n">
        <x:v>993</x:v>
      </x:c>
      <x:c r="C1700" s="84" t="n">
        <x:v>40</x:v>
      </x:c>
      <x:c r="D1700" s="89" t="n">
        <x:v>45392</x:v>
      </x:c>
      <x:c r="E1700" s="84" t="n">
        <x:v>5.3</x:v>
      </x:c>
      <x:c r="F1700" s="84" t="str">
        <x:v>Normal</x:v>
      </x:c>
      <x:c r="G1700" s="93" t="n">
        <x:v>261.93</x:v>
      </x:c>
      <x:c r="H1700" s="85" t="str">
        <x:v>Diagnóstico e execução</x:v>
      </x:c>
    </x:row>
    <x:row r="1701">
      <x:c r="A1701" s="83" t="n">
        <x:v>1700</x:v>
      </x:c>
      <x:c r="B1701" s="84" t="n">
        <x:v>994</x:v>
      </x:c>
      <x:c r="C1701" s="84" t="n">
        <x:v>21</x:v>
      </x:c>
      <x:c r="D1701" s="89" t="n">
        <x:v>44948</x:v>
      </x:c>
      <x:c r="E1701" s="84" t="n">
        <x:v>3.8</x:v>
      </x:c>
      <x:c r="F1701" s="84" t="str">
        <x:v>Normal</x:v>
      </x:c>
      <x:c r="G1701" s="93" t="n">
        <x:v>233.43</x:v>
      </x:c>
      <x:c r="H1701" s="85" t="str">
        <x:v>Diagnóstico e execução</x:v>
      </x:c>
    </x:row>
    <x:row r="1702">
      <x:c r="A1702" s="83" t="n">
        <x:v>1701</x:v>
      </x:c>
      <x:c r="B1702" s="84" t="n">
        <x:v>996</x:v>
      </x:c>
      <x:c r="C1702" s="84" t="n">
        <x:v>15</x:v>
      </x:c>
      <x:c r="D1702" s="89" t="n">
        <x:v>45625</x:v>
      </x:c>
      <x:c r="E1702" s="84" t="n">
        <x:v>6.5</x:v>
      </x:c>
      <x:c r="F1702" s="84" t="str">
        <x:v>Normal</x:v>
      </x:c>
      <x:c r="G1702" s="93" t="n">
        <x:v>196.56</x:v>
      </x:c>
      <x:c r="H1702" s="85" t="str">
        <x:v>Diagnóstico e execução</x:v>
      </x:c>
    </x:row>
    <x:row r="1703">
      <x:c r="A1703" s="83" t="n">
        <x:v>1702</x:v>
      </x:c>
      <x:c r="B1703" s="84" t="n">
        <x:v>996</x:v>
      </x:c>
      <x:c r="C1703" s="84" t="n">
        <x:v>9</x:v>
      </x:c>
      <x:c r="D1703" s="89" t="n">
        <x:v>45625</x:v>
      </x:c>
      <x:c r="E1703" s="84" t="n">
        <x:v>0.7</x:v>
      </x:c>
      <x:c r="F1703" s="84" t="str">
        <x:v>Normal</x:v>
      </x:c>
      <x:c r="G1703" s="93" t="n">
        <x:v>36.87</x:v>
      </x:c>
      <x:c r="H1703" s="85" t="str">
        <x:v>Diagnóstico e execução</x:v>
      </x:c>
    </x:row>
    <x:row r="1704">
      <x:c r="A1704" s="83" t="n">
        <x:v>1703</x:v>
      </x:c>
      <x:c r="B1704" s="84" t="n">
        <x:v>996</x:v>
      </x:c>
      <x:c r="C1704" s="84" t="n">
        <x:v>29</x:v>
      </x:c>
      <x:c r="D1704" s="89" t="n">
        <x:v>45625</x:v>
      </x:c>
      <x:c r="E1704" s="84" t="n">
        <x:v>4.2</x:v>
      </x:c>
      <x:c r="F1704" s="84" t="str">
        <x:v>Normal</x:v>
      </x:c>
      <x:c r="G1704" s="93" t="n">
        <x:v>207.98</x:v>
      </x:c>
      <x:c r="H1704" s="85" t="str">
        <x:v>Diagnóstico e execução</x:v>
      </x:c>
    </x:row>
    <x:row r="1705">
      <x:c r="A1705" s="83" t="n">
        <x:v>1704</x:v>
      </x:c>
      <x:c r="B1705" s="84" t="n">
        <x:v>997</x:v>
      </x:c>
      <x:c r="C1705" s="84" t="n">
        <x:v>25</x:v>
      </x:c>
      <x:c r="D1705" s="89" t="n">
        <x:v>45952</x:v>
      </x:c>
      <x:c r="E1705" s="84" t="n">
        <x:v>3.1</x:v>
      </x:c>
      <x:c r="F1705" s="84" t="str">
        <x:v>Normal</x:v>
      </x:c>
      <x:c r="G1705" s="93" t="n">
        <x:v>166.13</x:v>
      </x:c>
      <x:c r="H1705" s="85" t="str">
        <x:v>Diagnóstico e execução</x:v>
      </x:c>
    </x:row>
    <x:row r="1706">
      <x:c r="A1706" s="83" t="n">
        <x:v>1705</x:v>
      </x:c>
      <x:c r="B1706" s="84" t="n">
        <x:v>999</x:v>
      </x:c>
      <x:c r="C1706" s="84" t="n">
        <x:v>16</x:v>
      </x:c>
      <x:c r="D1706" s="89" t="n">
        <x:v>45216</x:v>
      </x:c>
      <x:c r="E1706" s="84" t="n">
        <x:v>4.4</x:v>
      </x:c>
      <x:c r="F1706" s="84" t="str">
        <x:v>Normal</x:v>
      </x:c>
      <x:c r="G1706" s="93" t="n">
        <x:v>178.29</x:v>
      </x:c>
      <x:c r="H1706" s="85" t="str">
        <x:v>Diagnóstico e execução</x:v>
      </x:c>
    </x:row>
    <x:row r="1707">
      <x:c r="A1707" s="83" t="n">
        <x:v>1706</x:v>
      </x:c>
      <x:c r="B1707" s="84" t="n">
        <x:v>999</x:v>
      </x:c>
      <x:c r="C1707" s="84" t="n">
        <x:v>31</x:v>
      </x:c>
      <x:c r="D1707" s="89" t="n">
        <x:v>45216</x:v>
      </x:c>
      <x:c r="E1707" s="84" t="n">
        <x:v>4.3</x:v>
      </x:c>
      <x:c r="F1707" s="84" t="str">
        <x:v>Normal</x:v>
      </x:c>
      <x:c r="G1707" s="93" t="n">
        <x:v>210.27</x:v>
      </x:c>
      <x:c r="H1707" s="85" t="str">
        <x:v>Diagnóstico e execução</x:v>
      </x:c>
    </x:row>
    <x:row r="1708">
      <x:c r="A1708" s="83" t="n">
        <x:v>1707</x:v>
      </x:c>
      <x:c r="B1708" s="84" t="n">
        <x:v>999</x:v>
      </x:c>
      <x:c r="C1708" s="84" t="n">
        <x:v>8</x:v>
      </x:c>
      <x:c r="D1708" s="89" t="n">
        <x:v>45216</x:v>
      </x:c>
      <x:c r="E1708" s="84" t="n">
        <x:v>2</x:v>
      </x:c>
      <x:c r="F1708" s="84" t="str">
        <x:v>Normal</x:v>
      </x:c>
      <x:c r="G1708" s="93" t="n">
        <x:v>93</x:v>
      </x:c>
      <x:c r="H1708" s="85" t="str">
        <x:v>Diagnóstico e execução</x:v>
      </x:c>
    </x:row>
    <x:row r="1709">
      <x:c r="A1709" s="83" t="n">
        <x:v>1708</x:v>
      </x:c>
      <x:c r="B1709" s="84" t="n">
        <x:v>1000</x:v>
      </x:c>
      <x:c r="C1709" s="84" t="n">
        <x:v>20</x:v>
      </x:c>
      <x:c r="D1709" s="89" t="n">
        <x:v>45633</x:v>
      </x:c>
      <x:c r="E1709" s="84" t="n">
        <x:v>6</x:v>
      </x:c>
      <x:c r="F1709" s="84" t="str">
        <x:v>Normal</x:v>
      </x:c>
      <x:c r="G1709" s="93" t="n">
        <x:v>201.12</x:v>
      </x:c>
      <x:c r="H1709" s="85" t="str">
        <x:v>Diagnóstico e execução</x:v>
      </x:c>
    </x:row>
    <x:row r="1710">
      <x:c r="A1710" s="83" t="n">
        <x:v>1709</x:v>
      </x:c>
      <x:c r="B1710" s="84" t="n">
        <x:v>1001</x:v>
      </x:c>
      <x:c r="C1710" s="84" t="n">
        <x:v>34</x:v>
      </x:c>
      <x:c r="D1710" s="89" t="n">
        <x:v>45999</x:v>
      </x:c>
      <x:c r="E1710" s="84" t="n">
        <x:v>4</x:v>
      </x:c>
      <x:c r="F1710" s="84" t="str">
        <x:v>Normal</x:v>
      </x:c>
      <x:c r="G1710" s="93" t="n">
        <x:v>172.92</x:v>
      </x:c>
      <x:c r="H1710" s="85" t="str">
        <x:v>Diagnóstico e execução</x:v>
      </x:c>
    </x:row>
    <x:row r="1711">
      <x:c r="A1711" s="83" t="n">
        <x:v>1710</x:v>
      </x:c>
      <x:c r="B1711" s="84" t="n">
        <x:v>1001</x:v>
      </x:c>
      <x:c r="C1711" s="84" t="n">
        <x:v>37</x:v>
      </x:c>
      <x:c r="D1711" s="89" t="n">
        <x:v>45999</x:v>
      </x:c>
      <x:c r="E1711" s="84" t="n">
        <x:v>7.5</x:v>
      </x:c>
      <x:c r="F1711" s="84" t="str">
        <x:v>Normal</x:v>
      </x:c>
      <x:c r="G1711" s="93" t="n">
        <x:v>442.27</x:v>
      </x:c>
      <x:c r="H1711" s="85" t="str">
        <x:v>Diagnóstico e execução</x:v>
      </x:c>
    </x:row>
    <x:row r="1712">
      <x:c r="A1712" s="83" t="n">
        <x:v>1711</x:v>
      </x:c>
      <x:c r="B1712" s="84" t="n">
        <x:v>1002</x:v>
      </x:c>
      <x:c r="C1712" s="84" t="n">
        <x:v>1</x:v>
      </x:c>
      <x:c r="D1712" s="89" t="n">
        <x:v>45117</x:v>
      </x:c>
      <x:c r="E1712" s="84" t="n">
        <x:v>2.9</x:v>
      </x:c>
      <x:c r="F1712" s="84" t="str">
        <x:v>Normal</x:v>
      </x:c>
      <x:c r="G1712" s="93" t="n">
        <x:v>102.57</x:v>
      </x:c>
      <x:c r="H1712" s="85" t="str">
        <x:v>Diagnóstico e execução</x:v>
      </x:c>
    </x:row>
    <x:row r="1713">
      <x:c r="A1713" s="83" t="n">
        <x:v>1712</x:v>
      </x:c>
      <x:c r="B1713" s="84" t="n">
        <x:v>1002</x:v>
      </x:c>
      <x:c r="C1713" s="84" t="n">
        <x:v>2</x:v>
      </x:c>
      <x:c r="D1713" s="89" t="n">
        <x:v>45117</x:v>
      </x:c>
      <x:c r="E1713" s="84" t="n">
        <x:v>1.8</x:v>
      </x:c>
      <x:c r="F1713" s="84" t="str">
        <x:v>Normal</x:v>
      </x:c>
      <x:c r="G1713" s="93" t="n">
        <x:v>67.07</x:v>
      </x:c>
      <x:c r="H1713" s="85" t="str">
        <x:v>Diagnóstico e execução</x:v>
      </x:c>
    </x:row>
    <x:row r="1714">
      <x:c r="A1714" s="83" t="n">
        <x:v>1713</x:v>
      </x:c>
      <x:c r="B1714" s="84" t="n">
        <x:v>1003</x:v>
      </x:c>
      <x:c r="C1714" s="84" t="n">
        <x:v>28</x:v>
      </x:c>
      <x:c r="D1714" s="89" t="n">
        <x:v>45496</x:v>
      </x:c>
      <x:c r="E1714" s="84" t="n">
        <x:v>3.5</x:v>
      </x:c>
      <x:c r="F1714" s="84" t="str">
        <x:v>Normal</x:v>
      </x:c>
      <x:c r="G1714" s="93" t="n">
        <x:v>131.67</x:v>
      </x:c>
      <x:c r="H1714" s="85" t="str">
        <x:v>Diagnóstico e execução</x:v>
      </x:c>
    </x:row>
    <x:row r="1715">
      <x:c r="A1715" s="83" t="n">
        <x:v>1714</x:v>
      </x:c>
      <x:c r="B1715" s="84" t="n">
        <x:v>1003</x:v>
      </x:c>
      <x:c r="C1715" s="84" t="n">
        <x:v>22</x:v>
      </x:c>
      <x:c r="D1715" s="89" t="n">
        <x:v>45496</x:v>
      </x:c>
      <x:c r="E1715" s="84" t="n">
        <x:v>5.3</x:v>
      </x:c>
      <x:c r="F1715" s="84" t="str">
        <x:v>Normal</x:v>
      </x:c>
      <x:c r="G1715" s="93" t="n">
        <x:v>203.84</x:v>
      </x:c>
      <x:c r="H1715" s="85" t="str">
        <x:v>Diagnóstico e execução</x:v>
      </x:c>
    </x:row>
    <x:row r="1716">
      <x:c r="A1716" s="83" t="n">
        <x:v>1715</x:v>
      </x:c>
      <x:c r="B1716" s="84" t="n">
        <x:v>1005</x:v>
      </x:c>
      <x:c r="C1716" s="84" t="n">
        <x:v>11</x:v>
      </x:c>
      <x:c r="D1716" s="89" t="n">
        <x:v>45793</x:v>
      </x:c>
      <x:c r="E1716" s="84" t="n">
        <x:v>5.9</x:v>
      </x:c>
      <x:c r="F1716" s="84" t="str">
        <x:v>Normal</x:v>
      </x:c>
      <x:c r="G1716" s="93" t="n">
        <x:v>245.91</x:v>
      </x:c>
      <x:c r="H1716" s="85" t="str">
        <x:v>Diagnóstico e execução</x:v>
      </x:c>
    </x:row>
    <x:row r="1717">
      <x:c r="A1717" s="83" t="n">
        <x:v>1716</x:v>
      </x:c>
      <x:c r="B1717" s="84" t="n">
        <x:v>1005</x:v>
      </x:c>
      <x:c r="C1717" s="84" t="n">
        <x:v>41</x:v>
      </x:c>
      <x:c r="D1717" s="89" t="n">
        <x:v>45793</x:v>
      </x:c>
      <x:c r="E1717" s="84" t="n">
        <x:v>4.3</x:v>
      </x:c>
      <x:c r="F1717" s="84" t="str">
        <x:v>Normal</x:v>
      </x:c>
      <x:c r="G1717" s="93" t="n">
        <x:v>217.49</x:v>
      </x:c>
      <x:c r="H1717" s="85" t="str">
        <x:v>Diagnóstico e execução</x:v>
      </x:c>
    </x:row>
    <x:row r="1718">
      <x:c r="A1718" s="83" t="n">
        <x:v>1717</x:v>
      </x:c>
      <x:c r="B1718" s="84" t="n">
        <x:v>1006</x:v>
      </x:c>
      <x:c r="C1718" s="84" t="n">
        <x:v>26</x:v>
      </x:c>
      <x:c r="D1718" s="89" t="n">
        <x:v>45810</x:v>
      </x:c>
      <x:c r="E1718" s="84" t="n">
        <x:v>4.6</x:v>
      </x:c>
      <x:c r="F1718" s="84" t="str">
        <x:v>Normal</x:v>
      </x:c>
      <x:c r="G1718" s="93" t="n">
        <x:v>179.95</x:v>
      </x:c>
      <x:c r="H1718" s="85" t="str">
        <x:v>Diagnóstico e execução</x:v>
      </x:c>
    </x:row>
    <x:row r="1719">
      <x:c r="A1719" s="83" t="n">
        <x:v>1718</x:v>
      </x:c>
      <x:c r="B1719" s="84" t="n">
        <x:v>1006</x:v>
      </x:c>
      <x:c r="C1719" s="84" t="n">
        <x:v>26</x:v>
      </x:c>
      <x:c r="D1719" s="89" t="n">
        <x:v>45810</x:v>
      </x:c>
      <x:c r="E1719" s="84" t="n">
        <x:v>4.1</x:v>
      </x:c>
      <x:c r="F1719" s="84" t="str">
        <x:v>Normal</x:v>
      </x:c>
      <x:c r="G1719" s="93" t="n">
        <x:v>160.39</x:v>
      </x:c>
      <x:c r="H1719" s="85" t="str">
        <x:v>Diagnóstico e execução</x:v>
      </x:c>
    </x:row>
    <x:row r="1720">
      <x:c r="A1720" s="83" t="n">
        <x:v>1719</x:v>
      </x:c>
      <x:c r="B1720" s="84" t="n">
        <x:v>1007</x:v>
      </x:c>
      <x:c r="C1720" s="84" t="n">
        <x:v>35</x:v>
      </x:c>
      <x:c r="D1720" s="89" t="n">
        <x:v>45711</x:v>
      </x:c>
      <x:c r="E1720" s="84" t="n">
        <x:v>7.9</x:v>
      </x:c>
      <x:c r="F1720" s="84" t="str">
        <x:v>Normal</x:v>
      </x:c>
      <x:c r="G1720" s="93" t="n">
        <x:v>388.6</x:v>
      </x:c>
      <x:c r="H1720" s="85" t="str">
        <x:v>Diagnóstico e execução</x:v>
      </x:c>
    </x:row>
    <x:row r="1721">
      <x:c r="A1721" s="83" t="n">
        <x:v>1720</x:v>
      </x:c>
      <x:c r="B1721" s="84" t="n">
        <x:v>1007</x:v>
      </x:c>
      <x:c r="C1721" s="84" t="n">
        <x:v>13</x:v>
      </x:c>
      <x:c r="D1721" s="89" t="n">
        <x:v>45711</x:v>
      </x:c>
      <x:c r="E1721" s="84" t="n">
        <x:v>0.6</x:v>
      </x:c>
      <x:c r="F1721" s="84" t="str">
        <x:v>Normal</x:v>
      </x:c>
      <x:c r="G1721" s="93" t="n">
        <x:v>20.33</x:v>
      </x:c>
      <x:c r="H1721" s="85" t="str">
        <x:v>Diagnóstico e execução</x:v>
      </x:c>
    </x:row>
    <x:row r="1722">
      <x:c r="A1722" s="83" t="n">
        <x:v>1721</x:v>
      </x:c>
      <x:c r="B1722" s="84" t="n">
        <x:v>1007</x:v>
      </x:c>
      <x:c r="C1722" s="84" t="n">
        <x:v>19</x:v>
      </x:c>
      <x:c r="D1722" s="89" t="n">
        <x:v>45711</x:v>
      </x:c>
      <x:c r="E1722" s="84" t="n">
        <x:v>5.2</x:v>
      </x:c>
      <x:c r="F1722" s="84" t="str">
        <x:v>Normal</x:v>
      </x:c>
      <x:c r="G1722" s="93" t="n">
        <x:v>241.7</x:v>
      </x:c>
      <x:c r="H1722" s="85" t="str">
        <x:v>Diagnóstico e execução</x:v>
      </x:c>
    </x:row>
    <x:row r="1723">
      <x:c r="A1723" s="83" t="n">
        <x:v>1722</x:v>
      </x:c>
      <x:c r="B1723" s="84" t="n">
        <x:v>1008</x:v>
      </x:c>
      <x:c r="C1723" s="84" t="n">
        <x:v>39</x:v>
      </x:c>
      <x:c r="D1723" s="89" t="n">
        <x:v>45435</x:v>
      </x:c>
      <x:c r="E1723" s="84" t="n">
        <x:v>3.5</x:v>
      </x:c>
      <x:c r="F1723" s="84" t="str">
        <x:v>Normal</x:v>
      </x:c>
      <x:c r="G1723" s="93" t="n">
        <x:v>202.65</x:v>
      </x:c>
      <x:c r="H1723" s="85" t="str">
        <x:v>Diagnóstico e execução</x:v>
      </x:c>
    </x:row>
    <x:row r="1724">
      <x:c r="A1724" s="83" t="n">
        <x:v>1723</x:v>
      </x:c>
      <x:c r="B1724" s="84" t="n">
        <x:v>1010</x:v>
      </x:c>
      <x:c r="C1724" s="84" t="n">
        <x:v>10</x:v>
      </x:c>
      <x:c r="D1724" s="89" t="n">
        <x:v>45702</x:v>
      </x:c>
      <x:c r="E1724" s="84" t="n">
        <x:v>2.7</x:v>
      </x:c>
      <x:c r="F1724" s="84" t="str">
        <x:v>Normal</x:v>
      </x:c>
      <x:c r="G1724" s="93" t="n">
        <x:v>80.16</x:v>
      </x:c>
      <x:c r="H1724" s="85" t="str">
        <x:v>Diagnóstico e execução</x:v>
      </x:c>
    </x:row>
    <x:row r="1725">
      <x:c r="A1725" s="83" t="n">
        <x:v>1724</x:v>
      </x:c>
      <x:c r="B1725" s="84" t="n">
        <x:v>1011</x:v>
      </x:c>
      <x:c r="C1725" s="84" t="n">
        <x:v>20</x:v>
      </x:c>
      <x:c r="D1725" s="89" t="n">
        <x:v>46013</x:v>
      </x:c>
      <x:c r="E1725" s="84" t="n">
        <x:v>3.1</x:v>
      </x:c>
      <x:c r="F1725" s="84" t="str">
        <x:v>Normal</x:v>
      </x:c>
      <x:c r="G1725" s="93" t="n">
        <x:v>103.91</x:v>
      </x:c>
      <x:c r="H1725" s="85" t="str">
        <x:v>Diagnóstico e execução</x:v>
      </x:c>
    </x:row>
    <x:row r="1726">
      <x:c r="A1726" s="83" t="n">
        <x:v>1725</x:v>
      </x:c>
      <x:c r="B1726" s="84" t="n">
        <x:v>1012</x:v>
      </x:c>
      <x:c r="C1726" s="84" t="n">
        <x:v>45</x:v>
      </x:c>
      <x:c r="D1726" s="89" t="n">
        <x:v>44938</x:v>
      </x:c>
      <x:c r="E1726" s="84" t="n">
        <x:v>2.5</x:v>
      </x:c>
      <x:c r="F1726" s="84" t="str">
        <x:v>Normal</x:v>
      </x:c>
      <x:c r="G1726" s="93" t="n">
        <x:v>133.93</x:v>
      </x:c>
      <x:c r="H1726" s="85" t="str">
        <x:v>Diagnóstico e execução</x:v>
      </x:c>
    </x:row>
    <x:row r="1727">
      <x:c r="A1727" s="83" t="n">
        <x:v>1726</x:v>
      </x:c>
      <x:c r="B1727" s="84" t="n">
        <x:v>1012</x:v>
      </x:c>
      <x:c r="C1727" s="84" t="n">
        <x:v>14</x:v>
      </x:c>
      <x:c r="D1727" s="89" t="n">
        <x:v>44938</x:v>
      </x:c>
      <x:c r="E1727" s="84" t="n">
        <x:v>4</x:v>
      </x:c>
      <x:c r="F1727" s="84" t="str">
        <x:v>Normal</x:v>
      </x:c>
      <x:c r="G1727" s="93" t="n">
        <x:v>226.64</x:v>
      </x:c>
      <x:c r="H1727" s="85" t="str">
        <x:v>Diagnóstico e execução</x:v>
      </x:c>
    </x:row>
    <x:row r="1728">
      <x:c r="A1728" s="83" t="n">
        <x:v>1727</x:v>
      </x:c>
      <x:c r="B1728" s="84" t="n">
        <x:v>1013</x:v>
      </x:c>
      <x:c r="C1728" s="84" t="n">
        <x:v>13</x:v>
      </x:c>
      <x:c r="D1728" s="89" t="n">
        <x:v>45190</x:v>
      </x:c>
      <x:c r="E1728" s="84" t="n">
        <x:v>3.4</x:v>
      </x:c>
      <x:c r="F1728" s="84" t="str">
        <x:v>Normal</x:v>
      </x:c>
      <x:c r="G1728" s="93" t="n">
        <x:v>115.19</x:v>
      </x:c>
      <x:c r="H1728" s="85" t="str">
        <x:v>Diagnóstico e execução</x:v>
      </x:c>
    </x:row>
    <x:row r="1729">
      <x:c r="A1729" s="83" t="n">
        <x:v>1728</x:v>
      </x:c>
      <x:c r="B1729" s="84" t="n">
        <x:v>1014</x:v>
      </x:c>
      <x:c r="C1729" s="84" t="n">
        <x:v>30</x:v>
      </x:c>
      <x:c r="D1729" s="89" t="n">
        <x:v>45949</x:v>
      </x:c>
      <x:c r="E1729" s="84" t="n">
        <x:v>7</x:v>
      </x:c>
      <x:c r="F1729" s="84" t="str">
        <x:v>Normal</x:v>
      </x:c>
      <x:c r="G1729" s="93" t="n">
        <x:v>289.87</x:v>
      </x:c>
      <x:c r="H1729" s="85" t="str">
        <x:v>Diagnóstico e execução</x:v>
      </x:c>
    </x:row>
    <x:row r="1730">
      <x:c r="A1730" s="83" t="n">
        <x:v>1729</x:v>
      </x:c>
      <x:c r="B1730" s="84" t="n">
        <x:v>1015</x:v>
      </x:c>
      <x:c r="C1730" s="84" t="n">
        <x:v>35</x:v>
      </x:c>
      <x:c r="D1730" s="89" t="n">
        <x:v>45244</x:v>
      </x:c>
      <x:c r="E1730" s="84" t="n">
        <x:v>6.9</x:v>
      </x:c>
      <x:c r="F1730" s="84" t="str">
        <x:v>Normal</x:v>
      </x:c>
      <x:c r="G1730" s="93" t="n">
        <x:v>339.41</x:v>
      </x:c>
      <x:c r="H1730" s="85" t="str">
        <x:v>Diagnóstico e execução</x:v>
      </x:c>
    </x:row>
    <x:row r="1731">
      <x:c r="A1731" s="83" t="n">
        <x:v>1730</x:v>
      </x:c>
      <x:c r="B1731" s="84" t="n">
        <x:v>1016</x:v>
      </x:c>
      <x:c r="C1731" s="84" t="n">
        <x:v>25</x:v>
      </x:c>
      <x:c r="D1731" s="89" t="n">
        <x:v>45957</x:v>
      </x:c>
      <x:c r="E1731" s="84" t="n">
        <x:v>3.1</x:v>
      </x:c>
      <x:c r="F1731" s="84" t="str">
        <x:v>Normal</x:v>
      </x:c>
      <x:c r="G1731" s="93" t="n">
        <x:v>166.13</x:v>
      </x:c>
      <x:c r="H1731" s="85" t="str">
        <x:v>Diagnóstico e execução</x:v>
      </x:c>
    </x:row>
    <x:row r="1732">
      <x:c r="A1732" s="83" t="n">
        <x:v>1731</x:v>
      </x:c>
      <x:c r="B1732" s="84" t="n">
        <x:v>1017</x:v>
      </x:c>
      <x:c r="C1732" s="84" t="n">
        <x:v>7</x:v>
      </x:c>
      <x:c r="D1732" s="89" t="n">
        <x:v>45585</x:v>
      </x:c>
      <x:c r="E1732" s="84" t="n">
        <x:v>1.5</x:v>
      </x:c>
      <x:c r="F1732" s="84" t="str">
        <x:v>Normal</x:v>
      </x:c>
      <x:c r="G1732" s="93" t="n">
        <x:v>87.31</x:v>
      </x:c>
      <x:c r="H1732" s="85" t="str">
        <x:v>Diagnóstico e execução</x:v>
      </x:c>
    </x:row>
    <x:row r="1733">
      <x:c r="A1733" s="83" t="n">
        <x:v>1732</x:v>
      </x:c>
      <x:c r="B1733" s="84" t="n">
        <x:v>1018</x:v>
      </x:c>
      <x:c r="C1733" s="84" t="n">
        <x:v>37</x:v>
      </x:c>
      <x:c r="D1733" s="89" t="n">
        <x:v>45397</x:v>
      </x:c>
      <x:c r="E1733" s="84" t="n">
        <x:v>6.8</x:v>
      </x:c>
      <x:c r="F1733" s="84" t="str">
        <x:v>Normal</x:v>
      </x:c>
      <x:c r="G1733" s="93" t="n">
        <x:v>401</x:v>
      </x:c>
      <x:c r="H1733" s="85" t="str">
        <x:v>Diagnóstico e execução</x:v>
      </x:c>
    </x:row>
    <x:row r="1734">
      <x:c r="A1734" s="83" t="n">
        <x:v>1733</x:v>
      </x:c>
      <x:c r="B1734" s="84" t="n">
        <x:v>1018</x:v>
      </x:c>
      <x:c r="C1734" s="84" t="n">
        <x:v>16</x:v>
      </x:c>
      <x:c r="D1734" s="89" t="n">
        <x:v>45397</x:v>
      </x:c>
      <x:c r="E1734" s="84" t="n">
        <x:v>3.3</x:v>
      </x:c>
      <x:c r="F1734" s="84" t="str">
        <x:v>Normal</x:v>
      </x:c>
      <x:c r="G1734" s="93" t="n">
        <x:v>133.72</x:v>
      </x:c>
      <x:c r="H1734" s="85" t="str">
        <x:v>Diagnóstico e execução</x:v>
      </x:c>
    </x:row>
    <x:row r="1735">
      <x:c r="A1735" s="83" t="n">
        <x:v>1734</x:v>
      </x:c>
      <x:c r="B1735" s="84" t="n">
        <x:v>1019</x:v>
      </x:c>
      <x:c r="C1735" s="84" t="n">
        <x:v>18</x:v>
      </x:c>
      <x:c r="D1735" s="89" t="n">
        <x:v>44999</x:v>
      </x:c>
      <x:c r="E1735" s="84" t="n">
        <x:v>7.7</x:v>
      </x:c>
      <x:c r="F1735" s="84" t="str">
        <x:v>Normal</x:v>
      </x:c>
      <x:c r="G1735" s="93" t="n">
        <x:v>485.79</x:v>
      </x:c>
      <x:c r="H1735" s="85" t="str">
        <x:v>Diagnóstico e execução</x:v>
      </x:c>
    </x:row>
    <x:row r="1736">
      <x:c r="A1736" s="83" t="n">
        <x:v>1735</x:v>
      </x:c>
      <x:c r="B1736" s="84" t="n">
        <x:v>1019</x:v>
      </x:c>
      <x:c r="C1736" s="84" t="n">
        <x:v>29</x:v>
      </x:c>
      <x:c r="D1736" s="89" t="n">
        <x:v>44999</x:v>
      </x:c>
      <x:c r="E1736" s="84" t="n">
        <x:v>4.2</x:v>
      </x:c>
      <x:c r="F1736" s="84" t="str">
        <x:v>Normal</x:v>
      </x:c>
      <x:c r="G1736" s="93" t="n">
        <x:v>207.98</x:v>
      </x:c>
      <x:c r="H1736" s="85" t="str">
        <x:v>Diagnóstico e execução</x:v>
      </x:c>
    </x:row>
    <x:row r="1737">
      <x:c r="A1737" s="83" t="n">
        <x:v>1736</x:v>
      </x:c>
      <x:c r="B1737" s="84" t="n">
        <x:v>1019</x:v>
      </x:c>
      <x:c r="C1737" s="84" t="n">
        <x:v>1</x:v>
      </x:c>
      <x:c r="D1737" s="89" t="n">
        <x:v>44999</x:v>
      </x:c>
      <x:c r="E1737" s="84" t="n">
        <x:v>6.9</x:v>
      </x:c>
      <x:c r="F1737" s="84" t="str">
        <x:v>Normal</x:v>
      </x:c>
      <x:c r="G1737" s="93" t="n">
        <x:v>244.05</x:v>
      </x:c>
      <x:c r="H1737" s="85" t="str">
        <x:v>Diagnóstico e execução</x:v>
      </x:c>
    </x:row>
    <x:row r="1738">
      <x:c r="A1738" s="83" t="n">
        <x:v>1737</x:v>
      </x:c>
      <x:c r="B1738" s="84" t="n">
        <x:v>1020</x:v>
      </x:c>
      <x:c r="C1738" s="84" t="n">
        <x:v>28</x:v>
      </x:c>
      <x:c r="D1738" s="89" t="n">
        <x:v>45392</x:v>
      </x:c>
      <x:c r="E1738" s="84" t="n">
        <x:v>6</x:v>
      </x:c>
      <x:c r="F1738" s="84" t="str">
        <x:v>Normal</x:v>
      </x:c>
      <x:c r="G1738" s="93" t="n">
        <x:v>225.72</x:v>
      </x:c>
      <x:c r="H1738" s="85" t="str">
        <x:v>Diagnóstico e execução</x:v>
      </x:c>
    </x:row>
    <x:row r="1739">
      <x:c r="A1739" s="83" t="n">
        <x:v>1738</x:v>
      </x:c>
      <x:c r="B1739" s="84" t="n">
        <x:v>1020</x:v>
      </x:c>
      <x:c r="C1739" s="84" t="n">
        <x:v>12</x:v>
      </x:c>
      <x:c r="D1739" s="89" t="n">
        <x:v>45392</x:v>
      </x:c>
      <x:c r="E1739" s="84" t="n">
        <x:v>6.9</x:v>
      </x:c>
      <x:c r="F1739" s="84" t="str">
        <x:v>Normal</x:v>
      </x:c>
      <x:c r="G1739" s="93" t="n">
        <x:v>238.05</x:v>
      </x:c>
      <x:c r="H1739" s="85" t="str">
        <x:v>Diagnóstico e execução</x:v>
      </x:c>
    </x:row>
    <x:row r="1740">
      <x:c r="A1740" s="83" t="n">
        <x:v>1739</x:v>
      </x:c>
      <x:c r="B1740" s="84" t="n">
        <x:v>1020</x:v>
      </x:c>
      <x:c r="C1740" s="84" t="n">
        <x:v>45</x:v>
      </x:c>
      <x:c r="D1740" s="89" t="n">
        <x:v>45392</x:v>
      </x:c>
      <x:c r="E1740" s="84" t="n">
        <x:v>4.1</x:v>
      </x:c>
      <x:c r="F1740" s="84" t="str">
        <x:v>Normal</x:v>
      </x:c>
      <x:c r="G1740" s="93" t="n">
        <x:v>219.64</x:v>
      </x:c>
      <x:c r="H1740" s="85" t="str">
        <x:v>Diagnóstico e execução</x:v>
      </x:c>
    </x:row>
    <x:row r="1741">
      <x:c r="A1741" s="83" t="n">
        <x:v>1740</x:v>
      </x:c>
      <x:c r="B1741" s="84" t="n">
        <x:v>1021</x:v>
      </x:c>
      <x:c r="C1741" s="84" t="n">
        <x:v>38</x:v>
      </x:c>
      <x:c r="D1741" s="89" t="n">
        <x:v>45216</x:v>
      </x:c>
      <x:c r="E1741" s="84" t="n">
        <x:v>6</x:v>
      </x:c>
      <x:c r="F1741" s="84" t="str">
        <x:v>Normal</x:v>
      </x:c>
      <x:c r="G1741" s="93" t="n">
        <x:v>202.02</x:v>
      </x:c>
      <x:c r="H1741" s="85" t="str">
        <x:v>Diagnóstico e execução</x:v>
      </x:c>
    </x:row>
    <x:row r="1742">
      <x:c r="A1742" s="83" t="n">
        <x:v>1741</x:v>
      </x:c>
      <x:c r="B1742" s="84" t="n">
        <x:v>1021</x:v>
      </x:c>
      <x:c r="C1742" s="84" t="n">
        <x:v>14</x:v>
      </x:c>
      <x:c r="D1742" s="89" t="n">
        <x:v>45216</x:v>
      </x:c>
      <x:c r="E1742" s="84" t="n">
        <x:v>0.6</x:v>
      </x:c>
      <x:c r="F1742" s="84" t="str">
        <x:v>Normal</x:v>
      </x:c>
      <x:c r="G1742" s="93" t="n">
        <x:v>34</x:v>
      </x:c>
      <x:c r="H1742" s="85" t="str">
        <x:v>Diagnóstico e execução</x:v>
      </x:c>
    </x:row>
    <x:row r="1743">
      <x:c r="A1743" s="83" t="n">
        <x:v>1742</x:v>
      </x:c>
      <x:c r="B1743" s="84" t="n">
        <x:v>1022</x:v>
      </x:c>
      <x:c r="C1743" s="84" t="n">
        <x:v>5</x:v>
      </x:c>
      <x:c r="D1743" s="89" t="n">
        <x:v>45052</x:v>
      </x:c>
      <x:c r="E1743" s="84" t="n">
        <x:v>6</x:v>
      </x:c>
      <x:c r="F1743" s="84" t="str">
        <x:v>Normal</x:v>
      </x:c>
      <x:c r="G1743" s="93" t="n">
        <x:v>172.92</x:v>
      </x:c>
      <x:c r="H1743" s="85" t="str">
        <x:v>Diagnóstico e execução</x:v>
      </x:c>
    </x:row>
    <x:row r="1744">
      <x:c r="A1744" s="83" t="n">
        <x:v>1743</x:v>
      </x:c>
      <x:c r="B1744" s="84" t="n">
        <x:v>1023</x:v>
      </x:c>
      <x:c r="C1744" s="84" t="n">
        <x:v>16</x:v>
      </x:c>
      <x:c r="D1744" s="89" t="n">
        <x:v>45942</x:v>
      </x:c>
      <x:c r="E1744" s="84" t="n">
        <x:v>3.9</x:v>
      </x:c>
      <x:c r="F1744" s="84" t="str">
        <x:v>Normal</x:v>
      </x:c>
      <x:c r="G1744" s="93" t="n">
        <x:v>158.03</x:v>
      </x:c>
      <x:c r="H1744" s="85" t="str">
        <x:v>Diagnóstico e execução</x:v>
      </x:c>
    </x:row>
    <x:row r="1745">
      <x:c r="A1745" s="83" t="n">
        <x:v>1744</x:v>
      </x:c>
      <x:c r="B1745" s="84" t="n">
        <x:v>1023</x:v>
      </x:c>
      <x:c r="C1745" s="84" t="n">
        <x:v>8</x:v>
      </x:c>
      <x:c r="D1745" s="89" t="n">
        <x:v>45942</x:v>
      </x:c>
      <x:c r="E1745" s="84" t="n">
        <x:v>0.7</x:v>
      </x:c>
      <x:c r="F1745" s="84" t="str">
        <x:v>Normal</x:v>
      </x:c>
      <x:c r="G1745" s="93" t="n">
        <x:v>32.55</x:v>
      </x:c>
      <x:c r="H1745" s="85" t="str">
        <x:v>Diagnóstico e execução</x:v>
      </x:c>
    </x:row>
    <x:row r="1746">
      <x:c r="A1746" s="83" t="n">
        <x:v>1745</x:v>
      </x:c>
      <x:c r="B1746" s="84" t="n">
        <x:v>1023</x:v>
      </x:c>
      <x:c r="C1746" s="84" t="n">
        <x:v>36</x:v>
      </x:c>
      <x:c r="D1746" s="89" t="n">
        <x:v>45942</x:v>
      </x:c>
      <x:c r="E1746" s="84" t="n">
        <x:v>6.9</x:v>
      </x:c>
      <x:c r="F1746" s="84" t="str">
        <x:v>Normal</x:v>
      </x:c>
      <x:c r="G1746" s="93" t="n">
        <x:v>204.65</x:v>
      </x:c>
      <x:c r="H1746" s="85" t="str">
        <x:v>Diagnóstico e execução</x:v>
      </x:c>
    </x:row>
    <x:row r="1747">
      <x:c r="A1747" s="83" t="n">
        <x:v>1746</x:v>
      </x:c>
      <x:c r="B1747" s="84" t="n">
        <x:v>1024</x:v>
      </x:c>
      <x:c r="C1747" s="84" t="n">
        <x:v>39</x:v>
      </x:c>
      <x:c r="D1747" s="89" t="n">
        <x:v>45409</x:v>
      </x:c>
      <x:c r="E1747" s="84" t="n">
        <x:v>7</x:v>
      </x:c>
      <x:c r="F1747" s="84" t="str">
        <x:v>Normal</x:v>
      </x:c>
      <x:c r="G1747" s="93" t="n">
        <x:v>405.3</x:v>
      </x:c>
      <x:c r="H1747" s="85" t="str">
        <x:v>Diagnóstico e execução</x:v>
      </x:c>
    </x:row>
    <x:row r="1748">
      <x:c r="A1748" s="83" t="n">
        <x:v>1747</x:v>
      </x:c>
      <x:c r="B1748" s="84" t="n">
        <x:v>1025</x:v>
      </x:c>
      <x:c r="C1748" s="84" t="n">
        <x:v>26</x:v>
      </x:c>
      <x:c r="D1748" s="89" t="n">
        <x:v>45250</x:v>
      </x:c>
      <x:c r="E1748" s="84" t="n">
        <x:v>3.4</x:v>
      </x:c>
      <x:c r="F1748" s="84" t="str">
        <x:v>Normal</x:v>
      </x:c>
      <x:c r="G1748" s="93" t="n">
        <x:v>133.01</x:v>
      </x:c>
      <x:c r="H1748" s="85" t="str">
        <x:v>Diagnóstico e execução</x:v>
      </x:c>
    </x:row>
    <x:row r="1749">
      <x:c r="A1749" s="83" t="n">
        <x:v>1748</x:v>
      </x:c>
      <x:c r="B1749" s="84" t="n">
        <x:v>1026</x:v>
      </x:c>
      <x:c r="C1749" s="84" t="n">
        <x:v>37</x:v>
      </x:c>
      <x:c r="D1749" s="89" t="n">
        <x:v>46010</x:v>
      </x:c>
      <x:c r="E1749" s="84" t="n">
        <x:v>7.3</x:v>
      </x:c>
      <x:c r="F1749" s="84" t="str">
        <x:v>Normal</x:v>
      </x:c>
      <x:c r="G1749" s="93" t="n">
        <x:v>430.48</x:v>
      </x:c>
      <x:c r="H1749" s="85" t="str">
        <x:v>Diagnóstico e execução</x:v>
      </x:c>
    </x:row>
    <x:row r="1750">
      <x:c r="A1750" s="83" t="n">
        <x:v>1749</x:v>
      </x:c>
      <x:c r="B1750" s="84" t="n">
        <x:v>1027</x:v>
      </x:c>
      <x:c r="C1750" s="84" t="n">
        <x:v>7</x:v>
      </x:c>
      <x:c r="D1750" s="89" t="n">
        <x:v>45298</x:v>
      </x:c>
      <x:c r="E1750" s="84" t="n">
        <x:v>4.4</x:v>
      </x:c>
      <x:c r="F1750" s="84" t="str">
        <x:v>Normal</x:v>
      </x:c>
      <x:c r="G1750" s="93" t="n">
        <x:v>256.12</x:v>
      </x:c>
      <x:c r="H1750" s="85" t="str">
        <x:v>Diagnóstico e execução</x:v>
      </x:c>
    </x:row>
    <x:row r="1751">
      <x:c r="A1751" s="83" t="n">
        <x:v>1750</x:v>
      </x:c>
      <x:c r="B1751" s="84" t="n">
        <x:v>1027</x:v>
      </x:c>
      <x:c r="C1751" s="84" t="n">
        <x:v>6</x:v>
      </x:c>
      <x:c r="D1751" s="89" t="n">
        <x:v>45298</x:v>
      </x:c>
      <x:c r="E1751" s="84" t="n">
        <x:v>3</x:v>
      </x:c>
      <x:c r="F1751" s="84" t="str">
        <x:v>Normal</x:v>
      </x:c>
      <x:c r="G1751" s="93" t="n">
        <x:v>156.78</x:v>
      </x:c>
      <x:c r="H1751" s="85" t="str">
        <x:v>Diagnóstico e execução</x:v>
      </x:c>
    </x:row>
    <x:row r="1752">
      <x:c r="A1752" s="83" t="n">
        <x:v>1751</x:v>
      </x:c>
      <x:c r="B1752" s="84" t="n">
        <x:v>1028</x:v>
      </x:c>
      <x:c r="C1752" s="84" t="n">
        <x:v>29</x:v>
      </x:c>
      <x:c r="D1752" s="89" t="n">
        <x:v>45313</x:v>
      </x:c>
      <x:c r="E1752" s="84" t="n">
        <x:v>6.8</x:v>
      </x:c>
      <x:c r="F1752" s="84" t="str">
        <x:v>Normal</x:v>
      </x:c>
      <x:c r="G1752" s="93" t="n">
        <x:v>336.74</x:v>
      </x:c>
      <x:c r="H1752" s="85" t="str">
        <x:v>Diagnóstico e execução</x:v>
      </x:c>
    </x:row>
    <x:row r="1753">
      <x:c r="A1753" s="83" t="n">
        <x:v>1752</x:v>
      </x:c>
      <x:c r="B1753" s="84" t="n">
        <x:v>1028</x:v>
      </x:c>
      <x:c r="C1753" s="84" t="n">
        <x:v>20</x:v>
      </x:c>
      <x:c r="D1753" s="89" t="n">
        <x:v>45313</x:v>
      </x:c>
      <x:c r="E1753" s="84" t="n">
        <x:v>0.7</x:v>
      </x:c>
      <x:c r="F1753" s="84" t="str">
        <x:v>Normal</x:v>
      </x:c>
      <x:c r="G1753" s="93" t="n">
        <x:v>23.46</x:v>
      </x:c>
      <x:c r="H1753" s="85" t="str">
        <x:v>Diagnóstico e execução</x:v>
      </x:c>
    </x:row>
    <x:row r="1754">
      <x:c r="A1754" s="83" t="n">
        <x:v>1753</x:v>
      </x:c>
      <x:c r="B1754" s="84" t="n">
        <x:v>1030</x:v>
      </x:c>
      <x:c r="C1754" s="84" t="n">
        <x:v>4</x:v>
      </x:c>
      <x:c r="D1754" s="89" t="n">
        <x:v>45609</x:v>
      </x:c>
      <x:c r="E1754" s="84" t="n">
        <x:v>3</x:v>
      </x:c>
      <x:c r="F1754" s="84" t="str">
        <x:v>Normal</x:v>
      </x:c>
      <x:c r="G1754" s="93" t="n">
        <x:v>147.57</x:v>
      </x:c>
      <x:c r="H1754" s="85" t="str">
        <x:v>Diagnóstico e execução</x:v>
      </x:c>
    </x:row>
    <x:row r="1755">
      <x:c r="A1755" s="83" t="n">
        <x:v>1754</x:v>
      </x:c>
      <x:c r="B1755" s="84" t="n">
        <x:v>1030</x:v>
      </x:c>
      <x:c r="C1755" s="84" t="n">
        <x:v>2</x:v>
      </x:c>
      <x:c r="D1755" s="89" t="n">
        <x:v>45609</x:v>
      </x:c>
      <x:c r="E1755" s="84" t="n">
        <x:v>2.4</x:v>
      </x:c>
      <x:c r="F1755" s="84" t="str">
        <x:v>Normal</x:v>
      </x:c>
      <x:c r="G1755" s="93" t="n">
        <x:v>89.42</x:v>
      </x:c>
      <x:c r="H1755" s="85" t="str">
        <x:v>Diagnóstico e execução</x:v>
      </x:c>
    </x:row>
    <x:row r="1756">
      <x:c r="A1756" s="83" t="n">
        <x:v>1755</x:v>
      </x:c>
      <x:c r="B1756" s="84" t="n">
        <x:v>1031</x:v>
      </x:c>
      <x:c r="C1756" s="84" t="n">
        <x:v>19</x:v>
      </x:c>
      <x:c r="D1756" s="89" t="n">
        <x:v>45318</x:v>
      </x:c>
      <x:c r="E1756" s="84" t="n">
        <x:v>7.2</x:v>
      </x:c>
      <x:c r="F1756" s="84" t="str">
        <x:v>Normal</x:v>
      </x:c>
      <x:c r="G1756" s="93" t="n">
        <x:v>334.66</x:v>
      </x:c>
      <x:c r="H1756" s="85" t="str">
        <x:v>Diagnóstico e execução</x:v>
      </x:c>
    </x:row>
    <x:row r="1757">
      <x:c r="A1757" s="83" t="n">
        <x:v>1756</x:v>
      </x:c>
      <x:c r="B1757" s="84" t="n">
        <x:v>1031</x:v>
      </x:c>
      <x:c r="C1757" s="84" t="n">
        <x:v>8</x:v>
      </x:c>
      <x:c r="D1757" s="89" t="n">
        <x:v>45318</x:v>
      </x:c>
      <x:c r="E1757" s="84" t="n">
        <x:v>0.6</x:v>
      </x:c>
      <x:c r="F1757" s="84" t="str">
        <x:v>Normal</x:v>
      </x:c>
      <x:c r="G1757" s="93" t="n">
        <x:v>27.9</x:v>
      </x:c>
      <x:c r="H1757" s="85" t="str">
        <x:v>Diagnóstico e execução</x:v>
      </x:c>
    </x:row>
    <x:row r="1758">
      <x:c r="A1758" s="83" t="n">
        <x:v>1757</x:v>
      </x:c>
      <x:c r="B1758" s="84" t="n">
        <x:v>1031</x:v>
      </x:c>
      <x:c r="C1758" s="84" t="n">
        <x:v>12</x:v>
      </x:c>
      <x:c r="D1758" s="89" t="n">
        <x:v>45318</x:v>
      </x:c>
      <x:c r="E1758" s="84" t="n">
        <x:v>2.2</x:v>
      </x:c>
      <x:c r="F1758" s="84" t="str">
        <x:v>Normal</x:v>
      </x:c>
      <x:c r="G1758" s="93" t="n">
        <x:v>75.9</x:v>
      </x:c>
      <x:c r="H1758" s="85" t="str">
        <x:v>Diagnóstico e execução</x:v>
      </x:c>
    </x:row>
    <x:row r="1759">
      <x:c r="A1759" s="83" t="n">
        <x:v>1758</x:v>
      </x:c>
      <x:c r="B1759" s="84" t="n">
        <x:v>1032</x:v>
      </x:c>
      <x:c r="C1759" s="84" t="n">
        <x:v>24</x:v>
      </x:c>
      <x:c r="D1759" s="89" t="n">
        <x:v>45537</x:v>
      </x:c>
      <x:c r="E1759" s="84" t="n">
        <x:v>6.7</x:v>
      </x:c>
      <x:c r="F1759" s="84" t="str">
        <x:v>Normal</x:v>
      </x:c>
      <x:c r="G1759" s="93" t="n">
        <x:v>396.91</x:v>
      </x:c>
      <x:c r="H1759" s="85" t="str">
        <x:v>Diagnóstico e execução</x:v>
      </x:c>
    </x:row>
    <x:row r="1760">
      <x:c r="A1760" s="83" t="n">
        <x:v>1759</x:v>
      </x:c>
      <x:c r="B1760" s="84" t="n">
        <x:v>1034</x:v>
      </x:c>
      <x:c r="C1760" s="84" t="n">
        <x:v>15</x:v>
      </x:c>
      <x:c r="D1760" s="89" t="n">
        <x:v>45617</x:v>
      </x:c>
      <x:c r="E1760" s="84" t="n">
        <x:v>1</x:v>
      </x:c>
      <x:c r="F1760" s="84" t="str">
        <x:v>Normal</x:v>
      </x:c>
      <x:c r="G1760" s="93" t="n">
        <x:v>30.24</x:v>
      </x:c>
      <x:c r="H1760" s="85" t="str">
        <x:v>Diagnóstico e execução</x:v>
      </x:c>
    </x:row>
    <x:row r="1761">
      <x:c r="A1761" s="83" t="n">
        <x:v>1760</x:v>
      </x:c>
      <x:c r="B1761" s="84" t="n">
        <x:v>1034</x:v>
      </x:c>
      <x:c r="C1761" s="84" t="n">
        <x:v>41</x:v>
      </x:c>
      <x:c r="D1761" s="89" t="n">
        <x:v>45617</x:v>
      </x:c>
      <x:c r="E1761" s="84" t="n">
        <x:v>5.3</x:v>
      </x:c>
      <x:c r="F1761" s="84" t="str">
        <x:v>Normal</x:v>
      </x:c>
      <x:c r="G1761" s="93" t="n">
        <x:v>268.07</x:v>
      </x:c>
      <x:c r="H1761" s="85" t="str">
        <x:v>Diagnóstico e execução</x:v>
      </x:c>
    </x:row>
    <x:row r="1762">
      <x:c r="A1762" s="83" t="n">
        <x:v>1761</x:v>
      </x:c>
      <x:c r="B1762" s="84" t="n">
        <x:v>1034</x:v>
      </x:c>
      <x:c r="C1762" s="84" t="n">
        <x:v>34</x:v>
      </x:c>
      <x:c r="D1762" s="89" t="n">
        <x:v>45617</x:v>
      </x:c>
      <x:c r="E1762" s="84" t="n">
        <x:v>1.5</x:v>
      </x:c>
      <x:c r="F1762" s="84" t="str">
        <x:v>Normal</x:v>
      </x:c>
      <x:c r="G1762" s="93" t="n">
        <x:v>64.84</x:v>
      </x:c>
      <x:c r="H1762" s="85" t="str">
        <x:v>Diagnóstico e execução</x:v>
      </x:c>
    </x:row>
    <x:row r="1763">
      <x:c r="A1763" s="83" t="n">
        <x:v>1762</x:v>
      </x:c>
      <x:c r="B1763" s="84" t="n">
        <x:v>1035</x:v>
      </x:c>
      <x:c r="C1763" s="84" t="n">
        <x:v>34</x:v>
      </x:c>
      <x:c r="D1763" s="89" t="n">
        <x:v>44948</x:v>
      </x:c>
      <x:c r="E1763" s="84" t="n">
        <x:v>6.9</x:v>
      </x:c>
      <x:c r="F1763" s="84" t="str">
        <x:v>Normal</x:v>
      </x:c>
      <x:c r="G1763" s="93" t="n">
        <x:v>298.29</x:v>
      </x:c>
      <x:c r="H1763" s="85" t="str">
        <x:v>Diagnóstico e execução</x:v>
      </x:c>
    </x:row>
    <x:row r="1764">
      <x:c r="A1764" s="83" t="n">
        <x:v>1763</x:v>
      </x:c>
      <x:c r="B1764" s="84" t="n">
        <x:v>1035</x:v>
      </x:c>
      <x:c r="C1764" s="84" t="n">
        <x:v>2</x:v>
      </x:c>
      <x:c r="D1764" s="89" t="n">
        <x:v>44948</x:v>
      </x:c>
      <x:c r="E1764" s="84" t="n">
        <x:v>2.3</x:v>
      </x:c>
      <x:c r="F1764" s="84" t="str">
        <x:v>Normal</x:v>
      </x:c>
      <x:c r="G1764" s="93" t="n">
        <x:v>85.7</x:v>
      </x:c>
      <x:c r="H1764" s="85" t="str">
        <x:v>Diagnóstico e execução</x:v>
      </x:c>
    </x:row>
    <x:row r="1765">
      <x:c r="A1765" s="83" t="n">
        <x:v>1764</x:v>
      </x:c>
      <x:c r="B1765" s="84" t="n">
        <x:v>1036</x:v>
      </x:c>
      <x:c r="C1765" s="84" t="n">
        <x:v>44</x:v>
      </x:c>
      <x:c r="D1765" s="89" t="n">
        <x:v>45989</x:v>
      </x:c>
      <x:c r="E1765" s="84" t="n">
        <x:v>2.2</x:v>
      </x:c>
      <x:c r="F1765" s="84" t="str">
        <x:v>Normal</x:v>
      </x:c>
      <x:c r="G1765" s="93" t="n">
        <x:v>61.69</x:v>
      </x:c>
      <x:c r="H1765" s="85" t="str">
        <x:v>Diagnóstico e execução</x:v>
      </x:c>
    </x:row>
    <x:row r="1766">
      <x:c r="A1766" s="83" t="n">
        <x:v>1765</x:v>
      </x:c>
      <x:c r="B1766" s="84" t="n">
        <x:v>1036</x:v>
      </x:c>
      <x:c r="C1766" s="84" t="n">
        <x:v>29</x:v>
      </x:c>
      <x:c r="D1766" s="89" t="n">
        <x:v>45989</x:v>
      </x:c>
      <x:c r="E1766" s="84" t="n">
        <x:v>2.4</x:v>
      </x:c>
      <x:c r="F1766" s="84" t="str">
        <x:v>Normal</x:v>
      </x:c>
      <x:c r="G1766" s="93" t="n">
        <x:v>118.85</x:v>
      </x:c>
      <x:c r="H1766" s="85" t="str">
        <x:v>Diagnóstico e execução</x:v>
      </x:c>
    </x:row>
    <x:row r="1767">
      <x:c r="A1767" s="83" t="n">
        <x:v>1766</x:v>
      </x:c>
      <x:c r="B1767" s="84" t="n">
        <x:v>1036</x:v>
      </x:c>
      <x:c r="C1767" s="84" t="n">
        <x:v>45</x:v>
      </x:c>
      <x:c r="D1767" s="89" t="n">
        <x:v>45989</x:v>
      </x:c>
      <x:c r="E1767" s="84" t="n">
        <x:v>6.6</x:v>
      </x:c>
      <x:c r="F1767" s="84" t="str">
        <x:v>Normal</x:v>
      </x:c>
      <x:c r="G1767" s="93" t="n">
        <x:v>353.56</x:v>
      </x:c>
      <x:c r="H1767" s="85" t="str">
        <x:v>Diagnóstico e execução</x:v>
      </x:c>
    </x:row>
    <x:row r="1768">
      <x:c r="A1768" s="83" t="n">
        <x:v>1767</x:v>
      </x:c>
      <x:c r="B1768" s="84" t="n">
        <x:v>1037</x:v>
      </x:c>
      <x:c r="C1768" s="84" t="n">
        <x:v>11</x:v>
      </x:c>
      <x:c r="D1768" s="89" t="n">
        <x:v>45290</x:v>
      </x:c>
      <x:c r="E1768" s="84" t="n">
        <x:v>6.2</x:v>
      </x:c>
      <x:c r="F1768" s="84" t="str">
        <x:v>Normal</x:v>
      </x:c>
      <x:c r="G1768" s="93" t="n">
        <x:v>258.42</x:v>
      </x:c>
      <x:c r="H1768" s="85" t="str">
        <x:v>Diagnóstico e execução</x:v>
      </x:c>
    </x:row>
    <x:row r="1769">
      <x:c r="A1769" s="83" t="n">
        <x:v>1768</x:v>
      </x:c>
      <x:c r="B1769" s="84" t="n">
        <x:v>1037</x:v>
      </x:c>
      <x:c r="C1769" s="84" t="n">
        <x:v>32</x:v>
      </x:c>
      <x:c r="D1769" s="89" t="n">
        <x:v>45290</x:v>
      </x:c>
      <x:c r="E1769" s="84" t="n">
        <x:v>2.2</x:v>
      </x:c>
      <x:c r="F1769" s="84" t="str">
        <x:v>Normal</x:v>
      </x:c>
      <x:c r="G1769" s="93" t="n">
        <x:v>96.03</x:v>
      </x:c>
      <x:c r="H1769" s="85" t="str">
        <x:v>Diagnóstico e execução</x:v>
      </x:c>
    </x:row>
    <x:row r="1770">
      <x:c r="A1770" s="83" t="n">
        <x:v>1769</x:v>
      </x:c>
      <x:c r="B1770" s="84" t="n">
        <x:v>1037</x:v>
      </x:c>
      <x:c r="C1770" s="84" t="n">
        <x:v>42</x:v>
      </x:c>
      <x:c r="D1770" s="89" t="n">
        <x:v>45290</x:v>
      </x:c>
      <x:c r="E1770" s="84" t="n">
        <x:v>0.7</x:v>
      </x:c>
      <x:c r="F1770" s="84" t="str">
        <x:v>Normal</x:v>
      </x:c>
      <x:c r="G1770" s="93" t="n">
        <x:v>29.53</x:v>
      </x:c>
      <x:c r="H1770" s="85" t="str">
        <x:v>Diagnóstico e execução</x:v>
      </x:c>
    </x:row>
    <x:row r="1771">
      <x:c r="A1771" s="83" t="n">
        <x:v>1770</x:v>
      </x:c>
      <x:c r="B1771" s="84" t="n">
        <x:v>1038</x:v>
      </x:c>
      <x:c r="C1771" s="84" t="n">
        <x:v>42</x:v>
      </x:c>
      <x:c r="D1771" s="89" t="n">
        <x:v>45838</x:v>
      </x:c>
      <x:c r="E1771" s="84" t="n">
        <x:v>4.3</x:v>
      </x:c>
      <x:c r="F1771" s="84" t="str">
        <x:v>Normal</x:v>
      </x:c>
      <x:c r="G1771" s="93" t="n">
        <x:v>181.37</x:v>
      </x:c>
      <x:c r="H1771" s="85" t="str">
        <x:v>Diagnóstico e execução</x:v>
      </x:c>
    </x:row>
    <x:row r="1772">
      <x:c r="A1772" s="83" t="n">
        <x:v>1771</x:v>
      </x:c>
      <x:c r="B1772" s="84" t="n">
        <x:v>1038</x:v>
      </x:c>
      <x:c r="C1772" s="84" t="n">
        <x:v>27</x:v>
      </x:c>
      <x:c r="D1772" s="89" t="n">
        <x:v>45838</x:v>
      </x:c>
      <x:c r="E1772" s="84" t="n">
        <x:v>7</x:v>
      </x:c>
      <x:c r="F1772" s="84" t="str">
        <x:v>Normal</x:v>
      </x:c>
      <x:c r="G1772" s="93" t="n">
        <x:v>426.93</x:v>
      </x:c>
      <x:c r="H1772" s="85" t="str">
        <x:v>Diagnóstico e execução</x:v>
      </x:c>
    </x:row>
    <x:row r="1773">
      <x:c r="A1773" s="83" t="n">
        <x:v>1772</x:v>
      </x:c>
      <x:c r="B1773" s="84" t="n">
        <x:v>1038</x:v>
      </x:c>
      <x:c r="C1773" s="84" t="n">
        <x:v>26</x:v>
      </x:c>
      <x:c r="D1773" s="89" t="n">
        <x:v>45838</x:v>
      </x:c>
      <x:c r="E1773" s="84" t="n">
        <x:v>3.2</x:v>
      </x:c>
      <x:c r="F1773" s="84" t="str">
        <x:v>Normal</x:v>
      </x:c>
      <x:c r="G1773" s="93" t="n">
        <x:v>125.18</x:v>
      </x:c>
      <x:c r="H1773" s="85" t="str">
        <x:v>Diagnóstico e execução</x:v>
      </x:c>
    </x:row>
    <x:row r="1774">
      <x:c r="A1774" s="83" t="n">
        <x:v>1773</x:v>
      </x:c>
      <x:c r="B1774" s="84" t="n">
        <x:v>1039</x:v>
      </x:c>
      <x:c r="C1774" s="84" t="n">
        <x:v>43</x:v>
      </x:c>
      <x:c r="D1774" s="89" t="n">
        <x:v>45674</x:v>
      </x:c>
      <x:c r="E1774" s="84" t="n">
        <x:v>7.2</x:v>
      </x:c>
      <x:c r="F1774" s="84" t="str">
        <x:v>Normal</x:v>
      </x:c>
      <x:c r="G1774" s="93" t="n">
        <x:v>393.55</x:v>
      </x:c>
      <x:c r="H1774" s="85" t="str">
        <x:v>Diagnóstico e execução</x:v>
      </x:c>
    </x:row>
    <x:row r="1775">
      <x:c r="A1775" s="83" t="n">
        <x:v>1774</x:v>
      </x:c>
      <x:c r="B1775" s="84" t="n">
        <x:v>1040</x:v>
      </x:c>
      <x:c r="C1775" s="84" t="n">
        <x:v>6</x:v>
      </x:c>
      <x:c r="D1775" s="89" t="n">
        <x:v>45773</x:v>
      </x:c>
      <x:c r="E1775" s="84" t="n">
        <x:v>7.2</x:v>
      </x:c>
      <x:c r="F1775" s="84" t="str">
        <x:v>Normal</x:v>
      </x:c>
      <x:c r="G1775" s="93" t="n">
        <x:v>376.27</x:v>
      </x:c>
      <x:c r="H1775" s="85" t="str">
        <x:v>Diagnóstico e execução</x:v>
      </x:c>
    </x:row>
    <x:row r="1776">
      <x:c r="A1776" s="83" t="n">
        <x:v>1775</x:v>
      </x:c>
      <x:c r="B1776" s="84" t="n">
        <x:v>1040</x:v>
      </x:c>
      <x:c r="C1776" s="84" t="n">
        <x:v>37</x:v>
      </x:c>
      <x:c r="D1776" s="89" t="n">
        <x:v>45773</x:v>
      </x:c>
      <x:c r="E1776" s="84" t="n">
        <x:v>3.2</x:v>
      </x:c>
      <x:c r="F1776" s="84" t="str">
        <x:v>Normal</x:v>
      </x:c>
      <x:c r="G1776" s="93" t="n">
        <x:v>188.7</x:v>
      </x:c>
      <x:c r="H1776" s="85" t="str">
        <x:v>Diagnóstico e execução</x:v>
      </x:c>
    </x:row>
    <x:row r="1777">
      <x:c r="A1777" s="83" t="n">
        <x:v>1776</x:v>
      </x:c>
      <x:c r="B1777" s="84" t="n">
        <x:v>1041</x:v>
      </x:c>
      <x:c r="C1777" s="84" t="n">
        <x:v>8</x:v>
      </x:c>
      <x:c r="D1777" s="89" t="n">
        <x:v>45228</x:v>
      </x:c>
      <x:c r="E1777" s="84" t="n">
        <x:v>1.9</x:v>
      </x:c>
      <x:c r="F1777" s="84" t="str">
        <x:v>Normal</x:v>
      </x:c>
      <x:c r="G1777" s="93" t="n">
        <x:v>88.35</x:v>
      </x:c>
      <x:c r="H1777" s="85" t="str">
        <x:v>Diagnóstico e execução</x:v>
      </x:c>
    </x:row>
    <x:row r="1778">
      <x:c r="A1778" s="83" t="n">
        <x:v>1777</x:v>
      </x:c>
      <x:c r="B1778" s="84" t="n">
        <x:v>1041</x:v>
      </x:c>
      <x:c r="C1778" s="84" t="n">
        <x:v>44</x:v>
      </x:c>
      <x:c r="D1778" s="89" t="n">
        <x:v>45228</x:v>
      </x:c>
      <x:c r="E1778" s="84" t="n">
        <x:v>5</x:v>
      </x:c>
      <x:c r="F1778" s="84" t="str">
        <x:v>Normal</x:v>
      </x:c>
      <x:c r="G1778" s="93" t="n">
        <x:v>140.2</x:v>
      </x:c>
      <x:c r="H1778" s="85" t="str">
        <x:v>Diagnóstico e execução</x:v>
      </x:c>
    </x:row>
    <x:row r="1779">
      <x:c r="A1779" s="83" t="n">
        <x:v>1778</x:v>
      </x:c>
      <x:c r="B1779" s="84" t="n">
        <x:v>1041</x:v>
      </x:c>
      <x:c r="C1779" s="84" t="n">
        <x:v>1</x:v>
      </x:c>
      <x:c r="D1779" s="89" t="n">
        <x:v>45228</x:v>
      </x:c>
      <x:c r="E1779" s="84" t="n">
        <x:v>5.9</x:v>
      </x:c>
      <x:c r="F1779" s="84" t="str">
        <x:v>Normal</x:v>
      </x:c>
      <x:c r="G1779" s="93" t="n">
        <x:v>208.68</x:v>
      </x:c>
      <x:c r="H1779" s="85" t="str">
        <x:v>Diagnóstico e execução</x:v>
      </x:c>
    </x:row>
    <x:row r="1780">
      <x:c r="A1780" s="83" t="n">
        <x:v>1779</x:v>
      </x:c>
      <x:c r="B1780" s="84" t="n">
        <x:v>1042</x:v>
      </x:c>
      <x:c r="C1780" s="84" t="n">
        <x:v>30</x:v>
      </x:c>
      <x:c r="D1780" s="89" t="n">
        <x:v>45069</x:v>
      </x:c>
      <x:c r="E1780" s="84" t="n">
        <x:v>4.2</x:v>
      </x:c>
      <x:c r="F1780" s="84" t="str">
        <x:v>Normal</x:v>
      </x:c>
      <x:c r="G1780" s="93" t="n">
        <x:v>173.92</x:v>
      </x:c>
      <x:c r="H1780" s="85" t="str">
        <x:v>Diagnóstico e execução</x:v>
      </x:c>
    </x:row>
    <x:row r="1781">
      <x:c r="A1781" s="83" t="n">
        <x:v>1780</x:v>
      </x:c>
      <x:c r="B1781" s="84" t="n">
        <x:v>1043</x:v>
      </x:c>
      <x:c r="C1781" s="84" t="n">
        <x:v>1</x:v>
      </x:c>
      <x:c r="D1781" s="89" t="n">
        <x:v>45085</x:v>
      </x:c>
      <x:c r="E1781" s="84" t="n">
        <x:v>2.2</x:v>
      </x:c>
      <x:c r="F1781" s="84" t="str">
        <x:v>Normal</x:v>
      </x:c>
      <x:c r="G1781" s="93" t="n">
        <x:v>77.81</x:v>
      </x:c>
      <x:c r="H1781" s="85" t="str">
        <x:v>Diagnóstico e execução</x:v>
      </x:c>
    </x:row>
    <x:row r="1782">
      <x:c r="A1782" s="83" t="n">
        <x:v>1781</x:v>
      </x:c>
      <x:c r="B1782" s="84" t="n">
        <x:v>1044</x:v>
      </x:c>
      <x:c r="C1782" s="84" t="n">
        <x:v>21</x:v>
      </x:c>
      <x:c r="D1782" s="89" t="n">
        <x:v>44951</x:v>
      </x:c>
      <x:c r="E1782" s="84" t="n">
        <x:v>7.1</x:v>
      </x:c>
      <x:c r="F1782" s="84" t="str">
        <x:v>Normal</x:v>
      </x:c>
      <x:c r="G1782" s="93" t="n">
        <x:v>436.15</x:v>
      </x:c>
      <x:c r="H1782" s="85" t="str">
        <x:v>Diagnóstico e execução</x:v>
      </x:c>
    </x:row>
    <x:row r="1783">
      <x:c r="A1783" s="83" t="n">
        <x:v>1782</x:v>
      </x:c>
      <x:c r="B1783" s="84" t="n">
        <x:v>1045</x:v>
      </x:c>
      <x:c r="C1783" s="84" t="n">
        <x:v>19</x:v>
      </x:c>
      <x:c r="D1783" s="89" t="n">
        <x:v>44987</x:v>
      </x:c>
      <x:c r="E1783" s="84" t="n">
        <x:v>3.8</x:v>
      </x:c>
      <x:c r="F1783" s="84" t="str">
        <x:v>Normal</x:v>
      </x:c>
      <x:c r="G1783" s="93" t="n">
        <x:v>176.62</x:v>
      </x:c>
      <x:c r="H1783" s="85" t="str">
        <x:v>Diagnóstico e execução</x:v>
      </x:c>
    </x:row>
    <x:row r="1784">
      <x:c r="A1784" s="83" t="n">
        <x:v>1783</x:v>
      </x:c>
      <x:c r="B1784" s="84" t="n">
        <x:v>1045</x:v>
      </x:c>
      <x:c r="C1784" s="84" t="n">
        <x:v>2</x:v>
      </x:c>
      <x:c r="D1784" s="89" t="n">
        <x:v>44987</x:v>
      </x:c>
      <x:c r="E1784" s="84" t="n">
        <x:v>7.3</x:v>
      </x:c>
      <x:c r="F1784" s="84" t="str">
        <x:v>Normal</x:v>
      </x:c>
      <x:c r="G1784" s="93" t="n">
        <x:v>272</x:v>
      </x:c>
      <x:c r="H1784" s="85" t="str">
        <x:v>Diagnóstico e execução</x:v>
      </x:c>
    </x:row>
    <x:row r="1785">
      <x:c r="A1785" s="83" t="n">
        <x:v>1784</x:v>
      </x:c>
      <x:c r="B1785" s="84" t="n">
        <x:v>1046</x:v>
      </x:c>
      <x:c r="C1785" s="84" t="n">
        <x:v>8</x:v>
      </x:c>
      <x:c r="D1785" s="89" t="n">
        <x:v>45827</x:v>
      </x:c>
      <x:c r="E1785" s="84" t="n">
        <x:v>7.5</x:v>
      </x:c>
      <x:c r="F1785" s="84" t="str">
        <x:v>Normal</x:v>
      </x:c>
      <x:c r="G1785" s="93" t="n">
        <x:v>348.75</x:v>
      </x:c>
      <x:c r="H1785" s="85" t="str">
        <x:v>Diagnóstico e execução</x:v>
      </x:c>
    </x:row>
    <x:row r="1786">
      <x:c r="A1786" s="83" t="n">
        <x:v>1785</x:v>
      </x:c>
      <x:c r="B1786" s="84" t="n">
        <x:v>1047</x:v>
      </x:c>
      <x:c r="C1786" s="84" t="n">
        <x:v>37</x:v>
      </x:c>
      <x:c r="D1786" s="89" t="n">
        <x:v>45101</x:v>
      </x:c>
      <x:c r="E1786" s="84" t="n">
        <x:v>1.1</x:v>
      </x:c>
      <x:c r="F1786" s="84" t="str">
        <x:v>Normal</x:v>
      </x:c>
      <x:c r="G1786" s="93" t="n">
        <x:v>64.87</x:v>
      </x:c>
      <x:c r="H1786" s="85" t="str">
        <x:v>Diagnóstico e execução</x:v>
      </x:c>
    </x:row>
    <x:row r="1787">
      <x:c r="A1787" s="83" t="n">
        <x:v>1786</x:v>
      </x:c>
      <x:c r="B1787" s="84" t="n">
        <x:v>1047</x:v>
      </x:c>
      <x:c r="C1787" s="84" t="n">
        <x:v>7</x:v>
      </x:c>
      <x:c r="D1787" s="89" t="n">
        <x:v>45101</x:v>
      </x:c>
      <x:c r="E1787" s="84" t="n">
        <x:v>6</x:v>
      </x:c>
      <x:c r="F1787" s="84" t="str">
        <x:v>Normal</x:v>
      </x:c>
      <x:c r="G1787" s="93" t="n">
        <x:v>349.26</x:v>
      </x:c>
      <x:c r="H1787" s="85" t="str">
        <x:v>Diagnóstico e execução</x:v>
      </x:c>
    </x:row>
    <x:row r="1788">
      <x:c r="A1788" s="83" t="n">
        <x:v>1787</x:v>
      </x:c>
      <x:c r="B1788" s="84" t="n">
        <x:v>1048</x:v>
      </x:c>
      <x:c r="C1788" s="84" t="n">
        <x:v>32</x:v>
      </x:c>
      <x:c r="D1788" s="89" t="n">
        <x:v>45092</x:v>
      </x:c>
      <x:c r="E1788" s="84" t="n">
        <x:v>0.8</x:v>
      </x:c>
      <x:c r="F1788" s="84" t="str">
        <x:v>Normal</x:v>
      </x:c>
      <x:c r="G1788" s="93" t="n">
        <x:v>34.92</x:v>
      </x:c>
      <x:c r="H1788" s="85" t="str">
        <x:v>Diagnóstico e execução</x:v>
      </x:c>
    </x:row>
    <x:row r="1789">
      <x:c r="A1789" s="83" t="n">
        <x:v>1788</x:v>
      </x:c>
      <x:c r="B1789" s="84" t="n">
        <x:v>1048</x:v>
      </x:c>
      <x:c r="C1789" s="84" t="n">
        <x:v>13</x:v>
      </x:c>
      <x:c r="D1789" s="89" t="n">
        <x:v>45092</x:v>
      </x:c>
      <x:c r="E1789" s="84" t="n">
        <x:v>5.9</x:v>
      </x:c>
      <x:c r="F1789" s="84" t="str">
        <x:v>Normal</x:v>
      </x:c>
      <x:c r="G1789" s="93" t="n">
        <x:v>199.89</x:v>
      </x:c>
      <x:c r="H1789" s="85" t="str">
        <x:v>Diagnóstico e execução</x:v>
      </x:c>
    </x:row>
    <x:row r="1790">
      <x:c r="A1790" s="83" t="n">
        <x:v>1789</x:v>
      </x:c>
      <x:c r="B1790" s="84" t="n">
        <x:v>1049</x:v>
      </x:c>
      <x:c r="C1790" s="84" t="n">
        <x:v>16</x:v>
      </x:c>
      <x:c r="D1790" s="89" t="n">
        <x:v>45054</x:v>
      </x:c>
      <x:c r="E1790" s="84" t="n">
        <x:v>5.4</x:v>
      </x:c>
      <x:c r="F1790" s="84" t="str">
        <x:v>Normal</x:v>
      </x:c>
      <x:c r="G1790" s="93" t="n">
        <x:v>218.81</x:v>
      </x:c>
      <x:c r="H1790" s="85" t="str">
        <x:v>Diagnóstico e execução</x:v>
      </x:c>
    </x:row>
    <x:row r="1791">
      <x:c r="A1791" s="83" t="n">
        <x:v>1790</x:v>
      </x:c>
      <x:c r="B1791" s="84" t="n">
        <x:v>1049</x:v>
      </x:c>
      <x:c r="C1791" s="84" t="n">
        <x:v>43</x:v>
      </x:c>
      <x:c r="D1791" s="89" t="n">
        <x:v>45054</x:v>
      </x:c>
      <x:c r="E1791" s="84" t="n">
        <x:v>1.7</x:v>
      </x:c>
      <x:c r="F1791" s="84" t="str">
        <x:v>Normal</x:v>
      </x:c>
      <x:c r="G1791" s="93" t="n">
        <x:v>92.92</x:v>
      </x:c>
      <x:c r="H1791" s="85" t="str">
        <x:v>Diagnóstico e execução</x:v>
      </x:c>
    </x:row>
    <x:row r="1792">
      <x:c r="A1792" s="83" t="n">
        <x:v>1791</x:v>
      </x:c>
      <x:c r="B1792" s="84" t="n">
        <x:v>1050</x:v>
      </x:c>
      <x:c r="C1792" s="84" t="n">
        <x:v>10</x:v>
      </x:c>
      <x:c r="D1792" s="89" t="n">
        <x:v>45976</x:v>
      </x:c>
      <x:c r="E1792" s="84" t="n">
        <x:v>4.5</x:v>
      </x:c>
      <x:c r="F1792" s="84" t="str">
        <x:v>Normal</x:v>
      </x:c>
      <x:c r="G1792" s="93" t="n">
        <x:v>133.61</x:v>
      </x:c>
      <x:c r="H1792" s="85" t="str">
        <x:v>Diagnóstico e execução</x:v>
      </x:c>
    </x:row>
    <x:row r="1793">
      <x:c r="A1793" s="83" t="n">
        <x:v>1792</x:v>
      </x:c>
      <x:c r="B1793" s="84" t="n">
        <x:v>1052</x:v>
      </x:c>
      <x:c r="C1793" s="84" t="n">
        <x:v>41</x:v>
      </x:c>
      <x:c r="D1793" s="89" t="n">
        <x:v>45722</x:v>
      </x:c>
      <x:c r="E1793" s="84" t="n">
        <x:v>6.5</x:v>
      </x:c>
      <x:c r="F1793" s="84" t="str">
        <x:v>Normal</x:v>
      </x:c>
      <x:c r="G1793" s="93" t="n">
        <x:v>328.77</x:v>
      </x:c>
      <x:c r="H1793" s="85" t="str">
        <x:v>Diagnóstico e execução</x:v>
      </x:c>
    </x:row>
    <x:row r="1794">
      <x:c r="A1794" s="83" t="n">
        <x:v>1793</x:v>
      </x:c>
      <x:c r="B1794" s="84" t="n">
        <x:v>1052</x:v>
      </x:c>
      <x:c r="C1794" s="84" t="n">
        <x:v>10</x:v>
      </x:c>
      <x:c r="D1794" s="89" t="n">
        <x:v>45722</x:v>
      </x:c>
      <x:c r="E1794" s="84" t="n">
        <x:v>4.4</x:v>
      </x:c>
      <x:c r="F1794" s="84" t="str">
        <x:v>Normal</x:v>
      </x:c>
      <x:c r="G1794" s="93" t="n">
        <x:v>130.64</x:v>
      </x:c>
      <x:c r="H1794" s="85" t="str">
        <x:v>Diagnóstico e execução</x:v>
      </x:c>
    </x:row>
    <x:row r="1795">
      <x:c r="A1795" s="83" t="n">
        <x:v>1794</x:v>
      </x:c>
      <x:c r="B1795" s="84" t="n">
        <x:v>1053</x:v>
      </x:c>
      <x:c r="C1795" s="84" t="n">
        <x:v>43</x:v>
      </x:c>
      <x:c r="D1795" s="89" t="n">
        <x:v>45297</x:v>
      </x:c>
      <x:c r="E1795" s="84" t="n">
        <x:v>6</x:v>
      </x:c>
      <x:c r="F1795" s="84" t="str">
        <x:v>Normal</x:v>
      </x:c>
      <x:c r="G1795" s="93" t="n">
        <x:v>327.96</x:v>
      </x:c>
      <x:c r="H1795" s="85" t="str">
        <x:v>Diagnóstico e execução</x:v>
      </x:c>
    </x:row>
    <x:row r="1796">
      <x:c r="A1796" s="83" t="n">
        <x:v>1795</x:v>
      </x:c>
      <x:c r="B1796" s="84" t="n">
        <x:v>1055</x:v>
      </x:c>
      <x:c r="C1796" s="84" t="n">
        <x:v>17</x:v>
      </x:c>
      <x:c r="D1796" s="89" t="n">
        <x:v>45970</x:v>
      </x:c>
      <x:c r="E1796" s="84" t="n">
        <x:v>5.9</x:v>
      </x:c>
      <x:c r="F1796" s="84" t="str">
        <x:v>Normal</x:v>
      </x:c>
      <x:c r="G1796" s="93" t="n">
        <x:v>329.1</x:v>
      </x:c>
      <x:c r="H1796" s="85" t="str">
        <x:v>Diagnóstico e execução</x:v>
      </x:c>
    </x:row>
    <x:row r="1797">
      <x:c r="A1797" s="83" t="n">
        <x:v>1796</x:v>
      </x:c>
      <x:c r="B1797" s="84" t="n">
        <x:v>1055</x:v>
      </x:c>
      <x:c r="C1797" s="84" t="n">
        <x:v>40</x:v>
      </x:c>
      <x:c r="D1797" s="89" t="n">
        <x:v>45970</x:v>
      </x:c>
      <x:c r="E1797" s="84" t="n">
        <x:v>5.5</x:v>
      </x:c>
      <x:c r="F1797" s="84" t="str">
        <x:v>Normal</x:v>
      </x:c>
      <x:c r="G1797" s="93" t="n">
        <x:v>271.81</x:v>
      </x:c>
      <x:c r="H1797" s="85" t="str">
        <x:v>Diagnóstico e execução</x:v>
      </x:c>
    </x:row>
    <x:row r="1798">
      <x:c r="A1798" s="83" t="n">
        <x:v>1797</x:v>
      </x:c>
      <x:c r="B1798" s="84" t="n">
        <x:v>1056</x:v>
      </x:c>
      <x:c r="C1798" s="84" t="n">
        <x:v>20</x:v>
      </x:c>
      <x:c r="D1798" s="89" t="n">
        <x:v>45726</x:v>
      </x:c>
      <x:c r="E1798" s="84" t="n">
        <x:v>3.1</x:v>
      </x:c>
      <x:c r="F1798" s="84" t="str">
        <x:v>Normal</x:v>
      </x:c>
      <x:c r="G1798" s="93" t="n">
        <x:v>103.91</x:v>
      </x:c>
      <x:c r="H1798" s="85" t="str">
        <x:v>Diagnóstico e execução</x:v>
      </x:c>
    </x:row>
    <x:row r="1799">
      <x:c r="A1799" s="83" t="n">
        <x:v>1798</x:v>
      </x:c>
      <x:c r="B1799" s="84" t="n">
        <x:v>1057</x:v>
      </x:c>
      <x:c r="C1799" s="84" t="n">
        <x:v>3</x:v>
      </x:c>
      <x:c r="D1799" s="89" t="n">
        <x:v>45604</x:v>
      </x:c>
      <x:c r="E1799" s="84" t="n">
        <x:v>1.8</x:v>
      </x:c>
      <x:c r="F1799" s="84" t="str">
        <x:v>Normal</x:v>
      </x:c>
      <x:c r="G1799" s="93" t="n">
        <x:v>88.63</x:v>
      </x:c>
      <x:c r="H1799" s="85" t="str">
        <x:v>Diagnóstico e execução</x:v>
      </x:c>
    </x:row>
    <x:row r="1800">
      <x:c r="A1800" s="83" t="n">
        <x:v>1799</x:v>
      </x:c>
      <x:c r="B1800" s="84" t="n">
        <x:v>1058</x:v>
      </x:c>
      <x:c r="C1800" s="84" t="n">
        <x:v>7</x:v>
      </x:c>
      <x:c r="D1800" s="89" t="n">
        <x:v>45063</x:v>
      </x:c>
      <x:c r="E1800" s="84" t="n">
        <x:v>4.3</x:v>
      </x:c>
      <x:c r="F1800" s="84" t="str">
        <x:v>Normal</x:v>
      </x:c>
      <x:c r="G1800" s="93" t="n">
        <x:v>250.3</x:v>
      </x:c>
      <x:c r="H1800" s="85" t="str">
        <x:v>Diagnóstico e execução</x:v>
      </x:c>
    </x:row>
    <x:row r="1801">
      <x:c r="A1801" s="83" t="n">
        <x:v>1800</x:v>
      </x:c>
      <x:c r="B1801" s="84" t="n">
        <x:v>1058</x:v>
      </x:c>
      <x:c r="C1801" s="84" t="n">
        <x:v>29</x:v>
      </x:c>
      <x:c r="D1801" s="89" t="n">
        <x:v>45063</x:v>
      </x:c>
      <x:c r="E1801" s="84" t="n">
        <x:v>3.7</x:v>
      </x:c>
      <x:c r="F1801" s="84" t="str">
        <x:v>Normal</x:v>
      </x:c>
      <x:c r="G1801" s="93" t="n">
        <x:v>183.22</x:v>
      </x:c>
      <x:c r="H1801" s="85" t="str">
        <x:v>Diagnóstico e execução</x:v>
      </x:c>
    </x:row>
    <x:row r="1802">
      <x:c r="A1802" s="83" t="n">
        <x:v>1801</x:v>
      </x:c>
      <x:c r="B1802" s="84" t="n">
        <x:v>1058</x:v>
      </x:c>
      <x:c r="C1802" s="84" t="n">
        <x:v>35</x:v>
      </x:c>
      <x:c r="D1802" s="89" t="n">
        <x:v>45063</x:v>
      </x:c>
      <x:c r="E1802" s="84" t="n">
        <x:v>2</x:v>
      </x:c>
      <x:c r="F1802" s="84" t="str">
        <x:v>Normal</x:v>
      </x:c>
      <x:c r="G1802" s="93" t="n">
        <x:v>98.38</x:v>
      </x:c>
      <x:c r="H1802" s="85" t="str">
        <x:v>Diagnóstico e execução</x:v>
      </x:c>
    </x:row>
    <x:row r="1803">
      <x:c r="A1803" s="83" t="n">
        <x:v>1802</x:v>
      </x:c>
      <x:c r="B1803" s="84" t="n">
        <x:v>1059</x:v>
      </x:c>
      <x:c r="C1803" s="84" t="n">
        <x:v>25</x:v>
      </x:c>
      <x:c r="D1803" s="89" t="n">
        <x:v>45525</x:v>
      </x:c>
      <x:c r="E1803" s="84" t="n">
        <x:v>1.7</x:v>
      </x:c>
      <x:c r="F1803" s="84" t="str">
        <x:v>Normal</x:v>
      </x:c>
      <x:c r="G1803" s="93" t="n">
        <x:v>91.1</x:v>
      </x:c>
      <x:c r="H1803" s="85" t="str">
        <x:v>Diagnóstico e execução</x:v>
      </x:c>
    </x:row>
    <x:row r="1804">
      <x:c r="A1804" s="83" t="n">
        <x:v>1803</x:v>
      </x:c>
      <x:c r="B1804" s="84" t="n">
        <x:v>1059</x:v>
      </x:c>
      <x:c r="C1804" s="84" t="n">
        <x:v>40</x:v>
      </x:c>
      <x:c r="D1804" s="89" t="n">
        <x:v>45525</x:v>
      </x:c>
      <x:c r="E1804" s="84" t="n">
        <x:v>3</x:v>
      </x:c>
      <x:c r="F1804" s="84" t="str">
        <x:v>Normal</x:v>
      </x:c>
      <x:c r="G1804" s="93" t="n">
        <x:v>148.26</x:v>
      </x:c>
      <x:c r="H1804" s="85" t="str">
        <x:v>Diagnóstico e execução</x:v>
      </x:c>
    </x:row>
    <x:row r="1805">
      <x:c r="A1805" s="83" t="n">
        <x:v>1804</x:v>
      </x:c>
      <x:c r="B1805" s="84" t="n">
        <x:v>1060</x:v>
      </x:c>
      <x:c r="C1805" s="84" t="n">
        <x:v>32</x:v>
      </x:c>
      <x:c r="D1805" s="89" t="n">
        <x:v>45942</x:v>
      </x:c>
      <x:c r="E1805" s="84" t="n">
        <x:v>2.7</x:v>
      </x:c>
      <x:c r="F1805" s="84" t="str">
        <x:v>Normal</x:v>
      </x:c>
      <x:c r="G1805" s="93" t="n">
        <x:v>117.86</x:v>
      </x:c>
      <x:c r="H1805" s="85" t="str">
        <x:v>Diagnóstico e execução</x:v>
      </x:c>
    </x:row>
    <x:row r="1806">
      <x:c r="A1806" s="83" t="n">
        <x:v>1805</x:v>
      </x:c>
      <x:c r="B1806" s="84" t="n">
        <x:v>1061</x:v>
      </x:c>
      <x:c r="C1806" s="84" t="n">
        <x:v>18</x:v>
      </x:c>
      <x:c r="D1806" s="89" t="n">
        <x:v>45775</x:v>
      </x:c>
      <x:c r="E1806" s="84" t="n">
        <x:v>4.8</x:v>
      </x:c>
      <x:c r="F1806" s="84" t="str">
        <x:v>Normal</x:v>
      </x:c>
      <x:c r="G1806" s="93" t="n">
        <x:v>302.83</x:v>
      </x:c>
      <x:c r="H1806" s="85" t="str">
        <x:v>Diagnóstico e execução</x:v>
      </x:c>
    </x:row>
    <x:row r="1807">
      <x:c r="A1807" s="83" t="n">
        <x:v>1806</x:v>
      </x:c>
      <x:c r="B1807" s="84" t="n">
        <x:v>1061</x:v>
      </x:c>
      <x:c r="C1807" s="84" t="n">
        <x:v>13</x:v>
      </x:c>
      <x:c r="D1807" s="89" t="n">
        <x:v>45775</x:v>
      </x:c>
      <x:c r="E1807" s="84" t="n">
        <x:v>3.7</x:v>
      </x:c>
      <x:c r="F1807" s="84" t="str">
        <x:v>Normal</x:v>
      </x:c>
      <x:c r="G1807" s="93" t="n">
        <x:v>125.36</x:v>
      </x:c>
      <x:c r="H1807" s="85" t="str">
        <x:v>Diagnóstico e execução</x:v>
      </x:c>
    </x:row>
    <x:row r="1808">
      <x:c r="A1808" s="83" t="n">
        <x:v>1807</x:v>
      </x:c>
      <x:c r="B1808" s="84" t="n">
        <x:v>1061</x:v>
      </x:c>
      <x:c r="C1808" s="84" t="n">
        <x:v>6</x:v>
      </x:c>
      <x:c r="D1808" s="89" t="n">
        <x:v>45775</x:v>
      </x:c>
      <x:c r="E1808" s="84" t="n">
        <x:v>1.5</x:v>
      </x:c>
      <x:c r="F1808" s="84" t="str">
        <x:v>Normal</x:v>
      </x:c>
      <x:c r="G1808" s="93" t="n">
        <x:v>78.39</x:v>
      </x:c>
      <x:c r="H1808" s="85" t="str">
        <x:v>Diagnóstico e execução</x:v>
      </x:c>
    </x:row>
    <x:row r="1809">
      <x:c r="A1809" s="83" t="n">
        <x:v>1808</x:v>
      </x:c>
      <x:c r="B1809" s="84" t="n">
        <x:v>1062</x:v>
      </x:c>
      <x:c r="C1809" s="84" t="n">
        <x:v>4</x:v>
      </x:c>
      <x:c r="D1809" s="89" t="n">
        <x:v>45075</x:v>
      </x:c>
      <x:c r="E1809" s="84" t="n">
        <x:v>2.7</x:v>
      </x:c>
      <x:c r="F1809" s="84" t="str">
        <x:v>Normal</x:v>
      </x:c>
      <x:c r="G1809" s="93" t="n">
        <x:v>132.81</x:v>
      </x:c>
      <x:c r="H1809" s="85" t="str">
        <x:v>Diagnóstico e execução</x:v>
      </x:c>
    </x:row>
    <x:row r="1810">
      <x:c r="A1810" s="83" t="n">
        <x:v>1809</x:v>
      </x:c>
      <x:c r="B1810" s="84" t="n">
        <x:v>1063</x:v>
      </x:c>
      <x:c r="C1810" s="84" t="n">
        <x:v>24</x:v>
      </x:c>
      <x:c r="D1810" s="89" t="n">
        <x:v>45314</x:v>
      </x:c>
      <x:c r="E1810" s="84" t="n">
        <x:v>5.7</x:v>
      </x:c>
      <x:c r="F1810" s="84" t="str">
        <x:v>Normal</x:v>
      </x:c>
      <x:c r="G1810" s="93" t="n">
        <x:v>337.67</x:v>
      </x:c>
      <x:c r="H1810" s="85" t="str">
        <x:v>Diagnóstico e execução</x:v>
      </x:c>
    </x:row>
    <x:row r="1811">
      <x:c r="A1811" s="83" t="n">
        <x:v>1810</x:v>
      </x:c>
      <x:c r="B1811" s="84" t="n">
        <x:v>1064</x:v>
      </x:c>
      <x:c r="C1811" s="84" t="n">
        <x:v>33</x:v>
      </x:c>
      <x:c r="D1811" s="89" t="n">
        <x:v>45403</x:v>
      </x:c>
      <x:c r="E1811" s="84" t="n">
        <x:v>2.7</x:v>
      </x:c>
      <x:c r="F1811" s="84" t="str">
        <x:v>Normal</x:v>
      </x:c>
      <x:c r="G1811" s="93" t="n">
        <x:v>93.12</x:v>
      </x:c>
      <x:c r="H1811" s="85" t="str">
        <x:v>Diagnóstico e execução</x:v>
      </x:c>
    </x:row>
    <x:row r="1812">
      <x:c r="A1812" s="83" t="n">
        <x:v>1811</x:v>
      </x:c>
      <x:c r="B1812" s="84" t="n">
        <x:v>1065</x:v>
      </x:c>
      <x:c r="C1812" s="84" t="n">
        <x:v>1</x:v>
      </x:c>
      <x:c r="D1812" s="89" t="n">
        <x:v>45462</x:v>
      </x:c>
      <x:c r="E1812" s="84" t="n">
        <x:v>2.3</x:v>
      </x:c>
      <x:c r="F1812" s="84" t="str">
        <x:v>Normal</x:v>
      </x:c>
      <x:c r="G1812" s="93" t="n">
        <x:v>81.35</x:v>
      </x:c>
      <x:c r="H1812" s="85" t="str">
        <x:v>Diagnóstico e execução</x:v>
      </x:c>
    </x:row>
    <x:row r="1813">
      <x:c r="A1813" s="83" t="n">
        <x:v>1812</x:v>
      </x:c>
      <x:c r="B1813" s="84" t="n">
        <x:v>1065</x:v>
      </x:c>
      <x:c r="C1813" s="84" t="n">
        <x:v>14</x:v>
      </x:c>
      <x:c r="D1813" s="89" t="n">
        <x:v>45462</x:v>
      </x:c>
      <x:c r="E1813" s="84" t="n">
        <x:v>7.4</x:v>
      </x:c>
      <x:c r="F1813" s="84" t="str">
        <x:v>Normal</x:v>
      </x:c>
      <x:c r="G1813" s="93" t="n">
        <x:v>419.28</x:v>
      </x:c>
      <x:c r="H1813" s="85" t="str">
        <x:v>Diagnóstico e execução</x:v>
      </x:c>
    </x:row>
    <x:row r="1814">
      <x:c r="A1814" s="83" t="n">
        <x:v>1813</x:v>
      </x:c>
      <x:c r="B1814" s="84" t="n">
        <x:v>1067</x:v>
      </x:c>
      <x:c r="C1814" s="84" t="n">
        <x:v>7</x:v>
      </x:c>
      <x:c r="D1814" s="89" t="n">
        <x:v>44988</x:v>
      </x:c>
      <x:c r="E1814" s="84" t="n">
        <x:v>1.2</x:v>
      </x:c>
      <x:c r="F1814" s="84" t="str">
        <x:v>Normal</x:v>
      </x:c>
      <x:c r="G1814" s="93" t="n">
        <x:v>69.85</x:v>
      </x:c>
      <x:c r="H1814" s="85" t="str">
        <x:v>Diagnóstico e execução</x:v>
      </x:c>
    </x:row>
    <x:row r="1815">
      <x:c r="A1815" s="83" t="n">
        <x:v>1814</x:v>
      </x:c>
      <x:c r="B1815" s="84" t="n">
        <x:v>1067</x:v>
      </x:c>
      <x:c r="C1815" s="84" t="n">
        <x:v>8</x:v>
      </x:c>
      <x:c r="D1815" s="89" t="n">
        <x:v>44988</x:v>
      </x:c>
      <x:c r="E1815" s="84" t="n">
        <x:v>3.9</x:v>
      </x:c>
      <x:c r="F1815" s="84" t="str">
        <x:v>Normal</x:v>
      </x:c>
      <x:c r="G1815" s="93" t="n">
        <x:v>181.35</x:v>
      </x:c>
      <x:c r="H1815" s="85" t="str">
        <x:v>Diagnóstico e execução</x:v>
      </x:c>
    </x:row>
    <x:row r="1816">
      <x:c r="A1816" s="83" t="n">
        <x:v>1815</x:v>
      </x:c>
      <x:c r="B1816" s="84" t="n">
        <x:v>1068</x:v>
      </x:c>
      <x:c r="C1816" s="84" t="n">
        <x:v>19</x:v>
      </x:c>
      <x:c r="D1816" s="89" t="n">
        <x:v>45003</x:v>
      </x:c>
      <x:c r="E1816" s="84" t="n">
        <x:v>7.6</x:v>
      </x:c>
      <x:c r="F1816" s="84" t="str">
        <x:v>Normal</x:v>
      </x:c>
      <x:c r="G1816" s="93" t="n">
        <x:v>353.25</x:v>
      </x:c>
      <x:c r="H1816" s="85" t="str">
        <x:v>Diagnóstico e execução</x:v>
      </x:c>
    </x:row>
    <x:row r="1817">
      <x:c r="A1817" s="83" t="n">
        <x:v>1816</x:v>
      </x:c>
      <x:c r="B1817" s="84" t="n">
        <x:v>1069</x:v>
      </x:c>
      <x:c r="C1817" s="84" t="n">
        <x:v>22</x:v>
      </x:c>
      <x:c r="D1817" s="89" t="n">
        <x:v>45699</x:v>
      </x:c>
      <x:c r="E1817" s="84" t="n">
        <x:v>3.7</x:v>
      </x:c>
      <x:c r="F1817" s="84" t="str">
        <x:v>Normal</x:v>
      </x:c>
      <x:c r="G1817" s="93" t="n">
        <x:v>142.3</x:v>
      </x:c>
      <x:c r="H1817" s="85" t="str">
        <x:v>Diagnóstico e execução</x:v>
      </x:c>
    </x:row>
    <x:row r="1818">
      <x:c r="A1818" s="83" t="n">
        <x:v>1817</x:v>
      </x:c>
      <x:c r="B1818" s="84" t="n">
        <x:v>1070</x:v>
      </x:c>
      <x:c r="C1818" s="84" t="n">
        <x:v>40</x:v>
      </x:c>
      <x:c r="D1818" s="89" t="n">
        <x:v>45100</x:v>
      </x:c>
      <x:c r="E1818" s="84" t="n">
        <x:v>0.9</x:v>
      </x:c>
      <x:c r="F1818" s="84" t="str">
        <x:v>Normal</x:v>
      </x:c>
      <x:c r="G1818" s="93" t="n">
        <x:v>44.48</x:v>
      </x:c>
      <x:c r="H1818" s="85" t="str">
        <x:v>Diagnóstico e execução</x:v>
      </x:c>
    </x:row>
    <x:row r="1819">
      <x:c r="A1819" s="83" t="n">
        <x:v>1818</x:v>
      </x:c>
      <x:c r="B1819" s="84" t="n">
        <x:v>1071</x:v>
      </x:c>
      <x:c r="C1819" s="84" t="n">
        <x:v>13</x:v>
      </x:c>
      <x:c r="D1819" s="89" t="n">
        <x:v>45207</x:v>
      </x:c>
      <x:c r="E1819" s="84" t="n">
        <x:v>2.2</x:v>
      </x:c>
      <x:c r="F1819" s="84" t="str">
        <x:v>Normal</x:v>
      </x:c>
      <x:c r="G1819" s="93" t="n">
        <x:v>74.54</x:v>
      </x:c>
      <x:c r="H1819" s="85" t="str">
        <x:v>Diagnóstico e execução</x:v>
      </x:c>
    </x:row>
    <x:row r="1820">
      <x:c r="A1820" s="83" t="n">
        <x:v>1819</x:v>
      </x:c>
      <x:c r="B1820" s="84" t="n">
        <x:v>1072</x:v>
      </x:c>
      <x:c r="C1820" s="84" t="n">
        <x:v>34</x:v>
      </x:c>
      <x:c r="D1820" s="89" t="n">
        <x:v>45318</x:v>
      </x:c>
      <x:c r="E1820" s="84" t="n">
        <x:v>6.9</x:v>
      </x:c>
      <x:c r="F1820" s="84" t="str">
        <x:v>Normal</x:v>
      </x:c>
      <x:c r="G1820" s="93" t="n">
        <x:v>298.29</x:v>
      </x:c>
      <x:c r="H1820" s="85" t="str">
        <x:v>Diagnóstico e execução</x:v>
      </x:c>
    </x:row>
    <x:row r="1821">
      <x:c r="A1821" s="83" t="n">
        <x:v>1820</x:v>
      </x:c>
      <x:c r="B1821" s="84" t="n">
        <x:v>1072</x:v>
      </x:c>
      <x:c r="C1821" s="84" t="n">
        <x:v>30</x:v>
      </x:c>
      <x:c r="D1821" s="89" t="n">
        <x:v>45318</x:v>
      </x:c>
      <x:c r="E1821" s="84" t="n">
        <x:v>2.3</x:v>
      </x:c>
      <x:c r="F1821" s="84" t="str">
        <x:v>Normal</x:v>
      </x:c>
      <x:c r="G1821" s="93" t="n">
        <x:v>95.24</x:v>
      </x:c>
      <x:c r="H1821" s="85" t="str">
        <x:v>Diagnóstico e execução</x:v>
      </x:c>
    </x:row>
    <x:row r="1822">
      <x:c r="A1822" s="83" t="n">
        <x:v>1821</x:v>
      </x:c>
      <x:c r="B1822" s="84" t="n">
        <x:v>1072</x:v>
      </x:c>
      <x:c r="C1822" s="84" t="n">
        <x:v>39</x:v>
      </x:c>
      <x:c r="D1822" s="89" t="n">
        <x:v>45318</x:v>
      </x:c>
      <x:c r="E1822" s="84" t="n">
        <x:v>6.8</x:v>
      </x:c>
      <x:c r="F1822" s="84" t="str">
        <x:v>Normal</x:v>
      </x:c>
      <x:c r="G1822" s="93" t="n">
        <x:v>393.72</x:v>
      </x:c>
      <x:c r="H1822" s="85" t="str">
        <x:v>Diagnóstico e execução</x:v>
      </x:c>
    </x:row>
    <x:row r="1823">
      <x:c r="A1823" s="83" t="n">
        <x:v>1822</x:v>
      </x:c>
      <x:c r="B1823" s="84" t="n">
        <x:v>1074</x:v>
      </x:c>
      <x:c r="C1823" s="84" t="n">
        <x:v>20</x:v>
      </x:c>
      <x:c r="D1823" s="89" t="n">
        <x:v>45480</x:v>
      </x:c>
      <x:c r="E1823" s="84" t="n">
        <x:v>4.7</x:v>
      </x:c>
      <x:c r="F1823" s="84" t="str">
        <x:v>Normal</x:v>
      </x:c>
      <x:c r="G1823" s="93" t="n">
        <x:v>157.54</x:v>
      </x:c>
      <x:c r="H1823" s="85" t="str">
        <x:v>Diagnóstico e execução</x:v>
      </x:c>
    </x:row>
    <x:row r="1824">
      <x:c r="A1824" s="83" t="n">
        <x:v>1823</x:v>
      </x:c>
      <x:c r="B1824" s="84" t="n">
        <x:v>1074</x:v>
      </x:c>
      <x:c r="C1824" s="84" t="n">
        <x:v>38</x:v>
      </x:c>
      <x:c r="D1824" s="89" t="n">
        <x:v>45480</x:v>
      </x:c>
      <x:c r="E1824" s="84" t="n">
        <x:v>6.3</x:v>
      </x:c>
      <x:c r="F1824" s="84" t="str">
        <x:v>Normal</x:v>
      </x:c>
      <x:c r="G1824" s="93" t="n">
        <x:v>212.12</x:v>
      </x:c>
      <x:c r="H1824" s="85" t="str">
        <x:v>Diagnóstico e execução</x:v>
      </x:c>
    </x:row>
    <x:row r="1825">
      <x:c r="A1825" s="83" t="n">
        <x:v>1824</x:v>
      </x:c>
      <x:c r="B1825" s="84" t="n">
        <x:v>1074</x:v>
      </x:c>
      <x:c r="C1825" s="84" t="n">
        <x:v>32</x:v>
      </x:c>
      <x:c r="D1825" s="89" t="n">
        <x:v>45480</x:v>
      </x:c>
      <x:c r="E1825" s="84" t="n">
        <x:v>5</x:v>
      </x:c>
      <x:c r="F1825" s="84" t="str">
        <x:v>Normal</x:v>
      </x:c>
      <x:c r="G1825" s="93" t="n">
        <x:v>218.25</x:v>
      </x:c>
      <x:c r="H1825" s="85" t="str">
        <x:v>Diagnóstico e execução</x:v>
      </x:c>
    </x:row>
    <x:row r="1826">
      <x:c r="A1826" s="83" t="n">
        <x:v>1825</x:v>
      </x:c>
      <x:c r="B1826" s="84" t="n">
        <x:v>1076</x:v>
      </x:c>
      <x:c r="C1826" s="84" t="n">
        <x:v>40</x:v>
      </x:c>
      <x:c r="D1826" s="89" t="n">
        <x:v>45515</x:v>
      </x:c>
      <x:c r="E1826" s="84" t="n">
        <x:v>1.6</x:v>
      </x:c>
      <x:c r="F1826" s="84" t="str">
        <x:v>Normal</x:v>
      </x:c>
      <x:c r="G1826" s="93" t="n">
        <x:v>79.07</x:v>
      </x:c>
      <x:c r="H1826" s="85" t="str">
        <x:v>Diagnóstico e execução</x:v>
      </x:c>
    </x:row>
    <x:row r="1827">
      <x:c r="A1827" s="83" t="n">
        <x:v>1826</x:v>
      </x:c>
      <x:c r="B1827" s="84" t="n">
        <x:v>1076</x:v>
      </x:c>
      <x:c r="C1827" s="84" t="n">
        <x:v>18</x:v>
      </x:c>
      <x:c r="D1827" s="89" t="n">
        <x:v>45515</x:v>
      </x:c>
      <x:c r="E1827" s="84" t="n">
        <x:v>6.9</x:v>
      </x:c>
      <x:c r="F1827" s="84" t="str">
        <x:v>Normal</x:v>
      </x:c>
      <x:c r="G1827" s="93" t="n">
        <x:v>435.32</x:v>
      </x:c>
      <x:c r="H1827" s="85" t="str">
        <x:v>Diagnóstico e execução</x:v>
      </x:c>
    </x:row>
    <x:row r="1828">
      <x:c r="A1828" s="83" t="n">
        <x:v>1827</x:v>
      </x:c>
      <x:c r="B1828" s="84" t="n">
        <x:v>1076</x:v>
      </x:c>
      <x:c r="C1828" s="84" t="n">
        <x:v>2</x:v>
      </x:c>
      <x:c r="D1828" s="89" t="n">
        <x:v>45515</x:v>
      </x:c>
      <x:c r="E1828" s="84" t="n">
        <x:v>5.8</x:v>
      </x:c>
      <x:c r="F1828" s="84" t="str">
        <x:v>Normal</x:v>
      </x:c>
      <x:c r="G1828" s="93" t="n">
        <x:v>216.11</x:v>
      </x:c>
      <x:c r="H1828" s="85" t="str">
        <x:v>Diagnóstico e execução</x:v>
      </x:c>
    </x:row>
    <x:row r="1829">
      <x:c r="A1829" s="83" t="n">
        <x:v>1828</x:v>
      </x:c>
      <x:c r="B1829" s="84" t="n">
        <x:v>1077</x:v>
      </x:c>
      <x:c r="C1829" s="84" t="n">
        <x:v>21</x:v>
      </x:c>
      <x:c r="D1829" s="89" t="n">
        <x:v>45437</x:v>
      </x:c>
      <x:c r="E1829" s="84" t="n">
        <x:v>2.1</x:v>
      </x:c>
      <x:c r="F1829" s="84" t="str">
        <x:v>Normal</x:v>
      </x:c>
      <x:c r="G1829" s="93" t="n">
        <x:v>129</x:v>
      </x:c>
      <x:c r="H1829" s="85" t="str">
        <x:v>Diagnóstico e execução</x:v>
      </x:c>
    </x:row>
    <x:row r="1830">
      <x:c r="A1830" s="83" t="n">
        <x:v>1829</x:v>
      </x:c>
      <x:c r="B1830" s="84" t="n">
        <x:v>1078</x:v>
      </x:c>
      <x:c r="C1830" s="84" t="n">
        <x:v>33</x:v>
      </x:c>
      <x:c r="D1830" s="89" t="n">
        <x:v>45868</x:v>
      </x:c>
      <x:c r="E1830" s="84" t="n">
        <x:v>4.3</x:v>
      </x:c>
      <x:c r="F1830" s="84" t="str">
        <x:v>Normal</x:v>
      </x:c>
      <x:c r="G1830" s="93" t="n">
        <x:v>148.31</x:v>
      </x:c>
      <x:c r="H1830" s="85" t="str">
        <x:v>Diagnóstico e execução</x:v>
      </x:c>
    </x:row>
    <x:row r="1831">
      <x:c r="A1831" s="83" t="n">
        <x:v>1830</x:v>
      </x:c>
      <x:c r="B1831" s="84" t="n">
        <x:v>1079</x:v>
      </x:c>
      <x:c r="C1831" s="84" t="n">
        <x:v>29</x:v>
      </x:c>
      <x:c r="D1831" s="89" t="n">
        <x:v>45556</x:v>
      </x:c>
      <x:c r="E1831" s="84" t="n">
        <x:v>1.6</x:v>
      </x:c>
      <x:c r="F1831" s="84" t="str">
        <x:v>Normal</x:v>
      </x:c>
      <x:c r="G1831" s="93" t="n">
        <x:v>79.23</x:v>
      </x:c>
      <x:c r="H1831" s="85" t="str">
        <x:v>Diagnóstico e execução</x:v>
      </x:c>
    </x:row>
    <x:row r="1832">
      <x:c r="A1832" s="83" t="n">
        <x:v>1831</x:v>
      </x:c>
      <x:c r="B1832" s="84" t="n">
        <x:v>1079</x:v>
      </x:c>
      <x:c r="C1832" s="84" t="n">
        <x:v>2</x:v>
      </x:c>
      <x:c r="D1832" s="89" t="n">
        <x:v>45556</x:v>
      </x:c>
      <x:c r="E1832" s="84" t="n">
        <x:v>2</x:v>
      </x:c>
      <x:c r="F1832" s="84" t="str">
        <x:v>Normal</x:v>
      </x:c>
      <x:c r="G1832" s="93" t="n">
        <x:v>74.52</x:v>
      </x:c>
      <x:c r="H1832" s="85" t="str">
        <x:v>Diagnóstico e execução</x:v>
      </x:c>
    </x:row>
    <x:row r="1833">
      <x:c r="A1833" s="83" t="n">
        <x:v>1832</x:v>
      </x:c>
      <x:c r="B1833" s="84" t="n">
        <x:v>1080</x:v>
      </x:c>
      <x:c r="C1833" s="84" t="n">
        <x:v>29</x:v>
      </x:c>
      <x:c r="D1833" s="89" t="n">
        <x:v>45118</x:v>
      </x:c>
      <x:c r="E1833" s="84" t="n">
        <x:v>7.4</x:v>
      </x:c>
      <x:c r="F1833" s="84" t="str">
        <x:v>Normal</x:v>
      </x:c>
      <x:c r="G1833" s="93" t="n">
        <x:v>366.45</x:v>
      </x:c>
      <x:c r="H1833" s="85" t="str">
        <x:v>Diagnóstico e execução</x:v>
      </x:c>
    </x:row>
    <x:row r="1834">
      <x:c r="A1834" s="83" t="n">
        <x:v>1833</x:v>
      </x:c>
      <x:c r="B1834" s="84" t="n">
        <x:v>1080</x:v>
      </x:c>
      <x:c r="C1834" s="84" t="n">
        <x:v>43</x:v>
      </x:c>
      <x:c r="D1834" s="89" t="n">
        <x:v>45118</x:v>
      </x:c>
      <x:c r="E1834" s="84" t="n">
        <x:v>5.4</x:v>
      </x:c>
      <x:c r="F1834" s="84" t="str">
        <x:v>Normal</x:v>
      </x:c>
      <x:c r="G1834" s="93" t="n">
        <x:v>295.16</x:v>
      </x:c>
      <x:c r="H1834" s="85" t="str">
        <x:v>Diagnóstico e execução</x:v>
      </x:c>
    </x:row>
    <x:row r="1835">
      <x:c r="A1835" s="83" t="n">
        <x:v>1834</x:v>
      </x:c>
      <x:c r="B1835" s="84" t="n">
        <x:v>1081</x:v>
      </x:c>
      <x:c r="C1835" s="84" t="n">
        <x:v>2</x:v>
      </x:c>
      <x:c r="D1835" s="89" t="n">
        <x:v>45197</x:v>
      </x:c>
      <x:c r="E1835" s="84" t="n">
        <x:v>0.5</x:v>
      </x:c>
      <x:c r="F1835" s="84" t="str">
        <x:v>Normal</x:v>
      </x:c>
      <x:c r="G1835" s="93" t="n">
        <x:v>18.63</x:v>
      </x:c>
      <x:c r="H1835" s="85" t="str">
        <x:v>Diagnóstico e execução</x:v>
      </x:c>
    </x:row>
    <x:row r="1836">
      <x:c r="A1836" s="83" t="n">
        <x:v>1835</x:v>
      </x:c>
      <x:c r="B1836" s="84" t="n">
        <x:v>1081</x:v>
      </x:c>
      <x:c r="C1836" s="84" t="n">
        <x:v>7</x:v>
      </x:c>
      <x:c r="D1836" s="89" t="n">
        <x:v>45197</x:v>
      </x:c>
      <x:c r="E1836" s="84" t="n">
        <x:v>2.1</x:v>
      </x:c>
      <x:c r="F1836" s="84" t="str">
        <x:v>Normal</x:v>
      </x:c>
      <x:c r="G1836" s="93" t="n">
        <x:v>122.24</x:v>
      </x:c>
      <x:c r="H1836" s="85" t="str">
        <x:v>Diagnóstico e execução</x:v>
      </x:c>
    </x:row>
    <x:row r="1837">
      <x:c r="A1837" s="83" t="n">
        <x:v>1836</x:v>
      </x:c>
      <x:c r="B1837" s="84" t="n">
        <x:v>1083</x:v>
      </x:c>
      <x:c r="C1837" s="84" t="n">
        <x:v>5</x:v>
      </x:c>
      <x:c r="D1837" s="89" t="n">
        <x:v>45674</x:v>
      </x:c>
      <x:c r="E1837" s="84" t="n">
        <x:v>1.9</x:v>
      </x:c>
      <x:c r="F1837" s="84" t="str">
        <x:v>Normal</x:v>
      </x:c>
      <x:c r="G1837" s="93" t="n">
        <x:v>54.76</x:v>
      </x:c>
      <x:c r="H1837" s="85" t="str">
        <x:v>Diagnóstico e execução</x:v>
      </x:c>
    </x:row>
    <x:row r="1838">
      <x:c r="A1838" s="83" t="n">
        <x:v>1837</x:v>
      </x:c>
      <x:c r="B1838" s="84" t="n">
        <x:v>1084</x:v>
      </x:c>
      <x:c r="C1838" s="84" t="n">
        <x:v>2</x:v>
      </x:c>
      <x:c r="D1838" s="89" t="n">
        <x:v>45891</x:v>
      </x:c>
      <x:c r="E1838" s="84" t="n">
        <x:v>1.4</x:v>
      </x:c>
      <x:c r="F1838" s="84" t="str">
        <x:v>Normal</x:v>
      </x:c>
      <x:c r="G1838" s="93" t="n">
        <x:v>52.16</x:v>
      </x:c>
      <x:c r="H1838" s="85" t="str">
        <x:v>Diagnóstico e execução</x:v>
      </x:c>
    </x:row>
    <x:row r="1839">
      <x:c r="A1839" s="83" t="n">
        <x:v>1838</x:v>
      </x:c>
      <x:c r="B1839" s="84" t="n">
        <x:v>1084</x:v>
      </x:c>
      <x:c r="C1839" s="84" t="n">
        <x:v>39</x:v>
      </x:c>
      <x:c r="D1839" s="89" t="n">
        <x:v>45891</x:v>
      </x:c>
      <x:c r="E1839" s="84" t="n">
        <x:v>5.5</x:v>
      </x:c>
      <x:c r="F1839" s="84" t="str">
        <x:v>Normal</x:v>
      </x:c>
      <x:c r="G1839" s="93" t="n">
        <x:v>318.45</x:v>
      </x:c>
      <x:c r="H1839" s="85" t="str">
        <x:v>Diagnóstico e execução</x:v>
      </x:c>
    </x:row>
    <x:row r="1840">
      <x:c r="A1840" s="83" t="n">
        <x:v>1839</x:v>
      </x:c>
      <x:c r="B1840" s="84" t="n">
        <x:v>1084</x:v>
      </x:c>
      <x:c r="C1840" s="84" t="n">
        <x:v>12</x:v>
      </x:c>
      <x:c r="D1840" s="89" t="n">
        <x:v>45891</x:v>
      </x:c>
      <x:c r="E1840" s="84" t="n">
        <x:v>3.9</x:v>
      </x:c>
      <x:c r="F1840" s="84" t="str">
        <x:v>Normal</x:v>
      </x:c>
      <x:c r="G1840" s="93" t="n">
        <x:v>134.55</x:v>
      </x:c>
      <x:c r="H1840" s="85" t="str">
        <x:v>Diagnóstico e execução</x:v>
      </x:c>
    </x:row>
    <x:row r="1841">
      <x:c r="A1841" s="83" t="n">
        <x:v>1840</x:v>
      </x:c>
      <x:c r="B1841" s="84" t="n">
        <x:v>1085</x:v>
      </x:c>
      <x:c r="C1841" s="84" t="n">
        <x:v>9</x:v>
      </x:c>
      <x:c r="D1841" s="89" t="n">
        <x:v>45224</x:v>
      </x:c>
      <x:c r="E1841" s="84" t="n">
        <x:v>3.7</x:v>
      </x:c>
      <x:c r="F1841" s="84" t="str">
        <x:v>Normal</x:v>
      </x:c>
      <x:c r="G1841" s="93" t="n">
        <x:v>194.88</x:v>
      </x:c>
      <x:c r="H1841" s="85" t="str">
        <x:v>Diagnóstico e execução</x:v>
      </x:c>
    </x:row>
    <x:row r="1842">
      <x:c r="A1842" s="83" t="n">
        <x:v>1841</x:v>
      </x:c>
      <x:c r="B1842" s="84" t="n">
        <x:v>1085</x:v>
      </x:c>
      <x:c r="C1842" s="84" t="n">
        <x:v>13</x:v>
      </x:c>
      <x:c r="D1842" s="89" t="n">
        <x:v>45224</x:v>
      </x:c>
      <x:c r="E1842" s="84" t="n">
        <x:v>2</x:v>
      </x:c>
      <x:c r="F1842" s="84" t="str">
        <x:v>Normal</x:v>
      </x:c>
      <x:c r="G1842" s="93" t="n">
        <x:v>67.76</x:v>
      </x:c>
      <x:c r="H1842" s="85" t="str">
        <x:v>Diagnóstico e execução</x:v>
      </x:c>
    </x:row>
    <x:row r="1843">
      <x:c r="A1843" s="83" t="n">
        <x:v>1842</x:v>
      </x:c>
      <x:c r="B1843" s="84" t="n">
        <x:v>1085</x:v>
      </x:c>
      <x:c r="C1843" s="84" t="n">
        <x:v>2</x:v>
      </x:c>
      <x:c r="D1843" s="89" t="n">
        <x:v>45224</x:v>
      </x:c>
      <x:c r="E1843" s="84" t="n">
        <x:v>1.8</x:v>
      </x:c>
      <x:c r="F1843" s="84" t="str">
        <x:v>Normal</x:v>
      </x:c>
      <x:c r="G1843" s="93" t="n">
        <x:v>67.07</x:v>
      </x:c>
      <x:c r="H1843" s="85" t="str">
        <x:v>Diagnóstico e execução</x:v>
      </x:c>
    </x:row>
    <x:row r="1844">
      <x:c r="A1844" s="83" t="n">
        <x:v>1843</x:v>
      </x:c>
      <x:c r="B1844" s="84" t="n">
        <x:v>1086</x:v>
      </x:c>
      <x:c r="C1844" s="84" t="n">
        <x:v>19</x:v>
      </x:c>
      <x:c r="D1844" s="89" t="n">
        <x:v>45045</x:v>
      </x:c>
      <x:c r="E1844" s="84" t="n">
        <x:v>5.3</x:v>
      </x:c>
      <x:c r="F1844" s="84" t="str">
        <x:v>Normal</x:v>
      </x:c>
      <x:c r="G1844" s="93" t="n">
        <x:v>246.34</x:v>
      </x:c>
      <x:c r="H1844" s="85" t="str">
        <x:v>Diagnóstico e execução</x:v>
      </x:c>
    </x:row>
    <x:row r="1845">
      <x:c r="A1845" s="83" t="n">
        <x:v>1844</x:v>
      </x:c>
      <x:c r="B1845" s="84" t="n">
        <x:v>1087</x:v>
      </x:c>
      <x:c r="C1845" s="84" t="n">
        <x:v>2</x:v>
      </x:c>
      <x:c r="D1845" s="89" t="n">
        <x:v>45591</x:v>
      </x:c>
      <x:c r="E1845" s="84" t="n">
        <x:v>4.1</x:v>
      </x:c>
      <x:c r="F1845" s="84" t="str">
        <x:v>Normal</x:v>
      </x:c>
      <x:c r="G1845" s="93" t="n">
        <x:v>152.77</x:v>
      </x:c>
      <x:c r="H1845" s="85" t="str">
        <x:v>Diagnóstico e execução</x:v>
      </x:c>
    </x:row>
    <x:row r="1846">
      <x:c r="A1846" s="83" t="n">
        <x:v>1845</x:v>
      </x:c>
      <x:c r="B1846" s="84" t="n">
        <x:v>1088</x:v>
      </x:c>
      <x:c r="C1846" s="84" t="n">
        <x:v>26</x:v>
      </x:c>
      <x:c r="D1846" s="89" t="n">
        <x:v>44948</x:v>
      </x:c>
      <x:c r="E1846" s="84" t="n">
        <x:v>1</x:v>
      </x:c>
      <x:c r="F1846" s="84" t="str">
        <x:v>Normal</x:v>
      </x:c>
      <x:c r="G1846" s="93" t="n">
        <x:v>39.12</x:v>
      </x:c>
      <x:c r="H1846" s="85" t="str">
        <x:v>Diagnóstico e execução</x:v>
      </x:c>
    </x:row>
    <x:row r="1847">
      <x:c r="A1847" s="83" t="n">
        <x:v>1846</x:v>
      </x:c>
      <x:c r="B1847" s="84" t="n">
        <x:v>1088</x:v>
      </x:c>
      <x:c r="C1847" s="84" t="n">
        <x:v>25</x:v>
      </x:c>
      <x:c r="D1847" s="89" t="n">
        <x:v>44948</x:v>
      </x:c>
      <x:c r="E1847" s="84" t="n">
        <x:v>1.9</x:v>
      </x:c>
      <x:c r="F1847" s="84" t="str">
        <x:v>Normal</x:v>
      </x:c>
      <x:c r="G1847" s="93" t="n">
        <x:v>101.82</x:v>
      </x:c>
      <x:c r="H1847" s="85" t="str">
        <x:v>Diagnóstico e execução</x:v>
      </x:c>
    </x:row>
    <x:row r="1848">
      <x:c r="A1848" s="83" t="n">
        <x:v>1847</x:v>
      </x:c>
      <x:c r="B1848" s="84" t="n">
        <x:v>1088</x:v>
      </x:c>
      <x:c r="C1848" s="84" t="n">
        <x:v>43</x:v>
      </x:c>
      <x:c r="D1848" s="89" t="n">
        <x:v>44948</x:v>
      </x:c>
      <x:c r="E1848" s="84" t="n">
        <x:v>5.7</x:v>
      </x:c>
      <x:c r="F1848" s="84" t="str">
        <x:v>Normal</x:v>
      </x:c>
      <x:c r="G1848" s="93" t="n">
        <x:v>311.56</x:v>
      </x:c>
      <x:c r="H1848" s="85" t="str">
        <x:v>Diagnóstico e execução</x:v>
      </x:c>
    </x:row>
    <x:row r="1849">
      <x:c r="A1849" s="83" t="n">
        <x:v>1848</x:v>
      </x:c>
      <x:c r="B1849" s="84" t="n">
        <x:v>1089</x:v>
      </x:c>
      <x:c r="C1849" s="84" t="n">
        <x:v>24</x:v>
      </x:c>
      <x:c r="D1849" s="89" t="n">
        <x:v>45075</x:v>
      </x:c>
      <x:c r="E1849" s="84" t="n">
        <x:v>7.7</x:v>
      </x:c>
      <x:c r="F1849" s="84" t="str">
        <x:v>Normal</x:v>
      </x:c>
      <x:c r="G1849" s="93" t="n">
        <x:v>456.15</x:v>
      </x:c>
      <x:c r="H1849" s="85" t="str">
        <x:v>Diagnóstico e execução</x:v>
      </x:c>
    </x:row>
    <x:row r="1850">
      <x:c r="A1850" s="83" t="n">
        <x:v>1849</x:v>
      </x:c>
      <x:c r="B1850" s="84" t="n">
        <x:v>1089</x:v>
      </x:c>
      <x:c r="C1850" s="84" t="n">
        <x:v>28</x:v>
      </x:c>
      <x:c r="D1850" s="89" t="n">
        <x:v>45075</x:v>
      </x:c>
      <x:c r="E1850" s="84" t="n">
        <x:v>5.7</x:v>
      </x:c>
      <x:c r="F1850" s="84" t="str">
        <x:v>Normal</x:v>
      </x:c>
      <x:c r="G1850" s="93" t="n">
        <x:v>214.43</x:v>
      </x:c>
      <x:c r="H1850" s="85" t="str">
        <x:v>Diagnóstico e execução</x:v>
      </x:c>
    </x:row>
    <x:row r="1851">
      <x:c r="A1851" s="83" t="n">
        <x:v>1850</x:v>
      </x:c>
      <x:c r="B1851" s="84" t="n">
        <x:v>1089</x:v>
      </x:c>
      <x:c r="C1851" s="84" t="n">
        <x:v>14</x:v>
      </x:c>
      <x:c r="D1851" s="89" t="n">
        <x:v>45075</x:v>
      </x:c>
      <x:c r="E1851" s="84" t="n">
        <x:v>6.1</x:v>
      </x:c>
      <x:c r="F1851" s="84" t="str">
        <x:v>Normal</x:v>
      </x:c>
      <x:c r="G1851" s="93" t="n">
        <x:v>345.63</x:v>
      </x:c>
      <x:c r="H1851" s="85" t="str">
        <x:v>Diagnóstico e execução</x:v>
      </x:c>
    </x:row>
    <x:row r="1852">
      <x:c r="A1852" s="83" t="n">
        <x:v>1851</x:v>
      </x:c>
      <x:c r="B1852" s="84" t="n">
        <x:v>1090</x:v>
      </x:c>
      <x:c r="C1852" s="84" t="n">
        <x:v>18</x:v>
      </x:c>
      <x:c r="D1852" s="89" t="n">
        <x:v>45606</x:v>
      </x:c>
      <x:c r="E1852" s="84" t="n">
        <x:v>7.1</x:v>
      </x:c>
      <x:c r="F1852" s="84" t="str">
        <x:v>Normal</x:v>
      </x:c>
      <x:c r="G1852" s="93" t="n">
        <x:v>447.94</x:v>
      </x:c>
      <x:c r="H1852" s="85" t="str">
        <x:v>Diagnóstico e execução</x:v>
      </x:c>
    </x:row>
    <x:row r="1853">
      <x:c r="A1853" s="83" t="n">
        <x:v>1852</x:v>
      </x:c>
      <x:c r="B1853" s="84" t="n">
        <x:v>1091</x:v>
      </x:c>
      <x:c r="C1853" s="84" t="n">
        <x:v>42</x:v>
      </x:c>
      <x:c r="D1853" s="89" t="n">
        <x:v>45181</x:v>
      </x:c>
      <x:c r="E1853" s="84" t="n">
        <x:v>2.7</x:v>
      </x:c>
      <x:c r="F1853" s="84" t="str">
        <x:v>Normal</x:v>
      </x:c>
      <x:c r="G1853" s="93" t="n">
        <x:v>113.89</x:v>
      </x:c>
      <x:c r="H1853" s="85" t="str">
        <x:v>Diagnóstico e execução</x:v>
      </x:c>
    </x:row>
    <x:row r="1854">
      <x:c r="A1854" s="83" t="n">
        <x:v>1853</x:v>
      </x:c>
      <x:c r="B1854" s="84" t="n">
        <x:v>1092</x:v>
      </x:c>
      <x:c r="C1854" s="84" t="n">
        <x:v>30</x:v>
      </x:c>
      <x:c r="D1854" s="89" t="n">
        <x:v>44941</x:v>
      </x:c>
      <x:c r="E1854" s="84" t="n">
        <x:v>7.8</x:v>
      </x:c>
      <x:c r="F1854" s="84" t="str">
        <x:v>Normal</x:v>
      </x:c>
      <x:c r="G1854" s="93" t="n">
        <x:v>323</x:v>
      </x:c>
      <x:c r="H1854" s="85" t="str">
        <x:v>Diagnóstico e execução</x:v>
      </x:c>
    </x:row>
    <x:row r="1855">
      <x:c r="A1855" s="83" t="n">
        <x:v>1854</x:v>
      </x:c>
      <x:c r="B1855" s="84" t="n">
        <x:v>1092</x:v>
      </x:c>
      <x:c r="C1855" s="84" t="n">
        <x:v>40</x:v>
      </x:c>
      <x:c r="D1855" s="89" t="n">
        <x:v>44941</x:v>
      </x:c>
      <x:c r="E1855" s="84" t="n">
        <x:v>5</x:v>
      </x:c>
      <x:c r="F1855" s="84" t="str">
        <x:v>Normal</x:v>
      </x:c>
      <x:c r="G1855" s="93" t="n">
        <x:v>247.1</x:v>
      </x:c>
      <x:c r="H1855" s="85" t="str">
        <x:v>Diagnóstico e execução</x:v>
      </x:c>
    </x:row>
    <x:row r="1856">
      <x:c r="A1856" s="83" t="n">
        <x:v>1855</x:v>
      </x:c>
      <x:c r="B1856" s="84" t="n">
        <x:v>1092</x:v>
      </x:c>
      <x:c r="C1856" s="84" t="n">
        <x:v>42</x:v>
      </x:c>
      <x:c r="D1856" s="89" t="n">
        <x:v>44941</x:v>
      </x:c>
      <x:c r="E1856" s="84" t="n">
        <x:v>3.7</x:v>
      </x:c>
      <x:c r="F1856" s="84" t="str">
        <x:v>Normal</x:v>
      </x:c>
      <x:c r="G1856" s="93" t="n">
        <x:v>156.07</x:v>
      </x:c>
      <x:c r="H1856" s="85" t="str">
        <x:v>Diagnóstico e execução</x:v>
      </x:c>
    </x:row>
    <x:row r="1857">
      <x:c r="A1857" s="83" t="n">
        <x:v>1856</x:v>
      </x:c>
      <x:c r="B1857" s="84" t="n">
        <x:v>1093</x:v>
      </x:c>
      <x:c r="C1857" s="84" t="n">
        <x:v>29</x:v>
      </x:c>
      <x:c r="D1857" s="89" t="n">
        <x:v>45051</x:v>
      </x:c>
      <x:c r="E1857" s="84" t="n">
        <x:v>6.6</x:v>
      </x:c>
      <x:c r="F1857" s="84" t="str">
        <x:v>Normal</x:v>
      </x:c>
      <x:c r="G1857" s="93" t="n">
        <x:v>326.83</x:v>
      </x:c>
      <x:c r="H1857" s="85" t="str">
        <x:v>Diagnóstico e execução</x:v>
      </x:c>
    </x:row>
    <x:row r="1858">
      <x:c r="A1858" s="83" t="n">
        <x:v>1857</x:v>
      </x:c>
      <x:c r="B1858" s="84" t="n">
        <x:v>1093</x:v>
      </x:c>
      <x:c r="C1858" s="84" t="n">
        <x:v>19</x:v>
      </x:c>
      <x:c r="D1858" s="89" t="n">
        <x:v>45051</x:v>
      </x:c>
      <x:c r="E1858" s="84" t="n">
        <x:v>2.6</x:v>
      </x:c>
      <x:c r="F1858" s="84" t="str">
        <x:v>Normal</x:v>
      </x:c>
      <x:c r="G1858" s="93" t="n">
        <x:v>120.85</x:v>
      </x:c>
      <x:c r="H1858" s="85" t="str">
        <x:v>Diagnóstico e execução</x:v>
      </x:c>
    </x:row>
    <x:row r="1859">
      <x:c r="A1859" s="83" t="n">
        <x:v>1858</x:v>
      </x:c>
      <x:c r="B1859" s="84" t="n">
        <x:v>1093</x:v>
      </x:c>
      <x:c r="C1859" s="84" t="n">
        <x:v>38</x:v>
      </x:c>
      <x:c r="D1859" s="89" t="n">
        <x:v>45051</x:v>
      </x:c>
      <x:c r="E1859" s="84" t="n">
        <x:v>2</x:v>
      </x:c>
      <x:c r="F1859" s="84" t="str">
        <x:v>Normal</x:v>
      </x:c>
      <x:c r="G1859" s="93" t="n">
        <x:v>67.34</x:v>
      </x:c>
      <x:c r="H1859" s="85" t="str">
        <x:v>Diagnóstico e execução</x:v>
      </x:c>
    </x:row>
    <x:row r="1860">
      <x:c r="A1860" s="83" t="n">
        <x:v>1859</x:v>
      </x:c>
      <x:c r="B1860" s="84" t="n">
        <x:v>1094</x:v>
      </x:c>
      <x:c r="C1860" s="84" t="n">
        <x:v>4</x:v>
      </x:c>
      <x:c r="D1860" s="89" t="n">
        <x:v>45615</x:v>
      </x:c>
      <x:c r="E1860" s="84" t="n">
        <x:v>2.5</x:v>
      </x:c>
      <x:c r="F1860" s="84" t="str">
        <x:v>Normal</x:v>
      </x:c>
      <x:c r="G1860" s="93" t="n">
        <x:v>122.97</x:v>
      </x:c>
      <x:c r="H1860" s="85" t="str">
        <x:v>Diagnóstico e execução</x:v>
      </x:c>
    </x:row>
    <x:row r="1861">
      <x:c r="A1861" s="83" t="n">
        <x:v>1860</x:v>
      </x:c>
      <x:c r="B1861" s="84" t="n">
        <x:v>1094</x:v>
      </x:c>
      <x:c r="C1861" s="84" t="n">
        <x:v>21</x:v>
      </x:c>
      <x:c r="D1861" s="89" t="n">
        <x:v>45615</x:v>
      </x:c>
      <x:c r="E1861" s="84" t="n">
        <x:v>2.2</x:v>
      </x:c>
      <x:c r="F1861" s="84" t="str">
        <x:v>Normal</x:v>
      </x:c>
      <x:c r="G1861" s="93" t="n">
        <x:v>135.15</x:v>
      </x:c>
      <x:c r="H1861" s="85" t="str">
        <x:v>Diagnóstico e execução</x:v>
      </x:c>
    </x:row>
    <x:row r="1862">
      <x:c r="A1862" s="83" t="n">
        <x:v>1861</x:v>
      </x:c>
      <x:c r="B1862" s="84" t="n">
        <x:v>1094</x:v>
      </x:c>
      <x:c r="C1862" s="84" t="n">
        <x:v>12</x:v>
      </x:c>
      <x:c r="D1862" s="89" t="n">
        <x:v>45615</x:v>
      </x:c>
      <x:c r="E1862" s="84" t="n">
        <x:v>3.5</x:v>
      </x:c>
      <x:c r="F1862" s="84" t="str">
        <x:v>Normal</x:v>
      </x:c>
      <x:c r="G1862" s="93" t="n">
        <x:v>120.75</x:v>
      </x:c>
      <x:c r="H1862" s="85" t="str">
        <x:v>Diagnóstico e execução</x:v>
      </x:c>
    </x:row>
    <x:row r="1863">
      <x:c r="A1863" s="83" t="n">
        <x:v>1862</x:v>
      </x:c>
      <x:c r="B1863" s="84" t="n">
        <x:v>1096</x:v>
      </x:c>
      <x:c r="C1863" s="84" t="n">
        <x:v>44</x:v>
      </x:c>
      <x:c r="D1863" s="89" t="n">
        <x:v>45417</x:v>
      </x:c>
      <x:c r="E1863" s="84" t="n">
        <x:v>6.2</x:v>
      </x:c>
      <x:c r="F1863" s="84" t="str">
        <x:v>Normal</x:v>
      </x:c>
      <x:c r="G1863" s="93" t="n">
        <x:v>173.85</x:v>
      </x:c>
      <x:c r="H1863" s="85" t="str">
        <x:v>Diagnóstico e execução</x:v>
      </x:c>
    </x:row>
    <x:row r="1864">
      <x:c r="A1864" s="83" t="n">
        <x:v>1863</x:v>
      </x:c>
      <x:c r="B1864" s="84" t="n">
        <x:v>1097</x:v>
      </x:c>
      <x:c r="C1864" s="84" t="n">
        <x:v>41</x:v>
      </x:c>
      <x:c r="D1864" s="89" t="n">
        <x:v>45607</x:v>
      </x:c>
      <x:c r="E1864" s="84" t="n">
        <x:v>5.5</x:v>
      </x:c>
      <x:c r="F1864" s="84" t="str">
        <x:v>Normal</x:v>
      </x:c>
      <x:c r="G1864" s="93" t="n">
        <x:v>278.19</x:v>
      </x:c>
      <x:c r="H1864" s="85" t="str">
        <x:v>Diagnóstico e execução</x:v>
      </x:c>
    </x:row>
    <x:row r="1865">
      <x:c r="A1865" s="83" t="n">
        <x:v>1864</x:v>
      </x:c>
      <x:c r="B1865" s="84" t="n">
        <x:v>1097</x:v>
      </x:c>
      <x:c r="C1865" s="84" t="n">
        <x:v>3</x:v>
      </x:c>
      <x:c r="D1865" s="89" t="n">
        <x:v>45607</x:v>
      </x:c>
      <x:c r="E1865" s="84" t="n">
        <x:v>5.2</x:v>
      </x:c>
      <x:c r="F1865" s="84" t="str">
        <x:v>Normal</x:v>
      </x:c>
      <x:c r="G1865" s="93" t="n">
        <x:v>256.05</x:v>
      </x:c>
      <x:c r="H1865" s="85" t="str">
        <x:v>Diagnóstico e execução</x:v>
      </x:c>
    </x:row>
    <x:row r="1866">
      <x:c r="A1866" s="83" t="n">
        <x:v>1865</x:v>
      </x:c>
      <x:c r="B1866" s="84" t="n">
        <x:v>1097</x:v>
      </x:c>
      <x:c r="C1866" s="84" t="n">
        <x:v>3</x:v>
      </x:c>
      <x:c r="D1866" s="89" t="n">
        <x:v>45607</x:v>
      </x:c>
      <x:c r="E1866" s="84" t="n">
        <x:v>5.9</x:v>
      </x:c>
      <x:c r="F1866" s="84" t="str">
        <x:v>Normal</x:v>
      </x:c>
      <x:c r="G1866" s="93" t="n">
        <x:v>290.52</x:v>
      </x:c>
      <x:c r="H1866" s="85" t="str">
        <x:v>Diagnóstico e execução</x:v>
      </x:c>
    </x:row>
    <x:row r="1867">
      <x:c r="A1867" s="83" t="n">
        <x:v>1866</x:v>
      </x:c>
      <x:c r="B1867" s="84" t="n">
        <x:v>1098</x:v>
      </x:c>
      <x:c r="C1867" s="84" t="n">
        <x:v>28</x:v>
      </x:c>
      <x:c r="D1867" s="89" t="n">
        <x:v>45285</x:v>
      </x:c>
      <x:c r="E1867" s="84" t="n">
        <x:v>4.5</x:v>
      </x:c>
      <x:c r="F1867" s="84" t="str">
        <x:v>Normal</x:v>
      </x:c>
      <x:c r="G1867" s="93" t="n">
        <x:v>169.29</x:v>
      </x:c>
      <x:c r="H1867" s="85" t="str">
        <x:v>Diagnóstico e execução</x:v>
      </x:c>
    </x:row>
    <x:row r="1868">
      <x:c r="A1868" s="83" t="n">
        <x:v>1867</x:v>
      </x:c>
      <x:c r="B1868" s="84" t="n">
        <x:v>1098</x:v>
      </x:c>
      <x:c r="C1868" s="84" t="n">
        <x:v>6</x:v>
      </x:c>
      <x:c r="D1868" s="89" t="n">
        <x:v>45285</x:v>
      </x:c>
      <x:c r="E1868" s="84" t="n">
        <x:v>4.4</x:v>
      </x:c>
      <x:c r="F1868" s="84" t="str">
        <x:v>Normal</x:v>
      </x:c>
      <x:c r="G1868" s="93" t="n">
        <x:v>229.94</x:v>
      </x:c>
      <x:c r="H1868" s="85" t="str">
        <x:v>Diagnóstico e execução</x:v>
      </x:c>
    </x:row>
    <x:row r="1869">
      <x:c r="A1869" s="83" t="n">
        <x:v>1868</x:v>
      </x:c>
      <x:c r="B1869" s="84" t="n">
        <x:v>1098</x:v>
      </x:c>
      <x:c r="C1869" s="84" t="n">
        <x:v>20</x:v>
      </x:c>
      <x:c r="D1869" s="89" t="n">
        <x:v>45285</x:v>
      </x:c>
      <x:c r="E1869" s="84" t="n">
        <x:v>3.3</x:v>
      </x:c>
      <x:c r="F1869" s="84" t="str">
        <x:v>Normal</x:v>
      </x:c>
      <x:c r="G1869" s="93" t="n">
        <x:v>110.62</x:v>
      </x:c>
      <x:c r="H1869" s="85" t="str">
        <x:v>Diagnóstico e execução</x:v>
      </x:c>
    </x:row>
    <x:row r="1870">
      <x:c r="A1870" s="83" t="n">
        <x:v>1869</x:v>
      </x:c>
      <x:c r="B1870" s="84" t="n">
        <x:v>1099</x:v>
      </x:c>
      <x:c r="C1870" s="84" t="n">
        <x:v>39</x:v>
      </x:c>
      <x:c r="D1870" s="89" t="n">
        <x:v>45450</x:v>
      </x:c>
      <x:c r="E1870" s="84" t="n">
        <x:v>2.6</x:v>
      </x:c>
      <x:c r="F1870" s="84" t="str">
        <x:v>Normal</x:v>
      </x:c>
      <x:c r="G1870" s="93" t="n">
        <x:v>150.54</x:v>
      </x:c>
      <x:c r="H1870" s="85" t="str">
        <x:v>Diagnóstico e execução</x:v>
      </x:c>
    </x:row>
    <x:row r="1871">
      <x:c r="A1871" s="83" t="n">
        <x:v>1870</x:v>
      </x:c>
      <x:c r="B1871" s="84" t="n">
        <x:v>1099</x:v>
      </x:c>
      <x:c r="C1871" s="84" t="n">
        <x:v>8</x:v>
      </x:c>
      <x:c r="D1871" s="89" t="n">
        <x:v>45450</x:v>
      </x:c>
      <x:c r="E1871" s="84" t="n">
        <x:v>7.9</x:v>
      </x:c>
      <x:c r="F1871" s="84" t="str">
        <x:v>Normal</x:v>
      </x:c>
      <x:c r="G1871" s="93" t="n">
        <x:v>367.35</x:v>
      </x:c>
      <x:c r="H1871" s="85" t="str">
        <x:v>Diagnóstico e execução</x:v>
      </x:c>
    </x:row>
    <x:row r="1872">
      <x:c r="A1872" s="83" t="n">
        <x:v>1871</x:v>
      </x:c>
      <x:c r="B1872" s="84" t="n">
        <x:v>1099</x:v>
      </x:c>
      <x:c r="C1872" s="84" t="n">
        <x:v>21</x:v>
      </x:c>
      <x:c r="D1872" s="89" t="n">
        <x:v>45450</x:v>
      </x:c>
      <x:c r="E1872" s="84" t="n">
        <x:v>4.9</x:v>
      </x:c>
      <x:c r="F1872" s="84" t="str">
        <x:v>Normal</x:v>
      </x:c>
      <x:c r="G1872" s="93" t="n">
        <x:v>301.01</x:v>
      </x:c>
      <x:c r="H1872" s="85" t="str">
        <x:v>Diagnóstico e execução</x:v>
      </x:c>
    </x:row>
    <x:row r="1873">
      <x:c r="A1873" s="83" t="n">
        <x:v>1872</x:v>
      </x:c>
      <x:c r="B1873" s="84" t="n">
        <x:v>1100</x:v>
      </x:c>
      <x:c r="C1873" s="84" t="n">
        <x:v>7</x:v>
      </x:c>
      <x:c r="D1873" s="89" t="n">
        <x:v>45957</x:v>
      </x:c>
      <x:c r="E1873" s="84" t="n">
        <x:v>5.5</x:v>
      </x:c>
      <x:c r="F1873" s="84" t="str">
        <x:v>Normal</x:v>
      </x:c>
      <x:c r="G1873" s="93" t="n">
        <x:v>320.16</x:v>
      </x:c>
      <x:c r="H1873" s="85" t="str">
        <x:v>Diagnóstico e execução</x:v>
      </x:c>
    </x:row>
    <x:row r="1874">
      <x:c r="A1874" s="83" t="n">
        <x:v>1873</x:v>
      </x:c>
      <x:c r="B1874" s="84" t="n">
        <x:v>1101</x:v>
      </x:c>
      <x:c r="C1874" s="84" t="n">
        <x:v>4</x:v>
      </x:c>
      <x:c r="D1874" s="89" t="n">
        <x:v>45153</x:v>
      </x:c>
      <x:c r="E1874" s="84" t="n">
        <x:v>2.1</x:v>
      </x:c>
      <x:c r="F1874" s="84" t="str">
        <x:v>Normal</x:v>
      </x:c>
      <x:c r="G1874" s="93" t="n">
        <x:v>103.3</x:v>
      </x:c>
      <x:c r="H1874" s="85" t="str">
        <x:v>Diagnóstico e execução</x:v>
      </x:c>
    </x:row>
    <x:row r="1875">
      <x:c r="A1875" s="83" t="n">
        <x:v>1874</x:v>
      </x:c>
      <x:c r="B1875" s="84" t="n">
        <x:v>1102</x:v>
      </x:c>
      <x:c r="C1875" s="84" t="n">
        <x:v>10</x:v>
      </x:c>
      <x:c r="D1875" s="89" t="n">
        <x:v>45107</x:v>
      </x:c>
      <x:c r="E1875" s="84" t="n">
        <x:v>5.6</x:v>
      </x:c>
      <x:c r="F1875" s="84" t="str">
        <x:v>Normal</x:v>
      </x:c>
      <x:c r="G1875" s="93" t="n">
        <x:v>166.26</x:v>
      </x:c>
      <x:c r="H1875" s="85" t="str">
        <x:v>Diagnóstico e execução</x:v>
      </x:c>
    </x:row>
    <x:row r="1876">
      <x:c r="A1876" s="83" t="n">
        <x:v>1875</x:v>
      </x:c>
      <x:c r="B1876" s="84" t="n">
        <x:v>1103</x:v>
      </x:c>
      <x:c r="C1876" s="84" t="n">
        <x:v>21</x:v>
      </x:c>
      <x:c r="D1876" s="89" t="n">
        <x:v>45635</x:v>
      </x:c>
      <x:c r="E1876" s="84" t="n">
        <x:v>6.5</x:v>
      </x:c>
      <x:c r="F1876" s="84" t="str">
        <x:v>Normal</x:v>
      </x:c>
      <x:c r="G1876" s="93" t="n">
        <x:v>399.3</x:v>
      </x:c>
      <x:c r="H1876" s="85" t="str">
        <x:v>Diagnóstico e execução</x:v>
      </x:c>
    </x:row>
    <x:row r="1877">
      <x:c r="A1877" s="83" t="n">
        <x:v>1876</x:v>
      </x:c>
      <x:c r="B1877" s="84" t="n">
        <x:v>1103</x:v>
      </x:c>
      <x:c r="C1877" s="84" t="n">
        <x:v>44</x:v>
      </x:c>
      <x:c r="D1877" s="89" t="n">
        <x:v>45635</x:v>
      </x:c>
      <x:c r="E1877" s="84" t="n">
        <x:v>7.5</x:v>
      </x:c>
      <x:c r="F1877" s="84" t="str">
        <x:v>Normal</x:v>
      </x:c>
      <x:c r="G1877" s="93" t="n">
        <x:v>210.3</x:v>
      </x:c>
      <x:c r="H1877" s="85" t="str">
        <x:v>Diagnóstico e execução</x:v>
      </x:c>
    </x:row>
    <x:row r="1878">
      <x:c r="A1878" s="83" t="n">
        <x:v>1877</x:v>
      </x:c>
      <x:c r="B1878" s="84" t="n">
        <x:v>1104</x:v>
      </x:c>
      <x:c r="C1878" s="84" t="n">
        <x:v>6</x:v>
      </x:c>
      <x:c r="D1878" s="89" t="n">
        <x:v>45362</x:v>
      </x:c>
      <x:c r="E1878" s="84" t="n">
        <x:v>1.8</x:v>
      </x:c>
      <x:c r="F1878" s="84" t="str">
        <x:v>Normal</x:v>
      </x:c>
      <x:c r="G1878" s="93" t="n">
        <x:v>94.07</x:v>
      </x:c>
      <x:c r="H1878" s="85" t="str">
        <x:v>Diagnóstico e execução</x:v>
      </x:c>
    </x:row>
    <x:row r="1879">
      <x:c r="A1879" s="83" t="n">
        <x:v>1878</x:v>
      </x:c>
      <x:c r="B1879" s="84" t="n">
        <x:v>1106</x:v>
      </x:c>
      <x:c r="C1879" s="84" t="n">
        <x:v>3</x:v>
      </x:c>
      <x:c r="D1879" s="89" t="n">
        <x:v>46007</x:v>
      </x:c>
      <x:c r="E1879" s="84" t="n">
        <x:v>7.7</x:v>
      </x:c>
      <x:c r="F1879" s="84" t="str">
        <x:v>Normal</x:v>
      </x:c>
      <x:c r="G1879" s="93" t="n">
        <x:v>379.15</x:v>
      </x:c>
      <x:c r="H1879" s="85" t="str">
        <x:v>Diagnóstico e execução</x:v>
      </x:c>
    </x:row>
    <x:row r="1880">
      <x:c r="A1880" s="83" t="n">
        <x:v>1879</x:v>
      </x:c>
      <x:c r="B1880" s="84" t="n">
        <x:v>1107</x:v>
      </x:c>
      <x:c r="C1880" s="84" t="n">
        <x:v>26</x:v>
      </x:c>
      <x:c r="D1880" s="89" t="n">
        <x:v>45178</x:v>
      </x:c>
      <x:c r="E1880" s="84" t="n">
        <x:v>4.2</x:v>
      </x:c>
      <x:c r="F1880" s="84" t="str">
        <x:v>Normal</x:v>
      </x:c>
      <x:c r="G1880" s="93" t="n">
        <x:v>164.3</x:v>
      </x:c>
      <x:c r="H1880" s="85" t="str">
        <x:v>Diagnóstico e execução</x:v>
      </x:c>
    </x:row>
    <x:row r="1881">
      <x:c r="A1881" s="83" t="n">
        <x:v>1880</x:v>
      </x:c>
      <x:c r="B1881" s="84" t="n">
        <x:v>1108</x:v>
      </x:c>
      <x:c r="C1881" s="84" t="n">
        <x:v>2</x:v>
      </x:c>
      <x:c r="D1881" s="89" t="n">
        <x:v>45070</x:v>
      </x:c>
      <x:c r="E1881" s="84" t="n">
        <x:v>5.4</x:v>
      </x:c>
      <x:c r="F1881" s="84" t="str">
        <x:v>Normal</x:v>
      </x:c>
      <x:c r="G1881" s="93" t="n">
        <x:v>201.2</x:v>
      </x:c>
      <x:c r="H1881" s="85" t="str">
        <x:v>Diagnóstico e execução</x:v>
      </x:c>
    </x:row>
    <x:row r="1882">
      <x:c r="A1882" s="83" t="n">
        <x:v>1881</x:v>
      </x:c>
      <x:c r="B1882" s="84" t="n">
        <x:v>1108</x:v>
      </x:c>
      <x:c r="C1882" s="84" t="n">
        <x:v>14</x:v>
      </x:c>
      <x:c r="D1882" s="89" t="n">
        <x:v>45070</x:v>
      </x:c>
      <x:c r="E1882" s="84" t="n">
        <x:v>7.8</x:v>
      </x:c>
      <x:c r="F1882" s="84" t="str">
        <x:v>Normal</x:v>
      </x:c>
      <x:c r="G1882" s="93" t="n">
        <x:v>441.95</x:v>
      </x:c>
      <x:c r="H1882" s="85" t="str">
        <x:v>Diagnóstico e execução</x:v>
      </x:c>
    </x:row>
    <x:row r="1883">
      <x:c r="A1883" s="83" t="n">
        <x:v>1882</x:v>
      </x:c>
      <x:c r="B1883" s="84" t="n">
        <x:v>1109</x:v>
      </x:c>
      <x:c r="C1883" s="84" t="n">
        <x:v>1</x:v>
      </x:c>
      <x:c r="D1883" s="89" t="n">
        <x:v>45475</x:v>
      </x:c>
      <x:c r="E1883" s="84" t="n">
        <x:v>2.7</x:v>
      </x:c>
      <x:c r="F1883" s="84" t="str">
        <x:v>Normal</x:v>
      </x:c>
      <x:c r="G1883" s="93" t="n">
        <x:v>95.5</x:v>
      </x:c>
      <x:c r="H1883" s="85" t="str">
        <x:v>Diagnóstico e execução</x:v>
      </x:c>
    </x:row>
    <x:row r="1884">
      <x:c r="A1884" s="83" t="n">
        <x:v>1883</x:v>
      </x:c>
      <x:c r="B1884" s="84" t="n">
        <x:v>1110</x:v>
      </x:c>
      <x:c r="C1884" s="84" t="n">
        <x:v>22</x:v>
      </x:c>
      <x:c r="D1884" s="89" t="n">
        <x:v>44956</x:v>
      </x:c>
      <x:c r="E1884" s="84" t="n">
        <x:v>3.9</x:v>
      </x:c>
      <x:c r="F1884" s="84" t="str">
        <x:v>Normal</x:v>
      </x:c>
      <x:c r="G1884" s="93" t="n">
        <x:v>149.99</x:v>
      </x:c>
      <x:c r="H1884" s="85" t="str">
        <x:v>Diagnóstico e execução</x:v>
      </x:c>
    </x:row>
    <x:row r="1885">
      <x:c r="A1885" s="83" t="n">
        <x:v>1884</x:v>
      </x:c>
      <x:c r="B1885" s="84" t="n">
        <x:v>1110</x:v>
      </x:c>
      <x:c r="C1885" s="84" t="n">
        <x:v>41</x:v>
      </x:c>
      <x:c r="D1885" s="89" t="n">
        <x:v>44956</x:v>
      </x:c>
      <x:c r="E1885" s="84" t="n">
        <x:v>1.2</x:v>
      </x:c>
      <x:c r="F1885" s="84" t="str">
        <x:v>Normal</x:v>
      </x:c>
      <x:c r="G1885" s="93" t="n">
        <x:v>60.7</x:v>
      </x:c>
      <x:c r="H1885" s="85" t="str">
        <x:v>Diagnóstico e execução</x:v>
      </x:c>
    </x:row>
    <x:row r="1886">
      <x:c r="A1886" s="83" t="n">
        <x:v>1885</x:v>
      </x:c>
      <x:c r="B1886" s="84" t="n">
        <x:v>1111</x:v>
      </x:c>
      <x:c r="C1886" s="84" t="n">
        <x:v>37</x:v>
      </x:c>
      <x:c r="D1886" s="89" t="n">
        <x:v>45180</x:v>
      </x:c>
      <x:c r="E1886" s="84" t="n">
        <x:v>4.9</x:v>
      </x:c>
      <x:c r="F1886" s="84" t="str">
        <x:v>Normal</x:v>
      </x:c>
      <x:c r="G1886" s="93" t="n">
        <x:v>288.95</x:v>
      </x:c>
      <x:c r="H1886" s="85" t="str">
        <x:v>Diagnóstico e execução</x:v>
      </x:c>
    </x:row>
    <x:row r="1887">
      <x:c r="A1887" s="83" t="n">
        <x:v>1886</x:v>
      </x:c>
      <x:c r="B1887" s="84" t="n">
        <x:v>1111</x:v>
      </x:c>
      <x:c r="C1887" s="84" t="n">
        <x:v>30</x:v>
      </x:c>
      <x:c r="D1887" s="89" t="n">
        <x:v>45180</x:v>
      </x:c>
      <x:c r="E1887" s="84" t="n">
        <x:v>2.1</x:v>
      </x:c>
      <x:c r="F1887" s="84" t="str">
        <x:v>Normal</x:v>
      </x:c>
      <x:c r="G1887" s="93" t="n">
        <x:v>86.96</x:v>
      </x:c>
      <x:c r="H1887" s="85" t="str">
        <x:v>Diagnóstico e execução</x:v>
      </x:c>
    </x:row>
    <x:row r="1888">
      <x:c r="A1888" s="83" t="n">
        <x:v>1887</x:v>
      </x:c>
      <x:c r="B1888" s="84" t="n">
        <x:v>1111</x:v>
      </x:c>
      <x:c r="C1888" s="84" t="n">
        <x:v>25</x:v>
      </x:c>
      <x:c r="D1888" s="89" t="n">
        <x:v>45180</x:v>
      </x:c>
      <x:c r="E1888" s="84" t="n">
        <x:v>4.3</x:v>
      </x:c>
      <x:c r="F1888" s="84" t="str">
        <x:v>Normal</x:v>
      </x:c>
      <x:c r="G1888" s="93" t="n">
        <x:v>230.44</x:v>
      </x:c>
      <x:c r="H1888" s="85" t="str">
        <x:v>Diagnóstico e execução</x:v>
      </x:c>
    </x:row>
    <x:row r="1889">
      <x:c r="A1889" s="83" t="n">
        <x:v>1888</x:v>
      </x:c>
      <x:c r="B1889" s="84" t="n">
        <x:v>1112</x:v>
      </x:c>
      <x:c r="C1889" s="84" t="n">
        <x:v>6</x:v>
      </x:c>
      <x:c r="D1889" s="89" t="n">
        <x:v>45085</x:v>
      </x:c>
      <x:c r="E1889" s="84" t="n">
        <x:v>7.6</x:v>
      </x:c>
      <x:c r="F1889" s="84" t="str">
        <x:v>Normal</x:v>
      </x:c>
      <x:c r="G1889" s="93" t="n">
        <x:v>397.18</x:v>
      </x:c>
      <x:c r="H1889" s="85" t="str">
        <x:v>Diagnóstico e execução</x:v>
      </x:c>
    </x:row>
    <x:row r="1890">
      <x:c r="A1890" s="83" t="n">
        <x:v>1889</x:v>
      </x:c>
      <x:c r="B1890" s="84" t="n">
        <x:v>1112</x:v>
      </x:c>
      <x:c r="C1890" s="84" t="n">
        <x:v>25</x:v>
      </x:c>
      <x:c r="D1890" s="89" t="n">
        <x:v>45085</x:v>
      </x:c>
      <x:c r="E1890" s="84" t="n">
        <x:v>7</x:v>
      </x:c>
      <x:c r="F1890" s="84" t="str">
        <x:v>Normal</x:v>
      </x:c>
      <x:c r="G1890" s="93" t="n">
        <x:v>375.13</x:v>
      </x:c>
      <x:c r="H1890" s="85" t="str">
        <x:v>Diagnóstico e execução</x:v>
      </x:c>
    </x:row>
    <x:row r="1891">
      <x:c r="A1891" s="83" t="n">
        <x:v>1890</x:v>
      </x:c>
      <x:c r="B1891" s="84" t="n">
        <x:v>1112</x:v>
      </x:c>
      <x:c r="C1891" s="84" t="n">
        <x:v>7</x:v>
      </x:c>
      <x:c r="D1891" s="89" t="n">
        <x:v>45085</x:v>
      </x:c>
      <x:c r="E1891" s="84" t="n">
        <x:v>2</x:v>
      </x:c>
      <x:c r="F1891" s="84" t="str">
        <x:v>Normal</x:v>
      </x:c>
      <x:c r="G1891" s="93" t="n">
        <x:v>116.42</x:v>
      </x:c>
      <x:c r="H1891" s="85" t="str">
        <x:v>Diagnóstico e execução</x:v>
      </x:c>
    </x:row>
    <x:row r="1892">
      <x:c r="A1892" s="83" t="n">
        <x:v>1891</x:v>
      </x:c>
      <x:c r="B1892" s="84" t="n">
        <x:v>1113</x:v>
      </x:c>
      <x:c r="C1892" s="84" t="n">
        <x:v>2</x:v>
      </x:c>
      <x:c r="D1892" s="89" t="n">
        <x:v>45895</x:v>
      </x:c>
      <x:c r="E1892" s="84" t="n">
        <x:v>6.1</x:v>
      </x:c>
      <x:c r="F1892" s="84" t="str">
        <x:v>Normal</x:v>
      </x:c>
      <x:c r="G1892" s="93" t="n">
        <x:v>227.29</x:v>
      </x:c>
      <x:c r="H1892" s="85" t="str">
        <x:v>Diagnóstico e execução</x:v>
      </x:c>
    </x:row>
    <x:row r="1893">
      <x:c r="A1893" s="83" t="n">
        <x:v>1892</x:v>
      </x:c>
      <x:c r="B1893" s="84" t="n">
        <x:v>1114</x:v>
      </x:c>
      <x:c r="C1893" s="84" t="n">
        <x:v>29</x:v>
      </x:c>
      <x:c r="D1893" s="89" t="n">
        <x:v>45285</x:v>
      </x:c>
      <x:c r="E1893" s="84" t="n">
        <x:v>2.1</x:v>
      </x:c>
      <x:c r="F1893" s="84" t="str">
        <x:v>Normal</x:v>
      </x:c>
      <x:c r="G1893" s="93" t="n">
        <x:v>103.99</x:v>
      </x:c>
      <x:c r="H1893" s="85" t="str">
        <x:v>Diagnóstico e execução</x:v>
      </x:c>
    </x:row>
    <x:row r="1894">
      <x:c r="A1894" s="83" t="n">
        <x:v>1893</x:v>
      </x:c>
      <x:c r="B1894" s="84" t="n">
        <x:v>1114</x:v>
      </x:c>
      <x:c r="C1894" s="84" t="n">
        <x:v>22</x:v>
      </x:c>
      <x:c r="D1894" s="89" t="n">
        <x:v>45285</x:v>
      </x:c>
      <x:c r="E1894" s="84" t="n">
        <x:v>6.8</x:v>
      </x:c>
      <x:c r="F1894" s="84" t="str">
        <x:v>Normal</x:v>
      </x:c>
      <x:c r="G1894" s="93" t="n">
        <x:v>261.53</x:v>
      </x:c>
      <x:c r="H1894" s="85" t="str">
        <x:v>Diagnóstico e execução</x:v>
      </x:c>
    </x:row>
    <x:row r="1895">
      <x:c r="A1895" s="83" t="n">
        <x:v>1894</x:v>
      </x:c>
      <x:c r="B1895" s="84" t="n">
        <x:v>1114</x:v>
      </x:c>
      <x:c r="C1895" s="84" t="n">
        <x:v>19</x:v>
      </x:c>
      <x:c r="D1895" s="89" t="n">
        <x:v>45285</x:v>
      </x:c>
      <x:c r="E1895" s="84" t="n">
        <x:v>3.8</x:v>
      </x:c>
      <x:c r="F1895" s="84" t="str">
        <x:v>Normal</x:v>
      </x:c>
      <x:c r="G1895" s="93" t="n">
        <x:v>176.62</x:v>
      </x:c>
      <x:c r="H1895" s="85" t="str">
        <x:v>Diagnóstico e execução</x:v>
      </x:c>
    </x:row>
    <x:row r="1896">
      <x:c r="A1896" s="83" t="n">
        <x:v>1895</x:v>
      </x:c>
      <x:c r="B1896" s="84" t="n">
        <x:v>1116</x:v>
      </x:c>
      <x:c r="C1896" s="84" t="n">
        <x:v>17</x:v>
      </x:c>
      <x:c r="D1896" s="89" t="n">
        <x:v>45921</x:v>
      </x:c>
      <x:c r="E1896" s="84" t="n">
        <x:v>2.6</x:v>
      </x:c>
      <x:c r="F1896" s="84" t="str">
        <x:v>Normal</x:v>
      </x:c>
      <x:c r="G1896" s="93" t="n">
        <x:v>145.03</x:v>
      </x:c>
      <x:c r="H1896" s="85" t="str">
        <x:v>Diagnóstico e execução</x:v>
      </x:c>
    </x:row>
    <x:row r="1897">
      <x:c r="A1897" s="83" t="n">
        <x:v>1896</x:v>
      </x:c>
      <x:c r="B1897" s="84" t="n">
        <x:v>1117</x:v>
      </x:c>
      <x:c r="C1897" s="84" t="n">
        <x:v>36</x:v>
      </x:c>
      <x:c r="D1897" s="89" t="n">
        <x:v>45104</x:v>
      </x:c>
      <x:c r="E1897" s="84" t="n">
        <x:v>1.2</x:v>
      </x:c>
      <x:c r="F1897" s="84" t="str">
        <x:v>Normal</x:v>
      </x:c>
      <x:c r="G1897" s="93" t="n">
        <x:v>35.59</x:v>
      </x:c>
      <x:c r="H1897" s="85" t="str">
        <x:v>Diagnóstico e execução</x:v>
      </x:c>
    </x:row>
    <x:row r="1898">
      <x:c r="A1898" s="83" t="n">
        <x:v>1897</x:v>
      </x:c>
      <x:c r="B1898" s="84" t="n">
        <x:v>1117</x:v>
      </x:c>
      <x:c r="C1898" s="84" t="n">
        <x:v>5</x:v>
      </x:c>
      <x:c r="D1898" s="89" t="n">
        <x:v>45104</x:v>
      </x:c>
      <x:c r="E1898" s="84" t="n">
        <x:v>7.2</x:v>
      </x:c>
      <x:c r="F1898" s="84" t="str">
        <x:v>Normal</x:v>
      </x:c>
      <x:c r="G1898" s="93" t="n">
        <x:v>207.5</x:v>
      </x:c>
      <x:c r="H1898" s="85" t="str">
        <x:v>Diagnóstico e execução</x:v>
      </x:c>
    </x:row>
    <x:row r="1899">
      <x:c r="A1899" s="83" t="n">
        <x:v>1898</x:v>
      </x:c>
      <x:c r="B1899" s="84" t="n">
        <x:v>1117</x:v>
      </x:c>
      <x:c r="C1899" s="84" t="n">
        <x:v>41</x:v>
      </x:c>
      <x:c r="D1899" s="89" t="n">
        <x:v>45104</x:v>
      </x:c>
      <x:c r="E1899" s="84" t="n">
        <x:v>2.2</x:v>
      </x:c>
      <x:c r="F1899" s="84" t="str">
        <x:v>Normal</x:v>
      </x:c>
      <x:c r="G1899" s="93" t="n">
        <x:v>111.28</x:v>
      </x:c>
      <x:c r="H1899" s="85" t="str">
        <x:v>Diagnóstico e execução</x:v>
      </x:c>
    </x:row>
    <x:row r="1900">
      <x:c r="A1900" s="83" t="n">
        <x:v>1899</x:v>
      </x:c>
      <x:c r="B1900" s="84" t="n">
        <x:v>1118</x:v>
      </x:c>
      <x:c r="C1900" s="84" t="n">
        <x:v>32</x:v>
      </x:c>
      <x:c r="D1900" s="89" t="n">
        <x:v>45317</x:v>
      </x:c>
      <x:c r="E1900" s="84" t="n">
        <x:v>5.2</x:v>
      </x:c>
      <x:c r="F1900" s="84" t="str">
        <x:v>Normal</x:v>
      </x:c>
      <x:c r="G1900" s="93" t="n">
        <x:v>226.98</x:v>
      </x:c>
      <x:c r="H1900" s="85" t="str">
        <x:v>Diagnóstico e execução</x:v>
      </x:c>
    </x:row>
    <x:row r="1901">
      <x:c r="A1901" s="83" t="n">
        <x:v>1900</x:v>
      </x:c>
      <x:c r="B1901" s="84" t="n">
        <x:v>1118</x:v>
      </x:c>
      <x:c r="C1901" s="84" t="n">
        <x:v>28</x:v>
      </x:c>
      <x:c r="D1901" s="89" t="n">
        <x:v>45317</x:v>
      </x:c>
      <x:c r="E1901" s="84" t="n">
        <x:v>7.5</x:v>
      </x:c>
      <x:c r="F1901" s="84" t="str">
        <x:v>Normal</x:v>
      </x:c>
      <x:c r="G1901" s="93" t="n">
        <x:v>282.15</x:v>
      </x:c>
      <x:c r="H1901" s="85" t="str">
        <x:v>Diagnóstico e execução</x:v>
      </x:c>
    </x:row>
    <x:row r="1902">
      <x:c r="A1902" s="83" t="n">
        <x:v>1901</x:v>
      </x:c>
      <x:c r="B1902" s="84" t="n">
        <x:v>1118</x:v>
      </x:c>
      <x:c r="C1902" s="84" t="n">
        <x:v>18</x:v>
      </x:c>
      <x:c r="D1902" s="89" t="n">
        <x:v>45317</x:v>
      </x:c>
      <x:c r="E1902" s="84" t="n">
        <x:v>3.2</x:v>
      </x:c>
      <x:c r="F1902" s="84" t="str">
        <x:v>Normal</x:v>
      </x:c>
      <x:c r="G1902" s="93" t="n">
        <x:v>201.89</x:v>
      </x:c>
      <x:c r="H1902" s="85" t="str">
        <x:v>Diagnóstico e execução</x:v>
      </x:c>
    </x:row>
    <x:row r="1903">
      <x:c r="A1903" s="83" t="n">
        <x:v>1902</x:v>
      </x:c>
      <x:c r="B1903" s="84" t="n">
        <x:v>1120</x:v>
      </x:c>
      <x:c r="C1903" s="84" t="n">
        <x:v>31</x:v>
      </x:c>
      <x:c r="D1903" s="89" t="n">
        <x:v>45028</x:v>
      </x:c>
      <x:c r="E1903" s="84" t="n">
        <x:v>7.1</x:v>
      </x:c>
      <x:c r="F1903" s="84" t="str">
        <x:v>Normal</x:v>
      </x:c>
      <x:c r="G1903" s="93" t="n">
        <x:v>347.19</x:v>
      </x:c>
      <x:c r="H1903" s="85" t="str">
        <x:v>Diagnóstico e execução</x:v>
      </x:c>
    </x:row>
    <x:row r="1904">
      <x:c r="A1904" s="83" t="n">
        <x:v>1903</x:v>
      </x:c>
      <x:c r="B1904" s="84" t="n">
        <x:v>1120</x:v>
      </x:c>
      <x:c r="C1904" s="84" t="n">
        <x:v>31</x:v>
      </x:c>
      <x:c r="D1904" s="89" t="n">
        <x:v>45028</x:v>
      </x:c>
      <x:c r="E1904" s="84" t="n">
        <x:v>6.6</x:v>
      </x:c>
      <x:c r="F1904" s="84" t="str">
        <x:v>Normal</x:v>
      </x:c>
      <x:c r="G1904" s="93" t="n">
        <x:v>322.74</x:v>
      </x:c>
      <x:c r="H1904" s="85" t="str">
        <x:v>Diagnóstico e execução</x:v>
      </x:c>
    </x:row>
    <x:row r="1905">
      <x:c r="A1905" s="83" t="n">
        <x:v>1904</x:v>
      </x:c>
      <x:c r="B1905" s="84" t="n">
        <x:v>1121</x:v>
      </x:c>
      <x:c r="C1905" s="84" t="n">
        <x:v>7</x:v>
      </x:c>
      <x:c r="D1905" s="89" t="n">
        <x:v>45725</x:v>
      </x:c>
      <x:c r="E1905" s="84" t="n">
        <x:v>2.6</x:v>
      </x:c>
      <x:c r="F1905" s="84" t="str">
        <x:v>Normal</x:v>
      </x:c>
      <x:c r="G1905" s="93" t="n">
        <x:v>151.35</x:v>
      </x:c>
      <x:c r="H1905" s="85" t="str">
        <x:v>Diagnóstico e execução</x:v>
      </x:c>
    </x:row>
    <x:row r="1906">
      <x:c r="A1906" s="83" t="n">
        <x:v>1905</x:v>
      </x:c>
      <x:c r="B1906" s="84" t="n">
        <x:v>1121</x:v>
      </x:c>
      <x:c r="C1906" s="84" t="n">
        <x:v>40</x:v>
      </x:c>
      <x:c r="D1906" s="89" t="n">
        <x:v>45725</x:v>
      </x:c>
      <x:c r="E1906" s="84" t="n">
        <x:v>3.8</x:v>
      </x:c>
      <x:c r="F1906" s="84" t="str">
        <x:v>Normal</x:v>
      </x:c>
      <x:c r="G1906" s="93" t="n">
        <x:v>187.8</x:v>
      </x:c>
      <x:c r="H1906" s="85" t="str">
        <x:v>Diagnóstico e execução</x:v>
      </x:c>
    </x:row>
    <x:row r="1907">
      <x:c r="A1907" s="83" t="n">
        <x:v>1906</x:v>
      </x:c>
      <x:c r="B1907" s="84" t="n">
        <x:v>1121</x:v>
      </x:c>
      <x:c r="C1907" s="84" t="n">
        <x:v>27</x:v>
      </x:c>
      <x:c r="D1907" s="89" t="n">
        <x:v>45725</x:v>
      </x:c>
      <x:c r="E1907" s="84" t="n">
        <x:v>0.9</x:v>
      </x:c>
      <x:c r="F1907" s="84" t="str">
        <x:v>Normal</x:v>
      </x:c>
      <x:c r="G1907" s="93" t="n">
        <x:v>54.89</x:v>
      </x:c>
      <x:c r="H1907" s="85" t="str">
        <x:v>Diagnóstico e execução</x:v>
      </x:c>
    </x:row>
    <x:row r="1908">
      <x:c r="A1908" s="83" t="n">
        <x:v>1907</x:v>
      </x:c>
      <x:c r="B1908" s="84" t="n">
        <x:v>1123</x:v>
      </x:c>
      <x:c r="C1908" s="84" t="n">
        <x:v>34</x:v>
      </x:c>
      <x:c r="D1908" s="89" t="n">
        <x:v>45759</x:v>
      </x:c>
      <x:c r="E1908" s="84" t="n">
        <x:v>5</x:v>
      </x:c>
      <x:c r="F1908" s="84" t="str">
        <x:v>Normal</x:v>
      </x:c>
      <x:c r="G1908" s="93" t="n">
        <x:v>216.15</x:v>
      </x:c>
      <x:c r="H1908" s="85" t="str">
        <x:v>Diagnóstico e execução</x:v>
      </x:c>
    </x:row>
    <x:row r="1909">
      <x:c r="A1909" s="83" t="n">
        <x:v>1908</x:v>
      </x:c>
      <x:c r="B1909" s="84" t="n">
        <x:v>1123</x:v>
      </x:c>
      <x:c r="C1909" s="84" t="n">
        <x:v>17</x:v>
      </x:c>
      <x:c r="D1909" s="89" t="n">
        <x:v>45759</x:v>
      </x:c>
      <x:c r="E1909" s="84" t="n">
        <x:v>2.6</x:v>
      </x:c>
      <x:c r="F1909" s="84" t="str">
        <x:v>Normal</x:v>
      </x:c>
      <x:c r="G1909" s="93" t="n">
        <x:v>145.03</x:v>
      </x:c>
      <x:c r="H1909" s="85" t="str">
        <x:v>Diagnóstico e execução</x:v>
      </x:c>
    </x:row>
    <x:row r="1910">
      <x:c r="A1910" s="83" t="n">
        <x:v>1909</x:v>
      </x:c>
      <x:c r="B1910" s="84" t="n">
        <x:v>1125</x:v>
      </x:c>
      <x:c r="C1910" s="84" t="n">
        <x:v>26</x:v>
      </x:c>
      <x:c r="D1910" s="89" t="n">
        <x:v>45153</x:v>
      </x:c>
      <x:c r="E1910" s="84" t="n">
        <x:v>5.8</x:v>
      </x:c>
      <x:c r="F1910" s="84" t="str">
        <x:v>Normal</x:v>
      </x:c>
      <x:c r="G1910" s="93" t="n">
        <x:v>226.9</x:v>
      </x:c>
      <x:c r="H1910" s="85" t="str">
        <x:v>Diagnóstico e execução</x:v>
      </x:c>
    </x:row>
    <x:row r="1911">
      <x:c r="A1911" s="83" t="n">
        <x:v>1910</x:v>
      </x:c>
      <x:c r="B1911" s="84" t="n">
        <x:v>1126</x:v>
      </x:c>
      <x:c r="C1911" s="84" t="n">
        <x:v>18</x:v>
      </x:c>
      <x:c r="D1911" s="89" t="n">
        <x:v>45122</x:v>
      </x:c>
      <x:c r="E1911" s="84" t="n">
        <x:v>1.6</x:v>
      </x:c>
      <x:c r="F1911" s="84" t="str">
        <x:v>Normal</x:v>
      </x:c>
      <x:c r="G1911" s="93" t="n">
        <x:v>100.94</x:v>
      </x:c>
      <x:c r="H1911" s="85" t="str">
        <x:v>Diagnóstico e execução</x:v>
      </x:c>
    </x:row>
    <x:row r="1912">
      <x:c r="A1912" s="83" t="n">
        <x:v>1911</x:v>
      </x:c>
      <x:c r="B1912" s="84" t="n">
        <x:v>1126</x:v>
      </x:c>
      <x:c r="C1912" s="84" t="n">
        <x:v>32</x:v>
      </x:c>
      <x:c r="D1912" s="89" t="n">
        <x:v>45122</x:v>
      </x:c>
      <x:c r="E1912" s="84" t="n">
        <x:v>1.8</x:v>
      </x:c>
      <x:c r="F1912" s="84" t="str">
        <x:v>Normal</x:v>
      </x:c>
      <x:c r="G1912" s="93" t="n">
        <x:v>78.57</x:v>
      </x:c>
      <x:c r="H1912" s="85" t="str">
        <x:v>Diagnóstico e execução</x:v>
      </x:c>
    </x:row>
    <x:row r="1913">
      <x:c r="A1913" s="83" t="n">
        <x:v>1912</x:v>
      </x:c>
      <x:c r="B1913" s="84" t="n">
        <x:v>1126</x:v>
      </x:c>
      <x:c r="C1913" s="84" t="n">
        <x:v>29</x:v>
      </x:c>
      <x:c r="D1913" s="89" t="n">
        <x:v>45122</x:v>
      </x:c>
      <x:c r="E1913" s="84" t="n">
        <x:v>1.5</x:v>
      </x:c>
      <x:c r="F1913" s="84" t="str">
        <x:v>Normal</x:v>
      </x:c>
      <x:c r="G1913" s="93" t="n">
        <x:v>74.28</x:v>
      </x:c>
      <x:c r="H1913" s="85" t="str">
        <x:v>Diagnóstico e execução</x:v>
      </x:c>
    </x:row>
    <x:row r="1914">
      <x:c r="A1914" s="83" t="n">
        <x:v>1913</x:v>
      </x:c>
      <x:c r="B1914" s="84" t="n">
        <x:v>1127</x:v>
      </x:c>
      <x:c r="C1914" s="84" t="n">
        <x:v>41</x:v>
      </x:c>
      <x:c r="D1914" s="89" t="n">
        <x:v>45712</x:v>
      </x:c>
      <x:c r="E1914" s="84" t="n">
        <x:v>6.9</x:v>
      </x:c>
      <x:c r="F1914" s="84" t="str">
        <x:v>Normal</x:v>
      </x:c>
      <x:c r="G1914" s="93" t="n">
        <x:v>349</x:v>
      </x:c>
      <x:c r="H1914" s="85" t="str">
        <x:v>Diagnóstico e execução</x:v>
      </x:c>
    </x:row>
    <x:row r="1915">
      <x:c r="A1915" s="83" t="n">
        <x:v>1914</x:v>
      </x:c>
      <x:c r="B1915" s="84" t="n">
        <x:v>1128</x:v>
      </x:c>
      <x:c r="C1915" s="84" t="n">
        <x:v>26</x:v>
      </x:c>
      <x:c r="D1915" s="89" t="n">
        <x:v>45851</x:v>
      </x:c>
      <x:c r="E1915" s="84" t="n">
        <x:v>6.2</x:v>
      </x:c>
      <x:c r="F1915" s="84" t="str">
        <x:v>Normal</x:v>
      </x:c>
      <x:c r="G1915" s="93" t="n">
        <x:v>242.54</x:v>
      </x:c>
      <x:c r="H1915" s="85" t="str">
        <x:v>Diagnóstico e execução</x:v>
      </x:c>
    </x:row>
    <x:row r="1916">
      <x:c r="A1916" s="83" t="n">
        <x:v>1915</x:v>
      </x:c>
      <x:c r="B1916" s="84" t="n">
        <x:v>1129</x:v>
      </x:c>
      <x:c r="C1916" s="84" t="n">
        <x:v>7</x:v>
      </x:c>
      <x:c r="D1916" s="89" t="n">
        <x:v>45326</x:v>
      </x:c>
      <x:c r="E1916" s="84" t="n">
        <x:v>5.9</x:v>
      </x:c>
      <x:c r="F1916" s="84" t="str">
        <x:v>Normal</x:v>
      </x:c>
      <x:c r="G1916" s="93" t="n">
        <x:v>343.44</x:v>
      </x:c>
      <x:c r="H1916" s="85" t="str">
        <x:v>Diagnóstico e execução</x:v>
      </x:c>
    </x:row>
    <x:row r="1917">
      <x:c r="A1917" s="83" t="n">
        <x:v>1916</x:v>
      </x:c>
      <x:c r="B1917" s="84" t="n">
        <x:v>1129</x:v>
      </x:c>
      <x:c r="C1917" s="84" t="n">
        <x:v>29</x:v>
      </x:c>
      <x:c r="D1917" s="89" t="n">
        <x:v>45326</x:v>
      </x:c>
      <x:c r="E1917" s="84" t="n">
        <x:v>2.9</x:v>
      </x:c>
      <x:c r="F1917" s="84" t="str">
        <x:v>Normal</x:v>
      </x:c>
      <x:c r="G1917" s="93" t="n">
        <x:v>143.61</x:v>
      </x:c>
      <x:c r="H1917" s="85" t="str">
        <x:v>Diagnóstico e execução</x:v>
      </x:c>
    </x:row>
    <x:row r="1918">
      <x:c r="A1918" s="83" t="n">
        <x:v>1917</x:v>
      </x:c>
      <x:c r="B1918" s="84" t="n">
        <x:v>1130</x:v>
      </x:c>
      <x:c r="C1918" s="84" t="n">
        <x:v>30</x:v>
      </x:c>
      <x:c r="D1918" s="89" t="n">
        <x:v>45812</x:v>
      </x:c>
      <x:c r="E1918" s="84" t="n">
        <x:v>7.3</x:v>
      </x:c>
      <x:c r="F1918" s="84" t="str">
        <x:v>Normal</x:v>
      </x:c>
      <x:c r="G1918" s="93" t="n">
        <x:v>302.29</x:v>
      </x:c>
      <x:c r="H1918" s="85" t="str">
        <x:v>Diagnóstico e execução</x:v>
      </x:c>
    </x:row>
    <x:row r="1919">
      <x:c r="A1919" s="83" t="n">
        <x:v>1918</x:v>
      </x:c>
      <x:c r="B1919" s="84" t="n">
        <x:v>1130</x:v>
      </x:c>
      <x:c r="C1919" s="84" t="n">
        <x:v>3</x:v>
      </x:c>
      <x:c r="D1919" s="89" t="n">
        <x:v>45812</x:v>
      </x:c>
      <x:c r="E1919" s="84" t="n">
        <x:v>4.1</x:v>
      </x:c>
      <x:c r="F1919" s="84" t="str">
        <x:v>Normal</x:v>
      </x:c>
      <x:c r="G1919" s="93" t="n">
        <x:v>201.88</x:v>
      </x:c>
      <x:c r="H1919" s="85" t="str">
        <x:v>Diagnóstico e execução</x:v>
      </x:c>
    </x:row>
    <x:row r="1920">
      <x:c r="A1920" s="83" t="n">
        <x:v>1919</x:v>
      </x:c>
      <x:c r="B1920" s="84" t="n">
        <x:v>1130</x:v>
      </x:c>
      <x:c r="C1920" s="84" t="n">
        <x:v>26</x:v>
      </x:c>
      <x:c r="D1920" s="89" t="n">
        <x:v>45812</x:v>
      </x:c>
      <x:c r="E1920" s="84" t="n">
        <x:v>4.5</x:v>
      </x:c>
      <x:c r="F1920" s="84" t="str">
        <x:v>Normal</x:v>
      </x:c>
      <x:c r="G1920" s="93" t="n">
        <x:v>176.04</x:v>
      </x:c>
      <x:c r="H1920" s="85" t="str">
        <x:v>Diagnóstico e execução</x:v>
      </x:c>
    </x:row>
    <x:row r="1921">
      <x:c r="A1921" s="83" t="n">
        <x:v>1920</x:v>
      </x:c>
      <x:c r="B1921" s="84" t="n">
        <x:v>1131</x:v>
      </x:c>
      <x:c r="C1921" s="84" t="n">
        <x:v>29</x:v>
      </x:c>
      <x:c r="D1921" s="89" t="n">
        <x:v>45875</x:v>
      </x:c>
      <x:c r="E1921" s="84" t="n">
        <x:v>5.2</x:v>
      </x:c>
      <x:c r="F1921" s="84" t="str">
        <x:v>Normal</x:v>
      </x:c>
      <x:c r="G1921" s="93" t="n">
        <x:v>257.5</x:v>
      </x:c>
      <x:c r="H1921" s="85" t="str">
        <x:v>Diagnóstico e execução</x:v>
      </x:c>
    </x:row>
    <x:row r="1922">
      <x:c r="A1922" s="83" t="n">
        <x:v>1921</x:v>
      </x:c>
      <x:c r="B1922" s="84" t="n">
        <x:v>1131</x:v>
      </x:c>
      <x:c r="C1922" s="84" t="n">
        <x:v>27</x:v>
      </x:c>
      <x:c r="D1922" s="89" t="n">
        <x:v>45875</x:v>
      </x:c>
      <x:c r="E1922" s="84" t="n">
        <x:v>1.3</x:v>
      </x:c>
      <x:c r="F1922" s="84" t="str">
        <x:v>Normal</x:v>
      </x:c>
      <x:c r="G1922" s="93" t="n">
        <x:v>79.29</x:v>
      </x:c>
      <x:c r="H1922" s="85" t="str">
        <x:v>Diagnóstico e execução</x:v>
      </x:c>
    </x:row>
    <x:row r="1923">
      <x:c r="A1923" s="83" t="n">
        <x:v>1922</x:v>
      </x:c>
      <x:c r="B1923" s="84" t="n">
        <x:v>1131</x:v>
      </x:c>
      <x:c r="C1923" s="84" t="n">
        <x:v>43</x:v>
      </x:c>
      <x:c r="D1923" s="89" t="n">
        <x:v>45875</x:v>
      </x:c>
      <x:c r="E1923" s="84" t="n">
        <x:v>2.5</x:v>
      </x:c>
      <x:c r="F1923" s="84" t="str">
        <x:v>Normal</x:v>
      </x:c>
      <x:c r="G1923" s="93" t="n">
        <x:v>136.65</x:v>
      </x:c>
      <x:c r="H1923" s="85" t="str">
        <x:v>Diagnóstico e execução</x:v>
      </x:c>
    </x:row>
    <x:row r="1924">
      <x:c r="A1924" s="83" t="n">
        <x:v>1923</x:v>
      </x:c>
      <x:c r="B1924" s="84" t="n">
        <x:v>1132</x:v>
      </x:c>
      <x:c r="C1924" s="84" t="n">
        <x:v>11</x:v>
      </x:c>
      <x:c r="D1924" s="89" t="n">
        <x:v>46020</x:v>
      </x:c>
      <x:c r="E1924" s="84" t="n">
        <x:v>2.2</x:v>
      </x:c>
      <x:c r="F1924" s="84" t="str">
        <x:v>Normal</x:v>
      </x:c>
      <x:c r="G1924" s="93" t="n">
        <x:v>91.7</x:v>
      </x:c>
      <x:c r="H1924" s="85" t="str">
        <x:v>Diagnóstico e execução</x:v>
      </x:c>
    </x:row>
    <x:row r="1925">
      <x:c r="A1925" s="83" t="n">
        <x:v>1924</x:v>
      </x:c>
      <x:c r="B1925" s="84" t="n">
        <x:v>1132</x:v>
      </x:c>
      <x:c r="C1925" s="84" t="n">
        <x:v>45</x:v>
      </x:c>
      <x:c r="D1925" s="89" t="n">
        <x:v>46020</x:v>
      </x:c>
      <x:c r="E1925" s="84" t="n">
        <x:v>3</x:v>
      </x:c>
      <x:c r="F1925" s="84" t="str">
        <x:v>Normal</x:v>
      </x:c>
      <x:c r="G1925" s="93" t="n">
        <x:v>160.71</x:v>
      </x:c>
      <x:c r="H1925" s="85" t="str">
        <x:v>Diagnóstico e execução</x:v>
      </x:c>
    </x:row>
    <x:row r="1926">
      <x:c r="A1926" s="83" t="n">
        <x:v>1925</x:v>
      </x:c>
      <x:c r="B1926" s="84" t="n">
        <x:v>1133</x:v>
      </x:c>
      <x:c r="C1926" s="84" t="n">
        <x:v>35</x:v>
      </x:c>
      <x:c r="D1926" s="89" t="n">
        <x:v>45998</x:v>
      </x:c>
      <x:c r="E1926" s="84" t="n">
        <x:v>6.8</x:v>
      </x:c>
      <x:c r="F1926" s="84" t="str">
        <x:v>Normal</x:v>
      </x:c>
      <x:c r="G1926" s="93" t="n">
        <x:v>334.49</x:v>
      </x:c>
      <x:c r="H1926" s="85" t="str">
        <x:v>Diagnóstico e execução</x:v>
      </x:c>
    </x:row>
    <x:row r="1927">
      <x:c r="A1927" s="83" t="n">
        <x:v>1926</x:v>
      </x:c>
      <x:c r="B1927" s="84" t="n">
        <x:v>1133</x:v>
      </x:c>
      <x:c r="C1927" s="84" t="n">
        <x:v>44</x:v>
      </x:c>
      <x:c r="D1927" s="89" t="n">
        <x:v>45998</x:v>
      </x:c>
      <x:c r="E1927" s="84" t="n">
        <x:v>4.1</x:v>
      </x:c>
      <x:c r="F1927" s="84" t="str">
        <x:v>Normal</x:v>
      </x:c>
      <x:c r="G1927" s="93" t="n">
        <x:v>114.96</x:v>
      </x:c>
      <x:c r="H1927" s="85" t="str">
        <x:v>Diagnóstico e execução</x:v>
      </x:c>
    </x:row>
    <x:row r="1928">
      <x:c r="A1928" s="83" t="n">
        <x:v>1927</x:v>
      </x:c>
      <x:c r="B1928" s="84" t="n">
        <x:v>1133</x:v>
      </x:c>
      <x:c r="C1928" s="84" t="n">
        <x:v>38</x:v>
      </x:c>
      <x:c r="D1928" s="89" t="n">
        <x:v>45998</x:v>
      </x:c>
      <x:c r="E1928" s="84" t="n">
        <x:v>7</x:v>
      </x:c>
      <x:c r="F1928" s="84" t="str">
        <x:v>Normal</x:v>
      </x:c>
      <x:c r="G1928" s="93" t="n">
        <x:v>235.69</x:v>
      </x:c>
      <x:c r="H1928" s="85" t="str">
        <x:v>Diagnóstico e execução</x:v>
      </x:c>
    </x:row>
    <x:row r="1929">
      <x:c r="A1929" s="83" t="n">
        <x:v>1928</x:v>
      </x:c>
      <x:c r="B1929" s="84" t="n">
        <x:v>1134</x:v>
      </x:c>
      <x:c r="C1929" s="84" t="n">
        <x:v>38</x:v>
      </x:c>
      <x:c r="D1929" s="89" t="n">
        <x:v>45830</x:v>
      </x:c>
      <x:c r="E1929" s="84" t="n">
        <x:v>5.5</x:v>
      </x:c>
      <x:c r="F1929" s="84" t="str">
        <x:v>Normal</x:v>
      </x:c>
      <x:c r="G1929" s="93" t="n">
        <x:v>185.19</x:v>
      </x:c>
      <x:c r="H1929" s="85" t="str">
        <x:v>Diagnóstico e execução</x:v>
      </x:c>
    </x:row>
    <x:row r="1930">
      <x:c r="A1930" s="83" t="n">
        <x:v>1929</x:v>
      </x:c>
      <x:c r="B1930" s="84" t="n">
        <x:v>1134</x:v>
      </x:c>
      <x:c r="C1930" s="84" t="n">
        <x:v>41</x:v>
      </x:c>
      <x:c r="D1930" s="89" t="n">
        <x:v>45830</x:v>
      </x:c>
      <x:c r="E1930" s="84" t="n">
        <x:v>4.2</x:v>
      </x:c>
      <x:c r="F1930" s="84" t="str">
        <x:v>Normal</x:v>
      </x:c>
      <x:c r="G1930" s="93" t="n">
        <x:v>212.44</x:v>
      </x:c>
      <x:c r="H1930" s="85" t="str">
        <x:v>Diagnóstico e execução</x:v>
      </x:c>
    </x:row>
    <x:row r="1931">
      <x:c r="A1931" s="83" t="n">
        <x:v>1930</x:v>
      </x:c>
      <x:c r="B1931" s="84" t="n">
        <x:v>1136</x:v>
      </x:c>
      <x:c r="C1931" s="84" t="n">
        <x:v>28</x:v>
      </x:c>
      <x:c r="D1931" s="89" t="n">
        <x:v>45854</x:v>
      </x:c>
      <x:c r="E1931" s="84" t="n">
        <x:v>0.7</x:v>
      </x:c>
      <x:c r="F1931" s="84" t="str">
        <x:v>Normal</x:v>
      </x:c>
      <x:c r="G1931" s="93" t="n">
        <x:v>26.33</x:v>
      </x:c>
      <x:c r="H1931" s="85" t="str">
        <x:v>Diagnóstico e execução</x:v>
      </x:c>
    </x:row>
    <x:row r="1932">
      <x:c r="A1932" s="83" t="n">
        <x:v>1931</x:v>
      </x:c>
      <x:c r="B1932" s="84" t="n">
        <x:v>1137</x:v>
      </x:c>
      <x:c r="C1932" s="84" t="n">
        <x:v>34</x:v>
      </x:c>
      <x:c r="D1932" s="89" t="n">
        <x:v>45943</x:v>
      </x:c>
      <x:c r="E1932" s="84" t="n">
        <x:v>8</x:v>
      </x:c>
      <x:c r="F1932" s="84" t="str">
        <x:v>Normal</x:v>
      </x:c>
      <x:c r="G1932" s="93" t="n">
        <x:v>345.84</x:v>
      </x:c>
      <x:c r="H1932" s="85" t="str">
        <x:v>Diagnóstico e execução</x:v>
      </x:c>
    </x:row>
    <x:row r="1933">
      <x:c r="A1933" s="83" t="n">
        <x:v>1932</x:v>
      </x:c>
      <x:c r="B1933" s="84" t="n">
        <x:v>1137</x:v>
      </x:c>
      <x:c r="C1933" s="84" t="n">
        <x:v>2</x:v>
      </x:c>
      <x:c r="D1933" s="89" t="n">
        <x:v>45943</x:v>
      </x:c>
      <x:c r="E1933" s="84" t="n">
        <x:v>7.8</x:v>
      </x:c>
      <x:c r="F1933" s="84" t="str">
        <x:v>Normal</x:v>
      </x:c>
      <x:c r="G1933" s="93" t="n">
        <x:v>290.63</x:v>
      </x:c>
      <x:c r="H1933" s="85" t="str">
        <x:v>Diagnóstico e execução</x:v>
      </x:c>
    </x:row>
    <x:row r="1934">
      <x:c r="A1934" s="83" t="n">
        <x:v>1933</x:v>
      </x:c>
      <x:c r="B1934" s="84" t="n">
        <x:v>1137</x:v>
      </x:c>
      <x:c r="C1934" s="84" t="n">
        <x:v>44</x:v>
      </x:c>
      <x:c r="D1934" s="89" t="n">
        <x:v>45943</x:v>
      </x:c>
      <x:c r="E1934" s="84" t="n">
        <x:v>2.1</x:v>
      </x:c>
      <x:c r="F1934" s="84" t="str">
        <x:v>Normal</x:v>
      </x:c>
      <x:c r="G1934" s="93" t="n">
        <x:v>58.88</x:v>
      </x:c>
      <x:c r="H1934" s="85" t="str">
        <x:v>Diagnóstico e execução</x:v>
      </x:c>
    </x:row>
    <x:row r="1935">
      <x:c r="A1935" s="83" t="n">
        <x:v>1934</x:v>
      </x:c>
      <x:c r="B1935" s="84" t="n">
        <x:v>1138</x:v>
      </x:c>
      <x:c r="C1935" s="84" t="n">
        <x:v>3</x:v>
      </x:c>
      <x:c r="D1935" s="89" t="n">
        <x:v>45574</x:v>
      </x:c>
      <x:c r="E1935" s="84" t="n">
        <x:v>4.2</x:v>
      </x:c>
      <x:c r="F1935" s="84" t="str">
        <x:v>Normal</x:v>
      </x:c>
      <x:c r="G1935" s="93" t="n">
        <x:v>206.81</x:v>
      </x:c>
      <x:c r="H1935" s="85" t="str">
        <x:v>Diagnóstico e execução</x:v>
      </x:c>
    </x:row>
    <x:row r="1936">
      <x:c r="A1936" s="83" t="n">
        <x:v>1935</x:v>
      </x:c>
      <x:c r="B1936" s="84" t="n">
        <x:v>1138</x:v>
      </x:c>
      <x:c r="C1936" s="84" t="n">
        <x:v>37</x:v>
      </x:c>
      <x:c r="D1936" s="89" t="n">
        <x:v>45574</x:v>
      </x:c>
      <x:c r="E1936" s="84" t="n">
        <x:v>2</x:v>
      </x:c>
      <x:c r="F1936" s="84" t="str">
        <x:v>Normal</x:v>
      </x:c>
      <x:c r="G1936" s="93" t="n">
        <x:v>117.94</x:v>
      </x:c>
      <x:c r="H1936" s="85" t="str">
        <x:v>Diagnóstico e execução</x:v>
      </x:c>
    </x:row>
    <x:row r="1937">
      <x:c r="A1937" s="83" t="n">
        <x:v>1936</x:v>
      </x:c>
      <x:c r="B1937" s="84" t="n">
        <x:v>1139</x:v>
      </x:c>
      <x:c r="C1937" s="84" t="n">
        <x:v>13</x:v>
      </x:c>
      <x:c r="D1937" s="89" t="n">
        <x:v>45762</x:v>
      </x:c>
      <x:c r="E1937" s="84" t="n">
        <x:v>1.5</x:v>
      </x:c>
      <x:c r="F1937" s="84" t="str">
        <x:v>Normal</x:v>
      </x:c>
      <x:c r="G1937" s="93" t="n">
        <x:v>50.82</x:v>
      </x:c>
      <x:c r="H1937" s="85" t="str">
        <x:v>Diagnóstico e execução</x:v>
      </x:c>
    </x:row>
    <x:row r="1938">
      <x:c r="A1938" s="83" t="n">
        <x:v>1937</x:v>
      </x:c>
      <x:c r="B1938" s="84" t="n">
        <x:v>1140</x:v>
      </x:c>
      <x:c r="C1938" s="84" t="n">
        <x:v>44</x:v>
      </x:c>
      <x:c r="D1938" s="89" t="n">
        <x:v>45696</x:v>
      </x:c>
      <x:c r="E1938" s="84" t="n">
        <x:v>6.6</x:v>
      </x:c>
      <x:c r="F1938" s="84" t="str">
        <x:v>Normal</x:v>
      </x:c>
      <x:c r="G1938" s="93" t="n">
        <x:v>185.06</x:v>
      </x:c>
      <x:c r="H1938" s="85" t="str">
        <x:v>Diagnóstico e execução</x:v>
      </x:c>
    </x:row>
    <x:row r="1939">
      <x:c r="A1939" s="83" t="n">
        <x:v>1938</x:v>
      </x:c>
      <x:c r="B1939" s="84" t="n">
        <x:v>1140</x:v>
      </x:c>
      <x:c r="C1939" s="84" t="n">
        <x:v>14</x:v>
      </x:c>
      <x:c r="D1939" s="89" t="n">
        <x:v>45696</x:v>
      </x:c>
      <x:c r="E1939" s="84" t="n">
        <x:v>5.3</x:v>
      </x:c>
      <x:c r="F1939" s="84" t="str">
        <x:v>Normal</x:v>
      </x:c>
      <x:c r="G1939" s="93" t="n">
        <x:v>300.3</x:v>
      </x:c>
      <x:c r="H1939" s="85" t="str">
        <x:v>Diagnóstico e execução</x:v>
      </x:c>
    </x:row>
    <x:row r="1940">
      <x:c r="A1940" s="83" t="n">
        <x:v>1939</x:v>
      </x:c>
      <x:c r="B1940" s="84" t="n">
        <x:v>1140</x:v>
      </x:c>
      <x:c r="C1940" s="84" t="n">
        <x:v>40</x:v>
      </x:c>
      <x:c r="D1940" s="89" t="n">
        <x:v>45696</x:v>
      </x:c>
      <x:c r="E1940" s="84" t="n">
        <x:v>7.6</x:v>
      </x:c>
      <x:c r="F1940" s="84" t="str">
        <x:v>Normal</x:v>
      </x:c>
      <x:c r="G1940" s="93" t="n">
        <x:v>375.59</x:v>
      </x:c>
      <x:c r="H1940" s="85" t="str">
        <x:v>Diagnóstico e execução</x:v>
      </x:c>
    </x:row>
    <x:row r="1941">
      <x:c r="A1941" s="83" t="n">
        <x:v>1940</x:v>
      </x:c>
      <x:c r="B1941" s="84" t="n">
        <x:v>1141</x:v>
      </x:c>
      <x:c r="C1941" s="84" t="n">
        <x:v>40</x:v>
      </x:c>
      <x:c r="D1941" s="89" t="n">
        <x:v>45861</x:v>
      </x:c>
      <x:c r="E1941" s="84" t="n">
        <x:v>2.9</x:v>
      </x:c>
      <x:c r="F1941" s="84" t="str">
        <x:v>Normal</x:v>
      </x:c>
      <x:c r="G1941" s="93" t="n">
        <x:v>143.32</x:v>
      </x:c>
      <x:c r="H1941" s="85" t="str">
        <x:v>Diagnóstico e execução</x:v>
      </x:c>
    </x:row>
    <x:row r="1942">
      <x:c r="A1942" s="83" t="n">
        <x:v>1941</x:v>
      </x:c>
      <x:c r="B1942" s="84" t="n">
        <x:v>1142</x:v>
      </x:c>
      <x:c r="C1942" s="84" t="n">
        <x:v>20</x:v>
      </x:c>
      <x:c r="D1942" s="89" t="n">
        <x:v>45036</x:v>
      </x:c>
      <x:c r="E1942" s="84" t="n">
        <x:v>7.7</x:v>
      </x:c>
      <x:c r="F1942" s="84" t="str">
        <x:v>Normal</x:v>
      </x:c>
      <x:c r="G1942" s="93" t="n">
        <x:v>258.1</x:v>
      </x:c>
      <x:c r="H1942" s="85" t="str">
        <x:v>Diagnóstico e execução</x:v>
      </x:c>
    </x:row>
    <x:row r="1943">
      <x:c r="A1943" s="83" t="n">
        <x:v>1942</x:v>
      </x:c>
      <x:c r="B1943" s="84" t="n">
        <x:v>1142</x:v>
      </x:c>
      <x:c r="C1943" s="84" t="n">
        <x:v>16</x:v>
      </x:c>
      <x:c r="D1943" s="89" t="n">
        <x:v>45036</x:v>
      </x:c>
      <x:c r="E1943" s="84" t="n">
        <x:v>4.8</x:v>
      </x:c>
      <x:c r="F1943" s="84" t="str">
        <x:v>Normal</x:v>
      </x:c>
      <x:c r="G1943" s="93" t="n">
        <x:v>194.5</x:v>
      </x:c>
      <x:c r="H1943" s="85" t="str">
        <x:v>Diagnóstico e execução</x:v>
      </x:c>
    </x:row>
    <x:row r="1944">
      <x:c r="A1944" s="83" t="n">
        <x:v>1943</x:v>
      </x:c>
      <x:c r="B1944" s="84" t="n">
        <x:v>1142</x:v>
      </x:c>
      <x:c r="C1944" s="84" t="n">
        <x:v>30</x:v>
      </x:c>
      <x:c r="D1944" s="89" t="n">
        <x:v>45036</x:v>
      </x:c>
      <x:c r="E1944" s="84" t="n">
        <x:v>4.2</x:v>
      </x:c>
      <x:c r="F1944" s="84" t="str">
        <x:v>Normal</x:v>
      </x:c>
      <x:c r="G1944" s="93" t="n">
        <x:v>173.92</x:v>
      </x:c>
      <x:c r="H1944" s="85" t="str">
        <x:v>Diagnóstico e execução</x:v>
      </x:c>
    </x:row>
    <x:row r="1945">
      <x:c r="A1945" s="83" t="n">
        <x:v>1944</x:v>
      </x:c>
      <x:c r="B1945" s="84" t="n">
        <x:v>1143</x:v>
      </x:c>
      <x:c r="C1945" s="84" t="n">
        <x:v>14</x:v>
      </x:c>
      <x:c r="D1945" s="89" t="n">
        <x:v>45056</x:v>
      </x:c>
      <x:c r="E1945" s="84" t="n">
        <x:v>6.7</x:v>
      </x:c>
      <x:c r="F1945" s="84" t="str">
        <x:v>Normal</x:v>
      </x:c>
      <x:c r="G1945" s="93" t="n">
        <x:v>379.62</x:v>
      </x:c>
      <x:c r="H1945" s="85" t="str">
        <x:v>Diagnóstico e execução</x:v>
      </x:c>
    </x:row>
    <x:row r="1946">
      <x:c r="A1946" s="83" t="n">
        <x:v>1945</x:v>
      </x:c>
      <x:c r="B1946" s="84" t="n">
        <x:v>1143</x:v>
      </x:c>
      <x:c r="C1946" s="84" t="n">
        <x:v>22</x:v>
      </x:c>
      <x:c r="D1946" s="89" t="n">
        <x:v>45056</x:v>
      </x:c>
      <x:c r="E1946" s="84" t="n">
        <x:v>4.1</x:v>
      </x:c>
      <x:c r="F1946" s="84" t="str">
        <x:v>Normal</x:v>
      </x:c>
      <x:c r="G1946" s="93" t="n">
        <x:v>157.69</x:v>
      </x:c>
      <x:c r="H1946" s="85" t="str">
        <x:v>Diagnóstico e execução</x:v>
      </x:c>
    </x:row>
    <x:row r="1947">
      <x:c r="A1947" s="83" t="n">
        <x:v>1946</x:v>
      </x:c>
      <x:c r="B1947" s="84" t="n">
        <x:v>1144</x:v>
      </x:c>
      <x:c r="C1947" s="84" t="n">
        <x:v>16</x:v>
      </x:c>
      <x:c r="D1947" s="89" t="n">
        <x:v>45411</x:v>
      </x:c>
      <x:c r="E1947" s="84" t="n">
        <x:v>6.4</x:v>
      </x:c>
      <x:c r="F1947" s="84" t="str">
        <x:v>Normal</x:v>
      </x:c>
      <x:c r="G1947" s="93" t="n">
        <x:v>259.33</x:v>
      </x:c>
      <x:c r="H1947" s="85" t="str">
        <x:v>Diagnóstico e execução</x:v>
      </x:c>
    </x:row>
    <x:row r="1948">
      <x:c r="A1948" s="83" t="n">
        <x:v>1947</x:v>
      </x:c>
      <x:c r="B1948" s="84" t="n">
        <x:v>1144</x:v>
      </x:c>
      <x:c r="C1948" s="84" t="n">
        <x:v>33</x:v>
      </x:c>
      <x:c r="D1948" s="89" t="n">
        <x:v>45411</x:v>
      </x:c>
      <x:c r="E1948" s="84" t="n">
        <x:v>3.9</x:v>
      </x:c>
      <x:c r="F1948" s="84" t="str">
        <x:v>Normal</x:v>
      </x:c>
      <x:c r="G1948" s="93" t="n">
        <x:v>134.51</x:v>
      </x:c>
      <x:c r="H1948" s="85" t="str">
        <x:v>Diagnóstico e execução</x:v>
      </x:c>
    </x:row>
    <x:row r="1949">
      <x:c r="A1949" s="83" t="n">
        <x:v>1948</x:v>
      </x:c>
      <x:c r="B1949" s="84" t="n">
        <x:v>1144</x:v>
      </x:c>
      <x:c r="C1949" s="84" t="n">
        <x:v>12</x:v>
      </x:c>
      <x:c r="D1949" s="89" t="n">
        <x:v>45411</x:v>
      </x:c>
      <x:c r="E1949" s="84" t="n">
        <x:v>7.6</x:v>
      </x:c>
      <x:c r="F1949" s="84" t="str">
        <x:v>Normal</x:v>
      </x:c>
      <x:c r="G1949" s="93" t="n">
        <x:v>262.2</x:v>
      </x:c>
      <x:c r="H1949" s="85" t="str">
        <x:v>Diagnóstico e execução</x:v>
      </x:c>
    </x:row>
    <x:row r="1950">
      <x:c r="A1950" s="83" t="n">
        <x:v>1949</x:v>
      </x:c>
      <x:c r="B1950" s="84" t="n">
        <x:v>1146</x:v>
      </x:c>
      <x:c r="C1950" s="84" t="n">
        <x:v>21</x:v>
      </x:c>
      <x:c r="D1950" s="89" t="n">
        <x:v>45581</x:v>
      </x:c>
      <x:c r="E1950" s="84" t="n">
        <x:v>5.4</x:v>
      </x:c>
      <x:c r="F1950" s="84" t="str">
        <x:v>Normal</x:v>
      </x:c>
      <x:c r="G1950" s="93" t="n">
        <x:v>331.72</x:v>
      </x:c>
      <x:c r="H1950" s="85" t="str">
        <x:v>Diagnóstico e execução</x:v>
      </x:c>
    </x:row>
    <x:row r="1951">
      <x:c r="A1951" s="83" t="n">
        <x:v>1950</x:v>
      </x:c>
      <x:c r="B1951" s="84" t="n">
        <x:v>1146</x:v>
      </x:c>
      <x:c r="C1951" s="84" t="n">
        <x:v>22</x:v>
      </x:c>
      <x:c r="D1951" s="89" t="n">
        <x:v>45581</x:v>
      </x:c>
      <x:c r="E1951" s="84" t="n">
        <x:v>4.9</x:v>
      </x:c>
      <x:c r="F1951" s="84" t="str">
        <x:v>Normal</x:v>
      </x:c>
      <x:c r="G1951" s="93" t="n">
        <x:v>188.45</x:v>
      </x:c>
      <x:c r="H1951" s="85" t="str">
        <x:v>Diagnóstico e execução</x:v>
      </x:c>
    </x:row>
    <x:row r="1952">
      <x:c r="A1952" s="83" t="n">
        <x:v>1951</x:v>
      </x:c>
      <x:c r="B1952" s="84" t="n">
        <x:v>1148</x:v>
      </x:c>
      <x:c r="C1952" s="84" t="n">
        <x:v>34</x:v>
      </x:c>
      <x:c r="D1952" s="89" t="n">
        <x:v>45495</x:v>
      </x:c>
      <x:c r="E1952" s="84" t="n">
        <x:v>6</x:v>
      </x:c>
      <x:c r="F1952" s="84" t="str">
        <x:v>Normal</x:v>
      </x:c>
      <x:c r="G1952" s="93" t="n">
        <x:v>259.38</x:v>
      </x:c>
      <x:c r="H1952" s="85" t="str">
        <x:v>Diagnóstico e execução</x:v>
      </x:c>
    </x:row>
    <x:row r="1953">
      <x:c r="A1953" s="83" t="n">
        <x:v>1952</x:v>
      </x:c>
      <x:c r="B1953" s="84" t="n">
        <x:v>1149</x:v>
      </x:c>
      <x:c r="C1953" s="84" t="n">
        <x:v>8</x:v>
      </x:c>
      <x:c r="D1953" s="89" t="n">
        <x:v>45294</x:v>
      </x:c>
      <x:c r="E1953" s="84" t="n">
        <x:v>3.7</x:v>
      </x:c>
      <x:c r="F1953" s="84" t="str">
        <x:v>Normal</x:v>
      </x:c>
      <x:c r="G1953" s="93" t="n">
        <x:v>172.05</x:v>
      </x:c>
      <x:c r="H1953" s="85" t="str">
        <x:v>Diagnóstico e execução</x:v>
      </x:c>
    </x:row>
    <x:row r="1954">
      <x:c r="A1954" s="83" t="n">
        <x:v>1953</x:v>
      </x:c>
      <x:c r="B1954" s="84" t="n">
        <x:v>1150</x:v>
      </x:c>
      <x:c r="C1954" s="84" t="n">
        <x:v>21</x:v>
      </x:c>
      <x:c r="D1954" s="89" t="n">
        <x:v>45957</x:v>
      </x:c>
      <x:c r="E1954" s="84" t="n">
        <x:v>4.5</x:v>
      </x:c>
      <x:c r="F1954" s="84" t="str">
        <x:v>Normal</x:v>
      </x:c>
      <x:c r="G1954" s="93" t="n">
        <x:v>276.44</x:v>
      </x:c>
      <x:c r="H1954" s="85" t="str">
        <x:v>Diagnóstico e execução</x:v>
      </x:c>
    </x:row>
    <x:row r="1955">
      <x:c r="A1955" s="83" t="n">
        <x:v>1954</x:v>
      </x:c>
      <x:c r="B1955" s="84" t="n">
        <x:v>1150</x:v>
      </x:c>
      <x:c r="C1955" s="84" t="n">
        <x:v>43</x:v>
      </x:c>
      <x:c r="D1955" s="89" t="n">
        <x:v>45957</x:v>
      </x:c>
      <x:c r="E1955" s="84" t="n">
        <x:v>1</x:v>
      </x:c>
      <x:c r="F1955" s="84" t="str">
        <x:v>Normal</x:v>
      </x:c>
      <x:c r="G1955" s="93" t="n">
        <x:v>54.66</x:v>
      </x:c>
      <x:c r="H1955" s="85" t="str">
        <x:v>Diagnóstico e execução</x:v>
      </x:c>
    </x:row>
    <x:row r="1956">
      <x:c r="A1956" s="83" t="n">
        <x:v>1955</x:v>
      </x:c>
      <x:c r="B1956" s="84" t="n">
        <x:v>1150</x:v>
      </x:c>
      <x:c r="C1956" s="84" t="n">
        <x:v>22</x:v>
      </x:c>
      <x:c r="D1956" s="89" t="n">
        <x:v>45957</x:v>
      </x:c>
      <x:c r="E1956" s="84" t="n">
        <x:v>5.5</x:v>
      </x:c>
      <x:c r="F1956" s="84" t="str">
        <x:v>Normal</x:v>
      </x:c>
      <x:c r="G1956" s="93" t="n">
        <x:v>211.53</x:v>
      </x:c>
      <x:c r="H1956" s="85" t="str">
        <x:v>Diagnóstico e execução</x:v>
      </x:c>
    </x:row>
    <x:row r="1957">
      <x:c r="A1957" s="83" t="n">
        <x:v>1956</x:v>
      </x:c>
      <x:c r="B1957" s="84" t="n">
        <x:v>1151</x:v>
      </x:c>
      <x:c r="C1957" s="84" t="n">
        <x:v>44</x:v>
      </x:c>
      <x:c r="D1957" s="89" t="n">
        <x:v>45003</x:v>
      </x:c>
      <x:c r="E1957" s="84" t="n">
        <x:v>7.8</x:v>
      </x:c>
      <x:c r="F1957" s="84" t="str">
        <x:v>Normal</x:v>
      </x:c>
      <x:c r="G1957" s="93" t="n">
        <x:v>218.71</x:v>
      </x:c>
      <x:c r="H1957" s="85" t="str">
        <x:v>Diagnóstico e execução</x:v>
      </x:c>
    </x:row>
    <x:row r="1958">
      <x:c r="A1958" s="83" t="n">
        <x:v>1957</x:v>
      </x:c>
      <x:c r="B1958" s="84" t="n">
        <x:v>1152</x:v>
      </x:c>
      <x:c r="C1958" s="84" t="n">
        <x:v>44</x:v>
      </x:c>
      <x:c r="D1958" s="89" t="n">
        <x:v>45479</x:v>
      </x:c>
      <x:c r="E1958" s="84" t="n">
        <x:v>2.4</x:v>
      </x:c>
      <x:c r="F1958" s="84" t="str">
        <x:v>Normal</x:v>
      </x:c>
      <x:c r="G1958" s="93" t="n">
        <x:v>67.3</x:v>
      </x:c>
      <x:c r="H1958" s="85" t="str">
        <x:v>Diagnóstico e execução</x:v>
      </x:c>
    </x:row>
    <x:row r="1959">
      <x:c r="A1959" s="83" t="n">
        <x:v>1958</x:v>
      </x:c>
      <x:c r="B1959" s="84" t="n">
        <x:v>1152</x:v>
      </x:c>
      <x:c r="C1959" s="84" t="n">
        <x:v>5</x:v>
      </x:c>
      <x:c r="D1959" s="89" t="n">
        <x:v>45479</x:v>
      </x:c>
      <x:c r="E1959" s="84" t="n">
        <x:v>6.7</x:v>
      </x:c>
      <x:c r="F1959" s="84" t="str">
        <x:v>Normal</x:v>
      </x:c>
      <x:c r="G1959" s="93" t="n">
        <x:v>193.09</x:v>
      </x:c>
      <x:c r="H1959" s="85" t="str">
        <x:v>Diagnóstico e execução</x:v>
      </x:c>
    </x:row>
    <x:row r="1960">
      <x:c r="A1960" s="83" t="n">
        <x:v>1959</x:v>
      </x:c>
      <x:c r="B1960" s="84" t="n">
        <x:v>1154</x:v>
      </x:c>
      <x:c r="C1960" s="84" t="n">
        <x:v>30</x:v>
      </x:c>
      <x:c r="D1960" s="89" t="n">
        <x:v>45982</x:v>
      </x:c>
      <x:c r="E1960" s="84" t="n">
        <x:v>7.8</x:v>
      </x:c>
      <x:c r="F1960" s="84" t="str">
        <x:v>Normal</x:v>
      </x:c>
      <x:c r="G1960" s="93" t="n">
        <x:v>323</x:v>
      </x:c>
      <x:c r="H1960" s="85" t="str">
        <x:v>Diagnóstico e execução</x:v>
      </x:c>
    </x:row>
    <x:row r="1961">
      <x:c r="A1961" s="83" t="n">
        <x:v>1960</x:v>
      </x:c>
      <x:c r="B1961" s="84" t="n">
        <x:v>1154</x:v>
      </x:c>
      <x:c r="C1961" s="84" t="n">
        <x:v>26</x:v>
      </x:c>
      <x:c r="D1961" s="89" t="n">
        <x:v>45982</x:v>
      </x:c>
      <x:c r="E1961" s="84" t="n">
        <x:v>3.6</x:v>
      </x:c>
      <x:c r="F1961" s="84" t="str">
        <x:v>Normal</x:v>
      </x:c>
      <x:c r="G1961" s="93" t="n">
        <x:v>140.83</x:v>
      </x:c>
      <x:c r="H1961" s="85" t="str">
        <x:v>Diagnóstico e execução</x:v>
      </x:c>
    </x:row>
    <x:row r="1962">
      <x:c r="A1962" s="83" t="n">
        <x:v>1961</x:v>
      </x:c>
      <x:c r="B1962" s="84" t="n">
        <x:v>1154</x:v>
      </x:c>
      <x:c r="C1962" s="84" t="n">
        <x:v>5</x:v>
      </x:c>
      <x:c r="D1962" s="89" t="n">
        <x:v>45982</x:v>
      </x:c>
      <x:c r="E1962" s="84" t="n">
        <x:v>4.8</x:v>
      </x:c>
      <x:c r="F1962" s="84" t="str">
        <x:v>Normal</x:v>
      </x:c>
      <x:c r="G1962" s="93" t="n">
        <x:v>138.34</x:v>
      </x:c>
      <x:c r="H1962" s="85" t="str">
        <x:v>Diagnóstico e execução</x:v>
      </x:c>
    </x:row>
    <x:row r="1963">
      <x:c r="A1963" s="83" t="n">
        <x:v>1962</x:v>
      </x:c>
      <x:c r="B1963" s="84" t="n">
        <x:v>1155</x:v>
      </x:c>
      <x:c r="C1963" s="84" t="n">
        <x:v>43</x:v>
      </x:c>
      <x:c r="D1963" s="89" t="n">
        <x:v>45477</x:v>
      </x:c>
      <x:c r="E1963" s="84" t="n">
        <x:v>1.9</x:v>
      </x:c>
      <x:c r="F1963" s="84" t="str">
        <x:v>Normal</x:v>
      </x:c>
      <x:c r="G1963" s="93" t="n">
        <x:v>103.85</x:v>
      </x:c>
      <x:c r="H1963" s="85" t="str">
        <x:v>Diagnóstico e execução</x:v>
      </x:c>
    </x:row>
    <x:row r="1964">
      <x:c r="A1964" s="83" t="n">
        <x:v>1963</x:v>
      </x:c>
      <x:c r="B1964" s="84" t="n">
        <x:v>1155</x:v>
      </x:c>
      <x:c r="C1964" s="84" t="n">
        <x:v>19</x:v>
      </x:c>
      <x:c r="D1964" s="89" t="n">
        <x:v>45477</x:v>
      </x:c>
      <x:c r="E1964" s="84" t="n">
        <x:v>6.1</x:v>
      </x:c>
      <x:c r="F1964" s="84" t="str">
        <x:v>Normal</x:v>
      </x:c>
      <x:c r="G1964" s="93" t="n">
        <x:v>283.53</x:v>
      </x:c>
      <x:c r="H1964" s="85" t="str">
        <x:v>Diagnóstico e execução</x:v>
      </x:c>
    </x:row>
    <x:row r="1965">
      <x:c r="A1965" s="83" t="n">
        <x:v>1964</x:v>
      </x:c>
      <x:c r="B1965" s="84" t="n">
        <x:v>1156</x:v>
      </x:c>
      <x:c r="C1965" s="84" t="n">
        <x:v>29</x:v>
      </x:c>
      <x:c r="D1965" s="89" t="n">
        <x:v>45730</x:v>
      </x:c>
      <x:c r="E1965" s="84" t="n">
        <x:v>2.6</x:v>
      </x:c>
      <x:c r="F1965" s="84" t="str">
        <x:v>Normal</x:v>
      </x:c>
      <x:c r="G1965" s="93" t="n">
        <x:v>128.75</x:v>
      </x:c>
      <x:c r="H1965" s="85" t="str">
        <x:v>Diagnóstico e execução</x:v>
      </x:c>
    </x:row>
    <x:row r="1966">
      <x:c r="A1966" s="83" t="n">
        <x:v>1965</x:v>
      </x:c>
      <x:c r="B1966" s="84" t="n">
        <x:v>1157</x:v>
      </x:c>
      <x:c r="C1966" s="84" t="n">
        <x:v>32</x:v>
      </x:c>
      <x:c r="D1966" s="89" t="n">
        <x:v>45672</x:v>
      </x:c>
      <x:c r="E1966" s="84" t="n">
        <x:v>5.3</x:v>
      </x:c>
      <x:c r="F1966" s="84" t="str">
        <x:v>Normal</x:v>
      </x:c>
      <x:c r="G1966" s="93" t="n">
        <x:v>231.34</x:v>
      </x:c>
      <x:c r="H1966" s="85" t="str">
        <x:v>Diagnóstico e execução</x:v>
      </x:c>
    </x:row>
    <x:row r="1967">
      <x:c r="A1967" s="83" t="n">
        <x:v>1966</x:v>
      </x:c>
      <x:c r="B1967" s="84" t="n">
        <x:v>1157</x:v>
      </x:c>
      <x:c r="C1967" s="84" t="n">
        <x:v>22</x:v>
      </x:c>
      <x:c r="D1967" s="89" t="n">
        <x:v>45672</x:v>
      </x:c>
      <x:c r="E1967" s="84" t="n">
        <x:v>7.4</x:v>
      </x:c>
      <x:c r="F1967" s="84" t="str">
        <x:v>Normal</x:v>
      </x:c>
      <x:c r="G1967" s="93" t="n">
        <x:v>284.6</x:v>
      </x:c>
      <x:c r="H1967" s="85" t="str">
        <x:v>Diagnóstico e execução</x:v>
      </x:c>
    </x:row>
    <x:row r="1968">
      <x:c r="A1968" s="83" t="n">
        <x:v>1967</x:v>
      </x:c>
      <x:c r="B1968" s="84" t="n">
        <x:v>1159</x:v>
      </x:c>
      <x:c r="C1968" s="84" t="n">
        <x:v>30</x:v>
      </x:c>
      <x:c r="D1968" s="89" t="n">
        <x:v>45172</x:v>
      </x:c>
      <x:c r="E1968" s="84" t="n">
        <x:v>2.7</x:v>
      </x:c>
      <x:c r="F1968" s="84" t="str">
        <x:v>Normal</x:v>
      </x:c>
      <x:c r="G1968" s="93" t="n">
        <x:v>111.81</x:v>
      </x:c>
      <x:c r="H1968" s="85" t="str">
        <x:v>Diagnóstico e execução</x:v>
      </x:c>
    </x:row>
    <x:row r="1969">
      <x:c r="A1969" s="83" t="n">
        <x:v>1968</x:v>
      </x:c>
      <x:c r="B1969" s="84" t="n">
        <x:v>1160</x:v>
      </x:c>
      <x:c r="C1969" s="84" t="n">
        <x:v>9</x:v>
      </x:c>
      <x:c r="D1969" s="89" t="n">
        <x:v>45216</x:v>
      </x:c>
      <x:c r="E1969" s="84" t="n">
        <x:v>1.1</x:v>
      </x:c>
      <x:c r="F1969" s="84" t="str">
        <x:v>Normal</x:v>
      </x:c>
      <x:c r="G1969" s="93" t="n">
        <x:v>57.94</x:v>
      </x:c>
      <x:c r="H1969" s="85" t="str">
        <x:v>Diagnóstico e execução</x:v>
      </x:c>
    </x:row>
    <x:row r="1970">
      <x:c r="A1970" s="83" t="n">
        <x:v>1969</x:v>
      </x:c>
      <x:c r="B1970" s="84" t="n">
        <x:v>1160</x:v>
      </x:c>
      <x:c r="C1970" s="84" t="n">
        <x:v>29</x:v>
      </x:c>
      <x:c r="D1970" s="89" t="n">
        <x:v>45216</x:v>
      </x:c>
      <x:c r="E1970" s="84" t="n">
        <x:v>7.2</x:v>
      </x:c>
      <x:c r="F1970" s="84" t="str">
        <x:v>Normal</x:v>
      </x:c>
      <x:c r="G1970" s="93" t="n">
        <x:v>356.54</x:v>
      </x:c>
      <x:c r="H1970" s="85" t="str">
        <x:v>Diagnóstico e execução</x:v>
      </x:c>
    </x:row>
    <x:row r="1971">
      <x:c r="A1971" s="83" t="n">
        <x:v>1970</x:v>
      </x:c>
      <x:c r="B1971" s="84" t="n">
        <x:v>1160</x:v>
      </x:c>
      <x:c r="C1971" s="84" t="n">
        <x:v>45</x:v>
      </x:c>
      <x:c r="D1971" s="89" t="n">
        <x:v>45216</x:v>
      </x:c>
      <x:c r="E1971" s="84" t="n">
        <x:v>4.3</x:v>
      </x:c>
      <x:c r="F1971" s="84" t="str">
        <x:v>Normal</x:v>
      </x:c>
      <x:c r="G1971" s="93" t="n">
        <x:v>230.35</x:v>
      </x:c>
      <x:c r="H1971" s="85" t="str">
        <x:v>Diagnóstico e execução</x:v>
      </x:c>
    </x:row>
    <x:row r="1972">
      <x:c r="A1972" s="83" t="n">
        <x:v>1971</x:v>
      </x:c>
      <x:c r="B1972" s="84" t="n">
        <x:v>1161</x:v>
      </x:c>
      <x:c r="C1972" s="84" t="n">
        <x:v>8</x:v>
      </x:c>
      <x:c r="D1972" s="89" t="n">
        <x:v>46018</x:v>
      </x:c>
      <x:c r="E1972" s="84" t="n">
        <x:v>5.4</x:v>
      </x:c>
      <x:c r="F1972" s="84" t="str">
        <x:v>Normal</x:v>
      </x:c>
      <x:c r="G1972" s="93" t="n">
        <x:v>251.1</x:v>
      </x:c>
      <x:c r="H1972" s="85" t="str">
        <x:v>Diagnóstico e execução</x:v>
      </x:c>
    </x:row>
    <x:row r="1973">
      <x:c r="A1973" s="83" t="n">
        <x:v>1972</x:v>
      </x:c>
      <x:c r="B1973" s="84" t="n">
        <x:v>1161</x:v>
      </x:c>
      <x:c r="C1973" s="84" t="n">
        <x:v>10</x:v>
      </x:c>
      <x:c r="D1973" s="89" t="n">
        <x:v>46018</x:v>
      </x:c>
      <x:c r="E1973" s="84" t="n">
        <x:v>5.4</x:v>
      </x:c>
      <x:c r="F1973" s="84" t="str">
        <x:v>Normal</x:v>
      </x:c>
      <x:c r="G1973" s="93" t="n">
        <x:v>160.33</x:v>
      </x:c>
      <x:c r="H1973" s="85" t="str">
        <x:v>Diagnóstico e execução</x:v>
      </x:c>
    </x:row>
    <x:row r="1974">
      <x:c r="A1974" s="83" t="n">
        <x:v>1973</x:v>
      </x:c>
      <x:c r="B1974" s="84" t="n">
        <x:v>1161</x:v>
      </x:c>
      <x:c r="C1974" s="84" t="n">
        <x:v>1</x:v>
      </x:c>
      <x:c r="D1974" s="89" t="n">
        <x:v>46018</x:v>
      </x:c>
      <x:c r="E1974" s="84" t="n">
        <x:v>6.6</x:v>
      </x:c>
      <x:c r="F1974" s="84" t="str">
        <x:v>Normal</x:v>
      </x:c>
      <x:c r="G1974" s="93" t="n">
        <x:v>233.44</x:v>
      </x:c>
      <x:c r="H1974" s="85" t="str">
        <x:v>Diagnóstico e execução</x:v>
      </x:c>
    </x:row>
    <x:row r="1975">
      <x:c r="A1975" s="83" t="n">
        <x:v>1974</x:v>
      </x:c>
      <x:c r="B1975" s="84" t="n">
        <x:v>1162</x:v>
      </x:c>
      <x:c r="C1975" s="84" t="n">
        <x:v>40</x:v>
      </x:c>
      <x:c r="D1975" s="89" t="n">
        <x:v>45208</x:v>
      </x:c>
      <x:c r="E1975" s="84" t="n">
        <x:v>1.9</x:v>
      </x:c>
      <x:c r="F1975" s="84" t="str">
        <x:v>Normal</x:v>
      </x:c>
      <x:c r="G1975" s="93" t="n">
        <x:v>93.9</x:v>
      </x:c>
      <x:c r="H1975" s="85" t="str">
        <x:v>Diagnóstico e execução</x:v>
      </x:c>
    </x:row>
    <x:row r="1976">
      <x:c r="A1976" s="83" t="n">
        <x:v>1975</x:v>
      </x:c>
      <x:c r="B1976" s="84" t="n">
        <x:v>1165</x:v>
      </x:c>
      <x:c r="C1976" s="84" t="n">
        <x:v>15</x:v>
      </x:c>
      <x:c r="D1976" s="89" t="n">
        <x:v>45017</x:v>
      </x:c>
      <x:c r="E1976" s="84" t="n">
        <x:v>2.4</x:v>
      </x:c>
      <x:c r="F1976" s="84" t="str">
        <x:v>Normal</x:v>
      </x:c>
      <x:c r="G1976" s="93" t="n">
        <x:v>72.58</x:v>
      </x:c>
      <x:c r="H1976" s="85" t="str">
        <x:v>Diagnóstico e execução</x:v>
      </x:c>
    </x:row>
    <x:row r="1977">
      <x:c r="A1977" s="83" t="n">
        <x:v>1976</x:v>
      </x:c>
      <x:c r="B1977" s="84" t="n">
        <x:v>1165</x:v>
      </x:c>
      <x:c r="C1977" s="84" t="n">
        <x:v>23</x:v>
      </x:c>
      <x:c r="D1977" s="89" t="n">
        <x:v>45017</x:v>
      </x:c>
      <x:c r="E1977" s="84" t="n">
        <x:v>5.6</x:v>
      </x:c>
      <x:c r="F1977" s="84" t="str">
        <x:v>Normal</x:v>
      </x:c>
      <x:c r="G1977" s="93" t="n">
        <x:v>241.42</x:v>
      </x:c>
      <x:c r="H1977" s="85" t="str">
        <x:v>Diagnóstico e execução</x:v>
      </x:c>
    </x:row>
    <x:row r="1978">
      <x:c r="A1978" s="83" t="n">
        <x:v>1977</x:v>
      </x:c>
      <x:c r="B1978" s="84" t="n">
        <x:v>1165</x:v>
      </x:c>
      <x:c r="C1978" s="84" t="n">
        <x:v>39</x:v>
      </x:c>
      <x:c r="D1978" s="89" t="n">
        <x:v>45017</x:v>
      </x:c>
      <x:c r="E1978" s="84" t="n">
        <x:v>6.6</x:v>
      </x:c>
      <x:c r="F1978" s="84" t="str">
        <x:v>Normal</x:v>
      </x:c>
      <x:c r="G1978" s="93" t="n">
        <x:v>382.14</x:v>
      </x:c>
      <x:c r="H1978" s="85" t="str">
        <x:v>Diagnóstico e execução</x:v>
      </x:c>
    </x:row>
    <x:row r="1979">
      <x:c r="A1979" s="83" t="n">
        <x:v>1978</x:v>
      </x:c>
      <x:c r="B1979" s="84" t="n">
        <x:v>1166</x:v>
      </x:c>
      <x:c r="C1979" s="84" t="n">
        <x:v>6</x:v>
      </x:c>
      <x:c r="D1979" s="89" t="n">
        <x:v>45661</x:v>
      </x:c>
      <x:c r="E1979" s="84" t="n">
        <x:v>2.2</x:v>
      </x:c>
      <x:c r="F1979" s="84" t="str">
        <x:v>Normal</x:v>
      </x:c>
      <x:c r="G1979" s="93" t="n">
        <x:v>114.97</x:v>
      </x:c>
      <x:c r="H1979" s="85" t="str">
        <x:v>Diagnóstico e execução</x:v>
      </x:c>
    </x:row>
    <x:row r="1980">
      <x:c r="A1980" s="83" t="n">
        <x:v>1979</x:v>
      </x:c>
      <x:c r="B1980" s="84" t="n">
        <x:v>1166</x:v>
      </x:c>
      <x:c r="C1980" s="84" t="n">
        <x:v>41</x:v>
      </x:c>
      <x:c r="D1980" s="89" t="n">
        <x:v>45661</x:v>
      </x:c>
      <x:c r="E1980" s="84" t="n">
        <x:v>6.7</x:v>
      </x:c>
      <x:c r="F1980" s="84" t="str">
        <x:v>Normal</x:v>
      </x:c>
      <x:c r="G1980" s="93" t="n">
        <x:v>338.89</x:v>
      </x:c>
      <x:c r="H1980" s="85" t="str">
        <x:v>Diagnóstico e execução</x:v>
      </x:c>
    </x:row>
    <x:row r="1981">
      <x:c r="A1981" s="83" t="n">
        <x:v>1980</x:v>
      </x:c>
      <x:c r="B1981" s="84" t="n">
        <x:v>1166</x:v>
      </x:c>
      <x:c r="C1981" s="84" t="n">
        <x:v>2</x:v>
      </x:c>
      <x:c r="D1981" s="89" t="n">
        <x:v>45661</x:v>
      </x:c>
      <x:c r="E1981" s="84" t="n">
        <x:v>5.5</x:v>
      </x:c>
      <x:c r="F1981" s="84" t="str">
        <x:v>Normal</x:v>
      </x:c>
      <x:c r="G1981" s="93" t="n">
        <x:v>204.93</x:v>
      </x:c>
      <x:c r="H1981" s="85" t="str">
        <x:v>Diagnóstico e execução</x:v>
      </x:c>
    </x:row>
    <x:row r="1982">
      <x:c r="A1982" s="83" t="n">
        <x:v>1981</x:v>
      </x:c>
      <x:c r="B1982" s="84" t="n">
        <x:v>1168</x:v>
      </x:c>
      <x:c r="C1982" s="84" t="n">
        <x:v>35</x:v>
      </x:c>
      <x:c r="D1982" s="89" t="n">
        <x:v>45841</x:v>
      </x:c>
      <x:c r="E1982" s="84" t="n">
        <x:v>4.2</x:v>
      </x:c>
      <x:c r="F1982" s="84" t="str">
        <x:v>Normal</x:v>
      </x:c>
      <x:c r="G1982" s="93" t="n">
        <x:v>206.6</x:v>
      </x:c>
      <x:c r="H1982" s="85" t="str">
        <x:v>Diagnóstico e execução</x:v>
      </x:c>
    </x:row>
    <x:row r="1983">
      <x:c r="A1983" s="83" t="n">
        <x:v>1982</x:v>
      </x:c>
      <x:c r="B1983" s="84" t="n">
        <x:v>1169</x:v>
      </x:c>
      <x:c r="C1983" s="84" t="n">
        <x:v>28</x:v>
      </x:c>
      <x:c r="D1983" s="89" t="n">
        <x:v>45205</x:v>
      </x:c>
      <x:c r="E1983" s="84" t="n">
        <x:v>2.6</x:v>
      </x:c>
      <x:c r="F1983" s="84" t="str">
        <x:v>Normal</x:v>
      </x:c>
      <x:c r="G1983" s="93" t="n">
        <x:v>97.81</x:v>
      </x:c>
      <x:c r="H1983" s="85" t="str">
        <x:v>Diagnóstico e execução</x:v>
      </x:c>
    </x:row>
    <x:row r="1984">
      <x:c r="A1984" s="83" t="n">
        <x:v>1983</x:v>
      </x:c>
      <x:c r="B1984" s="84" t="n">
        <x:v>1169</x:v>
      </x:c>
      <x:c r="C1984" s="84" t="n">
        <x:v>40</x:v>
      </x:c>
      <x:c r="D1984" s="89" t="n">
        <x:v>45205</x:v>
      </x:c>
      <x:c r="E1984" s="84" t="n">
        <x:v>6.1</x:v>
      </x:c>
      <x:c r="F1984" s="84" t="str">
        <x:v>Normal</x:v>
      </x:c>
      <x:c r="G1984" s="93" t="n">
        <x:v>301.46</x:v>
      </x:c>
      <x:c r="H1984" s="85" t="str">
        <x:v>Diagnóstico e execução</x:v>
      </x:c>
    </x:row>
    <x:row r="1985">
      <x:c r="A1985" s="83" t="n">
        <x:v>1984</x:v>
      </x:c>
      <x:c r="B1985" s="84" t="n">
        <x:v>1169</x:v>
      </x:c>
      <x:c r="C1985" s="84" t="n">
        <x:v>8</x:v>
      </x:c>
      <x:c r="D1985" s="89" t="n">
        <x:v>45205</x:v>
      </x:c>
      <x:c r="E1985" s="84" t="n">
        <x:v>6.1</x:v>
      </x:c>
      <x:c r="F1985" s="84" t="str">
        <x:v>Normal</x:v>
      </x:c>
      <x:c r="G1985" s="93" t="n">
        <x:v>283.65</x:v>
      </x:c>
      <x:c r="H1985" s="85" t="str">
        <x:v>Diagnóstico e execução</x:v>
      </x:c>
    </x:row>
    <x:row r="1986">
      <x:c r="A1986" s="83" t="n">
        <x:v>1985</x:v>
      </x:c>
      <x:c r="B1986" s="84" t="n">
        <x:v>1170</x:v>
      </x:c>
      <x:c r="C1986" s="84" t="n">
        <x:v>40</x:v>
      </x:c>
      <x:c r="D1986" s="89" t="n">
        <x:v>45217</x:v>
      </x:c>
      <x:c r="E1986" s="84" t="n">
        <x:v>4.3</x:v>
      </x:c>
      <x:c r="F1986" s="84" t="str">
        <x:v>Normal</x:v>
      </x:c>
      <x:c r="G1986" s="93" t="n">
        <x:v>212.51</x:v>
      </x:c>
      <x:c r="H1986" s="85" t="str">
        <x:v>Diagnóstico e execução</x:v>
      </x:c>
    </x:row>
    <x:row r="1987">
      <x:c r="A1987" s="83" t="n">
        <x:v>1986</x:v>
      </x:c>
      <x:c r="B1987" s="84" t="n">
        <x:v>1171</x:v>
      </x:c>
      <x:c r="C1987" s="84" t="n">
        <x:v>42</x:v>
      </x:c>
      <x:c r="D1987" s="89" t="n">
        <x:v>45139</x:v>
      </x:c>
      <x:c r="E1987" s="84" t="n">
        <x:v>2.7</x:v>
      </x:c>
      <x:c r="F1987" s="84" t="str">
        <x:v>Normal</x:v>
      </x:c>
      <x:c r="G1987" s="93" t="n">
        <x:v>113.89</x:v>
      </x:c>
      <x:c r="H1987" s="85" t="str">
        <x:v>Diagnóstico e execução</x:v>
      </x:c>
    </x:row>
    <x:row r="1988">
      <x:c r="A1988" s="83" t="n">
        <x:v>1987</x:v>
      </x:c>
      <x:c r="B1988" s="84" t="n">
        <x:v>1172</x:v>
      </x:c>
      <x:c r="C1988" s="84" t="n">
        <x:v>32</x:v>
      </x:c>
      <x:c r="D1988" s="89" t="n">
        <x:v>45350</x:v>
      </x:c>
      <x:c r="E1988" s="84" t="n">
        <x:v>7.6</x:v>
      </x:c>
      <x:c r="F1988" s="84" t="str">
        <x:v>Normal</x:v>
      </x:c>
      <x:c r="G1988" s="93" t="n">
        <x:v>331.74</x:v>
      </x:c>
      <x:c r="H1988" s="85" t="str">
        <x:v>Diagnóstico e execução</x:v>
      </x:c>
    </x:row>
    <x:row r="1989">
      <x:c r="A1989" s="83" t="n">
        <x:v>1988</x:v>
      </x:c>
      <x:c r="B1989" s="84" t="n">
        <x:v>1172</x:v>
      </x:c>
      <x:c r="C1989" s="84" t="n">
        <x:v>16</x:v>
      </x:c>
      <x:c r="D1989" s="89" t="n">
        <x:v>45350</x:v>
      </x:c>
      <x:c r="E1989" s="84" t="n">
        <x:v>7.1</x:v>
      </x:c>
      <x:c r="F1989" s="84" t="str">
        <x:v>Normal</x:v>
      </x:c>
      <x:c r="G1989" s="93" t="n">
        <x:v>287.69</x:v>
      </x:c>
      <x:c r="H1989" s="85" t="str">
        <x:v>Diagnóstico e execução</x:v>
      </x:c>
    </x:row>
    <x:row r="1990">
      <x:c r="A1990" s="83" t="n">
        <x:v>1989</x:v>
      </x:c>
      <x:c r="B1990" s="84" t="n">
        <x:v>1173</x:v>
      </x:c>
      <x:c r="C1990" s="84" t="n">
        <x:v>7</x:v>
      </x:c>
      <x:c r="D1990" s="89" t="n">
        <x:v>45499</x:v>
      </x:c>
      <x:c r="E1990" s="84" t="n">
        <x:v>5.3</x:v>
      </x:c>
      <x:c r="F1990" s="84" t="str">
        <x:v>Normal</x:v>
      </x:c>
      <x:c r="G1990" s="93" t="n">
        <x:v>308.51</x:v>
      </x:c>
      <x:c r="H1990" s="85" t="str">
        <x:v>Diagnóstico e execução</x:v>
      </x:c>
    </x:row>
    <x:row r="1991">
      <x:c r="A1991" s="83" t="n">
        <x:v>1990</x:v>
      </x:c>
      <x:c r="B1991" s="84" t="n">
        <x:v>1173</x:v>
      </x:c>
      <x:c r="C1991" s="84" t="n">
        <x:v>36</x:v>
      </x:c>
      <x:c r="D1991" s="89" t="n">
        <x:v>45499</x:v>
      </x:c>
      <x:c r="E1991" s="84" t="n">
        <x:v>1.3</x:v>
      </x:c>
      <x:c r="F1991" s="84" t="str">
        <x:v>Normal</x:v>
      </x:c>
      <x:c r="G1991" s="93" t="n">
        <x:v>38.56</x:v>
      </x:c>
      <x:c r="H1991" s="85" t="str">
        <x:v>Diagnóstico e execução</x:v>
      </x:c>
    </x:row>
    <x:row r="1992">
      <x:c r="A1992" s="83" t="n">
        <x:v>1991</x:v>
      </x:c>
      <x:c r="B1992" s="84" t="n">
        <x:v>1173</x:v>
      </x:c>
      <x:c r="C1992" s="84" t="n">
        <x:v>17</x:v>
      </x:c>
      <x:c r="D1992" s="89" t="n">
        <x:v>45499</x:v>
      </x:c>
      <x:c r="E1992" s="84" t="n">
        <x:v>6.5</x:v>
      </x:c>
      <x:c r="F1992" s="84" t="str">
        <x:v>Normal</x:v>
      </x:c>
      <x:c r="G1992" s="93" t="n">
        <x:v>362.57</x:v>
      </x:c>
      <x:c r="H1992" s="85" t="str">
        <x:v>Diagnóstico e execução</x:v>
      </x:c>
    </x:row>
    <x:row r="1993">
      <x:c r="A1993" s="83" t="n">
        <x:v>1992</x:v>
      </x:c>
      <x:c r="B1993" s="84" t="n">
        <x:v>1174</x:v>
      </x:c>
      <x:c r="C1993" s="84" t="n">
        <x:v>37</x:v>
      </x:c>
      <x:c r="D1993" s="89" t="n">
        <x:v>45546</x:v>
      </x:c>
      <x:c r="E1993" s="84" t="n">
        <x:v>6.2</x:v>
      </x:c>
      <x:c r="F1993" s="84" t="str">
        <x:v>Normal</x:v>
      </x:c>
      <x:c r="G1993" s="93" t="n">
        <x:v>365.61</x:v>
      </x:c>
      <x:c r="H1993" s="85" t="str">
        <x:v>Diagnóstico e execução</x:v>
      </x:c>
    </x:row>
    <x:row r="1994">
      <x:c r="A1994" s="83" t="n">
        <x:v>1993</x:v>
      </x:c>
      <x:c r="B1994" s="84" t="n">
        <x:v>1174</x:v>
      </x:c>
      <x:c r="C1994" s="84" t="n">
        <x:v>20</x:v>
      </x:c>
      <x:c r="D1994" s="89" t="n">
        <x:v>45546</x:v>
      </x:c>
      <x:c r="E1994" s="84" t="n">
        <x:v>2.6</x:v>
      </x:c>
      <x:c r="F1994" s="84" t="str">
        <x:v>Normal</x:v>
      </x:c>
      <x:c r="G1994" s="93" t="n">
        <x:v>87.15</x:v>
      </x:c>
      <x:c r="H1994" s="85" t="str">
        <x:v>Diagnóstico e execução</x:v>
      </x:c>
    </x:row>
    <x:row r="1995">
      <x:c r="A1995" s="83" t="n">
        <x:v>1994</x:v>
      </x:c>
      <x:c r="B1995" s="84" t="n">
        <x:v>1174</x:v>
      </x:c>
      <x:c r="C1995" s="84" t="n">
        <x:v>45</x:v>
      </x:c>
      <x:c r="D1995" s="89" t="n">
        <x:v>45546</x:v>
      </x:c>
      <x:c r="E1995" s="84" t="n">
        <x:v>5</x:v>
      </x:c>
      <x:c r="F1995" s="84" t="str">
        <x:v>Normal</x:v>
      </x:c>
      <x:c r="G1995" s="93" t="n">
        <x:v>267.85</x:v>
      </x:c>
      <x:c r="H1995" s="85" t="str">
        <x:v>Diagnóstico e execução</x:v>
      </x:c>
    </x:row>
    <x:row r="1996">
      <x:c r="A1996" s="83" t="n">
        <x:v>1995</x:v>
      </x:c>
      <x:c r="B1996" s="84" t="n">
        <x:v>1175</x:v>
      </x:c>
      <x:c r="C1996" s="84" t="n">
        <x:v>7</x:v>
      </x:c>
      <x:c r="D1996" s="89" t="n">
        <x:v>45194</x:v>
      </x:c>
      <x:c r="E1996" s="84" t="n">
        <x:v>2.3</x:v>
      </x:c>
      <x:c r="F1996" s="84" t="str">
        <x:v>Normal</x:v>
      </x:c>
      <x:c r="G1996" s="93" t="n">
        <x:v>133.88</x:v>
      </x:c>
      <x:c r="H1996" s="85" t="str">
        <x:v>Diagnóstico e execução</x:v>
      </x:c>
    </x:row>
    <x:row r="1997">
      <x:c r="A1997" s="83" t="n">
        <x:v>1996</x:v>
      </x:c>
      <x:c r="B1997" s="84" t="n">
        <x:v>1175</x:v>
      </x:c>
      <x:c r="C1997" s="84" t="n">
        <x:v>39</x:v>
      </x:c>
      <x:c r="D1997" s="89" t="n">
        <x:v>45194</x:v>
      </x:c>
      <x:c r="E1997" s="84" t="n">
        <x:v>5.2</x:v>
      </x:c>
      <x:c r="F1997" s="84" t="str">
        <x:v>Normal</x:v>
      </x:c>
      <x:c r="G1997" s="93" t="n">
        <x:v>301.08</x:v>
      </x:c>
      <x:c r="H1997" s="85" t="str">
        <x:v>Diagnóstico e execução</x:v>
      </x:c>
    </x:row>
    <x:row r="1998">
      <x:c r="A1998" s="83" t="n">
        <x:v>1997</x:v>
      </x:c>
      <x:c r="B1998" s="84" t="n">
        <x:v>1175</x:v>
      </x:c>
      <x:c r="C1998" s="84" t="n">
        <x:v>29</x:v>
      </x:c>
      <x:c r="D1998" s="89" t="n">
        <x:v>45194</x:v>
      </x:c>
      <x:c r="E1998" s="84" t="n">
        <x:v>2.8</x:v>
      </x:c>
      <x:c r="F1998" s="84" t="str">
        <x:v>Normal</x:v>
      </x:c>
      <x:c r="G1998" s="93" t="n">
        <x:v>138.66</x:v>
      </x:c>
      <x:c r="H1998" s="85" t="str">
        <x:v>Diagnóstico e execução</x:v>
      </x:c>
    </x:row>
    <x:row r="1999">
      <x:c r="A1999" s="83" t="n">
        <x:v>1998</x:v>
      </x:c>
      <x:c r="B1999" s="84" t="n">
        <x:v>1176</x:v>
      </x:c>
      <x:c r="C1999" s="84" t="n">
        <x:v>24</x:v>
      </x:c>
      <x:c r="D1999" s="89" t="n">
        <x:v>45876</x:v>
      </x:c>
      <x:c r="E1999" s="84" t="n">
        <x:v>0.7</x:v>
      </x:c>
      <x:c r="F1999" s="84" t="str">
        <x:v>Normal</x:v>
      </x:c>
      <x:c r="G1999" s="93" t="n">
        <x:v>41.47</x:v>
      </x:c>
      <x:c r="H1999" s="85" t="str">
        <x:v>Diagnóstico e execução</x:v>
      </x:c>
    </x:row>
    <x:row r="2000">
      <x:c r="A2000" s="83" t="n">
        <x:v>1999</x:v>
      </x:c>
      <x:c r="B2000" s="84" t="n">
        <x:v>1176</x:v>
      </x:c>
      <x:c r="C2000" s="84" t="n">
        <x:v>20</x:v>
      </x:c>
      <x:c r="D2000" s="89" t="n">
        <x:v>45876</x:v>
      </x:c>
      <x:c r="E2000" s="84" t="n">
        <x:v>6.3</x:v>
      </x:c>
      <x:c r="F2000" s="84" t="str">
        <x:v>Normal</x:v>
      </x:c>
      <x:c r="G2000" s="93" t="n">
        <x:v>211.18</x:v>
      </x:c>
      <x:c r="H2000" s="85" t="str">
        <x:v>Diagnóstico e execução</x:v>
      </x:c>
    </x:row>
    <x:row r="2001">
      <x:c r="A2001" s="83" t="n">
        <x:v>2000</x:v>
      </x:c>
      <x:c r="B2001" s="84" t="n">
        <x:v>1176</x:v>
      </x:c>
      <x:c r="C2001" s="84" t="n">
        <x:v>8</x:v>
      </x:c>
      <x:c r="D2001" s="89" t="n">
        <x:v>45876</x:v>
      </x:c>
      <x:c r="E2001" s="84" t="n">
        <x:v>0.6</x:v>
      </x:c>
      <x:c r="F2001" s="84" t="str">
        <x:v>Normal</x:v>
      </x:c>
      <x:c r="G2001" s="93" t="n">
        <x:v>27.9</x:v>
      </x:c>
      <x:c r="H2001" s="85" t="str">
        <x:v>Diagnóstico e execução</x:v>
      </x:c>
    </x:row>
    <x:row r="2002">
      <x:c r="A2002" s="83" t="n">
        <x:v>2001</x:v>
      </x:c>
      <x:c r="B2002" s="84" t="n">
        <x:v>1177</x:v>
      </x:c>
      <x:c r="C2002" s="84" t="n">
        <x:v>44</x:v>
      </x:c>
      <x:c r="D2002" s="89" t="n">
        <x:v>45009</x:v>
      </x:c>
      <x:c r="E2002" s="84" t="n">
        <x:v>5.9</x:v>
      </x:c>
      <x:c r="F2002" s="84" t="str">
        <x:v>Normal</x:v>
      </x:c>
      <x:c r="G2002" s="93" t="n">
        <x:v>165.44</x:v>
      </x:c>
      <x:c r="H2002" s="85" t="str">
        <x:v>Diagnóstico e execução</x:v>
      </x:c>
    </x:row>
    <x:row r="2003">
      <x:c r="A2003" s="83" t="n">
        <x:v>2002</x:v>
      </x:c>
      <x:c r="B2003" s="84" t="n">
        <x:v>1177</x:v>
      </x:c>
      <x:c r="C2003" s="84" t="n">
        <x:v>25</x:v>
      </x:c>
      <x:c r="D2003" s="89" t="n">
        <x:v>45009</x:v>
      </x:c>
      <x:c r="E2003" s="84" t="n">
        <x:v>4.2</x:v>
      </x:c>
      <x:c r="F2003" s="84" t="str">
        <x:v>Normal</x:v>
      </x:c>
      <x:c r="G2003" s="93" t="n">
        <x:v>225.08</x:v>
      </x:c>
      <x:c r="H2003" s="85" t="str">
        <x:v>Diagnóstico e execução</x:v>
      </x:c>
    </x:row>
    <x:row r="2004">
      <x:c r="A2004" s="83" t="n">
        <x:v>2003</x:v>
      </x:c>
      <x:c r="B2004" s="84" t="n">
        <x:v>1177</x:v>
      </x:c>
      <x:c r="C2004" s="84" t="n">
        <x:v>37</x:v>
      </x:c>
      <x:c r="D2004" s="89" t="n">
        <x:v>45009</x:v>
      </x:c>
      <x:c r="E2004" s="84" t="n">
        <x:v>3.9</x:v>
      </x:c>
      <x:c r="F2004" s="84" t="str">
        <x:v>Normal</x:v>
      </x:c>
      <x:c r="G2004" s="93" t="n">
        <x:v>229.98</x:v>
      </x:c>
      <x:c r="H2004" s="85" t="str">
        <x:v>Diagnóstico e execução</x:v>
      </x:c>
    </x:row>
    <x:row r="2005">
      <x:c r="A2005" s="83" t="n">
        <x:v>2004</x:v>
      </x:c>
      <x:c r="B2005" s="84" t="n">
        <x:v>1178</x:v>
      </x:c>
      <x:c r="C2005" s="84" t="n">
        <x:v>37</x:v>
      </x:c>
      <x:c r="D2005" s="89" t="n">
        <x:v>45962</x:v>
      </x:c>
      <x:c r="E2005" s="84" t="n">
        <x:v>7.1</x:v>
      </x:c>
      <x:c r="F2005" s="84" t="str">
        <x:v>Normal</x:v>
      </x:c>
      <x:c r="G2005" s="93" t="n">
        <x:v>418.69</x:v>
      </x:c>
      <x:c r="H2005" s="85" t="str">
        <x:v>Diagnóstico e execução</x:v>
      </x:c>
    </x:row>
    <x:row r="2006">
      <x:c r="A2006" s="83" t="n">
        <x:v>2005</x:v>
      </x:c>
      <x:c r="B2006" s="84" t="n">
        <x:v>1179</x:v>
      </x:c>
      <x:c r="C2006" s="84" t="n">
        <x:v>24</x:v>
      </x:c>
      <x:c r="D2006" s="89" t="n">
        <x:v>45171</x:v>
      </x:c>
      <x:c r="E2006" s="84" t="n">
        <x:v>0.5</x:v>
      </x:c>
      <x:c r="F2006" s="84" t="str">
        <x:v>Normal</x:v>
      </x:c>
      <x:c r="G2006" s="93" t="n">
        <x:v>29.62</x:v>
      </x:c>
      <x:c r="H2006" s="85" t="str">
        <x:v>Diagnóstico e execução</x:v>
      </x:c>
    </x:row>
    <x:row r="2007">
      <x:c r="A2007" s="83" t="n">
        <x:v>2006</x:v>
      </x:c>
      <x:c r="B2007" s="84" t="n">
        <x:v>1179</x:v>
      </x:c>
      <x:c r="C2007" s="84" t="n">
        <x:v>32</x:v>
      </x:c>
      <x:c r="D2007" s="89" t="n">
        <x:v>45171</x:v>
      </x:c>
      <x:c r="E2007" s="84" t="n">
        <x:v>6.9</x:v>
      </x:c>
      <x:c r="F2007" s="84" t="str">
        <x:v>Normal</x:v>
      </x:c>
      <x:c r="G2007" s="93" t="n">
        <x:v>301.19</x:v>
      </x:c>
      <x:c r="H2007" s="85" t="str">
        <x:v>Diagnóstico e execução</x:v>
      </x:c>
    </x:row>
    <x:row r="2008">
      <x:c r="A2008" s="83" t="n">
        <x:v>2007</x:v>
      </x:c>
      <x:c r="B2008" s="84" t="n">
        <x:v>1179</x:v>
      </x:c>
      <x:c r="C2008" s="84" t="n">
        <x:v>10</x:v>
      </x:c>
      <x:c r="D2008" s="89" t="n">
        <x:v>45171</x:v>
      </x:c>
      <x:c r="E2008" s="84" t="n">
        <x:v>4</x:v>
      </x:c>
      <x:c r="F2008" s="84" t="str">
        <x:v>Normal</x:v>
      </x:c>
      <x:c r="G2008" s="93" t="n">
        <x:v>118.76</x:v>
      </x:c>
      <x:c r="H2008" s="85" t="str">
        <x:v>Diagnóstico e execução</x:v>
      </x:c>
    </x:row>
    <x:row r="2009">
      <x:c r="A2009" s="83" t="n">
        <x:v>2008</x:v>
      </x:c>
      <x:c r="B2009" s="84" t="n">
        <x:v>1180</x:v>
      </x:c>
      <x:c r="C2009" s="84" t="n">
        <x:v>38</x:v>
      </x:c>
      <x:c r="D2009" s="89" t="n">
        <x:v>45138</x:v>
      </x:c>
      <x:c r="E2009" s="84" t="n">
        <x:v>1.6</x:v>
      </x:c>
      <x:c r="F2009" s="84" t="str">
        <x:v>Normal</x:v>
      </x:c>
      <x:c r="G2009" s="93" t="n">
        <x:v>53.87</x:v>
      </x:c>
      <x:c r="H2009" s="85" t="str">
        <x:v>Diagnóstico e execução</x:v>
      </x:c>
    </x:row>
    <x:row r="2010">
      <x:c r="A2010" s="83" t="n">
        <x:v>2009</x:v>
      </x:c>
      <x:c r="B2010" s="84" t="n">
        <x:v>1180</x:v>
      </x:c>
      <x:c r="C2010" s="84" t="n">
        <x:v>23</x:v>
      </x:c>
      <x:c r="D2010" s="89" t="n">
        <x:v>45138</x:v>
      </x:c>
      <x:c r="E2010" s="84" t="n">
        <x:v>4.2</x:v>
      </x:c>
      <x:c r="F2010" s="84" t="str">
        <x:v>Normal</x:v>
      </x:c>
      <x:c r="G2010" s="93" t="n">
        <x:v>181.06</x:v>
      </x:c>
      <x:c r="H2010" s="85" t="str">
        <x:v>Diagnóstico e execução</x:v>
      </x:c>
    </x:row>
    <x:row r="2011">
      <x:c r="A2011" s="83" t="n">
        <x:v>2010</x:v>
      </x:c>
      <x:c r="B2011" s="84" t="n">
        <x:v>1180</x:v>
      </x:c>
      <x:c r="C2011" s="84" t="n">
        <x:v>29</x:v>
      </x:c>
      <x:c r="D2011" s="89" t="n">
        <x:v>45138</x:v>
      </x:c>
      <x:c r="E2011" s="84" t="n">
        <x:v>1.2</x:v>
      </x:c>
      <x:c r="F2011" s="84" t="str">
        <x:v>Normal</x:v>
      </x:c>
      <x:c r="G2011" s="93" t="n">
        <x:v>59.42</x:v>
      </x:c>
      <x:c r="H2011" s="85" t="str">
        <x:v>Diagnóstico e execução</x:v>
      </x:c>
    </x:row>
    <x:row r="2012">
      <x:c r="A2012" s="83" t="n">
        <x:v>2011</x:v>
      </x:c>
      <x:c r="B2012" s="84" t="n">
        <x:v>1181</x:v>
      </x:c>
      <x:c r="C2012" s="84" t="n">
        <x:v>9</x:v>
      </x:c>
      <x:c r="D2012" s="89" t="n">
        <x:v>45071</x:v>
      </x:c>
      <x:c r="E2012" s="84" t="n">
        <x:v>6</x:v>
      </x:c>
      <x:c r="F2012" s="84" t="str">
        <x:v>Normal</x:v>
      </x:c>
      <x:c r="G2012" s="93" t="n">
        <x:v>316.02</x:v>
      </x:c>
      <x:c r="H2012" s="85" t="str">
        <x:v>Diagnóstico e execução</x:v>
      </x:c>
    </x:row>
    <x:row r="2013">
      <x:c r="A2013" s="83" t="n">
        <x:v>2012</x:v>
      </x:c>
      <x:c r="B2013" s="84" t="n">
        <x:v>1182</x:v>
      </x:c>
      <x:c r="C2013" s="84" t="n">
        <x:v>43</x:v>
      </x:c>
      <x:c r="D2013" s="89" t="n">
        <x:v>45243</x:v>
      </x:c>
      <x:c r="E2013" s="84" t="n">
        <x:v>6.5</x:v>
      </x:c>
      <x:c r="F2013" s="84" t="str">
        <x:v>Normal</x:v>
      </x:c>
      <x:c r="G2013" s="93" t="n">
        <x:v>355.29</x:v>
      </x:c>
      <x:c r="H2013" s="85" t="str">
        <x:v>Diagnóstico e execução</x:v>
      </x:c>
    </x:row>
    <x:row r="2014">
      <x:c r="A2014" s="83" t="n">
        <x:v>2013</x:v>
      </x:c>
      <x:c r="B2014" s="84" t="n">
        <x:v>1184</x:v>
      </x:c>
      <x:c r="C2014" s="84" t="n">
        <x:v>3</x:v>
      </x:c>
      <x:c r="D2014" s="89" t="n">
        <x:v>45789</x:v>
      </x:c>
      <x:c r="E2014" s="84" t="n">
        <x:v>6.5</x:v>
      </x:c>
      <x:c r="F2014" s="84" t="str">
        <x:v>Normal</x:v>
      </x:c>
      <x:c r="G2014" s="93" t="n">
        <x:v>320.06</x:v>
      </x:c>
      <x:c r="H2014" s="85" t="str">
        <x:v>Diagnóstico e execução</x:v>
      </x:c>
    </x:row>
    <x:row r="2015">
      <x:c r="A2015" s="83" t="n">
        <x:v>2014</x:v>
      </x:c>
      <x:c r="B2015" s="84" t="n">
        <x:v>1184</x:v>
      </x:c>
      <x:c r="C2015" s="84" t="n">
        <x:v>20</x:v>
      </x:c>
      <x:c r="D2015" s="89" t="n">
        <x:v>45789</x:v>
      </x:c>
      <x:c r="E2015" s="84" t="n">
        <x:v>1.2</x:v>
      </x:c>
      <x:c r="F2015" s="84" t="str">
        <x:v>Normal</x:v>
      </x:c>
      <x:c r="G2015" s="93" t="n">
        <x:v>40.22</x:v>
      </x:c>
      <x:c r="H2015" s="85" t="str">
        <x:v>Diagnóstico e execução</x:v>
      </x:c>
    </x:row>
    <x:row r="2016">
      <x:c r="A2016" s="83" t="n">
        <x:v>2015</x:v>
      </x:c>
      <x:c r="B2016" s="84" t="n">
        <x:v>1184</x:v>
      </x:c>
      <x:c r="C2016" s="84" t="n">
        <x:v>24</x:v>
      </x:c>
      <x:c r="D2016" s="89" t="n">
        <x:v>45789</x:v>
      </x:c>
      <x:c r="E2016" s="84" t="n">
        <x:v>7.9</x:v>
      </x:c>
      <x:c r="F2016" s="84" t="str">
        <x:v>Normal</x:v>
      </x:c>
      <x:c r="G2016" s="93" t="n">
        <x:v>468</x:v>
      </x:c>
      <x:c r="H2016" s="85" t="str">
        <x:v>Diagnóstico e execução</x:v>
      </x:c>
    </x:row>
    <x:row r="2017">
      <x:c r="A2017" s="83" t="n">
        <x:v>2016</x:v>
      </x:c>
      <x:c r="B2017" s="84" t="n">
        <x:v>1185</x:v>
      </x:c>
      <x:c r="C2017" s="84" t="n">
        <x:v>40</x:v>
      </x:c>
      <x:c r="D2017" s="89" t="n">
        <x:v>45429</x:v>
      </x:c>
      <x:c r="E2017" s="84" t="n">
        <x:v>5.8</x:v>
      </x:c>
      <x:c r="F2017" s="84" t="str">
        <x:v>Normal</x:v>
      </x:c>
      <x:c r="G2017" s="93" t="n">
        <x:v>286.64</x:v>
      </x:c>
      <x:c r="H2017" s="85" t="str">
        <x:v>Diagnóstico e execução</x:v>
      </x:c>
    </x:row>
    <x:row r="2018">
      <x:c r="A2018" s="83" t="n">
        <x:v>2017</x:v>
      </x:c>
      <x:c r="B2018" s="84" t="n">
        <x:v>1185</x:v>
      </x:c>
      <x:c r="C2018" s="84" t="n">
        <x:v>45</x:v>
      </x:c>
      <x:c r="D2018" s="89" t="n">
        <x:v>45429</x:v>
      </x:c>
      <x:c r="E2018" s="84" t="n">
        <x:v>7.5</x:v>
      </x:c>
      <x:c r="F2018" s="84" t="str">
        <x:v>Normal</x:v>
      </x:c>
      <x:c r="G2018" s="93" t="n">
        <x:v>401.77</x:v>
      </x:c>
      <x:c r="H2018" s="85" t="str">
        <x:v>Diagnóstico e execução</x:v>
      </x:c>
    </x:row>
    <x:row r="2019">
      <x:c r="A2019" s="83" t="n">
        <x:v>2018</x:v>
      </x:c>
      <x:c r="B2019" s="84" t="n">
        <x:v>1185</x:v>
      </x:c>
      <x:c r="C2019" s="84" t="n">
        <x:v>45</x:v>
      </x:c>
      <x:c r="D2019" s="89" t="n">
        <x:v>45429</x:v>
      </x:c>
      <x:c r="E2019" s="84" t="n">
        <x:v>3.8</x:v>
      </x:c>
      <x:c r="F2019" s="84" t="str">
        <x:v>Normal</x:v>
      </x:c>
      <x:c r="G2019" s="93" t="n">
        <x:v>203.57</x:v>
      </x:c>
      <x:c r="H2019" s="85" t="str">
        <x:v>Diagnóstico e execução</x:v>
      </x:c>
    </x:row>
    <x:row r="2020">
      <x:c r="A2020" s="83" t="n">
        <x:v>2019</x:v>
      </x:c>
      <x:c r="B2020" s="84" t="n">
        <x:v>1186</x:v>
      </x:c>
      <x:c r="C2020" s="84" t="n">
        <x:v>13</x:v>
      </x:c>
      <x:c r="D2020" s="89" t="n">
        <x:v>45992</x:v>
      </x:c>
      <x:c r="E2020" s="84" t="n">
        <x:v>3.9</x:v>
      </x:c>
      <x:c r="F2020" s="84" t="str">
        <x:v>Normal</x:v>
      </x:c>
      <x:c r="G2020" s="93" t="n">
        <x:v>132.13</x:v>
      </x:c>
      <x:c r="H2020" s="85" t="str">
        <x:v>Diagnóstico e execução</x:v>
      </x:c>
    </x:row>
    <x:row r="2021">
      <x:c r="A2021" s="83" t="n">
        <x:v>2020</x:v>
      </x:c>
      <x:c r="B2021" s="84" t="n">
        <x:v>1186</x:v>
      </x:c>
      <x:c r="C2021" s="84" t="n">
        <x:v>36</x:v>
      </x:c>
      <x:c r="D2021" s="89" t="n">
        <x:v>45992</x:v>
      </x:c>
      <x:c r="E2021" s="84" t="n">
        <x:v>7.1</x:v>
      </x:c>
      <x:c r="F2021" s="84" t="str">
        <x:v>Normal</x:v>
      </x:c>
      <x:c r="G2021" s="93" t="n">
        <x:v>210.59</x:v>
      </x:c>
      <x:c r="H2021" s="85" t="str">
        <x:v>Diagnóstico e execução</x:v>
      </x:c>
    </x:row>
    <x:row r="2022">
      <x:c r="A2022" s="83" t="n">
        <x:v>2021</x:v>
      </x:c>
      <x:c r="B2022" s="84" t="n">
        <x:v>1186</x:v>
      </x:c>
      <x:c r="C2022" s="84" t="n">
        <x:v>44</x:v>
      </x:c>
      <x:c r="D2022" s="89" t="n">
        <x:v>45992</x:v>
      </x:c>
      <x:c r="E2022" s="84" t="n">
        <x:v>3.9</x:v>
      </x:c>
      <x:c r="F2022" s="84" t="str">
        <x:v>Normal</x:v>
      </x:c>
      <x:c r="G2022" s="93" t="n">
        <x:v>109.36</x:v>
      </x:c>
      <x:c r="H2022" s="85" t="str">
        <x:v>Diagnóstico e execução</x:v>
      </x:c>
    </x:row>
    <x:row r="2023">
      <x:c r="A2023" s="83" t="n">
        <x:v>2022</x:v>
      </x:c>
      <x:c r="B2023" s="84" t="n">
        <x:v>1187</x:v>
      </x:c>
      <x:c r="C2023" s="84" t="n">
        <x:v>27</x:v>
      </x:c>
      <x:c r="D2023" s="89" t="n">
        <x:v>45737</x:v>
      </x:c>
      <x:c r="E2023" s="84" t="n">
        <x:v>1.3</x:v>
      </x:c>
      <x:c r="F2023" s="84" t="str">
        <x:v>Normal</x:v>
      </x:c>
      <x:c r="G2023" s="93" t="n">
        <x:v>79.29</x:v>
      </x:c>
      <x:c r="H2023" s="85" t="str">
        <x:v>Diagnóstico e execução</x:v>
      </x:c>
    </x:row>
    <x:row r="2024">
      <x:c r="A2024" s="83" t="n">
        <x:v>2023</x:v>
      </x:c>
      <x:c r="B2024" s="84" t="n">
        <x:v>1187</x:v>
      </x:c>
      <x:c r="C2024" s="84" t="n">
        <x:v>36</x:v>
      </x:c>
      <x:c r="D2024" s="89" t="n">
        <x:v>45737</x:v>
      </x:c>
      <x:c r="E2024" s="84" t="n">
        <x:v>6.8</x:v>
      </x:c>
      <x:c r="F2024" s="84" t="str">
        <x:v>Normal</x:v>
      </x:c>
      <x:c r="G2024" s="93" t="n">
        <x:v>201.69</x:v>
      </x:c>
      <x:c r="H2024" s="85" t="str">
        <x:v>Diagnóstico e execução</x:v>
      </x:c>
    </x:row>
    <x:row r="2025">
      <x:c r="A2025" s="83" t="n">
        <x:v>2024</x:v>
      </x:c>
      <x:c r="B2025" s="84" t="n">
        <x:v>1187</x:v>
      </x:c>
      <x:c r="C2025" s="84" t="n">
        <x:v>33</x:v>
      </x:c>
      <x:c r="D2025" s="89" t="n">
        <x:v>45737</x:v>
      </x:c>
      <x:c r="E2025" s="84" t="n">
        <x:v>1.9</x:v>
      </x:c>
      <x:c r="F2025" s="84" t="str">
        <x:v>Normal</x:v>
      </x:c>
      <x:c r="G2025" s="93" t="n">
        <x:v>65.53</x:v>
      </x:c>
      <x:c r="H2025" s="85" t="str">
        <x:v>Diagnóstico e execução</x:v>
      </x:c>
    </x:row>
    <x:row r="2026">
      <x:c r="A2026" s="83" t="n">
        <x:v>2025</x:v>
      </x:c>
      <x:c r="B2026" s="84" t="n">
        <x:v>1188</x:v>
      </x:c>
      <x:c r="C2026" s="84" t="n">
        <x:v>30</x:v>
      </x:c>
      <x:c r="D2026" s="89" t="n">
        <x:v>45062</x:v>
      </x:c>
      <x:c r="E2026" s="84" t="n">
        <x:v>7</x:v>
      </x:c>
      <x:c r="F2026" s="84" t="str">
        <x:v>Normal</x:v>
      </x:c>
      <x:c r="G2026" s="93" t="n">
        <x:v>289.87</x:v>
      </x:c>
      <x:c r="H2026" s="85" t="str">
        <x:v>Diagnóstico e execução</x:v>
      </x:c>
    </x:row>
    <x:row r="2027">
      <x:c r="A2027" s="83" t="n">
        <x:v>2026</x:v>
      </x:c>
      <x:c r="B2027" s="84" t="n">
        <x:v>1188</x:v>
      </x:c>
      <x:c r="C2027" s="84" t="n">
        <x:v>38</x:v>
      </x:c>
      <x:c r="D2027" s="89" t="n">
        <x:v>45062</x:v>
      </x:c>
      <x:c r="E2027" s="84" t="n">
        <x:v>7.3</x:v>
      </x:c>
      <x:c r="F2027" s="84" t="str">
        <x:v>Normal</x:v>
      </x:c>
      <x:c r="G2027" s="93" t="n">
        <x:v>245.79</x:v>
      </x:c>
      <x:c r="H2027" s="85" t="str">
        <x:v>Diagnóstico e execução</x:v>
      </x:c>
    </x:row>
    <x:row r="2028">
      <x:c r="A2028" s="83" t="n">
        <x:v>2027</x:v>
      </x:c>
      <x:c r="B2028" s="84" t="n">
        <x:v>1188</x:v>
      </x:c>
      <x:c r="C2028" s="84" t="n">
        <x:v>4</x:v>
      </x:c>
      <x:c r="D2028" s="89" t="n">
        <x:v>45062</x:v>
      </x:c>
      <x:c r="E2028" s="84" t="n">
        <x:v>0.8</x:v>
      </x:c>
      <x:c r="F2028" s="84" t="str">
        <x:v>Normal</x:v>
      </x:c>
      <x:c r="G2028" s="93" t="n">
        <x:v>39.35</x:v>
      </x:c>
      <x:c r="H2028" s="85" t="str">
        <x:v>Diagnóstico e execução</x:v>
      </x:c>
    </x:row>
    <x:row r="2029">
      <x:c r="A2029" s="83" t="n">
        <x:v>2028</x:v>
      </x:c>
      <x:c r="B2029" s="84" t="n">
        <x:v>1190</x:v>
      </x:c>
      <x:c r="C2029" s="84" t="n">
        <x:v>4</x:v>
      </x:c>
      <x:c r="D2029" s="89" t="n">
        <x:v>45801</x:v>
      </x:c>
      <x:c r="E2029" s="84" t="n">
        <x:v>6.9</x:v>
      </x:c>
      <x:c r="F2029" s="84" t="str">
        <x:v>Normal</x:v>
      </x:c>
      <x:c r="G2029" s="93" t="n">
        <x:v>339.41</x:v>
      </x:c>
      <x:c r="H2029" s="85" t="str">
        <x:v>Diagnóstico e execução</x:v>
      </x:c>
    </x:row>
    <x:row r="2030">
      <x:c r="A2030" s="83" t="n">
        <x:v>2029</x:v>
      </x:c>
      <x:c r="B2030" s="84" t="n">
        <x:v>1191</x:v>
      </x:c>
      <x:c r="C2030" s="84" t="n">
        <x:v>28</x:v>
      </x:c>
      <x:c r="D2030" s="89" t="n">
        <x:v>45476</x:v>
      </x:c>
      <x:c r="E2030" s="84" t="n">
        <x:v>6.4</x:v>
      </x:c>
      <x:c r="F2030" s="84" t="str">
        <x:v>Normal</x:v>
      </x:c>
      <x:c r="G2030" s="93" t="n">
        <x:v>240.77</x:v>
      </x:c>
      <x:c r="H2030" s="85" t="str">
        <x:v>Diagnóstico e execução</x:v>
      </x:c>
    </x:row>
    <x:row r="2031">
      <x:c r="A2031" s="83" t="n">
        <x:v>2030</x:v>
      </x:c>
      <x:c r="B2031" s="84" t="n">
        <x:v>1191</x:v>
      </x:c>
      <x:c r="C2031" s="84" t="n">
        <x:v>19</x:v>
      </x:c>
      <x:c r="D2031" s="89" t="n">
        <x:v>45476</x:v>
      </x:c>
      <x:c r="E2031" s="84" t="n">
        <x:v>2.6</x:v>
      </x:c>
      <x:c r="F2031" s="84" t="str">
        <x:v>Normal</x:v>
      </x:c>
      <x:c r="G2031" s="93" t="n">
        <x:v>120.85</x:v>
      </x:c>
      <x:c r="H2031" s="85" t="str">
        <x:v>Diagnóstico e execução</x:v>
      </x:c>
    </x:row>
    <x:row r="2032">
      <x:c r="A2032" s="83" t="n">
        <x:v>2031</x:v>
      </x:c>
      <x:c r="B2032" s="84" t="n">
        <x:v>1193</x:v>
      </x:c>
      <x:c r="C2032" s="84" t="n">
        <x:v>22</x:v>
      </x:c>
      <x:c r="D2032" s="89" t="n">
        <x:v>45319</x:v>
      </x:c>
      <x:c r="E2032" s="84" t="n">
        <x:v>4</x:v>
      </x:c>
      <x:c r="F2032" s="84" t="str">
        <x:v>Normal</x:v>
      </x:c>
      <x:c r="G2032" s="93" t="n">
        <x:v>153.84</x:v>
      </x:c>
      <x:c r="H2032" s="85" t="str">
        <x:v>Diagnóstico e execução</x:v>
      </x:c>
    </x:row>
    <x:row r="2033">
      <x:c r="A2033" s="83" t="n">
        <x:v>2032</x:v>
      </x:c>
      <x:c r="B2033" s="84" t="n">
        <x:v>1193</x:v>
      </x:c>
      <x:c r="C2033" s="84" t="n">
        <x:v>43</x:v>
      </x:c>
      <x:c r="D2033" s="89" t="n">
        <x:v>45319</x:v>
      </x:c>
      <x:c r="E2033" s="84" t="n">
        <x:v>5.4</x:v>
      </x:c>
      <x:c r="F2033" s="84" t="str">
        <x:v>Normal</x:v>
      </x:c>
      <x:c r="G2033" s="93" t="n">
        <x:v>295.16</x:v>
      </x:c>
      <x:c r="H2033" s="85" t="str">
        <x:v>Diagnóstico e execução</x:v>
      </x:c>
    </x:row>
    <x:row r="2034">
      <x:c r="A2034" s="83" t="n">
        <x:v>2033</x:v>
      </x:c>
      <x:c r="B2034" s="84" t="n">
        <x:v>1194</x:v>
      </x:c>
      <x:c r="C2034" s="84" t="n">
        <x:v>11</x:v>
      </x:c>
      <x:c r="D2034" s="89" t="n">
        <x:v>45928</x:v>
      </x:c>
      <x:c r="E2034" s="84" t="n">
        <x:v>5.2</x:v>
      </x:c>
      <x:c r="F2034" s="84" t="str">
        <x:v>Normal</x:v>
      </x:c>
      <x:c r="G2034" s="93" t="n">
        <x:v>216.74</x:v>
      </x:c>
      <x:c r="H2034" s="85" t="str">
        <x:v>Diagnóstico e execução</x:v>
      </x:c>
    </x:row>
    <x:row r="2035">
      <x:c r="A2035" s="83" t="n">
        <x:v>2034</x:v>
      </x:c>
      <x:c r="B2035" s="84" t="n">
        <x:v>1194</x:v>
      </x:c>
      <x:c r="C2035" s="84" t="n">
        <x:v>13</x:v>
      </x:c>
      <x:c r="D2035" s="89" t="n">
        <x:v>45928</x:v>
      </x:c>
      <x:c r="E2035" s="84" t="n">
        <x:v>1.6</x:v>
      </x:c>
      <x:c r="F2035" s="84" t="str">
        <x:v>Normal</x:v>
      </x:c>
      <x:c r="G2035" s="93" t="n">
        <x:v>54.21</x:v>
      </x:c>
      <x:c r="H2035" s="85" t="str">
        <x:v>Diagnóstico e execução</x:v>
      </x:c>
    </x:row>
    <x:row r="2036">
      <x:c r="A2036" s="83" t="n">
        <x:v>2035</x:v>
      </x:c>
      <x:c r="B2036" s="84" t="n">
        <x:v>1194</x:v>
      </x:c>
      <x:c r="C2036" s="84" t="n">
        <x:v>25</x:v>
      </x:c>
      <x:c r="D2036" s="89" t="n">
        <x:v>45928</x:v>
      </x:c>
      <x:c r="E2036" s="84" t="n">
        <x:v>0.7</x:v>
      </x:c>
      <x:c r="F2036" s="84" t="str">
        <x:v>Normal</x:v>
      </x:c>
      <x:c r="G2036" s="93" t="n">
        <x:v>37.51</x:v>
      </x:c>
      <x:c r="H2036" s="85" t="str">
        <x:v>Diagnóstico e execução</x:v>
      </x:c>
    </x:row>
    <x:row r="2037">
      <x:c r="A2037" s="83" t="n">
        <x:v>2036</x:v>
      </x:c>
      <x:c r="B2037" s="84" t="n">
        <x:v>1195</x:v>
      </x:c>
      <x:c r="C2037" s="84" t="n">
        <x:v>27</x:v>
      </x:c>
      <x:c r="D2037" s="89" t="n">
        <x:v>44941</x:v>
      </x:c>
      <x:c r="E2037" s="84" t="n">
        <x:v>0.7</x:v>
      </x:c>
      <x:c r="F2037" s="84" t="str">
        <x:v>Normal</x:v>
      </x:c>
      <x:c r="G2037" s="93" t="n">
        <x:v>42.69</x:v>
      </x:c>
      <x:c r="H2037" s="85" t="str">
        <x:v>Diagnóstico e execução</x:v>
      </x:c>
    </x:row>
    <x:row r="2038">
      <x:c r="A2038" s="83" t="n">
        <x:v>2037</x:v>
      </x:c>
      <x:c r="B2038" s="84" t="n">
        <x:v>1195</x:v>
      </x:c>
      <x:c r="C2038" s="84" t="n">
        <x:v>25</x:v>
      </x:c>
      <x:c r="D2038" s="89" t="n">
        <x:v>44941</x:v>
      </x:c>
      <x:c r="E2038" s="84" t="n">
        <x:v>4.5</x:v>
      </x:c>
      <x:c r="F2038" s="84" t="str">
        <x:v>Normal</x:v>
      </x:c>
      <x:c r="G2038" s="93" t="n">
        <x:v>241.16</x:v>
      </x:c>
      <x:c r="H2038" s="85" t="str">
        <x:v>Diagnóstico e execução</x:v>
      </x:c>
    </x:row>
    <x:row r="2039">
      <x:c r="A2039" s="83" t="n">
        <x:v>2038</x:v>
      </x:c>
      <x:c r="B2039" s="84" t="n">
        <x:v>1195</x:v>
      </x:c>
      <x:c r="C2039" s="84" t="n">
        <x:v>3</x:v>
      </x:c>
      <x:c r="D2039" s="89" t="n">
        <x:v>44941</x:v>
      </x:c>
      <x:c r="E2039" s="84" t="n">
        <x:v>5.9</x:v>
      </x:c>
      <x:c r="F2039" s="84" t="str">
        <x:v>Normal</x:v>
      </x:c>
      <x:c r="G2039" s="93" t="n">
        <x:v>290.52</x:v>
      </x:c>
      <x:c r="H2039" s="85" t="str">
        <x:v>Diagnóstico e execução</x:v>
      </x:c>
    </x:row>
    <x:row r="2040">
      <x:c r="A2040" s="83" t="n">
        <x:v>2039</x:v>
      </x:c>
      <x:c r="B2040" s="84" t="n">
        <x:v>1196</x:v>
      </x:c>
      <x:c r="C2040" s="84" t="n">
        <x:v>4</x:v>
      </x:c>
      <x:c r="D2040" s="89" t="n">
        <x:v>45648</x:v>
      </x:c>
      <x:c r="E2040" s="84" t="n">
        <x:v>7.4</x:v>
      </x:c>
      <x:c r="F2040" s="84" t="str">
        <x:v>Normal</x:v>
      </x:c>
      <x:c r="G2040" s="93" t="n">
        <x:v>364.01</x:v>
      </x:c>
      <x:c r="H2040" s="85" t="str">
        <x:v>Diagnóstico e execução</x:v>
      </x:c>
    </x:row>
    <x:row r="2041">
      <x:c r="A2041" s="83" t="n">
        <x:v>2040</x:v>
      </x:c>
      <x:c r="B2041" s="84" t="n">
        <x:v>1197</x:v>
      </x:c>
      <x:c r="C2041" s="84" t="n">
        <x:v>36</x:v>
      </x:c>
      <x:c r="D2041" s="89" t="n">
        <x:v>45067</x:v>
      </x:c>
      <x:c r="E2041" s="84" t="n">
        <x:v>4.7</x:v>
      </x:c>
      <x:c r="F2041" s="84" t="str">
        <x:v>Normal</x:v>
      </x:c>
      <x:c r="G2041" s="93" t="n">
        <x:v>139.4</x:v>
      </x:c>
      <x:c r="H2041" s="85" t="str">
        <x:v>Diagnóstico e execução</x:v>
      </x:c>
    </x:row>
    <x:row r="2042">
      <x:c r="A2042" s="83" t="n">
        <x:v>2041</x:v>
      </x:c>
      <x:c r="B2042" s="84" t="n">
        <x:v>1199</x:v>
      </x:c>
      <x:c r="C2042" s="84" t="n">
        <x:v>13</x:v>
      </x:c>
      <x:c r="D2042" s="89" t="n">
        <x:v>45822</x:v>
      </x:c>
      <x:c r="E2042" s="84" t="n">
        <x:v>2.6</x:v>
      </x:c>
      <x:c r="F2042" s="84" t="str">
        <x:v>Normal</x:v>
      </x:c>
      <x:c r="G2042" s="93" t="n">
        <x:v>88.09</x:v>
      </x:c>
      <x:c r="H2042" s="85" t="str">
        <x:v>Diagnóstico e execução</x:v>
      </x:c>
    </x:row>
    <x:row r="2043">
      <x:c r="A2043" s="83" t="n">
        <x:v>2042</x:v>
      </x:c>
      <x:c r="B2043" s="84" t="n">
        <x:v>1200</x:v>
      </x:c>
      <x:c r="C2043" s="84" t="n">
        <x:v>15</x:v>
      </x:c>
      <x:c r="D2043" s="89" t="n">
        <x:v>45892</x:v>
      </x:c>
      <x:c r="E2043" s="84" t="n">
        <x:v>5.1</x:v>
      </x:c>
      <x:c r="F2043" s="84" t="str">
        <x:v>Normal</x:v>
      </x:c>
      <x:c r="G2043" s="93" t="n">
        <x:v>154.22</x:v>
      </x:c>
      <x:c r="H2043" s="85" t="str">
        <x:v>Diagnóstico e execução</x:v>
      </x:c>
    </x:row>
    <x:row r="2044">
      <x:c r="A2044" s="83" t="n">
        <x:v>2043</x:v>
      </x:c>
      <x:c r="B2044" s="84" t="n">
        <x:v>1200</x:v>
      </x:c>
      <x:c r="C2044" s="84" t="n">
        <x:v>14</x:v>
      </x:c>
      <x:c r="D2044" s="89" t="n">
        <x:v>45892</x:v>
      </x:c>
      <x:c r="E2044" s="84" t="n">
        <x:v>2.4</x:v>
      </x:c>
      <x:c r="F2044" s="84" t="str">
        <x:v>Normal</x:v>
      </x:c>
      <x:c r="G2044" s="93" t="n">
        <x:v>135.98</x:v>
      </x:c>
      <x:c r="H2044" s="85" t="str">
        <x:v>Diagnóstico e execução</x:v>
      </x:c>
    </x:row>
    <x:row r="2045">
      <x:c r="A2045" s="83" t="n">
        <x:v>2044</x:v>
      </x:c>
      <x:c r="B2045" s="84" t="n">
        <x:v>1200</x:v>
      </x:c>
      <x:c r="C2045" s="84" t="n">
        <x:v>20</x:v>
      </x:c>
      <x:c r="D2045" s="89" t="n">
        <x:v>45892</x:v>
      </x:c>
      <x:c r="E2045" s="84" t="n">
        <x:v>7.8</x:v>
      </x:c>
      <x:c r="F2045" s="84" t="str">
        <x:v>Normal</x:v>
      </x:c>
      <x:c r="G2045" s="93" t="n">
        <x:v>261.46</x:v>
      </x:c>
      <x:c r="H2045" s="85" t="str">
        <x:v>Diagnóstico e execução</x:v>
      </x:c>
    </x:row>
    <x:row r="2046">
      <x:c r="A2046" s="83" t="n">
        <x:v>2045</x:v>
      </x:c>
      <x:c r="B2046" s="84" t="n">
        <x:v>1201</x:v>
      </x:c>
      <x:c r="C2046" s="84" t="n">
        <x:v>36</x:v>
      </x:c>
      <x:c r="D2046" s="89" t="n">
        <x:v>45051</x:v>
      </x:c>
      <x:c r="E2046" s="84" t="n">
        <x:v>3.2</x:v>
      </x:c>
      <x:c r="F2046" s="84" t="str">
        <x:v>Normal</x:v>
      </x:c>
      <x:c r="G2046" s="93" t="n">
        <x:v>94.91</x:v>
      </x:c>
      <x:c r="H2046" s="85" t="str">
        <x:v>Diagnóstico e execução</x:v>
      </x:c>
    </x:row>
    <x:row r="2047">
      <x:c r="A2047" s="83" t="n">
        <x:v>2046</x:v>
      </x:c>
      <x:c r="B2047" s="84" t="n">
        <x:v>1203</x:v>
      </x:c>
      <x:c r="C2047" s="84" t="n">
        <x:v>30</x:v>
      </x:c>
      <x:c r="D2047" s="89" t="n">
        <x:v>45928</x:v>
      </x:c>
      <x:c r="E2047" s="84" t="n">
        <x:v>3.2</x:v>
      </x:c>
      <x:c r="F2047" s="84" t="str">
        <x:v>Normal</x:v>
      </x:c>
      <x:c r="G2047" s="93" t="n">
        <x:v>132.51</x:v>
      </x:c>
      <x:c r="H2047" s="85" t="str">
        <x:v>Diagnóstico e execução</x:v>
      </x:c>
    </x:row>
    <x:row r="2048">
      <x:c r="A2048" s="83" t="n">
        <x:v>2047</x:v>
      </x:c>
      <x:c r="B2048" s="84" t="n">
        <x:v>1204</x:v>
      </x:c>
      <x:c r="C2048" s="84" t="n">
        <x:v>8</x:v>
      </x:c>
      <x:c r="D2048" s="89" t="n">
        <x:v>45748</x:v>
      </x:c>
      <x:c r="E2048" s="84" t="n">
        <x:v>4.7</x:v>
      </x:c>
      <x:c r="F2048" s="84" t="str">
        <x:v>Normal</x:v>
      </x:c>
      <x:c r="G2048" s="93" t="n">
        <x:v>218.55</x:v>
      </x:c>
      <x:c r="H2048" s="85" t="str">
        <x:v>Diagnóstico e execução</x:v>
      </x:c>
    </x:row>
    <x:row r="2049">
      <x:c r="A2049" s="83" t="n">
        <x:v>2048</x:v>
      </x:c>
      <x:c r="B2049" s="84" t="n">
        <x:v>1204</x:v>
      </x:c>
      <x:c r="C2049" s="84" t="n">
        <x:v>5</x:v>
      </x:c>
      <x:c r="D2049" s="89" t="n">
        <x:v>45748</x:v>
      </x:c>
      <x:c r="E2049" s="84" t="n">
        <x:v>6.5</x:v>
      </x:c>
      <x:c r="F2049" s="84" t="str">
        <x:v>Normal</x:v>
      </x:c>
      <x:c r="G2049" s="93" t="n">
        <x:v>187.33</x:v>
      </x:c>
      <x:c r="H2049" s="85" t="str">
        <x:v>Diagnóstico e execução</x:v>
      </x:c>
    </x:row>
    <x:row r="2050">
      <x:c r="A2050" s="83" t="n">
        <x:v>2049</x:v>
      </x:c>
      <x:c r="B2050" s="84" t="n">
        <x:v>1204</x:v>
      </x:c>
      <x:c r="C2050" s="84" t="n">
        <x:v>41</x:v>
      </x:c>
      <x:c r="D2050" s="89" t="n">
        <x:v>45748</x:v>
      </x:c>
      <x:c r="E2050" s="84" t="n">
        <x:v>3.5</x:v>
      </x:c>
      <x:c r="F2050" s="84" t="str">
        <x:v>Normal</x:v>
      </x:c>
      <x:c r="G2050" s="93" t="n">
        <x:v>177.03</x:v>
      </x:c>
      <x:c r="H2050" s="85" t="str">
        <x:v>Diagnóstico e execução</x:v>
      </x:c>
    </x:row>
    <x:row r="2051">
      <x:c r="A2051" s="83" t="n">
        <x:v>2050</x:v>
      </x:c>
      <x:c r="B2051" s="84" t="n">
        <x:v>1206</x:v>
      </x:c>
      <x:c r="C2051" s="84" t="n">
        <x:v>36</x:v>
      </x:c>
      <x:c r="D2051" s="89" t="n">
        <x:v>45509</x:v>
      </x:c>
      <x:c r="E2051" s="84" t="n">
        <x:v>3.1</x:v>
      </x:c>
      <x:c r="F2051" s="84" t="str">
        <x:v>Normal</x:v>
      </x:c>
      <x:c r="G2051" s="93" t="n">
        <x:v>91.95</x:v>
      </x:c>
      <x:c r="H2051" s="85" t="str">
        <x:v>Diagnóstico e execução</x:v>
      </x:c>
    </x:row>
    <x:row r="2052">
      <x:c r="A2052" s="83" t="n">
        <x:v>2051</x:v>
      </x:c>
      <x:c r="B2052" s="84" t="n">
        <x:v>1206</x:v>
      </x:c>
      <x:c r="C2052" s="84" t="n">
        <x:v>24</x:v>
      </x:c>
      <x:c r="D2052" s="89" t="n">
        <x:v>45509</x:v>
      </x:c>
      <x:c r="E2052" s="84" t="n">
        <x:v>5.5</x:v>
      </x:c>
      <x:c r="F2052" s="84" t="str">
        <x:v>Normal</x:v>
      </x:c>
      <x:c r="G2052" s="93" t="n">
        <x:v>325.82</x:v>
      </x:c>
      <x:c r="H2052" s="85" t="str">
        <x:v>Diagnóstico e execução</x:v>
      </x:c>
    </x:row>
    <x:row r="2053">
      <x:c r="A2053" s="83" t="n">
        <x:v>2052</x:v>
      </x:c>
      <x:c r="B2053" s="84" t="n">
        <x:v>1207</x:v>
      </x:c>
      <x:c r="C2053" s="84" t="n">
        <x:v>45</x:v>
      </x:c>
      <x:c r="D2053" s="89" t="n">
        <x:v>45985</x:v>
      </x:c>
      <x:c r="E2053" s="84" t="n">
        <x:v>7.7</x:v>
      </x:c>
      <x:c r="F2053" s="84" t="str">
        <x:v>Normal</x:v>
      </x:c>
      <x:c r="G2053" s="93" t="n">
        <x:v>412.49</x:v>
      </x:c>
      <x:c r="H2053" s="85" t="str">
        <x:v>Diagnóstico e execução</x:v>
      </x:c>
    </x:row>
    <x:row r="2054">
      <x:c r="A2054" s="83" t="n">
        <x:v>2053</x:v>
      </x:c>
      <x:c r="B2054" s="84" t="n">
        <x:v>1207</x:v>
      </x:c>
      <x:c r="C2054" s="84" t="n">
        <x:v>12</x:v>
      </x:c>
      <x:c r="D2054" s="89" t="n">
        <x:v>45985</x:v>
      </x:c>
      <x:c r="E2054" s="84" t="n">
        <x:v>7.4</x:v>
      </x:c>
      <x:c r="F2054" s="84" t="str">
        <x:v>Normal</x:v>
      </x:c>
      <x:c r="G2054" s="93" t="n">
        <x:v>255.3</x:v>
      </x:c>
      <x:c r="H2054" s="85" t="str">
        <x:v>Diagnóstico e execução</x:v>
      </x:c>
    </x:row>
    <x:row r="2055">
      <x:c r="A2055" s="83" t="n">
        <x:v>2054</x:v>
      </x:c>
      <x:c r="B2055" s="84" t="n">
        <x:v>1208</x:v>
      </x:c>
      <x:c r="C2055" s="84" t="n">
        <x:v>22</x:v>
      </x:c>
      <x:c r="D2055" s="89" t="n">
        <x:v>45217</x:v>
      </x:c>
      <x:c r="E2055" s="84" t="n">
        <x:v>5.2</x:v>
      </x:c>
      <x:c r="F2055" s="84" t="str">
        <x:v>Normal</x:v>
      </x:c>
      <x:c r="G2055" s="93" t="n">
        <x:v>199.99</x:v>
      </x:c>
      <x:c r="H2055" s="85" t="str">
        <x:v>Diagnóstico e execução</x:v>
      </x:c>
    </x:row>
    <x:row r="2056">
      <x:c r="A2056" s="83" t="n">
        <x:v>2055</x:v>
      </x:c>
      <x:c r="B2056" s="84" t="n">
        <x:v>1208</x:v>
      </x:c>
      <x:c r="C2056" s="84" t="n">
        <x:v>18</x:v>
      </x:c>
      <x:c r="D2056" s="89" t="n">
        <x:v>45217</x:v>
      </x:c>
      <x:c r="E2056" s="84" t="n">
        <x:v>2</x:v>
      </x:c>
      <x:c r="F2056" s="84" t="str">
        <x:v>Normal</x:v>
      </x:c>
      <x:c r="G2056" s="93" t="n">
        <x:v>126.18</x:v>
      </x:c>
      <x:c r="H2056" s="85" t="str">
        <x:v>Diagnóstico e execução</x:v>
      </x:c>
    </x:row>
    <x:row r="2057">
      <x:c r="A2057" s="83" t="n">
        <x:v>2056</x:v>
      </x:c>
      <x:c r="B2057" s="84" t="n">
        <x:v>1208</x:v>
      </x:c>
      <x:c r="C2057" s="84" t="n">
        <x:v>40</x:v>
      </x:c>
      <x:c r="D2057" s="89" t="n">
        <x:v>45217</x:v>
      </x:c>
      <x:c r="E2057" s="84" t="n">
        <x:v>0.9</x:v>
      </x:c>
      <x:c r="F2057" s="84" t="str">
        <x:v>Normal</x:v>
      </x:c>
      <x:c r="G2057" s="93" t="n">
        <x:v>44.48</x:v>
      </x:c>
      <x:c r="H2057" s="85" t="str">
        <x:v>Diagnóstico e execução</x:v>
      </x:c>
    </x:row>
    <x:row r="2058">
      <x:c r="A2058" s="83" t="n">
        <x:v>2057</x:v>
      </x:c>
      <x:c r="B2058" s="84" t="n">
        <x:v>1209</x:v>
      </x:c>
      <x:c r="C2058" s="84" t="n">
        <x:v>36</x:v>
      </x:c>
      <x:c r="D2058" s="89" t="n">
        <x:v>45479</x:v>
      </x:c>
      <x:c r="E2058" s="84" t="n">
        <x:v>6.3</x:v>
      </x:c>
      <x:c r="F2058" s="84" t="str">
        <x:v>Normal</x:v>
      </x:c>
      <x:c r="G2058" s="93" t="n">
        <x:v>186.86</x:v>
      </x:c>
      <x:c r="H2058" s="85" t="str">
        <x:v>Diagnóstico e execução</x:v>
      </x:c>
    </x:row>
    <x:row r="2059">
      <x:c r="A2059" s="83" t="n">
        <x:v>2058</x:v>
      </x:c>
      <x:c r="B2059" s="84" t="n">
        <x:v>1210</x:v>
      </x:c>
      <x:c r="C2059" s="84" t="n">
        <x:v>24</x:v>
      </x:c>
      <x:c r="D2059" s="89" t="n">
        <x:v>45121</x:v>
      </x:c>
      <x:c r="E2059" s="84" t="n">
        <x:v>2.6</x:v>
      </x:c>
      <x:c r="F2059" s="84" t="str">
        <x:v>Normal</x:v>
      </x:c>
      <x:c r="G2059" s="93" t="n">
        <x:v>154.02</x:v>
      </x:c>
      <x:c r="H2059" s="85" t="str">
        <x:v>Diagnóstico e execução</x:v>
      </x:c>
    </x:row>
    <x:row r="2060">
      <x:c r="A2060" s="83" t="n">
        <x:v>2059</x:v>
      </x:c>
      <x:c r="B2060" s="84" t="n">
        <x:v>1210</x:v>
      </x:c>
      <x:c r="C2060" s="84" t="n">
        <x:v>21</x:v>
      </x:c>
      <x:c r="D2060" s="89" t="n">
        <x:v>45121</x:v>
      </x:c>
      <x:c r="E2060" s="84" t="n">
        <x:v>4.9</x:v>
      </x:c>
      <x:c r="F2060" s="84" t="str">
        <x:v>Normal</x:v>
      </x:c>
      <x:c r="G2060" s="93" t="n">
        <x:v>301.01</x:v>
      </x:c>
      <x:c r="H2060" s="85" t="str">
        <x:v>Diagnóstico e execução</x:v>
      </x:c>
    </x:row>
    <x:row r="2061">
      <x:c r="A2061" s="83" t="n">
        <x:v>2060</x:v>
      </x:c>
      <x:c r="B2061" s="84" t="n">
        <x:v>1210</x:v>
      </x:c>
      <x:c r="C2061" s="84" t="n">
        <x:v>42</x:v>
      </x:c>
      <x:c r="D2061" s="89" t="n">
        <x:v>45121</x:v>
      </x:c>
      <x:c r="E2061" s="84" t="n">
        <x:v>3.3</x:v>
      </x:c>
      <x:c r="F2061" s="84" t="str">
        <x:v>Normal</x:v>
      </x:c>
      <x:c r="G2061" s="93" t="n">
        <x:v>139.19</x:v>
      </x:c>
      <x:c r="H2061" s="85" t="str">
        <x:v>Diagnóstico e execução</x:v>
      </x:c>
    </x:row>
    <x:row r="2062">
      <x:c r="A2062" s="83" t="n">
        <x:v>2061</x:v>
      </x:c>
      <x:c r="B2062" s="84" t="n">
        <x:v>1211</x:v>
      </x:c>
      <x:c r="C2062" s="84" t="n">
        <x:v>37</x:v>
      </x:c>
      <x:c r="D2062" s="89" t="n">
        <x:v>45086</x:v>
      </x:c>
      <x:c r="E2062" s="84" t="n">
        <x:v>2.1</x:v>
      </x:c>
      <x:c r="F2062" s="84" t="str">
        <x:v>Normal</x:v>
      </x:c>
      <x:c r="G2062" s="93" t="n">
        <x:v>123.84</x:v>
      </x:c>
      <x:c r="H2062" s="85" t="str">
        <x:v>Diagnóstico e execução</x:v>
      </x:c>
    </x:row>
    <x:row r="2063">
      <x:c r="A2063" s="83" t="n">
        <x:v>2062</x:v>
      </x:c>
      <x:c r="B2063" s="84" t="n">
        <x:v>1211</x:v>
      </x:c>
      <x:c r="C2063" s="84" t="n">
        <x:v>18</x:v>
      </x:c>
      <x:c r="D2063" s="89" t="n">
        <x:v>45086</x:v>
      </x:c>
      <x:c r="E2063" s="84" t="n">
        <x:v>3.2</x:v>
      </x:c>
      <x:c r="F2063" s="84" t="str">
        <x:v>Normal</x:v>
      </x:c>
      <x:c r="G2063" s="93" t="n">
        <x:v>201.89</x:v>
      </x:c>
      <x:c r="H2063" s="85" t="str">
        <x:v>Diagnóstico e execução</x:v>
      </x:c>
    </x:row>
    <x:row r="2064">
      <x:c r="A2064" s="83" t="n">
        <x:v>2063</x:v>
      </x:c>
      <x:c r="B2064" s="84" t="n">
        <x:v>1211</x:v>
      </x:c>
      <x:c r="C2064" s="84" t="n">
        <x:v>32</x:v>
      </x:c>
      <x:c r="D2064" s="89" t="n">
        <x:v>45086</x:v>
      </x:c>
      <x:c r="E2064" s="84" t="n">
        <x:v>7.7</x:v>
      </x:c>
      <x:c r="F2064" s="84" t="str">
        <x:v>Normal</x:v>
      </x:c>
      <x:c r="G2064" s="93" t="n">
        <x:v>336.11</x:v>
      </x:c>
      <x:c r="H2064" s="85" t="str">
        <x:v>Diagnóstico e execução</x:v>
      </x:c>
    </x:row>
    <x:row r="2065">
      <x:c r="A2065" s="83" t="n">
        <x:v>2064</x:v>
      </x:c>
      <x:c r="B2065" s="84" t="n">
        <x:v>1212</x:v>
      </x:c>
      <x:c r="C2065" s="84" t="n">
        <x:v>8</x:v>
      </x:c>
      <x:c r="D2065" s="89" t="n">
        <x:v>45707</x:v>
      </x:c>
      <x:c r="E2065" s="84" t="n">
        <x:v>2.4</x:v>
      </x:c>
      <x:c r="F2065" s="84" t="str">
        <x:v>Normal</x:v>
      </x:c>
      <x:c r="G2065" s="93" t="n">
        <x:v>111.6</x:v>
      </x:c>
      <x:c r="H2065" s="85" t="str">
        <x:v>Diagnóstico e execução</x:v>
      </x:c>
    </x:row>
    <x:row r="2066">
      <x:c r="A2066" s="83" t="n">
        <x:v>2065</x:v>
      </x:c>
      <x:c r="B2066" s="84" t="n">
        <x:v>1212</x:v>
      </x:c>
      <x:c r="C2066" s="84" t="n">
        <x:v>30</x:v>
      </x:c>
      <x:c r="D2066" s="89" t="n">
        <x:v>45707</x:v>
      </x:c>
      <x:c r="E2066" s="84" t="n">
        <x:v>8</x:v>
      </x:c>
      <x:c r="F2066" s="84" t="str">
        <x:v>Normal</x:v>
      </x:c>
      <x:c r="G2066" s="93" t="n">
        <x:v>331.28</x:v>
      </x:c>
      <x:c r="H2066" s="85" t="str">
        <x:v>Diagnóstico e execução</x:v>
      </x:c>
    </x:row>
    <x:row r="2067">
      <x:c r="A2067" s="83" t="n">
        <x:v>2066</x:v>
      </x:c>
      <x:c r="B2067" s="84" t="n">
        <x:v>1213</x:v>
      </x:c>
      <x:c r="C2067" s="84" t="n">
        <x:v>45</x:v>
      </x:c>
      <x:c r="D2067" s="89" t="n">
        <x:v>45626</x:v>
      </x:c>
      <x:c r="E2067" s="84" t="n">
        <x:v>4.4</x:v>
      </x:c>
      <x:c r="F2067" s="84" t="str">
        <x:v>Normal</x:v>
      </x:c>
      <x:c r="G2067" s="93" t="n">
        <x:v>235.71</x:v>
      </x:c>
      <x:c r="H2067" s="85" t="str">
        <x:v>Diagnóstico e execução</x:v>
      </x:c>
    </x:row>
    <x:row r="2068">
      <x:c r="A2068" s="83" t="n">
        <x:v>2067</x:v>
      </x:c>
      <x:c r="B2068" s="84" t="n">
        <x:v>1213</x:v>
      </x:c>
      <x:c r="C2068" s="84" t="n">
        <x:v>13</x:v>
      </x:c>
      <x:c r="D2068" s="89" t="n">
        <x:v>45626</x:v>
      </x:c>
      <x:c r="E2068" s="84" t="n">
        <x:v>1.2</x:v>
      </x:c>
      <x:c r="F2068" s="84" t="str">
        <x:v>Normal</x:v>
      </x:c>
      <x:c r="G2068" s="93" t="n">
        <x:v>40.66</x:v>
      </x:c>
      <x:c r="H2068" s="85" t="str">
        <x:v>Diagnóstico e execução</x:v>
      </x:c>
    </x:row>
    <x:row r="2069">
      <x:c r="A2069" s="83" t="n">
        <x:v>2068</x:v>
      </x:c>
      <x:c r="B2069" s="84" t="n">
        <x:v>1214</x:v>
      </x:c>
      <x:c r="C2069" s="84" t="n">
        <x:v>6</x:v>
      </x:c>
      <x:c r="D2069" s="89" t="n">
        <x:v>44956</x:v>
      </x:c>
      <x:c r="E2069" s="84" t="n">
        <x:v>5.3</x:v>
      </x:c>
      <x:c r="F2069" s="84" t="str">
        <x:v>Normal</x:v>
      </x:c>
      <x:c r="G2069" s="93" t="n">
        <x:v>276.98</x:v>
      </x:c>
      <x:c r="H2069" s="85" t="str">
        <x:v>Diagnóstico e execução</x:v>
      </x:c>
    </x:row>
    <x:row r="2070">
      <x:c r="A2070" s="83" t="n">
        <x:v>2069</x:v>
      </x:c>
      <x:c r="B2070" s="84" t="n">
        <x:v>1215</x:v>
      </x:c>
      <x:c r="C2070" s="84" t="n">
        <x:v>36</x:v>
      </x:c>
      <x:c r="D2070" s="89" t="n">
        <x:v>45830</x:v>
      </x:c>
      <x:c r="E2070" s="84" t="n">
        <x:v>1.7</x:v>
      </x:c>
      <x:c r="F2070" s="84" t="str">
        <x:v>Normal</x:v>
      </x:c>
      <x:c r="G2070" s="93" t="n">
        <x:v>50.42</x:v>
      </x:c>
      <x:c r="H2070" s="85" t="str">
        <x:v>Diagnóstico e execução</x:v>
      </x:c>
    </x:row>
    <x:row r="2071">
      <x:c r="A2071" s="83" t="n">
        <x:v>2070</x:v>
      </x:c>
      <x:c r="B2071" s="84" t="n">
        <x:v>1216</x:v>
      </x:c>
      <x:c r="C2071" s="84" t="n">
        <x:v>35</x:v>
      </x:c>
      <x:c r="D2071" s="89" t="n">
        <x:v>45030</x:v>
      </x:c>
      <x:c r="E2071" s="84" t="n">
        <x:v>1.3</x:v>
      </x:c>
      <x:c r="F2071" s="84" t="str">
        <x:v>Normal</x:v>
      </x:c>
      <x:c r="G2071" s="93" t="n">
        <x:v>63.95</x:v>
      </x:c>
      <x:c r="H2071" s="85" t="str">
        <x:v>Diagnóstico e execução</x:v>
      </x:c>
    </x:row>
    <x:row r="2072">
      <x:c r="A2072" s="83" t="n">
        <x:v>2071</x:v>
      </x:c>
      <x:c r="B2072" s="84" t="n">
        <x:v>1216</x:v>
      </x:c>
      <x:c r="C2072" s="84" t="n">
        <x:v>34</x:v>
      </x:c>
      <x:c r="D2072" s="89" t="n">
        <x:v>45030</x:v>
      </x:c>
      <x:c r="E2072" s="84" t="n">
        <x:v>6.1</x:v>
      </x:c>
      <x:c r="F2072" s="84" t="str">
        <x:v>Normal</x:v>
      </x:c>
      <x:c r="G2072" s="93" t="n">
        <x:v>263.7</x:v>
      </x:c>
      <x:c r="H2072" s="85" t="str">
        <x:v>Diagnóstico e execução</x:v>
      </x:c>
    </x:row>
    <x:row r="2073">
      <x:c r="A2073" s="83" t="n">
        <x:v>2072</x:v>
      </x:c>
      <x:c r="B2073" s="84" t="n">
        <x:v>1216</x:v>
      </x:c>
      <x:c r="C2073" s="84" t="n">
        <x:v>21</x:v>
      </x:c>
      <x:c r="D2073" s="89" t="n">
        <x:v>45030</x:v>
      </x:c>
      <x:c r="E2073" s="84" t="n">
        <x:v>0.9</x:v>
      </x:c>
      <x:c r="F2073" s="84" t="str">
        <x:v>Normal</x:v>
      </x:c>
      <x:c r="G2073" s="93" t="n">
        <x:v>55.29</x:v>
      </x:c>
      <x:c r="H2073" s="85" t="str">
        <x:v>Diagnóstico e execução</x:v>
      </x:c>
    </x:row>
    <x:row r="2074">
      <x:c r="A2074" s="83" t="n">
        <x:v>2073</x:v>
      </x:c>
      <x:c r="B2074" s="84" t="n">
        <x:v>1217</x:v>
      </x:c>
      <x:c r="C2074" s="84" t="n">
        <x:v>16</x:v>
      </x:c>
      <x:c r="D2074" s="89" t="n">
        <x:v>45614</x:v>
      </x:c>
      <x:c r="E2074" s="84" t="n">
        <x:v>7.2</x:v>
      </x:c>
      <x:c r="F2074" s="84" t="str">
        <x:v>Normal</x:v>
      </x:c>
      <x:c r="G2074" s="93" t="n">
        <x:v>291.74</x:v>
      </x:c>
      <x:c r="H2074" s="85" t="str">
        <x:v>Diagnóstico e execução</x:v>
      </x:c>
    </x:row>
    <x:row r="2075">
      <x:c r="A2075" s="83" t="n">
        <x:v>2074</x:v>
      </x:c>
      <x:c r="B2075" s="84" t="n">
        <x:v>1217</x:v>
      </x:c>
      <x:c r="C2075" s="84" t="n">
        <x:v>37</x:v>
      </x:c>
      <x:c r="D2075" s="89" t="n">
        <x:v>45614</x:v>
      </x:c>
      <x:c r="E2075" s="84" t="n">
        <x:v>1.1</x:v>
      </x:c>
      <x:c r="F2075" s="84" t="str">
        <x:v>Normal</x:v>
      </x:c>
      <x:c r="G2075" s="93" t="n">
        <x:v>64.87</x:v>
      </x:c>
      <x:c r="H2075" s="85" t="str">
        <x:v>Diagnóstico e execução</x:v>
      </x:c>
    </x:row>
    <x:row r="2076">
      <x:c r="A2076" s="83" t="n">
        <x:v>2075</x:v>
      </x:c>
      <x:c r="B2076" s="84" t="n">
        <x:v>1218</x:v>
      </x:c>
      <x:c r="C2076" s="84" t="n">
        <x:v>30</x:v>
      </x:c>
      <x:c r="D2076" s="89" t="n">
        <x:v>45932</x:v>
      </x:c>
      <x:c r="E2076" s="84" t="n">
        <x:v>1.5</x:v>
      </x:c>
      <x:c r="F2076" s="84" t="str">
        <x:v>Normal</x:v>
      </x:c>
      <x:c r="G2076" s="93" t="n">
        <x:v>62.11</x:v>
      </x:c>
      <x:c r="H2076" s="85" t="str">
        <x:v>Diagnóstico e execução</x:v>
      </x:c>
    </x:row>
    <x:row r="2077">
      <x:c r="A2077" s="83" t="n">
        <x:v>2076</x:v>
      </x:c>
      <x:c r="B2077" s="84" t="n">
        <x:v>1218</x:v>
      </x:c>
      <x:c r="C2077" s="84" t="n">
        <x:v>16</x:v>
      </x:c>
      <x:c r="D2077" s="89" t="n">
        <x:v>45932</x:v>
      </x:c>
      <x:c r="E2077" s="84" t="n">
        <x:v>2.5</x:v>
      </x:c>
      <x:c r="F2077" s="84" t="str">
        <x:v>Normal</x:v>
      </x:c>
      <x:c r="G2077" s="93" t="n">
        <x:v>101.3</x:v>
      </x:c>
      <x:c r="H2077" s="85" t="str">
        <x:v>Diagnóstico e execução</x:v>
      </x:c>
    </x:row>
    <x:row r="2078">
      <x:c r="A2078" s="83" t="n">
        <x:v>2077</x:v>
      </x:c>
      <x:c r="B2078" s="84" t="n">
        <x:v>1220</x:v>
      </x:c>
      <x:c r="C2078" s="84" t="n">
        <x:v>43</x:v>
      </x:c>
      <x:c r="D2078" s="89" t="n">
        <x:v>45793</x:v>
      </x:c>
      <x:c r="E2078" s="84" t="n">
        <x:v>2.8</x:v>
      </x:c>
      <x:c r="F2078" s="84" t="str">
        <x:v>Normal</x:v>
      </x:c>
      <x:c r="G2078" s="93" t="n">
        <x:v>153.05</x:v>
      </x:c>
      <x:c r="H2078" s="85" t="str">
        <x:v>Diagnóstico e execução</x:v>
      </x:c>
    </x:row>
    <x:row r="2079">
      <x:c r="A2079" s="83" t="n">
        <x:v>2078</x:v>
      </x:c>
      <x:c r="B2079" s="84" t="n">
        <x:v>1220</x:v>
      </x:c>
      <x:c r="C2079" s="84" t="n">
        <x:v>4</x:v>
      </x:c>
      <x:c r="D2079" s="89" t="n">
        <x:v>45793</x:v>
      </x:c>
      <x:c r="E2079" s="84" t="n">
        <x:v>2.3</x:v>
      </x:c>
      <x:c r="F2079" s="84" t="str">
        <x:v>Normal</x:v>
      </x:c>
      <x:c r="G2079" s="93" t="n">
        <x:v>113.14</x:v>
      </x:c>
      <x:c r="H2079" s="85" t="str">
        <x:v>Diagnóstico e execução</x:v>
      </x:c>
    </x:row>
    <x:row r="2080">
      <x:c r="A2080" s="83" t="n">
        <x:v>2079</x:v>
      </x:c>
      <x:c r="B2080" s="84" t="n">
        <x:v>1220</x:v>
      </x:c>
      <x:c r="C2080" s="84" t="n">
        <x:v>43</x:v>
      </x:c>
      <x:c r="D2080" s="89" t="n">
        <x:v>45793</x:v>
      </x:c>
      <x:c r="E2080" s="84" t="n">
        <x:v>1.4</x:v>
      </x:c>
      <x:c r="F2080" s="84" t="str">
        <x:v>Normal</x:v>
      </x:c>
      <x:c r="G2080" s="93" t="n">
        <x:v>76.52</x:v>
      </x:c>
      <x:c r="H2080" s="85" t="str">
        <x:v>Diagnóstico e execução</x:v>
      </x:c>
    </x:row>
    <x:row r="2081">
      <x:c r="A2081" s="83" t="n">
        <x:v>2080</x:v>
      </x:c>
      <x:c r="B2081" s="84" t="n">
        <x:v>1221</x:v>
      </x:c>
      <x:c r="C2081" s="84" t="n">
        <x:v>42</x:v>
      </x:c>
      <x:c r="D2081" s="89" t="n">
        <x:v>45147</x:v>
      </x:c>
      <x:c r="E2081" s="84" t="n">
        <x:v>7.9</x:v>
      </x:c>
      <x:c r="F2081" s="84" t="str">
        <x:v>Normal</x:v>
      </x:c>
      <x:c r="G2081" s="93" t="n">
        <x:v>333.22</x:v>
      </x:c>
      <x:c r="H2081" s="85" t="str">
        <x:v>Diagnóstico e execução</x:v>
      </x:c>
    </x:row>
    <x:row r="2082">
      <x:c r="A2082" s="83" t="n">
        <x:v>2081</x:v>
      </x:c>
      <x:c r="B2082" s="84" t="n">
        <x:v>1222</x:v>
      </x:c>
      <x:c r="C2082" s="84" t="n">
        <x:v>39</x:v>
      </x:c>
      <x:c r="D2082" s="89" t="n">
        <x:v>45589</x:v>
      </x:c>
      <x:c r="E2082" s="84" t="n">
        <x:v>7.5</x:v>
      </x:c>
      <x:c r="F2082" s="84" t="str">
        <x:v>Normal</x:v>
      </x:c>
      <x:c r="G2082" s="93" t="n">
        <x:v>434.25</x:v>
      </x:c>
      <x:c r="H2082" s="85" t="str">
        <x:v>Diagnóstico e execução</x:v>
      </x:c>
    </x:row>
    <x:row r="2083">
      <x:c r="A2083" s="83" t="n">
        <x:v>2082</x:v>
      </x:c>
      <x:c r="B2083" s="84" t="n">
        <x:v>1222</x:v>
      </x:c>
      <x:c r="C2083" s="84" t="n">
        <x:v>21</x:v>
      </x:c>
      <x:c r="D2083" s="89" t="n">
        <x:v>45589</x:v>
      </x:c>
      <x:c r="E2083" s="84" t="n">
        <x:v>2.2</x:v>
      </x:c>
      <x:c r="F2083" s="84" t="str">
        <x:v>Normal</x:v>
      </x:c>
      <x:c r="G2083" s="93" t="n">
        <x:v>135.15</x:v>
      </x:c>
      <x:c r="H2083" s="85" t="str">
        <x:v>Diagnóstico e execução</x:v>
      </x:c>
    </x:row>
    <x:row r="2084">
      <x:c r="A2084" s="83" t="n">
        <x:v>2083</x:v>
      </x:c>
      <x:c r="B2084" s="84" t="n">
        <x:v>1222</x:v>
      </x:c>
      <x:c r="C2084" s="84" t="n">
        <x:v>12</x:v>
      </x:c>
      <x:c r="D2084" s="89" t="n">
        <x:v>45589</x:v>
      </x:c>
      <x:c r="E2084" s="84" t="n">
        <x:v>5.5</x:v>
      </x:c>
      <x:c r="F2084" s="84" t="str">
        <x:v>Normal</x:v>
      </x:c>
      <x:c r="G2084" s="93" t="n">
        <x:v>189.75</x:v>
      </x:c>
      <x:c r="H2084" s="85" t="str">
        <x:v>Diagnóstico e execução</x:v>
      </x:c>
    </x:row>
    <x:row r="2085">
      <x:c r="A2085" s="83" t="n">
        <x:v>2084</x:v>
      </x:c>
      <x:c r="B2085" s="84" t="n">
        <x:v>1223</x:v>
      </x:c>
      <x:c r="C2085" s="84" t="n">
        <x:v>26</x:v>
      </x:c>
      <x:c r="D2085" s="89" t="n">
        <x:v>45066</x:v>
      </x:c>
      <x:c r="E2085" s="84" t="n">
        <x:v>3.8</x:v>
      </x:c>
      <x:c r="F2085" s="84" t="str">
        <x:v>Normal</x:v>
      </x:c>
      <x:c r="G2085" s="93" t="n">
        <x:v>148.66</x:v>
      </x:c>
      <x:c r="H2085" s="85" t="str">
        <x:v>Diagnóstico e execução</x:v>
      </x:c>
    </x:row>
    <x:row r="2086">
      <x:c r="A2086" s="83" t="n">
        <x:v>2085</x:v>
      </x:c>
      <x:c r="B2086" s="84" t="n">
        <x:v>1223</x:v>
      </x:c>
      <x:c r="C2086" s="84" t="n">
        <x:v>22</x:v>
      </x:c>
      <x:c r="D2086" s="89" t="n">
        <x:v>45066</x:v>
      </x:c>
      <x:c r="E2086" s="84" t="n">
        <x:v>6.6</x:v>
      </x:c>
      <x:c r="F2086" s="84" t="str">
        <x:v>Normal</x:v>
      </x:c>
      <x:c r="G2086" s="93" t="n">
        <x:v>253.84</x:v>
      </x:c>
      <x:c r="H2086" s="85" t="str">
        <x:v>Diagnóstico e execução</x:v>
      </x:c>
    </x:row>
    <x:row r="2087">
      <x:c r="A2087" s="83" t="n">
        <x:v>2086</x:v>
      </x:c>
      <x:c r="B2087" s="84" t="n">
        <x:v>1223</x:v>
      </x:c>
      <x:c r="C2087" s="84" t="n">
        <x:v>19</x:v>
      </x:c>
      <x:c r="D2087" s="89" t="n">
        <x:v>45066</x:v>
      </x:c>
      <x:c r="E2087" s="84" t="n">
        <x:v>0.6</x:v>
      </x:c>
      <x:c r="F2087" s="84" t="str">
        <x:v>Normal</x:v>
      </x:c>
      <x:c r="G2087" s="93" t="n">
        <x:v>27.89</x:v>
      </x:c>
      <x:c r="H2087" s="85" t="str">
        <x:v>Diagnóstico e execução</x:v>
      </x:c>
    </x:row>
    <x:row r="2088">
      <x:c r="A2088" s="83" t="n">
        <x:v>2087</x:v>
      </x:c>
      <x:c r="B2088" s="84" t="n">
        <x:v>1224</x:v>
      </x:c>
      <x:c r="C2088" s="84" t="n">
        <x:v>38</x:v>
      </x:c>
      <x:c r="D2088" s="89" t="n">
        <x:v>45318</x:v>
      </x:c>
      <x:c r="E2088" s="84" t="n">
        <x:v>0.8</x:v>
      </x:c>
      <x:c r="F2088" s="84" t="str">
        <x:v>Normal</x:v>
      </x:c>
      <x:c r="G2088" s="93" t="n">
        <x:v>26.94</x:v>
      </x:c>
      <x:c r="H2088" s="85" t="str">
        <x:v>Diagnóstico e execução</x:v>
      </x:c>
    </x:row>
    <x:row r="2089">
      <x:c r="A2089" s="83" t="n">
        <x:v>2088</x:v>
      </x:c>
      <x:c r="B2089" s="84" t="n">
        <x:v>1227</x:v>
      </x:c>
      <x:c r="C2089" s="84" t="n">
        <x:v>20</x:v>
      </x:c>
      <x:c r="D2089" s="89" t="n">
        <x:v>45109</x:v>
      </x:c>
      <x:c r="E2089" s="84" t="n">
        <x:v>7.4</x:v>
      </x:c>
      <x:c r="F2089" s="84" t="str">
        <x:v>Normal</x:v>
      </x:c>
      <x:c r="G2089" s="93" t="n">
        <x:v>248.05</x:v>
      </x:c>
      <x:c r="H2089" s="85" t="str">
        <x:v>Diagnóstico e execução</x:v>
      </x:c>
    </x:row>
    <x:row r="2090">
      <x:c r="A2090" s="83" t="n">
        <x:v>2089</x:v>
      </x:c>
      <x:c r="B2090" s="84" t="n">
        <x:v>1228</x:v>
      </x:c>
      <x:c r="C2090" s="84" t="n">
        <x:v>5</x:v>
      </x:c>
      <x:c r="D2090" s="89" t="n">
        <x:v>45790</x:v>
      </x:c>
      <x:c r="E2090" s="84" t="n">
        <x:v>1.6</x:v>
      </x:c>
      <x:c r="F2090" s="84" t="str">
        <x:v>Normal</x:v>
      </x:c>
      <x:c r="G2090" s="93" t="n">
        <x:v>46.11</x:v>
      </x:c>
      <x:c r="H2090" s="85" t="str">
        <x:v>Diagnóstico e execução</x:v>
      </x:c>
    </x:row>
    <x:row r="2091">
      <x:c r="A2091" s="83" t="n">
        <x:v>2090</x:v>
      </x:c>
      <x:c r="B2091" s="84" t="n">
        <x:v>1228</x:v>
      </x:c>
      <x:c r="C2091" s="84" t="n">
        <x:v>24</x:v>
      </x:c>
      <x:c r="D2091" s="89" t="n">
        <x:v>45790</x:v>
      </x:c>
      <x:c r="E2091" s="84" t="n">
        <x:v>7.5</x:v>
      </x:c>
      <x:c r="F2091" s="84" t="str">
        <x:v>Normal</x:v>
      </x:c>
      <x:c r="G2091" s="93" t="n">
        <x:v>444.3</x:v>
      </x:c>
      <x:c r="H2091" s="85" t="str">
        <x:v>Diagnóstico e execução</x:v>
      </x:c>
    </x:row>
    <x:row r="2092">
      <x:c r="A2092" s="83" t="n">
        <x:v>2091</x:v>
      </x:c>
      <x:c r="B2092" s="84" t="n">
        <x:v>1229</x:v>
      </x:c>
      <x:c r="C2092" s="84" t="n">
        <x:v>38</x:v>
      </x:c>
      <x:c r="D2092" s="89" t="n">
        <x:v>45371</x:v>
      </x:c>
      <x:c r="E2092" s="84" t="n">
        <x:v>5</x:v>
      </x:c>
      <x:c r="F2092" s="84" t="str">
        <x:v>Normal</x:v>
      </x:c>
      <x:c r="G2092" s="93" t="n">
        <x:v>168.35</x:v>
      </x:c>
      <x:c r="H2092" s="85" t="str">
        <x:v>Diagnóstico e execução</x:v>
      </x:c>
    </x:row>
    <x:row r="2093">
      <x:c r="A2093" s="83" t="n">
        <x:v>2092</x:v>
      </x:c>
      <x:c r="B2093" s="84" t="n">
        <x:v>1229</x:v>
      </x:c>
      <x:c r="C2093" s="84" t="n">
        <x:v>34</x:v>
      </x:c>
      <x:c r="D2093" s="89" t="n">
        <x:v>45371</x:v>
      </x:c>
      <x:c r="E2093" s="84" t="n">
        <x:v>6.3</x:v>
      </x:c>
      <x:c r="F2093" s="84" t="str">
        <x:v>Normal</x:v>
      </x:c>
      <x:c r="G2093" s="93" t="n">
        <x:v>272.35</x:v>
      </x:c>
      <x:c r="H2093" s="85" t="str">
        <x:v>Diagnóstico e execução</x:v>
      </x:c>
    </x:row>
    <x:row r="2094">
      <x:c r="A2094" s="83" t="n">
        <x:v>2093</x:v>
      </x:c>
      <x:c r="B2094" s="84" t="n">
        <x:v>1229</x:v>
      </x:c>
      <x:c r="C2094" s="84" t="n">
        <x:v>17</x:v>
      </x:c>
      <x:c r="D2094" s="89" t="n">
        <x:v>45371</x:v>
      </x:c>
      <x:c r="E2094" s="84" t="n">
        <x:v>5.1</x:v>
      </x:c>
      <x:c r="F2094" s="84" t="str">
        <x:v>Normal</x:v>
      </x:c>
      <x:c r="G2094" s="93" t="n">
        <x:v>284.48</x:v>
      </x:c>
      <x:c r="H2094" s="85" t="str">
        <x:v>Diagnóstico e execução</x:v>
      </x:c>
    </x:row>
    <x:row r="2095">
      <x:c r="A2095" s="83" t="n">
        <x:v>2094</x:v>
      </x:c>
      <x:c r="B2095" s="84" t="n">
        <x:v>1230</x:v>
      </x:c>
      <x:c r="C2095" s="84" t="n">
        <x:v>32</x:v>
      </x:c>
      <x:c r="D2095" s="89" t="n">
        <x:v>45800</x:v>
      </x:c>
      <x:c r="E2095" s="84" t="n">
        <x:v>2.7</x:v>
      </x:c>
      <x:c r="F2095" s="84" t="str">
        <x:v>Normal</x:v>
      </x:c>
      <x:c r="G2095" s="93" t="n">
        <x:v>117.86</x:v>
      </x:c>
      <x:c r="H2095" s="85" t="str">
        <x:v>Diagnóstico e execução</x:v>
      </x:c>
    </x:row>
    <x:row r="2096">
      <x:c r="A2096" s="83" t="n">
        <x:v>2095</x:v>
      </x:c>
      <x:c r="B2096" s="84" t="n">
        <x:v>1231</x:v>
      </x:c>
      <x:c r="C2096" s="84" t="n">
        <x:v>10</x:v>
      </x:c>
      <x:c r="D2096" s="89" t="n">
        <x:v>45459</x:v>
      </x:c>
      <x:c r="E2096" s="84" t="n">
        <x:v>7.2</x:v>
      </x:c>
      <x:c r="F2096" s="84" t="str">
        <x:v>Normal</x:v>
      </x:c>
      <x:c r="G2096" s="93" t="n">
        <x:v>213.77</x:v>
      </x:c>
      <x:c r="H2096" s="85" t="str">
        <x:v>Diagnóstico e execução</x:v>
      </x:c>
    </x:row>
    <x:row r="2097">
      <x:c r="A2097" s="83" t="n">
        <x:v>2096</x:v>
      </x:c>
      <x:c r="B2097" s="84" t="n">
        <x:v>1232</x:v>
      </x:c>
      <x:c r="C2097" s="84" t="n">
        <x:v>28</x:v>
      </x:c>
      <x:c r="D2097" s="89" t="n">
        <x:v>45152</x:v>
      </x:c>
      <x:c r="E2097" s="84" t="n">
        <x:v>4.9</x:v>
      </x:c>
      <x:c r="F2097" s="84" t="str">
        <x:v>Normal</x:v>
      </x:c>
      <x:c r="G2097" s="93" t="n">
        <x:v>184.34</x:v>
      </x:c>
      <x:c r="H2097" s="85" t="str">
        <x:v>Diagnóstico e execução</x:v>
      </x:c>
    </x:row>
    <x:row r="2098">
      <x:c r="A2098" s="83" t="n">
        <x:v>2097</x:v>
      </x:c>
      <x:c r="B2098" s="84" t="n">
        <x:v>1233</x:v>
      </x:c>
      <x:c r="C2098" s="84" t="n">
        <x:v>34</x:v>
      </x:c>
      <x:c r="D2098" s="89" t="n">
        <x:v>45751</x:v>
      </x:c>
      <x:c r="E2098" s="84" t="n">
        <x:v>2.8</x:v>
      </x:c>
      <x:c r="F2098" s="84" t="str">
        <x:v>Normal</x:v>
      </x:c>
      <x:c r="G2098" s="93" t="n">
        <x:v>121.04</x:v>
      </x:c>
      <x:c r="H2098" s="85" t="str">
        <x:v>Diagnóstico e execução</x:v>
      </x:c>
    </x:row>
    <x:row r="2099">
      <x:c r="A2099" s="83" t="n">
        <x:v>2098</x:v>
      </x:c>
      <x:c r="B2099" s="84" t="n">
        <x:v>1233</x:v>
      </x:c>
      <x:c r="C2099" s="84" t="n">
        <x:v>22</x:v>
      </x:c>
      <x:c r="D2099" s="89" t="n">
        <x:v>45751</x:v>
      </x:c>
      <x:c r="E2099" s="84" t="n">
        <x:v>4.5</x:v>
      </x:c>
      <x:c r="F2099" s="84" t="str">
        <x:v>Normal</x:v>
      </x:c>
      <x:c r="G2099" s="93" t="n">
        <x:v>173.07</x:v>
      </x:c>
      <x:c r="H2099" s="85" t="str">
        <x:v>Diagnóstico e execução</x:v>
      </x:c>
    </x:row>
    <x:row r="2100">
      <x:c r="A2100" s="83" t="n">
        <x:v>2099</x:v>
      </x:c>
      <x:c r="B2100" s="84" t="n">
        <x:v>1233</x:v>
      </x:c>
      <x:c r="C2100" s="84" t="n">
        <x:v>5</x:v>
      </x:c>
      <x:c r="D2100" s="89" t="n">
        <x:v>45751</x:v>
      </x:c>
      <x:c r="E2100" s="84" t="n">
        <x:v>1.8</x:v>
      </x:c>
      <x:c r="F2100" s="84" t="str">
        <x:v>Normal</x:v>
      </x:c>
      <x:c r="G2100" s="93" t="n">
        <x:v>51.88</x:v>
      </x:c>
      <x:c r="H2100" s="85" t="str">
        <x:v>Diagnóstico e execução</x:v>
      </x:c>
    </x:row>
    <x:row r="2101">
      <x:c r="A2101" s="83" t="n">
        <x:v>2100</x:v>
      </x:c>
      <x:c r="B2101" s="84" t="n">
        <x:v>1234</x:v>
      </x:c>
      <x:c r="C2101" s="84" t="n">
        <x:v>18</x:v>
      </x:c>
      <x:c r="D2101" s="89" t="n">
        <x:v>45982</x:v>
      </x:c>
      <x:c r="E2101" s="84" t="n">
        <x:v>4</x:v>
      </x:c>
      <x:c r="F2101" s="84" t="str">
        <x:v>Normal</x:v>
      </x:c>
      <x:c r="G2101" s="93" t="n">
        <x:v>252.36</x:v>
      </x:c>
      <x:c r="H2101" s="85" t="str">
        <x:v>Diagnóstico e execução</x:v>
      </x:c>
    </x:row>
    <x:row r="2102">
      <x:c r="A2102" s="83" t="n">
        <x:v>2101</x:v>
      </x:c>
      <x:c r="B2102" s="84" t="n">
        <x:v>1234</x:v>
      </x:c>
      <x:c r="C2102" s="84" t="n">
        <x:v>17</x:v>
      </x:c>
      <x:c r="D2102" s="89" t="n">
        <x:v>45982</x:v>
      </x:c>
      <x:c r="E2102" s="84" t="n">
        <x:v>7</x:v>
      </x:c>
      <x:c r="F2102" s="84" t="str">
        <x:v>Normal</x:v>
      </x:c>
      <x:c r="G2102" s="93" t="n">
        <x:v>390.46</x:v>
      </x:c>
      <x:c r="H2102" s="85" t="str">
        <x:v>Diagnóstico e execução</x:v>
      </x:c>
    </x:row>
    <x:row r="2103">
      <x:c r="A2103" s="83" t="n">
        <x:v>2102</x:v>
      </x:c>
      <x:c r="B2103" s="84" t="n">
        <x:v>1234</x:v>
      </x:c>
      <x:c r="C2103" s="84" t="n">
        <x:v>8</x:v>
      </x:c>
      <x:c r="D2103" s="89" t="n">
        <x:v>45982</x:v>
      </x:c>
      <x:c r="E2103" s="84" t="n">
        <x:v>2.3</x:v>
      </x:c>
      <x:c r="F2103" s="84" t="str">
        <x:v>Normal</x:v>
      </x:c>
      <x:c r="G2103" s="93" t="n">
        <x:v>106.95</x:v>
      </x:c>
      <x:c r="H2103" s="85" t="str">
        <x:v>Diagnóstico e execução</x:v>
      </x:c>
    </x:row>
    <x:row r="2104">
      <x:c r="A2104" s="83" t="n">
        <x:v>2103</x:v>
      </x:c>
      <x:c r="B2104" s="84" t="n">
        <x:v>1235</x:v>
      </x:c>
      <x:c r="C2104" s="84" t="n">
        <x:v>5</x:v>
      </x:c>
      <x:c r="D2104" s="89" t="n">
        <x:v>45574</x:v>
      </x:c>
      <x:c r="E2104" s="84" t="n">
        <x:v>4.9</x:v>
      </x:c>
      <x:c r="F2104" s="84" t="str">
        <x:v>Normal</x:v>
      </x:c>
      <x:c r="G2104" s="93" t="n">
        <x:v>141.22</x:v>
      </x:c>
      <x:c r="H2104" s="85" t="str">
        <x:v>Diagnóstico e execução</x:v>
      </x:c>
    </x:row>
    <x:row r="2105">
      <x:c r="A2105" s="83" t="n">
        <x:v>2104</x:v>
      </x:c>
      <x:c r="B2105" s="84" t="n">
        <x:v>1235</x:v>
      </x:c>
      <x:c r="C2105" s="84" t="n">
        <x:v>21</x:v>
      </x:c>
      <x:c r="D2105" s="89" t="n">
        <x:v>45574</x:v>
      </x:c>
      <x:c r="E2105" s="84" t="n">
        <x:v>6.9</x:v>
      </x:c>
      <x:c r="F2105" s="84" t="str">
        <x:v>Normal</x:v>
      </x:c>
      <x:c r="G2105" s="93" t="n">
        <x:v>423.87</x:v>
      </x:c>
      <x:c r="H2105" s="85" t="str">
        <x:v>Diagnóstico e execução</x:v>
      </x:c>
    </x:row>
    <x:row r="2106">
      <x:c r="A2106" s="83" t="n">
        <x:v>2105</x:v>
      </x:c>
      <x:c r="B2106" s="84" t="n">
        <x:v>1237</x:v>
      </x:c>
      <x:c r="C2106" s="84" t="n">
        <x:v>21</x:v>
      </x:c>
      <x:c r="D2106" s="89" t="n">
        <x:v>45024</x:v>
      </x:c>
      <x:c r="E2106" s="84" t="n">
        <x:v>4.4</x:v>
      </x:c>
      <x:c r="F2106" s="84" t="str">
        <x:v>Normal</x:v>
      </x:c>
      <x:c r="G2106" s="93" t="n">
        <x:v>270.29</x:v>
      </x:c>
      <x:c r="H2106" s="85" t="str">
        <x:v>Diagnóstico e execução</x:v>
      </x:c>
    </x:row>
    <x:row r="2107">
      <x:c r="A2107" s="83" t="n">
        <x:v>2106</x:v>
      </x:c>
      <x:c r="B2107" s="84" t="n">
        <x:v>1237</x:v>
      </x:c>
      <x:c r="C2107" s="84" t="n">
        <x:v>19</x:v>
      </x:c>
      <x:c r="D2107" s="89" t="n">
        <x:v>45024</x:v>
      </x:c>
      <x:c r="E2107" s="84" t="n">
        <x:v>6.6</x:v>
      </x:c>
      <x:c r="F2107" s="84" t="str">
        <x:v>Normal</x:v>
      </x:c>
      <x:c r="G2107" s="93" t="n">
        <x:v>306.77</x:v>
      </x:c>
      <x:c r="H2107" s="85" t="str">
        <x:v>Diagnóstico e execução</x:v>
      </x:c>
    </x:row>
    <x:row r="2108">
      <x:c r="A2108" s="83" t="n">
        <x:v>2107</x:v>
      </x:c>
      <x:c r="B2108" s="84" t="n">
        <x:v>1239</x:v>
      </x:c>
      <x:c r="C2108" s="84" t="n">
        <x:v>18</x:v>
      </x:c>
      <x:c r="D2108" s="89" t="n">
        <x:v>45440</x:v>
      </x:c>
      <x:c r="E2108" s="84" t="n">
        <x:v>5.4</x:v>
      </x:c>
      <x:c r="F2108" s="84" t="str">
        <x:v>Normal</x:v>
      </x:c>
      <x:c r="G2108" s="93" t="n">
        <x:v>340.69</x:v>
      </x:c>
      <x:c r="H2108" s="85" t="str">
        <x:v>Diagnóstico e execução</x:v>
      </x:c>
    </x:row>
    <x:row r="2109">
      <x:c r="A2109" s="83" t="n">
        <x:v>2108</x:v>
      </x:c>
      <x:c r="B2109" s="84" t="n">
        <x:v>1239</x:v>
      </x:c>
      <x:c r="C2109" s="84" t="n">
        <x:v>15</x:v>
      </x:c>
      <x:c r="D2109" s="89" t="n">
        <x:v>45440</x:v>
      </x:c>
      <x:c r="E2109" s="84" t="n">
        <x:v>3</x:v>
      </x:c>
      <x:c r="F2109" s="84" t="str">
        <x:v>Normal</x:v>
      </x:c>
      <x:c r="G2109" s="93" t="n">
        <x:v>90.72</x:v>
      </x:c>
      <x:c r="H2109" s="85" t="str">
        <x:v>Diagnóstico e execução</x:v>
      </x:c>
    </x:row>
    <x:row r="2110">
      <x:c r="A2110" s="83" t="n">
        <x:v>2109</x:v>
      </x:c>
      <x:c r="B2110" s="84" t="n">
        <x:v>1240</x:v>
      </x:c>
      <x:c r="C2110" s="84" t="n">
        <x:v>28</x:v>
      </x:c>
      <x:c r="D2110" s="89" t="n">
        <x:v>45012</x:v>
      </x:c>
      <x:c r="E2110" s="84" t="n">
        <x:v>2.1</x:v>
      </x:c>
      <x:c r="F2110" s="84" t="str">
        <x:v>Normal</x:v>
      </x:c>
      <x:c r="G2110" s="93" t="n">
        <x:v>79</x:v>
      </x:c>
      <x:c r="H2110" s="85" t="str">
        <x:v>Diagnóstico e execução</x:v>
      </x:c>
    </x:row>
    <x:row r="2111">
      <x:c r="A2111" s="83" t="n">
        <x:v>2110</x:v>
      </x:c>
      <x:c r="B2111" s="84" t="n">
        <x:v>1241</x:v>
      </x:c>
      <x:c r="C2111" s="84" t="n">
        <x:v>33</x:v>
      </x:c>
      <x:c r="D2111" s="89" t="n">
        <x:v>45079</x:v>
      </x:c>
      <x:c r="E2111" s="84" t="n">
        <x:v>3.8</x:v>
      </x:c>
      <x:c r="F2111" s="84" t="str">
        <x:v>Normal</x:v>
      </x:c>
      <x:c r="G2111" s="93" t="n">
        <x:v>131.06</x:v>
      </x:c>
      <x:c r="H2111" s="85" t="str">
        <x:v>Diagnóstico e execução</x:v>
      </x:c>
    </x:row>
    <x:row r="2112">
      <x:c r="A2112" s="83" t="n">
        <x:v>2111</x:v>
      </x:c>
      <x:c r="B2112" s="84" t="n">
        <x:v>1241</x:v>
      </x:c>
      <x:c r="C2112" s="84" t="n">
        <x:v>29</x:v>
      </x:c>
      <x:c r="D2112" s="89" t="n">
        <x:v>45079</x:v>
      </x:c>
      <x:c r="E2112" s="84" t="n">
        <x:v>2.1</x:v>
      </x:c>
      <x:c r="F2112" s="84" t="str">
        <x:v>Normal</x:v>
      </x:c>
      <x:c r="G2112" s="93" t="n">
        <x:v>103.99</x:v>
      </x:c>
      <x:c r="H2112" s="85" t="str">
        <x:v>Diagnóstico e execução</x:v>
      </x:c>
    </x:row>
    <x:row r="2113">
      <x:c r="A2113" s="83" t="n">
        <x:v>2112</x:v>
      </x:c>
      <x:c r="B2113" s="84" t="n">
        <x:v>1241</x:v>
      </x:c>
      <x:c r="C2113" s="84" t="n">
        <x:v>41</x:v>
      </x:c>
      <x:c r="D2113" s="89" t="n">
        <x:v>45079</x:v>
      </x:c>
      <x:c r="E2113" s="84" t="n">
        <x:v>3.8</x:v>
      </x:c>
      <x:c r="F2113" s="84" t="str">
        <x:v>Normal</x:v>
      </x:c>
      <x:c r="G2113" s="93" t="n">
        <x:v>192.2</x:v>
      </x:c>
      <x:c r="H2113" s="85" t="str">
        <x:v>Diagnóstico e execução</x:v>
      </x:c>
    </x:row>
    <x:row r="2114">
      <x:c r="A2114" s="83" t="n">
        <x:v>2113</x:v>
      </x:c>
      <x:c r="B2114" s="84" t="n">
        <x:v>1242</x:v>
      </x:c>
      <x:c r="C2114" s="84" t="n">
        <x:v>29</x:v>
      </x:c>
      <x:c r="D2114" s="89" t="n">
        <x:v>45188</x:v>
      </x:c>
      <x:c r="E2114" s="84" t="n">
        <x:v>6.2</x:v>
      </x:c>
      <x:c r="F2114" s="84" t="str">
        <x:v>Normal</x:v>
      </x:c>
      <x:c r="G2114" s="93" t="n">
        <x:v>307.02</x:v>
      </x:c>
      <x:c r="H2114" s="85" t="str">
        <x:v>Diagnóstico e execução</x:v>
      </x:c>
    </x:row>
    <x:row r="2115">
      <x:c r="A2115" s="83" t="n">
        <x:v>2114</x:v>
      </x:c>
      <x:c r="B2115" s="84" t="n">
        <x:v>1242</x:v>
      </x:c>
      <x:c r="C2115" s="84" t="n">
        <x:v>16</x:v>
      </x:c>
      <x:c r="D2115" s="89" t="n">
        <x:v>45188</x:v>
      </x:c>
      <x:c r="E2115" s="84" t="n">
        <x:v>5.9</x:v>
      </x:c>
      <x:c r="F2115" s="84" t="str">
        <x:v>Normal</x:v>
      </x:c>
      <x:c r="G2115" s="93" t="n">
        <x:v>239.07</x:v>
      </x:c>
      <x:c r="H2115" s="85" t="str">
        <x:v>Diagnóstico e execução</x:v>
      </x:c>
    </x:row>
    <x:row r="2116">
      <x:c r="A2116" s="83" t="n">
        <x:v>2115</x:v>
      </x:c>
      <x:c r="B2116" s="84" t="n">
        <x:v>1242</x:v>
      </x:c>
      <x:c r="C2116" s="84" t="n">
        <x:v>29</x:v>
      </x:c>
      <x:c r="D2116" s="89" t="n">
        <x:v>45188</x:v>
      </x:c>
      <x:c r="E2116" s="84" t="n">
        <x:v>0.5</x:v>
      </x:c>
      <x:c r="F2116" s="84" t="str">
        <x:v>Normal</x:v>
      </x:c>
      <x:c r="G2116" s="93" t="n">
        <x:v>24.76</x:v>
      </x:c>
      <x:c r="H2116" s="85" t="str">
        <x:v>Diagnóstico e execução</x:v>
      </x:c>
    </x:row>
    <x:row r="2117">
      <x:c r="A2117" s="83" t="n">
        <x:v>2116</x:v>
      </x:c>
      <x:c r="B2117" s="84" t="n">
        <x:v>1244</x:v>
      </x:c>
      <x:c r="C2117" s="84" t="n">
        <x:v>12</x:v>
      </x:c>
      <x:c r="D2117" s="89" t="n">
        <x:v>45016</x:v>
      </x:c>
      <x:c r="E2117" s="84" t="n">
        <x:v>6.8</x:v>
      </x:c>
      <x:c r="F2117" s="84" t="str">
        <x:v>Normal</x:v>
      </x:c>
      <x:c r="G2117" s="93" t="n">
        <x:v>234.6</x:v>
      </x:c>
      <x:c r="H2117" s="85" t="str">
        <x:v>Diagnóstico e execução</x:v>
      </x:c>
    </x:row>
    <x:row r="2118">
      <x:c r="A2118" s="83" t="n">
        <x:v>2117</x:v>
      </x:c>
      <x:c r="B2118" s="84" t="n">
        <x:v>1246</x:v>
      </x:c>
      <x:c r="C2118" s="84" t="n">
        <x:v>23</x:v>
      </x:c>
      <x:c r="D2118" s="89" t="n">
        <x:v>45378</x:v>
      </x:c>
      <x:c r="E2118" s="84" t="n">
        <x:v>4.9</x:v>
      </x:c>
      <x:c r="F2118" s="84" t="str">
        <x:v>Normal</x:v>
      </x:c>
      <x:c r="G2118" s="93" t="n">
        <x:v>211.24</x:v>
      </x:c>
      <x:c r="H2118" s="85" t="str">
        <x:v>Diagnóstico e execução</x:v>
      </x:c>
    </x:row>
    <x:row r="2119">
      <x:c r="A2119" s="83" t="n">
        <x:v>2118</x:v>
      </x:c>
      <x:c r="B2119" s="84" t="n">
        <x:v>1246</x:v>
      </x:c>
      <x:c r="C2119" s="84" t="n">
        <x:v>19</x:v>
      </x:c>
      <x:c r="D2119" s="89" t="n">
        <x:v>45378</x:v>
      </x:c>
      <x:c r="E2119" s="84" t="n">
        <x:v>4.7</x:v>
      </x:c>
      <x:c r="F2119" s="84" t="str">
        <x:v>Normal</x:v>
      </x:c>
      <x:c r="G2119" s="93" t="n">
        <x:v>218.46</x:v>
      </x:c>
      <x:c r="H2119" s="85" t="str">
        <x:v>Diagnóstico e execução</x:v>
      </x:c>
    </x:row>
    <x:row r="2120">
      <x:c r="A2120" s="83" t="n">
        <x:v>2119</x:v>
      </x:c>
      <x:c r="B2120" s="84" t="n">
        <x:v>1246</x:v>
      </x:c>
      <x:c r="C2120" s="84" t="n">
        <x:v>1</x:v>
      </x:c>
      <x:c r="D2120" s="89" t="n">
        <x:v>45378</x:v>
      </x:c>
      <x:c r="E2120" s="84" t="n">
        <x:v>0.6</x:v>
      </x:c>
      <x:c r="F2120" s="84" t="str">
        <x:v>Normal</x:v>
      </x:c>
      <x:c r="G2120" s="93" t="n">
        <x:v>21.22</x:v>
      </x:c>
      <x:c r="H2120" s="85" t="str">
        <x:v>Diagnóstico e execução</x:v>
      </x:c>
    </x:row>
    <x:row r="2121">
      <x:c r="A2121" s="83" t="n">
        <x:v>2120</x:v>
      </x:c>
      <x:c r="B2121" s="84" t="n">
        <x:v>1247</x:v>
      </x:c>
      <x:c r="C2121" s="84" t="n">
        <x:v>24</x:v>
      </x:c>
      <x:c r="D2121" s="89" t="n">
        <x:v>45512</x:v>
      </x:c>
      <x:c r="E2121" s="84" t="n">
        <x:v>3.9</x:v>
      </x:c>
      <x:c r="F2121" s="84" t="str">
        <x:v>Normal</x:v>
      </x:c>
      <x:c r="G2121" s="93" t="n">
        <x:v>231.04</x:v>
      </x:c>
      <x:c r="H2121" s="85" t="str">
        <x:v>Diagnóstico e execução</x:v>
      </x:c>
    </x:row>
    <x:row r="2122">
      <x:c r="A2122" s="83" t="n">
        <x:v>2121</x:v>
      </x:c>
      <x:c r="B2122" s="84" t="n">
        <x:v>1248</x:v>
      </x:c>
      <x:c r="C2122" s="84" t="n">
        <x:v>28</x:v>
      </x:c>
      <x:c r="D2122" s="89" t="n">
        <x:v>45526</x:v>
      </x:c>
      <x:c r="E2122" s="84" t="n">
        <x:v>1.5</x:v>
      </x:c>
      <x:c r="F2122" s="84" t="str">
        <x:v>Normal</x:v>
      </x:c>
      <x:c r="G2122" s="93" t="n">
        <x:v>56.43</x:v>
      </x:c>
      <x:c r="H2122" s="85" t="str">
        <x:v>Diagnóstico e execução</x:v>
      </x:c>
    </x:row>
    <x:row r="2123">
      <x:c r="A2123" s="83" t="n">
        <x:v>2122</x:v>
      </x:c>
      <x:c r="B2123" s="84" t="n">
        <x:v>1248</x:v>
      </x:c>
      <x:c r="C2123" s="84" t="n">
        <x:v>33</x:v>
      </x:c>
      <x:c r="D2123" s="89" t="n">
        <x:v>45526</x:v>
      </x:c>
      <x:c r="E2123" s="84" t="n">
        <x:v>7.7</x:v>
      </x:c>
      <x:c r="F2123" s="84" t="str">
        <x:v>Normal</x:v>
      </x:c>
      <x:c r="G2123" s="93" t="n">
        <x:v>265.57</x:v>
      </x:c>
      <x:c r="H2123" s="85" t="str">
        <x:v>Diagnóstico e execução</x:v>
      </x:c>
    </x:row>
    <x:row r="2124">
      <x:c r="A2124" s="83" t="n">
        <x:v>2123</x:v>
      </x:c>
      <x:c r="B2124" s="84" t="n">
        <x:v>1248</x:v>
      </x:c>
      <x:c r="C2124" s="84" t="n">
        <x:v>2</x:v>
      </x:c>
      <x:c r="D2124" s="89" t="n">
        <x:v>45526</x:v>
      </x:c>
      <x:c r="E2124" s="84" t="n">
        <x:v>5.1</x:v>
      </x:c>
      <x:c r="F2124" s="84" t="str">
        <x:v>Normal</x:v>
      </x:c>
      <x:c r="G2124" s="93" t="n">
        <x:v>190.03</x:v>
      </x:c>
      <x:c r="H2124" s="85" t="str">
        <x:v>Diagnóstico e execução</x:v>
      </x:c>
    </x:row>
    <x:row r="2125">
      <x:c r="A2125" s="83" t="n">
        <x:v>2124</x:v>
      </x:c>
      <x:c r="B2125" s="84" t="n">
        <x:v>1250</x:v>
      </x:c>
      <x:c r="C2125" s="84" t="n">
        <x:v>23</x:v>
      </x:c>
      <x:c r="D2125" s="89" t="n">
        <x:v>45952</x:v>
      </x:c>
      <x:c r="E2125" s="84" t="n">
        <x:v>5.5</x:v>
      </x:c>
      <x:c r="F2125" s="84" t="str">
        <x:v>Normal</x:v>
      </x:c>
      <x:c r="G2125" s="93" t="n">
        <x:v>237.1</x:v>
      </x:c>
      <x:c r="H2125" s="85" t="str">
        <x:v>Diagnóstico e execução</x:v>
      </x:c>
    </x:row>
    <x:row r="2126">
      <x:c r="A2126" s="83" t="n">
        <x:v>2125</x:v>
      </x:c>
      <x:c r="B2126" s="84" t="n">
        <x:v>1250</x:v>
      </x:c>
      <x:c r="C2126" s="84" t="n">
        <x:v>9</x:v>
      </x:c>
      <x:c r="D2126" s="89" t="n">
        <x:v>45952</x:v>
      </x:c>
      <x:c r="E2126" s="84" t="n">
        <x:v>3.8</x:v>
      </x:c>
      <x:c r="F2126" s="84" t="str">
        <x:v>Normal</x:v>
      </x:c>
      <x:c r="G2126" s="93" t="n">
        <x:v>200.15</x:v>
      </x:c>
      <x:c r="H2126" s="85" t="str">
        <x:v>Diagnóstico e execução</x:v>
      </x:c>
    </x:row>
    <x:row r="2127">
      <x:c r="A2127" s="83" t="n">
        <x:v>2126</x:v>
      </x:c>
      <x:c r="B2127" s="84" t="n">
        <x:v>1251</x:v>
      </x:c>
      <x:c r="C2127" s="84" t="n">
        <x:v>27</x:v>
      </x:c>
      <x:c r="D2127" s="89" t="n">
        <x:v>45100</x:v>
      </x:c>
      <x:c r="E2127" s="84" t="n">
        <x:v>2.3</x:v>
      </x:c>
      <x:c r="F2127" s="84" t="str">
        <x:v>Normal</x:v>
      </x:c>
      <x:c r="G2127" s="93" t="n">
        <x:v>140.28</x:v>
      </x:c>
      <x:c r="H2127" s="85" t="str">
        <x:v>Diagnóstico e execução</x:v>
      </x:c>
    </x:row>
    <x:row r="2128">
      <x:c r="A2128" s="83" t="n">
        <x:v>2127</x:v>
      </x:c>
      <x:c r="B2128" s="84" t="n">
        <x:v>1252</x:v>
      </x:c>
      <x:c r="C2128" s="84" t="n">
        <x:v>30</x:v>
      </x:c>
      <x:c r="D2128" s="89" t="n">
        <x:v>45214</x:v>
      </x:c>
      <x:c r="E2128" s="84" t="n">
        <x:v>3.8</x:v>
      </x:c>
      <x:c r="F2128" s="84" t="str">
        <x:v>Normal</x:v>
      </x:c>
      <x:c r="G2128" s="93" t="n">
        <x:v>157.36</x:v>
      </x:c>
      <x:c r="H2128" s="85" t="str">
        <x:v>Diagnóstico e execução</x:v>
      </x:c>
    </x:row>
    <x:row r="2129">
      <x:c r="A2129" s="83" t="n">
        <x:v>2128</x:v>
      </x:c>
      <x:c r="B2129" s="84" t="n">
        <x:v>1253</x:v>
      </x:c>
      <x:c r="C2129" s="84" t="n">
        <x:v>1</x:v>
      </x:c>
      <x:c r="D2129" s="89" t="n">
        <x:v>45721</x:v>
      </x:c>
      <x:c r="E2129" s="84" t="n">
        <x:v>7.5</x:v>
      </x:c>
      <x:c r="F2129" s="84" t="str">
        <x:v>Normal</x:v>
      </x:c>
      <x:c r="G2129" s="93" t="n">
        <x:v>265.27</x:v>
      </x:c>
      <x:c r="H2129" s="85" t="str">
        <x:v>Diagnóstico e execução</x:v>
      </x:c>
    </x:row>
    <x:row r="2130">
      <x:c r="A2130" s="83" t="n">
        <x:v>2129</x:v>
      </x:c>
      <x:c r="B2130" s="84" t="n">
        <x:v>1253</x:v>
      </x:c>
      <x:c r="C2130" s="84" t="n">
        <x:v>37</x:v>
      </x:c>
      <x:c r="D2130" s="89" t="n">
        <x:v>45721</x:v>
      </x:c>
      <x:c r="E2130" s="84" t="n">
        <x:v>3.7</x:v>
      </x:c>
      <x:c r="F2130" s="84" t="str">
        <x:v>Normal</x:v>
      </x:c>
      <x:c r="G2130" s="93" t="n">
        <x:v>218.19</x:v>
      </x:c>
      <x:c r="H2130" s="85" t="str">
        <x:v>Diagnóstico e execução</x:v>
      </x:c>
    </x:row>
    <x:row r="2131">
      <x:c r="A2131" s="83" t="n">
        <x:v>2130</x:v>
      </x:c>
      <x:c r="B2131" s="84" t="n">
        <x:v>1253</x:v>
      </x:c>
      <x:c r="C2131" s="84" t="n">
        <x:v>31</x:v>
      </x:c>
      <x:c r="D2131" s="89" t="n">
        <x:v>45721</x:v>
      </x:c>
      <x:c r="E2131" s="84" t="n">
        <x:v>1.7</x:v>
      </x:c>
      <x:c r="F2131" s="84" t="str">
        <x:v>Normal</x:v>
      </x:c>
      <x:c r="G2131" s="93" t="n">
        <x:v>83.13</x:v>
      </x:c>
      <x:c r="H2131" s="85" t="str">
        <x:v>Diagnóstico e execução</x:v>
      </x:c>
    </x:row>
    <x:row r="2132">
      <x:c r="A2132" s="83" t="n">
        <x:v>2131</x:v>
      </x:c>
      <x:c r="B2132" s="84" t="n">
        <x:v>1254</x:v>
      </x:c>
      <x:c r="C2132" s="84" t="n">
        <x:v>33</x:v>
      </x:c>
      <x:c r="D2132" s="89" t="n">
        <x:v>45658</x:v>
      </x:c>
      <x:c r="E2132" s="84" t="n">
        <x:v>3.3</x:v>
      </x:c>
      <x:c r="F2132" s="84" t="str">
        <x:v>Normal</x:v>
      </x:c>
      <x:c r="G2132" s="93" t="n">
        <x:v>113.82</x:v>
      </x:c>
      <x:c r="H2132" s="85" t="str">
        <x:v>Diagnóstico e execução</x:v>
      </x:c>
    </x:row>
    <x:row r="2133">
      <x:c r="A2133" s="83" t="n">
        <x:v>2132</x:v>
      </x:c>
      <x:c r="B2133" s="84" t="n">
        <x:v>1255</x:v>
      </x:c>
      <x:c r="C2133" s="84" t="n">
        <x:v>45</x:v>
      </x:c>
      <x:c r="D2133" s="89" t="n">
        <x:v>45147</x:v>
      </x:c>
      <x:c r="E2133" s="84" t="n">
        <x:v>7.7</x:v>
      </x:c>
      <x:c r="F2133" s="84" t="str">
        <x:v>Normal</x:v>
      </x:c>
      <x:c r="G2133" s="93" t="n">
        <x:v>412.49</x:v>
      </x:c>
      <x:c r="H2133" s="85" t="str">
        <x:v>Diagnóstico e execução</x:v>
      </x:c>
    </x:row>
    <x:row r="2134">
      <x:c r="A2134" s="83" t="n">
        <x:v>2133</x:v>
      </x:c>
      <x:c r="B2134" s="84" t="n">
        <x:v>1255</x:v>
      </x:c>
      <x:c r="C2134" s="84" t="n">
        <x:v>20</x:v>
      </x:c>
      <x:c r="D2134" s="89" t="n">
        <x:v>45147</x:v>
      </x:c>
      <x:c r="E2134" s="84" t="n">
        <x:v>5.4</x:v>
      </x:c>
      <x:c r="F2134" s="84" t="str">
        <x:v>Normal</x:v>
      </x:c>
      <x:c r="G2134" s="93" t="n">
        <x:v>181.01</x:v>
      </x:c>
      <x:c r="H2134" s="85" t="str">
        <x:v>Diagnóstico e execução</x:v>
      </x:c>
    </x:row>
    <x:row r="2135">
      <x:c r="A2135" s="83" t="n">
        <x:v>2134</x:v>
      </x:c>
      <x:c r="B2135" s="84" t="n">
        <x:v>1255</x:v>
      </x:c>
      <x:c r="C2135" s="84" t="n">
        <x:v>35</x:v>
      </x:c>
      <x:c r="D2135" s="89" t="n">
        <x:v>45147</x:v>
      </x:c>
      <x:c r="E2135" s="84" t="n">
        <x:v>1.1</x:v>
      </x:c>
      <x:c r="F2135" s="84" t="str">
        <x:v>Normal</x:v>
      </x:c>
      <x:c r="G2135" s="93" t="n">
        <x:v>54.11</x:v>
      </x:c>
      <x:c r="H2135" s="85" t="str">
        <x:v>Diagnóstico e execução</x:v>
      </x:c>
    </x:row>
    <x:row r="2136">
      <x:c r="A2136" s="83" t="n">
        <x:v>2135</x:v>
      </x:c>
      <x:c r="B2136" s="84" t="n">
        <x:v>1256</x:v>
      </x:c>
      <x:c r="C2136" s="84" t="n">
        <x:v>17</x:v>
      </x:c>
      <x:c r="D2136" s="89" t="n">
        <x:v>45783</x:v>
      </x:c>
      <x:c r="E2136" s="84" t="n">
        <x:v>6.4</x:v>
      </x:c>
      <x:c r="F2136" s="84" t="str">
        <x:v>Normal</x:v>
      </x:c>
      <x:c r="G2136" s="93" t="n">
        <x:v>356.99</x:v>
      </x:c>
      <x:c r="H2136" s="85" t="str">
        <x:v>Diagnóstico e execução</x:v>
      </x:c>
    </x:row>
    <x:row r="2137">
      <x:c r="A2137" s="83" t="n">
        <x:v>2136</x:v>
      </x:c>
      <x:c r="B2137" s="84" t="n">
        <x:v>1257</x:v>
      </x:c>
      <x:c r="C2137" s="84" t="n">
        <x:v>8</x:v>
      </x:c>
      <x:c r="D2137" s="89" t="n">
        <x:v>45887</x:v>
      </x:c>
      <x:c r="E2137" s="84" t="n">
        <x:v>4.3</x:v>
      </x:c>
      <x:c r="F2137" s="84" t="str">
        <x:v>Normal</x:v>
      </x:c>
      <x:c r="G2137" s="93" t="n">
        <x:v>199.95</x:v>
      </x:c>
      <x:c r="H2137" s="85" t="str">
        <x:v>Diagnóstico e execução</x:v>
      </x:c>
    </x:row>
    <x:row r="2138">
      <x:c r="A2138" s="83" t="n">
        <x:v>2137</x:v>
      </x:c>
      <x:c r="B2138" s="84" t="n">
        <x:v>1257</x:v>
      </x:c>
      <x:c r="C2138" s="84" t="n">
        <x:v>6</x:v>
      </x:c>
      <x:c r="D2138" s="89" t="n">
        <x:v>45887</x:v>
      </x:c>
      <x:c r="E2138" s="84" t="n">
        <x:v>2.5</x:v>
      </x:c>
      <x:c r="F2138" s="84" t="str">
        <x:v>Normal</x:v>
      </x:c>
      <x:c r="G2138" s="93" t="n">
        <x:v>130.65</x:v>
      </x:c>
      <x:c r="H2138" s="85" t="str">
        <x:v>Diagnóstico e execução</x:v>
      </x:c>
    </x:row>
    <x:row r="2139">
      <x:c r="A2139" s="83" t="n">
        <x:v>2138</x:v>
      </x:c>
      <x:c r="B2139" s="84" t="n">
        <x:v>1257</x:v>
      </x:c>
      <x:c r="C2139" s="84" t="n">
        <x:v>2</x:v>
      </x:c>
      <x:c r="D2139" s="89" t="n">
        <x:v>45887</x:v>
      </x:c>
      <x:c r="E2139" s="84" t="n">
        <x:v>1.8</x:v>
      </x:c>
      <x:c r="F2139" s="84" t="str">
        <x:v>Normal</x:v>
      </x:c>
      <x:c r="G2139" s="93" t="n">
        <x:v>67.07</x:v>
      </x:c>
      <x:c r="H2139" s="85" t="str">
        <x:v>Diagnóstico e execução</x:v>
      </x:c>
    </x:row>
    <x:row r="2140">
      <x:c r="A2140" s="83" t="n">
        <x:v>2139</x:v>
      </x:c>
      <x:c r="B2140" s="84" t="n">
        <x:v>1258</x:v>
      </x:c>
      <x:c r="C2140" s="84" t="n">
        <x:v>45</x:v>
      </x:c>
      <x:c r="D2140" s="89" t="n">
        <x:v>45821</x:v>
      </x:c>
      <x:c r="E2140" s="84" t="n">
        <x:v>2</x:v>
      </x:c>
      <x:c r="F2140" s="84" t="str">
        <x:v>Normal</x:v>
      </x:c>
      <x:c r="G2140" s="93" t="n">
        <x:v>107.14</x:v>
      </x:c>
      <x:c r="H2140" s="85" t="str">
        <x:v>Diagnóstico e execução</x:v>
      </x:c>
    </x:row>
    <x:row r="2141">
      <x:c r="A2141" s="83" t="n">
        <x:v>2140</x:v>
      </x:c>
      <x:c r="B2141" s="84" t="n">
        <x:v>1259</x:v>
      </x:c>
      <x:c r="C2141" s="84" t="n">
        <x:v>37</x:v>
      </x:c>
      <x:c r="D2141" s="89" t="n">
        <x:v>45305</x:v>
      </x:c>
      <x:c r="E2141" s="84" t="n">
        <x:v>5.5</x:v>
      </x:c>
      <x:c r="F2141" s="84" t="str">
        <x:v>Normal</x:v>
      </x:c>
      <x:c r="G2141" s="93" t="n">
        <x:v>324.33</x:v>
      </x:c>
      <x:c r="H2141" s="85" t="str">
        <x:v>Diagnóstico e execução</x:v>
      </x:c>
    </x:row>
    <x:row r="2142">
      <x:c r="A2142" s="83" t="n">
        <x:v>2141</x:v>
      </x:c>
      <x:c r="B2142" s="84" t="n">
        <x:v>1260</x:v>
      </x:c>
      <x:c r="C2142" s="84" t="n">
        <x:v>15</x:v>
      </x:c>
      <x:c r="D2142" s="89" t="n">
        <x:v>45304</x:v>
      </x:c>
      <x:c r="E2142" s="84" t="n">
        <x:v>5.7</x:v>
      </x:c>
      <x:c r="F2142" s="84" t="str">
        <x:v>Normal</x:v>
      </x:c>
      <x:c r="G2142" s="93" t="n">
        <x:v>172.37</x:v>
      </x:c>
      <x:c r="H2142" s="85" t="str">
        <x:v>Diagnóstico e execução</x:v>
      </x:c>
    </x:row>
    <x:row r="2143">
      <x:c r="A2143" s="83" t="n">
        <x:v>2142</x:v>
      </x:c>
      <x:c r="B2143" s="84" t="n">
        <x:v>1261</x:v>
      </x:c>
      <x:c r="C2143" s="84" t="n">
        <x:v>35</x:v>
      </x:c>
      <x:c r="D2143" s="89" t="n">
        <x:v>44965</x:v>
      </x:c>
      <x:c r="E2143" s="84" t="n">
        <x:v>5.6</x:v>
      </x:c>
      <x:c r="F2143" s="84" t="str">
        <x:v>Normal</x:v>
      </x:c>
      <x:c r="G2143" s="93" t="n">
        <x:v>275.46</x:v>
      </x:c>
      <x:c r="H2143" s="85" t="str">
        <x:v>Diagnóstico e execução</x:v>
      </x:c>
    </x:row>
    <x:row r="2144">
      <x:c r="A2144" s="83" t="n">
        <x:v>2143</x:v>
      </x:c>
      <x:c r="B2144" s="84" t="n">
        <x:v>1261</x:v>
      </x:c>
      <x:c r="C2144" s="84" t="n">
        <x:v>44</x:v>
      </x:c>
      <x:c r="D2144" s="89" t="n">
        <x:v>44965</x:v>
      </x:c>
      <x:c r="E2144" s="84" t="n">
        <x:v>1.2</x:v>
      </x:c>
      <x:c r="F2144" s="84" t="str">
        <x:v>Normal</x:v>
      </x:c>
      <x:c r="G2144" s="93" t="n">
        <x:v>33.65</x:v>
      </x:c>
      <x:c r="H2144" s="85" t="str">
        <x:v>Diagnóstico e execução</x:v>
      </x:c>
    </x:row>
    <x:row r="2145">
      <x:c r="A2145" s="83" t="n">
        <x:v>2144</x:v>
      </x:c>
      <x:c r="B2145" s="84" t="n">
        <x:v>1262</x:v>
      </x:c>
      <x:c r="C2145" s="84" t="n">
        <x:v>6</x:v>
      </x:c>
      <x:c r="D2145" s="89" t="n">
        <x:v>45667</x:v>
      </x:c>
      <x:c r="E2145" s="84" t="n">
        <x:v>5.6</x:v>
      </x:c>
      <x:c r="F2145" s="84" t="str">
        <x:v>Normal</x:v>
      </x:c>
      <x:c r="G2145" s="93" t="n">
        <x:v>292.66</x:v>
      </x:c>
      <x:c r="H2145" s="85" t="str">
        <x:v>Diagnóstico e execução</x:v>
      </x:c>
    </x:row>
    <x:row r="2146">
      <x:c r="A2146" s="83" t="n">
        <x:v>2145</x:v>
      </x:c>
      <x:c r="B2146" s="84" t="n">
        <x:v>1262</x:v>
      </x:c>
      <x:c r="C2146" s="84" t="n">
        <x:v>28</x:v>
      </x:c>
      <x:c r="D2146" s="89" t="n">
        <x:v>45667</x:v>
      </x:c>
      <x:c r="E2146" s="84" t="n">
        <x:v>3.4</x:v>
      </x:c>
      <x:c r="F2146" s="84" t="str">
        <x:v>Normal</x:v>
      </x:c>
      <x:c r="G2146" s="93" t="n">
        <x:v>127.91</x:v>
      </x:c>
      <x:c r="H2146" s="85" t="str">
        <x:v>Diagnóstico e execução</x:v>
      </x:c>
    </x:row>
    <x:row r="2147">
      <x:c r="A2147" s="83" t="n">
        <x:v>2146</x:v>
      </x:c>
      <x:c r="B2147" s="84" t="n">
        <x:v>1262</x:v>
      </x:c>
      <x:c r="C2147" s="84" t="n">
        <x:v>6</x:v>
      </x:c>
      <x:c r="D2147" s="89" t="n">
        <x:v>45667</x:v>
      </x:c>
      <x:c r="E2147" s="84" t="n">
        <x:v>1.7</x:v>
      </x:c>
      <x:c r="F2147" s="84" t="str">
        <x:v>Normal</x:v>
      </x:c>
      <x:c r="G2147" s="93" t="n">
        <x:v>88.84</x:v>
      </x:c>
      <x:c r="H2147" s="85" t="str">
        <x:v>Diagnóstico e execução</x:v>
      </x:c>
    </x:row>
    <x:row r="2148">
      <x:c r="A2148" s="83" t="n">
        <x:v>2147</x:v>
      </x:c>
      <x:c r="B2148" s="84" t="n">
        <x:v>1263</x:v>
      </x:c>
      <x:c r="C2148" s="84" t="n">
        <x:v>33</x:v>
      </x:c>
      <x:c r="D2148" s="89" t="n">
        <x:v>45846</x:v>
      </x:c>
      <x:c r="E2148" s="84" t="n">
        <x:v>6</x:v>
      </x:c>
      <x:c r="F2148" s="84" t="str">
        <x:v>Normal</x:v>
      </x:c>
      <x:c r="G2148" s="93" t="n">
        <x:v>206.94</x:v>
      </x:c>
      <x:c r="H2148" s="85" t="str">
        <x:v>Diagnóstico e execução</x:v>
      </x:c>
    </x:row>
    <x:row r="2149">
      <x:c r="A2149" s="83" t="n">
        <x:v>2148</x:v>
      </x:c>
      <x:c r="B2149" s="84" t="n">
        <x:v>1263</x:v>
      </x:c>
      <x:c r="C2149" s="84" t="n">
        <x:v>17</x:v>
      </x:c>
      <x:c r="D2149" s="89" t="n">
        <x:v>45846</x:v>
      </x:c>
      <x:c r="E2149" s="84" t="n">
        <x:v>0.6</x:v>
      </x:c>
      <x:c r="F2149" s="84" t="str">
        <x:v>Normal</x:v>
      </x:c>
      <x:c r="G2149" s="93" t="n">
        <x:v>33.47</x:v>
      </x:c>
      <x:c r="H2149" s="85" t="str">
        <x:v>Diagnóstico e execução</x:v>
      </x:c>
    </x:row>
    <x:row r="2150">
      <x:c r="A2150" s="83" t="n">
        <x:v>2149</x:v>
      </x:c>
      <x:c r="B2150" s="84" t="n">
        <x:v>1264</x:v>
      </x:c>
      <x:c r="C2150" s="84" t="n">
        <x:v>37</x:v>
      </x:c>
      <x:c r="D2150" s="89" t="n">
        <x:v>45793</x:v>
      </x:c>
      <x:c r="E2150" s="84" t="n">
        <x:v>0.9</x:v>
      </x:c>
      <x:c r="F2150" s="84" t="str">
        <x:v>Normal</x:v>
      </x:c>
      <x:c r="G2150" s="93" t="n">
        <x:v>53.07</x:v>
      </x:c>
      <x:c r="H2150" s="85" t="str">
        <x:v>Diagnóstico e execução</x:v>
      </x:c>
    </x:row>
    <x:row r="2151">
      <x:c r="A2151" s="83" t="n">
        <x:v>2150</x:v>
      </x:c>
      <x:c r="B2151" s="84" t="n">
        <x:v>1264</x:v>
      </x:c>
      <x:c r="C2151" s="84" t="n">
        <x:v>20</x:v>
      </x:c>
      <x:c r="D2151" s="89" t="n">
        <x:v>45793</x:v>
      </x:c>
      <x:c r="E2151" s="84" t="n">
        <x:v>0.9</x:v>
      </x:c>
      <x:c r="F2151" s="84" t="str">
        <x:v>Normal</x:v>
      </x:c>
      <x:c r="G2151" s="93" t="n">
        <x:v>30.17</x:v>
      </x:c>
      <x:c r="H2151" s="85" t="str">
        <x:v>Diagnóstico e execução</x:v>
      </x:c>
    </x:row>
    <x:row r="2152">
      <x:c r="A2152" s="83" t="n">
        <x:v>2151</x:v>
      </x:c>
      <x:c r="B2152" s="84" t="n">
        <x:v>1264</x:v>
      </x:c>
      <x:c r="C2152" s="84" t="n">
        <x:v>41</x:v>
      </x:c>
      <x:c r="D2152" s="89" t="n">
        <x:v>45793</x:v>
      </x:c>
      <x:c r="E2152" s="84" t="n">
        <x:v>6.6</x:v>
      </x:c>
      <x:c r="F2152" s="84" t="str">
        <x:v>Normal</x:v>
      </x:c>
      <x:c r="G2152" s="93" t="n">
        <x:v>333.83</x:v>
      </x:c>
      <x:c r="H2152" s="85" t="str">
        <x:v>Diagnóstico e execução</x:v>
      </x:c>
    </x:row>
    <x:row r="2153">
      <x:c r="A2153" s="83" t="n">
        <x:v>2152</x:v>
      </x:c>
      <x:c r="B2153" s="84" t="n">
        <x:v>1265</x:v>
      </x:c>
      <x:c r="C2153" s="84" t="n">
        <x:v>30</x:v>
      </x:c>
      <x:c r="D2153" s="89" t="n">
        <x:v>45111</x:v>
      </x:c>
      <x:c r="E2153" s="84" t="n">
        <x:v>0.7</x:v>
      </x:c>
      <x:c r="F2153" s="84" t="str">
        <x:v>Normal</x:v>
      </x:c>
      <x:c r="G2153" s="93" t="n">
        <x:v>28.99</x:v>
      </x:c>
      <x:c r="H2153" s="85" t="str">
        <x:v>Diagnóstico e execução</x:v>
      </x:c>
    </x:row>
    <x:row r="2154">
      <x:c r="A2154" s="83" t="n">
        <x:v>2153</x:v>
      </x:c>
      <x:c r="B2154" s="84" t="n">
        <x:v>1266</x:v>
      </x:c>
      <x:c r="C2154" s="84" t="n">
        <x:v>28</x:v>
      </x:c>
      <x:c r="D2154" s="89" t="n">
        <x:v>45084</x:v>
      </x:c>
      <x:c r="E2154" s="84" t="n">
        <x:v>1.6</x:v>
      </x:c>
      <x:c r="F2154" s="84" t="str">
        <x:v>Normal</x:v>
      </x:c>
      <x:c r="G2154" s="93" t="n">
        <x:v>60.19</x:v>
      </x:c>
      <x:c r="H2154" s="85" t="str">
        <x:v>Diagnóstico e execução</x:v>
      </x:c>
    </x:row>
    <x:row r="2155">
      <x:c r="A2155" s="83" t="n">
        <x:v>2154</x:v>
      </x:c>
      <x:c r="B2155" s="84" t="n">
        <x:v>1266</x:v>
      </x:c>
      <x:c r="C2155" s="84" t="n">
        <x:v>5</x:v>
      </x:c>
      <x:c r="D2155" s="89" t="n">
        <x:v>45084</x:v>
      </x:c>
      <x:c r="E2155" s="84" t="n">
        <x:v>6.7</x:v>
      </x:c>
      <x:c r="F2155" s="84" t="str">
        <x:v>Normal</x:v>
      </x:c>
      <x:c r="G2155" s="93" t="n">
        <x:v>193.09</x:v>
      </x:c>
      <x:c r="H2155" s="85" t="str">
        <x:v>Diagnóstico e execução</x:v>
      </x:c>
    </x:row>
    <x:row r="2156">
      <x:c r="A2156" s="83" t="n">
        <x:v>2155</x:v>
      </x:c>
      <x:c r="B2156" s="84" t="n">
        <x:v>1267</x:v>
      </x:c>
      <x:c r="C2156" s="84" t="n">
        <x:v>3</x:v>
      </x:c>
      <x:c r="D2156" s="89" t="n">
        <x:v>45810</x:v>
      </x:c>
      <x:c r="E2156" s="84" t="n">
        <x:v>4.4</x:v>
      </x:c>
      <x:c r="F2156" s="84" t="str">
        <x:v>Normal</x:v>
      </x:c>
      <x:c r="G2156" s="93" t="n">
        <x:v>216.66</x:v>
      </x:c>
      <x:c r="H2156" s="85" t="str">
        <x:v>Diagnóstico e execução</x:v>
      </x:c>
    </x:row>
    <x:row r="2157">
      <x:c r="A2157" s="83" t="n">
        <x:v>2156</x:v>
      </x:c>
      <x:c r="B2157" s="84" t="n">
        <x:v>1267</x:v>
      </x:c>
      <x:c r="C2157" s="84" t="n">
        <x:v>1</x:v>
      </x:c>
      <x:c r="D2157" s="89" t="n">
        <x:v>45810</x:v>
      </x:c>
      <x:c r="E2157" s="84" t="n">
        <x:v>6</x:v>
      </x:c>
      <x:c r="F2157" s="84" t="str">
        <x:v>Normal</x:v>
      </x:c>
      <x:c r="G2157" s="93" t="n">
        <x:v>212.22</x:v>
      </x:c>
      <x:c r="H2157" s="85" t="str">
        <x:v>Diagnóstico e execução</x:v>
      </x:c>
    </x:row>
    <x:row r="2158">
      <x:c r="A2158" s="83" t="n">
        <x:v>2157</x:v>
      </x:c>
      <x:c r="B2158" s="84" t="n">
        <x:v>1267</x:v>
      </x:c>
      <x:c r="C2158" s="84" t="n">
        <x:v>29</x:v>
      </x:c>
      <x:c r="D2158" s="89" t="n">
        <x:v>45810</x:v>
      </x:c>
      <x:c r="E2158" s="84" t="n">
        <x:v>7.6</x:v>
      </x:c>
      <x:c r="F2158" s="84" t="str">
        <x:v>Normal</x:v>
      </x:c>
      <x:c r="G2158" s="93" t="n">
        <x:v>376.35</x:v>
      </x:c>
      <x:c r="H2158" s="85" t="str">
        <x:v>Diagnóstico e execução</x:v>
      </x:c>
    </x:row>
    <x:row r="2159">
      <x:c r="A2159" s="83" t="n">
        <x:v>2158</x:v>
      </x:c>
      <x:c r="B2159" s="84" t="n">
        <x:v>1268</x:v>
      </x:c>
      <x:c r="C2159" s="84" t="n">
        <x:v>11</x:v>
      </x:c>
      <x:c r="D2159" s="89" t="n">
        <x:v>45924</x:v>
      </x:c>
      <x:c r="E2159" s="84" t="n">
        <x:v>1</x:v>
      </x:c>
      <x:c r="F2159" s="84" t="str">
        <x:v>Normal</x:v>
      </x:c>
      <x:c r="G2159" s="93" t="n">
        <x:v>41.68</x:v>
      </x:c>
      <x:c r="H2159" s="85" t="str">
        <x:v>Diagnóstico e execução</x:v>
      </x:c>
    </x:row>
    <x:row r="2160">
      <x:c r="A2160" s="83" t="n">
        <x:v>2159</x:v>
      </x:c>
      <x:c r="B2160" s="84" t="n">
        <x:v>1269</x:v>
      </x:c>
      <x:c r="C2160" s="84" t="n">
        <x:v>41</x:v>
      </x:c>
      <x:c r="D2160" s="89" t="n">
        <x:v>45302</x:v>
      </x:c>
      <x:c r="E2160" s="84" t="n">
        <x:v>5.1</x:v>
      </x:c>
      <x:c r="F2160" s="84" t="str">
        <x:v>Normal</x:v>
      </x:c>
      <x:c r="G2160" s="93" t="n">
        <x:v>257.96</x:v>
      </x:c>
      <x:c r="H2160" s="85" t="str">
        <x:v>Diagnóstico e execução</x:v>
      </x:c>
    </x:row>
    <x:row r="2161">
      <x:c r="A2161" s="83" t="n">
        <x:v>2160</x:v>
      </x:c>
      <x:c r="B2161" s="84" t="n">
        <x:v>1270</x:v>
      </x:c>
      <x:c r="C2161" s="84" t="n">
        <x:v>37</x:v>
      </x:c>
      <x:c r="D2161" s="89" t="n">
        <x:v>45256</x:v>
      </x:c>
      <x:c r="E2161" s="84" t="n">
        <x:v>1.9</x:v>
      </x:c>
      <x:c r="F2161" s="84" t="str">
        <x:v>Normal</x:v>
      </x:c>
      <x:c r="G2161" s="93" t="n">
        <x:v>112.04</x:v>
      </x:c>
      <x:c r="H2161" s="85" t="str">
        <x:v>Diagnóstico e execução</x:v>
      </x:c>
    </x:row>
    <x:row r="2162">
      <x:c r="A2162" s="83" t="n">
        <x:v>2161</x:v>
      </x:c>
      <x:c r="B2162" s="84" t="n">
        <x:v>1270</x:v>
      </x:c>
      <x:c r="C2162" s="84" t="n">
        <x:v>3</x:v>
      </x:c>
      <x:c r="D2162" s="89" t="n">
        <x:v>45256</x:v>
      </x:c>
      <x:c r="E2162" s="84" t="n">
        <x:v>1.3</x:v>
      </x:c>
      <x:c r="F2162" s="84" t="str">
        <x:v>Normal</x:v>
      </x:c>
      <x:c r="G2162" s="93" t="n">
        <x:v>64.01</x:v>
      </x:c>
      <x:c r="H2162" s="85" t="str">
        <x:v>Diagnóstico e execução</x:v>
      </x:c>
    </x:row>
    <x:row r="2163">
      <x:c r="A2163" s="83" t="n">
        <x:v>2162</x:v>
      </x:c>
      <x:c r="B2163" s="84" t="n">
        <x:v>1271</x:v>
      </x:c>
      <x:c r="C2163" s="84" t="n">
        <x:v>27</x:v>
      </x:c>
      <x:c r="D2163" s="89" t="n">
        <x:v>45554</x:v>
      </x:c>
      <x:c r="E2163" s="84" t="n">
        <x:v>1.7</x:v>
      </x:c>
      <x:c r="F2163" s="84" t="str">
        <x:v>Normal</x:v>
      </x:c>
      <x:c r="G2163" s="93" t="n">
        <x:v>103.68</x:v>
      </x:c>
      <x:c r="H2163" s="85" t="str">
        <x:v>Diagnóstico e execução</x:v>
      </x:c>
    </x:row>
    <x:row r="2164">
      <x:c r="A2164" s="83" t="n">
        <x:v>2163</x:v>
      </x:c>
      <x:c r="B2164" s="84" t="n">
        <x:v>1272</x:v>
      </x:c>
      <x:c r="C2164" s="84" t="n">
        <x:v>13</x:v>
      </x:c>
      <x:c r="D2164" s="89" t="n">
        <x:v>45128</x:v>
      </x:c>
      <x:c r="E2164" s="84" t="n">
        <x:v>4</x:v>
      </x:c>
      <x:c r="F2164" s="84" t="str">
        <x:v>Normal</x:v>
      </x:c>
      <x:c r="G2164" s="93" t="n">
        <x:v>135.52</x:v>
      </x:c>
      <x:c r="H2164" s="85" t="str">
        <x:v>Diagnóstico e execução</x:v>
      </x:c>
    </x:row>
    <x:row r="2165">
      <x:c r="A2165" s="83" t="n">
        <x:v>2164</x:v>
      </x:c>
      <x:c r="B2165" s="84" t="n">
        <x:v>1272</x:v>
      </x:c>
      <x:c r="C2165" s="84" t="n">
        <x:v>33</x:v>
      </x:c>
      <x:c r="D2165" s="89" t="n">
        <x:v>45128</x:v>
      </x:c>
      <x:c r="E2165" s="84" t="n">
        <x:v>2.2</x:v>
      </x:c>
      <x:c r="F2165" s="84" t="str">
        <x:v>Normal</x:v>
      </x:c>
      <x:c r="G2165" s="93" t="n">
        <x:v>75.88</x:v>
      </x:c>
      <x:c r="H2165" s="85" t="str">
        <x:v>Diagnóstico e execução</x:v>
      </x:c>
    </x:row>
    <x:row r="2166">
      <x:c r="A2166" s="83" t="n">
        <x:v>2165</x:v>
      </x:c>
      <x:c r="B2166" s="84" t="n">
        <x:v>1273</x:v>
      </x:c>
      <x:c r="C2166" s="84" t="n">
        <x:v>37</x:v>
      </x:c>
      <x:c r="D2166" s="89" t="n">
        <x:v>44932</x:v>
      </x:c>
      <x:c r="E2166" s="84" t="n">
        <x:v>7.2</x:v>
      </x:c>
      <x:c r="F2166" s="84" t="str">
        <x:v>Normal</x:v>
      </x:c>
      <x:c r="G2166" s="93" t="n">
        <x:v>424.58</x:v>
      </x:c>
      <x:c r="H2166" s="85" t="str">
        <x:v>Diagnóstico e execução</x:v>
      </x:c>
    </x:row>
    <x:row r="2167">
      <x:c r="A2167" s="83" t="n">
        <x:v>2166</x:v>
      </x:c>
      <x:c r="B2167" s="84" t="n">
        <x:v>1273</x:v>
      </x:c>
      <x:c r="C2167" s="84" t="n">
        <x:v>30</x:v>
      </x:c>
      <x:c r="D2167" s="89" t="n">
        <x:v>44932</x:v>
      </x:c>
      <x:c r="E2167" s="84" t="n">
        <x:v>7.8</x:v>
      </x:c>
      <x:c r="F2167" s="84" t="str">
        <x:v>Normal</x:v>
      </x:c>
      <x:c r="G2167" s="93" t="n">
        <x:v>323</x:v>
      </x:c>
      <x:c r="H2167" s="85" t="str">
        <x:v>Diagnóstico e execução</x:v>
      </x:c>
    </x:row>
    <x:row r="2168">
      <x:c r="A2168" s="83" t="n">
        <x:v>2167</x:v>
      </x:c>
      <x:c r="B2168" s="84" t="n">
        <x:v>1273</x:v>
      </x:c>
      <x:c r="C2168" s="84" t="n">
        <x:v>28</x:v>
      </x:c>
      <x:c r="D2168" s="89" t="n">
        <x:v>44932</x:v>
      </x:c>
      <x:c r="E2168" s="84" t="n">
        <x:v>5.6</x:v>
      </x:c>
      <x:c r="F2168" s="84" t="str">
        <x:v>Normal</x:v>
      </x:c>
      <x:c r="G2168" s="93" t="n">
        <x:v>210.67</x:v>
      </x:c>
      <x:c r="H2168" s="85" t="str">
        <x:v>Diagnóstico e execução</x:v>
      </x:c>
    </x:row>
    <x:row r="2169">
      <x:c r="A2169" s="83" t="n">
        <x:v>2168</x:v>
      </x:c>
      <x:c r="B2169" s="84" t="n">
        <x:v>1274</x:v>
      </x:c>
      <x:c r="C2169" s="84" t="n">
        <x:v>7</x:v>
      </x:c>
      <x:c r="D2169" s="89" t="n">
        <x:v>45613</x:v>
      </x:c>
      <x:c r="E2169" s="84" t="n">
        <x:v>5.4</x:v>
      </x:c>
      <x:c r="F2169" s="84" t="str">
        <x:v>Normal</x:v>
      </x:c>
      <x:c r="G2169" s="93" t="n">
        <x:v>314.33</x:v>
      </x:c>
      <x:c r="H2169" s="85" t="str">
        <x:v>Diagnóstico e execução</x:v>
      </x:c>
    </x:row>
    <x:row r="2170">
      <x:c r="A2170" s="83" t="n">
        <x:v>2169</x:v>
      </x:c>
      <x:c r="B2170" s="84" t="n">
        <x:v>1274</x:v>
      </x:c>
      <x:c r="C2170" s="84" t="n">
        <x:v>9</x:v>
      </x:c>
      <x:c r="D2170" s="89" t="n">
        <x:v>45613</x:v>
      </x:c>
      <x:c r="E2170" s="84" t="n">
        <x:v>4.4</x:v>
      </x:c>
      <x:c r="F2170" s="84" t="str">
        <x:v>Normal</x:v>
      </x:c>
      <x:c r="G2170" s="93" t="n">
        <x:v>231.75</x:v>
      </x:c>
      <x:c r="H2170" s="85" t="str">
        <x:v>Diagnóstico e execução</x:v>
      </x:c>
    </x:row>
    <x:row r="2171">
      <x:c r="A2171" s="83" t="n">
        <x:v>2170</x:v>
      </x:c>
      <x:c r="B2171" s="84" t="n">
        <x:v>1275</x:v>
      </x:c>
      <x:c r="C2171" s="84" t="n">
        <x:v>21</x:v>
      </x:c>
      <x:c r="D2171" s="89" t="n">
        <x:v>45377</x:v>
      </x:c>
      <x:c r="E2171" s="84" t="n">
        <x:v>3.2</x:v>
      </x:c>
      <x:c r="F2171" s="84" t="str">
        <x:v>Normal</x:v>
      </x:c>
      <x:c r="G2171" s="93" t="n">
        <x:v>196.58</x:v>
      </x:c>
      <x:c r="H2171" s="85" t="str">
        <x:v>Diagnóstico e execução</x:v>
      </x:c>
    </x:row>
    <x:row r="2172">
      <x:c r="A2172" s="83" t="n">
        <x:v>2171</x:v>
      </x:c>
      <x:c r="B2172" s="84" t="n">
        <x:v>1275</x:v>
      </x:c>
      <x:c r="C2172" s="84" t="n">
        <x:v>17</x:v>
      </x:c>
      <x:c r="D2172" s="89" t="n">
        <x:v>45377</x:v>
      </x:c>
      <x:c r="E2172" s="84" t="n">
        <x:v>5.1</x:v>
      </x:c>
      <x:c r="F2172" s="84" t="str">
        <x:v>Normal</x:v>
      </x:c>
      <x:c r="G2172" s="93" t="n">
        <x:v>284.48</x:v>
      </x:c>
      <x:c r="H2172" s="85" t="str">
        <x:v>Diagnóstico e execução</x:v>
      </x:c>
    </x:row>
    <x:row r="2173">
      <x:c r="A2173" s="83" t="n">
        <x:v>2172</x:v>
      </x:c>
      <x:c r="B2173" s="84" t="n">
        <x:v>1276</x:v>
      </x:c>
      <x:c r="C2173" s="84" t="n">
        <x:v>15</x:v>
      </x:c>
      <x:c r="D2173" s="89" t="n">
        <x:v>45437</x:v>
      </x:c>
      <x:c r="E2173" s="84" t="n">
        <x:v>0.7</x:v>
      </x:c>
      <x:c r="F2173" s="84" t="str">
        <x:v>Normal</x:v>
      </x:c>
      <x:c r="G2173" s="93" t="n">
        <x:v>21.17</x:v>
      </x:c>
      <x:c r="H2173" s="85" t="str">
        <x:v>Diagnóstico e execução</x:v>
      </x:c>
    </x:row>
    <x:row r="2174">
      <x:c r="A2174" s="83" t="n">
        <x:v>2173</x:v>
      </x:c>
      <x:c r="B2174" s="84" t="n">
        <x:v>1277</x:v>
      </x:c>
      <x:c r="C2174" s="84" t="n">
        <x:v>30</x:v>
      </x:c>
      <x:c r="D2174" s="89" t="n">
        <x:v>45827</x:v>
      </x:c>
      <x:c r="E2174" s="84" t="n">
        <x:v>3.9</x:v>
      </x:c>
      <x:c r="F2174" s="84" t="str">
        <x:v>Normal</x:v>
      </x:c>
      <x:c r="G2174" s="93" t="n">
        <x:v>161.5</x:v>
      </x:c>
      <x:c r="H2174" s="85" t="str">
        <x:v>Diagnóstico e execução</x:v>
      </x:c>
    </x:row>
    <x:row r="2175">
      <x:c r="A2175" s="83" t="n">
        <x:v>2174</x:v>
      </x:c>
      <x:c r="B2175" s="84" t="n">
        <x:v>1278</x:v>
      </x:c>
      <x:c r="C2175" s="84" t="n">
        <x:v>22</x:v>
      </x:c>
      <x:c r="D2175" s="89" t="n">
        <x:v>45430</x:v>
      </x:c>
      <x:c r="E2175" s="84" t="n">
        <x:v>6.3</x:v>
      </x:c>
      <x:c r="F2175" s="84" t="str">
        <x:v>Normal</x:v>
      </x:c>
      <x:c r="G2175" s="93" t="n">
        <x:v>242.3</x:v>
      </x:c>
      <x:c r="H2175" s="85" t="str">
        <x:v>Diagnóstico e execução</x:v>
      </x:c>
    </x:row>
    <x:row r="2176">
      <x:c r="A2176" s="83" t="n">
        <x:v>2175</x:v>
      </x:c>
      <x:c r="B2176" s="84" t="n">
        <x:v>1278</x:v>
      </x:c>
      <x:c r="C2176" s="84" t="n">
        <x:v>16</x:v>
      </x:c>
      <x:c r="D2176" s="89" t="n">
        <x:v>45430</x:v>
      </x:c>
      <x:c r="E2176" s="84" t="n">
        <x:v>6.7</x:v>
      </x:c>
      <x:c r="F2176" s="84" t="str">
        <x:v>Normal</x:v>
      </x:c>
      <x:c r="G2176" s="93" t="n">
        <x:v>271.48</x:v>
      </x:c>
      <x:c r="H2176" s="85" t="str">
        <x:v>Diagnóstico e execução</x:v>
      </x:c>
    </x:row>
    <x:row r="2177">
      <x:c r="A2177" s="83" t="n">
        <x:v>2176</x:v>
      </x:c>
      <x:c r="B2177" s="84" t="n">
        <x:v>1278</x:v>
      </x:c>
      <x:c r="C2177" s="84" t="n">
        <x:v>14</x:v>
      </x:c>
      <x:c r="D2177" s="89" t="n">
        <x:v>45430</x:v>
      </x:c>
      <x:c r="E2177" s="84" t="n">
        <x:v>3</x:v>
      </x:c>
      <x:c r="F2177" s="84" t="str">
        <x:v>Normal</x:v>
      </x:c>
      <x:c r="G2177" s="93" t="n">
        <x:v>169.98</x:v>
      </x:c>
      <x:c r="H2177" s="85" t="str">
        <x:v>Diagnóstico e execução</x:v>
      </x:c>
    </x:row>
    <x:row r="2178">
      <x:c r="A2178" s="83" t="n">
        <x:v>2177</x:v>
      </x:c>
      <x:c r="B2178" s="84" t="n">
        <x:v>1279</x:v>
      </x:c>
      <x:c r="C2178" s="84" t="n">
        <x:v>29</x:v>
      </x:c>
      <x:c r="D2178" s="89" t="n">
        <x:v>45466</x:v>
      </x:c>
      <x:c r="E2178" s="84" t="n">
        <x:v>7.1</x:v>
      </x:c>
      <x:c r="F2178" s="84" t="str">
        <x:v>Normal</x:v>
      </x:c>
      <x:c r="G2178" s="93" t="n">
        <x:v>351.59</x:v>
      </x:c>
      <x:c r="H2178" s="85" t="str">
        <x:v>Diagnóstico e execução</x:v>
      </x:c>
    </x:row>
    <x:row r="2179">
      <x:c r="A2179" s="83" t="n">
        <x:v>2178</x:v>
      </x:c>
      <x:c r="B2179" s="84" t="n">
        <x:v>1281</x:v>
      </x:c>
      <x:c r="C2179" s="84" t="n">
        <x:v>38</x:v>
      </x:c>
      <x:c r="D2179" s="89" t="n">
        <x:v>45373</x:v>
      </x:c>
      <x:c r="E2179" s="84" t="n">
        <x:v>2.9</x:v>
      </x:c>
      <x:c r="F2179" s="84" t="str">
        <x:v>Normal</x:v>
      </x:c>
      <x:c r="G2179" s="93" t="n">
        <x:v>97.64</x:v>
      </x:c>
      <x:c r="H2179" s="85" t="str">
        <x:v>Diagnóstico e execução</x:v>
      </x:c>
    </x:row>
    <x:row r="2180">
      <x:c r="A2180" s="83" t="n">
        <x:v>2179</x:v>
      </x:c>
      <x:c r="B2180" s="84" t="n">
        <x:v>1281</x:v>
      </x:c>
      <x:c r="C2180" s="84" t="n">
        <x:v>30</x:v>
      </x:c>
      <x:c r="D2180" s="89" t="n">
        <x:v>45373</x:v>
      </x:c>
      <x:c r="E2180" s="84" t="n">
        <x:v>3.2</x:v>
      </x:c>
      <x:c r="F2180" s="84" t="str">
        <x:v>Normal</x:v>
      </x:c>
      <x:c r="G2180" s="93" t="n">
        <x:v>132.51</x:v>
      </x:c>
      <x:c r="H2180" s="85" t="str">
        <x:v>Diagnóstico e execução</x:v>
      </x:c>
    </x:row>
    <x:row r="2181">
      <x:c r="A2181" s="83" t="n">
        <x:v>2180</x:v>
      </x:c>
      <x:c r="B2181" s="84" t="n">
        <x:v>1281</x:v>
      </x:c>
      <x:c r="C2181" s="84" t="n">
        <x:v>45</x:v>
      </x:c>
      <x:c r="D2181" s="89" t="n">
        <x:v>45373</x:v>
      </x:c>
      <x:c r="E2181" s="84" t="n">
        <x:v>4.3</x:v>
      </x:c>
      <x:c r="F2181" s="84" t="str">
        <x:v>Normal</x:v>
      </x:c>
      <x:c r="G2181" s="93" t="n">
        <x:v>230.35</x:v>
      </x:c>
      <x:c r="H2181" s="85" t="str">
        <x:v>Diagnóstico e execução</x:v>
      </x:c>
    </x:row>
    <x:row r="2182">
      <x:c r="A2182" s="83" t="n">
        <x:v>2181</x:v>
      </x:c>
      <x:c r="B2182" s="84" t="n">
        <x:v>1282</x:v>
      </x:c>
      <x:c r="C2182" s="84" t="n">
        <x:v>45</x:v>
      </x:c>
      <x:c r="D2182" s="89" t="n">
        <x:v>45048</x:v>
      </x:c>
      <x:c r="E2182" s="84" t="n">
        <x:v>7.7</x:v>
      </x:c>
      <x:c r="F2182" s="84" t="str">
        <x:v>Normal</x:v>
      </x:c>
      <x:c r="G2182" s="93" t="n">
        <x:v>412.49</x:v>
      </x:c>
      <x:c r="H2182" s="85" t="str">
        <x:v>Diagnóstico e execução</x:v>
      </x:c>
    </x:row>
    <x:row r="2183">
      <x:c r="A2183" s="83" t="n">
        <x:v>2182</x:v>
      </x:c>
      <x:c r="B2183" s="84" t="n">
        <x:v>1283</x:v>
      </x:c>
      <x:c r="C2183" s="84" t="n">
        <x:v>2</x:v>
      </x:c>
      <x:c r="D2183" s="89" t="n">
        <x:v>45550</x:v>
      </x:c>
      <x:c r="E2183" s="84" t="n">
        <x:v>3.8</x:v>
      </x:c>
      <x:c r="F2183" s="84" t="str">
        <x:v>Normal</x:v>
      </x:c>
      <x:c r="G2183" s="93" t="n">
        <x:v>141.59</x:v>
      </x:c>
      <x:c r="H2183" s="85" t="str">
        <x:v>Diagnóstico e execução</x:v>
      </x:c>
    </x:row>
    <x:row r="2184">
      <x:c r="A2184" s="83" t="n">
        <x:v>2183</x:v>
      </x:c>
      <x:c r="B2184" s="84" t="n">
        <x:v>1284</x:v>
      </x:c>
      <x:c r="C2184" s="84" t="n">
        <x:v>37</x:v>
      </x:c>
      <x:c r="D2184" s="89" t="n">
        <x:v>45563</x:v>
      </x:c>
      <x:c r="E2184" s="84" t="n">
        <x:v>2.2</x:v>
      </x:c>
      <x:c r="F2184" s="84" t="str">
        <x:v>Normal</x:v>
      </x:c>
      <x:c r="G2184" s="93" t="n">
        <x:v>129.73</x:v>
      </x:c>
      <x:c r="H2184" s="85" t="str">
        <x:v>Diagnóstico e execução</x:v>
      </x:c>
    </x:row>
    <x:row r="2185">
      <x:c r="A2185" s="83" t="n">
        <x:v>2184</x:v>
      </x:c>
      <x:c r="B2185" s="84" t="n">
        <x:v>1284</x:v>
      </x:c>
      <x:c r="C2185" s="84" t="n">
        <x:v>2</x:v>
      </x:c>
      <x:c r="D2185" s="89" t="n">
        <x:v>45563</x:v>
      </x:c>
      <x:c r="E2185" s="84" t="n">
        <x:v>2.4</x:v>
      </x:c>
      <x:c r="F2185" s="84" t="str">
        <x:v>Normal</x:v>
      </x:c>
      <x:c r="G2185" s="93" t="n">
        <x:v>89.42</x:v>
      </x:c>
      <x:c r="H2185" s="85" t="str">
        <x:v>Diagnóstico e execução</x:v>
      </x:c>
    </x:row>
    <x:row r="2186">
      <x:c r="A2186" s="83" t="n">
        <x:v>2185</x:v>
      </x:c>
      <x:c r="B2186" s="84" t="n">
        <x:v>1284</x:v>
      </x:c>
      <x:c r="C2186" s="84" t="n">
        <x:v>6</x:v>
      </x:c>
      <x:c r="D2186" s="89" t="n">
        <x:v>45563</x:v>
      </x:c>
      <x:c r="E2186" s="84" t="n">
        <x:v>6.5</x:v>
      </x:c>
      <x:c r="F2186" s="84" t="str">
        <x:v>Normal</x:v>
      </x:c>
      <x:c r="G2186" s="93" t="n">
        <x:v>339.69</x:v>
      </x:c>
      <x:c r="H2186" s="85" t="str">
        <x:v>Diagnóstico e execução</x:v>
      </x:c>
    </x:row>
    <x:row r="2187">
      <x:c r="A2187" s="83" t="n">
        <x:v>2186</x:v>
      </x:c>
      <x:c r="B2187" s="84" t="n">
        <x:v>1286</x:v>
      </x:c>
      <x:c r="C2187" s="84" t="n">
        <x:v>23</x:v>
      </x:c>
      <x:c r="D2187" s="89" t="n">
        <x:v>46010</x:v>
      </x:c>
      <x:c r="E2187" s="84" t="n">
        <x:v>7.3</x:v>
      </x:c>
      <x:c r="F2187" s="84" t="str">
        <x:v>Normal</x:v>
      </x:c>
      <x:c r="G2187" s="93" t="n">
        <x:v>314.7</x:v>
      </x:c>
      <x:c r="H2187" s="85" t="str">
        <x:v>Diagnóstico e execução</x:v>
      </x:c>
    </x:row>
    <x:row r="2188">
      <x:c r="A2188" s="83" t="n">
        <x:v>2187</x:v>
      </x:c>
      <x:c r="B2188" s="84" t="n">
        <x:v>1286</x:v>
      </x:c>
      <x:c r="C2188" s="84" t="n">
        <x:v>42</x:v>
      </x:c>
      <x:c r="D2188" s="89" t="n">
        <x:v>46010</x:v>
      </x:c>
      <x:c r="E2188" s="84" t="n">
        <x:v>4.3</x:v>
      </x:c>
      <x:c r="F2188" s="84" t="str">
        <x:v>Normal</x:v>
      </x:c>
      <x:c r="G2188" s="93" t="n">
        <x:v>181.37</x:v>
      </x:c>
      <x:c r="H2188" s="85" t="str">
        <x:v>Diagnóstico e execução</x:v>
      </x:c>
    </x:row>
    <x:row r="2189">
      <x:c r="A2189" s="83" t="n">
        <x:v>2188</x:v>
      </x:c>
      <x:c r="B2189" s="84" t="n">
        <x:v>1286</x:v>
      </x:c>
      <x:c r="C2189" s="84" t="n">
        <x:v>35</x:v>
      </x:c>
      <x:c r="D2189" s="89" t="n">
        <x:v>46010</x:v>
      </x:c>
      <x:c r="E2189" s="84" t="n">
        <x:v>6.6</x:v>
      </x:c>
      <x:c r="F2189" s="84" t="str">
        <x:v>Normal</x:v>
      </x:c>
      <x:c r="G2189" s="93" t="n">
        <x:v>324.65</x:v>
      </x:c>
      <x:c r="H2189" s="85" t="str">
        <x:v>Diagnóstico e execução</x:v>
      </x:c>
    </x:row>
    <x:row r="2190">
      <x:c r="A2190" s="83" t="n">
        <x:v>2189</x:v>
      </x:c>
      <x:c r="B2190" s="84" t="n">
        <x:v>1288</x:v>
      </x:c>
      <x:c r="C2190" s="84" t="n">
        <x:v>16</x:v>
      </x:c>
      <x:c r="D2190" s="89" t="n">
        <x:v>45263</x:v>
      </x:c>
      <x:c r="E2190" s="84" t="n">
        <x:v>3.3</x:v>
      </x:c>
      <x:c r="F2190" s="84" t="str">
        <x:v>Normal</x:v>
      </x:c>
      <x:c r="G2190" s="93" t="n">
        <x:v>133.72</x:v>
      </x:c>
      <x:c r="H2190" s="85" t="str">
        <x:v>Diagnóstico e execução</x:v>
      </x:c>
    </x:row>
    <x:row r="2191">
      <x:c r="A2191" s="83" t="n">
        <x:v>2190</x:v>
      </x:c>
      <x:c r="B2191" s="84" t="n">
        <x:v>1289</x:v>
      </x:c>
      <x:c r="C2191" s="84" t="n">
        <x:v>29</x:v>
      </x:c>
      <x:c r="D2191" s="89" t="n">
        <x:v>45509</x:v>
      </x:c>
      <x:c r="E2191" s="84" t="n">
        <x:v>7.6</x:v>
      </x:c>
      <x:c r="F2191" s="84" t="str">
        <x:v>Normal</x:v>
      </x:c>
      <x:c r="G2191" s="93" t="n">
        <x:v>376.35</x:v>
      </x:c>
      <x:c r="H2191" s="85" t="str">
        <x:v>Diagnóstico e execução</x:v>
      </x:c>
    </x:row>
    <x:row r="2192">
      <x:c r="A2192" s="83" t="n">
        <x:v>2191</x:v>
      </x:c>
      <x:c r="B2192" s="84" t="n">
        <x:v>1289</x:v>
      </x:c>
      <x:c r="C2192" s="84" t="n">
        <x:v>7</x:v>
      </x:c>
      <x:c r="D2192" s="89" t="n">
        <x:v>45509</x:v>
      </x:c>
      <x:c r="E2192" s="84" t="n">
        <x:v>7.5</x:v>
      </x:c>
      <x:c r="F2192" s="84" t="str">
        <x:v>Normal</x:v>
      </x:c>
      <x:c r="G2192" s="93" t="n">
        <x:v>436.57</x:v>
      </x:c>
      <x:c r="H2192" s="85" t="str">
        <x:v>Diagnóstico e execução</x:v>
      </x:c>
    </x:row>
    <x:row r="2193">
      <x:c r="A2193" s="83" t="n">
        <x:v>2192</x:v>
      </x:c>
      <x:c r="B2193" s="84" t="n">
        <x:v>1291</x:v>
      </x:c>
      <x:c r="C2193" s="84" t="n">
        <x:v>33</x:v>
      </x:c>
      <x:c r="D2193" s="89" t="n">
        <x:v>45842</x:v>
      </x:c>
      <x:c r="E2193" s="84" t="n">
        <x:v>7.4</x:v>
      </x:c>
      <x:c r="F2193" s="84" t="str">
        <x:v>Normal</x:v>
      </x:c>
      <x:c r="G2193" s="93" t="n">
        <x:v>255.23</x:v>
      </x:c>
      <x:c r="H2193" s="85" t="str">
        <x:v>Diagnóstico e execução</x:v>
      </x:c>
    </x:row>
    <x:row r="2194">
      <x:c r="A2194" s="83" t="n">
        <x:v>2193</x:v>
      </x:c>
      <x:c r="B2194" s="84" t="n">
        <x:v>1292</x:v>
      </x:c>
      <x:c r="C2194" s="84" t="n">
        <x:v>34</x:v>
      </x:c>
      <x:c r="D2194" s="89" t="n">
        <x:v>45933</x:v>
      </x:c>
      <x:c r="E2194" s="84" t="n">
        <x:v>6</x:v>
      </x:c>
      <x:c r="F2194" s="84" t="str">
        <x:v>Normal</x:v>
      </x:c>
      <x:c r="G2194" s="93" t="n">
        <x:v>259.38</x:v>
      </x:c>
      <x:c r="H2194" s="85" t="str">
        <x:v>Diagnóstico e execução</x:v>
      </x:c>
    </x:row>
    <x:row r="2195">
      <x:c r="A2195" s="83" t="n">
        <x:v>2194</x:v>
      </x:c>
      <x:c r="B2195" s="84" t="n">
        <x:v>1292</x:v>
      </x:c>
      <x:c r="C2195" s="84" t="n">
        <x:v>23</x:v>
      </x:c>
      <x:c r="D2195" s="89" t="n">
        <x:v>45933</x:v>
      </x:c>
      <x:c r="E2195" s="84" t="n">
        <x:v>7.2</x:v>
      </x:c>
      <x:c r="F2195" s="84" t="str">
        <x:v>Normal</x:v>
      </x:c>
      <x:c r="G2195" s="93" t="n">
        <x:v>310.39</x:v>
      </x:c>
      <x:c r="H2195" s="85" t="str">
        <x:v>Diagnóstico e execução</x:v>
      </x:c>
    </x:row>
    <x:row r="2196">
      <x:c r="A2196" s="83" t="n">
        <x:v>2195</x:v>
      </x:c>
      <x:c r="B2196" s="84" t="n">
        <x:v>1293</x:v>
      </x:c>
      <x:c r="C2196" s="84" t="n">
        <x:v>24</x:v>
      </x:c>
      <x:c r="D2196" s="89" t="n">
        <x:v>45151</x:v>
      </x:c>
      <x:c r="E2196" s="84" t="n">
        <x:v>6.1</x:v>
      </x:c>
      <x:c r="F2196" s="84" t="str">
        <x:v>Normal</x:v>
      </x:c>
      <x:c r="G2196" s="93" t="n">
        <x:v>361.36</x:v>
      </x:c>
      <x:c r="H2196" s="85" t="str">
        <x:v>Diagnóstico e execução</x:v>
      </x:c>
    </x:row>
    <x:row r="2197">
      <x:c r="A2197" s="83" t="n">
        <x:v>2196</x:v>
      </x:c>
      <x:c r="B2197" s="84" t="n">
        <x:v>1294</x:v>
      </x:c>
      <x:c r="C2197" s="84" t="n">
        <x:v>44</x:v>
      </x:c>
      <x:c r="D2197" s="89" t="n">
        <x:v>45750</x:v>
      </x:c>
      <x:c r="E2197" s="84" t="n">
        <x:v>1.4</x:v>
      </x:c>
      <x:c r="F2197" s="84" t="str">
        <x:v>Normal</x:v>
      </x:c>
      <x:c r="G2197" s="93" t="n">
        <x:v>39.26</x:v>
      </x:c>
      <x:c r="H2197" s="85" t="str">
        <x:v>Diagnóstico e execução</x:v>
      </x:c>
    </x:row>
    <x:row r="2198">
      <x:c r="A2198" s="83" t="n">
        <x:v>2197</x:v>
      </x:c>
      <x:c r="B2198" s="84" t="n">
        <x:v>1295</x:v>
      </x:c>
      <x:c r="C2198" s="84" t="n">
        <x:v>4</x:v>
      </x:c>
      <x:c r="D2198" s="89" t="n">
        <x:v>45656</x:v>
      </x:c>
      <x:c r="E2198" s="84" t="n">
        <x:v>4.6</x:v>
      </x:c>
      <x:c r="F2198" s="84" t="str">
        <x:v>Normal</x:v>
      </x:c>
      <x:c r="G2198" s="93" t="n">
        <x:v>226.27</x:v>
      </x:c>
      <x:c r="H2198" s="85" t="str">
        <x:v>Diagnóstico e execução</x:v>
      </x:c>
    </x:row>
    <x:row r="2199">
      <x:c r="A2199" s="83" t="n">
        <x:v>2198</x:v>
      </x:c>
      <x:c r="B2199" s="84" t="n">
        <x:v>1295</x:v>
      </x:c>
      <x:c r="C2199" s="84" t="n">
        <x:v>31</x:v>
      </x:c>
      <x:c r="D2199" s="89" t="n">
        <x:v>45656</x:v>
      </x:c>
      <x:c r="E2199" s="84" t="n">
        <x:v>6.3</x:v>
      </x:c>
      <x:c r="F2199" s="84" t="str">
        <x:v>Normal</x:v>
      </x:c>
      <x:c r="G2199" s="93" t="n">
        <x:v>308.07</x:v>
      </x:c>
      <x:c r="H2199" s="85" t="str">
        <x:v>Diagnóstico e execução</x:v>
      </x:c>
    </x:row>
    <x:row r="2200">
      <x:c r="A2200" s="83" t="n">
        <x:v>2199</x:v>
      </x:c>
      <x:c r="B2200" s="84" t="n">
        <x:v>1296</x:v>
      </x:c>
      <x:c r="C2200" s="84" t="n">
        <x:v>18</x:v>
      </x:c>
      <x:c r="D2200" s="89" t="n">
        <x:v>44999</x:v>
      </x:c>
      <x:c r="E2200" s="84" t="n">
        <x:v>0.6</x:v>
      </x:c>
      <x:c r="F2200" s="84" t="str">
        <x:v>Normal</x:v>
      </x:c>
      <x:c r="G2200" s="93" t="n">
        <x:v>37.85</x:v>
      </x:c>
      <x:c r="H2200" s="85" t="str">
        <x:v>Diagnóstico e execução</x:v>
      </x:c>
    </x:row>
    <x:row r="2201">
      <x:c r="A2201" s="83" t="n">
        <x:v>2200</x:v>
      </x:c>
      <x:c r="B2201" s="84" t="n">
        <x:v>1296</x:v>
      </x:c>
      <x:c r="C2201" s="84" t="n">
        <x:v>20</x:v>
      </x:c>
      <x:c r="D2201" s="89" t="n">
        <x:v>44999</x:v>
      </x:c>
      <x:c r="E2201" s="84" t="n">
        <x:v>1.7</x:v>
      </x:c>
      <x:c r="F2201" s="84" t="str">
        <x:v>Normal</x:v>
      </x:c>
      <x:c r="G2201" s="93" t="n">
        <x:v>56.98</x:v>
      </x:c>
      <x:c r="H2201" s="85" t="str">
        <x:v>Diagnóstico e execução</x:v>
      </x:c>
    </x:row>
    <x:row r="2202">
      <x:c r="A2202" s="83" t="n">
        <x:v>2201</x:v>
      </x:c>
      <x:c r="B2202" s="84" t="n">
        <x:v>1296</x:v>
      </x:c>
      <x:c r="C2202" s="84" t="n">
        <x:v>32</x:v>
      </x:c>
      <x:c r="D2202" s="89" t="n">
        <x:v>44999</x:v>
      </x:c>
      <x:c r="E2202" s="84" t="n">
        <x:v>2.8</x:v>
      </x:c>
      <x:c r="F2202" s="84" t="str">
        <x:v>Normal</x:v>
      </x:c>
      <x:c r="G2202" s="93" t="n">
        <x:v>122.22</x:v>
      </x:c>
      <x:c r="H2202" s="85" t="str">
        <x:v>Diagnóstico e execução</x:v>
      </x:c>
    </x:row>
    <x:row r="2203">
      <x:c r="A2203" s="83" t="n">
        <x:v>2202</x:v>
      </x:c>
      <x:c r="B2203" s="84" t="n">
        <x:v>1297</x:v>
      </x:c>
      <x:c r="C2203" s="84" t="n">
        <x:v>34</x:v>
      </x:c>
      <x:c r="D2203" s="89" t="n">
        <x:v>45860</x:v>
      </x:c>
      <x:c r="E2203" s="84" t="n">
        <x:v>5.8</x:v>
      </x:c>
      <x:c r="F2203" s="84" t="str">
        <x:v>Normal</x:v>
      </x:c>
      <x:c r="G2203" s="93" t="n">
        <x:v>250.73</x:v>
      </x:c>
      <x:c r="H2203" s="85" t="str">
        <x:v>Diagnóstico e execução</x:v>
      </x:c>
    </x:row>
    <x:row r="2204">
      <x:c r="A2204" s="83" t="n">
        <x:v>2203</x:v>
      </x:c>
      <x:c r="B2204" s="84" t="n">
        <x:v>1298</x:v>
      </x:c>
      <x:c r="C2204" s="84" t="n">
        <x:v>44</x:v>
      </x:c>
      <x:c r="D2204" s="89" t="n">
        <x:v>45544</x:v>
      </x:c>
      <x:c r="E2204" s="84" t="n">
        <x:v>4.3</x:v>
      </x:c>
      <x:c r="F2204" s="84" t="str">
        <x:v>Normal</x:v>
      </x:c>
      <x:c r="G2204" s="93" t="n">
        <x:v>120.57</x:v>
      </x:c>
      <x:c r="H2204" s="85" t="str">
        <x:v>Diagnóstico e execução</x:v>
      </x:c>
    </x:row>
    <x:row r="2205">
      <x:c r="A2205" s="83" t="n">
        <x:v>2204</x:v>
      </x:c>
      <x:c r="B2205" s="84" t="n">
        <x:v>1299</x:v>
      </x:c>
      <x:c r="C2205" s="84" t="n">
        <x:v>37</x:v>
      </x:c>
      <x:c r="D2205" s="89" t="n">
        <x:v>45793</x:v>
      </x:c>
      <x:c r="E2205" s="84" t="n">
        <x:v>5.2</x:v>
      </x:c>
      <x:c r="F2205" s="84" t="str">
        <x:v>Normal</x:v>
      </x:c>
      <x:c r="G2205" s="93" t="n">
        <x:v>306.64</x:v>
      </x:c>
      <x:c r="H2205" s="85" t="str">
        <x:v>Diagnóstico e execução</x:v>
      </x:c>
    </x:row>
    <x:row r="2206">
      <x:c r="A2206" s="83" t="n">
        <x:v>2205</x:v>
      </x:c>
      <x:c r="B2206" s="84" t="n">
        <x:v>1299</x:v>
      </x:c>
      <x:c r="C2206" s="84" t="n">
        <x:v>5</x:v>
      </x:c>
      <x:c r="D2206" s="89" t="n">
        <x:v>45793</x:v>
      </x:c>
      <x:c r="E2206" s="84" t="n">
        <x:v>6.4</x:v>
      </x:c>
      <x:c r="F2206" s="84" t="str">
        <x:v>Normal</x:v>
      </x:c>
      <x:c r="G2206" s="93" t="n">
        <x:v>184.45</x:v>
      </x:c>
      <x:c r="H2206" s="85" t="str">
        <x:v>Diagnóstico e execução</x:v>
      </x:c>
    </x:row>
    <x:row r="2207">
      <x:c r="A2207" s="83" t="n">
        <x:v>2206</x:v>
      </x:c>
      <x:c r="B2207" s="84" t="n">
        <x:v>1299</x:v>
      </x:c>
      <x:c r="C2207" s="84" t="n">
        <x:v>18</x:v>
      </x:c>
      <x:c r="D2207" s="89" t="n">
        <x:v>45793</x:v>
      </x:c>
      <x:c r="E2207" s="84" t="n">
        <x:v>3.1</x:v>
      </x:c>
      <x:c r="F2207" s="84" t="str">
        <x:v>Normal</x:v>
      </x:c>
      <x:c r="G2207" s="93" t="n">
        <x:v>195.58</x:v>
      </x:c>
      <x:c r="H2207" s="85" t="str">
        <x:v>Diagnóstico e execução</x:v>
      </x:c>
    </x:row>
    <x:row r="2208">
      <x:c r="A2208" s="83" t="n">
        <x:v>2207</x:v>
      </x:c>
      <x:c r="B2208" s="84" t="n">
        <x:v>1300</x:v>
      </x:c>
      <x:c r="C2208" s="84" t="n">
        <x:v>44</x:v>
      </x:c>
      <x:c r="D2208" s="89" t="n">
        <x:v>45961</x:v>
      </x:c>
      <x:c r="E2208" s="84" t="n">
        <x:v>7.3</x:v>
      </x:c>
      <x:c r="F2208" s="84" t="str">
        <x:v>Normal</x:v>
      </x:c>
      <x:c r="G2208" s="93" t="n">
        <x:v>204.69</x:v>
      </x:c>
      <x:c r="H2208" s="85" t="str">
        <x:v>Diagnóstico e execução</x:v>
      </x:c>
    </x:row>
    <x:row r="2209">
      <x:c r="A2209" s="83" t="n">
        <x:v>2208</x:v>
      </x:c>
      <x:c r="B2209" s="84" t="n">
        <x:v>1302</x:v>
      </x:c>
      <x:c r="C2209" s="84" t="n">
        <x:v>16</x:v>
      </x:c>
      <x:c r="D2209" s="89" t="n">
        <x:v>45780</x:v>
      </x:c>
      <x:c r="E2209" s="84" t="n">
        <x:v>7.4</x:v>
      </x:c>
      <x:c r="F2209" s="84" t="str">
        <x:v>Normal</x:v>
      </x:c>
      <x:c r="G2209" s="93" t="n">
        <x:v>299.85</x:v>
      </x:c>
      <x:c r="H2209" s="85" t="str">
        <x:v>Diagnóstico e execução</x:v>
      </x:c>
    </x:row>
    <x:row r="2210">
      <x:c r="A2210" s="83" t="n">
        <x:v>2209</x:v>
      </x:c>
      <x:c r="B2210" s="84" t="n">
        <x:v>1302</x:v>
      </x:c>
      <x:c r="C2210" s="84" t="n">
        <x:v>20</x:v>
      </x:c>
      <x:c r="D2210" s="89" t="n">
        <x:v>45780</x:v>
      </x:c>
      <x:c r="E2210" s="84" t="n">
        <x:v>3.2</x:v>
      </x:c>
      <x:c r="F2210" s="84" t="str">
        <x:v>Normal</x:v>
      </x:c>
      <x:c r="G2210" s="93" t="n">
        <x:v>107.26</x:v>
      </x:c>
      <x:c r="H2210" s="85" t="str">
        <x:v>Diagnóstico e execução</x:v>
      </x:c>
    </x:row>
    <x:row r="2211">
      <x:c r="A2211" s="83" t="n">
        <x:v>2210</x:v>
      </x:c>
      <x:c r="B2211" s="84" t="n">
        <x:v>1303</x:v>
      </x:c>
      <x:c r="C2211" s="84" t="n">
        <x:v>15</x:v>
      </x:c>
      <x:c r="D2211" s="89" t="n">
        <x:v>45464</x:v>
      </x:c>
      <x:c r="E2211" s="84" t="n">
        <x:v>5.5</x:v>
      </x:c>
      <x:c r="F2211" s="84" t="str">
        <x:v>Normal</x:v>
      </x:c>
      <x:c r="G2211" s="93" t="n">
        <x:v>166.32</x:v>
      </x:c>
      <x:c r="H2211" s="85" t="str">
        <x:v>Diagnóstico e execução</x:v>
      </x:c>
    </x:row>
    <x:row r="2212">
      <x:c r="A2212" s="83" t="n">
        <x:v>2211</x:v>
      </x:c>
      <x:c r="B2212" s="84" t="n">
        <x:v>1303</x:v>
      </x:c>
      <x:c r="C2212" s="84" t="n">
        <x:v>13</x:v>
      </x:c>
      <x:c r="D2212" s="89" t="n">
        <x:v>45464</x:v>
      </x:c>
      <x:c r="E2212" s="84" t="n">
        <x:v>5.5</x:v>
      </x:c>
      <x:c r="F2212" s="84" t="str">
        <x:v>Normal</x:v>
      </x:c>
      <x:c r="G2212" s="93" t="n">
        <x:v>186.34</x:v>
      </x:c>
      <x:c r="H2212" s="85" t="str">
        <x:v>Diagnóstico e execução</x:v>
      </x:c>
    </x:row>
    <x:row r="2213">
      <x:c r="A2213" s="83" t="n">
        <x:v>2212</x:v>
      </x:c>
      <x:c r="B2213" s="84" t="n">
        <x:v>1304</x:v>
      </x:c>
      <x:c r="C2213" s="84" t="n">
        <x:v>21</x:v>
      </x:c>
      <x:c r="D2213" s="89" t="n">
        <x:v>45521</x:v>
      </x:c>
      <x:c r="E2213" s="84" t="n">
        <x:v>1.2</x:v>
      </x:c>
      <x:c r="F2213" s="84" t="str">
        <x:v>Normal</x:v>
      </x:c>
      <x:c r="G2213" s="93" t="n">
        <x:v>73.72</x:v>
      </x:c>
      <x:c r="H2213" s="85" t="str">
        <x:v>Diagnóstico e execução</x:v>
      </x:c>
    </x:row>
    <x:row r="2214">
      <x:c r="A2214" s="83" t="n">
        <x:v>2213</x:v>
      </x:c>
      <x:c r="B2214" s="84" t="n">
        <x:v>1304</x:v>
      </x:c>
      <x:c r="C2214" s="84" t="n">
        <x:v>30</x:v>
      </x:c>
      <x:c r="D2214" s="89" t="n">
        <x:v>45521</x:v>
      </x:c>
      <x:c r="E2214" s="84" t="n">
        <x:v>7</x:v>
      </x:c>
      <x:c r="F2214" s="84" t="str">
        <x:v>Normal</x:v>
      </x:c>
      <x:c r="G2214" s="93" t="n">
        <x:v>289.87</x:v>
      </x:c>
      <x:c r="H2214" s="85" t="str">
        <x:v>Diagnóstico e execução</x:v>
      </x:c>
    </x:row>
    <x:row r="2215">
      <x:c r="A2215" s="83" t="n">
        <x:v>2214</x:v>
      </x:c>
      <x:c r="B2215" s="84" t="n">
        <x:v>1305</x:v>
      </x:c>
      <x:c r="C2215" s="84" t="n">
        <x:v>16</x:v>
      </x:c>
      <x:c r="D2215" s="89" t="n">
        <x:v>45599</x:v>
      </x:c>
      <x:c r="E2215" s="84" t="n">
        <x:v>0.5</x:v>
      </x:c>
      <x:c r="F2215" s="84" t="str">
        <x:v>Normal</x:v>
      </x:c>
      <x:c r="G2215" s="93" t="n">
        <x:v>20.26</x:v>
      </x:c>
      <x:c r="H2215" s="85" t="str">
        <x:v>Diagnóstico e execução</x:v>
      </x:c>
    </x:row>
    <x:row r="2216">
      <x:c r="A2216" s="83" t="n">
        <x:v>2215</x:v>
      </x:c>
      <x:c r="B2216" s="84" t="n">
        <x:v>1306</x:v>
      </x:c>
      <x:c r="C2216" s="84" t="n">
        <x:v>45</x:v>
      </x:c>
      <x:c r="D2216" s="89" t="n">
        <x:v>44996</x:v>
      </x:c>
      <x:c r="E2216" s="84" t="n">
        <x:v>6.7</x:v>
      </x:c>
      <x:c r="F2216" s="84" t="str">
        <x:v>Normal</x:v>
      </x:c>
      <x:c r="G2216" s="93" t="n">
        <x:v>358.92</x:v>
      </x:c>
      <x:c r="H2216" s="85" t="str">
        <x:v>Diagnóstico e execução</x:v>
      </x:c>
    </x:row>
    <x:row r="2217">
      <x:c r="A2217" s="83" t="n">
        <x:v>2216</x:v>
      </x:c>
      <x:c r="B2217" s="84" t="n">
        <x:v>1307</x:v>
      </x:c>
      <x:c r="C2217" s="84" t="n">
        <x:v>10</x:v>
      </x:c>
      <x:c r="D2217" s="89" t="n">
        <x:v>45859</x:v>
      </x:c>
      <x:c r="E2217" s="84" t="n">
        <x:v>6.7</x:v>
      </x:c>
      <x:c r="F2217" s="84" t="str">
        <x:v>Normal</x:v>
      </x:c>
      <x:c r="G2217" s="93" t="n">
        <x:v>198.92</x:v>
      </x:c>
      <x:c r="H2217" s="85" t="str">
        <x:v>Diagnóstico e execução</x:v>
      </x:c>
    </x:row>
    <x:row r="2218">
      <x:c r="A2218" s="83" t="n">
        <x:v>2217</x:v>
      </x:c>
      <x:c r="B2218" s="84" t="n">
        <x:v>1307</x:v>
      </x:c>
      <x:c r="C2218" s="84" t="n">
        <x:v>32</x:v>
      </x:c>
      <x:c r="D2218" s="89" t="n">
        <x:v>45859</x:v>
      </x:c>
      <x:c r="E2218" s="84" t="n">
        <x:v>1.6</x:v>
      </x:c>
      <x:c r="F2218" s="84" t="str">
        <x:v>Normal</x:v>
      </x:c>
      <x:c r="G2218" s="93" t="n">
        <x:v>69.84</x:v>
      </x:c>
      <x:c r="H2218" s="85" t="str">
        <x:v>Diagnóstico e execução</x:v>
      </x:c>
    </x:row>
    <x:row r="2219">
      <x:c r="A2219" s="83" t="n">
        <x:v>2218</x:v>
      </x:c>
      <x:c r="B2219" s="84" t="n">
        <x:v>1308</x:v>
      </x:c>
      <x:c r="C2219" s="84" t="n">
        <x:v>10</x:v>
      </x:c>
      <x:c r="D2219" s="89" t="n">
        <x:v>45351</x:v>
      </x:c>
      <x:c r="E2219" s="84" t="n">
        <x:v>4.2</x:v>
      </x:c>
      <x:c r="F2219" s="84" t="str">
        <x:v>Normal</x:v>
      </x:c>
      <x:c r="G2219" s="93" t="n">
        <x:v>124.7</x:v>
      </x:c>
      <x:c r="H2219" s="85" t="str">
        <x:v>Diagnóstico e execução</x:v>
      </x:c>
    </x:row>
    <x:row r="2220">
      <x:c r="A2220" s="83" t="n">
        <x:v>2219</x:v>
      </x:c>
      <x:c r="B2220" s="84" t="n">
        <x:v>1308</x:v>
      </x:c>
      <x:c r="C2220" s="84" t="n">
        <x:v>28</x:v>
      </x:c>
      <x:c r="D2220" s="89" t="n">
        <x:v>45351</x:v>
      </x:c>
      <x:c r="E2220" s="84" t="n">
        <x:v>4.8</x:v>
      </x:c>
      <x:c r="F2220" s="84" t="str">
        <x:v>Normal</x:v>
      </x:c>
      <x:c r="G2220" s="93" t="n">
        <x:v>180.58</x:v>
      </x:c>
      <x:c r="H2220" s="85" t="str">
        <x:v>Diagnóstico e execução</x:v>
      </x:c>
    </x:row>
    <x:row r="2221">
      <x:c r="A2221" s="83" t="n">
        <x:v>2220</x:v>
      </x:c>
      <x:c r="B2221" s="84" t="n">
        <x:v>1309</x:v>
      </x:c>
      <x:c r="C2221" s="84" t="n">
        <x:v>13</x:v>
      </x:c>
      <x:c r="D2221" s="89" t="n">
        <x:v>45546</x:v>
      </x:c>
      <x:c r="E2221" s="84" t="n">
        <x:v>0.8</x:v>
      </x:c>
      <x:c r="F2221" s="84" t="str">
        <x:v>Normal</x:v>
      </x:c>
      <x:c r="G2221" s="93" t="n">
        <x:v>27.1</x:v>
      </x:c>
      <x:c r="H2221" s="85" t="str">
        <x:v>Diagnóstico e execução</x:v>
      </x:c>
    </x:row>
    <x:row r="2222">
      <x:c r="A2222" s="83" t="n">
        <x:v>2221</x:v>
      </x:c>
      <x:c r="B2222" s="84" t="n">
        <x:v>1309</x:v>
      </x:c>
      <x:c r="C2222" s="84" t="n">
        <x:v>10</x:v>
      </x:c>
      <x:c r="D2222" s="89" t="n">
        <x:v>45546</x:v>
      </x:c>
      <x:c r="E2222" s="84" t="n">
        <x:v>6.9</x:v>
      </x:c>
      <x:c r="F2222" s="84" t="str">
        <x:v>Normal</x:v>
      </x:c>
      <x:c r="G2222" s="93" t="n">
        <x:v>204.86</x:v>
      </x:c>
      <x:c r="H2222" s="85" t="str">
        <x:v>Diagnóstico e execução</x:v>
      </x:c>
    </x:row>
    <x:row r="2223">
      <x:c r="A2223" s="83" t="n">
        <x:v>2222</x:v>
      </x:c>
      <x:c r="B2223" s="84" t="n">
        <x:v>1312</x:v>
      </x:c>
      <x:c r="C2223" s="84" t="n">
        <x:v>7</x:v>
      </x:c>
      <x:c r="D2223" s="89" t="n">
        <x:v>45605</x:v>
      </x:c>
      <x:c r="E2223" s="84" t="n">
        <x:v>7.3</x:v>
      </x:c>
      <x:c r="F2223" s="84" t="str">
        <x:v>Normal</x:v>
      </x:c>
      <x:c r="G2223" s="93" t="n">
        <x:v>424.93</x:v>
      </x:c>
      <x:c r="H2223" s="85" t="str">
        <x:v>Diagnóstico e execução</x:v>
      </x:c>
    </x:row>
    <x:row r="2224">
      <x:c r="A2224" s="83" t="n">
        <x:v>2223</x:v>
      </x:c>
      <x:c r="B2224" s="84" t="n">
        <x:v>1313</x:v>
      </x:c>
      <x:c r="C2224" s="84" t="n">
        <x:v>1</x:v>
      </x:c>
      <x:c r="D2224" s="89" t="n">
        <x:v>45645</x:v>
      </x:c>
      <x:c r="E2224" s="84" t="n">
        <x:v>2.7</x:v>
      </x:c>
      <x:c r="F2224" s="84" t="str">
        <x:v>Normal</x:v>
      </x:c>
      <x:c r="G2224" s="93" t="n">
        <x:v>95.5</x:v>
      </x:c>
      <x:c r="H2224" s="85" t="str">
        <x:v>Diagnóstico e execução</x:v>
      </x:c>
    </x:row>
    <x:row r="2225">
      <x:c r="A2225" s="83" t="n">
        <x:v>2224</x:v>
      </x:c>
      <x:c r="B2225" s="84" t="n">
        <x:v>1313</x:v>
      </x:c>
      <x:c r="C2225" s="84" t="n">
        <x:v>2</x:v>
      </x:c>
      <x:c r="D2225" s="89" t="n">
        <x:v>45645</x:v>
      </x:c>
      <x:c r="E2225" s="84" t="n">
        <x:v>4.4</x:v>
      </x:c>
      <x:c r="F2225" s="84" t="str">
        <x:v>Normal</x:v>
      </x:c>
      <x:c r="G2225" s="93" t="n">
        <x:v>163.94</x:v>
      </x:c>
      <x:c r="H2225" s="85" t="str">
        <x:v>Diagnóstico e execução</x:v>
      </x:c>
    </x:row>
    <x:row r="2226">
      <x:c r="A2226" s="83" t="n">
        <x:v>2225</x:v>
      </x:c>
      <x:c r="B2226" s="84" t="n">
        <x:v>1314</x:v>
      </x:c>
      <x:c r="C2226" s="84" t="n">
        <x:v>20</x:v>
      </x:c>
      <x:c r="D2226" s="89" t="n">
        <x:v>45294</x:v>
      </x:c>
      <x:c r="E2226" s="84" t="n">
        <x:v>6.1</x:v>
      </x:c>
      <x:c r="F2226" s="84" t="str">
        <x:v>Normal</x:v>
      </x:c>
      <x:c r="G2226" s="93" t="n">
        <x:v>204.47</x:v>
      </x:c>
      <x:c r="H2226" s="85" t="str">
        <x:v>Diagnóstico e execução</x:v>
      </x:c>
    </x:row>
    <x:row r="2227">
      <x:c r="A2227" s="83" t="n">
        <x:v>2226</x:v>
      </x:c>
      <x:c r="B2227" s="84" t="n">
        <x:v>1315</x:v>
      </x:c>
      <x:c r="C2227" s="84" t="n">
        <x:v>36</x:v>
      </x:c>
      <x:c r="D2227" s="89" t="n">
        <x:v>45329</x:v>
      </x:c>
      <x:c r="E2227" s="84" t="n">
        <x:v>2</x:v>
      </x:c>
      <x:c r="F2227" s="84" t="str">
        <x:v>Normal</x:v>
      </x:c>
      <x:c r="G2227" s="93" t="n">
        <x:v>59.32</x:v>
      </x:c>
      <x:c r="H2227" s="85" t="str">
        <x:v>Diagnóstico e execução</x:v>
      </x:c>
    </x:row>
    <x:row r="2228">
      <x:c r="A2228" s="83" t="n">
        <x:v>2227</x:v>
      </x:c>
      <x:c r="B2228" s="84" t="n">
        <x:v>1316</x:v>
      </x:c>
      <x:c r="C2228" s="84" t="n">
        <x:v>26</x:v>
      </x:c>
      <x:c r="D2228" s="89" t="n">
        <x:v>45686</x:v>
      </x:c>
      <x:c r="E2228" s="84" t="n">
        <x:v>2.5</x:v>
      </x:c>
      <x:c r="F2228" s="84" t="str">
        <x:v>Normal</x:v>
      </x:c>
      <x:c r="G2228" s="93" t="n">
        <x:v>97.8</x:v>
      </x:c>
      <x:c r="H2228" s="85" t="str">
        <x:v>Diagnóstico e execução</x:v>
      </x:c>
    </x:row>
    <x:row r="2229">
      <x:c r="A2229" s="83" t="n">
        <x:v>2228</x:v>
      </x:c>
      <x:c r="B2229" s="84" t="n">
        <x:v>1316</x:v>
      </x:c>
      <x:c r="C2229" s="84" t="n">
        <x:v>37</x:v>
      </x:c>
      <x:c r="D2229" s="89" t="n">
        <x:v>45686</x:v>
      </x:c>
      <x:c r="E2229" s="84" t="n">
        <x:v>2.6</x:v>
      </x:c>
      <x:c r="F2229" s="84" t="str">
        <x:v>Normal</x:v>
      </x:c>
      <x:c r="G2229" s="93" t="n">
        <x:v>153.32</x:v>
      </x:c>
      <x:c r="H2229" s="85" t="str">
        <x:v>Diagnóstico e execução</x:v>
      </x:c>
    </x:row>
    <x:row r="2230">
      <x:c r="A2230" s="83" t="n">
        <x:v>2229</x:v>
      </x:c>
      <x:c r="B2230" s="84" t="n">
        <x:v>1318</x:v>
      </x:c>
      <x:c r="C2230" s="84" t="n">
        <x:v>39</x:v>
      </x:c>
      <x:c r="D2230" s="89" t="n">
        <x:v>45857</x:v>
      </x:c>
      <x:c r="E2230" s="84" t="n">
        <x:v>2.8</x:v>
      </x:c>
      <x:c r="F2230" s="84" t="str">
        <x:v>Normal</x:v>
      </x:c>
      <x:c r="G2230" s="93" t="n">
        <x:v>162.12</x:v>
      </x:c>
      <x:c r="H2230" s="85" t="str">
        <x:v>Diagnóstico e execução</x:v>
      </x:c>
    </x:row>
    <x:row r="2231">
      <x:c r="A2231" s="83" t="n">
        <x:v>2230</x:v>
      </x:c>
      <x:c r="B2231" s="84" t="n">
        <x:v>1319</x:v>
      </x:c>
      <x:c r="C2231" s="84" t="n">
        <x:v>45</x:v>
      </x:c>
      <x:c r="D2231" s="89" t="n">
        <x:v>45531</x:v>
      </x:c>
      <x:c r="E2231" s="84" t="n">
        <x:v>5.4</x:v>
      </x:c>
      <x:c r="F2231" s="84" t="str">
        <x:v>Normal</x:v>
      </x:c>
      <x:c r="G2231" s="93" t="n">
        <x:v>289.28</x:v>
      </x:c>
      <x:c r="H2231" s="85" t="str">
        <x:v>Diagnóstico e execução</x:v>
      </x:c>
    </x:row>
    <x:row r="2232">
      <x:c r="A2232" s="83" t="n">
        <x:v>2231</x:v>
      </x:c>
      <x:c r="B2232" s="84" t="n">
        <x:v>1319</x:v>
      </x:c>
      <x:c r="C2232" s="84" t="n">
        <x:v>30</x:v>
      </x:c>
      <x:c r="D2232" s="89" t="n">
        <x:v>45531</x:v>
      </x:c>
      <x:c r="E2232" s="84" t="n">
        <x:v>5.7</x:v>
      </x:c>
      <x:c r="F2232" s="84" t="str">
        <x:v>Normal</x:v>
      </x:c>
      <x:c r="G2232" s="93" t="n">
        <x:v>236.04</x:v>
      </x:c>
      <x:c r="H2232" s="85" t="str">
        <x:v>Diagnóstico e execução</x:v>
      </x:c>
    </x:row>
    <x:row r="2233">
      <x:c r="A2233" s="83" t="n">
        <x:v>2232</x:v>
      </x:c>
      <x:c r="B2233" s="84" t="n">
        <x:v>1319</x:v>
      </x:c>
      <x:c r="C2233" s="84" t="n">
        <x:v>19</x:v>
      </x:c>
      <x:c r="D2233" s="89" t="n">
        <x:v>45531</x:v>
      </x:c>
      <x:c r="E2233" s="84" t="n">
        <x:v>1.9</x:v>
      </x:c>
      <x:c r="F2233" s="84" t="str">
        <x:v>Normal</x:v>
      </x:c>
      <x:c r="G2233" s="93" t="n">
        <x:v>88.31</x:v>
      </x:c>
      <x:c r="H2233" s="85" t="str">
        <x:v>Diagnóstico e execução</x:v>
      </x:c>
    </x:row>
    <x:row r="2234">
      <x:c r="A2234" s="83" t="n">
        <x:v>2233</x:v>
      </x:c>
      <x:c r="B2234" s="84" t="n">
        <x:v>1320</x:v>
      </x:c>
      <x:c r="C2234" s="84" t="n">
        <x:v>14</x:v>
      </x:c>
      <x:c r="D2234" s="89" t="n">
        <x:v>45319</x:v>
      </x:c>
      <x:c r="E2234" s="84" t="n">
        <x:v>2</x:v>
      </x:c>
      <x:c r="F2234" s="84" t="str">
        <x:v>Normal</x:v>
      </x:c>
      <x:c r="G2234" s="93" t="n">
        <x:v>113.32</x:v>
      </x:c>
      <x:c r="H2234" s="85" t="str">
        <x:v>Diagnóstico e execução</x:v>
      </x:c>
    </x:row>
    <x:row r="2235">
      <x:c r="A2235" s="83" t="n">
        <x:v>2234</x:v>
      </x:c>
      <x:c r="B2235" s="84" t="n">
        <x:v>1321</x:v>
      </x:c>
      <x:c r="C2235" s="84" t="n">
        <x:v>14</x:v>
      </x:c>
      <x:c r="D2235" s="89" t="n">
        <x:v>45166</x:v>
      </x:c>
      <x:c r="E2235" s="84" t="n">
        <x:v>1.8</x:v>
      </x:c>
      <x:c r="F2235" s="84" t="str">
        <x:v>Normal</x:v>
      </x:c>
      <x:c r="G2235" s="93" t="n">
        <x:v>101.99</x:v>
      </x:c>
      <x:c r="H2235" s="85" t="str">
        <x:v>Diagnóstico e execução</x:v>
      </x:c>
    </x:row>
    <x:row r="2236">
      <x:c r="A2236" s="83" t="n">
        <x:v>2235</x:v>
      </x:c>
      <x:c r="B2236" s="84" t="n">
        <x:v>1321</x:v>
      </x:c>
      <x:c r="C2236" s="84" t="n">
        <x:v>32</x:v>
      </x:c>
      <x:c r="D2236" s="89" t="n">
        <x:v>45166</x:v>
      </x:c>
      <x:c r="E2236" s="84" t="n">
        <x:v>7.4</x:v>
      </x:c>
      <x:c r="F2236" s="84" t="str">
        <x:v>Normal</x:v>
      </x:c>
      <x:c r="G2236" s="93" t="n">
        <x:v>323.01</x:v>
      </x:c>
      <x:c r="H2236" s="85" t="str">
        <x:v>Diagnóstico e execução</x:v>
      </x:c>
    </x:row>
    <x:row r="2237">
      <x:c r="A2237" s="83" t="n">
        <x:v>2236</x:v>
      </x:c>
      <x:c r="B2237" s="84" t="n">
        <x:v>1323</x:v>
      </x:c>
      <x:c r="C2237" s="84" t="n">
        <x:v>23</x:v>
      </x:c>
      <x:c r="D2237" s="89" t="n">
        <x:v>45954</x:v>
      </x:c>
      <x:c r="E2237" s="84" t="n">
        <x:v>6.2</x:v>
      </x:c>
      <x:c r="F2237" s="84" t="str">
        <x:v>Normal</x:v>
      </x:c>
      <x:c r="G2237" s="93" t="n">
        <x:v>267.28</x:v>
      </x:c>
      <x:c r="H2237" s="85" t="str">
        <x:v>Diagnóstico e execução</x:v>
      </x:c>
    </x:row>
    <x:row r="2238">
      <x:c r="A2238" s="83" t="n">
        <x:v>2237</x:v>
      </x:c>
      <x:c r="B2238" s="84" t="n">
        <x:v>1323</x:v>
      </x:c>
      <x:c r="C2238" s="84" t="n">
        <x:v>30</x:v>
      </x:c>
      <x:c r="D2238" s="89" t="n">
        <x:v>45954</x:v>
      </x:c>
      <x:c r="E2238" s="84" t="n">
        <x:v>6.1</x:v>
      </x:c>
      <x:c r="F2238" s="84" t="str">
        <x:v>Normal</x:v>
      </x:c>
      <x:c r="G2238" s="93" t="n">
        <x:v>252.6</x:v>
      </x:c>
      <x:c r="H2238" s="85" t="str">
        <x:v>Diagnóstico e execução</x:v>
      </x:c>
    </x:row>
    <x:row r="2239">
      <x:c r="A2239" s="83" t="n">
        <x:v>2238</x:v>
      </x:c>
      <x:c r="B2239" s="84" t="n">
        <x:v>1324</x:v>
      </x:c>
      <x:c r="C2239" s="84" t="n">
        <x:v>30</x:v>
      </x:c>
      <x:c r="D2239" s="89" t="n">
        <x:v>45869</x:v>
      </x:c>
      <x:c r="E2239" s="84" t="n">
        <x:v>7.6</x:v>
      </x:c>
      <x:c r="F2239" s="84" t="str">
        <x:v>Normal</x:v>
      </x:c>
      <x:c r="G2239" s="93" t="n">
        <x:v>314.72</x:v>
      </x:c>
      <x:c r="H2239" s="85" t="str">
        <x:v>Diagnóstico e execução</x:v>
      </x:c>
    </x:row>
    <x:row r="2240">
      <x:c r="A2240" s="83" t="n">
        <x:v>2239</x:v>
      </x:c>
      <x:c r="B2240" s="84" t="n">
        <x:v>1324</x:v>
      </x:c>
      <x:c r="C2240" s="84" t="n">
        <x:v>13</x:v>
      </x:c>
      <x:c r="D2240" s="89" t="n">
        <x:v>45869</x:v>
      </x:c>
      <x:c r="E2240" s="84" t="n">
        <x:v>2.5</x:v>
      </x:c>
      <x:c r="F2240" s="84" t="str">
        <x:v>Normal</x:v>
      </x:c>
      <x:c r="G2240" s="93" t="n">
        <x:v>84.7</x:v>
      </x:c>
      <x:c r="H2240" s="85" t="str">
        <x:v>Diagnóstico e execução</x:v>
      </x:c>
    </x:row>
    <x:row r="2241">
      <x:c r="A2241" s="83" t="n">
        <x:v>2240</x:v>
      </x:c>
      <x:c r="B2241" s="84" t="n">
        <x:v>1326</x:v>
      </x:c>
      <x:c r="C2241" s="84" t="n">
        <x:v>42</x:v>
      </x:c>
      <x:c r="D2241" s="89" t="n">
        <x:v>45667</x:v>
      </x:c>
      <x:c r="E2241" s="84" t="n">
        <x:v>7.3</x:v>
      </x:c>
      <x:c r="F2241" s="84" t="str">
        <x:v>Normal</x:v>
      </x:c>
      <x:c r="G2241" s="93" t="n">
        <x:v>307.91</x:v>
      </x:c>
      <x:c r="H2241" s="85" t="str">
        <x:v>Diagnóstico e execução</x:v>
      </x:c>
    </x:row>
    <x:row r="2242">
      <x:c r="A2242" s="83" t="n">
        <x:v>2241</x:v>
      </x:c>
      <x:c r="B2242" s="84" t="n">
        <x:v>1326</x:v>
      </x:c>
      <x:c r="C2242" s="84" t="n">
        <x:v>9</x:v>
      </x:c>
      <x:c r="D2242" s="89" t="n">
        <x:v>45667</x:v>
      </x:c>
      <x:c r="E2242" s="84" t="n">
        <x:v>6.9</x:v>
      </x:c>
      <x:c r="F2242" s="84" t="str">
        <x:v>Normal</x:v>
      </x:c>
      <x:c r="G2242" s="93" t="n">
        <x:v>363.42</x:v>
      </x:c>
      <x:c r="H2242" s="85" t="str">
        <x:v>Diagnóstico e execução</x:v>
      </x:c>
    </x:row>
    <x:row r="2243">
      <x:c r="A2243" s="83" t="n">
        <x:v>2242</x:v>
      </x:c>
      <x:c r="B2243" s="84" t="n">
        <x:v>1327</x:v>
      </x:c>
      <x:c r="C2243" s="84" t="n">
        <x:v>14</x:v>
      </x:c>
      <x:c r="D2243" s="89" t="n">
        <x:v>45209</x:v>
      </x:c>
      <x:c r="E2243" s="84" t="n">
        <x:v>6.7</x:v>
      </x:c>
      <x:c r="F2243" s="84" t="str">
        <x:v>Normal</x:v>
      </x:c>
      <x:c r="G2243" s="93" t="n">
        <x:v>379.62</x:v>
      </x:c>
      <x:c r="H2243" s="85" t="str">
        <x:v>Diagnóstico e execução</x:v>
      </x:c>
    </x:row>
    <x:row r="2244">
      <x:c r="A2244" s="83" t="n">
        <x:v>2243</x:v>
      </x:c>
      <x:c r="B2244" s="84" t="n">
        <x:v>1327</x:v>
      </x:c>
      <x:c r="C2244" s="84" t="n">
        <x:v>40</x:v>
      </x:c>
      <x:c r="D2244" s="89" t="n">
        <x:v>45209</x:v>
      </x:c>
      <x:c r="E2244" s="84" t="n">
        <x:v>2</x:v>
      </x:c>
      <x:c r="F2244" s="84" t="str">
        <x:v>Normal</x:v>
      </x:c>
      <x:c r="G2244" s="93" t="n">
        <x:v>98.84</x:v>
      </x:c>
      <x:c r="H2244" s="85" t="str">
        <x:v>Diagnóstico e execução</x:v>
      </x:c>
    </x:row>
    <x:row r="2245">
      <x:c r="A2245" s="83" t="n">
        <x:v>2244</x:v>
      </x:c>
      <x:c r="B2245" s="84" t="n">
        <x:v>1327</x:v>
      </x:c>
      <x:c r="C2245" s="84" t="n">
        <x:v>40</x:v>
      </x:c>
      <x:c r="D2245" s="89" t="n">
        <x:v>45209</x:v>
      </x:c>
      <x:c r="E2245" s="84" t="n">
        <x:v>4.2</x:v>
      </x:c>
      <x:c r="F2245" s="84" t="str">
        <x:v>Normal</x:v>
      </x:c>
      <x:c r="G2245" s="93" t="n">
        <x:v>207.56</x:v>
      </x:c>
      <x:c r="H2245" s="85" t="str">
        <x:v>Diagnóstico e execução</x:v>
      </x:c>
    </x:row>
    <x:row r="2246">
      <x:c r="A2246" s="83" t="n">
        <x:v>2245</x:v>
      </x:c>
      <x:c r="B2246" s="84" t="n">
        <x:v>1328</x:v>
      </x:c>
      <x:c r="C2246" s="84" t="n">
        <x:v>24</x:v>
      </x:c>
      <x:c r="D2246" s="89" t="n">
        <x:v>45249</x:v>
      </x:c>
      <x:c r="E2246" s="84" t="n">
        <x:v>4.1</x:v>
      </x:c>
      <x:c r="F2246" s="84" t="str">
        <x:v>Normal</x:v>
      </x:c>
      <x:c r="G2246" s="93" t="n">
        <x:v>242.88</x:v>
      </x:c>
      <x:c r="H2246" s="85" t="str">
        <x:v>Diagnóstico e execução</x:v>
      </x:c>
    </x:row>
    <x:row r="2247">
      <x:c r="A2247" s="83" t="n">
        <x:v>2246</x:v>
      </x:c>
      <x:c r="B2247" s="84" t="n">
        <x:v>1328</x:v>
      </x:c>
      <x:c r="C2247" s="84" t="n">
        <x:v>19</x:v>
      </x:c>
      <x:c r="D2247" s="89" t="n">
        <x:v>45249</x:v>
      </x:c>
      <x:c r="E2247" s="84" t="n">
        <x:v>6.6</x:v>
      </x:c>
      <x:c r="F2247" s="84" t="str">
        <x:v>Normal</x:v>
      </x:c>
      <x:c r="G2247" s="93" t="n">
        <x:v>306.77</x:v>
      </x:c>
      <x:c r="H2247" s="85" t="str">
        <x:v>Diagnóstico e execução</x:v>
      </x:c>
    </x:row>
    <x:row r="2248">
      <x:c r="A2248" s="83" t="n">
        <x:v>2247</x:v>
      </x:c>
      <x:c r="B2248" s="84" t="n">
        <x:v>1328</x:v>
      </x:c>
      <x:c r="C2248" s="84" t="n">
        <x:v>24</x:v>
      </x:c>
      <x:c r="D2248" s="89" t="n">
        <x:v>45249</x:v>
      </x:c>
      <x:c r="E2248" s="84" t="n">
        <x:v>7</x:v>
      </x:c>
      <x:c r="F2248" s="84" t="str">
        <x:v>Normal</x:v>
      </x:c>
      <x:c r="G2248" s="93" t="n">
        <x:v>414.68</x:v>
      </x:c>
      <x:c r="H2248" s="85" t="str">
        <x:v>Diagnóstico e execução</x:v>
      </x:c>
    </x:row>
    <x:row r="2249">
      <x:c r="A2249" s="83" t="n">
        <x:v>2248</x:v>
      </x:c>
      <x:c r="B2249" s="84" t="n">
        <x:v>1330</x:v>
      </x:c>
      <x:c r="C2249" s="84" t="n">
        <x:v>45</x:v>
      </x:c>
      <x:c r="D2249" s="89" t="n">
        <x:v>45902</x:v>
      </x:c>
      <x:c r="E2249" s="84" t="n">
        <x:v>6.6</x:v>
      </x:c>
      <x:c r="F2249" s="84" t="str">
        <x:v>Normal</x:v>
      </x:c>
      <x:c r="G2249" s="93" t="n">
        <x:v>353.56</x:v>
      </x:c>
      <x:c r="H2249" s="85" t="str">
        <x:v>Diagnóstico e execução</x:v>
      </x:c>
    </x:row>
    <x:row r="2250">
      <x:c r="A2250" s="83" t="n">
        <x:v>2249</x:v>
      </x:c>
      <x:c r="B2250" s="84" t="n">
        <x:v>1331</x:v>
      </x:c>
      <x:c r="C2250" s="84" t="n">
        <x:v>6</x:v>
      </x:c>
      <x:c r="D2250" s="89" t="n">
        <x:v>45355</x:v>
      </x:c>
      <x:c r="E2250" s="84" t="n">
        <x:v>4.3</x:v>
      </x:c>
      <x:c r="F2250" s="84" t="str">
        <x:v>Normal</x:v>
      </x:c>
      <x:c r="G2250" s="93" t="n">
        <x:v>224.72</x:v>
      </x:c>
      <x:c r="H2250" s="85" t="str">
        <x:v>Diagnóstico e execução</x:v>
      </x:c>
    </x:row>
    <x:row r="2251">
      <x:c r="A2251" s="83" t="n">
        <x:v>2250</x:v>
      </x:c>
      <x:c r="B2251" s="84" t="n">
        <x:v>1332</x:v>
      </x:c>
      <x:c r="C2251" s="84" t="n">
        <x:v>3</x:v>
      </x:c>
      <x:c r="D2251" s="89" t="n">
        <x:v>45451</x:v>
      </x:c>
      <x:c r="E2251" s="84" t="n">
        <x:v>1.4</x:v>
      </x:c>
      <x:c r="F2251" s="84" t="str">
        <x:v>Normal</x:v>
      </x:c>
      <x:c r="G2251" s="93" t="n">
        <x:v>68.94</x:v>
      </x:c>
      <x:c r="H2251" s="85" t="str">
        <x:v>Diagnóstico e execução</x:v>
      </x:c>
    </x:row>
    <x:row r="2252">
      <x:c r="A2252" s="83" t="n">
        <x:v>2251</x:v>
      </x:c>
      <x:c r="B2252" s="84" t="n">
        <x:v>1332</x:v>
      </x:c>
      <x:c r="C2252" s="84" t="n">
        <x:v>20</x:v>
      </x:c>
      <x:c r="D2252" s="89" t="n">
        <x:v>45451</x:v>
      </x:c>
      <x:c r="E2252" s="84" t="n">
        <x:v>2.6</x:v>
      </x:c>
      <x:c r="F2252" s="84" t="str">
        <x:v>Normal</x:v>
      </x:c>
      <x:c r="G2252" s="93" t="n">
        <x:v>87.15</x:v>
      </x:c>
      <x:c r="H2252" s="85" t="str">
        <x:v>Diagnóstico e execução</x:v>
      </x:c>
    </x:row>
    <x:row r="2253">
      <x:c r="A2253" s="83" t="n">
        <x:v>2252</x:v>
      </x:c>
      <x:c r="B2253" s="84" t="n">
        <x:v>1333</x:v>
      </x:c>
      <x:c r="C2253" s="84" t="n">
        <x:v>7</x:v>
      </x:c>
      <x:c r="D2253" s="89" t="n">
        <x:v>45920</x:v>
      </x:c>
      <x:c r="E2253" s="84" t="n">
        <x:v>5.2</x:v>
      </x:c>
      <x:c r="F2253" s="84" t="str">
        <x:v>Normal</x:v>
      </x:c>
      <x:c r="G2253" s="93" t="n">
        <x:v>302.69</x:v>
      </x:c>
      <x:c r="H2253" s="85" t="str">
        <x:v>Diagnóstico e execução</x:v>
      </x:c>
    </x:row>
    <x:row r="2254">
      <x:c r="A2254" s="83" t="n">
        <x:v>2253</x:v>
      </x:c>
      <x:c r="B2254" s="84" t="n">
        <x:v>1333</x:v>
      </x:c>
      <x:c r="C2254" s="84" t="n">
        <x:v>22</x:v>
      </x:c>
      <x:c r="D2254" s="89" t="n">
        <x:v>45920</x:v>
      </x:c>
      <x:c r="E2254" s="84" t="n">
        <x:v>3.6</x:v>
      </x:c>
      <x:c r="F2254" s="84" t="str">
        <x:v>Normal</x:v>
      </x:c>
      <x:c r="G2254" s="93" t="n">
        <x:v>138.46</x:v>
      </x:c>
      <x:c r="H2254" s="85" t="str">
        <x:v>Diagnóstico e execução</x:v>
      </x:c>
    </x:row>
    <x:row r="2255">
      <x:c r="A2255" s="83" t="n">
        <x:v>2254</x:v>
      </x:c>
      <x:c r="B2255" s="84" t="n">
        <x:v>1334</x:v>
      </x:c>
      <x:c r="C2255" s="84" t="n">
        <x:v>17</x:v>
      </x:c>
      <x:c r="D2255" s="89" t="n">
        <x:v>45001</x:v>
      </x:c>
      <x:c r="E2255" s="84" t="n">
        <x:v>7.2</x:v>
      </x:c>
      <x:c r="F2255" s="84" t="str">
        <x:v>Normal</x:v>
      </x:c>
      <x:c r="G2255" s="93" t="n">
        <x:v>401.62</x:v>
      </x:c>
      <x:c r="H2255" s="85" t="str">
        <x:v>Diagnóstico e execução</x:v>
      </x:c>
    </x:row>
    <x:row r="2256">
      <x:c r="A2256" s="83" t="n">
        <x:v>2255</x:v>
      </x:c>
      <x:c r="B2256" s="84" t="n">
        <x:v>1334</x:v>
      </x:c>
      <x:c r="C2256" s="84" t="n">
        <x:v>19</x:v>
      </x:c>
      <x:c r="D2256" s="89" t="n">
        <x:v>45001</x:v>
      </x:c>
      <x:c r="E2256" s="84" t="n">
        <x:v>2.6</x:v>
      </x:c>
      <x:c r="F2256" s="84" t="str">
        <x:v>Normal</x:v>
      </x:c>
      <x:c r="G2256" s="93" t="n">
        <x:v>120.85</x:v>
      </x:c>
      <x:c r="H2256" s="85" t="str">
        <x:v>Diagnóstico e execução</x:v>
      </x:c>
    </x:row>
    <x:row r="2257">
      <x:c r="A2257" s="83" t="n">
        <x:v>2256</x:v>
      </x:c>
      <x:c r="B2257" s="84" t="n">
        <x:v>1335</x:v>
      </x:c>
      <x:c r="C2257" s="84" t="n">
        <x:v>31</x:v>
      </x:c>
      <x:c r="D2257" s="89" t="n">
        <x:v>45873</x:v>
      </x:c>
      <x:c r="E2257" s="84" t="n">
        <x:v>2.6</x:v>
      </x:c>
      <x:c r="F2257" s="84" t="str">
        <x:v>Normal</x:v>
      </x:c>
      <x:c r="G2257" s="93" t="n">
        <x:v>127.14</x:v>
      </x:c>
      <x:c r="H2257" s="85" t="str">
        <x:v>Diagnóstico e execução</x:v>
      </x:c>
    </x:row>
    <x:row r="2258">
      <x:c r="A2258" s="83" t="n">
        <x:v>2257</x:v>
      </x:c>
      <x:c r="B2258" s="84" t="n">
        <x:v>1335</x:v>
      </x:c>
      <x:c r="C2258" s="84" t="n">
        <x:v>30</x:v>
      </x:c>
      <x:c r="D2258" s="89" t="n">
        <x:v>45873</x:v>
      </x:c>
      <x:c r="E2258" s="84" t="n">
        <x:v>5</x:v>
      </x:c>
      <x:c r="F2258" s="84" t="str">
        <x:v>Normal</x:v>
      </x:c>
      <x:c r="G2258" s="93" t="n">
        <x:v>207.05</x:v>
      </x:c>
      <x:c r="H2258" s="85" t="str">
        <x:v>Diagnóstico e execução</x:v>
      </x:c>
    </x:row>
    <x:row r="2259">
      <x:c r="A2259" s="83" t="n">
        <x:v>2258</x:v>
      </x:c>
      <x:c r="B2259" s="84" t="n">
        <x:v>1336</x:v>
      </x:c>
      <x:c r="C2259" s="84" t="n">
        <x:v>29</x:v>
      </x:c>
      <x:c r="D2259" s="89" t="n">
        <x:v>45393</x:v>
      </x:c>
      <x:c r="E2259" s="84" t="n">
        <x:v>3.4</x:v>
      </x:c>
      <x:c r="F2259" s="84" t="str">
        <x:v>Normal</x:v>
      </x:c>
      <x:c r="G2259" s="93" t="n">
        <x:v>168.37</x:v>
      </x:c>
      <x:c r="H2259" s="85" t="str">
        <x:v>Diagnóstico e execução</x:v>
      </x:c>
    </x:row>
    <x:row r="2260">
      <x:c r="A2260" s="83" t="n">
        <x:v>2259</x:v>
      </x:c>
      <x:c r="B2260" s="84" t="n">
        <x:v>1336</x:v>
      </x:c>
      <x:c r="C2260" s="84" t="n">
        <x:v>42</x:v>
      </x:c>
      <x:c r="D2260" s="89" t="n">
        <x:v>45393</x:v>
      </x:c>
      <x:c r="E2260" s="84" t="n">
        <x:v>5.5</x:v>
      </x:c>
      <x:c r="F2260" s="84" t="str">
        <x:v>Normal</x:v>
      </x:c>
      <x:c r="G2260" s="93" t="n">
        <x:v>231.99</x:v>
      </x:c>
      <x:c r="H2260" s="85" t="str">
        <x:v>Diagnóstico e execução</x:v>
      </x:c>
    </x:row>
    <x:row r="2261">
      <x:c r="A2261" s="83" t="n">
        <x:v>2260</x:v>
      </x:c>
      <x:c r="B2261" s="84" t="n">
        <x:v>1336</x:v>
      </x:c>
      <x:c r="C2261" s="84" t="n">
        <x:v>41</x:v>
      </x:c>
      <x:c r="D2261" s="89" t="n">
        <x:v>45393</x:v>
      </x:c>
      <x:c r="E2261" s="84" t="n">
        <x:v>6</x:v>
      </x:c>
      <x:c r="F2261" s="84" t="str">
        <x:v>Normal</x:v>
      </x:c>
      <x:c r="G2261" s="93" t="n">
        <x:v>303.48</x:v>
      </x:c>
      <x:c r="H2261" s="85" t="str">
        <x:v>Diagnóstico e execução</x:v>
      </x:c>
    </x:row>
    <x:row r="2262">
      <x:c r="A2262" s="83" t="n">
        <x:v>2261</x:v>
      </x:c>
      <x:c r="B2262" s="84" t="n">
        <x:v>1337</x:v>
      </x:c>
      <x:c r="C2262" s="84" t="n">
        <x:v>25</x:v>
      </x:c>
      <x:c r="D2262" s="89" t="n">
        <x:v>45215</x:v>
      </x:c>
      <x:c r="E2262" s="84" t="n">
        <x:v>6.5</x:v>
      </x:c>
      <x:c r="F2262" s="84" t="str">
        <x:v>Normal</x:v>
      </x:c>
      <x:c r="G2262" s="93" t="n">
        <x:v>348.34</x:v>
      </x:c>
      <x:c r="H2262" s="85" t="str">
        <x:v>Diagnóstico e execução</x:v>
      </x:c>
    </x:row>
    <x:row r="2263">
      <x:c r="A2263" s="83" t="n">
        <x:v>2262</x:v>
      </x:c>
      <x:c r="B2263" s="84" t="n">
        <x:v>1338</x:v>
      </x:c>
      <x:c r="C2263" s="84" t="n">
        <x:v>8</x:v>
      </x:c>
      <x:c r="D2263" s="89" t="n">
        <x:v>45246</x:v>
      </x:c>
      <x:c r="E2263" s="84" t="n">
        <x:v>1.7</x:v>
      </x:c>
      <x:c r="F2263" s="84" t="str">
        <x:v>Normal</x:v>
      </x:c>
      <x:c r="G2263" s="93" t="n">
        <x:v>79.05</x:v>
      </x:c>
      <x:c r="H2263" s="85" t="str">
        <x:v>Diagnóstico e execução</x:v>
      </x:c>
    </x:row>
    <x:row r="2264">
      <x:c r="A2264" s="83" t="n">
        <x:v>2263</x:v>
      </x:c>
      <x:c r="B2264" s="84" t="n">
        <x:v>1338</x:v>
      </x:c>
      <x:c r="C2264" s="84" t="n">
        <x:v>34</x:v>
      </x:c>
      <x:c r="D2264" s="89" t="n">
        <x:v>45246</x:v>
      </x:c>
      <x:c r="E2264" s="84" t="n">
        <x:v>7.5</x:v>
      </x:c>
      <x:c r="F2264" s="84" t="str">
        <x:v>Normal</x:v>
      </x:c>
      <x:c r="G2264" s="93" t="n">
        <x:v>324.22</x:v>
      </x:c>
      <x:c r="H2264" s="85" t="str">
        <x:v>Diagnóstico e execução</x:v>
      </x:c>
    </x:row>
    <x:row r="2265">
      <x:c r="A2265" s="83" t="n">
        <x:v>2264</x:v>
      </x:c>
      <x:c r="B2265" s="84" t="n">
        <x:v>1338</x:v>
      </x:c>
      <x:c r="C2265" s="84" t="n">
        <x:v>20</x:v>
      </x:c>
      <x:c r="D2265" s="89" t="n">
        <x:v>45246</x:v>
      </x:c>
      <x:c r="E2265" s="84" t="n">
        <x:v>2.5</x:v>
      </x:c>
      <x:c r="F2265" s="84" t="str">
        <x:v>Normal</x:v>
      </x:c>
      <x:c r="G2265" s="93" t="n">
        <x:v>83.8</x:v>
      </x:c>
      <x:c r="H2265" s="85" t="str">
        <x:v>Diagnóstico e execução</x:v>
      </x:c>
    </x:row>
    <x:row r="2266">
      <x:c r="A2266" s="83" t="n">
        <x:v>2265</x:v>
      </x:c>
      <x:c r="B2266" s="84" t="n">
        <x:v>1340</x:v>
      </x:c>
      <x:c r="C2266" s="84" t="n">
        <x:v>30</x:v>
      </x:c>
      <x:c r="D2266" s="89" t="n">
        <x:v>45396</x:v>
      </x:c>
      <x:c r="E2266" s="84" t="n">
        <x:v>5.1</x:v>
      </x:c>
      <x:c r="F2266" s="84" t="str">
        <x:v>Normal</x:v>
      </x:c>
      <x:c r="G2266" s="93" t="n">
        <x:v>211.19</x:v>
      </x:c>
      <x:c r="H2266" s="85" t="str">
        <x:v>Diagnóstico e execução</x:v>
      </x:c>
    </x:row>
    <x:row r="2267">
      <x:c r="A2267" s="83" t="n">
        <x:v>2266</x:v>
      </x:c>
      <x:c r="B2267" s="84" t="n">
        <x:v>1341</x:v>
      </x:c>
      <x:c r="C2267" s="84" t="n">
        <x:v>12</x:v>
      </x:c>
      <x:c r="D2267" s="89" t="n">
        <x:v>45333</x:v>
      </x:c>
      <x:c r="E2267" s="84" t="n">
        <x:v>4.1</x:v>
      </x:c>
      <x:c r="F2267" s="84" t="str">
        <x:v>Normal</x:v>
      </x:c>
      <x:c r="G2267" s="93" t="n">
        <x:v>141.45</x:v>
      </x:c>
      <x:c r="H2267" s="85" t="str">
        <x:v>Diagnóstico e execução</x:v>
      </x:c>
    </x:row>
    <x:row r="2268">
      <x:c r="A2268" s="83" t="n">
        <x:v>2267</x:v>
      </x:c>
      <x:c r="B2268" s="84" t="n">
        <x:v>1342</x:v>
      </x:c>
      <x:c r="C2268" s="84" t="n">
        <x:v>5</x:v>
      </x:c>
      <x:c r="D2268" s="89" t="n">
        <x:v>45842</x:v>
      </x:c>
      <x:c r="E2268" s="84" t="n">
        <x:v>6</x:v>
      </x:c>
      <x:c r="F2268" s="84" t="str">
        <x:v>Normal</x:v>
      </x:c>
      <x:c r="G2268" s="93" t="n">
        <x:v>172.92</x:v>
      </x:c>
      <x:c r="H2268" s="85" t="str">
        <x:v>Diagnóstico e execução</x:v>
      </x:c>
    </x:row>
    <x:row r="2269">
      <x:c r="A2269" s="83" t="n">
        <x:v>2268</x:v>
      </x:c>
      <x:c r="B2269" s="84" t="n">
        <x:v>1342</x:v>
      </x:c>
      <x:c r="C2269" s="84" t="n">
        <x:v>37</x:v>
      </x:c>
      <x:c r="D2269" s="89" t="n">
        <x:v>45842</x:v>
      </x:c>
      <x:c r="E2269" s="84" t="n">
        <x:v>6.3</x:v>
      </x:c>
      <x:c r="F2269" s="84" t="str">
        <x:v>Normal</x:v>
      </x:c>
      <x:c r="G2269" s="93" t="n">
        <x:v>371.51</x:v>
      </x:c>
      <x:c r="H2269" s="85" t="str">
        <x:v>Diagnóstico e execução</x:v>
      </x:c>
    </x:row>
    <x:row r="2270">
      <x:c r="A2270" s="83" t="n">
        <x:v>2269</x:v>
      </x:c>
      <x:c r="B2270" s="84" t="n">
        <x:v>1342</x:v>
      </x:c>
      <x:c r="C2270" s="84" t="n">
        <x:v>15</x:v>
      </x:c>
      <x:c r="D2270" s="89" t="n">
        <x:v>45842</x:v>
      </x:c>
      <x:c r="E2270" s="84" t="n">
        <x:v>2.2</x:v>
      </x:c>
      <x:c r="F2270" s="84" t="str">
        <x:v>Normal</x:v>
      </x:c>
      <x:c r="G2270" s="93" t="n">
        <x:v>66.53</x:v>
      </x:c>
      <x:c r="H2270" s="85" t="str">
        <x:v>Diagnóstico e execução</x:v>
      </x:c>
    </x:row>
    <x:row r="2271">
      <x:c r="A2271" s="83" t="n">
        <x:v>2270</x:v>
      </x:c>
      <x:c r="B2271" s="84" t="n">
        <x:v>1344</x:v>
      </x:c>
      <x:c r="C2271" s="84" t="n">
        <x:v>22</x:v>
      </x:c>
      <x:c r="D2271" s="89" t="n">
        <x:v>45044</x:v>
      </x:c>
      <x:c r="E2271" s="84" t="n">
        <x:v>6.5</x:v>
      </x:c>
      <x:c r="F2271" s="84" t="str">
        <x:v>Normal</x:v>
      </x:c>
      <x:c r="G2271" s="93" t="n">
        <x:v>249.99</x:v>
      </x:c>
      <x:c r="H2271" s="85" t="str">
        <x:v>Diagnóstico e execução</x:v>
      </x:c>
    </x:row>
    <x:row r="2272">
      <x:c r="A2272" s="83" t="n">
        <x:v>2271</x:v>
      </x:c>
      <x:c r="B2272" s="84" t="n">
        <x:v>1346</x:v>
      </x:c>
      <x:c r="C2272" s="84" t="n">
        <x:v>2</x:v>
      </x:c>
      <x:c r="D2272" s="89" t="n">
        <x:v>45141</x:v>
      </x:c>
      <x:c r="E2272" s="84" t="n">
        <x:v>4.4</x:v>
      </x:c>
      <x:c r="F2272" s="84" t="str">
        <x:v>Normal</x:v>
      </x:c>
      <x:c r="G2272" s="93" t="n">
        <x:v>163.94</x:v>
      </x:c>
      <x:c r="H2272" s="85" t="str">
        <x:v>Diagnóstico e execução</x:v>
      </x:c>
    </x:row>
    <x:row r="2273">
      <x:c r="A2273" s="83" t="n">
        <x:v>2272</x:v>
      </x:c>
      <x:c r="B2273" s="84" t="n">
        <x:v>1346</x:v>
      </x:c>
      <x:c r="C2273" s="84" t="n">
        <x:v>45</x:v>
      </x:c>
      <x:c r="D2273" s="89" t="n">
        <x:v>45141</x:v>
      </x:c>
      <x:c r="E2273" s="84" t="n">
        <x:v>4.3</x:v>
      </x:c>
      <x:c r="F2273" s="84" t="str">
        <x:v>Normal</x:v>
      </x:c>
      <x:c r="G2273" s="93" t="n">
        <x:v>230.35</x:v>
      </x:c>
      <x:c r="H2273" s="85" t="str">
        <x:v>Diagnóstico e execução</x:v>
      </x:c>
    </x:row>
    <x:row r="2274">
      <x:c r="A2274" s="83" t="n">
        <x:v>2273</x:v>
      </x:c>
      <x:c r="B2274" s="84" t="n">
        <x:v>1346</x:v>
      </x:c>
      <x:c r="C2274" s="84" t="n">
        <x:v>40</x:v>
      </x:c>
      <x:c r="D2274" s="89" t="n">
        <x:v>45141</x:v>
      </x:c>
      <x:c r="E2274" s="84" t="n">
        <x:v>5.8</x:v>
      </x:c>
      <x:c r="F2274" s="84" t="str">
        <x:v>Normal</x:v>
      </x:c>
      <x:c r="G2274" s="93" t="n">
        <x:v>286.64</x:v>
      </x:c>
      <x:c r="H2274" s="85" t="str">
        <x:v>Diagnóstico e execução</x:v>
      </x:c>
    </x:row>
    <x:row r="2275">
      <x:c r="A2275" s="83" t="n">
        <x:v>2274</x:v>
      </x:c>
      <x:c r="B2275" s="84" t="n">
        <x:v>1347</x:v>
      </x:c>
      <x:c r="C2275" s="84" t="n">
        <x:v>2</x:v>
      </x:c>
      <x:c r="D2275" s="89" t="n">
        <x:v>45119</x:v>
      </x:c>
      <x:c r="E2275" s="84" t="n">
        <x:v>3.1</x:v>
      </x:c>
      <x:c r="F2275" s="84" t="str">
        <x:v>Normal</x:v>
      </x:c>
      <x:c r="G2275" s="93" t="n">
        <x:v>115.51</x:v>
      </x:c>
      <x:c r="H2275" s="85" t="str">
        <x:v>Diagnóstico e execução</x:v>
      </x:c>
    </x:row>
    <x:row r="2276">
      <x:c r="A2276" s="83" t="n">
        <x:v>2275</x:v>
      </x:c>
      <x:c r="B2276" s="84" t="n">
        <x:v>1347</x:v>
      </x:c>
      <x:c r="C2276" s="84" t="n">
        <x:v>22</x:v>
      </x:c>
      <x:c r="D2276" s="89" t="n">
        <x:v>45119</x:v>
      </x:c>
      <x:c r="E2276" s="84" t="n">
        <x:v>3.5</x:v>
      </x:c>
      <x:c r="F2276" s="84" t="str">
        <x:v>Normal</x:v>
      </x:c>
      <x:c r="G2276" s="93" t="n">
        <x:v>134.61</x:v>
      </x:c>
      <x:c r="H2276" s="85" t="str">
        <x:v>Diagnóstico e execução</x:v>
      </x:c>
    </x:row>
    <x:row r="2277">
      <x:c r="A2277" s="83" t="n">
        <x:v>2276</x:v>
      </x:c>
      <x:c r="B2277" s="84" t="n">
        <x:v>1347</x:v>
      </x:c>
      <x:c r="C2277" s="84" t="n">
        <x:v>8</x:v>
      </x:c>
      <x:c r="D2277" s="89" t="n">
        <x:v>45119</x:v>
      </x:c>
      <x:c r="E2277" s="84" t="n">
        <x:v>4.8</x:v>
      </x:c>
      <x:c r="F2277" s="84" t="str">
        <x:v>Normal</x:v>
      </x:c>
      <x:c r="G2277" s="93" t="n">
        <x:v>223.2</x:v>
      </x:c>
      <x:c r="H2277" s="85" t="str">
        <x:v>Diagnóstico e execução</x:v>
      </x:c>
    </x:row>
    <x:row r="2278">
      <x:c r="A2278" s="83" t="n">
        <x:v>2277</x:v>
      </x:c>
      <x:c r="B2278" s="84" t="n">
        <x:v>1349</x:v>
      </x:c>
      <x:c r="C2278" s="84" t="n">
        <x:v>18</x:v>
      </x:c>
      <x:c r="D2278" s="89" t="n">
        <x:v>45335</x:v>
      </x:c>
      <x:c r="E2278" s="84" t="n">
        <x:v>1.1</x:v>
      </x:c>
      <x:c r="F2278" s="84" t="str">
        <x:v>Normal</x:v>
      </x:c>
      <x:c r="G2278" s="93" t="n">
        <x:v>69.4</x:v>
      </x:c>
      <x:c r="H2278" s="85" t="str">
        <x:v>Diagnóstico e execução</x:v>
      </x:c>
    </x:row>
    <x:row r="2279">
      <x:c r="A2279" s="83" t="n">
        <x:v>2278</x:v>
      </x:c>
      <x:c r="B2279" s="84" t="n">
        <x:v>1349</x:v>
      </x:c>
      <x:c r="C2279" s="84" t="n">
        <x:v>33</x:v>
      </x:c>
      <x:c r="D2279" s="89" t="n">
        <x:v>45335</x:v>
      </x:c>
      <x:c r="E2279" s="84" t="n">
        <x:v>3</x:v>
      </x:c>
      <x:c r="F2279" s="84" t="str">
        <x:v>Normal</x:v>
      </x:c>
      <x:c r="G2279" s="93" t="n">
        <x:v>103.47</x:v>
      </x:c>
      <x:c r="H2279" s="85" t="str">
        <x:v>Diagnóstico e execução</x:v>
      </x:c>
    </x:row>
    <x:row r="2280">
      <x:c r="A2280" s="83" t="n">
        <x:v>2279</x:v>
      </x:c>
      <x:c r="B2280" s="84" t="n">
        <x:v>1349</x:v>
      </x:c>
      <x:c r="C2280" s="84" t="n">
        <x:v>14</x:v>
      </x:c>
      <x:c r="D2280" s="89" t="n">
        <x:v>45335</x:v>
      </x:c>
      <x:c r="E2280" s="84" t="n">
        <x:v>6.3</x:v>
      </x:c>
      <x:c r="F2280" s="84" t="str">
        <x:v>Normal</x:v>
      </x:c>
      <x:c r="G2280" s="93" t="n">
        <x:v>356.96</x:v>
      </x:c>
      <x:c r="H2280" s="85" t="str">
        <x:v>Diagnóstico e execução</x:v>
      </x:c>
    </x:row>
    <x:row r="2281">
      <x:c r="A2281" s="83" t="n">
        <x:v>2280</x:v>
      </x:c>
      <x:c r="B2281" s="84" t="n">
        <x:v>1350</x:v>
      </x:c>
      <x:c r="C2281" s="84" t="n">
        <x:v>26</x:v>
      </x:c>
      <x:c r="D2281" s="89" t="n">
        <x:v>45514</x:v>
      </x:c>
      <x:c r="E2281" s="84" t="n">
        <x:v>5.4</x:v>
      </x:c>
      <x:c r="F2281" s="84" t="str">
        <x:v>Normal</x:v>
      </x:c>
      <x:c r="G2281" s="93" t="n">
        <x:v>211.25</x:v>
      </x:c>
      <x:c r="H2281" s="85" t="str">
        <x:v>Diagnóstico e execução</x:v>
      </x:c>
    </x:row>
    <x:row r="2282">
      <x:c r="A2282" s="83" t="n">
        <x:v>2281</x:v>
      </x:c>
      <x:c r="B2282" s="84" t="n">
        <x:v>1351</x:v>
      </x:c>
      <x:c r="C2282" s="84" t="n">
        <x:v>16</x:v>
      </x:c>
      <x:c r="D2282" s="89" t="n">
        <x:v>45207</x:v>
      </x:c>
      <x:c r="E2282" s="84" t="n">
        <x:v>1.6</x:v>
      </x:c>
      <x:c r="F2282" s="84" t="str">
        <x:v>Normal</x:v>
      </x:c>
      <x:c r="G2282" s="93" t="n">
        <x:v>64.83</x:v>
      </x:c>
      <x:c r="H2282" s="85" t="str">
        <x:v>Diagnóstico e execução</x:v>
      </x:c>
    </x:row>
    <x:row r="2283">
      <x:c r="A2283" s="83" t="n">
        <x:v>2282</x:v>
      </x:c>
      <x:c r="B2283" s="84" t="n">
        <x:v>1351</x:v>
      </x:c>
      <x:c r="C2283" s="84" t="n">
        <x:v>11</x:v>
      </x:c>
      <x:c r="D2283" s="89" t="n">
        <x:v>45207</x:v>
      </x:c>
      <x:c r="E2283" s="84" t="n">
        <x:v>2.2</x:v>
      </x:c>
      <x:c r="F2283" s="84" t="str">
        <x:v>Normal</x:v>
      </x:c>
      <x:c r="G2283" s="93" t="n">
        <x:v>91.7</x:v>
      </x:c>
      <x:c r="H2283" s="85" t="str">
        <x:v>Diagnóstico e execução</x:v>
      </x:c>
    </x:row>
    <x:row r="2284">
      <x:c r="A2284" s="83" t="n">
        <x:v>2283</x:v>
      </x:c>
      <x:c r="B2284" s="84" t="n">
        <x:v>1352</x:v>
      </x:c>
      <x:c r="C2284" s="84" t="n">
        <x:v>5</x:v>
      </x:c>
      <x:c r="D2284" s="89" t="n">
        <x:v>45201</x:v>
      </x:c>
      <x:c r="E2284" s="84" t="n">
        <x:v>6.6</x:v>
      </x:c>
      <x:c r="F2284" s="84" t="str">
        <x:v>Normal</x:v>
      </x:c>
      <x:c r="G2284" s="93" t="n">
        <x:v>190.21</x:v>
      </x:c>
      <x:c r="H2284" s="85" t="str">
        <x:v>Diagnóstico e execução</x:v>
      </x:c>
    </x:row>
    <x:row r="2285">
      <x:c r="A2285" s="83" t="n">
        <x:v>2284</x:v>
      </x:c>
      <x:c r="B2285" s="84" t="n">
        <x:v>1353</x:v>
      </x:c>
      <x:c r="C2285" s="84" t="n">
        <x:v>27</x:v>
      </x:c>
      <x:c r="D2285" s="89" t="n">
        <x:v>45767</x:v>
      </x:c>
      <x:c r="E2285" s="84" t="n">
        <x:v>7.3</x:v>
      </x:c>
      <x:c r="F2285" s="84" t="str">
        <x:v>Normal</x:v>
      </x:c>
      <x:c r="G2285" s="93" t="n">
        <x:v>445.23</x:v>
      </x:c>
      <x:c r="H2285" s="85" t="str">
        <x:v>Diagnóstico e execução</x:v>
      </x:c>
    </x:row>
    <x:row r="2286">
      <x:c r="A2286" s="83" t="n">
        <x:v>2285</x:v>
      </x:c>
      <x:c r="B2286" s="84" t="n">
        <x:v>1353</x:v>
      </x:c>
      <x:c r="C2286" s="84" t="n">
        <x:v>40</x:v>
      </x:c>
      <x:c r="D2286" s="89" t="n">
        <x:v>45767</x:v>
      </x:c>
      <x:c r="E2286" s="84" t="n">
        <x:v>6.4</x:v>
      </x:c>
      <x:c r="F2286" s="84" t="str">
        <x:v>Normal</x:v>
      </x:c>
      <x:c r="G2286" s="93" t="n">
        <x:v>316.29</x:v>
      </x:c>
      <x:c r="H2286" s="85" t="str">
        <x:v>Diagnóstico e execução</x:v>
      </x:c>
    </x:row>
    <x:row r="2287">
      <x:c r="A2287" s="83" t="n">
        <x:v>2286</x:v>
      </x:c>
      <x:c r="B2287" s="84" t="n">
        <x:v>1353</x:v>
      </x:c>
      <x:c r="C2287" s="84" t="n">
        <x:v>41</x:v>
      </x:c>
      <x:c r="D2287" s="89" t="n">
        <x:v>45767</x:v>
      </x:c>
      <x:c r="E2287" s="84" t="n">
        <x:v>1.9</x:v>
      </x:c>
      <x:c r="F2287" s="84" t="str">
        <x:v>Normal</x:v>
      </x:c>
      <x:c r="G2287" s="93" t="n">
        <x:v>96.1</x:v>
      </x:c>
      <x:c r="H2287" s="85" t="str">
        <x:v>Diagnóstico e execução</x:v>
      </x:c>
    </x:row>
    <x:row r="2288">
      <x:c r="A2288" s="83" t="n">
        <x:v>2287</x:v>
      </x:c>
      <x:c r="B2288" s="84" t="n">
        <x:v>1354</x:v>
      </x:c>
      <x:c r="C2288" s="84" t="n">
        <x:v>32</x:v>
      </x:c>
      <x:c r="D2288" s="89" t="n">
        <x:v>45547</x:v>
      </x:c>
      <x:c r="E2288" s="84" t="n">
        <x:v>2.7</x:v>
      </x:c>
      <x:c r="F2288" s="84" t="str">
        <x:v>Normal</x:v>
      </x:c>
      <x:c r="G2288" s="93" t="n">
        <x:v>117.86</x:v>
      </x:c>
      <x:c r="H2288" s="85" t="str">
        <x:v>Diagnóstico e execução</x:v>
      </x:c>
    </x:row>
    <x:row r="2289">
      <x:c r="A2289" s="83" t="n">
        <x:v>2288</x:v>
      </x:c>
      <x:c r="B2289" s="84" t="n">
        <x:v>1354</x:v>
      </x:c>
      <x:c r="C2289" s="84" t="n">
        <x:v>3</x:v>
      </x:c>
      <x:c r="D2289" s="89" t="n">
        <x:v>45547</x:v>
      </x:c>
      <x:c r="E2289" s="84" t="n">
        <x:v>7</x:v>
      </x:c>
      <x:c r="F2289" s="84" t="str">
        <x:v>Normal</x:v>
      </x:c>
      <x:c r="G2289" s="93" t="n">
        <x:v>344.68</x:v>
      </x:c>
      <x:c r="H2289" s="85" t="str">
        <x:v>Diagnóstico e execução</x:v>
      </x:c>
    </x:row>
    <x:row r="2290">
      <x:c r="A2290" s="83" t="n">
        <x:v>2289</x:v>
      </x:c>
      <x:c r="B2290" s="84" t="n">
        <x:v>1354</x:v>
      </x:c>
      <x:c r="C2290" s="84" t="n">
        <x:v>35</x:v>
      </x:c>
      <x:c r="D2290" s="89" t="n">
        <x:v>45547</x:v>
      </x:c>
      <x:c r="E2290" s="84" t="n">
        <x:v>2.6</x:v>
      </x:c>
      <x:c r="F2290" s="84" t="str">
        <x:v>Normal</x:v>
      </x:c>
      <x:c r="G2290" s="93" t="n">
        <x:v>127.89</x:v>
      </x:c>
      <x:c r="H2290" s="85" t="str">
        <x:v>Diagnóstico e execução</x:v>
      </x:c>
    </x:row>
    <x:row r="2291">
      <x:c r="A2291" s="83" t="n">
        <x:v>2290</x:v>
      </x:c>
      <x:c r="B2291" s="84" t="n">
        <x:v>1355</x:v>
      </x:c>
      <x:c r="C2291" s="84" t="n">
        <x:v>40</x:v>
      </x:c>
      <x:c r="D2291" s="89" t="n">
        <x:v>45126</x:v>
      </x:c>
      <x:c r="E2291" s="84" t="n">
        <x:v>1</x:v>
      </x:c>
      <x:c r="F2291" s="84" t="str">
        <x:v>Normal</x:v>
      </x:c>
      <x:c r="G2291" s="93" t="n">
        <x:v>49.42</x:v>
      </x:c>
      <x:c r="H2291" s="85" t="str">
        <x:v>Diagnóstico e execução</x:v>
      </x:c>
    </x:row>
    <x:row r="2292">
      <x:c r="A2292" s="83" t="n">
        <x:v>2291</x:v>
      </x:c>
      <x:c r="B2292" s="84" t="n">
        <x:v>1355</x:v>
      </x:c>
      <x:c r="C2292" s="84" t="n">
        <x:v>34</x:v>
      </x:c>
      <x:c r="D2292" s="89" t="n">
        <x:v>45126</x:v>
      </x:c>
      <x:c r="E2292" s="84" t="n">
        <x:v>6</x:v>
      </x:c>
      <x:c r="F2292" s="84" t="str">
        <x:v>Normal</x:v>
      </x:c>
      <x:c r="G2292" s="93" t="n">
        <x:v>259.38</x:v>
      </x:c>
      <x:c r="H2292" s="85" t="str">
        <x:v>Diagnóstico e execução</x:v>
      </x:c>
    </x:row>
    <x:row r="2293">
      <x:c r="A2293" s="83" t="n">
        <x:v>2292</x:v>
      </x:c>
      <x:c r="B2293" s="84" t="n">
        <x:v>1355</x:v>
      </x:c>
      <x:c r="C2293" s="84" t="n">
        <x:v>30</x:v>
      </x:c>
      <x:c r="D2293" s="89" t="n">
        <x:v>45126</x:v>
      </x:c>
      <x:c r="E2293" s="84" t="n">
        <x:v>3.2</x:v>
      </x:c>
      <x:c r="F2293" s="84" t="str">
        <x:v>Normal</x:v>
      </x:c>
      <x:c r="G2293" s="93" t="n">
        <x:v>132.51</x:v>
      </x:c>
      <x:c r="H2293" s="85" t="str">
        <x:v>Diagnóstico e execução</x:v>
      </x:c>
    </x:row>
    <x:row r="2294">
      <x:c r="A2294" s="83" t="n">
        <x:v>2293</x:v>
      </x:c>
      <x:c r="B2294" s="84" t="n">
        <x:v>1356</x:v>
      </x:c>
      <x:c r="C2294" s="84" t="n">
        <x:v>35</x:v>
      </x:c>
      <x:c r="D2294" s="89" t="n">
        <x:v>45966</x:v>
      </x:c>
      <x:c r="E2294" s="84" t="n">
        <x:v>4.9</x:v>
      </x:c>
      <x:c r="F2294" s="84" t="str">
        <x:v>Normal</x:v>
      </x:c>
      <x:c r="G2294" s="93" t="n">
        <x:v>241.03</x:v>
      </x:c>
      <x:c r="H2294" s="85" t="str">
        <x:v>Diagnóstico e execução</x:v>
      </x:c>
    </x:row>
    <x:row r="2295">
      <x:c r="A2295" s="83" t="n">
        <x:v>2294</x:v>
      </x:c>
      <x:c r="B2295" s="84" t="n">
        <x:v>1356</x:v>
      </x:c>
      <x:c r="C2295" s="84" t="n">
        <x:v>42</x:v>
      </x:c>
      <x:c r="D2295" s="89" t="n">
        <x:v>45966</x:v>
      </x:c>
      <x:c r="E2295" s="84" t="n">
        <x:v>6.5</x:v>
      </x:c>
      <x:c r="F2295" s="84" t="str">
        <x:v>Normal</x:v>
      </x:c>
      <x:c r="G2295" s="93" t="n">
        <x:v>274.17</x:v>
      </x:c>
      <x:c r="H2295" s="85" t="str">
        <x:v>Diagnóstico e execução</x:v>
      </x:c>
    </x:row>
    <x:row r="2296">
      <x:c r="A2296" s="83" t="n">
        <x:v>2295</x:v>
      </x:c>
      <x:c r="B2296" s="84" t="n">
        <x:v>1356</x:v>
      </x:c>
      <x:c r="C2296" s="84" t="n">
        <x:v>16</x:v>
      </x:c>
      <x:c r="D2296" s="89" t="n">
        <x:v>45966</x:v>
      </x:c>
      <x:c r="E2296" s="84" t="n">
        <x:v>3.6</x:v>
      </x:c>
      <x:c r="F2296" s="84" t="str">
        <x:v>Normal</x:v>
      </x:c>
      <x:c r="G2296" s="93" t="n">
        <x:v>145.87</x:v>
      </x:c>
      <x:c r="H2296" s="85" t="str">
        <x:v>Diagnóstico e execução</x:v>
      </x:c>
    </x:row>
    <x:row r="2297">
      <x:c r="A2297" s="83" t="n">
        <x:v>2296</x:v>
      </x:c>
      <x:c r="B2297" s="84" t="n">
        <x:v>1357</x:v>
      </x:c>
      <x:c r="C2297" s="84" t="n">
        <x:v>26</x:v>
      </x:c>
      <x:c r="D2297" s="89" t="n">
        <x:v>45748</x:v>
      </x:c>
      <x:c r="E2297" s="84" t="n">
        <x:v>2.8</x:v>
      </x:c>
      <x:c r="F2297" s="84" t="str">
        <x:v>Normal</x:v>
      </x:c>
      <x:c r="G2297" s="93" t="n">
        <x:v>109.54</x:v>
      </x:c>
      <x:c r="H2297" s="85" t="str">
        <x:v>Diagnóstico e execução</x:v>
      </x:c>
    </x:row>
    <x:row r="2298">
      <x:c r="A2298" s="83" t="n">
        <x:v>2297</x:v>
      </x:c>
      <x:c r="B2298" s="84" t="n">
        <x:v>1358</x:v>
      </x:c>
      <x:c r="C2298" s="84" t="n">
        <x:v>17</x:v>
      </x:c>
      <x:c r="D2298" s="89" t="n">
        <x:v>45612</x:v>
      </x:c>
      <x:c r="E2298" s="84" t="n">
        <x:v>6.6</x:v>
      </x:c>
      <x:c r="F2298" s="84" t="str">
        <x:v>Normal</x:v>
      </x:c>
      <x:c r="G2298" s="93" t="n">
        <x:v>368.15</x:v>
      </x:c>
      <x:c r="H2298" s="85" t="str">
        <x:v>Diagnóstico e execução</x:v>
      </x:c>
    </x:row>
    <x:row r="2299">
      <x:c r="A2299" s="83" t="n">
        <x:v>2298</x:v>
      </x:c>
      <x:c r="B2299" s="84" t="n">
        <x:v>1358</x:v>
      </x:c>
      <x:c r="C2299" s="84" t="n">
        <x:v>44</x:v>
      </x:c>
      <x:c r="D2299" s="89" t="n">
        <x:v>45612</x:v>
      </x:c>
      <x:c r="E2299" s="84" t="n">
        <x:v>7</x:v>
      </x:c>
      <x:c r="F2299" s="84" t="str">
        <x:v>Normal</x:v>
      </x:c>
      <x:c r="G2299" s="93" t="n">
        <x:v>196.28</x:v>
      </x:c>
      <x:c r="H2299" s="85" t="str">
        <x:v>Diagnóstico e execução</x:v>
      </x:c>
    </x:row>
    <x:row r="2300">
      <x:c r="A2300" s="83" t="n">
        <x:v>2299</x:v>
      </x:c>
      <x:c r="B2300" s="84" t="n">
        <x:v>1358</x:v>
      </x:c>
      <x:c r="C2300" s="84" t="n">
        <x:v>17</x:v>
      </x:c>
      <x:c r="D2300" s="89" t="n">
        <x:v>45612</x:v>
      </x:c>
      <x:c r="E2300" s="84" t="n">
        <x:v>3.2</x:v>
      </x:c>
      <x:c r="F2300" s="84" t="str">
        <x:v>Normal</x:v>
      </x:c>
      <x:c r="G2300" s="93" t="n">
        <x:v>178.5</x:v>
      </x:c>
      <x:c r="H2300" s="85" t="str">
        <x:v>Diagnóstico e execução</x:v>
      </x:c>
    </x:row>
    <x:row r="2301">
      <x:c r="A2301" s="83" t="n">
        <x:v>2300</x:v>
      </x:c>
      <x:c r="B2301" s="84" t="n">
        <x:v>1360</x:v>
      </x:c>
      <x:c r="C2301" s="84" t="n">
        <x:v>36</x:v>
      </x:c>
      <x:c r="D2301" s="89" t="n">
        <x:v>45818</x:v>
      </x:c>
      <x:c r="E2301" s="84" t="n">
        <x:v>3.2</x:v>
      </x:c>
      <x:c r="F2301" s="84" t="str">
        <x:v>Normal</x:v>
      </x:c>
      <x:c r="G2301" s="93" t="n">
        <x:v>94.91</x:v>
      </x:c>
      <x:c r="H2301" s="85" t="str">
        <x:v>Diagnóstico e execução</x:v>
      </x:c>
    </x:row>
    <x:row r="2302">
      <x:c r="A2302" s="83" t="n">
        <x:v>2301</x:v>
      </x:c>
      <x:c r="B2302" s="84" t="n">
        <x:v>1361</x:v>
      </x:c>
      <x:c r="C2302" s="84" t="n">
        <x:v>39</x:v>
      </x:c>
      <x:c r="D2302" s="89" t="n">
        <x:v>45093</x:v>
      </x:c>
      <x:c r="E2302" s="84" t="n">
        <x:v>6.8</x:v>
      </x:c>
      <x:c r="F2302" s="84" t="str">
        <x:v>Normal</x:v>
      </x:c>
      <x:c r="G2302" s="93" t="n">
        <x:v>393.72</x:v>
      </x:c>
      <x:c r="H2302" s="85" t="str">
        <x:v>Diagnóstico e execução</x:v>
      </x:c>
    </x:row>
    <x:row r="2303">
      <x:c r="A2303" s="83" t="n">
        <x:v>2302</x:v>
      </x:c>
      <x:c r="B2303" s="84" t="n">
        <x:v>1361</x:v>
      </x:c>
      <x:c r="C2303" s="84" t="n">
        <x:v>41</x:v>
      </x:c>
      <x:c r="D2303" s="89" t="n">
        <x:v>45093</x:v>
      </x:c>
      <x:c r="E2303" s="84" t="n">
        <x:v>3.5</x:v>
      </x:c>
      <x:c r="F2303" s="84" t="str">
        <x:v>Normal</x:v>
      </x:c>
      <x:c r="G2303" s="93" t="n">
        <x:v>177.03</x:v>
      </x:c>
      <x:c r="H2303" s="85" t="str">
        <x:v>Diagnóstico e execução</x:v>
      </x:c>
    </x:row>
    <x:row r="2304">
      <x:c r="A2304" s="83" t="n">
        <x:v>2303</x:v>
      </x:c>
      <x:c r="B2304" s="84" t="n">
        <x:v>1362</x:v>
      </x:c>
      <x:c r="C2304" s="84" t="n">
        <x:v>6</x:v>
      </x:c>
      <x:c r="D2304" s="89" t="n">
        <x:v>46013</x:v>
      </x:c>
      <x:c r="E2304" s="84" t="n">
        <x:v>4.9</x:v>
      </x:c>
      <x:c r="F2304" s="84" t="str">
        <x:v>Normal</x:v>
      </x:c>
      <x:c r="G2304" s="93" t="n">
        <x:v>256.07</x:v>
      </x:c>
      <x:c r="H2304" s="85" t="str">
        <x:v>Diagnóstico e execução</x:v>
      </x:c>
    </x:row>
    <x:row r="2305">
      <x:c r="A2305" s="83" t="n">
        <x:v>2304</x:v>
      </x:c>
      <x:c r="B2305" s="84" t="n">
        <x:v>1363</x:v>
      </x:c>
      <x:c r="C2305" s="84" t="n">
        <x:v>15</x:v>
      </x:c>
      <x:c r="D2305" s="89" t="n">
        <x:v>45936</x:v>
      </x:c>
      <x:c r="E2305" s="84" t="n">
        <x:v>6.4</x:v>
      </x:c>
      <x:c r="F2305" s="84" t="str">
        <x:v>Normal</x:v>
      </x:c>
      <x:c r="G2305" s="93" t="n">
        <x:v>193.54</x:v>
      </x:c>
      <x:c r="H2305" s="85" t="str">
        <x:v>Diagnóstico e execução</x:v>
      </x:c>
    </x:row>
    <x:row r="2306">
      <x:c r="A2306" s="83" t="n">
        <x:v>2305</x:v>
      </x:c>
      <x:c r="B2306" s="84" t="n">
        <x:v>1363</x:v>
      </x:c>
      <x:c r="C2306" s="84" t="n">
        <x:v>4</x:v>
      </x:c>
      <x:c r="D2306" s="89" t="n">
        <x:v>45936</x:v>
      </x:c>
      <x:c r="E2306" s="84" t="n">
        <x:v>1.3</x:v>
      </x:c>
      <x:c r="F2306" s="84" t="str">
        <x:v>Normal</x:v>
      </x:c>
      <x:c r="G2306" s="93" t="n">
        <x:v>63.95</x:v>
      </x:c>
      <x:c r="H2306" s="85" t="str">
        <x:v>Diagnóstico e execução</x:v>
      </x:c>
    </x:row>
    <x:row r="2307">
      <x:c r="A2307" s="83" t="n">
        <x:v>2306</x:v>
      </x:c>
      <x:c r="B2307" s="84" t="n">
        <x:v>1363</x:v>
      </x:c>
      <x:c r="C2307" s="84" t="n">
        <x:v>37</x:v>
      </x:c>
      <x:c r="D2307" s="89" t="n">
        <x:v>45936</x:v>
      </x:c>
      <x:c r="E2307" s="84" t="n">
        <x:v>2.8</x:v>
      </x:c>
      <x:c r="F2307" s="84" t="str">
        <x:v>Normal</x:v>
      </x:c>
      <x:c r="G2307" s="93" t="n">
        <x:v>165.12</x:v>
      </x:c>
      <x:c r="H2307" s="85" t="str">
        <x:v>Diagnóstico e execução</x:v>
      </x:c>
    </x:row>
    <x:row r="2308">
      <x:c r="A2308" s="83" t="n">
        <x:v>2307</x:v>
      </x:c>
      <x:c r="B2308" s="84" t="n">
        <x:v>1364</x:v>
      </x:c>
      <x:c r="C2308" s="84" t="n">
        <x:v>6</x:v>
      </x:c>
      <x:c r="D2308" s="89" t="n">
        <x:v>45158</x:v>
      </x:c>
      <x:c r="E2308" s="84" t="n">
        <x:v>2.8</x:v>
      </x:c>
      <x:c r="F2308" s="84" t="str">
        <x:v>Normal</x:v>
      </x:c>
      <x:c r="G2308" s="93" t="n">
        <x:v>146.33</x:v>
      </x:c>
      <x:c r="H2308" s="85" t="str">
        <x:v>Diagnóstico e execução</x:v>
      </x:c>
    </x:row>
    <x:row r="2309">
      <x:c r="A2309" s="83" t="n">
        <x:v>2308</x:v>
      </x:c>
      <x:c r="B2309" s="84" t="n">
        <x:v>1364</x:v>
      </x:c>
      <x:c r="C2309" s="84" t="n">
        <x:v>35</x:v>
      </x:c>
      <x:c r="D2309" s="89" t="n">
        <x:v>45158</x:v>
      </x:c>
      <x:c r="E2309" s="84" t="n">
        <x:v>3.1</x:v>
      </x:c>
      <x:c r="F2309" s="84" t="str">
        <x:v>Normal</x:v>
      </x:c>
      <x:c r="G2309" s="93" t="n">
        <x:v>152.49</x:v>
      </x:c>
      <x:c r="H2309" s="85" t="str">
        <x:v>Diagnóstico e execução</x:v>
      </x:c>
    </x:row>
    <x:row r="2310">
      <x:c r="A2310" s="83" t="n">
        <x:v>2309</x:v>
      </x:c>
      <x:c r="B2310" s="84" t="n">
        <x:v>1365</x:v>
      </x:c>
      <x:c r="C2310" s="84" t="n">
        <x:v>16</x:v>
      </x:c>
      <x:c r="D2310" s="89" t="n">
        <x:v>45948</x:v>
      </x:c>
      <x:c r="E2310" s="84" t="n">
        <x:v>0.6</x:v>
      </x:c>
      <x:c r="F2310" s="84" t="str">
        <x:v>Normal</x:v>
      </x:c>
      <x:c r="G2310" s="93" t="n">
        <x:v>24.31</x:v>
      </x:c>
      <x:c r="H2310" s="85" t="str">
        <x:v>Diagnóstico e execução</x:v>
      </x:c>
    </x:row>
    <x:row r="2311">
      <x:c r="A2311" s="83" t="n">
        <x:v>2310</x:v>
      </x:c>
      <x:c r="B2311" s="84" t="n">
        <x:v>1365</x:v>
      </x:c>
      <x:c r="C2311" s="84" t="n">
        <x:v>38</x:v>
      </x:c>
      <x:c r="D2311" s="89" t="n">
        <x:v>45948</x:v>
      </x:c>
      <x:c r="E2311" s="84" t="n">
        <x:v>1.6</x:v>
      </x:c>
      <x:c r="F2311" s="84" t="str">
        <x:v>Normal</x:v>
      </x:c>
      <x:c r="G2311" s="93" t="n">
        <x:v>53.87</x:v>
      </x:c>
      <x:c r="H2311" s="85" t="str">
        <x:v>Diagnóstico e execução</x:v>
      </x:c>
    </x:row>
    <x:row r="2312">
      <x:c r="A2312" s="83" t="n">
        <x:v>2311</x:v>
      </x:c>
      <x:c r="B2312" s="84" t="n">
        <x:v>1365</x:v>
      </x:c>
      <x:c r="C2312" s="84" t="n">
        <x:v>16</x:v>
      </x:c>
      <x:c r="D2312" s="89" t="n">
        <x:v>45948</x:v>
      </x:c>
      <x:c r="E2312" s="84" t="n">
        <x:v>1.3</x:v>
      </x:c>
      <x:c r="F2312" s="84" t="str">
        <x:v>Normal</x:v>
      </x:c>
      <x:c r="G2312" s="93" t="n">
        <x:v>52.68</x:v>
      </x:c>
      <x:c r="H2312" s="85" t="str">
        <x:v>Diagnóstico e execução</x:v>
      </x:c>
    </x:row>
    <x:row r="2313">
      <x:c r="A2313" s="83" t="n">
        <x:v>2312</x:v>
      </x:c>
      <x:c r="B2313" s="84" t="n">
        <x:v>1366</x:v>
      </x:c>
      <x:c r="C2313" s="84" t="n">
        <x:v>37</x:v>
      </x:c>
      <x:c r="D2313" s="89" t="n">
        <x:v>46002</x:v>
      </x:c>
      <x:c r="E2313" s="84" t="n">
        <x:v>4.4</x:v>
      </x:c>
      <x:c r="F2313" s="84" t="str">
        <x:v>Normal</x:v>
      </x:c>
      <x:c r="G2313" s="93" t="n">
        <x:v>259.47</x:v>
      </x:c>
      <x:c r="H2313" s="85" t="str">
        <x:v>Diagnóstico e execução</x:v>
      </x:c>
    </x:row>
    <x:row r="2314">
      <x:c r="A2314" s="83" t="n">
        <x:v>2313</x:v>
      </x:c>
      <x:c r="B2314" s="84" t="n">
        <x:v>1366</x:v>
      </x:c>
      <x:c r="C2314" s="84" t="n">
        <x:v>45</x:v>
      </x:c>
      <x:c r="D2314" s="89" t="n">
        <x:v>46002</x:v>
      </x:c>
      <x:c r="E2314" s="84" t="n">
        <x:v>2.3</x:v>
      </x:c>
      <x:c r="F2314" s="84" t="str">
        <x:v>Normal</x:v>
      </x:c>
      <x:c r="G2314" s="93" t="n">
        <x:v>123.21</x:v>
      </x:c>
      <x:c r="H2314" s="85" t="str">
        <x:v>Diagnóstico e execução</x:v>
      </x:c>
    </x:row>
    <x:row r="2315">
      <x:c r="A2315" s="83" t="n">
        <x:v>2314</x:v>
      </x:c>
      <x:c r="B2315" s="84" t="n">
        <x:v>1368</x:v>
      </x:c>
      <x:c r="C2315" s="84" t="n">
        <x:v>40</x:v>
      </x:c>
      <x:c r="D2315" s="89" t="n">
        <x:v>45478</x:v>
      </x:c>
      <x:c r="E2315" s="84" t="n">
        <x:v>6.9</x:v>
      </x:c>
      <x:c r="F2315" s="84" t="str">
        <x:v>Normal</x:v>
      </x:c>
      <x:c r="G2315" s="93" t="n">
        <x:v>341</x:v>
      </x:c>
      <x:c r="H2315" s="85" t="str">
        <x:v>Diagnóstico e execução</x:v>
      </x:c>
    </x:row>
    <x:row r="2316">
      <x:c r="A2316" s="83" t="n">
        <x:v>2315</x:v>
      </x:c>
      <x:c r="B2316" s="84" t="n">
        <x:v>1368</x:v>
      </x:c>
      <x:c r="C2316" s="84" t="n">
        <x:v>9</x:v>
      </x:c>
      <x:c r="D2316" s="89" t="n">
        <x:v>45478</x:v>
      </x:c>
      <x:c r="E2316" s="84" t="n">
        <x:v>4.9</x:v>
      </x:c>
      <x:c r="F2316" s="84" t="str">
        <x:v>Normal</x:v>
      </x:c>
      <x:c r="G2316" s="93" t="n">
        <x:v>258.08</x:v>
      </x:c>
      <x:c r="H2316" s="85" t="str">
        <x:v>Diagnóstico e execução</x:v>
      </x:c>
    </x:row>
    <x:row r="2317">
      <x:c r="A2317" s="83" t="n">
        <x:v>2316</x:v>
      </x:c>
      <x:c r="B2317" s="84" t="n">
        <x:v>1369</x:v>
      </x:c>
      <x:c r="C2317" s="84" t="n">
        <x:v>11</x:v>
      </x:c>
      <x:c r="D2317" s="89" t="n">
        <x:v>45841</x:v>
      </x:c>
      <x:c r="E2317" s="84" t="n">
        <x:v>7.5</x:v>
      </x:c>
      <x:c r="F2317" s="84" t="str">
        <x:v>Normal</x:v>
      </x:c>
      <x:c r="G2317" s="93" t="n">
        <x:v>312.6</x:v>
      </x:c>
      <x:c r="H2317" s="85" t="str">
        <x:v>Diagnóstico e execução</x:v>
      </x:c>
    </x:row>
    <x:row r="2318">
      <x:c r="A2318" s="83" t="n">
        <x:v>2317</x:v>
      </x:c>
      <x:c r="B2318" s="84" t="n">
        <x:v>1369</x:v>
      </x:c>
      <x:c r="C2318" s="84" t="n">
        <x:v>38</x:v>
      </x:c>
      <x:c r="D2318" s="89" t="n">
        <x:v>45841</x:v>
      </x:c>
      <x:c r="E2318" s="84" t="n">
        <x:v>2.9</x:v>
      </x:c>
      <x:c r="F2318" s="84" t="str">
        <x:v>Normal</x:v>
      </x:c>
      <x:c r="G2318" s="93" t="n">
        <x:v>97.64</x:v>
      </x:c>
      <x:c r="H2318" s="85" t="str">
        <x:v>Diagnóstico e execução</x:v>
      </x:c>
    </x:row>
    <x:row r="2319">
      <x:c r="A2319" s="83" t="n">
        <x:v>2318</x:v>
      </x:c>
      <x:c r="B2319" s="84" t="n">
        <x:v>1370</x:v>
      </x:c>
      <x:c r="C2319" s="84" t="n">
        <x:v>28</x:v>
      </x:c>
      <x:c r="D2319" s="89" t="n">
        <x:v>45771</x:v>
      </x:c>
      <x:c r="E2319" s="84" t="n">
        <x:v>4.9</x:v>
      </x:c>
      <x:c r="F2319" s="84" t="str">
        <x:v>Normal</x:v>
      </x:c>
      <x:c r="G2319" s="93" t="n">
        <x:v>184.34</x:v>
      </x:c>
      <x:c r="H2319" s="85" t="str">
        <x:v>Diagnóstico e execução</x:v>
      </x:c>
    </x:row>
    <x:row r="2320">
      <x:c r="A2320" s="83" t="n">
        <x:v>2319</x:v>
      </x:c>
      <x:c r="B2320" s="84" t="n">
        <x:v>1370</x:v>
      </x:c>
      <x:c r="C2320" s="84" t="n">
        <x:v>5</x:v>
      </x:c>
      <x:c r="D2320" s="89" t="n">
        <x:v>45771</x:v>
      </x:c>
      <x:c r="E2320" s="84" t="n">
        <x:v>5.5</x:v>
      </x:c>
      <x:c r="F2320" s="84" t="str">
        <x:v>Normal</x:v>
      </x:c>
      <x:c r="G2320" s="93" t="n">
        <x:v>158.51</x:v>
      </x:c>
      <x:c r="H2320" s="85" t="str">
        <x:v>Diagnóstico e execução</x:v>
      </x:c>
    </x:row>
    <x:row r="2321">
      <x:c r="A2321" s="83" t="n">
        <x:v>2320</x:v>
      </x:c>
      <x:c r="B2321" s="84" t="n">
        <x:v>1371</x:v>
      </x:c>
      <x:c r="C2321" s="84" t="n">
        <x:v>38</x:v>
      </x:c>
      <x:c r="D2321" s="89" t="n">
        <x:v>45632</x:v>
      </x:c>
      <x:c r="E2321" s="84" t="n">
        <x:v>0.9</x:v>
      </x:c>
      <x:c r="F2321" s="84" t="str">
        <x:v>Normal</x:v>
      </x:c>
      <x:c r="G2321" s="93" t="n">
        <x:v>30.3</x:v>
      </x:c>
      <x:c r="H2321" s="85" t="str">
        <x:v>Diagnóstico e execução</x:v>
      </x:c>
    </x:row>
    <x:row r="2322">
      <x:c r="A2322" s="83" t="n">
        <x:v>2321</x:v>
      </x:c>
      <x:c r="B2322" s="84" t="n">
        <x:v>1371</x:v>
      </x:c>
      <x:c r="C2322" s="84" t="n">
        <x:v>18</x:v>
      </x:c>
      <x:c r="D2322" s="89" t="n">
        <x:v>45632</x:v>
      </x:c>
      <x:c r="E2322" s="84" t="n">
        <x:v>6.5</x:v>
      </x:c>
      <x:c r="F2322" s="84" t="str">
        <x:v>Normal</x:v>
      </x:c>
      <x:c r="G2322" s="93" t="n">
        <x:v>410.09</x:v>
      </x:c>
      <x:c r="H2322" s="85" t="str">
        <x:v>Diagnóstico e execução</x:v>
      </x:c>
    </x:row>
    <x:row r="2323">
      <x:c r="A2323" s="83" t="n">
        <x:v>2322</x:v>
      </x:c>
      <x:c r="B2323" s="84" t="n">
        <x:v>1372</x:v>
      </x:c>
      <x:c r="C2323" s="84" t="n">
        <x:v>29</x:v>
      </x:c>
      <x:c r="D2323" s="89" t="n">
        <x:v>45122</x:v>
      </x:c>
      <x:c r="E2323" s="84" t="n">
        <x:v>4.6</x:v>
      </x:c>
      <x:c r="F2323" s="84" t="str">
        <x:v>Normal</x:v>
      </x:c>
      <x:c r="G2323" s="93" t="n">
        <x:v>227.79</x:v>
      </x:c>
      <x:c r="H2323" s="85" t="str">
        <x:v>Diagnóstico e execução</x:v>
      </x:c>
    </x:row>
    <x:row r="2324">
      <x:c r="A2324" s="83" t="n">
        <x:v>2323</x:v>
      </x:c>
      <x:c r="B2324" s="84" t="n">
        <x:v>1372</x:v>
      </x:c>
      <x:c r="C2324" s="84" t="n">
        <x:v>45</x:v>
      </x:c>
      <x:c r="D2324" s="89" t="n">
        <x:v>45122</x:v>
      </x:c>
      <x:c r="E2324" s="84" t="n">
        <x:v>0.8</x:v>
      </x:c>
      <x:c r="F2324" s="84" t="str">
        <x:v>Normal</x:v>
      </x:c>
      <x:c r="G2324" s="93" t="n">
        <x:v>42.86</x:v>
      </x:c>
      <x:c r="H2324" s="85" t="str">
        <x:v>Diagnóstico e execução</x:v>
      </x:c>
    </x:row>
    <x:row r="2325">
      <x:c r="A2325" s="83" t="n">
        <x:v>2324</x:v>
      </x:c>
      <x:c r="B2325" s="84" t="n">
        <x:v>1373</x:v>
      </x:c>
      <x:c r="C2325" s="84" t="n">
        <x:v>45</x:v>
      </x:c>
      <x:c r="D2325" s="89" t="n">
        <x:v>45669</x:v>
      </x:c>
      <x:c r="E2325" s="84" t="n">
        <x:v>7.2</x:v>
      </x:c>
      <x:c r="F2325" s="84" t="str">
        <x:v>Normal</x:v>
      </x:c>
      <x:c r="G2325" s="93" t="n">
        <x:v>385.7</x:v>
      </x:c>
      <x:c r="H2325" s="85" t="str">
        <x:v>Diagnóstico e execução</x:v>
      </x:c>
    </x:row>
    <x:row r="2326">
      <x:c r="A2326" s="83" t="n">
        <x:v>2325</x:v>
      </x:c>
      <x:c r="B2326" s="84" t="n">
        <x:v>1373</x:v>
      </x:c>
      <x:c r="C2326" s="84" t="n">
        <x:v>9</x:v>
      </x:c>
      <x:c r="D2326" s="89" t="n">
        <x:v>45669</x:v>
      </x:c>
      <x:c r="E2326" s="84" t="n">
        <x:v>6.9</x:v>
      </x:c>
      <x:c r="F2326" s="84" t="str">
        <x:v>Normal</x:v>
      </x:c>
      <x:c r="G2326" s="93" t="n">
        <x:v>363.42</x:v>
      </x:c>
      <x:c r="H2326" s="85" t="str">
        <x:v>Diagnóstico e execução</x:v>
      </x:c>
    </x:row>
    <x:row r="2327">
      <x:c r="A2327" s="83" t="n">
        <x:v>2326</x:v>
      </x:c>
      <x:c r="B2327" s="84" t="n">
        <x:v>1374</x:v>
      </x:c>
      <x:c r="C2327" s="84" t="n">
        <x:v>30</x:v>
      </x:c>
      <x:c r="D2327" s="89" t="n">
        <x:v>45887</x:v>
      </x:c>
      <x:c r="E2327" s="84" t="n">
        <x:v>7.7</x:v>
      </x:c>
      <x:c r="F2327" s="84" t="str">
        <x:v>Normal</x:v>
      </x:c>
      <x:c r="G2327" s="93" t="n">
        <x:v>318.86</x:v>
      </x:c>
      <x:c r="H2327" s="85" t="str">
        <x:v>Diagnóstico e execução</x:v>
      </x:c>
    </x:row>
    <x:row r="2328">
      <x:c r="A2328" s="83" t="n">
        <x:v>2327</x:v>
      </x:c>
      <x:c r="B2328" s="84" t="n">
        <x:v>1374</x:v>
      </x:c>
      <x:c r="C2328" s="84" t="n">
        <x:v>34</x:v>
      </x:c>
      <x:c r="D2328" s="89" t="n">
        <x:v>45887</x:v>
      </x:c>
      <x:c r="E2328" s="84" t="n">
        <x:v>6.9</x:v>
      </x:c>
      <x:c r="F2328" s="84" t="str">
        <x:v>Normal</x:v>
      </x:c>
      <x:c r="G2328" s="93" t="n">
        <x:v>298.29</x:v>
      </x:c>
      <x:c r="H2328" s="85" t="str">
        <x:v>Diagnóstico e execução</x:v>
      </x:c>
    </x:row>
    <x:row r="2329">
      <x:c r="A2329" s="83" t="n">
        <x:v>2328</x:v>
      </x:c>
      <x:c r="B2329" s="84" t="n">
        <x:v>1377</x:v>
      </x:c>
      <x:c r="C2329" s="84" t="n">
        <x:v>29</x:v>
      </x:c>
      <x:c r="D2329" s="89" t="n">
        <x:v>45381</x:v>
      </x:c>
      <x:c r="E2329" s="84" t="n">
        <x:v>4.3</x:v>
      </x:c>
      <x:c r="F2329" s="84" t="str">
        <x:v>Normal</x:v>
      </x:c>
      <x:c r="G2329" s="93" t="n">
        <x:v>212.94</x:v>
      </x:c>
      <x:c r="H2329" s="85" t="str">
        <x:v>Diagnóstico e execução</x:v>
      </x:c>
    </x:row>
    <x:row r="2330">
      <x:c r="A2330" s="83" t="n">
        <x:v>2329</x:v>
      </x:c>
      <x:c r="B2330" s="84" t="n">
        <x:v>1378</x:v>
      </x:c>
      <x:c r="C2330" s="84" t="n">
        <x:v>4</x:v>
      </x:c>
      <x:c r="D2330" s="89" t="n">
        <x:v>45675</x:v>
      </x:c>
      <x:c r="E2330" s="84" t="n">
        <x:v>6.2</x:v>
      </x:c>
      <x:c r="F2330" s="84" t="str">
        <x:v>Normal</x:v>
      </x:c>
      <x:c r="G2330" s="93" t="n">
        <x:v>304.98</x:v>
      </x:c>
      <x:c r="H2330" s="85" t="str">
        <x:v>Diagnóstico e execução</x:v>
      </x:c>
    </x:row>
    <x:row r="2331">
      <x:c r="A2331" s="83" t="n">
        <x:v>2330</x:v>
      </x:c>
      <x:c r="B2331" s="84" t="n">
        <x:v>1378</x:v>
      </x:c>
      <x:c r="C2331" s="84" t="n">
        <x:v>17</x:v>
      </x:c>
      <x:c r="D2331" s="89" t="n">
        <x:v>45675</x:v>
      </x:c>
      <x:c r="E2331" s="84" t="n">
        <x:v>7.6</x:v>
      </x:c>
      <x:c r="F2331" s="84" t="str">
        <x:v>Normal</x:v>
      </x:c>
      <x:c r="G2331" s="93" t="n">
        <x:v>423.93</x:v>
      </x:c>
      <x:c r="H2331" s="85" t="str">
        <x:v>Diagnóstico e execução</x:v>
      </x:c>
    </x:row>
    <x:row r="2332">
      <x:c r="A2332" s="83" t="n">
        <x:v>2331</x:v>
      </x:c>
      <x:c r="B2332" s="84" t="n">
        <x:v>1379</x:v>
      </x:c>
      <x:c r="C2332" s="84" t="n">
        <x:v>41</x:v>
      </x:c>
      <x:c r="D2332" s="89" t="n">
        <x:v>45518</x:v>
      </x:c>
      <x:c r="E2332" s="84" t="n">
        <x:v>1.5</x:v>
      </x:c>
      <x:c r="F2332" s="84" t="str">
        <x:v>Normal</x:v>
      </x:c>
      <x:c r="G2332" s="93" t="n">
        <x:v>75.87</x:v>
      </x:c>
      <x:c r="H2332" s="85" t="str">
        <x:v>Diagnóstico e execução</x:v>
      </x:c>
    </x:row>
    <x:row r="2333">
      <x:c r="A2333" s="83" t="n">
        <x:v>2332</x:v>
      </x:c>
      <x:c r="B2333" s="84" t="n">
        <x:v>1379</x:v>
      </x:c>
      <x:c r="C2333" s="84" t="n">
        <x:v>16</x:v>
      </x:c>
      <x:c r="D2333" s="89" t="n">
        <x:v>45518</x:v>
      </x:c>
      <x:c r="E2333" s="84" t="n">
        <x:v>1.5</x:v>
      </x:c>
      <x:c r="F2333" s="84" t="str">
        <x:v>Normal</x:v>
      </x:c>
      <x:c r="G2333" s="93" t="n">
        <x:v>60.78</x:v>
      </x:c>
      <x:c r="H2333" s="85" t="str">
        <x:v>Diagnóstico e execução</x:v>
      </x:c>
    </x:row>
    <x:row r="2334">
      <x:c r="A2334" s="83" t="n">
        <x:v>2333</x:v>
      </x:c>
      <x:c r="B2334" s="84" t="n">
        <x:v>1379</x:v>
      </x:c>
      <x:c r="C2334" s="84" t="n">
        <x:v>40</x:v>
      </x:c>
      <x:c r="D2334" s="89" t="n">
        <x:v>45518</x:v>
      </x:c>
      <x:c r="E2334" s="84" t="n">
        <x:v>4.1</x:v>
      </x:c>
      <x:c r="F2334" s="84" t="str">
        <x:v>Normal</x:v>
      </x:c>
      <x:c r="G2334" s="93" t="n">
        <x:v>202.62</x:v>
      </x:c>
      <x:c r="H2334" s="85" t="str">
        <x:v>Diagnóstico e execução</x:v>
      </x:c>
    </x:row>
    <x:row r="2335">
      <x:c r="A2335" s="83" t="n">
        <x:v>2334</x:v>
      </x:c>
      <x:c r="B2335" s="84" t="n">
        <x:v>1380</x:v>
      </x:c>
      <x:c r="C2335" s="84" t="n">
        <x:v>21</x:v>
      </x:c>
      <x:c r="D2335" s="89" t="n">
        <x:v>45813</x:v>
      </x:c>
      <x:c r="E2335" s="84" t="n">
        <x:v>0.7</x:v>
      </x:c>
      <x:c r="F2335" s="84" t="str">
        <x:v>Normal</x:v>
      </x:c>
      <x:c r="G2335" s="93" t="n">
        <x:v>43</x:v>
      </x:c>
      <x:c r="H2335" s="85" t="str">
        <x:v>Diagnóstico e execução</x:v>
      </x:c>
    </x:row>
    <x:row r="2336">
      <x:c r="A2336" s="83" t="n">
        <x:v>2335</x:v>
      </x:c>
      <x:c r="B2336" s="84" t="n">
        <x:v>1380</x:v>
      </x:c>
      <x:c r="C2336" s="84" t="n">
        <x:v>3</x:v>
      </x:c>
      <x:c r="D2336" s="89" t="n">
        <x:v>45813</x:v>
      </x:c>
      <x:c r="E2336" s="84" t="n">
        <x:v>5.9</x:v>
      </x:c>
      <x:c r="F2336" s="84" t="str">
        <x:v>Normal</x:v>
      </x:c>
      <x:c r="G2336" s="93" t="n">
        <x:v>290.52</x:v>
      </x:c>
      <x:c r="H2336" s="85" t="str">
        <x:v>Diagnóstico e execução</x:v>
      </x:c>
    </x:row>
    <x:row r="2337">
      <x:c r="A2337" s="83" t="n">
        <x:v>2336</x:v>
      </x:c>
      <x:c r="B2337" s="84" t="n">
        <x:v>1380</x:v>
      </x:c>
      <x:c r="C2337" s="84" t="n">
        <x:v>18</x:v>
      </x:c>
      <x:c r="D2337" s="89" t="n">
        <x:v>45813</x:v>
      </x:c>
      <x:c r="E2337" s="84" t="n">
        <x:v>5</x:v>
      </x:c>
      <x:c r="F2337" s="84" t="str">
        <x:v>Normal</x:v>
      </x:c>
      <x:c r="G2337" s="93" t="n">
        <x:v>315.45</x:v>
      </x:c>
      <x:c r="H2337" s="85" t="str">
        <x:v>Diagnóstico e execução</x:v>
      </x:c>
    </x:row>
    <x:row r="2338">
      <x:c r="A2338" s="83" t="n">
        <x:v>2337</x:v>
      </x:c>
      <x:c r="B2338" s="84" t="n">
        <x:v>1381</x:v>
      </x:c>
      <x:c r="C2338" s="84" t="n">
        <x:v>8</x:v>
      </x:c>
      <x:c r="D2338" s="89" t="n">
        <x:v>45813</x:v>
      </x:c>
      <x:c r="E2338" s="84" t="n">
        <x:v>5.2</x:v>
      </x:c>
      <x:c r="F2338" s="84" t="str">
        <x:v>Normal</x:v>
      </x:c>
      <x:c r="G2338" s="93" t="n">
        <x:v>241.8</x:v>
      </x:c>
      <x:c r="H2338" s="85" t="str">
        <x:v>Diagnóstico e execução</x:v>
      </x:c>
    </x:row>
    <x:row r="2339">
      <x:c r="A2339" s="83" t="n">
        <x:v>2338</x:v>
      </x:c>
      <x:c r="B2339" s="84" t="n">
        <x:v>1381</x:v>
      </x:c>
      <x:c r="C2339" s="84" t="n">
        <x:v>4</x:v>
      </x:c>
      <x:c r="D2339" s="89" t="n">
        <x:v>45813</x:v>
      </x:c>
      <x:c r="E2339" s="84" t="n">
        <x:v>1.4</x:v>
      </x:c>
      <x:c r="F2339" s="84" t="str">
        <x:v>Normal</x:v>
      </x:c>
      <x:c r="G2339" s="93" t="n">
        <x:v>68.87</x:v>
      </x:c>
      <x:c r="H2339" s="85" t="str">
        <x:v>Diagnóstico e execução</x:v>
      </x:c>
    </x:row>
    <x:row r="2340">
      <x:c r="A2340" s="83" t="n">
        <x:v>2339</x:v>
      </x:c>
      <x:c r="B2340" s="84" t="n">
        <x:v>1382</x:v>
      </x:c>
      <x:c r="C2340" s="84" t="n">
        <x:v>8</x:v>
      </x:c>
      <x:c r="D2340" s="89" t="n">
        <x:v>45004</x:v>
      </x:c>
      <x:c r="E2340" s="84" t="n">
        <x:v>2.3</x:v>
      </x:c>
      <x:c r="F2340" s="84" t="str">
        <x:v>Normal</x:v>
      </x:c>
      <x:c r="G2340" s="93" t="n">
        <x:v>106.95</x:v>
      </x:c>
      <x:c r="H2340" s="85" t="str">
        <x:v>Diagnóstico e execução</x:v>
      </x:c>
    </x:row>
    <x:row r="2341">
      <x:c r="A2341" s="83" t="n">
        <x:v>2340</x:v>
      </x:c>
      <x:c r="B2341" s="84" t="n">
        <x:v>1382</x:v>
      </x:c>
      <x:c r="C2341" s="84" t="n">
        <x:v>28</x:v>
      </x:c>
      <x:c r="D2341" s="89" t="n">
        <x:v>45004</x:v>
      </x:c>
      <x:c r="E2341" s="84" t="n">
        <x:v>1.1</x:v>
      </x:c>
      <x:c r="F2341" s="84" t="str">
        <x:v>Normal</x:v>
      </x:c>
      <x:c r="G2341" s="93" t="n">
        <x:v>41.38</x:v>
      </x:c>
      <x:c r="H2341" s="85" t="str">
        <x:v>Diagnóstico e execução</x:v>
      </x:c>
    </x:row>
    <x:row r="2342">
      <x:c r="A2342" s="83" t="n">
        <x:v>2341</x:v>
      </x:c>
      <x:c r="B2342" s="84" t="n">
        <x:v>1382</x:v>
      </x:c>
      <x:c r="C2342" s="84" t="n">
        <x:v>20</x:v>
      </x:c>
      <x:c r="D2342" s="89" t="n">
        <x:v>45004</x:v>
      </x:c>
      <x:c r="E2342" s="84" t="n">
        <x:v>1.5</x:v>
      </x:c>
      <x:c r="F2342" s="84" t="str">
        <x:v>Normal</x:v>
      </x:c>
      <x:c r="G2342" s="93" t="n">
        <x:v>50.28</x:v>
      </x:c>
      <x:c r="H2342" s="85" t="str">
        <x:v>Diagnóstico e execução</x:v>
      </x:c>
    </x:row>
    <x:row r="2343">
      <x:c r="A2343" s="83" t="n">
        <x:v>2342</x:v>
      </x:c>
      <x:c r="B2343" s="84" t="n">
        <x:v>1383</x:v>
      </x:c>
      <x:c r="C2343" s="84" t="n">
        <x:v>14</x:v>
      </x:c>
      <x:c r="D2343" s="89" t="n">
        <x:v>45995</x:v>
      </x:c>
      <x:c r="E2343" s="84" t="n">
        <x:v>1.6</x:v>
      </x:c>
      <x:c r="F2343" s="84" t="str">
        <x:v>Normal</x:v>
      </x:c>
      <x:c r="G2343" s="93" t="n">
        <x:v>90.66</x:v>
      </x:c>
      <x:c r="H2343" s="85" t="str">
        <x:v>Diagnóstico e execução</x:v>
      </x:c>
    </x:row>
    <x:row r="2344">
      <x:c r="A2344" s="83" t="n">
        <x:v>2343</x:v>
      </x:c>
      <x:c r="B2344" s="84" t="n">
        <x:v>1385</x:v>
      </x:c>
      <x:c r="C2344" s="84" t="n">
        <x:v>21</x:v>
      </x:c>
      <x:c r="D2344" s="89" t="n">
        <x:v>45595</x:v>
      </x:c>
      <x:c r="E2344" s="84" t="n">
        <x:v>2.5</x:v>
      </x:c>
      <x:c r="F2344" s="84" t="str">
        <x:v>Normal</x:v>
      </x:c>
      <x:c r="G2344" s="93" t="n">
        <x:v>153.57</x:v>
      </x:c>
      <x:c r="H2344" s="85" t="str">
        <x:v>Diagnóstico e execução</x:v>
      </x:c>
    </x:row>
    <x:row r="2345">
      <x:c r="A2345" s="83" t="n">
        <x:v>2344</x:v>
      </x:c>
      <x:c r="B2345" s="84" t="n">
        <x:v>1386</x:v>
      </x:c>
      <x:c r="C2345" s="84" t="n">
        <x:v>24</x:v>
      </x:c>
      <x:c r="D2345" s="89" t="n">
        <x:v>45282</x:v>
      </x:c>
      <x:c r="E2345" s="84" t="n">
        <x:v>5.7</x:v>
      </x:c>
      <x:c r="F2345" s="84" t="str">
        <x:v>Normal</x:v>
      </x:c>
      <x:c r="G2345" s="93" t="n">
        <x:v>337.67</x:v>
      </x:c>
      <x:c r="H2345" s="85" t="str">
        <x:v>Diagnóstico e execução</x:v>
      </x:c>
    </x:row>
    <x:row r="2346">
      <x:c r="A2346" s="83" t="n">
        <x:v>2345</x:v>
      </x:c>
      <x:c r="B2346" s="84" t="n">
        <x:v>1386</x:v>
      </x:c>
      <x:c r="C2346" s="84" t="n">
        <x:v>20</x:v>
      </x:c>
      <x:c r="D2346" s="89" t="n">
        <x:v>45282</x:v>
      </x:c>
      <x:c r="E2346" s="84" t="n">
        <x:v>7.6</x:v>
      </x:c>
      <x:c r="F2346" s="84" t="str">
        <x:v>Normal</x:v>
      </x:c>
      <x:c r="G2346" s="93" t="n">
        <x:v>254.75</x:v>
      </x:c>
      <x:c r="H2346" s="85" t="str">
        <x:v>Diagnóstico e execução</x:v>
      </x:c>
    </x:row>
    <x:row r="2347">
      <x:c r="A2347" s="83" t="n">
        <x:v>2346</x:v>
      </x:c>
      <x:c r="B2347" s="84" t="n">
        <x:v>1387</x:v>
      </x:c>
      <x:c r="C2347" s="84" t="n">
        <x:v>43</x:v>
      </x:c>
      <x:c r="D2347" s="89" t="n">
        <x:v>45895</x:v>
      </x:c>
      <x:c r="E2347" s="84" t="n">
        <x:v>6.1</x:v>
      </x:c>
      <x:c r="F2347" s="84" t="str">
        <x:v>Normal</x:v>
      </x:c>
      <x:c r="G2347" s="93" t="n">
        <x:v>333.43</x:v>
      </x:c>
      <x:c r="H2347" s="85" t="str">
        <x:v>Diagnóstico e execução</x:v>
      </x:c>
    </x:row>
    <x:row r="2348">
      <x:c r="A2348" s="83" t="n">
        <x:v>2347</x:v>
      </x:c>
      <x:c r="B2348" s="84" t="n">
        <x:v>1387</x:v>
      </x:c>
      <x:c r="C2348" s="84" t="n">
        <x:v>8</x:v>
      </x:c>
      <x:c r="D2348" s="89" t="n">
        <x:v>45895</x:v>
      </x:c>
      <x:c r="E2348" s="84" t="n">
        <x:v>3.3</x:v>
      </x:c>
      <x:c r="F2348" s="84" t="str">
        <x:v>Normal</x:v>
      </x:c>
      <x:c r="G2348" s="93" t="n">
        <x:v>153.45</x:v>
      </x:c>
      <x:c r="H2348" s="85" t="str">
        <x:v>Diagnóstico e execução</x:v>
      </x:c>
    </x:row>
    <x:row r="2349">
      <x:c r="A2349" s="83" t="n">
        <x:v>2348</x:v>
      </x:c>
      <x:c r="B2349" s="84" t="n">
        <x:v>1387</x:v>
      </x:c>
      <x:c r="C2349" s="84" t="n">
        <x:v>39</x:v>
      </x:c>
      <x:c r="D2349" s="89" t="n">
        <x:v>45895</x:v>
      </x:c>
      <x:c r="E2349" s="84" t="n">
        <x:v>7.7</x:v>
      </x:c>
      <x:c r="F2349" s="84" t="str">
        <x:v>Normal</x:v>
      </x:c>
      <x:c r="G2349" s="93" t="n">
        <x:v>445.83</x:v>
      </x:c>
      <x:c r="H2349" s="85" t="str">
        <x:v>Diagnóstico e execução</x:v>
      </x:c>
    </x:row>
    <x:row r="2350">
      <x:c r="A2350" s="83" t="n">
        <x:v>2349</x:v>
      </x:c>
      <x:c r="B2350" s="84" t="n">
        <x:v>1388</x:v>
      </x:c>
      <x:c r="C2350" s="84" t="n">
        <x:v>36</x:v>
      </x:c>
      <x:c r="D2350" s="89" t="n">
        <x:v>46009</x:v>
      </x:c>
      <x:c r="E2350" s="84" t="n">
        <x:v>5.6</x:v>
      </x:c>
      <x:c r="F2350" s="84" t="str">
        <x:v>Normal</x:v>
      </x:c>
      <x:c r="G2350" s="93" t="n">
        <x:v>166.1</x:v>
      </x:c>
      <x:c r="H2350" s="85" t="str">
        <x:v>Diagnóstico e execução</x:v>
      </x:c>
    </x:row>
    <x:row r="2351">
      <x:c r="A2351" s="83" t="n">
        <x:v>2350</x:v>
      </x:c>
      <x:c r="B2351" s="84" t="n">
        <x:v>1388</x:v>
      </x:c>
      <x:c r="C2351" s="84" t="n">
        <x:v>27</x:v>
      </x:c>
      <x:c r="D2351" s="89" t="n">
        <x:v>46009</x:v>
      </x:c>
      <x:c r="E2351" s="84" t="n">
        <x:v>6.7</x:v>
      </x:c>
      <x:c r="F2351" s="84" t="str">
        <x:v>Normal</x:v>
      </x:c>
      <x:c r="G2351" s="93" t="n">
        <x:v>408.63</x:v>
      </x:c>
      <x:c r="H2351" s="85" t="str">
        <x:v>Diagnóstico e execução</x:v>
      </x:c>
    </x:row>
    <x:row r="2352">
      <x:c r="A2352" s="83" t="n">
        <x:v>2351</x:v>
      </x:c>
      <x:c r="B2352" s="84" t="n">
        <x:v>1388</x:v>
      </x:c>
      <x:c r="C2352" s="84" t="n">
        <x:v>38</x:v>
      </x:c>
      <x:c r="D2352" s="89" t="n">
        <x:v>46009</x:v>
      </x:c>
      <x:c r="E2352" s="84" t="n">
        <x:v>4</x:v>
      </x:c>
      <x:c r="F2352" s="84" t="str">
        <x:v>Normal</x:v>
      </x:c>
      <x:c r="G2352" s="93" t="n">
        <x:v>134.68</x:v>
      </x:c>
      <x:c r="H2352" s="85" t="str">
        <x:v>Diagnóstico e execução</x:v>
      </x:c>
    </x:row>
    <x:row r="2353">
      <x:c r="A2353" s="83" t="n">
        <x:v>2352</x:v>
      </x:c>
      <x:c r="B2353" s="84" t="n">
        <x:v>1389</x:v>
      </x:c>
      <x:c r="C2353" s="84" t="n">
        <x:v>2</x:v>
      </x:c>
      <x:c r="D2353" s="89" t="n">
        <x:v>45829</x:v>
      </x:c>
      <x:c r="E2353" s="84" t="n">
        <x:v>2.8</x:v>
      </x:c>
      <x:c r="F2353" s="84" t="str">
        <x:v>Normal</x:v>
      </x:c>
      <x:c r="G2353" s="93" t="n">
        <x:v>104.33</x:v>
      </x:c>
      <x:c r="H2353" s="85" t="str">
        <x:v>Diagnóstico e execução</x:v>
      </x:c>
    </x:row>
    <x:row r="2354">
      <x:c r="A2354" s="83" t="n">
        <x:v>2353</x:v>
      </x:c>
      <x:c r="B2354" s="84" t="n">
        <x:v>1390</x:v>
      </x:c>
      <x:c r="C2354" s="84" t="n">
        <x:v>7</x:v>
      </x:c>
      <x:c r="D2354" s="89" t="n">
        <x:v>45988</x:v>
      </x:c>
      <x:c r="E2354" s="84" t="n">
        <x:v>1.5</x:v>
      </x:c>
      <x:c r="F2354" s="84" t="str">
        <x:v>Normal</x:v>
      </x:c>
      <x:c r="G2354" s="93" t="n">
        <x:v>87.31</x:v>
      </x:c>
      <x:c r="H2354" s="85" t="str">
        <x:v>Diagnóstico e execução</x:v>
      </x:c>
    </x:row>
    <x:row r="2355">
      <x:c r="A2355" s="83" t="n">
        <x:v>2354</x:v>
      </x:c>
      <x:c r="B2355" s="84" t="n">
        <x:v>1390</x:v>
      </x:c>
      <x:c r="C2355" s="84" t="n">
        <x:v>45</x:v>
      </x:c>
      <x:c r="D2355" s="89" t="n">
        <x:v>45988</x:v>
      </x:c>
      <x:c r="E2355" s="84" t="n">
        <x:v>7.6</x:v>
      </x:c>
      <x:c r="F2355" s="84" t="str">
        <x:v>Normal</x:v>
      </x:c>
      <x:c r="G2355" s="93" t="n">
        <x:v>407.13</x:v>
      </x:c>
      <x:c r="H2355" s="85" t="str">
        <x:v>Diagnóstico e execução</x:v>
      </x:c>
    </x:row>
    <x:row r="2356">
      <x:c r="A2356" s="83" t="n">
        <x:v>2355</x:v>
      </x:c>
      <x:c r="B2356" s="84" t="n">
        <x:v>1390</x:v>
      </x:c>
      <x:c r="C2356" s="84" t="n">
        <x:v>11</x:v>
      </x:c>
      <x:c r="D2356" s="89" t="n">
        <x:v>45988</x:v>
      </x:c>
      <x:c r="E2356" s="84" t="n">
        <x:v>5.1</x:v>
      </x:c>
      <x:c r="F2356" s="84" t="str">
        <x:v>Normal</x:v>
      </x:c>
      <x:c r="G2356" s="93" t="n">
        <x:v>212.57</x:v>
      </x:c>
      <x:c r="H2356" s="85" t="str">
        <x:v>Diagnóstico e execução</x:v>
      </x:c>
    </x:row>
    <x:row r="2357">
      <x:c r="A2357" s="83" t="n">
        <x:v>2356</x:v>
      </x:c>
      <x:c r="B2357" s="84" t="n">
        <x:v>1392</x:v>
      </x:c>
      <x:c r="C2357" s="84" t="n">
        <x:v>27</x:v>
      </x:c>
      <x:c r="D2357" s="89" t="n">
        <x:v>45548</x:v>
      </x:c>
      <x:c r="E2357" s="84" t="n">
        <x:v>0.7</x:v>
      </x:c>
      <x:c r="F2357" s="84" t="str">
        <x:v>Normal</x:v>
      </x:c>
      <x:c r="G2357" s="93" t="n">
        <x:v>42.69</x:v>
      </x:c>
      <x:c r="H2357" s="85" t="str">
        <x:v>Diagnóstico e execução</x:v>
      </x:c>
    </x:row>
    <x:row r="2358">
      <x:c r="A2358" s="83" t="n">
        <x:v>2357</x:v>
      </x:c>
      <x:c r="B2358" s="84" t="n">
        <x:v>1392</x:v>
      </x:c>
      <x:c r="C2358" s="84" t="n">
        <x:v>12</x:v>
      </x:c>
      <x:c r="D2358" s="89" t="n">
        <x:v>45548</x:v>
      </x:c>
      <x:c r="E2358" s="84" t="n">
        <x:v>4</x:v>
      </x:c>
      <x:c r="F2358" s="84" t="str">
        <x:v>Normal</x:v>
      </x:c>
      <x:c r="G2358" s="93" t="n">
        <x:v>138</x:v>
      </x:c>
      <x:c r="H2358" s="85" t="str">
        <x:v>Diagnóstico e execução</x:v>
      </x:c>
    </x:row>
    <x:row r="2359">
      <x:c r="A2359" s="83" t="n">
        <x:v>2358</x:v>
      </x:c>
      <x:c r="B2359" s="84" t="n">
        <x:v>1393</x:v>
      </x:c>
      <x:c r="C2359" s="84" t="n">
        <x:v>18</x:v>
      </x:c>
      <x:c r="D2359" s="89" t="n">
        <x:v>45309</x:v>
      </x:c>
      <x:c r="E2359" s="84" t="n">
        <x:v>6.6</x:v>
      </x:c>
      <x:c r="F2359" s="84" t="str">
        <x:v>Normal</x:v>
      </x:c>
      <x:c r="G2359" s="93" t="n">
        <x:v>416.39</x:v>
      </x:c>
      <x:c r="H2359" s="85" t="str">
        <x:v>Diagnóstico e execução</x:v>
      </x:c>
    </x:row>
    <x:row r="2360">
      <x:c r="A2360" s="83" t="n">
        <x:v>2359</x:v>
      </x:c>
      <x:c r="B2360" s="84" t="n">
        <x:v>1394</x:v>
      </x:c>
      <x:c r="C2360" s="84" t="n">
        <x:v>27</x:v>
      </x:c>
      <x:c r="D2360" s="89" t="n">
        <x:v>45017</x:v>
      </x:c>
      <x:c r="E2360" s="84" t="n">
        <x:v>6.8</x:v>
      </x:c>
      <x:c r="F2360" s="84" t="str">
        <x:v>Normal</x:v>
      </x:c>
      <x:c r="G2360" s="93" t="n">
        <x:v>414.73</x:v>
      </x:c>
      <x:c r="H2360" s="85" t="str">
        <x:v>Diagnóstico e execução</x:v>
      </x:c>
    </x:row>
    <x:row r="2361">
      <x:c r="A2361" s="83" t="n">
        <x:v>2360</x:v>
      </x:c>
      <x:c r="B2361" s="84" t="n">
        <x:v>1395</x:v>
      </x:c>
      <x:c r="C2361" s="84" t="n">
        <x:v>16</x:v>
      </x:c>
      <x:c r="D2361" s="89" t="n">
        <x:v>45314</x:v>
      </x:c>
      <x:c r="E2361" s="84" t="n">
        <x:v>6.6</x:v>
      </x:c>
      <x:c r="F2361" s="84" t="str">
        <x:v>Normal</x:v>
      </x:c>
      <x:c r="G2361" s="93" t="n">
        <x:v>267.43</x:v>
      </x:c>
      <x:c r="H2361" s="85" t="str">
        <x:v>Diagnóstico e execução</x:v>
      </x:c>
    </x:row>
    <x:row r="2362">
      <x:c r="A2362" s="83" t="n">
        <x:v>2361</x:v>
      </x:c>
      <x:c r="B2362" s="84" t="n">
        <x:v>1395</x:v>
      </x:c>
      <x:c r="C2362" s="84" t="n">
        <x:v>7</x:v>
      </x:c>
      <x:c r="D2362" s="89" t="n">
        <x:v>45314</x:v>
      </x:c>
      <x:c r="E2362" s="84" t="n">
        <x:v>1.3</x:v>
      </x:c>
      <x:c r="F2362" s="84" t="str">
        <x:v>Normal</x:v>
      </x:c>
      <x:c r="G2362" s="93" t="n">
        <x:v>75.67</x:v>
      </x:c>
      <x:c r="H2362" s="85" t="str">
        <x:v>Diagnóstico e execução</x:v>
      </x:c>
    </x:row>
    <x:row r="2363">
      <x:c r="A2363" s="83" t="n">
        <x:v>2362</x:v>
      </x:c>
      <x:c r="B2363" s="84" t="n">
        <x:v>1395</x:v>
      </x:c>
      <x:c r="C2363" s="84" t="n">
        <x:v>36</x:v>
      </x:c>
      <x:c r="D2363" s="89" t="n">
        <x:v>45314</x:v>
      </x:c>
      <x:c r="E2363" s="84" t="n">
        <x:v>7.2</x:v>
      </x:c>
      <x:c r="F2363" s="84" t="str">
        <x:v>Normal</x:v>
      </x:c>
      <x:c r="G2363" s="93" t="n">
        <x:v>213.55</x:v>
      </x:c>
      <x:c r="H2363" s="85" t="str">
        <x:v>Diagnóstico e execução</x:v>
      </x:c>
    </x:row>
    <x:row r="2364">
      <x:c r="A2364" s="83" t="n">
        <x:v>2363</x:v>
      </x:c>
      <x:c r="B2364" s="84" t="n">
        <x:v>1396</x:v>
      </x:c>
      <x:c r="C2364" s="84" t="n">
        <x:v>39</x:v>
      </x:c>
      <x:c r="D2364" s="89" t="n">
        <x:v>45068</x:v>
      </x:c>
      <x:c r="E2364" s="84" t="n">
        <x:v>3.9</x:v>
      </x:c>
      <x:c r="F2364" s="84" t="str">
        <x:v>Normal</x:v>
      </x:c>
      <x:c r="G2364" s="93" t="n">
        <x:v>225.81</x:v>
      </x:c>
      <x:c r="H2364" s="85" t="str">
        <x:v>Diagnóstico e execução</x:v>
      </x:c>
    </x:row>
    <x:row r="2365">
      <x:c r="A2365" s="83" t="n">
        <x:v>2364</x:v>
      </x:c>
      <x:c r="B2365" s="84" t="n">
        <x:v>1396</x:v>
      </x:c>
      <x:c r="C2365" s="84" t="n">
        <x:v>16</x:v>
      </x:c>
      <x:c r="D2365" s="89" t="n">
        <x:v>45068</x:v>
      </x:c>
      <x:c r="E2365" s="84" t="n">
        <x:v>6.9</x:v>
      </x:c>
      <x:c r="F2365" s="84" t="str">
        <x:v>Normal</x:v>
      </x:c>
      <x:c r="G2365" s="93" t="n">
        <x:v>279.59</x:v>
      </x:c>
      <x:c r="H2365" s="85" t="str">
        <x:v>Diagnóstico e execução</x:v>
      </x:c>
    </x:row>
    <x:row r="2366">
      <x:c r="A2366" s="83" t="n">
        <x:v>2365</x:v>
      </x:c>
      <x:c r="B2366" s="84" t="n">
        <x:v>1396</x:v>
      </x:c>
      <x:c r="C2366" s="84" t="n">
        <x:v>32</x:v>
      </x:c>
      <x:c r="D2366" s="89" t="n">
        <x:v>45068</x:v>
      </x:c>
      <x:c r="E2366" s="84" t="n">
        <x:v>4.3</x:v>
      </x:c>
      <x:c r="F2366" s="84" t="str">
        <x:v>Normal</x:v>
      </x:c>
      <x:c r="G2366" s="93" t="n">
        <x:v>187.69</x:v>
      </x:c>
      <x:c r="H2366" s="85" t="str">
        <x:v>Diagnóstico e execução</x:v>
      </x:c>
    </x:row>
    <x:row r="2367">
      <x:c r="A2367" s="83" t="n">
        <x:v>2366</x:v>
      </x:c>
      <x:c r="B2367" s="84" t="n">
        <x:v>1397</x:v>
      </x:c>
      <x:c r="C2367" s="84" t="n">
        <x:v>37</x:v>
      </x:c>
      <x:c r="D2367" s="89" t="n">
        <x:v>45089</x:v>
      </x:c>
      <x:c r="E2367" s="84" t="n">
        <x:v>7.9</x:v>
      </x:c>
      <x:c r="F2367" s="84" t="str">
        <x:v>Normal</x:v>
      </x:c>
      <x:c r="G2367" s="93" t="n">
        <x:v>465.86</x:v>
      </x:c>
      <x:c r="H2367" s="85" t="str">
        <x:v>Diagnóstico e execução</x:v>
      </x:c>
    </x:row>
    <x:row r="2368">
      <x:c r="A2368" s="83" t="n">
        <x:v>2367</x:v>
      </x:c>
      <x:c r="B2368" s="84" t="n">
        <x:v>1398</x:v>
      </x:c>
      <x:c r="C2368" s="84" t="n">
        <x:v>19</x:v>
      </x:c>
      <x:c r="D2368" s="89" t="n">
        <x:v>44939</x:v>
      </x:c>
      <x:c r="E2368" s="84" t="n">
        <x:v>6.3</x:v>
      </x:c>
      <x:c r="F2368" s="84" t="str">
        <x:v>Normal</x:v>
      </x:c>
      <x:c r="G2368" s="93" t="n">
        <x:v>292.82</x:v>
      </x:c>
      <x:c r="H2368" s="85" t="str">
        <x:v>Diagnóstico e execução</x:v>
      </x:c>
    </x:row>
    <x:row r="2369">
      <x:c r="A2369" s="83" t="n">
        <x:v>2368</x:v>
      </x:c>
      <x:c r="B2369" s="84" t="n">
        <x:v>1398</x:v>
      </x:c>
      <x:c r="C2369" s="84" t="n">
        <x:v>32</x:v>
      </x:c>
      <x:c r="D2369" s="89" t="n">
        <x:v>44939</x:v>
      </x:c>
      <x:c r="E2369" s="84" t="n">
        <x:v>6.4</x:v>
      </x:c>
      <x:c r="F2369" s="84" t="str">
        <x:v>Normal</x:v>
      </x:c>
      <x:c r="G2369" s="93" t="n">
        <x:v>279.36</x:v>
      </x:c>
      <x:c r="H2369" s="85" t="str">
        <x:v>Diagnóstico e execução</x:v>
      </x:c>
    </x:row>
    <x:row r="2370">
      <x:c r="A2370" s="83" t="n">
        <x:v>2369</x:v>
      </x:c>
      <x:c r="B2370" s="84" t="n">
        <x:v>1398</x:v>
      </x:c>
      <x:c r="C2370" s="84" t="n">
        <x:v>22</x:v>
      </x:c>
      <x:c r="D2370" s="89" t="n">
        <x:v>44939</x:v>
      </x:c>
      <x:c r="E2370" s="84" t="n">
        <x:v>7.7</x:v>
      </x:c>
      <x:c r="F2370" s="84" t="str">
        <x:v>Normal</x:v>
      </x:c>
      <x:c r="G2370" s="93" t="n">
        <x:v>296.14</x:v>
      </x:c>
      <x:c r="H2370" s="85" t="str">
        <x:v>Diagnóstico e execução</x:v>
      </x:c>
    </x:row>
    <x:row r="2371">
      <x:c r="A2371" s="83" t="n">
        <x:v>2370</x:v>
      </x:c>
      <x:c r="B2371" s="84" t="n">
        <x:v>1399</x:v>
      </x:c>
      <x:c r="C2371" s="84" t="n">
        <x:v>43</x:v>
      </x:c>
      <x:c r="D2371" s="89" t="n">
        <x:v>45915</x:v>
      </x:c>
      <x:c r="E2371" s="84" t="n">
        <x:v>7.5</x:v>
      </x:c>
      <x:c r="F2371" s="84" t="str">
        <x:v>Normal</x:v>
      </x:c>
      <x:c r="G2371" s="93" t="n">
        <x:v>409.95</x:v>
      </x:c>
      <x:c r="H2371" s="85" t="str">
        <x:v>Diagnóstico e execução</x:v>
      </x:c>
    </x:row>
    <x:row r="2372">
      <x:c r="A2372" s="83" t="n">
        <x:v>2371</x:v>
      </x:c>
      <x:c r="B2372" s="84" t="n">
        <x:v>1399</x:v>
      </x:c>
      <x:c r="C2372" s="84" t="n">
        <x:v>16</x:v>
      </x:c>
      <x:c r="D2372" s="89" t="n">
        <x:v>45915</x:v>
      </x:c>
      <x:c r="E2372" s="84" t="n">
        <x:v>1.1</x:v>
      </x:c>
      <x:c r="F2372" s="84" t="str">
        <x:v>Normal</x:v>
      </x:c>
      <x:c r="G2372" s="93" t="n">
        <x:v>44.57</x:v>
      </x:c>
      <x:c r="H2372" s="85" t="str">
        <x:v>Diagnóstico e execução</x:v>
      </x:c>
    </x:row>
    <x:row r="2373">
      <x:c r="A2373" s="83" t="n">
        <x:v>2372</x:v>
      </x:c>
      <x:c r="B2373" s="84" t="n">
        <x:v>1400</x:v>
      </x:c>
      <x:c r="C2373" s="84" t="n">
        <x:v>21</x:v>
      </x:c>
      <x:c r="D2373" s="89" t="n">
        <x:v>45100</x:v>
      </x:c>
      <x:c r="E2373" s="84" t="n">
        <x:v>1.8</x:v>
      </x:c>
      <x:c r="F2373" s="84" t="str">
        <x:v>Normal</x:v>
      </x:c>
      <x:c r="G2373" s="93" t="n">
        <x:v>110.57</x:v>
      </x:c>
      <x:c r="H2373" s="85" t="str">
        <x:v>Diagnóstico e execução</x:v>
      </x:c>
    </x:row>
    <x:row r="2374">
      <x:c r="A2374" s="83" t="n">
        <x:v>2373</x:v>
      </x:c>
      <x:c r="B2374" s="84" t="n">
        <x:v>1400</x:v>
      </x:c>
      <x:c r="C2374" s="84" t="n">
        <x:v>40</x:v>
      </x:c>
      <x:c r="D2374" s="89" t="n">
        <x:v>45100</x:v>
      </x:c>
      <x:c r="E2374" s="84" t="n">
        <x:v>7.7</x:v>
      </x:c>
      <x:c r="F2374" s="84" t="str">
        <x:v>Normal</x:v>
      </x:c>
      <x:c r="G2374" s="93" t="n">
        <x:v>380.53</x:v>
      </x:c>
      <x:c r="H2374" s="85" t="str">
        <x:v>Diagnóstico e execução</x:v>
      </x:c>
    </x:row>
    <x:row r="2375">
      <x:c r="A2375" s="83" t="n">
        <x:v>2374</x:v>
      </x:c>
      <x:c r="B2375" s="84" t="n">
        <x:v>1404</x:v>
      </x:c>
      <x:c r="C2375" s="84" t="n">
        <x:v>7</x:v>
      </x:c>
      <x:c r="D2375" s="89" t="n">
        <x:v>45581</x:v>
      </x:c>
      <x:c r="E2375" s="84" t="n">
        <x:v>5.9</x:v>
      </x:c>
      <x:c r="F2375" s="84" t="str">
        <x:v>Normal</x:v>
      </x:c>
      <x:c r="G2375" s="93" t="n">
        <x:v>343.44</x:v>
      </x:c>
      <x:c r="H2375" s="85" t="str">
        <x:v>Diagnóstico e execução</x:v>
      </x:c>
    </x:row>
    <x:row r="2376">
      <x:c r="A2376" s="83" t="n">
        <x:v>2375</x:v>
      </x:c>
      <x:c r="B2376" s="84" t="n">
        <x:v>1404</x:v>
      </x:c>
      <x:c r="C2376" s="84" t="n">
        <x:v>29</x:v>
      </x:c>
      <x:c r="D2376" s="89" t="n">
        <x:v>45581</x:v>
      </x:c>
      <x:c r="E2376" s="84" t="n">
        <x:v>4</x:v>
      </x:c>
      <x:c r="F2376" s="84" t="str">
        <x:v>Normal</x:v>
      </x:c>
      <x:c r="G2376" s="93" t="n">
        <x:v>198.08</x:v>
      </x:c>
      <x:c r="H2376" s="85" t="str">
        <x:v>Diagnóstico e execução</x:v>
      </x:c>
    </x:row>
    <x:row r="2377">
      <x:c r="A2377" s="83" t="n">
        <x:v>2376</x:v>
      </x:c>
      <x:c r="B2377" s="84" t="n">
        <x:v>1404</x:v>
      </x:c>
      <x:c r="C2377" s="84" t="n">
        <x:v>36</x:v>
      </x:c>
      <x:c r="D2377" s="89" t="n">
        <x:v>45581</x:v>
      </x:c>
      <x:c r="E2377" s="84" t="n">
        <x:v>4.6</x:v>
      </x:c>
      <x:c r="F2377" s="84" t="str">
        <x:v>Normal</x:v>
      </x:c>
      <x:c r="G2377" s="93" t="n">
        <x:v>136.44</x:v>
      </x:c>
      <x:c r="H2377" s="85" t="str">
        <x:v>Diagnóstico e execução</x:v>
      </x:c>
    </x:row>
    <x:row r="2378">
      <x:c r="A2378" s="83" t="n">
        <x:v>2377</x:v>
      </x:c>
      <x:c r="B2378" s="84" t="n">
        <x:v>1405</x:v>
      </x:c>
      <x:c r="C2378" s="84" t="n">
        <x:v>10</x:v>
      </x:c>
      <x:c r="D2378" s="89" t="n">
        <x:v>44945</x:v>
      </x:c>
      <x:c r="E2378" s="84" t="n">
        <x:v>3.6</x:v>
      </x:c>
      <x:c r="F2378" s="84" t="str">
        <x:v>Normal</x:v>
      </x:c>
      <x:c r="G2378" s="93" t="n">
        <x:v>106.88</x:v>
      </x:c>
      <x:c r="H2378" s="85" t="str">
        <x:v>Diagnóstico e execução</x:v>
      </x:c>
    </x:row>
    <x:row r="2379">
      <x:c r="A2379" s="83" t="n">
        <x:v>2378</x:v>
      </x:c>
      <x:c r="B2379" s="84" t="n">
        <x:v>1405</x:v>
      </x:c>
      <x:c r="C2379" s="84" t="n">
        <x:v>15</x:v>
      </x:c>
      <x:c r="D2379" s="89" t="n">
        <x:v>44945</x:v>
      </x:c>
      <x:c r="E2379" s="84" t="n">
        <x:v>0.6</x:v>
      </x:c>
      <x:c r="F2379" s="84" t="str">
        <x:v>Normal</x:v>
      </x:c>
      <x:c r="G2379" s="93" t="n">
        <x:v>18.14</x:v>
      </x:c>
      <x:c r="H2379" s="85" t="str">
        <x:v>Diagnóstico e execução</x:v>
      </x:c>
    </x:row>
    <x:row r="2380">
      <x:c r="A2380" s="83" t="n">
        <x:v>2379</x:v>
      </x:c>
      <x:c r="B2380" s="84" t="n">
        <x:v>1406</x:v>
      </x:c>
      <x:c r="C2380" s="84" t="n">
        <x:v>42</x:v>
      </x:c>
      <x:c r="D2380" s="89" t="n">
        <x:v>45144</x:v>
      </x:c>
      <x:c r="E2380" s="84" t="n">
        <x:v>4.3</x:v>
      </x:c>
      <x:c r="F2380" s="84" t="str">
        <x:v>Normal</x:v>
      </x:c>
      <x:c r="G2380" s="93" t="n">
        <x:v>181.37</x:v>
      </x:c>
      <x:c r="H2380" s="85" t="str">
        <x:v>Diagnóstico e execução</x:v>
      </x:c>
    </x:row>
    <x:row r="2381">
      <x:c r="A2381" s="83" t="n">
        <x:v>2380</x:v>
      </x:c>
      <x:c r="B2381" s="84" t="n">
        <x:v>1406</x:v>
      </x:c>
      <x:c r="C2381" s="84" t="n">
        <x:v>35</x:v>
      </x:c>
      <x:c r="D2381" s="89" t="n">
        <x:v>45144</x:v>
      </x:c>
      <x:c r="E2381" s="84" t="n">
        <x:v>2.8</x:v>
      </x:c>
      <x:c r="F2381" s="84" t="str">
        <x:v>Normal</x:v>
      </x:c>
      <x:c r="G2381" s="93" t="n">
        <x:v>137.73</x:v>
      </x:c>
      <x:c r="H2381" s="85" t="str">
        <x:v>Diagnóstico e execução</x:v>
      </x:c>
    </x:row>
    <x:row r="2382">
      <x:c r="A2382" s="83" t="n">
        <x:v>2381</x:v>
      </x:c>
      <x:c r="B2382" s="84" t="n">
        <x:v>1407</x:v>
      </x:c>
      <x:c r="C2382" s="84" t="n">
        <x:v>38</x:v>
      </x:c>
      <x:c r="D2382" s="89" t="n">
        <x:v>45384</x:v>
      </x:c>
      <x:c r="E2382" s="84" t="n">
        <x:v>7.6</x:v>
      </x:c>
      <x:c r="F2382" s="84" t="str">
        <x:v>Normal</x:v>
      </x:c>
      <x:c r="G2382" s="93" t="n">
        <x:v>255.89</x:v>
      </x:c>
      <x:c r="H2382" s="85" t="str">
        <x:v>Diagnóstico e execução</x:v>
      </x:c>
    </x:row>
    <x:row r="2383">
      <x:c r="A2383" s="83" t="n">
        <x:v>2382</x:v>
      </x:c>
      <x:c r="B2383" s="84" t="n">
        <x:v>1407</x:v>
      </x:c>
      <x:c r="C2383" s="84" t="n">
        <x:v>3</x:v>
      </x:c>
      <x:c r="D2383" s="89" t="n">
        <x:v>45384</x:v>
      </x:c>
      <x:c r="E2383" s="84" t="n">
        <x:v>1.7</x:v>
      </x:c>
      <x:c r="F2383" s="84" t="str">
        <x:v>Normal</x:v>
      </x:c>
      <x:c r="G2383" s="93" t="n">
        <x:v>83.71</x:v>
      </x:c>
      <x:c r="H2383" s="85" t="str">
        <x:v>Diagnóstico e execução</x:v>
      </x:c>
    </x:row>
    <x:row r="2384">
      <x:c r="A2384" s="83" t="n">
        <x:v>2383</x:v>
      </x:c>
      <x:c r="B2384" s="84" t="n">
        <x:v>1408</x:v>
      </x:c>
      <x:c r="C2384" s="84" t="n">
        <x:v>33</x:v>
      </x:c>
      <x:c r="D2384" s="89" t="n">
        <x:v>44943</x:v>
      </x:c>
      <x:c r="E2384" s="84" t="n">
        <x:v>3.1</x:v>
      </x:c>
      <x:c r="F2384" s="84" t="str">
        <x:v>Normal</x:v>
      </x:c>
      <x:c r="G2384" s="93" t="n">
        <x:v>106.92</x:v>
      </x:c>
      <x:c r="H2384" s="85" t="str">
        <x:v>Diagnóstico e execução</x:v>
      </x:c>
    </x:row>
    <x:row r="2385">
      <x:c r="A2385" s="83" t="n">
        <x:v>2384</x:v>
      </x:c>
      <x:c r="B2385" s="84" t="n">
        <x:v>1409</x:v>
      </x:c>
      <x:c r="C2385" s="84" t="n">
        <x:v>36</x:v>
      </x:c>
      <x:c r="D2385" s="89" t="n">
        <x:v>45764</x:v>
      </x:c>
      <x:c r="E2385" s="84" t="n">
        <x:v>5.3</x:v>
      </x:c>
      <x:c r="F2385" s="84" t="str">
        <x:v>Normal</x:v>
      </x:c>
      <x:c r="G2385" s="93" t="n">
        <x:v>157.2</x:v>
      </x:c>
      <x:c r="H2385" s="85" t="str">
        <x:v>Diagnóstico e execução</x:v>
      </x:c>
    </x:row>
    <x:row r="2386">
      <x:c r="A2386" s="83" t="n">
        <x:v>2385</x:v>
      </x:c>
      <x:c r="B2386" s="84" t="n">
        <x:v>1409</x:v>
      </x:c>
      <x:c r="C2386" s="84" t="n">
        <x:v>42</x:v>
      </x:c>
      <x:c r="D2386" s="89" t="n">
        <x:v>45764</x:v>
      </x:c>
      <x:c r="E2386" s="84" t="n">
        <x:v>5.1</x:v>
      </x:c>
      <x:c r="F2386" s="84" t="str">
        <x:v>Normal</x:v>
      </x:c>
      <x:c r="G2386" s="93" t="n">
        <x:v>215.12</x:v>
      </x:c>
      <x:c r="H2386" s="85" t="str">
        <x:v>Diagnóstico e execução</x:v>
      </x:c>
    </x:row>
    <x:row r="2387">
      <x:c r="A2387" s="83" t="n">
        <x:v>2386</x:v>
      </x:c>
      <x:c r="B2387" s="84" t="n">
        <x:v>1409</x:v>
      </x:c>
      <x:c r="C2387" s="84" t="n">
        <x:v>42</x:v>
      </x:c>
      <x:c r="D2387" s="89" t="n">
        <x:v>45764</x:v>
      </x:c>
      <x:c r="E2387" s="84" t="n">
        <x:v>6.6</x:v>
      </x:c>
      <x:c r="F2387" s="84" t="str">
        <x:v>Normal</x:v>
      </x:c>
      <x:c r="G2387" s="93" t="n">
        <x:v>278.39</x:v>
      </x:c>
      <x:c r="H2387" s="85" t="str">
        <x:v>Diagnóstico e execução</x:v>
      </x:c>
    </x:row>
    <x:row r="2388">
      <x:c r="A2388" s="83" t="n">
        <x:v>2387</x:v>
      </x:c>
      <x:c r="B2388" s="84" t="n">
        <x:v>1410</x:v>
      </x:c>
      <x:c r="C2388" s="84" t="n">
        <x:v>6</x:v>
      </x:c>
      <x:c r="D2388" s="89" t="n">
        <x:v>45494</x:v>
      </x:c>
      <x:c r="E2388" s="84" t="n">
        <x:v>6.4</x:v>
      </x:c>
      <x:c r="F2388" s="84" t="str">
        <x:v>Normal</x:v>
      </x:c>
      <x:c r="G2388" s="93" t="n">
        <x:v>334.46</x:v>
      </x:c>
      <x:c r="H2388" s="85" t="str">
        <x:v>Diagnóstico e execução</x:v>
      </x:c>
    </x:row>
    <x:row r="2389">
      <x:c r="A2389" s="83" t="n">
        <x:v>2388</x:v>
      </x:c>
      <x:c r="B2389" s="84" t="n">
        <x:v>1410</x:v>
      </x:c>
      <x:c r="C2389" s="84" t="n">
        <x:v>19</x:v>
      </x:c>
      <x:c r="D2389" s="89" t="n">
        <x:v>45494</x:v>
      </x:c>
      <x:c r="E2389" s="84" t="n">
        <x:v>5.6</x:v>
      </x:c>
      <x:c r="F2389" s="84" t="str">
        <x:v>Normal</x:v>
      </x:c>
      <x:c r="G2389" s="93" t="n">
        <x:v>260.29</x:v>
      </x:c>
      <x:c r="H2389" s="85" t="str">
        <x:v>Diagnóstico e execução</x:v>
      </x:c>
    </x:row>
    <x:row r="2390">
      <x:c r="A2390" s="83" t="n">
        <x:v>2389</x:v>
      </x:c>
      <x:c r="B2390" s="84" t="n">
        <x:v>1410</x:v>
      </x:c>
      <x:c r="C2390" s="84" t="n">
        <x:v>5</x:v>
      </x:c>
      <x:c r="D2390" s="89" t="n">
        <x:v>45494</x:v>
      </x:c>
      <x:c r="E2390" s="84" t="n">
        <x:v>3.4</x:v>
      </x:c>
      <x:c r="F2390" s="84" t="str">
        <x:v>Normal</x:v>
      </x:c>
      <x:c r="G2390" s="93" t="n">
        <x:v>97.99</x:v>
      </x:c>
      <x:c r="H2390" s="85" t="str">
        <x:v>Diagnóstico e execução</x:v>
      </x:c>
    </x:row>
    <x:row r="2391">
      <x:c r="A2391" s="83" t="n">
        <x:v>2390</x:v>
      </x:c>
      <x:c r="B2391" s="84" t="n">
        <x:v>1411</x:v>
      </x:c>
      <x:c r="C2391" s="84" t="n">
        <x:v>6</x:v>
      </x:c>
      <x:c r="D2391" s="89" t="n">
        <x:v>45875</x:v>
      </x:c>
      <x:c r="E2391" s="84" t="n">
        <x:v>4.1</x:v>
      </x:c>
      <x:c r="F2391" s="84" t="str">
        <x:v>Normal</x:v>
      </x:c>
      <x:c r="G2391" s="93" t="n">
        <x:v>214.27</x:v>
      </x:c>
      <x:c r="H2391" s="85" t="str">
        <x:v>Diagnóstico e execução</x:v>
      </x:c>
    </x:row>
    <x:row r="2392">
      <x:c r="A2392" s="83" t="n">
        <x:v>2391</x:v>
      </x:c>
      <x:c r="B2392" s="84" t="n">
        <x:v>1411</x:v>
      </x:c>
      <x:c r="C2392" s="84" t="n">
        <x:v>45</x:v>
      </x:c>
      <x:c r="D2392" s="89" t="n">
        <x:v>45875</x:v>
      </x:c>
      <x:c r="E2392" s="84" t="n">
        <x:v>2.5</x:v>
      </x:c>
      <x:c r="F2392" s="84" t="str">
        <x:v>Normal</x:v>
      </x:c>
      <x:c r="G2392" s="93" t="n">
        <x:v>133.93</x:v>
      </x:c>
      <x:c r="H2392" s="85" t="str">
        <x:v>Diagnóstico e execução</x:v>
      </x:c>
    </x:row>
    <x:row r="2393">
      <x:c r="A2393" s="83" t="n">
        <x:v>2392</x:v>
      </x:c>
      <x:c r="B2393" s="84" t="n">
        <x:v>1411</x:v>
      </x:c>
      <x:c r="C2393" s="84" t="n">
        <x:v>31</x:v>
      </x:c>
      <x:c r="D2393" s="89" t="n">
        <x:v>45875</x:v>
      </x:c>
      <x:c r="E2393" s="84" t="n">
        <x:v>7.1</x:v>
      </x:c>
      <x:c r="F2393" s="84" t="str">
        <x:v>Normal</x:v>
      </x:c>
      <x:c r="G2393" s="93" t="n">
        <x:v>347.19</x:v>
      </x:c>
      <x:c r="H2393" s="85" t="str">
        <x:v>Diagnóstico e execução</x:v>
      </x:c>
    </x:row>
    <x:row r="2394">
      <x:c r="A2394" s="83" t="n">
        <x:v>2393</x:v>
      </x:c>
      <x:c r="B2394" s="84" t="n">
        <x:v>1412</x:v>
      </x:c>
      <x:c r="C2394" s="84" t="n">
        <x:v>6</x:v>
      </x:c>
      <x:c r="D2394" s="89" t="n">
        <x:v>45217</x:v>
      </x:c>
      <x:c r="E2394" s="84" t="n">
        <x:v>4</x:v>
      </x:c>
      <x:c r="F2394" s="84" t="str">
        <x:v>Normal</x:v>
      </x:c>
      <x:c r="G2394" s="93" t="n">
        <x:v>209.04</x:v>
      </x:c>
      <x:c r="H2394" s="85" t="str">
        <x:v>Diagnóstico e execução</x:v>
      </x:c>
    </x:row>
    <x:row r="2395">
      <x:c r="A2395" s="83" t="n">
        <x:v>2394</x:v>
      </x:c>
      <x:c r="B2395" s="84" t="n">
        <x:v>1413</x:v>
      </x:c>
      <x:c r="C2395" s="84" t="n">
        <x:v>13</x:v>
      </x:c>
      <x:c r="D2395" s="89" t="n">
        <x:v>45705</x:v>
      </x:c>
      <x:c r="E2395" s="84" t="n">
        <x:v>4.3</x:v>
      </x:c>
      <x:c r="F2395" s="84" t="str">
        <x:v>Normal</x:v>
      </x:c>
      <x:c r="G2395" s="93" t="n">
        <x:v>145.68</x:v>
      </x:c>
      <x:c r="H2395" s="85" t="str">
        <x:v>Diagnóstico e execução</x:v>
      </x:c>
    </x:row>
    <x:row r="2396">
      <x:c r="A2396" s="83" t="n">
        <x:v>2395</x:v>
      </x:c>
      <x:c r="B2396" s="84" t="n">
        <x:v>1413</x:v>
      </x:c>
      <x:c r="C2396" s="84" t="n">
        <x:v>8</x:v>
      </x:c>
      <x:c r="D2396" s="89" t="n">
        <x:v>45705</x:v>
      </x:c>
      <x:c r="E2396" s="84" t="n">
        <x:v>2.2</x:v>
      </x:c>
      <x:c r="F2396" s="84" t="str">
        <x:v>Normal</x:v>
      </x:c>
      <x:c r="G2396" s="93" t="n">
        <x:v>102.3</x:v>
      </x:c>
      <x:c r="H2396" s="85" t="str">
        <x:v>Diagnóstico e execução</x:v>
      </x:c>
    </x:row>
    <x:row r="2397">
      <x:c r="A2397" s="83" t="n">
        <x:v>2396</x:v>
      </x:c>
      <x:c r="B2397" s="84" t="n">
        <x:v>1414</x:v>
      </x:c>
      <x:c r="C2397" s="84" t="n">
        <x:v>15</x:v>
      </x:c>
      <x:c r="D2397" s="89" t="n">
        <x:v>45269</x:v>
      </x:c>
      <x:c r="E2397" s="84" t="n">
        <x:v>2.8</x:v>
      </x:c>
      <x:c r="F2397" s="84" t="str">
        <x:v>Normal</x:v>
      </x:c>
      <x:c r="G2397" s="93" t="n">
        <x:v>84.67</x:v>
      </x:c>
      <x:c r="H2397" s="85" t="str">
        <x:v>Diagnóstico e execução</x:v>
      </x:c>
    </x:row>
    <x:row r="2398">
      <x:c r="A2398" s="83" t="n">
        <x:v>2397</x:v>
      </x:c>
      <x:c r="B2398" s="84" t="n">
        <x:v>1414</x:v>
      </x:c>
      <x:c r="C2398" s="84" t="n">
        <x:v>41</x:v>
      </x:c>
      <x:c r="D2398" s="89" t="n">
        <x:v>45269</x:v>
      </x:c>
      <x:c r="E2398" s="84" t="n">
        <x:v>1.7</x:v>
      </x:c>
      <x:c r="F2398" s="84" t="str">
        <x:v>Normal</x:v>
      </x:c>
      <x:c r="G2398" s="93" t="n">
        <x:v>85.99</x:v>
      </x:c>
      <x:c r="H2398" s="85" t="str">
        <x:v>Diagnóstico e execução</x:v>
      </x:c>
    </x:row>
    <x:row r="2399">
      <x:c r="A2399" s="83" t="n">
        <x:v>2398</x:v>
      </x:c>
      <x:c r="B2399" s="84" t="n">
        <x:v>1414</x:v>
      </x:c>
      <x:c r="C2399" s="84" t="n">
        <x:v>8</x:v>
      </x:c>
      <x:c r="D2399" s="89" t="n">
        <x:v>45269</x:v>
      </x:c>
      <x:c r="E2399" s="84" t="n">
        <x:v>7.8</x:v>
      </x:c>
      <x:c r="F2399" s="84" t="str">
        <x:v>Normal</x:v>
      </x:c>
      <x:c r="G2399" s="93" t="n">
        <x:v>362.7</x:v>
      </x:c>
      <x:c r="H2399" s="85" t="str">
        <x:v>Diagnóstico e execução</x:v>
      </x:c>
    </x:row>
    <x:row r="2400">
      <x:c r="A2400" s="83" t="n">
        <x:v>2399</x:v>
      </x:c>
      <x:c r="B2400" s="84" t="n">
        <x:v>1415</x:v>
      </x:c>
      <x:c r="C2400" s="84" t="n">
        <x:v>15</x:v>
      </x:c>
      <x:c r="D2400" s="89" t="n">
        <x:v>45374</x:v>
      </x:c>
      <x:c r="E2400" s="84" t="n">
        <x:v>2.5</x:v>
      </x:c>
      <x:c r="F2400" s="84" t="str">
        <x:v>Normal</x:v>
      </x:c>
      <x:c r="G2400" s="93" t="n">
        <x:v>75.6</x:v>
      </x:c>
      <x:c r="H2400" s="85" t="str">
        <x:v>Diagnóstico e execução</x:v>
      </x:c>
    </x:row>
    <x:row r="2401">
      <x:c r="A2401" s="83" t="n">
        <x:v>2400</x:v>
      </x:c>
      <x:c r="B2401" s="84" t="n">
        <x:v>1416</x:v>
      </x:c>
      <x:c r="C2401" s="84" t="n">
        <x:v>10</x:v>
      </x:c>
      <x:c r="D2401" s="89" t="n">
        <x:v>45075</x:v>
      </x:c>
      <x:c r="E2401" s="84" t="n">
        <x:v>4.4</x:v>
      </x:c>
      <x:c r="F2401" s="84" t="str">
        <x:v>Normal</x:v>
      </x:c>
      <x:c r="G2401" s="93" t="n">
        <x:v>130.64</x:v>
      </x:c>
      <x:c r="H2401" s="85" t="str">
        <x:v>Diagnóstico e execução</x:v>
      </x:c>
    </x:row>
    <x:row r="2402">
      <x:c r="A2402" s="83" t="n">
        <x:v>2401</x:v>
      </x:c>
      <x:c r="B2402" s="84" t="n">
        <x:v>1416</x:v>
      </x:c>
      <x:c r="C2402" s="84" t="n">
        <x:v>6</x:v>
      </x:c>
      <x:c r="D2402" s="89" t="n">
        <x:v>45075</x:v>
      </x:c>
      <x:c r="E2402" s="84" t="n">
        <x:v>5.6</x:v>
      </x:c>
      <x:c r="F2402" s="84" t="str">
        <x:v>Normal</x:v>
      </x:c>
      <x:c r="G2402" s="93" t="n">
        <x:v>292.66</x:v>
      </x:c>
      <x:c r="H2402" s="85" t="str">
        <x:v>Diagnóstico e execução</x:v>
      </x:c>
    </x:row>
    <x:row r="2403">
      <x:c r="A2403" s="83" t="n">
        <x:v>2402</x:v>
      </x:c>
      <x:c r="B2403" s="84" t="n">
        <x:v>1417</x:v>
      </x:c>
      <x:c r="C2403" s="84" t="n">
        <x:v>9</x:v>
      </x:c>
      <x:c r="D2403" s="89" t="n">
        <x:v>45979</x:v>
      </x:c>
      <x:c r="E2403" s="84" t="n">
        <x:v>0.7</x:v>
      </x:c>
      <x:c r="F2403" s="84" t="str">
        <x:v>Normal</x:v>
      </x:c>
      <x:c r="G2403" s="93" t="n">
        <x:v>36.87</x:v>
      </x:c>
      <x:c r="H2403" s="85" t="str">
        <x:v>Diagnóstico e execução</x:v>
      </x:c>
    </x:row>
    <x:row r="2404">
      <x:c r="A2404" s="83" t="n">
        <x:v>2403</x:v>
      </x:c>
      <x:c r="B2404" s="84" t="n">
        <x:v>1417</x:v>
      </x:c>
      <x:c r="C2404" s="84" t="n">
        <x:v>4</x:v>
      </x:c>
      <x:c r="D2404" s="89" t="n">
        <x:v>45979</x:v>
      </x:c>
      <x:c r="E2404" s="84" t="n">
        <x:v>4.6</x:v>
      </x:c>
      <x:c r="F2404" s="84" t="str">
        <x:v>Normal</x:v>
      </x:c>
      <x:c r="G2404" s="93" t="n">
        <x:v>226.27</x:v>
      </x:c>
      <x:c r="H2404" s="85" t="str">
        <x:v>Diagnóstico e execução</x:v>
      </x:c>
    </x:row>
    <x:row r="2405">
      <x:c r="A2405" s="83" t="n">
        <x:v>2404</x:v>
      </x:c>
      <x:c r="B2405" s="84" t="n">
        <x:v>1419</x:v>
      </x:c>
      <x:c r="C2405" s="84" t="n">
        <x:v>26</x:v>
      </x:c>
      <x:c r="D2405" s="89" t="n">
        <x:v>45529</x:v>
      </x:c>
      <x:c r="E2405" s="84" t="n">
        <x:v>3.5</x:v>
      </x:c>
      <x:c r="F2405" s="84" t="str">
        <x:v>Normal</x:v>
      </x:c>
      <x:c r="G2405" s="93" t="n">
        <x:v>136.92</x:v>
      </x:c>
      <x:c r="H2405" s="85" t="str">
        <x:v>Diagnóstico e execução</x:v>
      </x:c>
    </x:row>
    <x:row r="2406">
      <x:c r="A2406" s="83" t="n">
        <x:v>2405</x:v>
      </x:c>
      <x:c r="B2406" s="84" t="n">
        <x:v>1420</x:v>
      </x:c>
      <x:c r="C2406" s="84" t="n">
        <x:v>11</x:v>
      </x:c>
      <x:c r="D2406" s="89" t="n">
        <x:v>45883</x:v>
      </x:c>
      <x:c r="E2406" s="84" t="n">
        <x:v>7.8</x:v>
      </x:c>
      <x:c r="F2406" s="84" t="str">
        <x:v>Normal</x:v>
      </x:c>
      <x:c r="G2406" s="93" t="n">
        <x:v>325.1</x:v>
      </x:c>
      <x:c r="H2406" s="85" t="str">
        <x:v>Diagnóstico e execução</x:v>
      </x:c>
    </x:row>
    <x:row r="2407">
      <x:c r="A2407" s="83" t="n">
        <x:v>2406</x:v>
      </x:c>
      <x:c r="B2407" s="84" t="n">
        <x:v>1420</x:v>
      </x:c>
      <x:c r="C2407" s="84" t="n">
        <x:v>12</x:v>
      </x:c>
      <x:c r="D2407" s="89" t="n">
        <x:v>45883</x:v>
      </x:c>
      <x:c r="E2407" s="84" t="n">
        <x:v>3.2</x:v>
      </x:c>
      <x:c r="F2407" s="84" t="str">
        <x:v>Normal</x:v>
      </x:c>
      <x:c r="G2407" s="93" t="n">
        <x:v>110.4</x:v>
      </x:c>
      <x:c r="H2407" s="85" t="str">
        <x:v>Diagnóstico e execução</x:v>
      </x:c>
    </x:row>
    <x:row r="2408">
      <x:c r="A2408" s="83" t="n">
        <x:v>2407</x:v>
      </x:c>
      <x:c r="B2408" s="84" t="n">
        <x:v>1420</x:v>
      </x:c>
      <x:c r="C2408" s="84" t="n">
        <x:v>21</x:v>
      </x:c>
      <x:c r="D2408" s="89" t="n">
        <x:v>45883</x:v>
      </x:c>
      <x:c r="E2408" s="84" t="n">
        <x:v>4.4</x:v>
      </x:c>
      <x:c r="F2408" s="84" t="str">
        <x:v>Normal</x:v>
      </x:c>
      <x:c r="G2408" s="93" t="n">
        <x:v>270.29</x:v>
      </x:c>
      <x:c r="H2408" s="85" t="str">
        <x:v>Diagnóstico e execução</x:v>
      </x:c>
    </x:row>
    <x:row r="2409">
      <x:c r="A2409" s="83" t="n">
        <x:v>2408</x:v>
      </x:c>
      <x:c r="B2409" s="84" t="n">
        <x:v>1421</x:v>
      </x:c>
      <x:c r="C2409" s="84" t="n">
        <x:v>6</x:v>
      </x:c>
      <x:c r="D2409" s="89" t="n">
        <x:v>45521</x:v>
      </x:c>
      <x:c r="E2409" s="84" t="n">
        <x:v>7.9</x:v>
      </x:c>
      <x:c r="F2409" s="84" t="str">
        <x:v>Normal</x:v>
      </x:c>
      <x:c r="G2409" s="93" t="n">
        <x:v>412.85</x:v>
      </x:c>
      <x:c r="H2409" s="85" t="str">
        <x:v>Diagnóstico e execução</x:v>
      </x:c>
    </x:row>
    <x:row r="2410">
      <x:c r="A2410" s="83" t="n">
        <x:v>2409</x:v>
      </x:c>
      <x:c r="B2410" s="84" t="n">
        <x:v>1421</x:v>
      </x:c>
      <x:c r="C2410" s="84" t="n">
        <x:v>28</x:v>
      </x:c>
      <x:c r="D2410" s="89" t="n">
        <x:v>45521</x:v>
      </x:c>
      <x:c r="E2410" s="84" t="n">
        <x:v>1.3</x:v>
      </x:c>
      <x:c r="F2410" s="84" t="str">
        <x:v>Normal</x:v>
      </x:c>
      <x:c r="G2410" s="93" t="n">
        <x:v>48.91</x:v>
      </x:c>
      <x:c r="H2410" s="85" t="str">
        <x:v>Diagnóstico e execução</x:v>
      </x:c>
    </x:row>
    <x:row r="2411">
      <x:c r="A2411" s="83" t="n">
        <x:v>2410</x:v>
      </x:c>
      <x:c r="B2411" s="84" t="n">
        <x:v>1422</x:v>
      </x:c>
      <x:c r="C2411" s="84" t="n">
        <x:v>13</x:v>
      </x:c>
      <x:c r="D2411" s="89" t="n">
        <x:v>45707</x:v>
      </x:c>
      <x:c r="E2411" s="84" t="n">
        <x:v>2.3</x:v>
      </x:c>
      <x:c r="F2411" s="84" t="str">
        <x:v>Normal</x:v>
      </x:c>
      <x:c r="G2411" s="93" t="n">
        <x:v>77.92</x:v>
      </x:c>
      <x:c r="H2411" s="85" t="str">
        <x:v>Diagnóstico e execução</x:v>
      </x:c>
    </x:row>
    <x:row r="2412">
      <x:c r="A2412" s="83" t="n">
        <x:v>2411</x:v>
      </x:c>
      <x:c r="B2412" s="84" t="n">
        <x:v>1422</x:v>
      </x:c>
      <x:c r="C2412" s="84" t="n">
        <x:v>23</x:v>
      </x:c>
      <x:c r="D2412" s="89" t="n">
        <x:v>45707</x:v>
      </x:c>
      <x:c r="E2412" s="84" t="n">
        <x:v>5.5</x:v>
      </x:c>
      <x:c r="F2412" s="84" t="str">
        <x:v>Normal</x:v>
      </x:c>
      <x:c r="G2412" s="93" t="n">
        <x:v>237.1</x:v>
      </x:c>
      <x:c r="H2412" s="85" t="str">
        <x:v>Diagnóstico e execução</x:v>
      </x:c>
    </x:row>
    <x:row r="2413">
      <x:c r="A2413" s="83" t="n">
        <x:v>2412</x:v>
      </x:c>
      <x:c r="B2413" s="84" t="n">
        <x:v>1423</x:v>
      </x:c>
      <x:c r="C2413" s="84" t="n">
        <x:v>45</x:v>
      </x:c>
      <x:c r="D2413" s="89" t="n">
        <x:v>45331</x:v>
      </x:c>
      <x:c r="E2413" s="84" t="n">
        <x:v>4.4</x:v>
      </x:c>
      <x:c r="F2413" s="84" t="str">
        <x:v>Normal</x:v>
      </x:c>
      <x:c r="G2413" s="93" t="n">
        <x:v>235.71</x:v>
      </x:c>
      <x:c r="H2413" s="85" t="str">
        <x:v>Diagnóstico e execução</x:v>
      </x:c>
    </x:row>
    <x:row r="2414">
      <x:c r="A2414" s="83" t="n">
        <x:v>2413</x:v>
      </x:c>
      <x:c r="B2414" s="84" t="n">
        <x:v>1423</x:v>
      </x:c>
      <x:c r="C2414" s="84" t="n">
        <x:v>29</x:v>
      </x:c>
      <x:c r="D2414" s="89" t="n">
        <x:v>45331</x:v>
      </x:c>
      <x:c r="E2414" s="84" t="n">
        <x:v>4.6</x:v>
      </x:c>
      <x:c r="F2414" s="84" t="str">
        <x:v>Normal</x:v>
      </x:c>
      <x:c r="G2414" s="93" t="n">
        <x:v>227.79</x:v>
      </x:c>
      <x:c r="H2414" s="85" t="str">
        <x:v>Diagnóstico e execução</x:v>
      </x:c>
    </x:row>
    <x:row r="2415">
      <x:c r="A2415" s="83" t="n">
        <x:v>2414</x:v>
      </x:c>
      <x:c r="B2415" s="84" t="n">
        <x:v>1423</x:v>
      </x:c>
      <x:c r="C2415" s="84" t="n">
        <x:v>2</x:v>
      </x:c>
      <x:c r="D2415" s="89" t="n">
        <x:v>45331</x:v>
      </x:c>
      <x:c r="E2415" s="84" t="n">
        <x:v>1</x:v>
      </x:c>
      <x:c r="F2415" s="84" t="str">
        <x:v>Normal</x:v>
      </x:c>
      <x:c r="G2415" s="93" t="n">
        <x:v>37.26</x:v>
      </x:c>
      <x:c r="H2415" s="85" t="str">
        <x:v>Diagnóstico e execução</x:v>
      </x:c>
    </x:row>
    <x:row r="2416">
      <x:c r="A2416" s="83" t="n">
        <x:v>2415</x:v>
      </x:c>
      <x:c r="B2416" s="84" t="n">
        <x:v>1424</x:v>
      </x:c>
      <x:c r="C2416" s="84" t="n">
        <x:v>39</x:v>
      </x:c>
      <x:c r="D2416" s="89" t="n">
        <x:v>45747</x:v>
      </x:c>
      <x:c r="E2416" s="84" t="n">
        <x:v>5.8</x:v>
      </x:c>
      <x:c r="F2416" s="84" t="str">
        <x:v>Normal</x:v>
      </x:c>
      <x:c r="G2416" s="93" t="n">
        <x:v>335.82</x:v>
      </x:c>
      <x:c r="H2416" s="85" t="str">
        <x:v>Diagnóstico e execução</x:v>
      </x:c>
    </x:row>
    <x:row r="2417">
      <x:c r="A2417" s="83" t="n">
        <x:v>2416</x:v>
      </x:c>
      <x:c r="B2417" s="84" t="n">
        <x:v>1424</x:v>
      </x:c>
      <x:c r="C2417" s="84" t="n">
        <x:v>22</x:v>
      </x:c>
      <x:c r="D2417" s="89" t="n">
        <x:v>45747</x:v>
      </x:c>
      <x:c r="E2417" s="84" t="n">
        <x:v>1.2</x:v>
      </x:c>
      <x:c r="F2417" s="84" t="str">
        <x:v>Normal</x:v>
      </x:c>
      <x:c r="G2417" s="93" t="n">
        <x:v>46.15</x:v>
      </x:c>
      <x:c r="H2417" s="85" t="str">
        <x:v>Diagnóstico e execução</x:v>
      </x:c>
    </x:row>
    <x:row r="2418">
      <x:c r="A2418" s="83" t="n">
        <x:v>2417</x:v>
      </x:c>
      <x:c r="B2418" s="84" t="n">
        <x:v>1424</x:v>
      </x:c>
      <x:c r="C2418" s="84" t="n">
        <x:v>39</x:v>
      </x:c>
      <x:c r="D2418" s="89" t="n">
        <x:v>45747</x:v>
      </x:c>
      <x:c r="E2418" s="84" t="n">
        <x:v>5.1</x:v>
      </x:c>
      <x:c r="F2418" s="84" t="str">
        <x:v>Normal</x:v>
      </x:c>
      <x:c r="G2418" s="93" t="n">
        <x:v>295.29</x:v>
      </x:c>
      <x:c r="H2418" s="85" t="str">
        <x:v>Diagnóstico e execução</x:v>
      </x:c>
    </x:row>
    <x:row r="2419">
      <x:c r="A2419" s="83" t="n">
        <x:v>2418</x:v>
      </x:c>
      <x:c r="B2419" s="84" t="n">
        <x:v>1425</x:v>
      </x:c>
      <x:c r="C2419" s="84" t="n">
        <x:v>1</x:v>
      </x:c>
      <x:c r="D2419" s="89" t="n">
        <x:v>45810</x:v>
      </x:c>
      <x:c r="E2419" s="84" t="n">
        <x:v>7.4</x:v>
      </x:c>
      <x:c r="F2419" s="84" t="str">
        <x:v>Normal</x:v>
      </x:c>
      <x:c r="G2419" s="93" t="n">
        <x:v>261.74</x:v>
      </x:c>
      <x:c r="H2419" s="85" t="str">
        <x:v>Diagnóstico e execução</x:v>
      </x:c>
    </x:row>
    <x:row r="2420">
      <x:c r="A2420" s="83" t="n">
        <x:v>2419</x:v>
      </x:c>
      <x:c r="B2420" s="84" t="n">
        <x:v>1425</x:v>
      </x:c>
      <x:c r="C2420" s="84" t="n">
        <x:v>28</x:v>
      </x:c>
      <x:c r="D2420" s="89" t="n">
        <x:v>45810</x:v>
      </x:c>
      <x:c r="E2420" s="84" t="n">
        <x:v>3</x:v>
      </x:c>
      <x:c r="F2420" s="84" t="str">
        <x:v>Normal</x:v>
      </x:c>
      <x:c r="G2420" s="93" t="n">
        <x:v>112.86</x:v>
      </x:c>
      <x:c r="H2420" s="85" t="str">
        <x:v>Diagnóstico e execução</x:v>
      </x:c>
    </x:row>
    <x:row r="2421">
      <x:c r="A2421" s="83" t="n">
        <x:v>2420</x:v>
      </x:c>
      <x:c r="B2421" s="84" t="n">
        <x:v>1426</x:v>
      </x:c>
      <x:c r="C2421" s="84" t="n">
        <x:v>14</x:v>
      </x:c>
      <x:c r="D2421" s="89" t="n">
        <x:v>44980</x:v>
      </x:c>
      <x:c r="E2421" s="84" t="n">
        <x:v>3.5</x:v>
      </x:c>
      <x:c r="F2421" s="84" t="str">
        <x:v>Normal</x:v>
      </x:c>
      <x:c r="G2421" s="93" t="n">
        <x:v>198.31</x:v>
      </x:c>
      <x:c r="H2421" s="85" t="str">
        <x:v>Diagnóstico e execução</x:v>
      </x:c>
    </x:row>
    <x:row r="2422">
      <x:c r="A2422" s="83" t="n">
        <x:v>2421</x:v>
      </x:c>
      <x:c r="B2422" s="84" t="n">
        <x:v>1426</x:v>
      </x:c>
      <x:c r="C2422" s="84" t="n">
        <x:v>10</x:v>
      </x:c>
      <x:c r="D2422" s="89" t="n">
        <x:v>44980</x:v>
      </x:c>
      <x:c r="E2422" s="84" t="n">
        <x:v>6.7</x:v>
      </x:c>
      <x:c r="F2422" s="84" t="str">
        <x:v>Normal</x:v>
      </x:c>
      <x:c r="G2422" s="93" t="n">
        <x:v>198.92</x:v>
      </x:c>
      <x:c r="H2422" s="85" t="str">
        <x:v>Diagnóstico e execução</x:v>
      </x:c>
    </x:row>
    <x:row r="2423">
      <x:c r="A2423" s="83" t="n">
        <x:v>2422</x:v>
      </x:c>
      <x:c r="B2423" s="84" t="n">
        <x:v>1426</x:v>
      </x:c>
      <x:c r="C2423" s="84" t="n">
        <x:v>37</x:v>
      </x:c>
      <x:c r="D2423" s="89" t="n">
        <x:v>44980</x:v>
      </x:c>
      <x:c r="E2423" s="84" t="n">
        <x:v>3.4</x:v>
      </x:c>
      <x:c r="F2423" s="84" t="str">
        <x:v>Normal</x:v>
      </x:c>
      <x:c r="G2423" s="93" t="n">
        <x:v>200.5</x:v>
      </x:c>
      <x:c r="H2423" s="85" t="str">
        <x:v>Diagnóstico e execução</x:v>
      </x:c>
    </x:row>
    <x:row r="2424">
      <x:c r="A2424" s="83" t="n">
        <x:v>2423</x:v>
      </x:c>
      <x:c r="B2424" s="84" t="n">
        <x:v>1427</x:v>
      </x:c>
      <x:c r="C2424" s="84" t="n">
        <x:v>16</x:v>
      </x:c>
      <x:c r="D2424" s="89" t="n">
        <x:v>46021</x:v>
      </x:c>
      <x:c r="E2424" s="84" t="n">
        <x:v>3.9</x:v>
      </x:c>
      <x:c r="F2424" s="84" t="str">
        <x:v>Normal</x:v>
      </x:c>
      <x:c r="G2424" s="93" t="n">
        <x:v>158.03</x:v>
      </x:c>
      <x:c r="H2424" s="85" t="str">
        <x:v>Diagnóstico e execução</x:v>
      </x:c>
    </x:row>
    <x:row r="2425">
      <x:c r="A2425" s="83" t="n">
        <x:v>2424</x:v>
      </x:c>
      <x:c r="B2425" s="84" t="n">
        <x:v>1427</x:v>
      </x:c>
      <x:c r="C2425" s="84" t="n">
        <x:v>14</x:v>
      </x:c>
      <x:c r="D2425" s="89" t="n">
        <x:v>46021</x:v>
      </x:c>
      <x:c r="E2425" s="84" t="n">
        <x:v>1.4</x:v>
      </x:c>
      <x:c r="F2425" s="84" t="str">
        <x:v>Normal</x:v>
      </x:c>
      <x:c r="G2425" s="93" t="n">
        <x:v>79.32</x:v>
      </x:c>
      <x:c r="H2425" s="85" t="str">
        <x:v>Diagnóstico e execução</x:v>
      </x:c>
    </x:row>
    <x:row r="2426">
      <x:c r="A2426" s="83" t="n">
        <x:v>2425</x:v>
      </x:c>
      <x:c r="B2426" s="84" t="n">
        <x:v>1428</x:v>
      </x:c>
      <x:c r="C2426" s="84" t="n">
        <x:v>31</x:v>
      </x:c>
      <x:c r="D2426" s="89" t="n">
        <x:v>45195</x:v>
      </x:c>
      <x:c r="E2426" s="84" t="n">
        <x:v>6.7</x:v>
      </x:c>
      <x:c r="F2426" s="84" t="str">
        <x:v>Normal</x:v>
      </x:c>
      <x:c r="G2426" s="93" t="n">
        <x:v>327.63</x:v>
      </x:c>
      <x:c r="H2426" s="85" t="str">
        <x:v>Diagnóstico e execução</x:v>
      </x:c>
    </x:row>
    <x:row r="2427">
      <x:c r="A2427" s="83" t="n">
        <x:v>2426</x:v>
      </x:c>
      <x:c r="B2427" s="84" t="n">
        <x:v>1428</x:v>
      </x:c>
      <x:c r="C2427" s="84" t="n">
        <x:v>15</x:v>
      </x:c>
      <x:c r="D2427" s="89" t="n">
        <x:v>45195</x:v>
      </x:c>
      <x:c r="E2427" s="84" t="n">
        <x:v>1.1</x:v>
      </x:c>
      <x:c r="F2427" s="84" t="str">
        <x:v>Normal</x:v>
      </x:c>
      <x:c r="G2427" s="93" t="n">
        <x:v>33.26</x:v>
      </x:c>
      <x:c r="H2427" s="85" t="str">
        <x:v>Diagnóstico e execução</x:v>
      </x:c>
    </x:row>
    <x:row r="2428">
      <x:c r="A2428" s="83" t="n">
        <x:v>2427</x:v>
      </x:c>
      <x:c r="B2428" s="84" t="n">
        <x:v>1428</x:v>
      </x:c>
      <x:c r="C2428" s="84" t="n">
        <x:v>22</x:v>
      </x:c>
      <x:c r="D2428" s="89" t="n">
        <x:v>45195</x:v>
      </x:c>
      <x:c r="E2428" s="84" t="n">
        <x:v>3.6</x:v>
      </x:c>
      <x:c r="F2428" s="84" t="str">
        <x:v>Normal</x:v>
      </x:c>
      <x:c r="G2428" s="93" t="n">
        <x:v>138.46</x:v>
      </x:c>
      <x:c r="H2428" s="85" t="str">
        <x:v>Diagnóstico e execução</x:v>
      </x:c>
    </x:row>
    <x:row r="2429">
      <x:c r="A2429" s="83" t="n">
        <x:v>2428</x:v>
      </x:c>
      <x:c r="B2429" s="84" t="n">
        <x:v>1429</x:v>
      </x:c>
      <x:c r="C2429" s="84" t="n">
        <x:v>29</x:v>
      </x:c>
      <x:c r="D2429" s="89" t="n">
        <x:v>45585</x:v>
      </x:c>
      <x:c r="E2429" s="84" t="n">
        <x:v>6.8</x:v>
      </x:c>
      <x:c r="F2429" s="84" t="str">
        <x:v>Normal</x:v>
      </x:c>
      <x:c r="G2429" s="93" t="n">
        <x:v>336.74</x:v>
      </x:c>
      <x:c r="H2429" s="85" t="str">
        <x:v>Diagnóstico e execução</x:v>
      </x:c>
    </x:row>
    <x:row r="2430">
      <x:c r="A2430" s="83" t="n">
        <x:v>2429</x:v>
      </x:c>
      <x:c r="B2430" s="84" t="n">
        <x:v>1429</x:v>
      </x:c>
      <x:c r="C2430" s="84" t="n">
        <x:v>11</x:v>
      </x:c>
      <x:c r="D2430" s="89" t="n">
        <x:v>45585</x:v>
      </x:c>
      <x:c r="E2430" s="84" t="n">
        <x:v>1.3</x:v>
      </x:c>
      <x:c r="F2430" s="84" t="str">
        <x:v>Normal</x:v>
      </x:c>
      <x:c r="G2430" s="93" t="n">
        <x:v>54.18</x:v>
      </x:c>
      <x:c r="H2430" s="85" t="str">
        <x:v>Diagnóstico e execução</x:v>
      </x:c>
    </x:row>
    <x:row r="2431">
      <x:c r="A2431" s="83" t="n">
        <x:v>2430</x:v>
      </x:c>
      <x:c r="B2431" s="84" t="n">
        <x:v>1429</x:v>
      </x:c>
      <x:c r="C2431" s="84" t="n">
        <x:v>30</x:v>
      </x:c>
      <x:c r="D2431" s="89" t="n">
        <x:v>45585</x:v>
      </x:c>
      <x:c r="E2431" s="84" t="n">
        <x:v>4.6</x:v>
      </x:c>
      <x:c r="F2431" s="84" t="str">
        <x:v>Normal</x:v>
      </x:c>
      <x:c r="G2431" s="93" t="n">
        <x:v>190.49</x:v>
      </x:c>
      <x:c r="H2431" s="85" t="str">
        <x:v>Diagnóstico e execução</x:v>
      </x:c>
    </x:row>
    <x:row r="2432">
      <x:c r="A2432" s="83" t="n">
        <x:v>2431</x:v>
      </x:c>
      <x:c r="B2432" s="84" t="n">
        <x:v>1430</x:v>
      </x:c>
      <x:c r="C2432" s="84" t="n">
        <x:v>14</x:v>
      </x:c>
      <x:c r="D2432" s="89" t="n">
        <x:v>45900</x:v>
      </x:c>
      <x:c r="E2432" s="84" t="n">
        <x:v>6.4</x:v>
      </x:c>
      <x:c r="F2432" s="84" t="str">
        <x:v>Normal</x:v>
      </x:c>
      <x:c r="G2432" s="93" t="n">
        <x:v>362.62</x:v>
      </x:c>
      <x:c r="H2432" s="85" t="str">
        <x:v>Diagnóstico e execução</x:v>
      </x:c>
    </x:row>
    <x:row r="2433">
      <x:c r="A2433" s="83" t="n">
        <x:v>2432</x:v>
      </x:c>
      <x:c r="B2433" s="84" t="n">
        <x:v>1430</x:v>
      </x:c>
      <x:c r="C2433" s="84" t="n">
        <x:v>41</x:v>
      </x:c>
      <x:c r="D2433" s="89" t="n">
        <x:v>45900</x:v>
      </x:c>
      <x:c r="E2433" s="84" t="n">
        <x:v>7</x:v>
      </x:c>
      <x:c r="F2433" s="84" t="str">
        <x:v>Normal</x:v>
      </x:c>
      <x:c r="G2433" s="93" t="n">
        <x:v>354.06</x:v>
      </x:c>
      <x:c r="H2433" s="85" t="str">
        <x:v>Diagnóstico e execução</x:v>
      </x:c>
    </x:row>
    <x:row r="2434">
      <x:c r="A2434" s="83" t="n">
        <x:v>2433</x:v>
      </x:c>
      <x:c r="B2434" s="84" t="n">
        <x:v>1430</x:v>
      </x:c>
      <x:c r="C2434" s="84" t="n">
        <x:v>24</x:v>
      </x:c>
      <x:c r="D2434" s="89" t="n">
        <x:v>45900</x:v>
      </x:c>
      <x:c r="E2434" s="84" t="n">
        <x:v>2.8</x:v>
      </x:c>
      <x:c r="F2434" s="84" t="str">
        <x:v>Normal</x:v>
      </x:c>
      <x:c r="G2434" s="93" t="n">
        <x:v>165.87</x:v>
      </x:c>
      <x:c r="H2434" s="85" t="str">
        <x:v>Diagnóstico e execução</x:v>
      </x:c>
    </x:row>
    <x:row r="2435">
      <x:c r="A2435" s="83" t="n">
        <x:v>2434</x:v>
      </x:c>
      <x:c r="B2435" s="84" t="n">
        <x:v>1431</x:v>
      </x:c>
      <x:c r="C2435" s="84" t="n">
        <x:v>14</x:v>
      </x:c>
      <x:c r="D2435" s="89" t="n">
        <x:v>45769</x:v>
      </x:c>
      <x:c r="E2435" s="84" t="n">
        <x:v>1.1</x:v>
      </x:c>
      <x:c r="F2435" s="84" t="str">
        <x:v>Normal</x:v>
      </x:c>
      <x:c r="G2435" s="93" t="n">
        <x:v>62.33</x:v>
      </x:c>
      <x:c r="H2435" s="85" t="str">
        <x:v>Diagnóstico e execução</x:v>
      </x:c>
    </x:row>
    <x:row r="2436">
      <x:c r="A2436" s="83" t="n">
        <x:v>2435</x:v>
      </x:c>
      <x:c r="B2436" s="84" t="n">
        <x:v>1431</x:v>
      </x:c>
      <x:c r="C2436" s="84" t="n">
        <x:v>30</x:v>
      </x:c>
      <x:c r="D2436" s="89" t="n">
        <x:v>45769</x:v>
      </x:c>
      <x:c r="E2436" s="84" t="n">
        <x:v>2.5</x:v>
      </x:c>
      <x:c r="F2436" s="84" t="str">
        <x:v>Normal</x:v>
      </x:c>
      <x:c r="G2436" s="93" t="n">
        <x:v>103.52</x:v>
      </x:c>
      <x:c r="H2436" s="85" t="str">
        <x:v>Diagnóstico e execução</x:v>
      </x:c>
    </x:row>
    <x:row r="2437">
      <x:c r="A2437" s="83" t="n">
        <x:v>2436</x:v>
      </x:c>
      <x:c r="B2437" s="84" t="n">
        <x:v>1432</x:v>
      </x:c>
      <x:c r="C2437" s="84" t="n">
        <x:v>12</x:v>
      </x:c>
      <x:c r="D2437" s="89" t="n">
        <x:v>45400</x:v>
      </x:c>
      <x:c r="E2437" s="84" t="n">
        <x:v>5.4</x:v>
      </x:c>
      <x:c r="F2437" s="84" t="str">
        <x:v>Normal</x:v>
      </x:c>
      <x:c r="G2437" s="93" t="n">
        <x:v>186.3</x:v>
      </x:c>
      <x:c r="H2437" s="85" t="str">
        <x:v>Diagnóstico e execução</x:v>
      </x:c>
    </x:row>
    <x:row r="2438">
      <x:c r="A2438" s="83" t="n">
        <x:v>2437</x:v>
      </x:c>
      <x:c r="B2438" s="84" t="n">
        <x:v>1433</x:v>
      </x:c>
      <x:c r="C2438" s="84" t="n">
        <x:v>16</x:v>
      </x:c>
      <x:c r="D2438" s="89" t="n">
        <x:v>45216</x:v>
      </x:c>
      <x:c r="E2438" s="84" t="n">
        <x:v>3.4</x:v>
      </x:c>
      <x:c r="F2438" s="84" t="str">
        <x:v>Normal</x:v>
      </x:c>
      <x:c r="G2438" s="93" t="n">
        <x:v>137.77</x:v>
      </x:c>
      <x:c r="H2438" s="85" t="str">
        <x:v>Diagnóstico e execução</x:v>
      </x:c>
    </x:row>
    <x:row r="2439">
      <x:c r="A2439" s="83" t="n">
        <x:v>2438</x:v>
      </x:c>
      <x:c r="B2439" s="84" t="n">
        <x:v>1433</x:v>
      </x:c>
      <x:c r="C2439" s="84" t="n">
        <x:v>5</x:v>
      </x:c>
      <x:c r="D2439" s="89" t="n">
        <x:v>45216</x:v>
      </x:c>
      <x:c r="E2439" s="84" t="n">
        <x:v>3.4</x:v>
      </x:c>
      <x:c r="F2439" s="84" t="str">
        <x:v>Normal</x:v>
      </x:c>
      <x:c r="G2439" s="93" t="n">
        <x:v>97.99</x:v>
      </x:c>
      <x:c r="H2439" s="85" t="str">
        <x:v>Diagnóstico e execução</x:v>
      </x:c>
    </x:row>
    <x:row r="2440">
      <x:c r="A2440" s="83" t="n">
        <x:v>2439</x:v>
      </x:c>
      <x:c r="B2440" s="84" t="n">
        <x:v>1434</x:v>
      </x:c>
      <x:c r="C2440" s="84" t="n">
        <x:v>6</x:v>
      </x:c>
      <x:c r="D2440" s="89" t="n">
        <x:v>45061</x:v>
      </x:c>
      <x:c r="E2440" s="84" t="n">
        <x:v>6.6</x:v>
      </x:c>
      <x:c r="F2440" s="84" t="str">
        <x:v>Normal</x:v>
      </x:c>
      <x:c r="G2440" s="93" t="n">
        <x:v>344.92</x:v>
      </x:c>
      <x:c r="H2440" s="85" t="str">
        <x:v>Diagnóstico e execução</x:v>
      </x:c>
    </x:row>
    <x:row r="2441">
      <x:c r="A2441" s="83" t="n">
        <x:v>2440</x:v>
      </x:c>
      <x:c r="B2441" s="84" t="n">
        <x:v>1434</x:v>
      </x:c>
      <x:c r="C2441" s="84" t="n">
        <x:v>15</x:v>
      </x:c>
      <x:c r="D2441" s="89" t="n">
        <x:v>45061</x:v>
      </x:c>
      <x:c r="E2441" s="84" t="n">
        <x:v>4</x:v>
      </x:c>
      <x:c r="F2441" s="84" t="str">
        <x:v>Normal</x:v>
      </x:c>
      <x:c r="G2441" s="93" t="n">
        <x:v>120.96</x:v>
      </x:c>
      <x:c r="H2441" s="85" t="str">
        <x:v>Diagnóstico e execução</x:v>
      </x:c>
    </x:row>
    <x:row r="2442">
      <x:c r="A2442" s="83" t="n">
        <x:v>2441</x:v>
      </x:c>
      <x:c r="B2442" s="84" t="n">
        <x:v>1435</x:v>
      </x:c>
      <x:c r="C2442" s="84" t="n">
        <x:v>12</x:v>
      </x:c>
      <x:c r="D2442" s="89" t="n">
        <x:v>45046</x:v>
      </x:c>
      <x:c r="E2442" s="84" t="n">
        <x:v>4</x:v>
      </x:c>
      <x:c r="F2442" s="84" t="str">
        <x:v>Normal</x:v>
      </x:c>
      <x:c r="G2442" s="93" t="n">
        <x:v>138</x:v>
      </x:c>
      <x:c r="H2442" s="85" t="str">
        <x:v>Diagnóstico e execução</x:v>
      </x:c>
    </x:row>
    <x:row r="2443">
      <x:c r="A2443" s="83" t="n">
        <x:v>2442</x:v>
      </x:c>
      <x:c r="B2443" s="84" t="n">
        <x:v>1436</x:v>
      </x:c>
      <x:c r="C2443" s="84" t="n">
        <x:v>20</x:v>
      </x:c>
      <x:c r="D2443" s="89" t="n">
        <x:v>45413</x:v>
      </x:c>
      <x:c r="E2443" s="84" t="n">
        <x:v>5.7</x:v>
      </x:c>
      <x:c r="F2443" s="84" t="str">
        <x:v>Normal</x:v>
      </x:c>
      <x:c r="G2443" s="93" t="n">
        <x:v>191.06</x:v>
      </x:c>
      <x:c r="H2443" s="85" t="str">
        <x:v>Diagnóstico e execução</x:v>
      </x:c>
    </x:row>
    <x:row r="2444">
      <x:c r="A2444" s="83" t="n">
        <x:v>2443</x:v>
      </x:c>
      <x:c r="B2444" s="84" t="n">
        <x:v>1436</x:v>
      </x:c>
      <x:c r="C2444" s="84" t="n">
        <x:v>2</x:v>
      </x:c>
      <x:c r="D2444" s="89" t="n">
        <x:v>45413</x:v>
      </x:c>
      <x:c r="E2444" s="84" t="n">
        <x:v>4.4</x:v>
      </x:c>
      <x:c r="F2444" s="84" t="str">
        <x:v>Normal</x:v>
      </x:c>
      <x:c r="G2444" s="93" t="n">
        <x:v>163.94</x:v>
      </x:c>
      <x:c r="H2444" s="85" t="str">
        <x:v>Diagnóstico e execução</x:v>
      </x:c>
    </x:row>
    <x:row r="2445">
      <x:c r="A2445" s="83" t="n">
        <x:v>2444</x:v>
      </x:c>
      <x:c r="B2445" s="84" t="n">
        <x:v>1438</x:v>
      </x:c>
      <x:c r="C2445" s="84" t="n">
        <x:v>30</x:v>
      </x:c>
      <x:c r="D2445" s="89" t="n">
        <x:v>45547</x:v>
      </x:c>
      <x:c r="E2445" s="84" t="n">
        <x:v>1.7</x:v>
      </x:c>
      <x:c r="F2445" s="84" t="str">
        <x:v>Normal</x:v>
      </x:c>
      <x:c r="G2445" s="93" t="n">
        <x:v>70.4</x:v>
      </x:c>
      <x:c r="H2445" s="85" t="str">
        <x:v>Diagnóstico e execução</x:v>
      </x:c>
    </x:row>
    <x:row r="2446">
      <x:c r="A2446" s="83" t="n">
        <x:v>2445</x:v>
      </x:c>
      <x:c r="B2446" s="84" t="n">
        <x:v>1438</x:v>
      </x:c>
      <x:c r="C2446" s="84" t="n">
        <x:v>23</x:v>
      </x:c>
      <x:c r="D2446" s="89" t="n">
        <x:v>45547</x:v>
      </x:c>
      <x:c r="E2446" s="84" t="n">
        <x:v>6.7</x:v>
      </x:c>
      <x:c r="F2446" s="84" t="str">
        <x:v>Normal</x:v>
      </x:c>
      <x:c r="G2446" s="93" t="n">
        <x:v>288.84</x:v>
      </x:c>
      <x:c r="H2446" s="85" t="str">
        <x:v>Diagnóstico e execução</x:v>
      </x:c>
    </x:row>
    <x:row r="2447">
      <x:c r="A2447" s="83" t="n">
        <x:v>2446</x:v>
      </x:c>
      <x:c r="B2447" s="84" t="n">
        <x:v>1439</x:v>
      </x:c>
      <x:c r="C2447" s="84" t="n">
        <x:v>40</x:v>
      </x:c>
      <x:c r="D2447" s="89" t="n">
        <x:v>45962</x:v>
      </x:c>
      <x:c r="E2447" s="84" t="n">
        <x:v>5.5</x:v>
      </x:c>
      <x:c r="F2447" s="84" t="str">
        <x:v>Normal</x:v>
      </x:c>
      <x:c r="G2447" s="93" t="n">
        <x:v>271.81</x:v>
      </x:c>
      <x:c r="H2447" s="85" t="str">
        <x:v>Diagnóstico e execução</x:v>
      </x:c>
    </x:row>
    <x:row r="2448">
      <x:c r="A2448" s="83" t="n">
        <x:v>2447</x:v>
      </x:c>
      <x:c r="B2448" s="84" t="n">
        <x:v>1439</x:v>
      </x:c>
      <x:c r="C2448" s="84" t="n">
        <x:v>10</x:v>
      </x:c>
      <x:c r="D2448" s="89" t="n">
        <x:v>45962</x:v>
      </x:c>
      <x:c r="E2448" s="84" t="n">
        <x:v>7.6</x:v>
      </x:c>
      <x:c r="F2448" s="84" t="str">
        <x:v>Normal</x:v>
      </x:c>
      <x:c r="G2448" s="93" t="n">
        <x:v>225.64</x:v>
      </x:c>
      <x:c r="H2448" s="85" t="str">
        <x:v>Diagnóstico e execução</x:v>
      </x:c>
    </x:row>
    <x:row r="2449">
      <x:c r="A2449" s="83" t="n">
        <x:v>2448</x:v>
      </x:c>
      <x:c r="B2449" s="84" t="n">
        <x:v>1439</x:v>
      </x:c>
      <x:c r="C2449" s="84" t="n">
        <x:v>12</x:v>
      </x:c>
      <x:c r="D2449" s="89" t="n">
        <x:v>45962</x:v>
      </x:c>
      <x:c r="E2449" s="84" t="n">
        <x:v>0.9</x:v>
      </x:c>
      <x:c r="F2449" s="84" t="str">
        <x:v>Normal</x:v>
      </x:c>
      <x:c r="G2449" s="93" t="n">
        <x:v>31.05</x:v>
      </x:c>
      <x:c r="H2449" s="85" t="str">
        <x:v>Diagnóstico e execução</x:v>
      </x:c>
    </x:row>
    <x:row r="2450">
      <x:c r="A2450" s="83" t="n">
        <x:v>2449</x:v>
      </x:c>
      <x:c r="B2450" s="84" t="n">
        <x:v>1441</x:v>
      </x:c>
      <x:c r="C2450" s="84" t="n">
        <x:v>10</x:v>
      </x:c>
      <x:c r="D2450" s="89" t="n">
        <x:v>45071</x:v>
      </x:c>
      <x:c r="E2450" s="84" t="n">
        <x:v>7.4</x:v>
      </x:c>
      <x:c r="F2450" s="84" t="str">
        <x:v>Normal</x:v>
      </x:c>
      <x:c r="G2450" s="93" t="n">
        <x:v>219.71</x:v>
      </x:c>
      <x:c r="H2450" s="85" t="str">
        <x:v>Diagnóstico e execução</x:v>
      </x:c>
    </x:row>
    <x:row r="2451">
      <x:c r="A2451" s="83" t="n">
        <x:v>2450</x:v>
      </x:c>
      <x:c r="B2451" s="84" t="n">
        <x:v>1441</x:v>
      </x:c>
      <x:c r="C2451" s="84" t="n">
        <x:v>33</x:v>
      </x:c>
      <x:c r="D2451" s="89" t="n">
        <x:v>45071</x:v>
      </x:c>
      <x:c r="E2451" s="84" t="n">
        <x:v>7.6</x:v>
      </x:c>
      <x:c r="F2451" s="84" t="str">
        <x:v>Normal</x:v>
      </x:c>
      <x:c r="G2451" s="93" t="n">
        <x:v>262.12</x:v>
      </x:c>
      <x:c r="H2451" s="85" t="str">
        <x:v>Diagnóstico e execução</x:v>
      </x:c>
    </x:row>
    <x:row r="2452">
      <x:c r="A2452" s="83" t="n">
        <x:v>2451</x:v>
      </x:c>
      <x:c r="B2452" s="84" t="n">
        <x:v>1442</x:v>
      </x:c>
      <x:c r="C2452" s="84" t="n">
        <x:v>39</x:v>
      </x:c>
      <x:c r="D2452" s="89" t="n">
        <x:v>45332</x:v>
      </x:c>
      <x:c r="E2452" s="84" t="n">
        <x:v>4.4</x:v>
      </x:c>
      <x:c r="F2452" s="84" t="str">
        <x:v>Normal</x:v>
      </x:c>
      <x:c r="G2452" s="93" t="n">
        <x:v>254.76</x:v>
      </x:c>
      <x:c r="H2452" s="85" t="str">
        <x:v>Diagnóstico e execução</x:v>
      </x:c>
    </x:row>
    <x:row r="2453">
      <x:c r="A2453" s="83" t="n">
        <x:v>2452</x:v>
      </x:c>
      <x:c r="B2453" s="84" t="n">
        <x:v>1442</x:v>
      </x:c>
      <x:c r="C2453" s="84" t="n">
        <x:v>27</x:v>
      </x:c>
      <x:c r="D2453" s="89" t="n">
        <x:v>45332</x:v>
      </x:c>
      <x:c r="E2453" s="84" t="n">
        <x:v>5.2</x:v>
      </x:c>
      <x:c r="F2453" s="84" t="str">
        <x:v>Normal</x:v>
      </x:c>
      <x:c r="G2453" s="93" t="n">
        <x:v>317.15</x:v>
      </x:c>
      <x:c r="H2453" s="85" t="str">
        <x:v>Diagnóstico e execução</x:v>
      </x:c>
    </x:row>
    <x:row r="2454">
      <x:c r="A2454" s="83" t="n">
        <x:v>2453</x:v>
      </x:c>
      <x:c r="B2454" s="84" t="n">
        <x:v>1442</x:v>
      </x:c>
      <x:c r="C2454" s="84" t="n">
        <x:v>10</x:v>
      </x:c>
      <x:c r="D2454" s="89" t="n">
        <x:v>45332</x:v>
      </x:c>
      <x:c r="E2454" s="84" t="n">
        <x:v>3.3</x:v>
      </x:c>
      <x:c r="F2454" s="84" t="str">
        <x:v>Normal</x:v>
      </x:c>
      <x:c r="G2454" s="93" t="n">
        <x:v>97.98</x:v>
      </x:c>
      <x:c r="H2454" s="85" t="str">
        <x:v>Diagnóstico e execução</x:v>
      </x:c>
    </x:row>
    <x:row r="2455">
      <x:c r="A2455" s="83" t="n">
        <x:v>2454</x:v>
      </x:c>
      <x:c r="B2455" s="84" t="n">
        <x:v>1443</x:v>
      </x:c>
      <x:c r="C2455" s="84" t="n">
        <x:v>16</x:v>
      </x:c>
      <x:c r="D2455" s="89" t="n">
        <x:v>45966</x:v>
      </x:c>
      <x:c r="E2455" s="84" t="n">
        <x:v>2.6</x:v>
      </x:c>
      <x:c r="F2455" s="84" t="str">
        <x:v>Normal</x:v>
      </x:c>
      <x:c r="G2455" s="93" t="n">
        <x:v>105.35</x:v>
      </x:c>
      <x:c r="H2455" s="85" t="str">
        <x:v>Diagnóstico e execução</x:v>
      </x:c>
    </x:row>
    <x:row r="2456">
      <x:c r="A2456" s="83" t="n">
        <x:v>2455</x:v>
      </x:c>
      <x:c r="B2456" s="84" t="n">
        <x:v>1443</x:v>
      </x:c>
      <x:c r="C2456" s="84" t="n">
        <x:v>28</x:v>
      </x:c>
      <x:c r="D2456" s="89" t="n">
        <x:v>45966</x:v>
      </x:c>
      <x:c r="E2456" s="84" t="n">
        <x:v>7.7</x:v>
      </x:c>
      <x:c r="F2456" s="84" t="str">
        <x:v>Normal</x:v>
      </x:c>
      <x:c r="G2456" s="93" t="n">
        <x:v>289.67</x:v>
      </x:c>
      <x:c r="H2456" s="85" t="str">
        <x:v>Diagnóstico e execução</x:v>
      </x:c>
    </x:row>
    <x:row r="2457">
      <x:c r="A2457" s="83" t="n">
        <x:v>2456</x:v>
      </x:c>
      <x:c r="B2457" s="84" t="n">
        <x:v>1444</x:v>
      </x:c>
      <x:c r="C2457" s="84" t="n">
        <x:v>17</x:v>
      </x:c>
      <x:c r="D2457" s="89" t="n">
        <x:v>45872</x:v>
      </x:c>
      <x:c r="E2457" s="84" t="n">
        <x:v>7.1</x:v>
      </x:c>
      <x:c r="F2457" s="84" t="str">
        <x:v>Normal</x:v>
      </x:c>
      <x:c r="G2457" s="93" t="n">
        <x:v>396.04</x:v>
      </x:c>
      <x:c r="H2457" s="85" t="str">
        <x:v>Diagnóstico e execução</x:v>
      </x:c>
    </x:row>
    <x:row r="2458">
      <x:c r="A2458" s="83" t="n">
        <x:v>2457</x:v>
      </x:c>
      <x:c r="B2458" s="84" t="n">
        <x:v>1444</x:v>
      </x:c>
      <x:c r="C2458" s="84" t="n">
        <x:v>45</x:v>
      </x:c>
      <x:c r="D2458" s="89" t="n">
        <x:v>45872</x:v>
      </x:c>
      <x:c r="E2458" s="84" t="n">
        <x:v>4.7</x:v>
      </x:c>
      <x:c r="F2458" s="84" t="str">
        <x:v>Normal</x:v>
      </x:c>
      <x:c r="G2458" s="93" t="n">
        <x:v>251.78</x:v>
      </x:c>
      <x:c r="H2458" s="85" t="str">
        <x:v>Diagnóstico e execução</x:v>
      </x:c>
    </x:row>
    <x:row r="2459">
      <x:c r="A2459" s="83" t="n">
        <x:v>2458</x:v>
      </x:c>
      <x:c r="B2459" s="84" t="n">
        <x:v>1446</x:v>
      </x:c>
      <x:c r="C2459" s="84" t="n">
        <x:v>11</x:v>
      </x:c>
      <x:c r="D2459" s="89" t="n">
        <x:v>44993</x:v>
      </x:c>
      <x:c r="E2459" s="84" t="n">
        <x:v>2.7</x:v>
      </x:c>
      <x:c r="F2459" s="84" t="str">
        <x:v>Normal</x:v>
      </x:c>
      <x:c r="G2459" s="93" t="n">
        <x:v>112.54</x:v>
      </x:c>
      <x:c r="H2459" s="85" t="str">
        <x:v>Diagnóstico e execução</x:v>
      </x:c>
    </x:row>
    <x:row r="2460">
      <x:c r="A2460" s="83" t="n">
        <x:v>2459</x:v>
      </x:c>
      <x:c r="B2460" s="84" t="n">
        <x:v>1447</x:v>
      </x:c>
      <x:c r="C2460" s="84" t="n">
        <x:v>22</x:v>
      </x:c>
      <x:c r="D2460" s="89" t="n">
        <x:v>45448</x:v>
      </x:c>
      <x:c r="E2460" s="84" t="n">
        <x:v>1.1</x:v>
      </x:c>
      <x:c r="F2460" s="84" t="str">
        <x:v>Normal</x:v>
      </x:c>
      <x:c r="G2460" s="93" t="n">
        <x:v>42.31</x:v>
      </x:c>
      <x:c r="H2460" s="85" t="str">
        <x:v>Diagnóstico e execução</x:v>
      </x:c>
    </x:row>
    <x:row r="2461">
      <x:c r="A2461" s="83" t="n">
        <x:v>2460</x:v>
      </x:c>
      <x:c r="B2461" s="84" t="n">
        <x:v>1447</x:v>
      </x:c>
      <x:c r="C2461" s="84" t="n">
        <x:v>36</x:v>
      </x:c>
      <x:c r="D2461" s="89" t="n">
        <x:v>45448</x:v>
      </x:c>
      <x:c r="E2461" s="84" t="n">
        <x:v>1.9</x:v>
      </x:c>
      <x:c r="F2461" s="84" t="str">
        <x:v>Normal</x:v>
      </x:c>
      <x:c r="G2461" s="93" t="n">
        <x:v>56.35</x:v>
      </x:c>
      <x:c r="H2461" s="85" t="str">
        <x:v>Diagnóstico e execução</x:v>
      </x:c>
    </x:row>
    <x:row r="2462">
      <x:c r="A2462" s="83" t="n">
        <x:v>2461</x:v>
      </x:c>
      <x:c r="B2462" s="84" t="n">
        <x:v>1448</x:v>
      </x:c>
      <x:c r="C2462" s="84" t="n">
        <x:v>19</x:v>
      </x:c>
      <x:c r="D2462" s="89" t="n">
        <x:v>45141</x:v>
      </x:c>
      <x:c r="E2462" s="84" t="n">
        <x:v>6.2</x:v>
      </x:c>
      <x:c r="F2462" s="84" t="str">
        <x:v>Normal</x:v>
      </x:c>
      <x:c r="G2462" s="93" t="n">
        <x:v>288.18</x:v>
      </x:c>
      <x:c r="H2462" s="85" t="str">
        <x:v>Diagnóstico e execução</x:v>
      </x:c>
    </x:row>
    <x:row r="2463">
      <x:c r="A2463" s="83" t="n">
        <x:v>2462</x:v>
      </x:c>
      <x:c r="B2463" s="84" t="n">
        <x:v>1448</x:v>
      </x:c>
      <x:c r="C2463" s="84" t="n">
        <x:v>44</x:v>
      </x:c>
      <x:c r="D2463" s="89" t="n">
        <x:v>45141</x:v>
      </x:c>
      <x:c r="E2463" s="84" t="n">
        <x:v>4.3</x:v>
      </x:c>
      <x:c r="F2463" s="84" t="str">
        <x:v>Normal</x:v>
      </x:c>
      <x:c r="G2463" s="93" t="n">
        <x:v>120.57</x:v>
      </x:c>
      <x:c r="H2463" s="85" t="str">
        <x:v>Diagnóstico e execução</x:v>
      </x:c>
    </x:row>
    <x:row r="2464">
      <x:c r="A2464" s="83" t="n">
        <x:v>2463</x:v>
      </x:c>
      <x:c r="B2464" s="84" t="n">
        <x:v>1448</x:v>
      </x:c>
      <x:c r="C2464" s="84" t="n">
        <x:v>29</x:v>
      </x:c>
      <x:c r="D2464" s="89" t="n">
        <x:v>45141</x:v>
      </x:c>
      <x:c r="E2464" s="84" t="n">
        <x:v>5.6</x:v>
      </x:c>
      <x:c r="F2464" s="84" t="str">
        <x:v>Normal</x:v>
      </x:c>
      <x:c r="G2464" s="93" t="n">
        <x:v>277.31</x:v>
      </x:c>
      <x:c r="H2464" s="85" t="str">
        <x:v>Diagnóstico e execução</x:v>
      </x:c>
    </x:row>
    <x:row r="2465">
      <x:c r="A2465" s="83" t="n">
        <x:v>2464</x:v>
      </x:c>
      <x:c r="B2465" s="84" t="n">
        <x:v>1449</x:v>
      </x:c>
      <x:c r="C2465" s="84" t="n">
        <x:v>19</x:v>
      </x:c>
      <x:c r="D2465" s="89" t="n">
        <x:v>45259</x:v>
      </x:c>
      <x:c r="E2465" s="84" t="n">
        <x:v>4.5</x:v>
      </x:c>
      <x:c r="F2465" s="84" t="str">
        <x:v>Normal</x:v>
      </x:c>
      <x:c r="G2465" s="93" t="n">
        <x:v>209.16</x:v>
      </x:c>
      <x:c r="H2465" s="85" t="str">
        <x:v>Diagnóstico e execução</x:v>
      </x:c>
    </x:row>
    <x:row r="2466">
      <x:c r="A2466" s="83" t="n">
        <x:v>2465</x:v>
      </x:c>
      <x:c r="B2466" s="84" t="n">
        <x:v>1449</x:v>
      </x:c>
      <x:c r="C2466" s="84" t="n">
        <x:v>12</x:v>
      </x:c>
      <x:c r="D2466" s="89" t="n">
        <x:v>45259</x:v>
      </x:c>
      <x:c r="E2466" s="84" t="n">
        <x:v>5.5</x:v>
      </x:c>
      <x:c r="F2466" s="84" t="str">
        <x:v>Normal</x:v>
      </x:c>
      <x:c r="G2466" s="93" t="n">
        <x:v>189.75</x:v>
      </x:c>
      <x:c r="H2466" s="85" t="str">
        <x:v>Diagnóstico e execução</x:v>
      </x:c>
    </x:row>
    <x:row r="2467">
      <x:c r="A2467" s="83" t="n">
        <x:v>2466</x:v>
      </x:c>
      <x:c r="B2467" s="84" t="n">
        <x:v>1450</x:v>
      </x:c>
      <x:c r="C2467" s="84" t="n">
        <x:v>37</x:v>
      </x:c>
      <x:c r="D2467" s="89" t="n">
        <x:v>45941</x:v>
      </x:c>
      <x:c r="E2467" s="84" t="n">
        <x:v>2</x:v>
      </x:c>
      <x:c r="F2467" s="84" t="str">
        <x:v>Normal</x:v>
      </x:c>
      <x:c r="G2467" s="93" t="n">
        <x:v>117.94</x:v>
      </x:c>
      <x:c r="H2467" s="85" t="str">
        <x:v>Diagnóstico e execução</x:v>
      </x:c>
    </x:row>
    <x:row r="2468">
      <x:c r="A2468" s="83" t="n">
        <x:v>2467</x:v>
      </x:c>
      <x:c r="B2468" s="84" t="n">
        <x:v>1450</x:v>
      </x:c>
      <x:c r="C2468" s="84" t="n">
        <x:v>31</x:v>
      </x:c>
      <x:c r="D2468" s="89" t="n">
        <x:v>45941</x:v>
      </x:c>
      <x:c r="E2468" s="84" t="n">
        <x:v>7.1</x:v>
      </x:c>
      <x:c r="F2468" s="84" t="str">
        <x:v>Normal</x:v>
      </x:c>
      <x:c r="G2468" s="93" t="n">
        <x:v>347.19</x:v>
      </x:c>
      <x:c r="H2468" s="85" t="str">
        <x:v>Diagnóstico e execução</x:v>
      </x:c>
    </x:row>
    <x:row r="2469">
      <x:c r="A2469" s="83" t="n">
        <x:v>2468</x:v>
      </x:c>
      <x:c r="B2469" s="84" t="n">
        <x:v>1451</x:v>
      </x:c>
      <x:c r="C2469" s="84" t="n">
        <x:v>35</x:v>
      </x:c>
      <x:c r="D2469" s="89" t="n">
        <x:v>45869</x:v>
      </x:c>
      <x:c r="E2469" s="84" t="n">
        <x:v>7.7</x:v>
      </x:c>
      <x:c r="F2469" s="84" t="str">
        <x:v>Normal</x:v>
      </x:c>
      <x:c r="G2469" s="93" t="n">
        <x:v>378.76</x:v>
      </x:c>
      <x:c r="H2469" s="85" t="str">
        <x:v>Diagnóstico e execução</x:v>
      </x:c>
    </x:row>
    <x:row r="2470">
      <x:c r="A2470" s="83" t="n">
        <x:v>2469</x:v>
      </x:c>
      <x:c r="B2470" s="84" t="n">
        <x:v>1451</x:v>
      </x:c>
      <x:c r="C2470" s="84" t="n">
        <x:v>14</x:v>
      </x:c>
      <x:c r="D2470" s="89" t="n">
        <x:v>45869</x:v>
      </x:c>
      <x:c r="E2470" s="84" t="n">
        <x:v>4</x:v>
      </x:c>
      <x:c r="F2470" s="84" t="str">
        <x:v>Normal</x:v>
      </x:c>
      <x:c r="G2470" s="93" t="n">
        <x:v>226.64</x:v>
      </x:c>
      <x:c r="H2470" s="85" t="str">
        <x:v>Diagnóstico e execução</x:v>
      </x:c>
    </x:row>
    <x:row r="2471">
      <x:c r="A2471" s="83" t="n">
        <x:v>2470</x:v>
      </x:c>
      <x:c r="B2471" s="84" t="n">
        <x:v>1452</x:v>
      </x:c>
      <x:c r="C2471" s="84" t="n">
        <x:v>27</x:v>
      </x:c>
      <x:c r="D2471" s="89" t="n">
        <x:v>45121</x:v>
      </x:c>
      <x:c r="E2471" s="84" t="n">
        <x:v>3.8</x:v>
      </x:c>
      <x:c r="F2471" s="84" t="str">
        <x:v>Normal</x:v>
      </x:c>
      <x:c r="G2471" s="93" t="n">
        <x:v>231.76</x:v>
      </x:c>
      <x:c r="H2471" s="85" t="str">
        <x:v>Diagnóstico e execução</x:v>
      </x:c>
    </x:row>
    <x:row r="2472">
      <x:c r="A2472" s="83" t="n">
        <x:v>2471</x:v>
      </x:c>
      <x:c r="B2472" s="84" t="n">
        <x:v>1452</x:v>
      </x:c>
      <x:c r="C2472" s="84" t="n">
        <x:v>6</x:v>
      </x:c>
      <x:c r="D2472" s="89" t="n">
        <x:v>45121</x:v>
      </x:c>
      <x:c r="E2472" s="84" t="n">
        <x:v>4.9</x:v>
      </x:c>
      <x:c r="F2472" s="84" t="str">
        <x:v>Normal</x:v>
      </x:c>
      <x:c r="G2472" s="93" t="n">
        <x:v>256.07</x:v>
      </x:c>
      <x:c r="H2472" s="85" t="str">
        <x:v>Diagnóstico e execução</x:v>
      </x:c>
    </x:row>
    <x:row r="2473">
      <x:c r="A2473" s="83" t="n">
        <x:v>2472</x:v>
      </x:c>
      <x:c r="B2473" s="84" t="n">
        <x:v>1452</x:v>
      </x:c>
      <x:c r="C2473" s="84" t="n">
        <x:v>24</x:v>
      </x:c>
      <x:c r="D2473" s="89" t="n">
        <x:v>45121</x:v>
      </x:c>
      <x:c r="E2473" s="84" t="n">
        <x:v>4.4</x:v>
      </x:c>
      <x:c r="F2473" s="84" t="str">
        <x:v>Normal</x:v>
      </x:c>
      <x:c r="G2473" s="93" t="n">
        <x:v>260.66</x:v>
      </x:c>
      <x:c r="H2473" s="85" t="str">
        <x:v>Diagnóstico e execução</x:v>
      </x:c>
    </x:row>
    <x:row r="2474">
      <x:c r="A2474" s="83" t="n">
        <x:v>2473</x:v>
      </x:c>
      <x:c r="B2474" s="84" t="n">
        <x:v>1453</x:v>
      </x:c>
      <x:c r="C2474" s="84" t="n">
        <x:v>25</x:v>
      </x:c>
      <x:c r="D2474" s="89" t="n">
        <x:v>45148</x:v>
      </x:c>
      <x:c r="E2474" s="84" t="n">
        <x:v>6.9</x:v>
      </x:c>
      <x:c r="F2474" s="84" t="str">
        <x:v>Normal</x:v>
      </x:c>
      <x:c r="G2474" s="93" t="n">
        <x:v>369.77</x:v>
      </x:c>
      <x:c r="H2474" s="85" t="str">
        <x:v>Diagnóstico e execução</x:v>
      </x:c>
    </x:row>
    <x:row r="2475">
      <x:c r="A2475" s="83" t="n">
        <x:v>2474</x:v>
      </x:c>
      <x:c r="B2475" s="84" t="n">
        <x:v>1453</x:v>
      </x:c>
      <x:c r="C2475" s="84" t="n">
        <x:v>32</x:v>
      </x:c>
      <x:c r="D2475" s="89" t="n">
        <x:v>45148</x:v>
      </x:c>
      <x:c r="E2475" s="84" t="n">
        <x:v>2.5</x:v>
      </x:c>
      <x:c r="F2475" s="84" t="str">
        <x:v>Normal</x:v>
      </x:c>
      <x:c r="G2475" s="93" t="n">
        <x:v>109.12</x:v>
      </x:c>
      <x:c r="H2475" s="85" t="str">
        <x:v>Diagnóstico e execução</x:v>
      </x:c>
    </x:row>
    <x:row r="2476">
      <x:c r="A2476" s="83" t="n">
        <x:v>2475</x:v>
      </x:c>
      <x:c r="B2476" s="84" t="n">
        <x:v>1453</x:v>
      </x:c>
      <x:c r="C2476" s="84" t="n">
        <x:v>43</x:v>
      </x:c>
      <x:c r="D2476" s="89" t="n">
        <x:v>45148</x:v>
      </x:c>
      <x:c r="E2476" s="84" t="n">
        <x:v>5.6</x:v>
      </x:c>
      <x:c r="F2476" s="84" t="str">
        <x:v>Normal</x:v>
      </x:c>
      <x:c r="G2476" s="93" t="n">
        <x:v>306.1</x:v>
      </x:c>
      <x:c r="H2476" s="85" t="str">
        <x:v>Diagnóstico e execução</x:v>
      </x:c>
    </x:row>
    <x:row r="2477">
      <x:c r="A2477" s="83" t="n">
        <x:v>2476</x:v>
      </x:c>
      <x:c r="B2477" s="84" t="n">
        <x:v>1455</x:v>
      </x:c>
      <x:c r="C2477" s="84" t="n">
        <x:v>29</x:v>
      </x:c>
      <x:c r="D2477" s="89" t="n">
        <x:v>45306</x:v>
      </x:c>
      <x:c r="E2477" s="84" t="n">
        <x:v>1.1</x:v>
      </x:c>
      <x:c r="F2477" s="84" t="str">
        <x:v>Normal</x:v>
      </x:c>
      <x:c r="G2477" s="93" t="n">
        <x:v>54.47</x:v>
      </x:c>
      <x:c r="H2477" s="85" t="str">
        <x:v>Diagnóstico e execução</x:v>
      </x:c>
    </x:row>
    <x:row r="2478">
      <x:c r="A2478" s="83" t="n">
        <x:v>2477</x:v>
      </x:c>
      <x:c r="B2478" s="84" t="n">
        <x:v>1455</x:v>
      </x:c>
      <x:c r="C2478" s="84" t="n">
        <x:v>6</x:v>
      </x:c>
      <x:c r="D2478" s="89" t="n">
        <x:v>45306</x:v>
      </x:c>
      <x:c r="E2478" s="84" t="n">
        <x:v>7.4</x:v>
      </x:c>
      <x:c r="F2478" s="84" t="str">
        <x:v>Normal</x:v>
      </x:c>
      <x:c r="G2478" s="93" t="n">
        <x:v>386.72</x:v>
      </x:c>
      <x:c r="H2478" s="85" t="str">
        <x:v>Diagnóstico e execução</x:v>
      </x:c>
    </x:row>
    <x:row r="2479">
      <x:c r="A2479" s="83" t="n">
        <x:v>2478</x:v>
      </x:c>
      <x:c r="B2479" s="84" t="n">
        <x:v>1455</x:v>
      </x:c>
      <x:c r="C2479" s="84" t="n">
        <x:v>40</x:v>
      </x:c>
      <x:c r="D2479" s="89" t="n">
        <x:v>45306</x:v>
      </x:c>
      <x:c r="E2479" s="84" t="n">
        <x:v>3.8</x:v>
      </x:c>
      <x:c r="F2479" s="84" t="str">
        <x:v>Normal</x:v>
      </x:c>
      <x:c r="G2479" s="93" t="n">
        <x:v>187.8</x:v>
      </x:c>
      <x:c r="H2479" s="85" t="str">
        <x:v>Diagnóstico e execução</x:v>
      </x:c>
    </x:row>
    <x:row r="2480">
      <x:c r="A2480" s="83" t="n">
        <x:v>2479</x:v>
      </x:c>
      <x:c r="B2480" s="84" t="n">
        <x:v>1456</x:v>
      </x:c>
      <x:c r="C2480" s="84" t="n">
        <x:v>6</x:v>
      </x:c>
      <x:c r="D2480" s="89" t="n">
        <x:v>45497</x:v>
      </x:c>
      <x:c r="E2480" s="84" t="n">
        <x:v>1</x:v>
      </x:c>
      <x:c r="F2480" s="84" t="str">
        <x:v>Normal</x:v>
      </x:c>
      <x:c r="G2480" s="93" t="n">
        <x:v>52.26</x:v>
      </x:c>
      <x:c r="H2480" s="85" t="str">
        <x:v>Diagnóstico e execução</x:v>
      </x:c>
    </x:row>
    <x:row r="2481">
      <x:c r="A2481" s="83" t="n">
        <x:v>2480</x:v>
      </x:c>
      <x:c r="B2481" s="84" t="n">
        <x:v>1456</x:v>
      </x:c>
      <x:c r="C2481" s="84" t="n">
        <x:v>44</x:v>
      </x:c>
      <x:c r="D2481" s="89" t="n">
        <x:v>45497</x:v>
      </x:c>
      <x:c r="E2481" s="84" t="n">
        <x:v>6.3</x:v>
      </x:c>
      <x:c r="F2481" s="84" t="str">
        <x:v>Normal</x:v>
      </x:c>
      <x:c r="G2481" s="93" t="n">
        <x:v>176.65</x:v>
      </x:c>
      <x:c r="H2481" s="85" t="str">
        <x:v>Diagnóstico e execução</x:v>
      </x:c>
    </x:row>
    <x:row r="2482">
      <x:c r="A2482" s="83" t="n">
        <x:v>2481</x:v>
      </x:c>
      <x:c r="B2482" s="84" t="n">
        <x:v>1456</x:v>
      </x:c>
      <x:c r="C2482" s="84" t="n">
        <x:v>4</x:v>
      </x:c>
      <x:c r="D2482" s="89" t="n">
        <x:v>45497</x:v>
      </x:c>
      <x:c r="E2482" s="84" t="n">
        <x:v>2.3</x:v>
      </x:c>
      <x:c r="F2482" s="84" t="str">
        <x:v>Normal</x:v>
      </x:c>
      <x:c r="G2482" s="93" t="n">
        <x:v>113.14</x:v>
      </x:c>
      <x:c r="H2482" s="85" t="str">
        <x:v>Diagnóstico e execução</x:v>
      </x:c>
    </x:row>
    <x:row r="2483">
      <x:c r="A2483" s="83" t="n">
        <x:v>2482</x:v>
      </x:c>
      <x:c r="B2483" s="84" t="n">
        <x:v>1457</x:v>
      </x:c>
      <x:c r="C2483" s="84" t="n">
        <x:v>36</x:v>
      </x:c>
      <x:c r="D2483" s="89" t="n">
        <x:v>45397</x:v>
      </x:c>
      <x:c r="E2483" s="84" t="n">
        <x:v>2</x:v>
      </x:c>
      <x:c r="F2483" s="84" t="str">
        <x:v>Normal</x:v>
      </x:c>
      <x:c r="G2483" s="93" t="n">
        <x:v>59.32</x:v>
      </x:c>
      <x:c r="H2483" s="85" t="str">
        <x:v>Diagnóstico e execução</x:v>
      </x:c>
    </x:row>
    <x:row r="2484">
      <x:c r="A2484" s="83" t="n">
        <x:v>2483</x:v>
      </x:c>
      <x:c r="B2484" s="84" t="n">
        <x:v>1458</x:v>
      </x:c>
      <x:c r="C2484" s="84" t="n">
        <x:v>35</x:v>
      </x:c>
      <x:c r="D2484" s="89" t="n">
        <x:v>45321</x:v>
      </x:c>
      <x:c r="E2484" s="84" t="n">
        <x:v>7.3</x:v>
      </x:c>
      <x:c r="F2484" s="84" t="str">
        <x:v>Normal</x:v>
      </x:c>
      <x:c r="G2484" s="93" t="n">
        <x:v>359.09</x:v>
      </x:c>
      <x:c r="H2484" s="85" t="str">
        <x:v>Diagnóstico e execução</x:v>
      </x:c>
    </x:row>
    <x:row r="2485">
      <x:c r="A2485" s="83" t="n">
        <x:v>2484</x:v>
      </x:c>
      <x:c r="B2485" s="84" t="n">
        <x:v>1459</x:v>
      </x:c>
      <x:c r="C2485" s="84" t="n">
        <x:v>28</x:v>
      </x:c>
      <x:c r="D2485" s="89" t="n">
        <x:v>45294</x:v>
      </x:c>
      <x:c r="E2485" s="84" t="n">
        <x:v>1.9</x:v>
      </x:c>
      <x:c r="F2485" s="84" t="str">
        <x:v>Normal</x:v>
      </x:c>
      <x:c r="G2485" s="93" t="n">
        <x:v>71.48</x:v>
      </x:c>
      <x:c r="H2485" s="85" t="str">
        <x:v>Diagnóstico e execução</x:v>
      </x:c>
    </x:row>
    <x:row r="2486">
      <x:c r="A2486" s="83" t="n">
        <x:v>2485</x:v>
      </x:c>
      <x:c r="B2486" s="84" t="n">
        <x:v>1461</x:v>
      </x:c>
      <x:c r="C2486" s="84" t="n">
        <x:v>10</x:v>
      </x:c>
      <x:c r="D2486" s="89" t="n">
        <x:v>45595</x:v>
      </x:c>
      <x:c r="E2486" s="84" t="n">
        <x:v>4.4</x:v>
      </x:c>
      <x:c r="F2486" s="84" t="str">
        <x:v>Normal</x:v>
      </x:c>
      <x:c r="G2486" s="93" t="n">
        <x:v>130.64</x:v>
      </x:c>
      <x:c r="H2486" s="85" t="str">
        <x:v>Diagnóstico e execução</x:v>
      </x:c>
    </x:row>
    <x:row r="2487">
      <x:c r="A2487" s="83" t="n">
        <x:v>2486</x:v>
      </x:c>
      <x:c r="B2487" s="84" t="n">
        <x:v>1461</x:v>
      </x:c>
      <x:c r="C2487" s="84" t="n">
        <x:v>34</x:v>
      </x:c>
      <x:c r="D2487" s="89" t="n">
        <x:v>45595</x:v>
      </x:c>
      <x:c r="E2487" s="84" t="n">
        <x:v>4.2</x:v>
      </x:c>
      <x:c r="F2487" s="84" t="str">
        <x:v>Normal</x:v>
      </x:c>
      <x:c r="G2487" s="93" t="n">
        <x:v>181.57</x:v>
      </x:c>
      <x:c r="H2487" s="85" t="str">
        <x:v>Diagnóstico e execução</x:v>
      </x:c>
    </x:row>
    <x:row r="2488">
      <x:c r="A2488" s="83" t="n">
        <x:v>2487</x:v>
      </x:c>
      <x:c r="B2488" s="84" t="n">
        <x:v>1461</x:v>
      </x:c>
      <x:c r="C2488" s="84" t="n">
        <x:v>19</x:v>
      </x:c>
      <x:c r="D2488" s="89" t="n">
        <x:v>45595</x:v>
      </x:c>
      <x:c r="E2488" s="84" t="n">
        <x:v>6.9</x:v>
      </x:c>
      <x:c r="F2488" s="84" t="str">
        <x:v>Normal</x:v>
      </x:c>
      <x:c r="G2488" s="93" t="n">
        <x:v>320.71</x:v>
      </x:c>
      <x:c r="H2488" s="85" t="str">
        <x:v>Diagnóstico e execução</x:v>
      </x:c>
    </x:row>
    <x:row r="2489">
      <x:c r="A2489" s="83" t="n">
        <x:v>2488</x:v>
      </x:c>
      <x:c r="B2489" s="84" t="n">
        <x:v>1462</x:v>
      </x:c>
      <x:c r="C2489" s="84" t="n">
        <x:v>3</x:v>
      </x:c>
      <x:c r="D2489" s="89" t="n">
        <x:v>45282</x:v>
      </x:c>
      <x:c r="E2489" s="84" t="n">
        <x:v>3.9</x:v>
      </x:c>
      <x:c r="F2489" s="84" t="str">
        <x:v>Normal</x:v>
      </x:c>
      <x:c r="G2489" s="93" t="n">
        <x:v>192.04</x:v>
      </x:c>
      <x:c r="H2489" s="85" t="str">
        <x:v>Diagnóstico e execução</x:v>
      </x:c>
    </x:row>
    <x:row r="2490">
      <x:c r="A2490" s="83" t="n">
        <x:v>2489</x:v>
      </x:c>
      <x:c r="B2490" s="84" t="n">
        <x:v>1462</x:v>
      </x:c>
      <x:c r="C2490" s="84" t="n">
        <x:v>28</x:v>
      </x:c>
      <x:c r="D2490" s="89" t="n">
        <x:v>45282</x:v>
      </x:c>
      <x:c r="E2490" s="84" t="n">
        <x:v>4.6</x:v>
      </x:c>
      <x:c r="F2490" s="84" t="str">
        <x:v>Normal</x:v>
      </x:c>
      <x:c r="G2490" s="93" t="n">
        <x:v>173.05</x:v>
      </x:c>
      <x:c r="H2490" s="85" t="str">
        <x:v>Diagnóstico e execução</x:v>
      </x:c>
    </x:row>
    <x:row r="2491">
      <x:c r="A2491" s="83" t="n">
        <x:v>2490</x:v>
      </x:c>
      <x:c r="B2491" s="84" t="n">
        <x:v>1463</x:v>
      </x:c>
      <x:c r="C2491" s="84" t="n">
        <x:v>21</x:v>
      </x:c>
      <x:c r="D2491" s="89" t="n">
        <x:v>45698</x:v>
      </x:c>
      <x:c r="E2491" s="84" t="n">
        <x:v>3.7</x:v>
      </x:c>
      <x:c r="F2491" s="84" t="str">
        <x:v>Normal</x:v>
      </x:c>
      <x:c r="G2491" s="93" t="n">
        <x:v>227.29</x:v>
      </x:c>
      <x:c r="H2491" s="85" t="str">
        <x:v>Diagnóstico e execução</x:v>
      </x:c>
    </x:row>
    <x:row r="2492">
      <x:c r="A2492" s="83" t="n">
        <x:v>2491</x:v>
      </x:c>
      <x:c r="B2492" s="84" t="n">
        <x:v>1463</x:v>
      </x:c>
      <x:c r="C2492" s="84" t="n">
        <x:v>24</x:v>
      </x:c>
      <x:c r="D2492" s="89" t="n">
        <x:v>45698</x:v>
      </x:c>
      <x:c r="E2492" s="84" t="n">
        <x:v>4.7</x:v>
      </x:c>
      <x:c r="F2492" s="84" t="str">
        <x:v>Normal</x:v>
      </x:c>
      <x:c r="G2492" s="93" t="n">
        <x:v>278.43</x:v>
      </x:c>
      <x:c r="H2492" s="85" t="str">
        <x:v>Diagnóstico e execução</x:v>
      </x:c>
    </x:row>
    <x:row r="2493">
      <x:c r="A2493" s="83" t="n">
        <x:v>2492</x:v>
      </x:c>
      <x:c r="B2493" s="84" t="n">
        <x:v>1464</x:v>
      </x:c>
      <x:c r="C2493" s="84" t="n">
        <x:v>5</x:v>
      </x:c>
      <x:c r="D2493" s="89" t="n">
        <x:v>45515</x:v>
      </x:c>
      <x:c r="E2493" s="84" t="n">
        <x:v>4.9</x:v>
      </x:c>
      <x:c r="F2493" s="84" t="str">
        <x:v>Normal</x:v>
      </x:c>
      <x:c r="G2493" s="93" t="n">
        <x:v>141.22</x:v>
      </x:c>
      <x:c r="H2493" s="85" t="str">
        <x:v>Diagnóstico e execução</x:v>
      </x:c>
    </x:row>
    <x:row r="2494">
      <x:c r="A2494" s="83" t="n">
        <x:v>2493</x:v>
      </x:c>
      <x:c r="B2494" s="84" t="n">
        <x:v>1464</x:v>
      </x:c>
      <x:c r="C2494" s="84" t="n">
        <x:v>3</x:v>
      </x:c>
      <x:c r="D2494" s="89" t="n">
        <x:v>45515</x:v>
      </x:c>
      <x:c r="E2494" s="84" t="n">
        <x:v>2.9</x:v>
      </x:c>
      <x:c r="F2494" s="84" t="str">
        <x:v>Normal</x:v>
      </x:c>
      <x:c r="G2494" s="93" t="n">
        <x:v>142.8</x:v>
      </x:c>
      <x:c r="H2494" s="85" t="str">
        <x:v>Diagnóstico e execução</x:v>
      </x:c>
    </x:row>
    <x:row r="2495">
      <x:c r="A2495" s="83" t="n">
        <x:v>2494</x:v>
      </x:c>
      <x:c r="B2495" s="84" t="n">
        <x:v>1464</x:v>
      </x:c>
      <x:c r="C2495" s="84" t="n">
        <x:v>10</x:v>
      </x:c>
      <x:c r="D2495" s="89" t="n">
        <x:v>45515</x:v>
      </x:c>
      <x:c r="E2495" s="84" t="n">
        <x:v>5.9</x:v>
      </x:c>
      <x:c r="F2495" s="84" t="str">
        <x:v>Normal</x:v>
      </x:c>
      <x:c r="G2495" s="93" t="n">
        <x:v>175.17</x:v>
      </x:c>
      <x:c r="H2495" s="85" t="str">
        <x:v>Diagnóstico e execução</x:v>
      </x:c>
    </x:row>
    <x:row r="2496">
      <x:c r="A2496" s="83" t="n">
        <x:v>2495</x:v>
      </x:c>
      <x:c r="B2496" s="84" t="n">
        <x:v>1465</x:v>
      </x:c>
      <x:c r="C2496" s="84" t="n">
        <x:v>25</x:v>
      </x:c>
      <x:c r="D2496" s="89" t="n">
        <x:v>45828</x:v>
      </x:c>
      <x:c r="E2496" s="84" t="n">
        <x:v>6.6</x:v>
      </x:c>
      <x:c r="F2496" s="84" t="str">
        <x:v>Normal</x:v>
      </x:c>
      <x:c r="G2496" s="93" t="n">
        <x:v>353.69</x:v>
      </x:c>
      <x:c r="H2496" s="85" t="str">
        <x:v>Diagnóstico e execução</x:v>
      </x:c>
    </x:row>
    <x:row r="2497">
      <x:c r="A2497" s="83" t="n">
        <x:v>2496</x:v>
      </x:c>
      <x:c r="B2497" s="84" t="n">
        <x:v>1465</x:v>
      </x:c>
      <x:c r="C2497" s="84" t="n">
        <x:v>9</x:v>
      </x:c>
      <x:c r="D2497" s="89" t="n">
        <x:v>45828</x:v>
      </x:c>
      <x:c r="E2497" s="84" t="n">
        <x:v>2.8</x:v>
      </x:c>
      <x:c r="F2497" s="84" t="str">
        <x:v>Normal</x:v>
      </x:c>
      <x:c r="G2497" s="93" t="n">
        <x:v>147.48</x:v>
      </x:c>
      <x:c r="H2497" s="85" t="str">
        <x:v>Diagnóstico e execução</x:v>
      </x:c>
    </x:row>
    <x:row r="2498">
      <x:c r="A2498" s="83" t="n">
        <x:v>2497</x:v>
      </x:c>
      <x:c r="B2498" s="84" t="n">
        <x:v>1465</x:v>
      </x:c>
      <x:c r="C2498" s="84" t="n">
        <x:v>15</x:v>
      </x:c>
      <x:c r="D2498" s="89" t="n">
        <x:v>45828</x:v>
      </x:c>
      <x:c r="E2498" s="84" t="n">
        <x:v>5.5</x:v>
      </x:c>
      <x:c r="F2498" s="84" t="str">
        <x:v>Normal</x:v>
      </x:c>
      <x:c r="G2498" s="93" t="n">
        <x:v>166.32</x:v>
      </x:c>
      <x:c r="H2498" s="85" t="str">
        <x:v>Diagnóstico e execução</x:v>
      </x:c>
    </x:row>
    <x:row r="2499">
      <x:c r="A2499" s="83" t="n">
        <x:v>2498</x:v>
      </x:c>
      <x:c r="B2499" s="84" t="n">
        <x:v>1466</x:v>
      </x:c>
      <x:c r="C2499" s="84" t="n">
        <x:v>27</x:v>
      </x:c>
      <x:c r="D2499" s="89" t="n">
        <x:v>45716</x:v>
      </x:c>
      <x:c r="E2499" s="84" t="n">
        <x:v>2.6</x:v>
      </x:c>
      <x:c r="F2499" s="84" t="str">
        <x:v>Normal</x:v>
      </x:c>
      <x:c r="G2499" s="93" t="n">
        <x:v>158.57</x:v>
      </x:c>
      <x:c r="H2499" s="85" t="str">
        <x:v>Diagnóstico e execução</x:v>
      </x:c>
    </x:row>
    <x:row r="2500">
      <x:c r="A2500" s="83" t="n">
        <x:v>2499</x:v>
      </x:c>
      <x:c r="B2500" s="84" t="n">
        <x:v>1467</x:v>
      </x:c>
      <x:c r="C2500" s="84" t="n">
        <x:v>14</x:v>
      </x:c>
      <x:c r="D2500" s="89" t="n">
        <x:v>44983</x:v>
      </x:c>
      <x:c r="E2500" s="84" t="n">
        <x:v>5.8</x:v>
      </x:c>
      <x:c r="F2500" s="84" t="str">
        <x:v>Normal</x:v>
      </x:c>
      <x:c r="G2500" s="93" t="n">
        <x:v>328.63</x:v>
      </x:c>
      <x:c r="H2500" s="85" t="str">
        <x:v>Diagnóstico e execução</x:v>
      </x:c>
    </x:row>
    <x:row r="2501">
      <x:c r="A2501" s="83" t="n">
        <x:v>2500</x:v>
      </x:c>
      <x:c r="B2501" s="84" t="n">
        <x:v>1468</x:v>
      </x:c>
      <x:c r="C2501" s="84" t="n">
        <x:v>43</x:v>
      </x:c>
      <x:c r="D2501" s="89" t="n">
        <x:v>45767</x:v>
      </x:c>
      <x:c r="E2501" s="84" t="n">
        <x:v>2.9</x:v>
      </x:c>
      <x:c r="F2501" s="84" t="str">
        <x:v>Normal</x:v>
      </x:c>
      <x:c r="G2501" s="93" t="n">
        <x:v>158.51</x:v>
      </x:c>
      <x:c r="H2501" s="85" t="str">
        <x:v>Diagnóstico e execução</x:v>
      </x:c>
    </x:row>
    <x:row r="2502">
      <x:c r="A2502" s="83" t="n">
        <x:v>2501</x:v>
      </x:c>
      <x:c r="B2502" s="84" t="n">
        <x:v>1469</x:v>
      </x:c>
      <x:c r="C2502" s="84" t="n">
        <x:v>44</x:v>
      </x:c>
      <x:c r="D2502" s="89" t="n">
        <x:v>45101</x:v>
      </x:c>
      <x:c r="E2502" s="84" t="n">
        <x:v>2.1</x:v>
      </x:c>
      <x:c r="F2502" s="84" t="str">
        <x:v>Normal</x:v>
      </x:c>
      <x:c r="G2502" s="93" t="n">
        <x:v>58.88</x:v>
      </x:c>
      <x:c r="H2502" s="85" t="str">
        <x:v>Diagnóstico e execução</x:v>
      </x:c>
    </x:row>
    <x:row r="2503">
      <x:c r="A2503" s="83" t="n">
        <x:v>2502</x:v>
      </x:c>
      <x:c r="B2503" s="84" t="n">
        <x:v>1469</x:v>
      </x:c>
      <x:c r="C2503" s="84" t="n">
        <x:v>29</x:v>
      </x:c>
      <x:c r="D2503" s="89" t="n">
        <x:v>45101</x:v>
      </x:c>
      <x:c r="E2503" s="84" t="n">
        <x:v>2.6</x:v>
      </x:c>
      <x:c r="F2503" s="84" t="str">
        <x:v>Normal</x:v>
      </x:c>
      <x:c r="G2503" s="93" t="n">
        <x:v>128.75</x:v>
      </x:c>
      <x:c r="H2503" s="85" t="str">
        <x:v>Diagnóstico e execução</x:v>
      </x:c>
    </x:row>
    <x:row r="2504">
      <x:c r="A2504" s="83" t="n">
        <x:v>2503</x:v>
      </x:c>
      <x:c r="B2504" s="84" t="n">
        <x:v>1469</x:v>
      </x:c>
      <x:c r="C2504" s="84" t="n">
        <x:v>14</x:v>
      </x:c>
      <x:c r="D2504" s="89" t="n">
        <x:v>45101</x:v>
      </x:c>
      <x:c r="E2504" s="84" t="n">
        <x:v>4</x:v>
      </x:c>
      <x:c r="F2504" s="84" t="str">
        <x:v>Normal</x:v>
      </x:c>
      <x:c r="G2504" s="93" t="n">
        <x:v>226.64</x:v>
      </x:c>
      <x:c r="H2504" s="85" t="str">
        <x:v>Diagnóstico e execução</x:v>
      </x:c>
    </x:row>
    <x:row r="2505">
      <x:c r="A2505" s="83" t="n">
        <x:v>2504</x:v>
      </x:c>
      <x:c r="B2505" s="84" t="n">
        <x:v>1470</x:v>
      </x:c>
      <x:c r="C2505" s="84" t="n">
        <x:v>5</x:v>
      </x:c>
      <x:c r="D2505" s="89" t="n">
        <x:v>45041</x:v>
      </x:c>
      <x:c r="E2505" s="84" t="n">
        <x:v>1.5</x:v>
      </x:c>
      <x:c r="F2505" s="84" t="str">
        <x:v>Normal</x:v>
      </x:c>
      <x:c r="G2505" s="93" t="n">
        <x:v>43.23</x:v>
      </x:c>
      <x:c r="H2505" s="85" t="str">
        <x:v>Diagnóstico e execução</x:v>
      </x:c>
    </x:row>
    <x:row r="2506">
      <x:c r="A2506" s="83" t="n">
        <x:v>2505</x:v>
      </x:c>
      <x:c r="B2506" s="84" t="n">
        <x:v>1471</x:v>
      </x:c>
      <x:c r="C2506" s="84" t="n">
        <x:v>26</x:v>
      </x:c>
      <x:c r="D2506" s="89" t="n">
        <x:v>45995</x:v>
      </x:c>
      <x:c r="E2506" s="84" t="n">
        <x:v>0.9</x:v>
      </x:c>
      <x:c r="F2506" s="84" t="str">
        <x:v>Normal</x:v>
      </x:c>
      <x:c r="G2506" s="93" t="n">
        <x:v>35.21</x:v>
      </x:c>
      <x:c r="H2506" s="85" t="str">
        <x:v>Diagnóstico e execução</x:v>
      </x:c>
    </x:row>
    <x:row r="2507">
      <x:c r="A2507" s="83" t="n">
        <x:v>2506</x:v>
      </x:c>
      <x:c r="B2507" s="84" t="n">
        <x:v>1471</x:v>
      </x:c>
      <x:c r="C2507" s="84" t="n">
        <x:v>6</x:v>
      </x:c>
      <x:c r="D2507" s="89" t="n">
        <x:v>45995</x:v>
      </x:c>
      <x:c r="E2507" s="84" t="n">
        <x:v>7.7</x:v>
      </x:c>
      <x:c r="F2507" s="84" t="str">
        <x:v>Normal</x:v>
      </x:c>
      <x:c r="G2507" s="93" t="n">
        <x:v>402.4</x:v>
      </x:c>
      <x:c r="H2507" s="85" t="str">
        <x:v>Diagnóstico e execução</x:v>
      </x:c>
    </x:row>
    <x:row r="2508">
      <x:c r="A2508" s="83" t="n">
        <x:v>2507</x:v>
      </x:c>
      <x:c r="B2508" s="84" t="n">
        <x:v>1471</x:v>
      </x:c>
      <x:c r="C2508" s="84" t="n">
        <x:v>19</x:v>
      </x:c>
      <x:c r="D2508" s="89" t="n">
        <x:v>45995</x:v>
      </x:c>
      <x:c r="E2508" s="84" t="n">
        <x:v>1.9</x:v>
      </x:c>
      <x:c r="F2508" s="84" t="str">
        <x:v>Normal</x:v>
      </x:c>
      <x:c r="G2508" s="93" t="n">
        <x:v>88.31</x:v>
      </x:c>
      <x:c r="H2508" s="85" t="str">
        <x:v>Diagnóstico e execução</x:v>
      </x:c>
    </x:row>
    <x:row r="2509">
      <x:c r="A2509" s="83" t="n">
        <x:v>2508</x:v>
      </x:c>
      <x:c r="B2509" s="84" t="n">
        <x:v>1472</x:v>
      </x:c>
      <x:c r="C2509" s="84" t="n">
        <x:v>20</x:v>
      </x:c>
      <x:c r="D2509" s="89" t="n">
        <x:v>45779</x:v>
      </x:c>
      <x:c r="E2509" s="84" t="n">
        <x:v>6.1</x:v>
      </x:c>
      <x:c r="F2509" s="84" t="str">
        <x:v>Normal</x:v>
      </x:c>
      <x:c r="G2509" s="93" t="n">
        <x:v>204.47</x:v>
      </x:c>
      <x:c r="H2509" s="85" t="str">
        <x:v>Diagnóstico e execução</x:v>
      </x:c>
    </x:row>
    <x:row r="2510">
      <x:c r="A2510" s="83" t="n">
        <x:v>2509</x:v>
      </x:c>
      <x:c r="B2510" s="84" t="n">
        <x:v>1472</x:v>
      </x:c>
      <x:c r="C2510" s="84" t="n">
        <x:v>43</x:v>
      </x:c>
      <x:c r="D2510" s="89" t="n">
        <x:v>45779</x:v>
      </x:c>
      <x:c r="E2510" s="84" t="n">
        <x:v>1.7</x:v>
      </x:c>
      <x:c r="F2510" s="84" t="str">
        <x:v>Normal</x:v>
      </x:c>
      <x:c r="G2510" s="93" t="n">
        <x:v>92.92</x:v>
      </x:c>
      <x:c r="H2510" s="85" t="str">
        <x:v>Diagnóstico e execução</x:v>
      </x:c>
    </x:row>
    <x:row r="2511">
      <x:c r="A2511" s="83" t="n">
        <x:v>2510</x:v>
      </x:c>
      <x:c r="B2511" s="84" t="n">
        <x:v>1472</x:v>
      </x:c>
      <x:c r="C2511" s="84" t="n">
        <x:v>41</x:v>
      </x:c>
      <x:c r="D2511" s="89" t="n">
        <x:v>45779</x:v>
      </x:c>
      <x:c r="E2511" s="84" t="n">
        <x:v>4.2</x:v>
      </x:c>
      <x:c r="F2511" s="84" t="str">
        <x:v>Normal</x:v>
      </x:c>
      <x:c r="G2511" s="93" t="n">
        <x:v>212.44</x:v>
      </x:c>
      <x:c r="H2511" s="85" t="str">
        <x:v>Diagnóstico e execução</x:v>
      </x:c>
    </x:row>
    <x:row r="2512">
      <x:c r="A2512" s="83" t="n">
        <x:v>2511</x:v>
      </x:c>
      <x:c r="B2512" s="84" t="n">
        <x:v>1473</x:v>
      </x:c>
      <x:c r="C2512" s="84" t="n">
        <x:v>29</x:v>
      </x:c>
      <x:c r="D2512" s="89" t="n">
        <x:v>45329</x:v>
      </x:c>
      <x:c r="E2512" s="84" t="n">
        <x:v>1</x:v>
      </x:c>
      <x:c r="F2512" s="84" t="str">
        <x:v>Normal</x:v>
      </x:c>
      <x:c r="G2512" s="93" t="n">
        <x:v>49.52</x:v>
      </x:c>
      <x:c r="H2512" s="85" t="str">
        <x:v>Diagnóstico e execução</x:v>
      </x:c>
    </x:row>
    <x:row r="2513">
      <x:c r="A2513" s="83" t="n">
        <x:v>2512</x:v>
      </x:c>
      <x:c r="B2513" s="84" t="n">
        <x:v>1473</x:v>
      </x:c>
      <x:c r="C2513" s="84" t="n">
        <x:v>20</x:v>
      </x:c>
      <x:c r="D2513" s="89" t="n">
        <x:v>45329</x:v>
      </x:c>
      <x:c r="E2513" s="84" t="n">
        <x:v>5</x:v>
      </x:c>
      <x:c r="F2513" s="84" t="str">
        <x:v>Normal</x:v>
      </x:c>
      <x:c r="G2513" s="93" t="n">
        <x:v>167.6</x:v>
      </x:c>
      <x:c r="H2513" s="85" t="str">
        <x:v>Diagnóstico e execução</x:v>
      </x:c>
    </x:row>
    <x:row r="2514">
      <x:c r="A2514" s="83" t="n">
        <x:v>2513</x:v>
      </x:c>
      <x:c r="B2514" s="84" t="n">
        <x:v>1473</x:v>
      </x:c>
      <x:c r="C2514" s="84" t="n">
        <x:v>43</x:v>
      </x:c>
      <x:c r="D2514" s="89" t="n">
        <x:v>45329</x:v>
      </x:c>
      <x:c r="E2514" s="84" t="n">
        <x:v>7.2</x:v>
      </x:c>
      <x:c r="F2514" s="84" t="str">
        <x:v>Normal</x:v>
      </x:c>
      <x:c r="G2514" s="93" t="n">
        <x:v>393.55</x:v>
      </x:c>
      <x:c r="H2514" s="85" t="str">
        <x:v>Diagnóstico e execução</x:v>
      </x:c>
    </x:row>
    <x:row r="2515">
      <x:c r="A2515" s="83" t="n">
        <x:v>2514</x:v>
      </x:c>
      <x:c r="B2515" s="84" t="n">
        <x:v>1474</x:v>
      </x:c>
      <x:c r="C2515" s="84" t="n">
        <x:v>38</x:v>
      </x:c>
      <x:c r="D2515" s="89" t="n">
        <x:v>45605</x:v>
      </x:c>
      <x:c r="E2515" s="84" t="n">
        <x:v>4.7</x:v>
      </x:c>
      <x:c r="F2515" s="84" t="str">
        <x:v>Normal</x:v>
      </x:c>
      <x:c r="G2515" s="93" t="n">
        <x:v>158.25</x:v>
      </x:c>
      <x:c r="H2515" s="85" t="str">
        <x:v>Diagnóstico e execução</x:v>
      </x:c>
    </x:row>
    <x:row r="2516">
      <x:c r="A2516" s="83" t="n">
        <x:v>2515</x:v>
      </x:c>
      <x:c r="B2516" s="84" t="n">
        <x:v>1474</x:v>
      </x:c>
      <x:c r="C2516" s="84" t="n">
        <x:v>31</x:v>
      </x:c>
      <x:c r="D2516" s="89" t="n">
        <x:v>45605</x:v>
      </x:c>
      <x:c r="E2516" s="84" t="n">
        <x:v>6.9</x:v>
      </x:c>
      <x:c r="F2516" s="84" t="str">
        <x:v>Normal</x:v>
      </x:c>
      <x:c r="G2516" s="93" t="n">
        <x:v>337.41</x:v>
      </x:c>
      <x:c r="H2516" s="85" t="str">
        <x:v>Diagnóstico e execução</x:v>
      </x:c>
    </x:row>
    <x:row r="2517">
      <x:c r="A2517" s="83" t="n">
        <x:v>2516</x:v>
      </x:c>
      <x:c r="B2517" s="84" t="n">
        <x:v>1474</x:v>
      </x:c>
      <x:c r="C2517" s="84" t="n">
        <x:v>1</x:v>
      </x:c>
      <x:c r="D2517" s="89" t="n">
        <x:v>45605</x:v>
      </x:c>
      <x:c r="E2517" s="84" t="n">
        <x:v>6.4</x:v>
      </x:c>
      <x:c r="F2517" s="84" t="str">
        <x:v>Normal</x:v>
      </x:c>
      <x:c r="G2517" s="93" t="n">
        <x:v>226.37</x:v>
      </x:c>
      <x:c r="H2517" s="85" t="str">
        <x:v>Diagnóstico e execução</x:v>
      </x:c>
    </x:row>
    <x:row r="2518">
      <x:c r="A2518" s="83" t="n">
        <x:v>2517</x:v>
      </x:c>
      <x:c r="B2518" s="84" t="n">
        <x:v>1475</x:v>
      </x:c>
      <x:c r="C2518" s="84" t="n">
        <x:v>30</x:v>
      </x:c>
      <x:c r="D2518" s="89" t="n">
        <x:v>45293</x:v>
      </x:c>
      <x:c r="E2518" s="84" t="n">
        <x:v>1</x:v>
      </x:c>
      <x:c r="F2518" s="84" t="str">
        <x:v>Normal</x:v>
      </x:c>
      <x:c r="G2518" s="93" t="n">
        <x:v>41.41</x:v>
      </x:c>
      <x:c r="H2518" s="85" t="str">
        <x:v>Diagnóstico e execução</x:v>
      </x:c>
    </x:row>
    <x:row r="2519">
      <x:c r="A2519" s="83" t="n">
        <x:v>2518</x:v>
      </x:c>
      <x:c r="B2519" s="84" t="n">
        <x:v>1476</x:v>
      </x:c>
      <x:c r="C2519" s="84" t="n">
        <x:v>9</x:v>
      </x:c>
      <x:c r="D2519" s="89" t="n">
        <x:v>45471</x:v>
      </x:c>
      <x:c r="E2519" s="84" t="n">
        <x:v>1.7</x:v>
      </x:c>
      <x:c r="F2519" s="84" t="str">
        <x:v>Normal</x:v>
      </x:c>
      <x:c r="G2519" s="93" t="n">
        <x:v>89.54</x:v>
      </x:c>
      <x:c r="H2519" s="85" t="str">
        <x:v>Diagnóstico e execução</x:v>
      </x:c>
    </x:row>
    <x:row r="2520">
      <x:c r="A2520" s="83" t="n">
        <x:v>2519</x:v>
      </x:c>
      <x:c r="B2520" s="84" t="n">
        <x:v>1476</x:v>
      </x:c>
      <x:c r="C2520" s="84" t="n">
        <x:v>30</x:v>
      </x:c>
      <x:c r="D2520" s="89" t="n">
        <x:v>45471</x:v>
      </x:c>
      <x:c r="E2520" s="84" t="n">
        <x:v>4.9</x:v>
      </x:c>
      <x:c r="F2520" s="84" t="str">
        <x:v>Normal</x:v>
      </x:c>
      <x:c r="G2520" s="93" t="n">
        <x:v>202.91</x:v>
      </x:c>
      <x:c r="H2520" s="85" t="str">
        <x:v>Diagnóstico e execução</x:v>
      </x:c>
    </x:row>
    <x:row r="2521">
      <x:c r="A2521" s="83" t="n">
        <x:v>2520</x:v>
      </x:c>
      <x:c r="B2521" s="84" t="n">
        <x:v>1477</x:v>
      </x:c>
      <x:c r="C2521" s="84" t="n">
        <x:v>34</x:v>
      </x:c>
      <x:c r="D2521" s="89" t="n">
        <x:v>45712</x:v>
      </x:c>
      <x:c r="E2521" s="84" t="n">
        <x:v>5.4</x:v>
      </x:c>
      <x:c r="F2521" s="84" t="str">
        <x:v>Normal</x:v>
      </x:c>
      <x:c r="G2521" s="93" t="n">
        <x:v>233.44</x:v>
      </x:c>
      <x:c r="H2521" s="85" t="str">
        <x:v>Diagnóstico e execução</x:v>
      </x:c>
    </x:row>
    <x:row r="2522">
      <x:c r="A2522" s="83" t="n">
        <x:v>2521</x:v>
      </x:c>
      <x:c r="B2522" s="84" t="n">
        <x:v>1477</x:v>
      </x:c>
      <x:c r="C2522" s="84" t="n">
        <x:v>34</x:v>
      </x:c>
      <x:c r="D2522" s="89" t="n">
        <x:v>45712</x:v>
      </x:c>
      <x:c r="E2522" s="84" t="n">
        <x:v>6</x:v>
      </x:c>
      <x:c r="F2522" s="84" t="str">
        <x:v>Normal</x:v>
      </x:c>
      <x:c r="G2522" s="93" t="n">
        <x:v>259.38</x:v>
      </x:c>
      <x:c r="H2522" s="85" t="str">
        <x:v>Diagnóstico e execução</x:v>
      </x:c>
    </x:row>
    <x:row r="2523">
      <x:c r="A2523" s="83" t="n">
        <x:v>2522</x:v>
      </x:c>
      <x:c r="B2523" s="84" t="n">
        <x:v>1479</x:v>
      </x:c>
      <x:c r="C2523" s="84" t="n">
        <x:v>9</x:v>
      </x:c>
      <x:c r="D2523" s="89" t="n">
        <x:v>45182</x:v>
      </x:c>
      <x:c r="E2523" s="84" t="n">
        <x:v>5.6</x:v>
      </x:c>
      <x:c r="F2523" s="84" t="str">
        <x:v>Normal</x:v>
      </x:c>
      <x:c r="G2523" s="93" t="n">
        <x:v>294.95</x:v>
      </x:c>
      <x:c r="H2523" s="85" t="str">
        <x:v>Diagnóstico e execução</x:v>
      </x:c>
    </x:row>
    <x:row r="2524">
      <x:c r="A2524" s="83" t="n">
        <x:v>2523</x:v>
      </x:c>
      <x:c r="B2524" s="84" t="n">
        <x:v>1479</x:v>
      </x:c>
      <x:c r="C2524" s="84" t="n">
        <x:v>4</x:v>
      </x:c>
      <x:c r="D2524" s="89" t="n">
        <x:v>45182</x:v>
      </x:c>
      <x:c r="E2524" s="84" t="n">
        <x:v>2.2</x:v>
      </x:c>
      <x:c r="F2524" s="84" t="str">
        <x:v>Normal</x:v>
      </x:c>
      <x:c r="G2524" s="93" t="n">
        <x:v>108.22</x:v>
      </x:c>
      <x:c r="H2524" s="85" t="str">
        <x:v>Diagnóstico e execução</x:v>
      </x:c>
    </x:row>
    <x:row r="2525">
      <x:c r="A2525" s="83" t="n">
        <x:v>2524</x:v>
      </x:c>
      <x:c r="B2525" s="84" t="n">
        <x:v>1480</x:v>
      </x:c>
      <x:c r="C2525" s="84" t="n">
        <x:v>37</x:v>
      </x:c>
      <x:c r="D2525" s="89" t="n">
        <x:v>45023</x:v>
      </x:c>
      <x:c r="E2525" s="84" t="n">
        <x:v>7</x:v>
      </x:c>
      <x:c r="F2525" s="84" t="str">
        <x:v>Normal</x:v>
      </x:c>
      <x:c r="G2525" s="93" t="n">
        <x:v>412.79</x:v>
      </x:c>
      <x:c r="H2525" s="85" t="str">
        <x:v>Diagnóstico e execução</x:v>
      </x:c>
    </x:row>
    <x:row r="2526">
      <x:c r="A2526" s="83" t="n">
        <x:v>2525</x:v>
      </x:c>
      <x:c r="B2526" s="84" t="n">
        <x:v>1480</x:v>
      </x:c>
      <x:c r="C2526" s="84" t="n">
        <x:v>18</x:v>
      </x:c>
      <x:c r="D2526" s="89" t="n">
        <x:v>45023</x:v>
      </x:c>
      <x:c r="E2526" s="84" t="n">
        <x:v>1.5</x:v>
      </x:c>
      <x:c r="F2526" s="84" t="str">
        <x:v>Normal</x:v>
      </x:c>
      <x:c r="G2526" s="93" t="n">
        <x:v>94.64</x:v>
      </x:c>
      <x:c r="H2526" s="85" t="str">
        <x:v>Diagnóstico e execução</x:v>
      </x:c>
    </x:row>
    <x:row r="2527">
      <x:c r="A2527" s="83" t="n">
        <x:v>2526</x:v>
      </x:c>
      <x:c r="B2527" s="84" t="n">
        <x:v>1480</x:v>
      </x:c>
      <x:c r="C2527" s="84" t="n">
        <x:v>38</x:v>
      </x:c>
      <x:c r="D2527" s="89" t="n">
        <x:v>45023</x:v>
      </x:c>
      <x:c r="E2527" s="84" t="n">
        <x:v>2.7</x:v>
      </x:c>
      <x:c r="F2527" s="84" t="str">
        <x:v>Normal</x:v>
      </x:c>
      <x:c r="G2527" s="93" t="n">
        <x:v>90.91</x:v>
      </x:c>
      <x:c r="H2527" s="85" t="str">
        <x:v>Diagnóstico e execução</x:v>
      </x:c>
    </x:row>
    <x:row r="2528">
      <x:c r="A2528" s="83" t="n">
        <x:v>2527</x:v>
      </x:c>
      <x:c r="B2528" s="84" t="n">
        <x:v>1481</x:v>
      </x:c>
      <x:c r="C2528" s="84" t="n">
        <x:v>35</x:v>
      </x:c>
      <x:c r="D2528" s="89" t="n">
        <x:v>45061</x:v>
      </x:c>
      <x:c r="E2528" s="84" t="n">
        <x:v>5.4</x:v>
      </x:c>
      <x:c r="F2528" s="84" t="str">
        <x:v>Normal</x:v>
      </x:c>
      <x:c r="G2528" s="93" t="n">
        <x:v>265.63</x:v>
      </x:c>
      <x:c r="H2528" s="85" t="str">
        <x:v>Diagnóstico e execução</x:v>
      </x:c>
    </x:row>
    <x:row r="2529">
      <x:c r="A2529" s="83" t="n">
        <x:v>2528</x:v>
      </x:c>
      <x:c r="B2529" s="84" t="n">
        <x:v>1481</x:v>
      </x:c>
      <x:c r="C2529" s="84" t="n">
        <x:v>24</x:v>
      </x:c>
      <x:c r="D2529" s="89" t="n">
        <x:v>45061</x:v>
      </x:c>
      <x:c r="E2529" s="84" t="n">
        <x:v>1.4</x:v>
      </x:c>
      <x:c r="F2529" s="84" t="str">
        <x:v>Normal</x:v>
      </x:c>
      <x:c r="G2529" s="93" t="n">
        <x:v>82.94</x:v>
      </x:c>
      <x:c r="H2529" s="85" t="str">
        <x:v>Diagnóstico e execução</x:v>
      </x:c>
    </x:row>
    <x:row r="2530">
      <x:c r="A2530" s="83" t="n">
        <x:v>2529</x:v>
      </x:c>
      <x:c r="B2530" s="84" t="n">
        <x:v>1482</x:v>
      </x:c>
      <x:c r="C2530" s="84" t="n">
        <x:v>5</x:v>
      </x:c>
      <x:c r="D2530" s="89" t="n">
        <x:v>45075</x:v>
      </x:c>
      <x:c r="E2530" s="84" t="n">
        <x:v>7.7</x:v>
      </x:c>
      <x:c r="F2530" s="84" t="str">
        <x:v>Normal</x:v>
      </x:c>
      <x:c r="G2530" s="93" t="n">
        <x:v>221.91</x:v>
      </x:c>
      <x:c r="H2530" s="85" t="str">
        <x:v>Diagnóstico e execução</x:v>
      </x:c>
    </x:row>
    <x:row r="2531">
      <x:c r="A2531" s="83" t="n">
        <x:v>2530</x:v>
      </x:c>
      <x:c r="B2531" s="84" t="n">
        <x:v>1483</x:v>
      </x:c>
      <x:c r="C2531" s="84" t="n">
        <x:v>37</x:v>
      </x:c>
      <x:c r="D2531" s="89" t="n">
        <x:v>44954</x:v>
      </x:c>
      <x:c r="E2531" s="84" t="n">
        <x:v>7.4</x:v>
      </x:c>
      <x:c r="F2531" s="84" t="str">
        <x:v>Normal</x:v>
      </x:c>
      <x:c r="G2531" s="93" t="n">
        <x:v>436.38</x:v>
      </x:c>
      <x:c r="H2531" s="85" t="str">
        <x:v>Diagnóstico e execução</x:v>
      </x:c>
    </x:row>
    <x:row r="2532">
      <x:c r="A2532" s="83" t="n">
        <x:v>2531</x:v>
      </x:c>
      <x:c r="B2532" s="84" t="n">
        <x:v>1483</x:v>
      </x:c>
      <x:c r="C2532" s="84" t="n">
        <x:v>5</x:v>
      </x:c>
      <x:c r="D2532" s="89" t="n">
        <x:v>44954</x:v>
      </x:c>
      <x:c r="E2532" s="84" t="n">
        <x:v>1.4</x:v>
      </x:c>
      <x:c r="F2532" s="84" t="str">
        <x:v>Normal</x:v>
      </x:c>
      <x:c r="G2532" s="93" t="n">
        <x:v>40.35</x:v>
      </x:c>
      <x:c r="H2532" s="85" t="str">
        <x:v>Diagnóstico e execução</x:v>
      </x:c>
    </x:row>
    <x:row r="2533">
      <x:c r="A2533" s="83" t="n">
        <x:v>2532</x:v>
      </x:c>
      <x:c r="B2533" s="84" t="n">
        <x:v>1484</x:v>
      </x:c>
      <x:c r="C2533" s="84" t="n">
        <x:v>35</x:v>
      </x:c>
      <x:c r="D2533" s="89" t="n">
        <x:v>45050</x:v>
      </x:c>
      <x:c r="E2533" s="84" t="n">
        <x:v>6.2</x:v>
      </x:c>
      <x:c r="F2533" s="84" t="str">
        <x:v>Normal</x:v>
      </x:c>
      <x:c r="G2533" s="93" t="n">
        <x:v>304.98</x:v>
      </x:c>
      <x:c r="H2533" s="85" t="str">
        <x:v>Diagnóstico e execução</x:v>
      </x:c>
    </x:row>
    <x:row r="2534">
      <x:c r="A2534" s="83" t="n">
        <x:v>2533</x:v>
      </x:c>
      <x:c r="B2534" s="84" t="n">
        <x:v>1485</x:v>
      </x:c>
      <x:c r="C2534" s="84" t="n">
        <x:v>41</x:v>
      </x:c>
      <x:c r="D2534" s="89" t="n">
        <x:v>45570</x:v>
      </x:c>
      <x:c r="E2534" s="84" t="n">
        <x:v>3.2</x:v>
      </x:c>
      <x:c r="F2534" s="84" t="str">
        <x:v>Normal</x:v>
      </x:c>
      <x:c r="G2534" s="93" t="n">
        <x:v>161.86</x:v>
      </x:c>
      <x:c r="H2534" s="85" t="str">
        <x:v>Diagnóstico e execução</x:v>
      </x:c>
    </x:row>
    <x:row r="2535">
      <x:c r="A2535" s="83" t="n">
        <x:v>2534</x:v>
      </x:c>
      <x:c r="B2535" s="84" t="n">
        <x:v>1485</x:v>
      </x:c>
      <x:c r="C2535" s="84" t="n">
        <x:v>33</x:v>
      </x:c>
      <x:c r="D2535" s="89" t="n">
        <x:v>45570</x:v>
      </x:c>
      <x:c r="E2535" s="84" t="n">
        <x:v>0.5</x:v>
      </x:c>
      <x:c r="F2535" s="84" t="str">
        <x:v>Normal</x:v>
      </x:c>
      <x:c r="G2535" s="93" t="n">
        <x:v>17.25</x:v>
      </x:c>
      <x:c r="H2535" s="85" t="str">
        <x:v>Diagnóstico e execução</x:v>
      </x:c>
    </x:row>
    <x:row r="2536">
      <x:c r="A2536" s="83" t="n">
        <x:v>2535</x:v>
      </x:c>
      <x:c r="B2536" s="84" t="n">
        <x:v>1486</x:v>
      </x:c>
      <x:c r="C2536" s="84" t="n">
        <x:v>24</x:v>
      </x:c>
      <x:c r="D2536" s="89" t="n">
        <x:v>45890</x:v>
      </x:c>
      <x:c r="E2536" s="84" t="n">
        <x:v>6.3</x:v>
      </x:c>
      <x:c r="F2536" s="84" t="str">
        <x:v>Normal</x:v>
      </x:c>
      <x:c r="G2536" s="93" t="n">
        <x:v>373.21</x:v>
      </x:c>
      <x:c r="H2536" s="85" t="str">
        <x:v>Diagnóstico e execução</x:v>
      </x:c>
    </x:row>
    <x:row r="2537">
      <x:c r="A2537" s="83" t="n">
        <x:v>2536</x:v>
      </x:c>
      <x:c r="B2537" s="84" t="n">
        <x:v>1487</x:v>
      </x:c>
      <x:c r="C2537" s="84" t="n">
        <x:v>44</x:v>
      </x:c>
      <x:c r="D2537" s="89" t="n">
        <x:v>45575</x:v>
      </x:c>
      <x:c r="E2537" s="84" t="n">
        <x:v>6.1</x:v>
      </x:c>
      <x:c r="F2537" s="84" t="str">
        <x:v>Normal</x:v>
      </x:c>
      <x:c r="G2537" s="93" t="n">
        <x:v>171.04</x:v>
      </x:c>
      <x:c r="H2537" s="85" t="str">
        <x:v>Diagnóstico e execução</x:v>
      </x:c>
    </x:row>
    <x:row r="2538">
      <x:c r="A2538" s="83" t="n">
        <x:v>2537</x:v>
      </x:c>
      <x:c r="B2538" s="84" t="n">
        <x:v>1487</x:v>
      </x:c>
      <x:c r="C2538" s="84" t="n">
        <x:v>7</x:v>
      </x:c>
      <x:c r="D2538" s="89" t="n">
        <x:v>45575</x:v>
      </x:c>
      <x:c r="E2538" s="84" t="n">
        <x:v>4</x:v>
      </x:c>
      <x:c r="F2538" s="84" t="str">
        <x:v>Normal</x:v>
      </x:c>
      <x:c r="G2538" s="93" t="n">
        <x:v>232.84</x:v>
      </x:c>
      <x:c r="H2538" s="85" t="str">
        <x:v>Diagnóstico e execução</x:v>
      </x:c>
    </x:row>
    <x:row r="2539">
      <x:c r="A2539" s="83" t="n">
        <x:v>2538</x:v>
      </x:c>
      <x:c r="B2539" s="84" t="n">
        <x:v>1488</x:v>
      </x:c>
      <x:c r="C2539" s="84" t="n">
        <x:v>1</x:v>
      </x:c>
      <x:c r="D2539" s="89" t="n">
        <x:v>44959</x:v>
      </x:c>
      <x:c r="E2539" s="84" t="n">
        <x:v>0.6</x:v>
      </x:c>
      <x:c r="F2539" s="84" t="str">
        <x:v>Normal</x:v>
      </x:c>
      <x:c r="G2539" s="93" t="n">
        <x:v>21.22</x:v>
      </x:c>
      <x:c r="H2539" s="85" t="str">
        <x:v>Diagnóstico e execução</x:v>
      </x:c>
    </x:row>
    <x:row r="2540">
      <x:c r="A2540" s="83" t="n">
        <x:v>2539</x:v>
      </x:c>
      <x:c r="B2540" s="84" t="n">
        <x:v>1489</x:v>
      </x:c>
      <x:c r="C2540" s="84" t="n">
        <x:v>25</x:v>
      </x:c>
      <x:c r="D2540" s="89" t="n">
        <x:v>45279</x:v>
      </x:c>
      <x:c r="E2540" s="84" t="n">
        <x:v>7.7</x:v>
      </x:c>
      <x:c r="F2540" s="84" t="str">
        <x:v>Normal</x:v>
      </x:c>
      <x:c r="G2540" s="93" t="n">
        <x:v>412.64</x:v>
      </x:c>
      <x:c r="H2540" s="85" t="str">
        <x:v>Diagnóstico e execução</x:v>
      </x:c>
    </x:row>
    <x:row r="2541">
      <x:c r="A2541" s="83" t="n">
        <x:v>2540</x:v>
      </x:c>
      <x:c r="B2541" s="84" t="n">
        <x:v>1490</x:v>
      </x:c>
      <x:c r="C2541" s="84" t="n">
        <x:v>31</x:v>
      </x:c>
      <x:c r="D2541" s="89" t="n">
        <x:v>45846</x:v>
      </x:c>
      <x:c r="E2541" s="84" t="n">
        <x:v>6.2</x:v>
      </x:c>
      <x:c r="F2541" s="84" t="str">
        <x:v>Normal</x:v>
      </x:c>
      <x:c r="G2541" s="93" t="n">
        <x:v>303.18</x:v>
      </x:c>
      <x:c r="H2541" s="85" t="str">
        <x:v>Diagnóstico e execução</x:v>
      </x:c>
    </x:row>
    <x:row r="2542">
      <x:c r="A2542" s="83" t="n">
        <x:v>2541</x:v>
      </x:c>
      <x:c r="B2542" s="84" t="n">
        <x:v>1490</x:v>
      </x:c>
      <x:c r="C2542" s="84" t="n">
        <x:v>8</x:v>
      </x:c>
      <x:c r="D2542" s="89" t="n">
        <x:v>45846</x:v>
      </x:c>
      <x:c r="E2542" s="84" t="n">
        <x:v>5.7</x:v>
      </x:c>
      <x:c r="F2542" s="84" t="str">
        <x:v>Normal</x:v>
      </x:c>
      <x:c r="G2542" s="93" t="n">
        <x:v>265.05</x:v>
      </x:c>
      <x:c r="H2542" s="85" t="str">
        <x:v>Diagnóstico e execução</x:v>
      </x:c>
    </x:row>
    <x:row r="2543">
      <x:c r="A2543" s="83" t="n">
        <x:v>2542</x:v>
      </x:c>
      <x:c r="B2543" s="84" t="n">
        <x:v>1490</x:v>
      </x:c>
      <x:c r="C2543" s="84" t="n">
        <x:v>9</x:v>
      </x:c>
      <x:c r="D2543" s="89" t="n">
        <x:v>45846</x:v>
      </x:c>
      <x:c r="E2543" s="84" t="n">
        <x:v>5</x:v>
      </x:c>
      <x:c r="F2543" s="84" t="str">
        <x:v>Normal</x:v>
      </x:c>
      <x:c r="G2543" s="93" t="n">
        <x:v>263.35</x:v>
      </x:c>
      <x:c r="H2543" s="85" t="str">
        <x:v>Diagnóstico e execução</x:v>
      </x:c>
    </x:row>
    <x:row r="2544">
      <x:c r="A2544" s="83" t="n">
        <x:v>2543</x:v>
      </x:c>
      <x:c r="B2544" s="84" t="n">
        <x:v>1491</x:v>
      </x:c>
      <x:c r="C2544" s="84" t="n">
        <x:v>21</x:v>
      </x:c>
      <x:c r="D2544" s="89" t="n">
        <x:v>45657</x:v>
      </x:c>
      <x:c r="E2544" s="84" t="n">
        <x:v>5.1</x:v>
      </x:c>
      <x:c r="F2544" s="84" t="str">
        <x:v>Normal</x:v>
      </x:c>
      <x:c r="G2544" s="93" t="n">
        <x:v>313.29</x:v>
      </x:c>
      <x:c r="H2544" s="85" t="str">
        <x:v>Diagnóstico e execução</x:v>
      </x:c>
    </x:row>
    <x:row r="2545">
      <x:c r="A2545" s="83" t="n">
        <x:v>2544</x:v>
      </x:c>
      <x:c r="B2545" s="84" t="n">
        <x:v>1491</x:v>
      </x:c>
      <x:c r="C2545" s="84" t="n">
        <x:v>25</x:v>
      </x:c>
      <x:c r="D2545" s="89" t="n">
        <x:v>45657</x:v>
      </x:c>
      <x:c r="E2545" s="84" t="n">
        <x:v>6</x:v>
      </x:c>
      <x:c r="F2545" s="84" t="str">
        <x:v>Normal</x:v>
      </x:c>
      <x:c r="G2545" s="93" t="n">
        <x:v>321.54</x:v>
      </x:c>
      <x:c r="H2545" s="85" t="str">
        <x:v>Diagnóstico e execução</x:v>
      </x:c>
    </x:row>
    <x:row r="2546">
      <x:c r="A2546" s="83" t="n">
        <x:v>2545</x:v>
      </x:c>
      <x:c r="B2546" s="84" t="n">
        <x:v>1491</x:v>
      </x:c>
      <x:c r="C2546" s="84" t="n">
        <x:v>36</x:v>
      </x:c>
      <x:c r="D2546" s="89" t="n">
        <x:v>45657</x:v>
      </x:c>
      <x:c r="E2546" s="84" t="n">
        <x:v>3.1</x:v>
      </x:c>
      <x:c r="F2546" s="84" t="str">
        <x:v>Normal</x:v>
      </x:c>
      <x:c r="G2546" s="93" t="n">
        <x:v>91.95</x:v>
      </x:c>
      <x:c r="H2546" s="85" t="str">
        <x:v>Diagnóstico e execução</x:v>
      </x:c>
    </x:row>
    <x:row r="2547">
      <x:c r="A2547" s="83" t="n">
        <x:v>2546</x:v>
      </x:c>
      <x:c r="B2547" s="84" t="n">
        <x:v>1492</x:v>
      </x:c>
      <x:c r="C2547" s="84" t="n">
        <x:v>43</x:v>
      </x:c>
      <x:c r="D2547" s="89" t="n">
        <x:v>45850</x:v>
      </x:c>
      <x:c r="E2547" s="84" t="n">
        <x:v>5.5</x:v>
      </x:c>
      <x:c r="F2547" s="84" t="str">
        <x:v>Normal</x:v>
      </x:c>
      <x:c r="G2547" s="93" t="n">
        <x:v>300.63</x:v>
      </x:c>
      <x:c r="H2547" s="85" t="str">
        <x:v>Diagnóstico e execução</x:v>
      </x:c>
    </x:row>
    <x:row r="2548">
      <x:c r="A2548" s="83" t="n">
        <x:v>2547</x:v>
      </x:c>
      <x:c r="B2548" s="84" t="n">
        <x:v>1492</x:v>
      </x:c>
      <x:c r="C2548" s="84" t="n">
        <x:v>23</x:v>
      </x:c>
      <x:c r="D2548" s="89" t="n">
        <x:v>45850</x:v>
      </x:c>
      <x:c r="E2548" s="84" t="n">
        <x:v>6.6</x:v>
      </x:c>
      <x:c r="F2548" s="84" t="str">
        <x:v>Normal</x:v>
      </x:c>
      <x:c r="G2548" s="93" t="n">
        <x:v>284.53</x:v>
      </x:c>
      <x:c r="H2548" s="85" t="str">
        <x:v>Diagnóstico e execução</x:v>
      </x:c>
    </x:row>
    <x:row r="2549">
      <x:c r="A2549" s="83" t="n">
        <x:v>2548</x:v>
      </x:c>
      <x:c r="B2549" s="84" t="n">
        <x:v>1492</x:v>
      </x:c>
      <x:c r="C2549" s="84" t="n">
        <x:v>6</x:v>
      </x:c>
      <x:c r="D2549" s="89" t="n">
        <x:v>45850</x:v>
      </x:c>
      <x:c r="E2549" s="84" t="n">
        <x:v>8</x:v>
      </x:c>
      <x:c r="F2549" s="84" t="str">
        <x:v>Normal</x:v>
      </x:c>
      <x:c r="G2549" s="93" t="n">
        <x:v>418.08</x:v>
      </x:c>
      <x:c r="H2549" s="85" t="str">
        <x:v>Diagnóstico e execução</x:v>
      </x:c>
    </x:row>
    <x:row r="2550">
      <x:c r="A2550" s="83" t="n">
        <x:v>2549</x:v>
      </x:c>
      <x:c r="B2550" s="84" t="n">
        <x:v>1493</x:v>
      </x:c>
      <x:c r="C2550" s="84" t="n">
        <x:v>44</x:v>
      </x:c>
      <x:c r="D2550" s="89" t="n">
        <x:v>45238</x:v>
      </x:c>
      <x:c r="E2550" s="84" t="n">
        <x:v>7.2</x:v>
      </x:c>
      <x:c r="F2550" s="84" t="str">
        <x:v>Normal</x:v>
      </x:c>
      <x:c r="G2550" s="93" t="n">
        <x:v>201.89</x:v>
      </x:c>
      <x:c r="H2550" s="85" t="str">
        <x:v>Diagnóstico e execução</x:v>
      </x:c>
    </x:row>
    <x:row r="2551">
      <x:c r="A2551" s="83" t="n">
        <x:v>2550</x:v>
      </x:c>
      <x:c r="B2551" s="84" t="n">
        <x:v>1494</x:v>
      </x:c>
      <x:c r="C2551" s="84" t="n">
        <x:v>16</x:v>
      </x:c>
      <x:c r="D2551" s="89" t="n">
        <x:v>45992</x:v>
      </x:c>
      <x:c r="E2551" s="84" t="n">
        <x:v>6.2</x:v>
      </x:c>
      <x:c r="F2551" s="84" t="str">
        <x:v>Normal</x:v>
      </x:c>
      <x:c r="G2551" s="93" t="n">
        <x:v>251.22</x:v>
      </x:c>
      <x:c r="H2551" s="85" t="str">
        <x:v>Diagnóstico e execução</x:v>
      </x:c>
    </x:row>
    <x:row r="2552">
      <x:c r="A2552" s="83" t="n">
        <x:v>2551</x:v>
      </x:c>
      <x:c r="B2552" s="84" t="n">
        <x:v>1494</x:v>
      </x:c>
      <x:c r="C2552" s="84" t="n">
        <x:v>32</x:v>
      </x:c>
      <x:c r="D2552" s="89" t="n">
        <x:v>45992</x:v>
      </x:c>
      <x:c r="E2552" s="84" t="n">
        <x:v>6.9</x:v>
      </x:c>
      <x:c r="F2552" s="84" t="str">
        <x:v>Normal</x:v>
      </x:c>
      <x:c r="G2552" s="93" t="n">
        <x:v>301.19</x:v>
      </x:c>
      <x:c r="H2552" s="85" t="str">
        <x:v>Diagnóstico e execução</x:v>
      </x:c>
    </x:row>
    <x:row r="2553">
      <x:c r="A2553" s="83" t="n">
        <x:v>2552</x:v>
      </x:c>
      <x:c r="B2553" s="84" t="n">
        <x:v>1494</x:v>
      </x:c>
      <x:c r="C2553" s="84" t="n">
        <x:v>32</x:v>
      </x:c>
      <x:c r="D2553" s="89" t="n">
        <x:v>45992</x:v>
      </x:c>
      <x:c r="E2553" s="84" t="n">
        <x:v>5</x:v>
      </x:c>
      <x:c r="F2553" s="84" t="str">
        <x:v>Normal</x:v>
      </x:c>
      <x:c r="G2553" s="93" t="n">
        <x:v>218.25</x:v>
      </x:c>
      <x:c r="H2553" s="85" t="str">
        <x:v>Diagnóstico e execução</x:v>
      </x:c>
    </x:row>
    <x:row r="2554">
      <x:c r="A2554" s="83" t="n">
        <x:v>2553</x:v>
      </x:c>
      <x:c r="B2554" s="84" t="n">
        <x:v>1495</x:v>
      </x:c>
      <x:c r="C2554" s="84" t="n">
        <x:v>6</x:v>
      </x:c>
      <x:c r="D2554" s="89" t="n">
        <x:v>45009</x:v>
      </x:c>
      <x:c r="E2554" s="84" t="n">
        <x:v>7.4</x:v>
      </x:c>
      <x:c r="F2554" s="84" t="str">
        <x:v>Normal</x:v>
      </x:c>
      <x:c r="G2554" s="93" t="n">
        <x:v>386.72</x:v>
      </x:c>
      <x:c r="H2554" s="85" t="str">
        <x:v>Diagnóstico e execução</x:v>
      </x:c>
    </x:row>
    <x:row r="2555">
      <x:c r="A2555" s="83" t="n">
        <x:v>2554</x:v>
      </x:c>
      <x:c r="B2555" s="84" t="n">
        <x:v>1495</x:v>
      </x:c>
      <x:c r="C2555" s="84" t="n">
        <x:v>2</x:v>
      </x:c>
      <x:c r="D2555" s="89" t="n">
        <x:v>45009</x:v>
      </x:c>
      <x:c r="E2555" s="84" t="n">
        <x:v>0.6</x:v>
      </x:c>
      <x:c r="F2555" s="84" t="str">
        <x:v>Normal</x:v>
      </x:c>
      <x:c r="G2555" s="93" t="n">
        <x:v>22.36</x:v>
      </x:c>
      <x:c r="H2555" s="85" t="str">
        <x:v>Diagnóstico e execução</x:v>
      </x:c>
    </x:row>
    <x:row r="2556">
      <x:c r="A2556" s="83" t="n">
        <x:v>2555</x:v>
      </x:c>
      <x:c r="B2556" s="84" t="n">
        <x:v>1495</x:v>
      </x:c>
      <x:c r="C2556" s="84" t="n">
        <x:v>34</x:v>
      </x:c>
      <x:c r="D2556" s="89" t="n">
        <x:v>45009</x:v>
      </x:c>
      <x:c r="E2556" s="84" t="n">
        <x:v>6.4</x:v>
      </x:c>
      <x:c r="F2556" s="84" t="str">
        <x:v>Normal</x:v>
      </x:c>
      <x:c r="G2556" s="93" t="n">
        <x:v>276.67</x:v>
      </x:c>
      <x:c r="H2556" s="85" t="str">
        <x:v>Diagnóstico e execução</x:v>
      </x:c>
    </x:row>
    <x:row r="2557">
      <x:c r="A2557" s="83" t="n">
        <x:v>2556</x:v>
      </x:c>
      <x:c r="B2557" s="84" t="n">
        <x:v>1497</x:v>
      </x:c>
      <x:c r="C2557" s="84" t="n">
        <x:v>27</x:v>
      </x:c>
      <x:c r="D2557" s="89" t="n">
        <x:v>45524</x:v>
      </x:c>
      <x:c r="E2557" s="84" t="n">
        <x:v>1.3</x:v>
      </x:c>
      <x:c r="F2557" s="84" t="str">
        <x:v>Normal</x:v>
      </x:c>
      <x:c r="G2557" s="93" t="n">
        <x:v>79.29</x:v>
      </x:c>
      <x:c r="H2557" s="85" t="str">
        <x:v>Diagnóstico e execução</x:v>
      </x:c>
    </x:row>
    <x:row r="2558">
      <x:c r="A2558" s="83" t="n">
        <x:v>2557</x:v>
      </x:c>
      <x:c r="B2558" s="84" t="n">
        <x:v>1497</x:v>
      </x:c>
      <x:c r="C2558" s="84" t="n">
        <x:v>15</x:v>
      </x:c>
      <x:c r="D2558" s="89" t="n">
        <x:v>45524</x:v>
      </x:c>
      <x:c r="E2558" s="84" t="n">
        <x:v>3.7</x:v>
      </x:c>
      <x:c r="F2558" s="84" t="str">
        <x:v>Normal</x:v>
      </x:c>
      <x:c r="G2558" s="93" t="n">
        <x:v>111.89</x:v>
      </x:c>
      <x:c r="H2558" s="85" t="str">
        <x:v>Diagnóstico e execução</x:v>
      </x:c>
    </x:row>
    <x:row r="2559">
      <x:c r="A2559" s="83" t="n">
        <x:v>2558</x:v>
      </x:c>
      <x:c r="B2559" s="84" t="n">
        <x:v>1498</x:v>
      </x:c>
      <x:c r="C2559" s="84" t="n">
        <x:v>42</x:v>
      </x:c>
      <x:c r="D2559" s="89" t="n">
        <x:v>45840</x:v>
      </x:c>
      <x:c r="E2559" s="84" t="n">
        <x:v>1.5</x:v>
      </x:c>
      <x:c r="F2559" s="84" t="str">
        <x:v>Normal</x:v>
      </x:c>
      <x:c r="G2559" s="93" t="n">
        <x:v>63.27</x:v>
      </x:c>
      <x:c r="H2559" s="85" t="str">
        <x:v>Diagnóstico e execução</x:v>
      </x:c>
    </x:row>
    <x:row r="2560">
      <x:c r="A2560" s="83" t="n">
        <x:v>2559</x:v>
      </x:c>
      <x:c r="B2560" s="84" t="n">
        <x:v>1498</x:v>
      </x:c>
      <x:c r="C2560" s="84" t="n">
        <x:v>39</x:v>
      </x:c>
      <x:c r="D2560" s="89" t="n">
        <x:v>45840</x:v>
      </x:c>
      <x:c r="E2560" s="84" t="n">
        <x:v>7.1</x:v>
      </x:c>
      <x:c r="F2560" s="84" t="str">
        <x:v>Normal</x:v>
      </x:c>
      <x:c r="G2560" s="93" t="n">
        <x:v>411.09</x:v>
      </x:c>
      <x:c r="H2560" s="85" t="str">
        <x:v>Diagnóstico e execução</x:v>
      </x:c>
    </x:row>
    <x:row r="2561">
      <x:c r="A2561" s="83" t="n">
        <x:v>2560</x:v>
      </x:c>
      <x:c r="B2561" s="84" t="n">
        <x:v>1499</x:v>
      </x:c>
      <x:c r="C2561" s="84" t="n">
        <x:v>35</x:v>
      </x:c>
      <x:c r="D2561" s="89" t="n">
        <x:v>45964</x:v>
      </x:c>
      <x:c r="E2561" s="84" t="n">
        <x:v>3.3</x:v>
      </x:c>
      <x:c r="F2561" s="84" t="str">
        <x:v>Normal</x:v>
      </x:c>
      <x:c r="G2561" s="93" t="n">
        <x:v>162.33</x:v>
      </x:c>
      <x:c r="H2561" s="85" t="str">
        <x:v>Diagnóstico e execução</x:v>
      </x:c>
    </x:row>
    <x:row r="2562">
      <x:c r="A2562" s="83" t="n">
        <x:v>2561</x:v>
      </x:c>
      <x:c r="B2562" s="84" t="n">
        <x:v>1500</x:v>
      </x:c>
      <x:c r="C2562" s="84" t="n">
        <x:v>4</x:v>
      </x:c>
      <x:c r="D2562" s="89" t="n">
        <x:v>45079</x:v>
      </x:c>
      <x:c r="E2562" s="84" t="n">
        <x:v>6.1</x:v>
      </x:c>
      <x:c r="F2562" s="84" t="str">
        <x:v>Normal</x:v>
      </x:c>
      <x:c r="G2562" s="93" t="n">
        <x:v>300.06</x:v>
      </x:c>
      <x:c r="H2562" s="85" t="str">
        <x:v>Diagnóstico e execução</x:v>
      </x:c>
    </x:row>
    <x:row r="2563">
      <x:c r="A2563" s="83" t="n">
        <x:v>2562</x:v>
      </x:c>
      <x:c r="B2563" s="84" t="n">
        <x:v>1501</x:v>
      </x:c>
      <x:c r="C2563" s="84" t="n">
        <x:v>29</x:v>
      </x:c>
      <x:c r="D2563" s="89" t="n">
        <x:v>45422</x:v>
      </x:c>
      <x:c r="E2563" s="84" t="n">
        <x:v>3.5</x:v>
      </x:c>
      <x:c r="F2563" s="84" t="str">
        <x:v>Normal</x:v>
      </x:c>
      <x:c r="G2563" s="93" t="n">
        <x:v>173.32</x:v>
      </x:c>
      <x:c r="H2563" s="85" t="str">
        <x:v>Diagnóstico e execução</x:v>
      </x:c>
    </x:row>
    <x:row r="2564">
      <x:c r="A2564" s="83" t="n">
        <x:v>2563</x:v>
      </x:c>
      <x:c r="B2564" s="84" t="n">
        <x:v>1501</x:v>
      </x:c>
      <x:c r="C2564" s="84" t="n">
        <x:v>30</x:v>
      </x:c>
      <x:c r="D2564" s="89" t="n">
        <x:v>45422</x:v>
      </x:c>
      <x:c r="E2564" s="84" t="n">
        <x:v>6</x:v>
      </x:c>
      <x:c r="F2564" s="84" t="str">
        <x:v>Normal</x:v>
      </x:c>
      <x:c r="G2564" s="93" t="n">
        <x:v>248.46</x:v>
      </x:c>
      <x:c r="H2564" s="85" t="str">
        <x:v>Diagnóstico e execução</x:v>
      </x:c>
    </x:row>
    <x:row r="2565">
      <x:c r="A2565" s="83" t="n">
        <x:v>2564</x:v>
      </x:c>
      <x:c r="B2565" s="84" t="n">
        <x:v>1501</x:v>
      </x:c>
      <x:c r="C2565" s="84" t="n">
        <x:v>22</x:v>
      </x:c>
      <x:c r="D2565" s="89" t="n">
        <x:v>45422</x:v>
      </x:c>
      <x:c r="E2565" s="84" t="n">
        <x:v>1.7</x:v>
      </x:c>
      <x:c r="F2565" s="84" t="str">
        <x:v>Normal</x:v>
      </x:c>
      <x:c r="G2565" s="93" t="n">
        <x:v>65.38</x:v>
      </x:c>
      <x:c r="H2565" s="85" t="str">
        <x:v>Diagnóstico e execução</x:v>
      </x:c>
    </x:row>
    <x:row r="2566">
      <x:c r="A2566" s="83" t="n">
        <x:v>2565</x:v>
      </x:c>
      <x:c r="B2566" s="84" t="n">
        <x:v>1502</x:v>
      </x:c>
      <x:c r="C2566" s="84" t="n">
        <x:v>21</x:v>
      </x:c>
      <x:c r="D2566" s="89" t="n">
        <x:v>45617</x:v>
      </x:c>
      <x:c r="E2566" s="84" t="n">
        <x:v>1.7</x:v>
      </x:c>
      <x:c r="F2566" s="84" t="str">
        <x:v>Normal</x:v>
      </x:c>
      <x:c r="G2566" s="93" t="n">
        <x:v>104.43</x:v>
      </x:c>
      <x:c r="H2566" s="85" t="str">
        <x:v>Diagnóstico e execução</x:v>
      </x:c>
    </x:row>
    <x:row r="2567">
      <x:c r="A2567" s="83" t="n">
        <x:v>2566</x:v>
      </x:c>
      <x:c r="B2567" s="84" t="n">
        <x:v>1502</x:v>
      </x:c>
      <x:c r="C2567" s="84" t="n">
        <x:v>30</x:v>
      </x:c>
      <x:c r="D2567" s="89" t="n">
        <x:v>45617</x:v>
      </x:c>
      <x:c r="E2567" s="84" t="n">
        <x:v>6.2</x:v>
      </x:c>
      <x:c r="F2567" s="84" t="str">
        <x:v>Normal</x:v>
      </x:c>
      <x:c r="G2567" s="93" t="n">
        <x:v>256.74</x:v>
      </x:c>
      <x:c r="H2567" s="85" t="str">
        <x:v>Diagnóstico e execução</x:v>
      </x:c>
    </x:row>
    <x:row r="2568">
      <x:c r="A2568" s="83" t="n">
        <x:v>2567</x:v>
      </x:c>
      <x:c r="B2568" s="84" t="n">
        <x:v>1502</x:v>
      </x:c>
      <x:c r="C2568" s="84" t="n">
        <x:v>3</x:v>
      </x:c>
      <x:c r="D2568" s="89" t="n">
        <x:v>45617</x:v>
      </x:c>
      <x:c r="E2568" s="84" t="n">
        <x:v>0.8</x:v>
      </x:c>
      <x:c r="F2568" s="84" t="str">
        <x:v>Normal</x:v>
      </x:c>
      <x:c r="G2568" s="93" t="n">
        <x:v>39.39</x:v>
      </x:c>
      <x:c r="H2568" s="85" t="str">
        <x:v>Diagnóstico e execução</x:v>
      </x:c>
    </x:row>
    <x:row r="2569">
      <x:c r="A2569" s="83" t="n">
        <x:v>2568</x:v>
      </x:c>
      <x:c r="B2569" s="84" t="n">
        <x:v>1504</x:v>
      </x:c>
      <x:c r="C2569" s="84" t="n">
        <x:v>2</x:v>
      </x:c>
      <x:c r="D2569" s="89" t="n">
        <x:v>45215</x:v>
      </x:c>
      <x:c r="E2569" s="84" t="n">
        <x:v>1.3</x:v>
      </x:c>
      <x:c r="F2569" s="84" t="str">
        <x:v>Normal</x:v>
      </x:c>
      <x:c r="G2569" s="93" t="n">
        <x:v>48.44</x:v>
      </x:c>
      <x:c r="H2569" s="85" t="str">
        <x:v>Diagnóstico e execução</x:v>
      </x:c>
    </x:row>
    <x:row r="2570">
      <x:c r="A2570" s="83" t="n">
        <x:v>2569</x:v>
      </x:c>
      <x:c r="B2570" s="84" t="n">
        <x:v>1504</x:v>
      </x:c>
      <x:c r="C2570" s="84" t="n">
        <x:v>8</x:v>
      </x:c>
      <x:c r="D2570" s="89" t="n">
        <x:v>45215</x:v>
      </x:c>
      <x:c r="E2570" s="84" t="n">
        <x:v>7</x:v>
      </x:c>
      <x:c r="F2570" s="84" t="str">
        <x:v>Normal</x:v>
      </x:c>
      <x:c r="G2570" s="93" t="n">
        <x:v>325.5</x:v>
      </x:c>
      <x:c r="H2570" s="85" t="str">
        <x:v>Diagnóstico e execução</x:v>
      </x:c>
    </x:row>
    <x:row r="2571">
      <x:c r="A2571" s="83" t="n">
        <x:v>2570</x:v>
      </x:c>
      <x:c r="B2571" s="84" t="n">
        <x:v>1504</x:v>
      </x:c>
      <x:c r="C2571" s="84" t="n">
        <x:v>24</x:v>
      </x:c>
      <x:c r="D2571" s="89" t="n">
        <x:v>45215</x:v>
      </x:c>
      <x:c r="E2571" s="84" t="n">
        <x:v>7.1</x:v>
      </x:c>
      <x:c r="F2571" s="84" t="str">
        <x:v>Normal</x:v>
      </x:c>
      <x:c r="G2571" s="93" t="n">
        <x:v>420.6</x:v>
      </x:c>
      <x:c r="H2571" s="85" t="str">
        <x:v>Diagnóstico e execução</x:v>
      </x:c>
    </x:row>
    <x:row r="2572">
      <x:c r="A2572" s="83" t="n">
        <x:v>2571</x:v>
      </x:c>
      <x:c r="B2572" s="84" t="n">
        <x:v>1505</x:v>
      </x:c>
      <x:c r="C2572" s="84" t="n">
        <x:v>21</x:v>
      </x:c>
      <x:c r="D2572" s="89" t="n">
        <x:v>45169</x:v>
      </x:c>
      <x:c r="E2572" s="84" t="n">
        <x:v>1.3</x:v>
      </x:c>
      <x:c r="F2572" s="84" t="str">
        <x:v>Normal</x:v>
      </x:c>
      <x:c r="G2572" s="93" t="n">
        <x:v>79.86</x:v>
      </x:c>
      <x:c r="H2572" s="85" t="str">
        <x:v>Diagnóstico e execução</x:v>
      </x:c>
    </x:row>
    <x:row r="2573">
      <x:c r="A2573" s="83" t="n">
        <x:v>2572</x:v>
      </x:c>
      <x:c r="B2573" s="84" t="n">
        <x:v>1506</x:v>
      </x:c>
      <x:c r="C2573" s="84" t="n">
        <x:v>36</x:v>
      </x:c>
      <x:c r="D2573" s="89" t="n">
        <x:v>45010</x:v>
      </x:c>
      <x:c r="E2573" s="84" t="n">
        <x:v>1.9</x:v>
      </x:c>
      <x:c r="F2573" s="84" t="str">
        <x:v>Normal</x:v>
      </x:c>
      <x:c r="G2573" s="93" t="n">
        <x:v>56.35</x:v>
      </x:c>
      <x:c r="H2573" s="85" t="str">
        <x:v>Diagnóstico e execução</x:v>
      </x:c>
    </x:row>
    <x:row r="2574">
      <x:c r="A2574" s="83" t="n">
        <x:v>2573</x:v>
      </x:c>
      <x:c r="B2574" s="84" t="n">
        <x:v>1506</x:v>
      </x:c>
      <x:c r="C2574" s="84" t="n">
        <x:v>9</x:v>
      </x:c>
      <x:c r="D2574" s="89" t="n">
        <x:v>45010</x:v>
      </x:c>
      <x:c r="E2574" s="84" t="n">
        <x:v>5.2</x:v>
      </x:c>
      <x:c r="F2574" s="84" t="str">
        <x:v>Normal</x:v>
      </x:c>
      <x:c r="G2574" s="93" t="n">
        <x:v>273.88</x:v>
      </x:c>
      <x:c r="H2574" s="85" t="str">
        <x:v>Diagnóstico e execução</x:v>
      </x:c>
    </x:row>
    <x:row r="2575">
      <x:c r="A2575" s="83" t="n">
        <x:v>2574</x:v>
      </x:c>
      <x:c r="B2575" s="84" t="n">
        <x:v>1507</x:v>
      </x:c>
      <x:c r="C2575" s="84" t="n">
        <x:v>11</x:v>
      </x:c>
      <x:c r="D2575" s="89" t="n">
        <x:v>45074</x:v>
      </x:c>
      <x:c r="E2575" s="84" t="n">
        <x:v>1.5</x:v>
      </x:c>
      <x:c r="F2575" s="84" t="str">
        <x:v>Normal</x:v>
      </x:c>
      <x:c r="G2575" s="93" t="n">
        <x:v>62.52</x:v>
      </x:c>
      <x:c r="H2575" s="85" t="str">
        <x:v>Diagnóstico e execução</x:v>
      </x:c>
    </x:row>
    <x:row r="2576">
      <x:c r="A2576" s="83" t="n">
        <x:v>2575</x:v>
      </x:c>
      <x:c r="B2576" s="84" t="n">
        <x:v>1507</x:v>
      </x:c>
      <x:c r="C2576" s="84" t="n">
        <x:v>43</x:v>
      </x:c>
      <x:c r="D2576" s="89" t="n">
        <x:v>45074</x:v>
      </x:c>
      <x:c r="E2576" s="84" t="n">
        <x:v>4.5</x:v>
      </x:c>
      <x:c r="F2576" s="84" t="str">
        <x:v>Normal</x:v>
      </x:c>
      <x:c r="G2576" s="93" t="n">
        <x:v>245.97</x:v>
      </x:c>
      <x:c r="H2576" s="85" t="str">
        <x:v>Diagnóstico e execução</x:v>
      </x:c>
    </x:row>
    <x:row r="2577">
      <x:c r="A2577" s="83" t="n">
        <x:v>2576</x:v>
      </x:c>
      <x:c r="B2577" s="84" t="n">
        <x:v>1507</x:v>
      </x:c>
      <x:c r="C2577" s="84" t="n">
        <x:v>8</x:v>
      </x:c>
      <x:c r="D2577" s="89" t="n">
        <x:v>45074</x:v>
      </x:c>
      <x:c r="E2577" s="84" t="n">
        <x:v>6.7</x:v>
      </x:c>
      <x:c r="F2577" s="84" t="str">
        <x:v>Normal</x:v>
      </x:c>
      <x:c r="G2577" s="93" t="n">
        <x:v>311.55</x:v>
      </x:c>
      <x:c r="H2577" s="85" t="str">
        <x:v>Diagnóstico e execução</x:v>
      </x:c>
    </x:row>
    <x:row r="2578">
      <x:c r="A2578" s="83" t="n">
        <x:v>2577</x:v>
      </x:c>
      <x:c r="B2578" s="84" t="n">
        <x:v>1508</x:v>
      </x:c>
      <x:c r="C2578" s="84" t="n">
        <x:v>12</x:v>
      </x:c>
      <x:c r="D2578" s="89" t="n">
        <x:v>45898</x:v>
      </x:c>
      <x:c r="E2578" s="84" t="n">
        <x:v>1.7</x:v>
      </x:c>
      <x:c r="F2578" s="84" t="str">
        <x:v>Normal</x:v>
      </x:c>
      <x:c r="G2578" s="93" t="n">
        <x:v>58.65</x:v>
      </x:c>
      <x:c r="H2578" s="85" t="str">
        <x:v>Diagnóstico e execução</x:v>
      </x:c>
    </x:row>
    <x:row r="2579">
      <x:c r="A2579" s="83" t="n">
        <x:v>2578</x:v>
      </x:c>
      <x:c r="B2579" s="84" t="n">
        <x:v>1508</x:v>
      </x:c>
      <x:c r="C2579" s="84" t="n">
        <x:v>13</x:v>
      </x:c>
      <x:c r="D2579" s="89" t="n">
        <x:v>45898</x:v>
      </x:c>
      <x:c r="E2579" s="84" t="n">
        <x:v>7.5</x:v>
      </x:c>
      <x:c r="F2579" s="84" t="str">
        <x:v>Normal</x:v>
      </x:c>
      <x:c r="G2579" s="93" t="n">
        <x:v>254.1</x:v>
      </x:c>
      <x:c r="H2579" s="85" t="str">
        <x:v>Diagnóstico e execução</x:v>
      </x:c>
    </x:row>
    <x:row r="2580">
      <x:c r="A2580" s="83" t="n">
        <x:v>2579</x:v>
      </x:c>
      <x:c r="B2580" s="84" t="n">
        <x:v>1508</x:v>
      </x:c>
      <x:c r="C2580" s="84" t="n">
        <x:v>35</x:v>
      </x:c>
      <x:c r="D2580" s="89" t="n">
        <x:v>45898</x:v>
      </x:c>
      <x:c r="E2580" s="84" t="n">
        <x:v>5.7</x:v>
      </x:c>
      <x:c r="F2580" s="84" t="str">
        <x:v>Normal</x:v>
      </x:c>
      <x:c r="G2580" s="93" t="n">
        <x:v>280.38</x:v>
      </x:c>
      <x:c r="H2580" s="85" t="str">
        <x:v>Diagnóstico e execução</x:v>
      </x:c>
    </x:row>
    <x:row r="2581">
      <x:c r="A2581" s="83" t="n">
        <x:v>2580</x:v>
      </x:c>
      <x:c r="B2581" s="84" t="n">
        <x:v>1509</x:v>
      </x:c>
      <x:c r="C2581" s="84" t="n">
        <x:v>13</x:v>
      </x:c>
      <x:c r="D2581" s="89" t="n">
        <x:v>45569</x:v>
      </x:c>
      <x:c r="E2581" s="84" t="n">
        <x:v>3.8</x:v>
      </x:c>
      <x:c r="F2581" s="84" t="str">
        <x:v>Normal</x:v>
      </x:c>
      <x:c r="G2581" s="93" t="n">
        <x:v>128.74</x:v>
      </x:c>
      <x:c r="H2581" s="85" t="str">
        <x:v>Diagnóstico e execução</x:v>
      </x:c>
    </x:row>
    <x:row r="2582">
      <x:c r="A2582" s="83" t="n">
        <x:v>2581</x:v>
      </x:c>
      <x:c r="B2582" s="84" t="n">
        <x:v>1510</x:v>
      </x:c>
      <x:c r="C2582" s="84" t="n">
        <x:v>11</x:v>
      </x:c>
      <x:c r="D2582" s="89" t="n">
        <x:v>45388</x:v>
      </x:c>
      <x:c r="E2582" s="84" t="n">
        <x:v>6.4</x:v>
      </x:c>
      <x:c r="F2582" s="84" t="str">
        <x:v>Normal</x:v>
      </x:c>
      <x:c r="G2582" s="93" t="n">
        <x:v>266.75</x:v>
      </x:c>
      <x:c r="H2582" s="85" t="str">
        <x:v>Diagnóstico e execução</x:v>
      </x:c>
    </x:row>
    <x:row r="2583">
      <x:c r="A2583" s="83" t="n">
        <x:v>2582</x:v>
      </x:c>
      <x:c r="B2583" s="84" t="n">
        <x:v>1511</x:v>
      </x:c>
      <x:c r="C2583" s="84" t="n">
        <x:v>17</x:v>
      </x:c>
      <x:c r="D2583" s="89" t="n">
        <x:v>45444</x:v>
      </x:c>
      <x:c r="E2583" s="84" t="n">
        <x:v>6</x:v>
      </x:c>
      <x:c r="F2583" s="84" t="str">
        <x:v>Normal</x:v>
      </x:c>
      <x:c r="G2583" s="93" t="n">
        <x:v>334.68</x:v>
      </x:c>
      <x:c r="H2583" s="85" t="str">
        <x:v>Diagnóstico e execução</x:v>
      </x:c>
    </x:row>
    <x:row r="2584">
      <x:c r="A2584" s="83" t="n">
        <x:v>2583</x:v>
      </x:c>
      <x:c r="B2584" s="84" t="n">
        <x:v>1512</x:v>
      </x:c>
      <x:c r="C2584" s="84" t="n">
        <x:v>36</x:v>
      </x:c>
      <x:c r="D2584" s="89" t="n">
        <x:v>45313</x:v>
      </x:c>
      <x:c r="E2584" s="84" t="n">
        <x:v>0.6</x:v>
      </x:c>
      <x:c r="F2584" s="84" t="str">
        <x:v>Normal</x:v>
      </x:c>
      <x:c r="G2584" s="93" t="n">
        <x:v>17.8</x:v>
      </x:c>
      <x:c r="H2584" s="85" t="str">
        <x:v>Diagnóstico e execução</x:v>
      </x:c>
    </x:row>
    <x:row r="2585">
      <x:c r="A2585" s="83" t="n">
        <x:v>2584</x:v>
      </x:c>
      <x:c r="B2585" s="84" t="n">
        <x:v>1513</x:v>
      </x:c>
      <x:c r="C2585" s="84" t="n">
        <x:v>8</x:v>
      </x:c>
      <x:c r="D2585" s="89" t="n">
        <x:v>45913</x:v>
      </x:c>
      <x:c r="E2585" s="84" t="n">
        <x:v>1.6</x:v>
      </x:c>
      <x:c r="F2585" s="84" t="str">
        <x:v>Normal</x:v>
      </x:c>
      <x:c r="G2585" s="93" t="n">
        <x:v>74.4</x:v>
      </x:c>
      <x:c r="H2585" s="85" t="str">
        <x:v>Diagnóstico e execução</x:v>
      </x:c>
    </x:row>
    <x:row r="2586">
      <x:c r="A2586" s="83" t="n">
        <x:v>2585</x:v>
      </x:c>
      <x:c r="B2586" s="84" t="n">
        <x:v>1513</x:v>
      </x:c>
      <x:c r="C2586" s="84" t="n">
        <x:v>2</x:v>
      </x:c>
      <x:c r="D2586" s="89" t="n">
        <x:v>45913</x:v>
      </x:c>
      <x:c r="E2586" s="84" t="n">
        <x:v>6.3</x:v>
      </x:c>
      <x:c r="F2586" s="84" t="str">
        <x:v>Normal</x:v>
      </x:c>
      <x:c r="G2586" s="93" t="n">
        <x:v>234.74</x:v>
      </x:c>
      <x:c r="H2586" s="85" t="str">
        <x:v>Diagnóstico e execução</x:v>
      </x:c>
    </x:row>
    <x:row r="2587">
      <x:c r="A2587" s="83" t="n">
        <x:v>2586</x:v>
      </x:c>
      <x:c r="B2587" s="84" t="n">
        <x:v>1513</x:v>
      </x:c>
      <x:c r="C2587" s="84" t="n">
        <x:v>37</x:v>
      </x:c>
      <x:c r="D2587" s="89" t="n">
        <x:v>45913</x:v>
      </x:c>
      <x:c r="E2587" s="84" t="n">
        <x:v>3.5</x:v>
      </x:c>
      <x:c r="F2587" s="84" t="str">
        <x:v>Normal</x:v>
      </x:c>
      <x:c r="G2587" s="93" t="n">
        <x:v>206.39</x:v>
      </x:c>
      <x:c r="H2587" s="85" t="str">
        <x:v>Diagnóstico e execução</x:v>
      </x:c>
    </x:row>
    <x:row r="2588">
      <x:c r="A2588" s="83" t="n">
        <x:v>2587</x:v>
      </x:c>
      <x:c r="B2588" s="84" t="n">
        <x:v>1514</x:v>
      </x:c>
      <x:c r="C2588" s="84" t="n">
        <x:v>31</x:v>
      </x:c>
      <x:c r="D2588" s="89" t="n">
        <x:v>45644</x:v>
      </x:c>
      <x:c r="E2588" s="84" t="n">
        <x:v>7</x:v>
      </x:c>
      <x:c r="F2588" s="84" t="str">
        <x:v>Normal</x:v>
      </x:c>
      <x:c r="G2588" s="93" t="n">
        <x:v>342.3</x:v>
      </x:c>
      <x:c r="H2588" s="85" t="str">
        <x:v>Diagnóstico e execução</x:v>
      </x:c>
    </x:row>
    <x:row r="2589">
      <x:c r="A2589" s="83" t="n">
        <x:v>2588</x:v>
      </x:c>
      <x:c r="B2589" s="84" t="n">
        <x:v>1514</x:v>
      </x:c>
      <x:c r="C2589" s="84" t="n">
        <x:v>45</x:v>
      </x:c>
      <x:c r="D2589" s="89" t="n">
        <x:v>45644</x:v>
      </x:c>
      <x:c r="E2589" s="84" t="n">
        <x:v>6.4</x:v>
      </x:c>
      <x:c r="F2589" s="84" t="str">
        <x:v>Normal</x:v>
      </x:c>
      <x:c r="G2589" s="93" t="n">
        <x:v>342.85</x:v>
      </x:c>
      <x:c r="H2589" s="85" t="str">
        <x:v>Diagnóstico e execução</x:v>
      </x:c>
    </x:row>
    <x:row r="2590">
      <x:c r="A2590" s="83" t="n">
        <x:v>2589</x:v>
      </x:c>
      <x:c r="B2590" s="84" t="n">
        <x:v>1516</x:v>
      </x:c>
      <x:c r="C2590" s="84" t="n">
        <x:v>38</x:v>
      </x:c>
      <x:c r="D2590" s="89" t="n">
        <x:v>45769</x:v>
      </x:c>
      <x:c r="E2590" s="84" t="n">
        <x:v>1.9</x:v>
      </x:c>
      <x:c r="F2590" s="84" t="str">
        <x:v>Normal</x:v>
      </x:c>
      <x:c r="G2590" s="93" t="n">
        <x:v>63.97</x:v>
      </x:c>
      <x:c r="H2590" s="85" t="str">
        <x:v>Diagnóstico e execução</x:v>
      </x:c>
    </x:row>
    <x:row r="2591">
      <x:c r="A2591" s="83" t="n">
        <x:v>2590</x:v>
      </x:c>
      <x:c r="B2591" s="84" t="n">
        <x:v>1516</x:v>
      </x:c>
      <x:c r="C2591" s="84" t="n">
        <x:v>35</x:v>
      </x:c>
      <x:c r="D2591" s="89" t="n">
        <x:v>45769</x:v>
      </x:c>
      <x:c r="E2591" s="84" t="n">
        <x:v>3.8</x:v>
      </x:c>
      <x:c r="F2591" s="84" t="str">
        <x:v>Normal</x:v>
      </x:c>
      <x:c r="G2591" s="93" t="n">
        <x:v>186.92</x:v>
      </x:c>
      <x:c r="H2591" s="85" t="str">
        <x:v>Diagnóstico e execução</x:v>
      </x:c>
    </x:row>
    <x:row r="2592">
      <x:c r="A2592" s="83" t="n">
        <x:v>2591</x:v>
      </x:c>
      <x:c r="B2592" s="84" t="n">
        <x:v>1516</x:v>
      </x:c>
      <x:c r="C2592" s="84" t="n">
        <x:v>10</x:v>
      </x:c>
      <x:c r="D2592" s="89" t="n">
        <x:v>45769</x:v>
      </x:c>
      <x:c r="E2592" s="84" t="n">
        <x:v>3.3</x:v>
      </x:c>
      <x:c r="F2592" s="84" t="str">
        <x:v>Normal</x:v>
      </x:c>
      <x:c r="G2592" s="93" t="n">
        <x:v>97.98</x:v>
      </x:c>
      <x:c r="H2592" s="85" t="str">
        <x:v>Diagnóstico e execução</x:v>
      </x:c>
    </x:row>
    <x:row r="2593">
      <x:c r="A2593" s="83" t="n">
        <x:v>2592</x:v>
      </x:c>
      <x:c r="B2593" s="84" t="n">
        <x:v>1517</x:v>
      </x:c>
      <x:c r="C2593" s="84" t="n">
        <x:v>45</x:v>
      </x:c>
      <x:c r="D2593" s="89" t="n">
        <x:v>45600</x:v>
      </x:c>
      <x:c r="E2593" s="84" t="n">
        <x:v>6.6</x:v>
      </x:c>
      <x:c r="F2593" s="84" t="str">
        <x:v>Normal</x:v>
      </x:c>
      <x:c r="G2593" s="93" t="n">
        <x:v>353.56</x:v>
      </x:c>
      <x:c r="H2593" s="85" t="str">
        <x:v>Diagnóstico e execução</x:v>
      </x:c>
    </x:row>
    <x:row r="2594">
      <x:c r="A2594" s="83" t="n">
        <x:v>2593</x:v>
      </x:c>
      <x:c r="B2594" s="84" t="n">
        <x:v>1518</x:v>
      </x:c>
      <x:c r="C2594" s="84" t="n">
        <x:v>36</x:v>
      </x:c>
      <x:c r="D2594" s="89" t="n">
        <x:v>45794</x:v>
      </x:c>
      <x:c r="E2594" s="84" t="n">
        <x:v>5.1</x:v>
      </x:c>
      <x:c r="F2594" s="84" t="str">
        <x:v>Normal</x:v>
      </x:c>
      <x:c r="G2594" s="93" t="n">
        <x:v>151.27</x:v>
      </x:c>
      <x:c r="H2594" s="85" t="str">
        <x:v>Diagnóstico e execução</x:v>
      </x:c>
    </x:row>
    <x:row r="2595">
      <x:c r="A2595" s="83" t="n">
        <x:v>2594</x:v>
      </x:c>
      <x:c r="B2595" s="84" t="n">
        <x:v>1518</x:v>
      </x:c>
      <x:c r="C2595" s="84" t="n">
        <x:v>11</x:v>
      </x:c>
      <x:c r="D2595" s="89" t="n">
        <x:v>45794</x:v>
      </x:c>
      <x:c r="E2595" s="84" t="n">
        <x:v>2.3</x:v>
      </x:c>
      <x:c r="F2595" s="84" t="str">
        <x:v>Normal</x:v>
      </x:c>
      <x:c r="G2595" s="93" t="n">
        <x:v>95.86</x:v>
      </x:c>
      <x:c r="H2595" s="85" t="str">
        <x:v>Diagnóstico e execução</x:v>
      </x:c>
    </x:row>
    <x:row r="2596">
      <x:c r="A2596" s="83" t="n">
        <x:v>2595</x:v>
      </x:c>
      <x:c r="B2596" s="84" t="n">
        <x:v>1518</x:v>
      </x:c>
      <x:c r="C2596" s="84" t="n">
        <x:v>32</x:v>
      </x:c>
      <x:c r="D2596" s="89" t="n">
        <x:v>45794</x:v>
      </x:c>
      <x:c r="E2596" s="84" t="n">
        <x:v>5.7</x:v>
      </x:c>
      <x:c r="F2596" s="84" t="str">
        <x:v>Normal</x:v>
      </x:c>
      <x:c r="G2596" s="93" t="n">
        <x:v>248.81</x:v>
      </x:c>
      <x:c r="H2596" s="85" t="str">
        <x:v>Diagnóstico e execução</x:v>
      </x:c>
    </x:row>
    <x:row r="2597">
      <x:c r="A2597" s="83" t="n">
        <x:v>2596</x:v>
      </x:c>
      <x:c r="B2597" s="84" t="n">
        <x:v>1519</x:v>
      </x:c>
      <x:c r="C2597" s="84" t="n">
        <x:v>43</x:v>
      </x:c>
      <x:c r="D2597" s="89" t="n">
        <x:v>45529</x:v>
      </x:c>
      <x:c r="E2597" s="84" t="n">
        <x:v>1</x:v>
      </x:c>
      <x:c r="F2597" s="84" t="str">
        <x:v>Normal</x:v>
      </x:c>
      <x:c r="G2597" s="93" t="n">
        <x:v>54.66</x:v>
      </x:c>
      <x:c r="H2597" s="85" t="str">
        <x:v>Diagnóstico e execução</x:v>
      </x:c>
    </x:row>
    <x:row r="2598">
      <x:c r="A2598" s="83" t="n">
        <x:v>2597</x:v>
      </x:c>
      <x:c r="B2598" s="84" t="n">
        <x:v>1519</x:v>
      </x:c>
      <x:c r="C2598" s="84" t="n">
        <x:v>27</x:v>
      </x:c>
      <x:c r="D2598" s="89" t="n">
        <x:v>45529</x:v>
      </x:c>
      <x:c r="E2598" s="84" t="n">
        <x:v>6</x:v>
      </x:c>
      <x:c r="F2598" s="84" t="str">
        <x:v>Normal</x:v>
      </x:c>
      <x:c r="G2598" s="93" t="n">
        <x:v>365.94</x:v>
      </x:c>
      <x:c r="H2598" s="85" t="str">
        <x:v>Diagnóstico e execução</x:v>
      </x:c>
    </x:row>
    <x:row r="2599">
      <x:c r="A2599" s="83" t="n">
        <x:v>2598</x:v>
      </x:c>
      <x:c r="B2599" s="84" t="n">
        <x:v>1521</x:v>
      </x:c>
      <x:c r="C2599" s="84" t="n">
        <x:v>15</x:v>
      </x:c>
      <x:c r="D2599" s="89" t="n">
        <x:v>45665</x:v>
      </x:c>
      <x:c r="E2599" s="84" t="n">
        <x:v>3</x:v>
      </x:c>
      <x:c r="F2599" s="84" t="str">
        <x:v>Normal</x:v>
      </x:c>
      <x:c r="G2599" s="93" t="n">
        <x:v>90.72</x:v>
      </x:c>
      <x:c r="H2599" s="85" t="str">
        <x:v>Diagnóstico e execução</x:v>
      </x:c>
    </x:row>
    <x:row r="2600">
      <x:c r="A2600" s="83" t="n">
        <x:v>2599</x:v>
      </x:c>
      <x:c r="B2600" s="84" t="n">
        <x:v>1521</x:v>
      </x:c>
      <x:c r="C2600" s="84" t="n">
        <x:v>5</x:v>
      </x:c>
      <x:c r="D2600" s="89" t="n">
        <x:v>45665</x:v>
      </x:c>
      <x:c r="E2600" s="84" t="n">
        <x:v>5.4</x:v>
      </x:c>
      <x:c r="F2600" s="84" t="str">
        <x:v>Normal</x:v>
      </x:c>
      <x:c r="G2600" s="93" t="n">
        <x:v>155.63</x:v>
      </x:c>
      <x:c r="H2600" s="85" t="str">
        <x:v>Diagnóstico e execução</x:v>
      </x:c>
    </x:row>
    <x:row r="2601">
      <x:c r="A2601" s="83" t="n">
        <x:v>2600</x:v>
      </x:c>
      <x:c r="B2601" s="84" t="n">
        <x:v>1521</x:v>
      </x:c>
      <x:c r="C2601" s="84" t="n">
        <x:v>38</x:v>
      </x:c>
      <x:c r="D2601" s="89" t="n">
        <x:v>45665</x:v>
      </x:c>
      <x:c r="E2601" s="84" t="n">
        <x:v>6.3</x:v>
      </x:c>
      <x:c r="F2601" s="84" t="str">
        <x:v>Normal</x:v>
      </x:c>
      <x:c r="G2601" s="93" t="n">
        <x:v>212.12</x:v>
      </x:c>
      <x:c r="H2601" s="85" t="str">
        <x:v>Diagnóstico e execução</x:v>
      </x:c>
    </x:row>
    <x:row r="2602">
      <x:c r="A2602" s="83" t="n">
        <x:v>2601</x:v>
      </x:c>
      <x:c r="B2602" s="84" t="n">
        <x:v>1522</x:v>
      </x:c>
      <x:c r="C2602" s="84" t="n">
        <x:v>23</x:v>
      </x:c>
      <x:c r="D2602" s="89" t="n">
        <x:v>45891</x:v>
      </x:c>
      <x:c r="E2602" s="84" t="n">
        <x:v>1.8</x:v>
      </x:c>
      <x:c r="F2602" s="84" t="str">
        <x:v>Normal</x:v>
      </x:c>
      <x:c r="G2602" s="93" t="n">
        <x:v>77.6</x:v>
      </x:c>
      <x:c r="H2602" s="85" t="str">
        <x:v>Diagnóstico e execução</x:v>
      </x:c>
    </x:row>
    <x:row r="2603">
      <x:c r="A2603" s="83" t="n">
        <x:v>2602</x:v>
      </x:c>
      <x:c r="B2603" s="84" t="n">
        <x:v>1522</x:v>
      </x:c>
      <x:c r="C2603" s="84" t="n">
        <x:v>2</x:v>
      </x:c>
      <x:c r="D2603" s="89" t="n">
        <x:v>45891</x:v>
      </x:c>
      <x:c r="E2603" s="84" t="n">
        <x:v>4</x:v>
      </x:c>
      <x:c r="F2603" s="84" t="str">
        <x:v>Normal</x:v>
      </x:c>
      <x:c r="G2603" s="93" t="n">
        <x:v>149.04</x:v>
      </x:c>
      <x:c r="H2603" s="85" t="str">
        <x:v>Diagnóstico e execução</x:v>
      </x:c>
    </x:row>
    <x:row r="2604">
      <x:c r="A2604" s="83" t="n">
        <x:v>2603</x:v>
      </x:c>
      <x:c r="B2604" s="84" t="n">
        <x:v>1522</x:v>
      </x:c>
      <x:c r="C2604" s="84" t="n">
        <x:v>29</x:v>
      </x:c>
      <x:c r="D2604" s="89" t="n">
        <x:v>45891</x:v>
      </x:c>
      <x:c r="E2604" s="84" t="n">
        <x:v>2.6</x:v>
      </x:c>
      <x:c r="F2604" s="84" t="str">
        <x:v>Normal</x:v>
      </x:c>
      <x:c r="G2604" s="93" t="n">
        <x:v>128.75</x:v>
      </x:c>
      <x:c r="H2604" s="85" t="str">
        <x:v>Diagnóstico e execução</x:v>
      </x:c>
    </x:row>
    <x:row r="2605">
      <x:c r="A2605" s="83" t="n">
        <x:v>2604</x:v>
      </x:c>
      <x:c r="B2605" s="84" t="n">
        <x:v>1524</x:v>
      </x:c>
      <x:c r="C2605" s="84" t="n">
        <x:v>37</x:v>
      </x:c>
      <x:c r="D2605" s="89" t="n">
        <x:v>45077</x:v>
      </x:c>
      <x:c r="E2605" s="84" t="n">
        <x:v>2.1</x:v>
      </x:c>
      <x:c r="F2605" s="84" t="str">
        <x:v>Normal</x:v>
      </x:c>
      <x:c r="G2605" s="93" t="n">
        <x:v>123.84</x:v>
      </x:c>
      <x:c r="H2605" s="85" t="str">
        <x:v>Diagnóstico e execução</x:v>
      </x:c>
    </x:row>
    <x:row r="2606">
      <x:c r="A2606" s="83" t="n">
        <x:v>2605</x:v>
      </x:c>
      <x:c r="B2606" s="84" t="n">
        <x:v>1525</x:v>
      </x:c>
      <x:c r="C2606" s="84" t="n">
        <x:v>27</x:v>
      </x:c>
      <x:c r="D2606" s="89" t="n">
        <x:v>45939</x:v>
      </x:c>
      <x:c r="E2606" s="84" t="n">
        <x:v>3.5</x:v>
      </x:c>
      <x:c r="F2606" s="84" t="str">
        <x:v>Normal</x:v>
      </x:c>
      <x:c r="G2606" s="93" t="n">
        <x:v>213.47</x:v>
      </x:c>
      <x:c r="H2606" s="85" t="str">
        <x:v>Diagnóstico e execução</x:v>
      </x:c>
    </x:row>
    <x:row r="2607">
      <x:c r="A2607" s="83" t="n">
        <x:v>2606</x:v>
      </x:c>
      <x:c r="B2607" s="84" t="n">
        <x:v>1525</x:v>
      </x:c>
      <x:c r="C2607" s="84" t="n">
        <x:v>40</x:v>
      </x:c>
      <x:c r="D2607" s="89" t="n">
        <x:v>45939</x:v>
      </x:c>
      <x:c r="E2607" s="84" t="n">
        <x:v>5.5</x:v>
      </x:c>
      <x:c r="F2607" s="84" t="str">
        <x:v>Normal</x:v>
      </x:c>
      <x:c r="G2607" s="93" t="n">
        <x:v>271.81</x:v>
      </x:c>
      <x:c r="H2607" s="85" t="str">
        <x:v>Diagnóstico e execução</x:v>
      </x:c>
    </x:row>
    <x:row r="2608">
      <x:c r="A2608" s="83" t="n">
        <x:v>2607</x:v>
      </x:c>
      <x:c r="B2608" s="84" t="n">
        <x:v>1526</x:v>
      </x:c>
      <x:c r="C2608" s="84" t="n">
        <x:v>3</x:v>
      </x:c>
      <x:c r="D2608" s="89" t="n">
        <x:v>45171</x:v>
      </x:c>
      <x:c r="E2608" s="84" t="n">
        <x:v>8</x:v>
      </x:c>
      <x:c r="F2608" s="84" t="str">
        <x:v>Normal</x:v>
      </x:c>
      <x:c r="G2608" s="93" t="n">
        <x:v>393.92</x:v>
      </x:c>
      <x:c r="H2608" s="85" t="str">
        <x:v>Diagnóstico e execução</x:v>
      </x:c>
    </x:row>
    <x:row r="2609">
      <x:c r="A2609" s="83" t="n">
        <x:v>2608</x:v>
      </x:c>
      <x:c r="B2609" s="84" t="n">
        <x:v>1526</x:v>
      </x:c>
      <x:c r="C2609" s="84" t="n">
        <x:v>13</x:v>
      </x:c>
      <x:c r="D2609" s="89" t="n">
        <x:v>45171</x:v>
      </x:c>
      <x:c r="E2609" s="84" t="n">
        <x:v>7.4</x:v>
      </x:c>
      <x:c r="F2609" s="84" t="str">
        <x:v>Normal</x:v>
      </x:c>
      <x:c r="G2609" s="93" t="n">
        <x:v>250.71</x:v>
      </x:c>
      <x:c r="H2609" s="85" t="str">
        <x:v>Diagnóstico e execução</x:v>
      </x:c>
    </x:row>
    <x:row r="2610">
      <x:c r="A2610" s="83" t="n">
        <x:v>2609</x:v>
      </x:c>
      <x:c r="B2610" s="84" t="n">
        <x:v>1526</x:v>
      </x:c>
      <x:c r="C2610" s="84" t="n">
        <x:v>27</x:v>
      </x:c>
      <x:c r="D2610" s="89" t="n">
        <x:v>45171</x:v>
      </x:c>
      <x:c r="E2610" s="84" t="n">
        <x:v>2</x:v>
      </x:c>
      <x:c r="F2610" s="84" t="str">
        <x:v>Normal</x:v>
      </x:c>
      <x:c r="G2610" s="93" t="n">
        <x:v>121.98</x:v>
      </x:c>
      <x:c r="H2610" s="85" t="str">
        <x:v>Diagnóstico e execução</x:v>
      </x:c>
    </x:row>
    <x:row r="2611">
      <x:c r="A2611" s="83" t="n">
        <x:v>2610</x:v>
      </x:c>
      <x:c r="B2611" s="84" t="n">
        <x:v>1527</x:v>
      </x:c>
      <x:c r="C2611" s="84" t="n">
        <x:v>21</x:v>
      </x:c>
      <x:c r="D2611" s="89" t="n">
        <x:v>44973</x:v>
      </x:c>
      <x:c r="E2611" s="84" t="n">
        <x:v>2.4</x:v>
      </x:c>
      <x:c r="F2611" s="84" t="str">
        <x:v>Normal</x:v>
      </x:c>
      <x:c r="G2611" s="93" t="n">
        <x:v>147.43</x:v>
      </x:c>
      <x:c r="H2611" s="85" t="str">
        <x:v>Diagnóstico e execução</x:v>
      </x:c>
    </x:row>
    <x:row r="2612">
      <x:c r="A2612" s="83" t="n">
        <x:v>2611</x:v>
      </x:c>
      <x:c r="B2612" s="84" t="n">
        <x:v>1528</x:v>
      </x:c>
      <x:c r="C2612" s="84" t="n">
        <x:v>43</x:v>
      </x:c>
      <x:c r="D2612" s="89" t="n">
        <x:v>45199</x:v>
      </x:c>
      <x:c r="E2612" s="84" t="n">
        <x:v>7.6</x:v>
      </x:c>
      <x:c r="F2612" s="84" t="str">
        <x:v>Normal</x:v>
      </x:c>
      <x:c r="G2612" s="93" t="n">
        <x:v>415.42</x:v>
      </x:c>
      <x:c r="H2612" s="85" t="str">
        <x:v>Diagnóstico e execução</x:v>
      </x:c>
    </x:row>
    <x:row r="2613">
      <x:c r="A2613" s="83" t="n">
        <x:v>2612</x:v>
      </x:c>
      <x:c r="B2613" s="84" t="n">
        <x:v>1528</x:v>
      </x:c>
      <x:c r="C2613" s="84" t="n">
        <x:v>42</x:v>
      </x:c>
      <x:c r="D2613" s="89" t="n">
        <x:v>45199</x:v>
      </x:c>
      <x:c r="E2613" s="84" t="n">
        <x:v>2.2</x:v>
      </x:c>
      <x:c r="F2613" s="84" t="str">
        <x:v>Normal</x:v>
      </x:c>
      <x:c r="G2613" s="93" t="n">
        <x:v>92.8</x:v>
      </x:c>
      <x:c r="H2613" s="85" t="str">
        <x:v>Diagnóstico e execução</x:v>
      </x:c>
    </x:row>
    <x:row r="2614">
      <x:c r="A2614" s="83" t="n">
        <x:v>2613</x:v>
      </x:c>
      <x:c r="B2614" s="84" t="n">
        <x:v>1529</x:v>
      </x:c>
      <x:c r="C2614" s="84" t="n">
        <x:v>41</x:v>
      </x:c>
      <x:c r="D2614" s="89" t="n">
        <x:v>45375</x:v>
      </x:c>
      <x:c r="E2614" s="84" t="n">
        <x:v>5</x:v>
      </x:c>
      <x:c r="F2614" s="84" t="str">
        <x:v>Normal</x:v>
      </x:c>
      <x:c r="G2614" s="93" t="n">
        <x:v>252.9</x:v>
      </x:c>
      <x:c r="H2614" s="85" t="str">
        <x:v>Diagnóstico e execução</x:v>
      </x:c>
    </x:row>
    <x:row r="2615">
      <x:c r="A2615" s="83" t="n">
        <x:v>2614</x:v>
      </x:c>
      <x:c r="B2615" s="84" t="n">
        <x:v>1530</x:v>
      </x:c>
      <x:c r="C2615" s="84" t="n">
        <x:v>43</x:v>
      </x:c>
      <x:c r="D2615" s="89" t="n">
        <x:v>45632</x:v>
      </x:c>
      <x:c r="E2615" s="84" t="n">
        <x:v>4.1</x:v>
      </x:c>
      <x:c r="F2615" s="84" t="str">
        <x:v>Normal</x:v>
      </x:c>
      <x:c r="G2615" s="93" t="n">
        <x:v>224.11</x:v>
      </x:c>
      <x:c r="H2615" s="85" t="str">
        <x:v>Diagnóstico e execução</x:v>
      </x:c>
    </x:row>
    <x:row r="2616">
      <x:c r="A2616" s="83" t="n">
        <x:v>2615</x:v>
      </x:c>
      <x:c r="B2616" s="84" t="n">
        <x:v>1530</x:v>
      </x:c>
      <x:c r="C2616" s="84" t="n">
        <x:v>22</x:v>
      </x:c>
      <x:c r="D2616" s="89" t="n">
        <x:v>45632</x:v>
      </x:c>
      <x:c r="E2616" s="84" t="n">
        <x:v>3.8</x:v>
      </x:c>
      <x:c r="F2616" s="84" t="str">
        <x:v>Normal</x:v>
      </x:c>
      <x:c r="G2616" s="93" t="n">
        <x:v>146.15</x:v>
      </x:c>
      <x:c r="H2616" s="85" t="str">
        <x:v>Diagnóstico e execução</x:v>
      </x:c>
    </x:row>
    <x:row r="2617">
      <x:c r="A2617" s="83" t="n">
        <x:v>2616</x:v>
      </x:c>
      <x:c r="B2617" s="84" t="n">
        <x:v>1531</x:v>
      </x:c>
      <x:c r="C2617" s="84" t="n">
        <x:v>32</x:v>
      </x:c>
      <x:c r="D2617" s="89" t="n">
        <x:v>45434</x:v>
      </x:c>
      <x:c r="E2617" s="84" t="n">
        <x:v>1.3</x:v>
      </x:c>
      <x:c r="F2617" s="84" t="str">
        <x:v>Normal</x:v>
      </x:c>
      <x:c r="G2617" s="93" t="n">
        <x:v>56.74</x:v>
      </x:c>
      <x:c r="H2617" s="85" t="str">
        <x:v>Diagnóstico e execução</x:v>
      </x:c>
    </x:row>
    <x:row r="2618">
      <x:c r="A2618" s="83" t="n">
        <x:v>2617</x:v>
      </x:c>
      <x:c r="B2618" s="84" t="n">
        <x:v>1532</x:v>
      </x:c>
      <x:c r="C2618" s="84" t="n">
        <x:v>12</x:v>
      </x:c>
      <x:c r="D2618" s="89" t="n">
        <x:v>45039</x:v>
      </x:c>
      <x:c r="E2618" s="84" t="n">
        <x:v>7.4</x:v>
      </x:c>
      <x:c r="F2618" s="84" t="str">
        <x:v>Normal</x:v>
      </x:c>
      <x:c r="G2618" s="93" t="n">
        <x:v>255.3</x:v>
      </x:c>
      <x:c r="H2618" s="85" t="str">
        <x:v>Diagnóstico e execução</x:v>
      </x:c>
    </x:row>
    <x:row r="2619">
      <x:c r="A2619" s="83" t="n">
        <x:v>2618</x:v>
      </x:c>
      <x:c r="B2619" s="84" t="n">
        <x:v>1532</x:v>
      </x:c>
      <x:c r="C2619" s="84" t="n">
        <x:v>36</x:v>
      </x:c>
      <x:c r="D2619" s="89" t="n">
        <x:v>45039</x:v>
      </x:c>
      <x:c r="E2619" s="84" t="n">
        <x:v>6.2</x:v>
      </x:c>
      <x:c r="F2619" s="84" t="str">
        <x:v>Normal</x:v>
      </x:c>
      <x:c r="G2619" s="93" t="n">
        <x:v>183.89</x:v>
      </x:c>
      <x:c r="H2619" s="85" t="str">
        <x:v>Diagnóstico e execução</x:v>
      </x:c>
    </x:row>
    <x:row r="2620">
      <x:c r="A2620" s="83" t="n">
        <x:v>2619</x:v>
      </x:c>
      <x:c r="B2620" s="84" t="n">
        <x:v>1533</x:v>
      </x:c>
      <x:c r="C2620" s="84" t="n">
        <x:v>31</x:v>
      </x:c>
      <x:c r="D2620" s="89" t="n">
        <x:v>45168</x:v>
      </x:c>
      <x:c r="E2620" s="84" t="n">
        <x:v>1.4</x:v>
      </x:c>
      <x:c r="F2620" s="84" t="str">
        <x:v>Normal</x:v>
      </x:c>
      <x:c r="G2620" s="93" t="n">
        <x:v>68.46</x:v>
      </x:c>
      <x:c r="H2620" s="85" t="str">
        <x:v>Diagnóstico e execução</x:v>
      </x:c>
    </x:row>
    <x:row r="2621">
      <x:c r="A2621" s="83" t="n">
        <x:v>2620</x:v>
      </x:c>
      <x:c r="B2621" s="84" t="n">
        <x:v>1533</x:v>
      </x:c>
      <x:c r="C2621" s="84" t="n">
        <x:v>40</x:v>
      </x:c>
      <x:c r="D2621" s="89" t="n">
        <x:v>45168</x:v>
      </x:c>
      <x:c r="E2621" s="84" t="n">
        <x:v>2.3</x:v>
      </x:c>
      <x:c r="F2621" s="84" t="str">
        <x:v>Normal</x:v>
      </x:c>
      <x:c r="G2621" s="93" t="n">
        <x:v>113.67</x:v>
      </x:c>
      <x:c r="H2621" s="85" t="str">
        <x:v>Diagnóstico e execução</x:v>
      </x:c>
    </x:row>
    <x:row r="2622">
      <x:c r="A2622" s="83" t="n">
        <x:v>2621</x:v>
      </x:c>
      <x:c r="B2622" s="84" t="n">
        <x:v>1534</x:v>
      </x:c>
      <x:c r="C2622" s="84" t="n">
        <x:v>12</x:v>
      </x:c>
      <x:c r="D2622" s="89" t="n">
        <x:v>45003</x:v>
      </x:c>
      <x:c r="E2622" s="84" t="n">
        <x:v>7.7</x:v>
      </x:c>
      <x:c r="F2622" s="84" t="str">
        <x:v>Normal</x:v>
      </x:c>
      <x:c r="G2622" s="93" t="n">
        <x:v>265.65</x:v>
      </x:c>
      <x:c r="H2622" s="85" t="str">
        <x:v>Diagnóstico e execução</x:v>
      </x:c>
    </x:row>
    <x:row r="2623">
      <x:c r="A2623" s="83" t="n">
        <x:v>2622</x:v>
      </x:c>
      <x:c r="B2623" s="84" t="n">
        <x:v>1534</x:v>
      </x:c>
      <x:c r="C2623" s="84" t="n">
        <x:v>3</x:v>
      </x:c>
      <x:c r="D2623" s="89" t="n">
        <x:v>45003</x:v>
      </x:c>
      <x:c r="E2623" s="84" t="n">
        <x:v>7.7</x:v>
      </x:c>
      <x:c r="F2623" s="84" t="str">
        <x:v>Normal</x:v>
      </x:c>
      <x:c r="G2623" s="93" t="n">
        <x:v>379.15</x:v>
      </x:c>
      <x:c r="H2623" s="85" t="str">
        <x:v>Diagnóstico e execução</x:v>
      </x:c>
    </x:row>
    <x:row r="2624">
      <x:c r="A2624" s="83" t="n">
        <x:v>2623</x:v>
      </x:c>
      <x:c r="B2624" s="84" t="n">
        <x:v>1534</x:v>
      </x:c>
      <x:c r="C2624" s="84" t="n">
        <x:v>41</x:v>
      </x:c>
      <x:c r="D2624" s="89" t="n">
        <x:v>45003</x:v>
      </x:c>
      <x:c r="E2624" s="84" t="n">
        <x:v>3.8</x:v>
      </x:c>
      <x:c r="F2624" s="84" t="str">
        <x:v>Normal</x:v>
      </x:c>
      <x:c r="G2624" s="93" t="n">
        <x:v>192.2</x:v>
      </x:c>
      <x:c r="H2624" s="85" t="str">
        <x:v>Diagnóstico e execução</x:v>
      </x:c>
    </x:row>
    <x:row r="2625">
      <x:c r="A2625" s="83" t="n">
        <x:v>2624</x:v>
      </x:c>
      <x:c r="B2625" s="84" t="n">
        <x:v>1536</x:v>
      </x:c>
      <x:c r="C2625" s="84" t="n">
        <x:v>37</x:v>
      </x:c>
      <x:c r="D2625" s="89" t="n">
        <x:v>45727</x:v>
      </x:c>
      <x:c r="E2625" s="84" t="n">
        <x:v>1.2</x:v>
      </x:c>
      <x:c r="F2625" s="84" t="str">
        <x:v>Normal</x:v>
      </x:c>
      <x:c r="G2625" s="93" t="n">
        <x:v>70.76</x:v>
      </x:c>
      <x:c r="H2625" s="85" t="str">
        <x:v>Diagnóstico e execução</x:v>
      </x:c>
    </x:row>
    <x:row r="2626">
      <x:c r="A2626" s="83" t="n">
        <x:v>2625</x:v>
      </x:c>
      <x:c r="B2626" s="84" t="n">
        <x:v>1536</x:v>
      </x:c>
      <x:c r="C2626" s="84" t="n">
        <x:v>39</x:v>
      </x:c>
      <x:c r="D2626" s="89" t="n">
        <x:v>45727</x:v>
      </x:c>
      <x:c r="E2626" s="84" t="n">
        <x:v>4.8</x:v>
      </x:c>
      <x:c r="F2626" s="84" t="str">
        <x:v>Normal</x:v>
      </x:c>
      <x:c r="G2626" s="93" t="n">
        <x:v>277.92</x:v>
      </x:c>
      <x:c r="H2626" s="85" t="str">
        <x:v>Diagnóstico e execução</x:v>
      </x:c>
    </x:row>
    <x:row r="2627">
      <x:c r="A2627" s="83" t="n">
        <x:v>2626</x:v>
      </x:c>
      <x:c r="B2627" s="84" t="n">
        <x:v>1537</x:v>
      </x:c>
      <x:c r="C2627" s="84" t="n">
        <x:v>32</x:v>
      </x:c>
      <x:c r="D2627" s="89" t="n">
        <x:v>45317</x:v>
      </x:c>
      <x:c r="E2627" s="84" t="n">
        <x:v>7.9</x:v>
      </x:c>
      <x:c r="F2627" s="84" t="str">
        <x:v>Normal</x:v>
      </x:c>
      <x:c r="G2627" s="93" t="n">
        <x:v>344.83</x:v>
      </x:c>
      <x:c r="H2627" s="85" t="str">
        <x:v>Diagnóstico e execução</x:v>
      </x:c>
    </x:row>
    <x:row r="2628">
      <x:c r="A2628" s="83" t="n">
        <x:v>2627</x:v>
      </x:c>
      <x:c r="B2628" s="84" t="n">
        <x:v>1538</x:v>
      </x:c>
      <x:c r="C2628" s="84" t="n">
        <x:v>13</x:v>
      </x:c>
      <x:c r="D2628" s="89" t="n">
        <x:v>45592</x:v>
      </x:c>
      <x:c r="E2628" s="84" t="n">
        <x:v>4.3</x:v>
      </x:c>
      <x:c r="F2628" s="84" t="str">
        <x:v>Normal</x:v>
      </x:c>
      <x:c r="G2628" s="93" t="n">
        <x:v>145.68</x:v>
      </x:c>
      <x:c r="H2628" s="85" t="str">
        <x:v>Diagnóstico e execução</x:v>
      </x:c>
    </x:row>
    <x:row r="2629">
      <x:c r="A2629" s="83" t="n">
        <x:v>2628</x:v>
      </x:c>
      <x:c r="B2629" s="84" t="n">
        <x:v>1539</x:v>
      </x:c>
      <x:c r="C2629" s="84" t="n">
        <x:v>31</x:v>
      </x:c>
      <x:c r="D2629" s="89" t="n">
        <x:v>45421</x:v>
      </x:c>
      <x:c r="E2629" s="84" t="n">
        <x:v>1.5</x:v>
      </x:c>
      <x:c r="F2629" s="84" t="str">
        <x:v>Normal</x:v>
      </x:c>
      <x:c r="G2629" s="93" t="n">
        <x:v>73.35</x:v>
      </x:c>
      <x:c r="H2629" s="85" t="str">
        <x:v>Diagnóstico e execução</x:v>
      </x:c>
    </x:row>
    <x:row r="2630">
      <x:c r="A2630" s="83" t="n">
        <x:v>2629</x:v>
      </x:c>
      <x:c r="B2630" s="84" t="n">
        <x:v>1539</x:v>
      </x:c>
      <x:c r="C2630" s="84" t="n">
        <x:v>22</x:v>
      </x:c>
      <x:c r="D2630" s="89" t="n">
        <x:v>45421</x:v>
      </x:c>
      <x:c r="E2630" s="84" t="n">
        <x:v>5.4</x:v>
      </x:c>
      <x:c r="F2630" s="84" t="str">
        <x:v>Normal</x:v>
      </x:c>
      <x:c r="G2630" s="93" t="n">
        <x:v>207.68</x:v>
      </x:c>
      <x:c r="H2630" s="85" t="str">
        <x:v>Diagnóstico e execução</x:v>
      </x:c>
    </x:row>
    <x:row r="2631">
      <x:c r="A2631" s="83" t="n">
        <x:v>2630</x:v>
      </x:c>
      <x:c r="B2631" s="84" t="n">
        <x:v>1540</x:v>
      </x:c>
      <x:c r="C2631" s="84" t="n">
        <x:v>33</x:v>
      </x:c>
      <x:c r="D2631" s="89" t="n">
        <x:v>45829</x:v>
      </x:c>
      <x:c r="E2631" s="84" t="n">
        <x:v>0.8</x:v>
      </x:c>
      <x:c r="F2631" s="84" t="str">
        <x:v>Normal</x:v>
      </x:c>
      <x:c r="G2631" s="93" t="n">
        <x:v>27.59</x:v>
      </x:c>
      <x:c r="H2631" s="85" t="str">
        <x:v>Diagnóstico e execução</x:v>
      </x:c>
    </x:row>
    <x:row r="2632">
      <x:c r="A2632" s="83" t="n">
        <x:v>2631</x:v>
      </x:c>
      <x:c r="B2632" s="84" t="n">
        <x:v>1540</x:v>
      </x:c>
      <x:c r="C2632" s="84" t="n">
        <x:v>23</x:v>
      </x:c>
      <x:c r="D2632" s="89" t="n">
        <x:v>45829</x:v>
      </x:c>
      <x:c r="E2632" s="84" t="n">
        <x:v>4.3</x:v>
      </x:c>
      <x:c r="F2632" s="84" t="str">
        <x:v>Normal</x:v>
      </x:c>
      <x:c r="G2632" s="93" t="n">
        <x:v>185.37</x:v>
      </x:c>
      <x:c r="H2632" s="85" t="str">
        <x:v>Diagnóstico e execução</x:v>
      </x:c>
    </x:row>
    <x:row r="2633">
      <x:c r="A2633" s="83" t="n">
        <x:v>2632</x:v>
      </x:c>
      <x:c r="B2633" s="84" t="n">
        <x:v>1540</x:v>
      </x:c>
      <x:c r="C2633" s="84" t="n">
        <x:v>21</x:v>
      </x:c>
      <x:c r="D2633" s="89" t="n">
        <x:v>45829</x:v>
      </x:c>
      <x:c r="E2633" s="84" t="n">
        <x:v>0.6</x:v>
      </x:c>
      <x:c r="F2633" s="84" t="str">
        <x:v>Normal</x:v>
      </x:c>
      <x:c r="G2633" s="93" t="n">
        <x:v>36.86</x:v>
      </x:c>
      <x:c r="H2633" s="85" t="str">
        <x:v>Diagnóstico e execução</x:v>
      </x:c>
    </x:row>
    <x:row r="2634">
      <x:c r="A2634" s="83" t="n">
        <x:v>2633</x:v>
      </x:c>
      <x:c r="B2634" s="84" t="n">
        <x:v>1541</x:v>
      </x:c>
      <x:c r="C2634" s="84" t="n">
        <x:v>18</x:v>
      </x:c>
      <x:c r="D2634" s="89" t="n">
        <x:v>45566</x:v>
      </x:c>
      <x:c r="E2634" s="84" t="n">
        <x:v>3.1</x:v>
      </x:c>
      <x:c r="F2634" s="84" t="str">
        <x:v>Normal</x:v>
      </x:c>
      <x:c r="G2634" s="93" t="n">
        <x:v>195.58</x:v>
      </x:c>
      <x:c r="H2634" s="85" t="str">
        <x:v>Diagnóstico e execução</x:v>
      </x:c>
    </x:row>
    <x:row r="2635">
      <x:c r="A2635" s="83" t="n">
        <x:v>2634</x:v>
      </x:c>
      <x:c r="B2635" s="84" t="n">
        <x:v>1541</x:v>
      </x:c>
      <x:c r="C2635" s="84" t="n">
        <x:v>8</x:v>
      </x:c>
      <x:c r="D2635" s="89" t="n">
        <x:v>45566</x:v>
      </x:c>
      <x:c r="E2635" s="84" t="n">
        <x:v>6.5</x:v>
      </x:c>
      <x:c r="F2635" s="84" t="str">
        <x:v>Normal</x:v>
      </x:c>
      <x:c r="G2635" s="93" t="n">
        <x:v>302.25</x:v>
      </x:c>
      <x:c r="H2635" s="85" t="str">
        <x:v>Diagnóstico e execução</x:v>
      </x:c>
    </x:row>
    <x:row r="2636">
      <x:c r="A2636" s="83" t="n">
        <x:v>2635</x:v>
      </x:c>
      <x:c r="B2636" s="84" t="n">
        <x:v>1542</x:v>
      </x:c>
      <x:c r="C2636" s="84" t="n">
        <x:v>26</x:v>
      </x:c>
      <x:c r="D2636" s="89" t="n">
        <x:v>45291</x:v>
      </x:c>
      <x:c r="E2636" s="84" t="n">
        <x:v>6.2</x:v>
      </x:c>
      <x:c r="F2636" s="84" t="str">
        <x:v>Normal</x:v>
      </x:c>
      <x:c r="G2636" s="93" t="n">
        <x:v>242.54</x:v>
      </x:c>
      <x:c r="H2636" s="85" t="str">
        <x:v>Diagnóstico e execução</x:v>
      </x:c>
    </x:row>
    <x:row r="2637">
      <x:c r="A2637" s="83" t="n">
        <x:v>2636</x:v>
      </x:c>
      <x:c r="B2637" s="84" t="n">
        <x:v>1542</x:v>
      </x:c>
      <x:c r="C2637" s="84" t="n">
        <x:v>34</x:v>
      </x:c>
      <x:c r="D2637" s="89" t="n">
        <x:v>45291</x:v>
      </x:c>
      <x:c r="E2637" s="84" t="n">
        <x:v>4.7</x:v>
      </x:c>
      <x:c r="F2637" s="84" t="str">
        <x:v>Normal</x:v>
      </x:c>
      <x:c r="G2637" s="93" t="n">
        <x:v>203.18</x:v>
      </x:c>
      <x:c r="H2637" s="85" t="str">
        <x:v>Diagnóstico e execução</x:v>
      </x:c>
    </x:row>
    <x:row r="2638">
      <x:c r="A2638" s="83" t="n">
        <x:v>2637</x:v>
      </x:c>
      <x:c r="B2638" s="84" t="n">
        <x:v>1542</x:v>
      </x:c>
      <x:c r="C2638" s="84" t="n">
        <x:v>30</x:v>
      </x:c>
      <x:c r="D2638" s="89" t="n">
        <x:v>45291</x:v>
      </x:c>
      <x:c r="E2638" s="84" t="n">
        <x:v>5</x:v>
      </x:c>
      <x:c r="F2638" s="84" t="str">
        <x:v>Normal</x:v>
      </x:c>
      <x:c r="G2638" s="93" t="n">
        <x:v>207.05</x:v>
      </x:c>
      <x:c r="H2638" s="85" t="str">
        <x:v>Diagnóstico e execução</x:v>
      </x:c>
    </x:row>
    <x:row r="2639">
      <x:c r="A2639" s="83" t="n">
        <x:v>2638</x:v>
      </x:c>
      <x:c r="B2639" s="84" t="n">
        <x:v>1543</x:v>
      </x:c>
      <x:c r="C2639" s="84" t="n">
        <x:v>42</x:v>
      </x:c>
      <x:c r="D2639" s="89" t="n">
        <x:v>45875</x:v>
      </x:c>
      <x:c r="E2639" s="84" t="n">
        <x:v>7.2</x:v>
      </x:c>
      <x:c r="F2639" s="84" t="str">
        <x:v>Normal</x:v>
      </x:c>
      <x:c r="G2639" s="93" t="n">
        <x:v>303.7</x:v>
      </x:c>
      <x:c r="H2639" s="85" t="str">
        <x:v>Diagnóstico e execução</x:v>
      </x:c>
    </x:row>
    <x:row r="2640">
      <x:c r="A2640" s="83" t="n">
        <x:v>2639</x:v>
      </x:c>
      <x:c r="B2640" s="84" t="n">
        <x:v>1544</x:v>
      </x:c>
      <x:c r="C2640" s="84" t="n">
        <x:v>4</x:v>
      </x:c>
      <x:c r="D2640" s="89" t="n">
        <x:v>45831</x:v>
      </x:c>
      <x:c r="E2640" s="84" t="n">
        <x:v>5.9</x:v>
      </x:c>
      <x:c r="F2640" s="84" t="str">
        <x:v>Normal</x:v>
      </x:c>
      <x:c r="G2640" s="93" t="n">
        <x:v>290.22</x:v>
      </x:c>
      <x:c r="H2640" s="85" t="str">
        <x:v>Diagnóstico e execução</x:v>
      </x:c>
    </x:row>
    <x:row r="2641">
      <x:c r="A2641" s="83" t="n">
        <x:v>2640</x:v>
      </x:c>
      <x:c r="B2641" s="84" t="n">
        <x:v>1544</x:v>
      </x:c>
      <x:c r="C2641" s="84" t="n">
        <x:v>24</x:v>
      </x:c>
      <x:c r="D2641" s="89" t="n">
        <x:v>45831</x:v>
      </x:c>
      <x:c r="E2641" s="84" t="n">
        <x:v>4.6</x:v>
      </x:c>
      <x:c r="F2641" s="84" t="str">
        <x:v>Normal</x:v>
      </x:c>
      <x:c r="G2641" s="93" t="n">
        <x:v>272.5</x:v>
      </x:c>
      <x:c r="H2641" s="85" t="str">
        <x:v>Diagnóstico e execução</x:v>
      </x:c>
    </x:row>
    <x:row r="2642">
      <x:c r="A2642" s="83" t="n">
        <x:v>2641</x:v>
      </x:c>
      <x:c r="B2642" s="84" t="n">
        <x:v>1545</x:v>
      </x:c>
      <x:c r="C2642" s="84" t="n">
        <x:v>6</x:v>
      </x:c>
      <x:c r="D2642" s="89" t="n">
        <x:v>45770</x:v>
      </x:c>
      <x:c r="E2642" s="84" t="n">
        <x:v>7.5</x:v>
      </x:c>
      <x:c r="F2642" s="84" t="str">
        <x:v>Normal</x:v>
      </x:c>
      <x:c r="G2642" s="93" t="n">
        <x:v>391.95</x:v>
      </x:c>
      <x:c r="H2642" s="85" t="str">
        <x:v>Diagnóstico e execução</x:v>
      </x:c>
    </x:row>
    <x:row r="2643">
      <x:c r="A2643" s="83" t="n">
        <x:v>2642</x:v>
      </x:c>
      <x:c r="B2643" s="84" t="n">
        <x:v>1546</x:v>
      </x:c>
      <x:c r="C2643" s="84" t="n">
        <x:v>30</x:v>
      </x:c>
      <x:c r="D2643" s="89" t="n">
        <x:v>44991</x:v>
      </x:c>
      <x:c r="E2643" s="84" t="n">
        <x:v>7.3</x:v>
      </x:c>
      <x:c r="F2643" s="84" t="str">
        <x:v>Normal</x:v>
      </x:c>
      <x:c r="G2643" s="93" t="n">
        <x:v>302.29</x:v>
      </x:c>
      <x:c r="H2643" s="85" t="str">
        <x:v>Diagnóstico e execução</x:v>
      </x:c>
    </x:row>
    <x:row r="2644">
      <x:c r="A2644" s="83" t="n">
        <x:v>2643</x:v>
      </x:c>
      <x:c r="B2644" s="84" t="n">
        <x:v>1546</x:v>
      </x:c>
      <x:c r="C2644" s="84" t="n">
        <x:v>13</x:v>
      </x:c>
      <x:c r="D2644" s="89" t="n">
        <x:v>44991</x:v>
      </x:c>
      <x:c r="E2644" s="84" t="n">
        <x:v>1.5</x:v>
      </x:c>
      <x:c r="F2644" s="84" t="str">
        <x:v>Normal</x:v>
      </x:c>
      <x:c r="G2644" s="93" t="n">
        <x:v>50.82</x:v>
      </x:c>
      <x:c r="H2644" s="85" t="str">
        <x:v>Diagnóstico e execução</x:v>
      </x:c>
    </x:row>
    <x:row r="2645">
      <x:c r="A2645" s="83" t="n">
        <x:v>2644</x:v>
      </x:c>
      <x:c r="B2645" s="84" t="n">
        <x:v>1547</x:v>
      </x:c>
      <x:c r="C2645" s="84" t="n">
        <x:v>24</x:v>
      </x:c>
      <x:c r="D2645" s="89" t="n">
        <x:v>45635</x:v>
      </x:c>
      <x:c r="E2645" s="84" t="n">
        <x:v>3.7</x:v>
      </x:c>
      <x:c r="F2645" s="84" t="str">
        <x:v>Normal</x:v>
      </x:c>
      <x:c r="G2645" s="93" t="n">
        <x:v>219.19</x:v>
      </x:c>
      <x:c r="H2645" s="85" t="str">
        <x:v>Diagnóstico e execução</x:v>
      </x:c>
    </x:row>
    <x:row r="2646">
      <x:c r="A2646" s="83" t="n">
        <x:v>2645</x:v>
      </x:c>
      <x:c r="B2646" s="84" t="n">
        <x:v>1547</x:v>
      </x:c>
      <x:c r="C2646" s="84" t="n">
        <x:v>1</x:v>
      </x:c>
      <x:c r="D2646" s="89" t="n">
        <x:v>45635</x:v>
      </x:c>
      <x:c r="E2646" s="84" t="n">
        <x:v>4.9</x:v>
      </x:c>
      <x:c r="F2646" s="84" t="str">
        <x:v>Normal</x:v>
      </x:c>
      <x:c r="G2646" s="93" t="n">
        <x:v>173.31</x:v>
      </x:c>
      <x:c r="H2646" s="85" t="str">
        <x:v>Diagnóstico e execução</x:v>
      </x:c>
    </x:row>
    <x:row r="2647">
      <x:c r="A2647" s="83" t="n">
        <x:v>2646</x:v>
      </x:c>
      <x:c r="B2647" s="84" t="n">
        <x:v>1547</x:v>
      </x:c>
      <x:c r="C2647" s="84" t="n">
        <x:v>30</x:v>
      </x:c>
      <x:c r="D2647" s="89" t="n">
        <x:v>45635</x:v>
      </x:c>
      <x:c r="E2647" s="84" t="n">
        <x:v>2.3</x:v>
      </x:c>
      <x:c r="F2647" s="84" t="str">
        <x:v>Normal</x:v>
      </x:c>
      <x:c r="G2647" s="93" t="n">
        <x:v>95.24</x:v>
      </x:c>
      <x:c r="H2647" s="85" t="str">
        <x:v>Diagnóstico e execução</x:v>
      </x:c>
    </x:row>
    <x:row r="2648">
      <x:c r="A2648" s="83" t="n">
        <x:v>2647</x:v>
      </x:c>
      <x:c r="B2648" s="84" t="n">
        <x:v>1549</x:v>
      </x:c>
      <x:c r="C2648" s="84" t="n">
        <x:v>33</x:v>
      </x:c>
      <x:c r="D2648" s="89" t="n">
        <x:v>45476</x:v>
      </x:c>
      <x:c r="E2648" s="84" t="n">
        <x:v>3.6</x:v>
      </x:c>
      <x:c r="F2648" s="84" t="str">
        <x:v>Normal</x:v>
      </x:c>
      <x:c r="G2648" s="93" t="n">
        <x:v>124.16</x:v>
      </x:c>
      <x:c r="H2648" s="85" t="str">
        <x:v>Diagnóstico e execução</x:v>
      </x:c>
    </x:row>
    <x:row r="2649">
      <x:c r="A2649" s="83" t="n">
        <x:v>2648</x:v>
      </x:c>
      <x:c r="B2649" s="84" t="n">
        <x:v>1549</x:v>
      </x:c>
      <x:c r="C2649" s="84" t="n">
        <x:v>10</x:v>
      </x:c>
      <x:c r="D2649" s="89" t="n">
        <x:v>45476</x:v>
      </x:c>
      <x:c r="E2649" s="84" t="n">
        <x:v>1.3</x:v>
      </x:c>
      <x:c r="F2649" s="84" t="str">
        <x:v>Normal</x:v>
      </x:c>
      <x:c r="G2649" s="93" t="n">
        <x:v>38.6</x:v>
      </x:c>
      <x:c r="H2649" s="85" t="str">
        <x:v>Diagnóstico e execução</x:v>
      </x:c>
    </x:row>
    <x:row r="2650">
      <x:c r="A2650" s="83" t="n">
        <x:v>2649</x:v>
      </x:c>
      <x:c r="B2650" s="84" t="n">
        <x:v>1549</x:v>
      </x:c>
      <x:c r="C2650" s="84" t="n">
        <x:v>5</x:v>
      </x:c>
      <x:c r="D2650" s="89" t="n">
        <x:v>45476</x:v>
      </x:c>
      <x:c r="E2650" s="84" t="n">
        <x:v>6.8</x:v>
      </x:c>
      <x:c r="F2650" s="84" t="str">
        <x:v>Normal</x:v>
      </x:c>
      <x:c r="G2650" s="93" t="n">
        <x:v>195.98</x:v>
      </x:c>
      <x:c r="H2650" s="85" t="str">
        <x:v>Diagnóstico e execução</x:v>
      </x:c>
    </x:row>
    <x:row r="2651">
      <x:c r="A2651" s="83" t="n">
        <x:v>2650</x:v>
      </x:c>
      <x:c r="B2651" s="84" t="n">
        <x:v>1550</x:v>
      </x:c>
      <x:c r="C2651" s="84" t="n">
        <x:v>36</x:v>
      </x:c>
      <x:c r="D2651" s="89" t="n">
        <x:v>45844</x:v>
      </x:c>
      <x:c r="E2651" s="84" t="n">
        <x:v>7.5</x:v>
      </x:c>
      <x:c r="F2651" s="84" t="str">
        <x:v>Normal</x:v>
      </x:c>
      <x:c r="G2651" s="93" t="n">
        <x:v>222.45</x:v>
      </x:c>
      <x:c r="H2651" s="85" t="str">
        <x:v>Diagnóstico e execução</x:v>
      </x:c>
    </x:row>
    <x:row r="2652">
      <x:c r="A2652" s="83" t="n">
        <x:v>2651</x:v>
      </x:c>
      <x:c r="B2652" s="84" t="n">
        <x:v>1550</x:v>
      </x:c>
      <x:c r="C2652" s="84" t="n">
        <x:v>11</x:v>
      </x:c>
      <x:c r="D2652" s="89" t="n">
        <x:v>45844</x:v>
      </x:c>
      <x:c r="E2652" s="84" t="n">
        <x:v>4.5</x:v>
      </x:c>
      <x:c r="F2652" s="84" t="str">
        <x:v>Normal</x:v>
      </x:c>
      <x:c r="G2652" s="93" t="n">
        <x:v>187.56</x:v>
      </x:c>
      <x:c r="H2652" s="85" t="str">
        <x:v>Diagnóstico e execução</x:v>
      </x:c>
    </x:row>
    <x:row r="2653">
      <x:c r="A2653" s="83" t="n">
        <x:v>2652</x:v>
      </x:c>
      <x:c r="B2653" s="84" t="n">
        <x:v>1550</x:v>
      </x:c>
      <x:c r="C2653" s="84" t="n">
        <x:v>18</x:v>
      </x:c>
      <x:c r="D2653" s="89" t="n">
        <x:v>45844</x:v>
      </x:c>
      <x:c r="E2653" s="84" t="n">
        <x:v>3.5</x:v>
      </x:c>
      <x:c r="F2653" s="84" t="str">
        <x:v>Normal</x:v>
      </x:c>
      <x:c r="G2653" s="93" t="n">
        <x:v>220.81</x:v>
      </x:c>
      <x:c r="H2653" s="85" t="str">
        <x:v>Diagnóstico e execução</x:v>
      </x:c>
    </x:row>
    <x:row r="2654">
      <x:c r="A2654" s="83" t="n">
        <x:v>2653</x:v>
      </x:c>
      <x:c r="B2654" s="84" t="n">
        <x:v>1551</x:v>
      </x:c>
      <x:c r="C2654" s="84" t="n">
        <x:v>21</x:v>
      </x:c>
      <x:c r="D2654" s="89" t="n">
        <x:v>45960</x:v>
      </x:c>
      <x:c r="E2654" s="84" t="n">
        <x:v>1.6</x:v>
      </x:c>
      <x:c r="F2654" s="84" t="str">
        <x:v>Normal</x:v>
      </x:c>
      <x:c r="G2654" s="93" t="n">
        <x:v>98.29</x:v>
      </x:c>
      <x:c r="H2654" s="85" t="str">
        <x:v>Diagnóstico e execução</x:v>
      </x:c>
    </x:row>
    <x:row r="2655">
      <x:c r="A2655" s="83" t="n">
        <x:v>2654</x:v>
      </x:c>
      <x:c r="B2655" s="84" t="n">
        <x:v>1551</x:v>
      </x:c>
      <x:c r="C2655" s="84" t="n">
        <x:v>30</x:v>
      </x:c>
      <x:c r="D2655" s="89" t="n">
        <x:v>45960</x:v>
      </x:c>
      <x:c r="E2655" s="84" t="n">
        <x:v>2.6</x:v>
      </x:c>
      <x:c r="F2655" s="84" t="str">
        <x:v>Normal</x:v>
      </x:c>
      <x:c r="G2655" s="93" t="n">
        <x:v>107.67</x:v>
      </x:c>
      <x:c r="H2655" s="85" t="str">
        <x:v>Diagnóstico e execução</x:v>
      </x:c>
    </x:row>
    <x:row r="2656">
      <x:c r="A2656" s="83" t="n">
        <x:v>2655</x:v>
      </x:c>
      <x:c r="B2656" s="84" t="n">
        <x:v>1551</x:v>
      </x:c>
      <x:c r="C2656" s="84" t="n">
        <x:v>28</x:v>
      </x:c>
      <x:c r="D2656" s="89" t="n">
        <x:v>45960</x:v>
      </x:c>
      <x:c r="E2656" s="84" t="n">
        <x:v>6.4</x:v>
      </x:c>
      <x:c r="F2656" s="84" t="str">
        <x:v>Normal</x:v>
      </x:c>
      <x:c r="G2656" s="93" t="n">
        <x:v>240.77</x:v>
      </x:c>
      <x:c r="H2656" s="85" t="str">
        <x:v>Diagnóstico e execução</x:v>
      </x:c>
    </x:row>
    <x:row r="2657">
      <x:c r="A2657" s="83" t="n">
        <x:v>2656</x:v>
      </x:c>
      <x:c r="B2657" s="84" t="n">
        <x:v>1552</x:v>
      </x:c>
      <x:c r="C2657" s="84" t="n">
        <x:v>4</x:v>
      </x:c>
      <x:c r="D2657" s="89" t="n">
        <x:v>45185</x:v>
      </x:c>
      <x:c r="E2657" s="84" t="n">
        <x:v>0.8</x:v>
      </x:c>
      <x:c r="F2657" s="84" t="str">
        <x:v>Normal</x:v>
      </x:c>
      <x:c r="G2657" s="93" t="n">
        <x:v>39.35</x:v>
      </x:c>
      <x:c r="H2657" s="85" t="str">
        <x:v>Diagnóstico e execução</x:v>
      </x:c>
    </x:row>
    <x:row r="2658">
      <x:c r="A2658" s="83" t="n">
        <x:v>2657</x:v>
      </x:c>
      <x:c r="B2658" s="84" t="n">
        <x:v>1552</x:v>
      </x:c>
      <x:c r="C2658" s="84" t="n">
        <x:v>36</x:v>
      </x:c>
      <x:c r="D2658" s="89" t="n">
        <x:v>45185</x:v>
      </x:c>
      <x:c r="E2658" s="84" t="n">
        <x:v>2.8</x:v>
      </x:c>
      <x:c r="F2658" s="84" t="str">
        <x:v>Normal</x:v>
      </x:c>
      <x:c r="G2658" s="93" t="n">
        <x:v>83.05</x:v>
      </x:c>
      <x:c r="H2658" s="85" t="str">
        <x:v>Diagnóstico e execução</x:v>
      </x:c>
    </x:row>
    <x:row r="2659">
      <x:c r="A2659" s="83" t="n">
        <x:v>2658</x:v>
      </x:c>
      <x:c r="B2659" s="84" t="n">
        <x:v>1552</x:v>
      </x:c>
      <x:c r="C2659" s="84" t="n">
        <x:v>11</x:v>
      </x:c>
      <x:c r="D2659" s="89" t="n">
        <x:v>45185</x:v>
      </x:c>
      <x:c r="E2659" s="84" t="n">
        <x:v>4.1</x:v>
      </x:c>
      <x:c r="F2659" s="84" t="str">
        <x:v>Normal</x:v>
      </x:c>
      <x:c r="G2659" s="93" t="n">
        <x:v>170.89</x:v>
      </x:c>
      <x:c r="H2659" s="85" t="str">
        <x:v>Diagnóstico e execução</x:v>
      </x:c>
    </x:row>
    <x:row r="2660">
      <x:c r="A2660" s="83" t="n">
        <x:v>2659</x:v>
      </x:c>
      <x:c r="B2660" s="84" t="n">
        <x:v>1553</x:v>
      </x:c>
      <x:c r="C2660" s="84" t="n">
        <x:v>21</x:v>
      </x:c>
      <x:c r="D2660" s="89" t="n">
        <x:v>44975</x:v>
      </x:c>
      <x:c r="E2660" s="84" t="n">
        <x:v>2.4</x:v>
      </x:c>
      <x:c r="F2660" s="84" t="str">
        <x:v>Normal</x:v>
      </x:c>
      <x:c r="G2660" s="93" t="n">
        <x:v>147.43</x:v>
      </x:c>
      <x:c r="H2660" s="85" t="str">
        <x:v>Diagnóstico e execução</x:v>
      </x:c>
    </x:row>
    <x:row r="2661">
      <x:c r="A2661" s="83" t="n">
        <x:v>2660</x:v>
      </x:c>
      <x:c r="B2661" s="84" t="n">
        <x:v>1554</x:v>
      </x:c>
      <x:c r="C2661" s="84" t="n">
        <x:v>11</x:v>
      </x:c>
      <x:c r="D2661" s="89" t="n">
        <x:v>45714</x:v>
      </x:c>
      <x:c r="E2661" s="84" t="n">
        <x:v>7.2</x:v>
      </x:c>
      <x:c r="F2661" s="84" t="str">
        <x:v>Normal</x:v>
      </x:c>
      <x:c r="G2661" s="93" t="n">
        <x:v>300.1</x:v>
      </x:c>
      <x:c r="H2661" s="85" t="str">
        <x:v>Diagnóstico e execução</x:v>
      </x:c>
    </x:row>
    <x:row r="2662">
      <x:c r="A2662" s="83" t="n">
        <x:v>2661</x:v>
      </x:c>
      <x:c r="B2662" s="84" t="n">
        <x:v>1554</x:v>
      </x:c>
      <x:c r="C2662" s="84" t="n">
        <x:v>21</x:v>
      </x:c>
      <x:c r="D2662" s="89" t="n">
        <x:v>45714</x:v>
      </x:c>
      <x:c r="E2662" s="84" t="n">
        <x:v>0.9</x:v>
      </x:c>
      <x:c r="F2662" s="84" t="str">
        <x:v>Normal</x:v>
      </x:c>
      <x:c r="G2662" s="93" t="n">
        <x:v>55.29</x:v>
      </x:c>
      <x:c r="H2662" s="85" t="str">
        <x:v>Diagnóstico e execução</x:v>
      </x:c>
    </x:row>
    <x:row r="2663">
      <x:c r="A2663" s="83" t="n">
        <x:v>2662</x:v>
      </x:c>
      <x:c r="B2663" s="84" t="n">
        <x:v>1555</x:v>
      </x:c>
      <x:c r="C2663" s="84" t="n">
        <x:v>17</x:v>
      </x:c>
      <x:c r="D2663" s="89" t="n">
        <x:v>45549</x:v>
      </x:c>
      <x:c r="E2663" s="84" t="n">
        <x:v>6.9</x:v>
      </x:c>
      <x:c r="F2663" s="84" t="str">
        <x:v>Normal</x:v>
      </x:c>
      <x:c r="G2663" s="93" t="n">
        <x:v>384.88</x:v>
      </x:c>
      <x:c r="H2663" s="85" t="str">
        <x:v>Diagnóstico e execução</x:v>
      </x:c>
    </x:row>
    <x:row r="2664">
      <x:c r="A2664" s="83" t="n">
        <x:v>2663</x:v>
      </x:c>
      <x:c r="B2664" s="84" t="n">
        <x:v>1555</x:v>
      </x:c>
      <x:c r="C2664" s="84" t="n">
        <x:v>25</x:v>
      </x:c>
      <x:c r="D2664" s="89" t="n">
        <x:v>45549</x:v>
      </x:c>
      <x:c r="E2664" s="84" t="n">
        <x:v>4.9</x:v>
      </x:c>
      <x:c r="F2664" s="84" t="str">
        <x:v>Normal</x:v>
      </x:c>
      <x:c r="G2664" s="93" t="n">
        <x:v>262.59</x:v>
      </x:c>
      <x:c r="H2664" s="85" t="str">
        <x:v>Diagnóstico e execução</x:v>
      </x:c>
    </x:row>
    <x:row r="2665">
      <x:c r="A2665" s="83" t="n">
        <x:v>2664</x:v>
      </x:c>
      <x:c r="B2665" s="84" t="n">
        <x:v>1555</x:v>
      </x:c>
      <x:c r="C2665" s="84" t="n">
        <x:v>28</x:v>
      </x:c>
      <x:c r="D2665" s="89" t="n">
        <x:v>45549</x:v>
      </x:c>
      <x:c r="E2665" s="84" t="n">
        <x:v>4.9</x:v>
      </x:c>
      <x:c r="F2665" s="84" t="str">
        <x:v>Normal</x:v>
      </x:c>
      <x:c r="G2665" s="93" t="n">
        <x:v>184.34</x:v>
      </x:c>
      <x:c r="H2665" s="85" t="str">
        <x:v>Diagnóstico e execução</x:v>
      </x:c>
    </x:row>
    <x:row r="2666">
      <x:c r="A2666" s="83" t="n">
        <x:v>2665</x:v>
      </x:c>
      <x:c r="B2666" s="84" t="n">
        <x:v>1557</x:v>
      </x:c>
      <x:c r="C2666" s="84" t="n">
        <x:v>21</x:v>
      </x:c>
      <x:c r="D2666" s="89" t="n">
        <x:v>45051</x:v>
      </x:c>
      <x:c r="E2666" s="84" t="n">
        <x:v>2.2</x:v>
      </x:c>
      <x:c r="F2666" s="84" t="str">
        <x:v>Normal</x:v>
      </x:c>
      <x:c r="G2666" s="93" t="n">
        <x:v>135.15</x:v>
      </x:c>
      <x:c r="H2666" s="85" t="str">
        <x:v>Diagnóstico e execução</x:v>
      </x:c>
    </x:row>
    <x:row r="2667">
      <x:c r="A2667" s="83" t="n">
        <x:v>2666</x:v>
      </x:c>
      <x:c r="B2667" s="84" t="n">
        <x:v>1558</x:v>
      </x:c>
      <x:c r="C2667" s="84" t="n">
        <x:v>24</x:v>
      </x:c>
      <x:c r="D2667" s="89" t="n">
        <x:v>45336</x:v>
      </x:c>
      <x:c r="E2667" s="84" t="n">
        <x:v>2.3</x:v>
      </x:c>
      <x:c r="F2667" s="84" t="str">
        <x:v>Normal</x:v>
      </x:c>
      <x:c r="G2667" s="93" t="n">
        <x:v>136.25</x:v>
      </x:c>
      <x:c r="H2667" s="85" t="str">
        <x:v>Diagnóstico e execução</x:v>
      </x:c>
    </x:row>
    <x:row r="2668">
      <x:c r="A2668" s="83" t="n">
        <x:v>2667</x:v>
      </x:c>
      <x:c r="B2668" s="84" t="n">
        <x:v>1558</x:v>
      </x:c>
      <x:c r="C2668" s="84" t="n">
        <x:v>21</x:v>
      </x:c>
      <x:c r="D2668" s="89" t="n">
        <x:v>45336</x:v>
      </x:c>
      <x:c r="E2668" s="84" t="n">
        <x:v>7.7</x:v>
      </x:c>
      <x:c r="F2668" s="84" t="str">
        <x:v>Normal</x:v>
      </x:c>
      <x:c r="G2668" s="93" t="n">
        <x:v>473.01</x:v>
      </x:c>
      <x:c r="H2668" s="85" t="str">
        <x:v>Diagnóstico e execução</x:v>
      </x:c>
    </x:row>
    <x:row r="2669">
      <x:c r="A2669" s="83" t="n">
        <x:v>2668</x:v>
      </x:c>
      <x:c r="B2669" s="84" t="n">
        <x:v>1558</x:v>
      </x:c>
      <x:c r="C2669" s="84" t="n">
        <x:v>10</x:v>
      </x:c>
      <x:c r="D2669" s="89" t="n">
        <x:v>45336</x:v>
      </x:c>
      <x:c r="E2669" s="84" t="n">
        <x:v>0.8</x:v>
      </x:c>
      <x:c r="F2669" s="84" t="str">
        <x:v>Normal</x:v>
      </x:c>
      <x:c r="G2669" s="93" t="n">
        <x:v>23.75</x:v>
      </x:c>
      <x:c r="H2669" s="85" t="str">
        <x:v>Diagnóstico e execução</x:v>
      </x:c>
    </x:row>
    <x:row r="2670">
      <x:c r="A2670" s="83" t="n">
        <x:v>2669</x:v>
      </x:c>
      <x:c r="B2670" s="84" t="n">
        <x:v>1560</x:v>
      </x:c>
      <x:c r="C2670" s="84" t="n">
        <x:v>1</x:v>
      </x:c>
      <x:c r="D2670" s="89" t="n">
        <x:v>45617</x:v>
      </x:c>
      <x:c r="E2670" s="84" t="n">
        <x:v>1.4</x:v>
      </x:c>
      <x:c r="F2670" s="84" t="str">
        <x:v>Normal</x:v>
      </x:c>
      <x:c r="G2670" s="93" t="n">
        <x:v>49.52</x:v>
      </x:c>
      <x:c r="H2670" s="85" t="str">
        <x:v>Diagnóstico e execução</x:v>
      </x:c>
    </x:row>
    <x:row r="2671">
      <x:c r="A2671" s="83" t="n">
        <x:v>2670</x:v>
      </x:c>
      <x:c r="B2671" s="84" t="n">
        <x:v>1560</x:v>
      </x:c>
      <x:c r="C2671" s="84" t="n">
        <x:v>6</x:v>
      </x:c>
      <x:c r="D2671" s="89" t="n">
        <x:v>45617</x:v>
      </x:c>
      <x:c r="E2671" s="84" t="n">
        <x:v>4.1</x:v>
      </x:c>
      <x:c r="F2671" s="84" t="str">
        <x:v>Normal</x:v>
      </x:c>
      <x:c r="G2671" s="93" t="n">
        <x:v>214.27</x:v>
      </x:c>
      <x:c r="H2671" s="85" t="str">
        <x:v>Diagnóstico e execução</x:v>
      </x:c>
    </x:row>
    <x:row r="2672">
      <x:c r="A2672" s="83" t="n">
        <x:v>2671</x:v>
      </x:c>
      <x:c r="B2672" s="84" t="n">
        <x:v>1561</x:v>
      </x:c>
      <x:c r="C2672" s="84" t="n">
        <x:v>8</x:v>
      </x:c>
      <x:c r="D2672" s="89" t="n">
        <x:v>45809</x:v>
      </x:c>
      <x:c r="E2672" s="84" t="n">
        <x:v>7.1</x:v>
      </x:c>
      <x:c r="F2672" s="84" t="str">
        <x:v>Normal</x:v>
      </x:c>
      <x:c r="G2672" s="93" t="n">
        <x:v>330.15</x:v>
      </x:c>
      <x:c r="H2672" s="85" t="str">
        <x:v>Diagnóstico e execução</x:v>
      </x:c>
    </x:row>
    <x:row r="2673">
      <x:c r="A2673" s="83" t="n">
        <x:v>2672</x:v>
      </x:c>
      <x:c r="B2673" s="84" t="n">
        <x:v>1561</x:v>
      </x:c>
      <x:c r="C2673" s="84" t="n">
        <x:v>32</x:v>
      </x:c>
      <x:c r="D2673" s="89" t="n">
        <x:v>45809</x:v>
      </x:c>
      <x:c r="E2673" s="84" t="n">
        <x:v>6.9</x:v>
      </x:c>
      <x:c r="F2673" s="84" t="str">
        <x:v>Normal</x:v>
      </x:c>
      <x:c r="G2673" s="93" t="n">
        <x:v>301.19</x:v>
      </x:c>
      <x:c r="H2673" s="85" t="str">
        <x:v>Diagnóstico e execução</x:v>
      </x:c>
    </x:row>
    <x:row r="2674">
      <x:c r="A2674" s="83" t="n">
        <x:v>2673</x:v>
      </x:c>
      <x:c r="B2674" s="84" t="n">
        <x:v>1561</x:v>
      </x:c>
      <x:c r="C2674" s="84" t="n">
        <x:v>10</x:v>
      </x:c>
      <x:c r="D2674" s="89" t="n">
        <x:v>45809</x:v>
      </x:c>
      <x:c r="E2674" s="84" t="n">
        <x:v>7.3</x:v>
      </x:c>
      <x:c r="F2674" s="84" t="str">
        <x:v>Normal</x:v>
      </x:c>
      <x:c r="G2674" s="93" t="n">
        <x:v>216.74</x:v>
      </x:c>
      <x:c r="H2674" s="85" t="str">
        <x:v>Diagnóstico e execução</x:v>
      </x:c>
    </x:row>
    <x:row r="2675">
      <x:c r="A2675" s="83" t="n">
        <x:v>2674</x:v>
      </x:c>
      <x:c r="B2675" s="84" t="n">
        <x:v>1562</x:v>
      </x:c>
      <x:c r="C2675" s="84" t="n">
        <x:v>7</x:v>
      </x:c>
      <x:c r="D2675" s="89" t="n">
        <x:v>45700</x:v>
      </x:c>
      <x:c r="E2675" s="84" t="n">
        <x:v>1.4</x:v>
      </x:c>
      <x:c r="F2675" s="84" t="str">
        <x:v>Normal</x:v>
      </x:c>
      <x:c r="G2675" s="93" t="n">
        <x:v>81.49</x:v>
      </x:c>
      <x:c r="H2675" s="85" t="str">
        <x:v>Diagnóstico e execução</x:v>
      </x:c>
    </x:row>
    <x:row r="2676">
      <x:c r="A2676" s="83" t="n">
        <x:v>2675</x:v>
      </x:c>
      <x:c r="B2676" s="84" t="n">
        <x:v>1563</x:v>
      </x:c>
      <x:c r="C2676" s="84" t="n">
        <x:v>12</x:v>
      </x:c>
      <x:c r="D2676" s="89" t="n">
        <x:v>45709</x:v>
      </x:c>
      <x:c r="E2676" s="84" t="n">
        <x:v>7.8</x:v>
      </x:c>
      <x:c r="F2676" s="84" t="str">
        <x:v>Normal</x:v>
      </x:c>
      <x:c r="G2676" s="93" t="n">
        <x:v>269.1</x:v>
      </x:c>
      <x:c r="H2676" s="85" t="str">
        <x:v>Diagnóstico e execução</x:v>
      </x:c>
    </x:row>
    <x:row r="2677">
      <x:c r="A2677" s="83" t="n">
        <x:v>2676</x:v>
      </x:c>
      <x:c r="B2677" s="84" t="n">
        <x:v>1564</x:v>
      </x:c>
      <x:c r="C2677" s="84" t="n">
        <x:v>43</x:v>
      </x:c>
      <x:c r="D2677" s="89" t="n">
        <x:v>45575</x:v>
      </x:c>
      <x:c r="E2677" s="84" t="n">
        <x:v>5.7</x:v>
      </x:c>
      <x:c r="F2677" s="84" t="str">
        <x:v>Normal</x:v>
      </x:c>
      <x:c r="G2677" s="93" t="n">
        <x:v>311.56</x:v>
      </x:c>
      <x:c r="H2677" s="85" t="str">
        <x:v>Diagnóstico e execução</x:v>
      </x:c>
    </x:row>
    <x:row r="2678">
      <x:c r="A2678" s="83" t="n">
        <x:v>2677</x:v>
      </x:c>
      <x:c r="B2678" s="84" t="n">
        <x:v>1564</x:v>
      </x:c>
      <x:c r="C2678" s="84" t="n">
        <x:v>7</x:v>
      </x:c>
      <x:c r="D2678" s="89" t="n">
        <x:v>45575</x:v>
      </x:c>
      <x:c r="E2678" s="84" t="n">
        <x:v>6.4</x:v>
      </x:c>
      <x:c r="F2678" s="84" t="str">
        <x:v>Normal</x:v>
      </x:c>
      <x:c r="G2678" s="93" t="n">
        <x:v>372.54</x:v>
      </x:c>
      <x:c r="H2678" s="85" t="str">
        <x:v>Diagnóstico e execução</x:v>
      </x:c>
    </x:row>
    <x:row r="2679">
      <x:c r="A2679" s="83" t="n">
        <x:v>2678</x:v>
      </x:c>
      <x:c r="B2679" s="84" t="n">
        <x:v>1564</x:v>
      </x:c>
      <x:c r="C2679" s="84" t="n">
        <x:v>42</x:v>
      </x:c>
      <x:c r="D2679" s="89" t="n">
        <x:v>45575</x:v>
      </x:c>
      <x:c r="E2679" s="84" t="n">
        <x:v>1.7</x:v>
      </x:c>
      <x:c r="F2679" s="84" t="str">
        <x:v>Normal</x:v>
      </x:c>
      <x:c r="G2679" s="93" t="n">
        <x:v>71.71</x:v>
      </x:c>
      <x:c r="H2679" s="85" t="str">
        <x:v>Diagnóstico e execução</x:v>
      </x:c>
    </x:row>
    <x:row r="2680">
      <x:c r="A2680" s="83" t="n">
        <x:v>2679</x:v>
      </x:c>
      <x:c r="B2680" s="84" t="n">
        <x:v>1565</x:v>
      </x:c>
      <x:c r="C2680" s="84" t="n">
        <x:v>12</x:v>
      </x:c>
      <x:c r="D2680" s="89" t="n">
        <x:v>45289</x:v>
      </x:c>
      <x:c r="E2680" s="84" t="n">
        <x:v>3.8</x:v>
      </x:c>
      <x:c r="F2680" s="84" t="str">
        <x:v>Normal</x:v>
      </x:c>
      <x:c r="G2680" s="93" t="n">
        <x:v>131.1</x:v>
      </x:c>
      <x:c r="H2680" s="85" t="str">
        <x:v>Diagnóstico e execução</x:v>
      </x:c>
    </x:row>
    <x:row r="2681">
      <x:c r="A2681" s="83" t="n">
        <x:v>2680</x:v>
      </x:c>
      <x:c r="B2681" s="84" t="n">
        <x:v>1566</x:v>
      </x:c>
      <x:c r="C2681" s="84" t="n">
        <x:v>11</x:v>
      </x:c>
      <x:c r="D2681" s="89" t="n">
        <x:v>45380</x:v>
      </x:c>
      <x:c r="E2681" s="84" t="n">
        <x:v>4.8</x:v>
      </x:c>
      <x:c r="F2681" s="84" t="str">
        <x:v>Normal</x:v>
      </x:c>
      <x:c r="G2681" s="93" t="n">
        <x:v>200.06</x:v>
      </x:c>
      <x:c r="H2681" s="85" t="str">
        <x:v>Diagnóstico e execução</x:v>
      </x:c>
    </x:row>
    <x:row r="2682">
      <x:c r="A2682" s="83" t="n">
        <x:v>2681</x:v>
      </x:c>
      <x:c r="B2682" s="84" t="n">
        <x:v>1567</x:v>
      </x:c>
      <x:c r="C2682" s="84" t="n">
        <x:v>9</x:v>
      </x:c>
      <x:c r="D2682" s="89" t="n">
        <x:v>45274</x:v>
      </x:c>
      <x:c r="E2682" s="84" t="n">
        <x:v>5.6</x:v>
      </x:c>
      <x:c r="F2682" s="84" t="str">
        <x:v>Normal</x:v>
      </x:c>
      <x:c r="G2682" s="93" t="n">
        <x:v>294.95</x:v>
      </x:c>
      <x:c r="H2682" s="85" t="str">
        <x:v>Diagnóstico e execução</x:v>
      </x:c>
    </x:row>
    <x:row r="2683">
      <x:c r="A2683" s="83" t="n">
        <x:v>2682</x:v>
      </x:c>
      <x:c r="B2683" s="84" t="n">
        <x:v>1567</x:v>
      </x:c>
      <x:c r="C2683" s="84" t="n">
        <x:v>2</x:v>
      </x:c>
      <x:c r="D2683" s="89" t="n">
        <x:v>45274</x:v>
      </x:c>
      <x:c r="E2683" s="84" t="n">
        <x:v>1.2</x:v>
      </x:c>
      <x:c r="F2683" s="84" t="str">
        <x:v>Normal</x:v>
      </x:c>
      <x:c r="G2683" s="93" t="n">
        <x:v>44.71</x:v>
      </x:c>
      <x:c r="H2683" s="85" t="str">
        <x:v>Diagnóstico e execução</x:v>
      </x:c>
    </x:row>
    <x:row r="2684">
      <x:c r="A2684" s="83" t="n">
        <x:v>2683</x:v>
      </x:c>
      <x:c r="B2684" s="84" t="n">
        <x:v>1568</x:v>
      </x:c>
      <x:c r="C2684" s="84" t="n">
        <x:v>45</x:v>
      </x:c>
      <x:c r="D2684" s="89" t="n">
        <x:v>45913</x:v>
      </x:c>
      <x:c r="E2684" s="84" t="n">
        <x:v>1.9</x:v>
      </x:c>
      <x:c r="F2684" s="84" t="str">
        <x:v>Normal</x:v>
      </x:c>
      <x:c r="G2684" s="93" t="n">
        <x:v>101.78</x:v>
      </x:c>
      <x:c r="H2684" s="85" t="str">
        <x:v>Diagnóstico e execução</x:v>
      </x:c>
    </x:row>
    <x:row r="2685">
      <x:c r="A2685" s="83" t="n">
        <x:v>2684</x:v>
      </x:c>
      <x:c r="B2685" s="84" t="n">
        <x:v>1569</x:v>
      </x:c>
      <x:c r="C2685" s="84" t="n">
        <x:v>35</x:v>
      </x:c>
      <x:c r="D2685" s="89" t="n">
        <x:v>45161</x:v>
      </x:c>
      <x:c r="E2685" s="84" t="n">
        <x:v>2.2</x:v>
      </x:c>
      <x:c r="F2685" s="84" t="str">
        <x:v>Normal</x:v>
      </x:c>
      <x:c r="G2685" s="93" t="n">
        <x:v>108.22</x:v>
      </x:c>
      <x:c r="H2685" s="85" t="str">
        <x:v>Diagnóstico e execução</x:v>
      </x:c>
    </x:row>
    <x:row r="2686">
      <x:c r="A2686" s="83" t="n">
        <x:v>2685</x:v>
      </x:c>
      <x:c r="B2686" s="84" t="n">
        <x:v>1571</x:v>
      </x:c>
      <x:c r="C2686" s="84" t="n">
        <x:v>2</x:v>
      </x:c>
      <x:c r="D2686" s="89" t="n">
        <x:v>45086</x:v>
      </x:c>
      <x:c r="E2686" s="84" t="n">
        <x:v>1.6</x:v>
      </x:c>
      <x:c r="F2686" s="84" t="str">
        <x:v>Normal</x:v>
      </x:c>
      <x:c r="G2686" s="93" t="n">
        <x:v>59.62</x:v>
      </x:c>
      <x:c r="H2686" s="85" t="str">
        <x:v>Diagnóstico e execução</x:v>
      </x:c>
    </x:row>
    <x:row r="2687">
      <x:c r="A2687" s="83" t="n">
        <x:v>2686</x:v>
      </x:c>
      <x:c r="B2687" s="84" t="n">
        <x:v>1571</x:v>
      </x:c>
      <x:c r="C2687" s="84" t="n">
        <x:v>35</x:v>
      </x:c>
      <x:c r="D2687" s="89" t="n">
        <x:v>45086</x:v>
      </x:c>
      <x:c r="E2687" s="84" t="n">
        <x:v>7.2</x:v>
      </x:c>
      <x:c r="F2687" s="84" t="str">
        <x:v>Normal</x:v>
      </x:c>
      <x:c r="G2687" s="93" t="n">
        <x:v>354.17</x:v>
      </x:c>
      <x:c r="H2687" s="85" t="str">
        <x:v>Diagnóstico e execução</x:v>
      </x:c>
    </x:row>
    <x:row r="2688">
      <x:c r="A2688" s="83" t="n">
        <x:v>2687</x:v>
      </x:c>
      <x:c r="B2688" s="84" t="n">
        <x:v>1571</x:v>
      </x:c>
      <x:c r="C2688" s="84" t="n">
        <x:v>9</x:v>
      </x:c>
      <x:c r="D2688" s="89" t="n">
        <x:v>45086</x:v>
      </x:c>
      <x:c r="E2688" s="84" t="n">
        <x:v>4.2</x:v>
      </x:c>
      <x:c r="F2688" s="84" t="str">
        <x:v>Normal</x:v>
      </x:c>
      <x:c r="G2688" s="93" t="n">
        <x:v>221.21</x:v>
      </x:c>
      <x:c r="H2688" s="85" t="str">
        <x:v>Diagnóstico e execução</x:v>
      </x:c>
    </x:row>
    <x:row r="2689">
      <x:c r="A2689" s="83" t="n">
        <x:v>2688</x:v>
      </x:c>
      <x:c r="B2689" s="84" t="n">
        <x:v>1572</x:v>
      </x:c>
      <x:c r="C2689" s="84" t="n">
        <x:v>13</x:v>
      </x:c>
      <x:c r="D2689" s="89" t="n">
        <x:v>45499</x:v>
      </x:c>
      <x:c r="E2689" s="84" t="n">
        <x:v>6.3</x:v>
      </x:c>
      <x:c r="F2689" s="84" t="str">
        <x:v>Normal</x:v>
      </x:c>
      <x:c r="G2689" s="93" t="n">
        <x:v>213.44</x:v>
      </x:c>
      <x:c r="H2689" s="85" t="str">
        <x:v>Diagnóstico e execução</x:v>
      </x:c>
    </x:row>
    <x:row r="2690">
      <x:c r="A2690" s="83" t="n">
        <x:v>2689</x:v>
      </x:c>
      <x:c r="B2690" s="84" t="n">
        <x:v>1572</x:v>
      </x:c>
      <x:c r="C2690" s="84" t="n">
        <x:v>36</x:v>
      </x:c>
      <x:c r="D2690" s="89" t="n">
        <x:v>45499</x:v>
      </x:c>
      <x:c r="E2690" s="84" t="n">
        <x:v>3.8</x:v>
      </x:c>
      <x:c r="F2690" s="84" t="str">
        <x:v>Normal</x:v>
      </x:c>
      <x:c r="G2690" s="93" t="n">
        <x:v>112.71</x:v>
      </x:c>
      <x:c r="H2690" s="85" t="str">
        <x:v>Diagnóstico e execução</x:v>
      </x:c>
    </x:row>
    <x:row r="2691">
      <x:c r="A2691" s="83" t="n">
        <x:v>2690</x:v>
      </x:c>
      <x:c r="B2691" s="84" t="n">
        <x:v>1573</x:v>
      </x:c>
      <x:c r="C2691" s="84" t="n">
        <x:v>33</x:v>
      </x:c>
      <x:c r="D2691" s="89" t="n">
        <x:v>45866</x:v>
      </x:c>
      <x:c r="E2691" s="84" t="n">
        <x:v>0.6</x:v>
      </x:c>
      <x:c r="F2691" s="84" t="str">
        <x:v>Normal</x:v>
      </x:c>
      <x:c r="G2691" s="93" t="n">
        <x:v>20.69</x:v>
      </x:c>
      <x:c r="H2691" s="85" t="str">
        <x:v>Diagnóstico e execução</x:v>
      </x:c>
    </x:row>
    <x:row r="2692">
      <x:c r="A2692" s="83" t="n">
        <x:v>2691</x:v>
      </x:c>
      <x:c r="B2692" s="84" t="n">
        <x:v>1573</x:v>
      </x:c>
      <x:c r="C2692" s="84" t="n">
        <x:v>40</x:v>
      </x:c>
      <x:c r="D2692" s="89" t="n">
        <x:v>45866</x:v>
      </x:c>
      <x:c r="E2692" s="84" t="n">
        <x:v>4.2</x:v>
      </x:c>
      <x:c r="F2692" s="84" t="str">
        <x:v>Normal</x:v>
      </x:c>
      <x:c r="G2692" s="93" t="n">
        <x:v>207.56</x:v>
      </x:c>
      <x:c r="H2692" s="85" t="str">
        <x:v>Diagnóstico e execução</x:v>
      </x:c>
    </x:row>
    <x:row r="2693">
      <x:c r="A2693" s="83" t="n">
        <x:v>2692</x:v>
      </x:c>
      <x:c r="B2693" s="84" t="n">
        <x:v>1575</x:v>
      </x:c>
      <x:c r="C2693" s="84" t="n">
        <x:v>35</x:v>
      </x:c>
      <x:c r="D2693" s="89" t="n">
        <x:v>44955</x:v>
      </x:c>
      <x:c r="E2693" s="84" t="n">
        <x:v>6</x:v>
      </x:c>
      <x:c r="F2693" s="84" t="str">
        <x:v>Normal</x:v>
      </x:c>
      <x:c r="G2693" s="93" t="n">
        <x:v>295.14</x:v>
      </x:c>
      <x:c r="H2693" s="85" t="str">
        <x:v>Diagnóstico e execução</x:v>
      </x:c>
    </x:row>
    <x:row r="2694">
      <x:c r="A2694" s="83" t="n">
        <x:v>2693</x:v>
      </x:c>
      <x:c r="B2694" s="84" t="n">
        <x:v>1576</x:v>
      </x:c>
      <x:c r="C2694" s="84" t="n">
        <x:v>31</x:v>
      </x:c>
      <x:c r="D2694" s="89" t="n">
        <x:v>45364</x:v>
      </x:c>
      <x:c r="E2694" s="84" t="n">
        <x:v>6.7</x:v>
      </x:c>
      <x:c r="F2694" s="84" t="str">
        <x:v>Normal</x:v>
      </x:c>
      <x:c r="G2694" s="93" t="n">
        <x:v>327.63</x:v>
      </x:c>
      <x:c r="H2694" s="85" t="str">
        <x:v>Diagnóstico e execução</x:v>
      </x:c>
    </x:row>
    <x:row r="2695">
      <x:c r="A2695" s="83" t="n">
        <x:v>2694</x:v>
      </x:c>
      <x:c r="B2695" s="84" t="n">
        <x:v>1576</x:v>
      </x:c>
      <x:c r="C2695" s="84" t="n">
        <x:v>36</x:v>
      </x:c>
      <x:c r="D2695" s="89" t="n">
        <x:v>45364</x:v>
      </x:c>
      <x:c r="E2695" s="84" t="n">
        <x:v>5</x:v>
      </x:c>
      <x:c r="F2695" s="84" t="str">
        <x:v>Normal</x:v>
      </x:c>
      <x:c r="G2695" s="93" t="n">
        <x:v>148.3</x:v>
      </x:c>
      <x:c r="H2695" s="85" t="str">
        <x:v>Diagnóstico e execução</x:v>
      </x:c>
    </x:row>
    <x:row r="2696">
      <x:c r="A2696" s="83" t="n">
        <x:v>2695</x:v>
      </x:c>
      <x:c r="B2696" s="84" t="n">
        <x:v>1577</x:v>
      </x:c>
      <x:c r="C2696" s="84" t="n">
        <x:v>40</x:v>
      </x:c>
      <x:c r="D2696" s="89" t="n">
        <x:v>45116</x:v>
      </x:c>
      <x:c r="E2696" s="84" t="n">
        <x:v>0.5</x:v>
      </x:c>
      <x:c r="F2696" s="84" t="str">
        <x:v>Normal</x:v>
      </x:c>
      <x:c r="G2696" s="93" t="n">
        <x:v>24.71</x:v>
      </x:c>
      <x:c r="H2696" s="85" t="str">
        <x:v>Diagnóstico e execução</x:v>
      </x:c>
    </x:row>
    <x:row r="2697">
      <x:c r="A2697" s="83" t="n">
        <x:v>2696</x:v>
      </x:c>
      <x:c r="B2697" s="84" t="n">
        <x:v>1577</x:v>
      </x:c>
      <x:c r="C2697" s="84" t="n">
        <x:v>10</x:v>
      </x:c>
      <x:c r="D2697" s="89" t="n">
        <x:v>45116</x:v>
      </x:c>
      <x:c r="E2697" s="84" t="n">
        <x:v>6.2</x:v>
      </x:c>
      <x:c r="F2697" s="84" t="str">
        <x:v>Normal</x:v>
      </x:c>
      <x:c r="G2697" s="93" t="n">
        <x:v>184.08</x:v>
      </x:c>
      <x:c r="H2697" s="85" t="str">
        <x:v>Diagnóstico e execução</x:v>
      </x:c>
    </x:row>
    <x:row r="2698">
      <x:c r="A2698" s="83" t="n">
        <x:v>2697</x:v>
      </x:c>
      <x:c r="B2698" s="84" t="n">
        <x:v>1577</x:v>
      </x:c>
      <x:c r="C2698" s="84" t="n">
        <x:v>41</x:v>
      </x:c>
      <x:c r="D2698" s="89" t="n">
        <x:v>45116</x:v>
      </x:c>
      <x:c r="E2698" s="84" t="n">
        <x:v>3</x:v>
      </x:c>
      <x:c r="F2698" s="84" t="str">
        <x:v>Normal</x:v>
      </x:c>
      <x:c r="G2698" s="93" t="n">
        <x:v>151.74</x:v>
      </x:c>
      <x:c r="H2698" s="85" t="str">
        <x:v>Diagnóstico e execução</x:v>
      </x:c>
    </x:row>
    <x:row r="2699">
      <x:c r="A2699" s="83" t="n">
        <x:v>2698</x:v>
      </x:c>
      <x:c r="B2699" s="84" t="n">
        <x:v>1578</x:v>
      </x:c>
      <x:c r="C2699" s="84" t="n">
        <x:v>33</x:v>
      </x:c>
      <x:c r="D2699" s="89" t="n">
        <x:v>45312</x:v>
      </x:c>
      <x:c r="E2699" s="84" t="n">
        <x:v>7.5</x:v>
      </x:c>
      <x:c r="F2699" s="84" t="str">
        <x:v>Normal</x:v>
      </x:c>
      <x:c r="G2699" s="93" t="n">
        <x:v>258.68</x:v>
      </x:c>
      <x:c r="H2699" s="85" t="str">
        <x:v>Diagnóstico e execução</x:v>
      </x:c>
    </x:row>
    <x:row r="2700">
      <x:c r="A2700" s="83" t="n">
        <x:v>2699</x:v>
      </x:c>
      <x:c r="B2700" s="84" t="n">
        <x:v>1579</x:v>
      </x:c>
      <x:c r="C2700" s="84" t="n">
        <x:v>19</x:v>
      </x:c>
      <x:c r="D2700" s="89" t="n">
        <x:v>45474</x:v>
      </x:c>
      <x:c r="E2700" s="84" t="n">
        <x:v>5.1</x:v>
      </x:c>
      <x:c r="F2700" s="84" t="str">
        <x:v>Normal</x:v>
      </x:c>
      <x:c r="G2700" s="93" t="n">
        <x:v>237.05</x:v>
      </x:c>
      <x:c r="H2700" s="85" t="str">
        <x:v>Diagnóstico e execução</x:v>
      </x:c>
    </x:row>
    <x:row r="2701">
      <x:c r="A2701" s="83" t="n">
        <x:v>2700</x:v>
      </x:c>
      <x:c r="B2701" s="84" t="n">
        <x:v>1579</x:v>
      </x:c>
      <x:c r="C2701" s="84" t="n">
        <x:v>38</x:v>
      </x:c>
      <x:c r="D2701" s="89" t="n">
        <x:v>45474</x:v>
      </x:c>
      <x:c r="E2701" s="84" t="n">
        <x:v>7.8</x:v>
      </x:c>
      <x:c r="F2701" s="84" t="str">
        <x:v>Normal</x:v>
      </x:c>
      <x:c r="G2701" s="93" t="n">
        <x:v>262.63</x:v>
      </x:c>
      <x:c r="H2701" s="85" t="str">
        <x:v>Diagnóstico e execução</x:v>
      </x:c>
    </x:row>
    <x:row r="2702">
      <x:c r="A2702" s="83" t="n">
        <x:v>2701</x:v>
      </x:c>
      <x:c r="B2702" s="84" t="n">
        <x:v>1579</x:v>
      </x:c>
      <x:c r="C2702" s="84" t="n">
        <x:v>43</x:v>
      </x:c>
      <x:c r="D2702" s="89" t="n">
        <x:v>45474</x:v>
      </x:c>
      <x:c r="E2702" s="84" t="n">
        <x:v>7</x:v>
      </x:c>
      <x:c r="F2702" s="84" t="str">
        <x:v>Normal</x:v>
      </x:c>
      <x:c r="G2702" s="93" t="n">
        <x:v>382.62</x:v>
      </x:c>
      <x:c r="H2702" s="85" t="str">
        <x:v>Diagnóstico e execução</x:v>
      </x:c>
    </x:row>
    <x:row r="2703">
      <x:c r="A2703" s="83" t="n">
        <x:v>2702</x:v>
      </x:c>
      <x:c r="B2703" s="84" t="n">
        <x:v>1580</x:v>
      </x:c>
      <x:c r="C2703" s="84" t="n">
        <x:v>22</x:v>
      </x:c>
      <x:c r="D2703" s="89" t="n">
        <x:v>45267</x:v>
      </x:c>
      <x:c r="E2703" s="84" t="n">
        <x:v>2.2</x:v>
      </x:c>
      <x:c r="F2703" s="84" t="str">
        <x:v>Normal</x:v>
      </x:c>
      <x:c r="G2703" s="93" t="n">
        <x:v>84.61</x:v>
      </x:c>
      <x:c r="H2703" s="85" t="str">
        <x:v>Diagnóstico e execução</x:v>
      </x:c>
    </x:row>
    <x:row r="2704">
      <x:c r="A2704" s="83" t="n">
        <x:v>2703</x:v>
      </x:c>
      <x:c r="B2704" s="84" t="n">
        <x:v>1580</x:v>
      </x:c>
      <x:c r="C2704" s="84" t="n">
        <x:v>6</x:v>
      </x:c>
      <x:c r="D2704" s="89" t="n">
        <x:v>45267</x:v>
      </x:c>
      <x:c r="E2704" s="84" t="n">
        <x:v>0.8</x:v>
      </x:c>
      <x:c r="F2704" s="84" t="str">
        <x:v>Normal</x:v>
      </x:c>
      <x:c r="G2704" s="93" t="n">
        <x:v>41.81</x:v>
      </x:c>
      <x:c r="H2704" s="85" t="str">
        <x:v>Diagnóstico e execução</x:v>
      </x:c>
    </x:row>
    <x:row r="2705">
      <x:c r="A2705" s="83" t="n">
        <x:v>2704</x:v>
      </x:c>
      <x:c r="B2705" s="84" t="n">
        <x:v>1581</x:v>
      </x:c>
      <x:c r="C2705" s="84" t="n">
        <x:v>14</x:v>
      </x:c>
      <x:c r="D2705" s="89" t="n">
        <x:v>45444</x:v>
      </x:c>
      <x:c r="E2705" s="84" t="n">
        <x:v>2.1</x:v>
      </x:c>
      <x:c r="F2705" s="84" t="str">
        <x:v>Normal</x:v>
      </x:c>
      <x:c r="G2705" s="93" t="n">
        <x:v>118.99</x:v>
      </x:c>
      <x:c r="H2705" s="85" t="str">
        <x:v>Diagnóstico e execução</x:v>
      </x:c>
    </x:row>
    <x:row r="2706">
      <x:c r="A2706" s="83" t="n">
        <x:v>2705</x:v>
      </x:c>
      <x:c r="B2706" s="84" t="n">
        <x:v>1582</x:v>
      </x:c>
      <x:c r="C2706" s="84" t="n">
        <x:v>2</x:v>
      </x:c>
      <x:c r="D2706" s="89" t="n">
        <x:v>45851</x:v>
      </x:c>
      <x:c r="E2706" s="84" t="n">
        <x:v>3.7</x:v>
      </x:c>
      <x:c r="F2706" s="84" t="str">
        <x:v>Normal</x:v>
      </x:c>
      <x:c r="G2706" s="93" t="n">
        <x:v>137.86</x:v>
      </x:c>
      <x:c r="H2706" s="85" t="str">
        <x:v>Diagnóstico e execução</x:v>
      </x:c>
    </x:row>
    <x:row r="2707">
      <x:c r="A2707" s="83" t="n">
        <x:v>2706</x:v>
      </x:c>
      <x:c r="B2707" s="84" t="n">
        <x:v>1582</x:v>
      </x:c>
      <x:c r="C2707" s="84" t="n">
        <x:v>4</x:v>
      </x:c>
      <x:c r="D2707" s="89" t="n">
        <x:v>45851</x:v>
      </x:c>
      <x:c r="E2707" s="84" t="n">
        <x:v>7.7</x:v>
      </x:c>
      <x:c r="F2707" s="84" t="str">
        <x:v>Normal</x:v>
      </x:c>
      <x:c r="G2707" s="93" t="n">
        <x:v>378.76</x:v>
      </x:c>
      <x:c r="H2707" s="85" t="str">
        <x:v>Diagnóstico e execução</x:v>
      </x:c>
    </x:row>
    <x:row r="2708">
      <x:c r="A2708" s="83" t="n">
        <x:v>2707</x:v>
      </x:c>
      <x:c r="B2708" s="84" t="n">
        <x:v>1582</x:v>
      </x:c>
      <x:c r="C2708" s="84" t="n">
        <x:v>42</x:v>
      </x:c>
      <x:c r="D2708" s="89" t="n">
        <x:v>45851</x:v>
      </x:c>
      <x:c r="E2708" s="84" t="n">
        <x:v>2.1</x:v>
      </x:c>
      <x:c r="F2708" s="84" t="str">
        <x:v>Normal</x:v>
      </x:c>
      <x:c r="G2708" s="93" t="n">
        <x:v>88.58</x:v>
      </x:c>
      <x:c r="H2708" s="85" t="str">
        <x:v>Diagnóstico e execução</x:v>
      </x:c>
    </x:row>
    <x:row r="2709">
      <x:c r="A2709" s="83" t="n">
        <x:v>2708</x:v>
      </x:c>
      <x:c r="B2709" s="84" t="n">
        <x:v>1583</x:v>
      </x:c>
      <x:c r="C2709" s="84" t="n">
        <x:v>28</x:v>
      </x:c>
      <x:c r="D2709" s="89" t="n">
        <x:v>45715</x:v>
      </x:c>
      <x:c r="E2709" s="84" t="n">
        <x:v>2.8</x:v>
      </x:c>
      <x:c r="F2709" s="84" t="str">
        <x:v>Normal</x:v>
      </x:c>
      <x:c r="G2709" s="93" t="n">
        <x:v>105.34</x:v>
      </x:c>
      <x:c r="H2709" s="85" t="str">
        <x:v>Diagnóstico e execução</x:v>
      </x:c>
    </x:row>
    <x:row r="2710">
      <x:c r="A2710" s="83" t="n">
        <x:v>2709</x:v>
      </x:c>
      <x:c r="B2710" s="84" t="n">
        <x:v>1583</x:v>
      </x:c>
      <x:c r="C2710" s="84" t="n">
        <x:v>24</x:v>
      </x:c>
      <x:c r="D2710" s="89" t="n">
        <x:v>45715</x:v>
      </x:c>
      <x:c r="E2710" s="84" t="n">
        <x:v>2.1</x:v>
      </x:c>
      <x:c r="F2710" s="84" t="str">
        <x:v>Normal</x:v>
      </x:c>
      <x:c r="G2710" s="93" t="n">
        <x:v>124.4</x:v>
      </x:c>
      <x:c r="H2710" s="85" t="str">
        <x:v>Diagnóstico e execução</x:v>
      </x:c>
    </x:row>
    <x:row r="2711">
      <x:c r="A2711" s="83" t="n">
        <x:v>2710</x:v>
      </x:c>
      <x:c r="B2711" s="84" t="n">
        <x:v>1584</x:v>
      </x:c>
      <x:c r="C2711" s="84" t="n">
        <x:v>31</x:v>
      </x:c>
      <x:c r="D2711" s="89" t="n">
        <x:v>45983</x:v>
      </x:c>
      <x:c r="E2711" s="84" t="n">
        <x:v>6</x:v>
      </x:c>
      <x:c r="F2711" s="84" t="str">
        <x:v>Normal</x:v>
      </x:c>
      <x:c r="G2711" s="93" t="n">
        <x:v>293.4</x:v>
      </x:c>
      <x:c r="H2711" s="85" t="str">
        <x:v>Diagnóstico e execução</x:v>
      </x:c>
    </x:row>
    <x:row r="2712">
      <x:c r="A2712" s="83" t="n">
        <x:v>2711</x:v>
      </x:c>
      <x:c r="B2712" s="84" t="n">
        <x:v>1585</x:v>
      </x:c>
      <x:c r="C2712" s="84" t="n">
        <x:v>39</x:v>
      </x:c>
      <x:c r="D2712" s="89" t="n">
        <x:v>45805</x:v>
      </x:c>
      <x:c r="E2712" s="84" t="n">
        <x:v>3</x:v>
      </x:c>
      <x:c r="F2712" s="84" t="str">
        <x:v>Normal</x:v>
      </x:c>
      <x:c r="G2712" s="93" t="n">
        <x:v>173.7</x:v>
      </x:c>
      <x:c r="H2712" s="85" t="str">
        <x:v>Diagnóstico e execução</x:v>
      </x:c>
    </x:row>
    <x:row r="2713">
      <x:c r="A2713" s="83" t="n">
        <x:v>2712</x:v>
      </x:c>
      <x:c r="B2713" s="84" t="n">
        <x:v>1585</x:v>
      </x:c>
      <x:c r="C2713" s="84" t="n">
        <x:v>16</x:v>
      </x:c>
      <x:c r="D2713" s="89" t="n">
        <x:v>45805</x:v>
      </x:c>
      <x:c r="E2713" s="84" t="n">
        <x:v>4.9</x:v>
      </x:c>
      <x:c r="F2713" s="84" t="str">
        <x:v>Normal</x:v>
      </x:c>
      <x:c r="G2713" s="93" t="n">
        <x:v>198.55</x:v>
      </x:c>
      <x:c r="H2713" s="85" t="str">
        <x:v>Diagnóstico e execução</x:v>
      </x:c>
    </x:row>
    <x:row r="2714">
      <x:c r="A2714" s="83" t="n">
        <x:v>2713</x:v>
      </x:c>
      <x:c r="B2714" s="84" t="n">
        <x:v>1586</x:v>
      </x:c>
      <x:c r="C2714" s="84" t="n">
        <x:v>32</x:v>
      </x:c>
      <x:c r="D2714" s="89" t="n">
        <x:v>45411</x:v>
      </x:c>
      <x:c r="E2714" s="84" t="n">
        <x:v>7.8</x:v>
      </x:c>
      <x:c r="F2714" s="84" t="str">
        <x:v>Normal</x:v>
      </x:c>
      <x:c r="G2714" s="93" t="n">
        <x:v>340.47</x:v>
      </x:c>
      <x:c r="H2714" s="85" t="str">
        <x:v>Diagnóstico e execução</x:v>
      </x:c>
    </x:row>
    <x:row r="2715">
      <x:c r="A2715" s="83" t="n">
        <x:v>2714</x:v>
      </x:c>
      <x:c r="B2715" s="84" t="n">
        <x:v>1587</x:v>
      </x:c>
      <x:c r="C2715" s="84" t="n">
        <x:v>16</x:v>
      </x:c>
      <x:c r="D2715" s="89" t="n">
        <x:v>45858</x:v>
      </x:c>
      <x:c r="E2715" s="84" t="n">
        <x:v>2.3</x:v>
      </x:c>
      <x:c r="F2715" s="84" t="str">
        <x:v>Normal</x:v>
      </x:c>
      <x:c r="G2715" s="93" t="n">
        <x:v>93.2</x:v>
      </x:c>
      <x:c r="H2715" s="85" t="str">
        <x:v>Diagnóstico e execução</x:v>
      </x:c>
    </x:row>
    <x:row r="2716">
      <x:c r="A2716" s="83" t="n">
        <x:v>2715</x:v>
      </x:c>
      <x:c r="B2716" s="84" t="n">
        <x:v>1587</x:v>
      </x:c>
      <x:c r="C2716" s="84" t="n">
        <x:v>32</x:v>
      </x:c>
      <x:c r="D2716" s="89" t="n">
        <x:v>45858</x:v>
      </x:c>
      <x:c r="E2716" s="84" t="n">
        <x:v>3.4</x:v>
      </x:c>
      <x:c r="F2716" s="84" t="str">
        <x:v>Normal</x:v>
      </x:c>
      <x:c r="G2716" s="93" t="n">
        <x:v>148.41</x:v>
      </x:c>
      <x:c r="H2716" s="85" t="str">
        <x:v>Diagnóstico e execução</x:v>
      </x:c>
    </x:row>
    <x:row r="2717">
      <x:c r="A2717" s="83" t="n">
        <x:v>2716</x:v>
      </x:c>
      <x:c r="B2717" s="84" t="n">
        <x:v>1587</x:v>
      </x:c>
      <x:c r="C2717" s="84" t="n">
        <x:v>6</x:v>
      </x:c>
      <x:c r="D2717" s="89" t="n">
        <x:v>45858</x:v>
      </x:c>
      <x:c r="E2717" s="84" t="n">
        <x:v>2.4</x:v>
      </x:c>
      <x:c r="F2717" s="84" t="str">
        <x:v>Normal</x:v>
      </x:c>
      <x:c r="G2717" s="93" t="n">
        <x:v>125.42</x:v>
      </x:c>
      <x:c r="H2717" s="85" t="str">
        <x:v>Diagnóstico e execução</x:v>
      </x:c>
    </x:row>
    <x:row r="2718">
      <x:c r="A2718" s="83" t="n">
        <x:v>2717</x:v>
      </x:c>
      <x:c r="B2718" s="84" t="n">
        <x:v>1588</x:v>
      </x:c>
      <x:c r="C2718" s="84" t="n">
        <x:v>35</x:v>
      </x:c>
      <x:c r="D2718" s="89" t="n">
        <x:v>44981</x:v>
      </x:c>
      <x:c r="E2718" s="84" t="n">
        <x:v>7.1</x:v>
      </x:c>
      <x:c r="F2718" s="84" t="str">
        <x:v>Normal</x:v>
      </x:c>
      <x:c r="G2718" s="93" t="n">
        <x:v>349.25</x:v>
      </x:c>
      <x:c r="H2718" s="85" t="str">
        <x:v>Diagnóstico e execução</x:v>
      </x:c>
    </x:row>
    <x:row r="2719">
      <x:c r="A2719" s="83" t="n">
        <x:v>2718</x:v>
      </x:c>
      <x:c r="B2719" s="84" t="n">
        <x:v>1588</x:v>
      </x:c>
      <x:c r="C2719" s="84" t="n">
        <x:v>32</x:v>
      </x:c>
      <x:c r="D2719" s="89" t="n">
        <x:v>44981</x:v>
      </x:c>
      <x:c r="E2719" s="84" t="n">
        <x:v>7.5</x:v>
      </x:c>
      <x:c r="F2719" s="84" t="str">
        <x:v>Normal</x:v>
      </x:c>
      <x:c r="G2719" s="93" t="n">
        <x:v>327.38</x:v>
      </x:c>
      <x:c r="H2719" s="85" t="str">
        <x:v>Diagnóstico e execução</x:v>
      </x:c>
    </x:row>
    <x:row r="2720">
      <x:c r="A2720" s="83" t="n">
        <x:v>2719</x:v>
      </x:c>
      <x:c r="B2720" s="84" t="n">
        <x:v>1588</x:v>
      </x:c>
      <x:c r="C2720" s="84" t="n">
        <x:v>42</x:v>
      </x:c>
      <x:c r="D2720" s="89" t="n">
        <x:v>44981</x:v>
      </x:c>
      <x:c r="E2720" s="84" t="n">
        <x:v>2</x:v>
      </x:c>
      <x:c r="F2720" s="84" t="str">
        <x:v>Normal</x:v>
      </x:c>
      <x:c r="G2720" s="93" t="n">
        <x:v>84.36</x:v>
      </x:c>
      <x:c r="H2720" s="85" t="str">
        <x:v>Diagnóstico e execução</x:v>
      </x:c>
    </x:row>
    <x:row r="2721">
      <x:c r="A2721" s="83" t="n">
        <x:v>2720</x:v>
      </x:c>
      <x:c r="B2721" s="84" t="n">
        <x:v>1589</x:v>
      </x:c>
      <x:c r="C2721" s="84" t="n">
        <x:v>7</x:v>
      </x:c>
      <x:c r="D2721" s="89" t="n">
        <x:v>45616</x:v>
      </x:c>
      <x:c r="E2721" s="84" t="n">
        <x:v>1.8</x:v>
      </x:c>
      <x:c r="F2721" s="84" t="str">
        <x:v>Normal</x:v>
      </x:c>
      <x:c r="G2721" s="93" t="n">
        <x:v>104.78</x:v>
      </x:c>
      <x:c r="H2721" s="85" t="str">
        <x:v>Diagnóstico e execução</x:v>
      </x:c>
    </x:row>
    <x:row r="2722">
      <x:c r="A2722" s="83" t="n">
        <x:v>2721</x:v>
      </x:c>
      <x:c r="B2722" s="84" t="n">
        <x:v>1589</x:v>
      </x:c>
      <x:c r="C2722" s="84" t="n">
        <x:v>42</x:v>
      </x:c>
      <x:c r="D2722" s="89" t="n">
        <x:v>45616</x:v>
      </x:c>
      <x:c r="E2722" s="84" t="n">
        <x:v>4.9</x:v>
      </x:c>
      <x:c r="F2722" s="84" t="str">
        <x:v>Normal</x:v>
      </x:c>
      <x:c r="G2722" s="93" t="n">
        <x:v>206.68</x:v>
      </x:c>
      <x:c r="H2722" s="85" t="str">
        <x:v>Diagnóstico e execução</x:v>
      </x:c>
    </x:row>
    <x:row r="2723">
      <x:c r="A2723" s="83" t="n">
        <x:v>2722</x:v>
      </x:c>
      <x:c r="B2723" s="84" t="n">
        <x:v>1590</x:v>
      </x:c>
      <x:c r="C2723" s="84" t="n">
        <x:v>18</x:v>
      </x:c>
      <x:c r="D2723" s="89" t="n">
        <x:v>45260</x:v>
      </x:c>
      <x:c r="E2723" s="84" t="n">
        <x:v>6.3</x:v>
      </x:c>
      <x:c r="F2723" s="84" t="str">
        <x:v>Normal</x:v>
      </x:c>
      <x:c r="G2723" s="93" t="n">
        <x:v>397.47</x:v>
      </x:c>
      <x:c r="H2723" s="85" t="str">
        <x:v>Diagnóstico e execução</x:v>
      </x:c>
    </x:row>
    <x:row r="2724">
      <x:c r="A2724" s="83" t="n">
        <x:v>2723</x:v>
      </x:c>
      <x:c r="B2724" s="84" t="n">
        <x:v>1590</x:v>
      </x:c>
      <x:c r="C2724" s="84" t="n">
        <x:v>23</x:v>
      </x:c>
      <x:c r="D2724" s="89" t="n">
        <x:v>45260</x:v>
      </x:c>
      <x:c r="E2724" s="84" t="n">
        <x:v>2.1</x:v>
      </x:c>
      <x:c r="F2724" s="84" t="str">
        <x:v>Normal</x:v>
      </x:c>
      <x:c r="G2724" s="93" t="n">
        <x:v>90.53</x:v>
      </x:c>
      <x:c r="H2724" s="85" t="str">
        <x:v>Diagnóstico e execução</x:v>
      </x:c>
    </x:row>
    <x:row r="2725">
      <x:c r="A2725" s="83" t="n">
        <x:v>2724</x:v>
      </x:c>
      <x:c r="B2725" s="84" t="n">
        <x:v>1591</x:v>
      </x:c>
      <x:c r="C2725" s="84" t="n">
        <x:v>39</x:v>
      </x:c>
      <x:c r="D2725" s="89" t="n">
        <x:v>45765</x:v>
      </x:c>
      <x:c r="E2725" s="84" t="n">
        <x:v>4.6</x:v>
      </x:c>
      <x:c r="F2725" s="84" t="str">
        <x:v>Normal</x:v>
      </x:c>
      <x:c r="G2725" s="93" t="n">
        <x:v>266.34</x:v>
      </x:c>
      <x:c r="H2725" s="85" t="str">
        <x:v>Diagnóstico e execução</x:v>
      </x:c>
    </x:row>
    <x:row r="2726">
      <x:c r="A2726" s="83" t="n">
        <x:v>2725</x:v>
      </x:c>
      <x:c r="B2726" s="84" t="n">
        <x:v>1591</x:v>
      </x:c>
      <x:c r="C2726" s="84" t="n">
        <x:v>32</x:v>
      </x:c>
      <x:c r="D2726" s="89" t="n">
        <x:v>45765</x:v>
      </x:c>
      <x:c r="E2726" s="84" t="n">
        <x:v>3</x:v>
      </x:c>
      <x:c r="F2726" s="84" t="str">
        <x:v>Normal</x:v>
      </x:c>
      <x:c r="G2726" s="93" t="n">
        <x:v>130.95</x:v>
      </x:c>
      <x:c r="H2726" s="85" t="str">
        <x:v>Diagnóstico e execução</x:v>
      </x:c>
    </x:row>
    <x:row r="2727">
      <x:c r="A2727" s="83" t="n">
        <x:v>2726</x:v>
      </x:c>
      <x:c r="B2727" s="84" t="n">
        <x:v>1591</x:v>
      </x:c>
      <x:c r="C2727" s="84" t="n">
        <x:v>35</x:v>
      </x:c>
      <x:c r="D2727" s="89" t="n">
        <x:v>45765</x:v>
      </x:c>
      <x:c r="E2727" s="84" t="n">
        <x:v>7.8</x:v>
      </x:c>
      <x:c r="F2727" s="84" t="str">
        <x:v>Normal</x:v>
      </x:c>
      <x:c r="G2727" s="93" t="n">
        <x:v>383.68</x:v>
      </x:c>
      <x:c r="H2727" s="85" t="str">
        <x:v>Diagnóstico e execução</x:v>
      </x:c>
    </x:row>
    <x:row r="2728">
      <x:c r="A2728" s="83" t="n">
        <x:v>2727</x:v>
      </x:c>
      <x:c r="B2728" s="84" t="n">
        <x:v>1592</x:v>
      </x:c>
      <x:c r="C2728" s="84" t="n">
        <x:v>23</x:v>
      </x:c>
      <x:c r="D2728" s="89" t="n">
        <x:v>45137</x:v>
      </x:c>
      <x:c r="E2728" s="84" t="n">
        <x:v>6</x:v>
      </x:c>
      <x:c r="F2728" s="84" t="str">
        <x:v>Normal</x:v>
      </x:c>
      <x:c r="G2728" s="93" t="n">
        <x:v>258.66</x:v>
      </x:c>
      <x:c r="H2728" s="85" t="str">
        <x:v>Diagnóstico e execução</x:v>
      </x:c>
    </x:row>
    <x:row r="2729">
      <x:c r="A2729" s="83" t="n">
        <x:v>2728</x:v>
      </x:c>
      <x:c r="B2729" s="84" t="n">
        <x:v>1592</x:v>
      </x:c>
      <x:c r="C2729" s="84" t="n">
        <x:v>13</x:v>
      </x:c>
      <x:c r="D2729" s="89" t="n">
        <x:v>45137</x:v>
      </x:c>
      <x:c r="E2729" s="84" t="n">
        <x:v>4.7</x:v>
      </x:c>
      <x:c r="F2729" s="84" t="str">
        <x:v>Normal</x:v>
      </x:c>
      <x:c r="G2729" s="93" t="n">
        <x:v>159.24</x:v>
      </x:c>
      <x:c r="H2729" s="85" t="str">
        <x:v>Diagnóstico e execução</x:v>
      </x:c>
    </x:row>
    <x:row r="2730">
      <x:c r="A2730" s="83" t="n">
        <x:v>2729</x:v>
      </x:c>
      <x:c r="B2730" s="84" t="n">
        <x:v>1592</x:v>
      </x:c>
      <x:c r="C2730" s="84" t="n">
        <x:v>32</x:v>
      </x:c>
      <x:c r="D2730" s="89" t="n">
        <x:v>45137</x:v>
      </x:c>
      <x:c r="E2730" s="84" t="n">
        <x:v>7.3</x:v>
      </x:c>
      <x:c r="F2730" s="84" t="str">
        <x:v>Normal</x:v>
      </x:c>
      <x:c r="G2730" s="93" t="n">
        <x:v>318.64</x:v>
      </x:c>
      <x:c r="H2730" s="85" t="str">
        <x:v>Diagnóstico e execução</x:v>
      </x:c>
    </x:row>
    <x:row r="2731">
      <x:c r="A2731" s="83" t="n">
        <x:v>2730</x:v>
      </x:c>
      <x:c r="B2731" s="84" t="n">
        <x:v>1593</x:v>
      </x:c>
      <x:c r="C2731" s="84" t="n">
        <x:v>8</x:v>
      </x:c>
      <x:c r="D2731" s="89" t="n">
        <x:v>45877</x:v>
      </x:c>
      <x:c r="E2731" s="84" t="n">
        <x:v>0.9</x:v>
      </x:c>
      <x:c r="F2731" s="84" t="str">
        <x:v>Normal</x:v>
      </x:c>
      <x:c r="G2731" s="93" t="n">
        <x:v>41.85</x:v>
      </x:c>
      <x:c r="H2731" s="85" t="str">
        <x:v>Diagnóstico e execução</x:v>
      </x:c>
    </x:row>
    <x:row r="2732">
      <x:c r="A2732" s="83" t="n">
        <x:v>2731</x:v>
      </x:c>
      <x:c r="B2732" s="84" t="n">
        <x:v>1594</x:v>
      </x:c>
      <x:c r="C2732" s="84" t="n">
        <x:v>19</x:v>
      </x:c>
      <x:c r="D2732" s="89" t="n">
        <x:v>45803</x:v>
      </x:c>
      <x:c r="E2732" s="84" t="n">
        <x:v>7.6</x:v>
      </x:c>
      <x:c r="F2732" s="84" t="str">
        <x:v>Normal</x:v>
      </x:c>
      <x:c r="G2732" s="93" t="n">
        <x:v>353.25</x:v>
      </x:c>
      <x:c r="H2732" s="85" t="str">
        <x:v>Diagnóstico e execução</x:v>
      </x:c>
    </x:row>
    <x:row r="2733">
      <x:c r="A2733" s="83" t="n">
        <x:v>2732</x:v>
      </x:c>
      <x:c r="B2733" s="84" t="n">
        <x:v>1595</x:v>
      </x:c>
      <x:c r="C2733" s="84" t="n">
        <x:v>9</x:v>
      </x:c>
      <x:c r="D2733" s="89" t="n">
        <x:v>45111</x:v>
      </x:c>
      <x:c r="E2733" s="84" t="n">
        <x:v>1.6</x:v>
      </x:c>
      <x:c r="F2733" s="84" t="str">
        <x:v>Normal</x:v>
      </x:c>
      <x:c r="G2733" s="93" t="n">
        <x:v>84.27</x:v>
      </x:c>
      <x:c r="H2733" s="85" t="str">
        <x:v>Diagnóstico e execução</x:v>
      </x:c>
    </x:row>
    <x:row r="2734">
      <x:c r="A2734" s="83" t="n">
        <x:v>2733</x:v>
      </x:c>
      <x:c r="B2734" s="84" t="n">
        <x:v>1595</x:v>
      </x:c>
      <x:c r="C2734" s="84" t="n">
        <x:v>19</x:v>
      </x:c>
      <x:c r="D2734" s="89" t="n">
        <x:v>45111</x:v>
      </x:c>
      <x:c r="E2734" s="84" t="n">
        <x:v>7.5</x:v>
      </x:c>
      <x:c r="F2734" s="84" t="str">
        <x:v>Normal</x:v>
      </x:c>
      <x:c r="G2734" s="93" t="n">
        <x:v>348.6</x:v>
      </x:c>
      <x:c r="H2734" s="85" t="str">
        <x:v>Diagnóstico e execução</x:v>
      </x:c>
    </x:row>
    <x:row r="2735">
      <x:c r="A2735" s="83" t="n">
        <x:v>2734</x:v>
      </x:c>
      <x:c r="B2735" s="84" t="n">
        <x:v>1595</x:v>
      </x:c>
      <x:c r="C2735" s="84" t="n">
        <x:v>17</x:v>
      </x:c>
      <x:c r="D2735" s="89" t="n">
        <x:v>45111</x:v>
      </x:c>
      <x:c r="E2735" s="84" t="n">
        <x:v>7.2</x:v>
      </x:c>
      <x:c r="F2735" s="84" t="str">
        <x:v>Normal</x:v>
      </x:c>
      <x:c r="G2735" s="93" t="n">
        <x:v>401.62</x:v>
      </x:c>
      <x:c r="H2735" s="85" t="str">
        <x:v>Diagnóstico e execução</x:v>
      </x:c>
    </x:row>
    <x:row r="2736">
      <x:c r="A2736" s="83" t="n">
        <x:v>2735</x:v>
      </x:c>
      <x:c r="B2736" s="84" t="n">
        <x:v>1596</x:v>
      </x:c>
      <x:c r="C2736" s="84" t="n">
        <x:v>44</x:v>
      </x:c>
      <x:c r="D2736" s="89" t="n">
        <x:v>45185</x:v>
      </x:c>
      <x:c r="E2736" s="84" t="n">
        <x:v>3.2</x:v>
      </x:c>
      <x:c r="F2736" s="84" t="str">
        <x:v>Normal</x:v>
      </x:c>
      <x:c r="G2736" s="93" t="n">
        <x:v>89.73</x:v>
      </x:c>
      <x:c r="H2736" s="85" t="str">
        <x:v>Diagnóstico e execução</x:v>
      </x:c>
    </x:row>
    <x:row r="2737">
      <x:c r="A2737" s="83" t="n">
        <x:v>2736</x:v>
      </x:c>
      <x:c r="B2737" s="84" t="n">
        <x:v>1597</x:v>
      </x:c>
      <x:c r="C2737" s="84" t="n">
        <x:v>24</x:v>
      </x:c>
      <x:c r="D2737" s="89" t="n">
        <x:v>45548</x:v>
      </x:c>
      <x:c r="E2737" s="84" t="n">
        <x:v>4.5</x:v>
      </x:c>
      <x:c r="F2737" s="84" t="str">
        <x:v>Normal</x:v>
      </x:c>
      <x:c r="G2737" s="93" t="n">
        <x:v>266.58</x:v>
      </x:c>
      <x:c r="H2737" s="85" t="str">
        <x:v>Diagnóstico e execução</x:v>
      </x:c>
    </x:row>
    <x:row r="2738">
      <x:c r="A2738" s="83" t="n">
        <x:v>2737</x:v>
      </x:c>
      <x:c r="B2738" s="84" t="n">
        <x:v>1597</x:v>
      </x:c>
      <x:c r="C2738" s="84" t="n">
        <x:v>45</x:v>
      </x:c>
      <x:c r="D2738" s="89" t="n">
        <x:v>45548</x:v>
      </x:c>
      <x:c r="E2738" s="84" t="n">
        <x:v>6.8</x:v>
      </x:c>
      <x:c r="F2738" s="84" t="str">
        <x:v>Normal</x:v>
      </x:c>
      <x:c r="G2738" s="93" t="n">
        <x:v>364.28</x:v>
      </x:c>
      <x:c r="H2738" s="85" t="str">
        <x:v>Diagnóstico e execução</x:v>
      </x:c>
    </x:row>
    <x:row r="2739">
      <x:c r="A2739" s="83" t="n">
        <x:v>2738</x:v>
      </x:c>
      <x:c r="B2739" s="84" t="n">
        <x:v>1597</x:v>
      </x:c>
      <x:c r="C2739" s="84" t="n">
        <x:v>35</x:v>
      </x:c>
      <x:c r="D2739" s="89" t="n">
        <x:v>45548</x:v>
      </x:c>
      <x:c r="E2739" s="84" t="n">
        <x:v>4.9</x:v>
      </x:c>
      <x:c r="F2739" s="84" t="str">
        <x:v>Normal</x:v>
      </x:c>
      <x:c r="G2739" s="93" t="n">
        <x:v>241.03</x:v>
      </x:c>
      <x:c r="H2739" s="85" t="str">
        <x:v>Diagnóstico e execução</x:v>
      </x:c>
    </x:row>
    <x:row r="2740">
      <x:c r="A2740" s="83" t="n">
        <x:v>2739</x:v>
      </x:c>
      <x:c r="B2740" s="84" t="n">
        <x:v>1598</x:v>
      </x:c>
      <x:c r="C2740" s="84" t="n">
        <x:v>19</x:v>
      </x:c>
      <x:c r="D2740" s="89" t="n">
        <x:v>45310</x:v>
      </x:c>
      <x:c r="E2740" s="84" t="n">
        <x:v>7.5</x:v>
      </x:c>
      <x:c r="F2740" s="84" t="str">
        <x:v>Normal</x:v>
      </x:c>
      <x:c r="G2740" s="93" t="n">
        <x:v>348.6</x:v>
      </x:c>
      <x:c r="H2740" s="85" t="str">
        <x:v>Diagnóstico e execução</x:v>
      </x:c>
    </x:row>
    <x:row r="2741">
      <x:c r="A2741" s="83" t="n">
        <x:v>2740</x:v>
      </x:c>
      <x:c r="B2741" s="84" t="n">
        <x:v>1598</x:v>
      </x:c>
      <x:c r="C2741" s="84" t="n">
        <x:v>43</x:v>
      </x:c>
      <x:c r="D2741" s="89" t="n">
        <x:v>45310</x:v>
      </x:c>
      <x:c r="E2741" s="84" t="n">
        <x:v>5.2</x:v>
      </x:c>
      <x:c r="F2741" s="84" t="str">
        <x:v>Normal</x:v>
      </x:c>
      <x:c r="G2741" s="93" t="n">
        <x:v>284.23</x:v>
      </x:c>
      <x:c r="H2741" s="85" t="str">
        <x:v>Diagnóstico e execução</x:v>
      </x:c>
    </x:row>
    <x:row r="2742">
      <x:c r="A2742" s="83" t="n">
        <x:v>2741</x:v>
      </x:c>
      <x:c r="B2742" s="84" t="n">
        <x:v>1599</x:v>
      </x:c>
      <x:c r="C2742" s="84" t="n">
        <x:v>25</x:v>
      </x:c>
      <x:c r="D2742" s="89" t="n">
        <x:v>45340</x:v>
      </x:c>
      <x:c r="E2742" s="84" t="n">
        <x:v>6.7</x:v>
      </x:c>
      <x:c r="F2742" s="84" t="str">
        <x:v>Normal</x:v>
      </x:c>
      <x:c r="G2742" s="93" t="n">
        <x:v>359.05</x:v>
      </x:c>
      <x:c r="H2742" s="85" t="str">
        <x:v>Diagnóstico e execução</x:v>
      </x:c>
    </x:row>
    <x:row r="2743">
      <x:c r="A2743" s="83" t="n">
        <x:v>2742</x:v>
      </x:c>
      <x:c r="B2743" s="84" t="n">
        <x:v>1599</x:v>
      </x:c>
      <x:c r="C2743" s="84" t="n">
        <x:v>22</x:v>
      </x:c>
      <x:c r="D2743" s="89" t="n">
        <x:v>45340</x:v>
      </x:c>
      <x:c r="E2743" s="84" t="n">
        <x:v>1.3</x:v>
      </x:c>
      <x:c r="F2743" s="84" t="str">
        <x:v>Normal</x:v>
      </x:c>
      <x:c r="G2743" s="93" t="n">
        <x:v>50</x:v>
      </x:c>
      <x:c r="H2743" s="85" t="str">
        <x:v>Diagnóstico e execução</x:v>
      </x:c>
    </x:row>
    <x:row r="2744">
      <x:c r="A2744" s="83" t="n">
        <x:v>2743</x:v>
      </x:c>
      <x:c r="B2744" s="84" t="n">
        <x:v>1600</x:v>
      </x:c>
      <x:c r="C2744" s="84" t="n">
        <x:v>45</x:v>
      </x:c>
      <x:c r="D2744" s="89" t="n">
        <x:v>45044</x:v>
      </x:c>
      <x:c r="E2744" s="84" t="n">
        <x:v>6.6</x:v>
      </x:c>
      <x:c r="F2744" s="84" t="str">
        <x:v>Normal</x:v>
      </x:c>
      <x:c r="G2744" s="93" t="n">
        <x:v>353.56</x:v>
      </x:c>
      <x:c r="H2744" s="85" t="str">
        <x:v>Diagnóstico e execução</x:v>
      </x:c>
    </x:row>
    <x:row r="2745">
      <x:c r="A2745" s="83" t="n">
        <x:v>2744</x:v>
      </x:c>
      <x:c r="B2745" s="84" t="n">
        <x:v>1600</x:v>
      </x:c>
      <x:c r="C2745" s="84" t="n">
        <x:v>29</x:v>
      </x:c>
      <x:c r="D2745" s="89" t="n">
        <x:v>45044</x:v>
      </x:c>
      <x:c r="E2745" s="84" t="n">
        <x:v>5.8</x:v>
      </x:c>
      <x:c r="F2745" s="84" t="str">
        <x:v>Normal</x:v>
      </x:c>
      <x:c r="G2745" s="93" t="n">
        <x:v>287.22</x:v>
      </x:c>
      <x:c r="H2745" s="85" t="str">
        <x:v>Diagnóstico e execução</x:v>
      </x:c>
    </x:row>
    <x:row r="2746">
      <x:c r="A2746" s="83" t="n">
        <x:v>2745</x:v>
      </x:c>
      <x:c r="B2746" s="84" t="n">
        <x:v>1601</x:v>
      </x:c>
      <x:c r="C2746" s="84" t="n">
        <x:v>28</x:v>
      </x:c>
      <x:c r="D2746" s="89" t="n">
        <x:v>45110</x:v>
      </x:c>
      <x:c r="E2746" s="84" t="n">
        <x:v>7</x:v>
      </x:c>
      <x:c r="F2746" s="84" t="str">
        <x:v>Normal</x:v>
      </x:c>
      <x:c r="G2746" s="93" t="n">
        <x:v>263.34</x:v>
      </x:c>
      <x:c r="H2746" s="85" t="str">
        <x:v>Diagnóstico e execução</x:v>
      </x:c>
    </x:row>
    <x:row r="2747">
      <x:c r="A2747" s="83" t="n">
        <x:v>2746</x:v>
      </x:c>
      <x:c r="B2747" s="84" t="n">
        <x:v>1602</x:v>
      </x:c>
      <x:c r="C2747" s="84" t="n">
        <x:v>9</x:v>
      </x:c>
      <x:c r="D2747" s="89" t="n">
        <x:v>45978</x:v>
      </x:c>
      <x:c r="E2747" s="84" t="n">
        <x:v>4.7</x:v>
      </x:c>
      <x:c r="F2747" s="84" t="str">
        <x:v>Normal</x:v>
      </x:c>
      <x:c r="G2747" s="93" t="n">
        <x:v>247.55</x:v>
      </x:c>
      <x:c r="H2747" s="85" t="str">
        <x:v>Diagnóstico e execução</x:v>
      </x:c>
    </x:row>
    <x:row r="2748">
      <x:c r="A2748" s="83" t="n">
        <x:v>2747</x:v>
      </x:c>
      <x:c r="B2748" s="84" t="n">
        <x:v>1602</x:v>
      </x:c>
      <x:c r="C2748" s="84" t="n">
        <x:v>16</x:v>
      </x:c>
      <x:c r="D2748" s="89" t="n">
        <x:v>45978</x:v>
      </x:c>
      <x:c r="E2748" s="84" t="n">
        <x:v>6</x:v>
      </x:c>
      <x:c r="F2748" s="84" t="str">
        <x:v>Normal</x:v>
      </x:c>
      <x:c r="G2748" s="93" t="n">
        <x:v>243.12</x:v>
      </x:c>
      <x:c r="H2748" s="85" t="str">
        <x:v>Diagnóstico e execução</x:v>
      </x:c>
    </x:row>
    <x:row r="2749">
      <x:c r="A2749" s="83" t="n">
        <x:v>2748</x:v>
      </x:c>
      <x:c r="B2749" s="84" t="n">
        <x:v>1602</x:v>
      </x:c>
      <x:c r="C2749" s="84" t="n">
        <x:v>44</x:v>
      </x:c>
      <x:c r="D2749" s="89" t="n">
        <x:v>45978</x:v>
      </x:c>
      <x:c r="E2749" s="84" t="n">
        <x:v>4.5</x:v>
      </x:c>
      <x:c r="F2749" s="84" t="str">
        <x:v>Normal</x:v>
      </x:c>
      <x:c r="G2749" s="93" t="n">
        <x:v>126.18</x:v>
      </x:c>
      <x:c r="H2749" s="85" t="str">
        <x:v>Diagnóstico e execução</x:v>
      </x:c>
    </x:row>
    <x:row r="2750">
      <x:c r="A2750" s="83" t="n">
        <x:v>2749</x:v>
      </x:c>
      <x:c r="B2750" s="84" t="n">
        <x:v>1603</x:v>
      </x:c>
      <x:c r="C2750" s="84" t="n">
        <x:v>26</x:v>
      </x:c>
      <x:c r="D2750" s="89" t="n">
        <x:v>45158</x:v>
      </x:c>
      <x:c r="E2750" s="84" t="n">
        <x:v>1.8</x:v>
      </x:c>
      <x:c r="F2750" s="84" t="str">
        <x:v>Normal</x:v>
      </x:c>
      <x:c r="G2750" s="93" t="n">
        <x:v>70.42</x:v>
      </x:c>
      <x:c r="H2750" s="85" t="str">
        <x:v>Diagnóstico e execução</x:v>
      </x:c>
    </x:row>
    <x:row r="2751">
      <x:c r="A2751" s="83" t="n">
        <x:v>2750</x:v>
      </x:c>
      <x:c r="B2751" s="84" t="n">
        <x:v>1603</x:v>
      </x:c>
      <x:c r="C2751" s="84" t="n">
        <x:v>26</x:v>
      </x:c>
      <x:c r="D2751" s="89" t="n">
        <x:v>45158</x:v>
      </x:c>
      <x:c r="E2751" s="84" t="n">
        <x:v>3</x:v>
      </x:c>
      <x:c r="F2751" s="84" t="str">
        <x:v>Normal</x:v>
      </x:c>
      <x:c r="G2751" s="93" t="n">
        <x:v>117.36</x:v>
      </x:c>
      <x:c r="H2751" s="85" t="str">
        <x:v>Diagnóstico e execução</x:v>
      </x:c>
    </x:row>
    <x:row r="2752">
      <x:c r="A2752" s="83" t="n">
        <x:v>2751</x:v>
      </x:c>
      <x:c r="B2752" s="84" t="n">
        <x:v>1603</x:v>
      </x:c>
      <x:c r="C2752" s="84" t="n">
        <x:v>12</x:v>
      </x:c>
      <x:c r="D2752" s="89" t="n">
        <x:v>45158</x:v>
      </x:c>
      <x:c r="E2752" s="84" t="n">
        <x:v>5.3</x:v>
      </x:c>
      <x:c r="F2752" s="84" t="str">
        <x:v>Normal</x:v>
      </x:c>
      <x:c r="G2752" s="93" t="n">
        <x:v>182.85</x:v>
      </x:c>
      <x:c r="H2752" s="85" t="str">
        <x:v>Diagnóstico e execução</x:v>
      </x:c>
    </x:row>
    <x:row r="2753">
      <x:c r="A2753" s="83" t="n">
        <x:v>2752</x:v>
      </x:c>
      <x:c r="B2753" s="84" t="n">
        <x:v>1604</x:v>
      </x:c>
      <x:c r="C2753" s="84" t="n">
        <x:v>22</x:v>
      </x:c>
      <x:c r="D2753" s="89" t="n">
        <x:v>45605</x:v>
      </x:c>
      <x:c r="E2753" s="84" t="n">
        <x:v>6.3</x:v>
      </x:c>
      <x:c r="F2753" s="84" t="str">
        <x:v>Normal</x:v>
      </x:c>
      <x:c r="G2753" s="93" t="n">
        <x:v>242.3</x:v>
      </x:c>
      <x:c r="H2753" s="85" t="str">
        <x:v>Diagnóstico e execução</x:v>
      </x:c>
    </x:row>
    <x:row r="2754">
      <x:c r="A2754" s="83" t="n">
        <x:v>2753</x:v>
      </x:c>
      <x:c r="B2754" s="84" t="n">
        <x:v>1604</x:v>
      </x:c>
      <x:c r="C2754" s="84" t="n">
        <x:v>3</x:v>
      </x:c>
      <x:c r="D2754" s="89" t="n">
        <x:v>45605</x:v>
      </x:c>
      <x:c r="E2754" s="84" t="n">
        <x:v>2.9</x:v>
      </x:c>
      <x:c r="F2754" s="84" t="str">
        <x:v>Normal</x:v>
      </x:c>
      <x:c r="G2754" s="93" t="n">
        <x:v>142.8</x:v>
      </x:c>
      <x:c r="H2754" s="85" t="str">
        <x:v>Diagnóstico e execução</x:v>
      </x:c>
    </x:row>
    <x:row r="2755">
      <x:c r="A2755" s="83" t="n">
        <x:v>2754</x:v>
      </x:c>
      <x:c r="B2755" s="84" t="n">
        <x:v>1604</x:v>
      </x:c>
      <x:c r="C2755" s="84" t="n">
        <x:v>17</x:v>
      </x:c>
      <x:c r="D2755" s="89" t="n">
        <x:v>45605</x:v>
      </x:c>
      <x:c r="E2755" s="84" t="n">
        <x:v>2.6</x:v>
      </x:c>
      <x:c r="F2755" s="84" t="str">
        <x:v>Normal</x:v>
      </x:c>
      <x:c r="G2755" s="93" t="n">
        <x:v>145.03</x:v>
      </x:c>
      <x:c r="H2755" s="85" t="str">
        <x:v>Diagnóstico e execução</x:v>
      </x:c>
    </x:row>
    <x:row r="2756">
      <x:c r="A2756" s="83" t="n">
        <x:v>2755</x:v>
      </x:c>
      <x:c r="B2756" s="84" t="n">
        <x:v>1605</x:v>
      </x:c>
      <x:c r="C2756" s="84" t="n">
        <x:v>31</x:v>
      </x:c>
      <x:c r="D2756" s="89" t="n">
        <x:v>45080</x:v>
      </x:c>
      <x:c r="E2756" s="84" t="n">
        <x:v>6</x:v>
      </x:c>
      <x:c r="F2756" s="84" t="str">
        <x:v>Normal</x:v>
      </x:c>
      <x:c r="G2756" s="93" t="n">
        <x:v>293.4</x:v>
      </x:c>
      <x:c r="H2756" s="85" t="str">
        <x:v>Diagnóstico e execução</x:v>
      </x:c>
    </x:row>
    <x:row r="2757">
      <x:c r="A2757" s="83" t="n">
        <x:v>2756</x:v>
      </x:c>
      <x:c r="B2757" s="84" t="n">
        <x:v>1606</x:v>
      </x:c>
      <x:c r="C2757" s="84" t="n">
        <x:v>44</x:v>
      </x:c>
      <x:c r="D2757" s="89" t="n">
        <x:v>45083</x:v>
      </x:c>
      <x:c r="E2757" s="84" t="n">
        <x:v>8</x:v>
      </x:c>
      <x:c r="F2757" s="84" t="str">
        <x:v>Normal</x:v>
      </x:c>
      <x:c r="G2757" s="93" t="n">
        <x:v>224.32</x:v>
      </x:c>
      <x:c r="H2757" s="85" t="str">
        <x:v>Diagnóstico e execução</x:v>
      </x:c>
    </x:row>
    <x:row r="2758">
      <x:c r="A2758" s="83" t="n">
        <x:v>2757</x:v>
      </x:c>
      <x:c r="B2758" s="84" t="n">
        <x:v>1606</x:v>
      </x:c>
      <x:c r="C2758" s="84" t="n">
        <x:v>41</x:v>
      </x:c>
      <x:c r="D2758" s="89" t="n">
        <x:v>45083</x:v>
      </x:c>
      <x:c r="E2758" s="84" t="n">
        <x:v>7.9</x:v>
      </x:c>
      <x:c r="F2758" s="84" t="str">
        <x:v>Normal</x:v>
      </x:c>
      <x:c r="G2758" s="93" t="n">
        <x:v>399.58</x:v>
      </x:c>
      <x:c r="H2758" s="85" t="str">
        <x:v>Diagnóstico e execução</x:v>
      </x:c>
    </x:row>
    <x:row r="2759">
      <x:c r="A2759" s="83" t="n">
        <x:v>2758</x:v>
      </x:c>
      <x:c r="B2759" s="84" t="n">
        <x:v>1606</x:v>
      </x:c>
      <x:c r="C2759" s="84" t="n">
        <x:v>5</x:v>
      </x:c>
      <x:c r="D2759" s="89" t="n">
        <x:v>45083</x:v>
      </x:c>
      <x:c r="E2759" s="84" t="n">
        <x:v>3.7</x:v>
      </x:c>
      <x:c r="F2759" s="84" t="str">
        <x:v>Normal</x:v>
      </x:c>
      <x:c r="G2759" s="93" t="n">
        <x:v>106.63</x:v>
      </x:c>
      <x:c r="H2759" s="85" t="str">
        <x:v>Diagnóstico e execução</x:v>
      </x:c>
    </x:row>
    <x:row r="2760">
      <x:c r="A2760" s="83" t="n">
        <x:v>2759</x:v>
      </x:c>
      <x:c r="B2760" s="84" t="n">
        <x:v>1607</x:v>
      </x:c>
      <x:c r="C2760" s="84" t="n">
        <x:v>13</x:v>
      </x:c>
      <x:c r="D2760" s="89" t="n">
        <x:v>45379</x:v>
      </x:c>
      <x:c r="E2760" s="84" t="n">
        <x:v>7.8</x:v>
      </x:c>
      <x:c r="F2760" s="84" t="str">
        <x:v>Normal</x:v>
      </x:c>
      <x:c r="G2760" s="93" t="n">
        <x:v>264.26</x:v>
      </x:c>
      <x:c r="H2760" s="85" t="str">
        <x:v>Diagnóstico e execução</x:v>
      </x:c>
    </x:row>
    <x:row r="2761">
      <x:c r="A2761" s="83" t="n">
        <x:v>2760</x:v>
      </x:c>
      <x:c r="B2761" s="84" t="n">
        <x:v>1608</x:v>
      </x:c>
      <x:c r="C2761" s="84" t="n">
        <x:v>25</x:v>
      </x:c>
      <x:c r="D2761" s="89" t="n">
        <x:v>44963</x:v>
      </x:c>
      <x:c r="E2761" s="84" t="n">
        <x:v>7.6</x:v>
      </x:c>
      <x:c r="F2761" s="84" t="str">
        <x:v>Normal</x:v>
      </x:c>
      <x:c r="G2761" s="93" t="n">
        <x:v>407.28</x:v>
      </x:c>
      <x:c r="H2761" s="85" t="str">
        <x:v>Diagnóstico e execução</x:v>
      </x:c>
    </x:row>
    <x:row r="2762">
      <x:c r="A2762" s="83" t="n">
        <x:v>2761</x:v>
      </x:c>
      <x:c r="B2762" s="84" t="n">
        <x:v>1608</x:v>
      </x:c>
      <x:c r="C2762" s="84" t="n">
        <x:v>11</x:v>
      </x:c>
      <x:c r="D2762" s="89" t="n">
        <x:v>44963</x:v>
      </x:c>
      <x:c r="E2762" s="84" t="n">
        <x:v>5</x:v>
      </x:c>
      <x:c r="F2762" s="84" t="str">
        <x:v>Normal</x:v>
      </x:c>
      <x:c r="G2762" s="93" t="n">
        <x:v>208.4</x:v>
      </x:c>
      <x:c r="H2762" s="85" t="str">
        <x:v>Diagnóstico e execução</x:v>
      </x:c>
    </x:row>
    <x:row r="2763">
      <x:c r="A2763" s="83" t="n">
        <x:v>2762</x:v>
      </x:c>
      <x:c r="B2763" s="84" t="n">
        <x:v>1608</x:v>
      </x:c>
      <x:c r="C2763" s="84" t="n">
        <x:v>11</x:v>
      </x:c>
      <x:c r="D2763" s="89" t="n">
        <x:v>44963</x:v>
      </x:c>
      <x:c r="E2763" s="84" t="n">
        <x:v>7.9</x:v>
      </x:c>
      <x:c r="F2763" s="84" t="str">
        <x:v>Normal</x:v>
      </x:c>
      <x:c r="G2763" s="93" t="n">
        <x:v>329.27</x:v>
      </x:c>
      <x:c r="H2763" s="85" t="str">
        <x:v>Diagnóstico e execução</x:v>
      </x:c>
    </x:row>
    <x:row r="2764">
      <x:c r="A2764" s="83" t="n">
        <x:v>2763</x:v>
      </x:c>
      <x:c r="B2764" s="84" t="n">
        <x:v>1609</x:v>
      </x:c>
      <x:c r="C2764" s="84" t="n">
        <x:v>34</x:v>
      </x:c>
      <x:c r="D2764" s="89" t="n">
        <x:v>45363</x:v>
      </x:c>
      <x:c r="E2764" s="84" t="n">
        <x:v>1.3</x:v>
      </x:c>
      <x:c r="F2764" s="84" t="str">
        <x:v>Normal</x:v>
      </x:c>
      <x:c r="G2764" s="93" t="n">
        <x:v>56.2</x:v>
      </x:c>
      <x:c r="H2764" s="85" t="str">
        <x:v>Diagnóstico e execução</x:v>
      </x:c>
    </x:row>
    <x:row r="2765">
      <x:c r="A2765" s="83" t="n">
        <x:v>2764</x:v>
      </x:c>
      <x:c r="B2765" s="84" t="n">
        <x:v>1610</x:v>
      </x:c>
      <x:c r="C2765" s="84" t="n">
        <x:v>1</x:v>
      </x:c>
      <x:c r="D2765" s="89" t="n">
        <x:v>45151</x:v>
      </x:c>
      <x:c r="E2765" s="84" t="n">
        <x:v>4.4</x:v>
      </x:c>
      <x:c r="F2765" s="84" t="str">
        <x:v>Normal</x:v>
      </x:c>
      <x:c r="G2765" s="93" t="n">
        <x:v>155.63</x:v>
      </x:c>
      <x:c r="H2765" s="85" t="str">
        <x:v>Diagnóstico e execução</x:v>
      </x:c>
    </x:row>
    <x:row r="2766">
      <x:c r="A2766" s="83" t="n">
        <x:v>2765</x:v>
      </x:c>
      <x:c r="B2766" s="84" t="n">
        <x:v>1610</x:v>
      </x:c>
      <x:c r="C2766" s="84" t="n">
        <x:v>10</x:v>
      </x:c>
      <x:c r="D2766" s="89" t="n">
        <x:v>45151</x:v>
      </x:c>
      <x:c r="E2766" s="84" t="n">
        <x:v>5.7</x:v>
      </x:c>
      <x:c r="F2766" s="84" t="str">
        <x:v>Normal</x:v>
      </x:c>
      <x:c r="G2766" s="93" t="n">
        <x:v>169.23</x:v>
      </x:c>
      <x:c r="H2766" s="85" t="str">
        <x:v>Diagnóstico e execução</x:v>
      </x:c>
    </x:row>
    <x:row r="2767">
      <x:c r="A2767" s="83" t="n">
        <x:v>2766</x:v>
      </x:c>
      <x:c r="B2767" s="84" t="n">
        <x:v>1610</x:v>
      </x:c>
      <x:c r="C2767" s="84" t="n">
        <x:v>25</x:v>
      </x:c>
      <x:c r="D2767" s="89" t="n">
        <x:v>45151</x:v>
      </x:c>
      <x:c r="E2767" s="84" t="n">
        <x:v>5</x:v>
      </x:c>
      <x:c r="F2767" s="84" t="str">
        <x:v>Normal</x:v>
      </x:c>
      <x:c r="G2767" s="93" t="n">
        <x:v>267.95</x:v>
      </x:c>
      <x:c r="H2767" s="85" t="str">
        <x:v>Diagnóstico e execução</x:v>
      </x:c>
    </x:row>
    <x:row r="2768">
      <x:c r="A2768" s="83" t="n">
        <x:v>2767</x:v>
      </x:c>
      <x:c r="B2768" s="84" t="n">
        <x:v>1612</x:v>
      </x:c>
      <x:c r="C2768" s="84" t="n">
        <x:v>17</x:v>
      </x:c>
      <x:c r="D2768" s="89" t="n">
        <x:v>45718</x:v>
      </x:c>
      <x:c r="E2768" s="84" t="n">
        <x:v>6</x:v>
      </x:c>
      <x:c r="F2768" s="84" t="str">
        <x:v>Normal</x:v>
      </x:c>
      <x:c r="G2768" s="93" t="n">
        <x:v>334.68</x:v>
      </x:c>
      <x:c r="H2768" s="85" t="str">
        <x:v>Diagnóstico e execução</x:v>
      </x:c>
    </x:row>
    <x:row r="2769">
      <x:c r="A2769" s="83" t="n">
        <x:v>2768</x:v>
      </x:c>
      <x:c r="B2769" s="84" t="n">
        <x:v>1613</x:v>
      </x:c>
      <x:c r="C2769" s="84" t="n">
        <x:v>6</x:v>
      </x:c>
      <x:c r="D2769" s="89" t="n">
        <x:v>45046</x:v>
      </x:c>
      <x:c r="E2769" s="84" t="n">
        <x:v>1.6</x:v>
      </x:c>
      <x:c r="F2769" s="84" t="str">
        <x:v>Normal</x:v>
      </x:c>
      <x:c r="G2769" s="93" t="n">
        <x:v>83.62</x:v>
      </x:c>
      <x:c r="H2769" s="85" t="str">
        <x:v>Diagnóstico e execução</x:v>
      </x:c>
    </x:row>
    <x:row r="2770">
      <x:c r="A2770" s="83" t="n">
        <x:v>2769</x:v>
      </x:c>
      <x:c r="B2770" s="84" t="n">
        <x:v>1613</x:v>
      </x:c>
      <x:c r="C2770" s="84" t="n">
        <x:v>3</x:v>
      </x:c>
      <x:c r="D2770" s="89" t="n">
        <x:v>45046</x:v>
      </x:c>
      <x:c r="E2770" s="84" t="n">
        <x:v>7.1</x:v>
      </x:c>
      <x:c r="F2770" s="84" t="str">
        <x:v>Normal</x:v>
      </x:c>
      <x:c r="G2770" s="93" t="n">
        <x:v>349.6</x:v>
      </x:c>
      <x:c r="H2770" s="85" t="str">
        <x:v>Diagnóstico e execução</x:v>
      </x:c>
    </x:row>
    <x:row r="2771">
      <x:c r="A2771" s="83" t="n">
        <x:v>2770</x:v>
      </x:c>
      <x:c r="B2771" s="84" t="n">
        <x:v>1613</x:v>
      </x:c>
      <x:c r="C2771" s="84" t="n">
        <x:v>20</x:v>
      </x:c>
      <x:c r="D2771" s="89" t="n">
        <x:v>45046</x:v>
      </x:c>
      <x:c r="E2771" s="84" t="n">
        <x:v>4.9</x:v>
      </x:c>
      <x:c r="F2771" s="84" t="str">
        <x:v>Normal</x:v>
      </x:c>
      <x:c r="G2771" s="93" t="n">
        <x:v>164.25</x:v>
      </x:c>
      <x:c r="H2771" s="85" t="str">
        <x:v>Diagnóstico e execução</x:v>
      </x:c>
    </x:row>
    <x:row r="2772">
      <x:c r="A2772" s="83" t="n">
        <x:v>2771</x:v>
      </x:c>
      <x:c r="B2772" s="84" t="n">
        <x:v>1614</x:v>
      </x:c>
      <x:c r="C2772" s="84" t="n">
        <x:v>24</x:v>
      </x:c>
      <x:c r="D2772" s="89" t="n">
        <x:v>45585</x:v>
      </x:c>
      <x:c r="E2772" s="84" t="n">
        <x:v>0.6</x:v>
      </x:c>
      <x:c r="F2772" s="84" t="str">
        <x:v>Normal</x:v>
      </x:c>
      <x:c r="G2772" s="93" t="n">
        <x:v>35.54</x:v>
      </x:c>
      <x:c r="H2772" s="85" t="str">
        <x:v>Diagnóstico e execução</x:v>
      </x:c>
    </x:row>
    <x:row r="2773">
      <x:c r="A2773" s="83" t="n">
        <x:v>2772</x:v>
      </x:c>
      <x:c r="B2773" s="84" t="n">
        <x:v>1615</x:v>
      </x:c>
      <x:c r="C2773" s="84" t="n">
        <x:v>30</x:v>
      </x:c>
      <x:c r="D2773" s="89" t="n">
        <x:v>44957</x:v>
      </x:c>
      <x:c r="E2773" s="84" t="n">
        <x:v>5.3</x:v>
      </x:c>
      <x:c r="F2773" s="84" t="str">
        <x:v>Normal</x:v>
      </x:c>
      <x:c r="G2773" s="93" t="n">
        <x:v>219.47</x:v>
      </x:c>
      <x:c r="H2773" s="85" t="str">
        <x:v>Diagnóstico e execução</x:v>
      </x:c>
    </x:row>
    <x:row r="2774">
      <x:c r="A2774" s="83" t="n">
        <x:v>2773</x:v>
      </x:c>
      <x:c r="B2774" s="84" t="n">
        <x:v>1617</x:v>
      </x:c>
      <x:c r="C2774" s="84" t="n">
        <x:v>32</x:v>
      </x:c>
      <x:c r="D2774" s="89" t="n">
        <x:v>45223</x:v>
      </x:c>
      <x:c r="E2774" s="84" t="n">
        <x:v>2.1</x:v>
      </x:c>
      <x:c r="F2774" s="84" t="str">
        <x:v>Normal</x:v>
      </x:c>
      <x:c r="G2774" s="93" t="n">
        <x:v>91.67</x:v>
      </x:c>
      <x:c r="H2774" s="85" t="str">
        <x:v>Diagnóstico e execução</x:v>
      </x:c>
    </x:row>
    <x:row r="2775">
      <x:c r="A2775" s="83" t="n">
        <x:v>2774</x:v>
      </x:c>
      <x:c r="B2775" s="84" t="n">
        <x:v>1617</x:v>
      </x:c>
      <x:c r="C2775" s="84" t="n">
        <x:v>21</x:v>
      </x:c>
      <x:c r="D2775" s="89" t="n">
        <x:v>45223</x:v>
      </x:c>
      <x:c r="E2775" s="84" t="n">
        <x:v>0.5</x:v>
      </x:c>
      <x:c r="F2775" s="84" t="str">
        <x:v>Normal</x:v>
      </x:c>
      <x:c r="G2775" s="93" t="n">
        <x:v>30.71</x:v>
      </x:c>
      <x:c r="H2775" s="85" t="str">
        <x:v>Diagnóstico e execução</x:v>
      </x:c>
    </x:row>
    <x:row r="2776">
      <x:c r="A2776" s="83" t="n">
        <x:v>2775</x:v>
      </x:c>
      <x:c r="B2776" s="84" t="n">
        <x:v>1617</x:v>
      </x:c>
      <x:c r="C2776" s="84" t="n">
        <x:v>26</x:v>
      </x:c>
      <x:c r="D2776" s="89" t="n">
        <x:v>45223</x:v>
      </x:c>
      <x:c r="E2776" s="84" t="n">
        <x:v>4.1</x:v>
      </x:c>
      <x:c r="F2776" s="84" t="str">
        <x:v>Normal</x:v>
      </x:c>
      <x:c r="G2776" s="93" t="n">
        <x:v>160.39</x:v>
      </x:c>
      <x:c r="H2776" s="85" t="str">
        <x:v>Diagnóstico e execução</x:v>
      </x:c>
    </x:row>
    <x:row r="2777">
      <x:c r="A2777" s="83" t="n">
        <x:v>2776</x:v>
      </x:c>
      <x:c r="B2777" s="84" t="n">
        <x:v>1619</x:v>
      </x:c>
      <x:c r="C2777" s="84" t="n">
        <x:v>4</x:v>
      </x:c>
      <x:c r="D2777" s="89" t="n">
        <x:v>45203</x:v>
      </x:c>
      <x:c r="E2777" s="84" t="n">
        <x:v>4.7</x:v>
      </x:c>
      <x:c r="F2777" s="84" t="str">
        <x:v>Normal</x:v>
      </x:c>
      <x:c r="G2777" s="93" t="n">
        <x:v>231.19</x:v>
      </x:c>
      <x:c r="H2777" s="85" t="str">
        <x:v>Diagnóstico e execução</x:v>
      </x:c>
    </x:row>
    <x:row r="2778">
      <x:c r="A2778" s="83" t="n">
        <x:v>2777</x:v>
      </x:c>
      <x:c r="B2778" s="84" t="n">
        <x:v>1619</x:v>
      </x:c>
      <x:c r="C2778" s="84" t="n">
        <x:v>40</x:v>
      </x:c>
      <x:c r="D2778" s="89" t="n">
        <x:v>45203</x:v>
      </x:c>
      <x:c r="E2778" s="84" t="n">
        <x:v>1.7</x:v>
      </x:c>
      <x:c r="F2778" s="84" t="str">
        <x:v>Normal</x:v>
      </x:c>
      <x:c r="G2778" s="93" t="n">
        <x:v>84.01</x:v>
      </x:c>
      <x:c r="H2778" s="85" t="str">
        <x:v>Diagnóstico e execução</x:v>
      </x:c>
    </x:row>
    <x:row r="2779">
      <x:c r="A2779" s="83" t="n">
        <x:v>2778</x:v>
      </x:c>
      <x:c r="B2779" s="84" t="n">
        <x:v>1619</x:v>
      </x:c>
      <x:c r="C2779" s="84" t="n">
        <x:v>23</x:v>
      </x:c>
      <x:c r="D2779" s="89" t="n">
        <x:v>45203</x:v>
      </x:c>
      <x:c r="E2779" s="84" t="n">
        <x:v>1.2</x:v>
      </x:c>
      <x:c r="F2779" s="84" t="str">
        <x:v>Normal</x:v>
      </x:c>
      <x:c r="G2779" s="93" t="n">
        <x:v>51.73</x:v>
      </x:c>
      <x:c r="H2779" s="85" t="str">
        <x:v>Diagnóstico e execução</x:v>
      </x:c>
    </x:row>
    <x:row r="2780">
      <x:c r="A2780" s="83" t="n">
        <x:v>2779</x:v>
      </x:c>
      <x:c r="B2780" s="84" t="n">
        <x:v>1620</x:v>
      </x:c>
      <x:c r="C2780" s="84" t="n">
        <x:v>30</x:v>
      </x:c>
      <x:c r="D2780" s="89" t="n">
        <x:v>45373</x:v>
      </x:c>
      <x:c r="E2780" s="84" t="n">
        <x:v>1</x:v>
      </x:c>
      <x:c r="F2780" s="84" t="str">
        <x:v>Normal</x:v>
      </x:c>
      <x:c r="G2780" s="93" t="n">
        <x:v>41.41</x:v>
      </x:c>
      <x:c r="H2780" s="85" t="str">
        <x:v>Diagnóstico e execução</x:v>
      </x:c>
    </x:row>
    <x:row r="2781">
      <x:c r="A2781" s="83" t="n">
        <x:v>2780</x:v>
      </x:c>
      <x:c r="B2781" s="84" t="n">
        <x:v>1620</x:v>
      </x:c>
      <x:c r="C2781" s="84" t="n">
        <x:v>17</x:v>
      </x:c>
      <x:c r="D2781" s="89" t="n">
        <x:v>45373</x:v>
      </x:c>
      <x:c r="E2781" s="84" t="n">
        <x:v>2.4</x:v>
      </x:c>
      <x:c r="F2781" s="84" t="str">
        <x:v>Normal</x:v>
      </x:c>
      <x:c r="G2781" s="93" t="n">
        <x:v>133.87</x:v>
      </x:c>
      <x:c r="H2781" s="85" t="str">
        <x:v>Diagnóstico e execução</x:v>
      </x:c>
    </x:row>
    <x:row r="2782">
      <x:c r="A2782" s="83" t="n">
        <x:v>2781</x:v>
      </x:c>
      <x:c r="B2782" s="84" t="n">
        <x:v>1621</x:v>
      </x:c>
      <x:c r="C2782" s="84" t="n">
        <x:v>16</x:v>
      </x:c>
      <x:c r="D2782" s="89" t="n">
        <x:v>45835</x:v>
      </x:c>
      <x:c r="E2782" s="84" t="n">
        <x:v>6.4</x:v>
      </x:c>
      <x:c r="F2782" s="84" t="str">
        <x:v>Normal</x:v>
      </x:c>
      <x:c r="G2782" s="93" t="n">
        <x:v>259.33</x:v>
      </x:c>
      <x:c r="H2782" s="85" t="str">
        <x:v>Diagnóstico e execução</x:v>
      </x:c>
    </x:row>
    <x:row r="2783">
      <x:c r="A2783" s="83" t="n">
        <x:v>2782</x:v>
      </x:c>
      <x:c r="B2783" s="84" t="n">
        <x:v>1621</x:v>
      </x:c>
      <x:c r="C2783" s="84" t="n">
        <x:v>29</x:v>
      </x:c>
      <x:c r="D2783" s="89" t="n">
        <x:v>45835</x:v>
      </x:c>
      <x:c r="E2783" s="84" t="n">
        <x:v>7.2</x:v>
      </x:c>
      <x:c r="F2783" s="84" t="str">
        <x:v>Normal</x:v>
      </x:c>
      <x:c r="G2783" s="93" t="n">
        <x:v>356.54</x:v>
      </x:c>
      <x:c r="H2783" s="85" t="str">
        <x:v>Diagnóstico e execução</x:v>
      </x:c>
    </x:row>
    <x:row r="2784">
      <x:c r="A2784" s="83" t="n">
        <x:v>2783</x:v>
      </x:c>
      <x:c r="B2784" s="84" t="n">
        <x:v>1621</x:v>
      </x:c>
      <x:c r="C2784" s="84" t="n">
        <x:v>25</x:v>
      </x:c>
      <x:c r="D2784" s="89" t="n">
        <x:v>45835</x:v>
      </x:c>
      <x:c r="E2784" s="84" t="n">
        <x:v>6</x:v>
      </x:c>
      <x:c r="F2784" s="84" t="str">
        <x:v>Normal</x:v>
      </x:c>
      <x:c r="G2784" s="93" t="n">
        <x:v>321.54</x:v>
      </x:c>
      <x:c r="H2784" s="85" t="str">
        <x:v>Diagnóstico e execução</x:v>
      </x:c>
    </x:row>
    <x:row r="2785">
      <x:c r="A2785" s="83" t="n">
        <x:v>2784</x:v>
      </x:c>
      <x:c r="B2785" s="84" t="n">
        <x:v>1623</x:v>
      </x:c>
      <x:c r="C2785" s="84" t="n">
        <x:v>24</x:v>
      </x:c>
      <x:c r="D2785" s="89" t="n">
        <x:v>45204</x:v>
      </x:c>
      <x:c r="E2785" s="84" t="n">
        <x:v>5</x:v>
      </x:c>
      <x:c r="F2785" s="84" t="str">
        <x:v>Normal</x:v>
      </x:c>
      <x:c r="G2785" s="93" t="n">
        <x:v>296.2</x:v>
      </x:c>
      <x:c r="H2785" s="85" t="str">
        <x:v>Diagnóstico e execução</x:v>
      </x:c>
    </x:row>
    <x:row r="2786">
      <x:c r="A2786" s="83" t="n">
        <x:v>2785</x:v>
      </x:c>
      <x:c r="B2786" s="84" t="n">
        <x:v>1625</x:v>
      </x:c>
      <x:c r="C2786" s="84" t="n">
        <x:v>15</x:v>
      </x:c>
      <x:c r="D2786" s="89" t="n">
        <x:v>45946</x:v>
      </x:c>
      <x:c r="E2786" s="84" t="n">
        <x:v>4</x:v>
      </x:c>
      <x:c r="F2786" s="84" t="str">
        <x:v>Normal</x:v>
      </x:c>
      <x:c r="G2786" s="93" t="n">
        <x:v>120.96</x:v>
      </x:c>
      <x:c r="H2786" s="85" t="str">
        <x:v>Diagnóstico e execução</x:v>
      </x:c>
    </x:row>
    <x:row r="2787">
      <x:c r="A2787" s="83" t="n">
        <x:v>2786</x:v>
      </x:c>
      <x:c r="B2787" s="84" t="n">
        <x:v>1626</x:v>
      </x:c>
      <x:c r="C2787" s="84" t="n">
        <x:v>43</x:v>
      </x:c>
      <x:c r="D2787" s="89" t="n">
        <x:v>45362</x:v>
      </x:c>
      <x:c r="E2787" s="84" t="n">
        <x:v>5.3</x:v>
      </x:c>
      <x:c r="F2787" s="84" t="str">
        <x:v>Normal</x:v>
      </x:c>
      <x:c r="G2787" s="93" t="n">
        <x:v>289.7</x:v>
      </x:c>
      <x:c r="H2787" s="85" t="str">
        <x:v>Diagnóstico e execução</x:v>
      </x:c>
    </x:row>
    <x:row r="2788">
      <x:c r="A2788" s="83" t="n">
        <x:v>2787</x:v>
      </x:c>
      <x:c r="B2788" s="84" t="n">
        <x:v>1626</x:v>
      </x:c>
      <x:c r="C2788" s="84" t="n">
        <x:v>1</x:v>
      </x:c>
      <x:c r="D2788" s="89" t="n">
        <x:v>45362</x:v>
      </x:c>
      <x:c r="E2788" s="84" t="n">
        <x:v>1.1</x:v>
      </x:c>
      <x:c r="F2788" s="84" t="str">
        <x:v>Normal</x:v>
      </x:c>
      <x:c r="G2788" s="93" t="n">
        <x:v>38.91</x:v>
      </x:c>
      <x:c r="H2788" s="85" t="str">
        <x:v>Diagnóstico e execução</x:v>
      </x:c>
    </x:row>
    <x:row r="2789">
      <x:c r="A2789" s="83" t="n">
        <x:v>2788</x:v>
      </x:c>
      <x:c r="B2789" s="84" t="n">
        <x:v>1626</x:v>
      </x:c>
      <x:c r="C2789" s="84" t="n">
        <x:v>31</x:v>
      </x:c>
      <x:c r="D2789" s="89" t="n">
        <x:v>45362</x:v>
      </x:c>
      <x:c r="E2789" s="84" t="n">
        <x:v>1.5</x:v>
      </x:c>
      <x:c r="F2789" s="84" t="str">
        <x:v>Normal</x:v>
      </x:c>
      <x:c r="G2789" s="93" t="n">
        <x:v>73.35</x:v>
      </x:c>
      <x:c r="H2789" s="85" t="str">
        <x:v>Diagnóstico e execução</x:v>
      </x:c>
    </x:row>
    <x:row r="2790">
      <x:c r="A2790" s="83" t="n">
        <x:v>2789</x:v>
      </x:c>
      <x:c r="B2790" s="84" t="n">
        <x:v>1627</x:v>
      </x:c>
      <x:c r="C2790" s="84" t="n">
        <x:v>41</x:v>
      </x:c>
      <x:c r="D2790" s="89" t="n">
        <x:v>44973</x:v>
      </x:c>
      <x:c r="E2790" s="84" t="n">
        <x:v>7.2</x:v>
      </x:c>
      <x:c r="F2790" s="84" t="str">
        <x:v>Normal</x:v>
      </x:c>
      <x:c r="G2790" s="93" t="n">
        <x:v>364.18</x:v>
      </x:c>
      <x:c r="H2790" s="85" t="str">
        <x:v>Diagnóstico e execução</x:v>
      </x:c>
    </x:row>
    <x:row r="2791">
      <x:c r="A2791" s="83" t="n">
        <x:v>2790</x:v>
      </x:c>
      <x:c r="B2791" s="84" t="n">
        <x:v>1627</x:v>
      </x:c>
      <x:c r="C2791" s="84" t="n">
        <x:v>38</x:v>
      </x:c>
      <x:c r="D2791" s="89" t="n">
        <x:v>44973</x:v>
      </x:c>
      <x:c r="E2791" s="84" t="n">
        <x:v>0.8</x:v>
      </x:c>
      <x:c r="F2791" s="84" t="str">
        <x:v>Normal</x:v>
      </x:c>
      <x:c r="G2791" s="93" t="n">
        <x:v>26.94</x:v>
      </x:c>
      <x:c r="H2791" s="85" t="str">
        <x:v>Diagnóstico e execução</x:v>
      </x:c>
    </x:row>
    <x:row r="2792">
      <x:c r="A2792" s="83" t="n">
        <x:v>2791</x:v>
      </x:c>
      <x:c r="B2792" s="84" t="n">
        <x:v>1628</x:v>
      </x:c>
      <x:c r="C2792" s="84" t="n">
        <x:v>15</x:v>
      </x:c>
      <x:c r="D2792" s="89" t="n">
        <x:v>45865</x:v>
      </x:c>
      <x:c r="E2792" s="84" t="n">
        <x:v>6.3</x:v>
      </x:c>
      <x:c r="F2792" s="84" t="str">
        <x:v>Normal</x:v>
      </x:c>
      <x:c r="G2792" s="93" t="n">
        <x:v>190.51</x:v>
      </x:c>
      <x:c r="H2792" s="85" t="str">
        <x:v>Diagnóstico e execução</x:v>
      </x:c>
    </x:row>
    <x:row r="2793">
      <x:c r="A2793" s="83" t="n">
        <x:v>2792</x:v>
      </x:c>
      <x:c r="B2793" s="84" t="n">
        <x:v>1628</x:v>
      </x:c>
      <x:c r="C2793" s="84" t="n">
        <x:v>22</x:v>
      </x:c>
      <x:c r="D2793" s="89" t="n">
        <x:v>45865</x:v>
      </x:c>
      <x:c r="E2793" s="84" t="n">
        <x:v>6</x:v>
      </x:c>
      <x:c r="F2793" s="84" t="str">
        <x:v>Normal</x:v>
      </x:c>
      <x:c r="G2793" s="93" t="n">
        <x:v>230.76</x:v>
      </x:c>
      <x:c r="H2793" s="85" t="str">
        <x:v>Diagnóstico e execução</x:v>
      </x:c>
    </x:row>
    <x:row r="2794">
      <x:c r="A2794" s="83" t="n">
        <x:v>2793</x:v>
      </x:c>
      <x:c r="B2794" s="84" t="n">
        <x:v>1629</x:v>
      </x:c>
      <x:c r="C2794" s="84" t="n">
        <x:v>12</x:v>
      </x:c>
      <x:c r="D2794" s="89" t="n">
        <x:v>45274</x:v>
      </x:c>
      <x:c r="E2794" s="84" t="n">
        <x:v>3</x:v>
      </x:c>
      <x:c r="F2794" s="84" t="str">
        <x:v>Normal</x:v>
      </x:c>
      <x:c r="G2794" s="93" t="n">
        <x:v>103.5</x:v>
      </x:c>
      <x:c r="H2794" s="85" t="str">
        <x:v>Diagnóstico e execução</x:v>
      </x:c>
    </x:row>
    <x:row r="2795">
      <x:c r="A2795" s="83" t="n">
        <x:v>2794</x:v>
      </x:c>
      <x:c r="B2795" s="84" t="n">
        <x:v>1629</x:v>
      </x:c>
      <x:c r="C2795" s="84" t="n">
        <x:v>24</x:v>
      </x:c>
      <x:c r="D2795" s="89" t="n">
        <x:v>45274</x:v>
      </x:c>
      <x:c r="E2795" s="84" t="n">
        <x:v>1.6</x:v>
      </x:c>
      <x:c r="F2795" s="84" t="str">
        <x:v>Normal</x:v>
      </x:c>
      <x:c r="G2795" s="93" t="n">
        <x:v>94.78</x:v>
      </x:c>
      <x:c r="H2795" s="85" t="str">
        <x:v>Diagnóstico e execução</x:v>
      </x:c>
    </x:row>
    <x:row r="2796">
      <x:c r="A2796" s="83" t="n">
        <x:v>2795</x:v>
      </x:c>
      <x:c r="B2796" s="84" t="n">
        <x:v>1630</x:v>
      </x:c>
      <x:c r="C2796" s="84" t="n">
        <x:v>27</x:v>
      </x:c>
      <x:c r="D2796" s="89" t="n">
        <x:v>45919</x:v>
      </x:c>
      <x:c r="E2796" s="84" t="n">
        <x:v>2.8</x:v>
      </x:c>
      <x:c r="F2796" s="84" t="str">
        <x:v>Normal</x:v>
      </x:c>
      <x:c r="G2796" s="93" t="n">
        <x:v>170.77</x:v>
      </x:c>
      <x:c r="H2796" s="85" t="str">
        <x:v>Diagnóstico e execução</x:v>
      </x:c>
    </x:row>
    <x:row r="2797">
      <x:c r="A2797" s="83" t="n">
        <x:v>2796</x:v>
      </x:c>
      <x:c r="B2797" s="84" t="n">
        <x:v>1630</x:v>
      </x:c>
      <x:c r="C2797" s="84" t="n">
        <x:v>30</x:v>
      </x:c>
      <x:c r="D2797" s="89" t="n">
        <x:v>45919</x:v>
      </x:c>
      <x:c r="E2797" s="84" t="n">
        <x:v>3.1</x:v>
      </x:c>
      <x:c r="F2797" s="84" t="str">
        <x:v>Normal</x:v>
      </x:c>
      <x:c r="G2797" s="93" t="n">
        <x:v>128.37</x:v>
      </x:c>
      <x:c r="H2797" s="85" t="str">
        <x:v>Diagnóstico e execução</x:v>
      </x:c>
    </x:row>
    <x:row r="2798">
      <x:c r="A2798" s="83" t="n">
        <x:v>2797</x:v>
      </x:c>
      <x:c r="B2798" s="84" t="n">
        <x:v>1631</x:v>
      </x:c>
      <x:c r="C2798" s="84" t="n">
        <x:v>22</x:v>
      </x:c>
      <x:c r="D2798" s="89" t="n">
        <x:v>45825</x:v>
      </x:c>
      <x:c r="E2798" s="84" t="n">
        <x:v>6.8</x:v>
      </x:c>
      <x:c r="F2798" s="84" t="str">
        <x:v>Normal</x:v>
      </x:c>
      <x:c r="G2798" s="93" t="n">
        <x:v>261.53</x:v>
      </x:c>
      <x:c r="H2798" s="85" t="str">
        <x:v>Diagnóstico e execução</x:v>
      </x:c>
    </x:row>
    <x:row r="2799">
      <x:c r="A2799" s="83" t="n">
        <x:v>2798</x:v>
      </x:c>
      <x:c r="B2799" s="84" t="n">
        <x:v>1631</x:v>
      </x:c>
      <x:c r="C2799" s="84" t="n">
        <x:v>20</x:v>
      </x:c>
      <x:c r="D2799" s="89" t="n">
        <x:v>45825</x:v>
      </x:c>
      <x:c r="E2799" s="84" t="n">
        <x:v>6.2</x:v>
      </x:c>
      <x:c r="F2799" s="84" t="str">
        <x:v>Normal</x:v>
      </x:c>
      <x:c r="G2799" s="93" t="n">
        <x:v>207.82</x:v>
      </x:c>
      <x:c r="H2799" s="85" t="str">
        <x:v>Diagnóstico e execução</x:v>
      </x:c>
    </x:row>
    <x:row r="2800">
      <x:c r="A2800" s="83" t="n">
        <x:v>2799</x:v>
      </x:c>
      <x:c r="B2800" s="84" t="n">
        <x:v>1632</x:v>
      </x:c>
      <x:c r="C2800" s="84" t="n">
        <x:v>23</x:v>
      </x:c>
      <x:c r="D2800" s="89" t="n">
        <x:v>45994</x:v>
      </x:c>
      <x:c r="E2800" s="84" t="n">
        <x:v>6.6</x:v>
      </x:c>
      <x:c r="F2800" s="84" t="str">
        <x:v>Normal</x:v>
      </x:c>
      <x:c r="G2800" s="93" t="n">
        <x:v>284.53</x:v>
      </x:c>
      <x:c r="H2800" s="85" t="str">
        <x:v>Diagnóstico e execução</x:v>
      </x:c>
    </x:row>
    <x:row r="2801">
      <x:c r="A2801" s="83" t="n">
        <x:v>2800</x:v>
      </x:c>
      <x:c r="B2801" s="84" t="n">
        <x:v>1633</x:v>
      </x:c>
      <x:c r="C2801" s="84" t="n">
        <x:v>29</x:v>
      </x:c>
      <x:c r="D2801" s="89" t="n">
        <x:v>45157</x:v>
      </x:c>
      <x:c r="E2801" s="84" t="n">
        <x:v>1.9</x:v>
      </x:c>
      <x:c r="F2801" s="84" t="str">
        <x:v>Normal</x:v>
      </x:c>
      <x:c r="G2801" s="93" t="n">
        <x:v>94.09</x:v>
      </x:c>
      <x:c r="H2801" s="85" t="str">
        <x:v>Diagnóstico e execução</x:v>
      </x:c>
    </x:row>
    <x:row r="2802">
      <x:c r="A2802" s="83" t="n">
        <x:v>2801</x:v>
      </x:c>
      <x:c r="B2802" s="84" t="n">
        <x:v>1633</x:v>
      </x:c>
      <x:c r="C2802" s="84" t="n">
        <x:v>34</x:v>
      </x:c>
      <x:c r="D2802" s="89" t="n">
        <x:v>45157</x:v>
      </x:c>
      <x:c r="E2802" s="84" t="n">
        <x:v>6.6</x:v>
      </x:c>
      <x:c r="F2802" s="84" t="str">
        <x:v>Normal</x:v>
      </x:c>
      <x:c r="G2802" s="93" t="n">
        <x:v>285.32</x:v>
      </x:c>
      <x:c r="H2802" s="85" t="str">
        <x:v>Diagnóstico e execução</x:v>
      </x:c>
    </x:row>
    <x:row r="2803">
      <x:c r="A2803" s="83" t="n">
        <x:v>2802</x:v>
      </x:c>
      <x:c r="B2803" s="84" t="n">
        <x:v>1633</x:v>
      </x:c>
      <x:c r="C2803" s="84" t="n">
        <x:v>16</x:v>
      </x:c>
      <x:c r="D2803" s="89" t="n">
        <x:v>45157</x:v>
      </x:c>
      <x:c r="E2803" s="84" t="n">
        <x:v>5.3</x:v>
      </x:c>
      <x:c r="F2803" s="84" t="str">
        <x:v>Normal</x:v>
      </x:c>
      <x:c r="G2803" s="93" t="n">
        <x:v>214.76</x:v>
      </x:c>
      <x:c r="H2803" s="85" t="str">
        <x:v>Diagnóstico e execução</x:v>
      </x:c>
    </x:row>
    <x:row r="2804">
      <x:c r="A2804" s="83" t="n">
        <x:v>2803</x:v>
      </x:c>
      <x:c r="B2804" s="84" t="n">
        <x:v>1634</x:v>
      </x:c>
      <x:c r="C2804" s="84" t="n">
        <x:v>23</x:v>
      </x:c>
      <x:c r="D2804" s="89" t="n">
        <x:v>44932</x:v>
      </x:c>
      <x:c r="E2804" s="84" t="n">
        <x:v>6.8</x:v>
      </x:c>
      <x:c r="F2804" s="84" t="str">
        <x:v>Normal</x:v>
      </x:c>
      <x:c r="G2804" s="93" t="n">
        <x:v>293.15</x:v>
      </x:c>
      <x:c r="H2804" s="85" t="str">
        <x:v>Diagnóstico e execução</x:v>
      </x:c>
    </x:row>
    <x:row r="2805">
      <x:c r="A2805" s="83" t="n">
        <x:v>2804</x:v>
      </x:c>
      <x:c r="B2805" s="84" t="n">
        <x:v>1634</x:v>
      </x:c>
      <x:c r="C2805" s="84" t="n">
        <x:v>8</x:v>
      </x:c>
      <x:c r="D2805" s="89" t="n">
        <x:v>44932</x:v>
      </x:c>
      <x:c r="E2805" s="84" t="n">
        <x:v>3</x:v>
      </x:c>
      <x:c r="F2805" s="84" t="str">
        <x:v>Normal</x:v>
      </x:c>
      <x:c r="G2805" s="93" t="n">
        <x:v>139.5</x:v>
      </x:c>
      <x:c r="H2805" s="85" t="str">
        <x:v>Diagnóstico e execução</x:v>
      </x:c>
    </x:row>
    <x:row r="2806">
      <x:c r="A2806" s="83" t="n">
        <x:v>2805</x:v>
      </x:c>
      <x:c r="B2806" s="84" t="n">
        <x:v>1635</x:v>
      </x:c>
      <x:c r="C2806" s="84" t="n">
        <x:v>37</x:v>
      </x:c>
      <x:c r="D2806" s="89" t="n">
        <x:v>45178</x:v>
      </x:c>
      <x:c r="E2806" s="84" t="n">
        <x:v>5.9</x:v>
      </x:c>
      <x:c r="F2806" s="84" t="str">
        <x:v>Normal</x:v>
      </x:c>
      <x:c r="G2806" s="93" t="n">
        <x:v>347.92</x:v>
      </x:c>
      <x:c r="H2806" s="85" t="str">
        <x:v>Diagnóstico e execução</x:v>
      </x:c>
    </x:row>
    <x:row r="2807">
      <x:c r="A2807" s="83" t="n">
        <x:v>2806</x:v>
      </x:c>
      <x:c r="B2807" s="84" t="n">
        <x:v>1635</x:v>
      </x:c>
      <x:c r="C2807" s="84" t="n">
        <x:v>33</x:v>
      </x:c>
      <x:c r="D2807" s="89" t="n">
        <x:v>45178</x:v>
      </x:c>
      <x:c r="E2807" s="84" t="n">
        <x:v>6.1</x:v>
      </x:c>
      <x:c r="F2807" s="84" t="str">
        <x:v>Normal</x:v>
      </x:c>
      <x:c r="G2807" s="93" t="n">
        <x:v>210.39</x:v>
      </x:c>
      <x:c r="H2807" s="85" t="str">
        <x:v>Diagnóstico e execução</x:v>
      </x:c>
    </x:row>
    <x:row r="2808">
      <x:c r="A2808" s="83" t="n">
        <x:v>2807</x:v>
      </x:c>
      <x:c r="B2808" s="84" t="n">
        <x:v>1635</x:v>
      </x:c>
      <x:c r="C2808" s="84" t="n">
        <x:v>2</x:v>
      </x:c>
      <x:c r="D2808" s="89" t="n">
        <x:v>45178</x:v>
      </x:c>
      <x:c r="E2808" s="84" t="n">
        <x:v>5</x:v>
      </x:c>
      <x:c r="F2808" s="84" t="str">
        <x:v>Normal</x:v>
      </x:c>
      <x:c r="G2808" s="93" t="n">
        <x:v>186.3</x:v>
      </x:c>
      <x:c r="H2808" s="85" t="str">
        <x:v>Diagnóstico e execução</x:v>
      </x:c>
    </x:row>
    <x:row r="2809">
      <x:c r="A2809" s="83" t="n">
        <x:v>2808</x:v>
      </x:c>
      <x:c r="B2809" s="84" t="n">
        <x:v>1636</x:v>
      </x:c>
      <x:c r="C2809" s="84" t="n">
        <x:v>31</x:v>
      </x:c>
      <x:c r="D2809" s="89" t="n">
        <x:v>45348</x:v>
      </x:c>
      <x:c r="E2809" s="84" t="n">
        <x:v>4.6</x:v>
      </x:c>
      <x:c r="F2809" s="84" t="str">
        <x:v>Normal</x:v>
      </x:c>
      <x:c r="G2809" s="93" t="n">
        <x:v>224.94</x:v>
      </x:c>
      <x:c r="H2809" s="85" t="str">
        <x:v>Diagnóstico e execução</x:v>
      </x:c>
    </x:row>
    <x:row r="2810">
      <x:c r="A2810" s="83" t="n">
        <x:v>2809</x:v>
      </x:c>
      <x:c r="B2810" s="84" t="n">
        <x:v>1636</x:v>
      </x:c>
      <x:c r="C2810" s="84" t="n">
        <x:v>7</x:v>
      </x:c>
      <x:c r="D2810" s="89" t="n">
        <x:v>45348</x:v>
      </x:c>
      <x:c r="E2810" s="84" t="n">
        <x:v>7.2</x:v>
      </x:c>
      <x:c r="F2810" s="84" t="str">
        <x:v>Normal</x:v>
      </x:c>
      <x:c r="G2810" s="93" t="n">
        <x:v>419.11</x:v>
      </x:c>
      <x:c r="H2810" s="85" t="str">
        <x:v>Diagnóstico e execução</x:v>
      </x:c>
    </x:row>
    <x:row r="2811">
      <x:c r="A2811" s="83" t="n">
        <x:v>2810</x:v>
      </x:c>
      <x:c r="B2811" s="84" t="n">
        <x:v>1637</x:v>
      </x:c>
      <x:c r="C2811" s="84" t="n">
        <x:v>9</x:v>
      </x:c>
      <x:c r="D2811" s="89" t="n">
        <x:v>45361</x:v>
      </x:c>
      <x:c r="E2811" s="84" t="n">
        <x:v>1.2</x:v>
      </x:c>
      <x:c r="F2811" s="84" t="str">
        <x:v>Normal</x:v>
      </x:c>
      <x:c r="G2811" s="93" t="n">
        <x:v>63.2</x:v>
      </x:c>
      <x:c r="H2811" s="85" t="str">
        <x:v>Diagnóstico e execução</x:v>
      </x:c>
    </x:row>
    <x:row r="2812">
      <x:c r="A2812" s="83" t="n">
        <x:v>2811</x:v>
      </x:c>
      <x:c r="B2812" s="84" t="n">
        <x:v>1637</x:v>
      </x:c>
      <x:c r="C2812" s="84" t="n">
        <x:v>26</x:v>
      </x:c>
      <x:c r="D2812" s="89" t="n">
        <x:v>45361</x:v>
      </x:c>
      <x:c r="E2812" s="84" t="n">
        <x:v>1.2</x:v>
      </x:c>
      <x:c r="F2812" s="84" t="str">
        <x:v>Normal</x:v>
      </x:c>
      <x:c r="G2812" s="93" t="n">
        <x:v>46.94</x:v>
      </x:c>
      <x:c r="H2812" s="85" t="str">
        <x:v>Diagnóstico e execução</x:v>
      </x:c>
    </x:row>
    <x:row r="2813">
      <x:c r="A2813" s="83" t="n">
        <x:v>2812</x:v>
      </x:c>
      <x:c r="B2813" s="84" t="n">
        <x:v>1637</x:v>
      </x:c>
      <x:c r="C2813" s="84" t="n">
        <x:v>24</x:v>
      </x:c>
      <x:c r="D2813" s="89" t="n">
        <x:v>45361</x:v>
      </x:c>
      <x:c r="E2813" s="84" t="n">
        <x:v>1.5</x:v>
      </x:c>
      <x:c r="F2813" s="84" t="str">
        <x:v>Normal</x:v>
      </x:c>
      <x:c r="G2813" s="93" t="n">
        <x:v>88.86</x:v>
      </x:c>
      <x:c r="H2813" s="85" t="str">
        <x:v>Diagnóstico e execução</x:v>
      </x:c>
    </x:row>
    <x:row r="2814">
      <x:c r="A2814" s="83" t="n">
        <x:v>2813</x:v>
      </x:c>
      <x:c r="B2814" s="84" t="n">
        <x:v>1638</x:v>
      </x:c>
      <x:c r="C2814" s="84" t="n">
        <x:v>17</x:v>
      </x:c>
      <x:c r="D2814" s="89" t="n">
        <x:v>44946</x:v>
      </x:c>
      <x:c r="E2814" s="84" t="n">
        <x:v>1</x:v>
      </x:c>
      <x:c r="F2814" s="84" t="str">
        <x:v>Normal</x:v>
      </x:c>
      <x:c r="G2814" s="93" t="n">
        <x:v>55.78</x:v>
      </x:c>
      <x:c r="H2814" s="85" t="str">
        <x:v>Diagnóstico e execução</x:v>
      </x:c>
    </x:row>
    <x:row r="2815">
      <x:c r="A2815" s="83" t="n">
        <x:v>2814</x:v>
      </x:c>
      <x:c r="B2815" s="84" t="n">
        <x:v>1638</x:v>
      </x:c>
      <x:c r="C2815" s="84" t="n">
        <x:v>1</x:v>
      </x:c>
      <x:c r="D2815" s="89" t="n">
        <x:v>44946</x:v>
      </x:c>
      <x:c r="E2815" s="84" t="n">
        <x:v>3.6</x:v>
      </x:c>
      <x:c r="F2815" s="84" t="str">
        <x:v>Normal</x:v>
      </x:c>
      <x:c r="G2815" s="93" t="n">
        <x:v>127.33</x:v>
      </x:c>
      <x:c r="H2815" s="85" t="str">
        <x:v>Diagnóstico e execução</x:v>
      </x:c>
    </x:row>
    <x:row r="2816">
      <x:c r="A2816" s="83" t="n">
        <x:v>2815</x:v>
      </x:c>
      <x:c r="B2816" s="84" t="n">
        <x:v>1638</x:v>
      </x:c>
      <x:c r="C2816" s="84" t="n">
        <x:v>26</x:v>
      </x:c>
      <x:c r="D2816" s="89" t="n">
        <x:v>44946</x:v>
      </x:c>
      <x:c r="E2816" s="84" t="n">
        <x:v>4.1</x:v>
      </x:c>
      <x:c r="F2816" s="84" t="str">
        <x:v>Normal</x:v>
      </x:c>
      <x:c r="G2816" s="93" t="n">
        <x:v>160.39</x:v>
      </x:c>
      <x:c r="H2816" s="85" t="str">
        <x:v>Diagnóstico e execução</x:v>
      </x:c>
    </x:row>
    <x:row r="2817">
      <x:c r="A2817" s="83" t="n">
        <x:v>2816</x:v>
      </x:c>
      <x:c r="B2817" s="84" t="n">
        <x:v>1639</x:v>
      </x:c>
      <x:c r="C2817" s="84" t="n">
        <x:v>15</x:v>
      </x:c>
      <x:c r="D2817" s="89" t="n">
        <x:v>45218</x:v>
      </x:c>
      <x:c r="E2817" s="84" t="n">
        <x:v>3</x:v>
      </x:c>
      <x:c r="F2817" s="84" t="str">
        <x:v>Normal</x:v>
      </x:c>
      <x:c r="G2817" s="93" t="n">
        <x:v>90.72</x:v>
      </x:c>
      <x:c r="H2817" s="85" t="str">
        <x:v>Diagnóstico e execução</x:v>
      </x:c>
    </x:row>
    <x:row r="2818">
      <x:c r="A2818" s="83" t="n">
        <x:v>2817</x:v>
      </x:c>
      <x:c r="B2818" s="84" t="n">
        <x:v>1641</x:v>
      </x:c>
      <x:c r="C2818" s="84" t="n">
        <x:v>37</x:v>
      </x:c>
      <x:c r="D2818" s="89" t="n">
        <x:v>45545</x:v>
      </x:c>
      <x:c r="E2818" s="84" t="n">
        <x:v>7.4</x:v>
      </x:c>
      <x:c r="F2818" s="84" t="str">
        <x:v>Normal</x:v>
      </x:c>
      <x:c r="G2818" s="93" t="n">
        <x:v>436.38</x:v>
      </x:c>
      <x:c r="H2818" s="85" t="str">
        <x:v>Diagnóstico e execução</x:v>
      </x:c>
    </x:row>
    <x:row r="2819">
      <x:c r="A2819" s="83" t="n">
        <x:v>2818</x:v>
      </x:c>
      <x:c r="B2819" s="84" t="n">
        <x:v>1642</x:v>
      </x:c>
      <x:c r="C2819" s="84" t="n">
        <x:v>4</x:v>
      </x:c>
      <x:c r="D2819" s="89" t="n">
        <x:v>45037</x:v>
      </x:c>
      <x:c r="E2819" s="84" t="n">
        <x:v>4.3</x:v>
      </x:c>
      <x:c r="F2819" s="84" t="str">
        <x:v>Normal</x:v>
      </x:c>
      <x:c r="G2819" s="93" t="n">
        <x:v>211.52</x:v>
      </x:c>
      <x:c r="H2819" s="85" t="str">
        <x:v>Diagnóstico e execução</x:v>
      </x:c>
    </x:row>
    <x:row r="2820">
      <x:c r="A2820" s="83" t="n">
        <x:v>2819</x:v>
      </x:c>
      <x:c r="B2820" s="84" t="n">
        <x:v>1643</x:v>
      </x:c>
      <x:c r="C2820" s="84" t="n">
        <x:v>38</x:v>
      </x:c>
      <x:c r="D2820" s="89" t="n">
        <x:v>45235</x:v>
      </x:c>
      <x:c r="E2820" s="84" t="n">
        <x:v>4.6</x:v>
      </x:c>
      <x:c r="F2820" s="84" t="str">
        <x:v>Normal</x:v>
      </x:c>
      <x:c r="G2820" s="93" t="n">
        <x:v>154.88</x:v>
      </x:c>
      <x:c r="H2820" s="85" t="str">
        <x:v>Diagnóstico e execução</x:v>
      </x:c>
    </x:row>
    <x:row r="2821">
      <x:c r="A2821" s="83" t="n">
        <x:v>2820</x:v>
      </x:c>
      <x:c r="B2821" s="84" t="n">
        <x:v>1643</x:v>
      </x:c>
      <x:c r="C2821" s="84" t="n">
        <x:v>11</x:v>
      </x:c>
      <x:c r="D2821" s="89" t="n">
        <x:v>45235</x:v>
      </x:c>
      <x:c r="E2821" s="84" t="n">
        <x:v>4.2</x:v>
      </x:c>
      <x:c r="F2821" s="84" t="str">
        <x:v>Normal</x:v>
      </x:c>
      <x:c r="G2821" s="93" t="n">
        <x:v>175.06</x:v>
      </x:c>
      <x:c r="H2821" s="85" t="str">
        <x:v>Diagnóstico e execução</x:v>
      </x:c>
    </x:row>
    <x:row r="2822">
      <x:c r="A2822" s="83" t="n">
        <x:v>2821</x:v>
      </x:c>
      <x:c r="B2822" s="84" t="n">
        <x:v>1644</x:v>
      </x:c>
      <x:c r="C2822" s="84" t="n">
        <x:v>11</x:v>
      </x:c>
      <x:c r="D2822" s="89" t="n">
        <x:v>45418</x:v>
      </x:c>
      <x:c r="E2822" s="84" t="n">
        <x:v>2.2</x:v>
      </x:c>
      <x:c r="F2822" s="84" t="str">
        <x:v>Normal</x:v>
      </x:c>
      <x:c r="G2822" s="93" t="n">
        <x:v>91.7</x:v>
      </x:c>
      <x:c r="H2822" s="85" t="str">
        <x:v>Diagnóstico e execução</x:v>
      </x:c>
    </x:row>
    <x:row r="2823">
      <x:c r="A2823" s="83" t="n">
        <x:v>2822</x:v>
      </x:c>
      <x:c r="B2823" s="84" t="n">
        <x:v>1644</x:v>
      </x:c>
      <x:c r="C2823" s="84" t="n">
        <x:v>44</x:v>
      </x:c>
      <x:c r="D2823" s="89" t="n">
        <x:v>45418</x:v>
      </x:c>
      <x:c r="E2823" s="84" t="n">
        <x:v>1.7</x:v>
      </x:c>
      <x:c r="F2823" s="84" t="str">
        <x:v>Normal</x:v>
      </x:c>
      <x:c r="G2823" s="93" t="n">
        <x:v>47.67</x:v>
      </x:c>
      <x:c r="H2823" s="85" t="str">
        <x:v>Diagnóstico e execução</x:v>
      </x:c>
    </x:row>
    <x:row r="2824">
      <x:c r="A2824" s="83" t="n">
        <x:v>2823</x:v>
      </x:c>
      <x:c r="B2824" s="84" t="n">
        <x:v>1645</x:v>
      </x:c>
      <x:c r="C2824" s="84" t="n">
        <x:v>27</x:v>
      </x:c>
      <x:c r="D2824" s="89" t="n">
        <x:v>45902</x:v>
      </x:c>
      <x:c r="E2824" s="84" t="n">
        <x:v>4.4</x:v>
      </x:c>
      <x:c r="F2824" s="84" t="str">
        <x:v>Normal</x:v>
      </x:c>
      <x:c r="G2824" s="93" t="n">
        <x:v>268.36</x:v>
      </x:c>
      <x:c r="H2824" s="85" t="str">
        <x:v>Diagnóstico e execução</x:v>
      </x:c>
    </x:row>
    <x:row r="2825">
      <x:c r="A2825" s="83" t="n">
        <x:v>2824</x:v>
      </x:c>
      <x:c r="B2825" s="84" t="n">
        <x:v>1646</x:v>
      </x:c>
      <x:c r="C2825" s="84" t="n">
        <x:v>7</x:v>
      </x:c>
      <x:c r="D2825" s="89" t="n">
        <x:v>45368</x:v>
      </x:c>
      <x:c r="E2825" s="84" t="n">
        <x:v>1</x:v>
      </x:c>
      <x:c r="F2825" s="84" t="str">
        <x:v>Normal</x:v>
      </x:c>
      <x:c r="G2825" s="93" t="n">
        <x:v>58.21</x:v>
      </x:c>
      <x:c r="H2825" s="85" t="str">
        <x:v>Diagnóstico e execução</x:v>
      </x:c>
    </x:row>
    <x:row r="2826">
      <x:c r="A2826" s="83" t="n">
        <x:v>2825</x:v>
      </x:c>
      <x:c r="B2826" s="84" t="n">
        <x:v>1646</x:v>
      </x:c>
      <x:c r="C2826" s="84" t="n">
        <x:v>18</x:v>
      </x:c>
      <x:c r="D2826" s="89" t="n">
        <x:v>45368</x:v>
      </x:c>
      <x:c r="E2826" s="84" t="n">
        <x:v>5.4</x:v>
      </x:c>
      <x:c r="F2826" s="84" t="str">
        <x:v>Normal</x:v>
      </x:c>
      <x:c r="G2826" s="93" t="n">
        <x:v>340.69</x:v>
      </x:c>
      <x:c r="H2826" s="85" t="str">
        <x:v>Diagnóstico e execução</x:v>
      </x:c>
    </x:row>
    <x:row r="2827">
      <x:c r="A2827" s="83" t="n">
        <x:v>2826</x:v>
      </x:c>
      <x:c r="B2827" s="84" t="n">
        <x:v>1647</x:v>
      </x:c>
      <x:c r="C2827" s="84" t="n">
        <x:v>19</x:v>
      </x:c>
      <x:c r="D2827" s="89" t="n">
        <x:v>45687</x:v>
      </x:c>
      <x:c r="E2827" s="84" t="n">
        <x:v>5.6</x:v>
      </x:c>
      <x:c r="F2827" s="84" t="str">
        <x:v>Normal</x:v>
      </x:c>
      <x:c r="G2827" s="93" t="n">
        <x:v>260.29</x:v>
      </x:c>
      <x:c r="H2827" s="85" t="str">
        <x:v>Diagnóstico e execução</x:v>
      </x:c>
    </x:row>
    <x:row r="2828">
      <x:c r="A2828" s="83" t="n">
        <x:v>2827</x:v>
      </x:c>
      <x:c r="B2828" s="84" t="n">
        <x:v>1648</x:v>
      </x:c>
      <x:c r="C2828" s="84" t="n">
        <x:v>19</x:v>
      </x:c>
      <x:c r="D2828" s="89" t="n">
        <x:v>45527</x:v>
      </x:c>
      <x:c r="E2828" s="84" t="n">
        <x:v>1.1</x:v>
      </x:c>
      <x:c r="F2828" s="84" t="str">
        <x:v>Normal</x:v>
      </x:c>
      <x:c r="G2828" s="93" t="n">
        <x:v>51.13</x:v>
      </x:c>
      <x:c r="H2828" s="85" t="str">
        <x:v>Diagnóstico e execução</x:v>
      </x:c>
    </x:row>
    <x:row r="2829">
      <x:c r="A2829" s="83" t="n">
        <x:v>2828</x:v>
      </x:c>
      <x:c r="B2829" s="84" t="n">
        <x:v>1648</x:v>
      </x:c>
      <x:c r="C2829" s="84" t="n">
        <x:v>17</x:v>
      </x:c>
      <x:c r="D2829" s="89" t="n">
        <x:v>45527</x:v>
      </x:c>
      <x:c r="E2829" s="84" t="n">
        <x:v>6.3</x:v>
      </x:c>
      <x:c r="F2829" s="84" t="str">
        <x:v>Normal</x:v>
      </x:c>
      <x:c r="G2829" s="93" t="n">
        <x:v>351.41</x:v>
      </x:c>
      <x:c r="H2829" s="85" t="str">
        <x:v>Diagnóstico e execução</x:v>
      </x:c>
    </x:row>
    <x:row r="2830">
      <x:c r="A2830" s="83" t="n">
        <x:v>2829</x:v>
      </x:c>
      <x:c r="B2830" s="84" t="n">
        <x:v>1648</x:v>
      </x:c>
      <x:c r="C2830" s="84" t="n">
        <x:v>11</x:v>
      </x:c>
      <x:c r="D2830" s="89" t="n">
        <x:v>45527</x:v>
      </x:c>
      <x:c r="E2830" s="84" t="n">
        <x:v>1.5</x:v>
      </x:c>
      <x:c r="F2830" s="84" t="str">
        <x:v>Normal</x:v>
      </x:c>
      <x:c r="G2830" s="93" t="n">
        <x:v>62.52</x:v>
      </x:c>
      <x:c r="H2830" s="85" t="str">
        <x:v>Diagnóstico e execução</x:v>
      </x:c>
    </x:row>
    <x:row r="2831">
      <x:c r="A2831" s="83" t="n">
        <x:v>2830</x:v>
      </x:c>
      <x:c r="B2831" s="84" t="n">
        <x:v>1649</x:v>
      </x:c>
      <x:c r="C2831" s="84" t="n">
        <x:v>35</x:v>
      </x:c>
      <x:c r="D2831" s="89" t="n">
        <x:v>45850</x:v>
      </x:c>
      <x:c r="E2831" s="84" t="n">
        <x:v>1.8</x:v>
      </x:c>
      <x:c r="F2831" s="84" t="str">
        <x:v>Normal</x:v>
      </x:c>
      <x:c r="G2831" s="93" t="n">
        <x:v>88.54</x:v>
      </x:c>
      <x:c r="H2831" s="85" t="str">
        <x:v>Diagnóstico e execução</x:v>
      </x:c>
    </x:row>
    <x:row r="2832">
      <x:c r="A2832" s="83" t="n">
        <x:v>2831</x:v>
      </x:c>
      <x:c r="B2832" s="84" t="n">
        <x:v>1649</x:v>
      </x:c>
      <x:c r="C2832" s="84" t="n">
        <x:v>35</x:v>
      </x:c>
      <x:c r="D2832" s="89" t="n">
        <x:v>45850</x:v>
      </x:c>
      <x:c r="E2832" s="84" t="n">
        <x:v>2.2</x:v>
      </x:c>
      <x:c r="F2832" s="84" t="str">
        <x:v>Normal</x:v>
      </x:c>
      <x:c r="G2832" s="93" t="n">
        <x:v>108.22</x:v>
      </x:c>
      <x:c r="H2832" s="85" t="str">
        <x:v>Diagnóstico e execução</x:v>
      </x:c>
    </x:row>
    <x:row r="2833">
      <x:c r="A2833" s="83" t="n">
        <x:v>2832</x:v>
      </x:c>
      <x:c r="B2833" s="84" t="n">
        <x:v>1650</x:v>
      </x:c>
      <x:c r="C2833" s="84" t="n">
        <x:v>6</x:v>
      </x:c>
      <x:c r="D2833" s="89" t="n">
        <x:v>45934</x:v>
      </x:c>
      <x:c r="E2833" s="84" t="n">
        <x:v>7.5</x:v>
      </x:c>
      <x:c r="F2833" s="84" t="str">
        <x:v>Normal</x:v>
      </x:c>
      <x:c r="G2833" s="93" t="n">
        <x:v>391.95</x:v>
      </x:c>
      <x:c r="H2833" s="85" t="str">
        <x:v>Diagnóstico e execução</x:v>
      </x:c>
    </x:row>
    <x:row r="2834">
      <x:c r="A2834" s="83" t="n">
        <x:v>2833</x:v>
      </x:c>
      <x:c r="B2834" s="84" t="n">
        <x:v>1650</x:v>
      </x:c>
      <x:c r="C2834" s="84" t="n">
        <x:v>14</x:v>
      </x:c>
      <x:c r="D2834" s="89" t="n">
        <x:v>45934</x:v>
      </x:c>
      <x:c r="E2834" s="84" t="n">
        <x:v>0.8</x:v>
      </x:c>
      <x:c r="F2834" s="84" t="str">
        <x:v>Normal</x:v>
      </x:c>
      <x:c r="G2834" s="93" t="n">
        <x:v>45.33</x:v>
      </x:c>
      <x:c r="H2834" s="85" t="str">
        <x:v>Diagnóstico e execução</x:v>
      </x:c>
    </x:row>
    <x:row r="2835">
      <x:c r="A2835" s="83" t="n">
        <x:v>2834</x:v>
      </x:c>
      <x:c r="B2835" s="84" t="n">
        <x:v>1652</x:v>
      </x:c>
      <x:c r="C2835" s="84" t="n">
        <x:v>12</x:v>
      </x:c>
      <x:c r="D2835" s="89" t="n">
        <x:v>45125</x:v>
      </x:c>
      <x:c r="E2835" s="84" t="n">
        <x:v>1.7</x:v>
      </x:c>
      <x:c r="F2835" s="84" t="str">
        <x:v>Normal</x:v>
      </x:c>
      <x:c r="G2835" s="93" t="n">
        <x:v>58.65</x:v>
      </x:c>
      <x:c r="H2835" s="85" t="str">
        <x:v>Diagnóstico e execução</x:v>
      </x:c>
    </x:row>
    <x:row r="2836">
      <x:c r="A2836" s="83" t="n">
        <x:v>2835</x:v>
      </x:c>
      <x:c r="B2836" s="84" t="n">
        <x:v>1652</x:v>
      </x:c>
      <x:c r="C2836" s="84" t="n">
        <x:v>39</x:v>
      </x:c>
      <x:c r="D2836" s="89" t="n">
        <x:v>45125</x:v>
      </x:c>
      <x:c r="E2836" s="84" t="n">
        <x:v>2</x:v>
      </x:c>
      <x:c r="F2836" s="84" t="str">
        <x:v>Normal</x:v>
      </x:c>
      <x:c r="G2836" s="93" t="n">
        <x:v>115.8</x:v>
      </x:c>
      <x:c r="H2836" s="85" t="str">
        <x:v>Diagnóstico e execução</x:v>
      </x:c>
    </x:row>
    <x:row r="2837">
      <x:c r="A2837" s="83" t="n">
        <x:v>2836</x:v>
      </x:c>
      <x:c r="B2837" s="84" t="n">
        <x:v>1652</x:v>
      </x:c>
      <x:c r="C2837" s="84" t="n">
        <x:v>26</x:v>
      </x:c>
      <x:c r="D2837" s="89" t="n">
        <x:v>45125</x:v>
      </x:c>
      <x:c r="E2837" s="84" t="n">
        <x:v>6.9</x:v>
      </x:c>
      <x:c r="F2837" s="84" t="str">
        <x:v>Normal</x:v>
      </x:c>
      <x:c r="G2837" s="93" t="n">
        <x:v>269.93</x:v>
      </x:c>
      <x:c r="H2837" s="85" t="str">
        <x:v>Diagnóstico e execução</x:v>
      </x:c>
    </x:row>
    <x:row r="2838">
      <x:c r="A2838" s="83" t="n">
        <x:v>2837</x:v>
      </x:c>
      <x:c r="B2838" s="84" t="n">
        <x:v>1653</x:v>
      </x:c>
      <x:c r="C2838" s="84" t="n">
        <x:v>16</x:v>
      </x:c>
      <x:c r="D2838" s="89" t="n">
        <x:v>45944</x:v>
      </x:c>
      <x:c r="E2838" s="84" t="n">
        <x:v>3.2</x:v>
      </x:c>
      <x:c r="F2838" s="84" t="str">
        <x:v>Normal</x:v>
      </x:c>
      <x:c r="G2838" s="93" t="n">
        <x:v>129.66</x:v>
      </x:c>
      <x:c r="H2838" s="85" t="str">
        <x:v>Diagnóstico e execução</x:v>
      </x:c>
    </x:row>
    <x:row r="2839">
      <x:c r="A2839" s="83" t="n">
        <x:v>2838</x:v>
      </x:c>
      <x:c r="B2839" s="84" t="n">
        <x:v>1653</x:v>
      </x:c>
      <x:c r="C2839" s="84" t="n">
        <x:v>44</x:v>
      </x:c>
      <x:c r="D2839" s="89" t="n">
        <x:v>45944</x:v>
      </x:c>
      <x:c r="E2839" s="84" t="n">
        <x:v>7.5</x:v>
      </x:c>
      <x:c r="F2839" s="84" t="str">
        <x:v>Normal</x:v>
      </x:c>
      <x:c r="G2839" s="93" t="n">
        <x:v>210.3</x:v>
      </x:c>
      <x:c r="H2839" s="85" t="str">
        <x:v>Diagnóstico e execução</x:v>
      </x:c>
    </x:row>
    <x:row r="2840">
      <x:c r="A2840" s="83" t="n">
        <x:v>2839</x:v>
      </x:c>
      <x:c r="B2840" s="84" t="n">
        <x:v>1654</x:v>
      </x:c>
      <x:c r="C2840" s="84" t="n">
        <x:v>36</x:v>
      </x:c>
      <x:c r="D2840" s="89" t="n">
        <x:v>45233</x:v>
      </x:c>
      <x:c r="E2840" s="84" t="n">
        <x:v>5.2</x:v>
      </x:c>
      <x:c r="F2840" s="84" t="str">
        <x:v>Normal</x:v>
      </x:c>
      <x:c r="G2840" s="93" t="n">
        <x:v>154.23</x:v>
      </x:c>
      <x:c r="H2840" s="85" t="str">
        <x:v>Diagnóstico e execução</x:v>
      </x:c>
    </x:row>
    <x:row r="2841">
      <x:c r="A2841" s="83" t="n">
        <x:v>2840</x:v>
      </x:c>
      <x:c r="B2841" s="84" t="n">
        <x:v>1654</x:v>
      </x:c>
      <x:c r="C2841" s="84" t="n">
        <x:v>42</x:v>
      </x:c>
      <x:c r="D2841" s="89" t="n">
        <x:v>45233</x:v>
      </x:c>
      <x:c r="E2841" s="84" t="n">
        <x:v>2.3</x:v>
      </x:c>
      <x:c r="F2841" s="84" t="str">
        <x:v>Normal</x:v>
      </x:c>
      <x:c r="G2841" s="93" t="n">
        <x:v>97.01</x:v>
      </x:c>
      <x:c r="H2841" s="85" t="str">
        <x:v>Diagnóstico e execução</x:v>
      </x:c>
    </x:row>
    <x:row r="2842">
      <x:c r="A2842" s="83" t="n">
        <x:v>2841</x:v>
      </x:c>
      <x:c r="B2842" s="84" t="n">
        <x:v>1656</x:v>
      </x:c>
      <x:c r="C2842" s="84" t="n">
        <x:v>32</x:v>
      </x:c>
      <x:c r="D2842" s="89" t="n">
        <x:v>45079</x:v>
      </x:c>
      <x:c r="E2842" s="84" t="n">
        <x:v>8</x:v>
      </x:c>
      <x:c r="F2842" s="84" t="str">
        <x:v>Normal</x:v>
      </x:c>
      <x:c r="G2842" s="93" t="n">
        <x:v>349.2</x:v>
      </x:c>
      <x:c r="H2842" s="85" t="str">
        <x:v>Diagnóstico e execução</x:v>
      </x:c>
    </x:row>
    <x:row r="2843">
      <x:c r="A2843" s="83" t="n">
        <x:v>2842</x:v>
      </x:c>
      <x:c r="B2843" s="84" t="n">
        <x:v>1656</x:v>
      </x:c>
      <x:c r="C2843" s="84" t="n">
        <x:v>22</x:v>
      </x:c>
      <x:c r="D2843" s="89" t="n">
        <x:v>45079</x:v>
      </x:c>
      <x:c r="E2843" s="84" t="n">
        <x:v>6.6</x:v>
      </x:c>
      <x:c r="F2843" s="84" t="str">
        <x:v>Normal</x:v>
      </x:c>
      <x:c r="G2843" s="93" t="n">
        <x:v>253.84</x:v>
      </x:c>
      <x:c r="H2843" s="85" t="str">
        <x:v>Diagnóstico e execução</x:v>
      </x:c>
    </x:row>
    <x:row r="2844">
      <x:c r="A2844" s="83" t="n">
        <x:v>2843</x:v>
      </x:c>
      <x:c r="B2844" s="84" t="n">
        <x:v>1657</x:v>
      </x:c>
      <x:c r="C2844" s="84" t="n">
        <x:v>9</x:v>
      </x:c>
      <x:c r="D2844" s="89" t="n">
        <x:v>45837</x:v>
      </x:c>
      <x:c r="E2844" s="84" t="n">
        <x:v>7.2</x:v>
      </x:c>
      <x:c r="F2844" s="84" t="str">
        <x:v>Normal</x:v>
      </x:c>
      <x:c r="G2844" s="93" t="n">
        <x:v>379.22</x:v>
      </x:c>
      <x:c r="H2844" s="85" t="str">
        <x:v>Diagnóstico e execução</x:v>
      </x:c>
    </x:row>
    <x:row r="2845">
      <x:c r="A2845" s="83" t="n">
        <x:v>2844</x:v>
      </x:c>
      <x:c r="B2845" s="84" t="n">
        <x:v>1660</x:v>
      </x:c>
      <x:c r="C2845" s="84" t="n">
        <x:v>43</x:v>
      </x:c>
      <x:c r="D2845" s="89" t="n">
        <x:v>45077</x:v>
      </x:c>
      <x:c r="E2845" s="84" t="n">
        <x:v>0.6</x:v>
      </x:c>
      <x:c r="F2845" s="84" t="str">
        <x:v>Normal</x:v>
      </x:c>
      <x:c r="G2845" s="93" t="n">
        <x:v>32.8</x:v>
      </x:c>
      <x:c r="H2845" s="85" t="str">
        <x:v>Diagnóstico e execução</x:v>
      </x:c>
    </x:row>
    <x:row r="2846">
      <x:c r="A2846" s="83" t="n">
        <x:v>2845</x:v>
      </x:c>
      <x:c r="B2846" s="84" t="n">
        <x:v>1661</x:v>
      </x:c>
      <x:c r="C2846" s="84" t="n">
        <x:v>11</x:v>
      </x:c>
      <x:c r="D2846" s="89" t="n">
        <x:v>45557</x:v>
      </x:c>
      <x:c r="E2846" s="84" t="n">
        <x:v>4.8</x:v>
      </x:c>
      <x:c r="F2846" s="84" t="str">
        <x:v>Normal</x:v>
      </x:c>
      <x:c r="G2846" s="93" t="n">
        <x:v>200.06</x:v>
      </x:c>
      <x:c r="H2846" s="85" t="str">
        <x:v>Diagnóstico e execução</x:v>
      </x:c>
    </x:row>
    <x:row r="2847">
      <x:c r="A2847" s="83" t="n">
        <x:v>2846</x:v>
      </x:c>
      <x:c r="B2847" s="84" t="n">
        <x:v>1661</x:v>
      </x:c>
      <x:c r="C2847" s="84" t="n">
        <x:v>26</x:v>
      </x:c>
      <x:c r="D2847" s="89" t="n">
        <x:v>45557</x:v>
      </x:c>
      <x:c r="E2847" s="84" t="n">
        <x:v>2</x:v>
      </x:c>
      <x:c r="F2847" s="84" t="str">
        <x:v>Normal</x:v>
      </x:c>
      <x:c r="G2847" s="93" t="n">
        <x:v>78.24</x:v>
      </x:c>
      <x:c r="H2847" s="85" t="str">
        <x:v>Diagnóstico e execução</x:v>
      </x:c>
    </x:row>
    <x:row r="2848">
      <x:c r="A2848" s="83" t="n">
        <x:v>2847</x:v>
      </x:c>
      <x:c r="B2848" s="84" t="n">
        <x:v>1661</x:v>
      </x:c>
      <x:c r="C2848" s="84" t="n">
        <x:v>27</x:v>
      </x:c>
      <x:c r="D2848" s="89" t="n">
        <x:v>45557</x:v>
      </x:c>
      <x:c r="E2848" s="84" t="n">
        <x:v>7</x:v>
      </x:c>
      <x:c r="F2848" s="84" t="str">
        <x:v>Normal</x:v>
      </x:c>
      <x:c r="G2848" s="93" t="n">
        <x:v>426.93</x:v>
      </x:c>
      <x:c r="H2848" s="85" t="str">
        <x:v>Diagnóstico e execução</x:v>
      </x:c>
    </x:row>
    <x:row r="2849">
      <x:c r="A2849" s="83" t="n">
        <x:v>2848</x:v>
      </x:c>
      <x:c r="B2849" s="84" t="n">
        <x:v>1662</x:v>
      </x:c>
      <x:c r="C2849" s="84" t="n">
        <x:v>16</x:v>
      </x:c>
      <x:c r="D2849" s="89" t="n">
        <x:v>45479</x:v>
      </x:c>
      <x:c r="E2849" s="84" t="n">
        <x:v>7.5</x:v>
      </x:c>
      <x:c r="F2849" s="84" t="str">
        <x:v>Normal</x:v>
      </x:c>
      <x:c r="G2849" s="93" t="n">
        <x:v>303.9</x:v>
      </x:c>
      <x:c r="H2849" s="85" t="str">
        <x:v>Diagnóstico e execução</x:v>
      </x:c>
    </x:row>
    <x:row r="2850">
      <x:c r="A2850" s="83" t="n">
        <x:v>2849</x:v>
      </x:c>
      <x:c r="B2850" s="84" t="n">
        <x:v>1662</x:v>
      </x:c>
      <x:c r="C2850" s="84" t="n">
        <x:v>22</x:v>
      </x:c>
      <x:c r="D2850" s="89" t="n">
        <x:v>45479</x:v>
      </x:c>
      <x:c r="E2850" s="84" t="n">
        <x:v>2.1</x:v>
      </x:c>
      <x:c r="F2850" s="84" t="str">
        <x:v>Normal</x:v>
      </x:c>
      <x:c r="G2850" s="93" t="n">
        <x:v>80.77</x:v>
      </x:c>
      <x:c r="H2850" s="85" t="str">
        <x:v>Diagnóstico e execução</x:v>
      </x:c>
    </x:row>
    <x:row r="2851">
      <x:c r="A2851" s="83" t="n">
        <x:v>2850</x:v>
      </x:c>
      <x:c r="B2851" s="84" t="n">
        <x:v>1662</x:v>
      </x:c>
      <x:c r="C2851" s="84" t="n">
        <x:v>30</x:v>
      </x:c>
      <x:c r="D2851" s="89" t="n">
        <x:v>45479</x:v>
      </x:c>
      <x:c r="E2851" s="84" t="n">
        <x:v>6.4</x:v>
      </x:c>
      <x:c r="F2851" s="84" t="str">
        <x:v>Normal</x:v>
      </x:c>
      <x:c r="G2851" s="93" t="n">
        <x:v>265.02</x:v>
      </x:c>
      <x:c r="H2851" s="85" t="str">
        <x:v>Diagnóstico e execução</x:v>
      </x:c>
    </x:row>
    <x:row r="2852">
      <x:c r="A2852" s="83" t="n">
        <x:v>2851</x:v>
      </x:c>
      <x:c r="B2852" s="84" t="n">
        <x:v>1664</x:v>
      </x:c>
      <x:c r="C2852" s="84" t="n">
        <x:v>1</x:v>
      </x:c>
      <x:c r="D2852" s="89" t="n">
        <x:v>45215</x:v>
      </x:c>
      <x:c r="E2852" s="84" t="n">
        <x:v>5.6</x:v>
      </x:c>
      <x:c r="F2852" s="84" t="str">
        <x:v>Normal</x:v>
      </x:c>
      <x:c r="G2852" s="93" t="n">
        <x:v>198.07</x:v>
      </x:c>
      <x:c r="H2852" s="85" t="str">
        <x:v>Diagnóstico e execução</x:v>
      </x:c>
    </x:row>
    <x:row r="2853">
      <x:c r="A2853" s="83" t="n">
        <x:v>2852</x:v>
      </x:c>
      <x:c r="B2853" s="84" t="n">
        <x:v>1664</x:v>
      </x:c>
      <x:c r="C2853" s="84" t="n">
        <x:v>19</x:v>
      </x:c>
      <x:c r="D2853" s="89" t="n">
        <x:v>45215</x:v>
      </x:c>
      <x:c r="E2853" s="84" t="n">
        <x:v>6</x:v>
      </x:c>
      <x:c r="F2853" s="84" t="str">
        <x:v>Normal</x:v>
      </x:c>
      <x:c r="G2853" s="93" t="n">
        <x:v>278.88</x:v>
      </x:c>
      <x:c r="H2853" s="85" t="str">
        <x:v>Diagnóstico e execução</x:v>
      </x:c>
    </x:row>
    <x:row r="2854">
      <x:c r="A2854" s="83" t="n">
        <x:v>2853</x:v>
      </x:c>
      <x:c r="B2854" s="84" t="n">
        <x:v>1665</x:v>
      </x:c>
      <x:c r="C2854" s="84" t="n">
        <x:v>4</x:v>
      </x:c>
      <x:c r="D2854" s="89" t="n">
        <x:v>45561</x:v>
      </x:c>
      <x:c r="E2854" s="84" t="n">
        <x:v>7.6</x:v>
      </x:c>
      <x:c r="F2854" s="84" t="str">
        <x:v>Normal</x:v>
      </x:c>
      <x:c r="G2854" s="93" t="n">
        <x:v>373.84</x:v>
      </x:c>
      <x:c r="H2854" s="85" t="str">
        <x:v>Diagnóstico e execução</x:v>
      </x:c>
    </x:row>
    <x:row r="2855">
      <x:c r="A2855" s="83" t="n">
        <x:v>2854</x:v>
      </x:c>
      <x:c r="B2855" s="84" t="n">
        <x:v>1665</x:v>
      </x:c>
      <x:c r="C2855" s="84" t="n">
        <x:v>44</x:v>
      </x:c>
      <x:c r="D2855" s="89" t="n">
        <x:v>45561</x:v>
      </x:c>
      <x:c r="E2855" s="84" t="n">
        <x:v>0.7</x:v>
      </x:c>
      <x:c r="F2855" s="84" t="str">
        <x:v>Normal</x:v>
      </x:c>
      <x:c r="G2855" s="93" t="n">
        <x:v>19.63</x:v>
      </x:c>
      <x:c r="H2855" s="85" t="str">
        <x:v>Diagnóstico e execução</x:v>
      </x:c>
    </x:row>
    <x:row r="2856">
      <x:c r="A2856" s="83" t="n">
        <x:v>2855</x:v>
      </x:c>
      <x:c r="B2856" s="84" t="n">
        <x:v>1666</x:v>
      </x:c>
      <x:c r="C2856" s="84" t="n">
        <x:v>32</x:v>
      </x:c>
      <x:c r="D2856" s="89" t="n">
        <x:v>45707</x:v>
      </x:c>
      <x:c r="E2856" s="84" t="n">
        <x:v>7.6</x:v>
      </x:c>
      <x:c r="F2856" s="84" t="str">
        <x:v>Normal</x:v>
      </x:c>
      <x:c r="G2856" s="93" t="n">
        <x:v>331.74</x:v>
      </x:c>
      <x:c r="H2856" s="85" t="str">
        <x:v>Diagnóstico e execução</x:v>
      </x:c>
    </x:row>
    <x:row r="2857">
      <x:c r="A2857" s="83" t="n">
        <x:v>2856</x:v>
      </x:c>
      <x:c r="B2857" s="84" t="n">
        <x:v>1667</x:v>
      </x:c>
      <x:c r="C2857" s="84" t="n">
        <x:v>45</x:v>
      </x:c>
      <x:c r="D2857" s="89" t="n">
        <x:v>45100</x:v>
      </x:c>
      <x:c r="E2857" s="84" t="n">
        <x:v>7.3</x:v>
      </x:c>
      <x:c r="F2857" s="84" t="str">
        <x:v>Normal</x:v>
      </x:c>
      <x:c r="G2857" s="93" t="n">
        <x:v>391.06</x:v>
      </x:c>
      <x:c r="H2857" s="85" t="str">
        <x:v>Diagnóstico e execução</x:v>
      </x:c>
    </x:row>
    <x:row r="2858">
      <x:c r="A2858" s="83" t="n">
        <x:v>2857</x:v>
      </x:c>
      <x:c r="B2858" s="84" t="n">
        <x:v>1669</x:v>
      </x:c>
      <x:c r="C2858" s="84" t="n">
        <x:v>23</x:v>
      </x:c>
      <x:c r="D2858" s="89" t="n">
        <x:v>45145</x:v>
      </x:c>
      <x:c r="E2858" s="84" t="n">
        <x:v>3.5</x:v>
      </x:c>
      <x:c r="F2858" s="84" t="str">
        <x:v>Normal</x:v>
      </x:c>
      <x:c r="G2858" s="93" t="n">
        <x:v>150.88</x:v>
      </x:c>
      <x:c r="H2858" s="85" t="str">
        <x:v>Diagnóstico e execução</x:v>
      </x:c>
    </x:row>
    <x:row r="2859">
      <x:c r="A2859" s="83" t="n">
        <x:v>2858</x:v>
      </x:c>
      <x:c r="B2859" s="84" t="n">
        <x:v>1670</x:v>
      </x:c>
      <x:c r="C2859" s="84" t="n">
        <x:v>3</x:v>
      </x:c>
      <x:c r="D2859" s="89" t="n">
        <x:v>45036</x:v>
      </x:c>
      <x:c r="E2859" s="84" t="n">
        <x:v>1.9</x:v>
      </x:c>
      <x:c r="F2859" s="84" t="str">
        <x:v>Normal</x:v>
      </x:c>
      <x:c r="G2859" s="93" t="n">
        <x:v>93.56</x:v>
      </x:c>
      <x:c r="H2859" s="85" t="str">
        <x:v>Diagnóstico e execução</x:v>
      </x:c>
    </x:row>
    <x:row r="2860">
      <x:c r="A2860" s="83" t="n">
        <x:v>2859</x:v>
      </x:c>
      <x:c r="B2860" s="84" t="n">
        <x:v>1671</x:v>
      </x:c>
      <x:c r="C2860" s="84" t="n">
        <x:v>27</x:v>
      </x:c>
      <x:c r="D2860" s="89" t="n">
        <x:v>45510</x:v>
      </x:c>
      <x:c r="E2860" s="84" t="n">
        <x:v>7.4</x:v>
      </x:c>
      <x:c r="F2860" s="84" t="str">
        <x:v>Normal</x:v>
      </x:c>
      <x:c r="G2860" s="93" t="n">
        <x:v>451.33</x:v>
      </x:c>
      <x:c r="H2860" s="85" t="str">
        <x:v>Diagnóstico e execução</x:v>
      </x:c>
    </x:row>
    <x:row r="2861">
      <x:c r="A2861" s="83" t="n">
        <x:v>2860</x:v>
      </x:c>
      <x:c r="B2861" s="84" t="n">
        <x:v>1671</x:v>
      </x:c>
      <x:c r="C2861" s="84" t="n">
        <x:v>31</x:v>
      </x:c>
      <x:c r="D2861" s="89" t="n">
        <x:v>45510</x:v>
      </x:c>
      <x:c r="E2861" s="84" t="n">
        <x:v>1.3</x:v>
      </x:c>
      <x:c r="F2861" s="84" t="str">
        <x:v>Normal</x:v>
      </x:c>
      <x:c r="G2861" s="93" t="n">
        <x:v>63.57</x:v>
      </x:c>
      <x:c r="H2861" s="85" t="str">
        <x:v>Diagnóstico e execução</x:v>
      </x:c>
    </x:row>
    <x:row r="2862">
      <x:c r="A2862" s="83" t="n">
        <x:v>2861</x:v>
      </x:c>
      <x:c r="B2862" s="84" t="n">
        <x:v>1672</x:v>
      </x:c>
      <x:c r="C2862" s="84" t="n">
        <x:v>16</x:v>
      </x:c>
      <x:c r="D2862" s="89" t="n">
        <x:v>45295</x:v>
      </x:c>
      <x:c r="E2862" s="84" t="n">
        <x:v>7</x:v>
      </x:c>
      <x:c r="F2862" s="84" t="str">
        <x:v>Normal</x:v>
      </x:c>
      <x:c r="G2862" s="93" t="n">
        <x:v>283.64</x:v>
      </x:c>
      <x:c r="H2862" s="85" t="str">
        <x:v>Diagnóstico e execução</x:v>
      </x:c>
    </x:row>
    <x:row r="2863">
      <x:c r="A2863" s="83" t="n">
        <x:v>2862</x:v>
      </x:c>
      <x:c r="B2863" s="84" t="n">
        <x:v>1672</x:v>
      </x:c>
      <x:c r="C2863" s="84" t="n">
        <x:v>26</x:v>
      </x:c>
      <x:c r="D2863" s="89" t="n">
        <x:v>45295</x:v>
      </x:c>
      <x:c r="E2863" s="84" t="n">
        <x:v>5.1</x:v>
      </x:c>
      <x:c r="F2863" s="84" t="str">
        <x:v>Normal</x:v>
      </x:c>
      <x:c r="G2863" s="93" t="n">
        <x:v>199.51</x:v>
      </x:c>
      <x:c r="H2863" s="85" t="str">
        <x:v>Diagnóstico e execução</x:v>
      </x:c>
    </x:row>
    <x:row r="2864">
      <x:c r="A2864" s="83" t="n">
        <x:v>2863</x:v>
      </x:c>
      <x:c r="B2864" s="84" t="n">
        <x:v>1673</x:v>
      </x:c>
      <x:c r="C2864" s="84" t="n">
        <x:v>30</x:v>
      </x:c>
      <x:c r="D2864" s="89" t="n">
        <x:v>45962</x:v>
      </x:c>
      <x:c r="E2864" s="84" t="n">
        <x:v>1.7</x:v>
      </x:c>
      <x:c r="F2864" s="84" t="str">
        <x:v>Normal</x:v>
      </x:c>
      <x:c r="G2864" s="93" t="n">
        <x:v>70.4</x:v>
      </x:c>
      <x:c r="H2864" s="85" t="str">
        <x:v>Diagnóstico e execução</x:v>
      </x:c>
    </x:row>
    <x:row r="2865">
      <x:c r="A2865" s="83" t="n">
        <x:v>2864</x:v>
      </x:c>
      <x:c r="B2865" s="84" t="n">
        <x:v>1674</x:v>
      </x:c>
      <x:c r="C2865" s="84" t="n">
        <x:v>39</x:v>
      </x:c>
      <x:c r="D2865" s="89" t="n">
        <x:v>45526</x:v>
      </x:c>
      <x:c r="E2865" s="84" t="n">
        <x:v>4.8</x:v>
      </x:c>
      <x:c r="F2865" s="84" t="str">
        <x:v>Normal</x:v>
      </x:c>
      <x:c r="G2865" s="93" t="n">
        <x:v>277.92</x:v>
      </x:c>
      <x:c r="H2865" s="85" t="str">
        <x:v>Diagnóstico e execução</x:v>
      </x:c>
    </x:row>
    <x:row r="2866">
      <x:c r="A2866" s="83" t="n">
        <x:v>2865</x:v>
      </x:c>
      <x:c r="B2866" s="84" t="n">
        <x:v>1675</x:v>
      </x:c>
      <x:c r="C2866" s="84" t="n">
        <x:v>7</x:v>
      </x:c>
      <x:c r="D2866" s="89" t="n">
        <x:v>45139</x:v>
      </x:c>
      <x:c r="E2866" s="84" t="n">
        <x:v>1.8</x:v>
      </x:c>
      <x:c r="F2866" s="84" t="str">
        <x:v>Normal</x:v>
      </x:c>
      <x:c r="G2866" s="93" t="n">
        <x:v>104.78</x:v>
      </x:c>
      <x:c r="H2866" s="85" t="str">
        <x:v>Diagnóstico e execução</x:v>
      </x:c>
    </x:row>
    <x:row r="2867">
      <x:c r="A2867" s="83" t="n">
        <x:v>2866</x:v>
      </x:c>
      <x:c r="B2867" s="84" t="n">
        <x:v>1676</x:v>
      </x:c>
      <x:c r="C2867" s="84" t="n">
        <x:v>34</x:v>
      </x:c>
      <x:c r="D2867" s="89" t="n">
        <x:v>45713</x:v>
      </x:c>
      <x:c r="E2867" s="84" t="n">
        <x:v>7.5</x:v>
      </x:c>
      <x:c r="F2867" s="84" t="str">
        <x:v>Normal</x:v>
      </x:c>
      <x:c r="G2867" s="93" t="n">
        <x:v>324.22</x:v>
      </x:c>
      <x:c r="H2867" s="85" t="str">
        <x:v>Diagnóstico e execução</x:v>
      </x:c>
    </x:row>
    <x:row r="2868">
      <x:c r="A2868" s="83" t="n">
        <x:v>2867</x:v>
      </x:c>
      <x:c r="B2868" s="84" t="n">
        <x:v>1678</x:v>
      </x:c>
      <x:c r="C2868" s="84" t="n">
        <x:v>16</x:v>
      </x:c>
      <x:c r="D2868" s="89" t="n">
        <x:v>45819</x:v>
      </x:c>
      <x:c r="E2868" s="84" t="n">
        <x:v>5.6</x:v>
      </x:c>
      <x:c r="F2868" s="84" t="str">
        <x:v>Normal</x:v>
      </x:c>
      <x:c r="G2868" s="93" t="n">
        <x:v>226.91</x:v>
      </x:c>
      <x:c r="H2868" s="85" t="str">
        <x:v>Diagnóstico e execução</x:v>
      </x:c>
    </x:row>
    <x:row r="2869">
      <x:c r="A2869" s="83" t="n">
        <x:v>2868</x:v>
      </x:c>
      <x:c r="B2869" s="84" t="n">
        <x:v>1679</x:v>
      </x:c>
      <x:c r="C2869" s="84" t="n">
        <x:v>21</x:v>
      </x:c>
      <x:c r="D2869" s="89" t="n">
        <x:v>45899</x:v>
      </x:c>
      <x:c r="E2869" s="84" t="n">
        <x:v>7.5</x:v>
      </x:c>
      <x:c r="F2869" s="84" t="str">
        <x:v>Normal</x:v>
      </x:c>
      <x:c r="G2869" s="93" t="n">
        <x:v>460.73</x:v>
      </x:c>
      <x:c r="H2869" s="85" t="str">
        <x:v>Diagnóstico e execução</x:v>
      </x:c>
    </x:row>
    <x:row r="2870">
      <x:c r="A2870" s="83" t="n">
        <x:v>2869</x:v>
      </x:c>
      <x:c r="B2870" s="84" t="n">
        <x:v>1680</x:v>
      </x:c>
      <x:c r="C2870" s="84" t="n">
        <x:v>16</x:v>
      </x:c>
      <x:c r="D2870" s="89" t="n">
        <x:v>45869</x:v>
      </x:c>
      <x:c r="E2870" s="84" t="n">
        <x:v>3.9</x:v>
      </x:c>
      <x:c r="F2870" s="84" t="str">
        <x:v>Normal</x:v>
      </x:c>
      <x:c r="G2870" s="93" t="n">
        <x:v>158.03</x:v>
      </x:c>
      <x:c r="H2870" s="85" t="str">
        <x:v>Diagnóstico e execução</x:v>
      </x:c>
    </x:row>
    <x:row r="2871">
      <x:c r="A2871" s="83" t="n">
        <x:v>2870</x:v>
      </x:c>
      <x:c r="B2871" s="84" t="n">
        <x:v>1680</x:v>
      </x:c>
      <x:c r="C2871" s="84" t="n">
        <x:v>2</x:v>
      </x:c>
      <x:c r="D2871" s="89" t="n">
        <x:v>45869</x:v>
      </x:c>
      <x:c r="E2871" s="84" t="n">
        <x:v>2.2</x:v>
      </x:c>
      <x:c r="F2871" s="84" t="str">
        <x:v>Normal</x:v>
      </x:c>
      <x:c r="G2871" s="93" t="n">
        <x:v>81.97</x:v>
      </x:c>
      <x:c r="H2871" s="85" t="str">
        <x:v>Diagnóstico e execução</x:v>
      </x:c>
    </x:row>
    <x:row r="2872">
      <x:c r="A2872" s="83" t="n">
        <x:v>2871</x:v>
      </x:c>
      <x:c r="B2872" s="84" t="n">
        <x:v>1680</x:v>
      </x:c>
      <x:c r="C2872" s="84" t="n">
        <x:v>39</x:v>
      </x:c>
      <x:c r="D2872" s="89" t="n">
        <x:v>45869</x:v>
      </x:c>
      <x:c r="E2872" s="84" t="n">
        <x:v>2.3</x:v>
      </x:c>
      <x:c r="F2872" s="84" t="str">
        <x:v>Normal</x:v>
      </x:c>
      <x:c r="G2872" s="93" t="n">
        <x:v>133.17</x:v>
      </x:c>
      <x:c r="H2872" s="85" t="str">
        <x:v>Diagnóstico e execução</x:v>
      </x:c>
    </x:row>
    <x:row r="2873">
      <x:c r="A2873" s="83" t="n">
        <x:v>2872</x:v>
      </x:c>
      <x:c r="B2873" s="84" t="n">
        <x:v>1681</x:v>
      </x:c>
      <x:c r="C2873" s="84" t="n">
        <x:v>27</x:v>
      </x:c>
      <x:c r="D2873" s="89" t="n">
        <x:v>45208</x:v>
      </x:c>
      <x:c r="E2873" s="84" t="n">
        <x:v>1.6</x:v>
      </x:c>
      <x:c r="F2873" s="84" t="str">
        <x:v>Normal</x:v>
      </x:c>
      <x:c r="G2873" s="93" t="n">
        <x:v>97.58</x:v>
      </x:c>
      <x:c r="H2873" s="85" t="str">
        <x:v>Diagnóstico e execução</x:v>
      </x:c>
    </x:row>
    <x:row r="2874">
      <x:c r="A2874" s="83" t="n">
        <x:v>2873</x:v>
      </x:c>
      <x:c r="B2874" s="84" t="n">
        <x:v>1681</x:v>
      </x:c>
      <x:c r="C2874" s="84" t="n">
        <x:v>16</x:v>
      </x:c>
      <x:c r="D2874" s="89" t="n">
        <x:v>45208</x:v>
      </x:c>
      <x:c r="E2874" s="84" t="n">
        <x:v>7.7</x:v>
      </x:c>
      <x:c r="F2874" s="84" t="str">
        <x:v>Normal</x:v>
      </x:c>
      <x:c r="G2874" s="93" t="n">
        <x:v>312</x:v>
      </x:c>
      <x:c r="H2874" s="85" t="str">
        <x:v>Diagnóstico e execução</x:v>
      </x:c>
    </x:row>
    <x:row r="2875">
      <x:c r="A2875" s="83" t="n">
        <x:v>2874</x:v>
      </x:c>
      <x:c r="B2875" s="84" t="n">
        <x:v>1683</x:v>
      </x:c>
      <x:c r="C2875" s="84" t="n">
        <x:v>40</x:v>
      </x:c>
      <x:c r="D2875" s="89" t="n">
        <x:v>46009</x:v>
      </x:c>
      <x:c r="E2875" s="84" t="n">
        <x:v>4.9</x:v>
      </x:c>
      <x:c r="F2875" s="84" t="str">
        <x:v>Normal</x:v>
      </x:c>
      <x:c r="G2875" s="93" t="n">
        <x:v>242.16</x:v>
      </x:c>
      <x:c r="H2875" s="85" t="str">
        <x:v>Diagnóstico e execução</x:v>
      </x:c>
    </x:row>
    <x:row r="2876">
      <x:c r="A2876" s="83" t="n">
        <x:v>2875</x:v>
      </x:c>
      <x:c r="B2876" s="84" t="n">
        <x:v>1683</x:v>
      </x:c>
      <x:c r="C2876" s="84" t="n">
        <x:v>27</x:v>
      </x:c>
      <x:c r="D2876" s="89" t="n">
        <x:v>46009</x:v>
      </x:c>
      <x:c r="E2876" s="84" t="n">
        <x:v>1.4</x:v>
      </x:c>
      <x:c r="F2876" s="84" t="str">
        <x:v>Normal</x:v>
      </x:c>
      <x:c r="G2876" s="93" t="n">
        <x:v>85.39</x:v>
      </x:c>
      <x:c r="H2876" s="85" t="str">
        <x:v>Diagnóstico e execução</x:v>
      </x:c>
    </x:row>
    <x:row r="2877">
      <x:c r="A2877" s="83" t="n">
        <x:v>2876</x:v>
      </x:c>
      <x:c r="B2877" s="84" t="n">
        <x:v>1684</x:v>
      </x:c>
      <x:c r="C2877" s="84" t="n">
        <x:v>40</x:v>
      </x:c>
      <x:c r="D2877" s="89" t="n">
        <x:v>45415</x:v>
      </x:c>
      <x:c r="E2877" s="84" t="n">
        <x:v>5.4</x:v>
      </x:c>
      <x:c r="F2877" s="84" t="str">
        <x:v>Normal</x:v>
      </x:c>
      <x:c r="G2877" s="93" t="n">
        <x:v>266.87</x:v>
      </x:c>
      <x:c r="H2877" s="85" t="str">
        <x:v>Diagnóstico e execução</x:v>
      </x:c>
    </x:row>
    <x:row r="2878">
      <x:c r="A2878" s="83" t="n">
        <x:v>2877</x:v>
      </x:c>
      <x:c r="B2878" s="84" t="n">
        <x:v>1684</x:v>
      </x:c>
      <x:c r="C2878" s="84" t="n">
        <x:v>31</x:v>
      </x:c>
      <x:c r="D2878" s="89" t="n">
        <x:v>45415</x:v>
      </x:c>
      <x:c r="E2878" s="84" t="n">
        <x:v>7.4</x:v>
      </x:c>
      <x:c r="F2878" s="84" t="str">
        <x:v>Normal</x:v>
      </x:c>
      <x:c r="G2878" s="93" t="n">
        <x:v>361.86</x:v>
      </x:c>
      <x:c r="H2878" s="85" t="str">
        <x:v>Diagnóstico e execução</x:v>
      </x:c>
    </x:row>
    <x:row r="2879">
      <x:c r="A2879" s="83" t="n">
        <x:v>2878</x:v>
      </x:c>
      <x:c r="B2879" s="84" t="n">
        <x:v>1685</x:v>
      </x:c>
      <x:c r="C2879" s="84" t="n">
        <x:v>23</x:v>
      </x:c>
      <x:c r="D2879" s="89" t="n">
        <x:v>45479</x:v>
      </x:c>
      <x:c r="E2879" s="84" t="n">
        <x:v>5.1</x:v>
      </x:c>
      <x:c r="F2879" s="84" t="str">
        <x:v>Normal</x:v>
      </x:c>
      <x:c r="G2879" s="93" t="n">
        <x:v>219.86</x:v>
      </x:c>
      <x:c r="H2879" s="85" t="str">
        <x:v>Diagnóstico e execução</x:v>
      </x:c>
    </x:row>
    <x:row r="2880">
      <x:c r="A2880" s="83" t="n">
        <x:v>2879</x:v>
      </x:c>
      <x:c r="B2880" s="84" t="n">
        <x:v>1687</x:v>
      </x:c>
      <x:c r="C2880" s="84" t="n">
        <x:v>38</x:v>
      </x:c>
      <x:c r="D2880" s="89" t="n">
        <x:v>45502</x:v>
      </x:c>
      <x:c r="E2880" s="84" t="n">
        <x:v>7.9</x:v>
      </x:c>
      <x:c r="F2880" s="84" t="str">
        <x:v>Normal</x:v>
      </x:c>
      <x:c r="G2880" s="93" t="n">
        <x:v>265.99</x:v>
      </x:c>
      <x:c r="H2880" s="85" t="str">
        <x:v>Diagnóstico e execução</x:v>
      </x:c>
    </x:row>
    <x:row r="2881">
      <x:c r="A2881" s="83" t="n">
        <x:v>2880</x:v>
      </x:c>
      <x:c r="B2881" s="84" t="n">
        <x:v>1688</x:v>
      </x:c>
      <x:c r="C2881" s="84" t="n">
        <x:v>36</x:v>
      </x:c>
      <x:c r="D2881" s="89" t="n">
        <x:v>45947</x:v>
      </x:c>
      <x:c r="E2881" s="84" t="n">
        <x:v>1.2</x:v>
      </x:c>
      <x:c r="F2881" s="84" t="str">
        <x:v>Normal</x:v>
      </x:c>
      <x:c r="G2881" s="93" t="n">
        <x:v>35.59</x:v>
      </x:c>
      <x:c r="H2881" s="85" t="str">
        <x:v>Diagnóstico e execução</x:v>
      </x:c>
    </x:row>
    <x:row r="2882">
      <x:c r="A2882" s="83" t="n">
        <x:v>2881</x:v>
      </x:c>
      <x:c r="B2882" s="84" t="n">
        <x:v>1688</x:v>
      </x:c>
      <x:c r="C2882" s="84" t="n">
        <x:v>26</x:v>
      </x:c>
      <x:c r="D2882" s="89" t="n">
        <x:v>45947</x:v>
      </x:c>
      <x:c r="E2882" s="84" t="n">
        <x:v>4.6</x:v>
      </x:c>
      <x:c r="F2882" s="84" t="str">
        <x:v>Normal</x:v>
      </x:c>
      <x:c r="G2882" s="93" t="n">
        <x:v>179.95</x:v>
      </x:c>
      <x:c r="H2882" s="85" t="str">
        <x:v>Diagnóstico e execução</x:v>
      </x:c>
    </x:row>
    <x:row r="2883">
      <x:c r="A2883" s="83" t="n">
        <x:v>2882</x:v>
      </x:c>
      <x:c r="B2883" s="84" t="n">
        <x:v>1688</x:v>
      </x:c>
      <x:c r="C2883" s="84" t="n">
        <x:v>36</x:v>
      </x:c>
      <x:c r="D2883" s="89" t="n">
        <x:v>45947</x:v>
      </x:c>
      <x:c r="E2883" s="84" t="n">
        <x:v>6.5</x:v>
      </x:c>
      <x:c r="F2883" s="84" t="str">
        <x:v>Normal</x:v>
      </x:c>
      <x:c r="G2883" s="93" t="n">
        <x:v>192.79</x:v>
      </x:c>
      <x:c r="H2883" s="85" t="str">
        <x:v>Diagnóstico e execução</x:v>
      </x:c>
    </x:row>
    <x:row r="2884">
      <x:c r="A2884" s="83" t="n">
        <x:v>2883</x:v>
      </x:c>
      <x:c r="B2884" s="84" t="n">
        <x:v>1689</x:v>
      </x:c>
      <x:c r="C2884" s="84" t="n">
        <x:v>40</x:v>
      </x:c>
      <x:c r="D2884" s="89" t="n">
        <x:v>45265</x:v>
      </x:c>
      <x:c r="E2884" s="84" t="n">
        <x:v>7</x:v>
      </x:c>
      <x:c r="F2884" s="84" t="str">
        <x:v>Normal</x:v>
      </x:c>
      <x:c r="G2884" s="93" t="n">
        <x:v>345.94</x:v>
      </x:c>
      <x:c r="H2884" s="85" t="str">
        <x:v>Diagnóstico e execução</x:v>
      </x:c>
    </x:row>
    <x:row r="2885">
      <x:c r="A2885" s="83" t="n">
        <x:v>2884</x:v>
      </x:c>
      <x:c r="B2885" s="84" t="n">
        <x:v>1690</x:v>
      </x:c>
      <x:c r="C2885" s="84" t="n">
        <x:v>27</x:v>
      </x:c>
      <x:c r="D2885" s="89" t="n">
        <x:v>45706</x:v>
      </x:c>
      <x:c r="E2885" s="84" t="n">
        <x:v>6.7</x:v>
      </x:c>
      <x:c r="F2885" s="84" t="str">
        <x:v>Normal</x:v>
      </x:c>
      <x:c r="G2885" s="93" t="n">
        <x:v>408.63</x:v>
      </x:c>
      <x:c r="H2885" s="85" t="str">
        <x:v>Diagnóstico e execução</x:v>
      </x:c>
    </x:row>
    <x:row r="2886">
      <x:c r="A2886" s="83" t="n">
        <x:v>2885</x:v>
      </x:c>
      <x:c r="B2886" s="84" t="n">
        <x:v>1691</x:v>
      </x:c>
      <x:c r="C2886" s="84" t="n">
        <x:v>37</x:v>
      </x:c>
      <x:c r="D2886" s="89" t="n">
        <x:v>45968</x:v>
      </x:c>
      <x:c r="E2886" s="84" t="n">
        <x:v>4.1</x:v>
      </x:c>
      <x:c r="F2886" s="84" t="str">
        <x:v>Normal</x:v>
      </x:c>
      <x:c r="G2886" s="93" t="n">
        <x:v>241.78</x:v>
      </x:c>
      <x:c r="H2886" s="85" t="str">
        <x:v>Diagnóstico e execução</x:v>
      </x:c>
    </x:row>
    <x:row r="2887">
      <x:c r="A2887" s="83" t="n">
        <x:v>2886</x:v>
      </x:c>
      <x:c r="B2887" s="84" t="n">
        <x:v>1691</x:v>
      </x:c>
      <x:c r="C2887" s="84" t="n">
        <x:v>24</x:v>
      </x:c>
      <x:c r="D2887" s="89" t="n">
        <x:v>45968</x:v>
      </x:c>
      <x:c r="E2887" s="84" t="n">
        <x:v>3</x:v>
      </x:c>
      <x:c r="F2887" s="84" t="str">
        <x:v>Normal</x:v>
      </x:c>
      <x:c r="G2887" s="93" t="n">
        <x:v>177.72</x:v>
      </x:c>
      <x:c r="H2887" s="85" t="str">
        <x:v>Diagnóstico e execução</x:v>
      </x:c>
    </x:row>
    <x:row r="2888">
      <x:c r="A2888" s="83" t="n">
        <x:v>2887</x:v>
      </x:c>
      <x:c r="B2888" s="84" t="n">
        <x:v>1691</x:v>
      </x:c>
      <x:c r="C2888" s="84" t="n">
        <x:v>19</x:v>
      </x:c>
      <x:c r="D2888" s="89" t="n">
        <x:v>45968</x:v>
      </x:c>
      <x:c r="E2888" s="84" t="n">
        <x:v>2</x:v>
      </x:c>
      <x:c r="F2888" s="84" t="str">
        <x:v>Normal</x:v>
      </x:c>
      <x:c r="G2888" s="93" t="n">
        <x:v>92.96</x:v>
      </x:c>
      <x:c r="H2888" s="85" t="str">
        <x:v>Diagnóstico e execução</x:v>
      </x:c>
    </x:row>
    <x:row r="2889">
      <x:c r="A2889" s="83" t="n">
        <x:v>2888</x:v>
      </x:c>
      <x:c r="B2889" s="84" t="n">
        <x:v>1694</x:v>
      </x:c>
      <x:c r="C2889" s="84" t="n">
        <x:v>42</x:v>
      </x:c>
      <x:c r="D2889" s="89" t="n">
        <x:v>45217</x:v>
      </x:c>
      <x:c r="E2889" s="84" t="n">
        <x:v>5.4</x:v>
      </x:c>
      <x:c r="F2889" s="84" t="str">
        <x:v>Normal</x:v>
      </x:c>
      <x:c r="G2889" s="93" t="n">
        <x:v>227.77</x:v>
      </x:c>
      <x:c r="H2889" s="85" t="str">
        <x:v>Diagnóstico e execução</x:v>
      </x:c>
    </x:row>
    <x:row r="2890">
      <x:c r="A2890" s="83" t="n">
        <x:v>2889</x:v>
      </x:c>
      <x:c r="B2890" s="84" t="n">
        <x:v>1694</x:v>
      </x:c>
      <x:c r="C2890" s="84" t="n">
        <x:v>37</x:v>
      </x:c>
      <x:c r="D2890" s="89" t="n">
        <x:v>45217</x:v>
      </x:c>
      <x:c r="E2890" s="84" t="n">
        <x:v>2</x:v>
      </x:c>
      <x:c r="F2890" s="84" t="str">
        <x:v>Normal</x:v>
      </x:c>
      <x:c r="G2890" s="93" t="n">
        <x:v>117.94</x:v>
      </x:c>
      <x:c r="H2890" s="85" t="str">
        <x:v>Diagnóstico e execução</x:v>
      </x:c>
    </x:row>
    <x:row r="2891">
      <x:c r="A2891" s="83" t="n">
        <x:v>2890</x:v>
      </x:c>
      <x:c r="B2891" s="84" t="n">
        <x:v>1697</x:v>
      </x:c>
      <x:c r="C2891" s="84" t="n">
        <x:v>37</x:v>
      </x:c>
      <x:c r="D2891" s="89" t="n">
        <x:v>45338</x:v>
      </x:c>
      <x:c r="E2891" s="84" t="n">
        <x:v>7.3</x:v>
      </x:c>
      <x:c r="F2891" s="84" t="str">
        <x:v>Normal</x:v>
      </x:c>
      <x:c r="G2891" s="93" t="n">
        <x:v>430.48</x:v>
      </x:c>
      <x:c r="H2891" s="85" t="str">
        <x:v>Diagnóstico e execução</x:v>
      </x:c>
    </x:row>
    <x:row r="2892">
      <x:c r="A2892" s="83" t="n">
        <x:v>2891</x:v>
      </x:c>
      <x:c r="B2892" s="84" t="n">
        <x:v>1697</x:v>
      </x:c>
      <x:c r="C2892" s="84" t="n">
        <x:v>9</x:v>
      </x:c>
      <x:c r="D2892" s="89" t="n">
        <x:v>45338</x:v>
      </x:c>
      <x:c r="E2892" s="84" t="n">
        <x:v>5.7</x:v>
      </x:c>
      <x:c r="F2892" s="84" t="str">
        <x:v>Normal</x:v>
      </x:c>
      <x:c r="G2892" s="93" t="n">
        <x:v>300.22</x:v>
      </x:c>
      <x:c r="H2892" s="85" t="str">
        <x:v>Diagnóstico e execução</x:v>
      </x:c>
    </x:row>
    <x:row r="2893">
      <x:c r="A2893" s="83" t="n">
        <x:v>2892</x:v>
      </x:c>
      <x:c r="B2893" s="84" t="n">
        <x:v>1698</x:v>
      </x:c>
      <x:c r="C2893" s="84" t="n">
        <x:v>45</x:v>
      </x:c>
      <x:c r="D2893" s="89" t="n">
        <x:v>45801</x:v>
      </x:c>
      <x:c r="E2893" s="84" t="n">
        <x:v>2.4</x:v>
      </x:c>
      <x:c r="F2893" s="84" t="str">
        <x:v>Normal</x:v>
      </x:c>
      <x:c r="G2893" s="93" t="n">
        <x:v>128.57</x:v>
      </x:c>
      <x:c r="H2893" s="85" t="str">
        <x:v>Diagnóstico e execução</x:v>
      </x:c>
    </x:row>
    <x:row r="2894">
      <x:c r="A2894" s="83" t="n">
        <x:v>2893</x:v>
      </x:c>
      <x:c r="B2894" s="84" t="n">
        <x:v>1699</x:v>
      </x:c>
      <x:c r="C2894" s="84" t="n">
        <x:v>3</x:v>
      </x:c>
      <x:c r="D2894" s="89" t="n">
        <x:v>44982</x:v>
      </x:c>
      <x:c r="E2894" s="84" t="n">
        <x:v>5.5</x:v>
      </x:c>
      <x:c r="F2894" s="84" t="str">
        <x:v>Normal</x:v>
      </x:c>
      <x:c r="G2894" s="93" t="n">
        <x:v>270.82</x:v>
      </x:c>
      <x:c r="H2894" s="85" t="str">
        <x:v>Diagnóstico e execução</x:v>
      </x:c>
    </x:row>
    <x:row r="2895">
      <x:c r="A2895" s="83" t="n">
        <x:v>2894</x:v>
      </x:c>
      <x:c r="B2895" s="84" t="n">
        <x:v>1699</x:v>
      </x:c>
      <x:c r="C2895" s="84" t="n">
        <x:v>15</x:v>
      </x:c>
      <x:c r="D2895" s="89" t="n">
        <x:v>44982</x:v>
      </x:c>
      <x:c r="E2895" s="84" t="n">
        <x:v>0.8</x:v>
      </x:c>
      <x:c r="F2895" s="84" t="str">
        <x:v>Normal</x:v>
      </x:c>
      <x:c r="G2895" s="93" t="n">
        <x:v>24.19</x:v>
      </x:c>
      <x:c r="H2895" s="85" t="str">
        <x:v>Diagnóstico e execução</x:v>
      </x:c>
    </x:row>
    <x:row r="2896">
      <x:c r="A2896" s="83" t="n">
        <x:v>2895</x:v>
      </x:c>
      <x:c r="B2896" s="84" t="n">
        <x:v>1700</x:v>
      </x:c>
      <x:c r="C2896" s="84" t="n">
        <x:v>18</x:v>
      </x:c>
      <x:c r="D2896" s="89" t="n">
        <x:v>45927</x:v>
      </x:c>
      <x:c r="E2896" s="84" t="n">
        <x:v>5.3</x:v>
      </x:c>
      <x:c r="F2896" s="84" t="str">
        <x:v>Normal</x:v>
      </x:c>
      <x:c r="G2896" s="93" t="n">
        <x:v>334.38</x:v>
      </x:c>
      <x:c r="H2896" s="85" t="str">
        <x:v>Diagnóstico e execução</x:v>
      </x:c>
    </x:row>
    <x:row r="2897">
      <x:c r="A2897" s="83" t="n">
        <x:v>2896</x:v>
      </x:c>
      <x:c r="B2897" s="84" t="n">
        <x:v>1700</x:v>
      </x:c>
      <x:c r="C2897" s="84" t="n">
        <x:v>43</x:v>
      </x:c>
      <x:c r="D2897" s="89" t="n">
        <x:v>45927</x:v>
      </x:c>
      <x:c r="E2897" s="84" t="n">
        <x:v>7.1</x:v>
      </x:c>
      <x:c r="F2897" s="84" t="str">
        <x:v>Normal</x:v>
      </x:c>
      <x:c r="G2897" s="93" t="n">
        <x:v>388.09</x:v>
      </x:c>
      <x:c r="H2897" s="85" t="str">
        <x:v>Diagnóstico e execução</x:v>
      </x:c>
    </x:row>
    <x:row r="2898">
      <x:c r="A2898" s="83" t="n">
        <x:v>2897</x:v>
      </x:c>
      <x:c r="B2898" s="84" t="n">
        <x:v>1700</x:v>
      </x:c>
      <x:c r="C2898" s="84" t="n">
        <x:v>40</x:v>
      </x:c>
      <x:c r="D2898" s="89" t="n">
        <x:v>45927</x:v>
      </x:c>
      <x:c r="E2898" s="84" t="n">
        <x:v>4.3</x:v>
      </x:c>
      <x:c r="F2898" s="84" t="str">
        <x:v>Normal</x:v>
      </x:c>
      <x:c r="G2898" s="93" t="n">
        <x:v>212.51</x:v>
      </x:c>
      <x:c r="H2898" s="85" t="str">
        <x:v>Diagnóstico e execução</x:v>
      </x:c>
    </x:row>
    <x:row r="2899">
      <x:c r="A2899" s="83" t="n">
        <x:v>2898</x:v>
      </x:c>
      <x:c r="B2899" s="84" t="n">
        <x:v>1701</x:v>
      </x:c>
      <x:c r="C2899" s="84" t="n">
        <x:v>37</x:v>
      </x:c>
      <x:c r="D2899" s="89" t="n">
        <x:v>45358</x:v>
      </x:c>
      <x:c r="E2899" s="84" t="n">
        <x:v>5</x:v>
      </x:c>
      <x:c r="F2899" s="84" t="str">
        <x:v>Normal</x:v>
      </x:c>
      <x:c r="G2899" s="93" t="n">
        <x:v>294.85</x:v>
      </x:c>
      <x:c r="H2899" s="85" t="str">
        <x:v>Diagnóstico e execução</x:v>
      </x:c>
    </x:row>
    <x:row r="2900">
      <x:c r="A2900" s="83" t="n">
        <x:v>2899</x:v>
      </x:c>
      <x:c r="B2900" s="84" t="n">
        <x:v>1701</x:v>
      </x:c>
      <x:c r="C2900" s="84" t="n">
        <x:v>16</x:v>
      </x:c>
      <x:c r="D2900" s="89" t="n">
        <x:v>45358</x:v>
      </x:c>
      <x:c r="E2900" s="84" t="n">
        <x:v>5.9</x:v>
      </x:c>
      <x:c r="F2900" s="84" t="str">
        <x:v>Normal</x:v>
      </x:c>
      <x:c r="G2900" s="93" t="n">
        <x:v>239.07</x:v>
      </x:c>
      <x:c r="H2900" s="85" t="str">
        <x:v>Diagnóstico e execução</x:v>
      </x:c>
    </x:row>
    <x:row r="2901">
      <x:c r="A2901" s="83" t="n">
        <x:v>2900</x:v>
      </x:c>
      <x:c r="B2901" s="84" t="n">
        <x:v>1702</x:v>
      </x:c>
      <x:c r="C2901" s="84" t="n">
        <x:v>10</x:v>
      </x:c>
      <x:c r="D2901" s="89" t="n">
        <x:v>45858</x:v>
      </x:c>
      <x:c r="E2901" s="84" t="n">
        <x:v>3.3</x:v>
      </x:c>
      <x:c r="F2901" s="84" t="str">
        <x:v>Normal</x:v>
      </x:c>
      <x:c r="G2901" s="93" t="n">
        <x:v>97.98</x:v>
      </x:c>
      <x:c r="H2901" s="85" t="str">
        <x:v>Diagnóstico e execução</x:v>
      </x:c>
    </x:row>
    <x:row r="2902">
      <x:c r="A2902" s="83" t="n">
        <x:v>2901</x:v>
      </x:c>
      <x:c r="B2902" s="84" t="n">
        <x:v>1702</x:v>
      </x:c>
      <x:c r="C2902" s="84" t="n">
        <x:v>1</x:v>
      </x:c>
      <x:c r="D2902" s="89" t="n">
        <x:v>45858</x:v>
      </x:c>
      <x:c r="E2902" s="84" t="n">
        <x:v>3.1</x:v>
      </x:c>
      <x:c r="F2902" s="84" t="str">
        <x:v>Normal</x:v>
      </x:c>
      <x:c r="G2902" s="93" t="n">
        <x:v>109.65</x:v>
      </x:c>
      <x:c r="H2902" s="85" t="str">
        <x:v>Diagnóstico e execução</x:v>
      </x:c>
    </x:row>
    <x:row r="2903">
      <x:c r="A2903" s="83" t="n">
        <x:v>2902</x:v>
      </x:c>
      <x:c r="B2903" s="84" t="n">
        <x:v>1702</x:v>
      </x:c>
      <x:c r="C2903" s="84" t="n">
        <x:v>6</x:v>
      </x:c>
      <x:c r="D2903" s="89" t="n">
        <x:v>45858</x:v>
      </x:c>
      <x:c r="E2903" s="84" t="n">
        <x:v>3.7</x:v>
      </x:c>
      <x:c r="F2903" s="84" t="str">
        <x:v>Normal</x:v>
      </x:c>
      <x:c r="G2903" s="93" t="n">
        <x:v>193.36</x:v>
      </x:c>
      <x:c r="H2903" s="85" t="str">
        <x:v>Diagnóstico e execução</x:v>
      </x:c>
    </x:row>
    <x:row r="2904">
      <x:c r="A2904" s="83" t="n">
        <x:v>2903</x:v>
      </x:c>
      <x:c r="B2904" s="84" t="n">
        <x:v>1703</x:v>
      </x:c>
      <x:c r="C2904" s="84" t="n">
        <x:v>3</x:v>
      </x:c>
      <x:c r="D2904" s="89" t="n">
        <x:v>45928</x:v>
      </x:c>
      <x:c r="E2904" s="84" t="n">
        <x:v>0.7</x:v>
      </x:c>
      <x:c r="F2904" s="84" t="str">
        <x:v>Normal</x:v>
      </x:c>
      <x:c r="G2904" s="93" t="n">
        <x:v>34.47</x:v>
      </x:c>
      <x:c r="H2904" s="85" t="str">
        <x:v>Diagnóstico e execução</x:v>
      </x:c>
    </x:row>
    <x:row r="2905">
      <x:c r="A2905" s="83" t="n">
        <x:v>2904</x:v>
      </x:c>
      <x:c r="B2905" s="84" t="n">
        <x:v>1703</x:v>
      </x:c>
      <x:c r="C2905" s="84" t="n">
        <x:v>22</x:v>
      </x:c>
      <x:c r="D2905" s="89" t="n">
        <x:v>45928</x:v>
      </x:c>
      <x:c r="E2905" s="84" t="n">
        <x:v>3.1</x:v>
      </x:c>
      <x:c r="F2905" s="84" t="str">
        <x:v>Normal</x:v>
      </x:c>
      <x:c r="G2905" s="93" t="n">
        <x:v>119.23</x:v>
      </x:c>
      <x:c r="H2905" s="85" t="str">
        <x:v>Diagnóstico e execução</x:v>
      </x:c>
    </x:row>
    <x:row r="2906">
      <x:c r="A2906" s="83" t="n">
        <x:v>2905</x:v>
      </x:c>
      <x:c r="B2906" s="84" t="n">
        <x:v>1703</x:v>
      </x:c>
      <x:c r="C2906" s="84" t="n">
        <x:v>13</x:v>
      </x:c>
      <x:c r="D2906" s="89" t="n">
        <x:v>45928</x:v>
      </x:c>
      <x:c r="E2906" s="84" t="n">
        <x:v>6.9</x:v>
      </x:c>
      <x:c r="F2906" s="84" t="str">
        <x:v>Normal</x:v>
      </x:c>
      <x:c r="G2906" s="93" t="n">
        <x:v>233.77</x:v>
      </x:c>
      <x:c r="H2906" s="85" t="str">
        <x:v>Diagnóstico e execução</x:v>
      </x:c>
    </x:row>
    <x:row r="2907">
      <x:c r="A2907" s="83" t="n">
        <x:v>2906</x:v>
      </x:c>
      <x:c r="B2907" s="84" t="n">
        <x:v>1704</x:v>
      </x:c>
      <x:c r="C2907" s="84" t="n">
        <x:v>32</x:v>
      </x:c>
      <x:c r="D2907" s="89" t="n">
        <x:v>44935</x:v>
      </x:c>
      <x:c r="E2907" s="84" t="n">
        <x:v>6.4</x:v>
      </x:c>
      <x:c r="F2907" s="84" t="str">
        <x:v>Normal</x:v>
      </x:c>
      <x:c r="G2907" s="93" t="n">
        <x:v>279.36</x:v>
      </x:c>
      <x:c r="H2907" s="85" t="str">
        <x:v>Diagnóstico e execução</x:v>
      </x:c>
    </x:row>
    <x:row r="2908">
      <x:c r="A2908" s="83" t="n">
        <x:v>2907</x:v>
      </x:c>
      <x:c r="B2908" s="84" t="n">
        <x:v>1704</x:v>
      </x:c>
      <x:c r="C2908" s="84" t="n">
        <x:v>10</x:v>
      </x:c>
      <x:c r="D2908" s="89" t="n">
        <x:v>44935</x:v>
      </x:c>
      <x:c r="E2908" s="84" t="n">
        <x:v>4.3</x:v>
      </x:c>
      <x:c r="F2908" s="84" t="str">
        <x:v>Normal</x:v>
      </x:c>
      <x:c r="G2908" s="93" t="n">
        <x:v>127.67</x:v>
      </x:c>
      <x:c r="H2908" s="85" t="str">
        <x:v>Diagnóstico e execução</x:v>
      </x:c>
    </x:row>
    <x:row r="2909">
      <x:c r="A2909" s="83" t="n">
        <x:v>2908</x:v>
      </x:c>
      <x:c r="B2909" s="84" t="n">
        <x:v>1704</x:v>
      </x:c>
      <x:c r="C2909" s="84" t="n">
        <x:v>38</x:v>
      </x:c>
      <x:c r="D2909" s="89" t="n">
        <x:v>44935</x:v>
      </x:c>
      <x:c r="E2909" s="84" t="n">
        <x:v>7.2</x:v>
      </x:c>
      <x:c r="F2909" s="84" t="str">
        <x:v>Normal</x:v>
      </x:c>
      <x:c r="G2909" s="93" t="n">
        <x:v>242.42</x:v>
      </x:c>
      <x:c r="H2909" s="85" t="str">
        <x:v>Diagnóstico e execução</x:v>
      </x:c>
    </x:row>
    <x:row r="2910">
      <x:c r="A2910" s="83" t="n">
        <x:v>2909</x:v>
      </x:c>
      <x:c r="B2910" s="84" t="n">
        <x:v>1705</x:v>
      </x:c>
      <x:c r="C2910" s="84" t="n">
        <x:v>28</x:v>
      </x:c>
      <x:c r="D2910" s="89" t="n">
        <x:v>45401</x:v>
      </x:c>
      <x:c r="E2910" s="84" t="n">
        <x:v>4.8</x:v>
      </x:c>
      <x:c r="F2910" s="84" t="str">
        <x:v>Normal</x:v>
      </x:c>
      <x:c r="G2910" s="93" t="n">
        <x:v>180.58</x:v>
      </x:c>
      <x:c r="H2910" s="85" t="str">
        <x:v>Diagnóstico e execução</x:v>
      </x:c>
    </x:row>
    <x:row r="2911">
      <x:c r="A2911" s="83" t="n">
        <x:v>2910</x:v>
      </x:c>
      <x:c r="B2911" s="84" t="n">
        <x:v>1706</x:v>
      </x:c>
      <x:c r="C2911" s="84" t="n">
        <x:v>19</x:v>
      </x:c>
      <x:c r="D2911" s="89" t="n">
        <x:v>45378</x:v>
      </x:c>
      <x:c r="E2911" s="84" t="n">
        <x:v>3.2</x:v>
      </x:c>
      <x:c r="F2911" s="84" t="str">
        <x:v>Normal</x:v>
      </x:c>
      <x:c r="G2911" s="93" t="n">
        <x:v>148.74</x:v>
      </x:c>
      <x:c r="H2911" s="85" t="str">
        <x:v>Diagnóstico e execução</x:v>
      </x:c>
    </x:row>
    <x:row r="2912">
      <x:c r="A2912" s="83" t="n">
        <x:v>2911</x:v>
      </x:c>
      <x:c r="B2912" s="84" t="n">
        <x:v>1706</x:v>
      </x:c>
      <x:c r="C2912" s="84" t="n">
        <x:v>19</x:v>
      </x:c>
      <x:c r="D2912" s="89" t="n">
        <x:v>45378</x:v>
      </x:c>
      <x:c r="E2912" s="84" t="n">
        <x:v>6.9</x:v>
      </x:c>
      <x:c r="F2912" s="84" t="str">
        <x:v>Normal</x:v>
      </x:c>
      <x:c r="G2912" s="93" t="n">
        <x:v>320.71</x:v>
      </x:c>
      <x:c r="H2912" s="85" t="str">
        <x:v>Diagnóstico e execução</x:v>
      </x:c>
    </x:row>
    <x:row r="2913">
      <x:c r="A2913" s="83" t="n">
        <x:v>2912</x:v>
      </x:c>
      <x:c r="B2913" s="84" t="n">
        <x:v>1706</x:v>
      </x:c>
      <x:c r="C2913" s="84" t="n">
        <x:v>11</x:v>
      </x:c>
      <x:c r="D2913" s="89" t="n">
        <x:v>45378</x:v>
      </x:c>
      <x:c r="E2913" s="84" t="n">
        <x:v>1.4</x:v>
      </x:c>
      <x:c r="F2913" s="84" t="str">
        <x:v>Normal</x:v>
      </x:c>
      <x:c r="G2913" s="93" t="n">
        <x:v>58.35</x:v>
      </x:c>
      <x:c r="H2913" s="85" t="str">
        <x:v>Diagnóstico e execução</x:v>
      </x:c>
    </x:row>
    <x:row r="2914">
      <x:c r="A2914" s="83" t="n">
        <x:v>2913</x:v>
      </x:c>
      <x:c r="B2914" s="84" t="n">
        <x:v>1707</x:v>
      </x:c>
      <x:c r="C2914" s="84" t="n">
        <x:v>10</x:v>
      </x:c>
      <x:c r="D2914" s="89" t="n">
        <x:v>45561</x:v>
      </x:c>
      <x:c r="E2914" s="84" t="n">
        <x:v>5.9</x:v>
      </x:c>
      <x:c r="F2914" s="84" t="str">
        <x:v>Normal</x:v>
      </x:c>
      <x:c r="G2914" s="93" t="n">
        <x:v>175.17</x:v>
      </x:c>
      <x:c r="H2914" s="85" t="str">
        <x:v>Diagnóstico e execução</x:v>
      </x:c>
    </x:row>
    <x:row r="2915">
      <x:c r="A2915" s="83" t="n">
        <x:v>2914</x:v>
      </x:c>
      <x:c r="B2915" s="84" t="n">
        <x:v>1707</x:v>
      </x:c>
      <x:c r="C2915" s="84" t="n">
        <x:v>22</x:v>
      </x:c>
      <x:c r="D2915" s="89" t="n">
        <x:v>45561</x:v>
      </x:c>
      <x:c r="E2915" s="84" t="n">
        <x:v>4.4</x:v>
      </x:c>
      <x:c r="F2915" s="84" t="str">
        <x:v>Normal</x:v>
      </x:c>
      <x:c r="G2915" s="93" t="n">
        <x:v>169.22</x:v>
      </x:c>
      <x:c r="H2915" s="85" t="str">
        <x:v>Diagnóstico e execução</x:v>
      </x:c>
    </x:row>
    <x:row r="2916">
      <x:c r="A2916" s="83" t="n">
        <x:v>2915</x:v>
      </x:c>
      <x:c r="B2916" s="84" t="n">
        <x:v>1707</x:v>
      </x:c>
      <x:c r="C2916" s="84" t="n">
        <x:v>29</x:v>
      </x:c>
      <x:c r="D2916" s="89" t="n">
        <x:v>45561</x:v>
      </x:c>
      <x:c r="E2916" s="84" t="n">
        <x:v>0.8</x:v>
      </x:c>
      <x:c r="F2916" s="84" t="str">
        <x:v>Normal</x:v>
      </x:c>
      <x:c r="G2916" s="93" t="n">
        <x:v>39.62</x:v>
      </x:c>
      <x:c r="H2916" s="85" t="str">
        <x:v>Diagnóstico e execução</x:v>
      </x:c>
    </x:row>
    <x:row r="2917">
      <x:c r="A2917" s="83" t="n">
        <x:v>2916</x:v>
      </x:c>
      <x:c r="B2917" s="84" t="n">
        <x:v>1709</x:v>
      </x:c>
      <x:c r="C2917" s="84" t="n">
        <x:v>37</x:v>
      </x:c>
      <x:c r="D2917" s="89" t="n">
        <x:v>45396</x:v>
      </x:c>
      <x:c r="E2917" s="84" t="n">
        <x:v>7.4</x:v>
      </x:c>
      <x:c r="F2917" s="84" t="str">
        <x:v>Normal</x:v>
      </x:c>
      <x:c r="G2917" s="93" t="n">
        <x:v>436.38</x:v>
      </x:c>
      <x:c r="H2917" s="85" t="str">
        <x:v>Diagnóstico e execução</x:v>
      </x:c>
    </x:row>
    <x:row r="2918">
      <x:c r="A2918" s="83" t="n">
        <x:v>2917</x:v>
      </x:c>
      <x:c r="B2918" s="84" t="n">
        <x:v>1709</x:v>
      </x:c>
      <x:c r="C2918" s="84" t="n">
        <x:v>16</x:v>
      </x:c>
      <x:c r="D2918" s="89" t="n">
        <x:v>45396</x:v>
      </x:c>
      <x:c r="E2918" s="84" t="n">
        <x:v>7.9</x:v>
      </x:c>
      <x:c r="F2918" s="84" t="str">
        <x:v>Normal</x:v>
      </x:c>
      <x:c r="G2918" s="93" t="n">
        <x:v>320.11</x:v>
      </x:c>
      <x:c r="H2918" s="85" t="str">
        <x:v>Diagnóstico e execução</x:v>
      </x:c>
    </x:row>
    <x:row r="2919">
      <x:c r="A2919" s="83" t="n">
        <x:v>2918</x:v>
      </x:c>
      <x:c r="B2919" s="84" t="n">
        <x:v>1710</x:v>
      </x:c>
      <x:c r="C2919" s="84" t="n">
        <x:v>29</x:v>
      </x:c>
      <x:c r="D2919" s="89" t="n">
        <x:v>45903</x:v>
      </x:c>
      <x:c r="E2919" s="84" t="n">
        <x:v>6</x:v>
      </x:c>
      <x:c r="F2919" s="84" t="str">
        <x:v>Normal</x:v>
      </x:c>
      <x:c r="G2919" s="93" t="n">
        <x:v>297.12</x:v>
      </x:c>
      <x:c r="H2919" s="85" t="str">
        <x:v>Diagnóstico e execução</x:v>
      </x:c>
    </x:row>
    <x:row r="2920">
      <x:c r="A2920" s="83" t="n">
        <x:v>2919</x:v>
      </x:c>
      <x:c r="B2920" s="84" t="n">
        <x:v>1710</x:v>
      </x:c>
      <x:c r="C2920" s="84" t="n">
        <x:v>41</x:v>
      </x:c>
      <x:c r="D2920" s="89" t="n">
        <x:v>45903</x:v>
      </x:c>
      <x:c r="E2920" s="84" t="n">
        <x:v>4.5</x:v>
      </x:c>
      <x:c r="F2920" s="84" t="str">
        <x:v>Normal</x:v>
      </x:c>
      <x:c r="G2920" s="93" t="n">
        <x:v>227.61</x:v>
      </x:c>
      <x:c r="H2920" s="85" t="str">
        <x:v>Diagnóstico e execução</x:v>
      </x:c>
    </x:row>
    <x:row r="2921">
      <x:c r="A2921" s="83" t="n">
        <x:v>2920</x:v>
      </x:c>
      <x:c r="B2921" s="84" t="n">
        <x:v>1711</x:v>
      </x:c>
      <x:c r="C2921" s="84" t="n">
        <x:v>13</x:v>
      </x:c>
      <x:c r="D2921" s="89" t="n">
        <x:v>45693</x:v>
      </x:c>
      <x:c r="E2921" s="84" t="n">
        <x:v>6.4</x:v>
      </x:c>
      <x:c r="F2921" s="84" t="str">
        <x:v>Normal</x:v>
      </x:c>
      <x:c r="G2921" s="93" t="n">
        <x:v>216.83</x:v>
      </x:c>
      <x:c r="H2921" s="85" t="str">
        <x:v>Diagnóstico e execução</x:v>
      </x:c>
    </x:row>
    <x:row r="2922">
      <x:c r="A2922" s="83" t="n">
        <x:v>2921</x:v>
      </x:c>
      <x:c r="B2922" s="84" t="n">
        <x:v>1711</x:v>
      </x:c>
      <x:c r="C2922" s="84" t="n">
        <x:v>30</x:v>
      </x:c>
      <x:c r="D2922" s="89" t="n">
        <x:v>45693</x:v>
      </x:c>
      <x:c r="E2922" s="84" t="n">
        <x:v>5.6</x:v>
      </x:c>
      <x:c r="F2922" s="84" t="str">
        <x:v>Normal</x:v>
      </x:c>
      <x:c r="G2922" s="93" t="n">
        <x:v>231.9</x:v>
      </x:c>
      <x:c r="H2922" s="85" t="str">
        <x:v>Diagnóstico e execução</x:v>
      </x:c>
    </x:row>
    <x:row r="2923">
      <x:c r="A2923" s="83" t="n">
        <x:v>2922</x:v>
      </x:c>
      <x:c r="B2923" s="84" t="n">
        <x:v>1711</x:v>
      </x:c>
      <x:c r="C2923" s="84" t="n">
        <x:v>12</x:v>
      </x:c>
      <x:c r="D2923" s="89" t="n">
        <x:v>45693</x:v>
      </x:c>
      <x:c r="E2923" s="84" t="n">
        <x:v>7.5</x:v>
      </x:c>
      <x:c r="F2923" s="84" t="str">
        <x:v>Normal</x:v>
      </x:c>
      <x:c r="G2923" s="93" t="n">
        <x:v>258.75</x:v>
      </x:c>
      <x:c r="H2923" s="85" t="str">
        <x:v>Diagnóstico e execução</x:v>
      </x:c>
    </x:row>
    <x:row r="2924">
      <x:c r="A2924" s="83" t="n">
        <x:v>2923</x:v>
      </x:c>
      <x:c r="B2924" s="84" t="n">
        <x:v>1712</x:v>
      </x:c>
      <x:c r="C2924" s="84" t="n">
        <x:v>12</x:v>
      </x:c>
      <x:c r="D2924" s="89" t="n">
        <x:v>45053</x:v>
      </x:c>
      <x:c r="E2924" s="84" t="n">
        <x:v>4.4</x:v>
      </x:c>
      <x:c r="F2924" s="84" t="str">
        <x:v>Normal</x:v>
      </x:c>
      <x:c r="G2924" s="93" t="n">
        <x:v>151.8</x:v>
      </x:c>
      <x:c r="H2924" s="85" t="str">
        <x:v>Diagnóstico e execução</x:v>
      </x:c>
    </x:row>
    <x:row r="2925">
      <x:c r="A2925" s="83" t="n">
        <x:v>2924</x:v>
      </x:c>
      <x:c r="B2925" s="84" t="n">
        <x:v>1712</x:v>
      </x:c>
      <x:c r="C2925" s="84" t="n">
        <x:v>9</x:v>
      </x:c>
      <x:c r="D2925" s="89" t="n">
        <x:v>45053</x:v>
      </x:c>
      <x:c r="E2925" s="84" t="n">
        <x:v>4.1</x:v>
      </x:c>
      <x:c r="F2925" s="84" t="str">
        <x:v>Normal</x:v>
      </x:c>
      <x:c r="G2925" s="93" t="n">
        <x:v>215.95</x:v>
      </x:c>
      <x:c r="H2925" s="85" t="str">
        <x:v>Diagnóstico e execução</x:v>
      </x:c>
    </x:row>
    <x:row r="2926">
      <x:c r="A2926" s="83" t="n">
        <x:v>2925</x:v>
      </x:c>
      <x:c r="B2926" s="84" t="n">
        <x:v>1713</x:v>
      </x:c>
      <x:c r="C2926" s="84" t="n">
        <x:v>5</x:v>
      </x:c>
      <x:c r="D2926" s="89" t="n">
        <x:v>45295</x:v>
      </x:c>
      <x:c r="E2926" s="84" t="n">
        <x:v>4.9</x:v>
      </x:c>
      <x:c r="F2926" s="84" t="str">
        <x:v>Normal</x:v>
      </x:c>
      <x:c r="G2926" s="93" t="n">
        <x:v>141.22</x:v>
      </x:c>
      <x:c r="H2926" s="85" t="str">
        <x:v>Diagnóstico e execução</x:v>
      </x:c>
    </x:row>
    <x:row r="2927">
      <x:c r="A2927" s="83" t="n">
        <x:v>2926</x:v>
      </x:c>
      <x:c r="B2927" s="84" t="n">
        <x:v>1714</x:v>
      </x:c>
      <x:c r="C2927" s="84" t="n">
        <x:v>34</x:v>
      </x:c>
      <x:c r="D2927" s="89" t="n">
        <x:v>45204</x:v>
      </x:c>
      <x:c r="E2927" s="84" t="n">
        <x:v>2.5</x:v>
      </x:c>
      <x:c r="F2927" s="84" t="str">
        <x:v>Normal</x:v>
      </x:c>
      <x:c r="G2927" s="93" t="n">
        <x:v>108.07</x:v>
      </x:c>
      <x:c r="H2927" s="85" t="str">
        <x:v>Diagnóstico e execução</x:v>
      </x:c>
    </x:row>
    <x:row r="2928">
      <x:c r="A2928" s="83" t="n">
        <x:v>2927</x:v>
      </x:c>
      <x:c r="B2928" s="84" t="n">
        <x:v>1714</x:v>
      </x:c>
      <x:c r="C2928" s="84" t="n">
        <x:v>43</x:v>
      </x:c>
      <x:c r="D2928" s="89" t="n">
        <x:v>45204</x:v>
      </x:c>
      <x:c r="E2928" s="84" t="n">
        <x:v>4.2</x:v>
      </x:c>
      <x:c r="F2928" s="84" t="str">
        <x:v>Normal</x:v>
      </x:c>
      <x:c r="G2928" s="93" t="n">
        <x:v>229.57</x:v>
      </x:c>
      <x:c r="H2928" s="85" t="str">
        <x:v>Diagnóstico e execução</x:v>
      </x:c>
    </x:row>
    <x:row r="2929">
      <x:c r="A2929" s="83" t="n">
        <x:v>2928</x:v>
      </x:c>
      <x:c r="B2929" s="84" t="n">
        <x:v>1714</x:v>
      </x:c>
      <x:c r="C2929" s="84" t="n">
        <x:v>36</x:v>
      </x:c>
      <x:c r="D2929" s="89" t="n">
        <x:v>45204</x:v>
      </x:c>
      <x:c r="E2929" s="84" t="n">
        <x:v>3.2</x:v>
      </x:c>
      <x:c r="F2929" s="84" t="str">
        <x:v>Normal</x:v>
      </x:c>
      <x:c r="G2929" s="93" t="n">
        <x:v>94.91</x:v>
      </x:c>
      <x:c r="H2929" s="85" t="str">
        <x:v>Diagnóstico e execução</x:v>
      </x:c>
    </x:row>
    <x:row r="2930">
      <x:c r="A2930" s="83" t="n">
        <x:v>2929</x:v>
      </x:c>
      <x:c r="B2930" s="84" t="n">
        <x:v>1715</x:v>
      </x:c>
      <x:c r="C2930" s="84" t="n">
        <x:v>21</x:v>
      </x:c>
      <x:c r="D2930" s="89" t="n">
        <x:v>45326</x:v>
      </x:c>
      <x:c r="E2930" s="84" t="n">
        <x:v>7.7</x:v>
      </x:c>
      <x:c r="F2930" s="84" t="str">
        <x:v>Normal</x:v>
      </x:c>
      <x:c r="G2930" s="93" t="n">
        <x:v>473.01</x:v>
      </x:c>
      <x:c r="H2930" s="85" t="str">
        <x:v>Diagnóstico e execução</x:v>
      </x:c>
    </x:row>
    <x:row r="2931">
      <x:c r="A2931" s="83" t="n">
        <x:v>2930</x:v>
      </x:c>
      <x:c r="B2931" s="84" t="n">
        <x:v>1716</x:v>
      </x:c>
      <x:c r="C2931" s="84" t="n">
        <x:v>3</x:v>
      </x:c>
      <x:c r="D2931" s="89" t="n">
        <x:v>45435</x:v>
      </x:c>
      <x:c r="E2931" s="84" t="n">
        <x:v>4.2</x:v>
      </x:c>
      <x:c r="F2931" s="84" t="str">
        <x:v>Normal</x:v>
      </x:c>
      <x:c r="G2931" s="93" t="n">
        <x:v>206.81</x:v>
      </x:c>
      <x:c r="H2931" s="85" t="str">
        <x:v>Diagnóstico e execução</x:v>
      </x:c>
    </x:row>
    <x:row r="2932">
      <x:c r="A2932" s="83" t="n">
        <x:v>2931</x:v>
      </x:c>
      <x:c r="B2932" s="84" t="n">
        <x:v>1716</x:v>
      </x:c>
      <x:c r="C2932" s="84" t="n">
        <x:v>12</x:v>
      </x:c>
      <x:c r="D2932" s="89" t="n">
        <x:v>45435</x:v>
      </x:c>
      <x:c r="E2932" s="84" t="n">
        <x:v>3.8</x:v>
      </x:c>
      <x:c r="F2932" s="84" t="str">
        <x:v>Normal</x:v>
      </x:c>
      <x:c r="G2932" s="93" t="n">
        <x:v>131.1</x:v>
      </x:c>
      <x:c r="H2932" s="85" t="str">
        <x:v>Diagnóstico e execução</x:v>
      </x:c>
    </x:row>
    <x:row r="2933">
      <x:c r="A2933" s="83" t="n">
        <x:v>2932</x:v>
      </x:c>
      <x:c r="B2933" s="84" t="n">
        <x:v>1717</x:v>
      </x:c>
      <x:c r="C2933" s="84" t="n">
        <x:v>4</x:v>
      </x:c>
      <x:c r="D2933" s="89" t="n">
        <x:v>45047</x:v>
      </x:c>
      <x:c r="E2933" s="84" t="n">
        <x:v>3.5</x:v>
      </x:c>
      <x:c r="F2933" s="84" t="str">
        <x:v>Normal</x:v>
      </x:c>
      <x:c r="G2933" s="93" t="n">
        <x:v>172.16</x:v>
      </x:c>
      <x:c r="H2933" s="85" t="str">
        <x:v>Diagnóstico e execução</x:v>
      </x:c>
    </x:row>
    <x:row r="2934">
      <x:c r="A2934" s="83" t="n">
        <x:v>2933</x:v>
      </x:c>
      <x:c r="B2934" s="84" t="n">
        <x:v>1717</x:v>
      </x:c>
      <x:c r="C2934" s="84" t="n">
        <x:v>32</x:v>
      </x:c>
      <x:c r="D2934" s="89" t="n">
        <x:v>45047</x:v>
      </x:c>
      <x:c r="E2934" s="84" t="n">
        <x:v>4.4</x:v>
      </x:c>
      <x:c r="F2934" s="84" t="str">
        <x:v>Normal</x:v>
      </x:c>
      <x:c r="G2934" s="93" t="n">
        <x:v>192.06</x:v>
      </x:c>
      <x:c r="H2934" s="85" t="str">
        <x:v>Diagnóstico e execução</x:v>
      </x:c>
    </x:row>
    <x:row r="2935">
      <x:c r="A2935" s="83" t="n">
        <x:v>2934</x:v>
      </x:c>
      <x:c r="B2935" s="84" t="n">
        <x:v>1717</x:v>
      </x:c>
      <x:c r="C2935" s="84" t="n">
        <x:v>37</x:v>
      </x:c>
      <x:c r="D2935" s="89" t="n">
        <x:v>45047</x:v>
      </x:c>
      <x:c r="E2935" s="84" t="n">
        <x:v>1.2</x:v>
      </x:c>
      <x:c r="F2935" s="84" t="str">
        <x:v>Normal</x:v>
      </x:c>
      <x:c r="G2935" s="93" t="n">
        <x:v>70.76</x:v>
      </x:c>
      <x:c r="H2935" s="85" t="str">
        <x:v>Diagnóstico e execução</x:v>
      </x:c>
    </x:row>
    <x:row r="2936">
      <x:c r="A2936" s="83" t="n">
        <x:v>2935</x:v>
      </x:c>
      <x:c r="B2936" s="84" t="n">
        <x:v>1718</x:v>
      </x:c>
      <x:c r="C2936" s="84" t="n">
        <x:v>9</x:v>
      </x:c>
      <x:c r="D2936" s="89" t="n">
        <x:v>45125</x:v>
      </x:c>
      <x:c r="E2936" s="84" t="n">
        <x:v>4.8</x:v>
      </x:c>
      <x:c r="F2936" s="84" t="str">
        <x:v>Normal</x:v>
      </x:c>
      <x:c r="G2936" s="93" t="n">
        <x:v>252.82</x:v>
      </x:c>
      <x:c r="H2936" s="85" t="str">
        <x:v>Diagnóstico e execução</x:v>
      </x:c>
    </x:row>
    <x:row r="2937">
      <x:c r="A2937" s="83" t="n">
        <x:v>2936</x:v>
      </x:c>
      <x:c r="B2937" s="84" t="n">
        <x:v>1719</x:v>
      </x:c>
      <x:c r="C2937" s="84" t="n">
        <x:v>4</x:v>
      </x:c>
      <x:c r="D2937" s="89" t="n">
        <x:v>45777</x:v>
      </x:c>
      <x:c r="E2937" s="84" t="n">
        <x:v>4.2</x:v>
      </x:c>
      <x:c r="F2937" s="84" t="str">
        <x:v>Normal</x:v>
      </x:c>
      <x:c r="G2937" s="93" t="n">
        <x:v>206.6</x:v>
      </x:c>
      <x:c r="H2937" s="85" t="str">
        <x:v>Diagnóstico e execução</x:v>
      </x:c>
    </x:row>
    <x:row r="2938">
      <x:c r="A2938" s="83" t="n">
        <x:v>2937</x:v>
      </x:c>
      <x:c r="B2938" s="84" t="n">
        <x:v>1720</x:v>
      </x:c>
      <x:c r="C2938" s="84" t="n">
        <x:v>13</x:v>
      </x:c>
      <x:c r="D2938" s="89" t="n">
        <x:v>45343</x:v>
      </x:c>
      <x:c r="E2938" s="84" t="n">
        <x:v>0.9</x:v>
      </x:c>
      <x:c r="F2938" s="84" t="str">
        <x:v>Normal</x:v>
      </x:c>
      <x:c r="G2938" s="93" t="n">
        <x:v>30.49</x:v>
      </x:c>
      <x:c r="H2938" s="85" t="str">
        <x:v>Diagnóstico e execução</x:v>
      </x:c>
    </x:row>
    <x:row r="2939">
      <x:c r="A2939" s="83" t="n">
        <x:v>2938</x:v>
      </x:c>
      <x:c r="B2939" s="84" t="n">
        <x:v>1721</x:v>
      </x:c>
      <x:c r="C2939" s="84" t="n">
        <x:v>30</x:v>
      </x:c>
      <x:c r="D2939" s="89" t="n">
        <x:v>45012</x:v>
      </x:c>
      <x:c r="E2939" s="84" t="n">
        <x:v>5.6</x:v>
      </x:c>
      <x:c r="F2939" s="84" t="str">
        <x:v>Normal</x:v>
      </x:c>
      <x:c r="G2939" s="93" t="n">
        <x:v>231.9</x:v>
      </x:c>
      <x:c r="H2939" s="85" t="str">
        <x:v>Diagnóstico e execução</x:v>
      </x:c>
    </x:row>
    <x:row r="2940">
      <x:c r="A2940" s="83" t="n">
        <x:v>2939</x:v>
      </x:c>
      <x:c r="B2940" s="84" t="n">
        <x:v>1721</x:v>
      </x:c>
      <x:c r="C2940" s="84" t="n">
        <x:v>34</x:v>
      </x:c>
      <x:c r="D2940" s="89" t="n">
        <x:v>45012</x:v>
      </x:c>
      <x:c r="E2940" s="84" t="n">
        <x:v>7.4</x:v>
      </x:c>
      <x:c r="F2940" s="84" t="str">
        <x:v>Normal</x:v>
      </x:c>
      <x:c r="G2940" s="93" t="n">
        <x:v>319.9</x:v>
      </x:c>
      <x:c r="H2940" s="85" t="str">
        <x:v>Diagnóstico e execução</x:v>
      </x:c>
    </x:row>
    <x:row r="2941">
      <x:c r="A2941" s="83" t="n">
        <x:v>2940</x:v>
      </x:c>
      <x:c r="B2941" s="84" t="n">
        <x:v>1722</x:v>
      </x:c>
      <x:c r="C2941" s="84" t="n">
        <x:v>16</x:v>
      </x:c>
      <x:c r="D2941" s="89" t="n">
        <x:v>45039</x:v>
      </x:c>
      <x:c r="E2941" s="84" t="n">
        <x:v>4.5</x:v>
      </x:c>
      <x:c r="F2941" s="84" t="str">
        <x:v>Normal</x:v>
      </x:c>
      <x:c r="G2941" s="93" t="n">
        <x:v>182.34</x:v>
      </x:c>
      <x:c r="H2941" s="85" t="str">
        <x:v>Diagnóstico e execução</x:v>
      </x:c>
    </x:row>
    <x:row r="2942">
      <x:c r="A2942" s="83" t="n">
        <x:v>2941</x:v>
      </x:c>
      <x:c r="B2942" s="84" t="n">
        <x:v>1722</x:v>
      </x:c>
      <x:c r="C2942" s="84" t="n">
        <x:v>23</x:v>
      </x:c>
      <x:c r="D2942" s="89" t="n">
        <x:v>45039</x:v>
      </x:c>
      <x:c r="E2942" s="84" t="n">
        <x:v>2.1</x:v>
      </x:c>
      <x:c r="F2942" s="84" t="str">
        <x:v>Normal</x:v>
      </x:c>
      <x:c r="G2942" s="93" t="n">
        <x:v>90.53</x:v>
      </x:c>
      <x:c r="H2942" s="85" t="str">
        <x:v>Diagnóstico e execução</x:v>
      </x:c>
    </x:row>
    <x:row r="2943">
      <x:c r="A2943" s="83" t="n">
        <x:v>2942</x:v>
      </x:c>
      <x:c r="B2943" s="84" t="n">
        <x:v>1723</x:v>
      </x:c>
      <x:c r="C2943" s="84" t="n">
        <x:v>5</x:v>
      </x:c>
      <x:c r="D2943" s="89" t="n">
        <x:v>45365</x:v>
      </x:c>
      <x:c r="E2943" s="84" t="n">
        <x:v>4.3</x:v>
      </x:c>
      <x:c r="F2943" s="84" t="str">
        <x:v>Normal</x:v>
      </x:c>
      <x:c r="G2943" s="93" t="n">
        <x:v>123.93</x:v>
      </x:c>
      <x:c r="H2943" s="85" t="str">
        <x:v>Diagnóstico e execução</x:v>
      </x:c>
    </x:row>
    <x:row r="2944">
      <x:c r="A2944" s="83" t="n">
        <x:v>2943</x:v>
      </x:c>
      <x:c r="B2944" s="84" t="n">
        <x:v>1724</x:v>
      </x:c>
      <x:c r="C2944" s="84" t="n">
        <x:v>25</x:v>
      </x:c>
      <x:c r="D2944" s="89" t="n">
        <x:v>45767</x:v>
      </x:c>
      <x:c r="E2944" s="84" t="n">
        <x:v>6</x:v>
      </x:c>
      <x:c r="F2944" s="84" t="str">
        <x:v>Normal</x:v>
      </x:c>
      <x:c r="G2944" s="93" t="n">
        <x:v>321.54</x:v>
      </x:c>
      <x:c r="H2944" s="85" t="str">
        <x:v>Diagnóstico e execução</x:v>
      </x:c>
    </x:row>
    <x:row r="2945">
      <x:c r="A2945" s="83" t="n">
        <x:v>2944</x:v>
      </x:c>
      <x:c r="B2945" s="84" t="n">
        <x:v>1724</x:v>
      </x:c>
      <x:c r="C2945" s="84" t="n">
        <x:v>44</x:v>
      </x:c>
      <x:c r="D2945" s="89" t="n">
        <x:v>45767</x:v>
      </x:c>
      <x:c r="E2945" s="84" t="n">
        <x:v>1.6</x:v>
      </x:c>
      <x:c r="F2945" s="84" t="str">
        <x:v>Normal</x:v>
      </x:c>
      <x:c r="G2945" s="93" t="n">
        <x:v>44.86</x:v>
      </x:c>
      <x:c r="H2945" s="85" t="str">
        <x:v>Diagnóstico e execução</x:v>
      </x:c>
    </x:row>
    <x:row r="2946">
      <x:c r="A2946" s="83" t="n">
        <x:v>2945</x:v>
      </x:c>
      <x:c r="B2946" s="84" t="n">
        <x:v>1724</x:v>
      </x:c>
      <x:c r="C2946" s="84" t="n">
        <x:v>9</x:v>
      </x:c>
      <x:c r="D2946" s="89" t="n">
        <x:v>45767</x:v>
      </x:c>
      <x:c r="E2946" s="84" t="n">
        <x:v>6.8</x:v>
      </x:c>
      <x:c r="F2946" s="84" t="str">
        <x:v>Normal</x:v>
      </x:c>
      <x:c r="G2946" s="93" t="n">
        <x:v>358.16</x:v>
      </x:c>
      <x:c r="H2946" s="85" t="str">
        <x:v>Diagnóstico e execução</x:v>
      </x:c>
    </x:row>
    <x:row r="2947">
      <x:c r="A2947" s="83" t="n">
        <x:v>2946</x:v>
      </x:c>
      <x:c r="B2947" s="84" t="n">
        <x:v>1725</x:v>
      </x:c>
      <x:c r="C2947" s="84" t="n">
        <x:v>37</x:v>
      </x:c>
      <x:c r="D2947" s="89" t="n">
        <x:v>44986</x:v>
      </x:c>
      <x:c r="E2947" s="84" t="n">
        <x:v>3.5</x:v>
      </x:c>
      <x:c r="F2947" s="84" t="str">
        <x:v>Normal</x:v>
      </x:c>
      <x:c r="G2947" s="93" t="n">
        <x:v>206.39</x:v>
      </x:c>
      <x:c r="H2947" s="85" t="str">
        <x:v>Diagnóstico e execução</x:v>
      </x:c>
    </x:row>
    <x:row r="2948">
      <x:c r="A2948" s="83" t="n">
        <x:v>2947</x:v>
      </x:c>
      <x:c r="B2948" s="84" t="n">
        <x:v>1726</x:v>
      </x:c>
      <x:c r="C2948" s="84" t="n">
        <x:v>13</x:v>
      </x:c>
      <x:c r="D2948" s="89" t="n">
        <x:v>45613</x:v>
      </x:c>
      <x:c r="E2948" s="84" t="n">
        <x:v>7.8</x:v>
      </x:c>
      <x:c r="F2948" s="84" t="str">
        <x:v>Normal</x:v>
      </x:c>
      <x:c r="G2948" s="93" t="n">
        <x:v>264.26</x:v>
      </x:c>
      <x:c r="H2948" s="85" t="str">
        <x:v>Diagnóstico e execução</x:v>
      </x:c>
    </x:row>
    <x:row r="2949">
      <x:c r="A2949" s="83" t="n">
        <x:v>2948</x:v>
      </x:c>
      <x:c r="B2949" s="84" t="n">
        <x:v>1726</x:v>
      </x:c>
      <x:c r="C2949" s="84" t="n">
        <x:v>3</x:v>
      </x:c>
      <x:c r="D2949" s="89" t="n">
        <x:v>45613</x:v>
      </x:c>
      <x:c r="E2949" s="84" t="n">
        <x:v>4.6</x:v>
      </x:c>
      <x:c r="F2949" s="84" t="str">
        <x:v>Normal</x:v>
      </x:c>
      <x:c r="G2949" s="93" t="n">
        <x:v>226.5</x:v>
      </x:c>
      <x:c r="H2949" s="85" t="str">
        <x:v>Diagnóstico e execução</x:v>
      </x:c>
    </x:row>
    <x:row r="2950">
      <x:c r="A2950" s="83" t="n">
        <x:v>2949</x:v>
      </x:c>
      <x:c r="B2950" s="84" t="n">
        <x:v>1726</x:v>
      </x:c>
      <x:c r="C2950" s="84" t="n">
        <x:v>44</x:v>
      </x:c>
      <x:c r="D2950" s="89" t="n">
        <x:v>45613</x:v>
      </x:c>
      <x:c r="E2950" s="84" t="n">
        <x:v>3.6</x:v>
      </x:c>
      <x:c r="F2950" s="84" t="str">
        <x:v>Normal</x:v>
      </x:c>
      <x:c r="G2950" s="93" t="n">
        <x:v>100.94</x:v>
      </x:c>
      <x:c r="H2950" s="85" t="str">
        <x:v>Diagnóstico e execução</x:v>
      </x:c>
    </x:row>
    <x:row r="2951">
      <x:c r="A2951" s="83" t="n">
        <x:v>2950</x:v>
      </x:c>
      <x:c r="B2951" s="84" t="n">
        <x:v>1727</x:v>
      </x:c>
      <x:c r="C2951" s="84" t="n">
        <x:v>10</x:v>
      </x:c>
      <x:c r="D2951" s="89" t="n">
        <x:v>45644</x:v>
      </x:c>
      <x:c r="E2951" s="84" t="n">
        <x:v>2.6</x:v>
      </x:c>
      <x:c r="F2951" s="84" t="str">
        <x:v>Normal</x:v>
      </x:c>
      <x:c r="G2951" s="93" t="n">
        <x:v>77.19</x:v>
      </x:c>
      <x:c r="H2951" s="85" t="str">
        <x:v>Diagnóstico e execução</x:v>
      </x:c>
    </x:row>
    <x:row r="2952">
      <x:c r="A2952" s="83" t="n">
        <x:v>2951</x:v>
      </x:c>
      <x:c r="B2952" s="84" t="n">
        <x:v>1727</x:v>
      </x:c>
      <x:c r="C2952" s="84" t="n">
        <x:v>32</x:v>
      </x:c>
      <x:c r="D2952" s="89" t="n">
        <x:v>45644</x:v>
      </x:c>
      <x:c r="E2952" s="84" t="n">
        <x:v>7.2</x:v>
      </x:c>
      <x:c r="F2952" s="84" t="str">
        <x:v>Normal</x:v>
      </x:c>
      <x:c r="G2952" s="93" t="n">
        <x:v>314.28</x:v>
      </x:c>
      <x:c r="H2952" s="85" t="str">
        <x:v>Diagnóstico e execução</x:v>
      </x:c>
    </x:row>
    <x:row r="2953">
      <x:c r="A2953" s="83" t="n">
        <x:v>2952</x:v>
      </x:c>
      <x:c r="B2953" s="84" t="n">
        <x:v>1727</x:v>
      </x:c>
      <x:c r="C2953" s="84" t="n">
        <x:v>7</x:v>
      </x:c>
      <x:c r="D2953" s="89" t="n">
        <x:v>45644</x:v>
      </x:c>
      <x:c r="E2953" s="84" t="n">
        <x:v>3.4</x:v>
      </x:c>
      <x:c r="F2953" s="84" t="str">
        <x:v>Normal</x:v>
      </x:c>
      <x:c r="G2953" s="93" t="n">
        <x:v>197.91</x:v>
      </x:c>
      <x:c r="H2953" s="85" t="str">
        <x:v>Diagnóstico e execução</x:v>
      </x:c>
    </x:row>
    <x:row r="2954">
      <x:c r="A2954" s="83" t="n">
        <x:v>2953</x:v>
      </x:c>
      <x:c r="B2954" s="84" t="n">
        <x:v>1728</x:v>
      </x:c>
      <x:c r="C2954" s="84" t="n">
        <x:v>31</x:v>
      </x:c>
      <x:c r="D2954" s="89" t="n">
        <x:v>45834</x:v>
      </x:c>
      <x:c r="E2954" s="84" t="n">
        <x:v>1.4</x:v>
      </x:c>
      <x:c r="F2954" s="84" t="str">
        <x:v>Normal</x:v>
      </x:c>
      <x:c r="G2954" s="93" t="n">
        <x:v>68.46</x:v>
      </x:c>
      <x:c r="H2954" s="85" t="str">
        <x:v>Diagnóstico e execução</x:v>
      </x:c>
    </x:row>
    <x:row r="2955">
      <x:c r="A2955" s="83" t="n">
        <x:v>2954</x:v>
      </x:c>
      <x:c r="B2955" s="84" t="n">
        <x:v>1730</x:v>
      </x:c>
      <x:c r="C2955" s="84" t="n">
        <x:v>34</x:v>
      </x:c>
      <x:c r="D2955" s="89" t="n">
        <x:v>45307</x:v>
      </x:c>
      <x:c r="E2955" s="84" t="n">
        <x:v>4.5</x:v>
      </x:c>
      <x:c r="F2955" s="84" t="str">
        <x:v>Normal</x:v>
      </x:c>
      <x:c r="G2955" s="93" t="n">
        <x:v>194.53</x:v>
      </x:c>
      <x:c r="H2955" s="85" t="str">
        <x:v>Diagnóstico e execução</x:v>
      </x:c>
    </x:row>
    <x:row r="2956">
      <x:c r="A2956" s="83" t="n">
        <x:v>2955</x:v>
      </x:c>
      <x:c r="B2956" s="84" t="n">
        <x:v>1730</x:v>
      </x:c>
      <x:c r="C2956" s="84" t="n">
        <x:v>32</x:v>
      </x:c>
      <x:c r="D2956" s="89" t="n">
        <x:v>45307</x:v>
      </x:c>
      <x:c r="E2956" s="84" t="n">
        <x:v>5.9</x:v>
      </x:c>
      <x:c r="F2956" s="84" t="str">
        <x:v>Normal</x:v>
      </x:c>
      <x:c r="G2956" s="93" t="n">
        <x:v>257.54</x:v>
      </x:c>
      <x:c r="H2956" s="85" t="str">
        <x:v>Diagnóstico e execução</x:v>
      </x:c>
    </x:row>
    <x:row r="2957">
      <x:c r="A2957" s="83" t="n">
        <x:v>2956</x:v>
      </x:c>
      <x:c r="B2957" s="84" t="n">
        <x:v>1731</x:v>
      </x:c>
      <x:c r="C2957" s="84" t="n">
        <x:v>13</x:v>
      </x:c>
      <x:c r="D2957" s="89" t="n">
        <x:v>45047</x:v>
      </x:c>
      <x:c r="E2957" s="84" t="n">
        <x:v>0.8</x:v>
      </x:c>
      <x:c r="F2957" s="84" t="str">
        <x:v>Normal</x:v>
      </x:c>
      <x:c r="G2957" s="93" t="n">
        <x:v>27.1</x:v>
      </x:c>
      <x:c r="H2957" s="85" t="str">
        <x:v>Diagnóstico e execução</x:v>
      </x:c>
    </x:row>
    <x:row r="2958">
      <x:c r="A2958" s="83" t="n">
        <x:v>2957</x:v>
      </x:c>
      <x:c r="B2958" s="84" t="n">
        <x:v>1732</x:v>
      </x:c>
      <x:c r="C2958" s="84" t="n">
        <x:v>33</x:v>
      </x:c>
      <x:c r="D2958" s="89" t="n">
        <x:v>45347</x:v>
      </x:c>
      <x:c r="E2958" s="84" t="n">
        <x:v>1</x:v>
      </x:c>
      <x:c r="F2958" s="84" t="str">
        <x:v>Normal</x:v>
      </x:c>
      <x:c r="G2958" s="93" t="n">
        <x:v>34.49</x:v>
      </x:c>
      <x:c r="H2958" s="85" t="str">
        <x:v>Diagnóstico e execução</x:v>
      </x:c>
    </x:row>
    <x:row r="2959">
      <x:c r="A2959" s="83" t="n">
        <x:v>2958</x:v>
      </x:c>
      <x:c r="B2959" s="84" t="n">
        <x:v>1732</x:v>
      </x:c>
      <x:c r="C2959" s="84" t="n">
        <x:v>38</x:v>
      </x:c>
      <x:c r="D2959" s="89" t="n">
        <x:v>45347</x:v>
      </x:c>
      <x:c r="E2959" s="84" t="n">
        <x:v>1.2</x:v>
      </x:c>
      <x:c r="F2959" s="84" t="str">
        <x:v>Normal</x:v>
      </x:c>
      <x:c r="G2959" s="93" t="n">
        <x:v>40.4</x:v>
      </x:c>
      <x:c r="H2959" s="85" t="str">
        <x:v>Diagnóstico e execução</x:v>
      </x:c>
    </x:row>
    <x:row r="2960">
      <x:c r="A2960" s="83" t="n">
        <x:v>2959</x:v>
      </x:c>
      <x:c r="B2960" s="84" t="n">
        <x:v>1732</x:v>
      </x:c>
      <x:c r="C2960" s="84" t="n">
        <x:v>21</x:v>
      </x:c>
      <x:c r="D2960" s="89" t="n">
        <x:v>45347</x:v>
      </x:c>
      <x:c r="E2960" s="84" t="n">
        <x:v>7.6</x:v>
      </x:c>
      <x:c r="F2960" s="84" t="str">
        <x:v>Normal</x:v>
      </x:c>
      <x:c r="G2960" s="93" t="n">
        <x:v>466.87</x:v>
      </x:c>
      <x:c r="H2960" s="85" t="str">
        <x:v>Diagnóstico e execução</x:v>
      </x:c>
    </x:row>
    <x:row r="2961">
      <x:c r="A2961" s="83" t="n">
        <x:v>2960</x:v>
      </x:c>
      <x:c r="B2961" s="84" t="n">
        <x:v>1733</x:v>
      </x:c>
      <x:c r="C2961" s="84" t="n">
        <x:v>14</x:v>
      </x:c>
      <x:c r="D2961" s="89" t="n">
        <x:v>44948</x:v>
      </x:c>
      <x:c r="E2961" s="84" t="n">
        <x:v>1.3</x:v>
      </x:c>
      <x:c r="F2961" s="84" t="str">
        <x:v>Normal</x:v>
      </x:c>
      <x:c r="G2961" s="93" t="n">
        <x:v>73.66</x:v>
      </x:c>
      <x:c r="H2961" s="85" t="str">
        <x:v>Diagnóstico e execução</x:v>
      </x:c>
    </x:row>
    <x:row r="2962">
      <x:c r="A2962" s="83" t="n">
        <x:v>2961</x:v>
      </x:c>
      <x:c r="B2962" s="84" t="n">
        <x:v>1734</x:v>
      </x:c>
      <x:c r="C2962" s="84" t="n">
        <x:v>4</x:v>
      </x:c>
      <x:c r="D2962" s="89" t="n">
        <x:v>45499</x:v>
      </x:c>
      <x:c r="E2962" s="84" t="n">
        <x:v>2.6</x:v>
      </x:c>
      <x:c r="F2962" s="84" t="str">
        <x:v>Normal</x:v>
      </x:c>
      <x:c r="G2962" s="93" t="n">
        <x:v>127.89</x:v>
      </x:c>
      <x:c r="H2962" s="85" t="str">
        <x:v>Diagnóstico e execução</x:v>
      </x:c>
    </x:row>
    <x:row r="2963">
      <x:c r="A2963" s="83" t="n">
        <x:v>2962</x:v>
      </x:c>
      <x:c r="B2963" s="84" t="n">
        <x:v>1735</x:v>
      </x:c>
      <x:c r="C2963" s="84" t="n">
        <x:v>45</x:v>
      </x:c>
      <x:c r="D2963" s="89" t="n">
        <x:v>45520</x:v>
      </x:c>
      <x:c r="E2963" s="84" t="n">
        <x:v>1.3</x:v>
      </x:c>
      <x:c r="F2963" s="84" t="str">
        <x:v>Normal</x:v>
      </x:c>
      <x:c r="G2963" s="93" t="n">
        <x:v>69.64</x:v>
      </x:c>
      <x:c r="H2963" s="85" t="str">
        <x:v>Diagnóstico e execução</x:v>
      </x:c>
    </x:row>
    <x:row r="2964">
      <x:c r="A2964" s="83" t="n">
        <x:v>2963</x:v>
      </x:c>
      <x:c r="B2964" s="84" t="n">
        <x:v>1735</x:v>
      </x:c>
      <x:c r="C2964" s="84" t="n">
        <x:v>44</x:v>
      </x:c>
      <x:c r="D2964" s="89" t="n">
        <x:v>45520</x:v>
      </x:c>
      <x:c r="E2964" s="84" t="n">
        <x:v>5.4</x:v>
      </x:c>
      <x:c r="F2964" s="84" t="str">
        <x:v>Normal</x:v>
      </x:c>
      <x:c r="G2964" s="93" t="n">
        <x:v>151.42</x:v>
      </x:c>
      <x:c r="H2964" s="85" t="str">
        <x:v>Diagnóstico e execução</x:v>
      </x:c>
    </x:row>
    <x:row r="2965">
      <x:c r="A2965" s="83" t="n">
        <x:v>2964</x:v>
      </x:c>
      <x:c r="B2965" s="84" t="n">
        <x:v>1736</x:v>
      </x:c>
      <x:c r="C2965" s="84" t="n">
        <x:v>16</x:v>
      </x:c>
      <x:c r="D2965" s="89" t="n">
        <x:v>45344</x:v>
      </x:c>
      <x:c r="E2965" s="84" t="n">
        <x:v>0.8</x:v>
      </x:c>
      <x:c r="F2965" s="84" t="str">
        <x:v>Normal</x:v>
      </x:c>
      <x:c r="G2965" s="93" t="n">
        <x:v>32.42</x:v>
      </x:c>
      <x:c r="H2965" s="85" t="str">
        <x:v>Diagnóstico e execução</x:v>
      </x:c>
    </x:row>
    <x:row r="2966">
      <x:c r="A2966" s="83" t="n">
        <x:v>2965</x:v>
      </x:c>
      <x:c r="B2966" s="84" t="n">
        <x:v>1737</x:v>
      </x:c>
      <x:c r="C2966" s="84" t="n">
        <x:v>41</x:v>
      </x:c>
      <x:c r="D2966" s="89" t="n">
        <x:v>45621</x:v>
      </x:c>
      <x:c r="E2966" s="84" t="n">
        <x:v>2</x:v>
      </x:c>
      <x:c r="F2966" s="84" t="str">
        <x:v>Normal</x:v>
      </x:c>
      <x:c r="G2966" s="93" t="n">
        <x:v>101.16</x:v>
      </x:c>
      <x:c r="H2966" s="85" t="str">
        <x:v>Diagnóstico e execução</x:v>
      </x:c>
    </x:row>
    <x:row r="2967">
      <x:c r="A2967" s="83" t="n">
        <x:v>2966</x:v>
      </x:c>
      <x:c r="B2967" s="84" t="n">
        <x:v>1737</x:v>
      </x:c>
      <x:c r="C2967" s="84" t="n">
        <x:v>34</x:v>
      </x:c>
      <x:c r="D2967" s="89" t="n">
        <x:v>45621</x:v>
      </x:c>
      <x:c r="E2967" s="84" t="n">
        <x:v>3.7</x:v>
      </x:c>
      <x:c r="F2967" s="84" t="str">
        <x:v>Normal</x:v>
      </x:c>
      <x:c r="G2967" s="93" t="n">
        <x:v>159.95</x:v>
      </x:c>
      <x:c r="H2967" s="85" t="str">
        <x:v>Diagnóstico e execução</x:v>
      </x:c>
    </x:row>
    <x:row r="2968">
      <x:c r="A2968" s="83" t="n">
        <x:v>2967</x:v>
      </x:c>
      <x:c r="B2968" s="84" t="n">
        <x:v>1738</x:v>
      </x:c>
      <x:c r="C2968" s="84" t="n">
        <x:v>26</x:v>
      </x:c>
      <x:c r="D2968" s="89" t="n">
        <x:v>45277</x:v>
      </x:c>
      <x:c r="E2968" s="84" t="n">
        <x:v>1.4</x:v>
      </x:c>
      <x:c r="F2968" s="84" t="str">
        <x:v>Normal</x:v>
      </x:c>
      <x:c r="G2968" s="93" t="n">
        <x:v>54.77</x:v>
      </x:c>
      <x:c r="H2968" s="85" t="str">
        <x:v>Diagnóstico e execução</x:v>
      </x:c>
    </x:row>
    <x:row r="2969">
      <x:c r="A2969" s="83" t="n">
        <x:v>2968</x:v>
      </x:c>
      <x:c r="B2969" s="84" t="n">
        <x:v>1738</x:v>
      </x:c>
      <x:c r="C2969" s="84" t="n">
        <x:v>4</x:v>
      </x:c>
      <x:c r="D2969" s="89" t="n">
        <x:v>45277</x:v>
      </x:c>
      <x:c r="E2969" s="84" t="n">
        <x:v>2.4</x:v>
      </x:c>
      <x:c r="F2969" s="84" t="str">
        <x:v>Normal</x:v>
      </x:c>
      <x:c r="G2969" s="93" t="n">
        <x:v>118.06</x:v>
      </x:c>
      <x:c r="H2969" s="85" t="str">
        <x:v>Diagnóstico e execução</x:v>
      </x:c>
    </x:row>
    <x:row r="2970">
      <x:c r="A2970" s="83" t="n">
        <x:v>2969</x:v>
      </x:c>
      <x:c r="B2970" s="84" t="n">
        <x:v>1739</x:v>
      </x:c>
      <x:c r="C2970" s="84" t="n">
        <x:v>12</x:v>
      </x:c>
      <x:c r="D2970" s="89" t="n">
        <x:v>45470</x:v>
      </x:c>
      <x:c r="E2970" s="84" t="n">
        <x:v>2</x:v>
      </x:c>
      <x:c r="F2970" s="84" t="str">
        <x:v>Normal</x:v>
      </x:c>
      <x:c r="G2970" s="93" t="n">
        <x:v>69</x:v>
      </x:c>
      <x:c r="H2970" s="85" t="str">
        <x:v>Diagnóstico e execução</x:v>
      </x:c>
    </x:row>
    <x:row r="2971">
      <x:c r="A2971" s="83" t="n">
        <x:v>2970</x:v>
      </x:c>
      <x:c r="B2971" s="84" t="n">
        <x:v>1739</x:v>
      </x:c>
      <x:c r="C2971" s="84" t="n">
        <x:v>33</x:v>
      </x:c>
      <x:c r="D2971" s="89" t="n">
        <x:v>45470</x:v>
      </x:c>
      <x:c r="E2971" s="84" t="n">
        <x:v>6.1</x:v>
      </x:c>
      <x:c r="F2971" s="84" t="str">
        <x:v>Normal</x:v>
      </x:c>
      <x:c r="G2971" s="93" t="n">
        <x:v>210.39</x:v>
      </x:c>
      <x:c r="H2971" s="85" t="str">
        <x:v>Diagnóstico e execução</x:v>
      </x:c>
    </x:row>
    <x:row r="2972">
      <x:c r="A2972" s="83" t="n">
        <x:v>2971</x:v>
      </x:c>
      <x:c r="B2972" s="84" t="n">
        <x:v>1740</x:v>
      </x:c>
      <x:c r="C2972" s="84" t="n">
        <x:v>9</x:v>
      </x:c>
      <x:c r="D2972" s="89" t="n">
        <x:v>45862</x:v>
      </x:c>
      <x:c r="E2972" s="84" t="n">
        <x:v>5.3</x:v>
      </x:c>
      <x:c r="F2972" s="84" t="str">
        <x:v>Normal</x:v>
      </x:c>
      <x:c r="G2972" s="93" t="n">
        <x:v>279.15</x:v>
      </x:c>
      <x:c r="H2972" s="85" t="str">
        <x:v>Diagnóstico e execução</x:v>
      </x:c>
    </x:row>
    <x:row r="2973">
      <x:c r="A2973" s="83" t="n">
        <x:v>2972</x:v>
      </x:c>
      <x:c r="B2973" s="84" t="n">
        <x:v>1741</x:v>
      </x:c>
      <x:c r="C2973" s="84" t="n">
        <x:v>43</x:v>
      </x:c>
      <x:c r="D2973" s="89" t="n">
        <x:v>45743</x:v>
      </x:c>
      <x:c r="E2973" s="84" t="n">
        <x:v>3.8</x:v>
      </x:c>
      <x:c r="F2973" s="84" t="str">
        <x:v>Normal</x:v>
      </x:c>
      <x:c r="G2973" s="93" t="n">
        <x:v>207.71</x:v>
      </x:c>
      <x:c r="H2973" s="85" t="str">
        <x:v>Diagnóstico e execução</x:v>
      </x:c>
    </x:row>
    <x:row r="2974">
      <x:c r="A2974" s="83" t="n">
        <x:v>2973</x:v>
      </x:c>
      <x:c r="B2974" s="84" t="n">
        <x:v>1741</x:v>
      </x:c>
      <x:c r="C2974" s="84" t="n">
        <x:v>25</x:v>
      </x:c>
      <x:c r="D2974" s="89" t="n">
        <x:v>45743</x:v>
      </x:c>
      <x:c r="E2974" s="84" t="n">
        <x:v>6.3</x:v>
      </x:c>
      <x:c r="F2974" s="84" t="str">
        <x:v>Normal</x:v>
      </x:c>
      <x:c r="G2974" s="93" t="n">
        <x:v>337.62</x:v>
      </x:c>
      <x:c r="H2974" s="85" t="str">
        <x:v>Diagnóstico e execução</x:v>
      </x:c>
    </x:row>
    <x:row r="2975">
      <x:c r="A2975" s="83" t="n">
        <x:v>2974</x:v>
      </x:c>
      <x:c r="B2975" s="84" t="n">
        <x:v>1741</x:v>
      </x:c>
      <x:c r="C2975" s="84" t="n">
        <x:v>3</x:v>
      </x:c>
      <x:c r="D2975" s="89" t="n">
        <x:v>45743</x:v>
      </x:c>
      <x:c r="E2975" s="84" t="n">
        <x:v>2.1</x:v>
      </x:c>
      <x:c r="F2975" s="84" t="str">
        <x:v>Normal</x:v>
      </x:c>
      <x:c r="G2975" s="93" t="n">
        <x:v>103.4</x:v>
      </x:c>
      <x:c r="H2975" s="85" t="str">
        <x:v>Diagnóstico e execução</x:v>
      </x:c>
    </x:row>
    <x:row r="2976">
      <x:c r="A2976" s="83" t="n">
        <x:v>2975</x:v>
      </x:c>
      <x:c r="B2976" s="84" t="n">
        <x:v>1742</x:v>
      </x:c>
      <x:c r="C2976" s="84" t="n">
        <x:v>38</x:v>
      </x:c>
      <x:c r="D2976" s="89" t="n">
        <x:v>45506</x:v>
      </x:c>
      <x:c r="E2976" s="84" t="n">
        <x:v>5.1</x:v>
      </x:c>
      <x:c r="F2976" s="84" t="str">
        <x:v>Normal</x:v>
      </x:c>
      <x:c r="G2976" s="93" t="n">
        <x:v>171.72</x:v>
      </x:c>
      <x:c r="H2976" s="85" t="str">
        <x:v>Diagnóstico e execução</x:v>
      </x:c>
    </x:row>
    <x:row r="2977">
      <x:c r="A2977" s="83" t="n">
        <x:v>2976</x:v>
      </x:c>
      <x:c r="B2977" s="84" t="n">
        <x:v>1742</x:v>
      </x:c>
      <x:c r="C2977" s="84" t="n">
        <x:v>1</x:v>
      </x:c>
      <x:c r="D2977" s="89" t="n">
        <x:v>45506</x:v>
      </x:c>
      <x:c r="E2977" s="84" t="n">
        <x:v>7.3</x:v>
      </x:c>
      <x:c r="F2977" s="84" t="str">
        <x:v>Normal</x:v>
      </x:c>
      <x:c r="G2977" s="93" t="n">
        <x:v>258.2</x:v>
      </x:c>
      <x:c r="H2977" s="85" t="str">
        <x:v>Diagnóstico e execução</x:v>
      </x:c>
    </x:row>
    <x:row r="2978">
      <x:c r="A2978" s="83" t="n">
        <x:v>2977</x:v>
      </x:c>
      <x:c r="B2978" s="84" t="n">
        <x:v>1743</x:v>
      </x:c>
      <x:c r="C2978" s="84" t="n">
        <x:v>34</x:v>
      </x:c>
      <x:c r="D2978" s="89" t="n">
        <x:v>45403</x:v>
      </x:c>
      <x:c r="E2978" s="84" t="n">
        <x:v>0.7</x:v>
      </x:c>
      <x:c r="F2978" s="84" t="str">
        <x:v>Normal</x:v>
      </x:c>
      <x:c r="G2978" s="93" t="n">
        <x:v>30.26</x:v>
      </x:c>
      <x:c r="H2978" s="85" t="str">
        <x:v>Diagnóstico e execução</x:v>
      </x:c>
    </x:row>
    <x:row r="2979">
      <x:c r="A2979" s="83" t="n">
        <x:v>2978</x:v>
      </x:c>
      <x:c r="B2979" s="84" t="n">
        <x:v>1743</x:v>
      </x:c>
      <x:c r="C2979" s="84" t="n">
        <x:v>19</x:v>
      </x:c>
      <x:c r="D2979" s="89" t="n">
        <x:v>45403</x:v>
      </x:c>
      <x:c r="E2979" s="84" t="n">
        <x:v>3.4</x:v>
      </x:c>
      <x:c r="F2979" s="84" t="str">
        <x:v>Normal</x:v>
      </x:c>
      <x:c r="G2979" s="93" t="n">
        <x:v>158.03</x:v>
      </x:c>
      <x:c r="H2979" s="85" t="str">
        <x:v>Diagnóstico e execução</x:v>
      </x:c>
    </x:row>
    <x:row r="2980">
      <x:c r="A2980" s="83" t="n">
        <x:v>2979</x:v>
      </x:c>
      <x:c r="B2980" s="84" t="n">
        <x:v>1744</x:v>
      </x:c>
      <x:c r="C2980" s="84" t="n">
        <x:v>24</x:v>
      </x:c>
      <x:c r="D2980" s="89" t="n">
        <x:v>45607</x:v>
      </x:c>
      <x:c r="E2980" s="84" t="n">
        <x:v>5</x:v>
      </x:c>
      <x:c r="F2980" s="84" t="str">
        <x:v>Normal</x:v>
      </x:c>
      <x:c r="G2980" s="93" t="n">
        <x:v>296.2</x:v>
      </x:c>
      <x:c r="H2980" s="85" t="str">
        <x:v>Diagnóstico e execução</x:v>
      </x:c>
    </x:row>
    <x:row r="2981">
      <x:c r="A2981" s="83" t="n">
        <x:v>2980</x:v>
      </x:c>
      <x:c r="B2981" s="84" t="n">
        <x:v>1745</x:v>
      </x:c>
      <x:c r="C2981" s="84" t="n">
        <x:v>16</x:v>
      </x:c>
      <x:c r="D2981" s="89" t="n">
        <x:v>45620</x:v>
      </x:c>
      <x:c r="E2981" s="84" t="n">
        <x:v>2.9</x:v>
      </x:c>
      <x:c r="F2981" s="84" t="str">
        <x:v>Normal</x:v>
      </x:c>
      <x:c r="G2981" s="93" t="n">
        <x:v>117.51</x:v>
      </x:c>
      <x:c r="H2981" s="85" t="str">
        <x:v>Diagnóstico e execução</x:v>
      </x:c>
    </x:row>
    <x:row r="2982">
      <x:c r="A2982" s="83" t="n">
        <x:v>2981</x:v>
      </x:c>
      <x:c r="B2982" s="84" t="n">
        <x:v>1745</x:v>
      </x:c>
      <x:c r="C2982" s="84" t="n">
        <x:v>20</x:v>
      </x:c>
      <x:c r="D2982" s="89" t="n">
        <x:v>45620</x:v>
      </x:c>
      <x:c r="E2982" s="84" t="n">
        <x:v>1.4</x:v>
      </x:c>
      <x:c r="F2982" s="84" t="str">
        <x:v>Normal</x:v>
      </x:c>
      <x:c r="G2982" s="93" t="n">
        <x:v>46.93</x:v>
      </x:c>
      <x:c r="H2982" s="85" t="str">
        <x:v>Diagnóstico e execução</x:v>
      </x:c>
    </x:row>
    <x:row r="2983">
      <x:c r="A2983" s="83" t="n">
        <x:v>2982</x:v>
      </x:c>
      <x:c r="B2983" s="84" t="n">
        <x:v>1746</x:v>
      </x:c>
      <x:c r="C2983" s="84" t="n">
        <x:v>41</x:v>
      </x:c>
      <x:c r="D2983" s="89" t="n">
        <x:v>45298</x:v>
      </x:c>
      <x:c r="E2983" s="84" t="n">
        <x:v>1.6</x:v>
      </x:c>
      <x:c r="F2983" s="84" t="str">
        <x:v>Normal</x:v>
      </x:c>
      <x:c r="G2983" s="93" t="n">
        <x:v>80.93</x:v>
      </x:c>
      <x:c r="H2983" s="85" t="str">
        <x:v>Diagnóstico e execução</x:v>
      </x:c>
    </x:row>
    <x:row r="2984">
      <x:c r="A2984" s="83" t="n">
        <x:v>2983</x:v>
      </x:c>
      <x:c r="B2984" s="84" t="n">
        <x:v>1746</x:v>
      </x:c>
      <x:c r="C2984" s="84" t="n">
        <x:v>27</x:v>
      </x:c>
      <x:c r="D2984" s="89" t="n">
        <x:v>45298</x:v>
      </x:c>
      <x:c r="E2984" s="84" t="n">
        <x:v>6</x:v>
      </x:c>
      <x:c r="F2984" s="84" t="str">
        <x:v>Normal</x:v>
      </x:c>
      <x:c r="G2984" s="93" t="n">
        <x:v>365.94</x:v>
      </x:c>
      <x:c r="H2984" s="85" t="str">
        <x:v>Diagnóstico e execução</x:v>
      </x:c>
    </x:row>
    <x:row r="2985">
      <x:c r="A2985" s="83" t="n">
        <x:v>2984</x:v>
      </x:c>
      <x:c r="B2985" s="84" t="n">
        <x:v>1746</x:v>
      </x:c>
      <x:c r="C2985" s="84" t="n">
        <x:v>29</x:v>
      </x:c>
      <x:c r="D2985" s="89" t="n">
        <x:v>45298</x:v>
      </x:c>
      <x:c r="E2985" s="84" t="n">
        <x:v>1</x:v>
      </x:c>
      <x:c r="F2985" s="84" t="str">
        <x:v>Normal</x:v>
      </x:c>
      <x:c r="G2985" s="93" t="n">
        <x:v>49.52</x:v>
      </x:c>
      <x:c r="H2985" s="85" t="str">
        <x:v>Diagnóstico e execução</x:v>
      </x:c>
    </x:row>
    <x:row r="2986">
      <x:c r="A2986" s="83" t="n">
        <x:v>2985</x:v>
      </x:c>
      <x:c r="B2986" s="84" t="n">
        <x:v>1747</x:v>
      </x:c>
      <x:c r="C2986" s="84" t="n">
        <x:v>16</x:v>
      </x:c>
      <x:c r="D2986" s="89" t="n">
        <x:v>45341</x:v>
      </x:c>
      <x:c r="E2986" s="84" t="n">
        <x:v>4.9</x:v>
      </x:c>
      <x:c r="F2986" s="84" t="str">
        <x:v>Normal</x:v>
      </x:c>
      <x:c r="G2986" s="93" t="n">
        <x:v>198.55</x:v>
      </x:c>
      <x:c r="H2986" s="85" t="str">
        <x:v>Diagnóstico e execução</x:v>
      </x:c>
    </x:row>
    <x:row r="2987">
      <x:c r="A2987" s="83" t="n">
        <x:v>2986</x:v>
      </x:c>
      <x:c r="B2987" s="84" t="n">
        <x:v>1747</x:v>
      </x:c>
      <x:c r="C2987" s="84" t="n">
        <x:v>6</x:v>
      </x:c>
      <x:c r="D2987" s="89" t="n">
        <x:v>45341</x:v>
      </x:c>
      <x:c r="E2987" s="84" t="n">
        <x:v>3.4</x:v>
      </x:c>
      <x:c r="F2987" s="84" t="str">
        <x:v>Normal</x:v>
      </x:c>
      <x:c r="G2987" s="93" t="n">
        <x:v>177.68</x:v>
      </x:c>
      <x:c r="H2987" s="85" t="str">
        <x:v>Diagnóstico e execução</x:v>
      </x:c>
    </x:row>
    <x:row r="2988">
      <x:c r="A2988" s="83" t="n">
        <x:v>2987</x:v>
      </x:c>
      <x:c r="B2988" s="84" t="n">
        <x:v>1747</x:v>
      </x:c>
      <x:c r="C2988" s="84" t="n">
        <x:v>2</x:v>
      </x:c>
      <x:c r="D2988" s="89" t="n">
        <x:v>45341</x:v>
      </x:c>
      <x:c r="E2988" s="84" t="n">
        <x:v>2.8</x:v>
      </x:c>
      <x:c r="F2988" s="84" t="str">
        <x:v>Normal</x:v>
      </x:c>
      <x:c r="G2988" s="93" t="n">
        <x:v>104.33</x:v>
      </x:c>
      <x:c r="H2988" s="85" t="str">
        <x:v>Diagnóstico e execução</x:v>
      </x:c>
    </x:row>
    <x:row r="2989">
      <x:c r="A2989" s="83" t="n">
        <x:v>2988</x:v>
      </x:c>
      <x:c r="B2989" s="84" t="n">
        <x:v>1748</x:v>
      </x:c>
      <x:c r="C2989" s="84" t="n">
        <x:v>13</x:v>
      </x:c>
      <x:c r="D2989" s="89" t="n">
        <x:v>45054</x:v>
      </x:c>
      <x:c r="E2989" s="84" t="n">
        <x:v>7</x:v>
      </x:c>
      <x:c r="F2989" s="84" t="str">
        <x:v>Normal</x:v>
      </x:c>
      <x:c r="G2989" s="93" t="n">
        <x:v>237.16</x:v>
      </x:c>
      <x:c r="H2989" s="85" t="str">
        <x:v>Diagnóstico e execução</x:v>
      </x:c>
    </x:row>
    <x:row r="2990">
      <x:c r="A2990" s="83" t="n">
        <x:v>2989</x:v>
      </x:c>
      <x:c r="B2990" s="84" t="n">
        <x:v>1749</x:v>
      </x:c>
      <x:c r="C2990" s="84" t="n">
        <x:v>18</x:v>
      </x:c>
      <x:c r="D2990" s="89" t="n">
        <x:v>45030</x:v>
      </x:c>
      <x:c r="E2990" s="84" t="n">
        <x:v>3</x:v>
      </x:c>
      <x:c r="F2990" s="84" t="str">
        <x:v>Normal</x:v>
      </x:c>
      <x:c r="G2990" s="93" t="n">
        <x:v>189.27</x:v>
      </x:c>
      <x:c r="H2990" s="85" t="str">
        <x:v>Diagnóstico e execução</x:v>
      </x:c>
    </x:row>
    <x:row r="2991">
      <x:c r="A2991" s="83" t="n">
        <x:v>2990</x:v>
      </x:c>
      <x:c r="B2991" s="84" t="n">
        <x:v>1750</x:v>
      </x:c>
      <x:c r="C2991" s="84" t="n">
        <x:v>2</x:v>
      </x:c>
      <x:c r="D2991" s="89" t="n">
        <x:v>45763</x:v>
      </x:c>
      <x:c r="E2991" s="84" t="n">
        <x:v>6.3</x:v>
      </x:c>
      <x:c r="F2991" s="84" t="str">
        <x:v>Normal</x:v>
      </x:c>
      <x:c r="G2991" s="93" t="n">
        <x:v>234.74</x:v>
      </x:c>
      <x:c r="H2991" s="85" t="str">
        <x:v>Diagnóstico e execução</x:v>
      </x:c>
    </x:row>
    <x:row r="2992">
      <x:c r="A2992" s="83" t="n">
        <x:v>2991</x:v>
      </x:c>
      <x:c r="B2992" s="84" t="n">
        <x:v>1750</x:v>
      </x:c>
      <x:c r="C2992" s="84" t="n">
        <x:v>34</x:v>
      </x:c>
      <x:c r="D2992" s="89" t="n">
        <x:v>45763</x:v>
      </x:c>
      <x:c r="E2992" s="84" t="n">
        <x:v>6</x:v>
      </x:c>
      <x:c r="F2992" s="84" t="str">
        <x:v>Normal</x:v>
      </x:c>
      <x:c r="G2992" s="93" t="n">
        <x:v>259.38</x:v>
      </x:c>
      <x:c r="H2992" s="85" t="str">
        <x:v>Diagnóstico e execução</x:v>
      </x:c>
    </x:row>
    <x:row r="2993">
      <x:c r="A2993" s="83" t="n">
        <x:v>2992</x:v>
      </x:c>
      <x:c r="B2993" s="84" t="n">
        <x:v>1751</x:v>
      </x:c>
      <x:c r="C2993" s="84" t="n">
        <x:v>26</x:v>
      </x:c>
      <x:c r="D2993" s="89" t="n">
        <x:v>45457</x:v>
      </x:c>
      <x:c r="E2993" s="84" t="n">
        <x:v>4.8</x:v>
      </x:c>
      <x:c r="F2993" s="84" t="str">
        <x:v>Normal</x:v>
      </x:c>
      <x:c r="G2993" s="93" t="n">
        <x:v>187.78</x:v>
      </x:c>
      <x:c r="H2993" s="85" t="str">
        <x:v>Diagnóstico e execução</x:v>
      </x:c>
    </x:row>
    <x:row r="2994">
      <x:c r="A2994" s="83" t="n">
        <x:v>2993</x:v>
      </x:c>
      <x:c r="B2994" s="84" t="n">
        <x:v>1751</x:v>
      </x:c>
      <x:c r="C2994" s="84" t="n">
        <x:v>1</x:v>
      </x:c>
      <x:c r="D2994" s="89" t="n">
        <x:v>45457</x:v>
      </x:c>
      <x:c r="E2994" s="84" t="n">
        <x:v>1.2</x:v>
      </x:c>
      <x:c r="F2994" s="84" t="str">
        <x:v>Normal</x:v>
      </x:c>
      <x:c r="G2994" s="93" t="n">
        <x:v>42.44</x:v>
      </x:c>
      <x:c r="H2994" s="85" t="str">
        <x:v>Diagnóstico e execução</x:v>
      </x:c>
    </x:row>
    <x:row r="2995">
      <x:c r="A2995" s="83" t="n">
        <x:v>2994</x:v>
      </x:c>
      <x:c r="B2995" s="84" t="n">
        <x:v>1753</x:v>
      </x:c>
      <x:c r="C2995" s="84" t="n">
        <x:v>34</x:v>
      </x:c>
      <x:c r="D2995" s="89" t="n">
        <x:v>45511</x:v>
      </x:c>
      <x:c r="E2995" s="84" t="n">
        <x:v>5</x:v>
      </x:c>
      <x:c r="F2995" s="84" t="str">
        <x:v>Normal</x:v>
      </x:c>
      <x:c r="G2995" s="93" t="n">
        <x:v>216.15</x:v>
      </x:c>
      <x:c r="H2995" s="85" t="str">
        <x:v>Diagnóstico e execução</x:v>
      </x:c>
    </x:row>
    <x:row r="2996">
      <x:c r="A2996" s="83" t="n">
        <x:v>2995</x:v>
      </x:c>
      <x:c r="B2996" s="84" t="n">
        <x:v>1753</x:v>
      </x:c>
      <x:c r="C2996" s="84" t="n">
        <x:v>26</x:v>
      </x:c>
      <x:c r="D2996" s="89" t="n">
        <x:v>45511</x:v>
      </x:c>
      <x:c r="E2996" s="84" t="n">
        <x:v>4.5</x:v>
      </x:c>
      <x:c r="F2996" s="84" t="str">
        <x:v>Normal</x:v>
      </x:c>
      <x:c r="G2996" s="93" t="n">
        <x:v>176.04</x:v>
      </x:c>
      <x:c r="H2996" s="85" t="str">
        <x:v>Diagnóstico e execução</x:v>
      </x:c>
    </x:row>
    <x:row r="2997">
      <x:c r="A2997" s="83" t="n">
        <x:v>2996</x:v>
      </x:c>
      <x:c r="B2997" s="84" t="n">
        <x:v>1753</x:v>
      </x:c>
      <x:c r="C2997" s="84" t="n">
        <x:v>2</x:v>
      </x:c>
      <x:c r="D2997" s="89" t="n">
        <x:v>45511</x:v>
      </x:c>
      <x:c r="E2997" s="84" t="n">
        <x:v>6.5</x:v>
      </x:c>
      <x:c r="F2997" s="84" t="str">
        <x:v>Normal</x:v>
      </x:c>
      <x:c r="G2997" s="93" t="n">
        <x:v>242.19</x:v>
      </x:c>
      <x:c r="H2997" s="85" t="str">
        <x:v>Diagnóstico e execução</x:v>
      </x:c>
    </x:row>
    <x:row r="2998">
      <x:c r="A2998" s="83" t="n">
        <x:v>2997</x:v>
      </x:c>
      <x:c r="B2998" s="84" t="n">
        <x:v>1754</x:v>
      </x:c>
      <x:c r="C2998" s="84" t="n">
        <x:v>36</x:v>
      </x:c>
      <x:c r="D2998" s="89" t="n">
        <x:v>45365</x:v>
      </x:c>
      <x:c r="E2998" s="84" t="n">
        <x:v>3.7</x:v>
      </x:c>
      <x:c r="F2998" s="84" t="str">
        <x:v>Normal</x:v>
      </x:c>
      <x:c r="G2998" s="93" t="n">
        <x:v>109.74</x:v>
      </x:c>
      <x:c r="H2998" s="85" t="str">
        <x:v>Diagnóstico e execução</x:v>
      </x:c>
    </x:row>
    <x:row r="2999">
      <x:c r="A2999" s="83" t="n">
        <x:v>2998</x:v>
      </x:c>
      <x:c r="B2999" s="84" t="n">
        <x:v>1754</x:v>
      </x:c>
      <x:c r="C2999" s="84" t="n">
        <x:v>21</x:v>
      </x:c>
      <x:c r="D2999" s="89" t="n">
        <x:v>45365</x:v>
      </x:c>
      <x:c r="E2999" s="84" t="n">
        <x:v>7.9</x:v>
      </x:c>
      <x:c r="F2999" s="84" t="str">
        <x:v>Normal</x:v>
      </x:c>
      <x:c r="G2999" s="93" t="n">
        <x:v>485.3</x:v>
      </x:c>
      <x:c r="H2999" s="85" t="str">
        <x:v>Diagnóstico e execução</x:v>
      </x:c>
    </x:row>
    <x:row r="3000">
      <x:c r="A3000" s="83" t="n">
        <x:v>2999</x:v>
      </x:c>
      <x:c r="B3000" s="84" t="n">
        <x:v>1754</x:v>
      </x:c>
      <x:c r="C3000" s="84" t="n">
        <x:v>20</x:v>
      </x:c>
      <x:c r="D3000" s="89" t="n">
        <x:v>45365</x:v>
      </x:c>
      <x:c r="E3000" s="84" t="n">
        <x:v>2.4</x:v>
      </x:c>
      <x:c r="F3000" s="84" t="str">
        <x:v>Normal</x:v>
      </x:c>
      <x:c r="G3000" s="93" t="n">
        <x:v>80.45</x:v>
      </x:c>
      <x:c r="H3000" s="85" t="str">
        <x:v>Diagnóstico e execução</x:v>
      </x:c>
    </x:row>
    <x:row r="3001">
      <x:c r="A3001" s="83" t="n">
        <x:v>3000</x:v>
      </x:c>
      <x:c r="B3001" s="84" t="n">
        <x:v>1755</x:v>
      </x:c>
      <x:c r="C3001" s="84" t="n">
        <x:v>14</x:v>
      </x:c>
      <x:c r="D3001" s="89" t="n">
        <x:v>45330</x:v>
      </x:c>
      <x:c r="E3001" s="84" t="n">
        <x:v>5.5</x:v>
      </x:c>
      <x:c r="F3001" s="84" t="str">
        <x:v>Normal</x:v>
      </x:c>
      <x:c r="G3001" s="93" t="n">
        <x:v>311.63</x:v>
      </x:c>
      <x:c r="H3001" s="85" t="str">
        <x:v>Diagnóstico e execução</x:v>
      </x:c>
    </x:row>
    <x:row r="3002">
      <x:c r="A3002" s="83" t="n">
        <x:v>3001</x:v>
      </x:c>
      <x:c r="B3002" s="84" t="n">
        <x:v>1756</x:v>
      </x:c>
      <x:c r="C3002" s="84" t="n">
        <x:v>41</x:v>
      </x:c>
      <x:c r="D3002" s="89" t="n">
        <x:v>45726</x:v>
      </x:c>
      <x:c r="E3002" s="84" t="n">
        <x:v>3.4</x:v>
      </x:c>
      <x:c r="F3002" s="84" t="str">
        <x:v>Normal</x:v>
      </x:c>
      <x:c r="G3002" s="93" t="n">
        <x:v>171.97</x:v>
      </x:c>
      <x:c r="H3002" s="85" t="str">
        <x:v>Diagnóstico e execução</x:v>
      </x:c>
    </x:row>
    <x:row r="3003">
      <x:c r="A3003" s="83" t="n">
        <x:v>3002</x:v>
      </x:c>
      <x:c r="B3003" s="84" t="n">
        <x:v>1759</x:v>
      </x:c>
      <x:c r="C3003" s="84" t="n">
        <x:v>37</x:v>
      </x:c>
      <x:c r="D3003" s="89" t="n">
        <x:v>45824</x:v>
      </x:c>
      <x:c r="E3003" s="84" t="n">
        <x:v>7.1</x:v>
      </x:c>
      <x:c r="F3003" s="84" t="str">
        <x:v>Normal</x:v>
      </x:c>
      <x:c r="G3003" s="93" t="n">
        <x:v>418.69</x:v>
      </x:c>
      <x:c r="H3003" s="85" t="str">
        <x:v>Diagnóstico e execução</x:v>
      </x:c>
    </x:row>
    <x:row r="3004">
      <x:c r="A3004" s="83" t="n">
        <x:v>3003</x:v>
      </x:c>
      <x:c r="B3004" s="84" t="n">
        <x:v>1759</x:v>
      </x:c>
      <x:c r="C3004" s="84" t="n">
        <x:v>19</x:v>
      </x:c>
      <x:c r="D3004" s="89" t="n">
        <x:v>45824</x:v>
      </x:c>
      <x:c r="E3004" s="84" t="n">
        <x:v>4</x:v>
      </x:c>
      <x:c r="F3004" s="84" t="str">
        <x:v>Normal</x:v>
      </x:c>
      <x:c r="G3004" s="93" t="n">
        <x:v>185.92</x:v>
      </x:c>
      <x:c r="H3004" s="85" t="str">
        <x:v>Diagnóstico e execução</x:v>
      </x:c>
    </x:row>
    <x:row r="3005">
      <x:c r="A3005" s="83" t="n">
        <x:v>3004</x:v>
      </x:c>
      <x:c r="B3005" s="84" t="n">
        <x:v>1759</x:v>
      </x:c>
      <x:c r="C3005" s="84" t="n">
        <x:v>2</x:v>
      </x:c>
      <x:c r="D3005" s="89" t="n">
        <x:v>45824</x:v>
      </x:c>
      <x:c r="E3005" s="84" t="n">
        <x:v>4.8</x:v>
      </x:c>
      <x:c r="F3005" s="84" t="str">
        <x:v>Normal</x:v>
      </x:c>
      <x:c r="G3005" s="93" t="n">
        <x:v>178.85</x:v>
      </x:c>
      <x:c r="H3005" s="85" t="str">
        <x:v>Diagnóstico e execução</x:v>
      </x:c>
    </x:row>
    <x:row r="3006">
      <x:c r="A3006" s="83" t="n">
        <x:v>3005</x:v>
      </x:c>
      <x:c r="B3006" s="84" t="n">
        <x:v>1761</x:v>
      </x:c>
      <x:c r="C3006" s="84" t="n">
        <x:v>21</x:v>
      </x:c>
      <x:c r="D3006" s="89" t="n">
        <x:v>45268</x:v>
      </x:c>
      <x:c r="E3006" s="84" t="n">
        <x:v>0.8</x:v>
      </x:c>
      <x:c r="F3006" s="84" t="str">
        <x:v>Normal</x:v>
      </x:c>
      <x:c r="G3006" s="93" t="n">
        <x:v>49.14</x:v>
      </x:c>
      <x:c r="H3006" s="85" t="str">
        <x:v>Diagnóstico e execução</x:v>
      </x:c>
    </x:row>
    <x:row r="3007">
      <x:c r="A3007" s="83" t="n">
        <x:v>3006</x:v>
      </x:c>
      <x:c r="B3007" s="84" t="n">
        <x:v>1761</x:v>
      </x:c>
      <x:c r="C3007" s="84" t="n">
        <x:v>36</x:v>
      </x:c>
      <x:c r="D3007" s="89" t="n">
        <x:v>45268</x:v>
      </x:c>
      <x:c r="E3007" s="84" t="n">
        <x:v>6.2</x:v>
      </x:c>
      <x:c r="F3007" s="84" t="str">
        <x:v>Normal</x:v>
      </x:c>
      <x:c r="G3007" s="93" t="n">
        <x:v>183.89</x:v>
      </x:c>
      <x:c r="H3007" s="85" t="str">
        <x:v>Diagnóstico e execução</x:v>
      </x:c>
    </x:row>
    <x:row r="3008">
      <x:c r="A3008" s="83" t="n">
        <x:v>3007</x:v>
      </x:c>
      <x:c r="B3008" s="84" t="n">
        <x:v>1762</x:v>
      </x:c>
      <x:c r="C3008" s="84" t="n">
        <x:v>5</x:v>
      </x:c>
      <x:c r="D3008" s="89" t="n">
        <x:v>45828</x:v>
      </x:c>
      <x:c r="E3008" s="84" t="n">
        <x:v>3.6</x:v>
      </x:c>
      <x:c r="F3008" s="84" t="str">
        <x:v>Normal</x:v>
      </x:c>
      <x:c r="G3008" s="93" t="n">
        <x:v>103.75</x:v>
      </x:c>
      <x:c r="H3008" s="85" t="str">
        <x:v>Diagnóstico e execução</x:v>
      </x:c>
    </x:row>
    <x:row r="3009">
      <x:c r="A3009" s="83" t="n">
        <x:v>3008</x:v>
      </x:c>
      <x:c r="B3009" s="84" t="n">
        <x:v>1763</x:v>
      </x:c>
      <x:c r="C3009" s="84" t="n">
        <x:v>43</x:v>
      </x:c>
      <x:c r="D3009" s="89" t="n">
        <x:v>45913</x:v>
      </x:c>
      <x:c r="E3009" s="84" t="n">
        <x:v>2.4</x:v>
      </x:c>
      <x:c r="F3009" s="84" t="str">
        <x:v>Normal</x:v>
      </x:c>
      <x:c r="G3009" s="93" t="n">
        <x:v>131.18</x:v>
      </x:c>
      <x:c r="H3009" s="85" t="str">
        <x:v>Diagnóstico e execução</x:v>
      </x:c>
    </x:row>
    <x:row r="3010">
      <x:c r="A3010" s="83" t="n">
        <x:v>3009</x:v>
      </x:c>
      <x:c r="B3010" s="84" t="n">
        <x:v>1764</x:v>
      </x:c>
      <x:c r="C3010" s="84" t="n">
        <x:v>21</x:v>
      </x:c>
      <x:c r="D3010" s="89" t="n">
        <x:v>45626</x:v>
      </x:c>
      <x:c r="E3010" s="84" t="n">
        <x:v>0.9</x:v>
      </x:c>
      <x:c r="F3010" s="84" t="str">
        <x:v>Normal</x:v>
      </x:c>
      <x:c r="G3010" s="93" t="n">
        <x:v>55.29</x:v>
      </x:c>
      <x:c r="H3010" s="85" t="str">
        <x:v>Diagnóstico e execução</x:v>
      </x:c>
    </x:row>
    <x:row r="3011">
      <x:c r="A3011" s="83" t="n">
        <x:v>3010</x:v>
      </x:c>
      <x:c r="B3011" s="84" t="n">
        <x:v>1766</x:v>
      </x:c>
      <x:c r="C3011" s="84" t="n">
        <x:v>40</x:v>
      </x:c>
      <x:c r="D3011" s="89" t="n">
        <x:v>45699</x:v>
      </x:c>
      <x:c r="E3011" s="84" t="n">
        <x:v>1.1</x:v>
      </x:c>
      <x:c r="F3011" s="84" t="str">
        <x:v>Normal</x:v>
      </x:c>
      <x:c r="G3011" s="93" t="n">
        <x:v>54.36</x:v>
      </x:c>
      <x:c r="H3011" s="85" t="str">
        <x:v>Diagnóstico e execução</x:v>
      </x:c>
    </x:row>
    <x:row r="3012">
      <x:c r="A3012" s="83" t="n">
        <x:v>3011</x:v>
      </x:c>
      <x:c r="B3012" s="84" t="n">
        <x:v>1766</x:v>
      </x:c>
      <x:c r="C3012" s="84" t="n">
        <x:v>31</x:v>
      </x:c>
      <x:c r="D3012" s="89" t="n">
        <x:v>45699</x:v>
      </x:c>
      <x:c r="E3012" s="84" t="n">
        <x:v>1.6</x:v>
      </x:c>
      <x:c r="F3012" s="84" t="str">
        <x:v>Normal</x:v>
      </x:c>
      <x:c r="G3012" s="93" t="n">
        <x:v>78.24</x:v>
      </x:c>
      <x:c r="H3012" s="85" t="str">
        <x:v>Diagnóstico e execução</x:v>
      </x:c>
    </x:row>
    <x:row r="3013">
      <x:c r="A3013" s="83" t="n">
        <x:v>3012</x:v>
      </x:c>
      <x:c r="B3013" s="84" t="n">
        <x:v>1767</x:v>
      </x:c>
      <x:c r="C3013" s="84" t="n">
        <x:v>32</x:v>
      </x:c>
      <x:c r="D3013" s="89" t="n">
        <x:v>45894</x:v>
      </x:c>
      <x:c r="E3013" s="84" t="n">
        <x:v>1.6</x:v>
      </x:c>
      <x:c r="F3013" s="84" t="str">
        <x:v>Normal</x:v>
      </x:c>
      <x:c r="G3013" s="93" t="n">
        <x:v>69.84</x:v>
      </x:c>
      <x:c r="H3013" s="85" t="str">
        <x:v>Diagnóstico e execução</x:v>
      </x:c>
    </x:row>
    <x:row r="3014">
      <x:c r="A3014" s="83" t="n">
        <x:v>3013</x:v>
      </x:c>
      <x:c r="B3014" s="84" t="n">
        <x:v>1767</x:v>
      </x:c>
      <x:c r="C3014" s="84" t="n">
        <x:v>5</x:v>
      </x:c>
      <x:c r="D3014" s="89" t="n">
        <x:v>45894</x:v>
      </x:c>
      <x:c r="E3014" s="84" t="n">
        <x:v>2.5</x:v>
      </x:c>
      <x:c r="F3014" s="84" t="str">
        <x:v>Normal</x:v>
      </x:c>
      <x:c r="G3014" s="93" t="n">
        <x:v>72.05</x:v>
      </x:c>
      <x:c r="H3014" s="85" t="str">
        <x:v>Diagnóstico e execução</x:v>
      </x:c>
    </x:row>
    <x:row r="3015">
      <x:c r="A3015" s="83" t="n">
        <x:v>3014</x:v>
      </x:c>
      <x:c r="B3015" s="84" t="n">
        <x:v>1767</x:v>
      </x:c>
      <x:c r="C3015" s="84" t="n">
        <x:v>21</x:v>
      </x:c>
      <x:c r="D3015" s="89" t="n">
        <x:v>45894</x:v>
      </x:c>
      <x:c r="E3015" s="84" t="n">
        <x:v>0.8</x:v>
      </x:c>
      <x:c r="F3015" s="84" t="str">
        <x:v>Normal</x:v>
      </x:c>
      <x:c r="G3015" s="93" t="n">
        <x:v>49.14</x:v>
      </x:c>
      <x:c r="H3015" s="85" t="str">
        <x:v>Diagnóstico e execução</x:v>
      </x:c>
    </x:row>
    <x:row r="3016">
      <x:c r="A3016" s="83" t="n">
        <x:v>3015</x:v>
      </x:c>
      <x:c r="B3016" s="84" t="n">
        <x:v>1768</x:v>
      </x:c>
      <x:c r="C3016" s="84" t="n">
        <x:v>30</x:v>
      </x:c>
      <x:c r="D3016" s="89" t="n">
        <x:v>45593</x:v>
      </x:c>
      <x:c r="E3016" s="84" t="n">
        <x:v>6.4</x:v>
      </x:c>
      <x:c r="F3016" s="84" t="str">
        <x:v>Normal</x:v>
      </x:c>
      <x:c r="G3016" s="93" t="n">
        <x:v>265.02</x:v>
      </x:c>
      <x:c r="H3016" s="85" t="str">
        <x:v>Diagnóstico e execução</x:v>
      </x:c>
    </x:row>
    <x:row r="3017">
      <x:c r="A3017" s="83" t="n">
        <x:v>3016</x:v>
      </x:c>
      <x:c r="B3017" s="84" t="n">
        <x:v>1769</x:v>
      </x:c>
      <x:c r="C3017" s="84" t="n">
        <x:v>6</x:v>
      </x:c>
      <x:c r="D3017" s="89" t="n">
        <x:v>45215</x:v>
      </x:c>
      <x:c r="E3017" s="84" t="n">
        <x:v>4.1</x:v>
      </x:c>
      <x:c r="F3017" s="84" t="str">
        <x:v>Normal</x:v>
      </x:c>
      <x:c r="G3017" s="93" t="n">
        <x:v>214.27</x:v>
      </x:c>
      <x:c r="H3017" s="85" t="str">
        <x:v>Diagnóstico e execução</x:v>
      </x:c>
    </x:row>
    <x:row r="3018">
      <x:c r="A3018" s="83" t="n">
        <x:v>3017</x:v>
      </x:c>
      <x:c r="B3018" s="84" t="n">
        <x:v>1769</x:v>
      </x:c>
      <x:c r="C3018" s="84" t="n">
        <x:v>33</x:v>
      </x:c>
      <x:c r="D3018" s="89" t="n">
        <x:v>45215</x:v>
      </x:c>
      <x:c r="E3018" s="84" t="n">
        <x:v>2</x:v>
      </x:c>
      <x:c r="F3018" s="84" t="str">
        <x:v>Normal</x:v>
      </x:c>
      <x:c r="G3018" s="93" t="n">
        <x:v>68.98</x:v>
      </x:c>
      <x:c r="H3018" s="85" t="str">
        <x:v>Diagnóstico e execução</x:v>
      </x:c>
    </x:row>
    <x:row r="3019">
      <x:c r="A3019" s="83" t="n">
        <x:v>3018</x:v>
      </x:c>
      <x:c r="B3019" s="84" t="n">
        <x:v>1769</x:v>
      </x:c>
      <x:c r="C3019" s="84" t="n">
        <x:v>2</x:v>
      </x:c>
      <x:c r="D3019" s="89" t="n">
        <x:v>45215</x:v>
      </x:c>
      <x:c r="E3019" s="84" t="n">
        <x:v>5.7</x:v>
      </x:c>
      <x:c r="F3019" s="84" t="str">
        <x:v>Normal</x:v>
      </x:c>
      <x:c r="G3019" s="93" t="n">
        <x:v>212.38</x:v>
      </x:c>
      <x:c r="H3019" s="85" t="str">
        <x:v>Diagnóstico e execução</x:v>
      </x:c>
    </x:row>
    <x:row r="3020">
      <x:c r="A3020" s="83" t="n">
        <x:v>3019</x:v>
      </x:c>
      <x:c r="B3020" s="84" t="n">
        <x:v>1770</x:v>
      </x:c>
      <x:c r="C3020" s="84" t="n">
        <x:v>44</x:v>
      </x:c>
      <x:c r="D3020" s="89" t="n">
        <x:v>45864</x:v>
      </x:c>
      <x:c r="E3020" s="84" t="n">
        <x:v>6.6</x:v>
      </x:c>
      <x:c r="F3020" s="84" t="str">
        <x:v>Normal</x:v>
      </x:c>
      <x:c r="G3020" s="93" t="n">
        <x:v>185.06</x:v>
      </x:c>
      <x:c r="H3020" s="85" t="str">
        <x:v>Diagnóstico e execução</x:v>
      </x:c>
    </x:row>
    <x:row r="3021">
      <x:c r="A3021" s="83" t="n">
        <x:v>3020</x:v>
      </x:c>
      <x:c r="B3021" s="84" t="n">
        <x:v>1770</x:v>
      </x:c>
      <x:c r="C3021" s="84" t="n">
        <x:v>11</x:v>
      </x:c>
      <x:c r="D3021" s="89" t="n">
        <x:v>45864</x:v>
      </x:c>
      <x:c r="E3021" s="84" t="n">
        <x:v>3.2</x:v>
      </x:c>
      <x:c r="F3021" s="84" t="str">
        <x:v>Normal</x:v>
      </x:c>
      <x:c r="G3021" s="93" t="n">
        <x:v>133.38</x:v>
      </x:c>
      <x:c r="H3021" s="85" t="str">
        <x:v>Diagnóstico e execução</x:v>
      </x:c>
    </x:row>
    <x:row r="3022">
      <x:c r="A3022" s="83" t="n">
        <x:v>3021</x:v>
      </x:c>
      <x:c r="B3022" s="84" t="n">
        <x:v>1771</x:v>
      </x:c>
      <x:c r="C3022" s="84" t="n">
        <x:v>3</x:v>
      </x:c>
      <x:c r="D3022" s="89" t="n">
        <x:v>45671</x:v>
      </x:c>
      <x:c r="E3022" s="84" t="n">
        <x:v>2.4</x:v>
      </x:c>
      <x:c r="F3022" s="84" t="str">
        <x:v>Normal</x:v>
      </x:c>
      <x:c r="G3022" s="93" t="n">
        <x:v>118.18</x:v>
      </x:c>
      <x:c r="H3022" s="85" t="str">
        <x:v>Diagnóstico e execução</x:v>
      </x:c>
    </x:row>
    <x:row r="3023">
      <x:c r="A3023" s="83" t="n">
        <x:v>3022</x:v>
      </x:c>
      <x:c r="B3023" s="84" t="n">
        <x:v>1771</x:v>
      </x:c>
      <x:c r="C3023" s="84" t="n">
        <x:v>15</x:v>
      </x:c>
      <x:c r="D3023" s="89" t="n">
        <x:v>45671</x:v>
      </x:c>
      <x:c r="E3023" s="84" t="n">
        <x:v>0.9</x:v>
      </x:c>
      <x:c r="F3023" s="84" t="str">
        <x:v>Normal</x:v>
      </x:c>
      <x:c r="G3023" s="93" t="n">
        <x:v>27.22</x:v>
      </x:c>
      <x:c r="H3023" s="85" t="str">
        <x:v>Diagnóstico e execução</x:v>
      </x:c>
    </x:row>
    <x:row r="3024">
      <x:c r="A3024" s="83" t="n">
        <x:v>3023</x:v>
      </x:c>
      <x:c r="B3024" s="84" t="n">
        <x:v>1772</x:v>
      </x:c>
      <x:c r="C3024" s="84" t="n">
        <x:v>12</x:v>
      </x:c>
      <x:c r="D3024" s="89" t="n">
        <x:v>45624</x:v>
      </x:c>
      <x:c r="E3024" s="84" t="n">
        <x:v>1.4</x:v>
      </x:c>
      <x:c r="F3024" s="84" t="str">
        <x:v>Normal</x:v>
      </x:c>
      <x:c r="G3024" s="93" t="n">
        <x:v>48.3</x:v>
      </x:c>
      <x:c r="H3024" s="85" t="str">
        <x:v>Diagnóstico e execução</x:v>
      </x:c>
    </x:row>
    <x:row r="3025">
      <x:c r="A3025" s="83" t="n">
        <x:v>3024</x:v>
      </x:c>
      <x:c r="B3025" s="84" t="n">
        <x:v>1772</x:v>
      </x:c>
      <x:c r="C3025" s="84" t="n">
        <x:v>35</x:v>
      </x:c>
      <x:c r="D3025" s="89" t="n">
        <x:v>45624</x:v>
      </x:c>
      <x:c r="E3025" s="84" t="n">
        <x:v>4.9</x:v>
      </x:c>
      <x:c r="F3025" s="84" t="str">
        <x:v>Normal</x:v>
      </x:c>
      <x:c r="G3025" s="93" t="n">
        <x:v>241.03</x:v>
      </x:c>
      <x:c r="H3025" s="85" t="str">
        <x:v>Diagnóstico e execução</x:v>
      </x:c>
    </x:row>
    <x:row r="3026">
      <x:c r="A3026" s="83" t="n">
        <x:v>3025</x:v>
      </x:c>
      <x:c r="B3026" s="84" t="n">
        <x:v>1773</x:v>
      </x:c>
      <x:c r="C3026" s="84" t="n">
        <x:v>27</x:v>
      </x:c>
      <x:c r="D3026" s="89" t="n">
        <x:v>45124</x:v>
      </x:c>
      <x:c r="E3026" s="84" t="n">
        <x:v>4.2</x:v>
      </x:c>
      <x:c r="F3026" s="84" t="str">
        <x:v>Normal</x:v>
      </x:c>
      <x:c r="G3026" s="93" t="n">
        <x:v>256.16</x:v>
      </x:c>
      <x:c r="H3026" s="85" t="str">
        <x:v>Diagnóstico e execução</x:v>
      </x:c>
    </x:row>
    <x:row r="3027">
      <x:c r="A3027" s="83" t="n">
        <x:v>3026</x:v>
      </x:c>
      <x:c r="B3027" s="84" t="n">
        <x:v>1773</x:v>
      </x:c>
      <x:c r="C3027" s="84" t="n">
        <x:v>42</x:v>
      </x:c>
      <x:c r="D3027" s="89" t="n">
        <x:v>45124</x:v>
      </x:c>
      <x:c r="E3027" s="84" t="n">
        <x:v>3.1</x:v>
      </x:c>
      <x:c r="F3027" s="84" t="str">
        <x:v>Normal</x:v>
      </x:c>
      <x:c r="G3027" s="93" t="n">
        <x:v>130.76</x:v>
      </x:c>
      <x:c r="H3027" s="85" t="str">
        <x:v>Diagnóstico e execução</x:v>
      </x:c>
    </x:row>
    <x:row r="3028">
      <x:c r="A3028" s="83" t="n">
        <x:v>3027</x:v>
      </x:c>
      <x:c r="B3028" s="84" t="n">
        <x:v>1773</x:v>
      </x:c>
      <x:c r="C3028" s="84" t="n">
        <x:v>27</x:v>
      </x:c>
      <x:c r="D3028" s="89" t="n">
        <x:v>45124</x:v>
      </x:c>
      <x:c r="E3028" s="84" t="n">
        <x:v>2.7</x:v>
      </x:c>
      <x:c r="F3028" s="84" t="str">
        <x:v>Normal</x:v>
      </x:c>
      <x:c r="G3028" s="93" t="n">
        <x:v>164.67</x:v>
      </x:c>
      <x:c r="H3028" s="85" t="str">
        <x:v>Diagnóstico e execução</x:v>
      </x:c>
    </x:row>
    <x:row r="3029">
      <x:c r="A3029" s="83" t="n">
        <x:v>3028</x:v>
      </x:c>
      <x:c r="B3029" s="84" t="n">
        <x:v>1774</x:v>
      </x:c>
      <x:c r="C3029" s="84" t="n">
        <x:v>7</x:v>
      </x:c>
      <x:c r="D3029" s="89" t="n">
        <x:v>45783</x:v>
      </x:c>
      <x:c r="E3029" s="84" t="n">
        <x:v>2.7</x:v>
      </x:c>
      <x:c r="F3029" s="84" t="str">
        <x:v>Normal</x:v>
      </x:c>
      <x:c r="G3029" s="93" t="n">
        <x:v>157.17</x:v>
      </x:c>
      <x:c r="H3029" s="85" t="str">
        <x:v>Diagnóstico e execução</x:v>
      </x:c>
    </x:row>
    <x:row r="3030">
      <x:c r="A3030" s="83" t="n">
        <x:v>3029</x:v>
      </x:c>
      <x:c r="B3030" s="84" t="n">
        <x:v>1775</x:v>
      </x:c>
      <x:c r="C3030" s="84" t="n">
        <x:v>10</x:v>
      </x:c>
      <x:c r="D3030" s="89" t="n">
        <x:v>45372</x:v>
      </x:c>
      <x:c r="E3030" s="84" t="n">
        <x:v>7</x:v>
      </x:c>
      <x:c r="F3030" s="84" t="str">
        <x:v>Normal</x:v>
      </x:c>
      <x:c r="G3030" s="93" t="n">
        <x:v>207.83</x:v>
      </x:c>
      <x:c r="H3030" s="85" t="str">
        <x:v>Diagnóstico e execução</x:v>
      </x:c>
    </x:row>
    <x:row r="3031">
      <x:c r="A3031" s="83" t="n">
        <x:v>3030</x:v>
      </x:c>
      <x:c r="B3031" s="84" t="n">
        <x:v>1776</x:v>
      </x:c>
      <x:c r="C3031" s="84" t="n">
        <x:v>16</x:v>
      </x:c>
      <x:c r="D3031" s="89" t="n">
        <x:v>45112</x:v>
      </x:c>
      <x:c r="E3031" s="84" t="n">
        <x:v>7.7</x:v>
      </x:c>
      <x:c r="F3031" s="84" t="str">
        <x:v>Normal</x:v>
      </x:c>
      <x:c r="G3031" s="93" t="n">
        <x:v>312</x:v>
      </x:c>
      <x:c r="H3031" s="85" t="str">
        <x:v>Diagnóstico e execução</x:v>
      </x:c>
    </x:row>
    <x:row r="3032">
      <x:c r="A3032" s="83" t="n">
        <x:v>3031</x:v>
      </x:c>
      <x:c r="B3032" s="84" t="n">
        <x:v>1776</x:v>
      </x:c>
      <x:c r="C3032" s="84" t="n">
        <x:v>35</x:v>
      </x:c>
      <x:c r="D3032" s="89" t="n">
        <x:v>45112</x:v>
      </x:c>
      <x:c r="E3032" s="84" t="n">
        <x:v>2.1</x:v>
      </x:c>
      <x:c r="F3032" s="84" t="str">
        <x:v>Normal</x:v>
      </x:c>
      <x:c r="G3032" s="93" t="n">
        <x:v>103.3</x:v>
      </x:c>
      <x:c r="H3032" s="85" t="str">
        <x:v>Diagnóstico e execução</x:v>
      </x:c>
    </x:row>
    <x:row r="3033">
      <x:c r="A3033" s="83" t="n">
        <x:v>3032</x:v>
      </x:c>
      <x:c r="B3033" s="84" t="n">
        <x:v>1776</x:v>
      </x:c>
      <x:c r="C3033" s="84" t="n">
        <x:v>27</x:v>
      </x:c>
      <x:c r="D3033" s="89" t="n">
        <x:v>45112</x:v>
      </x:c>
      <x:c r="E3033" s="84" t="n">
        <x:v>7.7</x:v>
      </x:c>
      <x:c r="F3033" s="84" t="str">
        <x:v>Normal</x:v>
      </x:c>
      <x:c r="G3033" s="93" t="n">
        <x:v>469.62</x:v>
      </x:c>
      <x:c r="H3033" s="85" t="str">
        <x:v>Diagnóstico e execução</x:v>
      </x:c>
    </x:row>
    <x:row r="3034">
      <x:c r="A3034" s="83" t="n">
        <x:v>3033</x:v>
      </x:c>
      <x:c r="B3034" s="84" t="n">
        <x:v>1777</x:v>
      </x:c>
      <x:c r="C3034" s="84" t="n">
        <x:v>9</x:v>
      </x:c>
      <x:c r="D3034" s="89" t="n">
        <x:v>45087</x:v>
      </x:c>
      <x:c r="E3034" s="84" t="n">
        <x:v>3.6</x:v>
      </x:c>
      <x:c r="F3034" s="84" t="str">
        <x:v>Normal</x:v>
      </x:c>
      <x:c r="G3034" s="93" t="n">
        <x:v>189.61</x:v>
      </x:c>
      <x:c r="H3034" s="85" t="str">
        <x:v>Diagnóstico e execução</x:v>
      </x:c>
    </x:row>
    <x:row r="3035">
      <x:c r="A3035" s="83" t="n">
        <x:v>3034</x:v>
      </x:c>
      <x:c r="B3035" s="84" t="n">
        <x:v>1777</x:v>
      </x:c>
      <x:c r="C3035" s="84" t="n">
        <x:v>35</x:v>
      </x:c>
      <x:c r="D3035" s="89" t="n">
        <x:v>45087</x:v>
      </x:c>
      <x:c r="E3035" s="84" t="n">
        <x:v>7.1</x:v>
      </x:c>
      <x:c r="F3035" s="84" t="str">
        <x:v>Normal</x:v>
      </x:c>
      <x:c r="G3035" s="93" t="n">
        <x:v>349.25</x:v>
      </x:c>
      <x:c r="H3035" s="85" t="str">
        <x:v>Diagnóstico e execução</x:v>
      </x:c>
    </x:row>
    <x:row r="3036">
      <x:c r="A3036" s="83" t="n">
        <x:v>3035</x:v>
      </x:c>
      <x:c r="B3036" s="84" t="n">
        <x:v>1778</x:v>
      </x:c>
      <x:c r="C3036" s="84" t="n">
        <x:v>21</x:v>
      </x:c>
      <x:c r="D3036" s="89" t="n">
        <x:v>45871</x:v>
      </x:c>
      <x:c r="E3036" s="84" t="n">
        <x:v>7.6</x:v>
      </x:c>
      <x:c r="F3036" s="84" t="str">
        <x:v>Normal</x:v>
      </x:c>
      <x:c r="G3036" s="93" t="n">
        <x:v>466.87</x:v>
      </x:c>
      <x:c r="H3036" s="85" t="str">
        <x:v>Diagnóstico e execução</x:v>
      </x:c>
    </x:row>
    <x:row r="3037">
      <x:c r="A3037" s="83" t="n">
        <x:v>3036</x:v>
      </x:c>
      <x:c r="B3037" s="84" t="n">
        <x:v>1778</x:v>
      </x:c>
      <x:c r="C3037" s="84" t="n">
        <x:v>45</x:v>
      </x:c>
      <x:c r="D3037" s="89" t="n">
        <x:v>45871</x:v>
      </x:c>
      <x:c r="E3037" s="84" t="n">
        <x:v>4.3</x:v>
      </x:c>
      <x:c r="F3037" s="84" t="str">
        <x:v>Normal</x:v>
      </x:c>
      <x:c r="G3037" s="93" t="n">
        <x:v>230.35</x:v>
      </x:c>
      <x:c r="H3037" s="85" t="str">
        <x:v>Diagnóstico e execução</x:v>
      </x:c>
    </x:row>
    <x:row r="3038">
      <x:c r="A3038" s="83" t="n">
        <x:v>3037</x:v>
      </x:c>
      <x:c r="B3038" s="84" t="n">
        <x:v>1779</x:v>
      </x:c>
      <x:c r="C3038" s="84" t="n">
        <x:v>35</x:v>
      </x:c>
      <x:c r="D3038" s="89" t="n">
        <x:v>45097</x:v>
      </x:c>
      <x:c r="E3038" s="84" t="n">
        <x:v>6.2</x:v>
      </x:c>
      <x:c r="F3038" s="84" t="str">
        <x:v>Normal</x:v>
      </x:c>
      <x:c r="G3038" s="93" t="n">
        <x:v>304.98</x:v>
      </x:c>
      <x:c r="H3038" s="85" t="str">
        <x:v>Diagnóstico e execução</x:v>
      </x:c>
    </x:row>
    <x:row r="3039">
      <x:c r="A3039" s="83" t="n">
        <x:v>3038</x:v>
      </x:c>
      <x:c r="B3039" s="84" t="n">
        <x:v>1779</x:v>
      </x:c>
      <x:c r="C3039" s="84" t="n">
        <x:v>38</x:v>
      </x:c>
      <x:c r="D3039" s="89" t="n">
        <x:v>45097</x:v>
      </x:c>
      <x:c r="E3039" s="84" t="n">
        <x:v>0.6</x:v>
      </x:c>
      <x:c r="F3039" s="84" t="str">
        <x:v>Normal</x:v>
      </x:c>
      <x:c r="G3039" s="93" t="n">
        <x:v>20.2</x:v>
      </x:c>
      <x:c r="H3039" s="85" t="str">
        <x:v>Diagnóstico e execução</x:v>
      </x:c>
    </x:row>
    <x:row r="3040">
      <x:c r="A3040" s="83" t="n">
        <x:v>3039</x:v>
      </x:c>
      <x:c r="B3040" s="84" t="n">
        <x:v>1780</x:v>
      </x:c>
      <x:c r="C3040" s="84" t="n">
        <x:v>35</x:v>
      </x:c>
      <x:c r="D3040" s="89" t="n">
        <x:v>45018</x:v>
      </x:c>
      <x:c r="E3040" s="84" t="n">
        <x:v>6.7</x:v>
      </x:c>
      <x:c r="F3040" s="84" t="str">
        <x:v>Normal</x:v>
      </x:c>
      <x:c r="G3040" s="93" t="n">
        <x:v>329.57</x:v>
      </x:c>
      <x:c r="H3040" s="85" t="str">
        <x:v>Diagnóstico e execução</x:v>
      </x:c>
    </x:row>
    <x:row r="3041">
      <x:c r="A3041" s="83" t="n">
        <x:v>3040</x:v>
      </x:c>
      <x:c r="B3041" s="84" t="n">
        <x:v>1781</x:v>
      </x:c>
      <x:c r="C3041" s="84" t="n">
        <x:v>33</x:v>
      </x:c>
      <x:c r="D3041" s="89" t="n">
        <x:v>45956</x:v>
      </x:c>
      <x:c r="E3041" s="84" t="n">
        <x:v>6.6</x:v>
      </x:c>
      <x:c r="F3041" s="84" t="str">
        <x:v>Normal</x:v>
      </x:c>
      <x:c r="G3041" s="93" t="n">
        <x:v>227.63</x:v>
      </x:c>
      <x:c r="H3041" s="85" t="str">
        <x:v>Diagnóstico e execução</x:v>
      </x:c>
    </x:row>
    <x:row r="3042">
      <x:c r="A3042" s="83" t="n">
        <x:v>3041</x:v>
      </x:c>
      <x:c r="B3042" s="84" t="n">
        <x:v>1781</x:v>
      </x:c>
      <x:c r="C3042" s="84" t="n">
        <x:v>6</x:v>
      </x:c>
      <x:c r="D3042" s="89" t="n">
        <x:v>45956</x:v>
      </x:c>
      <x:c r="E3042" s="84" t="n">
        <x:v>6.2</x:v>
      </x:c>
      <x:c r="F3042" s="84" t="str">
        <x:v>Normal</x:v>
      </x:c>
      <x:c r="G3042" s="93" t="n">
        <x:v>324.01</x:v>
      </x:c>
      <x:c r="H3042" s="85" t="str">
        <x:v>Diagnóstico e execução</x:v>
      </x:c>
    </x:row>
    <x:row r="3043">
      <x:c r="A3043" s="83" t="n">
        <x:v>3042</x:v>
      </x:c>
      <x:c r="B3043" s="84" t="n">
        <x:v>1782</x:v>
      </x:c>
      <x:c r="C3043" s="84" t="n">
        <x:v>7</x:v>
      </x:c>
      <x:c r="D3043" s="89" t="n">
        <x:v>45752</x:v>
      </x:c>
      <x:c r="E3043" s="84" t="n">
        <x:v>7</x:v>
      </x:c>
      <x:c r="F3043" s="84" t="str">
        <x:v>Normal</x:v>
      </x:c>
      <x:c r="G3043" s="93" t="n">
        <x:v>407.47</x:v>
      </x:c>
      <x:c r="H3043" s="85" t="str">
        <x:v>Diagnóstico e execução</x:v>
      </x:c>
    </x:row>
    <x:row r="3044">
      <x:c r="A3044" s="83" t="n">
        <x:v>3043</x:v>
      </x:c>
      <x:c r="B3044" s="84" t="n">
        <x:v>1782</x:v>
      </x:c>
      <x:c r="C3044" s="84" t="n">
        <x:v>37</x:v>
      </x:c>
      <x:c r="D3044" s="89" t="n">
        <x:v>45752</x:v>
      </x:c>
      <x:c r="E3044" s="84" t="n">
        <x:v>2.1</x:v>
      </x:c>
      <x:c r="F3044" s="84" t="str">
        <x:v>Normal</x:v>
      </x:c>
      <x:c r="G3044" s="93" t="n">
        <x:v>123.84</x:v>
      </x:c>
      <x:c r="H3044" s="85" t="str">
        <x:v>Diagnóstico e execução</x:v>
      </x:c>
    </x:row>
    <x:row r="3045">
      <x:c r="A3045" s="83" t="n">
        <x:v>3044</x:v>
      </x:c>
      <x:c r="B3045" s="84" t="n">
        <x:v>1782</x:v>
      </x:c>
      <x:c r="C3045" s="84" t="n">
        <x:v>41</x:v>
      </x:c>
      <x:c r="D3045" s="89" t="n">
        <x:v>45752</x:v>
      </x:c>
      <x:c r="E3045" s="84" t="n">
        <x:v>0.6</x:v>
      </x:c>
      <x:c r="F3045" s="84" t="str">
        <x:v>Normal</x:v>
      </x:c>
      <x:c r="G3045" s="93" t="n">
        <x:v>30.35</x:v>
      </x:c>
      <x:c r="H3045" s="85" t="str">
        <x:v>Diagnóstico e execução</x:v>
      </x:c>
    </x:row>
    <x:row r="3046">
      <x:c r="A3046" s="83" t="n">
        <x:v>3045</x:v>
      </x:c>
      <x:c r="B3046" s="84" t="n">
        <x:v>1783</x:v>
      </x:c>
      <x:c r="C3046" s="84" t="n">
        <x:v>1</x:v>
      </x:c>
      <x:c r="D3046" s="89" t="n">
        <x:v>45168</x:v>
      </x:c>
      <x:c r="E3046" s="84" t="n">
        <x:v>0.6</x:v>
      </x:c>
      <x:c r="F3046" s="84" t="str">
        <x:v>Normal</x:v>
      </x:c>
      <x:c r="G3046" s="93" t="n">
        <x:v>21.22</x:v>
      </x:c>
      <x:c r="H3046" s="85" t="str">
        <x:v>Diagnóstico e execução</x:v>
      </x:c>
    </x:row>
    <x:row r="3047">
      <x:c r="A3047" s="83" t="n">
        <x:v>3046</x:v>
      </x:c>
      <x:c r="B3047" s="84" t="n">
        <x:v>1783</x:v>
      </x:c>
      <x:c r="C3047" s="84" t="n">
        <x:v>19</x:v>
      </x:c>
      <x:c r="D3047" s="89" t="n">
        <x:v>45168</x:v>
      </x:c>
      <x:c r="E3047" s="84" t="n">
        <x:v>4.1</x:v>
      </x:c>
      <x:c r="F3047" s="84" t="str">
        <x:v>Normal</x:v>
      </x:c>
      <x:c r="G3047" s="93" t="n">
        <x:v>190.57</x:v>
      </x:c>
      <x:c r="H3047" s="85" t="str">
        <x:v>Diagnóstico e execução</x:v>
      </x:c>
    </x:row>
    <x:row r="3048">
      <x:c r="A3048" s="83" t="n">
        <x:v>3047</x:v>
      </x:c>
      <x:c r="B3048" s="84" t="n">
        <x:v>1784</x:v>
      </x:c>
      <x:c r="C3048" s="84" t="n">
        <x:v>14</x:v>
      </x:c>
      <x:c r="D3048" s="89" t="n">
        <x:v>45837</x:v>
      </x:c>
      <x:c r="E3048" s="84" t="n">
        <x:v>7.7</x:v>
      </x:c>
      <x:c r="F3048" s="84" t="str">
        <x:v>Normal</x:v>
      </x:c>
      <x:c r="G3048" s="93" t="n">
        <x:v>436.28</x:v>
      </x:c>
      <x:c r="H3048" s="85" t="str">
        <x:v>Diagnóstico e execução</x:v>
      </x:c>
    </x:row>
    <x:row r="3049">
      <x:c r="A3049" s="83" t="n">
        <x:v>3048</x:v>
      </x:c>
      <x:c r="B3049" s="84" t="n">
        <x:v>1784</x:v>
      </x:c>
      <x:c r="C3049" s="84" t="n">
        <x:v>15</x:v>
      </x:c>
      <x:c r="D3049" s="89" t="n">
        <x:v>45837</x:v>
      </x:c>
      <x:c r="E3049" s="84" t="n">
        <x:v>1.7</x:v>
      </x:c>
      <x:c r="F3049" s="84" t="str">
        <x:v>Normal</x:v>
      </x:c>
      <x:c r="G3049" s="93" t="n">
        <x:v>51.41</x:v>
      </x:c>
      <x:c r="H3049" s="85" t="str">
        <x:v>Diagnóstico e execução</x:v>
      </x:c>
    </x:row>
    <x:row r="3050">
      <x:c r="A3050" s="83" t="n">
        <x:v>3049</x:v>
      </x:c>
      <x:c r="B3050" s="84" t="n">
        <x:v>1785</x:v>
      </x:c>
      <x:c r="C3050" s="84" t="n">
        <x:v>6</x:v>
      </x:c>
      <x:c r="D3050" s="89" t="n">
        <x:v>45855</x:v>
      </x:c>
      <x:c r="E3050" s="84" t="n">
        <x:v>7.8</x:v>
      </x:c>
      <x:c r="F3050" s="84" t="str">
        <x:v>Normal</x:v>
      </x:c>
      <x:c r="G3050" s="93" t="n">
        <x:v>407.63</x:v>
      </x:c>
      <x:c r="H3050" s="85" t="str">
        <x:v>Diagnóstico e execução</x:v>
      </x:c>
    </x:row>
    <x:row r="3051">
      <x:c r="A3051" s="83" t="n">
        <x:v>3050</x:v>
      </x:c>
      <x:c r="B3051" s="84" t="n">
        <x:v>1785</x:v>
      </x:c>
      <x:c r="C3051" s="84" t="n">
        <x:v>43</x:v>
      </x:c>
      <x:c r="D3051" s="89" t="n">
        <x:v>45855</x:v>
      </x:c>
      <x:c r="E3051" s="84" t="n">
        <x:v>2.1</x:v>
      </x:c>
      <x:c r="F3051" s="84" t="str">
        <x:v>Normal</x:v>
      </x:c>
      <x:c r="G3051" s="93" t="n">
        <x:v>114.79</x:v>
      </x:c>
      <x:c r="H3051" s="85" t="str">
        <x:v>Diagnóstico e execução</x:v>
      </x:c>
    </x:row>
    <x:row r="3052">
      <x:c r="A3052" s="83" t="n">
        <x:v>3051</x:v>
      </x:c>
      <x:c r="B3052" s="84" t="n">
        <x:v>1787</x:v>
      </x:c>
      <x:c r="C3052" s="84" t="n">
        <x:v>11</x:v>
      </x:c>
      <x:c r="D3052" s="89" t="n">
        <x:v>45881</x:v>
      </x:c>
      <x:c r="E3052" s="84" t="n">
        <x:v>0.6</x:v>
      </x:c>
      <x:c r="F3052" s="84" t="str">
        <x:v>Normal</x:v>
      </x:c>
      <x:c r="G3052" s="93" t="n">
        <x:v>25.01</x:v>
      </x:c>
      <x:c r="H3052" s="85" t="str">
        <x:v>Diagnóstico e execução</x:v>
      </x:c>
    </x:row>
    <x:row r="3053">
      <x:c r="A3053" s="83" t="n">
        <x:v>3052</x:v>
      </x:c>
      <x:c r="B3053" s="84" t="n">
        <x:v>1788</x:v>
      </x:c>
      <x:c r="C3053" s="84" t="n">
        <x:v>37</x:v>
      </x:c>
      <x:c r="D3053" s="89" t="n">
        <x:v>45216</x:v>
      </x:c>
      <x:c r="E3053" s="84" t="n">
        <x:v>6</x:v>
      </x:c>
      <x:c r="F3053" s="84" t="str">
        <x:v>Normal</x:v>
      </x:c>
      <x:c r="G3053" s="93" t="n">
        <x:v>353.82</x:v>
      </x:c>
      <x:c r="H3053" s="85" t="str">
        <x:v>Diagnóstico e execução</x:v>
      </x:c>
    </x:row>
    <x:row r="3054">
      <x:c r="A3054" s="83" t="n">
        <x:v>3053</x:v>
      </x:c>
      <x:c r="B3054" s="84" t="n">
        <x:v>1788</x:v>
      </x:c>
      <x:c r="C3054" s="84" t="n">
        <x:v>23</x:v>
      </x:c>
      <x:c r="D3054" s="89" t="n">
        <x:v>45216</x:v>
      </x:c>
      <x:c r="E3054" s="84" t="n">
        <x:v>1.5</x:v>
      </x:c>
      <x:c r="F3054" s="84" t="str">
        <x:v>Normal</x:v>
      </x:c>
      <x:c r="G3054" s="93" t="n">
        <x:v>64.66</x:v>
      </x:c>
      <x:c r="H3054" s="85" t="str">
        <x:v>Diagnóstico e execução</x:v>
      </x:c>
    </x:row>
    <x:row r="3055">
      <x:c r="A3055" s="83" t="n">
        <x:v>3054</x:v>
      </x:c>
      <x:c r="B3055" s="84" t="n">
        <x:v>1789</x:v>
      </x:c>
      <x:c r="C3055" s="84" t="n">
        <x:v>24</x:v>
      </x:c>
      <x:c r="D3055" s="89" t="n">
        <x:v>45831</x:v>
      </x:c>
      <x:c r="E3055" s="84" t="n">
        <x:v>6.8</x:v>
      </x:c>
      <x:c r="F3055" s="84" t="str">
        <x:v>Normal</x:v>
      </x:c>
      <x:c r="G3055" s="93" t="n">
        <x:v>402.83</x:v>
      </x:c>
      <x:c r="H3055" s="85" t="str">
        <x:v>Diagnóstico e execução</x:v>
      </x:c>
    </x:row>
    <x:row r="3056">
      <x:c r="A3056" s="83" t="n">
        <x:v>3055</x:v>
      </x:c>
      <x:c r="B3056" s="84" t="n">
        <x:v>1789</x:v>
      </x:c>
      <x:c r="C3056" s="84" t="n">
        <x:v>43</x:v>
      </x:c>
      <x:c r="D3056" s="89" t="n">
        <x:v>45831</x:v>
      </x:c>
      <x:c r="E3056" s="84" t="n">
        <x:v>2.1</x:v>
      </x:c>
      <x:c r="F3056" s="84" t="str">
        <x:v>Normal</x:v>
      </x:c>
      <x:c r="G3056" s="93" t="n">
        <x:v>114.79</x:v>
      </x:c>
      <x:c r="H3056" s="85" t="str">
        <x:v>Diagnóstico e execução</x:v>
      </x:c>
    </x:row>
    <x:row r="3057">
      <x:c r="A3057" s="83" t="n">
        <x:v>3056</x:v>
      </x:c>
      <x:c r="B3057" s="84" t="n">
        <x:v>1791</x:v>
      </x:c>
      <x:c r="C3057" s="84" t="n">
        <x:v>42</x:v>
      </x:c>
      <x:c r="D3057" s="89" t="n">
        <x:v>45702</x:v>
      </x:c>
      <x:c r="E3057" s="84" t="n">
        <x:v>7.8</x:v>
      </x:c>
      <x:c r="F3057" s="84" t="str">
        <x:v>Normal</x:v>
      </x:c>
      <x:c r="G3057" s="93" t="n">
        <x:v>329</x:v>
      </x:c>
      <x:c r="H3057" s="85" t="str">
        <x:v>Diagnóstico e execução</x:v>
      </x:c>
    </x:row>
    <x:row r="3058">
      <x:c r="A3058" s="83" t="n">
        <x:v>3057</x:v>
      </x:c>
      <x:c r="B3058" s="84" t="n">
        <x:v>1791</x:v>
      </x:c>
      <x:c r="C3058" s="84" t="n">
        <x:v>15</x:v>
      </x:c>
      <x:c r="D3058" s="89" t="n">
        <x:v>45702</x:v>
      </x:c>
      <x:c r="E3058" s="84" t="n">
        <x:v>1.8</x:v>
      </x:c>
      <x:c r="F3058" s="84" t="str">
        <x:v>Normal</x:v>
      </x:c>
      <x:c r="G3058" s="93" t="n">
        <x:v>54.43</x:v>
      </x:c>
      <x:c r="H3058" s="85" t="str">
        <x:v>Diagnóstico e execução</x:v>
      </x:c>
    </x:row>
    <x:row r="3059">
      <x:c r="A3059" s="83" t="n">
        <x:v>3058</x:v>
      </x:c>
      <x:c r="B3059" s="84" t="n">
        <x:v>1791</x:v>
      </x:c>
      <x:c r="C3059" s="84" t="n">
        <x:v>7</x:v>
      </x:c>
      <x:c r="D3059" s="89" t="n">
        <x:v>45702</x:v>
      </x:c>
      <x:c r="E3059" s="84" t="n">
        <x:v>1.3</x:v>
      </x:c>
      <x:c r="F3059" s="84" t="str">
        <x:v>Normal</x:v>
      </x:c>
      <x:c r="G3059" s="93" t="n">
        <x:v>75.67</x:v>
      </x:c>
      <x:c r="H3059" s="85" t="str">
        <x:v>Diagnóstico e execução</x:v>
      </x:c>
    </x:row>
    <x:row r="3060">
      <x:c r="A3060" s="83" t="n">
        <x:v>3059</x:v>
      </x:c>
      <x:c r="B3060" s="84" t="n">
        <x:v>1792</x:v>
      </x:c>
      <x:c r="C3060" s="84" t="n">
        <x:v>37</x:v>
      </x:c>
      <x:c r="D3060" s="89" t="n">
        <x:v>45297</x:v>
      </x:c>
      <x:c r="E3060" s="84" t="n">
        <x:v>4.8</x:v>
      </x:c>
      <x:c r="F3060" s="84" t="str">
        <x:v>Normal</x:v>
      </x:c>
      <x:c r="G3060" s="93" t="n">
        <x:v>283.06</x:v>
      </x:c>
      <x:c r="H3060" s="85" t="str">
        <x:v>Diagnóstico e execução</x:v>
      </x:c>
    </x:row>
    <x:row r="3061">
      <x:c r="A3061" s="83" t="n">
        <x:v>3060</x:v>
      </x:c>
      <x:c r="B3061" s="84" t="n">
        <x:v>1794</x:v>
      </x:c>
      <x:c r="C3061" s="84" t="n">
        <x:v>27</x:v>
      </x:c>
      <x:c r="D3061" s="89" t="n">
        <x:v>45073</x:v>
      </x:c>
      <x:c r="E3061" s="84" t="n">
        <x:v>6.3</x:v>
      </x:c>
      <x:c r="F3061" s="84" t="str">
        <x:v>Normal</x:v>
      </x:c>
      <x:c r="G3061" s="93" t="n">
        <x:v>384.24</x:v>
      </x:c>
      <x:c r="H3061" s="85" t="str">
        <x:v>Diagnóstico e execução</x:v>
      </x:c>
    </x:row>
    <x:row r="3062">
      <x:c r="A3062" s="83" t="n">
        <x:v>3061</x:v>
      </x:c>
      <x:c r="B3062" s="84" t="n">
        <x:v>1795</x:v>
      </x:c>
      <x:c r="C3062" s="84" t="n">
        <x:v>16</x:v>
      </x:c>
      <x:c r="D3062" s="89" t="n">
        <x:v>45981</x:v>
      </x:c>
      <x:c r="E3062" s="84" t="n">
        <x:v>1.9</x:v>
      </x:c>
      <x:c r="F3062" s="84" t="str">
        <x:v>Normal</x:v>
      </x:c>
      <x:c r="G3062" s="93" t="n">
        <x:v>76.99</x:v>
      </x:c>
      <x:c r="H3062" s="85" t="str">
        <x:v>Diagnóstico e execução</x:v>
      </x:c>
    </x:row>
    <x:row r="3063">
      <x:c r="A3063" s="83" t="n">
        <x:v>3062</x:v>
      </x:c>
      <x:c r="B3063" s="84" t="n">
        <x:v>1795</x:v>
      </x:c>
      <x:c r="C3063" s="84" t="n">
        <x:v>4</x:v>
      </x:c>
      <x:c r="D3063" s="89" t="n">
        <x:v>45981</x:v>
      </x:c>
      <x:c r="E3063" s="84" t="n">
        <x:v>0.9</x:v>
      </x:c>
      <x:c r="F3063" s="84" t="str">
        <x:v>Normal</x:v>
      </x:c>
      <x:c r="G3063" s="93" t="n">
        <x:v>44.27</x:v>
      </x:c>
      <x:c r="H3063" s="85" t="str">
        <x:v>Diagnóstico e execução</x:v>
      </x:c>
    </x:row>
    <x:row r="3064">
      <x:c r="A3064" s="83" t="n">
        <x:v>3063</x:v>
      </x:c>
      <x:c r="B3064" s="84" t="n">
        <x:v>1797</x:v>
      </x:c>
      <x:c r="C3064" s="84" t="n">
        <x:v>29</x:v>
      </x:c>
      <x:c r="D3064" s="89" t="n">
        <x:v>45761</x:v>
      </x:c>
      <x:c r="E3064" s="84" t="n">
        <x:v>5.5</x:v>
      </x:c>
      <x:c r="F3064" s="84" t="str">
        <x:v>Normal</x:v>
      </x:c>
      <x:c r="G3064" s="93" t="n">
        <x:v>272.36</x:v>
      </x:c>
      <x:c r="H3064" s="85" t="str">
        <x:v>Diagnóstico e execução</x:v>
      </x:c>
    </x:row>
    <x:row r="3065">
      <x:c r="A3065" s="83" t="n">
        <x:v>3064</x:v>
      </x:c>
      <x:c r="B3065" s="84" t="n">
        <x:v>1798</x:v>
      </x:c>
      <x:c r="C3065" s="84" t="n">
        <x:v>6</x:v>
      </x:c>
      <x:c r="D3065" s="89" t="n">
        <x:v>44954</x:v>
      </x:c>
      <x:c r="E3065" s="84" t="n">
        <x:v>2.9</x:v>
      </x:c>
      <x:c r="F3065" s="84" t="str">
        <x:v>Normal</x:v>
      </x:c>
      <x:c r="G3065" s="93" t="n">
        <x:v>151.55</x:v>
      </x:c>
      <x:c r="H3065" s="85" t="str">
        <x:v>Diagnóstico e execução</x:v>
      </x:c>
    </x:row>
    <x:row r="3066">
      <x:c r="A3066" s="83" t="n">
        <x:v>3065</x:v>
      </x:c>
      <x:c r="B3066" s="84" t="n">
        <x:v>1798</x:v>
      </x:c>
      <x:c r="C3066" s="84" t="n">
        <x:v>5</x:v>
      </x:c>
      <x:c r="D3066" s="89" t="n">
        <x:v>44954</x:v>
      </x:c>
      <x:c r="E3066" s="84" t="n">
        <x:v>2.6</x:v>
      </x:c>
      <x:c r="F3066" s="84" t="str">
        <x:v>Normal</x:v>
      </x:c>
      <x:c r="G3066" s="93" t="n">
        <x:v>74.93</x:v>
      </x:c>
      <x:c r="H3066" s="85" t="str">
        <x:v>Diagnóstico e execução</x:v>
      </x:c>
    </x:row>
    <x:row r="3067">
      <x:c r="A3067" s="83" t="n">
        <x:v>3066</x:v>
      </x:c>
      <x:c r="B3067" s="84" t="n">
        <x:v>1799</x:v>
      </x:c>
      <x:c r="C3067" s="84" t="n">
        <x:v>8</x:v>
      </x:c>
      <x:c r="D3067" s="89" t="n">
        <x:v>45091</x:v>
      </x:c>
      <x:c r="E3067" s="84" t="n">
        <x:v>5.7</x:v>
      </x:c>
      <x:c r="F3067" s="84" t="str">
        <x:v>Normal</x:v>
      </x:c>
      <x:c r="G3067" s="93" t="n">
        <x:v>265.05</x:v>
      </x:c>
      <x:c r="H3067" s="85" t="str">
        <x:v>Diagnóstico e execução</x:v>
      </x:c>
    </x:row>
    <x:row r="3068">
      <x:c r="A3068" s="83" t="n">
        <x:v>3067</x:v>
      </x:c>
      <x:c r="B3068" s="84" t="n">
        <x:v>1799</x:v>
      </x:c>
      <x:c r="C3068" s="84" t="n">
        <x:v>15</x:v>
      </x:c>
      <x:c r="D3068" s="89" t="n">
        <x:v>45091</x:v>
      </x:c>
      <x:c r="E3068" s="84" t="n">
        <x:v>7</x:v>
      </x:c>
      <x:c r="F3068" s="84" t="str">
        <x:v>Normal</x:v>
      </x:c>
      <x:c r="G3068" s="93" t="n">
        <x:v>211.68</x:v>
      </x:c>
      <x:c r="H3068" s="85" t="str">
        <x:v>Diagnóstico e execução</x:v>
      </x:c>
    </x:row>
    <x:row r="3069">
      <x:c r="A3069" s="83" t="n">
        <x:v>3068</x:v>
      </x:c>
      <x:c r="B3069" s="84" t="n">
        <x:v>1799</x:v>
      </x:c>
      <x:c r="C3069" s="84" t="n">
        <x:v>37</x:v>
      </x:c>
      <x:c r="D3069" s="89" t="n">
        <x:v>45091</x:v>
      </x:c>
      <x:c r="E3069" s="84" t="n">
        <x:v>0.5</x:v>
      </x:c>
      <x:c r="F3069" s="84" t="str">
        <x:v>Normal</x:v>
      </x:c>
      <x:c r="G3069" s="93" t="n">
        <x:v>29.48</x:v>
      </x:c>
      <x:c r="H3069" s="85" t="str">
        <x:v>Diagnóstico e execução</x:v>
      </x:c>
    </x:row>
    <x:row r="3070">
      <x:c r="A3070" s="83" t="n">
        <x:v>3069</x:v>
      </x:c>
      <x:c r="B3070" s="84" t="n">
        <x:v>1800</x:v>
      </x:c>
      <x:c r="C3070" s="84" t="n">
        <x:v>37</x:v>
      </x:c>
      <x:c r="D3070" s="89" t="n">
        <x:v>45769</x:v>
      </x:c>
      <x:c r="E3070" s="84" t="n">
        <x:v>4.3</x:v>
      </x:c>
      <x:c r="F3070" s="84" t="str">
        <x:v>Normal</x:v>
      </x:c>
      <x:c r="G3070" s="93" t="n">
        <x:v>253.57</x:v>
      </x:c>
      <x:c r="H3070" s="85" t="str">
        <x:v>Diagnóstico e execução</x:v>
      </x:c>
    </x:row>
    <x:row r="3071">
      <x:c r="A3071" s="83" t="n">
        <x:v>3070</x:v>
      </x:c>
      <x:c r="B3071" s="84" t="n">
        <x:v>1801</x:v>
      </x:c>
      <x:c r="C3071" s="84" t="n">
        <x:v>18</x:v>
      </x:c>
      <x:c r="D3071" s="89" t="n">
        <x:v>45777</x:v>
      </x:c>
      <x:c r="E3071" s="84" t="n">
        <x:v>1.9</x:v>
      </x:c>
      <x:c r="F3071" s="84" t="str">
        <x:v>Normal</x:v>
      </x:c>
      <x:c r="G3071" s="93" t="n">
        <x:v>119.87</x:v>
      </x:c>
      <x:c r="H3071" s="85" t="str">
        <x:v>Diagnóstico e execução</x:v>
      </x:c>
    </x:row>
    <x:row r="3072">
      <x:c r="A3072" s="83" t="n">
        <x:v>3071</x:v>
      </x:c>
      <x:c r="B3072" s="84" t="n">
        <x:v>1801</x:v>
      </x:c>
      <x:c r="C3072" s="84" t="n">
        <x:v>22</x:v>
      </x:c>
      <x:c r="D3072" s="89" t="n">
        <x:v>45777</x:v>
      </x:c>
      <x:c r="E3072" s="84" t="n">
        <x:v>5.9</x:v>
      </x:c>
      <x:c r="F3072" s="84" t="str">
        <x:v>Normal</x:v>
      </x:c>
      <x:c r="G3072" s="93" t="n">
        <x:v>226.91</x:v>
      </x:c>
      <x:c r="H3072" s="85" t="str">
        <x:v>Diagnóstico e execução</x:v>
      </x:c>
    </x:row>
    <x:row r="3073">
      <x:c r="A3073" s="83" t="n">
        <x:v>3072</x:v>
      </x:c>
      <x:c r="B3073" s="84" t="n">
        <x:v>1801</x:v>
      </x:c>
      <x:c r="C3073" s="84" t="n">
        <x:v>7</x:v>
      </x:c>
      <x:c r="D3073" s="89" t="n">
        <x:v>45777</x:v>
      </x:c>
      <x:c r="E3073" s="84" t="n">
        <x:v>4.3</x:v>
      </x:c>
      <x:c r="F3073" s="84" t="str">
        <x:v>Normal</x:v>
      </x:c>
      <x:c r="G3073" s="93" t="n">
        <x:v>250.3</x:v>
      </x:c>
      <x:c r="H3073" s="85" t="str">
        <x:v>Diagnóstico e execução</x:v>
      </x:c>
    </x:row>
    <x:row r="3074">
      <x:c r="A3074" s="83" t="n">
        <x:v>3073</x:v>
      </x:c>
      <x:c r="B3074" s="84" t="n">
        <x:v>1802</x:v>
      </x:c>
      <x:c r="C3074" s="84" t="n">
        <x:v>20</x:v>
      </x:c>
      <x:c r="D3074" s="89" t="n">
        <x:v>45857</x:v>
      </x:c>
      <x:c r="E3074" s="84" t="n">
        <x:v>6</x:v>
      </x:c>
      <x:c r="F3074" s="84" t="str">
        <x:v>Normal</x:v>
      </x:c>
      <x:c r="G3074" s="93" t="n">
        <x:v>201.12</x:v>
      </x:c>
      <x:c r="H3074" s="85" t="str">
        <x:v>Diagnóstico e execução</x:v>
      </x:c>
    </x:row>
    <x:row r="3075">
      <x:c r="A3075" s="83" t="n">
        <x:v>3074</x:v>
      </x:c>
      <x:c r="B3075" s="84" t="n">
        <x:v>1802</x:v>
      </x:c>
      <x:c r="C3075" s="84" t="n">
        <x:v>10</x:v>
      </x:c>
      <x:c r="D3075" s="89" t="n">
        <x:v>45857</x:v>
      </x:c>
      <x:c r="E3075" s="84" t="n">
        <x:v>5.9</x:v>
      </x:c>
      <x:c r="F3075" s="84" t="str">
        <x:v>Normal</x:v>
      </x:c>
      <x:c r="G3075" s="93" t="n">
        <x:v>175.17</x:v>
      </x:c>
      <x:c r="H3075" s="85" t="str">
        <x:v>Diagnóstico e execução</x:v>
      </x:c>
    </x:row>
    <x:row r="3076">
      <x:c r="A3076" s="83" t="n">
        <x:v>3075</x:v>
      </x:c>
      <x:c r="B3076" s="84" t="n">
        <x:v>1803</x:v>
      </x:c>
      <x:c r="C3076" s="84" t="n">
        <x:v>43</x:v>
      </x:c>
      <x:c r="D3076" s="89" t="n">
        <x:v>45865</x:v>
      </x:c>
      <x:c r="E3076" s="84" t="n">
        <x:v>4.3</x:v>
      </x:c>
      <x:c r="F3076" s="84" t="str">
        <x:v>Normal</x:v>
      </x:c>
      <x:c r="G3076" s="93" t="n">
        <x:v>235.04</x:v>
      </x:c>
      <x:c r="H3076" s="85" t="str">
        <x:v>Diagnóstico e execução</x:v>
      </x:c>
    </x:row>
    <x:row r="3077">
      <x:c r="A3077" s="83" t="n">
        <x:v>3076</x:v>
      </x:c>
      <x:c r="B3077" s="84" t="n">
        <x:v>1804</x:v>
      </x:c>
      <x:c r="C3077" s="84" t="n">
        <x:v>22</x:v>
      </x:c>
      <x:c r="D3077" s="89" t="n">
        <x:v>45611</x:v>
      </x:c>
      <x:c r="E3077" s="84" t="n">
        <x:v>6.5</x:v>
      </x:c>
      <x:c r="F3077" s="84" t="str">
        <x:v>Normal</x:v>
      </x:c>
      <x:c r="G3077" s="93" t="n">
        <x:v>249.99</x:v>
      </x:c>
      <x:c r="H3077" s="85" t="str">
        <x:v>Diagnóstico e execução</x:v>
      </x:c>
    </x:row>
    <x:row r="3078">
      <x:c r="A3078" s="83" t="n">
        <x:v>3077</x:v>
      </x:c>
      <x:c r="B3078" s="84" t="n">
        <x:v>1805</x:v>
      </x:c>
      <x:c r="C3078" s="84" t="n">
        <x:v>14</x:v>
      </x:c>
      <x:c r="D3078" s="89" t="n">
        <x:v>45600</x:v>
      </x:c>
      <x:c r="E3078" s="84" t="n">
        <x:v>7.5</x:v>
      </x:c>
      <x:c r="F3078" s="84" t="str">
        <x:v>Normal</x:v>
      </x:c>
      <x:c r="G3078" s="93" t="n">
        <x:v>424.95</x:v>
      </x:c>
      <x:c r="H3078" s="85" t="str">
        <x:v>Diagnóstico e execução</x:v>
      </x:c>
    </x:row>
    <x:row r="3079">
      <x:c r="A3079" s="83" t="n">
        <x:v>3078</x:v>
      </x:c>
      <x:c r="B3079" s="84" t="n">
        <x:v>1806</x:v>
      </x:c>
      <x:c r="C3079" s="84" t="n">
        <x:v>32</x:v>
      </x:c>
      <x:c r="D3079" s="89" t="n">
        <x:v>45413</x:v>
      </x:c>
      <x:c r="E3079" s="84" t="n">
        <x:v>4.2</x:v>
      </x:c>
      <x:c r="F3079" s="84" t="str">
        <x:v>Normal</x:v>
      </x:c>
      <x:c r="G3079" s="93" t="n">
        <x:v>183.33</x:v>
      </x:c>
      <x:c r="H3079" s="85" t="str">
        <x:v>Diagnóstico e execução</x:v>
      </x:c>
    </x:row>
    <x:row r="3080">
      <x:c r="A3080" s="83" t="n">
        <x:v>3079</x:v>
      </x:c>
      <x:c r="B3080" s="84" t="n">
        <x:v>1808</x:v>
      </x:c>
      <x:c r="C3080" s="84" t="n">
        <x:v>23</x:v>
      </x:c>
      <x:c r="D3080" s="89" t="n">
        <x:v>45756</x:v>
      </x:c>
      <x:c r="E3080" s="84" t="n">
        <x:v>6</x:v>
      </x:c>
      <x:c r="F3080" s="84" t="str">
        <x:v>Normal</x:v>
      </x:c>
      <x:c r="G3080" s="93" t="n">
        <x:v>258.66</x:v>
      </x:c>
      <x:c r="H3080" s="85" t="str">
        <x:v>Diagnóstico e execução</x:v>
      </x:c>
    </x:row>
    <x:row r="3081">
      <x:c r="A3081" s="83" t="n">
        <x:v>3080</x:v>
      </x:c>
      <x:c r="B3081" s="84" t="n">
        <x:v>1808</x:v>
      </x:c>
      <x:c r="C3081" s="84" t="n">
        <x:v>12</x:v>
      </x:c>
      <x:c r="D3081" s="89" t="n">
        <x:v>45756</x:v>
      </x:c>
      <x:c r="E3081" s="84" t="n">
        <x:v>0.7</x:v>
      </x:c>
      <x:c r="F3081" s="84" t="str">
        <x:v>Normal</x:v>
      </x:c>
      <x:c r="G3081" s="93" t="n">
        <x:v>24.15</x:v>
      </x:c>
      <x:c r="H3081" s="85" t="str">
        <x:v>Diagnóstico e execução</x:v>
      </x:c>
    </x:row>
    <x:row r="3082">
      <x:c r="A3082" s="83" t="n">
        <x:v>3081</x:v>
      </x:c>
      <x:c r="B3082" s="84" t="n">
        <x:v>1808</x:v>
      </x:c>
      <x:c r="C3082" s="84" t="n">
        <x:v>6</x:v>
      </x:c>
      <x:c r="D3082" s="89" t="n">
        <x:v>45756</x:v>
      </x:c>
      <x:c r="E3082" s="84" t="n">
        <x:v>7.3</x:v>
      </x:c>
      <x:c r="F3082" s="84" t="str">
        <x:v>Normal</x:v>
      </x:c>
      <x:c r="G3082" s="93" t="n">
        <x:v>381.5</x:v>
      </x:c>
      <x:c r="H3082" s="85" t="str">
        <x:v>Diagnóstico e execução</x:v>
      </x:c>
    </x:row>
    <x:row r="3083">
      <x:c r="A3083" s="83" t="n">
        <x:v>3082</x:v>
      </x:c>
      <x:c r="B3083" s="84" t="n">
        <x:v>1809</x:v>
      </x:c>
      <x:c r="C3083" s="84" t="n">
        <x:v>10</x:v>
      </x:c>
      <x:c r="D3083" s="89" t="n">
        <x:v>45618</x:v>
      </x:c>
      <x:c r="E3083" s="84" t="n">
        <x:v>1.1</x:v>
      </x:c>
      <x:c r="F3083" s="84" t="str">
        <x:v>Normal</x:v>
      </x:c>
      <x:c r="G3083" s="93" t="n">
        <x:v>32.66</x:v>
      </x:c>
      <x:c r="H3083" s="85" t="str">
        <x:v>Diagnóstico e execução</x:v>
      </x:c>
    </x:row>
    <x:row r="3084">
      <x:c r="A3084" s="83" t="n">
        <x:v>3083</x:v>
      </x:c>
      <x:c r="B3084" s="84" t="n">
        <x:v>1810</x:v>
      </x:c>
      <x:c r="C3084" s="84" t="n">
        <x:v>5</x:v>
      </x:c>
      <x:c r="D3084" s="89" t="n">
        <x:v>44957</x:v>
      </x:c>
      <x:c r="E3084" s="84" t="n">
        <x:v>1.8</x:v>
      </x:c>
      <x:c r="F3084" s="84" t="str">
        <x:v>Normal</x:v>
      </x:c>
      <x:c r="G3084" s="93" t="n">
        <x:v>51.88</x:v>
      </x:c>
      <x:c r="H3084" s="85" t="str">
        <x:v>Diagnóstico e execução</x:v>
      </x:c>
    </x:row>
    <x:row r="3085">
      <x:c r="A3085" s="83" t="n">
        <x:v>3084</x:v>
      </x:c>
      <x:c r="B3085" s="84" t="n">
        <x:v>1810</x:v>
      </x:c>
      <x:c r="C3085" s="84" t="n">
        <x:v>30</x:v>
      </x:c>
      <x:c r="D3085" s="89" t="n">
        <x:v>44957</x:v>
      </x:c>
      <x:c r="E3085" s="84" t="n">
        <x:v>6.5</x:v>
      </x:c>
      <x:c r="F3085" s="84" t="str">
        <x:v>Normal</x:v>
      </x:c>
      <x:c r="G3085" s="93" t="n">
        <x:v>269.16</x:v>
      </x:c>
      <x:c r="H3085" s="85" t="str">
        <x:v>Diagnóstico e execução</x:v>
      </x:c>
    </x:row>
    <x:row r="3086">
      <x:c r="A3086" s="83" t="n">
        <x:v>3085</x:v>
      </x:c>
      <x:c r="B3086" s="84" t="n">
        <x:v>1810</x:v>
      </x:c>
      <x:c r="C3086" s="84" t="n">
        <x:v>38</x:v>
      </x:c>
      <x:c r="D3086" s="89" t="n">
        <x:v>44957</x:v>
      </x:c>
      <x:c r="E3086" s="84" t="n">
        <x:v>5.8</x:v>
      </x:c>
      <x:c r="F3086" s="84" t="str">
        <x:v>Normal</x:v>
      </x:c>
      <x:c r="G3086" s="93" t="n">
        <x:v>195.29</x:v>
      </x:c>
      <x:c r="H3086" s="85" t="str">
        <x:v>Diagnóstico e execução</x:v>
      </x:c>
    </x:row>
    <x:row r="3087">
      <x:c r="A3087" s="83" t="n">
        <x:v>3086</x:v>
      </x:c>
      <x:c r="B3087" s="84" t="n">
        <x:v>1811</x:v>
      </x:c>
      <x:c r="C3087" s="84" t="n">
        <x:v>19</x:v>
      </x:c>
      <x:c r="D3087" s="89" t="n">
        <x:v>45916</x:v>
      </x:c>
      <x:c r="E3087" s="84" t="n">
        <x:v>6.5</x:v>
      </x:c>
      <x:c r="F3087" s="84" t="str">
        <x:v>Normal</x:v>
      </x:c>
      <x:c r="G3087" s="93" t="n">
        <x:v>302.12</x:v>
      </x:c>
      <x:c r="H3087" s="85" t="str">
        <x:v>Diagnóstico e execução</x:v>
      </x:c>
    </x:row>
    <x:row r="3088">
      <x:c r="A3088" s="83" t="n">
        <x:v>3087</x:v>
      </x:c>
      <x:c r="B3088" s="84" t="n">
        <x:v>1811</x:v>
      </x:c>
      <x:c r="C3088" s="84" t="n">
        <x:v>5</x:v>
      </x:c>
      <x:c r="D3088" s="89" t="n">
        <x:v>45916</x:v>
      </x:c>
      <x:c r="E3088" s="84" t="n">
        <x:v>7.6</x:v>
      </x:c>
      <x:c r="F3088" s="84" t="str">
        <x:v>Normal</x:v>
      </x:c>
      <x:c r="G3088" s="93" t="n">
        <x:v>219.03</x:v>
      </x:c>
      <x:c r="H3088" s="85" t="str">
        <x:v>Diagnóstico e execução</x:v>
      </x:c>
    </x:row>
    <x:row r="3089">
      <x:c r="A3089" s="83" t="n">
        <x:v>3088</x:v>
      </x:c>
      <x:c r="B3089" s="84" t="n">
        <x:v>1813</x:v>
      </x:c>
      <x:c r="C3089" s="84" t="n">
        <x:v>8</x:v>
      </x:c>
      <x:c r="D3089" s="89" t="n">
        <x:v>45174</x:v>
      </x:c>
      <x:c r="E3089" s="84" t="n">
        <x:v>1.4</x:v>
      </x:c>
      <x:c r="F3089" s="84" t="str">
        <x:v>Normal</x:v>
      </x:c>
      <x:c r="G3089" s="93" t="n">
        <x:v>65.1</x:v>
      </x:c>
      <x:c r="H3089" s="85" t="str">
        <x:v>Diagnóstico e execução</x:v>
      </x:c>
    </x:row>
    <x:row r="3090">
      <x:c r="A3090" s="83" t="n">
        <x:v>3089</x:v>
      </x:c>
      <x:c r="B3090" s="84" t="n">
        <x:v>1813</x:v>
      </x:c>
      <x:c r="C3090" s="84" t="n">
        <x:v>14</x:v>
      </x:c>
      <x:c r="D3090" s="89" t="n">
        <x:v>45174</x:v>
      </x:c>
      <x:c r="E3090" s="84" t="n">
        <x:v>6</x:v>
      </x:c>
      <x:c r="F3090" s="84" t="str">
        <x:v>Normal</x:v>
      </x:c>
      <x:c r="G3090" s="93" t="n">
        <x:v>339.96</x:v>
      </x:c>
      <x:c r="H3090" s="85" t="str">
        <x:v>Diagnóstico e execução</x:v>
      </x:c>
    </x:row>
    <x:row r="3091">
      <x:c r="A3091" s="83" t="n">
        <x:v>3090</x:v>
      </x:c>
      <x:c r="B3091" s="84" t="n">
        <x:v>1814</x:v>
      </x:c>
      <x:c r="C3091" s="84" t="n">
        <x:v>8</x:v>
      </x:c>
      <x:c r="D3091" s="89" t="n">
        <x:v>45904</x:v>
      </x:c>
      <x:c r="E3091" s="84" t="n">
        <x:v>1.1</x:v>
      </x:c>
      <x:c r="F3091" s="84" t="str">
        <x:v>Normal</x:v>
      </x:c>
      <x:c r="G3091" s="93" t="n">
        <x:v>51.15</x:v>
      </x:c>
      <x:c r="H3091" s="85" t="str">
        <x:v>Diagnóstico e execução</x:v>
      </x:c>
    </x:row>
    <x:row r="3092">
      <x:c r="A3092" s="83" t="n">
        <x:v>3091</x:v>
      </x:c>
      <x:c r="B3092" s="84" t="n">
        <x:v>1814</x:v>
      </x:c>
      <x:c r="C3092" s="84" t="n">
        <x:v>6</x:v>
      </x:c>
      <x:c r="D3092" s="89" t="n">
        <x:v>45904</x:v>
      </x:c>
      <x:c r="E3092" s="84" t="n">
        <x:v>1.4</x:v>
      </x:c>
      <x:c r="F3092" s="84" t="str">
        <x:v>Normal</x:v>
      </x:c>
      <x:c r="G3092" s="93" t="n">
        <x:v>73.16</x:v>
      </x:c>
      <x:c r="H3092" s="85" t="str">
        <x:v>Diagnóstico e execução</x:v>
      </x:c>
    </x:row>
    <x:row r="3093">
      <x:c r="A3093" s="83" t="n">
        <x:v>3092</x:v>
      </x:c>
      <x:c r="B3093" s="84" t="n">
        <x:v>1815</x:v>
      </x:c>
      <x:c r="C3093" s="84" t="n">
        <x:v>1</x:v>
      </x:c>
      <x:c r="D3093" s="89" t="n">
        <x:v>45717</x:v>
      </x:c>
      <x:c r="E3093" s="84" t="n">
        <x:v>0.6</x:v>
      </x:c>
      <x:c r="F3093" s="84" t="str">
        <x:v>Normal</x:v>
      </x:c>
      <x:c r="G3093" s="93" t="n">
        <x:v>21.22</x:v>
      </x:c>
      <x:c r="H3093" s="85" t="str">
        <x:v>Diagnóstico e execução</x:v>
      </x:c>
    </x:row>
    <x:row r="3094">
      <x:c r="A3094" s="83" t="n">
        <x:v>3093</x:v>
      </x:c>
      <x:c r="B3094" s="84" t="n">
        <x:v>1816</x:v>
      </x:c>
      <x:c r="C3094" s="84" t="n">
        <x:v>27</x:v>
      </x:c>
      <x:c r="D3094" s="89" t="n">
        <x:v>45404</x:v>
      </x:c>
      <x:c r="E3094" s="84" t="n">
        <x:v>5.6</x:v>
      </x:c>
      <x:c r="F3094" s="84" t="str">
        <x:v>Normal</x:v>
      </x:c>
      <x:c r="G3094" s="93" t="n">
        <x:v>341.54</x:v>
      </x:c>
      <x:c r="H3094" s="85" t="str">
        <x:v>Diagnóstico e execução</x:v>
      </x:c>
    </x:row>
    <x:row r="3095">
      <x:c r="A3095" s="83" t="n">
        <x:v>3094</x:v>
      </x:c>
      <x:c r="B3095" s="84" t="n">
        <x:v>1816</x:v>
      </x:c>
      <x:c r="C3095" s="84" t="n">
        <x:v>24</x:v>
      </x:c>
      <x:c r="D3095" s="89" t="n">
        <x:v>45404</x:v>
      </x:c>
      <x:c r="E3095" s="84" t="n">
        <x:v>6.6</x:v>
      </x:c>
      <x:c r="F3095" s="84" t="str">
        <x:v>Normal</x:v>
      </x:c>
      <x:c r="G3095" s="93" t="n">
        <x:v>390.98</x:v>
      </x:c>
      <x:c r="H3095" s="85" t="str">
        <x:v>Diagnóstico e execução</x:v>
      </x:c>
    </x:row>
    <x:row r="3096">
      <x:c r="A3096" s="83" t="n">
        <x:v>3095</x:v>
      </x:c>
      <x:c r="B3096" s="84" t="n">
        <x:v>1816</x:v>
      </x:c>
      <x:c r="C3096" s="84" t="n">
        <x:v>27</x:v>
      </x:c>
      <x:c r="D3096" s="89" t="n">
        <x:v>45404</x:v>
      </x:c>
      <x:c r="E3096" s="84" t="n">
        <x:v>2.4</x:v>
      </x:c>
      <x:c r="F3096" s="84" t="str">
        <x:v>Normal</x:v>
      </x:c>
      <x:c r="G3096" s="93" t="n">
        <x:v>146.38</x:v>
      </x:c>
      <x:c r="H3096" s="85" t="str">
        <x:v>Diagnóstico e execução</x:v>
      </x:c>
    </x:row>
    <x:row r="3097">
      <x:c r="A3097" s="83" t="n">
        <x:v>3096</x:v>
      </x:c>
      <x:c r="B3097" s="84" t="n">
        <x:v>1817</x:v>
      </x:c>
      <x:c r="C3097" s="84" t="n">
        <x:v>29</x:v>
      </x:c>
      <x:c r="D3097" s="89" t="n">
        <x:v>45545</x:v>
      </x:c>
      <x:c r="E3097" s="84" t="n">
        <x:v>3.3</x:v>
      </x:c>
      <x:c r="F3097" s="84" t="str">
        <x:v>Normal</x:v>
      </x:c>
      <x:c r="G3097" s="93" t="n">
        <x:v>163.42</x:v>
      </x:c>
      <x:c r="H3097" s="85" t="str">
        <x:v>Diagnóstico e execução</x:v>
      </x:c>
    </x:row>
    <x:row r="3098">
      <x:c r="A3098" s="83" t="n">
        <x:v>3097</x:v>
      </x:c>
      <x:c r="B3098" s="84" t="n">
        <x:v>1819</x:v>
      </x:c>
      <x:c r="C3098" s="84" t="n">
        <x:v>34</x:v>
      </x:c>
      <x:c r="D3098" s="89" t="n">
        <x:v>45809</x:v>
      </x:c>
      <x:c r="E3098" s="84" t="n">
        <x:v>0.9</x:v>
      </x:c>
      <x:c r="F3098" s="84" t="str">
        <x:v>Normal</x:v>
      </x:c>
      <x:c r="G3098" s="93" t="n">
        <x:v>38.91</x:v>
      </x:c>
      <x:c r="H3098" s="85" t="str">
        <x:v>Diagnóstico e execução</x:v>
      </x:c>
    </x:row>
    <x:row r="3099">
      <x:c r="A3099" s="83" t="n">
        <x:v>3098</x:v>
      </x:c>
      <x:c r="B3099" s="84" t="n">
        <x:v>1819</x:v>
      </x:c>
      <x:c r="C3099" s="84" t="n">
        <x:v>33</x:v>
      </x:c>
      <x:c r="D3099" s="89" t="n">
        <x:v>45809</x:v>
      </x:c>
      <x:c r="E3099" s="84" t="n">
        <x:v>3.3</x:v>
      </x:c>
      <x:c r="F3099" s="84" t="str">
        <x:v>Normal</x:v>
      </x:c>
      <x:c r="G3099" s="93" t="n">
        <x:v>113.82</x:v>
      </x:c>
      <x:c r="H3099" s="85" t="str">
        <x:v>Diagnóstico e execução</x:v>
      </x:c>
    </x:row>
    <x:row r="3100">
      <x:c r="A3100" s="83" t="n">
        <x:v>3099</x:v>
      </x:c>
      <x:c r="B3100" s="84" t="n">
        <x:v>1819</x:v>
      </x:c>
      <x:c r="C3100" s="84" t="n">
        <x:v>23</x:v>
      </x:c>
      <x:c r="D3100" s="89" t="n">
        <x:v>45809</x:v>
      </x:c>
      <x:c r="E3100" s="84" t="n">
        <x:v>3.6</x:v>
      </x:c>
      <x:c r="F3100" s="84" t="str">
        <x:v>Normal</x:v>
      </x:c>
      <x:c r="G3100" s="93" t="n">
        <x:v>155.2</x:v>
      </x:c>
      <x:c r="H3100" s="85" t="str">
        <x:v>Diagnóstico e execução</x:v>
      </x:c>
    </x:row>
    <x:row r="3101">
      <x:c r="A3101" s="83" t="n">
        <x:v>3100</x:v>
      </x:c>
      <x:c r="B3101" s="84" t="n">
        <x:v>1820</x:v>
      </x:c>
      <x:c r="C3101" s="84" t="n">
        <x:v>41</x:v>
      </x:c>
      <x:c r="D3101" s="89" t="n">
        <x:v>45405</x:v>
      </x:c>
      <x:c r="E3101" s="84" t="n">
        <x:v>2.6</x:v>
      </x:c>
      <x:c r="F3101" s="84" t="str">
        <x:v>Normal</x:v>
      </x:c>
      <x:c r="G3101" s="93" t="n">
        <x:v>131.51</x:v>
      </x:c>
      <x:c r="H3101" s="85" t="str">
        <x:v>Diagnóstico e execução</x:v>
      </x:c>
    </x:row>
    <x:row r="3102">
      <x:c r="A3102" s="83" t="n">
        <x:v>3101</x:v>
      </x:c>
      <x:c r="B3102" s="84" t="n">
        <x:v>1820</x:v>
      </x:c>
      <x:c r="C3102" s="84" t="n">
        <x:v>23</x:v>
      </x:c>
      <x:c r="D3102" s="89" t="n">
        <x:v>45405</x:v>
      </x:c>
      <x:c r="E3102" s="84" t="n">
        <x:v>5.2</x:v>
      </x:c>
      <x:c r="F3102" s="84" t="str">
        <x:v>Normal</x:v>
      </x:c>
      <x:c r="G3102" s="93" t="n">
        <x:v>224.17</x:v>
      </x:c>
      <x:c r="H3102" s="85" t="str">
        <x:v>Diagnóstico e execução</x:v>
      </x:c>
    </x:row>
    <x:row r="3103">
      <x:c r="A3103" s="83" t="n">
        <x:v>3102</x:v>
      </x:c>
      <x:c r="B3103" s="84" t="n">
        <x:v>1821</x:v>
      </x:c>
      <x:c r="C3103" s="84" t="n">
        <x:v>39</x:v>
      </x:c>
      <x:c r="D3103" s="89" t="n">
        <x:v>45975</x:v>
      </x:c>
      <x:c r="E3103" s="84" t="n">
        <x:v>3.5</x:v>
      </x:c>
      <x:c r="F3103" s="84" t="str">
        <x:v>Normal</x:v>
      </x:c>
      <x:c r="G3103" s="93" t="n">
        <x:v>202.65</x:v>
      </x:c>
      <x:c r="H3103" s="85" t="str">
        <x:v>Diagnóstico e execução</x:v>
      </x:c>
    </x:row>
    <x:row r="3104">
      <x:c r="A3104" s="83" t="n">
        <x:v>3103</x:v>
      </x:c>
      <x:c r="B3104" s="84" t="n">
        <x:v>1822</x:v>
      </x:c>
      <x:c r="C3104" s="84" t="n">
        <x:v>30</x:v>
      </x:c>
      <x:c r="D3104" s="89" t="n">
        <x:v>45927</x:v>
      </x:c>
      <x:c r="E3104" s="84" t="n">
        <x:v>7.7</x:v>
      </x:c>
      <x:c r="F3104" s="84" t="str">
        <x:v>Normal</x:v>
      </x:c>
      <x:c r="G3104" s="93" t="n">
        <x:v>318.86</x:v>
      </x:c>
      <x:c r="H3104" s="85" t="str">
        <x:v>Diagnóstico e execução</x:v>
      </x:c>
    </x:row>
    <x:row r="3105">
      <x:c r="A3105" s="83" t="n">
        <x:v>3104</x:v>
      </x:c>
      <x:c r="B3105" s="84" t="n">
        <x:v>1822</x:v>
      </x:c>
      <x:c r="C3105" s="84" t="n">
        <x:v>3</x:v>
      </x:c>
      <x:c r="D3105" s="89" t="n">
        <x:v>45927</x:v>
      </x:c>
      <x:c r="E3105" s="84" t="n">
        <x:v>3</x:v>
      </x:c>
      <x:c r="F3105" s="84" t="str">
        <x:v>Normal</x:v>
      </x:c>
      <x:c r="G3105" s="93" t="n">
        <x:v>147.72</x:v>
      </x:c>
      <x:c r="H3105" s="85" t="str">
        <x:v>Diagnóstico e execução</x:v>
      </x:c>
    </x:row>
    <x:row r="3106">
      <x:c r="A3106" s="83" t="n">
        <x:v>3105</x:v>
      </x:c>
      <x:c r="B3106" s="84" t="n">
        <x:v>1822</x:v>
      </x:c>
      <x:c r="C3106" s="84" t="n">
        <x:v>24</x:v>
      </x:c>
      <x:c r="D3106" s="89" t="n">
        <x:v>45927</x:v>
      </x:c>
      <x:c r="E3106" s="84" t="n">
        <x:v>6.6</x:v>
      </x:c>
      <x:c r="F3106" s="84" t="str">
        <x:v>Normal</x:v>
      </x:c>
      <x:c r="G3106" s="93" t="n">
        <x:v>390.98</x:v>
      </x:c>
      <x:c r="H3106" s="85" t="str">
        <x:v>Diagnóstico e execução</x:v>
      </x:c>
    </x:row>
    <x:row r="3107">
      <x:c r="A3107" s="83" t="n">
        <x:v>3106</x:v>
      </x:c>
      <x:c r="B3107" s="84" t="n">
        <x:v>1823</x:v>
      </x:c>
      <x:c r="C3107" s="84" t="n">
        <x:v>37</x:v>
      </x:c>
      <x:c r="D3107" s="89" t="n">
        <x:v>45408</x:v>
      </x:c>
      <x:c r="E3107" s="84" t="n">
        <x:v>3.9</x:v>
      </x:c>
      <x:c r="F3107" s="84" t="str">
        <x:v>Normal</x:v>
      </x:c>
      <x:c r="G3107" s="93" t="n">
        <x:v>229.98</x:v>
      </x:c>
      <x:c r="H3107" s="85" t="str">
        <x:v>Diagnóstico e execução</x:v>
      </x:c>
    </x:row>
    <x:row r="3108">
      <x:c r="A3108" s="83" t="n">
        <x:v>3107</x:v>
      </x:c>
      <x:c r="B3108" s="84" t="n">
        <x:v>1824</x:v>
      </x:c>
      <x:c r="C3108" s="84" t="n">
        <x:v>40</x:v>
      </x:c>
      <x:c r="D3108" s="89" t="n">
        <x:v>45314</x:v>
      </x:c>
      <x:c r="E3108" s="84" t="n">
        <x:v>4.9</x:v>
      </x:c>
      <x:c r="F3108" s="84" t="str">
        <x:v>Normal</x:v>
      </x:c>
      <x:c r="G3108" s="93" t="n">
        <x:v>242.16</x:v>
      </x:c>
      <x:c r="H3108" s="85" t="str">
        <x:v>Diagnóstico e execução</x:v>
      </x:c>
    </x:row>
    <x:row r="3109">
      <x:c r="A3109" s="83" t="n">
        <x:v>3108</x:v>
      </x:c>
      <x:c r="B3109" s="84" t="n">
        <x:v>1825</x:v>
      </x:c>
      <x:c r="C3109" s="84" t="n">
        <x:v>45</x:v>
      </x:c>
      <x:c r="D3109" s="89" t="n">
        <x:v>45836</x:v>
      </x:c>
      <x:c r="E3109" s="84" t="n">
        <x:v>6.7</x:v>
      </x:c>
      <x:c r="F3109" s="84" t="str">
        <x:v>Normal</x:v>
      </x:c>
      <x:c r="G3109" s="93" t="n">
        <x:v>358.92</x:v>
      </x:c>
      <x:c r="H3109" s="85" t="str">
        <x:v>Diagnóstico e execução</x:v>
      </x:c>
    </x:row>
    <x:row r="3110">
      <x:c r="A3110" s="83" t="n">
        <x:v>3109</x:v>
      </x:c>
      <x:c r="B3110" s="84" t="n">
        <x:v>1826</x:v>
      </x:c>
      <x:c r="C3110" s="84" t="n">
        <x:v>28</x:v>
      </x:c>
      <x:c r="D3110" s="89" t="n">
        <x:v>45005</x:v>
      </x:c>
      <x:c r="E3110" s="84" t="n">
        <x:v>3.6</x:v>
      </x:c>
      <x:c r="F3110" s="84" t="str">
        <x:v>Normal</x:v>
      </x:c>
      <x:c r="G3110" s="93" t="n">
        <x:v>135.43</x:v>
      </x:c>
      <x:c r="H3110" s="85" t="str">
        <x:v>Diagnóstico e execução</x:v>
      </x:c>
    </x:row>
    <x:row r="3111">
      <x:c r="A3111" s="83" t="n">
        <x:v>3110</x:v>
      </x:c>
      <x:c r="B3111" s="84" t="n">
        <x:v>1826</x:v>
      </x:c>
      <x:c r="C3111" s="84" t="n">
        <x:v>45</x:v>
      </x:c>
      <x:c r="D3111" s="89" t="n">
        <x:v>45005</x:v>
      </x:c>
      <x:c r="E3111" s="84" t="n">
        <x:v>3.1</x:v>
      </x:c>
      <x:c r="F3111" s="84" t="str">
        <x:v>Normal</x:v>
      </x:c>
      <x:c r="G3111" s="93" t="n">
        <x:v>166.07</x:v>
      </x:c>
      <x:c r="H3111" s="85" t="str">
        <x:v>Diagnóstico e execução</x:v>
      </x:c>
    </x:row>
    <x:row r="3112">
      <x:c r="A3112" s="83" t="n">
        <x:v>3111</x:v>
      </x:c>
      <x:c r="B3112" s="84" t="n">
        <x:v>1826</x:v>
      </x:c>
      <x:c r="C3112" s="84" t="n">
        <x:v>25</x:v>
      </x:c>
      <x:c r="D3112" s="89" t="n">
        <x:v>45005</x:v>
      </x:c>
      <x:c r="E3112" s="84" t="n">
        <x:v>3</x:v>
      </x:c>
      <x:c r="F3112" s="84" t="str">
        <x:v>Normal</x:v>
      </x:c>
      <x:c r="G3112" s="93" t="n">
        <x:v>160.77</x:v>
      </x:c>
      <x:c r="H3112" s="85" t="str">
        <x:v>Diagnóstico e execução</x:v>
      </x:c>
    </x:row>
    <x:row r="3113">
      <x:c r="A3113" s="83" t="n">
        <x:v>3112</x:v>
      </x:c>
      <x:c r="B3113" s="84" t="n">
        <x:v>1827</x:v>
      </x:c>
      <x:c r="C3113" s="84" t="n">
        <x:v>17</x:v>
      </x:c>
      <x:c r="D3113" s="89" t="n">
        <x:v>45285</x:v>
      </x:c>
      <x:c r="E3113" s="84" t="n">
        <x:v>6.8</x:v>
      </x:c>
      <x:c r="F3113" s="84" t="str">
        <x:v>Normal</x:v>
      </x:c>
      <x:c r="G3113" s="93" t="n">
        <x:v>379.3</x:v>
      </x:c>
      <x:c r="H3113" s="85" t="str">
        <x:v>Diagnóstico e execução</x:v>
      </x:c>
    </x:row>
    <x:row r="3114">
      <x:c r="A3114" s="83" t="n">
        <x:v>3113</x:v>
      </x:c>
      <x:c r="B3114" s="84" t="n">
        <x:v>1828</x:v>
      </x:c>
      <x:c r="C3114" s="84" t="n">
        <x:v>45</x:v>
      </x:c>
      <x:c r="D3114" s="89" t="n">
        <x:v>45790</x:v>
      </x:c>
      <x:c r="E3114" s="84" t="n">
        <x:v>7.8</x:v>
      </x:c>
      <x:c r="F3114" s="84" t="str">
        <x:v>Normal</x:v>
      </x:c>
      <x:c r="G3114" s="93" t="n">
        <x:v>417.85</x:v>
      </x:c>
      <x:c r="H3114" s="85" t="str">
        <x:v>Diagnóstico e execução</x:v>
      </x:c>
    </x:row>
    <x:row r="3115">
      <x:c r="A3115" s="83" t="n">
        <x:v>3114</x:v>
      </x:c>
      <x:c r="B3115" s="84" t="n">
        <x:v>1829</x:v>
      </x:c>
      <x:c r="C3115" s="84" t="n">
        <x:v>24</x:v>
      </x:c>
      <x:c r="D3115" s="89" t="n">
        <x:v>45473</x:v>
      </x:c>
      <x:c r="E3115" s="84" t="n">
        <x:v>2.1</x:v>
      </x:c>
      <x:c r="F3115" s="84" t="str">
        <x:v>Normal</x:v>
      </x:c>
      <x:c r="G3115" s="93" t="n">
        <x:v>124.4</x:v>
      </x:c>
      <x:c r="H3115" s="85" t="str">
        <x:v>Diagnóstico e execução</x:v>
      </x:c>
    </x:row>
    <x:row r="3116">
      <x:c r="A3116" s="83" t="n">
        <x:v>3115</x:v>
      </x:c>
      <x:c r="B3116" s="84" t="n">
        <x:v>1830</x:v>
      </x:c>
      <x:c r="C3116" s="84" t="n">
        <x:v>40</x:v>
      </x:c>
      <x:c r="D3116" s="89" t="n">
        <x:v>45312</x:v>
      </x:c>
      <x:c r="E3116" s="84" t="n">
        <x:v>7.8</x:v>
      </x:c>
      <x:c r="F3116" s="84" t="str">
        <x:v>Normal</x:v>
      </x:c>
      <x:c r="G3116" s="93" t="n">
        <x:v>385.48</x:v>
      </x:c>
      <x:c r="H3116" s="85" t="str">
        <x:v>Diagnóstico e execução</x:v>
      </x:c>
    </x:row>
    <x:row r="3117">
      <x:c r="A3117" s="83" t="n">
        <x:v>3116</x:v>
      </x:c>
      <x:c r="B3117" s="84" t="n">
        <x:v>1830</x:v>
      </x:c>
      <x:c r="C3117" s="84" t="n">
        <x:v>42</x:v>
      </x:c>
      <x:c r="D3117" s="89" t="n">
        <x:v>45312</x:v>
      </x:c>
      <x:c r="E3117" s="84" t="n">
        <x:v>7.7</x:v>
      </x:c>
      <x:c r="F3117" s="84" t="str">
        <x:v>Normal</x:v>
      </x:c>
      <x:c r="G3117" s="93" t="n">
        <x:v>324.79</x:v>
      </x:c>
      <x:c r="H3117" s="85" t="str">
        <x:v>Diagnóstico e execução</x:v>
      </x:c>
    </x:row>
    <x:row r="3118">
      <x:c r="A3118" s="83" t="n">
        <x:v>3117</x:v>
      </x:c>
      <x:c r="B3118" s="84" t="n">
        <x:v>1831</x:v>
      </x:c>
      <x:c r="C3118" s="84" t="n">
        <x:v>17</x:v>
      </x:c>
      <x:c r="D3118" s="89" t="n">
        <x:v>45409</x:v>
      </x:c>
      <x:c r="E3118" s="84" t="n">
        <x:v>3.7</x:v>
      </x:c>
      <x:c r="F3118" s="84" t="str">
        <x:v>Normal</x:v>
      </x:c>
      <x:c r="G3118" s="93" t="n">
        <x:v>206.39</x:v>
      </x:c>
      <x:c r="H3118" s="85" t="str">
        <x:v>Diagnóstico e execução</x:v>
      </x:c>
    </x:row>
    <x:row r="3119">
      <x:c r="A3119" s="83" t="n">
        <x:v>3118</x:v>
      </x:c>
      <x:c r="B3119" s="84" t="n">
        <x:v>1832</x:v>
      </x:c>
      <x:c r="C3119" s="84" t="n">
        <x:v>34</x:v>
      </x:c>
      <x:c r="D3119" s="89" t="n">
        <x:v>45483</x:v>
      </x:c>
      <x:c r="E3119" s="84" t="n">
        <x:v>1.9</x:v>
      </x:c>
      <x:c r="F3119" s="84" t="str">
        <x:v>Normal</x:v>
      </x:c>
      <x:c r="G3119" s="93" t="n">
        <x:v>82.14</x:v>
      </x:c>
      <x:c r="H3119" s="85" t="str">
        <x:v>Diagnóstico e execução</x:v>
      </x:c>
    </x:row>
    <x:row r="3120">
      <x:c r="A3120" s="83" t="n">
        <x:v>3119</x:v>
      </x:c>
      <x:c r="B3120" s="84" t="n">
        <x:v>1832</x:v>
      </x:c>
      <x:c r="C3120" s="84" t="n">
        <x:v>17</x:v>
      </x:c>
      <x:c r="D3120" s="89" t="n">
        <x:v>45483</x:v>
      </x:c>
      <x:c r="E3120" s="84" t="n">
        <x:v>1.7</x:v>
      </x:c>
      <x:c r="F3120" s="84" t="str">
        <x:v>Normal</x:v>
      </x:c>
      <x:c r="G3120" s="93" t="n">
        <x:v>94.83</x:v>
      </x:c>
      <x:c r="H3120" s="85" t="str">
        <x:v>Diagnóstico e execução</x:v>
      </x:c>
    </x:row>
    <x:row r="3121">
      <x:c r="A3121" s="83" t="n">
        <x:v>3120</x:v>
      </x:c>
      <x:c r="B3121" s="84" t="n">
        <x:v>1833</x:v>
      </x:c>
      <x:c r="C3121" s="84" t="n">
        <x:v>9</x:v>
      </x:c>
      <x:c r="D3121" s="89" t="n">
        <x:v>45453</x:v>
      </x:c>
      <x:c r="E3121" s="84" t="n">
        <x:v>2.7</x:v>
      </x:c>
      <x:c r="F3121" s="84" t="str">
        <x:v>Normal</x:v>
      </x:c>
      <x:c r="G3121" s="93" t="n">
        <x:v>142.21</x:v>
      </x:c>
      <x:c r="H3121" s="85" t="str">
        <x:v>Diagnóstico e execução</x:v>
      </x:c>
    </x:row>
    <x:row r="3122">
      <x:c r="A3122" s="83" t="n">
        <x:v>3121</x:v>
      </x:c>
      <x:c r="B3122" s="84" t="n">
        <x:v>1833</x:v>
      </x:c>
      <x:c r="C3122" s="84" t="n">
        <x:v>40</x:v>
      </x:c>
      <x:c r="D3122" s="89" t="n">
        <x:v>45453</x:v>
      </x:c>
      <x:c r="E3122" s="84" t="n">
        <x:v>6.4</x:v>
      </x:c>
      <x:c r="F3122" s="84" t="str">
        <x:v>Normal</x:v>
      </x:c>
      <x:c r="G3122" s="93" t="n">
        <x:v>316.29</x:v>
      </x:c>
      <x:c r="H3122" s="85" t="str">
        <x:v>Diagnóstico e execução</x:v>
      </x:c>
    </x:row>
    <x:row r="3123">
      <x:c r="A3123" s="83" t="n">
        <x:v>3122</x:v>
      </x:c>
      <x:c r="B3123" s="84" t="n">
        <x:v>1833</x:v>
      </x:c>
      <x:c r="C3123" s="84" t="n">
        <x:v>32</x:v>
      </x:c>
      <x:c r="D3123" s="89" t="n">
        <x:v>45453</x:v>
      </x:c>
      <x:c r="E3123" s="84" t="n">
        <x:v>1</x:v>
      </x:c>
      <x:c r="F3123" s="84" t="str">
        <x:v>Normal</x:v>
      </x:c>
      <x:c r="G3123" s="93" t="n">
        <x:v>43.65</x:v>
      </x:c>
      <x:c r="H3123" s="85" t="str">
        <x:v>Diagnóstico e execução</x:v>
      </x:c>
    </x:row>
    <x:row r="3124">
      <x:c r="A3124" s="83" t="n">
        <x:v>3123</x:v>
      </x:c>
      <x:c r="B3124" s="84" t="n">
        <x:v>1834</x:v>
      </x:c>
      <x:c r="C3124" s="84" t="n">
        <x:v>9</x:v>
      </x:c>
      <x:c r="D3124" s="89" t="n">
        <x:v>45833</x:v>
      </x:c>
      <x:c r="E3124" s="84" t="n">
        <x:v>1.8</x:v>
      </x:c>
      <x:c r="F3124" s="84" t="str">
        <x:v>Normal</x:v>
      </x:c>
      <x:c r="G3124" s="93" t="n">
        <x:v>94.81</x:v>
      </x:c>
      <x:c r="H3124" s="85" t="str">
        <x:v>Diagnóstico e execução</x:v>
      </x:c>
    </x:row>
    <x:row r="3125">
      <x:c r="A3125" s="83" t="n">
        <x:v>3124</x:v>
      </x:c>
      <x:c r="B3125" s="84" t="n">
        <x:v>1834</x:v>
      </x:c>
      <x:c r="C3125" s="84" t="n">
        <x:v>30</x:v>
      </x:c>
      <x:c r="D3125" s="89" t="n">
        <x:v>45833</x:v>
      </x:c>
      <x:c r="E3125" s="84" t="n">
        <x:v>5.5</x:v>
      </x:c>
      <x:c r="F3125" s="84" t="str">
        <x:v>Normal</x:v>
      </x:c>
      <x:c r="G3125" s="93" t="n">
        <x:v>227.75</x:v>
      </x:c>
      <x:c r="H3125" s="85" t="str">
        <x:v>Diagnóstico e execução</x:v>
      </x:c>
    </x:row>
    <x:row r="3126">
      <x:c r="A3126" s="83" t="n">
        <x:v>3125</x:v>
      </x:c>
      <x:c r="B3126" s="84" t="n">
        <x:v>1835</x:v>
      </x:c>
      <x:c r="C3126" s="84" t="n">
        <x:v>35</x:v>
      </x:c>
      <x:c r="D3126" s="89" t="n">
        <x:v>45932</x:v>
      </x:c>
      <x:c r="E3126" s="84" t="n">
        <x:v>4.8</x:v>
      </x:c>
      <x:c r="F3126" s="84" t="str">
        <x:v>Normal</x:v>
      </x:c>
      <x:c r="G3126" s="93" t="n">
        <x:v>236.11</x:v>
      </x:c>
      <x:c r="H3126" s="85" t="str">
        <x:v>Diagnóstico e execução</x:v>
      </x:c>
    </x:row>
    <x:row r="3127">
      <x:c r="A3127" s="83" t="n">
        <x:v>3126</x:v>
      </x:c>
      <x:c r="B3127" s="84" t="n">
        <x:v>1835</x:v>
      </x:c>
      <x:c r="C3127" s="84" t="n">
        <x:v>12</x:v>
      </x:c>
      <x:c r="D3127" s="89" t="n">
        <x:v>45932</x:v>
      </x:c>
      <x:c r="E3127" s="84" t="n">
        <x:v>4.6</x:v>
      </x:c>
      <x:c r="F3127" s="84" t="str">
        <x:v>Normal</x:v>
      </x:c>
      <x:c r="G3127" s="93" t="n">
        <x:v>158.7</x:v>
      </x:c>
      <x:c r="H3127" s="85" t="str">
        <x:v>Diagnóstico e execução</x:v>
      </x:c>
    </x:row>
    <x:row r="3128">
      <x:c r="A3128" s="83" t="n">
        <x:v>3127</x:v>
      </x:c>
      <x:c r="B3128" s="84" t="n">
        <x:v>1835</x:v>
      </x:c>
      <x:c r="C3128" s="84" t="n">
        <x:v>5</x:v>
      </x:c>
      <x:c r="D3128" s="89" t="n">
        <x:v>45932</x:v>
      </x:c>
      <x:c r="E3128" s="84" t="n">
        <x:v>1.7</x:v>
      </x:c>
      <x:c r="F3128" s="84" t="str">
        <x:v>Normal</x:v>
      </x:c>
      <x:c r="G3128" s="93" t="n">
        <x:v>48.99</x:v>
      </x:c>
      <x:c r="H3128" s="85" t="str">
        <x:v>Diagnóstico e execução</x:v>
      </x:c>
    </x:row>
    <x:row r="3129">
      <x:c r="A3129" s="83" t="n">
        <x:v>3128</x:v>
      </x:c>
      <x:c r="B3129" s="84" t="n">
        <x:v>1836</x:v>
      </x:c>
      <x:c r="C3129" s="84" t="n">
        <x:v>6</x:v>
      </x:c>
      <x:c r="D3129" s="89" t="n">
        <x:v>45902</x:v>
      </x:c>
      <x:c r="E3129" s="84" t="n">
        <x:v>4</x:v>
      </x:c>
      <x:c r="F3129" s="84" t="str">
        <x:v>Normal</x:v>
      </x:c>
      <x:c r="G3129" s="93" t="n">
        <x:v>209.04</x:v>
      </x:c>
      <x:c r="H3129" s="85" t="str">
        <x:v>Diagnóstico e execução</x:v>
      </x:c>
    </x:row>
    <x:row r="3130">
      <x:c r="A3130" s="83" t="n">
        <x:v>3129</x:v>
      </x:c>
      <x:c r="B3130" s="84" t="n">
        <x:v>1836</x:v>
      </x:c>
      <x:c r="C3130" s="84" t="n">
        <x:v>8</x:v>
      </x:c>
      <x:c r="D3130" s="89" t="n">
        <x:v>45902</x:v>
      </x:c>
      <x:c r="E3130" s="84" t="n">
        <x:v>2.4</x:v>
      </x:c>
      <x:c r="F3130" s="84" t="str">
        <x:v>Normal</x:v>
      </x:c>
      <x:c r="G3130" s="93" t="n">
        <x:v>111.6</x:v>
      </x:c>
      <x:c r="H3130" s="85" t="str">
        <x:v>Diagnóstico e execução</x:v>
      </x:c>
    </x:row>
    <x:row r="3131">
      <x:c r="A3131" s="83" t="n">
        <x:v>3130</x:v>
      </x:c>
      <x:c r="B3131" s="84" t="n">
        <x:v>1837</x:v>
      </x:c>
      <x:c r="C3131" s="84" t="n">
        <x:v>29</x:v>
      </x:c>
      <x:c r="D3131" s="89" t="n">
        <x:v>45011</x:v>
      </x:c>
      <x:c r="E3131" s="84" t="n">
        <x:v>7.1</x:v>
      </x:c>
      <x:c r="F3131" s="84" t="str">
        <x:v>Normal</x:v>
      </x:c>
      <x:c r="G3131" s="93" t="n">
        <x:v>351.59</x:v>
      </x:c>
      <x:c r="H3131" s="85" t="str">
        <x:v>Diagnóstico e execução</x:v>
      </x:c>
    </x:row>
    <x:row r="3132">
      <x:c r="A3132" s="83" t="n">
        <x:v>3131</x:v>
      </x:c>
      <x:c r="B3132" s="84" t="n">
        <x:v>1837</x:v>
      </x:c>
      <x:c r="C3132" s="84" t="n">
        <x:v>38</x:v>
      </x:c>
      <x:c r="D3132" s="89" t="n">
        <x:v>45011</x:v>
      </x:c>
      <x:c r="E3132" s="84" t="n">
        <x:v>5.6</x:v>
      </x:c>
      <x:c r="F3132" s="84" t="str">
        <x:v>Normal</x:v>
      </x:c>
      <x:c r="G3132" s="93" t="n">
        <x:v>188.55</x:v>
      </x:c>
      <x:c r="H3132" s="85" t="str">
        <x:v>Diagnóstico e execução</x:v>
      </x:c>
    </x:row>
    <x:row r="3133">
      <x:c r="A3133" s="83" t="n">
        <x:v>3132</x:v>
      </x:c>
      <x:c r="B3133" s="84" t="n">
        <x:v>1837</x:v>
      </x:c>
      <x:c r="C3133" s="84" t="n">
        <x:v>24</x:v>
      </x:c>
      <x:c r="D3133" s="89" t="n">
        <x:v>45011</x:v>
      </x:c>
      <x:c r="E3133" s="84" t="n">
        <x:v>1.3</x:v>
      </x:c>
      <x:c r="F3133" s="84" t="str">
        <x:v>Normal</x:v>
      </x:c>
      <x:c r="G3133" s="93" t="n">
        <x:v>77.01</x:v>
      </x:c>
      <x:c r="H3133" s="85" t="str">
        <x:v>Diagnóstico e execução</x:v>
      </x:c>
    </x:row>
    <x:row r="3134">
      <x:c r="A3134" s="83" t="n">
        <x:v>3133</x:v>
      </x:c>
      <x:c r="B3134" s="84" t="n">
        <x:v>1838</x:v>
      </x:c>
      <x:c r="C3134" s="84" t="n">
        <x:v>36</x:v>
      </x:c>
      <x:c r="D3134" s="89" t="n">
        <x:v>45330</x:v>
      </x:c>
      <x:c r="E3134" s="84" t="n">
        <x:v>2.9</x:v>
      </x:c>
      <x:c r="F3134" s="84" t="str">
        <x:v>Normal</x:v>
      </x:c>
      <x:c r="G3134" s="93" t="n">
        <x:v>86.01</x:v>
      </x:c>
      <x:c r="H3134" s="85" t="str">
        <x:v>Diagnóstico e execução</x:v>
      </x:c>
    </x:row>
    <x:row r="3135">
      <x:c r="A3135" s="83" t="n">
        <x:v>3134</x:v>
      </x:c>
      <x:c r="B3135" s="84" t="n">
        <x:v>1839</x:v>
      </x:c>
      <x:c r="C3135" s="84" t="n">
        <x:v>20</x:v>
      </x:c>
      <x:c r="D3135" s="89" t="n">
        <x:v>45908</x:v>
      </x:c>
      <x:c r="E3135" s="84" t="n">
        <x:v>6.4</x:v>
      </x:c>
      <x:c r="F3135" s="84" t="str">
        <x:v>Normal</x:v>
      </x:c>
      <x:c r="G3135" s="93" t="n">
        <x:v>214.53</x:v>
      </x:c>
      <x:c r="H3135" s="85" t="str">
        <x:v>Diagnóstico e execução</x:v>
      </x:c>
    </x:row>
    <x:row r="3136">
      <x:c r="A3136" s="83" t="n">
        <x:v>3135</x:v>
      </x:c>
      <x:c r="B3136" s="84" t="n">
        <x:v>1840</x:v>
      </x:c>
      <x:c r="C3136" s="84" t="n">
        <x:v>33</x:v>
      </x:c>
      <x:c r="D3136" s="89" t="n">
        <x:v>45522</x:v>
      </x:c>
      <x:c r="E3136" s="84" t="n">
        <x:v>3</x:v>
      </x:c>
      <x:c r="F3136" s="84" t="str">
        <x:v>Normal</x:v>
      </x:c>
      <x:c r="G3136" s="93" t="n">
        <x:v>103.47</x:v>
      </x:c>
      <x:c r="H3136" s="85" t="str">
        <x:v>Diagnóstico e execução</x:v>
      </x:c>
    </x:row>
    <x:row r="3137">
      <x:c r="A3137" s="83" t="n">
        <x:v>3136</x:v>
      </x:c>
      <x:c r="B3137" s="84" t="n">
        <x:v>1840</x:v>
      </x:c>
      <x:c r="C3137" s="84" t="n">
        <x:v>8</x:v>
      </x:c>
      <x:c r="D3137" s="89" t="n">
        <x:v>45522</x:v>
      </x:c>
      <x:c r="E3137" s="84" t="n">
        <x:v>3.6</x:v>
      </x:c>
      <x:c r="F3137" s="84" t="str">
        <x:v>Normal</x:v>
      </x:c>
      <x:c r="G3137" s="93" t="n">
        <x:v>167.4</x:v>
      </x:c>
      <x:c r="H3137" s="85" t="str">
        <x:v>Diagnóstico e execução</x:v>
      </x:c>
    </x:row>
    <x:row r="3138">
      <x:c r="A3138" s="83" t="n">
        <x:v>3137</x:v>
      </x:c>
      <x:c r="B3138" s="84" t="n">
        <x:v>1840</x:v>
      </x:c>
      <x:c r="C3138" s="84" t="n">
        <x:v>18</x:v>
      </x:c>
      <x:c r="D3138" s="89" t="n">
        <x:v>45522</x:v>
      </x:c>
      <x:c r="E3138" s="84" t="n">
        <x:v>1.5</x:v>
      </x:c>
      <x:c r="F3138" s="84" t="str">
        <x:v>Normal</x:v>
      </x:c>
      <x:c r="G3138" s="93" t="n">
        <x:v>94.64</x:v>
      </x:c>
      <x:c r="H3138" s="85" t="str">
        <x:v>Diagnóstico e execução</x:v>
      </x:c>
    </x:row>
    <x:row r="3139">
      <x:c r="A3139" s="83" t="n">
        <x:v>3138</x:v>
      </x:c>
      <x:c r="B3139" s="84" t="n">
        <x:v>1841</x:v>
      </x:c>
      <x:c r="C3139" s="84" t="n">
        <x:v>5</x:v>
      </x:c>
      <x:c r="D3139" s="89" t="n">
        <x:v>45957</x:v>
      </x:c>
      <x:c r="E3139" s="84" t="n">
        <x:v>5.5</x:v>
      </x:c>
      <x:c r="F3139" s="84" t="str">
        <x:v>Normal</x:v>
      </x:c>
      <x:c r="G3139" s="93" t="n">
        <x:v>158.51</x:v>
      </x:c>
      <x:c r="H3139" s="85" t="str">
        <x:v>Diagnóstico e execução</x:v>
      </x:c>
    </x:row>
    <x:row r="3140">
      <x:c r="A3140" s="83" t="n">
        <x:v>3139</x:v>
      </x:c>
      <x:c r="B3140" s="84" t="n">
        <x:v>1842</x:v>
      </x:c>
      <x:c r="C3140" s="84" t="n">
        <x:v>6</x:v>
      </x:c>
      <x:c r="D3140" s="89" t="n">
        <x:v>45878</x:v>
      </x:c>
      <x:c r="E3140" s="84" t="n">
        <x:v>3.9</x:v>
      </x:c>
      <x:c r="F3140" s="84" t="str">
        <x:v>Normal</x:v>
      </x:c>
      <x:c r="G3140" s="93" t="n">
        <x:v>203.81</x:v>
      </x:c>
      <x:c r="H3140" s="85" t="str">
        <x:v>Diagnóstico e execução</x:v>
      </x:c>
    </x:row>
    <x:row r="3141">
      <x:c r="A3141" s="83" t="n">
        <x:v>3140</x:v>
      </x:c>
      <x:c r="B3141" s="84" t="n">
        <x:v>1843</x:v>
      </x:c>
      <x:c r="C3141" s="84" t="n">
        <x:v>15</x:v>
      </x:c>
      <x:c r="D3141" s="89" t="n">
        <x:v>45594</x:v>
      </x:c>
      <x:c r="E3141" s="84" t="n">
        <x:v>3.7</x:v>
      </x:c>
      <x:c r="F3141" s="84" t="str">
        <x:v>Normal</x:v>
      </x:c>
      <x:c r="G3141" s="93" t="n">
        <x:v>111.89</x:v>
      </x:c>
      <x:c r="H3141" s="85" t="str">
        <x:v>Diagnóstico e execução</x:v>
      </x:c>
    </x:row>
    <x:row r="3142">
      <x:c r="A3142" s="83" t="n">
        <x:v>3141</x:v>
      </x:c>
      <x:c r="B3142" s="84" t="n">
        <x:v>1843</x:v>
      </x:c>
      <x:c r="C3142" s="84" t="n">
        <x:v>11</x:v>
      </x:c>
      <x:c r="D3142" s="89" t="n">
        <x:v>45594</x:v>
      </x:c>
      <x:c r="E3142" s="84" t="n">
        <x:v>6</x:v>
      </x:c>
      <x:c r="F3142" s="84" t="str">
        <x:v>Normal</x:v>
      </x:c>
      <x:c r="G3142" s="93" t="n">
        <x:v>250.08</x:v>
      </x:c>
      <x:c r="H3142" s="85" t="str">
        <x:v>Diagnóstico e execução</x:v>
      </x:c>
    </x:row>
    <x:row r="3143">
      <x:c r="A3143" s="83" t="n">
        <x:v>3142</x:v>
      </x:c>
      <x:c r="B3143" s="84" t="n">
        <x:v>1843</x:v>
      </x:c>
      <x:c r="C3143" s="84" t="n">
        <x:v>11</x:v>
      </x:c>
      <x:c r="D3143" s="89" t="n">
        <x:v>45594</x:v>
      </x:c>
      <x:c r="E3143" s="84" t="n">
        <x:v>3.7</x:v>
      </x:c>
      <x:c r="F3143" s="84" t="str">
        <x:v>Normal</x:v>
      </x:c>
      <x:c r="G3143" s="93" t="n">
        <x:v>154.22</x:v>
      </x:c>
      <x:c r="H3143" s="85" t="str">
        <x:v>Diagnóstico e execução</x:v>
      </x:c>
    </x:row>
    <x:row r="3144">
      <x:c r="A3144" s="83" t="n">
        <x:v>3143</x:v>
      </x:c>
      <x:c r="B3144" s="84" t="n">
        <x:v>1845</x:v>
      </x:c>
      <x:c r="C3144" s="84" t="n">
        <x:v>21</x:v>
      </x:c>
      <x:c r="D3144" s="89" t="n">
        <x:v>45782</x:v>
      </x:c>
      <x:c r="E3144" s="84" t="n">
        <x:v>7.9</x:v>
      </x:c>
      <x:c r="F3144" s="84" t="str">
        <x:v>Normal</x:v>
      </x:c>
      <x:c r="G3144" s="93" t="n">
        <x:v>485.3</x:v>
      </x:c>
      <x:c r="H3144" s="85" t="str">
        <x:v>Diagnóstico e execução</x:v>
      </x:c>
    </x:row>
    <x:row r="3145">
      <x:c r="A3145" s="83" t="n">
        <x:v>3144</x:v>
      </x:c>
      <x:c r="B3145" s="84" t="n">
        <x:v>1845</x:v>
      </x:c>
      <x:c r="C3145" s="84" t="n">
        <x:v>37</x:v>
      </x:c>
      <x:c r="D3145" s="89" t="n">
        <x:v>45782</x:v>
      </x:c>
      <x:c r="E3145" s="84" t="n">
        <x:v>6.3</x:v>
      </x:c>
      <x:c r="F3145" s="84" t="str">
        <x:v>Normal</x:v>
      </x:c>
      <x:c r="G3145" s="93" t="n">
        <x:v>371.51</x:v>
      </x:c>
      <x:c r="H3145" s="85" t="str">
        <x:v>Diagnóstico e execução</x:v>
      </x:c>
    </x:row>
    <x:row r="3146">
      <x:c r="A3146" s="83" t="n">
        <x:v>3145</x:v>
      </x:c>
      <x:c r="B3146" s="84" t="n">
        <x:v>1847</x:v>
      </x:c>
      <x:c r="C3146" s="84" t="n">
        <x:v>28</x:v>
      </x:c>
      <x:c r="D3146" s="89" t="n">
        <x:v>45505</x:v>
      </x:c>
      <x:c r="E3146" s="84" t="n">
        <x:v>2.8</x:v>
      </x:c>
      <x:c r="F3146" s="84" t="str">
        <x:v>Normal</x:v>
      </x:c>
      <x:c r="G3146" s="93" t="n">
        <x:v>105.34</x:v>
      </x:c>
      <x:c r="H3146" s="85" t="str">
        <x:v>Diagnóstico e execução</x:v>
      </x:c>
    </x:row>
    <x:row r="3147">
      <x:c r="A3147" s="83" t="n">
        <x:v>3146</x:v>
      </x:c>
      <x:c r="B3147" s="84" t="n">
        <x:v>1847</x:v>
      </x:c>
      <x:c r="C3147" s="84" t="n">
        <x:v>26</x:v>
      </x:c>
      <x:c r="D3147" s="89" t="n">
        <x:v>45505</x:v>
      </x:c>
      <x:c r="E3147" s="84" t="n">
        <x:v>5.8</x:v>
      </x:c>
      <x:c r="F3147" s="84" t="str">
        <x:v>Normal</x:v>
      </x:c>
      <x:c r="G3147" s="93" t="n">
        <x:v>226.9</x:v>
      </x:c>
      <x:c r="H3147" s="85" t="str">
        <x:v>Diagnóstico e execução</x:v>
      </x:c>
    </x:row>
    <x:row r="3148">
      <x:c r="A3148" s="83" t="n">
        <x:v>3147</x:v>
      </x:c>
      <x:c r="B3148" s="84" t="n">
        <x:v>1848</x:v>
      </x:c>
      <x:c r="C3148" s="84" t="n">
        <x:v>17</x:v>
      </x:c>
      <x:c r="D3148" s="89" t="n">
        <x:v>45946</x:v>
      </x:c>
      <x:c r="E3148" s="84" t="n">
        <x:v>5.3</x:v>
      </x:c>
      <x:c r="F3148" s="84" t="str">
        <x:v>Normal</x:v>
      </x:c>
      <x:c r="G3148" s="93" t="n">
        <x:v>295.63</x:v>
      </x:c>
      <x:c r="H3148" s="85" t="str">
        <x:v>Diagnóstico e execução</x:v>
      </x:c>
    </x:row>
    <x:row r="3149">
      <x:c r="A3149" s="83" t="n">
        <x:v>3148</x:v>
      </x:c>
      <x:c r="B3149" s="84" t="n">
        <x:v>1849</x:v>
      </x:c>
      <x:c r="C3149" s="84" t="n">
        <x:v>16</x:v>
      </x:c>
      <x:c r="D3149" s="89" t="n">
        <x:v>45693</x:v>
      </x:c>
      <x:c r="E3149" s="84" t="n">
        <x:v>2.5</x:v>
      </x:c>
      <x:c r="F3149" s="84" t="str">
        <x:v>Normal</x:v>
      </x:c>
      <x:c r="G3149" s="93" t="n">
        <x:v>101.3</x:v>
      </x:c>
      <x:c r="H3149" s="85" t="str">
        <x:v>Diagnóstico e execução</x:v>
      </x:c>
    </x:row>
    <x:row r="3150">
      <x:c r="A3150" s="83" t="n">
        <x:v>3149</x:v>
      </x:c>
      <x:c r="B3150" s="84" t="n">
        <x:v>1850</x:v>
      </x:c>
      <x:c r="C3150" s="84" t="n">
        <x:v>39</x:v>
      </x:c>
      <x:c r="D3150" s="89" t="n">
        <x:v>45118</x:v>
      </x:c>
      <x:c r="E3150" s="84" t="n">
        <x:v>6.6</x:v>
      </x:c>
      <x:c r="F3150" s="84" t="str">
        <x:v>Normal</x:v>
      </x:c>
      <x:c r="G3150" s="93" t="n">
        <x:v>382.14</x:v>
      </x:c>
      <x:c r="H3150" s="85" t="str">
        <x:v>Diagnóstico e execução</x:v>
      </x:c>
    </x:row>
    <x:row r="3151">
      <x:c r="A3151" s="83" t="n">
        <x:v>3150</x:v>
      </x:c>
      <x:c r="B3151" s="84" t="n">
        <x:v>1850</x:v>
      </x:c>
      <x:c r="C3151" s="84" t="n">
        <x:v>28</x:v>
      </x:c>
      <x:c r="D3151" s="89" t="n">
        <x:v>45118</x:v>
      </x:c>
      <x:c r="E3151" s="84" t="n">
        <x:v>0.7</x:v>
      </x:c>
      <x:c r="F3151" s="84" t="str">
        <x:v>Normal</x:v>
      </x:c>
      <x:c r="G3151" s="93" t="n">
        <x:v>26.33</x:v>
      </x:c>
      <x:c r="H3151" s="85" t="str">
        <x:v>Diagnóstico e execução</x:v>
      </x:c>
    </x:row>
    <x:row r="3152">
      <x:c r="A3152" s="83" t="n">
        <x:v>3151</x:v>
      </x:c>
      <x:c r="B3152" s="84" t="n">
        <x:v>1850</x:v>
      </x:c>
      <x:c r="C3152" s="84" t="n">
        <x:v>6</x:v>
      </x:c>
      <x:c r="D3152" s="89" t="n">
        <x:v>45118</x:v>
      </x:c>
      <x:c r="E3152" s="84" t="n">
        <x:v>6.2</x:v>
      </x:c>
      <x:c r="F3152" s="84" t="str">
        <x:v>Normal</x:v>
      </x:c>
      <x:c r="G3152" s="93" t="n">
        <x:v>324.01</x:v>
      </x:c>
      <x:c r="H3152" s="85" t="str">
        <x:v>Diagnóstico e execução</x:v>
      </x:c>
    </x:row>
    <x:row r="3153">
      <x:c r="A3153" s="83" t="n">
        <x:v>3152</x:v>
      </x:c>
      <x:c r="B3153" s="84" t="n">
        <x:v>1851</x:v>
      </x:c>
      <x:c r="C3153" s="84" t="n">
        <x:v>1</x:v>
      </x:c>
      <x:c r="D3153" s="89" t="n">
        <x:v>45747</x:v>
      </x:c>
      <x:c r="E3153" s="84" t="n">
        <x:v>1.9</x:v>
      </x:c>
      <x:c r="F3153" s="84" t="str">
        <x:v>Normal</x:v>
      </x:c>
      <x:c r="G3153" s="93" t="n">
        <x:v>67.2</x:v>
      </x:c>
      <x:c r="H3153" s="85" t="str">
        <x:v>Diagnóstico e execução</x:v>
      </x:c>
    </x:row>
    <x:row r="3154">
      <x:c r="A3154" s="83" t="n">
        <x:v>3153</x:v>
      </x:c>
      <x:c r="B3154" s="84" t="n">
        <x:v>1852</x:v>
      </x:c>
      <x:c r="C3154" s="84" t="n">
        <x:v>35</x:v>
      </x:c>
      <x:c r="D3154" s="89" t="n">
        <x:v>45380</x:v>
      </x:c>
      <x:c r="E3154" s="84" t="n">
        <x:v>7.6</x:v>
      </x:c>
      <x:c r="F3154" s="84" t="str">
        <x:v>Normal</x:v>
      </x:c>
      <x:c r="G3154" s="93" t="n">
        <x:v>373.84</x:v>
      </x:c>
      <x:c r="H3154" s="85" t="str">
        <x:v>Diagnóstico e execução</x:v>
      </x:c>
    </x:row>
    <x:row r="3155">
      <x:c r="A3155" s="83" t="n">
        <x:v>3154</x:v>
      </x:c>
      <x:c r="B3155" s="84" t="n">
        <x:v>1852</x:v>
      </x:c>
      <x:c r="C3155" s="84" t="n">
        <x:v>27</x:v>
      </x:c>
      <x:c r="D3155" s="89" t="n">
        <x:v>45380</x:v>
      </x:c>
      <x:c r="E3155" s="84" t="n">
        <x:v>4.9</x:v>
      </x:c>
      <x:c r="F3155" s="84" t="str">
        <x:v>Normal</x:v>
      </x:c>
      <x:c r="G3155" s="93" t="n">
        <x:v>298.85</x:v>
      </x:c>
      <x:c r="H3155" s="85" t="str">
        <x:v>Diagnóstico e execução</x:v>
      </x:c>
    </x:row>
    <x:row r="3156">
      <x:c r="A3156" s="83" t="n">
        <x:v>3155</x:v>
      </x:c>
      <x:c r="B3156" s="84" t="n">
        <x:v>1852</x:v>
      </x:c>
      <x:c r="C3156" s="84" t="n">
        <x:v>4</x:v>
      </x:c>
      <x:c r="D3156" s="89" t="n">
        <x:v>45380</x:v>
      </x:c>
      <x:c r="E3156" s="84" t="n">
        <x:v>2.5</x:v>
      </x:c>
      <x:c r="F3156" s="84" t="str">
        <x:v>Normal</x:v>
      </x:c>
      <x:c r="G3156" s="93" t="n">
        <x:v>122.97</x:v>
      </x:c>
      <x:c r="H3156" s="85" t="str">
        <x:v>Diagnóstico e execução</x:v>
      </x:c>
    </x:row>
    <x:row r="3157">
      <x:c r="A3157" s="83" t="n">
        <x:v>3156</x:v>
      </x:c>
      <x:c r="B3157" s="84" t="n">
        <x:v>1853</x:v>
      </x:c>
      <x:c r="C3157" s="84" t="n">
        <x:v>44</x:v>
      </x:c>
      <x:c r="D3157" s="89" t="n">
        <x:v>45718</x:v>
      </x:c>
      <x:c r="E3157" s="84" t="n">
        <x:v>4.4</x:v>
      </x:c>
      <x:c r="F3157" s="84" t="str">
        <x:v>Normal</x:v>
      </x:c>
      <x:c r="G3157" s="93" t="n">
        <x:v>123.38</x:v>
      </x:c>
      <x:c r="H3157" s="85" t="str">
        <x:v>Diagnóstico e execução</x:v>
      </x:c>
    </x:row>
    <x:row r="3158">
      <x:c r="A3158" s="83" t="n">
        <x:v>3157</x:v>
      </x:c>
      <x:c r="B3158" s="84" t="n">
        <x:v>1853</x:v>
      </x:c>
      <x:c r="C3158" s="84" t="n">
        <x:v>25</x:v>
      </x:c>
      <x:c r="D3158" s="89" t="n">
        <x:v>45718</x:v>
      </x:c>
      <x:c r="E3158" s="84" t="n">
        <x:v>4</x:v>
      </x:c>
      <x:c r="F3158" s="84" t="str">
        <x:v>Normal</x:v>
      </x:c>
      <x:c r="G3158" s="93" t="n">
        <x:v>214.36</x:v>
      </x:c>
      <x:c r="H3158" s="85" t="str">
        <x:v>Diagnóstico e execução</x:v>
      </x:c>
    </x:row>
    <x:row r="3159">
      <x:c r="A3159" s="83" t="n">
        <x:v>3158</x:v>
      </x:c>
      <x:c r="B3159" s="84" t="n">
        <x:v>1856</x:v>
      </x:c>
      <x:c r="C3159" s="84" t="n">
        <x:v>4</x:v>
      </x:c>
      <x:c r="D3159" s="89" t="n">
        <x:v>45924</x:v>
      </x:c>
      <x:c r="E3159" s="84" t="n">
        <x:v>1.2</x:v>
      </x:c>
      <x:c r="F3159" s="84" t="str">
        <x:v>Normal</x:v>
      </x:c>
      <x:c r="G3159" s="93" t="n">
        <x:v>59.03</x:v>
      </x:c>
      <x:c r="H3159" s="85" t="str">
        <x:v>Diagnóstico e execução</x:v>
      </x:c>
    </x:row>
    <x:row r="3160">
      <x:c r="A3160" s="83" t="n">
        <x:v>3159</x:v>
      </x:c>
      <x:c r="B3160" s="84" t="n">
        <x:v>1857</x:v>
      </x:c>
      <x:c r="C3160" s="84" t="n">
        <x:v>40</x:v>
      </x:c>
      <x:c r="D3160" s="89" t="n">
        <x:v>45639</x:v>
      </x:c>
      <x:c r="E3160" s="84" t="n">
        <x:v>1</x:v>
      </x:c>
      <x:c r="F3160" s="84" t="str">
        <x:v>Normal</x:v>
      </x:c>
      <x:c r="G3160" s="93" t="n">
        <x:v>49.42</x:v>
      </x:c>
      <x:c r="H3160" s="85" t="str">
        <x:v>Diagnóstico e execução</x:v>
      </x:c>
    </x:row>
    <x:row r="3161">
      <x:c r="A3161" s="83" t="n">
        <x:v>3160</x:v>
      </x:c>
      <x:c r="B3161" s="84" t="n">
        <x:v>1857</x:v>
      </x:c>
      <x:c r="C3161" s="84" t="n">
        <x:v>15</x:v>
      </x:c>
      <x:c r="D3161" s="89" t="n">
        <x:v>45639</x:v>
      </x:c>
      <x:c r="E3161" s="84" t="n">
        <x:v>3.9</x:v>
      </x:c>
      <x:c r="F3161" s="84" t="str">
        <x:v>Normal</x:v>
      </x:c>
      <x:c r="G3161" s="93" t="n">
        <x:v>117.94</x:v>
      </x:c>
      <x:c r="H3161" s="85" t="str">
        <x:v>Diagnóstico e execução</x:v>
      </x:c>
    </x:row>
    <x:row r="3162">
      <x:c r="A3162" s="83" t="n">
        <x:v>3161</x:v>
      </x:c>
      <x:c r="B3162" s="84" t="n">
        <x:v>1857</x:v>
      </x:c>
      <x:c r="C3162" s="84" t="n">
        <x:v>33</x:v>
      </x:c>
      <x:c r="D3162" s="89" t="n">
        <x:v>45639</x:v>
      </x:c>
      <x:c r="E3162" s="84" t="n">
        <x:v>2.5</x:v>
      </x:c>
      <x:c r="F3162" s="84" t="str">
        <x:v>Normal</x:v>
      </x:c>
      <x:c r="G3162" s="93" t="n">
        <x:v>86.23</x:v>
      </x:c>
      <x:c r="H3162" s="85" t="str">
        <x:v>Diagnóstico e execução</x:v>
      </x:c>
    </x:row>
    <x:row r="3163">
      <x:c r="A3163" s="83" t="n">
        <x:v>3162</x:v>
      </x:c>
      <x:c r="B3163" s="84" t="n">
        <x:v>1858</x:v>
      </x:c>
      <x:c r="C3163" s="84" t="n">
        <x:v>42</x:v>
      </x:c>
      <x:c r="D3163" s="89" t="n">
        <x:v>45641</x:v>
      </x:c>
      <x:c r="E3163" s="84" t="n">
        <x:v>2.7</x:v>
      </x:c>
      <x:c r="F3163" s="84" t="str">
        <x:v>Normal</x:v>
      </x:c>
      <x:c r="G3163" s="93" t="n">
        <x:v>113.89</x:v>
      </x:c>
      <x:c r="H3163" s="85" t="str">
        <x:v>Diagnóstico e execução</x:v>
      </x:c>
    </x:row>
    <x:row r="3164">
      <x:c r="A3164" s="83" t="n">
        <x:v>3163</x:v>
      </x:c>
      <x:c r="B3164" s="84" t="n">
        <x:v>1858</x:v>
      </x:c>
      <x:c r="C3164" s="84" t="n">
        <x:v>14</x:v>
      </x:c>
      <x:c r="D3164" s="89" t="n">
        <x:v>45641</x:v>
      </x:c>
      <x:c r="E3164" s="84" t="n">
        <x:v>3</x:v>
      </x:c>
      <x:c r="F3164" s="84" t="str">
        <x:v>Normal</x:v>
      </x:c>
      <x:c r="G3164" s="93" t="n">
        <x:v>169.98</x:v>
      </x:c>
      <x:c r="H3164" s="85" t="str">
        <x:v>Diagnóstico e execução</x:v>
      </x:c>
    </x:row>
    <x:row r="3165">
      <x:c r="A3165" s="83" t="n">
        <x:v>3164</x:v>
      </x:c>
      <x:c r="B3165" s="84" t="n">
        <x:v>1858</x:v>
      </x:c>
      <x:c r="C3165" s="84" t="n">
        <x:v>15</x:v>
      </x:c>
      <x:c r="D3165" s="89" t="n">
        <x:v>45641</x:v>
      </x:c>
      <x:c r="E3165" s="84" t="n">
        <x:v>5.3</x:v>
      </x:c>
      <x:c r="F3165" s="84" t="str">
        <x:v>Normal</x:v>
      </x:c>
      <x:c r="G3165" s="93" t="n">
        <x:v>160.27</x:v>
      </x:c>
      <x:c r="H3165" s="85" t="str">
        <x:v>Diagnóstico e execução</x:v>
      </x:c>
    </x:row>
    <x:row r="3166">
      <x:c r="A3166" s="83" t="n">
        <x:v>3165</x:v>
      </x:c>
      <x:c r="B3166" s="84" t="n">
        <x:v>1859</x:v>
      </x:c>
      <x:c r="C3166" s="84" t="n">
        <x:v>21</x:v>
      </x:c>
      <x:c r="D3166" s="89" t="n">
        <x:v>45999</x:v>
      </x:c>
      <x:c r="E3166" s="84" t="n">
        <x:v>7.9</x:v>
      </x:c>
      <x:c r="F3166" s="84" t="str">
        <x:v>Normal</x:v>
      </x:c>
      <x:c r="G3166" s="93" t="n">
        <x:v>485.3</x:v>
      </x:c>
      <x:c r="H3166" s="85" t="str">
        <x:v>Diagnóstico e execução</x:v>
      </x:c>
    </x:row>
    <x:row r="3167">
      <x:c r="A3167" s="83" t="n">
        <x:v>3166</x:v>
      </x:c>
      <x:c r="B3167" s="84" t="n">
        <x:v>1859</x:v>
      </x:c>
      <x:c r="C3167" s="84" t="n">
        <x:v>35</x:v>
      </x:c>
      <x:c r="D3167" s="89" t="n">
        <x:v>45999</x:v>
      </x:c>
      <x:c r="E3167" s="84" t="n">
        <x:v>1.3</x:v>
      </x:c>
      <x:c r="F3167" s="84" t="str">
        <x:v>Normal</x:v>
      </x:c>
      <x:c r="G3167" s="93" t="n">
        <x:v>63.95</x:v>
      </x:c>
      <x:c r="H3167" s="85" t="str">
        <x:v>Diagnóstico e execução</x:v>
      </x:c>
    </x:row>
    <x:row r="3168">
      <x:c r="A3168" s="83" t="n">
        <x:v>3167</x:v>
      </x:c>
      <x:c r="B3168" s="84" t="n">
        <x:v>1860</x:v>
      </x:c>
      <x:c r="C3168" s="84" t="n">
        <x:v>8</x:v>
      </x:c>
      <x:c r="D3168" s="89" t="n">
        <x:v>45066</x:v>
      </x:c>
      <x:c r="E3168" s="84" t="n">
        <x:v>2.1</x:v>
      </x:c>
      <x:c r="F3168" s="84" t="str">
        <x:v>Normal</x:v>
      </x:c>
      <x:c r="G3168" s="93" t="n">
        <x:v>97.65</x:v>
      </x:c>
      <x:c r="H3168" s="85" t="str">
        <x:v>Diagnóstico e execução</x:v>
      </x:c>
    </x:row>
    <x:row r="3169">
      <x:c r="A3169" s="83" t="n">
        <x:v>3168</x:v>
      </x:c>
      <x:c r="B3169" s="84" t="n">
        <x:v>1860</x:v>
      </x:c>
      <x:c r="C3169" s="84" t="n">
        <x:v>20</x:v>
      </x:c>
      <x:c r="D3169" s="89" t="n">
        <x:v>45066</x:v>
      </x:c>
      <x:c r="E3169" s="84" t="n">
        <x:v>2.3</x:v>
      </x:c>
      <x:c r="F3169" s="84" t="str">
        <x:v>Normal</x:v>
      </x:c>
      <x:c r="G3169" s="93" t="n">
        <x:v>77.1</x:v>
      </x:c>
      <x:c r="H3169" s="85" t="str">
        <x:v>Diagnóstico e execução</x:v>
      </x:c>
    </x:row>
    <x:row r="3170">
      <x:c r="A3170" s="83" t="n">
        <x:v>3169</x:v>
      </x:c>
      <x:c r="B3170" s="84" t="n">
        <x:v>1861</x:v>
      </x:c>
      <x:c r="C3170" s="84" t="n">
        <x:v>13</x:v>
      </x:c>
      <x:c r="D3170" s="89" t="n">
        <x:v>45010</x:v>
      </x:c>
      <x:c r="E3170" s="84" t="n">
        <x:v>4.5</x:v>
      </x:c>
      <x:c r="F3170" s="84" t="str">
        <x:v>Normal</x:v>
      </x:c>
      <x:c r="G3170" s="93" t="n">
        <x:v>152.46</x:v>
      </x:c>
      <x:c r="H3170" s="85" t="str">
        <x:v>Diagnóstico e execução</x:v>
      </x:c>
    </x:row>
    <x:row r="3171">
      <x:c r="A3171" s="83" t="n">
        <x:v>3170</x:v>
      </x:c>
      <x:c r="B3171" s="84" t="n">
        <x:v>1862</x:v>
      </x:c>
      <x:c r="C3171" s="84" t="n">
        <x:v>43</x:v>
      </x:c>
      <x:c r="D3171" s="89" t="n">
        <x:v>45964</x:v>
      </x:c>
      <x:c r="E3171" s="84" t="n">
        <x:v>4.8</x:v>
      </x:c>
      <x:c r="F3171" s="84" t="str">
        <x:v>Normal</x:v>
      </x:c>
      <x:c r="G3171" s="93" t="n">
        <x:v>262.37</x:v>
      </x:c>
      <x:c r="H3171" s="85" t="str">
        <x:v>Diagnóstico e execução</x:v>
      </x:c>
    </x:row>
    <x:row r="3172">
      <x:c r="A3172" s="83" t="n">
        <x:v>3171</x:v>
      </x:c>
      <x:c r="B3172" s="84" t="n">
        <x:v>1862</x:v>
      </x:c>
      <x:c r="C3172" s="84" t="n">
        <x:v>10</x:v>
      </x:c>
      <x:c r="D3172" s="89" t="n">
        <x:v>45964</x:v>
      </x:c>
      <x:c r="E3172" s="84" t="n">
        <x:v>3.5</x:v>
      </x:c>
      <x:c r="F3172" s="84" t="str">
        <x:v>Normal</x:v>
      </x:c>
      <x:c r="G3172" s="93" t="n">
        <x:v>103.92</x:v>
      </x:c>
      <x:c r="H3172" s="85" t="str">
        <x:v>Diagnóstico e execução</x:v>
      </x:c>
    </x:row>
    <x:row r="3173">
      <x:c r="A3173" s="83" t="n">
        <x:v>3172</x:v>
      </x:c>
      <x:c r="B3173" s="84" t="n">
        <x:v>1863</x:v>
      </x:c>
      <x:c r="C3173" s="84" t="n">
        <x:v>4</x:v>
      </x:c>
      <x:c r="D3173" s="89" t="n">
        <x:v>45859</x:v>
      </x:c>
      <x:c r="E3173" s="84" t="n">
        <x:v>3.8</x:v>
      </x:c>
      <x:c r="F3173" s="84" t="str">
        <x:v>Normal</x:v>
      </x:c>
      <x:c r="G3173" s="93" t="n">
        <x:v>186.92</x:v>
      </x:c>
      <x:c r="H3173" s="85" t="str">
        <x:v>Diagnóstico e execução</x:v>
      </x:c>
    </x:row>
    <x:row r="3174">
      <x:c r="A3174" s="83" t="n">
        <x:v>3173</x:v>
      </x:c>
      <x:c r="B3174" s="84" t="n">
        <x:v>1864</x:v>
      </x:c>
      <x:c r="C3174" s="84" t="n">
        <x:v>41</x:v>
      </x:c>
      <x:c r="D3174" s="89" t="n">
        <x:v>45169</x:v>
      </x:c>
      <x:c r="E3174" s="84" t="n">
        <x:v>2.2</x:v>
      </x:c>
      <x:c r="F3174" s="84" t="str">
        <x:v>Normal</x:v>
      </x:c>
      <x:c r="G3174" s="93" t="n">
        <x:v>111.28</x:v>
      </x:c>
      <x:c r="H3174" s="85" t="str">
        <x:v>Diagnóstico e execução</x:v>
      </x:c>
    </x:row>
    <x:row r="3175">
      <x:c r="A3175" s="83" t="n">
        <x:v>3174</x:v>
      </x:c>
      <x:c r="B3175" s="84" t="n">
        <x:v>1864</x:v>
      </x:c>
      <x:c r="C3175" s="84" t="n">
        <x:v>4</x:v>
      </x:c>
      <x:c r="D3175" s="89" t="n">
        <x:v>45169</x:v>
      </x:c>
      <x:c r="E3175" s="84" t="n">
        <x:v>1.9</x:v>
      </x:c>
      <x:c r="F3175" s="84" t="str">
        <x:v>Normal</x:v>
      </x:c>
      <x:c r="G3175" s="93" t="n">
        <x:v>93.46</x:v>
      </x:c>
      <x:c r="H3175" s="85" t="str">
        <x:v>Diagnóstico e execução</x:v>
      </x:c>
    </x:row>
    <x:row r="3176">
      <x:c r="A3176" s="83" t="n">
        <x:v>3175</x:v>
      </x:c>
      <x:c r="B3176" s="84" t="n">
        <x:v>1865</x:v>
      </x:c>
      <x:c r="C3176" s="84" t="n">
        <x:v>39</x:v>
      </x:c>
      <x:c r="D3176" s="89" t="n">
        <x:v>45790</x:v>
      </x:c>
      <x:c r="E3176" s="84" t="n">
        <x:v>2</x:v>
      </x:c>
      <x:c r="F3176" s="84" t="str">
        <x:v>Normal</x:v>
      </x:c>
      <x:c r="G3176" s="93" t="n">
        <x:v>115.8</x:v>
      </x:c>
      <x:c r="H3176" s="85" t="str">
        <x:v>Diagnóstico e execução</x:v>
      </x:c>
    </x:row>
    <x:row r="3177">
      <x:c r="A3177" s="83" t="n">
        <x:v>3176</x:v>
      </x:c>
      <x:c r="B3177" s="84" t="n">
        <x:v>1865</x:v>
      </x:c>
      <x:c r="C3177" s="84" t="n">
        <x:v>39</x:v>
      </x:c>
      <x:c r="D3177" s="89" t="n">
        <x:v>45790</x:v>
      </x:c>
      <x:c r="E3177" s="84" t="n">
        <x:v>3.8</x:v>
      </x:c>
      <x:c r="F3177" s="84" t="str">
        <x:v>Normal</x:v>
      </x:c>
      <x:c r="G3177" s="93" t="n">
        <x:v>220.02</x:v>
      </x:c>
      <x:c r="H3177" s="85" t="str">
        <x:v>Diagnóstico e execução</x:v>
      </x:c>
    </x:row>
    <x:row r="3178">
      <x:c r="A3178" s="83" t="n">
        <x:v>3177</x:v>
      </x:c>
      <x:c r="B3178" s="84" t="n">
        <x:v>1865</x:v>
      </x:c>
      <x:c r="C3178" s="84" t="n">
        <x:v>11</x:v>
      </x:c>
      <x:c r="D3178" s="89" t="n">
        <x:v>45790</x:v>
      </x:c>
      <x:c r="E3178" s="84" t="n">
        <x:v>7.7</x:v>
      </x:c>
      <x:c r="F3178" s="84" t="str">
        <x:v>Normal</x:v>
      </x:c>
      <x:c r="G3178" s="93" t="n">
        <x:v>320.94</x:v>
      </x:c>
      <x:c r="H3178" s="85" t="str">
        <x:v>Diagnóstico e execução</x:v>
      </x:c>
    </x:row>
    <x:row r="3179">
      <x:c r="A3179" s="83" t="n">
        <x:v>3178</x:v>
      </x:c>
      <x:c r="B3179" s="84" t="n">
        <x:v>1866</x:v>
      </x:c>
      <x:c r="C3179" s="84" t="n">
        <x:v>16</x:v>
      </x:c>
      <x:c r="D3179" s="89" t="n">
        <x:v>45037</x:v>
      </x:c>
      <x:c r="E3179" s="84" t="n">
        <x:v>6.5</x:v>
      </x:c>
      <x:c r="F3179" s="84" t="str">
        <x:v>Normal</x:v>
      </x:c>
      <x:c r="G3179" s="93" t="n">
        <x:v>263.38</x:v>
      </x:c>
      <x:c r="H3179" s="85" t="str">
        <x:v>Diagnóstico e execução</x:v>
      </x:c>
    </x:row>
    <x:row r="3180">
      <x:c r="A3180" s="83" t="n">
        <x:v>3179</x:v>
      </x:c>
      <x:c r="B3180" s="84" t="n">
        <x:v>1866</x:v>
      </x:c>
      <x:c r="C3180" s="84" t="n">
        <x:v>32</x:v>
      </x:c>
      <x:c r="D3180" s="89" t="n">
        <x:v>45037</x:v>
      </x:c>
      <x:c r="E3180" s="84" t="n">
        <x:v>4.1</x:v>
      </x:c>
      <x:c r="F3180" s="84" t="str">
        <x:v>Normal</x:v>
      </x:c>
      <x:c r="G3180" s="93" t="n">
        <x:v>178.96</x:v>
      </x:c>
      <x:c r="H3180" s="85" t="str">
        <x:v>Diagnóstico e execução</x:v>
      </x:c>
    </x:row>
    <x:row r="3181">
      <x:c r="A3181" s="83" t="n">
        <x:v>3180</x:v>
      </x:c>
      <x:c r="B3181" s="84" t="n">
        <x:v>1866</x:v>
      </x:c>
      <x:c r="C3181" s="84" t="n">
        <x:v>13</x:v>
      </x:c>
      <x:c r="D3181" s="89" t="n">
        <x:v>45037</x:v>
      </x:c>
      <x:c r="E3181" s="84" t="n">
        <x:v>4</x:v>
      </x:c>
      <x:c r="F3181" s="84" t="str">
        <x:v>Normal</x:v>
      </x:c>
      <x:c r="G3181" s="93" t="n">
        <x:v>135.52</x:v>
      </x:c>
      <x:c r="H3181" s="85" t="str">
        <x:v>Diagnóstico e execução</x:v>
      </x:c>
    </x:row>
    <x:row r="3182">
      <x:c r="A3182" s="83" t="n">
        <x:v>3181</x:v>
      </x:c>
      <x:c r="B3182" s="84" t="n">
        <x:v>1867</x:v>
      </x:c>
      <x:c r="C3182" s="84" t="n">
        <x:v>7</x:v>
      </x:c>
      <x:c r="D3182" s="89" t="n">
        <x:v>45299</x:v>
      </x:c>
      <x:c r="E3182" s="84" t="n">
        <x:v>7</x:v>
      </x:c>
      <x:c r="F3182" s="84" t="str">
        <x:v>Normal</x:v>
      </x:c>
      <x:c r="G3182" s="93" t="n">
        <x:v>407.47</x:v>
      </x:c>
      <x:c r="H3182" s="85" t="str">
        <x:v>Diagnóstico e execução</x:v>
      </x:c>
    </x:row>
    <x:row r="3183">
      <x:c r="A3183" s="83" t="n">
        <x:v>3182</x:v>
      </x:c>
      <x:c r="B3183" s="84" t="n">
        <x:v>1867</x:v>
      </x:c>
      <x:c r="C3183" s="84" t="n">
        <x:v>30</x:v>
      </x:c>
      <x:c r="D3183" s="89" t="n">
        <x:v>45299</x:v>
      </x:c>
      <x:c r="E3183" s="84" t="n">
        <x:v>5.8</x:v>
      </x:c>
      <x:c r="F3183" s="84" t="str">
        <x:v>Normal</x:v>
      </x:c>
      <x:c r="G3183" s="93" t="n">
        <x:v>240.18</x:v>
      </x:c>
      <x:c r="H3183" s="85" t="str">
        <x:v>Diagnóstico e execução</x:v>
      </x:c>
    </x:row>
    <x:row r="3184">
      <x:c r="A3184" s="83" t="n">
        <x:v>3183</x:v>
      </x:c>
      <x:c r="B3184" s="84" t="n">
        <x:v>1867</x:v>
      </x:c>
      <x:c r="C3184" s="84" t="n">
        <x:v>11</x:v>
      </x:c>
      <x:c r="D3184" s="89" t="n">
        <x:v>45299</x:v>
      </x:c>
      <x:c r="E3184" s="84" t="n">
        <x:v>3.8</x:v>
      </x:c>
      <x:c r="F3184" s="84" t="str">
        <x:v>Normal</x:v>
      </x:c>
      <x:c r="G3184" s="93" t="n">
        <x:v>158.38</x:v>
      </x:c>
      <x:c r="H3184" s="85" t="str">
        <x:v>Diagnóstico e execução</x:v>
      </x:c>
    </x:row>
    <x:row r="3185">
      <x:c r="A3185" s="83" t="n">
        <x:v>3184</x:v>
      </x:c>
      <x:c r="B3185" s="84" t="n">
        <x:v>1868</x:v>
      </x:c>
      <x:c r="C3185" s="84" t="n">
        <x:v>31</x:v>
      </x:c>
      <x:c r="D3185" s="89" t="n">
        <x:v>45920</x:v>
      </x:c>
      <x:c r="E3185" s="84" t="n">
        <x:v>6.8</x:v>
      </x:c>
      <x:c r="F3185" s="84" t="str">
        <x:v>Normal</x:v>
      </x:c>
      <x:c r="G3185" s="93" t="n">
        <x:v>332.52</x:v>
      </x:c>
      <x:c r="H3185" s="85" t="str">
        <x:v>Diagnóstico e execução</x:v>
      </x:c>
    </x:row>
    <x:row r="3186">
      <x:c r="A3186" s="83" t="n">
        <x:v>3185</x:v>
      </x:c>
      <x:c r="B3186" s="84" t="n">
        <x:v>1868</x:v>
      </x:c>
      <x:c r="C3186" s="84" t="n">
        <x:v>21</x:v>
      </x:c>
      <x:c r="D3186" s="89" t="n">
        <x:v>45920</x:v>
      </x:c>
      <x:c r="E3186" s="84" t="n">
        <x:v>7.9</x:v>
      </x:c>
      <x:c r="F3186" s="84" t="str">
        <x:v>Normal</x:v>
      </x:c>
      <x:c r="G3186" s="93" t="n">
        <x:v>485.3</x:v>
      </x:c>
      <x:c r="H3186" s="85" t="str">
        <x:v>Diagnóstico e execução</x:v>
      </x:c>
    </x:row>
    <x:row r="3187">
      <x:c r="A3187" s="83" t="n">
        <x:v>3186</x:v>
      </x:c>
      <x:c r="B3187" s="84" t="n">
        <x:v>1868</x:v>
      </x:c>
      <x:c r="C3187" s="84" t="n">
        <x:v>22</x:v>
      </x:c>
      <x:c r="D3187" s="89" t="n">
        <x:v>45920</x:v>
      </x:c>
      <x:c r="E3187" s="84" t="n">
        <x:v>1.5</x:v>
      </x:c>
      <x:c r="F3187" s="84" t="str">
        <x:v>Normal</x:v>
      </x:c>
      <x:c r="G3187" s="93" t="n">
        <x:v>57.69</x:v>
      </x:c>
      <x:c r="H3187" s="85" t="str">
        <x:v>Diagnóstico e execução</x:v>
      </x:c>
    </x:row>
    <x:row r="3188">
      <x:c r="A3188" s="83" t="n">
        <x:v>3187</x:v>
      </x:c>
      <x:c r="B3188" s="84" t="n">
        <x:v>1869</x:v>
      </x:c>
      <x:c r="C3188" s="84" t="n">
        <x:v>21</x:v>
      </x:c>
      <x:c r="D3188" s="89" t="n">
        <x:v>45888</x:v>
      </x:c>
      <x:c r="E3188" s="84" t="n">
        <x:v>6.6</x:v>
      </x:c>
      <x:c r="F3188" s="84" t="str">
        <x:v>Normal</x:v>
      </x:c>
      <x:c r="G3188" s="93" t="n">
        <x:v>405.44</x:v>
      </x:c>
      <x:c r="H3188" s="85" t="str">
        <x:v>Diagnóstico e execução</x:v>
      </x:c>
    </x:row>
    <x:row r="3189">
      <x:c r="A3189" s="83" t="n">
        <x:v>3188</x:v>
      </x:c>
      <x:c r="B3189" s="84" t="n">
        <x:v>1870</x:v>
      </x:c>
      <x:c r="C3189" s="84" t="n">
        <x:v>34</x:v>
      </x:c>
      <x:c r="D3189" s="89" t="n">
        <x:v>45344</x:v>
      </x:c>
      <x:c r="E3189" s="84" t="n">
        <x:v>2.1</x:v>
      </x:c>
      <x:c r="F3189" s="84" t="str">
        <x:v>Normal</x:v>
      </x:c>
      <x:c r="G3189" s="93" t="n">
        <x:v>90.78</x:v>
      </x:c>
      <x:c r="H3189" s="85" t="str">
        <x:v>Diagnóstico e execução</x:v>
      </x:c>
    </x:row>
    <x:row r="3190">
      <x:c r="A3190" s="83" t="n">
        <x:v>3189</x:v>
      </x:c>
      <x:c r="B3190" s="84" t="n">
        <x:v>1870</x:v>
      </x:c>
      <x:c r="C3190" s="84" t="n">
        <x:v>9</x:v>
      </x:c>
      <x:c r="D3190" s="89" t="n">
        <x:v>45344</x:v>
      </x:c>
      <x:c r="E3190" s="84" t="n">
        <x:v>3.4</x:v>
      </x:c>
      <x:c r="F3190" s="84" t="str">
        <x:v>Normal</x:v>
      </x:c>
      <x:c r="G3190" s="93" t="n">
        <x:v>179.08</x:v>
      </x:c>
      <x:c r="H3190" s="85" t="str">
        <x:v>Diagnóstico e execução</x:v>
      </x:c>
    </x:row>
    <x:row r="3191">
      <x:c r="A3191" s="83" t="n">
        <x:v>3190</x:v>
      </x:c>
      <x:c r="B3191" s="84" t="n">
        <x:v>1871</x:v>
      </x:c>
      <x:c r="C3191" s="84" t="n">
        <x:v>2</x:v>
      </x:c>
      <x:c r="D3191" s="89" t="n">
        <x:v>45028</x:v>
      </x:c>
      <x:c r="E3191" s="84" t="n">
        <x:v>6.2</x:v>
      </x:c>
      <x:c r="F3191" s="84" t="str">
        <x:v>Normal</x:v>
      </x:c>
      <x:c r="G3191" s="93" t="n">
        <x:v>231.01</x:v>
      </x:c>
      <x:c r="H3191" s="85" t="str">
        <x:v>Diagnóstico e execução</x:v>
      </x:c>
    </x:row>
    <x:row r="3192">
      <x:c r="A3192" s="83" t="n">
        <x:v>3191</x:v>
      </x:c>
      <x:c r="B3192" s="84" t="n">
        <x:v>1871</x:v>
      </x:c>
      <x:c r="C3192" s="84" t="n">
        <x:v>2</x:v>
      </x:c>
      <x:c r="D3192" s="89" t="n">
        <x:v>45028</x:v>
      </x:c>
      <x:c r="E3192" s="84" t="n">
        <x:v>2.3</x:v>
      </x:c>
      <x:c r="F3192" s="84" t="str">
        <x:v>Normal</x:v>
      </x:c>
      <x:c r="G3192" s="93" t="n">
        <x:v>85.7</x:v>
      </x:c>
      <x:c r="H3192" s="85" t="str">
        <x:v>Diagnóstico e execução</x:v>
      </x:c>
    </x:row>
    <x:row r="3193">
      <x:c r="A3193" s="83" t="n">
        <x:v>3192</x:v>
      </x:c>
      <x:c r="B3193" s="84" t="n">
        <x:v>1871</x:v>
      </x:c>
      <x:c r="C3193" s="84" t="n">
        <x:v>14</x:v>
      </x:c>
      <x:c r="D3193" s="89" t="n">
        <x:v>45028</x:v>
      </x:c>
      <x:c r="E3193" s="84" t="n">
        <x:v>4.7</x:v>
      </x:c>
      <x:c r="F3193" s="84" t="str">
        <x:v>Normal</x:v>
      </x:c>
      <x:c r="G3193" s="93" t="n">
        <x:v>266.3</x:v>
      </x:c>
      <x:c r="H3193" s="85" t="str">
        <x:v>Diagnóstico e execução</x:v>
      </x:c>
    </x:row>
    <x:row r="3194">
      <x:c r="A3194" s="83" t="n">
        <x:v>3193</x:v>
      </x:c>
      <x:c r="B3194" s="84" t="n">
        <x:v>1873</x:v>
      </x:c>
      <x:c r="C3194" s="84" t="n">
        <x:v>14</x:v>
      </x:c>
      <x:c r="D3194" s="89" t="n">
        <x:v>45549</x:v>
      </x:c>
      <x:c r="E3194" s="84" t="n">
        <x:v>2</x:v>
      </x:c>
      <x:c r="F3194" s="84" t="str">
        <x:v>Normal</x:v>
      </x:c>
      <x:c r="G3194" s="93" t="n">
        <x:v>113.32</x:v>
      </x:c>
      <x:c r="H3194" s="85" t="str">
        <x:v>Diagnóstico e execução</x:v>
      </x:c>
    </x:row>
    <x:row r="3195">
      <x:c r="A3195" s="83" t="n">
        <x:v>3194</x:v>
      </x:c>
      <x:c r="B3195" s="84" t="n">
        <x:v>1873</x:v>
      </x:c>
      <x:c r="C3195" s="84" t="n">
        <x:v>17</x:v>
      </x:c>
      <x:c r="D3195" s="89" t="n">
        <x:v>45549</x:v>
      </x:c>
      <x:c r="E3195" s="84" t="n">
        <x:v>0.5</x:v>
      </x:c>
      <x:c r="F3195" s="84" t="str">
        <x:v>Normal</x:v>
      </x:c>
      <x:c r="G3195" s="93" t="n">
        <x:v>27.89</x:v>
      </x:c>
      <x:c r="H3195" s="85" t="str">
        <x:v>Diagnóstico e execução</x:v>
      </x:c>
    </x:row>
    <x:row r="3196">
      <x:c r="A3196" s="83" t="n">
        <x:v>3195</x:v>
      </x:c>
      <x:c r="B3196" s="84" t="n">
        <x:v>1873</x:v>
      </x:c>
      <x:c r="C3196" s="84" t="n">
        <x:v>13</x:v>
      </x:c>
      <x:c r="D3196" s="89" t="n">
        <x:v>45549</x:v>
      </x:c>
      <x:c r="E3196" s="84" t="n">
        <x:v>5.3</x:v>
      </x:c>
      <x:c r="F3196" s="84" t="str">
        <x:v>Normal</x:v>
      </x:c>
      <x:c r="G3196" s="93" t="n">
        <x:v>179.56</x:v>
      </x:c>
      <x:c r="H3196" s="85" t="str">
        <x:v>Diagnóstico e execução</x:v>
      </x:c>
    </x:row>
    <x:row r="3197">
      <x:c r="A3197" s="83" t="n">
        <x:v>3196</x:v>
      </x:c>
      <x:c r="B3197" s="84" t="n">
        <x:v>1874</x:v>
      </x:c>
      <x:c r="C3197" s="84" t="n">
        <x:v>32</x:v>
      </x:c>
      <x:c r="D3197" s="89" t="n">
        <x:v>45088</x:v>
      </x:c>
      <x:c r="E3197" s="84" t="n">
        <x:v>7.3</x:v>
      </x:c>
      <x:c r="F3197" s="84" t="str">
        <x:v>Normal</x:v>
      </x:c>
      <x:c r="G3197" s="93" t="n">
        <x:v>318.64</x:v>
      </x:c>
      <x:c r="H3197" s="85" t="str">
        <x:v>Diagnóstico e execução</x:v>
      </x:c>
    </x:row>
    <x:row r="3198">
      <x:c r="A3198" s="83" t="n">
        <x:v>3197</x:v>
      </x:c>
      <x:c r="B3198" s="84" t="n">
        <x:v>1874</x:v>
      </x:c>
      <x:c r="C3198" s="84" t="n">
        <x:v>14</x:v>
      </x:c>
      <x:c r="D3198" s="89" t="n">
        <x:v>45088</x:v>
      </x:c>
      <x:c r="E3198" s="84" t="n">
        <x:v>8</x:v>
      </x:c>
      <x:c r="F3198" s="84" t="str">
        <x:v>Normal</x:v>
      </x:c>
      <x:c r="G3198" s="93" t="n">
        <x:v>453.28</x:v>
      </x:c>
      <x:c r="H3198" s="85" t="str">
        <x:v>Diagnóstico e execução</x:v>
      </x:c>
    </x:row>
    <x:row r="3199">
      <x:c r="A3199" s="83" t="n">
        <x:v>3198</x:v>
      </x:c>
      <x:c r="B3199" s="84" t="n">
        <x:v>1875</x:v>
      </x:c>
      <x:c r="C3199" s="84" t="n">
        <x:v>8</x:v>
      </x:c>
      <x:c r="D3199" s="89" t="n">
        <x:v>45315</x:v>
      </x:c>
      <x:c r="E3199" s="84" t="n">
        <x:v>3.7</x:v>
      </x:c>
      <x:c r="F3199" s="84" t="str">
        <x:v>Normal</x:v>
      </x:c>
      <x:c r="G3199" s="93" t="n">
        <x:v>172.05</x:v>
      </x:c>
      <x:c r="H3199" s="85" t="str">
        <x:v>Diagnóstico e execução</x:v>
      </x:c>
    </x:row>
    <x:row r="3200">
      <x:c r="A3200" s="83" t="n">
        <x:v>3199</x:v>
      </x:c>
      <x:c r="B3200" s="84" t="n">
        <x:v>1877</x:v>
      </x:c>
      <x:c r="C3200" s="84" t="n">
        <x:v>38</x:v>
      </x:c>
      <x:c r="D3200" s="89" t="n">
        <x:v>45510</x:v>
      </x:c>
      <x:c r="E3200" s="84" t="n">
        <x:v>6.4</x:v>
      </x:c>
      <x:c r="F3200" s="84" t="str">
        <x:v>Normal</x:v>
      </x:c>
      <x:c r="G3200" s="93" t="n">
        <x:v>215.49</x:v>
      </x:c>
      <x:c r="H3200" s="85" t="str">
        <x:v>Diagnóstico e execução</x:v>
      </x:c>
    </x:row>
    <x:row r="3201">
      <x:c r="A3201" s="83" t="n">
        <x:v>3200</x:v>
      </x:c>
      <x:c r="B3201" s="84" t="n">
        <x:v>1878</x:v>
      </x:c>
      <x:c r="C3201" s="84" t="n">
        <x:v>33</x:v>
      </x:c>
      <x:c r="D3201" s="89" t="n">
        <x:v>45230</x:v>
      </x:c>
      <x:c r="E3201" s="84" t="n">
        <x:v>1.8</x:v>
      </x:c>
      <x:c r="F3201" s="84" t="str">
        <x:v>Normal</x:v>
      </x:c>
      <x:c r="G3201" s="93" t="n">
        <x:v>62.08</x:v>
      </x:c>
      <x:c r="H3201" s="85" t="str">
        <x:v>Diagnóstico e execução</x:v>
      </x:c>
    </x:row>
    <x:row r="3202">
      <x:c r="A3202" s="83" t="n">
        <x:v>3201</x:v>
      </x:c>
      <x:c r="B3202" s="84" t="n">
        <x:v>1878</x:v>
      </x:c>
      <x:c r="C3202" s="84" t="n">
        <x:v>3</x:v>
      </x:c>
      <x:c r="D3202" s="89" t="n">
        <x:v>45230</x:v>
      </x:c>
      <x:c r="E3202" s="84" t="n">
        <x:v>2.6</x:v>
      </x:c>
      <x:c r="F3202" s="84" t="str">
        <x:v>Normal</x:v>
      </x:c>
      <x:c r="G3202" s="93" t="n">
        <x:v>128.02</x:v>
      </x:c>
      <x:c r="H3202" s="85" t="str">
        <x:v>Diagnóstico e execução</x:v>
      </x:c>
    </x:row>
    <x:row r="3203">
      <x:c r="A3203" s="83" t="n">
        <x:v>3202</x:v>
      </x:c>
      <x:c r="B3203" s="84" t="n">
        <x:v>1878</x:v>
      </x:c>
      <x:c r="C3203" s="84" t="n">
        <x:v>34</x:v>
      </x:c>
      <x:c r="D3203" s="89" t="n">
        <x:v>45230</x:v>
      </x:c>
      <x:c r="E3203" s="84" t="n">
        <x:v>2.3</x:v>
      </x:c>
      <x:c r="F3203" s="84" t="str">
        <x:v>Normal</x:v>
      </x:c>
      <x:c r="G3203" s="93" t="n">
        <x:v>99.43</x:v>
      </x:c>
      <x:c r="H3203" s="85" t="str">
        <x:v>Diagnóstico e execução</x:v>
      </x:c>
    </x:row>
    <x:row r="3204">
      <x:c r="A3204" s="83" t="n">
        <x:v>3203</x:v>
      </x:c>
      <x:c r="B3204" s="84" t="n">
        <x:v>1880</x:v>
      </x:c>
      <x:c r="C3204" s="84" t="n">
        <x:v>21</x:v>
      </x:c>
      <x:c r="D3204" s="89" t="n">
        <x:v>45136</x:v>
      </x:c>
      <x:c r="E3204" s="84" t="n">
        <x:v>5.5</x:v>
      </x:c>
      <x:c r="F3204" s="84" t="str">
        <x:v>Normal</x:v>
      </x:c>
      <x:c r="G3204" s="93" t="n">
        <x:v>337.87</x:v>
      </x:c>
      <x:c r="H3204" s="85" t="str">
        <x:v>Diagnóstico e execução</x:v>
      </x:c>
    </x:row>
    <x:row r="3205">
      <x:c r="A3205" s="83" t="n">
        <x:v>3204</x:v>
      </x:c>
      <x:c r="B3205" s="84" t="n">
        <x:v>1881</x:v>
      </x:c>
      <x:c r="C3205" s="84" t="n">
        <x:v>28</x:v>
      </x:c>
      <x:c r="D3205" s="89" t="n">
        <x:v>45658</x:v>
      </x:c>
      <x:c r="E3205" s="84" t="n">
        <x:v>2.8</x:v>
      </x:c>
      <x:c r="F3205" s="84" t="str">
        <x:v>Normal</x:v>
      </x:c>
      <x:c r="G3205" s="93" t="n">
        <x:v>105.34</x:v>
      </x:c>
      <x:c r="H3205" s="85" t="str">
        <x:v>Diagnóstico e execução</x:v>
      </x:c>
    </x:row>
    <x:row r="3206">
      <x:c r="A3206" s="83" t="n">
        <x:v>3205</x:v>
      </x:c>
      <x:c r="B3206" s="84" t="n">
        <x:v>1881</x:v>
      </x:c>
      <x:c r="C3206" s="84" t="n">
        <x:v>37</x:v>
      </x:c>
      <x:c r="D3206" s="89" t="n">
        <x:v>45658</x:v>
      </x:c>
      <x:c r="E3206" s="84" t="n">
        <x:v>2.6</x:v>
      </x:c>
      <x:c r="F3206" s="84" t="str">
        <x:v>Normal</x:v>
      </x:c>
      <x:c r="G3206" s="93" t="n">
        <x:v>153.32</x:v>
      </x:c>
      <x:c r="H3206" s="85" t="str">
        <x:v>Diagnóstico e execução</x:v>
      </x:c>
    </x:row>
    <x:row r="3207">
      <x:c r="A3207" s="83" t="n">
        <x:v>3206</x:v>
      </x:c>
      <x:c r="B3207" s="84" t="n">
        <x:v>1881</x:v>
      </x:c>
      <x:c r="C3207" s="84" t="n">
        <x:v>35</x:v>
      </x:c>
      <x:c r="D3207" s="89" t="n">
        <x:v>45658</x:v>
      </x:c>
      <x:c r="E3207" s="84" t="n">
        <x:v>5.8</x:v>
      </x:c>
      <x:c r="F3207" s="84" t="str">
        <x:v>Normal</x:v>
      </x:c>
      <x:c r="G3207" s="93" t="n">
        <x:v>285.3</x:v>
      </x:c>
      <x:c r="H3207" s="85" t="str">
        <x:v>Diagnóstico e execução</x:v>
      </x:c>
    </x:row>
    <x:row r="3208">
      <x:c r="A3208" s="83" t="n">
        <x:v>3207</x:v>
      </x:c>
      <x:c r="B3208" s="84" t="n">
        <x:v>1882</x:v>
      </x:c>
      <x:c r="C3208" s="84" t="n">
        <x:v>1</x:v>
      </x:c>
      <x:c r="D3208" s="89" t="n">
        <x:v>45848</x:v>
      </x:c>
      <x:c r="E3208" s="84" t="n">
        <x:v>4.3</x:v>
      </x:c>
      <x:c r="F3208" s="84" t="str">
        <x:v>Normal</x:v>
      </x:c>
      <x:c r="G3208" s="93" t="n">
        <x:v>152.09</x:v>
      </x:c>
      <x:c r="H3208" s="85" t="str">
        <x:v>Diagnóstico e execução</x:v>
      </x:c>
    </x:row>
    <x:row r="3209">
      <x:c r="A3209" s="83" t="n">
        <x:v>3208</x:v>
      </x:c>
      <x:c r="B3209" s="84" t="n">
        <x:v>1882</x:v>
      </x:c>
      <x:c r="C3209" s="84" t="n">
        <x:v>8</x:v>
      </x:c>
      <x:c r="D3209" s="89" t="n">
        <x:v>45848</x:v>
      </x:c>
      <x:c r="E3209" s="84" t="n">
        <x:v>2.6</x:v>
      </x:c>
      <x:c r="F3209" s="84" t="str">
        <x:v>Normal</x:v>
      </x:c>
      <x:c r="G3209" s="93" t="n">
        <x:v>120.9</x:v>
      </x:c>
      <x:c r="H3209" s="85" t="str">
        <x:v>Diagnóstico e execução</x:v>
      </x:c>
    </x:row>
    <x:row r="3210">
      <x:c r="A3210" s="83" t="n">
        <x:v>3209</x:v>
      </x:c>
      <x:c r="B3210" s="84" t="n">
        <x:v>1883</x:v>
      </x:c>
      <x:c r="C3210" s="84" t="n">
        <x:v>5</x:v>
      </x:c>
      <x:c r="D3210" s="89" t="n">
        <x:v>45284</x:v>
      </x:c>
      <x:c r="E3210" s="84" t="n">
        <x:v>1.2</x:v>
      </x:c>
      <x:c r="F3210" s="84" t="str">
        <x:v>Normal</x:v>
      </x:c>
      <x:c r="G3210" s="93" t="n">
        <x:v>34.58</x:v>
      </x:c>
      <x:c r="H3210" s="85" t="str">
        <x:v>Diagnóstico e execução</x:v>
      </x:c>
    </x:row>
    <x:row r="3211">
      <x:c r="A3211" s="83" t="n">
        <x:v>3210</x:v>
      </x:c>
      <x:c r="B3211" s="84" t="n">
        <x:v>1883</x:v>
      </x:c>
      <x:c r="C3211" s="84" t="n">
        <x:v>1</x:v>
      </x:c>
      <x:c r="D3211" s="89" t="n">
        <x:v>45284</x:v>
      </x:c>
      <x:c r="E3211" s="84" t="n">
        <x:v>6.1</x:v>
      </x:c>
      <x:c r="F3211" s="84" t="str">
        <x:v>Normal</x:v>
      </x:c>
      <x:c r="G3211" s="93" t="n">
        <x:v>215.76</x:v>
      </x:c>
      <x:c r="H3211" s="85" t="str">
        <x:v>Diagnóstico e execução</x:v>
      </x:c>
    </x:row>
    <x:row r="3212">
      <x:c r="A3212" s="83" t="n">
        <x:v>3211</x:v>
      </x:c>
      <x:c r="B3212" s="84" t="n">
        <x:v>1885</x:v>
      </x:c>
      <x:c r="C3212" s="84" t="n">
        <x:v>15</x:v>
      </x:c>
      <x:c r="D3212" s="89" t="n">
        <x:v>45671</x:v>
      </x:c>
      <x:c r="E3212" s="84" t="n">
        <x:v>7.2</x:v>
      </x:c>
      <x:c r="F3212" s="84" t="str">
        <x:v>Normal</x:v>
      </x:c>
      <x:c r="G3212" s="93" t="n">
        <x:v>217.73</x:v>
      </x:c>
      <x:c r="H3212" s="85" t="str">
        <x:v>Diagnóstico e execução</x:v>
      </x:c>
    </x:row>
    <x:row r="3213">
      <x:c r="A3213" s="83" t="n">
        <x:v>3212</x:v>
      </x:c>
      <x:c r="B3213" s="84" t="n">
        <x:v>1886</x:v>
      </x:c>
      <x:c r="C3213" s="84" t="n">
        <x:v>43</x:v>
      </x:c>
      <x:c r="D3213" s="89" t="n">
        <x:v>45183</x:v>
      </x:c>
      <x:c r="E3213" s="84" t="n">
        <x:v>4.7</x:v>
      </x:c>
      <x:c r="F3213" s="84" t="str">
        <x:v>Normal</x:v>
      </x:c>
      <x:c r="G3213" s="93" t="n">
        <x:v>256.9</x:v>
      </x:c>
      <x:c r="H3213" s="85" t="str">
        <x:v>Diagnóstico e execução</x:v>
      </x:c>
    </x:row>
    <x:row r="3214">
      <x:c r="A3214" s="83" t="n">
        <x:v>3213</x:v>
      </x:c>
      <x:c r="B3214" s="84" t="n">
        <x:v>1886</x:v>
      </x:c>
      <x:c r="C3214" s="84" t="n">
        <x:v>20</x:v>
      </x:c>
      <x:c r="D3214" s="89" t="n">
        <x:v>45183</x:v>
      </x:c>
      <x:c r="E3214" s="84" t="n">
        <x:v>7.6</x:v>
      </x:c>
      <x:c r="F3214" s="84" t="str">
        <x:v>Normal</x:v>
      </x:c>
      <x:c r="G3214" s="93" t="n">
        <x:v>254.75</x:v>
      </x:c>
      <x:c r="H3214" s="85" t="str">
        <x:v>Diagnóstico e execução</x:v>
      </x:c>
    </x:row>
    <x:row r="3215">
      <x:c r="A3215" s="83" t="n">
        <x:v>3214</x:v>
      </x:c>
      <x:c r="B3215" s="84" t="n">
        <x:v>1887</x:v>
      </x:c>
      <x:c r="C3215" s="84" t="n">
        <x:v>23</x:v>
      </x:c>
      <x:c r="D3215" s="89" t="n">
        <x:v>45990</x:v>
      </x:c>
      <x:c r="E3215" s="84" t="n">
        <x:v>6.8</x:v>
      </x:c>
      <x:c r="F3215" s="84" t="str">
        <x:v>Normal</x:v>
      </x:c>
      <x:c r="G3215" s="93" t="n">
        <x:v>293.15</x:v>
      </x:c>
      <x:c r="H3215" s="85" t="str">
        <x:v>Diagnóstico e execução</x:v>
      </x:c>
    </x:row>
    <x:row r="3216">
      <x:c r="A3216" s="83" t="n">
        <x:v>3215</x:v>
      </x:c>
      <x:c r="B3216" s="84" t="n">
        <x:v>1887</x:v>
      </x:c>
      <x:c r="C3216" s="84" t="n">
        <x:v>16</x:v>
      </x:c>
      <x:c r="D3216" s="89" t="n">
        <x:v>45990</x:v>
      </x:c>
      <x:c r="E3216" s="84" t="n">
        <x:v>4.6</x:v>
      </x:c>
      <x:c r="F3216" s="84" t="str">
        <x:v>Normal</x:v>
      </x:c>
      <x:c r="G3216" s="93" t="n">
        <x:v>186.39</x:v>
      </x:c>
      <x:c r="H3216" s="85" t="str">
        <x:v>Diagnóstico e execução</x:v>
      </x:c>
    </x:row>
    <x:row r="3217">
      <x:c r="A3217" s="83" t="n">
        <x:v>3216</x:v>
      </x:c>
      <x:c r="B3217" s="84" t="n">
        <x:v>1887</x:v>
      </x:c>
      <x:c r="C3217" s="84" t="n">
        <x:v>28</x:v>
      </x:c>
      <x:c r="D3217" s="89" t="n">
        <x:v>45990</x:v>
      </x:c>
      <x:c r="E3217" s="84" t="n">
        <x:v>8</x:v>
      </x:c>
      <x:c r="F3217" s="84" t="str">
        <x:v>Normal</x:v>
      </x:c>
      <x:c r="G3217" s="93" t="n">
        <x:v>300.96</x:v>
      </x:c>
      <x:c r="H3217" s="85" t="str">
        <x:v>Diagnóstico e execução</x:v>
      </x:c>
    </x:row>
    <x:row r="3218">
      <x:c r="A3218" s="83" t="n">
        <x:v>3217</x:v>
      </x:c>
      <x:c r="B3218" s="84" t="n">
        <x:v>1888</x:v>
      </x:c>
      <x:c r="C3218" s="84" t="n">
        <x:v>9</x:v>
      </x:c>
      <x:c r="D3218" s="89" t="n">
        <x:v>45470</x:v>
      </x:c>
      <x:c r="E3218" s="84" t="n">
        <x:v>2.1</x:v>
      </x:c>
      <x:c r="F3218" s="84" t="str">
        <x:v>Normal</x:v>
      </x:c>
      <x:c r="G3218" s="93" t="n">
        <x:v>110.61</x:v>
      </x:c>
      <x:c r="H3218" s="85" t="str">
        <x:v>Diagnóstico e execução</x:v>
      </x:c>
    </x:row>
    <x:row r="3219">
      <x:c r="A3219" s="83" t="n">
        <x:v>3218</x:v>
      </x:c>
      <x:c r="B3219" s="84" t="n">
        <x:v>1888</x:v>
      </x:c>
      <x:c r="C3219" s="84" t="n">
        <x:v>17</x:v>
      </x:c>
      <x:c r="D3219" s="89" t="n">
        <x:v>45470</x:v>
      </x:c>
      <x:c r="E3219" s="84" t="n">
        <x:v>1.1</x:v>
      </x:c>
      <x:c r="F3219" s="84" t="str">
        <x:v>Normal</x:v>
      </x:c>
      <x:c r="G3219" s="93" t="n">
        <x:v>61.36</x:v>
      </x:c>
      <x:c r="H3219" s="85" t="str">
        <x:v>Diagnóstico e execução</x:v>
      </x:c>
    </x:row>
    <x:row r="3220">
      <x:c r="A3220" s="83" t="n">
        <x:v>3219</x:v>
      </x:c>
      <x:c r="B3220" s="84" t="n">
        <x:v>1889</x:v>
      </x:c>
      <x:c r="C3220" s="84" t="n">
        <x:v>19</x:v>
      </x:c>
      <x:c r="D3220" s="89" t="n">
        <x:v>45661</x:v>
      </x:c>
      <x:c r="E3220" s="84" t="n">
        <x:v>5</x:v>
      </x:c>
      <x:c r="F3220" s="84" t="str">
        <x:v>Normal</x:v>
      </x:c>
      <x:c r="G3220" s="93" t="n">
        <x:v>232.4</x:v>
      </x:c>
      <x:c r="H3220" s="85" t="str">
        <x:v>Diagnóstico e execução</x:v>
      </x:c>
    </x:row>
    <x:row r="3221">
      <x:c r="A3221" s="83" t="n">
        <x:v>3220</x:v>
      </x:c>
      <x:c r="B3221" s="84" t="n">
        <x:v>1889</x:v>
      </x:c>
      <x:c r="C3221" s="84" t="n">
        <x:v>40</x:v>
      </x:c>
      <x:c r="D3221" s="89" t="n">
        <x:v>45661</x:v>
      </x:c>
      <x:c r="E3221" s="84" t="n">
        <x:v>2.8</x:v>
      </x:c>
      <x:c r="F3221" s="84" t="str">
        <x:v>Normal</x:v>
      </x:c>
      <x:c r="G3221" s="93" t="n">
        <x:v>138.38</x:v>
      </x:c>
      <x:c r="H3221" s="85" t="str">
        <x:v>Diagnóstico e execução</x:v>
      </x:c>
    </x:row>
    <x:row r="3222">
      <x:c r="A3222" s="83" t="n">
        <x:v>3221</x:v>
      </x:c>
      <x:c r="B3222" s="84" t="n">
        <x:v>1890</x:v>
      </x:c>
      <x:c r="C3222" s="84" t="n">
        <x:v>2</x:v>
      </x:c>
      <x:c r="D3222" s="89" t="n">
        <x:v>45263</x:v>
      </x:c>
      <x:c r="E3222" s="84" t="n">
        <x:v>6</x:v>
      </x:c>
      <x:c r="F3222" s="84" t="str">
        <x:v>Normal</x:v>
      </x:c>
      <x:c r="G3222" s="93" t="n">
        <x:v>223.56</x:v>
      </x:c>
      <x:c r="H3222" s="85" t="str">
        <x:v>Diagnóstico e execução</x:v>
      </x:c>
    </x:row>
    <x:row r="3223">
      <x:c r="A3223" s="83" t="n">
        <x:v>3222</x:v>
      </x:c>
      <x:c r="B3223" s="84" t="n">
        <x:v>1891</x:v>
      </x:c>
      <x:c r="C3223" s="84" t="n">
        <x:v>45</x:v>
      </x:c>
      <x:c r="D3223" s="89" t="n">
        <x:v>45520</x:v>
      </x:c>
      <x:c r="E3223" s="84" t="n">
        <x:v>4.6</x:v>
      </x:c>
      <x:c r="F3223" s="84" t="str">
        <x:v>Normal</x:v>
      </x:c>
      <x:c r="G3223" s="93" t="n">
        <x:v>246.42</x:v>
      </x:c>
      <x:c r="H3223" s="85" t="str">
        <x:v>Diagnóstico e execução</x:v>
      </x:c>
    </x:row>
    <x:row r="3224">
      <x:c r="A3224" s="83" t="n">
        <x:v>3223</x:v>
      </x:c>
      <x:c r="B3224" s="84" t="n">
        <x:v>1891</x:v>
      </x:c>
      <x:c r="C3224" s="84" t="n">
        <x:v>8</x:v>
      </x:c>
      <x:c r="D3224" s="89" t="n">
        <x:v>45520</x:v>
      </x:c>
      <x:c r="E3224" s="84" t="n">
        <x:v>0.6</x:v>
      </x:c>
      <x:c r="F3224" s="84" t="str">
        <x:v>Normal</x:v>
      </x:c>
      <x:c r="G3224" s="93" t="n">
        <x:v>27.9</x:v>
      </x:c>
      <x:c r="H3224" s="85" t="str">
        <x:v>Diagnóstico e execução</x:v>
      </x:c>
    </x:row>
    <x:row r="3225">
      <x:c r="A3225" s="83" t="n">
        <x:v>3224</x:v>
      </x:c>
      <x:c r="B3225" s="84" t="n">
        <x:v>1892</x:v>
      </x:c>
      <x:c r="C3225" s="84" t="n">
        <x:v>43</x:v>
      </x:c>
      <x:c r="D3225" s="89" t="n">
        <x:v>45890</x:v>
      </x:c>
      <x:c r="E3225" s="84" t="n">
        <x:v>7</x:v>
      </x:c>
      <x:c r="F3225" s="84" t="str">
        <x:v>Normal</x:v>
      </x:c>
      <x:c r="G3225" s="93" t="n">
        <x:v>382.62</x:v>
      </x:c>
      <x:c r="H3225" s="85" t="str">
        <x:v>Diagnóstico e execução</x:v>
      </x:c>
    </x:row>
    <x:row r="3226">
      <x:c r="A3226" s="83" t="n">
        <x:v>3225</x:v>
      </x:c>
      <x:c r="B3226" s="84" t="n">
        <x:v>1893</x:v>
      </x:c>
      <x:c r="C3226" s="84" t="n">
        <x:v>11</x:v>
      </x:c>
      <x:c r="D3226" s="89" t="n">
        <x:v>45828</x:v>
      </x:c>
      <x:c r="E3226" s="84" t="n">
        <x:v>5.3</x:v>
      </x:c>
      <x:c r="F3226" s="84" t="str">
        <x:v>Normal</x:v>
      </x:c>
      <x:c r="G3226" s="93" t="n">
        <x:v>220.9</x:v>
      </x:c>
      <x:c r="H3226" s="85" t="str">
        <x:v>Diagnóstico e execução</x:v>
      </x:c>
    </x:row>
    <x:row r="3227">
      <x:c r="A3227" s="83" t="n">
        <x:v>3226</x:v>
      </x:c>
      <x:c r="B3227" s="84" t="n">
        <x:v>1893</x:v>
      </x:c>
      <x:c r="C3227" s="84" t="n">
        <x:v>7</x:v>
      </x:c>
      <x:c r="D3227" s="89" t="n">
        <x:v>45828</x:v>
      </x:c>
      <x:c r="E3227" s="84" t="n">
        <x:v>6.4</x:v>
      </x:c>
      <x:c r="F3227" s="84" t="str">
        <x:v>Normal</x:v>
      </x:c>
      <x:c r="G3227" s="93" t="n">
        <x:v>372.54</x:v>
      </x:c>
      <x:c r="H3227" s="85" t="str">
        <x:v>Diagnóstico e execução</x:v>
      </x:c>
    </x:row>
    <x:row r="3228">
      <x:c r="A3228" s="83" t="n">
        <x:v>3227</x:v>
      </x:c>
      <x:c r="B3228" s="84" t="n">
        <x:v>1893</x:v>
      </x:c>
      <x:c r="C3228" s="84" t="n">
        <x:v>41</x:v>
      </x:c>
      <x:c r="D3228" s="89" t="n">
        <x:v>45828</x:v>
      </x:c>
      <x:c r="E3228" s="84" t="n">
        <x:v>6.9</x:v>
      </x:c>
      <x:c r="F3228" s="84" t="str">
        <x:v>Normal</x:v>
      </x:c>
      <x:c r="G3228" s="93" t="n">
        <x:v>349</x:v>
      </x:c>
      <x:c r="H3228" s="85" t="str">
        <x:v>Diagnóstico e execução</x:v>
      </x:c>
    </x:row>
    <x:row r="3229">
      <x:c r="A3229" s="83" t="n">
        <x:v>3228</x:v>
      </x:c>
      <x:c r="B3229" s="84" t="n">
        <x:v>1894</x:v>
      </x:c>
      <x:c r="C3229" s="84" t="n">
        <x:v>28</x:v>
      </x:c>
      <x:c r="D3229" s="89" t="n">
        <x:v>45464</x:v>
      </x:c>
      <x:c r="E3229" s="84" t="n">
        <x:v>7.3</x:v>
      </x:c>
      <x:c r="F3229" s="84" t="str">
        <x:v>Normal</x:v>
      </x:c>
      <x:c r="G3229" s="93" t="n">
        <x:v>274.63</x:v>
      </x:c>
      <x:c r="H3229" s="85" t="str">
        <x:v>Diagnóstico e execução</x:v>
      </x:c>
    </x:row>
    <x:row r="3230">
      <x:c r="A3230" s="83" t="n">
        <x:v>3229</x:v>
      </x:c>
      <x:c r="B3230" s="84" t="n">
        <x:v>1895</x:v>
      </x:c>
      <x:c r="C3230" s="84" t="n">
        <x:v>9</x:v>
      </x:c>
      <x:c r="D3230" s="89" t="n">
        <x:v>45930</x:v>
      </x:c>
      <x:c r="E3230" s="84" t="n">
        <x:v>0.8</x:v>
      </x:c>
      <x:c r="F3230" s="84" t="str">
        <x:v>Normal</x:v>
      </x:c>
      <x:c r="G3230" s="93" t="n">
        <x:v>42.14</x:v>
      </x:c>
      <x:c r="H3230" s="85" t="str">
        <x:v>Diagnóstico e execução</x:v>
      </x:c>
    </x:row>
    <x:row r="3231">
      <x:c r="A3231" s="83" t="n">
        <x:v>3230</x:v>
      </x:c>
      <x:c r="B3231" s="84" t="n">
        <x:v>1896</x:v>
      </x:c>
      <x:c r="C3231" s="84" t="n">
        <x:v>37</x:v>
      </x:c>
      <x:c r="D3231" s="89" t="n">
        <x:v>45843</x:v>
      </x:c>
      <x:c r="E3231" s="84" t="n">
        <x:v>3.3</x:v>
      </x:c>
      <x:c r="F3231" s="84" t="str">
        <x:v>Normal</x:v>
      </x:c>
      <x:c r="G3231" s="93" t="n">
        <x:v>194.6</x:v>
      </x:c>
      <x:c r="H3231" s="85" t="str">
        <x:v>Diagnóstico e execução</x:v>
      </x:c>
    </x:row>
    <x:row r="3232">
      <x:c r="A3232" s="83" t="n">
        <x:v>3231</x:v>
      </x:c>
      <x:c r="B3232" s="84" t="n">
        <x:v>1896</x:v>
      </x:c>
      <x:c r="C3232" s="84" t="n">
        <x:v>4</x:v>
      </x:c>
      <x:c r="D3232" s="89" t="n">
        <x:v>45843</x:v>
      </x:c>
      <x:c r="E3232" s="84" t="n">
        <x:v>5.3</x:v>
      </x:c>
      <x:c r="F3232" s="84" t="str">
        <x:v>Normal</x:v>
      </x:c>
      <x:c r="G3232" s="93" t="n">
        <x:v>260.71</x:v>
      </x:c>
      <x:c r="H3232" s="85" t="str">
        <x:v>Diagnóstico e execução</x:v>
      </x:c>
    </x:row>
    <x:row r="3233">
      <x:c r="A3233" s="83" t="n">
        <x:v>3232</x:v>
      </x:c>
      <x:c r="B3233" s="84" t="n">
        <x:v>1898</x:v>
      </x:c>
      <x:c r="C3233" s="84" t="n">
        <x:v>9</x:v>
      </x:c>
      <x:c r="D3233" s="89" t="n">
        <x:v>45346</x:v>
      </x:c>
      <x:c r="E3233" s="84" t="n">
        <x:v>0.8</x:v>
      </x:c>
      <x:c r="F3233" s="84" t="str">
        <x:v>Normal</x:v>
      </x:c>
      <x:c r="G3233" s="93" t="n">
        <x:v>42.14</x:v>
      </x:c>
      <x:c r="H3233" s="85" t="str">
        <x:v>Diagnóstico e execução</x:v>
      </x:c>
    </x:row>
    <x:row r="3234">
      <x:c r="A3234" s="83" t="n">
        <x:v>3233</x:v>
      </x:c>
      <x:c r="B3234" s="84" t="n">
        <x:v>1898</x:v>
      </x:c>
      <x:c r="C3234" s="84" t="n">
        <x:v>27</x:v>
      </x:c>
      <x:c r="D3234" s="89" t="n">
        <x:v>45346</x:v>
      </x:c>
      <x:c r="E3234" s="84" t="n">
        <x:v>5.4</x:v>
      </x:c>
      <x:c r="F3234" s="84" t="str">
        <x:v>Normal</x:v>
      </x:c>
      <x:c r="G3234" s="93" t="n">
        <x:v>329.35</x:v>
      </x:c>
      <x:c r="H3234" s="85" t="str">
        <x:v>Diagnóstico e execução</x:v>
      </x:c>
    </x:row>
    <x:row r="3235">
      <x:c r="A3235" s="83" t="n">
        <x:v>3234</x:v>
      </x:c>
      <x:c r="B3235" s="84" t="n">
        <x:v>1899</x:v>
      </x:c>
      <x:c r="C3235" s="84" t="n">
        <x:v>18</x:v>
      </x:c>
      <x:c r="D3235" s="89" t="n">
        <x:v>45929</x:v>
      </x:c>
      <x:c r="E3235" s="84" t="n">
        <x:v>6.1</x:v>
      </x:c>
      <x:c r="F3235" s="84" t="str">
        <x:v>Normal</x:v>
      </x:c>
      <x:c r="G3235" s="93" t="n">
        <x:v>384.85</x:v>
      </x:c>
      <x:c r="H3235" s="85" t="str">
        <x:v>Diagnóstico e execução</x:v>
      </x:c>
    </x:row>
    <x:row r="3236">
      <x:c r="A3236" s="83" t="n">
        <x:v>3235</x:v>
      </x:c>
      <x:c r="B3236" s="84" t="n">
        <x:v>1900</x:v>
      </x:c>
      <x:c r="C3236" s="84" t="n">
        <x:v>19</x:v>
      </x:c>
      <x:c r="D3236" s="89" t="n">
        <x:v>45056</x:v>
      </x:c>
      <x:c r="E3236" s="84" t="n">
        <x:v>6.2</x:v>
      </x:c>
      <x:c r="F3236" s="84" t="str">
        <x:v>Normal</x:v>
      </x:c>
      <x:c r="G3236" s="93" t="n">
        <x:v>288.18</x:v>
      </x:c>
      <x:c r="H3236" s="85" t="str">
        <x:v>Diagnóstico e execução</x:v>
      </x:c>
    </x:row>
    <x:row r="3237">
      <x:c r="A3237" s="83" t="n">
        <x:v>3236</x:v>
      </x:c>
      <x:c r="B3237" s="84" t="n">
        <x:v>1900</x:v>
      </x:c>
      <x:c r="C3237" s="84" t="n">
        <x:v>27</x:v>
      </x:c>
      <x:c r="D3237" s="89" t="n">
        <x:v>45056</x:v>
      </x:c>
      <x:c r="E3237" s="84" t="n">
        <x:v>0.7</x:v>
      </x:c>
      <x:c r="F3237" s="84" t="str">
        <x:v>Normal</x:v>
      </x:c>
      <x:c r="G3237" s="93" t="n">
        <x:v>42.69</x:v>
      </x:c>
      <x:c r="H3237" s="85" t="str">
        <x:v>Diagnóstico e execução</x:v>
      </x:c>
    </x:row>
    <x:row r="3238">
      <x:c r="A3238" s="83" t="n">
        <x:v>3237</x:v>
      </x:c>
      <x:c r="B3238" s="84" t="n">
        <x:v>1902</x:v>
      </x:c>
      <x:c r="C3238" s="84" t="n">
        <x:v>29</x:v>
      </x:c>
      <x:c r="D3238" s="89" t="n">
        <x:v>45469</x:v>
      </x:c>
      <x:c r="E3238" s="84" t="n">
        <x:v>2.8</x:v>
      </x:c>
      <x:c r="F3238" s="84" t="str">
        <x:v>Normal</x:v>
      </x:c>
      <x:c r="G3238" s="93" t="n">
        <x:v>138.66</x:v>
      </x:c>
      <x:c r="H3238" s="85" t="str">
        <x:v>Diagnóstico e execução</x:v>
      </x:c>
    </x:row>
    <x:row r="3239">
      <x:c r="A3239" s="83" t="n">
        <x:v>3238</x:v>
      </x:c>
      <x:c r="B3239" s="84" t="n">
        <x:v>1902</x:v>
      </x:c>
      <x:c r="C3239" s="84" t="n">
        <x:v>25</x:v>
      </x:c>
      <x:c r="D3239" s="89" t="n">
        <x:v>45469</x:v>
      </x:c>
      <x:c r="E3239" s="84" t="n">
        <x:v>7.2</x:v>
      </x:c>
      <x:c r="F3239" s="84" t="str">
        <x:v>Normal</x:v>
      </x:c>
      <x:c r="G3239" s="93" t="n">
        <x:v>385.85</x:v>
      </x:c>
      <x:c r="H3239" s="85" t="str">
        <x:v>Diagnóstico e execução</x:v>
      </x:c>
    </x:row>
    <x:row r="3240">
      <x:c r="A3240" s="83" t="n">
        <x:v>3239</x:v>
      </x:c>
      <x:c r="B3240" s="84" t="n">
        <x:v>1903</x:v>
      </x:c>
      <x:c r="C3240" s="84" t="n">
        <x:v>1</x:v>
      </x:c>
      <x:c r="D3240" s="89" t="n">
        <x:v>45206</x:v>
      </x:c>
      <x:c r="E3240" s="84" t="n">
        <x:v>5.2</x:v>
      </x:c>
      <x:c r="F3240" s="84" t="str">
        <x:v>Normal</x:v>
      </x:c>
      <x:c r="G3240" s="93" t="n">
        <x:v>183.92</x:v>
      </x:c>
      <x:c r="H3240" s="85" t="str">
        <x:v>Diagnóstico e execução</x:v>
      </x:c>
    </x:row>
    <x:row r="3241">
      <x:c r="A3241" s="83" t="n">
        <x:v>3240</x:v>
      </x:c>
      <x:c r="B3241" s="84" t="n">
        <x:v>1903</x:v>
      </x:c>
      <x:c r="C3241" s="84" t="n">
        <x:v>32</x:v>
      </x:c>
      <x:c r="D3241" s="89" t="n">
        <x:v>45206</x:v>
      </x:c>
      <x:c r="E3241" s="84" t="n">
        <x:v>3.7</x:v>
      </x:c>
      <x:c r="F3241" s="84" t="str">
        <x:v>Normal</x:v>
      </x:c>
      <x:c r="G3241" s="93" t="n">
        <x:v>161.5</x:v>
      </x:c>
      <x:c r="H3241" s="85" t="str">
        <x:v>Diagnóstico e execução</x:v>
      </x:c>
    </x:row>
    <x:row r="3242">
      <x:c r="A3242" s="83" t="n">
        <x:v>3241</x:v>
      </x:c>
      <x:c r="B3242" s="84" t="n">
        <x:v>1903</x:v>
      </x:c>
      <x:c r="C3242" s="84" t="n">
        <x:v>15</x:v>
      </x:c>
      <x:c r="D3242" s="89" t="n">
        <x:v>45206</x:v>
      </x:c>
      <x:c r="E3242" s="84" t="n">
        <x:v>3.1</x:v>
      </x:c>
      <x:c r="F3242" s="84" t="str">
        <x:v>Normal</x:v>
      </x:c>
      <x:c r="G3242" s="93" t="n">
        <x:v>93.74</x:v>
      </x:c>
      <x:c r="H3242" s="85" t="str">
        <x:v>Diagnóstico e execução</x:v>
      </x:c>
    </x:row>
    <x:row r="3243">
      <x:c r="A3243" s="83" t="n">
        <x:v>3242</x:v>
      </x:c>
      <x:c r="B3243" s="84" t="n">
        <x:v>1904</x:v>
      </x:c>
      <x:c r="C3243" s="84" t="n">
        <x:v>41</x:v>
      </x:c>
      <x:c r="D3243" s="89" t="n">
        <x:v>45114</x:v>
      </x:c>
      <x:c r="E3243" s="84" t="n">
        <x:v>4.2</x:v>
      </x:c>
      <x:c r="F3243" s="84" t="str">
        <x:v>Normal</x:v>
      </x:c>
      <x:c r="G3243" s="93" t="n">
        <x:v>212.44</x:v>
      </x:c>
      <x:c r="H3243" s="85" t="str">
        <x:v>Diagnóstico e execução</x:v>
      </x:c>
    </x:row>
    <x:row r="3244">
      <x:c r="A3244" s="83" t="n">
        <x:v>3243</x:v>
      </x:c>
      <x:c r="B3244" s="84" t="n">
        <x:v>1904</x:v>
      </x:c>
      <x:c r="C3244" s="84" t="n">
        <x:v>29</x:v>
      </x:c>
      <x:c r="D3244" s="89" t="n">
        <x:v>45114</x:v>
      </x:c>
      <x:c r="E3244" s="84" t="n">
        <x:v>2.6</x:v>
      </x:c>
      <x:c r="F3244" s="84" t="str">
        <x:v>Normal</x:v>
      </x:c>
      <x:c r="G3244" s="93" t="n">
        <x:v>128.75</x:v>
      </x:c>
      <x:c r="H3244" s="85" t="str">
        <x:v>Diagnóstico e execução</x:v>
      </x:c>
    </x:row>
    <x:row r="3245">
      <x:c r="A3245" s="83" t="n">
        <x:v>3244</x:v>
      </x:c>
      <x:c r="B3245" s="84" t="n">
        <x:v>1905</x:v>
      </x:c>
      <x:c r="C3245" s="84" t="n">
        <x:v>27</x:v>
      </x:c>
      <x:c r="D3245" s="89" t="n">
        <x:v>45615</x:v>
      </x:c>
      <x:c r="E3245" s="84" t="n">
        <x:v>0.8</x:v>
      </x:c>
      <x:c r="F3245" s="84" t="str">
        <x:v>Normal</x:v>
      </x:c>
      <x:c r="G3245" s="93" t="n">
        <x:v>48.79</x:v>
      </x:c>
      <x:c r="H3245" s="85" t="str">
        <x:v>Diagnóstico e execução</x:v>
      </x:c>
    </x:row>
    <x:row r="3246">
      <x:c r="A3246" s="83" t="n">
        <x:v>3245</x:v>
      </x:c>
      <x:c r="B3246" s="84" t="n">
        <x:v>1906</x:v>
      </x:c>
      <x:c r="C3246" s="84" t="n">
        <x:v>27</x:v>
      </x:c>
      <x:c r="D3246" s="89" t="n">
        <x:v>45906</x:v>
      </x:c>
      <x:c r="E3246" s="84" t="n">
        <x:v>1.9</x:v>
      </x:c>
      <x:c r="F3246" s="84" t="str">
        <x:v>Normal</x:v>
      </x:c>
      <x:c r="G3246" s="93" t="n">
        <x:v>115.88</x:v>
      </x:c>
      <x:c r="H3246" s="85" t="str">
        <x:v>Diagnóstico e execução</x:v>
      </x:c>
    </x:row>
    <x:row r="3247">
      <x:c r="A3247" s="83" t="n">
        <x:v>3246</x:v>
      </x:c>
      <x:c r="B3247" s="84" t="n">
        <x:v>1907</x:v>
      </x:c>
      <x:c r="C3247" s="84" t="n">
        <x:v>36</x:v>
      </x:c>
      <x:c r="D3247" s="89" t="n">
        <x:v>45847</x:v>
      </x:c>
      <x:c r="E3247" s="84" t="n">
        <x:v>1.1</x:v>
      </x:c>
      <x:c r="F3247" s="84" t="str">
        <x:v>Normal</x:v>
      </x:c>
      <x:c r="G3247" s="93" t="n">
        <x:v>32.63</x:v>
      </x:c>
      <x:c r="H3247" s="85" t="str">
        <x:v>Diagnóstico e execução</x:v>
      </x:c>
    </x:row>
    <x:row r="3248">
      <x:c r="A3248" s="83" t="n">
        <x:v>3247</x:v>
      </x:c>
      <x:c r="B3248" s="84" t="n">
        <x:v>1908</x:v>
      </x:c>
      <x:c r="C3248" s="84" t="n">
        <x:v>44</x:v>
      </x:c>
      <x:c r="D3248" s="89" t="n">
        <x:v>45747</x:v>
      </x:c>
      <x:c r="E3248" s="84" t="n">
        <x:v>5.9</x:v>
      </x:c>
      <x:c r="F3248" s="84" t="str">
        <x:v>Normal</x:v>
      </x:c>
      <x:c r="G3248" s="93" t="n">
        <x:v>165.44</x:v>
      </x:c>
      <x:c r="H3248" s="85" t="str">
        <x:v>Diagnóstico e execução</x:v>
      </x:c>
    </x:row>
    <x:row r="3249">
      <x:c r="A3249" s="83" t="n">
        <x:v>3248</x:v>
      </x:c>
      <x:c r="B3249" s="84" t="n">
        <x:v>1908</x:v>
      </x:c>
      <x:c r="C3249" s="84" t="n">
        <x:v>24</x:v>
      </x:c>
      <x:c r="D3249" s="89" t="n">
        <x:v>45747</x:v>
      </x:c>
      <x:c r="E3249" s="84" t="n">
        <x:v>7.8</x:v>
      </x:c>
      <x:c r="F3249" s="84" t="str">
        <x:v>Normal</x:v>
      </x:c>
      <x:c r="G3249" s="93" t="n">
        <x:v>462.07</x:v>
      </x:c>
      <x:c r="H3249" s="85" t="str">
        <x:v>Diagnóstico e execução</x:v>
      </x:c>
    </x:row>
    <x:row r="3250">
      <x:c r="A3250" s="83" t="n">
        <x:v>3249</x:v>
      </x:c>
      <x:c r="B3250" s="84" t="n">
        <x:v>1909</x:v>
      </x:c>
      <x:c r="C3250" s="84" t="n">
        <x:v>39</x:v>
      </x:c>
      <x:c r="D3250" s="89" t="n">
        <x:v>45360</x:v>
      </x:c>
      <x:c r="E3250" s="84" t="n">
        <x:v>7</x:v>
      </x:c>
      <x:c r="F3250" s="84" t="str">
        <x:v>Normal</x:v>
      </x:c>
      <x:c r="G3250" s="93" t="n">
        <x:v>405.3</x:v>
      </x:c>
      <x:c r="H3250" s="85" t="str">
        <x:v>Diagnóstico e execução</x:v>
      </x:c>
    </x:row>
    <x:row r="3251">
      <x:c r="A3251" s="83" t="n">
        <x:v>3250</x:v>
      </x:c>
      <x:c r="B3251" s="84" t="n">
        <x:v>1909</x:v>
      </x:c>
      <x:c r="C3251" s="84" t="n">
        <x:v>44</x:v>
      </x:c>
      <x:c r="D3251" s="89" t="n">
        <x:v>45360</x:v>
      </x:c>
      <x:c r="E3251" s="84" t="n">
        <x:v>5.2</x:v>
      </x:c>
      <x:c r="F3251" s="84" t="str">
        <x:v>Normal</x:v>
      </x:c>
      <x:c r="G3251" s="93" t="n">
        <x:v>145.81</x:v>
      </x:c>
      <x:c r="H3251" s="85" t="str">
        <x:v>Diagnóstico e execução</x:v>
      </x:c>
    </x:row>
    <x:row r="3252">
      <x:c r="A3252" s="83" t="n">
        <x:v>3251</x:v>
      </x:c>
      <x:c r="B3252" s="84" t="n">
        <x:v>1909</x:v>
      </x:c>
      <x:c r="C3252" s="84" t="n">
        <x:v>36</x:v>
      </x:c>
      <x:c r="D3252" s="89" t="n">
        <x:v>45360</x:v>
      </x:c>
      <x:c r="E3252" s="84" t="n">
        <x:v>6.6</x:v>
      </x:c>
      <x:c r="F3252" s="84" t="str">
        <x:v>Normal</x:v>
      </x:c>
      <x:c r="G3252" s="93" t="n">
        <x:v>195.76</x:v>
      </x:c>
      <x:c r="H3252" s="85" t="str">
        <x:v>Diagnóstico e execução</x:v>
      </x:c>
    </x:row>
    <x:row r="3253">
      <x:c r="A3253" s="83" t="n">
        <x:v>3252</x:v>
      </x:c>
      <x:c r="B3253" s="84" t="n">
        <x:v>1910</x:v>
      </x:c>
      <x:c r="C3253" s="84" t="n">
        <x:v>21</x:v>
      </x:c>
      <x:c r="D3253" s="89" t="n">
        <x:v>45469</x:v>
      </x:c>
      <x:c r="E3253" s="84" t="n">
        <x:v>6.5</x:v>
      </x:c>
      <x:c r="F3253" s="84" t="str">
        <x:v>Normal</x:v>
      </x:c>
      <x:c r="G3253" s="93" t="n">
        <x:v>399.3</x:v>
      </x:c>
      <x:c r="H3253" s="85" t="str">
        <x:v>Diagnóstico e execução</x:v>
      </x:c>
    </x:row>
    <x:row r="3254">
      <x:c r="A3254" s="83" t="n">
        <x:v>3253</x:v>
      </x:c>
      <x:c r="B3254" s="84" t="n">
        <x:v>1910</x:v>
      </x:c>
      <x:c r="C3254" s="84" t="n">
        <x:v>32</x:v>
      </x:c>
      <x:c r="D3254" s="89" t="n">
        <x:v>45469</x:v>
      </x:c>
      <x:c r="E3254" s="84" t="n">
        <x:v>2.1</x:v>
      </x:c>
      <x:c r="F3254" s="84" t="str">
        <x:v>Normal</x:v>
      </x:c>
      <x:c r="G3254" s="93" t="n">
        <x:v>91.67</x:v>
      </x:c>
      <x:c r="H3254" s="85" t="str">
        <x:v>Diagnóstico e execução</x:v>
      </x:c>
    </x:row>
    <x:row r="3255">
      <x:c r="A3255" s="83" t="n">
        <x:v>3254</x:v>
      </x:c>
      <x:c r="B3255" s="84" t="n">
        <x:v>1911</x:v>
      </x:c>
      <x:c r="C3255" s="84" t="n">
        <x:v>35</x:v>
      </x:c>
      <x:c r="D3255" s="89" t="n">
        <x:v>45584</x:v>
      </x:c>
      <x:c r="E3255" s="84" t="n">
        <x:v>4.1</x:v>
      </x:c>
      <x:c r="F3255" s="84" t="str">
        <x:v>Normal</x:v>
      </x:c>
      <x:c r="G3255" s="93" t="n">
        <x:v>201.68</x:v>
      </x:c>
      <x:c r="H3255" s="85" t="str">
        <x:v>Diagnóstico e execução</x:v>
      </x:c>
    </x:row>
    <x:row r="3256">
      <x:c r="A3256" s="83" t="n">
        <x:v>3255</x:v>
      </x:c>
      <x:c r="B3256" s="84" t="n">
        <x:v>1911</x:v>
      </x:c>
      <x:c r="C3256" s="84" t="n">
        <x:v>22</x:v>
      </x:c>
      <x:c r="D3256" s="89" t="n">
        <x:v>45584</x:v>
      </x:c>
      <x:c r="E3256" s="84" t="n">
        <x:v>1.4</x:v>
      </x:c>
      <x:c r="F3256" s="84" t="str">
        <x:v>Normal</x:v>
      </x:c>
      <x:c r="G3256" s="93" t="n">
        <x:v>53.84</x:v>
      </x:c>
      <x:c r="H3256" s="85" t="str">
        <x:v>Diagnóstico e execução</x:v>
      </x:c>
    </x:row>
    <x:row r="3257">
      <x:c r="A3257" s="83" t="n">
        <x:v>3256</x:v>
      </x:c>
      <x:c r="B3257" s="84" t="n">
        <x:v>1913</x:v>
      </x:c>
      <x:c r="C3257" s="84" t="n">
        <x:v>13</x:v>
      </x:c>
      <x:c r="D3257" s="89" t="n">
        <x:v>45411</x:v>
      </x:c>
      <x:c r="E3257" s="84" t="n">
        <x:v>6.1</x:v>
      </x:c>
      <x:c r="F3257" s="84" t="str">
        <x:v>Normal</x:v>
      </x:c>
      <x:c r="G3257" s="93" t="n">
        <x:v>206.67</x:v>
      </x:c>
      <x:c r="H3257" s="85" t="str">
        <x:v>Diagnóstico e execução</x:v>
      </x:c>
    </x:row>
    <x:row r="3258">
      <x:c r="A3258" s="83" t="n">
        <x:v>3257</x:v>
      </x:c>
      <x:c r="B3258" s="84" t="n">
        <x:v>1914</x:v>
      </x:c>
      <x:c r="C3258" s="84" t="n">
        <x:v>16</x:v>
      </x:c>
      <x:c r="D3258" s="89" t="n">
        <x:v>45125</x:v>
      </x:c>
      <x:c r="E3258" s="84" t="n">
        <x:v>4.3</x:v>
      </x:c>
      <x:c r="F3258" s="84" t="str">
        <x:v>Normal</x:v>
      </x:c>
      <x:c r="G3258" s="93" t="n">
        <x:v>174.24</x:v>
      </x:c>
      <x:c r="H3258" s="85" t="str">
        <x:v>Diagnóstico e execução</x:v>
      </x:c>
    </x:row>
    <x:row r="3259">
      <x:c r="A3259" s="83" t="n">
        <x:v>3258</x:v>
      </x:c>
      <x:c r="B3259" s="84" t="n">
        <x:v>1914</x:v>
      </x:c>
      <x:c r="C3259" s="84" t="n">
        <x:v>1</x:v>
      </x:c>
      <x:c r="D3259" s="89" t="n">
        <x:v>45125</x:v>
      </x:c>
      <x:c r="E3259" s="84" t="n">
        <x:v>2.6</x:v>
      </x:c>
      <x:c r="F3259" s="84" t="str">
        <x:v>Normal</x:v>
      </x:c>
      <x:c r="G3259" s="93" t="n">
        <x:v>91.96</x:v>
      </x:c>
      <x:c r="H3259" s="85" t="str">
        <x:v>Diagnóstico e execução</x:v>
      </x:c>
    </x:row>
    <x:row r="3260">
      <x:c r="A3260" s="83" t="n">
        <x:v>3259</x:v>
      </x:c>
      <x:c r="B3260" s="84" t="n">
        <x:v>1915</x:v>
      </x:c>
      <x:c r="C3260" s="84" t="n">
        <x:v>14</x:v>
      </x:c>
      <x:c r="D3260" s="89" t="n">
        <x:v>45190</x:v>
      </x:c>
      <x:c r="E3260" s="84" t="n">
        <x:v>6.9</x:v>
      </x:c>
      <x:c r="F3260" s="84" t="str">
        <x:v>Normal</x:v>
      </x:c>
      <x:c r="G3260" s="93" t="n">
        <x:v>390.95</x:v>
      </x:c>
      <x:c r="H3260" s="85" t="str">
        <x:v>Diagnóstico e execução</x:v>
      </x:c>
    </x:row>
    <x:row r="3261">
      <x:c r="A3261" s="83" t="n">
        <x:v>3260</x:v>
      </x:c>
      <x:c r="B3261" s="84" t="n">
        <x:v>1915</x:v>
      </x:c>
      <x:c r="C3261" s="84" t="n">
        <x:v>26</x:v>
      </x:c>
      <x:c r="D3261" s="89" t="n">
        <x:v>45190</x:v>
      </x:c>
      <x:c r="E3261" s="84" t="n">
        <x:v>3.7</x:v>
      </x:c>
      <x:c r="F3261" s="84" t="str">
        <x:v>Normal</x:v>
      </x:c>
      <x:c r="G3261" s="93" t="n">
        <x:v>144.74</x:v>
      </x:c>
      <x:c r="H3261" s="85" t="str">
        <x:v>Diagnóstico e execução</x:v>
      </x:c>
    </x:row>
    <x:row r="3262">
      <x:c r="A3262" s="83" t="n">
        <x:v>3261</x:v>
      </x:c>
      <x:c r="B3262" s="84" t="n">
        <x:v>1917</x:v>
      </x:c>
      <x:c r="C3262" s="84" t="n">
        <x:v>32</x:v>
      </x:c>
      <x:c r="D3262" s="89" t="n">
        <x:v>45041</x:v>
      </x:c>
      <x:c r="E3262" s="84" t="n">
        <x:v>0.9</x:v>
      </x:c>
      <x:c r="F3262" s="84" t="str">
        <x:v>Normal</x:v>
      </x:c>
      <x:c r="G3262" s="93" t="n">
        <x:v>39.28</x:v>
      </x:c>
      <x:c r="H3262" s="85" t="str">
        <x:v>Diagnóstico e execução</x:v>
      </x:c>
    </x:row>
    <x:row r="3263">
      <x:c r="A3263" s="83" t="n">
        <x:v>3262</x:v>
      </x:c>
      <x:c r="B3263" s="84" t="n">
        <x:v>1918</x:v>
      </x:c>
      <x:c r="C3263" s="84" t="n">
        <x:v>10</x:v>
      </x:c>
      <x:c r="D3263" s="89" t="n">
        <x:v>45908</x:v>
      </x:c>
      <x:c r="E3263" s="84" t="n">
        <x:v>3.7</x:v>
      </x:c>
      <x:c r="F3263" s="84" t="str">
        <x:v>Normal</x:v>
      </x:c>
      <x:c r="G3263" s="93" t="n">
        <x:v>109.85</x:v>
      </x:c>
      <x:c r="H3263" s="85" t="str">
        <x:v>Diagnóstico e execução</x:v>
      </x:c>
    </x:row>
    <x:row r="3264">
      <x:c r="A3264" s="83" t="n">
        <x:v>3263</x:v>
      </x:c>
      <x:c r="B3264" s="84" t="n">
        <x:v>1920</x:v>
      </x:c>
      <x:c r="C3264" s="84" t="n">
        <x:v>39</x:v>
      </x:c>
      <x:c r="D3264" s="89" t="n">
        <x:v>45868</x:v>
      </x:c>
      <x:c r="E3264" s="84" t="n">
        <x:v>1.3</x:v>
      </x:c>
      <x:c r="F3264" s="84" t="str">
        <x:v>Normal</x:v>
      </x:c>
      <x:c r="G3264" s="93" t="n">
        <x:v>75.27</x:v>
      </x:c>
      <x:c r="H3264" s="85" t="str">
        <x:v>Diagnóstico e execução</x:v>
      </x:c>
    </x:row>
    <x:row r="3265">
      <x:c r="A3265" s="83" t="n">
        <x:v>3264</x:v>
      </x:c>
      <x:c r="B3265" s="84" t="n">
        <x:v>1920</x:v>
      </x:c>
      <x:c r="C3265" s="84" t="n">
        <x:v>14</x:v>
      </x:c>
      <x:c r="D3265" s="89" t="n">
        <x:v>45868</x:v>
      </x:c>
      <x:c r="E3265" s="84" t="n">
        <x:v>6.4</x:v>
      </x:c>
      <x:c r="F3265" s="84" t="str">
        <x:v>Normal</x:v>
      </x:c>
      <x:c r="G3265" s="93" t="n">
        <x:v>362.62</x:v>
      </x:c>
      <x:c r="H3265" s="85" t="str">
        <x:v>Diagnóstico e execução</x:v>
      </x:c>
    </x:row>
    <x:row r="3266">
      <x:c r="A3266" s="83" t="n">
        <x:v>3265</x:v>
      </x:c>
      <x:c r="B3266" s="84" t="n">
        <x:v>1920</x:v>
      </x:c>
      <x:c r="C3266" s="84" t="n">
        <x:v>9</x:v>
      </x:c>
      <x:c r="D3266" s="89" t="n">
        <x:v>45868</x:v>
      </x:c>
      <x:c r="E3266" s="84" t="n">
        <x:v>3.5</x:v>
      </x:c>
      <x:c r="F3266" s="84" t="str">
        <x:v>Normal</x:v>
      </x:c>
      <x:c r="G3266" s="93" t="n">
        <x:v>184.34</x:v>
      </x:c>
      <x:c r="H3266" s="85" t="str">
        <x:v>Diagnóstico e execução</x:v>
      </x:c>
    </x:row>
    <x:row r="3267">
      <x:c r="A3267" s="83" t="n">
        <x:v>3266</x:v>
      </x:c>
      <x:c r="B3267" s="84" t="n">
        <x:v>1921</x:v>
      </x:c>
      <x:c r="C3267" s="84" t="n">
        <x:v>14</x:v>
      </x:c>
      <x:c r="D3267" s="89" t="n">
        <x:v>45222</x:v>
      </x:c>
      <x:c r="E3267" s="84" t="n">
        <x:v>6.2</x:v>
      </x:c>
      <x:c r="F3267" s="84" t="str">
        <x:v>Normal</x:v>
      </x:c>
      <x:c r="G3267" s="93" t="n">
        <x:v>351.29</x:v>
      </x:c>
      <x:c r="H3267" s="85" t="str">
        <x:v>Diagnóstico e execução</x:v>
      </x:c>
    </x:row>
    <x:row r="3268">
      <x:c r="A3268" s="83" t="n">
        <x:v>3267</x:v>
      </x:c>
      <x:c r="B3268" s="84" t="n">
        <x:v>1921</x:v>
      </x:c>
      <x:c r="C3268" s="84" t="n">
        <x:v>30</x:v>
      </x:c>
      <x:c r="D3268" s="89" t="n">
        <x:v>45222</x:v>
      </x:c>
      <x:c r="E3268" s="84" t="n">
        <x:v>1.8</x:v>
      </x:c>
      <x:c r="F3268" s="84" t="str">
        <x:v>Normal</x:v>
      </x:c>
      <x:c r="G3268" s="93" t="n">
        <x:v>74.54</x:v>
      </x:c>
      <x:c r="H3268" s="85" t="str">
        <x:v>Diagnóstico e execução</x:v>
      </x:c>
    </x:row>
    <x:row r="3269">
      <x:c r="A3269" s="83" t="n">
        <x:v>3268</x:v>
      </x:c>
      <x:c r="B3269" s="84" t="n">
        <x:v>1922</x:v>
      </x:c>
      <x:c r="C3269" s="84" t="n">
        <x:v>7</x:v>
      </x:c>
      <x:c r="D3269" s="89" t="n">
        <x:v>45818</x:v>
      </x:c>
      <x:c r="E3269" s="84" t="n">
        <x:v>1.6</x:v>
      </x:c>
      <x:c r="F3269" s="84" t="str">
        <x:v>Normal</x:v>
      </x:c>
      <x:c r="G3269" s="93" t="n">
        <x:v>93.14</x:v>
      </x:c>
      <x:c r="H3269" s="85" t="str">
        <x:v>Diagnóstico e execução</x:v>
      </x:c>
    </x:row>
    <x:row r="3270">
      <x:c r="A3270" s="83" t="n">
        <x:v>3269</x:v>
      </x:c>
      <x:c r="B3270" s="84" t="n">
        <x:v>1922</x:v>
      </x:c>
      <x:c r="C3270" s="84" t="n">
        <x:v>45</x:v>
      </x:c>
      <x:c r="D3270" s="89" t="n">
        <x:v>45818</x:v>
      </x:c>
      <x:c r="E3270" s="84" t="n">
        <x:v>7.1</x:v>
      </x:c>
      <x:c r="F3270" s="84" t="str">
        <x:v>Normal</x:v>
      </x:c>
      <x:c r="G3270" s="93" t="n">
        <x:v>380.35</x:v>
      </x:c>
      <x:c r="H3270" s="85" t="str">
        <x:v>Diagnóstico e execução</x:v>
      </x:c>
    </x:row>
    <x:row r="3271">
      <x:c r="A3271" s="83" t="n">
        <x:v>3270</x:v>
      </x:c>
      <x:c r="B3271" s="84" t="n">
        <x:v>1922</x:v>
      </x:c>
      <x:c r="C3271" s="84" t="n">
        <x:v>25</x:v>
      </x:c>
      <x:c r="D3271" s="89" t="n">
        <x:v>45818</x:v>
      </x:c>
      <x:c r="E3271" s="84" t="n">
        <x:v>2.9</x:v>
      </x:c>
      <x:c r="F3271" s="84" t="str">
        <x:v>Normal</x:v>
      </x:c>
      <x:c r="G3271" s="93" t="n">
        <x:v>155.41</x:v>
      </x:c>
      <x:c r="H3271" s="85" t="str">
        <x:v>Diagnóstico e execução</x:v>
      </x:c>
    </x:row>
    <x:row r="3272">
      <x:c r="A3272" s="83" t="n">
        <x:v>3271</x:v>
      </x:c>
      <x:c r="B3272" s="84" t="n">
        <x:v>1923</x:v>
      </x:c>
      <x:c r="C3272" s="84" t="n">
        <x:v>11</x:v>
      </x:c>
      <x:c r="D3272" s="89" t="n">
        <x:v>45599</x:v>
      </x:c>
      <x:c r="E3272" s="84" t="n">
        <x:v>5.8</x:v>
      </x:c>
      <x:c r="F3272" s="84" t="str">
        <x:v>Normal</x:v>
      </x:c>
      <x:c r="G3272" s="93" t="n">
        <x:v>241.74</x:v>
      </x:c>
      <x:c r="H3272" s="85" t="str">
        <x:v>Diagnóstico e execução</x:v>
      </x:c>
    </x:row>
    <x:row r="3273">
      <x:c r="A3273" s="83" t="n">
        <x:v>3272</x:v>
      </x:c>
      <x:c r="B3273" s="84" t="n">
        <x:v>1923</x:v>
      </x:c>
      <x:c r="C3273" s="84" t="n">
        <x:v>13</x:v>
      </x:c>
      <x:c r="D3273" s="89" t="n">
        <x:v>45599</x:v>
      </x:c>
      <x:c r="E3273" s="84" t="n">
        <x:v>0.6</x:v>
      </x:c>
      <x:c r="F3273" s="84" t="str">
        <x:v>Normal</x:v>
      </x:c>
      <x:c r="G3273" s="93" t="n">
        <x:v>20.33</x:v>
      </x:c>
      <x:c r="H3273" s="85" t="str">
        <x:v>Diagnóstico e execução</x:v>
      </x:c>
    </x:row>
    <x:row r="3274">
      <x:c r="A3274" s="83" t="n">
        <x:v>3273</x:v>
      </x:c>
      <x:c r="B3274" s="84" t="n">
        <x:v>1924</x:v>
      </x:c>
      <x:c r="C3274" s="84" t="n">
        <x:v>12</x:v>
      </x:c>
      <x:c r="D3274" s="89" t="n">
        <x:v>46010</x:v>
      </x:c>
      <x:c r="E3274" s="84" t="n">
        <x:v>0.7</x:v>
      </x:c>
      <x:c r="F3274" s="84" t="str">
        <x:v>Normal</x:v>
      </x:c>
      <x:c r="G3274" s="93" t="n">
        <x:v>24.15</x:v>
      </x:c>
      <x:c r="H3274" s="85" t="str">
        <x:v>Diagnóstico e execução</x:v>
      </x:c>
    </x:row>
    <x:row r="3275">
      <x:c r="A3275" s="83" t="n">
        <x:v>3274</x:v>
      </x:c>
      <x:c r="B3275" s="84" t="n">
        <x:v>1925</x:v>
      </x:c>
      <x:c r="C3275" s="84" t="n">
        <x:v>35</x:v>
      </x:c>
      <x:c r="D3275" s="89" t="n">
        <x:v>44982</x:v>
      </x:c>
      <x:c r="E3275" s="84" t="n">
        <x:v>3.7</x:v>
      </x:c>
      <x:c r="F3275" s="84" t="str">
        <x:v>Normal</x:v>
      </x:c>
      <x:c r="G3275" s="93" t="n">
        <x:v>182</x:v>
      </x:c>
      <x:c r="H3275" s="85" t="str">
        <x:v>Diagnóstico e execução</x:v>
      </x:c>
    </x:row>
    <x:row r="3276">
      <x:c r="A3276" s="83" t="n">
        <x:v>3275</x:v>
      </x:c>
      <x:c r="B3276" s="84" t="n">
        <x:v>1925</x:v>
      </x:c>
      <x:c r="C3276" s="84" t="n">
        <x:v>21</x:v>
      </x:c>
      <x:c r="D3276" s="89" t="n">
        <x:v>44982</x:v>
      </x:c>
      <x:c r="E3276" s="84" t="n">
        <x:v>4</x:v>
      </x:c>
      <x:c r="F3276" s="84" t="str">
        <x:v>Normal</x:v>
      </x:c>
      <x:c r="G3276" s="93" t="n">
        <x:v>245.72</x:v>
      </x:c>
      <x:c r="H3276" s="85" t="str">
        <x:v>Diagnóstico e execução</x:v>
      </x:c>
    </x:row>
    <x:row r="3277">
      <x:c r="A3277" s="83" t="n">
        <x:v>3276</x:v>
      </x:c>
      <x:c r="B3277" s="84" t="n">
        <x:v>1925</x:v>
      </x:c>
      <x:c r="C3277" s="84" t="n">
        <x:v>26</x:v>
      </x:c>
      <x:c r="D3277" s="89" t="n">
        <x:v>44982</x:v>
      </x:c>
      <x:c r="E3277" s="84" t="n">
        <x:v>4.5</x:v>
      </x:c>
      <x:c r="F3277" s="84" t="str">
        <x:v>Normal</x:v>
      </x:c>
      <x:c r="G3277" s="93" t="n">
        <x:v>176.04</x:v>
      </x:c>
      <x:c r="H3277" s="85" t="str">
        <x:v>Diagnóstico e execução</x:v>
      </x:c>
    </x:row>
    <x:row r="3278">
      <x:c r="A3278" s="83" t="n">
        <x:v>3277</x:v>
      </x:c>
      <x:c r="B3278" s="84" t="n">
        <x:v>1926</x:v>
      </x:c>
      <x:c r="C3278" s="84" t="n">
        <x:v>28</x:v>
      </x:c>
      <x:c r="D3278" s="89" t="n">
        <x:v>45773</x:v>
      </x:c>
      <x:c r="E3278" s="84" t="n">
        <x:v>0.6</x:v>
      </x:c>
      <x:c r="F3278" s="84" t="str">
        <x:v>Normal</x:v>
      </x:c>
      <x:c r="G3278" s="93" t="n">
        <x:v>22.57</x:v>
      </x:c>
      <x:c r="H3278" s="85" t="str">
        <x:v>Diagnóstico e execução</x:v>
      </x:c>
    </x:row>
    <x:row r="3279">
      <x:c r="A3279" s="83" t="n">
        <x:v>3278</x:v>
      </x:c>
      <x:c r="B3279" s="84" t="n">
        <x:v>1926</x:v>
      </x:c>
      <x:c r="C3279" s="84" t="n">
        <x:v>8</x:v>
      </x:c>
      <x:c r="D3279" s="89" t="n">
        <x:v>45773</x:v>
      </x:c>
      <x:c r="E3279" s="84" t="n">
        <x:v>5.4</x:v>
      </x:c>
      <x:c r="F3279" s="84" t="str">
        <x:v>Normal</x:v>
      </x:c>
      <x:c r="G3279" s="93" t="n">
        <x:v>251.1</x:v>
      </x:c>
      <x:c r="H3279" s="85" t="str">
        <x:v>Diagnóstico e execução</x:v>
      </x:c>
    </x:row>
    <x:row r="3280">
      <x:c r="A3280" s="83" t="n">
        <x:v>3279</x:v>
      </x:c>
      <x:c r="B3280" s="84" t="n">
        <x:v>1927</x:v>
      </x:c>
      <x:c r="C3280" s="84" t="n">
        <x:v>26</x:v>
      </x:c>
      <x:c r="D3280" s="89" t="n">
        <x:v>45927</x:v>
      </x:c>
      <x:c r="E3280" s="84" t="n">
        <x:v>3</x:v>
      </x:c>
      <x:c r="F3280" s="84" t="str">
        <x:v>Normal</x:v>
      </x:c>
      <x:c r="G3280" s="93" t="n">
        <x:v>117.36</x:v>
      </x:c>
      <x:c r="H3280" s="85" t="str">
        <x:v>Diagnóstico e execução</x:v>
      </x:c>
    </x:row>
    <x:row r="3281">
      <x:c r="A3281" s="83" t="n">
        <x:v>3280</x:v>
      </x:c>
      <x:c r="B3281" s="84" t="n">
        <x:v>1928</x:v>
      </x:c>
      <x:c r="C3281" s="84" t="n">
        <x:v>15</x:v>
      </x:c>
      <x:c r="D3281" s="89" t="n">
        <x:v>45083</x:v>
      </x:c>
      <x:c r="E3281" s="84" t="n">
        <x:v>2.1</x:v>
      </x:c>
      <x:c r="F3281" s="84" t="str">
        <x:v>Normal</x:v>
      </x:c>
      <x:c r="G3281" s="93" t="n">
        <x:v>63.5</x:v>
      </x:c>
      <x:c r="H3281" s="85" t="str">
        <x:v>Diagnóstico e execução</x:v>
      </x:c>
    </x:row>
    <x:row r="3282">
      <x:c r="A3282" s="83" t="n">
        <x:v>3281</x:v>
      </x:c>
      <x:c r="B3282" s="84" t="n">
        <x:v>1928</x:v>
      </x:c>
      <x:c r="C3282" s="84" t="n">
        <x:v>22</x:v>
      </x:c>
      <x:c r="D3282" s="89" t="n">
        <x:v>45083</x:v>
      </x:c>
      <x:c r="E3282" s="84" t="n">
        <x:v>5.7</x:v>
      </x:c>
      <x:c r="F3282" s="84" t="str">
        <x:v>Normal</x:v>
      </x:c>
      <x:c r="G3282" s="93" t="n">
        <x:v>219.22</x:v>
      </x:c>
      <x:c r="H3282" s="85" t="str">
        <x:v>Diagnóstico e execução</x:v>
      </x:c>
    </x:row>
    <x:row r="3283">
      <x:c r="A3283" s="83" t="n">
        <x:v>3282</x:v>
      </x:c>
      <x:c r="B3283" s="84" t="n">
        <x:v>1929</x:v>
      </x:c>
      <x:c r="C3283" s="84" t="n">
        <x:v>12</x:v>
      </x:c>
      <x:c r="D3283" s="89" t="n">
        <x:v>45048</x:v>
      </x:c>
      <x:c r="E3283" s="84" t="n">
        <x:v>6.4</x:v>
      </x:c>
      <x:c r="F3283" s="84" t="str">
        <x:v>Normal</x:v>
      </x:c>
      <x:c r="G3283" s="93" t="n">
        <x:v>220.8</x:v>
      </x:c>
      <x:c r="H3283" s="85" t="str">
        <x:v>Diagnóstico e execução</x:v>
      </x:c>
    </x:row>
    <x:row r="3284">
      <x:c r="A3284" s="83" t="n">
        <x:v>3283</x:v>
      </x:c>
      <x:c r="B3284" s="84" t="n">
        <x:v>1930</x:v>
      </x:c>
      <x:c r="C3284" s="84" t="n">
        <x:v>40</x:v>
      </x:c>
      <x:c r="D3284" s="89" t="n">
        <x:v>45218</x:v>
      </x:c>
      <x:c r="E3284" s="84" t="n">
        <x:v>3.3</x:v>
      </x:c>
      <x:c r="F3284" s="84" t="str">
        <x:v>Normal</x:v>
      </x:c>
      <x:c r="G3284" s="93" t="n">
        <x:v>163.09</x:v>
      </x:c>
      <x:c r="H3284" s="85" t="str">
        <x:v>Diagnóstico e execução</x:v>
      </x:c>
    </x:row>
    <x:row r="3285">
      <x:c r="A3285" s="83" t="n">
        <x:v>3284</x:v>
      </x:c>
      <x:c r="B3285" s="84" t="n">
        <x:v>1931</x:v>
      </x:c>
      <x:c r="C3285" s="84" t="n">
        <x:v>45</x:v>
      </x:c>
      <x:c r="D3285" s="89" t="n">
        <x:v>45135</x:v>
      </x:c>
      <x:c r="E3285" s="84" t="n">
        <x:v>6.2</x:v>
      </x:c>
      <x:c r="F3285" s="84" t="str">
        <x:v>Normal</x:v>
      </x:c>
      <x:c r="G3285" s="93" t="n">
        <x:v>332.13</x:v>
      </x:c>
      <x:c r="H3285" s="85" t="str">
        <x:v>Diagnóstico e execução</x:v>
      </x:c>
    </x:row>
    <x:row r="3286">
      <x:c r="A3286" s="83" t="n">
        <x:v>3285</x:v>
      </x:c>
      <x:c r="B3286" s="84" t="n">
        <x:v>1932</x:v>
      </x:c>
      <x:c r="C3286" s="84" t="n">
        <x:v>9</x:v>
      </x:c>
      <x:c r="D3286" s="89" t="n">
        <x:v>45770</x:v>
      </x:c>
      <x:c r="E3286" s="84" t="n">
        <x:v>4.1</x:v>
      </x:c>
      <x:c r="F3286" s="84" t="str">
        <x:v>Normal</x:v>
      </x:c>
      <x:c r="G3286" s="93" t="n">
        <x:v>215.95</x:v>
      </x:c>
      <x:c r="H3286" s="85" t="str">
        <x:v>Diagnóstico e execução</x:v>
      </x:c>
    </x:row>
    <x:row r="3287">
      <x:c r="A3287" s="83" t="n">
        <x:v>3286</x:v>
      </x:c>
      <x:c r="B3287" s="84" t="n">
        <x:v>1932</x:v>
      </x:c>
      <x:c r="C3287" s="84" t="n">
        <x:v>3</x:v>
      </x:c>
      <x:c r="D3287" s="89" t="n">
        <x:v>45770</x:v>
      </x:c>
      <x:c r="E3287" s="84" t="n">
        <x:v>5.3</x:v>
      </x:c>
      <x:c r="F3287" s="84" t="str">
        <x:v>Normal</x:v>
      </x:c>
      <x:c r="G3287" s="93" t="n">
        <x:v>260.97</x:v>
      </x:c>
      <x:c r="H3287" s="85" t="str">
        <x:v>Diagnóstico e execução</x:v>
      </x:c>
    </x:row>
    <x:row r="3288">
      <x:c r="A3288" s="83" t="n">
        <x:v>3287</x:v>
      </x:c>
      <x:c r="B3288" s="84" t="n">
        <x:v>1932</x:v>
      </x:c>
      <x:c r="C3288" s="84" t="n">
        <x:v>10</x:v>
      </x:c>
      <x:c r="D3288" s="89" t="n">
        <x:v>45770</x:v>
      </x:c>
      <x:c r="E3288" s="84" t="n">
        <x:v>7</x:v>
      </x:c>
      <x:c r="F3288" s="84" t="str">
        <x:v>Normal</x:v>
      </x:c>
      <x:c r="G3288" s="93" t="n">
        <x:v>207.83</x:v>
      </x:c>
      <x:c r="H3288" s="85" t="str">
        <x:v>Diagnóstico e execução</x:v>
      </x:c>
    </x:row>
    <x:row r="3289">
      <x:c r="A3289" s="83" t="n">
        <x:v>3288</x:v>
      </x:c>
      <x:c r="B3289" s="84" t="n">
        <x:v>1933</x:v>
      </x:c>
      <x:c r="C3289" s="84" t="n">
        <x:v>20</x:v>
      </x:c>
      <x:c r="D3289" s="89" t="n">
        <x:v>45394</x:v>
      </x:c>
      <x:c r="E3289" s="84" t="n">
        <x:v>5.6</x:v>
      </x:c>
      <x:c r="F3289" s="84" t="str">
        <x:v>Normal</x:v>
      </x:c>
      <x:c r="G3289" s="93" t="n">
        <x:v>187.71</x:v>
      </x:c>
      <x:c r="H3289" s="85" t="str">
        <x:v>Diagnóstico e execução</x:v>
      </x:c>
    </x:row>
    <x:row r="3290">
      <x:c r="A3290" s="83" t="n">
        <x:v>3289</x:v>
      </x:c>
      <x:c r="B3290" s="84" t="n">
        <x:v>1934</x:v>
      </x:c>
      <x:c r="C3290" s="84" t="n">
        <x:v>32</x:v>
      </x:c>
      <x:c r="D3290" s="89" t="n">
        <x:v>45395</x:v>
      </x:c>
      <x:c r="E3290" s="84" t="n">
        <x:v>0.9</x:v>
      </x:c>
      <x:c r="F3290" s="84" t="str">
        <x:v>Normal</x:v>
      </x:c>
      <x:c r="G3290" s="93" t="n">
        <x:v>39.28</x:v>
      </x:c>
      <x:c r="H3290" s="85" t="str">
        <x:v>Diagnóstico e execução</x:v>
      </x:c>
    </x:row>
    <x:row r="3291">
      <x:c r="A3291" s="83" t="n">
        <x:v>3290</x:v>
      </x:c>
      <x:c r="B3291" s="84" t="n">
        <x:v>1934</x:v>
      </x:c>
      <x:c r="C3291" s="84" t="n">
        <x:v>26</x:v>
      </x:c>
      <x:c r="D3291" s="89" t="n">
        <x:v>45395</x:v>
      </x:c>
      <x:c r="E3291" s="84" t="n">
        <x:v>6.5</x:v>
      </x:c>
      <x:c r="F3291" s="84" t="str">
        <x:v>Normal</x:v>
      </x:c>
      <x:c r="G3291" s="93" t="n">
        <x:v>254.28</x:v>
      </x:c>
      <x:c r="H3291" s="85" t="str">
        <x:v>Diagnóstico e execução</x:v>
      </x:c>
    </x:row>
    <x:row r="3292">
      <x:c r="A3292" s="83" t="n">
        <x:v>3291</x:v>
      </x:c>
      <x:c r="B3292" s="84" t="n">
        <x:v>1934</x:v>
      </x:c>
      <x:c r="C3292" s="84" t="n">
        <x:v>22</x:v>
      </x:c>
      <x:c r="D3292" s="89" t="n">
        <x:v>45395</x:v>
      </x:c>
      <x:c r="E3292" s="84" t="n">
        <x:v>6.7</x:v>
      </x:c>
      <x:c r="F3292" s="84" t="str">
        <x:v>Normal</x:v>
      </x:c>
      <x:c r="G3292" s="93" t="n">
        <x:v>257.68</x:v>
      </x:c>
      <x:c r="H3292" s="85" t="str">
        <x:v>Diagnóstico e execução</x:v>
      </x:c>
    </x:row>
    <x:row r="3293">
      <x:c r="A3293" s="83" t="n">
        <x:v>3292</x:v>
      </x:c>
      <x:c r="B3293" s="84" t="n">
        <x:v>1935</x:v>
      </x:c>
      <x:c r="C3293" s="84" t="n">
        <x:v>8</x:v>
      </x:c>
      <x:c r="D3293" s="89" t="n">
        <x:v>45345</x:v>
      </x:c>
      <x:c r="E3293" s="84" t="n">
        <x:v>7.7</x:v>
      </x:c>
      <x:c r="F3293" s="84" t="str">
        <x:v>Normal</x:v>
      </x:c>
      <x:c r="G3293" s="93" t="n">
        <x:v>358.05</x:v>
      </x:c>
      <x:c r="H3293" s="85" t="str">
        <x:v>Diagnóstico e execução</x:v>
      </x:c>
    </x:row>
    <x:row r="3294">
      <x:c r="A3294" s="83" t="n">
        <x:v>3293</x:v>
      </x:c>
      <x:c r="B3294" s="84" t="n">
        <x:v>1935</x:v>
      </x:c>
      <x:c r="C3294" s="84" t="n">
        <x:v>30</x:v>
      </x:c>
      <x:c r="D3294" s="89" t="n">
        <x:v>45345</x:v>
      </x:c>
      <x:c r="E3294" s="84" t="n">
        <x:v>4.1</x:v>
      </x:c>
      <x:c r="F3294" s="84" t="str">
        <x:v>Normal</x:v>
      </x:c>
      <x:c r="G3294" s="93" t="n">
        <x:v>169.78</x:v>
      </x:c>
      <x:c r="H3294" s="85" t="str">
        <x:v>Diagnóstico e execução</x:v>
      </x:c>
    </x:row>
    <x:row r="3295">
      <x:c r="A3295" s="83" t="n">
        <x:v>3294</x:v>
      </x:c>
      <x:c r="B3295" s="84" t="n">
        <x:v>1935</x:v>
      </x:c>
      <x:c r="C3295" s="84" t="n">
        <x:v>22</x:v>
      </x:c>
      <x:c r="D3295" s="89" t="n">
        <x:v>45345</x:v>
      </x:c>
      <x:c r="E3295" s="84" t="n">
        <x:v>4.7</x:v>
      </x:c>
      <x:c r="F3295" s="84" t="str">
        <x:v>Normal</x:v>
      </x:c>
      <x:c r="G3295" s="93" t="n">
        <x:v>180.76</x:v>
      </x:c>
      <x:c r="H3295" s="85" t="str">
        <x:v>Diagnóstico e execução</x:v>
      </x:c>
    </x:row>
    <x:row r="3296">
      <x:c r="A3296" s="83" t="n">
        <x:v>3295</x:v>
      </x:c>
      <x:c r="B3296" s="84" t="n">
        <x:v>1936</x:v>
      </x:c>
      <x:c r="C3296" s="84" t="n">
        <x:v>38</x:v>
      </x:c>
      <x:c r="D3296" s="89" t="n">
        <x:v>45731</x:v>
      </x:c>
      <x:c r="E3296" s="84" t="n">
        <x:v>5</x:v>
      </x:c>
      <x:c r="F3296" s="84" t="str">
        <x:v>Normal</x:v>
      </x:c>
      <x:c r="G3296" s="93" t="n">
        <x:v>168.35</x:v>
      </x:c>
      <x:c r="H3296" s="85" t="str">
        <x:v>Diagnóstico e execução</x:v>
      </x:c>
    </x:row>
    <x:row r="3297">
      <x:c r="A3297" s="83" t="n">
        <x:v>3296</x:v>
      </x:c>
      <x:c r="B3297" s="84" t="n">
        <x:v>1937</x:v>
      </x:c>
      <x:c r="C3297" s="84" t="n">
        <x:v>27</x:v>
      </x:c>
      <x:c r="D3297" s="89" t="n">
        <x:v>45222</x:v>
      </x:c>
      <x:c r="E3297" s="84" t="n">
        <x:v>3.9</x:v>
      </x:c>
      <x:c r="F3297" s="84" t="str">
        <x:v>Normal</x:v>
      </x:c>
      <x:c r="G3297" s="93" t="n">
        <x:v>237.86</x:v>
      </x:c>
      <x:c r="H3297" s="85" t="str">
        <x:v>Diagnóstico e execução</x:v>
      </x:c>
    </x:row>
    <x:row r="3298">
      <x:c r="A3298" s="83" t="n">
        <x:v>3297</x:v>
      </x:c>
      <x:c r="B3298" s="84" t="n">
        <x:v>1937</x:v>
      </x:c>
      <x:c r="C3298" s="84" t="n">
        <x:v>8</x:v>
      </x:c>
      <x:c r="D3298" s="89" t="n">
        <x:v>45222</x:v>
      </x:c>
      <x:c r="E3298" s="84" t="n">
        <x:v>6.4</x:v>
      </x:c>
      <x:c r="F3298" s="84" t="str">
        <x:v>Normal</x:v>
      </x:c>
      <x:c r="G3298" s="93" t="n">
        <x:v>297.6</x:v>
      </x:c>
      <x:c r="H3298" s="85" t="str">
        <x:v>Diagnóstico e execução</x:v>
      </x:c>
    </x:row>
    <x:row r="3299">
      <x:c r="A3299" s="83" t="n">
        <x:v>3298</x:v>
      </x:c>
      <x:c r="B3299" s="84" t="n">
        <x:v>1937</x:v>
      </x:c>
      <x:c r="C3299" s="84" t="n">
        <x:v>16</x:v>
      </x:c>
      <x:c r="D3299" s="89" t="n">
        <x:v>45222</x:v>
      </x:c>
      <x:c r="E3299" s="84" t="n">
        <x:v>3</x:v>
      </x:c>
      <x:c r="F3299" s="84" t="str">
        <x:v>Normal</x:v>
      </x:c>
      <x:c r="G3299" s="93" t="n">
        <x:v>121.56</x:v>
      </x:c>
      <x:c r="H3299" s="85" t="str">
        <x:v>Diagnóstico e execução</x:v>
      </x:c>
    </x:row>
    <x:row r="3300">
      <x:c r="A3300" s="83" t="n">
        <x:v>3299</x:v>
      </x:c>
      <x:c r="B3300" s="84" t="n">
        <x:v>1938</x:v>
      </x:c>
      <x:c r="C3300" s="84" t="n">
        <x:v>7</x:v>
      </x:c>
      <x:c r="D3300" s="89" t="n">
        <x:v>45846</x:v>
      </x:c>
      <x:c r="E3300" s="84" t="n">
        <x:v>2.5</x:v>
      </x:c>
      <x:c r="F3300" s="84" t="str">
        <x:v>Normal</x:v>
      </x:c>
      <x:c r="G3300" s="93" t="n">
        <x:v>145.53</x:v>
      </x:c>
      <x:c r="H3300" s="85" t="str">
        <x:v>Diagnóstico e execução</x:v>
      </x:c>
    </x:row>
    <x:row r="3301">
      <x:c r="A3301" s="83" t="n">
        <x:v>3300</x:v>
      </x:c>
      <x:c r="B3301" s="84" t="n">
        <x:v>1938</x:v>
      </x:c>
      <x:c r="C3301" s="84" t="n">
        <x:v>15</x:v>
      </x:c>
      <x:c r="D3301" s="89" t="n">
        <x:v>45846</x:v>
      </x:c>
      <x:c r="E3301" s="84" t="n">
        <x:v>6.3</x:v>
      </x:c>
      <x:c r="F3301" s="84" t="str">
        <x:v>Normal</x:v>
      </x:c>
      <x:c r="G3301" s="93" t="n">
        <x:v>190.51</x:v>
      </x:c>
      <x:c r="H3301" s="85" t="str">
        <x:v>Diagnóstico e execução</x:v>
      </x:c>
    </x:row>
    <x:row r="3302">
      <x:c r="A3302" s="83" t="n">
        <x:v>3301</x:v>
      </x:c>
      <x:c r="B3302" s="84" t="n">
        <x:v>1938</x:v>
      </x:c>
      <x:c r="C3302" s="84" t="n">
        <x:v>35</x:v>
      </x:c>
      <x:c r="D3302" s="89" t="n">
        <x:v>45846</x:v>
      </x:c>
      <x:c r="E3302" s="84" t="n">
        <x:v>3.4</x:v>
      </x:c>
      <x:c r="F3302" s="84" t="str">
        <x:v>Normal</x:v>
      </x:c>
      <x:c r="G3302" s="93" t="n">
        <x:v>167.25</x:v>
      </x:c>
      <x:c r="H3302" s="85" t="str">
        <x:v>Diagnóstico e execução</x:v>
      </x:c>
    </x:row>
    <x:row r="3303">
      <x:c r="A3303" s="83" t="n">
        <x:v>3302</x:v>
      </x:c>
      <x:c r="B3303" s="84" t="n">
        <x:v>1939</x:v>
      </x:c>
      <x:c r="C3303" s="84" t="n">
        <x:v>14</x:v>
      </x:c>
      <x:c r="D3303" s="89" t="n">
        <x:v>45814</x:v>
      </x:c>
      <x:c r="E3303" s="84" t="n">
        <x:v>3.4</x:v>
      </x:c>
      <x:c r="F3303" s="84" t="str">
        <x:v>Normal</x:v>
      </x:c>
      <x:c r="G3303" s="93" t="n">
        <x:v>192.64</x:v>
      </x:c>
      <x:c r="H3303" s="85" t="str">
        <x:v>Diagnóstico e execução</x:v>
      </x:c>
    </x:row>
    <x:row r="3304">
      <x:c r="A3304" s="83" t="n">
        <x:v>3303</x:v>
      </x:c>
      <x:c r="B3304" s="84" t="n">
        <x:v>1939</x:v>
      </x:c>
      <x:c r="C3304" s="84" t="n">
        <x:v>41</x:v>
      </x:c>
      <x:c r="D3304" s="89" t="n">
        <x:v>45814</x:v>
      </x:c>
      <x:c r="E3304" s="84" t="n">
        <x:v>2.2</x:v>
      </x:c>
      <x:c r="F3304" s="84" t="str">
        <x:v>Normal</x:v>
      </x:c>
      <x:c r="G3304" s="93" t="n">
        <x:v>111.28</x:v>
      </x:c>
      <x:c r="H3304" s="85" t="str">
        <x:v>Diagnóstico e execução</x:v>
      </x:c>
    </x:row>
    <x:row r="3305">
      <x:c r="A3305" s="83" t="n">
        <x:v>3304</x:v>
      </x:c>
      <x:c r="B3305" s="84" t="n">
        <x:v>1939</x:v>
      </x:c>
      <x:c r="C3305" s="84" t="n">
        <x:v>4</x:v>
      </x:c>
      <x:c r="D3305" s="89" t="n">
        <x:v>45814</x:v>
      </x:c>
      <x:c r="E3305" s="84" t="n">
        <x:v>7.9</x:v>
      </x:c>
      <x:c r="F3305" s="84" t="str">
        <x:v>Normal</x:v>
      </x:c>
      <x:c r="G3305" s="93" t="n">
        <x:v>388.6</x:v>
      </x:c>
      <x:c r="H3305" s="85" t="str">
        <x:v>Diagnóstico e execução</x:v>
      </x:c>
    </x:row>
    <x:row r="3306">
      <x:c r="A3306" s="83" t="n">
        <x:v>3305</x:v>
      </x:c>
      <x:c r="B3306" s="84" t="n">
        <x:v>1940</x:v>
      </x:c>
      <x:c r="C3306" s="84" t="n">
        <x:v>5</x:v>
      </x:c>
      <x:c r="D3306" s="89" t="n">
        <x:v>45449</x:v>
      </x:c>
      <x:c r="E3306" s="84" t="n">
        <x:v>2.4</x:v>
      </x:c>
      <x:c r="F3306" s="84" t="str">
        <x:v>Normal</x:v>
      </x:c>
      <x:c r="G3306" s="93" t="n">
        <x:v>69.17</x:v>
      </x:c>
      <x:c r="H3306" s="85" t="str">
        <x:v>Diagnóstico e execução</x:v>
      </x:c>
    </x:row>
    <x:row r="3307">
      <x:c r="A3307" s="83" t="n">
        <x:v>3306</x:v>
      </x:c>
      <x:c r="B3307" s="84" t="n">
        <x:v>1941</x:v>
      </x:c>
      <x:c r="C3307" s="84" t="n">
        <x:v>25</x:v>
      </x:c>
      <x:c r="D3307" s="89" t="n">
        <x:v>45921</x:v>
      </x:c>
      <x:c r="E3307" s="84" t="n">
        <x:v>4.8</x:v>
      </x:c>
      <x:c r="F3307" s="84" t="str">
        <x:v>Normal</x:v>
      </x:c>
      <x:c r="G3307" s="93" t="n">
        <x:v>257.23</x:v>
      </x:c>
      <x:c r="H3307" s="85" t="str">
        <x:v>Diagnóstico e execução</x:v>
      </x:c>
    </x:row>
    <x:row r="3308">
      <x:c r="A3308" s="83" t="n">
        <x:v>3307</x:v>
      </x:c>
      <x:c r="B3308" s="84" t="n">
        <x:v>1942</x:v>
      </x:c>
      <x:c r="C3308" s="84" t="n">
        <x:v>45</x:v>
      </x:c>
      <x:c r="D3308" s="89" t="n">
        <x:v>45286</x:v>
      </x:c>
      <x:c r="E3308" s="84" t="n">
        <x:v>5</x:v>
      </x:c>
      <x:c r="F3308" s="84" t="str">
        <x:v>Normal</x:v>
      </x:c>
      <x:c r="G3308" s="93" t="n">
        <x:v>267.85</x:v>
      </x:c>
      <x:c r="H3308" s="85" t="str">
        <x:v>Diagnóstico e execução</x:v>
      </x:c>
    </x:row>
    <x:row r="3309">
      <x:c r="A3309" s="83" t="n">
        <x:v>3308</x:v>
      </x:c>
      <x:c r="B3309" s="84" t="n">
        <x:v>1942</x:v>
      </x:c>
      <x:c r="C3309" s="84" t="n">
        <x:v>28</x:v>
      </x:c>
      <x:c r="D3309" s="89" t="n">
        <x:v>45286</x:v>
      </x:c>
      <x:c r="E3309" s="84" t="n">
        <x:v>3.7</x:v>
      </x:c>
      <x:c r="F3309" s="84" t="str">
        <x:v>Normal</x:v>
      </x:c>
      <x:c r="G3309" s="93" t="n">
        <x:v>139.19</x:v>
      </x:c>
      <x:c r="H3309" s="85" t="str">
        <x:v>Diagnóstico e execução</x:v>
      </x:c>
    </x:row>
    <x:row r="3310">
      <x:c r="A3310" s="83" t="n">
        <x:v>3309</x:v>
      </x:c>
      <x:c r="B3310" s="84" t="n">
        <x:v>1942</x:v>
      </x:c>
      <x:c r="C3310" s="84" t="n">
        <x:v>5</x:v>
      </x:c>
      <x:c r="D3310" s="89" t="n">
        <x:v>45286</x:v>
      </x:c>
      <x:c r="E3310" s="84" t="n">
        <x:v>3.1</x:v>
      </x:c>
      <x:c r="F3310" s="84" t="str">
        <x:v>Normal</x:v>
      </x:c>
      <x:c r="G3310" s="93" t="n">
        <x:v>89.34</x:v>
      </x:c>
      <x:c r="H3310" s="85" t="str">
        <x:v>Diagnóstico e execução</x:v>
      </x:c>
    </x:row>
    <x:row r="3311">
      <x:c r="A3311" s="83" t="n">
        <x:v>3310</x:v>
      </x:c>
      <x:c r="B3311" s="84" t="n">
        <x:v>1943</x:v>
      </x:c>
      <x:c r="C3311" s="84" t="n">
        <x:v>15</x:v>
      </x:c>
      <x:c r="D3311" s="89" t="n">
        <x:v>45399</x:v>
      </x:c>
      <x:c r="E3311" s="84" t="n">
        <x:v>4</x:v>
      </x:c>
      <x:c r="F3311" s="84" t="str">
        <x:v>Normal</x:v>
      </x:c>
      <x:c r="G3311" s="93" t="n">
        <x:v>120.96</x:v>
      </x:c>
      <x:c r="H3311" s="85" t="str">
        <x:v>Diagnóstico e execução</x:v>
      </x:c>
    </x:row>
    <x:row r="3312">
      <x:c r="A3312" s="83" t="n">
        <x:v>3311</x:v>
      </x:c>
      <x:c r="B3312" s="84" t="n">
        <x:v>1944</x:v>
      </x:c>
      <x:c r="C3312" s="84" t="n">
        <x:v>21</x:v>
      </x:c>
      <x:c r="D3312" s="89" t="n">
        <x:v>45454</x:v>
      </x:c>
      <x:c r="E3312" s="84" t="n">
        <x:v>7.6</x:v>
      </x:c>
      <x:c r="F3312" s="84" t="str">
        <x:v>Normal</x:v>
      </x:c>
      <x:c r="G3312" s="93" t="n">
        <x:v>466.87</x:v>
      </x:c>
      <x:c r="H3312" s="85" t="str">
        <x:v>Diagnóstico e execução</x:v>
      </x:c>
    </x:row>
    <x:row r="3313">
      <x:c r="A3313" s="83" t="n">
        <x:v>3312</x:v>
      </x:c>
      <x:c r="B3313" s="84" t="n">
        <x:v>1944</x:v>
      </x:c>
      <x:c r="C3313" s="84" t="n">
        <x:v>36</x:v>
      </x:c>
      <x:c r="D3313" s="89" t="n">
        <x:v>45454</x:v>
      </x:c>
      <x:c r="E3313" s="84" t="n">
        <x:v>2</x:v>
      </x:c>
      <x:c r="F3313" s="84" t="str">
        <x:v>Normal</x:v>
      </x:c>
      <x:c r="G3313" s="93" t="n">
        <x:v>59.32</x:v>
      </x:c>
      <x:c r="H3313" s="85" t="str">
        <x:v>Diagnóstico e execução</x:v>
      </x:c>
    </x:row>
    <x:row r="3314">
      <x:c r="A3314" s="83" t="n">
        <x:v>3313</x:v>
      </x:c>
      <x:c r="B3314" s="84" t="n">
        <x:v>1945</x:v>
      </x:c>
      <x:c r="C3314" s="84" t="n">
        <x:v>6</x:v>
      </x:c>
      <x:c r="D3314" s="89" t="n">
        <x:v>45496</x:v>
      </x:c>
      <x:c r="E3314" s="84" t="n">
        <x:v>4.3</x:v>
      </x:c>
      <x:c r="F3314" s="84" t="str">
        <x:v>Normal</x:v>
      </x:c>
      <x:c r="G3314" s="93" t="n">
        <x:v>224.72</x:v>
      </x:c>
      <x:c r="H3314" s="85" t="str">
        <x:v>Diagnóstico e execução</x:v>
      </x:c>
    </x:row>
    <x:row r="3315">
      <x:c r="A3315" s="83" t="n">
        <x:v>3314</x:v>
      </x:c>
      <x:c r="B3315" s="84" t="n">
        <x:v>1946</x:v>
      </x:c>
      <x:c r="C3315" s="84" t="n">
        <x:v>15</x:v>
      </x:c>
      <x:c r="D3315" s="89" t="n">
        <x:v>45689</x:v>
      </x:c>
      <x:c r="E3315" s="84" t="n">
        <x:v>6.6</x:v>
      </x:c>
      <x:c r="F3315" s="84" t="str">
        <x:v>Normal</x:v>
      </x:c>
      <x:c r="G3315" s="93" t="n">
        <x:v>199.58</x:v>
      </x:c>
      <x:c r="H3315" s="85" t="str">
        <x:v>Diagnóstico e execução</x:v>
      </x:c>
    </x:row>
    <x:row r="3316">
      <x:c r="A3316" s="83" t="n">
        <x:v>3315</x:v>
      </x:c>
      <x:c r="B3316" s="84" t="n">
        <x:v>1947</x:v>
      </x:c>
      <x:c r="C3316" s="84" t="n">
        <x:v>14</x:v>
      </x:c>
      <x:c r="D3316" s="89" t="n">
        <x:v>45804</x:v>
      </x:c>
      <x:c r="E3316" s="84" t="n">
        <x:v>5.5</x:v>
      </x:c>
      <x:c r="F3316" s="84" t="str">
        <x:v>Normal</x:v>
      </x:c>
      <x:c r="G3316" s="93" t="n">
        <x:v>311.63</x:v>
      </x:c>
      <x:c r="H3316" s="85" t="str">
        <x:v>Diagnóstico e execução</x:v>
      </x:c>
    </x:row>
    <x:row r="3317">
      <x:c r="A3317" s="83" t="n">
        <x:v>3316</x:v>
      </x:c>
      <x:c r="B3317" s="84" t="n">
        <x:v>1947</x:v>
      </x:c>
      <x:c r="C3317" s="84" t="n">
        <x:v>28</x:v>
      </x:c>
      <x:c r="D3317" s="89" t="n">
        <x:v>45804</x:v>
      </x:c>
      <x:c r="E3317" s="84" t="n">
        <x:v>5.3</x:v>
      </x:c>
      <x:c r="F3317" s="84" t="str">
        <x:v>Normal</x:v>
      </x:c>
      <x:c r="G3317" s="93" t="n">
        <x:v>199.39</x:v>
      </x:c>
      <x:c r="H3317" s="85" t="str">
        <x:v>Diagnóstico e execução</x:v>
      </x:c>
    </x:row>
    <x:row r="3318">
      <x:c r="A3318" s="83" t="n">
        <x:v>3317</x:v>
      </x:c>
      <x:c r="B3318" s="84" t="n">
        <x:v>1947</x:v>
      </x:c>
      <x:c r="C3318" s="84" t="n">
        <x:v>30</x:v>
      </x:c>
      <x:c r="D3318" s="89" t="n">
        <x:v>45804</x:v>
      </x:c>
      <x:c r="E3318" s="84" t="n">
        <x:v>6.7</x:v>
      </x:c>
      <x:c r="F3318" s="84" t="str">
        <x:v>Normal</x:v>
      </x:c>
      <x:c r="G3318" s="93" t="n">
        <x:v>277.45</x:v>
      </x:c>
      <x:c r="H3318" s="85" t="str">
        <x:v>Diagnóstico e execução</x:v>
      </x:c>
    </x:row>
    <x:row r="3319">
      <x:c r="A3319" s="83" t="n">
        <x:v>3318</x:v>
      </x:c>
      <x:c r="B3319" s="84" t="n">
        <x:v>1948</x:v>
      </x:c>
      <x:c r="C3319" s="84" t="n">
        <x:v>15</x:v>
      </x:c>
      <x:c r="D3319" s="89" t="n">
        <x:v>45975</x:v>
      </x:c>
      <x:c r="E3319" s="84" t="n">
        <x:v>7</x:v>
      </x:c>
      <x:c r="F3319" s="84" t="str">
        <x:v>Normal</x:v>
      </x:c>
      <x:c r="G3319" s="93" t="n">
        <x:v>211.68</x:v>
      </x:c>
      <x:c r="H3319" s="85" t="str">
        <x:v>Diagnóstico e execução</x:v>
      </x:c>
    </x:row>
    <x:row r="3320">
      <x:c r="A3320" s="83" t="n">
        <x:v>3319</x:v>
      </x:c>
      <x:c r="B3320" s="84" t="n">
        <x:v>1948</x:v>
      </x:c>
      <x:c r="C3320" s="84" t="n">
        <x:v>28</x:v>
      </x:c>
      <x:c r="D3320" s="89" t="n">
        <x:v>45975</x:v>
      </x:c>
      <x:c r="E3320" s="84" t="n">
        <x:v>3.7</x:v>
      </x:c>
      <x:c r="F3320" s="84" t="str">
        <x:v>Normal</x:v>
      </x:c>
      <x:c r="G3320" s="93" t="n">
        <x:v>139.19</x:v>
      </x:c>
      <x:c r="H3320" s="85" t="str">
        <x:v>Diagnóstico e execução</x:v>
      </x:c>
    </x:row>
    <x:row r="3321">
      <x:c r="A3321" s="83" t="n">
        <x:v>3320</x:v>
      </x:c>
      <x:c r="B3321" s="84" t="n">
        <x:v>1948</x:v>
      </x:c>
      <x:c r="C3321" s="84" t="n">
        <x:v>6</x:v>
      </x:c>
      <x:c r="D3321" s="89" t="n">
        <x:v>45975</x:v>
      </x:c>
      <x:c r="E3321" s="84" t="n">
        <x:v>1.9</x:v>
      </x:c>
      <x:c r="F3321" s="84" t="str">
        <x:v>Normal</x:v>
      </x:c>
      <x:c r="G3321" s="93" t="n">
        <x:v>99.29</x:v>
      </x:c>
      <x:c r="H3321" s="85" t="str">
        <x:v>Diagnóstico e execução</x:v>
      </x:c>
    </x:row>
    <x:row r="3322">
      <x:c r="A3322" s="83" t="n">
        <x:v>3321</x:v>
      </x:c>
      <x:c r="B3322" s="84" t="n">
        <x:v>1949</x:v>
      </x:c>
      <x:c r="C3322" s="84" t="n">
        <x:v>12</x:v>
      </x:c>
      <x:c r="D3322" s="89" t="n">
        <x:v>45276</x:v>
      </x:c>
      <x:c r="E3322" s="84" t="n">
        <x:v>5.6</x:v>
      </x:c>
      <x:c r="F3322" s="84" t="str">
        <x:v>Normal</x:v>
      </x:c>
      <x:c r="G3322" s="93" t="n">
        <x:v>193.2</x:v>
      </x:c>
      <x:c r="H3322" s="85" t="str">
        <x:v>Diagnóstico e execução</x:v>
      </x:c>
    </x:row>
    <x:row r="3323">
      <x:c r="A3323" s="83" t="n">
        <x:v>3322</x:v>
      </x:c>
      <x:c r="B3323" s="84" t="n">
        <x:v>1949</x:v>
      </x:c>
      <x:c r="C3323" s="84" t="n">
        <x:v>27</x:v>
      </x:c>
      <x:c r="D3323" s="89" t="n">
        <x:v>45276</x:v>
      </x:c>
      <x:c r="E3323" s="84" t="n">
        <x:v>6.1</x:v>
      </x:c>
      <x:c r="F3323" s="84" t="str">
        <x:v>Normal</x:v>
      </x:c>
      <x:c r="G3323" s="93" t="n">
        <x:v>372.04</x:v>
      </x:c>
      <x:c r="H3323" s="85" t="str">
        <x:v>Diagnóstico e execução</x:v>
      </x:c>
    </x:row>
    <x:row r="3324">
      <x:c r="A3324" s="83" t="n">
        <x:v>3323</x:v>
      </x:c>
      <x:c r="B3324" s="84" t="n">
        <x:v>1950</x:v>
      </x:c>
      <x:c r="C3324" s="84" t="n">
        <x:v>11</x:v>
      </x:c>
      <x:c r="D3324" s="89" t="n">
        <x:v>45370</x:v>
      </x:c>
      <x:c r="E3324" s="84" t="n">
        <x:v>6.7</x:v>
      </x:c>
      <x:c r="F3324" s="84" t="str">
        <x:v>Normal</x:v>
      </x:c>
      <x:c r="G3324" s="93" t="n">
        <x:v>279.26</x:v>
      </x:c>
      <x:c r="H3324" s="85" t="str">
        <x:v>Diagnóstico e execução</x:v>
      </x:c>
    </x:row>
    <x:row r="3325">
      <x:c r="A3325" s="83" t="n">
        <x:v>3324</x:v>
      </x:c>
      <x:c r="B3325" s="84" t="n">
        <x:v>1950</x:v>
      </x:c>
      <x:c r="C3325" s="84" t="n">
        <x:v>27</x:v>
      </x:c>
      <x:c r="D3325" s="89" t="n">
        <x:v>45370</x:v>
      </x:c>
      <x:c r="E3325" s="84" t="n">
        <x:v>5.2</x:v>
      </x:c>
      <x:c r="F3325" s="84" t="str">
        <x:v>Normal</x:v>
      </x:c>
      <x:c r="G3325" s="93" t="n">
        <x:v>317.15</x:v>
      </x:c>
      <x:c r="H3325" s="85" t="str">
        <x:v>Diagnóstico e execução</x:v>
      </x:c>
    </x:row>
    <x:row r="3326">
      <x:c r="A3326" s="83" t="n">
        <x:v>3325</x:v>
      </x:c>
      <x:c r="B3326" s="84" t="n">
        <x:v>1950</x:v>
      </x:c>
      <x:c r="C3326" s="84" t="n">
        <x:v>16</x:v>
      </x:c>
      <x:c r="D3326" s="89" t="n">
        <x:v>45370</x:v>
      </x:c>
      <x:c r="E3326" s="84" t="n">
        <x:v>4.3</x:v>
      </x:c>
      <x:c r="F3326" s="84" t="str">
        <x:v>Normal</x:v>
      </x:c>
      <x:c r="G3326" s="93" t="n">
        <x:v>174.24</x:v>
      </x:c>
      <x:c r="H3326" s="85" t="str">
        <x:v>Diagnóstico e execução</x:v>
      </x:c>
    </x:row>
    <x:row r="3327">
      <x:c r="A3327" s="83" t="n">
        <x:v>3326</x:v>
      </x:c>
      <x:c r="B3327" s="84" t="n">
        <x:v>1951</x:v>
      </x:c>
      <x:c r="C3327" s="84" t="n">
        <x:v>29</x:v>
      </x:c>
      <x:c r="D3327" s="89" t="n">
        <x:v>45740</x:v>
      </x:c>
      <x:c r="E3327" s="84" t="n">
        <x:v>3.5</x:v>
      </x:c>
      <x:c r="F3327" s="84" t="str">
        <x:v>Normal</x:v>
      </x:c>
      <x:c r="G3327" s="93" t="n">
        <x:v>173.32</x:v>
      </x:c>
      <x:c r="H3327" s="85" t="str">
        <x:v>Diagnóstico e execução</x:v>
      </x:c>
    </x:row>
    <x:row r="3328">
      <x:c r="A3328" s="83" t="n">
        <x:v>3327</x:v>
      </x:c>
      <x:c r="B3328" s="84" t="n">
        <x:v>1952</x:v>
      </x:c>
      <x:c r="C3328" s="84" t="n">
        <x:v>10</x:v>
      </x:c>
      <x:c r="D3328" s="89" t="n">
        <x:v>45169</x:v>
      </x:c>
      <x:c r="E3328" s="84" t="n">
        <x:v>4.3</x:v>
      </x:c>
      <x:c r="F3328" s="84" t="str">
        <x:v>Normal</x:v>
      </x:c>
      <x:c r="G3328" s="93" t="n">
        <x:v>127.67</x:v>
      </x:c>
      <x:c r="H3328" s="85" t="str">
        <x:v>Diagnóstico e execução</x:v>
      </x:c>
    </x:row>
    <x:row r="3329">
      <x:c r="A3329" s="83" t="n">
        <x:v>3328</x:v>
      </x:c>
      <x:c r="B3329" s="84" t="n">
        <x:v>1952</x:v>
      </x:c>
      <x:c r="C3329" s="84" t="n">
        <x:v>19</x:v>
      </x:c>
      <x:c r="D3329" s="89" t="n">
        <x:v>45169</x:v>
      </x:c>
      <x:c r="E3329" s="84" t="n">
        <x:v>1.8</x:v>
      </x:c>
      <x:c r="F3329" s="84" t="str">
        <x:v>Normal</x:v>
      </x:c>
      <x:c r="G3329" s="93" t="n">
        <x:v>83.66</x:v>
      </x:c>
      <x:c r="H3329" s="85" t="str">
        <x:v>Diagnóstico e execução</x:v>
      </x:c>
    </x:row>
    <x:row r="3330">
      <x:c r="A3330" s="83" t="n">
        <x:v>3329</x:v>
      </x:c>
      <x:c r="B3330" s="84" t="n">
        <x:v>1953</x:v>
      </x:c>
      <x:c r="C3330" s="84" t="n">
        <x:v>36</x:v>
      </x:c>
      <x:c r="D3330" s="89" t="n">
        <x:v>45953</x:v>
      </x:c>
      <x:c r="E3330" s="84" t="n">
        <x:v>1.4</x:v>
      </x:c>
      <x:c r="F3330" s="84" t="str">
        <x:v>Normal</x:v>
      </x:c>
      <x:c r="G3330" s="93" t="n">
        <x:v>41.52</x:v>
      </x:c>
      <x:c r="H3330" s="85" t="str">
        <x:v>Diagnóstico e execução</x:v>
      </x:c>
    </x:row>
    <x:row r="3331">
      <x:c r="A3331" s="83" t="n">
        <x:v>3330</x:v>
      </x:c>
      <x:c r="B3331" s="84" t="n">
        <x:v>1954</x:v>
      </x:c>
      <x:c r="C3331" s="84" t="n">
        <x:v>39</x:v>
      </x:c>
      <x:c r="D3331" s="89" t="n">
        <x:v>45687</x:v>
      </x:c>
      <x:c r="E3331" s="84" t="n">
        <x:v>0.9</x:v>
      </x:c>
      <x:c r="F3331" s="84" t="str">
        <x:v>Normal</x:v>
      </x:c>
      <x:c r="G3331" s="93" t="n">
        <x:v>52.11</x:v>
      </x:c>
      <x:c r="H3331" s="85" t="str">
        <x:v>Diagnóstico e execução</x:v>
      </x:c>
    </x:row>
    <x:row r="3332">
      <x:c r="A3332" s="83" t="n">
        <x:v>3331</x:v>
      </x:c>
      <x:c r="B3332" s="84" t="n">
        <x:v>1954</x:v>
      </x:c>
      <x:c r="C3332" s="84" t="n">
        <x:v>24</x:v>
      </x:c>
      <x:c r="D3332" s="89" t="n">
        <x:v>45687</x:v>
      </x:c>
      <x:c r="E3332" s="84" t="n">
        <x:v>6.4</x:v>
      </x:c>
      <x:c r="F3332" s="84" t="str">
        <x:v>Normal</x:v>
      </x:c>
      <x:c r="G3332" s="93" t="n">
        <x:v>379.14</x:v>
      </x:c>
      <x:c r="H3332" s="85" t="str">
        <x:v>Diagnóstico e execução</x:v>
      </x:c>
    </x:row>
    <x:row r="3333">
      <x:c r="A3333" s="83" t="n">
        <x:v>3332</x:v>
      </x:c>
      <x:c r="B3333" s="84" t="n">
        <x:v>1954</x:v>
      </x:c>
      <x:c r="C3333" s="84" t="n">
        <x:v>11</x:v>
      </x:c>
      <x:c r="D3333" s="89" t="n">
        <x:v>45687</x:v>
      </x:c>
      <x:c r="E3333" s="84" t="n">
        <x:v>7.6</x:v>
      </x:c>
      <x:c r="F3333" s="84" t="str">
        <x:v>Normal</x:v>
      </x:c>
      <x:c r="G3333" s="93" t="n">
        <x:v>316.77</x:v>
      </x:c>
      <x:c r="H3333" s="85" t="str">
        <x:v>Diagnóstico e execução</x:v>
      </x:c>
    </x:row>
    <x:row r="3334">
      <x:c r="A3334" s="83" t="n">
        <x:v>3333</x:v>
      </x:c>
      <x:c r="B3334" s="84" t="n">
        <x:v>1955</x:v>
      </x:c>
      <x:c r="C3334" s="84" t="n">
        <x:v>19</x:v>
      </x:c>
      <x:c r="D3334" s="89" t="n">
        <x:v>45140</x:v>
      </x:c>
      <x:c r="E3334" s="84" t="n">
        <x:v>1.6</x:v>
      </x:c>
      <x:c r="F3334" s="84" t="str">
        <x:v>Normal</x:v>
      </x:c>
      <x:c r="G3334" s="93" t="n">
        <x:v>74.37</x:v>
      </x:c>
      <x:c r="H3334" s="85" t="str">
        <x:v>Diagnóstico e execução</x:v>
      </x:c>
    </x:row>
    <x:row r="3335">
      <x:c r="A3335" s="83" t="n">
        <x:v>3334</x:v>
      </x:c>
      <x:c r="B3335" s="84" t="n">
        <x:v>1956</x:v>
      </x:c>
      <x:c r="C3335" s="84" t="n">
        <x:v>19</x:v>
      </x:c>
      <x:c r="D3335" s="89" t="n">
        <x:v>45089</x:v>
      </x:c>
      <x:c r="E3335" s="84" t="n">
        <x:v>7.8</x:v>
      </x:c>
      <x:c r="F3335" s="84" t="str">
        <x:v>Normal</x:v>
      </x:c>
      <x:c r="G3335" s="93" t="n">
        <x:v>362.54</x:v>
      </x:c>
      <x:c r="H3335" s="85" t="str">
        <x:v>Diagnóstico e execução</x:v>
      </x:c>
    </x:row>
    <x:row r="3336">
      <x:c r="A3336" s="83" t="n">
        <x:v>3335</x:v>
      </x:c>
      <x:c r="B3336" s="84" t="n">
        <x:v>1957</x:v>
      </x:c>
      <x:c r="C3336" s="84" t="n">
        <x:v>28</x:v>
      </x:c>
      <x:c r="D3336" s="89" t="n">
        <x:v>45939</x:v>
      </x:c>
      <x:c r="E3336" s="84" t="n">
        <x:v>6.9</x:v>
      </x:c>
      <x:c r="F3336" s="84" t="str">
        <x:v>Normal</x:v>
      </x:c>
      <x:c r="G3336" s="93" t="n">
        <x:v>259.58</x:v>
      </x:c>
      <x:c r="H3336" s="85" t="str">
        <x:v>Diagnóstico e execução</x:v>
      </x:c>
    </x:row>
    <x:row r="3337">
      <x:c r="A3337" s="83" t="n">
        <x:v>3336</x:v>
      </x:c>
      <x:c r="B3337" s="84" t="n">
        <x:v>1957</x:v>
      </x:c>
      <x:c r="C3337" s="84" t="n">
        <x:v>21</x:v>
      </x:c>
      <x:c r="D3337" s="89" t="n">
        <x:v>45939</x:v>
      </x:c>
      <x:c r="E3337" s="84" t="n">
        <x:v>4.3</x:v>
      </x:c>
      <x:c r="F3337" s="84" t="str">
        <x:v>Normal</x:v>
      </x:c>
      <x:c r="G3337" s="93" t="n">
        <x:v>264.15</x:v>
      </x:c>
      <x:c r="H3337" s="85" t="str">
        <x:v>Diagnóstico e execução</x:v>
      </x:c>
    </x:row>
    <x:row r="3338">
      <x:c r="A3338" s="83" t="n">
        <x:v>3337</x:v>
      </x:c>
      <x:c r="B3338" s="84" t="n">
        <x:v>1958</x:v>
      </x:c>
      <x:c r="C3338" s="84" t="n">
        <x:v>9</x:v>
      </x:c>
      <x:c r="D3338" s="89" t="n">
        <x:v>45615</x:v>
      </x:c>
      <x:c r="E3338" s="84" t="n">
        <x:v>7.6</x:v>
      </x:c>
      <x:c r="F3338" s="84" t="str">
        <x:v>Normal</x:v>
      </x:c>
      <x:c r="G3338" s="93" t="n">
        <x:v>400.29</x:v>
      </x:c>
      <x:c r="H3338" s="85" t="str">
        <x:v>Diagnóstico e execução</x:v>
      </x:c>
    </x:row>
    <x:row r="3339">
      <x:c r="A3339" s="83" t="n">
        <x:v>3338</x:v>
      </x:c>
      <x:c r="B3339" s="84" t="n">
        <x:v>1958</x:v>
      </x:c>
      <x:c r="C3339" s="84" t="n">
        <x:v>37</x:v>
      </x:c>
      <x:c r="D3339" s="89" t="n">
        <x:v>45615</x:v>
      </x:c>
      <x:c r="E3339" s="84" t="n">
        <x:v>5.1</x:v>
      </x:c>
      <x:c r="F3339" s="84" t="str">
        <x:v>Normal</x:v>
      </x:c>
      <x:c r="G3339" s="93" t="n">
        <x:v>300.75</x:v>
      </x:c>
      <x:c r="H3339" s="85" t="str">
        <x:v>Diagnóstico e execução</x:v>
      </x:c>
    </x:row>
    <x:row r="3340">
      <x:c r="A3340" s="83" t="n">
        <x:v>3339</x:v>
      </x:c>
      <x:c r="B3340" s="84" t="n">
        <x:v>1958</x:v>
      </x:c>
      <x:c r="C3340" s="84" t="n">
        <x:v>37</x:v>
      </x:c>
      <x:c r="D3340" s="89" t="n">
        <x:v>45615</x:v>
      </x:c>
      <x:c r="E3340" s="84" t="n">
        <x:v>6.8</x:v>
      </x:c>
      <x:c r="F3340" s="84" t="str">
        <x:v>Normal</x:v>
      </x:c>
      <x:c r="G3340" s="93" t="n">
        <x:v>401</x:v>
      </x:c>
      <x:c r="H3340" s="85" t="str">
        <x:v>Diagnóstico e execução</x:v>
      </x:c>
    </x:row>
    <x:row r="3341">
      <x:c r="A3341" s="83" t="n">
        <x:v>3340</x:v>
      </x:c>
      <x:c r="B3341" s="84" t="n">
        <x:v>1959</x:v>
      </x:c>
      <x:c r="C3341" s="84" t="n">
        <x:v>27</x:v>
      </x:c>
      <x:c r="D3341" s="89" t="n">
        <x:v>45049</x:v>
      </x:c>
      <x:c r="E3341" s="84" t="n">
        <x:v>8</x:v>
      </x:c>
      <x:c r="F3341" s="84" t="str">
        <x:v>Normal</x:v>
      </x:c>
      <x:c r="G3341" s="93" t="n">
        <x:v>487.92</x:v>
      </x:c>
      <x:c r="H3341" s="85" t="str">
        <x:v>Diagnóstico e execução</x:v>
      </x:c>
    </x:row>
    <x:row r="3342">
      <x:c r="A3342" s="83" t="n">
        <x:v>3341</x:v>
      </x:c>
      <x:c r="B3342" s="84" t="n">
        <x:v>1960</x:v>
      </x:c>
      <x:c r="C3342" s="84" t="n">
        <x:v>7</x:v>
      </x:c>
      <x:c r="D3342" s="89" t="n">
        <x:v>45249</x:v>
      </x:c>
      <x:c r="E3342" s="84" t="n">
        <x:v>7.2</x:v>
      </x:c>
      <x:c r="F3342" s="84" t="str">
        <x:v>Normal</x:v>
      </x:c>
      <x:c r="G3342" s="93" t="n">
        <x:v>419.11</x:v>
      </x:c>
      <x:c r="H3342" s="85" t="str">
        <x:v>Diagnóstico e execução</x:v>
      </x:c>
    </x:row>
    <x:row r="3343">
      <x:c r="A3343" s="83" t="n">
        <x:v>3342</x:v>
      </x:c>
      <x:c r="B3343" s="84" t="n">
        <x:v>1960</x:v>
      </x:c>
      <x:c r="C3343" s="84" t="n">
        <x:v>21</x:v>
      </x:c>
      <x:c r="D3343" s="89" t="n">
        <x:v>45249</x:v>
      </x:c>
      <x:c r="E3343" s="84" t="n">
        <x:v>3.9</x:v>
      </x:c>
      <x:c r="F3343" s="84" t="str">
        <x:v>Normal</x:v>
      </x:c>
      <x:c r="G3343" s="93" t="n">
        <x:v>239.58</x:v>
      </x:c>
      <x:c r="H3343" s="85" t="str">
        <x:v>Diagnóstico e execução</x:v>
      </x:c>
    </x:row>
    <x:row r="3344">
      <x:c r="A3344" s="83" t="n">
        <x:v>3343</x:v>
      </x:c>
      <x:c r="B3344" s="84" t="n">
        <x:v>1960</x:v>
      </x:c>
      <x:c r="C3344" s="84" t="n">
        <x:v>10</x:v>
      </x:c>
      <x:c r="D3344" s="89" t="n">
        <x:v>45249</x:v>
      </x:c>
      <x:c r="E3344" s="84" t="n">
        <x:v>1.3</x:v>
      </x:c>
      <x:c r="F3344" s="84" t="str">
        <x:v>Normal</x:v>
      </x:c>
      <x:c r="G3344" s="93" t="n">
        <x:v>38.6</x:v>
      </x:c>
      <x:c r="H3344" s="85" t="str">
        <x:v>Diagnóstico e execução</x:v>
      </x:c>
    </x:row>
    <x:row r="3345">
      <x:c r="A3345" s="83" t="n">
        <x:v>3344</x:v>
      </x:c>
      <x:c r="B3345" s="84" t="n">
        <x:v>1961</x:v>
      </x:c>
      <x:c r="C3345" s="84" t="n">
        <x:v>36</x:v>
      </x:c>
      <x:c r="D3345" s="89" t="n">
        <x:v>45331</x:v>
      </x:c>
      <x:c r="E3345" s="84" t="n">
        <x:v>7.7</x:v>
      </x:c>
      <x:c r="F3345" s="84" t="str">
        <x:v>Normal</x:v>
      </x:c>
      <x:c r="G3345" s="93" t="n">
        <x:v>228.38</x:v>
      </x:c>
      <x:c r="H3345" s="85" t="str">
        <x:v>Diagnóstico e execução</x:v>
      </x:c>
    </x:row>
    <x:row r="3346">
      <x:c r="A3346" s="83" t="n">
        <x:v>3345</x:v>
      </x:c>
      <x:c r="B3346" s="84" t="n">
        <x:v>1961</x:v>
      </x:c>
      <x:c r="C3346" s="84" t="n">
        <x:v>25</x:v>
      </x:c>
      <x:c r="D3346" s="89" t="n">
        <x:v>45331</x:v>
      </x:c>
      <x:c r="E3346" s="84" t="n">
        <x:v>2.6</x:v>
      </x:c>
      <x:c r="F3346" s="84" t="str">
        <x:v>Normal</x:v>
      </x:c>
      <x:c r="G3346" s="93" t="n">
        <x:v>139.33</x:v>
      </x:c>
      <x:c r="H3346" s="85" t="str">
        <x:v>Diagnóstico e execução</x:v>
      </x:c>
    </x:row>
    <x:row r="3347">
      <x:c r="A3347" s="83" t="n">
        <x:v>3346</x:v>
      </x:c>
      <x:c r="B3347" s="84" t="n">
        <x:v>1961</x:v>
      </x:c>
      <x:c r="C3347" s="84" t="n">
        <x:v>43</x:v>
      </x:c>
      <x:c r="D3347" s="89" t="n">
        <x:v>45331</x:v>
      </x:c>
      <x:c r="E3347" s="84" t="n">
        <x:v>6.1</x:v>
      </x:c>
      <x:c r="F3347" s="84" t="str">
        <x:v>Normal</x:v>
      </x:c>
      <x:c r="G3347" s="93" t="n">
        <x:v>333.43</x:v>
      </x:c>
      <x:c r="H3347" s="85" t="str">
        <x:v>Diagnóstico e execução</x:v>
      </x:c>
    </x:row>
    <x:row r="3348">
      <x:c r="A3348" s="83" t="n">
        <x:v>3347</x:v>
      </x:c>
      <x:c r="B3348" s="84" t="n">
        <x:v>1962</x:v>
      </x:c>
      <x:c r="C3348" s="84" t="n">
        <x:v>36</x:v>
      </x:c>
      <x:c r="D3348" s="89" t="n">
        <x:v>45514</x:v>
      </x:c>
      <x:c r="E3348" s="84" t="n">
        <x:v>6.8</x:v>
      </x:c>
      <x:c r="F3348" s="84" t="str">
        <x:v>Normal</x:v>
      </x:c>
      <x:c r="G3348" s="93" t="n">
        <x:v>201.69</x:v>
      </x:c>
      <x:c r="H3348" s="85" t="str">
        <x:v>Diagnóstico e execução</x:v>
      </x:c>
    </x:row>
    <x:row r="3349">
      <x:c r="A3349" s="83" t="n">
        <x:v>3348</x:v>
      </x:c>
      <x:c r="B3349" s="84" t="n">
        <x:v>1962</x:v>
      </x:c>
      <x:c r="C3349" s="84" t="n">
        <x:v>9</x:v>
      </x:c>
      <x:c r="D3349" s="89" t="n">
        <x:v>45514</x:v>
      </x:c>
      <x:c r="E3349" s="84" t="n">
        <x:v>7.1</x:v>
      </x:c>
      <x:c r="F3349" s="84" t="str">
        <x:v>Normal</x:v>
      </x:c>
      <x:c r="G3349" s="93" t="n">
        <x:v>373.96</x:v>
      </x:c>
      <x:c r="H3349" s="85" t="str">
        <x:v>Diagnóstico e execução</x:v>
      </x:c>
    </x:row>
    <x:row r="3350">
      <x:c r="A3350" s="83" t="n">
        <x:v>3349</x:v>
      </x:c>
      <x:c r="B3350" s="84" t="n">
        <x:v>1962</x:v>
      </x:c>
      <x:c r="C3350" s="84" t="n">
        <x:v>45</x:v>
      </x:c>
      <x:c r="D3350" s="89" t="n">
        <x:v>45514</x:v>
      </x:c>
      <x:c r="E3350" s="84" t="n">
        <x:v>2.7</x:v>
      </x:c>
      <x:c r="F3350" s="84" t="str">
        <x:v>Normal</x:v>
      </x:c>
      <x:c r="G3350" s="93" t="n">
        <x:v>144.64</x:v>
      </x:c>
      <x:c r="H3350" s="85" t="str">
        <x:v>Diagnóstico e execução</x:v>
      </x:c>
    </x:row>
    <x:row r="3351">
      <x:c r="A3351" s="83" t="n">
        <x:v>3350</x:v>
      </x:c>
      <x:c r="B3351" s="84" t="n">
        <x:v>1963</x:v>
      </x:c>
      <x:c r="C3351" s="84" t="n">
        <x:v>26</x:v>
      </x:c>
      <x:c r="D3351" s="89" t="n">
        <x:v>45487</x:v>
      </x:c>
      <x:c r="E3351" s="84" t="n">
        <x:v>4.7</x:v>
      </x:c>
      <x:c r="F3351" s="84" t="str">
        <x:v>Normal</x:v>
      </x:c>
      <x:c r="G3351" s="93" t="n">
        <x:v>183.86</x:v>
      </x:c>
      <x:c r="H3351" s="85" t="str">
        <x:v>Diagnóstico e execução</x:v>
      </x:c>
    </x:row>
    <x:row r="3352">
      <x:c r="A3352" s="83" t="n">
        <x:v>3351</x:v>
      </x:c>
      <x:c r="B3352" s="84" t="n">
        <x:v>1965</x:v>
      </x:c>
      <x:c r="C3352" s="84" t="n">
        <x:v>1</x:v>
      </x:c>
      <x:c r="D3352" s="89" t="n">
        <x:v>45430</x:v>
      </x:c>
      <x:c r="E3352" s="84" t="n">
        <x:v>3.9</x:v>
      </x:c>
      <x:c r="F3352" s="84" t="str">
        <x:v>Normal</x:v>
      </x:c>
      <x:c r="G3352" s="93" t="n">
        <x:v>137.94</x:v>
      </x:c>
      <x:c r="H3352" s="85" t="str">
        <x:v>Diagnóstico e execução</x:v>
      </x:c>
    </x:row>
    <x:row r="3353">
      <x:c r="A3353" s="83" t="n">
        <x:v>3352</x:v>
      </x:c>
      <x:c r="B3353" s="84" t="n">
        <x:v>1965</x:v>
      </x:c>
      <x:c r="C3353" s="84" t="n">
        <x:v>33</x:v>
      </x:c>
      <x:c r="D3353" s="89" t="n">
        <x:v>45430</x:v>
      </x:c>
      <x:c r="E3353" s="84" t="n">
        <x:v>1.6</x:v>
      </x:c>
      <x:c r="F3353" s="84" t="str">
        <x:v>Normal</x:v>
      </x:c>
      <x:c r="G3353" s="93" t="n">
        <x:v>55.18</x:v>
      </x:c>
      <x:c r="H3353" s="85" t="str">
        <x:v>Diagnóstico e execução</x:v>
      </x:c>
    </x:row>
    <x:row r="3354">
      <x:c r="A3354" s="83" t="n">
        <x:v>3353</x:v>
      </x:c>
      <x:c r="B3354" s="84" t="n">
        <x:v>1965</x:v>
      </x:c>
      <x:c r="C3354" s="84" t="n">
        <x:v>22</x:v>
      </x:c>
      <x:c r="D3354" s="89" t="n">
        <x:v>45430</x:v>
      </x:c>
      <x:c r="E3354" s="84" t="n">
        <x:v>2</x:v>
      </x:c>
      <x:c r="F3354" s="84" t="str">
        <x:v>Normal</x:v>
      </x:c>
      <x:c r="G3354" s="93" t="n">
        <x:v>76.92</x:v>
      </x:c>
      <x:c r="H3354" s="85" t="str">
        <x:v>Diagnóstico e execução</x:v>
      </x:c>
    </x:row>
    <x:row r="3355">
      <x:c r="A3355" s="83" t="n">
        <x:v>3354</x:v>
      </x:c>
      <x:c r="B3355" s="84" t="n">
        <x:v>1966</x:v>
      </x:c>
      <x:c r="C3355" s="84" t="n">
        <x:v>17</x:v>
      </x:c>
      <x:c r="D3355" s="89" t="n">
        <x:v>45332</x:v>
      </x:c>
      <x:c r="E3355" s="84" t="n">
        <x:v>0.6</x:v>
      </x:c>
      <x:c r="F3355" s="84" t="str">
        <x:v>Normal</x:v>
      </x:c>
      <x:c r="G3355" s="93" t="n">
        <x:v>33.47</x:v>
      </x:c>
      <x:c r="H3355" s="85" t="str">
        <x:v>Diagnóstico e execução</x:v>
      </x:c>
    </x:row>
    <x:row r="3356">
      <x:c r="A3356" s="83" t="n">
        <x:v>3355</x:v>
      </x:c>
      <x:c r="B3356" s="84" t="n">
        <x:v>1966</x:v>
      </x:c>
      <x:c r="C3356" s="84" t="n">
        <x:v>16</x:v>
      </x:c>
      <x:c r="D3356" s="89" t="n">
        <x:v>45332</x:v>
      </x:c>
      <x:c r="E3356" s="84" t="n">
        <x:v>5.8</x:v>
      </x:c>
      <x:c r="F3356" s="84" t="str">
        <x:v>Normal</x:v>
      </x:c>
      <x:c r="G3356" s="93" t="n">
        <x:v>235.02</x:v>
      </x:c>
      <x:c r="H3356" s="85" t="str">
        <x:v>Diagnóstico e execução</x:v>
      </x:c>
    </x:row>
    <x:row r="3357">
      <x:c r="A3357" s="83" t="n">
        <x:v>3356</x:v>
      </x:c>
      <x:c r="B3357" s="84" t="n">
        <x:v>1967</x:v>
      </x:c>
      <x:c r="C3357" s="84" t="n">
        <x:v>36</x:v>
      </x:c>
      <x:c r="D3357" s="89" t="n">
        <x:v>45137</x:v>
      </x:c>
      <x:c r="E3357" s="84" t="n">
        <x:v>3.6</x:v>
      </x:c>
      <x:c r="F3357" s="84" t="str">
        <x:v>Normal</x:v>
      </x:c>
      <x:c r="G3357" s="93" t="n">
        <x:v>106.78</x:v>
      </x:c>
      <x:c r="H3357" s="85" t="str">
        <x:v>Diagnóstico e execução</x:v>
      </x:c>
    </x:row>
    <x:row r="3358">
      <x:c r="A3358" s="83" t="n">
        <x:v>3357</x:v>
      </x:c>
      <x:c r="B3358" s="84" t="n">
        <x:v>1968</x:v>
      </x:c>
      <x:c r="C3358" s="84" t="n">
        <x:v>33</x:v>
      </x:c>
      <x:c r="D3358" s="89" t="n">
        <x:v>45234</x:v>
      </x:c>
      <x:c r="E3358" s="84" t="n">
        <x:v>7.5</x:v>
      </x:c>
      <x:c r="F3358" s="84" t="str">
        <x:v>Normal</x:v>
      </x:c>
      <x:c r="G3358" s="93" t="n">
        <x:v>258.68</x:v>
      </x:c>
      <x:c r="H3358" s="85" t="str">
        <x:v>Diagnóstico e execução</x:v>
      </x:c>
    </x:row>
    <x:row r="3359">
      <x:c r="A3359" s="83" t="n">
        <x:v>3358</x:v>
      </x:c>
      <x:c r="B3359" s="84" t="n">
        <x:v>1968</x:v>
      </x:c>
      <x:c r="C3359" s="84" t="n">
        <x:v>15</x:v>
      </x:c>
      <x:c r="D3359" s="89" t="n">
        <x:v>45234</x:v>
      </x:c>
      <x:c r="E3359" s="84" t="n">
        <x:v>4.3</x:v>
      </x:c>
      <x:c r="F3359" s="84" t="str">
        <x:v>Normal</x:v>
      </x:c>
      <x:c r="G3359" s="93" t="n">
        <x:v>130.03</x:v>
      </x:c>
      <x:c r="H3359" s="85" t="str">
        <x:v>Diagnóstico e execução</x:v>
      </x:c>
    </x:row>
    <x:row r="3360">
      <x:c r="A3360" s="83" t="n">
        <x:v>3359</x:v>
      </x:c>
      <x:c r="B3360" s="84" t="n">
        <x:v>1968</x:v>
      </x:c>
      <x:c r="C3360" s="84" t="n">
        <x:v>32</x:v>
      </x:c>
      <x:c r="D3360" s="89" t="n">
        <x:v>45234</x:v>
      </x:c>
      <x:c r="E3360" s="84" t="n">
        <x:v>6.1</x:v>
      </x:c>
      <x:c r="F3360" s="84" t="str">
        <x:v>Normal</x:v>
      </x:c>
      <x:c r="G3360" s="93" t="n">
        <x:v>266.26</x:v>
      </x:c>
      <x:c r="H3360" s="85" t="str">
        <x:v>Diagnóstico e execução</x:v>
      </x:c>
    </x:row>
    <x:row r="3361">
      <x:c r="A3361" s="83" t="n">
        <x:v>3360</x:v>
      </x:c>
      <x:c r="B3361" s="84" t="n">
        <x:v>1969</x:v>
      </x:c>
      <x:c r="C3361" s="84" t="n">
        <x:v>45</x:v>
      </x:c>
      <x:c r="D3361" s="89" t="n">
        <x:v>45717</x:v>
      </x:c>
      <x:c r="E3361" s="84" t="n">
        <x:v>7</x:v>
      </x:c>
      <x:c r="F3361" s="84" t="str">
        <x:v>Normal</x:v>
      </x:c>
      <x:c r="G3361" s="93" t="n">
        <x:v>374.99</x:v>
      </x:c>
      <x:c r="H3361" s="85" t="str">
        <x:v>Diagnóstico e execução</x:v>
      </x:c>
    </x:row>
    <x:row r="3362">
      <x:c r="A3362" s="83" t="n">
        <x:v>3361</x:v>
      </x:c>
      <x:c r="B3362" s="84" t="n">
        <x:v>1969</x:v>
      </x:c>
      <x:c r="C3362" s="84" t="n">
        <x:v>16</x:v>
      </x:c>
      <x:c r="D3362" s="89" t="n">
        <x:v>45717</x:v>
      </x:c>
      <x:c r="E3362" s="84" t="n">
        <x:v>7.1</x:v>
      </x:c>
      <x:c r="F3362" s="84" t="str">
        <x:v>Normal</x:v>
      </x:c>
      <x:c r="G3362" s="93" t="n">
        <x:v>287.69</x:v>
      </x:c>
      <x:c r="H3362" s="85" t="str">
        <x:v>Diagnóstico e execução</x:v>
      </x:c>
    </x:row>
    <x:row r="3363">
      <x:c r="A3363" s="83" t="n">
        <x:v>3362</x:v>
      </x:c>
      <x:c r="B3363" s="84" t="n">
        <x:v>1969</x:v>
      </x:c>
      <x:c r="C3363" s="84" t="n">
        <x:v>12</x:v>
      </x:c>
      <x:c r="D3363" s="89" t="n">
        <x:v>45717</x:v>
      </x:c>
      <x:c r="E3363" s="84" t="n">
        <x:v>2.8</x:v>
      </x:c>
      <x:c r="F3363" s="84" t="str">
        <x:v>Normal</x:v>
      </x:c>
      <x:c r="G3363" s="93" t="n">
        <x:v>96.6</x:v>
      </x:c>
      <x:c r="H3363" s="85" t="str">
        <x:v>Diagnóstico e execução</x:v>
      </x:c>
    </x:row>
    <x:row r="3364">
      <x:c r="A3364" s="83" t="n">
        <x:v>3363</x:v>
      </x:c>
      <x:c r="B3364" s="84" t="n">
        <x:v>1970</x:v>
      </x:c>
      <x:c r="C3364" s="84" t="n">
        <x:v>21</x:v>
      </x:c>
      <x:c r="D3364" s="89" t="n">
        <x:v>45769</x:v>
      </x:c>
      <x:c r="E3364" s="84" t="n">
        <x:v>2.4</x:v>
      </x:c>
      <x:c r="F3364" s="84" t="str">
        <x:v>Normal</x:v>
      </x:c>
      <x:c r="G3364" s="93" t="n">
        <x:v>147.43</x:v>
      </x:c>
      <x:c r="H3364" s="85" t="str">
        <x:v>Diagnóstico e execução</x:v>
      </x:c>
    </x:row>
    <x:row r="3365">
      <x:c r="A3365" s="83" t="n">
        <x:v>3364</x:v>
      </x:c>
      <x:c r="B3365" s="84" t="n">
        <x:v>1971</x:v>
      </x:c>
      <x:c r="C3365" s="84" t="n">
        <x:v>44</x:v>
      </x:c>
      <x:c r="D3365" s="89" t="n">
        <x:v>46016</x:v>
      </x:c>
      <x:c r="E3365" s="84" t="n">
        <x:v>3.7</x:v>
      </x:c>
      <x:c r="F3365" s="84" t="str">
        <x:v>Normal</x:v>
      </x:c>
      <x:c r="G3365" s="93" t="n">
        <x:v>103.75</x:v>
      </x:c>
      <x:c r="H3365" s="85" t="str">
        <x:v>Diagnóstico e execução</x:v>
      </x:c>
    </x:row>
    <x:row r="3366">
      <x:c r="A3366" s="83" t="n">
        <x:v>3365</x:v>
      </x:c>
      <x:c r="B3366" s="84" t="n">
        <x:v>1971</x:v>
      </x:c>
      <x:c r="C3366" s="84" t="n">
        <x:v>16</x:v>
      </x:c>
      <x:c r="D3366" s="89" t="n">
        <x:v>46016</x:v>
      </x:c>
      <x:c r="E3366" s="84" t="n">
        <x:v>0.8</x:v>
      </x:c>
      <x:c r="F3366" s="84" t="str">
        <x:v>Normal</x:v>
      </x:c>
      <x:c r="G3366" s="93" t="n">
        <x:v>32.42</x:v>
      </x:c>
      <x:c r="H3366" s="85" t="str">
        <x:v>Diagnóstico e execução</x:v>
      </x:c>
    </x:row>
    <x:row r="3367">
      <x:c r="A3367" s="83" t="n">
        <x:v>3366</x:v>
      </x:c>
      <x:c r="B3367" s="84" t="n">
        <x:v>1971</x:v>
      </x:c>
      <x:c r="C3367" s="84" t="n">
        <x:v>28</x:v>
      </x:c>
      <x:c r="D3367" s="89" t="n">
        <x:v>46016</x:v>
      </x:c>
      <x:c r="E3367" s="84" t="n">
        <x:v>2.1</x:v>
      </x:c>
      <x:c r="F3367" s="84" t="str">
        <x:v>Normal</x:v>
      </x:c>
      <x:c r="G3367" s="93" t="n">
        <x:v>79</x:v>
      </x:c>
      <x:c r="H3367" s="85" t="str">
        <x:v>Diagnóstico e execução</x:v>
      </x:c>
    </x:row>
    <x:row r="3368">
      <x:c r="A3368" s="83" t="n">
        <x:v>3367</x:v>
      </x:c>
      <x:c r="B3368" s="84" t="n">
        <x:v>1972</x:v>
      </x:c>
      <x:c r="C3368" s="84" t="n">
        <x:v>31</x:v>
      </x:c>
      <x:c r="D3368" s="89" t="n">
        <x:v>45475</x:v>
      </x:c>
      <x:c r="E3368" s="84" t="n">
        <x:v>3.2</x:v>
      </x:c>
      <x:c r="F3368" s="84" t="str">
        <x:v>Normal</x:v>
      </x:c>
      <x:c r="G3368" s="93" t="n">
        <x:v>156.48</x:v>
      </x:c>
      <x:c r="H3368" s="85" t="str">
        <x:v>Diagnóstico e execução</x:v>
      </x:c>
    </x:row>
    <x:row r="3369">
      <x:c r="A3369" s="83" t="n">
        <x:v>3368</x:v>
      </x:c>
      <x:c r="B3369" s="84" t="n">
        <x:v>1972</x:v>
      </x:c>
      <x:c r="C3369" s="84" t="n">
        <x:v>30</x:v>
      </x:c>
      <x:c r="D3369" s="89" t="n">
        <x:v>45475</x:v>
      </x:c>
      <x:c r="E3369" s="84" t="n">
        <x:v>0.9</x:v>
      </x:c>
      <x:c r="F3369" s="84" t="str">
        <x:v>Normal</x:v>
      </x:c>
      <x:c r="G3369" s="93" t="n">
        <x:v>37.27</x:v>
      </x:c>
      <x:c r="H3369" s="85" t="str">
        <x:v>Diagnóstico e execução</x:v>
      </x:c>
    </x:row>
    <x:row r="3370">
      <x:c r="A3370" s="83" t="n">
        <x:v>3369</x:v>
      </x:c>
      <x:c r="B3370" s="84" t="n">
        <x:v>1972</x:v>
      </x:c>
      <x:c r="C3370" s="84" t="n">
        <x:v>40</x:v>
      </x:c>
      <x:c r="D3370" s="89" t="n">
        <x:v>45475</x:v>
      </x:c>
      <x:c r="E3370" s="84" t="n">
        <x:v>6.4</x:v>
      </x:c>
      <x:c r="F3370" s="84" t="str">
        <x:v>Normal</x:v>
      </x:c>
      <x:c r="G3370" s="93" t="n">
        <x:v>316.29</x:v>
      </x:c>
      <x:c r="H3370" s="85" t="str">
        <x:v>Diagnóstico e execução</x:v>
      </x:c>
    </x:row>
    <x:row r="3371">
      <x:c r="A3371" s="83" t="n">
        <x:v>3370</x:v>
      </x:c>
      <x:c r="B3371" s="84" t="n">
        <x:v>1975</x:v>
      </x:c>
      <x:c r="C3371" s="84" t="n">
        <x:v>31</x:v>
      </x:c>
      <x:c r="D3371" s="89" t="n">
        <x:v>45461</x:v>
      </x:c>
      <x:c r="E3371" s="84" t="n">
        <x:v>2.9</x:v>
      </x:c>
      <x:c r="F3371" s="84" t="str">
        <x:v>Normal</x:v>
      </x:c>
      <x:c r="G3371" s="93" t="n">
        <x:v>141.81</x:v>
      </x:c>
      <x:c r="H3371" s="85" t="str">
        <x:v>Diagnóstico e execução</x:v>
      </x:c>
    </x:row>
    <x:row r="3372">
      <x:c r="A3372" s="83" t="n">
        <x:v>3371</x:v>
      </x:c>
      <x:c r="B3372" s="84" t="n">
        <x:v>1975</x:v>
      </x:c>
      <x:c r="C3372" s="84" t="n">
        <x:v>17</x:v>
      </x:c>
      <x:c r="D3372" s="89" t="n">
        <x:v>45461</x:v>
      </x:c>
      <x:c r="E3372" s="84" t="n">
        <x:v>2.4</x:v>
      </x:c>
      <x:c r="F3372" s="84" t="str">
        <x:v>Normal</x:v>
      </x:c>
      <x:c r="G3372" s="93" t="n">
        <x:v>133.87</x:v>
      </x:c>
      <x:c r="H3372" s="85" t="str">
        <x:v>Diagnóstico e execução</x:v>
      </x:c>
    </x:row>
    <x:row r="3373">
      <x:c r="A3373" s="83" t="n">
        <x:v>3372</x:v>
      </x:c>
      <x:c r="B3373" s="84" t="n">
        <x:v>1975</x:v>
      </x:c>
      <x:c r="C3373" s="84" t="n">
        <x:v>4</x:v>
      </x:c>
      <x:c r="D3373" s="89" t="n">
        <x:v>45461</x:v>
      </x:c>
      <x:c r="E3373" s="84" t="n">
        <x:v>1.9</x:v>
      </x:c>
      <x:c r="F3373" s="84" t="str">
        <x:v>Normal</x:v>
      </x:c>
      <x:c r="G3373" s="93" t="n">
        <x:v>93.46</x:v>
      </x:c>
      <x:c r="H3373" s="85" t="str">
        <x:v>Diagnóstico e execução</x:v>
      </x:c>
    </x:row>
    <x:row r="3374">
      <x:c r="A3374" s="83" t="n">
        <x:v>3373</x:v>
      </x:c>
      <x:c r="B3374" s="84" t="n">
        <x:v>1976</x:v>
      </x:c>
      <x:c r="C3374" s="84" t="n">
        <x:v>26</x:v>
      </x:c>
      <x:c r="D3374" s="89" t="n">
        <x:v>45921</x:v>
      </x:c>
      <x:c r="E3374" s="84" t="n">
        <x:v>3.5</x:v>
      </x:c>
      <x:c r="F3374" s="84" t="str">
        <x:v>Normal</x:v>
      </x:c>
      <x:c r="G3374" s="93" t="n">
        <x:v>136.92</x:v>
      </x:c>
      <x:c r="H3374" s="85" t="str">
        <x:v>Diagnóstico e execução</x:v>
      </x:c>
    </x:row>
    <x:row r="3375">
      <x:c r="A3375" s="83" t="n">
        <x:v>3374</x:v>
      </x:c>
      <x:c r="B3375" s="84" t="n">
        <x:v>1976</x:v>
      </x:c>
      <x:c r="C3375" s="84" t="n">
        <x:v>42</x:v>
      </x:c>
      <x:c r="D3375" s="89" t="n">
        <x:v>45921</x:v>
      </x:c>
      <x:c r="E3375" s="84" t="n">
        <x:v>7.6</x:v>
      </x:c>
      <x:c r="F3375" s="84" t="str">
        <x:v>Normal</x:v>
      </x:c>
      <x:c r="G3375" s="93" t="n">
        <x:v>320.57</x:v>
      </x:c>
      <x:c r="H3375" s="85" t="str">
        <x:v>Diagnóstico e execução</x:v>
      </x:c>
    </x:row>
    <x:row r="3376">
      <x:c r="A3376" s="83" t="n">
        <x:v>3375</x:v>
      </x:c>
      <x:c r="B3376" s="84" t="n">
        <x:v>1977</x:v>
      </x:c>
      <x:c r="C3376" s="84" t="n">
        <x:v>26</x:v>
      </x:c>
      <x:c r="D3376" s="89" t="n">
        <x:v>45271</x:v>
      </x:c>
      <x:c r="E3376" s="84" t="n">
        <x:v>6.9</x:v>
      </x:c>
      <x:c r="F3376" s="84" t="str">
        <x:v>Normal</x:v>
      </x:c>
      <x:c r="G3376" s="93" t="n">
        <x:v>269.93</x:v>
      </x:c>
      <x:c r="H3376" s="85" t="str">
        <x:v>Diagnóstico e execução</x:v>
      </x:c>
    </x:row>
    <x:row r="3377">
      <x:c r="A3377" s="83" t="n">
        <x:v>3376</x:v>
      </x:c>
      <x:c r="B3377" s="84" t="n">
        <x:v>1977</x:v>
      </x:c>
      <x:c r="C3377" s="84" t="n">
        <x:v>24</x:v>
      </x:c>
      <x:c r="D3377" s="89" t="n">
        <x:v>45271</x:v>
      </x:c>
      <x:c r="E3377" s="84" t="n">
        <x:v>1</x:v>
      </x:c>
      <x:c r="F3377" s="84" t="str">
        <x:v>Normal</x:v>
      </x:c>
      <x:c r="G3377" s="93" t="n">
        <x:v>59.24</x:v>
      </x:c>
      <x:c r="H3377" s="85" t="str">
        <x:v>Diagnóstico e execução</x:v>
      </x:c>
    </x:row>
    <x:row r="3378">
      <x:c r="A3378" s="83" t="n">
        <x:v>3377</x:v>
      </x:c>
      <x:c r="B3378" s="84" t="n">
        <x:v>1979</x:v>
      </x:c>
      <x:c r="C3378" s="84" t="n">
        <x:v>40</x:v>
      </x:c>
      <x:c r="D3378" s="89" t="n">
        <x:v>45664</x:v>
      </x:c>
      <x:c r="E3378" s="84" t="n">
        <x:v>3.1</x:v>
      </x:c>
      <x:c r="F3378" s="84" t="str">
        <x:v>Normal</x:v>
      </x:c>
      <x:c r="G3378" s="93" t="n">
        <x:v>153.2</x:v>
      </x:c>
      <x:c r="H3378" s="85" t="str">
        <x:v>Diagnóstico e execução</x:v>
      </x:c>
    </x:row>
    <x:row r="3379">
      <x:c r="A3379" s="83" t="n">
        <x:v>3378</x:v>
      </x:c>
      <x:c r="B3379" s="84" t="n">
        <x:v>1979</x:v>
      </x:c>
      <x:c r="C3379" s="84" t="n">
        <x:v>45</x:v>
      </x:c>
      <x:c r="D3379" s="89" t="n">
        <x:v>45664</x:v>
      </x:c>
      <x:c r="E3379" s="84" t="n">
        <x:v>4</x:v>
      </x:c>
      <x:c r="F3379" s="84" t="str">
        <x:v>Normal</x:v>
      </x:c>
      <x:c r="G3379" s="93" t="n">
        <x:v>214.28</x:v>
      </x:c>
      <x:c r="H3379" s="85" t="str">
        <x:v>Diagnóstico e execução</x:v>
      </x:c>
    </x:row>
    <x:row r="3380">
      <x:c r="A3380" s="83" t="n">
        <x:v>3379</x:v>
      </x:c>
      <x:c r="B3380" s="84" t="n">
        <x:v>1980</x:v>
      </x:c>
      <x:c r="C3380" s="84" t="n">
        <x:v>24</x:v>
      </x:c>
      <x:c r="D3380" s="89" t="n">
        <x:v>45837</x:v>
      </x:c>
      <x:c r="E3380" s="84" t="n">
        <x:v>1.3</x:v>
      </x:c>
      <x:c r="F3380" s="84" t="str">
        <x:v>Normal</x:v>
      </x:c>
      <x:c r="G3380" s="93" t="n">
        <x:v>77.01</x:v>
      </x:c>
      <x:c r="H3380" s="85" t="str">
        <x:v>Diagnóstico e execução</x:v>
      </x:c>
    </x:row>
    <x:row r="3381">
      <x:c r="A3381" s="83" t="n">
        <x:v>3380</x:v>
      </x:c>
      <x:c r="B3381" s="84" t="n">
        <x:v>1980</x:v>
      </x:c>
      <x:c r="C3381" s="84" t="n">
        <x:v>30</x:v>
      </x:c>
      <x:c r="D3381" s="89" t="n">
        <x:v>45837</x:v>
      </x:c>
      <x:c r="E3381" s="84" t="n">
        <x:v>7</x:v>
      </x:c>
      <x:c r="F3381" s="84" t="str">
        <x:v>Normal</x:v>
      </x:c>
      <x:c r="G3381" s="93" t="n">
        <x:v>289.87</x:v>
      </x:c>
      <x:c r="H3381" s="85" t="str">
        <x:v>Diagnóstico e execução</x:v>
      </x:c>
    </x:row>
    <x:row r="3382">
      <x:c r="A3382" s="83" t="n">
        <x:v>3381</x:v>
      </x:c>
      <x:c r="B3382" s="84" t="n">
        <x:v>1980</x:v>
      </x:c>
      <x:c r="C3382" s="84" t="n">
        <x:v>14</x:v>
      </x:c>
      <x:c r="D3382" s="89" t="n">
        <x:v>45837</x:v>
      </x:c>
      <x:c r="E3382" s="84" t="n">
        <x:v>3.3</x:v>
      </x:c>
      <x:c r="F3382" s="84" t="str">
        <x:v>Normal</x:v>
      </x:c>
      <x:c r="G3382" s="93" t="n">
        <x:v>186.98</x:v>
      </x:c>
      <x:c r="H3382" s="85" t="str">
        <x:v>Diagnóstico e execução</x:v>
      </x:c>
    </x:row>
    <x:row r="3383">
      <x:c r="A3383" s="83" t="n">
        <x:v>3382</x:v>
      </x:c>
      <x:c r="B3383" s="84" t="n">
        <x:v>1981</x:v>
      </x:c>
      <x:c r="C3383" s="84" t="n">
        <x:v>24</x:v>
      </x:c>
      <x:c r="D3383" s="89" t="n">
        <x:v>45654</x:v>
      </x:c>
      <x:c r="E3383" s="84" t="n">
        <x:v>5</x:v>
      </x:c>
      <x:c r="F3383" s="84" t="str">
        <x:v>Normal</x:v>
      </x:c>
      <x:c r="G3383" s="93" t="n">
        <x:v>296.2</x:v>
      </x:c>
      <x:c r="H3383" s="85" t="str">
        <x:v>Diagnóstico e execução</x:v>
      </x:c>
    </x:row>
    <x:row r="3384">
      <x:c r="A3384" s="83" t="n">
        <x:v>3383</x:v>
      </x:c>
      <x:c r="B3384" s="84" t="n">
        <x:v>1982</x:v>
      </x:c>
      <x:c r="C3384" s="84" t="n">
        <x:v>33</x:v>
      </x:c>
      <x:c r="D3384" s="89" t="n">
        <x:v>45982</x:v>
      </x:c>
      <x:c r="E3384" s="84" t="n">
        <x:v>1.9</x:v>
      </x:c>
      <x:c r="F3384" s="84" t="str">
        <x:v>Normal</x:v>
      </x:c>
      <x:c r="G3384" s="93" t="n">
        <x:v>65.53</x:v>
      </x:c>
      <x:c r="H3384" s="85" t="str">
        <x:v>Diagnóstico e execução</x:v>
      </x:c>
    </x:row>
    <x:row r="3385">
      <x:c r="A3385" s="83" t="n">
        <x:v>3384</x:v>
      </x:c>
      <x:c r="B3385" s="84" t="n">
        <x:v>1982</x:v>
      </x:c>
      <x:c r="C3385" s="84" t="n">
        <x:v>43</x:v>
      </x:c>
      <x:c r="D3385" s="89" t="n">
        <x:v>45982</x:v>
      </x:c>
      <x:c r="E3385" s="84" t="n">
        <x:v>3.5</x:v>
      </x:c>
      <x:c r="F3385" s="84" t="str">
        <x:v>Normal</x:v>
      </x:c>
      <x:c r="G3385" s="93" t="n">
        <x:v>191.31</x:v>
      </x:c>
      <x:c r="H3385" s="85" t="str">
        <x:v>Diagnóstico e execução</x:v>
      </x:c>
    </x:row>
    <x:row r="3386">
      <x:c r="A3386" s="83" t="n">
        <x:v>3385</x:v>
      </x:c>
      <x:c r="B3386" s="84" t="n">
        <x:v>1983</x:v>
      </x:c>
      <x:c r="C3386" s="84" t="n">
        <x:v>13</x:v>
      </x:c>
      <x:c r="D3386" s="89" t="n">
        <x:v>45321</x:v>
      </x:c>
      <x:c r="E3386" s="84" t="n">
        <x:v>4.8</x:v>
      </x:c>
      <x:c r="F3386" s="84" t="str">
        <x:v>Normal</x:v>
      </x:c>
      <x:c r="G3386" s="93" t="n">
        <x:v>162.62</x:v>
      </x:c>
      <x:c r="H3386" s="85" t="str">
        <x:v>Diagnóstico e execução</x:v>
      </x:c>
    </x:row>
    <x:row r="3387">
      <x:c r="A3387" s="83" t="n">
        <x:v>3386</x:v>
      </x:c>
      <x:c r="B3387" s="84" t="n">
        <x:v>1983</x:v>
      </x:c>
      <x:c r="C3387" s="84" t="n">
        <x:v>2</x:v>
      </x:c>
      <x:c r="D3387" s="89" t="n">
        <x:v>45321</x:v>
      </x:c>
      <x:c r="E3387" s="84" t="n">
        <x:v>3</x:v>
      </x:c>
      <x:c r="F3387" s="84" t="str">
        <x:v>Normal</x:v>
      </x:c>
      <x:c r="G3387" s="93" t="n">
        <x:v>111.78</x:v>
      </x:c>
      <x:c r="H3387" s="85" t="str">
        <x:v>Diagnóstico e execução</x:v>
      </x:c>
    </x:row>
    <x:row r="3388">
      <x:c r="A3388" s="83" t="n">
        <x:v>3387</x:v>
      </x:c>
      <x:c r="B3388" s="84" t="n">
        <x:v>1984</x:v>
      </x:c>
      <x:c r="C3388" s="84" t="n">
        <x:v>28</x:v>
      </x:c>
      <x:c r="D3388" s="89" t="n">
        <x:v>45074</x:v>
      </x:c>
      <x:c r="E3388" s="84" t="n">
        <x:v>5.2</x:v>
      </x:c>
      <x:c r="F3388" s="84" t="str">
        <x:v>Normal</x:v>
      </x:c>
      <x:c r="G3388" s="93" t="n">
        <x:v>195.62</x:v>
      </x:c>
      <x:c r="H3388" s="85" t="str">
        <x:v>Diagnóstico e execução</x:v>
      </x:c>
    </x:row>
    <x:row r="3389">
      <x:c r="A3389" s="83" t="n">
        <x:v>3388</x:v>
      </x:c>
      <x:c r="B3389" s="84" t="n">
        <x:v>1984</x:v>
      </x:c>
      <x:c r="C3389" s="84" t="n">
        <x:v>19</x:v>
      </x:c>
      <x:c r="D3389" s="89" t="n">
        <x:v>45074</x:v>
      </x:c>
      <x:c r="E3389" s="84" t="n">
        <x:v>7.3</x:v>
      </x:c>
      <x:c r="F3389" s="84" t="str">
        <x:v>Normal</x:v>
      </x:c>
      <x:c r="G3389" s="93" t="n">
        <x:v>339.3</x:v>
      </x:c>
      <x:c r="H3389" s="85" t="str">
        <x:v>Diagnóstico e execução</x:v>
      </x:c>
    </x:row>
    <x:row r="3390">
      <x:c r="A3390" s="83" t="n">
        <x:v>3389</x:v>
      </x:c>
      <x:c r="B3390" s="84" t="n">
        <x:v>1985</x:v>
      </x:c>
      <x:c r="C3390" s="84" t="n">
        <x:v>33</x:v>
      </x:c>
      <x:c r="D3390" s="89" t="n">
        <x:v>45887</x:v>
      </x:c>
      <x:c r="E3390" s="84" t="n">
        <x:v>7.9</x:v>
      </x:c>
      <x:c r="F3390" s="84" t="str">
        <x:v>Normal</x:v>
      </x:c>
      <x:c r="G3390" s="93" t="n">
        <x:v>272.47</x:v>
      </x:c>
      <x:c r="H3390" s="85" t="str">
        <x:v>Diagnóstico e execução</x:v>
      </x:c>
    </x:row>
    <x:row r="3391">
      <x:c r="A3391" s="83" t="n">
        <x:v>3390</x:v>
      </x:c>
      <x:c r="B3391" s="84" t="n">
        <x:v>1985</x:v>
      </x:c>
      <x:c r="C3391" s="84" t="n">
        <x:v>8</x:v>
      </x:c>
      <x:c r="D3391" s="89" t="n">
        <x:v>45887</x:v>
      </x:c>
      <x:c r="E3391" s="84" t="n">
        <x:v>7.7</x:v>
      </x:c>
      <x:c r="F3391" s="84" t="str">
        <x:v>Normal</x:v>
      </x:c>
      <x:c r="G3391" s="93" t="n">
        <x:v>358.05</x:v>
      </x:c>
      <x:c r="H3391" s="85" t="str">
        <x:v>Diagnóstico e execução</x:v>
      </x:c>
    </x:row>
    <x:row r="3392">
      <x:c r="A3392" s="83" t="n">
        <x:v>3391</x:v>
      </x:c>
      <x:c r="B3392" s="84" t="n">
        <x:v>1986</x:v>
      </x:c>
      <x:c r="C3392" s="84" t="n">
        <x:v>42</x:v>
      </x:c>
      <x:c r="D3392" s="89" t="n">
        <x:v>45508</x:v>
      </x:c>
      <x:c r="E3392" s="84" t="n">
        <x:v>5.4</x:v>
      </x:c>
      <x:c r="F3392" s="84" t="str">
        <x:v>Normal</x:v>
      </x:c>
      <x:c r="G3392" s="93" t="n">
        <x:v>227.77</x:v>
      </x:c>
      <x:c r="H3392" s="85" t="str">
        <x:v>Diagnóstico e execução</x:v>
      </x:c>
    </x:row>
    <x:row r="3393">
      <x:c r="A3393" s="83" t="n">
        <x:v>3392</x:v>
      </x:c>
      <x:c r="B3393" s="84" t="n">
        <x:v>1986</x:v>
      </x:c>
      <x:c r="C3393" s="84" t="n">
        <x:v>1</x:v>
      </x:c>
      <x:c r="D3393" s="89" t="n">
        <x:v>45508</x:v>
      </x:c>
      <x:c r="E3393" s="84" t="n">
        <x:v>2.3</x:v>
      </x:c>
      <x:c r="F3393" s="84" t="str">
        <x:v>Normal</x:v>
      </x:c>
      <x:c r="G3393" s="93" t="n">
        <x:v>81.35</x:v>
      </x:c>
      <x:c r="H3393" s="85" t="str">
        <x:v>Diagnóstico e execução</x:v>
      </x:c>
    </x:row>
    <x:row r="3394">
      <x:c r="A3394" s="83" t="n">
        <x:v>3393</x:v>
      </x:c>
      <x:c r="B3394" s="84" t="n">
        <x:v>1986</x:v>
      </x:c>
      <x:c r="C3394" s="84" t="n">
        <x:v>29</x:v>
      </x:c>
      <x:c r="D3394" s="89" t="n">
        <x:v>45508</x:v>
      </x:c>
      <x:c r="E3394" s="84" t="n">
        <x:v>4.8</x:v>
      </x:c>
      <x:c r="F3394" s="84" t="str">
        <x:v>Normal</x:v>
      </x:c>
      <x:c r="G3394" s="93" t="n">
        <x:v>237.7</x:v>
      </x:c>
      <x:c r="H3394" s="85" t="str">
        <x:v>Diagnóstico e execução</x:v>
      </x:c>
    </x:row>
    <x:row r="3395">
      <x:c r="A3395" s="83" t="n">
        <x:v>3394</x:v>
      </x:c>
      <x:c r="B3395" s="84" t="n">
        <x:v>1987</x:v>
      </x:c>
      <x:c r="C3395" s="84" t="n">
        <x:v>37</x:v>
      </x:c>
      <x:c r="D3395" s="89" t="n">
        <x:v>45983</x:v>
      </x:c>
      <x:c r="E3395" s="84" t="n">
        <x:v>5.4</x:v>
      </x:c>
      <x:c r="F3395" s="84" t="str">
        <x:v>Normal</x:v>
      </x:c>
      <x:c r="G3395" s="93" t="n">
        <x:v>318.44</x:v>
      </x:c>
      <x:c r="H3395" s="85" t="str">
        <x:v>Diagnóstico e execução</x:v>
      </x:c>
    </x:row>
    <x:row r="3396">
      <x:c r="A3396" s="83" t="n">
        <x:v>3395</x:v>
      </x:c>
      <x:c r="B3396" s="84" t="n">
        <x:v>1987</x:v>
      </x:c>
      <x:c r="C3396" s="84" t="n">
        <x:v>16</x:v>
      </x:c>
      <x:c r="D3396" s="89" t="n">
        <x:v>45983</x:v>
      </x:c>
      <x:c r="E3396" s="84" t="n">
        <x:v>3.5</x:v>
      </x:c>
      <x:c r="F3396" s="84" t="str">
        <x:v>Normal</x:v>
      </x:c>
      <x:c r="G3396" s="93" t="n">
        <x:v>141.82</x:v>
      </x:c>
      <x:c r="H3396" s="85" t="str">
        <x:v>Diagnóstico e execução</x:v>
      </x:c>
    </x:row>
    <x:row r="3397">
      <x:c r="A3397" s="83" t="n">
        <x:v>3396</x:v>
      </x:c>
      <x:c r="B3397" s="84" t="n">
        <x:v>1987</x:v>
      </x:c>
      <x:c r="C3397" s="84" t="n">
        <x:v>42</x:v>
      </x:c>
      <x:c r="D3397" s="89" t="n">
        <x:v>45983</x:v>
      </x:c>
      <x:c r="E3397" s="84" t="n">
        <x:v>2.6</x:v>
      </x:c>
      <x:c r="F3397" s="84" t="str">
        <x:v>Normal</x:v>
      </x:c>
      <x:c r="G3397" s="93" t="n">
        <x:v>109.67</x:v>
      </x:c>
      <x:c r="H3397" s="85" t="str">
        <x:v>Diagnóstico e execução</x:v>
      </x:c>
    </x:row>
    <x:row r="3398">
      <x:c r="A3398" s="83" t="n">
        <x:v>3397</x:v>
      </x:c>
      <x:c r="B3398" s="84" t="n">
        <x:v>1988</x:v>
      </x:c>
      <x:c r="C3398" s="84" t="n">
        <x:v>18</x:v>
      </x:c>
      <x:c r="D3398" s="89" t="n">
        <x:v>45425</x:v>
      </x:c>
      <x:c r="E3398" s="84" t="n">
        <x:v>5.1</x:v>
      </x:c>
      <x:c r="F3398" s="84" t="str">
        <x:v>Normal</x:v>
      </x:c>
      <x:c r="G3398" s="93" t="n">
        <x:v>321.76</x:v>
      </x:c>
      <x:c r="H3398" s="85" t="str">
        <x:v>Diagnóstico e execução</x:v>
      </x:c>
    </x:row>
    <x:row r="3399">
      <x:c r="A3399" s="83" t="n">
        <x:v>3398</x:v>
      </x:c>
      <x:c r="B3399" s="84" t="n">
        <x:v>1988</x:v>
      </x:c>
      <x:c r="C3399" s="84" t="n">
        <x:v>1</x:v>
      </x:c>
      <x:c r="D3399" s="89" t="n">
        <x:v>45425</x:v>
      </x:c>
      <x:c r="E3399" s="84" t="n">
        <x:v>2.9</x:v>
      </x:c>
      <x:c r="F3399" s="84" t="str">
        <x:v>Normal</x:v>
      </x:c>
      <x:c r="G3399" s="93" t="n">
        <x:v>102.57</x:v>
      </x:c>
      <x:c r="H3399" s="85" t="str">
        <x:v>Diagnóstico e execução</x:v>
      </x:c>
    </x:row>
    <x:row r="3400">
      <x:c r="A3400" s="83" t="n">
        <x:v>3399</x:v>
      </x:c>
      <x:c r="B3400" s="84" t="n">
        <x:v>1989</x:v>
      </x:c>
      <x:c r="C3400" s="84" t="n">
        <x:v>16</x:v>
      </x:c>
      <x:c r="D3400" s="89" t="n">
        <x:v>45247</x:v>
      </x:c>
      <x:c r="E3400" s="84" t="n">
        <x:v>3.4</x:v>
      </x:c>
      <x:c r="F3400" s="84" t="str">
        <x:v>Normal</x:v>
      </x:c>
      <x:c r="G3400" s="93" t="n">
        <x:v>137.77</x:v>
      </x:c>
      <x:c r="H3400" s="85" t="str">
        <x:v>Diagnóstico e execução</x:v>
      </x:c>
    </x:row>
    <x:row r="3401">
      <x:c r="A3401" s="83" t="n">
        <x:v>3400</x:v>
      </x:c>
      <x:c r="B3401" s="84" t="n">
        <x:v>1989</x:v>
      </x:c>
      <x:c r="C3401" s="84" t="n">
        <x:v>38</x:v>
      </x:c>
      <x:c r="D3401" s="89" t="n">
        <x:v>45247</x:v>
      </x:c>
      <x:c r="E3401" s="84" t="n">
        <x:v>0.7</x:v>
      </x:c>
      <x:c r="F3401" s="84" t="str">
        <x:v>Normal</x:v>
      </x:c>
      <x:c r="G3401" s="93" t="n">
        <x:v>23.57</x:v>
      </x:c>
      <x:c r="H3401" s="85" t="str">
        <x:v>Diagnóstico e execução</x:v>
      </x:c>
    </x:row>
    <x:row r="3402">
      <x:c r="A3402" s="83" t="n">
        <x:v>3401</x:v>
      </x:c>
      <x:c r="B3402" s="84" t="n">
        <x:v>1989</x:v>
      </x:c>
      <x:c r="C3402" s="84" t="n">
        <x:v>18</x:v>
      </x:c>
      <x:c r="D3402" s="89" t="n">
        <x:v>45247</x:v>
      </x:c>
      <x:c r="E3402" s="84" t="n">
        <x:v>6</x:v>
      </x:c>
      <x:c r="F3402" s="84" t="str">
        <x:v>Normal</x:v>
      </x:c>
      <x:c r="G3402" s="93" t="n">
        <x:v>378.54</x:v>
      </x:c>
      <x:c r="H3402" s="85" t="str">
        <x:v>Diagnóstico e execução</x:v>
      </x:c>
    </x:row>
    <x:row r="3403">
      <x:c r="A3403" s="83" t="n">
        <x:v>3402</x:v>
      </x:c>
      <x:c r="B3403" s="84" t="n">
        <x:v>1990</x:v>
      </x:c>
      <x:c r="C3403" s="84" t="n">
        <x:v>21</x:v>
      </x:c>
      <x:c r="D3403" s="89" t="n">
        <x:v>45185</x:v>
      </x:c>
      <x:c r="E3403" s="84" t="n">
        <x:v>7.7</x:v>
      </x:c>
      <x:c r="F3403" s="84" t="str">
        <x:v>Normal</x:v>
      </x:c>
      <x:c r="G3403" s="93" t="n">
        <x:v>473.01</x:v>
      </x:c>
      <x:c r="H3403" s="85" t="str">
        <x:v>Diagnóstico e execução</x:v>
      </x:c>
    </x:row>
    <x:row r="3404">
      <x:c r="A3404" s="83" t="n">
        <x:v>3403</x:v>
      </x:c>
      <x:c r="B3404" s="84" t="n">
        <x:v>1990</x:v>
      </x:c>
      <x:c r="C3404" s="84" t="n">
        <x:v>25</x:v>
      </x:c>
      <x:c r="D3404" s="89" t="n">
        <x:v>45185</x:v>
      </x:c>
      <x:c r="E3404" s="84" t="n">
        <x:v>2.7</x:v>
      </x:c>
      <x:c r="F3404" s="84" t="str">
        <x:v>Normal</x:v>
      </x:c>
      <x:c r="G3404" s="93" t="n">
        <x:v>144.69</x:v>
      </x:c>
      <x:c r="H3404" s="85" t="str">
        <x:v>Diagnóstico e execução</x:v>
      </x:c>
    </x:row>
    <x:row r="3405">
      <x:c r="A3405" s="83" t="n">
        <x:v>3404</x:v>
      </x:c>
      <x:c r="B3405" s="84" t="n">
        <x:v>1990</x:v>
      </x:c>
      <x:c r="C3405" s="84" t="n">
        <x:v>11</x:v>
      </x:c>
      <x:c r="D3405" s="89" t="n">
        <x:v>45185</x:v>
      </x:c>
      <x:c r="E3405" s="84" t="n">
        <x:v>2.5</x:v>
      </x:c>
      <x:c r="F3405" s="84" t="str">
        <x:v>Normal</x:v>
      </x:c>
      <x:c r="G3405" s="93" t="n">
        <x:v>104.2</x:v>
      </x:c>
      <x:c r="H3405" s="85" t="str">
        <x:v>Diagnóstico e execução</x:v>
      </x:c>
    </x:row>
    <x:row r="3406">
      <x:c r="A3406" s="83" t="n">
        <x:v>3405</x:v>
      </x:c>
      <x:c r="B3406" s="84" t="n">
        <x:v>1991</x:v>
      </x:c>
      <x:c r="C3406" s="84" t="n">
        <x:v>43</x:v>
      </x:c>
      <x:c r="D3406" s="89" t="n">
        <x:v>45046</x:v>
      </x:c>
      <x:c r="E3406" s="84" t="n">
        <x:v>1</x:v>
      </x:c>
      <x:c r="F3406" s="84" t="str">
        <x:v>Normal</x:v>
      </x:c>
      <x:c r="G3406" s="93" t="n">
        <x:v>54.66</x:v>
      </x:c>
      <x:c r="H3406" s="85" t="str">
        <x:v>Diagnóstico e execução</x:v>
      </x:c>
    </x:row>
    <x:row r="3407">
      <x:c r="A3407" s="83" t="n">
        <x:v>3406</x:v>
      </x:c>
      <x:c r="B3407" s="84" t="n">
        <x:v>1991</x:v>
      </x:c>
      <x:c r="C3407" s="84" t="n">
        <x:v>27</x:v>
      </x:c>
      <x:c r="D3407" s="89" t="n">
        <x:v>45046</x:v>
      </x:c>
      <x:c r="E3407" s="84" t="n">
        <x:v>3.3</x:v>
      </x:c>
      <x:c r="F3407" s="84" t="str">
        <x:v>Normal</x:v>
      </x:c>
      <x:c r="G3407" s="93" t="n">
        <x:v>201.27</x:v>
      </x:c>
      <x:c r="H3407" s="85" t="str">
        <x:v>Diagnóstico e execução</x:v>
      </x:c>
    </x:row>
    <x:row r="3408">
      <x:c r="A3408" s="83" t="n">
        <x:v>3407</x:v>
      </x:c>
      <x:c r="B3408" s="84" t="n">
        <x:v>1991</x:v>
      </x:c>
      <x:c r="C3408" s="84" t="n">
        <x:v>4</x:v>
      </x:c>
      <x:c r="D3408" s="89" t="n">
        <x:v>45046</x:v>
      </x:c>
      <x:c r="E3408" s="84" t="n">
        <x:v>5.2</x:v>
      </x:c>
      <x:c r="F3408" s="84" t="str">
        <x:v>Normal</x:v>
      </x:c>
      <x:c r="G3408" s="93" t="n">
        <x:v>255.79</x:v>
      </x:c>
      <x:c r="H3408" s="85" t="str">
        <x:v>Diagnóstico e execução</x:v>
      </x:c>
    </x:row>
    <x:row r="3409">
      <x:c r="A3409" s="83" t="n">
        <x:v>3408</x:v>
      </x:c>
      <x:c r="B3409" s="84" t="n">
        <x:v>1992</x:v>
      </x:c>
      <x:c r="C3409" s="84" t="n">
        <x:v>22</x:v>
      </x:c>
      <x:c r="D3409" s="89" t="n">
        <x:v>45253</x:v>
      </x:c>
      <x:c r="E3409" s="84" t="n">
        <x:v>2.3</x:v>
      </x:c>
      <x:c r="F3409" s="84" t="str">
        <x:v>Normal</x:v>
      </x:c>
      <x:c r="G3409" s="93" t="n">
        <x:v>88.46</x:v>
      </x:c>
      <x:c r="H3409" s="85" t="str">
        <x:v>Diagnóstico e execução</x:v>
      </x:c>
    </x:row>
    <x:row r="3410">
      <x:c r="A3410" s="83" t="n">
        <x:v>3409</x:v>
      </x:c>
      <x:c r="B3410" s="84" t="n">
        <x:v>1992</x:v>
      </x:c>
      <x:c r="C3410" s="84" t="n">
        <x:v>34</x:v>
      </x:c>
      <x:c r="D3410" s="89" t="n">
        <x:v>45253</x:v>
      </x:c>
      <x:c r="E3410" s="84" t="n">
        <x:v>7.8</x:v>
      </x:c>
      <x:c r="F3410" s="84" t="str">
        <x:v>Normal</x:v>
      </x:c>
      <x:c r="G3410" s="93" t="n">
        <x:v>337.19</x:v>
      </x:c>
      <x:c r="H3410" s="85" t="str">
        <x:v>Diagnóstico e execução</x:v>
      </x:c>
    </x:row>
    <x:row r="3411">
      <x:c r="A3411" s="83" t="n">
        <x:v>3410</x:v>
      </x:c>
      <x:c r="B3411" s="84" t="n">
        <x:v>1992</x:v>
      </x:c>
      <x:c r="C3411" s="84" t="n">
        <x:v>44</x:v>
      </x:c>
      <x:c r="D3411" s="89" t="n">
        <x:v>45253</x:v>
      </x:c>
      <x:c r="E3411" s="84" t="n">
        <x:v>6.3</x:v>
      </x:c>
      <x:c r="F3411" s="84" t="str">
        <x:v>Normal</x:v>
      </x:c>
      <x:c r="G3411" s="93" t="n">
        <x:v>176.65</x:v>
      </x:c>
      <x:c r="H3411" s="85" t="str">
        <x:v>Diagnóstico e execução</x:v>
      </x:c>
    </x:row>
    <x:row r="3412">
      <x:c r="A3412" s="83" t="n">
        <x:v>3411</x:v>
      </x:c>
      <x:c r="B3412" s="84" t="n">
        <x:v>1994</x:v>
      </x:c>
      <x:c r="C3412" s="84" t="n">
        <x:v>15</x:v>
      </x:c>
      <x:c r="D3412" s="89" t="n">
        <x:v>45045</x:v>
      </x:c>
      <x:c r="E3412" s="84" t="n">
        <x:v>2.6</x:v>
      </x:c>
      <x:c r="F3412" s="84" t="str">
        <x:v>Normal</x:v>
      </x:c>
      <x:c r="G3412" s="93" t="n">
        <x:v>78.62</x:v>
      </x:c>
      <x:c r="H3412" s="85" t="str">
        <x:v>Diagnóstico e execução</x:v>
      </x:c>
    </x:row>
    <x:row r="3413">
      <x:c r="A3413" s="83" t="n">
        <x:v>3412</x:v>
      </x:c>
      <x:c r="B3413" s="84" t="n">
        <x:v>1994</x:v>
      </x:c>
      <x:c r="C3413" s="84" t="n">
        <x:v>44</x:v>
      </x:c>
      <x:c r="D3413" s="89" t="n">
        <x:v>45045</x:v>
      </x:c>
      <x:c r="E3413" s="84" t="n">
        <x:v>5.6</x:v>
      </x:c>
      <x:c r="F3413" s="84" t="str">
        <x:v>Normal</x:v>
      </x:c>
      <x:c r="G3413" s="93" t="n">
        <x:v>157.02</x:v>
      </x:c>
      <x:c r="H3413" s="85" t="str">
        <x:v>Diagnóstico e execução</x:v>
      </x:c>
    </x:row>
    <x:row r="3414">
      <x:c r="A3414" s="83" t="n">
        <x:v>3413</x:v>
      </x:c>
      <x:c r="B3414" s="84" t="n">
        <x:v>1995</x:v>
      </x:c>
      <x:c r="C3414" s="84" t="n">
        <x:v>12</x:v>
      </x:c>
      <x:c r="D3414" s="89" t="n">
        <x:v>45677</x:v>
      </x:c>
      <x:c r="E3414" s="84" t="n">
        <x:v>3.8</x:v>
      </x:c>
      <x:c r="F3414" s="84" t="str">
        <x:v>Normal</x:v>
      </x:c>
      <x:c r="G3414" s="93" t="n">
        <x:v>131.1</x:v>
      </x:c>
      <x:c r="H3414" s="85" t="str">
        <x:v>Diagnóstico e execução</x:v>
      </x:c>
    </x:row>
    <x:row r="3415">
      <x:c r="A3415" s="83" t="n">
        <x:v>3414</x:v>
      </x:c>
      <x:c r="B3415" s="84" t="n">
        <x:v>1996</x:v>
      </x:c>
      <x:c r="C3415" s="84" t="n">
        <x:v>32</x:v>
      </x:c>
      <x:c r="D3415" s="89" t="n">
        <x:v>45662</x:v>
      </x:c>
      <x:c r="E3415" s="84" t="n">
        <x:v>2.2</x:v>
      </x:c>
      <x:c r="F3415" s="84" t="str">
        <x:v>Normal</x:v>
      </x:c>
      <x:c r="G3415" s="93" t="n">
        <x:v>96.03</x:v>
      </x:c>
      <x:c r="H3415" s="85" t="str">
        <x:v>Diagnóstico e execução</x:v>
      </x:c>
    </x:row>
    <x:row r="3416">
      <x:c r="A3416" s="83" t="n">
        <x:v>3415</x:v>
      </x:c>
      <x:c r="B3416" s="84" t="n">
        <x:v>1997</x:v>
      </x:c>
      <x:c r="C3416" s="84" t="n">
        <x:v>24</x:v>
      </x:c>
      <x:c r="D3416" s="89" t="n">
        <x:v>45950</x:v>
      </x:c>
      <x:c r="E3416" s="84" t="n">
        <x:v>6.7</x:v>
      </x:c>
      <x:c r="F3416" s="84" t="str">
        <x:v>Normal</x:v>
      </x:c>
      <x:c r="G3416" s="93" t="n">
        <x:v>396.91</x:v>
      </x:c>
      <x:c r="H3416" s="85" t="str">
        <x:v>Diagnóstico e execução</x:v>
      </x:c>
    </x:row>
    <x:row r="3417">
      <x:c r="A3417" s="83" t="n">
        <x:v>3416</x:v>
      </x:c>
      <x:c r="B3417" s="84" t="n">
        <x:v>1997</x:v>
      </x:c>
      <x:c r="C3417" s="84" t="n">
        <x:v>22</x:v>
      </x:c>
      <x:c r="D3417" s="89" t="n">
        <x:v>45950</x:v>
      </x:c>
      <x:c r="E3417" s="84" t="n">
        <x:v>5.4</x:v>
      </x:c>
      <x:c r="F3417" s="84" t="str">
        <x:v>Normal</x:v>
      </x:c>
      <x:c r="G3417" s="93" t="n">
        <x:v>207.68</x:v>
      </x:c>
      <x:c r="H3417" s="85" t="str">
        <x:v>Diagnóstico e execução</x:v>
      </x:c>
    </x:row>
    <x:row r="3418">
      <x:c r="A3418" s="83" t="n">
        <x:v>3417</x:v>
      </x:c>
      <x:c r="B3418" s="84" t="n">
        <x:v>1997</x:v>
      </x:c>
      <x:c r="C3418" s="84" t="n">
        <x:v>33</x:v>
      </x:c>
      <x:c r="D3418" s="89" t="n">
        <x:v>45950</x:v>
      </x:c>
      <x:c r="E3418" s="84" t="n">
        <x:v>4.1</x:v>
      </x:c>
      <x:c r="F3418" s="84" t="str">
        <x:v>Normal</x:v>
      </x:c>
      <x:c r="G3418" s="93" t="n">
        <x:v>141.41</x:v>
      </x:c>
      <x:c r="H3418" s="85" t="str">
        <x:v>Diagnóstico e execução</x:v>
      </x:c>
    </x:row>
    <x:row r="3419">
      <x:c r="A3419" s="83" t="n">
        <x:v>3418</x:v>
      </x:c>
      <x:c r="B3419" s="84" t="n">
        <x:v>1998</x:v>
      </x:c>
      <x:c r="C3419" s="84" t="n">
        <x:v>1</x:v>
      </x:c>
      <x:c r="D3419" s="89" t="n">
        <x:v>45687</x:v>
      </x:c>
      <x:c r="E3419" s="84" t="n">
        <x:v>1.8</x:v>
      </x:c>
      <x:c r="F3419" s="84" t="str">
        <x:v>Normal</x:v>
      </x:c>
      <x:c r="G3419" s="93" t="n">
        <x:v>63.67</x:v>
      </x:c>
      <x:c r="H3419" s="85" t="str">
        <x:v>Diagnóstico e execução</x:v>
      </x:c>
    </x:row>
    <x:row r="3420">
      <x:c r="A3420" s="83" t="n">
        <x:v>3419</x:v>
      </x:c>
      <x:c r="B3420" s="84" t="n">
        <x:v>1998</x:v>
      </x:c>
      <x:c r="C3420" s="84" t="n">
        <x:v>29</x:v>
      </x:c>
      <x:c r="D3420" s="89" t="n">
        <x:v>45687</x:v>
      </x:c>
      <x:c r="E3420" s="84" t="n">
        <x:v>3.8</x:v>
      </x:c>
      <x:c r="F3420" s="84" t="str">
        <x:v>Normal</x:v>
      </x:c>
      <x:c r="G3420" s="93" t="n">
        <x:v>188.18</x:v>
      </x:c>
      <x:c r="H3420" s="85" t="str">
        <x:v>Diagnóstico e execução</x:v>
      </x:c>
    </x:row>
    <x:row r="3421">
      <x:c r="A3421" s="83" t="n">
        <x:v>3420</x:v>
      </x:c>
      <x:c r="B3421" s="84" t="n">
        <x:v>1998</x:v>
      </x:c>
      <x:c r="C3421" s="84" t="n">
        <x:v>10</x:v>
      </x:c>
      <x:c r="D3421" s="89" t="n">
        <x:v>45687</x:v>
      </x:c>
      <x:c r="E3421" s="84" t="n">
        <x:v>4.4</x:v>
      </x:c>
      <x:c r="F3421" s="84" t="str">
        <x:v>Normal</x:v>
      </x:c>
      <x:c r="G3421" s="93" t="n">
        <x:v>130.64</x:v>
      </x:c>
      <x:c r="H3421" s="85" t="str">
        <x:v>Diagnóstico e execução</x:v>
      </x:c>
    </x:row>
    <x:row r="3422">
      <x:c r="A3422" s="83" t="n">
        <x:v>3421</x:v>
      </x:c>
      <x:c r="B3422" s="84" t="n">
        <x:v>1999</x:v>
      </x:c>
      <x:c r="C3422" s="84" t="n">
        <x:v>42</x:v>
      </x:c>
      <x:c r="D3422" s="89" t="n">
        <x:v>45859</x:v>
      </x:c>
      <x:c r="E3422" s="84" t="n">
        <x:v>1.4</x:v>
      </x:c>
      <x:c r="F3422" s="84" t="str">
        <x:v>Normal</x:v>
      </x:c>
      <x:c r="G3422" s="93" t="n">
        <x:v>59.05</x:v>
      </x:c>
      <x:c r="H3422" s="85" t="str">
        <x:v>Diagnóstico e execução</x:v>
      </x:c>
    </x:row>
    <x:row r="3423">
      <x:c r="A3423" s="83" t="n">
        <x:v>3422</x:v>
      </x:c>
      <x:c r="B3423" s="84" t="n">
        <x:v>2000</x:v>
      </x:c>
      <x:c r="C3423" s="84" t="n">
        <x:v>5</x:v>
      </x:c>
      <x:c r="D3423" s="89" t="n">
        <x:v>45835</x:v>
      </x:c>
      <x:c r="E3423" s="84" t="n">
        <x:v>6.9</x:v>
      </x:c>
      <x:c r="F3423" s="84" t="str">
        <x:v>Normal</x:v>
      </x:c>
      <x:c r="G3423" s="93" t="n">
        <x:v>198.86</x:v>
      </x:c>
      <x:c r="H3423" s="85" t="str">
        <x:v>Diagnóstico e execução</x:v>
      </x:c>
    </x:row>
    <x:row r="3424">
      <x:c r="A3424" s="83" t="n">
        <x:v>3423</x:v>
      </x:c>
      <x:c r="B3424" s="84" t="n">
        <x:v>2001</x:v>
      </x:c>
      <x:c r="C3424" s="84" t="n">
        <x:v>32</x:v>
      </x:c>
      <x:c r="D3424" s="89" t="n">
        <x:v>45544</x:v>
      </x:c>
      <x:c r="E3424" s="84" t="n">
        <x:v>7.5</x:v>
      </x:c>
      <x:c r="F3424" s="84" t="str">
        <x:v>Normal</x:v>
      </x:c>
      <x:c r="G3424" s="93" t="n">
        <x:v>327.38</x:v>
      </x:c>
      <x:c r="H3424" s="85" t="str">
        <x:v>Diagnóstico e execução</x:v>
      </x:c>
    </x:row>
    <x:row r="3425">
      <x:c r="A3425" s="83" t="n">
        <x:v>3424</x:v>
      </x:c>
      <x:c r="B3425" s="84" t="n">
        <x:v>2004</x:v>
      </x:c>
      <x:c r="C3425" s="84" t="n">
        <x:v>17</x:v>
      </x:c>
      <x:c r="D3425" s="89" t="n">
        <x:v>45519</x:v>
      </x:c>
      <x:c r="E3425" s="84" t="n">
        <x:v>1.7</x:v>
      </x:c>
      <x:c r="F3425" s="84" t="str">
        <x:v>Normal</x:v>
      </x:c>
      <x:c r="G3425" s="93" t="n">
        <x:v>94.83</x:v>
      </x:c>
      <x:c r="H3425" s="85" t="str">
        <x:v>Diagnóstico e execução</x:v>
      </x:c>
    </x:row>
    <x:row r="3426">
      <x:c r="A3426" s="83" t="n">
        <x:v>3425</x:v>
      </x:c>
      <x:c r="B3426" s="84" t="n">
        <x:v>2004</x:v>
      </x:c>
      <x:c r="C3426" s="84" t="n">
        <x:v>10</x:v>
      </x:c>
      <x:c r="D3426" s="89" t="n">
        <x:v>45519</x:v>
      </x:c>
      <x:c r="E3426" s="84" t="n">
        <x:v>5.4</x:v>
      </x:c>
      <x:c r="F3426" s="84" t="str">
        <x:v>Normal</x:v>
      </x:c>
      <x:c r="G3426" s="93" t="n">
        <x:v>160.33</x:v>
      </x:c>
      <x:c r="H3426" s="85" t="str">
        <x:v>Diagnóstico e execução</x:v>
      </x:c>
    </x:row>
    <x:row r="3427">
      <x:c r="A3427" s="83" t="n">
        <x:v>3426</x:v>
      </x:c>
      <x:c r="B3427" s="84" t="n">
        <x:v>2005</x:v>
      </x:c>
      <x:c r="C3427" s="84" t="n">
        <x:v>14</x:v>
      </x:c>
      <x:c r="D3427" s="89" t="n">
        <x:v>45375</x:v>
      </x:c>
      <x:c r="E3427" s="84" t="n">
        <x:v>0.6</x:v>
      </x:c>
      <x:c r="F3427" s="84" t="str">
        <x:v>Normal</x:v>
      </x:c>
      <x:c r="G3427" s="93" t="n">
        <x:v>34</x:v>
      </x:c>
      <x:c r="H3427" s="85" t="str">
        <x:v>Diagnóstico e execução</x:v>
      </x:c>
    </x:row>
    <x:row r="3428">
      <x:c r="A3428" s="83" t="n">
        <x:v>3427</x:v>
      </x:c>
      <x:c r="B3428" s="84" t="n">
        <x:v>2006</x:v>
      </x:c>
      <x:c r="C3428" s="84" t="n">
        <x:v>14</x:v>
      </x:c>
      <x:c r="D3428" s="89" t="n">
        <x:v>45880</x:v>
      </x:c>
      <x:c r="E3428" s="84" t="n">
        <x:v>2.6</x:v>
      </x:c>
      <x:c r="F3428" s="84" t="str">
        <x:v>Normal</x:v>
      </x:c>
      <x:c r="G3428" s="93" t="n">
        <x:v>147.32</x:v>
      </x:c>
      <x:c r="H3428" s="85" t="str">
        <x:v>Diagnóstico e execução</x:v>
      </x:c>
    </x:row>
    <x:row r="3429">
      <x:c r="A3429" s="83" t="n">
        <x:v>3428</x:v>
      </x:c>
      <x:c r="B3429" s="84" t="n">
        <x:v>2007</x:v>
      </x:c>
      <x:c r="C3429" s="84" t="n">
        <x:v>21</x:v>
      </x:c>
      <x:c r="D3429" s="89" t="n">
        <x:v>45682</x:v>
      </x:c>
      <x:c r="E3429" s="84" t="n">
        <x:v>3.5</x:v>
      </x:c>
      <x:c r="F3429" s="84" t="str">
        <x:v>Normal</x:v>
      </x:c>
      <x:c r="G3429" s="93" t="n">
        <x:v>215</x:v>
      </x:c>
      <x:c r="H3429" s="85" t="str">
        <x:v>Diagnóstico e execução</x:v>
      </x:c>
    </x:row>
    <x:row r="3430">
      <x:c r="A3430" s="83" t="n">
        <x:v>3429</x:v>
      </x:c>
      <x:c r="B3430" s="84" t="n">
        <x:v>2008</x:v>
      </x:c>
      <x:c r="C3430" s="84" t="n">
        <x:v>31</x:v>
      </x:c>
      <x:c r="D3430" s="89" t="n">
        <x:v>45952</x:v>
      </x:c>
      <x:c r="E3430" s="84" t="n">
        <x:v>2.2</x:v>
      </x:c>
      <x:c r="F3430" s="84" t="str">
        <x:v>Normal</x:v>
      </x:c>
      <x:c r="G3430" s="93" t="n">
        <x:v>107.58</x:v>
      </x:c>
      <x:c r="H3430" s="85" t="str">
        <x:v>Diagnóstico e execução</x:v>
      </x:c>
    </x:row>
    <x:row r="3431">
      <x:c r="A3431" s="83" t="n">
        <x:v>3430</x:v>
      </x:c>
      <x:c r="B3431" s="84" t="n">
        <x:v>2008</x:v>
      </x:c>
      <x:c r="C3431" s="84" t="n">
        <x:v>14</x:v>
      </x:c>
      <x:c r="D3431" s="89" t="n">
        <x:v>45952</x:v>
      </x:c>
      <x:c r="E3431" s="84" t="n">
        <x:v>6.3</x:v>
      </x:c>
      <x:c r="F3431" s="84" t="str">
        <x:v>Normal</x:v>
      </x:c>
      <x:c r="G3431" s="93" t="n">
        <x:v>356.96</x:v>
      </x:c>
      <x:c r="H3431" s="85" t="str">
        <x:v>Diagnóstico e execução</x:v>
      </x:c>
    </x:row>
    <x:row r="3432">
      <x:c r="A3432" s="83" t="n">
        <x:v>3431</x:v>
      </x:c>
      <x:c r="B3432" s="84" t="n">
        <x:v>2008</x:v>
      </x:c>
      <x:c r="C3432" s="84" t="n">
        <x:v>17</x:v>
      </x:c>
      <x:c r="D3432" s="89" t="n">
        <x:v>45952</x:v>
      </x:c>
      <x:c r="E3432" s="84" t="n">
        <x:v>4.5</x:v>
      </x:c>
      <x:c r="F3432" s="84" t="str">
        <x:v>Normal</x:v>
      </x:c>
      <x:c r="G3432" s="93" t="n">
        <x:v>251.01</x:v>
      </x:c>
      <x:c r="H3432" s="85" t="str">
        <x:v>Diagnóstico e execução</x:v>
      </x:c>
    </x:row>
    <x:row r="3433">
      <x:c r="A3433" s="83" t="n">
        <x:v>3432</x:v>
      </x:c>
      <x:c r="B3433" s="84" t="n">
        <x:v>2009</x:v>
      </x:c>
      <x:c r="C3433" s="84" t="n">
        <x:v>2</x:v>
      </x:c>
      <x:c r="D3433" s="89" t="n">
        <x:v>45340</x:v>
      </x:c>
      <x:c r="E3433" s="84" t="n">
        <x:v>5.8</x:v>
      </x:c>
      <x:c r="F3433" s="84" t="str">
        <x:v>Normal</x:v>
      </x:c>
      <x:c r="G3433" s="93" t="n">
        <x:v>216.11</x:v>
      </x:c>
      <x:c r="H3433" s="85" t="str">
        <x:v>Diagnóstico e execução</x:v>
      </x:c>
    </x:row>
    <x:row r="3434">
      <x:c r="A3434" s="83" t="n">
        <x:v>3433</x:v>
      </x:c>
      <x:c r="B3434" s="84" t="n">
        <x:v>2009</x:v>
      </x:c>
      <x:c r="C3434" s="84" t="n">
        <x:v>2</x:v>
      </x:c>
      <x:c r="D3434" s="89" t="n">
        <x:v>45340</x:v>
      </x:c>
      <x:c r="E3434" s="84" t="n">
        <x:v>1.8</x:v>
      </x:c>
      <x:c r="F3434" s="84" t="str">
        <x:v>Normal</x:v>
      </x:c>
      <x:c r="G3434" s="93" t="n">
        <x:v>67.07</x:v>
      </x:c>
      <x:c r="H3434" s="85" t="str">
        <x:v>Diagnóstico e execução</x:v>
      </x:c>
    </x:row>
    <x:row r="3435">
      <x:c r="A3435" s="83" t="n">
        <x:v>3434</x:v>
      </x:c>
      <x:c r="B3435" s="84" t="n">
        <x:v>2009</x:v>
      </x:c>
      <x:c r="C3435" s="84" t="n">
        <x:v>4</x:v>
      </x:c>
      <x:c r="D3435" s="89" t="n">
        <x:v>45340</x:v>
      </x:c>
      <x:c r="E3435" s="84" t="n">
        <x:v>6</x:v>
      </x:c>
      <x:c r="F3435" s="84" t="str">
        <x:v>Normal</x:v>
      </x:c>
      <x:c r="G3435" s="93" t="n">
        <x:v>295.14</x:v>
      </x:c>
      <x:c r="H3435" s="85" t="str">
        <x:v>Diagnóstico e execução</x:v>
      </x:c>
    </x:row>
    <x:row r="3436">
      <x:c r="A3436" s="83" t="n">
        <x:v>3435</x:v>
      </x:c>
      <x:c r="B3436" s="84" t="n">
        <x:v>2010</x:v>
      </x:c>
      <x:c r="C3436" s="84" t="n">
        <x:v>1</x:v>
      </x:c>
      <x:c r="D3436" s="89" t="n">
        <x:v>45235</x:v>
      </x:c>
      <x:c r="E3436" s="84" t="n">
        <x:v>0.9</x:v>
      </x:c>
      <x:c r="F3436" s="84" t="str">
        <x:v>Normal</x:v>
      </x:c>
      <x:c r="G3436" s="93" t="n">
        <x:v>31.83</x:v>
      </x:c>
      <x:c r="H3436" s="85" t="str">
        <x:v>Diagnóstico e execução</x:v>
      </x:c>
    </x:row>
    <x:row r="3437">
      <x:c r="A3437" s="83" t="n">
        <x:v>3436</x:v>
      </x:c>
      <x:c r="B3437" s="84" t="n">
        <x:v>2012</x:v>
      </x:c>
      <x:c r="C3437" s="84" t="n">
        <x:v>30</x:v>
      </x:c>
      <x:c r="D3437" s="89" t="n">
        <x:v>45749</x:v>
      </x:c>
      <x:c r="E3437" s="84" t="n">
        <x:v>5.4</x:v>
      </x:c>
      <x:c r="F3437" s="84" t="str">
        <x:v>Normal</x:v>
      </x:c>
      <x:c r="G3437" s="93" t="n">
        <x:v>223.61</x:v>
      </x:c>
      <x:c r="H3437" s="85" t="str">
        <x:v>Diagnóstico e execução</x:v>
      </x:c>
    </x:row>
    <x:row r="3438">
      <x:c r="A3438" s="83" t="n">
        <x:v>3437</x:v>
      </x:c>
      <x:c r="B3438" s="84" t="n">
        <x:v>2012</x:v>
      </x:c>
      <x:c r="C3438" s="84" t="n">
        <x:v>35</x:v>
      </x:c>
      <x:c r="D3438" s="89" t="n">
        <x:v>45749</x:v>
      </x:c>
      <x:c r="E3438" s="84" t="n">
        <x:v>4.2</x:v>
      </x:c>
      <x:c r="F3438" s="84" t="str">
        <x:v>Normal</x:v>
      </x:c>
      <x:c r="G3438" s="93" t="n">
        <x:v>206.6</x:v>
      </x:c>
      <x:c r="H3438" s="85" t="str">
        <x:v>Diagnóstico e execução</x:v>
      </x:c>
    </x:row>
    <x:row r="3439">
      <x:c r="A3439" s="83" t="n">
        <x:v>3438</x:v>
      </x:c>
      <x:c r="B3439" s="84" t="n">
        <x:v>2012</x:v>
      </x:c>
      <x:c r="C3439" s="84" t="n">
        <x:v>26</x:v>
      </x:c>
      <x:c r="D3439" s="89" t="n">
        <x:v>45749</x:v>
      </x:c>
      <x:c r="E3439" s="84" t="n">
        <x:v>2.8</x:v>
      </x:c>
      <x:c r="F3439" s="84" t="str">
        <x:v>Normal</x:v>
      </x:c>
      <x:c r="G3439" s="93" t="n">
        <x:v>109.54</x:v>
      </x:c>
      <x:c r="H3439" s="85" t="str">
        <x:v>Diagnóstico e execução</x:v>
      </x:c>
    </x:row>
    <x:row r="3440">
      <x:c r="A3440" s="83" t="n">
        <x:v>3439</x:v>
      </x:c>
      <x:c r="B3440" s="84" t="n">
        <x:v>2013</x:v>
      </x:c>
      <x:c r="C3440" s="84" t="n">
        <x:v>16</x:v>
      </x:c>
      <x:c r="D3440" s="89" t="n">
        <x:v>45465</x:v>
      </x:c>
      <x:c r="E3440" s="84" t="n">
        <x:v>3.6</x:v>
      </x:c>
      <x:c r="F3440" s="84" t="str">
        <x:v>Normal</x:v>
      </x:c>
      <x:c r="G3440" s="93" t="n">
        <x:v>145.87</x:v>
      </x:c>
      <x:c r="H3440" s="85" t="str">
        <x:v>Diagnóstico e execução</x:v>
      </x:c>
    </x:row>
    <x:row r="3441">
      <x:c r="A3441" s="83" t="n">
        <x:v>3440</x:v>
      </x:c>
      <x:c r="B3441" s="84" t="n">
        <x:v>2013</x:v>
      </x:c>
      <x:c r="C3441" s="84" t="n">
        <x:v>30</x:v>
      </x:c>
      <x:c r="D3441" s="89" t="n">
        <x:v>45465</x:v>
      </x:c>
      <x:c r="E3441" s="84" t="n">
        <x:v>1.3</x:v>
      </x:c>
      <x:c r="F3441" s="84" t="str">
        <x:v>Normal</x:v>
      </x:c>
      <x:c r="G3441" s="93" t="n">
        <x:v>53.83</x:v>
      </x:c>
      <x:c r="H3441" s="85" t="str">
        <x:v>Diagnóstico e execução</x:v>
      </x:c>
    </x:row>
    <x:row r="3442">
      <x:c r="A3442" s="83" t="n">
        <x:v>3441</x:v>
      </x:c>
      <x:c r="B3442" s="84" t="n">
        <x:v>2014</x:v>
      </x:c>
      <x:c r="C3442" s="84" t="n">
        <x:v>15</x:v>
      </x:c>
      <x:c r="D3442" s="89" t="n">
        <x:v>45833</x:v>
      </x:c>
      <x:c r="E3442" s="84" t="n">
        <x:v>4.7</x:v>
      </x:c>
      <x:c r="F3442" s="84" t="str">
        <x:v>Normal</x:v>
      </x:c>
      <x:c r="G3442" s="93" t="n">
        <x:v>142.13</x:v>
      </x:c>
      <x:c r="H3442" s="85" t="str">
        <x:v>Diagnóstico e execução</x:v>
      </x:c>
    </x:row>
    <x:row r="3443">
      <x:c r="A3443" s="83" t="n">
        <x:v>3442</x:v>
      </x:c>
      <x:c r="B3443" s="84" t="n">
        <x:v>2015</x:v>
      </x:c>
      <x:c r="C3443" s="84" t="n">
        <x:v>27</x:v>
      </x:c>
      <x:c r="D3443" s="89" t="n">
        <x:v>45441</x:v>
      </x:c>
      <x:c r="E3443" s="84" t="n">
        <x:v>8</x:v>
      </x:c>
      <x:c r="F3443" s="84" t="str">
        <x:v>Normal</x:v>
      </x:c>
      <x:c r="G3443" s="93" t="n">
        <x:v>487.92</x:v>
      </x:c>
      <x:c r="H3443" s="85" t="str">
        <x:v>Diagnóstico e execução</x:v>
      </x:c>
    </x:row>
    <x:row r="3444">
      <x:c r="A3444" s="83" t="n">
        <x:v>3443</x:v>
      </x:c>
      <x:c r="B3444" s="84" t="n">
        <x:v>2016</x:v>
      </x:c>
      <x:c r="C3444" s="84" t="n">
        <x:v>32</x:v>
      </x:c>
      <x:c r="D3444" s="89" t="n">
        <x:v>45787</x:v>
      </x:c>
      <x:c r="E3444" s="84" t="n">
        <x:v>4.3</x:v>
      </x:c>
      <x:c r="F3444" s="84" t="str">
        <x:v>Normal</x:v>
      </x:c>
      <x:c r="G3444" s="93" t="n">
        <x:v>187.69</x:v>
      </x:c>
      <x:c r="H3444" s="85" t="str">
        <x:v>Diagnóstico e execução</x:v>
      </x:c>
    </x:row>
    <x:row r="3445">
      <x:c r="A3445" s="83" t="n">
        <x:v>3444</x:v>
      </x:c>
      <x:c r="B3445" s="84" t="n">
        <x:v>2016</x:v>
      </x:c>
      <x:c r="C3445" s="84" t="n">
        <x:v>17</x:v>
      </x:c>
      <x:c r="D3445" s="89" t="n">
        <x:v>45787</x:v>
      </x:c>
      <x:c r="E3445" s="84" t="n">
        <x:v>3.4</x:v>
      </x:c>
      <x:c r="F3445" s="84" t="str">
        <x:v>Normal</x:v>
      </x:c>
      <x:c r="G3445" s="93" t="n">
        <x:v>189.65</x:v>
      </x:c>
      <x:c r="H3445" s="85" t="str">
        <x:v>Diagnóstico e execução</x:v>
      </x:c>
    </x:row>
    <x:row r="3446">
      <x:c r="A3446" s="83" t="n">
        <x:v>3445</x:v>
      </x:c>
      <x:c r="B3446" s="84" t="n">
        <x:v>2016</x:v>
      </x:c>
      <x:c r="C3446" s="84" t="n">
        <x:v>43</x:v>
      </x:c>
      <x:c r="D3446" s="89" t="n">
        <x:v>45787</x:v>
      </x:c>
      <x:c r="E3446" s="84" t="n">
        <x:v>7.8</x:v>
      </x:c>
      <x:c r="F3446" s="84" t="str">
        <x:v>Normal</x:v>
      </x:c>
      <x:c r="G3446" s="93" t="n">
        <x:v>426.35</x:v>
      </x:c>
      <x:c r="H3446" s="85" t="str">
        <x:v>Diagnóstico e execução</x:v>
      </x:c>
    </x:row>
    <x:row r="3447">
      <x:c r="A3447" s="83" t="n">
        <x:v>3446</x:v>
      </x:c>
      <x:c r="B3447" s="84" t="n">
        <x:v>2017</x:v>
      </x:c>
      <x:c r="C3447" s="84" t="n">
        <x:v>28</x:v>
      </x:c>
      <x:c r="D3447" s="89" t="n">
        <x:v>45908</x:v>
      </x:c>
      <x:c r="E3447" s="84" t="n">
        <x:v>2.2</x:v>
      </x:c>
      <x:c r="F3447" s="84" t="str">
        <x:v>Normal</x:v>
      </x:c>
      <x:c r="G3447" s="93" t="n">
        <x:v>82.76</x:v>
      </x:c>
      <x:c r="H3447" s="85" t="str">
        <x:v>Diagnóstico e execução</x:v>
      </x:c>
    </x:row>
    <x:row r="3448">
      <x:c r="A3448" s="83" t="n">
        <x:v>3447</x:v>
      </x:c>
      <x:c r="B3448" s="84" t="n">
        <x:v>2018</x:v>
      </x:c>
      <x:c r="C3448" s="84" t="n">
        <x:v>33</x:v>
      </x:c>
      <x:c r="D3448" s="89" t="n">
        <x:v>45140</x:v>
      </x:c>
      <x:c r="E3448" s="84" t="n">
        <x:v>1.3</x:v>
      </x:c>
      <x:c r="F3448" s="84" t="str">
        <x:v>Normal</x:v>
      </x:c>
      <x:c r="G3448" s="93" t="n">
        <x:v>44.84</x:v>
      </x:c>
      <x:c r="H3448" s="85" t="str">
        <x:v>Diagnóstico e execução</x:v>
      </x:c>
    </x:row>
    <x:row r="3449">
      <x:c r="A3449" s="83" t="n">
        <x:v>3448</x:v>
      </x:c>
      <x:c r="B3449" s="84" t="n">
        <x:v>2018</x:v>
      </x:c>
      <x:c r="C3449" s="84" t="n">
        <x:v>34</x:v>
      </x:c>
      <x:c r="D3449" s="89" t="n">
        <x:v>45140</x:v>
      </x:c>
      <x:c r="E3449" s="84" t="n">
        <x:v>5.6</x:v>
      </x:c>
      <x:c r="F3449" s="84" t="str">
        <x:v>Normal</x:v>
      </x:c>
      <x:c r="G3449" s="93" t="n">
        <x:v>242.09</x:v>
      </x:c>
      <x:c r="H3449" s="85" t="str">
        <x:v>Diagnóstico e execução</x:v>
      </x:c>
    </x:row>
    <x:row r="3450">
      <x:c r="A3450" s="83" t="n">
        <x:v>3449</x:v>
      </x:c>
      <x:c r="B3450" s="84" t="n">
        <x:v>2019</x:v>
      </x:c>
      <x:c r="C3450" s="84" t="n">
        <x:v>40</x:v>
      </x:c>
      <x:c r="D3450" s="89" t="n">
        <x:v>45211</x:v>
      </x:c>
      <x:c r="E3450" s="84" t="n">
        <x:v>6.8</x:v>
      </x:c>
      <x:c r="F3450" s="84" t="str">
        <x:v>Normal</x:v>
      </x:c>
      <x:c r="G3450" s="93" t="n">
        <x:v>336.06</x:v>
      </x:c>
      <x:c r="H3450" s="85" t="str">
        <x:v>Diagnóstico e execução</x:v>
      </x:c>
    </x:row>
    <x:row r="3451">
      <x:c r="A3451" s="83" t="n">
        <x:v>3450</x:v>
      </x:c>
      <x:c r="B3451" s="84" t="n">
        <x:v>2020</x:v>
      </x:c>
      <x:c r="C3451" s="84" t="n">
        <x:v>8</x:v>
      </x:c>
      <x:c r="D3451" s="89" t="n">
        <x:v>45181</x:v>
      </x:c>
      <x:c r="E3451" s="84" t="n">
        <x:v>3</x:v>
      </x:c>
      <x:c r="F3451" s="84" t="str">
        <x:v>Normal</x:v>
      </x:c>
      <x:c r="G3451" s="93" t="n">
        <x:v>139.5</x:v>
      </x:c>
      <x:c r="H3451" s="85" t="str">
        <x:v>Diagnóstico e execução</x:v>
      </x:c>
    </x:row>
    <x:row r="3452">
      <x:c r="A3452" s="83" t="n">
        <x:v>3451</x:v>
      </x:c>
      <x:c r="B3452" s="84" t="n">
        <x:v>2020</x:v>
      </x:c>
      <x:c r="C3452" s="84" t="n">
        <x:v>4</x:v>
      </x:c>
      <x:c r="D3452" s="89" t="n">
        <x:v>45181</x:v>
      </x:c>
      <x:c r="E3452" s="84" t="n">
        <x:v>3</x:v>
      </x:c>
      <x:c r="F3452" s="84" t="str">
        <x:v>Normal</x:v>
      </x:c>
      <x:c r="G3452" s="93" t="n">
        <x:v>147.57</x:v>
      </x:c>
      <x:c r="H3452" s="85" t="str">
        <x:v>Diagnóstico e execução</x:v>
      </x:c>
    </x:row>
    <x:row r="3453">
      <x:c r="A3453" s="83" t="n">
        <x:v>3452</x:v>
      </x:c>
      <x:c r="B3453" s="84" t="n">
        <x:v>2021</x:v>
      </x:c>
      <x:c r="C3453" s="84" t="n">
        <x:v>13</x:v>
      </x:c>
      <x:c r="D3453" s="89" t="n">
        <x:v>45479</x:v>
      </x:c>
      <x:c r="E3453" s="84" t="n">
        <x:v>7.8</x:v>
      </x:c>
      <x:c r="F3453" s="84" t="str">
        <x:v>Normal</x:v>
      </x:c>
      <x:c r="G3453" s="93" t="n">
        <x:v>264.26</x:v>
      </x:c>
      <x:c r="H3453" s="85" t="str">
        <x:v>Diagnóstico e execução</x:v>
      </x:c>
    </x:row>
    <x:row r="3454">
      <x:c r="A3454" s="83" t="n">
        <x:v>3453</x:v>
      </x:c>
      <x:c r="B3454" s="84" t="n">
        <x:v>2021</x:v>
      </x:c>
      <x:c r="C3454" s="84" t="n">
        <x:v>3</x:v>
      </x:c>
      <x:c r="D3454" s="89" t="n">
        <x:v>45479</x:v>
      </x:c>
      <x:c r="E3454" s="84" t="n">
        <x:v>1.7</x:v>
      </x:c>
      <x:c r="F3454" s="84" t="str">
        <x:v>Normal</x:v>
      </x:c>
      <x:c r="G3454" s="93" t="n">
        <x:v>83.71</x:v>
      </x:c>
      <x:c r="H3454" s="85" t="str">
        <x:v>Diagnóstico e execução</x:v>
      </x:c>
    </x:row>
    <x:row r="3455">
      <x:c r="A3455" s="83" t="n">
        <x:v>3454</x:v>
      </x:c>
      <x:c r="B3455" s="84" t="n">
        <x:v>2021</x:v>
      </x:c>
      <x:c r="C3455" s="84" t="n">
        <x:v>16</x:v>
      </x:c>
      <x:c r="D3455" s="89" t="n">
        <x:v>45479</x:v>
      </x:c>
      <x:c r="E3455" s="84" t="n">
        <x:v>6.6</x:v>
      </x:c>
      <x:c r="F3455" s="84" t="str">
        <x:v>Normal</x:v>
      </x:c>
      <x:c r="G3455" s="93" t="n">
        <x:v>267.43</x:v>
      </x:c>
      <x:c r="H3455" s="85" t="str">
        <x:v>Diagnóstico e execução</x:v>
      </x:c>
    </x:row>
    <x:row r="3456">
      <x:c r="A3456" s="83" t="n">
        <x:v>3455</x:v>
      </x:c>
      <x:c r="B3456" s="84" t="n">
        <x:v>2022</x:v>
      </x:c>
      <x:c r="C3456" s="84" t="n">
        <x:v>39</x:v>
      </x:c>
      <x:c r="D3456" s="89" t="n">
        <x:v>44948</x:v>
      </x:c>
      <x:c r="E3456" s="84" t="n">
        <x:v>3</x:v>
      </x:c>
      <x:c r="F3456" s="84" t="str">
        <x:v>Normal</x:v>
      </x:c>
      <x:c r="G3456" s="93" t="n">
        <x:v>173.7</x:v>
      </x:c>
      <x:c r="H3456" s="85" t="str">
        <x:v>Diagnóstico e execução</x:v>
      </x:c>
    </x:row>
    <x:row r="3457">
      <x:c r="A3457" s="83" t="n">
        <x:v>3456</x:v>
      </x:c>
      <x:c r="B3457" s="84" t="n">
        <x:v>2022</x:v>
      </x:c>
      <x:c r="C3457" s="84" t="n">
        <x:v>40</x:v>
      </x:c>
      <x:c r="D3457" s="89" t="n">
        <x:v>44948</x:v>
      </x:c>
      <x:c r="E3457" s="84" t="n">
        <x:v>0.6</x:v>
      </x:c>
      <x:c r="F3457" s="84" t="str">
        <x:v>Normal</x:v>
      </x:c>
      <x:c r="G3457" s="93" t="n">
        <x:v>29.65</x:v>
      </x:c>
      <x:c r="H3457" s="85" t="str">
        <x:v>Diagnóstico e execução</x:v>
      </x:c>
    </x:row>
    <x:row r="3458">
      <x:c r="A3458" s="83" t="n">
        <x:v>3457</x:v>
      </x:c>
      <x:c r="B3458" s="84" t="n">
        <x:v>2023</x:v>
      </x:c>
      <x:c r="C3458" s="84" t="n">
        <x:v>30</x:v>
      </x:c>
      <x:c r="D3458" s="89" t="n">
        <x:v>45628</x:v>
      </x:c>
      <x:c r="E3458" s="84" t="n">
        <x:v>3.4</x:v>
      </x:c>
      <x:c r="F3458" s="84" t="str">
        <x:v>Normal</x:v>
      </x:c>
      <x:c r="G3458" s="93" t="n">
        <x:v>140.79</x:v>
      </x:c>
      <x:c r="H3458" s="85" t="str">
        <x:v>Diagnóstico e execução</x:v>
      </x:c>
    </x:row>
    <x:row r="3459">
      <x:c r="A3459" s="83" t="n">
        <x:v>3458</x:v>
      </x:c>
      <x:c r="B3459" s="84" t="n">
        <x:v>2024</x:v>
      </x:c>
      <x:c r="C3459" s="84" t="n">
        <x:v>38</x:v>
      </x:c>
      <x:c r="D3459" s="89" t="n">
        <x:v>45428</x:v>
      </x:c>
      <x:c r="E3459" s="84" t="n">
        <x:v>1</x:v>
      </x:c>
      <x:c r="F3459" s="84" t="str">
        <x:v>Normal</x:v>
      </x:c>
      <x:c r="G3459" s="93" t="n">
        <x:v>33.67</x:v>
      </x:c>
      <x:c r="H3459" s="85" t="str">
        <x:v>Diagnóstico e execução</x:v>
      </x:c>
    </x:row>
    <x:row r="3460">
      <x:c r="A3460" s="83" t="n">
        <x:v>3459</x:v>
      </x:c>
      <x:c r="B3460" s="84" t="n">
        <x:v>2024</x:v>
      </x:c>
      <x:c r="C3460" s="84" t="n">
        <x:v>42</x:v>
      </x:c>
      <x:c r="D3460" s="89" t="n">
        <x:v>45428</x:v>
      </x:c>
      <x:c r="E3460" s="84" t="n">
        <x:v>4.9</x:v>
      </x:c>
      <x:c r="F3460" s="84" t="str">
        <x:v>Normal</x:v>
      </x:c>
      <x:c r="G3460" s="93" t="n">
        <x:v>206.68</x:v>
      </x:c>
      <x:c r="H3460" s="85" t="str">
        <x:v>Diagnóstico e execução</x:v>
      </x:c>
    </x:row>
    <x:row r="3461">
      <x:c r="A3461" s="83" t="n">
        <x:v>3460</x:v>
      </x:c>
      <x:c r="B3461" s="84" t="n">
        <x:v>2025</x:v>
      </x:c>
      <x:c r="C3461" s="84" t="n">
        <x:v>33</x:v>
      </x:c>
      <x:c r="D3461" s="89" t="n">
        <x:v>45245</x:v>
      </x:c>
      <x:c r="E3461" s="84" t="n">
        <x:v>0.7</x:v>
      </x:c>
      <x:c r="F3461" s="84" t="str">
        <x:v>Normal</x:v>
      </x:c>
      <x:c r="G3461" s="93" t="n">
        <x:v>24.14</x:v>
      </x:c>
      <x:c r="H3461" s="85" t="str">
        <x:v>Diagnóstico e execução</x:v>
      </x:c>
    </x:row>
    <x:row r="3462">
      <x:c r="A3462" s="83" t="n">
        <x:v>3461</x:v>
      </x:c>
      <x:c r="B3462" s="84" t="n">
        <x:v>2025</x:v>
      </x:c>
      <x:c r="C3462" s="84" t="n">
        <x:v>38</x:v>
      </x:c>
      <x:c r="D3462" s="89" t="n">
        <x:v>45245</x:v>
      </x:c>
      <x:c r="E3462" s="84" t="n">
        <x:v>4.6</x:v>
      </x:c>
      <x:c r="F3462" s="84" t="str">
        <x:v>Normal</x:v>
      </x:c>
      <x:c r="G3462" s="93" t="n">
        <x:v>154.88</x:v>
      </x:c>
      <x:c r="H3462" s="85" t="str">
        <x:v>Diagnóstico e execução</x:v>
      </x:c>
    </x:row>
    <x:row r="3463">
      <x:c r="A3463" s="83" t="n">
        <x:v>3462</x:v>
      </x:c>
      <x:c r="B3463" s="84" t="n">
        <x:v>2025</x:v>
      </x:c>
      <x:c r="C3463" s="84" t="n">
        <x:v>44</x:v>
      </x:c>
      <x:c r="D3463" s="89" t="n">
        <x:v>45245</x:v>
      </x:c>
      <x:c r="E3463" s="84" t="n">
        <x:v>2.1</x:v>
      </x:c>
      <x:c r="F3463" s="84" t="str">
        <x:v>Normal</x:v>
      </x:c>
      <x:c r="G3463" s="93" t="n">
        <x:v>58.88</x:v>
      </x:c>
      <x:c r="H3463" s="85" t="str">
        <x:v>Diagnóstico e execução</x:v>
      </x:c>
    </x:row>
    <x:row r="3464">
      <x:c r="A3464" s="83" t="n">
        <x:v>3463</x:v>
      </x:c>
      <x:c r="B3464" s="84" t="n">
        <x:v>2026</x:v>
      </x:c>
      <x:c r="C3464" s="84" t="n">
        <x:v>24</x:v>
      </x:c>
      <x:c r="D3464" s="89" t="n">
        <x:v>44965</x:v>
      </x:c>
      <x:c r="E3464" s="84" t="n">
        <x:v>6.6</x:v>
      </x:c>
      <x:c r="F3464" s="84" t="str">
        <x:v>Normal</x:v>
      </x:c>
      <x:c r="G3464" s="93" t="n">
        <x:v>390.98</x:v>
      </x:c>
      <x:c r="H3464" s="85" t="str">
        <x:v>Diagnóstico e execução</x:v>
      </x:c>
    </x:row>
    <x:row r="3465">
      <x:c r="A3465" s="83" t="n">
        <x:v>3464</x:v>
      </x:c>
      <x:c r="B3465" s="84" t="n">
        <x:v>2027</x:v>
      </x:c>
      <x:c r="C3465" s="84" t="n">
        <x:v>37</x:v>
      </x:c>
      <x:c r="D3465" s="89" t="n">
        <x:v>45798</x:v>
      </x:c>
      <x:c r="E3465" s="84" t="n">
        <x:v>2.5</x:v>
      </x:c>
      <x:c r="F3465" s="84" t="str">
        <x:v>Normal</x:v>
      </x:c>
      <x:c r="G3465" s="93" t="n">
        <x:v>147.43</x:v>
      </x:c>
      <x:c r="H3465" s="85" t="str">
        <x:v>Diagnóstico e execução</x:v>
      </x:c>
    </x:row>
    <x:row r="3466">
      <x:c r="A3466" s="83" t="n">
        <x:v>3465</x:v>
      </x:c>
      <x:c r="B3466" s="84" t="n">
        <x:v>2028</x:v>
      </x:c>
      <x:c r="C3466" s="84" t="n">
        <x:v>25</x:v>
      </x:c>
      <x:c r="D3466" s="89" t="n">
        <x:v>45381</x:v>
      </x:c>
      <x:c r="E3466" s="84" t="n">
        <x:v>0.9</x:v>
      </x:c>
      <x:c r="F3466" s="84" t="str">
        <x:v>Normal</x:v>
      </x:c>
      <x:c r="G3466" s="93" t="n">
        <x:v>48.23</x:v>
      </x:c>
      <x:c r="H3466" s="85" t="str">
        <x:v>Diagnóstico e execução</x:v>
      </x:c>
    </x:row>
    <x:row r="3467">
      <x:c r="A3467" s="83" t="n">
        <x:v>3466</x:v>
      </x:c>
      <x:c r="B3467" s="84" t="n">
        <x:v>2029</x:v>
      </x:c>
      <x:c r="C3467" s="84" t="n">
        <x:v>35</x:v>
      </x:c>
      <x:c r="D3467" s="89" t="n">
        <x:v>44965</x:v>
      </x:c>
      <x:c r="E3467" s="84" t="n">
        <x:v>3.1</x:v>
      </x:c>
      <x:c r="F3467" s="84" t="str">
        <x:v>Normal</x:v>
      </x:c>
      <x:c r="G3467" s="93" t="n">
        <x:v>152.49</x:v>
      </x:c>
      <x:c r="H3467" s="85" t="str">
        <x:v>Diagnóstico e execução</x:v>
      </x:c>
    </x:row>
    <x:row r="3468">
      <x:c r="A3468" s="83" t="n">
        <x:v>3467</x:v>
      </x:c>
      <x:c r="B3468" s="84" t="n">
        <x:v>2029</x:v>
      </x:c>
      <x:c r="C3468" s="84" t="n">
        <x:v>7</x:v>
      </x:c>
      <x:c r="D3468" s="89" t="n">
        <x:v>44965</x:v>
      </x:c>
      <x:c r="E3468" s="84" t="n">
        <x:v>1.3</x:v>
      </x:c>
      <x:c r="F3468" s="84" t="str">
        <x:v>Normal</x:v>
      </x:c>
      <x:c r="G3468" s="93" t="n">
        <x:v>75.67</x:v>
      </x:c>
      <x:c r="H3468" s="85" t="str">
        <x:v>Diagnóstico e execução</x:v>
      </x:c>
    </x:row>
    <x:row r="3469">
      <x:c r="A3469" s="83" t="n">
        <x:v>3468</x:v>
      </x:c>
      <x:c r="B3469" s="84" t="n">
        <x:v>2030</x:v>
      </x:c>
      <x:c r="C3469" s="84" t="n">
        <x:v>40</x:v>
      </x:c>
      <x:c r="D3469" s="89" t="n">
        <x:v>45384</x:v>
      </x:c>
      <x:c r="E3469" s="84" t="n">
        <x:v>7.4</x:v>
      </x:c>
      <x:c r="F3469" s="84" t="str">
        <x:v>Normal</x:v>
      </x:c>
      <x:c r="G3469" s="93" t="n">
        <x:v>365.71</x:v>
      </x:c>
      <x:c r="H3469" s="85" t="str">
        <x:v>Diagnóstico e execução</x:v>
      </x:c>
    </x:row>
    <x:row r="3470">
      <x:c r="A3470" s="83" t="n">
        <x:v>3469</x:v>
      </x:c>
      <x:c r="B3470" s="84" t="n">
        <x:v>2030</x:v>
      </x:c>
      <x:c r="C3470" s="84" t="n">
        <x:v>13</x:v>
      </x:c>
      <x:c r="D3470" s="89" t="n">
        <x:v>45384</x:v>
      </x:c>
      <x:c r="E3470" s="84" t="n">
        <x:v>3.7</x:v>
      </x:c>
      <x:c r="F3470" s="84" t="str">
        <x:v>Normal</x:v>
      </x:c>
      <x:c r="G3470" s="93" t="n">
        <x:v>125.36</x:v>
      </x:c>
      <x:c r="H3470" s="85" t="str">
        <x:v>Diagnóstico e execução</x:v>
      </x:c>
    </x:row>
    <x:row r="3471">
      <x:c r="A3471" s="83" t="n">
        <x:v>3470</x:v>
      </x:c>
      <x:c r="B3471" s="84" t="n">
        <x:v>2031</x:v>
      </x:c>
      <x:c r="C3471" s="84" t="n">
        <x:v>34</x:v>
      </x:c>
      <x:c r="D3471" s="89" t="n">
        <x:v>45582</x:v>
      </x:c>
      <x:c r="E3471" s="84" t="n">
        <x:v>1.9</x:v>
      </x:c>
      <x:c r="F3471" s="84" t="str">
        <x:v>Normal</x:v>
      </x:c>
      <x:c r="G3471" s="93" t="n">
        <x:v>82.14</x:v>
      </x:c>
      <x:c r="H3471" s="85" t="str">
        <x:v>Diagnóstico e execução</x:v>
      </x:c>
    </x:row>
    <x:row r="3472">
      <x:c r="A3472" s="83" t="n">
        <x:v>3471</x:v>
      </x:c>
      <x:c r="B3472" s="84" t="n">
        <x:v>2031</x:v>
      </x:c>
      <x:c r="C3472" s="84" t="n">
        <x:v>35</x:v>
      </x:c>
      <x:c r="D3472" s="89" t="n">
        <x:v>45582</x:v>
      </x:c>
      <x:c r="E3472" s="84" t="n">
        <x:v>2.9</x:v>
      </x:c>
      <x:c r="F3472" s="84" t="str">
        <x:v>Normal</x:v>
      </x:c>
      <x:c r="G3472" s="93" t="n">
        <x:v>142.65</x:v>
      </x:c>
      <x:c r="H3472" s="85" t="str">
        <x:v>Diagnóstico e execução</x:v>
      </x:c>
    </x:row>
    <x:row r="3473">
      <x:c r="A3473" s="83" t="n">
        <x:v>3472</x:v>
      </x:c>
      <x:c r="B3473" s="84" t="n">
        <x:v>2031</x:v>
      </x:c>
      <x:c r="C3473" s="84" t="n">
        <x:v>44</x:v>
      </x:c>
      <x:c r="D3473" s="89" t="n">
        <x:v>45582</x:v>
      </x:c>
      <x:c r="E3473" s="84" t="n">
        <x:v>3.9</x:v>
      </x:c>
      <x:c r="F3473" s="84" t="str">
        <x:v>Normal</x:v>
      </x:c>
      <x:c r="G3473" s="93" t="n">
        <x:v>109.36</x:v>
      </x:c>
      <x:c r="H3473" s="85" t="str">
        <x:v>Diagnóstico e execução</x:v>
      </x:c>
    </x:row>
    <x:row r="3474">
      <x:c r="A3474" s="83" t="n">
        <x:v>3473</x:v>
      </x:c>
      <x:c r="B3474" s="84" t="n">
        <x:v>2032</x:v>
      </x:c>
      <x:c r="C3474" s="84" t="n">
        <x:v>16</x:v>
      </x:c>
      <x:c r="D3474" s="89" t="n">
        <x:v>45348</x:v>
      </x:c>
      <x:c r="E3474" s="84" t="n">
        <x:v>5.8</x:v>
      </x:c>
      <x:c r="F3474" s="84" t="str">
        <x:v>Normal</x:v>
      </x:c>
      <x:c r="G3474" s="93" t="n">
        <x:v>235.02</x:v>
      </x:c>
      <x:c r="H3474" s="85" t="str">
        <x:v>Diagnóstico e execução</x:v>
      </x:c>
    </x:row>
    <x:row r="3475">
      <x:c r="A3475" s="83" t="n">
        <x:v>3474</x:v>
      </x:c>
      <x:c r="B3475" s="84" t="n">
        <x:v>2032</x:v>
      </x:c>
      <x:c r="C3475" s="84" t="n">
        <x:v>21</x:v>
      </x:c>
      <x:c r="D3475" s="89" t="n">
        <x:v>45348</x:v>
      </x:c>
      <x:c r="E3475" s="84" t="n">
        <x:v>6.1</x:v>
      </x:c>
      <x:c r="F3475" s="84" t="str">
        <x:v>Normal</x:v>
      </x:c>
      <x:c r="G3475" s="93" t="n">
        <x:v>374.72</x:v>
      </x:c>
      <x:c r="H3475" s="85" t="str">
        <x:v>Diagnóstico e execução</x:v>
      </x:c>
    </x:row>
    <x:row r="3476">
      <x:c r="A3476" s="83" t="n">
        <x:v>3475</x:v>
      </x:c>
      <x:c r="B3476" s="84" t="n">
        <x:v>2033</x:v>
      </x:c>
      <x:c r="C3476" s="84" t="n">
        <x:v>35</x:v>
      </x:c>
      <x:c r="D3476" s="89" t="n">
        <x:v>45257</x:v>
      </x:c>
      <x:c r="E3476" s="84" t="n">
        <x:v>1.9</x:v>
      </x:c>
      <x:c r="F3476" s="84" t="str">
        <x:v>Normal</x:v>
      </x:c>
      <x:c r="G3476" s="93" t="n">
        <x:v>93.46</x:v>
      </x:c>
      <x:c r="H3476" s="85" t="str">
        <x:v>Diagnóstico e execução</x:v>
      </x:c>
    </x:row>
    <x:row r="3477">
      <x:c r="A3477" s="83" t="n">
        <x:v>3476</x:v>
      </x:c>
      <x:c r="B3477" s="84" t="n">
        <x:v>2033</x:v>
      </x:c>
      <x:c r="C3477" s="84" t="n">
        <x:v>14</x:v>
      </x:c>
      <x:c r="D3477" s="89" t="n">
        <x:v>45257</x:v>
      </x:c>
      <x:c r="E3477" s="84" t="n">
        <x:v>3</x:v>
      </x:c>
      <x:c r="F3477" s="84" t="str">
        <x:v>Normal</x:v>
      </x:c>
      <x:c r="G3477" s="93" t="n">
        <x:v>169.98</x:v>
      </x:c>
      <x:c r="H3477" s="85" t="str">
        <x:v>Diagnóstico e execução</x:v>
      </x:c>
    </x:row>
    <x:row r="3478">
      <x:c r="A3478" s="83" t="n">
        <x:v>3477</x:v>
      </x:c>
      <x:c r="B3478" s="84" t="n">
        <x:v>2034</x:v>
      </x:c>
      <x:c r="C3478" s="84" t="n">
        <x:v>10</x:v>
      </x:c>
      <x:c r="D3478" s="89" t="n">
        <x:v>45727</x:v>
      </x:c>
      <x:c r="E3478" s="84" t="n">
        <x:v>7.8</x:v>
      </x:c>
      <x:c r="F3478" s="84" t="str">
        <x:v>Normal</x:v>
      </x:c>
      <x:c r="G3478" s="93" t="n">
        <x:v>231.58</x:v>
      </x:c>
      <x:c r="H3478" s="85" t="str">
        <x:v>Diagnóstico e execução</x:v>
      </x:c>
    </x:row>
    <x:row r="3479">
      <x:c r="A3479" s="83" t="n">
        <x:v>3478</x:v>
      </x:c>
      <x:c r="B3479" s="84" t="n">
        <x:v>2034</x:v>
      </x:c>
      <x:c r="C3479" s="84" t="n">
        <x:v>43</x:v>
      </x:c>
      <x:c r="D3479" s="89" t="n">
        <x:v>45727</x:v>
      </x:c>
      <x:c r="E3479" s="84" t="n">
        <x:v>2.6</x:v>
      </x:c>
      <x:c r="F3479" s="84" t="str">
        <x:v>Normal</x:v>
      </x:c>
      <x:c r="G3479" s="93" t="n">
        <x:v>142.12</x:v>
      </x:c>
      <x:c r="H3479" s="85" t="str">
        <x:v>Diagnóstico e execução</x:v>
      </x:c>
    </x:row>
    <x:row r="3480">
      <x:c r="A3480" s="83" t="n">
        <x:v>3479</x:v>
      </x:c>
      <x:c r="B3480" s="84" t="n">
        <x:v>2034</x:v>
      </x:c>
      <x:c r="C3480" s="84" t="n">
        <x:v>5</x:v>
      </x:c>
      <x:c r="D3480" s="89" t="n">
        <x:v>45727</x:v>
      </x:c>
      <x:c r="E3480" s="84" t="n">
        <x:v>5.7</x:v>
      </x:c>
      <x:c r="F3480" s="84" t="str">
        <x:v>Normal</x:v>
      </x:c>
      <x:c r="G3480" s="93" t="n">
        <x:v>164.27</x:v>
      </x:c>
      <x:c r="H3480" s="85" t="str">
        <x:v>Diagnóstico e execução</x:v>
      </x:c>
    </x:row>
    <x:row r="3481">
      <x:c r="A3481" s="83" t="n">
        <x:v>3480</x:v>
      </x:c>
      <x:c r="B3481" s="84" t="n">
        <x:v>2035</x:v>
      </x:c>
      <x:c r="C3481" s="84" t="n">
        <x:v>10</x:v>
      </x:c>
      <x:c r="D3481" s="89" t="n">
        <x:v>45092</x:v>
      </x:c>
      <x:c r="E3481" s="84" t="n">
        <x:v>2.6</x:v>
      </x:c>
      <x:c r="F3481" s="84" t="str">
        <x:v>Normal</x:v>
      </x:c>
      <x:c r="G3481" s="93" t="n">
        <x:v>77.19</x:v>
      </x:c>
      <x:c r="H3481" s="85" t="str">
        <x:v>Diagnóstico e execução</x:v>
      </x:c>
    </x:row>
    <x:row r="3482">
      <x:c r="A3482" s="83" t="n">
        <x:v>3481</x:v>
      </x:c>
      <x:c r="B3482" s="84" t="n">
        <x:v>2036</x:v>
      </x:c>
      <x:c r="C3482" s="84" t="n">
        <x:v>9</x:v>
      </x:c>
      <x:c r="D3482" s="89" t="n">
        <x:v>45875</x:v>
      </x:c>
      <x:c r="E3482" s="84" t="n">
        <x:v>1.7</x:v>
      </x:c>
      <x:c r="F3482" s="84" t="str">
        <x:v>Normal</x:v>
      </x:c>
      <x:c r="G3482" s="93" t="n">
        <x:v>89.54</x:v>
      </x:c>
      <x:c r="H3482" s="85" t="str">
        <x:v>Diagnóstico e execução</x:v>
      </x:c>
    </x:row>
    <x:row r="3483">
      <x:c r="A3483" s="83" t="n">
        <x:v>3482</x:v>
      </x:c>
      <x:c r="B3483" s="84" t="n">
        <x:v>2036</x:v>
      </x:c>
      <x:c r="C3483" s="84" t="n">
        <x:v>9</x:v>
      </x:c>
      <x:c r="D3483" s="89" t="n">
        <x:v>45875</x:v>
      </x:c>
      <x:c r="E3483" s="84" t="n">
        <x:v>2</x:v>
      </x:c>
      <x:c r="F3483" s="84" t="str">
        <x:v>Normal</x:v>
      </x:c>
      <x:c r="G3483" s="93" t="n">
        <x:v>105.34</x:v>
      </x:c>
      <x:c r="H3483" s="85" t="str">
        <x:v>Diagnóstico e execução</x:v>
      </x:c>
    </x:row>
    <x:row r="3484">
      <x:c r="A3484" s="83" t="n">
        <x:v>3483</x:v>
      </x:c>
      <x:c r="B3484" s="84" t="n">
        <x:v>2037</x:v>
      </x:c>
      <x:c r="C3484" s="84" t="n">
        <x:v>40</x:v>
      </x:c>
      <x:c r="D3484" s="89" t="n">
        <x:v>45829</x:v>
      </x:c>
      <x:c r="E3484" s="84" t="n">
        <x:v>6</x:v>
      </x:c>
      <x:c r="F3484" s="84" t="str">
        <x:v>Normal</x:v>
      </x:c>
      <x:c r="G3484" s="93" t="n">
        <x:v>296.52</x:v>
      </x:c>
      <x:c r="H3484" s="85" t="str">
        <x:v>Diagnóstico e execução</x:v>
      </x:c>
    </x:row>
    <x:row r="3485">
      <x:c r="A3485" s="83" t="n">
        <x:v>3484</x:v>
      </x:c>
      <x:c r="B3485" s="84" t="n">
        <x:v>2037</x:v>
      </x:c>
      <x:c r="C3485" s="84" t="n">
        <x:v>15</x:v>
      </x:c>
      <x:c r="D3485" s="89" t="n">
        <x:v>45829</x:v>
      </x:c>
      <x:c r="E3485" s="84" t="n">
        <x:v>7.9</x:v>
      </x:c>
      <x:c r="F3485" s="84" t="str">
        <x:v>Normal</x:v>
      </x:c>
      <x:c r="G3485" s="93" t="n">
        <x:v>238.9</x:v>
      </x:c>
      <x:c r="H3485" s="85" t="str">
        <x:v>Diagnóstico e execução</x:v>
      </x:c>
    </x:row>
    <x:row r="3486">
      <x:c r="A3486" s="83" t="n">
        <x:v>3485</x:v>
      </x:c>
      <x:c r="B3486" s="84" t="n">
        <x:v>2037</x:v>
      </x:c>
      <x:c r="C3486" s="84" t="n">
        <x:v>39</x:v>
      </x:c>
      <x:c r="D3486" s="89" t="n">
        <x:v>45829</x:v>
      </x:c>
      <x:c r="E3486" s="84" t="n">
        <x:v>4.7</x:v>
      </x:c>
      <x:c r="F3486" s="84" t="str">
        <x:v>Normal</x:v>
      </x:c>
      <x:c r="G3486" s="93" t="n">
        <x:v>272.13</x:v>
      </x:c>
      <x:c r="H3486" s="85" t="str">
        <x:v>Diagnóstico e execução</x:v>
      </x:c>
    </x:row>
    <x:row r="3487">
      <x:c r="A3487" s="83" t="n">
        <x:v>3486</x:v>
      </x:c>
      <x:c r="B3487" s="84" t="n">
        <x:v>2039</x:v>
      </x:c>
      <x:c r="C3487" s="84" t="n">
        <x:v>8</x:v>
      </x:c>
      <x:c r="D3487" s="89" t="n">
        <x:v>45223</x:v>
      </x:c>
      <x:c r="E3487" s="84" t="n">
        <x:v>2</x:v>
      </x:c>
      <x:c r="F3487" s="84" t="str">
        <x:v>Normal</x:v>
      </x:c>
      <x:c r="G3487" s="93" t="n">
        <x:v>93</x:v>
      </x:c>
      <x:c r="H3487" s="85" t="str">
        <x:v>Diagnóstico e execução</x:v>
      </x:c>
    </x:row>
    <x:row r="3488">
      <x:c r="A3488" s="83" t="n">
        <x:v>3487</x:v>
      </x:c>
      <x:c r="B3488" s="84" t="n">
        <x:v>2040</x:v>
      </x:c>
      <x:c r="C3488" s="84" t="n">
        <x:v>17</x:v>
      </x:c>
      <x:c r="D3488" s="89" t="n">
        <x:v>45077</x:v>
      </x:c>
      <x:c r="E3488" s="84" t="n">
        <x:v>2.1</x:v>
      </x:c>
      <x:c r="F3488" s="84" t="str">
        <x:v>Normal</x:v>
      </x:c>
      <x:c r="G3488" s="93" t="n">
        <x:v>117.14</x:v>
      </x:c>
      <x:c r="H3488" s="85" t="str">
        <x:v>Diagnóstico e execução</x:v>
      </x:c>
    </x:row>
    <x:row r="3489">
      <x:c r="A3489" s="83" t="n">
        <x:v>3488</x:v>
      </x:c>
      <x:c r="B3489" s="84" t="n">
        <x:v>2040</x:v>
      </x:c>
      <x:c r="C3489" s="84" t="n">
        <x:v>7</x:v>
      </x:c>
      <x:c r="D3489" s="89" t="n">
        <x:v>45077</x:v>
      </x:c>
      <x:c r="E3489" s="84" t="n">
        <x:v>7.2</x:v>
      </x:c>
      <x:c r="F3489" s="84" t="str">
        <x:v>Normal</x:v>
      </x:c>
      <x:c r="G3489" s="93" t="n">
        <x:v>419.11</x:v>
      </x:c>
      <x:c r="H3489" s="85" t="str">
        <x:v>Diagnóstico e execução</x:v>
      </x:c>
    </x:row>
    <x:row r="3490">
      <x:c r="A3490" s="83" t="n">
        <x:v>3489</x:v>
      </x:c>
      <x:c r="B3490" s="84" t="n">
        <x:v>2041</x:v>
      </x:c>
      <x:c r="C3490" s="84" t="n">
        <x:v>42</x:v>
      </x:c>
      <x:c r="D3490" s="89" t="n">
        <x:v>45037</x:v>
      </x:c>
      <x:c r="E3490" s="84" t="n">
        <x:v>6.9</x:v>
      </x:c>
      <x:c r="F3490" s="84" t="str">
        <x:v>Normal</x:v>
      </x:c>
      <x:c r="G3490" s="93" t="n">
        <x:v>291.04</x:v>
      </x:c>
      <x:c r="H3490" s="85" t="str">
        <x:v>Diagnóstico e execução</x:v>
      </x:c>
    </x:row>
    <x:row r="3491">
      <x:c r="A3491" s="83" t="n">
        <x:v>3490</x:v>
      </x:c>
      <x:c r="B3491" s="84" t="n">
        <x:v>2041</x:v>
      </x:c>
      <x:c r="C3491" s="84" t="n">
        <x:v>39</x:v>
      </x:c>
      <x:c r="D3491" s="89" t="n">
        <x:v>45037</x:v>
      </x:c>
      <x:c r="E3491" s="84" t="n">
        <x:v>5.7</x:v>
      </x:c>
      <x:c r="F3491" s="84" t="str">
        <x:v>Normal</x:v>
      </x:c>
      <x:c r="G3491" s="93" t="n">
        <x:v>330.03</x:v>
      </x:c>
      <x:c r="H3491" s="85" t="str">
        <x:v>Diagnóstico e execução</x:v>
      </x:c>
    </x:row>
    <x:row r="3492">
      <x:c r="A3492" s="83" t="n">
        <x:v>3491</x:v>
      </x:c>
      <x:c r="B3492" s="84" t="n">
        <x:v>2041</x:v>
      </x:c>
      <x:c r="C3492" s="84" t="n">
        <x:v>14</x:v>
      </x:c>
      <x:c r="D3492" s="89" t="n">
        <x:v>45037</x:v>
      </x:c>
      <x:c r="E3492" s="84" t="n">
        <x:v>5.5</x:v>
      </x:c>
      <x:c r="F3492" s="84" t="str">
        <x:v>Normal</x:v>
      </x:c>
      <x:c r="G3492" s="93" t="n">
        <x:v>311.63</x:v>
      </x:c>
      <x:c r="H3492" s="85" t="str">
        <x:v>Diagnóstico e execução</x:v>
      </x:c>
    </x:row>
    <x:row r="3493">
      <x:c r="A3493" s="83" t="n">
        <x:v>3492</x:v>
      </x:c>
      <x:c r="B3493" s="84" t="n">
        <x:v>2042</x:v>
      </x:c>
      <x:c r="C3493" s="84" t="n">
        <x:v>24</x:v>
      </x:c>
      <x:c r="D3493" s="89" t="n">
        <x:v>45151</x:v>
      </x:c>
      <x:c r="E3493" s="84" t="n">
        <x:v>4.7</x:v>
      </x:c>
      <x:c r="F3493" s="84" t="str">
        <x:v>Normal</x:v>
      </x:c>
      <x:c r="G3493" s="93" t="n">
        <x:v>278.43</x:v>
      </x:c>
      <x:c r="H3493" s="85" t="str">
        <x:v>Diagnóstico e execução</x:v>
      </x:c>
    </x:row>
    <x:row r="3494">
      <x:c r="A3494" s="83" t="n">
        <x:v>3493</x:v>
      </x:c>
      <x:c r="B3494" s="84" t="n">
        <x:v>2042</x:v>
      </x:c>
      <x:c r="C3494" s="84" t="n">
        <x:v>7</x:v>
      </x:c>
      <x:c r="D3494" s="89" t="n">
        <x:v>45151</x:v>
      </x:c>
      <x:c r="E3494" s="84" t="n">
        <x:v>7.1</x:v>
      </x:c>
      <x:c r="F3494" s="84" t="str">
        <x:v>Normal</x:v>
      </x:c>
      <x:c r="G3494" s="93" t="n">
        <x:v>413.29</x:v>
      </x:c>
      <x:c r="H3494" s="85" t="str">
        <x:v>Diagnóstico e execução</x:v>
      </x:c>
    </x:row>
    <x:row r="3495">
      <x:c r="A3495" s="83" t="n">
        <x:v>3494</x:v>
      </x:c>
      <x:c r="B3495" s="84" t="n">
        <x:v>2042</x:v>
      </x:c>
      <x:c r="C3495" s="84" t="n">
        <x:v>40</x:v>
      </x:c>
      <x:c r="D3495" s="89" t="n">
        <x:v>45151</x:v>
      </x:c>
      <x:c r="E3495" s="84" t="n">
        <x:v>2</x:v>
      </x:c>
      <x:c r="F3495" s="84" t="str">
        <x:v>Normal</x:v>
      </x:c>
      <x:c r="G3495" s="93" t="n">
        <x:v>98.84</x:v>
      </x:c>
      <x:c r="H3495" s="85" t="str">
        <x:v>Diagnóstico e execução</x:v>
      </x:c>
    </x:row>
    <x:row r="3496">
      <x:c r="A3496" s="83" t="n">
        <x:v>3495</x:v>
      </x:c>
      <x:c r="B3496" s="84" t="n">
        <x:v>2043</x:v>
      </x:c>
      <x:c r="C3496" s="84" t="n">
        <x:v>4</x:v>
      </x:c>
      <x:c r="D3496" s="89" t="n">
        <x:v>45377</x:v>
      </x:c>
      <x:c r="E3496" s="84" t="n">
        <x:v>2.7</x:v>
      </x:c>
      <x:c r="F3496" s="84" t="str">
        <x:v>Normal</x:v>
      </x:c>
      <x:c r="G3496" s="93" t="n">
        <x:v>132.81</x:v>
      </x:c>
      <x:c r="H3496" s="85" t="str">
        <x:v>Diagnóstico e execução</x:v>
      </x:c>
    </x:row>
    <x:row r="3497">
      <x:c r="A3497" s="83" t="n">
        <x:v>3496</x:v>
      </x:c>
      <x:c r="B3497" s="84" t="n">
        <x:v>2043</x:v>
      </x:c>
      <x:c r="C3497" s="84" t="n">
        <x:v>26</x:v>
      </x:c>
      <x:c r="D3497" s="89" t="n">
        <x:v>45377</x:v>
      </x:c>
      <x:c r="E3497" s="84" t="n">
        <x:v>3.6</x:v>
      </x:c>
      <x:c r="F3497" s="84" t="str">
        <x:v>Normal</x:v>
      </x:c>
      <x:c r="G3497" s="93" t="n">
        <x:v>140.83</x:v>
      </x:c>
      <x:c r="H3497" s="85" t="str">
        <x:v>Diagnóstico e execução</x:v>
      </x:c>
    </x:row>
    <x:row r="3498">
      <x:c r="A3498" s="83" t="n">
        <x:v>3497</x:v>
      </x:c>
      <x:c r="B3498" s="84" t="n">
        <x:v>2044</x:v>
      </x:c>
      <x:c r="C3498" s="84" t="n">
        <x:v>29</x:v>
      </x:c>
      <x:c r="D3498" s="89" t="n">
        <x:v>45324</x:v>
      </x:c>
      <x:c r="E3498" s="84" t="n">
        <x:v>1.6</x:v>
      </x:c>
      <x:c r="F3498" s="84" t="str">
        <x:v>Normal</x:v>
      </x:c>
      <x:c r="G3498" s="93" t="n">
        <x:v>79.23</x:v>
      </x:c>
      <x:c r="H3498" s="85" t="str">
        <x:v>Diagnóstico e execução</x:v>
      </x:c>
    </x:row>
    <x:row r="3499">
      <x:c r="A3499" s="83" t="n">
        <x:v>3498</x:v>
      </x:c>
      <x:c r="B3499" s="84" t="n">
        <x:v>2045</x:v>
      </x:c>
      <x:c r="C3499" s="84" t="n">
        <x:v>34</x:v>
      </x:c>
      <x:c r="D3499" s="89" t="n">
        <x:v>45682</x:v>
      </x:c>
      <x:c r="E3499" s="84" t="n">
        <x:v>3</x:v>
      </x:c>
      <x:c r="F3499" s="84" t="str">
        <x:v>Normal</x:v>
      </x:c>
      <x:c r="G3499" s="93" t="n">
        <x:v>129.69</x:v>
      </x:c>
      <x:c r="H3499" s="85" t="str">
        <x:v>Diagnóstico e execução</x:v>
      </x:c>
    </x:row>
    <x:row r="3500">
      <x:c r="A3500" s="83" t="n">
        <x:v>3499</x:v>
      </x:c>
      <x:c r="B3500" s="84" t="n">
        <x:v>2045</x:v>
      </x:c>
      <x:c r="C3500" s="84" t="n">
        <x:v>15</x:v>
      </x:c>
      <x:c r="D3500" s="89" t="n">
        <x:v>45682</x:v>
      </x:c>
      <x:c r="E3500" s="84" t="n">
        <x:v>7.1</x:v>
      </x:c>
      <x:c r="F3500" s="84" t="str">
        <x:v>Normal</x:v>
      </x:c>
      <x:c r="G3500" s="93" t="n">
        <x:v>214.7</x:v>
      </x:c>
      <x:c r="H3500" s="85" t="str">
        <x:v>Diagnóstico e execução</x:v>
      </x:c>
    </x:row>
    <x:row r="3501">
      <x:c r="A3501" s="83" t="n">
        <x:v>3500</x:v>
      </x:c>
      <x:c r="B3501" s="84" t="n">
        <x:v>2045</x:v>
      </x:c>
      <x:c r="C3501" s="84" t="n">
        <x:v>9</x:v>
      </x:c>
      <x:c r="D3501" s="89" t="n">
        <x:v>45682</x:v>
      </x:c>
      <x:c r="E3501" s="84" t="n">
        <x:v>1</x:v>
      </x:c>
      <x:c r="F3501" s="84" t="str">
        <x:v>Normal</x:v>
      </x:c>
      <x:c r="G3501" s="93" t="n">
        <x:v>52.67</x:v>
      </x:c>
      <x:c r="H3501" s="85" t="str">
        <x:v>Diagnóstico e execução</x:v>
      </x:c>
    </x:row>
    <x:row r="3502">
      <x:c r="A3502" s="83" t="n">
        <x:v>3501</x:v>
      </x:c>
      <x:c r="B3502" s="84" t="n">
        <x:v>2046</x:v>
      </x:c>
      <x:c r="C3502" s="84" t="n">
        <x:v>5</x:v>
      </x:c>
      <x:c r="D3502" s="89" t="n">
        <x:v>45183</x:v>
      </x:c>
      <x:c r="E3502" s="84" t="n">
        <x:v>2.8</x:v>
      </x:c>
      <x:c r="F3502" s="84" t="str">
        <x:v>Normal</x:v>
      </x:c>
      <x:c r="G3502" s="93" t="n">
        <x:v>80.7</x:v>
      </x:c>
      <x:c r="H3502" s="85" t="str">
        <x:v>Diagnóstico e execução</x:v>
      </x:c>
    </x:row>
    <x:row r="3503">
      <x:c r="A3503" s="83" t="n">
        <x:v>3502</x:v>
      </x:c>
      <x:c r="B3503" s="84" t="n">
        <x:v>2046</x:v>
      </x:c>
      <x:c r="C3503" s="84" t="n">
        <x:v>34</x:v>
      </x:c>
      <x:c r="D3503" s="89" t="n">
        <x:v>45183</x:v>
      </x:c>
      <x:c r="E3503" s="84" t="n">
        <x:v>7.2</x:v>
      </x:c>
      <x:c r="F3503" s="84" t="str">
        <x:v>Normal</x:v>
      </x:c>
      <x:c r="G3503" s="93" t="n">
        <x:v>311.26</x:v>
      </x:c>
      <x:c r="H3503" s="85" t="str">
        <x:v>Diagnóstico e execução</x:v>
      </x:c>
    </x:row>
    <x:row r="3504">
      <x:c r="A3504" s="83" t="n">
        <x:v>3503</x:v>
      </x:c>
      <x:c r="B3504" s="84" t="n">
        <x:v>2046</x:v>
      </x:c>
      <x:c r="C3504" s="84" t="n">
        <x:v>35</x:v>
      </x:c>
      <x:c r="D3504" s="89" t="n">
        <x:v>45183</x:v>
      </x:c>
      <x:c r="E3504" s="84" t="n">
        <x:v>4.8</x:v>
      </x:c>
      <x:c r="F3504" s="84" t="str">
        <x:v>Normal</x:v>
      </x:c>
      <x:c r="G3504" s="93" t="n">
        <x:v>236.11</x:v>
      </x:c>
      <x:c r="H3504" s="85" t="str">
        <x:v>Diagnóstico e execução</x:v>
      </x:c>
    </x:row>
    <x:row r="3505">
      <x:c r="A3505" s="83" t="n">
        <x:v>3504</x:v>
      </x:c>
      <x:c r="B3505" s="84" t="n">
        <x:v>2047</x:v>
      </x:c>
      <x:c r="C3505" s="84" t="n">
        <x:v>35</x:v>
      </x:c>
      <x:c r="D3505" s="89" t="n">
        <x:v>45109</x:v>
      </x:c>
      <x:c r="E3505" s="84" t="n">
        <x:v>7.4</x:v>
      </x:c>
      <x:c r="F3505" s="84" t="str">
        <x:v>Normal</x:v>
      </x:c>
      <x:c r="G3505" s="93" t="n">
        <x:v>364.01</x:v>
      </x:c>
      <x:c r="H3505" s="85" t="str">
        <x:v>Diagnóstico e execução</x:v>
      </x:c>
    </x:row>
    <x:row r="3506">
      <x:c r="A3506" s="83" t="n">
        <x:v>3505</x:v>
      </x:c>
      <x:c r="B3506" s="84" t="n">
        <x:v>2048</x:v>
      </x:c>
      <x:c r="C3506" s="84" t="n">
        <x:v>36</x:v>
      </x:c>
      <x:c r="D3506" s="89" t="n">
        <x:v>45552</x:v>
      </x:c>
      <x:c r="E3506" s="84" t="n">
        <x:v>3.5</x:v>
      </x:c>
      <x:c r="F3506" s="84" t="str">
        <x:v>Normal</x:v>
      </x:c>
      <x:c r="G3506" s="93" t="n">
        <x:v>103.81</x:v>
      </x:c>
      <x:c r="H3506" s="85" t="str">
        <x:v>Diagnóstico e execução</x:v>
      </x:c>
    </x:row>
    <x:row r="3507">
      <x:c r="A3507" s="83" t="n">
        <x:v>3506</x:v>
      </x:c>
      <x:c r="B3507" s="84" t="n">
        <x:v>2049</x:v>
      </x:c>
      <x:c r="C3507" s="84" t="n">
        <x:v>8</x:v>
      </x:c>
      <x:c r="D3507" s="89" t="n">
        <x:v>45039</x:v>
      </x:c>
      <x:c r="E3507" s="84" t="n">
        <x:v>7.6</x:v>
      </x:c>
      <x:c r="F3507" s="84" t="str">
        <x:v>Normal</x:v>
      </x:c>
      <x:c r="G3507" s="93" t="n">
        <x:v>353.4</x:v>
      </x:c>
      <x:c r="H3507" s="85" t="str">
        <x:v>Diagnóstico e execução</x:v>
      </x:c>
    </x:row>
    <x:row r="3508">
      <x:c r="A3508" s="83" t="n">
        <x:v>3507</x:v>
      </x:c>
      <x:c r="B3508" s="84" t="n">
        <x:v>2050</x:v>
      </x:c>
      <x:c r="C3508" s="84" t="n">
        <x:v>3</x:v>
      </x:c>
      <x:c r="D3508" s="89" t="n">
        <x:v>45874</x:v>
      </x:c>
      <x:c r="E3508" s="84" t="n">
        <x:v>3.8</x:v>
      </x:c>
      <x:c r="F3508" s="84" t="str">
        <x:v>Normal</x:v>
      </x:c>
      <x:c r="G3508" s="93" t="n">
        <x:v>187.11</x:v>
      </x:c>
      <x:c r="H3508" s="85" t="str">
        <x:v>Diagnóstico e execução</x:v>
      </x:c>
    </x:row>
    <x:row r="3509">
      <x:c r="A3509" s="83" t="n">
        <x:v>3508</x:v>
      </x:c>
      <x:c r="B3509" s="84" t="n">
        <x:v>2050</x:v>
      </x:c>
      <x:c r="C3509" s="84" t="n">
        <x:v>42</x:v>
      </x:c>
      <x:c r="D3509" s="89" t="n">
        <x:v>45874</x:v>
      </x:c>
      <x:c r="E3509" s="84" t="n">
        <x:v>4.7</x:v>
      </x:c>
      <x:c r="F3509" s="84" t="str">
        <x:v>Normal</x:v>
      </x:c>
      <x:c r="G3509" s="93" t="n">
        <x:v>198.25</x:v>
      </x:c>
      <x:c r="H3509" s="85" t="str">
        <x:v>Diagnóstico e execução</x:v>
      </x:c>
    </x:row>
    <x:row r="3510">
      <x:c r="A3510" s="83" t="n">
        <x:v>3509</x:v>
      </x:c>
      <x:c r="B3510" s="84" t="n">
        <x:v>2050</x:v>
      </x:c>
      <x:c r="C3510" s="84" t="n">
        <x:v>36</x:v>
      </x:c>
      <x:c r="D3510" s="89" t="n">
        <x:v>45874</x:v>
      </x:c>
      <x:c r="E3510" s="84" t="n">
        <x:v>1.8</x:v>
      </x:c>
      <x:c r="F3510" s="84" t="str">
        <x:v>Normal</x:v>
      </x:c>
      <x:c r="G3510" s="93" t="n">
        <x:v>53.39</x:v>
      </x:c>
      <x:c r="H3510" s="85" t="str">
        <x:v>Diagnóstico e execução</x:v>
      </x:c>
    </x:row>
    <x:row r="3511">
      <x:c r="A3511" s="83" t="n">
        <x:v>3510</x:v>
      </x:c>
      <x:c r="B3511" s="84" t="n">
        <x:v>2051</x:v>
      </x:c>
      <x:c r="C3511" s="84" t="n">
        <x:v>19</x:v>
      </x:c>
      <x:c r="D3511" s="89" t="n">
        <x:v>45740</x:v>
      </x:c>
      <x:c r="E3511" s="84" t="n">
        <x:v>7.2</x:v>
      </x:c>
      <x:c r="F3511" s="84" t="str">
        <x:v>Normal</x:v>
      </x:c>
      <x:c r="G3511" s="93" t="n">
        <x:v>334.66</x:v>
      </x:c>
      <x:c r="H3511" s="85" t="str">
        <x:v>Diagnóstico e execução</x:v>
      </x:c>
    </x:row>
    <x:row r="3512">
      <x:c r="A3512" s="83" t="n">
        <x:v>3511</x:v>
      </x:c>
      <x:c r="B3512" s="84" t="n">
        <x:v>2052</x:v>
      </x:c>
      <x:c r="C3512" s="84" t="n">
        <x:v>12</x:v>
      </x:c>
      <x:c r="D3512" s="89" t="n">
        <x:v>44965</x:v>
      </x:c>
      <x:c r="E3512" s="84" t="n">
        <x:v>6.1</x:v>
      </x:c>
      <x:c r="F3512" s="84" t="str">
        <x:v>Normal</x:v>
      </x:c>
      <x:c r="G3512" s="93" t="n">
        <x:v>210.45</x:v>
      </x:c>
      <x:c r="H3512" s="85" t="str">
        <x:v>Diagnóstico e execução</x:v>
      </x:c>
    </x:row>
    <x:row r="3513">
      <x:c r="A3513" s="83" t="n">
        <x:v>3512</x:v>
      </x:c>
      <x:c r="B3513" s="84" t="n">
        <x:v>2053</x:v>
      </x:c>
      <x:c r="C3513" s="84" t="n">
        <x:v>22</x:v>
      </x:c>
      <x:c r="D3513" s="89" t="n">
        <x:v>45431</x:v>
      </x:c>
      <x:c r="E3513" s="84" t="n">
        <x:v>7.8</x:v>
      </x:c>
      <x:c r="F3513" s="84" t="str">
        <x:v>Normal</x:v>
      </x:c>
      <x:c r="G3513" s="93" t="n">
        <x:v>299.99</x:v>
      </x:c>
      <x:c r="H3513" s="85" t="str">
        <x:v>Diagnóstico e execução</x:v>
      </x:c>
    </x:row>
    <x:row r="3514">
      <x:c r="A3514" s="83" t="n">
        <x:v>3513</x:v>
      </x:c>
      <x:c r="B3514" s="84" t="n">
        <x:v>2053</x:v>
      </x:c>
      <x:c r="C3514" s="84" t="n">
        <x:v>29</x:v>
      </x:c>
      <x:c r="D3514" s="89" t="n">
        <x:v>45431</x:v>
      </x:c>
      <x:c r="E3514" s="84" t="n">
        <x:v>4.4</x:v>
      </x:c>
      <x:c r="F3514" s="84" t="str">
        <x:v>Normal</x:v>
      </x:c>
      <x:c r="G3514" s="93" t="n">
        <x:v>217.89</x:v>
      </x:c>
      <x:c r="H3514" s="85" t="str">
        <x:v>Diagnóstico e execução</x:v>
      </x:c>
    </x:row>
    <x:row r="3515">
      <x:c r="A3515" s="83" t="n">
        <x:v>3514</x:v>
      </x:c>
      <x:c r="B3515" s="84" t="n">
        <x:v>2054</x:v>
      </x:c>
      <x:c r="C3515" s="84" t="n">
        <x:v>28</x:v>
      </x:c>
      <x:c r="D3515" s="89" t="n">
        <x:v>45964</x:v>
      </x:c>
      <x:c r="E3515" s="84" t="n">
        <x:v>5.4</x:v>
      </x:c>
      <x:c r="F3515" s="84" t="str">
        <x:v>Normal</x:v>
      </x:c>
      <x:c r="G3515" s="93" t="n">
        <x:v>203.15</x:v>
      </x:c>
      <x:c r="H3515" s="85" t="str">
        <x:v>Diagnóstico e execução</x:v>
      </x:c>
    </x:row>
    <x:row r="3516">
      <x:c r="A3516" s="83" t="n">
        <x:v>3515</x:v>
      </x:c>
      <x:c r="B3516" s="84" t="n">
        <x:v>2055</x:v>
      </x:c>
      <x:c r="C3516" s="84" t="n">
        <x:v>10</x:v>
      </x:c>
      <x:c r="D3516" s="89" t="n">
        <x:v>45089</x:v>
      </x:c>
      <x:c r="E3516" s="84" t="n">
        <x:v>5.8</x:v>
      </x:c>
      <x:c r="F3516" s="84" t="str">
        <x:v>Normal</x:v>
      </x:c>
      <x:c r="G3516" s="93" t="n">
        <x:v>172.2</x:v>
      </x:c>
      <x:c r="H3516" s="85" t="str">
        <x:v>Diagnóstico e execução</x:v>
      </x:c>
    </x:row>
    <x:row r="3517">
      <x:c r="A3517" s="83" t="n">
        <x:v>3516</x:v>
      </x:c>
      <x:c r="B3517" s="84" t="n">
        <x:v>2055</x:v>
      </x:c>
      <x:c r="C3517" s="84" t="n">
        <x:v>40</x:v>
      </x:c>
      <x:c r="D3517" s="89" t="n">
        <x:v>45089</x:v>
      </x:c>
      <x:c r="E3517" s="84" t="n">
        <x:v>6.2</x:v>
      </x:c>
      <x:c r="F3517" s="84" t="str">
        <x:v>Normal</x:v>
      </x:c>
      <x:c r="G3517" s="93" t="n">
        <x:v>306.4</x:v>
      </x:c>
      <x:c r="H3517" s="85" t="str">
        <x:v>Diagnóstico e execução</x:v>
      </x:c>
    </x:row>
    <x:row r="3518">
      <x:c r="A3518" s="83" t="n">
        <x:v>3517</x:v>
      </x:c>
      <x:c r="B3518" s="84" t="n">
        <x:v>2056</x:v>
      </x:c>
      <x:c r="C3518" s="84" t="n">
        <x:v>21</x:v>
      </x:c>
      <x:c r="D3518" s="89" t="n">
        <x:v>45531</x:v>
      </x:c>
      <x:c r="E3518" s="84" t="n">
        <x:v>3.9</x:v>
      </x:c>
      <x:c r="F3518" s="84" t="str">
        <x:v>Normal</x:v>
      </x:c>
      <x:c r="G3518" s="93" t="n">
        <x:v>239.58</x:v>
      </x:c>
      <x:c r="H3518" s="85" t="str">
        <x:v>Diagnóstico e execução</x:v>
      </x:c>
    </x:row>
    <x:row r="3519">
      <x:c r="A3519" s="83" t="n">
        <x:v>3518</x:v>
      </x:c>
      <x:c r="B3519" s="84" t="n">
        <x:v>2056</x:v>
      </x:c>
      <x:c r="C3519" s="84" t="n">
        <x:v>36</x:v>
      </x:c>
      <x:c r="D3519" s="89" t="n">
        <x:v>45531</x:v>
      </x:c>
      <x:c r="E3519" s="84" t="n">
        <x:v>1.4</x:v>
      </x:c>
      <x:c r="F3519" s="84" t="str">
        <x:v>Normal</x:v>
      </x:c>
      <x:c r="G3519" s="93" t="n">
        <x:v>41.52</x:v>
      </x:c>
      <x:c r="H3519" s="85" t="str">
        <x:v>Diagnóstico e execução</x:v>
      </x:c>
    </x:row>
    <x:row r="3520">
      <x:c r="A3520" s="83" t="n">
        <x:v>3519</x:v>
      </x:c>
      <x:c r="B3520" s="84" t="n">
        <x:v>2057</x:v>
      </x:c>
      <x:c r="C3520" s="84" t="n">
        <x:v>24</x:v>
      </x:c>
      <x:c r="D3520" s="89" t="n">
        <x:v>45341</x:v>
      </x:c>
      <x:c r="E3520" s="84" t="n">
        <x:v>3.3</x:v>
      </x:c>
      <x:c r="F3520" s="84" t="str">
        <x:v>Normal</x:v>
      </x:c>
      <x:c r="G3520" s="93" t="n">
        <x:v>195.49</x:v>
      </x:c>
      <x:c r="H3520" s="85" t="str">
        <x:v>Diagnóstico e execução</x:v>
      </x:c>
    </x:row>
    <x:row r="3521">
      <x:c r="A3521" s="83" t="n">
        <x:v>3520</x:v>
      </x:c>
      <x:c r="B3521" s="84" t="n">
        <x:v>2057</x:v>
      </x:c>
      <x:c r="C3521" s="84" t="n">
        <x:v>25</x:v>
      </x:c>
      <x:c r="D3521" s="89" t="n">
        <x:v>45341</x:v>
      </x:c>
      <x:c r="E3521" s="84" t="n">
        <x:v>3.4</x:v>
      </x:c>
      <x:c r="F3521" s="84" t="str">
        <x:v>Normal</x:v>
      </x:c>
      <x:c r="G3521" s="93" t="n">
        <x:v>182.21</x:v>
      </x:c>
      <x:c r="H3521" s="85" t="str">
        <x:v>Diagnóstico e execução</x:v>
      </x:c>
    </x:row>
    <x:row r="3522">
      <x:c r="A3522" s="83" t="n">
        <x:v>3521</x:v>
      </x:c>
      <x:c r="B3522" s="84" t="n">
        <x:v>2057</x:v>
      </x:c>
      <x:c r="C3522" s="84" t="n">
        <x:v>6</x:v>
      </x:c>
      <x:c r="D3522" s="89" t="n">
        <x:v>45341</x:v>
      </x:c>
      <x:c r="E3522" s="84" t="n">
        <x:v>4.4</x:v>
      </x:c>
      <x:c r="F3522" s="84" t="str">
        <x:v>Normal</x:v>
      </x:c>
      <x:c r="G3522" s="93" t="n">
        <x:v>229.94</x:v>
      </x:c>
      <x:c r="H3522" s="85" t="str">
        <x:v>Diagnóstico e execução</x:v>
      </x:c>
    </x:row>
    <x:row r="3523">
      <x:c r="A3523" s="83" t="n">
        <x:v>3522</x:v>
      </x:c>
      <x:c r="B3523" s="84" t="n">
        <x:v>2058</x:v>
      </x:c>
      <x:c r="C3523" s="84" t="n">
        <x:v>28</x:v>
      </x:c>
      <x:c r="D3523" s="89" t="n">
        <x:v>45321</x:v>
      </x:c>
      <x:c r="E3523" s="84" t="n">
        <x:v>5.6</x:v>
      </x:c>
      <x:c r="F3523" s="84" t="str">
        <x:v>Normal</x:v>
      </x:c>
      <x:c r="G3523" s="93" t="n">
        <x:v>210.67</x:v>
      </x:c>
      <x:c r="H3523" s="85" t="str">
        <x:v>Diagnóstico e execução</x:v>
      </x:c>
    </x:row>
    <x:row r="3524">
      <x:c r="A3524" s="83" t="n">
        <x:v>3523</x:v>
      </x:c>
      <x:c r="B3524" s="84" t="n">
        <x:v>2059</x:v>
      </x:c>
      <x:c r="C3524" s="84" t="n">
        <x:v>40</x:v>
      </x:c>
      <x:c r="D3524" s="89" t="n">
        <x:v>45612</x:v>
      </x:c>
      <x:c r="E3524" s="84" t="n">
        <x:v>4.2</x:v>
      </x:c>
      <x:c r="F3524" s="84" t="str">
        <x:v>Normal</x:v>
      </x:c>
      <x:c r="G3524" s="93" t="n">
        <x:v>207.56</x:v>
      </x:c>
      <x:c r="H3524" s="85" t="str">
        <x:v>Diagnóstico e execução</x:v>
      </x:c>
    </x:row>
    <x:row r="3525">
      <x:c r="A3525" s="83" t="n">
        <x:v>3524</x:v>
      </x:c>
      <x:c r="B3525" s="84" t="n">
        <x:v>2060</x:v>
      </x:c>
      <x:c r="C3525" s="84" t="n">
        <x:v>23</x:v>
      </x:c>
      <x:c r="D3525" s="89" t="n">
        <x:v>45823</x:v>
      </x:c>
      <x:c r="E3525" s="84" t="n">
        <x:v>5.6</x:v>
      </x:c>
      <x:c r="F3525" s="84" t="str">
        <x:v>Normal</x:v>
      </x:c>
      <x:c r="G3525" s="93" t="n">
        <x:v>241.42</x:v>
      </x:c>
      <x:c r="H3525" s="85" t="str">
        <x:v>Diagnóstico e execução</x:v>
      </x:c>
    </x:row>
    <x:row r="3526">
      <x:c r="A3526" s="83" t="n">
        <x:v>3525</x:v>
      </x:c>
      <x:c r="B3526" s="84" t="n">
        <x:v>2060</x:v>
      </x:c>
      <x:c r="C3526" s="84" t="n">
        <x:v>7</x:v>
      </x:c>
      <x:c r="D3526" s="89" t="n">
        <x:v>45823</x:v>
      </x:c>
      <x:c r="E3526" s="84" t="n">
        <x:v>0.9</x:v>
      </x:c>
      <x:c r="F3526" s="84" t="str">
        <x:v>Normal</x:v>
      </x:c>
      <x:c r="G3526" s="93" t="n">
        <x:v>52.39</x:v>
      </x:c>
      <x:c r="H3526" s="85" t="str">
        <x:v>Diagnóstico e execução</x:v>
      </x:c>
    </x:row>
    <x:row r="3527">
      <x:c r="A3527" s="83" t="n">
        <x:v>3526</x:v>
      </x:c>
      <x:c r="B3527" s="84" t="n">
        <x:v>2061</x:v>
      </x:c>
      <x:c r="C3527" s="84" t="n">
        <x:v>27</x:v>
      </x:c>
      <x:c r="D3527" s="89" t="n">
        <x:v>45101</x:v>
      </x:c>
      <x:c r="E3527" s="84" t="n">
        <x:v>5.3</x:v>
      </x:c>
      <x:c r="F3527" s="84" t="str">
        <x:v>Normal</x:v>
      </x:c>
      <x:c r="G3527" s="93" t="n">
        <x:v>323.25</x:v>
      </x:c>
      <x:c r="H3527" s="85" t="str">
        <x:v>Diagnóstico e execução</x:v>
      </x:c>
    </x:row>
    <x:row r="3528">
      <x:c r="A3528" s="83" t="n">
        <x:v>3527</x:v>
      </x:c>
      <x:c r="B3528" s="84" t="n">
        <x:v>2061</x:v>
      </x:c>
      <x:c r="C3528" s="84" t="n">
        <x:v>14</x:v>
      </x:c>
      <x:c r="D3528" s="89" t="n">
        <x:v>45101</x:v>
      </x:c>
      <x:c r="E3528" s="84" t="n">
        <x:v>6.6</x:v>
      </x:c>
      <x:c r="F3528" s="84" t="str">
        <x:v>Normal</x:v>
      </x:c>
      <x:c r="G3528" s="93" t="n">
        <x:v>373.96</x:v>
      </x:c>
      <x:c r="H3528" s="85" t="str">
        <x:v>Diagnóstico e execução</x:v>
      </x:c>
    </x:row>
    <x:row r="3529">
      <x:c r="A3529" s="83" t="n">
        <x:v>3528</x:v>
      </x:c>
      <x:c r="B3529" s="84" t="n">
        <x:v>2062</x:v>
      </x:c>
      <x:c r="C3529" s="84" t="n">
        <x:v>10</x:v>
      </x:c>
      <x:c r="D3529" s="89" t="n">
        <x:v>45050</x:v>
      </x:c>
      <x:c r="E3529" s="84" t="n">
        <x:v>5.5</x:v>
      </x:c>
      <x:c r="F3529" s="84" t="str">
        <x:v>Normal</x:v>
      </x:c>
      <x:c r="G3529" s="93" t="n">
        <x:v>163.3</x:v>
      </x:c>
      <x:c r="H3529" s="85" t="str">
        <x:v>Diagnóstico e execução</x:v>
      </x:c>
    </x:row>
    <x:row r="3530">
      <x:c r="A3530" s="83" t="n">
        <x:v>3529</x:v>
      </x:c>
      <x:c r="B3530" s="84" t="n">
        <x:v>2062</x:v>
      </x:c>
      <x:c r="C3530" s="84" t="n">
        <x:v>19</x:v>
      </x:c>
      <x:c r="D3530" s="89" t="n">
        <x:v>45050</x:v>
      </x:c>
      <x:c r="E3530" s="84" t="n">
        <x:v>6.5</x:v>
      </x:c>
      <x:c r="F3530" s="84" t="str">
        <x:v>Normal</x:v>
      </x:c>
      <x:c r="G3530" s="93" t="n">
        <x:v>302.12</x:v>
      </x:c>
      <x:c r="H3530" s="85" t="str">
        <x:v>Diagnóstico e execução</x:v>
      </x:c>
    </x:row>
    <x:row r="3531">
      <x:c r="A3531" s="83" t="n">
        <x:v>3530</x:v>
      </x:c>
      <x:c r="B3531" s="84" t="n">
        <x:v>2063</x:v>
      </x:c>
      <x:c r="C3531" s="84" t="n">
        <x:v>15</x:v>
      </x:c>
      <x:c r="D3531" s="89" t="n">
        <x:v>45872</x:v>
      </x:c>
      <x:c r="E3531" s="84" t="n">
        <x:v>7.4</x:v>
      </x:c>
      <x:c r="F3531" s="84" t="str">
        <x:v>Normal</x:v>
      </x:c>
      <x:c r="G3531" s="93" t="n">
        <x:v>223.78</x:v>
      </x:c>
      <x:c r="H3531" s="85" t="str">
        <x:v>Diagnóstico e execução</x:v>
      </x:c>
    </x:row>
    <x:row r="3532">
      <x:c r="A3532" s="83" t="n">
        <x:v>3531</x:v>
      </x:c>
      <x:c r="B3532" s="84" t="n">
        <x:v>2063</x:v>
      </x:c>
      <x:c r="C3532" s="84" t="n">
        <x:v>26</x:v>
      </x:c>
      <x:c r="D3532" s="89" t="n">
        <x:v>45872</x:v>
      </x:c>
      <x:c r="E3532" s="84" t="n">
        <x:v>1</x:v>
      </x:c>
      <x:c r="F3532" s="84" t="str">
        <x:v>Normal</x:v>
      </x:c>
      <x:c r="G3532" s="93" t="n">
        <x:v>39.12</x:v>
      </x:c>
      <x:c r="H3532" s="85" t="str">
        <x:v>Diagnóstico e execução</x:v>
      </x:c>
    </x:row>
    <x:row r="3533">
      <x:c r="A3533" s="83" t="n">
        <x:v>3532</x:v>
      </x:c>
      <x:c r="B3533" s="84" t="n">
        <x:v>2063</x:v>
      </x:c>
      <x:c r="C3533" s="84" t="n">
        <x:v>36</x:v>
      </x:c>
      <x:c r="D3533" s="89" t="n">
        <x:v>45872</x:v>
      </x:c>
      <x:c r="E3533" s="84" t="n">
        <x:v>8</x:v>
      </x:c>
      <x:c r="F3533" s="84" t="str">
        <x:v>Normal</x:v>
      </x:c>
      <x:c r="G3533" s="93" t="n">
        <x:v>237.28</x:v>
      </x:c>
      <x:c r="H3533" s="85" t="str">
        <x:v>Diagnóstico e execução</x:v>
      </x:c>
    </x:row>
    <x:row r="3534">
      <x:c r="A3534" s="83" t="n">
        <x:v>3533</x:v>
      </x:c>
      <x:c r="B3534" s="84" t="n">
        <x:v>2064</x:v>
      </x:c>
      <x:c r="C3534" s="84" t="n">
        <x:v>10</x:v>
      </x:c>
      <x:c r="D3534" s="89" t="n">
        <x:v>45810</x:v>
      </x:c>
      <x:c r="E3534" s="84" t="n">
        <x:v>7.7</x:v>
      </x:c>
      <x:c r="F3534" s="84" t="str">
        <x:v>Normal</x:v>
      </x:c>
      <x:c r="G3534" s="93" t="n">
        <x:v>228.61</x:v>
      </x:c>
      <x:c r="H3534" s="85" t="str">
        <x:v>Diagnóstico e execução</x:v>
      </x:c>
    </x:row>
    <x:row r="3535">
      <x:c r="A3535" s="83" t="n">
        <x:v>3534</x:v>
      </x:c>
      <x:c r="B3535" s="84" t="n">
        <x:v>2064</x:v>
      </x:c>
      <x:c r="C3535" s="84" t="n">
        <x:v>41</x:v>
      </x:c>
      <x:c r="D3535" s="89" t="n">
        <x:v>45810</x:v>
      </x:c>
      <x:c r="E3535" s="84" t="n">
        <x:v>4.3</x:v>
      </x:c>
      <x:c r="F3535" s="84" t="str">
        <x:v>Normal</x:v>
      </x:c>
      <x:c r="G3535" s="93" t="n">
        <x:v>217.49</x:v>
      </x:c>
      <x:c r="H3535" s="85" t="str">
        <x:v>Diagnóstico e execução</x:v>
      </x:c>
    </x:row>
    <x:row r="3536">
      <x:c r="A3536" s="83" t="n">
        <x:v>3535</x:v>
      </x:c>
      <x:c r="B3536" s="84" t="n">
        <x:v>2065</x:v>
      </x:c>
      <x:c r="C3536" s="84" t="n">
        <x:v>31</x:v>
      </x:c>
      <x:c r="D3536" s="89" t="n">
        <x:v>45685</x:v>
      </x:c>
      <x:c r="E3536" s="84" t="n">
        <x:v>5</x:v>
      </x:c>
      <x:c r="F3536" s="84" t="str">
        <x:v>Normal</x:v>
      </x:c>
      <x:c r="G3536" s="93" t="n">
        <x:v>244.5</x:v>
      </x:c>
      <x:c r="H3536" s="85" t="str">
        <x:v>Diagnóstico e execução</x:v>
      </x:c>
    </x:row>
    <x:row r="3537">
      <x:c r="A3537" s="83" t="n">
        <x:v>3536</x:v>
      </x:c>
      <x:c r="B3537" s="84" t="n">
        <x:v>2065</x:v>
      </x:c>
      <x:c r="C3537" s="84" t="n">
        <x:v>21</x:v>
      </x:c>
      <x:c r="D3537" s="89" t="n">
        <x:v>45685</x:v>
      </x:c>
      <x:c r="E3537" s="84" t="n">
        <x:v>4.8</x:v>
      </x:c>
      <x:c r="F3537" s="84" t="str">
        <x:v>Normal</x:v>
      </x:c>
      <x:c r="G3537" s="93" t="n">
        <x:v>294.86</x:v>
      </x:c>
      <x:c r="H3537" s="85" t="str">
        <x:v>Diagnóstico e execução</x:v>
      </x:c>
    </x:row>
    <x:row r="3538">
      <x:c r="A3538" s="83" t="n">
        <x:v>3537</x:v>
      </x:c>
      <x:c r="B3538" s="84" t="n">
        <x:v>2065</x:v>
      </x:c>
      <x:c r="C3538" s="84" t="n">
        <x:v>11</x:v>
      </x:c>
      <x:c r="D3538" s="89" t="n">
        <x:v>45685</x:v>
      </x:c>
      <x:c r="E3538" s="84" t="n">
        <x:v>0.6</x:v>
      </x:c>
      <x:c r="F3538" s="84" t="str">
        <x:v>Normal</x:v>
      </x:c>
      <x:c r="G3538" s="93" t="n">
        <x:v>25.01</x:v>
      </x:c>
      <x:c r="H3538" s="85" t="str">
        <x:v>Diagnóstico e execução</x:v>
      </x:c>
    </x:row>
    <x:row r="3539">
      <x:c r="A3539" s="83" t="n">
        <x:v>3538</x:v>
      </x:c>
      <x:c r="B3539" s="84" t="n">
        <x:v>2066</x:v>
      </x:c>
      <x:c r="C3539" s="84" t="n">
        <x:v>1</x:v>
      </x:c>
      <x:c r="D3539" s="89" t="n">
        <x:v>45730</x:v>
      </x:c>
      <x:c r="E3539" s="84" t="n">
        <x:v>2.8</x:v>
      </x:c>
      <x:c r="F3539" s="84" t="str">
        <x:v>Normal</x:v>
      </x:c>
      <x:c r="G3539" s="93" t="n">
        <x:v>99.04</x:v>
      </x:c>
      <x:c r="H3539" s="85" t="str">
        <x:v>Diagnóstico e execução</x:v>
      </x:c>
    </x:row>
    <x:row r="3540">
      <x:c r="A3540" s="83" t="n">
        <x:v>3539</x:v>
      </x:c>
      <x:c r="B3540" s="84" t="n">
        <x:v>2067</x:v>
      </x:c>
      <x:c r="C3540" s="84" t="n">
        <x:v>5</x:v>
      </x:c>
      <x:c r="D3540" s="89" t="n">
        <x:v>45328</x:v>
      </x:c>
      <x:c r="E3540" s="84" t="n">
        <x:v>2.8</x:v>
      </x:c>
      <x:c r="F3540" s="84" t="str">
        <x:v>Normal</x:v>
      </x:c>
      <x:c r="G3540" s="93" t="n">
        <x:v>80.7</x:v>
      </x:c>
      <x:c r="H3540" s="85" t="str">
        <x:v>Diagnóstico e execução</x:v>
      </x:c>
    </x:row>
    <x:row r="3541">
      <x:c r="A3541" s="83" t="n">
        <x:v>3540</x:v>
      </x:c>
      <x:c r="B3541" s="84" t="n">
        <x:v>2067</x:v>
      </x:c>
      <x:c r="C3541" s="84" t="n">
        <x:v>23</x:v>
      </x:c>
      <x:c r="D3541" s="89" t="n">
        <x:v>45328</x:v>
      </x:c>
      <x:c r="E3541" s="84" t="n">
        <x:v>6.2</x:v>
      </x:c>
      <x:c r="F3541" s="84" t="str">
        <x:v>Normal</x:v>
      </x:c>
      <x:c r="G3541" s="93" t="n">
        <x:v>267.28</x:v>
      </x:c>
      <x:c r="H3541" s="85" t="str">
        <x:v>Diagnóstico e execução</x:v>
      </x:c>
    </x:row>
    <x:row r="3542">
      <x:c r="A3542" s="83" t="n">
        <x:v>3541</x:v>
      </x:c>
      <x:c r="B3542" s="84" t="n">
        <x:v>2069</x:v>
      </x:c>
      <x:c r="C3542" s="84" t="n">
        <x:v>23</x:v>
      </x:c>
      <x:c r="D3542" s="89" t="n">
        <x:v>45803</x:v>
      </x:c>
      <x:c r="E3542" s="84" t="n">
        <x:v>4.4</x:v>
      </x:c>
      <x:c r="F3542" s="84" t="str">
        <x:v>Normal</x:v>
      </x:c>
      <x:c r="G3542" s="93" t="n">
        <x:v>189.68</x:v>
      </x:c>
      <x:c r="H3542" s="85" t="str">
        <x:v>Diagnóstico e execução</x:v>
      </x:c>
    </x:row>
    <x:row r="3543">
      <x:c r="A3543" s="83" t="n">
        <x:v>3542</x:v>
      </x:c>
      <x:c r="B3543" s="84" t="n">
        <x:v>2069</x:v>
      </x:c>
      <x:c r="C3543" s="84" t="n">
        <x:v>5</x:v>
      </x:c>
      <x:c r="D3543" s="89" t="n">
        <x:v>45803</x:v>
      </x:c>
      <x:c r="E3543" s="84" t="n">
        <x:v>3.5</x:v>
      </x:c>
      <x:c r="F3543" s="84" t="str">
        <x:v>Normal</x:v>
      </x:c>
      <x:c r="G3543" s="93" t="n">
        <x:v>100.87</x:v>
      </x:c>
      <x:c r="H3543" s="85" t="str">
        <x:v>Diagnóstico e execução</x:v>
      </x:c>
    </x:row>
    <x:row r="3544">
      <x:c r="A3544" s="83" t="n">
        <x:v>3543</x:v>
      </x:c>
      <x:c r="B3544" s="84" t="n">
        <x:v>2070</x:v>
      </x:c>
      <x:c r="C3544" s="84" t="n">
        <x:v>6</x:v>
      </x:c>
      <x:c r="D3544" s="89" t="n">
        <x:v>45080</x:v>
      </x:c>
      <x:c r="E3544" s="84" t="n">
        <x:v>5</x:v>
      </x:c>
      <x:c r="F3544" s="84" t="str">
        <x:v>Normal</x:v>
      </x:c>
      <x:c r="G3544" s="93" t="n">
        <x:v>261.3</x:v>
      </x:c>
      <x:c r="H3544" s="85" t="str">
        <x:v>Diagnóstico e execução</x:v>
      </x:c>
    </x:row>
    <x:row r="3545">
      <x:c r="A3545" s="83" t="n">
        <x:v>3544</x:v>
      </x:c>
      <x:c r="B3545" s="84" t="n">
        <x:v>2070</x:v>
      </x:c>
      <x:c r="C3545" s="84" t="n">
        <x:v>1</x:v>
      </x:c>
      <x:c r="D3545" s="89" t="n">
        <x:v>45080</x:v>
      </x:c>
      <x:c r="E3545" s="84" t="n">
        <x:v>3</x:v>
      </x:c>
      <x:c r="F3545" s="84" t="str">
        <x:v>Normal</x:v>
      </x:c>
      <x:c r="G3545" s="93" t="n">
        <x:v>106.11</x:v>
      </x:c>
      <x:c r="H3545" s="85" t="str">
        <x:v>Diagnóstico e execução</x:v>
      </x:c>
    </x:row>
    <x:row r="3546">
      <x:c r="A3546" s="83" t="n">
        <x:v>3545</x:v>
      </x:c>
      <x:c r="B3546" s="84" t="n">
        <x:v>2070</x:v>
      </x:c>
      <x:c r="C3546" s="84" t="n">
        <x:v>25</x:v>
      </x:c>
      <x:c r="D3546" s="89" t="n">
        <x:v>45080</x:v>
      </x:c>
      <x:c r="E3546" s="84" t="n">
        <x:v>2.9</x:v>
      </x:c>
      <x:c r="F3546" s="84" t="str">
        <x:v>Normal</x:v>
      </x:c>
      <x:c r="G3546" s="93" t="n">
        <x:v>155.41</x:v>
      </x:c>
      <x:c r="H3546" s="85" t="str">
        <x:v>Diagnóstico e execução</x:v>
      </x:c>
    </x:row>
    <x:row r="3547">
      <x:c r="A3547" s="83" t="n">
        <x:v>3546</x:v>
      </x:c>
      <x:c r="B3547" s="84" t="n">
        <x:v>2071</x:v>
      </x:c>
      <x:c r="C3547" s="84" t="n">
        <x:v>34</x:v>
      </x:c>
      <x:c r="D3547" s="89" t="n">
        <x:v>45189</x:v>
      </x:c>
      <x:c r="E3547" s="84" t="n">
        <x:v>4.1</x:v>
      </x:c>
      <x:c r="F3547" s="84" t="str">
        <x:v>Normal</x:v>
      </x:c>
      <x:c r="G3547" s="93" t="n">
        <x:v>177.24</x:v>
      </x:c>
      <x:c r="H3547" s="85" t="str">
        <x:v>Diagnóstico e execução</x:v>
      </x:c>
    </x:row>
    <x:row r="3548">
      <x:c r="A3548" s="83" t="n">
        <x:v>3547</x:v>
      </x:c>
      <x:c r="B3548" s="84" t="n">
        <x:v>2072</x:v>
      </x:c>
      <x:c r="C3548" s="84" t="n">
        <x:v>17</x:v>
      </x:c>
      <x:c r="D3548" s="89" t="n">
        <x:v>45019</x:v>
      </x:c>
      <x:c r="E3548" s="84" t="n">
        <x:v>5.5</x:v>
      </x:c>
      <x:c r="F3548" s="84" t="str">
        <x:v>Normal</x:v>
      </x:c>
      <x:c r="G3548" s="93" t="n">
        <x:v>306.79</x:v>
      </x:c>
      <x:c r="H3548" s="85" t="str">
        <x:v>Diagnóstico e execução</x:v>
      </x:c>
    </x:row>
    <x:row r="3549">
      <x:c r="A3549" s="83" t="n">
        <x:v>3548</x:v>
      </x:c>
      <x:c r="B3549" s="84" t="n">
        <x:v>2073</x:v>
      </x:c>
      <x:c r="C3549" s="84" t="n">
        <x:v>39</x:v>
      </x:c>
      <x:c r="D3549" s="89" t="n">
        <x:v>44986</x:v>
      </x:c>
      <x:c r="E3549" s="84" t="n">
        <x:v>6.8</x:v>
      </x:c>
      <x:c r="F3549" s="84" t="str">
        <x:v>Normal</x:v>
      </x:c>
      <x:c r="G3549" s="93" t="n">
        <x:v>393.72</x:v>
      </x:c>
      <x:c r="H3549" s="85" t="str">
        <x:v>Diagnóstico e execução</x:v>
      </x:c>
    </x:row>
    <x:row r="3550">
      <x:c r="A3550" s="83" t="n">
        <x:v>3549</x:v>
      </x:c>
      <x:c r="B3550" s="84" t="n">
        <x:v>2073</x:v>
      </x:c>
      <x:c r="C3550" s="84" t="n">
        <x:v>29</x:v>
      </x:c>
      <x:c r="D3550" s="89" t="n">
        <x:v>44986</x:v>
      </x:c>
      <x:c r="E3550" s="84" t="n">
        <x:v>4.8</x:v>
      </x:c>
      <x:c r="F3550" s="84" t="str">
        <x:v>Normal</x:v>
      </x:c>
      <x:c r="G3550" s="93" t="n">
        <x:v>237.7</x:v>
      </x:c>
      <x:c r="H3550" s="85" t="str">
        <x:v>Diagnóstico e execução</x:v>
      </x:c>
    </x:row>
    <x:row r="3551">
      <x:c r="A3551" s="83" t="n">
        <x:v>3550</x:v>
      </x:c>
      <x:c r="B3551" s="84" t="n">
        <x:v>2074</x:v>
      </x:c>
      <x:c r="C3551" s="84" t="n">
        <x:v>5</x:v>
      </x:c>
      <x:c r="D3551" s="89" t="n">
        <x:v>45248</x:v>
      </x:c>
      <x:c r="E3551" s="84" t="n">
        <x:v>3.4</x:v>
      </x:c>
      <x:c r="F3551" s="84" t="str">
        <x:v>Normal</x:v>
      </x:c>
      <x:c r="G3551" s="93" t="n">
        <x:v>97.99</x:v>
      </x:c>
      <x:c r="H3551" s="85" t="str">
        <x:v>Diagnóstico e execução</x:v>
      </x:c>
    </x:row>
    <x:row r="3552">
      <x:c r="A3552" s="83" t="n">
        <x:v>3551</x:v>
      </x:c>
      <x:c r="B3552" s="84" t="n">
        <x:v>2075</x:v>
      </x:c>
      <x:c r="C3552" s="84" t="n">
        <x:v>1</x:v>
      </x:c>
      <x:c r="D3552" s="89" t="n">
        <x:v>45557</x:v>
      </x:c>
      <x:c r="E3552" s="84" t="n">
        <x:v>5.7</x:v>
      </x:c>
      <x:c r="F3552" s="84" t="str">
        <x:v>Normal</x:v>
      </x:c>
      <x:c r="G3552" s="93" t="n">
        <x:v>201.61</x:v>
      </x:c>
      <x:c r="H3552" s="85" t="str">
        <x:v>Diagnóstico e execução</x:v>
      </x:c>
    </x:row>
    <x:row r="3553">
      <x:c r="A3553" s="83" t="n">
        <x:v>3552</x:v>
      </x:c>
      <x:c r="B3553" s="84" t="n">
        <x:v>2075</x:v>
      </x:c>
      <x:c r="C3553" s="84" t="n">
        <x:v>7</x:v>
      </x:c>
      <x:c r="D3553" s="89" t="n">
        <x:v>45557</x:v>
      </x:c>
      <x:c r="E3553" s="84" t="n">
        <x:v>3.4</x:v>
      </x:c>
      <x:c r="F3553" s="84" t="str">
        <x:v>Normal</x:v>
      </x:c>
      <x:c r="G3553" s="93" t="n">
        <x:v>197.91</x:v>
      </x:c>
      <x:c r="H3553" s="85" t="str">
        <x:v>Diagnóstico e execução</x:v>
      </x:c>
    </x:row>
    <x:row r="3554">
      <x:c r="A3554" s="83" t="n">
        <x:v>3553</x:v>
      </x:c>
      <x:c r="B3554" s="84" t="n">
        <x:v>2075</x:v>
      </x:c>
      <x:c r="C3554" s="84" t="n">
        <x:v>44</x:v>
      </x:c>
      <x:c r="D3554" s="89" t="n">
        <x:v>45557</x:v>
      </x:c>
      <x:c r="E3554" s="84" t="n">
        <x:v>6.6</x:v>
      </x:c>
      <x:c r="F3554" s="84" t="str">
        <x:v>Normal</x:v>
      </x:c>
      <x:c r="G3554" s="93" t="n">
        <x:v>185.06</x:v>
      </x:c>
      <x:c r="H3554" s="85" t="str">
        <x:v>Diagnóstico e execução</x:v>
      </x:c>
    </x:row>
    <x:row r="3555">
      <x:c r="A3555" s="83" t="n">
        <x:v>3554</x:v>
      </x:c>
      <x:c r="B3555" s="84" t="n">
        <x:v>2076</x:v>
      </x:c>
      <x:c r="C3555" s="84" t="n">
        <x:v>34</x:v>
      </x:c>
      <x:c r="D3555" s="89" t="n">
        <x:v>45851</x:v>
      </x:c>
      <x:c r="E3555" s="84" t="n">
        <x:v>1.4</x:v>
      </x:c>
      <x:c r="F3555" s="84" t="str">
        <x:v>Normal</x:v>
      </x:c>
      <x:c r="G3555" s="93" t="n">
        <x:v>60.52</x:v>
      </x:c>
      <x:c r="H3555" s="85" t="str">
        <x:v>Diagnóstico e execução</x:v>
      </x:c>
    </x:row>
    <x:row r="3556">
      <x:c r="A3556" s="83" t="n">
        <x:v>3555</x:v>
      </x:c>
      <x:c r="B3556" s="84" t="n">
        <x:v>2078</x:v>
      </x:c>
      <x:c r="C3556" s="84" t="n">
        <x:v>20</x:v>
      </x:c>
      <x:c r="D3556" s="89" t="n">
        <x:v>45332</x:v>
      </x:c>
      <x:c r="E3556" s="84" t="n">
        <x:v>5.3</x:v>
      </x:c>
      <x:c r="F3556" s="84" t="str">
        <x:v>Normal</x:v>
      </x:c>
      <x:c r="G3556" s="93" t="n">
        <x:v>177.66</x:v>
      </x:c>
      <x:c r="H3556" s="85" t="str">
        <x:v>Diagnóstico e execução</x:v>
      </x:c>
    </x:row>
    <x:row r="3557">
      <x:c r="A3557" s="83" t="n">
        <x:v>3556</x:v>
      </x:c>
      <x:c r="B3557" s="84" t="n">
        <x:v>2078</x:v>
      </x:c>
      <x:c r="C3557" s="84" t="n">
        <x:v>31</x:v>
      </x:c>
      <x:c r="D3557" s="89" t="n">
        <x:v>45332</x:v>
      </x:c>
      <x:c r="E3557" s="84" t="n">
        <x:v>7.5</x:v>
      </x:c>
      <x:c r="F3557" s="84" t="str">
        <x:v>Normal</x:v>
      </x:c>
      <x:c r="G3557" s="93" t="n">
        <x:v>366.75</x:v>
      </x:c>
      <x:c r="H3557" s="85" t="str">
        <x:v>Diagnóstico e execução</x:v>
      </x:c>
    </x:row>
    <x:row r="3558">
      <x:c r="A3558" s="83" t="n">
        <x:v>3557</x:v>
      </x:c>
      <x:c r="B3558" s="84" t="n">
        <x:v>2078</x:v>
      </x:c>
      <x:c r="C3558" s="84" t="n">
        <x:v>7</x:v>
      </x:c>
      <x:c r="D3558" s="89" t="n">
        <x:v>45332</x:v>
      </x:c>
      <x:c r="E3558" s="84" t="n">
        <x:v>6.8</x:v>
      </x:c>
      <x:c r="F3558" s="84" t="str">
        <x:v>Normal</x:v>
      </x:c>
      <x:c r="G3558" s="93" t="n">
        <x:v>395.83</x:v>
      </x:c>
      <x:c r="H3558" s="85" t="str">
        <x:v>Diagnóstico e execução</x:v>
      </x:c>
    </x:row>
    <x:row r="3559">
      <x:c r="A3559" s="83" t="n">
        <x:v>3558</x:v>
      </x:c>
      <x:c r="B3559" s="84" t="n">
        <x:v>2079</x:v>
      </x:c>
      <x:c r="C3559" s="84" t="n">
        <x:v>17</x:v>
      </x:c>
      <x:c r="D3559" s="89" t="n">
        <x:v>45907</x:v>
      </x:c>
      <x:c r="E3559" s="84" t="n">
        <x:v>6.1</x:v>
      </x:c>
      <x:c r="F3559" s="84" t="str">
        <x:v>Normal</x:v>
      </x:c>
      <x:c r="G3559" s="93" t="n">
        <x:v>340.26</x:v>
      </x:c>
      <x:c r="H3559" s="85" t="str">
        <x:v>Diagnóstico e execução</x:v>
      </x:c>
    </x:row>
    <x:row r="3560">
      <x:c r="A3560" s="83" t="n">
        <x:v>3559</x:v>
      </x:c>
      <x:c r="B3560" s="84" t="n">
        <x:v>2080</x:v>
      </x:c>
      <x:c r="C3560" s="84" t="n">
        <x:v>6</x:v>
      </x:c>
      <x:c r="D3560" s="89" t="n">
        <x:v>45864</x:v>
      </x:c>
      <x:c r="E3560" s="84" t="n">
        <x:v>7.1</x:v>
      </x:c>
      <x:c r="F3560" s="84" t="str">
        <x:v>Normal</x:v>
      </x:c>
      <x:c r="G3560" s="93" t="n">
        <x:v>371.05</x:v>
      </x:c>
      <x:c r="H3560" s="85" t="str">
        <x:v>Diagnóstico e execução</x:v>
      </x:c>
    </x:row>
    <x:row r="3561">
      <x:c r="A3561" s="83" t="n">
        <x:v>3560</x:v>
      </x:c>
      <x:c r="B3561" s="84" t="n">
        <x:v>2080</x:v>
      </x:c>
      <x:c r="C3561" s="84" t="n">
        <x:v>27</x:v>
      </x:c>
      <x:c r="D3561" s="89" t="n">
        <x:v>45864</x:v>
      </x:c>
      <x:c r="E3561" s="84" t="n">
        <x:v>1.9</x:v>
      </x:c>
      <x:c r="F3561" s="84" t="str">
        <x:v>Normal</x:v>
      </x:c>
      <x:c r="G3561" s="93" t="n">
        <x:v>115.88</x:v>
      </x:c>
      <x:c r="H3561" s="85" t="str">
        <x:v>Diagnóstico e execução</x:v>
      </x:c>
    </x:row>
    <x:row r="3562">
      <x:c r="A3562" s="83" t="n">
        <x:v>3561</x:v>
      </x:c>
      <x:c r="B3562" s="84" t="n">
        <x:v>2080</x:v>
      </x:c>
      <x:c r="C3562" s="84" t="n">
        <x:v>21</x:v>
      </x:c>
      <x:c r="D3562" s="89" t="n">
        <x:v>45864</x:v>
      </x:c>
      <x:c r="E3562" s="84" t="n">
        <x:v>6.6</x:v>
      </x:c>
      <x:c r="F3562" s="84" t="str">
        <x:v>Normal</x:v>
      </x:c>
      <x:c r="G3562" s="93" t="n">
        <x:v>405.44</x:v>
      </x:c>
      <x:c r="H3562" s="85" t="str">
        <x:v>Diagnóstico e execução</x:v>
      </x:c>
    </x:row>
    <x:row r="3563">
      <x:c r="A3563" s="83" t="n">
        <x:v>3562</x:v>
      </x:c>
      <x:c r="B3563" s="84" t="n">
        <x:v>2081</x:v>
      </x:c>
      <x:c r="C3563" s="84" t="n">
        <x:v>36</x:v>
      </x:c>
      <x:c r="D3563" s="89" t="n">
        <x:v>45600</x:v>
      </x:c>
      <x:c r="E3563" s="84" t="n">
        <x:v>2.7</x:v>
      </x:c>
      <x:c r="F3563" s="84" t="str">
        <x:v>Normal</x:v>
      </x:c>
      <x:c r="G3563" s="93" t="n">
        <x:v>80.08</x:v>
      </x:c>
      <x:c r="H3563" s="85" t="str">
        <x:v>Diagnóstico e execução</x:v>
      </x:c>
    </x:row>
    <x:row r="3564">
      <x:c r="A3564" s="83" t="n">
        <x:v>3563</x:v>
      </x:c>
      <x:c r="B3564" s="84" t="n">
        <x:v>2081</x:v>
      </x:c>
      <x:c r="C3564" s="84" t="n">
        <x:v>6</x:v>
      </x:c>
      <x:c r="D3564" s="89" t="n">
        <x:v>45600</x:v>
      </x:c>
      <x:c r="E3564" s="84" t="n">
        <x:v>2.8</x:v>
      </x:c>
      <x:c r="F3564" s="84" t="str">
        <x:v>Normal</x:v>
      </x:c>
      <x:c r="G3564" s="93" t="n">
        <x:v>146.33</x:v>
      </x:c>
      <x:c r="H3564" s="85" t="str">
        <x:v>Diagnóstico e execução</x:v>
      </x:c>
    </x:row>
    <x:row r="3565">
      <x:c r="A3565" s="83" t="n">
        <x:v>3564</x:v>
      </x:c>
      <x:c r="B3565" s="84" t="n">
        <x:v>2081</x:v>
      </x:c>
      <x:c r="C3565" s="84" t="n">
        <x:v>21</x:v>
      </x:c>
      <x:c r="D3565" s="89" t="n">
        <x:v>45600</x:v>
      </x:c>
      <x:c r="E3565" s="84" t="n">
        <x:v>4.7</x:v>
      </x:c>
      <x:c r="F3565" s="84" t="str">
        <x:v>Normal</x:v>
      </x:c>
      <x:c r="G3565" s="93" t="n">
        <x:v>288.72</x:v>
      </x:c>
      <x:c r="H3565" s="85" t="str">
        <x:v>Diagnóstico e execução</x:v>
      </x:c>
    </x:row>
    <x:row r="3566">
      <x:c r="A3566" s="83" t="n">
        <x:v>3565</x:v>
      </x:c>
      <x:c r="B3566" s="84" t="n">
        <x:v>2082</x:v>
      </x:c>
      <x:c r="C3566" s="84" t="n">
        <x:v>6</x:v>
      </x:c>
      <x:c r="D3566" s="89" t="n">
        <x:v>45023</x:v>
      </x:c>
      <x:c r="E3566" s="84" t="n">
        <x:v>0.9</x:v>
      </x:c>
      <x:c r="F3566" s="84" t="str">
        <x:v>Normal</x:v>
      </x:c>
      <x:c r="G3566" s="93" t="n">
        <x:v>47.03</x:v>
      </x:c>
      <x:c r="H3566" s="85" t="str">
        <x:v>Diagnóstico e execução</x:v>
      </x:c>
    </x:row>
    <x:row r="3567">
      <x:c r="A3567" s="83" t="n">
        <x:v>3566</x:v>
      </x:c>
      <x:c r="B3567" s="84" t="n">
        <x:v>2083</x:v>
      </x:c>
      <x:c r="C3567" s="84" t="n">
        <x:v>13</x:v>
      </x:c>
      <x:c r="D3567" s="89" t="n">
        <x:v>45554</x:v>
      </x:c>
      <x:c r="E3567" s="84" t="n">
        <x:v>3.9</x:v>
      </x:c>
      <x:c r="F3567" s="84" t="str">
        <x:v>Normal</x:v>
      </x:c>
      <x:c r="G3567" s="93" t="n">
        <x:v>132.13</x:v>
      </x:c>
      <x:c r="H3567" s="85" t="str">
        <x:v>Diagnóstico e execução</x:v>
      </x:c>
    </x:row>
    <x:row r="3568">
      <x:c r="A3568" s="83" t="n">
        <x:v>3567</x:v>
      </x:c>
      <x:c r="B3568" s="84" t="n">
        <x:v>2084</x:v>
      </x:c>
      <x:c r="C3568" s="84" t="n">
        <x:v>30</x:v>
      </x:c>
      <x:c r="D3568" s="89" t="n">
        <x:v>45963</x:v>
      </x:c>
      <x:c r="E3568" s="84" t="n">
        <x:v>2.6</x:v>
      </x:c>
      <x:c r="F3568" s="84" t="str">
        <x:v>Normal</x:v>
      </x:c>
      <x:c r="G3568" s="93" t="n">
        <x:v>107.67</x:v>
      </x:c>
      <x:c r="H3568" s="85" t="str">
        <x:v>Diagnóstico e execução</x:v>
      </x:c>
    </x:row>
    <x:row r="3569">
      <x:c r="A3569" s="83" t="n">
        <x:v>3568</x:v>
      </x:c>
      <x:c r="B3569" s="84" t="n">
        <x:v>2085</x:v>
      </x:c>
      <x:c r="C3569" s="84" t="n">
        <x:v>43</x:v>
      </x:c>
      <x:c r="D3569" s="89" t="n">
        <x:v>45861</x:v>
      </x:c>
      <x:c r="E3569" s="84" t="n">
        <x:v>4.1</x:v>
      </x:c>
      <x:c r="F3569" s="84" t="str">
        <x:v>Normal</x:v>
      </x:c>
      <x:c r="G3569" s="93" t="n">
        <x:v>224.11</x:v>
      </x:c>
      <x:c r="H3569" s="85" t="str">
        <x:v>Diagnóstico e execução</x:v>
      </x:c>
    </x:row>
    <x:row r="3570">
      <x:c r="A3570" s="83" t="n">
        <x:v>3569</x:v>
      </x:c>
      <x:c r="B3570" s="84" t="n">
        <x:v>2085</x:v>
      </x:c>
      <x:c r="C3570" s="84" t="n">
        <x:v>45</x:v>
      </x:c>
      <x:c r="D3570" s="89" t="n">
        <x:v>45861</x:v>
      </x:c>
      <x:c r="E3570" s="84" t="n">
        <x:v>3.4</x:v>
      </x:c>
      <x:c r="F3570" s="84" t="str">
        <x:v>Normal</x:v>
      </x:c>
      <x:c r="G3570" s="93" t="n">
        <x:v>182.14</x:v>
      </x:c>
      <x:c r="H3570" s="85" t="str">
        <x:v>Diagnóstico e execução</x:v>
      </x:c>
    </x:row>
    <x:row r="3571">
      <x:c r="A3571" s="83" t="n">
        <x:v>3570</x:v>
      </x:c>
      <x:c r="B3571" s="84" t="n">
        <x:v>2085</x:v>
      </x:c>
      <x:c r="C3571" s="84" t="n">
        <x:v>15</x:v>
      </x:c>
      <x:c r="D3571" s="89" t="n">
        <x:v>45861</x:v>
      </x:c>
      <x:c r="E3571" s="84" t="n">
        <x:v>0.5</x:v>
      </x:c>
      <x:c r="F3571" s="84" t="str">
        <x:v>Normal</x:v>
      </x:c>
      <x:c r="G3571" s="93" t="n">
        <x:v>15.12</x:v>
      </x:c>
      <x:c r="H3571" s="85" t="str">
        <x:v>Diagnóstico e execução</x:v>
      </x:c>
    </x:row>
    <x:row r="3572">
      <x:c r="A3572" s="83" t="n">
        <x:v>3571</x:v>
      </x:c>
      <x:c r="B3572" s="84" t="n">
        <x:v>2086</x:v>
      </x:c>
      <x:c r="C3572" s="84" t="n">
        <x:v>30</x:v>
      </x:c>
      <x:c r="D3572" s="89" t="n">
        <x:v>45050</x:v>
      </x:c>
      <x:c r="E3572" s="84" t="n">
        <x:v>7.9</x:v>
      </x:c>
      <x:c r="F3572" s="84" t="str">
        <x:v>Normal</x:v>
      </x:c>
      <x:c r="G3572" s="93" t="n">
        <x:v>327.14</x:v>
      </x:c>
      <x:c r="H3572" s="85" t="str">
        <x:v>Diagnóstico e execução</x:v>
      </x:c>
    </x:row>
    <x:row r="3573">
      <x:c r="A3573" s="83" t="n">
        <x:v>3572</x:v>
      </x:c>
      <x:c r="B3573" s="84" t="n">
        <x:v>2086</x:v>
      </x:c>
      <x:c r="C3573" s="84" t="n">
        <x:v>26</x:v>
      </x:c>
      <x:c r="D3573" s="89" t="n">
        <x:v>45050</x:v>
      </x:c>
      <x:c r="E3573" s="84" t="n">
        <x:v>3.8</x:v>
      </x:c>
      <x:c r="F3573" s="84" t="str">
        <x:v>Normal</x:v>
      </x:c>
      <x:c r="G3573" s="93" t="n">
        <x:v>148.66</x:v>
      </x:c>
      <x:c r="H3573" s="85" t="str">
        <x:v>Diagnóstico e execução</x:v>
      </x:c>
    </x:row>
    <x:row r="3574">
      <x:c r="A3574" s="83" t="n">
        <x:v>3573</x:v>
      </x:c>
      <x:c r="B3574" s="84" t="n">
        <x:v>2087</x:v>
      </x:c>
      <x:c r="C3574" s="84" t="n">
        <x:v>14</x:v>
      </x:c>
      <x:c r="D3574" s="89" t="n">
        <x:v>45647</x:v>
      </x:c>
      <x:c r="E3574" s="84" t="n">
        <x:v>2.8</x:v>
      </x:c>
      <x:c r="F3574" s="84" t="str">
        <x:v>Normal</x:v>
      </x:c>
      <x:c r="G3574" s="93" t="n">
        <x:v>158.65</x:v>
      </x:c>
      <x:c r="H3574" s="85" t="str">
        <x:v>Diagnóstico e execução</x:v>
      </x:c>
    </x:row>
    <x:row r="3575">
      <x:c r="A3575" s="83" t="n">
        <x:v>3574</x:v>
      </x:c>
      <x:c r="B3575" s="84" t="n">
        <x:v>2088</x:v>
      </x:c>
      <x:c r="C3575" s="84" t="n">
        <x:v>42</x:v>
      </x:c>
      <x:c r="D3575" s="89" t="n">
        <x:v>45435</x:v>
      </x:c>
      <x:c r="E3575" s="84" t="n">
        <x:v>7.5</x:v>
      </x:c>
      <x:c r="F3575" s="84" t="str">
        <x:v>Normal</x:v>
      </x:c>
      <x:c r="G3575" s="93" t="n">
        <x:v>316.35</x:v>
      </x:c>
      <x:c r="H3575" s="85" t="str">
        <x:v>Diagnóstico e execução</x:v>
      </x:c>
    </x:row>
    <x:row r="3576">
      <x:c r="A3576" s="83" t="n">
        <x:v>3575</x:v>
      </x:c>
      <x:c r="B3576" s="84" t="n">
        <x:v>2088</x:v>
      </x:c>
      <x:c r="C3576" s="84" t="n">
        <x:v>21</x:v>
      </x:c>
      <x:c r="D3576" s="89" t="n">
        <x:v>45435</x:v>
      </x:c>
      <x:c r="E3576" s="84" t="n">
        <x:v>2.2</x:v>
      </x:c>
      <x:c r="F3576" s="84" t="str">
        <x:v>Normal</x:v>
      </x:c>
      <x:c r="G3576" s="93" t="n">
        <x:v>135.15</x:v>
      </x:c>
      <x:c r="H3576" s="85" t="str">
        <x:v>Diagnóstico e execução</x:v>
      </x:c>
    </x:row>
    <x:row r="3577">
      <x:c r="A3577" s="83" t="n">
        <x:v>3576</x:v>
      </x:c>
      <x:c r="B3577" s="84" t="n">
        <x:v>2089</x:v>
      </x:c>
      <x:c r="C3577" s="84" t="n">
        <x:v>40</x:v>
      </x:c>
      <x:c r="D3577" s="89" t="n">
        <x:v>45546</x:v>
      </x:c>
      <x:c r="E3577" s="84" t="n">
        <x:v>6.2</x:v>
      </x:c>
      <x:c r="F3577" s="84" t="str">
        <x:v>Normal</x:v>
      </x:c>
      <x:c r="G3577" s="93" t="n">
        <x:v>306.4</x:v>
      </x:c>
      <x:c r="H3577" s="85" t="str">
        <x:v>Diagnóstico e execução</x:v>
      </x:c>
    </x:row>
    <x:row r="3578">
      <x:c r="A3578" s="83" t="n">
        <x:v>3577</x:v>
      </x:c>
      <x:c r="B3578" s="84" t="n">
        <x:v>2089</x:v>
      </x:c>
      <x:c r="C3578" s="84" t="n">
        <x:v>3</x:v>
      </x:c>
      <x:c r="D3578" s="89" t="n">
        <x:v>45546</x:v>
      </x:c>
      <x:c r="E3578" s="84" t="n">
        <x:v>7.7</x:v>
      </x:c>
      <x:c r="F3578" s="84" t="str">
        <x:v>Normal</x:v>
      </x:c>
      <x:c r="G3578" s="93" t="n">
        <x:v>379.15</x:v>
      </x:c>
      <x:c r="H3578" s="85" t="str">
        <x:v>Diagnóstico e execução</x:v>
      </x:c>
    </x:row>
    <x:row r="3579">
      <x:c r="A3579" s="83" t="n">
        <x:v>3578</x:v>
      </x:c>
      <x:c r="B3579" s="84" t="n">
        <x:v>2092</x:v>
      </x:c>
      <x:c r="C3579" s="84" t="n">
        <x:v>33</x:v>
      </x:c>
      <x:c r="D3579" s="89" t="n">
        <x:v>45623</x:v>
      </x:c>
      <x:c r="E3579" s="84" t="n">
        <x:v>1.2</x:v>
      </x:c>
      <x:c r="F3579" s="84" t="str">
        <x:v>Normal</x:v>
      </x:c>
      <x:c r="G3579" s="93" t="n">
        <x:v>41.39</x:v>
      </x:c>
      <x:c r="H3579" s="85" t="str">
        <x:v>Diagnóstico e execução</x:v>
      </x:c>
    </x:row>
    <x:row r="3580">
      <x:c r="A3580" s="83" t="n">
        <x:v>3579</x:v>
      </x:c>
      <x:c r="B3580" s="84" t="n">
        <x:v>2092</x:v>
      </x:c>
      <x:c r="C3580" s="84" t="n">
        <x:v>33</x:v>
      </x:c>
      <x:c r="D3580" s="89" t="n">
        <x:v>45623</x:v>
      </x:c>
      <x:c r="E3580" s="84" t="n">
        <x:v>7.2</x:v>
      </x:c>
      <x:c r="F3580" s="84" t="str">
        <x:v>Normal</x:v>
      </x:c>
      <x:c r="G3580" s="93" t="n">
        <x:v>248.33</x:v>
      </x:c>
      <x:c r="H3580" s="85" t="str">
        <x:v>Diagnóstico e execução</x:v>
      </x:c>
    </x:row>
    <x:row r="3581">
      <x:c r="A3581" s="83" t="n">
        <x:v>3580</x:v>
      </x:c>
      <x:c r="B3581" s="84" t="n">
        <x:v>2093</x:v>
      </x:c>
      <x:c r="C3581" s="84" t="n">
        <x:v>40</x:v>
      </x:c>
      <x:c r="D3581" s="89" t="n">
        <x:v>45546</x:v>
      </x:c>
      <x:c r="E3581" s="84" t="n">
        <x:v>1.6</x:v>
      </x:c>
      <x:c r="F3581" s="84" t="str">
        <x:v>Normal</x:v>
      </x:c>
      <x:c r="G3581" s="93" t="n">
        <x:v>79.07</x:v>
      </x:c>
      <x:c r="H3581" s="85" t="str">
        <x:v>Diagnóstico e execução</x:v>
      </x:c>
    </x:row>
    <x:row r="3582">
      <x:c r="A3582" s="83" t="n">
        <x:v>3581</x:v>
      </x:c>
      <x:c r="B3582" s="84" t="n">
        <x:v>2093</x:v>
      </x:c>
      <x:c r="C3582" s="84" t="n">
        <x:v>22</x:v>
      </x:c>
      <x:c r="D3582" s="89" t="n">
        <x:v>45546</x:v>
      </x:c>
      <x:c r="E3582" s="84" t="n">
        <x:v>2.2</x:v>
      </x:c>
      <x:c r="F3582" s="84" t="str">
        <x:v>Normal</x:v>
      </x:c>
      <x:c r="G3582" s="93" t="n">
        <x:v>84.61</x:v>
      </x:c>
      <x:c r="H3582" s="85" t="str">
        <x:v>Diagnóstico e execução</x:v>
      </x:c>
    </x:row>
    <x:row r="3583">
      <x:c r="A3583" s="83" t="n">
        <x:v>3582</x:v>
      </x:c>
      <x:c r="B3583" s="84" t="n">
        <x:v>2093</x:v>
      </x:c>
      <x:c r="C3583" s="84" t="n">
        <x:v>3</x:v>
      </x:c>
      <x:c r="D3583" s="89" t="n">
        <x:v>45546</x:v>
      </x:c>
      <x:c r="E3583" s="84" t="n">
        <x:v>2.7</x:v>
      </x:c>
      <x:c r="F3583" s="84" t="str">
        <x:v>Normal</x:v>
      </x:c>
      <x:c r="G3583" s="93" t="n">
        <x:v>132.95</x:v>
      </x:c>
      <x:c r="H3583" s="85" t="str">
        <x:v>Diagnóstico e execução</x:v>
      </x:c>
    </x:row>
    <x:row r="3584">
      <x:c r="A3584" s="83" t="n">
        <x:v>3583</x:v>
      </x:c>
      <x:c r="B3584" s="84" t="n">
        <x:v>2094</x:v>
      </x:c>
      <x:c r="C3584" s="84" t="n">
        <x:v>7</x:v>
      </x:c>
      <x:c r="D3584" s="89" t="n">
        <x:v>45552</x:v>
      </x:c>
      <x:c r="E3584" s="84" t="n">
        <x:v>5.5</x:v>
      </x:c>
      <x:c r="F3584" s="84" t="str">
        <x:v>Normal</x:v>
      </x:c>
      <x:c r="G3584" s="93" t="n">
        <x:v>320.16</x:v>
      </x:c>
      <x:c r="H3584" s="85" t="str">
        <x:v>Diagnóstico e execução</x:v>
      </x:c>
    </x:row>
    <x:row r="3585">
      <x:c r="A3585" s="83" t="n">
        <x:v>3584</x:v>
      </x:c>
      <x:c r="B3585" s="84" t="n">
        <x:v>2095</x:v>
      </x:c>
      <x:c r="C3585" s="84" t="n">
        <x:v>43</x:v>
      </x:c>
      <x:c r="D3585" s="89" t="n">
        <x:v>45647</x:v>
      </x:c>
      <x:c r="E3585" s="84" t="n">
        <x:v>2.2</x:v>
      </x:c>
      <x:c r="F3585" s="84" t="str">
        <x:v>Normal</x:v>
      </x:c>
      <x:c r="G3585" s="93" t="n">
        <x:v>120.25</x:v>
      </x:c>
      <x:c r="H3585" s="85" t="str">
        <x:v>Diagnóstico e execução</x:v>
      </x:c>
    </x:row>
    <x:row r="3586">
      <x:c r="A3586" s="83" t="n">
        <x:v>3585</x:v>
      </x:c>
      <x:c r="B3586" s="84" t="n">
        <x:v>2095</x:v>
      </x:c>
      <x:c r="C3586" s="84" t="n">
        <x:v>29</x:v>
      </x:c>
      <x:c r="D3586" s="89" t="n">
        <x:v>45647</x:v>
      </x:c>
      <x:c r="E3586" s="84" t="n">
        <x:v>7.5</x:v>
      </x:c>
      <x:c r="F3586" s="84" t="str">
        <x:v>Normal</x:v>
      </x:c>
      <x:c r="G3586" s="93" t="n">
        <x:v>371.4</x:v>
      </x:c>
      <x:c r="H3586" s="85" t="str">
        <x:v>Diagnóstico e execução</x:v>
      </x:c>
    </x:row>
    <x:row r="3587">
      <x:c r="A3587" s="83" t="n">
        <x:v>3586</x:v>
      </x:c>
      <x:c r="B3587" s="84" t="n">
        <x:v>2095</x:v>
      </x:c>
      <x:c r="C3587" s="84" t="n">
        <x:v>7</x:v>
      </x:c>
      <x:c r="D3587" s="89" t="n">
        <x:v>45647</x:v>
      </x:c>
      <x:c r="E3587" s="84" t="n">
        <x:v>7.5</x:v>
      </x:c>
      <x:c r="F3587" s="84" t="str">
        <x:v>Normal</x:v>
      </x:c>
      <x:c r="G3587" s="93" t="n">
        <x:v>436.57</x:v>
      </x:c>
      <x:c r="H3587" s="85" t="str">
        <x:v>Diagnóstico e execução</x:v>
      </x:c>
    </x:row>
    <x:row r="3588">
      <x:c r="A3588" s="83" t="n">
        <x:v>3587</x:v>
      </x:c>
      <x:c r="B3588" s="84" t="n">
        <x:v>2096</x:v>
      </x:c>
      <x:c r="C3588" s="84" t="n">
        <x:v>32</x:v>
      </x:c>
      <x:c r="D3588" s="89" t="n">
        <x:v>44978</x:v>
      </x:c>
      <x:c r="E3588" s="84" t="n">
        <x:v>3.2</x:v>
      </x:c>
      <x:c r="F3588" s="84" t="str">
        <x:v>Normal</x:v>
      </x:c>
      <x:c r="G3588" s="93" t="n">
        <x:v>139.68</x:v>
      </x:c>
      <x:c r="H3588" s="85" t="str">
        <x:v>Diagnóstico e execução</x:v>
      </x:c>
    </x:row>
    <x:row r="3589">
      <x:c r="A3589" s="83" t="n">
        <x:v>3588</x:v>
      </x:c>
      <x:c r="B3589" s="84" t="n">
        <x:v>2096</x:v>
      </x:c>
      <x:c r="C3589" s="84" t="n">
        <x:v>13</x:v>
      </x:c>
      <x:c r="D3589" s="89" t="n">
        <x:v>44978</x:v>
      </x:c>
      <x:c r="E3589" s="84" t="n">
        <x:v>1.6</x:v>
      </x:c>
      <x:c r="F3589" s="84" t="str">
        <x:v>Normal</x:v>
      </x:c>
      <x:c r="G3589" s="93" t="n">
        <x:v>54.21</x:v>
      </x:c>
      <x:c r="H3589" s="85" t="str">
        <x:v>Diagnóstico e execução</x:v>
      </x:c>
    </x:row>
    <x:row r="3590">
      <x:c r="A3590" s="83" t="n">
        <x:v>3589</x:v>
      </x:c>
      <x:c r="B3590" s="84" t="n">
        <x:v>2097</x:v>
      </x:c>
      <x:c r="C3590" s="84" t="n">
        <x:v>16</x:v>
      </x:c>
      <x:c r="D3590" s="89" t="n">
        <x:v>46006</x:v>
      </x:c>
      <x:c r="E3590" s="84" t="n">
        <x:v>1</x:v>
      </x:c>
      <x:c r="F3590" s="84" t="str">
        <x:v>Normal</x:v>
      </x:c>
      <x:c r="G3590" s="93" t="n">
        <x:v>40.52</x:v>
      </x:c>
      <x:c r="H3590" s="85" t="str">
        <x:v>Diagnóstico e execução</x:v>
      </x:c>
    </x:row>
    <x:row r="3591">
      <x:c r="A3591" s="83" t="n">
        <x:v>3590</x:v>
      </x:c>
      <x:c r="B3591" s="84" t="n">
        <x:v>2097</x:v>
      </x:c>
      <x:c r="C3591" s="84" t="n">
        <x:v>9</x:v>
      </x:c>
      <x:c r="D3591" s="89" t="n">
        <x:v>46006</x:v>
      </x:c>
      <x:c r="E3591" s="84" t="n">
        <x:v>7.7</x:v>
      </x:c>
      <x:c r="F3591" s="84" t="str">
        <x:v>Normal</x:v>
      </x:c>
      <x:c r="G3591" s="93" t="n">
        <x:v>405.56</x:v>
      </x:c>
      <x:c r="H3591" s="85" t="str">
        <x:v>Diagnóstico e execução</x:v>
      </x:c>
    </x:row>
    <x:row r="3592">
      <x:c r="A3592" s="83" t="n">
        <x:v>3591</x:v>
      </x:c>
      <x:c r="B3592" s="84" t="n">
        <x:v>2099</x:v>
      </x:c>
      <x:c r="C3592" s="84" t="n">
        <x:v>5</x:v>
      </x:c>
      <x:c r="D3592" s="89" t="n">
        <x:v>45899</x:v>
      </x:c>
      <x:c r="E3592" s="84" t="n">
        <x:v>5</x:v>
      </x:c>
      <x:c r="F3592" s="84" t="str">
        <x:v>Normal</x:v>
      </x:c>
      <x:c r="G3592" s="93" t="n">
        <x:v>144.1</x:v>
      </x:c>
      <x:c r="H3592" s="85" t="str">
        <x:v>Diagnóstico e execução</x:v>
      </x:c>
    </x:row>
    <x:row r="3593">
      <x:c r="A3593" s="83" t="n">
        <x:v>3592</x:v>
      </x:c>
      <x:c r="B3593" s="84" t="n">
        <x:v>2099</x:v>
      </x:c>
      <x:c r="C3593" s="84" t="n">
        <x:v>40</x:v>
      </x:c>
      <x:c r="D3593" s="89" t="n">
        <x:v>45899</x:v>
      </x:c>
      <x:c r="E3593" s="84" t="n">
        <x:v>5.9</x:v>
      </x:c>
      <x:c r="F3593" s="84" t="str">
        <x:v>Normal</x:v>
      </x:c>
      <x:c r="G3593" s="93" t="n">
        <x:v>291.58</x:v>
      </x:c>
      <x:c r="H3593" s="85" t="str">
        <x:v>Diagnóstico e execução</x:v>
      </x:c>
    </x:row>
    <x:row r="3594">
      <x:c r="A3594" s="83" t="n">
        <x:v>3593</x:v>
      </x:c>
      <x:c r="B3594" s="84" t="n">
        <x:v>2100</x:v>
      </x:c>
      <x:c r="C3594" s="84" t="n">
        <x:v>6</x:v>
      </x:c>
      <x:c r="D3594" s="89" t="n">
        <x:v>45785</x:v>
      </x:c>
      <x:c r="E3594" s="84" t="n">
        <x:v>2.2</x:v>
      </x:c>
      <x:c r="F3594" s="84" t="str">
        <x:v>Normal</x:v>
      </x:c>
      <x:c r="G3594" s="93" t="n">
        <x:v>114.97</x:v>
      </x:c>
      <x:c r="H3594" s="85" t="str">
        <x:v>Diagnóstico e execução</x:v>
      </x:c>
    </x:row>
    <x:row r="3595">
      <x:c r="A3595" s="83" t="n">
        <x:v>3594</x:v>
      </x:c>
      <x:c r="B3595" s="84" t="n">
        <x:v>2100</x:v>
      </x:c>
      <x:c r="C3595" s="84" t="n">
        <x:v>29</x:v>
      </x:c>
      <x:c r="D3595" s="89" t="n">
        <x:v>45785</x:v>
      </x:c>
      <x:c r="E3595" s="84" t="n">
        <x:v>3.3</x:v>
      </x:c>
      <x:c r="F3595" s="84" t="str">
        <x:v>Normal</x:v>
      </x:c>
      <x:c r="G3595" s="93" t="n">
        <x:v>163.42</x:v>
      </x:c>
      <x:c r="H3595" s="85" t="str">
        <x:v>Diagnóstico e execução</x:v>
      </x:c>
    </x:row>
    <x:row r="3596">
      <x:c r="A3596" s="83" t="n">
        <x:v>3595</x:v>
      </x:c>
      <x:c r="B3596" s="84" t="n">
        <x:v>2100</x:v>
      </x:c>
      <x:c r="C3596" s="84" t="n">
        <x:v>13</x:v>
      </x:c>
      <x:c r="D3596" s="89" t="n">
        <x:v>45785</x:v>
      </x:c>
      <x:c r="E3596" s="84" t="n">
        <x:v>3.2</x:v>
      </x:c>
      <x:c r="F3596" s="84" t="str">
        <x:v>Normal</x:v>
      </x:c>
      <x:c r="G3596" s="93" t="n">
        <x:v>108.42</x:v>
      </x:c>
      <x:c r="H3596" s="85" t="str">
        <x:v>Diagnóstico e execução</x:v>
      </x:c>
    </x:row>
    <x:row r="3597">
      <x:c r="A3597" s="83" t="n">
        <x:v>3596</x:v>
      </x:c>
      <x:c r="B3597" s="84" t="n">
        <x:v>2101</x:v>
      </x:c>
      <x:c r="C3597" s="84" t="n">
        <x:v>8</x:v>
      </x:c>
      <x:c r="D3597" s="89" t="n">
        <x:v>45913</x:v>
      </x:c>
      <x:c r="E3597" s="84" t="n">
        <x:v>3.5</x:v>
      </x:c>
      <x:c r="F3597" s="84" t="str">
        <x:v>Normal</x:v>
      </x:c>
      <x:c r="G3597" s="93" t="n">
        <x:v>162.75</x:v>
      </x:c>
      <x:c r="H3597" s="85" t="str">
        <x:v>Diagnóstico e execução</x:v>
      </x:c>
    </x:row>
    <x:row r="3598">
      <x:c r="A3598" s="83" t="n">
        <x:v>3597</x:v>
      </x:c>
      <x:c r="B3598" s="84" t="n">
        <x:v>2101</x:v>
      </x:c>
      <x:c r="C3598" s="84" t="n">
        <x:v>13</x:v>
      </x:c>
      <x:c r="D3598" s="89" t="n">
        <x:v>45913</x:v>
      </x:c>
      <x:c r="E3598" s="84" t="n">
        <x:v>2.1</x:v>
      </x:c>
      <x:c r="F3598" s="84" t="str">
        <x:v>Normal</x:v>
      </x:c>
      <x:c r="G3598" s="93" t="n">
        <x:v>71.15</x:v>
      </x:c>
      <x:c r="H3598" s="85" t="str">
        <x:v>Diagnóstico e execução</x:v>
      </x:c>
    </x:row>
    <x:row r="3599">
      <x:c r="A3599" s="83" t="n">
        <x:v>3598</x:v>
      </x:c>
      <x:c r="B3599" s="84" t="n">
        <x:v>2102</x:v>
      </x:c>
      <x:c r="C3599" s="84" t="n">
        <x:v>17</x:v>
      </x:c>
      <x:c r="D3599" s="89" t="n">
        <x:v>45105</x:v>
      </x:c>
      <x:c r="E3599" s="84" t="n">
        <x:v>5.6</x:v>
      </x:c>
      <x:c r="F3599" s="84" t="str">
        <x:v>Normal</x:v>
      </x:c>
      <x:c r="G3599" s="93" t="n">
        <x:v>312.37</x:v>
      </x:c>
      <x:c r="H3599" s="85" t="str">
        <x:v>Diagnóstico e execução</x:v>
      </x:c>
    </x:row>
    <x:row r="3600">
      <x:c r="A3600" s="83" t="n">
        <x:v>3599</x:v>
      </x:c>
      <x:c r="B3600" s="84" t="n">
        <x:v>2102</x:v>
      </x:c>
      <x:c r="C3600" s="84" t="n">
        <x:v>29</x:v>
      </x:c>
      <x:c r="D3600" s="89" t="n">
        <x:v>45105</x:v>
      </x:c>
      <x:c r="E3600" s="84" t="n">
        <x:v>7</x:v>
      </x:c>
      <x:c r="F3600" s="84" t="str">
        <x:v>Normal</x:v>
      </x:c>
      <x:c r="G3600" s="93" t="n">
        <x:v>346.64</x:v>
      </x:c>
      <x:c r="H3600" s="85" t="str">
        <x:v>Diagnóstico e execução</x:v>
      </x:c>
    </x:row>
    <x:row r="3601">
      <x:c r="A3601" s="83" t="n">
        <x:v>3600</x:v>
      </x:c>
      <x:c r="B3601" s="84" t="n">
        <x:v>2102</x:v>
      </x:c>
      <x:c r="C3601" s="84" t="n">
        <x:v>37</x:v>
      </x:c>
      <x:c r="D3601" s="89" t="n">
        <x:v>45105</x:v>
      </x:c>
      <x:c r="E3601" s="84" t="n">
        <x:v>1.9</x:v>
      </x:c>
      <x:c r="F3601" s="84" t="str">
        <x:v>Normal</x:v>
      </x:c>
      <x:c r="G3601" s="93" t="n">
        <x:v>112.04</x:v>
      </x:c>
      <x:c r="H3601" s="85" t="str">
        <x:v>Diagnóstico e execução</x:v>
      </x:c>
    </x:row>
    <x:row r="3602">
      <x:c r="A3602" s="83" t="n">
        <x:v>3601</x:v>
      </x:c>
      <x:c r="B3602" s="84" t="n">
        <x:v>2103</x:v>
      </x:c>
      <x:c r="C3602" s="84" t="n">
        <x:v>22</x:v>
      </x:c>
      <x:c r="D3602" s="89" t="n">
        <x:v>45183</x:v>
      </x:c>
      <x:c r="E3602" s="84" t="n">
        <x:v>5.1</x:v>
      </x:c>
      <x:c r="F3602" s="84" t="str">
        <x:v>Normal</x:v>
      </x:c>
      <x:c r="G3602" s="93" t="n">
        <x:v>196.15</x:v>
      </x:c>
      <x:c r="H3602" s="85" t="str">
        <x:v>Diagnóstico e execução</x:v>
      </x:c>
    </x:row>
    <x:row r="3603">
      <x:c r="A3603" s="83" t="n">
        <x:v>3602</x:v>
      </x:c>
      <x:c r="B3603" s="84" t="n">
        <x:v>2103</x:v>
      </x:c>
      <x:c r="C3603" s="84" t="n">
        <x:v>31</x:v>
      </x:c>
      <x:c r="D3603" s="89" t="n">
        <x:v>45183</x:v>
      </x:c>
      <x:c r="E3603" s="84" t="n">
        <x:v>6.8</x:v>
      </x:c>
      <x:c r="F3603" s="84" t="str">
        <x:v>Normal</x:v>
      </x:c>
      <x:c r="G3603" s="93" t="n">
        <x:v>332.52</x:v>
      </x:c>
      <x:c r="H3603" s="85" t="str">
        <x:v>Diagnóstico e execução</x:v>
      </x:c>
    </x:row>
    <x:row r="3604">
      <x:c r="A3604" s="83" t="n">
        <x:v>3603</x:v>
      </x:c>
      <x:c r="B3604" s="84" t="n">
        <x:v>2104</x:v>
      </x:c>
      <x:c r="C3604" s="84" t="n">
        <x:v>31</x:v>
      </x:c>
      <x:c r="D3604" s="89" t="n">
        <x:v>45892</x:v>
      </x:c>
      <x:c r="E3604" s="84" t="n">
        <x:v>3.7</x:v>
      </x:c>
      <x:c r="F3604" s="84" t="str">
        <x:v>Normal</x:v>
      </x:c>
      <x:c r="G3604" s="93" t="n">
        <x:v>180.93</x:v>
      </x:c>
      <x:c r="H3604" s="85" t="str">
        <x:v>Diagnóstico e execução</x:v>
      </x:c>
    </x:row>
    <x:row r="3605">
      <x:c r="A3605" s="83" t="n">
        <x:v>3604</x:v>
      </x:c>
      <x:c r="B3605" s="84" t="n">
        <x:v>2104</x:v>
      </x:c>
      <x:c r="C3605" s="84" t="n">
        <x:v>14</x:v>
      </x:c>
      <x:c r="D3605" s="89" t="n">
        <x:v>45892</x:v>
      </x:c>
      <x:c r="E3605" s="84" t="n">
        <x:v>1.5</x:v>
      </x:c>
      <x:c r="F3605" s="84" t="str">
        <x:v>Normal</x:v>
      </x:c>
      <x:c r="G3605" s="93" t="n">
        <x:v>84.99</x:v>
      </x:c>
      <x:c r="H3605" s="85" t="str">
        <x:v>Diagnóstico e execução</x:v>
      </x:c>
    </x:row>
    <x:row r="3606">
      <x:c r="A3606" s="83" t="n">
        <x:v>3605</x:v>
      </x:c>
      <x:c r="B3606" s="84" t="n">
        <x:v>2104</x:v>
      </x:c>
      <x:c r="C3606" s="84" t="n">
        <x:v>14</x:v>
      </x:c>
      <x:c r="D3606" s="89" t="n">
        <x:v>45892</x:v>
      </x:c>
      <x:c r="E3606" s="84" t="n">
        <x:v>7.5</x:v>
      </x:c>
      <x:c r="F3606" s="84" t="str">
        <x:v>Normal</x:v>
      </x:c>
      <x:c r="G3606" s="93" t="n">
        <x:v>424.95</x:v>
      </x:c>
      <x:c r="H3606" s="85" t="str">
        <x:v>Diagnóstico e execução</x:v>
      </x:c>
    </x:row>
    <x:row r="3607">
      <x:c r="A3607" s="83" t="n">
        <x:v>3606</x:v>
      </x:c>
      <x:c r="B3607" s="84" t="n">
        <x:v>2106</x:v>
      </x:c>
      <x:c r="C3607" s="84" t="n">
        <x:v>33</x:v>
      </x:c>
      <x:c r="D3607" s="89" t="n">
        <x:v>45238</x:v>
      </x:c>
      <x:c r="E3607" s="84" t="n">
        <x:v>1.2</x:v>
      </x:c>
      <x:c r="F3607" s="84" t="str">
        <x:v>Normal</x:v>
      </x:c>
      <x:c r="G3607" s="93" t="n">
        <x:v>41.39</x:v>
      </x:c>
      <x:c r="H3607" s="85" t="str">
        <x:v>Diagnóstico e execução</x:v>
      </x:c>
    </x:row>
    <x:row r="3608">
      <x:c r="A3608" s="83" t="n">
        <x:v>3607</x:v>
      </x:c>
      <x:c r="B3608" s="84" t="n">
        <x:v>2106</x:v>
      </x:c>
      <x:c r="C3608" s="84" t="n">
        <x:v>3</x:v>
      </x:c>
      <x:c r="D3608" s="89" t="n">
        <x:v>45238</x:v>
      </x:c>
      <x:c r="E3608" s="84" t="n">
        <x:v>6.4</x:v>
      </x:c>
      <x:c r="F3608" s="84" t="str">
        <x:v>Normal</x:v>
      </x:c>
      <x:c r="G3608" s="93" t="n">
        <x:v>315.14</x:v>
      </x:c>
      <x:c r="H3608" s="85" t="str">
        <x:v>Diagnóstico e execução</x:v>
      </x:c>
    </x:row>
    <x:row r="3609">
      <x:c r="A3609" s="83" t="n">
        <x:v>3608</x:v>
      </x:c>
      <x:c r="B3609" s="84" t="n">
        <x:v>2108</x:v>
      </x:c>
      <x:c r="C3609" s="84" t="n">
        <x:v>17</x:v>
      </x:c>
      <x:c r="D3609" s="89" t="n">
        <x:v>45140</x:v>
      </x:c>
      <x:c r="E3609" s="84" t="n">
        <x:v>4.8</x:v>
      </x:c>
      <x:c r="F3609" s="84" t="str">
        <x:v>Normal</x:v>
      </x:c>
      <x:c r="G3609" s="93" t="n">
        <x:v>267.74</x:v>
      </x:c>
      <x:c r="H3609" s="85" t="str">
        <x:v>Diagnóstico e execução</x:v>
      </x:c>
    </x:row>
    <x:row r="3610">
      <x:c r="A3610" s="83" t="n">
        <x:v>3609</x:v>
      </x:c>
      <x:c r="B3610" s="84" t="n">
        <x:v>2108</x:v>
      </x:c>
      <x:c r="C3610" s="84" t="n">
        <x:v>25</x:v>
      </x:c>
      <x:c r="D3610" s="89" t="n">
        <x:v>45140</x:v>
      </x:c>
      <x:c r="E3610" s="84" t="n">
        <x:v>3.3</x:v>
      </x:c>
      <x:c r="F3610" s="84" t="str">
        <x:v>Normal</x:v>
      </x:c>
      <x:c r="G3610" s="93" t="n">
        <x:v>176.85</x:v>
      </x:c>
      <x:c r="H3610" s="85" t="str">
        <x:v>Diagnóstico e execução</x:v>
      </x:c>
    </x:row>
    <x:row r="3611">
      <x:c r="A3611" s="83" t="n">
        <x:v>3610</x:v>
      </x:c>
      <x:c r="B3611" s="84" t="n">
        <x:v>2109</x:v>
      </x:c>
      <x:c r="C3611" s="84" t="n">
        <x:v>33</x:v>
      </x:c>
      <x:c r="D3611" s="89" t="n">
        <x:v>45179</x:v>
      </x:c>
      <x:c r="E3611" s="84" t="n">
        <x:v>3</x:v>
      </x:c>
      <x:c r="F3611" s="84" t="str">
        <x:v>Normal</x:v>
      </x:c>
      <x:c r="G3611" s="93" t="n">
        <x:v>103.47</x:v>
      </x:c>
      <x:c r="H3611" s="85" t="str">
        <x:v>Diagnóstico e execução</x:v>
      </x:c>
    </x:row>
    <x:row r="3612">
      <x:c r="A3612" s="83" t="n">
        <x:v>3611</x:v>
      </x:c>
      <x:c r="B3612" s="84" t="n">
        <x:v>2109</x:v>
      </x:c>
      <x:c r="C3612" s="84" t="n">
        <x:v>32</x:v>
      </x:c>
      <x:c r="D3612" s="89" t="n">
        <x:v>45179</x:v>
      </x:c>
      <x:c r="E3612" s="84" t="n">
        <x:v>4.4</x:v>
      </x:c>
      <x:c r="F3612" s="84" t="str">
        <x:v>Normal</x:v>
      </x:c>
      <x:c r="G3612" s="93" t="n">
        <x:v>192.06</x:v>
      </x:c>
      <x:c r="H3612" s="85" t="str">
        <x:v>Diagnóstico e execução</x:v>
      </x:c>
    </x:row>
    <x:row r="3613">
      <x:c r="A3613" s="83" t="n">
        <x:v>3612</x:v>
      </x:c>
      <x:c r="B3613" s="84" t="n">
        <x:v>2109</x:v>
      </x:c>
      <x:c r="C3613" s="84" t="n">
        <x:v>29</x:v>
      </x:c>
      <x:c r="D3613" s="89" t="n">
        <x:v>45179</x:v>
      </x:c>
      <x:c r="E3613" s="84" t="n">
        <x:v>7.4</x:v>
      </x:c>
      <x:c r="F3613" s="84" t="str">
        <x:v>Normal</x:v>
      </x:c>
      <x:c r="G3613" s="93" t="n">
        <x:v>366.45</x:v>
      </x:c>
      <x:c r="H3613" s="85" t="str">
        <x:v>Diagnóstico e execução</x:v>
      </x:c>
    </x:row>
    <x:row r="3614">
      <x:c r="A3614" s="83" t="n">
        <x:v>3613</x:v>
      </x:c>
      <x:c r="B3614" s="84" t="n">
        <x:v>2111</x:v>
      </x:c>
      <x:c r="C3614" s="84" t="n">
        <x:v>14</x:v>
      </x:c>
      <x:c r="D3614" s="89" t="n">
        <x:v>45166</x:v>
      </x:c>
      <x:c r="E3614" s="84" t="n">
        <x:v>1.2</x:v>
      </x:c>
      <x:c r="F3614" s="84" t="str">
        <x:v>Normal</x:v>
      </x:c>
      <x:c r="G3614" s="93" t="n">
        <x:v>67.99</x:v>
      </x:c>
      <x:c r="H3614" s="85" t="str">
        <x:v>Diagnóstico e execução</x:v>
      </x:c>
    </x:row>
    <x:row r="3615">
      <x:c r="A3615" s="83" t="n">
        <x:v>3614</x:v>
      </x:c>
      <x:c r="B3615" s="84" t="n">
        <x:v>2111</x:v>
      </x:c>
      <x:c r="C3615" s="84" t="n">
        <x:v>2</x:v>
      </x:c>
      <x:c r="D3615" s="89" t="n">
        <x:v>45166</x:v>
      </x:c>
      <x:c r="E3615" s="84" t="n">
        <x:v>1.8</x:v>
      </x:c>
      <x:c r="F3615" s="84" t="str">
        <x:v>Normal</x:v>
      </x:c>
      <x:c r="G3615" s="93" t="n">
        <x:v>67.07</x:v>
      </x:c>
      <x:c r="H3615" s="85" t="str">
        <x:v>Diagnóstico e execução</x:v>
      </x:c>
    </x:row>
    <x:row r="3616">
      <x:c r="A3616" s="83" t="n">
        <x:v>3615</x:v>
      </x:c>
      <x:c r="B3616" s="84" t="n">
        <x:v>2111</x:v>
      </x:c>
      <x:c r="C3616" s="84" t="n">
        <x:v>39</x:v>
      </x:c>
      <x:c r="D3616" s="89" t="n">
        <x:v>45166</x:v>
      </x:c>
      <x:c r="E3616" s="84" t="n">
        <x:v>3.7</x:v>
      </x:c>
      <x:c r="F3616" s="84" t="str">
        <x:v>Normal</x:v>
      </x:c>
      <x:c r="G3616" s="93" t="n">
        <x:v>214.23</x:v>
      </x:c>
      <x:c r="H3616" s="85" t="str">
        <x:v>Diagnóstico e execução</x:v>
      </x:c>
    </x:row>
    <x:row r="3617">
      <x:c r="A3617" s="83" t="n">
        <x:v>3616</x:v>
      </x:c>
      <x:c r="B3617" s="84" t="n">
        <x:v>2112</x:v>
      </x:c>
      <x:c r="C3617" s="84" t="n">
        <x:v>17</x:v>
      </x:c>
      <x:c r="D3617" s="89" t="n">
        <x:v>45812</x:v>
      </x:c>
      <x:c r="E3617" s="84" t="n">
        <x:v>1.8</x:v>
      </x:c>
      <x:c r="F3617" s="84" t="str">
        <x:v>Normal</x:v>
      </x:c>
      <x:c r="G3617" s="93" t="n">
        <x:v>100.4</x:v>
      </x:c>
      <x:c r="H3617" s="85" t="str">
        <x:v>Diagnóstico e execução</x:v>
      </x:c>
    </x:row>
    <x:row r="3618">
      <x:c r="A3618" s="83" t="n">
        <x:v>3617</x:v>
      </x:c>
      <x:c r="B3618" s="84" t="n">
        <x:v>2113</x:v>
      </x:c>
      <x:c r="C3618" s="84" t="n">
        <x:v>10</x:v>
      </x:c>
      <x:c r="D3618" s="89" t="n">
        <x:v>45546</x:v>
      </x:c>
      <x:c r="E3618" s="84" t="n">
        <x:v>5.9</x:v>
      </x:c>
      <x:c r="F3618" s="84" t="str">
        <x:v>Normal</x:v>
      </x:c>
      <x:c r="G3618" s="93" t="n">
        <x:v>175.17</x:v>
      </x:c>
      <x:c r="H3618" s="85" t="str">
        <x:v>Diagnóstico e execução</x:v>
      </x:c>
    </x:row>
    <x:row r="3619">
      <x:c r="A3619" s="83" t="n">
        <x:v>3618</x:v>
      </x:c>
      <x:c r="B3619" s="84" t="n">
        <x:v>2113</x:v>
      </x:c>
      <x:c r="C3619" s="84" t="n">
        <x:v>20</x:v>
      </x:c>
      <x:c r="D3619" s="89" t="n">
        <x:v>45546</x:v>
      </x:c>
      <x:c r="E3619" s="84" t="n">
        <x:v>2.9</x:v>
      </x:c>
      <x:c r="F3619" s="84" t="str">
        <x:v>Normal</x:v>
      </x:c>
      <x:c r="G3619" s="93" t="n">
        <x:v>97.21</x:v>
      </x:c>
      <x:c r="H3619" s="85" t="str">
        <x:v>Diagnóstico e execução</x:v>
      </x:c>
    </x:row>
    <x:row r="3620">
      <x:c r="A3620" s="83" t="n">
        <x:v>3619</x:v>
      </x:c>
      <x:c r="B3620" s="84" t="n">
        <x:v>2114</x:v>
      </x:c>
      <x:c r="C3620" s="84" t="n">
        <x:v>41</x:v>
      </x:c>
      <x:c r="D3620" s="89" t="n">
        <x:v>44957</x:v>
      </x:c>
      <x:c r="E3620" s="84" t="n">
        <x:v>3.1</x:v>
      </x:c>
      <x:c r="F3620" s="84" t="str">
        <x:v>Normal</x:v>
      </x:c>
      <x:c r="G3620" s="93" t="n">
        <x:v>156.8</x:v>
      </x:c>
      <x:c r="H3620" s="85" t="str">
        <x:v>Diagnóstico e execução</x:v>
      </x:c>
    </x:row>
    <x:row r="3621">
      <x:c r="A3621" s="83" t="n">
        <x:v>3620</x:v>
      </x:c>
      <x:c r="B3621" s="84" t="n">
        <x:v>2114</x:v>
      </x:c>
      <x:c r="C3621" s="84" t="n">
        <x:v>15</x:v>
      </x:c>
      <x:c r="D3621" s="89" t="n">
        <x:v>44957</x:v>
      </x:c>
      <x:c r="E3621" s="84" t="n">
        <x:v>4.5</x:v>
      </x:c>
      <x:c r="F3621" s="84" t="str">
        <x:v>Normal</x:v>
      </x:c>
      <x:c r="G3621" s="93" t="n">
        <x:v>136.08</x:v>
      </x:c>
      <x:c r="H3621" s="85" t="str">
        <x:v>Diagnóstico e execução</x:v>
      </x:c>
    </x:row>
    <x:row r="3622">
      <x:c r="A3622" s="83" t="n">
        <x:v>3621</x:v>
      </x:c>
      <x:c r="B3622" s="84" t="n">
        <x:v>2114</x:v>
      </x:c>
      <x:c r="C3622" s="84" t="n">
        <x:v>17</x:v>
      </x:c>
      <x:c r="D3622" s="89" t="n">
        <x:v>44957</x:v>
      </x:c>
      <x:c r="E3622" s="84" t="n">
        <x:v>6.7</x:v>
      </x:c>
      <x:c r="F3622" s="84" t="str">
        <x:v>Normal</x:v>
      </x:c>
      <x:c r="G3622" s="93" t="n">
        <x:v>373.73</x:v>
      </x:c>
      <x:c r="H3622" s="85" t="str">
        <x:v>Diagnóstico e execução</x:v>
      </x:c>
    </x:row>
    <x:row r="3623">
      <x:c r="A3623" s="83" t="n">
        <x:v>3622</x:v>
      </x:c>
      <x:c r="B3623" s="84" t="n">
        <x:v>2115</x:v>
      </x:c>
      <x:c r="C3623" s="84" t="n">
        <x:v>27</x:v>
      </x:c>
      <x:c r="D3623" s="89" t="n">
        <x:v>45236</x:v>
      </x:c>
      <x:c r="E3623" s="84" t="n">
        <x:v>7.2</x:v>
      </x:c>
      <x:c r="F3623" s="84" t="str">
        <x:v>Normal</x:v>
      </x:c>
      <x:c r="G3623" s="93" t="n">
        <x:v>439.13</x:v>
      </x:c>
      <x:c r="H3623" s="85" t="str">
        <x:v>Diagnóstico e execução</x:v>
      </x:c>
    </x:row>
    <x:row r="3624">
      <x:c r="A3624" s="83" t="n">
        <x:v>3623</x:v>
      </x:c>
      <x:c r="B3624" s="84" t="n">
        <x:v>2115</x:v>
      </x:c>
      <x:c r="C3624" s="84" t="n">
        <x:v>43</x:v>
      </x:c>
      <x:c r="D3624" s="89" t="n">
        <x:v>45236</x:v>
      </x:c>
      <x:c r="E3624" s="84" t="n">
        <x:v>5.5</x:v>
      </x:c>
      <x:c r="F3624" s="84" t="str">
        <x:v>Normal</x:v>
      </x:c>
      <x:c r="G3624" s="93" t="n">
        <x:v>300.63</x:v>
      </x:c>
      <x:c r="H3624" s="85" t="str">
        <x:v>Diagnóstico e execução</x:v>
      </x:c>
    </x:row>
    <x:row r="3625">
      <x:c r="A3625" s="83" t="n">
        <x:v>3624</x:v>
      </x:c>
      <x:c r="B3625" s="84" t="n">
        <x:v>2115</x:v>
      </x:c>
      <x:c r="C3625" s="84" t="n">
        <x:v>8</x:v>
      </x:c>
      <x:c r="D3625" s="89" t="n">
        <x:v>45236</x:v>
      </x:c>
      <x:c r="E3625" s="84" t="n">
        <x:v>3.2</x:v>
      </x:c>
      <x:c r="F3625" s="84" t="str">
        <x:v>Normal</x:v>
      </x:c>
      <x:c r="G3625" s="93" t="n">
        <x:v>148.8</x:v>
      </x:c>
      <x:c r="H3625" s="85" t="str">
        <x:v>Diagnóstico e execução</x:v>
      </x:c>
    </x:row>
    <x:row r="3626">
      <x:c r="A3626" s="83" t="n">
        <x:v>3625</x:v>
      </x:c>
      <x:c r="B3626" s="84" t="n">
        <x:v>2116</x:v>
      </x:c>
      <x:c r="C3626" s="84" t="n">
        <x:v>15</x:v>
      </x:c>
      <x:c r="D3626" s="89" t="n">
        <x:v>45669</x:v>
      </x:c>
      <x:c r="E3626" s="84" t="n">
        <x:v>2.3</x:v>
      </x:c>
      <x:c r="F3626" s="84" t="str">
        <x:v>Normal</x:v>
      </x:c>
      <x:c r="G3626" s="93" t="n">
        <x:v>69.55</x:v>
      </x:c>
      <x:c r="H3626" s="85" t="str">
        <x:v>Diagnóstico e execução</x:v>
      </x:c>
    </x:row>
    <x:row r="3627">
      <x:c r="A3627" s="83" t="n">
        <x:v>3626</x:v>
      </x:c>
      <x:c r="B3627" s="84" t="n">
        <x:v>2116</x:v>
      </x:c>
      <x:c r="C3627" s="84" t="n">
        <x:v>11</x:v>
      </x:c>
      <x:c r="D3627" s="89" t="n">
        <x:v>45669</x:v>
      </x:c>
      <x:c r="E3627" s="84" t="n">
        <x:v>5.4</x:v>
      </x:c>
      <x:c r="F3627" s="84" t="str">
        <x:v>Normal</x:v>
      </x:c>
      <x:c r="G3627" s="93" t="n">
        <x:v>225.07</x:v>
      </x:c>
      <x:c r="H3627" s="85" t="str">
        <x:v>Diagnóstico e execução</x:v>
      </x:c>
    </x:row>
    <x:row r="3628">
      <x:c r="A3628" s="83" t="n">
        <x:v>3627</x:v>
      </x:c>
      <x:c r="B3628" s="84" t="n">
        <x:v>2116</x:v>
      </x:c>
      <x:c r="C3628" s="84" t="n">
        <x:v>29</x:v>
      </x:c>
      <x:c r="D3628" s="89" t="n">
        <x:v>45669</x:v>
      </x:c>
      <x:c r="E3628" s="84" t="n">
        <x:v>5.1</x:v>
      </x:c>
      <x:c r="F3628" s="84" t="str">
        <x:v>Normal</x:v>
      </x:c>
      <x:c r="G3628" s="93" t="n">
        <x:v>252.55</x:v>
      </x:c>
      <x:c r="H3628" s="85" t="str">
        <x:v>Diagnóstico e execução</x:v>
      </x:c>
    </x:row>
    <x:row r="3629">
      <x:c r="A3629" s="83" t="n">
        <x:v>3628</x:v>
      </x:c>
      <x:c r="B3629" s="84" t="n">
        <x:v>2117</x:v>
      </x:c>
      <x:c r="C3629" s="84" t="n">
        <x:v>12</x:v>
      </x:c>
      <x:c r="D3629" s="89" t="n">
        <x:v>46001</x:v>
      </x:c>
      <x:c r="E3629" s="84" t="n">
        <x:v>1</x:v>
      </x:c>
      <x:c r="F3629" s="84" t="str">
        <x:v>Normal</x:v>
      </x:c>
      <x:c r="G3629" s="93" t="n">
        <x:v>34.5</x:v>
      </x:c>
      <x:c r="H3629" s="85" t="str">
        <x:v>Diagnóstico e execução</x:v>
      </x:c>
    </x:row>
    <x:row r="3630">
      <x:c r="A3630" s="83" t="n">
        <x:v>3629</x:v>
      </x:c>
      <x:c r="B3630" s="84" t="n">
        <x:v>2117</x:v>
      </x:c>
      <x:c r="C3630" s="84" t="n">
        <x:v>16</x:v>
      </x:c>
      <x:c r="D3630" s="89" t="n">
        <x:v>46001</x:v>
      </x:c>
      <x:c r="E3630" s="84" t="n">
        <x:v>2.6</x:v>
      </x:c>
      <x:c r="F3630" s="84" t="str">
        <x:v>Normal</x:v>
      </x:c>
      <x:c r="G3630" s="93" t="n">
        <x:v>105.35</x:v>
      </x:c>
      <x:c r="H3630" s="85" t="str">
        <x:v>Diagnóstico e execução</x:v>
      </x:c>
    </x:row>
    <x:row r="3631">
      <x:c r="A3631" s="83" t="n">
        <x:v>3630</x:v>
      </x:c>
      <x:c r="B3631" s="84" t="n">
        <x:v>2118</x:v>
      </x:c>
      <x:c r="C3631" s="84" t="n">
        <x:v>21</x:v>
      </x:c>
      <x:c r="D3631" s="89" t="n">
        <x:v>45646</x:v>
      </x:c>
      <x:c r="E3631" s="84" t="n">
        <x:v>3.2</x:v>
      </x:c>
      <x:c r="F3631" s="84" t="str">
        <x:v>Normal</x:v>
      </x:c>
      <x:c r="G3631" s="93" t="n">
        <x:v>196.58</x:v>
      </x:c>
      <x:c r="H3631" s="85" t="str">
        <x:v>Diagnóstico e execução</x:v>
      </x:c>
    </x:row>
    <x:row r="3632">
      <x:c r="A3632" s="83" t="n">
        <x:v>3631</x:v>
      </x:c>
      <x:c r="B3632" s="84" t="n">
        <x:v>2118</x:v>
      </x:c>
      <x:c r="C3632" s="84" t="n">
        <x:v>15</x:v>
      </x:c>
      <x:c r="D3632" s="89" t="n">
        <x:v>45646</x:v>
      </x:c>
      <x:c r="E3632" s="84" t="n">
        <x:v>0.7</x:v>
      </x:c>
      <x:c r="F3632" s="84" t="str">
        <x:v>Normal</x:v>
      </x:c>
      <x:c r="G3632" s="93" t="n">
        <x:v>21.17</x:v>
      </x:c>
      <x:c r="H3632" s="85" t="str">
        <x:v>Diagnóstico e execução</x:v>
      </x:c>
    </x:row>
    <x:row r="3633">
      <x:c r="A3633" s="83" t="n">
        <x:v>3632</x:v>
      </x:c>
      <x:c r="B3633" s="84" t="n">
        <x:v>2118</x:v>
      </x:c>
      <x:c r="C3633" s="84" t="n">
        <x:v>21</x:v>
      </x:c>
      <x:c r="D3633" s="89" t="n">
        <x:v>45646</x:v>
      </x:c>
      <x:c r="E3633" s="84" t="n">
        <x:v>4.8</x:v>
      </x:c>
      <x:c r="F3633" s="84" t="str">
        <x:v>Normal</x:v>
      </x:c>
      <x:c r="G3633" s="93" t="n">
        <x:v>294.86</x:v>
      </x:c>
      <x:c r="H3633" s="85" t="str">
        <x:v>Diagnóstico e execução</x:v>
      </x:c>
    </x:row>
    <x:row r="3634">
      <x:c r="A3634" s="83" t="n">
        <x:v>3633</x:v>
      </x:c>
      <x:c r="B3634" s="84" t="n">
        <x:v>2119</x:v>
      </x:c>
      <x:c r="C3634" s="84" t="n">
        <x:v>3</x:v>
      </x:c>
      <x:c r="D3634" s="89" t="n">
        <x:v>45439</x:v>
      </x:c>
      <x:c r="E3634" s="84" t="n">
        <x:v>6.5</x:v>
      </x:c>
      <x:c r="F3634" s="84" t="str">
        <x:v>Normal</x:v>
      </x:c>
      <x:c r="G3634" s="93" t="n">
        <x:v>320.06</x:v>
      </x:c>
      <x:c r="H3634" s="85" t="str">
        <x:v>Diagnóstico e execução</x:v>
      </x:c>
    </x:row>
    <x:row r="3635">
      <x:c r="A3635" s="83" t="n">
        <x:v>3634</x:v>
      </x:c>
      <x:c r="B3635" s="84" t="n">
        <x:v>2120</x:v>
      </x:c>
      <x:c r="C3635" s="84" t="n">
        <x:v>3</x:v>
      </x:c>
      <x:c r="D3635" s="89" t="n">
        <x:v>45562</x:v>
      </x:c>
      <x:c r="E3635" s="84" t="n">
        <x:v>2</x:v>
      </x:c>
      <x:c r="F3635" s="84" t="str">
        <x:v>Normal</x:v>
      </x:c>
      <x:c r="G3635" s="93" t="n">
        <x:v>98.48</x:v>
      </x:c>
      <x:c r="H3635" s="85" t="str">
        <x:v>Diagnóstico e execução</x:v>
      </x:c>
    </x:row>
    <x:row r="3636">
      <x:c r="A3636" s="83" t="n">
        <x:v>3635</x:v>
      </x:c>
      <x:c r="B3636" s="84" t="n">
        <x:v>2120</x:v>
      </x:c>
      <x:c r="C3636" s="84" t="n">
        <x:v>10</x:v>
      </x:c>
      <x:c r="D3636" s="89" t="n">
        <x:v>45562</x:v>
      </x:c>
      <x:c r="E3636" s="84" t="n">
        <x:v>6.4</x:v>
      </x:c>
      <x:c r="F3636" s="84" t="str">
        <x:v>Normal</x:v>
      </x:c>
      <x:c r="G3636" s="93" t="n">
        <x:v>190.02</x:v>
      </x:c>
      <x:c r="H3636" s="85" t="str">
        <x:v>Diagnóstico e execução</x:v>
      </x:c>
    </x:row>
    <x:row r="3637">
      <x:c r="A3637" s="83" t="n">
        <x:v>3636</x:v>
      </x:c>
      <x:c r="B3637" s="84" t="n">
        <x:v>2120</x:v>
      </x:c>
      <x:c r="C3637" s="84" t="n">
        <x:v>37</x:v>
      </x:c>
      <x:c r="D3637" s="89" t="n">
        <x:v>45562</x:v>
      </x:c>
      <x:c r="E3637" s="84" t="n">
        <x:v>3.2</x:v>
      </x:c>
      <x:c r="F3637" s="84" t="str">
        <x:v>Normal</x:v>
      </x:c>
      <x:c r="G3637" s="93" t="n">
        <x:v>188.7</x:v>
      </x:c>
      <x:c r="H3637" s="85" t="str">
        <x:v>Diagnóstico e execução</x:v>
      </x:c>
    </x:row>
    <x:row r="3638">
      <x:c r="A3638" s="83" t="n">
        <x:v>3637</x:v>
      </x:c>
      <x:c r="B3638" s="84" t="n">
        <x:v>2121</x:v>
      </x:c>
      <x:c r="C3638" s="84" t="n">
        <x:v>24</x:v>
      </x:c>
      <x:c r="D3638" s="89" t="n">
        <x:v>45727</x:v>
      </x:c>
      <x:c r="E3638" s="84" t="n">
        <x:v>3.5</x:v>
      </x:c>
      <x:c r="F3638" s="84" t="str">
        <x:v>Normal</x:v>
      </x:c>
      <x:c r="G3638" s="93" t="n">
        <x:v>207.34</x:v>
      </x:c>
      <x:c r="H3638" s="85" t="str">
        <x:v>Diagnóstico e execução</x:v>
      </x:c>
    </x:row>
    <x:row r="3639">
      <x:c r="A3639" s="83" t="n">
        <x:v>3638</x:v>
      </x:c>
      <x:c r="B3639" s="84" t="n">
        <x:v>2122</x:v>
      </x:c>
      <x:c r="C3639" s="84" t="n">
        <x:v>43</x:v>
      </x:c>
      <x:c r="D3639" s="89" t="n">
        <x:v>45634</x:v>
      </x:c>
      <x:c r="E3639" s="84" t="n">
        <x:v>0.7</x:v>
      </x:c>
      <x:c r="F3639" s="84" t="str">
        <x:v>Normal</x:v>
      </x:c>
      <x:c r="G3639" s="93" t="n">
        <x:v>38.26</x:v>
      </x:c>
      <x:c r="H3639" s="85" t="str">
        <x:v>Diagnóstico e execução</x:v>
      </x:c>
    </x:row>
    <x:row r="3640">
      <x:c r="A3640" s="83" t="n">
        <x:v>3639</x:v>
      </x:c>
      <x:c r="B3640" s="84" t="n">
        <x:v>2122</x:v>
      </x:c>
      <x:c r="C3640" s="84" t="n">
        <x:v>16</x:v>
      </x:c>
      <x:c r="D3640" s="89" t="n">
        <x:v>45634</x:v>
      </x:c>
      <x:c r="E3640" s="84" t="n">
        <x:v>4.7</x:v>
      </x:c>
      <x:c r="F3640" s="84" t="str">
        <x:v>Normal</x:v>
      </x:c>
      <x:c r="G3640" s="93" t="n">
        <x:v>190.44</x:v>
      </x:c>
      <x:c r="H3640" s="85" t="str">
        <x:v>Diagnóstico e execução</x:v>
      </x:c>
    </x:row>
    <x:row r="3641">
      <x:c r="A3641" s="83" t="n">
        <x:v>3640</x:v>
      </x:c>
      <x:c r="B3641" s="84" t="n">
        <x:v>2123</x:v>
      </x:c>
      <x:c r="C3641" s="84" t="n">
        <x:v>13</x:v>
      </x:c>
      <x:c r="D3641" s="89" t="n">
        <x:v>45294</x:v>
      </x:c>
      <x:c r="E3641" s="84" t="n">
        <x:v>6.9</x:v>
      </x:c>
      <x:c r="F3641" s="84" t="str">
        <x:v>Normal</x:v>
      </x:c>
      <x:c r="G3641" s="93" t="n">
        <x:v>233.77</x:v>
      </x:c>
      <x:c r="H3641" s="85" t="str">
        <x:v>Diagnóstico e execução</x:v>
      </x:c>
    </x:row>
    <x:row r="3642">
      <x:c r="A3642" s="83" t="n">
        <x:v>3641</x:v>
      </x:c>
      <x:c r="B3642" s="84" t="n">
        <x:v>2123</x:v>
      </x:c>
      <x:c r="C3642" s="84" t="n">
        <x:v>45</x:v>
      </x:c>
      <x:c r="D3642" s="89" t="n">
        <x:v>45294</x:v>
      </x:c>
      <x:c r="E3642" s="84" t="n">
        <x:v>6.2</x:v>
      </x:c>
      <x:c r="F3642" s="84" t="str">
        <x:v>Normal</x:v>
      </x:c>
      <x:c r="G3642" s="93" t="n">
        <x:v>332.13</x:v>
      </x:c>
      <x:c r="H3642" s="85" t="str">
        <x:v>Diagnóstico e execução</x:v>
      </x:c>
    </x:row>
    <x:row r="3643">
      <x:c r="A3643" s="83" t="n">
        <x:v>3642</x:v>
      </x:c>
      <x:c r="B3643" s="84" t="n">
        <x:v>2124</x:v>
      </x:c>
      <x:c r="C3643" s="84" t="n">
        <x:v>6</x:v>
      </x:c>
      <x:c r="D3643" s="89" t="n">
        <x:v>45407</x:v>
      </x:c>
      <x:c r="E3643" s="84" t="n">
        <x:v>1.7</x:v>
      </x:c>
      <x:c r="F3643" s="84" t="str">
        <x:v>Normal</x:v>
      </x:c>
      <x:c r="G3643" s="93" t="n">
        <x:v>88.84</x:v>
      </x:c>
      <x:c r="H3643" s="85" t="str">
        <x:v>Diagnóstico e execução</x:v>
      </x:c>
    </x:row>
    <x:row r="3644">
      <x:c r="A3644" s="83" t="n">
        <x:v>3643</x:v>
      </x:c>
      <x:c r="B3644" s="84" t="n">
        <x:v>2124</x:v>
      </x:c>
      <x:c r="C3644" s="84" t="n">
        <x:v>19</x:v>
      </x:c>
      <x:c r="D3644" s="89" t="n">
        <x:v>45407</x:v>
      </x:c>
      <x:c r="E3644" s="84" t="n">
        <x:v>7.1</x:v>
      </x:c>
      <x:c r="F3644" s="84" t="str">
        <x:v>Normal</x:v>
      </x:c>
      <x:c r="G3644" s="93" t="n">
        <x:v>330.01</x:v>
      </x:c>
      <x:c r="H3644" s="85" t="str">
        <x:v>Diagnóstico e execução</x:v>
      </x:c>
    </x:row>
    <x:row r="3645">
      <x:c r="A3645" s="83" t="n">
        <x:v>3644</x:v>
      </x:c>
      <x:c r="B3645" s="84" t="n">
        <x:v>2125</x:v>
      </x:c>
      <x:c r="C3645" s="84" t="n">
        <x:v>28</x:v>
      </x:c>
      <x:c r="D3645" s="89" t="n">
        <x:v>45470</x:v>
      </x:c>
      <x:c r="E3645" s="84" t="n">
        <x:v>3</x:v>
      </x:c>
      <x:c r="F3645" s="84" t="str">
        <x:v>Normal</x:v>
      </x:c>
      <x:c r="G3645" s="93" t="n">
        <x:v>112.86</x:v>
      </x:c>
      <x:c r="H3645" s="85" t="str">
        <x:v>Diagnóstico e execução</x:v>
      </x:c>
    </x:row>
    <x:row r="3646">
      <x:c r="A3646" s="83" t="n">
        <x:v>3645</x:v>
      </x:c>
      <x:c r="B3646" s="84" t="n">
        <x:v>2126</x:v>
      </x:c>
      <x:c r="C3646" s="84" t="n">
        <x:v>27</x:v>
      </x:c>
      <x:c r="D3646" s="89" t="n">
        <x:v>45584</x:v>
      </x:c>
      <x:c r="E3646" s="84" t="n">
        <x:v>1.5</x:v>
      </x:c>
      <x:c r="F3646" s="84" t="str">
        <x:v>Normal</x:v>
      </x:c>
      <x:c r="G3646" s="93" t="n">
        <x:v>91.48</x:v>
      </x:c>
      <x:c r="H3646" s="85" t="str">
        <x:v>Diagnóstico e execução</x:v>
      </x:c>
    </x:row>
    <x:row r="3647">
      <x:c r="A3647" s="83" t="n">
        <x:v>3646</x:v>
      </x:c>
      <x:c r="B3647" s="84" t="n">
        <x:v>2126</x:v>
      </x:c>
      <x:c r="C3647" s="84" t="n">
        <x:v>11</x:v>
      </x:c>
      <x:c r="D3647" s="89" t="n">
        <x:v>45584</x:v>
      </x:c>
      <x:c r="E3647" s="84" t="n">
        <x:v>1.3</x:v>
      </x:c>
      <x:c r="F3647" s="84" t="str">
        <x:v>Normal</x:v>
      </x:c>
      <x:c r="G3647" s="93" t="n">
        <x:v>54.18</x:v>
      </x:c>
      <x:c r="H3647" s="85" t="str">
        <x:v>Diagnóstico e execução</x:v>
      </x:c>
    </x:row>
    <x:row r="3648">
      <x:c r="A3648" s="83" t="n">
        <x:v>3647</x:v>
      </x:c>
      <x:c r="B3648" s="84" t="n">
        <x:v>2127</x:v>
      </x:c>
      <x:c r="C3648" s="84" t="n">
        <x:v>9</x:v>
      </x:c>
      <x:c r="D3648" s="89" t="n">
        <x:v>45054</x:v>
      </x:c>
      <x:c r="E3648" s="84" t="n">
        <x:v>7.9</x:v>
      </x:c>
      <x:c r="F3648" s="84" t="str">
        <x:v>Normal</x:v>
      </x:c>
      <x:c r="G3648" s="93" t="n">
        <x:v>416.09</x:v>
      </x:c>
      <x:c r="H3648" s="85" t="str">
        <x:v>Diagnóstico e execução</x:v>
      </x:c>
    </x:row>
    <x:row r="3649">
      <x:c r="A3649" s="83" t="n">
        <x:v>3648</x:v>
      </x:c>
      <x:c r="B3649" s="84" t="n">
        <x:v>2127</x:v>
      </x:c>
      <x:c r="C3649" s="84" t="n">
        <x:v>40</x:v>
      </x:c>
      <x:c r="D3649" s="89" t="n">
        <x:v>45054</x:v>
      </x:c>
      <x:c r="E3649" s="84" t="n">
        <x:v>6.6</x:v>
      </x:c>
      <x:c r="F3649" s="84" t="str">
        <x:v>Normal</x:v>
      </x:c>
      <x:c r="G3649" s="93" t="n">
        <x:v>326.17</x:v>
      </x:c>
      <x:c r="H3649" s="85" t="str">
        <x:v>Diagnóstico e execução</x:v>
      </x:c>
    </x:row>
    <x:row r="3650">
      <x:c r="A3650" s="83" t="n">
        <x:v>3649</x:v>
      </x:c>
      <x:c r="B3650" s="84" t="n">
        <x:v>2128</x:v>
      </x:c>
      <x:c r="C3650" s="84" t="n">
        <x:v>44</x:v>
      </x:c>
      <x:c r="D3650" s="89" t="n">
        <x:v>45918</x:v>
      </x:c>
      <x:c r="E3650" s="84" t="n">
        <x:v>5.8</x:v>
      </x:c>
      <x:c r="F3650" s="84" t="str">
        <x:v>Normal</x:v>
      </x:c>
      <x:c r="G3650" s="93" t="n">
        <x:v>162.63</x:v>
      </x:c>
      <x:c r="H3650" s="85" t="str">
        <x:v>Diagnóstico e execução</x:v>
      </x:c>
    </x:row>
    <x:row r="3651">
      <x:c r="A3651" s="83" t="n">
        <x:v>3650</x:v>
      </x:c>
      <x:c r="B3651" s="84" t="n">
        <x:v>2129</x:v>
      </x:c>
      <x:c r="C3651" s="84" t="n">
        <x:v>18</x:v>
      </x:c>
      <x:c r="D3651" s="89" t="n">
        <x:v>45548</x:v>
      </x:c>
      <x:c r="E3651" s="84" t="n">
        <x:v>2.8</x:v>
      </x:c>
      <x:c r="F3651" s="84" t="str">
        <x:v>Normal</x:v>
      </x:c>
      <x:c r="G3651" s="93" t="n">
        <x:v>176.65</x:v>
      </x:c>
      <x:c r="H3651" s="85" t="str">
        <x:v>Diagnóstico e execução</x:v>
      </x:c>
    </x:row>
    <x:row r="3652">
      <x:c r="A3652" s="83" t="n">
        <x:v>3651</x:v>
      </x:c>
      <x:c r="B3652" s="84" t="n">
        <x:v>2130</x:v>
      </x:c>
      <x:c r="C3652" s="84" t="n">
        <x:v>34</x:v>
      </x:c>
      <x:c r="D3652" s="89" t="n">
        <x:v>45226</x:v>
      </x:c>
      <x:c r="E3652" s="84" t="n">
        <x:v>2.1</x:v>
      </x:c>
      <x:c r="F3652" s="84" t="str">
        <x:v>Normal</x:v>
      </x:c>
      <x:c r="G3652" s="93" t="n">
        <x:v>90.78</x:v>
      </x:c>
      <x:c r="H3652" s="85" t="str">
        <x:v>Diagnóstico e execução</x:v>
      </x:c>
    </x:row>
    <x:row r="3653">
      <x:c r="A3653" s="83" t="n">
        <x:v>3652</x:v>
      </x:c>
      <x:c r="B3653" s="84" t="n">
        <x:v>2130</x:v>
      </x:c>
      <x:c r="C3653" s="84" t="n">
        <x:v>39</x:v>
      </x:c>
      <x:c r="D3653" s="89" t="n">
        <x:v>45226</x:v>
      </x:c>
      <x:c r="E3653" s="84" t="n">
        <x:v>5</x:v>
      </x:c>
      <x:c r="F3653" s="84" t="str">
        <x:v>Normal</x:v>
      </x:c>
      <x:c r="G3653" s="93" t="n">
        <x:v>289.5</x:v>
      </x:c>
      <x:c r="H3653" s="85" t="str">
        <x:v>Diagnóstico e execução</x:v>
      </x:c>
    </x:row>
    <x:row r="3654">
      <x:c r="A3654" s="83" t="n">
        <x:v>3653</x:v>
      </x:c>
      <x:c r="B3654" s="84" t="n">
        <x:v>2131</x:v>
      </x:c>
      <x:c r="C3654" s="84" t="n">
        <x:v>23</x:v>
      </x:c>
      <x:c r="D3654" s="89" t="n">
        <x:v>45831</x:v>
      </x:c>
      <x:c r="E3654" s="84" t="n">
        <x:v>5.8</x:v>
      </x:c>
      <x:c r="F3654" s="84" t="str">
        <x:v>Normal</x:v>
      </x:c>
      <x:c r="G3654" s="93" t="n">
        <x:v>250.04</x:v>
      </x:c>
      <x:c r="H3654" s="85" t="str">
        <x:v>Diagnóstico e execução</x:v>
      </x:c>
    </x:row>
    <x:row r="3655">
      <x:c r="A3655" s="83" t="n">
        <x:v>3654</x:v>
      </x:c>
      <x:c r="B3655" s="84" t="n">
        <x:v>2132</x:v>
      </x:c>
      <x:c r="C3655" s="84" t="n">
        <x:v>23</x:v>
      </x:c>
      <x:c r="D3655" s="89" t="n">
        <x:v>45019</x:v>
      </x:c>
      <x:c r="E3655" s="84" t="n">
        <x:v>7.2</x:v>
      </x:c>
      <x:c r="F3655" s="84" t="str">
        <x:v>Normal</x:v>
      </x:c>
      <x:c r="G3655" s="93" t="n">
        <x:v>310.39</x:v>
      </x:c>
      <x:c r="H3655" s="85" t="str">
        <x:v>Diagnóstico e execução</x:v>
      </x:c>
    </x:row>
    <x:row r="3656">
      <x:c r="A3656" s="83" t="n">
        <x:v>3655</x:v>
      </x:c>
      <x:c r="B3656" s="84" t="n">
        <x:v>2132</x:v>
      </x:c>
      <x:c r="C3656" s="84" t="n">
        <x:v>6</x:v>
      </x:c>
      <x:c r="D3656" s="89" t="n">
        <x:v>45019</x:v>
      </x:c>
      <x:c r="E3656" s="84" t="n">
        <x:v>1.4</x:v>
      </x:c>
      <x:c r="F3656" s="84" t="str">
        <x:v>Normal</x:v>
      </x:c>
      <x:c r="G3656" s="93" t="n">
        <x:v>73.16</x:v>
      </x:c>
      <x:c r="H3656" s="85" t="str">
        <x:v>Diagnóstico e execução</x:v>
      </x:c>
    </x:row>
    <x:row r="3657">
      <x:c r="A3657" s="83" t="n">
        <x:v>3656</x:v>
      </x:c>
      <x:c r="B3657" s="84" t="n">
        <x:v>2132</x:v>
      </x:c>
      <x:c r="C3657" s="84" t="n">
        <x:v>25</x:v>
      </x:c>
      <x:c r="D3657" s="89" t="n">
        <x:v>45019</x:v>
      </x:c>
      <x:c r="E3657" s="84" t="n">
        <x:v>6.8</x:v>
      </x:c>
      <x:c r="F3657" s="84" t="str">
        <x:v>Normal</x:v>
      </x:c>
      <x:c r="G3657" s="93" t="n">
        <x:v>364.41</x:v>
      </x:c>
      <x:c r="H3657" s="85" t="str">
        <x:v>Diagnóstico e execução</x:v>
      </x:c>
    </x:row>
    <x:row r="3658">
      <x:c r="A3658" s="83" t="n">
        <x:v>3657</x:v>
      </x:c>
      <x:c r="B3658" s="84" t="n">
        <x:v>2133</x:v>
      </x:c>
      <x:c r="C3658" s="84" t="n">
        <x:v>16</x:v>
      </x:c>
      <x:c r="D3658" s="89" t="n">
        <x:v>45557</x:v>
      </x:c>
      <x:c r="E3658" s="84" t="n">
        <x:v>4.1</x:v>
      </x:c>
      <x:c r="F3658" s="84" t="str">
        <x:v>Normal</x:v>
      </x:c>
      <x:c r="G3658" s="93" t="n">
        <x:v>166.13</x:v>
      </x:c>
      <x:c r="H3658" s="85" t="str">
        <x:v>Diagnóstico e execução</x:v>
      </x:c>
    </x:row>
    <x:row r="3659">
      <x:c r="A3659" s="83" t="n">
        <x:v>3658</x:v>
      </x:c>
      <x:c r="B3659" s="84" t="n">
        <x:v>2133</x:v>
      </x:c>
      <x:c r="C3659" s="84" t="n">
        <x:v>23</x:v>
      </x:c>
      <x:c r="D3659" s="89" t="n">
        <x:v>45557</x:v>
      </x:c>
      <x:c r="E3659" s="84" t="n">
        <x:v>7.9</x:v>
      </x:c>
      <x:c r="F3659" s="84" t="str">
        <x:v>Normal</x:v>
      </x:c>
      <x:c r="G3659" s="93" t="n">
        <x:v>340.57</x:v>
      </x:c>
      <x:c r="H3659" s="85" t="str">
        <x:v>Diagnóstico e execução</x:v>
      </x:c>
    </x:row>
    <x:row r="3660">
      <x:c r="A3660" s="83" t="n">
        <x:v>3659</x:v>
      </x:c>
      <x:c r="B3660" s="84" t="n">
        <x:v>2133</x:v>
      </x:c>
      <x:c r="C3660" s="84" t="n">
        <x:v>34</x:v>
      </x:c>
      <x:c r="D3660" s="89" t="n">
        <x:v>45557</x:v>
      </x:c>
      <x:c r="E3660" s="84" t="n">
        <x:v>1.3</x:v>
      </x:c>
      <x:c r="F3660" s="84" t="str">
        <x:v>Normal</x:v>
      </x:c>
      <x:c r="G3660" s="93" t="n">
        <x:v>56.2</x:v>
      </x:c>
      <x:c r="H3660" s="85" t="str">
        <x:v>Diagnóstico e execução</x:v>
      </x:c>
    </x:row>
    <x:row r="3661">
      <x:c r="A3661" s="83" t="n">
        <x:v>3660</x:v>
      </x:c>
      <x:c r="B3661" s="84" t="n">
        <x:v>2134</x:v>
      </x:c>
      <x:c r="C3661" s="84" t="n">
        <x:v>4</x:v>
      </x:c>
      <x:c r="D3661" s="89" t="n">
        <x:v>45334</x:v>
      </x:c>
      <x:c r="E3661" s="84" t="n">
        <x:v>5</x:v>
      </x:c>
      <x:c r="F3661" s="84" t="str">
        <x:v>Normal</x:v>
      </x:c>
      <x:c r="G3661" s="93" t="n">
        <x:v>245.95</x:v>
      </x:c>
      <x:c r="H3661" s="85" t="str">
        <x:v>Diagnóstico e execução</x:v>
      </x:c>
    </x:row>
    <x:row r="3662">
      <x:c r="A3662" s="83" t="n">
        <x:v>3661</x:v>
      </x:c>
      <x:c r="B3662" s="84" t="n">
        <x:v>2134</x:v>
      </x:c>
      <x:c r="C3662" s="84" t="n">
        <x:v>28</x:v>
      </x:c>
      <x:c r="D3662" s="89" t="n">
        <x:v>45334</x:v>
      </x:c>
      <x:c r="E3662" s="84" t="n">
        <x:v>1.5</x:v>
      </x:c>
      <x:c r="F3662" s="84" t="str">
        <x:v>Normal</x:v>
      </x:c>
      <x:c r="G3662" s="93" t="n">
        <x:v>56.43</x:v>
      </x:c>
      <x:c r="H3662" s="85" t="str">
        <x:v>Diagnóstico e execução</x:v>
      </x:c>
    </x:row>
    <x:row r="3663">
      <x:c r="A3663" s="83" t="n">
        <x:v>3662</x:v>
      </x:c>
      <x:c r="B3663" s="84" t="n">
        <x:v>2135</x:v>
      </x:c>
      <x:c r="C3663" s="84" t="n">
        <x:v>16</x:v>
      </x:c>
      <x:c r="D3663" s="89" t="n">
        <x:v>45588</x:v>
      </x:c>
      <x:c r="E3663" s="84" t="n">
        <x:v>1</x:v>
      </x:c>
      <x:c r="F3663" s="84" t="str">
        <x:v>Normal</x:v>
      </x:c>
      <x:c r="G3663" s="93" t="n">
        <x:v>40.52</x:v>
      </x:c>
      <x:c r="H3663" s="85" t="str">
        <x:v>Diagnóstico e execução</x:v>
      </x:c>
    </x:row>
    <x:row r="3664">
      <x:c r="A3664" s="83" t="n">
        <x:v>3663</x:v>
      </x:c>
      <x:c r="B3664" s="84" t="n">
        <x:v>2135</x:v>
      </x:c>
      <x:c r="C3664" s="84" t="n">
        <x:v>18</x:v>
      </x:c>
      <x:c r="D3664" s="89" t="n">
        <x:v>45588</x:v>
      </x:c>
      <x:c r="E3664" s="84" t="n">
        <x:v>2.4</x:v>
      </x:c>
      <x:c r="F3664" s="84" t="str">
        <x:v>Normal</x:v>
      </x:c>
      <x:c r="G3664" s="93" t="n">
        <x:v>151.42</x:v>
      </x:c>
      <x:c r="H3664" s="85" t="str">
        <x:v>Diagnóstico e execução</x:v>
      </x:c>
    </x:row>
    <x:row r="3665">
      <x:c r="A3665" s="83" t="n">
        <x:v>3664</x:v>
      </x:c>
      <x:c r="B3665" s="84" t="n">
        <x:v>2136</x:v>
      </x:c>
      <x:c r="C3665" s="84" t="n">
        <x:v>25</x:v>
      </x:c>
      <x:c r="D3665" s="89" t="n">
        <x:v>45115</x:v>
      </x:c>
      <x:c r="E3665" s="84" t="n">
        <x:v>4.9</x:v>
      </x:c>
      <x:c r="F3665" s="84" t="str">
        <x:v>Normal</x:v>
      </x:c>
      <x:c r="G3665" s="93" t="n">
        <x:v>262.59</x:v>
      </x:c>
      <x:c r="H3665" s="85" t="str">
        <x:v>Diagnóstico e execução</x:v>
      </x:c>
    </x:row>
    <x:row r="3666">
      <x:c r="A3666" s="83" t="n">
        <x:v>3665</x:v>
      </x:c>
      <x:c r="B3666" s="84" t="n">
        <x:v>2136</x:v>
      </x:c>
      <x:c r="C3666" s="84" t="n">
        <x:v>11</x:v>
      </x:c>
      <x:c r="D3666" s="89" t="n">
        <x:v>45115</x:v>
      </x:c>
      <x:c r="E3666" s="84" t="n">
        <x:v>1.7</x:v>
      </x:c>
      <x:c r="F3666" s="84" t="str">
        <x:v>Normal</x:v>
      </x:c>
      <x:c r="G3666" s="93" t="n">
        <x:v>70.86</x:v>
      </x:c>
      <x:c r="H3666" s="85" t="str">
        <x:v>Diagnóstico e execução</x:v>
      </x:c>
    </x:row>
    <x:row r="3667">
      <x:c r="A3667" s="83" t="n">
        <x:v>3666</x:v>
      </x:c>
      <x:c r="B3667" s="84" t="n">
        <x:v>2137</x:v>
      </x:c>
      <x:c r="C3667" s="84" t="n">
        <x:v>19</x:v>
      </x:c>
      <x:c r="D3667" s="89" t="n">
        <x:v>46011</x:v>
      </x:c>
      <x:c r="E3667" s="84" t="n">
        <x:v>0.8</x:v>
      </x:c>
      <x:c r="F3667" s="84" t="str">
        <x:v>Normal</x:v>
      </x:c>
      <x:c r="G3667" s="93" t="n">
        <x:v>37.18</x:v>
      </x:c>
      <x:c r="H3667" s="85" t="str">
        <x:v>Diagnóstico e execução</x:v>
      </x:c>
    </x:row>
    <x:row r="3668">
      <x:c r="A3668" s="83" t="n">
        <x:v>3667</x:v>
      </x:c>
      <x:c r="B3668" s="84" t="n">
        <x:v>2137</x:v>
      </x:c>
      <x:c r="C3668" s="84" t="n">
        <x:v>44</x:v>
      </x:c>
      <x:c r="D3668" s="89" t="n">
        <x:v>46011</x:v>
      </x:c>
      <x:c r="E3668" s="84" t="n">
        <x:v>5.1</x:v>
      </x:c>
      <x:c r="F3668" s="84" t="str">
        <x:v>Normal</x:v>
      </x:c>
      <x:c r="G3668" s="93" t="n">
        <x:v>143</x:v>
      </x:c>
      <x:c r="H3668" s="85" t="str">
        <x:v>Diagnóstico e execução</x:v>
      </x:c>
    </x:row>
    <x:row r="3669">
      <x:c r="A3669" s="83" t="n">
        <x:v>3668</x:v>
      </x:c>
      <x:c r="B3669" s="84" t="n">
        <x:v>2138</x:v>
      </x:c>
      <x:c r="C3669" s="84" t="n">
        <x:v>28</x:v>
      </x:c>
      <x:c r="D3669" s="89" t="n">
        <x:v>45848</x:v>
      </x:c>
      <x:c r="E3669" s="84" t="n">
        <x:v>3.2</x:v>
      </x:c>
      <x:c r="F3669" s="84" t="str">
        <x:v>Normal</x:v>
      </x:c>
      <x:c r="G3669" s="93" t="n">
        <x:v>120.38</x:v>
      </x:c>
      <x:c r="H3669" s="85" t="str">
        <x:v>Diagnóstico e execução</x:v>
      </x:c>
    </x:row>
    <x:row r="3670">
      <x:c r="A3670" s="83" t="n">
        <x:v>3669</x:v>
      </x:c>
      <x:c r="B3670" s="84" t="n">
        <x:v>2138</x:v>
      </x:c>
      <x:c r="C3670" s="84" t="n">
        <x:v>29</x:v>
      </x:c>
      <x:c r="D3670" s="89" t="n">
        <x:v>45848</x:v>
      </x:c>
      <x:c r="E3670" s="84" t="n">
        <x:v>0.8</x:v>
      </x:c>
      <x:c r="F3670" s="84" t="str">
        <x:v>Normal</x:v>
      </x:c>
      <x:c r="G3670" s="93" t="n">
        <x:v>39.62</x:v>
      </x:c>
      <x:c r="H3670" s="85" t="str">
        <x:v>Diagnóstico e execução</x:v>
      </x:c>
    </x:row>
    <x:row r="3671">
      <x:c r="A3671" s="83" t="n">
        <x:v>3670</x:v>
      </x:c>
      <x:c r="B3671" s="84" t="n">
        <x:v>2138</x:v>
      </x:c>
      <x:c r="C3671" s="84" t="n">
        <x:v>37</x:v>
      </x:c>
      <x:c r="D3671" s="89" t="n">
        <x:v>45848</x:v>
      </x:c>
      <x:c r="E3671" s="84" t="n">
        <x:v>3.1</x:v>
      </x:c>
      <x:c r="F3671" s="84" t="str">
        <x:v>Normal</x:v>
      </x:c>
      <x:c r="G3671" s="93" t="n">
        <x:v>182.81</x:v>
      </x:c>
      <x:c r="H3671" s="85" t="str">
        <x:v>Diagnóstico e execução</x:v>
      </x:c>
    </x:row>
    <x:row r="3672">
      <x:c r="A3672" s="83" t="n">
        <x:v>3671</x:v>
      </x:c>
      <x:c r="B3672" s="84" t="n">
        <x:v>2140</x:v>
      </x:c>
      <x:c r="C3672" s="84" t="n">
        <x:v>7</x:v>
      </x:c>
      <x:c r="D3672" s="89" t="n">
        <x:v>45159</x:v>
      </x:c>
      <x:c r="E3672" s="84" t="n">
        <x:v>1.1</x:v>
      </x:c>
      <x:c r="F3672" s="84" t="str">
        <x:v>Normal</x:v>
      </x:c>
      <x:c r="G3672" s="93" t="n">
        <x:v>64.03</x:v>
      </x:c>
      <x:c r="H3672" s="85" t="str">
        <x:v>Diagnóstico e execução</x:v>
      </x:c>
    </x:row>
    <x:row r="3673">
      <x:c r="A3673" s="83" t="n">
        <x:v>3672</x:v>
      </x:c>
      <x:c r="B3673" s="84" t="n">
        <x:v>2140</x:v>
      </x:c>
      <x:c r="C3673" s="84" t="n">
        <x:v>2</x:v>
      </x:c>
      <x:c r="D3673" s="89" t="n">
        <x:v>45159</x:v>
      </x:c>
      <x:c r="E3673" s="84" t="n">
        <x:v>0.6</x:v>
      </x:c>
      <x:c r="F3673" s="84" t="str">
        <x:v>Normal</x:v>
      </x:c>
      <x:c r="G3673" s="93" t="n">
        <x:v>22.36</x:v>
      </x:c>
      <x:c r="H3673" s="85" t="str">
        <x:v>Diagnóstico e execução</x:v>
      </x:c>
    </x:row>
    <x:row r="3674">
      <x:c r="A3674" s="83" t="n">
        <x:v>3673</x:v>
      </x:c>
      <x:c r="B3674" s="84" t="n">
        <x:v>2140</x:v>
      </x:c>
      <x:c r="C3674" s="84" t="n">
        <x:v>37</x:v>
      </x:c>
      <x:c r="D3674" s="89" t="n">
        <x:v>45159</x:v>
      </x:c>
      <x:c r="E3674" s="84" t="n">
        <x:v>2.5</x:v>
      </x:c>
      <x:c r="F3674" s="84" t="str">
        <x:v>Normal</x:v>
      </x:c>
      <x:c r="G3674" s="93" t="n">
        <x:v>147.43</x:v>
      </x:c>
      <x:c r="H3674" s="85" t="str">
        <x:v>Diagnóstico e execução</x:v>
      </x:c>
    </x:row>
    <x:row r="3675">
      <x:c r="A3675" s="83" t="n">
        <x:v>3674</x:v>
      </x:c>
      <x:c r="B3675" s="84" t="n">
        <x:v>2141</x:v>
      </x:c>
      <x:c r="C3675" s="84" t="n">
        <x:v>25</x:v>
      </x:c>
      <x:c r="D3675" s="89" t="n">
        <x:v>45591</x:v>
      </x:c>
      <x:c r="E3675" s="84" t="n">
        <x:v>4</x:v>
      </x:c>
      <x:c r="F3675" s="84" t="str">
        <x:v>Normal</x:v>
      </x:c>
      <x:c r="G3675" s="93" t="n">
        <x:v>214.36</x:v>
      </x:c>
      <x:c r="H3675" s="85" t="str">
        <x:v>Diagnóstico e execução</x:v>
      </x:c>
    </x:row>
    <x:row r="3676">
      <x:c r="A3676" s="83" t="n">
        <x:v>3675</x:v>
      </x:c>
      <x:c r="B3676" s="84" t="n">
        <x:v>2142</x:v>
      </x:c>
      <x:c r="C3676" s="84" t="n">
        <x:v>18</x:v>
      </x:c>
      <x:c r="D3676" s="89" t="n">
        <x:v>45462</x:v>
      </x:c>
      <x:c r="E3676" s="84" t="n">
        <x:v>4.7</x:v>
      </x:c>
      <x:c r="F3676" s="84" t="str">
        <x:v>Normal</x:v>
      </x:c>
      <x:c r="G3676" s="93" t="n">
        <x:v>296.52</x:v>
      </x:c>
      <x:c r="H3676" s="85" t="str">
        <x:v>Diagnóstico e execução</x:v>
      </x:c>
    </x:row>
    <x:row r="3677">
      <x:c r="A3677" s="83" t="n">
        <x:v>3676</x:v>
      </x:c>
      <x:c r="B3677" s="84" t="n">
        <x:v>2143</x:v>
      </x:c>
      <x:c r="C3677" s="84" t="n">
        <x:v>13</x:v>
      </x:c>
      <x:c r="D3677" s="89" t="n">
        <x:v>45622</x:v>
      </x:c>
      <x:c r="E3677" s="84" t="n">
        <x:v>3.3</x:v>
      </x:c>
      <x:c r="F3677" s="84" t="str">
        <x:v>Normal</x:v>
      </x:c>
      <x:c r="G3677" s="93" t="n">
        <x:v>111.8</x:v>
      </x:c>
      <x:c r="H3677" s="85" t="str">
        <x:v>Diagnóstico e execução</x:v>
      </x:c>
    </x:row>
    <x:row r="3678">
      <x:c r="A3678" s="83" t="n">
        <x:v>3677</x:v>
      </x:c>
      <x:c r="B3678" s="84" t="n">
        <x:v>2143</x:v>
      </x:c>
      <x:c r="C3678" s="84" t="n">
        <x:v>37</x:v>
      </x:c>
      <x:c r="D3678" s="89" t="n">
        <x:v>45622</x:v>
      </x:c>
      <x:c r="E3678" s="84" t="n">
        <x:v>5.8</x:v>
      </x:c>
      <x:c r="F3678" s="84" t="str">
        <x:v>Normal</x:v>
      </x:c>
      <x:c r="G3678" s="93" t="n">
        <x:v>342.03</x:v>
      </x:c>
      <x:c r="H3678" s="85" t="str">
        <x:v>Diagnóstico e execução</x:v>
      </x:c>
    </x:row>
    <x:row r="3679">
      <x:c r="A3679" s="83" t="n">
        <x:v>3678</x:v>
      </x:c>
      <x:c r="B3679" s="84" t="n">
        <x:v>2144</x:v>
      </x:c>
      <x:c r="C3679" s="84" t="n">
        <x:v>20</x:v>
      </x:c>
      <x:c r="D3679" s="89" t="n">
        <x:v>45431</x:v>
      </x:c>
      <x:c r="E3679" s="84" t="n">
        <x:v>4.1</x:v>
      </x:c>
      <x:c r="F3679" s="84" t="str">
        <x:v>Normal</x:v>
      </x:c>
      <x:c r="G3679" s="93" t="n">
        <x:v>137.43</x:v>
      </x:c>
      <x:c r="H3679" s="85" t="str">
        <x:v>Diagnóstico e execução</x:v>
      </x:c>
    </x:row>
    <x:row r="3680">
      <x:c r="A3680" s="83" t="n">
        <x:v>3679</x:v>
      </x:c>
      <x:c r="B3680" s="84" t="n">
        <x:v>2144</x:v>
      </x:c>
      <x:c r="C3680" s="84" t="n">
        <x:v>22</x:v>
      </x:c>
      <x:c r="D3680" s="89" t="n">
        <x:v>45431</x:v>
      </x:c>
      <x:c r="E3680" s="84" t="n">
        <x:v>2.7</x:v>
      </x:c>
      <x:c r="F3680" s="84" t="str">
        <x:v>Normal</x:v>
      </x:c>
      <x:c r="G3680" s="93" t="n">
        <x:v>103.84</x:v>
      </x:c>
      <x:c r="H3680" s="85" t="str">
        <x:v>Diagnóstico e execução</x:v>
      </x:c>
    </x:row>
    <x:row r="3681">
      <x:c r="A3681" s="83" t="n">
        <x:v>3680</x:v>
      </x:c>
      <x:c r="B3681" s="84" t="n">
        <x:v>2145</x:v>
      </x:c>
      <x:c r="C3681" s="84" t="n">
        <x:v>44</x:v>
      </x:c>
      <x:c r="D3681" s="89" t="n">
        <x:v>45467</x:v>
      </x:c>
      <x:c r="E3681" s="84" t="n">
        <x:v>7.8</x:v>
      </x:c>
      <x:c r="F3681" s="84" t="str">
        <x:v>Normal</x:v>
      </x:c>
      <x:c r="G3681" s="93" t="n">
        <x:v>218.71</x:v>
      </x:c>
      <x:c r="H3681" s="85" t="str">
        <x:v>Diagnóstico e execução</x:v>
      </x:c>
    </x:row>
    <x:row r="3682">
      <x:c r="A3682" s="83" t="n">
        <x:v>3681</x:v>
      </x:c>
      <x:c r="B3682" s="84" t="n">
        <x:v>2147</x:v>
      </x:c>
      <x:c r="C3682" s="84" t="n">
        <x:v>40</x:v>
      </x:c>
      <x:c r="D3682" s="89" t="n">
        <x:v>45290</x:v>
      </x:c>
      <x:c r="E3682" s="84" t="n">
        <x:v>3.8</x:v>
      </x:c>
      <x:c r="F3682" s="84" t="str">
        <x:v>Normal</x:v>
      </x:c>
      <x:c r="G3682" s="93" t="n">
        <x:v>187.8</x:v>
      </x:c>
      <x:c r="H3682" s="85" t="str">
        <x:v>Diagnóstico e execução</x:v>
      </x:c>
    </x:row>
    <x:row r="3683">
      <x:c r="A3683" s="83" t="n">
        <x:v>3682</x:v>
      </x:c>
      <x:c r="B3683" s="84" t="n">
        <x:v>2147</x:v>
      </x:c>
      <x:c r="C3683" s="84" t="n">
        <x:v>40</x:v>
      </x:c>
      <x:c r="D3683" s="89" t="n">
        <x:v>45290</x:v>
      </x:c>
      <x:c r="E3683" s="84" t="n">
        <x:v>6.5</x:v>
      </x:c>
      <x:c r="F3683" s="84" t="str">
        <x:v>Normal</x:v>
      </x:c>
      <x:c r="G3683" s="93" t="n">
        <x:v>321.23</x:v>
      </x:c>
      <x:c r="H3683" s="85" t="str">
        <x:v>Diagnóstico e execução</x:v>
      </x:c>
    </x:row>
    <x:row r="3684">
      <x:c r="A3684" s="83" t="n">
        <x:v>3683</x:v>
      </x:c>
      <x:c r="B3684" s="84" t="n">
        <x:v>2147</x:v>
      </x:c>
      <x:c r="C3684" s="84" t="n">
        <x:v>37</x:v>
      </x:c>
      <x:c r="D3684" s="89" t="n">
        <x:v>45290</x:v>
      </x:c>
      <x:c r="E3684" s="84" t="n">
        <x:v>3</x:v>
      </x:c>
      <x:c r="F3684" s="84" t="str">
        <x:v>Normal</x:v>
      </x:c>
      <x:c r="G3684" s="93" t="n">
        <x:v>176.91</x:v>
      </x:c>
      <x:c r="H3684" s="85" t="str">
        <x:v>Diagnóstico e execução</x:v>
      </x:c>
    </x:row>
    <x:row r="3685">
      <x:c r="A3685" s="83" t="n">
        <x:v>3684</x:v>
      </x:c>
      <x:c r="B3685" s="84" t="n">
        <x:v>2148</x:v>
      </x:c>
      <x:c r="C3685" s="84" t="n">
        <x:v>39</x:v>
      </x:c>
      <x:c r="D3685" s="89" t="n">
        <x:v>45623</x:v>
      </x:c>
      <x:c r="E3685" s="84" t="n">
        <x:v>7.9</x:v>
      </x:c>
      <x:c r="F3685" s="84" t="str">
        <x:v>Normal</x:v>
      </x:c>
      <x:c r="G3685" s="93" t="n">
        <x:v>457.41</x:v>
      </x:c>
      <x:c r="H3685" s="85" t="str">
        <x:v>Diagnóstico e execução</x:v>
      </x:c>
    </x:row>
    <x:row r="3686">
      <x:c r="A3686" s="83" t="n">
        <x:v>3685</x:v>
      </x:c>
      <x:c r="B3686" s="84" t="n">
        <x:v>2148</x:v>
      </x:c>
      <x:c r="C3686" s="84" t="n">
        <x:v>40</x:v>
      </x:c>
      <x:c r="D3686" s="89" t="n">
        <x:v>45623</x:v>
      </x:c>
      <x:c r="E3686" s="84" t="n">
        <x:v>7.6</x:v>
      </x:c>
      <x:c r="F3686" s="84" t="str">
        <x:v>Normal</x:v>
      </x:c>
      <x:c r="G3686" s="93" t="n">
        <x:v>375.59</x:v>
      </x:c>
      <x:c r="H3686" s="85" t="str">
        <x:v>Diagnóstico e execução</x:v>
      </x:c>
    </x:row>
    <x:row r="3687">
      <x:c r="A3687" s="83" t="n">
        <x:v>3686</x:v>
      </x:c>
      <x:c r="B3687" s="84" t="n">
        <x:v>2149</x:v>
      </x:c>
      <x:c r="C3687" s="84" t="n">
        <x:v>25</x:v>
      </x:c>
      <x:c r="D3687" s="89" t="n">
        <x:v>45872</x:v>
      </x:c>
      <x:c r="E3687" s="84" t="n">
        <x:v>5</x:v>
      </x:c>
      <x:c r="F3687" s="84" t="str">
        <x:v>Normal</x:v>
      </x:c>
      <x:c r="G3687" s="93" t="n">
        <x:v>267.95</x:v>
      </x:c>
      <x:c r="H3687" s="85" t="str">
        <x:v>Diagnóstico e execução</x:v>
      </x:c>
    </x:row>
    <x:row r="3688">
      <x:c r="A3688" s="83" t="n">
        <x:v>3687</x:v>
      </x:c>
      <x:c r="B3688" s="84" t="n">
        <x:v>2150</x:v>
      </x:c>
      <x:c r="C3688" s="84" t="n">
        <x:v>42</x:v>
      </x:c>
      <x:c r="D3688" s="89" t="n">
        <x:v>45755</x:v>
      </x:c>
      <x:c r="E3688" s="84" t="n">
        <x:v>3.7</x:v>
      </x:c>
      <x:c r="F3688" s="84" t="str">
        <x:v>Normal</x:v>
      </x:c>
      <x:c r="G3688" s="93" t="n">
        <x:v>156.07</x:v>
      </x:c>
      <x:c r="H3688" s="85" t="str">
        <x:v>Diagnóstico e execução</x:v>
      </x:c>
    </x:row>
    <x:row r="3689">
      <x:c r="A3689" s="83" t="n">
        <x:v>3688</x:v>
      </x:c>
      <x:c r="B3689" s="84" t="n">
        <x:v>2150</x:v>
      </x:c>
      <x:c r="C3689" s="84" t="n">
        <x:v>39</x:v>
      </x:c>
      <x:c r="D3689" s="89" t="n">
        <x:v>45755</x:v>
      </x:c>
      <x:c r="E3689" s="84" t="n">
        <x:v>1.1</x:v>
      </x:c>
      <x:c r="F3689" s="84" t="str">
        <x:v>Normal</x:v>
      </x:c>
      <x:c r="G3689" s="93" t="n">
        <x:v>63.69</x:v>
      </x:c>
      <x:c r="H3689" s="85" t="str">
        <x:v>Diagnóstico e execução</x:v>
      </x:c>
    </x:row>
    <x:row r="3690">
      <x:c r="A3690" s="83" t="n">
        <x:v>3689</x:v>
      </x:c>
      <x:c r="B3690" s="84" t="n">
        <x:v>2150</x:v>
      </x:c>
      <x:c r="C3690" s="84" t="n">
        <x:v>34</x:v>
      </x:c>
      <x:c r="D3690" s="89" t="n">
        <x:v>45755</x:v>
      </x:c>
      <x:c r="E3690" s="84" t="n">
        <x:v>7.3</x:v>
      </x:c>
      <x:c r="F3690" s="84" t="str">
        <x:v>Normal</x:v>
      </x:c>
      <x:c r="G3690" s="93" t="n">
        <x:v>315.58</x:v>
      </x:c>
      <x:c r="H3690" s="85" t="str">
        <x:v>Diagnóstico e execução</x:v>
      </x:c>
    </x:row>
    <x:row r="3691">
      <x:c r="A3691" s="83" t="n">
        <x:v>3690</x:v>
      </x:c>
      <x:c r="B3691" s="84" t="n">
        <x:v>2151</x:v>
      </x:c>
      <x:c r="C3691" s="84" t="n">
        <x:v>11</x:v>
      </x:c>
      <x:c r="D3691" s="89" t="n">
        <x:v>45600</x:v>
      </x:c>
      <x:c r="E3691" s="84" t="n">
        <x:v>5</x:v>
      </x:c>
      <x:c r="F3691" s="84" t="str">
        <x:v>Normal</x:v>
      </x:c>
      <x:c r="G3691" s="93" t="n">
        <x:v>208.4</x:v>
      </x:c>
      <x:c r="H3691" s="85" t="str">
        <x:v>Diagnóstico e execução</x:v>
      </x:c>
    </x:row>
    <x:row r="3692">
      <x:c r="A3692" s="83" t="n">
        <x:v>3691</x:v>
      </x:c>
      <x:c r="B3692" s="84" t="n">
        <x:v>2151</x:v>
      </x:c>
      <x:c r="C3692" s="84" t="n">
        <x:v>32</x:v>
      </x:c>
      <x:c r="D3692" s="89" t="n">
        <x:v>45600</x:v>
      </x:c>
      <x:c r="E3692" s="84" t="n">
        <x:v>6.8</x:v>
      </x:c>
      <x:c r="F3692" s="84" t="str">
        <x:v>Normal</x:v>
      </x:c>
      <x:c r="G3692" s="93" t="n">
        <x:v>296.82</x:v>
      </x:c>
      <x:c r="H3692" s="85" t="str">
        <x:v>Diagnóstico e execução</x:v>
      </x:c>
    </x:row>
    <x:row r="3693">
      <x:c r="A3693" s="83" t="n">
        <x:v>3692</x:v>
      </x:c>
      <x:c r="B3693" s="84" t="n">
        <x:v>2152</x:v>
      </x:c>
      <x:c r="C3693" s="84" t="n">
        <x:v>18</x:v>
      </x:c>
      <x:c r="D3693" s="89" t="n">
        <x:v>45251</x:v>
      </x:c>
      <x:c r="E3693" s="84" t="n">
        <x:v>4.7</x:v>
      </x:c>
      <x:c r="F3693" s="84" t="str">
        <x:v>Normal</x:v>
      </x:c>
      <x:c r="G3693" s="93" t="n">
        <x:v>296.52</x:v>
      </x:c>
      <x:c r="H3693" s="85" t="str">
        <x:v>Diagnóstico e execução</x:v>
      </x:c>
    </x:row>
    <x:row r="3694">
      <x:c r="A3694" s="83" t="n">
        <x:v>3693</x:v>
      </x:c>
      <x:c r="B3694" s="84" t="n">
        <x:v>2152</x:v>
      </x:c>
      <x:c r="C3694" s="84" t="n">
        <x:v>39</x:v>
      </x:c>
      <x:c r="D3694" s="89" t="n">
        <x:v>45251</x:v>
      </x:c>
      <x:c r="E3694" s="84" t="n">
        <x:v>5</x:v>
      </x:c>
      <x:c r="F3694" s="84" t="str">
        <x:v>Normal</x:v>
      </x:c>
      <x:c r="G3694" s="93" t="n">
        <x:v>289.5</x:v>
      </x:c>
      <x:c r="H3694" s="85" t="str">
        <x:v>Diagnóstico e execução</x:v>
      </x:c>
    </x:row>
    <x:row r="3695">
      <x:c r="A3695" s="83" t="n">
        <x:v>3694</x:v>
      </x:c>
      <x:c r="B3695" s="84" t="n">
        <x:v>2152</x:v>
      </x:c>
      <x:c r="C3695" s="84" t="n">
        <x:v>37</x:v>
      </x:c>
      <x:c r="D3695" s="89" t="n">
        <x:v>45251</x:v>
      </x:c>
      <x:c r="E3695" s="84" t="n">
        <x:v>3.1</x:v>
      </x:c>
      <x:c r="F3695" s="84" t="str">
        <x:v>Normal</x:v>
      </x:c>
      <x:c r="G3695" s="93" t="n">
        <x:v>182.81</x:v>
      </x:c>
      <x:c r="H3695" s="85" t="str">
        <x:v>Diagnóstico e execução</x:v>
      </x:c>
    </x:row>
    <x:row r="3696">
      <x:c r="A3696" s="83" t="n">
        <x:v>3695</x:v>
      </x:c>
      <x:c r="B3696" s="84" t="n">
        <x:v>2153</x:v>
      </x:c>
      <x:c r="C3696" s="84" t="n">
        <x:v>10</x:v>
      </x:c>
      <x:c r="D3696" s="89" t="n">
        <x:v>45136</x:v>
      </x:c>
      <x:c r="E3696" s="84" t="n">
        <x:v>1.9</x:v>
      </x:c>
      <x:c r="F3696" s="84" t="str">
        <x:v>Normal</x:v>
      </x:c>
      <x:c r="G3696" s="93" t="n">
        <x:v>56.41</x:v>
      </x:c>
      <x:c r="H3696" s="85" t="str">
        <x:v>Diagnóstico e execução</x:v>
      </x:c>
    </x:row>
    <x:row r="3697">
      <x:c r="A3697" s="83" t="n">
        <x:v>3696</x:v>
      </x:c>
      <x:c r="B3697" s="84" t="n">
        <x:v>2153</x:v>
      </x:c>
      <x:c r="C3697" s="84" t="n">
        <x:v>19</x:v>
      </x:c>
      <x:c r="D3697" s="89" t="n">
        <x:v>45136</x:v>
      </x:c>
      <x:c r="E3697" s="84" t="n">
        <x:v>3.4</x:v>
      </x:c>
      <x:c r="F3697" s="84" t="str">
        <x:v>Normal</x:v>
      </x:c>
      <x:c r="G3697" s="93" t="n">
        <x:v>158.03</x:v>
      </x:c>
      <x:c r="H3697" s="85" t="str">
        <x:v>Diagnóstico e execução</x:v>
      </x:c>
    </x:row>
    <x:row r="3698">
      <x:c r="A3698" s="83" t="n">
        <x:v>3697</x:v>
      </x:c>
      <x:c r="B3698" s="84" t="n">
        <x:v>2155</x:v>
      </x:c>
      <x:c r="C3698" s="84" t="n">
        <x:v>38</x:v>
      </x:c>
      <x:c r="D3698" s="89" t="n">
        <x:v>45322</x:v>
      </x:c>
      <x:c r="E3698" s="84" t="n">
        <x:v>1.4</x:v>
      </x:c>
      <x:c r="F3698" s="84" t="str">
        <x:v>Normal</x:v>
      </x:c>
      <x:c r="G3698" s="93" t="n">
        <x:v>47.14</x:v>
      </x:c>
      <x:c r="H3698" s="85" t="str">
        <x:v>Diagnóstico e execução</x:v>
      </x:c>
    </x:row>
    <x:row r="3699">
      <x:c r="A3699" s="83" t="n">
        <x:v>3698</x:v>
      </x:c>
      <x:c r="B3699" s="84" t="n">
        <x:v>2156</x:v>
      </x:c>
      <x:c r="C3699" s="84" t="n">
        <x:v>28</x:v>
      </x:c>
      <x:c r="D3699" s="89" t="n">
        <x:v>45079</x:v>
      </x:c>
      <x:c r="E3699" s="84" t="n">
        <x:v>4.7</x:v>
      </x:c>
      <x:c r="F3699" s="84" t="str">
        <x:v>Normal</x:v>
      </x:c>
      <x:c r="G3699" s="93" t="n">
        <x:v>176.81</x:v>
      </x:c>
      <x:c r="H3699" s="85" t="str">
        <x:v>Diagnóstico e execução</x:v>
      </x:c>
    </x:row>
    <x:row r="3700">
      <x:c r="A3700" s="83" t="n">
        <x:v>3699</x:v>
      </x:c>
      <x:c r="B3700" s="84" t="n">
        <x:v>2157</x:v>
      </x:c>
      <x:c r="C3700" s="84" t="n">
        <x:v>2</x:v>
      </x:c>
      <x:c r="D3700" s="89" t="n">
        <x:v>45006</x:v>
      </x:c>
      <x:c r="E3700" s="84" t="n">
        <x:v>1.9</x:v>
      </x:c>
      <x:c r="F3700" s="84" t="str">
        <x:v>Normal</x:v>
      </x:c>
      <x:c r="G3700" s="93" t="n">
        <x:v>70.79</x:v>
      </x:c>
      <x:c r="H3700" s="85" t="str">
        <x:v>Diagnóstico e execução</x:v>
      </x:c>
    </x:row>
    <x:row r="3701">
      <x:c r="A3701" s="83" t="n">
        <x:v>3700</x:v>
      </x:c>
      <x:c r="B3701" s="84" t="n">
        <x:v>2157</x:v>
      </x:c>
      <x:c r="C3701" s="84" t="n">
        <x:v>27</x:v>
      </x:c>
      <x:c r="D3701" s="89" t="n">
        <x:v>45006</x:v>
      </x:c>
      <x:c r="E3701" s="84" t="n">
        <x:v>6.5</x:v>
      </x:c>
      <x:c r="F3701" s="84" t="str">
        <x:v>Normal</x:v>
      </x:c>
      <x:c r="G3701" s="93" t="n">
        <x:v>396.44</x:v>
      </x:c>
      <x:c r="H3701" s="85" t="str">
        <x:v>Diagnóstico e execução</x:v>
      </x:c>
    </x:row>
    <x:row r="3702">
      <x:c r="A3702" s="83" t="n">
        <x:v>3701</x:v>
      </x:c>
      <x:c r="B3702" s="84" t="n">
        <x:v>2158</x:v>
      </x:c>
      <x:c r="C3702" s="84" t="n">
        <x:v>24</x:v>
      </x:c>
      <x:c r="D3702" s="89" t="n">
        <x:v>45908</x:v>
      </x:c>
      <x:c r="E3702" s="84" t="n">
        <x:v>1.1</x:v>
      </x:c>
      <x:c r="F3702" s="84" t="str">
        <x:v>Normal</x:v>
      </x:c>
      <x:c r="G3702" s="93" t="n">
        <x:v>65.16</x:v>
      </x:c>
      <x:c r="H3702" s="85" t="str">
        <x:v>Diagnóstico e execução</x:v>
      </x:c>
    </x:row>
    <x:row r="3703">
      <x:c r="A3703" s="83" t="n">
        <x:v>3702</x:v>
      </x:c>
      <x:c r="B3703" s="84" t="n">
        <x:v>2158</x:v>
      </x:c>
      <x:c r="C3703" s="84" t="n">
        <x:v>27</x:v>
      </x:c>
      <x:c r="D3703" s="89" t="n">
        <x:v>45908</x:v>
      </x:c>
      <x:c r="E3703" s="84" t="n">
        <x:v>2.6</x:v>
      </x:c>
      <x:c r="F3703" s="84" t="str">
        <x:v>Normal</x:v>
      </x:c>
      <x:c r="G3703" s="93" t="n">
        <x:v>158.57</x:v>
      </x:c>
      <x:c r="H3703" s="85" t="str">
        <x:v>Diagnóstico e execução</x:v>
      </x:c>
    </x:row>
    <x:row r="3704">
      <x:c r="A3704" s="83" t="n">
        <x:v>3703</x:v>
      </x:c>
      <x:c r="B3704" s="84" t="n">
        <x:v>2158</x:v>
      </x:c>
      <x:c r="C3704" s="84" t="n">
        <x:v>36</x:v>
      </x:c>
      <x:c r="D3704" s="89" t="n">
        <x:v>45908</x:v>
      </x:c>
      <x:c r="E3704" s="84" t="n">
        <x:v>2.6</x:v>
      </x:c>
      <x:c r="F3704" s="84" t="str">
        <x:v>Normal</x:v>
      </x:c>
      <x:c r="G3704" s="93" t="n">
        <x:v>77.12</x:v>
      </x:c>
      <x:c r="H3704" s="85" t="str">
        <x:v>Diagnóstico e execução</x:v>
      </x:c>
    </x:row>
    <x:row r="3705">
      <x:c r="A3705" s="83" t="n">
        <x:v>3704</x:v>
      </x:c>
      <x:c r="B3705" s="84" t="n">
        <x:v>2159</x:v>
      </x:c>
      <x:c r="C3705" s="84" t="n">
        <x:v>13</x:v>
      </x:c>
      <x:c r="D3705" s="89" t="n">
        <x:v>45781</x:v>
      </x:c>
      <x:c r="E3705" s="84" t="n">
        <x:v>4.8</x:v>
      </x:c>
      <x:c r="F3705" s="84" t="str">
        <x:v>Normal</x:v>
      </x:c>
      <x:c r="G3705" s="93" t="n">
        <x:v>162.62</x:v>
      </x:c>
      <x:c r="H3705" s="85" t="str">
        <x:v>Diagnóstico e execução</x:v>
      </x:c>
    </x:row>
    <x:row r="3706">
      <x:c r="A3706" s="83" t="n">
        <x:v>3705</x:v>
      </x:c>
      <x:c r="B3706" s="84" t="n">
        <x:v>2159</x:v>
      </x:c>
      <x:c r="C3706" s="84" t="n">
        <x:v>24</x:v>
      </x:c>
      <x:c r="D3706" s="89" t="n">
        <x:v>45781</x:v>
      </x:c>
      <x:c r="E3706" s="84" t="n">
        <x:v>2.9</x:v>
      </x:c>
      <x:c r="F3706" s="84" t="str">
        <x:v>Normal</x:v>
      </x:c>
      <x:c r="G3706" s="93" t="n">
        <x:v>171.8</x:v>
      </x:c>
      <x:c r="H3706" s="85" t="str">
        <x:v>Diagnóstico e execução</x:v>
      </x:c>
    </x:row>
    <x:row r="3707">
      <x:c r="A3707" s="83" t="n">
        <x:v>3706</x:v>
      </x:c>
      <x:c r="B3707" s="84" t="n">
        <x:v>2160</x:v>
      </x:c>
      <x:c r="C3707" s="84" t="n">
        <x:v>15</x:v>
      </x:c>
      <x:c r="D3707" s="89" t="n">
        <x:v>45972</x:v>
      </x:c>
      <x:c r="E3707" s="84" t="n">
        <x:v>7.5</x:v>
      </x:c>
      <x:c r="F3707" s="84" t="str">
        <x:v>Normal</x:v>
      </x:c>
      <x:c r="G3707" s="93" t="n">
        <x:v>226.8</x:v>
      </x:c>
      <x:c r="H3707" s="85" t="str">
        <x:v>Diagnóstico e execução</x:v>
      </x:c>
    </x:row>
    <x:row r="3708">
      <x:c r="A3708" s="83" t="n">
        <x:v>3707</x:v>
      </x:c>
      <x:c r="B3708" s="84" t="n">
        <x:v>2160</x:v>
      </x:c>
      <x:c r="C3708" s="84" t="n">
        <x:v>9</x:v>
      </x:c>
      <x:c r="D3708" s="89" t="n">
        <x:v>45972</x:v>
      </x:c>
      <x:c r="E3708" s="84" t="n">
        <x:v>5</x:v>
      </x:c>
      <x:c r="F3708" s="84" t="str">
        <x:v>Normal</x:v>
      </x:c>
      <x:c r="G3708" s="93" t="n">
        <x:v>263.35</x:v>
      </x:c>
      <x:c r="H3708" s="85" t="str">
        <x:v>Diagnóstico e execução</x:v>
      </x:c>
    </x:row>
    <x:row r="3709">
      <x:c r="A3709" s="83" t="n">
        <x:v>3708</x:v>
      </x:c>
      <x:c r="B3709" s="84" t="n">
        <x:v>2160</x:v>
      </x:c>
      <x:c r="C3709" s="84" t="n">
        <x:v>42</x:v>
      </x:c>
      <x:c r="D3709" s="89" t="n">
        <x:v>45972</x:v>
      </x:c>
      <x:c r="E3709" s="84" t="n">
        <x:v>4.8</x:v>
      </x:c>
      <x:c r="F3709" s="84" t="str">
        <x:v>Normal</x:v>
      </x:c>
      <x:c r="G3709" s="93" t="n">
        <x:v>202.46</x:v>
      </x:c>
      <x:c r="H3709" s="85" t="str">
        <x:v>Diagnóstico e execução</x:v>
      </x:c>
    </x:row>
    <x:row r="3710">
      <x:c r="A3710" s="83" t="n">
        <x:v>3709</x:v>
      </x:c>
      <x:c r="B3710" s="84" t="n">
        <x:v>2161</x:v>
      </x:c>
      <x:c r="C3710" s="84" t="n">
        <x:v>8</x:v>
      </x:c>
      <x:c r="D3710" s="89" t="n">
        <x:v>45058</x:v>
      </x:c>
      <x:c r="E3710" s="84" t="n">
        <x:v>2</x:v>
      </x:c>
      <x:c r="F3710" s="84" t="str">
        <x:v>Normal</x:v>
      </x:c>
      <x:c r="G3710" s="93" t="n">
        <x:v>93</x:v>
      </x:c>
      <x:c r="H3710" s="85" t="str">
        <x:v>Diagnóstico e execução</x:v>
      </x:c>
    </x:row>
    <x:row r="3711">
      <x:c r="A3711" s="83" t="n">
        <x:v>3710</x:v>
      </x:c>
      <x:c r="B3711" s="84" t="n">
        <x:v>2162</x:v>
      </x:c>
      <x:c r="C3711" s="84" t="n">
        <x:v>19</x:v>
      </x:c>
      <x:c r="D3711" s="89" t="n">
        <x:v>45116</x:v>
      </x:c>
      <x:c r="E3711" s="84" t="n">
        <x:v>6.9</x:v>
      </x:c>
      <x:c r="F3711" s="84" t="str">
        <x:v>Normal</x:v>
      </x:c>
      <x:c r="G3711" s="93" t="n">
        <x:v>320.71</x:v>
      </x:c>
      <x:c r="H3711" s="85" t="str">
        <x:v>Diagnóstico e execução</x:v>
      </x:c>
    </x:row>
    <x:row r="3712">
      <x:c r="A3712" s="83" t="n">
        <x:v>3711</x:v>
      </x:c>
      <x:c r="B3712" s="84" t="n">
        <x:v>2162</x:v>
      </x:c>
      <x:c r="C3712" s="84" t="n">
        <x:v>39</x:v>
      </x:c>
      <x:c r="D3712" s="89" t="n">
        <x:v>45116</x:v>
      </x:c>
      <x:c r="E3712" s="84" t="n">
        <x:v>4.3</x:v>
      </x:c>
      <x:c r="F3712" s="84" t="str">
        <x:v>Normal</x:v>
      </x:c>
      <x:c r="G3712" s="93" t="n">
        <x:v>248.97</x:v>
      </x:c>
      <x:c r="H3712" s="85" t="str">
        <x:v>Diagnóstico e execução</x:v>
      </x:c>
    </x:row>
    <x:row r="3713">
      <x:c r="A3713" s="83" t="n">
        <x:v>3712</x:v>
      </x:c>
      <x:c r="B3713" s="84" t="n">
        <x:v>2163</x:v>
      </x:c>
      <x:c r="C3713" s="84" t="n">
        <x:v>16</x:v>
      </x:c>
      <x:c r="D3713" s="89" t="n">
        <x:v>46017</x:v>
      </x:c>
      <x:c r="E3713" s="84" t="n">
        <x:v>3.6</x:v>
      </x:c>
      <x:c r="F3713" s="84" t="str">
        <x:v>Normal</x:v>
      </x:c>
      <x:c r="G3713" s="93" t="n">
        <x:v>145.87</x:v>
      </x:c>
      <x:c r="H3713" s="85" t="str">
        <x:v>Diagnóstico e execução</x:v>
      </x:c>
    </x:row>
    <x:row r="3714">
      <x:c r="A3714" s="83" t="n">
        <x:v>3713</x:v>
      </x:c>
      <x:c r="B3714" s="84" t="n">
        <x:v>2163</x:v>
      </x:c>
      <x:c r="C3714" s="84" t="n">
        <x:v>32</x:v>
      </x:c>
      <x:c r="D3714" s="89" t="n">
        <x:v>46017</x:v>
      </x:c>
      <x:c r="E3714" s="84" t="n">
        <x:v>1.5</x:v>
      </x:c>
      <x:c r="F3714" s="84" t="str">
        <x:v>Normal</x:v>
      </x:c>
      <x:c r="G3714" s="93" t="n">
        <x:v>65.47</x:v>
      </x:c>
      <x:c r="H3714" s="85" t="str">
        <x:v>Diagnóstico e execução</x:v>
      </x:c>
    </x:row>
    <x:row r="3715">
      <x:c r="A3715" s="83" t="n">
        <x:v>3714</x:v>
      </x:c>
      <x:c r="B3715" s="84" t="n">
        <x:v>2165</x:v>
      </x:c>
      <x:c r="C3715" s="84" t="n">
        <x:v>5</x:v>
      </x:c>
      <x:c r="D3715" s="89" t="n">
        <x:v>45020</x:v>
      </x:c>
      <x:c r="E3715" s="84" t="n">
        <x:v>3.5</x:v>
      </x:c>
      <x:c r="F3715" s="84" t="str">
        <x:v>Normal</x:v>
      </x:c>
      <x:c r="G3715" s="93" t="n">
        <x:v>100.87</x:v>
      </x:c>
      <x:c r="H3715" s="85" t="str">
        <x:v>Diagnóstico e execução</x:v>
      </x:c>
    </x:row>
    <x:row r="3716">
      <x:c r="A3716" s="83" t="n">
        <x:v>3715</x:v>
      </x:c>
      <x:c r="B3716" s="84" t="n">
        <x:v>2165</x:v>
      </x:c>
      <x:c r="C3716" s="84" t="n">
        <x:v>30</x:v>
      </x:c>
      <x:c r="D3716" s="89" t="n">
        <x:v>45020</x:v>
      </x:c>
      <x:c r="E3716" s="84" t="n">
        <x:v>5.8</x:v>
      </x:c>
      <x:c r="F3716" s="84" t="str">
        <x:v>Normal</x:v>
      </x:c>
      <x:c r="G3716" s="93" t="n">
        <x:v>240.18</x:v>
      </x:c>
      <x:c r="H3716" s="85" t="str">
        <x:v>Diagnóstico e execução</x:v>
      </x:c>
    </x:row>
    <x:row r="3717">
      <x:c r="A3717" s="83" t="n">
        <x:v>3716</x:v>
      </x:c>
      <x:c r="B3717" s="84" t="n">
        <x:v>2165</x:v>
      </x:c>
      <x:c r="C3717" s="84" t="n">
        <x:v>7</x:v>
      </x:c>
      <x:c r="D3717" s="89" t="n">
        <x:v>45020</x:v>
      </x:c>
      <x:c r="E3717" s="84" t="n">
        <x:v>4.4</x:v>
      </x:c>
      <x:c r="F3717" s="84" t="str">
        <x:v>Normal</x:v>
      </x:c>
      <x:c r="G3717" s="93" t="n">
        <x:v>256.12</x:v>
      </x:c>
      <x:c r="H3717" s="85" t="str">
        <x:v>Diagnóstico e execução</x:v>
      </x:c>
    </x:row>
    <x:row r="3718">
      <x:c r="A3718" s="83" t="n">
        <x:v>3717</x:v>
      </x:c>
      <x:c r="B3718" s="84" t="n">
        <x:v>2166</x:v>
      </x:c>
      <x:c r="C3718" s="84" t="n">
        <x:v>14</x:v>
      </x:c>
      <x:c r="D3718" s="89" t="n">
        <x:v>45076</x:v>
      </x:c>
      <x:c r="E3718" s="84" t="n">
        <x:v>4.3</x:v>
      </x:c>
      <x:c r="F3718" s="84" t="str">
        <x:v>Normal</x:v>
      </x:c>
      <x:c r="G3718" s="93" t="n">
        <x:v>243.64</x:v>
      </x:c>
      <x:c r="H3718" s="85" t="str">
        <x:v>Diagnóstico e execução</x:v>
      </x:c>
    </x:row>
    <x:row r="3719">
      <x:c r="A3719" s="83" t="n">
        <x:v>3718</x:v>
      </x:c>
      <x:c r="B3719" s="84" t="n">
        <x:v>2166</x:v>
      </x:c>
      <x:c r="C3719" s="84" t="n">
        <x:v>31</x:v>
      </x:c>
      <x:c r="D3719" s="89" t="n">
        <x:v>45076</x:v>
      </x:c>
      <x:c r="E3719" s="84" t="n">
        <x:v>5.4</x:v>
      </x:c>
      <x:c r="F3719" s="84" t="str">
        <x:v>Normal</x:v>
      </x:c>
      <x:c r="G3719" s="93" t="n">
        <x:v>264.06</x:v>
      </x:c>
      <x:c r="H3719" s="85" t="str">
        <x:v>Diagnóstico e execução</x:v>
      </x:c>
    </x:row>
    <x:row r="3720">
      <x:c r="A3720" s="83" t="n">
        <x:v>3719</x:v>
      </x:c>
      <x:c r="B3720" s="84" t="n">
        <x:v>2166</x:v>
      </x:c>
      <x:c r="C3720" s="84" t="n">
        <x:v>21</x:v>
      </x:c>
      <x:c r="D3720" s="89" t="n">
        <x:v>45076</x:v>
      </x:c>
      <x:c r="E3720" s="84" t="n">
        <x:v>7.9</x:v>
      </x:c>
      <x:c r="F3720" s="84" t="str">
        <x:v>Normal</x:v>
      </x:c>
      <x:c r="G3720" s="93" t="n">
        <x:v>485.3</x:v>
      </x:c>
      <x:c r="H3720" s="85" t="str">
        <x:v>Diagnóstico e execução</x:v>
      </x:c>
    </x:row>
    <x:row r="3721">
      <x:c r="A3721" s="83" t="n">
        <x:v>3720</x:v>
      </x:c>
      <x:c r="B3721" s="84" t="n">
        <x:v>2167</x:v>
      </x:c>
      <x:c r="C3721" s="84" t="n">
        <x:v>19</x:v>
      </x:c>
      <x:c r="D3721" s="89" t="n">
        <x:v>45594</x:v>
      </x:c>
      <x:c r="E3721" s="84" t="n">
        <x:v>6.7</x:v>
      </x:c>
      <x:c r="F3721" s="84" t="str">
        <x:v>Normal</x:v>
      </x:c>
      <x:c r="G3721" s="93" t="n">
        <x:v>311.42</x:v>
      </x:c>
      <x:c r="H3721" s="85" t="str">
        <x:v>Diagnóstico e execução</x:v>
      </x:c>
    </x:row>
    <x:row r="3722">
      <x:c r="A3722" s="83" t="n">
        <x:v>3721</x:v>
      </x:c>
      <x:c r="B3722" s="84" t="n">
        <x:v>2167</x:v>
      </x:c>
      <x:c r="C3722" s="84" t="n">
        <x:v>19</x:v>
      </x:c>
      <x:c r="D3722" s="89" t="n">
        <x:v>45594</x:v>
      </x:c>
      <x:c r="E3722" s="84" t="n">
        <x:v>3.5</x:v>
      </x:c>
      <x:c r="F3722" s="84" t="str">
        <x:v>Normal</x:v>
      </x:c>
      <x:c r="G3722" s="93" t="n">
        <x:v>162.68</x:v>
      </x:c>
      <x:c r="H3722" s="85" t="str">
        <x:v>Diagnóstico e execução</x:v>
      </x:c>
    </x:row>
    <x:row r="3723">
      <x:c r="A3723" s="83" t="n">
        <x:v>3722</x:v>
      </x:c>
      <x:c r="B3723" s="84" t="n">
        <x:v>2167</x:v>
      </x:c>
      <x:c r="C3723" s="84" t="n">
        <x:v>30</x:v>
      </x:c>
      <x:c r="D3723" s="89" t="n">
        <x:v>45594</x:v>
      </x:c>
      <x:c r="E3723" s="84" t="n">
        <x:v>1.8</x:v>
      </x:c>
      <x:c r="F3723" s="84" t="str">
        <x:v>Normal</x:v>
      </x:c>
      <x:c r="G3723" s="93" t="n">
        <x:v>74.54</x:v>
      </x:c>
      <x:c r="H3723" s="85" t="str">
        <x:v>Diagnóstico e execução</x:v>
      </x:c>
    </x:row>
    <x:row r="3724">
      <x:c r="A3724" s="83" t="n">
        <x:v>3723</x:v>
      </x:c>
      <x:c r="B3724" s="84" t="n">
        <x:v>2168</x:v>
      </x:c>
      <x:c r="C3724" s="84" t="n">
        <x:v>16</x:v>
      </x:c>
      <x:c r="D3724" s="89" t="n">
        <x:v>45704</x:v>
      </x:c>
      <x:c r="E3724" s="84" t="n">
        <x:v>2.8</x:v>
      </x:c>
      <x:c r="F3724" s="84" t="str">
        <x:v>Normal</x:v>
      </x:c>
      <x:c r="G3724" s="93" t="n">
        <x:v>113.46</x:v>
      </x:c>
      <x:c r="H3724" s="85" t="str">
        <x:v>Diagnóstico e execução</x:v>
      </x:c>
    </x:row>
    <x:row r="3725">
      <x:c r="A3725" s="83" t="n">
        <x:v>3724</x:v>
      </x:c>
      <x:c r="B3725" s="84" t="n">
        <x:v>2169</x:v>
      </x:c>
      <x:c r="C3725" s="84" t="n">
        <x:v>37</x:v>
      </x:c>
      <x:c r="D3725" s="89" t="n">
        <x:v>45745</x:v>
      </x:c>
      <x:c r="E3725" s="84" t="n">
        <x:v>7.7</x:v>
      </x:c>
      <x:c r="F3725" s="84" t="str">
        <x:v>Normal</x:v>
      </x:c>
      <x:c r="G3725" s="93" t="n">
        <x:v>454.07</x:v>
      </x:c>
      <x:c r="H3725" s="85" t="str">
        <x:v>Diagnóstico e execução</x:v>
      </x:c>
    </x:row>
    <x:row r="3726">
      <x:c r="A3726" s="83" t="n">
        <x:v>3725</x:v>
      </x:c>
      <x:c r="B3726" s="84" t="n">
        <x:v>2169</x:v>
      </x:c>
      <x:c r="C3726" s="84" t="n">
        <x:v>15</x:v>
      </x:c>
      <x:c r="D3726" s="89" t="n">
        <x:v>45745</x:v>
      </x:c>
      <x:c r="E3726" s="84" t="n">
        <x:v>4.4</x:v>
      </x:c>
      <x:c r="F3726" s="84" t="str">
        <x:v>Normal</x:v>
      </x:c>
      <x:c r="G3726" s="93" t="n">
        <x:v>133.06</x:v>
      </x:c>
      <x:c r="H3726" s="85" t="str">
        <x:v>Diagnóstico e execução</x:v>
      </x:c>
    </x:row>
    <x:row r="3727">
      <x:c r="A3727" s="83" t="n">
        <x:v>3726</x:v>
      </x:c>
      <x:c r="B3727" s="84" t="n">
        <x:v>2170</x:v>
      </x:c>
      <x:c r="C3727" s="84" t="n">
        <x:v>31</x:v>
      </x:c>
      <x:c r="D3727" s="89" t="n">
        <x:v>45843</x:v>
      </x:c>
      <x:c r="E3727" s="84" t="n">
        <x:v>4.3</x:v>
      </x:c>
      <x:c r="F3727" s="84" t="str">
        <x:v>Normal</x:v>
      </x:c>
      <x:c r="G3727" s="93" t="n">
        <x:v>210.27</x:v>
      </x:c>
      <x:c r="H3727" s="85" t="str">
        <x:v>Diagnóstico e execução</x:v>
      </x:c>
    </x:row>
    <x:row r="3728">
      <x:c r="A3728" s="83" t="n">
        <x:v>3727</x:v>
      </x:c>
      <x:c r="B3728" s="84" t="n">
        <x:v>2170</x:v>
      </x:c>
      <x:c r="C3728" s="84" t="n">
        <x:v>23</x:v>
      </x:c>
      <x:c r="D3728" s="89" t="n">
        <x:v>45843</x:v>
      </x:c>
      <x:c r="E3728" s="84" t="n">
        <x:v>6.9</x:v>
      </x:c>
      <x:c r="F3728" s="84" t="str">
        <x:v>Normal</x:v>
      </x:c>
      <x:c r="G3728" s="93" t="n">
        <x:v>297.46</x:v>
      </x:c>
      <x:c r="H3728" s="85" t="str">
        <x:v>Diagnóstico e execução</x:v>
      </x:c>
    </x:row>
    <x:row r="3729">
      <x:c r="A3729" s="83" t="n">
        <x:v>3728</x:v>
      </x:c>
      <x:c r="B3729" s="84" t="n">
        <x:v>2172</x:v>
      </x:c>
      <x:c r="C3729" s="84" t="n">
        <x:v>38</x:v>
      </x:c>
      <x:c r="D3729" s="89" t="n">
        <x:v>45933</x:v>
      </x:c>
      <x:c r="E3729" s="84" t="n">
        <x:v>1.3</x:v>
      </x:c>
      <x:c r="F3729" s="84" t="str">
        <x:v>Normal</x:v>
      </x:c>
      <x:c r="G3729" s="93" t="n">
        <x:v>43.77</x:v>
      </x:c>
      <x:c r="H3729" s="85" t="str">
        <x:v>Diagnóstico e execução</x:v>
      </x:c>
    </x:row>
    <x:row r="3730">
      <x:c r="A3730" s="83" t="n">
        <x:v>3729</x:v>
      </x:c>
      <x:c r="B3730" s="84" t="n">
        <x:v>2172</x:v>
      </x:c>
      <x:c r="C3730" s="84" t="n">
        <x:v>19</x:v>
      </x:c>
      <x:c r="D3730" s="89" t="n">
        <x:v>45933</x:v>
      </x:c>
      <x:c r="E3730" s="84" t="n">
        <x:v>1.6</x:v>
      </x:c>
      <x:c r="F3730" s="84" t="str">
        <x:v>Normal</x:v>
      </x:c>
      <x:c r="G3730" s="93" t="n">
        <x:v>74.37</x:v>
      </x:c>
      <x:c r="H3730" s="85" t="str">
        <x:v>Diagnóstico e execução</x:v>
      </x:c>
    </x:row>
    <x:row r="3731">
      <x:c r="A3731" s="83" t="n">
        <x:v>3730</x:v>
      </x:c>
      <x:c r="B3731" s="84" t="n">
        <x:v>2172</x:v>
      </x:c>
      <x:c r="C3731" s="84" t="n">
        <x:v>18</x:v>
      </x:c>
      <x:c r="D3731" s="89" t="n">
        <x:v>45933</x:v>
      </x:c>
      <x:c r="E3731" s="84" t="n">
        <x:v>2.8</x:v>
      </x:c>
      <x:c r="F3731" s="84" t="str">
        <x:v>Normal</x:v>
      </x:c>
      <x:c r="G3731" s="93" t="n">
        <x:v>176.65</x:v>
      </x:c>
      <x:c r="H3731" s="85" t="str">
        <x:v>Diagnóstico e execução</x:v>
      </x:c>
    </x:row>
    <x:row r="3732">
      <x:c r="A3732" s="83" t="n">
        <x:v>3731</x:v>
      </x:c>
      <x:c r="B3732" s="84" t="n">
        <x:v>2173</x:v>
      </x:c>
      <x:c r="C3732" s="84" t="n">
        <x:v>16</x:v>
      </x:c>
      <x:c r="D3732" s="89" t="n">
        <x:v>45824</x:v>
      </x:c>
      <x:c r="E3732" s="84" t="n">
        <x:v>1.9</x:v>
      </x:c>
      <x:c r="F3732" s="84" t="str">
        <x:v>Normal</x:v>
      </x:c>
      <x:c r="G3732" s="93" t="n">
        <x:v>76.99</x:v>
      </x:c>
      <x:c r="H3732" s="85" t="str">
        <x:v>Diagnóstico e execução</x:v>
      </x:c>
    </x:row>
    <x:row r="3733">
      <x:c r="A3733" s="83" t="n">
        <x:v>3732</x:v>
      </x:c>
      <x:c r="B3733" s="84" t="n">
        <x:v>2174</x:v>
      </x:c>
      <x:c r="C3733" s="84" t="n">
        <x:v>36</x:v>
      </x:c>
      <x:c r="D3733" s="89" t="n">
        <x:v>45694</x:v>
      </x:c>
      <x:c r="E3733" s="84" t="n">
        <x:v>6.2</x:v>
      </x:c>
      <x:c r="F3733" s="84" t="str">
        <x:v>Normal</x:v>
      </x:c>
      <x:c r="G3733" s="93" t="n">
        <x:v>183.89</x:v>
      </x:c>
      <x:c r="H3733" s="85" t="str">
        <x:v>Diagnóstico e execução</x:v>
      </x:c>
    </x:row>
    <x:row r="3734">
      <x:c r="A3734" s="83" t="n">
        <x:v>3733</x:v>
      </x:c>
      <x:c r="B3734" s="84" t="n">
        <x:v>2174</x:v>
      </x:c>
      <x:c r="C3734" s="84" t="n">
        <x:v>13</x:v>
      </x:c>
      <x:c r="D3734" s="89" t="n">
        <x:v>45694</x:v>
      </x:c>
      <x:c r="E3734" s="84" t="n">
        <x:v>0.7</x:v>
      </x:c>
      <x:c r="F3734" s="84" t="str">
        <x:v>Normal</x:v>
      </x:c>
      <x:c r="G3734" s="93" t="n">
        <x:v>23.72</x:v>
      </x:c>
      <x:c r="H3734" s="85" t="str">
        <x:v>Diagnóstico e execução</x:v>
      </x:c>
    </x:row>
    <x:row r="3735">
      <x:c r="A3735" s="83" t="n">
        <x:v>3734</x:v>
      </x:c>
      <x:c r="B3735" s="84" t="n">
        <x:v>2175</x:v>
      </x:c>
      <x:c r="C3735" s="84" t="n">
        <x:v>28</x:v>
      </x:c>
      <x:c r="D3735" s="89" t="n">
        <x:v>45299</x:v>
      </x:c>
      <x:c r="E3735" s="84" t="n">
        <x:v>4.8</x:v>
      </x:c>
      <x:c r="F3735" s="84" t="str">
        <x:v>Normal</x:v>
      </x:c>
      <x:c r="G3735" s="93" t="n">
        <x:v>180.58</x:v>
      </x:c>
      <x:c r="H3735" s="85" t="str">
        <x:v>Diagnóstico e execução</x:v>
      </x:c>
    </x:row>
    <x:row r="3736">
      <x:c r="A3736" s="83" t="n">
        <x:v>3735</x:v>
      </x:c>
      <x:c r="B3736" s="84" t="n">
        <x:v>2176</x:v>
      </x:c>
      <x:c r="C3736" s="84" t="n">
        <x:v>11</x:v>
      </x:c>
      <x:c r="D3736" s="89" t="n">
        <x:v>45816</x:v>
      </x:c>
      <x:c r="E3736" s="84" t="n">
        <x:v>6</x:v>
      </x:c>
      <x:c r="F3736" s="84" t="str">
        <x:v>Normal</x:v>
      </x:c>
      <x:c r="G3736" s="93" t="n">
        <x:v>250.08</x:v>
      </x:c>
      <x:c r="H3736" s="85" t="str">
        <x:v>Diagnóstico e execução</x:v>
      </x:c>
    </x:row>
    <x:row r="3737">
      <x:c r="A3737" s="83" t="n">
        <x:v>3736</x:v>
      </x:c>
      <x:c r="B3737" s="84" t="n">
        <x:v>2176</x:v>
      </x:c>
      <x:c r="C3737" s="84" t="n">
        <x:v>1</x:v>
      </x:c>
      <x:c r="D3737" s="89" t="n">
        <x:v>45816</x:v>
      </x:c>
      <x:c r="E3737" s="84" t="n">
        <x:v>5.4</x:v>
      </x:c>
      <x:c r="F3737" s="84" t="str">
        <x:v>Normal</x:v>
      </x:c>
      <x:c r="G3737" s="93" t="n">
        <x:v>191</x:v>
      </x:c>
      <x:c r="H3737" s="85" t="str">
        <x:v>Diagnóstico e execução</x:v>
      </x:c>
    </x:row>
    <x:row r="3738">
      <x:c r="A3738" s="83" t="n">
        <x:v>3737</x:v>
      </x:c>
      <x:c r="B3738" s="84" t="n">
        <x:v>2178</x:v>
      </x:c>
      <x:c r="C3738" s="84" t="n">
        <x:v>17</x:v>
      </x:c>
      <x:c r="D3738" s="89" t="n">
        <x:v>45716</x:v>
      </x:c>
      <x:c r="E3738" s="84" t="n">
        <x:v>0.9</x:v>
      </x:c>
      <x:c r="F3738" s="84" t="str">
        <x:v>Normal</x:v>
      </x:c>
      <x:c r="G3738" s="93" t="n">
        <x:v>50.2</x:v>
      </x:c>
      <x:c r="H3738" s="85" t="str">
        <x:v>Diagnóstico e execução</x:v>
      </x:c>
    </x:row>
    <x:row r="3739">
      <x:c r="A3739" s="83" t="n">
        <x:v>3738</x:v>
      </x:c>
      <x:c r="B3739" s="84" t="n">
        <x:v>2178</x:v>
      </x:c>
      <x:c r="C3739" s="84" t="n">
        <x:v>26</x:v>
      </x:c>
      <x:c r="D3739" s="89" t="n">
        <x:v>45716</x:v>
      </x:c>
      <x:c r="E3739" s="84" t="n">
        <x:v>4.3</x:v>
      </x:c>
      <x:c r="F3739" s="84" t="str">
        <x:v>Normal</x:v>
      </x:c>
      <x:c r="G3739" s="93" t="n">
        <x:v>168.22</x:v>
      </x:c>
      <x:c r="H3739" s="85" t="str">
        <x:v>Diagnóstico e execução</x:v>
      </x:c>
    </x:row>
    <x:row r="3740">
      <x:c r="A3740" s="83" t="n">
        <x:v>3739</x:v>
      </x:c>
      <x:c r="B3740" s="84" t="n">
        <x:v>2179</x:v>
      </x:c>
      <x:c r="C3740" s="84" t="n">
        <x:v>31</x:v>
      </x:c>
      <x:c r="D3740" s="89" t="n">
        <x:v>45834</x:v>
      </x:c>
      <x:c r="E3740" s="84" t="n">
        <x:v>2.8</x:v>
      </x:c>
      <x:c r="F3740" s="84" t="str">
        <x:v>Normal</x:v>
      </x:c>
      <x:c r="G3740" s="93" t="n">
        <x:v>136.92</x:v>
      </x:c>
      <x:c r="H3740" s="85" t="str">
        <x:v>Diagnóstico e execução</x:v>
      </x:c>
    </x:row>
    <x:row r="3741">
      <x:c r="A3741" s="83" t="n">
        <x:v>3740</x:v>
      </x:c>
      <x:c r="B3741" s="84" t="n">
        <x:v>2180</x:v>
      </x:c>
      <x:c r="C3741" s="84" t="n">
        <x:v>11</x:v>
      </x:c>
      <x:c r="D3741" s="89" t="n">
        <x:v>45141</x:v>
      </x:c>
      <x:c r="E3741" s="84" t="n">
        <x:v>4.7</x:v>
      </x:c>
      <x:c r="F3741" s="84" t="str">
        <x:v>Normal</x:v>
      </x:c>
      <x:c r="G3741" s="93" t="n">
        <x:v>195.9</x:v>
      </x:c>
      <x:c r="H3741" s="85" t="str">
        <x:v>Diagnóstico e execução</x:v>
      </x:c>
    </x:row>
    <x:row r="3742">
      <x:c r="A3742" s="83" t="n">
        <x:v>3741</x:v>
      </x:c>
      <x:c r="B3742" s="84" t="n">
        <x:v>2180</x:v>
      </x:c>
      <x:c r="C3742" s="84" t="n">
        <x:v>21</x:v>
      </x:c>
      <x:c r="D3742" s="89" t="n">
        <x:v>45141</x:v>
      </x:c>
      <x:c r="E3742" s="84" t="n">
        <x:v>2.9</x:v>
      </x:c>
      <x:c r="F3742" s="84" t="str">
        <x:v>Normal</x:v>
      </x:c>
      <x:c r="G3742" s="93" t="n">
        <x:v>178.15</x:v>
      </x:c>
      <x:c r="H3742" s="85" t="str">
        <x:v>Diagnóstico e execução</x:v>
      </x:c>
    </x:row>
    <x:row r="3743">
      <x:c r="A3743" s="83" t="n">
        <x:v>3742</x:v>
      </x:c>
      <x:c r="B3743" s="84" t="n">
        <x:v>2180</x:v>
      </x:c>
      <x:c r="C3743" s="84" t="n">
        <x:v>26</x:v>
      </x:c>
      <x:c r="D3743" s="89" t="n">
        <x:v>45141</x:v>
      </x:c>
      <x:c r="E3743" s="84" t="n">
        <x:v>6</x:v>
      </x:c>
      <x:c r="F3743" s="84" t="str">
        <x:v>Normal</x:v>
      </x:c>
      <x:c r="G3743" s="93" t="n">
        <x:v>234.72</x:v>
      </x:c>
      <x:c r="H3743" s="85" t="str">
        <x:v>Diagnóstico e execução</x:v>
      </x:c>
    </x:row>
    <x:row r="3744">
      <x:c r="A3744" s="83" t="n">
        <x:v>3743</x:v>
      </x:c>
      <x:c r="B3744" s="84" t="n">
        <x:v>2181</x:v>
      </x:c>
      <x:c r="C3744" s="84" t="n">
        <x:v>35</x:v>
      </x:c>
      <x:c r="D3744" s="89" t="n">
        <x:v>45417</x:v>
      </x:c>
      <x:c r="E3744" s="84" t="n">
        <x:v>3.8</x:v>
      </x:c>
      <x:c r="F3744" s="84" t="str">
        <x:v>Normal</x:v>
      </x:c>
      <x:c r="G3744" s="93" t="n">
        <x:v>186.92</x:v>
      </x:c>
      <x:c r="H3744" s="85" t="str">
        <x:v>Diagnóstico e execução</x:v>
      </x:c>
    </x:row>
    <x:row r="3745">
      <x:c r="A3745" s="83" t="n">
        <x:v>3744</x:v>
      </x:c>
      <x:c r="B3745" s="84" t="n">
        <x:v>2181</x:v>
      </x:c>
      <x:c r="C3745" s="84" t="n">
        <x:v>25</x:v>
      </x:c>
      <x:c r="D3745" s="89" t="n">
        <x:v>45417</x:v>
      </x:c>
      <x:c r="E3745" s="84" t="n">
        <x:v>0.8</x:v>
      </x:c>
      <x:c r="F3745" s="84" t="str">
        <x:v>Normal</x:v>
      </x:c>
      <x:c r="G3745" s="93" t="n">
        <x:v>42.87</x:v>
      </x:c>
      <x:c r="H3745" s="85" t="str">
        <x:v>Diagnóstico e execução</x:v>
      </x:c>
    </x:row>
    <x:row r="3746">
      <x:c r="A3746" s="83" t="n">
        <x:v>3745</x:v>
      </x:c>
      <x:c r="B3746" s="84" t="n">
        <x:v>2182</x:v>
      </x:c>
      <x:c r="C3746" s="84" t="n">
        <x:v>38</x:v>
      </x:c>
      <x:c r="D3746" s="89" t="n">
        <x:v>45921</x:v>
      </x:c>
      <x:c r="E3746" s="84" t="n">
        <x:v>4.1</x:v>
      </x:c>
      <x:c r="F3746" s="84" t="str">
        <x:v>Normal</x:v>
      </x:c>
      <x:c r="G3746" s="93" t="n">
        <x:v>138.05</x:v>
      </x:c>
      <x:c r="H3746" s="85" t="str">
        <x:v>Diagnóstico e execução</x:v>
      </x:c>
    </x:row>
    <x:row r="3747">
      <x:c r="A3747" s="83" t="n">
        <x:v>3746</x:v>
      </x:c>
      <x:c r="B3747" s="84" t="n">
        <x:v>2182</x:v>
      </x:c>
      <x:c r="C3747" s="84" t="n">
        <x:v>11</x:v>
      </x:c>
      <x:c r="D3747" s="89" t="n">
        <x:v>45921</x:v>
      </x:c>
      <x:c r="E3747" s="84" t="n">
        <x:v>2.9</x:v>
      </x:c>
      <x:c r="F3747" s="84" t="str">
        <x:v>Normal</x:v>
      </x:c>
      <x:c r="G3747" s="93" t="n">
        <x:v>120.87</x:v>
      </x:c>
      <x:c r="H3747" s="85" t="str">
        <x:v>Diagnóstico e execução</x:v>
      </x:c>
    </x:row>
    <x:row r="3748">
      <x:c r="A3748" s="83" t="n">
        <x:v>3747</x:v>
      </x:c>
      <x:c r="B3748" s="84" t="n">
        <x:v>2183</x:v>
      </x:c>
      <x:c r="C3748" s="84" t="n">
        <x:v>34</x:v>
      </x:c>
      <x:c r="D3748" s="89" t="n">
        <x:v>45866</x:v>
      </x:c>
      <x:c r="E3748" s="84" t="n">
        <x:v>4</x:v>
      </x:c>
      <x:c r="F3748" s="84" t="str">
        <x:v>Normal</x:v>
      </x:c>
      <x:c r="G3748" s="93" t="n">
        <x:v>172.92</x:v>
      </x:c>
      <x:c r="H3748" s="85" t="str">
        <x:v>Diagnóstico e execução</x:v>
      </x:c>
    </x:row>
    <x:row r="3749">
      <x:c r="A3749" s="83" t="n">
        <x:v>3748</x:v>
      </x:c>
      <x:c r="B3749" s="84" t="n">
        <x:v>2183</x:v>
      </x:c>
      <x:c r="C3749" s="84" t="n">
        <x:v>26</x:v>
      </x:c>
      <x:c r="D3749" s="89" t="n">
        <x:v>45866</x:v>
      </x:c>
      <x:c r="E3749" s="84" t="n">
        <x:v>7.6</x:v>
      </x:c>
      <x:c r="F3749" s="84" t="str">
        <x:v>Normal</x:v>
      </x:c>
      <x:c r="G3749" s="93" t="n">
        <x:v>297.31</x:v>
      </x:c>
      <x:c r="H3749" s="85" t="str">
        <x:v>Diagnóstico e execução</x:v>
      </x:c>
    </x:row>
    <x:row r="3750">
      <x:c r="A3750" s="83" t="n">
        <x:v>3749</x:v>
      </x:c>
      <x:c r="B3750" s="84" t="n">
        <x:v>2184</x:v>
      </x:c>
      <x:c r="C3750" s="84" t="n">
        <x:v>36</x:v>
      </x:c>
      <x:c r="D3750" s="89" t="n">
        <x:v>45154</x:v>
      </x:c>
      <x:c r="E3750" s="84" t="n">
        <x:v>4.5</x:v>
      </x:c>
      <x:c r="F3750" s="84" t="str">
        <x:v>Normal</x:v>
      </x:c>
      <x:c r="G3750" s="93" t="n">
        <x:v>133.47</x:v>
      </x:c>
      <x:c r="H3750" s="85" t="str">
        <x:v>Diagnóstico e execução</x:v>
      </x:c>
    </x:row>
    <x:row r="3751">
      <x:c r="A3751" s="83" t="n">
        <x:v>3750</x:v>
      </x:c>
      <x:c r="B3751" s="84" t="n">
        <x:v>2185</x:v>
      </x:c>
      <x:c r="C3751" s="84" t="n">
        <x:v>34</x:v>
      </x:c>
      <x:c r="D3751" s="89" t="n">
        <x:v>44959</x:v>
      </x:c>
      <x:c r="E3751" s="84" t="n">
        <x:v>2.7</x:v>
      </x:c>
      <x:c r="F3751" s="84" t="str">
        <x:v>Normal</x:v>
      </x:c>
      <x:c r="G3751" s="93" t="n">
        <x:v>116.72</x:v>
      </x:c>
      <x:c r="H3751" s="85" t="str">
        <x:v>Diagnóstico e execução</x:v>
      </x:c>
    </x:row>
    <x:row r="3752">
      <x:c r="A3752" s="83" t="n">
        <x:v>3751</x:v>
      </x:c>
      <x:c r="B3752" s="84" t="n">
        <x:v>2186</x:v>
      </x:c>
      <x:c r="C3752" s="84" t="n">
        <x:v>26</x:v>
      </x:c>
      <x:c r="D3752" s="89" t="n">
        <x:v>45225</x:v>
      </x:c>
      <x:c r="E3752" s="84" t="n">
        <x:v>3.7</x:v>
      </x:c>
      <x:c r="F3752" s="84" t="str">
        <x:v>Normal</x:v>
      </x:c>
      <x:c r="G3752" s="93" t="n">
        <x:v>144.74</x:v>
      </x:c>
      <x:c r="H3752" s="85" t="str">
        <x:v>Diagnóstico e execução</x:v>
      </x:c>
    </x:row>
    <x:row r="3753">
      <x:c r="A3753" s="83" t="n">
        <x:v>3752</x:v>
      </x:c>
      <x:c r="B3753" s="84" t="n">
        <x:v>2187</x:v>
      </x:c>
      <x:c r="C3753" s="84" t="n">
        <x:v>21</x:v>
      </x:c>
      <x:c r="D3753" s="89" t="n">
        <x:v>44958</x:v>
      </x:c>
      <x:c r="E3753" s="84" t="n">
        <x:v>1.3</x:v>
      </x:c>
      <x:c r="F3753" s="84" t="str">
        <x:v>Normal</x:v>
      </x:c>
      <x:c r="G3753" s="93" t="n">
        <x:v>79.86</x:v>
      </x:c>
      <x:c r="H3753" s="85" t="str">
        <x:v>Diagnóstico e execução</x:v>
      </x:c>
    </x:row>
    <x:row r="3754">
      <x:c r="A3754" s="83" t="n">
        <x:v>3753</x:v>
      </x:c>
      <x:c r="B3754" s="84" t="n">
        <x:v>2187</x:v>
      </x:c>
      <x:c r="C3754" s="84" t="n">
        <x:v>18</x:v>
      </x:c>
      <x:c r="D3754" s="89" t="n">
        <x:v>44958</x:v>
      </x:c>
      <x:c r="E3754" s="84" t="n">
        <x:v>1.5</x:v>
      </x:c>
      <x:c r="F3754" s="84" t="str">
        <x:v>Normal</x:v>
      </x:c>
      <x:c r="G3754" s="93" t="n">
        <x:v>94.64</x:v>
      </x:c>
      <x:c r="H3754" s="85" t="str">
        <x:v>Diagnóstico e execução</x:v>
      </x:c>
    </x:row>
    <x:row r="3755">
      <x:c r="A3755" s="83" t="n">
        <x:v>3754</x:v>
      </x:c>
      <x:c r="B3755" s="84" t="n">
        <x:v>2187</x:v>
      </x:c>
      <x:c r="C3755" s="84" t="n">
        <x:v>24</x:v>
      </x:c>
      <x:c r="D3755" s="89" t="n">
        <x:v>44958</x:v>
      </x:c>
      <x:c r="E3755" s="84" t="n">
        <x:v>0.6</x:v>
      </x:c>
      <x:c r="F3755" s="84" t="str">
        <x:v>Normal</x:v>
      </x:c>
      <x:c r="G3755" s="93" t="n">
        <x:v>35.54</x:v>
      </x:c>
      <x:c r="H3755" s="85" t="str">
        <x:v>Diagnóstico e execução</x:v>
      </x:c>
    </x:row>
    <x:row r="3756">
      <x:c r="A3756" s="83" t="n">
        <x:v>3755</x:v>
      </x:c>
      <x:c r="B3756" s="84" t="n">
        <x:v>2188</x:v>
      </x:c>
      <x:c r="C3756" s="84" t="n">
        <x:v>9</x:v>
      </x:c>
      <x:c r="D3756" s="89" t="n">
        <x:v>45458</x:v>
      </x:c>
      <x:c r="E3756" s="84" t="n">
        <x:v>1.8</x:v>
      </x:c>
      <x:c r="F3756" s="84" t="str">
        <x:v>Normal</x:v>
      </x:c>
      <x:c r="G3756" s="93" t="n">
        <x:v>94.81</x:v>
      </x:c>
      <x:c r="H3756" s="85" t="str">
        <x:v>Diagnóstico e execução</x:v>
      </x:c>
    </x:row>
    <x:row r="3757">
      <x:c r="A3757" s="83" t="n">
        <x:v>3756</x:v>
      </x:c>
      <x:c r="B3757" s="84" t="n">
        <x:v>2188</x:v>
      </x:c>
      <x:c r="C3757" s="84" t="n">
        <x:v>16</x:v>
      </x:c>
      <x:c r="D3757" s="89" t="n">
        <x:v>45458</x:v>
      </x:c>
      <x:c r="E3757" s="84" t="n">
        <x:v>2.1</x:v>
      </x:c>
      <x:c r="F3757" s="84" t="str">
        <x:v>Normal</x:v>
      </x:c>
      <x:c r="G3757" s="93" t="n">
        <x:v>85.09</x:v>
      </x:c>
      <x:c r="H3757" s="85" t="str">
        <x:v>Diagnóstico e execução</x:v>
      </x:c>
    </x:row>
    <x:row r="3758">
      <x:c r="A3758" s="83" t="n">
        <x:v>3757</x:v>
      </x:c>
      <x:c r="B3758" s="84" t="n">
        <x:v>2189</x:v>
      </x:c>
      <x:c r="C3758" s="84" t="n">
        <x:v>10</x:v>
      </x:c>
      <x:c r="D3758" s="89" t="n">
        <x:v>45698</x:v>
      </x:c>
      <x:c r="E3758" s="84" t="n">
        <x:v>1.5</x:v>
      </x:c>
      <x:c r="F3758" s="84" t="str">
        <x:v>Normal</x:v>
      </x:c>
      <x:c r="G3758" s="93" t="n">
        <x:v>44.54</x:v>
      </x:c>
      <x:c r="H3758" s="85" t="str">
        <x:v>Diagnóstico e execução</x:v>
      </x:c>
    </x:row>
    <x:row r="3759">
      <x:c r="A3759" s="83" t="n">
        <x:v>3758</x:v>
      </x:c>
      <x:c r="B3759" s="84" t="n">
        <x:v>2190</x:v>
      </x:c>
      <x:c r="C3759" s="84" t="n">
        <x:v>30</x:v>
      </x:c>
      <x:c r="D3759" s="89" t="n">
        <x:v>44982</x:v>
      </x:c>
      <x:c r="E3759" s="84" t="n">
        <x:v>6.4</x:v>
      </x:c>
      <x:c r="F3759" s="84" t="str">
        <x:v>Normal</x:v>
      </x:c>
      <x:c r="G3759" s="93" t="n">
        <x:v>265.02</x:v>
      </x:c>
      <x:c r="H3759" s="85" t="str">
        <x:v>Diagnóstico e execução</x:v>
      </x:c>
    </x:row>
    <x:row r="3760">
      <x:c r="A3760" s="83" t="n">
        <x:v>3759</x:v>
      </x:c>
      <x:c r="B3760" s="84" t="n">
        <x:v>2190</x:v>
      </x:c>
      <x:c r="C3760" s="84" t="n">
        <x:v>45</x:v>
      </x:c>
      <x:c r="D3760" s="89" t="n">
        <x:v>44982</x:v>
      </x:c>
      <x:c r="E3760" s="84" t="n">
        <x:v>3</x:v>
      </x:c>
      <x:c r="F3760" s="84" t="str">
        <x:v>Normal</x:v>
      </x:c>
      <x:c r="G3760" s="93" t="n">
        <x:v>160.71</x:v>
      </x:c>
      <x:c r="H3760" s="85" t="str">
        <x:v>Diagnóstico e execução</x:v>
      </x:c>
    </x:row>
    <x:row r="3761">
      <x:c r="A3761" s="83" t="n">
        <x:v>3760</x:v>
      </x:c>
      <x:c r="B3761" s="84" t="n">
        <x:v>2191</x:v>
      </x:c>
      <x:c r="C3761" s="84" t="n">
        <x:v>26</x:v>
      </x:c>
      <x:c r="D3761" s="89" t="n">
        <x:v>45230</x:v>
      </x:c>
      <x:c r="E3761" s="84" t="n">
        <x:v>2.2</x:v>
      </x:c>
      <x:c r="F3761" s="84" t="str">
        <x:v>Normal</x:v>
      </x:c>
      <x:c r="G3761" s="93" t="n">
        <x:v>86.06</x:v>
      </x:c>
      <x:c r="H3761" s="85" t="str">
        <x:v>Diagnóstico e execução</x:v>
      </x:c>
    </x:row>
    <x:row r="3762">
      <x:c r="A3762" s="83" t="n">
        <x:v>3761</x:v>
      </x:c>
      <x:c r="B3762" s="84" t="n">
        <x:v>2192</x:v>
      </x:c>
      <x:c r="C3762" s="84" t="n">
        <x:v>20</x:v>
      </x:c>
      <x:c r="D3762" s="89" t="n">
        <x:v>45822</x:v>
      </x:c>
      <x:c r="E3762" s="84" t="n">
        <x:v>2.2</x:v>
      </x:c>
      <x:c r="F3762" s="84" t="str">
        <x:v>Normal</x:v>
      </x:c>
      <x:c r="G3762" s="93" t="n">
        <x:v>73.74</x:v>
      </x:c>
      <x:c r="H3762" s="85" t="str">
        <x:v>Diagnóstico e execução</x:v>
      </x:c>
    </x:row>
    <x:row r="3763">
      <x:c r="A3763" s="83" t="n">
        <x:v>3762</x:v>
      </x:c>
      <x:c r="B3763" s="84" t="n">
        <x:v>2193</x:v>
      </x:c>
      <x:c r="C3763" s="84" t="n">
        <x:v>40</x:v>
      </x:c>
      <x:c r="D3763" s="89" t="n">
        <x:v>45031</x:v>
      </x:c>
      <x:c r="E3763" s="84" t="n">
        <x:v>7.7</x:v>
      </x:c>
      <x:c r="F3763" s="84" t="str">
        <x:v>Normal</x:v>
      </x:c>
      <x:c r="G3763" s="93" t="n">
        <x:v>380.53</x:v>
      </x:c>
      <x:c r="H3763" s="85" t="str">
        <x:v>Diagnóstico e execução</x:v>
      </x:c>
    </x:row>
    <x:row r="3764">
      <x:c r="A3764" s="83" t="n">
        <x:v>3763</x:v>
      </x:c>
      <x:c r="B3764" s="84" t="n">
        <x:v>2194</x:v>
      </x:c>
      <x:c r="C3764" s="84" t="n">
        <x:v>30</x:v>
      </x:c>
      <x:c r="D3764" s="89" t="n">
        <x:v>45122</x:v>
      </x:c>
      <x:c r="E3764" s="84" t="n">
        <x:v>5.4</x:v>
      </x:c>
      <x:c r="F3764" s="84" t="str">
        <x:v>Normal</x:v>
      </x:c>
      <x:c r="G3764" s="93" t="n">
        <x:v>223.61</x:v>
      </x:c>
      <x:c r="H3764" s="85" t="str">
        <x:v>Diagnóstico e execução</x:v>
      </x:c>
    </x:row>
    <x:row r="3765">
      <x:c r="A3765" s="83" t="n">
        <x:v>3764</x:v>
      </x:c>
      <x:c r="B3765" s="84" t="n">
        <x:v>2195</x:v>
      </x:c>
      <x:c r="C3765" s="84" t="n">
        <x:v>30</x:v>
      </x:c>
      <x:c r="D3765" s="89" t="n">
        <x:v>45361</x:v>
      </x:c>
      <x:c r="E3765" s="84" t="n">
        <x:v>1</x:v>
      </x:c>
      <x:c r="F3765" s="84" t="str">
        <x:v>Normal</x:v>
      </x:c>
      <x:c r="G3765" s="93" t="n">
        <x:v>41.41</x:v>
      </x:c>
      <x:c r="H3765" s="85" t="str">
        <x:v>Diagnóstico e execução</x:v>
      </x:c>
    </x:row>
    <x:row r="3766">
      <x:c r="A3766" s="83" t="n">
        <x:v>3765</x:v>
      </x:c>
      <x:c r="B3766" s="84" t="n">
        <x:v>2195</x:v>
      </x:c>
      <x:c r="C3766" s="84" t="n">
        <x:v>12</x:v>
      </x:c>
      <x:c r="D3766" s="89" t="n">
        <x:v>45361</x:v>
      </x:c>
      <x:c r="E3766" s="84" t="n">
        <x:v>7.3</x:v>
      </x:c>
      <x:c r="F3766" s="84" t="str">
        <x:v>Normal</x:v>
      </x:c>
      <x:c r="G3766" s="93" t="n">
        <x:v>251.85</x:v>
      </x:c>
      <x:c r="H3766" s="85" t="str">
        <x:v>Diagnóstico e execução</x:v>
      </x:c>
    </x:row>
    <x:row r="3767">
      <x:c r="A3767" s="83" t="n">
        <x:v>3766</x:v>
      </x:c>
      <x:c r="B3767" s="84" t="n">
        <x:v>2195</x:v>
      </x:c>
      <x:c r="C3767" s="84" t="n">
        <x:v>31</x:v>
      </x:c>
      <x:c r="D3767" s="89" t="n">
        <x:v>45361</x:v>
      </x:c>
      <x:c r="E3767" s="84" t="n">
        <x:v>0.5</x:v>
      </x:c>
      <x:c r="F3767" s="84" t="str">
        <x:v>Normal</x:v>
      </x:c>
      <x:c r="G3767" s="93" t="n">
        <x:v>24.45</x:v>
      </x:c>
      <x:c r="H3767" s="85" t="str">
        <x:v>Diagnóstico e execução</x:v>
      </x:c>
    </x:row>
    <x:row r="3768">
      <x:c r="A3768" s="83" t="n">
        <x:v>3767</x:v>
      </x:c>
      <x:c r="B3768" s="84" t="n">
        <x:v>2196</x:v>
      </x:c>
      <x:c r="C3768" s="84" t="n">
        <x:v>7</x:v>
      </x:c>
      <x:c r="D3768" s="89" t="n">
        <x:v>45214</x:v>
      </x:c>
      <x:c r="E3768" s="84" t="n">
        <x:v>2.2</x:v>
      </x:c>
      <x:c r="F3768" s="84" t="str">
        <x:v>Normal</x:v>
      </x:c>
      <x:c r="G3768" s="93" t="n">
        <x:v>128.06</x:v>
      </x:c>
      <x:c r="H3768" s="85" t="str">
        <x:v>Diagnóstico e execução</x:v>
      </x:c>
    </x:row>
    <x:row r="3769">
      <x:c r="A3769" s="83" t="n">
        <x:v>3768</x:v>
      </x:c>
      <x:c r="B3769" s="84" t="n">
        <x:v>2197</x:v>
      </x:c>
      <x:c r="C3769" s="84" t="n">
        <x:v>28</x:v>
      </x:c>
      <x:c r="D3769" s="89" t="n">
        <x:v>45312</x:v>
      </x:c>
      <x:c r="E3769" s="84" t="n">
        <x:v>4.6</x:v>
      </x:c>
      <x:c r="F3769" s="84" t="str">
        <x:v>Normal</x:v>
      </x:c>
      <x:c r="G3769" s="93" t="n">
        <x:v>173.05</x:v>
      </x:c>
      <x:c r="H3769" s="85" t="str">
        <x:v>Diagnóstico e execução</x:v>
      </x:c>
    </x:row>
    <x:row r="3770">
      <x:c r="A3770" s="83" t="n">
        <x:v>3769</x:v>
      </x:c>
      <x:c r="B3770" s="84" t="n">
        <x:v>2198</x:v>
      </x:c>
      <x:c r="C3770" s="84" t="n">
        <x:v>30</x:v>
      </x:c>
      <x:c r="D3770" s="89" t="n">
        <x:v>44958</x:v>
      </x:c>
      <x:c r="E3770" s="84" t="n">
        <x:v>6.5</x:v>
      </x:c>
      <x:c r="F3770" s="84" t="str">
        <x:v>Normal</x:v>
      </x:c>
      <x:c r="G3770" s="93" t="n">
        <x:v>269.16</x:v>
      </x:c>
      <x:c r="H3770" s="85" t="str">
        <x:v>Diagnóstico e execução</x:v>
      </x:c>
    </x:row>
    <x:row r="3771">
      <x:c r="A3771" s="83" t="n">
        <x:v>3770</x:v>
      </x:c>
      <x:c r="B3771" s="84" t="n">
        <x:v>2198</x:v>
      </x:c>
      <x:c r="C3771" s="84" t="n">
        <x:v>31</x:v>
      </x:c>
      <x:c r="D3771" s="89" t="n">
        <x:v>44958</x:v>
      </x:c>
      <x:c r="E3771" s="84" t="n">
        <x:v>6.4</x:v>
      </x:c>
      <x:c r="F3771" s="84" t="str">
        <x:v>Normal</x:v>
      </x:c>
      <x:c r="G3771" s="93" t="n">
        <x:v>312.96</x:v>
      </x:c>
      <x:c r="H3771" s="85" t="str">
        <x:v>Diagnóstico e execução</x:v>
      </x:c>
    </x:row>
    <x:row r="3772">
      <x:c r="A3772" s="83" t="n">
        <x:v>3771</x:v>
      </x:c>
      <x:c r="B3772" s="84" t="n">
        <x:v>2198</x:v>
      </x:c>
      <x:c r="C3772" s="84" t="n">
        <x:v>21</x:v>
      </x:c>
      <x:c r="D3772" s="89" t="n">
        <x:v>44958</x:v>
      </x:c>
      <x:c r="E3772" s="84" t="n">
        <x:v>6.4</x:v>
      </x:c>
      <x:c r="F3772" s="84" t="str">
        <x:v>Normal</x:v>
      </x:c>
      <x:c r="G3772" s="93" t="n">
        <x:v>393.15</x:v>
      </x:c>
      <x:c r="H3772" s="85" t="str">
        <x:v>Diagnóstico e execução</x:v>
      </x:c>
    </x:row>
    <x:row r="3773">
      <x:c r="A3773" s="83" t="n">
        <x:v>3772</x:v>
      </x:c>
      <x:c r="B3773" s="84" t="n">
        <x:v>2199</x:v>
      </x:c>
      <x:c r="C3773" s="84" t="n">
        <x:v>33</x:v>
      </x:c>
      <x:c r="D3773" s="89" t="n">
        <x:v>45455</x:v>
      </x:c>
      <x:c r="E3773" s="84" t="n">
        <x:v>4</x:v>
      </x:c>
      <x:c r="F3773" s="84" t="str">
        <x:v>Normal</x:v>
      </x:c>
      <x:c r="G3773" s="93" t="n">
        <x:v>137.96</x:v>
      </x:c>
      <x:c r="H3773" s="85" t="str">
        <x:v>Diagnóstico e execução</x:v>
      </x:c>
    </x:row>
    <x:row r="3774">
      <x:c r="A3774" s="83" t="n">
        <x:v>3773</x:v>
      </x:c>
      <x:c r="B3774" s="84" t="n">
        <x:v>2200</x:v>
      </x:c>
      <x:c r="C3774" s="84" t="n">
        <x:v>5</x:v>
      </x:c>
      <x:c r="D3774" s="89" t="n">
        <x:v>44967</x:v>
      </x:c>
      <x:c r="E3774" s="84" t="n">
        <x:v>6.5</x:v>
      </x:c>
      <x:c r="F3774" s="84" t="str">
        <x:v>Normal</x:v>
      </x:c>
      <x:c r="G3774" s="93" t="n">
        <x:v>187.33</x:v>
      </x:c>
      <x:c r="H3774" s="85" t="str">
        <x:v>Diagnóstico e execução</x:v>
      </x:c>
    </x:row>
    <x:row r="3775">
      <x:c r="A3775" s="83" t="n">
        <x:v>3774</x:v>
      </x:c>
      <x:c r="B3775" s="84" t="n">
        <x:v>2200</x:v>
      </x:c>
      <x:c r="C3775" s="84" t="n">
        <x:v>37</x:v>
      </x:c>
      <x:c r="D3775" s="89" t="n">
        <x:v>44967</x:v>
      </x:c>
      <x:c r="E3775" s="84" t="n">
        <x:v>3</x:v>
      </x:c>
      <x:c r="F3775" s="84" t="str">
        <x:v>Normal</x:v>
      </x:c>
      <x:c r="G3775" s="93" t="n">
        <x:v>176.91</x:v>
      </x:c>
      <x:c r="H3775" s="85" t="str">
        <x:v>Diagnóstico e execução</x:v>
      </x:c>
    </x:row>
    <x:row r="3776">
      <x:c r="A3776" s="83" t="n">
        <x:v>3775</x:v>
      </x:c>
      <x:c r="B3776" s="84" t="n">
        <x:v>2200</x:v>
      </x:c>
      <x:c r="C3776" s="84" t="n">
        <x:v>42</x:v>
      </x:c>
      <x:c r="D3776" s="89" t="n">
        <x:v>44967</x:v>
      </x:c>
      <x:c r="E3776" s="84" t="n">
        <x:v>6.2</x:v>
      </x:c>
      <x:c r="F3776" s="84" t="str">
        <x:v>Normal</x:v>
      </x:c>
      <x:c r="G3776" s="93" t="n">
        <x:v>261.52</x:v>
      </x:c>
      <x:c r="H3776" s="85" t="str">
        <x:v>Diagnóstico e execução</x:v>
      </x:c>
    </x:row>
    <x:row r="3777">
      <x:c r="A3777" s="83" t="n">
        <x:v>3776</x:v>
      </x:c>
      <x:c r="B3777" s="84" t="n">
        <x:v>2201</x:v>
      </x:c>
      <x:c r="C3777" s="84" t="n">
        <x:v>15</x:v>
      </x:c>
      <x:c r="D3777" s="89" t="n">
        <x:v>45092</x:v>
      </x:c>
      <x:c r="E3777" s="84" t="n">
        <x:v>6.3</x:v>
      </x:c>
      <x:c r="F3777" s="84" t="str">
        <x:v>Normal</x:v>
      </x:c>
      <x:c r="G3777" s="93" t="n">
        <x:v>190.51</x:v>
      </x:c>
      <x:c r="H3777" s="85" t="str">
        <x:v>Diagnóstico e execução</x:v>
      </x:c>
    </x:row>
    <x:row r="3778">
      <x:c r="A3778" s="83" t="n">
        <x:v>3777</x:v>
      </x:c>
      <x:c r="B3778" s="84" t="n">
        <x:v>2201</x:v>
      </x:c>
      <x:c r="C3778" s="84" t="n">
        <x:v>13</x:v>
      </x:c>
      <x:c r="D3778" s="89" t="n">
        <x:v>45092</x:v>
      </x:c>
      <x:c r="E3778" s="84" t="n">
        <x:v>6.7</x:v>
      </x:c>
      <x:c r="F3778" s="84" t="str">
        <x:v>Normal</x:v>
      </x:c>
      <x:c r="G3778" s="93" t="n">
        <x:v>227</x:v>
      </x:c>
      <x:c r="H3778" s="85" t="str">
        <x:v>Diagnóstico e execução</x:v>
      </x:c>
    </x:row>
    <x:row r="3779">
      <x:c r="A3779" s="83" t="n">
        <x:v>3778</x:v>
      </x:c>
      <x:c r="B3779" s="84" t="n">
        <x:v>2201</x:v>
      </x:c>
      <x:c r="C3779" s="84" t="n">
        <x:v>22</x:v>
      </x:c>
      <x:c r="D3779" s="89" t="n">
        <x:v>45092</x:v>
      </x:c>
      <x:c r="E3779" s="84" t="n">
        <x:v>2.4</x:v>
      </x:c>
      <x:c r="F3779" s="84" t="str">
        <x:v>Normal</x:v>
      </x:c>
      <x:c r="G3779" s="93" t="n">
        <x:v>92.3</x:v>
      </x:c>
      <x:c r="H3779" s="85" t="str">
        <x:v>Diagnóstico e execução</x:v>
      </x:c>
    </x:row>
    <x:row r="3780">
      <x:c r="A3780" s="83" t="n">
        <x:v>3779</x:v>
      </x:c>
      <x:c r="B3780" s="84" t="n">
        <x:v>2202</x:v>
      </x:c>
      <x:c r="C3780" s="84" t="n">
        <x:v>9</x:v>
      </x:c>
      <x:c r="D3780" s="89" t="n">
        <x:v>44998</x:v>
      </x:c>
      <x:c r="E3780" s="84" t="n">
        <x:v>4.9</x:v>
      </x:c>
      <x:c r="F3780" s="84" t="str">
        <x:v>Normal</x:v>
      </x:c>
      <x:c r="G3780" s="93" t="n">
        <x:v>258.08</x:v>
      </x:c>
      <x:c r="H3780" s="85" t="str">
        <x:v>Diagnóstico e execução</x:v>
      </x:c>
    </x:row>
    <x:row r="3781">
      <x:c r="A3781" s="83" t="n">
        <x:v>3780</x:v>
      </x:c>
      <x:c r="B3781" s="84" t="n">
        <x:v>2202</x:v>
      </x:c>
      <x:c r="C3781" s="84" t="n">
        <x:v>40</x:v>
      </x:c>
      <x:c r="D3781" s="89" t="n">
        <x:v>44998</x:v>
      </x:c>
      <x:c r="E3781" s="84" t="n">
        <x:v>5</x:v>
      </x:c>
      <x:c r="F3781" s="84" t="str">
        <x:v>Normal</x:v>
      </x:c>
      <x:c r="G3781" s="93" t="n">
        <x:v>247.1</x:v>
      </x:c>
      <x:c r="H3781" s="85" t="str">
        <x:v>Diagnóstico e execução</x:v>
      </x:c>
    </x:row>
    <x:row r="3782">
      <x:c r="A3782" s="83" t="n">
        <x:v>3781</x:v>
      </x:c>
      <x:c r="B3782" s="84" t="n">
        <x:v>2202</x:v>
      </x:c>
      <x:c r="C3782" s="84" t="n">
        <x:v>3</x:v>
      </x:c>
      <x:c r="D3782" s="89" t="n">
        <x:v>44998</x:v>
      </x:c>
      <x:c r="E3782" s="84" t="n">
        <x:v>3.5</x:v>
      </x:c>
      <x:c r="F3782" s="84" t="str">
        <x:v>Normal</x:v>
      </x:c>
      <x:c r="G3782" s="93" t="n">
        <x:v>172.34</x:v>
      </x:c>
      <x:c r="H3782" s="85" t="str">
        <x:v>Diagnóstico e execução</x:v>
      </x:c>
    </x:row>
    <x:row r="3783">
      <x:c r="A3783" s="83" t="n">
        <x:v>3782</x:v>
      </x:c>
      <x:c r="B3783" s="84" t="n">
        <x:v>2203</x:v>
      </x:c>
      <x:c r="C3783" s="84" t="n">
        <x:v>10</x:v>
      </x:c>
      <x:c r="D3783" s="89" t="n">
        <x:v>44981</x:v>
      </x:c>
      <x:c r="E3783" s="84" t="n">
        <x:v>1.6</x:v>
      </x:c>
      <x:c r="F3783" s="84" t="str">
        <x:v>Normal</x:v>
      </x:c>
      <x:c r="G3783" s="93" t="n">
        <x:v>47.5</x:v>
      </x:c>
      <x:c r="H3783" s="85" t="str">
        <x:v>Diagnóstico e execução</x:v>
      </x:c>
    </x:row>
    <x:row r="3784">
      <x:c r="A3784" s="83" t="n">
        <x:v>3783</x:v>
      </x:c>
      <x:c r="B3784" s="84" t="n">
        <x:v>2203</x:v>
      </x:c>
      <x:c r="C3784" s="84" t="n">
        <x:v>12</x:v>
      </x:c>
      <x:c r="D3784" s="89" t="n">
        <x:v>44981</x:v>
      </x:c>
      <x:c r="E3784" s="84" t="n">
        <x:v>6.7</x:v>
      </x:c>
      <x:c r="F3784" s="84" t="str">
        <x:v>Normal</x:v>
      </x:c>
      <x:c r="G3784" s="93" t="n">
        <x:v>231.15</x:v>
      </x:c>
      <x:c r="H3784" s="85" t="str">
        <x:v>Diagnóstico e execução</x:v>
      </x:c>
    </x:row>
    <x:row r="3785">
      <x:c r="A3785" s="83" t="n">
        <x:v>3784</x:v>
      </x:c>
      <x:c r="B3785" s="84" t="n">
        <x:v>2205</x:v>
      </x:c>
      <x:c r="C3785" s="84" t="n">
        <x:v>29</x:v>
      </x:c>
      <x:c r="D3785" s="89" t="n">
        <x:v>44981</x:v>
      </x:c>
      <x:c r="E3785" s="84" t="n">
        <x:v>4.2</x:v>
      </x:c>
      <x:c r="F3785" s="84" t="str">
        <x:v>Normal</x:v>
      </x:c>
      <x:c r="G3785" s="93" t="n">
        <x:v>207.98</x:v>
      </x:c>
      <x:c r="H3785" s="85" t="str">
        <x:v>Diagnóstico e execução</x:v>
      </x:c>
    </x:row>
    <x:row r="3786">
      <x:c r="A3786" s="83" t="n">
        <x:v>3785</x:v>
      </x:c>
      <x:c r="B3786" s="84" t="n">
        <x:v>2205</x:v>
      </x:c>
      <x:c r="C3786" s="84" t="n">
        <x:v>4</x:v>
      </x:c>
      <x:c r="D3786" s="89" t="n">
        <x:v>44981</x:v>
      </x:c>
      <x:c r="E3786" s="84" t="n">
        <x:v>2.7</x:v>
      </x:c>
      <x:c r="F3786" s="84" t="str">
        <x:v>Normal</x:v>
      </x:c>
      <x:c r="G3786" s="93" t="n">
        <x:v>132.81</x:v>
      </x:c>
      <x:c r="H3786" s="85" t="str">
        <x:v>Diagnóstico e execução</x:v>
      </x:c>
    </x:row>
    <x:row r="3787">
      <x:c r="A3787" s="83" t="n">
        <x:v>3786</x:v>
      </x:c>
      <x:c r="B3787" s="84" t="n">
        <x:v>2206</x:v>
      </x:c>
      <x:c r="C3787" s="84" t="n">
        <x:v>14</x:v>
      </x:c>
      <x:c r="D3787" s="89" t="n">
        <x:v>45145</x:v>
      </x:c>
      <x:c r="E3787" s="84" t="n">
        <x:v>7.6</x:v>
      </x:c>
      <x:c r="F3787" s="84" t="str">
        <x:v>Normal</x:v>
      </x:c>
      <x:c r="G3787" s="93" t="n">
        <x:v>430.62</x:v>
      </x:c>
      <x:c r="H3787" s="85" t="str">
        <x:v>Diagnóstico e execução</x:v>
      </x:c>
    </x:row>
    <x:row r="3788">
      <x:c r="A3788" s="83" t="n">
        <x:v>3787</x:v>
      </x:c>
      <x:c r="B3788" s="84" t="n">
        <x:v>2207</x:v>
      </x:c>
      <x:c r="C3788" s="84" t="n">
        <x:v>6</x:v>
      </x:c>
      <x:c r="D3788" s="89" t="n">
        <x:v>45370</x:v>
      </x:c>
      <x:c r="E3788" s="84" t="n">
        <x:v>2.7</x:v>
      </x:c>
      <x:c r="F3788" s="84" t="str">
        <x:v>Normal</x:v>
      </x:c>
      <x:c r="G3788" s="93" t="n">
        <x:v>141.1</x:v>
      </x:c>
      <x:c r="H3788" s="85" t="str">
        <x:v>Diagnóstico e execução</x:v>
      </x:c>
    </x:row>
    <x:row r="3789">
      <x:c r="A3789" s="83" t="n">
        <x:v>3788</x:v>
      </x:c>
      <x:c r="B3789" s="84" t="n">
        <x:v>2207</x:v>
      </x:c>
      <x:c r="C3789" s="84" t="n">
        <x:v>17</x:v>
      </x:c>
      <x:c r="D3789" s="89" t="n">
        <x:v>45370</x:v>
      </x:c>
      <x:c r="E3789" s="84" t="n">
        <x:v>2.4</x:v>
      </x:c>
      <x:c r="F3789" s="84" t="str">
        <x:v>Normal</x:v>
      </x:c>
      <x:c r="G3789" s="93" t="n">
        <x:v>133.87</x:v>
      </x:c>
      <x:c r="H3789" s="85" t="str">
        <x:v>Diagnóstico e execução</x:v>
      </x:c>
    </x:row>
    <x:row r="3790">
      <x:c r="A3790" s="83" t="n">
        <x:v>3789</x:v>
      </x:c>
      <x:c r="B3790" s="84" t="n">
        <x:v>2207</x:v>
      </x:c>
      <x:c r="C3790" s="84" t="n">
        <x:v>17</x:v>
      </x:c>
      <x:c r="D3790" s="89" t="n">
        <x:v>45370</x:v>
      </x:c>
      <x:c r="E3790" s="84" t="n">
        <x:v>7</x:v>
      </x:c>
      <x:c r="F3790" s="84" t="str">
        <x:v>Normal</x:v>
      </x:c>
      <x:c r="G3790" s="93" t="n">
        <x:v>390.46</x:v>
      </x:c>
      <x:c r="H3790" s="85" t="str">
        <x:v>Diagnóstico e execução</x:v>
      </x:c>
    </x:row>
    <x:row r="3791">
      <x:c r="A3791" s="83" t="n">
        <x:v>3790</x:v>
      </x:c>
      <x:c r="B3791" s="84" t="n">
        <x:v>2208</x:v>
      </x:c>
      <x:c r="C3791" s="84" t="n">
        <x:v>36</x:v>
      </x:c>
      <x:c r="D3791" s="89" t="n">
        <x:v>45997</x:v>
      </x:c>
      <x:c r="E3791" s="84" t="n">
        <x:v>1.6</x:v>
      </x:c>
      <x:c r="F3791" s="84" t="str">
        <x:v>Normal</x:v>
      </x:c>
      <x:c r="G3791" s="93" t="n">
        <x:v>47.46</x:v>
      </x:c>
      <x:c r="H3791" s="85" t="str">
        <x:v>Diagnóstico e execução</x:v>
      </x:c>
    </x:row>
    <x:row r="3792">
      <x:c r="A3792" s="83" t="n">
        <x:v>3791</x:v>
      </x:c>
      <x:c r="B3792" s="84" t="n">
        <x:v>2208</x:v>
      </x:c>
      <x:c r="C3792" s="84" t="n">
        <x:v>30</x:v>
      </x:c>
      <x:c r="D3792" s="89" t="n">
        <x:v>45997</x:v>
      </x:c>
      <x:c r="E3792" s="84" t="n">
        <x:v>5.8</x:v>
      </x:c>
      <x:c r="F3792" s="84" t="str">
        <x:v>Normal</x:v>
      </x:c>
      <x:c r="G3792" s="93" t="n">
        <x:v>240.18</x:v>
      </x:c>
      <x:c r="H3792" s="85" t="str">
        <x:v>Diagnóstico e execução</x:v>
      </x:c>
    </x:row>
    <x:row r="3793">
      <x:c r="A3793" s="83" t="n">
        <x:v>3792</x:v>
      </x:c>
      <x:c r="B3793" s="84" t="n">
        <x:v>2208</x:v>
      </x:c>
      <x:c r="C3793" s="84" t="n">
        <x:v>22</x:v>
      </x:c>
      <x:c r="D3793" s="89" t="n">
        <x:v>45997</x:v>
      </x:c>
      <x:c r="E3793" s="84" t="n">
        <x:v>3.6</x:v>
      </x:c>
      <x:c r="F3793" s="84" t="str">
        <x:v>Normal</x:v>
      </x:c>
      <x:c r="G3793" s="93" t="n">
        <x:v>138.46</x:v>
      </x:c>
      <x:c r="H3793" s="85" t="str">
        <x:v>Diagnóstico e execução</x:v>
      </x:c>
    </x:row>
    <x:row r="3794">
      <x:c r="A3794" s="83" t="n">
        <x:v>3793</x:v>
      </x:c>
      <x:c r="B3794" s="84" t="n">
        <x:v>2210</x:v>
      </x:c>
      <x:c r="C3794" s="84" t="n">
        <x:v>26</x:v>
      </x:c>
      <x:c r="D3794" s="89" t="n">
        <x:v>45534</x:v>
      </x:c>
      <x:c r="E3794" s="84" t="n">
        <x:v>3.5</x:v>
      </x:c>
      <x:c r="F3794" s="84" t="str">
        <x:v>Normal</x:v>
      </x:c>
      <x:c r="G3794" s="93" t="n">
        <x:v>136.92</x:v>
      </x:c>
      <x:c r="H3794" s="85" t="str">
        <x:v>Diagnóstico e execução</x:v>
      </x:c>
    </x:row>
    <x:row r="3795">
      <x:c r="A3795" s="83" t="n">
        <x:v>3794</x:v>
      </x:c>
      <x:c r="B3795" s="84" t="n">
        <x:v>2213</x:v>
      </x:c>
      <x:c r="C3795" s="84" t="n">
        <x:v>26</x:v>
      </x:c>
      <x:c r="D3795" s="89" t="n">
        <x:v>45289</x:v>
      </x:c>
      <x:c r="E3795" s="84" t="n">
        <x:v>7.7</x:v>
      </x:c>
      <x:c r="F3795" s="84" t="str">
        <x:v>Normal</x:v>
      </x:c>
      <x:c r="G3795" s="93" t="n">
        <x:v>301.22</x:v>
      </x:c>
      <x:c r="H3795" s="85" t="str">
        <x:v>Diagnóstico e execução</x:v>
      </x:c>
    </x:row>
    <x:row r="3796">
      <x:c r="A3796" s="83" t="n">
        <x:v>3795</x:v>
      </x:c>
      <x:c r="B3796" s="84" t="n">
        <x:v>2216</x:v>
      </x:c>
      <x:c r="C3796" s="84" t="n">
        <x:v>24</x:v>
      </x:c>
      <x:c r="D3796" s="89" t="n">
        <x:v>45077</x:v>
      </x:c>
      <x:c r="E3796" s="84" t="n">
        <x:v>4.4</x:v>
      </x:c>
      <x:c r="F3796" s="84" t="str">
        <x:v>Normal</x:v>
      </x:c>
      <x:c r="G3796" s="93" t="n">
        <x:v>260.66</x:v>
      </x:c>
      <x:c r="H3796" s="85" t="str">
        <x:v>Diagnóstico e execução</x:v>
      </x:c>
    </x:row>
    <x:row r="3797">
      <x:c r="A3797" s="83" t="n">
        <x:v>3796</x:v>
      </x:c>
      <x:c r="B3797" s="84" t="n">
        <x:v>2216</x:v>
      </x:c>
      <x:c r="C3797" s="84" t="n">
        <x:v>29</x:v>
      </x:c>
      <x:c r="D3797" s="89" t="n">
        <x:v>45077</x:v>
      </x:c>
      <x:c r="E3797" s="84" t="n">
        <x:v>4.6</x:v>
      </x:c>
      <x:c r="F3797" s="84" t="str">
        <x:v>Normal</x:v>
      </x:c>
      <x:c r="G3797" s="93" t="n">
        <x:v>227.79</x:v>
      </x:c>
      <x:c r="H3797" s="85" t="str">
        <x:v>Diagnóstico e execução</x:v>
      </x:c>
    </x:row>
    <x:row r="3798">
      <x:c r="A3798" s="83" t="n">
        <x:v>3797</x:v>
      </x:c>
      <x:c r="B3798" s="84" t="n">
        <x:v>2217</x:v>
      </x:c>
      <x:c r="C3798" s="84" t="n">
        <x:v>31</x:v>
      </x:c>
      <x:c r="D3798" s="89" t="n">
        <x:v>45388</x:v>
      </x:c>
      <x:c r="E3798" s="84" t="n">
        <x:v>4.5</x:v>
      </x:c>
      <x:c r="F3798" s="84" t="str">
        <x:v>Normal</x:v>
      </x:c>
      <x:c r="G3798" s="93" t="n">
        <x:v>220.05</x:v>
      </x:c>
      <x:c r="H3798" s="85" t="str">
        <x:v>Diagnóstico e execução</x:v>
      </x:c>
    </x:row>
    <x:row r="3799">
      <x:c r="A3799" s="83" t="n">
        <x:v>3798</x:v>
      </x:c>
      <x:c r="B3799" s="84" t="n">
        <x:v>2218</x:v>
      </x:c>
      <x:c r="C3799" s="84" t="n">
        <x:v>25</x:v>
      </x:c>
      <x:c r="D3799" s="89" t="n">
        <x:v>45153</x:v>
      </x:c>
      <x:c r="E3799" s="84" t="n">
        <x:v>3.9</x:v>
      </x:c>
      <x:c r="F3799" s="84" t="str">
        <x:v>Normal</x:v>
      </x:c>
      <x:c r="G3799" s="93" t="n">
        <x:v>209</x:v>
      </x:c>
      <x:c r="H3799" s="85" t="str">
        <x:v>Diagnóstico e execução</x:v>
      </x:c>
    </x:row>
    <x:row r="3800">
      <x:c r="A3800" s="83" t="n">
        <x:v>3799</x:v>
      </x:c>
      <x:c r="B3800" s="84" t="n">
        <x:v>2218</x:v>
      </x:c>
      <x:c r="C3800" s="84" t="n">
        <x:v>15</x:v>
      </x:c>
      <x:c r="D3800" s="89" t="n">
        <x:v>45153</x:v>
      </x:c>
      <x:c r="E3800" s="84" t="n">
        <x:v>4.1</x:v>
      </x:c>
      <x:c r="F3800" s="84" t="str">
        <x:v>Normal</x:v>
      </x:c>
      <x:c r="G3800" s="93" t="n">
        <x:v>123.98</x:v>
      </x:c>
      <x:c r="H3800" s="85" t="str">
        <x:v>Diagnóstico e execução</x:v>
      </x:c>
    </x:row>
    <x:row r="3801">
      <x:c r="A3801" s="83" t="n">
        <x:v>3800</x:v>
      </x:c>
      <x:c r="B3801" s="84" t="n">
        <x:v>2219</x:v>
      </x:c>
      <x:c r="C3801" s="84" t="n">
        <x:v>20</x:v>
      </x:c>
      <x:c r="D3801" s="89" t="n">
        <x:v>45694</x:v>
      </x:c>
      <x:c r="E3801" s="84" t="n">
        <x:v>2</x:v>
      </x:c>
      <x:c r="F3801" s="84" t="str">
        <x:v>Normal</x:v>
      </x:c>
      <x:c r="G3801" s="93" t="n">
        <x:v>67.04</x:v>
      </x:c>
      <x:c r="H3801" s="85" t="str">
        <x:v>Diagnóstico e execução</x:v>
      </x:c>
    </x:row>
    <x:row r="3802">
      <x:c r="A3802" s="83" t="n">
        <x:v>3801</x:v>
      </x:c>
      <x:c r="B3802" s="84" t="n">
        <x:v>2220</x:v>
      </x:c>
      <x:c r="C3802" s="84" t="n">
        <x:v>21</x:v>
      </x:c>
      <x:c r="D3802" s="89" t="n">
        <x:v>45381</x:v>
      </x:c>
      <x:c r="E3802" s="84" t="n">
        <x:v>3.5</x:v>
      </x:c>
      <x:c r="F3802" s="84" t="str">
        <x:v>Normal</x:v>
      </x:c>
      <x:c r="G3802" s="93" t="n">
        <x:v>215</x:v>
      </x:c>
      <x:c r="H3802" s="85" t="str">
        <x:v>Diagnóstico e execução</x:v>
      </x:c>
    </x:row>
    <x:row r="3803">
      <x:c r="A3803" s="83" t="n">
        <x:v>3802</x:v>
      </x:c>
      <x:c r="B3803" s="84" t="n">
        <x:v>2220</x:v>
      </x:c>
      <x:c r="C3803" s="84" t="n">
        <x:v>20</x:v>
      </x:c>
      <x:c r="D3803" s="89" t="n">
        <x:v>45381</x:v>
      </x:c>
      <x:c r="E3803" s="84" t="n">
        <x:v>7.7</x:v>
      </x:c>
      <x:c r="F3803" s="84" t="str">
        <x:v>Normal</x:v>
      </x:c>
      <x:c r="G3803" s="93" t="n">
        <x:v>258.1</x:v>
      </x:c>
      <x:c r="H3803" s="85" t="str">
        <x:v>Diagnóstico e execução</x:v>
      </x:c>
    </x:row>
    <x:row r="3804">
      <x:c r="A3804" s="83" t="n">
        <x:v>3803</x:v>
      </x:c>
      <x:c r="B3804" s="84" t="n">
        <x:v>2220</x:v>
      </x:c>
      <x:c r="C3804" s="84" t="n">
        <x:v>13</x:v>
      </x:c>
      <x:c r="D3804" s="89" t="n">
        <x:v>45381</x:v>
      </x:c>
      <x:c r="E3804" s="84" t="n">
        <x:v>3.8</x:v>
      </x:c>
      <x:c r="F3804" s="84" t="str">
        <x:v>Normal</x:v>
      </x:c>
      <x:c r="G3804" s="93" t="n">
        <x:v>128.74</x:v>
      </x:c>
      <x:c r="H3804" s="85" t="str">
        <x:v>Diagnóstico e execução</x:v>
      </x:c>
    </x:row>
    <x:row r="3805">
      <x:c r="A3805" s="83" t="n">
        <x:v>3804</x:v>
      </x:c>
      <x:c r="B3805" s="84" t="n">
        <x:v>2221</x:v>
      </x:c>
      <x:c r="C3805" s="84" t="n">
        <x:v>19</x:v>
      </x:c>
      <x:c r="D3805" s="89" t="n">
        <x:v>45847</x:v>
      </x:c>
      <x:c r="E3805" s="84" t="n">
        <x:v>1.2</x:v>
      </x:c>
      <x:c r="F3805" s="84" t="str">
        <x:v>Normal</x:v>
      </x:c>
      <x:c r="G3805" s="93" t="n">
        <x:v>55.78</x:v>
      </x:c>
      <x:c r="H3805" s="85" t="str">
        <x:v>Diagnóstico e execução</x:v>
      </x:c>
    </x:row>
    <x:row r="3806">
      <x:c r="A3806" s="83" t="n">
        <x:v>3805</x:v>
      </x:c>
      <x:c r="B3806" s="84" t="n">
        <x:v>2222</x:v>
      </x:c>
      <x:c r="C3806" s="84" t="n">
        <x:v>28</x:v>
      </x:c>
      <x:c r="D3806" s="89" t="n">
        <x:v>45975</x:v>
      </x:c>
      <x:c r="E3806" s="84" t="n">
        <x:v>1.5</x:v>
      </x:c>
      <x:c r="F3806" s="84" t="str">
        <x:v>Normal</x:v>
      </x:c>
      <x:c r="G3806" s="93" t="n">
        <x:v>56.43</x:v>
      </x:c>
      <x:c r="H3806" s="85" t="str">
        <x:v>Diagnóstico e execução</x:v>
      </x:c>
    </x:row>
    <x:row r="3807">
      <x:c r="A3807" s="83" t="n">
        <x:v>3806</x:v>
      </x:c>
      <x:c r="B3807" s="84" t="n">
        <x:v>2223</x:v>
      </x:c>
      <x:c r="C3807" s="84" t="n">
        <x:v>4</x:v>
      </x:c>
      <x:c r="D3807" s="89" t="n">
        <x:v>45092</x:v>
      </x:c>
      <x:c r="E3807" s="84" t="n">
        <x:v>7.8</x:v>
      </x:c>
      <x:c r="F3807" s="84" t="str">
        <x:v>Normal</x:v>
      </x:c>
      <x:c r="G3807" s="93" t="n">
        <x:v>383.68</x:v>
      </x:c>
      <x:c r="H3807" s="85" t="str">
        <x:v>Diagnóstico e execução</x:v>
      </x:c>
    </x:row>
    <x:row r="3808">
      <x:c r="A3808" s="83" t="n">
        <x:v>3807</x:v>
      </x:c>
      <x:c r="B3808" s="84" t="n">
        <x:v>2223</x:v>
      </x:c>
      <x:c r="C3808" s="84" t="n">
        <x:v>30</x:v>
      </x:c>
      <x:c r="D3808" s="89" t="n">
        <x:v>45092</x:v>
      </x:c>
      <x:c r="E3808" s="84" t="n">
        <x:v>3.6</x:v>
      </x:c>
      <x:c r="F3808" s="84" t="str">
        <x:v>Normal</x:v>
      </x:c>
      <x:c r="G3808" s="93" t="n">
        <x:v>149.08</x:v>
      </x:c>
      <x:c r="H3808" s="85" t="str">
        <x:v>Diagnóstico e execução</x:v>
      </x:c>
    </x:row>
    <x:row r="3809">
      <x:c r="A3809" s="83" t="n">
        <x:v>3808</x:v>
      </x:c>
      <x:c r="B3809" s="84" t="n">
        <x:v>2224</x:v>
      </x:c>
      <x:c r="C3809" s="84" t="n">
        <x:v>41</x:v>
      </x:c>
      <x:c r="D3809" s="89" t="n">
        <x:v>45474</x:v>
      </x:c>
      <x:c r="E3809" s="84" t="n">
        <x:v>4.9</x:v>
      </x:c>
      <x:c r="F3809" s="84" t="str">
        <x:v>Normal</x:v>
      </x:c>
      <x:c r="G3809" s="93" t="n">
        <x:v>247.84</x:v>
      </x:c>
      <x:c r="H3809" s="85" t="str">
        <x:v>Diagnóstico e execução</x:v>
      </x:c>
    </x:row>
    <x:row r="3810">
      <x:c r="A3810" s="83" t="n">
        <x:v>3809</x:v>
      </x:c>
      <x:c r="B3810" s="84" t="n">
        <x:v>2225</x:v>
      </x:c>
      <x:c r="C3810" s="84" t="n">
        <x:v>14</x:v>
      </x:c>
      <x:c r="D3810" s="89" t="n">
        <x:v>45910</x:v>
      </x:c>
      <x:c r="E3810" s="84" t="n">
        <x:v>5.3</x:v>
      </x:c>
      <x:c r="F3810" s="84" t="str">
        <x:v>Normal</x:v>
      </x:c>
      <x:c r="G3810" s="93" t="n">
        <x:v>300.3</x:v>
      </x:c>
      <x:c r="H3810" s="85" t="str">
        <x:v>Diagnóstico e execução</x:v>
      </x:c>
    </x:row>
    <x:row r="3811">
      <x:c r="A3811" s="83" t="n">
        <x:v>3810</x:v>
      </x:c>
      <x:c r="B3811" s="84" t="n">
        <x:v>2225</x:v>
      </x:c>
      <x:c r="C3811" s="84" t="n">
        <x:v>12</x:v>
      </x:c>
      <x:c r="D3811" s="89" t="n">
        <x:v>45910</x:v>
      </x:c>
      <x:c r="E3811" s="84" t="n">
        <x:v>4.4</x:v>
      </x:c>
      <x:c r="F3811" s="84" t="str">
        <x:v>Normal</x:v>
      </x:c>
      <x:c r="G3811" s="93" t="n">
        <x:v>151.8</x:v>
      </x:c>
      <x:c r="H3811" s="85" t="str">
        <x:v>Diagnóstico e execução</x:v>
      </x:c>
    </x:row>
    <x:row r="3812">
      <x:c r="A3812" s="83" t="n">
        <x:v>3811</x:v>
      </x:c>
      <x:c r="B3812" s="84" t="n">
        <x:v>2225</x:v>
      </x:c>
      <x:c r="C3812" s="84" t="n">
        <x:v>16</x:v>
      </x:c>
      <x:c r="D3812" s="89" t="n">
        <x:v>45910</x:v>
      </x:c>
      <x:c r="E3812" s="84" t="n">
        <x:v>2.1</x:v>
      </x:c>
      <x:c r="F3812" s="84" t="str">
        <x:v>Normal</x:v>
      </x:c>
      <x:c r="G3812" s="93" t="n">
        <x:v>85.09</x:v>
      </x:c>
      <x:c r="H3812" s="85" t="str">
        <x:v>Diagnóstico e execução</x:v>
      </x:c>
    </x:row>
    <x:row r="3813">
      <x:c r="A3813" s="83" t="n">
        <x:v>3812</x:v>
      </x:c>
      <x:c r="B3813" s="84" t="n">
        <x:v>2227</x:v>
      </x:c>
      <x:c r="C3813" s="84" t="n">
        <x:v>35</x:v>
      </x:c>
      <x:c r="D3813" s="89" t="n">
        <x:v>45221</x:v>
      </x:c>
      <x:c r="E3813" s="84" t="n">
        <x:v>2.9</x:v>
      </x:c>
      <x:c r="F3813" s="84" t="str">
        <x:v>Normal</x:v>
      </x:c>
      <x:c r="G3813" s="93" t="n">
        <x:v>142.65</x:v>
      </x:c>
      <x:c r="H3813" s="85" t="str">
        <x:v>Diagnóstico e execução</x:v>
      </x:c>
    </x:row>
    <x:row r="3814">
      <x:c r="A3814" s="83" t="n">
        <x:v>3813</x:v>
      </x:c>
      <x:c r="B3814" s="84" t="n">
        <x:v>2227</x:v>
      </x:c>
      <x:c r="C3814" s="84" t="n">
        <x:v>29</x:v>
      </x:c>
      <x:c r="D3814" s="89" t="n">
        <x:v>45221</x:v>
      </x:c>
      <x:c r="E3814" s="84" t="n">
        <x:v>3.2</x:v>
      </x:c>
      <x:c r="F3814" s="84" t="str">
        <x:v>Normal</x:v>
      </x:c>
      <x:c r="G3814" s="93" t="n">
        <x:v>158.46</x:v>
      </x:c>
      <x:c r="H3814" s="85" t="str">
        <x:v>Diagnóstico e execução</x:v>
      </x:c>
    </x:row>
    <x:row r="3815">
      <x:c r="A3815" s="83" t="n">
        <x:v>3814</x:v>
      </x:c>
      <x:c r="B3815" s="84" t="n">
        <x:v>2227</x:v>
      </x:c>
      <x:c r="C3815" s="84" t="n">
        <x:v>38</x:v>
      </x:c>
      <x:c r="D3815" s="89" t="n">
        <x:v>45221</x:v>
      </x:c>
      <x:c r="E3815" s="84" t="n">
        <x:v>2.4</x:v>
      </x:c>
      <x:c r="F3815" s="84" t="str">
        <x:v>Normal</x:v>
      </x:c>
      <x:c r="G3815" s="93" t="n">
        <x:v>80.81</x:v>
      </x:c>
      <x:c r="H3815" s="85" t="str">
        <x:v>Diagnóstico e execução</x:v>
      </x:c>
    </x:row>
    <x:row r="3816">
      <x:c r="A3816" s="83" t="n">
        <x:v>3815</x:v>
      </x:c>
      <x:c r="B3816" s="84" t="n">
        <x:v>2228</x:v>
      </x:c>
      <x:c r="C3816" s="84" t="n">
        <x:v>19</x:v>
      </x:c>
      <x:c r="D3816" s="89" t="n">
        <x:v>45755</x:v>
      </x:c>
      <x:c r="E3816" s="84" t="n">
        <x:v>7.7</x:v>
      </x:c>
      <x:c r="F3816" s="84" t="str">
        <x:v>Normal</x:v>
      </x:c>
      <x:c r="G3816" s="93" t="n">
        <x:v>357.9</x:v>
      </x:c>
      <x:c r="H3816" s="85" t="str">
        <x:v>Diagnóstico e execução</x:v>
      </x:c>
    </x:row>
    <x:row r="3817">
      <x:c r="A3817" s="83" t="n">
        <x:v>3816</x:v>
      </x:c>
      <x:c r="B3817" s="84" t="n">
        <x:v>2228</x:v>
      </x:c>
      <x:c r="C3817" s="84" t="n">
        <x:v>40</x:v>
      </x:c>
      <x:c r="D3817" s="89" t="n">
        <x:v>45755</x:v>
      </x:c>
      <x:c r="E3817" s="84" t="n">
        <x:v>1.3</x:v>
      </x:c>
      <x:c r="F3817" s="84" t="str">
        <x:v>Normal</x:v>
      </x:c>
      <x:c r="G3817" s="93" t="n">
        <x:v>64.25</x:v>
      </x:c>
      <x:c r="H3817" s="85" t="str">
        <x:v>Diagnóstico e execução</x:v>
      </x:c>
    </x:row>
    <x:row r="3818">
      <x:c r="A3818" s="83" t="n">
        <x:v>3817</x:v>
      </x:c>
      <x:c r="B3818" s="84" t="n">
        <x:v>2228</x:v>
      </x:c>
      <x:c r="C3818" s="84" t="n">
        <x:v>38</x:v>
      </x:c>
      <x:c r="D3818" s="89" t="n">
        <x:v>45755</x:v>
      </x:c>
      <x:c r="E3818" s="84" t="n">
        <x:v>4.4</x:v>
      </x:c>
      <x:c r="F3818" s="84" t="str">
        <x:v>Normal</x:v>
      </x:c>
      <x:c r="G3818" s="93" t="n">
        <x:v>148.15</x:v>
      </x:c>
      <x:c r="H3818" s="85" t="str">
        <x:v>Diagnóstico e execução</x:v>
      </x:c>
    </x:row>
    <x:row r="3819">
      <x:c r="A3819" s="83" t="n">
        <x:v>3818</x:v>
      </x:c>
      <x:c r="B3819" s="84" t="n">
        <x:v>2230</x:v>
      </x:c>
      <x:c r="C3819" s="84" t="n">
        <x:v>27</x:v>
      </x:c>
      <x:c r="D3819" s="89" t="n">
        <x:v>45841</x:v>
      </x:c>
      <x:c r="E3819" s="84" t="n">
        <x:v>5.4</x:v>
      </x:c>
      <x:c r="F3819" s="84" t="str">
        <x:v>Normal</x:v>
      </x:c>
      <x:c r="G3819" s="93" t="n">
        <x:v>329.35</x:v>
      </x:c>
      <x:c r="H3819" s="85" t="str">
        <x:v>Diagnóstico e execução</x:v>
      </x:c>
    </x:row>
    <x:row r="3820">
      <x:c r="A3820" s="83" t="n">
        <x:v>3819</x:v>
      </x:c>
      <x:c r="B3820" s="84" t="n">
        <x:v>2231</x:v>
      </x:c>
      <x:c r="C3820" s="84" t="n">
        <x:v>38</x:v>
      </x:c>
      <x:c r="D3820" s="89" t="n">
        <x:v>45880</x:v>
      </x:c>
      <x:c r="E3820" s="84" t="n">
        <x:v>7.7</x:v>
      </x:c>
      <x:c r="F3820" s="84" t="str">
        <x:v>Normal</x:v>
      </x:c>
      <x:c r="G3820" s="93" t="n">
        <x:v>259.26</x:v>
      </x:c>
      <x:c r="H3820" s="85" t="str">
        <x:v>Diagnóstico e execução</x:v>
      </x:c>
    </x:row>
    <x:row r="3821">
      <x:c r="A3821" s="83" t="n">
        <x:v>3820</x:v>
      </x:c>
      <x:c r="B3821" s="84" t="n">
        <x:v>2232</x:v>
      </x:c>
      <x:c r="C3821" s="84" t="n">
        <x:v>36</x:v>
      </x:c>
      <x:c r="D3821" s="89" t="n">
        <x:v>45418</x:v>
      </x:c>
      <x:c r="E3821" s="84" t="n">
        <x:v>3.3</x:v>
      </x:c>
      <x:c r="F3821" s="84" t="str">
        <x:v>Normal</x:v>
      </x:c>
      <x:c r="G3821" s="93" t="n">
        <x:v>97.88</x:v>
      </x:c>
      <x:c r="H3821" s="85" t="str">
        <x:v>Diagnóstico e execução</x:v>
      </x:c>
    </x:row>
    <x:row r="3822">
      <x:c r="A3822" s="83" t="n">
        <x:v>3821</x:v>
      </x:c>
      <x:c r="B3822" s="84" t="n">
        <x:v>2233</x:v>
      </x:c>
      <x:c r="C3822" s="84" t="n">
        <x:v>23</x:v>
      </x:c>
      <x:c r="D3822" s="89" t="n">
        <x:v>45770</x:v>
      </x:c>
      <x:c r="E3822" s="84" t="n">
        <x:v>2</x:v>
      </x:c>
      <x:c r="F3822" s="84" t="str">
        <x:v>Normal</x:v>
      </x:c>
      <x:c r="G3822" s="93" t="n">
        <x:v>86.22</x:v>
      </x:c>
      <x:c r="H3822" s="85" t="str">
        <x:v>Diagnóstico e execução</x:v>
      </x:c>
    </x:row>
    <x:row r="3823">
      <x:c r="A3823" s="83" t="n">
        <x:v>3822</x:v>
      </x:c>
      <x:c r="B3823" s="84" t="n">
        <x:v>2234</x:v>
      </x:c>
      <x:c r="C3823" s="84" t="n">
        <x:v>43</x:v>
      </x:c>
      <x:c r="D3823" s="89" t="n">
        <x:v>45368</x:v>
      </x:c>
      <x:c r="E3823" s="84" t="n">
        <x:v>0.5</x:v>
      </x:c>
      <x:c r="F3823" s="84" t="str">
        <x:v>Normal</x:v>
      </x:c>
      <x:c r="G3823" s="93" t="n">
        <x:v>27.33</x:v>
      </x:c>
      <x:c r="H3823" s="85" t="str">
        <x:v>Diagnóstico e execução</x:v>
      </x:c>
    </x:row>
    <x:row r="3824">
      <x:c r="A3824" s="83" t="n">
        <x:v>3823</x:v>
      </x:c>
      <x:c r="B3824" s="84" t="n">
        <x:v>2235</x:v>
      </x:c>
      <x:c r="C3824" s="84" t="n">
        <x:v>37</x:v>
      </x:c>
      <x:c r="D3824" s="89" t="n">
        <x:v>45991</x:v>
      </x:c>
      <x:c r="E3824" s="84" t="n">
        <x:v>2</x:v>
      </x:c>
      <x:c r="F3824" s="84" t="str">
        <x:v>Normal</x:v>
      </x:c>
      <x:c r="G3824" s="93" t="n">
        <x:v>117.94</x:v>
      </x:c>
      <x:c r="H3824" s="85" t="str">
        <x:v>Diagnóstico e execução</x:v>
      </x:c>
    </x:row>
    <x:row r="3825">
      <x:c r="A3825" s="83" t="n">
        <x:v>3824</x:v>
      </x:c>
      <x:c r="B3825" s="84" t="n">
        <x:v>2236</x:v>
      </x:c>
      <x:c r="C3825" s="84" t="n">
        <x:v>11</x:v>
      </x:c>
      <x:c r="D3825" s="89" t="n">
        <x:v>44979</x:v>
      </x:c>
      <x:c r="E3825" s="84" t="n">
        <x:v>5.8</x:v>
      </x:c>
      <x:c r="F3825" s="84" t="str">
        <x:v>Normal</x:v>
      </x:c>
      <x:c r="G3825" s="93" t="n">
        <x:v>241.74</x:v>
      </x:c>
      <x:c r="H3825" s="85" t="str">
        <x:v>Diagnóstico e execução</x:v>
      </x:c>
    </x:row>
    <x:row r="3826">
      <x:c r="A3826" s="83" t="n">
        <x:v>3825</x:v>
      </x:c>
      <x:c r="B3826" s="84" t="n">
        <x:v>2236</x:v>
      </x:c>
      <x:c r="C3826" s="84" t="n">
        <x:v>21</x:v>
      </x:c>
      <x:c r="D3826" s="89" t="n">
        <x:v>44979</x:v>
      </x:c>
      <x:c r="E3826" s="84" t="n">
        <x:v>4.5</x:v>
      </x:c>
      <x:c r="F3826" s="84" t="str">
        <x:v>Normal</x:v>
      </x:c>
      <x:c r="G3826" s="93" t="n">
        <x:v>276.44</x:v>
      </x:c>
      <x:c r="H3826" s="85" t="str">
        <x:v>Diagnóstico e execução</x:v>
      </x:c>
    </x:row>
    <x:row r="3827">
      <x:c r="A3827" s="83" t="n">
        <x:v>3826</x:v>
      </x:c>
      <x:c r="B3827" s="84" t="n">
        <x:v>2236</x:v>
      </x:c>
      <x:c r="C3827" s="84" t="n">
        <x:v>13</x:v>
      </x:c>
      <x:c r="D3827" s="89" t="n">
        <x:v>44979</x:v>
      </x:c>
      <x:c r="E3827" s="84" t="n">
        <x:v>5</x:v>
      </x:c>
      <x:c r="F3827" s="84" t="str">
        <x:v>Normal</x:v>
      </x:c>
      <x:c r="G3827" s="93" t="n">
        <x:v>169.4</x:v>
      </x:c>
      <x:c r="H3827" s="85" t="str">
        <x:v>Diagnóstico e execução</x:v>
      </x:c>
    </x:row>
    <x:row r="3828">
      <x:c r="A3828" s="83" t="n">
        <x:v>3827</x:v>
      </x:c>
      <x:c r="B3828" s="84" t="n">
        <x:v>2237</x:v>
      </x:c>
      <x:c r="C3828" s="84" t="n">
        <x:v>19</x:v>
      </x:c>
      <x:c r="D3828" s="89" t="n">
        <x:v>45452</x:v>
      </x:c>
      <x:c r="E3828" s="84" t="n">
        <x:v>2.7</x:v>
      </x:c>
      <x:c r="F3828" s="84" t="str">
        <x:v>Normal</x:v>
      </x:c>
      <x:c r="G3828" s="93" t="n">
        <x:v>125.5</x:v>
      </x:c>
      <x:c r="H3828" s="85" t="str">
        <x:v>Diagnóstico e execução</x:v>
      </x:c>
    </x:row>
    <x:row r="3829">
      <x:c r="A3829" s="83" t="n">
        <x:v>3828</x:v>
      </x:c>
      <x:c r="B3829" s="84" t="n">
        <x:v>2237</x:v>
      </x:c>
      <x:c r="C3829" s="84" t="n">
        <x:v>30</x:v>
      </x:c>
      <x:c r="D3829" s="89" t="n">
        <x:v>45452</x:v>
      </x:c>
      <x:c r="E3829" s="84" t="n">
        <x:v>1.7</x:v>
      </x:c>
      <x:c r="F3829" s="84" t="str">
        <x:v>Normal</x:v>
      </x:c>
      <x:c r="G3829" s="93" t="n">
        <x:v>70.4</x:v>
      </x:c>
      <x:c r="H3829" s="85" t="str">
        <x:v>Diagnóstico e execução</x:v>
      </x:c>
    </x:row>
    <x:row r="3830">
      <x:c r="A3830" s="83" t="n">
        <x:v>3829</x:v>
      </x:c>
      <x:c r="B3830" s="84" t="n">
        <x:v>2237</x:v>
      </x:c>
      <x:c r="C3830" s="84" t="n">
        <x:v>2</x:v>
      </x:c>
      <x:c r="D3830" s="89" t="n">
        <x:v>45452</x:v>
      </x:c>
      <x:c r="E3830" s="84" t="n">
        <x:v>1</x:v>
      </x:c>
      <x:c r="F3830" s="84" t="str">
        <x:v>Normal</x:v>
      </x:c>
      <x:c r="G3830" s="93" t="n">
        <x:v>37.26</x:v>
      </x:c>
      <x:c r="H3830" s="85" t="str">
        <x:v>Diagnóstico e execução</x:v>
      </x:c>
    </x:row>
    <x:row r="3831">
      <x:c r="A3831" s="83" t="n">
        <x:v>3830</x:v>
      </x:c>
      <x:c r="B3831" s="84" t="n">
        <x:v>2238</x:v>
      </x:c>
      <x:c r="C3831" s="84" t="n">
        <x:v>36</x:v>
      </x:c>
      <x:c r="D3831" s="89" t="n">
        <x:v>45660</x:v>
      </x:c>
      <x:c r="E3831" s="84" t="n">
        <x:v>2</x:v>
      </x:c>
      <x:c r="F3831" s="84" t="str">
        <x:v>Normal</x:v>
      </x:c>
      <x:c r="G3831" s="93" t="n">
        <x:v>59.32</x:v>
      </x:c>
      <x:c r="H3831" s="85" t="str">
        <x:v>Diagnóstico e execução</x:v>
      </x:c>
    </x:row>
    <x:row r="3832">
      <x:c r="A3832" s="83" t="n">
        <x:v>3831</x:v>
      </x:c>
      <x:c r="B3832" s="84" t="n">
        <x:v>2238</x:v>
      </x:c>
      <x:c r="C3832" s="84" t="n">
        <x:v>8</x:v>
      </x:c>
      <x:c r="D3832" s="89" t="n">
        <x:v>45660</x:v>
      </x:c>
      <x:c r="E3832" s="84" t="n">
        <x:v>3.8</x:v>
      </x:c>
      <x:c r="F3832" s="84" t="str">
        <x:v>Normal</x:v>
      </x:c>
      <x:c r="G3832" s="93" t="n">
        <x:v>176.7</x:v>
      </x:c>
      <x:c r="H3832" s="85" t="str">
        <x:v>Diagnóstico e execução</x:v>
      </x:c>
    </x:row>
    <x:row r="3833">
      <x:c r="A3833" s="83" t="n">
        <x:v>3832</x:v>
      </x:c>
      <x:c r="B3833" s="84" t="n">
        <x:v>2239</x:v>
      </x:c>
      <x:c r="C3833" s="84" t="n">
        <x:v>22</x:v>
      </x:c>
      <x:c r="D3833" s="89" t="n">
        <x:v>45762</x:v>
      </x:c>
      <x:c r="E3833" s="84" t="n">
        <x:v>7.2</x:v>
      </x:c>
      <x:c r="F3833" s="84" t="str">
        <x:v>Normal</x:v>
      </x:c>
      <x:c r="G3833" s="93" t="n">
        <x:v>276.91</x:v>
      </x:c>
      <x:c r="H3833" s="85" t="str">
        <x:v>Diagnóstico e execução</x:v>
      </x:c>
    </x:row>
    <x:row r="3834">
      <x:c r="A3834" s="83" t="n">
        <x:v>3833</x:v>
      </x:c>
      <x:c r="B3834" s="84" t="n">
        <x:v>2239</x:v>
      </x:c>
      <x:c r="C3834" s="84" t="n">
        <x:v>26</x:v>
      </x:c>
      <x:c r="D3834" s="89" t="n">
        <x:v>45762</x:v>
      </x:c>
      <x:c r="E3834" s="84" t="n">
        <x:v>4.1</x:v>
      </x:c>
      <x:c r="F3834" s="84" t="str">
        <x:v>Normal</x:v>
      </x:c>
      <x:c r="G3834" s="93" t="n">
        <x:v>160.39</x:v>
      </x:c>
      <x:c r="H3834" s="85" t="str">
        <x:v>Diagnóstico e execução</x:v>
      </x:c>
    </x:row>
    <x:row r="3835">
      <x:c r="A3835" s="83" t="n">
        <x:v>3834</x:v>
      </x:c>
      <x:c r="B3835" s="84" t="n">
        <x:v>2239</x:v>
      </x:c>
      <x:c r="C3835" s="84" t="n">
        <x:v>40</x:v>
      </x:c>
      <x:c r="D3835" s="89" t="n">
        <x:v>45762</x:v>
      </x:c>
      <x:c r="E3835" s="84" t="n">
        <x:v>6.1</x:v>
      </x:c>
      <x:c r="F3835" s="84" t="str">
        <x:v>Normal</x:v>
      </x:c>
      <x:c r="G3835" s="93" t="n">
        <x:v>301.46</x:v>
      </x:c>
      <x:c r="H3835" s="85" t="str">
        <x:v>Diagnóstico e execução</x:v>
      </x:c>
    </x:row>
    <x:row r="3836">
      <x:c r="A3836" s="83" t="n">
        <x:v>3835</x:v>
      </x:c>
      <x:c r="B3836" s="84" t="n">
        <x:v>2240</x:v>
      </x:c>
      <x:c r="C3836" s="84" t="n">
        <x:v>38</x:v>
      </x:c>
      <x:c r="D3836" s="89" t="n">
        <x:v>45700</x:v>
      </x:c>
      <x:c r="E3836" s="84" t="n">
        <x:v>4.7</x:v>
      </x:c>
      <x:c r="F3836" s="84" t="str">
        <x:v>Normal</x:v>
      </x:c>
      <x:c r="G3836" s="93" t="n">
        <x:v>158.25</x:v>
      </x:c>
      <x:c r="H3836" s="85" t="str">
        <x:v>Diagnóstico e execução</x:v>
      </x:c>
    </x:row>
    <x:row r="3837">
      <x:c r="A3837" s="83" t="n">
        <x:v>3836</x:v>
      </x:c>
      <x:c r="B3837" s="84" t="n">
        <x:v>2240</x:v>
      </x:c>
      <x:c r="C3837" s="84" t="n">
        <x:v>24</x:v>
      </x:c>
      <x:c r="D3837" s="89" t="n">
        <x:v>45700</x:v>
      </x:c>
      <x:c r="E3837" s="84" t="n">
        <x:v>5.8</x:v>
      </x:c>
      <x:c r="F3837" s="84" t="str">
        <x:v>Normal</x:v>
      </x:c>
      <x:c r="G3837" s="93" t="n">
        <x:v>343.59</x:v>
      </x:c>
      <x:c r="H3837" s="85" t="str">
        <x:v>Diagnóstico e execução</x:v>
      </x:c>
    </x:row>
    <x:row r="3838">
      <x:c r="A3838" s="83" t="n">
        <x:v>3837</x:v>
      </x:c>
      <x:c r="B3838" s="84" t="n">
        <x:v>2241</x:v>
      </x:c>
      <x:c r="C3838" s="84" t="n">
        <x:v>16</x:v>
      </x:c>
      <x:c r="D3838" s="89" t="n">
        <x:v>45552</x:v>
      </x:c>
      <x:c r="E3838" s="84" t="n">
        <x:v>0.9</x:v>
      </x:c>
      <x:c r="F3838" s="84" t="str">
        <x:v>Normal</x:v>
      </x:c>
      <x:c r="G3838" s="93" t="n">
        <x:v>36.47</x:v>
      </x:c>
      <x:c r="H3838" s="85" t="str">
        <x:v>Diagnóstico e execução</x:v>
      </x:c>
    </x:row>
    <x:row r="3839">
      <x:c r="A3839" s="83" t="n">
        <x:v>3838</x:v>
      </x:c>
      <x:c r="B3839" s="84" t="n">
        <x:v>2241</x:v>
      </x:c>
      <x:c r="C3839" s="84" t="n">
        <x:v>28</x:v>
      </x:c>
      <x:c r="D3839" s="89" t="n">
        <x:v>45552</x:v>
      </x:c>
      <x:c r="E3839" s="84" t="n">
        <x:v>0.8</x:v>
      </x:c>
      <x:c r="F3839" s="84" t="str">
        <x:v>Normal</x:v>
      </x:c>
      <x:c r="G3839" s="93" t="n">
        <x:v>30.1</x:v>
      </x:c>
      <x:c r="H3839" s="85" t="str">
        <x:v>Diagnóstico e execução</x:v>
      </x:c>
    </x:row>
    <x:row r="3840">
      <x:c r="A3840" s="83" t="n">
        <x:v>3839</x:v>
      </x:c>
      <x:c r="B3840" s="84" t="n">
        <x:v>2242</x:v>
      </x:c>
      <x:c r="C3840" s="84" t="n">
        <x:v>3</x:v>
      </x:c>
      <x:c r="D3840" s="89" t="n">
        <x:v>45047</x:v>
      </x:c>
      <x:c r="E3840" s="84" t="n">
        <x:v>6.3</x:v>
      </x:c>
      <x:c r="F3840" s="84" t="str">
        <x:v>Normal</x:v>
      </x:c>
      <x:c r="G3840" s="93" t="n">
        <x:v>310.21</x:v>
      </x:c>
      <x:c r="H3840" s="85" t="str">
        <x:v>Diagnóstico e execução</x:v>
      </x:c>
    </x:row>
    <x:row r="3841">
      <x:c r="A3841" s="83" t="n">
        <x:v>3840</x:v>
      </x:c>
      <x:c r="B3841" s="84" t="n">
        <x:v>2242</x:v>
      </x:c>
      <x:c r="C3841" s="84" t="n">
        <x:v>9</x:v>
      </x:c>
      <x:c r="D3841" s="89" t="n">
        <x:v>45047</x:v>
      </x:c>
      <x:c r="E3841" s="84" t="n">
        <x:v>3.6</x:v>
      </x:c>
      <x:c r="F3841" s="84" t="str">
        <x:v>Normal</x:v>
      </x:c>
      <x:c r="G3841" s="93" t="n">
        <x:v>189.61</x:v>
      </x:c>
      <x:c r="H3841" s="85" t="str">
        <x:v>Diagnóstico e execução</x:v>
      </x:c>
    </x:row>
    <x:row r="3842">
      <x:c r="A3842" s="83" t="n">
        <x:v>3841</x:v>
      </x:c>
      <x:c r="B3842" s="84" t="n">
        <x:v>2243</x:v>
      </x:c>
      <x:c r="C3842" s="84" t="n">
        <x:v>34</x:v>
      </x:c>
      <x:c r="D3842" s="89" t="n">
        <x:v>45586</x:v>
      </x:c>
      <x:c r="E3842" s="84" t="n">
        <x:v>2</x:v>
      </x:c>
      <x:c r="F3842" s="84" t="str">
        <x:v>Normal</x:v>
      </x:c>
      <x:c r="G3842" s="93" t="n">
        <x:v>86.46</x:v>
      </x:c>
      <x:c r="H3842" s="85" t="str">
        <x:v>Diagnóstico e execução</x:v>
      </x:c>
    </x:row>
    <x:row r="3843">
      <x:c r="A3843" s="83" t="n">
        <x:v>3842</x:v>
      </x:c>
      <x:c r="B3843" s="84" t="n">
        <x:v>2244</x:v>
      </x:c>
      <x:c r="C3843" s="84" t="n">
        <x:v>15</x:v>
      </x:c>
      <x:c r="D3843" s="89" t="n">
        <x:v>45916</x:v>
      </x:c>
      <x:c r="E3843" s="84" t="n">
        <x:v>7.1</x:v>
      </x:c>
      <x:c r="F3843" s="84" t="str">
        <x:v>Normal</x:v>
      </x:c>
      <x:c r="G3843" s="93" t="n">
        <x:v>214.7</x:v>
      </x:c>
      <x:c r="H3843" s="85" t="str">
        <x:v>Diagnóstico e execução</x:v>
      </x:c>
    </x:row>
    <x:row r="3844">
      <x:c r="A3844" s="83" t="n">
        <x:v>3843</x:v>
      </x:c>
      <x:c r="B3844" s="84" t="n">
        <x:v>2245</x:v>
      </x:c>
      <x:c r="C3844" s="84" t="n">
        <x:v>31</x:v>
      </x:c>
      <x:c r="D3844" s="89" t="n">
        <x:v>45164</x:v>
      </x:c>
      <x:c r="E3844" s="84" t="n">
        <x:v>2.6</x:v>
      </x:c>
      <x:c r="F3844" s="84" t="str">
        <x:v>Normal</x:v>
      </x:c>
      <x:c r="G3844" s="93" t="n">
        <x:v>127.14</x:v>
      </x:c>
      <x:c r="H3844" s="85" t="str">
        <x:v>Diagnóstico e execução</x:v>
      </x:c>
    </x:row>
    <x:row r="3845">
      <x:c r="A3845" s="83" t="n">
        <x:v>3844</x:v>
      </x:c>
      <x:c r="B3845" s="84" t="n">
        <x:v>2246</x:v>
      </x:c>
      <x:c r="C3845" s="84" t="n">
        <x:v>20</x:v>
      </x:c>
      <x:c r="D3845" s="89" t="n">
        <x:v>45164</x:v>
      </x:c>
      <x:c r="E3845" s="84" t="n">
        <x:v>4.3</x:v>
      </x:c>
      <x:c r="F3845" s="84" t="str">
        <x:v>Normal</x:v>
      </x:c>
      <x:c r="G3845" s="93" t="n">
        <x:v>144.14</x:v>
      </x:c>
      <x:c r="H3845" s="85" t="str">
        <x:v>Diagnóstico e execução</x:v>
      </x:c>
    </x:row>
    <x:row r="3846">
      <x:c r="A3846" s="83" t="n">
        <x:v>3845</x:v>
      </x:c>
      <x:c r="B3846" s="84" t="n">
        <x:v>2247</x:v>
      </x:c>
      <x:c r="C3846" s="84" t="n">
        <x:v>41</x:v>
      </x:c>
      <x:c r="D3846" s="89" t="n">
        <x:v>45865</x:v>
      </x:c>
      <x:c r="E3846" s="84" t="n">
        <x:v>0.7</x:v>
      </x:c>
      <x:c r="F3846" s="84" t="str">
        <x:v>Normal</x:v>
      </x:c>
      <x:c r="G3846" s="93" t="n">
        <x:v>35.41</x:v>
      </x:c>
      <x:c r="H3846" s="85" t="str">
        <x:v>Diagnóstico e execução</x:v>
      </x:c>
    </x:row>
    <x:row r="3847">
      <x:c r="A3847" s="83" t="n">
        <x:v>3846</x:v>
      </x:c>
      <x:c r="B3847" s="84" t="n">
        <x:v>2247</x:v>
      </x:c>
      <x:c r="C3847" s="84" t="n">
        <x:v>42</x:v>
      </x:c>
      <x:c r="D3847" s="89" t="n">
        <x:v>45865</x:v>
      </x:c>
      <x:c r="E3847" s="84" t="n">
        <x:v>3.1</x:v>
      </x:c>
      <x:c r="F3847" s="84" t="str">
        <x:v>Normal</x:v>
      </x:c>
      <x:c r="G3847" s="93" t="n">
        <x:v>130.76</x:v>
      </x:c>
      <x:c r="H3847" s="85" t="str">
        <x:v>Diagnóstico e execução</x:v>
      </x:c>
    </x:row>
    <x:row r="3848">
      <x:c r="A3848" s="83" t="n">
        <x:v>3847</x:v>
      </x:c>
      <x:c r="B3848" s="84" t="n">
        <x:v>2247</x:v>
      </x:c>
      <x:c r="C3848" s="84" t="n">
        <x:v>32</x:v>
      </x:c>
      <x:c r="D3848" s="89" t="n">
        <x:v>45865</x:v>
      </x:c>
      <x:c r="E3848" s="84" t="n">
        <x:v>2.5</x:v>
      </x:c>
      <x:c r="F3848" s="84" t="str">
        <x:v>Normal</x:v>
      </x:c>
      <x:c r="G3848" s="93" t="n">
        <x:v>109.12</x:v>
      </x:c>
      <x:c r="H3848" s="85" t="str">
        <x:v>Diagnóstico e execução</x:v>
      </x:c>
    </x:row>
    <x:row r="3849">
      <x:c r="A3849" s="83" t="n">
        <x:v>3848</x:v>
      </x:c>
      <x:c r="B3849" s="84" t="n">
        <x:v>2249</x:v>
      </x:c>
      <x:c r="C3849" s="84" t="n">
        <x:v>24</x:v>
      </x:c>
      <x:c r="D3849" s="89" t="n">
        <x:v>44932</x:v>
      </x:c>
      <x:c r="E3849" s="84" t="n">
        <x:v>4.1</x:v>
      </x:c>
      <x:c r="F3849" s="84" t="str">
        <x:v>Normal</x:v>
      </x:c>
      <x:c r="G3849" s="93" t="n">
        <x:v>242.88</x:v>
      </x:c>
      <x:c r="H3849" s="85" t="str">
        <x:v>Diagnóstico e execução</x:v>
      </x:c>
    </x:row>
    <x:row r="3850">
      <x:c r="A3850" s="83" t="n">
        <x:v>3849</x:v>
      </x:c>
      <x:c r="B3850" s="84" t="n">
        <x:v>2249</x:v>
      </x:c>
      <x:c r="C3850" s="84" t="n">
        <x:v>33</x:v>
      </x:c>
      <x:c r="D3850" s="89" t="n">
        <x:v>44932</x:v>
      </x:c>
      <x:c r="E3850" s="84" t="n">
        <x:v>3.4</x:v>
      </x:c>
      <x:c r="F3850" s="84" t="str">
        <x:v>Normal</x:v>
      </x:c>
      <x:c r="G3850" s="93" t="n">
        <x:v>117.27</x:v>
      </x:c>
      <x:c r="H3850" s="85" t="str">
        <x:v>Diagnóstico e execução</x:v>
      </x:c>
    </x:row>
    <x:row r="3851">
      <x:c r="A3851" s="83" t="n">
        <x:v>3850</x:v>
      </x:c>
      <x:c r="B3851" s="84" t="n">
        <x:v>2250</x:v>
      </x:c>
      <x:c r="C3851" s="84" t="n">
        <x:v>19</x:v>
      </x:c>
      <x:c r="D3851" s="89" t="n">
        <x:v>45948</x:v>
      </x:c>
      <x:c r="E3851" s="84" t="n">
        <x:v>4.2</x:v>
      </x:c>
      <x:c r="F3851" s="84" t="str">
        <x:v>Normal</x:v>
      </x:c>
      <x:c r="G3851" s="93" t="n">
        <x:v>195.22</x:v>
      </x:c>
      <x:c r="H3851" s="85" t="str">
        <x:v>Diagnóstico e execução</x:v>
      </x:c>
    </x:row>
    <x:row r="3852">
      <x:c r="A3852" s="83" t="n">
        <x:v>3851</x:v>
      </x:c>
      <x:c r="B3852" s="84" t="n">
        <x:v>2250</x:v>
      </x:c>
      <x:c r="C3852" s="84" t="n">
        <x:v>43</x:v>
      </x:c>
      <x:c r="D3852" s="89" t="n">
        <x:v>45948</x:v>
      </x:c>
      <x:c r="E3852" s="84" t="n">
        <x:v>3.6</x:v>
      </x:c>
      <x:c r="F3852" s="84" t="str">
        <x:v>Normal</x:v>
      </x:c>
      <x:c r="G3852" s="93" t="n">
        <x:v>196.78</x:v>
      </x:c>
      <x:c r="H3852" s="85" t="str">
        <x:v>Diagnóstico e execução</x:v>
      </x:c>
    </x:row>
    <x:row r="3853">
      <x:c r="A3853" s="83" t="n">
        <x:v>3852</x:v>
      </x:c>
      <x:c r="B3853" s="84" t="n">
        <x:v>2251</x:v>
      </x:c>
      <x:c r="C3853" s="84" t="n">
        <x:v>13</x:v>
      </x:c>
      <x:c r="D3853" s="89" t="n">
        <x:v>45169</x:v>
      </x:c>
      <x:c r="E3853" s="84" t="n">
        <x:v>7.8</x:v>
      </x:c>
      <x:c r="F3853" s="84" t="str">
        <x:v>Normal</x:v>
      </x:c>
      <x:c r="G3853" s="93" t="n">
        <x:v>264.26</x:v>
      </x:c>
      <x:c r="H3853" s="85" t="str">
        <x:v>Diagnóstico e execução</x:v>
      </x:c>
    </x:row>
    <x:row r="3854">
      <x:c r="A3854" s="83" t="n">
        <x:v>3853</x:v>
      </x:c>
      <x:c r="B3854" s="84" t="n">
        <x:v>2251</x:v>
      </x:c>
      <x:c r="C3854" s="84" t="n">
        <x:v>15</x:v>
      </x:c>
      <x:c r="D3854" s="89" t="n">
        <x:v>45169</x:v>
      </x:c>
      <x:c r="E3854" s="84" t="n">
        <x:v>5.3</x:v>
      </x:c>
      <x:c r="F3854" s="84" t="str">
        <x:v>Normal</x:v>
      </x:c>
      <x:c r="G3854" s="93" t="n">
        <x:v>160.27</x:v>
      </x:c>
      <x:c r="H3854" s="85" t="str">
        <x:v>Diagnóstico e execução</x:v>
      </x:c>
    </x:row>
    <x:row r="3855">
      <x:c r="A3855" s="83" t="n">
        <x:v>3854</x:v>
      </x:c>
      <x:c r="B3855" s="84" t="n">
        <x:v>2252</x:v>
      </x:c>
      <x:c r="C3855" s="84" t="n">
        <x:v>1</x:v>
      </x:c>
      <x:c r="D3855" s="89" t="n">
        <x:v>45083</x:v>
      </x:c>
      <x:c r="E3855" s="84" t="n">
        <x:v>6.2</x:v>
      </x:c>
      <x:c r="F3855" s="84" t="str">
        <x:v>Normal</x:v>
      </x:c>
      <x:c r="G3855" s="93" t="n">
        <x:v>219.29</x:v>
      </x:c>
      <x:c r="H3855" s="85" t="str">
        <x:v>Diagnóstico e execução</x:v>
      </x:c>
    </x:row>
    <x:row r="3856">
      <x:c r="A3856" s="83" t="n">
        <x:v>3855</x:v>
      </x:c>
      <x:c r="B3856" s="84" t="n">
        <x:v>2252</x:v>
      </x:c>
      <x:c r="C3856" s="84" t="n">
        <x:v>32</x:v>
      </x:c>
      <x:c r="D3856" s="89" t="n">
        <x:v>45083</x:v>
      </x:c>
      <x:c r="E3856" s="84" t="n">
        <x:v>2.1</x:v>
      </x:c>
      <x:c r="F3856" s="84" t="str">
        <x:v>Normal</x:v>
      </x:c>
      <x:c r="G3856" s="93" t="n">
        <x:v>91.67</x:v>
      </x:c>
      <x:c r="H3856" s="85" t="str">
        <x:v>Diagnóstico e execução</x:v>
      </x:c>
    </x:row>
    <x:row r="3857">
      <x:c r="A3857" s="83" t="n">
        <x:v>3856</x:v>
      </x:c>
      <x:c r="B3857" s="84" t="n">
        <x:v>2252</x:v>
      </x:c>
      <x:c r="C3857" s="84" t="n">
        <x:v>21</x:v>
      </x:c>
      <x:c r="D3857" s="89" t="n">
        <x:v>45083</x:v>
      </x:c>
      <x:c r="E3857" s="84" t="n">
        <x:v>3.9</x:v>
      </x:c>
      <x:c r="F3857" s="84" t="str">
        <x:v>Normal</x:v>
      </x:c>
      <x:c r="G3857" s="93" t="n">
        <x:v>239.58</x:v>
      </x:c>
      <x:c r="H3857" s="85" t="str">
        <x:v>Diagnóstico e execução</x:v>
      </x:c>
    </x:row>
    <x:row r="3858">
      <x:c r="A3858" s="83" t="n">
        <x:v>3857</x:v>
      </x:c>
      <x:c r="B3858" s="84" t="n">
        <x:v>2253</x:v>
      </x:c>
      <x:c r="C3858" s="84" t="n">
        <x:v>10</x:v>
      </x:c>
      <x:c r="D3858" s="89" t="n">
        <x:v>45447</x:v>
      </x:c>
      <x:c r="E3858" s="84" t="n">
        <x:v>6.7</x:v>
      </x:c>
      <x:c r="F3858" s="84" t="str">
        <x:v>Normal</x:v>
      </x:c>
      <x:c r="G3858" s="93" t="n">
        <x:v>198.92</x:v>
      </x:c>
      <x:c r="H3858" s="85" t="str">
        <x:v>Diagnóstico e execução</x:v>
      </x:c>
    </x:row>
    <x:row r="3859">
      <x:c r="A3859" s="83" t="n">
        <x:v>3858</x:v>
      </x:c>
      <x:c r="B3859" s="84" t="n">
        <x:v>2253</x:v>
      </x:c>
      <x:c r="C3859" s="84" t="n">
        <x:v>35</x:v>
      </x:c>
      <x:c r="D3859" s="89" t="n">
        <x:v>45447</x:v>
      </x:c>
      <x:c r="E3859" s="84" t="n">
        <x:v>4.9</x:v>
      </x:c>
      <x:c r="F3859" s="84" t="str">
        <x:v>Normal</x:v>
      </x:c>
      <x:c r="G3859" s="93" t="n">
        <x:v>241.03</x:v>
      </x:c>
      <x:c r="H3859" s="85" t="str">
        <x:v>Diagnóstico e execução</x:v>
      </x:c>
    </x:row>
    <x:row r="3860">
      <x:c r="A3860" s="83" t="n">
        <x:v>3859</x:v>
      </x:c>
      <x:c r="B3860" s="84" t="n">
        <x:v>2253</x:v>
      </x:c>
      <x:c r="C3860" s="84" t="n">
        <x:v>25</x:v>
      </x:c>
      <x:c r="D3860" s="89" t="n">
        <x:v>45447</x:v>
      </x:c>
      <x:c r="E3860" s="84" t="n">
        <x:v>5.2</x:v>
      </x:c>
      <x:c r="F3860" s="84" t="str">
        <x:v>Normal</x:v>
      </x:c>
      <x:c r="G3860" s="93" t="n">
        <x:v>278.67</x:v>
      </x:c>
      <x:c r="H3860" s="85" t="str">
        <x:v>Diagnóstico e execução</x:v>
      </x:c>
    </x:row>
    <x:row r="3861">
      <x:c r="A3861" s="83" t="n">
        <x:v>3860</x:v>
      </x:c>
      <x:c r="B3861" s="84" t="n">
        <x:v>2254</x:v>
      </x:c>
      <x:c r="C3861" s="84" t="n">
        <x:v>38</x:v>
      </x:c>
      <x:c r="D3861" s="89" t="n">
        <x:v>45660</x:v>
      </x:c>
      <x:c r="E3861" s="84" t="n">
        <x:v>6.5</x:v>
      </x:c>
      <x:c r="F3861" s="84" t="str">
        <x:v>Normal</x:v>
      </x:c>
      <x:c r="G3861" s="93" t="n">
        <x:v>218.86</x:v>
      </x:c>
      <x:c r="H3861" s="85" t="str">
        <x:v>Diagnóstico e execução</x:v>
      </x:c>
    </x:row>
    <x:row r="3862">
      <x:c r="A3862" s="83" t="n">
        <x:v>3861</x:v>
      </x:c>
      <x:c r="B3862" s="84" t="n">
        <x:v>2255</x:v>
      </x:c>
      <x:c r="C3862" s="84" t="n">
        <x:v>26</x:v>
      </x:c>
      <x:c r="D3862" s="89" t="n">
        <x:v>45901</x:v>
      </x:c>
      <x:c r="E3862" s="84" t="n">
        <x:v>4.9</x:v>
      </x:c>
      <x:c r="F3862" s="84" t="str">
        <x:v>Normal</x:v>
      </x:c>
      <x:c r="G3862" s="93" t="n">
        <x:v>191.69</x:v>
      </x:c>
      <x:c r="H3862" s="85" t="str">
        <x:v>Diagnóstico e execução</x:v>
      </x:c>
    </x:row>
    <x:row r="3863">
      <x:c r="A3863" s="83" t="n">
        <x:v>3862</x:v>
      </x:c>
      <x:c r="B3863" s="84" t="n">
        <x:v>2256</x:v>
      </x:c>
      <x:c r="C3863" s="84" t="n">
        <x:v>40</x:v>
      </x:c>
      <x:c r="D3863" s="89" t="n">
        <x:v>45371</x:v>
      </x:c>
      <x:c r="E3863" s="84" t="n">
        <x:v>6.8</x:v>
      </x:c>
      <x:c r="F3863" s="84" t="str">
        <x:v>Normal</x:v>
      </x:c>
      <x:c r="G3863" s="93" t="n">
        <x:v>336.06</x:v>
      </x:c>
      <x:c r="H3863" s="85" t="str">
        <x:v>Diagnóstico e execução</x:v>
      </x:c>
    </x:row>
    <x:row r="3864">
      <x:c r="A3864" s="83" t="n">
        <x:v>3863</x:v>
      </x:c>
      <x:c r="B3864" s="84" t="n">
        <x:v>2256</x:v>
      </x:c>
      <x:c r="C3864" s="84" t="n">
        <x:v>28</x:v>
      </x:c>
      <x:c r="D3864" s="89" t="n">
        <x:v>45371</x:v>
      </x:c>
      <x:c r="E3864" s="84" t="n">
        <x:v>0.9</x:v>
      </x:c>
      <x:c r="F3864" s="84" t="str">
        <x:v>Normal</x:v>
      </x:c>
      <x:c r="G3864" s="93" t="n">
        <x:v>33.86</x:v>
      </x:c>
      <x:c r="H3864" s="85" t="str">
        <x:v>Diagnóstico e execução</x:v>
      </x:c>
    </x:row>
    <x:row r="3865">
      <x:c r="A3865" s="83" t="n">
        <x:v>3864</x:v>
      </x:c>
      <x:c r="B3865" s="84" t="n">
        <x:v>2256</x:v>
      </x:c>
      <x:c r="C3865" s="84" t="n">
        <x:v>31</x:v>
      </x:c>
      <x:c r="D3865" s="89" t="n">
        <x:v>45371</x:v>
      </x:c>
      <x:c r="E3865" s="84" t="n">
        <x:v>5.1</x:v>
      </x:c>
      <x:c r="F3865" s="84" t="str">
        <x:v>Normal</x:v>
      </x:c>
      <x:c r="G3865" s="93" t="n">
        <x:v>249.39</x:v>
      </x:c>
      <x:c r="H3865" s="85" t="str">
        <x:v>Diagnóstico e execução</x:v>
      </x:c>
    </x:row>
    <x:row r="3866">
      <x:c r="A3866" s="83" t="n">
        <x:v>3865</x:v>
      </x:c>
      <x:c r="B3866" s="84" t="n">
        <x:v>2257</x:v>
      </x:c>
      <x:c r="C3866" s="84" t="n">
        <x:v>42</x:v>
      </x:c>
      <x:c r="D3866" s="89" t="n">
        <x:v>45249</x:v>
      </x:c>
      <x:c r="E3866" s="84" t="n">
        <x:v>1.6</x:v>
      </x:c>
      <x:c r="F3866" s="84" t="str">
        <x:v>Normal</x:v>
      </x:c>
      <x:c r="G3866" s="93" t="n">
        <x:v>67.49</x:v>
      </x:c>
      <x:c r="H3866" s="85" t="str">
        <x:v>Diagnóstico e execução</x:v>
      </x:c>
    </x:row>
    <x:row r="3867">
      <x:c r="A3867" s="83" t="n">
        <x:v>3866</x:v>
      </x:c>
      <x:c r="B3867" s="84" t="n">
        <x:v>2257</x:v>
      </x:c>
      <x:c r="C3867" s="84" t="n">
        <x:v>36</x:v>
      </x:c>
      <x:c r="D3867" s="89" t="n">
        <x:v>45249</x:v>
      </x:c>
      <x:c r="E3867" s="84" t="n">
        <x:v>4</x:v>
      </x:c>
      <x:c r="F3867" s="84" t="str">
        <x:v>Normal</x:v>
      </x:c>
      <x:c r="G3867" s="93" t="n">
        <x:v>118.64</x:v>
      </x:c>
      <x:c r="H3867" s="85" t="str">
        <x:v>Diagnóstico e execução</x:v>
      </x:c>
    </x:row>
    <x:row r="3868">
      <x:c r="A3868" s="83" t="n">
        <x:v>3867</x:v>
      </x:c>
      <x:c r="B3868" s="84" t="n">
        <x:v>2257</x:v>
      </x:c>
      <x:c r="C3868" s="84" t="n">
        <x:v>20</x:v>
      </x:c>
      <x:c r="D3868" s="89" t="n">
        <x:v>45249</x:v>
      </x:c>
      <x:c r="E3868" s="84" t="n">
        <x:v>6.2</x:v>
      </x:c>
      <x:c r="F3868" s="84" t="str">
        <x:v>Normal</x:v>
      </x:c>
      <x:c r="G3868" s="93" t="n">
        <x:v>207.82</x:v>
      </x:c>
      <x:c r="H3868" s="85" t="str">
        <x:v>Diagnóstico e execução</x:v>
      </x:c>
    </x:row>
    <x:row r="3869">
      <x:c r="A3869" s="83" t="n">
        <x:v>3868</x:v>
      </x:c>
      <x:c r="B3869" s="84" t="n">
        <x:v>2258</x:v>
      </x:c>
      <x:c r="C3869" s="84" t="n">
        <x:v>23</x:v>
      </x:c>
      <x:c r="D3869" s="89" t="n">
        <x:v>45934</x:v>
      </x:c>
      <x:c r="E3869" s="84" t="n">
        <x:v>6.3</x:v>
      </x:c>
      <x:c r="F3869" s="84" t="str">
        <x:v>Normal</x:v>
      </x:c>
      <x:c r="G3869" s="93" t="n">
        <x:v>271.59</x:v>
      </x:c>
      <x:c r="H3869" s="85" t="str">
        <x:v>Diagnóstico e execução</x:v>
      </x:c>
    </x:row>
    <x:row r="3870">
      <x:c r="A3870" s="83" t="n">
        <x:v>3869</x:v>
      </x:c>
      <x:c r="B3870" s="84" t="n">
        <x:v>2258</x:v>
      </x:c>
      <x:c r="C3870" s="84" t="n">
        <x:v>7</x:v>
      </x:c>
      <x:c r="D3870" s="89" t="n">
        <x:v>45934</x:v>
      </x:c>
      <x:c r="E3870" s="84" t="n">
        <x:v>2</x:v>
      </x:c>
      <x:c r="F3870" s="84" t="str">
        <x:v>Normal</x:v>
      </x:c>
      <x:c r="G3870" s="93" t="n">
        <x:v>116.42</x:v>
      </x:c>
      <x:c r="H3870" s="85" t="str">
        <x:v>Diagnóstico e execução</x:v>
      </x:c>
    </x:row>
    <x:row r="3871">
      <x:c r="A3871" s="83" t="n">
        <x:v>3870</x:v>
      </x:c>
      <x:c r="B3871" s="84" t="n">
        <x:v>2259</x:v>
      </x:c>
      <x:c r="C3871" s="84" t="n">
        <x:v>28</x:v>
      </x:c>
      <x:c r="D3871" s="89" t="n">
        <x:v>44990</x:v>
      </x:c>
      <x:c r="E3871" s="84" t="n">
        <x:v>6.3</x:v>
      </x:c>
      <x:c r="F3871" s="84" t="str">
        <x:v>Normal</x:v>
      </x:c>
      <x:c r="G3871" s="93" t="n">
        <x:v>237.01</x:v>
      </x:c>
      <x:c r="H3871" s="85" t="str">
        <x:v>Diagnóstico e execução</x:v>
      </x:c>
    </x:row>
    <x:row r="3872">
      <x:c r="A3872" s="83" t="n">
        <x:v>3871</x:v>
      </x:c>
      <x:c r="B3872" s="84" t="n">
        <x:v>2260</x:v>
      </x:c>
      <x:c r="C3872" s="84" t="n">
        <x:v>39</x:v>
      </x:c>
      <x:c r="D3872" s="89" t="n">
        <x:v>45616</x:v>
      </x:c>
      <x:c r="E3872" s="84" t="n">
        <x:v>1.8</x:v>
      </x:c>
      <x:c r="F3872" s="84" t="str">
        <x:v>Normal</x:v>
      </x:c>
      <x:c r="G3872" s="93" t="n">
        <x:v>104.22</x:v>
      </x:c>
      <x:c r="H3872" s="85" t="str">
        <x:v>Diagnóstico e execução</x:v>
      </x:c>
    </x:row>
    <x:row r="3873">
      <x:c r="A3873" s="83" t="n">
        <x:v>3872</x:v>
      </x:c>
      <x:c r="B3873" s="84" t="n">
        <x:v>2260</x:v>
      </x:c>
      <x:c r="C3873" s="84" t="n">
        <x:v>8</x:v>
      </x:c>
      <x:c r="D3873" s="89" t="n">
        <x:v>45616</x:v>
      </x:c>
      <x:c r="E3873" s="84" t="n">
        <x:v>3.7</x:v>
      </x:c>
      <x:c r="F3873" s="84" t="str">
        <x:v>Normal</x:v>
      </x:c>
      <x:c r="G3873" s="93" t="n">
        <x:v>172.05</x:v>
      </x:c>
      <x:c r="H3873" s="85" t="str">
        <x:v>Diagnóstico e execução</x:v>
      </x:c>
    </x:row>
    <x:row r="3874">
      <x:c r="A3874" s="83" t="n">
        <x:v>3873</x:v>
      </x:c>
      <x:c r="B3874" s="84" t="n">
        <x:v>2261</x:v>
      </x:c>
      <x:c r="C3874" s="84" t="n">
        <x:v>44</x:v>
      </x:c>
      <x:c r="D3874" s="89" t="n">
        <x:v>45184</x:v>
      </x:c>
      <x:c r="E3874" s="84" t="n">
        <x:v>3.4</x:v>
      </x:c>
      <x:c r="F3874" s="84" t="str">
        <x:v>Normal</x:v>
      </x:c>
      <x:c r="G3874" s="93" t="n">
        <x:v>95.34</x:v>
      </x:c>
      <x:c r="H3874" s="85" t="str">
        <x:v>Diagnóstico e execução</x:v>
      </x:c>
    </x:row>
    <x:row r="3875">
      <x:c r="A3875" s="83" t="n">
        <x:v>3874</x:v>
      </x:c>
      <x:c r="B3875" s="84" t="n">
        <x:v>2263</x:v>
      </x:c>
      <x:c r="C3875" s="84" t="n">
        <x:v>23</x:v>
      </x:c>
      <x:c r="D3875" s="89" t="n">
        <x:v>45361</x:v>
      </x:c>
      <x:c r="E3875" s="84" t="n">
        <x:v>7.6</x:v>
      </x:c>
      <x:c r="F3875" s="84" t="str">
        <x:v>Normal</x:v>
      </x:c>
      <x:c r="G3875" s="93" t="n">
        <x:v>327.64</x:v>
      </x:c>
      <x:c r="H3875" s="85" t="str">
        <x:v>Diagnóstico e execução</x:v>
      </x:c>
    </x:row>
    <x:row r="3876">
      <x:c r="A3876" s="83" t="n">
        <x:v>3875</x:v>
      </x:c>
      <x:c r="B3876" s="84" t="n">
        <x:v>2263</x:v>
      </x:c>
      <x:c r="C3876" s="84" t="n">
        <x:v>16</x:v>
      </x:c>
      <x:c r="D3876" s="89" t="n">
        <x:v>45361</x:v>
      </x:c>
      <x:c r="E3876" s="84" t="n">
        <x:v>2.8</x:v>
      </x:c>
      <x:c r="F3876" s="84" t="str">
        <x:v>Normal</x:v>
      </x:c>
      <x:c r="G3876" s="93" t="n">
        <x:v>113.46</x:v>
      </x:c>
      <x:c r="H3876" s="85" t="str">
        <x:v>Diagnóstico e execução</x:v>
      </x:c>
    </x:row>
    <x:row r="3877">
      <x:c r="A3877" s="83" t="n">
        <x:v>3876</x:v>
      </x:c>
      <x:c r="B3877" s="84" t="n">
        <x:v>2263</x:v>
      </x:c>
      <x:c r="C3877" s="84" t="n">
        <x:v>41</x:v>
      </x:c>
      <x:c r="D3877" s="89" t="n">
        <x:v>45361</x:v>
      </x:c>
      <x:c r="E3877" s="84" t="n">
        <x:v>5.7</x:v>
      </x:c>
      <x:c r="F3877" s="84" t="str">
        <x:v>Normal</x:v>
      </x:c>
      <x:c r="G3877" s="93" t="n">
        <x:v>288.31</x:v>
      </x:c>
      <x:c r="H3877" s="85" t="str">
        <x:v>Diagnóstico e execução</x:v>
      </x:c>
    </x:row>
    <x:row r="3878">
      <x:c r="A3878" s="83" t="n">
        <x:v>3877</x:v>
      </x:c>
      <x:c r="B3878" s="84" t="n">
        <x:v>2264</x:v>
      </x:c>
      <x:c r="C3878" s="84" t="n">
        <x:v>18</x:v>
      </x:c>
      <x:c r="D3878" s="89" t="n">
        <x:v>45668</x:v>
      </x:c>
      <x:c r="E3878" s="84" t="n">
        <x:v>2.7</x:v>
      </x:c>
      <x:c r="F3878" s="84" t="str">
        <x:v>Normal</x:v>
      </x:c>
      <x:c r="G3878" s="93" t="n">
        <x:v>170.34</x:v>
      </x:c>
      <x:c r="H3878" s="85" t="str">
        <x:v>Diagnóstico e execução</x:v>
      </x:c>
    </x:row>
    <x:row r="3879">
      <x:c r="A3879" s="83" t="n">
        <x:v>3878</x:v>
      </x:c>
      <x:c r="B3879" s="84" t="n">
        <x:v>2266</x:v>
      </x:c>
      <x:c r="C3879" s="84" t="n">
        <x:v>13</x:v>
      </x:c>
      <x:c r="D3879" s="89" t="n">
        <x:v>45220</x:v>
      </x:c>
      <x:c r="E3879" s="84" t="n">
        <x:v>1.9</x:v>
      </x:c>
      <x:c r="F3879" s="84" t="str">
        <x:v>Normal</x:v>
      </x:c>
      <x:c r="G3879" s="93" t="n">
        <x:v>64.37</x:v>
      </x:c>
      <x:c r="H3879" s="85" t="str">
        <x:v>Diagnóstico e execução</x:v>
      </x:c>
    </x:row>
    <x:row r="3880">
      <x:c r="A3880" s="83" t="n">
        <x:v>3879</x:v>
      </x:c>
      <x:c r="B3880" s="84" t="n">
        <x:v>2266</x:v>
      </x:c>
      <x:c r="C3880" s="84" t="n">
        <x:v>14</x:v>
      </x:c>
      <x:c r="D3880" s="89" t="n">
        <x:v>45220</x:v>
      </x:c>
      <x:c r="E3880" s="84" t="n">
        <x:v>6.8</x:v>
      </x:c>
      <x:c r="F3880" s="84" t="str">
        <x:v>Normal</x:v>
      </x:c>
      <x:c r="G3880" s="93" t="n">
        <x:v>385.29</x:v>
      </x:c>
      <x:c r="H3880" s="85" t="str">
        <x:v>Diagnóstico e execução</x:v>
      </x:c>
    </x:row>
    <x:row r="3881">
      <x:c r="A3881" s="83" t="n">
        <x:v>3880</x:v>
      </x:c>
      <x:c r="B3881" s="84" t="n">
        <x:v>2266</x:v>
      </x:c>
      <x:c r="C3881" s="84" t="n">
        <x:v>21</x:v>
      </x:c>
      <x:c r="D3881" s="89" t="n">
        <x:v>45220</x:v>
      </x:c>
      <x:c r="E3881" s="84" t="n">
        <x:v>3.5</x:v>
      </x:c>
      <x:c r="F3881" s="84" t="str">
        <x:v>Normal</x:v>
      </x:c>
      <x:c r="G3881" s="93" t="n">
        <x:v>215</x:v>
      </x:c>
      <x:c r="H3881" s="85" t="str">
        <x:v>Diagnóstico e execução</x:v>
      </x:c>
    </x:row>
    <x:row r="3882">
      <x:c r="A3882" s="83" t="n">
        <x:v>3881</x:v>
      </x:c>
      <x:c r="B3882" s="84" t="n">
        <x:v>2267</x:v>
      </x:c>
      <x:c r="C3882" s="84" t="n">
        <x:v>37</x:v>
      </x:c>
      <x:c r="D3882" s="89" t="n">
        <x:v>45083</x:v>
      </x:c>
      <x:c r="E3882" s="84" t="n">
        <x:v>3.4</x:v>
      </x:c>
      <x:c r="F3882" s="84" t="str">
        <x:v>Normal</x:v>
      </x:c>
      <x:c r="G3882" s="93" t="n">
        <x:v>200.5</x:v>
      </x:c>
      <x:c r="H3882" s="85" t="str">
        <x:v>Diagnóstico e execução</x:v>
      </x:c>
    </x:row>
    <x:row r="3883">
      <x:c r="A3883" s="83" t="n">
        <x:v>3882</x:v>
      </x:c>
      <x:c r="B3883" s="84" t="n">
        <x:v>2267</x:v>
      </x:c>
      <x:c r="C3883" s="84" t="n">
        <x:v>27</x:v>
      </x:c>
      <x:c r="D3883" s="89" t="n">
        <x:v>45083</x:v>
      </x:c>
      <x:c r="E3883" s="84" t="n">
        <x:v>0.5</x:v>
      </x:c>
      <x:c r="F3883" s="84" t="str">
        <x:v>Normal</x:v>
      </x:c>
      <x:c r="G3883" s="93" t="n">
        <x:v>30.5</x:v>
      </x:c>
      <x:c r="H3883" s="85" t="str">
        <x:v>Diagnóstico e execução</x:v>
      </x:c>
    </x:row>
    <x:row r="3884">
      <x:c r="A3884" s="83" t="n">
        <x:v>3883</x:v>
      </x:c>
      <x:c r="B3884" s="84" t="n">
        <x:v>2268</x:v>
      </x:c>
      <x:c r="C3884" s="84" t="n">
        <x:v>42</x:v>
      </x:c>
      <x:c r="D3884" s="89" t="n">
        <x:v>45265</x:v>
      </x:c>
      <x:c r="E3884" s="84" t="n">
        <x:v>7.8</x:v>
      </x:c>
      <x:c r="F3884" s="84" t="str">
        <x:v>Normal</x:v>
      </x:c>
      <x:c r="G3884" s="93" t="n">
        <x:v>329</x:v>
      </x:c>
      <x:c r="H3884" s="85" t="str">
        <x:v>Diagnóstico e execução</x:v>
      </x:c>
    </x:row>
    <x:row r="3885">
      <x:c r="A3885" s="83" t="n">
        <x:v>3884</x:v>
      </x:c>
      <x:c r="B3885" s="84" t="n">
        <x:v>2268</x:v>
      </x:c>
      <x:c r="C3885" s="84" t="n">
        <x:v>15</x:v>
      </x:c>
      <x:c r="D3885" s="89" t="n">
        <x:v>45265</x:v>
      </x:c>
      <x:c r="E3885" s="84" t="n">
        <x:v>4.8</x:v>
      </x:c>
      <x:c r="F3885" s="84" t="str">
        <x:v>Normal</x:v>
      </x:c>
      <x:c r="G3885" s="93" t="n">
        <x:v>145.15</x:v>
      </x:c>
      <x:c r="H3885" s="85" t="str">
        <x:v>Diagnóstico e execução</x:v>
      </x:c>
    </x:row>
    <x:row r="3886">
      <x:c r="A3886" s="83" t="n">
        <x:v>3885</x:v>
      </x:c>
      <x:c r="B3886" s="84" t="n">
        <x:v>2269</x:v>
      </x:c>
      <x:c r="C3886" s="84" t="n">
        <x:v>18</x:v>
      </x:c>
      <x:c r="D3886" s="89" t="n">
        <x:v>45595</x:v>
      </x:c>
      <x:c r="E3886" s="84" t="n">
        <x:v>5.7</x:v>
      </x:c>
      <x:c r="F3886" s="84" t="str">
        <x:v>Normal</x:v>
      </x:c>
      <x:c r="G3886" s="93" t="n">
        <x:v>359.61</x:v>
      </x:c>
      <x:c r="H3886" s="85" t="str">
        <x:v>Diagnóstico e execução</x:v>
      </x:c>
    </x:row>
    <x:row r="3887">
      <x:c r="A3887" s="83" t="n">
        <x:v>3886</x:v>
      </x:c>
      <x:c r="B3887" s="84" t="n">
        <x:v>2269</x:v>
      </x:c>
      <x:c r="C3887" s="84" t="n">
        <x:v>27</x:v>
      </x:c>
      <x:c r="D3887" s="89" t="n">
        <x:v>45595</x:v>
      </x:c>
      <x:c r="E3887" s="84" t="n">
        <x:v>7.3</x:v>
      </x:c>
      <x:c r="F3887" s="84" t="str">
        <x:v>Normal</x:v>
      </x:c>
      <x:c r="G3887" s="93" t="n">
        <x:v>445.23</x:v>
      </x:c>
      <x:c r="H3887" s="85" t="str">
        <x:v>Diagnóstico e execução</x:v>
      </x:c>
    </x:row>
    <x:row r="3888">
      <x:c r="A3888" s="83" t="n">
        <x:v>3887</x:v>
      </x:c>
      <x:c r="B3888" s="84" t="n">
        <x:v>2270</x:v>
      </x:c>
      <x:c r="C3888" s="84" t="n">
        <x:v>27</x:v>
      </x:c>
      <x:c r="D3888" s="89" t="n">
        <x:v>45912</x:v>
      </x:c>
      <x:c r="E3888" s="84" t="n">
        <x:v>5.2</x:v>
      </x:c>
      <x:c r="F3888" s="84" t="str">
        <x:v>Normal</x:v>
      </x:c>
      <x:c r="G3888" s="93" t="n">
        <x:v>317.15</x:v>
      </x:c>
      <x:c r="H3888" s="85" t="str">
        <x:v>Diagnóstico e execução</x:v>
      </x:c>
    </x:row>
    <x:row r="3889">
      <x:c r="A3889" s="83" t="n">
        <x:v>3888</x:v>
      </x:c>
      <x:c r="B3889" s="84" t="n">
        <x:v>2270</x:v>
      </x:c>
      <x:c r="C3889" s="84" t="n">
        <x:v>15</x:v>
      </x:c>
      <x:c r="D3889" s="89" t="n">
        <x:v>45912</x:v>
      </x:c>
      <x:c r="E3889" s="84" t="n">
        <x:v>7.3</x:v>
      </x:c>
      <x:c r="F3889" s="84" t="str">
        <x:v>Normal</x:v>
      </x:c>
      <x:c r="G3889" s="93" t="n">
        <x:v>220.75</x:v>
      </x:c>
      <x:c r="H3889" s="85" t="str">
        <x:v>Diagnóstico e execução</x:v>
      </x:c>
    </x:row>
    <x:row r="3890">
      <x:c r="A3890" s="83" t="n">
        <x:v>3889</x:v>
      </x:c>
      <x:c r="B3890" s="84" t="n">
        <x:v>2271</x:v>
      </x:c>
      <x:c r="C3890" s="84" t="n">
        <x:v>28</x:v>
      </x:c>
      <x:c r="D3890" s="89" t="n">
        <x:v>45195</x:v>
      </x:c>
      <x:c r="E3890" s="84" t="n">
        <x:v>5.8</x:v>
      </x:c>
      <x:c r="F3890" s="84" t="str">
        <x:v>Normal</x:v>
      </x:c>
      <x:c r="G3890" s="93" t="n">
        <x:v>218.2</x:v>
      </x:c>
      <x:c r="H3890" s="85" t="str">
        <x:v>Diagnóstico e execução</x:v>
      </x:c>
    </x:row>
    <x:row r="3891">
      <x:c r="A3891" s="83" t="n">
        <x:v>3890</x:v>
      </x:c>
      <x:c r="B3891" s="84" t="n">
        <x:v>2271</x:v>
      </x:c>
      <x:c r="C3891" s="84" t="n">
        <x:v>29</x:v>
      </x:c>
      <x:c r="D3891" s="89" t="n">
        <x:v>45195</x:v>
      </x:c>
      <x:c r="E3891" s="84" t="n">
        <x:v>1.9</x:v>
      </x:c>
      <x:c r="F3891" s="84" t="str">
        <x:v>Normal</x:v>
      </x:c>
      <x:c r="G3891" s="93" t="n">
        <x:v>94.09</x:v>
      </x:c>
      <x:c r="H3891" s="85" t="str">
        <x:v>Diagnóstico e execução</x:v>
      </x:c>
    </x:row>
    <x:row r="3892">
      <x:c r="A3892" s="83" t="n">
        <x:v>3891</x:v>
      </x:c>
      <x:c r="B3892" s="84" t="n">
        <x:v>2271</x:v>
      </x:c>
      <x:c r="C3892" s="84" t="n">
        <x:v>7</x:v>
      </x:c>
      <x:c r="D3892" s="89" t="n">
        <x:v>45195</x:v>
      </x:c>
      <x:c r="E3892" s="84" t="n">
        <x:v>4.7</x:v>
      </x:c>
      <x:c r="F3892" s="84" t="str">
        <x:v>Normal</x:v>
      </x:c>
      <x:c r="G3892" s="93" t="n">
        <x:v>273.59</x:v>
      </x:c>
      <x:c r="H3892" s="85" t="str">
        <x:v>Diagnóstico e execução</x:v>
      </x:c>
    </x:row>
    <x:row r="3893">
      <x:c r="A3893" s="83" t="n">
        <x:v>3892</x:v>
      </x:c>
      <x:c r="B3893" s="84" t="n">
        <x:v>2272</x:v>
      </x:c>
      <x:c r="C3893" s="84" t="n">
        <x:v>17</x:v>
      </x:c>
      <x:c r="D3893" s="89" t="n">
        <x:v>45648</x:v>
      </x:c>
      <x:c r="E3893" s="84" t="n">
        <x:v>1.4</x:v>
      </x:c>
      <x:c r="F3893" s="84" t="str">
        <x:v>Normal</x:v>
      </x:c>
      <x:c r="G3893" s="93" t="n">
        <x:v>78.09</x:v>
      </x:c>
      <x:c r="H3893" s="85" t="str">
        <x:v>Diagnóstico e execução</x:v>
      </x:c>
    </x:row>
    <x:row r="3894">
      <x:c r="A3894" s="83" t="n">
        <x:v>3893</x:v>
      </x:c>
      <x:c r="B3894" s="84" t="n">
        <x:v>2272</x:v>
      </x:c>
      <x:c r="C3894" s="84" t="n">
        <x:v>38</x:v>
      </x:c>
      <x:c r="D3894" s="89" t="n">
        <x:v>45648</x:v>
      </x:c>
      <x:c r="E3894" s="84" t="n">
        <x:v>3.7</x:v>
      </x:c>
      <x:c r="F3894" s="84" t="str">
        <x:v>Normal</x:v>
      </x:c>
      <x:c r="G3894" s="93" t="n">
        <x:v>124.58</x:v>
      </x:c>
      <x:c r="H3894" s="85" t="str">
        <x:v>Diagnóstico e execução</x:v>
      </x:c>
    </x:row>
    <x:row r="3895">
      <x:c r="A3895" s="83" t="n">
        <x:v>3894</x:v>
      </x:c>
      <x:c r="B3895" s="84" t="n">
        <x:v>2272</x:v>
      </x:c>
      <x:c r="C3895" s="84" t="n">
        <x:v>32</x:v>
      </x:c>
      <x:c r="D3895" s="89" t="n">
        <x:v>45648</x:v>
      </x:c>
      <x:c r="E3895" s="84" t="n">
        <x:v>0.6</x:v>
      </x:c>
      <x:c r="F3895" s="84" t="str">
        <x:v>Normal</x:v>
      </x:c>
      <x:c r="G3895" s="93" t="n">
        <x:v>26.19</x:v>
      </x:c>
      <x:c r="H3895" s="85" t="str">
        <x:v>Diagnóstico e execução</x:v>
      </x:c>
    </x:row>
    <x:row r="3896">
      <x:c r="A3896" s="83" t="n">
        <x:v>3895</x:v>
      </x:c>
      <x:c r="B3896" s="84" t="n">
        <x:v>2273</x:v>
      </x:c>
      <x:c r="C3896" s="84" t="n">
        <x:v>11</x:v>
      </x:c>
      <x:c r="D3896" s="89" t="n">
        <x:v>45376</x:v>
      </x:c>
      <x:c r="E3896" s="84" t="n">
        <x:v>7.4</x:v>
      </x:c>
      <x:c r="F3896" s="84" t="str">
        <x:v>Normal</x:v>
      </x:c>
      <x:c r="G3896" s="93" t="n">
        <x:v>308.43</x:v>
      </x:c>
      <x:c r="H3896" s="85" t="str">
        <x:v>Diagnóstico e execução</x:v>
      </x:c>
    </x:row>
    <x:row r="3897">
      <x:c r="A3897" s="83" t="n">
        <x:v>3896</x:v>
      </x:c>
      <x:c r="B3897" s="84" t="n">
        <x:v>2273</x:v>
      </x:c>
      <x:c r="C3897" s="84" t="n">
        <x:v>3</x:v>
      </x:c>
      <x:c r="D3897" s="89" t="n">
        <x:v>45376</x:v>
      </x:c>
      <x:c r="E3897" s="84" t="n">
        <x:v>7.8</x:v>
      </x:c>
      <x:c r="F3897" s="84" t="str">
        <x:v>Normal</x:v>
      </x:c>
      <x:c r="G3897" s="93" t="n">
        <x:v>384.07</x:v>
      </x:c>
      <x:c r="H3897" s="85" t="str">
        <x:v>Diagnóstico e execução</x:v>
      </x:c>
    </x:row>
    <x:row r="3898">
      <x:c r="A3898" s="83" t="n">
        <x:v>3897</x:v>
      </x:c>
      <x:c r="B3898" s="84" t="n">
        <x:v>2273</x:v>
      </x:c>
      <x:c r="C3898" s="84" t="n">
        <x:v>22</x:v>
      </x:c>
      <x:c r="D3898" s="89" t="n">
        <x:v>45376</x:v>
      </x:c>
      <x:c r="E3898" s="84" t="n">
        <x:v>0.8</x:v>
      </x:c>
      <x:c r="F3898" s="84" t="str">
        <x:v>Normal</x:v>
      </x:c>
      <x:c r="G3898" s="93" t="n">
        <x:v>30.77</x:v>
      </x:c>
      <x:c r="H3898" s="85" t="str">
        <x:v>Diagnóstico e execução</x:v>
      </x:c>
    </x:row>
    <x:row r="3899">
      <x:c r="A3899" s="83" t="n">
        <x:v>3898</x:v>
      </x:c>
      <x:c r="B3899" s="84" t="n">
        <x:v>2274</x:v>
      </x:c>
      <x:c r="C3899" s="84" t="n">
        <x:v>21</x:v>
      </x:c>
      <x:c r="D3899" s="89" t="n">
        <x:v>45670</x:v>
      </x:c>
      <x:c r="E3899" s="84" t="n">
        <x:v>2.6</x:v>
      </x:c>
      <x:c r="F3899" s="84" t="str">
        <x:v>Normal</x:v>
      </x:c>
      <x:c r="G3899" s="93" t="n">
        <x:v>159.72</x:v>
      </x:c>
      <x:c r="H3899" s="85" t="str">
        <x:v>Diagnóstico e execução</x:v>
      </x:c>
    </x:row>
    <x:row r="3900">
      <x:c r="A3900" s="83" t="n">
        <x:v>3899</x:v>
      </x:c>
      <x:c r="B3900" s="84" t="n">
        <x:v>2274</x:v>
      </x:c>
      <x:c r="C3900" s="84" t="n">
        <x:v>18</x:v>
      </x:c>
      <x:c r="D3900" s="89" t="n">
        <x:v>45670</x:v>
      </x:c>
      <x:c r="E3900" s="84" t="n">
        <x:v>1.7</x:v>
      </x:c>
      <x:c r="F3900" s="84" t="str">
        <x:v>Normal</x:v>
      </x:c>
      <x:c r="G3900" s="93" t="n">
        <x:v>107.25</x:v>
      </x:c>
      <x:c r="H3900" s="85" t="str">
        <x:v>Diagnóstico e execução</x:v>
      </x:c>
    </x:row>
    <x:row r="3901">
      <x:c r="A3901" s="83" t="n">
        <x:v>3900</x:v>
      </x:c>
      <x:c r="B3901" s="84" t="n">
        <x:v>2274</x:v>
      </x:c>
      <x:c r="C3901" s="84" t="n">
        <x:v>24</x:v>
      </x:c>
      <x:c r="D3901" s="89" t="n">
        <x:v>45670</x:v>
      </x:c>
      <x:c r="E3901" s="84" t="n">
        <x:v>5.1</x:v>
      </x:c>
      <x:c r="F3901" s="84" t="str">
        <x:v>Normal</x:v>
      </x:c>
      <x:c r="G3901" s="93" t="n">
        <x:v>302.12</x:v>
      </x:c>
      <x:c r="H3901" s="85" t="str">
        <x:v>Diagnóstico e execução</x:v>
      </x:c>
    </x:row>
    <x:row r="3902">
      <x:c r="A3902" s="83" t="n">
        <x:v>3901</x:v>
      </x:c>
      <x:c r="B3902" s="84" t="n">
        <x:v>2276</x:v>
      </x:c>
      <x:c r="C3902" s="84" t="n">
        <x:v>28</x:v>
      </x:c>
      <x:c r="D3902" s="89" t="n">
        <x:v>45793</x:v>
      </x:c>
      <x:c r="E3902" s="84" t="n">
        <x:v>0.8</x:v>
      </x:c>
      <x:c r="F3902" s="84" t="str">
        <x:v>Normal</x:v>
      </x:c>
      <x:c r="G3902" s="93" t="n">
        <x:v>30.1</x:v>
      </x:c>
      <x:c r="H3902" s="85" t="str">
        <x:v>Diagnóstico e execução</x:v>
      </x:c>
    </x:row>
    <x:row r="3903">
      <x:c r="A3903" s="83" t="n">
        <x:v>3902</x:v>
      </x:c>
      <x:c r="B3903" s="84" t="n">
        <x:v>2276</x:v>
      </x:c>
      <x:c r="C3903" s="84" t="n">
        <x:v>12</x:v>
      </x:c>
      <x:c r="D3903" s="89" t="n">
        <x:v>45793</x:v>
      </x:c>
      <x:c r="E3903" s="84" t="n">
        <x:v>1.8</x:v>
      </x:c>
      <x:c r="F3903" s="84" t="str">
        <x:v>Normal</x:v>
      </x:c>
      <x:c r="G3903" s="93" t="n">
        <x:v>62.1</x:v>
      </x:c>
      <x:c r="H3903" s="85" t="str">
        <x:v>Diagnóstico e execução</x:v>
      </x:c>
    </x:row>
    <x:row r="3904">
      <x:c r="A3904" s="83" t="n">
        <x:v>3903</x:v>
      </x:c>
      <x:c r="B3904" s="84" t="n">
        <x:v>2277</x:v>
      </x:c>
      <x:c r="C3904" s="84" t="n">
        <x:v>18</x:v>
      </x:c>
      <x:c r="D3904" s="89" t="n">
        <x:v>45769</x:v>
      </x:c>
      <x:c r="E3904" s="84" t="n">
        <x:v>6</x:v>
      </x:c>
      <x:c r="F3904" s="84" t="str">
        <x:v>Normal</x:v>
      </x:c>
      <x:c r="G3904" s="93" t="n">
        <x:v>378.54</x:v>
      </x:c>
      <x:c r="H3904" s="85" t="str">
        <x:v>Diagnóstico e execução</x:v>
      </x:c>
    </x:row>
    <x:row r="3905">
      <x:c r="A3905" s="83" t="n">
        <x:v>3904</x:v>
      </x:c>
      <x:c r="B3905" s="84" t="n">
        <x:v>2277</x:v>
      </x:c>
      <x:c r="C3905" s="84" t="n">
        <x:v>2</x:v>
      </x:c>
      <x:c r="D3905" s="89" t="n">
        <x:v>45769</x:v>
      </x:c>
      <x:c r="E3905" s="84" t="n">
        <x:v>4.8</x:v>
      </x:c>
      <x:c r="F3905" s="84" t="str">
        <x:v>Normal</x:v>
      </x:c>
      <x:c r="G3905" s="93" t="n">
        <x:v>178.85</x:v>
      </x:c>
      <x:c r="H3905" s="85" t="str">
        <x:v>Diagnóstico e execução</x:v>
      </x:c>
    </x:row>
    <x:row r="3906">
      <x:c r="A3906" s="83" t="n">
        <x:v>3905</x:v>
      </x:c>
      <x:c r="B3906" s="84" t="n">
        <x:v>2278</x:v>
      </x:c>
      <x:c r="C3906" s="84" t="n">
        <x:v>7</x:v>
      </x:c>
      <x:c r="D3906" s="89" t="n">
        <x:v>45354</x:v>
      </x:c>
      <x:c r="E3906" s="84" t="n">
        <x:v>3.5</x:v>
      </x:c>
      <x:c r="F3906" s="84" t="str">
        <x:v>Normal</x:v>
      </x:c>
      <x:c r="G3906" s="93" t="n">
        <x:v>203.74</x:v>
      </x:c>
      <x:c r="H3906" s="85" t="str">
        <x:v>Diagnóstico e execução</x:v>
      </x:c>
    </x:row>
    <x:row r="3907">
      <x:c r="A3907" s="83" t="n">
        <x:v>3906</x:v>
      </x:c>
      <x:c r="B3907" s="84" t="n">
        <x:v>2279</x:v>
      </x:c>
      <x:c r="C3907" s="84" t="n">
        <x:v>45</x:v>
      </x:c>
      <x:c r="D3907" s="89" t="n">
        <x:v>45079</x:v>
      </x:c>
      <x:c r="E3907" s="84" t="n">
        <x:v>3.2</x:v>
      </x:c>
      <x:c r="F3907" s="84" t="str">
        <x:v>Normal</x:v>
      </x:c>
      <x:c r="G3907" s="93" t="n">
        <x:v>171.42</x:v>
      </x:c>
      <x:c r="H3907" s="85" t="str">
        <x:v>Diagnóstico e execução</x:v>
      </x:c>
    </x:row>
    <x:row r="3908">
      <x:c r="A3908" s="83" t="n">
        <x:v>3907</x:v>
      </x:c>
      <x:c r="B3908" s="84" t="n">
        <x:v>2280</x:v>
      </x:c>
      <x:c r="C3908" s="84" t="n">
        <x:v>42</x:v>
      </x:c>
      <x:c r="D3908" s="89" t="n">
        <x:v>45945</x:v>
      </x:c>
      <x:c r="E3908" s="84" t="n">
        <x:v>3.3</x:v>
      </x:c>
      <x:c r="F3908" s="84" t="str">
        <x:v>Normal</x:v>
      </x:c>
      <x:c r="G3908" s="93" t="n">
        <x:v>139.19</x:v>
      </x:c>
      <x:c r="H3908" s="85" t="str">
        <x:v>Diagnóstico e execução</x:v>
      </x:c>
    </x:row>
    <x:row r="3909">
      <x:c r="A3909" s="83" t="n">
        <x:v>3908</x:v>
      </x:c>
      <x:c r="B3909" s="84" t="n">
        <x:v>2281</x:v>
      </x:c>
      <x:c r="C3909" s="84" t="n">
        <x:v>30</x:v>
      </x:c>
      <x:c r="D3909" s="89" t="n">
        <x:v>45797</x:v>
      </x:c>
      <x:c r="E3909" s="84" t="n">
        <x:v>6.7</x:v>
      </x:c>
      <x:c r="F3909" s="84" t="str">
        <x:v>Normal</x:v>
      </x:c>
      <x:c r="G3909" s="93" t="n">
        <x:v>277.45</x:v>
      </x:c>
      <x:c r="H3909" s="85" t="str">
        <x:v>Diagnóstico e execução</x:v>
      </x:c>
    </x:row>
    <x:row r="3910">
      <x:c r="A3910" s="83" t="n">
        <x:v>3909</x:v>
      </x:c>
      <x:c r="B3910" s="84" t="n">
        <x:v>2281</x:v>
      </x:c>
      <x:c r="C3910" s="84" t="n">
        <x:v>4</x:v>
      </x:c>
      <x:c r="D3910" s="89" t="n">
        <x:v>45797</x:v>
      </x:c>
      <x:c r="E3910" s="84" t="n">
        <x:v>7.5</x:v>
      </x:c>
      <x:c r="F3910" s="84" t="str">
        <x:v>Normal</x:v>
      </x:c>
      <x:c r="G3910" s="93" t="n">
        <x:v>368.92</x:v>
      </x:c>
      <x:c r="H3910" s="85" t="str">
        <x:v>Diagnóstico e execução</x:v>
      </x:c>
    </x:row>
    <x:row r="3911">
      <x:c r="A3911" s="83" t="n">
        <x:v>3910</x:v>
      </x:c>
      <x:c r="B3911" s="84" t="n">
        <x:v>2282</x:v>
      </x:c>
      <x:c r="C3911" s="84" t="n">
        <x:v>21</x:v>
      </x:c>
      <x:c r="D3911" s="89" t="n">
        <x:v>45709</x:v>
      </x:c>
      <x:c r="E3911" s="84" t="n">
        <x:v>1.5</x:v>
      </x:c>
      <x:c r="F3911" s="84" t="str">
        <x:v>Normal</x:v>
      </x:c>
      <x:c r="G3911" s="93" t="n">
        <x:v>92.14</x:v>
      </x:c>
      <x:c r="H3911" s="85" t="str">
        <x:v>Diagnóstico e execução</x:v>
      </x:c>
    </x:row>
    <x:row r="3912">
      <x:c r="A3912" s="83" t="n">
        <x:v>3911</x:v>
      </x:c>
      <x:c r="B3912" s="84" t="n">
        <x:v>2282</x:v>
      </x:c>
      <x:c r="C3912" s="84" t="n">
        <x:v>45</x:v>
      </x:c>
      <x:c r="D3912" s="89" t="n">
        <x:v>45709</x:v>
      </x:c>
      <x:c r="E3912" s="84" t="n">
        <x:v>0.9</x:v>
      </x:c>
      <x:c r="F3912" s="84" t="str">
        <x:v>Normal</x:v>
      </x:c>
      <x:c r="G3912" s="93" t="n">
        <x:v>48.21</x:v>
      </x:c>
      <x:c r="H3912" s="85" t="str">
        <x:v>Diagnóstico e execução</x:v>
      </x:c>
    </x:row>
    <x:row r="3913">
      <x:c r="A3913" s="83" t="n">
        <x:v>3912</x:v>
      </x:c>
      <x:c r="B3913" s="84" t="n">
        <x:v>2283</x:v>
      </x:c>
      <x:c r="C3913" s="84" t="n">
        <x:v>36</x:v>
      </x:c>
      <x:c r="D3913" s="89" t="n">
        <x:v>45896</x:v>
      </x:c>
      <x:c r="E3913" s="84" t="n">
        <x:v>3.7</x:v>
      </x:c>
      <x:c r="F3913" s="84" t="str">
        <x:v>Normal</x:v>
      </x:c>
      <x:c r="G3913" s="93" t="n">
        <x:v>109.74</x:v>
      </x:c>
      <x:c r="H3913" s="85" t="str">
        <x:v>Diagnóstico e execução</x:v>
      </x:c>
    </x:row>
    <x:row r="3914">
      <x:c r="A3914" s="83" t="n">
        <x:v>3913</x:v>
      </x:c>
      <x:c r="B3914" s="84" t="n">
        <x:v>2283</x:v>
      </x:c>
      <x:c r="C3914" s="84" t="n">
        <x:v>42</x:v>
      </x:c>
      <x:c r="D3914" s="89" t="n">
        <x:v>45896</x:v>
      </x:c>
      <x:c r="E3914" s="84" t="n">
        <x:v>5.5</x:v>
      </x:c>
      <x:c r="F3914" s="84" t="str">
        <x:v>Normal</x:v>
      </x:c>
      <x:c r="G3914" s="93" t="n">
        <x:v>231.99</x:v>
      </x:c>
      <x:c r="H3914" s="85" t="str">
        <x:v>Diagnóstico e execução</x:v>
      </x:c>
    </x:row>
    <x:row r="3915">
      <x:c r="A3915" s="83" t="n">
        <x:v>3914</x:v>
      </x:c>
      <x:c r="B3915" s="84" t="n">
        <x:v>2284</x:v>
      </x:c>
      <x:c r="C3915" s="84" t="n">
        <x:v>6</x:v>
      </x:c>
      <x:c r="D3915" s="89" t="n">
        <x:v>45762</x:v>
      </x:c>
      <x:c r="E3915" s="84" t="n">
        <x:v>4</x:v>
      </x:c>
      <x:c r="F3915" s="84" t="str">
        <x:v>Normal</x:v>
      </x:c>
      <x:c r="G3915" s="93" t="n">
        <x:v>209.04</x:v>
      </x:c>
      <x:c r="H3915" s="85" t="str">
        <x:v>Diagnóstico e execução</x:v>
      </x:c>
    </x:row>
    <x:row r="3916">
      <x:c r="A3916" s="83" t="n">
        <x:v>3915</x:v>
      </x:c>
      <x:c r="B3916" s="84" t="n">
        <x:v>2284</x:v>
      </x:c>
      <x:c r="C3916" s="84" t="n">
        <x:v>11</x:v>
      </x:c>
      <x:c r="D3916" s="89" t="n">
        <x:v>45762</x:v>
      </x:c>
      <x:c r="E3916" s="84" t="n">
        <x:v>0.8</x:v>
      </x:c>
      <x:c r="F3916" s="84" t="str">
        <x:v>Normal</x:v>
      </x:c>
      <x:c r="G3916" s="93" t="n">
        <x:v>33.34</x:v>
      </x:c>
      <x:c r="H3916" s="85" t="str">
        <x:v>Diagnóstico e execução</x:v>
      </x:c>
    </x:row>
    <x:row r="3917">
      <x:c r="A3917" s="83" t="n">
        <x:v>3916</x:v>
      </x:c>
      <x:c r="B3917" s="84" t="n">
        <x:v>2286</x:v>
      </x:c>
      <x:c r="C3917" s="84" t="n">
        <x:v>30</x:v>
      </x:c>
      <x:c r="D3917" s="89" t="n">
        <x:v>45397</x:v>
      </x:c>
      <x:c r="E3917" s="84" t="n">
        <x:v>3.4</x:v>
      </x:c>
      <x:c r="F3917" s="84" t="str">
        <x:v>Normal</x:v>
      </x:c>
      <x:c r="G3917" s="93" t="n">
        <x:v>140.79</x:v>
      </x:c>
      <x:c r="H3917" s="85" t="str">
        <x:v>Diagnóstico e execução</x:v>
      </x:c>
    </x:row>
    <x:row r="3918">
      <x:c r="A3918" s="83" t="n">
        <x:v>3917</x:v>
      </x:c>
      <x:c r="B3918" s="84" t="n">
        <x:v>2286</x:v>
      </x:c>
      <x:c r="C3918" s="84" t="n">
        <x:v>42</x:v>
      </x:c>
      <x:c r="D3918" s="89" t="n">
        <x:v>45397</x:v>
      </x:c>
      <x:c r="E3918" s="84" t="n">
        <x:v>6.2</x:v>
      </x:c>
      <x:c r="F3918" s="84" t="str">
        <x:v>Normal</x:v>
      </x:c>
      <x:c r="G3918" s="93" t="n">
        <x:v>261.52</x:v>
      </x:c>
      <x:c r="H3918" s="85" t="str">
        <x:v>Diagnóstico e execução</x:v>
      </x:c>
    </x:row>
    <x:row r="3919">
      <x:c r="A3919" s="83" t="n">
        <x:v>3918</x:v>
      </x:c>
      <x:c r="B3919" s="84" t="n">
        <x:v>2287</x:v>
      </x:c>
      <x:c r="C3919" s="84" t="n">
        <x:v>23</x:v>
      </x:c>
      <x:c r="D3919" s="89" t="n">
        <x:v>45198</x:v>
      </x:c>
      <x:c r="E3919" s="84" t="n">
        <x:v>2.9</x:v>
      </x:c>
      <x:c r="F3919" s="84" t="str">
        <x:v>Normal</x:v>
      </x:c>
      <x:c r="G3919" s="93" t="n">
        <x:v>125.02</x:v>
      </x:c>
      <x:c r="H3919" s="85" t="str">
        <x:v>Diagnóstico e execução</x:v>
      </x:c>
    </x:row>
    <x:row r="3920">
      <x:c r="A3920" s="83" t="n">
        <x:v>3919</x:v>
      </x:c>
      <x:c r="B3920" s="84" t="n">
        <x:v>2287</x:v>
      </x:c>
      <x:c r="C3920" s="84" t="n">
        <x:v>23</x:v>
      </x:c>
      <x:c r="D3920" s="89" t="n">
        <x:v>45198</x:v>
      </x:c>
      <x:c r="E3920" s="84" t="n">
        <x:v>0.7</x:v>
      </x:c>
      <x:c r="F3920" s="84" t="str">
        <x:v>Normal</x:v>
      </x:c>
      <x:c r="G3920" s="93" t="n">
        <x:v>30.18</x:v>
      </x:c>
      <x:c r="H3920" s="85" t="str">
        <x:v>Diagnóstico e execução</x:v>
      </x:c>
    </x:row>
    <x:row r="3921">
      <x:c r="A3921" s="83" t="n">
        <x:v>3920</x:v>
      </x:c>
      <x:c r="B3921" s="84" t="n">
        <x:v>2288</x:v>
      </x:c>
      <x:c r="C3921" s="84" t="n">
        <x:v>8</x:v>
      </x:c>
      <x:c r="D3921" s="89" t="n">
        <x:v>45459</x:v>
      </x:c>
      <x:c r="E3921" s="84" t="n">
        <x:v>6.1</x:v>
      </x:c>
      <x:c r="F3921" s="84" t="str">
        <x:v>Normal</x:v>
      </x:c>
      <x:c r="G3921" s="93" t="n">
        <x:v>283.65</x:v>
      </x:c>
      <x:c r="H3921" s="85" t="str">
        <x:v>Diagnóstico e execução</x:v>
      </x:c>
    </x:row>
    <x:row r="3922">
      <x:c r="A3922" s="83" t="n">
        <x:v>3921</x:v>
      </x:c>
      <x:c r="B3922" s="84" t="n">
        <x:v>2289</x:v>
      </x:c>
      <x:c r="C3922" s="84" t="n">
        <x:v>1</x:v>
      </x:c>
      <x:c r="D3922" s="89" t="n">
        <x:v>45588</x:v>
      </x:c>
      <x:c r="E3922" s="84" t="n">
        <x:v>1</x:v>
      </x:c>
      <x:c r="F3922" s="84" t="str">
        <x:v>Normal</x:v>
      </x:c>
      <x:c r="G3922" s="93" t="n">
        <x:v>35.37</x:v>
      </x:c>
      <x:c r="H3922" s="85" t="str">
        <x:v>Diagnóstico e execução</x:v>
      </x:c>
    </x:row>
    <x:row r="3923">
      <x:c r="A3923" s="83" t="n">
        <x:v>3922</x:v>
      </x:c>
      <x:c r="B3923" s="84" t="n">
        <x:v>2289</x:v>
      </x:c>
      <x:c r="C3923" s="84" t="n">
        <x:v>7</x:v>
      </x:c>
      <x:c r="D3923" s="89" t="n">
        <x:v>45588</x:v>
      </x:c>
      <x:c r="E3923" s="84" t="n">
        <x:v>3.9</x:v>
      </x:c>
      <x:c r="F3923" s="84" t="str">
        <x:v>Normal</x:v>
      </x:c>
      <x:c r="G3923" s="93" t="n">
        <x:v>227.02</x:v>
      </x:c>
      <x:c r="H3923" s="85" t="str">
        <x:v>Diagnóstico e execução</x:v>
      </x:c>
    </x:row>
    <x:row r="3924">
      <x:c r="A3924" s="83" t="n">
        <x:v>3923</x:v>
      </x:c>
      <x:c r="B3924" s="84" t="n">
        <x:v>2289</x:v>
      </x:c>
      <x:c r="C3924" s="84" t="n">
        <x:v>30</x:v>
      </x:c>
      <x:c r="D3924" s="89" t="n">
        <x:v>45588</x:v>
      </x:c>
      <x:c r="E3924" s="84" t="n">
        <x:v>7.4</x:v>
      </x:c>
      <x:c r="F3924" s="84" t="str">
        <x:v>Normal</x:v>
      </x:c>
      <x:c r="G3924" s="93" t="n">
        <x:v>306.43</x:v>
      </x:c>
      <x:c r="H3924" s="85" t="str">
        <x:v>Diagnóstico e execução</x:v>
      </x:c>
    </x:row>
    <x:row r="3925">
      <x:c r="A3925" s="83" t="n">
        <x:v>3924</x:v>
      </x:c>
      <x:c r="B3925" s="84" t="n">
        <x:v>2290</x:v>
      </x:c>
      <x:c r="C3925" s="84" t="n">
        <x:v>35</x:v>
      </x:c>
      <x:c r="D3925" s="89" t="n">
        <x:v>45033</x:v>
      </x:c>
      <x:c r="E3925" s="84" t="n">
        <x:v>3.6</x:v>
      </x:c>
      <x:c r="F3925" s="84" t="str">
        <x:v>Normal</x:v>
      </x:c>
      <x:c r="G3925" s="93" t="n">
        <x:v>177.08</x:v>
      </x:c>
      <x:c r="H3925" s="85" t="str">
        <x:v>Diagnóstico e execução</x:v>
      </x:c>
    </x:row>
    <x:row r="3926">
      <x:c r="A3926" s="83" t="n">
        <x:v>3925</x:v>
      </x:c>
      <x:c r="B3926" s="84" t="n">
        <x:v>2291</x:v>
      </x:c>
      <x:c r="C3926" s="84" t="n">
        <x:v>24</x:v>
      </x:c>
      <x:c r="D3926" s="89" t="n">
        <x:v>45003</x:v>
      </x:c>
      <x:c r="E3926" s="84" t="n">
        <x:v>5.5</x:v>
      </x:c>
      <x:c r="F3926" s="84" t="str">
        <x:v>Normal</x:v>
      </x:c>
      <x:c r="G3926" s="93" t="n">
        <x:v>325.82</x:v>
      </x:c>
      <x:c r="H3926" s="85" t="str">
        <x:v>Diagnóstico e execução</x:v>
      </x:c>
    </x:row>
    <x:row r="3927">
      <x:c r="A3927" s="83" t="n">
        <x:v>3926</x:v>
      </x:c>
      <x:c r="B3927" s="84" t="n">
        <x:v>2291</x:v>
      </x:c>
      <x:c r="C3927" s="84" t="n">
        <x:v>45</x:v>
      </x:c>
      <x:c r="D3927" s="89" t="n">
        <x:v>45003</x:v>
      </x:c>
      <x:c r="E3927" s="84" t="n">
        <x:v>2.7</x:v>
      </x:c>
      <x:c r="F3927" s="84" t="str">
        <x:v>Normal</x:v>
      </x:c>
      <x:c r="G3927" s="93" t="n">
        <x:v>144.64</x:v>
      </x:c>
      <x:c r="H3927" s="85" t="str">
        <x:v>Diagnóstico e execução</x:v>
      </x:c>
    </x:row>
    <x:row r="3928">
      <x:c r="A3928" s="83" t="n">
        <x:v>3927</x:v>
      </x:c>
      <x:c r="B3928" s="84" t="n">
        <x:v>2292</x:v>
      </x:c>
      <x:c r="C3928" s="84" t="n">
        <x:v>14</x:v>
      </x:c>
      <x:c r="D3928" s="89" t="n">
        <x:v>45462</x:v>
      </x:c>
      <x:c r="E3928" s="84" t="n">
        <x:v>1.5</x:v>
      </x:c>
      <x:c r="F3928" s="84" t="str">
        <x:v>Normal</x:v>
      </x:c>
      <x:c r="G3928" s="93" t="n">
        <x:v>84.99</x:v>
      </x:c>
      <x:c r="H3928" s="85" t="str">
        <x:v>Diagnóstico e execução</x:v>
      </x:c>
    </x:row>
    <x:row r="3929">
      <x:c r="A3929" s="83" t="n">
        <x:v>3928</x:v>
      </x:c>
      <x:c r="B3929" s="84" t="n">
        <x:v>2292</x:v>
      </x:c>
      <x:c r="C3929" s="84" t="n">
        <x:v>11</x:v>
      </x:c>
      <x:c r="D3929" s="89" t="n">
        <x:v>45462</x:v>
      </x:c>
      <x:c r="E3929" s="84" t="n">
        <x:v>5.5</x:v>
      </x:c>
      <x:c r="F3929" s="84" t="str">
        <x:v>Normal</x:v>
      </x:c>
      <x:c r="G3929" s="93" t="n">
        <x:v>229.24</x:v>
      </x:c>
      <x:c r="H3929" s="85" t="str">
        <x:v>Diagnóstico e execução</x:v>
      </x:c>
    </x:row>
    <x:row r="3930">
      <x:c r="A3930" s="83" t="n">
        <x:v>3929</x:v>
      </x:c>
      <x:c r="B3930" s="84" t="n">
        <x:v>2293</x:v>
      </x:c>
      <x:c r="C3930" s="84" t="n">
        <x:v>13</x:v>
      </x:c>
      <x:c r="D3930" s="89" t="n">
        <x:v>45718</x:v>
      </x:c>
      <x:c r="E3930" s="84" t="n">
        <x:v>7.1</x:v>
      </x:c>
      <x:c r="F3930" s="84" t="str">
        <x:v>Normal</x:v>
      </x:c>
      <x:c r="G3930" s="93" t="n">
        <x:v>240.55</x:v>
      </x:c>
      <x:c r="H3930" s="85" t="str">
        <x:v>Diagnóstico e execução</x:v>
      </x:c>
    </x:row>
    <x:row r="3931">
      <x:c r="A3931" s="83" t="n">
        <x:v>3930</x:v>
      </x:c>
      <x:c r="B3931" s="84" t="n">
        <x:v>2293</x:v>
      </x:c>
      <x:c r="C3931" s="84" t="n">
        <x:v>19</x:v>
      </x:c>
      <x:c r="D3931" s="89" t="n">
        <x:v>45718</x:v>
      </x:c>
      <x:c r="E3931" s="84" t="n">
        <x:v>6.8</x:v>
      </x:c>
      <x:c r="F3931" s="84" t="str">
        <x:v>Normal</x:v>
      </x:c>
      <x:c r="G3931" s="93" t="n">
        <x:v>316.06</x:v>
      </x:c>
      <x:c r="H3931" s="85" t="str">
        <x:v>Diagnóstico e execução</x:v>
      </x:c>
    </x:row>
    <x:row r="3932">
      <x:c r="A3932" s="83" t="n">
        <x:v>3931</x:v>
      </x:c>
      <x:c r="B3932" s="84" t="n">
        <x:v>2293</x:v>
      </x:c>
      <x:c r="C3932" s="84" t="n">
        <x:v>35</x:v>
      </x:c>
      <x:c r="D3932" s="89" t="n">
        <x:v>45718</x:v>
      </x:c>
      <x:c r="E3932" s="84" t="n">
        <x:v>5.8</x:v>
      </x:c>
      <x:c r="F3932" s="84" t="str">
        <x:v>Normal</x:v>
      </x:c>
      <x:c r="G3932" s="93" t="n">
        <x:v>285.3</x:v>
      </x:c>
      <x:c r="H3932" s="85" t="str">
        <x:v>Diagnóstico e execução</x:v>
      </x:c>
    </x:row>
    <x:row r="3933">
      <x:c r="A3933" s="83" t="n">
        <x:v>3932</x:v>
      </x:c>
      <x:c r="B3933" s="84" t="n">
        <x:v>2294</x:v>
      </x:c>
      <x:c r="C3933" s="84" t="n">
        <x:v>5</x:v>
      </x:c>
      <x:c r="D3933" s="89" t="n">
        <x:v>45217</x:v>
      </x:c>
      <x:c r="E3933" s="84" t="n">
        <x:v>1.9</x:v>
      </x:c>
      <x:c r="F3933" s="84" t="str">
        <x:v>Normal</x:v>
      </x:c>
      <x:c r="G3933" s="93" t="n">
        <x:v>54.76</x:v>
      </x:c>
      <x:c r="H3933" s="85" t="str">
        <x:v>Diagnóstico e execução</x:v>
      </x:c>
    </x:row>
    <x:row r="3934">
      <x:c r="A3934" s="83" t="n">
        <x:v>3933</x:v>
      </x:c>
      <x:c r="B3934" s="84" t="n">
        <x:v>2294</x:v>
      </x:c>
      <x:c r="C3934" s="84" t="n">
        <x:v>26</x:v>
      </x:c>
      <x:c r="D3934" s="89" t="n">
        <x:v>45217</x:v>
      </x:c>
      <x:c r="E3934" s="84" t="n">
        <x:v>6</x:v>
      </x:c>
      <x:c r="F3934" s="84" t="str">
        <x:v>Normal</x:v>
      </x:c>
      <x:c r="G3934" s="93" t="n">
        <x:v>234.72</x:v>
      </x:c>
      <x:c r="H3934" s="85" t="str">
        <x:v>Diagnóstico e execução</x:v>
      </x:c>
    </x:row>
    <x:row r="3935">
      <x:c r="A3935" s="83" t="n">
        <x:v>3934</x:v>
      </x:c>
      <x:c r="B3935" s="84" t="n">
        <x:v>2294</x:v>
      </x:c>
      <x:c r="C3935" s="84" t="n">
        <x:v>7</x:v>
      </x:c>
      <x:c r="D3935" s="89" t="n">
        <x:v>45217</x:v>
      </x:c>
      <x:c r="E3935" s="84" t="n">
        <x:v>2.2</x:v>
      </x:c>
      <x:c r="F3935" s="84" t="str">
        <x:v>Normal</x:v>
      </x:c>
      <x:c r="G3935" s="93" t="n">
        <x:v>128.06</x:v>
      </x:c>
      <x:c r="H3935" s="85" t="str">
        <x:v>Diagnóstico e execução</x:v>
      </x:c>
    </x:row>
    <x:row r="3936">
      <x:c r="A3936" s="83" t="n">
        <x:v>3935</x:v>
      </x:c>
      <x:c r="B3936" s="84" t="n">
        <x:v>2296</x:v>
      </x:c>
      <x:c r="C3936" s="84" t="n">
        <x:v>34</x:v>
      </x:c>
      <x:c r="D3936" s="89" t="n">
        <x:v>45632</x:v>
      </x:c>
      <x:c r="E3936" s="84" t="n">
        <x:v>2.1</x:v>
      </x:c>
      <x:c r="F3936" s="84" t="str">
        <x:v>Normal</x:v>
      </x:c>
      <x:c r="G3936" s="93" t="n">
        <x:v>90.78</x:v>
      </x:c>
      <x:c r="H3936" s="85" t="str">
        <x:v>Diagnóstico e execução</x:v>
      </x:c>
    </x:row>
    <x:row r="3937">
      <x:c r="A3937" s="83" t="n">
        <x:v>3936</x:v>
      </x:c>
      <x:c r="B3937" s="84" t="n">
        <x:v>2297</x:v>
      </x:c>
      <x:c r="C3937" s="84" t="n">
        <x:v>4</x:v>
      </x:c>
      <x:c r="D3937" s="89" t="n">
        <x:v>45084</x:v>
      </x:c>
      <x:c r="E3937" s="84" t="n">
        <x:v>5.6</x:v>
      </x:c>
      <x:c r="F3937" s="84" t="str">
        <x:v>Normal</x:v>
      </x:c>
      <x:c r="G3937" s="93" t="n">
        <x:v>275.46</x:v>
      </x:c>
      <x:c r="H3937" s="85" t="str">
        <x:v>Diagnóstico e execução</x:v>
      </x:c>
    </x:row>
    <x:row r="3938">
      <x:c r="A3938" s="83" t="n">
        <x:v>3937</x:v>
      </x:c>
      <x:c r="B3938" s="84" t="n">
        <x:v>2298</x:v>
      </x:c>
      <x:c r="C3938" s="84" t="n">
        <x:v>17</x:v>
      </x:c>
      <x:c r="D3938" s="89" t="n">
        <x:v>45972</x:v>
      </x:c>
      <x:c r="E3938" s="84" t="n">
        <x:v>5</x:v>
      </x:c>
      <x:c r="F3938" s="84" t="str">
        <x:v>Normal</x:v>
      </x:c>
      <x:c r="G3938" s="93" t="n">
        <x:v>278.9</x:v>
      </x:c>
      <x:c r="H3938" s="85" t="str">
        <x:v>Diagnóstico e execução</x:v>
      </x:c>
    </x:row>
    <x:row r="3939">
      <x:c r="A3939" s="83" t="n">
        <x:v>3938</x:v>
      </x:c>
      <x:c r="B3939" s="84" t="n">
        <x:v>2299</x:v>
      </x:c>
      <x:c r="C3939" s="84" t="n">
        <x:v>26</x:v>
      </x:c>
      <x:c r="D3939" s="89" t="n">
        <x:v>45804</x:v>
      </x:c>
      <x:c r="E3939" s="84" t="n">
        <x:v>1.8</x:v>
      </x:c>
      <x:c r="F3939" s="84" t="str">
        <x:v>Normal</x:v>
      </x:c>
      <x:c r="G3939" s="93" t="n">
        <x:v>70.42</x:v>
      </x:c>
      <x:c r="H3939" s="85" t="str">
        <x:v>Diagnóstico e execução</x:v>
      </x:c>
    </x:row>
    <x:row r="3940">
      <x:c r="A3940" s="83" t="n">
        <x:v>3939</x:v>
      </x:c>
      <x:c r="B3940" s="84" t="n">
        <x:v>2299</x:v>
      </x:c>
      <x:c r="C3940" s="84" t="n">
        <x:v>16</x:v>
      </x:c>
      <x:c r="D3940" s="89" t="n">
        <x:v>45804</x:v>
      </x:c>
      <x:c r="E3940" s="84" t="n">
        <x:v>2.8</x:v>
      </x:c>
      <x:c r="F3940" s="84" t="str">
        <x:v>Normal</x:v>
      </x:c>
      <x:c r="G3940" s="93" t="n">
        <x:v>113.46</x:v>
      </x:c>
      <x:c r="H3940" s="85" t="str">
        <x:v>Diagnóstico e execução</x:v>
      </x:c>
    </x:row>
    <x:row r="3941">
      <x:c r="A3941" s="83" t="n">
        <x:v>3940</x:v>
      </x:c>
      <x:c r="B3941" s="84" t="n">
        <x:v>2299</x:v>
      </x:c>
      <x:c r="C3941" s="84" t="n">
        <x:v>20</x:v>
      </x:c>
      <x:c r="D3941" s="89" t="n">
        <x:v>45804</x:v>
      </x:c>
      <x:c r="E3941" s="84" t="n">
        <x:v>1.4</x:v>
      </x:c>
      <x:c r="F3941" s="84" t="str">
        <x:v>Normal</x:v>
      </x:c>
      <x:c r="G3941" s="93" t="n">
        <x:v>46.93</x:v>
      </x:c>
      <x:c r="H3941" s="85" t="str">
        <x:v>Diagnóstico e execução</x:v>
      </x:c>
    </x:row>
    <x:row r="3942">
      <x:c r="A3942" s="83" t="n">
        <x:v>3941</x:v>
      </x:c>
      <x:c r="B3942" s="84" t="n">
        <x:v>2301</x:v>
      </x:c>
      <x:c r="C3942" s="84" t="n">
        <x:v>2</x:v>
      </x:c>
      <x:c r="D3942" s="89" t="n">
        <x:v>45481</x:v>
      </x:c>
      <x:c r="E3942" s="84" t="n">
        <x:v>3.4</x:v>
      </x:c>
      <x:c r="F3942" s="84" t="str">
        <x:v>Normal</x:v>
      </x:c>
      <x:c r="G3942" s="93" t="n">
        <x:v>126.68</x:v>
      </x:c>
      <x:c r="H3942" s="85" t="str">
        <x:v>Diagnóstico e execução</x:v>
      </x:c>
    </x:row>
    <x:row r="3943">
      <x:c r="A3943" s="83" t="n">
        <x:v>3942</x:v>
      </x:c>
      <x:c r="B3943" s="84" t="n">
        <x:v>2301</x:v>
      </x:c>
      <x:c r="C3943" s="84" t="n">
        <x:v>6</x:v>
      </x:c>
      <x:c r="D3943" s="89" t="n">
        <x:v>45481</x:v>
      </x:c>
      <x:c r="E3943" s="84" t="n">
        <x:v>6.8</x:v>
      </x:c>
      <x:c r="F3943" s="84" t="str">
        <x:v>Normal</x:v>
      </x:c>
      <x:c r="G3943" s="93" t="n">
        <x:v>355.37</x:v>
      </x:c>
      <x:c r="H3943" s="85" t="str">
        <x:v>Diagnóstico e execução</x:v>
      </x:c>
    </x:row>
    <x:row r="3944">
      <x:c r="A3944" s="83" t="n">
        <x:v>3943</x:v>
      </x:c>
      <x:c r="B3944" s="84" t="n">
        <x:v>2301</x:v>
      </x:c>
      <x:c r="C3944" s="84" t="n">
        <x:v>44</x:v>
      </x:c>
      <x:c r="D3944" s="89" t="n">
        <x:v>45481</x:v>
      </x:c>
      <x:c r="E3944" s="84" t="n">
        <x:v>2.2</x:v>
      </x:c>
      <x:c r="F3944" s="84" t="str">
        <x:v>Normal</x:v>
      </x:c>
      <x:c r="G3944" s="93" t="n">
        <x:v>61.69</x:v>
      </x:c>
      <x:c r="H3944" s="85" t="str">
        <x:v>Diagnóstico e execução</x:v>
      </x:c>
    </x:row>
    <x:row r="3945">
      <x:c r="A3945" s="83" t="n">
        <x:v>3944</x:v>
      </x:c>
      <x:c r="B3945" s="84" t="n">
        <x:v>2302</x:v>
      </x:c>
      <x:c r="C3945" s="84" t="n">
        <x:v>43</x:v>
      </x:c>
      <x:c r="D3945" s="89" t="n">
        <x:v>45333</x:v>
      </x:c>
      <x:c r="E3945" s="84" t="n">
        <x:v>3.7</x:v>
      </x:c>
      <x:c r="F3945" s="84" t="str">
        <x:v>Normal</x:v>
      </x:c>
      <x:c r="G3945" s="93" t="n">
        <x:v>202.24</x:v>
      </x:c>
      <x:c r="H3945" s="85" t="str">
        <x:v>Diagnóstico e execução</x:v>
      </x:c>
    </x:row>
    <x:row r="3946">
      <x:c r="A3946" s="83" t="n">
        <x:v>3945</x:v>
      </x:c>
      <x:c r="B3946" s="84" t="n">
        <x:v>2302</x:v>
      </x:c>
      <x:c r="C3946" s="84" t="n">
        <x:v>4</x:v>
      </x:c>
      <x:c r="D3946" s="89" t="n">
        <x:v>45333</x:v>
      </x:c>
      <x:c r="E3946" s="84" t="n">
        <x:v>5</x:v>
      </x:c>
      <x:c r="F3946" s="84" t="str">
        <x:v>Normal</x:v>
      </x:c>
      <x:c r="G3946" s="93" t="n">
        <x:v>245.95</x:v>
      </x:c>
      <x:c r="H3946" s="85" t="str">
        <x:v>Diagnóstico e execução</x:v>
      </x:c>
    </x:row>
    <x:row r="3947">
      <x:c r="A3947" s="83" t="n">
        <x:v>3946</x:v>
      </x:c>
      <x:c r="B3947" s="84" t="n">
        <x:v>2303</x:v>
      </x:c>
      <x:c r="C3947" s="84" t="n">
        <x:v>6</x:v>
      </x:c>
      <x:c r="D3947" s="89" t="n">
        <x:v>45460</x:v>
      </x:c>
      <x:c r="E3947" s="84" t="n">
        <x:v>1.8</x:v>
      </x:c>
      <x:c r="F3947" s="84" t="str">
        <x:v>Normal</x:v>
      </x:c>
      <x:c r="G3947" s="93" t="n">
        <x:v>94.07</x:v>
      </x:c>
      <x:c r="H3947" s="85" t="str">
        <x:v>Diagnóstico e execução</x:v>
      </x:c>
    </x:row>
    <x:row r="3948">
      <x:c r="A3948" s="83" t="n">
        <x:v>3947</x:v>
      </x:c>
      <x:c r="B3948" s="84" t="n">
        <x:v>2304</x:v>
      </x:c>
      <x:c r="C3948" s="84" t="n">
        <x:v>5</x:v>
      </x:c>
      <x:c r="D3948" s="89" t="n">
        <x:v>45872</x:v>
      </x:c>
      <x:c r="E3948" s="84" t="n">
        <x:v>6.5</x:v>
      </x:c>
      <x:c r="F3948" s="84" t="str">
        <x:v>Normal</x:v>
      </x:c>
      <x:c r="G3948" s="93" t="n">
        <x:v>187.33</x:v>
      </x:c>
      <x:c r="H3948" s="85" t="str">
        <x:v>Diagnóstico e execução</x:v>
      </x:c>
    </x:row>
    <x:row r="3949">
      <x:c r="A3949" s="83" t="n">
        <x:v>3948</x:v>
      </x:c>
      <x:c r="B3949" s="84" t="n">
        <x:v>2305</x:v>
      </x:c>
      <x:c r="C3949" s="84" t="n">
        <x:v>36</x:v>
      </x:c>
      <x:c r="D3949" s="89" t="n">
        <x:v>45361</x:v>
      </x:c>
      <x:c r="E3949" s="84" t="n">
        <x:v>2.4</x:v>
      </x:c>
      <x:c r="F3949" s="84" t="str">
        <x:v>Normal</x:v>
      </x:c>
      <x:c r="G3949" s="93" t="n">
        <x:v>71.18</x:v>
      </x:c>
      <x:c r="H3949" s="85" t="str">
        <x:v>Diagnóstico e execução</x:v>
      </x:c>
    </x:row>
    <x:row r="3950">
      <x:c r="A3950" s="83" t="n">
        <x:v>3949</x:v>
      </x:c>
      <x:c r="B3950" s="84" t="n">
        <x:v>2305</x:v>
      </x:c>
      <x:c r="C3950" s="84" t="n">
        <x:v>1</x:v>
      </x:c>
      <x:c r="D3950" s="89" t="n">
        <x:v>45361</x:v>
      </x:c>
      <x:c r="E3950" s="84" t="n">
        <x:v>1.6</x:v>
      </x:c>
      <x:c r="F3950" s="84" t="str">
        <x:v>Normal</x:v>
      </x:c>
      <x:c r="G3950" s="93" t="n">
        <x:v>56.59</x:v>
      </x:c>
      <x:c r="H3950" s="85" t="str">
        <x:v>Diagnóstico e execução</x:v>
      </x:c>
    </x:row>
    <x:row r="3951">
      <x:c r="A3951" s="83" t="n">
        <x:v>3950</x:v>
      </x:c>
      <x:c r="B3951" s="84" t="n">
        <x:v>2306</x:v>
      </x:c>
      <x:c r="C3951" s="84" t="n">
        <x:v>11</x:v>
      </x:c>
      <x:c r="D3951" s="89" t="n">
        <x:v>45834</x:v>
      </x:c>
      <x:c r="E3951" s="84" t="n">
        <x:v>6.8</x:v>
      </x:c>
      <x:c r="F3951" s="84" t="str">
        <x:v>Normal</x:v>
      </x:c>
      <x:c r="G3951" s="93" t="n">
        <x:v>283.42</x:v>
      </x:c>
      <x:c r="H3951" s="85" t="str">
        <x:v>Diagnóstico e execução</x:v>
      </x:c>
    </x:row>
    <x:row r="3952">
      <x:c r="A3952" s="83" t="n">
        <x:v>3951</x:v>
      </x:c>
      <x:c r="B3952" s="84" t="n">
        <x:v>2307</x:v>
      </x:c>
      <x:c r="C3952" s="84" t="n">
        <x:v>6</x:v>
      </x:c>
      <x:c r="D3952" s="89" t="n">
        <x:v>45186</x:v>
      </x:c>
      <x:c r="E3952" s="84" t="n">
        <x:v>7.7</x:v>
      </x:c>
      <x:c r="F3952" s="84" t="str">
        <x:v>Normal</x:v>
      </x:c>
      <x:c r="G3952" s="93" t="n">
        <x:v>402.4</x:v>
      </x:c>
      <x:c r="H3952" s="85" t="str">
        <x:v>Diagnóstico e execução</x:v>
      </x:c>
    </x:row>
    <x:row r="3953">
      <x:c r="A3953" s="83" t="n">
        <x:v>3952</x:v>
      </x:c>
      <x:c r="B3953" s="84" t="n">
        <x:v>2307</x:v>
      </x:c>
      <x:c r="C3953" s="84" t="n">
        <x:v>24</x:v>
      </x:c>
      <x:c r="D3953" s="89" t="n">
        <x:v>45186</x:v>
      </x:c>
      <x:c r="E3953" s="84" t="n">
        <x:v>7.4</x:v>
      </x:c>
      <x:c r="F3953" s="84" t="str">
        <x:v>Normal</x:v>
      </x:c>
      <x:c r="G3953" s="93" t="n">
        <x:v>438.38</x:v>
      </x:c>
      <x:c r="H3953" s="85" t="str">
        <x:v>Diagnóstico e execução</x:v>
      </x:c>
    </x:row>
    <x:row r="3954">
      <x:c r="A3954" s="83" t="n">
        <x:v>3953</x:v>
      </x:c>
      <x:c r="B3954" s="84" t="n">
        <x:v>2308</x:v>
      </x:c>
      <x:c r="C3954" s="84" t="n">
        <x:v>42</x:v>
      </x:c>
      <x:c r="D3954" s="89" t="n">
        <x:v>45088</x:v>
      </x:c>
      <x:c r="E3954" s="84" t="n">
        <x:v>2.1</x:v>
      </x:c>
      <x:c r="F3954" s="84" t="str">
        <x:v>Normal</x:v>
      </x:c>
      <x:c r="G3954" s="93" t="n">
        <x:v>88.58</x:v>
      </x:c>
      <x:c r="H3954" s="85" t="str">
        <x:v>Diagnóstico e execução</x:v>
      </x:c>
    </x:row>
    <x:row r="3955">
      <x:c r="A3955" s="83" t="n">
        <x:v>3954</x:v>
      </x:c>
      <x:c r="B3955" s="84" t="n">
        <x:v>2308</x:v>
      </x:c>
      <x:c r="C3955" s="84" t="n">
        <x:v>30</x:v>
      </x:c>
      <x:c r="D3955" s="89" t="n">
        <x:v>45088</x:v>
      </x:c>
      <x:c r="E3955" s="84" t="n">
        <x:v>1.2</x:v>
      </x:c>
      <x:c r="F3955" s="84" t="str">
        <x:v>Normal</x:v>
      </x:c>
      <x:c r="G3955" s="93" t="n">
        <x:v>49.69</x:v>
      </x:c>
      <x:c r="H3955" s="85" t="str">
        <x:v>Diagnóstico e execução</x:v>
      </x:c>
    </x:row>
    <x:row r="3956">
      <x:c r="A3956" s="83" t="n">
        <x:v>3955</x:v>
      </x:c>
      <x:c r="B3956" s="84" t="n">
        <x:v>2308</x:v>
      </x:c>
      <x:c r="C3956" s="84" t="n">
        <x:v>33</x:v>
      </x:c>
      <x:c r="D3956" s="89" t="n">
        <x:v>45088</x:v>
      </x:c>
      <x:c r="E3956" s="84" t="n">
        <x:v>3.8</x:v>
      </x:c>
      <x:c r="F3956" s="84" t="str">
        <x:v>Normal</x:v>
      </x:c>
      <x:c r="G3956" s="93" t="n">
        <x:v>131.06</x:v>
      </x:c>
      <x:c r="H3956" s="85" t="str">
        <x:v>Diagnóstico e execução</x:v>
      </x:c>
    </x:row>
    <x:row r="3957">
      <x:c r="A3957" s="83" t="n">
        <x:v>3956</x:v>
      </x:c>
      <x:c r="B3957" s="84" t="n">
        <x:v>2309</x:v>
      </x:c>
      <x:c r="C3957" s="84" t="n">
        <x:v>20</x:v>
      </x:c>
      <x:c r="D3957" s="89" t="n">
        <x:v>45307</x:v>
      </x:c>
      <x:c r="E3957" s="84" t="n">
        <x:v>5.2</x:v>
      </x:c>
      <x:c r="F3957" s="84" t="str">
        <x:v>Normal</x:v>
      </x:c>
      <x:c r="G3957" s="93" t="n">
        <x:v>174.3</x:v>
      </x:c>
      <x:c r="H3957" s="85" t="str">
        <x:v>Diagnóstico e execução</x:v>
      </x:c>
    </x:row>
    <x:row r="3958">
      <x:c r="A3958" s="83" t="n">
        <x:v>3957</x:v>
      </x:c>
      <x:c r="B3958" s="84" t="n">
        <x:v>2309</x:v>
      </x:c>
      <x:c r="C3958" s="84" t="n">
        <x:v>39</x:v>
      </x:c>
      <x:c r="D3958" s="89" t="n">
        <x:v>45307</x:v>
      </x:c>
      <x:c r="E3958" s="84" t="n">
        <x:v>6.5</x:v>
      </x:c>
      <x:c r="F3958" s="84" t="str">
        <x:v>Normal</x:v>
      </x:c>
      <x:c r="G3958" s="93" t="n">
        <x:v>376.35</x:v>
      </x:c>
      <x:c r="H3958" s="85" t="str">
        <x:v>Diagnóstico e execução</x:v>
      </x:c>
    </x:row>
    <x:row r="3959">
      <x:c r="A3959" s="83" t="n">
        <x:v>3958</x:v>
      </x:c>
      <x:c r="B3959" s="84" t="n">
        <x:v>2310</x:v>
      </x:c>
      <x:c r="C3959" s="84" t="n">
        <x:v>14</x:v>
      </x:c>
      <x:c r="D3959" s="89" t="n">
        <x:v>45790</x:v>
      </x:c>
      <x:c r="E3959" s="84" t="n">
        <x:v>1.4</x:v>
      </x:c>
      <x:c r="F3959" s="84" t="str">
        <x:v>Normal</x:v>
      </x:c>
      <x:c r="G3959" s="93" t="n">
        <x:v>79.32</x:v>
      </x:c>
      <x:c r="H3959" s="85" t="str">
        <x:v>Diagnóstico e execução</x:v>
      </x:c>
    </x:row>
    <x:row r="3960">
      <x:c r="A3960" s="83" t="n">
        <x:v>3959</x:v>
      </x:c>
      <x:c r="B3960" s="84" t="n">
        <x:v>2311</x:v>
      </x:c>
      <x:c r="C3960" s="84" t="n">
        <x:v>23</x:v>
      </x:c>
      <x:c r="D3960" s="89" t="n">
        <x:v>45900</x:v>
      </x:c>
      <x:c r="E3960" s="84" t="n">
        <x:v>2.7</x:v>
      </x:c>
      <x:c r="F3960" s="84" t="str">
        <x:v>Normal</x:v>
      </x:c>
      <x:c r="G3960" s="93" t="n">
        <x:v>116.4</x:v>
      </x:c>
      <x:c r="H3960" s="85" t="str">
        <x:v>Diagnóstico e execução</x:v>
      </x:c>
    </x:row>
    <x:row r="3961">
      <x:c r="A3961" s="83" t="n">
        <x:v>3960</x:v>
      </x:c>
      <x:c r="B3961" s="84" t="n">
        <x:v>2311</x:v>
      </x:c>
      <x:c r="C3961" s="84" t="n">
        <x:v>27</x:v>
      </x:c>
      <x:c r="D3961" s="89" t="n">
        <x:v>45900</x:v>
      </x:c>
      <x:c r="E3961" s="84" t="n">
        <x:v>3.1</x:v>
      </x:c>
      <x:c r="F3961" s="84" t="str">
        <x:v>Normal</x:v>
      </x:c>
      <x:c r="G3961" s="93" t="n">
        <x:v>189.07</x:v>
      </x:c>
      <x:c r="H3961" s="85" t="str">
        <x:v>Diagnóstico e execução</x:v>
      </x:c>
    </x:row>
    <x:row r="3962">
      <x:c r="A3962" s="83" t="n">
        <x:v>3961</x:v>
      </x:c>
      <x:c r="B3962" s="84" t="n">
        <x:v>2311</x:v>
      </x:c>
      <x:c r="C3962" s="84" t="n">
        <x:v>2</x:v>
      </x:c>
      <x:c r="D3962" s="89" t="n">
        <x:v>45900</x:v>
      </x:c>
      <x:c r="E3962" s="84" t="n">
        <x:v>5.6</x:v>
      </x:c>
      <x:c r="F3962" s="84" t="str">
        <x:v>Normal</x:v>
      </x:c>
      <x:c r="G3962" s="93" t="n">
        <x:v>208.66</x:v>
      </x:c>
      <x:c r="H3962" s="85" t="str">
        <x:v>Diagnóstico e execução</x:v>
      </x:c>
    </x:row>
    <x:row r="3963">
      <x:c r="A3963" s="83" t="n">
        <x:v>3962</x:v>
      </x:c>
      <x:c r="B3963" s="84" t="n">
        <x:v>2312</x:v>
      </x:c>
      <x:c r="C3963" s="84" t="n">
        <x:v>13</x:v>
      </x:c>
      <x:c r="D3963" s="89" t="n">
        <x:v>45352</x:v>
      </x:c>
      <x:c r="E3963" s="84" t="n">
        <x:v>3.4</x:v>
      </x:c>
      <x:c r="F3963" s="84" t="str">
        <x:v>Normal</x:v>
      </x:c>
      <x:c r="G3963" s="93" t="n">
        <x:v>115.19</x:v>
      </x:c>
      <x:c r="H3963" s="85" t="str">
        <x:v>Diagnóstico e execução</x:v>
      </x:c>
    </x:row>
    <x:row r="3964">
      <x:c r="A3964" s="83" t="n">
        <x:v>3963</x:v>
      </x:c>
      <x:c r="B3964" s="84" t="n">
        <x:v>2312</x:v>
      </x:c>
      <x:c r="C3964" s="84" t="n">
        <x:v>14</x:v>
      </x:c>
      <x:c r="D3964" s="89" t="n">
        <x:v>45352</x:v>
      </x:c>
      <x:c r="E3964" s="84" t="n">
        <x:v>3.9</x:v>
      </x:c>
      <x:c r="F3964" s="84" t="str">
        <x:v>Normal</x:v>
      </x:c>
      <x:c r="G3964" s="93" t="n">
        <x:v>220.97</x:v>
      </x:c>
      <x:c r="H3964" s="85" t="str">
        <x:v>Diagnóstico e execução</x:v>
      </x:c>
    </x:row>
    <x:row r="3965">
      <x:c r="A3965" s="83" t="n">
        <x:v>3964</x:v>
      </x:c>
      <x:c r="B3965" s="84" t="n">
        <x:v>2312</x:v>
      </x:c>
      <x:c r="C3965" s="84" t="n">
        <x:v>22</x:v>
      </x:c>
      <x:c r="D3965" s="89" t="n">
        <x:v>45352</x:v>
      </x:c>
      <x:c r="E3965" s="84" t="n">
        <x:v>1.1</x:v>
      </x:c>
      <x:c r="F3965" s="84" t="str">
        <x:v>Normal</x:v>
      </x:c>
      <x:c r="G3965" s="93" t="n">
        <x:v>42.31</x:v>
      </x:c>
      <x:c r="H3965" s="85" t="str">
        <x:v>Diagnóstico e execução</x:v>
      </x:c>
    </x:row>
    <x:row r="3966">
      <x:c r="A3966" s="83" t="n">
        <x:v>3965</x:v>
      </x:c>
      <x:c r="B3966" s="84" t="n">
        <x:v>2313</x:v>
      </x:c>
      <x:c r="C3966" s="84" t="n">
        <x:v>4</x:v>
      </x:c>
      <x:c r="D3966" s="89" t="n">
        <x:v>45355</x:v>
      </x:c>
      <x:c r="E3966" s="84" t="n">
        <x:v>6.2</x:v>
      </x:c>
      <x:c r="F3966" s="84" t="str">
        <x:v>Normal</x:v>
      </x:c>
      <x:c r="G3966" s="93" t="n">
        <x:v>304.98</x:v>
      </x:c>
      <x:c r="H3966" s="85" t="str">
        <x:v>Diagnóstico e execução</x:v>
      </x:c>
    </x:row>
    <x:row r="3967">
      <x:c r="A3967" s="83" t="n">
        <x:v>3966</x:v>
      </x:c>
      <x:c r="B3967" s="84" t="n">
        <x:v>2314</x:v>
      </x:c>
      <x:c r="C3967" s="84" t="n">
        <x:v>35</x:v>
      </x:c>
      <x:c r="D3967" s="89" t="n">
        <x:v>45153</x:v>
      </x:c>
      <x:c r="E3967" s="84" t="n">
        <x:v>4.2</x:v>
      </x:c>
      <x:c r="F3967" s="84" t="str">
        <x:v>Normal</x:v>
      </x:c>
      <x:c r="G3967" s="93" t="n">
        <x:v>206.6</x:v>
      </x:c>
      <x:c r="H3967" s="85" t="str">
        <x:v>Diagnóstico e execução</x:v>
      </x:c>
    </x:row>
    <x:row r="3968">
      <x:c r="A3968" s="83" t="n">
        <x:v>3967</x:v>
      </x:c>
      <x:c r="B3968" s="84" t="n">
        <x:v>2314</x:v>
      </x:c>
      <x:c r="C3968" s="84" t="n">
        <x:v>5</x:v>
      </x:c>
      <x:c r="D3968" s="89" t="n">
        <x:v>45153</x:v>
      </x:c>
      <x:c r="E3968" s="84" t="n">
        <x:v>1.6</x:v>
      </x:c>
      <x:c r="F3968" s="84" t="str">
        <x:v>Normal</x:v>
      </x:c>
      <x:c r="G3968" s="93" t="n">
        <x:v>46.11</x:v>
      </x:c>
      <x:c r="H3968" s="85" t="str">
        <x:v>Diagnóstico e execução</x:v>
      </x:c>
    </x:row>
    <x:row r="3969">
      <x:c r="A3969" s="83" t="n">
        <x:v>3968</x:v>
      </x:c>
      <x:c r="B3969" s="84" t="n">
        <x:v>2315</x:v>
      </x:c>
      <x:c r="C3969" s="84" t="n">
        <x:v>27</x:v>
      </x:c>
      <x:c r="D3969" s="89" t="n">
        <x:v>44947</x:v>
      </x:c>
      <x:c r="E3969" s="84" t="n">
        <x:v>5.9</x:v>
      </x:c>
      <x:c r="F3969" s="84" t="str">
        <x:v>Normal</x:v>
      </x:c>
      <x:c r="G3969" s="93" t="n">
        <x:v>359.84</x:v>
      </x:c>
      <x:c r="H3969" s="85" t="str">
        <x:v>Diagnóstico e execução</x:v>
      </x:c>
    </x:row>
    <x:row r="3970">
      <x:c r="A3970" s="83" t="n">
        <x:v>3969</x:v>
      </x:c>
      <x:c r="B3970" s="84" t="n">
        <x:v>2315</x:v>
      </x:c>
      <x:c r="C3970" s="84" t="n">
        <x:v>30</x:v>
      </x:c>
      <x:c r="D3970" s="89" t="n">
        <x:v>44947</x:v>
      </x:c>
      <x:c r="E3970" s="84" t="n">
        <x:v>1.7</x:v>
      </x:c>
      <x:c r="F3970" s="84" t="str">
        <x:v>Normal</x:v>
      </x:c>
      <x:c r="G3970" s="93" t="n">
        <x:v>70.4</x:v>
      </x:c>
      <x:c r="H3970" s="85" t="str">
        <x:v>Diagnóstico e execução</x:v>
      </x:c>
    </x:row>
    <x:row r="3971">
      <x:c r="A3971" s="83" t="n">
        <x:v>3970</x:v>
      </x:c>
      <x:c r="B3971" s="84" t="n">
        <x:v>2316</x:v>
      </x:c>
      <x:c r="C3971" s="84" t="n">
        <x:v>39</x:v>
      </x:c>
      <x:c r="D3971" s="89" t="n">
        <x:v>45035</x:v>
      </x:c>
      <x:c r="E3971" s="84" t="n">
        <x:v>2.1</x:v>
      </x:c>
      <x:c r="F3971" s="84" t="str">
        <x:v>Normal</x:v>
      </x:c>
      <x:c r="G3971" s="93" t="n">
        <x:v>121.59</x:v>
      </x:c>
      <x:c r="H3971" s="85" t="str">
        <x:v>Diagnóstico e execução</x:v>
      </x:c>
    </x:row>
    <x:row r="3972">
      <x:c r="A3972" s="83" t="n">
        <x:v>3971</x:v>
      </x:c>
      <x:c r="B3972" s="84" t="n">
        <x:v>2316</x:v>
      </x:c>
      <x:c r="C3972" s="84" t="n">
        <x:v>12</x:v>
      </x:c>
      <x:c r="D3972" s="89" t="n">
        <x:v>45035</x:v>
      </x:c>
      <x:c r="E3972" s="84" t="n">
        <x:v>6.8</x:v>
      </x:c>
      <x:c r="F3972" s="84" t="str">
        <x:v>Normal</x:v>
      </x:c>
      <x:c r="G3972" s="93" t="n">
        <x:v>234.6</x:v>
      </x:c>
      <x:c r="H3972" s="85" t="str">
        <x:v>Diagnóstico e execução</x:v>
      </x:c>
    </x:row>
    <x:row r="3973">
      <x:c r="A3973" s="83" t="n">
        <x:v>3972</x:v>
      </x:c>
      <x:c r="B3973" s="84" t="n">
        <x:v>2317</x:v>
      </x:c>
      <x:c r="C3973" s="84" t="n">
        <x:v>39</x:v>
      </x:c>
      <x:c r="D3973" s="89" t="n">
        <x:v>45331</x:v>
      </x:c>
      <x:c r="E3973" s="84" t="n">
        <x:v>3</x:v>
      </x:c>
      <x:c r="F3973" s="84" t="str">
        <x:v>Normal</x:v>
      </x:c>
      <x:c r="G3973" s="93" t="n">
        <x:v>173.7</x:v>
      </x:c>
      <x:c r="H3973" s="85" t="str">
        <x:v>Diagnóstico e execução</x:v>
      </x:c>
    </x:row>
    <x:row r="3974">
      <x:c r="A3974" s="83" t="n">
        <x:v>3973</x:v>
      </x:c>
      <x:c r="B3974" s="84" t="n">
        <x:v>2318</x:v>
      </x:c>
      <x:c r="C3974" s="84" t="n">
        <x:v>13</x:v>
      </x:c>
      <x:c r="D3974" s="89" t="n">
        <x:v>44942</x:v>
      </x:c>
      <x:c r="E3974" s="84" t="n">
        <x:v>0.6</x:v>
      </x:c>
      <x:c r="F3974" s="84" t="str">
        <x:v>Normal</x:v>
      </x:c>
      <x:c r="G3974" s="93" t="n">
        <x:v>20.33</x:v>
      </x:c>
      <x:c r="H3974" s="85" t="str">
        <x:v>Diagnóstico e execução</x:v>
      </x:c>
    </x:row>
    <x:row r="3975">
      <x:c r="A3975" s="83" t="n">
        <x:v>3974</x:v>
      </x:c>
      <x:c r="B3975" s="84" t="n">
        <x:v>2318</x:v>
      </x:c>
      <x:c r="C3975" s="84" t="n">
        <x:v>11</x:v>
      </x:c>
      <x:c r="D3975" s="89" t="n">
        <x:v>44942</x:v>
      </x:c>
      <x:c r="E3975" s="84" t="n">
        <x:v>6</x:v>
      </x:c>
      <x:c r="F3975" s="84" t="str">
        <x:v>Normal</x:v>
      </x:c>
      <x:c r="G3975" s="93" t="n">
        <x:v>250.08</x:v>
      </x:c>
      <x:c r="H3975" s="85" t="str">
        <x:v>Diagnóstico e execução</x:v>
      </x:c>
    </x:row>
    <x:row r="3976">
      <x:c r="A3976" s="83" t="n">
        <x:v>3975</x:v>
      </x:c>
      <x:c r="B3976" s="84" t="n">
        <x:v>2318</x:v>
      </x:c>
      <x:c r="C3976" s="84" t="n">
        <x:v>40</x:v>
      </x:c>
      <x:c r="D3976" s="89" t="n">
        <x:v>44942</x:v>
      </x:c>
      <x:c r="E3976" s="84" t="n">
        <x:v>1</x:v>
      </x:c>
      <x:c r="F3976" s="84" t="str">
        <x:v>Normal</x:v>
      </x:c>
      <x:c r="G3976" s="93" t="n">
        <x:v>49.42</x:v>
      </x:c>
      <x:c r="H3976" s="85" t="str">
        <x:v>Diagnóstico e execução</x:v>
      </x:c>
    </x:row>
    <x:row r="3977">
      <x:c r="A3977" s="83" t="n">
        <x:v>3976</x:v>
      </x:c>
      <x:c r="B3977" s="84" t="n">
        <x:v>2319</x:v>
      </x:c>
      <x:c r="C3977" s="84" t="n">
        <x:v>9</x:v>
      </x:c>
      <x:c r="D3977" s="89" t="n">
        <x:v>45650</x:v>
      </x:c>
      <x:c r="E3977" s="84" t="n">
        <x:v>5.1</x:v>
      </x:c>
      <x:c r="F3977" s="84" t="str">
        <x:v>Normal</x:v>
      </x:c>
      <x:c r="G3977" s="93" t="n">
        <x:v>268.62</x:v>
      </x:c>
      <x:c r="H3977" s="85" t="str">
        <x:v>Diagnóstico e execução</x:v>
      </x:c>
    </x:row>
    <x:row r="3978">
      <x:c r="A3978" s="83" t="n">
        <x:v>3977</x:v>
      </x:c>
      <x:c r="B3978" s="84" t="n">
        <x:v>2319</x:v>
      </x:c>
      <x:c r="C3978" s="84" t="n">
        <x:v>25</x:v>
      </x:c>
      <x:c r="D3978" s="89" t="n">
        <x:v>45650</x:v>
      </x:c>
      <x:c r="E3978" s="84" t="n">
        <x:v>2.7</x:v>
      </x:c>
      <x:c r="F3978" s="84" t="str">
        <x:v>Normal</x:v>
      </x:c>
      <x:c r="G3978" s="93" t="n">
        <x:v>144.69</x:v>
      </x:c>
      <x:c r="H3978" s="85" t="str">
        <x:v>Diagnóstico e execução</x:v>
      </x:c>
    </x:row>
    <x:row r="3979">
      <x:c r="A3979" s="83" t="n">
        <x:v>3978</x:v>
      </x:c>
      <x:c r="B3979" s="84" t="n">
        <x:v>2319</x:v>
      </x:c>
      <x:c r="C3979" s="84" t="n">
        <x:v>33</x:v>
      </x:c>
      <x:c r="D3979" s="89" t="n">
        <x:v>45650</x:v>
      </x:c>
      <x:c r="E3979" s="84" t="n">
        <x:v>5</x:v>
      </x:c>
      <x:c r="F3979" s="84" t="str">
        <x:v>Normal</x:v>
      </x:c>
      <x:c r="G3979" s="93" t="n">
        <x:v>172.45</x:v>
      </x:c>
      <x:c r="H3979" s="85" t="str">
        <x:v>Diagnóstico e execução</x:v>
      </x:c>
    </x:row>
    <x:row r="3980">
      <x:c r="A3980" s="83" t="n">
        <x:v>3979</x:v>
      </x:c>
      <x:c r="B3980" s="84" t="n">
        <x:v>2320</x:v>
      </x:c>
      <x:c r="C3980" s="84" t="n">
        <x:v>8</x:v>
      </x:c>
      <x:c r="D3980" s="89" t="n">
        <x:v>45500</x:v>
      </x:c>
      <x:c r="E3980" s="84" t="n">
        <x:v>1.1</x:v>
      </x:c>
      <x:c r="F3980" s="84" t="str">
        <x:v>Normal</x:v>
      </x:c>
      <x:c r="G3980" s="93" t="n">
        <x:v>51.15</x:v>
      </x:c>
      <x:c r="H3980" s="85" t="str">
        <x:v>Diagnóstico e execução</x:v>
      </x:c>
    </x:row>
    <x:row r="3981">
      <x:c r="A3981" s="83" t="n">
        <x:v>3980</x:v>
      </x:c>
      <x:c r="B3981" s="84" t="n">
        <x:v>2321</x:v>
      </x:c>
      <x:c r="C3981" s="84" t="n">
        <x:v>27</x:v>
      </x:c>
      <x:c r="D3981" s="89" t="n">
        <x:v>45013</x:v>
      </x:c>
      <x:c r="E3981" s="84" t="n">
        <x:v>2.3</x:v>
      </x:c>
      <x:c r="F3981" s="84" t="str">
        <x:v>Normal</x:v>
      </x:c>
      <x:c r="G3981" s="93" t="n">
        <x:v>140.28</x:v>
      </x:c>
      <x:c r="H3981" s="85" t="str">
        <x:v>Diagnóstico e execução</x:v>
      </x:c>
    </x:row>
    <x:row r="3982">
      <x:c r="A3982" s="83" t="n">
        <x:v>3981</x:v>
      </x:c>
      <x:c r="B3982" s="84" t="n">
        <x:v>2322</x:v>
      </x:c>
      <x:c r="C3982" s="84" t="n">
        <x:v>34</x:v>
      </x:c>
      <x:c r="D3982" s="89" t="n">
        <x:v>46021</x:v>
      </x:c>
      <x:c r="E3982" s="84" t="n">
        <x:v>1.5</x:v>
      </x:c>
      <x:c r="F3982" s="84" t="str">
        <x:v>Normal</x:v>
      </x:c>
      <x:c r="G3982" s="93" t="n">
        <x:v>64.84</x:v>
      </x:c>
      <x:c r="H3982" s="85" t="str">
        <x:v>Diagnóstico e execução</x:v>
      </x:c>
    </x:row>
    <x:row r="3983">
      <x:c r="A3983" s="83" t="n">
        <x:v>3982</x:v>
      </x:c>
      <x:c r="B3983" s="84" t="n">
        <x:v>2323</x:v>
      </x:c>
      <x:c r="C3983" s="84" t="n">
        <x:v>11</x:v>
      </x:c>
      <x:c r="D3983" s="89" t="n">
        <x:v>45660</x:v>
      </x:c>
      <x:c r="E3983" s="84" t="n">
        <x:v>5.2</x:v>
      </x:c>
      <x:c r="F3983" s="84" t="str">
        <x:v>Normal</x:v>
      </x:c>
      <x:c r="G3983" s="93" t="n">
        <x:v>216.74</x:v>
      </x:c>
      <x:c r="H3983" s="85" t="str">
        <x:v>Diagnóstico e execução</x:v>
      </x:c>
    </x:row>
    <x:row r="3984">
      <x:c r="A3984" s="83" t="n">
        <x:v>3983</x:v>
      </x:c>
      <x:c r="B3984" s="84" t="n">
        <x:v>2323</x:v>
      </x:c>
      <x:c r="C3984" s="84" t="n">
        <x:v>29</x:v>
      </x:c>
      <x:c r="D3984" s="89" t="n">
        <x:v>45660</x:v>
      </x:c>
      <x:c r="E3984" s="84" t="n">
        <x:v>6.9</x:v>
      </x:c>
      <x:c r="F3984" s="84" t="str">
        <x:v>Normal</x:v>
      </x:c>
      <x:c r="G3984" s="93" t="n">
        <x:v>341.69</x:v>
      </x:c>
      <x:c r="H3984" s="85" t="str">
        <x:v>Diagnóstico e execução</x:v>
      </x:c>
    </x:row>
    <x:row r="3985">
      <x:c r="A3985" s="83" t="n">
        <x:v>3984</x:v>
      </x:c>
      <x:c r="B3985" s="84" t="n">
        <x:v>2323</x:v>
      </x:c>
      <x:c r="C3985" s="84" t="n">
        <x:v>7</x:v>
      </x:c>
      <x:c r="D3985" s="89" t="n">
        <x:v>45660</x:v>
      </x:c>
      <x:c r="E3985" s="84" t="n">
        <x:v>1.6</x:v>
      </x:c>
      <x:c r="F3985" s="84" t="str">
        <x:v>Normal</x:v>
      </x:c>
      <x:c r="G3985" s="93" t="n">
        <x:v>93.14</x:v>
      </x:c>
      <x:c r="H3985" s="85" t="str">
        <x:v>Diagnóstico e execução</x:v>
      </x:c>
    </x:row>
    <x:row r="3986">
      <x:c r="A3986" s="83" t="n">
        <x:v>3985</x:v>
      </x:c>
      <x:c r="B3986" s="84" t="n">
        <x:v>2324</x:v>
      </x:c>
      <x:c r="C3986" s="84" t="n">
        <x:v>38</x:v>
      </x:c>
      <x:c r="D3986" s="89" t="n">
        <x:v>45026</x:v>
      </x:c>
      <x:c r="E3986" s="84" t="n">
        <x:v>7.8</x:v>
      </x:c>
      <x:c r="F3986" s="84" t="str">
        <x:v>Normal</x:v>
      </x:c>
      <x:c r="G3986" s="93" t="n">
        <x:v>262.63</x:v>
      </x:c>
      <x:c r="H3986" s="85" t="str">
        <x:v>Diagnóstico e execução</x:v>
      </x:c>
    </x:row>
    <x:row r="3987">
      <x:c r="A3987" s="83" t="n">
        <x:v>3986</x:v>
      </x:c>
      <x:c r="B3987" s="84" t="n">
        <x:v>2324</x:v>
      </x:c>
      <x:c r="C3987" s="84" t="n">
        <x:v>29</x:v>
      </x:c>
      <x:c r="D3987" s="89" t="n">
        <x:v>45026</x:v>
      </x:c>
      <x:c r="E3987" s="84" t="n">
        <x:v>4.9</x:v>
      </x:c>
      <x:c r="F3987" s="84" t="str">
        <x:v>Normal</x:v>
      </x:c>
      <x:c r="G3987" s="93" t="n">
        <x:v>242.65</x:v>
      </x:c>
      <x:c r="H3987" s="85" t="str">
        <x:v>Diagnóstico e execução</x:v>
      </x:c>
    </x:row>
    <x:row r="3988">
      <x:c r="A3988" s="83" t="n">
        <x:v>3987</x:v>
      </x:c>
      <x:c r="B3988" s="84" t="n">
        <x:v>2324</x:v>
      </x:c>
      <x:c r="C3988" s="84" t="n">
        <x:v>40</x:v>
      </x:c>
      <x:c r="D3988" s="89" t="n">
        <x:v>45026</x:v>
      </x:c>
      <x:c r="E3988" s="84" t="n">
        <x:v>3.3</x:v>
      </x:c>
      <x:c r="F3988" s="84" t="str">
        <x:v>Normal</x:v>
      </x:c>
      <x:c r="G3988" s="93" t="n">
        <x:v>163.09</x:v>
      </x:c>
      <x:c r="H3988" s="85" t="str">
        <x:v>Diagnóstico e execução</x:v>
      </x:c>
    </x:row>
    <x:row r="3989">
      <x:c r="A3989" s="83" t="n">
        <x:v>3988</x:v>
      </x:c>
      <x:c r="B3989" s="84" t="n">
        <x:v>2325</x:v>
      </x:c>
      <x:c r="C3989" s="84" t="n">
        <x:v>13</x:v>
      </x:c>
      <x:c r="D3989" s="89" t="n">
        <x:v>45189</x:v>
      </x:c>
      <x:c r="E3989" s="84" t="n">
        <x:v>3.5</x:v>
      </x:c>
      <x:c r="F3989" s="84" t="str">
        <x:v>Normal</x:v>
      </x:c>
      <x:c r="G3989" s="93" t="n">
        <x:v>118.58</x:v>
      </x:c>
      <x:c r="H3989" s="85" t="str">
        <x:v>Diagnóstico e execução</x:v>
      </x:c>
    </x:row>
    <x:row r="3990">
      <x:c r="A3990" s="83" t="n">
        <x:v>3989</x:v>
      </x:c>
      <x:c r="B3990" s="84" t="n">
        <x:v>2325</x:v>
      </x:c>
      <x:c r="C3990" s="84" t="n">
        <x:v>36</x:v>
      </x:c>
      <x:c r="D3990" s="89" t="n">
        <x:v>45189</x:v>
      </x:c>
      <x:c r="E3990" s="84" t="n">
        <x:v>3.8</x:v>
      </x:c>
      <x:c r="F3990" s="84" t="str">
        <x:v>Normal</x:v>
      </x:c>
      <x:c r="G3990" s="93" t="n">
        <x:v>112.71</x:v>
      </x:c>
      <x:c r="H3990" s="85" t="str">
        <x:v>Diagnóstico e execução</x:v>
      </x:c>
    </x:row>
    <x:row r="3991">
      <x:c r="A3991" s="83" t="n">
        <x:v>3990</x:v>
      </x:c>
      <x:c r="B3991" s="84" t="n">
        <x:v>2326</x:v>
      </x:c>
      <x:c r="C3991" s="84" t="n">
        <x:v>32</x:v>
      </x:c>
      <x:c r="D3991" s="89" t="n">
        <x:v>45386</x:v>
      </x:c>
      <x:c r="E3991" s="84" t="n">
        <x:v>4.5</x:v>
      </x:c>
      <x:c r="F3991" s="84" t="str">
        <x:v>Normal</x:v>
      </x:c>
      <x:c r="G3991" s="93" t="n">
        <x:v>196.42</x:v>
      </x:c>
      <x:c r="H3991" s="85" t="str">
        <x:v>Diagnóstico e execução</x:v>
      </x:c>
    </x:row>
    <x:row r="3992">
      <x:c r="A3992" s="83" t="n">
        <x:v>3991</x:v>
      </x:c>
      <x:c r="B3992" s="84" t="n">
        <x:v>2327</x:v>
      </x:c>
      <x:c r="C3992" s="84" t="n">
        <x:v>22</x:v>
      </x:c>
      <x:c r="D3992" s="89" t="n">
        <x:v>45481</x:v>
      </x:c>
      <x:c r="E3992" s="84" t="n">
        <x:v>3.9</x:v>
      </x:c>
      <x:c r="F3992" s="84" t="str">
        <x:v>Normal</x:v>
      </x:c>
      <x:c r="G3992" s="93" t="n">
        <x:v>149.99</x:v>
      </x:c>
      <x:c r="H3992" s="85" t="str">
        <x:v>Diagnóstico e execução</x:v>
      </x:c>
    </x:row>
    <x:row r="3993">
      <x:c r="A3993" s="83" t="n">
        <x:v>3992</x:v>
      </x:c>
      <x:c r="B3993" s="84" t="n">
        <x:v>2327</x:v>
      </x:c>
      <x:c r="C3993" s="84" t="n">
        <x:v>21</x:v>
      </x:c>
      <x:c r="D3993" s="89" t="n">
        <x:v>45481</x:v>
      </x:c>
      <x:c r="E3993" s="84" t="n">
        <x:v>4.8</x:v>
      </x:c>
      <x:c r="F3993" s="84" t="str">
        <x:v>Normal</x:v>
      </x:c>
      <x:c r="G3993" s="93" t="n">
        <x:v>294.86</x:v>
      </x:c>
      <x:c r="H3993" s="85" t="str">
        <x:v>Diagnóstico e execução</x:v>
      </x:c>
    </x:row>
    <x:row r="3994">
      <x:c r="A3994" s="83" t="n">
        <x:v>3993</x:v>
      </x:c>
      <x:c r="B3994" s="84" t="n">
        <x:v>2328</x:v>
      </x:c>
      <x:c r="C3994" s="84" t="n">
        <x:v>42</x:v>
      </x:c>
      <x:c r="D3994" s="89" t="n">
        <x:v>45391</x:v>
      </x:c>
      <x:c r="E3994" s="84" t="n">
        <x:v>5.6</x:v>
      </x:c>
      <x:c r="F3994" s="84" t="str">
        <x:v>Normal</x:v>
      </x:c>
      <x:c r="G3994" s="93" t="n">
        <x:v>236.21</x:v>
      </x:c>
      <x:c r="H3994" s="85" t="str">
        <x:v>Diagnóstico e execução</x:v>
      </x:c>
    </x:row>
    <x:row r="3995">
      <x:c r="A3995" s="83" t="n">
        <x:v>3994</x:v>
      </x:c>
      <x:c r="B3995" s="84" t="n">
        <x:v>2328</x:v>
      </x:c>
      <x:c r="C3995" s="84" t="n">
        <x:v>25</x:v>
      </x:c>
      <x:c r="D3995" s="89" t="n">
        <x:v>45391</x:v>
      </x:c>
      <x:c r="E3995" s="84" t="n">
        <x:v>1.3</x:v>
      </x:c>
      <x:c r="F3995" s="84" t="str">
        <x:v>Normal</x:v>
      </x:c>
      <x:c r="G3995" s="93" t="n">
        <x:v>69.67</x:v>
      </x:c>
      <x:c r="H3995" s="85" t="str">
        <x:v>Diagnóstico e execução</x:v>
      </x:c>
    </x:row>
    <x:row r="3996">
      <x:c r="A3996" s="83" t="n">
        <x:v>3995</x:v>
      </x:c>
      <x:c r="B3996" s="84" t="n">
        <x:v>2329</x:v>
      </x:c>
      <x:c r="C3996" s="84" t="n">
        <x:v>39</x:v>
      </x:c>
      <x:c r="D3996" s="89" t="n">
        <x:v>45021</x:v>
      </x:c>
      <x:c r="E3996" s="84" t="n">
        <x:v>5.6</x:v>
      </x:c>
      <x:c r="F3996" s="84" t="str">
        <x:v>Normal</x:v>
      </x:c>
      <x:c r="G3996" s="93" t="n">
        <x:v>324.24</x:v>
      </x:c>
      <x:c r="H3996" s="85" t="str">
        <x:v>Diagnóstico e execução</x:v>
      </x:c>
    </x:row>
    <x:row r="3997">
      <x:c r="A3997" s="83" t="n">
        <x:v>3996</x:v>
      </x:c>
      <x:c r="B3997" s="84" t="n">
        <x:v>2330</x:v>
      </x:c>
      <x:c r="C3997" s="84" t="n">
        <x:v>25</x:v>
      </x:c>
      <x:c r="D3997" s="89" t="n">
        <x:v>45880</x:v>
      </x:c>
      <x:c r="E3997" s="84" t="n">
        <x:v>2.5</x:v>
      </x:c>
      <x:c r="F3997" s="84" t="str">
        <x:v>Normal</x:v>
      </x:c>
      <x:c r="G3997" s="93" t="n">
        <x:v>133.98</x:v>
      </x:c>
      <x:c r="H3997" s="85" t="str">
        <x:v>Diagnóstico e execução</x:v>
      </x:c>
    </x:row>
    <x:row r="3998">
      <x:c r="A3998" s="83" t="n">
        <x:v>3997</x:v>
      </x:c>
      <x:c r="B3998" s="84" t="n">
        <x:v>2330</x:v>
      </x:c>
      <x:c r="C3998" s="84" t="n">
        <x:v>23</x:v>
      </x:c>
      <x:c r="D3998" s="89" t="n">
        <x:v>45880</x:v>
      </x:c>
      <x:c r="E3998" s="84" t="n">
        <x:v>5.5</x:v>
      </x:c>
      <x:c r="F3998" s="84" t="str">
        <x:v>Normal</x:v>
      </x:c>
      <x:c r="G3998" s="93" t="n">
        <x:v>237.1</x:v>
      </x:c>
      <x:c r="H3998" s="85" t="str">
        <x:v>Diagnóstico e execução</x:v>
      </x:c>
    </x:row>
    <x:row r="3999">
      <x:c r="A3999" s="83" t="n">
        <x:v>3998</x:v>
      </x:c>
      <x:c r="B3999" s="84" t="n">
        <x:v>2332</x:v>
      </x:c>
      <x:c r="C3999" s="84" t="n">
        <x:v>7</x:v>
      </x:c>
      <x:c r="D3999" s="89" t="n">
        <x:v>45858</x:v>
      </x:c>
      <x:c r="E3999" s="84" t="n">
        <x:v>5.1</x:v>
      </x:c>
      <x:c r="F3999" s="84" t="str">
        <x:v>Normal</x:v>
      </x:c>
      <x:c r="G3999" s="93" t="n">
        <x:v>296.87</x:v>
      </x:c>
      <x:c r="H3999" s="85" t="str">
        <x:v>Diagnóstico e execução</x:v>
      </x:c>
    </x:row>
    <x:row r="4000">
      <x:c r="A4000" s="83" t="n">
        <x:v>3999</x:v>
      </x:c>
      <x:c r="B4000" s="84" t="n">
        <x:v>2332</x:v>
      </x:c>
      <x:c r="C4000" s="84" t="n">
        <x:v>25</x:v>
      </x:c>
      <x:c r="D4000" s="89" t="n">
        <x:v>45858</x:v>
      </x:c>
      <x:c r="E4000" s="84" t="n">
        <x:v>1</x:v>
      </x:c>
      <x:c r="F4000" s="84" t="str">
        <x:v>Normal</x:v>
      </x:c>
      <x:c r="G4000" s="93" t="n">
        <x:v>53.59</x:v>
      </x:c>
      <x:c r="H4000" s="85" t="str">
        <x:v>Diagnóstico e execução</x:v>
      </x:c>
    </x:row>
    <x:row r="4001">
      <x:c r="A4001" s="83" t="n">
        <x:v>4000</x:v>
      </x:c>
      <x:c r="B4001" s="84" t="n">
        <x:v>2333</x:v>
      </x:c>
      <x:c r="C4001" s="84" t="n">
        <x:v>35</x:v>
      </x:c>
      <x:c r="D4001" s="89" t="n">
        <x:v>45289</x:v>
      </x:c>
      <x:c r="E4001" s="84" t="n">
        <x:v>3.1</x:v>
      </x:c>
      <x:c r="F4001" s="84" t="str">
        <x:v>Normal</x:v>
      </x:c>
      <x:c r="G4001" s="93" t="n">
        <x:v>152.49</x:v>
      </x:c>
      <x:c r="H4001" s="85" t="str">
        <x:v>Diagnóstico e execução</x:v>
      </x:c>
    </x:row>
    <x:row r="4002">
      <x:c r="A4002" s="83" t="n">
        <x:v>4001</x:v>
      </x:c>
      <x:c r="B4002" s="84" t="n">
        <x:v>2334</x:v>
      </x:c>
      <x:c r="C4002" s="84" t="n">
        <x:v>45</x:v>
      </x:c>
      <x:c r="D4002" s="89" t="n">
        <x:v>45029</x:v>
      </x:c>
      <x:c r="E4002" s="84" t="n">
        <x:v>1.2</x:v>
      </x:c>
      <x:c r="F4002" s="84" t="str">
        <x:v>Normal</x:v>
      </x:c>
      <x:c r="G4002" s="93" t="n">
        <x:v>64.28</x:v>
      </x:c>
      <x:c r="H4002" s="85" t="str">
        <x:v>Diagnóstico e execução</x:v>
      </x:c>
    </x:row>
    <x:row r="4003">
      <x:c r="A4003" s="83" t="n">
        <x:v>4002</x:v>
      </x:c>
      <x:c r="B4003" s="84" t="n">
        <x:v>2334</x:v>
      </x:c>
      <x:c r="C4003" s="84" t="n">
        <x:v>9</x:v>
      </x:c>
      <x:c r="D4003" s="89" t="n">
        <x:v>45029</x:v>
      </x:c>
      <x:c r="E4003" s="84" t="n">
        <x:v>0.6</x:v>
      </x:c>
      <x:c r="F4003" s="84" t="str">
        <x:v>Normal</x:v>
      </x:c>
      <x:c r="G4003" s="93" t="n">
        <x:v>31.6</x:v>
      </x:c>
      <x:c r="H4003" s="85" t="str">
        <x:v>Diagnóstico e execução</x:v>
      </x:c>
    </x:row>
    <x:row r="4004">
      <x:c r="A4004" s="83" t="n">
        <x:v>4003</x:v>
      </x:c>
      <x:c r="B4004" s="84" t="n">
        <x:v>2335</x:v>
      </x:c>
      <x:c r="C4004" s="84" t="n">
        <x:v>4</x:v>
      </x:c>
      <x:c r="D4004" s="89" t="n">
        <x:v>45334</x:v>
      </x:c>
      <x:c r="E4004" s="84" t="n">
        <x:v>4.9</x:v>
      </x:c>
      <x:c r="F4004" s="84" t="str">
        <x:v>Normal</x:v>
      </x:c>
      <x:c r="G4004" s="93" t="n">
        <x:v>241.03</x:v>
      </x:c>
      <x:c r="H4004" s="85" t="str">
        <x:v>Diagnóstico e execução</x:v>
      </x:c>
    </x:row>
    <x:row r="4005">
      <x:c r="A4005" s="83" t="n">
        <x:v>4004</x:v>
      </x:c>
      <x:c r="B4005" s="84" t="n">
        <x:v>2335</x:v>
      </x:c>
      <x:c r="C4005" s="84" t="n">
        <x:v>9</x:v>
      </x:c>
      <x:c r="D4005" s="89" t="n">
        <x:v>45334</x:v>
      </x:c>
      <x:c r="E4005" s="84" t="n">
        <x:v>7.2</x:v>
      </x:c>
      <x:c r="F4005" s="84" t="str">
        <x:v>Normal</x:v>
      </x:c>
      <x:c r="G4005" s="93" t="n">
        <x:v>379.22</x:v>
      </x:c>
      <x:c r="H4005" s="85" t="str">
        <x:v>Diagnóstico e execução</x:v>
      </x:c>
    </x:row>
    <x:row r="4006">
      <x:c r="A4006" s="83" t="n">
        <x:v>4005</x:v>
      </x:c>
      <x:c r="B4006" s="84" t="n">
        <x:v>2336</x:v>
      </x:c>
      <x:c r="C4006" s="84" t="n">
        <x:v>23</x:v>
      </x:c>
      <x:c r="D4006" s="89" t="n">
        <x:v>45634</x:v>
      </x:c>
      <x:c r="E4006" s="84" t="n">
        <x:v>1.5</x:v>
      </x:c>
      <x:c r="F4006" s="84" t="str">
        <x:v>Normal</x:v>
      </x:c>
      <x:c r="G4006" s="93" t="n">
        <x:v>64.66</x:v>
      </x:c>
      <x:c r="H4006" s="85" t="str">
        <x:v>Diagnóstico e execução</x:v>
      </x:c>
    </x:row>
    <x:row r="4007">
      <x:c r="A4007" s="83" t="n">
        <x:v>4006</x:v>
      </x:c>
      <x:c r="B4007" s="84" t="n">
        <x:v>2336</x:v>
      </x:c>
      <x:c r="C4007" s="84" t="n">
        <x:v>29</x:v>
      </x:c>
      <x:c r="D4007" s="89" t="n">
        <x:v>45634</x:v>
      </x:c>
      <x:c r="E4007" s="84" t="n">
        <x:v>4</x:v>
      </x:c>
      <x:c r="F4007" s="84" t="str">
        <x:v>Normal</x:v>
      </x:c>
      <x:c r="G4007" s="93" t="n">
        <x:v>198.08</x:v>
      </x:c>
      <x:c r="H4007" s="85" t="str">
        <x:v>Diagnóstico e execução</x:v>
      </x:c>
    </x:row>
    <x:row r="4008">
      <x:c r="A4008" s="83" t="n">
        <x:v>4007</x:v>
      </x:c>
      <x:c r="B4008" s="84" t="n">
        <x:v>2337</x:v>
      </x:c>
      <x:c r="C4008" s="84" t="n">
        <x:v>5</x:v>
      </x:c>
      <x:c r="D4008" s="89" t="n">
        <x:v>45527</x:v>
      </x:c>
      <x:c r="E4008" s="84" t="n">
        <x:v>7.5</x:v>
      </x:c>
      <x:c r="F4008" s="84" t="str">
        <x:v>Normal</x:v>
      </x:c>
      <x:c r="G4008" s="93" t="n">
        <x:v>216.15</x:v>
      </x:c>
      <x:c r="H4008" s="85" t="str">
        <x:v>Diagnóstico e execução</x:v>
      </x:c>
    </x:row>
    <x:row r="4009">
      <x:c r="A4009" s="83" t="n">
        <x:v>4008</x:v>
      </x:c>
      <x:c r="B4009" s="84" t="n">
        <x:v>2337</x:v>
      </x:c>
      <x:c r="C4009" s="84" t="n">
        <x:v>15</x:v>
      </x:c>
      <x:c r="D4009" s="89" t="n">
        <x:v>45527</x:v>
      </x:c>
      <x:c r="E4009" s="84" t="n">
        <x:v>0.9</x:v>
      </x:c>
      <x:c r="F4009" s="84" t="str">
        <x:v>Normal</x:v>
      </x:c>
      <x:c r="G4009" s="93" t="n">
        <x:v>27.22</x:v>
      </x:c>
      <x:c r="H4009" s="85" t="str">
        <x:v>Diagnóstico e execução</x:v>
      </x:c>
    </x:row>
    <x:row r="4010">
      <x:c r="A4010" s="83" t="n">
        <x:v>4009</x:v>
      </x:c>
      <x:c r="B4010" s="84" t="n">
        <x:v>2338</x:v>
      </x:c>
      <x:c r="C4010" s="84" t="n">
        <x:v>13</x:v>
      </x:c>
      <x:c r="D4010" s="89" t="n">
        <x:v>45010</x:v>
      </x:c>
      <x:c r="E4010" s="84" t="n">
        <x:v>1.9</x:v>
      </x:c>
      <x:c r="F4010" s="84" t="str">
        <x:v>Normal</x:v>
      </x:c>
      <x:c r="G4010" s="93" t="n">
        <x:v>64.37</x:v>
      </x:c>
      <x:c r="H4010" s="85" t="str">
        <x:v>Diagnóstico e execução</x:v>
      </x:c>
    </x:row>
    <x:row r="4011">
      <x:c r="A4011" s="83" t="n">
        <x:v>4010</x:v>
      </x:c>
      <x:c r="B4011" s="84" t="n">
        <x:v>2338</x:v>
      </x:c>
      <x:c r="C4011" s="84" t="n">
        <x:v>31</x:v>
      </x:c>
      <x:c r="D4011" s="89" t="n">
        <x:v>45010</x:v>
      </x:c>
      <x:c r="E4011" s="84" t="n">
        <x:v>5.5</x:v>
      </x:c>
      <x:c r="F4011" s="84" t="str">
        <x:v>Normal</x:v>
      </x:c>
      <x:c r="G4011" s="93" t="n">
        <x:v>268.95</x:v>
      </x:c>
      <x:c r="H4011" s="85" t="str">
        <x:v>Diagnóstico e execução</x:v>
      </x:c>
    </x:row>
    <x:row r="4012">
      <x:c r="A4012" s="83" t="n">
        <x:v>4011</x:v>
      </x:c>
      <x:c r="B4012" s="84" t="n">
        <x:v>2338</x:v>
      </x:c>
      <x:c r="C4012" s="84" t="n">
        <x:v>17</x:v>
      </x:c>
      <x:c r="D4012" s="89" t="n">
        <x:v>45010</x:v>
      </x:c>
      <x:c r="E4012" s="84" t="n">
        <x:v>1.4</x:v>
      </x:c>
      <x:c r="F4012" s="84" t="str">
        <x:v>Normal</x:v>
      </x:c>
      <x:c r="G4012" s="93" t="n">
        <x:v>78.09</x:v>
      </x:c>
      <x:c r="H4012" s="85" t="str">
        <x:v>Diagnóstico e execução</x:v>
      </x:c>
    </x:row>
    <x:row r="4013">
      <x:c r="A4013" s="83" t="n">
        <x:v>4012</x:v>
      </x:c>
      <x:c r="B4013" s="84" t="n">
        <x:v>2339</x:v>
      </x:c>
      <x:c r="C4013" s="84" t="n">
        <x:v>36</x:v>
      </x:c>
      <x:c r="D4013" s="89" t="n">
        <x:v>45303</x:v>
      </x:c>
      <x:c r="E4013" s="84" t="n">
        <x:v>1.6</x:v>
      </x:c>
      <x:c r="F4013" s="84" t="str">
        <x:v>Normal</x:v>
      </x:c>
      <x:c r="G4013" s="93" t="n">
        <x:v>47.46</x:v>
      </x:c>
      <x:c r="H4013" s="85" t="str">
        <x:v>Diagnóstico e execução</x:v>
      </x:c>
    </x:row>
    <x:row r="4014">
      <x:c r="A4014" s="83" t="n">
        <x:v>4013</x:v>
      </x:c>
      <x:c r="B4014" s="84" t="n">
        <x:v>2339</x:v>
      </x:c>
      <x:c r="C4014" s="84" t="n">
        <x:v>27</x:v>
      </x:c>
      <x:c r="D4014" s="89" t="n">
        <x:v>45303</x:v>
      </x:c>
      <x:c r="E4014" s="84" t="n">
        <x:v>3</x:v>
      </x:c>
      <x:c r="F4014" s="84" t="str">
        <x:v>Normal</x:v>
      </x:c>
      <x:c r="G4014" s="93" t="n">
        <x:v>182.97</x:v>
      </x:c>
      <x:c r="H4014" s="85" t="str">
        <x:v>Diagnóstico e execução</x:v>
      </x:c>
    </x:row>
    <x:row r="4015">
      <x:c r="A4015" s="83" t="n">
        <x:v>4014</x:v>
      </x:c>
      <x:c r="B4015" s="84" t="n">
        <x:v>2339</x:v>
      </x:c>
      <x:c r="C4015" s="84" t="n">
        <x:v>16</x:v>
      </x:c>
      <x:c r="D4015" s="89" t="n">
        <x:v>45303</x:v>
      </x:c>
      <x:c r="E4015" s="84" t="n">
        <x:v>3.3</x:v>
      </x:c>
      <x:c r="F4015" s="84" t="str">
        <x:v>Normal</x:v>
      </x:c>
      <x:c r="G4015" s="93" t="n">
        <x:v>133.72</x:v>
      </x:c>
      <x:c r="H4015" s="85" t="str">
        <x:v>Diagnóstico e execução</x:v>
      </x:c>
    </x:row>
    <x:row r="4016">
      <x:c r="A4016" s="83" t="n">
        <x:v>4015</x:v>
      </x:c>
      <x:c r="B4016" s="84" t="n">
        <x:v>2340</x:v>
      </x:c>
      <x:c r="C4016" s="84" t="n">
        <x:v>16</x:v>
      </x:c>
      <x:c r="D4016" s="89" t="n">
        <x:v>45570</x:v>
      </x:c>
      <x:c r="E4016" s="84" t="n">
        <x:v>3.7</x:v>
      </x:c>
      <x:c r="F4016" s="84" t="str">
        <x:v>Normal</x:v>
      </x:c>
      <x:c r="G4016" s="93" t="n">
        <x:v>149.92</x:v>
      </x:c>
      <x:c r="H4016" s="85" t="str">
        <x:v>Diagnóstico e execução</x:v>
      </x:c>
    </x:row>
    <x:row r="4017">
      <x:c r="A4017" s="83" t="n">
        <x:v>4016</x:v>
      </x:c>
      <x:c r="B4017" s="84" t="n">
        <x:v>2340</x:v>
      </x:c>
      <x:c r="C4017" s="84" t="n">
        <x:v>24</x:v>
      </x:c>
      <x:c r="D4017" s="89" t="n">
        <x:v>45570</x:v>
      </x:c>
      <x:c r="E4017" s="84" t="n">
        <x:v>2.5</x:v>
      </x:c>
      <x:c r="F4017" s="84" t="str">
        <x:v>Normal</x:v>
      </x:c>
      <x:c r="G4017" s="93" t="n">
        <x:v>148.1</x:v>
      </x:c>
      <x:c r="H4017" s="85" t="str">
        <x:v>Diagnóstico e execução</x:v>
      </x:c>
    </x:row>
    <x:row r="4018">
      <x:c r="A4018" s="83" t="n">
        <x:v>4017</x:v>
      </x:c>
      <x:c r="B4018" s="84" t="n">
        <x:v>2340</x:v>
      </x:c>
      <x:c r="C4018" s="84" t="n">
        <x:v>26</x:v>
      </x:c>
      <x:c r="D4018" s="89" t="n">
        <x:v>45570</x:v>
      </x:c>
      <x:c r="E4018" s="84" t="n">
        <x:v>3.6</x:v>
      </x:c>
      <x:c r="F4018" s="84" t="str">
        <x:v>Normal</x:v>
      </x:c>
      <x:c r="G4018" s="93" t="n">
        <x:v>140.83</x:v>
      </x:c>
      <x:c r="H4018" s="85" t="str">
        <x:v>Diagnóstico e execução</x:v>
      </x:c>
    </x:row>
    <x:row r="4019">
      <x:c r="A4019" s="83" t="n">
        <x:v>4018</x:v>
      </x:c>
      <x:c r="B4019" s="84" t="n">
        <x:v>2341</x:v>
      </x:c>
      <x:c r="C4019" s="84" t="n">
        <x:v>9</x:v>
      </x:c>
      <x:c r="D4019" s="89" t="n">
        <x:v>45637</x:v>
      </x:c>
      <x:c r="E4019" s="84" t="n">
        <x:v>6.5</x:v>
      </x:c>
      <x:c r="F4019" s="84" t="str">
        <x:v>Normal</x:v>
      </x:c>
      <x:c r="G4019" s="93" t="n">
        <x:v>342.36</x:v>
      </x:c>
      <x:c r="H4019" s="85" t="str">
        <x:v>Diagnóstico e execução</x:v>
      </x:c>
    </x:row>
    <x:row r="4020">
      <x:c r="A4020" s="83" t="n">
        <x:v>4019</x:v>
      </x:c>
      <x:c r="B4020" s="84" t="n">
        <x:v>2341</x:v>
      </x:c>
      <x:c r="C4020" s="84" t="n">
        <x:v>21</x:v>
      </x:c>
      <x:c r="D4020" s="89" t="n">
        <x:v>45637</x:v>
      </x:c>
      <x:c r="E4020" s="84" t="n">
        <x:v>4.2</x:v>
      </x:c>
      <x:c r="F4020" s="84" t="str">
        <x:v>Normal</x:v>
      </x:c>
      <x:c r="G4020" s="93" t="n">
        <x:v>258.01</x:v>
      </x:c>
      <x:c r="H4020" s="85" t="str">
        <x:v>Diagnóstico e execução</x:v>
      </x:c>
    </x:row>
    <x:row r="4021">
      <x:c r="A4021" s="83" t="n">
        <x:v>4020</x:v>
      </x:c>
      <x:c r="B4021" s="84" t="n">
        <x:v>2343</x:v>
      </x:c>
      <x:c r="C4021" s="84" t="n">
        <x:v>39</x:v>
      </x:c>
      <x:c r="D4021" s="89" t="n">
        <x:v>45449</x:v>
      </x:c>
      <x:c r="E4021" s="84" t="n">
        <x:v>3.1</x:v>
      </x:c>
      <x:c r="F4021" s="84" t="str">
        <x:v>Normal</x:v>
      </x:c>
      <x:c r="G4021" s="93" t="n">
        <x:v>179.49</x:v>
      </x:c>
      <x:c r="H4021" s="85" t="str">
        <x:v>Diagnóstico e execução</x:v>
      </x:c>
    </x:row>
    <x:row r="4022">
      <x:c r="A4022" s="83" t="n">
        <x:v>4021</x:v>
      </x:c>
      <x:c r="B4022" s="84" t="n">
        <x:v>2346</x:v>
      </x:c>
      <x:c r="C4022" s="84" t="n">
        <x:v>11</x:v>
      </x:c>
      <x:c r="D4022" s="89" t="n">
        <x:v>45826</x:v>
      </x:c>
      <x:c r="E4022" s="84" t="n">
        <x:v>1.4</x:v>
      </x:c>
      <x:c r="F4022" s="84" t="str">
        <x:v>Normal</x:v>
      </x:c>
      <x:c r="G4022" s="93" t="n">
        <x:v>58.35</x:v>
      </x:c>
      <x:c r="H4022" s="85" t="str">
        <x:v>Diagnóstico e execução</x:v>
      </x:c>
    </x:row>
    <x:row r="4023">
      <x:c r="A4023" s="83" t="n">
        <x:v>4022</x:v>
      </x:c>
      <x:c r="B4023" s="84" t="n">
        <x:v>2347</x:v>
      </x:c>
      <x:c r="C4023" s="84" t="n">
        <x:v>22</x:v>
      </x:c>
      <x:c r="D4023" s="89" t="n">
        <x:v>44957</x:v>
      </x:c>
      <x:c r="E4023" s="84" t="n">
        <x:v>5.1</x:v>
      </x:c>
      <x:c r="F4023" s="84" t="str">
        <x:v>Normal</x:v>
      </x:c>
      <x:c r="G4023" s="93" t="n">
        <x:v>196.15</x:v>
      </x:c>
      <x:c r="H4023" s="85" t="str">
        <x:v>Diagnóstico e execução</x:v>
      </x:c>
    </x:row>
    <x:row r="4024">
      <x:c r="A4024" s="83" t="n">
        <x:v>4023</x:v>
      </x:c>
      <x:c r="B4024" s="84" t="n">
        <x:v>2348</x:v>
      </x:c>
      <x:c r="C4024" s="84" t="n">
        <x:v>25</x:v>
      </x:c>
      <x:c r="D4024" s="89" t="n">
        <x:v>45390</x:v>
      </x:c>
      <x:c r="E4024" s="84" t="n">
        <x:v>2.8</x:v>
      </x:c>
      <x:c r="F4024" s="84" t="str">
        <x:v>Normal</x:v>
      </x:c>
      <x:c r="G4024" s="93" t="n">
        <x:v>150.05</x:v>
      </x:c>
      <x:c r="H4024" s="85" t="str">
        <x:v>Diagnóstico e execução</x:v>
      </x:c>
    </x:row>
    <x:row r="4025">
      <x:c r="A4025" s="83" t="n">
        <x:v>4024</x:v>
      </x:c>
      <x:c r="B4025" s="84" t="n">
        <x:v>2348</x:v>
      </x:c>
      <x:c r="C4025" s="84" t="n">
        <x:v>21</x:v>
      </x:c>
      <x:c r="D4025" s="89" t="n">
        <x:v>45390</x:v>
      </x:c>
      <x:c r="E4025" s="84" t="n">
        <x:v>3.5</x:v>
      </x:c>
      <x:c r="F4025" s="84" t="str">
        <x:v>Normal</x:v>
      </x:c>
      <x:c r="G4025" s="93" t="n">
        <x:v>215</x:v>
      </x:c>
      <x:c r="H4025" s="85" t="str">
        <x:v>Diagnóstico e execução</x:v>
      </x:c>
    </x:row>
    <x:row r="4026">
      <x:c r="A4026" s="83" t="n">
        <x:v>4025</x:v>
      </x:c>
      <x:c r="B4026" s="84" t="n">
        <x:v>2349</x:v>
      </x:c>
      <x:c r="C4026" s="84" t="n">
        <x:v>39</x:v>
      </x:c>
      <x:c r="D4026" s="89" t="n">
        <x:v>45156</x:v>
      </x:c>
      <x:c r="E4026" s="84" t="n">
        <x:v>4.8</x:v>
      </x:c>
      <x:c r="F4026" s="84" t="str">
        <x:v>Normal</x:v>
      </x:c>
      <x:c r="G4026" s="93" t="n">
        <x:v>277.92</x:v>
      </x:c>
      <x:c r="H4026" s="85" t="str">
        <x:v>Diagnóstico e execução</x:v>
      </x:c>
    </x:row>
    <x:row r="4027">
      <x:c r="A4027" s="83" t="n">
        <x:v>4026</x:v>
      </x:c>
      <x:c r="B4027" s="84" t="n">
        <x:v>2350</x:v>
      </x:c>
      <x:c r="C4027" s="84" t="n">
        <x:v>1</x:v>
      </x:c>
      <x:c r="D4027" s="89" t="n">
        <x:v>45824</x:v>
      </x:c>
      <x:c r="E4027" s="84" t="n">
        <x:v>6.5</x:v>
      </x:c>
      <x:c r="F4027" s="84" t="str">
        <x:v>Normal</x:v>
      </x:c>
      <x:c r="G4027" s="93" t="n">
        <x:v>229.9</x:v>
      </x:c>
      <x:c r="H4027" s="85" t="str">
        <x:v>Diagnóstico e execução</x:v>
      </x:c>
    </x:row>
    <x:row r="4028">
      <x:c r="A4028" s="83" t="n">
        <x:v>4027</x:v>
      </x:c>
      <x:c r="B4028" s="84" t="n">
        <x:v>2352</x:v>
      </x:c>
      <x:c r="C4028" s="84" t="n">
        <x:v>3</x:v>
      </x:c>
      <x:c r="D4028" s="89" t="n">
        <x:v>45317</x:v>
      </x:c>
      <x:c r="E4028" s="84" t="n">
        <x:v>3.2</x:v>
      </x:c>
      <x:c r="F4028" s="84" t="str">
        <x:v>Normal</x:v>
      </x:c>
      <x:c r="G4028" s="93" t="n">
        <x:v>157.57</x:v>
      </x:c>
      <x:c r="H4028" s="85" t="str">
        <x:v>Diagnóstico e execução</x:v>
      </x:c>
    </x:row>
    <x:row r="4029">
      <x:c r="A4029" s="83" t="n">
        <x:v>4028</x:v>
      </x:c>
      <x:c r="B4029" s="84" t="n">
        <x:v>2352</x:v>
      </x:c>
      <x:c r="C4029" s="84" t="n">
        <x:v>31</x:v>
      </x:c>
      <x:c r="D4029" s="89" t="n">
        <x:v>45317</x:v>
      </x:c>
      <x:c r="E4029" s="84" t="n">
        <x:v>5.5</x:v>
      </x:c>
      <x:c r="F4029" s="84" t="str">
        <x:v>Normal</x:v>
      </x:c>
      <x:c r="G4029" s="93" t="n">
        <x:v>268.95</x:v>
      </x:c>
      <x:c r="H4029" s="85" t="str">
        <x:v>Diagnóstico e execução</x:v>
      </x:c>
    </x:row>
    <x:row r="4030">
      <x:c r="A4030" s="83" t="n">
        <x:v>4029</x:v>
      </x:c>
      <x:c r="B4030" s="84" t="n">
        <x:v>2353</x:v>
      </x:c>
      <x:c r="C4030" s="84" t="n">
        <x:v>25</x:v>
      </x:c>
      <x:c r="D4030" s="89" t="n">
        <x:v>45037</x:v>
      </x:c>
      <x:c r="E4030" s="84" t="n">
        <x:v>2.6</x:v>
      </x:c>
      <x:c r="F4030" s="84" t="str">
        <x:v>Normal</x:v>
      </x:c>
      <x:c r="G4030" s="93" t="n">
        <x:v>139.33</x:v>
      </x:c>
      <x:c r="H4030" s="85" t="str">
        <x:v>Diagnóstico e execução</x:v>
      </x:c>
    </x:row>
    <x:row r="4031">
      <x:c r="A4031" s="83" t="n">
        <x:v>4030</x:v>
      </x:c>
      <x:c r="B4031" s="84" t="n">
        <x:v>2354</x:v>
      </x:c>
      <x:c r="C4031" s="84" t="n">
        <x:v>35</x:v>
      </x:c>
      <x:c r="D4031" s="89" t="n">
        <x:v>45372</x:v>
      </x:c>
      <x:c r="E4031" s="84" t="n">
        <x:v>3.6</x:v>
      </x:c>
      <x:c r="F4031" s="84" t="str">
        <x:v>Normal</x:v>
      </x:c>
      <x:c r="G4031" s="93" t="n">
        <x:v>177.08</x:v>
      </x:c>
      <x:c r="H4031" s="85" t="str">
        <x:v>Diagnóstico e execução</x:v>
      </x:c>
    </x:row>
    <x:row r="4032">
      <x:c r="A4032" s="83" t="n">
        <x:v>4031</x:v>
      </x:c>
      <x:c r="B4032" s="84" t="n">
        <x:v>2355</x:v>
      </x:c>
      <x:c r="C4032" s="84" t="n">
        <x:v>2</x:v>
      </x:c>
      <x:c r="D4032" s="89" t="n">
        <x:v>45834</x:v>
      </x:c>
      <x:c r="E4032" s="84" t="n">
        <x:v>2.9</x:v>
      </x:c>
      <x:c r="F4032" s="84" t="str">
        <x:v>Normal</x:v>
      </x:c>
      <x:c r="G4032" s="93" t="n">
        <x:v>108.05</x:v>
      </x:c>
      <x:c r="H4032" s="85" t="str">
        <x:v>Diagnóstico e execução</x:v>
      </x:c>
    </x:row>
    <x:row r="4033">
      <x:c r="A4033" s="83" t="n">
        <x:v>4032</x:v>
      </x:c>
      <x:c r="B4033" s="84" t="n">
        <x:v>2355</x:v>
      </x:c>
      <x:c r="C4033" s="84" t="n">
        <x:v>32</x:v>
      </x:c>
      <x:c r="D4033" s="89" t="n">
        <x:v>45834</x:v>
      </x:c>
      <x:c r="E4033" s="84" t="n">
        <x:v>4.7</x:v>
      </x:c>
      <x:c r="F4033" s="84" t="str">
        <x:v>Normal</x:v>
      </x:c>
      <x:c r="G4033" s="93" t="n">
        <x:v>205.16</x:v>
      </x:c>
      <x:c r="H4033" s="85" t="str">
        <x:v>Diagnóstico e execução</x:v>
      </x:c>
    </x:row>
    <x:row r="4034">
      <x:c r="A4034" s="83" t="n">
        <x:v>4033</x:v>
      </x:c>
      <x:c r="B4034" s="84" t="n">
        <x:v>2356</x:v>
      </x:c>
      <x:c r="C4034" s="84" t="n">
        <x:v>22</x:v>
      </x:c>
      <x:c r="D4034" s="89" t="n">
        <x:v>45238</x:v>
      </x:c>
      <x:c r="E4034" s="84" t="n">
        <x:v>6.3</x:v>
      </x:c>
      <x:c r="F4034" s="84" t="str">
        <x:v>Normal</x:v>
      </x:c>
      <x:c r="G4034" s="93" t="n">
        <x:v>242.3</x:v>
      </x:c>
      <x:c r="H4034" s="85" t="str">
        <x:v>Diagnóstico e execução</x:v>
      </x:c>
    </x:row>
    <x:row r="4035">
      <x:c r="A4035" s="83" t="n">
        <x:v>4034</x:v>
      </x:c>
      <x:c r="B4035" s="84" t="n">
        <x:v>2356</x:v>
      </x:c>
      <x:c r="C4035" s="84" t="n">
        <x:v>30</x:v>
      </x:c>
      <x:c r="D4035" s="89" t="n">
        <x:v>45238</x:v>
      </x:c>
      <x:c r="E4035" s="84" t="n">
        <x:v>3.9</x:v>
      </x:c>
      <x:c r="F4035" s="84" t="str">
        <x:v>Normal</x:v>
      </x:c>
      <x:c r="G4035" s="93" t="n">
        <x:v>161.5</x:v>
      </x:c>
      <x:c r="H4035" s="85" t="str">
        <x:v>Diagnóstico e execução</x:v>
      </x:c>
    </x:row>
    <x:row r="4036">
      <x:c r="A4036" s="83" t="n">
        <x:v>4035</x:v>
      </x:c>
      <x:c r="B4036" s="84" t="n">
        <x:v>2356</x:v>
      </x:c>
      <x:c r="C4036" s="84" t="n">
        <x:v>17</x:v>
      </x:c>
      <x:c r="D4036" s="89" t="n">
        <x:v>45238</x:v>
      </x:c>
      <x:c r="E4036" s="84" t="n">
        <x:v>4.7</x:v>
      </x:c>
      <x:c r="F4036" s="84" t="str">
        <x:v>Normal</x:v>
      </x:c>
      <x:c r="G4036" s="93" t="n">
        <x:v>262.17</x:v>
      </x:c>
      <x:c r="H4036" s="85" t="str">
        <x:v>Diagnóstico e execução</x:v>
      </x:c>
    </x:row>
    <x:row r="4037">
      <x:c r="A4037" s="83" t="n">
        <x:v>4036</x:v>
      </x:c>
      <x:c r="B4037" s="84" t="n">
        <x:v>2357</x:v>
      </x:c>
      <x:c r="C4037" s="84" t="n">
        <x:v>2</x:v>
      </x:c>
      <x:c r="D4037" s="89" t="n">
        <x:v>45707</x:v>
      </x:c>
      <x:c r="E4037" s="84" t="n">
        <x:v>4.6</x:v>
      </x:c>
      <x:c r="F4037" s="84" t="str">
        <x:v>Normal</x:v>
      </x:c>
      <x:c r="G4037" s="93" t="n">
        <x:v>171.4</x:v>
      </x:c>
      <x:c r="H4037" s="85" t="str">
        <x:v>Diagnóstico e execução</x:v>
      </x:c>
    </x:row>
    <x:row r="4038">
      <x:c r="A4038" s="83" t="n">
        <x:v>4037</x:v>
      </x:c>
      <x:c r="B4038" s="84" t="n">
        <x:v>2357</x:v>
      </x:c>
      <x:c r="C4038" s="84" t="n">
        <x:v>2</x:v>
      </x:c>
      <x:c r="D4038" s="89" t="n">
        <x:v>45707</x:v>
      </x:c>
      <x:c r="E4038" s="84" t="n">
        <x:v>2.7</x:v>
      </x:c>
      <x:c r="F4038" s="84" t="str">
        <x:v>Normal</x:v>
      </x:c>
      <x:c r="G4038" s="93" t="n">
        <x:v>100.6</x:v>
      </x:c>
      <x:c r="H4038" s="85" t="str">
        <x:v>Diagnóstico e execução</x:v>
      </x:c>
    </x:row>
    <x:row r="4039">
      <x:c r="A4039" s="83" t="n">
        <x:v>4038</x:v>
      </x:c>
      <x:c r="B4039" s="84" t="n">
        <x:v>2358</x:v>
      </x:c>
      <x:c r="C4039" s="84" t="n">
        <x:v>30</x:v>
      </x:c>
      <x:c r="D4039" s="89" t="n">
        <x:v>45291</x:v>
      </x:c>
      <x:c r="E4039" s="84" t="n">
        <x:v>7.2</x:v>
      </x:c>
      <x:c r="F4039" s="84" t="str">
        <x:v>Normal</x:v>
      </x:c>
      <x:c r="G4039" s="93" t="n">
        <x:v>298.15</x:v>
      </x:c>
      <x:c r="H4039" s="85" t="str">
        <x:v>Diagnóstico e execução</x:v>
      </x:c>
    </x:row>
    <x:row r="4040">
      <x:c r="A4040" s="83" t="n">
        <x:v>4039</x:v>
      </x:c>
      <x:c r="B4040" s="84" t="n">
        <x:v>2358</x:v>
      </x:c>
      <x:c r="C4040" s="84" t="n">
        <x:v>39</x:v>
      </x:c>
      <x:c r="D4040" s="89" t="n">
        <x:v>45291</x:v>
      </x:c>
      <x:c r="E4040" s="84" t="n">
        <x:v>7.1</x:v>
      </x:c>
      <x:c r="F4040" s="84" t="str">
        <x:v>Normal</x:v>
      </x:c>
      <x:c r="G4040" s="93" t="n">
        <x:v>411.09</x:v>
      </x:c>
      <x:c r="H4040" s="85" t="str">
        <x:v>Diagnóstico e execução</x:v>
      </x:c>
    </x:row>
    <x:row r="4041">
      <x:c r="A4041" s="83" t="n">
        <x:v>4040</x:v>
      </x:c>
      <x:c r="B4041" s="84" t="n">
        <x:v>2358</x:v>
      </x:c>
      <x:c r="C4041" s="84" t="n">
        <x:v>16</x:v>
      </x:c>
      <x:c r="D4041" s="89" t="n">
        <x:v>45291</x:v>
      </x:c>
      <x:c r="E4041" s="84" t="n">
        <x:v>6.1</x:v>
      </x:c>
      <x:c r="F4041" s="84" t="str">
        <x:v>Normal</x:v>
      </x:c>
      <x:c r="G4041" s="93" t="n">
        <x:v>247.17</x:v>
      </x:c>
      <x:c r="H4041" s="85" t="str">
        <x:v>Diagnóstico e execução</x:v>
      </x:c>
    </x:row>
    <x:row r="4042">
      <x:c r="A4042" s="83" t="n">
        <x:v>4041</x:v>
      </x:c>
      <x:c r="B4042" s="84" t="n">
        <x:v>2359</x:v>
      </x:c>
      <x:c r="C4042" s="84" t="n">
        <x:v>21</x:v>
      </x:c>
      <x:c r="D4042" s="89" t="n">
        <x:v>45206</x:v>
      </x:c>
      <x:c r="E4042" s="84" t="n">
        <x:v>6.5</x:v>
      </x:c>
      <x:c r="F4042" s="84" t="str">
        <x:v>Normal</x:v>
      </x:c>
      <x:c r="G4042" s="93" t="n">
        <x:v>399.3</x:v>
      </x:c>
      <x:c r="H4042" s="85" t="str">
        <x:v>Diagnóstico e execução</x:v>
      </x:c>
    </x:row>
    <x:row r="4043">
      <x:c r="A4043" s="83" t="n">
        <x:v>4042</x:v>
      </x:c>
      <x:c r="B4043" s="84" t="n">
        <x:v>2359</x:v>
      </x:c>
      <x:c r="C4043" s="84" t="n">
        <x:v>38</x:v>
      </x:c>
      <x:c r="D4043" s="89" t="n">
        <x:v>45206</x:v>
      </x:c>
      <x:c r="E4043" s="84" t="n">
        <x:v>2.8</x:v>
      </x:c>
      <x:c r="F4043" s="84" t="str">
        <x:v>Normal</x:v>
      </x:c>
      <x:c r="G4043" s="93" t="n">
        <x:v>94.28</x:v>
      </x:c>
      <x:c r="H4043" s="85" t="str">
        <x:v>Diagnóstico e execução</x:v>
      </x:c>
    </x:row>
    <x:row r="4044">
      <x:c r="A4044" s="83" t="n">
        <x:v>4043</x:v>
      </x:c>
      <x:c r="B4044" s="84" t="n">
        <x:v>2359</x:v>
      </x:c>
      <x:c r="C4044" s="84" t="n">
        <x:v>27</x:v>
      </x:c>
      <x:c r="D4044" s="89" t="n">
        <x:v>45206</x:v>
      </x:c>
      <x:c r="E4044" s="84" t="n">
        <x:v>1.7</x:v>
      </x:c>
      <x:c r="F4044" s="84" t="str">
        <x:v>Normal</x:v>
      </x:c>
      <x:c r="G4044" s="93" t="n">
        <x:v>103.68</x:v>
      </x:c>
      <x:c r="H4044" s="85" t="str">
        <x:v>Diagnóstico e execução</x:v>
      </x:c>
    </x:row>
    <x:row r="4045">
      <x:c r="A4045" s="83" t="n">
        <x:v>4044</x:v>
      </x:c>
      <x:c r="B4045" s="84" t="n">
        <x:v>2360</x:v>
      </x:c>
      <x:c r="C4045" s="84" t="n">
        <x:v>3</x:v>
      </x:c>
      <x:c r="D4045" s="89" t="n">
        <x:v>45986</x:v>
      </x:c>
      <x:c r="E4045" s="84" t="n">
        <x:v>4.2</x:v>
      </x:c>
      <x:c r="F4045" s="84" t="str">
        <x:v>Normal</x:v>
      </x:c>
      <x:c r="G4045" s="93" t="n">
        <x:v>206.81</x:v>
      </x:c>
      <x:c r="H4045" s="85" t="str">
        <x:v>Diagnóstico e execução</x:v>
      </x:c>
    </x:row>
    <x:row r="4046">
      <x:c r="A4046" s="83" t="n">
        <x:v>4045</x:v>
      </x:c>
      <x:c r="B4046" s="84" t="n">
        <x:v>2360</x:v>
      </x:c>
      <x:c r="C4046" s="84" t="n">
        <x:v>30</x:v>
      </x:c>
      <x:c r="D4046" s="89" t="n">
        <x:v>45986</x:v>
      </x:c>
      <x:c r="E4046" s="84" t="n">
        <x:v>6.3</x:v>
      </x:c>
      <x:c r="F4046" s="84" t="str">
        <x:v>Normal</x:v>
      </x:c>
      <x:c r="G4046" s="93" t="n">
        <x:v>260.88</x:v>
      </x:c>
      <x:c r="H4046" s="85" t="str">
        <x:v>Diagnóstico e execução</x:v>
      </x:c>
    </x:row>
    <x:row r="4047">
      <x:c r="A4047" s="83" t="n">
        <x:v>4046</x:v>
      </x:c>
      <x:c r="B4047" s="84" t="n">
        <x:v>2361</x:v>
      </x:c>
      <x:c r="C4047" s="84" t="n">
        <x:v>8</x:v>
      </x:c>
      <x:c r="D4047" s="89" t="n">
        <x:v>45777</x:v>
      </x:c>
      <x:c r="E4047" s="84" t="n">
        <x:v>6.6</x:v>
      </x:c>
      <x:c r="F4047" s="84" t="str">
        <x:v>Normal</x:v>
      </x:c>
      <x:c r="G4047" s="93" t="n">
        <x:v>306.9</x:v>
      </x:c>
      <x:c r="H4047" s="85" t="str">
        <x:v>Diagnóstico e execução</x:v>
      </x:c>
    </x:row>
    <x:row r="4048">
      <x:c r="A4048" s="83" t="n">
        <x:v>4047</x:v>
      </x:c>
      <x:c r="B4048" s="84" t="n">
        <x:v>2362</x:v>
      </x:c>
      <x:c r="C4048" s="84" t="n">
        <x:v>8</x:v>
      </x:c>
      <x:c r="D4048" s="89" t="n">
        <x:v>45359</x:v>
      </x:c>
      <x:c r="E4048" s="84" t="n">
        <x:v>1.9</x:v>
      </x:c>
      <x:c r="F4048" s="84" t="str">
        <x:v>Normal</x:v>
      </x:c>
      <x:c r="G4048" s="93" t="n">
        <x:v>88.35</x:v>
      </x:c>
      <x:c r="H4048" s="85" t="str">
        <x:v>Diagnóstico e execução</x:v>
      </x:c>
    </x:row>
    <x:row r="4049">
      <x:c r="A4049" s="83" t="n">
        <x:v>4048</x:v>
      </x:c>
      <x:c r="B4049" s="84" t="n">
        <x:v>2362</x:v>
      </x:c>
      <x:c r="C4049" s="84" t="n">
        <x:v>10</x:v>
      </x:c>
      <x:c r="D4049" s="89" t="n">
        <x:v>45359</x:v>
      </x:c>
      <x:c r="E4049" s="84" t="n">
        <x:v>2</x:v>
      </x:c>
      <x:c r="F4049" s="84" t="str">
        <x:v>Normal</x:v>
      </x:c>
      <x:c r="G4049" s="93" t="n">
        <x:v>59.38</x:v>
      </x:c>
      <x:c r="H4049" s="85" t="str">
        <x:v>Diagnóstico e execução</x:v>
      </x:c>
    </x:row>
    <x:row r="4050">
      <x:c r="A4050" s="83" t="n">
        <x:v>4049</x:v>
      </x:c>
      <x:c r="B4050" s="84" t="n">
        <x:v>2363</x:v>
      </x:c>
      <x:c r="C4050" s="84" t="n">
        <x:v>14</x:v>
      </x:c>
      <x:c r="D4050" s="89" t="n">
        <x:v>45623</x:v>
      </x:c>
      <x:c r="E4050" s="84" t="n">
        <x:v>0.7</x:v>
      </x:c>
      <x:c r="F4050" s="84" t="str">
        <x:v>Normal</x:v>
      </x:c>
      <x:c r="G4050" s="93" t="n">
        <x:v>39.66</x:v>
      </x:c>
      <x:c r="H4050" s="85" t="str">
        <x:v>Diagnóstico e execução</x:v>
      </x:c>
    </x:row>
    <x:row r="4051">
      <x:c r="A4051" s="83" t="n">
        <x:v>4050</x:v>
      </x:c>
      <x:c r="B4051" s="84" t="n">
        <x:v>2364</x:v>
      </x:c>
      <x:c r="C4051" s="84" t="n">
        <x:v>21</x:v>
      </x:c>
      <x:c r="D4051" s="89" t="n">
        <x:v>44968</x:v>
      </x:c>
      <x:c r="E4051" s="84" t="n">
        <x:v>7.6</x:v>
      </x:c>
      <x:c r="F4051" s="84" t="str">
        <x:v>Normal</x:v>
      </x:c>
      <x:c r="G4051" s="93" t="n">
        <x:v>466.87</x:v>
      </x:c>
      <x:c r="H4051" s="85" t="str">
        <x:v>Diagnóstico e execução</x:v>
      </x:c>
    </x:row>
    <x:row r="4052">
      <x:c r="A4052" s="83" t="n">
        <x:v>4051</x:v>
      </x:c>
      <x:c r="B4052" s="84" t="n">
        <x:v>2364</x:v>
      </x:c>
      <x:c r="C4052" s="84" t="n">
        <x:v>28</x:v>
      </x:c>
      <x:c r="D4052" s="89" t="n">
        <x:v>44968</x:v>
      </x:c>
      <x:c r="E4052" s="84" t="n">
        <x:v>3.6</x:v>
      </x:c>
      <x:c r="F4052" s="84" t="str">
        <x:v>Normal</x:v>
      </x:c>
      <x:c r="G4052" s="93" t="n">
        <x:v>135.43</x:v>
      </x:c>
      <x:c r="H4052" s="85" t="str">
        <x:v>Diagnóstico e execução</x:v>
      </x:c>
    </x:row>
    <x:row r="4053">
      <x:c r="A4053" s="83" t="n">
        <x:v>4052</x:v>
      </x:c>
      <x:c r="B4053" s="84" t="n">
        <x:v>2365</x:v>
      </x:c>
      <x:c r="C4053" s="84" t="n">
        <x:v>14</x:v>
      </x:c>
      <x:c r="D4053" s="89" t="n">
        <x:v>46019</x:v>
      </x:c>
      <x:c r="E4053" s="84" t="n">
        <x:v>7.5</x:v>
      </x:c>
      <x:c r="F4053" s="84" t="str">
        <x:v>Normal</x:v>
      </x:c>
      <x:c r="G4053" s="93" t="n">
        <x:v>424.95</x:v>
      </x:c>
      <x:c r="H4053" s="85" t="str">
        <x:v>Diagnóstico e execução</x:v>
      </x:c>
    </x:row>
    <x:row r="4054">
      <x:c r="A4054" s="83" t="n">
        <x:v>4053</x:v>
      </x:c>
      <x:c r="B4054" s="84" t="n">
        <x:v>2367</x:v>
      </x:c>
      <x:c r="C4054" s="84" t="n">
        <x:v>43</x:v>
      </x:c>
      <x:c r="D4054" s="89" t="n">
        <x:v>45554</x:v>
      </x:c>
      <x:c r="E4054" s="84" t="n">
        <x:v>1</x:v>
      </x:c>
      <x:c r="F4054" s="84" t="str">
        <x:v>Normal</x:v>
      </x:c>
      <x:c r="G4054" s="93" t="n">
        <x:v>54.66</x:v>
      </x:c>
      <x:c r="H4054" s="85" t="str">
        <x:v>Diagnóstico e execução</x:v>
      </x:c>
    </x:row>
    <x:row r="4055">
      <x:c r="A4055" s="83" t="n">
        <x:v>4054</x:v>
      </x:c>
      <x:c r="B4055" s="84" t="n">
        <x:v>2368</x:v>
      </x:c>
      <x:c r="C4055" s="84" t="n">
        <x:v>17</x:v>
      </x:c>
      <x:c r="D4055" s="89" t="n">
        <x:v>45021</x:v>
      </x:c>
      <x:c r="E4055" s="84" t="n">
        <x:v>2.7</x:v>
      </x:c>
      <x:c r="F4055" s="84" t="str">
        <x:v>Normal</x:v>
      </x:c>
      <x:c r="G4055" s="93" t="n">
        <x:v>150.61</x:v>
      </x:c>
      <x:c r="H4055" s="85" t="str">
        <x:v>Diagnóstico e execução</x:v>
      </x:c>
    </x:row>
    <x:row r="4056">
      <x:c r="A4056" s="83" t="n">
        <x:v>4055</x:v>
      </x:c>
      <x:c r="B4056" s="84" t="n">
        <x:v>2368</x:v>
      </x:c>
      <x:c r="C4056" s="84" t="n">
        <x:v>24</x:v>
      </x:c>
      <x:c r="D4056" s="89" t="n">
        <x:v>45021</x:v>
      </x:c>
      <x:c r="E4056" s="84" t="n">
        <x:v>5.1</x:v>
      </x:c>
      <x:c r="F4056" s="84" t="str">
        <x:v>Normal</x:v>
      </x:c>
      <x:c r="G4056" s="93" t="n">
        <x:v>302.12</x:v>
      </x:c>
      <x:c r="H4056" s="85" t="str">
        <x:v>Diagnóstico e execução</x:v>
      </x:c>
    </x:row>
    <x:row r="4057">
      <x:c r="A4057" s="83" t="n">
        <x:v>4056</x:v>
      </x:c>
      <x:c r="B4057" s="84" t="n">
        <x:v>2369</x:v>
      </x:c>
      <x:c r="C4057" s="84" t="n">
        <x:v>11</x:v>
      </x:c>
      <x:c r="D4057" s="89" t="n">
        <x:v>45888</x:v>
      </x:c>
      <x:c r="E4057" s="84" t="n">
        <x:v>3.9</x:v>
      </x:c>
      <x:c r="F4057" s="84" t="str">
        <x:v>Normal</x:v>
      </x:c>
      <x:c r="G4057" s="93" t="n">
        <x:v>162.55</x:v>
      </x:c>
      <x:c r="H4057" s="85" t="str">
        <x:v>Diagnóstico e execução</x:v>
      </x:c>
    </x:row>
    <x:row r="4058">
      <x:c r="A4058" s="83" t="n">
        <x:v>4057</x:v>
      </x:c>
      <x:c r="B4058" s="84" t="n">
        <x:v>2370</x:v>
      </x:c>
      <x:c r="C4058" s="84" t="n">
        <x:v>31</x:v>
      </x:c>
      <x:c r="D4058" s="89" t="n">
        <x:v>45314</x:v>
      </x:c>
      <x:c r="E4058" s="84" t="n">
        <x:v>3.7</x:v>
      </x:c>
      <x:c r="F4058" s="84" t="str">
        <x:v>Normal</x:v>
      </x:c>
      <x:c r="G4058" s="93" t="n">
        <x:v>180.93</x:v>
      </x:c>
      <x:c r="H4058" s="85" t="str">
        <x:v>Diagnóstico e execução</x:v>
      </x:c>
    </x:row>
    <x:row r="4059">
      <x:c r="A4059" s="83" t="n">
        <x:v>4058</x:v>
      </x:c>
      <x:c r="B4059" s="84" t="n">
        <x:v>2370</x:v>
      </x:c>
      <x:c r="C4059" s="84" t="n">
        <x:v>14</x:v>
      </x:c>
      <x:c r="D4059" s="89" t="n">
        <x:v>45314</x:v>
      </x:c>
      <x:c r="E4059" s="84" t="n">
        <x:v>0.9</x:v>
      </x:c>
      <x:c r="F4059" s="84" t="str">
        <x:v>Normal</x:v>
      </x:c>
      <x:c r="G4059" s="93" t="n">
        <x:v>50.99</x:v>
      </x:c>
      <x:c r="H4059" s="85" t="str">
        <x:v>Diagnóstico e execução</x:v>
      </x:c>
    </x:row>
    <x:row r="4060">
      <x:c r="A4060" s="83" t="n">
        <x:v>4059</x:v>
      </x:c>
      <x:c r="B4060" s="84" t="n">
        <x:v>2370</x:v>
      </x:c>
      <x:c r="C4060" s="84" t="n">
        <x:v>33</x:v>
      </x:c>
      <x:c r="D4060" s="89" t="n">
        <x:v>45314</x:v>
      </x:c>
      <x:c r="E4060" s="84" t="n">
        <x:v>7.9</x:v>
      </x:c>
      <x:c r="F4060" s="84" t="str">
        <x:v>Normal</x:v>
      </x:c>
      <x:c r="G4060" s="93" t="n">
        <x:v>272.47</x:v>
      </x:c>
      <x:c r="H4060" s="85" t="str">
        <x:v>Diagnóstico e execução</x:v>
      </x:c>
    </x:row>
    <x:row r="4061">
      <x:c r="A4061" s="83" t="n">
        <x:v>4060</x:v>
      </x:c>
      <x:c r="B4061" s="84" t="n">
        <x:v>2371</x:v>
      </x:c>
      <x:c r="C4061" s="84" t="n">
        <x:v>44</x:v>
      </x:c>
      <x:c r="D4061" s="89" t="n">
        <x:v>45721</x:v>
      </x:c>
      <x:c r="E4061" s="84" t="n">
        <x:v>6.8</x:v>
      </x:c>
      <x:c r="F4061" s="84" t="str">
        <x:v>Normal</x:v>
      </x:c>
      <x:c r="G4061" s="93" t="n">
        <x:v>190.67</x:v>
      </x:c>
      <x:c r="H4061" s="85" t="str">
        <x:v>Diagnóstico e execução</x:v>
      </x:c>
    </x:row>
    <x:row r="4062">
      <x:c r="A4062" s="83" t="n">
        <x:v>4061</x:v>
      </x:c>
      <x:c r="B4062" s="84" t="n">
        <x:v>2371</x:v>
      </x:c>
      <x:c r="C4062" s="84" t="n">
        <x:v>29</x:v>
      </x:c>
      <x:c r="D4062" s="89" t="n">
        <x:v>45721</x:v>
      </x:c>
      <x:c r="E4062" s="84" t="n">
        <x:v>7.1</x:v>
      </x:c>
      <x:c r="F4062" s="84" t="str">
        <x:v>Normal</x:v>
      </x:c>
      <x:c r="G4062" s="93" t="n">
        <x:v>351.59</x:v>
      </x:c>
      <x:c r="H4062" s="85" t="str">
        <x:v>Diagnóstico e execução</x:v>
      </x:c>
    </x:row>
    <x:row r="4063">
      <x:c r="A4063" s="83" t="n">
        <x:v>4062</x:v>
      </x:c>
      <x:c r="B4063" s="84" t="n">
        <x:v>2372</x:v>
      </x:c>
      <x:c r="C4063" s="84" t="n">
        <x:v>12</x:v>
      </x:c>
      <x:c r="D4063" s="89" t="n">
        <x:v>45795</x:v>
      </x:c>
      <x:c r="E4063" s="84" t="n">
        <x:v>4.3</x:v>
      </x:c>
      <x:c r="F4063" s="84" t="str">
        <x:v>Normal</x:v>
      </x:c>
      <x:c r="G4063" s="93" t="n">
        <x:v>148.35</x:v>
      </x:c>
      <x:c r="H4063" s="85" t="str">
        <x:v>Diagnóstico e execução</x:v>
      </x:c>
    </x:row>
    <x:row r="4064">
      <x:c r="A4064" s="83" t="n">
        <x:v>4063</x:v>
      </x:c>
      <x:c r="B4064" s="84" t="n">
        <x:v>2374</x:v>
      </x:c>
      <x:c r="C4064" s="84" t="n">
        <x:v>44</x:v>
      </x:c>
      <x:c r="D4064" s="89" t="n">
        <x:v>45387</x:v>
      </x:c>
      <x:c r="E4064" s="84" t="n">
        <x:v>1.3</x:v>
      </x:c>
      <x:c r="F4064" s="84" t="str">
        <x:v>Normal</x:v>
      </x:c>
      <x:c r="G4064" s="93" t="n">
        <x:v>36.45</x:v>
      </x:c>
      <x:c r="H4064" s="85" t="str">
        <x:v>Diagnóstico e execução</x:v>
      </x:c>
    </x:row>
    <x:row r="4065">
      <x:c r="A4065" s="83" t="n">
        <x:v>4064</x:v>
      </x:c>
      <x:c r="B4065" s="84" t="n">
        <x:v>2374</x:v>
      </x:c>
      <x:c r="C4065" s="84" t="n">
        <x:v>15</x:v>
      </x:c>
      <x:c r="D4065" s="89" t="n">
        <x:v>45387</x:v>
      </x:c>
      <x:c r="E4065" s="84" t="n">
        <x:v>7.1</x:v>
      </x:c>
      <x:c r="F4065" s="84" t="str">
        <x:v>Normal</x:v>
      </x:c>
      <x:c r="G4065" s="93" t="n">
        <x:v>214.7</x:v>
      </x:c>
      <x:c r="H4065" s="85" t="str">
        <x:v>Diagnóstico e execução</x:v>
      </x:c>
    </x:row>
    <x:row r="4066">
      <x:c r="A4066" s="83" t="n">
        <x:v>4065</x:v>
      </x:c>
      <x:c r="B4066" s="84" t="n">
        <x:v>2374</x:v>
      </x:c>
      <x:c r="C4066" s="84" t="n">
        <x:v>20</x:v>
      </x:c>
      <x:c r="D4066" s="89" t="n">
        <x:v>45387</x:v>
      </x:c>
      <x:c r="E4066" s="84" t="n">
        <x:v>6.1</x:v>
      </x:c>
      <x:c r="F4066" s="84" t="str">
        <x:v>Normal</x:v>
      </x:c>
      <x:c r="G4066" s="93" t="n">
        <x:v>204.47</x:v>
      </x:c>
      <x:c r="H4066" s="85" t="str">
        <x:v>Diagnóstico e execução</x:v>
      </x:c>
    </x:row>
    <x:row r="4067">
      <x:c r="A4067" s="83" t="n">
        <x:v>4066</x:v>
      </x:c>
      <x:c r="B4067" s="84" t="n">
        <x:v>2375</x:v>
      </x:c>
      <x:c r="C4067" s="84" t="n">
        <x:v>17</x:v>
      </x:c>
      <x:c r="D4067" s="89" t="n">
        <x:v>45922</x:v>
      </x:c>
      <x:c r="E4067" s="84" t="n">
        <x:v>6.3</x:v>
      </x:c>
      <x:c r="F4067" s="84" t="str">
        <x:v>Normal</x:v>
      </x:c>
      <x:c r="G4067" s="93" t="n">
        <x:v>351.41</x:v>
      </x:c>
      <x:c r="H4067" s="85" t="str">
        <x:v>Diagnóstico e execução</x:v>
      </x:c>
    </x:row>
    <x:row r="4068">
      <x:c r="A4068" s="83" t="n">
        <x:v>4067</x:v>
      </x:c>
      <x:c r="B4068" s="84" t="n">
        <x:v>2375</x:v>
      </x:c>
      <x:c r="C4068" s="84" t="n">
        <x:v>35</x:v>
      </x:c>
      <x:c r="D4068" s="89" t="n">
        <x:v>45922</x:v>
      </x:c>
      <x:c r="E4068" s="84" t="n">
        <x:v>3.1</x:v>
      </x:c>
      <x:c r="F4068" s="84" t="str">
        <x:v>Normal</x:v>
      </x:c>
      <x:c r="G4068" s="93" t="n">
        <x:v>152.49</x:v>
      </x:c>
      <x:c r="H4068" s="85" t="str">
        <x:v>Diagnóstico e execução</x:v>
      </x:c>
    </x:row>
    <x:row r="4069">
      <x:c r="A4069" s="83" t="n">
        <x:v>4068</x:v>
      </x:c>
      <x:c r="B4069" s="84" t="n">
        <x:v>2376</x:v>
      </x:c>
      <x:c r="C4069" s="84" t="n">
        <x:v>36</x:v>
      </x:c>
      <x:c r="D4069" s="89" t="n">
        <x:v>44977</x:v>
      </x:c>
      <x:c r="E4069" s="84" t="n">
        <x:v>1</x:v>
      </x:c>
      <x:c r="F4069" s="84" t="str">
        <x:v>Normal</x:v>
      </x:c>
      <x:c r="G4069" s="93" t="n">
        <x:v>29.66</x:v>
      </x:c>
      <x:c r="H4069" s="85" t="str">
        <x:v>Diagnóstico e execução</x:v>
      </x:c>
    </x:row>
    <x:row r="4070">
      <x:c r="A4070" s="83" t="n">
        <x:v>4069</x:v>
      </x:c>
      <x:c r="B4070" s="84" t="n">
        <x:v>2376</x:v>
      </x:c>
      <x:c r="C4070" s="84" t="n">
        <x:v>44</x:v>
      </x:c>
      <x:c r="D4070" s="89" t="n">
        <x:v>44977</x:v>
      </x:c>
      <x:c r="E4070" s="84" t="n">
        <x:v>5.8</x:v>
      </x:c>
      <x:c r="F4070" s="84" t="str">
        <x:v>Normal</x:v>
      </x:c>
      <x:c r="G4070" s="93" t="n">
        <x:v>162.63</x:v>
      </x:c>
      <x:c r="H4070" s="85" t="str">
        <x:v>Diagnóstico e execução</x:v>
      </x:c>
    </x:row>
    <x:row r="4071">
      <x:c r="A4071" s="83" t="n">
        <x:v>4070</x:v>
      </x:c>
      <x:c r="B4071" s="84" t="n">
        <x:v>2376</x:v>
      </x:c>
      <x:c r="C4071" s="84" t="n">
        <x:v>16</x:v>
      </x:c>
      <x:c r="D4071" s="89" t="n">
        <x:v>44977</x:v>
      </x:c>
      <x:c r="E4071" s="84" t="n">
        <x:v>5.8</x:v>
      </x:c>
      <x:c r="F4071" s="84" t="str">
        <x:v>Normal</x:v>
      </x:c>
      <x:c r="G4071" s="93" t="n">
        <x:v>235.02</x:v>
      </x:c>
      <x:c r="H4071" s="85" t="str">
        <x:v>Diagnóstico e execução</x:v>
      </x:c>
    </x:row>
    <x:row r="4072">
      <x:c r="A4072" s="83" t="n">
        <x:v>4071</x:v>
      </x:c>
      <x:c r="B4072" s="84" t="n">
        <x:v>2377</x:v>
      </x:c>
      <x:c r="C4072" s="84" t="n">
        <x:v>14</x:v>
      </x:c>
      <x:c r="D4072" s="89" t="n">
        <x:v>44973</x:v>
      </x:c>
      <x:c r="E4072" s="84" t="n">
        <x:v>0.9</x:v>
      </x:c>
      <x:c r="F4072" s="84" t="str">
        <x:v>Normal</x:v>
      </x:c>
      <x:c r="G4072" s="93" t="n">
        <x:v>50.99</x:v>
      </x:c>
      <x:c r="H4072" s="85" t="str">
        <x:v>Diagnóstico e execução</x:v>
      </x:c>
    </x:row>
    <x:row r="4073">
      <x:c r="A4073" s="83" t="n">
        <x:v>4072</x:v>
      </x:c>
      <x:c r="B4073" s="84" t="n">
        <x:v>2377</x:v>
      </x:c>
      <x:c r="C4073" s="84" t="n">
        <x:v>41</x:v>
      </x:c>
      <x:c r="D4073" s="89" t="n">
        <x:v>44973</x:v>
      </x:c>
      <x:c r="E4073" s="84" t="n">
        <x:v>1</x:v>
      </x:c>
      <x:c r="F4073" s="84" t="str">
        <x:v>Normal</x:v>
      </x:c>
      <x:c r="G4073" s="93" t="n">
        <x:v>50.58</x:v>
      </x:c>
      <x:c r="H4073" s="85" t="str">
        <x:v>Diagnóstico e execução</x:v>
      </x:c>
    </x:row>
    <x:row r="4074">
      <x:c r="A4074" s="83" t="n">
        <x:v>4073</x:v>
      </x:c>
      <x:c r="B4074" s="84" t="n">
        <x:v>2378</x:v>
      </x:c>
      <x:c r="C4074" s="84" t="n">
        <x:v>36</x:v>
      </x:c>
      <x:c r="D4074" s="89" t="n">
        <x:v>45278</x:v>
      </x:c>
      <x:c r="E4074" s="84" t="n">
        <x:v>4.4</x:v>
      </x:c>
      <x:c r="F4074" s="84" t="str">
        <x:v>Normal</x:v>
      </x:c>
      <x:c r="G4074" s="93" t="n">
        <x:v>130.5</x:v>
      </x:c>
      <x:c r="H4074" s="85" t="str">
        <x:v>Diagnóstico e execução</x:v>
      </x:c>
    </x:row>
    <x:row r="4075">
      <x:c r="A4075" s="83" t="n">
        <x:v>4074</x:v>
      </x:c>
      <x:c r="B4075" s="84" t="n">
        <x:v>2382</x:v>
      </x:c>
      <x:c r="C4075" s="84" t="n">
        <x:v>44</x:v>
      </x:c>
      <x:c r="D4075" s="89" t="n">
        <x:v>45120</x:v>
      </x:c>
      <x:c r="E4075" s="84" t="n">
        <x:v>7.3</x:v>
      </x:c>
      <x:c r="F4075" s="84" t="str">
        <x:v>Normal</x:v>
      </x:c>
      <x:c r="G4075" s="93" t="n">
        <x:v>204.69</x:v>
      </x:c>
      <x:c r="H4075" s="85" t="str">
        <x:v>Diagnóstico e execução</x:v>
      </x:c>
    </x:row>
    <x:row r="4076">
      <x:c r="A4076" s="83" t="n">
        <x:v>4075</x:v>
      </x:c>
      <x:c r="B4076" s="84" t="n">
        <x:v>2383</x:v>
      </x:c>
      <x:c r="C4076" s="84" t="n">
        <x:v>37</x:v>
      </x:c>
      <x:c r="D4076" s="89" t="n">
        <x:v>45008</x:v>
      </x:c>
      <x:c r="E4076" s="84" t="n">
        <x:v>0.7</x:v>
      </x:c>
      <x:c r="F4076" s="84" t="str">
        <x:v>Normal</x:v>
      </x:c>
      <x:c r="G4076" s="93" t="n">
        <x:v>41.28</x:v>
      </x:c>
      <x:c r="H4076" s="85" t="str">
        <x:v>Diagnóstico e execução</x:v>
      </x:c>
    </x:row>
    <x:row r="4077">
      <x:c r="A4077" s="83" t="n">
        <x:v>4076</x:v>
      </x:c>
      <x:c r="B4077" s="84" t="n">
        <x:v>2383</x:v>
      </x:c>
      <x:c r="C4077" s="84" t="n">
        <x:v>43</x:v>
      </x:c>
      <x:c r="D4077" s="89" t="n">
        <x:v>45008</x:v>
      </x:c>
      <x:c r="E4077" s="84" t="n">
        <x:v>4</x:v>
      </x:c>
      <x:c r="F4077" s="84" t="str">
        <x:v>Normal</x:v>
      </x:c>
      <x:c r="G4077" s="93" t="n">
        <x:v>218.64</x:v>
      </x:c>
      <x:c r="H4077" s="85" t="str">
        <x:v>Diagnóstico e execução</x:v>
      </x:c>
    </x:row>
    <x:row r="4078">
      <x:c r="A4078" s="83" t="n">
        <x:v>4077</x:v>
      </x:c>
      <x:c r="B4078" s="84" t="n">
        <x:v>2383</x:v>
      </x:c>
      <x:c r="C4078" s="84" t="n">
        <x:v>23</x:v>
      </x:c>
      <x:c r="D4078" s="89" t="n">
        <x:v>45008</x:v>
      </x:c>
      <x:c r="E4078" s="84" t="n">
        <x:v>7</x:v>
      </x:c>
      <x:c r="F4078" s="84" t="str">
        <x:v>Normal</x:v>
      </x:c>
      <x:c r="G4078" s="93" t="n">
        <x:v>301.77</x:v>
      </x:c>
      <x:c r="H4078" s="85" t="str">
        <x:v>Diagnóstico e execução</x:v>
      </x:c>
    </x:row>
    <x:row r="4079">
      <x:c r="A4079" s="83" t="n">
        <x:v>4078</x:v>
      </x:c>
      <x:c r="B4079" s="84" t="n">
        <x:v>2385</x:v>
      </x:c>
      <x:c r="C4079" s="84" t="n">
        <x:v>20</x:v>
      </x:c>
      <x:c r="D4079" s="89" t="n">
        <x:v>45659</x:v>
      </x:c>
      <x:c r="E4079" s="84" t="n">
        <x:v>1</x:v>
      </x:c>
      <x:c r="F4079" s="84" t="str">
        <x:v>Normal</x:v>
      </x:c>
      <x:c r="G4079" s="93" t="n">
        <x:v>33.52</x:v>
      </x:c>
      <x:c r="H4079" s="85" t="str">
        <x:v>Diagnóstico e execução</x:v>
      </x:c>
    </x:row>
    <x:row r="4080">
      <x:c r="A4080" s="83" t="n">
        <x:v>4079</x:v>
      </x:c>
      <x:c r="B4080" s="84" t="n">
        <x:v>2385</x:v>
      </x:c>
      <x:c r="C4080" s="84" t="n">
        <x:v>37</x:v>
      </x:c>
      <x:c r="D4080" s="89" t="n">
        <x:v>45659</x:v>
      </x:c>
      <x:c r="E4080" s="84" t="n">
        <x:v>1.8</x:v>
      </x:c>
      <x:c r="F4080" s="84" t="str">
        <x:v>Normal</x:v>
      </x:c>
      <x:c r="G4080" s="93" t="n">
        <x:v>106.15</x:v>
      </x:c>
      <x:c r="H4080" s="85" t="str">
        <x:v>Diagnóstico e execução</x:v>
      </x:c>
    </x:row>
    <x:row r="4081">
      <x:c r="A4081" s="83" t="n">
        <x:v>4080</x:v>
      </x:c>
      <x:c r="B4081" s="84" t="n">
        <x:v>2386</x:v>
      </x:c>
      <x:c r="C4081" s="84" t="n">
        <x:v>8</x:v>
      </x:c>
      <x:c r="D4081" s="89" t="n">
        <x:v>45239</x:v>
      </x:c>
      <x:c r="E4081" s="84" t="n">
        <x:v>3.8</x:v>
      </x:c>
      <x:c r="F4081" s="84" t="str">
        <x:v>Normal</x:v>
      </x:c>
      <x:c r="G4081" s="93" t="n">
        <x:v>176.7</x:v>
      </x:c>
      <x:c r="H4081" s="85" t="str">
        <x:v>Diagnóstico e execução</x:v>
      </x:c>
    </x:row>
    <x:row r="4082">
      <x:c r="A4082" s="83" t="n">
        <x:v>4081</x:v>
      </x:c>
      <x:c r="B4082" s="84" t="n">
        <x:v>2386</x:v>
      </x:c>
      <x:c r="C4082" s="84" t="n">
        <x:v>32</x:v>
      </x:c>
      <x:c r="D4082" s="89" t="n">
        <x:v>45239</x:v>
      </x:c>
      <x:c r="E4082" s="84" t="n">
        <x:v>1.9</x:v>
      </x:c>
      <x:c r="F4082" s="84" t="str">
        <x:v>Normal</x:v>
      </x:c>
      <x:c r="G4082" s="93" t="n">
        <x:v>82.93</x:v>
      </x:c>
      <x:c r="H4082" s="85" t="str">
        <x:v>Diagnóstico e execução</x:v>
      </x:c>
    </x:row>
    <x:row r="4083">
      <x:c r="A4083" s="83" t="n">
        <x:v>4082</x:v>
      </x:c>
      <x:c r="B4083" s="84" t="n">
        <x:v>2386</x:v>
      </x:c>
      <x:c r="C4083" s="84" t="n">
        <x:v>9</x:v>
      </x:c>
      <x:c r="D4083" s="89" t="n">
        <x:v>45239</x:v>
      </x:c>
      <x:c r="E4083" s="84" t="n">
        <x:v>6.6</x:v>
      </x:c>
      <x:c r="F4083" s="84" t="str">
        <x:v>Normal</x:v>
      </x:c>
      <x:c r="G4083" s="93" t="n">
        <x:v>347.62</x:v>
      </x:c>
      <x:c r="H4083" s="85" t="str">
        <x:v>Diagnóstico e execução</x:v>
      </x:c>
    </x:row>
    <x:row r="4084">
      <x:c r="A4084" s="83" t="n">
        <x:v>4083</x:v>
      </x:c>
      <x:c r="B4084" s="84" t="n">
        <x:v>2387</x:v>
      </x:c>
      <x:c r="C4084" s="84" t="n">
        <x:v>10</x:v>
      </x:c>
      <x:c r="D4084" s="89" t="n">
        <x:v>45052</x:v>
      </x:c>
      <x:c r="E4084" s="84" t="n">
        <x:v>5.4</x:v>
      </x:c>
      <x:c r="F4084" s="84" t="str">
        <x:v>Normal</x:v>
      </x:c>
      <x:c r="G4084" s="93" t="n">
        <x:v>160.33</x:v>
      </x:c>
      <x:c r="H4084" s="85" t="str">
        <x:v>Diagnóstico e execução</x:v>
      </x:c>
    </x:row>
    <x:row r="4085">
      <x:c r="A4085" s="83" t="n">
        <x:v>4084</x:v>
      </x:c>
      <x:c r="B4085" s="84" t="n">
        <x:v>2388</x:v>
      </x:c>
      <x:c r="C4085" s="84" t="n">
        <x:v>41</x:v>
      </x:c>
      <x:c r="D4085" s="89" t="n">
        <x:v>45288</x:v>
      </x:c>
      <x:c r="E4085" s="84" t="n">
        <x:v>4.5</x:v>
      </x:c>
      <x:c r="F4085" s="84" t="str">
        <x:v>Normal</x:v>
      </x:c>
      <x:c r="G4085" s="93" t="n">
        <x:v>227.61</x:v>
      </x:c>
      <x:c r="H4085" s="85" t="str">
        <x:v>Diagnóstico e execução</x:v>
      </x:c>
    </x:row>
    <x:row r="4086">
      <x:c r="A4086" s="83" t="n">
        <x:v>4085</x:v>
      </x:c>
      <x:c r="B4086" s="84" t="n">
        <x:v>2388</x:v>
      </x:c>
      <x:c r="C4086" s="84" t="n">
        <x:v>20</x:v>
      </x:c>
      <x:c r="D4086" s="89" t="n">
        <x:v>45288</x:v>
      </x:c>
      <x:c r="E4086" s="84" t="n">
        <x:v>7.1</x:v>
      </x:c>
      <x:c r="F4086" s="84" t="str">
        <x:v>Normal</x:v>
      </x:c>
      <x:c r="G4086" s="93" t="n">
        <x:v>237.99</x:v>
      </x:c>
      <x:c r="H4086" s="85" t="str">
        <x:v>Diagnóstico e execução</x:v>
      </x:c>
    </x:row>
    <x:row r="4087">
      <x:c r="A4087" s="83" t="n">
        <x:v>4086</x:v>
      </x:c>
      <x:c r="B4087" s="84" t="n">
        <x:v>2390</x:v>
      </x:c>
      <x:c r="C4087" s="84" t="n">
        <x:v>26</x:v>
      </x:c>
      <x:c r="D4087" s="89" t="n">
        <x:v>45933</x:v>
      </x:c>
      <x:c r="E4087" s="84" t="n">
        <x:v>7.5</x:v>
      </x:c>
      <x:c r="F4087" s="84" t="str">
        <x:v>Normal</x:v>
      </x:c>
      <x:c r="G4087" s="93" t="n">
        <x:v>293.4</x:v>
      </x:c>
      <x:c r="H4087" s="85" t="str">
        <x:v>Diagnóstico e execução</x:v>
      </x:c>
    </x:row>
    <x:row r="4088">
      <x:c r="A4088" s="83" t="n">
        <x:v>4087</x:v>
      </x:c>
      <x:c r="B4088" s="84" t="n">
        <x:v>2390</x:v>
      </x:c>
      <x:c r="C4088" s="84" t="n">
        <x:v>1</x:v>
      </x:c>
      <x:c r="D4088" s="89" t="n">
        <x:v>45933</x:v>
      </x:c>
      <x:c r="E4088" s="84" t="n">
        <x:v>4.5</x:v>
      </x:c>
      <x:c r="F4088" s="84" t="str">
        <x:v>Normal</x:v>
      </x:c>
      <x:c r="G4088" s="93" t="n">
        <x:v>159.16</x:v>
      </x:c>
      <x:c r="H4088" s="85" t="str">
        <x:v>Diagnóstico e execução</x:v>
      </x:c>
    </x:row>
    <x:row r="4089">
      <x:c r="A4089" s="83" t="n">
        <x:v>4088</x:v>
      </x:c>
      <x:c r="B4089" s="84" t="n">
        <x:v>2391</x:v>
      </x:c>
      <x:c r="C4089" s="84" t="n">
        <x:v>18</x:v>
      </x:c>
      <x:c r="D4089" s="89" t="n">
        <x:v>45880</x:v>
      </x:c>
      <x:c r="E4089" s="84" t="n">
        <x:v>3.3</x:v>
      </x:c>
      <x:c r="F4089" s="84" t="str">
        <x:v>Normal</x:v>
      </x:c>
      <x:c r="G4089" s="93" t="n">
        <x:v>208.2</x:v>
      </x:c>
      <x:c r="H4089" s="85" t="str">
        <x:v>Diagnóstico e execução</x:v>
      </x:c>
    </x:row>
    <x:row r="4090">
      <x:c r="A4090" s="83" t="n">
        <x:v>4089</x:v>
      </x:c>
      <x:c r="B4090" s="84" t="n">
        <x:v>2391</x:v>
      </x:c>
      <x:c r="C4090" s="84" t="n">
        <x:v>8</x:v>
      </x:c>
      <x:c r="D4090" s="89" t="n">
        <x:v>45880</x:v>
      </x:c>
      <x:c r="E4090" s="84" t="n">
        <x:v>3.2</x:v>
      </x:c>
      <x:c r="F4090" s="84" t="str">
        <x:v>Normal</x:v>
      </x:c>
      <x:c r="G4090" s="93" t="n">
        <x:v>148.8</x:v>
      </x:c>
      <x:c r="H4090" s="85" t="str">
        <x:v>Diagnóstico e execução</x:v>
      </x:c>
    </x:row>
    <x:row r="4091">
      <x:c r="A4091" s="83" t="n">
        <x:v>4090</x:v>
      </x:c>
      <x:c r="B4091" s="84" t="n">
        <x:v>2391</x:v>
      </x:c>
      <x:c r="C4091" s="84" t="n">
        <x:v>40</x:v>
      </x:c>
      <x:c r="D4091" s="89" t="n">
        <x:v>45880</x:v>
      </x:c>
      <x:c r="E4091" s="84" t="n">
        <x:v>5.3</x:v>
      </x:c>
      <x:c r="F4091" s="84" t="str">
        <x:v>Normal</x:v>
      </x:c>
      <x:c r="G4091" s="93" t="n">
        <x:v>261.93</x:v>
      </x:c>
      <x:c r="H4091" s="85" t="str">
        <x:v>Diagnóstico e execução</x:v>
      </x:c>
    </x:row>
    <x:row r="4092">
      <x:c r="A4092" s="83" t="n">
        <x:v>4091</x:v>
      </x:c>
      <x:c r="B4092" s="84" t="n">
        <x:v>2392</x:v>
      </x:c>
      <x:c r="C4092" s="84" t="n">
        <x:v>28</x:v>
      </x:c>
      <x:c r="D4092" s="89" t="n">
        <x:v>45138</x:v>
      </x:c>
      <x:c r="E4092" s="84" t="n">
        <x:v>1.7</x:v>
      </x:c>
      <x:c r="F4092" s="84" t="str">
        <x:v>Normal</x:v>
      </x:c>
      <x:c r="G4092" s="93" t="n">
        <x:v>63.95</x:v>
      </x:c>
      <x:c r="H4092" s="85" t="str">
        <x:v>Diagnóstico e execução</x:v>
      </x:c>
    </x:row>
    <x:row r="4093">
      <x:c r="A4093" s="83" t="n">
        <x:v>4092</x:v>
      </x:c>
      <x:c r="B4093" s="84" t="n">
        <x:v>2392</x:v>
      </x:c>
      <x:c r="C4093" s="84" t="n">
        <x:v>9</x:v>
      </x:c>
      <x:c r="D4093" s="89" t="n">
        <x:v>45138</x:v>
      </x:c>
      <x:c r="E4093" s="84" t="n">
        <x:v>0.5</x:v>
      </x:c>
      <x:c r="F4093" s="84" t="str">
        <x:v>Normal</x:v>
      </x:c>
      <x:c r="G4093" s="93" t="n">
        <x:v>26.34</x:v>
      </x:c>
      <x:c r="H4093" s="85" t="str">
        <x:v>Diagnóstico e execução</x:v>
      </x:c>
    </x:row>
    <x:row r="4094">
      <x:c r="A4094" s="83" t="n">
        <x:v>4093</x:v>
      </x:c>
      <x:c r="B4094" s="84" t="n">
        <x:v>2393</x:v>
      </x:c>
      <x:c r="C4094" s="84" t="n">
        <x:v>21</x:v>
      </x:c>
      <x:c r="D4094" s="89" t="n">
        <x:v>45698</x:v>
      </x:c>
      <x:c r="E4094" s="84" t="n">
        <x:v>5.5</x:v>
      </x:c>
      <x:c r="F4094" s="84" t="str">
        <x:v>Normal</x:v>
      </x:c>
      <x:c r="G4094" s="93" t="n">
        <x:v>337.87</x:v>
      </x:c>
      <x:c r="H4094" s="85" t="str">
        <x:v>Diagnóstico e execução</x:v>
      </x:c>
    </x:row>
    <x:row r="4095">
      <x:c r="A4095" s="83" t="n">
        <x:v>4094</x:v>
      </x:c>
      <x:c r="B4095" s="84" t="n">
        <x:v>2393</x:v>
      </x:c>
      <x:c r="C4095" s="84" t="n">
        <x:v>37</x:v>
      </x:c>
      <x:c r="D4095" s="89" t="n">
        <x:v>45698</x:v>
      </x:c>
      <x:c r="E4095" s="84" t="n">
        <x:v>5.2</x:v>
      </x:c>
      <x:c r="F4095" s="84" t="str">
        <x:v>Normal</x:v>
      </x:c>
      <x:c r="G4095" s="93" t="n">
        <x:v>306.64</x:v>
      </x:c>
      <x:c r="H4095" s="85" t="str">
        <x:v>Diagnóstico e execução</x:v>
      </x:c>
    </x:row>
    <x:row r="4096">
      <x:c r="A4096" s="83" t="n">
        <x:v>4095</x:v>
      </x:c>
      <x:c r="B4096" s="84" t="n">
        <x:v>2395</x:v>
      </x:c>
      <x:c r="C4096" s="84" t="n">
        <x:v>18</x:v>
      </x:c>
      <x:c r="D4096" s="89" t="n">
        <x:v>45157</x:v>
      </x:c>
      <x:c r="E4096" s="84" t="n">
        <x:v>5</x:v>
      </x:c>
      <x:c r="F4096" s="84" t="str">
        <x:v>Normal</x:v>
      </x:c>
      <x:c r="G4096" s="93" t="n">
        <x:v>315.45</x:v>
      </x:c>
      <x:c r="H4096" s="85" t="str">
        <x:v>Diagnóstico e execução</x:v>
      </x:c>
    </x:row>
    <x:row r="4097">
      <x:c r="A4097" s="83" t="n">
        <x:v>4096</x:v>
      </x:c>
      <x:c r="B4097" s="84" t="n">
        <x:v>2395</x:v>
      </x:c>
      <x:c r="C4097" s="84" t="n">
        <x:v>8</x:v>
      </x:c>
      <x:c r="D4097" s="89" t="n">
        <x:v>45157</x:v>
      </x:c>
      <x:c r="E4097" s="84" t="n">
        <x:v>2.9</x:v>
      </x:c>
      <x:c r="F4097" s="84" t="str">
        <x:v>Normal</x:v>
      </x:c>
      <x:c r="G4097" s="93" t="n">
        <x:v>134.85</x:v>
      </x:c>
      <x:c r="H4097" s="85" t="str">
        <x:v>Diagnóstico e execução</x:v>
      </x:c>
    </x:row>
    <x:row r="4098">
      <x:c r="A4098" s="83" t="n">
        <x:v>4097</x:v>
      </x:c>
      <x:c r="B4098" s="84" t="n">
        <x:v>2396</x:v>
      </x:c>
      <x:c r="C4098" s="84" t="n">
        <x:v>16</x:v>
      </x:c>
      <x:c r="D4098" s="89" t="n">
        <x:v>45271</x:v>
      </x:c>
      <x:c r="E4098" s="84" t="n">
        <x:v>6.9</x:v>
      </x:c>
      <x:c r="F4098" s="84" t="str">
        <x:v>Normal</x:v>
      </x:c>
      <x:c r="G4098" s="93" t="n">
        <x:v>279.59</x:v>
      </x:c>
      <x:c r="H4098" s="85" t="str">
        <x:v>Diagnóstico e execução</x:v>
      </x:c>
    </x:row>
    <x:row r="4099">
      <x:c r="A4099" s="83" t="n">
        <x:v>4098</x:v>
      </x:c>
      <x:c r="B4099" s="84" t="n">
        <x:v>2396</x:v>
      </x:c>
      <x:c r="C4099" s="84" t="n">
        <x:v>27</x:v>
      </x:c>
      <x:c r="D4099" s="89" t="n">
        <x:v>45271</x:v>
      </x:c>
      <x:c r="E4099" s="84" t="n">
        <x:v>7.2</x:v>
      </x:c>
      <x:c r="F4099" s="84" t="str">
        <x:v>Normal</x:v>
      </x:c>
      <x:c r="G4099" s="93" t="n">
        <x:v>439.13</x:v>
      </x:c>
      <x:c r="H4099" s="85" t="str">
        <x:v>Diagnóstico e execução</x:v>
      </x:c>
    </x:row>
    <x:row r="4100">
      <x:c r="A4100" s="83" t="n">
        <x:v>4099</x:v>
      </x:c>
      <x:c r="B4100" s="84" t="n">
        <x:v>2397</x:v>
      </x:c>
      <x:c r="C4100" s="84" t="n">
        <x:v>25</x:v>
      </x:c>
      <x:c r="D4100" s="89" t="n">
        <x:v>45470</x:v>
      </x:c>
      <x:c r="E4100" s="84" t="n">
        <x:v>7</x:v>
      </x:c>
      <x:c r="F4100" s="84" t="str">
        <x:v>Normal</x:v>
      </x:c>
      <x:c r="G4100" s="93" t="n">
        <x:v>375.13</x:v>
      </x:c>
      <x:c r="H4100" s="85" t="str">
        <x:v>Diagnóstico e execução</x:v>
      </x:c>
    </x:row>
    <x:row r="4101">
      <x:c r="A4101" s="83" t="n">
        <x:v>4100</x:v>
      </x:c>
      <x:c r="B4101" s="84" t="n">
        <x:v>2397</x:v>
      </x:c>
      <x:c r="C4101" s="84" t="n">
        <x:v>27</x:v>
      </x:c>
      <x:c r="D4101" s="89" t="n">
        <x:v>45470</x:v>
      </x:c>
      <x:c r="E4101" s="84" t="n">
        <x:v>2.2</x:v>
      </x:c>
      <x:c r="F4101" s="84" t="str">
        <x:v>Normal</x:v>
      </x:c>
      <x:c r="G4101" s="93" t="n">
        <x:v>134.18</x:v>
      </x:c>
      <x:c r="H4101" s="85" t="str">
        <x:v>Diagnóstico e execução</x:v>
      </x:c>
    </x:row>
    <x:row r="4102">
      <x:c r="A4102" s="83" t="n">
        <x:v>4101</x:v>
      </x:c>
      <x:c r="B4102" s="84" t="n">
        <x:v>2398</x:v>
      </x:c>
      <x:c r="C4102" s="84" t="n">
        <x:v>33</x:v>
      </x:c>
      <x:c r="D4102" s="89" t="n">
        <x:v>45983</x:v>
      </x:c>
      <x:c r="E4102" s="84" t="n">
        <x:v>7.8</x:v>
      </x:c>
      <x:c r="F4102" s="84" t="str">
        <x:v>Normal</x:v>
      </x:c>
      <x:c r="G4102" s="93" t="n">
        <x:v>269.02</x:v>
      </x:c>
      <x:c r="H4102" s="85" t="str">
        <x:v>Diagnóstico e execução</x:v>
      </x:c>
    </x:row>
    <x:row r="4103">
      <x:c r="A4103" s="83" t="n">
        <x:v>4102</x:v>
      </x:c>
      <x:c r="B4103" s="84" t="n">
        <x:v>2398</x:v>
      </x:c>
      <x:c r="C4103" s="84" t="n">
        <x:v>35</x:v>
      </x:c>
      <x:c r="D4103" s="89" t="n">
        <x:v>45983</x:v>
      </x:c>
      <x:c r="E4103" s="84" t="n">
        <x:v>0.7</x:v>
      </x:c>
      <x:c r="F4103" s="84" t="str">
        <x:v>Normal</x:v>
      </x:c>
      <x:c r="G4103" s="93" t="n">
        <x:v>34.43</x:v>
      </x:c>
      <x:c r="H4103" s="85" t="str">
        <x:v>Diagnóstico e execução</x:v>
      </x:c>
    </x:row>
    <x:row r="4104">
      <x:c r="A4104" s="83" t="n">
        <x:v>4103</x:v>
      </x:c>
      <x:c r="B4104" s="84" t="n">
        <x:v>2398</x:v>
      </x:c>
      <x:c r="C4104" s="84" t="n">
        <x:v>11</x:v>
      </x:c>
      <x:c r="D4104" s="89" t="n">
        <x:v>45983</x:v>
      </x:c>
      <x:c r="E4104" s="84" t="n">
        <x:v>4.1</x:v>
      </x:c>
      <x:c r="F4104" s="84" t="str">
        <x:v>Normal</x:v>
      </x:c>
      <x:c r="G4104" s="93" t="n">
        <x:v>170.89</x:v>
      </x:c>
      <x:c r="H4104" s="85" t="str">
        <x:v>Diagnóstico e execução</x:v>
      </x:c>
    </x:row>
    <x:row r="4105">
      <x:c r="A4105" s="83" t="n">
        <x:v>4104</x:v>
      </x:c>
      <x:c r="B4105" s="84" t="n">
        <x:v>2399</x:v>
      </x:c>
      <x:c r="C4105" s="84" t="n">
        <x:v>8</x:v>
      </x:c>
      <x:c r="D4105" s="89" t="n">
        <x:v>45570</x:v>
      </x:c>
      <x:c r="E4105" s="84" t="n">
        <x:v>4.1</x:v>
      </x:c>
      <x:c r="F4105" s="84" t="str">
        <x:v>Normal</x:v>
      </x:c>
      <x:c r="G4105" s="93" t="n">
        <x:v>190.65</x:v>
      </x:c>
      <x:c r="H4105" s="85" t="str">
        <x:v>Diagnóstico e execução</x:v>
      </x:c>
    </x:row>
    <x:row r="4106">
      <x:c r="A4106" s="83" t="n">
        <x:v>4105</x:v>
      </x:c>
      <x:c r="B4106" s="84" t="n">
        <x:v>2399</x:v>
      </x:c>
      <x:c r="C4106" s="84" t="n">
        <x:v>13</x:v>
      </x:c>
      <x:c r="D4106" s="89" t="n">
        <x:v>45570</x:v>
      </x:c>
      <x:c r="E4106" s="84" t="n">
        <x:v>7.9</x:v>
      </x:c>
      <x:c r="F4106" s="84" t="str">
        <x:v>Normal</x:v>
      </x:c>
      <x:c r="G4106" s="93" t="n">
        <x:v>267.65</x:v>
      </x:c>
      <x:c r="H4106" s="85" t="str">
        <x:v>Diagnóstico e execução</x:v>
      </x:c>
    </x:row>
    <x:row r="4107">
      <x:c r="A4107" s="83" t="n">
        <x:v>4106</x:v>
      </x:c>
      <x:c r="B4107" s="84" t="n">
        <x:v>2400</x:v>
      </x:c>
      <x:c r="C4107" s="84" t="n">
        <x:v>4</x:v>
      </x:c>
      <x:c r="D4107" s="89" t="n">
        <x:v>45551</x:v>
      </x:c>
      <x:c r="E4107" s="84" t="n">
        <x:v>7.2</x:v>
      </x:c>
      <x:c r="F4107" s="84" t="str">
        <x:v>Normal</x:v>
      </x:c>
      <x:c r="G4107" s="93" t="n">
        <x:v>354.17</x:v>
      </x:c>
      <x:c r="H4107" s="85" t="str">
        <x:v>Diagnóstico e execução</x:v>
      </x:c>
    </x:row>
    <x:row r="4108">
      <x:c r="A4108" s="86" t="n">
        <x:v>4107</x:v>
      </x:c>
      <x:c r="B4108" s="87" t="n">
        <x:v>2400</x:v>
      </x:c>
      <x:c r="C4108" s="87" t="n">
        <x:v>16</x:v>
      </x:c>
      <x:c r="D4108" s="90" t="n">
        <x:v>45551</x:v>
      </x:c>
      <x:c r="E4108" s="87" t="n">
        <x:v>5.7</x:v>
      </x:c>
      <x:c r="F4108" s="87" t="str">
        <x:v>Normal</x:v>
      </x:c>
      <x:c r="G4108" s="94" t="n">
        <x:v>230.96</x:v>
      </x:c>
      <x:c r="H4108" s="88" t="str">
        <x:v>Diagnóstico e execução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10.4399995803833" hidden="0" customWidth="1"/>
    <x:col min="3" max="3" width="28" hidden="0" customWidth="1"/>
    <x:col min="4" max="4" width="13.109999656677246" hidden="0" customWidth="1"/>
    <x:col min="5" max="5" width="13.329999923706055" hidden="0" customWidth="1"/>
    <x:col min="6" max="6" width="11.670000076293945" hidden="0" customWidth="1"/>
    <x:col min="7" max="7" width="11.4399995803833" hidden="0" customWidth="1"/>
    <x:col min="8" max="8" width="13.4399995803833" hidden="0" customWidth="1"/>
    <x:col min="9" max="9" width="13.670000076293945" hidden="0" customWidth="1"/>
    <x:col min="10" max="10" width="9.670000076293945" hidden="0" customWidth="1"/>
  </x:cols>
  <x:sheetData>
    <x:row r="1">
      <x:c r="A1" s="80" t="str">
        <x:v>id_peca</x:v>
      </x:c>
      <x:c r="B1" s="81" t="str">
        <x:v>codigo_peca</x:v>
      </x:c>
      <x:c r="C1" s="81" t="str">
        <x:v>descricao</x:v>
      </x:c>
      <x:c r="D1" s="81" t="str">
        <x:v>categoria</x:v>
      </x:c>
      <x:c r="E1" s="81" t="str">
        <x:v>unidade_medida</x:v>
      </x:c>
      <x:c r="F1" s="81" t="str">
        <x:v>custo_unitario</x:v>
      </x:c>
      <x:c r="G1" s="81" t="str">
        <x:v>estoque_atual</x:v>
      </x:c>
      <x:c r="H1" s="81" t="str">
        <x:v>estoque_minimo</x:v>
      </x:c>
      <x:c r="I1" s="81" t="str">
        <x:v>ponto_reposicao</x:v>
      </x:c>
      <x:c r="J1" s="82" t="str">
        <x:v>item_critico</x:v>
      </x:c>
    </x:row>
    <x:row r="2">
      <x:c r="A2" s="83" t="n">
        <x:v>1</x:v>
      </x:c>
      <x:c r="B2" s="84" t="str">
        <x:v>PC-0001</x:v>
      </x:c>
      <x:c r="C2" s="84" t="str">
        <x:v>Componente técnico 001</x:v>
      </x:c>
      <x:c r="D2" s="84" t="str">
        <x:v>Válvula</x:v>
      </x:c>
      <x:c r="E2" s="84" t="str">
        <x:v>UN</x:v>
      </x:c>
      <x:c r="F2" s="93" t="n">
        <x:v>1739.6</x:v>
      </x:c>
      <x:c r="G2" s="84" t="n">
        <x:v>22</x:v>
      </x:c>
      <x:c r="H2" s="84" t="n">
        <x:v>12</x:v>
      </x:c>
      <x:c r="I2" s="84" t="n">
        <x:v>15</x:v>
      </x:c>
      <x:c r="J2" s="85" t="n">
        <x:v>0</x:v>
      </x:c>
    </x:row>
    <x:row r="3">
      <x:c r="A3" s="83" t="n">
        <x:v>2</x:v>
      </x:c>
      <x:c r="B3" s="84" t="str">
        <x:v>PC-0002</x:v>
      </x:c>
      <x:c r="C3" s="84" t="str">
        <x:v>Componente técnico 002</x:v>
      </x:c>
      <x:c r="D3" s="84" t="str">
        <x:v>Rolamento</x:v>
      </x:c>
      <x:c r="E3" s="84" t="str">
        <x:v>UN</x:v>
      </x:c>
      <x:c r="F3" s="93" t="n">
        <x:v>994.31</x:v>
      </x:c>
      <x:c r="G3" s="84" t="n">
        <x:v>29</x:v>
      </x:c>
      <x:c r="H3" s="84" t="n">
        <x:v>2</x:v>
      </x:c>
      <x:c r="I3" s="84" t="n">
        <x:v>5</x:v>
      </x:c>
      <x:c r="J3" s="85" t="n">
        <x:v>0</x:v>
      </x:c>
    </x:row>
    <x:row r="4">
      <x:c r="A4" s="83" t="n">
        <x:v>3</x:v>
      </x:c>
      <x:c r="B4" s="84" t="str">
        <x:v>PC-0003</x:v>
      </x:c>
      <x:c r="C4" s="84" t="str">
        <x:v>Componente técnico 003</x:v>
      </x:c>
      <x:c r="D4" s="84" t="str">
        <x:v>Rolamento</x:v>
      </x:c>
      <x:c r="E4" s="84" t="str">
        <x:v>UN</x:v>
      </x:c>
      <x:c r="F4" s="93" t="n">
        <x:v>1151.14</x:v>
      </x:c>
      <x:c r="G4" s="84" t="n">
        <x:v>36</x:v>
      </x:c>
      <x:c r="H4" s="84" t="n">
        <x:v>11</x:v>
      </x:c>
      <x:c r="I4" s="84" t="n">
        <x:v>14</x:v>
      </x:c>
      <x:c r="J4" s="85" t="n">
        <x:v>0</x:v>
      </x:c>
    </x:row>
    <x:row r="5">
      <x:c r="A5" s="83" t="n">
        <x:v>4</x:v>
      </x:c>
      <x:c r="B5" s="84" t="str">
        <x:v>PC-0004</x:v>
      </x:c>
      <x:c r="C5" s="84" t="str">
        <x:v>Componente técnico 004</x:v>
      </x:c>
      <x:c r="D5" s="84" t="str">
        <x:v>Correia</x:v>
      </x:c>
      <x:c r="E5" s="84" t="str">
        <x:v>UN</x:v>
      </x:c>
      <x:c r="F5" s="93" t="n">
        <x:v>1525.31</x:v>
      </x:c>
      <x:c r="G5" s="84" t="n">
        <x:v>16</x:v>
      </x:c>
      <x:c r="H5" s="84" t="n">
        <x:v>12</x:v>
      </x:c>
      <x:c r="I5" s="84" t="n">
        <x:v>15</x:v>
      </x:c>
      <x:c r="J5" s="85" t="n">
        <x:v>1</x:v>
      </x:c>
    </x:row>
    <x:row r="6">
      <x:c r="A6" s="83" t="n">
        <x:v>5</x:v>
      </x:c>
      <x:c r="B6" s="84" t="str">
        <x:v>PC-0005</x:v>
      </x:c>
      <x:c r="C6" s="84" t="str">
        <x:v>Componente técnico 005</x:v>
      </x:c>
      <x:c r="D6" s="84" t="str">
        <x:v>Rolamento</x:v>
      </x:c>
      <x:c r="E6" s="84" t="str">
        <x:v>UN</x:v>
      </x:c>
      <x:c r="F6" s="93" t="n">
        <x:v>1468.5</x:v>
      </x:c>
      <x:c r="G6" s="84" t="n">
        <x:v>26</x:v>
      </x:c>
      <x:c r="H6" s="84" t="n">
        <x:v>7</x:v>
      </x:c>
      <x:c r="I6" s="84" t="n">
        <x:v>10</x:v>
      </x:c>
      <x:c r="J6" s="85" t="n">
        <x:v>1</x:v>
      </x:c>
    </x:row>
    <x:row r="7">
      <x:c r="A7" s="83" t="n">
        <x:v>6</x:v>
      </x:c>
      <x:c r="B7" s="84" t="str">
        <x:v>PC-0006</x:v>
      </x:c>
      <x:c r="C7" s="84" t="str">
        <x:v>Componente técnico 006</x:v>
      </x:c>
      <x:c r="D7" s="84" t="str">
        <x:v>Válvula</x:v>
      </x:c>
      <x:c r="E7" s="84" t="str">
        <x:v>UN</x:v>
      </x:c>
      <x:c r="F7" s="93" t="n">
        <x:v>697.37</x:v>
      </x:c>
      <x:c r="G7" s="84" t="n">
        <x:v>17</x:v>
      </x:c>
      <x:c r="H7" s="84" t="n">
        <x:v>12</x:v>
      </x:c>
      <x:c r="I7" s="84" t="n">
        <x:v>15</x:v>
      </x:c>
      <x:c r="J7" s="85" t="n">
        <x:v>0</x:v>
      </x:c>
    </x:row>
    <x:row r="8">
      <x:c r="A8" s="83" t="n">
        <x:v>7</x:v>
      </x:c>
      <x:c r="B8" s="84" t="str">
        <x:v>PC-0007</x:v>
      </x:c>
      <x:c r="C8" s="84" t="str">
        <x:v>Componente técnico 007</x:v>
      </x:c>
      <x:c r="D8" s="84" t="str">
        <x:v>Sensor</x:v>
      </x:c>
      <x:c r="E8" s="84" t="str">
        <x:v>UN</x:v>
      </x:c>
      <x:c r="F8" s="93" t="n">
        <x:v>366.8</x:v>
      </x:c>
      <x:c r="G8" s="84" t="n">
        <x:v>11</x:v>
      </x:c>
      <x:c r="H8" s="84" t="n">
        <x:v>10</x:v>
      </x:c>
      <x:c r="I8" s="84" t="n">
        <x:v>13</x:v>
      </x:c>
      <x:c r="J8" s="85" t="n">
        <x:v>0</x:v>
      </x:c>
    </x:row>
    <x:row r="9">
      <x:c r="A9" s="83" t="n">
        <x:v>8</x:v>
      </x:c>
      <x:c r="B9" s="84" t="str">
        <x:v>PC-0008</x:v>
      </x:c>
      <x:c r="C9" s="84" t="str">
        <x:v>Componente técnico 008</x:v>
      </x:c>
      <x:c r="D9" s="84" t="str">
        <x:v>Filtro</x:v>
      </x:c>
      <x:c r="E9" s="84" t="str">
        <x:v>UN</x:v>
      </x:c>
      <x:c r="F9" s="93" t="n">
        <x:v>1666.19</x:v>
      </x:c>
      <x:c r="G9" s="84" t="n">
        <x:v>28</x:v>
      </x:c>
      <x:c r="H9" s="84" t="n">
        <x:v>12</x:v>
      </x:c>
      <x:c r="I9" s="84" t="n">
        <x:v>15</x:v>
      </x:c>
      <x:c r="J9" s="85" t="n">
        <x:v>0</x:v>
      </x:c>
    </x:row>
    <x:row r="10">
      <x:c r="A10" s="83" t="n">
        <x:v>9</x:v>
      </x:c>
      <x:c r="B10" s="84" t="str">
        <x:v>PC-0009</x:v>
      </x:c>
      <x:c r="C10" s="84" t="str">
        <x:v>Componente técnico 009</x:v>
      </x:c>
      <x:c r="D10" s="84" t="str">
        <x:v>Válvula</x:v>
      </x:c>
      <x:c r="E10" s="84" t="str">
        <x:v>UN</x:v>
      </x:c>
      <x:c r="F10" s="93" t="n">
        <x:v>1575.06</x:v>
      </x:c>
      <x:c r="G10" s="84" t="n">
        <x:v>9</x:v>
      </x:c>
      <x:c r="H10" s="84" t="n">
        <x:v>13</x:v>
      </x:c>
      <x:c r="I10" s="84" t="n">
        <x:v>16</x:v>
      </x:c>
      <x:c r="J10" s="85" t="n">
        <x:v>0</x:v>
      </x:c>
    </x:row>
    <x:row r="11">
      <x:c r="A11" s="83" t="n">
        <x:v>10</x:v>
      </x:c>
      <x:c r="B11" s="84" t="str">
        <x:v>PC-0010</x:v>
      </x:c>
      <x:c r="C11" s="84" t="str">
        <x:v>Componente técnico 010</x:v>
      </x:c>
      <x:c r="D11" s="84" t="str">
        <x:v>Rolamento</x:v>
      </x:c>
      <x:c r="E11" s="84" t="str">
        <x:v>UN</x:v>
      </x:c>
      <x:c r="F11" s="93" t="n">
        <x:v>874.86</x:v>
      </x:c>
      <x:c r="G11" s="84" t="n">
        <x:v>32</x:v>
      </x:c>
      <x:c r="H11" s="84" t="n">
        <x:v>15</x:v>
      </x:c>
      <x:c r="I11" s="84" t="n">
        <x:v>18</x:v>
      </x:c>
      <x:c r="J11" s="85" t="n">
        <x:v>1</x:v>
      </x:c>
    </x:row>
    <x:row r="12">
      <x:c r="A12" s="83" t="n">
        <x:v>11</x:v>
      </x:c>
      <x:c r="B12" s="84" t="str">
        <x:v>PC-0011</x:v>
      </x:c>
      <x:c r="C12" s="84" t="str">
        <x:v>Componente técnico 011</x:v>
      </x:c>
      <x:c r="D12" s="84" t="str">
        <x:v>Filtro</x:v>
      </x:c>
      <x:c r="E12" s="84" t="str">
        <x:v>UN</x:v>
      </x:c>
      <x:c r="F12" s="93" t="n">
        <x:v>2211.26</x:v>
      </x:c>
      <x:c r="G12" s="84" t="n">
        <x:v>28</x:v>
      </x:c>
      <x:c r="H12" s="84" t="n">
        <x:v>15</x:v>
      </x:c>
      <x:c r="I12" s="84" t="n">
        <x:v>18</x:v>
      </x:c>
      <x:c r="J12" s="85" t="n">
        <x:v>0</x:v>
      </x:c>
    </x:row>
    <x:row r="13">
      <x:c r="A13" s="83" t="n">
        <x:v>12</x:v>
      </x:c>
      <x:c r="B13" s="84" t="str">
        <x:v>PC-0012</x:v>
      </x:c>
      <x:c r="C13" s="84" t="str">
        <x:v>Componente técnico 012</x:v>
      </x:c>
      <x:c r="D13" s="84" t="str">
        <x:v>Rolamento</x:v>
      </x:c>
      <x:c r="E13" s="84" t="str">
        <x:v>UN</x:v>
      </x:c>
      <x:c r="F13" s="93" t="n">
        <x:v>284.49</x:v>
      </x:c>
      <x:c r="G13" s="84" t="n">
        <x:v>11</x:v>
      </x:c>
      <x:c r="H13" s="84" t="n">
        <x:v>3</x:v>
      </x:c>
      <x:c r="I13" s="84" t="n">
        <x:v>6</x:v>
      </x:c>
      <x:c r="J13" s="85" t="n">
        <x:v>0</x:v>
      </x:c>
    </x:row>
    <x:row r="14">
      <x:c r="A14" s="83" t="n">
        <x:v>13</x:v>
      </x:c>
      <x:c r="B14" s="84" t="str">
        <x:v>PC-0013</x:v>
      </x:c>
      <x:c r="C14" s="84" t="str">
        <x:v>Componente técnico 013</x:v>
      </x:c>
      <x:c r="D14" s="84" t="str">
        <x:v>Sensor</x:v>
      </x:c>
      <x:c r="E14" s="84" t="str">
        <x:v>UN</x:v>
      </x:c>
      <x:c r="F14" s="93" t="n">
        <x:v>802.05</x:v>
      </x:c>
      <x:c r="G14" s="84" t="n">
        <x:v>21</x:v>
      </x:c>
      <x:c r="H14" s="84" t="n">
        <x:v>12</x:v>
      </x:c>
      <x:c r="I14" s="84" t="n">
        <x:v>15</x:v>
      </x:c>
      <x:c r="J14" s="85" t="n">
        <x:v>1</x:v>
      </x:c>
    </x:row>
    <x:row r="15">
      <x:c r="A15" s="83" t="n">
        <x:v>14</x:v>
      </x:c>
      <x:c r="B15" s="84" t="str">
        <x:v>PC-0014</x:v>
      </x:c>
      <x:c r="C15" s="84" t="str">
        <x:v>Componente técnico 014</x:v>
      </x:c>
      <x:c r="D15" s="84" t="str">
        <x:v>Rolamento</x:v>
      </x:c>
      <x:c r="E15" s="84" t="str">
        <x:v>UN</x:v>
      </x:c>
      <x:c r="F15" s="93" t="n">
        <x:v>175.72</x:v>
      </x:c>
      <x:c r="G15" s="84" t="n">
        <x:v>16</x:v>
      </x:c>
      <x:c r="H15" s="84" t="n">
        <x:v>9</x:v>
      </x:c>
      <x:c r="I15" s="84" t="n">
        <x:v>12</x:v>
      </x:c>
      <x:c r="J15" s="85" t="n">
        <x:v>0</x:v>
      </x:c>
    </x:row>
    <x:row r="16">
      <x:c r="A16" s="83" t="n">
        <x:v>15</x:v>
      </x:c>
      <x:c r="B16" s="84" t="str">
        <x:v>PC-0015</x:v>
      </x:c>
      <x:c r="C16" s="84" t="str">
        <x:v>Componente técnico 015</x:v>
      </x:c>
      <x:c r="D16" s="84" t="str">
        <x:v>Sensor</x:v>
      </x:c>
      <x:c r="E16" s="84" t="str">
        <x:v>UN</x:v>
      </x:c>
      <x:c r="F16" s="93" t="n">
        <x:v>1234.61</x:v>
      </x:c>
      <x:c r="G16" s="84" t="n">
        <x:v>13</x:v>
      </x:c>
      <x:c r="H16" s="84" t="n">
        <x:v>9</x:v>
      </x:c>
      <x:c r="I16" s="84" t="n">
        <x:v>12</x:v>
      </x:c>
      <x:c r="J16" s="85" t="n">
        <x:v>0</x:v>
      </x:c>
    </x:row>
    <x:row r="17">
      <x:c r="A17" s="83" t="n">
        <x:v>16</x:v>
      </x:c>
      <x:c r="B17" s="84" t="str">
        <x:v>PC-0016</x:v>
      </x:c>
      <x:c r="C17" s="84" t="str">
        <x:v>Componente técnico 016</x:v>
      </x:c>
      <x:c r="D17" s="84" t="str">
        <x:v>Válvula</x:v>
      </x:c>
      <x:c r="E17" s="84" t="str">
        <x:v>UN</x:v>
      </x:c>
      <x:c r="F17" s="93" t="n">
        <x:v>605.78</x:v>
      </x:c>
      <x:c r="G17" s="84" t="n">
        <x:v>22</x:v>
      </x:c>
      <x:c r="H17" s="84" t="n">
        <x:v>5</x:v>
      </x:c>
      <x:c r="I17" s="84" t="n">
        <x:v>8</x:v>
      </x:c>
      <x:c r="J17" s="85" t="n">
        <x:v>0</x:v>
      </x:c>
    </x:row>
    <x:row r="18">
      <x:c r="A18" s="83" t="n">
        <x:v>17</x:v>
      </x:c>
      <x:c r="B18" s="84" t="str">
        <x:v>PC-0017</x:v>
      </x:c>
      <x:c r="C18" s="84" t="str">
        <x:v>Componente técnico 017</x:v>
      </x:c>
      <x:c r="D18" s="84" t="str">
        <x:v>Sensor</x:v>
      </x:c>
      <x:c r="E18" s="84" t="str">
        <x:v>UN</x:v>
      </x:c>
      <x:c r="F18" s="93" t="n">
        <x:v>2356.42</x:v>
      </x:c>
      <x:c r="G18" s="84" t="n">
        <x:v>37</x:v>
      </x:c>
      <x:c r="H18" s="84" t="n">
        <x:v>15</x:v>
      </x:c>
      <x:c r="I18" s="84" t="n">
        <x:v>18</x:v>
      </x:c>
      <x:c r="J18" s="85" t="n">
        <x:v>1</x:v>
      </x:c>
    </x:row>
    <x:row r="19">
      <x:c r="A19" s="83" t="n">
        <x:v>18</x:v>
      </x:c>
      <x:c r="B19" s="84" t="str">
        <x:v>PC-0018</x:v>
      </x:c>
      <x:c r="C19" s="84" t="str">
        <x:v>Componente técnico 018</x:v>
      </x:c>
      <x:c r="D19" s="84" t="str">
        <x:v>Válvula</x:v>
      </x:c>
      <x:c r="E19" s="84" t="str">
        <x:v>UN</x:v>
      </x:c>
      <x:c r="F19" s="93" t="n">
        <x:v>666.16</x:v>
      </x:c>
      <x:c r="G19" s="84" t="n">
        <x:v>11</x:v>
      </x:c>
      <x:c r="H19" s="84" t="n">
        <x:v>9</x:v>
      </x:c>
      <x:c r="I19" s="84" t="n">
        <x:v>12</x:v>
      </x:c>
      <x:c r="J19" s="85" t="n">
        <x:v>0</x:v>
      </x:c>
    </x:row>
    <x:row r="20">
      <x:c r="A20" s="83" t="n">
        <x:v>19</x:v>
      </x:c>
      <x:c r="B20" s="84" t="str">
        <x:v>PC-0019</x:v>
      </x:c>
      <x:c r="C20" s="84" t="str">
        <x:v>Componente técnico 019</x:v>
      </x:c>
      <x:c r="D20" s="84" t="str">
        <x:v>Válvula</x:v>
      </x:c>
      <x:c r="E20" s="84" t="str">
        <x:v>UN</x:v>
      </x:c>
      <x:c r="F20" s="93" t="n">
        <x:v>1087.71</x:v>
      </x:c>
      <x:c r="G20" s="84" t="n">
        <x:v>25</x:v>
      </x:c>
      <x:c r="H20" s="84" t="n">
        <x:v>15</x:v>
      </x:c>
      <x:c r="I20" s="84" t="n">
        <x:v>18</x:v>
      </x:c>
      <x:c r="J20" s="85" t="n">
        <x:v>0</x:v>
      </x:c>
    </x:row>
    <x:row r="21">
      <x:c r="A21" s="83" t="n">
        <x:v>20</x:v>
      </x:c>
      <x:c r="B21" s="84" t="str">
        <x:v>PC-0020</x:v>
      </x:c>
      <x:c r="C21" s="84" t="str">
        <x:v>Componente técnico 020</x:v>
      </x:c>
      <x:c r="D21" s="84" t="str">
        <x:v>Elemento elétrico</x:v>
      </x:c>
      <x:c r="E21" s="84" t="str">
        <x:v>UN</x:v>
      </x:c>
      <x:c r="F21" s="93" t="n">
        <x:v>541.2</x:v>
      </x:c>
      <x:c r="G21" s="84" t="n">
        <x:v>37</x:v>
      </x:c>
      <x:c r="H21" s="84" t="n">
        <x:v>10</x:v>
      </x:c>
      <x:c r="I21" s="84" t="n">
        <x:v>13</x:v>
      </x:c>
      <x:c r="J21" s="85" t="n">
        <x:v>0</x:v>
      </x:c>
    </x:row>
    <x:row r="22">
      <x:c r="A22" s="83" t="n">
        <x:v>21</x:v>
      </x:c>
      <x:c r="B22" s="84" t="str">
        <x:v>PC-0021</x:v>
      </x:c>
      <x:c r="C22" s="84" t="str">
        <x:v>Componente técnico 021</x:v>
      </x:c>
      <x:c r="D22" s="84" t="str">
        <x:v>Sensor</x:v>
      </x:c>
      <x:c r="E22" s="84" t="str">
        <x:v>UN</x:v>
      </x:c>
      <x:c r="F22" s="93" t="n">
        <x:v>2288.87</x:v>
      </x:c>
      <x:c r="G22" s="84" t="n">
        <x:v>5</x:v>
      </x:c>
      <x:c r="H22" s="84" t="n">
        <x:v>10</x:v>
      </x:c>
      <x:c r="I22" s="84" t="n">
        <x:v>13</x:v>
      </x:c>
      <x:c r="J22" s="85" t="n">
        <x:v>0</x:v>
      </x:c>
    </x:row>
    <x:row r="23">
      <x:c r="A23" s="83" t="n">
        <x:v>22</x:v>
      </x:c>
      <x:c r="B23" s="84" t="str">
        <x:v>PC-0022</x:v>
      </x:c>
      <x:c r="C23" s="84" t="str">
        <x:v>Componente técnico 022</x:v>
      </x:c>
      <x:c r="D23" s="84" t="str">
        <x:v>Sensor</x:v>
      </x:c>
      <x:c r="E23" s="84" t="str">
        <x:v>UN</x:v>
      </x:c>
      <x:c r="F23" s="93" t="n">
        <x:v>521.89</x:v>
      </x:c>
      <x:c r="G23" s="84" t="n">
        <x:v>25</x:v>
      </x:c>
      <x:c r="H23" s="84" t="n">
        <x:v>9</x:v>
      </x:c>
      <x:c r="I23" s="84" t="n">
        <x:v>12</x:v>
      </x:c>
      <x:c r="J23" s="85" t="n">
        <x:v>0</x:v>
      </x:c>
    </x:row>
    <x:row r="24">
      <x:c r="A24" s="83" t="n">
        <x:v>23</x:v>
      </x:c>
      <x:c r="B24" s="84" t="str">
        <x:v>PC-0023</x:v>
      </x:c>
      <x:c r="C24" s="84" t="str">
        <x:v>Componente técnico 023</x:v>
      </x:c>
      <x:c r="D24" s="84" t="str">
        <x:v>Filtro</x:v>
      </x:c>
      <x:c r="E24" s="84" t="str">
        <x:v>UN</x:v>
      </x:c>
      <x:c r="F24" s="93" t="n">
        <x:v>1752.85</x:v>
      </x:c>
      <x:c r="G24" s="84" t="n">
        <x:v>20</x:v>
      </x:c>
      <x:c r="H24" s="84" t="n">
        <x:v>3</x:v>
      </x:c>
      <x:c r="I24" s="84" t="n">
        <x:v>6</x:v>
      </x:c>
      <x:c r="J24" s="85" t="n">
        <x:v>1</x:v>
      </x:c>
    </x:row>
    <x:row r="25">
      <x:c r="A25" s="83" t="n">
        <x:v>24</x:v>
      </x:c>
      <x:c r="B25" s="84" t="str">
        <x:v>PC-0024</x:v>
      </x:c>
      <x:c r="C25" s="84" t="str">
        <x:v>Componente técnico 024</x:v>
      </x:c>
      <x:c r="D25" s="84" t="str">
        <x:v>Rolamento</x:v>
      </x:c>
      <x:c r="E25" s="84" t="str">
        <x:v>UN</x:v>
      </x:c>
      <x:c r="F25" s="93" t="n">
        <x:v>740.91</x:v>
      </x:c>
      <x:c r="G25" s="84" t="n">
        <x:v>34</x:v>
      </x:c>
      <x:c r="H25" s="84" t="n">
        <x:v>8</x:v>
      </x:c>
      <x:c r="I25" s="84" t="n">
        <x:v>11</x:v>
      </x:c>
      <x:c r="J25" s="85" t="n">
        <x:v>0</x:v>
      </x:c>
    </x:row>
    <x:row r="26">
      <x:c r="A26" s="83" t="n">
        <x:v>25</x:v>
      </x:c>
      <x:c r="B26" s="84" t="str">
        <x:v>PC-0025</x:v>
      </x:c>
      <x:c r="C26" s="84" t="str">
        <x:v>Componente técnico 025</x:v>
      </x:c>
      <x:c r="D26" s="84" t="str">
        <x:v>Sensor</x:v>
      </x:c>
      <x:c r="E26" s="84" t="str">
        <x:v>UN</x:v>
      </x:c>
      <x:c r="F26" s="93" t="n">
        <x:v>1079.45</x:v>
      </x:c>
      <x:c r="G26" s="84" t="n">
        <x:v>33</x:v>
      </x:c>
      <x:c r="H26" s="84" t="n">
        <x:v>3</x:v>
      </x:c>
      <x:c r="I26" s="84" t="n">
        <x:v>6</x:v>
      </x:c>
      <x:c r="J26" s="85" t="n">
        <x:v>0</x:v>
      </x:c>
    </x:row>
    <x:row r="27">
      <x:c r="A27" s="83" t="n">
        <x:v>26</x:v>
      </x:c>
      <x:c r="B27" s="84" t="str">
        <x:v>PC-0026</x:v>
      </x:c>
      <x:c r="C27" s="84" t="str">
        <x:v>Componente técnico 026</x:v>
      </x:c>
      <x:c r="D27" s="84" t="str">
        <x:v>Rolamento</x:v>
      </x:c>
      <x:c r="E27" s="84" t="str">
        <x:v>UN</x:v>
      </x:c>
      <x:c r="F27" s="93" t="n">
        <x:v>2151</x:v>
      </x:c>
      <x:c r="G27" s="84" t="n">
        <x:v>17</x:v>
      </x:c>
      <x:c r="H27" s="84" t="n">
        <x:v>3</x:v>
      </x:c>
      <x:c r="I27" s="84" t="n">
        <x:v>6</x:v>
      </x:c>
      <x:c r="J27" s="85" t="n">
        <x:v>0</x:v>
      </x:c>
    </x:row>
    <x:row r="28">
      <x:c r="A28" s="83" t="n">
        <x:v>27</x:v>
      </x:c>
      <x:c r="B28" s="84" t="str">
        <x:v>PC-0027</x:v>
      </x:c>
      <x:c r="C28" s="84" t="str">
        <x:v>Componente técnico 027</x:v>
      </x:c>
      <x:c r="D28" s="84" t="str">
        <x:v>Correia</x:v>
      </x:c>
      <x:c r="E28" s="84" t="str">
        <x:v>UN</x:v>
      </x:c>
      <x:c r="F28" s="93" t="n">
        <x:v>160.69</x:v>
      </x:c>
      <x:c r="G28" s="84" t="n">
        <x:v>6</x:v>
      </x:c>
      <x:c r="H28" s="84" t="n">
        <x:v>6</x:v>
      </x:c>
      <x:c r="I28" s="84" t="n">
        <x:v>9</x:v>
      </x:c>
      <x:c r="J28" s="85" t="n">
        <x:v>0</x:v>
      </x:c>
    </x:row>
    <x:row r="29">
      <x:c r="A29" s="83" t="n">
        <x:v>28</x:v>
      </x:c>
      <x:c r="B29" s="84" t="str">
        <x:v>PC-0028</x:v>
      </x:c>
      <x:c r="C29" s="84" t="str">
        <x:v>Componente técnico 028</x:v>
      </x:c>
      <x:c r="D29" s="84" t="str">
        <x:v>Correia</x:v>
      </x:c>
      <x:c r="E29" s="84" t="str">
        <x:v>UN</x:v>
      </x:c>
      <x:c r="F29" s="93" t="n">
        <x:v>820.47</x:v>
      </x:c>
      <x:c r="G29" s="84" t="n">
        <x:v>18</x:v>
      </x:c>
      <x:c r="H29" s="84" t="n">
        <x:v>15</x:v>
      </x:c>
      <x:c r="I29" s="84" t="n">
        <x:v>18</x:v>
      </x:c>
      <x:c r="J29" s="85" t="n">
        <x:v>0</x:v>
      </x:c>
    </x:row>
    <x:row r="30">
      <x:c r="A30" s="83" t="n">
        <x:v>29</x:v>
      </x:c>
      <x:c r="B30" s="84" t="str">
        <x:v>PC-0029</x:v>
      </x:c>
      <x:c r="C30" s="84" t="str">
        <x:v>Componente técnico 029</x:v>
      </x:c>
      <x:c r="D30" s="84" t="str">
        <x:v>Elemento elétrico</x:v>
      </x:c>
      <x:c r="E30" s="84" t="str">
        <x:v>UN</x:v>
      </x:c>
      <x:c r="F30" s="93" t="n">
        <x:v>1552.47</x:v>
      </x:c>
      <x:c r="G30" s="84" t="n">
        <x:v>6</x:v>
      </x:c>
      <x:c r="H30" s="84" t="n">
        <x:v>4</x:v>
      </x:c>
      <x:c r="I30" s="84" t="n">
        <x:v>7</x:v>
      </x:c>
      <x:c r="J30" s="85" t="n">
        <x:v>0</x:v>
      </x:c>
    </x:row>
    <x:row r="31">
      <x:c r="A31" s="83" t="n">
        <x:v>30</x:v>
      </x:c>
      <x:c r="B31" s="84" t="str">
        <x:v>PC-0030</x:v>
      </x:c>
      <x:c r="C31" s="84" t="str">
        <x:v>Componente técnico 030</x:v>
      </x:c>
      <x:c r="D31" s="84" t="str">
        <x:v>Filtro</x:v>
      </x:c>
      <x:c r="E31" s="84" t="str">
        <x:v>UN</x:v>
      </x:c>
      <x:c r="F31" s="93" t="n">
        <x:v>1278.76</x:v>
      </x:c>
      <x:c r="G31" s="84" t="n">
        <x:v>22</x:v>
      </x:c>
      <x:c r="H31" s="84" t="n">
        <x:v>13</x:v>
      </x:c>
      <x:c r="I31" s="84" t="n">
        <x:v>16</x:v>
      </x:c>
      <x:c r="J31" s="85" t="n">
        <x:v>0</x:v>
      </x:c>
    </x:row>
    <x:row r="32">
      <x:c r="A32" s="83" t="n">
        <x:v>31</x:v>
      </x:c>
      <x:c r="B32" s="84" t="str">
        <x:v>PC-0031</x:v>
      </x:c>
      <x:c r="C32" s="84" t="str">
        <x:v>Componente técnico 031</x:v>
      </x:c>
      <x:c r="D32" s="84" t="str">
        <x:v>Elemento elétrico</x:v>
      </x:c>
      <x:c r="E32" s="84" t="str">
        <x:v>UN</x:v>
      </x:c>
      <x:c r="F32" s="93" t="n">
        <x:v>2169.63</x:v>
      </x:c>
      <x:c r="G32" s="84" t="n">
        <x:v>0</x:v>
      </x:c>
      <x:c r="H32" s="84" t="n">
        <x:v>2</x:v>
      </x:c>
      <x:c r="I32" s="84" t="n">
        <x:v>5</x:v>
      </x:c>
      <x:c r="J32" s="85" t="n">
        <x:v>0</x:v>
      </x:c>
    </x:row>
    <x:row r="33">
      <x:c r="A33" s="83" t="n">
        <x:v>32</x:v>
      </x:c>
      <x:c r="B33" s="84" t="str">
        <x:v>PC-0032</x:v>
      </x:c>
      <x:c r="C33" s="84" t="str">
        <x:v>Componente técnico 032</x:v>
      </x:c>
      <x:c r="D33" s="84" t="str">
        <x:v>Elemento elétrico</x:v>
      </x:c>
      <x:c r="E33" s="84" t="str">
        <x:v>UN</x:v>
      </x:c>
      <x:c r="F33" s="93" t="n">
        <x:v>1813.25</x:v>
      </x:c>
      <x:c r="G33" s="84" t="n">
        <x:v>17</x:v>
      </x:c>
      <x:c r="H33" s="84" t="n">
        <x:v>12</x:v>
      </x:c>
      <x:c r="I33" s="84" t="n">
        <x:v>15</x:v>
      </x:c>
      <x:c r="J33" s="85" t="n">
        <x:v>0</x:v>
      </x:c>
    </x:row>
    <x:row r="34">
      <x:c r="A34" s="83" t="n">
        <x:v>33</x:v>
      </x:c>
      <x:c r="B34" s="84" t="str">
        <x:v>PC-0033</x:v>
      </x:c>
      <x:c r="C34" s="84" t="str">
        <x:v>Componente técnico 033</x:v>
      </x:c>
      <x:c r="D34" s="84" t="str">
        <x:v>Elemento elétrico</x:v>
      </x:c>
      <x:c r="E34" s="84" t="str">
        <x:v>UN</x:v>
      </x:c>
      <x:c r="F34" s="93" t="n">
        <x:v>2346.92</x:v>
      </x:c>
      <x:c r="G34" s="84" t="n">
        <x:v>32</x:v>
      </x:c>
      <x:c r="H34" s="84" t="n">
        <x:v>15</x:v>
      </x:c>
      <x:c r="I34" s="84" t="n">
        <x:v>18</x:v>
      </x:c>
      <x:c r="J34" s="85" t="n">
        <x:v>0</x:v>
      </x:c>
    </x:row>
    <x:row r="35">
      <x:c r="A35" s="83" t="n">
        <x:v>34</x:v>
      </x:c>
      <x:c r="B35" s="84" t="str">
        <x:v>PC-0034</x:v>
      </x:c>
      <x:c r="C35" s="84" t="str">
        <x:v>Componente técnico 034</x:v>
      </x:c>
      <x:c r="D35" s="84" t="str">
        <x:v>Rolamento</x:v>
      </x:c>
      <x:c r="E35" s="84" t="str">
        <x:v>UN</x:v>
      </x:c>
      <x:c r="F35" s="93" t="n">
        <x:v>1977.09</x:v>
      </x:c>
      <x:c r="G35" s="84" t="n">
        <x:v>36</x:v>
      </x:c>
      <x:c r="H35" s="84" t="n">
        <x:v>10</x:v>
      </x:c>
      <x:c r="I35" s="84" t="n">
        <x:v>13</x:v>
      </x:c>
      <x:c r="J35" s="85" t="n">
        <x:v>0</x:v>
      </x:c>
    </x:row>
    <x:row r="36">
      <x:c r="A36" s="83" t="n">
        <x:v>35</x:v>
      </x:c>
      <x:c r="B36" s="84" t="str">
        <x:v>PC-0035</x:v>
      </x:c>
      <x:c r="C36" s="84" t="str">
        <x:v>Componente técnico 035</x:v>
      </x:c>
      <x:c r="D36" s="84" t="str">
        <x:v>Correia</x:v>
      </x:c>
      <x:c r="E36" s="84" t="str">
        <x:v>UN</x:v>
      </x:c>
      <x:c r="F36" s="93" t="n">
        <x:v>1470.78</x:v>
      </x:c>
      <x:c r="G36" s="84" t="n">
        <x:v>11</x:v>
      </x:c>
      <x:c r="H36" s="84" t="n">
        <x:v>6</x:v>
      </x:c>
      <x:c r="I36" s="84" t="n">
        <x:v>9</x:v>
      </x:c>
      <x:c r="J36" s="85" t="n">
        <x:v>0</x:v>
      </x:c>
    </x:row>
    <x:row r="37">
      <x:c r="A37" s="83" t="n">
        <x:v>36</x:v>
      </x:c>
      <x:c r="B37" s="84" t="str">
        <x:v>PC-0036</x:v>
      </x:c>
      <x:c r="C37" s="84" t="str">
        <x:v>Componente técnico 036</x:v>
      </x:c>
      <x:c r="D37" s="84" t="str">
        <x:v>Elemento elétrico</x:v>
      </x:c>
      <x:c r="E37" s="84" t="str">
        <x:v>UN</x:v>
      </x:c>
      <x:c r="F37" s="93" t="n">
        <x:v>596.41</x:v>
      </x:c>
      <x:c r="G37" s="84" t="n">
        <x:v>31</x:v>
      </x:c>
      <x:c r="H37" s="84" t="n">
        <x:v>15</x:v>
      </x:c>
      <x:c r="I37" s="84" t="n">
        <x:v>18</x:v>
      </x:c>
      <x:c r="J37" s="85" t="n">
        <x:v>0</x:v>
      </x:c>
    </x:row>
    <x:row r="38">
      <x:c r="A38" s="83" t="n">
        <x:v>37</x:v>
      </x:c>
      <x:c r="B38" s="84" t="str">
        <x:v>PC-0037</x:v>
      </x:c>
      <x:c r="C38" s="84" t="str">
        <x:v>Componente técnico 037</x:v>
      </x:c>
      <x:c r="D38" s="84" t="str">
        <x:v>Elemento elétrico</x:v>
      </x:c>
      <x:c r="E38" s="84" t="str">
        <x:v>UN</x:v>
      </x:c>
      <x:c r="F38" s="93" t="n">
        <x:v>1033.71</x:v>
      </x:c>
      <x:c r="G38" s="84" t="n">
        <x:v>17</x:v>
      </x:c>
      <x:c r="H38" s="84" t="n">
        <x:v>12</x:v>
      </x:c>
      <x:c r="I38" s="84" t="n">
        <x:v>15</x:v>
      </x:c>
      <x:c r="J38" s="85" t="n">
        <x:v>0</x:v>
      </x:c>
    </x:row>
    <x:row r="39">
      <x:c r="A39" s="83" t="n">
        <x:v>38</x:v>
      </x:c>
      <x:c r="B39" s="84" t="str">
        <x:v>PC-0038</x:v>
      </x:c>
      <x:c r="C39" s="84" t="str">
        <x:v>Componente técnico 038</x:v>
      </x:c>
      <x:c r="D39" s="84" t="str">
        <x:v>Sensor</x:v>
      </x:c>
      <x:c r="E39" s="84" t="str">
        <x:v>UN</x:v>
      </x:c>
      <x:c r="F39" s="93" t="n">
        <x:v>726.49</x:v>
      </x:c>
      <x:c r="G39" s="84" t="n">
        <x:v>34</x:v>
      </x:c>
      <x:c r="H39" s="84" t="n">
        <x:v>13</x:v>
      </x:c>
      <x:c r="I39" s="84" t="n">
        <x:v>16</x:v>
      </x:c>
      <x:c r="J39" s="85" t="n">
        <x:v>1</x:v>
      </x:c>
    </x:row>
    <x:row r="40">
      <x:c r="A40" s="83" t="n">
        <x:v>39</x:v>
      </x:c>
      <x:c r="B40" s="84" t="str">
        <x:v>PC-0039</x:v>
      </x:c>
      <x:c r="C40" s="84" t="str">
        <x:v>Componente técnico 039</x:v>
      </x:c>
      <x:c r="D40" s="84" t="str">
        <x:v>Filtro</x:v>
      </x:c>
      <x:c r="E40" s="84" t="str">
        <x:v>UN</x:v>
      </x:c>
      <x:c r="F40" s="93" t="n">
        <x:v>677.6</x:v>
      </x:c>
      <x:c r="G40" s="84" t="n">
        <x:v>7</x:v>
      </x:c>
      <x:c r="H40" s="84" t="n">
        <x:v>12</x:v>
      </x:c>
      <x:c r="I40" s="84" t="n">
        <x:v>15</x:v>
      </x:c>
      <x:c r="J40" s="85" t="n">
        <x:v>0</x:v>
      </x:c>
    </x:row>
    <x:row r="41">
      <x:c r="A41" s="83" t="n">
        <x:v>40</x:v>
      </x:c>
      <x:c r="B41" s="84" t="str">
        <x:v>PC-0040</x:v>
      </x:c>
      <x:c r="C41" s="84" t="str">
        <x:v>Componente técnico 040</x:v>
      </x:c>
      <x:c r="D41" s="84" t="str">
        <x:v>Elemento elétrico</x:v>
      </x:c>
      <x:c r="E41" s="84" t="str">
        <x:v>UN</x:v>
      </x:c>
      <x:c r="F41" s="93" t="n">
        <x:v>2035.04</x:v>
      </x:c>
      <x:c r="G41" s="84" t="n">
        <x:v>40</x:v>
      </x:c>
      <x:c r="H41" s="84" t="n">
        <x:v>12</x:v>
      </x:c>
      <x:c r="I41" s="84" t="n">
        <x:v>15</x:v>
      </x:c>
      <x:c r="J41" s="85" t="n">
        <x:v>0</x:v>
      </x:c>
    </x:row>
    <x:row r="42">
      <x:c r="A42" s="83" t="n">
        <x:v>41</x:v>
      </x:c>
      <x:c r="B42" s="84" t="str">
        <x:v>PC-0041</x:v>
      </x:c>
      <x:c r="C42" s="84" t="str">
        <x:v>Componente técnico 041</x:v>
      </x:c>
      <x:c r="D42" s="84" t="str">
        <x:v>Rolamento</x:v>
      </x:c>
      <x:c r="E42" s="84" t="str">
        <x:v>UN</x:v>
      </x:c>
      <x:c r="F42" s="93" t="n">
        <x:v>1182.02</x:v>
      </x:c>
      <x:c r="G42" s="84" t="n">
        <x:v>32</x:v>
      </x:c>
      <x:c r="H42" s="84" t="n">
        <x:v>5</x:v>
      </x:c>
      <x:c r="I42" s="84" t="n">
        <x:v>8</x:v>
      </x:c>
      <x:c r="J42" s="85" t="n">
        <x:v>0</x:v>
      </x:c>
    </x:row>
    <x:row r="43">
      <x:c r="A43" s="83" t="n">
        <x:v>42</x:v>
      </x:c>
      <x:c r="B43" s="84" t="str">
        <x:v>PC-0042</x:v>
      </x:c>
      <x:c r="C43" s="84" t="str">
        <x:v>Componente técnico 042</x:v>
      </x:c>
      <x:c r="D43" s="84" t="str">
        <x:v>Filtro</x:v>
      </x:c>
      <x:c r="E43" s="84" t="str">
        <x:v>UN</x:v>
      </x:c>
      <x:c r="F43" s="93" t="n">
        <x:v>2171.74</x:v>
      </x:c>
      <x:c r="G43" s="84" t="n">
        <x:v>35</x:v>
      </x:c>
      <x:c r="H43" s="84" t="n">
        <x:v>13</x:v>
      </x:c>
      <x:c r="I43" s="84" t="n">
        <x:v>16</x:v>
      </x:c>
      <x:c r="J43" s="85" t="n">
        <x:v>0</x:v>
      </x:c>
    </x:row>
    <x:row r="44">
      <x:c r="A44" s="83" t="n">
        <x:v>43</x:v>
      </x:c>
      <x:c r="B44" s="84" t="str">
        <x:v>PC-0043</x:v>
      </x:c>
      <x:c r="C44" s="84" t="str">
        <x:v>Componente técnico 043</x:v>
      </x:c>
      <x:c r="D44" s="84" t="str">
        <x:v>Correia</x:v>
      </x:c>
      <x:c r="E44" s="84" t="str">
        <x:v>UN</x:v>
      </x:c>
      <x:c r="F44" s="93" t="n">
        <x:v>1465.42</x:v>
      </x:c>
      <x:c r="G44" s="84" t="n">
        <x:v>29</x:v>
      </x:c>
      <x:c r="H44" s="84" t="n">
        <x:v>7</x:v>
      </x:c>
      <x:c r="I44" s="84" t="n">
        <x:v>10</x:v>
      </x:c>
      <x:c r="J44" s="85" t="n">
        <x:v>0</x:v>
      </x:c>
    </x:row>
    <x:row r="45">
      <x:c r="A45" s="83" t="n">
        <x:v>44</x:v>
      </x:c>
      <x:c r="B45" s="84" t="str">
        <x:v>PC-0044</x:v>
      </x:c>
      <x:c r="C45" s="84" t="str">
        <x:v>Componente técnico 044</x:v>
      </x:c>
      <x:c r="D45" s="84" t="str">
        <x:v>Elemento elétrico</x:v>
      </x:c>
      <x:c r="E45" s="84" t="str">
        <x:v>UN</x:v>
      </x:c>
      <x:c r="F45" s="93" t="n">
        <x:v>1251.48</x:v>
      </x:c>
      <x:c r="G45" s="84" t="n">
        <x:v>32</x:v>
      </x:c>
      <x:c r="H45" s="84" t="n">
        <x:v>3</x:v>
      </x:c>
      <x:c r="I45" s="84" t="n">
        <x:v>6</x:v>
      </x:c>
      <x:c r="J45" s="85" t="n">
        <x:v>0</x:v>
      </x:c>
    </x:row>
    <x:row r="46">
      <x:c r="A46" s="83" t="n">
        <x:v>45</x:v>
      </x:c>
      <x:c r="B46" s="84" t="str">
        <x:v>PC-0045</x:v>
      </x:c>
      <x:c r="C46" s="84" t="str">
        <x:v>Componente técnico 045</x:v>
      </x:c>
      <x:c r="D46" s="84" t="str">
        <x:v>Elemento elétrico</x:v>
      </x:c>
      <x:c r="E46" s="84" t="str">
        <x:v>UN</x:v>
      </x:c>
      <x:c r="F46" s="93" t="n">
        <x:v>1391.42</x:v>
      </x:c>
      <x:c r="G46" s="84" t="n">
        <x:v>24</x:v>
      </x:c>
      <x:c r="H46" s="84" t="n">
        <x:v>10</x:v>
      </x:c>
      <x:c r="I46" s="84" t="n">
        <x:v>13</x:v>
      </x:c>
      <x:c r="J46" s="85" t="n">
        <x:v>0</x:v>
      </x:c>
    </x:row>
    <x:row r="47">
      <x:c r="A47" s="83" t="n">
        <x:v>46</x:v>
      </x:c>
      <x:c r="B47" s="84" t="str">
        <x:v>PC-0046</x:v>
      </x:c>
      <x:c r="C47" s="84" t="str">
        <x:v>Componente técnico 046</x:v>
      </x:c>
      <x:c r="D47" s="84" t="str">
        <x:v>Filtro</x:v>
      </x:c>
      <x:c r="E47" s="84" t="str">
        <x:v>UN</x:v>
      </x:c>
      <x:c r="F47" s="93" t="n">
        <x:v>1334.95</x:v>
      </x:c>
      <x:c r="G47" s="84" t="n">
        <x:v>20</x:v>
      </x:c>
      <x:c r="H47" s="84" t="n">
        <x:v>4</x:v>
      </x:c>
      <x:c r="I47" s="84" t="n">
        <x:v>7</x:v>
      </x:c>
      <x:c r="J47" s="85" t="n">
        <x:v>1</x:v>
      </x:c>
    </x:row>
    <x:row r="48">
      <x:c r="A48" s="83" t="n">
        <x:v>47</x:v>
      </x:c>
      <x:c r="B48" s="84" t="str">
        <x:v>PC-0047</x:v>
      </x:c>
      <x:c r="C48" s="84" t="str">
        <x:v>Componente técnico 047</x:v>
      </x:c>
      <x:c r="D48" s="84" t="str">
        <x:v>Correia</x:v>
      </x:c>
      <x:c r="E48" s="84" t="str">
        <x:v>UN</x:v>
      </x:c>
      <x:c r="F48" s="93" t="n">
        <x:v>2175.62</x:v>
      </x:c>
      <x:c r="G48" s="84" t="n">
        <x:v>16</x:v>
      </x:c>
      <x:c r="H48" s="84" t="n">
        <x:v>10</x:v>
      </x:c>
      <x:c r="I48" s="84" t="n">
        <x:v>13</x:v>
      </x:c>
      <x:c r="J48" s="85" t="n">
        <x:v>0</x:v>
      </x:c>
    </x:row>
    <x:row r="49">
      <x:c r="A49" s="83" t="n">
        <x:v>48</x:v>
      </x:c>
      <x:c r="B49" s="84" t="str">
        <x:v>PC-0048</x:v>
      </x:c>
      <x:c r="C49" s="84" t="str">
        <x:v>Componente técnico 048</x:v>
      </x:c>
      <x:c r="D49" s="84" t="str">
        <x:v>Correia</x:v>
      </x:c>
      <x:c r="E49" s="84" t="str">
        <x:v>UN</x:v>
      </x:c>
      <x:c r="F49" s="93" t="n">
        <x:v>1161.45</x:v>
      </x:c>
      <x:c r="G49" s="84" t="n">
        <x:v>14</x:v>
      </x:c>
      <x:c r="H49" s="84" t="n">
        <x:v>14</x:v>
      </x:c>
      <x:c r="I49" s="84" t="n">
        <x:v>17</x:v>
      </x:c>
      <x:c r="J49" s="85" t="n">
        <x:v>0</x:v>
      </x:c>
    </x:row>
    <x:row r="50">
      <x:c r="A50" s="83" t="n">
        <x:v>49</x:v>
      </x:c>
      <x:c r="B50" s="84" t="str">
        <x:v>PC-0049</x:v>
      </x:c>
      <x:c r="C50" s="84" t="str">
        <x:v>Componente técnico 049</x:v>
      </x:c>
      <x:c r="D50" s="84" t="str">
        <x:v>Válvula</x:v>
      </x:c>
      <x:c r="E50" s="84" t="str">
        <x:v>UN</x:v>
      </x:c>
      <x:c r="F50" s="93" t="n">
        <x:v>184.16</x:v>
      </x:c>
      <x:c r="G50" s="84" t="n">
        <x:v>35</x:v>
      </x:c>
      <x:c r="H50" s="84" t="n">
        <x:v>13</x:v>
      </x:c>
      <x:c r="I50" s="84" t="n">
        <x:v>16</x:v>
      </x:c>
      <x:c r="J50" s="85" t="n">
        <x:v>0</x:v>
      </x:c>
    </x:row>
    <x:row r="51">
      <x:c r="A51" s="83" t="n">
        <x:v>50</x:v>
      </x:c>
      <x:c r="B51" s="84" t="str">
        <x:v>PC-0050</x:v>
      </x:c>
      <x:c r="C51" s="84" t="str">
        <x:v>Componente técnico 050</x:v>
      </x:c>
      <x:c r="D51" s="84" t="str">
        <x:v>Sensor</x:v>
      </x:c>
      <x:c r="E51" s="84" t="str">
        <x:v>UN</x:v>
      </x:c>
      <x:c r="F51" s="93" t="n">
        <x:v>2235.95</x:v>
      </x:c>
      <x:c r="G51" s="84" t="n">
        <x:v>40</x:v>
      </x:c>
      <x:c r="H51" s="84" t="n">
        <x:v>10</x:v>
      </x:c>
      <x:c r="I51" s="84" t="n">
        <x:v>13</x:v>
      </x:c>
      <x:c r="J51" s="85" t="n">
        <x:v>0</x:v>
      </x:c>
    </x:row>
    <x:row r="52">
      <x:c r="A52" s="83" t="n">
        <x:v>51</x:v>
      </x:c>
      <x:c r="B52" s="84" t="str">
        <x:v>PC-0051</x:v>
      </x:c>
      <x:c r="C52" s="84" t="str">
        <x:v>Componente técnico 051</x:v>
      </x:c>
      <x:c r="D52" s="84" t="str">
        <x:v>Filtro</x:v>
      </x:c>
      <x:c r="E52" s="84" t="str">
        <x:v>UN</x:v>
      </x:c>
      <x:c r="F52" s="93" t="n">
        <x:v>892.16</x:v>
      </x:c>
      <x:c r="G52" s="84" t="n">
        <x:v>26</x:v>
      </x:c>
      <x:c r="H52" s="84" t="n">
        <x:v>10</x:v>
      </x:c>
      <x:c r="I52" s="84" t="n">
        <x:v>13</x:v>
      </x:c>
      <x:c r="J52" s="85" t="n">
        <x:v>0</x:v>
      </x:c>
    </x:row>
    <x:row r="53">
      <x:c r="A53" s="83" t="n">
        <x:v>52</x:v>
      </x:c>
      <x:c r="B53" s="84" t="str">
        <x:v>PC-0052</x:v>
      </x:c>
      <x:c r="C53" s="84" t="str">
        <x:v>Componente técnico 052</x:v>
      </x:c>
      <x:c r="D53" s="84" t="str">
        <x:v>Correia</x:v>
      </x:c>
      <x:c r="E53" s="84" t="str">
        <x:v>UN</x:v>
      </x:c>
      <x:c r="F53" s="93" t="n">
        <x:v>880.63</x:v>
      </x:c>
      <x:c r="G53" s="84" t="n">
        <x:v>18</x:v>
      </x:c>
      <x:c r="H53" s="84" t="n">
        <x:v>4</x:v>
      </x:c>
      <x:c r="I53" s="84" t="n">
        <x:v>7</x:v>
      </x:c>
      <x:c r="J53" s="85" t="n">
        <x:v>0</x:v>
      </x:c>
    </x:row>
    <x:row r="54">
      <x:c r="A54" s="83" t="n">
        <x:v>53</x:v>
      </x:c>
      <x:c r="B54" s="84" t="str">
        <x:v>PC-0053</x:v>
      </x:c>
      <x:c r="C54" s="84" t="str">
        <x:v>Componente técnico 053</x:v>
      </x:c>
      <x:c r="D54" s="84" t="str">
        <x:v>Rolamento</x:v>
      </x:c>
      <x:c r="E54" s="84" t="str">
        <x:v>UN</x:v>
      </x:c>
      <x:c r="F54" s="93" t="n">
        <x:v>1590.92</x:v>
      </x:c>
      <x:c r="G54" s="84" t="n">
        <x:v>27</x:v>
      </x:c>
      <x:c r="H54" s="84" t="n">
        <x:v>9</x:v>
      </x:c>
      <x:c r="I54" s="84" t="n">
        <x:v>12</x:v>
      </x:c>
      <x:c r="J54" s="85" t="n">
        <x:v>0</x:v>
      </x:c>
    </x:row>
    <x:row r="55">
      <x:c r="A55" s="83" t="n">
        <x:v>54</x:v>
      </x:c>
      <x:c r="B55" s="84" t="str">
        <x:v>PC-0054</x:v>
      </x:c>
      <x:c r="C55" s="84" t="str">
        <x:v>Componente técnico 054</x:v>
      </x:c>
      <x:c r="D55" s="84" t="str">
        <x:v>Válvula</x:v>
      </x:c>
      <x:c r="E55" s="84" t="str">
        <x:v>UN</x:v>
      </x:c>
      <x:c r="F55" s="93" t="n">
        <x:v>686.4</x:v>
      </x:c>
      <x:c r="G55" s="84" t="n">
        <x:v>33</x:v>
      </x:c>
      <x:c r="H55" s="84" t="n">
        <x:v>7</x:v>
      </x:c>
      <x:c r="I55" s="84" t="n">
        <x:v>10</x:v>
      </x:c>
      <x:c r="J55" s="85" t="n">
        <x:v>0</x:v>
      </x:c>
    </x:row>
    <x:row r="56">
      <x:c r="A56" s="83" t="n">
        <x:v>55</x:v>
      </x:c>
      <x:c r="B56" s="84" t="str">
        <x:v>PC-0055</x:v>
      </x:c>
      <x:c r="C56" s="84" t="str">
        <x:v>Componente técnico 055</x:v>
      </x:c>
      <x:c r="D56" s="84" t="str">
        <x:v>Válvula</x:v>
      </x:c>
      <x:c r="E56" s="84" t="str">
        <x:v>UN</x:v>
      </x:c>
      <x:c r="F56" s="93" t="n">
        <x:v>1499.85</x:v>
      </x:c>
      <x:c r="G56" s="84" t="n">
        <x:v>6</x:v>
      </x:c>
      <x:c r="H56" s="84" t="n">
        <x:v>6</x:v>
      </x:c>
      <x:c r="I56" s="84" t="n">
        <x:v>9</x:v>
      </x:c>
      <x:c r="J56" s="85" t="n">
        <x:v>0</x:v>
      </x:c>
    </x:row>
    <x:row r="57">
      <x:c r="A57" s="83" t="n">
        <x:v>56</x:v>
      </x:c>
      <x:c r="B57" s="84" t="str">
        <x:v>PC-0056</x:v>
      </x:c>
      <x:c r="C57" s="84" t="str">
        <x:v>Componente técnico 056</x:v>
      </x:c>
      <x:c r="D57" s="84" t="str">
        <x:v>Válvula</x:v>
      </x:c>
      <x:c r="E57" s="84" t="str">
        <x:v>UN</x:v>
      </x:c>
      <x:c r="F57" s="93" t="n">
        <x:v>1468.46</x:v>
      </x:c>
      <x:c r="G57" s="84" t="n">
        <x:v>17</x:v>
      </x:c>
      <x:c r="H57" s="84" t="n">
        <x:v>3</x:v>
      </x:c>
      <x:c r="I57" s="84" t="n">
        <x:v>6</x:v>
      </x:c>
      <x:c r="J57" s="85" t="n">
        <x:v>0</x:v>
      </x:c>
    </x:row>
    <x:row r="58">
      <x:c r="A58" s="83" t="n">
        <x:v>57</x:v>
      </x:c>
      <x:c r="B58" s="84" t="str">
        <x:v>PC-0057</x:v>
      </x:c>
      <x:c r="C58" s="84" t="str">
        <x:v>Componente técnico 057</x:v>
      </x:c>
      <x:c r="D58" s="84" t="str">
        <x:v>Válvula</x:v>
      </x:c>
      <x:c r="E58" s="84" t="str">
        <x:v>UN</x:v>
      </x:c>
      <x:c r="F58" s="93" t="n">
        <x:v>1179.06</x:v>
      </x:c>
      <x:c r="G58" s="84" t="n">
        <x:v>21</x:v>
      </x:c>
      <x:c r="H58" s="84" t="n">
        <x:v>5</x:v>
      </x:c>
      <x:c r="I58" s="84" t="n">
        <x:v>8</x:v>
      </x:c>
      <x:c r="J58" s="85" t="n">
        <x:v>1</x:v>
      </x:c>
    </x:row>
    <x:row r="59">
      <x:c r="A59" s="83" t="n">
        <x:v>58</x:v>
      </x:c>
      <x:c r="B59" s="84" t="str">
        <x:v>PC-0058</x:v>
      </x:c>
      <x:c r="C59" s="84" t="str">
        <x:v>Componente técnico 058</x:v>
      </x:c>
      <x:c r="D59" s="84" t="str">
        <x:v>Elemento elétrico</x:v>
      </x:c>
      <x:c r="E59" s="84" t="str">
        <x:v>UN</x:v>
      </x:c>
      <x:c r="F59" s="93" t="n">
        <x:v>2018.18</x:v>
      </x:c>
      <x:c r="G59" s="84" t="n">
        <x:v>43</x:v>
      </x:c>
      <x:c r="H59" s="84" t="n">
        <x:v>13</x:v>
      </x:c>
      <x:c r="I59" s="84" t="n">
        <x:v>16</x:v>
      </x:c>
      <x:c r="J59" s="85" t="n">
        <x:v>0</x:v>
      </x:c>
    </x:row>
    <x:row r="60">
      <x:c r="A60" s="83" t="n">
        <x:v>59</x:v>
      </x:c>
      <x:c r="B60" s="84" t="str">
        <x:v>PC-0059</x:v>
      </x:c>
      <x:c r="C60" s="84" t="str">
        <x:v>Componente técnico 059</x:v>
      </x:c>
      <x:c r="D60" s="84" t="str">
        <x:v>Rolamento</x:v>
      </x:c>
      <x:c r="E60" s="84" t="str">
        <x:v>UN</x:v>
      </x:c>
      <x:c r="F60" s="93" t="n">
        <x:v>1516.45</x:v>
      </x:c>
      <x:c r="G60" s="84" t="n">
        <x:v>1</x:v>
      </x:c>
      <x:c r="H60" s="84" t="n">
        <x:v>6</x:v>
      </x:c>
      <x:c r="I60" s="84" t="n">
        <x:v>9</x:v>
      </x:c>
      <x:c r="J60" s="85" t="n">
        <x:v>0</x:v>
      </x:c>
    </x:row>
    <x:row r="61">
      <x:c r="A61" s="83" t="n">
        <x:v>60</x:v>
      </x:c>
      <x:c r="B61" s="84" t="str">
        <x:v>PC-0060</x:v>
      </x:c>
      <x:c r="C61" s="84" t="str">
        <x:v>Componente técnico 060</x:v>
      </x:c>
      <x:c r="D61" s="84" t="str">
        <x:v>Filtro</x:v>
      </x:c>
      <x:c r="E61" s="84" t="str">
        <x:v>UN</x:v>
      </x:c>
      <x:c r="F61" s="93" t="n">
        <x:v>353.8</x:v>
      </x:c>
      <x:c r="G61" s="84" t="n">
        <x:v>9</x:v>
      </x:c>
      <x:c r="H61" s="84" t="n">
        <x:v>9</x:v>
      </x:c>
      <x:c r="I61" s="84" t="n">
        <x:v>12</x:v>
      </x:c>
      <x:c r="J61" s="85" t="n">
        <x:v>1</x:v>
      </x:c>
    </x:row>
    <x:row r="62">
      <x:c r="A62" s="83" t="n">
        <x:v>61</x:v>
      </x:c>
      <x:c r="B62" s="84" t="str">
        <x:v>PC-0061</x:v>
      </x:c>
      <x:c r="C62" s="84" t="str">
        <x:v>Componente técnico 061</x:v>
      </x:c>
      <x:c r="D62" s="84" t="str">
        <x:v>Elemento elétrico</x:v>
      </x:c>
      <x:c r="E62" s="84" t="str">
        <x:v>UN</x:v>
      </x:c>
      <x:c r="F62" s="93" t="n">
        <x:v>131.72</x:v>
      </x:c>
      <x:c r="G62" s="84" t="n">
        <x:v>14</x:v>
      </x:c>
      <x:c r="H62" s="84" t="n">
        <x:v>8</x:v>
      </x:c>
      <x:c r="I62" s="84" t="n">
        <x:v>11</x:v>
      </x:c>
      <x:c r="J62" s="85" t="n">
        <x:v>0</x:v>
      </x:c>
    </x:row>
    <x:row r="63">
      <x:c r="A63" s="83" t="n">
        <x:v>62</x:v>
      </x:c>
      <x:c r="B63" s="84" t="str">
        <x:v>PC-0062</x:v>
      </x:c>
      <x:c r="C63" s="84" t="str">
        <x:v>Componente técnico 062</x:v>
      </x:c>
      <x:c r="D63" s="84" t="str">
        <x:v>Filtro</x:v>
      </x:c>
      <x:c r="E63" s="84" t="str">
        <x:v>UN</x:v>
      </x:c>
      <x:c r="F63" s="93" t="n">
        <x:v>1517.31</x:v>
      </x:c>
      <x:c r="G63" s="84" t="n">
        <x:v>41</x:v>
      </x:c>
      <x:c r="H63" s="84" t="n">
        <x:v>14</x:v>
      </x:c>
      <x:c r="I63" s="84" t="n">
        <x:v>17</x:v>
      </x:c>
      <x:c r="J63" s="85" t="n">
        <x:v>0</x:v>
      </x:c>
    </x:row>
    <x:row r="64">
      <x:c r="A64" s="83" t="n">
        <x:v>63</x:v>
      </x:c>
      <x:c r="B64" s="84" t="str">
        <x:v>PC-0063</x:v>
      </x:c>
      <x:c r="C64" s="84" t="str">
        <x:v>Componente técnico 063</x:v>
      </x:c>
      <x:c r="D64" s="84" t="str">
        <x:v>Filtro</x:v>
      </x:c>
      <x:c r="E64" s="84" t="str">
        <x:v>UN</x:v>
      </x:c>
      <x:c r="F64" s="93" t="n">
        <x:v>1934.19</x:v>
      </x:c>
      <x:c r="G64" s="84" t="n">
        <x:v>21</x:v>
      </x:c>
      <x:c r="H64" s="84" t="n">
        <x:v>13</x:v>
      </x:c>
      <x:c r="I64" s="84" t="n">
        <x:v>16</x:v>
      </x:c>
      <x:c r="J64" s="85" t="n">
        <x:v>0</x:v>
      </x:c>
    </x:row>
    <x:row r="65">
      <x:c r="A65" s="83" t="n">
        <x:v>64</x:v>
      </x:c>
      <x:c r="B65" s="84" t="str">
        <x:v>PC-0064</x:v>
      </x:c>
      <x:c r="C65" s="84" t="str">
        <x:v>Componente técnico 064</x:v>
      </x:c>
      <x:c r="D65" s="84" t="str">
        <x:v>Elemento elétrico</x:v>
      </x:c>
      <x:c r="E65" s="84" t="str">
        <x:v>UN</x:v>
      </x:c>
      <x:c r="F65" s="93" t="n">
        <x:v>1465.42</x:v>
      </x:c>
      <x:c r="G65" s="84" t="n">
        <x:v>7</x:v>
      </x:c>
      <x:c r="H65" s="84" t="n">
        <x:v>8</x:v>
      </x:c>
      <x:c r="I65" s="84" t="n">
        <x:v>11</x:v>
      </x:c>
      <x:c r="J65" s="85" t="n">
        <x:v>0</x:v>
      </x:c>
    </x:row>
    <x:row r="66">
      <x:c r="A66" s="83" t="n">
        <x:v>65</x:v>
      </x:c>
      <x:c r="B66" s="84" t="str">
        <x:v>PC-0065</x:v>
      </x:c>
      <x:c r="C66" s="84" t="str">
        <x:v>Componente técnico 065</x:v>
      </x:c>
      <x:c r="D66" s="84" t="str">
        <x:v>Sensor</x:v>
      </x:c>
      <x:c r="E66" s="84" t="str">
        <x:v>UN</x:v>
      </x:c>
      <x:c r="F66" s="93" t="n">
        <x:v>1254.84</x:v>
      </x:c>
      <x:c r="G66" s="84" t="n">
        <x:v>36</x:v>
      </x:c>
      <x:c r="H66" s="84" t="n">
        <x:v>13</x:v>
      </x:c>
      <x:c r="I66" s="84" t="n">
        <x:v>16</x:v>
      </x:c>
      <x:c r="J66" s="85" t="n">
        <x:v>0</x:v>
      </x:c>
    </x:row>
    <x:row r="67">
      <x:c r="A67" s="83" t="n">
        <x:v>66</x:v>
      </x:c>
      <x:c r="B67" s="84" t="str">
        <x:v>PC-0066</x:v>
      </x:c>
      <x:c r="C67" s="84" t="str">
        <x:v>Componente técnico 066</x:v>
      </x:c>
      <x:c r="D67" s="84" t="str">
        <x:v>Elemento elétrico</x:v>
      </x:c>
      <x:c r="E67" s="84" t="str">
        <x:v>UN</x:v>
      </x:c>
      <x:c r="F67" s="93" t="n">
        <x:v>1912.45</x:v>
      </x:c>
      <x:c r="G67" s="84" t="n">
        <x:v>25</x:v>
      </x:c>
      <x:c r="H67" s="84" t="n">
        <x:v>14</x:v>
      </x:c>
      <x:c r="I67" s="84" t="n">
        <x:v>17</x:v>
      </x:c>
      <x:c r="J67" s="85" t="n">
        <x:v>0</x:v>
      </x:c>
    </x:row>
    <x:row r="68">
      <x:c r="A68" s="83" t="n">
        <x:v>67</x:v>
      </x:c>
      <x:c r="B68" s="84" t="str">
        <x:v>PC-0067</x:v>
      </x:c>
      <x:c r="C68" s="84" t="str">
        <x:v>Componente técnico 067</x:v>
      </x:c>
      <x:c r="D68" s="84" t="str">
        <x:v>Filtro</x:v>
      </x:c>
      <x:c r="E68" s="84" t="str">
        <x:v>UN</x:v>
      </x:c>
      <x:c r="F68" s="93" t="n">
        <x:v>1279.53</x:v>
      </x:c>
      <x:c r="G68" s="84" t="n">
        <x:v>21</x:v>
      </x:c>
      <x:c r="H68" s="84" t="n">
        <x:v>9</x:v>
      </x:c>
      <x:c r="I68" s="84" t="n">
        <x:v>12</x:v>
      </x:c>
      <x:c r="J68" s="85" t="n">
        <x:v>0</x:v>
      </x:c>
    </x:row>
    <x:row r="69">
      <x:c r="A69" s="83" t="n">
        <x:v>68</x:v>
      </x:c>
      <x:c r="B69" s="84" t="str">
        <x:v>PC-0068</x:v>
      </x:c>
      <x:c r="C69" s="84" t="str">
        <x:v>Componente técnico 068</x:v>
      </x:c>
      <x:c r="D69" s="84" t="str">
        <x:v>Válvula</x:v>
      </x:c>
      <x:c r="E69" s="84" t="str">
        <x:v>UN</x:v>
      </x:c>
      <x:c r="F69" s="93" t="n">
        <x:v>1527.61</x:v>
      </x:c>
      <x:c r="G69" s="84" t="n">
        <x:v>17</x:v>
      </x:c>
      <x:c r="H69" s="84" t="n">
        <x:v>4</x:v>
      </x:c>
      <x:c r="I69" s="84" t="n">
        <x:v>7</x:v>
      </x:c>
      <x:c r="J69" s="85" t="n">
        <x:v>0</x:v>
      </x:c>
    </x:row>
    <x:row r="70">
      <x:c r="A70" s="83" t="n">
        <x:v>69</x:v>
      </x:c>
      <x:c r="B70" s="84" t="str">
        <x:v>PC-0069</x:v>
      </x:c>
      <x:c r="C70" s="84" t="str">
        <x:v>Componente técnico 069</x:v>
      </x:c>
      <x:c r="D70" s="84" t="str">
        <x:v>Correia</x:v>
      </x:c>
      <x:c r="E70" s="84" t="str">
        <x:v>UN</x:v>
      </x:c>
      <x:c r="F70" s="93" t="n">
        <x:v>1770.33</x:v>
      </x:c>
      <x:c r="G70" s="84" t="n">
        <x:v>11</x:v>
      </x:c>
      <x:c r="H70" s="84" t="n">
        <x:v>6</x:v>
      </x:c>
      <x:c r="I70" s="84" t="n">
        <x:v>9</x:v>
      </x:c>
      <x:c r="J70" s="85" t="n">
        <x:v>0</x:v>
      </x:c>
    </x:row>
    <x:row r="71">
      <x:c r="A71" s="83" t="n">
        <x:v>70</x:v>
      </x:c>
      <x:c r="B71" s="84" t="str">
        <x:v>PC-0070</x:v>
      </x:c>
      <x:c r="C71" s="84" t="str">
        <x:v>Componente técnico 070</x:v>
      </x:c>
      <x:c r="D71" s="84" t="str">
        <x:v>Elemento elétrico</x:v>
      </x:c>
      <x:c r="E71" s="84" t="str">
        <x:v>UN</x:v>
      </x:c>
      <x:c r="F71" s="93" t="n">
        <x:v>769.54</x:v>
      </x:c>
      <x:c r="G71" s="84" t="n">
        <x:v>13</x:v>
      </x:c>
      <x:c r="H71" s="84" t="n">
        <x:v>2</x:v>
      </x:c>
      <x:c r="I71" s="84" t="n">
        <x:v>5</x:v>
      </x:c>
      <x:c r="J71" s="85" t="n">
        <x:v>0</x:v>
      </x:c>
    </x:row>
    <x:row r="72">
      <x:c r="A72" s="83" t="n">
        <x:v>71</x:v>
      </x:c>
      <x:c r="B72" s="84" t="str">
        <x:v>PC-0071</x:v>
      </x:c>
      <x:c r="C72" s="84" t="str">
        <x:v>Componente técnico 071</x:v>
      </x:c>
      <x:c r="D72" s="84" t="str">
        <x:v>Válvula</x:v>
      </x:c>
      <x:c r="E72" s="84" t="str">
        <x:v>UN</x:v>
      </x:c>
      <x:c r="F72" s="93" t="n">
        <x:v>1983.52</x:v>
      </x:c>
      <x:c r="G72" s="84" t="n">
        <x:v>27</x:v>
      </x:c>
      <x:c r="H72" s="84" t="n">
        <x:v>9</x:v>
      </x:c>
      <x:c r="I72" s="84" t="n">
        <x:v>12</x:v>
      </x:c>
      <x:c r="J72" s="85" t="n">
        <x:v>0</x:v>
      </x:c>
    </x:row>
    <x:row r="73">
      <x:c r="A73" s="83" t="n">
        <x:v>72</x:v>
      </x:c>
      <x:c r="B73" s="84" t="str">
        <x:v>PC-0072</x:v>
      </x:c>
      <x:c r="C73" s="84" t="str">
        <x:v>Componente técnico 072</x:v>
      </x:c>
      <x:c r="D73" s="84" t="str">
        <x:v>Sensor</x:v>
      </x:c>
      <x:c r="E73" s="84" t="str">
        <x:v>UN</x:v>
      </x:c>
      <x:c r="F73" s="93" t="n">
        <x:v>450.83</x:v>
      </x:c>
      <x:c r="G73" s="84" t="n">
        <x:v>14</x:v>
      </x:c>
      <x:c r="H73" s="84" t="n">
        <x:v>11</x:v>
      </x:c>
      <x:c r="I73" s="84" t="n">
        <x:v>14</x:v>
      </x:c>
      <x:c r="J73" s="85" t="n">
        <x:v>0</x:v>
      </x:c>
    </x:row>
    <x:row r="74">
      <x:c r="A74" s="83" t="n">
        <x:v>73</x:v>
      </x:c>
      <x:c r="B74" s="84" t="str">
        <x:v>PC-0073</x:v>
      </x:c>
      <x:c r="C74" s="84" t="str">
        <x:v>Componente técnico 073</x:v>
      </x:c>
      <x:c r="D74" s="84" t="str">
        <x:v>Válvula</x:v>
      </x:c>
      <x:c r="E74" s="84" t="str">
        <x:v>UN</x:v>
      </x:c>
      <x:c r="F74" s="93" t="n">
        <x:v>1127.31</x:v>
      </x:c>
      <x:c r="G74" s="84" t="n">
        <x:v>34</x:v>
      </x:c>
      <x:c r="H74" s="84" t="n">
        <x:v>14</x:v>
      </x:c>
      <x:c r="I74" s="84" t="n">
        <x:v>17</x:v>
      </x:c>
      <x:c r="J74" s="85" t="n">
        <x:v>0</x:v>
      </x:c>
    </x:row>
    <x:row r="75">
      <x:c r="A75" s="83" t="n">
        <x:v>74</x:v>
      </x:c>
      <x:c r="B75" s="84" t="str">
        <x:v>PC-0074</x:v>
      </x:c>
      <x:c r="C75" s="84" t="str">
        <x:v>Componente técnico 074</x:v>
      </x:c>
      <x:c r="D75" s="84" t="str">
        <x:v>Sensor</x:v>
      </x:c>
      <x:c r="E75" s="84" t="str">
        <x:v>UN</x:v>
      </x:c>
      <x:c r="F75" s="93" t="n">
        <x:v>1656.35</x:v>
      </x:c>
      <x:c r="G75" s="84" t="n">
        <x:v>14</x:v>
      </x:c>
      <x:c r="H75" s="84" t="n">
        <x:v>13</x:v>
      </x:c>
      <x:c r="I75" s="84" t="n">
        <x:v>16</x:v>
      </x:c>
      <x:c r="J75" s="85" t="n">
        <x:v>1</x:v>
      </x:c>
    </x:row>
    <x:row r="76">
      <x:c r="A76" s="83" t="n">
        <x:v>75</x:v>
      </x:c>
      <x:c r="B76" s="84" t="str">
        <x:v>PC-0075</x:v>
      </x:c>
      <x:c r="C76" s="84" t="str">
        <x:v>Componente técnico 075</x:v>
      </x:c>
      <x:c r="D76" s="84" t="str">
        <x:v>Filtro</x:v>
      </x:c>
      <x:c r="E76" s="84" t="str">
        <x:v>UN</x:v>
      </x:c>
      <x:c r="F76" s="93" t="n">
        <x:v>456.17</x:v>
      </x:c>
      <x:c r="G76" s="84" t="n">
        <x:v>31</x:v>
      </x:c>
      <x:c r="H76" s="84" t="n">
        <x:v>2</x:v>
      </x:c>
      <x:c r="I76" s="84" t="n">
        <x:v>5</x:v>
      </x:c>
      <x:c r="J76" s="85" t="n">
        <x:v>1</x:v>
      </x:c>
    </x:row>
    <x:row r="77">
      <x:c r="A77" s="83" t="n">
        <x:v>76</x:v>
      </x:c>
      <x:c r="B77" s="84" t="str">
        <x:v>PC-0076</x:v>
      </x:c>
      <x:c r="C77" s="84" t="str">
        <x:v>Componente técnico 076</x:v>
      </x:c>
      <x:c r="D77" s="84" t="str">
        <x:v>Válvula</x:v>
      </x:c>
      <x:c r="E77" s="84" t="str">
        <x:v>UN</x:v>
      </x:c>
      <x:c r="F77" s="93" t="n">
        <x:v>719.81</x:v>
      </x:c>
      <x:c r="G77" s="84" t="n">
        <x:v>6</x:v>
      </x:c>
      <x:c r="H77" s="84" t="n">
        <x:v>7</x:v>
      </x:c>
      <x:c r="I77" s="84" t="n">
        <x:v>10</x:v>
      </x:c>
      <x:c r="J77" s="85" t="n">
        <x:v>1</x:v>
      </x:c>
    </x:row>
    <x:row r="78">
      <x:c r="A78" s="83" t="n">
        <x:v>77</x:v>
      </x:c>
      <x:c r="B78" s="84" t="str">
        <x:v>PC-0077</x:v>
      </x:c>
      <x:c r="C78" s="84" t="str">
        <x:v>Componente técnico 077</x:v>
      </x:c>
      <x:c r="D78" s="84" t="str">
        <x:v>Filtro</x:v>
      </x:c>
      <x:c r="E78" s="84" t="str">
        <x:v>UN</x:v>
      </x:c>
      <x:c r="F78" s="93" t="n">
        <x:v>2102.91</x:v>
      </x:c>
      <x:c r="G78" s="84" t="n">
        <x:v>10</x:v>
      </x:c>
      <x:c r="H78" s="84" t="n">
        <x:v>8</x:v>
      </x:c>
      <x:c r="I78" s="84" t="n">
        <x:v>11</x:v>
      </x:c>
      <x:c r="J78" s="85" t="n">
        <x:v>0</x:v>
      </x:c>
    </x:row>
    <x:row r="79">
      <x:c r="A79" s="83" t="n">
        <x:v>78</x:v>
      </x:c>
      <x:c r="B79" s="84" t="str">
        <x:v>PC-0078</x:v>
      </x:c>
      <x:c r="C79" s="84" t="str">
        <x:v>Componente técnico 078</x:v>
      </x:c>
      <x:c r="D79" s="84" t="str">
        <x:v>Válvula</x:v>
      </x:c>
      <x:c r="E79" s="84" t="str">
        <x:v>UN</x:v>
      </x:c>
      <x:c r="F79" s="93" t="n">
        <x:v>283.6</x:v>
      </x:c>
      <x:c r="G79" s="84" t="n">
        <x:v>10</x:v>
      </x:c>
      <x:c r="H79" s="84" t="n">
        <x:v>11</x:v>
      </x:c>
      <x:c r="I79" s="84" t="n">
        <x:v>14</x:v>
      </x:c>
      <x:c r="J79" s="85" t="n">
        <x:v>0</x:v>
      </x:c>
    </x:row>
    <x:row r="80">
      <x:c r="A80" s="83" t="n">
        <x:v>79</x:v>
      </x:c>
      <x:c r="B80" s="84" t="str">
        <x:v>PC-0079</x:v>
      </x:c>
      <x:c r="C80" s="84" t="str">
        <x:v>Componente técnico 079</x:v>
      </x:c>
      <x:c r="D80" s="84" t="str">
        <x:v>Válvula</x:v>
      </x:c>
      <x:c r="E80" s="84" t="str">
        <x:v>UN</x:v>
      </x:c>
      <x:c r="F80" s="93" t="n">
        <x:v>2066.72</x:v>
      </x:c>
      <x:c r="G80" s="84" t="n">
        <x:v>17</x:v>
      </x:c>
      <x:c r="H80" s="84" t="n">
        <x:v>12</x:v>
      </x:c>
      <x:c r="I80" s="84" t="n">
        <x:v>15</x:v>
      </x:c>
      <x:c r="J80" s="85" t="n">
        <x:v>0</x:v>
      </x:c>
    </x:row>
    <x:row r="81">
      <x:c r="A81" s="86" t="n">
        <x:v>80</x:v>
      </x:c>
      <x:c r="B81" s="87" t="str">
        <x:v>PC-0080</x:v>
      </x:c>
      <x:c r="C81" s="87" t="str">
        <x:v>Componente técnico 080</x:v>
      </x:c>
      <x:c r="D81" s="87" t="str">
        <x:v>Filtro</x:v>
      </x:c>
      <x:c r="E81" s="87" t="str">
        <x:v>UN</x:v>
      </x:c>
      <x:c r="F81" s="94" t="n">
        <x:v>1728.54</x:v>
      </x:c>
      <x:c r="G81" s="87" t="n">
        <x:v>20</x:v>
      </x:c>
      <x:c r="H81" s="87" t="n">
        <x:v>3</x:v>
      </x:c>
      <x:c r="I81" s="87" t="n">
        <x:v>6</x:v>
      </x:c>
      <x:c r="J81" s="88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4.78000020980835" hidden="0" customWidth="1"/>
    <x:col min="3" max="3" width="6.559999942779541" hidden="0" customWidth="1"/>
    <x:col min="4" max="4" width="12" hidden="0" customWidth="1"/>
    <x:col min="5" max="5" width="9.220000267028809" hidden="0" customWidth="1"/>
    <x:col min="6" max="6" width="9.329999923706055" hidden="0" customWidth="1"/>
  </x:cols>
  <x:sheetData>
    <x:row r="1">
      <x:c r="A1" s="80" t="str">
        <x:v>id_consumo</x:v>
      </x:c>
      <x:c r="B1" s="81" t="str">
        <x:v>id_os</x:v>
      </x:c>
      <x:c r="C1" s="81" t="str">
        <x:v>id_peca</x:v>
      </x:c>
      <x:c r="D1" s="81" t="str">
        <x:v>data_consumo</x:v>
      </x:c>
      <x:c r="E1" s="81" t="str">
        <x:v>quantidade</x:v>
      </x:c>
      <x:c r="F1" s="82" t="str">
        <x:v>custo_total</x:v>
      </x:c>
    </x:row>
    <x:row r="2">
      <x:c r="A2" s="83" t="n">
        <x:v>1</x:v>
      </x:c>
      <x:c r="B2" s="84" t="n">
        <x:v>1</x:v>
      </x:c>
      <x:c r="C2" s="84" t="n">
        <x:v>55</x:v>
      </x:c>
      <x:c r="D2" s="89" t="n">
        <x:v>45599</x:v>
      </x:c>
      <x:c r="E2" s="84" t="n">
        <x:v>4</x:v>
      </x:c>
      <x:c r="F2" s="91" t="n">
        <x:v>5999.4</x:v>
      </x:c>
    </x:row>
    <x:row r="3">
      <x:c r="A3" s="83" t="n">
        <x:v>2</x:v>
      </x:c>
      <x:c r="B3" s="84" t="n">
        <x:v>1</x:v>
      </x:c>
      <x:c r="C3" s="84" t="n">
        <x:v>44</x:v>
      </x:c>
      <x:c r="D3" s="89" t="n">
        <x:v>45599</x:v>
      </x:c>
      <x:c r="E3" s="84" t="n">
        <x:v>4</x:v>
      </x:c>
      <x:c r="F3" s="91" t="n">
        <x:v>5005.92</x:v>
      </x:c>
    </x:row>
    <x:row r="4">
      <x:c r="A4" s="83" t="n">
        <x:v>3</x:v>
      </x:c>
      <x:c r="B4" s="84" t="n">
        <x:v>1</x:v>
      </x:c>
      <x:c r="C4" s="84" t="n">
        <x:v>61</x:v>
      </x:c>
      <x:c r="D4" s="89" t="n">
        <x:v>45599</x:v>
      </x:c>
      <x:c r="E4" s="84" t="n">
        <x:v>4</x:v>
      </x:c>
      <x:c r="F4" s="91" t="n">
        <x:v>526.88</x:v>
      </x:c>
    </x:row>
    <x:row r="5">
      <x:c r="A5" s="83" t="n">
        <x:v>4</x:v>
      </x:c>
      <x:c r="B5" s="84" t="n">
        <x:v>2</x:v>
      </x:c>
      <x:c r="C5" s="84" t="n">
        <x:v>37</x:v>
      </x:c>
      <x:c r="D5" s="89" t="n">
        <x:v>44989</x:v>
      </x:c>
      <x:c r="E5" s="84" t="n">
        <x:v>1</x:v>
      </x:c>
      <x:c r="F5" s="91" t="n">
        <x:v>1033.71</x:v>
      </x:c>
    </x:row>
    <x:row r="6">
      <x:c r="A6" s="83" t="n">
        <x:v>5</x:v>
      </x:c>
      <x:c r="B6" s="84" t="n">
        <x:v>2</x:v>
      </x:c>
      <x:c r="C6" s="84" t="n">
        <x:v>59</x:v>
      </x:c>
      <x:c r="D6" s="89" t="n">
        <x:v>44989</x:v>
      </x:c>
      <x:c r="E6" s="84" t="n">
        <x:v>3</x:v>
      </x:c>
      <x:c r="F6" s="91" t="n">
        <x:v>4549.35</x:v>
      </x:c>
    </x:row>
    <x:row r="7">
      <x:c r="A7" s="83" t="n">
        <x:v>6</x:v>
      </x:c>
      <x:c r="B7" s="84" t="n">
        <x:v>2</x:v>
      </x:c>
      <x:c r="C7" s="84" t="n">
        <x:v>43</x:v>
      </x:c>
      <x:c r="D7" s="89" t="n">
        <x:v>44989</x:v>
      </x:c>
      <x:c r="E7" s="84" t="n">
        <x:v>2</x:v>
      </x:c>
      <x:c r="F7" s="91" t="n">
        <x:v>2930.84</x:v>
      </x:c>
    </x:row>
    <x:row r="8">
      <x:c r="A8" s="83" t="n">
        <x:v>7</x:v>
      </x:c>
      <x:c r="B8" s="84" t="n">
        <x:v>3</x:v>
      </x:c>
      <x:c r="C8" s="84" t="n">
        <x:v>74</x:v>
      </x:c>
      <x:c r="D8" s="89" t="n">
        <x:v>45664</x:v>
      </x:c>
      <x:c r="E8" s="84" t="n">
        <x:v>4</x:v>
      </x:c>
      <x:c r="F8" s="91" t="n">
        <x:v>6625.4</x:v>
      </x:c>
    </x:row>
    <x:row r="9">
      <x:c r="A9" s="83" t="n">
        <x:v>8</x:v>
      </x:c>
      <x:c r="B9" s="84" t="n">
        <x:v>3</x:v>
      </x:c>
      <x:c r="C9" s="84" t="n">
        <x:v>60</x:v>
      </x:c>
      <x:c r="D9" s="89" t="n">
        <x:v>45664</x:v>
      </x:c>
      <x:c r="E9" s="84" t="n">
        <x:v>2</x:v>
      </x:c>
      <x:c r="F9" s="91" t="n">
        <x:v>707.6</x:v>
      </x:c>
    </x:row>
    <x:row r="10">
      <x:c r="A10" s="83" t="n">
        <x:v>9</x:v>
      </x:c>
      <x:c r="B10" s="84" t="n">
        <x:v>3</x:v>
      </x:c>
      <x:c r="C10" s="84" t="n">
        <x:v>71</x:v>
      </x:c>
      <x:c r="D10" s="89" t="n">
        <x:v>45664</x:v>
      </x:c>
      <x:c r="E10" s="84" t="n">
        <x:v>2</x:v>
      </x:c>
      <x:c r="F10" s="91" t="n">
        <x:v>3967.04</x:v>
      </x:c>
    </x:row>
    <x:row r="11">
      <x:c r="A11" s="83" t="n">
        <x:v>10</x:v>
      </x:c>
      <x:c r="B11" s="84" t="n">
        <x:v>4</x:v>
      </x:c>
      <x:c r="C11" s="84" t="n">
        <x:v>48</x:v>
      </x:c>
      <x:c r="D11" s="89" t="n">
        <x:v>45522</x:v>
      </x:c>
      <x:c r="E11" s="84" t="n">
        <x:v>4</x:v>
      </x:c>
      <x:c r="F11" s="91" t="n">
        <x:v>4645.8</x:v>
      </x:c>
    </x:row>
    <x:row r="12">
      <x:c r="A12" s="83" t="n">
        <x:v>11</x:v>
      </x:c>
      <x:c r="B12" s="84" t="n">
        <x:v>4</x:v>
      </x:c>
      <x:c r="C12" s="84" t="n">
        <x:v>11</x:v>
      </x:c>
      <x:c r="D12" s="89" t="n">
        <x:v>45522</x:v>
      </x:c>
      <x:c r="E12" s="84" t="n">
        <x:v>1</x:v>
      </x:c>
      <x:c r="F12" s="91" t="n">
        <x:v>2211.26</x:v>
      </x:c>
    </x:row>
    <x:row r="13">
      <x:c r="A13" s="83" t="n">
        <x:v>12</x:v>
      </x:c>
      <x:c r="B13" s="84" t="n">
        <x:v>7</x:v>
      </x:c>
      <x:c r="C13" s="84" t="n">
        <x:v>28</x:v>
      </x:c>
      <x:c r="D13" s="89" t="n">
        <x:v>45515</x:v>
      </x:c>
      <x:c r="E13" s="84" t="n">
        <x:v>4</x:v>
      </x:c>
      <x:c r="F13" s="91" t="n">
        <x:v>3281.88</x:v>
      </x:c>
    </x:row>
    <x:row r="14">
      <x:c r="A14" s="83" t="n">
        <x:v>13</x:v>
      </x:c>
      <x:c r="B14" s="84" t="n">
        <x:v>9</x:v>
      </x:c>
      <x:c r="C14" s="84" t="n">
        <x:v>11</x:v>
      </x:c>
      <x:c r="D14" s="89" t="n">
        <x:v>45186</x:v>
      </x:c>
      <x:c r="E14" s="84" t="n">
        <x:v>4</x:v>
      </x:c>
      <x:c r="F14" s="91" t="n">
        <x:v>8845.04</x:v>
      </x:c>
    </x:row>
    <x:row r="15">
      <x:c r="A15" s="83" t="n">
        <x:v>14</x:v>
      </x:c>
      <x:c r="B15" s="84" t="n">
        <x:v>11</x:v>
      </x:c>
      <x:c r="C15" s="84" t="n">
        <x:v>16</x:v>
      </x:c>
      <x:c r="D15" s="89" t="n">
        <x:v>45433</x:v>
      </x:c>
      <x:c r="E15" s="84" t="n">
        <x:v>2</x:v>
      </x:c>
      <x:c r="F15" s="91" t="n">
        <x:v>1211.56</x:v>
      </x:c>
    </x:row>
    <x:row r="16">
      <x:c r="A16" s="83" t="n">
        <x:v>15</x:v>
      </x:c>
      <x:c r="B16" s="84" t="n">
        <x:v>12</x:v>
      </x:c>
      <x:c r="C16" s="84" t="n">
        <x:v>6</x:v>
      </x:c>
      <x:c r="D16" s="89" t="n">
        <x:v>45631</x:v>
      </x:c>
      <x:c r="E16" s="84" t="n">
        <x:v>2</x:v>
      </x:c>
      <x:c r="F16" s="91" t="n">
        <x:v>1394.74</x:v>
      </x:c>
    </x:row>
    <x:row r="17">
      <x:c r="A17" s="83" t="n">
        <x:v>16</x:v>
      </x:c>
      <x:c r="B17" s="84" t="n">
        <x:v>12</x:v>
      </x:c>
      <x:c r="C17" s="84" t="n">
        <x:v>30</x:v>
      </x:c>
      <x:c r="D17" s="89" t="n">
        <x:v>45631</x:v>
      </x:c>
      <x:c r="E17" s="84" t="n">
        <x:v>4</x:v>
      </x:c>
      <x:c r="F17" s="91" t="n">
        <x:v>5115.04</x:v>
      </x:c>
    </x:row>
    <x:row r="18">
      <x:c r="A18" s="83" t="n">
        <x:v>17</x:v>
      </x:c>
      <x:c r="B18" s="84" t="n">
        <x:v>12</x:v>
      </x:c>
      <x:c r="C18" s="84" t="n">
        <x:v>1</x:v>
      </x:c>
      <x:c r="D18" s="89" t="n">
        <x:v>45631</x:v>
      </x:c>
      <x:c r="E18" s="84" t="n">
        <x:v>2</x:v>
      </x:c>
      <x:c r="F18" s="91" t="n">
        <x:v>3479.2</x:v>
      </x:c>
    </x:row>
    <x:row r="19">
      <x:c r="A19" s="83" t="n">
        <x:v>18</x:v>
      </x:c>
      <x:c r="B19" s="84" t="n">
        <x:v>13</x:v>
      </x:c>
      <x:c r="C19" s="84" t="n">
        <x:v>79</x:v>
      </x:c>
      <x:c r="D19" s="89" t="n">
        <x:v>45279</x:v>
      </x:c>
      <x:c r="E19" s="84" t="n">
        <x:v>3</x:v>
      </x:c>
      <x:c r="F19" s="91" t="n">
        <x:v>6200.16</x:v>
      </x:c>
    </x:row>
    <x:row r="20">
      <x:c r="A20" s="83" t="n">
        <x:v>19</x:v>
      </x:c>
      <x:c r="B20" s="84" t="n">
        <x:v>13</x:v>
      </x:c>
      <x:c r="C20" s="84" t="n">
        <x:v>17</x:v>
      </x:c>
      <x:c r="D20" s="89" t="n">
        <x:v>45279</x:v>
      </x:c>
      <x:c r="E20" s="84" t="n">
        <x:v>3</x:v>
      </x:c>
      <x:c r="F20" s="91" t="n">
        <x:v>7069.26</x:v>
      </x:c>
    </x:row>
    <x:row r="21">
      <x:c r="A21" s="83" t="n">
        <x:v>20</x:v>
      </x:c>
      <x:c r="B21" s="84" t="n">
        <x:v>14</x:v>
      </x:c>
      <x:c r="C21" s="84" t="n">
        <x:v>49</x:v>
      </x:c>
      <x:c r="D21" s="89" t="n">
        <x:v>45990</x:v>
      </x:c>
      <x:c r="E21" s="84" t="n">
        <x:v>1</x:v>
      </x:c>
      <x:c r="F21" s="91" t="n">
        <x:v>184.16</x:v>
      </x:c>
    </x:row>
    <x:row r="22">
      <x:c r="A22" s="83" t="n">
        <x:v>21</x:v>
      </x:c>
      <x:c r="B22" s="84" t="n">
        <x:v>17</x:v>
      </x:c>
      <x:c r="C22" s="84" t="n">
        <x:v>8</x:v>
      </x:c>
      <x:c r="D22" s="89" t="n">
        <x:v>45309</x:v>
      </x:c>
      <x:c r="E22" s="84" t="n">
        <x:v>3</x:v>
      </x:c>
      <x:c r="F22" s="91" t="n">
        <x:v>4998.57</x:v>
      </x:c>
    </x:row>
    <x:row r="23">
      <x:c r="A23" s="83" t="n">
        <x:v>22</x:v>
      </x:c>
      <x:c r="B23" s="84" t="n">
        <x:v>17</x:v>
      </x:c>
      <x:c r="C23" s="84" t="n">
        <x:v>25</x:v>
      </x:c>
      <x:c r="D23" s="89" t="n">
        <x:v>45309</x:v>
      </x:c>
      <x:c r="E23" s="84" t="n">
        <x:v>4</x:v>
      </x:c>
      <x:c r="F23" s="91" t="n">
        <x:v>4317.8</x:v>
      </x:c>
    </x:row>
    <x:row r="24">
      <x:c r="A24" s="83" t="n">
        <x:v>23</x:v>
      </x:c>
      <x:c r="B24" s="84" t="n">
        <x:v>17</x:v>
      </x:c>
      <x:c r="C24" s="84" t="n">
        <x:v>46</x:v>
      </x:c>
      <x:c r="D24" s="89" t="n">
        <x:v>45309</x:v>
      </x:c>
      <x:c r="E24" s="84" t="n">
        <x:v>3</x:v>
      </x:c>
      <x:c r="F24" s="91" t="n">
        <x:v>4004.85</x:v>
      </x:c>
    </x:row>
    <x:row r="25">
      <x:c r="A25" s="83" t="n">
        <x:v>24</x:v>
      </x:c>
      <x:c r="B25" s="84" t="n">
        <x:v>18</x:v>
      </x:c>
      <x:c r="C25" s="84" t="n">
        <x:v>65</x:v>
      </x:c>
      <x:c r="D25" s="89" t="n">
        <x:v>45653</x:v>
      </x:c>
      <x:c r="E25" s="84" t="n">
        <x:v>2</x:v>
      </x:c>
      <x:c r="F25" s="91" t="n">
        <x:v>2509.68</x:v>
      </x:c>
    </x:row>
    <x:row r="26">
      <x:c r="A26" s="83" t="n">
        <x:v>25</x:v>
      </x:c>
      <x:c r="B26" s="84" t="n">
        <x:v>19</x:v>
      </x:c>
      <x:c r="C26" s="84" t="n">
        <x:v>56</x:v>
      </x:c>
      <x:c r="D26" s="89" t="n">
        <x:v>45902</x:v>
      </x:c>
      <x:c r="E26" s="84" t="n">
        <x:v>3</x:v>
      </x:c>
      <x:c r="F26" s="91" t="n">
        <x:v>4405.38</x:v>
      </x:c>
    </x:row>
    <x:row r="27">
      <x:c r="A27" s="83" t="n">
        <x:v>26</x:v>
      </x:c>
      <x:c r="B27" s="84" t="n">
        <x:v>19</x:v>
      </x:c>
      <x:c r="C27" s="84" t="n">
        <x:v>28</x:v>
      </x:c>
      <x:c r="D27" s="89" t="n">
        <x:v>45902</x:v>
      </x:c>
      <x:c r="E27" s="84" t="n">
        <x:v>1</x:v>
      </x:c>
      <x:c r="F27" s="91" t="n">
        <x:v>820.47</x:v>
      </x:c>
    </x:row>
    <x:row r="28">
      <x:c r="A28" s="83" t="n">
        <x:v>27</x:v>
      </x:c>
      <x:c r="B28" s="84" t="n">
        <x:v>19</x:v>
      </x:c>
      <x:c r="C28" s="84" t="n">
        <x:v>29</x:v>
      </x:c>
      <x:c r="D28" s="89" t="n">
        <x:v>45902</x:v>
      </x:c>
      <x:c r="E28" s="84" t="n">
        <x:v>1</x:v>
      </x:c>
      <x:c r="F28" s="91" t="n">
        <x:v>1552.47</x:v>
      </x:c>
    </x:row>
    <x:row r="29">
      <x:c r="A29" s="83" t="n">
        <x:v>28</x:v>
      </x:c>
      <x:c r="B29" s="84" t="n">
        <x:v>20</x:v>
      </x:c>
      <x:c r="C29" s="84" t="n">
        <x:v>10</x:v>
      </x:c>
      <x:c r="D29" s="89" t="n">
        <x:v>45211</x:v>
      </x:c>
      <x:c r="E29" s="84" t="n">
        <x:v>4</x:v>
      </x:c>
      <x:c r="F29" s="91" t="n">
        <x:v>3499.44</x:v>
      </x:c>
    </x:row>
    <x:row r="30">
      <x:c r="A30" s="83" t="n">
        <x:v>29</x:v>
      </x:c>
      <x:c r="B30" s="84" t="n">
        <x:v>20</x:v>
      </x:c>
      <x:c r="C30" s="84" t="n">
        <x:v>11</x:v>
      </x:c>
      <x:c r="D30" s="89" t="n">
        <x:v>45211</x:v>
      </x:c>
      <x:c r="E30" s="84" t="n">
        <x:v>4</x:v>
      </x:c>
      <x:c r="F30" s="91" t="n">
        <x:v>8845.04</x:v>
      </x:c>
    </x:row>
    <x:row r="31">
      <x:c r="A31" s="83" t="n">
        <x:v>30</x:v>
      </x:c>
      <x:c r="B31" s="84" t="n">
        <x:v>21</x:v>
      </x:c>
      <x:c r="C31" s="84" t="n">
        <x:v>13</x:v>
      </x:c>
      <x:c r="D31" s="89" t="n">
        <x:v>45155</x:v>
      </x:c>
      <x:c r="E31" s="84" t="n">
        <x:v>1</x:v>
      </x:c>
      <x:c r="F31" s="91" t="n">
        <x:v>802.05</x:v>
      </x:c>
    </x:row>
    <x:row r="32">
      <x:c r="A32" s="83" t="n">
        <x:v>31</x:v>
      </x:c>
      <x:c r="B32" s="84" t="n">
        <x:v>21</x:v>
      </x:c>
      <x:c r="C32" s="84" t="n">
        <x:v>19</x:v>
      </x:c>
      <x:c r="D32" s="89" t="n">
        <x:v>45155</x:v>
      </x:c>
      <x:c r="E32" s="84" t="n">
        <x:v>4</x:v>
      </x:c>
      <x:c r="F32" s="91" t="n">
        <x:v>4350.84</x:v>
      </x:c>
    </x:row>
    <x:row r="33">
      <x:c r="A33" s="83" t="n">
        <x:v>32</x:v>
      </x:c>
      <x:c r="B33" s="84" t="n">
        <x:v>21</x:v>
      </x:c>
      <x:c r="C33" s="84" t="n">
        <x:v>56</x:v>
      </x:c>
      <x:c r="D33" s="89" t="n">
        <x:v>45155</x:v>
      </x:c>
      <x:c r="E33" s="84" t="n">
        <x:v>1</x:v>
      </x:c>
      <x:c r="F33" s="91" t="n">
        <x:v>1468.46</x:v>
      </x:c>
    </x:row>
    <x:row r="34">
      <x:c r="A34" s="83" t="n">
        <x:v>33</x:v>
      </x:c>
      <x:c r="B34" s="84" t="n">
        <x:v>23</x:v>
      </x:c>
      <x:c r="C34" s="84" t="n">
        <x:v>29</x:v>
      </x:c>
      <x:c r="D34" s="89" t="n">
        <x:v>45408</x:v>
      </x:c>
      <x:c r="E34" s="84" t="n">
        <x:v>2</x:v>
      </x:c>
      <x:c r="F34" s="91" t="n">
        <x:v>3104.94</x:v>
      </x:c>
    </x:row>
    <x:row r="35">
      <x:c r="A35" s="83" t="n">
        <x:v>34</x:v>
      </x:c>
      <x:c r="B35" s="84" t="n">
        <x:v>23</x:v>
      </x:c>
      <x:c r="C35" s="84" t="n">
        <x:v>14</x:v>
      </x:c>
      <x:c r="D35" s="89" t="n">
        <x:v>45408</x:v>
      </x:c>
      <x:c r="E35" s="84" t="n">
        <x:v>2</x:v>
      </x:c>
      <x:c r="F35" s="91" t="n">
        <x:v>351.44</x:v>
      </x:c>
    </x:row>
    <x:row r="36">
      <x:c r="A36" s="83" t="n">
        <x:v>35</x:v>
      </x:c>
      <x:c r="B36" s="84" t="n">
        <x:v>23</x:v>
      </x:c>
      <x:c r="C36" s="84" t="n">
        <x:v>60</x:v>
      </x:c>
      <x:c r="D36" s="89" t="n">
        <x:v>45408</x:v>
      </x:c>
      <x:c r="E36" s="84" t="n">
        <x:v>4</x:v>
      </x:c>
      <x:c r="F36" s="91" t="n">
        <x:v>1415.2</x:v>
      </x:c>
    </x:row>
    <x:row r="37">
      <x:c r="A37" s="83" t="n">
        <x:v>36</x:v>
      </x:c>
      <x:c r="B37" s="84" t="n">
        <x:v>24</x:v>
      </x:c>
      <x:c r="C37" s="84" t="n">
        <x:v>62</x:v>
      </x:c>
      <x:c r="D37" s="89" t="n">
        <x:v>45850</x:v>
      </x:c>
      <x:c r="E37" s="84" t="n">
        <x:v>2</x:v>
      </x:c>
      <x:c r="F37" s="91" t="n">
        <x:v>3034.62</x:v>
      </x:c>
    </x:row>
    <x:row r="38">
      <x:c r="A38" s="83" t="n">
        <x:v>37</x:v>
      </x:c>
      <x:c r="B38" s="84" t="n">
        <x:v>24</x:v>
      </x:c>
      <x:c r="C38" s="84" t="n">
        <x:v>71</x:v>
      </x:c>
      <x:c r="D38" s="89" t="n">
        <x:v>45850</x:v>
      </x:c>
      <x:c r="E38" s="84" t="n">
        <x:v>2</x:v>
      </x:c>
      <x:c r="F38" s="91" t="n">
        <x:v>3967.04</x:v>
      </x:c>
    </x:row>
    <x:row r="39">
      <x:c r="A39" s="83" t="n">
        <x:v>38</x:v>
      </x:c>
      <x:c r="B39" s="84" t="n">
        <x:v>24</x:v>
      </x:c>
      <x:c r="C39" s="84" t="n">
        <x:v>4</x:v>
      </x:c>
      <x:c r="D39" s="89" t="n">
        <x:v>45850</x:v>
      </x:c>
      <x:c r="E39" s="84" t="n">
        <x:v>1</x:v>
      </x:c>
      <x:c r="F39" s="91" t="n">
        <x:v>1525.31</x:v>
      </x:c>
    </x:row>
    <x:row r="40">
      <x:c r="A40" s="83" t="n">
        <x:v>39</x:v>
      </x:c>
      <x:c r="B40" s="84" t="n">
        <x:v>26</x:v>
      </x:c>
      <x:c r="C40" s="84" t="n">
        <x:v>2</x:v>
      </x:c>
      <x:c r="D40" s="89" t="n">
        <x:v>45038</x:v>
      </x:c>
      <x:c r="E40" s="84" t="n">
        <x:v>2</x:v>
      </x:c>
      <x:c r="F40" s="91" t="n">
        <x:v>1988.62</x:v>
      </x:c>
    </x:row>
    <x:row r="41">
      <x:c r="A41" s="83" t="n">
        <x:v>40</x:v>
      </x:c>
      <x:c r="B41" s="84" t="n">
        <x:v>27</x:v>
      </x:c>
      <x:c r="C41" s="84" t="n">
        <x:v>64</x:v>
      </x:c>
      <x:c r="D41" s="89" t="n">
        <x:v>45857</x:v>
      </x:c>
      <x:c r="E41" s="84" t="n">
        <x:v>2</x:v>
      </x:c>
      <x:c r="F41" s="91" t="n">
        <x:v>2930.84</x:v>
      </x:c>
    </x:row>
    <x:row r="42">
      <x:c r="A42" s="83" t="n">
        <x:v>41</x:v>
      </x:c>
      <x:c r="B42" s="84" t="n">
        <x:v>27</x:v>
      </x:c>
      <x:c r="C42" s="84" t="n">
        <x:v>76</x:v>
      </x:c>
      <x:c r="D42" s="89" t="n">
        <x:v>45857</x:v>
      </x:c>
      <x:c r="E42" s="84" t="n">
        <x:v>2</x:v>
      </x:c>
      <x:c r="F42" s="91" t="n">
        <x:v>1439.62</x:v>
      </x:c>
    </x:row>
    <x:row r="43">
      <x:c r="A43" s="83" t="n">
        <x:v>42</x:v>
      </x:c>
      <x:c r="B43" s="84" t="n">
        <x:v>27</x:v>
      </x:c>
      <x:c r="C43" s="84" t="n">
        <x:v>60</x:v>
      </x:c>
      <x:c r="D43" s="89" t="n">
        <x:v>45857</x:v>
      </x:c>
      <x:c r="E43" s="84" t="n">
        <x:v>4</x:v>
      </x:c>
      <x:c r="F43" s="91" t="n">
        <x:v>1415.2</x:v>
      </x:c>
    </x:row>
    <x:row r="44">
      <x:c r="A44" s="83" t="n">
        <x:v>43</x:v>
      </x:c>
      <x:c r="B44" s="84" t="n">
        <x:v>30</x:v>
      </x:c>
      <x:c r="C44" s="84" t="n">
        <x:v>21</x:v>
      </x:c>
      <x:c r="D44" s="89" t="n">
        <x:v>45670</x:v>
      </x:c>
      <x:c r="E44" s="84" t="n">
        <x:v>4</x:v>
      </x:c>
      <x:c r="F44" s="91" t="n">
        <x:v>9155.48</x:v>
      </x:c>
    </x:row>
    <x:row r="45">
      <x:c r="A45" s="83" t="n">
        <x:v>44</x:v>
      </x:c>
      <x:c r="B45" s="84" t="n">
        <x:v>30</x:v>
      </x:c>
      <x:c r="C45" s="84" t="n">
        <x:v>23</x:v>
      </x:c>
      <x:c r="D45" s="89" t="n">
        <x:v>45670</x:v>
      </x:c>
      <x:c r="E45" s="84" t="n">
        <x:v>1</x:v>
      </x:c>
      <x:c r="F45" s="91" t="n">
        <x:v>1752.85</x:v>
      </x:c>
    </x:row>
    <x:row r="46">
      <x:c r="A46" s="83" t="n">
        <x:v>45</x:v>
      </x:c>
      <x:c r="B46" s="84" t="n">
        <x:v>31</x:v>
      </x:c>
      <x:c r="C46" s="84" t="n">
        <x:v>44</x:v>
      </x:c>
      <x:c r="D46" s="89" t="n">
        <x:v>45560</x:v>
      </x:c>
      <x:c r="E46" s="84" t="n">
        <x:v>3</x:v>
      </x:c>
      <x:c r="F46" s="91" t="n">
        <x:v>3754.44</x:v>
      </x:c>
    </x:row>
    <x:row r="47">
      <x:c r="A47" s="83" t="n">
        <x:v>46</x:v>
      </x:c>
      <x:c r="B47" s="84" t="n">
        <x:v>31</x:v>
      </x:c>
      <x:c r="C47" s="84" t="n">
        <x:v>61</x:v>
      </x:c>
      <x:c r="D47" s="89" t="n">
        <x:v>45560</x:v>
      </x:c>
      <x:c r="E47" s="84" t="n">
        <x:v>4</x:v>
      </x:c>
      <x:c r="F47" s="91" t="n">
        <x:v>526.88</x:v>
      </x:c>
    </x:row>
    <x:row r="48">
      <x:c r="A48" s="83" t="n">
        <x:v>47</x:v>
      </x:c>
      <x:c r="B48" s="84" t="n">
        <x:v>31</x:v>
      </x:c>
      <x:c r="C48" s="84" t="n">
        <x:v>60</x:v>
      </x:c>
      <x:c r="D48" s="89" t="n">
        <x:v>45560</x:v>
      </x:c>
      <x:c r="E48" s="84" t="n">
        <x:v>2</x:v>
      </x:c>
      <x:c r="F48" s="91" t="n">
        <x:v>707.6</x:v>
      </x:c>
    </x:row>
    <x:row r="49">
      <x:c r="A49" s="83" t="n">
        <x:v>48</x:v>
      </x:c>
      <x:c r="B49" s="84" t="n">
        <x:v>32</x:v>
      </x:c>
      <x:c r="C49" s="84" t="n">
        <x:v>55</x:v>
      </x:c>
      <x:c r="D49" s="89" t="n">
        <x:v>45787</x:v>
      </x:c>
      <x:c r="E49" s="84" t="n">
        <x:v>4</x:v>
      </x:c>
      <x:c r="F49" s="91" t="n">
        <x:v>5999.4</x:v>
      </x:c>
    </x:row>
    <x:row r="50">
      <x:c r="A50" s="83" t="n">
        <x:v>49</x:v>
      </x:c>
      <x:c r="B50" s="84" t="n">
        <x:v>35</x:v>
      </x:c>
      <x:c r="C50" s="84" t="n">
        <x:v>21</x:v>
      </x:c>
      <x:c r="D50" s="89" t="n">
        <x:v>45427</x:v>
      </x:c>
      <x:c r="E50" s="84" t="n">
        <x:v>1</x:v>
      </x:c>
      <x:c r="F50" s="91" t="n">
        <x:v>2288.87</x:v>
      </x:c>
    </x:row>
    <x:row r="51">
      <x:c r="A51" s="83" t="n">
        <x:v>50</x:v>
      </x:c>
      <x:c r="B51" s="84" t="n">
        <x:v>38</x:v>
      </x:c>
      <x:c r="C51" s="84" t="n">
        <x:v>31</x:v>
      </x:c>
      <x:c r="D51" s="89" t="n">
        <x:v>45292</x:v>
      </x:c>
      <x:c r="E51" s="84" t="n">
        <x:v>3</x:v>
      </x:c>
      <x:c r="F51" s="91" t="n">
        <x:v>6508.89</x:v>
      </x:c>
    </x:row>
    <x:row r="52">
      <x:c r="A52" s="83" t="n">
        <x:v>51</x:v>
      </x:c>
      <x:c r="B52" s="84" t="n">
        <x:v>41</x:v>
      </x:c>
      <x:c r="C52" s="84" t="n">
        <x:v>8</x:v>
      </x:c>
      <x:c r="D52" s="89" t="n">
        <x:v>45565</x:v>
      </x:c>
      <x:c r="E52" s="84" t="n">
        <x:v>3</x:v>
      </x:c>
      <x:c r="F52" s="91" t="n">
        <x:v>4998.57</x:v>
      </x:c>
    </x:row>
    <x:row r="53">
      <x:c r="A53" s="83" t="n">
        <x:v>52</x:v>
      </x:c>
      <x:c r="B53" s="84" t="n">
        <x:v>41</x:v>
      </x:c>
      <x:c r="C53" s="84" t="n">
        <x:v>77</x:v>
      </x:c>
      <x:c r="D53" s="89" t="n">
        <x:v>45565</x:v>
      </x:c>
      <x:c r="E53" s="84" t="n">
        <x:v>1</x:v>
      </x:c>
      <x:c r="F53" s="91" t="n">
        <x:v>2102.91</x:v>
      </x:c>
    </x:row>
    <x:row r="54">
      <x:c r="A54" s="83" t="n">
        <x:v>53</x:v>
      </x:c>
      <x:c r="B54" s="84" t="n">
        <x:v>41</x:v>
      </x:c>
      <x:c r="C54" s="84" t="n">
        <x:v>16</x:v>
      </x:c>
      <x:c r="D54" s="89" t="n">
        <x:v>45565</x:v>
      </x:c>
      <x:c r="E54" s="84" t="n">
        <x:v>1</x:v>
      </x:c>
      <x:c r="F54" s="91" t="n">
        <x:v>605.78</x:v>
      </x:c>
    </x:row>
    <x:row r="55">
      <x:c r="A55" s="83" t="n">
        <x:v>54</x:v>
      </x:c>
      <x:c r="B55" s="84" t="n">
        <x:v>42</x:v>
      </x:c>
      <x:c r="C55" s="84" t="n">
        <x:v>60</x:v>
      </x:c>
      <x:c r="D55" s="89" t="n">
        <x:v>44954</x:v>
      </x:c>
      <x:c r="E55" s="84" t="n">
        <x:v>3</x:v>
      </x:c>
      <x:c r="F55" s="91" t="n">
        <x:v>1061.4</x:v>
      </x:c>
    </x:row>
    <x:row r="56">
      <x:c r="A56" s="83" t="n">
        <x:v>55</x:v>
      </x:c>
      <x:c r="B56" s="84" t="n">
        <x:v>43</x:v>
      </x:c>
      <x:c r="C56" s="84" t="n">
        <x:v>53</x:v>
      </x:c>
      <x:c r="D56" s="89" t="n">
        <x:v>45058</x:v>
      </x:c>
      <x:c r="E56" s="84" t="n">
        <x:v>3</x:v>
      </x:c>
      <x:c r="F56" s="91" t="n">
        <x:v>4772.76</x:v>
      </x:c>
    </x:row>
    <x:row r="57">
      <x:c r="A57" s="83" t="n">
        <x:v>56</x:v>
      </x:c>
      <x:c r="B57" s="84" t="n">
        <x:v>43</x:v>
      </x:c>
      <x:c r="C57" s="84" t="n">
        <x:v>45</x:v>
      </x:c>
      <x:c r="D57" s="89" t="n">
        <x:v>45058</x:v>
      </x:c>
      <x:c r="E57" s="84" t="n">
        <x:v>4</x:v>
      </x:c>
      <x:c r="F57" s="91" t="n">
        <x:v>5565.68</x:v>
      </x:c>
    </x:row>
    <x:row r="58">
      <x:c r="A58" s="83" t="n">
        <x:v>57</x:v>
      </x:c>
      <x:c r="B58" s="84" t="n">
        <x:v>44</x:v>
      </x:c>
      <x:c r="C58" s="84" t="n">
        <x:v>74</x:v>
      </x:c>
      <x:c r="D58" s="89" t="n">
        <x:v>45570</x:v>
      </x:c>
      <x:c r="E58" s="84" t="n">
        <x:v>3</x:v>
      </x:c>
      <x:c r="F58" s="91" t="n">
        <x:v>4969.05</x:v>
      </x:c>
    </x:row>
    <x:row r="59">
      <x:c r="A59" s="83" t="n">
        <x:v>58</x:v>
      </x:c>
      <x:c r="B59" s="84" t="n">
        <x:v>44</x:v>
      </x:c>
      <x:c r="C59" s="84" t="n">
        <x:v>39</x:v>
      </x:c>
      <x:c r="D59" s="89" t="n">
        <x:v>45570</x:v>
      </x:c>
      <x:c r="E59" s="84" t="n">
        <x:v>3</x:v>
      </x:c>
      <x:c r="F59" s="91" t="n">
        <x:v>2032.8</x:v>
      </x:c>
    </x:row>
    <x:row r="60">
      <x:c r="A60" s="83" t="n">
        <x:v>59</x:v>
      </x:c>
      <x:c r="B60" s="84" t="n">
        <x:v>45</x:v>
      </x:c>
      <x:c r="C60" s="84" t="n">
        <x:v>32</x:v>
      </x:c>
      <x:c r="D60" s="89" t="n">
        <x:v>45743</x:v>
      </x:c>
      <x:c r="E60" s="84" t="n">
        <x:v>1</x:v>
      </x:c>
      <x:c r="F60" s="91" t="n">
        <x:v>1813.25</x:v>
      </x:c>
    </x:row>
    <x:row r="61">
      <x:c r="A61" s="83" t="n">
        <x:v>60</x:v>
      </x:c>
      <x:c r="B61" s="84" t="n">
        <x:v>45</x:v>
      </x:c>
      <x:c r="C61" s="84" t="n">
        <x:v>1</x:v>
      </x:c>
      <x:c r="D61" s="89" t="n">
        <x:v>45743</x:v>
      </x:c>
      <x:c r="E61" s="84" t="n">
        <x:v>4</x:v>
      </x:c>
      <x:c r="F61" s="91" t="n">
        <x:v>6958.4</x:v>
      </x:c>
    </x:row>
    <x:row r="62">
      <x:c r="A62" s="83" t="n">
        <x:v>61</x:v>
      </x:c>
      <x:c r="B62" s="84" t="n">
        <x:v>45</x:v>
      </x:c>
      <x:c r="C62" s="84" t="n">
        <x:v>75</x:v>
      </x:c>
      <x:c r="D62" s="89" t="n">
        <x:v>45743</x:v>
      </x:c>
      <x:c r="E62" s="84" t="n">
        <x:v>1</x:v>
      </x:c>
      <x:c r="F62" s="91" t="n">
        <x:v>456.17</x:v>
      </x:c>
    </x:row>
    <x:row r="63">
      <x:c r="A63" s="83" t="n">
        <x:v>62</x:v>
      </x:c>
      <x:c r="B63" s="84" t="n">
        <x:v>47</x:v>
      </x:c>
      <x:c r="C63" s="84" t="n">
        <x:v>17</x:v>
      </x:c>
      <x:c r="D63" s="89" t="n">
        <x:v>45002</x:v>
      </x:c>
      <x:c r="E63" s="84" t="n">
        <x:v>3</x:v>
      </x:c>
      <x:c r="F63" s="91" t="n">
        <x:v>7069.26</x:v>
      </x:c>
    </x:row>
    <x:row r="64">
      <x:c r="A64" s="83" t="n">
        <x:v>63</x:v>
      </x:c>
      <x:c r="B64" s="84" t="n">
        <x:v>47</x:v>
      </x:c>
      <x:c r="C64" s="84" t="n">
        <x:v>45</x:v>
      </x:c>
      <x:c r="D64" s="89" t="n">
        <x:v>45002</x:v>
      </x:c>
      <x:c r="E64" s="84" t="n">
        <x:v>4</x:v>
      </x:c>
      <x:c r="F64" s="91" t="n">
        <x:v>5565.68</x:v>
      </x:c>
    </x:row>
    <x:row r="65">
      <x:c r="A65" s="83" t="n">
        <x:v>64</x:v>
      </x:c>
      <x:c r="B65" s="84" t="n">
        <x:v>47</x:v>
      </x:c>
      <x:c r="C65" s="84" t="n">
        <x:v>3</x:v>
      </x:c>
      <x:c r="D65" s="89" t="n">
        <x:v>45002</x:v>
      </x:c>
      <x:c r="E65" s="84" t="n">
        <x:v>3</x:v>
      </x:c>
      <x:c r="F65" s="91" t="n">
        <x:v>3453.42</x:v>
      </x:c>
    </x:row>
    <x:row r="66">
      <x:c r="A66" s="83" t="n">
        <x:v>65</x:v>
      </x:c>
      <x:c r="B66" s="84" t="n">
        <x:v>48</x:v>
      </x:c>
      <x:c r="C66" s="84" t="n">
        <x:v>7</x:v>
      </x:c>
      <x:c r="D66" s="89" t="n">
        <x:v>45979</x:v>
      </x:c>
      <x:c r="E66" s="84" t="n">
        <x:v>3</x:v>
      </x:c>
      <x:c r="F66" s="91" t="n">
        <x:v>1100.4</x:v>
      </x:c>
    </x:row>
    <x:row r="67">
      <x:c r="A67" s="83" t="n">
        <x:v>66</x:v>
      </x:c>
      <x:c r="B67" s="84" t="n">
        <x:v>51</x:v>
      </x:c>
      <x:c r="C67" s="84" t="n">
        <x:v>76</x:v>
      </x:c>
      <x:c r="D67" s="89" t="n">
        <x:v>45828</x:v>
      </x:c>
      <x:c r="E67" s="84" t="n">
        <x:v>2</x:v>
      </x:c>
      <x:c r="F67" s="91" t="n">
        <x:v>1439.62</x:v>
      </x:c>
    </x:row>
    <x:row r="68">
      <x:c r="A68" s="83" t="n">
        <x:v>67</x:v>
      </x:c>
      <x:c r="B68" s="84" t="n">
        <x:v>51</x:v>
      </x:c>
      <x:c r="C68" s="84" t="n">
        <x:v>72</x:v>
      </x:c>
      <x:c r="D68" s="89" t="n">
        <x:v>45828</x:v>
      </x:c>
      <x:c r="E68" s="84" t="n">
        <x:v>3</x:v>
      </x:c>
      <x:c r="F68" s="91" t="n">
        <x:v>1352.49</x:v>
      </x:c>
    </x:row>
    <x:row r="69">
      <x:c r="A69" s="83" t="n">
        <x:v>68</x:v>
      </x:c>
      <x:c r="B69" s="84" t="n">
        <x:v>53</x:v>
      </x:c>
      <x:c r="C69" s="84" t="n">
        <x:v>20</x:v>
      </x:c>
      <x:c r="D69" s="89" t="n">
        <x:v>45862</x:v>
      </x:c>
      <x:c r="E69" s="84" t="n">
        <x:v>2</x:v>
      </x:c>
      <x:c r="F69" s="91" t="n">
        <x:v>1082.4</x:v>
      </x:c>
    </x:row>
    <x:row r="70">
      <x:c r="A70" s="83" t="n">
        <x:v>69</x:v>
      </x:c>
      <x:c r="B70" s="84" t="n">
        <x:v>53</x:v>
      </x:c>
      <x:c r="C70" s="84" t="n">
        <x:v>75</x:v>
      </x:c>
      <x:c r="D70" s="89" t="n">
        <x:v>45862</x:v>
      </x:c>
      <x:c r="E70" s="84" t="n">
        <x:v>2</x:v>
      </x:c>
      <x:c r="F70" s="91" t="n">
        <x:v>912.34</x:v>
      </x:c>
    </x:row>
    <x:row r="71">
      <x:c r="A71" s="83" t="n">
        <x:v>70</x:v>
      </x:c>
      <x:c r="B71" s="84" t="n">
        <x:v>53</x:v>
      </x:c>
      <x:c r="C71" s="84" t="n">
        <x:v>21</x:v>
      </x:c>
      <x:c r="D71" s="89" t="n">
        <x:v>45862</x:v>
      </x:c>
      <x:c r="E71" s="84" t="n">
        <x:v>4</x:v>
      </x:c>
      <x:c r="F71" s="91" t="n">
        <x:v>9155.48</x:v>
      </x:c>
    </x:row>
    <x:row r="72">
      <x:c r="A72" s="83" t="n">
        <x:v>71</x:v>
      </x:c>
      <x:c r="B72" s="84" t="n">
        <x:v>55</x:v>
      </x:c>
      <x:c r="C72" s="84" t="n">
        <x:v>9</x:v>
      </x:c>
      <x:c r="D72" s="89" t="n">
        <x:v>45368</x:v>
      </x:c>
      <x:c r="E72" s="84" t="n">
        <x:v>4</x:v>
      </x:c>
      <x:c r="F72" s="91" t="n">
        <x:v>6300.24</x:v>
      </x:c>
    </x:row>
    <x:row r="73">
      <x:c r="A73" s="83" t="n">
        <x:v>72</x:v>
      </x:c>
      <x:c r="B73" s="84" t="n">
        <x:v>55</x:v>
      </x:c>
      <x:c r="C73" s="84" t="n">
        <x:v>44</x:v>
      </x:c>
      <x:c r="D73" s="89" t="n">
        <x:v>45368</x:v>
      </x:c>
      <x:c r="E73" s="84" t="n">
        <x:v>1</x:v>
      </x:c>
      <x:c r="F73" s="91" t="n">
        <x:v>1251.48</x:v>
      </x:c>
    </x:row>
    <x:row r="74">
      <x:c r="A74" s="83" t="n">
        <x:v>73</x:v>
      </x:c>
      <x:c r="B74" s="84" t="n">
        <x:v>56</x:v>
      </x:c>
      <x:c r="C74" s="84" t="n">
        <x:v>60</x:v>
      </x:c>
      <x:c r="D74" s="89" t="n">
        <x:v>44957</x:v>
      </x:c>
      <x:c r="E74" s="84" t="n">
        <x:v>3</x:v>
      </x:c>
      <x:c r="F74" s="91" t="n">
        <x:v>1061.4</x:v>
      </x:c>
    </x:row>
    <x:row r="75">
      <x:c r="A75" s="83" t="n">
        <x:v>74</x:v>
      </x:c>
      <x:c r="B75" s="84" t="n">
        <x:v>56</x:v>
      </x:c>
      <x:c r="C75" s="84" t="n">
        <x:v>43</x:v>
      </x:c>
      <x:c r="D75" s="89" t="n">
        <x:v>44957</x:v>
      </x:c>
      <x:c r="E75" s="84" t="n">
        <x:v>3</x:v>
      </x:c>
      <x:c r="F75" s="91" t="n">
        <x:v>4396.26</x:v>
      </x:c>
    </x:row>
    <x:row r="76">
      <x:c r="A76" s="83" t="n">
        <x:v>75</x:v>
      </x:c>
      <x:c r="B76" s="84" t="n">
        <x:v>57</x:v>
      </x:c>
      <x:c r="C76" s="84" t="n">
        <x:v>21</x:v>
      </x:c>
      <x:c r="D76" s="89" t="n">
        <x:v>44979</x:v>
      </x:c>
      <x:c r="E76" s="84" t="n">
        <x:v>2</x:v>
      </x:c>
      <x:c r="F76" s="91" t="n">
        <x:v>4577.74</x:v>
      </x:c>
    </x:row>
    <x:row r="77">
      <x:c r="A77" s="83" t="n">
        <x:v>76</x:v>
      </x:c>
      <x:c r="B77" s="84" t="n">
        <x:v>57</x:v>
      </x:c>
      <x:c r="C77" s="84" t="n">
        <x:v>68</x:v>
      </x:c>
      <x:c r="D77" s="89" t="n">
        <x:v>44979</x:v>
      </x:c>
      <x:c r="E77" s="84" t="n">
        <x:v>3</x:v>
      </x:c>
      <x:c r="F77" s="91" t="n">
        <x:v>4582.83</x:v>
      </x:c>
    </x:row>
    <x:row r="78">
      <x:c r="A78" s="83" t="n">
        <x:v>77</x:v>
      </x:c>
      <x:c r="B78" s="84" t="n">
        <x:v>57</x:v>
      </x:c>
      <x:c r="C78" s="84" t="n">
        <x:v>40</x:v>
      </x:c>
      <x:c r="D78" s="89" t="n">
        <x:v>44979</x:v>
      </x:c>
      <x:c r="E78" s="84" t="n">
        <x:v>1</x:v>
      </x:c>
      <x:c r="F78" s="91" t="n">
        <x:v>2035.04</x:v>
      </x:c>
    </x:row>
    <x:row r="79">
      <x:c r="A79" s="83" t="n">
        <x:v>78</x:v>
      </x:c>
      <x:c r="B79" s="84" t="n">
        <x:v>60</x:v>
      </x:c>
      <x:c r="C79" s="84" t="n">
        <x:v>27</x:v>
      </x:c>
      <x:c r="D79" s="89" t="n">
        <x:v>45333</x:v>
      </x:c>
      <x:c r="E79" s="84" t="n">
        <x:v>4</x:v>
      </x:c>
      <x:c r="F79" s="91" t="n">
        <x:v>642.76</x:v>
      </x:c>
    </x:row>
    <x:row r="80">
      <x:c r="A80" s="83" t="n">
        <x:v>79</x:v>
      </x:c>
      <x:c r="B80" s="84" t="n">
        <x:v>60</x:v>
      </x:c>
      <x:c r="C80" s="84" t="n">
        <x:v>53</x:v>
      </x:c>
      <x:c r="D80" s="89" t="n">
        <x:v>45333</x:v>
      </x:c>
      <x:c r="E80" s="84" t="n">
        <x:v>4</x:v>
      </x:c>
      <x:c r="F80" s="91" t="n">
        <x:v>6363.68</x:v>
      </x:c>
    </x:row>
    <x:row r="81">
      <x:c r="A81" s="83" t="n">
        <x:v>80</x:v>
      </x:c>
      <x:c r="B81" s="84" t="n">
        <x:v>61</x:v>
      </x:c>
      <x:c r="C81" s="84" t="n">
        <x:v>17</x:v>
      </x:c>
      <x:c r="D81" s="89" t="n">
        <x:v>45149</x:v>
      </x:c>
      <x:c r="E81" s="84" t="n">
        <x:v>2</x:v>
      </x:c>
      <x:c r="F81" s="91" t="n">
        <x:v>4712.84</x:v>
      </x:c>
    </x:row>
    <x:row r="82">
      <x:c r="A82" s="83" t="n">
        <x:v>81</x:v>
      </x:c>
      <x:c r="B82" s="84" t="n">
        <x:v>61</x:v>
      </x:c>
      <x:c r="C82" s="84" t="n">
        <x:v>57</x:v>
      </x:c>
      <x:c r="D82" s="89" t="n">
        <x:v>45149</x:v>
      </x:c>
      <x:c r="E82" s="84" t="n">
        <x:v>4</x:v>
      </x:c>
      <x:c r="F82" s="91" t="n">
        <x:v>4716.24</x:v>
      </x:c>
    </x:row>
    <x:row r="83">
      <x:c r="A83" s="83" t="n">
        <x:v>82</x:v>
      </x:c>
      <x:c r="B83" s="84" t="n">
        <x:v>62</x:v>
      </x:c>
      <x:c r="C83" s="84" t="n">
        <x:v>35</x:v>
      </x:c>
      <x:c r="D83" s="89" t="n">
        <x:v>45261</x:v>
      </x:c>
      <x:c r="E83" s="84" t="n">
        <x:v>4</x:v>
      </x:c>
      <x:c r="F83" s="91" t="n">
        <x:v>5883.12</x:v>
      </x:c>
    </x:row>
    <x:row r="84">
      <x:c r="A84" s="83" t="n">
        <x:v>83</x:v>
      </x:c>
      <x:c r="B84" s="84" t="n">
        <x:v>62</x:v>
      </x:c>
      <x:c r="C84" s="84" t="n">
        <x:v>73</x:v>
      </x:c>
      <x:c r="D84" s="89" t="n">
        <x:v>45261</x:v>
      </x:c>
      <x:c r="E84" s="84" t="n">
        <x:v>1</x:v>
      </x:c>
      <x:c r="F84" s="91" t="n">
        <x:v>1127.31</x:v>
      </x:c>
    </x:row>
    <x:row r="85">
      <x:c r="A85" s="83" t="n">
        <x:v>84</x:v>
      </x:c>
      <x:c r="B85" s="84" t="n">
        <x:v>63</x:v>
      </x:c>
      <x:c r="C85" s="84" t="n">
        <x:v>55</x:v>
      </x:c>
      <x:c r="D85" s="89" t="n">
        <x:v>45712</x:v>
      </x:c>
      <x:c r="E85" s="84" t="n">
        <x:v>2</x:v>
      </x:c>
      <x:c r="F85" s="91" t="n">
        <x:v>2999.7</x:v>
      </x:c>
    </x:row>
    <x:row r="86">
      <x:c r="A86" s="83" t="n">
        <x:v>85</x:v>
      </x:c>
      <x:c r="B86" s="84" t="n">
        <x:v>64</x:v>
      </x:c>
      <x:c r="C86" s="84" t="n">
        <x:v>24</x:v>
      </x:c>
      <x:c r="D86" s="89" t="n">
        <x:v>45851</x:v>
      </x:c>
      <x:c r="E86" s="84" t="n">
        <x:v>3</x:v>
      </x:c>
      <x:c r="F86" s="91" t="n">
        <x:v>2222.73</x:v>
      </x:c>
    </x:row>
    <x:row r="87">
      <x:c r="A87" s="83" t="n">
        <x:v>86</x:v>
      </x:c>
      <x:c r="B87" s="84" t="n">
        <x:v>69</x:v>
      </x:c>
      <x:c r="C87" s="84" t="n">
        <x:v>46</x:v>
      </x:c>
      <x:c r="D87" s="89" t="n">
        <x:v>45761</x:v>
      </x:c>
      <x:c r="E87" s="84" t="n">
        <x:v>1</x:v>
      </x:c>
      <x:c r="F87" s="91" t="n">
        <x:v>1334.95</x:v>
      </x:c>
    </x:row>
    <x:row r="88">
      <x:c r="A88" s="83" t="n">
        <x:v>87</x:v>
      </x:c>
      <x:c r="B88" s="84" t="n">
        <x:v>69</x:v>
      </x:c>
      <x:c r="C88" s="84" t="n">
        <x:v>23</x:v>
      </x:c>
      <x:c r="D88" s="89" t="n">
        <x:v>45761</x:v>
      </x:c>
      <x:c r="E88" s="84" t="n">
        <x:v>2</x:v>
      </x:c>
      <x:c r="F88" s="91" t="n">
        <x:v>3505.7</x:v>
      </x:c>
    </x:row>
    <x:row r="89">
      <x:c r="A89" s="83" t="n">
        <x:v>88</x:v>
      </x:c>
      <x:c r="B89" s="84" t="n">
        <x:v>69</x:v>
      </x:c>
      <x:c r="C89" s="84" t="n">
        <x:v>67</x:v>
      </x:c>
      <x:c r="D89" s="89" t="n">
        <x:v>45761</x:v>
      </x:c>
      <x:c r="E89" s="84" t="n">
        <x:v>1</x:v>
      </x:c>
      <x:c r="F89" s="91" t="n">
        <x:v>1279.53</x:v>
      </x:c>
    </x:row>
    <x:row r="90">
      <x:c r="A90" s="83" t="n">
        <x:v>89</x:v>
      </x:c>
      <x:c r="B90" s="84" t="n">
        <x:v>70</x:v>
      </x:c>
      <x:c r="C90" s="84" t="n">
        <x:v>39</x:v>
      </x:c>
      <x:c r="D90" s="89" t="n">
        <x:v>45339</x:v>
      </x:c>
      <x:c r="E90" s="84" t="n">
        <x:v>2</x:v>
      </x:c>
      <x:c r="F90" s="91" t="n">
        <x:v>1355.2</x:v>
      </x:c>
    </x:row>
    <x:row r="91">
      <x:c r="A91" s="83" t="n">
        <x:v>90</x:v>
      </x:c>
      <x:c r="B91" s="84" t="n">
        <x:v>70</x:v>
      </x:c>
      <x:c r="C91" s="84" t="n">
        <x:v>64</x:v>
      </x:c>
      <x:c r="D91" s="89" t="n">
        <x:v>45339</x:v>
      </x:c>
      <x:c r="E91" s="84" t="n">
        <x:v>1</x:v>
      </x:c>
      <x:c r="F91" s="91" t="n">
        <x:v>1465.42</x:v>
      </x:c>
    </x:row>
    <x:row r="92">
      <x:c r="A92" s="83" t="n">
        <x:v>91</x:v>
      </x:c>
      <x:c r="B92" s="84" t="n">
        <x:v>71</x:v>
      </x:c>
      <x:c r="C92" s="84" t="n">
        <x:v>41</x:v>
      </x:c>
      <x:c r="D92" s="89" t="n">
        <x:v>45614</x:v>
      </x:c>
      <x:c r="E92" s="84" t="n">
        <x:v>2</x:v>
      </x:c>
      <x:c r="F92" s="91" t="n">
        <x:v>2364.04</x:v>
      </x:c>
    </x:row>
    <x:row r="93">
      <x:c r="A93" s="83" t="n">
        <x:v>92</x:v>
      </x:c>
      <x:c r="B93" s="84" t="n">
        <x:v>73</x:v>
      </x:c>
      <x:c r="C93" s="84" t="n">
        <x:v>55</x:v>
      </x:c>
      <x:c r="D93" s="89" t="n">
        <x:v>45431</x:v>
      </x:c>
      <x:c r="E93" s="84" t="n">
        <x:v>3</x:v>
      </x:c>
      <x:c r="F93" s="91" t="n">
        <x:v>4499.55</x:v>
      </x:c>
    </x:row>
    <x:row r="94">
      <x:c r="A94" s="83" t="n">
        <x:v>93</x:v>
      </x:c>
      <x:c r="B94" s="84" t="n">
        <x:v>73</x:v>
      </x:c>
      <x:c r="C94" s="84" t="n">
        <x:v>76</x:v>
      </x:c>
      <x:c r="D94" s="89" t="n">
        <x:v>45431</x:v>
      </x:c>
      <x:c r="E94" s="84" t="n">
        <x:v>4</x:v>
      </x:c>
      <x:c r="F94" s="91" t="n">
        <x:v>2879.24</x:v>
      </x:c>
    </x:row>
    <x:row r="95">
      <x:c r="A95" s="83" t="n">
        <x:v>94</x:v>
      </x:c>
      <x:c r="B95" s="84" t="n">
        <x:v>74</x:v>
      </x:c>
      <x:c r="C95" s="84" t="n">
        <x:v>17</x:v>
      </x:c>
      <x:c r="D95" s="89" t="n">
        <x:v>45412</x:v>
      </x:c>
      <x:c r="E95" s="84" t="n">
        <x:v>3</x:v>
      </x:c>
      <x:c r="F95" s="91" t="n">
        <x:v>7069.26</x:v>
      </x:c>
    </x:row>
    <x:row r="96">
      <x:c r="A96" s="83" t="n">
        <x:v>95</x:v>
      </x:c>
      <x:c r="B96" s="84" t="n">
        <x:v>74</x:v>
      </x:c>
      <x:c r="C96" s="84" t="n">
        <x:v>27</x:v>
      </x:c>
      <x:c r="D96" s="89" t="n">
        <x:v>45412</x:v>
      </x:c>
      <x:c r="E96" s="84" t="n">
        <x:v>2</x:v>
      </x:c>
      <x:c r="F96" s="91" t="n">
        <x:v>321.38</x:v>
      </x:c>
    </x:row>
    <x:row r="97">
      <x:c r="A97" s="83" t="n">
        <x:v>96</x:v>
      </x:c>
      <x:c r="B97" s="84" t="n">
        <x:v>75</x:v>
      </x:c>
      <x:c r="C97" s="84" t="n">
        <x:v>8</x:v>
      </x:c>
      <x:c r="D97" s="89" t="n">
        <x:v>45092</x:v>
      </x:c>
      <x:c r="E97" s="84" t="n">
        <x:v>1</x:v>
      </x:c>
      <x:c r="F97" s="91" t="n">
        <x:v>1666.19</x:v>
      </x:c>
    </x:row>
    <x:row r="98">
      <x:c r="A98" s="83" t="n">
        <x:v>97</x:v>
      </x:c>
      <x:c r="B98" s="84" t="n">
        <x:v>75</x:v>
      </x:c>
      <x:c r="C98" s="84" t="n">
        <x:v>79</x:v>
      </x:c>
      <x:c r="D98" s="89" t="n">
        <x:v>45092</x:v>
      </x:c>
      <x:c r="E98" s="84" t="n">
        <x:v>4</x:v>
      </x:c>
      <x:c r="F98" s="91" t="n">
        <x:v>8266.88</x:v>
      </x:c>
    </x:row>
    <x:row r="99">
      <x:c r="A99" s="83" t="n">
        <x:v>98</x:v>
      </x:c>
      <x:c r="B99" s="84" t="n">
        <x:v>75</x:v>
      </x:c>
      <x:c r="C99" s="84" t="n">
        <x:v>57</x:v>
      </x:c>
      <x:c r="D99" s="89" t="n">
        <x:v>45092</x:v>
      </x:c>
      <x:c r="E99" s="84" t="n">
        <x:v>3</x:v>
      </x:c>
      <x:c r="F99" s="91" t="n">
        <x:v>3537.18</x:v>
      </x:c>
    </x:row>
    <x:row r="100">
      <x:c r="A100" s="83" t="n">
        <x:v>99</x:v>
      </x:c>
      <x:c r="B100" s="84" t="n">
        <x:v>76</x:v>
      </x:c>
      <x:c r="C100" s="84" t="n">
        <x:v>9</x:v>
      </x:c>
      <x:c r="D100" s="89" t="n">
        <x:v>45295</x:v>
      </x:c>
      <x:c r="E100" s="84" t="n">
        <x:v>3</x:v>
      </x:c>
      <x:c r="F100" s="91" t="n">
        <x:v>4725.18</x:v>
      </x:c>
    </x:row>
    <x:row r="101">
      <x:c r="A101" s="83" t="n">
        <x:v>100</x:v>
      </x:c>
      <x:c r="B101" s="84" t="n">
        <x:v>78</x:v>
      </x:c>
      <x:c r="C101" s="84" t="n">
        <x:v>22</x:v>
      </x:c>
      <x:c r="D101" s="89" t="n">
        <x:v>45206</x:v>
      </x:c>
      <x:c r="E101" s="84" t="n">
        <x:v>3</x:v>
      </x:c>
      <x:c r="F101" s="91" t="n">
        <x:v>1565.67</x:v>
      </x:c>
    </x:row>
    <x:row r="102">
      <x:c r="A102" s="83" t="n">
        <x:v>101</x:v>
      </x:c>
      <x:c r="B102" s="84" t="n">
        <x:v>79</x:v>
      </x:c>
      <x:c r="C102" s="84" t="n">
        <x:v>31</x:v>
      </x:c>
      <x:c r="D102" s="89" t="n">
        <x:v>45096</x:v>
      </x:c>
      <x:c r="E102" s="84" t="n">
        <x:v>2</x:v>
      </x:c>
      <x:c r="F102" s="91" t="n">
        <x:v>4339.26</x:v>
      </x:c>
    </x:row>
    <x:row r="103">
      <x:c r="A103" s="83" t="n">
        <x:v>102</x:v>
      </x:c>
      <x:c r="B103" s="84" t="n">
        <x:v>81</x:v>
      </x:c>
      <x:c r="C103" s="84" t="n">
        <x:v>80</x:v>
      </x:c>
      <x:c r="D103" s="89" t="n">
        <x:v>45897</x:v>
      </x:c>
      <x:c r="E103" s="84" t="n">
        <x:v>3</x:v>
      </x:c>
      <x:c r="F103" s="91" t="n">
        <x:v>5185.62</x:v>
      </x:c>
    </x:row>
    <x:row r="104">
      <x:c r="A104" s="83" t="n">
        <x:v>103</x:v>
      </x:c>
      <x:c r="B104" s="84" t="n">
        <x:v>82</x:v>
      </x:c>
      <x:c r="C104" s="84" t="n">
        <x:v>51</x:v>
      </x:c>
      <x:c r="D104" s="89" t="n">
        <x:v>45418</x:v>
      </x:c>
      <x:c r="E104" s="84" t="n">
        <x:v>1</x:v>
      </x:c>
      <x:c r="F104" s="91" t="n">
        <x:v>892.16</x:v>
      </x:c>
    </x:row>
    <x:row r="105">
      <x:c r="A105" s="83" t="n">
        <x:v>104</x:v>
      </x:c>
      <x:c r="B105" s="84" t="n">
        <x:v>83</x:v>
      </x:c>
      <x:c r="C105" s="84" t="n">
        <x:v>76</x:v>
      </x:c>
      <x:c r="D105" s="89" t="n">
        <x:v>45984</x:v>
      </x:c>
      <x:c r="E105" s="84" t="n">
        <x:v>4</x:v>
      </x:c>
      <x:c r="F105" s="91" t="n">
        <x:v>2879.24</x:v>
      </x:c>
    </x:row>
    <x:row r="106">
      <x:c r="A106" s="83" t="n">
        <x:v>105</x:v>
      </x:c>
      <x:c r="B106" s="84" t="n">
        <x:v>83</x:v>
      </x:c>
      <x:c r="C106" s="84" t="n">
        <x:v>60</x:v>
      </x:c>
      <x:c r="D106" s="89" t="n">
        <x:v>45984</x:v>
      </x:c>
      <x:c r="E106" s="84" t="n">
        <x:v>4</x:v>
      </x:c>
      <x:c r="F106" s="91" t="n">
        <x:v>1415.2</x:v>
      </x:c>
    </x:row>
    <x:row r="107">
      <x:c r="A107" s="83" t="n">
        <x:v>106</x:v>
      </x:c>
      <x:c r="B107" s="84" t="n">
        <x:v>84</x:v>
      </x:c>
      <x:c r="C107" s="84" t="n">
        <x:v>2</x:v>
      </x:c>
      <x:c r="D107" s="89" t="n">
        <x:v>45953</x:v>
      </x:c>
      <x:c r="E107" s="84" t="n">
        <x:v>4</x:v>
      </x:c>
      <x:c r="F107" s="91" t="n">
        <x:v>3977.24</x:v>
      </x:c>
    </x:row>
    <x:row r="108">
      <x:c r="A108" s="83" t="n">
        <x:v>107</x:v>
      </x:c>
      <x:c r="B108" s="84" t="n">
        <x:v>84</x:v>
      </x:c>
      <x:c r="C108" s="84" t="n">
        <x:v>35</x:v>
      </x:c>
      <x:c r="D108" s="89" t="n">
        <x:v>45953</x:v>
      </x:c>
      <x:c r="E108" s="84" t="n">
        <x:v>2</x:v>
      </x:c>
      <x:c r="F108" s="91" t="n">
        <x:v>2941.56</x:v>
      </x:c>
    </x:row>
    <x:row r="109">
      <x:c r="A109" s="83" t="n">
        <x:v>108</x:v>
      </x:c>
      <x:c r="B109" s="84" t="n">
        <x:v>84</x:v>
      </x:c>
      <x:c r="C109" s="84" t="n">
        <x:v>58</x:v>
      </x:c>
      <x:c r="D109" s="89" t="n">
        <x:v>45953</x:v>
      </x:c>
      <x:c r="E109" s="84" t="n">
        <x:v>3</x:v>
      </x:c>
      <x:c r="F109" s="91" t="n">
        <x:v>6054.54</x:v>
      </x:c>
    </x:row>
    <x:row r="110">
      <x:c r="A110" s="83" t="n">
        <x:v>109</x:v>
      </x:c>
      <x:c r="B110" s="84" t="n">
        <x:v>85</x:v>
      </x:c>
      <x:c r="C110" s="84" t="n">
        <x:v>70</x:v>
      </x:c>
      <x:c r="D110" s="89" t="n">
        <x:v>45254</x:v>
      </x:c>
      <x:c r="E110" s="84" t="n">
        <x:v>3</x:v>
      </x:c>
      <x:c r="F110" s="91" t="n">
        <x:v>2308.62</x:v>
      </x:c>
    </x:row>
    <x:row r="111">
      <x:c r="A111" s="83" t="n">
        <x:v>110</x:v>
      </x:c>
      <x:c r="B111" s="84" t="n">
        <x:v>85</x:v>
      </x:c>
      <x:c r="C111" s="84" t="n">
        <x:v>10</x:v>
      </x:c>
      <x:c r="D111" s="89" t="n">
        <x:v>45254</x:v>
      </x:c>
      <x:c r="E111" s="84" t="n">
        <x:v>4</x:v>
      </x:c>
      <x:c r="F111" s="91" t="n">
        <x:v>3499.44</x:v>
      </x:c>
    </x:row>
    <x:row r="112">
      <x:c r="A112" s="83" t="n">
        <x:v>111</x:v>
      </x:c>
      <x:c r="B112" s="84" t="n">
        <x:v>86</x:v>
      </x:c>
      <x:c r="C112" s="84" t="n">
        <x:v>35</x:v>
      </x:c>
      <x:c r="D112" s="89" t="n">
        <x:v>44949</x:v>
      </x:c>
      <x:c r="E112" s="84" t="n">
        <x:v>1</x:v>
      </x:c>
      <x:c r="F112" s="91" t="n">
        <x:v>1470.78</x:v>
      </x:c>
    </x:row>
    <x:row r="113">
      <x:c r="A113" s="83" t="n">
        <x:v>112</x:v>
      </x:c>
      <x:c r="B113" s="84" t="n">
        <x:v>86</x:v>
      </x:c>
      <x:c r="C113" s="84" t="n">
        <x:v>60</x:v>
      </x:c>
      <x:c r="D113" s="89" t="n">
        <x:v>44949</x:v>
      </x:c>
      <x:c r="E113" s="84" t="n">
        <x:v>1</x:v>
      </x:c>
      <x:c r="F113" s="91" t="n">
        <x:v>353.8</x:v>
      </x:c>
    </x:row>
    <x:row r="114">
      <x:c r="A114" s="83" t="n">
        <x:v>113</x:v>
      </x:c>
      <x:c r="B114" s="84" t="n">
        <x:v>86</x:v>
      </x:c>
      <x:c r="C114" s="84" t="n">
        <x:v>66</x:v>
      </x:c>
      <x:c r="D114" s="89" t="n">
        <x:v>44949</x:v>
      </x:c>
      <x:c r="E114" s="84" t="n">
        <x:v>1</x:v>
      </x:c>
      <x:c r="F114" s="91" t="n">
        <x:v>1912.45</x:v>
      </x:c>
    </x:row>
    <x:row r="115">
      <x:c r="A115" s="83" t="n">
        <x:v>114</x:v>
      </x:c>
      <x:c r="B115" s="84" t="n">
        <x:v>88</x:v>
      </x:c>
      <x:c r="C115" s="84" t="n">
        <x:v>57</x:v>
      </x:c>
      <x:c r="D115" s="89" t="n">
        <x:v>45703</x:v>
      </x:c>
      <x:c r="E115" s="84" t="n">
        <x:v>3</x:v>
      </x:c>
      <x:c r="F115" s="91" t="n">
        <x:v>3537.18</x:v>
      </x:c>
    </x:row>
    <x:row r="116">
      <x:c r="A116" s="83" t="n">
        <x:v>115</x:v>
      </x:c>
      <x:c r="B116" s="84" t="n">
        <x:v>88</x:v>
      </x:c>
      <x:c r="C116" s="84" t="n">
        <x:v>73</x:v>
      </x:c>
      <x:c r="D116" s="89" t="n">
        <x:v>45703</x:v>
      </x:c>
      <x:c r="E116" s="84" t="n">
        <x:v>2</x:v>
      </x:c>
      <x:c r="F116" s="91" t="n">
        <x:v>2254.62</x:v>
      </x:c>
    </x:row>
    <x:row r="117">
      <x:c r="A117" s="83" t="n">
        <x:v>116</x:v>
      </x:c>
      <x:c r="B117" s="84" t="n">
        <x:v>89</x:v>
      </x:c>
      <x:c r="C117" s="84" t="n">
        <x:v>39</x:v>
      </x:c>
      <x:c r="D117" s="89" t="n">
        <x:v>45846</x:v>
      </x:c>
      <x:c r="E117" s="84" t="n">
        <x:v>4</x:v>
      </x:c>
      <x:c r="F117" s="91" t="n">
        <x:v>2710.4</x:v>
      </x:c>
    </x:row>
    <x:row r="118">
      <x:c r="A118" s="83" t="n">
        <x:v>117</x:v>
      </x:c>
      <x:c r="B118" s="84" t="n">
        <x:v>89</x:v>
      </x:c>
      <x:c r="C118" s="84" t="n">
        <x:v>10</x:v>
      </x:c>
      <x:c r="D118" s="89" t="n">
        <x:v>45846</x:v>
      </x:c>
      <x:c r="E118" s="84" t="n">
        <x:v>4</x:v>
      </x:c>
      <x:c r="F118" s="91" t="n">
        <x:v>3499.44</x:v>
      </x:c>
    </x:row>
    <x:row r="119">
      <x:c r="A119" s="83" t="n">
        <x:v>118</x:v>
      </x:c>
      <x:c r="B119" s="84" t="n">
        <x:v>90</x:v>
      </x:c>
      <x:c r="C119" s="84" t="n">
        <x:v>56</x:v>
      </x:c>
      <x:c r="D119" s="89" t="n">
        <x:v>45224</x:v>
      </x:c>
      <x:c r="E119" s="84" t="n">
        <x:v>2</x:v>
      </x:c>
      <x:c r="F119" s="91" t="n">
        <x:v>2936.92</x:v>
      </x:c>
    </x:row>
    <x:row r="120">
      <x:c r="A120" s="83" t="n">
        <x:v>119</x:v>
      </x:c>
      <x:c r="B120" s="84" t="n">
        <x:v>91</x:v>
      </x:c>
      <x:c r="C120" s="84" t="n">
        <x:v>25</x:v>
      </x:c>
      <x:c r="D120" s="89" t="n">
        <x:v>45990</x:v>
      </x:c>
      <x:c r="E120" s="84" t="n">
        <x:v>2</x:v>
      </x:c>
      <x:c r="F120" s="91" t="n">
        <x:v>2158.9</x:v>
      </x:c>
    </x:row>
    <x:row r="121">
      <x:c r="A121" s="83" t="n">
        <x:v>120</x:v>
      </x:c>
      <x:c r="B121" s="84" t="n">
        <x:v>91</x:v>
      </x:c>
      <x:c r="C121" s="84" t="n">
        <x:v>23</x:v>
      </x:c>
      <x:c r="D121" s="89" t="n">
        <x:v>45990</x:v>
      </x:c>
      <x:c r="E121" s="84" t="n">
        <x:v>4</x:v>
      </x:c>
      <x:c r="F121" s="91" t="n">
        <x:v>7011.4</x:v>
      </x:c>
    </x:row>
    <x:row r="122">
      <x:c r="A122" s="83" t="n">
        <x:v>121</x:v>
      </x:c>
      <x:c r="B122" s="84" t="n">
        <x:v>91</x:v>
      </x:c>
      <x:c r="C122" s="84" t="n">
        <x:v>7</x:v>
      </x:c>
      <x:c r="D122" s="89" t="n">
        <x:v>45990</x:v>
      </x:c>
      <x:c r="E122" s="84" t="n">
        <x:v>3</x:v>
      </x:c>
      <x:c r="F122" s="91" t="n">
        <x:v>1100.4</x:v>
      </x:c>
    </x:row>
    <x:row r="123">
      <x:c r="A123" s="83" t="n">
        <x:v>122</x:v>
      </x:c>
      <x:c r="B123" s="84" t="n">
        <x:v>92</x:v>
      </x:c>
      <x:c r="C123" s="84" t="n">
        <x:v>14</x:v>
      </x:c>
      <x:c r="D123" s="89" t="n">
        <x:v>45823</x:v>
      </x:c>
      <x:c r="E123" s="84" t="n">
        <x:v>4</x:v>
      </x:c>
      <x:c r="F123" s="91" t="n">
        <x:v>702.88</x:v>
      </x:c>
    </x:row>
    <x:row r="124">
      <x:c r="A124" s="83" t="n">
        <x:v>123</x:v>
      </x:c>
      <x:c r="B124" s="84" t="n">
        <x:v>92</x:v>
      </x:c>
      <x:c r="C124" s="84" t="n">
        <x:v>35</x:v>
      </x:c>
      <x:c r="D124" s="89" t="n">
        <x:v>45823</x:v>
      </x:c>
      <x:c r="E124" s="84" t="n">
        <x:v>4</x:v>
      </x:c>
      <x:c r="F124" s="91" t="n">
        <x:v>5883.12</x:v>
      </x:c>
    </x:row>
    <x:row r="125">
      <x:c r="A125" s="83" t="n">
        <x:v>124</x:v>
      </x:c>
      <x:c r="B125" s="84" t="n">
        <x:v>93</x:v>
      </x:c>
      <x:c r="C125" s="84" t="n">
        <x:v>51</x:v>
      </x:c>
      <x:c r="D125" s="89" t="n">
        <x:v>45074</x:v>
      </x:c>
      <x:c r="E125" s="84" t="n">
        <x:v>4</x:v>
      </x:c>
      <x:c r="F125" s="91" t="n">
        <x:v>3568.64</x:v>
      </x:c>
    </x:row>
    <x:row r="126">
      <x:c r="A126" s="83" t="n">
        <x:v>125</x:v>
      </x:c>
      <x:c r="B126" s="84" t="n">
        <x:v>94</x:v>
      </x:c>
      <x:c r="C126" s="84" t="n">
        <x:v>57</x:v>
      </x:c>
      <x:c r="D126" s="89" t="n">
        <x:v>45759</x:v>
      </x:c>
      <x:c r="E126" s="84" t="n">
        <x:v>1</x:v>
      </x:c>
      <x:c r="F126" s="91" t="n">
        <x:v>1179.06</x:v>
      </x:c>
    </x:row>
    <x:row r="127">
      <x:c r="A127" s="83" t="n">
        <x:v>126</x:v>
      </x:c>
      <x:c r="B127" s="84" t="n">
        <x:v>94</x:v>
      </x:c>
      <x:c r="C127" s="84" t="n">
        <x:v>65</x:v>
      </x:c>
      <x:c r="D127" s="89" t="n">
        <x:v>45759</x:v>
      </x:c>
      <x:c r="E127" s="84" t="n">
        <x:v>2</x:v>
      </x:c>
      <x:c r="F127" s="91" t="n">
        <x:v>2509.68</x:v>
      </x:c>
    </x:row>
    <x:row r="128">
      <x:c r="A128" s="83" t="n">
        <x:v>127</x:v>
      </x:c>
      <x:c r="B128" s="84" t="n">
        <x:v>94</x:v>
      </x:c>
      <x:c r="C128" s="84" t="n">
        <x:v>36</x:v>
      </x:c>
      <x:c r="D128" s="89" t="n">
        <x:v>45759</x:v>
      </x:c>
      <x:c r="E128" s="84" t="n">
        <x:v>3</x:v>
      </x:c>
      <x:c r="F128" s="91" t="n">
        <x:v>1789.23</x:v>
      </x:c>
    </x:row>
    <x:row r="129">
      <x:c r="A129" s="83" t="n">
        <x:v>128</x:v>
      </x:c>
      <x:c r="B129" s="84" t="n">
        <x:v>95</x:v>
      </x:c>
      <x:c r="C129" s="84" t="n">
        <x:v>3</x:v>
      </x:c>
      <x:c r="D129" s="89" t="n">
        <x:v>45362</x:v>
      </x:c>
      <x:c r="E129" s="84" t="n">
        <x:v>4</x:v>
      </x:c>
      <x:c r="F129" s="91" t="n">
        <x:v>4604.56</x:v>
      </x:c>
    </x:row>
    <x:row r="130">
      <x:c r="A130" s="83" t="n">
        <x:v>129</x:v>
      </x:c>
      <x:c r="B130" s="84" t="n">
        <x:v>96</x:v>
      </x:c>
      <x:c r="C130" s="84" t="n">
        <x:v>38</x:v>
      </x:c>
      <x:c r="D130" s="89" t="n">
        <x:v>45407</x:v>
      </x:c>
      <x:c r="E130" s="84" t="n">
        <x:v>3</x:v>
      </x:c>
      <x:c r="F130" s="91" t="n">
        <x:v>2179.47</x:v>
      </x:c>
    </x:row>
    <x:row r="131">
      <x:c r="A131" s="83" t="n">
        <x:v>130</x:v>
      </x:c>
      <x:c r="B131" s="84" t="n">
        <x:v>96</x:v>
      </x:c>
      <x:c r="C131" s="84" t="n">
        <x:v>5</x:v>
      </x:c>
      <x:c r="D131" s="89" t="n">
        <x:v>45407</x:v>
      </x:c>
      <x:c r="E131" s="84" t="n">
        <x:v>3</x:v>
      </x:c>
      <x:c r="F131" s="91" t="n">
        <x:v>4405.5</x:v>
      </x:c>
    </x:row>
    <x:row r="132">
      <x:c r="A132" s="83" t="n">
        <x:v>131</x:v>
      </x:c>
      <x:c r="B132" s="84" t="n">
        <x:v>97</x:v>
      </x:c>
      <x:c r="C132" s="84" t="n">
        <x:v>26</x:v>
      </x:c>
      <x:c r="D132" s="89" t="n">
        <x:v>45522</x:v>
      </x:c>
      <x:c r="E132" s="84" t="n">
        <x:v>4</x:v>
      </x:c>
      <x:c r="F132" s="91" t="n">
        <x:v>8604</x:v>
      </x:c>
    </x:row>
    <x:row r="133">
      <x:c r="A133" s="83" t="n">
        <x:v>132</x:v>
      </x:c>
      <x:c r="B133" s="84" t="n">
        <x:v>97</x:v>
      </x:c>
      <x:c r="C133" s="84" t="n">
        <x:v>57</x:v>
      </x:c>
      <x:c r="D133" s="89" t="n">
        <x:v>45522</x:v>
      </x:c>
      <x:c r="E133" s="84" t="n">
        <x:v>2</x:v>
      </x:c>
      <x:c r="F133" s="91" t="n">
        <x:v>2358.12</x:v>
      </x:c>
    </x:row>
    <x:row r="134">
      <x:c r="A134" s="83" t="n">
        <x:v>133</x:v>
      </x:c>
      <x:c r="B134" s="84" t="n">
        <x:v>100</x:v>
      </x:c>
      <x:c r="C134" s="84" t="n">
        <x:v>32</x:v>
      </x:c>
      <x:c r="D134" s="89" t="n">
        <x:v>45240</x:v>
      </x:c>
      <x:c r="E134" s="84" t="n">
        <x:v>4</x:v>
      </x:c>
      <x:c r="F134" s="91" t="n">
        <x:v>7253</x:v>
      </x:c>
    </x:row>
    <x:row r="135">
      <x:c r="A135" s="83" t="n">
        <x:v>134</x:v>
      </x:c>
      <x:c r="B135" s="84" t="n">
        <x:v>101</x:v>
      </x:c>
      <x:c r="C135" s="84" t="n">
        <x:v>21</x:v>
      </x:c>
      <x:c r="D135" s="89" t="n">
        <x:v>44948</x:v>
      </x:c>
      <x:c r="E135" s="84" t="n">
        <x:v>4</x:v>
      </x:c>
      <x:c r="F135" s="91" t="n">
        <x:v>9155.48</x:v>
      </x:c>
    </x:row>
    <x:row r="136">
      <x:c r="A136" s="83" t="n">
        <x:v>135</x:v>
      </x:c>
      <x:c r="B136" s="84" t="n">
        <x:v>102</x:v>
      </x:c>
      <x:c r="C136" s="84" t="n">
        <x:v>42</x:v>
      </x:c>
      <x:c r="D136" s="89" t="n">
        <x:v>45013</x:v>
      </x:c>
      <x:c r="E136" s="84" t="n">
        <x:v>1</x:v>
      </x:c>
      <x:c r="F136" s="91" t="n">
        <x:v>2171.74</x:v>
      </x:c>
    </x:row>
    <x:row r="137">
      <x:c r="A137" s="83" t="n">
        <x:v>136</x:v>
      </x:c>
      <x:c r="B137" s="84" t="n">
        <x:v>102</x:v>
      </x:c>
      <x:c r="C137" s="84" t="n">
        <x:v>2</x:v>
      </x:c>
      <x:c r="D137" s="89" t="n">
        <x:v>45013</x:v>
      </x:c>
      <x:c r="E137" s="84" t="n">
        <x:v>2</x:v>
      </x:c>
      <x:c r="F137" s="91" t="n">
        <x:v>1988.62</x:v>
      </x:c>
    </x:row>
    <x:row r="138">
      <x:c r="A138" s="83" t="n">
        <x:v>137</x:v>
      </x:c>
      <x:c r="B138" s="84" t="n">
        <x:v>103</x:v>
      </x:c>
      <x:c r="C138" s="84" t="n">
        <x:v>56</x:v>
      </x:c>
      <x:c r="D138" s="89" t="n">
        <x:v>45757</x:v>
      </x:c>
      <x:c r="E138" s="84" t="n">
        <x:v>4</x:v>
      </x:c>
      <x:c r="F138" s="91" t="n">
        <x:v>5873.84</x:v>
      </x:c>
    </x:row>
    <x:row r="139">
      <x:c r="A139" s="83" t="n">
        <x:v>138</x:v>
      </x:c>
      <x:c r="B139" s="84" t="n">
        <x:v>104</x:v>
      </x:c>
      <x:c r="C139" s="84" t="n">
        <x:v>79</x:v>
      </x:c>
      <x:c r="D139" s="89" t="n">
        <x:v>45604</x:v>
      </x:c>
      <x:c r="E139" s="84" t="n">
        <x:v>3</x:v>
      </x:c>
      <x:c r="F139" s="91" t="n">
        <x:v>6200.16</x:v>
      </x:c>
    </x:row>
    <x:row r="140">
      <x:c r="A140" s="83" t="n">
        <x:v>139</x:v>
      </x:c>
      <x:c r="B140" s="84" t="n">
        <x:v>105</x:v>
      </x:c>
      <x:c r="C140" s="84" t="n">
        <x:v>11</x:v>
      </x:c>
      <x:c r="D140" s="89" t="n">
        <x:v>44947</x:v>
      </x:c>
      <x:c r="E140" s="84" t="n">
        <x:v>4</x:v>
      </x:c>
      <x:c r="F140" s="91" t="n">
        <x:v>8845.04</x:v>
      </x:c>
    </x:row>
    <x:row r="141">
      <x:c r="A141" s="83" t="n">
        <x:v>140</x:v>
      </x:c>
      <x:c r="B141" s="84" t="n">
        <x:v>105</x:v>
      </x:c>
      <x:c r="C141" s="84" t="n">
        <x:v>44</x:v>
      </x:c>
      <x:c r="D141" s="89" t="n">
        <x:v>44947</x:v>
      </x:c>
      <x:c r="E141" s="84" t="n">
        <x:v>2</x:v>
      </x:c>
      <x:c r="F141" s="91" t="n">
        <x:v>2502.96</x:v>
      </x:c>
    </x:row>
    <x:row r="142">
      <x:c r="A142" s="83" t="n">
        <x:v>141</x:v>
      </x:c>
      <x:c r="B142" s="84" t="n">
        <x:v>105</x:v>
      </x:c>
      <x:c r="C142" s="84" t="n">
        <x:v>47</x:v>
      </x:c>
      <x:c r="D142" s="89" t="n">
        <x:v>44947</x:v>
      </x:c>
      <x:c r="E142" s="84" t="n">
        <x:v>4</x:v>
      </x:c>
      <x:c r="F142" s="91" t="n">
        <x:v>8702.48</x:v>
      </x:c>
    </x:row>
    <x:row r="143">
      <x:c r="A143" s="83" t="n">
        <x:v>142</x:v>
      </x:c>
      <x:c r="B143" s="84" t="n">
        <x:v>107</x:v>
      </x:c>
      <x:c r="C143" s="84" t="n">
        <x:v>57</x:v>
      </x:c>
      <x:c r="D143" s="89" t="n">
        <x:v>45611</x:v>
      </x:c>
      <x:c r="E143" s="84" t="n">
        <x:v>4</x:v>
      </x:c>
      <x:c r="F143" s="91" t="n">
        <x:v>4716.24</x:v>
      </x:c>
    </x:row>
    <x:row r="144">
      <x:c r="A144" s="83" t="n">
        <x:v>143</x:v>
      </x:c>
      <x:c r="B144" s="84" t="n">
        <x:v>107</x:v>
      </x:c>
      <x:c r="C144" s="84" t="n">
        <x:v>46</x:v>
      </x:c>
      <x:c r="D144" s="89" t="n">
        <x:v>45611</x:v>
      </x:c>
      <x:c r="E144" s="84" t="n">
        <x:v>2</x:v>
      </x:c>
      <x:c r="F144" s="91" t="n">
        <x:v>2669.9</x:v>
      </x:c>
    </x:row>
    <x:row r="145">
      <x:c r="A145" s="83" t="n">
        <x:v>144</x:v>
      </x:c>
      <x:c r="B145" s="84" t="n">
        <x:v>107</x:v>
      </x:c>
      <x:c r="C145" s="84" t="n">
        <x:v>35</x:v>
      </x:c>
      <x:c r="D145" s="89" t="n">
        <x:v>45611</x:v>
      </x:c>
      <x:c r="E145" s="84" t="n">
        <x:v>3</x:v>
      </x:c>
      <x:c r="F145" s="91" t="n">
        <x:v>4412.34</x:v>
      </x:c>
    </x:row>
    <x:row r="146">
      <x:c r="A146" s="83" t="n">
        <x:v>145</x:v>
      </x:c>
      <x:c r="B146" s="84" t="n">
        <x:v>108</x:v>
      </x:c>
      <x:c r="C146" s="84" t="n">
        <x:v>19</x:v>
      </x:c>
      <x:c r="D146" s="89" t="n">
        <x:v>45742</x:v>
      </x:c>
      <x:c r="E146" s="84" t="n">
        <x:v>2</x:v>
      </x:c>
      <x:c r="F146" s="91" t="n">
        <x:v>2175.42</x:v>
      </x:c>
    </x:row>
    <x:row r="147">
      <x:c r="A147" s="83" t="n">
        <x:v>146</x:v>
      </x:c>
      <x:c r="B147" s="84" t="n">
        <x:v>108</x:v>
      </x:c>
      <x:c r="C147" s="84" t="n">
        <x:v>55</x:v>
      </x:c>
      <x:c r="D147" s="89" t="n">
        <x:v>45742</x:v>
      </x:c>
      <x:c r="E147" s="84" t="n">
        <x:v>3</x:v>
      </x:c>
      <x:c r="F147" s="91" t="n">
        <x:v>4499.55</x:v>
      </x:c>
    </x:row>
    <x:row r="148">
      <x:c r="A148" s="83" t="n">
        <x:v>147</x:v>
      </x:c>
      <x:c r="B148" s="84" t="n">
        <x:v>108</x:v>
      </x:c>
      <x:c r="C148" s="84" t="n">
        <x:v>57</x:v>
      </x:c>
      <x:c r="D148" s="89" t="n">
        <x:v>45742</x:v>
      </x:c>
      <x:c r="E148" s="84" t="n">
        <x:v>4</x:v>
      </x:c>
      <x:c r="F148" s="91" t="n">
        <x:v>4716.24</x:v>
      </x:c>
    </x:row>
    <x:row r="149">
      <x:c r="A149" s="83" t="n">
        <x:v>148</x:v>
      </x:c>
      <x:c r="B149" s="84" t="n">
        <x:v>109</x:v>
      </x:c>
      <x:c r="C149" s="84" t="n">
        <x:v>42</x:v>
      </x:c>
      <x:c r="D149" s="89" t="n">
        <x:v>45226</x:v>
      </x:c>
      <x:c r="E149" s="84" t="n">
        <x:v>1</x:v>
      </x:c>
      <x:c r="F149" s="91" t="n">
        <x:v>2171.74</x:v>
      </x:c>
    </x:row>
    <x:row r="150">
      <x:c r="A150" s="83" t="n">
        <x:v>149</x:v>
      </x:c>
      <x:c r="B150" s="84" t="n">
        <x:v>113</x:v>
      </x:c>
      <x:c r="C150" s="84" t="n">
        <x:v>11</x:v>
      </x:c>
      <x:c r="D150" s="89" t="n">
        <x:v>45199</x:v>
      </x:c>
      <x:c r="E150" s="84" t="n">
        <x:v>2</x:v>
      </x:c>
      <x:c r="F150" s="91" t="n">
        <x:v>4422.52</x:v>
      </x:c>
    </x:row>
    <x:row r="151">
      <x:c r="A151" s="83" t="n">
        <x:v>150</x:v>
      </x:c>
      <x:c r="B151" s="84" t="n">
        <x:v>113</x:v>
      </x:c>
      <x:c r="C151" s="84" t="n">
        <x:v>28</x:v>
      </x:c>
      <x:c r="D151" s="89" t="n">
        <x:v>45199</x:v>
      </x:c>
      <x:c r="E151" s="84" t="n">
        <x:v>1</x:v>
      </x:c>
      <x:c r="F151" s="91" t="n">
        <x:v>820.47</x:v>
      </x:c>
    </x:row>
    <x:row r="152">
      <x:c r="A152" s="83" t="n">
        <x:v>151</x:v>
      </x:c>
      <x:c r="B152" s="84" t="n">
        <x:v>113</x:v>
      </x:c>
      <x:c r="C152" s="84" t="n">
        <x:v>33</x:v>
      </x:c>
      <x:c r="D152" s="89" t="n">
        <x:v>45199</x:v>
      </x:c>
      <x:c r="E152" s="84" t="n">
        <x:v>4</x:v>
      </x:c>
      <x:c r="F152" s="91" t="n">
        <x:v>9387.68</x:v>
      </x:c>
    </x:row>
    <x:row r="153">
      <x:c r="A153" s="83" t="n">
        <x:v>152</x:v>
      </x:c>
      <x:c r="B153" s="84" t="n">
        <x:v>114</x:v>
      </x:c>
      <x:c r="C153" s="84" t="n">
        <x:v>44</x:v>
      </x:c>
      <x:c r="D153" s="89" t="n">
        <x:v>45478</x:v>
      </x:c>
      <x:c r="E153" s="84" t="n">
        <x:v>1</x:v>
      </x:c>
      <x:c r="F153" s="91" t="n">
        <x:v>1251.48</x:v>
      </x:c>
    </x:row>
    <x:row r="154">
      <x:c r="A154" s="83" t="n">
        <x:v>153</x:v>
      </x:c>
      <x:c r="B154" s="84" t="n">
        <x:v>115</x:v>
      </x:c>
      <x:c r="C154" s="84" t="n">
        <x:v>71</x:v>
      </x:c>
      <x:c r="D154" s="89" t="n">
        <x:v>44980</x:v>
      </x:c>
      <x:c r="E154" s="84" t="n">
        <x:v>2</x:v>
      </x:c>
      <x:c r="F154" s="91" t="n">
        <x:v>3967.04</x:v>
      </x:c>
    </x:row>
    <x:row r="155">
      <x:c r="A155" s="83" t="n">
        <x:v>154</x:v>
      </x:c>
      <x:c r="B155" s="84" t="n">
        <x:v>115</x:v>
      </x:c>
      <x:c r="C155" s="84" t="n">
        <x:v>38</x:v>
      </x:c>
      <x:c r="D155" s="89" t="n">
        <x:v>44980</x:v>
      </x:c>
      <x:c r="E155" s="84" t="n">
        <x:v>1</x:v>
      </x:c>
      <x:c r="F155" s="91" t="n">
        <x:v>726.49</x:v>
      </x:c>
    </x:row>
    <x:row r="156">
      <x:c r="A156" s="83" t="n">
        <x:v>155</x:v>
      </x:c>
      <x:c r="B156" s="84" t="n">
        <x:v>115</x:v>
      </x:c>
      <x:c r="C156" s="84" t="n">
        <x:v>38</x:v>
      </x:c>
      <x:c r="D156" s="89" t="n">
        <x:v>44980</x:v>
      </x:c>
      <x:c r="E156" s="84" t="n">
        <x:v>3</x:v>
      </x:c>
      <x:c r="F156" s="91" t="n">
        <x:v>2179.47</x:v>
      </x:c>
    </x:row>
    <x:row r="157">
      <x:c r="A157" s="83" t="n">
        <x:v>156</x:v>
      </x:c>
      <x:c r="B157" s="84" t="n">
        <x:v>117</x:v>
      </x:c>
      <x:c r="C157" s="84" t="n">
        <x:v>37</x:v>
      </x:c>
      <x:c r="D157" s="89" t="n">
        <x:v>46009</x:v>
      </x:c>
      <x:c r="E157" s="84" t="n">
        <x:v>1</x:v>
      </x:c>
      <x:c r="F157" s="91" t="n">
        <x:v>1033.71</x:v>
      </x:c>
    </x:row>
    <x:row r="158">
      <x:c r="A158" s="83" t="n">
        <x:v>157</x:v>
      </x:c>
      <x:c r="B158" s="84" t="n">
        <x:v>117</x:v>
      </x:c>
      <x:c r="C158" s="84" t="n">
        <x:v>19</x:v>
      </x:c>
      <x:c r="D158" s="89" t="n">
        <x:v>46009</x:v>
      </x:c>
      <x:c r="E158" s="84" t="n">
        <x:v>3</x:v>
      </x:c>
      <x:c r="F158" s="91" t="n">
        <x:v>3263.13</x:v>
      </x:c>
    </x:row>
    <x:row r="159">
      <x:c r="A159" s="83" t="n">
        <x:v>158</x:v>
      </x:c>
      <x:c r="B159" s="84" t="n">
        <x:v>118</x:v>
      </x:c>
      <x:c r="C159" s="84" t="n">
        <x:v>72</x:v>
      </x:c>
      <x:c r="D159" s="89" t="n">
        <x:v>45865</x:v>
      </x:c>
      <x:c r="E159" s="84" t="n">
        <x:v>2</x:v>
      </x:c>
      <x:c r="F159" s="91" t="n">
        <x:v>901.66</x:v>
      </x:c>
    </x:row>
    <x:row r="160">
      <x:c r="A160" s="83" t="n">
        <x:v>159</x:v>
      </x:c>
      <x:c r="B160" s="84" t="n">
        <x:v>118</x:v>
      </x:c>
      <x:c r="C160" s="84" t="n">
        <x:v>53</x:v>
      </x:c>
      <x:c r="D160" s="89" t="n">
        <x:v>45865</x:v>
      </x:c>
      <x:c r="E160" s="84" t="n">
        <x:v>2</x:v>
      </x:c>
      <x:c r="F160" s="91" t="n">
        <x:v>3181.84</x:v>
      </x:c>
    </x:row>
    <x:row r="161">
      <x:c r="A161" s="83" t="n">
        <x:v>160</x:v>
      </x:c>
      <x:c r="B161" s="84" t="n">
        <x:v>119</x:v>
      </x:c>
      <x:c r="C161" s="84" t="n">
        <x:v>68</x:v>
      </x:c>
      <x:c r="D161" s="89" t="n">
        <x:v>45570</x:v>
      </x:c>
      <x:c r="E161" s="84" t="n">
        <x:v>2</x:v>
      </x:c>
      <x:c r="F161" s="91" t="n">
        <x:v>3055.22</x:v>
      </x:c>
    </x:row>
    <x:row r="162">
      <x:c r="A162" s="83" t="n">
        <x:v>161</x:v>
      </x:c>
      <x:c r="B162" s="84" t="n">
        <x:v>119</x:v>
      </x:c>
      <x:c r="C162" s="84" t="n">
        <x:v>15</x:v>
      </x:c>
      <x:c r="D162" s="89" t="n">
        <x:v>45570</x:v>
      </x:c>
      <x:c r="E162" s="84" t="n">
        <x:v>3</x:v>
      </x:c>
      <x:c r="F162" s="91" t="n">
        <x:v>3703.83</x:v>
      </x:c>
    </x:row>
    <x:row r="163">
      <x:c r="A163" s="83" t="n">
        <x:v>162</x:v>
      </x:c>
      <x:c r="B163" s="84" t="n">
        <x:v>120</x:v>
      </x:c>
      <x:c r="C163" s="84" t="n">
        <x:v>45</x:v>
      </x:c>
      <x:c r="D163" s="89" t="n">
        <x:v>46005</x:v>
      </x:c>
      <x:c r="E163" s="84" t="n">
        <x:v>1</x:v>
      </x:c>
      <x:c r="F163" s="91" t="n">
        <x:v>1391.42</x:v>
      </x:c>
    </x:row>
    <x:row r="164">
      <x:c r="A164" s="83" t="n">
        <x:v>163</x:v>
      </x:c>
      <x:c r="B164" s="84" t="n">
        <x:v>120</x:v>
      </x:c>
      <x:c r="C164" s="84" t="n">
        <x:v>47</x:v>
      </x:c>
      <x:c r="D164" s="89" t="n">
        <x:v>46005</x:v>
      </x:c>
      <x:c r="E164" s="84" t="n">
        <x:v>4</x:v>
      </x:c>
      <x:c r="F164" s="91" t="n">
        <x:v>8702.48</x:v>
      </x:c>
    </x:row>
    <x:row r="165">
      <x:c r="A165" s="83" t="n">
        <x:v>164</x:v>
      </x:c>
      <x:c r="B165" s="84" t="n">
        <x:v>120</x:v>
      </x:c>
      <x:c r="C165" s="84" t="n">
        <x:v>68</x:v>
      </x:c>
      <x:c r="D165" s="89" t="n">
        <x:v>46005</x:v>
      </x:c>
      <x:c r="E165" s="84" t="n">
        <x:v>3</x:v>
      </x:c>
      <x:c r="F165" s="91" t="n">
        <x:v>4582.83</x:v>
      </x:c>
    </x:row>
    <x:row r="166">
      <x:c r="A166" s="83" t="n">
        <x:v>165</x:v>
      </x:c>
      <x:c r="B166" s="84" t="n">
        <x:v>121</x:v>
      </x:c>
      <x:c r="C166" s="84" t="n">
        <x:v>15</x:v>
      </x:c>
      <x:c r="D166" s="89" t="n">
        <x:v>46014</x:v>
      </x:c>
      <x:c r="E166" s="84" t="n">
        <x:v>2</x:v>
      </x:c>
      <x:c r="F166" s="91" t="n">
        <x:v>2469.22</x:v>
      </x:c>
    </x:row>
    <x:row r="167">
      <x:c r="A167" s="83" t="n">
        <x:v>166</x:v>
      </x:c>
      <x:c r="B167" s="84" t="n">
        <x:v>121</x:v>
      </x:c>
      <x:c r="C167" s="84" t="n">
        <x:v>54</x:v>
      </x:c>
      <x:c r="D167" s="89" t="n">
        <x:v>46014</x:v>
      </x:c>
      <x:c r="E167" s="84" t="n">
        <x:v>3</x:v>
      </x:c>
      <x:c r="F167" s="91" t="n">
        <x:v>2059.2</x:v>
      </x:c>
    </x:row>
    <x:row r="168">
      <x:c r="A168" s="83" t="n">
        <x:v>167</x:v>
      </x:c>
      <x:c r="B168" s="84" t="n">
        <x:v>122</x:v>
      </x:c>
      <x:c r="C168" s="84" t="n">
        <x:v>59</x:v>
      </x:c>
      <x:c r="D168" s="89" t="n">
        <x:v>44969</x:v>
      </x:c>
      <x:c r="E168" s="84" t="n">
        <x:v>4</x:v>
      </x:c>
      <x:c r="F168" s="91" t="n">
        <x:v>6065.8</x:v>
      </x:c>
    </x:row>
    <x:row r="169">
      <x:c r="A169" s="83" t="n">
        <x:v>168</x:v>
      </x:c>
      <x:c r="B169" s="84" t="n">
        <x:v>122</x:v>
      </x:c>
      <x:c r="C169" s="84" t="n">
        <x:v>11</x:v>
      </x:c>
      <x:c r="D169" s="89" t="n">
        <x:v>44969</x:v>
      </x:c>
      <x:c r="E169" s="84" t="n">
        <x:v>1</x:v>
      </x:c>
      <x:c r="F169" s="91" t="n">
        <x:v>2211.26</x:v>
      </x:c>
    </x:row>
    <x:row r="170">
      <x:c r="A170" s="83" t="n">
        <x:v>169</x:v>
      </x:c>
      <x:c r="B170" s="84" t="n">
        <x:v>123</x:v>
      </x:c>
      <x:c r="C170" s="84" t="n">
        <x:v>69</x:v>
      </x:c>
      <x:c r="D170" s="89" t="n">
        <x:v>44967</x:v>
      </x:c>
      <x:c r="E170" s="84" t="n">
        <x:v>2</x:v>
      </x:c>
      <x:c r="F170" s="91" t="n">
        <x:v>3540.66</x:v>
      </x:c>
    </x:row>
    <x:row r="171">
      <x:c r="A171" s="83" t="n">
        <x:v>170</x:v>
      </x:c>
      <x:c r="B171" s="84" t="n">
        <x:v>123</x:v>
      </x:c>
      <x:c r="C171" s="84" t="n">
        <x:v>37</x:v>
      </x:c>
      <x:c r="D171" s="89" t="n">
        <x:v>44967</x:v>
      </x:c>
      <x:c r="E171" s="84" t="n">
        <x:v>2</x:v>
      </x:c>
      <x:c r="F171" s="91" t="n">
        <x:v>2067.42</x:v>
      </x:c>
    </x:row>
    <x:row r="172">
      <x:c r="A172" s="83" t="n">
        <x:v>171</x:v>
      </x:c>
      <x:c r="B172" s="84" t="n">
        <x:v>123</x:v>
      </x:c>
      <x:c r="C172" s="84" t="n">
        <x:v>1</x:v>
      </x:c>
      <x:c r="D172" s="89" t="n">
        <x:v>44967</x:v>
      </x:c>
      <x:c r="E172" s="84" t="n">
        <x:v>3</x:v>
      </x:c>
      <x:c r="F172" s="91" t="n">
        <x:v>5218.8</x:v>
      </x:c>
    </x:row>
    <x:row r="173">
      <x:c r="A173" s="83" t="n">
        <x:v>172</x:v>
      </x:c>
      <x:c r="B173" s="84" t="n">
        <x:v>124</x:v>
      </x:c>
      <x:c r="C173" s="84" t="n">
        <x:v>14</x:v>
      </x:c>
      <x:c r="D173" s="89" t="n">
        <x:v>45455</x:v>
      </x:c>
      <x:c r="E173" s="84" t="n">
        <x:v>4</x:v>
      </x:c>
      <x:c r="F173" s="91" t="n">
        <x:v>702.88</x:v>
      </x:c>
    </x:row>
    <x:row r="174">
      <x:c r="A174" s="83" t="n">
        <x:v>173</x:v>
      </x:c>
      <x:c r="B174" s="84" t="n">
        <x:v>126</x:v>
      </x:c>
      <x:c r="C174" s="84" t="n">
        <x:v>30</x:v>
      </x:c>
      <x:c r="D174" s="89" t="n">
        <x:v>45213</x:v>
      </x:c>
      <x:c r="E174" s="84" t="n">
        <x:v>1</x:v>
      </x:c>
      <x:c r="F174" s="91" t="n">
        <x:v>1278.76</x:v>
      </x:c>
    </x:row>
    <x:row r="175">
      <x:c r="A175" s="83" t="n">
        <x:v>174</x:v>
      </x:c>
      <x:c r="B175" s="84" t="n">
        <x:v>127</x:v>
      </x:c>
      <x:c r="C175" s="84" t="n">
        <x:v>62</x:v>
      </x:c>
      <x:c r="D175" s="89" t="n">
        <x:v>46016</x:v>
      </x:c>
      <x:c r="E175" s="84" t="n">
        <x:v>4</x:v>
      </x:c>
      <x:c r="F175" s="91" t="n">
        <x:v>6069.24</x:v>
      </x:c>
    </x:row>
    <x:row r="176">
      <x:c r="A176" s="83" t="n">
        <x:v>175</x:v>
      </x:c>
      <x:c r="B176" s="84" t="n">
        <x:v>128</x:v>
      </x:c>
      <x:c r="C176" s="84" t="n">
        <x:v>3</x:v>
      </x:c>
      <x:c r="D176" s="89" t="n">
        <x:v>45779</x:v>
      </x:c>
      <x:c r="E176" s="84" t="n">
        <x:v>1</x:v>
      </x:c>
      <x:c r="F176" s="91" t="n">
        <x:v>1151.14</x:v>
      </x:c>
    </x:row>
    <x:row r="177">
      <x:c r="A177" s="83" t="n">
        <x:v>176</x:v>
      </x:c>
      <x:c r="B177" s="84" t="n">
        <x:v>129</x:v>
      </x:c>
      <x:c r="C177" s="84" t="n">
        <x:v>45</x:v>
      </x:c>
      <x:c r="D177" s="89" t="n">
        <x:v>45185</x:v>
      </x:c>
      <x:c r="E177" s="84" t="n">
        <x:v>1</x:v>
      </x:c>
      <x:c r="F177" s="91" t="n">
        <x:v>1391.42</x:v>
      </x:c>
    </x:row>
    <x:row r="178">
      <x:c r="A178" s="83" t="n">
        <x:v>177</x:v>
      </x:c>
      <x:c r="B178" s="84" t="n">
        <x:v>129</x:v>
      </x:c>
      <x:c r="C178" s="84" t="n">
        <x:v>5</x:v>
      </x:c>
      <x:c r="D178" s="89" t="n">
        <x:v>45185</x:v>
      </x:c>
      <x:c r="E178" s="84" t="n">
        <x:v>1</x:v>
      </x:c>
      <x:c r="F178" s="91" t="n">
        <x:v>1468.5</x:v>
      </x:c>
    </x:row>
    <x:row r="179">
      <x:c r="A179" s="83" t="n">
        <x:v>178</x:v>
      </x:c>
      <x:c r="B179" s="84" t="n">
        <x:v>129</x:v>
      </x:c>
      <x:c r="C179" s="84" t="n">
        <x:v>2</x:v>
      </x:c>
      <x:c r="D179" s="89" t="n">
        <x:v>45185</x:v>
      </x:c>
      <x:c r="E179" s="84" t="n">
        <x:v>4</x:v>
      </x:c>
      <x:c r="F179" s="91" t="n">
        <x:v>3977.24</x:v>
      </x:c>
    </x:row>
    <x:row r="180">
      <x:c r="A180" s="83" t="n">
        <x:v>179</x:v>
      </x:c>
      <x:c r="B180" s="84" t="n">
        <x:v>130</x:v>
      </x:c>
      <x:c r="C180" s="84" t="n">
        <x:v>10</x:v>
      </x:c>
      <x:c r="D180" s="89" t="n">
        <x:v>45801</x:v>
      </x:c>
      <x:c r="E180" s="84" t="n">
        <x:v>4</x:v>
      </x:c>
      <x:c r="F180" s="91" t="n">
        <x:v>3499.44</x:v>
      </x:c>
    </x:row>
    <x:row r="181">
      <x:c r="A181" s="83" t="n">
        <x:v>180</x:v>
      </x:c>
      <x:c r="B181" s="84" t="n">
        <x:v>132</x:v>
      </x:c>
      <x:c r="C181" s="84" t="n">
        <x:v>80</x:v>
      </x:c>
      <x:c r="D181" s="89" t="n">
        <x:v>45617</x:v>
      </x:c>
      <x:c r="E181" s="84" t="n">
        <x:v>3</x:v>
      </x:c>
      <x:c r="F181" s="91" t="n">
        <x:v>5185.62</x:v>
      </x:c>
    </x:row>
    <x:row r="182">
      <x:c r="A182" s="83" t="n">
        <x:v>181</x:v>
      </x:c>
      <x:c r="B182" s="84" t="n">
        <x:v>132</x:v>
      </x:c>
      <x:c r="C182" s="84" t="n">
        <x:v>44</x:v>
      </x:c>
      <x:c r="D182" s="89" t="n">
        <x:v>45617</x:v>
      </x:c>
      <x:c r="E182" s="84" t="n">
        <x:v>1</x:v>
      </x:c>
      <x:c r="F182" s="91" t="n">
        <x:v>1251.48</x:v>
      </x:c>
    </x:row>
    <x:row r="183">
      <x:c r="A183" s="83" t="n">
        <x:v>182</x:v>
      </x:c>
      <x:c r="B183" s="84" t="n">
        <x:v>132</x:v>
      </x:c>
      <x:c r="C183" s="84" t="n">
        <x:v>79</x:v>
      </x:c>
      <x:c r="D183" s="89" t="n">
        <x:v>45617</x:v>
      </x:c>
      <x:c r="E183" s="84" t="n">
        <x:v>3</x:v>
      </x:c>
      <x:c r="F183" s="91" t="n">
        <x:v>6200.16</x:v>
      </x:c>
    </x:row>
    <x:row r="184">
      <x:c r="A184" s="83" t="n">
        <x:v>183</x:v>
      </x:c>
      <x:c r="B184" s="84" t="n">
        <x:v>133</x:v>
      </x:c>
      <x:c r="C184" s="84" t="n">
        <x:v>4</x:v>
      </x:c>
      <x:c r="D184" s="89" t="n">
        <x:v>45503</x:v>
      </x:c>
      <x:c r="E184" s="84" t="n">
        <x:v>4</x:v>
      </x:c>
      <x:c r="F184" s="91" t="n">
        <x:v>6101.24</x:v>
      </x:c>
    </x:row>
    <x:row r="185">
      <x:c r="A185" s="83" t="n">
        <x:v>184</x:v>
      </x:c>
      <x:c r="B185" s="84" t="n">
        <x:v>133</x:v>
      </x:c>
      <x:c r="C185" s="84" t="n">
        <x:v>31</x:v>
      </x:c>
      <x:c r="D185" s="89" t="n">
        <x:v>45503</x:v>
      </x:c>
      <x:c r="E185" s="84" t="n">
        <x:v>3</x:v>
      </x:c>
      <x:c r="F185" s="91" t="n">
        <x:v>6508.89</x:v>
      </x:c>
    </x:row>
    <x:row r="186">
      <x:c r="A186" s="83" t="n">
        <x:v>185</x:v>
      </x:c>
      <x:c r="B186" s="84" t="n">
        <x:v>136</x:v>
      </x:c>
      <x:c r="C186" s="84" t="n">
        <x:v>23</x:v>
      </x:c>
      <x:c r="D186" s="89" t="n">
        <x:v>45633</x:v>
      </x:c>
      <x:c r="E186" s="84" t="n">
        <x:v>1</x:v>
      </x:c>
      <x:c r="F186" s="91" t="n">
        <x:v>1752.85</x:v>
      </x:c>
    </x:row>
    <x:row r="187">
      <x:c r="A187" s="83" t="n">
        <x:v>186</x:v>
      </x:c>
      <x:c r="B187" s="84" t="n">
        <x:v>136</x:v>
      </x:c>
      <x:c r="C187" s="84" t="n">
        <x:v>16</x:v>
      </x:c>
      <x:c r="D187" s="89" t="n">
        <x:v>45633</x:v>
      </x:c>
      <x:c r="E187" s="84" t="n">
        <x:v>2</x:v>
      </x:c>
      <x:c r="F187" s="91" t="n">
        <x:v>1211.56</x:v>
      </x:c>
    </x:row>
    <x:row r="188">
      <x:c r="A188" s="83" t="n">
        <x:v>187</x:v>
      </x:c>
      <x:c r="B188" s="84" t="n">
        <x:v>136</x:v>
      </x:c>
      <x:c r="C188" s="84" t="n">
        <x:v>63</x:v>
      </x:c>
      <x:c r="D188" s="89" t="n">
        <x:v>45633</x:v>
      </x:c>
      <x:c r="E188" s="84" t="n">
        <x:v>2</x:v>
      </x:c>
      <x:c r="F188" s="91" t="n">
        <x:v>3868.38</x:v>
      </x:c>
    </x:row>
    <x:row r="189">
      <x:c r="A189" s="83" t="n">
        <x:v>188</x:v>
      </x:c>
      <x:c r="B189" s="84" t="n">
        <x:v>138</x:v>
      </x:c>
      <x:c r="C189" s="84" t="n">
        <x:v>66</x:v>
      </x:c>
      <x:c r="D189" s="89" t="n">
        <x:v>45261</x:v>
      </x:c>
      <x:c r="E189" s="84" t="n">
        <x:v>2</x:v>
      </x:c>
      <x:c r="F189" s="91" t="n">
        <x:v>3824.9</x:v>
      </x:c>
    </x:row>
    <x:row r="190">
      <x:c r="A190" s="83" t="n">
        <x:v>189</x:v>
      </x:c>
      <x:c r="B190" s="84" t="n">
        <x:v>139</x:v>
      </x:c>
      <x:c r="C190" s="84" t="n">
        <x:v>20</x:v>
      </x:c>
      <x:c r="D190" s="89" t="n">
        <x:v>44944</x:v>
      </x:c>
      <x:c r="E190" s="84" t="n">
        <x:v>1</x:v>
      </x:c>
      <x:c r="F190" s="91" t="n">
        <x:v>541.2</x:v>
      </x:c>
    </x:row>
    <x:row r="191">
      <x:c r="A191" s="83" t="n">
        <x:v>190</x:v>
      </x:c>
      <x:c r="B191" s="84" t="n">
        <x:v>141</x:v>
      </x:c>
      <x:c r="C191" s="84" t="n">
        <x:v>7</x:v>
      </x:c>
      <x:c r="D191" s="89" t="n">
        <x:v>45175</x:v>
      </x:c>
      <x:c r="E191" s="84" t="n">
        <x:v>4</x:v>
      </x:c>
      <x:c r="F191" s="91" t="n">
        <x:v>1467.2</x:v>
      </x:c>
    </x:row>
    <x:row r="192">
      <x:c r="A192" s="83" t="n">
        <x:v>191</x:v>
      </x:c>
      <x:c r="B192" s="84" t="n">
        <x:v>142</x:v>
      </x:c>
      <x:c r="C192" s="84" t="n">
        <x:v>9</x:v>
      </x:c>
      <x:c r="D192" s="89" t="n">
        <x:v>45774</x:v>
      </x:c>
      <x:c r="E192" s="84" t="n">
        <x:v>4</x:v>
      </x:c>
      <x:c r="F192" s="91" t="n">
        <x:v>6300.24</x:v>
      </x:c>
    </x:row>
    <x:row r="193">
      <x:c r="A193" s="83" t="n">
        <x:v>192</x:v>
      </x:c>
      <x:c r="B193" s="84" t="n">
        <x:v>142</x:v>
      </x:c>
      <x:c r="C193" s="84" t="n">
        <x:v>42</x:v>
      </x:c>
      <x:c r="D193" s="89" t="n">
        <x:v>45774</x:v>
      </x:c>
      <x:c r="E193" s="84" t="n">
        <x:v>4</x:v>
      </x:c>
      <x:c r="F193" s="91" t="n">
        <x:v>8686.96</x:v>
      </x:c>
    </x:row>
    <x:row r="194">
      <x:c r="A194" s="83" t="n">
        <x:v>193</x:v>
      </x:c>
      <x:c r="B194" s="84" t="n">
        <x:v>142</x:v>
      </x:c>
      <x:c r="C194" s="84" t="n">
        <x:v>65</x:v>
      </x:c>
      <x:c r="D194" s="89" t="n">
        <x:v>45774</x:v>
      </x:c>
      <x:c r="E194" s="84" t="n">
        <x:v>1</x:v>
      </x:c>
      <x:c r="F194" s="91" t="n">
        <x:v>1254.84</x:v>
      </x:c>
    </x:row>
    <x:row r="195">
      <x:c r="A195" s="83" t="n">
        <x:v>194</x:v>
      </x:c>
      <x:c r="B195" s="84" t="n">
        <x:v>143</x:v>
      </x:c>
      <x:c r="C195" s="84" t="n">
        <x:v>17</x:v>
      </x:c>
      <x:c r="D195" s="89" t="n">
        <x:v>45203</x:v>
      </x:c>
      <x:c r="E195" s="84" t="n">
        <x:v>1</x:v>
      </x:c>
      <x:c r="F195" s="91" t="n">
        <x:v>2356.42</x:v>
      </x:c>
    </x:row>
    <x:row r="196">
      <x:c r="A196" s="83" t="n">
        <x:v>195</x:v>
      </x:c>
      <x:c r="B196" s="84" t="n">
        <x:v>143</x:v>
      </x:c>
      <x:c r="C196" s="84" t="n">
        <x:v>18</x:v>
      </x:c>
      <x:c r="D196" s="89" t="n">
        <x:v>45203</x:v>
      </x:c>
      <x:c r="E196" s="84" t="n">
        <x:v>1</x:v>
      </x:c>
      <x:c r="F196" s="91" t="n">
        <x:v>666.16</x:v>
      </x:c>
    </x:row>
    <x:row r="197">
      <x:c r="A197" s="83" t="n">
        <x:v>196</x:v>
      </x:c>
      <x:c r="B197" s="84" t="n">
        <x:v>144</x:v>
      </x:c>
      <x:c r="C197" s="84" t="n">
        <x:v>78</x:v>
      </x:c>
      <x:c r="D197" s="89" t="n">
        <x:v>45182</x:v>
      </x:c>
      <x:c r="E197" s="84" t="n">
        <x:v>4</x:v>
      </x:c>
      <x:c r="F197" s="91" t="n">
        <x:v>1134.4</x:v>
      </x:c>
    </x:row>
    <x:row r="198">
      <x:c r="A198" s="83" t="n">
        <x:v>197</x:v>
      </x:c>
      <x:c r="B198" s="84" t="n">
        <x:v>145</x:v>
      </x:c>
      <x:c r="C198" s="84" t="n">
        <x:v>40</x:v>
      </x:c>
      <x:c r="D198" s="89" t="n">
        <x:v>45634</x:v>
      </x:c>
      <x:c r="E198" s="84" t="n">
        <x:v>4</x:v>
      </x:c>
      <x:c r="F198" s="91" t="n">
        <x:v>8140.16</x:v>
      </x:c>
    </x:row>
    <x:row r="199">
      <x:c r="A199" s="83" t="n">
        <x:v>198</x:v>
      </x:c>
      <x:c r="B199" s="84" t="n">
        <x:v>145</x:v>
      </x:c>
      <x:c r="C199" s="84" t="n">
        <x:v>25</x:v>
      </x:c>
      <x:c r="D199" s="89" t="n">
        <x:v>45634</x:v>
      </x:c>
      <x:c r="E199" s="84" t="n">
        <x:v>1</x:v>
      </x:c>
      <x:c r="F199" s="91" t="n">
        <x:v>1079.45</x:v>
      </x:c>
    </x:row>
    <x:row r="200">
      <x:c r="A200" s="83" t="n">
        <x:v>199</x:v>
      </x:c>
      <x:c r="B200" s="84" t="n">
        <x:v>148</x:v>
      </x:c>
      <x:c r="C200" s="84" t="n">
        <x:v>71</x:v>
      </x:c>
      <x:c r="D200" s="89" t="n">
        <x:v>44932</x:v>
      </x:c>
      <x:c r="E200" s="84" t="n">
        <x:v>3</x:v>
      </x:c>
      <x:c r="F200" s="91" t="n">
        <x:v>5950.56</x:v>
      </x:c>
    </x:row>
    <x:row r="201">
      <x:c r="A201" s="83" t="n">
        <x:v>200</x:v>
      </x:c>
      <x:c r="B201" s="84" t="n">
        <x:v>148</x:v>
      </x:c>
      <x:c r="C201" s="84" t="n">
        <x:v>4</x:v>
      </x:c>
      <x:c r="D201" s="89" t="n">
        <x:v>44932</x:v>
      </x:c>
      <x:c r="E201" s="84" t="n">
        <x:v>2</x:v>
      </x:c>
      <x:c r="F201" s="91" t="n">
        <x:v>3050.62</x:v>
      </x:c>
    </x:row>
    <x:row r="202">
      <x:c r="A202" s="83" t="n">
        <x:v>201</x:v>
      </x:c>
      <x:c r="B202" s="84" t="n">
        <x:v>149</x:v>
      </x:c>
      <x:c r="C202" s="84" t="n">
        <x:v>41</x:v>
      </x:c>
      <x:c r="D202" s="89" t="n">
        <x:v>45758</x:v>
      </x:c>
      <x:c r="E202" s="84" t="n">
        <x:v>3</x:v>
      </x:c>
      <x:c r="F202" s="91" t="n">
        <x:v>3546.06</x:v>
      </x:c>
    </x:row>
    <x:row r="203">
      <x:c r="A203" s="83" t="n">
        <x:v>202</x:v>
      </x:c>
      <x:c r="B203" s="84" t="n">
        <x:v>149</x:v>
      </x:c>
      <x:c r="C203" s="84" t="n">
        <x:v>14</x:v>
      </x:c>
      <x:c r="D203" s="89" t="n">
        <x:v>45758</x:v>
      </x:c>
      <x:c r="E203" s="84" t="n">
        <x:v>2</x:v>
      </x:c>
      <x:c r="F203" s="91" t="n">
        <x:v>351.44</x:v>
      </x:c>
    </x:row>
    <x:row r="204">
      <x:c r="A204" s="83" t="n">
        <x:v>203</x:v>
      </x:c>
      <x:c r="B204" s="84" t="n">
        <x:v>149</x:v>
      </x:c>
      <x:c r="C204" s="84" t="n">
        <x:v>26</x:v>
      </x:c>
      <x:c r="D204" s="89" t="n">
        <x:v>45758</x:v>
      </x:c>
      <x:c r="E204" s="84" t="n">
        <x:v>2</x:v>
      </x:c>
      <x:c r="F204" s="91" t="n">
        <x:v>4302</x:v>
      </x:c>
    </x:row>
    <x:row r="205">
      <x:c r="A205" s="83" t="n">
        <x:v>204</x:v>
      </x:c>
      <x:c r="B205" s="84" t="n">
        <x:v>150</x:v>
      </x:c>
      <x:c r="C205" s="84" t="n">
        <x:v>16</x:v>
      </x:c>
      <x:c r="D205" s="89" t="n">
        <x:v>45578</x:v>
      </x:c>
      <x:c r="E205" s="84" t="n">
        <x:v>1</x:v>
      </x:c>
      <x:c r="F205" s="91" t="n">
        <x:v>605.78</x:v>
      </x:c>
    </x:row>
    <x:row r="206">
      <x:c r="A206" s="83" t="n">
        <x:v>205</x:v>
      </x:c>
      <x:c r="B206" s="84" t="n">
        <x:v>150</x:v>
      </x:c>
      <x:c r="C206" s="84" t="n">
        <x:v>10</x:v>
      </x:c>
      <x:c r="D206" s="89" t="n">
        <x:v>45578</x:v>
      </x:c>
      <x:c r="E206" s="84" t="n">
        <x:v>1</x:v>
      </x:c>
      <x:c r="F206" s="91" t="n">
        <x:v>874.86</x:v>
      </x:c>
    </x:row>
    <x:row r="207">
      <x:c r="A207" s="83" t="n">
        <x:v>206</x:v>
      </x:c>
      <x:c r="B207" s="84" t="n">
        <x:v>150</x:v>
      </x:c>
      <x:c r="C207" s="84" t="n">
        <x:v>33</x:v>
      </x:c>
      <x:c r="D207" s="89" t="n">
        <x:v>45578</x:v>
      </x:c>
      <x:c r="E207" s="84" t="n">
        <x:v>3</x:v>
      </x:c>
      <x:c r="F207" s="91" t="n">
        <x:v>7040.76</x:v>
      </x:c>
    </x:row>
    <x:row r="208">
      <x:c r="A208" s="83" t="n">
        <x:v>207</x:v>
      </x:c>
      <x:c r="B208" s="84" t="n">
        <x:v>151</x:v>
      </x:c>
      <x:c r="C208" s="84" t="n">
        <x:v>5</x:v>
      </x:c>
      <x:c r="D208" s="89" t="n">
        <x:v>46017</x:v>
      </x:c>
      <x:c r="E208" s="84" t="n">
        <x:v>3</x:v>
      </x:c>
      <x:c r="F208" s="91" t="n">
        <x:v>4405.5</x:v>
      </x:c>
    </x:row>
    <x:row r="209">
      <x:c r="A209" s="83" t="n">
        <x:v>208</x:v>
      </x:c>
      <x:c r="B209" s="84" t="n">
        <x:v>152</x:v>
      </x:c>
      <x:c r="C209" s="84" t="n">
        <x:v>80</x:v>
      </x:c>
      <x:c r="D209" s="89" t="n">
        <x:v>45297</x:v>
      </x:c>
      <x:c r="E209" s="84" t="n">
        <x:v>1</x:v>
      </x:c>
      <x:c r="F209" s="91" t="n">
        <x:v>1728.54</x:v>
      </x:c>
    </x:row>
    <x:row r="210">
      <x:c r="A210" s="83" t="n">
        <x:v>209</x:v>
      </x:c>
      <x:c r="B210" s="84" t="n">
        <x:v>152</x:v>
      </x:c>
      <x:c r="C210" s="84" t="n">
        <x:v>54</x:v>
      </x:c>
      <x:c r="D210" s="89" t="n">
        <x:v>45297</x:v>
      </x:c>
      <x:c r="E210" s="84" t="n">
        <x:v>2</x:v>
      </x:c>
      <x:c r="F210" s="91" t="n">
        <x:v>1372.8</x:v>
      </x:c>
    </x:row>
    <x:row r="211">
      <x:c r="A211" s="83" t="n">
        <x:v>210</x:v>
      </x:c>
      <x:c r="B211" s="84" t="n">
        <x:v>153</x:v>
      </x:c>
      <x:c r="C211" s="84" t="n">
        <x:v>54</x:v>
      </x:c>
      <x:c r="D211" s="89" t="n">
        <x:v>45568</x:v>
      </x:c>
      <x:c r="E211" s="84" t="n">
        <x:v>2</x:v>
      </x:c>
      <x:c r="F211" s="91" t="n">
        <x:v>1372.8</x:v>
      </x:c>
    </x:row>
    <x:row r="212">
      <x:c r="A212" s="83" t="n">
        <x:v>211</x:v>
      </x:c>
      <x:c r="B212" s="84" t="n">
        <x:v>153</x:v>
      </x:c>
      <x:c r="C212" s="84" t="n">
        <x:v>16</x:v>
      </x:c>
      <x:c r="D212" s="89" t="n">
        <x:v>45568</x:v>
      </x:c>
      <x:c r="E212" s="84" t="n">
        <x:v>1</x:v>
      </x:c>
      <x:c r="F212" s="91" t="n">
        <x:v>605.78</x:v>
      </x:c>
    </x:row>
    <x:row r="213">
      <x:c r="A213" s="83" t="n">
        <x:v>212</x:v>
      </x:c>
      <x:c r="B213" s="84" t="n">
        <x:v>153</x:v>
      </x:c>
      <x:c r="C213" s="84" t="n">
        <x:v>77</x:v>
      </x:c>
      <x:c r="D213" s="89" t="n">
        <x:v>45568</x:v>
      </x:c>
      <x:c r="E213" s="84" t="n">
        <x:v>4</x:v>
      </x:c>
      <x:c r="F213" s="91" t="n">
        <x:v>8411.64</x:v>
      </x:c>
    </x:row>
    <x:row r="214">
      <x:c r="A214" s="83" t="n">
        <x:v>213</x:v>
      </x:c>
      <x:c r="B214" s="84" t="n">
        <x:v>157</x:v>
      </x:c>
      <x:c r="C214" s="84" t="n">
        <x:v>73</x:v>
      </x:c>
      <x:c r="D214" s="89" t="n">
        <x:v>45401</x:v>
      </x:c>
      <x:c r="E214" s="84" t="n">
        <x:v>3</x:v>
      </x:c>
      <x:c r="F214" s="91" t="n">
        <x:v>3381.93</x:v>
      </x:c>
    </x:row>
    <x:row r="215">
      <x:c r="A215" s="83" t="n">
        <x:v>214</x:v>
      </x:c>
      <x:c r="B215" s="84" t="n">
        <x:v>159</x:v>
      </x:c>
      <x:c r="C215" s="84" t="n">
        <x:v>68</x:v>
      </x:c>
      <x:c r="D215" s="89" t="n">
        <x:v>45200</x:v>
      </x:c>
      <x:c r="E215" s="84" t="n">
        <x:v>4</x:v>
      </x:c>
      <x:c r="F215" s="91" t="n">
        <x:v>6110.44</x:v>
      </x:c>
    </x:row>
    <x:row r="216">
      <x:c r="A216" s="83" t="n">
        <x:v>215</x:v>
      </x:c>
      <x:c r="B216" s="84" t="n">
        <x:v>159</x:v>
      </x:c>
      <x:c r="C216" s="84" t="n">
        <x:v>46</x:v>
      </x:c>
      <x:c r="D216" s="89" t="n">
        <x:v>45200</x:v>
      </x:c>
      <x:c r="E216" s="84" t="n">
        <x:v>4</x:v>
      </x:c>
      <x:c r="F216" s="91" t="n">
        <x:v>5339.8</x:v>
      </x:c>
    </x:row>
    <x:row r="217">
      <x:c r="A217" s="83" t="n">
        <x:v>216</x:v>
      </x:c>
      <x:c r="B217" s="84" t="n">
        <x:v>159</x:v>
      </x:c>
      <x:c r="C217" s="84" t="n">
        <x:v>9</x:v>
      </x:c>
      <x:c r="D217" s="89" t="n">
        <x:v>45200</x:v>
      </x:c>
      <x:c r="E217" s="84" t="n">
        <x:v>4</x:v>
      </x:c>
      <x:c r="F217" s="91" t="n">
        <x:v>6300.24</x:v>
      </x:c>
    </x:row>
    <x:row r="218">
      <x:c r="A218" s="83" t="n">
        <x:v>217</x:v>
      </x:c>
      <x:c r="B218" s="84" t="n">
        <x:v>161</x:v>
      </x:c>
      <x:c r="C218" s="84" t="n">
        <x:v>51</x:v>
      </x:c>
      <x:c r="D218" s="89" t="n">
        <x:v>45125</x:v>
      </x:c>
      <x:c r="E218" s="84" t="n">
        <x:v>4</x:v>
      </x:c>
      <x:c r="F218" s="91" t="n">
        <x:v>3568.64</x:v>
      </x:c>
    </x:row>
    <x:row r="219">
      <x:c r="A219" s="83" t="n">
        <x:v>218</x:v>
      </x:c>
      <x:c r="B219" s="84" t="n">
        <x:v>161</x:v>
      </x:c>
      <x:c r="C219" s="84" t="n">
        <x:v>72</x:v>
      </x:c>
      <x:c r="D219" s="89" t="n">
        <x:v>45125</x:v>
      </x:c>
      <x:c r="E219" s="84" t="n">
        <x:v>4</x:v>
      </x:c>
      <x:c r="F219" s="91" t="n">
        <x:v>1803.32</x:v>
      </x:c>
    </x:row>
    <x:row r="220">
      <x:c r="A220" s="83" t="n">
        <x:v>219</x:v>
      </x:c>
      <x:c r="B220" s="84" t="n">
        <x:v>161</x:v>
      </x:c>
      <x:c r="C220" s="84" t="n">
        <x:v>75</x:v>
      </x:c>
      <x:c r="D220" s="89" t="n">
        <x:v>45125</x:v>
      </x:c>
      <x:c r="E220" s="84" t="n">
        <x:v>1</x:v>
      </x:c>
      <x:c r="F220" s="91" t="n">
        <x:v>456.17</x:v>
      </x:c>
    </x:row>
    <x:row r="221">
      <x:c r="A221" s="83" t="n">
        <x:v>220</x:v>
      </x:c>
      <x:c r="B221" s="84" t="n">
        <x:v>163</x:v>
      </x:c>
      <x:c r="C221" s="84" t="n">
        <x:v>32</x:v>
      </x:c>
      <x:c r="D221" s="89" t="n">
        <x:v>45864</x:v>
      </x:c>
      <x:c r="E221" s="84" t="n">
        <x:v>1</x:v>
      </x:c>
      <x:c r="F221" s="91" t="n">
        <x:v>1813.25</x:v>
      </x:c>
    </x:row>
    <x:row r="222">
      <x:c r="A222" s="83" t="n">
        <x:v>221</x:v>
      </x:c>
      <x:c r="B222" s="84" t="n">
        <x:v>163</x:v>
      </x:c>
      <x:c r="C222" s="84" t="n">
        <x:v>68</x:v>
      </x:c>
      <x:c r="D222" s="89" t="n">
        <x:v>45864</x:v>
      </x:c>
      <x:c r="E222" s="84" t="n">
        <x:v>2</x:v>
      </x:c>
      <x:c r="F222" s="91" t="n">
        <x:v>3055.22</x:v>
      </x:c>
    </x:row>
    <x:row r="223">
      <x:c r="A223" s="83" t="n">
        <x:v>222</x:v>
      </x:c>
      <x:c r="B223" s="84" t="n">
        <x:v>163</x:v>
      </x:c>
      <x:c r="C223" s="84" t="n">
        <x:v>26</x:v>
      </x:c>
      <x:c r="D223" s="89" t="n">
        <x:v>45864</x:v>
      </x:c>
      <x:c r="E223" s="84" t="n">
        <x:v>4</x:v>
      </x:c>
      <x:c r="F223" s="91" t="n">
        <x:v>8604</x:v>
      </x:c>
    </x:row>
    <x:row r="224">
      <x:c r="A224" s="83" t="n">
        <x:v>223</x:v>
      </x:c>
      <x:c r="B224" s="84" t="n">
        <x:v>164</x:v>
      </x:c>
      <x:c r="C224" s="84" t="n">
        <x:v>20</x:v>
      </x:c>
      <x:c r="D224" s="89" t="n">
        <x:v>45806</x:v>
      </x:c>
      <x:c r="E224" s="84" t="n">
        <x:v>4</x:v>
      </x:c>
      <x:c r="F224" s="91" t="n">
        <x:v>2164.8</x:v>
      </x:c>
    </x:row>
    <x:row r="225">
      <x:c r="A225" s="83" t="n">
        <x:v>224</x:v>
      </x:c>
      <x:c r="B225" s="84" t="n">
        <x:v>165</x:v>
      </x:c>
      <x:c r="C225" s="84" t="n">
        <x:v>21</x:v>
      </x:c>
      <x:c r="D225" s="89" t="n">
        <x:v>45676</x:v>
      </x:c>
      <x:c r="E225" s="84" t="n">
        <x:v>1</x:v>
      </x:c>
      <x:c r="F225" s="91" t="n">
        <x:v>2288.87</x:v>
      </x:c>
    </x:row>
    <x:row r="226">
      <x:c r="A226" s="83" t="n">
        <x:v>225</x:v>
      </x:c>
      <x:c r="B226" s="84" t="n">
        <x:v>165</x:v>
      </x:c>
      <x:c r="C226" s="84" t="n">
        <x:v>50</x:v>
      </x:c>
      <x:c r="D226" s="89" t="n">
        <x:v>45676</x:v>
      </x:c>
      <x:c r="E226" s="84" t="n">
        <x:v>4</x:v>
      </x:c>
      <x:c r="F226" s="91" t="n">
        <x:v>8943.8</x:v>
      </x:c>
    </x:row>
    <x:row r="227">
      <x:c r="A227" s="83" t="n">
        <x:v>226</x:v>
      </x:c>
      <x:c r="B227" s="84" t="n">
        <x:v>166</x:v>
      </x:c>
      <x:c r="C227" s="84" t="n">
        <x:v>29</x:v>
      </x:c>
      <x:c r="D227" s="89" t="n">
        <x:v>45487</x:v>
      </x:c>
      <x:c r="E227" s="84" t="n">
        <x:v>1</x:v>
      </x:c>
      <x:c r="F227" s="91" t="n">
        <x:v>1552.47</x:v>
      </x:c>
    </x:row>
    <x:row r="228">
      <x:c r="A228" s="83" t="n">
        <x:v>227</x:v>
      </x:c>
      <x:c r="B228" s="84" t="n">
        <x:v>166</x:v>
      </x:c>
      <x:c r="C228" s="84" t="n">
        <x:v>36</x:v>
      </x:c>
      <x:c r="D228" s="89" t="n">
        <x:v>45487</x:v>
      </x:c>
      <x:c r="E228" s="84" t="n">
        <x:v>3</x:v>
      </x:c>
      <x:c r="F228" s="91" t="n">
        <x:v>1789.23</x:v>
      </x:c>
    </x:row>
    <x:row r="229">
      <x:c r="A229" s="83" t="n">
        <x:v>228</x:v>
      </x:c>
      <x:c r="B229" s="84" t="n">
        <x:v>169</x:v>
      </x:c>
      <x:c r="C229" s="84" t="n">
        <x:v>60</x:v>
      </x:c>
      <x:c r="D229" s="89" t="n">
        <x:v>45210</x:v>
      </x:c>
      <x:c r="E229" s="84" t="n">
        <x:v>2</x:v>
      </x:c>
      <x:c r="F229" s="91" t="n">
        <x:v>707.6</x:v>
      </x:c>
    </x:row>
    <x:row r="230">
      <x:c r="A230" s="83" t="n">
        <x:v>229</x:v>
      </x:c>
      <x:c r="B230" s="84" t="n">
        <x:v>169</x:v>
      </x:c>
      <x:c r="C230" s="84" t="n">
        <x:v>34</x:v>
      </x:c>
      <x:c r="D230" s="89" t="n">
        <x:v>45210</x:v>
      </x:c>
      <x:c r="E230" s="84" t="n">
        <x:v>4</x:v>
      </x:c>
      <x:c r="F230" s="91" t="n">
        <x:v>7908.36</x:v>
      </x:c>
    </x:row>
    <x:row r="231">
      <x:c r="A231" s="83" t="n">
        <x:v>230</x:v>
      </x:c>
      <x:c r="B231" s="84" t="n">
        <x:v>170</x:v>
      </x:c>
      <x:c r="C231" s="84" t="n">
        <x:v>62</x:v>
      </x:c>
      <x:c r="D231" s="89" t="n">
        <x:v>45674</x:v>
      </x:c>
      <x:c r="E231" s="84" t="n">
        <x:v>4</x:v>
      </x:c>
      <x:c r="F231" s="91" t="n">
        <x:v>6069.24</x:v>
      </x:c>
    </x:row>
    <x:row r="232">
      <x:c r="A232" s="83" t="n">
        <x:v>231</x:v>
      </x:c>
      <x:c r="B232" s="84" t="n">
        <x:v>170</x:v>
      </x:c>
      <x:c r="C232" s="84" t="n">
        <x:v>67</x:v>
      </x:c>
      <x:c r="D232" s="89" t="n">
        <x:v>45674</x:v>
      </x:c>
      <x:c r="E232" s="84" t="n">
        <x:v>3</x:v>
      </x:c>
      <x:c r="F232" s="91" t="n">
        <x:v>3838.59</x:v>
      </x:c>
    </x:row>
    <x:row r="233">
      <x:c r="A233" s="83" t="n">
        <x:v>232</x:v>
      </x:c>
      <x:c r="B233" s="84" t="n">
        <x:v>171</x:v>
      </x:c>
      <x:c r="C233" s="84" t="n">
        <x:v>2</x:v>
      </x:c>
      <x:c r="D233" s="89" t="n">
        <x:v>45677</x:v>
      </x:c>
      <x:c r="E233" s="84" t="n">
        <x:v>4</x:v>
      </x:c>
      <x:c r="F233" s="91" t="n">
        <x:v>3977.24</x:v>
      </x:c>
    </x:row>
    <x:row r="234">
      <x:c r="A234" s="83" t="n">
        <x:v>233</x:v>
      </x:c>
      <x:c r="B234" s="84" t="n">
        <x:v>171</x:v>
      </x:c>
      <x:c r="C234" s="84" t="n">
        <x:v>33</x:v>
      </x:c>
      <x:c r="D234" s="89" t="n">
        <x:v>45677</x:v>
      </x:c>
      <x:c r="E234" s="84" t="n">
        <x:v>1</x:v>
      </x:c>
      <x:c r="F234" s="91" t="n">
        <x:v>2346.92</x:v>
      </x:c>
    </x:row>
    <x:row r="235">
      <x:c r="A235" s="83" t="n">
        <x:v>234</x:v>
      </x:c>
      <x:c r="B235" s="84" t="n">
        <x:v>172</x:v>
      </x:c>
      <x:c r="C235" s="84" t="n">
        <x:v>77</x:v>
      </x:c>
      <x:c r="D235" s="89" t="n">
        <x:v>45526</x:v>
      </x:c>
      <x:c r="E235" s="84" t="n">
        <x:v>3</x:v>
      </x:c>
      <x:c r="F235" s="91" t="n">
        <x:v>6308.73</x:v>
      </x:c>
    </x:row>
    <x:row r="236">
      <x:c r="A236" s="83" t="n">
        <x:v>235</x:v>
      </x:c>
      <x:c r="B236" s="84" t="n">
        <x:v>172</x:v>
      </x:c>
      <x:c r="C236" s="84" t="n">
        <x:v>20</x:v>
      </x:c>
      <x:c r="D236" s="89" t="n">
        <x:v>45526</x:v>
      </x:c>
      <x:c r="E236" s="84" t="n">
        <x:v>1</x:v>
      </x:c>
      <x:c r="F236" s="91" t="n">
        <x:v>541.2</x:v>
      </x:c>
    </x:row>
    <x:row r="237">
      <x:c r="A237" s="83" t="n">
        <x:v>236</x:v>
      </x:c>
      <x:c r="B237" s="84" t="n">
        <x:v>172</x:v>
      </x:c>
      <x:c r="C237" s="84" t="n">
        <x:v>1</x:v>
      </x:c>
      <x:c r="D237" s="89" t="n">
        <x:v>45526</x:v>
      </x:c>
      <x:c r="E237" s="84" t="n">
        <x:v>3</x:v>
      </x:c>
      <x:c r="F237" s="91" t="n">
        <x:v>5218.8</x:v>
      </x:c>
    </x:row>
    <x:row r="238">
      <x:c r="A238" s="83" t="n">
        <x:v>237</x:v>
      </x:c>
      <x:c r="B238" s="84" t="n">
        <x:v>173</x:v>
      </x:c>
      <x:c r="C238" s="84" t="n">
        <x:v>6</x:v>
      </x:c>
      <x:c r="D238" s="89" t="n">
        <x:v>45600</x:v>
      </x:c>
      <x:c r="E238" s="84" t="n">
        <x:v>2</x:v>
      </x:c>
      <x:c r="F238" s="91" t="n">
        <x:v>1394.74</x:v>
      </x:c>
    </x:row>
    <x:row r="239">
      <x:c r="A239" s="83" t="n">
        <x:v>238</x:v>
      </x:c>
      <x:c r="B239" s="84" t="n">
        <x:v>173</x:v>
      </x:c>
      <x:c r="C239" s="84" t="n">
        <x:v>9</x:v>
      </x:c>
      <x:c r="D239" s="89" t="n">
        <x:v>45600</x:v>
      </x:c>
      <x:c r="E239" s="84" t="n">
        <x:v>1</x:v>
      </x:c>
      <x:c r="F239" s="91" t="n">
        <x:v>1575.06</x:v>
      </x:c>
    </x:row>
    <x:row r="240">
      <x:c r="A240" s="83" t="n">
        <x:v>239</x:v>
      </x:c>
      <x:c r="B240" s="84" t="n">
        <x:v>174</x:v>
      </x:c>
      <x:c r="C240" s="84" t="n">
        <x:v>48</x:v>
      </x:c>
      <x:c r="D240" s="89" t="n">
        <x:v>45031</x:v>
      </x:c>
      <x:c r="E240" s="84" t="n">
        <x:v>2</x:v>
      </x:c>
      <x:c r="F240" s="91" t="n">
        <x:v>2322.9</x:v>
      </x:c>
    </x:row>
    <x:row r="241">
      <x:c r="A241" s="83" t="n">
        <x:v>240</x:v>
      </x:c>
      <x:c r="B241" s="84" t="n">
        <x:v>174</x:v>
      </x:c>
      <x:c r="C241" s="84" t="n">
        <x:v>61</x:v>
      </x:c>
      <x:c r="D241" s="89" t="n">
        <x:v>45031</x:v>
      </x:c>
      <x:c r="E241" s="84" t="n">
        <x:v>2</x:v>
      </x:c>
      <x:c r="F241" s="91" t="n">
        <x:v>263.44</x:v>
      </x:c>
    </x:row>
    <x:row r="242">
      <x:c r="A242" s="83" t="n">
        <x:v>241</x:v>
      </x:c>
      <x:c r="B242" s="84" t="n">
        <x:v>175</x:v>
      </x:c>
      <x:c r="C242" s="84" t="n">
        <x:v>50</x:v>
      </x:c>
      <x:c r="D242" s="89" t="n">
        <x:v>44971</x:v>
      </x:c>
      <x:c r="E242" s="84" t="n">
        <x:v>4</x:v>
      </x:c>
      <x:c r="F242" s="91" t="n">
        <x:v>8943.8</x:v>
      </x:c>
    </x:row>
    <x:row r="243">
      <x:c r="A243" s="83" t="n">
        <x:v>242</x:v>
      </x:c>
      <x:c r="B243" s="84" t="n">
        <x:v>175</x:v>
      </x:c>
      <x:c r="C243" s="84" t="n">
        <x:v>11</x:v>
      </x:c>
      <x:c r="D243" s="89" t="n">
        <x:v>44971</x:v>
      </x:c>
      <x:c r="E243" s="84" t="n">
        <x:v>4</x:v>
      </x:c>
      <x:c r="F243" s="91" t="n">
        <x:v>8845.04</x:v>
      </x:c>
    </x:row>
    <x:row r="244">
      <x:c r="A244" s="83" t="n">
        <x:v>243</x:v>
      </x:c>
      <x:c r="B244" s="84" t="n">
        <x:v>175</x:v>
      </x:c>
      <x:c r="C244" s="84" t="n">
        <x:v>31</x:v>
      </x:c>
      <x:c r="D244" s="89" t="n">
        <x:v>44971</x:v>
      </x:c>
      <x:c r="E244" s="84" t="n">
        <x:v>2</x:v>
      </x:c>
      <x:c r="F244" s="91" t="n">
        <x:v>4339.26</x:v>
      </x:c>
    </x:row>
    <x:row r="245">
      <x:c r="A245" s="83" t="n">
        <x:v>244</x:v>
      </x:c>
      <x:c r="B245" s="84" t="n">
        <x:v>180</x:v>
      </x:c>
      <x:c r="C245" s="84" t="n">
        <x:v>50</x:v>
      </x:c>
      <x:c r="D245" s="89" t="n">
        <x:v>45184</x:v>
      </x:c>
      <x:c r="E245" s="84" t="n">
        <x:v>4</x:v>
      </x:c>
      <x:c r="F245" s="91" t="n">
        <x:v>8943.8</x:v>
      </x:c>
    </x:row>
    <x:row r="246">
      <x:c r="A246" s="83" t="n">
        <x:v>245</x:v>
      </x:c>
      <x:c r="B246" s="84" t="n">
        <x:v>180</x:v>
      </x:c>
      <x:c r="C246" s="84" t="n">
        <x:v>10</x:v>
      </x:c>
      <x:c r="D246" s="89" t="n">
        <x:v>45184</x:v>
      </x:c>
      <x:c r="E246" s="84" t="n">
        <x:v>3</x:v>
      </x:c>
      <x:c r="F246" s="91" t="n">
        <x:v>2624.58</x:v>
      </x:c>
    </x:row>
    <x:row r="247">
      <x:c r="A247" s="83" t="n">
        <x:v>246</x:v>
      </x:c>
      <x:c r="B247" s="84" t="n">
        <x:v>180</x:v>
      </x:c>
      <x:c r="C247" s="84" t="n">
        <x:v>55</x:v>
      </x:c>
      <x:c r="D247" s="89" t="n">
        <x:v>45184</x:v>
      </x:c>
      <x:c r="E247" s="84" t="n">
        <x:v>3</x:v>
      </x:c>
      <x:c r="F247" s="91" t="n">
        <x:v>4499.55</x:v>
      </x:c>
    </x:row>
    <x:row r="248">
      <x:c r="A248" s="83" t="n">
        <x:v>247</x:v>
      </x:c>
      <x:c r="B248" s="84" t="n">
        <x:v>181</x:v>
      </x:c>
      <x:c r="C248" s="84" t="n">
        <x:v>25</x:v>
      </x:c>
      <x:c r="D248" s="89" t="n">
        <x:v>45946</x:v>
      </x:c>
      <x:c r="E248" s="84" t="n">
        <x:v>4</x:v>
      </x:c>
      <x:c r="F248" s="91" t="n">
        <x:v>4317.8</x:v>
      </x:c>
    </x:row>
    <x:row r="249">
      <x:c r="A249" s="83" t="n">
        <x:v>248</x:v>
      </x:c>
      <x:c r="B249" s="84" t="n">
        <x:v>181</x:v>
      </x:c>
      <x:c r="C249" s="84" t="n">
        <x:v>36</x:v>
      </x:c>
      <x:c r="D249" s="89" t="n">
        <x:v>45946</x:v>
      </x:c>
      <x:c r="E249" s="84" t="n">
        <x:v>4</x:v>
      </x:c>
      <x:c r="F249" s="91" t="n">
        <x:v>2385.64</x:v>
      </x:c>
    </x:row>
    <x:row r="250">
      <x:c r="A250" s="83" t="n">
        <x:v>249</x:v>
      </x:c>
      <x:c r="B250" s="84" t="n">
        <x:v>181</x:v>
      </x:c>
      <x:c r="C250" s="84" t="n">
        <x:v>57</x:v>
      </x:c>
      <x:c r="D250" s="89" t="n">
        <x:v>45946</x:v>
      </x:c>
      <x:c r="E250" s="84" t="n">
        <x:v>1</x:v>
      </x:c>
      <x:c r="F250" s="91" t="n">
        <x:v>1179.06</x:v>
      </x:c>
    </x:row>
    <x:row r="251">
      <x:c r="A251" s="83" t="n">
        <x:v>250</x:v>
      </x:c>
      <x:c r="B251" s="84" t="n">
        <x:v>182</x:v>
      </x:c>
      <x:c r="C251" s="84" t="n">
        <x:v>56</x:v>
      </x:c>
      <x:c r="D251" s="89" t="n">
        <x:v>45115</x:v>
      </x:c>
      <x:c r="E251" s="84" t="n">
        <x:v>2</x:v>
      </x:c>
      <x:c r="F251" s="91" t="n">
        <x:v>2936.92</x:v>
      </x:c>
    </x:row>
    <x:row r="252">
      <x:c r="A252" s="83" t="n">
        <x:v>251</x:v>
      </x:c>
      <x:c r="B252" s="84" t="n">
        <x:v>182</x:v>
      </x:c>
      <x:c r="C252" s="84" t="n">
        <x:v>53</x:v>
      </x:c>
      <x:c r="D252" s="89" t="n">
        <x:v>45115</x:v>
      </x:c>
      <x:c r="E252" s="84" t="n">
        <x:v>2</x:v>
      </x:c>
      <x:c r="F252" s="91" t="n">
        <x:v>3181.84</x:v>
      </x:c>
    </x:row>
    <x:row r="253">
      <x:c r="A253" s="83" t="n">
        <x:v>252</x:v>
      </x:c>
      <x:c r="B253" s="84" t="n">
        <x:v>182</x:v>
      </x:c>
      <x:c r="C253" s="84" t="n">
        <x:v>47</x:v>
      </x:c>
      <x:c r="D253" s="89" t="n">
        <x:v>45115</x:v>
      </x:c>
      <x:c r="E253" s="84" t="n">
        <x:v>1</x:v>
      </x:c>
      <x:c r="F253" s="91" t="n">
        <x:v>2175.62</x:v>
      </x:c>
    </x:row>
    <x:row r="254">
      <x:c r="A254" s="83" t="n">
        <x:v>253</x:v>
      </x:c>
      <x:c r="B254" s="84" t="n">
        <x:v>186</x:v>
      </x:c>
      <x:c r="C254" s="84" t="n">
        <x:v>50</x:v>
      </x:c>
      <x:c r="D254" s="89" t="n">
        <x:v>45834</x:v>
      </x:c>
      <x:c r="E254" s="84" t="n">
        <x:v>3</x:v>
      </x:c>
      <x:c r="F254" s="91" t="n">
        <x:v>6707.85</x:v>
      </x:c>
    </x:row>
    <x:row r="255">
      <x:c r="A255" s="83" t="n">
        <x:v>254</x:v>
      </x:c>
      <x:c r="B255" s="84" t="n">
        <x:v>186</x:v>
      </x:c>
      <x:c r="C255" s="84" t="n">
        <x:v>59</x:v>
      </x:c>
      <x:c r="D255" s="89" t="n">
        <x:v>45834</x:v>
      </x:c>
      <x:c r="E255" s="84" t="n">
        <x:v>4</x:v>
      </x:c>
      <x:c r="F255" s="91" t="n">
        <x:v>6065.8</x:v>
      </x:c>
    </x:row>
    <x:row r="256">
      <x:c r="A256" s="83" t="n">
        <x:v>255</x:v>
      </x:c>
      <x:c r="B256" s="84" t="n">
        <x:v>186</x:v>
      </x:c>
      <x:c r="C256" s="84" t="n">
        <x:v>9</x:v>
      </x:c>
      <x:c r="D256" s="89" t="n">
        <x:v>45834</x:v>
      </x:c>
      <x:c r="E256" s="84" t="n">
        <x:v>3</x:v>
      </x:c>
      <x:c r="F256" s="91" t="n">
        <x:v>4725.18</x:v>
      </x:c>
    </x:row>
    <x:row r="257">
      <x:c r="A257" s="83" t="n">
        <x:v>256</x:v>
      </x:c>
      <x:c r="B257" s="84" t="n">
        <x:v>187</x:v>
      </x:c>
      <x:c r="C257" s="84" t="n">
        <x:v>9</x:v>
      </x:c>
      <x:c r="D257" s="89" t="n">
        <x:v>45025</x:v>
      </x:c>
      <x:c r="E257" s="84" t="n">
        <x:v>2</x:v>
      </x:c>
      <x:c r="F257" s="91" t="n">
        <x:v>3150.12</x:v>
      </x:c>
    </x:row>
    <x:row r="258">
      <x:c r="A258" s="83" t="n">
        <x:v>257</x:v>
      </x:c>
      <x:c r="B258" s="84" t="n">
        <x:v>187</x:v>
      </x:c>
      <x:c r="C258" s="84" t="n">
        <x:v>20</x:v>
      </x:c>
      <x:c r="D258" s="89" t="n">
        <x:v>45025</x:v>
      </x:c>
      <x:c r="E258" s="84" t="n">
        <x:v>1</x:v>
      </x:c>
      <x:c r="F258" s="91" t="n">
        <x:v>541.2</x:v>
      </x:c>
    </x:row>
    <x:row r="259">
      <x:c r="A259" s="83" t="n">
        <x:v>258</x:v>
      </x:c>
      <x:c r="B259" s="84" t="n">
        <x:v>187</x:v>
      </x:c>
      <x:c r="C259" s="84" t="n">
        <x:v>18</x:v>
      </x:c>
      <x:c r="D259" s="89" t="n">
        <x:v>45025</x:v>
      </x:c>
      <x:c r="E259" s="84" t="n">
        <x:v>2</x:v>
      </x:c>
      <x:c r="F259" s="91" t="n">
        <x:v>1332.32</x:v>
      </x:c>
    </x:row>
    <x:row r="260">
      <x:c r="A260" s="83" t="n">
        <x:v>259</x:v>
      </x:c>
      <x:c r="B260" s="84" t="n">
        <x:v>189</x:v>
      </x:c>
      <x:c r="C260" s="84" t="n">
        <x:v>17</x:v>
      </x:c>
      <x:c r="D260" s="89" t="n">
        <x:v>45431</x:v>
      </x:c>
      <x:c r="E260" s="84" t="n">
        <x:v>3</x:v>
      </x:c>
      <x:c r="F260" s="91" t="n">
        <x:v>7069.26</x:v>
      </x:c>
    </x:row>
    <x:row r="261">
      <x:c r="A261" s="83" t="n">
        <x:v>260</x:v>
      </x:c>
      <x:c r="B261" s="84" t="n">
        <x:v>189</x:v>
      </x:c>
      <x:c r="C261" s="84" t="n">
        <x:v>51</x:v>
      </x:c>
      <x:c r="D261" s="89" t="n">
        <x:v>45431</x:v>
      </x:c>
      <x:c r="E261" s="84" t="n">
        <x:v>4</x:v>
      </x:c>
      <x:c r="F261" s="91" t="n">
        <x:v>3568.64</x:v>
      </x:c>
    </x:row>
    <x:row r="262">
      <x:c r="A262" s="83" t="n">
        <x:v>261</x:v>
      </x:c>
      <x:c r="B262" s="84" t="n">
        <x:v>191</x:v>
      </x:c>
      <x:c r="C262" s="84" t="n">
        <x:v>33</x:v>
      </x:c>
      <x:c r="D262" s="89" t="n">
        <x:v>45171</x:v>
      </x:c>
      <x:c r="E262" s="84" t="n">
        <x:v>4</x:v>
      </x:c>
      <x:c r="F262" s="91" t="n">
        <x:v>9387.68</x:v>
      </x:c>
    </x:row>
    <x:row r="263">
      <x:c r="A263" s="83" t="n">
        <x:v>262</x:v>
      </x:c>
      <x:c r="B263" s="84" t="n">
        <x:v>192</x:v>
      </x:c>
      <x:c r="C263" s="84" t="n">
        <x:v>64</x:v>
      </x:c>
      <x:c r="D263" s="89" t="n">
        <x:v>45940</x:v>
      </x:c>
      <x:c r="E263" s="84" t="n">
        <x:v>3</x:v>
      </x:c>
      <x:c r="F263" s="91" t="n">
        <x:v>4396.26</x:v>
      </x:c>
    </x:row>
    <x:row r="264">
      <x:c r="A264" s="83" t="n">
        <x:v>263</x:v>
      </x:c>
      <x:c r="B264" s="84" t="n">
        <x:v>192</x:v>
      </x:c>
      <x:c r="C264" s="84" t="n">
        <x:v>57</x:v>
      </x:c>
      <x:c r="D264" s="89" t="n">
        <x:v>45940</x:v>
      </x:c>
      <x:c r="E264" s="84" t="n">
        <x:v>3</x:v>
      </x:c>
      <x:c r="F264" s="91" t="n">
        <x:v>3537.18</x:v>
      </x:c>
    </x:row>
    <x:row r="265">
      <x:c r="A265" s="83" t="n">
        <x:v>264</x:v>
      </x:c>
      <x:c r="B265" s="84" t="n">
        <x:v>192</x:v>
      </x:c>
      <x:c r="C265" s="84" t="n">
        <x:v>39</x:v>
      </x:c>
      <x:c r="D265" s="89" t="n">
        <x:v>45940</x:v>
      </x:c>
      <x:c r="E265" s="84" t="n">
        <x:v>1</x:v>
      </x:c>
      <x:c r="F265" s="91" t="n">
        <x:v>677.6</x:v>
      </x:c>
    </x:row>
    <x:row r="266">
      <x:c r="A266" s="83" t="n">
        <x:v>265</x:v>
      </x:c>
      <x:c r="B266" s="84" t="n">
        <x:v>193</x:v>
      </x:c>
      <x:c r="C266" s="84" t="n">
        <x:v>61</x:v>
      </x:c>
      <x:c r="D266" s="89" t="n">
        <x:v>45063</x:v>
      </x:c>
      <x:c r="E266" s="84" t="n">
        <x:v>4</x:v>
      </x:c>
      <x:c r="F266" s="91" t="n">
        <x:v>526.88</x:v>
      </x:c>
    </x:row>
    <x:row r="267">
      <x:c r="A267" s="83" t="n">
        <x:v>266</x:v>
      </x:c>
      <x:c r="B267" s="84" t="n">
        <x:v>193</x:v>
      </x:c>
      <x:c r="C267" s="84" t="n">
        <x:v>6</x:v>
      </x:c>
      <x:c r="D267" s="89" t="n">
        <x:v>45063</x:v>
      </x:c>
      <x:c r="E267" s="84" t="n">
        <x:v>3</x:v>
      </x:c>
      <x:c r="F267" s="91" t="n">
        <x:v>2092.11</x:v>
      </x:c>
    </x:row>
    <x:row r="268">
      <x:c r="A268" s="83" t="n">
        <x:v>267</x:v>
      </x:c>
      <x:c r="B268" s="84" t="n">
        <x:v>194</x:v>
      </x:c>
      <x:c r="C268" s="84" t="n">
        <x:v>71</x:v>
      </x:c>
      <x:c r="D268" s="89" t="n">
        <x:v>45908</x:v>
      </x:c>
      <x:c r="E268" s="84" t="n">
        <x:v>1</x:v>
      </x:c>
      <x:c r="F268" s="91" t="n">
        <x:v>1983.52</x:v>
      </x:c>
    </x:row>
    <x:row r="269">
      <x:c r="A269" s="83" t="n">
        <x:v>268</x:v>
      </x:c>
      <x:c r="B269" s="84" t="n">
        <x:v>196</x:v>
      </x:c>
      <x:c r="C269" s="84" t="n">
        <x:v>70</x:v>
      </x:c>
      <x:c r="D269" s="89" t="n">
        <x:v>45335</x:v>
      </x:c>
      <x:c r="E269" s="84" t="n">
        <x:v>3</x:v>
      </x:c>
      <x:c r="F269" s="91" t="n">
        <x:v>2308.62</x:v>
      </x:c>
    </x:row>
    <x:row r="270">
      <x:c r="A270" s="83" t="n">
        <x:v>269</x:v>
      </x:c>
      <x:c r="B270" s="84" t="n">
        <x:v>196</x:v>
      </x:c>
      <x:c r="C270" s="84" t="n">
        <x:v>74</x:v>
      </x:c>
      <x:c r="D270" s="89" t="n">
        <x:v>45335</x:v>
      </x:c>
      <x:c r="E270" s="84" t="n">
        <x:v>3</x:v>
      </x:c>
      <x:c r="F270" s="91" t="n">
        <x:v>4969.05</x:v>
      </x:c>
    </x:row>
    <x:row r="271">
      <x:c r="A271" s="83" t="n">
        <x:v>270</x:v>
      </x:c>
      <x:c r="B271" s="84" t="n">
        <x:v>196</x:v>
      </x:c>
      <x:c r="C271" s="84" t="n">
        <x:v>40</x:v>
      </x:c>
      <x:c r="D271" s="89" t="n">
        <x:v>45335</x:v>
      </x:c>
      <x:c r="E271" s="84" t="n">
        <x:v>1</x:v>
      </x:c>
      <x:c r="F271" s="91" t="n">
        <x:v>2035.04</x:v>
      </x:c>
    </x:row>
    <x:row r="272">
      <x:c r="A272" s="83" t="n">
        <x:v>271</x:v>
      </x:c>
      <x:c r="B272" s="84" t="n">
        <x:v>197</x:v>
      </x:c>
      <x:c r="C272" s="84" t="n">
        <x:v>1</x:v>
      </x:c>
      <x:c r="D272" s="89" t="n">
        <x:v>46005</x:v>
      </x:c>
      <x:c r="E272" s="84" t="n">
        <x:v>3</x:v>
      </x:c>
      <x:c r="F272" s="91" t="n">
        <x:v>5218.8</x:v>
      </x:c>
    </x:row>
    <x:row r="273">
      <x:c r="A273" s="83" t="n">
        <x:v>272</x:v>
      </x:c>
      <x:c r="B273" s="84" t="n">
        <x:v>197</x:v>
      </x:c>
      <x:c r="C273" s="84" t="n">
        <x:v>26</x:v>
      </x:c>
      <x:c r="D273" s="89" t="n">
        <x:v>46005</x:v>
      </x:c>
      <x:c r="E273" s="84" t="n">
        <x:v>4</x:v>
      </x:c>
      <x:c r="F273" s="91" t="n">
        <x:v>8604</x:v>
      </x:c>
    </x:row>
    <x:row r="274">
      <x:c r="A274" s="83" t="n">
        <x:v>273</x:v>
      </x:c>
      <x:c r="B274" s="84" t="n">
        <x:v>198</x:v>
      </x:c>
      <x:c r="C274" s="84" t="n">
        <x:v>77</x:v>
      </x:c>
      <x:c r="D274" s="89" t="n">
        <x:v>45083</x:v>
      </x:c>
      <x:c r="E274" s="84" t="n">
        <x:v>4</x:v>
      </x:c>
      <x:c r="F274" s="91" t="n">
        <x:v>8411.64</x:v>
      </x:c>
    </x:row>
    <x:row r="275">
      <x:c r="A275" s="83" t="n">
        <x:v>274</x:v>
      </x:c>
      <x:c r="B275" s="84" t="n">
        <x:v>198</x:v>
      </x:c>
      <x:c r="C275" s="84" t="n">
        <x:v>53</x:v>
      </x:c>
      <x:c r="D275" s="89" t="n">
        <x:v>45083</x:v>
      </x:c>
      <x:c r="E275" s="84" t="n">
        <x:v>4</x:v>
      </x:c>
      <x:c r="F275" s="91" t="n">
        <x:v>6363.68</x:v>
      </x:c>
    </x:row>
    <x:row r="276">
      <x:c r="A276" s="83" t="n">
        <x:v>275</x:v>
      </x:c>
      <x:c r="B276" s="84" t="n">
        <x:v>204</x:v>
      </x:c>
      <x:c r="C276" s="84" t="n">
        <x:v>61</x:v>
      </x:c>
      <x:c r="D276" s="89" t="n">
        <x:v>45944</x:v>
      </x:c>
      <x:c r="E276" s="84" t="n">
        <x:v>2</x:v>
      </x:c>
      <x:c r="F276" s="91" t="n">
        <x:v>263.44</x:v>
      </x:c>
    </x:row>
    <x:row r="277">
      <x:c r="A277" s="83" t="n">
        <x:v>276</x:v>
      </x:c>
      <x:c r="B277" s="84" t="n">
        <x:v>204</x:v>
      </x:c>
      <x:c r="C277" s="84" t="n">
        <x:v>54</x:v>
      </x:c>
      <x:c r="D277" s="89" t="n">
        <x:v>45944</x:v>
      </x:c>
      <x:c r="E277" s="84" t="n">
        <x:v>1</x:v>
      </x:c>
      <x:c r="F277" s="91" t="n">
        <x:v>686.4</x:v>
      </x:c>
    </x:row>
    <x:row r="278">
      <x:c r="A278" s="83" t="n">
        <x:v>277</x:v>
      </x:c>
      <x:c r="B278" s="84" t="n">
        <x:v>204</x:v>
      </x:c>
      <x:c r="C278" s="84" t="n">
        <x:v>41</x:v>
      </x:c>
      <x:c r="D278" s="89" t="n">
        <x:v>45944</x:v>
      </x:c>
      <x:c r="E278" s="84" t="n">
        <x:v>3</x:v>
      </x:c>
      <x:c r="F278" s="91" t="n">
        <x:v>3546.06</x:v>
      </x:c>
    </x:row>
    <x:row r="279">
      <x:c r="A279" s="83" t="n">
        <x:v>278</x:v>
      </x:c>
      <x:c r="B279" s="84" t="n">
        <x:v>205</x:v>
      </x:c>
      <x:c r="C279" s="84" t="n">
        <x:v>36</x:v>
      </x:c>
      <x:c r="D279" s="89" t="n">
        <x:v>45012</x:v>
      </x:c>
      <x:c r="E279" s="84" t="n">
        <x:v>1</x:v>
      </x:c>
      <x:c r="F279" s="91" t="n">
        <x:v>596.41</x:v>
      </x:c>
    </x:row>
    <x:row r="280">
      <x:c r="A280" s="83" t="n">
        <x:v>279</x:v>
      </x:c>
      <x:c r="B280" s="84" t="n">
        <x:v>205</x:v>
      </x:c>
      <x:c r="C280" s="84" t="n">
        <x:v>80</x:v>
      </x:c>
      <x:c r="D280" s="89" t="n">
        <x:v>45012</x:v>
      </x:c>
      <x:c r="E280" s="84" t="n">
        <x:v>1</x:v>
      </x:c>
      <x:c r="F280" s="91" t="n">
        <x:v>1728.54</x:v>
      </x:c>
    </x:row>
    <x:row r="281">
      <x:c r="A281" s="83" t="n">
        <x:v>280</x:v>
      </x:c>
      <x:c r="B281" s="84" t="n">
        <x:v>205</x:v>
      </x:c>
      <x:c r="C281" s="84" t="n">
        <x:v>18</x:v>
      </x:c>
      <x:c r="D281" s="89" t="n">
        <x:v>45012</x:v>
      </x:c>
      <x:c r="E281" s="84" t="n">
        <x:v>1</x:v>
      </x:c>
      <x:c r="F281" s="91" t="n">
        <x:v>666.16</x:v>
      </x:c>
    </x:row>
    <x:row r="282">
      <x:c r="A282" s="83" t="n">
        <x:v>281</x:v>
      </x:c>
      <x:c r="B282" s="84" t="n">
        <x:v>207</x:v>
      </x:c>
      <x:c r="C282" s="84" t="n">
        <x:v>10</x:v>
      </x:c>
      <x:c r="D282" s="89" t="n">
        <x:v>45777</x:v>
      </x:c>
      <x:c r="E282" s="84" t="n">
        <x:v>1</x:v>
      </x:c>
      <x:c r="F282" s="91" t="n">
        <x:v>874.86</x:v>
      </x:c>
    </x:row>
    <x:row r="283">
      <x:c r="A283" s="83" t="n">
        <x:v>282</x:v>
      </x:c>
      <x:c r="B283" s="84" t="n">
        <x:v>207</x:v>
      </x:c>
      <x:c r="C283" s="84" t="n">
        <x:v>41</x:v>
      </x:c>
      <x:c r="D283" s="89" t="n">
        <x:v>45777</x:v>
      </x:c>
      <x:c r="E283" s="84" t="n">
        <x:v>1</x:v>
      </x:c>
      <x:c r="F283" s="91" t="n">
        <x:v>1182.02</x:v>
      </x:c>
    </x:row>
    <x:row r="284">
      <x:c r="A284" s="83" t="n">
        <x:v>283</x:v>
      </x:c>
      <x:c r="B284" s="84" t="n">
        <x:v>207</x:v>
      </x:c>
      <x:c r="C284" s="84" t="n">
        <x:v>29</x:v>
      </x:c>
      <x:c r="D284" s="89" t="n">
        <x:v>45777</x:v>
      </x:c>
      <x:c r="E284" s="84" t="n">
        <x:v>3</x:v>
      </x:c>
      <x:c r="F284" s="91" t="n">
        <x:v>4657.41</x:v>
      </x:c>
    </x:row>
    <x:row r="285">
      <x:c r="A285" s="83" t="n">
        <x:v>284</x:v>
      </x:c>
      <x:c r="B285" s="84" t="n">
        <x:v>209</x:v>
      </x:c>
      <x:c r="C285" s="84" t="n">
        <x:v>1</x:v>
      </x:c>
      <x:c r="D285" s="89" t="n">
        <x:v>44944</x:v>
      </x:c>
      <x:c r="E285" s="84" t="n">
        <x:v>3</x:v>
      </x:c>
      <x:c r="F285" s="91" t="n">
        <x:v>5218.8</x:v>
      </x:c>
    </x:row>
    <x:row r="286">
      <x:c r="A286" s="83" t="n">
        <x:v>285</x:v>
      </x:c>
      <x:c r="B286" s="84" t="n">
        <x:v>210</x:v>
      </x:c>
      <x:c r="C286" s="84" t="n">
        <x:v>32</x:v>
      </x:c>
      <x:c r="D286" s="89" t="n">
        <x:v>45648</x:v>
      </x:c>
      <x:c r="E286" s="84" t="n">
        <x:v>4</x:v>
      </x:c>
      <x:c r="F286" s="91" t="n">
        <x:v>7253</x:v>
      </x:c>
    </x:row>
    <x:row r="287">
      <x:c r="A287" s="83" t="n">
        <x:v>286</x:v>
      </x:c>
      <x:c r="B287" s="84" t="n">
        <x:v>211</x:v>
      </x:c>
      <x:c r="C287" s="84" t="n">
        <x:v>17</x:v>
      </x:c>
      <x:c r="D287" s="89" t="n">
        <x:v>45867</x:v>
      </x:c>
      <x:c r="E287" s="84" t="n">
        <x:v>1</x:v>
      </x:c>
      <x:c r="F287" s="91" t="n">
        <x:v>2356.42</x:v>
      </x:c>
    </x:row>
    <x:row r="288">
      <x:c r="A288" s="83" t="n">
        <x:v>287</x:v>
      </x:c>
      <x:c r="B288" s="84" t="n">
        <x:v>211</x:v>
      </x:c>
      <x:c r="C288" s="84" t="n">
        <x:v>79</x:v>
      </x:c>
      <x:c r="D288" s="89" t="n">
        <x:v>45867</x:v>
      </x:c>
      <x:c r="E288" s="84" t="n">
        <x:v>1</x:v>
      </x:c>
      <x:c r="F288" s="91" t="n">
        <x:v>2066.72</x:v>
      </x:c>
    </x:row>
    <x:row r="289">
      <x:c r="A289" s="83" t="n">
        <x:v>288</x:v>
      </x:c>
      <x:c r="B289" s="84" t="n">
        <x:v>211</x:v>
      </x:c>
      <x:c r="C289" s="84" t="n">
        <x:v>7</x:v>
      </x:c>
      <x:c r="D289" s="89" t="n">
        <x:v>45867</x:v>
      </x:c>
      <x:c r="E289" s="84" t="n">
        <x:v>2</x:v>
      </x:c>
      <x:c r="F289" s="91" t="n">
        <x:v>733.6</x:v>
      </x:c>
    </x:row>
    <x:row r="290">
      <x:c r="A290" s="83" t="n">
        <x:v>289</x:v>
      </x:c>
      <x:c r="B290" s="84" t="n">
        <x:v>214</x:v>
      </x:c>
      <x:c r="C290" s="84" t="n">
        <x:v>51</x:v>
      </x:c>
      <x:c r="D290" s="89" t="n">
        <x:v>45749</x:v>
      </x:c>
      <x:c r="E290" s="84" t="n">
        <x:v>1</x:v>
      </x:c>
      <x:c r="F290" s="91" t="n">
        <x:v>892.16</x:v>
      </x:c>
    </x:row>
    <x:row r="291">
      <x:c r="A291" s="83" t="n">
        <x:v>290</x:v>
      </x:c>
      <x:c r="B291" s="84" t="n">
        <x:v>216</x:v>
      </x:c>
      <x:c r="C291" s="84" t="n">
        <x:v>21</x:v>
      </x:c>
      <x:c r="D291" s="89" t="n">
        <x:v>45211</x:v>
      </x:c>
      <x:c r="E291" s="84" t="n">
        <x:v>4</x:v>
      </x:c>
      <x:c r="F291" s="91" t="n">
        <x:v>9155.48</x:v>
      </x:c>
    </x:row>
    <x:row r="292">
      <x:c r="A292" s="83" t="n">
        <x:v>291</x:v>
      </x:c>
      <x:c r="B292" s="84" t="n">
        <x:v>218</x:v>
      </x:c>
      <x:c r="C292" s="84" t="n">
        <x:v>31</x:v>
      </x:c>
      <x:c r="D292" s="89" t="n">
        <x:v>45385</x:v>
      </x:c>
      <x:c r="E292" s="84" t="n">
        <x:v>3</x:v>
      </x:c>
      <x:c r="F292" s="91" t="n">
        <x:v>6508.89</x:v>
      </x:c>
    </x:row>
    <x:row r="293">
      <x:c r="A293" s="83" t="n">
        <x:v>292</x:v>
      </x:c>
      <x:c r="B293" s="84" t="n">
        <x:v>218</x:v>
      </x:c>
      <x:c r="C293" s="84" t="n">
        <x:v>54</x:v>
      </x:c>
      <x:c r="D293" s="89" t="n">
        <x:v>45385</x:v>
      </x:c>
      <x:c r="E293" s="84" t="n">
        <x:v>3</x:v>
      </x:c>
      <x:c r="F293" s="91" t="n">
        <x:v>2059.2</x:v>
      </x:c>
    </x:row>
    <x:row r="294">
      <x:c r="A294" s="83" t="n">
        <x:v>293</x:v>
      </x:c>
      <x:c r="B294" s="84" t="n">
        <x:v>218</x:v>
      </x:c>
      <x:c r="C294" s="84" t="n">
        <x:v>32</x:v>
      </x:c>
      <x:c r="D294" s="89" t="n">
        <x:v>45385</x:v>
      </x:c>
      <x:c r="E294" s="84" t="n">
        <x:v>1</x:v>
      </x:c>
      <x:c r="F294" s="91" t="n">
        <x:v>1813.25</x:v>
      </x:c>
    </x:row>
    <x:row r="295">
      <x:c r="A295" s="83" t="n">
        <x:v>294</x:v>
      </x:c>
      <x:c r="B295" s="84" t="n">
        <x:v>219</x:v>
      </x:c>
      <x:c r="C295" s="84" t="n">
        <x:v>78</x:v>
      </x:c>
      <x:c r="D295" s="89" t="n">
        <x:v>45842</x:v>
      </x:c>
      <x:c r="E295" s="84" t="n">
        <x:v>4</x:v>
      </x:c>
      <x:c r="F295" s="91" t="n">
        <x:v>1134.4</x:v>
      </x:c>
    </x:row>
    <x:row r="296">
      <x:c r="A296" s="83" t="n">
        <x:v>295</x:v>
      </x:c>
      <x:c r="B296" s="84" t="n">
        <x:v>219</x:v>
      </x:c>
      <x:c r="C296" s="84" t="n">
        <x:v>4</x:v>
      </x:c>
      <x:c r="D296" s="89" t="n">
        <x:v>45842</x:v>
      </x:c>
      <x:c r="E296" s="84" t="n">
        <x:v>2</x:v>
      </x:c>
      <x:c r="F296" s="91" t="n">
        <x:v>3050.62</x:v>
      </x:c>
    </x:row>
    <x:row r="297">
      <x:c r="A297" s="83" t="n">
        <x:v>296</x:v>
      </x:c>
      <x:c r="B297" s="84" t="n">
        <x:v>219</x:v>
      </x:c>
      <x:c r="C297" s="84" t="n">
        <x:v>46</x:v>
      </x:c>
      <x:c r="D297" s="89" t="n">
        <x:v>45842</x:v>
      </x:c>
      <x:c r="E297" s="84" t="n">
        <x:v>1</x:v>
      </x:c>
      <x:c r="F297" s="91" t="n">
        <x:v>1334.95</x:v>
      </x:c>
    </x:row>
    <x:row r="298">
      <x:c r="A298" s="83" t="n">
        <x:v>297</x:v>
      </x:c>
      <x:c r="B298" s="84" t="n">
        <x:v>220</x:v>
      </x:c>
      <x:c r="C298" s="84" t="n">
        <x:v>10</x:v>
      </x:c>
      <x:c r="D298" s="89" t="n">
        <x:v>45418</x:v>
      </x:c>
      <x:c r="E298" s="84" t="n">
        <x:v>1</x:v>
      </x:c>
      <x:c r="F298" s="91" t="n">
        <x:v>874.86</x:v>
      </x:c>
    </x:row>
    <x:row r="299">
      <x:c r="A299" s="83" t="n">
        <x:v>298</x:v>
      </x:c>
      <x:c r="B299" s="84" t="n">
        <x:v>221</x:v>
      </x:c>
      <x:c r="C299" s="84" t="n">
        <x:v>55</x:v>
      </x:c>
      <x:c r="D299" s="89" t="n">
        <x:v>45915</x:v>
      </x:c>
      <x:c r="E299" s="84" t="n">
        <x:v>1</x:v>
      </x:c>
      <x:c r="F299" s="91" t="n">
        <x:v>1499.85</x:v>
      </x:c>
    </x:row>
    <x:row r="300">
      <x:c r="A300" s="83" t="n">
        <x:v>299</x:v>
      </x:c>
      <x:c r="B300" s="84" t="n">
        <x:v>221</x:v>
      </x:c>
      <x:c r="C300" s="84" t="n">
        <x:v>8</x:v>
      </x:c>
      <x:c r="D300" s="89" t="n">
        <x:v>45915</x:v>
      </x:c>
      <x:c r="E300" s="84" t="n">
        <x:v>2</x:v>
      </x:c>
      <x:c r="F300" s="91" t="n">
        <x:v>3332.38</x:v>
      </x:c>
    </x:row>
    <x:row r="301">
      <x:c r="A301" s="83" t="n">
        <x:v>300</x:v>
      </x:c>
      <x:c r="B301" s="84" t="n">
        <x:v>221</x:v>
      </x:c>
      <x:c r="C301" s="84" t="n">
        <x:v>31</x:v>
      </x:c>
      <x:c r="D301" s="89" t="n">
        <x:v>45915</x:v>
      </x:c>
      <x:c r="E301" s="84" t="n">
        <x:v>4</x:v>
      </x:c>
      <x:c r="F301" s="91" t="n">
        <x:v>8678.52</x:v>
      </x:c>
    </x:row>
    <x:row r="302">
      <x:c r="A302" s="83" t="n">
        <x:v>301</x:v>
      </x:c>
      <x:c r="B302" s="84" t="n">
        <x:v>222</x:v>
      </x:c>
      <x:c r="C302" s="84" t="n">
        <x:v>55</x:v>
      </x:c>
      <x:c r="D302" s="89" t="n">
        <x:v>45248</x:v>
      </x:c>
      <x:c r="E302" s="84" t="n">
        <x:v>3</x:v>
      </x:c>
      <x:c r="F302" s="91" t="n">
        <x:v>4499.55</x:v>
      </x:c>
    </x:row>
    <x:row r="303">
      <x:c r="A303" s="83" t="n">
        <x:v>302</x:v>
      </x:c>
      <x:c r="B303" s="84" t="n">
        <x:v>222</x:v>
      </x:c>
      <x:c r="C303" s="84" t="n">
        <x:v>15</x:v>
      </x:c>
      <x:c r="D303" s="89" t="n">
        <x:v>45248</x:v>
      </x:c>
      <x:c r="E303" s="84" t="n">
        <x:v>3</x:v>
      </x:c>
      <x:c r="F303" s="91" t="n">
        <x:v>3703.83</x:v>
      </x:c>
    </x:row>
    <x:row r="304">
      <x:c r="A304" s="83" t="n">
        <x:v>303</x:v>
      </x:c>
      <x:c r="B304" s="84" t="n">
        <x:v>223</x:v>
      </x:c>
      <x:c r="C304" s="84" t="n">
        <x:v>34</x:v>
      </x:c>
      <x:c r="D304" s="89" t="n">
        <x:v>45343</x:v>
      </x:c>
      <x:c r="E304" s="84" t="n">
        <x:v>2</x:v>
      </x:c>
      <x:c r="F304" s="91" t="n">
        <x:v>3954.18</x:v>
      </x:c>
    </x:row>
    <x:row r="305">
      <x:c r="A305" s="83" t="n">
        <x:v>304</x:v>
      </x:c>
      <x:c r="B305" s="84" t="n">
        <x:v>223</x:v>
      </x:c>
      <x:c r="C305" s="84" t="n">
        <x:v>60</x:v>
      </x:c>
      <x:c r="D305" s="89" t="n">
        <x:v>45343</x:v>
      </x:c>
      <x:c r="E305" s="84" t="n">
        <x:v>1</x:v>
      </x:c>
      <x:c r="F305" s="91" t="n">
        <x:v>353.8</x:v>
      </x:c>
    </x:row>
    <x:row r="306">
      <x:c r="A306" s="83" t="n">
        <x:v>305</x:v>
      </x:c>
      <x:c r="B306" s="84" t="n">
        <x:v>225</x:v>
      </x:c>
      <x:c r="C306" s="84" t="n">
        <x:v>61</x:v>
      </x:c>
      <x:c r="D306" s="89" t="n">
        <x:v>45760</x:v>
      </x:c>
      <x:c r="E306" s="84" t="n">
        <x:v>4</x:v>
      </x:c>
      <x:c r="F306" s="91" t="n">
        <x:v>526.88</x:v>
      </x:c>
    </x:row>
    <x:row r="307">
      <x:c r="A307" s="83" t="n">
        <x:v>306</x:v>
      </x:c>
      <x:c r="B307" s="84" t="n">
        <x:v>225</x:v>
      </x:c>
      <x:c r="C307" s="84" t="n">
        <x:v>67</x:v>
      </x:c>
      <x:c r="D307" s="89" t="n">
        <x:v>45760</x:v>
      </x:c>
      <x:c r="E307" s="84" t="n">
        <x:v>4</x:v>
      </x:c>
      <x:c r="F307" s="91" t="n">
        <x:v>5118.12</x:v>
      </x:c>
    </x:row>
    <x:row r="308">
      <x:c r="A308" s="83" t="n">
        <x:v>307</x:v>
      </x:c>
      <x:c r="B308" s="84" t="n">
        <x:v>225</x:v>
      </x:c>
      <x:c r="C308" s="84" t="n">
        <x:v>18</x:v>
      </x:c>
      <x:c r="D308" s="89" t="n">
        <x:v>45760</x:v>
      </x:c>
      <x:c r="E308" s="84" t="n">
        <x:v>4</x:v>
      </x:c>
      <x:c r="F308" s="91" t="n">
        <x:v>2664.64</x:v>
      </x:c>
    </x:row>
    <x:row r="309">
      <x:c r="A309" s="83" t="n">
        <x:v>308</x:v>
      </x:c>
      <x:c r="B309" s="84" t="n">
        <x:v>226</x:v>
      </x:c>
      <x:c r="C309" s="84" t="n">
        <x:v>25</x:v>
      </x:c>
      <x:c r="D309" s="89" t="n">
        <x:v>45121</x:v>
      </x:c>
      <x:c r="E309" s="84" t="n">
        <x:v>4</x:v>
      </x:c>
      <x:c r="F309" s="91" t="n">
        <x:v>4317.8</x:v>
      </x:c>
    </x:row>
    <x:row r="310">
      <x:c r="A310" s="83" t="n">
        <x:v>309</x:v>
      </x:c>
      <x:c r="B310" s="84" t="n">
        <x:v>226</x:v>
      </x:c>
      <x:c r="C310" s="84" t="n">
        <x:v>48</x:v>
      </x:c>
      <x:c r="D310" s="89" t="n">
        <x:v>45121</x:v>
      </x:c>
      <x:c r="E310" s="84" t="n">
        <x:v>4</x:v>
      </x:c>
      <x:c r="F310" s="91" t="n">
        <x:v>4645.8</x:v>
      </x:c>
    </x:row>
    <x:row r="311">
      <x:c r="A311" s="83" t="n">
        <x:v>310</x:v>
      </x:c>
      <x:c r="B311" s="84" t="n">
        <x:v>227</x:v>
      </x:c>
      <x:c r="C311" s="84" t="n">
        <x:v>23</x:v>
      </x:c>
      <x:c r="D311" s="89" t="n">
        <x:v>45753</x:v>
      </x:c>
      <x:c r="E311" s="84" t="n">
        <x:v>3</x:v>
      </x:c>
      <x:c r="F311" s="91" t="n">
        <x:v>5258.55</x:v>
      </x:c>
    </x:row>
    <x:row r="312">
      <x:c r="A312" s="83" t="n">
        <x:v>311</x:v>
      </x:c>
      <x:c r="B312" s="84" t="n">
        <x:v>227</x:v>
      </x:c>
      <x:c r="C312" s="84" t="n">
        <x:v>49</x:v>
      </x:c>
      <x:c r="D312" s="89" t="n">
        <x:v>45753</x:v>
      </x:c>
      <x:c r="E312" s="84" t="n">
        <x:v>2</x:v>
      </x:c>
      <x:c r="F312" s="91" t="n">
        <x:v>368.32</x:v>
      </x:c>
    </x:row>
    <x:row r="313">
      <x:c r="A313" s="83" t="n">
        <x:v>312</x:v>
      </x:c>
      <x:c r="B313" s="84" t="n">
        <x:v>227</x:v>
      </x:c>
      <x:c r="C313" s="84" t="n">
        <x:v>59</x:v>
      </x:c>
      <x:c r="D313" s="89" t="n">
        <x:v>45753</x:v>
      </x:c>
      <x:c r="E313" s="84" t="n">
        <x:v>2</x:v>
      </x:c>
      <x:c r="F313" s="91" t="n">
        <x:v>3032.9</x:v>
      </x:c>
    </x:row>
    <x:row r="314">
      <x:c r="A314" s="83" t="n">
        <x:v>313</x:v>
      </x:c>
      <x:c r="B314" s="84" t="n">
        <x:v>228</x:v>
      </x:c>
      <x:c r="C314" s="84" t="n">
        <x:v>42</x:v>
      </x:c>
      <x:c r="D314" s="89" t="n">
        <x:v>45146</x:v>
      </x:c>
      <x:c r="E314" s="84" t="n">
        <x:v>1</x:v>
      </x:c>
      <x:c r="F314" s="91" t="n">
        <x:v>2171.74</x:v>
      </x:c>
    </x:row>
    <x:row r="315">
      <x:c r="A315" s="83" t="n">
        <x:v>314</x:v>
      </x:c>
      <x:c r="B315" s="84" t="n">
        <x:v>229</x:v>
      </x:c>
      <x:c r="C315" s="84" t="n">
        <x:v>50</x:v>
      </x:c>
      <x:c r="D315" s="89" t="n">
        <x:v>45266</x:v>
      </x:c>
      <x:c r="E315" s="84" t="n">
        <x:v>2</x:v>
      </x:c>
      <x:c r="F315" s="91" t="n">
        <x:v>4471.9</x:v>
      </x:c>
    </x:row>
    <x:row r="316">
      <x:c r="A316" s="83" t="n">
        <x:v>315</x:v>
      </x:c>
      <x:c r="B316" s="84" t="n">
        <x:v>229</x:v>
      </x:c>
      <x:c r="C316" s="84" t="n">
        <x:v>29</x:v>
      </x:c>
      <x:c r="D316" s="89" t="n">
        <x:v>45266</x:v>
      </x:c>
      <x:c r="E316" s="84" t="n">
        <x:v>3</x:v>
      </x:c>
      <x:c r="F316" s="91" t="n">
        <x:v>4657.41</x:v>
      </x:c>
    </x:row>
    <x:row r="317">
      <x:c r="A317" s="83" t="n">
        <x:v>316</x:v>
      </x:c>
      <x:c r="B317" s="84" t="n">
        <x:v>231</x:v>
      </x:c>
      <x:c r="C317" s="84" t="n">
        <x:v>19</x:v>
      </x:c>
      <x:c r="D317" s="89" t="n">
        <x:v>44930</x:v>
      </x:c>
      <x:c r="E317" s="84" t="n">
        <x:v>1</x:v>
      </x:c>
      <x:c r="F317" s="91" t="n">
        <x:v>1087.71</x:v>
      </x:c>
    </x:row>
    <x:row r="318">
      <x:c r="A318" s="83" t="n">
        <x:v>317</x:v>
      </x:c>
      <x:c r="B318" s="84" t="n">
        <x:v>233</x:v>
      </x:c>
      <x:c r="C318" s="84" t="n">
        <x:v>47</x:v>
      </x:c>
      <x:c r="D318" s="89" t="n">
        <x:v>45932</x:v>
      </x:c>
      <x:c r="E318" s="84" t="n">
        <x:v>3</x:v>
      </x:c>
      <x:c r="F318" s="91" t="n">
        <x:v>6526.86</x:v>
      </x:c>
    </x:row>
    <x:row r="319">
      <x:c r="A319" s="83" t="n">
        <x:v>318</x:v>
      </x:c>
      <x:c r="B319" s="84" t="n">
        <x:v>234</x:v>
      </x:c>
      <x:c r="C319" s="84" t="n">
        <x:v>66</x:v>
      </x:c>
      <x:c r="D319" s="89" t="n">
        <x:v>45158</x:v>
      </x:c>
      <x:c r="E319" s="84" t="n">
        <x:v>4</x:v>
      </x:c>
      <x:c r="F319" s="91" t="n">
        <x:v>7649.8</x:v>
      </x:c>
    </x:row>
    <x:row r="320">
      <x:c r="A320" s="83" t="n">
        <x:v>319</x:v>
      </x:c>
      <x:c r="B320" s="84" t="n">
        <x:v>234</x:v>
      </x:c>
      <x:c r="C320" s="84" t="n">
        <x:v>49</x:v>
      </x:c>
      <x:c r="D320" s="89" t="n">
        <x:v>45158</x:v>
      </x:c>
      <x:c r="E320" s="84" t="n">
        <x:v>2</x:v>
      </x:c>
      <x:c r="F320" s="91" t="n">
        <x:v>368.32</x:v>
      </x:c>
    </x:row>
    <x:row r="321">
      <x:c r="A321" s="83" t="n">
        <x:v>320</x:v>
      </x:c>
      <x:c r="B321" s="84" t="n">
        <x:v>235</x:v>
      </x:c>
      <x:c r="C321" s="84" t="n">
        <x:v>8</x:v>
      </x:c>
      <x:c r="D321" s="89" t="n">
        <x:v>45289</x:v>
      </x:c>
      <x:c r="E321" s="84" t="n">
        <x:v>2</x:v>
      </x:c>
      <x:c r="F321" s="91" t="n">
        <x:v>3332.38</x:v>
      </x:c>
    </x:row>
    <x:row r="322">
      <x:c r="A322" s="83" t="n">
        <x:v>321</x:v>
      </x:c>
      <x:c r="B322" s="84" t="n">
        <x:v>235</x:v>
      </x:c>
      <x:c r="C322" s="84" t="n">
        <x:v>16</x:v>
      </x:c>
      <x:c r="D322" s="89" t="n">
        <x:v>45289</x:v>
      </x:c>
      <x:c r="E322" s="84" t="n">
        <x:v>4</x:v>
      </x:c>
      <x:c r="F322" s="91" t="n">
        <x:v>2423.12</x:v>
      </x:c>
    </x:row>
    <x:row r="323">
      <x:c r="A323" s="83" t="n">
        <x:v>322</x:v>
      </x:c>
      <x:c r="B323" s="84" t="n">
        <x:v>235</x:v>
      </x:c>
      <x:c r="C323" s="84" t="n">
        <x:v>41</x:v>
      </x:c>
      <x:c r="D323" s="89" t="n">
        <x:v>45289</x:v>
      </x:c>
      <x:c r="E323" s="84" t="n">
        <x:v>1</x:v>
      </x:c>
      <x:c r="F323" s="91" t="n">
        <x:v>1182.02</x:v>
      </x:c>
    </x:row>
    <x:row r="324">
      <x:c r="A324" s="83" t="n">
        <x:v>323</x:v>
      </x:c>
      <x:c r="B324" s="84" t="n">
        <x:v>237</x:v>
      </x:c>
      <x:c r="C324" s="84" t="n">
        <x:v>67</x:v>
      </x:c>
      <x:c r="D324" s="89" t="n">
        <x:v>45448</x:v>
      </x:c>
      <x:c r="E324" s="84" t="n">
        <x:v>1</x:v>
      </x:c>
      <x:c r="F324" s="91" t="n">
        <x:v>1279.53</x:v>
      </x:c>
    </x:row>
    <x:row r="325">
      <x:c r="A325" s="83" t="n">
        <x:v>324</x:v>
      </x:c>
      <x:c r="B325" s="84" t="n">
        <x:v>239</x:v>
      </x:c>
      <x:c r="C325" s="84" t="n">
        <x:v>67</x:v>
      </x:c>
      <x:c r="D325" s="89" t="n">
        <x:v>45111</x:v>
      </x:c>
      <x:c r="E325" s="84" t="n">
        <x:v>3</x:v>
      </x:c>
      <x:c r="F325" s="91" t="n">
        <x:v>3838.59</x:v>
      </x:c>
    </x:row>
    <x:row r="326">
      <x:c r="A326" s="83" t="n">
        <x:v>325</x:v>
      </x:c>
      <x:c r="B326" s="84" t="n">
        <x:v>239</x:v>
      </x:c>
      <x:c r="C326" s="84" t="n">
        <x:v>7</x:v>
      </x:c>
      <x:c r="D326" s="89" t="n">
        <x:v>45111</x:v>
      </x:c>
      <x:c r="E326" s="84" t="n">
        <x:v>3</x:v>
      </x:c>
      <x:c r="F326" s="91" t="n">
        <x:v>1100.4</x:v>
      </x:c>
    </x:row>
    <x:row r="327">
      <x:c r="A327" s="83" t="n">
        <x:v>326</x:v>
      </x:c>
      <x:c r="B327" s="84" t="n">
        <x:v>239</x:v>
      </x:c>
      <x:c r="C327" s="84" t="n">
        <x:v>37</x:v>
      </x:c>
      <x:c r="D327" s="89" t="n">
        <x:v>45111</x:v>
      </x:c>
      <x:c r="E327" s="84" t="n">
        <x:v>4</x:v>
      </x:c>
      <x:c r="F327" s="91" t="n">
        <x:v>4134.84</x:v>
      </x:c>
    </x:row>
    <x:row r="328">
      <x:c r="A328" s="83" t="n">
        <x:v>327</x:v>
      </x:c>
      <x:c r="B328" s="84" t="n">
        <x:v>240</x:v>
      </x:c>
      <x:c r="C328" s="84" t="n">
        <x:v>78</x:v>
      </x:c>
      <x:c r="D328" s="89" t="n">
        <x:v>45449</x:v>
      </x:c>
      <x:c r="E328" s="84" t="n">
        <x:v>4</x:v>
      </x:c>
      <x:c r="F328" s="91" t="n">
        <x:v>1134.4</x:v>
      </x:c>
    </x:row>
    <x:row r="329">
      <x:c r="A329" s="83" t="n">
        <x:v>328</x:v>
      </x:c>
      <x:c r="B329" s="84" t="n">
        <x:v>242</x:v>
      </x:c>
      <x:c r="C329" s="84" t="n">
        <x:v>67</x:v>
      </x:c>
      <x:c r="D329" s="89" t="n">
        <x:v>45246</x:v>
      </x:c>
      <x:c r="E329" s="84" t="n">
        <x:v>1</x:v>
      </x:c>
      <x:c r="F329" s="91" t="n">
        <x:v>1279.53</x:v>
      </x:c>
    </x:row>
    <x:row r="330">
      <x:c r="A330" s="83" t="n">
        <x:v>329</x:v>
      </x:c>
      <x:c r="B330" s="84" t="n">
        <x:v>242</x:v>
      </x:c>
      <x:c r="C330" s="84" t="n">
        <x:v>15</x:v>
      </x:c>
      <x:c r="D330" s="89" t="n">
        <x:v>45246</x:v>
      </x:c>
      <x:c r="E330" s="84" t="n">
        <x:v>3</x:v>
      </x:c>
      <x:c r="F330" s="91" t="n">
        <x:v>3703.83</x:v>
      </x:c>
    </x:row>
    <x:row r="331">
      <x:c r="A331" s="83" t="n">
        <x:v>330</x:v>
      </x:c>
      <x:c r="B331" s="84" t="n">
        <x:v>243</x:v>
      </x:c>
      <x:c r="C331" s="84" t="n">
        <x:v>37</x:v>
      </x:c>
      <x:c r="D331" s="89" t="n">
        <x:v>45517</x:v>
      </x:c>
      <x:c r="E331" s="84" t="n">
        <x:v>2</x:v>
      </x:c>
      <x:c r="F331" s="91" t="n">
        <x:v>2067.42</x:v>
      </x:c>
    </x:row>
    <x:row r="332">
      <x:c r="A332" s="83" t="n">
        <x:v>331</x:v>
      </x:c>
      <x:c r="B332" s="84" t="n">
        <x:v>243</x:v>
      </x:c>
      <x:c r="C332" s="84" t="n">
        <x:v>5</x:v>
      </x:c>
      <x:c r="D332" s="89" t="n">
        <x:v>45517</x:v>
      </x:c>
      <x:c r="E332" s="84" t="n">
        <x:v>1</x:v>
      </x:c>
      <x:c r="F332" s="91" t="n">
        <x:v>1468.5</x:v>
      </x:c>
    </x:row>
    <x:row r="333">
      <x:c r="A333" s="83" t="n">
        <x:v>332</x:v>
      </x:c>
      <x:c r="B333" s="84" t="n">
        <x:v>244</x:v>
      </x:c>
      <x:c r="C333" s="84" t="n">
        <x:v>34</x:v>
      </x:c>
      <x:c r="D333" s="89" t="n">
        <x:v>45650</x:v>
      </x:c>
      <x:c r="E333" s="84" t="n">
        <x:v>2</x:v>
      </x:c>
      <x:c r="F333" s="91" t="n">
        <x:v>3954.18</x:v>
      </x:c>
    </x:row>
    <x:row r="334">
      <x:c r="A334" s="83" t="n">
        <x:v>333</x:v>
      </x:c>
      <x:c r="B334" s="84" t="n">
        <x:v>244</x:v>
      </x:c>
      <x:c r="C334" s="84" t="n">
        <x:v>67</x:v>
      </x:c>
      <x:c r="D334" s="89" t="n">
        <x:v>45650</x:v>
      </x:c>
      <x:c r="E334" s="84" t="n">
        <x:v>4</x:v>
      </x:c>
      <x:c r="F334" s="91" t="n">
        <x:v>5118.12</x:v>
      </x:c>
    </x:row>
    <x:row r="335">
      <x:c r="A335" s="83" t="n">
        <x:v>334</x:v>
      </x:c>
      <x:c r="B335" s="84" t="n">
        <x:v>244</x:v>
      </x:c>
      <x:c r="C335" s="84" t="n">
        <x:v>2</x:v>
      </x:c>
      <x:c r="D335" s="89" t="n">
        <x:v>45650</x:v>
      </x:c>
      <x:c r="E335" s="84" t="n">
        <x:v>4</x:v>
      </x:c>
      <x:c r="F335" s="91" t="n">
        <x:v>3977.24</x:v>
      </x:c>
    </x:row>
    <x:row r="336">
      <x:c r="A336" s="83" t="n">
        <x:v>335</x:v>
      </x:c>
      <x:c r="B336" s="84" t="n">
        <x:v>245</x:v>
      </x:c>
      <x:c r="C336" s="84" t="n">
        <x:v>62</x:v>
      </x:c>
      <x:c r="D336" s="89" t="n">
        <x:v>45509</x:v>
      </x:c>
      <x:c r="E336" s="84" t="n">
        <x:v>2</x:v>
      </x:c>
      <x:c r="F336" s="91" t="n">
        <x:v>3034.62</x:v>
      </x:c>
    </x:row>
    <x:row r="337">
      <x:c r="A337" s="83" t="n">
        <x:v>336</x:v>
      </x:c>
      <x:c r="B337" s="84" t="n">
        <x:v>245</x:v>
      </x:c>
      <x:c r="C337" s="84" t="n">
        <x:v>43</x:v>
      </x:c>
      <x:c r="D337" s="89" t="n">
        <x:v>45509</x:v>
      </x:c>
      <x:c r="E337" s="84" t="n">
        <x:v>1</x:v>
      </x:c>
      <x:c r="F337" s="91" t="n">
        <x:v>1465.42</x:v>
      </x:c>
    </x:row>
    <x:row r="338">
      <x:c r="A338" s="83" t="n">
        <x:v>337</x:v>
      </x:c>
      <x:c r="B338" s="84" t="n">
        <x:v>246</x:v>
      </x:c>
      <x:c r="C338" s="84" t="n">
        <x:v>70</x:v>
      </x:c>
      <x:c r="D338" s="89" t="n">
        <x:v>45464</x:v>
      </x:c>
      <x:c r="E338" s="84" t="n">
        <x:v>2</x:v>
      </x:c>
      <x:c r="F338" s="91" t="n">
        <x:v>1539.08</x:v>
      </x:c>
    </x:row>
    <x:row r="339">
      <x:c r="A339" s="83" t="n">
        <x:v>338</x:v>
      </x:c>
      <x:c r="B339" s="84" t="n">
        <x:v>247</x:v>
      </x:c>
      <x:c r="C339" s="84" t="n">
        <x:v>68</x:v>
      </x:c>
      <x:c r="D339" s="89" t="n">
        <x:v>45812</x:v>
      </x:c>
      <x:c r="E339" s="84" t="n">
        <x:v>3</x:v>
      </x:c>
      <x:c r="F339" s="91" t="n">
        <x:v>4582.83</x:v>
      </x:c>
    </x:row>
    <x:row r="340">
      <x:c r="A340" s="83" t="n">
        <x:v>339</x:v>
      </x:c>
      <x:c r="B340" s="84" t="n">
        <x:v>247</x:v>
      </x:c>
      <x:c r="C340" s="84" t="n">
        <x:v>51</x:v>
      </x:c>
      <x:c r="D340" s="89" t="n">
        <x:v>45812</x:v>
      </x:c>
      <x:c r="E340" s="84" t="n">
        <x:v>1</x:v>
      </x:c>
      <x:c r="F340" s="91" t="n">
        <x:v>892.16</x:v>
      </x:c>
    </x:row>
    <x:row r="341">
      <x:c r="A341" s="83" t="n">
        <x:v>340</x:v>
      </x:c>
      <x:c r="B341" s="84" t="n">
        <x:v>248</x:v>
      </x:c>
      <x:c r="C341" s="84" t="n">
        <x:v>74</x:v>
      </x:c>
      <x:c r="D341" s="89" t="n">
        <x:v>45808</x:v>
      </x:c>
      <x:c r="E341" s="84" t="n">
        <x:v>1</x:v>
      </x:c>
      <x:c r="F341" s="91" t="n">
        <x:v>1656.35</x:v>
      </x:c>
    </x:row>
    <x:row r="342">
      <x:c r="A342" s="83" t="n">
        <x:v>341</x:v>
      </x:c>
      <x:c r="B342" s="84" t="n">
        <x:v>248</x:v>
      </x:c>
      <x:c r="C342" s="84" t="n">
        <x:v>31</x:v>
      </x:c>
      <x:c r="D342" s="89" t="n">
        <x:v>45808</x:v>
      </x:c>
      <x:c r="E342" s="84" t="n">
        <x:v>1</x:v>
      </x:c>
      <x:c r="F342" s="91" t="n">
        <x:v>2169.63</x:v>
      </x:c>
    </x:row>
    <x:row r="343">
      <x:c r="A343" s="83" t="n">
        <x:v>342</x:v>
      </x:c>
      <x:c r="B343" s="84" t="n">
        <x:v>248</x:v>
      </x:c>
      <x:c r="C343" s="84" t="n">
        <x:v>13</x:v>
      </x:c>
      <x:c r="D343" s="89" t="n">
        <x:v>45808</x:v>
      </x:c>
      <x:c r="E343" s="84" t="n">
        <x:v>1</x:v>
      </x:c>
      <x:c r="F343" s="91" t="n">
        <x:v>802.05</x:v>
      </x:c>
    </x:row>
    <x:row r="344">
      <x:c r="A344" s="83" t="n">
        <x:v>343</x:v>
      </x:c>
      <x:c r="B344" s="84" t="n">
        <x:v>250</x:v>
      </x:c>
      <x:c r="C344" s="84" t="n">
        <x:v>74</x:v>
      </x:c>
      <x:c r="D344" s="89" t="n">
        <x:v>45693</x:v>
      </x:c>
      <x:c r="E344" s="84" t="n">
        <x:v>2</x:v>
      </x:c>
      <x:c r="F344" s="91" t="n">
        <x:v>3312.7</x:v>
      </x:c>
    </x:row>
    <x:row r="345">
      <x:c r="A345" s="83" t="n">
        <x:v>344</x:v>
      </x:c>
      <x:c r="B345" s="84" t="n">
        <x:v>252</x:v>
      </x:c>
      <x:c r="C345" s="84" t="n">
        <x:v>69</x:v>
      </x:c>
      <x:c r="D345" s="89" t="n">
        <x:v>45689</x:v>
      </x:c>
      <x:c r="E345" s="84" t="n">
        <x:v>3</x:v>
      </x:c>
      <x:c r="F345" s="91" t="n">
        <x:v>5310.99</x:v>
      </x:c>
    </x:row>
    <x:row r="346">
      <x:c r="A346" s="83" t="n">
        <x:v>345</x:v>
      </x:c>
      <x:c r="B346" s="84" t="n">
        <x:v>253</x:v>
      </x:c>
      <x:c r="C346" s="84" t="n">
        <x:v>10</x:v>
      </x:c>
      <x:c r="D346" s="89" t="n">
        <x:v>45204</x:v>
      </x:c>
      <x:c r="E346" s="84" t="n">
        <x:v>3</x:v>
      </x:c>
      <x:c r="F346" s="91" t="n">
        <x:v>2624.58</x:v>
      </x:c>
    </x:row>
    <x:row r="347">
      <x:c r="A347" s="83" t="n">
        <x:v>346</x:v>
      </x:c>
      <x:c r="B347" s="84" t="n">
        <x:v>253</x:v>
      </x:c>
      <x:c r="C347" s="84" t="n">
        <x:v>36</x:v>
      </x:c>
      <x:c r="D347" s="89" t="n">
        <x:v>45204</x:v>
      </x:c>
      <x:c r="E347" s="84" t="n">
        <x:v>4</x:v>
      </x:c>
      <x:c r="F347" s="91" t="n">
        <x:v>2385.64</x:v>
      </x:c>
    </x:row>
    <x:row r="348">
      <x:c r="A348" s="83" t="n">
        <x:v>347</x:v>
      </x:c>
      <x:c r="B348" s="84" t="n">
        <x:v>254</x:v>
      </x:c>
      <x:c r="C348" s="84" t="n">
        <x:v>14</x:v>
      </x:c>
      <x:c r="D348" s="89" t="n">
        <x:v>45082</x:v>
      </x:c>
      <x:c r="E348" s="84" t="n">
        <x:v>2</x:v>
      </x:c>
      <x:c r="F348" s="91" t="n">
        <x:v>351.44</x:v>
      </x:c>
    </x:row>
    <x:row r="349">
      <x:c r="A349" s="83" t="n">
        <x:v>348</x:v>
      </x:c>
      <x:c r="B349" s="84" t="n">
        <x:v>254</x:v>
      </x:c>
      <x:c r="C349" s="84" t="n">
        <x:v>23</x:v>
      </x:c>
      <x:c r="D349" s="89" t="n">
        <x:v>45082</x:v>
      </x:c>
      <x:c r="E349" s="84" t="n">
        <x:v>2</x:v>
      </x:c>
      <x:c r="F349" s="91" t="n">
        <x:v>3505.7</x:v>
      </x:c>
    </x:row>
    <x:row r="350">
      <x:c r="A350" s="83" t="n">
        <x:v>349</x:v>
      </x:c>
      <x:c r="B350" s="84" t="n">
        <x:v>254</x:v>
      </x:c>
      <x:c r="C350" s="84" t="n">
        <x:v>15</x:v>
      </x:c>
      <x:c r="D350" s="89" t="n">
        <x:v>45082</x:v>
      </x:c>
      <x:c r="E350" s="84" t="n">
        <x:v>4</x:v>
      </x:c>
      <x:c r="F350" s="91" t="n">
        <x:v>4938.44</x:v>
      </x:c>
    </x:row>
    <x:row r="351">
      <x:c r="A351" s="83" t="n">
        <x:v>350</x:v>
      </x:c>
      <x:c r="B351" s="84" t="n">
        <x:v>256</x:v>
      </x:c>
      <x:c r="C351" s="84" t="n">
        <x:v>76</x:v>
      </x:c>
      <x:c r="D351" s="89" t="n">
        <x:v>45703</x:v>
      </x:c>
      <x:c r="E351" s="84" t="n">
        <x:v>4</x:v>
      </x:c>
      <x:c r="F351" s="91" t="n">
        <x:v>2879.24</x:v>
      </x:c>
    </x:row>
    <x:row r="352">
      <x:c r="A352" s="83" t="n">
        <x:v>351</x:v>
      </x:c>
      <x:c r="B352" s="84" t="n">
        <x:v>256</x:v>
      </x:c>
      <x:c r="C352" s="84" t="n">
        <x:v>18</x:v>
      </x:c>
      <x:c r="D352" s="89" t="n">
        <x:v>45703</x:v>
      </x:c>
      <x:c r="E352" s="84" t="n">
        <x:v>3</x:v>
      </x:c>
      <x:c r="F352" s="91" t="n">
        <x:v>1998.48</x:v>
      </x:c>
    </x:row>
    <x:row r="353">
      <x:c r="A353" s="83" t="n">
        <x:v>352</x:v>
      </x:c>
      <x:c r="B353" s="84" t="n">
        <x:v>256</x:v>
      </x:c>
      <x:c r="C353" s="84" t="n">
        <x:v>19</x:v>
      </x:c>
      <x:c r="D353" s="89" t="n">
        <x:v>45703</x:v>
      </x:c>
      <x:c r="E353" s="84" t="n">
        <x:v>1</x:v>
      </x:c>
      <x:c r="F353" s="91" t="n">
        <x:v>1087.71</x:v>
      </x:c>
    </x:row>
    <x:row r="354">
      <x:c r="A354" s="83" t="n">
        <x:v>353</x:v>
      </x:c>
      <x:c r="B354" s="84" t="n">
        <x:v>257</x:v>
      </x:c>
      <x:c r="C354" s="84" t="n">
        <x:v>69</x:v>
      </x:c>
      <x:c r="D354" s="89" t="n">
        <x:v>45869</x:v>
      </x:c>
      <x:c r="E354" s="84" t="n">
        <x:v>4</x:v>
      </x:c>
      <x:c r="F354" s="91" t="n">
        <x:v>7081.32</x:v>
      </x:c>
    </x:row>
    <x:row r="355">
      <x:c r="A355" s="83" t="n">
        <x:v>354</x:v>
      </x:c>
      <x:c r="B355" s="84" t="n">
        <x:v>257</x:v>
      </x:c>
      <x:c r="C355" s="84" t="n">
        <x:v>80</x:v>
      </x:c>
      <x:c r="D355" s="89" t="n">
        <x:v>45869</x:v>
      </x:c>
      <x:c r="E355" s="84" t="n">
        <x:v>2</x:v>
      </x:c>
      <x:c r="F355" s="91" t="n">
        <x:v>3457.08</x:v>
      </x:c>
    </x:row>
    <x:row r="356">
      <x:c r="A356" s="83" t="n">
        <x:v>355</x:v>
      </x:c>
      <x:c r="B356" s="84" t="n">
        <x:v>257</x:v>
      </x:c>
      <x:c r="C356" s="84" t="n">
        <x:v>21</x:v>
      </x:c>
      <x:c r="D356" s="89" t="n">
        <x:v>45869</x:v>
      </x:c>
      <x:c r="E356" s="84" t="n">
        <x:v>4</x:v>
      </x:c>
      <x:c r="F356" s="91" t="n">
        <x:v>9155.48</x:v>
      </x:c>
    </x:row>
    <x:row r="357">
      <x:c r="A357" s="83" t="n">
        <x:v>356</x:v>
      </x:c>
      <x:c r="B357" s="84" t="n">
        <x:v>262</x:v>
      </x:c>
      <x:c r="C357" s="84" t="n">
        <x:v>63</x:v>
      </x:c>
      <x:c r="D357" s="89" t="n">
        <x:v>45082</x:v>
      </x:c>
      <x:c r="E357" s="84" t="n">
        <x:v>4</x:v>
      </x:c>
      <x:c r="F357" s="91" t="n">
        <x:v>7736.76</x:v>
      </x:c>
    </x:row>
    <x:row r="358">
      <x:c r="A358" s="83" t="n">
        <x:v>357</x:v>
      </x:c>
      <x:c r="B358" s="84" t="n">
        <x:v>263</x:v>
      </x:c>
      <x:c r="C358" s="84" t="n">
        <x:v>77</x:v>
      </x:c>
      <x:c r="D358" s="89" t="n">
        <x:v>45377</x:v>
      </x:c>
      <x:c r="E358" s="84" t="n">
        <x:v>4</x:v>
      </x:c>
      <x:c r="F358" s="91" t="n">
        <x:v>8411.64</x:v>
      </x:c>
    </x:row>
    <x:row r="359">
      <x:c r="A359" s="83" t="n">
        <x:v>358</x:v>
      </x:c>
      <x:c r="B359" s="84" t="n">
        <x:v>263</x:v>
      </x:c>
      <x:c r="C359" s="84" t="n">
        <x:v>74</x:v>
      </x:c>
      <x:c r="D359" s="89" t="n">
        <x:v>45377</x:v>
      </x:c>
      <x:c r="E359" s="84" t="n">
        <x:v>3</x:v>
      </x:c>
      <x:c r="F359" s="91" t="n">
        <x:v>4969.05</x:v>
      </x:c>
    </x:row>
    <x:row r="360">
      <x:c r="A360" s="83" t="n">
        <x:v>359</x:v>
      </x:c>
      <x:c r="B360" s="84" t="n">
        <x:v>263</x:v>
      </x:c>
      <x:c r="C360" s="84" t="n">
        <x:v>32</x:v>
      </x:c>
      <x:c r="D360" s="89" t="n">
        <x:v>45377</x:v>
      </x:c>
      <x:c r="E360" s="84" t="n">
        <x:v>1</x:v>
      </x:c>
      <x:c r="F360" s="91" t="n">
        <x:v>1813.25</x:v>
      </x:c>
    </x:row>
    <x:row r="361">
      <x:c r="A361" s="83" t="n">
        <x:v>360</x:v>
      </x:c>
      <x:c r="B361" s="84" t="n">
        <x:v>265</x:v>
      </x:c>
      <x:c r="C361" s="84" t="n">
        <x:v>63</x:v>
      </x:c>
      <x:c r="D361" s="89" t="n">
        <x:v>45366</x:v>
      </x:c>
      <x:c r="E361" s="84" t="n">
        <x:v>4</x:v>
      </x:c>
      <x:c r="F361" s="91" t="n">
        <x:v>7736.76</x:v>
      </x:c>
    </x:row>
    <x:row r="362">
      <x:c r="A362" s="83" t="n">
        <x:v>361</x:v>
      </x:c>
      <x:c r="B362" s="84" t="n">
        <x:v>265</x:v>
      </x:c>
      <x:c r="C362" s="84" t="n">
        <x:v>69</x:v>
      </x:c>
      <x:c r="D362" s="89" t="n">
        <x:v>45366</x:v>
      </x:c>
      <x:c r="E362" s="84" t="n">
        <x:v>4</x:v>
      </x:c>
      <x:c r="F362" s="91" t="n">
        <x:v>7081.32</x:v>
      </x:c>
    </x:row>
    <x:row r="363">
      <x:c r="A363" s="83" t="n">
        <x:v>362</x:v>
      </x:c>
      <x:c r="B363" s="84" t="n">
        <x:v>265</x:v>
      </x:c>
      <x:c r="C363" s="84" t="n">
        <x:v>32</x:v>
      </x:c>
      <x:c r="D363" s="89" t="n">
        <x:v>45366</x:v>
      </x:c>
      <x:c r="E363" s="84" t="n">
        <x:v>3</x:v>
      </x:c>
      <x:c r="F363" s="91" t="n">
        <x:v>5439.75</x:v>
      </x:c>
    </x:row>
    <x:row r="364">
      <x:c r="A364" s="83" t="n">
        <x:v>363</x:v>
      </x:c>
      <x:c r="B364" s="84" t="n">
        <x:v>266</x:v>
      </x:c>
      <x:c r="C364" s="84" t="n">
        <x:v>55</x:v>
      </x:c>
      <x:c r="D364" s="89" t="n">
        <x:v>45272</x:v>
      </x:c>
      <x:c r="E364" s="84" t="n">
        <x:v>3</x:v>
      </x:c>
      <x:c r="F364" s="91" t="n">
        <x:v>4499.55</x:v>
      </x:c>
    </x:row>
    <x:row r="365">
      <x:c r="A365" s="83" t="n">
        <x:v>364</x:v>
      </x:c>
      <x:c r="B365" s="84" t="n">
        <x:v>266</x:v>
      </x:c>
      <x:c r="C365" s="84" t="n">
        <x:v>9</x:v>
      </x:c>
      <x:c r="D365" s="89" t="n">
        <x:v>45272</x:v>
      </x:c>
      <x:c r="E365" s="84" t="n">
        <x:v>4</x:v>
      </x:c>
      <x:c r="F365" s="91" t="n">
        <x:v>6300.24</x:v>
      </x:c>
    </x:row>
    <x:row r="366">
      <x:c r="A366" s="83" t="n">
        <x:v>365</x:v>
      </x:c>
      <x:c r="B366" s="84" t="n">
        <x:v>267</x:v>
      </x:c>
      <x:c r="C366" s="84" t="n">
        <x:v>33</x:v>
      </x:c>
      <x:c r="D366" s="89" t="n">
        <x:v>45385</x:v>
      </x:c>
      <x:c r="E366" s="84" t="n">
        <x:v>3</x:v>
      </x:c>
      <x:c r="F366" s="91" t="n">
        <x:v>7040.76</x:v>
      </x:c>
    </x:row>
    <x:row r="367">
      <x:c r="A367" s="83" t="n">
        <x:v>366</x:v>
      </x:c>
      <x:c r="B367" s="84" t="n">
        <x:v>267</x:v>
      </x:c>
      <x:c r="C367" s="84" t="n">
        <x:v>52</x:v>
      </x:c>
      <x:c r="D367" s="89" t="n">
        <x:v>45385</x:v>
      </x:c>
      <x:c r="E367" s="84" t="n">
        <x:v>2</x:v>
      </x:c>
      <x:c r="F367" s="91" t="n">
        <x:v>1761.26</x:v>
      </x:c>
    </x:row>
    <x:row r="368">
      <x:c r="A368" s="83" t="n">
        <x:v>367</x:v>
      </x:c>
      <x:c r="B368" s="84" t="n">
        <x:v>269</x:v>
      </x:c>
      <x:c r="C368" s="84" t="n">
        <x:v>75</x:v>
      </x:c>
      <x:c r="D368" s="89" t="n">
        <x:v>45947</x:v>
      </x:c>
      <x:c r="E368" s="84" t="n">
        <x:v>2</x:v>
      </x:c>
      <x:c r="F368" s="91" t="n">
        <x:v>912.34</x:v>
      </x:c>
    </x:row>
    <x:row r="369">
      <x:c r="A369" s="83" t="n">
        <x:v>368</x:v>
      </x:c>
      <x:c r="B369" s="84" t="n">
        <x:v>272</x:v>
      </x:c>
      <x:c r="C369" s="84" t="n">
        <x:v>57</x:v>
      </x:c>
      <x:c r="D369" s="89" t="n">
        <x:v>45519</x:v>
      </x:c>
      <x:c r="E369" s="84" t="n">
        <x:v>4</x:v>
      </x:c>
      <x:c r="F369" s="91" t="n">
        <x:v>4716.24</x:v>
      </x:c>
    </x:row>
    <x:row r="370">
      <x:c r="A370" s="83" t="n">
        <x:v>369</x:v>
      </x:c>
      <x:c r="B370" s="84" t="n">
        <x:v>273</x:v>
      </x:c>
      <x:c r="C370" s="84" t="n">
        <x:v>24</x:v>
      </x:c>
      <x:c r="D370" s="89" t="n">
        <x:v>45814</x:v>
      </x:c>
      <x:c r="E370" s="84" t="n">
        <x:v>4</x:v>
      </x:c>
      <x:c r="F370" s="91" t="n">
        <x:v>2963.64</x:v>
      </x:c>
    </x:row>
    <x:row r="371">
      <x:c r="A371" s="83" t="n">
        <x:v>370</x:v>
      </x:c>
      <x:c r="B371" s="84" t="n">
        <x:v>273</x:v>
      </x:c>
      <x:c r="C371" s="84" t="n">
        <x:v>1</x:v>
      </x:c>
      <x:c r="D371" s="89" t="n">
        <x:v>45814</x:v>
      </x:c>
      <x:c r="E371" s="84" t="n">
        <x:v>4</x:v>
      </x:c>
      <x:c r="F371" s="91" t="n">
        <x:v>6958.4</x:v>
      </x:c>
    </x:row>
    <x:row r="372">
      <x:c r="A372" s="83" t="n">
        <x:v>371</x:v>
      </x:c>
      <x:c r="B372" s="84" t="n">
        <x:v>274</x:v>
      </x:c>
      <x:c r="C372" s="84" t="n">
        <x:v>32</x:v>
      </x:c>
      <x:c r="D372" s="89" t="n">
        <x:v>45891</x:v>
      </x:c>
      <x:c r="E372" s="84" t="n">
        <x:v>4</x:v>
      </x:c>
      <x:c r="F372" s="91" t="n">
        <x:v>7253</x:v>
      </x:c>
    </x:row>
    <x:row r="373">
      <x:c r="A373" s="83" t="n">
        <x:v>372</x:v>
      </x:c>
      <x:c r="B373" s="84" t="n">
        <x:v>274</x:v>
      </x:c>
      <x:c r="C373" s="84" t="n">
        <x:v>59</x:v>
      </x:c>
      <x:c r="D373" s="89" t="n">
        <x:v>45891</x:v>
      </x:c>
      <x:c r="E373" s="84" t="n">
        <x:v>2</x:v>
      </x:c>
      <x:c r="F373" s="91" t="n">
        <x:v>3032.9</x:v>
      </x:c>
    </x:row>
    <x:row r="374">
      <x:c r="A374" s="83" t="n">
        <x:v>373</x:v>
      </x:c>
      <x:c r="B374" s="84" t="n">
        <x:v>275</x:v>
      </x:c>
      <x:c r="C374" s="84" t="n">
        <x:v>77</x:v>
      </x:c>
      <x:c r="D374" s="89" t="n">
        <x:v>45727</x:v>
      </x:c>
      <x:c r="E374" s="84" t="n">
        <x:v>2</x:v>
      </x:c>
      <x:c r="F374" s="91" t="n">
        <x:v>4205.82</x:v>
      </x:c>
    </x:row>
    <x:row r="375">
      <x:c r="A375" s="83" t="n">
        <x:v>374</x:v>
      </x:c>
      <x:c r="B375" s="84" t="n">
        <x:v>275</x:v>
      </x:c>
      <x:c r="C375" s="84" t="n">
        <x:v>62</x:v>
      </x:c>
      <x:c r="D375" s="89" t="n">
        <x:v>45727</x:v>
      </x:c>
      <x:c r="E375" s="84" t="n">
        <x:v>4</x:v>
      </x:c>
      <x:c r="F375" s="91" t="n">
        <x:v>6069.24</x:v>
      </x:c>
    </x:row>
    <x:row r="376">
      <x:c r="A376" s="83" t="n">
        <x:v>375</x:v>
      </x:c>
      <x:c r="B376" s="84" t="n">
        <x:v>276</x:v>
      </x:c>
      <x:c r="C376" s="84" t="n">
        <x:v>38</x:v>
      </x:c>
      <x:c r="D376" s="89" t="n">
        <x:v>44996</x:v>
      </x:c>
      <x:c r="E376" s="84" t="n">
        <x:v>2</x:v>
      </x:c>
      <x:c r="F376" s="91" t="n">
        <x:v>1452.98</x:v>
      </x:c>
    </x:row>
    <x:row r="377">
      <x:c r="A377" s="83" t="n">
        <x:v>376</x:v>
      </x:c>
      <x:c r="B377" s="84" t="n">
        <x:v>276</x:v>
      </x:c>
      <x:c r="C377" s="84" t="n">
        <x:v>64</x:v>
      </x:c>
      <x:c r="D377" s="89" t="n">
        <x:v>44996</x:v>
      </x:c>
      <x:c r="E377" s="84" t="n">
        <x:v>4</x:v>
      </x:c>
      <x:c r="F377" s="91" t="n">
        <x:v>5861.68</x:v>
      </x:c>
    </x:row>
    <x:row r="378">
      <x:c r="A378" s="83" t="n">
        <x:v>377</x:v>
      </x:c>
      <x:c r="B378" s="84" t="n">
        <x:v>276</x:v>
      </x:c>
      <x:c r="C378" s="84" t="n">
        <x:v>70</x:v>
      </x:c>
      <x:c r="D378" s="89" t="n">
        <x:v>44996</x:v>
      </x:c>
      <x:c r="E378" s="84" t="n">
        <x:v>3</x:v>
      </x:c>
      <x:c r="F378" s="91" t="n">
        <x:v>2308.62</x:v>
      </x:c>
    </x:row>
    <x:row r="379">
      <x:c r="A379" s="83" t="n">
        <x:v>378</x:v>
      </x:c>
      <x:c r="B379" s="84" t="n">
        <x:v>279</x:v>
      </x:c>
      <x:c r="C379" s="84" t="n">
        <x:v>76</x:v>
      </x:c>
      <x:c r="D379" s="89" t="n">
        <x:v>45150</x:v>
      </x:c>
      <x:c r="E379" s="84" t="n">
        <x:v>2</x:v>
      </x:c>
      <x:c r="F379" s="91" t="n">
        <x:v>1439.62</x:v>
      </x:c>
    </x:row>
    <x:row r="380">
      <x:c r="A380" s="83" t="n">
        <x:v>379</x:v>
      </x:c>
      <x:c r="B380" s="84" t="n">
        <x:v>280</x:v>
      </x:c>
      <x:c r="C380" s="84" t="n">
        <x:v>58</x:v>
      </x:c>
      <x:c r="D380" s="89" t="n">
        <x:v>46016</x:v>
      </x:c>
      <x:c r="E380" s="84" t="n">
        <x:v>4</x:v>
      </x:c>
      <x:c r="F380" s="91" t="n">
        <x:v>8072.72</x:v>
      </x:c>
    </x:row>
    <x:row r="381">
      <x:c r="A381" s="83" t="n">
        <x:v>380</x:v>
      </x:c>
      <x:c r="B381" s="84" t="n">
        <x:v>280</x:v>
      </x:c>
      <x:c r="C381" s="84" t="n">
        <x:v>51</x:v>
      </x:c>
      <x:c r="D381" s="89" t="n">
        <x:v>46016</x:v>
      </x:c>
      <x:c r="E381" s="84" t="n">
        <x:v>3</x:v>
      </x:c>
      <x:c r="F381" s="91" t="n">
        <x:v>2676.48</x:v>
      </x:c>
    </x:row>
    <x:row r="382">
      <x:c r="A382" s="83" t="n">
        <x:v>381</x:v>
      </x:c>
      <x:c r="B382" s="84" t="n">
        <x:v>281</x:v>
      </x:c>
      <x:c r="C382" s="84" t="n">
        <x:v>41</x:v>
      </x:c>
      <x:c r="D382" s="89" t="n">
        <x:v>45893</x:v>
      </x:c>
      <x:c r="E382" s="84" t="n">
        <x:v>3</x:v>
      </x:c>
      <x:c r="F382" s="91" t="n">
        <x:v>3546.06</x:v>
      </x:c>
    </x:row>
    <x:row r="383">
      <x:c r="A383" s="83" t="n">
        <x:v>382</x:v>
      </x:c>
      <x:c r="B383" s="84" t="n">
        <x:v>281</x:v>
      </x:c>
      <x:c r="C383" s="84" t="n">
        <x:v>43</x:v>
      </x:c>
      <x:c r="D383" s="89" t="n">
        <x:v>45893</x:v>
      </x:c>
      <x:c r="E383" s="84" t="n">
        <x:v>4</x:v>
      </x:c>
      <x:c r="F383" s="91" t="n">
        <x:v>5861.68</x:v>
      </x:c>
    </x:row>
    <x:row r="384">
      <x:c r="A384" s="83" t="n">
        <x:v>383</x:v>
      </x:c>
      <x:c r="B384" s="84" t="n">
        <x:v>282</x:v>
      </x:c>
      <x:c r="C384" s="84" t="n">
        <x:v>7</x:v>
      </x:c>
      <x:c r="D384" s="89" t="n">
        <x:v>45962</x:v>
      </x:c>
      <x:c r="E384" s="84" t="n">
        <x:v>3</x:v>
      </x:c>
      <x:c r="F384" s="91" t="n">
        <x:v>1100.4</x:v>
      </x:c>
    </x:row>
    <x:row r="385">
      <x:c r="A385" s="83" t="n">
        <x:v>384</x:v>
      </x:c>
      <x:c r="B385" s="84" t="n">
        <x:v>283</x:v>
      </x:c>
      <x:c r="C385" s="84" t="n">
        <x:v>10</x:v>
      </x:c>
      <x:c r="D385" s="89" t="n">
        <x:v>45849</x:v>
      </x:c>
      <x:c r="E385" s="84" t="n">
        <x:v>3</x:v>
      </x:c>
      <x:c r="F385" s="91" t="n">
        <x:v>2624.58</x:v>
      </x:c>
    </x:row>
    <x:row r="386">
      <x:c r="A386" s="83" t="n">
        <x:v>385</x:v>
      </x:c>
      <x:c r="B386" s="84" t="n">
        <x:v>284</x:v>
      </x:c>
      <x:c r="C386" s="84" t="n">
        <x:v>45</x:v>
      </x:c>
      <x:c r="D386" s="89" t="n">
        <x:v>45931</x:v>
      </x:c>
      <x:c r="E386" s="84" t="n">
        <x:v>2</x:v>
      </x:c>
      <x:c r="F386" s="91" t="n">
        <x:v>2782.84</x:v>
      </x:c>
    </x:row>
    <x:row r="387">
      <x:c r="A387" s="83" t="n">
        <x:v>386</x:v>
      </x:c>
      <x:c r="B387" s="84" t="n">
        <x:v>285</x:v>
      </x:c>
      <x:c r="C387" s="84" t="n">
        <x:v>68</x:v>
      </x:c>
      <x:c r="D387" s="89" t="n">
        <x:v>45617</x:v>
      </x:c>
      <x:c r="E387" s="84" t="n">
        <x:v>2</x:v>
      </x:c>
      <x:c r="F387" s="91" t="n">
        <x:v>3055.22</x:v>
      </x:c>
    </x:row>
    <x:row r="388">
      <x:c r="A388" s="83" t="n">
        <x:v>387</x:v>
      </x:c>
      <x:c r="B388" s="84" t="n">
        <x:v>285</x:v>
      </x:c>
      <x:c r="C388" s="84" t="n">
        <x:v>45</x:v>
      </x:c>
      <x:c r="D388" s="89" t="n">
        <x:v>45617</x:v>
      </x:c>
      <x:c r="E388" s="84" t="n">
        <x:v>1</x:v>
      </x:c>
      <x:c r="F388" s="91" t="n">
        <x:v>1391.42</x:v>
      </x:c>
    </x:row>
    <x:row r="389">
      <x:c r="A389" s="83" t="n">
        <x:v>388</x:v>
      </x:c>
      <x:c r="B389" s="84" t="n">
        <x:v>285</x:v>
      </x:c>
      <x:c r="C389" s="84" t="n">
        <x:v>9</x:v>
      </x:c>
      <x:c r="D389" s="89" t="n">
        <x:v>45617</x:v>
      </x:c>
      <x:c r="E389" s="84" t="n">
        <x:v>2</x:v>
      </x:c>
      <x:c r="F389" s="91" t="n">
        <x:v>3150.12</x:v>
      </x:c>
    </x:row>
    <x:row r="390">
      <x:c r="A390" s="83" t="n">
        <x:v>389</x:v>
      </x:c>
      <x:c r="B390" s="84" t="n">
        <x:v>289</x:v>
      </x:c>
      <x:c r="C390" s="84" t="n">
        <x:v>10</x:v>
      </x:c>
      <x:c r="D390" s="89" t="n">
        <x:v>45670</x:v>
      </x:c>
      <x:c r="E390" s="84" t="n">
        <x:v>3</x:v>
      </x:c>
      <x:c r="F390" s="91" t="n">
        <x:v>2624.58</x:v>
      </x:c>
    </x:row>
    <x:row r="391">
      <x:c r="A391" s="83" t="n">
        <x:v>390</x:v>
      </x:c>
      <x:c r="B391" s="84" t="n">
        <x:v>289</x:v>
      </x:c>
      <x:c r="C391" s="84" t="n">
        <x:v>70</x:v>
      </x:c>
      <x:c r="D391" s="89" t="n">
        <x:v>45670</x:v>
      </x:c>
      <x:c r="E391" s="84" t="n">
        <x:v>3</x:v>
      </x:c>
      <x:c r="F391" s="91" t="n">
        <x:v>2308.62</x:v>
      </x:c>
    </x:row>
    <x:row r="392">
      <x:c r="A392" s="83" t="n">
        <x:v>391</x:v>
      </x:c>
      <x:c r="B392" s="84" t="n">
        <x:v>290</x:v>
      </x:c>
      <x:c r="C392" s="84" t="n">
        <x:v>7</x:v>
      </x:c>
      <x:c r="D392" s="89" t="n">
        <x:v>45617</x:v>
      </x:c>
      <x:c r="E392" s="84" t="n">
        <x:v>2</x:v>
      </x:c>
      <x:c r="F392" s="91" t="n">
        <x:v>733.6</x:v>
      </x:c>
    </x:row>
    <x:row r="393">
      <x:c r="A393" s="83" t="n">
        <x:v>392</x:v>
      </x:c>
      <x:c r="B393" s="84" t="n">
        <x:v>291</x:v>
      </x:c>
      <x:c r="C393" s="84" t="n">
        <x:v>56</x:v>
      </x:c>
      <x:c r="D393" s="89" t="n">
        <x:v>45209</x:v>
      </x:c>
      <x:c r="E393" s="84" t="n">
        <x:v>4</x:v>
      </x:c>
      <x:c r="F393" s="91" t="n">
        <x:v>5873.84</x:v>
      </x:c>
    </x:row>
    <x:row r="394">
      <x:c r="A394" s="83" t="n">
        <x:v>393</x:v>
      </x:c>
      <x:c r="B394" s="84" t="n">
        <x:v>292</x:v>
      </x:c>
      <x:c r="C394" s="84" t="n">
        <x:v>41</x:v>
      </x:c>
      <x:c r="D394" s="89" t="n">
        <x:v>46019</x:v>
      </x:c>
      <x:c r="E394" s="84" t="n">
        <x:v>1</x:v>
      </x:c>
      <x:c r="F394" s="91" t="n">
        <x:v>1182.02</x:v>
      </x:c>
    </x:row>
    <x:row r="395">
      <x:c r="A395" s="83" t="n">
        <x:v>394</x:v>
      </x:c>
      <x:c r="B395" s="84" t="n">
        <x:v>293</x:v>
      </x:c>
      <x:c r="C395" s="84" t="n">
        <x:v>75</x:v>
      </x:c>
      <x:c r="D395" s="89" t="n">
        <x:v>45705</x:v>
      </x:c>
      <x:c r="E395" s="84" t="n">
        <x:v>3</x:v>
      </x:c>
      <x:c r="F395" s="91" t="n">
        <x:v>1368.51</x:v>
      </x:c>
    </x:row>
    <x:row r="396">
      <x:c r="A396" s="83" t="n">
        <x:v>395</x:v>
      </x:c>
      <x:c r="B396" s="84" t="n">
        <x:v>293</x:v>
      </x:c>
      <x:c r="C396" s="84" t="n">
        <x:v>10</x:v>
      </x:c>
      <x:c r="D396" s="89" t="n">
        <x:v>45705</x:v>
      </x:c>
      <x:c r="E396" s="84" t="n">
        <x:v>1</x:v>
      </x:c>
      <x:c r="F396" s="91" t="n">
        <x:v>874.86</x:v>
      </x:c>
    </x:row>
    <x:row r="397">
      <x:c r="A397" s="83" t="n">
        <x:v>396</x:v>
      </x:c>
      <x:c r="B397" s="84" t="n">
        <x:v>293</x:v>
      </x:c>
      <x:c r="C397" s="84" t="n">
        <x:v>50</x:v>
      </x:c>
      <x:c r="D397" s="89" t="n">
        <x:v>45705</x:v>
      </x:c>
      <x:c r="E397" s="84" t="n">
        <x:v>1</x:v>
      </x:c>
      <x:c r="F397" s="91" t="n">
        <x:v>2235.95</x:v>
      </x:c>
    </x:row>
    <x:row r="398">
      <x:c r="A398" s="83" t="n">
        <x:v>397</x:v>
      </x:c>
      <x:c r="B398" s="84" t="n">
        <x:v>295</x:v>
      </x:c>
      <x:c r="C398" s="84" t="n">
        <x:v>37</x:v>
      </x:c>
      <x:c r="D398" s="89" t="n">
        <x:v>45229</x:v>
      </x:c>
      <x:c r="E398" s="84" t="n">
        <x:v>2</x:v>
      </x:c>
      <x:c r="F398" s="91" t="n">
        <x:v>2067.42</x:v>
      </x:c>
    </x:row>
    <x:row r="399">
      <x:c r="A399" s="83" t="n">
        <x:v>398</x:v>
      </x:c>
      <x:c r="B399" s="84" t="n">
        <x:v>295</x:v>
      </x:c>
      <x:c r="C399" s="84" t="n">
        <x:v>26</x:v>
      </x:c>
      <x:c r="D399" s="89" t="n">
        <x:v>45229</x:v>
      </x:c>
      <x:c r="E399" s="84" t="n">
        <x:v>2</x:v>
      </x:c>
      <x:c r="F399" s="91" t="n">
        <x:v>4302</x:v>
      </x:c>
    </x:row>
    <x:row r="400">
      <x:c r="A400" s="83" t="n">
        <x:v>399</x:v>
      </x:c>
      <x:c r="B400" s="84" t="n">
        <x:v>296</x:v>
      </x:c>
      <x:c r="C400" s="84" t="n">
        <x:v>62</x:v>
      </x:c>
      <x:c r="D400" s="89" t="n">
        <x:v>45415</x:v>
      </x:c>
      <x:c r="E400" s="84" t="n">
        <x:v>4</x:v>
      </x:c>
      <x:c r="F400" s="91" t="n">
        <x:v>6069.24</x:v>
      </x:c>
    </x:row>
    <x:row r="401">
      <x:c r="A401" s="83" t="n">
        <x:v>400</x:v>
      </x:c>
      <x:c r="B401" s="84" t="n">
        <x:v>298</x:v>
      </x:c>
      <x:c r="C401" s="84" t="n">
        <x:v>19</x:v>
      </x:c>
      <x:c r="D401" s="89" t="n">
        <x:v>45472</x:v>
      </x:c>
      <x:c r="E401" s="84" t="n">
        <x:v>2</x:v>
      </x:c>
      <x:c r="F401" s="91" t="n">
        <x:v>2175.42</x:v>
      </x:c>
    </x:row>
    <x:row r="402">
      <x:c r="A402" s="83" t="n">
        <x:v>401</x:v>
      </x:c>
      <x:c r="B402" s="84" t="n">
        <x:v>300</x:v>
      </x:c>
      <x:c r="C402" s="84" t="n">
        <x:v>27</x:v>
      </x:c>
      <x:c r="D402" s="89" t="n">
        <x:v>45912</x:v>
      </x:c>
      <x:c r="E402" s="84" t="n">
        <x:v>4</x:v>
      </x:c>
      <x:c r="F402" s="91" t="n">
        <x:v>642.76</x:v>
      </x:c>
    </x:row>
    <x:row r="403">
      <x:c r="A403" s="83" t="n">
        <x:v>402</x:v>
      </x:c>
      <x:c r="B403" s="84" t="n">
        <x:v>300</x:v>
      </x:c>
      <x:c r="C403" s="84" t="n">
        <x:v>72</x:v>
      </x:c>
      <x:c r="D403" s="89" t="n">
        <x:v>45912</x:v>
      </x:c>
      <x:c r="E403" s="84" t="n">
        <x:v>1</x:v>
      </x:c>
      <x:c r="F403" s="91" t="n">
        <x:v>450.83</x:v>
      </x:c>
    </x:row>
    <x:row r="404">
      <x:c r="A404" s="83" t="n">
        <x:v>403</x:v>
      </x:c>
      <x:c r="B404" s="84" t="n">
        <x:v>300</x:v>
      </x:c>
      <x:c r="C404" s="84" t="n">
        <x:v>71</x:v>
      </x:c>
      <x:c r="D404" s="89" t="n">
        <x:v>45912</x:v>
      </x:c>
      <x:c r="E404" s="84" t="n">
        <x:v>3</x:v>
      </x:c>
      <x:c r="F404" s="91" t="n">
        <x:v>5950.56</x:v>
      </x:c>
    </x:row>
    <x:row r="405">
      <x:c r="A405" s="83" t="n">
        <x:v>404</x:v>
      </x:c>
      <x:c r="B405" s="84" t="n">
        <x:v>301</x:v>
      </x:c>
      <x:c r="C405" s="84" t="n">
        <x:v>64</x:v>
      </x:c>
      <x:c r="D405" s="89" t="n">
        <x:v>45306</x:v>
      </x:c>
      <x:c r="E405" s="84" t="n">
        <x:v>3</x:v>
      </x:c>
      <x:c r="F405" s="91" t="n">
        <x:v>4396.26</x:v>
      </x:c>
    </x:row>
    <x:row r="406">
      <x:c r="A406" s="83" t="n">
        <x:v>405</x:v>
      </x:c>
      <x:c r="B406" s="84" t="n">
        <x:v>302</x:v>
      </x:c>
      <x:c r="C406" s="84" t="n">
        <x:v>68</x:v>
      </x:c>
      <x:c r="D406" s="89" t="n">
        <x:v>45556</x:v>
      </x:c>
      <x:c r="E406" s="84" t="n">
        <x:v>1</x:v>
      </x:c>
      <x:c r="F406" s="91" t="n">
        <x:v>1527.61</x:v>
      </x:c>
    </x:row>
    <x:row r="407">
      <x:c r="A407" s="83" t="n">
        <x:v>406</x:v>
      </x:c>
      <x:c r="B407" s="84" t="n">
        <x:v>304</x:v>
      </x:c>
      <x:c r="C407" s="84" t="n">
        <x:v>42</x:v>
      </x:c>
      <x:c r="D407" s="89" t="n">
        <x:v>45128</x:v>
      </x:c>
      <x:c r="E407" s="84" t="n">
        <x:v>3</x:v>
      </x:c>
      <x:c r="F407" s="91" t="n">
        <x:v>6515.22</x:v>
      </x:c>
    </x:row>
    <x:row r="408">
      <x:c r="A408" s="83" t="n">
        <x:v>407</x:v>
      </x:c>
      <x:c r="B408" s="84" t="n">
        <x:v>306</x:v>
      </x:c>
      <x:c r="C408" s="84" t="n">
        <x:v>71</x:v>
      </x:c>
      <x:c r="D408" s="89" t="n">
        <x:v>45944</x:v>
      </x:c>
      <x:c r="E408" s="84" t="n">
        <x:v>3</x:v>
      </x:c>
      <x:c r="F408" s="91" t="n">
        <x:v>5950.56</x:v>
      </x:c>
    </x:row>
    <x:row r="409">
      <x:c r="A409" s="83" t="n">
        <x:v>408</x:v>
      </x:c>
      <x:c r="B409" s="84" t="n">
        <x:v>306</x:v>
      </x:c>
      <x:c r="C409" s="84" t="n">
        <x:v>62</x:v>
      </x:c>
      <x:c r="D409" s="89" t="n">
        <x:v>45944</x:v>
      </x:c>
      <x:c r="E409" s="84" t="n">
        <x:v>3</x:v>
      </x:c>
      <x:c r="F409" s="91" t="n">
        <x:v>4551.93</x:v>
      </x:c>
    </x:row>
    <x:row r="410">
      <x:c r="A410" s="83" t="n">
        <x:v>409</x:v>
      </x:c>
      <x:c r="B410" s="84" t="n">
        <x:v>307</x:v>
      </x:c>
      <x:c r="C410" s="84" t="n">
        <x:v>69</x:v>
      </x:c>
      <x:c r="D410" s="89" t="n">
        <x:v>45141</x:v>
      </x:c>
      <x:c r="E410" s="84" t="n">
        <x:v>1</x:v>
      </x:c>
      <x:c r="F410" s="91" t="n">
        <x:v>1770.33</x:v>
      </x:c>
    </x:row>
    <x:row r="411">
      <x:c r="A411" s="83" t="n">
        <x:v>410</x:v>
      </x:c>
      <x:c r="B411" s="84" t="n">
        <x:v>307</x:v>
      </x:c>
      <x:c r="C411" s="84" t="n">
        <x:v>29</x:v>
      </x:c>
      <x:c r="D411" s="89" t="n">
        <x:v>45141</x:v>
      </x:c>
      <x:c r="E411" s="84" t="n">
        <x:v>1</x:v>
      </x:c>
      <x:c r="F411" s="91" t="n">
        <x:v>1552.47</x:v>
      </x:c>
    </x:row>
    <x:row r="412">
      <x:c r="A412" s="83" t="n">
        <x:v>411</x:v>
      </x:c>
      <x:c r="B412" s="84" t="n">
        <x:v>310</x:v>
      </x:c>
      <x:c r="C412" s="84" t="n">
        <x:v>51</x:v>
      </x:c>
      <x:c r="D412" s="89" t="n">
        <x:v>45071</x:v>
      </x:c>
      <x:c r="E412" s="84" t="n">
        <x:v>1</x:v>
      </x:c>
      <x:c r="F412" s="91" t="n">
        <x:v>892.16</x:v>
      </x:c>
    </x:row>
    <x:row r="413">
      <x:c r="A413" s="83" t="n">
        <x:v>412</x:v>
      </x:c>
      <x:c r="B413" s="84" t="n">
        <x:v>311</x:v>
      </x:c>
      <x:c r="C413" s="84" t="n">
        <x:v>71</x:v>
      </x:c>
      <x:c r="D413" s="89" t="n">
        <x:v>45232</x:v>
      </x:c>
      <x:c r="E413" s="84" t="n">
        <x:v>3</x:v>
      </x:c>
      <x:c r="F413" s="91" t="n">
        <x:v>5950.56</x:v>
      </x:c>
    </x:row>
    <x:row r="414">
      <x:c r="A414" s="83" t="n">
        <x:v>413</x:v>
      </x:c>
      <x:c r="B414" s="84" t="n">
        <x:v>311</x:v>
      </x:c>
      <x:c r="C414" s="84" t="n">
        <x:v>49</x:v>
      </x:c>
      <x:c r="D414" s="89" t="n">
        <x:v>45232</x:v>
      </x:c>
      <x:c r="E414" s="84" t="n">
        <x:v>3</x:v>
      </x:c>
      <x:c r="F414" s="91" t="n">
        <x:v>552.48</x:v>
      </x:c>
    </x:row>
    <x:row r="415">
      <x:c r="A415" s="83" t="n">
        <x:v>414</x:v>
      </x:c>
      <x:c r="B415" s="84" t="n">
        <x:v>311</x:v>
      </x:c>
      <x:c r="C415" s="84" t="n">
        <x:v>57</x:v>
      </x:c>
      <x:c r="D415" s="89" t="n">
        <x:v>45232</x:v>
      </x:c>
      <x:c r="E415" s="84" t="n">
        <x:v>2</x:v>
      </x:c>
      <x:c r="F415" s="91" t="n">
        <x:v>2358.12</x:v>
      </x:c>
    </x:row>
    <x:row r="416">
      <x:c r="A416" s="83" t="n">
        <x:v>415</x:v>
      </x:c>
      <x:c r="B416" s="84" t="n">
        <x:v>312</x:v>
      </x:c>
      <x:c r="C416" s="84" t="n">
        <x:v>39</x:v>
      </x:c>
      <x:c r="D416" s="89" t="n">
        <x:v>45213</x:v>
      </x:c>
      <x:c r="E416" s="84" t="n">
        <x:v>3</x:v>
      </x:c>
      <x:c r="F416" s="91" t="n">
        <x:v>2032.8</x:v>
      </x:c>
    </x:row>
    <x:row r="417">
      <x:c r="A417" s="83" t="n">
        <x:v>416</x:v>
      </x:c>
      <x:c r="B417" s="84" t="n">
        <x:v>313</x:v>
      </x:c>
      <x:c r="C417" s="84" t="n">
        <x:v>16</x:v>
      </x:c>
      <x:c r="D417" s="89" t="n">
        <x:v>45473</x:v>
      </x:c>
      <x:c r="E417" s="84" t="n">
        <x:v>3</x:v>
      </x:c>
      <x:c r="F417" s="91" t="n">
        <x:v>1817.34</x:v>
      </x:c>
    </x:row>
    <x:row r="418">
      <x:c r="A418" s="83" t="n">
        <x:v>417</x:v>
      </x:c>
      <x:c r="B418" s="84" t="n">
        <x:v>313</x:v>
      </x:c>
      <x:c r="C418" s="84" t="n">
        <x:v>62</x:v>
      </x:c>
      <x:c r="D418" s="89" t="n">
        <x:v>45473</x:v>
      </x:c>
      <x:c r="E418" s="84" t="n">
        <x:v>4</x:v>
      </x:c>
      <x:c r="F418" s="91" t="n">
        <x:v>6069.24</x:v>
      </x:c>
    </x:row>
    <x:row r="419">
      <x:c r="A419" s="83" t="n">
        <x:v>418</x:v>
      </x:c>
      <x:c r="B419" s="84" t="n">
        <x:v>314</x:v>
      </x:c>
      <x:c r="C419" s="84" t="n">
        <x:v>7</x:v>
      </x:c>
      <x:c r="D419" s="89" t="n">
        <x:v>45017</x:v>
      </x:c>
      <x:c r="E419" s="84" t="n">
        <x:v>1</x:v>
      </x:c>
      <x:c r="F419" s="91" t="n">
        <x:v>366.8</x:v>
      </x:c>
    </x:row>
    <x:row r="420">
      <x:c r="A420" s="83" t="n">
        <x:v>419</x:v>
      </x:c>
      <x:c r="B420" s="84" t="n">
        <x:v>314</x:v>
      </x:c>
      <x:c r="C420" s="84" t="n">
        <x:v>67</x:v>
      </x:c>
      <x:c r="D420" s="89" t="n">
        <x:v>45017</x:v>
      </x:c>
      <x:c r="E420" s="84" t="n">
        <x:v>4</x:v>
      </x:c>
      <x:c r="F420" s="91" t="n">
        <x:v>5118.12</x:v>
      </x:c>
    </x:row>
    <x:row r="421">
      <x:c r="A421" s="83" t="n">
        <x:v>420</x:v>
      </x:c>
      <x:c r="B421" s="84" t="n">
        <x:v>314</x:v>
      </x:c>
      <x:c r="C421" s="84" t="n">
        <x:v>56</x:v>
      </x:c>
      <x:c r="D421" s="89" t="n">
        <x:v>45017</x:v>
      </x:c>
      <x:c r="E421" s="84" t="n">
        <x:v>4</x:v>
      </x:c>
      <x:c r="F421" s="91" t="n">
        <x:v>5873.84</x:v>
      </x:c>
    </x:row>
    <x:row r="422">
      <x:c r="A422" s="83" t="n">
        <x:v>421</x:v>
      </x:c>
      <x:c r="B422" s="84" t="n">
        <x:v>315</x:v>
      </x:c>
      <x:c r="C422" s="84" t="n">
        <x:v>79</x:v>
      </x:c>
      <x:c r="D422" s="89" t="n">
        <x:v>45307</x:v>
      </x:c>
      <x:c r="E422" s="84" t="n">
        <x:v>2</x:v>
      </x:c>
      <x:c r="F422" s="91" t="n">
        <x:v>4133.44</x:v>
      </x:c>
    </x:row>
    <x:row r="423">
      <x:c r="A423" s="83" t="n">
        <x:v>422</x:v>
      </x:c>
      <x:c r="B423" s="84" t="n">
        <x:v>315</x:v>
      </x:c>
      <x:c r="C423" s="84" t="n">
        <x:v>68</x:v>
      </x:c>
      <x:c r="D423" s="89" t="n">
        <x:v>45307</x:v>
      </x:c>
      <x:c r="E423" s="84" t="n">
        <x:v>3</x:v>
      </x:c>
      <x:c r="F423" s="91" t="n">
        <x:v>4582.83</x:v>
      </x:c>
    </x:row>
    <x:row r="424">
      <x:c r="A424" s="83" t="n">
        <x:v>423</x:v>
      </x:c>
      <x:c r="B424" s="84" t="n">
        <x:v>315</x:v>
      </x:c>
      <x:c r="C424" s="84" t="n">
        <x:v>60</x:v>
      </x:c>
      <x:c r="D424" s="89" t="n">
        <x:v>45307</x:v>
      </x:c>
      <x:c r="E424" s="84" t="n">
        <x:v>2</x:v>
      </x:c>
      <x:c r="F424" s="91" t="n">
        <x:v>707.6</x:v>
      </x:c>
    </x:row>
    <x:row r="425">
      <x:c r="A425" s="83" t="n">
        <x:v>424</x:v>
      </x:c>
      <x:c r="B425" s="84" t="n">
        <x:v>316</x:v>
      </x:c>
      <x:c r="C425" s="84" t="n">
        <x:v>64</x:v>
      </x:c>
      <x:c r="D425" s="89" t="n">
        <x:v>45587</x:v>
      </x:c>
      <x:c r="E425" s="84" t="n">
        <x:v>3</x:v>
      </x:c>
      <x:c r="F425" s="91" t="n">
        <x:v>4396.26</x:v>
      </x:c>
    </x:row>
    <x:row r="426">
      <x:c r="A426" s="83" t="n">
        <x:v>425</x:v>
      </x:c>
      <x:c r="B426" s="84" t="n">
        <x:v>316</x:v>
      </x:c>
      <x:c r="C426" s="84" t="n">
        <x:v>70</x:v>
      </x:c>
      <x:c r="D426" s="89" t="n">
        <x:v>45587</x:v>
      </x:c>
      <x:c r="E426" s="84" t="n">
        <x:v>4</x:v>
      </x:c>
      <x:c r="F426" s="91" t="n">
        <x:v>3078.16</x:v>
      </x:c>
    </x:row>
    <x:row r="427">
      <x:c r="A427" s="83" t="n">
        <x:v>426</x:v>
      </x:c>
      <x:c r="B427" s="84" t="n">
        <x:v>316</x:v>
      </x:c>
      <x:c r="C427" s="84" t="n">
        <x:v>58</x:v>
      </x:c>
      <x:c r="D427" s="89" t="n">
        <x:v>45587</x:v>
      </x:c>
      <x:c r="E427" s="84" t="n">
        <x:v>3</x:v>
      </x:c>
      <x:c r="F427" s="91" t="n">
        <x:v>6054.54</x:v>
      </x:c>
    </x:row>
    <x:row r="428">
      <x:c r="A428" s="83" t="n">
        <x:v>427</x:v>
      </x:c>
      <x:c r="B428" s="84" t="n">
        <x:v>317</x:v>
      </x:c>
      <x:c r="C428" s="84" t="n">
        <x:v>74</x:v>
      </x:c>
      <x:c r="D428" s="89" t="n">
        <x:v>45596</x:v>
      </x:c>
      <x:c r="E428" s="84" t="n">
        <x:v>2</x:v>
      </x:c>
      <x:c r="F428" s="91" t="n">
        <x:v>3312.7</x:v>
      </x:c>
    </x:row>
    <x:row r="429">
      <x:c r="A429" s="83" t="n">
        <x:v>428</x:v>
      </x:c>
      <x:c r="B429" s="84" t="n">
        <x:v>317</x:v>
      </x:c>
      <x:c r="C429" s="84" t="n">
        <x:v>47</x:v>
      </x:c>
      <x:c r="D429" s="89" t="n">
        <x:v>45596</x:v>
      </x:c>
      <x:c r="E429" s="84" t="n">
        <x:v>2</x:v>
      </x:c>
      <x:c r="F429" s="91" t="n">
        <x:v>4351.24</x:v>
      </x:c>
    </x:row>
    <x:row r="430">
      <x:c r="A430" s="83" t="n">
        <x:v>429</x:v>
      </x:c>
      <x:c r="B430" s="84" t="n">
        <x:v>318</x:v>
      </x:c>
      <x:c r="C430" s="84" t="n">
        <x:v>30</x:v>
      </x:c>
      <x:c r="D430" s="89" t="n">
        <x:v>45213</x:v>
      </x:c>
      <x:c r="E430" s="84" t="n">
        <x:v>1</x:v>
      </x:c>
      <x:c r="F430" s="91" t="n">
        <x:v>1278.76</x:v>
      </x:c>
    </x:row>
    <x:row r="431">
      <x:c r="A431" s="83" t="n">
        <x:v>430</x:v>
      </x:c>
      <x:c r="B431" s="84" t="n">
        <x:v>318</x:v>
      </x:c>
      <x:c r="C431" s="84" t="n">
        <x:v>20</x:v>
      </x:c>
      <x:c r="D431" s="89" t="n">
        <x:v>45213</x:v>
      </x:c>
      <x:c r="E431" s="84" t="n">
        <x:v>3</x:v>
      </x:c>
      <x:c r="F431" s="91" t="n">
        <x:v>1623.6</x:v>
      </x:c>
    </x:row>
    <x:row r="432">
      <x:c r="A432" s="83" t="n">
        <x:v>431</x:v>
      </x:c>
      <x:c r="B432" s="84" t="n">
        <x:v>319</x:v>
      </x:c>
      <x:c r="C432" s="84" t="n">
        <x:v>13</x:v>
      </x:c>
      <x:c r="D432" s="89" t="n">
        <x:v>45362</x:v>
      </x:c>
      <x:c r="E432" s="84" t="n">
        <x:v>1</x:v>
      </x:c>
      <x:c r="F432" s="91" t="n">
        <x:v>802.05</x:v>
      </x:c>
    </x:row>
    <x:row r="433">
      <x:c r="A433" s="83" t="n">
        <x:v>432</x:v>
      </x:c>
      <x:c r="B433" s="84" t="n">
        <x:v>319</x:v>
      </x:c>
      <x:c r="C433" s="84" t="n">
        <x:v>37</x:v>
      </x:c>
      <x:c r="D433" s="89" t="n">
        <x:v>45362</x:v>
      </x:c>
      <x:c r="E433" s="84" t="n">
        <x:v>1</x:v>
      </x:c>
      <x:c r="F433" s="91" t="n">
        <x:v>1033.71</x:v>
      </x:c>
    </x:row>
    <x:row r="434">
      <x:c r="A434" s="83" t="n">
        <x:v>433</x:v>
      </x:c>
      <x:c r="B434" s="84" t="n">
        <x:v>319</x:v>
      </x:c>
      <x:c r="C434" s="84" t="n">
        <x:v>2</x:v>
      </x:c>
      <x:c r="D434" s="89" t="n">
        <x:v>45362</x:v>
      </x:c>
      <x:c r="E434" s="84" t="n">
        <x:v>4</x:v>
      </x:c>
      <x:c r="F434" s="91" t="n">
        <x:v>3977.24</x:v>
      </x:c>
    </x:row>
    <x:row r="435">
      <x:c r="A435" s="83" t="n">
        <x:v>434</x:v>
      </x:c>
      <x:c r="B435" s="84" t="n">
        <x:v>320</x:v>
      </x:c>
      <x:c r="C435" s="84" t="n">
        <x:v>58</x:v>
      </x:c>
      <x:c r="D435" s="89" t="n">
        <x:v>45560</x:v>
      </x:c>
      <x:c r="E435" s="84" t="n">
        <x:v>1</x:v>
      </x:c>
      <x:c r="F435" s="91" t="n">
        <x:v>2018.18</x:v>
      </x:c>
    </x:row>
    <x:row r="436">
      <x:c r="A436" s="83" t="n">
        <x:v>435</x:v>
      </x:c>
      <x:c r="B436" s="84" t="n">
        <x:v>320</x:v>
      </x:c>
      <x:c r="C436" s="84" t="n">
        <x:v>56</x:v>
      </x:c>
      <x:c r="D436" s="89" t="n">
        <x:v>45560</x:v>
      </x:c>
      <x:c r="E436" s="84" t="n">
        <x:v>3</x:v>
      </x:c>
      <x:c r="F436" s="91" t="n">
        <x:v>4405.38</x:v>
      </x:c>
    </x:row>
    <x:row r="437">
      <x:c r="A437" s="83" t="n">
        <x:v>436</x:v>
      </x:c>
      <x:c r="B437" s="84" t="n">
        <x:v>321</x:v>
      </x:c>
      <x:c r="C437" s="84" t="n">
        <x:v>26</x:v>
      </x:c>
      <x:c r="D437" s="89" t="n">
        <x:v>45629</x:v>
      </x:c>
      <x:c r="E437" s="84" t="n">
        <x:v>1</x:v>
      </x:c>
      <x:c r="F437" s="91" t="n">
        <x:v>2151</x:v>
      </x:c>
    </x:row>
    <x:row r="438">
      <x:c r="A438" s="83" t="n">
        <x:v>437</x:v>
      </x:c>
      <x:c r="B438" s="84" t="n">
        <x:v>322</x:v>
      </x:c>
      <x:c r="C438" s="84" t="n">
        <x:v>43</x:v>
      </x:c>
      <x:c r="D438" s="89" t="n">
        <x:v>45377</x:v>
      </x:c>
      <x:c r="E438" s="84" t="n">
        <x:v>1</x:v>
      </x:c>
      <x:c r="F438" s="91" t="n">
        <x:v>1465.42</x:v>
      </x:c>
    </x:row>
    <x:row r="439">
      <x:c r="A439" s="83" t="n">
        <x:v>438</x:v>
      </x:c>
      <x:c r="B439" s="84" t="n">
        <x:v>322</x:v>
      </x:c>
      <x:c r="C439" s="84" t="n">
        <x:v>68</x:v>
      </x:c>
      <x:c r="D439" s="89" t="n">
        <x:v>45377</x:v>
      </x:c>
      <x:c r="E439" s="84" t="n">
        <x:v>1</x:v>
      </x:c>
      <x:c r="F439" s="91" t="n">
        <x:v>1527.61</x:v>
      </x:c>
    </x:row>
    <x:row r="440">
      <x:c r="A440" s="83" t="n">
        <x:v>439</x:v>
      </x:c>
      <x:c r="B440" s="84" t="n">
        <x:v>322</x:v>
      </x:c>
      <x:c r="C440" s="84" t="n">
        <x:v>15</x:v>
      </x:c>
      <x:c r="D440" s="89" t="n">
        <x:v>45377</x:v>
      </x:c>
      <x:c r="E440" s="84" t="n">
        <x:v>4</x:v>
      </x:c>
      <x:c r="F440" s="91" t="n">
        <x:v>4938.44</x:v>
      </x:c>
    </x:row>
    <x:row r="441">
      <x:c r="A441" s="83" t="n">
        <x:v>440</x:v>
      </x:c>
      <x:c r="B441" s="84" t="n">
        <x:v>323</x:v>
      </x:c>
      <x:c r="C441" s="84" t="n">
        <x:v>16</x:v>
      </x:c>
      <x:c r="D441" s="89" t="n">
        <x:v>45327</x:v>
      </x:c>
      <x:c r="E441" s="84" t="n">
        <x:v>2</x:v>
      </x:c>
      <x:c r="F441" s="91" t="n">
        <x:v>1211.56</x:v>
      </x:c>
    </x:row>
    <x:row r="442">
      <x:c r="A442" s="83" t="n">
        <x:v>441</x:v>
      </x:c>
      <x:c r="B442" s="84" t="n">
        <x:v>323</x:v>
      </x:c>
      <x:c r="C442" s="84" t="n">
        <x:v>13</x:v>
      </x:c>
      <x:c r="D442" s="89" t="n">
        <x:v>45327</x:v>
      </x:c>
      <x:c r="E442" s="84" t="n">
        <x:v>2</x:v>
      </x:c>
      <x:c r="F442" s="91" t="n">
        <x:v>1604.1</x:v>
      </x:c>
    </x:row>
    <x:row r="443">
      <x:c r="A443" s="83" t="n">
        <x:v>442</x:v>
      </x:c>
      <x:c r="B443" s="84" t="n">
        <x:v>323</x:v>
      </x:c>
      <x:c r="C443" s="84" t="n">
        <x:v>49</x:v>
      </x:c>
      <x:c r="D443" s="89" t="n">
        <x:v>45327</x:v>
      </x:c>
      <x:c r="E443" s="84" t="n">
        <x:v>4</x:v>
      </x:c>
      <x:c r="F443" s="91" t="n">
        <x:v>736.64</x:v>
      </x:c>
    </x:row>
    <x:row r="444">
      <x:c r="A444" s="83" t="n">
        <x:v>443</x:v>
      </x:c>
      <x:c r="B444" s="84" t="n">
        <x:v>325</x:v>
      </x:c>
      <x:c r="C444" s="84" t="n">
        <x:v>53</x:v>
      </x:c>
      <x:c r="D444" s="89" t="n">
        <x:v>45327</x:v>
      </x:c>
      <x:c r="E444" s="84" t="n">
        <x:v>1</x:v>
      </x:c>
      <x:c r="F444" s="91" t="n">
        <x:v>1590.92</x:v>
      </x:c>
    </x:row>
    <x:row r="445">
      <x:c r="A445" s="83" t="n">
        <x:v>444</x:v>
      </x:c>
      <x:c r="B445" s="84" t="n">
        <x:v>325</x:v>
      </x:c>
      <x:c r="C445" s="84" t="n">
        <x:v>12</x:v>
      </x:c>
      <x:c r="D445" s="89" t="n">
        <x:v>45327</x:v>
      </x:c>
      <x:c r="E445" s="84" t="n">
        <x:v>1</x:v>
      </x:c>
      <x:c r="F445" s="91" t="n">
        <x:v>284.49</x:v>
      </x:c>
    </x:row>
    <x:row r="446">
      <x:c r="A446" s="83" t="n">
        <x:v>445</x:v>
      </x:c>
      <x:c r="B446" s="84" t="n">
        <x:v>325</x:v>
      </x:c>
      <x:c r="C446" s="84" t="n">
        <x:v>22</x:v>
      </x:c>
      <x:c r="D446" s="89" t="n">
        <x:v>45327</x:v>
      </x:c>
      <x:c r="E446" s="84" t="n">
        <x:v>4</x:v>
      </x:c>
      <x:c r="F446" s="91" t="n">
        <x:v>2087.56</x:v>
      </x:c>
    </x:row>
    <x:row r="447">
      <x:c r="A447" s="83" t="n">
        <x:v>446</x:v>
      </x:c>
      <x:c r="B447" s="84" t="n">
        <x:v>326</x:v>
      </x:c>
      <x:c r="C447" s="84" t="n">
        <x:v>79</x:v>
      </x:c>
      <x:c r="D447" s="89" t="n">
        <x:v>45595</x:v>
      </x:c>
      <x:c r="E447" s="84" t="n">
        <x:v>2</x:v>
      </x:c>
      <x:c r="F447" s="91" t="n">
        <x:v>4133.44</x:v>
      </x:c>
    </x:row>
    <x:row r="448">
      <x:c r="A448" s="83" t="n">
        <x:v>447</x:v>
      </x:c>
      <x:c r="B448" s="84" t="n">
        <x:v>326</x:v>
      </x:c>
      <x:c r="C448" s="84" t="n">
        <x:v>37</x:v>
      </x:c>
      <x:c r="D448" s="89" t="n">
        <x:v>45595</x:v>
      </x:c>
      <x:c r="E448" s="84" t="n">
        <x:v>3</x:v>
      </x:c>
      <x:c r="F448" s="91" t="n">
        <x:v>3101.13</x:v>
      </x:c>
    </x:row>
    <x:row r="449">
      <x:c r="A449" s="83" t="n">
        <x:v>448</x:v>
      </x:c>
      <x:c r="B449" s="84" t="n">
        <x:v>326</x:v>
      </x:c>
      <x:c r="C449" s="84" t="n">
        <x:v>44</x:v>
      </x:c>
      <x:c r="D449" s="89" t="n">
        <x:v>45595</x:v>
      </x:c>
      <x:c r="E449" s="84" t="n">
        <x:v>1</x:v>
      </x:c>
      <x:c r="F449" s="91" t="n">
        <x:v>1251.48</x:v>
      </x:c>
    </x:row>
    <x:row r="450">
      <x:c r="A450" s="83" t="n">
        <x:v>449</x:v>
      </x:c>
      <x:c r="B450" s="84" t="n">
        <x:v>327</x:v>
      </x:c>
      <x:c r="C450" s="84" t="n">
        <x:v>36</x:v>
      </x:c>
      <x:c r="D450" s="89" t="n">
        <x:v>44977</x:v>
      </x:c>
      <x:c r="E450" s="84" t="n">
        <x:v>1</x:v>
      </x:c>
      <x:c r="F450" s="91" t="n">
        <x:v>596.41</x:v>
      </x:c>
    </x:row>
    <x:row r="451">
      <x:c r="A451" s="83" t="n">
        <x:v>450</x:v>
      </x:c>
      <x:c r="B451" s="84" t="n">
        <x:v>327</x:v>
      </x:c>
      <x:c r="C451" s="84" t="n">
        <x:v>38</x:v>
      </x:c>
      <x:c r="D451" s="89" t="n">
        <x:v>44977</x:v>
      </x:c>
      <x:c r="E451" s="84" t="n">
        <x:v>1</x:v>
      </x:c>
      <x:c r="F451" s="91" t="n">
        <x:v>726.49</x:v>
      </x:c>
    </x:row>
    <x:row r="452">
      <x:c r="A452" s="83" t="n">
        <x:v>451</x:v>
      </x:c>
      <x:c r="B452" s="84" t="n">
        <x:v>328</x:v>
      </x:c>
      <x:c r="C452" s="84" t="n">
        <x:v>37</x:v>
      </x:c>
      <x:c r="D452" s="89" t="n">
        <x:v>45733</x:v>
      </x:c>
      <x:c r="E452" s="84" t="n">
        <x:v>2</x:v>
      </x:c>
      <x:c r="F452" s="91" t="n">
        <x:v>2067.42</x:v>
      </x:c>
    </x:row>
    <x:row r="453">
      <x:c r="A453" s="83" t="n">
        <x:v>452</x:v>
      </x:c>
      <x:c r="B453" s="84" t="n">
        <x:v>329</x:v>
      </x:c>
      <x:c r="C453" s="84" t="n">
        <x:v>34</x:v>
      </x:c>
      <x:c r="D453" s="89" t="n">
        <x:v>45034</x:v>
      </x:c>
      <x:c r="E453" s="84" t="n">
        <x:v>4</x:v>
      </x:c>
      <x:c r="F453" s="91" t="n">
        <x:v>7908.36</x:v>
      </x:c>
    </x:row>
    <x:row r="454">
      <x:c r="A454" s="83" t="n">
        <x:v>453</x:v>
      </x:c>
      <x:c r="B454" s="84" t="n">
        <x:v>329</x:v>
      </x:c>
      <x:c r="C454" s="84" t="n">
        <x:v>22</x:v>
      </x:c>
      <x:c r="D454" s="89" t="n">
        <x:v>45034</x:v>
      </x:c>
      <x:c r="E454" s="84" t="n">
        <x:v>1</x:v>
      </x:c>
      <x:c r="F454" s="91" t="n">
        <x:v>521.89</x:v>
      </x:c>
    </x:row>
    <x:row r="455">
      <x:c r="A455" s="83" t="n">
        <x:v>454</x:v>
      </x:c>
      <x:c r="B455" s="84" t="n">
        <x:v>329</x:v>
      </x:c>
      <x:c r="C455" s="84" t="n">
        <x:v>25</x:v>
      </x:c>
      <x:c r="D455" s="89" t="n">
        <x:v>45034</x:v>
      </x:c>
      <x:c r="E455" s="84" t="n">
        <x:v>1</x:v>
      </x:c>
      <x:c r="F455" s="91" t="n">
        <x:v>1079.45</x:v>
      </x:c>
    </x:row>
    <x:row r="456">
      <x:c r="A456" s="83" t="n">
        <x:v>455</x:v>
      </x:c>
      <x:c r="B456" s="84" t="n">
        <x:v>330</x:v>
      </x:c>
      <x:c r="C456" s="84" t="n">
        <x:v>4</x:v>
      </x:c>
      <x:c r="D456" s="89" t="n">
        <x:v>45190</x:v>
      </x:c>
      <x:c r="E456" s="84" t="n">
        <x:v>1</x:v>
      </x:c>
      <x:c r="F456" s="91" t="n">
        <x:v>1525.31</x:v>
      </x:c>
    </x:row>
    <x:row r="457">
      <x:c r="A457" s="83" t="n">
        <x:v>456</x:v>
      </x:c>
      <x:c r="B457" s="84" t="n">
        <x:v>330</x:v>
      </x:c>
      <x:c r="C457" s="84" t="n">
        <x:v>76</x:v>
      </x:c>
      <x:c r="D457" s="89" t="n">
        <x:v>45190</x:v>
      </x:c>
      <x:c r="E457" s="84" t="n">
        <x:v>1</x:v>
      </x:c>
      <x:c r="F457" s="91" t="n">
        <x:v>719.81</x:v>
      </x:c>
    </x:row>
    <x:row r="458">
      <x:c r="A458" s="83" t="n">
        <x:v>457</x:v>
      </x:c>
      <x:c r="B458" s="84" t="n">
        <x:v>330</x:v>
      </x:c>
      <x:c r="C458" s="84" t="n">
        <x:v>55</x:v>
      </x:c>
      <x:c r="D458" s="89" t="n">
        <x:v>45190</x:v>
      </x:c>
      <x:c r="E458" s="84" t="n">
        <x:v>4</x:v>
      </x:c>
      <x:c r="F458" s="91" t="n">
        <x:v>5999.4</x:v>
      </x:c>
    </x:row>
    <x:row r="459">
      <x:c r="A459" s="83" t="n">
        <x:v>458</x:v>
      </x:c>
      <x:c r="B459" s="84" t="n">
        <x:v>332</x:v>
      </x:c>
      <x:c r="C459" s="84" t="n">
        <x:v>27</x:v>
      </x:c>
      <x:c r="D459" s="89" t="n">
        <x:v>45937</x:v>
      </x:c>
      <x:c r="E459" s="84" t="n">
        <x:v>3</x:v>
      </x:c>
      <x:c r="F459" s="91" t="n">
        <x:v>482.07</x:v>
      </x:c>
    </x:row>
    <x:row r="460">
      <x:c r="A460" s="83" t="n">
        <x:v>459</x:v>
      </x:c>
      <x:c r="B460" s="84" t="n">
        <x:v>332</x:v>
      </x:c>
      <x:c r="C460" s="84" t="n">
        <x:v>47</x:v>
      </x:c>
      <x:c r="D460" s="89" t="n">
        <x:v>45937</x:v>
      </x:c>
      <x:c r="E460" s="84" t="n">
        <x:v>4</x:v>
      </x:c>
      <x:c r="F460" s="91" t="n">
        <x:v>8702.48</x:v>
      </x:c>
    </x:row>
    <x:row r="461">
      <x:c r="A461" s="83" t="n">
        <x:v>460</x:v>
      </x:c>
      <x:c r="B461" s="84" t="n">
        <x:v>333</x:v>
      </x:c>
      <x:c r="C461" s="84" t="n">
        <x:v>67</x:v>
      </x:c>
      <x:c r="D461" s="89" t="n">
        <x:v>45228</x:v>
      </x:c>
      <x:c r="E461" s="84" t="n">
        <x:v>1</x:v>
      </x:c>
      <x:c r="F461" s="91" t="n">
        <x:v>1279.53</x:v>
      </x:c>
    </x:row>
    <x:row r="462">
      <x:c r="A462" s="83" t="n">
        <x:v>461</x:v>
      </x:c>
      <x:c r="B462" s="84" t="n">
        <x:v>333</x:v>
      </x:c>
      <x:c r="C462" s="84" t="n">
        <x:v>32</x:v>
      </x:c>
      <x:c r="D462" s="89" t="n">
        <x:v>45228</x:v>
      </x:c>
      <x:c r="E462" s="84" t="n">
        <x:v>4</x:v>
      </x:c>
      <x:c r="F462" s="91" t="n">
        <x:v>7253</x:v>
      </x:c>
    </x:row>
    <x:row r="463">
      <x:c r="A463" s="83" t="n">
        <x:v>462</x:v>
      </x:c>
      <x:c r="B463" s="84" t="n">
        <x:v>333</x:v>
      </x:c>
      <x:c r="C463" s="84" t="n">
        <x:v>64</x:v>
      </x:c>
      <x:c r="D463" s="89" t="n">
        <x:v>45228</x:v>
      </x:c>
      <x:c r="E463" s="84" t="n">
        <x:v>1</x:v>
      </x:c>
      <x:c r="F463" s="91" t="n">
        <x:v>1465.42</x:v>
      </x:c>
    </x:row>
    <x:row r="464">
      <x:c r="A464" s="83" t="n">
        <x:v>463</x:v>
      </x:c>
      <x:c r="B464" s="84" t="n">
        <x:v>334</x:v>
      </x:c>
      <x:c r="C464" s="84" t="n">
        <x:v>50</x:v>
      </x:c>
      <x:c r="D464" s="89" t="n">
        <x:v>45748</x:v>
      </x:c>
      <x:c r="E464" s="84" t="n">
        <x:v>4</x:v>
      </x:c>
      <x:c r="F464" s="91" t="n">
        <x:v>8943.8</x:v>
      </x:c>
    </x:row>
    <x:row r="465">
      <x:c r="A465" s="83" t="n">
        <x:v>464</x:v>
      </x:c>
      <x:c r="B465" s="84" t="n">
        <x:v>334</x:v>
      </x:c>
      <x:c r="C465" s="84" t="n">
        <x:v>1</x:v>
      </x:c>
      <x:c r="D465" s="89" t="n">
        <x:v>45748</x:v>
      </x:c>
      <x:c r="E465" s="84" t="n">
        <x:v>1</x:v>
      </x:c>
      <x:c r="F465" s="91" t="n">
        <x:v>1739.6</x:v>
      </x:c>
    </x:row>
    <x:row r="466">
      <x:c r="A466" s="83" t="n">
        <x:v>465</x:v>
      </x:c>
      <x:c r="B466" s="84" t="n">
        <x:v>336</x:v>
      </x:c>
      <x:c r="C466" s="84" t="n">
        <x:v>23</x:v>
      </x:c>
      <x:c r="D466" s="89" t="n">
        <x:v>45867</x:v>
      </x:c>
      <x:c r="E466" s="84" t="n">
        <x:v>2</x:v>
      </x:c>
      <x:c r="F466" s="91" t="n">
        <x:v>3505.7</x:v>
      </x:c>
    </x:row>
    <x:row r="467">
      <x:c r="A467" s="83" t="n">
        <x:v>466</x:v>
      </x:c>
      <x:c r="B467" s="84" t="n">
        <x:v>336</x:v>
      </x:c>
      <x:c r="C467" s="84" t="n">
        <x:v>7</x:v>
      </x:c>
      <x:c r="D467" s="89" t="n">
        <x:v>45867</x:v>
      </x:c>
      <x:c r="E467" s="84" t="n">
        <x:v>4</x:v>
      </x:c>
      <x:c r="F467" s="91" t="n">
        <x:v>1467.2</x:v>
      </x:c>
    </x:row>
    <x:row r="468">
      <x:c r="A468" s="83" t="n">
        <x:v>467</x:v>
      </x:c>
      <x:c r="B468" s="84" t="n">
        <x:v>336</x:v>
      </x:c>
      <x:c r="C468" s="84" t="n">
        <x:v>71</x:v>
      </x:c>
      <x:c r="D468" s="89" t="n">
        <x:v>45867</x:v>
      </x:c>
      <x:c r="E468" s="84" t="n">
        <x:v>1</x:v>
      </x:c>
      <x:c r="F468" s="91" t="n">
        <x:v>1983.52</x:v>
      </x:c>
    </x:row>
    <x:row r="469">
      <x:c r="A469" s="83" t="n">
        <x:v>468</x:v>
      </x:c>
      <x:c r="B469" s="84" t="n">
        <x:v>337</x:v>
      </x:c>
      <x:c r="C469" s="84" t="n">
        <x:v>46</x:v>
      </x:c>
      <x:c r="D469" s="89" t="n">
        <x:v>45691</x:v>
      </x:c>
      <x:c r="E469" s="84" t="n">
        <x:v>2</x:v>
      </x:c>
      <x:c r="F469" s="91" t="n">
        <x:v>2669.9</x:v>
      </x:c>
    </x:row>
    <x:row r="470">
      <x:c r="A470" s="83" t="n">
        <x:v>469</x:v>
      </x:c>
      <x:c r="B470" s="84" t="n">
        <x:v>337</x:v>
      </x:c>
      <x:c r="C470" s="84" t="n">
        <x:v>79</x:v>
      </x:c>
      <x:c r="D470" s="89" t="n">
        <x:v>45691</x:v>
      </x:c>
      <x:c r="E470" s="84" t="n">
        <x:v>3</x:v>
      </x:c>
      <x:c r="F470" s="91" t="n">
        <x:v>6200.16</x:v>
      </x:c>
    </x:row>
    <x:row r="471">
      <x:c r="A471" s="83" t="n">
        <x:v>470</x:v>
      </x:c>
      <x:c r="B471" s="84" t="n">
        <x:v>340</x:v>
      </x:c>
      <x:c r="C471" s="84" t="n">
        <x:v>12</x:v>
      </x:c>
      <x:c r="D471" s="89" t="n">
        <x:v>45203</x:v>
      </x:c>
      <x:c r="E471" s="84" t="n">
        <x:v>2</x:v>
      </x:c>
      <x:c r="F471" s="91" t="n">
        <x:v>568.98</x:v>
      </x:c>
    </x:row>
    <x:row r="472">
      <x:c r="A472" s="83" t="n">
        <x:v>471</x:v>
      </x:c>
      <x:c r="B472" s="84" t="n">
        <x:v>340</x:v>
      </x:c>
      <x:c r="C472" s="84" t="n">
        <x:v>35</x:v>
      </x:c>
      <x:c r="D472" s="89" t="n">
        <x:v>45203</x:v>
      </x:c>
      <x:c r="E472" s="84" t="n">
        <x:v>2</x:v>
      </x:c>
      <x:c r="F472" s="91" t="n">
        <x:v>2941.56</x:v>
      </x:c>
    </x:row>
    <x:row r="473">
      <x:c r="A473" s="83" t="n">
        <x:v>472</x:v>
      </x:c>
      <x:c r="B473" s="84" t="n">
        <x:v>342</x:v>
      </x:c>
      <x:c r="C473" s="84" t="n">
        <x:v>29</x:v>
      </x:c>
      <x:c r="D473" s="89" t="n">
        <x:v>45386</x:v>
      </x:c>
      <x:c r="E473" s="84" t="n">
        <x:v>4</x:v>
      </x:c>
      <x:c r="F473" s="91" t="n">
        <x:v>6209.88</x:v>
      </x:c>
    </x:row>
    <x:row r="474">
      <x:c r="A474" s="83" t="n">
        <x:v>473</x:v>
      </x:c>
      <x:c r="B474" s="84" t="n">
        <x:v>343</x:v>
      </x:c>
      <x:c r="C474" s="84" t="n">
        <x:v>71</x:v>
      </x:c>
      <x:c r="D474" s="89" t="n">
        <x:v>45383</x:v>
      </x:c>
      <x:c r="E474" s="84" t="n">
        <x:v>1</x:v>
      </x:c>
      <x:c r="F474" s="91" t="n">
        <x:v>1983.52</x:v>
      </x:c>
    </x:row>
    <x:row r="475">
      <x:c r="A475" s="83" t="n">
        <x:v>474</x:v>
      </x:c>
      <x:c r="B475" s="84" t="n">
        <x:v>343</x:v>
      </x:c>
      <x:c r="C475" s="84" t="n">
        <x:v>19</x:v>
      </x:c>
      <x:c r="D475" s="89" t="n">
        <x:v>45383</x:v>
      </x:c>
      <x:c r="E475" s="84" t="n">
        <x:v>1</x:v>
      </x:c>
      <x:c r="F475" s="91" t="n">
        <x:v>1087.71</x:v>
      </x:c>
    </x:row>
    <x:row r="476">
      <x:c r="A476" s="83" t="n">
        <x:v>475</x:v>
      </x:c>
      <x:c r="B476" s="84" t="n">
        <x:v>347</x:v>
      </x:c>
      <x:c r="C476" s="84" t="n">
        <x:v>71</x:v>
      </x:c>
      <x:c r="D476" s="89" t="n">
        <x:v>45222</x:v>
      </x:c>
      <x:c r="E476" s="84" t="n">
        <x:v>1</x:v>
      </x:c>
      <x:c r="F476" s="91" t="n">
        <x:v>1983.52</x:v>
      </x:c>
    </x:row>
    <x:row r="477">
      <x:c r="A477" s="83" t="n">
        <x:v>476</x:v>
      </x:c>
      <x:c r="B477" s="84" t="n">
        <x:v>347</x:v>
      </x:c>
      <x:c r="C477" s="84" t="n">
        <x:v>71</x:v>
      </x:c>
      <x:c r="D477" s="89" t="n">
        <x:v>45222</x:v>
      </x:c>
      <x:c r="E477" s="84" t="n">
        <x:v>3</x:v>
      </x:c>
      <x:c r="F477" s="91" t="n">
        <x:v>5950.56</x:v>
      </x:c>
    </x:row>
    <x:row r="478">
      <x:c r="A478" s="83" t="n">
        <x:v>477</x:v>
      </x:c>
      <x:c r="B478" s="84" t="n">
        <x:v>347</x:v>
      </x:c>
      <x:c r="C478" s="84" t="n">
        <x:v>65</x:v>
      </x:c>
      <x:c r="D478" s="89" t="n">
        <x:v>45222</x:v>
      </x:c>
      <x:c r="E478" s="84" t="n">
        <x:v>3</x:v>
      </x:c>
      <x:c r="F478" s="91" t="n">
        <x:v>3764.52</x:v>
      </x:c>
    </x:row>
    <x:row r="479">
      <x:c r="A479" s="83" t="n">
        <x:v>478</x:v>
      </x:c>
      <x:c r="B479" s="84" t="n">
        <x:v>349</x:v>
      </x:c>
      <x:c r="C479" s="84" t="n">
        <x:v>75</x:v>
      </x:c>
      <x:c r="D479" s="89" t="n">
        <x:v>45956</x:v>
      </x:c>
      <x:c r="E479" s="84" t="n">
        <x:v>1</x:v>
      </x:c>
      <x:c r="F479" s="91" t="n">
        <x:v>456.17</x:v>
      </x:c>
    </x:row>
    <x:row r="480">
      <x:c r="A480" s="83" t="n">
        <x:v>479</x:v>
      </x:c>
      <x:c r="B480" s="84" t="n">
        <x:v>349</x:v>
      </x:c>
      <x:c r="C480" s="84" t="n">
        <x:v>44</x:v>
      </x:c>
      <x:c r="D480" s="89" t="n">
        <x:v>45956</x:v>
      </x:c>
      <x:c r="E480" s="84" t="n">
        <x:v>4</x:v>
      </x:c>
      <x:c r="F480" s="91" t="n">
        <x:v>5005.92</x:v>
      </x:c>
    </x:row>
    <x:row r="481">
      <x:c r="A481" s="83" t="n">
        <x:v>480</x:v>
      </x:c>
      <x:c r="B481" s="84" t="n">
        <x:v>349</x:v>
      </x:c>
      <x:c r="C481" s="84" t="n">
        <x:v>59</x:v>
      </x:c>
      <x:c r="D481" s="89" t="n">
        <x:v>45956</x:v>
      </x:c>
      <x:c r="E481" s="84" t="n">
        <x:v>1</x:v>
      </x:c>
      <x:c r="F481" s="91" t="n">
        <x:v>1516.45</x:v>
      </x:c>
    </x:row>
    <x:row r="482">
      <x:c r="A482" s="83" t="n">
        <x:v>481</x:v>
      </x:c>
      <x:c r="B482" s="84" t="n">
        <x:v>350</x:v>
      </x:c>
      <x:c r="C482" s="84" t="n">
        <x:v>4</x:v>
      </x:c>
      <x:c r="D482" s="89" t="n">
        <x:v>45825</x:v>
      </x:c>
      <x:c r="E482" s="84" t="n">
        <x:v>4</x:v>
      </x:c>
      <x:c r="F482" s="91" t="n">
        <x:v>6101.24</x:v>
      </x:c>
    </x:row>
    <x:row r="483">
      <x:c r="A483" s="83" t="n">
        <x:v>482</x:v>
      </x:c>
      <x:c r="B483" s="84" t="n">
        <x:v>350</x:v>
      </x:c>
      <x:c r="C483" s="84" t="n">
        <x:v>16</x:v>
      </x:c>
      <x:c r="D483" s="89" t="n">
        <x:v>45825</x:v>
      </x:c>
      <x:c r="E483" s="84" t="n">
        <x:v>2</x:v>
      </x:c>
      <x:c r="F483" s="91" t="n">
        <x:v>1211.56</x:v>
      </x:c>
    </x:row>
    <x:row r="484">
      <x:c r="A484" s="83" t="n">
        <x:v>483</x:v>
      </x:c>
      <x:c r="B484" s="84" t="n">
        <x:v>351</x:v>
      </x:c>
      <x:c r="C484" s="84" t="n">
        <x:v>30</x:v>
      </x:c>
      <x:c r="D484" s="89" t="n">
        <x:v>45341</x:v>
      </x:c>
      <x:c r="E484" s="84" t="n">
        <x:v>3</x:v>
      </x:c>
      <x:c r="F484" s="91" t="n">
        <x:v>3836.28</x:v>
      </x:c>
    </x:row>
    <x:row r="485">
      <x:c r="A485" s="83" t="n">
        <x:v>484</x:v>
      </x:c>
      <x:c r="B485" s="84" t="n">
        <x:v>351</x:v>
      </x:c>
      <x:c r="C485" s="84" t="n">
        <x:v>4</x:v>
      </x:c>
      <x:c r="D485" s="89" t="n">
        <x:v>45341</x:v>
      </x:c>
      <x:c r="E485" s="84" t="n">
        <x:v>2</x:v>
      </x:c>
      <x:c r="F485" s="91" t="n">
        <x:v>3050.62</x:v>
      </x:c>
    </x:row>
    <x:row r="486">
      <x:c r="A486" s="83" t="n">
        <x:v>485</x:v>
      </x:c>
      <x:c r="B486" s="84" t="n">
        <x:v>351</x:v>
      </x:c>
      <x:c r="C486" s="84" t="n">
        <x:v>35</x:v>
      </x:c>
      <x:c r="D486" s="89" t="n">
        <x:v>45341</x:v>
      </x:c>
      <x:c r="E486" s="84" t="n">
        <x:v>1</x:v>
      </x:c>
      <x:c r="F486" s="91" t="n">
        <x:v>1470.78</x:v>
      </x:c>
    </x:row>
    <x:row r="487">
      <x:c r="A487" s="83" t="n">
        <x:v>486</x:v>
      </x:c>
      <x:c r="B487" s="84" t="n">
        <x:v>352</x:v>
      </x:c>
      <x:c r="C487" s="84" t="n">
        <x:v>39</x:v>
      </x:c>
      <x:c r="D487" s="89" t="n">
        <x:v>45377</x:v>
      </x:c>
      <x:c r="E487" s="84" t="n">
        <x:v>4</x:v>
      </x:c>
      <x:c r="F487" s="91" t="n">
        <x:v>2710.4</x:v>
      </x:c>
    </x:row>
    <x:row r="488">
      <x:c r="A488" s="83" t="n">
        <x:v>487</x:v>
      </x:c>
      <x:c r="B488" s="84" t="n">
        <x:v>352</x:v>
      </x:c>
      <x:c r="C488" s="84" t="n">
        <x:v>38</x:v>
      </x:c>
      <x:c r="D488" s="89" t="n">
        <x:v>45377</x:v>
      </x:c>
      <x:c r="E488" s="84" t="n">
        <x:v>1</x:v>
      </x:c>
      <x:c r="F488" s="91" t="n">
        <x:v>726.49</x:v>
      </x:c>
    </x:row>
    <x:row r="489">
      <x:c r="A489" s="83" t="n">
        <x:v>488</x:v>
      </x:c>
      <x:c r="B489" s="84" t="n">
        <x:v>352</x:v>
      </x:c>
      <x:c r="C489" s="84" t="n">
        <x:v>22</x:v>
      </x:c>
      <x:c r="D489" s="89" t="n">
        <x:v>45377</x:v>
      </x:c>
      <x:c r="E489" s="84" t="n">
        <x:v>4</x:v>
      </x:c>
      <x:c r="F489" s="91" t="n">
        <x:v>2087.56</x:v>
      </x:c>
    </x:row>
    <x:row r="490">
      <x:c r="A490" s="83" t="n">
        <x:v>489</x:v>
      </x:c>
      <x:c r="B490" s="84" t="n">
        <x:v>355</x:v>
      </x:c>
      <x:c r="C490" s="84" t="n">
        <x:v>1</x:v>
      </x:c>
      <x:c r="D490" s="89" t="n">
        <x:v>45309</x:v>
      </x:c>
      <x:c r="E490" s="84" t="n">
        <x:v>3</x:v>
      </x:c>
      <x:c r="F490" s="91" t="n">
        <x:v>5218.8</x:v>
      </x:c>
    </x:row>
    <x:row r="491">
      <x:c r="A491" s="83" t="n">
        <x:v>490</x:v>
      </x:c>
      <x:c r="B491" s="84" t="n">
        <x:v>356</x:v>
      </x:c>
      <x:c r="C491" s="84" t="n">
        <x:v>75</x:v>
      </x:c>
      <x:c r="D491" s="89" t="n">
        <x:v>45397</x:v>
      </x:c>
      <x:c r="E491" s="84" t="n">
        <x:v>2</x:v>
      </x:c>
      <x:c r="F491" s="91" t="n">
        <x:v>912.34</x:v>
      </x:c>
    </x:row>
    <x:row r="492">
      <x:c r="A492" s="83" t="n">
        <x:v>491</x:v>
      </x:c>
      <x:c r="B492" s="84" t="n">
        <x:v>359</x:v>
      </x:c>
      <x:c r="C492" s="84" t="n">
        <x:v>17</x:v>
      </x:c>
      <x:c r="D492" s="89" t="n">
        <x:v>45093</x:v>
      </x:c>
      <x:c r="E492" s="84" t="n">
        <x:v>4</x:v>
      </x:c>
      <x:c r="F492" s="91" t="n">
        <x:v>9425.68</x:v>
      </x:c>
    </x:row>
    <x:row r="493">
      <x:c r="A493" s="83" t="n">
        <x:v>492</x:v>
      </x:c>
      <x:c r="B493" s="84" t="n">
        <x:v>360</x:v>
      </x:c>
      <x:c r="C493" s="84" t="n">
        <x:v>45</x:v>
      </x:c>
      <x:c r="D493" s="89" t="n">
        <x:v>45319</x:v>
      </x:c>
      <x:c r="E493" s="84" t="n">
        <x:v>2</x:v>
      </x:c>
      <x:c r="F493" s="91" t="n">
        <x:v>2782.84</x:v>
      </x:c>
    </x:row>
    <x:row r="494">
      <x:c r="A494" s="83" t="n">
        <x:v>493</x:v>
      </x:c>
      <x:c r="B494" s="84" t="n">
        <x:v>360</x:v>
      </x:c>
      <x:c r="C494" s="84" t="n">
        <x:v>10</x:v>
      </x:c>
      <x:c r="D494" s="89" t="n">
        <x:v>45319</x:v>
      </x:c>
      <x:c r="E494" s="84" t="n">
        <x:v>1</x:v>
      </x:c>
      <x:c r="F494" s="91" t="n">
        <x:v>874.86</x:v>
      </x:c>
    </x:row>
    <x:row r="495">
      <x:c r="A495" s="83" t="n">
        <x:v>494</x:v>
      </x:c>
      <x:c r="B495" s="84" t="n">
        <x:v>360</x:v>
      </x:c>
      <x:c r="C495" s="84" t="n">
        <x:v>23</x:v>
      </x:c>
      <x:c r="D495" s="89" t="n">
        <x:v>45319</x:v>
      </x:c>
      <x:c r="E495" s="84" t="n">
        <x:v>4</x:v>
      </x:c>
      <x:c r="F495" s="91" t="n">
        <x:v>7011.4</x:v>
      </x:c>
    </x:row>
    <x:row r="496">
      <x:c r="A496" s="83" t="n">
        <x:v>495</x:v>
      </x:c>
      <x:c r="B496" s="84" t="n">
        <x:v>361</x:v>
      </x:c>
      <x:c r="C496" s="84" t="n">
        <x:v>23</x:v>
      </x:c>
      <x:c r="D496" s="89" t="n">
        <x:v>45334</x:v>
      </x:c>
      <x:c r="E496" s="84" t="n">
        <x:v>2</x:v>
      </x:c>
      <x:c r="F496" s="91" t="n">
        <x:v>3505.7</x:v>
      </x:c>
    </x:row>
    <x:row r="497">
      <x:c r="A497" s="83" t="n">
        <x:v>496</x:v>
      </x:c>
      <x:c r="B497" s="84" t="n">
        <x:v>361</x:v>
      </x:c>
      <x:c r="C497" s="84" t="n">
        <x:v>5</x:v>
      </x:c>
      <x:c r="D497" s="89" t="n">
        <x:v>45334</x:v>
      </x:c>
      <x:c r="E497" s="84" t="n">
        <x:v>4</x:v>
      </x:c>
      <x:c r="F497" s="91" t="n">
        <x:v>5874</x:v>
      </x:c>
    </x:row>
    <x:row r="498">
      <x:c r="A498" s="83" t="n">
        <x:v>497</x:v>
      </x:c>
      <x:c r="B498" s="84" t="n">
        <x:v>362</x:v>
      </x:c>
      <x:c r="C498" s="84" t="n">
        <x:v>12</x:v>
      </x:c>
      <x:c r="D498" s="89" t="n">
        <x:v>46018</x:v>
      </x:c>
      <x:c r="E498" s="84" t="n">
        <x:v>1</x:v>
      </x:c>
      <x:c r="F498" s="91" t="n">
        <x:v>284.49</x:v>
      </x:c>
    </x:row>
    <x:row r="499">
      <x:c r="A499" s="83" t="n">
        <x:v>498</x:v>
      </x:c>
      <x:c r="B499" s="84" t="n">
        <x:v>362</x:v>
      </x:c>
      <x:c r="C499" s="84" t="n">
        <x:v>72</x:v>
      </x:c>
      <x:c r="D499" s="89" t="n">
        <x:v>46018</x:v>
      </x:c>
      <x:c r="E499" s="84" t="n">
        <x:v>3</x:v>
      </x:c>
      <x:c r="F499" s="91" t="n">
        <x:v>1352.49</x:v>
      </x:c>
    </x:row>
    <x:row r="500">
      <x:c r="A500" s="83" t="n">
        <x:v>499</x:v>
      </x:c>
      <x:c r="B500" s="84" t="n">
        <x:v>363</x:v>
      </x:c>
      <x:c r="C500" s="84" t="n">
        <x:v>50</x:v>
      </x:c>
      <x:c r="D500" s="89" t="n">
        <x:v>45615</x:v>
      </x:c>
      <x:c r="E500" s="84" t="n">
        <x:v>2</x:v>
      </x:c>
      <x:c r="F500" s="91" t="n">
        <x:v>4471.9</x:v>
      </x:c>
    </x:row>
    <x:row r="501">
      <x:c r="A501" s="83" t="n">
        <x:v>500</x:v>
      </x:c>
      <x:c r="B501" s="84" t="n">
        <x:v>363</x:v>
      </x:c>
      <x:c r="C501" s="84" t="n">
        <x:v>68</x:v>
      </x:c>
      <x:c r="D501" s="89" t="n">
        <x:v>45615</x:v>
      </x:c>
      <x:c r="E501" s="84" t="n">
        <x:v>3</x:v>
      </x:c>
      <x:c r="F501" s="91" t="n">
        <x:v>4582.83</x:v>
      </x:c>
    </x:row>
    <x:row r="502">
      <x:c r="A502" s="83" t="n">
        <x:v>501</x:v>
      </x:c>
      <x:c r="B502" s="84" t="n">
        <x:v>365</x:v>
      </x:c>
      <x:c r="C502" s="84" t="n">
        <x:v>25</x:v>
      </x:c>
      <x:c r="D502" s="89" t="n">
        <x:v>44980</x:v>
      </x:c>
      <x:c r="E502" s="84" t="n">
        <x:v>4</x:v>
      </x:c>
      <x:c r="F502" s="91" t="n">
        <x:v>4317.8</x:v>
      </x:c>
    </x:row>
    <x:row r="503">
      <x:c r="A503" s="83" t="n">
        <x:v>502</x:v>
      </x:c>
      <x:c r="B503" s="84" t="n">
        <x:v>366</x:v>
      </x:c>
      <x:c r="C503" s="84" t="n">
        <x:v>6</x:v>
      </x:c>
      <x:c r="D503" s="89" t="n">
        <x:v>45793</x:v>
      </x:c>
      <x:c r="E503" s="84" t="n">
        <x:v>2</x:v>
      </x:c>
      <x:c r="F503" s="91" t="n">
        <x:v>1394.74</x:v>
      </x:c>
    </x:row>
    <x:row r="504">
      <x:c r="A504" s="83" t="n">
        <x:v>503</x:v>
      </x:c>
      <x:c r="B504" s="84" t="n">
        <x:v>366</x:v>
      </x:c>
      <x:c r="C504" s="84" t="n">
        <x:v>17</x:v>
      </x:c>
      <x:c r="D504" s="89" t="n">
        <x:v>45793</x:v>
      </x:c>
      <x:c r="E504" s="84" t="n">
        <x:v>4</x:v>
      </x:c>
      <x:c r="F504" s="91" t="n">
        <x:v>9425.68</x:v>
      </x:c>
    </x:row>
    <x:row r="505">
      <x:c r="A505" s="83" t="n">
        <x:v>504</x:v>
      </x:c>
      <x:c r="B505" s="84" t="n">
        <x:v>367</x:v>
      </x:c>
      <x:c r="C505" s="84" t="n">
        <x:v>55</x:v>
      </x:c>
      <x:c r="D505" s="89" t="n">
        <x:v>45538</x:v>
      </x:c>
      <x:c r="E505" s="84" t="n">
        <x:v>4</x:v>
      </x:c>
      <x:c r="F505" s="91" t="n">
        <x:v>5999.4</x:v>
      </x:c>
    </x:row>
    <x:row r="506">
      <x:c r="A506" s="83" t="n">
        <x:v>505</x:v>
      </x:c>
      <x:c r="B506" s="84" t="n">
        <x:v>369</x:v>
      </x:c>
      <x:c r="C506" s="84" t="n">
        <x:v>19</x:v>
      </x:c>
      <x:c r="D506" s="89" t="n">
        <x:v>45121</x:v>
      </x:c>
      <x:c r="E506" s="84" t="n">
        <x:v>1</x:v>
      </x:c>
      <x:c r="F506" s="91" t="n">
        <x:v>1087.71</x:v>
      </x:c>
    </x:row>
    <x:row r="507">
      <x:c r="A507" s="83" t="n">
        <x:v>506</x:v>
      </x:c>
      <x:c r="B507" s="84" t="n">
        <x:v>369</x:v>
      </x:c>
      <x:c r="C507" s="84" t="n">
        <x:v>1</x:v>
      </x:c>
      <x:c r="D507" s="89" t="n">
        <x:v>45121</x:v>
      </x:c>
      <x:c r="E507" s="84" t="n">
        <x:v>1</x:v>
      </x:c>
      <x:c r="F507" s="91" t="n">
        <x:v>1739.6</x:v>
      </x:c>
    </x:row>
    <x:row r="508">
      <x:c r="A508" s="83" t="n">
        <x:v>507</x:v>
      </x:c>
      <x:c r="B508" s="84" t="n">
        <x:v>370</x:v>
      </x:c>
      <x:c r="C508" s="84" t="n">
        <x:v>42</x:v>
      </x:c>
      <x:c r="D508" s="89" t="n">
        <x:v>45112</x:v>
      </x:c>
      <x:c r="E508" s="84" t="n">
        <x:v>1</x:v>
      </x:c>
      <x:c r="F508" s="91" t="n">
        <x:v>2171.74</x:v>
      </x:c>
    </x:row>
    <x:row r="509">
      <x:c r="A509" s="83" t="n">
        <x:v>508</x:v>
      </x:c>
      <x:c r="B509" s="84" t="n">
        <x:v>370</x:v>
      </x:c>
      <x:c r="C509" s="84" t="n">
        <x:v>64</x:v>
      </x:c>
      <x:c r="D509" s="89" t="n">
        <x:v>45112</x:v>
      </x:c>
      <x:c r="E509" s="84" t="n">
        <x:v>4</x:v>
      </x:c>
      <x:c r="F509" s="91" t="n">
        <x:v>5861.68</x:v>
      </x:c>
    </x:row>
    <x:row r="510">
      <x:c r="A510" s="83" t="n">
        <x:v>509</x:v>
      </x:c>
      <x:c r="B510" s="84" t="n">
        <x:v>370</x:v>
      </x:c>
      <x:c r="C510" s="84" t="n">
        <x:v>67</x:v>
      </x:c>
      <x:c r="D510" s="89" t="n">
        <x:v>45112</x:v>
      </x:c>
      <x:c r="E510" s="84" t="n">
        <x:v>2</x:v>
      </x:c>
      <x:c r="F510" s="91" t="n">
        <x:v>2559.06</x:v>
      </x:c>
    </x:row>
    <x:row r="511">
      <x:c r="A511" s="83" t="n">
        <x:v>510</x:v>
      </x:c>
      <x:c r="B511" s="84" t="n">
        <x:v>372</x:v>
      </x:c>
      <x:c r="C511" s="84" t="n">
        <x:v>63</x:v>
      </x:c>
      <x:c r="D511" s="89" t="n">
        <x:v>45487</x:v>
      </x:c>
      <x:c r="E511" s="84" t="n">
        <x:v>2</x:v>
      </x:c>
      <x:c r="F511" s="91" t="n">
        <x:v>3868.38</x:v>
      </x:c>
    </x:row>
    <x:row r="512">
      <x:c r="A512" s="83" t="n">
        <x:v>511</x:v>
      </x:c>
      <x:c r="B512" s="84" t="n">
        <x:v>372</x:v>
      </x:c>
      <x:c r="C512" s="84" t="n">
        <x:v>75</x:v>
      </x:c>
      <x:c r="D512" s="89" t="n">
        <x:v>45487</x:v>
      </x:c>
      <x:c r="E512" s="84" t="n">
        <x:v>4</x:v>
      </x:c>
      <x:c r="F512" s="91" t="n">
        <x:v>1824.68</x:v>
      </x:c>
    </x:row>
    <x:row r="513">
      <x:c r="A513" s="83" t="n">
        <x:v>512</x:v>
      </x:c>
      <x:c r="B513" s="84" t="n">
        <x:v>372</x:v>
      </x:c>
      <x:c r="C513" s="84" t="n">
        <x:v>38</x:v>
      </x:c>
      <x:c r="D513" s="89" t="n">
        <x:v>45487</x:v>
      </x:c>
      <x:c r="E513" s="84" t="n">
        <x:v>4</x:v>
      </x:c>
      <x:c r="F513" s="91" t="n">
        <x:v>2905.96</x:v>
      </x:c>
    </x:row>
    <x:row r="514">
      <x:c r="A514" s="83" t="n">
        <x:v>513</x:v>
      </x:c>
      <x:c r="B514" s="84" t="n">
        <x:v>373</x:v>
      </x:c>
      <x:c r="C514" s="84" t="n">
        <x:v>7</x:v>
      </x:c>
      <x:c r="D514" s="89" t="n">
        <x:v>45819</x:v>
      </x:c>
      <x:c r="E514" s="84" t="n">
        <x:v>4</x:v>
      </x:c>
      <x:c r="F514" s="91" t="n">
        <x:v>1467.2</x:v>
      </x:c>
    </x:row>
    <x:row r="515">
      <x:c r="A515" s="83" t="n">
        <x:v>514</x:v>
      </x:c>
      <x:c r="B515" s="84" t="n">
        <x:v>373</x:v>
      </x:c>
      <x:c r="C515" s="84" t="n">
        <x:v>64</x:v>
      </x:c>
      <x:c r="D515" s="89" t="n">
        <x:v>45819</x:v>
      </x:c>
      <x:c r="E515" s="84" t="n">
        <x:v>1</x:v>
      </x:c>
      <x:c r="F515" s="91" t="n">
        <x:v>1465.42</x:v>
      </x:c>
    </x:row>
    <x:row r="516">
      <x:c r="A516" s="83" t="n">
        <x:v>515</x:v>
      </x:c>
      <x:c r="B516" s="84" t="n">
        <x:v>373</x:v>
      </x:c>
      <x:c r="C516" s="84" t="n">
        <x:v>42</x:v>
      </x:c>
      <x:c r="D516" s="89" t="n">
        <x:v>45819</x:v>
      </x:c>
      <x:c r="E516" s="84" t="n">
        <x:v>4</x:v>
      </x:c>
      <x:c r="F516" s="91" t="n">
        <x:v>8686.96</x:v>
      </x:c>
    </x:row>
    <x:row r="517">
      <x:c r="A517" s="83" t="n">
        <x:v>516</x:v>
      </x:c>
      <x:c r="B517" s="84" t="n">
        <x:v>374</x:v>
      </x:c>
      <x:c r="C517" s="84" t="n">
        <x:v>67</x:v>
      </x:c>
      <x:c r="D517" s="89" t="n">
        <x:v>45846</x:v>
      </x:c>
      <x:c r="E517" s="84" t="n">
        <x:v>4</x:v>
      </x:c>
      <x:c r="F517" s="91" t="n">
        <x:v>5118.12</x:v>
      </x:c>
    </x:row>
    <x:row r="518">
      <x:c r="A518" s="83" t="n">
        <x:v>517</x:v>
      </x:c>
      <x:c r="B518" s="84" t="n">
        <x:v>374</x:v>
      </x:c>
      <x:c r="C518" s="84" t="n">
        <x:v>18</x:v>
      </x:c>
      <x:c r="D518" s="89" t="n">
        <x:v>45846</x:v>
      </x:c>
      <x:c r="E518" s="84" t="n">
        <x:v>2</x:v>
      </x:c>
      <x:c r="F518" s="91" t="n">
        <x:v>1332.32</x:v>
      </x:c>
    </x:row>
    <x:row r="519">
      <x:c r="A519" s="83" t="n">
        <x:v>518</x:v>
      </x:c>
      <x:c r="B519" s="84" t="n">
        <x:v>374</x:v>
      </x:c>
      <x:c r="C519" s="84" t="n">
        <x:v>38</x:v>
      </x:c>
      <x:c r="D519" s="89" t="n">
        <x:v>45846</x:v>
      </x:c>
      <x:c r="E519" s="84" t="n">
        <x:v>1</x:v>
      </x:c>
      <x:c r="F519" s="91" t="n">
        <x:v>726.49</x:v>
      </x:c>
    </x:row>
    <x:row r="520">
      <x:c r="A520" s="83" t="n">
        <x:v>519</x:v>
      </x:c>
      <x:c r="B520" s="84" t="n">
        <x:v>375</x:v>
      </x:c>
      <x:c r="C520" s="84" t="n">
        <x:v>67</x:v>
      </x:c>
      <x:c r="D520" s="89" t="n">
        <x:v>45609</x:v>
      </x:c>
      <x:c r="E520" s="84" t="n">
        <x:v>4</x:v>
      </x:c>
      <x:c r="F520" s="91" t="n">
        <x:v>5118.12</x:v>
      </x:c>
    </x:row>
    <x:row r="521">
      <x:c r="A521" s="83" t="n">
        <x:v>520</x:v>
      </x:c>
      <x:c r="B521" s="84" t="n">
        <x:v>376</x:v>
      </x:c>
      <x:c r="C521" s="84" t="n">
        <x:v>30</x:v>
      </x:c>
      <x:c r="D521" s="89" t="n">
        <x:v>45996</x:v>
      </x:c>
      <x:c r="E521" s="84" t="n">
        <x:v>1</x:v>
      </x:c>
      <x:c r="F521" s="91" t="n">
        <x:v>1278.76</x:v>
      </x:c>
    </x:row>
    <x:row r="522">
      <x:c r="A522" s="83" t="n">
        <x:v>521</x:v>
      </x:c>
      <x:c r="B522" s="84" t="n">
        <x:v>376</x:v>
      </x:c>
      <x:c r="C522" s="84" t="n">
        <x:v>45</x:v>
      </x:c>
      <x:c r="D522" s="89" t="n">
        <x:v>45996</x:v>
      </x:c>
      <x:c r="E522" s="84" t="n">
        <x:v>1</x:v>
      </x:c>
      <x:c r="F522" s="91" t="n">
        <x:v>1391.42</x:v>
      </x:c>
    </x:row>
    <x:row r="523">
      <x:c r="A523" s="83" t="n">
        <x:v>522</x:v>
      </x:c>
      <x:c r="B523" s="84" t="n">
        <x:v>377</x:v>
      </x:c>
      <x:c r="C523" s="84" t="n">
        <x:v>45</x:v>
      </x:c>
      <x:c r="D523" s="89" t="n">
        <x:v>45011</x:v>
      </x:c>
      <x:c r="E523" s="84" t="n">
        <x:v>4</x:v>
      </x:c>
      <x:c r="F523" s="91" t="n">
        <x:v>5565.68</x:v>
      </x:c>
    </x:row>
    <x:row r="524">
      <x:c r="A524" s="83" t="n">
        <x:v>523</x:v>
      </x:c>
      <x:c r="B524" s="84" t="n">
        <x:v>378</x:v>
      </x:c>
      <x:c r="C524" s="84" t="n">
        <x:v>49</x:v>
      </x:c>
      <x:c r="D524" s="89" t="n">
        <x:v>45808</x:v>
      </x:c>
      <x:c r="E524" s="84" t="n">
        <x:v>2</x:v>
      </x:c>
      <x:c r="F524" s="91" t="n">
        <x:v>368.32</x:v>
      </x:c>
    </x:row>
    <x:row r="525">
      <x:c r="A525" s="83" t="n">
        <x:v>524</x:v>
      </x:c>
      <x:c r="B525" s="84" t="n">
        <x:v>378</x:v>
      </x:c>
      <x:c r="C525" s="84" t="n">
        <x:v>44</x:v>
      </x:c>
      <x:c r="D525" s="89" t="n">
        <x:v>45808</x:v>
      </x:c>
      <x:c r="E525" s="84" t="n">
        <x:v>4</x:v>
      </x:c>
      <x:c r="F525" s="91" t="n">
        <x:v>5005.92</x:v>
      </x:c>
    </x:row>
    <x:row r="526">
      <x:c r="A526" s="83" t="n">
        <x:v>525</x:v>
      </x:c>
      <x:c r="B526" s="84" t="n">
        <x:v>379</x:v>
      </x:c>
      <x:c r="C526" s="84" t="n">
        <x:v>17</x:v>
      </x:c>
      <x:c r="D526" s="89" t="n">
        <x:v>44992</x:v>
      </x:c>
      <x:c r="E526" s="84" t="n">
        <x:v>2</x:v>
      </x:c>
      <x:c r="F526" s="91" t="n">
        <x:v>4712.84</x:v>
      </x:c>
    </x:row>
    <x:row r="527">
      <x:c r="A527" s="83" t="n">
        <x:v>526</x:v>
      </x:c>
      <x:c r="B527" s="84" t="n">
        <x:v>379</x:v>
      </x:c>
      <x:c r="C527" s="84" t="n">
        <x:v>23</x:v>
      </x:c>
      <x:c r="D527" s="89" t="n">
        <x:v>44992</x:v>
      </x:c>
      <x:c r="E527" s="84" t="n">
        <x:v>4</x:v>
      </x:c>
      <x:c r="F527" s="91" t="n">
        <x:v>7011.4</x:v>
      </x:c>
    </x:row>
    <x:row r="528">
      <x:c r="A528" s="83" t="n">
        <x:v>527</x:v>
      </x:c>
      <x:c r="B528" s="84" t="n">
        <x:v>381</x:v>
      </x:c>
      <x:c r="C528" s="84" t="n">
        <x:v>70</x:v>
      </x:c>
      <x:c r="D528" s="89" t="n">
        <x:v>45451</x:v>
      </x:c>
      <x:c r="E528" s="84" t="n">
        <x:v>4</x:v>
      </x:c>
      <x:c r="F528" s="91" t="n">
        <x:v>3078.16</x:v>
      </x:c>
    </x:row>
    <x:row r="529">
      <x:c r="A529" s="83" t="n">
        <x:v>528</x:v>
      </x:c>
      <x:c r="B529" s="84" t="n">
        <x:v>381</x:v>
      </x:c>
      <x:c r="C529" s="84" t="n">
        <x:v>6</x:v>
      </x:c>
      <x:c r="D529" s="89" t="n">
        <x:v>45451</x:v>
      </x:c>
      <x:c r="E529" s="84" t="n">
        <x:v>2</x:v>
      </x:c>
      <x:c r="F529" s="91" t="n">
        <x:v>1394.74</x:v>
      </x:c>
    </x:row>
    <x:row r="530">
      <x:c r="A530" s="83" t="n">
        <x:v>529</x:v>
      </x:c>
      <x:c r="B530" s="84" t="n">
        <x:v>382</x:v>
      </x:c>
      <x:c r="C530" s="84" t="n">
        <x:v>27</x:v>
      </x:c>
      <x:c r="D530" s="89" t="n">
        <x:v>45139</x:v>
      </x:c>
      <x:c r="E530" s="84" t="n">
        <x:v>2</x:v>
      </x:c>
      <x:c r="F530" s="91" t="n">
        <x:v>321.38</x:v>
      </x:c>
    </x:row>
    <x:row r="531">
      <x:c r="A531" s="83" t="n">
        <x:v>530</x:v>
      </x:c>
      <x:c r="B531" s="84" t="n">
        <x:v>382</x:v>
      </x:c>
      <x:c r="C531" s="84" t="n">
        <x:v>76</x:v>
      </x:c>
      <x:c r="D531" s="89" t="n">
        <x:v>45139</x:v>
      </x:c>
      <x:c r="E531" s="84" t="n">
        <x:v>4</x:v>
      </x:c>
      <x:c r="F531" s="91" t="n">
        <x:v>2879.24</x:v>
      </x:c>
    </x:row>
    <x:row r="532">
      <x:c r="A532" s="83" t="n">
        <x:v>531</x:v>
      </x:c>
      <x:c r="B532" s="84" t="n">
        <x:v>382</x:v>
      </x:c>
      <x:c r="C532" s="84" t="n">
        <x:v>64</x:v>
      </x:c>
      <x:c r="D532" s="89" t="n">
        <x:v>45139</x:v>
      </x:c>
      <x:c r="E532" s="84" t="n">
        <x:v>1</x:v>
      </x:c>
      <x:c r="F532" s="91" t="n">
        <x:v>1465.42</x:v>
      </x:c>
    </x:row>
    <x:row r="533">
      <x:c r="A533" s="83" t="n">
        <x:v>532</x:v>
      </x:c>
      <x:c r="B533" s="84" t="n">
        <x:v>383</x:v>
      </x:c>
      <x:c r="C533" s="84" t="n">
        <x:v>27</x:v>
      </x:c>
      <x:c r="D533" s="89" t="n">
        <x:v>45890</x:v>
      </x:c>
      <x:c r="E533" s="84" t="n">
        <x:v>3</x:v>
      </x:c>
      <x:c r="F533" s="91" t="n">
        <x:v>482.07</x:v>
      </x:c>
    </x:row>
    <x:row r="534">
      <x:c r="A534" s="83" t="n">
        <x:v>533</x:v>
      </x:c>
      <x:c r="B534" s="84" t="n">
        <x:v>383</x:v>
      </x:c>
      <x:c r="C534" s="84" t="n">
        <x:v>3</x:v>
      </x:c>
      <x:c r="D534" s="89" t="n">
        <x:v>45890</x:v>
      </x:c>
      <x:c r="E534" s="84" t="n">
        <x:v>4</x:v>
      </x:c>
      <x:c r="F534" s="91" t="n">
        <x:v>4604.56</x:v>
      </x:c>
    </x:row>
    <x:row r="535">
      <x:c r="A535" s="83" t="n">
        <x:v>534</x:v>
      </x:c>
      <x:c r="B535" s="84" t="n">
        <x:v>385</x:v>
      </x:c>
      <x:c r="C535" s="84" t="n">
        <x:v>22</x:v>
      </x:c>
      <x:c r="D535" s="89" t="n">
        <x:v>45773</x:v>
      </x:c>
      <x:c r="E535" s="84" t="n">
        <x:v>4</x:v>
      </x:c>
      <x:c r="F535" s="91" t="n">
        <x:v>2087.56</x:v>
      </x:c>
    </x:row>
    <x:row r="536">
      <x:c r="A536" s="83" t="n">
        <x:v>535</x:v>
      </x:c>
      <x:c r="B536" s="84" t="n">
        <x:v>387</x:v>
      </x:c>
      <x:c r="C536" s="84" t="n">
        <x:v>11</x:v>
      </x:c>
      <x:c r="D536" s="89" t="n">
        <x:v>45793</x:v>
      </x:c>
      <x:c r="E536" s="84" t="n">
        <x:v>1</x:v>
      </x:c>
      <x:c r="F536" s="91" t="n">
        <x:v>2211.26</x:v>
      </x:c>
    </x:row>
    <x:row r="537">
      <x:c r="A537" s="83" t="n">
        <x:v>536</x:v>
      </x:c>
      <x:c r="B537" s="84" t="n">
        <x:v>387</x:v>
      </x:c>
      <x:c r="C537" s="84" t="n">
        <x:v>29</x:v>
      </x:c>
      <x:c r="D537" s="89" t="n">
        <x:v>45793</x:v>
      </x:c>
      <x:c r="E537" s="84" t="n">
        <x:v>2</x:v>
      </x:c>
      <x:c r="F537" s="91" t="n">
        <x:v>3104.94</x:v>
      </x:c>
    </x:row>
    <x:row r="538">
      <x:c r="A538" s="83" t="n">
        <x:v>537</x:v>
      </x:c>
      <x:c r="B538" s="84" t="n">
        <x:v>387</x:v>
      </x:c>
      <x:c r="C538" s="84" t="n">
        <x:v>5</x:v>
      </x:c>
      <x:c r="D538" s="89" t="n">
        <x:v>45793</x:v>
      </x:c>
      <x:c r="E538" s="84" t="n">
        <x:v>3</x:v>
      </x:c>
      <x:c r="F538" s="91" t="n">
        <x:v>4405.5</x:v>
      </x:c>
    </x:row>
    <x:row r="539">
      <x:c r="A539" s="83" t="n">
        <x:v>538</x:v>
      </x:c>
      <x:c r="B539" s="84" t="n">
        <x:v>388</x:v>
      </x:c>
      <x:c r="C539" s="84" t="n">
        <x:v>43</x:v>
      </x:c>
      <x:c r="D539" s="89" t="n">
        <x:v>46016</x:v>
      </x:c>
      <x:c r="E539" s="84" t="n">
        <x:v>2</x:v>
      </x:c>
      <x:c r="F539" s="91" t="n">
        <x:v>2930.84</x:v>
      </x:c>
    </x:row>
    <x:row r="540">
      <x:c r="A540" s="83" t="n">
        <x:v>539</x:v>
      </x:c>
      <x:c r="B540" s="84" t="n">
        <x:v>388</x:v>
      </x:c>
      <x:c r="C540" s="84" t="n">
        <x:v>57</x:v>
      </x:c>
      <x:c r="D540" s="89" t="n">
        <x:v>46016</x:v>
      </x:c>
      <x:c r="E540" s="84" t="n">
        <x:v>4</x:v>
      </x:c>
      <x:c r="F540" s="91" t="n">
        <x:v>4716.24</x:v>
      </x:c>
    </x:row>
    <x:row r="541">
      <x:c r="A541" s="83" t="n">
        <x:v>540</x:v>
      </x:c>
      <x:c r="B541" s="84" t="n">
        <x:v>388</x:v>
      </x:c>
      <x:c r="C541" s="84" t="n">
        <x:v>33</x:v>
      </x:c>
      <x:c r="D541" s="89" t="n">
        <x:v>46016</x:v>
      </x:c>
      <x:c r="E541" s="84" t="n">
        <x:v>1</x:v>
      </x:c>
      <x:c r="F541" s="91" t="n">
        <x:v>2346.92</x:v>
      </x:c>
    </x:row>
    <x:row r="542">
      <x:c r="A542" s="83" t="n">
        <x:v>541</x:v>
      </x:c>
      <x:c r="B542" s="84" t="n">
        <x:v>390</x:v>
      </x:c>
      <x:c r="C542" s="84" t="n">
        <x:v>70</x:v>
      </x:c>
      <x:c r="D542" s="89" t="n">
        <x:v>45434</x:v>
      </x:c>
      <x:c r="E542" s="84" t="n">
        <x:v>2</x:v>
      </x:c>
      <x:c r="F542" s="91" t="n">
        <x:v>1539.08</x:v>
      </x:c>
    </x:row>
    <x:row r="543">
      <x:c r="A543" s="83" t="n">
        <x:v>542</x:v>
      </x:c>
      <x:c r="B543" s="84" t="n">
        <x:v>392</x:v>
      </x:c>
      <x:c r="C543" s="84" t="n">
        <x:v>6</x:v>
      </x:c>
      <x:c r="D543" s="89" t="n">
        <x:v>45908</x:v>
      </x:c>
      <x:c r="E543" s="84" t="n">
        <x:v>2</x:v>
      </x:c>
      <x:c r="F543" s="91" t="n">
        <x:v>1394.74</x:v>
      </x:c>
    </x:row>
    <x:row r="544">
      <x:c r="A544" s="83" t="n">
        <x:v>543</x:v>
      </x:c>
      <x:c r="B544" s="84" t="n">
        <x:v>392</x:v>
      </x:c>
      <x:c r="C544" s="84" t="n">
        <x:v>36</x:v>
      </x:c>
      <x:c r="D544" s="89" t="n">
        <x:v>45908</x:v>
      </x:c>
      <x:c r="E544" s="84" t="n">
        <x:v>2</x:v>
      </x:c>
      <x:c r="F544" s="91" t="n">
        <x:v>1192.82</x:v>
      </x:c>
    </x:row>
    <x:row r="545">
      <x:c r="A545" s="83" t="n">
        <x:v>544</x:v>
      </x:c>
      <x:c r="B545" s="84" t="n">
        <x:v>392</x:v>
      </x:c>
      <x:c r="C545" s="84" t="n">
        <x:v>76</x:v>
      </x:c>
      <x:c r="D545" s="89" t="n">
        <x:v>45908</x:v>
      </x:c>
      <x:c r="E545" s="84" t="n">
        <x:v>3</x:v>
      </x:c>
      <x:c r="F545" s="91" t="n">
        <x:v>2159.43</x:v>
      </x:c>
    </x:row>
    <x:row r="546">
      <x:c r="A546" s="83" t="n">
        <x:v>545</x:v>
      </x:c>
      <x:c r="B546" s="84" t="n">
        <x:v>393</x:v>
      </x:c>
      <x:c r="C546" s="84" t="n">
        <x:v>77</x:v>
      </x:c>
      <x:c r="D546" s="89" t="n">
        <x:v>45343</x:v>
      </x:c>
      <x:c r="E546" s="84" t="n">
        <x:v>1</x:v>
      </x:c>
      <x:c r="F546" s="91" t="n">
        <x:v>2102.91</x:v>
      </x:c>
    </x:row>
    <x:row r="547">
      <x:c r="A547" s="83" t="n">
        <x:v>546</x:v>
      </x:c>
      <x:c r="B547" s="84" t="n">
        <x:v>393</x:v>
      </x:c>
      <x:c r="C547" s="84" t="n">
        <x:v>23</x:v>
      </x:c>
      <x:c r="D547" s="89" t="n">
        <x:v>45343</x:v>
      </x:c>
      <x:c r="E547" s="84" t="n">
        <x:v>4</x:v>
      </x:c>
      <x:c r="F547" s="91" t="n">
        <x:v>7011.4</x:v>
      </x:c>
    </x:row>
    <x:row r="548">
      <x:c r="A548" s="83" t="n">
        <x:v>547</x:v>
      </x:c>
      <x:c r="B548" s="84" t="n">
        <x:v>394</x:v>
      </x:c>
      <x:c r="C548" s="84" t="n">
        <x:v>24</x:v>
      </x:c>
      <x:c r="D548" s="89" t="n">
        <x:v>45491</x:v>
      </x:c>
      <x:c r="E548" s="84" t="n">
        <x:v>4</x:v>
      </x:c>
      <x:c r="F548" s="91" t="n">
        <x:v>2963.64</x:v>
      </x:c>
    </x:row>
    <x:row r="549">
      <x:c r="A549" s="83" t="n">
        <x:v>548</x:v>
      </x:c>
      <x:c r="B549" s="84" t="n">
        <x:v>394</x:v>
      </x:c>
      <x:c r="C549" s="84" t="n">
        <x:v>48</x:v>
      </x:c>
      <x:c r="D549" s="89" t="n">
        <x:v>45491</x:v>
      </x:c>
      <x:c r="E549" s="84" t="n">
        <x:v>2</x:v>
      </x:c>
      <x:c r="F549" s="91" t="n">
        <x:v>2322.9</x:v>
      </x:c>
    </x:row>
    <x:row r="550">
      <x:c r="A550" s="83" t="n">
        <x:v>549</x:v>
      </x:c>
      <x:c r="B550" s="84" t="n">
        <x:v>396</x:v>
      </x:c>
      <x:c r="C550" s="84" t="n">
        <x:v>62</x:v>
      </x:c>
      <x:c r="D550" s="89" t="n">
        <x:v>45368</x:v>
      </x:c>
      <x:c r="E550" s="84" t="n">
        <x:v>3</x:v>
      </x:c>
      <x:c r="F550" s="91" t="n">
        <x:v>4551.93</x:v>
      </x:c>
    </x:row>
    <x:row r="551">
      <x:c r="A551" s="83" t="n">
        <x:v>550</x:v>
      </x:c>
      <x:c r="B551" s="84" t="n">
        <x:v>396</x:v>
      </x:c>
      <x:c r="C551" s="84" t="n">
        <x:v>58</x:v>
      </x:c>
      <x:c r="D551" s="89" t="n">
        <x:v>45368</x:v>
      </x:c>
      <x:c r="E551" s="84" t="n">
        <x:v>4</x:v>
      </x:c>
      <x:c r="F551" s="91" t="n">
        <x:v>8072.72</x:v>
      </x:c>
    </x:row>
    <x:row r="552">
      <x:c r="A552" s="83" t="n">
        <x:v>551</x:v>
      </x:c>
      <x:c r="B552" s="84" t="n">
        <x:v>396</x:v>
      </x:c>
      <x:c r="C552" s="84" t="n">
        <x:v>79</x:v>
      </x:c>
      <x:c r="D552" s="89" t="n">
        <x:v>45368</x:v>
      </x:c>
      <x:c r="E552" s="84" t="n">
        <x:v>1</x:v>
      </x:c>
      <x:c r="F552" s="91" t="n">
        <x:v>2066.72</x:v>
      </x:c>
    </x:row>
    <x:row r="553">
      <x:c r="A553" s="83" t="n">
        <x:v>552</x:v>
      </x:c>
      <x:c r="B553" s="84" t="n">
        <x:v>398</x:v>
      </x:c>
      <x:c r="C553" s="84" t="n">
        <x:v>7</x:v>
      </x:c>
      <x:c r="D553" s="89" t="n">
        <x:v>45715</x:v>
      </x:c>
      <x:c r="E553" s="84" t="n">
        <x:v>4</x:v>
      </x:c>
      <x:c r="F553" s="91" t="n">
        <x:v>1467.2</x:v>
      </x:c>
    </x:row>
    <x:row r="554">
      <x:c r="A554" s="83" t="n">
        <x:v>553</x:v>
      </x:c>
      <x:c r="B554" s="84" t="n">
        <x:v>398</x:v>
      </x:c>
      <x:c r="C554" s="84" t="n">
        <x:v>42</x:v>
      </x:c>
      <x:c r="D554" s="89" t="n">
        <x:v>45715</x:v>
      </x:c>
      <x:c r="E554" s="84" t="n">
        <x:v>3</x:v>
      </x:c>
      <x:c r="F554" s="91" t="n">
        <x:v>6515.22</x:v>
      </x:c>
    </x:row>
    <x:row r="555">
      <x:c r="A555" s="83" t="n">
        <x:v>554</x:v>
      </x:c>
      <x:c r="B555" s="84" t="n">
        <x:v>399</x:v>
      </x:c>
      <x:c r="C555" s="84" t="n">
        <x:v>80</x:v>
      </x:c>
      <x:c r="D555" s="89" t="n">
        <x:v>45797</x:v>
      </x:c>
      <x:c r="E555" s="84" t="n">
        <x:v>1</x:v>
      </x:c>
      <x:c r="F555" s="91" t="n">
        <x:v>1728.54</x:v>
      </x:c>
    </x:row>
    <x:row r="556">
      <x:c r="A556" s="83" t="n">
        <x:v>555</x:v>
      </x:c>
      <x:c r="B556" s="84" t="n">
        <x:v>400</x:v>
      </x:c>
      <x:c r="C556" s="84" t="n">
        <x:v>36</x:v>
      </x:c>
      <x:c r="D556" s="89" t="n">
        <x:v>44940</x:v>
      </x:c>
      <x:c r="E556" s="84" t="n">
        <x:v>1</x:v>
      </x:c>
      <x:c r="F556" s="91" t="n">
        <x:v>596.41</x:v>
      </x:c>
    </x:row>
    <x:row r="557">
      <x:c r="A557" s="83" t="n">
        <x:v>556</x:v>
      </x:c>
      <x:c r="B557" s="84" t="n">
        <x:v>401</x:v>
      </x:c>
      <x:c r="C557" s="84" t="n">
        <x:v>40</x:v>
      </x:c>
      <x:c r="D557" s="89" t="n">
        <x:v>45095</x:v>
      </x:c>
      <x:c r="E557" s="84" t="n">
        <x:v>2</x:v>
      </x:c>
      <x:c r="F557" s="91" t="n">
        <x:v>4070.08</x:v>
      </x:c>
    </x:row>
    <x:row r="558">
      <x:c r="A558" s="83" t="n">
        <x:v>557</x:v>
      </x:c>
      <x:c r="B558" s="84" t="n">
        <x:v>401</x:v>
      </x:c>
      <x:c r="C558" s="84" t="n">
        <x:v>77</x:v>
      </x:c>
      <x:c r="D558" s="89" t="n">
        <x:v>45095</x:v>
      </x:c>
      <x:c r="E558" s="84" t="n">
        <x:v>1</x:v>
      </x:c>
      <x:c r="F558" s="91" t="n">
        <x:v>2102.91</x:v>
      </x:c>
    </x:row>
    <x:row r="559">
      <x:c r="A559" s="83" t="n">
        <x:v>558</x:v>
      </x:c>
      <x:c r="B559" s="84" t="n">
        <x:v>402</x:v>
      </x:c>
      <x:c r="C559" s="84" t="n">
        <x:v>16</x:v>
      </x:c>
      <x:c r="D559" s="89" t="n">
        <x:v>45403</x:v>
      </x:c>
      <x:c r="E559" s="84" t="n">
        <x:v>2</x:v>
      </x:c>
      <x:c r="F559" s="91" t="n">
        <x:v>1211.56</x:v>
      </x:c>
    </x:row>
    <x:row r="560">
      <x:c r="A560" s="83" t="n">
        <x:v>559</x:v>
      </x:c>
      <x:c r="B560" s="84" t="n">
        <x:v>402</x:v>
      </x:c>
      <x:c r="C560" s="84" t="n">
        <x:v>55</x:v>
      </x:c>
      <x:c r="D560" s="89" t="n">
        <x:v>45403</x:v>
      </x:c>
      <x:c r="E560" s="84" t="n">
        <x:v>3</x:v>
      </x:c>
      <x:c r="F560" s="91" t="n">
        <x:v>4499.55</x:v>
      </x:c>
    </x:row>
    <x:row r="561">
      <x:c r="A561" s="83" t="n">
        <x:v>560</x:v>
      </x:c>
      <x:c r="B561" s="84" t="n">
        <x:v>403</x:v>
      </x:c>
      <x:c r="C561" s="84" t="n">
        <x:v>56</x:v>
      </x:c>
      <x:c r="D561" s="89" t="n">
        <x:v>44993</x:v>
      </x:c>
      <x:c r="E561" s="84" t="n">
        <x:v>4</x:v>
      </x:c>
      <x:c r="F561" s="91" t="n">
        <x:v>5873.84</x:v>
      </x:c>
    </x:row>
    <x:row r="562">
      <x:c r="A562" s="83" t="n">
        <x:v>561</x:v>
      </x:c>
      <x:c r="B562" s="84" t="n">
        <x:v>403</x:v>
      </x:c>
      <x:c r="C562" s="84" t="n">
        <x:v>67</x:v>
      </x:c>
      <x:c r="D562" s="89" t="n">
        <x:v>44993</x:v>
      </x:c>
      <x:c r="E562" s="84" t="n">
        <x:v>3</x:v>
      </x:c>
      <x:c r="F562" s="91" t="n">
        <x:v>3838.59</x:v>
      </x:c>
    </x:row>
    <x:row r="563">
      <x:c r="A563" s="83" t="n">
        <x:v>562</x:v>
      </x:c>
      <x:c r="B563" s="84" t="n">
        <x:v>403</x:v>
      </x:c>
      <x:c r="C563" s="84" t="n">
        <x:v>24</x:v>
      </x:c>
      <x:c r="D563" s="89" t="n">
        <x:v>44993</x:v>
      </x:c>
      <x:c r="E563" s="84" t="n">
        <x:v>3</x:v>
      </x:c>
      <x:c r="F563" s="91" t="n">
        <x:v>2222.73</x:v>
      </x:c>
    </x:row>
    <x:row r="564">
      <x:c r="A564" s="83" t="n">
        <x:v>563</x:v>
      </x:c>
      <x:c r="B564" s="84" t="n">
        <x:v>404</x:v>
      </x:c>
      <x:c r="C564" s="84" t="n">
        <x:v>70</x:v>
      </x:c>
      <x:c r="D564" s="89" t="n">
        <x:v>45526</x:v>
      </x:c>
      <x:c r="E564" s="84" t="n">
        <x:v>3</x:v>
      </x:c>
      <x:c r="F564" s="91" t="n">
        <x:v>2308.62</x:v>
      </x:c>
    </x:row>
    <x:row r="565">
      <x:c r="A565" s="83" t="n">
        <x:v>564</x:v>
      </x:c>
      <x:c r="B565" s="84" t="n">
        <x:v>404</x:v>
      </x:c>
      <x:c r="C565" s="84" t="n">
        <x:v>4</x:v>
      </x:c>
      <x:c r="D565" s="89" t="n">
        <x:v>45526</x:v>
      </x:c>
      <x:c r="E565" s="84" t="n">
        <x:v>1</x:v>
      </x:c>
      <x:c r="F565" s="91" t="n">
        <x:v>1525.31</x:v>
      </x:c>
    </x:row>
    <x:row r="566">
      <x:c r="A566" s="83" t="n">
        <x:v>565</x:v>
      </x:c>
      <x:c r="B566" s="84" t="n">
        <x:v>404</x:v>
      </x:c>
      <x:c r="C566" s="84" t="n">
        <x:v>43</x:v>
      </x:c>
      <x:c r="D566" s="89" t="n">
        <x:v>45526</x:v>
      </x:c>
      <x:c r="E566" s="84" t="n">
        <x:v>1</x:v>
      </x:c>
      <x:c r="F566" s="91" t="n">
        <x:v>1465.42</x:v>
      </x:c>
    </x:row>
    <x:row r="567">
      <x:c r="A567" s="83" t="n">
        <x:v>566</x:v>
      </x:c>
      <x:c r="B567" s="84" t="n">
        <x:v>409</x:v>
      </x:c>
      <x:c r="C567" s="84" t="n">
        <x:v>59</x:v>
      </x:c>
      <x:c r="D567" s="89" t="n">
        <x:v>45773</x:v>
      </x:c>
      <x:c r="E567" s="84" t="n">
        <x:v>3</x:v>
      </x:c>
      <x:c r="F567" s="91" t="n">
        <x:v>4549.35</x:v>
      </x:c>
    </x:row>
    <x:row r="568">
      <x:c r="A568" s="83" t="n">
        <x:v>567</x:v>
      </x:c>
      <x:c r="B568" s="84" t="n">
        <x:v>409</x:v>
      </x:c>
      <x:c r="C568" s="84" t="n">
        <x:v>50</x:v>
      </x:c>
      <x:c r="D568" s="89" t="n">
        <x:v>45773</x:v>
      </x:c>
      <x:c r="E568" s="84" t="n">
        <x:v>4</x:v>
      </x:c>
      <x:c r="F568" s="91" t="n">
        <x:v>8943.8</x:v>
      </x:c>
    </x:row>
    <x:row r="569">
      <x:c r="A569" s="83" t="n">
        <x:v>568</x:v>
      </x:c>
      <x:c r="B569" s="84" t="n">
        <x:v>409</x:v>
      </x:c>
      <x:c r="C569" s="84" t="n">
        <x:v>27</x:v>
      </x:c>
      <x:c r="D569" s="89" t="n">
        <x:v>45773</x:v>
      </x:c>
      <x:c r="E569" s="84" t="n">
        <x:v>2</x:v>
      </x:c>
      <x:c r="F569" s="91" t="n">
        <x:v>321.38</x:v>
      </x:c>
    </x:row>
    <x:row r="570">
      <x:c r="A570" s="83" t="n">
        <x:v>569</x:v>
      </x:c>
      <x:c r="B570" s="84" t="n">
        <x:v>411</x:v>
      </x:c>
      <x:c r="C570" s="84" t="n">
        <x:v>62</x:v>
      </x:c>
      <x:c r="D570" s="89" t="n">
        <x:v>45466</x:v>
      </x:c>
      <x:c r="E570" s="84" t="n">
        <x:v>4</x:v>
      </x:c>
      <x:c r="F570" s="91" t="n">
        <x:v>6069.24</x:v>
      </x:c>
    </x:row>
    <x:row r="571">
      <x:c r="A571" s="83" t="n">
        <x:v>570</x:v>
      </x:c>
      <x:c r="B571" s="84" t="n">
        <x:v>411</x:v>
      </x:c>
      <x:c r="C571" s="84" t="n">
        <x:v>22</x:v>
      </x:c>
      <x:c r="D571" s="89" t="n">
        <x:v>45466</x:v>
      </x:c>
      <x:c r="E571" s="84" t="n">
        <x:v>4</x:v>
      </x:c>
      <x:c r="F571" s="91" t="n">
        <x:v>2087.56</x:v>
      </x:c>
    </x:row>
    <x:row r="572">
      <x:c r="A572" s="83" t="n">
        <x:v>571</x:v>
      </x:c>
      <x:c r="B572" s="84" t="n">
        <x:v>411</x:v>
      </x:c>
      <x:c r="C572" s="84" t="n">
        <x:v>73</x:v>
      </x:c>
      <x:c r="D572" s="89" t="n">
        <x:v>45466</x:v>
      </x:c>
      <x:c r="E572" s="84" t="n">
        <x:v>2</x:v>
      </x:c>
      <x:c r="F572" s="91" t="n">
        <x:v>2254.62</x:v>
      </x:c>
    </x:row>
    <x:row r="573">
      <x:c r="A573" s="83" t="n">
        <x:v>572</x:v>
      </x:c>
      <x:c r="B573" s="84" t="n">
        <x:v>412</x:v>
      </x:c>
      <x:c r="C573" s="84" t="n">
        <x:v>8</x:v>
      </x:c>
      <x:c r="D573" s="89" t="n">
        <x:v>45829</x:v>
      </x:c>
      <x:c r="E573" s="84" t="n">
        <x:v>3</x:v>
      </x:c>
      <x:c r="F573" s="91" t="n">
        <x:v>4998.57</x:v>
      </x:c>
    </x:row>
    <x:row r="574">
      <x:c r="A574" s="83" t="n">
        <x:v>573</x:v>
      </x:c>
      <x:c r="B574" s="84" t="n">
        <x:v>412</x:v>
      </x:c>
      <x:c r="C574" s="84" t="n">
        <x:v>32</x:v>
      </x:c>
      <x:c r="D574" s="89" t="n">
        <x:v>45829</x:v>
      </x:c>
      <x:c r="E574" s="84" t="n">
        <x:v>2</x:v>
      </x:c>
      <x:c r="F574" s="91" t="n">
        <x:v>3626.5</x:v>
      </x:c>
    </x:row>
    <x:row r="575">
      <x:c r="A575" s="83" t="n">
        <x:v>574</x:v>
      </x:c>
      <x:c r="B575" s="84" t="n">
        <x:v>413</x:v>
      </x:c>
      <x:c r="C575" s="84" t="n">
        <x:v>11</x:v>
      </x:c>
      <x:c r="D575" s="89" t="n">
        <x:v>45708</x:v>
      </x:c>
      <x:c r="E575" s="84" t="n">
        <x:v>2</x:v>
      </x:c>
      <x:c r="F575" s="91" t="n">
        <x:v>4422.52</x:v>
      </x:c>
    </x:row>
    <x:row r="576">
      <x:c r="A576" s="83" t="n">
        <x:v>575</x:v>
      </x:c>
      <x:c r="B576" s="84" t="n">
        <x:v>413</x:v>
      </x:c>
      <x:c r="C576" s="84" t="n">
        <x:v>28</x:v>
      </x:c>
      <x:c r="D576" s="89" t="n">
        <x:v>45708</x:v>
      </x:c>
      <x:c r="E576" s="84" t="n">
        <x:v>2</x:v>
      </x:c>
      <x:c r="F576" s="91" t="n">
        <x:v>1640.94</x:v>
      </x:c>
    </x:row>
    <x:row r="577">
      <x:c r="A577" s="83" t="n">
        <x:v>576</x:v>
      </x:c>
      <x:c r="B577" s="84" t="n">
        <x:v>413</x:v>
      </x:c>
      <x:c r="C577" s="84" t="n">
        <x:v>27</x:v>
      </x:c>
      <x:c r="D577" s="89" t="n">
        <x:v>45708</x:v>
      </x:c>
      <x:c r="E577" s="84" t="n">
        <x:v>2</x:v>
      </x:c>
      <x:c r="F577" s="91" t="n">
        <x:v>321.38</x:v>
      </x:c>
    </x:row>
    <x:row r="578">
      <x:c r="A578" s="83" t="n">
        <x:v>577</x:v>
      </x:c>
      <x:c r="B578" s="84" t="n">
        <x:v>414</x:v>
      </x:c>
      <x:c r="C578" s="84" t="n">
        <x:v>2</x:v>
      </x:c>
      <x:c r="D578" s="89" t="n">
        <x:v>45411</x:v>
      </x:c>
      <x:c r="E578" s="84" t="n">
        <x:v>3</x:v>
      </x:c>
      <x:c r="F578" s="91" t="n">
        <x:v>2982.93</x:v>
      </x:c>
    </x:row>
    <x:row r="579">
      <x:c r="A579" s="83" t="n">
        <x:v>578</x:v>
      </x:c>
      <x:c r="B579" s="84" t="n">
        <x:v>415</x:v>
      </x:c>
      <x:c r="C579" s="84" t="n">
        <x:v>72</x:v>
      </x:c>
      <x:c r="D579" s="89" t="n">
        <x:v>45889</x:v>
      </x:c>
      <x:c r="E579" s="84" t="n">
        <x:v>4</x:v>
      </x:c>
      <x:c r="F579" s="91" t="n">
        <x:v>1803.32</x:v>
      </x:c>
    </x:row>
    <x:row r="580">
      <x:c r="A580" s="83" t="n">
        <x:v>579</x:v>
      </x:c>
      <x:c r="B580" s="84" t="n">
        <x:v>416</x:v>
      </x:c>
      <x:c r="C580" s="84" t="n">
        <x:v>66</x:v>
      </x:c>
      <x:c r="D580" s="89" t="n">
        <x:v>45770</x:v>
      </x:c>
      <x:c r="E580" s="84" t="n">
        <x:v>2</x:v>
      </x:c>
      <x:c r="F580" s="91" t="n">
        <x:v>3824.9</x:v>
      </x:c>
    </x:row>
    <x:row r="581">
      <x:c r="A581" s="83" t="n">
        <x:v>580</x:v>
      </x:c>
      <x:c r="B581" s="84" t="n">
        <x:v>416</x:v>
      </x:c>
      <x:c r="C581" s="84" t="n">
        <x:v>56</x:v>
      </x:c>
      <x:c r="D581" s="89" t="n">
        <x:v>45770</x:v>
      </x:c>
      <x:c r="E581" s="84" t="n">
        <x:v>4</x:v>
      </x:c>
      <x:c r="F581" s="91" t="n">
        <x:v>5873.84</x:v>
      </x:c>
    </x:row>
    <x:row r="582">
      <x:c r="A582" s="83" t="n">
        <x:v>581</x:v>
      </x:c>
      <x:c r="B582" s="84" t="n">
        <x:v>417</x:v>
      </x:c>
      <x:c r="C582" s="84" t="n">
        <x:v>62</x:v>
      </x:c>
      <x:c r="D582" s="89" t="n">
        <x:v>45187</x:v>
      </x:c>
      <x:c r="E582" s="84" t="n">
        <x:v>4</x:v>
      </x:c>
      <x:c r="F582" s="91" t="n">
        <x:v>6069.24</x:v>
      </x:c>
    </x:row>
    <x:row r="583">
      <x:c r="A583" s="83" t="n">
        <x:v>582</x:v>
      </x:c>
      <x:c r="B583" s="84" t="n">
        <x:v>417</x:v>
      </x:c>
      <x:c r="C583" s="84" t="n">
        <x:v>32</x:v>
      </x:c>
      <x:c r="D583" s="89" t="n">
        <x:v>45187</x:v>
      </x:c>
      <x:c r="E583" s="84" t="n">
        <x:v>4</x:v>
      </x:c>
      <x:c r="F583" s="91" t="n">
        <x:v>7253</x:v>
      </x:c>
    </x:row>
    <x:row r="584">
      <x:c r="A584" s="83" t="n">
        <x:v>583</x:v>
      </x:c>
      <x:c r="B584" s="84" t="n">
        <x:v>418</x:v>
      </x:c>
      <x:c r="C584" s="84" t="n">
        <x:v>64</x:v>
      </x:c>
      <x:c r="D584" s="89" t="n">
        <x:v>45985</x:v>
      </x:c>
      <x:c r="E584" s="84" t="n">
        <x:v>4</x:v>
      </x:c>
      <x:c r="F584" s="91" t="n">
        <x:v>5861.68</x:v>
      </x:c>
    </x:row>
    <x:row r="585">
      <x:c r="A585" s="83" t="n">
        <x:v>584</x:v>
      </x:c>
      <x:c r="B585" s="84" t="n">
        <x:v>419</x:v>
      </x:c>
      <x:c r="C585" s="84" t="n">
        <x:v>29</x:v>
      </x:c>
      <x:c r="D585" s="89" t="n">
        <x:v>45981</x:v>
      </x:c>
      <x:c r="E585" s="84" t="n">
        <x:v>4</x:v>
      </x:c>
      <x:c r="F585" s="91" t="n">
        <x:v>6209.88</x:v>
      </x:c>
    </x:row>
    <x:row r="586">
      <x:c r="A586" s="83" t="n">
        <x:v>585</x:v>
      </x:c>
      <x:c r="B586" s="84" t="n">
        <x:v>419</x:v>
      </x:c>
      <x:c r="C586" s="84" t="n">
        <x:v>70</x:v>
      </x:c>
      <x:c r="D586" s="89" t="n">
        <x:v>45981</x:v>
      </x:c>
      <x:c r="E586" s="84" t="n">
        <x:v>4</x:v>
      </x:c>
      <x:c r="F586" s="91" t="n">
        <x:v>3078.16</x:v>
      </x:c>
    </x:row>
    <x:row r="587">
      <x:c r="A587" s="83" t="n">
        <x:v>586</x:v>
      </x:c>
      <x:c r="B587" s="84" t="n">
        <x:v>420</x:v>
      </x:c>
      <x:c r="C587" s="84" t="n">
        <x:v>63</x:v>
      </x:c>
      <x:c r="D587" s="89" t="n">
        <x:v>45013</x:v>
      </x:c>
      <x:c r="E587" s="84" t="n">
        <x:v>1</x:v>
      </x:c>
      <x:c r="F587" s="91" t="n">
        <x:v>1934.19</x:v>
      </x:c>
    </x:row>
    <x:row r="588">
      <x:c r="A588" s="83" t="n">
        <x:v>587</x:v>
      </x:c>
      <x:c r="B588" s="84" t="n">
        <x:v>422</x:v>
      </x:c>
      <x:c r="C588" s="84" t="n">
        <x:v>42</x:v>
      </x:c>
      <x:c r="D588" s="89" t="n">
        <x:v>45638</x:v>
      </x:c>
      <x:c r="E588" s="84" t="n">
        <x:v>2</x:v>
      </x:c>
      <x:c r="F588" s="91" t="n">
        <x:v>4343.48</x:v>
      </x:c>
    </x:row>
    <x:row r="589">
      <x:c r="A589" s="83" t="n">
        <x:v>588</x:v>
      </x:c>
      <x:c r="B589" s="84" t="n">
        <x:v>422</x:v>
      </x:c>
      <x:c r="C589" s="84" t="n">
        <x:v>65</x:v>
      </x:c>
      <x:c r="D589" s="89" t="n">
        <x:v>45638</x:v>
      </x:c>
      <x:c r="E589" s="84" t="n">
        <x:v>3</x:v>
      </x:c>
      <x:c r="F589" s="91" t="n">
        <x:v>3764.52</x:v>
      </x:c>
    </x:row>
    <x:row r="590">
      <x:c r="A590" s="83" t="n">
        <x:v>589</x:v>
      </x:c>
      <x:c r="B590" s="84" t="n">
        <x:v>425</x:v>
      </x:c>
      <x:c r="C590" s="84" t="n">
        <x:v>32</x:v>
      </x:c>
      <x:c r="D590" s="89" t="n">
        <x:v>45053</x:v>
      </x:c>
      <x:c r="E590" s="84" t="n">
        <x:v>2</x:v>
      </x:c>
      <x:c r="F590" s="91" t="n">
        <x:v>3626.5</x:v>
      </x:c>
    </x:row>
    <x:row r="591">
      <x:c r="A591" s="83" t="n">
        <x:v>590</x:v>
      </x:c>
      <x:c r="B591" s="84" t="n">
        <x:v>426</x:v>
      </x:c>
      <x:c r="C591" s="84" t="n">
        <x:v>9</x:v>
      </x:c>
      <x:c r="D591" s="89" t="n">
        <x:v>45225</x:v>
      </x:c>
      <x:c r="E591" s="84" t="n">
        <x:v>4</x:v>
      </x:c>
      <x:c r="F591" s="91" t="n">
        <x:v>6300.24</x:v>
      </x:c>
    </x:row>
    <x:row r="592">
      <x:c r="A592" s="83" t="n">
        <x:v>591</x:v>
      </x:c>
      <x:c r="B592" s="84" t="n">
        <x:v>426</x:v>
      </x:c>
      <x:c r="C592" s="84" t="n">
        <x:v>4</x:v>
      </x:c>
      <x:c r="D592" s="89" t="n">
        <x:v>45225</x:v>
      </x:c>
      <x:c r="E592" s="84" t="n">
        <x:v>4</x:v>
      </x:c>
      <x:c r="F592" s="91" t="n">
        <x:v>6101.24</x:v>
      </x:c>
    </x:row>
    <x:row r="593">
      <x:c r="A593" s="83" t="n">
        <x:v>592</x:v>
      </x:c>
      <x:c r="B593" s="84" t="n">
        <x:v>427</x:v>
      </x:c>
      <x:c r="C593" s="84" t="n">
        <x:v>37</x:v>
      </x:c>
      <x:c r="D593" s="89" t="n">
        <x:v>45283</x:v>
      </x:c>
      <x:c r="E593" s="84" t="n">
        <x:v>1</x:v>
      </x:c>
      <x:c r="F593" s="91" t="n">
        <x:v>1033.71</x:v>
      </x:c>
    </x:row>
    <x:row r="594">
      <x:c r="A594" s="83" t="n">
        <x:v>593</x:v>
      </x:c>
      <x:c r="B594" s="84" t="n">
        <x:v>427</x:v>
      </x:c>
      <x:c r="C594" s="84" t="n">
        <x:v>51</x:v>
      </x:c>
      <x:c r="D594" s="89" t="n">
        <x:v>45283</x:v>
      </x:c>
      <x:c r="E594" s="84" t="n">
        <x:v>4</x:v>
      </x:c>
      <x:c r="F594" s="91" t="n">
        <x:v>3568.64</x:v>
      </x:c>
    </x:row>
    <x:row r="595">
      <x:c r="A595" s="83" t="n">
        <x:v>594</x:v>
      </x:c>
      <x:c r="B595" s="84" t="n">
        <x:v>428</x:v>
      </x:c>
      <x:c r="C595" s="84" t="n">
        <x:v>23</x:v>
      </x:c>
      <x:c r="D595" s="89" t="n">
        <x:v>45625</x:v>
      </x:c>
      <x:c r="E595" s="84" t="n">
        <x:v>1</x:v>
      </x:c>
      <x:c r="F595" s="91" t="n">
        <x:v>1752.85</x:v>
      </x:c>
    </x:row>
    <x:row r="596">
      <x:c r="A596" s="83" t="n">
        <x:v>595</x:v>
      </x:c>
      <x:c r="B596" s="84" t="n">
        <x:v>428</x:v>
      </x:c>
      <x:c r="C596" s="84" t="n">
        <x:v>29</x:v>
      </x:c>
      <x:c r="D596" s="89" t="n">
        <x:v>45625</x:v>
      </x:c>
      <x:c r="E596" s="84" t="n">
        <x:v>4</x:v>
      </x:c>
      <x:c r="F596" s="91" t="n">
        <x:v>6209.88</x:v>
      </x:c>
    </x:row>
    <x:row r="597">
      <x:c r="A597" s="83" t="n">
        <x:v>596</x:v>
      </x:c>
      <x:c r="B597" s="84" t="n">
        <x:v>428</x:v>
      </x:c>
      <x:c r="C597" s="84" t="n">
        <x:v>79</x:v>
      </x:c>
      <x:c r="D597" s="89" t="n">
        <x:v>45625</x:v>
      </x:c>
      <x:c r="E597" s="84" t="n">
        <x:v>3</x:v>
      </x:c>
      <x:c r="F597" s="91" t="n">
        <x:v>6200.16</x:v>
      </x:c>
    </x:row>
    <x:row r="598">
      <x:c r="A598" s="83" t="n">
        <x:v>597</x:v>
      </x:c>
      <x:c r="B598" s="84" t="n">
        <x:v>429</x:v>
      </x:c>
      <x:c r="C598" s="84" t="n">
        <x:v>76</x:v>
      </x:c>
      <x:c r="D598" s="89" t="n">
        <x:v>45817</x:v>
      </x:c>
      <x:c r="E598" s="84" t="n">
        <x:v>4</x:v>
      </x:c>
      <x:c r="F598" s="91" t="n">
        <x:v>2879.24</x:v>
      </x:c>
    </x:row>
    <x:row r="599">
      <x:c r="A599" s="83" t="n">
        <x:v>598</x:v>
      </x:c>
      <x:c r="B599" s="84" t="n">
        <x:v>429</x:v>
      </x:c>
      <x:c r="C599" s="84" t="n">
        <x:v>69</x:v>
      </x:c>
      <x:c r="D599" s="89" t="n">
        <x:v>45817</x:v>
      </x:c>
      <x:c r="E599" s="84" t="n">
        <x:v>1</x:v>
      </x:c>
      <x:c r="F599" s="91" t="n">
        <x:v>1770.33</x:v>
      </x:c>
    </x:row>
    <x:row r="600">
      <x:c r="A600" s="83" t="n">
        <x:v>599</x:v>
      </x:c>
      <x:c r="B600" s="84" t="n">
        <x:v>430</x:v>
      </x:c>
      <x:c r="C600" s="84" t="n">
        <x:v>44</x:v>
      </x:c>
      <x:c r="D600" s="89" t="n">
        <x:v>45146</x:v>
      </x:c>
      <x:c r="E600" s="84" t="n">
        <x:v>1</x:v>
      </x:c>
      <x:c r="F600" s="91" t="n">
        <x:v>1251.48</x:v>
      </x:c>
    </x:row>
    <x:row r="601">
      <x:c r="A601" s="83" t="n">
        <x:v>600</x:v>
      </x:c>
      <x:c r="B601" s="84" t="n">
        <x:v>430</x:v>
      </x:c>
      <x:c r="C601" s="84" t="n">
        <x:v>73</x:v>
      </x:c>
      <x:c r="D601" s="89" t="n">
        <x:v>45146</x:v>
      </x:c>
      <x:c r="E601" s="84" t="n">
        <x:v>2</x:v>
      </x:c>
      <x:c r="F601" s="91" t="n">
        <x:v>2254.62</x:v>
      </x:c>
    </x:row>
    <x:row r="602">
      <x:c r="A602" s="83" t="n">
        <x:v>601</x:v>
      </x:c>
      <x:c r="B602" s="84" t="n">
        <x:v>431</x:v>
      </x:c>
      <x:c r="C602" s="84" t="n">
        <x:v>29</x:v>
      </x:c>
      <x:c r="D602" s="89" t="n">
        <x:v>45572</x:v>
      </x:c>
      <x:c r="E602" s="84" t="n">
        <x:v>4</x:v>
      </x:c>
      <x:c r="F602" s="91" t="n">
        <x:v>6209.88</x:v>
      </x:c>
    </x:row>
    <x:row r="603">
      <x:c r="A603" s="83" t="n">
        <x:v>602</x:v>
      </x:c>
      <x:c r="B603" s="84" t="n">
        <x:v>433</x:v>
      </x:c>
      <x:c r="C603" s="84" t="n">
        <x:v>27</x:v>
      </x:c>
      <x:c r="D603" s="89" t="n">
        <x:v>45934</x:v>
      </x:c>
      <x:c r="E603" s="84" t="n">
        <x:v>2</x:v>
      </x:c>
      <x:c r="F603" s="91" t="n">
        <x:v>321.38</x:v>
      </x:c>
    </x:row>
    <x:row r="604">
      <x:c r="A604" s="83" t="n">
        <x:v>603</x:v>
      </x:c>
      <x:c r="B604" s="84" t="n">
        <x:v>435</x:v>
      </x:c>
      <x:c r="C604" s="84" t="n">
        <x:v>50</x:v>
      </x:c>
      <x:c r="D604" s="89" t="n">
        <x:v>45949</x:v>
      </x:c>
      <x:c r="E604" s="84" t="n">
        <x:v>2</x:v>
      </x:c>
      <x:c r="F604" s="91" t="n">
        <x:v>4471.9</x:v>
      </x:c>
    </x:row>
    <x:row r="605">
      <x:c r="A605" s="83" t="n">
        <x:v>604</x:v>
      </x:c>
      <x:c r="B605" s="84" t="n">
        <x:v>435</x:v>
      </x:c>
      <x:c r="C605" s="84" t="n">
        <x:v>65</x:v>
      </x:c>
      <x:c r="D605" s="89" t="n">
        <x:v>45949</x:v>
      </x:c>
      <x:c r="E605" s="84" t="n">
        <x:v>3</x:v>
      </x:c>
      <x:c r="F605" s="91" t="n">
        <x:v>3764.52</x:v>
      </x:c>
    </x:row>
    <x:row r="606">
      <x:c r="A606" s="83" t="n">
        <x:v>605</x:v>
      </x:c>
      <x:c r="B606" s="84" t="n">
        <x:v>436</x:v>
      </x:c>
      <x:c r="C606" s="84" t="n">
        <x:v>24</x:v>
      </x:c>
      <x:c r="D606" s="89" t="n">
        <x:v>45373</x:v>
      </x:c>
      <x:c r="E606" s="84" t="n">
        <x:v>3</x:v>
      </x:c>
      <x:c r="F606" s="91" t="n">
        <x:v>2222.73</x:v>
      </x:c>
    </x:row>
    <x:row r="607">
      <x:c r="A607" s="83" t="n">
        <x:v>606</x:v>
      </x:c>
      <x:c r="B607" s="84" t="n">
        <x:v>436</x:v>
      </x:c>
      <x:c r="C607" s="84" t="n">
        <x:v>38</x:v>
      </x:c>
      <x:c r="D607" s="89" t="n">
        <x:v>45373</x:v>
      </x:c>
      <x:c r="E607" s="84" t="n">
        <x:v>1</x:v>
      </x:c>
      <x:c r="F607" s="91" t="n">
        <x:v>726.49</x:v>
      </x:c>
    </x:row>
    <x:row r="608">
      <x:c r="A608" s="83" t="n">
        <x:v>607</x:v>
      </x:c>
      <x:c r="B608" s="84" t="n">
        <x:v>437</x:v>
      </x:c>
      <x:c r="C608" s="84" t="n">
        <x:v>56</x:v>
      </x:c>
      <x:c r="D608" s="89" t="n">
        <x:v>45344</x:v>
      </x:c>
      <x:c r="E608" s="84" t="n">
        <x:v>1</x:v>
      </x:c>
      <x:c r="F608" s="91" t="n">
        <x:v>1468.46</x:v>
      </x:c>
    </x:row>
    <x:row r="609">
      <x:c r="A609" s="83" t="n">
        <x:v>608</x:v>
      </x:c>
      <x:c r="B609" s="84" t="n">
        <x:v>440</x:v>
      </x:c>
      <x:c r="C609" s="84" t="n">
        <x:v>20</x:v>
      </x:c>
      <x:c r="D609" s="89" t="n">
        <x:v>45173</x:v>
      </x:c>
      <x:c r="E609" s="84" t="n">
        <x:v>2</x:v>
      </x:c>
      <x:c r="F609" s="91" t="n">
        <x:v>1082.4</x:v>
      </x:c>
    </x:row>
    <x:row r="610">
      <x:c r="A610" s="83" t="n">
        <x:v>609</x:v>
      </x:c>
      <x:c r="B610" s="84" t="n">
        <x:v>440</x:v>
      </x:c>
      <x:c r="C610" s="84" t="n">
        <x:v>32</x:v>
      </x:c>
      <x:c r="D610" s="89" t="n">
        <x:v>45173</x:v>
      </x:c>
      <x:c r="E610" s="84" t="n">
        <x:v>3</x:v>
      </x:c>
      <x:c r="F610" s="91" t="n">
        <x:v>5439.75</x:v>
      </x:c>
    </x:row>
    <x:row r="611">
      <x:c r="A611" s="83" t="n">
        <x:v>610</x:v>
      </x:c>
      <x:c r="B611" s="84" t="n">
        <x:v>441</x:v>
      </x:c>
      <x:c r="C611" s="84" t="n">
        <x:v>5</x:v>
      </x:c>
      <x:c r="D611" s="89" t="n">
        <x:v>45671</x:v>
      </x:c>
      <x:c r="E611" s="84" t="n">
        <x:v>1</x:v>
      </x:c>
      <x:c r="F611" s="91" t="n">
        <x:v>1468.5</x:v>
      </x:c>
    </x:row>
    <x:row r="612">
      <x:c r="A612" s="83" t="n">
        <x:v>611</x:v>
      </x:c>
      <x:c r="B612" s="84" t="n">
        <x:v>441</x:v>
      </x:c>
      <x:c r="C612" s="84" t="n">
        <x:v>53</x:v>
      </x:c>
      <x:c r="D612" s="89" t="n">
        <x:v>45671</x:v>
      </x:c>
      <x:c r="E612" s="84" t="n">
        <x:v>4</x:v>
      </x:c>
      <x:c r="F612" s="91" t="n">
        <x:v>6363.68</x:v>
      </x:c>
    </x:row>
    <x:row r="613">
      <x:c r="A613" s="83" t="n">
        <x:v>612</x:v>
      </x:c>
      <x:c r="B613" s="84" t="n">
        <x:v>441</x:v>
      </x:c>
      <x:c r="C613" s="84" t="n">
        <x:v>73</x:v>
      </x:c>
      <x:c r="D613" s="89" t="n">
        <x:v>45671</x:v>
      </x:c>
      <x:c r="E613" s="84" t="n">
        <x:v>2</x:v>
      </x:c>
      <x:c r="F613" s="91" t="n">
        <x:v>2254.62</x:v>
      </x:c>
    </x:row>
    <x:row r="614">
      <x:c r="A614" s="83" t="n">
        <x:v>613</x:v>
      </x:c>
      <x:c r="B614" s="84" t="n">
        <x:v>442</x:v>
      </x:c>
      <x:c r="C614" s="84" t="n">
        <x:v>61</x:v>
      </x:c>
      <x:c r="D614" s="89" t="n">
        <x:v>45437</x:v>
      </x:c>
      <x:c r="E614" s="84" t="n">
        <x:v>3</x:v>
      </x:c>
      <x:c r="F614" s="91" t="n">
        <x:v>395.16</x:v>
      </x:c>
    </x:row>
    <x:row r="615">
      <x:c r="A615" s="83" t="n">
        <x:v>614</x:v>
      </x:c>
      <x:c r="B615" s="84" t="n">
        <x:v>442</x:v>
      </x:c>
      <x:c r="C615" s="84" t="n">
        <x:v>6</x:v>
      </x:c>
      <x:c r="D615" s="89" t="n">
        <x:v>45437</x:v>
      </x:c>
      <x:c r="E615" s="84" t="n">
        <x:v>2</x:v>
      </x:c>
      <x:c r="F615" s="91" t="n">
        <x:v>1394.74</x:v>
      </x:c>
    </x:row>
    <x:row r="616">
      <x:c r="A616" s="83" t="n">
        <x:v>615</x:v>
      </x:c>
      <x:c r="B616" s="84" t="n">
        <x:v>442</x:v>
      </x:c>
      <x:c r="C616" s="84" t="n">
        <x:v>31</x:v>
      </x:c>
      <x:c r="D616" s="89" t="n">
        <x:v>45437</x:v>
      </x:c>
      <x:c r="E616" s="84" t="n">
        <x:v>4</x:v>
      </x:c>
      <x:c r="F616" s="91" t="n">
        <x:v>8678.52</x:v>
      </x:c>
    </x:row>
    <x:row r="617">
      <x:c r="A617" s="83" t="n">
        <x:v>616</x:v>
      </x:c>
      <x:c r="B617" s="84" t="n">
        <x:v>445</x:v>
      </x:c>
      <x:c r="C617" s="84" t="n">
        <x:v>48</x:v>
      </x:c>
      <x:c r="D617" s="89" t="n">
        <x:v>45687</x:v>
      </x:c>
      <x:c r="E617" s="84" t="n">
        <x:v>1</x:v>
      </x:c>
      <x:c r="F617" s="91" t="n">
        <x:v>1161.45</x:v>
      </x:c>
    </x:row>
    <x:row r="618">
      <x:c r="A618" s="83" t="n">
        <x:v>617</x:v>
      </x:c>
      <x:c r="B618" s="84" t="n">
        <x:v>445</x:v>
      </x:c>
      <x:c r="C618" s="84" t="n">
        <x:v>60</x:v>
      </x:c>
      <x:c r="D618" s="89" t="n">
        <x:v>45687</x:v>
      </x:c>
      <x:c r="E618" s="84" t="n">
        <x:v>4</x:v>
      </x:c>
      <x:c r="F618" s="91" t="n">
        <x:v>1415.2</x:v>
      </x:c>
    </x:row>
    <x:row r="619">
      <x:c r="A619" s="83" t="n">
        <x:v>618</x:v>
      </x:c>
      <x:c r="B619" s="84" t="n">
        <x:v>446</x:v>
      </x:c>
      <x:c r="C619" s="84" t="n">
        <x:v>24</x:v>
      </x:c>
      <x:c r="D619" s="89" t="n">
        <x:v>44996</x:v>
      </x:c>
      <x:c r="E619" s="84" t="n">
        <x:v>4</x:v>
      </x:c>
      <x:c r="F619" s="91" t="n">
        <x:v>2963.64</x:v>
      </x:c>
    </x:row>
    <x:row r="620">
      <x:c r="A620" s="83" t="n">
        <x:v>619</x:v>
      </x:c>
      <x:c r="B620" s="84" t="n">
        <x:v>446</x:v>
      </x:c>
      <x:c r="C620" s="84" t="n">
        <x:v>66</x:v>
      </x:c>
      <x:c r="D620" s="89" t="n">
        <x:v>44996</x:v>
      </x:c>
      <x:c r="E620" s="84" t="n">
        <x:v>4</x:v>
      </x:c>
      <x:c r="F620" s="91" t="n">
        <x:v>7649.8</x:v>
      </x:c>
    </x:row>
    <x:row r="621">
      <x:c r="A621" s="83" t="n">
        <x:v>620</x:v>
      </x:c>
      <x:c r="B621" s="84" t="n">
        <x:v>447</x:v>
      </x:c>
      <x:c r="C621" s="84" t="n">
        <x:v>75</x:v>
      </x:c>
      <x:c r="D621" s="89" t="n">
        <x:v>45662</x:v>
      </x:c>
      <x:c r="E621" s="84" t="n">
        <x:v>3</x:v>
      </x:c>
      <x:c r="F621" s="91" t="n">
        <x:v>1368.51</x:v>
      </x:c>
    </x:row>
    <x:row r="622">
      <x:c r="A622" s="83" t="n">
        <x:v>621</x:v>
      </x:c>
      <x:c r="B622" s="84" t="n">
        <x:v>448</x:v>
      </x:c>
      <x:c r="C622" s="84" t="n">
        <x:v>52</x:v>
      </x:c>
      <x:c r="D622" s="89" t="n">
        <x:v>45743</x:v>
      </x:c>
      <x:c r="E622" s="84" t="n">
        <x:v>2</x:v>
      </x:c>
      <x:c r="F622" s="91" t="n">
        <x:v>1761.26</x:v>
      </x:c>
    </x:row>
    <x:row r="623">
      <x:c r="A623" s="83" t="n">
        <x:v>622</x:v>
      </x:c>
      <x:c r="B623" s="84" t="n">
        <x:v>448</x:v>
      </x:c>
      <x:c r="C623" s="84" t="n">
        <x:v>69</x:v>
      </x:c>
      <x:c r="D623" s="89" t="n">
        <x:v>45743</x:v>
      </x:c>
      <x:c r="E623" s="84" t="n">
        <x:v>1</x:v>
      </x:c>
      <x:c r="F623" s="91" t="n">
        <x:v>1770.33</x:v>
      </x:c>
    </x:row>
    <x:row r="624">
      <x:c r="A624" s="83" t="n">
        <x:v>623</x:v>
      </x:c>
      <x:c r="B624" s="84" t="n">
        <x:v>448</x:v>
      </x:c>
      <x:c r="C624" s="84" t="n">
        <x:v>75</x:v>
      </x:c>
      <x:c r="D624" s="89" t="n">
        <x:v>45743</x:v>
      </x:c>
      <x:c r="E624" s="84" t="n">
        <x:v>4</x:v>
      </x:c>
      <x:c r="F624" s="91" t="n">
        <x:v>1824.68</x:v>
      </x:c>
    </x:row>
    <x:row r="625">
      <x:c r="A625" s="83" t="n">
        <x:v>624</x:v>
      </x:c>
      <x:c r="B625" s="84" t="n">
        <x:v>450</x:v>
      </x:c>
      <x:c r="C625" s="84" t="n">
        <x:v>56</x:v>
      </x:c>
      <x:c r="D625" s="89" t="n">
        <x:v>45460</x:v>
      </x:c>
      <x:c r="E625" s="84" t="n">
        <x:v>1</x:v>
      </x:c>
      <x:c r="F625" s="91" t="n">
        <x:v>1468.46</x:v>
      </x:c>
    </x:row>
    <x:row r="626">
      <x:c r="A626" s="83" t="n">
        <x:v>625</x:v>
      </x:c>
      <x:c r="B626" s="84" t="n">
        <x:v>450</x:v>
      </x:c>
      <x:c r="C626" s="84" t="n">
        <x:v>56</x:v>
      </x:c>
      <x:c r="D626" s="89" t="n">
        <x:v>45460</x:v>
      </x:c>
      <x:c r="E626" s="84" t="n">
        <x:v>4</x:v>
      </x:c>
      <x:c r="F626" s="91" t="n">
        <x:v>5873.84</x:v>
      </x:c>
    </x:row>
    <x:row r="627">
      <x:c r="A627" s="83" t="n">
        <x:v>626</x:v>
      </x:c>
      <x:c r="B627" s="84" t="n">
        <x:v>450</x:v>
      </x:c>
      <x:c r="C627" s="84" t="n">
        <x:v>48</x:v>
      </x:c>
      <x:c r="D627" s="89" t="n">
        <x:v>45460</x:v>
      </x:c>
      <x:c r="E627" s="84" t="n">
        <x:v>3</x:v>
      </x:c>
      <x:c r="F627" s="91" t="n">
        <x:v>3484.35</x:v>
      </x:c>
    </x:row>
    <x:row r="628">
      <x:c r="A628" s="83" t="n">
        <x:v>627</x:v>
      </x:c>
      <x:c r="B628" s="84" t="n">
        <x:v>451</x:v>
      </x:c>
      <x:c r="C628" s="84" t="n">
        <x:v>8</x:v>
      </x:c>
      <x:c r="D628" s="89" t="n">
        <x:v>45603</x:v>
      </x:c>
      <x:c r="E628" s="84" t="n">
        <x:v>1</x:v>
      </x:c>
      <x:c r="F628" s="91" t="n">
        <x:v>1666.19</x:v>
      </x:c>
    </x:row>
    <x:row r="629">
      <x:c r="A629" s="83" t="n">
        <x:v>628</x:v>
      </x:c>
      <x:c r="B629" s="84" t="n">
        <x:v>452</x:v>
      </x:c>
      <x:c r="C629" s="84" t="n">
        <x:v>33</x:v>
      </x:c>
      <x:c r="D629" s="89" t="n">
        <x:v>44930</x:v>
      </x:c>
      <x:c r="E629" s="84" t="n">
        <x:v>4</x:v>
      </x:c>
      <x:c r="F629" s="91" t="n">
        <x:v>9387.68</x:v>
      </x:c>
    </x:row>
    <x:row r="630">
      <x:c r="A630" s="83" t="n">
        <x:v>629</x:v>
      </x:c>
      <x:c r="B630" s="84" t="n">
        <x:v>455</x:v>
      </x:c>
      <x:c r="C630" s="84" t="n">
        <x:v>6</x:v>
      </x:c>
      <x:c r="D630" s="89" t="n">
        <x:v>45111</x:v>
      </x:c>
      <x:c r="E630" s="84" t="n">
        <x:v>2</x:v>
      </x:c>
      <x:c r="F630" s="91" t="n">
        <x:v>1394.74</x:v>
      </x:c>
    </x:row>
    <x:row r="631">
      <x:c r="A631" s="83" t="n">
        <x:v>630</x:v>
      </x:c>
      <x:c r="B631" s="84" t="n">
        <x:v>458</x:v>
      </x:c>
      <x:c r="C631" s="84" t="n">
        <x:v>46</x:v>
      </x:c>
      <x:c r="D631" s="89" t="n">
        <x:v>45924</x:v>
      </x:c>
      <x:c r="E631" s="84" t="n">
        <x:v>1</x:v>
      </x:c>
      <x:c r="F631" s="91" t="n">
        <x:v>1334.95</x:v>
      </x:c>
    </x:row>
    <x:row r="632">
      <x:c r="A632" s="83" t="n">
        <x:v>631</x:v>
      </x:c>
      <x:c r="B632" s="84" t="n">
        <x:v>458</x:v>
      </x:c>
      <x:c r="C632" s="84" t="n">
        <x:v>31</x:v>
      </x:c>
      <x:c r="D632" s="89" t="n">
        <x:v>45924</x:v>
      </x:c>
      <x:c r="E632" s="84" t="n">
        <x:v>4</x:v>
      </x:c>
      <x:c r="F632" s="91" t="n">
        <x:v>8678.52</x:v>
      </x:c>
    </x:row>
    <x:row r="633">
      <x:c r="A633" s="83" t="n">
        <x:v>632</x:v>
      </x:c>
      <x:c r="B633" s="84" t="n">
        <x:v>458</x:v>
      </x:c>
      <x:c r="C633" s="84" t="n">
        <x:v>45</x:v>
      </x:c>
      <x:c r="D633" s="89" t="n">
        <x:v>45924</x:v>
      </x:c>
      <x:c r="E633" s="84" t="n">
        <x:v>2</x:v>
      </x:c>
      <x:c r="F633" s="91" t="n">
        <x:v>2782.84</x:v>
      </x:c>
    </x:row>
    <x:row r="634">
      <x:c r="A634" s="83" t="n">
        <x:v>633</x:v>
      </x:c>
      <x:c r="B634" s="84" t="n">
        <x:v>459</x:v>
      </x:c>
      <x:c r="C634" s="84" t="n">
        <x:v>28</x:v>
      </x:c>
      <x:c r="D634" s="89" t="n">
        <x:v>45835</x:v>
      </x:c>
      <x:c r="E634" s="84" t="n">
        <x:v>4</x:v>
      </x:c>
      <x:c r="F634" s="91" t="n">
        <x:v>3281.88</x:v>
      </x:c>
    </x:row>
    <x:row r="635">
      <x:c r="A635" s="83" t="n">
        <x:v>634</x:v>
      </x:c>
      <x:c r="B635" s="84" t="n">
        <x:v>459</x:v>
      </x:c>
      <x:c r="C635" s="84" t="n">
        <x:v>63</x:v>
      </x:c>
      <x:c r="D635" s="89" t="n">
        <x:v>45835</x:v>
      </x:c>
      <x:c r="E635" s="84" t="n">
        <x:v>1</x:v>
      </x:c>
      <x:c r="F635" s="91" t="n">
        <x:v>1934.19</x:v>
      </x:c>
    </x:row>
    <x:row r="636">
      <x:c r="A636" s="83" t="n">
        <x:v>635</x:v>
      </x:c>
      <x:c r="B636" s="84" t="n">
        <x:v>460</x:v>
      </x:c>
      <x:c r="C636" s="84" t="n">
        <x:v>80</x:v>
      </x:c>
      <x:c r="D636" s="89" t="n">
        <x:v>45026</x:v>
      </x:c>
      <x:c r="E636" s="84" t="n">
        <x:v>2</x:v>
      </x:c>
      <x:c r="F636" s="91" t="n">
        <x:v>3457.08</x:v>
      </x:c>
    </x:row>
    <x:row r="637">
      <x:c r="A637" s="83" t="n">
        <x:v>636</x:v>
      </x:c>
      <x:c r="B637" s="84" t="n">
        <x:v>462</x:v>
      </x:c>
      <x:c r="C637" s="84" t="n">
        <x:v>58</x:v>
      </x:c>
      <x:c r="D637" s="89" t="n">
        <x:v>45625</x:v>
      </x:c>
      <x:c r="E637" s="84" t="n">
        <x:v>3</x:v>
      </x:c>
      <x:c r="F637" s="91" t="n">
        <x:v>6054.54</x:v>
      </x:c>
    </x:row>
    <x:row r="638">
      <x:c r="A638" s="83" t="n">
        <x:v>637</x:v>
      </x:c>
      <x:c r="B638" s="84" t="n">
        <x:v>462</x:v>
      </x:c>
      <x:c r="C638" s="84" t="n">
        <x:v>23</x:v>
      </x:c>
      <x:c r="D638" s="89" t="n">
        <x:v>45625</x:v>
      </x:c>
      <x:c r="E638" s="84" t="n">
        <x:v>1</x:v>
      </x:c>
      <x:c r="F638" s="91" t="n">
        <x:v>1752.85</x:v>
      </x:c>
    </x:row>
    <x:row r="639">
      <x:c r="A639" s="83" t="n">
        <x:v>638</x:v>
      </x:c>
      <x:c r="B639" s="84" t="n">
        <x:v>462</x:v>
      </x:c>
      <x:c r="C639" s="84" t="n">
        <x:v>61</x:v>
      </x:c>
      <x:c r="D639" s="89" t="n">
        <x:v>45625</x:v>
      </x:c>
      <x:c r="E639" s="84" t="n">
        <x:v>1</x:v>
      </x:c>
      <x:c r="F639" s="91" t="n">
        <x:v>131.72</x:v>
      </x:c>
    </x:row>
    <x:row r="640">
      <x:c r="A640" s="83" t="n">
        <x:v>639</x:v>
      </x:c>
      <x:c r="B640" s="84" t="n">
        <x:v>463</x:v>
      </x:c>
      <x:c r="C640" s="84" t="n">
        <x:v>52</x:v>
      </x:c>
      <x:c r="D640" s="89" t="n">
        <x:v>45506</x:v>
      </x:c>
      <x:c r="E640" s="84" t="n">
        <x:v>1</x:v>
      </x:c>
      <x:c r="F640" s="91" t="n">
        <x:v>880.63</x:v>
      </x:c>
    </x:row>
    <x:row r="641">
      <x:c r="A641" s="83" t="n">
        <x:v>640</x:v>
      </x:c>
      <x:c r="B641" s="84" t="n">
        <x:v>465</x:v>
      </x:c>
      <x:c r="C641" s="84" t="n">
        <x:v>18</x:v>
      </x:c>
      <x:c r="D641" s="89" t="n">
        <x:v>45381</x:v>
      </x:c>
      <x:c r="E641" s="84" t="n">
        <x:v>2</x:v>
      </x:c>
      <x:c r="F641" s="91" t="n">
        <x:v>1332.32</x:v>
      </x:c>
    </x:row>
    <x:row r="642">
      <x:c r="A642" s="83" t="n">
        <x:v>641</x:v>
      </x:c>
      <x:c r="B642" s="84" t="n">
        <x:v>465</x:v>
      </x:c>
      <x:c r="C642" s="84" t="n">
        <x:v>40</x:v>
      </x:c>
      <x:c r="D642" s="89" t="n">
        <x:v>45381</x:v>
      </x:c>
      <x:c r="E642" s="84" t="n">
        <x:v>1</x:v>
      </x:c>
      <x:c r="F642" s="91" t="n">
        <x:v>2035.04</x:v>
      </x:c>
    </x:row>
    <x:row r="643">
      <x:c r="A643" s="83" t="n">
        <x:v>642</x:v>
      </x:c>
      <x:c r="B643" s="84" t="n">
        <x:v>465</x:v>
      </x:c>
      <x:c r="C643" s="84" t="n">
        <x:v>60</x:v>
      </x:c>
      <x:c r="D643" s="89" t="n">
        <x:v>45381</x:v>
      </x:c>
      <x:c r="E643" s="84" t="n">
        <x:v>2</x:v>
      </x:c>
      <x:c r="F643" s="91" t="n">
        <x:v>707.6</x:v>
      </x:c>
    </x:row>
    <x:row r="644">
      <x:c r="A644" s="83" t="n">
        <x:v>643</x:v>
      </x:c>
      <x:c r="B644" s="84" t="n">
        <x:v>467</x:v>
      </x:c>
      <x:c r="C644" s="84" t="n">
        <x:v>53</x:v>
      </x:c>
      <x:c r="D644" s="89" t="n">
        <x:v>45339</x:v>
      </x:c>
      <x:c r="E644" s="84" t="n">
        <x:v>3</x:v>
      </x:c>
      <x:c r="F644" s="91" t="n">
        <x:v>4772.76</x:v>
      </x:c>
    </x:row>
    <x:row r="645">
      <x:c r="A645" s="83" t="n">
        <x:v>644</x:v>
      </x:c>
      <x:c r="B645" s="84" t="n">
        <x:v>468</x:v>
      </x:c>
      <x:c r="C645" s="84" t="n">
        <x:v>55</x:v>
      </x:c>
      <x:c r="D645" s="89" t="n">
        <x:v>45636</x:v>
      </x:c>
      <x:c r="E645" s="84" t="n">
        <x:v>4</x:v>
      </x:c>
      <x:c r="F645" s="91" t="n">
        <x:v>5999.4</x:v>
      </x:c>
    </x:row>
    <x:row r="646">
      <x:c r="A646" s="83" t="n">
        <x:v>645</x:v>
      </x:c>
      <x:c r="B646" s="84" t="n">
        <x:v>469</x:v>
      </x:c>
      <x:c r="C646" s="84" t="n">
        <x:v>54</x:v>
      </x:c>
      <x:c r="D646" s="89" t="n">
        <x:v>44950</x:v>
      </x:c>
      <x:c r="E646" s="84" t="n">
        <x:v>4</x:v>
      </x:c>
      <x:c r="F646" s="91" t="n">
        <x:v>2745.6</x:v>
      </x:c>
    </x:row>
    <x:row r="647">
      <x:c r="A647" s="83" t="n">
        <x:v>646</x:v>
      </x:c>
      <x:c r="B647" s="84" t="n">
        <x:v>469</x:v>
      </x:c>
      <x:c r="C647" s="84" t="n">
        <x:v>2</x:v>
      </x:c>
      <x:c r="D647" s="89" t="n">
        <x:v>44950</x:v>
      </x:c>
      <x:c r="E647" s="84" t="n">
        <x:v>3</x:v>
      </x:c>
      <x:c r="F647" s="91" t="n">
        <x:v>2982.93</x:v>
      </x:c>
    </x:row>
    <x:row r="648">
      <x:c r="A648" s="83" t="n">
        <x:v>647</x:v>
      </x:c>
      <x:c r="B648" s="84" t="n">
        <x:v>469</x:v>
      </x:c>
      <x:c r="C648" s="84" t="n">
        <x:v>2</x:v>
      </x:c>
      <x:c r="D648" s="89" t="n">
        <x:v>44950</x:v>
      </x:c>
      <x:c r="E648" s="84" t="n">
        <x:v>1</x:v>
      </x:c>
      <x:c r="F648" s="91" t="n">
        <x:v>994.31</x:v>
      </x:c>
    </x:row>
    <x:row r="649">
      <x:c r="A649" s="83" t="n">
        <x:v>648</x:v>
      </x:c>
      <x:c r="B649" s="84" t="n">
        <x:v>471</x:v>
      </x:c>
      <x:c r="C649" s="84" t="n">
        <x:v>42</x:v>
      </x:c>
      <x:c r="D649" s="89" t="n">
        <x:v>45339</x:v>
      </x:c>
      <x:c r="E649" s="84" t="n">
        <x:v>3</x:v>
      </x:c>
      <x:c r="F649" s="91" t="n">
        <x:v>6515.22</x:v>
      </x:c>
    </x:row>
    <x:row r="650">
      <x:c r="A650" s="83" t="n">
        <x:v>649</x:v>
      </x:c>
      <x:c r="B650" s="84" t="n">
        <x:v>471</x:v>
      </x:c>
      <x:c r="C650" s="84" t="n">
        <x:v>79</x:v>
      </x:c>
      <x:c r="D650" s="89" t="n">
        <x:v>45339</x:v>
      </x:c>
      <x:c r="E650" s="84" t="n">
        <x:v>4</x:v>
      </x:c>
      <x:c r="F650" s="91" t="n">
        <x:v>8266.88</x:v>
      </x:c>
    </x:row>
    <x:row r="651">
      <x:c r="A651" s="83" t="n">
        <x:v>650</x:v>
      </x:c>
      <x:c r="B651" s="84" t="n">
        <x:v>471</x:v>
      </x:c>
      <x:c r="C651" s="84" t="n">
        <x:v>63</x:v>
      </x:c>
      <x:c r="D651" s="89" t="n">
        <x:v>45339</x:v>
      </x:c>
      <x:c r="E651" s="84" t="n">
        <x:v>1</x:v>
      </x:c>
      <x:c r="F651" s="91" t="n">
        <x:v>1934.19</x:v>
      </x:c>
    </x:row>
    <x:row r="652">
      <x:c r="A652" s="83" t="n">
        <x:v>651</x:v>
      </x:c>
      <x:c r="B652" s="84" t="n">
        <x:v>472</x:v>
      </x:c>
      <x:c r="C652" s="84" t="n">
        <x:v>32</x:v>
      </x:c>
      <x:c r="D652" s="89" t="n">
        <x:v>44978</x:v>
      </x:c>
      <x:c r="E652" s="84" t="n">
        <x:v>2</x:v>
      </x:c>
      <x:c r="F652" s="91" t="n">
        <x:v>3626.5</x:v>
      </x:c>
    </x:row>
    <x:row r="653">
      <x:c r="A653" s="83" t="n">
        <x:v>652</x:v>
      </x:c>
      <x:c r="B653" s="84" t="n">
        <x:v>473</x:v>
      </x:c>
      <x:c r="C653" s="84" t="n">
        <x:v>46</x:v>
      </x:c>
      <x:c r="D653" s="89" t="n">
        <x:v>45511</x:v>
      </x:c>
      <x:c r="E653" s="84" t="n">
        <x:v>2</x:v>
      </x:c>
      <x:c r="F653" s="91" t="n">
        <x:v>2669.9</x:v>
      </x:c>
    </x:row>
    <x:row r="654">
      <x:c r="A654" s="83" t="n">
        <x:v>653</x:v>
      </x:c>
      <x:c r="B654" s="84" t="n">
        <x:v>473</x:v>
      </x:c>
      <x:c r="C654" s="84" t="n">
        <x:v>65</x:v>
      </x:c>
      <x:c r="D654" s="89" t="n">
        <x:v>45511</x:v>
      </x:c>
      <x:c r="E654" s="84" t="n">
        <x:v>2</x:v>
      </x:c>
      <x:c r="F654" s="91" t="n">
        <x:v>2509.68</x:v>
      </x:c>
    </x:row>
    <x:row r="655">
      <x:c r="A655" s="83" t="n">
        <x:v>654</x:v>
      </x:c>
      <x:c r="B655" s="84" t="n">
        <x:v>474</x:v>
      </x:c>
      <x:c r="C655" s="84" t="n">
        <x:v>50</x:v>
      </x:c>
      <x:c r="D655" s="89" t="n">
        <x:v>45447</x:v>
      </x:c>
      <x:c r="E655" s="84" t="n">
        <x:v>1</x:v>
      </x:c>
      <x:c r="F655" s="91" t="n">
        <x:v>2235.95</x:v>
      </x:c>
    </x:row>
    <x:row r="656">
      <x:c r="A656" s="83" t="n">
        <x:v>655</x:v>
      </x:c>
      <x:c r="B656" s="84" t="n">
        <x:v>475</x:v>
      </x:c>
      <x:c r="C656" s="84" t="n">
        <x:v>9</x:v>
      </x:c>
      <x:c r="D656" s="89" t="n">
        <x:v>45929</x:v>
      </x:c>
      <x:c r="E656" s="84" t="n">
        <x:v>3</x:v>
      </x:c>
      <x:c r="F656" s="91" t="n">
        <x:v>4725.18</x:v>
      </x:c>
    </x:row>
    <x:row r="657">
      <x:c r="A657" s="83" t="n">
        <x:v>656</x:v>
      </x:c>
      <x:c r="B657" s="84" t="n">
        <x:v>476</x:v>
      </x:c>
      <x:c r="C657" s="84" t="n">
        <x:v>32</x:v>
      </x:c>
      <x:c r="D657" s="89" t="n">
        <x:v>45892</x:v>
      </x:c>
      <x:c r="E657" s="84" t="n">
        <x:v>4</x:v>
      </x:c>
      <x:c r="F657" s="91" t="n">
        <x:v>7253</x:v>
      </x:c>
    </x:row>
    <x:row r="658">
      <x:c r="A658" s="83" t="n">
        <x:v>657</x:v>
      </x:c>
      <x:c r="B658" s="84" t="n">
        <x:v>476</x:v>
      </x:c>
      <x:c r="C658" s="84" t="n">
        <x:v>5</x:v>
      </x:c>
      <x:c r="D658" s="89" t="n">
        <x:v>45892</x:v>
      </x:c>
      <x:c r="E658" s="84" t="n">
        <x:v>1</x:v>
      </x:c>
      <x:c r="F658" s="91" t="n">
        <x:v>1468.5</x:v>
      </x:c>
    </x:row>
    <x:row r="659">
      <x:c r="A659" s="83" t="n">
        <x:v>658</x:v>
      </x:c>
      <x:c r="B659" s="84" t="n">
        <x:v>477</x:v>
      </x:c>
      <x:c r="C659" s="84" t="n">
        <x:v>33</x:v>
      </x:c>
      <x:c r="D659" s="89" t="n">
        <x:v>45531</x:v>
      </x:c>
      <x:c r="E659" s="84" t="n">
        <x:v>4</x:v>
      </x:c>
      <x:c r="F659" s="91" t="n">
        <x:v>9387.68</x:v>
      </x:c>
    </x:row>
    <x:row r="660">
      <x:c r="A660" s="83" t="n">
        <x:v>659</x:v>
      </x:c>
      <x:c r="B660" s="84" t="n">
        <x:v>478</x:v>
      </x:c>
      <x:c r="C660" s="84" t="n">
        <x:v>16</x:v>
      </x:c>
      <x:c r="D660" s="89" t="n">
        <x:v>45616</x:v>
      </x:c>
      <x:c r="E660" s="84" t="n">
        <x:v>2</x:v>
      </x:c>
      <x:c r="F660" s="91" t="n">
        <x:v>1211.56</x:v>
      </x:c>
    </x:row>
    <x:row r="661">
      <x:c r="A661" s="83" t="n">
        <x:v>660</x:v>
      </x:c>
      <x:c r="B661" s="84" t="n">
        <x:v>478</x:v>
      </x:c>
      <x:c r="C661" s="84" t="n">
        <x:v>27</x:v>
      </x:c>
      <x:c r="D661" s="89" t="n">
        <x:v>45616</x:v>
      </x:c>
      <x:c r="E661" s="84" t="n">
        <x:v>4</x:v>
      </x:c>
      <x:c r="F661" s="91" t="n">
        <x:v>642.76</x:v>
      </x:c>
    </x:row>
    <x:row r="662">
      <x:c r="A662" s="83" t="n">
        <x:v>661</x:v>
      </x:c>
      <x:c r="B662" s="84" t="n">
        <x:v>478</x:v>
      </x:c>
      <x:c r="C662" s="84" t="n">
        <x:v>54</x:v>
      </x:c>
      <x:c r="D662" s="89" t="n">
        <x:v>45616</x:v>
      </x:c>
      <x:c r="E662" s="84" t="n">
        <x:v>1</x:v>
      </x:c>
      <x:c r="F662" s="91" t="n">
        <x:v>686.4</x:v>
      </x:c>
    </x:row>
    <x:row r="663">
      <x:c r="A663" s="83" t="n">
        <x:v>662</x:v>
      </x:c>
      <x:c r="B663" s="84" t="n">
        <x:v>481</x:v>
      </x:c>
      <x:c r="C663" s="84" t="n">
        <x:v>28</x:v>
      </x:c>
      <x:c r="D663" s="89" t="n">
        <x:v>45012</x:v>
      </x:c>
      <x:c r="E663" s="84" t="n">
        <x:v>4</x:v>
      </x:c>
      <x:c r="F663" s="91" t="n">
        <x:v>3281.88</x:v>
      </x:c>
    </x:row>
    <x:row r="664">
      <x:c r="A664" s="83" t="n">
        <x:v>663</x:v>
      </x:c>
      <x:c r="B664" s="84" t="n">
        <x:v>481</x:v>
      </x:c>
      <x:c r="C664" s="84" t="n">
        <x:v>46</x:v>
      </x:c>
      <x:c r="D664" s="89" t="n">
        <x:v>45012</x:v>
      </x:c>
      <x:c r="E664" s="84" t="n">
        <x:v>4</x:v>
      </x:c>
      <x:c r="F664" s="91" t="n">
        <x:v>5339.8</x:v>
      </x:c>
    </x:row>
    <x:row r="665">
      <x:c r="A665" s="83" t="n">
        <x:v>664</x:v>
      </x:c>
      <x:c r="B665" s="84" t="n">
        <x:v>482</x:v>
      </x:c>
      <x:c r="C665" s="84" t="n">
        <x:v>24</x:v>
      </x:c>
      <x:c r="D665" s="89" t="n">
        <x:v>45414</x:v>
      </x:c>
      <x:c r="E665" s="84" t="n">
        <x:v>4</x:v>
      </x:c>
      <x:c r="F665" s="91" t="n">
        <x:v>2963.64</x:v>
      </x:c>
    </x:row>
    <x:row r="666">
      <x:c r="A666" s="83" t="n">
        <x:v>665</x:v>
      </x:c>
      <x:c r="B666" s="84" t="n">
        <x:v>482</x:v>
      </x:c>
      <x:c r="C666" s="84" t="n">
        <x:v>57</x:v>
      </x:c>
      <x:c r="D666" s="89" t="n">
        <x:v>45414</x:v>
      </x:c>
      <x:c r="E666" s="84" t="n">
        <x:v>4</x:v>
      </x:c>
      <x:c r="F666" s="91" t="n">
        <x:v>4716.24</x:v>
      </x:c>
    </x:row>
    <x:row r="667">
      <x:c r="A667" s="83" t="n">
        <x:v>666</x:v>
      </x:c>
      <x:c r="B667" s="84" t="n">
        <x:v>483</x:v>
      </x:c>
      <x:c r="C667" s="84" t="n">
        <x:v>47</x:v>
      </x:c>
      <x:c r="D667" s="89" t="n">
        <x:v>45433</x:v>
      </x:c>
      <x:c r="E667" s="84" t="n">
        <x:v>3</x:v>
      </x:c>
      <x:c r="F667" s="91" t="n">
        <x:v>6526.86</x:v>
      </x:c>
    </x:row>
    <x:row r="668">
      <x:c r="A668" s="83" t="n">
        <x:v>667</x:v>
      </x:c>
      <x:c r="B668" s="84" t="n">
        <x:v>483</x:v>
      </x:c>
      <x:c r="C668" s="84" t="n">
        <x:v>9</x:v>
      </x:c>
      <x:c r="D668" s="89" t="n">
        <x:v>45433</x:v>
      </x:c>
      <x:c r="E668" s="84" t="n">
        <x:v>2</x:v>
      </x:c>
      <x:c r="F668" s="91" t="n">
        <x:v>3150.12</x:v>
      </x:c>
    </x:row>
    <x:row r="669">
      <x:c r="A669" s="83" t="n">
        <x:v>668</x:v>
      </x:c>
      <x:c r="B669" s="84" t="n">
        <x:v>483</x:v>
      </x:c>
      <x:c r="C669" s="84" t="n">
        <x:v>72</x:v>
      </x:c>
      <x:c r="D669" s="89" t="n">
        <x:v>45433</x:v>
      </x:c>
      <x:c r="E669" s="84" t="n">
        <x:v>3</x:v>
      </x:c>
      <x:c r="F669" s="91" t="n">
        <x:v>1352.49</x:v>
      </x:c>
    </x:row>
    <x:row r="670">
      <x:c r="A670" s="83" t="n">
        <x:v>669</x:v>
      </x:c>
      <x:c r="B670" s="84" t="n">
        <x:v>486</x:v>
      </x:c>
      <x:c r="C670" s="84" t="n">
        <x:v>31</x:v>
      </x:c>
      <x:c r="D670" s="89" t="n">
        <x:v>45902</x:v>
      </x:c>
      <x:c r="E670" s="84" t="n">
        <x:v>1</x:v>
      </x:c>
      <x:c r="F670" s="91" t="n">
        <x:v>2169.63</x:v>
      </x:c>
    </x:row>
    <x:row r="671">
      <x:c r="A671" s="83" t="n">
        <x:v>670</x:v>
      </x:c>
      <x:c r="B671" s="84" t="n">
        <x:v>486</x:v>
      </x:c>
      <x:c r="C671" s="84" t="n">
        <x:v>11</x:v>
      </x:c>
      <x:c r="D671" s="89" t="n">
        <x:v>45902</x:v>
      </x:c>
      <x:c r="E671" s="84" t="n">
        <x:v>2</x:v>
      </x:c>
      <x:c r="F671" s="91" t="n">
        <x:v>4422.52</x:v>
      </x:c>
    </x:row>
    <x:row r="672">
      <x:c r="A672" s="83" t="n">
        <x:v>671</x:v>
      </x:c>
      <x:c r="B672" s="84" t="n">
        <x:v>487</x:v>
      </x:c>
      <x:c r="C672" s="84" t="n">
        <x:v>2</x:v>
      </x:c>
      <x:c r="D672" s="89" t="n">
        <x:v>45321</x:v>
      </x:c>
      <x:c r="E672" s="84" t="n">
        <x:v>1</x:v>
      </x:c>
      <x:c r="F672" s="91" t="n">
        <x:v>994.31</x:v>
      </x:c>
    </x:row>
    <x:row r="673">
      <x:c r="A673" s="83" t="n">
        <x:v>672</x:v>
      </x:c>
      <x:c r="B673" s="84" t="n">
        <x:v>487</x:v>
      </x:c>
      <x:c r="C673" s="84" t="n">
        <x:v>57</x:v>
      </x:c>
      <x:c r="D673" s="89" t="n">
        <x:v>45321</x:v>
      </x:c>
      <x:c r="E673" s="84" t="n">
        <x:v>4</x:v>
      </x:c>
      <x:c r="F673" s="91" t="n">
        <x:v>4716.24</x:v>
      </x:c>
    </x:row>
    <x:row r="674">
      <x:c r="A674" s="83" t="n">
        <x:v>673</x:v>
      </x:c>
      <x:c r="B674" s="84" t="n">
        <x:v>487</x:v>
      </x:c>
      <x:c r="C674" s="84" t="n">
        <x:v>32</x:v>
      </x:c>
      <x:c r="D674" s="89" t="n">
        <x:v>45321</x:v>
      </x:c>
      <x:c r="E674" s="84" t="n">
        <x:v>1</x:v>
      </x:c>
      <x:c r="F674" s="91" t="n">
        <x:v>1813.25</x:v>
      </x:c>
    </x:row>
    <x:row r="675">
      <x:c r="A675" s="83" t="n">
        <x:v>674</x:v>
      </x:c>
      <x:c r="B675" s="84" t="n">
        <x:v>489</x:v>
      </x:c>
      <x:c r="C675" s="84" t="n">
        <x:v>71</x:v>
      </x:c>
      <x:c r="D675" s="89" t="n">
        <x:v>45005</x:v>
      </x:c>
      <x:c r="E675" s="84" t="n">
        <x:v>2</x:v>
      </x:c>
      <x:c r="F675" s="91" t="n">
        <x:v>3967.04</x:v>
      </x:c>
    </x:row>
    <x:row r="676">
      <x:c r="A676" s="83" t="n">
        <x:v>675</x:v>
      </x:c>
      <x:c r="B676" s="84" t="n">
        <x:v>489</x:v>
      </x:c>
      <x:c r="C676" s="84" t="n">
        <x:v>63</x:v>
      </x:c>
      <x:c r="D676" s="89" t="n">
        <x:v>45005</x:v>
      </x:c>
      <x:c r="E676" s="84" t="n">
        <x:v>4</x:v>
      </x:c>
      <x:c r="F676" s="91" t="n">
        <x:v>7736.76</x:v>
      </x:c>
    </x:row>
    <x:row r="677">
      <x:c r="A677" s="83" t="n">
        <x:v>676</x:v>
      </x:c>
      <x:c r="B677" s="84" t="n">
        <x:v>490</x:v>
      </x:c>
      <x:c r="C677" s="84" t="n">
        <x:v>37</x:v>
      </x:c>
      <x:c r="D677" s="89" t="n">
        <x:v>45077</x:v>
      </x:c>
      <x:c r="E677" s="84" t="n">
        <x:v>1</x:v>
      </x:c>
      <x:c r="F677" s="91" t="n">
        <x:v>1033.71</x:v>
      </x:c>
    </x:row>
    <x:row r="678">
      <x:c r="A678" s="83" t="n">
        <x:v>677</x:v>
      </x:c>
      <x:c r="B678" s="84" t="n">
        <x:v>491</x:v>
      </x:c>
      <x:c r="C678" s="84" t="n">
        <x:v>28</x:v>
      </x:c>
      <x:c r="D678" s="89" t="n">
        <x:v>45403</x:v>
      </x:c>
      <x:c r="E678" s="84" t="n">
        <x:v>1</x:v>
      </x:c>
      <x:c r="F678" s="91" t="n">
        <x:v>820.47</x:v>
      </x:c>
    </x:row>
    <x:row r="679">
      <x:c r="A679" s="83" t="n">
        <x:v>678</x:v>
      </x:c>
      <x:c r="B679" s="84" t="n">
        <x:v>492</x:v>
      </x:c>
      <x:c r="C679" s="84" t="n">
        <x:v>54</x:v>
      </x:c>
      <x:c r="D679" s="89" t="n">
        <x:v>45316</x:v>
      </x:c>
      <x:c r="E679" s="84" t="n">
        <x:v>4</x:v>
      </x:c>
      <x:c r="F679" s="91" t="n">
        <x:v>2745.6</x:v>
      </x:c>
    </x:row>
    <x:row r="680">
      <x:c r="A680" s="83" t="n">
        <x:v>679</x:v>
      </x:c>
      <x:c r="B680" s="84" t="n">
        <x:v>492</x:v>
      </x:c>
      <x:c r="C680" s="84" t="n">
        <x:v>16</x:v>
      </x:c>
      <x:c r="D680" s="89" t="n">
        <x:v>45316</x:v>
      </x:c>
      <x:c r="E680" s="84" t="n">
        <x:v>3</x:v>
      </x:c>
      <x:c r="F680" s="91" t="n">
        <x:v>1817.34</x:v>
      </x:c>
    </x:row>
    <x:row r="681">
      <x:c r="A681" s="83" t="n">
        <x:v>680</x:v>
      </x:c>
      <x:c r="B681" s="84" t="n">
        <x:v>492</x:v>
      </x:c>
      <x:c r="C681" s="84" t="n">
        <x:v>5</x:v>
      </x:c>
      <x:c r="D681" s="89" t="n">
        <x:v>45316</x:v>
      </x:c>
      <x:c r="E681" s="84" t="n">
        <x:v>1</x:v>
      </x:c>
      <x:c r="F681" s="91" t="n">
        <x:v>1468.5</x:v>
      </x:c>
    </x:row>
    <x:row r="682">
      <x:c r="A682" s="83" t="n">
        <x:v>681</x:v>
      </x:c>
      <x:c r="B682" s="84" t="n">
        <x:v>493</x:v>
      </x:c>
      <x:c r="C682" s="84" t="n">
        <x:v>80</x:v>
      </x:c>
      <x:c r="D682" s="89" t="n">
        <x:v>45765</x:v>
      </x:c>
      <x:c r="E682" s="84" t="n">
        <x:v>4</x:v>
      </x:c>
      <x:c r="F682" s="91" t="n">
        <x:v>6914.16</x:v>
      </x:c>
    </x:row>
    <x:row r="683">
      <x:c r="A683" s="83" t="n">
        <x:v>682</x:v>
      </x:c>
      <x:c r="B683" s="84" t="n">
        <x:v>493</x:v>
      </x:c>
      <x:c r="C683" s="84" t="n">
        <x:v>27</x:v>
      </x:c>
      <x:c r="D683" s="89" t="n">
        <x:v>45765</x:v>
      </x:c>
      <x:c r="E683" s="84" t="n">
        <x:v>4</x:v>
      </x:c>
      <x:c r="F683" s="91" t="n">
        <x:v>642.76</x:v>
      </x:c>
    </x:row>
    <x:row r="684">
      <x:c r="A684" s="83" t="n">
        <x:v>683</x:v>
      </x:c>
      <x:c r="B684" s="84" t="n">
        <x:v>493</x:v>
      </x:c>
      <x:c r="C684" s="84" t="n">
        <x:v>65</x:v>
      </x:c>
      <x:c r="D684" s="89" t="n">
        <x:v>45765</x:v>
      </x:c>
      <x:c r="E684" s="84" t="n">
        <x:v>3</x:v>
      </x:c>
      <x:c r="F684" s="91" t="n">
        <x:v>3764.52</x:v>
      </x:c>
    </x:row>
    <x:row r="685">
      <x:c r="A685" s="83" t="n">
        <x:v>684</x:v>
      </x:c>
      <x:c r="B685" s="84" t="n">
        <x:v>494</x:v>
      </x:c>
      <x:c r="C685" s="84" t="n">
        <x:v>31</x:v>
      </x:c>
      <x:c r="D685" s="89" t="n">
        <x:v>45492</x:v>
      </x:c>
      <x:c r="E685" s="84" t="n">
        <x:v>2</x:v>
      </x:c>
      <x:c r="F685" s="91" t="n">
        <x:v>4339.26</x:v>
      </x:c>
    </x:row>
    <x:row r="686">
      <x:c r="A686" s="83" t="n">
        <x:v>685</x:v>
      </x:c>
      <x:c r="B686" s="84" t="n">
        <x:v>494</x:v>
      </x:c>
      <x:c r="C686" s="84" t="n">
        <x:v>22</x:v>
      </x:c>
      <x:c r="D686" s="89" t="n">
        <x:v>45492</x:v>
      </x:c>
      <x:c r="E686" s="84" t="n">
        <x:v>3</x:v>
      </x:c>
      <x:c r="F686" s="91" t="n">
        <x:v>1565.67</x:v>
      </x:c>
    </x:row>
    <x:row r="687">
      <x:c r="A687" s="83" t="n">
        <x:v>686</x:v>
      </x:c>
      <x:c r="B687" s="84" t="n">
        <x:v>494</x:v>
      </x:c>
      <x:c r="C687" s="84" t="n">
        <x:v>32</x:v>
      </x:c>
      <x:c r="D687" s="89" t="n">
        <x:v>45492</x:v>
      </x:c>
      <x:c r="E687" s="84" t="n">
        <x:v>2</x:v>
      </x:c>
      <x:c r="F687" s="91" t="n">
        <x:v>3626.5</x:v>
      </x:c>
    </x:row>
    <x:row r="688">
      <x:c r="A688" s="83" t="n">
        <x:v>687</x:v>
      </x:c>
      <x:c r="B688" s="84" t="n">
        <x:v>496</x:v>
      </x:c>
      <x:c r="C688" s="84" t="n">
        <x:v>46</x:v>
      </x:c>
      <x:c r="D688" s="89" t="n">
        <x:v>45497</x:v>
      </x:c>
      <x:c r="E688" s="84" t="n">
        <x:v>3</x:v>
      </x:c>
      <x:c r="F688" s="91" t="n">
        <x:v>4004.85</x:v>
      </x:c>
    </x:row>
    <x:row r="689">
      <x:c r="A689" s="83" t="n">
        <x:v>688</x:v>
      </x:c>
      <x:c r="B689" s="84" t="n">
        <x:v>497</x:v>
      </x:c>
      <x:c r="C689" s="84" t="n">
        <x:v>51</x:v>
      </x:c>
      <x:c r="D689" s="89" t="n">
        <x:v>45318</x:v>
      </x:c>
      <x:c r="E689" s="84" t="n">
        <x:v>3</x:v>
      </x:c>
      <x:c r="F689" s="91" t="n">
        <x:v>2676.48</x:v>
      </x:c>
    </x:row>
    <x:row r="690">
      <x:c r="A690" s="83" t="n">
        <x:v>689</x:v>
      </x:c>
      <x:c r="B690" s="84" t="n">
        <x:v>497</x:v>
      </x:c>
      <x:c r="C690" s="84" t="n">
        <x:v>75</x:v>
      </x:c>
      <x:c r="D690" s="89" t="n">
        <x:v>45318</x:v>
      </x:c>
      <x:c r="E690" s="84" t="n">
        <x:v>2</x:v>
      </x:c>
      <x:c r="F690" s="91" t="n">
        <x:v>912.34</x:v>
      </x:c>
    </x:row>
    <x:row r="691">
      <x:c r="A691" s="83" t="n">
        <x:v>690</x:v>
      </x:c>
      <x:c r="B691" s="84" t="n">
        <x:v>498</x:v>
      </x:c>
      <x:c r="C691" s="84" t="n">
        <x:v>18</x:v>
      </x:c>
      <x:c r="D691" s="89" t="n">
        <x:v>45528</x:v>
      </x:c>
      <x:c r="E691" s="84" t="n">
        <x:v>2</x:v>
      </x:c>
      <x:c r="F691" s="91" t="n">
        <x:v>1332.32</x:v>
      </x:c>
    </x:row>
    <x:row r="692">
      <x:c r="A692" s="83" t="n">
        <x:v>691</x:v>
      </x:c>
      <x:c r="B692" s="84" t="n">
        <x:v>498</x:v>
      </x:c>
      <x:c r="C692" s="84" t="n">
        <x:v>27</x:v>
      </x:c>
      <x:c r="D692" s="89" t="n">
        <x:v>45528</x:v>
      </x:c>
      <x:c r="E692" s="84" t="n">
        <x:v>2</x:v>
      </x:c>
      <x:c r="F692" s="91" t="n">
        <x:v>321.38</x:v>
      </x:c>
    </x:row>
    <x:row r="693">
      <x:c r="A693" s="83" t="n">
        <x:v>692</x:v>
      </x:c>
      <x:c r="B693" s="84" t="n">
        <x:v>500</x:v>
      </x:c>
      <x:c r="C693" s="84" t="n">
        <x:v>32</x:v>
      </x:c>
      <x:c r="D693" s="89" t="n">
        <x:v>45037</x:v>
      </x:c>
      <x:c r="E693" s="84" t="n">
        <x:v>1</x:v>
      </x:c>
      <x:c r="F693" s="91" t="n">
        <x:v>1813.25</x:v>
      </x:c>
    </x:row>
    <x:row r="694">
      <x:c r="A694" s="83" t="n">
        <x:v>693</x:v>
      </x:c>
      <x:c r="B694" s="84" t="n">
        <x:v>501</x:v>
      </x:c>
      <x:c r="C694" s="84" t="n">
        <x:v>70</x:v>
      </x:c>
      <x:c r="D694" s="89" t="n">
        <x:v>45141</x:v>
      </x:c>
      <x:c r="E694" s="84" t="n">
        <x:v>3</x:v>
      </x:c>
      <x:c r="F694" s="91" t="n">
        <x:v>2308.62</x:v>
      </x:c>
    </x:row>
    <x:row r="695">
      <x:c r="A695" s="83" t="n">
        <x:v>694</x:v>
      </x:c>
      <x:c r="B695" s="84" t="n">
        <x:v>501</x:v>
      </x:c>
      <x:c r="C695" s="84" t="n">
        <x:v>28</x:v>
      </x:c>
      <x:c r="D695" s="89" t="n">
        <x:v>45141</x:v>
      </x:c>
      <x:c r="E695" s="84" t="n">
        <x:v>2</x:v>
      </x:c>
      <x:c r="F695" s="91" t="n">
        <x:v>1640.94</x:v>
      </x:c>
    </x:row>
    <x:row r="696">
      <x:c r="A696" s="83" t="n">
        <x:v>695</x:v>
      </x:c>
      <x:c r="B696" s="84" t="n">
        <x:v>501</x:v>
      </x:c>
      <x:c r="C696" s="84" t="n">
        <x:v>57</x:v>
      </x:c>
      <x:c r="D696" s="89" t="n">
        <x:v>45141</x:v>
      </x:c>
      <x:c r="E696" s="84" t="n">
        <x:v>1</x:v>
      </x:c>
      <x:c r="F696" s="91" t="n">
        <x:v>1179.06</x:v>
      </x:c>
    </x:row>
    <x:row r="697">
      <x:c r="A697" s="83" t="n">
        <x:v>696</x:v>
      </x:c>
      <x:c r="B697" s="84" t="n">
        <x:v>504</x:v>
      </x:c>
      <x:c r="C697" s="84" t="n">
        <x:v>10</x:v>
      </x:c>
      <x:c r="D697" s="89" t="n">
        <x:v>45647</x:v>
      </x:c>
      <x:c r="E697" s="84" t="n">
        <x:v>3</x:v>
      </x:c>
      <x:c r="F697" s="91" t="n">
        <x:v>2624.58</x:v>
      </x:c>
    </x:row>
    <x:row r="698">
      <x:c r="A698" s="83" t="n">
        <x:v>697</x:v>
      </x:c>
      <x:c r="B698" s="84" t="n">
        <x:v>505</x:v>
      </x:c>
      <x:c r="C698" s="84" t="n">
        <x:v>45</x:v>
      </x:c>
      <x:c r="D698" s="89" t="n">
        <x:v>45566</x:v>
      </x:c>
      <x:c r="E698" s="84" t="n">
        <x:v>3</x:v>
      </x:c>
      <x:c r="F698" s="91" t="n">
        <x:v>4174.26</x:v>
      </x:c>
    </x:row>
    <x:row r="699">
      <x:c r="A699" s="83" t="n">
        <x:v>698</x:v>
      </x:c>
      <x:c r="B699" s="84" t="n">
        <x:v>505</x:v>
      </x:c>
      <x:c r="C699" s="84" t="n">
        <x:v>40</x:v>
      </x:c>
      <x:c r="D699" s="89" t="n">
        <x:v>45566</x:v>
      </x:c>
      <x:c r="E699" s="84" t="n">
        <x:v>2</x:v>
      </x:c>
      <x:c r="F699" s="91" t="n">
        <x:v>4070.08</x:v>
      </x:c>
    </x:row>
    <x:row r="700">
      <x:c r="A700" s="83" t="n">
        <x:v>699</x:v>
      </x:c>
      <x:c r="B700" s="84" t="n">
        <x:v>505</x:v>
      </x:c>
      <x:c r="C700" s="84" t="n">
        <x:v>22</x:v>
      </x:c>
      <x:c r="D700" s="89" t="n">
        <x:v>45566</x:v>
      </x:c>
      <x:c r="E700" s="84" t="n">
        <x:v>2</x:v>
      </x:c>
      <x:c r="F700" s="91" t="n">
        <x:v>1043.78</x:v>
      </x:c>
    </x:row>
    <x:row r="701">
      <x:c r="A701" s="83" t="n">
        <x:v>700</x:v>
      </x:c>
      <x:c r="B701" s="84" t="n">
        <x:v>506</x:v>
      </x:c>
      <x:c r="C701" s="84" t="n">
        <x:v>45</x:v>
      </x:c>
      <x:c r="D701" s="89" t="n">
        <x:v>45332</x:v>
      </x:c>
      <x:c r="E701" s="84" t="n">
        <x:v>4</x:v>
      </x:c>
      <x:c r="F701" s="91" t="n">
        <x:v>5565.68</x:v>
      </x:c>
    </x:row>
    <x:row r="702">
      <x:c r="A702" s="83" t="n">
        <x:v>701</x:v>
      </x:c>
      <x:c r="B702" s="84" t="n">
        <x:v>510</x:v>
      </x:c>
      <x:c r="C702" s="84" t="n">
        <x:v>44</x:v>
      </x:c>
      <x:c r="D702" s="89" t="n">
        <x:v>45822</x:v>
      </x:c>
      <x:c r="E702" s="84" t="n">
        <x:v>4</x:v>
      </x:c>
      <x:c r="F702" s="91" t="n">
        <x:v>5005.92</x:v>
      </x:c>
    </x:row>
    <x:row r="703">
      <x:c r="A703" s="83" t="n">
        <x:v>702</x:v>
      </x:c>
      <x:c r="B703" s="84" t="n">
        <x:v>510</x:v>
      </x:c>
      <x:c r="C703" s="84" t="n">
        <x:v>13</x:v>
      </x:c>
      <x:c r="D703" s="89" t="n">
        <x:v>45822</x:v>
      </x:c>
      <x:c r="E703" s="84" t="n">
        <x:v>1</x:v>
      </x:c>
      <x:c r="F703" s="91" t="n">
        <x:v>802.05</x:v>
      </x:c>
    </x:row>
    <x:row r="704">
      <x:c r="A704" s="83" t="n">
        <x:v>703</x:v>
      </x:c>
      <x:c r="B704" s="84" t="n">
        <x:v>510</x:v>
      </x:c>
      <x:c r="C704" s="84" t="n">
        <x:v>54</x:v>
      </x:c>
      <x:c r="D704" s="89" t="n">
        <x:v>45822</x:v>
      </x:c>
      <x:c r="E704" s="84" t="n">
        <x:v>1</x:v>
      </x:c>
      <x:c r="F704" s="91" t="n">
        <x:v>686.4</x:v>
      </x:c>
    </x:row>
    <x:row r="705">
      <x:c r="A705" s="83" t="n">
        <x:v>704</x:v>
      </x:c>
      <x:c r="B705" s="84" t="n">
        <x:v>511</x:v>
      </x:c>
      <x:c r="C705" s="84" t="n">
        <x:v>73</x:v>
      </x:c>
      <x:c r="D705" s="89" t="n">
        <x:v>45261</x:v>
      </x:c>
      <x:c r="E705" s="84" t="n">
        <x:v>4</x:v>
      </x:c>
      <x:c r="F705" s="91" t="n">
        <x:v>4509.24</x:v>
      </x:c>
    </x:row>
    <x:row r="706">
      <x:c r="A706" s="83" t="n">
        <x:v>705</x:v>
      </x:c>
      <x:c r="B706" s="84" t="n">
        <x:v>511</x:v>
      </x:c>
      <x:c r="C706" s="84" t="n">
        <x:v>34</x:v>
      </x:c>
      <x:c r="D706" s="89" t="n">
        <x:v>45261</x:v>
      </x:c>
      <x:c r="E706" s="84" t="n">
        <x:v>4</x:v>
      </x:c>
      <x:c r="F706" s="91" t="n">
        <x:v>7908.36</x:v>
      </x:c>
    </x:row>
    <x:row r="707">
      <x:c r="A707" s="83" t="n">
        <x:v>706</x:v>
      </x:c>
      <x:c r="B707" s="84" t="n">
        <x:v>511</x:v>
      </x:c>
      <x:c r="C707" s="84" t="n">
        <x:v>51</x:v>
      </x:c>
      <x:c r="D707" s="89" t="n">
        <x:v>45261</x:v>
      </x:c>
      <x:c r="E707" s="84" t="n">
        <x:v>2</x:v>
      </x:c>
      <x:c r="F707" s="91" t="n">
        <x:v>1784.32</x:v>
      </x:c>
    </x:row>
    <x:row r="708">
      <x:c r="A708" s="83" t="n">
        <x:v>707</x:v>
      </x:c>
      <x:c r="B708" s="84" t="n">
        <x:v>512</x:v>
      </x:c>
      <x:c r="C708" s="84" t="n">
        <x:v>19</x:v>
      </x:c>
      <x:c r="D708" s="89" t="n">
        <x:v>44960</x:v>
      </x:c>
      <x:c r="E708" s="84" t="n">
        <x:v>1</x:v>
      </x:c>
      <x:c r="F708" s="91" t="n">
        <x:v>1087.71</x:v>
      </x:c>
    </x:row>
    <x:row r="709">
      <x:c r="A709" s="83" t="n">
        <x:v>708</x:v>
      </x:c>
      <x:c r="B709" s="84" t="n">
        <x:v>512</x:v>
      </x:c>
      <x:c r="C709" s="84" t="n">
        <x:v>58</x:v>
      </x:c>
      <x:c r="D709" s="89" t="n">
        <x:v>44960</x:v>
      </x:c>
      <x:c r="E709" s="84" t="n">
        <x:v>2</x:v>
      </x:c>
      <x:c r="F709" s="91" t="n">
        <x:v>4036.36</x:v>
      </x:c>
    </x:row>
    <x:row r="710">
      <x:c r="A710" s="83" t="n">
        <x:v>709</x:v>
      </x:c>
      <x:c r="B710" s="84" t="n">
        <x:v>514</x:v>
      </x:c>
      <x:c r="C710" s="84" t="n">
        <x:v>2</x:v>
      </x:c>
      <x:c r="D710" s="89" t="n">
        <x:v>45158</x:v>
      </x:c>
      <x:c r="E710" s="84" t="n">
        <x:v>2</x:v>
      </x:c>
      <x:c r="F710" s="91" t="n">
        <x:v>1988.62</x:v>
      </x:c>
    </x:row>
    <x:row r="711">
      <x:c r="A711" s="83" t="n">
        <x:v>710</x:v>
      </x:c>
      <x:c r="B711" s="84" t="n">
        <x:v>514</x:v>
      </x:c>
      <x:c r="C711" s="84" t="n">
        <x:v>44</x:v>
      </x:c>
      <x:c r="D711" s="89" t="n">
        <x:v>45158</x:v>
      </x:c>
      <x:c r="E711" s="84" t="n">
        <x:v>3</x:v>
      </x:c>
      <x:c r="F711" s="91" t="n">
        <x:v>3754.44</x:v>
      </x:c>
    </x:row>
    <x:row r="712">
      <x:c r="A712" s="83" t="n">
        <x:v>711</x:v>
      </x:c>
      <x:c r="B712" s="84" t="n">
        <x:v>516</x:v>
      </x:c>
      <x:c r="C712" s="84" t="n">
        <x:v>43</x:v>
      </x:c>
      <x:c r="D712" s="89" t="n">
        <x:v>45752</x:v>
      </x:c>
      <x:c r="E712" s="84" t="n">
        <x:v>4</x:v>
      </x:c>
      <x:c r="F712" s="91" t="n">
        <x:v>5861.68</x:v>
      </x:c>
    </x:row>
    <x:row r="713">
      <x:c r="A713" s="83" t="n">
        <x:v>712</x:v>
      </x:c>
      <x:c r="B713" s="84" t="n">
        <x:v>516</x:v>
      </x:c>
      <x:c r="C713" s="84" t="n">
        <x:v>18</x:v>
      </x:c>
      <x:c r="D713" s="89" t="n">
        <x:v>45752</x:v>
      </x:c>
      <x:c r="E713" s="84" t="n">
        <x:v>1</x:v>
      </x:c>
      <x:c r="F713" s="91" t="n">
        <x:v>666.16</x:v>
      </x:c>
    </x:row>
    <x:row r="714">
      <x:c r="A714" s="83" t="n">
        <x:v>713</x:v>
      </x:c>
      <x:c r="B714" s="84" t="n">
        <x:v>518</x:v>
      </x:c>
      <x:c r="C714" s="84" t="n">
        <x:v>40</x:v>
      </x:c>
      <x:c r="D714" s="89" t="n">
        <x:v>45524</x:v>
      </x:c>
      <x:c r="E714" s="84" t="n">
        <x:v>1</x:v>
      </x:c>
      <x:c r="F714" s="91" t="n">
        <x:v>2035.04</x:v>
      </x:c>
    </x:row>
    <x:row r="715">
      <x:c r="A715" s="83" t="n">
        <x:v>714</x:v>
      </x:c>
      <x:c r="B715" s="84" t="n">
        <x:v>518</x:v>
      </x:c>
      <x:c r="C715" s="84" t="n">
        <x:v>67</x:v>
      </x:c>
      <x:c r="D715" s="89" t="n">
        <x:v>45524</x:v>
      </x:c>
      <x:c r="E715" s="84" t="n">
        <x:v>4</x:v>
      </x:c>
      <x:c r="F715" s="91" t="n">
        <x:v>5118.12</x:v>
      </x:c>
    </x:row>
    <x:row r="716">
      <x:c r="A716" s="83" t="n">
        <x:v>715</x:v>
      </x:c>
      <x:c r="B716" s="84" t="n">
        <x:v>519</x:v>
      </x:c>
      <x:c r="C716" s="84" t="n">
        <x:v>16</x:v>
      </x:c>
      <x:c r="D716" s="89" t="n">
        <x:v>45537</x:v>
      </x:c>
      <x:c r="E716" s="84" t="n">
        <x:v>2</x:v>
      </x:c>
      <x:c r="F716" s="91" t="n">
        <x:v>1211.56</x:v>
      </x:c>
    </x:row>
    <x:row r="717">
      <x:c r="A717" s="83" t="n">
        <x:v>716</x:v>
      </x:c>
      <x:c r="B717" s="84" t="n">
        <x:v>519</x:v>
      </x:c>
      <x:c r="C717" s="84" t="n">
        <x:v>67</x:v>
      </x:c>
      <x:c r="D717" s="89" t="n">
        <x:v>45537</x:v>
      </x:c>
      <x:c r="E717" s="84" t="n">
        <x:v>3</x:v>
      </x:c>
      <x:c r="F717" s="91" t="n">
        <x:v>3838.59</x:v>
      </x:c>
    </x:row>
    <x:row r="718">
      <x:c r="A718" s="83" t="n">
        <x:v>717</x:v>
      </x:c>
      <x:c r="B718" s="84" t="n">
        <x:v>520</x:v>
      </x:c>
      <x:c r="C718" s="84" t="n">
        <x:v>29</x:v>
      </x:c>
      <x:c r="D718" s="89" t="n">
        <x:v>45858</x:v>
      </x:c>
      <x:c r="E718" s="84" t="n">
        <x:v>4</x:v>
      </x:c>
      <x:c r="F718" s="91" t="n">
        <x:v>6209.88</x:v>
      </x:c>
    </x:row>
    <x:row r="719">
      <x:c r="A719" s="83" t="n">
        <x:v>718</x:v>
      </x:c>
      <x:c r="B719" s="84" t="n">
        <x:v>522</x:v>
      </x:c>
      <x:c r="C719" s="84" t="n">
        <x:v>46</x:v>
      </x:c>
      <x:c r="D719" s="89" t="n">
        <x:v>45875</x:v>
      </x:c>
      <x:c r="E719" s="84" t="n">
        <x:v>3</x:v>
      </x:c>
      <x:c r="F719" s="91" t="n">
        <x:v>4004.85</x:v>
      </x:c>
    </x:row>
    <x:row r="720">
      <x:c r="A720" s="83" t="n">
        <x:v>719</x:v>
      </x:c>
      <x:c r="B720" s="84" t="n">
        <x:v>522</x:v>
      </x:c>
      <x:c r="C720" s="84" t="n">
        <x:v>44</x:v>
      </x:c>
      <x:c r="D720" s="89" t="n">
        <x:v>45875</x:v>
      </x:c>
      <x:c r="E720" s="84" t="n">
        <x:v>3</x:v>
      </x:c>
      <x:c r="F720" s="91" t="n">
        <x:v>3754.44</x:v>
      </x:c>
    </x:row>
    <x:row r="721">
      <x:c r="A721" s="83" t="n">
        <x:v>720</x:v>
      </x:c>
      <x:c r="B721" s="84" t="n">
        <x:v>522</x:v>
      </x:c>
      <x:c r="C721" s="84" t="n">
        <x:v>10</x:v>
      </x:c>
      <x:c r="D721" s="89" t="n">
        <x:v>45875</x:v>
      </x:c>
      <x:c r="E721" s="84" t="n">
        <x:v>2</x:v>
      </x:c>
      <x:c r="F721" s="91" t="n">
        <x:v>1749.72</x:v>
      </x:c>
    </x:row>
    <x:row r="722">
      <x:c r="A722" s="83" t="n">
        <x:v>721</x:v>
      </x:c>
      <x:c r="B722" s="84" t="n">
        <x:v>524</x:v>
      </x:c>
      <x:c r="C722" s="84" t="n">
        <x:v>69</x:v>
      </x:c>
      <x:c r="D722" s="89" t="n">
        <x:v>45115</x:v>
      </x:c>
      <x:c r="E722" s="84" t="n">
        <x:v>1</x:v>
      </x:c>
      <x:c r="F722" s="91" t="n">
        <x:v>1770.33</x:v>
      </x:c>
    </x:row>
    <x:row r="723">
      <x:c r="A723" s="83" t="n">
        <x:v>722</x:v>
      </x:c>
      <x:c r="B723" s="84" t="n">
        <x:v>525</x:v>
      </x:c>
      <x:c r="C723" s="84" t="n">
        <x:v>79</x:v>
      </x:c>
      <x:c r="D723" s="89" t="n">
        <x:v>45541</x:v>
      </x:c>
      <x:c r="E723" s="84" t="n">
        <x:v>1</x:v>
      </x:c>
      <x:c r="F723" s="91" t="n">
        <x:v>2066.72</x:v>
      </x:c>
    </x:row>
    <x:row r="724">
      <x:c r="A724" s="83" t="n">
        <x:v>723</x:v>
      </x:c>
      <x:c r="B724" s="84" t="n">
        <x:v>525</x:v>
      </x:c>
      <x:c r="C724" s="84" t="n">
        <x:v>22</x:v>
      </x:c>
      <x:c r="D724" s="89" t="n">
        <x:v>45541</x:v>
      </x:c>
      <x:c r="E724" s="84" t="n">
        <x:v>3</x:v>
      </x:c>
      <x:c r="F724" s="91" t="n">
        <x:v>1565.67</x:v>
      </x:c>
    </x:row>
    <x:row r="725">
      <x:c r="A725" s="83" t="n">
        <x:v>724</x:v>
      </x:c>
      <x:c r="B725" s="84" t="n">
        <x:v>525</x:v>
      </x:c>
      <x:c r="C725" s="84" t="n">
        <x:v>31</x:v>
      </x:c>
      <x:c r="D725" s="89" t="n">
        <x:v>45541</x:v>
      </x:c>
      <x:c r="E725" s="84" t="n">
        <x:v>2</x:v>
      </x:c>
      <x:c r="F725" s="91" t="n">
        <x:v>4339.26</x:v>
      </x:c>
    </x:row>
    <x:row r="726">
      <x:c r="A726" s="83" t="n">
        <x:v>725</x:v>
      </x:c>
      <x:c r="B726" s="84" t="n">
        <x:v>526</x:v>
      </x:c>
      <x:c r="C726" s="84" t="n">
        <x:v>58</x:v>
      </x:c>
      <x:c r="D726" s="89" t="n">
        <x:v>44963</x:v>
      </x:c>
      <x:c r="E726" s="84" t="n">
        <x:v>3</x:v>
      </x:c>
      <x:c r="F726" s="91" t="n">
        <x:v>6054.54</x:v>
      </x:c>
    </x:row>
    <x:row r="727">
      <x:c r="A727" s="83" t="n">
        <x:v>726</x:v>
      </x:c>
      <x:c r="B727" s="84" t="n">
        <x:v>528</x:v>
      </x:c>
      <x:c r="C727" s="84" t="n">
        <x:v>41</x:v>
      </x:c>
      <x:c r="D727" s="89" t="n">
        <x:v>45211</x:v>
      </x:c>
      <x:c r="E727" s="84" t="n">
        <x:v>2</x:v>
      </x:c>
      <x:c r="F727" s="91" t="n">
        <x:v>2364.04</x:v>
      </x:c>
    </x:row>
    <x:row r="728">
      <x:c r="A728" s="83" t="n">
        <x:v>727</x:v>
      </x:c>
      <x:c r="B728" s="84" t="n">
        <x:v>530</x:v>
      </x:c>
      <x:c r="C728" s="84" t="n">
        <x:v>77</x:v>
      </x:c>
      <x:c r="D728" s="89" t="n">
        <x:v>45568</x:v>
      </x:c>
      <x:c r="E728" s="84" t="n">
        <x:v>1</x:v>
      </x:c>
      <x:c r="F728" s="91" t="n">
        <x:v>2102.91</x:v>
      </x:c>
    </x:row>
    <x:row r="729">
      <x:c r="A729" s="83" t="n">
        <x:v>728</x:v>
      </x:c>
      <x:c r="B729" s="84" t="n">
        <x:v>531</x:v>
      </x:c>
      <x:c r="C729" s="84" t="n">
        <x:v>69</x:v>
      </x:c>
      <x:c r="D729" s="89" t="n">
        <x:v>45735</x:v>
      </x:c>
      <x:c r="E729" s="84" t="n">
        <x:v>1</x:v>
      </x:c>
      <x:c r="F729" s="91" t="n">
        <x:v>1770.33</x:v>
      </x:c>
    </x:row>
    <x:row r="730">
      <x:c r="A730" s="83" t="n">
        <x:v>729</x:v>
      </x:c>
      <x:c r="B730" s="84" t="n">
        <x:v>531</x:v>
      </x:c>
      <x:c r="C730" s="84" t="n">
        <x:v>46</x:v>
      </x:c>
      <x:c r="D730" s="89" t="n">
        <x:v>45735</x:v>
      </x:c>
      <x:c r="E730" s="84" t="n">
        <x:v>1</x:v>
      </x:c>
      <x:c r="F730" s="91" t="n">
        <x:v>1334.95</x:v>
      </x:c>
    </x:row>
    <x:row r="731">
      <x:c r="A731" s="83" t="n">
        <x:v>730</x:v>
      </x:c>
      <x:c r="B731" s="84" t="n">
        <x:v>531</x:v>
      </x:c>
      <x:c r="C731" s="84" t="n">
        <x:v>5</x:v>
      </x:c>
      <x:c r="D731" s="89" t="n">
        <x:v>45735</x:v>
      </x:c>
      <x:c r="E731" s="84" t="n">
        <x:v>4</x:v>
      </x:c>
      <x:c r="F731" s="91" t="n">
        <x:v>5874</x:v>
      </x:c>
    </x:row>
    <x:row r="732">
      <x:c r="A732" s="83" t="n">
        <x:v>731</x:v>
      </x:c>
      <x:c r="B732" s="84" t="n">
        <x:v>532</x:v>
      </x:c>
      <x:c r="C732" s="84" t="n">
        <x:v>64</x:v>
      </x:c>
      <x:c r="D732" s="89" t="n">
        <x:v>45458</x:v>
      </x:c>
      <x:c r="E732" s="84" t="n">
        <x:v>4</x:v>
      </x:c>
      <x:c r="F732" s="91" t="n">
        <x:v>5861.68</x:v>
      </x:c>
    </x:row>
    <x:row r="733">
      <x:c r="A733" s="83" t="n">
        <x:v>732</x:v>
      </x:c>
      <x:c r="B733" s="84" t="n">
        <x:v>534</x:v>
      </x:c>
      <x:c r="C733" s="84" t="n">
        <x:v>16</x:v>
      </x:c>
      <x:c r="D733" s="89" t="n">
        <x:v>45375</x:v>
      </x:c>
      <x:c r="E733" s="84" t="n">
        <x:v>3</x:v>
      </x:c>
      <x:c r="F733" s="91" t="n">
        <x:v>1817.34</x:v>
      </x:c>
    </x:row>
    <x:row r="734">
      <x:c r="A734" s="83" t="n">
        <x:v>733</x:v>
      </x:c>
      <x:c r="B734" s="84" t="n">
        <x:v>535</x:v>
      </x:c>
      <x:c r="C734" s="84" t="n">
        <x:v>60</x:v>
      </x:c>
      <x:c r="D734" s="89" t="n">
        <x:v>45635</x:v>
      </x:c>
      <x:c r="E734" s="84" t="n">
        <x:v>4</x:v>
      </x:c>
      <x:c r="F734" s="91" t="n">
        <x:v>1415.2</x:v>
      </x:c>
    </x:row>
    <x:row r="735">
      <x:c r="A735" s="83" t="n">
        <x:v>734</x:v>
      </x:c>
      <x:c r="B735" s="84" t="n">
        <x:v>536</x:v>
      </x:c>
      <x:c r="C735" s="84" t="n">
        <x:v>22</x:v>
      </x:c>
      <x:c r="D735" s="89" t="n">
        <x:v>45560</x:v>
      </x:c>
      <x:c r="E735" s="84" t="n">
        <x:v>3</x:v>
      </x:c>
      <x:c r="F735" s="91" t="n">
        <x:v>1565.67</x:v>
      </x:c>
    </x:row>
    <x:row r="736">
      <x:c r="A736" s="83" t="n">
        <x:v>735</x:v>
      </x:c>
      <x:c r="B736" s="84" t="n">
        <x:v>536</x:v>
      </x:c>
      <x:c r="C736" s="84" t="n">
        <x:v>72</x:v>
      </x:c>
      <x:c r="D736" s="89" t="n">
        <x:v>45560</x:v>
      </x:c>
      <x:c r="E736" s="84" t="n">
        <x:v>3</x:v>
      </x:c>
      <x:c r="F736" s="91" t="n">
        <x:v>1352.49</x:v>
      </x:c>
    </x:row>
    <x:row r="737">
      <x:c r="A737" s="83" t="n">
        <x:v>736</x:v>
      </x:c>
      <x:c r="B737" s="84" t="n">
        <x:v>536</x:v>
      </x:c>
      <x:c r="C737" s="84" t="n">
        <x:v>26</x:v>
      </x:c>
      <x:c r="D737" s="89" t="n">
        <x:v>45560</x:v>
      </x:c>
      <x:c r="E737" s="84" t="n">
        <x:v>1</x:v>
      </x:c>
      <x:c r="F737" s="91" t="n">
        <x:v>2151</x:v>
      </x:c>
    </x:row>
    <x:row r="738">
      <x:c r="A738" s="83" t="n">
        <x:v>737</x:v>
      </x:c>
      <x:c r="B738" s="84" t="n">
        <x:v>538</x:v>
      </x:c>
      <x:c r="C738" s="84" t="n">
        <x:v>67</x:v>
      </x:c>
      <x:c r="D738" s="89" t="n">
        <x:v>45357</x:v>
      </x:c>
      <x:c r="E738" s="84" t="n">
        <x:v>4</x:v>
      </x:c>
      <x:c r="F738" s="91" t="n">
        <x:v>5118.12</x:v>
      </x:c>
    </x:row>
    <x:row r="739">
      <x:c r="A739" s="83" t="n">
        <x:v>738</x:v>
      </x:c>
      <x:c r="B739" s="84" t="n">
        <x:v>538</x:v>
      </x:c>
      <x:c r="C739" s="84" t="n">
        <x:v>9</x:v>
      </x:c>
      <x:c r="D739" s="89" t="n">
        <x:v>45357</x:v>
      </x:c>
      <x:c r="E739" s="84" t="n">
        <x:v>4</x:v>
      </x:c>
      <x:c r="F739" s="91" t="n">
        <x:v>6300.24</x:v>
      </x:c>
    </x:row>
    <x:row r="740">
      <x:c r="A740" s="83" t="n">
        <x:v>739</x:v>
      </x:c>
      <x:c r="B740" s="84" t="n">
        <x:v>538</x:v>
      </x:c>
      <x:c r="C740" s="84" t="n">
        <x:v>33</x:v>
      </x:c>
      <x:c r="D740" s="89" t="n">
        <x:v>45357</x:v>
      </x:c>
      <x:c r="E740" s="84" t="n">
        <x:v>3</x:v>
      </x:c>
      <x:c r="F740" s="91" t="n">
        <x:v>7040.76</x:v>
      </x:c>
    </x:row>
    <x:row r="741">
      <x:c r="A741" s="83" t="n">
        <x:v>740</x:v>
      </x:c>
      <x:c r="B741" s="84" t="n">
        <x:v>539</x:v>
      </x:c>
      <x:c r="C741" s="84" t="n">
        <x:v>42</x:v>
      </x:c>
      <x:c r="D741" s="89" t="n">
        <x:v>45281</x:v>
      </x:c>
      <x:c r="E741" s="84" t="n">
        <x:v>4</x:v>
      </x:c>
      <x:c r="F741" s="91" t="n">
        <x:v>8686.96</x:v>
      </x:c>
    </x:row>
    <x:row r="742">
      <x:c r="A742" s="83" t="n">
        <x:v>741</x:v>
      </x:c>
      <x:c r="B742" s="84" t="n">
        <x:v>539</x:v>
      </x:c>
      <x:c r="C742" s="84" t="n">
        <x:v>50</x:v>
      </x:c>
      <x:c r="D742" s="89" t="n">
        <x:v>45281</x:v>
      </x:c>
      <x:c r="E742" s="84" t="n">
        <x:v>4</x:v>
      </x:c>
      <x:c r="F742" s="91" t="n">
        <x:v>8943.8</x:v>
      </x:c>
    </x:row>
    <x:row r="743">
      <x:c r="A743" s="83" t="n">
        <x:v>742</x:v>
      </x:c>
      <x:c r="B743" s="84" t="n">
        <x:v>545</x:v>
      </x:c>
      <x:c r="C743" s="84" t="n">
        <x:v>67</x:v>
      </x:c>
      <x:c r="D743" s="89" t="n">
        <x:v>45452</x:v>
      </x:c>
      <x:c r="E743" s="84" t="n">
        <x:v>1</x:v>
      </x:c>
      <x:c r="F743" s="91" t="n">
        <x:v>1279.53</x:v>
      </x:c>
    </x:row>
    <x:row r="744">
      <x:c r="A744" s="83" t="n">
        <x:v>743</x:v>
      </x:c>
      <x:c r="B744" s="84" t="n">
        <x:v>545</x:v>
      </x:c>
      <x:c r="C744" s="84" t="n">
        <x:v>34</x:v>
      </x:c>
      <x:c r="D744" s="89" t="n">
        <x:v>45452</x:v>
      </x:c>
      <x:c r="E744" s="84" t="n">
        <x:v>2</x:v>
      </x:c>
      <x:c r="F744" s="91" t="n">
        <x:v>3954.18</x:v>
      </x:c>
    </x:row>
    <x:row r="745">
      <x:c r="A745" s="83" t="n">
        <x:v>744</x:v>
      </x:c>
      <x:c r="B745" s="84" t="n">
        <x:v>545</x:v>
      </x:c>
      <x:c r="C745" s="84" t="n">
        <x:v>17</x:v>
      </x:c>
      <x:c r="D745" s="89" t="n">
        <x:v>45452</x:v>
      </x:c>
      <x:c r="E745" s="84" t="n">
        <x:v>3</x:v>
      </x:c>
      <x:c r="F745" s="91" t="n">
        <x:v>7069.26</x:v>
      </x:c>
    </x:row>
    <x:row r="746">
      <x:c r="A746" s="83" t="n">
        <x:v>745</x:v>
      </x:c>
      <x:c r="B746" s="84" t="n">
        <x:v>546</x:v>
      </x:c>
      <x:c r="C746" s="84" t="n">
        <x:v>50</x:v>
      </x:c>
      <x:c r="D746" s="89" t="n">
        <x:v>45315</x:v>
      </x:c>
      <x:c r="E746" s="84" t="n">
        <x:v>1</x:v>
      </x:c>
      <x:c r="F746" s="91" t="n">
        <x:v>2235.95</x:v>
      </x:c>
    </x:row>
    <x:row r="747">
      <x:c r="A747" s="83" t="n">
        <x:v>746</x:v>
      </x:c>
      <x:c r="B747" s="84" t="n">
        <x:v>546</x:v>
      </x:c>
      <x:c r="C747" s="84" t="n">
        <x:v>53</x:v>
      </x:c>
      <x:c r="D747" s="89" t="n">
        <x:v>45315</x:v>
      </x:c>
      <x:c r="E747" s="84" t="n">
        <x:v>4</x:v>
      </x:c>
      <x:c r="F747" s="91" t="n">
        <x:v>6363.68</x:v>
      </x:c>
    </x:row>
    <x:row r="748">
      <x:c r="A748" s="83" t="n">
        <x:v>747</x:v>
      </x:c>
      <x:c r="B748" s="84" t="n">
        <x:v>548</x:v>
      </x:c>
      <x:c r="C748" s="84" t="n">
        <x:v>79</x:v>
      </x:c>
      <x:c r="D748" s="89" t="n">
        <x:v>45425</x:v>
      </x:c>
      <x:c r="E748" s="84" t="n">
        <x:v>4</x:v>
      </x:c>
      <x:c r="F748" s="91" t="n">
        <x:v>8266.88</x:v>
      </x:c>
    </x:row>
    <x:row r="749">
      <x:c r="A749" s="83" t="n">
        <x:v>748</x:v>
      </x:c>
      <x:c r="B749" s="84" t="n">
        <x:v>549</x:v>
      </x:c>
      <x:c r="C749" s="84" t="n">
        <x:v>49</x:v>
      </x:c>
      <x:c r="D749" s="89" t="n">
        <x:v>45235</x:v>
      </x:c>
      <x:c r="E749" s="84" t="n">
        <x:v>1</x:v>
      </x:c>
      <x:c r="F749" s="91" t="n">
        <x:v>184.16</x:v>
      </x:c>
    </x:row>
    <x:row r="750">
      <x:c r="A750" s="83" t="n">
        <x:v>749</x:v>
      </x:c>
      <x:c r="B750" s="84" t="n">
        <x:v>549</x:v>
      </x:c>
      <x:c r="C750" s="84" t="n">
        <x:v>17</x:v>
      </x:c>
      <x:c r="D750" s="89" t="n">
        <x:v>45235</x:v>
      </x:c>
      <x:c r="E750" s="84" t="n">
        <x:v>4</x:v>
      </x:c>
      <x:c r="F750" s="91" t="n">
        <x:v>9425.68</x:v>
      </x:c>
    </x:row>
    <x:row r="751">
      <x:c r="A751" s="83" t="n">
        <x:v>750</x:v>
      </x:c>
      <x:c r="B751" s="84" t="n">
        <x:v>549</x:v>
      </x:c>
      <x:c r="C751" s="84" t="n">
        <x:v>9</x:v>
      </x:c>
      <x:c r="D751" s="89" t="n">
        <x:v>45235</x:v>
      </x:c>
      <x:c r="E751" s="84" t="n">
        <x:v>4</x:v>
      </x:c>
      <x:c r="F751" s="91" t="n">
        <x:v>6300.24</x:v>
      </x:c>
    </x:row>
    <x:row r="752">
      <x:c r="A752" s="83" t="n">
        <x:v>751</x:v>
      </x:c>
      <x:c r="B752" s="84" t="n">
        <x:v>550</x:v>
      </x:c>
      <x:c r="C752" s="84" t="n">
        <x:v>59</x:v>
      </x:c>
      <x:c r="D752" s="89" t="n">
        <x:v>45898</x:v>
      </x:c>
      <x:c r="E752" s="84" t="n">
        <x:v>2</x:v>
      </x:c>
      <x:c r="F752" s="91" t="n">
        <x:v>3032.9</x:v>
      </x:c>
    </x:row>
    <x:row r="753">
      <x:c r="A753" s="83" t="n">
        <x:v>752</x:v>
      </x:c>
      <x:c r="B753" s="84" t="n">
        <x:v>550</x:v>
      </x:c>
      <x:c r="C753" s="84" t="n">
        <x:v>75</x:v>
      </x:c>
      <x:c r="D753" s="89" t="n">
        <x:v>45898</x:v>
      </x:c>
      <x:c r="E753" s="84" t="n">
        <x:v>2</x:v>
      </x:c>
      <x:c r="F753" s="91" t="n">
        <x:v>912.34</x:v>
      </x:c>
    </x:row>
    <x:row r="754">
      <x:c r="A754" s="83" t="n">
        <x:v>753</x:v>
      </x:c>
      <x:c r="B754" s="84" t="n">
        <x:v>552</x:v>
      </x:c>
      <x:c r="C754" s="84" t="n">
        <x:v>27</x:v>
      </x:c>
      <x:c r="D754" s="89" t="n">
        <x:v>45478</x:v>
      </x:c>
      <x:c r="E754" s="84" t="n">
        <x:v>4</x:v>
      </x:c>
      <x:c r="F754" s="91" t="n">
        <x:v>642.76</x:v>
      </x:c>
    </x:row>
    <x:row r="755">
      <x:c r="A755" s="83" t="n">
        <x:v>754</x:v>
      </x:c>
      <x:c r="B755" s="84" t="n">
        <x:v>552</x:v>
      </x:c>
      <x:c r="C755" s="84" t="n">
        <x:v>1</x:v>
      </x:c>
      <x:c r="D755" s="89" t="n">
        <x:v>45478</x:v>
      </x:c>
      <x:c r="E755" s="84" t="n">
        <x:v>4</x:v>
      </x:c>
      <x:c r="F755" s="91" t="n">
        <x:v>6958.4</x:v>
      </x:c>
    </x:row>
    <x:row r="756">
      <x:c r="A756" s="83" t="n">
        <x:v>755</x:v>
      </x:c>
      <x:c r="B756" s="84" t="n">
        <x:v>553</x:v>
      </x:c>
      <x:c r="C756" s="84" t="n">
        <x:v>80</x:v>
      </x:c>
      <x:c r="D756" s="89" t="n">
        <x:v>45612</x:v>
      </x:c>
      <x:c r="E756" s="84" t="n">
        <x:v>2</x:v>
      </x:c>
      <x:c r="F756" s="91" t="n">
        <x:v>3457.08</x:v>
      </x:c>
    </x:row>
    <x:row r="757">
      <x:c r="A757" s="83" t="n">
        <x:v>756</x:v>
      </x:c>
      <x:c r="B757" s="84" t="n">
        <x:v>553</x:v>
      </x:c>
      <x:c r="C757" s="84" t="n">
        <x:v>14</x:v>
      </x:c>
      <x:c r="D757" s="89" t="n">
        <x:v>45612</x:v>
      </x:c>
      <x:c r="E757" s="84" t="n">
        <x:v>4</x:v>
      </x:c>
      <x:c r="F757" s="91" t="n">
        <x:v>702.88</x:v>
      </x:c>
    </x:row>
    <x:row r="758">
      <x:c r="A758" s="83" t="n">
        <x:v>757</x:v>
      </x:c>
      <x:c r="B758" s="84" t="n">
        <x:v>554</x:v>
      </x:c>
      <x:c r="C758" s="84" t="n">
        <x:v>44</x:v>
      </x:c>
      <x:c r="D758" s="89" t="n">
        <x:v>45783</x:v>
      </x:c>
      <x:c r="E758" s="84" t="n">
        <x:v>2</x:v>
      </x:c>
      <x:c r="F758" s="91" t="n">
        <x:v>2502.96</x:v>
      </x:c>
    </x:row>
    <x:row r="759">
      <x:c r="A759" s="83" t="n">
        <x:v>758</x:v>
      </x:c>
      <x:c r="B759" s="84" t="n">
        <x:v>555</x:v>
      </x:c>
      <x:c r="C759" s="84" t="n">
        <x:v>6</x:v>
      </x:c>
      <x:c r="D759" s="89" t="n">
        <x:v>45397</x:v>
      </x:c>
      <x:c r="E759" s="84" t="n">
        <x:v>2</x:v>
      </x:c>
      <x:c r="F759" s="91" t="n">
        <x:v>1394.74</x:v>
      </x:c>
    </x:row>
    <x:row r="760">
      <x:c r="A760" s="83" t="n">
        <x:v>759</x:v>
      </x:c>
      <x:c r="B760" s="84" t="n">
        <x:v>555</x:v>
      </x:c>
      <x:c r="C760" s="84" t="n">
        <x:v>12</x:v>
      </x:c>
      <x:c r="D760" s="89" t="n">
        <x:v>45397</x:v>
      </x:c>
      <x:c r="E760" s="84" t="n">
        <x:v>1</x:v>
      </x:c>
      <x:c r="F760" s="91" t="n">
        <x:v>284.49</x:v>
      </x:c>
    </x:row>
    <x:row r="761">
      <x:c r="A761" s="83" t="n">
        <x:v>760</x:v>
      </x:c>
      <x:c r="B761" s="84" t="n">
        <x:v>556</x:v>
      </x:c>
      <x:c r="C761" s="84" t="n">
        <x:v>80</x:v>
      </x:c>
      <x:c r="D761" s="89" t="n">
        <x:v>45492</x:v>
      </x:c>
      <x:c r="E761" s="84" t="n">
        <x:v>4</x:v>
      </x:c>
      <x:c r="F761" s="91" t="n">
        <x:v>6914.16</x:v>
      </x:c>
    </x:row>
    <x:row r="762">
      <x:c r="A762" s="83" t="n">
        <x:v>761</x:v>
      </x:c>
      <x:c r="B762" s="84" t="n">
        <x:v>556</x:v>
      </x:c>
      <x:c r="C762" s="84" t="n">
        <x:v>31</x:v>
      </x:c>
      <x:c r="D762" s="89" t="n">
        <x:v>45492</x:v>
      </x:c>
      <x:c r="E762" s="84" t="n">
        <x:v>3</x:v>
      </x:c>
      <x:c r="F762" s="91" t="n">
        <x:v>6508.89</x:v>
      </x:c>
    </x:row>
    <x:row r="763">
      <x:c r="A763" s="83" t="n">
        <x:v>762</x:v>
      </x:c>
      <x:c r="B763" s="84" t="n">
        <x:v>556</x:v>
      </x:c>
      <x:c r="C763" s="84" t="n">
        <x:v>23</x:v>
      </x:c>
      <x:c r="D763" s="89" t="n">
        <x:v>45492</x:v>
      </x:c>
      <x:c r="E763" s="84" t="n">
        <x:v>3</x:v>
      </x:c>
      <x:c r="F763" s="91" t="n">
        <x:v>5258.55</x:v>
      </x:c>
    </x:row>
    <x:row r="764">
      <x:c r="A764" s="83" t="n">
        <x:v>763</x:v>
      </x:c>
      <x:c r="B764" s="84" t="n">
        <x:v>557</x:v>
      </x:c>
      <x:c r="C764" s="84" t="n">
        <x:v>69</x:v>
      </x:c>
      <x:c r="D764" s="89" t="n">
        <x:v>45710</x:v>
      </x:c>
      <x:c r="E764" s="84" t="n">
        <x:v>1</x:v>
      </x:c>
      <x:c r="F764" s="91" t="n">
        <x:v>1770.33</x:v>
      </x:c>
    </x:row>
    <x:row r="765">
      <x:c r="A765" s="83" t="n">
        <x:v>764</x:v>
      </x:c>
      <x:c r="B765" s="84" t="n">
        <x:v>560</x:v>
      </x:c>
      <x:c r="C765" s="84" t="n">
        <x:v>25</x:v>
      </x:c>
      <x:c r="D765" s="89" t="n">
        <x:v>45363</x:v>
      </x:c>
      <x:c r="E765" s="84" t="n">
        <x:v>4</x:v>
      </x:c>
      <x:c r="F765" s="91" t="n">
        <x:v>4317.8</x:v>
      </x:c>
    </x:row>
    <x:row r="766">
      <x:c r="A766" s="83" t="n">
        <x:v>765</x:v>
      </x:c>
      <x:c r="B766" s="84" t="n">
        <x:v>560</x:v>
      </x:c>
      <x:c r="C766" s="84" t="n">
        <x:v>37</x:v>
      </x:c>
      <x:c r="D766" s="89" t="n">
        <x:v>45363</x:v>
      </x:c>
      <x:c r="E766" s="84" t="n">
        <x:v>3</x:v>
      </x:c>
      <x:c r="F766" s="91" t="n">
        <x:v>3101.13</x:v>
      </x:c>
    </x:row>
    <x:row r="767">
      <x:c r="A767" s="83" t="n">
        <x:v>766</x:v>
      </x:c>
      <x:c r="B767" s="84" t="n">
        <x:v>561</x:v>
      </x:c>
      <x:c r="C767" s="84" t="n">
        <x:v>66</x:v>
      </x:c>
      <x:c r="D767" s="89" t="n">
        <x:v>45645</x:v>
      </x:c>
      <x:c r="E767" s="84" t="n">
        <x:v>1</x:v>
      </x:c>
      <x:c r="F767" s="91" t="n">
        <x:v>1912.45</x:v>
      </x:c>
    </x:row>
    <x:row r="768">
      <x:c r="A768" s="83" t="n">
        <x:v>767</x:v>
      </x:c>
      <x:c r="B768" s="84" t="n">
        <x:v>561</x:v>
      </x:c>
      <x:c r="C768" s="84" t="n">
        <x:v>59</x:v>
      </x:c>
      <x:c r="D768" s="89" t="n">
        <x:v>45645</x:v>
      </x:c>
      <x:c r="E768" s="84" t="n">
        <x:v>2</x:v>
      </x:c>
      <x:c r="F768" s="91" t="n">
        <x:v>3032.9</x:v>
      </x:c>
    </x:row>
    <x:row r="769">
      <x:c r="A769" s="83" t="n">
        <x:v>768</x:v>
      </x:c>
      <x:c r="B769" s="84" t="n">
        <x:v>561</x:v>
      </x:c>
      <x:c r="C769" s="84" t="n">
        <x:v>61</x:v>
      </x:c>
      <x:c r="D769" s="89" t="n">
        <x:v>45645</x:v>
      </x:c>
      <x:c r="E769" s="84" t="n">
        <x:v>2</x:v>
      </x:c>
      <x:c r="F769" s="91" t="n">
        <x:v>263.44</x:v>
      </x:c>
    </x:row>
    <x:row r="770">
      <x:c r="A770" s="83" t="n">
        <x:v>769</x:v>
      </x:c>
      <x:c r="B770" s="84" t="n">
        <x:v>564</x:v>
      </x:c>
      <x:c r="C770" s="84" t="n">
        <x:v>4</x:v>
      </x:c>
      <x:c r="D770" s="89" t="n">
        <x:v>44993</x:v>
      </x:c>
      <x:c r="E770" s="84" t="n">
        <x:v>4</x:v>
      </x:c>
      <x:c r="F770" s="91" t="n">
        <x:v>6101.24</x:v>
      </x:c>
    </x:row>
    <x:row r="771">
      <x:c r="A771" s="83" t="n">
        <x:v>770</x:v>
      </x:c>
      <x:c r="B771" s="84" t="n">
        <x:v>565</x:v>
      </x:c>
      <x:c r="C771" s="84" t="n">
        <x:v>50</x:v>
      </x:c>
      <x:c r="D771" s="89" t="n">
        <x:v>45489</x:v>
      </x:c>
      <x:c r="E771" s="84" t="n">
        <x:v>4</x:v>
      </x:c>
      <x:c r="F771" s="91" t="n">
        <x:v>8943.8</x:v>
      </x:c>
    </x:row>
    <x:row r="772">
      <x:c r="A772" s="83" t="n">
        <x:v>771</x:v>
      </x:c>
      <x:c r="B772" s="84" t="n">
        <x:v>565</x:v>
      </x:c>
      <x:c r="C772" s="84" t="n">
        <x:v>14</x:v>
      </x:c>
      <x:c r="D772" s="89" t="n">
        <x:v>45489</x:v>
      </x:c>
      <x:c r="E772" s="84" t="n">
        <x:v>2</x:v>
      </x:c>
      <x:c r="F772" s="91" t="n">
        <x:v>351.44</x:v>
      </x:c>
    </x:row>
    <x:row r="773">
      <x:c r="A773" s="83" t="n">
        <x:v>772</x:v>
      </x:c>
      <x:c r="B773" s="84" t="n">
        <x:v>565</x:v>
      </x:c>
      <x:c r="C773" s="84" t="n">
        <x:v>57</x:v>
      </x:c>
      <x:c r="D773" s="89" t="n">
        <x:v>45489</x:v>
      </x:c>
      <x:c r="E773" s="84" t="n">
        <x:v>1</x:v>
      </x:c>
      <x:c r="F773" s="91" t="n">
        <x:v>1179.06</x:v>
      </x:c>
    </x:row>
    <x:row r="774">
      <x:c r="A774" s="83" t="n">
        <x:v>773</x:v>
      </x:c>
      <x:c r="B774" s="84" t="n">
        <x:v>568</x:v>
      </x:c>
      <x:c r="C774" s="84" t="n">
        <x:v>79</x:v>
      </x:c>
      <x:c r="D774" s="89" t="n">
        <x:v>45723</x:v>
      </x:c>
      <x:c r="E774" s="84" t="n">
        <x:v>1</x:v>
      </x:c>
      <x:c r="F774" s="91" t="n">
        <x:v>2066.72</x:v>
      </x:c>
    </x:row>
    <x:row r="775">
      <x:c r="A775" s="83" t="n">
        <x:v>774</x:v>
      </x:c>
      <x:c r="B775" s="84" t="n">
        <x:v>568</x:v>
      </x:c>
      <x:c r="C775" s="84" t="n">
        <x:v>60</x:v>
      </x:c>
      <x:c r="D775" s="89" t="n">
        <x:v>45723</x:v>
      </x:c>
      <x:c r="E775" s="84" t="n">
        <x:v>2</x:v>
      </x:c>
      <x:c r="F775" s="91" t="n">
        <x:v>707.6</x:v>
      </x:c>
    </x:row>
    <x:row r="776">
      <x:c r="A776" s="83" t="n">
        <x:v>775</x:v>
      </x:c>
      <x:c r="B776" s="84" t="n">
        <x:v>569</x:v>
      </x:c>
      <x:c r="C776" s="84" t="n">
        <x:v>80</x:v>
      </x:c>
      <x:c r="D776" s="89" t="n">
        <x:v>45456</x:v>
      </x:c>
      <x:c r="E776" s="84" t="n">
        <x:v>4</x:v>
      </x:c>
      <x:c r="F776" s="91" t="n">
        <x:v>6914.16</x:v>
      </x:c>
    </x:row>
    <x:row r="777">
      <x:c r="A777" s="83" t="n">
        <x:v>776</x:v>
      </x:c>
      <x:c r="B777" s="84" t="n">
        <x:v>569</x:v>
      </x:c>
      <x:c r="C777" s="84" t="n">
        <x:v>40</x:v>
      </x:c>
      <x:c r="D777" s="89" t="n">
        <x:v>45456</x:v>
      </x:c>
      <x:c r="E777" s="84" t="n">
        <x:v>4</x:v>
      </x:c>
      <x:c r="F777" s="91" t="n">
        <x:v>8140.16</x:v>
      </x:c>
    </x:row>
    <x:row r="778">
      <x:c r="A778" s="83" t="n">
        <x:v>777</x:v>
      </x:c>
      <x:c r="B778" s="84" t="n">
        <x:v>569</x:v>
      </x:c>
      <x:c r="C778" s="84" t="n">
        <x:v>2</x:v>
      </x:c>
      <x:c r="D778" s="89" t="n">
        <x:v>45456</x:v>
      </x:c>
      <x:c r="E778" s="84" t="n">
        <x:v>3</x:v>
      </x:c>
      <x:c r="F778" s="91" t="n">
        <x:v>2982.93</x:v>
      </x:c>
    </x:row>
    <x:row r="779">
      <x:c r="A779" s="83" t="n">
        <x:v>778</x:v>
      </x:c>
      <x:c r="B779" s="84" t="n">
        <x:v>570</x:v>
      </x:c>
      <x:c r="C779" s="84" t="n">
        <x:v>9</x:v>
      </x:c>
      <x:c r="D779" s="89" t="n">
        <x:v>45510</x:v>
      </x:c>
      <x:c r="E779" s="84" t="n">
        <x:v>1</x:v>
      </x:c>
      <x:c r="F779" s="91" t="n">
        <x:v>1575.06</x:v>
      </x:c>
    </x:row>
    <x:row r="780">
      <x:c r="A780" s="83" t="n">
        <x:v>779</x:v>
      </x:c>
      <x:c r="B780" s="84" t="n">
        <x:v>570</x:v>
      </x:c>
      <x:c r="C780" s="84" t="n">
        <x:v>5</x:v>
      </x:c>
      <x:c r="D780" s="89" t="n">
        <x:v>45510</x:v>
      </x:c>
      <x:c r="E780" s="84" t="n">
        <x:v>2</x:v>
      </x:c>
      <x:c r="F780" s="91" t="n">
        <x:v>2937</x:v>
      </x:c>
    </x:row>
    <x:row r="781">
      <x:c r="A781" s="83" t="n">
        <x:v>780</x:v>
      </x:c>
      <x:c r="B781" s="84" t="n">
        <x:v>570</x:v>
      </x:c>
      <x:c r="C781" s="84" t="n">
        <x:v>30</x:v>
      </x:c>
      <x:c r="D781" s="89" t="n">
        <x:v>45510</x:v>
      </x:c>
      <x:c r="E781" s="84" t="n">
        <x:v>2</x:v>
      </x:c>
      <x:c r="F781" s="91" t="n">
        <x:v>2557.52</x:v>
      </x:c>
    </x:row>
    <x:row r="782">
      <x:c r="A782" s="83" t="n">
        <x:v>781</x:v>
      </x:c>
      <x:c r="B782" s="84" t="n">
        <x:v>571</x:v>
      </x:c>
      <x:c r="C782" s="84" t="n">
        <x:v>22</x:v>
      </x:c>
      <x:c r="D782" s="89" t="n">
        <x:v>45858</x:v>
      </x:c>
      <x:c r="E782" s="84" t="n">
        <x:v>2</x:v>
      </x:c>
      <x:c r="F782" s="91" t="n">
        <x:v>1043.78</x:v>
      </x:c>
    </x:row>
    <x:row r="783">
      <x:c r="A783" s="83" t="n">
        <x:v>782</x:v>
      </x:c>
      <x:c r="B783" s="84" t="n">
        <x:v>571</x:v>
      </x:c>
      <x:c r="C783" s="84" t="n">
        <x:v>64</x:v>
      </x:c>
      <x:c r="D783" s="89" t="n">
        <x:v>45858</x:v>
      </x:c>
      <x:c r="E783" s="84" t="n">
        <x:v>2</x:v>
      </x:c>
      <x:c r="F783" s="91" t="n">
        <x:v>2930.84</x:v>
      </x:c>
    </x:row>
    <x:row r="784">
      <x:c r="A784" s="83" t="n">
        <x:v>783</x:v>
      </x:c>
      <x:c r="B784" s="84" t="n">
        <x:v>571</x:v>
      </x:c>
      <x:c r="C784" s="84" t="n">
        <x:v>3</x:v>
      </x:c>
      <x:c r="D784" s="89" t="n">
        <x:v>45858</x:v>
      </x:c>
      <x:c r="E784" s="84" t="n">
        <x:v>1</x:v>
      </x:c>
      <x:c r="F784" s="91" t="n">
        <x:v>1151.14</x:v>
      </x:c>
    </x:row>
    <x:row r="785">
      <x:c r="A785" s="83" t="n">
        <x:v>784</x:v>
      </x:c>
      <x:c r="B785" s="84" t="n">
        <x:v>572</x:v>
      </x:c>
      <x:c r="C785" s="84" t="n">
        <x:v>66</x:v>
      </x:c>
      <x:c r="D785" s="89" t="n">
        <x:v>45441</x:v>
      </x:c>
      <x:c r="E785" s="84" t="n">
        <x:v>1</x:v>
      </x:c>
      <x:c r="F785" s="91" t="n">
        <x:v>1912.45</x:v>
      </x:c>
    </x:row>
    <x:row r="786">
      <x:c r="A786" s="83" t="n">
        <x:v>785</x:v>
      </x:c>
      <x:c r="B786" s="84" t="n">
        <x:v>572</x:v>
      </x:c>
      <x:c r="C786" s="84" t="n">
        <x:v>47</x:v>
      </x:c>
      <x:c r="D786" s="89" t="n">
        <x:v>45441</x:v>
      </x:c>
      <x:c r="E786" s="84" t="n">
        <x:v>2</x:v>
      </x:c>
      <x:c r="F786" s="91" t="n">
        <x:v>4351.24</x:v>
      </x:c>
    </x:row>
    <x:row r="787">
      <x:c r="A787" s="83" t="n">
        <x:v>786</x:v>
      </x:c>
      <x:c r="B787" s="84" t="n">
        <x:v>575</x:v>
      </x:c>
      <x:c r="C787" s="84" t="n">
        <x:v>30</x:v>
      </x:c>
      <x:c r="D787" s="89" t="n">
        <x:v>45927</x:v>
      </x:c>
      <x:c r="E787" s="84" t="n">
        <x:v>4</x:v>
      </x:c>
      <x:c r="F787" s="91" t="n">
        <x:v>5115.04</x:v>
      </x:c>
    </x:row>
    <x:row r="788">
      <x:c r="A788" s="83" t="n">
        <x:v>787</x:v>
      </x:c>
      <x:c r="B788" s="84" t="n">
        <x:v>575</x:v>
      </x:c>
      <x:c r="C788" s="84" t="n">
        <x:v>53</x:v>
      </x:c>
      <x:c r="D788" s="89" t="n">
        <x:v>45927</x:v>
      </x:c>
      <x:c r="E788" s="84" t="n">
        <x:v>4</x:v>
      </x:c>
      <x:c r="F788" s="91" t="n">
        <x:v>6363.68</x:v>
      </x:c>
    </x:row>
    <x:row r="789">
      <x:c r="A789" s="83" t="n">
        <x:v>788</x:v>
      </x:c>
      <x:c r="B789" s="84" t="n">
        <x:v>576</x:v>
      </x:c>
      <x:c r="C789" s="84" t="n">
        <x:v>79</x:v>
      </x:c>
      <x:c r="D789" s="89" t="n">
        <x:v>45566</x:v>
      </x:c>
      <x:c r="E789" s="84" t="n">
        <x:v>3</x:v>
      </x:c>
      <x:c r="F789" s="91" t="n">
        <x:v>6200.16</x:v>
      </x:c>
    </x:row>
    <x:row r="790">
      <x:c r="A790" s="83" t="n">
        <x:v>789</x:v>
      </x:c>
      <x:c r="B790" s="84" t="n">
        <x:v>576</x:v>
      </x:c>
      <x:c r="C790" s="84" t="n">
        <x:v>74</x:v>
      </x:c>
      <x:c r="D790" s="89" t="n">
        <x:v>45566</x:v>
      </x:c>
      <x:c r="E790" s="84" t="n">
        <x:v>3</x:v>
      </x:c>
      <x:c r="F790" s="91" t="n">
        <x:v>4969.05</x:v>
      </x:c>
    </x:row>
    <x:row r="791">
      <x:c r="A791" s="83" t="n">
        <x:v>790</x:v>
      </x:c>
      <x:c r="B791" s="84" t="n">
        <x:v>576</x:v>
      </x:c>
      <x:c r="C791" s="84" t="n">
        <x:v>42</x:v>
      </x:c>
      <x:c r="D791" s="89" t="n">
        <x:v>45566</x:v>
      </x:c>
      <x:c r="E791" s="84" t="n">
        <x:v>2</x:v>
      </x:c>
      <x:c r="F791" s="91" t="n">
        <x:v>4343.48</x:v>
      </x:c>
    </x:row>
    <x:row r="792">
      <x:c r="A792" s="83" t="n">
        <x:v>791</x:v>
      </x:c>
      <x:c r="B792" s="84" t="n">
        <x:v>577</x:v>
      </x:c>
      <x:c r="C792" s="84" t="n">
        <x:v>59</x:v>
      </x:c>
      <x:c r="D792" s="89" t="n">
        <x:v>45014</x:v>
      </x:c>
      <x:c r="E792" s="84" t="n">
        <x:v>4</x:v>
      </x:c>
      <x:c r="F792" s="91" t="n">
        <x:v>6065.8</x:v>
      </x:c>
    </x:row>
    <x:row r="793">
      <x:c r="A793" s="83" t="n">
        <x:v>792</x:v>
      </x:c>
      <x:c r="B793" s="84" t="n">
        <x:v>578</x:v>
      </x:c>
      <x:c r="C793" s="84" t="n">
        <x:v>58</x:v>
      </x:c>
      <x:c r="D793" s="89" t="n">
        <x:v>45653</x:v>
      </x:c>
      <x:c r="E793" s="84" t="n">
        <x:v>4</x:v>
      </x:c>
      <x:c r="F793" s="91" t="n">
        <x:v>8072.72</x:v>
      </x:c>
    </x:row>
    <x:row r="794">
      <x:c r="A794" s="83" t="n">
        <x:v>793</x:v>
      </x:c>
      <x:c r="B794" s="84" t="n">
        <x:v>578</x:v>
      </x:c>
      <x:c r="C794" s="84" t="n">
        <x:v>11</x:v>
      </x:c>
      <x:c r="D794" s="89" t="n">
        <x:v>45653</x:v>
      </x:c>
      <x:c r="E794" s="84" t="n">
        <x:v>3</x:v>
      </x:c>
      <x:c r="F794" s="91" t="n">
        <x:v>6633.78</x:v>
      </x:c>
    </x:row>
    <x:row r="795">
      <x:c r="A795" s="83" t="n">
        <x:v>794</x:v>
      </x:c>
      <x:c r="B795" s="84" t="n">
        <x:v>579</x:v>
      </x:c>
      <x:c r="C795" s="84" t="n">
        <x:v>43</x:v>
      </x:c>
      <x:c r="D795" s="89" t="n">
        <x:v>45712</x:v>
      </x:c>
      <x:c r="E795" s="84" t="n">
        <x:v>3</x:v>
      </x:c>
      <x:c r="F795" s="91" t="n">
        <x:v>4396.26</x:v>
      </x:c>
    </x:row>
    <x:row r="796">
      <x:c r="A796" s="83" t="n">
        <x:v>795</x:v>
      </x:c>
      <x:c r="B796" s="84" t="n">
        <x:v>579</x:v>
      </x:c>
      <x:c r="C796" s="84" t="n">
        <x:v>44</x:v>
      </x:c>
      <x:c r="D796" s="89" t="n">
        <x:v>45712</x:v>
      </x:c>
      <x:c r="E796" s="84" t="n">
        <x:v>2</x:v>
      </x:c>
      <x:c r="F796" s="91" t="n">
        <x:v>2502.96</x:v>
      </x:c>
    </x:row>
    <x:row r="797">
      <x:c r="A797" s="83" t="n">
        <x:v>796</x:v>
      </x:c>
      <x:c r="B797" s="84" t="n">
        <x:v>580</x:v>
      </x:c>
      <x:c r="C797" s="84" t="n">
        <x:v>49</x:v>
      </x:c>
      <x:c r="D797" s="89" t="n">
        <x:v>45700</x:v>
      </x:c>
      <x:c r="E797" s="84" t="n">
        <x:v>1</x:v>
      </x:c>
      <x:c r="F797" s="91" t="n">
        <x:v>184.16</x:v>
      </x:c>
    </x:row>
    <x:row r="798">
      <x:c r="A798" s="83" t="n">
        <x:v>797</x:v>
      </x:c>
      <x:c r="B798" s="84" t="n">
        <x:v>581</x:v>
      </x:c>
      <x:c r="C798" s="84" t="n">
        <x:v>61</x:v>
      </x:c>
      <x:c r="D798" s="89" t="n">
        <x:v>45031</x:v>
      </x:c>
      <x:c r="E798" s="84" t="n">
        <x:v>3</x:v>
      </x:c>
      <x:c r="F798" s="91" t="n">
        <x:v>395.16</x:v>
      </x:c>
    </x:row>
    <x:row r="799">
      <x:c r="A799" s="83" t="n">
        <x:v>798</x:v>
      </x:c>
      <x:c r="B799" s="84" t="n">
        <x:v>581</x:v>
      </x:c>
      <x:c r="C799" s="84" t="n">
        <x:v>76</x:v>
      </x:c>
      <x:c r="D799" s="89" t="n">
        <x:v>45031</x:v>
      </x:c>
      <x:c r="E799" s="84" t="n">
        <x:v>1</x:v>
      </x:c>
      <x:c r="F799" s="91" t="n">
        <x:v>719.81</x:v>
      </x:c>
    </x:row>
    <x:row r="800">
      <x:c r="A800" s="83" t="n">
        <x:v>799</x:v>
      </x:c>
      <x:c r="B800" s="84" t="n">
        <x:v>583</x:v>
      </x:c>
      <x:c r="C800" s="84" t="n">
        <x:v>5</x:v>
      </x:c>
      <x:c r="D800" s="89" t="n">
        <x:v>45887</x:v>
      </x:c>
      <x:c r="E800" s="84" t="n">
        <x:v>1</x:v>
      </x:c>
      <x:c r="F800" s="91" t="n">
        <x:v>1468.5</x:v>
      </x:c>
    </x:row>
    <x:row r="801">
      <x:c r="A801" s="83" t="n">
        <x:v>800</x:v>
      </x:c>
      <x:c r="B801" s="84" t="n">
        <x:v>583</x:v>
      </x:c>
      <x:c r="C801" s="84" t="n">
        <x:v>41</x:v>
      </x:c>
      <x:c r="D801" s="89" t="n">
        <x:v>45887</x:v>
      </x:c>
      <x:c r="E801" s="84" t="n">
        <x:v>3</x:v>
      </x:c>
      <x:c r="F801" s="91" t="n">
        <x:v>3546.06</x:v>
      </x:c>
    </x:row>
    <x:row r="802">
      <x:c r="A802" s="83" t="n">
        <x:v>801</x:v>
      </x:c>
      <x:c r="B802" s="84" t="n">
        <x:v>583</x:v>
      </x:c>
      <x:c r="C802" s="84" t="n">
        <x:v>36</x:v>
      </x:c>
      <x:c r="D802" s="89" t="n">
        <x:v>45887</x:v>
      </x:c>
      <x:c r="E802" s="84" t="n">
        <x:v>4</x:v>
      </x:c>
      <x:c r="F802" s="91" t="n">
        <x:v>2385.64</x:v>
      </x:c>
    </x:row>
    <x:row r="803">
      <x:c r="A803" s="83" t="n">
        <x:v>802</x:v>
      </x:c>
      <x:c r="B803" s="84" t="n">
        <x:v>584</x:v>
      </x:c>
      <x:c r="C803" s="84" t="n">
        <x:v>48</x:v>
      </x:c>
      <x:c r="D803" s="89" t="n">
        <x:v>45955</x:v>
      </x:c>
      <x:c r="E803" s="84" t="n">
        <x:v>4</x:v>
      </x:c>
      <x:c r="F803" s="91" t="n">
        <x:v>4645.8</x:v>
      </x:c>
    </x:row>
    <x:row r="804">
      <x:c r="A804" s="83" t="n">
        <x:v>803</x:v>
      </x:c>
      <x:c r="B804" s="84" t="n">
        <x:v>584</x:v>
      </x:c>
      <x:c r="C804" s="84" t="n">
        <x:v>5</x:v>
      </x:c>
      <x:c r="D804" s="89" t="n">
        <x:v>45955</x:v>
      </x:c>
      <x:c r="E804" s="84" t="n">
        <x:v>3</x:v>
      </x:c>
      <x:c r="F804" s="91" t="n">
        <x:v>4405.5</x:v>
      </x:c>
    </x:row>
    <x:row r="805">
      <x:c r="A805" s="83" t="n">
        <x:v>804</x:v>
      </x:c>
      <x:c r="B805" s="84" t="n">
        <x:v>584</x:v>
      </x:c>
      <x:c r="C805" s="84" t="n">
        <x:v>13</x:v>
      </x:c>
      <x:c r="D805" s="89" t="n">
        <x:v>45955</x:v>
      </x:c>
      <x:c r="E805" s="84" t="n">
        <x:v>4</x:v>
      </x:c>
      <x:c r="F805" s="91" t="n">
        <x:v>3208.2</x:v>
      </x:c>
    </x:row>
    <x:row r="806">
      <x:c r="A806" s="83" t="n">
        <x:v>805</x:v>
      </x:c>
      <x:c r="B806" s="84" t="n">
        <x:v>585</x:v>
      </x:c>
      <x:c r="C806" s="84" t="n">
        <x:v>24</x:v>
      </x:c>
      <x:c r="D806" s="89" t="n">
        <x:v>45525</x:v>
      </x:c>
      <x:c r="E806" s="84" t="n">
        <x:v>3</x:v>
      </x:c>
      <x:c r="F806" s="91" t="n">
        <x:v>2222.73</x:v>
      </x:c>
    </x:row>
    <x:row r="807">
      <x:c r="A807" s="83" t="n">
        <x:v>806</x:v>
      </x:c>
      <x:c r="B807" s="84" t="n">
        <x:v>588</x:v>
      </x:c>
      <x:c r="C807" s="84" t="n">
        <x:v>3</x:v>
      </x:c>
      <x:c r="D807" s="89" t="n">
        <x:v>45228</x:v>
      </x:c>
      <x:c r="E807" s="84" t="n">
        <x:v>2</x:v>
      </x:c>
      <x:c r="F807" s="91" t="n">
        <x:v>2302.28</x:v>
      </x:c>
    </x:row>
    <x:row r="808">
      <x:c r="A808" s="83" t="n">
        <x:v>807</x:v>
      </x:c>
      <x:c r="B808" s="84" t="n">
        <x:v>588</x:v>
      </x:c>
      <x:c r="C808" s="84" t="n">
        <x:v>30</x:v>
      </x:c>
      <x:c r="D808" s="89" t="n">
        <x:v>45228</x:v>
      </x:c>
      <x:c r="E808" s="84" t="n">
        <x:v>3</x:v>
      </x:c>
      <x:c r="F808" s="91" t="n">
        <x:v>3836.28</x:v>
      </x:c>
    </x:row>
    <x:row r="809">
      <x:c r="A809" s="83" t="n">
        <x:v>808</x:v>
      </x:c>
      <x:c r="B809" s="84" t="n">
        <x:v>589</x:v>
      </x:c>
      <x:c r="C809" s="84" t="n">
        <x:v>9</x:v>
      </x:c>
      <x:c r="D809" s="89" t="n">
        <x:v>45694</x:v>
      </x:c>
      <x:c r="E809" s="84" t="n">
        <x:v>2</x:v>
      </x:c>
      <x:c r="F809" s="91" t="n">
        <x:v>3150.12</x:v>
      </x:c>
    </x:row>
    <x:row r="810">
      <x:c r="A810" s="83" t="n">
        <x:v>809</x:v>
      </x:c>
      <x:c r="B810" s="84" t="n">
        <x:v>589</x:v>
      </x:c>
      <x:c r="C810" s="84" t="n">
        <x:v>5</x:v>
      </x:c>
      <x:c r="D810" s="89" t="n">
        <x:v>45694</x:v>
      </x:c>
      <x:c r="E810" s="84" t="n">
        <x:v>4</x:v>
      </x:c>
      <x:c r="F810" s="91" t="n">
        <x:v>5874</x:v>
      </x:c>
    </x:row>
    <x:row r="811">
      <x:c r="A811" s="83" t="n">
        <x:v>810</x:v>
      </x:c>
      <x:c r="B811" s="84" t="n">
        <x:v>589</x:v>
      </x:c>
      <x:c r="C811" s="84" t="n">
        <x:v>15</x:v>
      </x:c>
      <x:c r="D811" s="89" t="n">
        <x:v>45694</x:v>
      </x:c>
      <x:c r="E811" s="84" t="n">
        <x:v>3</x:v>
      </x:c>
      <x:c r="F811" s="91" t="n">
        <x:v>3703.83</x:v>
      </x:c>
    </x:row>
    <x:row r="812">
      <x:c r="A812" s="83" t="n">
        <x:v>811</x:v>
      </x:c>
      <x:c r="B812" s="84" t="n">
        <x:v>590</x:v>
      </x:c>
      <x:c r="C812" s="84" t="n">
        <x:v>71</x:v>
      </x:c>
      <x:c r="D812" s="89" t="n">
        <x:v>44992</x:v>
      </x:c>
      <x:c r="E812" s="84" t="n">
        <x:v>4</x:v>
      </x:c>
      <x:c r="F812" s="91" t="n">
        <x:v>7934.08</x:v>
      </x:c>
    </x:row>
    <x:row r="813">
      <x:c r="A813" s="83" t="n">
        <x:v>812</x:v>
      </x:c>
      <x:c r="B813" s="84" t="n">
        <x:v>591</x:v>
      </x:c>
      <x:c r="C813" s="84" t="n">
        <x:v>74</x:v>
      </x:c>
      <x:c r="D813" s="89" t="n">
        <x:v>45990</x:v>
      </x:c>
      <x:c r="E813" s="84" t="n">
        <x:v>1</x:v>
      </x:c>
      <x:c r="F813" s="91" t="n">
        <x:v>1656.35</x:v>
      </x:c>
    </x:row>
    <x:row r="814">
      <x:c r="A814" s="83" t="n">
        <x:v>813</x:v>
      </x:c>
      <x:c r="B814" s="84" t="n">
        <x:v>591</x:v>
      </x:c>
      <x:c r="C814" s="84" t="n">
        <x:v>60</x:v>
      </x:c>
      <x:c r="D814" s="89" t="n">
        <x:v>45990</x:v>
      </x:c>
      <x:c r="E814" s="84" t="n">
        <x:v>4</x:v>
      </x:c>
      <x:c r="F814" s="91" t="n">
        <x:v>1415.2</x:v>
      </x:c>
    </x:row>
    <x:row r="815">
      <x:c r="A815" s="83" t="n">
        <x:v>814</x:v>
      </x:c>
      <x:c r="B815" s="84" t="n">
        <x:v>592</x:v>
      </x:c>
      <x:c r="C815" s="84" t="n">
        <x:v>12</x:v>
      </x:c>
      <x:c r="D815" s="89" t="n">
        <x:v>44950</x:v>
      </x:c>
      <x:c r="E815" s="84" t="n">
        <x:v>1</x:v>
      </x:c>
      <x:c r="F815" s="91" t="n">
        <x:v>284.49</x:v>
      </x:c>
    </x:row>
    <x:row r="816">
      <x:c r="A816" s="83" t="n">
        <x:v>815</x:v>
      </x:c>
      <x:c r="B816" s="84" t="n">
        <x:v>592</x:v>
      </x:c>
      <x:c r="C816" s="84" t="n">
        <x:v>71</x:v>
      </x:c>
      <x:c r="D816" s="89" t="n">
        <x:v>44950</x:v>
      </x:c>
      <x:c r="E816" s="84" t="n">
        <x:v>4</x:v>
      </x:c>
      <x:c r="F816" s="91" t="n">
        <x:v>7934.08</x:v>
      </x:c>
    </x:row>
    <x:row r="817">
      <x:c r="A817" s="83" t="n">
        <x:v>816</x:v>
      </x:c>
      <x:c r="B817" s="84" t="n">
        <x:v>592</x:v>
      </x:c>
      <x:c r="C817" s="84" t="n">
        <x:v>41</x:v>
      </x:c>
      <x:c r="D817" s="89" t="n">
        <x:v>44950</x:v>
      </x:c>
      <x:c r="E817" s="84" t="n">
        <x:v>3</x:v>
      </x:c>
      <x:c r="F817" s="91" t="n">
        <x:v>3546.06</x:v>
      </x:c>
    </x:row>
    <x:row r="818">
      <x:c r="A818" s="83" t="n">
        <x:v>817</x:v>
      </x:c>
      <x:c r="B818" s="84" t="n">
        <x:v>595</x:v>
      </x:c>
      <x:c r="C818" s="84" t="n">
        <x:v>36</x:v>
      </x:c>
      <x:c r="D818" s="89" t="n">
        <x:v>45634</x:v>
      </x:c>
      <x:c r="E818" s="84" t="n">
        <x:v>1</x:v>
      </x:c>
      <x:c r="F818" s="91" t="n">
        <x:v>596.41</x:v>
      </x:c>
    </x:row>
    <x:row r="819">
      <x:c r="A819" s="83" t="n">
        <x:v>818</x:v>
      </x:c>
      <x:c r="B819" s="84" t="n">
        <x:v>596</x:v>
      </x:c>
      <x:c r="C819" s="84" t="n">
        <x:v>69</x:v>
      </x:c>
      <x:c r="D819" s="89" t="n">
        <x:v>45721</x:v>
      </x:c>
      <x:c r="E819" s="84" t="n">
        <x:v>4</x:v>
      </x:c>
      <x:c r="F819" s="91" t="n">
        <x:v>7081.32</x:v>
      </x:c>
    </x:row>
    <x:row r="820">
      <x:c r="A820" s="83" t="n">
        <x:v>819</x:v>
      </x:c>
      <x:c r="B820" s="84" t="n">
        <x:v>596</x:v>
      </x:c>
      <x:c r="C820" s="84" t="n">
        <x:v>4</x:v>
      </x:c>
      <x:c r="D820" s="89" t="n">
        <x:v>45721</x:v>
      </x:c>
      <x:c r="E820" s="84" t="n">
        <x:v>4</x:v>
      </x:c>
      <x:c r="F820" s="91" t="n">
        <x:v>6101.24</x:v>
      </x:c>
    </x:row>
    <x:row r="821">
      <x:c r="A821" s="83" t="n">
        <x:v>820</x:v>
      </x:c>
      <x:c r="B821" s="84" t="n">
        <x:v>597</x:v>
      </x:c>
      <x:c r="C821" s="84" t="n">
        <x:v>25</x:v>
      </x:c>
      <x:c r="D821" s="89" t="n">
        <x:v>45225</x:v>
      </x:c>
      <x:c r="E821" s="84" t="n">
        <x:v>1</x:v>
      </x:c>
      <x:c r="F821" s="91" t="n">
        <x:v>1079.45</x:v>
      </x:c>
    </x:row>
    <x:row r="822">
      <x:c r="A822" s="83" t="n">
        <x:v>821</x:v>
      </x:c>
      <x:c r="B822" s="84" t="n">
        <x:v>597</x:v>
      </x:c>
      <x:c r="C822" s="84" t="n">
        <x:v>72</x:v>
      </x:c>
      <x:c r="D822" s="89" t="n">
        <x:v>45225</x:v>
      </x:c>
      <x:c r="E822" s="84" t="n">
        <x:v>4</x:v>
      </x:c>
      <x:c r="F822" s="91" t="n">
        <x:v>1803.32</x:v>
      </x:c>
    </x:row>
    <x:row r="823">
      <x:c r="A823" s="83" t="n">
        <x:v>822</x:v>
      </x:c>
      <x:c r="B823" s="84" t="n">
        <x:v>597</x:v>
      </x:c>
      <x:c r="C823" s="84" t="n">
        <x:v>79</x:v>
      </x:c>
      <x:c r="D823" s="89" t="n">
        <x:v>45225</x:v>
      </x:c>
      <x:c r="E823" s="84" t="n">
        <x:v>2</x:v>
      </x:c>
      <x:c r="F823" s="91" t="n">
        <x:v>4133.44</x:v>
      </x:c>
    </x:row>
    <x:row r="824">
      <x:c r="A824" s="83" t="n">
        <x:v>823</x:v>
      </x:c>
      <x:c r="B824" s="84" t="n">
        <x:v>598</x:v>
      </x:c>
      <x:c r="C824" s="84" t="n">
        <x:v>13</x:v>
      </x:c>
      <x:c r="D824" s="89" t="n">
        <x:v>45589</x:v>
      </x:c>
      <x:c r="E824" s="84" t="n">
        <x:v>1</x:v>
      </x:c>
      <x:c r="F824" s="91" t="n">
        <x:v>802.05</x:v>
      </x:c>
    </x:row>
    <x:row r="825">
      <x:c r="A825" s="83" t="n">
        <x:v>824</x:v>
      </x:c>
      <x:c r="B825" s="84" t="n">
        <x:v>598</x:v>
      </x:c>
      <x:c r="C825" s="84" t="n">
        <x:v>43</x:v>
      </x:c>
      <x:c r="D825" s="89" t="n">
        <x:v>45589</x:v>
      </x:c>
      <x:c r="E825" s="84" t="n">
        <x:v>4</x:v>
      </x:c>
      <x:c r="F825" s="91" t="n">
        <x:v>5861.68</x:v>
      </x:c>
    </x:row>
    <x:row r="826">
      <x:c r="A826" s="83" t="n">
        <x:v>825</x:v>
      </x:c>
      <x:c r="B826" s="84" t="n">
        <x:v>598</x:v>
      </x:c>
      <x:c r="C826" s="84" t="n">
        <x:v>37</x:v>
      </x:c>
      <x:c r="D826" s="89" t="n">
        <x:v>45589</x:v>
      </x:c>
      <x:c r="E826" s="84" t="n">
        <x:v>1</x:v>
      </x:c>
      <x:c r="F826" s="91" t="n">
        <x:v>1033.71</x:v>
      </x:c>
    </x:row>
    <x:row r="827">
      <x:c r="A827" s="83" t="n">
        <x:v>826</x:v>
      </x:c>
      <x:c r="B827" s="84" t="n">
        <x:v>599</x:v>
      </x:c>
      <x:c r="C827" s="84" t="n">
        <x:v>65</x:v>
      </x:c>
      <x:c r="D827" s="89" t="n">
        <x:v>45827</x:v>
      </x:c>
      <x:c r="E827" s="84" t="n">
        <x:v>4</x:v>
      </x:c>
      <x:c r="F827" s="91" t="n">
        <x:v>5019.36</x:v>
      </x:c>
    </x:row>
    <x:row r="828">
      <x:c r="A828" s="83" t="n">
        <x:v>827</x:v>
      </x:c>
      <x:c r="B828" s="84" t="n">
        <x:v>600</x:v>
      </x:c>
      <x:c r="C828" s="84" t="n">
        <x:v>39</x:v>
      </x:c>
      <x:c r="D828" s="89" t="n">
        <x:v>45970</x:v>
      </x:c>
      <x:c r="E828" s="84" t="n">
        <x:v>2</x:v>
      </x:c>
      <x:c r="F828" s="91" t="n">
        <x:v>1355.2</x:v>
      </x:c>
    </x:row>
    <x:row r="829">
      <x:c r="A829" s="83" t="n">
        <x:v>828</x:v>
      </x:c>
      <x:c r="B829" s="84" t="n">
        <x:v>601</x:v>
      </x:c>
      <x:c r="C829" s="84" t="n">
        <x:v>36</x:v>
      </x:c>
      <x:c r="D829" s="89" t="n">
        <x:v>45249</x:v>
      </x:c>
      <x:c r="E829" s="84" t="n">
        <x:v>4</x:v>
      </x:c>
      <x:c r="F829" s="91" t="n">
        <x:v>2385.64</x:v>
      </x:c>
    </x:row>
    <x:row r="830">
      <x:c r="A830" s="83" t="n">
        <x:v>829</x:v>
      </x:c>
      <x:c r="B830" s="84" t="n">
        <x:v>601</x:v>
      </x:c>
      <x:c r="C830" s="84" t="n">
        <x:v>19</x:v>
      </x:c>
      <x:c r="D830" s="89" t="n">
        <x:v>45249</x:v>
      </x:c>
      <x:c r="E830" s="84" t="n">
        <x:v>2</x:v>
      </x:c>
      <x:c r="F830" s="91" t="n">
        <x:v>2175.42</x:v>
      </x:c>
    </x:row>
    <x:row r="831">
      <x:c r="A831" s="83" t="n">
        <x:v>830</x:v>
      </x:c>
      <x:c r="B831" s="84" t="n">
        <x:v>601</x:v>
      </x:c>
      <x:c r="C831" s="84" t="n">
        <x:v>1</x:v>
      </x:c>
      <x:c r="D831" s="89" t="n">
        <x:v>45249</x:v>
      </x:c>
      <x:c r="E831" s="84" t="n">
        <x:v>3</x:v>
      </x:c>
      <x:c r="F831" s="91" t="n">
        <x:v>5218.8</x:v>
      </x:c>
    </x:row>
    <x:row r="832">
      <x:c r="A832" s="83" t="n">
        <x:v>831</x:v>
      </x:c>
      <x:c r="B832" s="84" t="n">
        <x:v>602</x:v>
      </x:c>
      <x:c r="C832" s="84" t="n">
        <x:v>22</x:v>
      </x:c>
      <x:c r="D832" s="89" t="n">
        <x:v>45986</x:v>
      </x:c>
      <x:c r="E832" s="84" t="n">
        <x:v>3</x:v>
      </x:c>
      <x:c r="F832" s="91" t="n">
        <x:v>1565.67</x:v>
      </x:c>
    </x:row>
    <x:row r="833">
      <x:c r="A833" s="83" t="n">
        <x:v>832</x:v>
      </x:c>
      <x:c r="B833" s="84" t="n">
        <x:v>603</x:v>
      </x:c>
      <x:c r="C833" s="84" t="n">
        <x:v>25</x:v>
      </x:c>
      <x:c r="D833" s="89" t="n">
        <x:v>45950</x:v>
      </x:c>
      <x:c r="E833" s="84" t="n">
        <x:v>3</x:v>
      </x:c>
      <x:c r="F833" s="91" t="n">
        <x:v>3238.35</x:v>
      </x:c>
    </x:row>
    <x:row r="834">
      <x:c r="A834" s="83" t="n">
        <x:v>833</x:v>
      </x:c>
      <x:c r="B834" s="84" t="n">
        <x:v>605</x:v>
      </x:c>
      <x:c r="C834" s="84" t="n">
        <x:v>70</x:v>
      </x:c>
      <x:c r="D834" s="89" t="n">
        <x:v>45341</x:v>
      </x:c>
      <x:c r="E834" s="84" t="n">
        <x:v>3</x:v>
      </x:c>
      <x:c r="F834" s="91" t="n">
        <x:v>2308.62</x:v>
      </x:c>
    </x:row>
    <x:row r="835">
      <x:c r="A835" s="83" t="n">
        <x:v>834</x:v>
      </x:c>
      <x:c r="B835" s="84" t="n">
        <x:v>605</x:v>
      </x:c>
      <x:c r="C835" s="84" t="n">
        <x:v>40</x:v>
      </x:c>
      <x:c r="D835" s="89" t="n">
        <x:v>45341</x:v>
      </x:c>
      <x:c r="E835" s="84" t="n">
        <x:v>1</x:v>
      </x:c>
      <x:c r="F835" s="91" t="n">
        <x:v>2035.04</x:v>
      </x:c>
    </x:row>
    <x:row r="836">
      <x:c r="A836" s="83" t="n">
        <x:v>835</x:v>
      </x:c>
      <x:c r="B836" s="84" t="n">
        <x:v>605</x:v>
      </x:c>
      <x:c r="C836" s="84" t="n">
        <x:v>52</x:v>
      </x:c>
      <x:c r="D836" s="89" t="n">
        <x:v>45341</x:v>
      </x:c>
      <x:c r="E836" s="84" t="n">
        <x:v>1</x:v>
      </x:c>
      <x:c r="F836" s="91" t="n">
        <x:v>880.63</x:v>
      </x:c>
    </x:row>
    <x:row r="837">
      <x:c r="A837" s="83" t="n">
        <x:v>836</x:v>
      </x:c>
      <x:c r="B837" s="84" t="n">
        <x:v>606</x:v>
      </x:c>
      <x:c r="C837" s="84" t="n">
        <x:v>66</x:v>
      </x:c>
      <x:c r="D837" s="89" t="n">
        <x:v>45343</x:v>
      </x:c>
      <x:c r="E837" s="84" t="n">
        <x:v>2</x:v>
      </x:c>
      <x:c r="F837" s="91" t="n">
        <x:v>3824.9</x:v>
      </x:c>
    </x:row>
    <x:row r="838">
      <x:c r="A838" s="83" t="n">
        <x:v>837</x:v>
      </x:c>
      <x:c r="B838" s="84" t="n">
        <x:v>606</x:v>
      </x:c>
      <x:c r="C838" s="84" t="n">
        <x:v>32</x:v>
      </x:c>
      <x:c r="D838" s="89" t="n">
        <x:v>45343</x:v>
      </x:c>
      <x:c r="E838" s="84" t="n">
        <x:v>2</x:v>
      </x:c>
      <x:c r="F838" s="91" t="n">
        <x:v>3626.5</x:v>
      </x:c>
    </x:row>
    <x:row r="839">
      <x:c r="A839" s="83" t="n">
        <x:v>838</x:v>
      </x:c>
      <x:c r="B839" s="84" t="n">
        <x:v>608</x:v>
      </x:c>
      <x:c r="C839" s="84" t="n">
        <x:v>70</x:v>
      </x:c>
      <x:c r="D839" s="89" t="n">
        <x:v>45410</x:v>
      </x:c>
      <x:c r="E839" s="84" t="n">
        <x:v>3</x:v>
      </x:c>
      <x:c r="F839" s="91" t="n">
        <x:v>2308.62</x:v>
      </x:c>
    </x:row>
    <x:row r="840">
      <x:c r="A840" s="83" t="n">
        <x:v>839</x:v>
      </x:c>
      <x:c r="B840" s="84" t="n">
        <x:v>609</x:v>
      </x:c>
      <x:c r="C840" s="84" t="n">
        <x:v>55</x:v>
      </x:c>
      <x:c r="D840" s="89" t="n">
        <x:v>45456</x:v>
      </x:c>
      <x:c r="E840" s="84" t="n">
        <x:v>2</x:v>
      </x:c>
      <x:c r="F840" s="91" t="n">
        <x:v>2999.7</x:v>
      </x:c>
    </x:row>
    <x:row r="841">
      <x:c r="A841" s="83" t="n">
        <x:v>840</x:v>
      </x:c>
      <x:c r="B841" s="84" t="n">
        <x:v>609</x:v>
      </x:c>
      <x:c r="C841" s="84" t="n">
        <x:v>59</x:v>
      </x:c>
      <x:c r="D841" s="89" t="n">
        <x:v>45456</x:v>
      </x:c>
      <x:c r="E841" s="84" t="n">
        <x:v>2</x:v>
      </x:c>
      <x:c r="F841" s="91" t="n">
        <x:v>3032.9</x:v>
      </x:c>
    </x:row>
    <x:row r="842">
      <x:c r="A842" s="83" t="n">
        <x:v>841</x:v>
      </x:c>
      <x:c r="B842" s="84" t="n">
        <x:v>610</x:v>
      </x:c>
      <x:c r="C842" s="84" t="n">
        <x:v>45</x:v>
      </x:c>
      <x:c r="D842" s="89" t="n">
        <x:v>45664</x:v>
      </x:c>
      <x:c r="E842" s="84" t="n">
        <x:v>4</x:v>
      </x:c>
      <x:c r="F842" s="91" t="n">
        <x:v>5565.68</x:v>
      </x:c>
    </x:row>
    <x:row r="843">
      <x:c r="A843" s="83" t="n">
        <x:v>842</x:v>
      </x:c>
      <x:c r="B843" s="84" t="n">
        <x:v>610</x:v>
      </x:c>
      <x:c r="C843" s="84" t="n">
        <x:v>2</x:v>
      </x:c>
      <x:c r="D843" s="89" t="n">
        <x:v>45664</x:v>
      </x:c>
      <x:c r="E843" s="84" t="n">
        <x:v>1</x:v>
      </x:c>
      <x:c r="F843" s="91" t="n">
        <x:v>994.31</x:v>
      </x:c>
    </x:row>
    <x:row r="844">
      <x:c r="A844" s="83" t="n">
        <x:v>843</x:v>
      </x:c>
      <x:c r="B844" s="84" t="n">
        <x:v>610</x:v>
      </x:c>
      <x:c r="C844" s="84" t="n">
        <x:v>76</x:v>
      </x:c>
      <x:c r="D844" s="89" t="n">
        <x:v>45664</x:v>
      </x:c>
      <x:c r="E844" s="84" t="n">
        <x:v>1</x:v>
      </x:c>
      <x:c r="F844" s="91" t="n">
        <x:v>719.81</x:v>
      </x:c>
    </x:row>
    <x:row r="845">
      <x:c r="A845" s="83" t="n">
        <x:v>844</x:v>
      </x:c>
      <x:c r="B845" s="84" t="n">
        <x:v>612</x:v>
      </x:c>
      <x:c r="C845" s="84" t="n">
        <x:v>79</x:v>
      </x:c>
      <x:c r="D845" s="89" t="n">
        <x:v>45326</x:v>
      </x:c>
      <x:c r="E845" s="84" t="n">
        <x:v>2</x:v>
      </x:c>
      <x:c r="F845" s="91" t="n">
        <x:v>4133.44</x:v>
      </x:c>
    </x:row>
    <x:row r="846">
      <x:c r="A846" s="83" t="n">
        <x:v>845</x:v>
      </x:c>
      <x:c r="B846" s="84" t="n">
        <x:v>612</x:v>
      </x:c>
      <x:c r="C846" s="84" t="n">
        <x:v>49</x:v>
      </x:c>
      <x:c r="D846" s="89" t="n">
        <x:v>45326</x:v>
      </x:c>
      <x:c r="E846" s="84" t="n">
        <x:v>4</x:v>
      </x:c>
      <x:c r="F846" s="91" t="n">
        <x:v>736.64</x:v>
      </x:c>
    </x:row>
    <x:row r="847">
      <x:c r="A847" s="83" t="n">
        <x:v>846</x:v>
      </x:c>
      <x:c r="B847" s="84" t="n">
        <x:v>613</x:v>
      </x:c>
      <x:c r="C847" s="84" t="n">
        <x:v>43</x:v>
      </x:c>
      <x:c r="D847" s="89" t="n">
        <x:v>45521</x:v>
      </x:c>
      <x:c r="E847" s="84" t="n">
        <x:v>3</x:v>
      </x:c>
      <x:c r="F847" s="91" t="n">
        <x:v>4396.26</x:v>
      </x:c>
    </x:row>
    <x:row r="848">
      <x:c r="A848" s="83" t="n">
        <x:v>847</x:v>
      </x:c>
      <x:c r="B848" s="84" t="n">
        <x:v>613</x:v>
      </x:c>
      <x:c r="C848" s="84" t="n">
        <x:v>6</x:v>
      </x:c>
      <x:c r="D848" s="89" t="n">
        <x:v>45521</x:v>
      </x:c>
      <x:c r="E848" s="84" t="n">
        <x:v>4</x:v>
      </x:c>
      <x:c r="F848" s="91" t="n">
        <x:v>2789.48</x:v>
      </x:c>
    </x:row>
    <x:row r="849">
      <x:c r="A849" s="83" t="n">
        <x:v>848</x:v>
      </x:c>
      <x:c r="B849" s="84" t="n">
        <x:v>613</x:v>
      </x:c>
      <x:c r="C849" s="84" t="n">
        <x:v>3</x:v>
      </x:c>
      <x:c r="D849" s="89" t="n">
        <x:v>45521</x:v>
      </x:c>
      <x:c r="E849" s="84" t="n">
        <x:v>1</x:v>
      </x:c>
      <x:c r="F849" s="91" t="n">
        <x:v>1151.14</x:v>
      </x:c>
    </x:row>
    <x:row r="850">
      <x:c r="A850" s="83" t="n">
        <x:v>849</x:v>
      </x:c>
      <x:c r="B850" s="84" t="n">
        <x:v>614</x:v>
      </x:c>
      <x:c r="C850" s="84" t="n">
        <x:v>74</x:v>
      </x:c>
      <x:c r="D850" s="89" t="n">
        <x:v>45604</x:v>
      </x:c>
      <x:c r="E850" s="84" t="n">
        <x:v>3</x:v>
      </x:c>
      <x:c r="F850" s="91" t="n">
        <x:v>4969.05</x:v>
      </x:c>
    </x:row>
    <x:row r="851">
      <x:c r="A851" s="83" t="n">
        <x:v>850</x:v>
      </x:c>
      <x:c r="B851" s="84" t="n">
        <x:v>616</x:v>
      </x:c>
      <x:c r="C851" s="84" t="n">
        <x:v>58</x:v>
      </x:c>
      <x:c r="D851" s="89" t="n">
        <x:v>45662</x:v>
      </x:c>
      <x:c r="E851" s="84" t="n">
        <x:v>3</x:v>
      </x:c>
      <x:c r="F851" s="91" t="n">
        <x:v>6054.54</x:v>
      </x:c>
    </x:row>
    <x:row r="852">
      <x:c r="A852" s="83" t="n">
        <x:v>851</x:v>
      </x:c>
      <x:c r="B852" s="84" t="n">
        <x:v>616</x:v>
      </x:c>
      <x:c r="C852" s="84" t="n">
        <x:v>73</x:v>
      </x:c>
      <x:c r="D852" s="89" t="n">
        <x:v>45662</x:v>
      </x:c>
      <x:c r="E852" s="84" t="n">
        <x:v>1</x:v>
      </x:c>
      <x:c r="F852" s="91" t="n">
        <x:v>1127.31</x:v>
      </x:c>
    </x:row>
    <x:row r="853">
      <x:c r="A853" s="83" t="n">
        <x:v>852</x:v>
      </x:c>
      <x:c r="B853" s="84" t="n">
        <x:v>616</x:v>
      </x:c>
      <x:c r="C853" s="84" t="n">
        <x:v>22</x:v>
      </x:c>
      <x:c r="D853" s="89" t="n">
        <x:v>45662</x:v>
      </x:c>
      <x:c r="E853" s="84" t="n">
        <x:v>2</x:v>
      </x:c>
      <x:c r="F853" s="91" t="n">
        <x:v>1043.78</x:v>
      </x:c>
    </x:row>
    <x:row r="854">
      <x:c r="A854" s="83" t="n">
        <x:v>853</x:v>
      </x:c>
      <x:c r="B854" s="84" t="n">
        <x:v>617</x:v>
      </x:c>
      <x:c r="C854" s="84" t="n">
        <x:v>19</x:v>
      </x:c>
      <x:c r="D854" s="89" t="n">
        <x:v>45064</x:v>
      </x:c>
      <x:c r="E854" s="84" t="n">
        <x:v>3</x:v>
      </x:c>
      <x:c r="F854" s="91" t="n">
        <x:v>3263.13</x:v>
      </x:c>
    </x:row>
    <x:row r="855">
      <x:c r="A855" s="83" t="n">
        <x:v>854</x:v>
      </x:c>
      <x:c r="B855" s="84" t="n">
        <x:v>617</x:v>
      </x:c>
      <x:c r="C855" s="84" t="n">
        <x:v>8</x:v>
      </x:c>
      <x:c r="D855" s="89" t="n">
        <x:v>45064</x:v>
      </x:c>
      <x:c r="E855" s="84" t="n">
        <x:v>1</x:v>
      </x:c>
      <x:c r="F855" s="91" t="n">
        <x:v>1666.19</x:v>
      </x:c>
    </x:row>
    <x:row r="856">
      <x:c r="A856" s="83" t="n">
        <x:v>855</x:v>
      </x:c>
      <x:c r="B856" s="84" t="n">
        <x:v>618</x:v>
      </x:c>
      <x:c r="C856" s="84" t="n">
        <x:v>61</x:v>
      </x:c>
      <x:c r="D856" s="89" t="n">
        <x:v>45656</x:v>
      </x:c>
      <x:c r="E856" s="84" t="n">
        <x:v>1</x:v>
      </x:c>
      <x:c r="F856" s="91" t="n">
        <x:v>131.72</x:v>
      </x:c>
    </x:row>
    <x:row r="857">
      <x:c r="A857" s="83" t="n">
        <x:v>856</x:v>
      </x:c>
      <x:c r="B857" s="84" t="n">
        <x:v>619</x:v>
      </x:c>
      <x:c r="C857" s="84" t="n">
        <x:v>42</x:v>
      </x:c>
      <x:c r="D857" s="89" t="n">
        <x:v>45763</x:v>
      </x:c>
      <x:c r="E857" s="84" t="n">
        <x:v>2</x:v>
      </x:c>
      <x:c r="F857" s="91" t="n">
        <x:v>4343.48</x:v>
      </x:c>
    </x:row>
    <x:row r="858">
      <x:c r="A858" s="83" t="n">
        <x:v>857</x:v>
      </x:c>
      <x:c r="B858" s="84" t="n">
        <x:v>619</x:v>
      </x:c>
      <x:c r="C858" s="84" t="n">
        <x:v>53</x:v>
      </x:c>
      <x:c r="D858" s="89" t="n">
        <x:v>45763</x:v>
      </x:c>
      <x:c r="E858" s="84" t="n">
        <x:v>4</x:v>
      </x:c>
      <x:c r="F858" s="91" t="n">
        <x:v>6363.68</x:v>
      </x:c>
    </x:row>
    <x:row r="859">
      <x:c r="A859" s="83" t="n">
        <x:v>858</x:v>
      </x:c>
      <x:c r="B859" s="84" t="n">
        <x:v>619</x:v>
      </x:c>
      <x:c r="C859" s="84" t="n">
        <x:v>25</x:v>
      </x:c>
      <x:c r="D859" s="89" t="n">
        <x:v>45763</x:v>
      </x:c>
      <x:c r="E859" s="84" t="n">
        <x:v>3</x:v>
      </x:c>
      <x:c r="F859" s="91" t="n">
        <x:v>3238.35</x:v>
      </x:c>
    </x:row>
    <x:row r="860">
      <x:c r="A860" s="83" t="n">
        <x:v>859</x:v>
      </x:c>
      <x:c r="B860" s="84" t="n">
        <x:v>620</x:v>
      </x:c>
      <x:c r="C860" s="84" t="n">
        <x:v>24</x:v>
      </x:c>
      <x:c r="D860" s="89" t="n">
        <x:v>45593</x:v>
      </x:c>
      <x:c r="E860" s="84" t="n">
        <x:v>3</x:v>
      </x:c>
      <x:c r="F860" s="91" t="n">
        <x:v>2222.73</x:v>
      </x:c>
    </x:row>
    <x:row r="861">
      <x:c r="A861" s="83" t="n">
        <x:v>860</x:v>
      </x:c>
      <x:c r="B861" s="84" t="n">
        <x:v>620</x:v>
      </x:c>
      <x:c r="C861" s="84" t="n">
        <x:v>67</x:v>
      </x:c>
      <x:c r="D861" s="89" t="n">
        <x:v>45593</x:v>
      </x:c>
      <x:c r="E861" s="84" t="n">
        <x:v>1</x:v>
      </x:c>
      <x:c r="F861" s="91" t="n">
        <x:v>1279.53</x:v>
      </x:c>
    </x:row>
    <x:row r="862">
      <x:c r="A862" s="83" t="n">
        <x:v>861</x:v>
      </x:c>
      <x:c r="B862" s="84" t="n">
        <x:v>622</x:v>
      </x:c>
      <x:c r="C862" s="84" t="n">
        <x:v>58</x:v>
      </x:c>
      <x:c r="D862" s="89" t="n">
        <x:v>45207</x:v>
      </x:c>
      <x:c r="E862" s="84" t="n">
        <x:v>2</x:v>
      </x:c>
      <x:c r="F862" s="91" t="n">
        <x:v>4036.36</x:v>
      </x:c>
    </x:row>
    <x:row r="863">
      <x:c r="A863" s="83" t="n">
        <x:v>862</x:v>
      </x:c>
      <x:c r="B863" s="84" t="n">
        <x:v>622</x:v>
      </x:c>
      <x:c r="C863" s="84" t="n">
        <x:v>10</x:v>
      </x:c>
      <x:c r="D863" s="89" t="n">
        <x:v>45207</x:v>
      </x:c>
      <x:c r="E863" s="84" t="n">
        <x:v>4</x:v>
      </x:c>
      <x:c r="F863" s="91" t="n">
        <x:v>3499.44</x:v>
      </x:c>
    </x:row>
    <x:row r="864">
      <x:c r="A864" s="83" t="n">
        <x:v>863</x:v>
      </x:c>
      <x:c r="B864" s="84" t="n">
        <x:v>623</x:v>
      </x:c>
      <x:c r="C864" s="84" t="n">
        <x:v>15</x:v>
      </x:c>
      <x:c r="D864" s="89" t="n">
        <x:v>45145</x:v>
      </x:c>
      <x:c r="E864" s="84" t="n">
        <x:v>4</x:v>
      </x:c>
      <x:c r="F864" s="91" t="n">
        <x:v>4938.44</x:v>
      </x:c>
    </x:row>
    <x:row r="865">
      <x:c r="A865" s="83" t="n">
        <x:v>864</x:v>
      </x:c>
      <x:c r="B865" s="84" t="n">
        <x:v>624</x:v>
      </x:c>
      <x:c r="C865" s="84" t="n">
        <x:v>58</x:v>
      </x:c>
      <x:c r="D865" s="89" t="n">
        <x:v>45347</x:v>
      </x:c>
      <x:c r="E865" s="84" t="n">
        <x:v>3</x:v>
      </x:c>
      <x:c r="F865" s="91" t="n">
        <x:v>6054.54</x:v>
      </x:c>
    </x:row>
    <x:row r="866">
      <x:c r="A866" s="83" t="n">
        <x:v>865</x:v>
      </x:c>
      <x:c r="B866" s="84" t="n">
        <x:v>624</x:v>
      </x:c>
      <x:c r="C866" s="84" t="n">
        <x:v>25</x:v>
      </x:c>
      <x:c r="D866" s="89" t="n">
        <x:v>45347</x:v>
      </x:c>
      <x:c r="E866" s="84" t="n">
        <x:v>1</x:v>
      </x:c>
      <x:c r="F866" s="91" t="n">
        <x:v>1079.45</x:v>
      </x:c>
    </x:row>
    <x:row r="867">
      <x:c r="A867" s="83" t="n">
        <x:v>866</x:v>
      </x:c>
      <x:c r="B867" s="84" t="n">
        <x:v>624</x:v>
      </x:c>
      <x:c r="C867" s="84" t="n">
        <x:v>71</x:v>
      </x:c>
      <x:c r="D867" s="89" t="n">
        <x:v>45347</x:v>
      </x:c>
      <x:c r="E867" s="84" t="n">
        <x:v>2</x:v>
      </x:c>
      <x:c r="F867" s="91" t="n">
        <x:v>3967.04</x:v>
      </x:c>
    </x:row>
    <x:row r="868">
      <x:c r="A868" s="83" t="n">
        <x:v>867</x:v>
      </x:c>
      <x:c r="B868" s="84" t="n">
        <x:v>626</x:v>
      </x:c>
      <x:c r="C868" s="84" t="n">
        <x:v>33</x:v>
      </x:c>
      <x:c r="D868" s="89" t="n">
        <x:v>45363</x:v>
      </x:c>
      <x:c r="E868" s="84" t="n">
        <x:v>4</x:v>
      </x:c>
      <x:c r="F868" s="91" t="n">
        <x:v>9387.68</x:v>
      </x:c>
    </x:row>
    <x:row r="869">
      <x:c r="A869" s="83" t="n">
        <x:v>868</x:v>
      </x:c>
      <x:c r="B869" s="84" t="n">
        <x:v>626</x:v>
      </x:c>
      <x:c r="C869" s="84" t="n">
        <x:v>6</x:v>
      </x:c>
      <x:c r="D869" s="89" t="n">
        <x:v>45363</x:v>
      </x:c>
      <x:c r="E869" s="84" t="n">
        <x:v>2</x:v>
      </x:c>
      <x:c r="F869" s="91" t="n">
        <x:v>1394.74</x:v>
      </x:c>
    </x:row>
    <x:row r="870">
      <x:c r="A870" s="83" t="n">
        <x:v>869</x:v>
      </x:c>
      <x:c r="B870" s="84" t="n">
        <x:v>629</x:v>
      </x:c>
      <x:c r="C870" s="84" t="n">
        <x:v>66</x:v>
      </x:c>
      <x:c r="D870" s="89" t="n">
        <x:v>44937</x:v>
      </x:c>
      <x:c r="E870" s="84" t="n">
        <x:v>3</x:v>
      </x:c>
      <x:c r="F870" s="91" t="n">
        <x:v>5737.35</x:v>
      </x:c>
    </x:row>
    <x:row r="871">
      <x:c r="A871" s="83" t="n">
        <x:v>870</x:v>
      </x:c>
      <x:c r="B871" s="84" t="n">
        <x:v>630</x:v>
      </x:c>
      <x:c r="C871" s="84" t="n">
        <x:v>7</x:v>
      </x:c>
      <x:c r="D871" s="89" t="n">
        <x:v>45243</x:v>
      </x:c>
      <x:c r="E871" s="84" t="n">
        <x:v>1</x:v>
      </x:c>
      <x:c r="F871" s="91" t="n">
        <x:v>366.8</x:v>
      </x:c>
    </x:row>
    <x:row r="872">
      <x:c r="A872" s="83" t="n">
        <x:v>871</x:v>
      </x:c>
      <x:c r="B872" s="84" t="n">
        <x:v>631</x:v>
      </x:c>
      <x:c r="C872" s="84" t="n">
        <x:v>20</x:v>
      </x:c>
      <x:c r="D872" s="89" t="n">
        <x:v>45440</x:v>
      </x:c>
      <x:c r="E872" s="84" t="n">
        <x:v>4</x:v>
      </x:c>
      <x:c r="F872" s="91" t="n">
        <x:v>2164.8</x:v>
      </x:c>
    </x:row>
    <x:row r="873">
      <x:c r="A873" s="83" t="n">
        <x:v>872</x:v>
      </x:c>
      <x:c r="B873" s="84" t="n">
        <x:v>631</x:v>
      </x:c>
      <x:c r="C873" s="84" t="n">
        <x:v>43</x:v>
      </x:c>
      <x:c r="D873" s="89" t="n">
        <x:v>45440</x:v>
      </x:c>
      <x:c r="E873" s="84" t="n">
        <x:v>3</x:v>
      </x:c>
      <x:c r="F873" s="91" t="n">
        <x:v>4396.26</x:v>
      </x:c>
    </x:row>
    <x:row r="874">
      <x:c r="A874" s="83" t="n">
        <x:v>873</x:v>
      </x:c>
      <x:c r="B874" s="84" t="n">
        <x:v>631</x:v>
      </x:c>
      <x:c r="C874" s="84" t="n">
        <x:v>41</x:v>
      </x:c>
      <x:c r="D874" s="89" t="n">
        <x:v>45440</x:v>
      </x:c>
      <x:c r="E874" s="84" t="n">
        <x:v>4</x:v>
      </x:c>
      <x:c r="F874" s="91" t="n">
        <x:v>4728.08</x:v>
      </x:c>
    </x:row>
    <x:row r="875">
      <x:c r="A875" s="83" t="n">
        <x:v>874</x:v>
      </x:c>
      <x:c r="B875" s="84" t="n">
        <x:v>634</x:v>
      </x:c>
      <x:c r="C875" s="84" t="n">
        <x:v>62</x:v>
      </x:c>
      <x:c r="D875" s="89" t="n">
        <x:v>45878</x:v>
      </x:c>
      <x:c r="E875" s="84" t="n">
        <x:v>2</x:v>
      </x:c>
      <x:c r="F875" s="91" t="n">
        <x:v>3034.62</x:v>
      </x:c>
    </x:row>
    <x:row r="876">
      <x:c r="A876" s="83" t="n">
        <x:v>875</x:v>
      </x:c>
      <x:c r="B876" s="84" t="n">
        <x:v>634</x:v>
      </x:c>
      <x:c r="C876" s="84" t="n">
        <x:v>50</x:v>
      </x:c>
      <x:c r="D876" s="89" t="n">
        <x:v>45878</x:v>
      </x:c>
      <x:c r="E876" s="84" t="n">
        <x:v>4</x:v>
      </x:c>
      <x:c r="F876" s="91" t="n">
        <x:v>8943.8</x:v>
      </x:c>
    </x:row>
    <x:row r="877">
      <x:c r="A877" s="83" t="n">
        <x:v>876</x:v>
      </x:c>
      <x:c r="B877" s="84" t="n">
        <x:v>636</x:v>
      </x:c>
      <x:c r="C877" s="84" t="n">
        <x:v>18</x:v>
      </x:c>
      <x:c r="D877" s="89" t="n">
        <x:v>45626</x:v>
      </x:c>
      <x:c r="E877" s="84" t="n">
        <x:v>2</x:v>
      </x:c>
      <x:c r="F877" s="91" t="n">
        <x:v>1332.32</x:v>
      </x:c>
    </x:row>
    <x:row r="878">
      <x:c r="A878" s="83" t="n">
        <x:v>877</x:v>
      </x:c>
      <x:c r="B878" s="84" t="n">
        <x:v>636</x:v>
      </x:c>
      <x:c r="C878" s="84" t="n">
        <x:v>38</x:v>
      </x:c>
      <x:c r="D878" s="89" t="n">
        <x:v>45626</x:v>
      </x:c>
      <x:c r="E878" s="84" t="n">
        <x:v>4</x:v>
      </x:c>
      <x:c r="F878" s="91" t="n">
        <x:v>2905.96</x:v>
      </x:c>
    </x:row>
    <x:row r="879">
      <x:c r="A879" s="83" t="n">
        <x:v>878</x:v>
      </x:c>
      <x:c r="B879" s="84" t="n">
        <x:v>636</x:v>
      </x:c>
      <x:c r="C879" s="84" t="n">
        <x:v>47</x:v>
      </x:c>
      <x:c r="D879" s="89" t="n">
        <x:v>45626</x:v>
      </x:c>
      <x:c r="E879" s="84" t="n">
        <x:v>3</x:v>
      </x:c>
      <x:c r="F879" s="91" t="n">
        <x:v>6526.86</x:v>
      </x:c>
    </x:row>
    <x:row r="880">
      <x:c r="A880" s="83" t="n">
        <x:v>879</x:v>
      </x:c>
      <x:c r="B880" s="84" t="n">
        <x:v>637</x:v>
      </x:c>
      <x:c r="C880" s="84" t="n">
        <x:v>75</x:v>
      </x:c>
      <x:c r="D880" s="89" t="n">
        <x:v>45641</x:v>
      </x:c>
      <x:c r="E880" s="84" t="n">
        <x:v>1</x:v>
      </x:c>
      <x:c r="F880" s="91" t="n">
        <x:v>456.17</x:v>
      </x:c>
    </x:row>
    <x:row r="881">
      <x:c r="A881" s="83" t="n">
        <x:v>880</x:v>
      </x:c>
      <x:c r="B881" s="84" t="n">
        <x:v>640</x:v>
      </x:c>
      <x:c r="C881" s="84" t="n">
        <x:v>41</x:v>
      </x:c>
      <x:c r="D881" s="89" t="n">
        <x:v>45287</x:v>
      </x:c>
      <x:c r="E881" s="84" t="n">
        <x:v>3</x:v>
      </x:c>
      <x:c r="F881" s="91" t="n">
        <x:v>3546.06</x:v>
      </x:c>
    </x:row>
    <x:row r="882">
      <x:c r="A882" s="83" t="n">
        <x:v>881</x:v>
      </x:c>
      <x:c r="B882" s="84" t="n">
        <x:v>640</x:v>
      </x:c>
      <x:c r="C882" s="84" t="n">
        <x:v>5</x:v>
      </x:c>
      <x:c r="D882" s="89" t="n">
        <x:v>45287</x:v>
      </x:c>
      <x:c r="E882" s="84" t="n">
        <x:v>1</x:v>
      </x:c>
      <x:c r="F882" s="91" t="n">
        <x:v>1468.5</x:v>
      </x:c>
    </x:row>
    <x:row r="883">
      <x:c r="A883" s="83" t="n">
        <x:v>882</x:v>
      </x:c>
      <x:c r="B883" s="84" t="n">
        <x:v>641</x:v>
      </x:c>
      <x:c r="C883" s="84" t="n">
        <x:v>77</x:v>
      </x:c>
      <x:c r="D883" s="89" t="n">
        <x:v>45046</x:v>
      </x:c>
      <x:c r="E883" s="84" t="n">
        <x:v>1</x:v>
      </x:c>
      <x:c r="F883" s="91" t="n">
        <x:v>2102.91</x:v>
      </x:c>
    </x:row>
    <x:row r="884">
      <x:c r="A884" s="83" t="n">
        <x:v>883</x:v>
      </x:c>
      <x:c r="B884" s="84" t="n">
        <x:v>641</x:v>
      </x:c>
      <x:c r="C884" s="84" t="n">
        <x:v>5</x:v>
      </x:c>
      <x:c r="D884" s="89" t="n">
        <x:v>45046</x:v>
      </x:c>
      <x:c r="E884" s="84" t="n">
        <x:v>1</x:v>
      </x:c>
      <x:c r="F884" s="91" t="n">
        <x:v>1468.5</x:v>
      </x:c>
    </x:row>
    <x:row r="885">
      <x:c r="A885" s="83" t="n">
        <x:v>884</x:v>
      </x:c>
      <x:c r="B885" s="84" t="n">
        <x:v>642</x:v>
      </x:c>
      <x:c r="C885" s="84" t="n">
        <x:v>31</x:v>
      </x:c>
      <x:c r="D885" s="89" t="n">
        <x:v>46011</x:v>
      </x:c>
      <x:c r="E885" s="84" t="n">
        <x:v>2</x:v>
      </x:c>
      <x:c r="F885" s="91" t="n">
        <x:v>4339.26</x:v>
      </x:c>
    </x:row>
    <x:row r="886">
      <x:c r="A886" s="83" t="n">
        <x:v>885</x:v>
      </x:c>
      <x:c r="B886" s="84" t="n">
        <x:v>642</x:v>
      </x:c>
      <x:c r="C886" s="84" t="n">
        <x:v>15</x:v>
      </x:c>
      <x:c r="D886" s="89" t="n">
        <x:v>46011</x:v>
      </x:c>
      <x:c r="E886" s="84" t="n">
        <x:v>4</x:v>
      </x:c>
      <x:c r="F886" s="91" t="n">
        <x:v>4938.44</x:v>
      </x:c>
    </x:row>
    <x:row r="887">
      <x:c r="A887" s="83" t="n">
        <x:v>886</x:v>
      </x:c>
      <x:c r="B887" s="84" t="n">
        <x:v>642</x:v>
      </x:c>
      <x:c r="C887" s="84" t="n">
        <x:v>46</x:v>
      </x:c>
      <x:c r="D887" s="89" t="n">
        <x:v>46011</x:v>
      </x:c>
      <x:c r="E887" s="84" t="n">
        <x:v>3</x:v>
      </x:c>
      <x:c r="F887" s="91" t="n">
        <x:v>4004.85</x:v>
      </x:c>
    </x:row>
    <x:row r="888">
      <x:c r="A888" s="83" t="n">
        <x:v>887</x:v>
      </x:c>
      <x:c r="B888" s="84" t="n">
        <x:v>643</x:v>
      </x:c>
      <x:c r="C888" s="84" t="n">
        <x:v>64</x:v>
      </x:c>
      <x:c r="D888" s="89" t="n">
        <x:v>45575</x:v>
      </x:c>
      <x:c r="E888" s="84" t="n">
        <x:v>2</x:v>
      </x:c>
      <x:c r="F888" s="91" t="n">
        <x:v>2930.84</x:v>
      </x:c>
    </x:row>
    <x:row r="889">
      <x:c r="A889" s="83" t="n">
        <x:v>888</x:v>
      </x:c>
      <x:c r="B889" s="84" t="n">
        <x:v>643</x:v>
      </x:c>
      <x:c r="C889" s="84" t="n">
        <x:v>3</x:v>
      </x:c>
      <x:c r="D889" s="89" t="n">
        <x:v>45575</x:v>
      </x:c>
      <x:c r="E889" s="84" t="n">
        <x:v>3</x:v>
      </x:c>
      <x:c r="F889" s="91" t="n">
        <x:v>3453.42</x:v>
      </x:c>
    </x:row>
    <x:row r="890">
      <x:c r="A890" s="83" t="n">
        <x:v>889</x:v>
      </x:c>
      <x:c r="B890" s="84" t="n">
        <x:v>644</x:v>
      </x:c>
      <x:c r="C890" s="84" t="n">
        <x:v>67</x:v>
      </x:c>
      <x:c r="D890" s="89" t="n">
        <x:v>45565</x:v>
      </x:c>
      <x:c r="E890" s="84" t="n">
        <x:v>1</x:v>
      </x:c>
      <x:c r="F890" s="91" t="n">
        <x:v>1279.53</x:v>
      </x:c>
    </x:row>
    <x:row r="891">
      <x:c r="A891" s="83" t="n">
        <x:v>890</x:v>
      </x:c>
      <x:c r="B891" s="84" t="n">
        <x:v>644</x:v>
      </x:c>
      <x:c r="C891" s="84" t="n">
        <x:v>13</x:v>
      </x:c>
      <x:c r="D891" s="89" t="n">
        <x:v>45565</x:v>
      </x:c>
      <x:c r="E891" s="84" t="n">
        <x:v>2</x:v>
      </x:c>
      <x:c r="F891" s="91" t="n">
        <x:v>1604.1</x:v>
      </x:c>
    </x:row>
    <x:row r="892">
      <x:c r="A892" s="83" t="n">
        <x:v>891</x:v>
      </x:c>
      <x:c r="B892" s="84" t="n">
        <x:v>644</x:v>
      </x:c>
      <x:c r="C892" s="84" t="n">
        <x:v>55</x:v>
      </x:c>
      <x:c r="D892" s="89" t="n">
        <x:v>45565</x:v>
      </x:c>
      <x:c r="E892" s="84" t="n">
        <x:v>2</x:v>
      </x:c>
      <x:c r="F892" s="91" t="n">
        <x:v>2999.7</x:v>
      </x:c>
    </x:row>
    <x:row r="893">
      <x:c r="A893" s="83" t="n">
        <x:v>892</x:v>
      </x:c>
      <x:c r="B893" s="84" t="n">
        <x:v>645</x:v>
      </x:c>
      <x:c r="C893" s="84" t="n">
        <x:v>61</x:v>
      </x:c>
      <x:c r="D893" s="89" t="n">
        <x:v>45081</x:v>
      </x:c>
      <x:c r="E893" s="84" t="n">
        <x:v>2</x:v>
      </x:c>
      <x:c r="F893" s="91" t="n">
        <x:v>263.44</x:v>
      </x:c>
    </x:row>
    <x:row r="894">
      <x:c r="A894" s="83" t="n">
        <x:v>893</x:v>
      </x:c>
      <x:c r="B894" s="84" t="n">
        <x:v>646</x:v>
      </x:c>
      <x:c r="C894" s="84" t="n">
        <x:v>80</x:v>
      </x:c>
      <x:c r="D894" s="89" t="n">
        <x:v>45321</x:v>
      </x:c>
      <x:c r="E894" s="84" t="n">
        <x:v>1</x:v>
      </x:c>
      <x:c r="F894" s="91" t="n">
        <x:v>1728.54</x:v>
      </x:c>
    </x:row>
    <x:row r="895">
      <x:c r="A895" s="83" t="n">
        <x:v>894</x:v>
      </x:c>
      <x:c r="B895" s="84" t="n">
        <x:v>649</x:v>
      </x:c>
      <x:c r="C895" s="84" t="n">
        <x:v>55</x:v>
      </x:c>
      <x:c r="D895" s="89" t="n">
        <x:v>45495</x:v>
      </x:c>
      <x:c r="E895" s="84" t="n">
        <x:v>2</x:v>
      </x:c>
      <x:c r="F895" s="91" t="n">
        <x:v>2999.7</x:v>
      </x:c>
    </x:row>
    <x:row r="896">
      <x:c r="A896" s="83" t="n">
        <x:v>895</x:v>
      </x:c>
      <x:c r="B896" s="84" t="n">
        <x:v>649</x:v>
      </x:c>
      <x:c r="C896" s="84" t="n">
        <x:v>31</x:v>
      </x:c>
      <x:c r="D896" s="89" t="n">
        <x:v>45495</x:v>
      </x:c>
      <x:c r="E896" s="84" t="n">
        <x:v>3</x:v>
      </x:c>
      <x:c r="F896" s="91" t="n">
        <x:v>6508.89</x:v>
      </x:c>
    </x:row>
    <x:row r="897">
      <x:c r="A897" s="83" t="n">
        <x:v>896</x:v>
      </x:c>
      <x:c r="B897" s="84" t="n">
        <x:v>650</x:v>
      </x:c>
      <x:c r="C897" s="84" t="n">
        <x:v>71</x:v>
      </x:c>
      <x:c r="D897" s="89" t="n">
        <x:v>45310</x:v>
      </x:c>
      <x:c r="E897" s="84" t="n">
        <x:v>4</x:v>
      </x:c>
      <x:c r="F897" s="91" t="n">
        <x:v>7934.08</x:v>
      </x:c>
    </x:row>
    <x:row r="898">
      <x:c r="A898" s="83" t="n">
        <x:v>897</x:v>
      </x:c>
      <x:c r="B898" s="84" t="n">
        <x:v>650</x:v>
      </x:c>
      <x:c r="C898" s="84" t="n">
        <x:v>12</x:v>
      </x:c>
      <x:c r="D898" s="89" t="n">
        <x:v>45310</x:v>
      </x:c>
      <x:c r="E898" s="84" t="n">
        <x:v>1</x:v>
      </x:c>
      <x:c r="F898" s="91" t="n">
        <x:v>284.49</x:v>
      </x:c>
    </x:row>
    <x:row r="899">
      <x:c r="A899" s="83" t="n">
        <x:v>898</x:v>
      </x:c>
      <x:c r="B899" s="84" t="n">
        <x:v>650</x:v>
      </x:c>
      <x:c r="C899" s="84" t="n">
        <x:v>26</x:v>
      </x:c>
      <x:c r="D899" s="89" t="n">
        <x:v>45310</x:v>
      </x:c>
      <x:c r="E899" s="84" t="n">
        <x:v>4</x:v>
      </x:c>
      <x:c r="F899" s="91" t="n">
        <x:v>8604</x:v>
      </x:c>
    </x:row>
    <x:row r="900">
      <x:c r="A900" s="83" t="n">
        <x:v>899</x:v>
      </x:c>
      <x:c r="B900" s="84" t="n">
        <x:v>651</x:v>
      </x:c>
      <x:c r="C900" s="84" t="n">
        <x:v>19</x:v>
      </x:c>
      <x:c r="D900" s="89" t="n">
        <x:v>45177</x:v>
      </x:c>
      <x:c r="E900" s="84" t="n">
        <x:v>3</x:v>
      </x:c>
      <x:c r="F900" s="91" t="n">
        <x:v>3263.13</x:v>
      </x:c>
    </x:row>
    <x:row r="901">
      <x:c r="A901" s="83" t="n">
        <x:v>900</x:v>
      </x:c>
      <x:c r="B901" s="84" t="n">
        <x:v>651</x:v>
      </x:c>
      <x:c r="C901" s="84" t="n">
        <x:v>21</x:v>
      </x:c>
      <x:c r="D901" s="89" t="n">
        <x:v>45177</x:v>
      </x:c>
      <x:c r="E901" s="84" t="n">
        <x:v>4</x:v>
      </x:c>
      <x:c r="F901" s="91" t="n">
        <x:v>9155.48</x:v>
      </x:c>
    </x:row>
    <x:row r="902">
      <x:c r="A902" s="83" t="n">
        <x:v>901</x:v>
      </x:c>
      <x:c r="B902" s="84" t="n">
        <x:v>651</x:v>
      </x:c>
      <x:c r="C902" s="84" t="n">
        <x:v>2</x:v>
      </x:c>
      <x:c r="D902" s="89" t="n">
        <x:v>45177</x:v>
      </x:c>
      <x:c r="E902" s="84" t="n">
        <x:v>1</x:v>
      </x:c>
      <x:c r="F902" s="91" t="n">
        <x:v>994.31</x:v>
      </x:c>
    </x:row>
    <x:row r="903">
      <x:c r="A903" s="83" t="n">
        <x:v>902</x:v>
      </x:c>
      <x:c r="B903" s="84" t="n">
        <x:v>653</x:v>
      </x:c>
      <x:c r="C903" s="84" t="n">
        <x:v>27</x:v>
      </x:c>
      <x:c r="D903" s="89" t="n">
        <x:v>45498</x:v>
      </x:c>
      <x:c r="E903" s="84" t="n">
        <x:v>4</x:v>
      </x:c>
      <x:c r="F903" s="91" t="n">
        <x:v>642.76</x:v>
      </x:c>
    </x:row>
    <x:row r="904">
      <x:c r="A904" s="83" t="n">
        <x:v>903</x:v>
      </x:c>
      <x:c r="B904" s="84" t="n">
        <x:v>653</x:v>
      </x:c>
      <x:c r="C904" s="84" t="n">
        <x:v>62</x:v>
      </x:c>
      <x:c r="D904" s="89" t="n">
        <x:v>45498</x:v>
      </x:c>
      <x:c r="E904" s="84" t="n">
        <x:v>2</x:v>
      </x:c>
      <x:c r="F904" s="91" t="n">
        <x:v>3034.62</x:v>
      </x:c>
    </x:row>
    <x:row r="905">
      <x:c r="A905" s="83" t="n">
        <x:v>904</x:v>
      </x:c>
      <x:c r="B905" s="84" t="n">
        <x:v>654</x:v>
      </x:c>
      <x:c r="C905" s="84" t="n">
        <x:v>31</x:v>
      </x:c>
      <x:c r="D905" s="89" t="n">
        <x:v>44929</x:v>
      </x:c>
      <x:c r="E905" s="84" t="n">
        <x:v>1</x:v>
      </x:c>
      <x:c r="F905" s="91" t="n">
        <x:v>2169.63</x:v>
      </x:c>
    </x:row>
    <x:row r="906">
      <x:c r="A906" s="83" t="n">
        <x:v>905</x:v>
      </x:c>
      <x:c r="B906" s="84" t="n">
        <x:v>656</x:v>
      </x:c>
      <x:c r="C906" s="84" t="n">
        <x:v>9</x:v>
      </x:c>
      <x:c r="D906" s="89" t="n">
        <x:v>45211</x:v>
      </x:c>
      <x:c r="E906" s="84" t="n">
        <x:v>3</x:v>
      </x:c>
      <x:c r="F906" s="91" t="n">
        <x:v>4725.18</x:v>
      </x:c>
    </x:row>
    <x:row r="907">
      <x:c r="A907" s="83" t="n">
        <x:v>906</x:v>
      </x:c>
      <x:c r="B907" s="84" t="n">
        <x:v>656</x:v>
      </x:c>
      <x:c r="C907" s="84" t="n">
        <x:v>16</x:v>
      </x:c>
      <x:c r="D907" s="89" t="n">
        <x:v>45211</x:v>
      </x:c>
      <x:c r="E907" s="84" t="n">
        <x:v>1</x:v>
      </x:c>
      <x:c r="F907" s="91" t="n">
        <x:v>605.78</x:v>
      </x:c>
    </x:row>
    <x:row r="908">
      <x:c r="A908" s="83" t="n">
        <x:v>907</x:v>
      </x:c>
      <x:c r="B908" s="84" t="n">
        <x:v>656</x:v>
      </x:c>
      <x:c r="C908" s="84" t="n">
        <x:v>3</x:v>
      </x:c>
      <x:c r="D908" s="89" t="n">
        <x:v>45211</x:v>
      </x:c>
      <x:c r="E908" s="84" t="n">
        <x:v>4</x:v>
      </x:c>
      <x:c r="F908" s="91" t="n">
        <x:v>4604.56</x:v>
      </x:c>
    </x:row>
    <x:row r="909">
      <x:c r="A909" s="83" t="n">
        <x:v>908</x:v>
      </x:c>
      <x:c r="B909" s="84" t="n">
        <x:v>657</x:v>
      </x:c>
      <x:c r="C909" s="84" t="n">
        <x:v>6</x:v>
      </x:c>
      <x:c r="D909" s="89" t="n">
        <x:v>45966</x:v>
      </x:c>
      <x:c r="E909" s="84" t="n">
        <x:v>3</x:v>
      </x:c>
      <x:c r="F909" s="91" t="n">
        <x:v>2092.11</x:v>
      </x:c>
    </x:row>
    <x:row r="910">
      <x:c r="A910" s="83" t="n">
        <x:v>909</x:v>
      </x:c>
      <x:c r="B910" s="84" t="n">
        <x:v>659</x:v>
      </x:c>
      <x:c r="C910" s="84" t="n">
        <x:v>44</x:v>
      </x:c>
      <x:c r="D910" s="89" t="n">
        <x:v>45372</x:v>
      </x:c>
      <x:c r="E910" s="84" t="n">
        <x:v>3</x:v>
      </x:c>
      <x:c r="F910" s="91" t="n">
        <x:v>3754.44</x:v>
      </x:c>
    </x:row>
    <x:row r="911">
      <x:c r="A911" s="83" t="n">
        <x:v>910</x:v>
      </x:c>
      <x:c r="B911" s="84" t="n">
        <x:v>662</x:v>
      </x:c>
      <x:c r="C911" s="84" t="n">
        <x:v>75</x:v>
      </x:c>
      <x:c r="D911" s="89" t="n">
        <x:v>45709</x:v>
      </x:c>
      <x:c r="E911" s="84" t="n">
        <x:v>3</x:v>
      </x:c>
      <x:c r="F911" s="91" t="n">
        <x:v>1368.51</x:v>
      </x:c>
    </x:row>
    <x:row r="912">
      <x:c r="A912" s="83" t="n">
        <x:v>911</x:v>
      </x:c>
      <x:c r="B912" s="84" t="n">
        <x:v>662</x:v>
      </x:c>
      <x:c r="C912" s="84" t="n">
        <x:v>15</x:v>
      </x:c>
      <x:c r="D912" s="89" t="n">
        <x:v>45709</x:v>
      </x:c>
      <x:c r="E912" s="84" t="n">
        <x:v>4</x:v>
      </x:c>
      <x:c r="F912" s="91" t="n">
        <x:v>4938.44</x:v>
      </x:c>
    </x:row>
    <x:row r="913">
      <x:c r="A913" s="83" t="n">
        <x:v>912</x:v>
      </x:c>
      <x:c r="B913" s="84" t="n">
        <x:v>662</x:v>
      </x:c>
      <x:c r="C913" s="84" t="n">
        <x:v>11</x:v>
      </x:c>
      <x:c r="D913" s="89" t="n">
        <x:v>45709</x:v>
      </x:c>
      <x:c r="E913" s="84" t="n">
        <x:v>2</x:v>
      </x:c>
      <x:c r="F913" s="91" t="n">
        <x:v>4422.52</x:v>
      </x:c>
    </x:row>
    <x:row r="914">
      <x:c r="A914" s="83" t="n">
        <x:v>913</x:v>
      </x:c>
      <x:c r="B914" s="84" t="n">
        <x:v>664</x:v>
      </x:c>
      <x:c r="C914" s="84" t="n">
        <x:v>51</x:v>
      </x:c>
      <x:c r="D914" s="89" t="n">
        <x:v>45443</x:v>
      </x:c>
      <x:c r="E914" s="84" t="n">
        <x:v>2</x:v>
      </x:c>
      <x:c r="F914" s="91" t="n">
        <x:v>1784.32</x:v>
      </x:c>
    </x:row>
    <x:row r="915">
      <x:c r="A915" s="83" t="n">
        <x:v>914</x:v>
      </x:c>
      <x:c r="B915" s="84" t="n">
        <x:v>665</x:v>
      </x:c>
      <x:c r="C915" s="84" t="n">
        <x:v>27</x:v>
      </x:c>
      <x:c r="D915" s="89" t="n">
        <x:v>45200</x:v>
      </x:c>
      <x:c r="E915" s="84" t="n">
        <x:v>1</x:v>
      </x:c>
      <x:c r="F915" s="91" t="n">
        <x:v>160.69</x:v>
      </x:c>
    </x:row>
    <x:row r="916">
      <x:c r="A916" s="83" t="n">
        <x:v>915</x:v>
      </x:c>
      <x:c r="B916" s="84" t="n">
        <x:v>665</x:v>
      </x:c>
      <x:c r="C916" s="84" t="n">
        <x:v>17</x:v>
      </x:c>
      <x:c r="D916" s="89" t="n">
        <x:v>45200</x:v>
      </x:c>
      <x:c r="E916" s="84" t="n">
        <x:v>4</x:v>
      </x:c>
      <x:c r="F916" s="91" t="n">
        <x:v>9425.68</x:v>
      </x:c>
    </x:row>
    <x:row r="917">
      <x:c r="A917" s="83" t="n">
        <x:v>916</x:v>
      </x:c>
      <x:c r="B917" s="84" t="n">
        <x:v>666</x:v>
      </x:c>
      <x:c r="C917" s="84" t="n">
        <x:v>21</x:v>
      </x:c>
      <x:c r="D917" s="89" t="n">
        <x:v>45647</x:v>
      </x:c>
      <x:c r="E917" s="84" t="n">
        <x:v>1</x:v>
      </x:c>
      <x:c r="F917" s="91" t="n">
        <x:v>2288.87</x:v>
      </x:c>
    </x:row>
    <x:row r="918">
      <x:c r="A918" s="83" t="n">
        <x:v>917</x:v>
      </x:c>
      <x:c r="B918" s="84" t="n">
        <x:v>666</x:v>
      </x:c>
      <x:c r="C918" s="84" t="n">
        <x:v>26</x:v>
      </x:c>
      <x:c r="D918" s="89" t="n">
        <x:v>45647</x:v>
      </x:c>
      <x:c r="E918" s="84" t="n">
        <x:v>1</x:v>
      </x:c>
      <x:c r="F918" s="91" t="n">
        <x:v>2151</x:v>
      </x:c>
    </x:row>
    <x:row r="919">
      <x:c r="A919" s="83" t="n">
        <x:v>918</x:v>
      </x:c>
      <x:c r="B919" s="84" t="n">
        <x:v>666</x:v>
      </x:c>
      <x:c r="C919" s="84" t="n">
        <x:v>63</x:v>
      </x:c>
      <x:c r="D919" s="89" t="n">
        <x:v>45647</x:v>
      </x:c>
      <x:c r="E919" s="84" t="n">
        <x:v>1</x:v>
      </x:c>
      <x:c r="F919" s="91" t="n">
        <x:v>1934.19</x:v>
      </x:c>
    </x:row>
    <x:row r="920">
      <x:c r="A920" s="83" t="n">
        <x:v>919</x:v>
      </x:c>
      <x:c r="B920" s="84" t="n">
        <x:v>668</x:v>
      </x:c>
      <x:c r="C920" s="84" t="n">
        <x:v>32</x:v>
      </x:c>
      <x:c r="D920" s="89" t="n">
        <x:v>45333</x:v>
      </x:c>
      <x:c r="E920" s="84" t="n">
        <x:v>2</x:v>
      </x:c>
      <x:c r="F920" s="91" t="n">
        <x:v>3626.5</x:v>
      </x:c>
    </x:row>
    <x:row r="921">
      <x:c r="A921" s="83" t="n">
        <x:v>920</x:v>
      </x:c>
      <x:c r="B921" s="84" t="n">
        <x:v>669</x:v>
      </x:c>
      <x:c r="C921" s="84" t="n">
        <x:v>17</x:v>
      </x:c>
      <x:c r="D921" s="89" t="n">
        <x:v>45267</x:v>
      </x:c>
      <x:c r="E921" s="84" t="n">
        <x:v>3</x:v>
      </x:c>
      <x:c r="F921" s="91" t="n">
        <x:v>7069.26</x:v>
      </x:c>
    </x:row>
    <x:row r="922">
      <x:c r="A922" s="83" t="n">
        <x:v>921</x:v>
      </x:c>
      <x:c r="B922" s="84" t="n">
        <x:v>669</x:v>
      </x:c>
      <x:c r="C922" s="84" t="n">
        <x:v>8</x:v>
      </x:c>
      <x:c r="D922" s="89" t="n">
        <x:v>45267</x:v>
      </x:c>
      <x:c r="E922" s="84" t="n">
        <x:v>3</x:v>
      </x:c>
      <x:c r="F922" s="91" t="n">
        <x:v>4998.57</x:v>
      </x:c>
    </x:row>
    <x:row r="923">
      <x:c r="A923" s="83" t="n">
        <x:v>922</x:v>
      </x:c>
      <x:c r="B923" s="84" t="n">
        <x:v>670</x:v>
      </x:c>
      <x:c r="C923" s="84" t="n">
        <x:v>48</x:v>
      </x:c>
      <x:c r="D923" s="89" t="n">
        <x:v>45633</x:v>
      </x:c>
      <x:c r="E923" s="84" t="n">
        <x:v>4</x:v>
      </x:c>
      <x:c r="F923" s="91" t="n">
        <x:v>4645.8</x:v>
      </x:c>
    </x:row>
    <x:row r="924">
      <x:c r="A924" s="83" t="n">
        <x:v>923</x:v>
      </x:c>
      <x:c r="B924" s="84" t="n">
        <x:v>670</x:v>
      </x:c>
      <x:c r="C924" s="84" t="n">
        <x:v>42</x:v>
      </x:c>
      <x:c r="D924" s="89" t="n">
        <x:v>45633</x:v>
      </x:c>
      <x:c r="E924" s="84" t="n">
        <x:v>2</x:v>
      </x:c>
      <x:c r="F924" s="91" t="n">
        <x:v>4343.48</x:v>
      </x:c>
    </x:row>
    <x:row r="925">
      <x:c r="A925" s="83" t="n">
        <x:v>924</x:v>
      </x:c>
      <x:c r="B925" s="84" t="n">
        <x:v>670</x:v>
      </x:c>
      <x:c r="C925" s="84" t="n">
        <x:v>15</x:v>
      </x:c>
      <x:c r="D925" s="89" t="n">
        <x:v>45633</x:v>
      </x:c>
      <x:c r="E925" s="84" t="n">
        <x:v>4</x:v>
      </x:c>
      <x:c r="F925" s="91" t="n">
        <x:v>4938.44</x:v>
      </x:c>
    </x:row>
    <x:row r="926">
      <x:c r="A926" s="83" t="n">
        <x:v>925</x:v>
      </x:c>
      <x:c r="B926" s="84" t="n">
        <x:v>674</x:v>
      </x:c>
      <x:c r="C926" s="84" t="n">
        <x:v>65</x:v>
      </x:c>
      <x:c r="D926" s="89" t="n">
        <x:v>45997</x:v>
      </x:c>
      <x:c r="E926" s="84" t="n">
        <x:v>3</x:v>
      </x:c>
      <x:c r="F926" s="91" t="n">
        <x:v>3764.52</x:v>
      </x:c>
    </x:row>
    <x:row r="927">
      <x:c r="A927" s="83" t="n">
        <x:v>926</x:v>
      </x:c>
      <x:c r="B927" s="84" t="n">
        <x:v>674</x:v>
      </x:c>
      <x:c r="C927" s="84" t="n">
        <x:v>20</x:v>
      </x:c>
      <x:c r="D927" s="89" t="n">
        <x:v>45997</x:v>
      </x:c>
      <x:c r="E927" s="84" t="n">
        <x:v>1</x:v>
      </x:c>
      <x:c r="F927" s="91" t="n">
        <x:v>541.2</x:v>
      </x:c>
    </x:row>
    <x:row r="928">
      <x:c r="A928" s="83" t="n">
        <x:v>927</x:v>
      </x:c>
      <x:c r="B928" s="84" t="n">
        <x:v>675</x:v>
      </x:c>
      <x:c r="C928" s="84" t="n">
        <x:v>25</x:v>
      </x:c>
      <x:c r="D928" s="89" t="n">
        <x:v>45767</x:v>
      </x:c>
      <x:c r="E928" s="84" t="n">
        <x:v>3</x:v>
      </x:c>
      <x:c r="F928" s="91" t="n">
        <x:v>3238.35</x:v>
      </x:c>
    </x:row>
    <x:row r="929">
      <x:c r="A929" s="83" t="n">
        <x:v>928</x:v>
      </x:c>
      <x:c r="B929" s="84" t="n">
        <x:v>675</x:v>
      </x:c>
      <x:c r="C929" s="84" t="n">
        <x:v>48</x:v>
      </x:c>
      <x:c r="D929" s="89" t="n">
        <x:v>45767</x:v>
      </x:c>
      <x:c r="E929" s="84" t="n">
        <x:v>2</x:v>
      </x:c>
      <x:c r="F929" s="91" t="n">
        <x:v>2322.9</x:v>
      </x:c>
    </x:row>
    <x:row r="930">
      <x:c r="A930" s="83" t="n">
        <x:v>929</x:v>
      </x:c>
      <x:c r="B930" s="84" t="n">
        <x:v>676</x:v>
      </x:c>
      <x:c r="C930" s="84" t="n">
        <x:v>70</x:v>
      </x:c>
      <x:c r="D930" s="89" t="n">
        <x:v>45778</x:v>
      </x:c>
      <x:c r="E930" s="84" t="n">
        <x:v>1</x:v>
      </x:c>
      <x:c r="F930" s="91" t="n">
        <x:v>769.54</x:v>
      </x:c>
    </x:row>
    <x:row r="931">
      <x:c r="A931" s="83" t="n">
        <x:v>930</x:v>
      </x:c>
      <x:c r="B931" s="84" t="n">
        <x:v>677</x:v>
      </x:c>
      <x:c r="C931" s="84" t="n">
        <x:v>3</x:v>
      </x:c>
      <x:c r="D931" s="89" t="n">
        <x:v>45577</x:v>
      </x:c>
      <x:c r="E931" s="84" t="n">
        <x:v>3</x:v>
      </x:c>
      <x:c r="F931" s="91" t="n">
        <x:v>3453.42</x:v>
      </x:c>
    </x:row>
    <x:row r="932">
      <x:c r="A932" s="83" t="n">
        <x:v>931</x:v>
      </x:c>
      <x:c r="B932" s="84" t="n">
        <x:v>677</x:v>
      </x:c>
      <x:c r="C932" s="84" t="n">
        <x:v>7</x:v>
      </x:c>
      <x:c r="D932" s="89" t="n">
        <x:v>45577</x:v>
      </x:c>
      <x:c r="E932" s="84" t="n">
        <x:v>2</x:v>
      </x:c>
      <x:c r="F932" s="91" t="n">
        <x:v>733.6</x:v>
      </x:c>
    </x:row>
    <x:row r="933">
      <x:c r="A933" s="83" t="n">
        <x:v>932</x:v>
      </x:c>
      <x:c r="B933" s="84" t="n">
        <x:v>677</x:v>
      </x:c>
      <x:c r="C933" s="84" t="n">
        <x:v>72</x:v>
      </x:c>
      <x:c r="D933" s="89" t="n">
        <x:v>45577</x:v>
      </x:c>
      <x:c r="E933" s="84" t="n">
        <x:v>2</x:v>
      </x:c>
      <x:c r="F933" s="91" t="n">
        <x:v>901.66</x:v>
      </x:c>
    </x:row>
    <x:row r="934">
      <x:c r="A934" s="83" t="n">
        <x:v>933</x:v>
      </x:c>
      <x:c r="B934" s="84" t="n">
        <x:v>681</x:v>
      </x:c>
      <x:c r="C934" s="84" t="n">
        <x:v>72</x:v>
      </x:c>
      <x:c r="D934" s="89" t="n">
        <x:v>45200</x:v>
      </x:c>
      <x:c r="E934" s="84" t="n">
        <x:v>3</x:v>
      </x:c>
      <x:c r="F934" s="91" t="n">
        <x:v>1352.49</x:v>
      </x:c>
    </x:row>
    <x:row r="935">
      <x:c r="A935" s="83" t="n">
        <x:v>934</x:v>
      </x:c>
      <x:c r="B935" s="84" t="n">
        <x:v>681</x:v>
      </x:c>
      <x:c r="C935" s="84" t="n">
        <x:v>75</x:v>
      </x:c>
      <x:c r="D935" s="89" t="n">
        <x:v>45200</x:v>
      </x:c>
      <x:c r="E935" s="84" t="n">
        <x:v>2</x:v>
      </x:c>
      <x:c r="F935" s="91" t="n">
        <x:v>912.34</x:v>
      </x:c>
    </x:row>
    <x:row r="936">
      <x:c r="A936" s="83" t="n">
        <x:v>935</x:v>
      </x:c>
      <x:c r="B936" s="84" t="n">
        <x:v>681</x:v>
      </x:c>
      <x:c r="C936" s="84" t="n">
        <x:v>7</x:v>
      </x:c>
      <x:c r="D936" s="89" t="n">
        <x:v>45200</x:v>
      </x:c>
      <x:c r="E936" s="84" t="n">
        <x:v>4</x:v>
      </x:c>
      <x:c r="F936" s="91" t="n">
        <x:v>1467.2</x:v>
      </x:c>
    </x:row>
    <x:row r="937">
      <x:c r="A937" s="83" t="n">
        <x:v>936</x:v>
      </x:c>
      <x:c r="B937" s="84" t="n">
        <x:v>682</x:v>
      </x:c>
      <x:c r="C937" s="84" t="n">
        <x:v>21</x:v>
      </x:c>
      <x:c r="D937" s="89" t="n">
        <x:v>45700</x:v>
      </x:c>
      <x:c r="E937" s="84" t="n">
        <x:v>4</x:v>
      </x:c>
      <x:c r="F937" s="91" t="n">
        <x:v>9155.48</x:v>
      </x:c>
    </x:row>
    <x:row r="938">
      <x:c r="A938" s="83" t="n">
        <x:v>937</x:v>
      </x:c>
      <x:c r="B938" s="84" t="n">
        <x:v>683</x:v>
      </x:c>
      <x:c r="C938" s="84" t="n">
        <x:v>5</x:v>
      </x:c>
      <x:c r="D938" s="89" t="n">
        <x:v>44980</x:v>
      </x:c>
      <x:c r="E938" s="84" t="n">
        <x:v>4</x:v>
      </x:c>
      <x:c r="F938" s="91" t="n">
        <x:v>5874</x:v>
      </x:c>
    </x:row>
    <x:row r="939">
      <x:c r="A939" s="83" t="n">
        <x:v>938</x:v>
      </x:c>
      <x:c r="B939" s="84" t="n">
        <x:v>683</x:v>
      </x:c>
      <x:c r="C939" s="84" t="n">
        <x:v>68</x:v>
      </x:c>
      <x:c r="D939" s="89" t="n">
        <x:v>44980</x:v>
      </x:c>
      <x:c r="E939" s="84" t="n">
        <x:v>2</x:v>
      </x:c>
      <x:c r="F939" s="91" t="n">
        <x:v>3055.22</x:v>
      </x:c>
    </x:row>
    <x:row r="940">
      <x:c r="A940" s="83" t="n">
        <x:v>939</x:v>
      </x:c>
      <x:c r="B940" s="84" t="n">
        <x:v>684</x:v>
      </x:c>
      <x:c r="C940" s="84" t="n">
        <x:v>50</x:v>
      </x:c>
      <x:c r="D940" s="89" t="n">
        <x:v>45074</x:v>
      </x:c>
      <x:c r="E940" s="84" t="n">
        <x:v>4</x:v>
      </x:c>
      <x:c r="F940" s="91" t="n">
        <x:v>8943.8</x:v>
      </x:c>
    </x:row>
    <x:row r="941">
      <x:c r="A941" s="83" t="n">
        <x:v>940</x:v>
      </x:c>
      <x:c r="B941" s="84" t="n">
        <x:v>684</x:v>
      </x:c>
      <x:c r="C941" s="84" t="n">
        <x:v>19</x:v>
      </x:c>
      <x:c r="D941" s="89" t="n">
        <x:v>45074</x:v>
      </x:c>
      <x:c r="E941" s="84" t="n">
        <x:v>3</x:v>
      </x:c>
      <x:c r="F941" s="91" t="n">
        <x:v>3263.13</x:v>
      </x:c>
    </x:row>
    <x:row r="942">
      <x:c r="A942" s="83" t="n">
        <x:v>941</x:v>
      </x:c>
      <x:c r="B942" s="84" t="n">
        <x:v>684</x:v>
      </x:c>
      <x:c r="C942" s="84" t="n">
        <x:v>74</x:v>
      </x:c>
      <x:c r="D942" s="89" t="n">
        <x:v>45074</x:v>
      </x:c>
      <x:c r="E942" s="84" t="n">
        <x:v>2</x:v>
      </x:c>
      <x:c r="F942" s="91" t="n">
        <x:v>3312.7</x:v>
      </x:c>
    </x:row>
    <x:row r="943">
      <x:c r="A943" s="83" t="n">
        <x:v>942</x:v>
      </x:c>
      <x:c r="B943" s="84" t="n">
        <x:v>686</x:v>
      </x:c>
      <x:c r="C943" s="84" t="n">
        <x:v>17</x:v>
      </x:c>
      <x:c r="D943" s="89" t="n">
        <x:v>45195</x:v>
      </x:c>
      <x:c r="E943" s="84" t="n">
        <x:v>2</x:v>
      </x:c>
      <x:c r="F943" s="91" t="n">
        <x:v>4712.84</x:v>
      </x:c>
    </x:row>
    <x:row r="944">
      <x:c r="A944" s="83" t="n">
        <x:v>943</x:v>
      </x:c>
      <x:c r="B944" s="84" t="n">
        <x:v>686</x:v>
      </x:c>
      <x:c r="C944" s="84" t="n">
        <x:v>15</x:v>
      </x:c>
      <x:c r="D944" s="89" t="n">
        <x:v>45195</x:v>
      </x:c>
      <x:c r="E944" s="84" t="n">
        <x:v>4</x:v>
      </x:c>
      <x:c r="F944" s="91" t="n">
        <x:v>4938.44</x:v>
      </x:c>
    </x:row>
    <x:row r="945">
      <x:c r="A945" s="83" t="n">
        <x:v>944</x:v>
      </x:c>
      <x:c r="B945" s="84" t="n">
        <x:v>687</x:v>
      </x:c>
      <x:c r="C945" s="84" t="n">
        <x:v>22</x:v>
      </x:c>
      <x:c r="D945" s="89" t="n">
        <x:v>45596</x:v>
      </x:c>
      <x:c r="E945" s="84" t="n">
        <x:v>2</x:v>
      </x:c>
      <x:c r="F945" s="91" t="n">
        <x:v>1043.78</x:v>
      </x:c>
    </x:row>
    <x:row r="946">
      <x:c r="A946" s="83" t="n">
        <x:v>945</x:v>
      </x:c>
      <x:c r="B946" s="84" t="n">
        <x:v>687</x:v>
      </x:c>
      <x:c r="C946" s="84" t="n">
        <x:v>37</x:v>
      </x:c>
      <x:c r="D946" s="89" t="n">
        <x:v>45596</x:v>
      </x:c>
      <x:c r="E946" s="84" t="n">
        <x:v>2</x:v>
      </x:c>
      <x:c r="F946" s="91" t="n">
        <x:v>2067.42</x:v>
      </x:c>
    </x:row>
    <x:row r="947">
      <x:c r="A947" s="83" t="n">
        <x:v>946</x:v>
      </x:c>
      <x:c r="B947" s="84" t="n">
        <x:v>689</x:v>
      </x:c>
      <x:c r="C947" s="84" t="n">
        <x:v>32</x:v>
      </x:c>
      <x:c r="D947" s="89" t="n">
        <x:v>45021</x:v>
      </x:c>
      <x:c r="E947" s="84" t="n">
        <x:v>3</x:v>
      </x:c>
      <x:c r="F947" s="91" t="n">
        <x:v>5439.75</x:v>
      </x:c>
    </x:row>
    <x:row r="948">
      <x:c r="A948" s="83" t="n">
        <x:v>947</x:v>
      </x:c>
      <x:c r="B948" s="84" t="n">
        <x:v>692</x:v>
      </x:c>
      <x:c r="C948" s="84" t="n">
        <x:v>9</x:v>
      </x:c>
      <x:c r="D948" s="89" t="n">
        <x:v>45383</x:v>
      </x:c>
      <x:c r="E948" s="84" t="n">
        <x:v>1</x:v>
      </x:c>
      <x:c r="F948" s="91" t="n">
        <x:v>1575.06</x:v>
      </x:c>
    </x:row>
    <x:row r="949">
      <x:c r="A949" s="83" t="n">
        <x:v>948</x:v>
      </x:c>
      <x:c r="B949" s="84" t="n">
        <x:v>694</x:v>
      </x:c>
      <x:c r="C949" s="84" t="n">
        <x:v>35</x:v>
      </x:c>
      <x:c r="D949" s="89" t="n">
        <x:v>45699</x:v>
      </x:c>
      <x:c r="E949" s="84" t="n">
        <x:v>2</x:v>
      </x:c>
      <x:c r="F949" s="91" t="n">
        <x:v>2941.56</x:v>
      </x:c>
    </x:row>
    <x:row r="950">
      <x:c r="A950" s="83" t="n">
        <x:v>949</x:v>
      </x:c>
      <x:c r="B950" s="84" t="n">
        <x:v>694</x:v>
      </x:c>
      <x:c r="C950" s="84" t="n">
        <x:v>15</x:v>
      </x:c>
      <x:c r="D950" s="89" t="n">
        <x:v>45699</x:v>
      </x:c>
      <x:c r="E950" s="84" t="n">
        <x:v>1</x:v>
      </x:c>
      <x:c r="F950" s="91" t="n">
        <x:v>1234.61</x:v>
      </x:c>
    </x:row>
    <x:row r="951">
      <x:c r="A951" s="83" t="n">
        <x:v>950</x:v>
      </x:c>
      <x:c r="B951" s="84" t="n">
        <x:v>695</x:v>
      </x:c>
      <x:c r="C951" s="84" t="n">
        <x:v>22</x:v>
      </x:c>
      <x:c r="D951" s="89" t="n">
        <x:v>45089</x:v>
      </x:c>
      <x:c r="E951" s="84" t="n">
        <x:v>3</x:v>
      </x:c>
      <x:c r="F951" s="91" t="n">
        <x:v>1565.67</x:v>
      </x:c>
    </x:row>
    <x:row r="952">
      <x:c r="A952" s="83" t="n">
        <x:v>951</x:v>
      </x:c>
      <x:c r="B952" s="84" t="n">
        <x:v>695</x:v>
      </x:c>
      <x:c r="C952" s="84" t="n">
        <x:v>11</x:v>
      </x:c>
      <x:c r="D952" s="89" t="n">
        <x:v>45089</x:v>
      </x:c>
      <x:c r="E952" s="84" t="n">
        <x:v>1</x:v>
      </x:c>
      <x:c r="F952" s="91" t="n">
        <x:v>2211.26</x:v>
      </x:c>
    </x:row>
    <x:row r="953">
      <x:c r="A953" s="83" t="n">
        <x:v>952</x:v>
      </x:c>
      <x:c r="B953" s="84" t="n">
        <x:v>695</x:v>
      </x:c>
      <x:c r="C953" s="84" t="n">
        <x:v>38</x:v>
      </x:c>
      <x:c r="D953" s="89" t="n">
        <x:v>45089</x:v>
      </x:c>
      <x:c r="E953" s="84" t="n">
        <x:v>3</x:v>
      </x:c>
      <x:c r="F953" s="91" t="n">
        <x:v>2179.47</x:v>
      </x:c>
    </x:row>
    <x:row r="954">
      <x:c r="A954" s="83" t="n">
        <x:v>953</x:v>
      </x:c>
      <x:c r="B954" s="84" t="n">
        <x:v>696</x:v>
      </x:c>
      <x:c r="C954" s="84" t="n">
        <x:v>6</x:v>
      </x:c>
      <x:c r="D954" s="89" t="n">
        <x:v>44965</x:v>
      </x:c>
      <x:c r="E954" s="84" t="n">
        <x:v>2</x:v>
      </x:c>
      <x:c r="F954" s="91" t="n">
        <x:v>1394.74</x:v>
      </x:c>
    </x:row>
    <x:row r="955">
      <x:c r="A955" s="83" t="n">
        <x:v>954</x:v>
      </x:c>
      <x:c r="B955" s="84" t="n">
        <x:v>698</x:v>
      </x:c>
      <x:c r="C955" s="84" t="n">
        <x:v>37</x:v>
      </x:c>
      <x:c r="D955" s="89" t="n">
        <x:v>44958</x:v>
      </x:c>
      <x:c r="E955" s="84" t="n">
        <x:v>4</x:v>
      </x:c>
      <x:c r="F955" s="91" t="n">
        <x:v>4134.84</x:v>
      </x:c>
    </x:row>
    <x:row r="956">
      <x:c r="A956" s="83" t="n">
        <x:v>955</x:v>
      </x:c>
      <x:c r="B956" s="84" t="n">
        <x:v>698</x:v>
      </x:c>
      <x:c r="C956" s="84" t="n">
        <x:v>65</x:v>
      </x:c>
      <x:c r="D956" s="89" t="n">
        <x:v>44958</x:v>
      </x:c>
      <x:c r="E956" s="84" t="n">
        <x:v>4</x:v>
      </x:c>
      <x:c r="F956" s="91" t="n">
        <x:v>5019.36</x:v>
      </x:c>
    </x:row>
    <x:row r="957">
      <x:c r="A957" s="83" t="n">
        <x:v>956</x:v>
      </x:c>
      <x:c r="B957" s="84" t="n">
        <x:v>699</x:v>
      </x:c>
      <x:c r="C957" s="84" t="n">
        <x:v>76</x:v>
      </x:c>
      <x:c r="D957" s="89" t="n">
        <x:v>45001</x:v>
      </x:c>
      <x:c r="E957" s="84" t="n">
        <x:v>2</x:v>
      </x:c>
      <x:c r="F957" s="91" t="n">
        <x:v>1439.62</x:v>
      </x:c>
    </x:row>
    <x:row r="958">
      <x:c r="A958" s="83" t="n">
        <x:v>957</x:v>
      </x:c>
      <x:c r="B958" s="84" t="n">
        <x:v>699</x:v>
      </x:c>
      <x:c r="C958" s="84" t="n">
        <x:v>15</x:v>
      </x:c>
      <x:c r="D958" s="89" t="n">
        <x:v>45001</x:v>
      </x:c>
      <x:c r="E958" s="84" t="n">
        <x:v>3</x:v>
      </x:c>
      <x:c r="F958" s="91" t="n">
        <x:v>3703.83</x:v>
      </x:c>
    </x:row>
    <x:row r="959">
      <x:c r="A959" s="83" t="n">
        <x:v>958</x:v>
      </x:c>
      <x:c r="B959" s="84" t="n">
        <x:v>699</x:v>
      </x:c>
      <x:c r="C959" s="84" t="n">
        <x:v>48</x:v>
      </x:c>
      <x:c r="D959" s="89" t="n">
        <x:v>45001</x:v>
      </x:c>
      <x:c r="E959" s="84" t="n">
        <x:v>3</x:v>
      </x:c>
      <x:c r="F959" s="91" t="n">
        <x:v>3484.35</x:v>
      </x:c>
    </x:row>
    <x:row r="960">
      <x:c r="A960" s="83" t="n">
        <x:v>959</x:v>
      </x:c>
      <x:c r="B960" s="84" t="n">
        <x:v>702</x:v>
      </x:c>
      <x:c r="C960" s="84" t="n">
        <x:v>26</x:v>
      </x:c>
      <x:c r="D960" s="89" t="n">
        <x:v>45565</x:v>
      </x:c>
      <x:c r="E960" s="84" t="n">
        <x:v>2</x:v>
      </x:c>
      <x:c r="F960" s="91" t="n">
        <x:v>4302</x:v>
      </x:c>
    </x:row>
    <x:row r="961">
      <x:c r="A961" s="83" t="n">
        <x:v>960</x:v>
      </x:c>
      <x:c r="B961" s="84" t="n">
        <x:v>702</x:v>
      </x:c>
      <x:c r="C961" s="84" t="n">
        <x:v>40</x:v>
      </x:c>
      <x:c r="D961" s="89" t="n">
        <x:v>45565</x:v>
      </x:c>
      <x:c r="E961" s="84" t="n">
        <x:v>2</x:v>
      </x:c>
      <x:c r="F961" s="91" t="n">
        <x:v>4070.08</x:v>
      </x:c>
    </x:row>
    <x:row r="962">
      <x:c r="A962" s="83" t="n">
        <x:v>961</x:v>
      </x:c>
      <x:c r="B962" s="84" t="n">
        <x:v>702</x:v>
      </x:c>
      <x:c r="C962" s="84" t="n">
        <x:v>10</x:v>
      </x:c>
      <x:c r="D962" s="89" t="n">
        <x:v>45565</x:v>
      </x:c>
      <x:c r="E962" s="84" t="n">
        <x:v>2</x:v>
      </x:c>
      <x:c r="F962" s="91" t="n">
        <x:v>1749.72</x:v>
      </x:c>
    </x:row>
    <x:row r="963">
      <x:c r="A963" s="83" t="n">
        <x:v>962</x:v>
      </x:c>
      <x:c r="B963" s="84" t="n">
        <x:v>703</x:v>
      </x:c>
      <x:c r="C963" s="84" t="n">
        <x:v>10</x:v>
      </x:c>
      <x:c r="D963" s="89" t="n">
        <x:v>45162</x:v>
      </x:c>
      <x:c r="E963" s="84" t="n">
        <x:v>4</x:v>
      </x:c>
      <x:c r="F963" s="91" t="n">
        <x:v>3499.44</x:v>
      </x:c>
    </x:row>
    <x:row r="964">
      <x:c r="A964" s="83" t="n">
        <x:v>963</x:v>
      </x:c>
      <x:c r="B964" s="84" t="n">
        <x:v>703</x:v>
      </x:c>
      <x:c r="C964" s="84" t="n">
        <x:v>5</x:v>
      </x:c>
      <x:c r="D964" s="89" t="n">
        <x:v>45162</x:v>
      </x:c>
      <x:c r="E964" s="84" t="n">
        <x:v>3</x:v>
      </x:c>
      <x:c r="F964" s="91" t="n">
        <x:v>4405.5</x:v>
      </x:c>
    </x:row>
    <x:row r="965">
      <x:c r="A965" s="83" t="n">
        <x:v>964</x:v>
      </x:c>
      <x:c r="B965" s="84" t="n">
        <x:v>705</x:v>
      </x:c>
      <x:c r="C965" s="84" t="n">
        <x:v>67</x:v>
      </x:c>
      <x:c r="D965" s="89" t="n">
        <x:v>45907</x:v>
      </x:c>
      <x:c r="E965" s="84" t="n">
        <x:v>1</x:v>
      </x:c>
      <x:c r="F965" s="91" t="n">
        <x:v>1279.53</x:v>
      </x:c>
    </x:row>
    <x:row r="966">
      <x:c r="A966" s="83" t="n">
        <x:v>965</x:v>
      </x:c>
      <x:c r="B966" s="84" t="n">
        <x:v>705</x:v>
      </x:c>
      <x:c r="C966" s="84" t="n">
        <x:v>37</x:v>
      </x:c>
      <x:c r="D966" s="89" t="n">
        <x:v>45907</x:v>
      </x:c>
      <x:c r="E966" s="84" t="n">
        <x:v>1</x:v>
      </x:c>
      <x:c r="F966" s="91" t="n">
        <x:v>1033.71</x:v>
      </x:c>
    </x:row>
    <x:row r="967">
      <x:c r="A967" s="83" t="n">
        <x:v>966</x:v>
      </x:c>
      <x:c r="B967" s="84" t="n">
        <x:v>706</x:v>
      </x:c>
      <x:c r="C967" s="84" t="n">
        <x:v>45</x:v>
      </x:c>
      <x:c r="D967" s="89" t="n">
        <x:v>45548</x:v>
      </x:c>
      <x:c r="E967" s="84" t="n">
        <x:v>2</x:v>
      </x:c>
      <x:c r="F967" s="91" t="n">
        <x:v>2782.84</x:v>
      </x:c>
    </x:row>
    <x:row r="968">
      <x:c r="A968" s="83" t="n">
        <x:v>967</x:v>
      </x:c>
      <x:c r="B968" s="84" t="n">
        <x:v>707</x:v>
      </x:c>
      <x:c r="C968" s="84" t="n">
        <x:v>59</x:v>
      </x:c>
      <x:c r="D968" s="89" t="n">
        <x:v>45424</x:v>
      </x:c>
      <x:c r="E968" s="84" t="n">
        <x:v>2</x:v>
      </x:c>
      <x:c r="F968" s="91" t="n">
        <x:v>3032.9</x:v>
      </x:c>
    </x:row>
    <x:row r="969">
      <x:c r="A969" s="83" t="n">
        <x:v>968</x:v>
      </x:c>
      <x:c r="B969" s="84" t="n">
        <x:v>707</x:v>
      </x:c>
      <x:c r="C969" s="84" t="n">
        <x:v>78</x:v>
      </x:c>
      <x:c r="D969" s="89" t="n">
        <x:v>45424</x:v>
      </x:c>
      <x:c r="E969" s="84" t="n">
        <x:v>3</x:v>
      </x:c>
      <x:c r="F969" s="91" t="n">
        <x:v>850.8</x:v>
      </x:c>
    </x:row>
    <x:row r="970">
      <x:c r="A970" s="83" t="n">
        <x:v>969</x:v>
      </x:c>
      <x:c r="B970" s="84" t="n">
        <x:v>707</x:v>
      </x:c>
      <x:c r="C970" s="84" t="n">
        <x:v>18</x:v>
      </x:c>
      <x:c r="D970" s="89" t="n">
        <x:v>45424</x:v>
      </x:c>
      <x:c r="E970" s="84" t="n">
        <x:v>1</x:v>
      </x:c>
      <x:c r="F970" s="91" t="n">
        <x:v>666.16</x:v>
      </x:c>
    </x:row>
    <x:row r="971">
      <x:c r="A971" s="83" t="n">
        <x:v>970</x:v>
      </x:c>
      <x:c r="B971" s="84" t="n">
        <x:v>708</x:v>
      </x:c>
      <x:c r="C971" s="84" t="n">
        <x:v>79</x:v>
      </x:c>
      <x:c r="D971" s="89" t="n">
        <x:v>45705</x:v>
      </x:c>
      <x:c r="E971" s="84" t="n">
        <x:v>2</x:v>
      </x:c>
      <x:c r="F971" s="91" t="n">
        <x:v>4133.44</x:v>
      </x:c>
    </x:row>
    <x:row r="972">
      <x:c r="A972" s="83" t="n">
        <x:v>971</x:v>
      </x:c>
      <x:c r="B972" s="84" t="n">
        <x:v>709</x:v>
      </x:c>
      <x:c r="C972" s="84" t="n">
        <x:v>2</x:v>
      </x:c>
      <x:c r="D972" s="89" t="n">
        <x:v>45120</x:v>
      </x:c>
      <x:c r="E972" s="84" t="n">
        <x:v>3</x:v>
      </x:c>
      <x:c r="F972" s="91" t="n">
        <x:v>2982.93</x:v>
      </x:c>
    </x:row>
    <x:row r="973">
      <x:c r="A973" s="83" t="n">
        <x:v>972</x:v>
      </x:c>
      <x:c r="B973" s="84" t="n">
        <x:v>709</x:v>
      </x:c>
      <x:c r="C973" s="84" t="n">
        <x:v>29</x:v>
      </x:c>
      <x:c r="D973" s="89" t="n">
        <x:v>45120</x:v>
      </x:c>
      <x:c r="E973" s="84" t="n">
        <x:v>3</x:v>
      </x:c>
      <x:c r="F973" s="91" t="n">
        <x:v>4657.41</x:v>
      </x:c>
    </x:row>
    <x:row r="974">
      <x:c r="A974" s="83" t="n">
        <x:v>973</x:v>
      </x:c>
      <x:c r="B974" s="84" t="n">
        <x:v>710</x:v>
      </x:c>
      <x:c r="C974" s="84" t="n">
        <x:v>29</x:v>
      </x:c>
      <x:c r="D974" s="89" t="n">
        <x:v>45654</x:v>
      </x:c>
      <x:c r="E974" s="84" t="n">
        <x:v>2</x:v>
      </x:c>
      <x:c r="F974" s="91" t="n">
        <x:v>3104.94</x:v>
      </x:c>
    </x:row>
    <x:row r="975">
      <x:c r="A975" s="83" t="n">
        <x:v>974</x:v>
      </x:c>
      <x:c r="B975" s="84" t="n">
        <x:v>713</x:v>
      </x:c>
      <x:c r="C975" s="84" t="n">
        <x:v>56</x:v>
      </x:c>
      <x:c r="D975" s="89" t="n">
        <x:v>45709</x:v>
      </x:c>
      <x:c r="E975" s="84" t="n">
        <x:v>3</x:v>
      </x:c>
      <x:c r="F975" s="91" t="n">
        <x:v>4405.38</x:v>
      </x:c>
    </x:row>
    <x:row r="976">
      <x:c r="A976" s="83" t="n">
        <x:v>975</x:v>
      </x:c>
      <x:c r="B976" s="84" t="n">
        <x:v>713</x:v>
      </x:c>
      <x:c r="C976" s="84" t="n">
        <x:v>77</x:v>
      </x:c>
      <x:c r="D976" s="89" t="n">
        <x:v>45709</x:v>
      </x:c>
      <x:c r="E976" s="84" t="n">
        <x:v>2</x:v>
      </x:c>
      <x:c r="F976" s="91" t="n">
        <x:v>4205.82</x:v>
      </x:c>
    </x:row>
    <x:row r="977">
      <x:c r="A977" s="83" t="n">
        <x:v>976</x:v>
      </x:c>
      <x:c r="B977" s="84" t="n">
        <x:v>717</x:v>
      </x:c>
      <x:c r="C977" s="84" t="n">
        <x:v>59</x:v>
      </x:c>
      <x:c r="D977" s="89" t="n">
        <x:v>44962</x:v>
      </x:c>
      <x:c r="E977" s="84" t="n">
        <x:v>2</x:v>
      </x:c>
      <x:c r="F977" s="91" t="n">
        <x:v>3032.9</x:v>
      </x:c>
    </x:row>
    <x:row r="978">
      <x:c r="A978" s="83" t="n">
        <x:v>977</x:v>
      </x:c>
      <x:c r="B978" s="84" t="n">
        <x:v>717</x:v>
      </x:c>
      <x:c r="C978" s="84" t="n">
        <x:v>74</x:v>
      </x:c>
      <x:c r="D978" s="89" t="n">
        <x:v>44962</x:v>
      </x:c>
      <x:c r="E978" s="84" t="n">
        <x:v>2</x:v>
      </x:c>
      <x:c r="F978" s="91" t="n">
        <x:v>3312.7</x:v>
      </x:c>
    </x:row>
    <x:row r="979">
      <x:c r="A979" s="83" t="n">
        <x:v>978</x:v>
      </x:c>
      <x:c r="B979" s="84" t="n">
        <x:v>717</x:v>
      </x:c>
      <x:c r="C979" s="84" t="n">
        <x:v>40</x:v>
      </x:c>
      <x:c r="D979" s="89" t="n">
        <x:v>44962</x:v>
      </x:c>
      <x:c r="E979" s="84" t="n">
        <x:v>2</x:v>
      </x:c>
      <x:c r="F979" s="91" t="n">
        <x:v>4070.08</x:v>
      </x:c>
    </x:row>
    <x:row r="980">
      <x:c r="A980" s="83" t="n">
        <x:v>979</x:v>
      </x:c>
      <x:c r="B980" s="84" t="n">
        <x:v>718</x:v>
      </x:c>
      <x:c r="C980" s="84" t="n">
        <x:v>57</x:v>
      </x:c>
      <x:c r="D980" s="89" t="n">
        <x:v>45181</x:v>
      </x:c>
      <x:c r="E980" s="84" t="n">
        <x:v>3</x:v>
      </x:c>
      <x:c r="F980" s="91" t="n">
        <x:v>3537.18</x:v>
      </x:c>
    </x:row>
    <x:row r="981">
      <x:c r="A981" s="83" t="n">
        <x:v>980</x:v>
      </x:c>
      <x:c r="B981" s="84" t="n">
        <x:v>718</x:v>
      </x:c>
      <x:c r="C981" s="84" t="n">
        <x:v>65</x:v>
      </x:c>
      <x:c r="D981" s="89" t="n">
        <x:v>45181</x:v>
      </x:c>
      <x:c r="E981" s="84" t="n">
        <x:v>1</x:v>
      </x:c>
      <x:c r="F981" s="91" t="n">
        <x:v>1254.84</x:v>
      </x:c>
    </x:row>
    <x:row r="982">
      <x:c r="A982" s="83" t="n">
        <x:v>981</x:v>
      </x:c>
      <x:c r="B982" s="84" t="n">
        <x:v>719</x:v>
      </x:c>
      <x:c r="C982" s="84" t="n">
        <x:v>61</x:v>
      </x:c>
      <x:c r="D982" s="89" t="n">
        <x:v>45586</x:v>
      </x:c>
      <x:c r="E982" s="84" t="n">
        <x:v>2</x:v>
      </x:c>
      <x:c r="F982" s="91" t="n">
        <x:v>263.44</x:v>
      </x:c>
    </x:row>
    <x:row r="983">
      <x:c r="A983" s="83" t="n">
        <x:v>982</x:v>
      </x:c>
      <x:c r="B983" s="84" t="n">
        <x:v>719</x:v>
      </x:c>
      <x:c r="C983" s="84" t="n">
        <x:v>15</x:v>
      </x:c>
      <x:c r="D983" s="89" t="n">
        <x:v>45586</x:v>
      </x:c>
      <x:c r="E983" s="84" t="n">
        <x:v>3</x:v>
      </x:c>
      <x:c r="F983" s="91" t="n">
        <x:v>3703.83</x:v>
      </x:c>
    </x:row>
    <x:row r="984">
      <x:c r="A984" s="83" t="n">
        <x:v>983</x:v>
      </x:c>
      <x:c r="B984" s="84" t="n">
        <x:v>720</x:v>
      </x:c>
      <x:c r="C984" s="84" t="n">
        <x:v>52</x:v>
      </x:c>
      <x:c r="D984" s="89" t="n">
        <x:v>45987</x:v>
      </x:c>
      <x:c r="E984" s="84" t="n">
        <x:v>1</x:v>
      </x:c>
      <x:c r="F984" s="91" t="n">
        <x:v>880.63</x:v>
      </x:c>
    </x:row>
    <x:row r="985">
      <x:c r="A985" s="83" t="n">
        <x:v>984</x:v>
      </x:c>
      <x:c r="B985" s="84" t="n">
        <x:v>721</x:v>
      </x:c>
      <x:c r="C985" s="84" t="n">
        <x:v>53</x:v>
      </x:c>
      <x:c r="D985" s="89" t="n">
        <x:v>45780</x:v>
      </x:c>
      <x:c r="E985" s="84" t="n">
        <x:v>1</x:v>
      </x:c>
      <x:c r="F985" s="91" t="n">
        <x:v>1590.92</x:v>
      </x:c>
    </x:row>
    <x:row r="986">
      <x:c r="A986" s="83" t="n">
        <x:v>985</x:v>
      </x:c>
      <x:c r="B986" s="84" t="n">
        <x:v>723</x:v>
      </x:c>
      <x:c r="C986" s="84" t="n">
        <x:v>57</x:v>
      </x:c>
      <x:c r="D986" s="89" t="n">
        <x:v>45666</x:v>
      </x:c>
      <x:c r="E986" s="84" t="n">
        <x:v>1</x:v>
      </x:c>
      <x:c r="F986" s="91" t="n">
        <x:v>1179.06</x:v>
      </x:c>
    </x:row>
    <x:row r="987">
      <x:c r="A987" s="83" t="n">
        <x:v>986</x:v>
      </x:c>
      <x:c r="B987" s="84" t="n">
        <x:v>725</x:v>
      </x:c>
      <x:c r="C987" s="84" t="n">
        <x:v>24</x:v>
      </x:c>
      <x:c r="D987" s="89" t="n">
        <x:v>45081</x:v>
      </x:c>
      <x:c r="E987" s="84" t="n">
        <x:v>4</x:v>
      </x:c>
      <x:c r="F987" s="91" t="n">
        <x:v>2963.64</x:v>
      </x:c>
    </x:row>
    <x:row r="988">
      <x:c r="A988" s="83" t="n">
        <x:v>987</x:v>
      </x:c>
      <x:c r="B988" s="84" t="n">
        <x:v>725</x:v>
      </x:c>
      <x:c r="C988" s="84" t="n">
        <x:v>23</x:v>
      </x:c>
      <x:c r="D988" s="89" t="n">
        <x:v>45081</x:v>
      </x:c>
      <x:c r="E988" s="84" t="n">
        <x:v>1</x:v>
      </x:c>
      <x:c r="F988" s="91" t="n">
        <x:v>1752.85</x:v>
      </x:c>
    </x:row>
    <x:row r="989">
      <x:c r="A989" s="83" t="n">
        <x:v>988</x:v>
      </x:c>
      <x:c r="B989" s="84" t="n">
        <x:v>725</x:v>
      </x:c>
      <x:c r="C989" s="84" t="n">
        <x:v>80</x:v>
      </x:c>
      <x:c r="D989" s="89" t="n">
        <x:v>45081</x:v>
      </x:c>
      <x:c r="E989" s="84" t="n">
        <x:v>4</x:v>
      </x:c>
      <x:c r="F989" s="91" t="n">
        <x:v>6914.16</x:v>
      </x:c>
    </x:row>
    <x:row r="990">
      <x:c r="A990" s="83" t="n">
        <x:v>989</x:v>
      </x:c>
      <x:c r="B990" s="84" t="n">
        <x:v>727</x:v>
      </x:c>
      <x:c r="C990" s="84" t="n">
        <x:v>57</x:v>
      </x:c>
      <x:c r="D990" s="89" t="n">
        <x:v>45948</x:v>
      </x:c>
      <x:c r="E990" s="84" t="n">
        <x:v>4</x:v>
      </x:c>
      <x:c r="F990" s="91" t="n">
        <x:v>4716.24</x:v>
      </x:c>
    </x:row>
    <x:row r="991">
      <x:c r="A991" s="83" t="n">
        <x:v>990</x:v>
      </x:c>
      <x:c r="B991" s="84" t="n">
        <x:v>727</x:v>
      </x:c>
      <x:c r="C991" s="84" t="n">
        <x:v>67</x:v>
      </x:c>
      <x:c r="D991" s="89" t="n">
        <x:v>45948</x:v>
      </x:c>
      <x:c r="E991" s="84" t="n">
        <x:v>2</x:v>
      </x:c>
      <x:c r="F991" s="91" t="n">
        <x:v>2559.06</x:v>
      </x:c>
    </x:row>
    <x:row r="992">
      <x:c r="A992" s="83" t="n">
        <x:v>991</x:v>
      </x:c>
      <x:c r="B992" s="84" t="n">
        <x:v>727</x:v>
      </x:c>
      <x:c r="C992" s="84" t="n">
        <x:v>12</x:v>
      </x:c>
      <x:c r="D992" s="89" t="n">
        <x:v>45948</x:v>
      </x:c>
      <x:c r="E992" s="84" t="n">
        <x:v>4</x:v>
      </x:c>
      <x:c r="F992" s="91" t="n">
        <x:v>1137.96</x:v>
      </x:c>
    </x:row>
    <x:row r="993">
      <x:c r="A993" s="83" t="n">
        <x:v>992</x:v>
      </x:c>
      <x:c r="B993" s="84" t="n">
        <x:v>729</x:v>
      </x:c>
      <x:c r="C993" s="84" t="n">
        <x:v>56</x:v>
      </x:c>
      <x:c r="D993" s="89" t="n">
        <x:v>45475</x:v>
      </x:c>
      <x:c r="E993" s="84" t="n">
        <x:v>2</x:v>
      </x:c>
      <x:c r="F993" s="91" t="n">
        <x:v>2936.92</x:v>
      </x:c>
    </x:row>
    <x:row r="994">
      <x:c r="A994" s="83" t="n">
        <x:v>993</x:v>
      </x:c>
      <x:c r="B994" s="84" t="n">
        <x:v>729</x:v>
      </x:c>
      <x:c r="C994" s="84" t="n">
        <x:v>17</x:v>
      </x:c>
      <x:c r="D994" s="89" t="n">
        <x:v>45475</x:v>
      </x:c>
      <x:c r="E994" s="84" t="n">
        <x:v>2</x:v>
      </x:c>
      <x:c r="F994" s="91" t="n">
        <x:v>4712.84</x:v>
      </x:c>
    </x:row>
    <x:row r="995">
      <x:c r="A995" s="83" t="n">
        <x:v>994</x:v>
      </x:c>
      <x:c r="B995" s="84" t="n">
        <x:v>729</x:v>
      </x:c>
      <x:c r="C995" s="84" t="n">
        <x:v>36</x:v>
      </x:c>
      <x:c r="D995" s="89" t="n">
        <x:v>45475</x:v>
      </x:c>
      <x:c r="E995" s="84" t="n">
        <x:v>3</x:v>
      </x:c>
      <x:c r="F995" s="91" t="n">
        <x:v>1789.23</x:v>
      </x:c>
    </x:row>
    <x:row r="996">
      <x:c r="A996" s="83" t="n">
        <x:v>995</x:v>
      </x:c>
      <x:c r="B996" s="84" t="n">
        <x:v>730</x:v>
      </x:c>
      <x:c r="C996" s="84" t="n">
        <x:v>35</x:v>
      </x:c>
      <x:c r="D996" s="89" t="n">
        <x:v>45818</x:v>
      </x:c>
      <x:c r="E996" s="84" t="n">
        <x:v>4</x:v>
      </x:c>
      <x:c r="F996" s="91" t="n">
        <x:v>5883.12</x:v>
      </x:c>
    </x:row>
    <x:row r="997">
      <x:c r="A997" s="83" t="n">
        <x:v>996</x:v>
      </x:c>
      <x:c r="B997" s="84" t="n">
        <x:v>730</x:v>
      </x:c>
      <x:c r="C997" s="84" t="n">
        <x:v>71</x:v>
      </x:c>
      <x:c r="D997" s="89" t="n">
        <x:v>45818</x:v>
      </x:c>
      <x:c r="E997" s="84" t="n">
        <x:v>4</x:v>
      </x:c>
      <x:c r="F997" s="91" t="n">
        <x:v>7934.08</x:v>
      </x:c>
    </x:row>
    <x:row r="998">
      <x:c r="A998" s="83" t="n">
        <x:v>997</x:v>
      </x:c>
      <x:c r="B998" s="84" t="n">
        <x:v>733</x:v>
      </x:c>
      <x:c r="C998" s="84" t="n">
        <x:v>76</x:v>
      </x:c>
      <x:c r="D998" s="89" t="n">
        <x:v>45457</x:v>
      </x:c>
      <x:c r="E998" s="84" t="n">
        <x:v>1</x:v>
      </x:c>
      <x:c r="F998" s="91" t="n">
        <x:v>719.81</x:v>
      </x:c>
    </x:row>
    <x:row r="999">
      <x:c r="A999" s="83" t="n">
        <x:v>998</x:v>
      </x:c>
      <x:c r="B999" s="84" t="n">
        <x:v>734</x:v>
      </x:c>
      <x:c r="C999" s="84" t="n">
        <x:v>19</x:v>
      </x:c>
      <x:c r="D999" s="89" t="n">
        <x:v>45140</x:v>
      </x:c>
      <x:c r="E999" s="84" t="n">
        <x:v>2</x:v>
      </x:c>
      <x:c r="F999" s="91" t="n">
        <x:v>2175.42</x:v>
      </x:c>
    </x:row>
    <x:row r="1000">
      <x:c r="A1000" s="83" t="n">
        <x:v>999</x:v>
      </x:c>
      <x:c r="B1000" s="84" t="n">
        <x:v>734</x:v>
      </x:c>
      <x:c r="C1000" s="84" t="n">
        <x:v>68</x:v>
      </x:c>
      <x:c r="D1000" s="89" t="n">
        <x:v>45140</x:v>
      </x:c>
      <x:c r="E1000" s="84" t="n">
        <x:v>1</x:v>
      </x:c>
      <x:c r="F1000" s="91" t="n">
        <x:v>1527.61</x:v>
      </x:c>
    </x:row>
    <x:row r="1001">
      <x:c r="A1001" s="83" t="n">
        <x:v>1000</x:v>
      </x:c>
      <x:c r="B1001" s="84" t="n">
        <x:v>734</x:v>
      </x:c>
      <x:c r="C1001" s="84" t="n">
        <x:v>61</x:v>
      </x:c>
      <x:c r="D1001" s="89" t="n">
        <x:v>45140</x:v>
      </x:c>
      <x:c r="E1001" s="84" t="n">
        <x:v>4</x:v>
      </x:c>
      <x:c r="F1001" s="91" t="n">
        <x:v>526.88</x:v>
      </x:c>
    </x:row>
    <x:row r="1002">
      <x:c r="A1002" s="83" t="n">
        <x:v>1001</x:v>
      </x:c>
      <x:c r="B1002" s="84" t="n">
        <x:v>738</x:v>
      </x:c>
      <x:c r="C1002" s="84" t="n">
        <x:v>53</x:v>
      </x:c>
      <x:c r="D1002" s="89" t="n">
        <x:v>45936</x:v>
      </x:c>
      <x:c r="E1002" s="84" t="n">
        <x:v>4</x:v>
      </x:c>
      <x:c r="F1002" s="91" t="n">
        <x:v>6363.68</x:v>
      </x:c>
    </x:row>
    <x:row r="1003">
      <x:c r="A1003" s="83" t="n">
        <x:v>1002</x:v>
      </x:c>
      <x:c r="B1003" s="84" t="n">
        <x:v>738</x:v>
      </x:c>
      <x:c r="C1003" s="84" t="n">
        <x:v>44</x:v>
      </x:c>
      <x:c r="D1003" s="89" t="n">
        <x:v>45936</x:v>
      </x:c>
      <x:c r="E1003" s="84" t="n">
        <x:v>1</x:v>
      </x:c>
      <x:c r="F1003" s="91" t="n">
        <x:v>1251.48</x:v>
      </x:c>
    </x:row>
    <x:row r="1004">
      <x:c r="A1004" s="83" t="n">
        <x:v>1003</x:v>
      </x:c>
      <x:c r="B1004" s="84" t="n">
        <x:v>738</x:v>
      </x:c>
      <x:c r="C1004" s="84" t="n">
        <x:v>63</x:v>
      </x:c>
      <x:c r="D1004" s="89" t="n">
        <x:v>45936</x:v>
      </x:c>
      <x:c r="E1004" s="84" t="n">
        <x:v>2</x:v>
      </x:c>
      <x:c r="F1004" s="91" t="n">
        <x:v>3868.38</x:v>
      </x:c>
    </x:row>
    <x:row r="1005">
      <x:c r="A1005" s="83" t="n">
        <x:v>1004</x:v>
      </x:c>
      <x:c r="B1005" s="84" t="n">
        <x:v>740</x:v>
      </x:c>
      <x:c r="C1005" s="84" t="n">
        <x:v>32</x:v>
      </x:c>
      <x:c r="D1005" s="89" t="n">
        <x:v>45034</x:v>
      </x:c>
      <x:c r="E1005" s="84" t="n">
        <x:v>1</x:v>
      </x:c>
      <x:c r="F1005" s="91" t="n">
        <x:v>1813.25</x:v>
      </x:c>
    </x:row>
    <x:row r="1006">
      <x:c r="A1006" s="83" t="n">
        <x:v>1005</x:v>
      </x:c>
      <x:c r="B1006" s="84" t="n">
        <x:v>740</x:v>
      </x:c>
      <x:c r="C1006" s="84" t="n">
        <x:v>29</x:v>
      </x:c>
      <x:c r="D1006" s="89" t="n">
        <x:v>45034</x:v>
      </x:c>
      <x:c r="E1006" s="84" t="n">
        <x:v>2</x:v>
      </x:c>
      <x:c r="F1006" s="91" t="n">
        <x:v>3104.94</x:v>
      </x:c>
    </x:row>
    <x:row r="1007">
      <x:c r="A1007" s="83" t="n">
        <x:v>1006</x:v>
      </x:c>
      <x:c r="B1007" s="84" t="n">
        <x:v>741</x:v>
      </x:c>
      <x:c r="C1007" s="84" t="n">
        <x:v>52</x:v>
      </x:c>
      <x:c r="D1007" s="89" t="n">
        <x:v>45114</x:v>
      </x:c>
      <x:c r="E1007" s="84" t="n">
        <x:v>4</x:v>
      </x:c>
      <x:c r="F1007" s="91" t="n">
        <x:v>3522.52</x:v>
      </x:c>
    </x:row>
    <x:row r="1008">
      <x:c r="A1008" s="83" t="n">
        <x:v>1007</x:v>
      </x:c>
      <x:c r="B1008" s="84" t="n">
        <x:v>741</x:v>
      </x:c>
      <x:c r="C1008" s="84" t="n">
        <x:v>8</x:v>
      </x:c>
      <x:c r="D1008" s="89" t="n">
        <x:v>45114</x:v>
      </x:c>
      <x:c r="E1008" s="84" t="n">
        <x:v>2</x:v>
      </x:c>
      <x:c r="F1008" s="91" t="n">
        <x:v>3332.38</x:v>
      </x:c>
    </x:row>
    <x:row r="1009">
      <x:c r="A1009" s="83" t="n">
        <x:v>1008</x:v>
      </x:c>
      <x:c r="B1009" s="84" t="n">
        <x:v>741</x:v>
      </x:c>
      <x:c r="C1009" s="84" t="n">
        <x:v>64</x:v>
      </x:c>
      <x:c r="D1009" s="89" t="n">
        <x:v>45114</x:v>
      </x:c>
      <x:c r="E1009" s="84" t="n">
        <x:v>4</x:v>
      </x:c>
      <x:c r="F1009" s="91" t="n">
        <x:v>5861.68</x:v>
      </x:c>
    </x:row>
    <x:row r="1010">
      <x:c r="A1010" s="83" t="n">
        <x:v>1009</x:v>
      </x:c>
      <x:c r="B1010" s="84" t="n">
        <x:v>742</x:v>
      </x:c>
      <x:c r="C1010" s="84" t="n">
        <x:v>19</x:v>
      </x:c>
      <x:c r="D1010" s="89" t="n">
        <x:v>45827</x:v>
      </x:c>
      <x:c r="E1010" s="84" t="n">
        <x:v>1</x:v>
      </x:c>
      <x:c r="F1010" s="91" t="n">
        <x:v>1087.71</x:v>
      </x:c>
    </x:row>
    <x:row r="1011">
      <x:c r="A1011" s="83" t="n">
        <x:v>1010</x:v>
      </x:c>
      <x:c r="B1011" s="84" t="n">
        <x:v>742</x:v>
      </x:c>
      <x:c r="C1011" s="84" t="n">
        <x:v>61</x:v>
      </x:c>
      <x:c r="D1011" s="89" t="n">
        <x:v>45827</x:v>
      </x:c>
      <x:c r="E1011" s="84" t="n">
        <x:v>2</x:v>
      </x:c>
      <x:c r="F1011" s="91" t="n">
        <x:v>263.44</x:v>
      </x:c>
    </x:row>
    <x:row r="1012">
      <x:c r="A1012" s="83" t="n">
        <x:v>1011</x:v>
      </x:c>
      <x:c r="B1012" s="84" t="n">
        <x:v>742</x:v>
      </x:c>
      <x:c r="C1012" s="84" t="n">
        <x:v>47</x:v>
      </x:c>
      <x:c r="D1012" s="89" t="n">
        <x:v>45827</x:v>
      </x:c>
      <x:c r="E1012" s="84" t="n">
        <x:v>1</x:v>
      </x:c>
      <x:c r="F1012" s="91" t="n">
        <x:v>2175.62</x:v>
      </x:c>
    </x:row>
    <x:row r="1013">
      <x:c r="A1013" s="83" t="n">
        <x:v>1012</x:v>
      </x:c>
      <x:c r="B1013" s="84" t="n">
        <x:v>744</x:v>
      </x:c>
      <x:c r="C1013" s="84" t="n">
        <x:v>5</x:v>
      </x:c>
      <x:c r="D1013" s="89" t="n">
        <x:v>45089</x:v>
      </x:c>
      <x:c r="E1013" s="84" t="n">
        <x:v>2</x:v>
      </x:c>
      <x:c r="F1013" s="91" t="n">
        <x:v>2937</x:v>
      </x:c>
    </x:row>
    <x:row r="1014">
      <x:c r="A1014" s="83" t="n">
        <x:v>1013</x:v>
      </x:c>
      <x:c r="B1014" s="84" t="n">
        <x:v>744</x:v>
      </x:c>
      <x:c r="C1014" s="84" t="n">
        <x:v>73</x:v>
      </x:c>
      <x:c r="D1014" s="89" t="n">
        <x:v>45089</x:v>
      </x:c>
      <x:c r="E1014" s="84" t="n">
        <x:v>4</x:v>
      </x:c>
      <x:c r="F1014" s="91" t="n">
        <x:v>4509.24</x:v>
      </x:c>
    </x:row>
    <x:row r="1015">
      <x:c r="A1015" s="83" t="n">
        <x:v>1014</x:v>
      </x:c>
      <x:c r="B1015" s="84" t="n">
        <x:v>744</x:v>
      </x:c>
      <x:c r="C1015" s="84" t="n">
        <x:v>30</x:v>
      </x:c>
      <x:c r="D1015" s="89" t="n">
        <x:v>45089</x:v>
      </x:c>
      <x:c r="E1015" s="84" t="n">
        <x:v>3</x:v>
      </x:c>
      <x:c r="F1015" s="91" t="n">
        <x:v>3836.28</x:v>
      </x:c>
    </x:row>
    <x:row r="1016">
      <x:c r="A1016" s="83" t="n">
        <x:v>1015</x:v>
      </x:c>
      <x:c r="B1016" s="84" t="n">
        <x:v>748</x:v>
      </x:c>
      <x:c r="C1016" s="84" t="n">
        <x:v>56</x:v>
      </x:c>
      <x:c r="D1016" s="89" t="n">
        <x:v>45162</x:v>
      </x:c>
      <x:c r="E1016" s="84" t="n">
        <x:v>1</x:v>
      </x:c>
      <x:c r="F1016" s="91" t="n">
        <x:v>1468.46</x:v>
      </x:c>
    </x:row>
    <x:row r="1017">
      <x:c r="A1017" s="83" t="n">
        <x:v>1016</x:v>
      </x:c>
      <x:c r="B1017" s="84" t="n">
        <x:v>748</x:v>
      </x:c>
      <x:c r="C1017" s="84" t="n">
        <x:v>38</x:v>
      </x:c>
      <x:c r="D1017" s="89" t="n">
        <x:v>45162</x:v>
      </x:c>
      <x:c r="E1017" s="84" t="n">
        <x:v>2</x:v>
      </x:c>
      <x:c r="F1017" s="91" t="n">
        <x:v>1452.98</x:v>
      </x:c>
    </x:row>
    <x:row r="1018">
      <x:c r="A1018" s="83" t="n">
        <x:v>1017</x:v>
      </x:c>
      <x:c r="B1018" s="84" t="n">
        <x:v>749</x:v>
      </x:c>
      <x:c r="C1018" s="84" t="n">
        <x:v>55</x:v>
      </x:c>
      <x:c r="D1018" s="89" t="n">
        <x:v>45909</x:v>
      </x:c>
      <x:c r="E1018" s="84" t="n">
        <x:v>1</x:v>
      </x:c>
      <x:c r="F1018" s="91" t="n">
        <x:v>1499.85</x:v>
      </x:c>
    </x:row>
    <x:row r="1019">
      <x:c r="A1019" s="83" t="n">
        <x:v>1018</x:v>
      </x:c>
      <x:c r="B1019" s="84" t="n">
        <x:v>749</x:v>
      </x:c>
      <x:c r="C1019" s="84" t="n">
        <x:v>68</x:v>
      </x:c>
      <x:c r="D1019" s="89" t="n">
        <x:v>45909</x:v>
      </x:c>
      <x:c r="E1019" s="84" t="n">
        <x:v>3</x:v>
      </x:c>
      <x:c r="F1019" s="91" t="n">
        <x:v>4582.83</x:v>
      </x:c>
    </x:row>
    <x:row r="1020">
      <x:c r="A1020" s="83" t="n">
        <x:v>1019</x:v>
      </x:c>
      <x:c r="B1020" s="84" t="n">
        <x:v>749</x:v>
      </x:c>
      <x:c r="C1020" s="84" t="n">
        <x:v>17</x:v>
      </x:c>
      <x:c r="D1020" s="89" t="n">
        <x:v>45909</x:v>
      </x:c>
      <x:c r="E1020" s="84" t="n">
        <x:v>2</x:v>
      </x:c>
      <x:c r="F1020" s="91" t="n">
        <x:v>4712.84</x:v>
      </x:c>
    </x:row>
    <x:row r="1021">
      <x:c r="A1021" s="83" t="n">
        <x:v>1020</x:v>
      </x:c>
      <x:c r="B1021" s="84" t="n">
        <x:v>750</x:v>
      </x:c>
      <x:c r="C1021" s="84" t="n">
        <x:v>39</x:v>
      </x:c>
      <x:c r="D1021" s="89" t="n">
        <x:v>45609</x:v>
      </x:c>
      <x:c r="E1021" s="84" t="n">
        <x:v>1</x:v>
      </x:c>
      <x:c r="F1021" s="91" t="n">
        <x:v>677.6</x:v>
      </x:c>
    </x:row>
    <x:row r="1022">
      <x:c r="A1022" s="83" t="n">
        <x:v>1021</x:v>
      </x:c>
      <x:c r="B1022" s="84" t="n">
        <x:v>750</x:v>
      </x:c>
      <x:c r="C1022" s="84" t="n">
        <x:v>46</x:v>
      </x:c>
      <x:c r="D1022" s="89" t="n">
        <x:v>45609</x:v>
      </x:c>
      <x:c r="E1022" s="84" t="n">
        <x:v>3</x:v>
      </x:c>
      <x:c r="F1022" s="91" t="n">
        <x:v>4004.85</x:v>
      </x:c>
    </x:row>
    <x:row r="1023">
      <x:c r="A1023" s="83" t="n">
        <x:v>1022</x:v>
      </x:c>
      <x:c r="B1023" s="84" t="n">
        <x:v>750</x:v>
      </x:c>
      <x:c r="C1023" s="84" t="n">
        <x:v>22</x:v>
      </x:c>
      <x:c r="D1023" s="89" t="n">
        <x:v>45609</x:v>
      </x:c>
      <x:c r="E1023" s="84" t="n">
        <x:v>4</x:v>
      </x:c>
      <x:c r="F1023" s="91" t="n">
        <x:v>2087.56</x:v>
      </x:c>
    </x:row>
    <x:row r="1024">
      <x:c r="A1024" s="83" t="n">
        <x:v>1023</x:v>
      </x:c>
      <x:c r="B1024" s="84" t="n">
        <x:v>753</x:v>
      </x:c>
      <x:c r="C1024" s="84" t="n">
        <x:v>33</x:v>
      </x:c>
      <x:c r="D1024" s="89" t="n">
        <x:v>45564</x:v>
      </x:c>
      <x:c r="E1024" s="84" t="n">
        <x:v>1</x:v>
      </x:c>
      <x:c r="F1024" s="91" t="n">
        <x:v>2346.92</x:v>
      </x:c>
    </x:row>
    <x:row r="1025">
      <x:c r="A1025" s="83" t="n">
        <x:v>1024</x:v>
      </x:c>
      <x:c r="B1025" s="84" t="n">
        <x:v>753</x:v>
      </x:c>
      <x:c r="C1025" s="84" t="n">
        <x:v>32</x:v>
      </x:c>
      <x:c r="D1025" s="89" t="n">
        <x:v>45564</x:v>
      </x:c>
      <x:c r="E1025" s="84" t="n">
        <x:v>1</x:v>
      </x:c>
      <x:c r="F1025" s="91" t="n">
        <x:v>1813.25</x:v>
      </x:c>
    </x:row>
    <x:row r="1026">
      <x:c r="A1026" s="83" t="n">
        <x:v>1025</x:v>
      </x:c>
      <x:c r="B1026" s="84" t="n">
        <x:v>753</x:v>
      </x:c>
      <x:c r="C1026" s="84" t="n">
        <x:v>52</x:v>
      </x:c>
      <x:c r="D1026" s="89" t="n">
        <x:v>45564</x:v>
      </x:c>
      <x:c r="E1026" s="84" t="n">
        <x:v>1</x:v>
      </x:c>
      <x:c r="F1026" s="91" t="n">
        <x:v>880.63</x:v>
      </x:c>
    </x:row>
    <x:row r="1027">
      <x:c r="A1027" s="83" t="n">
        <x:v>1026</x:v>
      </x:c>
      <x:c r="B1027" s="84" t="n">
        <x:v>754</x:v>
      </x:c>
      <x:c r="C1027" s="84" t="n">
        <x:v>38</x:v>
      </x:c>
      <x:c r="D1027" s="89" t="n">
        <x:v>45071</x:v>
      </x:c>
      <x:c r="E1027" s="84" t="n">
        <x:v>2</x:v>
      </x:c>
      <x:c r="F1027" s="91" t="n">
        <x:v>1452.98</x:v>
      </x:c>
    </x:row>
    <x:row r="1028">
      <x:c r="A1028" s="83" t="n">
        <x:v>1027</x:v>
      </x:c>
      <x:c r="B1028" s="84" t="n">
        <x:v>755</x:v>
      </x:c>
      <x:c r="C1028" s="84" t="n">
        <x:v>58</x:v>
      </x:c>
      <x:c r="D1028" s="89" t="n">
        <x:v>45744</x:v>
      </x:c>
      <x:c r="E1028" s="84" t="n">
        <x:v>4</x:v>
      </x:c>
      <x:c r="F1028" s="91" t="n">
        <x:v>8072.72</x:v>
      </x:c>
    </x:row>
    <x:row r="1029">
      <x:c r="A1029" s="83" t="n">
        <x:v>1028</x:v>
      </x:c>
      <x:c r="B1029" s="84" t="n">
        <x:v>755</x:v>
      </x:c>
      <x:c r="C1029" s="84" t="n">
        <x:v>7</x:v>
      </x:c>
      <x:c r="D1029" s="89" t="n">
        <x:v>45744</x:v>
      </x:c>
      <x:c r="E1029" s="84" t="n">
        <x:v>3</x:v>
      </x:c>
      <x:c r="F1029" s="91" t="n">
        <x:v>1100.4</x:v>
      </x:c>
    </x:row>
    <x:row r="1030">
      <x:c r="A1030" s="83" t="n">
        <x:v>1029</x:v>
      </x:c>
      <x:c r="B1030" s="84" t="n">
        <x:v>756</x:v>
      </x:c>
      <x:c r="C1030" s="84" t="n">
        <x:v>56</x:v>
      </x:c>
      <x:c r="D1030" s="89" t="n">
        <x:v>45497</x:v>
      </x:c>
      <x:c r="E1030" s="84" t="n">
        <x:v>4</x:v>
      </x:c>
      <x:c r="F1030" s="91" t="n">
        <x:v>5873.84</x:v>
      </x:c>
    </x:row>
    <x:row r="1031">
      <x:c r="A1031" s="83" t="n">
        <x:v>1030</x:v>
      </x:c>
      <x:c r="B1031" s="84" t="n">
        <x:v>756</x:v>
      </x:c>
      <x:c r="C1031" s="84" t="n">
        <x:v>47</x:v>
      </x:c>
      <x:c r="D1031" s="89" t="n">
        <x:v>45497</x:v>
      </x:c>
      <x:c r="E1031" s="84" t="n">
        <x:v>3</x:v>
      </x:c>
      <x:c r="F1031" s="91" t="n">
        <x:v>6526.86</x:v>
      </x:c>
    </x:row>
    <x:row r="1032">
      <x:c r="A1032" s="83" t="n">
        <x:v>1031</x:v>
      </x:c>
      <x:c r="B1032" s="84" t="n">
        <x:v>756</x:v>
      </x:c>
      <x:c r="C1032" s="84" t="n">
        <x:v>78</x:v>
      </x:c>
      <x:c r="D1032" s="89" t="n">
        <x:v>45497</x:v>
      </x:c>
      <x:c r="E1032" s="84" t="n">
        <x:v>2</x:v>
      </x:c>
      <x:c r="F1032" s="91" t="n">
        <x:v>567.2</x:v>
      </x:c>
    </x:row>
    <x:row r="1033">
      <x:c r="A1033" s="83" t="n">
        <x:v>1032</x:v>
      </x:c>
      <x:c r="B1033" s="84" t="n">
        <x:v>757</x:v>
      </x:c>
      <x:c r="C1033" s="84" t="n">
        <x:v>60</x:v>
      </x:c>
      <x:c r="D1033" s="89" t="n">
        <x:v>45173</x:v>
      </x:c>
      <x:c r="E1033" s="84" t="n">
        <x:v>4</x:v>
      </x:c>
      <x:c r="F1033" s="91" t="n">
        <x:v>1415.2</x:v>
      </x:c>
    </x:row>
    <x:row r="1034">
      <x:c r="A1034" s="83" t="n">
        <x:v>1033</x:v>
      </x:c>
      <x:c r="B1034" s="84" t="n">
        <x:v>757</x:v>
      </x:c>
      <x:c r="C1034" s="84" t="n">
        <x:v>49</x:v>
      </x:c>
      <x:c r="D1034" s="89" t="n">
        <x:v>45173</x:v>
      </x:c>
      <x:c r="E1034" s="84" t="n">
        <x:v>4</x:v>
      </x:c>
      <x:c r="F1034" s="91" t="n">
        <x:v>736.64</x:v>
      </x:c>
    </x:row>
    <x:row r="1035">
      <x:c r="A1035" s="83" t="n">
        <x:v>1034</x:v>
      </x:c>
      <x:c r="B1035" s="84" t="n">
        <x:v>758</x:v>
      </x:c>
      <x:c r="C1035" s="84" t="n">
        <x:v>73</x:v>
      </x:c>
      <x:c r="D1035" s="89" t="n">
        <x:v>45240</x:v>
      </x:c>
      <x:c r="E1035" s="84" t="n">
        <x:v>3</x:v>
      </x:c>
      <x:c r="F1035" s="91" t="n">
        <x:v>3381.93</x:v>
      </x:c>
    </x:row>
    <x:row r="1036">
      <x:c r="A1036" s="83" t="n">
        <x:v>1035</x:v>
      </x:c>
      <x:c r="B1036" s="84" t="n">
        <x:v>758</x:v>
      </x:c>
      <x:c r="C1036" s="84" t="n">
        <x:v>35</x:v>
      </x:c>
      <x:c r="D1036" s="89" t="n">
        <x:v>45240</x:v>
      </x:c>
      <x:c r="E1036" s="84" t="n">
        <x:v>3</x:v>
      </x:c>
      <x:c r="F1036" s="91" t="n">
        <x:v>4412.34</x:v>
      </x:c>
    </x:row>
    <x:row r="1037">
      <x:c r="A1037" s="83" t="n">
        <x:v>1036</x:v>
      </x:c>
      <x:c r="B1037" s="84" t="n">
        <x:v>758</x:v>
      </x:c>
      <x:c r="C1037" s="84" t="n">
        <x:v>11</x:v>
      </x:c>
      <x:c r="D1037" s="89" t="n">
        <x:v>45240</x:v>
      </x:c>
      <x:c r="E1037" s="84" t="n">
        <x:v>2</x:v>
      </x:c>
      <x:c r="F1037" s="91" t="n">
        <x:v>4422.52</x:v>
      </x:c>
    </x:row>
    <x:row r="1038">
      <x:c r="A1038" s="83" t="n">
        <x:v>1037</x:v>
      </x:c>
      <x:c r="B1038" s="84" t="n">
        <x:v>759</x:v>
      </x:c>
      <x:c r="C1038" s="84" t="n">
        <x:v>78</x:v>
      </x:c>
      <x:c r="D1038" s="89" t="n">
        <x:v>45251</x:v>
      </x:c>
      <x:c r="E1038" s="84" t="n">
        <x:v>1</x:v>
      </x:c>
      <x:c r="F1038" s="91" t="n">
        <x:v>283.6</x:v>
      </x:c>
    </x:row>
    <x:row r="1039">
      <x:c r="A1039" s="83" t="n">
        <x:v>1038</x:v>
      </x:c>
      <x:c r="B1039" s="84" t="n">
        <x:v>759</x:v>
      </x:c>
      <x:c r="C1039" s="84" t="n">
        <x:v>33</x:v>
      </x:c>
      <x:c r="D1039" s="89" t="n">
        <x:v>45251</x:v>
      </x:c>
      <x:c r="E1039" s="84" t="n">
        <x:v>1</x:v>
      </x:c>
      <x:c r="F1039" s="91" t="n">
        <x:v>2346.92</x:v>
      </x:c>
    </x:row>
    <x:row r="1040">
      <x:c r="A1040" s="83" t="n">
        <x:v>1039</x:v>
      </x:c>
      <x:c r="B1040" s="84" t="n">
        <x:v>760</x:v>
      </x:c>
      <x:c r="C1040" s="84" t="n">
        <x:v>41</x:v>
      </x:c>
      <x:c r="D1040" s="89" t="n">
        <x:v>45435</x:v>
      </x:c>
      <x:c r="E1040" s="84" t="n">
        <x:v>3</x:v>
      </x:c>
      <x:c r="F1040" s="91" t="n">
        <x:v>3546.06</x:v>
      </x:c>
    </x:row>
    <x:row r="1041">
      <x:c r="A1041" s="83" t="n">
        <x:v>1040</x:v>
      </x:c>
      <x:c r="B1041" s="84" t="n">
        <x:v>760</x:v>
      </x:c>
      <x:c r="C1041" s="84" t="n">
        <x:v>75</x:v>
      </x:c>
      <x:c r="D1041" s="89" t="n">
        <x:v>45435</x:v>
      </x:c>
      <x:c r="E1041" s="84" t="n">
        <x:v>4</x:v>
      </x:c>
      <x:c r="F1041" s="91" t="n">
        <x:v>1824.68</x:v>
      </x:c>
    </x:row>
    <x:row r="1042">
      <x:c r="A1042" s="83" t="n">
        <x:v>1041</x:v>
      </x:c>
      <x:c r="B1042" s="84" t="n">
        <x:v>760</x:v>
      </x:c>
      <x:c r="C1042" s="84" t="n">
        <x:v>50</x:v>
      </x:c>
      <x:c r="D1042" s="89" t="n">
        <x:v>45435</x:v>
      </x:c>
      <x:c r="E1042" s="84" t="n">
        <x:v>4</x:v>
      </x:c>
      <x:c r="F1042" s="91" t="n">
        <x:v>8943.8</x:v>
      </x:c>
    </x:row>
    <x:row r="1043">
      <x:c r="A1043" s="83" t="n">
        <x:v>1042</x:v>
      </x:c>
      <x:c r="B1043" s="84" t="n">
        <x:v>761</x:v>
      </x:c>
      <x:c r="C1043" s="84" t="n">
        <x:v>32</x:v>
      </x:c>
      <x:c r="D1043" s="89" t="n">
        <x:v>44971</x:v>
      </x:c>
      <x:c r="E1043" s="84" t="n">
        <x:v>4</x:v>
      </x:c>
      <x:c r="F1043" s="91" t="n">
        <x:v>7253</x:v>
      </x:c>
    </x:row>
    <x:row r="1044">
      <x:c r="A1044" s="83" t="n">
        <x:v>1043</x:v>
      </x:c>
      <x:c r="B1044" s="84" t="n">
        <x:v>761</x:v>
      </x:c>
      <x:c r="C1044" s="84" t="n">
        <x:v>39</x:v>
      </x:c>
      <x:c r="D1044" s="89" t="n">
        <x:v>44971</x:v>
      </x:c>
      <x:c r="E1044" s="84" t="n">
        <x:v>3</x:v>
      </x:c>
      <x:c r="F1044" s="91" t="n">
        <x:v>2032.8</x:v>
      </x:c>
    </x:row>
    <x:row r="1045">
      <x:c r="A1045" s="83" t="n">
        <x:v>1044</x:v>
      </x:c>
      <x:c r="B1045" s="84" t="n">
        <x:v>762</x:v>
      </x:c>
      <x:c r="C1045" s="84" t="n">
        <x:v>77</x:v>
      </x:c>
      <x:c r="D1045" s="89" t="n">
        <x:v>45336</x:v>
      </x:c>
      <x:c r="E1045" s="84" t="n">
        <x:v>1</x:v>
      </x:c>
      <x:c r="F1045" s="91" t="n">
        <x:v>2102.91</x:v>
      </x:c>
    </x:row>
    <x:row r="1046">
      <x:c r="A1046" s="83" t="n">
        <x:v>1045</x:v>
      </x:c>
      <x:c r="B1046" s="84" t="n">
        <x:v>765</x:v>
      </x:c>
      <x:c r="C1046" s="84" t="n">
        <x:v>26</x:v>
      </x:c>
      <x:c r="D1046" s="89" t="n">
        <x:v>45128</x:v>
      </x:c>
      <x:c r="E1046" s="84" t="n">
        <x:v>4</x:v>
      </x:c>
      <x:c r="F1046" s="91" t="n">
        <x:v>8604</x:v>
      </x:c>
    </x:row>
    <x:row r="1047">
      <x:c r="A1047" s="83" t="n">
        <x:v>1046</x:v>
      </x:c>
      <x:c r="B1047" s="84" t="n">
        <x:v>766</x:v>
      </x:c>
      <x:c r="C1047" s="84" t="n">
        <x:v>53</x:v>
      </x:c>
      <x:c r="D1047" s="89" t="n">
        <x:v>45290</x:v>
      </x:c>
      <x:c r="E1047" s="84" t="n">
        <x:v>3</x:v>
      </x:c>
      <x:c r="F1047" s="91" t="n">
        <x:v>4772.76</x:v>
      </x:c>
    </x:row>
    <x:row r="1048">
      <x:c r="A1048" s="83" t="n">
        <x:v>1047</x:v>
      </x:c>
      <x:c r="B1048" s="84" t="n">
        <x:v>766</x:v>
      </x:c>
      <x:c r="C1048" s="84" t="n">
        <x:v>57</x:v>
      </x:c>
      <x:c r="D1048" s="89" t="n">
        <x:v>45290</x:v>
      </x:c>
      <x:c r="E1048" s="84" t="n">
        <x:v>2</x:v>
      </x:c>
      <x:c r="F1048" s="91" t="n">
        <x:v>2358.12</x:v>
      </x:c>
    </x:row>
    <x:row r="1049">
      <x:c r="A1049" s="83" t="n">
        <x:v>1048</x:v>
      </x:c>
      <x:c r="B1049" s="84" t="n">
        <x:v>766</x:v>
      </x:c>
      <x:c r="C1049" s="84" t="n">
        <x:v>32</x:v>
      </x:c>
      <x:c r="D1049" s="89" t="n">
        <x:v>45290</x:v>
      </x:c>
      <x:c r="E1049" s="84" t="n">
        <x:v>1</x:v>
      </x:c>
      <x:c r="F1049" s="91" t="n">
        <x:v>1813.25</x:v>
      </x:c>
    </x:row>
    <x:row r="1050">
      <x:c r="A1050" s="83" t="n">
        <x:v>1049</x:v>
      </x:c>
      <x:c r="B1050" s="84" t="n">
        <x:v>767</x:v>
      </x:c>
      <x:c r="C1050" s="84" t="n">
        <x:v>45</x:v>
      </x:c>
      <x:c r="D1050" s="89" t="n">
        <x:v>45559</x:v>
      </x:c>
      <x:c r="E1050" s="84" t="n">
        <x:v>2</x:v>
      </x:c>
      <x:c r="F1050" s="91" t="n">
        <x:v>2782.84</x:v>
      </x:c>
    </x:row>
    <x:row r="1051">
      <x:c r="A1051" s="83" t="n">
        <x:v>1050</x:v>
      </x:c>
      <x:c r="B1051" s="84" t="n">
        <x:v>768</x:v>
      </x:c>
      <x:c r="C1051" s="84" t="n">
        <x:v>6</x:v>
      </x:c>
      <x:c r="D1051" s="89" t="n">
        <x:v>45337</x:v>
      </x:c>
      <x:c r="E1051" s="84" t="n">
        <x:v>4</x:v>
      </x:c>
      <x:c r="F1051" s="91" t="n">
        <x:v>2789.48</x:v>
      </x:c>
    </x:row>
    <x:row r="1052">
      <x:c r="A1052" s="83" t="n">
        <x:v>1051</x:v>
      </x:c>
      <x:c r="B1052" s="84" t="n">
        <x:v>768</x:v>
      </x:c>
      <x:c r="C1052" s="84" t="n">
        <x:v>46</x:v>
      </x:c>
      <x:c r="D1052" s="89" t="n">
        <x:v>45337</x:v>
      </x:c>
      <x:c r="E1052" s="84" t="n">
        <x:v>4</x:v>
      </x:c>
      <x:c r="F1052" s="91" t="n">
        <x:v>5339.8</x:v>
      </x:c>
    </x:row>
    <x:row r="1053">
      <x:c r="A1053" s="83" t="n">
        <x:v>1052</x:v>
      </x:c>
      <x:c r="B1053" s="84" t="n">
        <x:v>769</x:v>
      </x:c>
      <x:c r="C1053" s="84" t="n">
        <x:v>49</x:v>
      </x:c>
      <x:c r="D1053" s="89" t="n">
        <x:v>45970</x:v>
      </x:c>
      <x:c r="E1053" s="84" t="n">
        <x:v>1</x:v>
      </x:c>
      <x:c r="F1053" s="91" t="n">
        <x:v>184.16</x:v>
      </x:c>
    </x:row>
    <x:row r="1054">
      <x:c r="A1054" s="83" t="n">
        <x:v>1053</x:v>
      </x:c>
      <x:c r="B1054" s="84" t="n">
        <x:v>771</x:v>
      </x:c>
      <x:c r="C1054" s="84" t="n">
        <x:v>41</x:v>
      </x:c>
      <x:c r="D1054" s="89" t="n">
        <x:v>45816</x:v>
      </x:c>
      <x:c r="E1054" s="84" t="n">
        <x:v>3</x:v>
      </x:c>
      <x:c r="F1054" s="91" t="n">
        <x:v>3546.06</x:v>
      </x:c>
    </x:row>
    <x:row r="1055">
      <x:c r="A1055" s="83" t="n">
        <x:v>1054</x:v>
      </x:c>
      <x:c r="B1055" s="84" t="n">
        <x:v>771</x:v>
      </x:c>
      <x:c r="C1055" s="84" t="n">
        <x:v>73</x:v>
      </x:c>
      <x:c r="D1055" s="89" t="n">
        <x:v>45816</x:v>
      </x:c>
      <x:c r="E1055" s="84" t="n">
        <x:v>4</x:v>
      </x:c>
      <x:c r="F1055" s="91" t="n">
        <x:v>4509.24</x:v>
      </x:c>
    </x:row>
    <x:row r="1056">
      <x:c r="A1056" s="83" t="n">
        <x:v>1055</x:v>
      </x:c>
      <x:c r="B1056" s="84" t="n">
        <x:v>772</x:v>
      </x:c>
      <x:c r="C1056" s="84" t="n">
        <x:v>72</x:v>
      </x:c>
      <x:c r="D1056" s="89" t="n">
        <x:v>45257</x:v>
      </x:c>
      <x:c r="E1056" s="84" t="n">
        <x:v>4</x:v>
      </x:c>
      <x:c r="F1056" s="91" t="n">
        <x:v>1803.32</x:v>
      </x:c>
    </x:row>
    <x:row r="1057">
      <x:c r="A1057" s="83" t="n">
        <x:v>1056</x:v>
      </x:c>
      <x:c r="B1057" s="84" t="n">
        <x:v>772</x:v>
      </x:c>
      <x:c r="C1057" s="84" t="n">
        <x:v>80</x:v>
      </x:c>
      <x:c r="D1057" s="89" t="n">
        <x:v>45257</x:v>
      </x:c>
      <x:c r="E1057" s="84" t="n">
        <x:v>3</x:v>
      </x:c>
      <x:c r="F1057" s="91" t="n">
        <x:v>5185.62</x:v>
      </x:c>
    </x:row>
    <x:row r="1058">
      <x:c r="A1058" s="83" t="n">
        <x:v>1057</x:v>
      </x:c>
      <x:c r="B1058" s="84" t="n">
        <x:v>773</x:v>
      </x:c>
      <x:c r="C1058" s="84" t="n">
        <x:v>30</x:v>
      </x:c>
      <x:c r="D1058" s="89" t="n">
        <x:v>45700</x:v>
      </x:c>
      <x:c r="E1058" s="84" t="n">
        <x:v>4</x:v>
      </x:c>
      <x:c r="F1058" s="91" t="n">
        <x:v>5115.04</x:v>
      </x:c>
    </x:row>
    <x:row r="1059">
      <x:c r="A1059" s="83" t="n">
        <x:v>1058</x:v>
      </x:c>
      <x:c r="B1059" s="84" t="n">
        <x:v>773</x:v>
      </x:c>
      <x:c r="C1059" s="84" t="n">
        <x:v>2</x:v>
      </x:c>
      <x:c r="D1059" s="89" t="n">
        <x:v>45700</x:v>
      </x:c>
      <x:c r="E1059" s="84" t="n">
        <x:v>2</x:v>
      </x:c>
      <x:c r="F1059" s="91" t="n">
        <x:v>1988.62</x:v>
      </x:c>
    </x:row>
    <x:row r="1060">
      <x:c r="A1060" s="83" t="n">
        <x:v>1059</x:v>
      </x:c>
      <x:c r="B1060" s="84" t="n">
        <x:v>773</x:v>
      </x:c>
      <x:c r="C1060" s="84" t="n">
        <x:v>24</x:v>
      </x:c>
      <x:c r="D1060" s="89" t="n">
        <x:v>45700</x:v>
      </x:c>
      <x:c r="E1060" s="84" t="n">
        <x:v>4</x:v>
      </x:c>
      <x:c r="F1060" s="91" t="n">
        <x:v>2963.64</x:v>
      </x:c>
    </x:row>
    <x:row r="1061">
      <x:c r="A1061" s="83" t="n">
        <x:v>1060</x:v>
      </x:c>
      <x:c r="B1061" s="84" t="n">
        <x:v>775</x:v>
      </x:c>
      <x:c r="C1061" s="84" t="n">
        <x:v>18</x:v>
      </x:c>
      <x:c r="D1061" s="89" t="n">
        <x:v>45723</x:v>
      </x:c>
      <x:c r="E1061" s="84" t="n">
        <x:v>3</x:v>
      </x:c>
      <x:c r="F1061" s="91" t="n">
        <x:v>1998.48</x:v>
      </x:c>
    </x:row>
    <x:row r="1062">
      <x:c r="A1062" s="83" t="n">
        <x:v>1061</x:v>
      </x:c>
      <x:c r="B1062" s="84" t="n">
        <x:v>777</x:v>
      </x:c>
      <x:c r="C1062" s="84" t="n">
        <x:v>7</x:v>
      </x:c>
      <x:c r="D1062" s="89" t="n">
        <x:v>45801</x:v>
      </x:c>
      <x:c r="E1062" s="84" t="n">
        <x:v>1</x:v>
      </x:c>
      <x:c r="F1062" s="91" t="n">
        <x:v>366.8</x:v>
      </x:c>
    </x:row>
    <x:row r="1063">
      <x:c r="A1063" s="83" t="n">
        <x:v>1062</x:v>
      </x:c>
      <x:c r="B1063" s="84" t="n">
        <x:v>777</x:v>
      </x:c>
      <x:c r="C1063" s="84" t="n">
        <x:v>62</x:v>
      </x:c>
      <x:c r="D1063" s="89" t="n">
        <x:v>45801</x:v>
      </x:c>
      <x:c r="E1063" s="84" t="n">
        <x:v>1</x:v>
      </x:c>
      <x:c r="F1063" s="91" t="n">
        <x:v>1517.31</x:v>
      </x:c>
    </x:row>
    <x:row r="1064">
      <x:c r="A1064" s="83" t="n">
        <x:v>1063</x:v>
      </x:c>
      <x:c r="B1064" s="84" t="n">
        <x:v>777</x:v>
      </x:c>
      <x:c r="C1064" s="84" t="n">
        <x:v>80</x:v>
      </x:c>
      <x:c r="D1064" s="89" t="n">
        <x:v>45801</x:v>
      </x:c>
      <x:c r="E1064" s="84" t="n">
        <x:v>1</x:v>
      </x:c>
      <x:c r="F1064" s="91" t="n">
        <x:v>1728.54</x:v>
      </x:c>
    </x:row>
    <x:row r="1065">
      <x:c r="A1065" s="83" t="n">
        <x:v>1064</x:v>
      </x:c>
      <x:c r="B1065" s="84" t="n">
        <x:v>778</x:v>
      </x:c>
      <x:c r="C1065" s="84" t="n">
        <x:v>28</x:v>
      </x:c>
      <x:c r="D1065" s="89" t="n">
        <x:v>45479</x:v>
      </x:c>
      <x:c r="E1065" s="84" t="n">
        <x:v>1</x:v>
      </x:c>
      <x:c r="F1065" s="91" t="n">
        <x:v>820.47</x:v>
      </x:c>
    </x:row>
    <x:row r="1066">
      <x:c r="A1066" s="83" t="n">
        <x:v>1065</x:v>
      </x:c>
      <x:c r="B1066" s="84" t="n">
        <x:v>778</x:v>
      </x:c>
      <x:c r="C1066" s="84" t="n">
        <x:v>31</x:v>
      </x:c>
      <x:c r="D1066" s="89" t="n">
        <x:v>45479</x:v>
      </x:c>
      <x:c r="E1066" s="84" t="n">
        <x:v>2</x:v>
      </x:c>
      <x:c r="F1066" s="91" t="n">
        <x:v>4339.26</x:v>
      </x:c>
    </x:row>
    <x:row r="1067">
      <x:c r="A1067" s="83" t="n">
        <x:v>1066</x:v>
      </x:c>
      <x:c r="B1067" s="84" t="n">
        <x:v>778</x:v>
      </x:c>
      <x:c r="C1067" s="84" t="n">
        <x:v>5</x:v>
      </x:c>
      <x:c r="D1067" s="89" t="n">
        <x:v>45479</x:v>
      </x:c>
      <x:c r="E1067" s="84" t="n">
        <x:v>4</x:v>
      </x:c>
      <x:c r="F1067" s="91" t="n">
        <x:v>5874</x:v>
      </x:c>
    </x:row>
    <x:row r="1068">
      <x:c r="A1068" s="83" t="n">
        <x:v>1067</x:v>
      </x:c>
      <x:c r="B1068" s="84" t="n">
        <x:v>780</x:v>
      </x:c>
      <x:c r="C1068" s="84" t="n">
        <x:v>76</x:v>
      </x:c>
      <x:c r="D1068" s="89" t="n">
        <x:v>45711</x:v>
      </x:c>
      <x:c r="E1068" s="84" t="n">
        <x:v>1</x:v>
      </x:c>
      <x:c r="F1068" s="91" t="n">
        <x:v>719.81</x:v>
      </x:c>
    </x:row>
    <x:row r="1069">
      <x:c r="A1069" s="83" t="n">
        <x:v>1068</x:v>
      </x:c>
      <x:c r="B1069" s="84" t="n">
        <x:v>780</x:v>
      </x:c>
      <x:c r="C1069" s="84" t="n">
        <x:v>22</x:v>
      </x:c>
      <x:c r="D1069" s="89" t="n">
        <x:v>45711</x:v>
      </x:c>
      <x:c r="E1069" s="84" t="n">
        <x:v>4</x:v>
      </x:c>
      <x:c r="F1069" s="91" t="n">
        <x:v>2087.56</x:v>
      </x:c>
    </x:row>
    <x:row r="1070">
      <x:c r="A1070" s="83" t="n">
        <x:v>1069</x:v>
      </x:c>
      <x:c r="B1070" s="84" t="n">
        <x:v>780</x:v>
      </x:c>
      <x:c r="C1070" s="84" t="n">
        <x:v>8</x:v>
      </x:c>
      <x:c r="D1070" s="89" t="n">
        <x:v>45711</x:v>
      </x:c>
      <x:c r="E1070" s="84" t="n">
        <x:v>1</x:v>
      </x:c>
      <x:c r="F1070" s="91" t="n">
        <x:v>1666.19</x:v>
      </x:c>
    </x:row>
    <x:row r="1071">
      <x:c r="A1071" s="83" t="n">
        <x:v>1070</x:v>
      </x:c>
      <x:c r="B1071" s="84" t="n">
        <x:v>782</x:v>
      </x:c>
      <x:c r="C1071" s="84" t="n">
        <x:v>34</x:v>
      </x:c>
      <x:c r="D1071" s="89" t="n">
        <x:v>45517</x:v>
      </x:c>
      <x:c r="E1071" s="84" t="n">
        <x:v>1</x:v>
      </x:c>
      <x:c r="F1071" s="91" t="n">
        <x:v>1977.09</x:v>
      </x:c>
    </x:row>
    <x:row r="1072">
      <x:c r="A1072" s="83" t="n">
        <x:v>1071</x:v>
      </x:c>
      <x:c r="B1072" s="84" t="n">
        <x:v>785</x:v>
      </x:c>
      <x:c r="C1072" s="84" t="n">
        <x:v>8</x:v>
      </x:c>
      <x:c r="D1072" s="89" t="n">
        <x:v>45855</x:v>
      </x:c>
      <x:c r="E1072" s="84" t="n">
        <x:v>1</x:v>
      </x:c>
      <x:c r="F1072" s="91" t="n">
        <x:v>1666.19</x:v>
      </x:c>
    </x:row>
    <x:row r="1073">
      <x:c r="A1073" s="83" t="n">
        <x:v>1072</x:v>
      </x:c>
      <x:c r="B1073" s="84" t="n">
        <x:v>785</x:v>
      </x:c>
      <x:c r="C1073" s="84" t="n">
        <x:v>66</x:v>
      </x:c>
      <x:c r="D1073" s="89" t="n">
        <x:v>45855</x:v>
      </x:c>
      <x:c r="E1073" s="84" t="n">
        <x:v>3</x:v>
      </x:c>
      <x:c r="F1073" s="91" t="n">
        <x:v>5737.35</x:v>
      </x:c>
    </x:row>
    <x:row r="1074">
      <x:c r="A1074" s="83" t="n">
        <x:v>1073</x:v>
      </x:c>
      <x:c r="B1074" s="84" t="n">
        <x:v>785</x:v>
      </x:c>
      <x:c r="C1074" s="84" t="n">
        <x:v>29</x:v>
      </x:c>
      <x:c r="D1074" s="89" t="n">
        <x:v>45855</x:v>
      </x:c>
      <x:c r="E1074" s="84" t="n">
        <x:v>4</x:v>
      </x:c>
      <x:c r="F1074" s="91" t="n">
        <x:v>6209.88</x:v>
      </x:c>
    </x:row>
    <x:row r="1075">
      <x:c r="A1075" s="83" t="n">
        <x:v>1074</x:v>
      </x:c>
      <x:c r="B1075" s="84" t="n">
        <x:v>786</x:v>
      </x:c>
      <x:c r="C1075" s="84" t="n">
        <x:v>73</x:v>
      </x:c>
      <x:c r="D1075" s="89" t="n">
        <x:v>45588</x:v>
      </x:c>
      <x:c r="E1075" s="84" t="n">
        <x:v>1</x:v>
      </x:c>
      <x:c r="F1075" s="91" t="n">
        <x:v>1127.31</x:v>
      </x:c>
    </x:row>
    <x:row r="1076">
      <x:c r="A1076" s="83" t="n">
        <x:v>1075</x:v>
      </x:c>
      <x:c r="B1076" s="84" t="n">
        <x:v>786</x:v>
      </x:c>
      <x:c r="C1076" s="84" t="n">
        <x:v>10</x:v>
      </x:c>
      <x:c r="D1076" s="89" t="n">
        <x:v>45588</x:v>
      </x:c>
      <x:c r="E1076" s="84" t="n">
        <x:v>2</x:v>
      </x:c>
      <x:c r="F1076" s="91" t="n">
        <x:v>1749.72</x:v>
      </x:c>
    </x:row>
    <x:row r="1077">
      <x:c r="A1077" s="83" t="n">
        <x:v>1076</x:v>
      </x:c>
      <x:c r="B1077" s="84" t="n">
        <x:v>786</x:v>
      </x:c>
      <x:c r="C1077" s="84" t="n">
        <x:v>15</x:v>
      </x:c>
      <x:c r="D1077" s="89" t="n">
        <x:v>45588</x:v>
      </x:c>
      <x:c r="E1077" s="84" t="n">
        <x:v>1</x:v>
      </x:c>
      <x:c r="F1077" s="91" t="n">
        <x:v>1234.61</x:v>
      </x:c>
    </x:row>
    <x:row r="1078">
      <x:c r="A1078" s="83" t="n">
        <x:v>1077</x:v>
      </x:c>
      <x:c r="B1078" s="84" t="n">
        <x:v>788</x:v>
      </x:c>
      <x:c r="C1078" s="84" t="n">
        <x:v>19</x:v>
      </x:c>
      <x:c r="D1078" s="89" t="n">
        <x:v>45235</x:v>
      </x:c>
      <x:c r="E1078" s="84" t="n">
        <x:v>3</x:v>
      </x:c>
      <x:c r="F1078" s="91" t="n">
        <x:v>3263.13</x:v>
      </x:c>
    </x:row>
    <x:row r="1079">
      <x:c r="A1079" s="83" t="n">
        <x:v>1078</x:v>
      </x:c>
      <x:c r="B1079" s="84" t="n">
        <x:v>788</x:v>
      </x:c>
      <x:c r="C1079" s="84" t="n">
        <x:v>3</x:v>
      </x:c>
      <x:c r="D1079" s="89" t="n">
        <x:v>45235</x:v>
      </x:c>
      <x:c r="E1079" s="84" t="n">
        <x:v>3</x:v>
      </x:c>
      <x:c r="F1079" s="91" t="n">
        <x:v>3453.42</x:v>
      </x:c>
    </x:row>
    <x:row r="1080">
      <x:c r="A1080" s="83" t="n">
        <x:v>1079</x:v>
      </x:c>
      <x:c r="B1080" s="84" t="n">
        <x:v>793</x:v>
      </x:c>
      <x:c r="C1080" s="84" t="n">
        <x:v>24</x:v>
      </x:c>
      <x:c r="D1080" s="89" t="n">
        <x:v>45210</x:v>
      </x:c>
      <x:c r="E1080" s="84" t="n">
        <x:v>3</x:v>
      </x:c>
      <x:c r="F1080" s="91" t="n">
        <x:v>2222.73</x:v>
      </x:c>
    </x:row>
    <x:row r="1081">
      <x:c r="A1081" s="83" t="n">
        <x:v>1080</x:v>
      </x:c>
      <x:c r="B1081" s="84" t="n">
        <x:v>794</x:v>
      </x:c>
      <x:c r="C1081" s="84" t="n">
        <x:v>54</x:v>
      </x:c>
      <x:c r="D1081" s="89" t="n">
        <x:v>45006</x:v>
      </x:c>
      <x:c r="E1081" s="84" t="n">
        <x:v>2</x:v>
      </x:c>
      <x:c r="F1081" s="91" t="n">
        <x:v>1372.8</x:v>
      </x:c>
    </x:row>
    <x:row r="1082">
      <x:c r="A1082" s="83" t="n">
        <x:v>1081</x:v>
      </x:c>
      <x:c r="B1082" s="84" t="n">
        <x:v>794</x:v>
      </x:c>
      <x:c r="C1082" s="84" t="n">
        <x:v>11</x:v>
      </x:c>
      <x:c r="D1082" s="89" t="n">
        <x:v>45006</x:v>
      </x:c>
      <x:c r="E1082" s="84" t="n">
        <x:v>4</x:v>
      </x:c>
      <x:c r="F1082" s="91" t="n">
        <x:v>8845.04</x:v>
      </x:c>
    </x:row>
    <x:row r="1083">
      <x:c r="A1083" s="83" t="n">
        <x:v>1082</x:v>
      </x:c>
      <x:c r="B1083" s="84" t="n">
        <x:v>796</x:v>
      </x:c>
      <x:c r="C1083" s="84" t="n">
        <x:v>42</x:v>
      </x:c>
      <x:c r="D1083" s="89" t="n">
        <x:v>44942</x:v>
      </x:c>
      <x:c r="E1083" s="84" t="n">
        <x:v>2</x:v>
      </x:c>
      <x:c r="F1083" s="91" t="n">
        <x:v>4343.48</x:v>
      </x:c>
    </x:row>
    <x:row r="1084">
      <x:c r="A1084" s="83" t="n">
        <x:v>1083</x:v>
      </x:c>
      <x:c r="B1084" s="84" t="n">
        <x:v>798</x:v>
      </x:c>
      <x:c r="C1084" s="84" t="n">
        <x:v>72</x:v>
      </x:c>
      <x:c r="D1084" s="89" t="n">
        <x:v>45981</x:v>
      </x:c>
      <x:c r="E1084" s="84" t="n">
        <x:v>3</x:v>
      </x:c>
      <x:c r="F1084" s="91" t="n">
        <x:v>1352.49</x:v>
      </x:c>
    </x:row>
    <x:row r="1085">
      <x:c r="A1085" s="83" t="n">
        <x:v>1084</x:v>
      </x:c>
      <x:c r="B1085" s="84" t="n">
        <x:v>798</x:v>
      </x:c>
      <x:c r="C1085" s="84" t="n">
        <x:v>37</x:v>
      </x:c>
      <x:c r="D1085" s="89" t="n">
        <x:v>45981</x:v>
      </x:c>
      <x:c r="E1085" s="84" t="n">
        <x:v>1</x:v>
      </x:c>
      <x:c r="F1085" s="91" t="n">
        <x:v>1033.71</x:v>
      </x:c>
    </x:row>
    <x:row r="1086">
      <x:c r="A1086" s="83" t="n">
        <x:v>1085</x:v>
      </x:c>
      <x:c r="B1086" s="84" t="n">
        <x:v>798</x:v>
      </x:c>
      <x:c r="C1086" s="84" t="n">
        <x:v>73</x:v>
      </x:c>
      <x:c r="D1086" s="89" t="n">
        <x:v>45981</x:v>
      </x:c>
      <x:c r="E1086" s="84" t="n">
        <x:v>1</x:v>
      </x:c>
      <x:c r="F1086" s="91" t="n">
        <x:v>1127.31</x:v>
      </x:c>
    </x:row>
    <x:row r="1087">
      <x:c r="A1087" s="83" t="n">
        <x:v>1086</x:v>
      </x:c>
      <x:c r="B1087" s="84" t="n">
        <x:v>799</x:v>
      </x:c>
      <x:c r="C1087" s="84" t="n">
        <x:v>26</x:v>
      </x:c>
      <x:c r="D1087" s="89" t="n">
        <x:v>45039</x:v>
      </x:c>
      <x:c r="E1087" s="84" t="n">
        <x:v>4</x:v>
      </x:c>
      <x:c r="F1087" s="91" t="n">
        <x:v>8604</x:v>
      </x:c>
    </x:row>
    <x:row r="1088">
      <x:c r="A1088" s="83" t="n">
        <x:v>1087</x:v>
      </x:c>
      <x:c r="B1088" s="84" t="n">
        <x:v>800</x:v>
      </x:c>
      <x:c r="C1088" s="84" t="n">
        <x:v>11</x:v>
      </x:c>
      <x:c r="D1088" s="89" t="n">
        <x:v>44979</x:v>
      </x:c>
      <x:c r="E1088" s="84" t="n">
        <x:v>4</x:v>
      </x:c>
      <x:c r="F1088" s="91" t="n">
        <x:v>8845.04</x:v>
      </x:c>
    </x:row>
    <x:row r="1089">
      <x:c r="A1089" s="83" t="n">
        <x:v>1088</x:v>
      </x:c>
      <x:c r="B1089" s="84" t="n">
        <x:v>800</x:v>
      </x:c>
      <x:c r="C1089" s="84" t="n">
        <x:v>49</x:v>
      </x:c>
      <x:c r="D1089" s="89" t="n">
        <x:v>44979</x:v>
      </x:c>
      <x:c r="E1089" s="84" t="n">
        <x:v>4</x:v>
      </x:c>
      <x:c r="F1089" s="91" t="n">
        <x:v>736.64</x:v>
      </x:c>
    </x:row>
    <x:row r="1090">
      <x:c r="A1090" s="83" t="n">
        <x:v>1089</x:v>
      </x:c>
      <x:c r="B1090" s="84" t="n">
        <x:v>801</x:v>
      </x:c>
      <x:c r="C1090" s="84" t="n">
        <x:v>19</x:v>
      </x:c>
      <x:c r="D1090" s="89" t="n">
        <x:v>45062</x:v>
      </x:c>
      <x:c r="E1090" s="84" t="n">
        <x:v>3</x:v>
      </x:c>
      <x:c r="F1090" s="91" t="n">
        <x:v>3263.13</x:v>
      </x:c>
    </x:row>
    <x:row r="1091">
      <x:c r="A1091" s="83" t="n">
        <x:v>1090</x:v>
      </x:c>
      <x:c r="B1091" s="84" t="n">
        <x:v>802</x:v>
      </x:c>
      <x:c r="C1091" s="84" t="n">
        <x:v>42</x:v>
      </x:c>
      <x:c r="D1091" s="89" t="n">
        <x:v>45603</x:v>
      </x:c>
      <x:c r="E1091" s="84" t="n">
        <x:v>1</x:v>
      </x:c>
      <x:c r="F1091" s="91" t="n">
        <x:v>2171.74</x:v>
      </x:c>
    </x:row>
    <x:row r="1092">
      <x:c r="A1092" s="83" t="n">
        <x:v>1091</x:v>
      </x:c>
      <x:c r="B1092" s="84" t="n">
        <x:v>805</x:v>
      </x:c>
      <x:c r="C1092" s="84" t="n">
        <x:v>32</x:v>
      </x:c>
      <x:c r="D1092" s="89" t="n">
        <x:v>45460</x:v>
      </x:c>
      <x:c r="E1092" s="84" t="n">
        <x:v>2</x:v>
      </x:c>
      <x:c r="F1092" s="91" t="n">
        <x:v>3626.5</x:v>
      </x:c>
    </x:row>
    <x:row r="1093">
      <x:c r="A1093" s="83" t="n">
        <x:v>1092</x:v>
      </x:c>
      <x:c r="B1093" s="84" t="n">
        <x:v>807</x:v>
      </x:c>
      <x:c r="C1093" s="84" t="n">
        <x:v>14</x:v>
      </x:c>
      <x:c r="D1093" s="89" t="n">
        <x:v>45660</x:v>
      </x:c>
      <x:c r="E1093" s="84" t="n">
        <x:v>1</x:v>
      </x:c>
      <x:c r="F1093" s="91" t="n">
        <x:v>175.72</x:v>
      </x:c>
    </x:row>
    <x:row r="1094">
      <x:c r="A1094" s="83" t="n">
        <x:v>1093</x:v>
      </x:c>
      <x:c r="B1094" s="84" t="n">
        <x:v>811</x:v>
      </x:c>
      <x:c r="C1094" s="84" t="n">
        <x:v>38</x:v>
      </x:c>
      <x:c r="D1094" s="89" t="n">
        <x:v>45690</x:v>
      </x:c>
      <x:c r="E1094" s="84" t="n">
        <x:v>2</x:v>
      </x:c>
      <x:c r="F1094" s="91" t="n">
        <x:v>1452.98</x:v>
      </x:c>
    </x:row>
    <x:row r="1095">
      <x:c r="A1095" s="83" t="n">
        <x:v>1094</x:v>
      </x:c>
      <x:c r="B1095" s="84" t="n">
        <x:v>815</x:v>
      </x:c>
      <x:c r="C1095" s="84" t="n">
        <x:v>25</x:v>
      </x:c>
      <x:c r="D1095" s="89" t="n">
        <x:v>45425</x:v>
      </x:c>
      <x:c r="E1095" s="84" t="n">
        <x:v>4</x:v>
      </x:c>
      <x:c r="F1095" s="91" t="n">
        <x:v>4317.8</x:v>
      </x:c>
    </x:row>
    <x:row r="1096">
      <x:c r="A1096" s="83" t="n">
        <x:v>1095</x:v>
      </x:c>
      <x:c r="B1096" s="84" t="n">
        <x:v>816</x:v>
      </x:c>
      <x:c r="C1096" s="84" t="n">
        <x:v>67</x:v>
      </x:c>
      <x:c r="D1096" s="89" t="n">
        <x:v>45015</x:v>
      </x:c>
      <x:c r="E1096" s="84" t="n">
        <x:v>4</x:v>
      </x:c>
      <x:c r="F1096" s="91" t="n">
        <x:v>5118.12</x:v>
      </x:c>
    </x:row>
    <x:row r="1097">
      <x:c r="A1097" s="83" t="n">
        <x:v>1096</x:v>
      </x:c>
      <x:c r="B1097" s="84" t="n">
        <x:v>816</x:v>
      </x:c>
      <x:c r="C1097" s="84" t="n">
        <x:v>23</x:v>
      </x:c>
      <x:c r="D1097" s="89" t="n">
        <x:v>45015</x:v>
      </x:c>
      <x:c r="E1097" s="84" t="n">
        <x:v>3</x:v>
      </x:c>
      <x:c r="F1097" s="91" t="n">
        <x:v>5258.55</x:v>
      </x:c>
    </x:row>
    <x:row r="1098">
      <x:c r="A1098" s="83" t="n">
        <x:v>1097</x:v>
      </x:c>
      <x:c r="B1098" s="84" t="n">
        <x:v>817</x:v>
      </x:c>
      <x:c r="C1098" s="84" t="n">
        <x:v>34</x:v>
      </x:c>
      <x:c r="D1098" s="89" t="n">
        <x:v>45639</x:v>
      </x:c>
      <x:c r="E1098" s="84" t="n">
        <x:v>2</x:v>
      </x:c>
      <x:c r="F1098" s="91" t="n">
        <x:v>3954.18</x:v>
      </x:c>
    </x:row>
    <x:row r="1099">
      <x:c r="A1099" s="83" t="n">
        <x:v>1098</x:v>
      </x:c>
      <x:c r="B1099" s="84" t="n">
        <x:v>817</x:v>
      </x:c>
      <x:c r="C1099" s="84" t="n">
        <x:v>23</x:v>
      </x:c>
      <x:c r="D1099" s="89" t="n">
        <x:v>45639</x:v>
      </x:c>
      <x:c r="E1099" s="84" t="n">
        <x:v>4</x:v>
      </x:c>
      <x:c r="F1099" s="91" t="n">
        <x:v>7011.4</x:v>
      </x:c>
    </x:row>
    <x:row r="1100">
      <x:c r="A1100" s="83" t="n">
        <x:v>1099</x:v>
      </x:c>
      <x:c r="B1100" s="84" t="n">
        <x:v>818</x:v>
      </x:c>
      <x:c r="C1100" s="84" t="n">
        <x:v>51</x:v>
      </x:c>
      <x:c r="D1100" s="89" t="n">
        <x:v>45148</x:v>
      </x:c>
      <x:c r="E1100" s="84" t="n">
        <x:v>3</x:v>
      </x:c>
      <x:c r="F1100" s="91" t="n">
        <x:v>2676.48</x:v>
      </x:c>
    </x:row>
    <x:row r="1101">
      <x:c r="A1101" s="83" t="n">
        <x:v>1100</x:v>
      </x:c>
      <x:c r="B1101" s="84" t="n">
        <x:v>818</x:v>
      </x:c>
      <x:c r="C1101" s="84" t="n">
        <x:v>77</x:v>
      </x:c>
      <x:c r="D1101" s="89" t="n">
        <x:v>45148</x:v>
      </x:c>
      <x:c r="E1101" s="84" t="n">
        <x:v>3</x:v>
      </x:c>
      <x:c r="F1101" s="91" t="n">
        <x:v>6308.73</x:v>
      </x:c>
    </x:row>
    <x:row r="1102">
      <x:c r="A1102" s="83" t="n">
        <x:v>1101</x:v>
      </x:c>
      <x:c r="B1102" s="84" t="n">
        <x:v>819</x:v>
      </x:c>
      <x:c r="C1102" s="84" t="n">
        <x:v>5</x:v>
      </x:c>
      <x:c r="D1102" s="89" t="n">
        <x:v>45956</x:v>
      </x:c>
      <x:c r="E1102" s="84" t="n">
        <x:v>4</x:v>
      </x:c>
      <x:c r="F1102" s="91" t="n">
        <x:v>5874</x:v>
      </x:c>
    </x:row>
    <x:row r="1103">
      <x:c r="A1103" s="83" t="n">
        <x:v>1102</x:v>
      </x:c>
      <x:c r="B1103" s="84" t="n">
        <x:v>819</x:v>
      </x:c>
      <x:c r="C1103" s="84" t="n">
        <x:v>58</x:v>
      </x:c>
      <x:c r="D1103" s="89" t="n">
        <x:v>45956</x:v>
      </x:c>
      <x:c r="E1103" s="84" t="n">
        <x:v>2</x:v>
      </x:c>
      <x:c r="F1103" s="91" t="n">
        <x:v>4036.36</x:v>
      </x:c>
    </x:row>
    <x:row r="1104">
      <x:c r="A1104" s="83" t="n">
        <x:v>1103</x:v>
      </x:c>
      <x:c r="B1104" s="84" t="n">
        <x:v>822</x:v>
      </x:c>
      <x:c r="C1104" s="84" t="n">
        <x:v>19</x:v>
      </x:c>
      <x:c r="D1104" s="89" t="n">
        <x:v>45964</x:v>
      </x:c>
      <x:c r="E1104" s="84" t="n">
        <x:v>4</x:v>
      </x:c>
      <x:c r="F1104" s="91" t="n">
        <x:v>4350.84</x:v>
      </x:c>
    </x:row>
    <x:row r="1105">
      <x:c r="A1105" s="83" t="n">
        <x:v>1104</x:v>
      </x:c>
      <x:c r="B1105" s="84" t="n">
        <x:v>823</x:v>
      </x:c>
      <x:c r="C1105" s="84" t="n">
        <x:v>71</x:v>
      </x:c>
      <x:c r="D1105" s="89" t="n">
        <x:v>46017</x:v>
      </x:c>
      <x:c r="E1105" s="84" t="n">
        <x:v>3</x:v>
      </x:c>
      <x:c r="F1105" s="91" t="n">
        <x:v>5950.56</x:v>
      </x:c>
    </x:row>
    <x:row r="1106">
      <x:c r="A1106" s="83" t="n">
        <x:v>1105</x:v>
      </x:c>
      <x:c r="B1106" s="84" t="n">
        <x:v>825</x:v>
      </x:c>
      <x:c r="C1106" s="84" t="n">
        <x:v>16</x:v>
      </x:c>
      <x:c r="D1106" s="89" t="n">
        <x:v>44935</x:v>
      </x:c>
      <x:c r="E1106" s="84" t="n">
        <x:v>2</x:v>
      </x:c>
      <x:c r="F1106" s="91" t="n">
        <x:v>1211.56</x:v>
      </x:c>
    </x:row>
    <x:row r="1107">
      <x:c r="A1107" s="83" t="n">
        <x:v>1106</x:v>
      </x:c>
      <x:c r="B1107" s="84" t="n">
        <x:v>825</x:v>
      </x:c>
      <x:c r="C1107" s="84" t="n">
        <x:v>50</x:v>
      </x:c>
      <x:c r="D1107" s="89" t="n">
        <x:v>44935</x:v>
      </x:c>
      <x:c r="E1107" s="84" t="n">
        <x:v>3</x:v>
      </x:c>
      <x:c r="F1107" s="91" t="n">
        <x:v>6707.85</x:v>
      </x:c>
    </x:row>
    <x:row r="1108">
      <x:c r="A1108" s="83" t="n">
        <x:v>1107</x:v>
      </x:c>
      <x:c r="B1108" s="84" t="n">
        <x:v>826</x:v>
      </x:c>
      <x:c r="C1108" s="84" t="n">
        <x:v>15</x:v>
      </x:c>
      <x:c r="D1108" s="89" t="n">
        <x:v>45964</x:v>
      </x:c>
      <x:c r="E1108" s="84" t="n">
        <x:v>1</x:v>
      </x:c>
      <x:c r="F1108" s="91" t="n">
        <x:v>1234.61</x:v>
      </x:c>
    </x:row>
    <x:row r="1109">
      <x:c r="A1109" s="83" t="n">
        <x:v>1108</x:v>
      </x:c>
      <x:c r="B1109" s="84" t="n">
        <x:v>827</x:v>
      </x:c>
      <x:c r="C1109" s="84" t="n">
        <x:v>40</x:v>
      </x:c>
      <x:c r="D1109" s="89" t="n">
        <x:v>45602</x:v>
      </x:c>
      <x:c r="E1109" s="84" t="n">
        <x:v>4</x:v>
      </x:c>
      <x:c r="F1109" s="91" t="n">
        <x:v>8140.16</x:v>
      </x:c>
    </x:row>
    <x:row r="1110">
      <x:c r="A1110" s="83" t="n">
        <x:v>1109</x:v>
      </x:c>
      <x:c r="B1110" s="84" t="n">
        <x:v>827</x:v>
      </x:c>
      <x:c r="C1110" s="84" t="n">
        <x:v>55</x:v>
      </x:c>
      <x:c r="D1110" s="89" t="n">
        <x:v>45602</x:v>
      </x:c>
      <x:c r="E1110" s="84" t="n">
        <x:v>4</x:v>
      </x:c>
      <x:c r="F1110" s="91" t="n">
        <x:v>5999.4</x:v>
      </x:c>
    </x:row>
    <x:row r="1111">
      <x:c r="A1111" s="83" t="n">
        <x:v>1110</x:v>
      </x:c>
      <x:c r="B1111" s="84" t="n">
        <x:v>827</x:v>
      </x:c>
      <x:c r="C1111" s="84" t="n">
        <x:v>45</x:v>
      </x:c>
      <x:c r="D1111" s="89" t="n">
        <x:v>45602</x:v>
      </x:c>
      <x:c r="E1111" s="84" t="n">
        <x:v>1</x:v>
      </x:c>
      <x:c r="F1111" s="91" t="n">
        <x:v>1391.42</x:v>
      </x:c>
    </x:row>
    <x:row r="1112">
      <x:c r="A1112" s="83" t="n">
        <x:v>1111</x:v>
      </x:c>
      <x:c r="B1112" s="84" t="n">
        <x:v>828</x:v>
      </x:c>
      <x:c r="C1112" s="84" t="n">
        <x:v>45</x:v>
      </x:c>
      <x:c r="D1112" s="89" t="n">
        <x:v>45406</x:v>
      </x:c>
      <x:c r="E1112" s="84" t="n">
        <x:v>1</x:v>
      </x:c>
      <x:c r="F1112" s="91" t="n">
        <x:v>1391.42</x:v>
      </x:c>
    </x:row>
    <x:row r="1113">
      <x:c r="A1113" s="83" t="n">
        <x:v>1112</x:v>
      </x:c>
      <x:c r="B1113" s="84" t="n">
        <x:v>829</x:v>
      </x:c>
      <x:c r="C1113" s="84" t="n">
        <x:v>37</x:v>
      </x:c>
      <x:c r="D1113" s="89" t="n">
        <x:v>45970</x:v>
      </x:c>
      <x:c r="E1113" s="84" t="n">
        <x:v>4</x:v>
      </x:c>
      <x:c r="F1113" s="91" t="n">
        <x:v>4134.84</x:v>
      </x:c>
    </x:row>
    <x:row r="1114">
      <x:c r="A1114" s="83" t="n">
        <x:v>1113</x:v>
      </x:c>
      <x:c r="B1114" s="84" t="n">
        <x:v>829</x:v>
      </x:c>
      <x:c r="C1114" s="84" t="n">
        <x:v>6</x:v>
      </x:c>
      <x:c r="D1114" s="89" t="n">
        <x:v>45970</x:v>
      </x:c>
      <x:c r="E1114" s="84" t="n">
        <x:v>4</x:v>
      </x:c>
      <x:c r="F1114" s="91" t="n">
        <x:v>2789.48</x:v>
      </x:c>
    </x:row>
    <x:row r="1115">
      <x:c r="A1115" s="83" t="n">
        <x:v>1114</x:v>
      </x:c>
      <x:c r="B1115" s="84" t="n">
        <x:v>830</x:v>
      </x:c>
      <x:c r="C1115" s="84" t="n">
        <x:v>50</x:v>
      </x:c>
      <x:c r="D1115" s="89" t="n">
        <x:v>45677</x:v>
      </x:c>
      <x:c r="E1115" s="84" t="n">
        <x:v>3</x:v>
      </x:c>
      <x:c r="F1115" s="91" t="n">
        <x:v>6707.85</x:v>
      </x:c>
    </x:row>
    <x:row r="1116">
      <x:c r="A1116" s="83" t="n">
        <x:v>1115</x:v>
      </x:c>
      <x:c r="B1116" s="84" t="n">
        <x:v>830</x:v>
      </x:c>
      <x:c r="C1116" s="84" t="n">
        <x:v>13</x:v>
      </x:c>
      <x:c r="D1116" s="89" t="n">
        <x:v>45677</x:v>
      </x:c>
      <x:c r="E1116" s="84" t="n">
        <x:v>3</x:v>
      </x:c>
      <x:c r="F1116" s="91" t="n">
        <x:v>2406.15</x:v>
      </x:c>
    </x:row>
    <x:row r="1117">
      <x:c r="A1117" s="83" t="n">
        <x:v>1116</x:v>
      </x:c>
      <x:c r="B1117" s="84" t="n">
        <x:v>830</x:v>
      </x:c>
      <x:c r="C1117" s="84" t="n">
        <x:v>10</x:v>
      </x:c>
      <x:c r="D1117" s="89" t="n">
        <x:v>45677</x:v>
      </x:c>
      <x:c r="E1117" s="84" t="n">
        <x:v>4</x:v>
      </x:c>
      <x:c r="F1117" s="91" t="n">
        <x:v>3499.44</x:v>
      </x:c>
    </x:row>
    <x:row r="1118">
      <x:c r="A1118" s="83" t="n">
        <x:v>1117</x:v>
      </x:c>
      <x:c r="B1118" s="84" t="n">
        <x:v>832</x:v>
      </x:c>
      <x:c r="C1118" s="84" t="n">
        <x:v>31</x:v>
      </x:c>
      <x:c r="D1118" s="89" t="n">
        <x:v>45612</x:v>
      </x:c>
      <x:c r="E1118" s="84" t="n">
        <x:v>1</x:v>
      </x:c>
      <x:c r="F1118" s="91" t="n">
        <x:v>2169.63</x:v>
      </x:c>
    </x:row>
    <x:row r="1119">
      <x:c r="A1119" s="83" t="n">
        <x:v>1118</x:v>
      </x:c>
      <x:c r="B1119" s="84" t="n">
        <x:v>833</x:v>
      </x:c>
      <x:c r="C1119" s="84" t="n">
        <x:v>64</x:v>
      </x:c>
      <x:c r="D1119" s="89" t="n">
        <x:v>45725</x:v>
      </x:c>
      <x:c r="E1119" s="84" t="n">
        <x:v>2</x:v>
      </x:c>
      <x:c r="F1119" s="91" t="n">
        <x:v>2930.84</x:v>
      </x:c>
    </x:row>
    <x:row r="1120">
      <x:c r="A1120" s="83" t="n">
        <x:v>1119</x:v>
      </x:c>
      <x:c r="B1120" s="84" t="n">
        <x:v>834</x:v>
      </x:c>
      <x:c r="C1120" s="84" t="n">
        <x:v>22</x:v>
      </x:c>
      <x:c r="D1120" s="89" t="n">
        <x:v>45015</x:v>
      </x:c>
      <x:c r="E1120" s="84" t="n">
        <x:v>1</x:v>
      </x:c>
      <x:c r="F1120" s="91" t="n">
        <x:v>521.89</x:v>
      </x:c>
    </x:row>
    <x:row r="1121">
      <x:c r="A1121" s="83" t="n">
        <x:v>1120</x:v>
      </x:c>
      <x:c r="B1121" s="84" t="n">
        <x:v>834</x:v>
      </x:c>
      <x:c r="C1121" s="84" t="n">
        <x:v>13</x:v>
      </x:c>
      <x:c r="D1121" s="89" t="n">
        <x:v>45015</x:v>
      </x:c>
      <x:c r="E1121" s="84" t="n">
        <x:v>2</x:v>
      </x:c>
      <x:c r="F1121" s="91" t="n">
        <x:v>1604.1</x:v>
      </x:c>
    </x:row>
    <x:row r="1122">
      <x:c r="A1122" s="83" t="n">
        <x:v>1121</x:v>
      </x:c>
      <x:c r="B1122" s="84" t="n">
        <x:v>834</x:v>
      </x:c>
      <x:c r="C1122" s="84" t="n">
        <x:v>21</x:v>
      </x:c>
      <x:c r="D1122" s="89" t="n">
        <x:v>45015</x:v>
      </x:c>
      <x:c r="E1122" s="84" t="n">
        <x:v>1</x:v>
      </x:c>
      <x:c r="F1122" s="91" t="n">
        <x:v>2288.87</x:v>
      </x:c>
    </x:row>
    <x:row r="1123">
      <x:c r="A1123" s="83" t="n">
        <x:v>1122</x:v>
      </x:c>
      <x:c r="B1123" s="84" t="n">
        <x:v>837</x:v>
      </x:c>
      <x:c r="C1123" s="84" t="n">
        <x:v>1</x:v>
      </x:c>
      <x:c r="D1123" s="89" t="n">
        <x:v>45823</x:v>
      </x:c>
      <x:c r="E1123" s="84" t="n">
        <x:v>2</x:v>
      </x:c>
      <x:c r="F1123" s="91" t="n">
        <x:v>3479.2</x:v>
      </x:c>
    </x:row>
    <x:row r="1124">
      <x:c r="A1124" s="83" t="n">
        <x:v>1123</x:v>
      </x:c>
      <x:c r="B1124" s="84" t="n">
        <x:v>837</x:v>
      </x:c>
      <x:c r="C1124" s="84" t="n">
        <x:v>18</x:v>
      </x:c>
      <x:c r="D1124" s="89" t="n">
        <x:v>45823</x:v>
      </x:c>
      <x:c r="E1124" s="84" t="n">
        <x:v>2</x:v>
      </x:c>
      <x:c r="F1124" s="91" t="n">
        <x:v>1332.32</x:v>
      </x:c>
    </x:row>
    <x:row r="1125">
      <x:c r="A1125" s="83" t="n">
        <x:v>1124</x:v>
      </x:c>
      <x:c r="B1125" s="84" t="n">
        <x:v>837</x:v>
      </x:c>
      <x:c r="C1125" s="84" t="n">
        <x:v>9</x:v>
      </x:c>
      <x:c r="D1125" s="89" t="n">
        <x:v>45823</x:v>
      </x:c>
      <x:c r="E1125" s="84" t="n">
        <x:v>3</x:v>
      </x:c>
      <x:c r="F1125" s="91" t="n">
        <x:v>4725.18</x:v>
      </x:c>
    </x:row>
    <x:row r="1126">
      <x:c r="A1126" s="83" t="n">
        <x:v>1125</x:v>
      </x:c>
      <x:c r="B1126" s="84" t="n">
        <x:v>838</x:v>
      </x:c>
      <x:c r="C1126" s="84" t="n">
        <x:v>46</x:v>
      </x:c>
      <x:c r="D1126" s="89" t="n">
        <x:v>45523</x:v>
      </x:c>
      <x:c r="E1126" s="84" t="n">
        <x:v>3</x:v>
      </x:c>
      <x:c r="F1126" s="91" t="n">
        <x:v>4004.85</x:v>
      </x:c>
    </x:row>
    <x:row r="1127">
      <x:c r="A1127" s="83" t="n">
        <x:v>1126</x:v>
      </x:c>
      <x:c r="B1127" s="84" t="n">
        <x:v>838</x:v>
      </x:c>
      <x:c r="C1127" s="84" t="n">
        <x:v>78</x:v>
      </x:c>
      <x:c r="D1127" s="89" t="n">
        <x:v>45523</x:v>
      </x:c>
      <x:c r="E1127" s="84" t="n">
        <x:v>2</x:v>
      </x:c>
      <x:c r="F1127" s="91" t="n">
        <x:v>567.2</x:v>
      </x:c>
    </x:row>
    <x:row r="1128">
      <x:c r="A1128" s="83" t="n">
        <x:v>1127</x:v>
      </x:c>
      <x:c r="B1128" s="84" t="n">
        <x:v>838</x:v>
      </x:c>
      <x:c r="C1128" s="84" t="n">
        <x:v>38</x:v>
      </x:c>
      <x:c r="D1128" s="89" t="n">
        <x:v>45523</x:v>
      </x:c>
      <x:c r="E1128" s="84" t="n">
        <x:v>2</x:v>
      </x:c>
      <x:c r="F1128" s="91" t="n">
        <x:v>1452.98</x:v>
      </x:c>
    </x:row>
    <x:row r="1129">
      <x:c r="A1129" s="83" t="n">
        <x:v>1128</x:v>
      </x:c>
      <x:c r="B1129" s="84" t="n">
        <x:v>839</x:v>
      </x:c>
      <x:c r="C1129" s="84" t="n">
        <x:v>35</x:v>
      </x:c>
      <x:c r="D1129" s="89" t="n">
        <x:v>45454</x:v>
      </x:c>
      <x:c r="E1129" s="84" t="n">
        <x:v>1</x:v>
      </x:c>
      <x:c r="F1129" s="91" t="n">
        <x:v>1470.78</x:v>
      </x:c>
    </x:row>
    <x:row r="1130">
      <x:c r="A1130" s="83" t="n">
        <x:v>1129</x:v>
      </x:c>
      <x:c r="B1130" s="84" t="n">
        <x:v>840</x:v>
      </x:c>
      <x:c r="C1130" s="84" t="n">
        <x:v>3</x:v>
      </x:c>
      <x:c r="D1130" s="89" t="n">
        <x:v>44963</x:v>
      </x:c>
      <x:c r="E1130" s="84" t="n">
        <x:v>2</x:v>
      </x:c>
      <x:c r="F1130" s="91" t="n">
        <x:v>2302.28</x:v>
      </x:c>
    </x:row>
    <x:row r="1131">
      <x:c r="A1131" s="83" t="n">
        <x:v>1130</x:v>
      </x:c>
      <x:c r="B1131" s="84" t="n">
        <x:v>840</x:v>
      </x:c>
      <x:c r="C1131" s="84" t="n">
        <x:v>38</x:v>
      </x:c>
      <x:c r="D1131" s="89" t="n">
        <x:v>44963</x:v>
      </x:c>
      <x:c r="E1131" s="84" t="n">
        <x:v>2</x:v>
      </x:c>
      <x:c r="F1131" s="91" t="n">
        <x:v>1452.98</x:v>
      </x:c>
    </x:row>
    <x:row r="1132">
      <x:c r="A1132" s="83" t="n">
        <x:v>1131</x:v>
      </x:c>
      <x:c r="B1132" s="84" t="n">
        <x:v>840</x:v>
      </x:c>
      <x:c r="C1132" s="84" t="n">
        <x:v>21</x:v>
      </x:c>
      <x:c r="D1132" s="89" t="n">
        <x:v>44963</x:v>
      </x:c>
      <x:c r="E1132" s="84" t="n">
        <x:v>4</x:v>
      </x:c>
      <x:c r="F1132" s="91" t="n">
        <x:v>9155.48</x:v>
      </x:c>
    </x:row>
    <x:row r="1133">
      <x:c r="A1133" s="83" t="n">
        <x:v>1132</x:v>
      </x:c>
      <x:c r="B1133" s="84" t="n">
        <x:v>841</x:v>
      </x:c>
      <x:c r="C1133" s="84" t="n">
        <x:v>16</x:v>
      </x:c>
      <x:c r="D1133" s="89" t="n">
        <x:v>45586</x:v>
      </x:c>
      <x:c r="E1133" s="84" t="n">
        <x:v>1</x:v>
      </x:c>
      <x:c r="F1133" s="91" t="n">
        <x:v>605.78</x:v>
      </x:c>
    </x:row>
    <x:row r="1134">
      <x:c r="A1134" s="83" t="n">
        <x:v>1133</x:v>
      </x:c>
      <x:c r="B1134" s="84" t="n">
        <x:v>841</x:v>
      </x:c>
      <x:c r="C1134" s="84" t="n">
        <x:v>48</x:v>
      </x:c>
      <x:c r="D1134" s="89" t="n">
        <x:v>45586</x:v>
      </x:c>
      <x:c r="E1134" s="84" t="n">
        <x:v>3</x:v>
      </x:c>
      <x:c r="F1134" s="91" t="n">
        <x:v>3484.35</x:v>
      </x:c>
    </x:row>
    <x:row r="1135">
      <x:c r="A1135" s="83" t="n">
        <x:v>1134</x:v>
      </x:c>
      <x:c r="B1135" s="84" t="n">
        <x:v>843</x:v>
      </x:c>
      <x:c r="C1135" s="84" t="n">
        <x:v>62</x:v>
      </x:c>
      <x:c r="D1135" s="89" t="n">
        <x:v>45791</x:v>
      </x:c>
      <x:c r="E1135" s="84" t="n">
        <x:v>3</x:v>
      </x:c>
      <x:c r="F1135" s="91" t="n">
        <x:v>4551.93</x:v>
      </x:c>
    </x:row>
    <x:row r="1136">
      <x:c r="A1136" s="83" t="n">
        <x:v>1135</x:v>
      </x:c>
      <x:c r="B1136" s="84" t="n">
        <x:v>843</x:v>
      </x:c>
      <x:c r="C1136" s="84" t="n">
        <x:v>27</x:v>
      </x:c>
      <x:c r="D1136" s="89" t="n">
        <x:v>45791</x:v>
      </x:c>
      <x:c r="E1136" s="84" t="n">
        <x:v>2</x:v>
      </x:c>
      <x:c r="F1136" s="91" t="n">
        <x:v>321.38</x:v>
      </x:c>
    </x:row>
    <x:row r="1137">
      <x:c r="A1137" s="83" t="n">
        <x:v>1136</x:v>
      </x:c>
      <x:c r="B1137" s="84" t="n">
        <x:v>843</x:v>
      </x:c>
      <x:c r="C1137" s="84" t="n">
        <x:v>52</x:v>
      </x:c>
      <x:c r="D1137" s="89" t="n">
        <x:v>45791</x:v>
      </x:c>
      <x:c r="E1137" s="84" t="n">
        <x:v>3</x:v>
      </x:c>
      <x:c r="F1137" s="91" t="n">
        <x:v>2641.89</x:v>
      </x:c>
    </x:row>
    <x:row r="1138">
      <x:c r="A1138" s="83" t="n">
        <x:v>1137</x:v>
      </x:c>
      <x:c r="B1138" s="84" t="n">
        <x:v>844</x:v>
      </x:c>
      <x:c r="C1138" s="84" t="n">
        <x:v>19</x:v>
      </x:c>
      <x:c r="D1138" s="89" t="n">
        <x:v>45711</x:v>
      </x:c>
      <x:c r="E1138" s="84" t="n">
        <x:v>4</x:v>
      </x:c>
      <x:c r="F1138" s="91" t="n">
        <x:v>4350.84</x:v>
      </x:c>
    </x:row>
    <x:row r="1139">
      <x:c r="A1139" s="83" t="n">
        <x:v>1138</x:v>
      </x:c>
      <x:c r="B1139" s="84" t="n">
        <x:v>845</x:v>
      </x:c>
      <x:c r="C1139" s="84" t="n">
        <x:v>74</x:v>
      </x:c>
      <x:c r="D1139" s="89" t="n">
        <x:v>44983</x:v>
      </x:c>
      <x:c r="E1139" s="84" t="n">
        <x:v>4</x:v>
      </x:c>
      <x:c r="F1139" s="91" t="n">
        <x:v>6625.4</x:v>
      </x:c>
    </x:row>
    <x:row r="1140">
      <x:c r="A1140" s="83" t="n">
        <x:v>1139</x:v>
      </x:c>
      <x:c r="B1140" s="84" t="n">
        <x:v>845</x:v>
      </x:c>
      <x:c r="C1140" s="84" t="n">
        <x:v>2</x:v>
      </x:c>
      <x:c r="D1140" s="89" t="n">
        <x:v>44983</x:v>
      </x:c>
      <x:c r="E1140" s="84" t="n">
        <x:v>4</x:v>
      </x:c>
      <x:c r="F1140" s="91" t="n">
        <x:v>3977.24</x:v>
      </x:c>
    </x:row>
    <x:row r="1141">
      <x:c r="A1141" s="83" t="n">
        <x:v>1140</x:v>
      </x:c>
      <x:c r="B1141" s="84" t="n">
        <x:v>846</x:v>
      </x:c>
      <x:c r="C1141" s="84" t="n">
        <x:v>79</x:v>
      </x:c>
      <x:c r="D1141" s="89" t="n">
        <x:v>45619</x:v>
      </x:c>
      <x:c r="E1141" s="84" t="n">
        <x:v>1</x:v>
      </x:c>
      <x:c r="F1141" s="91" t="n">
        <x:v>2066.72</x:v>
      </x:c>
    </x:row>
    <x:row r="1142">
      <x:c r="A1142" s="83" t="n">
        <x:v>1141</x:v>
      </x:c>
      <x:c r="B1142" s="84" t="n">
        <x:v>847</x:v>
      </x:c>
      <x:c r="C1142" s="84" t="n">
        <x:v>17</x:v>
      </x:c>
      <x:c r="D1142" s="89" t="n">
        <x:v>46006</x:v>
      </x:c>
      <x:c r="E1142" s="84" t="n">
        <x:v>2</x:v>
      </x:c>
      <x:c r="F1142" s="91" t="n">
        <x:v>4712.84</x:v>
      </x:c>
    </x:row>
    <x:row r="1143">
      <x:c r="A1143" s="83" t="n">
        <x:v>1142</x:v>
      </x:c>
      <x:c r="B1143" s="84" t="n">
        <x:v>847</x:v>
      </x:c>
      <x:c r="C1143" s="84" t="n">
        <x:v>2</x:v>
      </x:c>
      <x:c r="D1143" s="89" t="n">
        <x:v>46006</x:v>
      </x:c>
      <x:c r="E1143" s="84" t="n">
        <x:v>3</x:v>
      </x:c>
      <x:c r="F1143" s="91" t="n">
        <x:v>2982.93</x:v>
      </x:c>
    </x:row>
    <x:row r="1144">
      <x:c r="A1144" s="83" t="n">
        <x:v>1143</x:v>
      </x:c>
      <x:c r="B1144" s="84" t="n">
        <x:v>847</x:v>
      </x:c>
      <x:c r="C1144" s="84" t="n">
        <x:v>4</x:v>
      </x:c>
      <x:c r="D1144" s="89" t="n">
        <x:v>46006</x:v>
      </x:c>
      <x:c r="E1144" s="84" t="n">
        <x:v>1</x:v>
      </x:c>
      <x:c r="F1144" s="91" t="n">
        <x:v>1525.31</x:v>
      </x:c>
    </x:row>
    <x:row r="1145">
      <x:c r="A1145" s="83" t="n">
        <x:v>1144</x:v>
      </x:c>
      <x:c r="B1145" s="84" t="n">
        <x:v>848</x:v>
      </x:c>
      <x:c r="C1145" s="84" t="n">
        <x:v>74</x:v>
      </x:c>
      <x:c r="D1145" s="89" t="n">
        <x:v>45120</x:v>
      </x:c>
      <x:c r="E1145" s="84" t="n">
        <x:v>4</x:v>
      </x:c>
      <x:c r="F1145" s="91" t="n">
        <x:v>6625.4</x:v>
      </x:c>
    </x:row>
    <x:row r="1146">
      <x:c r="A1146" s="83" t="n">
        <x:v>1145</x:v>
      </x:c>
      <x:c r="B1146" s="84" t="n">
        <x:v>848</x:v>
      </x:c>
      <x:c r="C1146" s="84" t="n">
        <x:v>40</x:v>
      </x:c>
      <x:c r="D1146" s="89" t="n">
        <x:v>45120</x:v>
      </x:c>
      <x:c r="E1146" s="84" t="n">
        <x:v>2</x:v>
      </x:c>
      <x:c r="F1146" s="91" t="n">
        <x:v>4070.08</x:v>
      </x:c>
    </x:row>
    <x:row r="1147">
      <x:c r="A1147" s="83" t="n">
        <x:v>1146</x:v>
      </x:c>
      <x:c r="B1147" s="84" t="n">
        <x:v>848</x:v>
      </x:c>
      <x:c r="C1147" s="84" t="n">
        <x:v>43</x:v>
      </x:c>
      <x:c r="D1147" s="89" t="n">
        <x:v>45120</x:v>
      </x:c>
      <x:c r="E1147" s="84" t="n">
        <x:v>4</x:v>
      </x:c>
      <x:c r="F1147" s="91" t="n">
        <x:v>5861.68</x:v>
      </x:c>
    </x:row>
    <x:row r="1148">
      <x:c r="A1148" s="83" t="n">
        <x:v>1147</x:v>
      </x:c>
      <x:c r="B1148" s="84" t="n">
        <x:v>850</x:v>
      </x:c>
      <x:c r="C1148" s="84" t="n">
        <x:v>75</x:v>
      </x:c>
      <x:c r="D1148" s="89" t="n">
        <x:v>45865</x:v>
      </x:c>
      <x:c r="E1148" s="84" t="n">
        <x:v>4</x:v>
      </x:c>
      <x:c r="F1148" s="91" t="n">
        <x:v>1824.68</x:v>
      </x:c>
    </x:row>
    <x:row r="1149">
      <x:c r="A1149" s="83" t="n">
        <x:v>1148</x:v>
      </x:c>
      <x:c r="B1149" s="84" t="n">
        <x:v>850</x:v>
      </x:c>
      <x:c r="C1149" s="84" t="n">
        <x:v>79</x:v>
      </x:c>
      <x:c r="D1149" s="89" t="n">
        <x:v>45865</x:v>
      </x:c>
      <x:c r="E1149" s="84" t="n">
        <x:v>3</x:v>
      </x:c>
      <x:c r="F1149" s="91" t="n">
        <x:v>6200.16</x:v>
      </x:c>
    </x:row>
    <x:row r="1150">
      <x:c r="A1150" s="83" t="n">
        <x:v>1149</x:v>
      </x:c>
      <x:c r="B1150" s="84" t="n">
        <x:v>853</x:v>
      </x:c>
      <x:c r="C1150" s="84" t="n">
        <x:v>14</x:v>
      </x:c>
      <x:c r="D1150" s="89" t="n">
        <x:v>45440</x:v>
      </x:c>
      <x:c r="E1150" s="84" t="n">
        <x:v>2</x:v>
      </x:c>
      <x:c r="F1150" s="91" t="n">
        <x:v>351.44</x:v>
      </x:c>
    </x:row>
    <x:row r="1151">
      <x:c r="A1151" s="83" t="n">
        <x:v>1150</x:v>
      </x:c>
      <x:c r="B1151" s="84" t="n">
        <x:v>856</x:v>
      </x:c>
      <x:c r="C1151" s="84" t="n">
        <x:v>71</x:v>
      </x:c>
      <x:c r="D1151" s="89" t="n">
        <x:v>45447</x:v>
      </x:c>
      <x:c r="E1151" s="84" t="n">
        <x:v>3</x:v>
      </x:c>
      <x:c r="F1151" s="91" t="n">
        <x:v>5950.56</x:v>
      </x:c>
    </x:row>
    <x:row r="1152">
      <x:c r="A1152" s="83" t="n">
        <x:v>1151</x:v>
      </x:c>
      <x:c r="B1152" s="84" t="n">
        <x:v>857</x:v>
      </x:c>
      <x:c r="C1152" s="84" t="n">
        <x:v>31</x:v>
      </x:c>
      <x:c r="D1152" s="89" t="n">
        <x:v>45764</x:v>
      </x:c>
      <x:c r="E1152" s="84" t="n">
        <x:v>4</x:v>
      </x:c>
      <x:c r="F1152" s="91" t="n">
        <x:v>8678.52</x:v>
      </x:c>
    </x:row>
    <x:row r="1153">
      <x:c r="A1153" s="83" t="n">
        <x:v>1152</x:v>
      </x:c>
      <x:c r="B1153" s="84" t="n">
        <x:v>857</x:v>
      </x:c>
      <x:c r="C1153" s="84" t="n">
        <x:v>74</x:v>
      </x:c>
      <x:c r="D1153" s="89" t="n">
        <x:v>45764</x:v>
      </x:c>
      <x:c r="E1153" s="84" t="n">
        <x:v>4</x:v>
      </x:c>
      <x:c r="F1153" s="91" t="n">
        <x:v>6625.4</x:v>
      </x:c>
    </x:row>
    <x:row r="1154">
      <x:c r="A1154" s="83" t="n">
        <x:v>1153</x:v>
      </x:c>
      <x:c r="B1154" s="84" t="n">
        <x:v>857</x:v>
      </x:c>
      <x:c r="C1154" s="84" t="n">
        <x:v>75</x:v>
      </x:c>
      <x:c r="D1154" s="89" t="n">
        <x:v>45764</x:v>
      </x:c>
      <x:c r="E1154" s="84" t="n">
        <x:v>1</x:v>
      </x:c>
      <x:c r="F1154" s="91" t="n">
        <x:v>456.17</x:v>
      </x:c>
    </x:row>
    <x:row r="1155">
      <x:c r="A1155" s="83" t="n">
        <x:v>1154</x:v>
      </x:c>
      <x:c r="B1155" s="84" t="n">
        <x:v>858</x:v>
      </x:c>
      <x:c r="C1155" s="84" t="n">
        <x:v>7</x:v>
      </x:c>
      <x:c r="D1155" s="89" t="n">
        <x:v>45610</x:v>
      </x:c>
      <x:c r="E1155" s="84" t="n">
        <x:v>2</x:v>
      </x:c>
      <x:c r="F1155" s="91" t="n">
        <x:v>733.6</x:v>
      </x:c>
    </x:row>
    <x:row r="1156">
      <x:c r="A1156" s="83" t="n">
        <x:v>1155</x:v>
      </x:c>
      <x:c r="B1156" s="84" t="n">
        <x:v>858</x:v>
      </x:c>
      <x:c r="C1156" s="84" t="n">
        <x:v>6</x:v>
      </x:c>
      <x:c r="D1156" s="89" t="n">
        <x:v>45610</x:v>
      </x:c>
      <x:c r="E1156" s="84" t="n">
        <x:v>4</x:v>
      </x:c>
      <x:c r="F1156" s="91" t="n">
        <x:v>2789.48</x:v>
      </x:c>
    </x:row>
    <x:row r="1157">
      <x:c r="A1157" s="83" t="n">
        <x:v>1156</x:v>
      </x:c>
      <x:c r="B1157" s="84" t="n">
        <x:v>859</x:v>
      </x:c>
      <x:c r="C1157" s="84" t="n">
        <x:v>22</x:v>
      </x:c>
      <x:c r="D1157" s="89" t="n">
        <x:v>45846</x:v>
      </x:c>
      <x:c r="E1157" s="84" t="n">
        <x:v>2</x:v>
      </x:c>
      <x:c r="F1157" s="91" t="n">
        <x:v>1043.78</x:v>
      </x:c>
    </x:row>
    <x:row r="1158">
      <x:c r="A1158" s="83" t="n">
        <x:v>1157</x:v>
      </x:c>
      <x:c r="B1158" s="84" t="n">
        <x:v>859</x:v>
      </x:c>
      <x:c r="C1158" s="84" t="n">
        <x:v>7</x:v>
      </x:c>
      <x:c r="D1158" s="89" t="n">
        <x:v>45846</x:v>
      </x:c>
      <x:c r="E1158" s="84" t="n">
        <x:v>2</x:v>
      </x:c>
      <x:c r="F1158" s="91" t="n">
        <x:v>733.6</x:v>
      </x:c>
    </x:row>
    <x:row r="1159">
      <x:c r="A1159" s="83" t="n">
        <x:v>1158</x:v>
      </x:c>
      <x:c r="B1159" s="84" t="n">
        <x:v>859</x:v>
      </x:c>
      <x:c r="C1159" s="84" t="n">
        <x:v>18</x:v>
      </x:c>
      <x:c r="D1159" s="89" t="n">
        <x:v>45846</x:v>
      </x:c>
      <x:c r="E1159" s="84" t="n">
        <x:v>1</x:v>
      </x:c>
      <x:c r="F1159" s="91" t="n">
        <x:v>666.16</x:v>
      </x:c>
    </x:row>
    <x:row r="1160">
      <x:c r="A1160" s="83" t="n">
        <x:v>1159</x:v>
      </x:c>
      <x:c r="B1160" s="84" t="n">
        <x:v>860</x:v>
      </x:c>
      <x:c r="C1160" s="84" t="n">
        <x:v>54</x:v>
      </x:c>
      <x:c r="D1160" s="89" t="n">
        <x:v>45134</x:v>
      </x:c>
      <x:c r="E1160" s="84" t="n">
        <x:v>2</x:v>
      </x:c>
      <x:c r="F1160" s="91" t="n">
        <x:v>1372.8</x:v>
      </x:c>
    </x:row>
    <x:row r="1161">
      <x:c r="A1161" s="83" t="n">
        <x:v>1160</x:v>
      </x:c>
      <x:c r="B1161" s="84" t="n">
        <x:v>862</x:v>
      </x:c>
      <x:c r="C1161" s="84" t="n">
        <x:v>58</x:v>
      </x:c>
      <x:c r="D1161" s="89" t="n">
        <x:v>45658</x:v>
      </x:c>
      <x:c r="E1161" s="84" t="n">
        <x:v>3</x:v>
      </x:c>
      <x:c r="F1161" s="91" t="n">
        <x:v>6054.54</x:v>
      </x:c>
    </x:row>
    <x:row r="1162">
      <x:c r="A1162" s="83" t="n">
        <x:v>1161</x:v>
      </x:c>
      <x:c r="B1162" s="84" t="n">
        <x:v>864</x:v>
      </x:c>
      <x:c r="C1162" s="84" t="n">
        <x:v>76</x:v>
      </x:c>
      <x:c r="D1162" s="89" t="n">
        <x:v>45080</x:v>
      </x:c>
      <x:c r="E1162" s="84" t="n">
        <x:v>3</x:v>
      </x:c>
      <x:c r="F1162" s="91" t="n">
        <x:v>2159.43</x:v>
      </x:c>
    </x:row>
    <x:row r="1163">
      <x:c r="A1163" s="83" t="n">
        <x:v>1162</x:v>
      </x:c>
      <x:c r="B1163" s="84" t="n">
        <x:v>865</x:v>
      </x:c>
      <x:c r="C1163" s="84" t="n">
        <x:v>60</x:v>
      </x:c>
      <x:c r="D1163" s="89" t="n">
        <x:v>45260</x:v>
      </x:c>
      <x:c r="E1163" s="84" t="n">
        <x:v>4</x:v>
      </x:c>
      <x:c r="F1163" s="91" t="n">
        <x:v>1415.2</x:v>
      </x:c>
    </x:row>
    <x:row r="1164">
      <x:c r="A1164" s="83" t="n">
        <x:v>1163</x:v>
      </x:c>
      <x:c r="B1164" s="84" t="n">
        <x:v>865</x:v>
      </x:c>
      <x:c r="C1164" s="84" t="n">
        <x:v>59</x:v>
      </x:c>
      <x:c r="D1164" s="89" t="n">
        <x:v>45260</x:v>
      </x:c>
      <x:c r="E1164" s="84" t="n">
        <x:v>2</x:v>
      </x:c>
      <x:c r="F1164" s="91" t="n">
        <x:v>3032.9</x:v>
      </x:c>
    </x:row>
    <x:row r="1165">
      <x:c r="A1165" s="83" t="n">
        <x:v>1164</x:v>
      </x:c>
      <x:c r="B1165" s="84" t="n">
        <x:v>867</x:v>
      </x:c>
      <x:c r="C1165" s="84" t="n">
        <x:v>29</x:v>
      </x:c>
      <x:c r="D1165" s="89" t="n">
        <x:v>45467</x:v>
      </x:c>
      <x:c r="E1165" s="84" t="n">
        <x:v>3</x:v>
      </x:c>
      <x:c r="F1165" s="91" t="n">
        <x:v>4657.41</x:v>
      </x:c>
    </x:row>
    <x:row r="1166">
      <x:c r="A1166" s="83" t="n">
        <x:v>1165</x:v>
      </x:c>
      <x:c r="B1166" s="84" t="n">
        <x:v>867</x:v>
      </x:c>
      <x:c r="C1166" s="84" t="n">
        <x:v>75</x:v>
      </x:c>
      <x:c r="D1166" s="89" t="n">
        <x:v>45467</x:v>
      </x:c>
      <x:c r="E1166" s="84" t="n">
        <x:v>1</x:v>
      </x:c>
      <x:c r="F1166" s="91" t="n">
        <x:v>456.17</x:v>
      </x:c>
    </x:row>
    <x:row r="1167">
      <x:c r="A1167" s="83" t="n">
        <x:v>1166</x:v>
      </x:c>
      <x:c r="B1167" s="84" t="n">
        <x:v>867</x:v>
      </x:c>
      <x:c r="C1167" s="84" t="n">
        <x:v>2</x:v>
      </x:c>
      <x:c r="D1167" s="89" t="n">
        <x:v>45467</x:v>
      </x:c>
      <x:c r="E1167" s="84" t="n">
        <x:v>3</x:v>
      </x:c>
      <x:c r="F1167" s="91" t="n">
        <x:v>2982.93</x:v>
      </x:c>
    </x:row>
    <x:row r="1168">
      <x:c r="A1168" s="83" t="n">
        <x:v>1167</x:v>
      </x:c>
      <x:c r="B1168" s="84" t="n">
        <x:v>868</x:v>
      </x:c>
      <x:c r="C1168" s="84" t="n">
        <x:v>52</x:v>
      </x:c>
      <x:c r="D1168" s="89" t="n">
        <x:v>45779</x:v>
      </x:c>
      <x:c r="E1168" s="84" t="n">
        <x:v>4</x:v>
      </x:c>
      <x:c r="F1168" s="91" t="n">
        <x:v>3522.52</x:v>
      </x:c>
    </x:row>
    <x:row r="1169">
      <x:c r="A1169" s="83" t="n">
        <x:v>1168</x:v>
      </x:c>
      <x:c r="B1169" s="84" t="n">
        <x:v>868</x:v>
      </x:c>
      <x:c r="C1169" s="84" t="n">
        <x:v>14</x:v>
      </x:c>
      <x:c r="D1169" s="89" t="n">
        <x:v>45779</x:v>
      </x:c>
      <x:c r="E1169" s="84" t="n">
        <x:v>2</x:v>
      </x:c>
      <x:c r="F1169" s="91" t="n">
        <x:v>351.44</x:v>
      </x:c>
    </x:row>
    <x:row r="1170">
      <x:c r="A1170" s="83" t="n">
        <x:v>1169</x:v>
      </x:c>
      <x:c r="B1170" s="84" t="n">
        <x:v>870</x:v>
      </x:c>
      <x:c r="C1170" s="84" t="n">
        <x:v>71</x:v>
      </x:c>
      <x:c r="D1170" s="89" t="n">
        <x:v>45397</x:v>
      </x:c>
      <x:c r="E1170" s="84" t="n">
        <x:v>3</x:v>
      </x:c>
      <x:c r="F1170" s="91" t="n">
        <x:v>5950.56</x:v>
      </x:c>
    </x:row>
    <x:row r="1171">
      <x:c r="A1171" s="83" t="n">
        <x:v>1170</x:v>
      </x:c>
      <x:c r="B1171" s="84" t="n">
        <x:v>871</x:v>
      </x:c>
      <x:c r="C1171" s="84" t="n">
        <x:v>31</x:v>
      </x:c>
      <x:c r="D1171" s="89" t="n">
        <x:v>45776</x:v>
      </x:c>
      <x:c r="E1171" s="84" t="n">
        <x:v>2</x:v>
      </x:c>
      <x:c r="F1171" s="91" t="n">
        <x:v>4339.26</x:v>
      </x:c>
    </x:row>
    <x:row r="1172">
      <x:c r="A1172" s="83" t="n">
        <x:v>1171</x:v>
      </x:c>
      <x:c r="B1172" s="84" t="n">
        <x:v>871</x:v>
      </x:c>
      <x:c r="C1172" s="84" t="n">
        <x:v>39</x:v>
      </x:c>
      <x:c r="D1172" s="89" t="n">
        <x:v>45776</x:v>
      </x:c>
      <x:c r="E1172" s="84" t="n">
        <x:v>3</x:v>
      </x:c>
      <x:c r="F1172" s="91" t="n">
        <x:v>2032.8</x:v>
      </x:c>
    </x:row>
    <x:row r="1173">
      <x:c r="A1173" s="83" t="n">
        <x:v>1172</x:v>
      </x:c>
      <x:c r="B1173" s="84" t="n">
        <x:v>876</x:v>
      </x:c>
      <x:c r="C1173" s="84" t="n">
        <x:v>66</x:v>
      </x:c>
      <x:c r="D1173" s="89" t="n">
        <x:v>45214</x:v>
      </x:c>
      <x:c r="E1173" s="84" t="n">
        <x:v>2</x:v>
      </x:c>
      <x:c r="F1173" s="91" t="n">
        <x:v>3824.9</x:v>
      </x:c>
    </x:row>
    <x:row r="1174">
      <x:c r="A1174" s="83" t="n">
        <x:v>1173</x:v>
      </x:c>
      <x:c r="B1174" s="84" t="n">
        <x:v>876</x:v>
      </x:c>
      <x:c r="C1174" s="84" t="n">
        <x:v>79</x:v>
      </x:c>
      <x:c r="D1174" s="89" t="n">
        <x:v>45214</x:v>
      </x:c>
      <x:c r="E1174" s="84" t="n">
        <x:v>2</x:v>
      </x:c>
      <x:c r="F1174" s="91" t="n">
        <x:v>4133.44</x:v>
      </x:c>
    </x:row>
    <x:row r="1175">
      <x:c r="A1175" s="83" t="n">
        <x:v>1174</x:v>
      </x:c>
      <x:c r="B1175" s="84" t="n">
        <x:v>878</x:v>
      </x:c>
      <x:c r="C1175" s="84" t="n">
        <x:v>24</x:v>
      </x:c>
      <x:c r="D1175" s="89" t="n">
        <x:v>45682</x:v>
      </x:c>
      <x:c r="E1175" s="84" t="n">
        <x:v>4</x:v>
      </x:c>
      <x:c r="F1175" s="91" t="n">
        <x:v>2963.64</x:v>
      </x:c>
    </x:row>
    <x:row r="1176">
      <x:c r="A1176" s="83" t="n">
        <x:v>1175</x:v>
      </x:c>
      <x:c r="B1176" s="84" t="n">
        <x:v>878</x:v>
      </x:c>
      <x:c r="C1176" s="84" t="n">
        <x:v>73</x:v>
      </x:c>
      <x:c r="D1176" s="89" t="n">
        <x:v>45682</x:v>
      </x:c>
      <x:c r="E1176" s="84" t="n">
        <x:v>1</x:v>
      </x:c>
      <x:c r="F1176" s="91" t="n">
        <x:v>1127.31</x:v>
      </x:c>
    </x:row>
    <x:row r="1177">
      <x:c r="A1177" s="83" t="n">
        <x:v>1176</x:v>
      </x:c>
      <x:c r="B1177" s="84" t="n">
        <x:v>878</x:v>
      </x:c>
      <x:c r="C1177" s="84" t="n">
        <x:v>77</x:v>
      </x:c>
      <x:c r="D1177" s="89" t="n">
        <x:v>45682</x:v>
      </x:c>
      <x:c r="E1177" s="84" t="n">
        <x:v>1</x:v>
      </x:c>
      <x:c r="F1177" s="91" t="n">
        <x:v>2102.91</x:v>
      </x:c>
    </x:row>
    <x:row r="1178">
      <x:c r="A1178" s="83" t="n">
        <x:v>1177</x:v>
      </x:c>
      <x:c r="B1178" s="84" t="n">
        <x:v>883</x:v>
      </x:c>
      <x:c r="C1178" s="84" t="n">
        <x:v>55</x:v>
      </x:c>
      <x:c r="D1178" s="89" t="n">
        <x:v>45160</x:v>
      </x:c>
      <x:c r="E1178" s="84" t="n">
        <x:v>4</x:v>
      </x:c>
      <x:c r="F1178" s="91" t="n">
        <x:v>5999.4</x:v>
      </x:c>
    </x:row>
    <x:row r="1179">
      <x:c r="A1179" s="83" t="n">
        <x:v>1178</x:v>
      </x:c>
      <x:c r="B1179" s="84" t="n">
        <x:v>884</x:v>
      </x:c>
      <x:c r="C1179" s="84" t="n">
        <x:v>12</x:v>
      </x:c>
      <x:c r="D1179" s="89" t="n">
        <x:v>45600</x:v>
      </x:c>
      <x:c r="E1179" s="84" t="n">
        <x:v>4</x:v>
      </x:c>
      <x:c r="F1179" s="91" t="n">
        <x:v>1137.96</x:v>
      </x:c>
    </x:row>
    <x:row r="1180">
      <x:c r="A1180" s="83" t="n">
        <x:v>1179</x:v>
      </x:c>
      <x:c r="B1180" s="84" t="n">
        <x:v>884</x:v>
      </x:c>
      <x:c r="C1180" s="84" t="n">
        <x:v>70</x:v>
      </x:c>
      <x:c r="D1180" s="89" t="n">
        <x:v>45600</x:v>
      </x:c>
      <x:c r="E1180" s="84" t="n">
        <x:v>2</x:v>
      </x:c>
      <x:c r="F1180" s="91" t="n">
        <x:v>1539.08</x:v>
      </x:c>
    </x:row>
    <x:row r="1181">
      <x:c r="A1181" s="83" t="n">
        <x:v>1180</x:v>
      </x:c>
      <x:c r="B1181" s="84" t="n">
        <x:v>885</x:v>
      </x:c>
      <x:c r="C1181" s="84" t="n">
        <x:v>32</x:v>
      </x:c>
      <x:c r="D1181" s="89" t="n">
        <x:v>45090</x:v>
      </x:c>
      <x:c r="E1181" s="84" t="n">
        <x:v>1</x:v>
      </x:c>
      <x:c r="F1181" s="91" t="n">
        <x:v>1813.25</x:v>
      </x:c>
    </x:row>
    <x:row r="1182">
      <x:c r="A1182" s="83" t="n">
        <x:v>1181</x:v>
      </x:c>
      <x:c r="B1182" s="84" t="n">
        <x:v>886</x:v>
      </x:c>
      <x:c r="C1182" s="84" t="n">
        <x:v>17</x:v>
      </x:c>
      <x:c r="D1182" s="89" t="n">
        <x:v>45638</x:v>
      </x:c>
      <x:c r="E1182" s="84" t="n">
        <x:v>4</x:v>
      </x:c>
      <x:c r="F1182" s="91" t="n">
        <x:v>9425.68</x:v>
      </x:c>
    </x:row>
    <x:row r="1183">
      <x:c r="A1183" s="83" t="n">
        <x:v>1182</x:v>
      </x:c>
      <x:c r="B1183" s="84" t="n">
        <x:v>886</x:v>
      </x:c>
      <x:c r="C1183" s="84" t="n">
        <x:v>72</x:v>
      </x:c>
      <x:c r="D1183" s="89" t="n">
        <x:v>45638</x:v>
      </x:c>
      <x:c r="E1183" s="84" t="n">
        <x:v>3</x:v>
      </x:c>
      <x:c r="F1183" s="91" t="n">
        <x:v>1352.49</x:v>
      </x:c>
    </x:row>
    <x:row r="1184">
      <x:c r="A1184" s="83" t="n">
        <x:v>1183</x:v>
      </x:c>
      <x:c r="B1184" s="84" t="n">
        <x:v>887</x:v>
      </x:c>
      <x:c r="C1184" s="84" t="n">
        <x:v>17</x:v>
      </x:c>
      <x:c r="D1184" s="89" t="n">
        <x:v>45983</x:v>
      </x:c>
      <x:c r="E1184" s="84" t="n">
        <x:v>2</x:v>
      </x:c>
      <x:c r="F1184" s="91" t="n">
        <x:v>4712.84</x:v>
      </x:c>
    </x:row>
    <x:row r="1185">
      <x:c r="A1185" s="83" t="n">
        <x:v>1184</x:v>
      </x:c>
      <x:c r="B1185" s="84" t="n">
        <x:v>887</x:v>
      </x:c>
      <x:c r="C1185" s="84" t="n">
        <x:v>23</x:v>
      </x:c>
      <x:c r="D1185" s="89" t="n">
        <x:v>45983</x:v>
      </x:c>
      <x:c r="E1185" s="84" t="n">
        <x:v>4</x:v>
      </x:c>
      <x:c r="F1185" s="91" t="n">
        <x:v>7011.4</x:v>
      </x:c>
    </x:row>
    <x:row r="1186">
      <x:c r="A1186" s="83" t="n">
        <x:v>1185</x:v>
      </x:c>
      <x:c r="B1186" s="84" t="n">
        <x:v>888</x:v>
      </x:c>
      <x:c r="C1186" s="84" t="n">
        <x:v>78</x:v>
      </x:c>
      <x:c r="D1186" s="89" t="n">
        <x:v>45307</x:v>
      </x:c>
      <x:c r="E1186" s="84" t="n">
        <x:v>3</x:v>
      </x:c>
      <x:c r="F1186" s="91" t="n">
        <x:v>850.8</x:v>
      </x:c>
    </x:row>
    <x:row r="1187">
      <x:c r="A1187" s="83" t="n">
        <x:v>1186</x:v>
      </x:c>
      <x:c r="B1187" s="84" t="n">
        <x:v>888</x:v>
      </x:c>
      <x:c r="C1187" s="84" t="n">
        <x:v>19</x:v>
      </x:c>
      <x:c r="D1187" s="89" t="n">
        <x:v>45307</x:v>
      </x:c>
      <x:c r="E1187" s="84" t="n">
        <x:v>3</x:v>
      </x:c>
      <x:c r="F1187" s="91" t="n">
        <x:v>3263.13</x:v>
      </x:c>
    </x:row>
    <x:row r="1188">
      <x:c r="A1188" s="83" t="n">
        <x:v>1187</x:v>
      </x:c>
      <x:c r="B1188" s="84" t="n">
        <x:v>889</x:v>
      </x:c>
      <x:c r="C1188" s="84" t="n">
        <x:v>78</x:v>
      </x:c>
      <x:c r="D1188" s="89" t="n">
        <x:v>45679</x:v>
      </x:c>
      <x:c r="E1188" s="84" t="n">
        <x:v>3</x:v>
      </x:c>
      <x:c r="F1188" s="91" t="n">
        <x:v>850.8</x:v>
      </x:c>
    </x:row>
    <x:row r="1189">
      <x:c r="A1189" s="83" t="n">
        <x:v>1188</x:v>
      </x:c>
      <x:c r="B1189" s="84" t="n">
        <x:v>889</x:v>
      </x:c>
      <x:c r="C1189" s="84" t="n">
        <x:v>26</x:v>
      </x:c>
      <x:c r="D1189" s="89" t="n">
        <x:v>45679</x:v>
      </x:c>
      <x:c r="E1189" s="84" t="n">
        <x:v>2</x:v>
      </x:c>
      <x:c r="F1189" s="91" t="n">
        <x:v>4302</x:v>
      </x:c>
    </x:row>
    <x:row r="1190">
      <x:c r="A1190" s="83" t="n">
        <x:v>1189</x:v>
      </x:c>
      <x:c r="B1190" s="84" t="n">
        <x:v>890</x:v>
      </x:c>
      <x:c r="C1190" s="84" t="n">
        <x:v>9</x:v>
      </x:c>
      <x:c r="D1190" s="89" t="n">
        <x:v>45335</x:v>
      </x:c>
      <x:c r="E1190" s="84" t="n">
        <x:v>4</x:v>
      </x:c>
      <x:c r="F1190" s="91" t="n">
        <x:v>6300.24</x:v>
      </x:c>
    </x:row>
    <x:row r="1191">
      <x:c r="A1191" s="83" t="n">
        <x:v>1190</x:v>
      </x:c>
      <x:c r="B1191" s="84" t="n">
        <x:v>891</x:v>
      </x:c>
      <x:c r="C1191" s="84" t="n">
        <x:v>61</x:v>
      </x:c>
      <x:c r="D1191" s="89" t="n">
        <x:v>45080</x:v>
      </x:c>
      <x:c r="E1191" s="84" t="n">
        <x:v>1</x:v>
      </x:c>
      <x:c r="F1191" s="91" t="n">
        <x:v>131.72</x:v>
      </x:c>
    </x:row>
    <x:row r="1192">
      <x:c r="A1192" s="83" t="n">
        <x:v>1191</x:v>
      </x:c>
      <x:c r="B1192" s="84" t="n">
        <x:v>891</x:v>
      </x:c>
      <x:c r="C1192" s="84" t="n">
        <x:v>32</x:v>
      </x:c>
      <x:c r="D1192" s="89" t="n">
        <x:v>45080</x:v>
      </x:c>
      <x:c r="E1192" s="84" t="n">
        <x:v>3</x:v>
      </x:c>
      <x:c r="F1192" s="91" t="n">
        <x:v>5439.75</x:v>
      </x:c>
    </x:row>
    <x:row r="1193">
      <x:c r="A1193" s="83" t="n">
        <x:v>1192</x:v>
      </x:c>
      <x:c r="B1193" s="84" t="n">
        <x:v>893</x:v>
      </x:c>
      <x:c r="C1193" s="84" t="n">
        <x:v>74</x:v>
      </x:c>
      <x:c r="D1193" s="89" t="n">
        <x:v>45730</x:v>
      </x:c>
      <x:c r="E1193" s="84" t="n">
        <x:v>1</x:v>
      </x:c>
      <x:c r="F1193" s="91" t="n">
        <x:v>1656.35</x:v>
      </x:c>
    </x:row>
    <x:row r="1194">
      <x:c r="A1194" s="83" t="n">
        <x:v>1193</x:v>
      </x:c>
      <x:c r="B1194" s="84" t="n">
        <x:v>896</x:v>
      </x:c>
      <x:c r="C1194" s="84" t="n">
        <x:v>53</x:v>
      </x:c>
      <x:c r="D1194" s="89" t="n">
        <x:v>45072</x:v>
      </x:c>
      <x:c r="E1194" s="84" t="n">
        <x:v>2</x:v>
      </x:c>
      <x:c r="F1194" s="91" t="n">
        <x:v>3181.84</x:v>
      </x:c>
    </x:row>
    <x:row r="1195">
      <x:c r="A1195" s="83" t="n">
        <x:v>1194</x:v>
      </x:c>
      <x:c r="B1195" s="84" t="n">
        <x:v>896</x:v>
      </x:c>
      <x:c r="C1195" s="84" t="n">
        <x:v>33</x:v>
      </x:c>
      <x:c r="D1195" s="89" t="n">
        <x:v>45072</x:v>
      </x:c>
      <x:c r="E1195" s="84" t="n">
        <x:v>1</x:v>
      </x:c>
      <x:c r="F1195" s="91" t="n">
        <x:v>2346.92</x:v>
      </x:c>
    </x:row>
    <x:row r="1196">
      <x:c r="A1196" s="83" t="n">
        <x:v>1195</x:v>
      </x:c>
      <x:c r="B1196" s="84" t="n">
        <x:v>897</x:v>
      </x:c>
      <x:c r="C1196" s="84" t="n">
        <x:v>75</x:v>
      </x:c>
      <x:c r="D1196" s="89" t="n">
        <x:v>45002</x:v>
      </x:c>
      <x:c r="E1196" s="84" t="n">
        <x:v>2</x:v>
      </x:c>
      <x:c r="F1196" s="91" t="n">
        <x:v>912.34</x:v>
      </x:c>
    </x:row>
    <x:row r="1197">
      <x:c r="A1197" s="83" t="n">
        <x:v>1196</x:v>
      </x:c>
      <x:c r="B1197" s="84" t="n">
        <x:v>897</x:v>
      </x:c>
      <x:c r="C1197" s="84" t="n">
        <x:v>76</x:v>
      </x:c>
      <x:c r="D1197" s="89" t="n">
        <x:v>45002</x:v>
      </x:c>
      <x:c r="E1197" s="84" t="n">
        <x:v>2</x:v>
      </x:c>
      <x:c r="F1197" s="91" t="n">
        <x:v>1439.62</x:v>
      </x:c>
    </x:row>
    <x:row r="1198">
      <x:c r="A1198" s="83" t="n">
        <x:v>1197</x:v>
      </x:c>
      <x:c r="B1198" s="84" t="n">
        <x:v>899</x:v>
      </x:c>
      <x:c r="C1198" s="84" t="n">
        <x:v>68</x:v>
      </x:c>
      <x:c r="D1198" s="89" t="n">
        <x:v>45860</x:v>
      </x:c>
      <x:c r="E1198" s="84" t="n">
        <x:v>3</x:v>
      </x:c>
      <x:c r="F1198" s="91" t="n">
        <x:v>4582.83</x:v>
      </x:c>
    </x:row>
    <x:row r="1199">
      <x:c r="A1199" s="83" t="n">
        <x:v>1198</x:v>
      </x:c>
      <x:c r="B1199" s="84" t="n">
        <x:v>900</x:v>
      </x:c>
      <x:c r="C1199" s="84" t="n">
        <x:v>35</x:v>
      </x:c>
      <x:c r="D1199" s="89" t="n">
        <x:v>45125</x:v>
      </x:c>
      <x:c r="E1199" s="84" t="n">
        <x:v>2</x:v>
      </x:c>
      <x:c r="F1199" s="91" t="n">
        <x:v>2941.56</x:v>
      </x:c>
    </x:row>
    <x:row r="1200">
      <x:c r="A1200" s="83" t="n">
        <x:v>1199</x:v>
      </x:c>
      <x:c r="B1200" s="84" t="n">
        <x:v>900</x:v>
      </x:c>
      <x:c r="C1200" s="84" t="n">
        <x:v>18</x:v>
      </x:c>
      <x:c r="D1200" s="89" t="n">
        <x:v>45125</x:v>
      </x:c>
      <x:c r="E1200" s="84" t="n">
        <x:v>1</x:v>
      </x:c>
      <x:c r="F1200" s="91" t="n">
        <x:v>666.16</x:v>
      </x:c>
    </x:row>
    <x:row r="1201">
      <x:c r="A1201" s="83" t="n">
        <x:v>1200</x:v>
      </x:c>
      <x:c r="B1201" s="84" t="n">
        <x:v>900</x:v>
      </x:c>
      <x:c r="C1201" s="84" t="n">
        <x:v>8</x:v>
      </x:c>
      <x:c r="D1201" s="89" t="n">
        <x:v>45125</x:v>
      </x:c>
      <x:c r="E1201" s="84" t="n">
        <x:v>4</x:v>
      </x:c>
      <x:c r="F1201" s="91" t="n">
        <x:v>6664.76</x:v>
      </x:c>
    </x:row>
    <x:row r="1202">
      <x:c r="A1202" s="83" t="n">
        <x:v>1201</x:v>
      </x:c>
      <x:c r="B1202" s="84" t="n">
        <x:v>902</x:v>
      </x:c>
      <x:c r="C1202" s="84" t="n">
        <x:v>19</x:v>
      </x:c>
      <x:c r="D1202" s="89" t="n">
        <x:v>45301</x:v>
      </x:c>
      <x:c r="E1202" s="84" t="n">
        <x:v>1</x:v>
      </x:c>
      <x:c r="F1202" s="91" t="n">
        <x:v>1087.71</x:v>
      </x:c>
    </x:row>
    <x:row r="1203">
      <x:c r="A1203" s="83" t="n">
        <x:v>1202</x:v>
      </x:c>
      <x:c r="B1203" s="84" t="n">
        <x:v>902</x:v>
      </x:c>
      <x:c r="C1203" s="84" t="n">
        <x:v>70</x:v>
      </x:c>
      <x:c r="D1203" s="89" t="n">
        <x:v>45301</x:v>
      </x:c>
      <x:c r="E1203" s="84" t="n">
        <x:v>2</x:v>
      </x:c>
      <x:c r="F1203" s="91" t="n">
        <x:v>1539.08</x:v>
      </x:c>
    </x:row>
    <x:row r="1204">
      <x:c r="A1204" s="83" t="n">
        <x:v>1203</x:v>
      </x:c>
      <x:c r="B1204" s="84" t="n">
        <x:v>902</x:v>
      </x:c>
      <x:c r="C1204" s="84" t="n">
        <x:v>24</x:v>
      </x:c>
      <x:c r="D1204" s="89" t="n">
        <x:v>45301</x:v>
      </x:c>
      <x:c r="E1204" s="84" t="n">
        <x:v>3</x:v>
      </x:c>
      <x:c r="F1204" s="91" t="n">
        <x:v>2222.73</x:v>
      </x:c>
    </x:row>
    <x:row r="1205">
      <x:c r="A1205" s="83" t="n">
        <x:v>1204</x:v>
      </x:c>
      <x:c r="B1205" s="84" t="n">
        <x:v>903</x:v>
      </x:c>
      <x:c r="C1205" s="84" t="n">
        <x:v>33</x:v>
      </x:c>
      <x:c r="D1205" s="89" t="n">
        <x:v>45656</x:v>
      </x:c>
      <x:c r="E1205" s="84" t="n">
        <x:v>3</x:v>
      </x:c>
      <x:c r="F1205" s="91" t="n">
        <x:v>7040.76</x:v>
      </x:c>
    </x:row>
    <x:row r="1206">
      <x:c r="A1206" s="83" t="n">
        <x:v>1205</x:v>
      </x:c>
      <x:c r="B1206" s="84" t="n">
        <x:v>903</x:v>
      </x:c>
      <x:c r="C1206" s="84" t="n">
        <x:v>14</x:v>
      </x:c>
      <x:c r="D1206" s="89" t="n">
        <x:v>45656</x:v>
      </x:c>
      <x:c r="E1206" s="84" t="n">
        <x:v>2</x:v>
      </x:c>
      <x:c r="F1206" s="91" t="n">
        <x:v>351.44</x:v>
      </x:c>
    </x:row>
    <x:row r="1207">
      <x:c r="A1207" s="83" t="n">
        <x:v>1206</x:v>
      </x:c>
      <x:c r="B1207" s="84" t="n">
        <x:v>903</x:v>
      </x:c>
      <x:c r="C1207" s="84" t="n">
        <x:v>32</x:v>
      </x:c>
      <x:c r="D1207" s="89" t="n">
        <x:v>45656</x:v>
      </x:c>
      <x:c r="E1207" s="84" t="n">
        <x:v>3</x:v>
      </x:c>
      <x:c r="F1207" s="91" t="n">
        <x:v>5439.75</x:v>
      </x:c>
    </x:row>
    <x:row r="1208">
      <x:c r="A1208" s="83" t="n">
        <x:v>1207</x:v>
      </x:c>
      <x:c r="B1208" s="84" t="n">
        <x:v>905</x:v>
      </x:c>
      <x:c r="C1208" s="84" t="n">
        <x:v>59</x:v>
      </x:c>
      <x:c r="D1208" s="89" t="n">
        <x:v>45779</x:v>
      </x:c>
      <x:c r="E1208" s="84" t="n">
        <x:v>2</x:v>
      </x:c>
      <x:c r="F1208" s="91" t="n">
        <x:v>3032.9</x:v>
      </x:c>
    </x:row>
    <x:row r="1209">
      <x:c r="A1209" s="83" t="n">
        <x:v>1208</x:v>
      </x:c>
      <x:c r="B1209" s="84" t="n">
        <x:v>907</x:v>
      </x:c>
      <x:c r="C1209" s="84" t="n">
        <x:v>40</x:v>
      </x:c>
      <x:c r="D1209" s="89" t="n">
        <x:v>45363</x:v>
      </x:c>
      <x:c r="E1209" s="84" t="n">
        <x:v>1</x:v>
      </x:c>
      <x:c r="F1209" s="91" t="n">
        <x:v>2035.04</x:v>
      </x:c>
    </x:row>
    <x:row r="1210">
      <x:c r="A1210" s="83" t="n">
        <x:v>1209</x:v>
      </x:c>
      <x:c r="B1210" s="84" t="n">
        <x:v>908</x:v>
      </x:c>
      <x:c r="C1210" s="84" t="n">
        <x:v>8</x:v>
      </x:c>
      <x:c r="D1210" s="89" t="n">
        <x:v>45386</x:v>
      </x:c>
      <x:c r="E1210" s="84" t="n">
        <x:v>4</x:v>
      </x:c>
      <x:c r="F1210" s="91" t="n">
        <x:v>6664.76</x:v>
      </x:c>
    </x:row>
    <x:row r="1211">
      <x:c r="A1211" s="83" t="n">
        <x:v>1210</x:v>
      </x:c>
      <x:c r="B1211" s="84" t="n">
        <x:v>909</x:v>
      </x:c>
      <x:c r="C1211" s="84" t="n">
        <x:v>10</x:v>
      </x:c>
      <x:c r="D1211" s="89" t="n">
        <x:v>45231</x:v>
      </x:c>
      <x:c r="E1211" s="84" t="n">
        <x:v>1</x:v>
      </x:c>
      <x:c r="F1211" s="91" t="n">
        <x:v>874.86</x:v>
      </x:c>
    </x:row>
    <x:row r="1212">
      <x:c r="A1212" s="83" t="n">
        <x:v>1211</x:v>
      </x:c>
      <x:c r="B1212" s="84" t="n">
        <x:v>911</x:v>
      </x:c>
      <x:c r="C1212" s="84" t="n">
        <x:v>27</x:v>
      </x:c>
      <x:c r="D1212" s="89" t="n">
        <x:v>45480</x:v>
      </x:c>
      <x:c r="E1212" s="84" t="n">
        <x:v>4</x:v>
      </x:c>
      <x:c r="F1212" s="91" t="n">
        <x:v>642.76</x:v>
      </x:c>
    </x:row>
    <x:row r="1213">
      <x:c r="A1213" s="83" t="n">
        <x:v>1212</x:v>
      </x:c>
      <x:c r="B1213" s="84" t="n">
        <x:v>913</x:v>
      </x:c>
      <x:c r="C1213" s="84" t="n">
        <x:v>67</x:v>
      </x:c>
      <x:c r="D1213" s="89" t="n">
        <x:v>45553</x:v>
      </x:c>
      <x:c r="E1213" s="84" t="n">
        <x:v>2</x:v>
      </x:c>
      <x:c r="F1213" s="91" t="n">
        <x:v>2559.06</x:v>
      </x:c>
    </x:row>
    <x:row r="1214">
      <x:c r="A1214" s="83" t="n">
        <x:v>1213</x:v>
      </x:c>
      <x:c r="B1214" s="84" t="n">
        <x:v>913</x:v>
      </x:c>
      <x:c r="C1214" s="84" t="n">
        <x:v>61</x:v>
      </x:c>
      <x:c r="D1214" s="89" t="n">
        <x:v>45553</x:v>
      </x:c>
      <x:c r="E1214" s="84" t="n">
        <x:v>3</x:v>
      </x:c>
      <x:c r="F1214" s="91" t="n">
        <x:v>395.16</x:v>
      </x:c>
    </x:row>
    <x:row r="1215">
      <x:c r="A1215" s="83" t="n">
        <x:v>1214</x:v>
      </x:c>
      <x:c r="B1215" s="84" t="n">
        <x:v>913</x:v>
      </x:c>
      <x:c r="C1215" s="84" t="n">
        <x:v>65</x:v>
      </x:c>
      <x:c r="D1215" s="89" t="n">
        <x:v>45553</x:v>
      </x:c>
      <x:c r="E1215" s="84" t="n">
        <x:v>1</x:v>
      </x:c>
      <x:c r="F1215" s="91" t="n">
        <x:v>1254.84</x:v>
      </x:c>
    </x:row>
    <x:row r="1216">
      <x:c r="A1216" s="83" t="n">
        <x:v>1215</x:v>
      </x:c>
      <x:c r="B1216" s="84" t="n">
        <x:v>914</x:v>
      </x:c>
      <x:c r="C1216" s="84" t="n">
        <x:v>44</x:v>
      </x:c>
      <x:c r="D1216" s="89" t="n">
        <x:v>45228</x:v>
      </x:c>
      <x:c r="E1216" s="84" t="n">
        <x:v>2</x:v>
      </x:c>
      <x:c r="F1216" s="91" t="n">
        <x:v>2502.96</x:v>
      </x:c>
    </x:row>
    <x:row r="1217">
      <x:c r="A1217" s="83" t="n">
        <x:v>1216</x:v>
      </x:c>
      <x:c r="B1217" s="84" t="n">
        <x:v>914</x:v>
      </x:c>
      <x:c r="C1217" s="84" t="n">
        <x:v>9</x:v>
      </x:c>
      <x:c r="D1217" s="89" t="n">
        <x:v>45228</x:v>
      </x:c>
      <x:c r="E1217" s="84" t="n">
        <x:v>1</x:v>
      </x:c>
      <x:c r="F1217" s="91" t="n">
        <x:v>1575.06</x:v>
      </x:c>
    </x:row>
    <x:row r="1218">
      <x:c r="A1218" s="83" t="n">
        <x:v>1217</x:v>
      </x:c>
      <x:c r="B1218" s="84" t="n">
        <x:v>915</x:v>
      </x:c>
      <x:c r="C1218" s="84" t="n">
        <x:v>44</x:v>
      </x:c>
      <x:c r="D1218" s="89" t="n">
        <x:v>45005</x:v>
      </x:c>
      <x:c r="E1218" s="84" t="n">
        <x:v>3</x:v>
      </x:c>
      <x:c r="F1218" s="91" t="n">
        <x:v>3754.44</x:v>
      </x:c>
    </x:row>
    <x:row r="1219">
      <x:c r="A1219" s="83" t="n">
        <x:v>1218</x:v>
      </x:c>
      <x:c r="B1219" s="84" t="n">
        <x:v>919</x:v>
      </x:c>
      <x:c r="C1219" s="84" t="n">
        <x:v>25</x:v>
      </x:c>
      <x:c r="D1219" s="89" t="n">
        <x:v>45167</x:v>
      </x:c>
      <x:c r="E1219" s="84" t="n">
        <x:v>1</x:v>
      </x:c>
      <x:c r="F1219" s="91" t="n">
        <x:v>1079.45</x:v>
      </x:c>
    </x:row>
    <x:row r="1220">
      <x:c r="A1220" s="83" t="n">
        <x:v>1219</x:v>
      </x:c>
      <x:c r="B1220" s="84" t="n">
        <x:v>921</x:v>
      </x:c>
      <x:c r="C1220" s="84" t="n">
        <x:v>3</x:v>
      </x:c>
      <x:c r="D1220" s="89" t="n">
        <x:v>45722</x:v>
      </x:c>
      <x:c r="E1220" s="84" t="n">
        <x:v>3</x:v>
      </x:c>
      <x:c r="F1220" s="91" t="n">
        <x:v>3453.42</x:v>
      </x:c>
    </x:row>
    <x:row r="1221">
      <x:c r="A1221" s="83" t="n">
        <x:v>1220</x:v>
      </x:c>
      <x:c r="B1221" s="84" t="n">
        <x:v>921</x:v>
      </x:c>
      <x:c r="C1221" s="84" t="n">
        <x:v>9</x:v>
      </x:c>
      <x:c r="D1221" s="89" t="n">
        <x:v>45722</x:v>
      </x:c>
      <x:c r="E1221" s="84" t="n">
        <x:v>1</x:v>
      </x:c>
      <x:c r="F1221" s="91" t="n">
        <x:v>1575.06</x:v>
      </x:c>
    </x:row>
    <x:row r="1222">
      <x:c r="A1222" s="83" t="n">
        <x:v>1221</x:v>
      </x:c>
      <x:c r="B1222" s="84" t="n">
        <x:v>922</x:v>
      </x:c>
      <x:c r="C1222" s="84" t="n">
        <x:v>43</x:v>
      </x:c>
      <x:c r="D1222" s="89" t="n">
        <x:v>45948</x:v>
      </x:c>
      <x:c r="E1222" s="84" t="n">
        <x:v>3</x:v>
      </x:c>
      <x:c r="F1222" s="91" t="n">
        <x:v>4396.26</x:v>
      </x:c>
    </x:row>
    <x:row r="1223">
      <x:c r="A1223" s="83" t="n">
        <x:v>1222</x:v>
      </x:c>
      <x:c r="B1223" s="84" t="n">
        <x:v>923</x:v>
      </x:c>
      <x:c r="C1223" s="84" t="n">
        <x:v>78</x:v>
      </x:c>
      <x:c r="D1223" s="89" t="n">
        <x:v>45072</x:v>
      </x:c>
      <x:c r="E1223" s="84" t="n">
        <x:v>3</x:v>
      </x:c>
      <x:c r="F1223" s="91" t="n">
        <x:v>850.8</x:v>
      </x:c>
    </x:row>
    <x:row r="1224">
      <x:c r="A1224" s="83" t="n">
        <x:v>1223</x:v>
      </x:c>
      <x:c r="B1224" s="84" t="n">
        <x:v>923</x:v>
      </x:c>
      <x:c r="C1224" s="84" t="n">
        <x:v>35</x:v>
      </x:c>
      <x:c r="D1224" s="89" t="n">
        <x:v>45072</x:v>
      </x:c>
      <x:c r="E1224" s="84" t="n">
        <x:v>3</x:v>
      </x:c>
      <x:c r="F1224" s="91" t="n">
        <x:v>4412.34</x:v>
      </x:c>
    </x:row>
    <x:row r="1225">
      <x:c r="A1225" s="83" t="n">
        <x:v>1224</x:v>
      </x:c>
      <x:c r="B1225" s="84" t="n">
        <x:v>923</x:v>
      </x:c>
      <x:c r="C1225" s="84" t="n">
        <x:v>51</x:v>
      </x:c>
      <x:c r="D1225" s="89" t="n">
        <x:v>45072</x:v>
      </x:c>
      <x:c r="E1225" s="84" t="n">
        <x:v>3</x:v>
      </x:c>
      <x:c r="F1225" s="91" t="n">
        <x:v>2676.48</x:v>
      </x:c>
    </x:row>
    <x:row r="1226">
      <x:c r="A1226" s="83" t="n">
        <x:v>1225</x:v>
      </x:c>
      <x:c r="B1226" s="84" t="n">
        <x:v>924</x:v>
      </x:c>
      <x:c r="C1226" s="84" t="n">
        <x:v>1</x:v>
      </x:c>
      <x:c r="D1226" s="89" t="n">
        <x:v>45587</x:v>
      </x:c>
      <x:c r="E1226" s="84" t="n">
        <x:v>3</x:v>
      </x:c>
      <x:c r="F1226" s="91" t="n">
        <x:v>5218.8</x:v>
      </x:c>
    </x:row>
    <x:row r="1227">
      <x:c r="A1227" s="83" t="n">
        <x:v>1226</x:v>
      </x:c>
      <x:c r="B1227" s="84" t="n">
        <x:v>924</x:v>
      </x:c>
      <x:c r="C1227" s="84" t="n">
        <x:v>14</x:v>
      </x:c>
      <x:c r="D1227" s="89" t="n">
        <x:v>45587</x:v>
      </x:c>
      <x:c r="E1227" s="84" t="n">
        <x:v>3</x:v>
      </x:c>
      <x:c r="F1227" s="91" t="n">
        <x:v>527.16</x:v>
      </x:c>
    </x:row>
    <x:row r="1228">
      <x:c r="A1228" s="83" t="n">
        <x:v>1227</x:v>
      </x:c>
      <x:c r="B1228" s="84" t="n">
        <x:v>924</x:v>
      </x:c>
      <x:c r="C1228" s="84" t="n">
        <x:v>51</x:v>
      </x:c>
      <x:c r="D1228" s="89" t="n">
        <x:v>45587</x:v>
      </x:c>
      <x:c r="E1228" s="84" t="n">
        <x:v>2</x:v>
      </x:c>
      <x:c r="F1228" s="91" t="n">
        <x:v>1784.32</x:v>
      </x:c>
    </x:row>
    <x:row r="1229">
      <x:c r="A1229" s="83" t="n">
        <x:v>1228</x:v>
      </x:c>
      <x:c r="B1229" s="84" t="n">
        <x:v>925</x:v>
      </x:c>
      <x:c r="C1229" s="84" t="n">
        <x:v>8</x:v>
      </x:c>
      <x:c r="D1229" s="89" t="n">
        <x:v>45292</x:v>
      </x:c>
      <x:c r="E1229" s="84" t="n">
        <x:v>1</x:v>
      </x:c>
      <x:c r="F1229" s="91" t="n">
        <x:v>1666.19</x:v>
      </x:c>
    </x:row>
    <x:row r="1230">
      <x:c r="A1230" s="83" t="n">
        <x:v>1229</x:v>
      </x:c>
      <x:c r="B1230" s="84" t="n">
        <x:v>926</x:v>
      </x:c>
      <x:c r="C1230" s="84" t="n">
        <x:v>48</x:v>
      </x:c>
      <x:c r="D1230" s="89" t="n">
        <x:v>46004</x:v>
      </x:c>
      <x:c r="E1230" s="84" t="n">
        <x:v>1</x:v>
      </x:c>
      <x:c r="F1230" s="91" t="n">
        <x:v>1161.45</x:v>
      </x:c>
    </x:row>
    <x:row r="1231">
      <x:c r="A1231" s="83" t="n">
        <x:v>1230</x:v>
      </x:c>
      <x:c r="B1231" s="84" t="n">
        <x:v>928</x:v>
      </x:c>
      <x:c r="C1231" s="84" t="n">
        <x:v>38</x:v>
      </x:c>
      <x:c r="D1231" s="89" t="n">
        <x:v>45767</x:v>
      </x:c>
      <x:c r="E1231" s="84" t="n">
        <x:v>3</x:v>
      </x:c>
      <x:c r="F1231" s="91" t="n">
        <x:v>2179.47</x:v>
      </x:c>
    </x:row>
    <x:row r="1232">
      <x:c r="A1232" s="83" t="n">
        <x:v>1231</x:v>
      </x:c>
      <x:c r="B1232" s="84" t="n">
        <x:v>928</x:v>
      </x:c>
      <x:c r="C1232" s="84" t="n">
        <x:v>8</x:v>
      </x:c>
      <x:c r="D1232" s="89" t="n">
        <x:v>45767</x:v>
      </x:c>
      <x:c r="E1232" s="84" t="n">
        <x:v>2</x:v>
      </x:c>
      <x:c r="F1232" s="91" t="n">
        <x:v>3332.38</x:v>
      </x:c>
    </x:row>
    <x:row r="1233">
      <x:c r="A1233" s="83" t="n">
        <x:v>1232</x:v>
      </x:c>
      <x:c r="B1233" s="84" t="n">
        <x:v>928</x:v>
      </x:c>
      <x:c r="C1233" s="84" t="n">
        <x:v>54</x:v>
      </x:c>
      <x:c r="D1233" s="89" t="n">
        <x:v>45767</x:v>
      </x:c>
      <x:c r="E1233" s="84" t="n">
        <x:v>3</x:v>
      </x:c>
      <x:c r="F1233" s="91" t="n">
        <x:v>2059.2</x:v>
      </x:c>
    </x:row>
    <x:row r="1234">
      <x:c r="A1234" s="83" t="n">
        <x:v>1233</x:v>
      </x:c>
      <x:c r="B1234" s="84" t="n">
        <x:v>929</x:v>
      </x:c>
      <x:c r="C1234" s="84" t="n">
        <x:v>52</x:v>
      </x:c>
      <x:c r="D1234" s="89" t="n">
        <x:v>45376</x:v>
      </x:c>
      <x:c r="E1234" s="84" t="n">
        <x:v>2</x:v>
      </x:c>
      <x:c r="F1234" s="91" t="n">
        <x:v>1761.26</x:v>
      </x:c>
    </x:row>
    <x:row r="1235">
      <x:c r="A1235" s="83" t="n">
        <x:v>1234</x:v>
      </x:c>
      <x:c r="B1235" s="84" t="n">
        <x:v>929</x:v>
      </x:c>
      <x:c r="C1235" s="84" t="n">
        <x:v>70</x:v>
      </x:c>
      <x:c r="D1235" s="89" t="n">
        <x:v>45376</x:v>
      </x:c>
      <x:c r="E1235" s="84" t="n">
        <x:v>4</x:v>
      </x:c>
      <x:c r="F1235" s="91" t="n">
        <x:v>3078.16</x:v>
      </x:c>
    </x:row>
    <x:row r="1236">
      <x:c r="A1236" s="83" t="n">
        <x:v>1235</x:v>
      </x:c>
      <x:c r="B1236" s="84" t="n">
        <x:v>929</x:v>
      </x:c>
      <x:c r="C1236" s="84" t="n">
        <x:v>66</x:v>
      </x:c>
      <x:c r="D1236" s="89" t="n">
        <x:v>45376</x:v>
      </x:c>
      <x:c r="E1236" s="84" t="n">
        <x:v>1</x:v>
      </x:c>
      <x:c r="F1236" s="91" t="n">
        <x:v>1912.45</x:v>
      </x:c>
    </x:row>
    <x:row r="1237">
      <x:c r="A1237" s="83" t="n">
        <x:v>1236</x:v>
      </x:c>
      <x:c r="B1237" s="84" t="n">
        <x:v>931</x:v>
      </x:c>
      <x:c r="C1237" s="84" t="n">
        <x:v>68</x:v>
      </x:c>
      <x:c r="D1237" s="89" t="n">
        <x:v>45844</x:v>
      </x:c>
      <x:c r="E1237" s="84" t="n">
        <x:v>4</x:v>
      </x:c>
      <x:c r="F1237" s="91" t="n">
        <x:v>6110.44</x:v>
      </x:c>
    </x:row>
    <x:row r="1238">
      <x:c r="A1238" s="83" t="n">
        <x:v>1237</x:v>
      </x:c>
      <x:c r="B1238" s="84" t="n">
        <x:v>933</x:v>
      </x:c>
      <x:c r="C1238" s="84" t="n">
        <x:v>30</x:v>
      </x:c>
      <x:c r="D1238" s="89" t="n">
        <x:v>45192</x:v>
      </x:c>
      <x:c r="E1238" s="84" t="n">
        <x:v>4</x:v>
      </x:c>
      <x:c r="F1238" s="91" t="n">
        <x:v>5115.04</x:v>
      </x:c>
    </x:row>
    <x:row r="1239">
      <x:c r="A1239" s="83" t="n">
        <x:v>1238</x:v>
      </x:c>
      <x:c r="B1239" s="84" t="n">
        <x:v>933</x:v>
      </x:c>
      <x:c r="C1239" s="84" t="n">
        <x:v>1</x:v>
      </x:c>
      <x:c r="D1239" s="89" t="n">
        <x:v>45192</x:v>
      </x:c>
      <x:c r="E1239" s="84" t="n">
        <x:v>4</x:v>
      </x:c>
      <x:c r="F1239" s="91" t="n">
        <x:v>6958.4</x:v>
      </x:c>
    </x:row>
    <x:row r="1240">
      <x:c r="A1240" s="83" t="n">
        <x:v>1239</x:v>
      </x:c>
      <x:c r="B1240" s="84" t="n">
        <x:v>934</x:v>
      </x:c>
      <x:c r="C1240" s="84" t="n">
        <x:v>71</x:v>
      </x:c>
      <x:c r="D1240" s="89" t="n">
        <x:v>44984</x:v>
      </x:c>
      <x:c r="E1240" s="84" t="n">
        <x:v>1</x:v>
      </x:c>
      <x:c r="F1240" s="91" t="n">
        <x:v>1983.52</x:v>
      </x:c>
    </x:row>
    <x:row r="1241">
      <x:c r="A1241" s="83" t="n">
        <x:v>1240</x:v>
      </x:c>
      <x:c r="B1241" s="84" t="n">
        <x:v>935</x:v>
      </x:c>
      <x:c r="C1241" s="84" t="n">
        <x:v>59</x:v>
      </x:c>
      <x:c r="D1241" s="89" t="n">
        <x:v>45820</x:v>
      </x:c>
      <x:c r="E1241" s="84" t="n">
        <x:v>2</x:v>
      </x:c>
      <x:c r="F1241" s="91" t="n">
        <x:v>3032.9</x:v>
      </x:c>
    </x:row>
    <x:row r="1242">
      <x:c r="A1242" s="83" t="n">
        <x:v>1241</x:v>
      </x:c>
      <x:c r="B1242" s="84" t="n">
        <x:v>935</x:v>
      </x:c>
      <x:c r="C1242" s="84" t="n">
        <x:v>71</x:v>
      </x:c>
      <x:c r="D1242" s="89" t="n">
        <x:v>45820</x:v>
      </x:c>
      <x:c r="E1242" s="84" t="n">
        <x:v>3</x:v>
      </x:c>
      <x:c r="F1242" s="91" t="n">
        <x:v>5950.56</x:v>
      </x:c>
    </x:row>
    <x:row r="1243">
      <x:c r="A1243" s="83" t="n">
        <x:v>1242</x:v>
      </x:c>
      <x:c r="B1243" s="84" t="n">
        <x:v>935</x:v>
      </x:c>
      <x:c r="C1243" s="84" t="n">
        <x:v>66</x:v>
      </x:c>
      <x:c r="D1243" s="89" t="n">
        <x:v>45820</x:v>
      </x:c>
      <x:c r="E1243" s="84" t="n">
        <x:v>3</x:v>
      </x:c>
      <x:c r="F1243" s="91" t="n">
        <x:v>5737.35</x:v>
      </x:c>
    </x:row>
    <x:row r="1244">
      <x:c r="A1244" s="83" t="n">
        <x:v>1243</x:v>
      </x:c>
      <x:c r="B1244" s="84" t="n">
        <x:v>937</x:v>
      </x:c>
      <x:c r="C1244" s="84" t="n">
        <x:v>68</x:v>
      </x:c>
      <x:c r="D1244" s="89" t="n">
        <x:v>45713</x:v>
      </x:c>
      <x:c r="E1244" s="84" t="n">
        <x:v>3</x:v>
      </x:c>
      <x:c r="F1244" s="91" t="n">
        <x:v>4582.83</x:v>
      </x:c>
    </x:row>
    <x:row r="1245">
      <x:c r="A1245" s="83" t="n">
        <x:v>1244</x:v>
      </x:c>
      <x:c r="B1245" s="84" t="n">
        <x:v>937</x:v>
      </x:c>
      <x:c r="C1245" s="84" t="n">
        <x:v>54</x:v>
      </x:c>
      <x:c r="D1245" s="89" t="n">
        <x:v>45713</x:v>
      </x:c>
      <x:c r="E1245" s="84" t="n">
        <x:v>3</x:v>
      </x:c>
      <x:c r="F1245" s="91" t="n">
        <x:v>2059.2</x:v>
      </x:c>
    </x:row>
    <x:row r="1246">
      <x:c r="A1246" s="83" t="n">
        <x:v>1245</x:v>
      </x:c>
      <x:c r="B1246" s="84" t="n">
        <x:v>937</x:v>
      </x:c>
      <x:c r="C1246" s="84" t="n">
        <x:v>51</x:v>
      </x:c>
      <x:c r="D1246" s="89" t="n">
        <x:v>45713</x:v>
      </x:c>
      <x:c r="E1246" s="84" t="n">
        <x:v>2</x:v>
      </x:c>
      <x:c r="F1246" s="91" t="n">
        <x:v>1784.32</x:v>
      </x:c>
    </x:row>
    <x:row r="1247">
      <x:c r="A1247" s="83" t="n">
        <x:v>1246</x:v>
      </x:c>
      <x:c r="B1247" s="84" t="n">
        <x:v>938</x:v>
      </x:c>
      <x:c r="C1247" s="84" t="n">
        <x:v>46</x:v>
      </x:c>
      <x:c r="D1247" s="89" t="n">
        <x:v>45296</x:v>
      </x:c>
      <x:c r="E1247" s="84" t="n">
        <x:v>3</x:v>
      </x:c>
      <x:c r="F1247" s="91" t="n">
        <x:v>4004.85</x:v>
      </x:c>
    </x:row>
    <x:row r="1248">
      <x:c r="A1248" s="83" t="n">
        <x:v>1247</x:v>
      </x:c>
      <x:c r="B1248" s="84" t="n">
        <x:v>938</x:v>
      </x:c>
      <x:c r="C1248" s="84" t="n">
        <x:v>45</x:v>
      </x:c>
      <x:c r="D1248" s="89" t="n">
        <x:v>45296</x:v>
      </x:c>
      <x:c r="E1248" s="84" t="n">
        <x:v>3</x:v>
      </x:c>
      <x:c r="F1248" s="91" t="n">
        <x:v>4174.26</x:v>
      </x:c>
    </x:row>
    <x:row r="1249">
      <x:c r="A1249" s="83" t="n">
        <x:v>1248</x:v>
      </x:c>
      <x:c r="B1249" s="84" t="n">
        <x:v>941</x:v>
      </x:c>
      <x:c r="C1249" s="84" t="n">
        <x:v>3</x:v>
      </x:c>
      <x:c r="D1249" s="89" t="n">
        <x:v>46023</x:v>
      </x:c>
      <x:c r="E1249" s="84" t="n">
        <x:v>1</x:v>
      </x:c>
      <x:c r="F1249" s="91" t="n">
        <x:v>1151.14</x:v>
      </x:c>
    </x:row>
    <x:row r="1250">
      <x:c r="A1250" s="83" t="n">
        <x:v>1249</x:v>
      </x:c>
      <x:c r="B1250" s="84" t="n">
        <x:v>941</x:v>
      </x:c>
      <x:c r="C1250" s="84" t="n">
        <x:v>43</x:v>
      </x:c>
      <x:c r="D1250" s="89" t="n">
        <x:v>46023</x:v>
      </x:c>
      <x:c r="E1250" s="84" t="n">
        <x:v>4</x:v>
      </x:c>
      <x:c r="F1250" s="91" t="n">
        <x:v>5861.68</x:v>
      </x:c>
    </x:row>
    <x:row r="1251">
      <x:c r="A1251" s="83" t="n">
        <x:v>1250</x:v>
      </x:c>
      <x:c r="B1251" s="84" t="n">
        <x:v>941</x:v>
      </x:c>
      <x:c r="C1251" s="84" t="n">
        <x:v>26</x:v>
      </x:c>
      <x:c r="D1251" s="89" t="n">
        <x:v>46023</x:v>
      </x:c>
      <x:c r="E1251" s="84" t="n">
        <x:v>2</x:v>
      </x:c>
      <x:c r="F1251" s="91" t="n">
        <x:v>4302</x:v>
      </x:c>
    </x:row>
    <x:row r="1252">
      <x:c r="A1252" s="83" t="n">
        <x:v>1251</x:v>
      </x:c>
      <x:c r="B1252" s="84" t="n">
        <x:v>942</x:v>
      </x:c>
      <x:c r="C1252" s="84" t="n">
        <x:v>17</x:v>
      </x:c>
      <x:c r="D1252" s="89" t="n">
        <x:v>45107</x:v>
      </x:c>
      <x:c r="E1252" s="84" t="n">
        <x:v>1</x:v>
      </x:c>
      <x:c r="F1252" s="91" t="n">
        <x:v>2356.42</x:v>
      </x:c>
    </x:row>
    <x:row r="1253">
      <x:c r="A1253" s="83" t="n">
        <x:v>1252</x:v>
      </x:c>
      <x:c r="B1253" s="84" t="n">
        <x:v>942</x:v>
      </x:c>
      <x:c r="C1253" s="84" t="n">
        <x:v>13</x:v>
      </x:c>
      <x:c r="D1253" s="89" t="n">
        <x:v>45107</x:v>
      </x:c>
      <x:c r="E1253" s="84" t="n">
        <x:v>1</x:v>
      </x:c>
      <x:c r="F1253" s="91" t="n">
        <x:v>802.05</x:v>
      </x:c>
    </x:row>
    <x:row r="1254">
      <x:c r="A1254" s="83" t="n">
        <x:v>1253</x:v>
      </x:c>
      <x:c r="B1254" s="84" t="n">
        <x:v>944</x:v>
      </x:c>
      <x:c r="C1254" s="84" t="n">
        <x:v>70</x:v>
      </x:c>
      <x:c r="D1254" s="89" t="n">
        <x:v>45492</x:v>
      </x:c>
      <x:c r="E1254" s="84" t="n">
        <x:v>1</x:v>
      </x:c>
      <x:c r="F1254" s="91" t="n">
        <x:v>769.54</x:v>
      </x:c>
    </x:row>
    <x:row r="1255">
      <x:c r="A1255" s="83" t="n">
        <x:v>1254</x:v>
      </x:c>
      <x:c r="B1255" s="84" t="n">
        <x:v>946</x:v>
      </x:c>
      <x:c r="C1255" s="84" t="n">
        <x:v>12</x:v>
      </x:c>
      <x:c r="D1255" s="89" t="n">
        <x:v>45299</x:v>
      </x:c>
      <x:c r="E1255" s="84" t="n">
        <x:v>3</x:v>
      </x:c>
      <x:c r="F1255" s="91" t="n">
        <x:v>853.47</x:v>
      </x:c>
    </x:row>
    <x:row r="1256">
      <x:c r="A1256" s="83" t="n">
        <x:v>1255</x:v>
      </x:c>
      <x:c r="B1256" s="84" t="n">
        <x:v>947</x:v>
      </x:c>
      <x:c r="C1256" s="84" t="n">
        <x:v>51</x:v>
      </x:c>
      <x:c r="D1256" s="89" t="n">
        <x:v>45646</x:v>
      </x:c>
      <x:c r="E1256" s="84" t="n">
        <x:v>4</x:v>
      </x:c>
      <x:c r="F1256" s="91" t="n">
        <x:v>3568.64</x:v>
      </x:c>
    </x:row>
    <x:row r="1257">
      <x:c r="A1257" s="83" t="n">
        <x:v>1256</x:v>
      </x:c>
      <x:c r="B1257" s="84" t="n">
        <x:v>948</x:v>
      </x:c>
      <x:c r="C1257" s="84" t="n">
        <x:v>31</x:v>
      </x:c>
      <x:c r="D1257" s="89" t="n">
        <x:v>45943</x:v>
      </x:c>
      <x:c r="E1257" s="84" t="n">
        <x:v>1</x:v>
      </x:c>
      <x:c r="F1257" s="91" t="n">
        <x:v>2169.63</x:v>
      </x:c>
    </x:row>
    <x:row r="1258">
      <x:c r="A1258" s="83" t="n">
        <x:v>1257</x:v>
      </x:c>
      <x:c r="B1258" s="84" t="n">
        <x:v>950</x:v>
      </x:c>
      <x:c r="C1258" s="84" t="n">
        <x:v>55</x:v>
      </x:c>
      <x:c r="D1258" s="89" t="n">
        <x:v>45043</x:v>
      </x:c>
      <x:c r="E1258" s="84" t="n">
        <x:v>4</x:v>
      </x:c>
      <x:c r="F1258" s="91" t="n">
        <x:v>5999.4</x:v>
      </x:c>
    </x:row>
    <x:row r="1259">
      <x:c r="A1259" s="83" t="n">
        <x:v>1258</x:v>
      </x:c>
      <x:c r="B1259" s="84" t="n">
        <x:v>953</x:v>
      </x:c>
      <x:c r="C1259" s="84" t="n">
        <x:v>54</x:v>
      </x:c>
      <x:c r="D1259" s="89" t="n">
        <x:v>45849</x:v>
      </x:c>
      <x:c r="E1259" s="84" t="n">
        <x:v>1</x:v>
      </x:c>
      <x:c r="F1259" s="91" t="n">
        <x:v>686.4</x:v>
      </x:c>
    </x:row>
    <x:row r="1260">
      <x:c r="A1260" s="83" t="n">
        <x:v>1259</x:v>
      </x:c>
      <x:c r="B1260" s="84" t="n">
        <x:v>956</x:v>
      </x:c>
      <x:c r="C1260" s="84" t="n">
        <x:v>70</x:v>
      </x:c>
      <x:c r="D1260" s="89" t="n">
        <x:v>45409</x:v>
      </x:c>
      <x:c r="E1260" s="84" t="n">
        <x:v>2</x:v>
      </x:c>
      <x:c r="F1260" s="91" t="n">
        <x:v>1539.08</x:v>
      </x:c>
    </x:row>
    <x:row r="1261">
      <x:c r="A1261" s="83" t="n">
        <x:v>1260</x:v>
      </x:c>
      <x:c r="B1261" s="84" t="n">
        <x:v>956</x:v>
      </x:c>
      <x:c r="C1261" s="84" t="n">
        <x:v>26</x:v>
      </x:c>
      <x:c r="D1261" s="89" t="n">
        <x:v>45409</x:v>
      </x:c>
      <x:c r="E1261" s="84" t="n">
        <x:v>1</x:v>
      </x:c>
      <x:c r="F1261" s="91" t="n">
        <x:v>2151</x:v>
      </x:c>
    </x:row>
    <x:row r="1262">
      <x:c r="A1262" s="83" t="n">
        <x:v>1261</x:v>
      </x:c>
      <x:c r="B1262" s="84" t="n">
        <x:v>957</x:v>
      </x:c>
      <x:c r="C1262" s="84" t="n">
        <x:v>29</x:v>
      </x:c>
      <x:c r="D1262" s="89" t="n">
        <x:v>45597</x:v>
      </x:c>
      <x:c r="E1262" s="84" t="n">
        <x:v>1</x:v>
      </x:c>
      <x:c r="F1262" s="91" t="n">
        <x:v>1552.47</x:v>
      </x:c>
    </x:row>
    <x:row r="1263">
      <x:c r="A1263" s="83" t="n">
        <x:v>1262</x:v>
      </x:c>
      <x:c r="B1263" s="84" t="n">
        <x:v>957</x:v>
      </x:c>
      <x:c r="C1263" s="84" t="n">
        <x:v>40</x:v>
      </x:c>
      <x:c r="D1263" s="89" t="n">
        <x:v>45597</x:v>
      </x:c>
      <x:c r="E1263" s="84" t="n">
        <x:v>3</x:v>
      </x:c>
      <x:c r="F1263" s="91" t="n">
        <x:v>6105.12</x:v>
      </x:c>
    </x:row>
    <x:row r="1264">
      <x:c r="A1264" s="83" t="n">
        <x:v>1263</x:v>
      </x:c>
      <x:c r="B1264" s="84" t="n">
        <x:v>958</x:v>
      </x:c>
      <x:c r="C1264" s="84" t="n">
        <x:v>23</x:v>
      </x:c>
      <x:c r="D1264" s="89" t="n">
        <x:v>45518</x:v>
      </x:c>
      <x:c r="E1264" s="84" t="n">
        <x:v>3</x:v>
      </x:c>
      <x:c r="F1264" s="91" t="n">
        <x:v>5258.55</x:v>
      </x:c>
    </x:row>
    <x:row r="1265">
      <x:c r="A1265" s="83" t="n">
        <x:v>1264</x:v>
      </x:c>
      <x:c r="B1265" s="84" t="n">
        <x:v>958</x:v>
      </x:c>
      <x:c r="C1265" s="84" t="n">
        <x:v>18</x:v>
      </x:c>
      <x:c r="D1265" s="89" t="n">
        <x:v>45518</x:v>
      </x:c>
      <x:c r="E1265" s="84" t="n">
        <x:v>4</x:v>
      </x:c>
      <x:c r="F1265" s="91" t="n">
        <x:v>2664.64</x:v>
      </x:c>
    </x:row>
    <x:row r="1266">
      <x:c r="A1266" s="83" t="n">
        <x:v>1265</x:v>
      </x:c>
      <x:c r="B1266" s="84" t="n">
        <x:v>958</x:v>
      </x:c>
      <x:c r="C1266" s="84" t="n">
        <x:v>34</x:v>
      </x:c>
      <x:c r="D1266" s="89" t="n">
        <x:v>45518</x:v>
      </x:c>
      <x:c r="E1266" s="84" t="n">
        <x:v>4</x:v>
      </x:c>
      <x:c r="F1266" s="91" t="n">
        <x:v>7908.36</x:v>
      </x:c>
    </x:row>
    <x:row r="1267">
      <x:c r="A1267" s="83" t="n">
        <x:v>1266</x:v>
      </x:c>
      <x:c r="B1267" s="84" t="n">
        <x:v>959</x:v>
      </x:c>
      <x:c r="C1267" s="84" t="n">
        <x:v>67</x:v>
      </x:c>
      <x:c r="D1267" s="89" t="n">
        <x:v>44964</x:v>
      </x:c>
      <x:c r="E1267" s="84" t="n">
        <x:v>2</x:v>
      </x:c>
      <x:c r="F1267" s="91" t="n">
        <x:v>2559.06</x:v>
      </x:c>
    </x:row>
    <x:row r="1268">
      <x:c r="A1268" s="83" t="n">
        <x:v>1267</x:v>
      </x:c>
      <x:c r="B1268" s="84" t="n">
        <x:v>959</x:v>
      </x:c>
      <x:c r="C1268" s="84" t="n">
        <x:v>60</x:v>
      </x:c>
      <x:c r="D1268" s="89" t="n">
        <x:v>44964</x:v>
      </x:c>
      <x:c r="E1268" s="84" t="n">
        <x:v>2</x:v>
      </x:c>
      <x:c r="F1268" s="91" t="n">
        <x:v>707.6</x:v>
      </x:c>
    </x:row>
    <x:row r="1269">
      <x:c r="A1269" s="83" t="n">
        <x:v>1268</x:v>
      </x:c>
      <x:c r="B1269" s="84" t="n">
        <x:v>959</x:v>
      </x:c>
      <x:c r="C1269" s="84" t="n">
        <x:v>41</x:v>
      </x:c>
      <x:c r="D1269" s="89" t="n">
        <x:v>44964</x:v>
      </x:c>
      <x:c r="E1269" s="84" t="n">
        <x:v>4</x:v>
      </x:c>
      <x:c r="F1269" s="91" t="n">
        <x:v>4728.08</x:v>
      </x:c>
    </x:row>
    <x:row r="1270">
      <x:c r="A1270" s="83" t="n">
        <x:v>1269</x:v>
      </x:c>
      <x:c r="B1270" s="84" t="n">
        <x:v>961</x:v>
      </x:c>
      <x:c r="C1270" s="84" t="n">
        <x:v>74</x:v>
      </x:c>
      <x:c r="D1270" s="89" t="n">
        <x:v>45721</x:v>
      </x:c>
      <x:c r="E1270" s="84" t="n">
        <x:v>3</x:v>
      </x:c>
      <x:c r="F1270" s="91" t="n">
        <x:v>4969.05</x:v>
      </x:c>
    </x:row>
    <x:row r="1271">
      <x:c r="A1271" s="83" t="n">
        <x:v>1270</x:v>
      </x:c>
      <x:c r="B1271" s="84" t="n">
        <x:v>962</x:v>
      </x:c>
      <x:c r="C1271" s="84" t="n">
        <x:v>71</x:v>
      </x:c>
      <x:c r="D1271" s="89" t="n">
        <x:v>45430</x:v>
      </x:c>
      <x:c r="E1271" s="84" t="n">
        <x:v>1</x:v>
      </x:c>
      <x:c r="F1271" s="91" t="n">
        <x:v>1983.52</x:v>
      </x:c>
    </x:row>
    <x:row r="1272">
      <x:c r="A1272" s="83" t="n">
        <x:v>1271</x:v>
      </x:c>
      <x:c r="B1272" s="84" t="n">
        <x:v>964</x:v>
      </x:c>
      <x:c r="C1272" s="84" t="n">
        <x:v>66</x:v>
      </x:c>
      <x:c r="D1272" s="89" t="n">
        <x:v>45358</x:v>
      </x:c>
      <x:c r="E1272" s="84" t="n">
        <x:v>2</x:v>
      </x:c>
      <x:c r="F1272" s="91" t="n">
        <x:v>3824.9</x:v>
      </x:c>
    </x:row>
    <x:row r="1273">
      <x:c r="A1273" s="83" t="n">
        <x:v>1272</x:v>
      </x:c>
      <x:c r="B1273" s="84" t="n">
        <x:v>964</x:v>
      </x:c>
      <x:c r="C1273" s="84" t="n">
        <x:v>54</x:v>
      </x:c>
      <x:c r="D1273" s="89" t="n">
        <x:v>45358</x:v>
      </x:c>
      <x:c r="E1273" s="84" t="n">
        <x:v>2</x:v>
      </x:c>
      <x:c r="F1273" s="91" t="n">
        <x:v>1372.8</x:v>
      </x:c>
    </x:row>
    <x:row r="1274">
      <x:c r="A1274" s="83" t="n">
        <x:v>1273</x:v>
      </x:c>
      <x:c r="B1274" s="84" t="n">
        <x:v>966</x:v>
      </x:c>
      <x:c r="C1274" s="84" t="n">
        <x:v>70</x:v>
      </x:c>
      <x:c r="D1274" s="89" t="n">
        <x:v>45552</x:v>
      </x:c>
      <x:c r="E1274" s="84" t="n">
        <x:v>2</x:v>
      </x:c>
      <x:c r="F1274" s="91" t="n">
        <x:v>1539.08</x:v>
      </x:c>
    </x:row>
    <x:row r="1275">
      <x:c r="A1275" s="83" t="n">
        <x:v>1274</x:v>
      </x:c>
      <x:c r="B1275" s="84" t="n">
        <x:v>966</x:v>
      </x:c>
      <x:c r="C1275" s="84" t="n">
        <x:v>76</x:v>
      </x:c>
      <x:c r="D1275" s="89" t="n">
        <x:v>45552</x:v>
      </x:c>
      <x:c r="E1275" s="84" t="n">
        <x:v>1</x:v>
      </x:c>
      <x:c r="F1275" s="91" t="n">
        <x:v>719.81</x:v>
      </x:c>
    </x:row>
    <x:row r="1276">
      <x:c r="A1276" s="83" t="n">
        <x:v>1275</x:v>
      </x:c>
      <x:c r="B1276" s="84" t="n">
        <x:v>966</x:v>
      </x:c>
      <x:c r="C1276" s="84" t="n">
        <x:v>53</x:v>
      </x:c>
      <x:c r="D1276" s="89" t="n">
        <x:v>45552</x:v>
      </x:c>
      <x:c r="E1276" s="84" t="n">
        <x:v>4</x:v>
      </x:c>
      <x:c r="F1276" s="91" t="n">
        <x:v>6363.68</x:v>
      </x:c>
    </x:row>
    <x:row r="1277">
      <x:c r="A1277" s="83" t="n">
        <x:v>1276</x:v>
      </x:c>
      <x:c r="B1277" s="84" t="n">
        <x:v>970</x:v>
      </x:c>
      <x:c r="C1277" s="84" t="n">
        <x:v>72</x:v>
      </x:c>
      <x:c r="D1277" s="89" t="n">
        <x:v>45918</x:v>
      </x:c>
      <x:c r="E1277" s="84" t="n">
        <x:v>2</x:v>
      </x:c>
      <x:c r="F1277" s="91" t="n">
        <x:v>901.66</x:v>
      </x:c>
    </x:row>
    <x:row r="1278">
      <x:c r="A1278" s="83" t="n">
        <x:v>1277</x:v>
      </x:c>
      <x:c r="B1278" s="84" t="n">
        <x:v>970</x:v>
      </x:c>
      <x:c r="C1278" s="84" t="n">
        <x:v>42</x:v>
      </x:c>
      <x:c r="D1278" s="89" t="n">
        <x:v>45918</x:v>
      </x:c>
      <x:c r="E1278" s="84" t="n">
        <x:v>3</x:v>
      </x:c>
      <x:c r="F1278" s="91" t="n">
        <x:v>6515.22</x:v>
      </x:c>
    </x:row>
    <x:row r="1279">
      <x:c r="A1279" s="83" t="n">
        <x:v>1278</x:v>
      </x:c>
      <x:c r="B1279" s="84" t="n">
        <x:v>970</x:v>
      </x:c>
      <x:c r="C1279" s="84" t="n">
        <x:v>60</x:v>
      </x:c>
      <x:c r="D1279" s="89" t="n">
        <x:v>45918</x:v>
      </x:c>
      <x:c r="E1279" s="84" t="n">
        <x:v>4</x:v>
      </x:c>
      <x:c r="F1279" s="91" t="n">
        <x:v>1415.2</x:v>
      </x:c>
    </x:row>
    <x:row r="1280">
      <x:c r="A1280" s="83" t="n">
        <x:v>1279</x:v>
      </x:c>
      <x:c r="B1280" s="84" t="n">
        <x:v>971</x:v>
      </x:c>
      <x:c r="C1280" s="84" t="n">
        <x:v>3</x:v>
      </x:c>
      <x:c r="D1280" s="89" t="n">
        <x:v>45183</x:v>
      </x:c>
      <x:c r="E1280" s="84" t="n">
        <x:v>2</x:v>
      </x:c>
      <x:c r="F1280" s="91" t="n">
        <x:v>2302.28</x:v>
      </x:c>
    </x:row>
    <x:row r="1281">
      <x:c r="A1281" s="83" t="n">
        <x:v>1280</x:v>
      </x:c>
      <x:c r="B1281" s="84" t="n">
        <x:v>971</x:v>
      </x:c>
      <x:c r="C1281" s="84" t="n">
        <x:v>49</x:v>
      </x:c>
      <x:c r="D1281" s="89" t="n">
        <x:v>45183</x:v>
      </x:c>
      <x:c r="E1281" s="84" t="n">
        <x:v>3</x:v>
      </x:c>
      <x:c r="F1281" s="91" t="n">
        <x:v>552.48</x:v>
      </x:c>
    </x:row>
    <x:row r="1282">
      <x:c r="A1282" s="83" t="n">
        <x:v>1281</x:v>
      </x:c>
      <x:c r="B1282" s="84" t="n">
        <x:v>971</x:v>
      </x:c>
      <x:c r="C1282" s="84" t="n">
        <x:v>46</x:v>
      </x:c>
      <x:c r="D1282" s="89" t="n">
        <x:v>45183</x:v>
      </x:c>
      <x:c r="E1282" s="84" t="n">
        <x:v>1</x:v>
      </x:c>
      <x:c r="F1282" s="91" t="n">
        <x:v>1334.95</x:v>
      </x:c>
    </x:row>
    <x:row r="1283">
      <x:c r="A1283" s="83" t="n">
        <x:v>1282</x:v>
      </x:c>
      <x:c r="B1283" s="84" t="n">
        <x:v>973</x:v>
      </x:c>
      <x:c r="C1283" s="84" t="n">
        <x:v>43</x:v>
      </x:c>
      <x:c r="D1283" s="89" t="n">
        <x:v>45096</x:v>
      </x:c>
      <x:c r="E1283" s="84" t="n">
        <x:v>3</x:v>
      </x:c>
      <x:c r="F1283" s="91" t="n">
        <x:v>4396.26</x:v>
      </x:c>
    </x:row>
    <x:row r="1284">
      <x:c r="A1284" s="83" t="n">
        <x:v>1283</x:v>
      </x:c>
      <x:c r="B1284" s="84" t="n">
        <x:v>973</x:v>
      </x:c>
      <x:c r="C1284" s="84" t="n">
        <x:v>18</x:v>
      </x:c>
      <x:c r="D1284" s="89" t="n">
        <x:v>45096</x:v>
      </x:c>
      <x:c r="E1284" s="84" t="n">
        <x:v>3</x:v>
      </x:c>
      <x:c r="F1284" s="91" t="n">
        <x:v>1998.48</x:v>
      </x:c>
    </x:row>
    <x:row r="1285">
      <x:c r="A1285" s="83" t="n">
        <x:v>1284</x:v>
      </x:c>
      <x:c r="B1285" s="84" t="n">
        <x:v>974</x:v>
      </x:c>
      <x:c r="C1285" s="84" t="n">
        <x:v>3</x:v>
      </x:c>
      <x:c r="D1285" s="89" t="n">
        <x:v>45462</x:v>
      </x:c>
      <x:c r="E1285" s="84" t="n">
        <x:v>4</x:v>
      </x:c>
      <x:c r="F1285" s="91" t="n">
        <x:v>4604.56</x:v>
      </x:c>
    </x:row>
    <x:row r="1286">
      <x:c r="A1286" s="83" t="n">
        <x:v>1285</x:v>
      </x:c>
      <x:c r="B1286" s="84" t="n">
        <x:v>974</x:v>
      </x:c>
      <x:c r="C1286" s="84" t="n">
        <x:v>11</x:v>
      </x:c>
      <x:c r="D1286" s="89" t="n">
        <x:v>45462</x:v>
      </x:c>
      <x:c r="E1286" s="84" t="n">
        <x:v>1</x:v>
      </x:c>
      <x:c r="F1286" s="91" t="n">
        <x:v>2211.26</x:v>
      </x:c>
    </x:row>
    <x:row r="1287">
      <x:c r="A1287" s="83" t="n">
        <x:v>1286</x:v>
      </x:c>
      <x:c r="B1287" s="84" t="n">
        <x:v>977</x:v>
      </x:c>
      <x:c r="C1287" s="84" t="n">
        <x:v>72</x:v>
      </x:c>
      <x:c r="D1287" s="89" t="n">
        <x:v>45703</x:v>
      </x:c>
      <x:c r="E1287" s="84" t="n">
        <x:v>4</x:v>
      </x:c>
      <x:c r="F1287" s="91" t="n">
        <x:v>1803.32</x:v>
      </x:c>
    </x:row>
    <x:row r="1288">
      <x:c r="A1288" s="83" t="n">
        <x:v>1287</x:v>
      </x:c>
      <x:c r="B1288" s="84" t="n">
        <x:v>977</x:v>
      </x:c>
      <x:c r="C1288" s="84" t="n">
        <x:v>9</x:v>
      </x:c>
      <x:c r="D1288" s="89" t="n">
        <x:v>45703</x:v>
      </x:c>
      <x:c r="E1288" s="84" t="n">
        <x:v>3</x:v>
      </x:c>
      <x:c r="F1288" s="91" t="n">
        <x:v>4725.18</x:v>
      </x:c>
    </x:row>
    <x:row r="1289">
      <x:c r="A1289" s="83" t="n">
        <x:v>1288</x:v>
      </x:c>
      <x:c r="B1289" s="84" t="n">
        <x:v>977</x:v>
      </x:c>
      <x:c r="C1289" s="84" t="n">
        <x:v>66</x:v>
      </x:c>
      <x:c r="D1289" s="89" t="n">
        <x:v>45703</x:v>
      </x:c>
      <x:c r="E1289" s="84" t="n">
        <x:v>3</x:v>
      </x:c>
      <x:c r="F1289" s="91" t="n">
        <x:v>5737.35</x:v>
      </x:c>
    </x:row>
    <x:row r="1290">
      <x:c r="A1290" s="83" t="n">
        <x:v>1289</x:v>
      </x:c>
      <x:c r="B1290" s="84" t="n">
        <x:v>978</x:v>
      </x:c>
      <x:c r="C1290" s="84" t="n">
        <x:v>47</x:v>
      </x:c>
      <x:c r="D1290" s="89" t="n">
        <x:v>45835</x:v>
      </x:c>
      <x:c r="E1290" s="84" t="n">
        <x:v>1</x:v>
      </x:c>
      <x:c r="F1290" s="91" t="n">
        <x:v>2175.62</x:v>
      </x:c>
    </x:row>
    <x:row r="1291">
      <x:c r="A1291" s="83" t="n">
        <x:v>1290</x:v>
      </x:c>
      <x:c r="B1291" s="84" t="n">
        <x:v>978</x:v>
      </x:c>
      <x:c r="C1291" s="84" t="n">
        <x:v>73</x:v>
      </x:c>
      <x:c r="D1291" s="89" t="n">
        <x:v>45835</x:v>
      </x:c>
      <x:c r="E1291" s="84" t="n">
        <x:v>4</x:v>
      </x:c>
      <x:c r="F1291" s="91" t="n">
        <x:v>4509.24</x:v>
      </x:c>
    </x:row>
    <x:row r="1292">
      <x:c r="A1292" s="83" t="n">
        <x:v>1291</x:v>
      </x:c>
      <x:c r="B1292" s="84" t="n">
        <x:v>979</x:v>
      </x:c>
      <x:c r="C1292" s="84" t="n">
        <x:v>44</x:v>
      </x:c>
      <x:c r="D1292" s="89" t="n">
        <x:v>45990</x:v>
      </x:c>
      <x:c r="E1292" s="84" t="n">
        <x:v>3</x:v>
      </x:c>
      <x:c r="F1292" s="91" t="n">
        <x:v>3754.44</x:v>
      </x:c>
    </x:row>
    <x:row r="1293">
      <x:c r="A1293" s="83" t="n">
        <x:v>1292</x:v>
      </x:c>
      <x:c r="B1293" s="84" t="n">
        <x:v>980</x:v>
      </x:c>
      <x:c r="C1293" s="84" t="n">
        <x:v>9</x:v>
      </x:c>
      <x:c r="D1293" s="89" t="n">
        <x:v>45391</x:v>
      </x:c>
      <x:c r="E1293" s="84" t="n">
        <x:v>3</x:v>
      </x:c>
      <x:c r="F1293" s="91" t="n">
        <x:v>4725.18</x:v>
      </x:c>
    </x:row>
    <x:row r="1294">
      <x:c r="A1294" s="83" t="n">
        <x:v>1293</x:v>
      </x:c>
      <x:c r="B1294" s="84" t="n">
        <x:v>981</x:v>
      </x:c>
      <x:c r="C1294" s="84" t="n">
        <x:v>36</x:v>
      </x:c>
      <x:c r="D1294" s="89" t="n">
        <x:v>45069</x:v>
      </x:c>
      <x:c r="E1294" s="84" t="n">
        <x:v>2</x:v>
      </x:c>
      <x:c r="F1294" s="91" t="n">
        <x:v>1192.82</x:v>
      </x:c>
    </x:row>
    <x:row r="1295">
      <x:c r="A1295" s="83" t="n">
        <x:v>1294</x:v>
      </x:c>
      <x:c r="B1295" s="84" t="n">
        <x:v>981</x:v>
      </x:c>
      <x:c r="C1295" s="84" t="n">
        <x:v>30</x:v>
      </x:c>
      <x:c r="D1295" s="89" t="n">
        <x:v>45069</x:v>
      </x:c>
      <x:c r="E1295" s="84" t="n">
        <x:v>4</x:v>
      </x:c>
      <x:c r="F1295" s="91" t="n">
        <x:v>5115.04</x:v>
      </x:c>
    </x:row>
    <x:row r="1296">
      <x:c r="A1296" s="83" t="n">
        <x:v>1295</x:v>
      </x:c>
      <x:c r="B1296" s="84" t="n">
        <x:v>982</x:v>
      </x:c>
      <x:c r="C1296" s="84" t="n">
        <x:v>47</x:v>
      </x:c>
      <x:c r="D1296" s="89" t="n">
        <x:v>45991</x:v>
      </x:c>
      <x:c r="E1296" s="84" t="n">
        <x:v>4</x:v>
      </x:c>
      <x:c r="F1296" s="91" t="n">
        <x:v>8702.48</x:v>
      </x:c>
    </x:row>
    <x:row r="1297">
      <x:c r="A1297" s="83" t="n">
        <x:v>1296</x:v>
      </x:c>
      <x:c r="B1297" s="84" t="n">
        <x:v>983</x:v>
      </x:c>
      <x:c r="C1297" s="84" t="n">
        <x:v>65</x:v>
      </x:c>
      <x:c r="D1297" s="89" t="n">
        <x:v>45182</x:v>
      </x:c>
      <x:c r="E1297" s="84" t="n">
        <x:v>1</x:v>
      </x:c>
      <x:c r="F1297" s="91" t="n">
        <x:v>1254.84</x:v>
      </x:c>
    </x:row>
    <x:row r="1298">
      <x:c r="A1298" s="83" t="n">
        <x:v>1297</x:v>
      </x:c>
      <x:c r="B1298" s="84" t="n">
        <x:v>983</x:v>
      </x:c>
      <x:c r="C1298" s="84" t="n">
        <x:v>63</x:v>
      </x:c>
      <x:c r="D1298" s="89" t="n">
        <x:v>45182</x:v>
      </x:c>
      <x:c r="E1298" s="84" t="n">
        <x:v>4</x:v>
      </x:c>
      <x:c r="F1298" s="91" t="n">
        <x:v>7736.76</x:v>
      </x:c>
    </x:row>
    <x:row r="1299">
      <x:c r="A1299" s="83" t="n">
        <x:v>1298</x:v>
      </x:c>
      <x:c r="B1299" s="84" t="n">
        <x:v>984</x:v>
      </x:c>
      <x:c r="C1299" s="84" t="n">
        <x:v>7</x:v>
      </x:c>
      <x:c r="D1299" s="89" t="n">
        <x:v>45656</x:v>
      </x:c>
      <x:c r="E1299" s="84" t="n">
        <x:v>2</x:v>
      </x:c>
      <x:c r="F1299" s="91" t="n">
        <x:v>733.6</x:v>
      </x:c>
    </x:row>
    <x:row r="1300">
      <x:c r="A1300" s="83" t="n">
        <x:v>1299</x:v>
      </x:c>
      <x:c r="B1300" s="84" t="n">
        <x:v>985</x:v>
      </x:c>
      <x:c r="C1300" s="84" t="n">
        <x:v>9</x:v>
      </x:c>
      <x:c r="D1300" s="89" t="n">
        <x:v>45337</x:v>
      </x:c>
      <x:c r="E1300" s="84" t="n">
        <x:v>4</x:v>
      </x:c>
      <x:c r="F1300" s="91" t="n">
        <x:v>6300.24</x:v>
      </x:c>
    </x:row>
    <x:row r="1301">
      <x:c r="A1301" s="83" t="n">
        <x:v>1300</x:v>
      </x:c>
      <x:c r="B1301" s="84" t="n">
        <x:v>985</x:v>
      </x:c>
      <x:c r="C1301" s="84" t="n">
        <x:v>47</x:v>
      </x:c>
      <x:c r="D1301" s="89" t="n">
        <x:v>45337</x:v>
      </x:c>
      <x:c r="E1301" s="84" t="n">
        <x:v>4</x:v>
      </x:c>
      <x:c r="F1301" s="91" t="n">
        <x:v>8702.48</x:v>
      </x:c>
    </x:row>
    <x:row r="1302">
      <x:c r="A1302" s="83" t="n">
        <x:v>1301</x:v>
      </x:c>
      <x:c r="B1302" s="84" t="n">
        <x:v>985</x:v>
      </x:c>
      <x:c r="C1302" s="84" t="n">
        <x:v>21</x:v>
      </x:c>
      <x:c r="D1302" s="89" t="n">
        <x:v>45337</x:v>
      </x:c>
      <x:c r="E1302" s="84" t="n">
        <x:v>4</x:v>
      </x:c>
      <x:c r="F1302" s="91" t="n">
        <x:v>9155.48</x:v>
      </x:c>
    </x:row>
    <x:row r="1303">
      <x:c r="A1303" s="83" t="n">
        <x:v>1302</x:v>
      </x:c>
      <x:c r="B1303" s="84" t="n">
        <x:v>986</x:v>
      </x:c>
      <x:c r="C1303" s="84" t="n">
        <x:v>47</x:v>
      </x:c>
      <x:c r="D1303" s="89" t="n">
        <x:v>45682</x:v>
      </x:c>
      <x:c r="E1303" s="84" t="n">
        <x:v>1</x:v>
      </x:c>
      <x:c r="F1303" s="91" t="n">
        <x:v>2175.62</x:v>
      </x:c>
    </x:row>
    <x:row r="1304">
      <x:c r="A1304" s="83" t="n">
        <x:v>1303</x:v>
      </x:c>
      <x:c r="B1304" s="84" t="n">
        <x:v>986</x:v>
      </x:c>
      <x:c r="C1304" s="84" t="n">
        <x:v>19</x:v>
      </x:c>
      <x:c r="D1304" s="89" t="n">
        <x:v>45682</x:v>
      </x:c>
      <x:c r="E1304" s="84" t="n">
        <x:v>4</x:v>
      </x:c>
      <x:c r="F1304" s="91" t="n">
        <x:v>4350.84</x:v>
      </x:c>
    </x:row>
    <x:row r="1305">
      <x:c r="A1305" s="83" t="n">
        <x:v>1304</x:v>
      </x:c>
      <x:c r="B1305" s="84" t="n">
        <x:v>986</x:v>
      </x:c>
      <x:c r="C1305" s="84" t="n">
        <x:v>28</x:v>
      </x:c>
      <x:c r="D1305" s="89" t="n">
        <x:v>45682</x:v>
      </x:c>
      <x:c r="E1305" s="84" t="n">
        <x:v>3</x:v>
      </x:c>
      <x:c r="F1305" s="91" t="n">
        <x:v>2461.41</x:v>
      </x:c>
    </x:row>
    <x:row r="1306">
      <x:c r="A1306" s="83" t="n">
        <x:v>1305</x:v>
      </x:c>
      <x:c r="B1306" s="84" t="n">
        <x:v>987</x:v>
      </x:c>
      <x:c r="C1306" s="84" t="n">
        <x:v>15</x:v>
      </x:c>
      <x:c r="D1306" s="89" t="n">
        <x:v>45292</x:v>
      </x:c>
      <x:c r="E1306" s="84" t="n">
        <x:v>2</x:v>
      </x:c>
      <x:c r="F1306" s="91" t="n">
        <x:v>2469.22</x:v>
      </x:c>
    </x:row>
    <x:row r="1307">
      <x:c r="A1307" s="83" t="n">
        <x:v>1306</x:v>
      </x:c>
      <x:c r="B1307" s="84" t="n">
        <x:v>987</x:v>
      </x:c>
      <x:c r="C1307" s="84" t="n">
        <x:v>68</x:v>
      </x:c>
      <x:c r="D1307" s="89" t="n">
        <x:v>45292</x:v>
      </x:c>
      <x:c r="E1307" s="84" t="n">
        <x:v>4</x:v>
      </x:c>
      <x:c r="F1307" s="91" t="n">
        <x:v>6110.44</x:v>
      </x:c>
    </x:row>
    <x:row r="1308">
      <x:c r="A1308" s="83" t="n">
        <x:v>1307</x:v>
      </x:c>
      <x:c r="B1308" s="84" t="n">
        <x:v>988</x:v>
      </x:c>
      <x:c r="C1308" s="84" t="n">
        <x:v>23</x:v>
      </x:c>
      <x:c r="D1308" s="89" t="n">
        <x:v>45979</x:v>
      </x:c>
      <x:c r="E1308" s="84" t="n">
        <x:v>4</x:v>
      </x:c>
      <x:c r="F1308" s="91" t="n">
        <x:v>7011.4</x:v>
      </x:c>
    </x:row>
    <x:row r="1309">
      <x:c r="A1309" s="83" t="n">
        <x:v>1308</x:v>
      </x:c>
      <x:c r="B1309" s="84" t="n">
        <x:v>988</x:v>
      </x:c>
      <x:c r="C1309" s="84" t="n">
        <x:v>67</x:v>
      </x:c>
      <x:c r="D1309" s="89" t="n">
        <x:v>45979</x:v>
      </x:c>
      <x:c r="E1309" s="84" t="n">
        <x:v>2</x:v>
      </x:c>
      <x:c r="F1309" s="91" t="n">
        <x:v>2559.06</x:v>
      </x:c>
    </x:row>
    <x:row r="1310">
      <x:c r="A1310" s="83" t="n">
        <x:v>1309</x:v>
      </x:c>
      <x:c r="B1310" s="84" t="n">
        <x:v>989</x:v>
      </x:c>
      <x:c r="C1310" s="84" t="n">
        <x:v>19</x:v>
      </x:c>
      <x:c r="D1310" s="89" t="n">
        <x:v>45104</x:v>
      </x:c>
      <x:c r="E1310" s="84" t="n">
        <x:v>4</x:v>
      </x:c>
      <x:c r="F1310" s="91" t="n">
        <x:v>4350.84</x:v>
      </x:c>
    </x:row>
    <x:row r="1311">
      <x:c r="A1311" s="83" t="n">
        <x:v>1310</x:v>
      </x:c>
      <x:c r="B1311" s="84" t="n">
        <x:v>989</x:v>
      </x:c>
      <x:c r="C1311" s="84" t="n">
        <x:v>42</x:v>
      </x:c>
      <x:c r="D1311" s="89" t="n">
        <x:v>45104</x:v>
      </x:c>
      <x:c r="E1311" s="84" t="n">
        <x:v>4</x:v>
      </x:c>
      <x:c r="F1311" s="91" t="n">
        <x:v>8686.96</x:v>
      </x:c>
    </x:row>
    <x:row r="1312">
      <x:c r="A1312" s="83" t="n">
        <x:v>1311</x:v>
      </x:c>
      <x:c r="B1312" s="84" t="n">
        <x:v>989</x:v>
      </x:c>
      <x:c r="C1312" s="84" t="n">
        <x:v>46</x:v>
      </x:c>
      <x:c r="D1312" s="89" t="n">
        <x:v>45104</x:v>
      </x:c>
      <x:c r="E1312" s="84" t="n">
        <x:v>2</x:v>
      </x:c>
      <x:c r="F1312" s="91" t="n">
        <x:v>2669.9</x:v>
      </x:c>
    </x:row>
    <x:row r="1313">
      <x:c r="A1313" s="83" t="n">
        <x:v>1312</x:v>
      </x:c>
      <x:c r="B1313" s="84" t="n">
        <x:v>990</x:v>
      </x:c>
      <x:c r="C1313" s="84" t="n">
        <x:v>43</x:v>
      </x:c>
      <x:c r="D1313" s="89" t="n">
        <x:v>45275</x:v>
      </x:c>
      <x:c r="E1313" s="84" t="n">
        <x:v>3</x:v>
      </x:c>
      <x:c r="F1313" s="91" t="n">
        <x:v>4396.26</x:v>
      </x:c>
    </x:row>
    <x:row r="1314">
      <x:c r="A1314" s="83" t="n">
        <x:v>1313</x:v>
      </x:c>
      <x:c r="B1314" s="84" t="n">
        <x:v>990</x:v>
      </x:c>
      <x:c r="C1314" s="84" t="n">
        <x:v>63</x:v>
      </x:c>
      <x:c r="D1314" s="89" t="n">
        <x:v>45275</x:v>
      </x:c>
      <x:c r="E1314" s="84" t="n">
        <x:v>3</x:v>
      </x:c>
      <x:c r="F1314" s="91" t="n">
        <x:v>5802.57</x:v>
      </x:c>
    </x:row>
    <x:row r="1315">
      <x:c r="A1315" s="83" t="n">
        <x:v>1314</x:v>
      </x:c>
      <x:c r="B1315" s="84" t="n">
        <x:v>991</x:v>
      </x:c>
      <x:c r="C1315" s="84" t="n">
        <x:v>40</x:v>
      </x:c>
      <x:c r="D1315" s="89" t="n">
        <x:v>44989</x:v>
      </x:c>
      <x:c r="E1315" s="84" t="n">
        <x:v>1</x:v>
      </x:c>
      <x:c r="F1315" s="91" t="n">
        <x:v>2035.04</x:v>
      </x:c>
    </x:row>
    <x:row r="1316">
      <x:c r="A1316" s="83" t="n">
        <x:v>1315</x:v>
      </x:c>
      <x:c r="B1316" s="84" t="n">
        <x:v>991</x:v>
      </x:c>
      <x:c r="C1316" s="84" t="n">
        <x:v>65</x:v>
      </x:c>
      <x:c r="D1316" s="89" t="n">
        <x:v>44989</x:v>
      </x:c>
      <x:c r="E1316" s="84" t="n">
        <x:v>3</x:v>
      </x:c>
      <x:c r="F1316" s="91" t="n">
        <x:v>3764.52</x:v>
      </x:c>
    </x:row>
    <x:row r="1317">
      <x:c r="A1317" s="83" t="n">
        <x:v>1316</x:v>
      </x:c>
      <x:c r="B1317" s="84" t="n">
        <x:v>991</x:v>
      </x:c>
      <x:c r="C1317" s="84" t="n">
        <x:v>57</x:v>
      </x:c>
      <x:c r="D1317" s="89" t="n">
        <x:v>44989</x:v>
      </x:c>
      <x:c r="E1317" s="84" t="n">
        <x:v>3</x:v>
      </x:c>
      <x:c r="F1317" s="91" t="n">
        <x:v>3537.18</x:v>
      </x:c>
    </x:row>
    <x:row r="1318">
      <x:c r="A1318" s="83" t="n">
        <x:v>1317</x:v>
      </x:c>
      <x:c r="B1318" s="84" t="n">
        <x:v>992</x:v>
      </x:c>
      <x:c r="C1318" s="84" t="n">
        <x:v>30</x:v>
      </x:c>
      <x:c r="D1318" s="89" t="n">
        <x:v>45530</x:v>
      </x:c>
      <x:c r="E1318" s="84" t="n">
        <x:v>2</x:v>
      </x:c>
      <x:c r="F1318" s="91" t="n">
        <x:v>2557.52</x:v>
      </x:c>
    </x:row>
    <x:row r="1319">
      <x:c r="A1319" s="83" t="n">
        <x:v>1318</x:v>
      </x:c>
      <x:c r="B1319" s="84" t="n">
        <x:v>992</x:v>
      </x:c>
      <x:c r="C1319" s="84" t="n">
        <x:v>39</x:v>
      </x:c>
      <x:c r="D1319" s="89" t="n">
        <x:v>45530</x:v>
      </x:c>
      <x:c r="E1319" s="84" t="n">
        <x:v>1</x:v>
      </x:c>
      <x:c r="F1319" s="91" t="n">
        <x:v>677.6</x:v>
      </x:c>
    </x:row>
    <x:row r="1320">
      <x:c r="A1320" s="83" t="n">
        <x:v>1319</x:v>
      </x:c>
      <x:c r="B1320" s="84" t="n">
        <x:v>992</x:v>
      </x:c>
      <x:c r="C1320" s="84" t="n">
        <x:v>27</x:v>
      </x:c>
      <x:c r="D1320" s="89" t="n">
        <x:v>45530</x:v>
      </x:c>
      <x:c r="E1320" s="84" t="n">
        <x:v>2</x:v>
      </x:c>
      <x:c r="F1320" s="91" t="n">
        <x:v>321.38</x:v>
      </x:c>
    </x:row>
    <x:row r="1321">
      <x:c r="A1321" s="83" t="n">
        <x:v>1320</x:v>
      </x:c>
      <x:c r="B1321" s="84" t="n">
        <x:v>994</x:v>
      </x:c>
      <x:c r="C1321" s="84" t="n">
        <x:v>28</x:v>
      </x:c>
      <x:c r="D1321" s="89" t="n">
        <x:v>44948</x:v>
      </x:c>
      <x:c r="E1321" s="84" t="n">
        <x:v>4</x:v>
      </x:c>
      <x:c r="F1321" s="91" t="n">
        <x:v>3281.88</x:v>
      </x:c>
    </x:row>
    <x:row r="1322">
      <x:c r="A1322" s="83" t="n">
        <x:v>1321</x:v>
      </x:c>
      <x:c r="B1322" s="84" t="n">
        <x:v>994</x:v>
      </x:c>
      <x:c r="C1322" s="84" t="n">
        <x:v>79</x:v>
      </x:c>
      <x:c r="D1322" s="89" t="n">
        <x:v>44948</x:v>
      </x:c>
      <x:c r="E1322" s="84" t="n">
        <x:v>4</x:v>
      </x:c>
      <x:c r="F1322" s="91" t="n">
        <x:v>8266.88</x:v>
      </x:c>
    </x:row>
    <x:row r="1323">
      <x:c r="A1323" s="83" t="n">
        <x:v>1322</x:v>
      </x:c>
      <x:c r="B1323" s="84" t="n">
        <x:v>994</x:v>
      </x:c>
      <x:c r="C1323" s="84" t="n">
        <x:v>71</x:v>
      </x:c>
      <x:c r="D1323" s="89" t="n">
        <x:v>44948</x:v>
      </x:c>
      <x:c r="E1323" s="84" t="n">
        <x:v>3</x:v>
      </x:c>
      <x:c r="F1323" s="91" t="n">
        <x:v>5950.56</x:v>
      </x:c>
    </x:row>
    <x:row r="1324">
      <x:c r="A1324" s="83" t="n">
        <x:v>1323</x:v>
      </x:c>
      <x:c r="B1324" s="84" t="n">
        <x:v>996</x:v>
      </x:c>
      <x:c r="C1324" s="84" t="n">
        <x:v>22</x:v>
      </x:c>
      <x:c r="D1324" s="89" t="n">
        <x:v>45625</x:v>
      </x:c>
      <x:c r="E1324" s="84" t="n">
        <x:v>1</x:v>
      </x:c>
      <x:c r="F1324" s="91" t="n">
        <x:v>521.89</x:v>
      </x:c>
    </x:row>
    <x:row r="1325">
      <x:c r="A1325" s="83" t="n">
        <x:v>1324</x:v>
      </x:c>
      <x:c r="B1325" s="84" t="n">
        <x:v>996</x:v>
      </x:c>
      <x:c r="C1325" s="84" t="n">
        <x:v>42</x:v>
      </x:c>
      <x:c r="D1325" s="89" t="n">
        <x:v>45625</x:v>
      </x:c>
      <x:c r="E1325" s="84" t="n">
        <x:v>1</x:v>
      </x:c>
      <x:c r="F1325" s="91" t="n">
        <x:v>2171.74</x:v>
      </x:c>
    </x:row>
    <x:row r="1326">
      <x:c r="A1326" s="83" t="n">
        <x:v>1325</x:v>
      </x:c>
      <x:c r="B1326" s="84" t="n">
        <x:v>996</x:v>
      </x:c>
      <x:c r="C1326" s="84" t="n">
        <x:v>62</x:v>
      </x:c>
      <x:c r="D1326" s="89" t="n">
        <x:v>45625</x:v>
      </x:c>
      <x:c r="E1326" s="84" t="n">
        <x:v>1</x:v>
      </x:c>
      <x:c r="F1326" s="91" t="n">
        <x:v>1517.31</x:v>
      </x:c>
    </x:row>
    <x:row r="1327">
      <x:c r="A1327" s="83" t="n">
        <x:v>1326</x:v>
      </x:c>
      <x:c r="B1327" s="84" t="n">
        <x:v>999</x:v>
      </x:c>
      <x:c r="C1327" s="84" t="n">
        <x:v>57</x:v>
      </x:c>
      <x:c r="D1327" s="89" t="n">
        <x:v>45216</x:v>
      </x:c>
      <x:c r="E1327" s="84" t="n">
        <x:v>1</x:v>
      </x:c>
      <x:c r="F1327" s="91" t="n">
        <x:v>1179.06</x:v>
      </x:c>
    </x:row>
    <x:row r="1328">
      <x:c r="A1328" s="83" t="n">
        <x:v>1327</x:v>
      </x:c>
      <x:c r="B1328" s="84" t="n">
        <x:v>999</x:v>
      </x:c>
      <x:c r="C1328" s="84" t="n">
        <x:v>2</x:v>
      </x:c>
      <x:c r="D1328" s="89" t="n">
        <x:v>45216</x:v>
      </x:c>
      <x:c r="E1328" s="84" t="n">
        <x:v>2</x:v>
      </x:c>
      <x:c r="F1328" s="91" t="n">
        <x:v>1988.62</x:v>
      </x:c>
    </x:row>
    <x:row r="1329">
      <x:c r="A1329" s="83" t="n">
        <x:v>1328</x:v>
      </x:c>
      <x:c r="B1329" s="84" t="n">
        <x:v>1000</x:v>
      </x:c>
      <x:c r="C1329" s="84" t="n">
        <x:v>80</x:v>
      </x:c>
      <x:c r="D1329" s="89" t="n">
        <x:v>45633</x:v>
      </x:c>
      <x:c r="E1329" s="84" t="n">
        <x:v>4</x:v>
      </x:c>
      <x:c r="F1329" s="91" t="n">
        <x:v>6914.16</x:v>
      </x:c>
    </x:row>
    <x:row r="1330">
      <x:c r="A1330" s="83" t="n">
        <x:v>1329</x:v>
      </x:c>
      <x:c r="B1330" s="84" t="n">
        <x:v>1000</x:v>
      </x:c>
      <x:c r="C1330" s="84" t="n">
        <x:v>24</x:v>
      </x:c>
      <x:c r="D1330" s="89" t="n">
        <x:v>45633</x:v>
      </x:c>
      <x:c r="E1330" s="84" t="n">
        <x:v>4</x:v>
      </x:c>
      <x:c r="F1330" s="91" t="n">
        <x:v>2963.64</x:v>
      </x:c>
    </x:row>
    <x:row r="1331">
      <x:c r="A1331" s="83" t="n">
        <x:v>1330</x:v>
      </x:c>
      <x:c r="B1331" s="84" t="n">
        <x:v>1000</x:v>
      </x:c>
      <x:c r="C1331" s="84" t="n">
        <x:v>5</x:v>
      </x:c>
      <x:c r="D1331" s="89" t="n">
        <x:v>45633</x:v>
      </x:c>
      <x:c r="E1331" s="84" t="n">
        <x:v>1</x:v>
      </x:c>
      <x:c r="F1331" s="91" t="n">
        <x:v>1468.5</x:v>
      </x:c>
    </x:row>
    <x:row r="1332">
      <x:c r="A1332" s="83" t="n">
        <x:v>1331</x:v>
      </x:c>
      <x:c r="B1332" s="84" t="n">
        <x:v>1001</x:v>
      </x:c>
      <x:c r="C1332" s="84" t="n">
        <x:v>19</x:v>
      </x:c>
      <x:c r="D1332" s="89" t="n">
        <x:v>45999</x:v>
      </x:c>
      <x:c r="E1332" s="84" t="n">
        <x:v>2</x:v>
      </x:c>
      <x:c r="F1332" s="91" t="n">
        <x:v>2175.42</x:v>
      </x:c>
    </x:row>
    <x:row r="1333">
      <x:c r="A1333" s="83" t="n">
        <x:v>1332</x:v>
      </x:c>
      <x:c r="B1333" s="84" t="n">
        <x:v>1001</x:v>
      </x:c>
      <x:c r="C1333" s="84" t="n">
        <x:v>52</x:v>
      </x:c>
      <x:c r="D1333" s="89" t="n">
        <x:v>45999</x:v>
      </x:c>
      <x:c r="E1333" s="84" t="n">
        <x:v>4</x:v>
      </x:c>
      <x:c r="F1333" s="91" t="n">
        <x:v>3522.52</x:v>
      </x:c>
    </x:row>
    <x:row r="1334">
      <x:c r="A1334" s="83" t="n">
        <x:v>1333</x:v>
      </x:c>
      <x:c r="B1334" s="84" t="n">
        <x:v>1001</x:v>
      </x:c>
      <x:c r="C1334" s="84" t="n">
        <x:v>28</x:v>
      </x:c>
      <x:c r="D1334" s="89" t="n">
        <x:v>45999</x:v>
      </x:c>
      <x:c r="E1334" s="84" t="n">
        <x:v>1</x:v>
      </x:c>
      <x:c r="F1334" s="91" t="n">
        <x:v>820.47</x:v>
      </x:c>
    </x:row>
    <x:row r="1335">
      <x:c r="A1335" s="83" t="n">
        <x:v>1334</x:v>
      </x:c>
      <x:c r="B1335" s="84" t="n">
        <x:v>1002</x:v>
      </x:c>
      <x:c r="C1335" s="84" t="n">
        <x:v>6</x:v>
      </x:c>
      <x:c r="D1335" s="89" t="n">
        <x:v>45117</x:v>
      </x:c>
      <x:c r="E1335" s="84" t="n">
        <x:v>3</x:v>
      </x:c>
      <x:c r="F1335" s="91" t="n">
        <x:v>2092.11</x:v>
      </x:c>
    </x:row>
    <x:row r="1336">
      <x:c r="A1336" s="83" t="n">
        <x:v>1335</x:v>
      </x:c>
      <x:c r="B1336" s="84" t="n">
        <x:v>1002</x:v>
      </x:c>
      <x:c r="C1336" s="84" t="n">
        <x:v>46</x:v>
      </x:c>
      <x:c r="D1336" s="89" t="n">
        <x:v>45117</x:v>
      </x:c>
      <x:c r="E1336" s="84" t="n">
        <x:v>2</x:v>
      </x:c>
      <x:c r="F1336" s="91" t="n">
        <x:v>2669.9</x:v>
      </x:c>
    </x:row>
    <x:row r="1337">
      <x:c r="A1337" s="83" t="n">
        <x:v>1336</x:v>
      </x:c>
      <x:c r="B1337" s="84" t="n">
        <x:v>1006</x:v>
      </x:c>
      <x:c r="C1337" s="84" t="n">
        <x:v>15</x:v>
      </x:c>
      <x:c r="D1337" s="89" t="n">
        <x:v>45810</x:v>
      </x:c>
      <x:c r="E1337" s="84" t="n">
        <x:v>1</x:v>
      </x:c>
      <x:c r="F1337" s="91" t="n">
        <x:v>1234.61</x:v>
      </x:c>
    </x:row>
    <x:row r="1338">
      <x:c r="A1338" s="83" t="n">
        <x:v>1337</x:v>
      </x:c>
      <x:c r="B1338" s="84" t="n">
        <x:v>1007</x:v>
      </x:c>
      <x:c r="C1338" s="84" t="n">
        <x:v>9</x:v>
      </x:c>
      <x:c r="D1338" s="89" t="n">
        <x:v>45711</x:v>
      </x:c>
      <x:c r="E1338" s="84" t="n">
        <x:v>4</x:v>
      </x:c>
      <x:c r="F1338" s="91" t="n">
        <x:v>6300.24</x:v>
      </x:c>
    </x:row>
    <x:row r="1339">
      <x:c r="A1339" s="83" t="n">
        <x:v>1338</x:v>
      </x:c>
      <x:c r="B1339" s="84" t="n">
        <x:v>1007</x:v>
      </x:c>
      <x:c r="C1339" s="84" t="n">
        <x:v>1</x:v>
      </x:c>
      <x:c r="D1339" s="89" t="n">
        <x:v>45711</x:v>
      </x:c>
      <x:c r="E1339" s="84" t="n">
        <x:v>4</x:v>
      </x:c>
      <x:c r="F1339" s="91" t="n">
        <x:v>6958.4</x:v>
      </x:c>
    </x:row>
    <x:row r="1340">
      <x:c r="A1340" s="83" t="n">
        <x:v>1339</x:v>
      </x:c>
      <x:c r="B1340" s="84" t="n">
        <x:v>1008</x:v>
      </x:c>
      <x:c r="C1340" s="84" t="n">
        <x:v>42</x:v>
      </x:c>
      <x:c r="D1340" s="89" t="n">
        <x:v>45435</x:v>
      </x:c>
      <x:c r="E1340" s="84" t="n">
        <x:v>3</x:v>
      </x:c>
      <x:c r="F1340" s="91" t="n">
        <x:v>6515.22</x:v>
      </x:c>
    </x:row>
    <x:row r="1341">
      <x:c r="A1341" s="83" t="n">
        <x:v>1340</x:v>
      </x:c>
      <x:c r="B1341" s="84" t="n">
        <x:v>1008</x:v>
      </x:c>
      <x:c r="C1341" s="84" t="n">
        <x:v>25</x:v>
      </x:c>
      <x:c r="D1341" s="89" t="n">
        <x:v>45435</x:v>
      </x:c>
      <x:c r="E1341" s="84" t="n">
        <x:v>3</x:v>
      </x:c>
      <x:c r="F1341" s="91" t="n">
        <x:v>3238.35</x:v>
      </x:c>
    </x:row>
    <x:row r="1342">
      <x:c r="A1342" s="83" t="n">
        <x:v>1341</x:v>
      </x:c>
      <x:c r="B1342" s="84" t="n">
        <x:v>1011</x:v>
      </x:c>
      <x:c r="C1342" s="84" t="n">
        <x:v>76</x:v>
      </x:c>
      <x:c r="D1342" s="89" t="n">
        <x:v>46013</x:v>
      </x:c>
      <x:c r="E1342" s="84" t="n">
        <x:v>2</x:v>
      </x:c>
      <x:c r="F1342" s="91" t="n">
        <x:v>1439.62</x:v>
      </x:c>
    </x:row>
    <x:row r="1343">
      <x:c r="A1343" s="83" t="n">
        <x:v>1342</x:v>
      </x:c>
      <x:c r="B1343" s="84" t="n">
        <x:v>1012</x:v>
      </x:c>
      <x:c r="C1343" s="84" t="n">
        <x:v>38</x:v>
      </x:c>
      <x:c r="D1343" s="89" t="n">
        <x:v>44938</x:v>
      </x:c>
      <x:c r="E1343" s="84" t="n">
        <x:v>4</x:v>
      </x:c>
      <x:c r="F1343" s="91" t="n">
        <x:v>2905.96</x:v>
      </x:c>
    </x:row>
    <x:row r="1344">
      <x:c r="A1344" s="83" t="n">
        <x:v>1343</x:v>
      </x:c>
      <x:c r="B1344" s="84" t="n">
        <x:v>1012</x:v>
      </x:c>
      <x:c r="C1344" s="84" t="n">
        <x:v>39</x:v>
      </x:c>
      <x:c r="D1344" s="89" t="n">
        <x:v>44938</x:v>
      </x:c>
      <x:c r="E1344" s="84" t="n">
        <x:v>4</x:v>
      </x:c>
      <x:c r="F1344" s="91" t="n">
        <x:v>2710.4</x:v>
      </x:c>
    </x:row>
    <x:row r="1345">
      <x:c r="A1345" s="83" t="n">
        <x:v>1344</x:v>
      </x:c>
      <x:c r="B1345" s="84" t="n">
        <x:v>1013</x:v>
      </x:c>
      <x:c r="C1345" s="84" t="n">
        <x:v>28</x:v>
      </x:c>
      <x:c r="D1345" s="89" t="n">
        <x:v>45190</x:v>
      </x:c>
      <x:c r="E1345" s="84" t="n">
        <x:v>1</x:v>
      </x:c>
      <x:c r="F1345" s="91" t="n">
        <x:v>820.47</x:v>
      </x:c>
    </x:row>
    <x:row r="1346">
      <x:c r="A1346" s="83" t="n">
        <x:v>1345</x:v>
      </x:c>
      <x:c r="B1346" s="84" t="n">
        <x:v>1015</x:v>
      </x:c>
      <x:c r="C1346" s="84" t="n">
        <x:v>45</x:v>
      </x:c>
      <x:c r="D1346" s="89" t="n">
        <x:v>45244</x:v>
      </x:c>
      <x:c r="E1346" s="84" t="n">
        <x:v>4</x:v>
      </x:c>
      <x:c r="F1346" s="91" t="n">
        <x:v>5565.68</x:v>
      </x:c>
    </x:row>
    <x:row r="1347">
      <x:c r="A1347" s="83" t="n">
        <x:v>1346</x:v>
      </x:c>
      <x:c r="B1347" s="84" t="n">
        <x:v>1015</x:v>
      </x:c>
      <x:c r="C1347" s="84" t="n">
        <x:v>38</x:v>
      </x:c>
      <x:c r="D1347" s="89" t="n">
        <x:v>45244</x:v>
      </x:c>
      <x:c r="E1347" s="84" t="n">
        <x:v>4</x:v>
      </x:c>
      <x:c r="F1347" s="91" t="n">
        <x:v>2905.96</x:v>
      </x:c>
    </x:row>
    <x:row r="1348">
      <x:c r="A1348" s="83" t="n">
        <x:v>1347</x:v>
      </x:c>
      <x:c r="B1348" s="84" t="n">
        <x:v>1015</x:v>
      </x:c>
      <x:c r="C1348" s="84" t="n">
        <x:v>22</x:v>
      </x:c>
      <x:c r="D1348" s="89" t="n">
        <x:v>45244</x:v>
      </x:c>
      <x:c r="E1348" s="84" t="n">
        <x:v>3</x:v>
      </x:c>
      <x:c r="F1348" s="91" t="n">
        <x:v>1565.67</x:v>
      </x:c>
    </x:row>
    <x:row r="1349">
      <x:c r="A1349" s="83" t="n">
        <x:v>1348</x:v>
      </x:c>
      <x:c r="B1349" s="84" t="n">
        <x:v>1016</x:v>
      </x:c>
      <x:c r="C1349" s="84" t="n">
        <x:v>51</x:v>
      </x:c>
      <x:c r="D1349" s="89" t="n">
        <x:v>45957</x:v>
      </x:c>
      <x:c r="E1349" s="84" t="n">
        <x:v>1</x:v>
      </x:c>
      <x:c r="F1349" s="91" t="n">
        <x:v>892.16</x:v>
      </x:c>
    </x:row>
    <x:row r="1350">
      <x:c r="A1350" s="83" t="n">
        <x:v>1349</x:v>
      </x:c>
      <x:c r="B1350" s="84" t="n">
        <x:v>1016</x:v>
      </x:c>
      <x:c r="C1350" s="84" t="n">
        <x:v>34</x:v>
      </x:c>
      <x:c r="D1350" s="89" t="n">
        <x:v>45957</x:v>
      </x:c>
      <x:c r="E1350" s="84" t="n">
        <x:v>2</x:v>
      </x:c>
      <x:c r="F1350" s="91" t="n">
        <x:v>3954.18</x:v>
      </x:c>
    </x:row>
    <x:row r="1351">
      <x:c r="A1351" s="83" t="n">
        <x:v>1350</x:v>
      </x:c>
      <x:c r="B1351" s="84" t="n">
        <x:v>1016</x:v>
      </x:c>
      <x:c r="C1351" s="84" t="n">
        <x:v>54</x:v>
      </x:c>
      <x:c r="D1351" s="89" t="n">
        <x:v>45957</x:v>
      </x:c>
      <x:c r="E1351" s="84" t="n">
        <x:v>4</x:v>
      </x:c>
      <x:c r="F1351" s="91" t="n">
        <x:v>2745.6</x:v>
      </x:c>
    </x:row>
    <x:row r="1352">
      <x:c r="A1352" s="83" t="n">
        <x:v>1351</x:v>
      </x:c>
      <x:c r="B1352" s="84" t="n">
        <x:v>1017</x:v>
      </x:c>
      <x:c r="C1352" s="84" t="n">
        <x:v>75</x:v>
      </x:c>
      <x:c r="D1352" s="89" t="n">
        <x:v>45585</x:v>
      </x:c>
      <x:c r="E1352" s="84" t="n">
        <x:v>3</x:v>
      </x:c>
      <x:c r="F1352" s="91" t="n">
        <x:v>1368.51</x:v>
      </x:c>
    </x:row>
    <x:row r="1353">
      <x:c r="A1353" s="83" t="n">
        <x:v>1352</x:v>
      </x:c>
      <x:c r="B1353" s="84" t="n">
        <x:v>1017</x:v>
      </x:c>
      <x:c r="C1353" s="84" t="n">
        <x:v>16</x:v>
      </x:c>
      <x:c r="D1353" s="89" t="n">
        <x:v>45585</x:v>
      </x:c>
      <x:c r="E1353" s="84" t="n">
        <x:v>2</x:v>
      </x:c>
      <x:c r="F1353" s="91" t="n">
        <x:v>1211.56</x:v>
      </x:c>
    </x:row>
    <x:row r="1354">
      <x:c r="A1354" s="83" t="n">
        <x:v>1353</x:v>
      </x:c>
      <x:c r="B1354" s="84" t="n">
        <x:v>1018</x:v>
      </x:c>
      <x:c r="C1354" s="84" t="n">
        <x:v>49</x:v>
      </x:c>
      <x:c r="D1354" s="89" t="n">
        <x:v>45397</x:v>
      </x:c>
      <x:c r="E1354" s="84" t="n">
        <x:v>3</x:v>
      </x:c>
      <x:c r="F1354" s="91" t="n">
        <x:v>552.48</x:v>
      </x:c>
    </x:row>
    <x:row r="1355">
      <x:c r="A1355" s="83" t="n">
        <x:v>1354</x:v>
      </x:c>
      <x:c r="B1355" s="84" t="n">
        <x:v>1020</x:v>
      </x:c>
      <x:c r="C1355" s="84" t="n">
        <x:v>49</x:v>
      </x:c>
      <x:c r="D1355" s="89" t="n">
        <x:v>45392</x:v>
      </x:c>
      <x:c r="E1355" s="84" t="n">
        <x:v>4</x:v>
      </x:c>
      <x:c r="F1355" s="91" t="n">
        <x:v>736.64</x:v>
      </x:c>
    </x:row>
    <x:row r="1356">
      <x:c r="A1356" s="83" t="n">
        <x:v>1355</x:v>
      </x:c>
      <x:c r="B1356" s="84" t="n">
        <x:v>1021</x:v>
      </x:c>
      <x:c r="C1356" s="84" t="n">
        <x:v>39</x:v>
      </x:c>
      <x:c r="D1356" s="89" t="n">
        <x:v>45216</x:v>
      </x:c>
      <x:c r="E1356" s="84" t="n">
        <x:v>4</x:v>
      </x:c>
      <x:c r="F1356" s="91" t="n">
        <x:v>2710.4</x:v>
      </x:c>
    </x:row>
    <x:row r="1357">
      <x:c r="A1357" s="83" t="n">
        <x:v>1356</x:v>
      </x:c>
      <x:c r="B1357" s="84" t="n">
        <x:v>1022</x:v>
      </x:c>
      <x:c r="C1357" s="84" t="n">
        <x:v>13</x:v>
      </x:c>
      <x:c r="D1357" s="89" t="n">
        <x:v>45052</x:v>
      </x:c>
      <x:c r="E1357" s="84" t="n">
        <x:v>1</x:v>
      </x:c>
      <x:c r="F1357" s="91" t="n">
        <x:v>802.05</x:v>
      </x:c>
    </x:row>
    <x:row r="1358">
      <x:c r="A1358" s="83" t="n">
        <x:v>1357</x:v>
      </x:c>
      <x:c r="B1358" s="84" t="n">
        <x:v>1022</x:v>
      </x:c>
      <x:c r="C1358" s="84" t="n">
        <x:v>21</x:v>
      </x:c>
      <x:c r="D1358" s="89" t="n">
        <x:v>45052</x:v>
      </x:c>
      <x:c r="E1358" s="84" t="n">
        <x:v>1</x:v>
      </x:c>
      <x:c r="F1358" s="91" t="n">
        <x:v>2288.87</x:v>
      </x:c>
    </x:row>
    <x:row r="1359">
      <x:c r="A1359" s="83" t="n">
        <x:v>1358</x:v>
      </x:c>
      <x:c r="B1359" s="84" t="n">
        <x:v>1024</x:v>
      </x:c>
      <x:c r="C1359" s="84" t="n">
        <x:v>3</x:v>
      </x:c>
      <x:c r="D1359" s="89" t="n">
        <x:v>45409</x:v>
      </x:c>
      <x:c r="E1359" s="84" t="n">
        <x:v>1</x:v>
      </x:c>
      <x:c r="F1359" s="91" t="n">
        <x:v>1151.14</x:v>
      </x:c>
    </x:row>
    <x:row r="1360">
      <x:c r="A1360" s="83" t="n">
        <x:v>1359</x:v>
      </x:c>
      <x:c r="B1360" s="84" t="n">
        <x:v>1024</x:v>
      </x:c>
      <x:c r="C1360" s="84" t="n">
        <x:v>42</x:v>
      </x:c>
      <x:c r="D1360" s="89" t="n">
        <x:v>45409</x:v>
      </x:c>
      <x:c r="E1360" s="84" t="n">
        <x:v>4</x:v>
      </x:c>
      <x:c r="F1360" s="91" t="n">
        <x:v>8686.96</x:v>
      </x:c>
    </x:row>
    <x:row r="1361">
      <x:c r="A1361" s="83" t="n">
        <x:v>1360</x:v>
      </x:c>
      <x:c r="B1361" s="84" t="n">
        <x:v>1025</x:v>
      </x:c>
      <x:c r="C1361" s="84" t="n">
        <x:v>49</x:v>
      </x:c>
      <x:c r="D1361" s="89" t="n">
        <x:v>45250</x:v>
      </x:c>
      <x:c r="E1361" s="84" t="n">
        <x:v>1</x:v>
      </x:c>
      <x:c r="F1361" s="91" t="n">
        <x:v>184.16</x:v>
      </x:c>
    </x:row>
    <x:row r="1362">
      <x:c r="A1362" s="83" t="n">
        <x:v>1361</x:v>
      </x:c>
      <x:c r="B1362" s="84" t="n">
        <x:v>1026</x:v>
      </x:c>
      <x:c r="C1362" s="84" t="n">
        <x:v>24</x:v>
      </x:c>
      <x:c r="D1362" s="89" t="n">
        <x:v>46010</x:v>
      </x:c>
      <x:c r="E1362" s="84" t="n">
        <x:v>1</x:v>
      </x:c>
      <x:c r="F1362" s="91" t="n">
        <x:v>740.91</x:v>
      </x:c>
    </x:row>
    <x:row r="1363">
      <x:c r="A1363" s="83" t="n">
        <x:v>1362</x:v>
      </x:c>
      <x:c r="B1363" s="84" t="n">
        <x:v>1026</x:v>
      </x:c>
      <x:c r="C1363" s="84" t="n">
        <x:v>71</x:v>
      </x:c>
      <x:c r="D1363" s="89" t="n">
        <x:v>46010</x:v>
      </x:c>
      <x:c r="E1363" s="84" t="n">
        <x:v>2</x:v>
      </x:c>
      <x:c r="F1363" s="91" t="n">
        <x:v>3967.04</x:v>
      </x:c>
    </x:row>
    <x:row r="1364">
      <x:c r="A1364" s="83" t="n">
        <x:v>1363</x:v>
      </x:c>
      <x:c r="B1364" s="84" t="n">
        <x:v>1026</x:v>
      </x:c>
      <x:c r="C1364" s="84" t="n">
        <x:v>68</x:v>
      </x:c>
      <x:c r="D1364" s="89" t="n">
        <x:v>46010</x:v>
      </x:c>
      <x:c r="E1364" s="84" t="n">
        <x:v>4</x:v>
      </x:c>
      <x:c r="F1364" s="91" t="n">
        <x:v>6110.44</x:v>
      </x:c>
    </x:row>
    <x:row r="1365">
      <x:c r="A1365" s="83" t="n">
        <x:v>1364</x:v>
      </x:c>
      <x:c r="B1365" s="84" t="n">
        <x:v>1027</x:v>
      </x:c>
      <x:c r="C1365" s="84" t="n">
        <x:v>77</x:v>
      </x:c>
      <x:c r="D1365" s="89" t="n">
        <x:v>45298</x:v>
      </x:c>
      <x:c r="E1365" s="84" t="n">
        <x:v>4</x:v>
      </x:c>
      <x:c r="F1365" s="91" t="n">
        <x:v>8411.64</x:v>
      </x:c>
    </x:row>
    <x:row r="1366">
      <x:c r="A1366" s="83" t="n">
        <x:v>1365</x:v>
      </x:c>
      <x:c r="B1366" s="84" t="n">
        <x:v>1027</x:v>
      </x:c>
      <x:c r="C1366" s="84" t="n">
        <x:v>11</x:v>
      </x:c>
      <x:c r="D1366" s="89" t="n">
        <x:v>45298</x:v>
      </x:c>
      <x:c r="E1366" s="84" t="n">
        <x:v>2</x:v>
      </x:c>
      <x:c r="F1366" s="91" t="n">
        <x:v>4422.52</x:v>
      </x:c>
    </x:row>
    <x:row r="1367">
      <x:c r="A1367" s="83" t="n">
        <x:v>1366</x:v>
      </x:c>
      <x:c r="B1367" s="84" t="n">
        <x:v>1028</x:v>
      </x:c>
      <x:c r="C1367" s="84" t="n">
        <x:v>11</x:v>
      </x:c>
      <x:c r="D1367" s="89" t="n">
        <x:v>45313</x:v>
      </x:c>
      <x:c r="E1367" s="84" t="n">
        <x:v>4</x:v>
      </x:c>
      <x:c r="F1367" s="91" t="n">
        <x:v>8845.04</x:v>
      </x:c>
    </x:row>
    <x:row r="1368">
      <x:c r="A1368" s="83" t="n">
        <x:v>1367</x:v>
      </x:c>
      <x:c r="B1368" s="84" t="n">
        <x:v>1028</x:v>
      </x:c>
      <x:c r="C1368" s="84" t="n">
        <x:v>21</x:v>
      </x:c>
      <x:c r="D1368" s="89" t="n">
        <x:v>45313</x:v>
      </x:c>
      <x:c r="E1368" s="84" t="n">
        <x:v>1</x:v>
      </x:c>
      <x:c r="F1368" s="91" t="n">
        <x:v>2288.87</x:v>
      </x:c>
    </x:row>
    <x:row r="1369">
      <x:c r="A1369" s="83" t="n">
        <x:v>1368</x:v>
      </x:c>
      <x:c r="B1369" s="84" t="n">
        <x:v>1028</x:v>
      </x:c>
      <x:c r="C1369" s="84" t="n">
        <x:v>12</x:v>
      </x:c>
      <x:c r="D1369" s="89" t="n">
        <x:v>45313</x:v>
      </x:c>
      <x:c r="E1369" s="84" t="n">
        <x:v>4</x:v>
      </x:c>
      <x:c r="F1369" s="91" t="n">
        <x:v>1137.96</x:v>
      </x:c>
    </x:row>
    <x:row r="1370">
      <x:c r="A1370" s="83" t="n">
        <x:v>1369</x:v>
      </x:c>
      <x:c r="B1370" s="84" t="n">
        <x:v>1030</x:v>
      </x:c>
      <x:c r="C1370" s="84" t="n">
        <x:v>73</x:v>
      </x:c>
      <x:c r="D1370" s="89" t="n">
        <x:v>45609</x:v>
      </x:c>
      <x:c r="E1370" s="84" t="n">
        <x:v>4</x:v>
      </x:c>
      <x:c r="F1370" s="91" t="n">
        <x:v>4509.24</x:v>
      </x:c>
    </x:row>
    <x:row r="1371">
      <x:c r="A1371" s="83" t="n">
        <x:v>1370</x:v>
      </x:c>
      <x:c r="B1371" s="84" t="n">
        <x:v>1030</x:v>
      </x:c>
      <x:c r="C1371" s="84" t="n">
        <x:v>4</x:v>
      </x:c>
      <x:c r="D1371" s="89" t="n">
        <x:v>45609</x:v>
      </x:c>
      <x:c r="E1371" s="84" t="n">
        <x:v>1</x:v>
      </x:c>
      <x:c r="F1371" s="91" t="n">
        <x:v>1525.31</x:v>
      </x:c>
    </x:row>
    <x:row r="1372">
      <x:c r="A1372" s="83" t="n">
        <x:v>1371</x:v>
      </x:c>
      <x:c r="B1372" s="84" t="n">
        <x:v>1030</x:v>
      </x:c>
      <x:c r="C1372" s="84" t="n">
        <x:v>23</x:v>
      </x:c>
      <x:c r="D1372" s="89" t="n">
        <x:v>45609</x:v>
      </x:c>
      <x:c r="E1372" s="84" t="n">
        <x:v>2</x:v>
      </x:c>
      <x:c r="F1372" s="91" t="n">
        <x:v>3505.7</x:v>
      </x:c>
    </x:row>
    <x:row r="1373">
      <x:c r="A1373" s="83" t="n">
        <x:v>1372</x:v>
      </x:c>
      <x:c r="B1373" s="84" t="n">
        <x:v>1032</x:v>
      </x:c>
      <x:c r="C1373" s="84" t="n">
        <x:v>52</x:v>
      </x:c>
      <x:c r="D1373" s="89" t="n">
        <x:v>45537</x:v>
      </x:c>
      <x:c r="E1373" s="84" t="n">
        <x:v>2</x:v>
      </x:c>
      <x:c r="F1373" s="91" t="n">
        <x:v>1761.26</x:v>
      </x:c>
    </x:row>
    <x:row r="1374">
      <x:c r="A1374" s="83" t="n">
        <x:v>1373</x:v>
      </x:c>
      <x:c r="B1374" s="84" t="n">
        <x:v>1034</x:v>
      </x:c>
      <x:c r="C1374" s="84" t="n">
        <x:v>74</x:v>
      </x:c>
      <x:c r="D1374" s="89" t="n">
        <x:v>45617</x:v>
      </x:c>
      <x:c r="E1374" s="84" t="n">
        <x:v>2</x:v>
      </x:c>
      <x:c r="F1374" s="91" t="n">
        <x:v>3312.7</x:v>
      </x:c>
    </x:row>
    <x:row r="1375">
      <x:c r="A1375" s="83" t="n">
        <x:v>1374</x:v>
      </x:c>
      <x:c r="B1375" s="84" t="n">
        <x:v>1034</x:v>
      </x:c>
      <x:c r="C1375" s="84" t="n">
        <x:v>9</x:v>
      </x:c>
      <x:c r="D1375" s="89" t="n">
        <x:v>45617</x:v>
      </x:c>
      <x:c r="E1375" s="84" t="n">
        <x:v>4</x:v>
      </x:c>
      <x:c r="F1375" s="91" t="n">
        <x:v>6300.24</x:v>
      </x:c>
    </x:row>
    <x:row r="1376">
      <x:c r="A1376" s="83" t="n">
        <x:v>1375</x:v>
      </x:c>
      <x:c r="B1376" s="84" t="n">
        <x:v>1034</x:v>
      </x:c>
      <x:c r="C1376" s="84" t="n">
        <x:v>56</x:v>
      </x:c>
      <x:c r="D1376" s="89" t="n">
        <x:v>45617</x:v>
      </x:c>
      <x:c r="E1376" s="84" t="n">
        <x:v>2</x:v>
      </x:c>
      <x:c r="F1376" s="91" t="n">
        <x:v>2936.92</x:v>
      </x:c>
    </x:row>
    <x:row r="1377">
      <x:c r="A1377" s="83" t="n">
        <x:v>1376</x:v>
      </x:c>
      <x:c r="B1377" s="84" t="n">
        <x:v>1037</x:v>
      </x:c>
      <x:c r="C1377" s="84" t="n">
        <x:v>3</x:v>
      </x:c>
      <x:c r="D1377" s="89" t="n">
        <x:v>45290</x:v>
      </x:c>
      <x:c r="E1377" s="84" t="n">
        <x:v>1</x:v>
      </x:c>
      <x:c r="F1377" s="91" t="n">
        <x:v>1151.14</x:v>
      </x:c>
    </x:row>
    <x:row r="1378">
      <x:c r="A1378" s="83" t="n">
        <x:v>1377</x:v>
      </x:c>
      <x:c r="B1378" s="84" t="n">
        <x:v>1037</x:v>
      </x:c>
      <x:c r="C1378" s="84" t="n">
        <x:v>50</x:v>
      </x:c>
      <x:c r="D1378" s="89" t="n">
        <x:v>45290</x:v>
      </x:c>
      <x:c r="E1378" s="84" t="n">
        <x:v>1</x:v>
      </x:c>
      <x:c r="F1378" s="91" t="n">
        <x:v>2235.95</x:v>
      </x:c>
    </x:row>
    <x:row r="1379">
      <x:c r="A1379" s="83" t="n">
        <x:v>1378</x:v>
      </x:c>
      <x:c r="B1379" s="84" t="n">
        <x:v>1037</x:v>
      </x:c>
      <x:c r="C1379" s="84" t="n">
        <x:v>44</x:v>
      </x:c>
      <x:c r="D1379" s="89" t="n">
        <x:v>45290</x:v>
      </x:c>
      <x:c r="E1379" s="84" t="n">
        <x:v>1</x:v>
      </x:c>
      <x:c r="F1379" s="91" t="n">
        <x:v>1251.48</x:v>
      </x:c>
    </x:row>
    <x:row r="1380">
      <x:c r="A1380" s="83" t="n">
        <x:v>1379</x:v>
      </x:c>
      <x:c r="B1380" s="84" t="n">
        <x:v>1038</x:v>
      </x:c>
      <x:c r="C1380" s="84" t="n">
        <x:v>55</x:v>
      </x:c>
      <x:c r="D1380" s="89" t="n">
        <x:v>45838</x:v>
      </x:c>
      <x:c r="E1380" s="84" t="n">
        <x:v>4</x:v>
      </x:c>
      <x:c r="F1380" s="91" t="n">
        <x:v>5999.4</x:v>
      </x:c>
    </x:row>
    <x:row r="1381">
      <x:c r="A1381" s="83" t="n">
        <x:v>1380</x:v>
      </x:c>
      <x:c r="B1381" s="84" t="n">
        <x:v>1038</x:v>
      </x:c>
      <x:c r="C1381" s="84" t="n">
        <x:v>72</x:v>
      </x:c>
      <x:c r="D1381" s="89" t="n">
        <x:v>45838</x:v>
      </x:c>
      <x:c r="E1381" s="84" t="n">
        <x:v>4</x:v>
      </x:c>
      <x:c r="F1381" s="91" t="n">
        <x:v>1803.32</x:v>
      </x:c>
    </x:row>
    <x:row r="1382">
      <x:c r="A1382" s="83" t="n">
        <x:v>1381</x:v>
      </x:c>
      <x:c r="B1382" s="84" t="n">
        <x:v>1043</x:v>
      </x:c>
      <x:c r="C1382" s="84" t="n">
        <x:v>46</x:v>
      </x:c>
      <x:c r="D1382" s="89" t="n">
        <x:v>45085</x:v>
      </x:c>
      <x:c r="E1382" s="84" t="n">
        <x:v>2</x:v>
      </x:c>
      <x:c r="F1382" s="91" t="n">
        <x:v>2669.9</x:v>
      </x:c>
    </x:row>
    <x:row r="1383">
      <x:c r="A1383" s="83" t="n">
        <x:v>1382</x:v>
      </x:c>
      <x:c r="B1383" s="84" t="n">
        <x:v>1043</x:v>
      </x:c>
      <x:c r="C1383" s="84" t="n">
        <x:v>61</x:v>
      </x:c>
      <x:c r="D1383" s="89" t="n">
        <x:v>45085</x:v>
      </x:c>
      <x:c r="E1383" s="84" t="n">
        <x:v>4</x:v>
      </x:c>
      <x:c r="F1383" s="91" t="n">
        <x:v>526.88</x:v>
      </x:c>
    </x:row>
    <x:row r="1384">
      <x:c r="A1384" s="83" t="n">
        <x:v>1383</x:v>
      </x:c>
      <x:c r="B1384" s="84" t="n">
        <x:v>1044</x:v>
      </x:c>
      <x:c r="C1384" s="84" t="n">
        <x:v>27</x:v>
      </x:c>
      <x:c r="D1384" s="89" t="n">
        <x:v>44951</x:v>
      </x:c>
      <x:c r="E1384" s="84" t="n">
        <x:v>2</x:v>
      </x:c>
      <x:c r="F1384" s="91" t="n">
        <x:v>321.38</x:v>
      </x:c>
    </x:row>
    <x:row r="1385">
      <x:c r="A1385" s="83" t="n">
        <x:v>1384</x:v>
      </x:c>
      <x:c r="B1385" s="84" t="n">
        <x:v>1044</x:v>
      </x:c>
      <x:c r="C1385" s="84" t="n">
        <x:v>75</x:v>
      </x:c>
      <x:c r="D1385" s="89" t="n">
        <x:v>44951</x:v>
      </x:c>
      <x:c r="E1385" s="84" t="n">
        <x:v>2</x:v>
      </x:c>
      <x:c r="F1385" s="91" t="n">
        <x:v>912.34</x:v>
      </x:c>
    </x:row>
    <x:row r="1386">
      <x:c r="A1386" s="83" t="n">
        <x:v>1385</x:v>
      </x:c>
      <x:c r="B1386" s="84" t="n">
        <x:v>1045</x:v>
      </x:c>
      <x:c r="C1386" s="84" t="n">
        <x:v>77</x:v>
      </x:c>
      <x:c r="D1386" s="89" t="n">
        <x:v>44987</x:v>
      </x:c>
      <x:c r="E1386" s="84" t="n">
        <x:v>2</x:v>
      </x:c>
      <x:c r="F1386" s="91" t="n">
        <x:v>4205.82</x:v>
      </x:c>
    </x:row>
    <x:row r="1387">
      <x:c r="A1387" s="83" t="n">
        <x:v>1386</x:v>
      </x:c>
      <x:c r="B1387" s="84" t="n">
        <x:v>1046</x:v>
      </x:c>
      <x:c r="C1387" s="84" t="n">
        <x:v>78</x:v>
      </x:c>
      <x:c r="D1387" s="89" t="n">
        <x:v>45827</x:v>
      </x:c>
      <x:c r="E1387" s="84" t="n">
        <x:v>3</x:v>
      </x:c>
      <x:c r="F1387" s="91" t="n">
        <x:v>850.8</x:v>
      </x:c>
    </x:row>
    <x:row r="1388">
      <x:c r="A1388" s="83" t="n">
        <x:v>1387</x:v>
      </x:c>
      <x:c r="B1388" s="84" t="n">
        <x:v>1046</x:v>
      </x:c>
      <x:c r="C1388" s="84" t="n">
        <x:v>21</x:v>
      </x:c>
      <x:c r="D1388" s="89" t="n">
        <x:v>45827</x:v>
      </x:c>
      <x:c r="E1388" s="84" t="n">
        <x:v>3</x:v>
      </x:c>
      <x:c r="F1388" s="91" t="n">
        <x:v>6866.61</x:v>
      </x:c>
    </x:row>
    <x:row r="1389">
      <x:c r="A1389" s="83" t="n">
        <x:v>1388</x:v>
      </x:c>
      <x:c r="B1389" s="84" t="n">
        <x:v>1046</x:v>
      </x:c>
      <x:c r="C1389" s="84" t="n">
        <x:v>49</x:v>
      </x:c>
      <x:c r="D1389" s="89" t="n">
        <x:v>45827</x:v>
      </x:c>
      <x:c r="E1389" s="84" t="n">
        <x:v>4</x:v>
      </x:c>
      <x:c r="F1389" s="91" t="n">
        <x:v>736.64</x:v>
      </x:c>
    </x:row>
    <x:row r="1390">
      <x:c r="A1390" s="83" t="n">
        <x:v>1389</x:v>
      </x:c>
      <x:c r="B1390" s="84" t="n">
        <x:v>1047</x:v>
      </x:c>
      <x:c r="C1390" s="84" t="n">
        <x:v>45</x:v>
      </x:c>
      <x:c r="D1390" s="89" t="n">
        <x:v>45101</x:v>
      </x:c>
      <x:c r="E1390" s="84" t="n">
        <x:v>4</x:v>
      </x:c>
      <x:c r="F1390" s="91" t="n">
        <x:v>5565.68</x:v>
      </x:c>
    </x:row>
    <x:row r="1391">
      <x:c r="A1391" s="83" t="n">
        <x:v>1390</x:v>
      </x:c>
      <x:c r="B1391" s="84" t="n">
        <x:v>1048</x:v>
      </x:c>
      <x:c r="C1391" s="84" t="n">
        <x:v>33</x:v>
      </x:c>
      <x:c r="D1391" s="89" t="n">
        <x:v>45092</x:v>
      </x:c>
      <x:c r="E1391" s="84" t="n">
        <x:v>4</x:v>
      </x:c>
      <x:c r="F1391" s="91" t="n">
        <x:v>9387.68</x:v>
      </x:c>
    </x:row>
    <x:row r="1392">
      <x:c r="A1392" s="83" t="n">
        <x:v>1391</x:v>
      </x:c>
      <x:c r="B1392" s="84" t="n">
        <x:v>1048</x:v>
      </x:c>
      <x:c r="C1392" s="84" t="n">
        <x:v>16</x:v>
      </x:c>
      <x:c r="D1392" s="89" t="n">
        <x:v>45092</x:v>
      </x:c>
      <x:c r="E1392" s="84" t="n">
        <x:v>3</x:v>
      </x:c>
      <x:c r="F1392" s="91" t="n">
        <x:v>1817.34</x:v>
      </x:c>
    </x:row>
    <x:row r="1393">
      <x:c r="A1393" s="83" t="n">
        <x:v>1392</x:v>
      </x:c>
      <x:c r="B1393" s="84" t="n">
        <x:v>1049</x:v>
      </x:c>
      <x:c r="C1393" s="84" t="n">
        <x:v>67</x:v>
      </x:c>
      <x:c r="D1393" s="89" t="n">
        <x:v>45054</x:v>
      </x:c>
      <x:c r="E1393" s="84" t="n">
        <x:v>4</x:v>
      </x:c>
      <x:c r="F1393" s="91" t="n">
        <x:v>5118.12</x:v>
      </x:c>
    </x:row>
    <x:row r="1394">
      <x:c r="A1394" s="83" t="n">
        <x:v>1393</x:v>
      </x:c>
      <x:c r="B1394" s="84" t="n">
        <x:v>1049</x:v>
      </x:c>
      <x:c r="C1394" s="84" t="n">
        <x:v>38</x:v>
      </x:c>
      <x:c r="D1394" s="89" t="n">
        <x:v>45054</x:v>
      </x:c>
      <x:c r="E1394" s="84" t="n">
        <x:v>1</x:v>
      </x:c>
      <x:c r="F1394" s="91" t="n">
        <x:v>726.49</x:v>
      </x:c>
    </x:row>
    <x:row r="1395">
      <x:c r="A1395" s="83" t="n">
        <x:v>1394</x:v>
      </x:c>
      <x:c r="B1395" s="84" t="n">
        <x:v>1050</x:v>
      </x:c>
      <x:c r="C1395" s="84" t="n">
        <x:v>55</x:v>
      </x:c>
      <x:c r="D1395" s="89" t="n">
        <x:v>45976</x:v>
      </x:c>
      <x:c r="E1395" s="84" t="n">
        <x:v>1</x:v>
      </x:c>
      <x:c r="F1395" s="91" t="n">
        <x:v>1499.85</x:v>
      </x:c>
    </x:row>
    <x:row r="1396">
      <x:c r="A1396" s="83" t="n">
        <x:v>1395</x:v>
      </x:c>
      <x:c r="B1396" s="84" t="n">
        <x:v>1050</x:v>
      </x:c>
      <x:c r="C1396" s="84" t="n">
        <x:v>22</x:v>
      </x:c>
      <x:c r="D1396" s="89" t="n">
        <x:v>45976</x:v>
      </x:c>
      <x:c r="E1396" s="84" t="n">
        <x:v>3</x:v>
      </x:c>
      <x:c r="F1396" s="91" t="n">
        <x:v>1565.67</x:v>
      </x:c>
    </x:row>
    <x:row r="1397">
      <x:c r="A1397" s="83" t="n">
        <x:v>1396</x:v>
      </x:c>
      <x:c r="B1397" s="84" t="n">
        <x:v>1052</x:v>
      </x:c>
      <x:c r="C1397" s="84" t="n">
        <x:v>50</x:v>
      </x:c>
      <x:c r="D1397" s="89" t="n">
        <x:v>45722</x:v>
      </x:c>
      <x:c r="E1397" s="84" t="n">
        <x:v>3</x:v>
      </x:c>
      <x:c r="F1397" s="91" t="n">
        <x:v>6707.85</x:v>
      </x:c>
    </x:row>
    <x:row r="1398">
      <x:c r="A1398" s="83" t="n">
        <x:v>1397</x:v>
      </x:c>
      <x:c r="B1398" s="84" t="n">
        <x:v>1052</x:v>
      </x:c>
      <x:c r="C1398" s="84" t="n">
        <x:v>9</x:v>
      </x:c>
      <x:c r="D1398" s="89" t="n">
        <x:v>45722</x:v>
      </x:c>
      <x:c r="E1398" s="84" t="n">
        <x:v>4</x:v>
      </x:c>
      <x:c r="F1398" s="91" t="n">
        <x:v>6300.24</x:v>
      </x:c>
    </x:row>
    <x:row r="1399">
      <x:c r="A1399" s="83" t="n">
        <x:v>1398</x:v>
      </x:c>
      <x:c r="B1399" s="84" t="n">
        <x:v>1052</x:v>
      </x:c>
      <x:c r="C1399" s="84" t="n">
        <x:v>16</x:v>
      </x:c>
      <x:c r="D1399" s="89" t="n">
        <x:v>45722</x:v>
      </x:c>
      <x:c r="E1399" s="84" t="n">
        <x:v>2</x:v>
      </x:c>
      <x:c r="F1399" s="91" t="n">
        <x:v>1211.56</x:v>
      </x:c>
    </x:row>
    <x:row r="1400">
      <x:c r="A1400" s="83" t="n">
        <x:v>1399</x:v>
      </x:c>
      <x:c r="B1400" s="84" t="n">
        <x:v>1053</x:v>
      </x:c>
      <x:c r="C1400" s="84" t="n">
        <x:v>71</x:v>
      </x:c>
      <x:c r="D1400" s="89" t="n">
        <x:v>45297</x:v>
      </x:c>
      <x:c r="E1400" s="84" t="n">
        <x:v>1</x:v>
      </x:c>
      <x:c r="F1400" s="91" t="n">
        <x:v>1983.52</x:v>
      </x:c>
    </x:row>
    <x:row r="1401">
      <x:c r="A1401" s="83" t="n">
        <x:v>1400</x:v>
      </x:c>
      <x:c r="B1401" s="84" t="n">
        <x:v>1055</x:v>
      </x:c>
      <x:c r="C1401" s="84" t="n">
        <x:v>47</x:v>
      </x:c>
      <x:c r="D1401" s="89" t="n">
        <x:v>45970</x:v>
      </x:c>
      <x:c r="E1401" s="84" t="n">
        <x:v>1</x:v>
      </x:c>
      <x:c r="F1401" s="91" t="n">
        <x:v>2175.62</x:v>
      </x:c>
    </x:row>
    <x:row r="1402">
      <x:c r="A1402" s="83" t="n">
        <x:v>1401</x:v>
      </x:c>
      <x:c r="B1402" s="84" t="n">
        <x:v>1057</x:v>
      </x:c>
      <x:c r="C1402" s="84" t="n">
        <x:v>77</x:v>
      </x:c>
      <x:c r="D1402" s="89" t="n">
        <x:v>45604</x:v>
      </x:c>
      <x:c r="E1402" s="84" t="n">
        <x:v>2</x:v>
      </x:c>
      <x:c r="F1402" s="91" t="n">
        <x:v>4205.82</x:v>
      </x:c>
    </x:row>
    <x:row r="1403">
      <x:c r="A1403" s="83" t="n">
        <x:v>1402</x:v>
      </x:c>
      <x:c r="B1403" s="84" t="n">
        <x:v>1058</x:v>
      </x:c>
      <x:c r="C1403" s="84" t="n">
        <x:v>32</x:v>
      </x:c>
      <x:c r="D1403" s="89" t="n">
        <x:v>45063</x:v>
      </x:c>
      <x:c r="E1403" s="84" t="n">
        <x:v>2</x:v>
      </x:c>
      <x:c r="F1403" s="91" t="n">
        <x:v>3626.5</x:v>
      </x:c>
    </x:row>
    <x:row r="1404">
      <x:c r="A1404" s="83" t="n">
        <x:v>1403</x:v>
      </x:c>
      <x:c r="B1404" s="84" t="n">
        <x:v>1058</x:v>
      </x:c>
      <x:c r="C1404" s="84" t="n">
        <x:v>44</x:v>
      </x:c>
      <x:c r="D1404" s="89" t="n">
        <x:v>45063</x:v>
      </x:c>
      <x:c r="E1404" s="84" t="n">
        <x:v>3</x:v>
      </x:c>
      <x:c r="F1404" s="91" t="n">
        <x:v>3754.44</x:v>
      </x:c>
    </x:row>
    <x:row r="1405">
      <x:c r="A1405" s="83" t="n">
        <x:v>1404</x:v>
      </x:c>
      <x:c r="B1405" s="84" t="n">
        <x:v>1058</x:v>
      </x:c>
      <x:c r="C1405" s="84" t="n">
        <x:v>48</x:v>
      </x:c>
      <x:c r="D1405" s="89" t="n">
        <x:v>45063</x:v>
      </x:c>
      <x:c r="E1405" s="84" t="n">
        <x:v>1</x:v>
      </x:c>
      <x:c r="F1405" s="91" t="n">
        <x:v>1161.45</x:v>
      </x:c>
    </x:row>
    <x:row r="1406">
      <x:c r="A1406" s="83" t="n">
        <x:v>1405</x:v>
      </x:c>
      <x:c r="B1406" s="84" t="n">
        <x:v>1059</x:v>
      </x:c>
      <x:c r="C1406" s="84" t="n">
        <x:v>35</x:v>
      </x:c>
      <x:c r="D1406" s="89" t="n">
        <x:v>45525</x:v>
      </x:c>
      <x:c r="E1406" s="84" t="n">
        <x:v>4</x:v>
      </x:c>
      <x:c r="F1406" s="91" t="n">
        <x:v>5883.12</x:v>
      </x:c>
    </x:row>
    <x:row r="1407">
      <x:c r="A1407" s="83" t="n">
        <x:v>1406</x:v>
      </x:c>
      <x:c r="B1407" s="84" t="n">
        <x:v>1059</x:v>
      </x:c>
      <x:c r="C1407" s="84" t="n">
        <x:v>71</x:v>
      </x:c>
      <x:c r="D1407" s="89" t="n">
        <x:v>45525</x:v>
      </x:c>
      <x:c r="E1407" s="84" t="n">
        <x:v>2</x:v>
      </x:c>
      <x:c r="F1407" s="91" t="n">
        <x:v>3967.04</x:v>
      </x:c>
    </x:row>
    <x:row r="1408">
      <x:c r="A1408" s="83" t="n">
        <x:v>1407</x:v>
      </x:c>
      <x:c r="B1408" s="84" t="n">
        <x:v>1060</x:v>
      </x:c>
      <x:c r="C1408" s="84" t="n">
        <x:v>68</x:v>
      </x:c>
      <x:c r="D1408" s="89" t="n">
        <x:v>45942</x:v>
      </x:c>
      <x:c r="E1408" s="84" t="n">
        <x:v>4</x:v>
      </x:c>
      <x:c r="F1408" s="91" t="n">
        <x:v>6110.44</x:v>
      </x:c>
    </x:row>
    <x:row r="1409">
      <x:c r="A1409" s="83" t="n">
        <x:v>1408</x:v>
      </x:c>
      <x:c r="B1409" s="84" t="n">
        <x:v>1060</x:v>
      </x:c>
      <x:c r="C1409" s="84" t="n">
        <x:v>66</x:v>
      </x:c>
      <x:c r="D1409" s="89" t="n">
        <x:v>45942</x:v>
      </x:c>
      <x:c r="E1409" s="84" t="n">
        <x:v>2</x:v>
      </x:c>
      <x:c r="F1409" s="91" t="n">
        <x:v>3824.9</x:v>
      </x:c>
    </x:row>
    <x:row r="1410">
      <x:c r="A1410" s="83" t="n">
        <x:v>1409</x:v>
      </x:c>
      <x:c r="B1410" s="84" t="n">
        <x:v>1060</x:v>
      </x:c>
      <x:c r="C1410" s="84" t="n">
        <x:v>30</x:v>
      </x:c>
      <x:c r="D1410" s="89" t="n">
        <x:v>45942</x:v>
      </x:c>
      <x:c r="E1410" s="84" t="n">
        <x:v>1</x:v>
      </x:c>
      <x:c r="F1410" s="91" t="n">
        <x:v>1278.76</x:v>
      </x:c>
    </x:row>
    <x:row r="1411">
      <x:c r="A1411" s="83" t="n">
        <x:v>1410</x:v>
      </x:c>
      <x:c r="B1411" s="84" t="n">
        <x:v>1061</x:v>
      </x:c>
      <x:c r="C1411" s="84" t="n">
        <x:v>35</x:v>
      </x:c>
      <x:c r="D1411" s="89" t="n">
        <x:v>45775</x:v>
      </x:c>
      <x:c r="E1411" s="84" t="n">
        <x:v>3</x:v>
      </x:c>
      <x:c r="F1411" s="91" t="n">
        <x:v>4412.34</x:v>
      </x:c>
    </x:row>
    <x:row r="1412">
      <x:c r="A1412" s="83" t="n">
        <x:v>1411</x:v>
      </x:c>
      <x:c r="B1412" s="84" t="n">
        <x:v>1061</x:v>
      </x:c>
      <x:c r="C1412" s="84" t="n">
        <x:v>37</x:v>
      </x:c>
      <x:c r="D1412" s="89" t="n">
        <x:v>45775</x:v>
      </x:c>
      <x:c r="E1412" s="84" t="n">
        <x:v>3</x:v>
      </x:c>
      <x:c r="F1412" s="91" t="n">
        <x:v>3101.13</x:v>
      </x:c>
    </x:row>
    <x:row r="1413">
      <x:c r="A1413" s="83" t="n">
        <x:v>1412</x:v>
      </x:c>
      <x:c r="B1413" s="84" t="n">
        <x:v>1061</x:v>
      </x:c>
      <x:c r="C1413" s="84" t="n">
        <x:v>36</x:v>
      </x:c>
      <x:c r="D1413" s="89" t="n">
        <x:v>45775</x:v>
      </x:c>
      <x:c r="E1413" s="84" t="n">
        <x:v>1</x:v>
      </x:c>
      <x:c r="F1413" s="91" t="n">
        <x:v>596.41</x:v>
      </x:c>
    </x:row>
    <x:row r="1414">
      <x:c r="A1414" s="83" t="n">
        <x:v>1413</x:v>
      </x:c>
      <x:c r="B1414" s="84" t="n">
        <x:v>1069</x:v>
      </x:c>
      <x:c r="C1414" s="84" t="n">
        <x:v>16</x:v>
      </x:c>
      <x:c r="D1414" s="89" t="n">
        <x:v>45699</x:v>
      </x:c>
      <x:c r="E1414" s="84" t="n">
        <x:v>1</x:v>
      </x:c>
      <x:c r="F1414" s="91" t="n">
        <x:v>605.78</x:v>
      </x:c>
    </x:row>
    <x:row r="1415">
      <x:c r="A1415" s="83" t="n">
        <x:v>1414</x:v>
      </x:c>
      <x:c r="B1415" s="84" t="n">
        <x:v>1069</x:v>
      </x:c>
      <x:c r="C1415" s="84" t="n">
        <x:v>21</x:v>
      </x:c>
      <x:c r="D1415" s="89" t="n">
        <x:v>45699</x:v>
      </x:c>
      <x:c r="E1415" s="84" t="n">
        <x:v>4</x:v>
      </x:c>
      <x:c r="F1415" s="91" t="n">
        <x:v>9155.48</x:v>
      </x:c>
    </x:row>
    <x:row r="1416">
      <x:c r="A1416" s="83" t="n">
        <x:v>1415</x:v>
      </x:c>
      <x:c r="B1416" s="84" t="n">
        <x:v>1070</x:v>
      </x:c>
      <x:c r="C1416" s="84" t="n">
        <x:v>50</x:v>
      </x:c>
      <x:c r="D1416" s="89" t="n">
        <x:v>45100</x:v>
      </x:c>
      <x:c r="E1416" s="84" t="n">
        <x:v>2</x:v>
      </x:c>
      <x:c r="F1416" s="91" t="n">
        <x:v>4471.9</x:v>
      </x:c>
    </x:row>
    <x:row r="1417">
      <x:c r="A1417" s="83" t="n">
        <x:v>1416</x:v>
      </x:c>
      <x:c r="B1417" s="84" t="n">
        <x:v>1070</x:v>
      </x:c>
      <x:c r="C1417" s="84" t="n">
        <x:v>33</x:v>
      </x:c>
      <x:c r="D1417" s="89" t="n">
        <x:v>45100</x:v>
      </x:c>
      <x:c r="E1417" s="84" t="n">
        <x:v>2</x:v>
      </x:c>
      <x:c r="F1417" s="91" t="n">
        <x:v>4693.84</x:v>
      </x:c>
    </x:row>
    <x:row r="1418">
      <x:c r="A1418" s="83" t="n">
        <x:v>1417</x:v>
      </x:c>
      <x:c r="B1418" s="84" t="n">
        <x:v>1070</x:v>
      </x:c>
      <x:c r="C1418" s="84" t="n">
        <x:v>35</x:v>
      </x:c>
      <x:c r="D1418" s="89" t="n">
        <x:v>45100</x:v>
      </x:c>
      <x:c r="E1418" s="84" t="n">
        <x:v>1</x:v>
      </x:c>
      <x:c r="F1418" s="91" t="n">
        <x:v>1470.78</x:v>
      </x:c>
    </x:row>
    <x:row r="1419">
      <x:c r="A1419" s="83" t="n">
        <x:v>1418</x:v>
      </x:c>
      <x:c r="B1419" s="84" t="n">
        <x:v>1071</x:v>
      </x:c>
      <x:c r="C1419" s="84" t="n">
        <x:v>3</x:v>
      </x:c>
      <x:c r="D1419" s="89" t="n">
        <x:v>45207</x:v>
      </x:c>
      <x:c r="E1419" s="84" t="n">
        <x:v>4</x:v>
      </x:c>
      <x:c r="F1419" s="91" t="n">
        <x:v>4604.56</x:v>
      </x:c>
    </x:row>
    <x:row r="1420">
      <x:c r="A1420" s="83" t="n">
        <x:v>1419</x:v>
      </x:c>
      <x:c r="B1420" s="84" t="n">
        <x:v>1072</x:v>
      </x:c>
      <x:c r="C1420" s="84" t="n">
        <x:v>6</x:v>
      </x:c>
      <x:c r="D1420" s="89" t="n">
        <x:v>45318</x:v>
      </x:c>
      <x:c r="E1420" s="84" t="n">
        <x:v>2</x:v>
      </x:c>
      <x:c r="F1420" s="91" t="n">
        <x:v>1394.74</x:v>
      </x:c>
    </x:row>
    <x:row r="1421">
      <x:c r="A1421" s="83" t="n">
        <x:v>1420</x:v>
      </x:c>
      <x:c r="B1421" s="84" t="n">
        <x:v>1072</x:v>
      </x:c>
      <x:c r="C1421" s="84" t="n">
        <x:v>49</x:v>
      </x:c>
      <x:c r="D1421" s="89" t="n">
        <x:v>45318</x:v>
      </x:c>
      <x:c r="E1421" s="84" t="n">
        <x:v>4</x:v>
      </x:c>
      <x:c r="F1421" s="91" t="n">
        <x:v>736.64</x:v>
      </x:c>
    </x:row>
    <x:row r="1422">
      <x:c r="A1422" s="83" t="n">
        <x:v>1421</x:v>
      </x:c>
      <x:c r="B1422" s="84" t="n">
        <x:v>1076</x:v>
      </x:c>
      <x:c r="C1422" s="84" t="n">
        <x:v>43</x:v>
      </x:c>
      <x:c r="D1422" s="89" t="n">
        <x:v>45515</x:v>
      </x:c>
      <x:c r="E1422" s="84" t="n">
        <x:v>3</x:v>
      </x:c>
      <x:c r="F1422" s="91" t="n">
        <x:v>4396.26</x:v>
      </x:c>
    </x:row>
    <x:row r="1423">
      <x:c r="A1423" s="83" t="n">
        <x:v>1422</x:v>
      </x:c>
      <x:c r="B1423" s="84" t="n">
        <x:v>1076</x:v>
      </x:c>
      <x:c r="C1423" s="84" t="n">
        <x:v>13</x:v>
      </x:c>
      <x:c r="D1423" s="89" t="n">
        <x:v>45515</x:v>
      </x:c>
      <x:c r="E1423" s="84" t="n">
        <x:v>1</x:v>
      </x:c>
      <x:c r="F1423" s="91" t="n">
        <x:v>802.05</x:v>
      </x:c>
    </x:row>
    <x:row r="1424">
      <x:c r="A1424" s="83" t="n">
        <x:v>1423</x:v>
      </x:c>
      <x:c r="B1424" s="84" t="n">
        <x:v>1076</x:v>
      </x:c>
      <x:c r="C1424" s="84" t="n">
        <x:v>60</x:v>
      </x:c>
      <x:c r="D1424" s="89" t="n">
        <x:v>45515</x:v>
      </x:c>
      <x:c r="E1424" s="84" t="n">
        <x:v>3</x:v>
      </x:c>
      <x:c r="F1424" s="91" t="n">
        <x:v>1061.4</x:v>
      </x:c>
    </x:row>
    <x:row r="1425">
      <x:c r="A1425" s="83" t="n">
        <x:v>1424</x:v>
      </x:c>
      <x:c r="B1425" s="84" t="n">
        <x:v>1077</x:v>
      </x:c>
      <x:c r="C1425" s="84" t="n">
        <x:v>2</x:v>
      </x:c>
      <x:c r="D1425" s="89" t="n">
        <x:v>45437</x:v>
      </x:c>
      <x:c r="E1425" s="84" t="n">
        <x:v>2</x:v>
      </x:c>
      <x:c r="F1425" s="91" t="n">
        <x:v>1988.62</x:v>
      </x:c>
    </x:row>
    <x:row r="1426">
      <x:c r="A1426" s="83" t="n">
        <x:v>1425</x:v>
      </x:c>
      <x:c r="B1426" s="84" t="n">
        <x:v>1077</x:v>
      </x:c>
      <x:c r="C1426" s="84" t="n">
        <x:v>39</x:v>
      </x:c>
      <x:c r="D1426" s="89" t="n">
        <x:v>45437</x:v>
      </x:c>
      <x:c r="E1426" s="84" t="n">
        <x:v>4</x:v>
      </x:c>
      <x:c r="F1426" s="91" t="n">
        <x:v>2710.4</x:v>
      </x:c>
    </x:row>
    <x:row r="1427">
      <x:c r="A1427" s="83" t="n">
        <x:v>1426</x:v>
      </x:c>
      <x:c r="B1427" s="84" t="n">
        <x:v>1079</x:v>
      </x:c>
      <x:c r="C1427" s="84" t="n">
        <x:v>74</x:v>
      </x:c>
      <x:c r="D1427" s="89" t="n">
        <x:v>45556</x:v>
      </x:c>
      <x:c r="E1427" s="84" t="n">
        <x:v>1</x:v>
      </x:c>
      <x:c r="F1427" s="91" t="n">
        <x:v>1656.35</x:v>
      </x:c>
    </x:row>
    <x:row r="1428">
      <x:c r="A1428" s="83" t="n">
        <x:v>1427</x:v>
      </x:c>
      <x:c r="B1428" s="84" t="n">
        <x:v>1079</x:v>
      </x:c>
      <x:c r="C1428" s="84" t="n">
        <x:v>7</x:v>
      </x:c>
      <x:c r="D1428" s="89" t="n">
        <x:v>45556</x:v>
      </x:c>
      <x:c r="E1428" s="84" t="n">
        <x:v>4</x:v>
      </x:c>
      <x:c r="F1428" s="91" t="n">
        <x:v>1467.2</x:v>
      </x:c>
    </x:row>
    <x:row r="1429">
      <x:c r="A1429" s="83" t="n">
        <x:v>1428</x:v>
      </x:c>
      <x:c r="B1429" s="84" t="n">
        <x:v>1079</x:v>
      </x:c>
      <x:c r="C1429" s="84" t="n">
        <x:v>24</x:v>
      </x:c>
      <x:c r="D1429" s="89" t="n">
        <x:v>45556</x:v>
      </x:c>
      <x:c r="E1429" s="84" t="n">
        <x:v>1</x:v>
      </x:c>
      <x:c r="F1429" s="91" t="n">
        <x:v>740.91</x:v>
      </x:c>
    </x:row>
    <x:row r="1430">
      <x:c r="A1430" s="83" t="n">
        <x:v>1429</x:v>
      </x:c>
      <x:c r="B1430" s="84" t="n">
        <x:v>1080</x:v>
      </x:c>
      <x:c r="C1430" s="84" t="n">
        <x:v>59</x:v>
      </x:c>
      <x:c r="D1430" s="89" t="n">
        <x:v>45118</x:v>
      </x:c>
      <x:c r="E1430" s="84" t="n">
        <x:v>2</x:v>
      </x:c>
      <x:c r="F1430" s="91" t="n">
        <x:v>3032.9</x:v>
      </x:c>
    </x:row>
    <x:row r="1431">
      <x:c r="A1431" s="83" t="n">
        <x:v>1430</x:v>
      </x:c>
      <x:c r="B1431" s="84" t="n">
        <x:v>1080</x:v>
      </x:c>
      <x:c r="C1431" s="84" t="n">
        <x:v>35</x:v>
      </x:c>
      <x:c r="D1431" s="89" t="n">
        <x:v>45118</x:v>
      </x:c>
      <x:c r="E1431" s="84" t="n">
        <x:v>3</x:v>
      </x:c>
      <x:c r="F1431" s="91" t="n">
        <x:v>4412.34</x:v>
      </x:c>
    </x:row>
    <x:row r="1432">
      <x:c r="A1432" s="83" t="n">
        <x:v>1431</x:v>
      </x:c>
      <x:c r="B1432" s="84" t="n">
        <x:v>1080</x:v>
      </x:c>
      <x:c r="C1432" s="84" t="n">
        <x:v>50</x:v>
      </x:c>
      <x:c r="D1432" s="89" t="n">
        <x:v>45118</x:v>
      </x:c>
      <x:c r="E1432" s="84" t="n">
        <x:v>3</x:v>
      </x:c>
      <x:c r="F1432" s="91" t="n">
        <x:v>6707.85</x:v>
      </x:c>
    </x:row>
    <x:row r="1433">
      <x:c r="A1433" s="83" t="n">
        <x:v>1432</x:v>
      </x:c>
      <x:c r="B1433" s="84" t="n">
        <x:v>1081</x:v>
      </x:c>
      <x:c r="C1433" s="84" t="n">
        <x:v>2</x:v>
      </x:c>
      <x:c r="D1433" s="89" t="n">
        <x:v>45197</x:v>
      </x:c>
      <x:c r="E1433" s="84" t="n">
        <x:v>2</x:v>
      </x:c>
      <x:c r="F1433" s="91" t="n">
        <x:v>1988.62</x:v>
      </x:c>
    </x:row>
    <x:row r="1434">
      <x:c r="A1434" s="83" t="n">
        <x:v>1433</x:v>
      </x:c>
      <x:c r="B1434" s="84" t="n">
        <x:v>1081</x:v>
      </x:c>
      <x:c r="C1434" s="84" t="n">
        <x:v>6</x:v>
      </x:c>
      <x:c r="D1434" s="89" t="n">
        <x:v>45197</x:v>
      </x:c>
      <x:c r="E1434" s="84" t="n">
        <x:v>3</x:v>
      </x:c>
      <x:c r="F1434" s="91" t="n">
        <x:v>2092.11</x:v>
      </x:c>
    </x:row>
    <x:row r="1435">
      <x:c r="A1435" s="83" t="n">
        <x:v>1434</x:v>
      </x:c>
      <x:c r="B1435" s="84" t="n">
        <x:v>1081</x:v>
      </x:c>
      <x:c r="C1435" s="84" t="n">
        <x:v>68</x:v>
      </x:c>
      <x:c r="D1435" s="89" t="n">
        <x:v>45197</x:v>
      </x:c>
      <x:c r="E1435" s="84" t="n">
        <x:v>1</x:v>
      </x:c>
      <x:c r="F1435" s="91" t="n">
        <x:v>1527.61</x:v>
      </x:c>
    </x:row>
    <x:row r="1436">
      <x:c r="A1436" s="83" t="n">
        <x:v>1435</x:v>
      </x:c>
      <x:c r="B1436" s="84" t="n">
        <x:v>1083</x:v>
      </x:c>
      <x:c r="C1436" s="84" t="n">
        <x:v>77</x:v>
      </x:c>
      <x:c r="D1436" s="89" t="n">
        <x:v>45674</x:v>
      </x:c>
      <x:c r="E1436" s="84" t="n">
        <x:v>2</x:v>
      </x:c>
      <x:c r="F1436" s="91" t="n">
        <x:v>4205.82</x:v>
      </x:c>
    </x:row>
    <x:row r="1437">
      <x:c r="A1437" s="83" t="n">
        <x:v>1436</x:v>
      </x:c>
      <x:c r="B1437" s="84" t="n">
        <x:v>1084</x:v>
      </x:c>
      <x:c r="C1437" s="84" t="n">
        <x:v>53</x:v>
      </x:c>
      <x:c r="D1437" s="89" t="n">
        <x:v>45891</x:v>
      </x:c>
      <x:c r="E1437" s="84" t="n">
        <x:v>4</x:v>
      </x:c>
      <x:c r="F1437" s="91" t="n">
        <x:v>6363.68</x:v>
      </x:c>
    </x:row>
    <x:row r="1438">
      <x:c r="A1438" s="83" t="n">
        <x:v>1437</x:v>
      </x:c>
      <x:c r="B1438" s="84" t="n">
        <x:v>1085</x:v>
      </x:c>
      <x:c r="C1438" s="84" t="n">
        <x:v>21</x:v>
      </x:c>
      <x:c r="D1438" s="89" t="n">
        <x:v>45224</x:v>
      </x:c>
      <x:c r="E1438" s="84" t="n">
        <x:v>4</x:v>
      </x:c>
      <x:c r="F1438" s="91" t="n">
        <x:v>9155.48</x:v>
      </x:c>
    </x:row>
    <x:row r="1439">
      <x:c r="A1439" s="83" t="n">
        <x:v>1438</x:v>
      </x:c>
      <x:c r="B1439" s="84" t="n">
        <x:v>1085</x:v>
      </x:c>
      <x:c r="C1439" s="84" t="n">
        <x:v>61</x:v>
      </x:c>
      <x:c r="D1439" s="89" t="n">
        <x:v>45224</x:v>
      </x:c>
      <x:c r="E1439" s="84" t="n">
        <x:v>1</x:v>
      </x:c>
      <x:c r="F1439" s="91" t="n">
        <x:v>131.72</x:v>
      </x:c>
    </x:row>
    <x:row r="1440">
      <x:c r="A1440" s="83" t="n">
        <x:v>1439</x:v>
      </x:c>
      <x:c r="B1440" s="84" t="n">
        <x:v>1086</x:v>
      </x:c>
      <x:c r="C1440" s="84" t="n">
        <x:v>25</x:v>
      </x:c>
      <x:c r="D1440" s="89" t="n">
        <x:v>45045</x:v>
      </x:c>
      <x:c r="E1440" s="84" t="n">
        <x:v>1</x:v>
      </x:c>
      <x:c r="F1440" s="91" t="n">
        <x:v>1079.45</x:v>
      </x:c>
    </x:row>
    <x:row r="1441">
      <x:c r="A1441" s="83" t="n">
        <x:v>1440</x:v>
      </x:c>
      <x:c r="B1441" s="84" t="n">
        <x:v>1086</x:v>
      </x:c>
      <x:c r="C1441" s="84" t="n">
        <x:v>4</x:v>
      </x:c>
      <x:c r="D1441" s="89" t="n">
        <x:v>45045</x:v>
      </x:c>
      <x:c r="E1441" s="84" t="n">
        <x:v>2</x:v>
      </x:c>
      <x:c r="F1441" s="91" t="n">
        <x:v>3050.62</x:v>
      </x:c>
    </x:row>
    <x:row r="1442">
      <x:c r="A1442" s="83" t="n">
        <x:v>1441</x:v>
      </x:c>
      <x:c r="B1442" s="84" t="n">
        <x:v>1086</x:v>
      </x:c>
      <x:c r="C1442" s="84" t="n">
        <x:v>30</x:v>
      </x:c>
      <x:c r="D1442" s="89" t="n">
        <x:v>45045</x:v>
      </x:c>
      <x:c r="E1442" s="84" t="n">
        <x:v>1</x:v>
      </x:c>
      <x:c r="F1442" s="91" t="n">
        <x:v>1278.76</x:v>
      </x:c>
    </x:row>
    <x:row r="1443">
      <x:c r="A1443" s="83" t="n">
        <x:v>1442</x:v>
      </x:c>
      <x:c r="B1443" s="84" t="n">
        <x:v>1088</x:v>
      </x:c>
      <x:c r="C1443" s="84" t="n">
        <x:v>9</x:v>
      </x:c>
      <x:c r="D1443" s="89" t="n">
        <x:v>44948</x:v>
      </x:c>
      <x:c r="E1443" s="84" t="n">
        <x:v>4</x:v>
      </x:c>
      <x:c r="F1443" s="91" t="n">
        <x:v>6300.24</x:v>
      </x:c>
    </x:row>
    <x:row r="1444">
      <x:c r="A1444" s="83" t="n">
        <x:v>1443</x:v>
      </x:c>
      <x:c r="B1444" s="84" t="n">
        <x:v>1088</x:v>
      </x:c>
      <x:c r="C1444" s="84" t="n">
        <x:v>15</x:v>
      </x:c>
      <x:c r="D1444" s="89" t="n">
        <x:v>44948</x:v>
      </x:c>
      <x:c r="E1444" s="84" t="n">
        <x:v>1</x:v>
      </x:c>
      <x:c r="F1444" s="91" t="n">
        <x:v>1234.61</x:v>
      </x:c>
    </x:row>
    <x:row r="1445">
      <x:c r="A1445" s="83" t="n">
        <x:v>1444</x:v>
      </x:c>
      <x:c r="B1445" s="84" t="n">
        <x:v>1089</x:v>
      </x:c>
      <x:c r="C1445" s="84" t="n">
        <x:v>21</x:v>
      </x:c>
      <x:c r="D1445" s="89" t="n">
        <x:v>45075</x:v>
      </x:c>
      <x:c r="E1445" s="84" t="n">
        <x:v>4</x:v>
      </x:c>
      <x:c r="F1445" s="91" t="n">
        <x:v>9155.48</x:v>
      </x:c>
    </x:row>
    <x:row r="1446">
      <x:c r="A1446" s="83" t="n">
        <x:v>1445</x:v>
      </x:c>
      <x:c r="B1446" s="84" t="n">
        <x:v>1089</x:v>
      </x:c>
      <x:c r="C1446" s="84" t="n">
        <x:v>59</x:v>
      </x:c>
      <x:c r="D1446" s="89" t="n">
        <x:v>45075</x:v>
      </x:c>
      <x:c r="E1446" s="84" t="n">
        <x:v>1</x:v>
      </x:c>
      <x:c r="F1446" s="91" t="n">
        <x:v>1516.45</x:v>
      </x:c>
    </x:row>
    <x:row r="1447">
      <x:c r="A1447" s="83" t="n">
        <x:v>1446</x:v>
      </x:c>
      <x:c r="B1447" s="84" t="n">
        <x:v>1089</x:v>
      </x:c>
      <x:c r="C1447" s="84" t="n">
        <x:v>41</x:v>
      </x:c>
      <x:c r="D1447" s="89" t="n">
        <x:v>45075</x:v>
      </x:c>
      <x:c r="E1447" s="84" t="n">
        <x:v>1</x:v>
      </x:c>
      <x:c r="F1447" s="91" t="n">
        <x:v>1182.02</x:v>
      </x:c>
    </x:row>
    <x:row r="1448">
      <x:c r="A1448" s="83" t="n">
        <x:v>1447</x:v>
      </x:c>
      <x:c r="B1448" s="84" t="n">
        <x:v>1090</x:v>
      </x:c>
      <x:c r="C1448" s="84" t="n">
        <x:v>28</x:v>
      </x:c>
      <x:c r="D1448" s="89" t="n">
        <x:v>45606</x:v>
      </x:c>
      <x:c r="E1448" s="84" t="n">
        <x:v>1</x:v>
      </x:c>
      <x:c r="F1448" s="91" t="n">
        <x:v>820.47</x:v>
      </x:c>
    </x:row>
    <x:row r="1449">
      <x:c r="A1449" s="83" t="n">
        <x:v>1448</x:v>
      </x:c>
      <x:c r="B1449" s="84" t="n">
        <x:v>1090</x:v>
      </x:c>
      <x:c r="C1449" s="84" t="n">
        <x:v>13</x:v>
      </x:c>
      <x:c r="D1449" s="89" t="n">
        <x:v>45606</x:v>
      </x:c>
      <x:c r="E1449" s="84" t="n">
        <x:v>2</x:v>
      </x:c>
      <x:c r="F1449" s="91" t="n">
        <x:v>1604.1</x:v>
      </x:c>
    </x:row>
    <x:row r="1450">
      <x:c r="A1450" s="83" t="n">
        <x:v>1449</x:v>
      </x:c>
      <x:c r="B1450" s="84" t="n">
        <x:v>1090</x:v>
      </x:c>
      <x:c r="C1450" s="84" t="n">
        <x:v>46</x:v>
      </x:c>
      <x:c r="D1450" s="89" t="n">
        <x:v>45606</x:v>
      </x:c>
      <x:c r="E1450" s="84" t="n">
        <x:v>3</x:v>
      </x:c>
      <x:c r="F1450" s="91" t="n">
        <x:v>4004.85</x:v>
      </x:c>
    </x:row>
    <x:row r="1451">
      <x:c r="A1451" s="83" t="n">
        <x:v>1450</x:v>
      </x:c>
      <x:c r="B1451" s="84" t="n">
        <x:v>1092</x:v>
      </x:c>
      <x:c r="C1451" s="84" t="n">
        <x:v>46</x:v>
      </x:c>
      <x:c r="D1451" s="89" t="n">
        <x:v>44941</x:v>
      </x:c>
      <x:c r="E1451" s="84" t="n">
        <x:v>4</x:v>
      </x:c>
      <x:c r="F1451" s="91" t="n">
        <x:v>5339.8</x:v>
      </x:c>
    </x:row>
    <x:row r="1452">
      <x:c r="A1452" s="83" t="n">
        <x:v>1451</x:v>
      </x:c>
      <x:c r="B1452" s="84" t="n">
        <x:v>1092</x:v>
      </x:c>
      <x:c r="C1452" s="84" t="n">
        <x:v>68</x:v>
      </x:c>
      <x:c r="D1452" s="89" t="n">
        <x:v>44941</x:v>
      </x:c>
      <x:c r="E1452" s="84" t="n">
        <x:v>3</x:v>
      </x:c>
      <x:c r="F1452" s="91" t="n">
        <x:v>4582.83</x:v>
      </x:c>
    </x:row>
    <x:row r="1453">
      <x:c r="A1453" s="83" t="n">
        <x:v>1452</x:v>
      </x:c>
      <x:c r="B1453" s="84" t="n">
        <x:v>1092</x:v>
      </x:c>
      <x:c r="C1453" s="84" t="n">
        <x:v>3</x:v>
      </x:c>
      <x:c r="D1453" s="89" t="n">
        <x:v>44941</x:v>
      </x:c>
      <x:c r="E1453" s="84" t="n">
        <x:v>4</x:v>
      </x:c>
      <x:c r="F1453" s="91" t="n">
        <x:v>4604.56</x:v>
      </x:c>
    </x:row>
    <x:row r="1454">
      <x:c r="A1454" s="83" t="n">
        <x:v>1453</x:v>
      </x:c>
      <x:c r="B1454" s="84" t="n">
        <x:v>1093</x:v>
      </x:c>
      <x:c r="C1454" s="84" t="n">
        <x:v>75</x:v>
      </x:c>
      <x:c r="D1454" s="89" t="n">
        <x:v>45051</x:v>
      </x:c>
      <x:c r="E1454" s="84" t="n">
        <x:v>4</x:v>
      </x:c>
      <x:c r="F1454" s="91" t="n">
        <x:v>1824.68</x:v>
      </x:c>
    </x:row>
    <x:row r="1455">
      <x:c r="A1455" s="83" t="n">
        <x:v>1454</x:v>
      </x:c>
      <x:c r="B1455" s="84" t="n">
        <x:v>1094</x:v>
      </x:c>
      <x:c r="C1455" s="84" t="n">
        <x:v>25</x:v>
      </x:c>
      <x:c r="D1455" s="89" t="n">
        <x:v>45615</x:v>
      </x:c>
      <x:c r="E1455" s="84" t="n">
        <x:v>1</x:v>
      </x:c>
      <x:c r="F1455" s="91" t="n">
        <x:v>1079.45</x:v>
      </x:c>
    </x:row>
    <x:row r="1456">
      <x:c r="A1456" s="83" t="n">
        <x:v>1455</x:v>
      </x:c>
      <x:c r="B1456" s="84" t="n">
        <x:v>1094</x:v>
      </x:c>
      <x:c r="C1456" s="84" t="n">
        <x:v>79</x:v>
      </x:c>
      <x:c r="D1456" s="89" t="n">
        <x:v>45615</x:v>
      </x:c>
      <x:c r="E1456" s="84" t="n">
        <x:v>2</x:v>
      </x:c>
      <x:c r="F1456" s="91" t="n">
        <x:v>4133.44</x:v>
      </x:c>
    </x:row>
    <x:row r="1457">
      <x:c r="A1457" s="83" t="n">
        <x:v>1456</x:v>
      </x:c>
      <x:c r="B1457" s="84" t="n">
        <x:v>1097</x:v>
      </x:c>
      <x:c r="C1457" s="84" t="n">
        <x:v>50</x:v>
      </x:c>
      <x:c r="D1457" s="89" t="n">
        <x:v>45607</x:v>
      </x:c>
      <x:c r="E1457" s="84" t="n">
        <x:v>2</x:v>
      </x:c>
      <x:c r="F1457" s="91" t="n">
        <x:v>4471.9</x:v>
      </x:c>
    </x:row>
    <x:row r="1458">
      <x:c r="A1458" s="83" t="n">
        <x:v>1457</x:v>
      </x:c>
      <x:c r="B1458" s="84" t="n">
        <x:v>1097</x:v>
      </x:c>
      <x:c r="C1458" s="84" t="n">
        <x:v>54</x:v>
      </x:c>
      <x:c r="D1458" s="89" t="n">
        <x:v>45607</x:v>
      </x:c>
      <x:c r="E1458" s="84" t="n">
        <x:v>1</x:v>
      </x:c>
      <x:c r="F1458" s="91" t="n">
        <x:v>686.4</x:v>
      </x:c>
    </x:row>
    <x:row r="1459">
      <x:c r="A1459" s="83" t="n">
        <x:v>1458</x:v>
      </x:c>
      <x:c r="B1459" s="84" t="n">
        <x:v>1099</x:v>
      </x:c>
      <x:c r="C1459" s="84" t="n">
        <x:v>50</x:v>
      </x:c>
      <x:c r="D1459" s="89" t="n">
        <x:v>45450</x:v>
      </x:c>
      <x:c r="E1459" s="84" t="n">
        <x:v>2</x:v>
      </x:c>
      <x:c r="F1459" s="91" t="n">
        <x:v>4471.9</x:v>
      </x:c>
    </x:row>
    <x:row r="1460">
      <x:c r="A1460" s="83" t="n">
        <x:v>1459</x:v>
      </x:c>
      <x:c r="B1460" s="84" t="n">
        <x:v>1099</x:v>
      </x:c>
      <x:c r="C1460" s="84" t="n">
        <x:v>58</x:v>
      </x:c>
      <x:c r="D1460" s="89" t="n">
        <x:v>45450</x:v>
      </x:c>
      <x:c r="E1460" s="84" t="n">
        <x:v>2</x:v>
      </x:c>
      <x:c r="F1460" s="91" t="n">
        <x:v>4036.36</x:v>
      </x:c>
    </x:row>
    <x:row r="1461">
      <x:c r="A1461" s="83" t="n">
        <x:v>1460</x:v>
      </x:c>
      <x:c r="B1461" s="84" t="n">
        <x:v>1100</x:v>
      </x:c>
      <x:c r="C1461" s="84" t="n">
        <x:v>18</x:v>
      </x:c>
      <x:c r="D1461" s="89" t="n">
        <x:v>45957</x:v>
      </x:c>
      <x:c r="E1461" s="84" t="n">
        <x:v>3</x:v>
      </x:c>
      <x:c r="F1461" s="91" t="n">
        <x:v>1998.48</x:v>
      </x:c>
    </x:row>
    <x:row r="1462">
      <x:c r="A1462" s="83" t="n">
        <x:v>1461</x:v>
      </x:c>
      <x:c r="B1462" s="84" t="n">
        <x:v>1100</x:v>
      </x:c>
      <x:c r="C1462" s="84" t="n">
        <x:v>28</x:v>
      </x:c>
      <x:c r="D1462" s="89" t="n">
        <x:v>45957</x:v>
      </x:c>
      <x:c r="E1462" s="84" t="n">
        <x:v>4</x:v>
      </x:c>
      <x:c r="F1462" s="91" t="n">
        <x:v>3281.88</x:v>
      </x:c>
    </x:row>
    <x:row r="1463">
      <x:c r="A1463" s="83" t="n">
        <x:v>1462</x:v>
      </x:c>
      <x:c r="B1463" s="84" t="n">
        <x:v>1100</x:v>
      </x:c>
      <x:c r="C1463" s="84" t="n">
        <x:v>22</x:v>
      </x:c>
      <x:c r="D1463" s="89" t="n">
        <x:v>45957</x:v>
      </x:c>
      <x:c r="E1463" s="84" t="n">
        <x:v>1</x:v>
      </x:c>
      <x:c r="F1463" s="91" t="n">
        <x:v>521.89</x:v>
      </x:c>
    </x:row>
    <x:row r="1464">
      <x:c r="A1464" s="83" t="n">
        <x:v>1463</x:v>
      </x:c>
      <x:c r="B1464" s="84" t="n">
        <x:v>1101</x:v>
      </x:c>
      <x:c r="C1464" s="84" t="n">
        <x:v>44</x:v>
      </x:c>
      <x:c r="D1464" s="89" t="n">
        <x:v>45153</x:v>
      </x:c>
      <x:c r="E1464" s="84" t="n">
        <x:v>3</x:v>
      </x:c>
      <x:c r="F1464" s="91" t="n">
        <x:v>3754.44</x:v>
      </x:c>
    </x:row>
    <x:row r="1465">
      <x:c r="A1465" s="83" t="n">
        <x:v>1464</x:v>
      </x:c>
      <x:c r="B1465" s="84" t="n">
        <x:v>1101</x:v>
      </x:c>
      <x:c r="C1465" s="84" t="n">
        <x:v>36</x:v>
      </x:c>
      <x:c r="D1465" s="89" t="n">
        <x:v>45153</x:v>
      </x:c>
      <x:c r="E1465" s="84" t="n">
        <x:v>1</x:v>
      </x:c>
      <x:c r="F1465" s="91" t="n">
        <x:v>596.41</x:v>
      </x:c>
    </x:row>
    <x:row r="1466">
      <x:c r="A1466" s="83" t="n">
        <x:v>1465</x:v>
      </x:c>
      <x:c r="B1466" s="84" t="n">
        <x:v>1102</x:v>
      </x:c>
      <x:c r="C1466" s="84" t="n">
        <x:v>61</x:v>
      </x:c>
      <x:c r="D1466" s="89" t="n">
        <x:v>45107</x:v>
      </x:c>
      <x:c r="E1466" s="84" t="n">
        <x:v>1</x:v>
      </x:c>
      <x:c r="F1466" s="91" t="n">
        <x:v>131.72</x:v>
      </x:c>
    </x:row>
    <x:row r="1467">
      <x:c r="A1467" s="83" t="n">
        <x:v>1466</x:v>
      </x:c>
      <x:c r="B1467" s="84" t="n">
        <x:v>1103</x:v>
      </x:c>
      <x:c r="C1467" s="84" t="n">
        <x:v>65</x:v>
      </x:c>
      <x:c r="D1467" s="89" t="n">
        <x:v>45635</x:v>
      </x:c>
      <x:c r="E1467" s="84" t="n">
        <x:v>3</x:v>
      </x:c>
      <x:c r="F1467" s="91" t="n">
        <x:v>3764.52</x:v>
      </x:c>
    </x:row>
    <x:row r="1468">
      <x:c r="A1468" s="83" t="n">
        <x:v>1467</x:v>
      </x:c>
      <x:c r="B1468" s="84" t="n">
        <x:v>1103</x:v>
      </x:c>
      <x:c r="C1468" s="84" t="n">
        <x:v>22</x:v>
      </x:c>
      <x:c r="D1468" s="89" t="n">
        <x:v>45635</x:v>
      </x:c>
      <x:c r="E1468" s="84" t="n">
        <x:v>1</x:v>
      </x:c>
      <x:c r="F1468" s="91" t="n">
        <x:v>521.89</x:v>
      </x:c>
    </x:row>
    <x:row r="1469">
      <x:c r="A1469" s="83" t="n">
        <x:v>1468</x:v>
      </x:c>
      <x:c r="B1469" s="84" t="n">
        <x:v>1103</x:v>
      </x:c>
      <x:c r="C1469" s="84" t="n">
        <x:v>8</x:v>
      </x:c>
      <x:c r="D1469" s="89" t="n">
        <x:v>45635</x:v>
      </x:c>
      <x:c r="E1469" s="84" t="n">
        <x:v>3</x:v>
      </x:c>
      <x:c r="F1469" s="91" t="n">
        <x:v>4998.57</x:v>
      </x:c>
    </x:row>
    <x:row r="1470">
      <x:c r="A1470" s="83" t="n">
        <x:v>1469</x:v>
      </x:c>
      <x:c r="B1470" s="84" t="n">
        <x:v>1106</x:v>
      </x:c>
      <x:c r="C1470" s="84" t="n">
        <x:v>19</x:v>
      </x:c>
      <x:c r="D1470" s="89" t="n">
        <x:v>46007</x:v>
      </x:c>
      <x:c r="E1470" s="84" t="n">
        <x:v>4</x:v>
      </x:c>
      <x:c r="F1470" s="91" t="n">
        <x:v>4350.84</x:v>
      </x:c>
    </x:row>
    <x:row r="1471">
      <x:c r="A1471" s="83" t="n">
        <x:v>1470</x:v>
      </x:c>
      <x:c r="B1471" s="84" t="n">
        <x:v>1107</x:v>
      </x:c>
      <x:c r="C1471" s="84" t="n">
        <x:v>45</x:v>
      </x:c>
      <x:c r="D1471" s="89" t="n">
        <x:v>45178</x:v>
      </x:c>
      <x:c r="E1471" s="84" t="n">
        <x:v>3</x:v>
      </x:c>
      <x:c r="F1471" s="91" t="n">
        <x:v>4174.26</x:v>
      </x:c>
    </x:row>
    <x:row r="1472">
      <x:c r="A1472" s="83" t="n">
        <x:v>1471</x:v>
      </x:c>
      <x:c r="B1472" s="84" t="n">
        <x:v>1107</x:v>
      </x:c>
      <x:c r="C1472" s="84" t="n">
        <x:v>59</x:v>
      </x:c>
      <x:c r="D1472" s="89" t="n">
        <x:v>45178</x:v>
      </x:c>
      <x:c r="E1472" s="84" t="n">
        <x:v>3</x:v>
      </x:c>
      <x:c r="F1472" s="91" t="n">
        <x:v>4549.35</x:v>
      </x:c>
    </x:row>
    <x:row r="1473">
      <x:c r="A1473" s="83" t="n">
        <x:v>1472</x:v>
      </x:c>
      <x:c r="B1473" s="84" t="n">
        <x:v>1109</x:v>
      </x:c>
      <x:c r="C1473" s="84" t="n">
        <x:v>47</x:v>
      </x:c>
      <x:c r="D1473" s="89" t="n">
        <x:v>45475</x:v>
      </x:c>
      <x:c r="E1473" s="84" t="n">
        <x:v>3</x:v>
      </x:c>
      <x:c r="F1473" s="91" t="n">
        <x:v>6526.86</x:v>
      </x:c>
    </x:row>
    <x:row r="1474">
      <x:c r="A1474" s="83" t="n">
        <x:v>1473</x:v>
      </x:c>
      <x:c r="B1474" s="84" t="n">
        <x:v>1111</x:v>
      </x:c>
      <x:c r="C1474" s="84" t="n">
        <x:v>43</x:v>
      </x:c>
      <x:c r="D1474" s="89" t="n">
        <x:v>45180</x:v>
      </x:c>
      <x:c r="E1474" s="84" t="n">
        <x:v>1</x:v>
      </x:c>
      <x:c r="F1474" s="91" t="n">
        <x:v>1465.42</x:v>
      </x:c>
    </x:row>
    <x:row r="1475">
      <x:c r="A1475" s="83" t="n">
        <x:v>1474</x:v>
      </x:c>
      <x:c r="B1475" s="84" t="n">
        <x:v>1111</x:v>
      </x:c>
      <x:c r="C1475" s="84" t="n">
        <x:v>47</x:v>
      </x:c>
      <x:c r="D1475" s="89" t="n">
        <x:v>45180</x:v>
      </x:c>
      <x:c r="E1475" s="84" t="n">
        <x:v>2</x:v>
      </x:c>
      <x:c r="F1475" s="91" t="n">
        <x:v>4351.24</x:v>
      </x:c>
    </x:row>
    <x:row r="1476">
      <x:c r="A1476" s="83" t="n">
        <x:v>1475</x:v>
      </x:c>
      <x:c r="B1476" s="84" t="n">
        <x:v>1112</x:v>
      </x:c>
      <x:c r="C1476" s="84" t="n">
        <x:v>58</x:v>
      </x:c>
      <x:c r="D1476" s="89" t="n">
        <x:v>45085</x:v>
      </x:c>
      <x:c r="E1476" s="84" t="n">
        <x:v>4</x:v>
      </x:c>
      <x:c r="F1476" s="91" t="n">
        <x:v>8072.72</x:v>
      </x:c>
    </x:row>
    <x:row r="1477">
      <x:c r="A1477" s="83" t="n">
        <x:v>1476</x:v>
      </x:c>
      <x:c r="B1477" s="84" t="n">
        <x:v>1112</x:v>
      </x:c>
      <x:c r="C1477" s="84" t="n">
        <x:v>7</x:v>
      </x:c>
      <x:c r="D1477" s="89" t="n">
        <x:v>45085</x:v>
      </x:c>
      <x:c r="E1477" s="84" t="n">
        <x:v>2</x:v>
      </x:c>
      <x:c r="F1477" s="91" t="n">
        <x:v>733.6</x:v>
      </x:c>
    </x:row>
    <x:row r="1478">
      <x:c r="A1478" s="83" t="n">
        <x:v>1477</x:v>
      </x:c>
      <x:c r="B1478" s="84" t="n">
        <x:v>1114</x:v>
      </x:c>
      <x:c r="C1478" s="84" t="n">
        <x:v>77</x:v>
      </x:c>
      <x:c r="D1478" s="89" t="n">
        <x:v>45285</x:v>
      </x:c>
      <x:c r="E1478" s="84" t="n">
        <x:v>4</x:v>
      </x:c>
      <x:c r="F1478" s="91" t="n">
        <x:v>8411.64</x:v>
      </x:c>
    </x:row>
    <x:row r="1479">
      <x:c r="A1479" s="83" t="n">
        <x:v>1478</x:v>
      </x:c>
      <x:c r="B1479" s="84" t="n">
        <x:v>1116</x:v>
      </x:c>
      <x:c r="C1479" s="84" t="n">
        <x:v>79</x:v>
      </x:c>
      <x:c r="D1479" s="89" t="n">
        <x:v>45921</x:v>
      </x:c>
      <x:c r="E1479" s="84" t="n">
        <x:v>4</x:v>
      </x:c>
      <x:c r="F1479" s="91" t="n">
        <x:v>8266.88</x:v>
      </x:c>
    </x:row>
    <x:row r="1480">
      <x:c r="A1480" s="83" t="n">
        <x:v>1479</x:v>
      </x:c>
      <x:c r="B1480" s="84" t="n">
        <x:v>1117</x:v>
      </x:c>
      <x:c r="C1480" s="84" t="n">
        <x:v>36</x:v>
      </x:c>
      <x:c r="D1480" s="89" t="n">
        <x:v>45104</x:v>
      </x:c>
      <x:c r="E1480" s="84" t="n">
        <x:v>2</x:v>
      </x:c>
      <x:c r="F1480" s="91" t="n">
        <x:v>1192.82</x:v>
      </x:c>
    </x:row>
    <x:row r="1481">
      <x:c r="A1481" s="83" t="n">
        <x:v>1480</x:v>
      </x:c>
      <x:c r="B1481" s="84" t="n">
        <x:v>1117</x:v>
      </x:c>
      <x:c r="C1481" s="84" t="n">
        <x:v>37</x:v>
      </x:c>
      <x:c r="D1481" s="89" t="n">
        <x:v>45104</x:v>
      </x:c>
      <x:c r="E1481" s="84" t="n">
        <x:v>3</x:v>
      </x:c>
      <x:c r="F1481" s="91" t="n">
        <x:v>3101.13</x:v>
      </x:c>
    </x:row>
    <x:row r="1482">
      <x:c r="A1482" s="83" t="n">
        <x:v>1481</x:v>
      </x:c>
      <x:c r="B1482" s="84" t="n">
        <x:v>1118</x:v>
      </x:c>
      <x:c r="C1482" s="84" t="n">
        <x:v>7</x:v>
      </x:c>
      <x:c r="D1482" s="89" t="n">
        <x:v>45317</x:v>
      </x:c>
      <x:c r="E1482" s="84" t="n">
        <x:v>1</x:v>
      </x:c>
      <x:c r="F1482" s="91" t="n">
        <x:v>366.8</x:v>
      </x:c>
    </x:row>
    <x:row r="1483">
      <x:c r="A1483" s="83" t="n">
        <x:v>1482</x:v>
      </x:c>
      <x:c r="B1483" s="84" t="n">
        <x:v>1118</x:v>
      </x:c>
      <x:c r="C1483" s="84" t="n">
        <x:v>60</x:v>
      </x:c>
      <x:c r="D1483" s="89" t="n">
        <x:v>45317</x:v>
      </x:c>
      <x:c r="E1483" s="84" t="n">
        <x:v>2</x:v>
      </x:c>
      <x:c r="F1483" s="91" t="n">
        <x:v>707.6</x:v>
      </x:c>
    </x:row>
    <x:row r="1484">
      <x:c r="A1484" s="83" t="n">
        <x:v>1483</x:v>
      </x:c>
      <x:c r="B1484" s="84" t="n">
        <x:v>1120</x:v>
      </x:c>
      <x:c r="C1484" s="84" t="n">
        <x:v>9</x:v>
      </x:c>
      <x:c r="D1484" s="89" t="n">
        <x:v>45028</x:v>
      </x:c>
      <x:c r="E1484" s="84" t="n">
        <x:v>1</x:v>
      </x:c>
      <x:c r="F1484" s="91" t="n">
        <x:v>1575.06</x:v>
      </x:c>
    </x:row>
    <x:row r="1485">
      <x:c r="A1485" s="83" t="n">
        <x:v>1484</x:v>
      </x:c>
      <x:c r="B1485" s="84" t="n">
        <x:v>1120</x:v>
      </x:c>
      <x:c r="C1485" s="84" t="n">
        <x:v>58</x:v>
      </x:c>
      <x:c r="D1485" s="89" t="n">
        <x:v>45028</x:v>
      </x:c>
      <x:c r="E1485" s="84" t="n">
        <x:v>2</x:v>
      </x:c>
      <x:c r="F1485" s="91" t="n">
        <x:v>4036.36</x:v>
      </x:c>
    </x:row>
    <x:row r="1486">
      <x:c r="A1486" s="83" t="n">
        <x:v>1485</x:v>
      </x:c>
      <x:c r="B1486" s="84" t="n">
        <x:v>1120</x:v>
      </x:c>
      <x:c r="C1486" s="84" t="n">
        <x:v>50</x:v>
      </x:c>
      <x:c r="D1486" s="89" t="n">
        <x:v>45028</x:v>
      </x:c>
      <x:c r="E1486" s="84" t="n">
        <x:v>1</x:v>
      </x:c>
      <x:c r="F1486" s="91" t="n">
        <x:v>2235.95</x:v>
      </x:c>
    </x:row>
    <x:row r="1487">
      <x:c r="A1487" s="83" t="n">
        <x:v>1486</x:v>
      </x:c>
      <x:c r="B1487" s="84" t="n">
        <x:v>1121</x:v>
      </x:c>
      <x:c r="C1487" s="84" t="n">
        <x:v>68</x:v>
      </x:c>
      <x:c r="D1487" s="89" t="n">
        <x:v>45725</x:v>
      </x:c>
      <x:c r="E1487" s="84" t="n">
        <x:v>2</x:v>
      </x:c>
      <x:c r="F1487" s="91" t="n">
        <x:v>3055.22</x:v>
      </x:c>
    </x:row>
    <x:row r="1488">
      <x:c r="A1488" s="83" t="n">
        <x:v>1487</x:v>
      </x:c>
      <x:c r="B1488" s="84" t="n">
        <x:v>1121</x:v>
      </x:c>
      <x:c r="C1488" s="84" t="n">
        <x:v>39</x:v>
      </x:c>
      <x:c r="D1488" s="89" t="n">
        <x:v>45725</x:v>
      </x:c>
      <x:c r="E1488" s="84" t="n">
        <x:v>2</x:v>
      </x:c>
      <x:c r="F1488" s="91" t="n">
        <x:v>1355.2</x:v>
      </x:c>
    </x:row>
    <x:row r="1489">
      <x:c r="A1489" s="83" t="n">
        <x:v>1488</x:v>
      </x:c>
      <x:c r="B1489" s="84" t="n">
        <x:v>1121</x:v>
      </x:c>
      <x:c r="C1489" s="84" t="n">
        <x:v>31</x:v>
      </x:c>
      <x:c r="D1489" s="89" t="n">
        <x:v>45725</x:v>
      </x:c>
      <x:c r="E1489" s="84" t="n">
        <x:v>1</x:v>
      </x:c>
      <x:c r="F1489" s="91" t="n">
        <x:v>2169.63</x:v>
      </x:c>
    </x:row>
    <x:row r="1490">
      <x:c r="A1490" s="83" t="n">
        <x:v>1489</x:v>
      </x:c>
      <x:c r="B1490" s="84" t="n">
        <x:v>1126</x:v>
      </x:c>
      <x:c r="C1490" s="84" t="n">
        <x:v>28</x:v>
      </x:c>
      <x:c r="D1490" s="89" t="n">
        <x:v>45122</x:v>
      </x:c>
      <x:c r="E1490" s="84" t="n">
        <x:v>1</x:v>
      </x:c>
      <x:c r="F1490" s="91" t="n">
        <x:v>820.47</x:v>
      </x:c>
    </x:row>
    <x:row r="1491">
      <x:c r="A1491" s="83" t="n">
        <x:v>1490</x:v>
      </x:c>
      <x:c r="B1491" s="84" t="n">
        <x:v>1126</x:v>
      </x:c>
      <x:c r="C1491" s="84" t="n">
        <x:v>71</x:v>
      </x:c>
      <x:c r="D1491" s="89" t="n">
        <x:v>45122</x:v>
      </x:c>
      <x:c r="E1491" s="84" t="n">
        <x:v>3</x:v>
      </x:c>
      <x:c r="F1491" s="91" t="n">
        <x:v>5950.56</x:v>
      </x:c>
    </x:row>
    <x:row r="1492">
      <x:c r="A1492" s="83" t="n">
        <x:v>1491</x:v>
      </x:c>
      <x:c r="B1492" s="84" t="n">
        <x:v>1126</x:v>
      </x:c>
      <x:c r="C1492" s="84" t="n">
        <x:v>67</x:v>
      </x:c>
      <x:c r="D1492" s="89" t="n">
        <x:v>45122</x:v>
      </x:c>
      <x:c r="E1492" s="84" t="n">
        <x:v>3</x:v>
      </x:c>
      <x:c r="F1492" s="91" t="n">
        <x:v>3838.59</x:v>
      </x:c>
    </x:row>
    <x:row r="1493">
      <x:c r="A1493" s="83" t="n">
        <x:v>1492</x:v>
      </x:c>
      <x:c r="B1493" s="84" t="n">
        <x:v>1128</x:v>
      </x:c>
      <x:c r="C1493" s="84" t="n">
        <x:v>72</x:v>
      </x:c>
      <x:c r="D1493" s="89" t="n">
        <x:v>45851</x:v>
      </x:c>
      <x:c r="E1493" s="84" t="n">
        <x:v>3</x:v>
      </x:c>
      <x:c r="F1493" s="91" t="n">
        <x:v>1352.49</x:v>
      </x:c>
    </x:row>
    <x:row r="1494">
      <x:c r="A1494" s="83" t="n">
        <x:v>1493</x:v>
      </x:c>
      <x:c r="B1494" s="84" t="n">
        <x:v>1128</x:v>
      </x:c>
      <x:c r="C1494" s="84" t="n">
        <x:v>46</x:v>
      </x:c>
      <x:c r="D1494" s="89" t="n">
        <x:v>45851</x:v>
      </x:c>
      <x:c r="E1494" s="84" t="n">
        <x:v>2</x:v>
      </x:c>
      <x:c r="F1494" s="91" t="n">
        <x:v>2669.9</x:v>
      </x:c>
    </x:row>
    <x:row r="1495">
      <x:c r="A1495" s="83" t="n">
        <x:v>1494</x:v>
      </x:c>
      <x:c r="B1495" s="84" t="n">
        <x:v>1128</x:v>
      </x:c>
      <x:c r="C1495" s="84" t="n">
        <x:v>11</x:v>
      </x:c>
      <x:c r="D1495" s="89" t="n">
        <x:v>45851</x:v>
      </x:c>
      <x:c r="E1495" s="84" t="n">
        <x:v>4</x:v>
      </x:c>
      <x:c r="F1495" s="91" t="n">
        <x:v>8845.04</x:v>
      </x:c>
    </x:row>
    <x:row r="1496">
      <x:c r="A1496" s="83" t="n">
        <x:v>1495</x:v>
      </x:c>
      <x:c r="B1496" s="84" t="n">
        <x:v>1129</x:v>
      </x:c>
      <x:c r="C1496" s="84" t="n">
        <x:v>2</x:v>
      </x:c>
      <x:c r="D1496" s="89" t="n">
        <x:v>45326</x:v>
      </x:c>
      <x:c r="E1496" s="84" t="n">
        <x:v>4</x:v>
      </x:c>
      <x:c r="F1496" s="91" t="n">
        <x:v>3977.24</x:v>
      </x:c>
    </x:row>
    <x:row r="1497">
      <x:c r="A1497" s="83" t="n">
        <x:v>1496</x:v>
      </x:c>
      <x:c r="B1497" s="84" t="n">
        <x:v>1129</x:v>
      </x:c>
      <x:c r="C1497" s="84" t="n">
        <x:v>50</x:v>
      </x:c>
      <x:c r="D1497" s="89" t="n">
        <x:v>45326</x:v>
      </x:c>
      <x:c r="E1497" s="84" t="n">
        <x:v>2</x:v>
      </x:c>
      <x:c r="F1497" s="91" t="n">
        <x:v>4471.9</x:v>
      </x:c>
    </x:row>
    <x:row r="1498">
      <x:c r="A1498" s="83" t="n">
        <x:v>1497</x:v>
      </x:c>
      <x:c r="B1498" s="84" t="n">
        <x:v>1130</x:v>
      </x:c>
      <x:c r="C1498" s="84" t="n">
        <x:v>54</x:v>
      </x:c>
      <x:c r="D1498" s="89" t="n">
        <x:v>45812</x:v>
      </x:c>
      <x:c r="E1498" s="84" t="n">
        <x:v>1</x:v>
      </x:c>
      <x:c r="F1498" s="91" t="n">
        <x:v>686.4</x:v>
      </x:c>
    </x:row>
    <x:row r="1499">
      <x:c r="A1499" s="83" t="n">
        <x:v>1498</x:v>
      </x:c>
      <x:c r="B1499" s="84" t="n">
        <x:v>1130</x:v>
      </x:c>
      <x:c r="C1499" s="84" t="n">
        <x:v>12</x:v>
      </x:c>
      <x:c r="D1499" s="89" t="n">
        <x:v>45812</x:v>
      </x:c>
      <x:c r="E1499" s="84" t="n">
        <x:v>4</x:v>
      </x:c>
      <x:c r="F1499" s="91" t="n">
        <x:v>1137.96</x:v>
      </x:c>
    </x:row>
    <x:row r="1500">
      <x:c r="A1500" s="83" t="n">
        <x:v>1499</x:v>
      </x:c>
      <x:c r="B1500" s="84" t="n">
        <x:v>1131</x:v>
      </x:c>
      <x:c r="C1500" s="84" t="n">
        <x:v>9</x:v>
      </x:c>
      <x:c r="D1500" s="89" t="n">
        <x:v>45875</x:v>
      </x:c>
      <x:c r="E1500" s="84" t="n">
        <x:v>2</x:v>
      </x:c>
      <x:c r="F1500" s="91" t="n">
        <x:v>3150.12</x:v>
      </x:c>
    </x:row>
    <x:row r="1501">
      <x:c r="A1501" s="83" t="n">
        <x:v>1500</x:v>
      </x:c>
      <x:c r="B1501" s="84" t="n">
        <x:v>1131</x:v>
      </x:c>
      <x:c r="C1501" s="84" t="n">
        <x:v>59</x:v>
      </x:c>
      <x:c r="D1501" s="89" t="n">
        <x:v>45875</x:v>
      </x:c>
      <x:c r="E1501" s="84" t="n">
        <x:v>1</x:v>
      </x:c>
      <x:c r="F1501" s="91" t="n">
        <x:v>1516.45</x:v>
      </x:c>
    </x:row>
    <x:row r="1502">
      <x:c r="A1502" s="83" t="n">
        <x:v>1501</x:v>
      </x:c>
      <x:c r="B1502" s="84" t="n">
        <x:v>1134</x:v>
      </x:c>
      <x:c r="C1502" s="84" t="n">
        <x:v>41</x:v>
      </x:c>
      <x:c r="D1502" s="89" t="n">
        <x:v>45830</x:v>
      </x:c>
      <x:c r="E1502" s="84" t="n">
        <x:v>4</x:v>
      </x:c>
      <x:c r="F1502" s="91" t="n">
        <x:v>4728.08</x:v>
      </x:c>
    </x:row>
    <x:row r="1503">
      <x:c r="A1503" s="83" t="n">
        <x:v>1502</x:v>
      </x:c>
      <x:c r="B1503" s="84" t="n">
        <x:v>1134</x:v>
      </x:c>
      <x:c r="C1503" s="84" t="n">
        <x:v>1</x:v>
      </x:c>
      <x:c r="D1503" s="89" t="n">
        <x:v>45830</x:v>
      </x:c>
      <x:c r="E1503" s="84" t="n">
        <x:v>2</x:v>
      </x:c>
      <x:c r="F1503" s="91" t="n">
        <x:v>3479.2</x:v>
      </x:c>
    </x:row>
    <x:row r="1504">
      <x:c r="A1504" s="83" t="n">
        <x:v>1503</x:v>
      </x:c>
      <x:c r="B1504" s="84" t="n">
        <x:v>1136</x:v>
      </x:c>
      <x:c r="C1504" s="84" t="n">
        <x:v>34</x:v>
      </x:c>
      <x:c r="D1504" s="89" t="n">
        <x:v>45854</x:v>
      </x:c>
      <x:c r="E1504" s="84" t="n">
        <x:v>4</x:v>
      </x:c>
      <x:c r="F1504" s="91" t="n">
        <x:v>7908.36</x:v>
      </x:c>
    </x:row>
    <x:row r="1505">
      <x:c r="A1505" s="83" t="n">
        <x:v>1504</x:v>
      </x:c>
      <x:c r="B1505" s="84" t="n">
        <x:v>1136</x:v>
      </x:c>
      <x:c r="C1505" s="84" t="n">
        <x:v>17</x:v>
      </x:c>
      <x:c r="D1505" s="89" t="n">
        <x:v>45854</x:v>
      </x:c>
      <x:c r="E1505" s="84" t="n">
        <x:v>2</x:v>
      </x:c>
      <x:c r="F1505" s="91" t="n">
        <x:v>4712.84</x:v>
      </x:c>
    </x:row>
    <x:row r="1506">
      <x:c r="A1506" s="83" t="n">
        <x:v>1505</x:v>
      </x:c>
      <x:c r="B1506" s="84" t="n">
        <x:v>1136</x:v>
      </x:c>
      <x:c r="C1506" s="84" t="n">
        <x:v>7</x:v>
      </x:c>
      <x:c r="D1506" s="89" t="n">
        <x:v>45854</x:v>
      </x:c>
      <x:c r="E1506" s="84" t="n">
        <x:v>2</x:v>
      </x:c>
      <x:c r="F1506" s="91" t="n">
        <x:v>733.6</x:v>
      </x:c>
    </x:row>
    <x:row r="1507">
      <x:c r="A1507" s="83" t="n">
        <x:v>1506</x:v>
      </x:c>
      <x:c r="B1507" s="84" t="n">
        <x:v>1137</x:v>
      </x:c>
      <x:c r="C1507" s="84" t="n">
        <x:v>27</x:v>
      </x:c>
      <x:c r="D1507" s="89" t="n">
        <x:v>45943</x:v>
      </x:c>
      <x:c r="E1507" s="84" t="n">
        <x:v>2</x:v>
      </x:c>
      <x:c r="F1507" s="91" t="n">
        <x:v>321.38</x:v>
      </x:c>
    </x:row>
    <x:row r="1508">
      <x:c r="A1508" s="83" t="n">
        <x:v>1507</x:v>
      </x:c>
      <x:c r="B1508" s="84" t="n">
        <x:v>1137</x:v>
      </x:c>
      <x:c r="C1508" s="84" t="n">
        <x:v>45</x:v>
      </x:c>
      <x:c r="D1508" s="89" t="n">
        <x:v>45943</x:v>
      </x:c>
      <x:c r="E1508" s="84" t="n">
        <x:v>1</x:v>
      </x:c>
      <x:c r="F1508" s="91" t="n">
        <x:v>1391.42</x:v>
      </x:c>
    </x:row>
    <x:row r="1509">
      <x:c r="A1509" s="83" t="n">
        <x:v>1508</x:v>
      </x:c>
      <x:c r="B1509" s="84" t="n">
        <x:v>1137</x:v>
      </x:c>
      <x:c r="C1509" s="84" t="n">
        <x:v>70</x:v>
      </x:c>
      <x:c r="D1509" s="89" t="n">
        <x:v>45943</x:v>
      </x:c>
      <x:c r="E1509" s="84" t="n">
        <x:v>4</x:v>
      </x:c>
      <x:c r="F1509" s="91" t="n">
        <x:v>3078.16</x:v>
      </x:c>
    </x:row>
    <x:row r="1510">
      <x:c r="A1510" s="83" t="n">
        <x:v>1509</x:v>
      </x:c>
      <x:c r="B1510" s="84" t="n">
        <x:v>1138</x:v>
      </x:c>
      <x:c r="C1510" s="84" t="n">
        <x:v>35</x:v>
      </x:c>
      <x:c r="D1510" s="89" t="n">
        <x:v>45574</x:v>
      </x:c>
      <x:c r="E1510" s="84" t="n">
        <x:v>3</x:v>
      </x:c>
      <x:c r="F1510" s="91" t="n">
        <x:v>4412.34</x:v>
      </x:c>
    </x:row>
    <x:row r="1511">
      <x:c r="A1511" s="83" t="n">
        <x:v>1510</x:v>
      </x:c>
      <x:c r="B1511" s="84" t="n">
        <x:v>1138</x:v>
      </x:c>
      <x:c r="C1511" s="84" t="n">
        <x:v>56</x:v>
      </x:c>
      <x:c r="D1511" s="89" t="n">
        <x:v>45574</x:v>
      </x:c>
      <x:c r="E1511" s="84" t="n">
        <x:v>1</x:v>
      </x:c>
      <x:c r="F1511" s="91" t="n">
        <x:v>1468.46</x:v>
      </x:c>
    </x:row>
    <x:row r="1512">
      <x:c r="A1512" s="83" t="n">
        <x:v>1511</x:v>
      </x:c>
      <x:c r="B1512" s="84" t="n">
        <x:v>1138</x:v>
      </x:c>
      <x:c r="C1512" s="84" t="n">
        <x:v>49</x:v>
      </x:c>
      <x:c r="D1512" s="89" t="n">
        <x:v>45574</x:v>
      </x:c>
      <x:c r="E1512" s="84" t="n">
        <x:v>2</x:v>
      </x:c>
      <x:c r="F1512" s="91" t="n">
        <x:v>368.32</x:v>
      </x:c>
    </x:row>
    <x:row r="1513">
      <x:c r="A1513" s="83" t="n">
        <x:v>1512</x:v>
      </x:c>
      <x:c r="B1513" s="84" t="n">
        <x:v>1139</x:v>
      </x:c>
      <x:c r="C1513" s="84" t="n">
        <x:v>39</x:v>
      </x:c>
      <x:c r="D1513" s="89" t="n">
        <x:v>45762</x:v>
      </x:c>
      <x:c r="E1513" s="84" t="n">
        <x:v>2</x:v>
      </x:c>
      <x:c r="F1513" s="91" t="n">
        <x:v>1355.2</x:v>
      </x:c>
    </x:row>
    <x:row r="1514">
      <x:c r="A1514" s="83" t="n">
        <x:v>1513</x:v>
      </x:c>
      <x:c r="B1514" s="84" t="n">
        <x:v>1139</x:v>
      </x:c>
      <x:c r="C1514" s="84" t="n">
        <x:v>10</x:v>
      </x:c>
      <x:c r="D1514" s="89" t="n">
        <x:v>45762</x:v>
      </x:c>
      <x:c r="E1514" s="84" t="n">
        <x:v>3</x:v>
      </x:c>
      <x:c r="F1514" s="91" t="n">
        <x:v>2624.58</x:v>
      </x:c>
    </x:row>
    <x:row r="1515">
      <x:c r="A1515" s="83" t="n">
        <x:v>1514</x:v>
      </x:c>
      <x:c r="B1515" s="84" t="n">
        <x:v>1140</x:v>
      </x:c>
      <x:c r="C1515" s="84" t="n">
        <x:v>18</x:v>
      </x:c>
      <x:c r="D1515" s="89" t="n">
        <x:v>45696</x:v>
      </x:c>
      <x:c r="E1515" s="84" t="n">
        <x:v>3</x:v>
      </x:c>
      <x:c r="F1515" s="91" t="n">
        <x:v>1998.48</x:v>
      </x:c>
    </x:row>
    <x:row r="1516">
      <x:c r="A1516" s="83" t="n">
        <x:v>1515</x:v>
      </x:c>
      <x:c r="B1516" s="84" t="n">
        <x:v>1142</x:v>
      </x:c>
      <x:c r="C1516" s="84" t="n">
        <x:v>6</x:v>
      </x:c>
      <x:c r="D1516" s="89" t="n">
        <x:v>45036</x:v>
      </x:c>
      <x:c r="E1516" s="84" t="n">
        <x:v>3</x:v>
      </x:c>
      <x:c r="F1516" s="91" t="n">
        <x:v>2092.11</x:v>
      </x:c>
    </x:row>
    <x:row r="1517">
      <x:c r="A1517" s="83" t="n">
        <x:v>1516</x:v>
      </x:c>
      <x:c r="B1517" s="84" t="n">
        <x:v>1142</x:v>
      </x:c>
      <x:c r="C1517" s="84" t="n">
        <x:v>73</x:v>
      </x:c>
      <x:c r="D1517" s="89" t="n">
        <x:v>45036</x:v>
      </x:c>
      <x:c r="E1517" s="84" t="n">
        <x:v>3</x:v>
      </x:c>
      <x:c r="F1517" s="91" t="n">
        <x:v>3381.93</x:v>
      </x:c>
    </x:row>
    <x:row r="1518">
      <x:c r="A1518" s="83" t="n">
        <x:v>1517</x:v>
      </x:c>
      <x:c r="B1518" s="84" t="n">
        <x:v>1142</x:v>
      </x:c>
      <x:c r="C1518" s="84" t="n">
        <x:v>51</x:v>
      </x:c>
      <x:c r="D1518" s="89" t="n">
        <x:v>45036</x:v>
      </x:c>
      <x:c r="E1518" s="84" t="n">
        <x:v>1</x:v>
      </x:c>
      <x:c r="F1518" s="91" t="n">
        <x:v>892.16</x:v>
      </x:c>
    </x:row>
    <x:row r="1519">
      <x:c r="A1519" s="83" t="n">
        <x:v>1518</x:v>
      </x:c>
      <x:c r="B1519" s="84" t="n">
        <x:v>1143</x:v>
      </x:c>
      <x:c r="C1519" s="84" t="n">
        <x:v>35</x:v>
      </x:c>
      <x:c r="D1519" s="89" t="n">
        <x:v>45056</x:v>
      </x:c>
      <x:c r="E1519" s="84" t="n">
        <x:v>4</x:v>
      </x:c>
      <x:c r="F1519" s="91" t="n">
        <x:v>5883.12</x:v>
      </x:c>
    </x:row>
    <x:row r="1520">
      <x:c r="A1520" s="83" t="n">
        <x:v>1519</x:v>
      </x:c>
      <x:c r="B1520" s="84" t="n">
        <x:v>1143</x:v>
      </x:c>
      <x:c r="C1520" s="84" t="n">
        <x:v>23</x:v>
      </x:c>
      <x:c r="D1520" s="89" t="n">
        <x:v>45056</x:v>
      </x:c>
      <x:c r="E1520" s="84" t="n">
        <x:v>1</x:v>
      </x:c>
      <x:c r="F1520" s="91" t="n">
        <x:v>1752.85</x:v>
      </x:c>
    </x:row>
    <x:row r="1521">
      <x:c r="A1521" s="83" t="n">
        <x:v>1520</x:v>
      </x:c>
      <x:c r="B1521" s="84" t="n">
        <x:v>1146</x:v>
      </x:c>
      <x:c r="C1521" s="84" t="n">
        <x:v>3</x:v>
      </x:c>
      <x:c r="D1521" s="89" t="n">
        <x:v>45581</x:v>
      </x:c>
      <x:c r="E1521" s="84" t="n">
        <x:v>2</x:v>
      </x:c>
      <x:c r="F1521" s="91" t="n">
        <x:v>2302.28</x:v>
      </x:c>
    </x:row>
    <x:row r="1522">
      <x:c r="A1522" s="83" t="n">
        <x:v>1521</x:v>
      </x:c>
      <x:c r="B1522" s="84" t="n">
        <x:v>1149</x:v>
      </x:c>
      <x:c r="C1522" s="84" t="n">
        <x:v>28</x:v>
      </x:c>
      <x:c r="D1522" s="89" t="n">
        <x:v>45294</x:v>
      </x:c>
      <x:c r="E1522" s="84" t="n">
        <x:v>4</x:v>
      </x:c>
      <x:c r="F1522" s="91" t="n">
        <x:v>3281.88</x:v>
      </x:c>
    </x:row>
    <x:row r="1523">
      <x:c r="A1523" s="83" t="n">
        <x:v>1522</x:v>
      </x:c>
      <x:c r="B1523" s="84" t="n">
        <x:v>1149</x:v>
      </x:c>
      <x:c r="C1523" s="84" t="n">
        <x:v>10</x:v>
      </x:c>
      <x:c r="D1523" s="89" t="n">
        <x:v>45294</x:v>
      </x:c>
      <x:c r="E1523" s="84" t="n">
        <x:v>3</x:v>
      </x:c>
      <x:c r="F1523" s="91" t="n">
        <x:v>2624.58</x:v>
      </x:c>
    </x:row>
    <x:row r="1524">
      <x:c r="A1524" s="83" t="n">
        <x:v>1523</x:v>
      </x:c>
      <x:c r="B1524" s="84" t="n">
        <x:v>1149</x:v>
      </x:c>
      <x:c r="C1524" s="84" t="n">
        <x:v>17</x:v>
      </x:c>
      <x:c r="D1524" s="89" t="n">
        <x:v>45294</x:v>
      </x:c>
      <x:c r="E1524" s="84" t="n">
        <x:v>4</x:v>
      </x:c>
      <x:c r="F1524" s="91" t="n">
        <x:v>9425.68</x:v>
      </x:c>
    </x:row>
    <x:row r="1525">
      <x:c r="A1525" s="83" t="n">
        <x:v>1524</x:v>
      </x:c>
      <x:c r="B1525" s="84" t="n">
        <x:v>1150</x:v>
      </x:c>
      <x:c r="C1525" s="84" t="n">
        <x:v>51</x:v>
      </x:c>
      <x:c r="D1525" s="89" t="n">
        <x:v>45957</x:v>
      </x:c>
      <x:c r="E1525" s="84" t="n">
        <x:v>4</x:v>
      </x:c>
      <x:c r="F1525" s="91" t="n">
        <x:v>3568.64</x:v>
      </x:c>
    </x:row>
    <x:row r="1526">
      <x:c r="A1526" s="83" t="n">
        <x:v>1525</x:v>
      </x:c>
      <x:c r="B1526" s="84" t="n">
        <x:v>1150</x:v>
      </x:c>
      <x:c r="C1526" s="84" t="n">
        <x:v>44</x:v>
      </x:c>
      <x:c r="D1526" s="89" t="n">
        <x:v>45957</x:v>
      </x:c>
      <x:c r="E1526" s="84" t="n">
        <x:v>3</x:v>
      </x:c>
      <x:c r="F1526" s="91" t="n">
        <x:v>3754.44</x:v>
      </x:c>
    </x:row>
    <x:row r="1527">
      <x:c r="A1527" s="83" t="n">
        <x:v>1526</x:v>
      </x:c>
      <x:c r="B1527" s="84" t="n">
        <x:v>1150</x:v>
      </x:c>
      <x:c r="C1527" s="84" t="n">
        <x:v>67</x:v>
      </x:c>
      <x:c r="D1527" s="89" t="n">
        <x:v>45957</x:v>
      </x:c>
      <x:c r="E1527" s="84" t="n">
        <x:v>3</x:v>
      </x:c>
      <x:c r="F1527" s="91" t="n">
        <x:v>3838.59</x:v>
      </x:c>
    </x:row>
    <x:row r="1528">
      <x:c r="A1528" s="83" t="n">
        <x:v>1527</x:v>
      </x:c>
      <x:c r="B1528" s="84" t="n">
        <x:v>1151</x:v>
      </x:c>
      <x:c r="C1528" s="84" t="n">
        <x:v>1</x:v>
      </x:c>
      <x:c r="D1528" s="89" t="n">
        <x:v>45003</x:v>
      </x:c>
      <x:c r="E1528" s="84" t="n">
        <x:v>2</x:v>
      </x:c>
      <x:c r="F1528" s="91" t="n">
        <x:v>3479.2</x:v>
      </x:c>
    </x:row>
    <x:row r="1529">
      <x:c r="A1529" s="83" t="n">
        <x:v>1528</x:v>
      </x:c>
      <x:c r="B1529" s="84" t="n">
        <x:v>1151</x:v>
      </x:c>
      <x:c r="C1529" s="84" t="n">
        <x:v>31</x:v>
      </x:c>
      <x:c r="D1529" s="89" t="n">
        <x:v>45003</x:v>
      </x:c>
      <x:c r="E1529" s="84" t="n">
        <x:v>3</x:v>
      </x:c>
      <x:c r="F1529" s="91" t="n">
        <x:v>6508.89</x:v>
      </x:c>
    </x:row>
    <x:row r="1530">
      <x:c r="A1530" s="83" t="n">
        <x:v>1529</x:v>
      </x:c>
      <x:c r="B1530" s="84" t="n">
        <x:v>1152</x:v>
      </x:c>
      <x:c r="C1530" s="84" t="n">
        <x:v>68</x:v>
      </x:c>
      <x:c r="D1530" s="89" t="n">
        <x:v>45479</x:v>
      </x:c>
      <x:c r="E1530" s="84" t="n">
        <x:v>3</x:v>
      </x:c>
      <x:c r="F1530" s="91" t="n">
        <x:v>4582.83</x:v>
      </x:c>
    </x:row>
    <x:row r="1531">
      <x:c r="A1531" s="83" t="n">
        <x:v>1530</x:v>
      </x:c>
      <x:c r="B1531" s="84" t="n">
        <x:v>1152</x:v>
      </x:c>
      <x:c r="C1531" s="84" t="n">
        <x:v>39</x:v>
      </x:c>
      <x:c r="D1531" s="89" t="n">
        <x:v>45479</x:v>
      </x:c>
      <x:c r="E1531" s="84" t="n">
        <x:v>3</x:v>
      </x:c>
      <x:c r="F1531" s="91" t="n">
        <x:v>2032.8</x:v>
      </x:c>
    </x:row>
    <x:row r="1532">
      <x:c r="A1532" s="83" t="n">
        <x:v>1531</x:v>
      </x:c>
      <x:c r="B1532" s="84" t="n">
        <x:v>1152</x:v>
      </x:c>
      <x:c r="C1532" s="84" t="n">
        <x:v>9</x:v>
      </x:c>
      <x:c r="D1532" s="89" t="n">
        <x:v>45479</x:v>
      </x:c>
      <x:c r="E1532" s="84" t="n">
        <x:v>2</x:v>
      </x:c>
      <x:c r="F1532" s="91" t="n">
        <x:v>3150.12</x:v>
      </x:c>
    </x:row>
    <x:row r="1533">
      <x:c r="A1533" s="83" t="n">
        <x:v>1532</x:v>
      </x:c>
      <x:c r="B1533" s="84" t="n">
        <x:v>1154</x:v>
      </x:c>
      <x:c r="C1533" s="84" t="n">
        <x:v>78</x:v>
      </x:c>
      <x:c r="D1533" s="89" t="n">
        <x:v>45982</x:v>
      </x:c>
      <x:c r="E1533" s="84" t="n">
        <x:v>4</x:v>
      </x:c>
      <x:c r="F1533" s="91" t="n">
        <x:v>1134.4</x:v>
      </x:c>
    </x:row>
    <x:row r="1534">
      <x:c r="A1534" s="83" t="n">
        <x:v>1533</x:v>
      </x:c>
      <x:c r="B1534" s="84" t="n">
        <x:v>1160</x:v>
      </x:c>
      <x:c r="C1534" s="84" t="n">
        <x:v>21</x:v>
      </x:c>
      <x:c r="D1534" s="89" t="n">
        <x:v>45216</x:v>
      </x:c>
      <x:c r="E1534" s="84" t="n">
        <x:v>4</x:v>
      </x:c>
      <x:c r="F1534" s="91" t="n">
        <x:v>9155.48</x:v>
      </x:c>
    </x:row>
    <x:row r="1535">
      <x:c r="A1535" s="83" t="n">
        <x:v>1534</x:v>
      </x:c>
      <x:c r="B1535" s="84" t="n">
        <x:v>1161</x:v>
      </x:c>
      <x:c r="C1535" s="84" t="n">
        <x:v>66</x:v>
      </x:c>
      <x:c r="D1535" s="89" t="n">
        <x:v>46018</x:v>
      </x:c>
      <x:c r="E1535" s="84" t="n">
        <x:v>2</x:v>
      </x:c>
      <x:c r="F1535" s="91" t="n">
        <x:v>3824.9</x:v>
      </x:c>
    </x:row>
    <x:row r="1536">
      <x:c r="A1536" s="83" t="n">
        <x:v>1535</x:v>
      </x:c>
      <x:c r="B1536" s="84" t="n">
        <x:v>1165</x:v>
      </x:c>
      <x:c r="C1536" s="84" t="n">
        <x:v>36</x:v>
      </x:c>
      <x:c r="D1536" s="89" t="n">
        <x:v>45017</x:v>
      </x:c>
      <x:c r="E1536" s="84" t="n">
        <x:v>2</x:v>
      </x:c>
      <x:c r="F1536" s="91" t="n">
        <x:v>1192.82</x:v>
      </x:c>
    </x:row>
    <x:row r="1537">
      <x:c r="A1537" s="83" t="n">
        <x:v>1536</x:v>
      </x:c>
      <x:c r="B1537" s="84" t="n">
        <x:v>1165</x:v>
      </x:c>
      <x:c r="C1537" s="84" t="n">
        <x:v>47</x:v>
      </x:c>
      <x:c r="D1537" s="89" t="n">
        <x:v>45017</x:v>
      </x:c>
      <x:c r="E1537" s="84" t="n">
        <x:v>2</x:v>
      </x:c>
      <x:c r="F1537" s="91" t="n">
        <x:v>4351.24</x:v>
      </x:c>
    </x:row>
    <x:row r="1538">
      <x:c r="A1538" s="83" t="n">
        <x:v>1537</x:v>
      </x:c>
      <x:c r="B1538" s="84" t="n">
        <x:v>1165</x:v>
      </x:c>
      <x:c r="C1538" s="84" t="n">
        <x:v>22</x:v>
      </x:c>
      <x:c r="D1538" s="89" t="n">
        <x:v>45017</x:v>
      </x:c>
      <x:c r="E1538" s="84" t="n">
        <x:v>1</x:v>
      </x:c>
      <x:c r="F1538" s="91" t="n">
        <x:v>521.89</x:v>
      </x:c>
    </x:row>
    <x:row r="1539">
      <x:c r="A1539" s="83" t="n">
        <x:v>1538</x:v>
      </x:c>
      <x:c r="B1539" s="84" t="n">
        <x:v>1166</x:v>
      </x:c>
      <x:c r="C1539" s="84" t="n">
        <x:v>72</x:v>
      </x:c>
      <x:c r="D1539" s="89" t="n">
        <x:v>45661</x:v>
      </x:c>
      <x:c r="E1539" s="84" t="n">
        <x:v>4</x:v>
      </x:c>
      <x:c r="F1539" s="91" t="n">
        <x:v>1803.32</x:v>
      </x:c>
    </x:row>
    <x:row r="1540">
      <x:c r="A1540" s="83" t="n">
        <x:v>1539</x:v>
      </x:c>
      <x:c r="B1540" s="84" t="n">
        <x:v>1166</x:v>
      </x:c>
      <x:c r="C1540" s="84" t="n">
        <x:v>61</x:v>
      </x:c>
      <x:c r="D1540" s="89" t="n">
        <x:v>45661</x:v>
      </x:c>
      <x:c r="E1540" s="84" t="n">
        <x:v>4</x:v>
      </x:c>
      <x:c r="F1540" s="91" t="n">
        <x:v>526.88</x:v>
      </x:c>
    </x:row>
    <x:row r="1541">
      <x:c r="A1541" s="83" t="n">
        <x:v>1540</x:v>
      </x:c>
      <x:c r="B1541" s="84" t="n">
        <x:v>1166</x:v>
      </x:c>
      <x:c r="C1541" s="84" t="n">
        <x:v>45</x:v>
      </x:c>
      <x:c r="D1541" s="89" t="n">
        <x:v>45661</x:v>
      </x:c>
      <x:c r="E1541" s="84" t="n">
        <x:v>4</x:v>
      </x:c>
      <x:c r="F1541" s="91" t="n">
        <x:v>5565.68</x:v>
      </x:c>
    </x:row>
    <x:row r="1542">
      <x:c r="A1542" s="83" t="n">
        <x:v>1541</x:v>
      </x:c>
      <x:c r="B1542" s="84" t="n">
        <x:v>1169</x:v>
      </x:c>
      <x:c r="C1542" s="84" t="n">
        <x:v>23</x:v>
      </x:c>
      <x:c r="D1542" s="89" t="n">
        <x:v>45205</x:v>
      </x:c>
      <x:c r="E1542" s="84" t="n">
        <x:v>3</x:v>
      </x:c>
      <x:c r="F1542" s="91" t="n">
        <x:v>5258.55</x:v>
      </x:c>
    </x:row>
    <x:row r="1543">
      <x:c r="A1543" s="83" t="n">
        <x:v>1542</x:v>
      </x:c>
      <x:c r="B1543" s="84" t="n">
        <x:v>1169</x:v>
      </x:c>
      <x:c r="C1543" s="84" t="n">
        <x:v>60</x:v>
      </x:c>
      <x:c r="D1543" s="89" t="n">
        <x:v>45205</x:v>
      </x:c>
      <x:c r="E1543" s="84" t="n">
        <x:v>4</x:v>
      </x:c>
      <x:c r="F1543" s="91" t="n">
        <x:v>1415.2</x:v>
      </x:c>
    </x:row>
    <x:row r="1544">
      <x:c r="A1544" s="83" t="n">
        <x:v>1543</x:v>
      </x:c>
      <x:c r="B1544" s="84" t="n">
        <x:v>1170</x:v>
      </x:c>
      <x:c r="C1544" s="84" t="n">
        <x:v>10</x:v>
      </x:c>
      <x:c r="D1544" s="89" t="n">
        <x:v>45217</x:v>
      </x:c>
      <x:c r="E1544" s="84" t="n">
        <x:v>2</x:v>
      </x:c>
      <x:c r="F1544" s="91" t="n">
        <x:v>1749.72</x:v>
      </x:c>
    </x:row>
    <x:row r="1545">
      <x:c r="A1545" s="83" t="n">
        <x:v>1544</x:v>
      </x:c>
      <x:c r="B1545" s="84" t="n">
        <x:v>1171</x:v>
      </x:c>
      <x:c r="C1545" s="84" t="n">
        <x:v>62</x:v>
      </x:c>
      <x:c r="D1545" s="89" t="n">
        <x:v>45139</x:v>
      </x:c>
      <x:c r="E1545" s="84" t="n">
        <x:v>2</x:v>
      </x:c>
      <x:c r="F1545" s="91" t="n">
        <x:v>3034.62</x:v>
      </x:c>
    </x:row>
    <x:row r="1546">
      <x:c r="A1546" s="83" t="n">
        <x:v>1545</x:v>
      </x:c>
      <x:c r="B1546" s="84" t="n">
        <x:v>1171</x:v>
      </x:c>
      <x:c r="C1546" s="84" t="n">
        <x:v>64</x:v>
      </x:c>
      <x:c r="D1546" s="89" t="n">
        <x:v>45139</x:v>
      </x:c>
      <x:c r="E1546" s="84" t="n">
        <x:v>3</x:v>
      </x:c>
      <x:c r="F1546" s="91" t="n">
        <x:v>4396.26</x:v>
      </x:c>
    </x:row>
    <x:row r="1547">
      <x:c r="A1547" s="83" t="n">
        <x:v>1546</x:v>
      </x:c>
      <x:c r="B1547" s="84" t="n">
        <x:v>1171</x:v>
      </x:c>
      <x:c r="C1547" s="84" t="n">
        <x:v>10</x:v>
      </x:c>
      <x:c r="D1547" s="89" t="n">
        <x:v>45139</x:v>
      </x:c>
      <x:c r="E1547" s="84" t="n">
        <x:v>4</x:v>
      </x:c>
      <x:c r="F1547" s="91" t="n">
        <x:v>3499.44</x:v>
      </x:c>
    </x:row>
    <x:row r="1548">
      <x:c r="A1548" s="83" t="n">
        <x:v>1547</x:v>
      </x:c>
      <x:c r="B1548" s="84" t="n">
        <x:v>1172</x:v>
      </x:c>
      <x:c r="C1548" s="84" t="n">
        <x:v>75</x:v>
      </x:c>
      <x:c r="D1548" s="89" t="n">
        <x:v>45350</x:v>
      </x:c>
      <x:c r="E1548" s="84" t="n">
        <x:v>3</x:v>
      </x:c>
      <x:c r="F1548" s="91" t="n">
        <x:v>1368.51</x:v>
      </x:c>
    </x:row>
    <x:row r="1549">
      <x:c r="A1549" s="83" t="n">
        <x:v>1548</x:v>
      </x:c>
      <x:c r="B1549" s="84" t="n">
        <x:v>1172</x:v>
      </x:c>
      <x:c r="C1549" s="84" t="n">
        <x:v>2</x:v>
      </x:c>
      <x:c r="D1549" s="89" t="n">
        <x:v>45350</x:v>
      </x:c>
      <x:c r="E1549" s="84" t="n">
        <x:v>1</x:v>
      </x:c>
      <x:c r="F1549" s="91" t="n">
        <x:v>994.31</x:v>
      </x:c>
    </x:row>
    <x:row r="1550">
      <x:c r="A1550" s="83" t="n">
        <x:v>1549</x:v>
      </x:c>
      <x:c r="B1550" s="84" t="n">
        <x:v>1172</x:v>
      </x:c>
      <x:c r="C1550" s="84" t="n">
        <x:v>53</x:v>
      </x:c>
      <x:c r="D1550" s="89" t="n">
        <x:v>45350</x:v>
      </x:c>
      <x:c r="E1550" s="84" t="n">
        <x:v>4</x:v>
      </x:c>
      <x:c r="F1550" s="91" t="n">
        <x:v>6363.68</x:v>
      </x:c>
    </x:row>
    <x:row r="1551">
      <x:c r="A1551" s="83" t="n">
        <x:v>1550</x:v>
      </x:c>
      <x:c r="B1551" s="84" t="n">
        <x:v>1173</x:v>
      </x:c>
      <x:c r="C1551" s="84" t="n">
        <x:v>80</x:v>
      </x:c>
      <x:c r="D1551" s="89" t="n">
        <x:v>45499</x:v>
      </x:c>
      <x:c r="E1551" s="84" t="n">
        <x:v>4</x:v>
      </x:c>
      <x:c r="F1551" s="91" t="n">
        <x:v>6914.16</x:v>
      </x:c>
    </x:row>
    <x:row r="1552">
      <x:c r="A1552" s="83" t="n">
        <x:v>1551</x:v>
      </x:c>
      <x:c r="B1552" s="84" t="n">
        <x:v>1173</x:v>
      </x:c>
      <x:c r="C1552" s="84" t="n">
        <x:v>28</x:v>
      </x:c>
      <x:c r="D1552" s="89" t="n">
        <x:v>45499</x:v>
      </x:c>
      <x:c r="E1552" s="84" t="n">
        <x:v>4</x:v>
      </x:c>
      <x:c r="F1552" s="91" t="n">
        <x:v>3281.88</x:v>
      </x:c>
    </x:row>
    <x:row r="1553">
      <x:c r="A1553" s="83" t="n">
        <x:v>1552</x:v>
      </x:c>
      <x:c r="B1553" s="84" t="n">
        <x:v>1173</x:v>
      </x:c>
      <x:c r="C1553" s="84" t="n">
        <x:v>33</x:v>
      </x:c>
      <x:c r="D1553" s="89" t="n">
        <x:v>45499</x:v>
      </x:c>
      <x:c r="E1553" s="84" t="n">
        <x:v>1</x:v>
      </x:c>
      <x:c r="F1553" s="91" t="n">
        <x:v>2346.92</x:v>
      </x:c>
    </x:row>
    <x:row r="1554">
      <x:c r="A1554" s="83" t="n">
        <x:v>1553</x:v>
      </x:c>
      <x:c r="B1554" s="84" t="n">
        <x:v>1174</x:v>
      </x:c>
      <x:c r="C1554" s="84" t="n">
        <x:v>66</x:v>
      </x:c>
      <x:c r="D1554" s="89" t="n">
        <x:v>45546</x:v>
      </x:c>
      <x:c r="E1554" s="84" t="n">
        <x:v>4</x:v>
      </x:c>
      <x:c r="F1554" s="91" t="n">
        <x:v>7649.8</x:v>
      </x:c>
    </x:row>
    <x:row r="1555">
      <x:c r="A1555" s="83" t="n">
        <x:v>1554</x:v>
      </x:c>
      <x:c r="B1555" s="84" t="n">
        <x:v>1174</x:v>
      </x:c>
      <x:c r="C1555" s="84" t="n">
        <x:v>1</x:v>
      </x:c>
      <x:c r="D1555" s="89" t="n">
        <x:v>45546</x:v>
      </x:c>
      <x:c r="E1555" s="84" t="n">
        <x:v>4</x:v>
      </x:c>
      <x:c r="F1555" s="91" t="n">
        <x:v>6958.4</x:v>
      </x:c>
    </x:row>
    <x:row r="1556">
      <x:c r="A1556" s="83" t="n">
        <x:v>1555</x:v>
      </x:c>
      <x:c r="B1556" s="84" t="n">
        <x:v>1176</x:v>
      </x:c>
      <x:c r="C1556" s="84" t="n">
        <x:v>80</x:v>
      </x:c>
      <x:c r="D1556" s="89" t="n">
        <x:v>45876</x:v>
      </x:c>
      <x:c r="E1556" s="84" t="n">
        <x:v>3</x:v>
      </x:c>
      <x:c r="F1556" s="91" t="n">
        <x:v>5185.62</x:v>
      </x:c>
    </x:row>
    <x:row r="1557">
      <x:c r="A1557" s="83" t="n">
        <x:v>1556</x:v>
      </x:c>
      <x:c r="B1557" s="84" t="n">
        <x:v>1177</x:v>
      </x:c>
      <x:c r="C1557" s="84" t="n">
        <x:v>24</x:v>
      </x:c>
      <x:c r="D1557" s="89" t="n">
        <x:v>45009</x:v>
      </x:c>
      <x:c r="E1557" s="84" t="n">
        <x:v>3</x:v>
      </x:c>
      <x:c r="F1557" s="91" t="n">
        <x:v>2222.73</x:v>
      </x:c>
    </x:row>
    <x:row r="1558">
      <x:c r="A1558" s="83" t="n">
        <x:v>1557</x:v>
      </x:c>
      <x:c r="B1558" s="84" t="n">
        <x:v>1177</x:v>
      </x:c>
      <x:c r="C1558" s="84" t="n">
        <x:v>6</x:v>
      </x:c>
      <x:c r="D1558" s="89" t="n">
        <x:v>45009</x:v>
      </x:c>
      <x:c r="E1558" s="84" t="n">
        <x:v>2</x:v>
      </x:c>
      <x:c r="F1558" s="91" t="n">
        <x:v>1394.74</x:v>
      </x:c>
    </x:row>
    <x:row r="1559">
      <x:c r="A1559" s="83" t="n">
        <x:v>1558</x:v>
      </x:c>
      <x:c r="B1559" s="84" t="n">
        <x:v>1177</x:v>
      </x:c>
      <x:c r="C1559" s="84" t="n">
        <x:v>21</x:v>
      </x:c>
      <x:c r="D1559" s="89" t="n">
        <x:v>45009</x:v>
      </x:c>
      <x:c r="E1559" s="84" t="n">
        <x:v>2</x:v>
      </x:c>
      <x:c r="F1559" s="91" t="n">
        <x:v>4577.74</x:v>
      </x:c>
    </x:row>
    <x:row r="1560">
      <x:c r="A1560" s="83" t="n">
        <x:v>1559</x:v>
      </x:c>
      <x:c r="B1560" s="84" t="n">
        <x:v>1178</x:v>
      </x:c>
      <x:c r="C1560" s="84" t="n">
        <x:v>78</x:v>
      </x:c>
      <x:c r="D1560" s="89" t="n">
        <x:v>45962</x:v>
      </x:c>
      <x:c r="E1560" s="84" t="n">
        <x:v>3</x:v>
      </x:c>
      <x:c r="F1560" s="91" t="n">
        <x:v>850.8</x:v>
      </x:c>
    </x:row>
    <x:row r="1561">
      <x:c r="A1561" s="83" t="n">
        <x:v>1560</x:v>
      </x:c>
      <x:c r="B1561" s="84" t="n">
        <x:v>1178</x:v>
      </x:c>
      <x:c r="C1561" s="84" t="n">
        <x:v>41</x:v>
      </x:c>
      <x:c r="D1561" s="89" t="n">
        <x:v>45962</x:v>
      </x:c>
      <x:c r="E1561" s="84" t="n">
        <x:v>4</x:v>
      </x:c>
      <x:c r="F1561" s="91" t="n">
        <x:v>4728.08</x:v>
      </x:c>
    </x:row>
    <x:row r="1562">
      <x:c r="A1562" s="83" t="n">
        <x:v>1561</x:v>
      </x:c>
      <x:c r="B1562" s="84" t="n">
        <x:v>1181</x:v>
      </x:c>
      <x:c r="C1562" s="84" t="n">
        <x:v>57</x:v>
      </x:c>
      <x:c r="D1562" s="89" t="n">
        <x:v>45071</x:v>
      </x:c>
      <x:c r="E1562" s="84" t="n">
        <x:v>2</x:v>
      </x:c>
      <x:c r="F1562" s="91" t="n">
        <x:v>2358.12</x:v>
      </x:c>
    </x:row>
    <x:row r="1563">
      <x:c r="A1563" s="83" t="n">
        <x:v>1562</x:v>
      </x:c>
      <x:c r="B1563" s="84" t="n">
        <x:v>1182</x:v>
      </x:c>
      <x:c r="C1563" s="84" t="n">
        <x:v>77</x:v>
      </x:c>
      <x:c r="D1563" s="89" t="n">
        <x:v>45243</x:v>
      </x:c>
      <x:c r="E1563" s="84" t="n">
        <x:v>3</x:v>
      </x:c>
      <x:c r="F1563" s="91" t="n">
        <x:v>6308.73</x:v>
      </x:c>
    </x:row>
    <x:row r="1564">
      <x:c r="A1564" s="83" t="n">
        <x:v>1563</x:v>
      </x:c>
      <x:c r="B1564" s="84" t="n">
        <x:v>1182</x:v>
      </x:c>
      <x:c r="C1564" s="84" t="n">
        <x:v>51</x:v>
      </x:c>
      <x:c r="D1564" s="89" t="n">
        <x:v>45243</x:v>
      </x:c>
      <x:c r="E1564" s="84" t="n">
        <x:v>2</x:v>
      </x:c>
      <x:c r="F1564" s="91" t="n">
        <x:v>1784.32</x:v>
      </x:c>
    </x:row>
    <x:row r="1565">
      <x:c r="A1565" s="83" t="n">
        <x:v>1564</x:v>
      </x:c>
      <x:c r="B1565" s="84" t="n">
        <x:v>1184</x:v>
      </x:c>
      <x:c r="C1565" s="84" t="n">
        <x:v>41</x:v>
      </x:c>
      <x:c r="D1565" s="89" t="n">
        <x:v>45789</x:v>
      </x:c>
      <x:c r="E1565" s="84" t="n">
        <x:v>2</x:v>
      </x:c>
      <x:c r="F1565" s="91" t="n">
        <x:v>2364.04</x:v>
      </x:c>
    </x:row>
    <x:row r="1566">
      <x:c r="A1566" s="83" t="n">
        <x:v>1565</x:v>
      </x:c>
      <x:c r="B1566" s="84" t="n">
        <x:v>1185</x:v>
      </x:c>
      <x:c r="C1566" s="84" t="n">
        <x:v>33</x:v>
      </x:c>
      <x:c r="D1566" s="89" t="n">
        <x:v>45429</x:v>
      </x:c>
      <x:c r="E1566" s="84" t="n">
        <x:v>2</x:v>
      </x:c>
      <x:c r="F1566" s="91" t="n">
        <x:v>4693.84</x:v>
      </x:c>
    </x:row>
    <x:row r="1567">
      <x:c r="A1567" s="83" t="n">
        <x:v>1566</x:v>
      </x:c>
      <x:c r="B1567" s="84" t="n">
        <x:v>1185</x:v>
      </x:c>
      <x:c r="C1567" s="84" t="n">
        <x:v>8</x:v>
      </x:c>
      <x:c r="D1567" s="89" t="n">
        <x:v>45429</x:v>
      </x:c>
      <x:c r="E1567" s="84" t="n">
        <x:v>2</x:v>
      </x:c>
      <x:c r="F1567" s="91" t="n">
        <x:v>3332.38</x:v>
      </x:c>
    </x:row>
    <x:row r="1568">
      <x:c r="A1568" s="83" t="n">
        <x:v>1567</x:v>
      </x:c>
      <x:c r="B1568" s="84" t="n">
        <x:v>1187</x:v>
      </x:c>
      <x:c r="C1568" s="84" t="n">
        <x:v>32</x:v>
      </x:c>
      <x:c r="D1568" s="89" t="n">
        <x:v>45737</x:v>
      </x:c>
      <x:c r="E1568" s="84" t="n">
        <x:v>1</x:v>
      </x:c>
      <x:c r="F1568" s="91" t="n">
        <x:v>1813.25</x:v>
      </x:c>
    </x:row>
    <x:row r="1569">
      <x:c r="A1569" s="83" t="n">
        <x:v>1568</x:v>
      </x:c>
      <x:c r="B1569" s="84" t="n">
        <x:v>1190</x:v>
      </x:c>
      <x:c r="C1569" s="84" t="n">
        <x:v>9</x:v>
      </x:c>
      <x:c r="D1569" s="89" t="n">
        <x:v>45801</x:v>
      </x:c>
      <x:c r="E1569" s="84" t="n">
        <x:v>1</x:v>
      </x:c>
      <x:c r="F1569" s="91" t="n">
        <x:v>1575.06</x:v>
      </x:c>
    </x:row>
    <x:row r="1570">
      <x:c r="A1570" s="83" t="n">
        <x:v>1569</x:v>
      </x:c>
      <x:c r="B1570" s="84" t="n">
        <x:v>1190</x:v>
      </x:c>
      <x:c r="C1570" s="84" t="n">
        <x:v>50</x:v>
      </x:c>
      <x:c r="D1570" s="89" t="n">
        <x:v>45801</x:v>
      </x:c>
      <x:c r="E1570" s="84" t="n">
        <x:v>2</x:v>
      </x:c>
      <x:c r="F1570" s="91" t="n">
        <x:v>4471.9</x:v>
      </x:c>
    </x:row>
    <x:row r="1571">
      <x:c r="A1571" s="83" t="n">
        <x:v>1570</x:v>
      </x:c>
      <x:c r="B1571" s="84" t="n">
        <x:v>1191</x:v>
      </x:c>
      <x:c r="C1571" s="84" t="n">
        <x:v>33</x:v>
      </x:c>
      <x:c r="D1571" s="89" t="n">
        <x:v>45476</x:v>
      </x:c>
      <x:c r="E1571" s="84" t="n">
        <x:v>1</x:v>
      </x:c>
      <x:c r="F1571" s="91" t="n">
        <x:v>2346.92</x:v>
      </x:c>
    </x:row>
    <x:row r="1572">
      <x:c r="A1572" s="83" t="n">
        <x:v>1571</x:v>
      </x:c>
      <x:c r="B1572" s="84" t="n">
        <x:v>1193</x:v>
      </x:c>
      <x:c r="C1572" s="84" t="n">
        <x:v>66</x:v>
      </x:c>
      <x:c r="D1572" s="89" t="n">
        <x:v>45319</x:v>
      </x:c>
      <x:c r="E1572" s="84" t="n">
        <x:v>4</x:v>
      </x:c>
      <x:c r="F1572" s="91" t="n">
        <x:v>7649.8</x:v>
      </x:c>
    </x:row>
    <x:row r="1573">
      <x:c r="A1573" s="83" t="n">
        <x:v>1572</x:v>
      </x:c>
      <x:c r="B1573" s="84" t="n">
        <x:v>1193</x:v>
      </x:c>
      <x:c r="C1573" s="84" t="n">
        <x:v>4</x:v>
      </x:c>
      <x:c r="D1573" s="89" t="n">
        <x:v>45319</x:v>
      </x:c>
      <x:c r="E1573" s="84" t="n">
        <x:v>2</x:v>
      </x:c>
      <x:c r="F1573" s="91" t="n">
        <x:v>3050.62</x:v>
      </x:c>
    </x:row>
    <x:row r="1574">
      <x:c r="A1574" s="83" t="n">
        <x:v>1573</x:v>
      </x:c>
      <x:c r="B1574" s="84" t="n">
        <x:v>1194</x:v>
      </x:c>
      <x:c r="C1574" s="84" t="n">
        <x:v>33</x:v>
      </x:c>
      <x:c r="D1574" s="89" t="n">
        <x:v>45928</x:v>
      </x:c>
      <x:c r="E1574" s="84" t="n">
        <x:v>4</x:v>
      </x:c>
      <x:c r="F1574" s="91" t="n">
        <x:v>9387.68</x:v>
      </x:c>
    </x:row>
    <x:row r="1575">
      <x:c r="A1575" s="83" t="n">
        <x:v>1574</x:v>
      </x:c>
      <x:c r="B1575" s="84" t="n">
        <x:v>1194</x:v>
      </x:c>
      <x:c r="C1575" s="84" t="n">
        <x:v>42</x:v>
      </x:c>
      <x:c r="D1575" s="89" t="n">
        <x:v>45928</x:v>
      </x:c>
      <x:c r="E1575" s="84" t="n">
        <x:v>4</x:v>
      </x:c>
      <x:c r="F1575" s="91" t="n">
        <x:v>8686.96</x:v>
      </x:c>
    </x:row>
    <x:row r="1576">
      <x:c r="A1576" s="83" t="n">
        <x:v>1575</x:v>
      </x:c>
      <x:c r="B1576" s="84" t="n">
        <x:v>1195</x:v>
      </x:c>
      <x:c r="C1576" s="84" t="n">
        <x:v>41</x:v>
      </x:c>
      <x:c r="D1576" s="89" t="n">
        <x:v>44941</x:v>
      </x:c>
      <x:c r="E1576" s="84" t="n">
        <x:v>4</x:v>
      </x:c>
      <x:c r="F1576" s="91" t="n">
        <x:v>4728.08</x:v>
      </x:c>
    </x:row>
    <x:row r="1577">
      <x:c r="A1577" s="83" t="n">
        <x:v>1576</x:v>
      </x:c>
      <x:c r="B1577" s="84" t="n">
        <x:v>1195</x:v>
      </x:c>
      <x:c r="C1577" s="84" t="n">
        <x:v>23</x:v>
      </x:c>
      <x:c r="D1577" s="89" t="n">
        <x:v>44941</x:v>
      </x:c>
      <x:c r="E1577" s="84" t="n">
        <x:v>4</x:v>
      </x:c>
      <x:c r="F1577" s="91" t="n">
        <x:v>7011.4</x:v>
      </x:c>
    </x:row>
    <x:row r="1578">
      <x:c r="A1578" s="83" t="n">
        <x:v>1577</x:v>
      </x:c>
      <x:c r="B1578" s="84" t="n">
        <x:v>1196</x:v>
      </x:c>
      <x:c r="C1578" s="84" t="n">
        <x:v>53</x:v>
      </x:c>
      <x:c r="D1578" s="89" t="n">
        <x:v>45648</x:v>
      </x:c>
      <x:c r="E1578" s="84" t="n">
        <x:v>3</x:v>
      </x:c>
      <x:c r="F1578" s="91" t="n">
        <x:v>4772.76</x:v>
      </x:c>
    </x:row>
    <x:row r="1579">
      <x:c r="A1579" s="83" t="n">
        <x:v>1578</x:v>
      </x:c>
      <x:c r="B1579" s="84" t="n">
        <x:v>1196</x:v>
      </x:c>
      <x:c r="C1579" s="84" t="n">
        <x:v>61</x:v>
      </x:c>
      <x:c r="D1579" s="89" t="n">
        <x:v>45648</x:v>
      </x:c>
      <x:c r="E1579" s="84" t="n">
        <x:v>2</x:v>
      </x:c>
      <x:c r="F1579" s="91" t="n">
        <x:v>263.44</x:v>
      </x:c>
    </x:row>
    <x:row r="1580">
      <x:c r="A1580" s="83" t="n">
        <x:v>1579</x:v>
      </x:c>
      <x:c r="B1580" s="84" t="n">
        <x:v>1196</x:v>
      </x:c>
      <x:c r="C1580" s="84" t="n">
        <x:v>58</x:v>
      </x:c>
      <x:c r="D1580" s="89" t="n">
        <x:v>45648</x:v>
      </x:c>
      <x:c r="E1580" s="84" t="n">
        <x:v>2</x:v>
      </x:c>
      <x:c r="F1580" s="91" t="n">
        <x:v>4036.36</x:v>
      </x:c>
    </x:row>
    <x:row r="1581">
      <x:c r="A1581" s="83" t="n">
        <x:v>1580</x:v>
      </x:c>
      <x:c r="B1581" s="84" t="n">
        <x:v>1197</x:v>
      </x:c>
      <x:c r="C1581" s="84" t="n">
        <x:v>11</x:v>
      </x:c>
      <x:c r="D1581" s="89" t="n">
        <x:v>45067</x:v>
      </x:c>
      <x:c r="E1581" s="84" t="n">
        <x:v>2</x:v>
      </x:c>
      <x:c r="F1581" s="91" t="n">
        <x:v>4422.52</x:v>
      </x:c>
    </x:row>
    <x:row r="1582">
      <x:c r="A1582" s="83" t="n">
        <x:v>1581</x:v>
      </x:c>
      <x:c r="B1582" s="84" t="n">
        <x:v>1199</x:v>
      </x:c>
      <x:c r="C1582" s="84" t="n">
        <x:v>3</x:v>
      </x:c>
      <x:c r="D1582" s="89" t="n">
        <x:v>45822</x:v>
      </x:c>
      <x:c r="E1582" s="84" t="n">
        <x:v>1</x:v>
      </x:c>
      <x:c r="F1582" s="91" t="n">
        <x:v>1151.14</x:v>
      </x:c>
    </x:row>
    <x:row r="1583">
      <x:c r="A1583" s="83" t="n">
        <x:v>1582</x:v>
      </x:c>
      <x:c r="B1583" s="84" t="n">
        <x:v>1199</x:v>
      </x:c>
      <x:c r="C1583" s="84" t="n">
        <x:v>27</x:v>
      </x:c>
      <x:c r="D1583" s="89" t="n">
        <x:v>45822</x:v>
      </x:c>
      <x:c r="E1583" s="84" t="n">
        <x:v>4</x:v>
      </x:c>
      <x:c r="F1583" s="91" t="n">
        <x:v>642.76</x:v>
      </x:c>
    </x:row>
    <x:row r="1584">
      <x:c r="A1584" s="83" t="n">
        <x:v>1583</x:v>
      </x:c>
      <x:c r="B1584" s="84" t="n">
        <x:v>1199</x:v>
      </x:c>
      <x:c r="C1584" s="84" t="n">
        <x:v>61</x:v>
      </x:c>
      <x:c r="D1584" s="89" t="n">
        <x:v>45822</x:v>
      </x:c>
      <x:c r="E1584" s="84" t="n">
        <x:v>1</x:v>
      </x:c>
      <x:c r="F1584" s="91" t="n">
        <x:v>131.72</x:v>
      </x:c>
    </x:row>
    <x:row r="1585">
      <x:c r="A1585" s="83" t="n">
        <x:v>1584</x:v>
      </x:c>
      <x:c r="B1585" s="84" t="n">
        <x:v>1200</x:v>
      </x:c>
      <x:c r="C1585" s="84" t="n">
        <x:v>37</x:v>
      </x:c>
      <x:c r="D1585" s="89" t="n">
        <x:v>45892</x:v>
      </x:c>
      <x:c r="E1585" s="84" t="n">
        <x:v>1</x:v>
      </x:c>
      <x:c r="F1585" s="91" t="n">
        <x:v>1033.71</x:v>
      </x:c>
    </x:row>
    <x:row r="1586">
      <x:c r="A1586" s="83" t="n">
        <x:v>1585</x:v>
      </x:c>
      <x:c r="B1586" s="84" t="n">
        <x:v>1201</x:v>
      </x:c>
      <x:c r="C1586" s="84" t="n">
        <x:v>37</x:v>
      </x:c>
      <x:c r="D1586" s="89" t="n">
        <x:v>45051</x:v>
      </x:c>
      <x:c r="E1586" s="84" t="n">
        <x:v>1</x:v>
      </x:c>
      <x:c r="F1586" s="91" t="n">
        <x:v>1033.71</x:v>
      </x:c>
    </x:row>
    <x:row r="1587">
      <x:c r="A1587" s="83" t="n">
        <x:v>1586</x:v>
      </x:c>
      <x:c r="B1587" s="84" t="n">
        <x:v>1201</x:v>
      </x:c>
      <x:c r="C1587" s="84" t="n">
        <x:v>45</x:v>
      </x:c>
      <x:c r="D1587" s="89" t="n">
        <x:v>45051</x:v>
      </x:c>
      <x:c r="E1587" s="84" t="n">
        <x:v>1</x:v>
      </x:c>
      <x:c r="F1587" s="91" t="n">
        <x:v>1391.42</x:v>
      </x:c>
    </x:row>
    <x:row r="1588">
      <x:c r="A1588" s="83" t="n">
        <x:v>1587</x:v>
      </x:c>
      <x:c r="B1588" s="84" t="n">
        <x:v>1204</x:v>
      </x:c>
      <x:c r="C1588" s="84" t="n">
        <x:v>45</x:v>
      </x:c>
      <x:c r="D1588" s="89" t="n">
        <x:v>45748</x:v>
      </x:c>
      <x:c r="E1588" s="84" t="n">
        <x:v>3</x:v>
      </x:c>
      <x:c r="F1588" s="91" t="n">
        <x:v>4174.26</x:v>
      </x:c>
    </x:row>
    <x:row r="1589">
      <x:c r="A1589" s="83" t="n">
        <x:v>1588</x:v>
      </x:c>
      <x:c r="B1589" s="84" t="n">
        <x:v>1204</x:v>
      </x:c>
      <x:c r="C1589" s="84" t="n">
        <x:v>24</x:v>
      </x:c>
      <x:c r="D1589" s="89" t="n">
        <x:v>45748</x:v>
      </x:c>
      <x:c r="E1589" s="84" t="n">
        <x:v>4</x:v>
      </x:c>
      <x:c r="F1589" s="91" t="n">
        <x:v>2963.64</x:v>
      </x:c>
    </x:row>
    <x:row r="1590">
      <x:c r="A1590" s="83" t="n">
        <x:v>1589</x:v>
      </x:c>
      <x:c r="B1590" s="84" t="n">
        <x:v>1206</x:v>
      </x:c>
      <x:c r="C1590" s="84" t="n">
        <x:v>28</x:v>
      </x:c>
      <x:c r="D1590" s="89" t="n">
        <x:v>45509</x:v>
      </x:c>
      <x:c r="E1590" s="84" t="n">
        <x:v>4</x:v>
      </x:c>
      <x:c r="F1590" s="91" t="n">
        <x:v>3281.88</x:v>
      </x:c>
    </x:row>
    <x:row r="1591">
      <x:c r="A1591" s="83" t="n">
        <x:v>1590</x:v>
      </x:c>
      <x:c r="B1591" s="84" t="n">
        <x:v>1206</x:v>
      </x:c>
      <x:c r="C1591" s="84" t="n">
        <x:v>75</x:v>
      </x:c>
      <x:c r="D1591" s="89" t="n">
        <x:v>45509</x:v>
      </x:c>
      <x:c r="E1591" s="84" t="n">
        <x:v>4</x:v>
      </x:c>
      <x:c r="F1591" s="91" t="n">
        <x:v>1824.68</x:v>
      </x:c>
    </x:row>
    <x:row r="1592">
      <x:c r="A1592" s="83" t="n">
        <x:v>1591</x:v>
      </x:c>
      <x:c r="B1592" s="84" t="n">
        <x:v>1207</x:v>
      </x:c>
      <x:c r="C1592" s="84" t="n">
        <x:v>62</x:v>
      </x:c>
      <x:c r="D1592" s="89" t="n">
        <x:v>45985</x:v>
      </x:c>
      <x:c r="E1592" s="84" t="n">
        <x:v>4</x:v>
      </x:c>
      <x:c r="F1592" s="91" t="n">
        <x:v>6069.24</x:v>
      </x:c>
    </x:row>
    <x:row r="1593">
      <x:c r="A1593" s="83" t="n">
        <x:v>1592</x:v>
      </x:c>
      <x:c r="B1593" s="84" t="n">
        <x:v>1207</x:v>
      </x:c>
      <x:c r="C1593" s="84" t="n">
        <x:v>67</x:v>
      </x:c>
      <x:c r="D1593" s="89" t="n">
        <x:v>45985</x:v>
      </x:c>
      <x:c r="E1593" s="84" t="n">
        <x:v>3</x:v>
      </x:c>
      <x:c r="F1593" s="91" t="n">
        <x:v>3838.59</x:v>
      </x:c>
    </x:row>
    <x:row r="1594">
      <x:c r="A1594" s="83" t="n">
        <x:v>1593</x:v>
      </x:c>
      <x:c r="B1594" s="84" t="n">
        <x:v>1208</x:v>
      </x:c>
      <x:c r="C1594" s="84" t="n">
        <x:v>2</x:v>
      </x:c>
      <x:c r="D1594" s="89" t="n">
        <x:v>45217</x:v>
      </x:c>
      <x:c r="E1594" s="84" t="n">
        <x:v>3</x:v>
      </x:c>
      <x:c r="F1594" s="91" t="n">
        <x:v>2982.93</x:v>
      </x:c>
    </x:row>
    <x:row r="1595">
      <x:c r="A1595" s="83" t="n">
        <x:v>1594</x:v>
      </x:c>
      <x:c r="B1595" s="84" t="n">
        <x:v>1208</x:v>
      </x:c>
      <x:c r="C1595" s="84" t="n">
        <x:v>18</x:v>
      </x:c>
      <x:c r="D1595" s="89" t="n">
        <x:v>45217</x:v>
      </x:c>
      <x:c r="E1595" s="84" t="n">
        <x:v>2</x:v>
      </x:c>
      <x:c r="F1595" s="91" t="n">
        <x:v>1332.32</x:v>
      </x:c>
    </x:row>
    <x:row r="1596">
      <x:c r="A1596" s="83" t="n">
        <x:v>1595</x:v>
      </x:c>
      <x:c r="B1596" s="84" t="n">
        <x:v>1209</x:v>
      </x:c>
      <x:c r="C1596" s="84" t="n">
        <x:v>69</x:v>
      </x:c>
      <x:c r="D1596" s="89" t="n">
        <x:v>45479</x:v>
      </x:c>
      <x:c r="E1596" s="84" t="n">
        <x:v>4</x:v>
      </x:c>
      <x:c r="F1596" s="91" t="n">
        <x:v>7081.32</x:v>
      </x:c>
    </x:row>
    <x:row r="1597">
      <x:c r="A1597" s="83" t="n">
        <x:v>1596</x:v>
      </x:c>
      <x:c r="B1597" s="84" t="n">
        <x:v>1209</x:v>
      </x:c>
      <x:c r="C1597" s="84" t="n">
        <x:v>1</x:v>
      </x:c>
      <x:c r="D1597" s="89" t="n">
        <x:v>45479</x:v>
      </x:c>
      <x:c r="E1597" s="84" t="n">
        <x:v>2</x:v>
      </x:c>
      <x:c r="F1597" s="91" t="n">
        <x:v>3479.2</x:v>
      </x:c>
    </x:row>
    <x:row r="1598">
      <x:c r="A1598" s="83" t="n">
        <x:v>1597</x:v>
      </x:c>
      <x:c r="B1598" s="84" t="n">
        <x:v>1213</x:v>
      </x:c>
      <x:c r="C1598" s="84" t="n">
        <x:v>27</x:v>
      </x:c>
      <x:c r="D1598" s="89" t="n">
        <x:v>45626</x:v>
      </x:c>
      <x:c r="E1598" s="84" t="n">
        <x:v>3</x:v>
      </x:c>
      <x:c r="F1598" s="91" t="n">
        <x:v>482.07</x:v>
      </x:c>
    </x:row>
    <x:row r="1599">
      <x:c r="A1599" s="83" t="n">
        <x:v>1598</x:v>
      </x:c>
      <x:c r="B1599" s="84" t="n">
        <x:v>1213</x:v>
      </x:c>
      <x:c r="C1599" s="84" t="n">
        <x:v>68</x:v>
      </x:c>
      <x:c r="D1599" s="89" t="n">
        <x:v>45626</x:v>
      </x:c>
      <x:c r="E1599" s="84" t="n">
        <x:v>2</x:v>
      </x:c>
      <x:c r="F1599" s="91" t="n">
        <x:v>3055.22</x:v>
      </x:c>
    </x:row>
    <x:row r="1600">
      <x:c r="A1600" s="83" t="n">
        <x:v>1599</x:v>
      </x:c>
      <x:c r="B1600" s="84" t="n">
        <x:v>1213</x:v>
      </x:c>
      <x:c r="C1600" s="84" t="n">
        <x:v>77</x:v>
      </x:c>
      <x:c r="D1600" s="89" t="n">
        <x:v>45626</x:v>
      </x:c>
      <x:c r="E1600" s="84" t="n">
        <x:v>3</x:v>
      </x:c>
      <x:c r="F1600" s="91" t="n">
        <x:v>6308.73</x:v>
      </x:c>
    </x:row>
    <x:row r="1601">
      <x:c r="A1601" s="83" t="n">
        <x:v>1600</x:v>
      </x:c>
      <x:c r="B1601" s="84" t="n">
        <x:v>1214</x:v>
      </x:c>
      <x:c r="C1601" s="84" t="n">
        <x:v>11</x:v>
      </x:c>
      <x:c r="D1601" s="89" t="n">
        <x:v>44956</x:v>
      </x:c>
      <x:c r="E1601" s="84" t="n">
        <x:v>2</x:v>
      </x:c>
      <x:c r="F1601" s="91" t="n">
        <x:v>4422.52</x:v>
      </x:c>
    </x:row>
    <x:row r="1602">
      <x:c r="A1602" s="83" t="n">
        <x:v>1601</x:v>
      </x:c>
      <x:c r="B1602" s="84" t="n">
        <x:v>1214</x:v>
      </x:c>
      <x:c r="C1602" s="84" t="n">
        <x:v>13</x:v>
      </x:c>
      <x:c r="D1602" s="89" t="n">
        <x:v>44956</x:v>
      </x:c>
      <x:c r="E1602" s="84" t="n">
        <x:v>2</x:v>
      </x:c>
      <x:c r="F1602" s="91" t="n">
        <x:v>1604.1</x:v>
      </x:c>
    </x:row>
    <x:row r="1603">
      <x:c r="A1603" s="83" t="n">
        <x:v>1602</x:v>
      </x:c>
      <x:c r="B1603" s="84" t="n">
        <x:v>1215</x:v>
      </x:c>
      <x:c r="C1603" s="84" t="n">
        <x:v>75</x:v>
      </x:c>
      <x:c r="D1603" s="89" t="n">
        <x:v>45830</x:v>
      </x:c>
      <x:c r="E1603" s="84" t="n">
        <x:v>2</x:v>
      </x:c>
      <x:c r="F1603" s="91" t="n">
        <x:v>912.34</x:v>
      </x:c>
    </x:row>
    <x:row r="1604">
      <x:c r="A1604" s="83" t="n">
        <x:v>1603</x:v>
      </x:c>
      <x:c r="B1604" s="84" t="n">
        <x:v>1216</x:v>
      </x:c>
      <x:c r="C1604" s="84" t="n">
        <x:v>36</x:v>
      </x:c>
      <x:c r="D1604" s="89" t="n">
        <x:v>45030</x:v>
      </x:c>
      <x:c r="E1604" s="84" t="n">
        <x:v>3</x:v>
      </x:c>
      <x:c r="F1604" s="91" t="n">
        <x:v>1789.23</x:v>
      </x:c>
    </x:row>
    <x:row r="1605">
      <x:c r="A1605" s="83" t="n">
        <x:v>1604</x:v>
      </x:c>
      <x:c r="B1605" s="84" t="n">
        <x:v>1216</x:v>
      </x:c>
      <x:c r="C1605" s="84" t="n">
        <x:v>13</x:v>
      </x:c>
      <x:c r="D1605" s="89" t="n">
        <x:v>45030</x:v>
      </x:c>
      <x:c r="E1605" s="84" t="n">
        <x:v>3</x:v>
      </x:c>
      <x:c r="F1605" s="91" t="n">
        <x:v>2406.15</x:v>
      </x:c>
    </x:row>
    <x:row r="1606">
      <x:c r="A1606" s="83" t="n">
        <x:v>1605</x:v>
      </x:c>
      <x:c r="B1606" s="84" t="n">
        <x:v>1217</x:v>
      </x:c>
      <x:c r="C1606" s="84" t="n">
        <x:v>18</x:v>
      </x:c>
      <x:c r="D1606" s="89" t="n">
        <x:v>45614</x:v>
      </x:c>
      <x:c r="E1606" s="84" t="n">
        <x:v>4</x:v>
      </x:c>
      <x:c r="F1606" s="91" t="n">
        <x:v>2664.64</x:v>
      </x:c>
    </x:row>
    <x:row r="1607">
      <x:c r="A1607" s="83" t="n">
        <x:v>1606</x:v>
      </x:c>
      <x:c r="B1607" s="84" t="n">
        <x:v>1217</x:v>
      </x:c>
      <x:c r="C1607" s="84" t="n">
        <x:v>41</x:v>
      </x:c>
      <x:c r="D1607" s="89" t="n">
        <x:v>45614</x:v>
      </x:c>
      <x:c r="E1607" s="84" t="n">
        <x:v>2</x:v>
      </x:c>
      <x:c r="F1607" s="91" t="n">
        <x:v>2364.04</x:v>
      </x:c>
    </x:row>
    <x:row r="1608">
      <x:c r="A1608" s="83" t="n">
        <x:v>1607</x:v>
      </x:c>
      <x:c r="B1608" s="84" t="n">
        <x:v>1220</x:v>
      </x:c>
      <x:c r="C1608" s="84" t="n">
        <x:v>71</x:v>
      </x:c>
      <x:c r="D1608" s="89" t="n">
        <x:v>45793</x:v>
      </x:c>
      <x:c r="E1608" s="84" t="n">
        <x:v>3</x:v>
      </x:c>
      <x:c r="F1608" s="91" t="n">
        <x:v>5950.56</x:v>
      </x:c>
    </x:row>
    <x:row r="1609">
      <x:c r="A1609" s="83" t="n">
        <x:v>1608</x:v>
      </x:c>
      <x:c r="B1609" s="84" t="n">
        <x:v>1220</x:v>
      </x:c>
      <x:c r="C1609" s="84" t="n">
        <x:v>67</x:v>
      </x:c>
      <x:c r="D1609" s="89" t="n">
        <x:v>45793</x:v>
      </x:c>
      <x:c r="E1609" s="84" t="n">
        <x:v>3</x:v>
      </x:c>
      <x:c r="F1609" s="91" t="n">
        <x:v>3838.59</x:v>
      </x:c>
    </x:row>
    <x:row r="1610">
      <x:c r="A1610" s="83" t="n">
        <x:v>1609</x:v>
      </x:c>
      <x:c r="B1610" s="84" t="n">
        <x:v>1221</x:v>
      </x:c>
      <x:c r="C1610" s="84" t="n">
        <x:v>63</x:v>
      </x:c>
      <x:c r="D1610" s="89" t="n">
        <x:v>45147</x:v>
      </x:c>
      <x:c r="E1610" s="84" t="n">
        <x:v>1</x:v>
      </x:c>
      <x:c r="F1610" s="91" t="n">
        <x:v>1934.19</x:v>
      </x:c>
    </x:row>
    <x:row r="1611">
      <x:c r="A1611" s="83" t="n">
        <x:v>1610</x:v>
      </x:c>
      <x:c r="B1611" s="84" t="n">
        <x:v>1222</x:v>
      </x:c>
      <x:c r="C1611" s="84" t="n">
        <x:v>54</x:v>
      </x:c>
      <x:c r="D1611" s="89" t="n">
        <x:v>45589</x:v>
      </x:c>
      <x:c r="E1611" s="84" t="n">
        <x:v>1</x:v>
      </x:c>
      <x:c r="F1611" s="91" t="n">
        <x:v>686.4</x:v>
      </x:c>
    </x:row>
    <x:row r="1612">
      <x:c r="A1612" s="83" t="n">
        <x:v>1611</x:v>
      </x:c>
      <x:c r="B1612" s="84" t="n">
        <x:v>1223</x:v>
      </x:c>
      <x:c r="C1612" s="84" t="n">
        <x:v>44</x:v>
      </x:c>
      <x:c r="D1612" s="89" t="n">
        <x:v>45066</x:v>
      </x:c>
      <x:c r="E1612" s="84" t="n">
        <x:v>3</x:v>
      </x:c>
      <x:c r="F1612" s="91" t="n">
        <x:v>3754.44</x:v>
      </x:c>
    </x:row>
    <x:row r="1613">
      <x:c r="A1613" s="83" t="n">
        <x:v>1612</x:v>
      </x:c>
      <x:c r="B1613" s="84" t="n">
        <x:v>1224</x:v>
      </x:c>
      <x:c r="C1613" s="84" t="n">
        <x:v>36</x:v>
      </x:c>
      <x:c r="D1613" s="89" t="n">
        <x:v>45318</x:v>
      </x:c>
      <x:c r="E1613" s="84" t="n">
        <x:v>2</x:v>
      </x:c>
      <x:c r="F1613" s="91" t="n">
        <x:v>1192.82</x:v>
      </x:c>
    </x:row>
    <x:row r="1614">
      <x:c r="A1614" s="83" t="n">
        <x:v>1613</x:v>
      </x:c>
      <x:c r="B1614" s="84" t="n">
        <x:v>1224</x:v>
      </x:c>
      <x:c r="C1614" s="84" t="n">
        <x:v>61</x:v>
      </x:c>
      <x:c r="D1614" s="89" t="n">
        <x:v>45318</x:v>
      </x:c>
      <x:c r="E1614" s="84" t="n">
        <x:v>2</x:v>
      </x:c>
      <x:c r="F1614" s="91" t="n">
        <x:v>263.44</x:v>
      </x:c>
    </x:row>
    <x:row r="1615">
      <x:c r="A1615" s="83" t="n">
        <x:v>1614</x:v>
      </x:c>
      <x:c r="B1615" s="84" t="n">
        <x:v>1224</x:v>
      </x:c>
      <x:c r="C1615" s="84" t="n">
        <x:v>72</x:v>
      </x:c>
      <x:c r="D1615" s="89" t="n">
        <x:v>45318</x:v>
      </x:c>
      <x:c r="E1615" s="84" t="n">
        <x:v>3</x:v>
      </x:c>
      <x:c r="F1615" s="91" t="n">
        <x:v>1352.49</x:v>
      </x:c>
    </x:row>
    <x:row r="1616">
      <x:c r="A1616" s="83" t="n">
        <x:v>1615</x:v>
      </x:c>
      <x:c r="B1616" s="84" t="n">
        <x:v>1227</x:v>
      </x:c>
      <x:c r="C1616" s="84" t="n">
        <x:v>29</x:v>
      </x:c>
      <x:c r="D1616" s="89" t="n">
        <x:v>45109</x:v>
      </x:c>
      <x:c r="E1616" s="84" t="n">
        <x:v>3</x:v>
      </x:c>
      <x:c r="F1616" s="91" t="n">
        <x:v>4657.41</x:v>
      </x:c>
    </x:row>
    <x:row r="1617">
      <x:c r="A1617" s="83" t="n">
        <x:v>1616</x:v>
      </x:c>
      <x:c r="B1617" s="84" t="n">
        <x:v>1228</x:v>
      </x:c>
      <x:c r="C1617" s="84" t="n">
        <x:v>74</x:v>
      </x:c>
      <x:c r="D1617" s="89" t="n">
        <x:v>45790</x:v>
      </x:c>
      <x:c r="E1617" s="84" t="n">
        <x:v>2</x:v>
      </x:c>
      <x:c r="F1617" s="91" t="n">
        <x:v>3312.7</x:v>
      </x:c>
    </x:row>
    <x:row r="1618">
      <x:c r="A1618" s="83" t="n">
        <x:v>1617</x:v>
      </x:c>
      <x:c r="B1618" s="84" t="n">
        <x:v>1229</x:v>
      </x:c>
      <x:c r="C1618" s="84" t="n">
        <x:v>31</x:v>
      </x:c>
      <x:c r="D1618" s="89" t="n">
        <x:v>45371</x:v>
      </x:c>
      <x:c r="E1618" s="84" t="n">
        <x:v>3</x:v>
      </x:c>
      <x:c r="F1618" s="91" t="n">
        <x:v>6508.89</x:v>
      </x:c>
    </x:row>
    <x:row r="1619">
      <x:c r="A1619" s="83" t="n">
        <x:v>1618</x:v>
      </x:c>
      <x:c r="B1619" s="84" t="n">
        <x:v>1229</x:v>
      </x:c>
      <x:c r="C1619" s="84" t="n">
        <x:v>15</x:v>
      </x:c>
      <x:c r="D1619" s="89" t="n">
        <x:v>45371</x:v>
      </x:c>
      <x:c r="E1619" s="84" t="n">
        <x:v>2</x:v>
      </x:c>
      <x:c r="F1619" s="91" t="n">
        <x:v>2469.22</x:v>
      </x:c>
    </x:row>
    <x:row r="1620">
      <x:c r="A1620" s="83" t="n">
        <x:v>1619</x:v>
      </x:c>
      <x:c r="B1620" s="84" t="n">
        <x:v>1230</x:v>
      </x:c>
      <x:c r="C1620" s="84" t="n">
        <x:v>74</x:v>
      </x:c>
      <x:c r="D1620" s="89" t="n">
        <x:v>45800</x:v>
      </x:c>
      <x:c r="E1620" s="84" t="n">
        <x:v>4</x:v>
      </x:c>
      <x:c r="F1620" s="91" t="n">
        <x:v>6625.4</x:v>
      </x:c>
    </x:row>
    <x:row r="1621">
      <x:c r="A1621" s="83" t="n">
        <x:v>1620</x:v>
      </x:c>
      <x:c r="B1621" s="84" t="n">
        <x:v>1231</x:v>
      </x:c>
      <x:c r="C1621" s="84" t="n">
        <x:v>76</x:v>
      </x:c>
      <x:c r="D1621" s="89" t="n">
        <x:v>45459</x:v>
      </x:c>
      <x:c r="E1621" s="84" t="n">
        <x:v>2</x:v>
      </x:c>
      <x:c r="F1621" s="91" t="n">
        <x:v>1439.62</x:v>
      </x:c>
    </x:row>
    <x:row r="1622">
      <x:c r="A1622" s="83" t="n">
        <x:v>1621</x:v>
      </x:c>
      <x:c r="B1622" s="84" t="n">
        <x:v>1232</x:v>
      </x:c>
      <x:c r="C1622" s="84" t="n">
        <x:v>58</x:v>
      </x:c>
      <x:c r="D1622" s="89" t="n">
        <x:v>45152</x:v>
      </x:c>
      <x:c r="E1622" s="84" t="n">
        <x:v>1</x:v>
      </x:c>
      <x:c r="F1622" s="91" t="n">
        <x:v>2018.18</x:v>
      </x:c>
    </x:row>
    <x:row r="1623">
      <x:c r="A1623" s="83" t="n">
        <x:v>1622</x:v>
      </x:c>
      <x:c r="B1623" s="84" t="n">
        <x:v>1232</x:v>
      </x:c>
      <x:c r="C1623" s="84" t="n">
        <x:v>44</x:v>
      </x:c>
      <x:c r="D1623" s="89" t="n">
        <x:v>45152</x:v>
      </x:c>
      <x:c r="E1623" s="84" t="n">
        <x:v>1</x:v>
      </x:c>
      <x:c r="F1623" s="91" t="n">
        <x:v>1251.48</x:v>
      </x:c>
    </x:row>
    <x:row r="1624">
      <x:c r="A1624" s="83" t="n">
        <x:v>1623</x:v>
      </x:c>
      <x:c r="B1624" s="84" t="n">
        <x:v>1233</x:v>
      </x:c>
      <x:c r="C1624" s="84" t="n">
        <x:v>12</x:v>
      </x:c>
      <x:c r="D1624" s="89" t="n">
        <x:v>45751</x:v>
      </x:c>
      <x:c r="E1624" s="84" t="n">
        <x:v>4</x:v>
      </x:c>
      <x:c r="F1624" s="91" t="n">
        <x:v>1137.96</x:v>
      </x:c>
    </x:row>
    <x:row r="1625">
      <x:c r="A1625" s="83" t="n">
        <x:v>1624</x:v>
      </x:c>
      <x:c r="B1625" s="84" t="n">
        <x:v>1233</x:v>
      </x:c>
      <x:c r="C1625" s="84" t="n">
        <x:v>64</x:v>
      </x:c>
      <x:c r="D1625" s="89" t="n">
        <x:v>45751</x:v>
      </x:c>
      <x:c r="E1625" s="84" t="n">
        <x:v>4</x:v>
      </x:c>
      <x:c r="F1625" s="91" t="n">
        <x:v>5861.68</x:v>
      </x:c>
    </x:row>
    <x:row r="1626">
      <x:c r="A1626" s="83" t="n">
        <x:v>1625</x:v>
      </x:c>
      <x:c r="B1626" s="84" t="n">
        <x:v>1234</x:v>
      </x:c>
      <x:c r="C1626" s="84" t="n">
        <x:v>35</x:v>
      </x:c>
      <x:c r="D1626" s="89" t="n">
        <x:v>45982</x:v>
      </x:c>
      <x:c r="E1626" s="84" t="n">
        <x:v>1</x:v>
      </x:c>
      <x:c r="F1626" s="91" t="n">
        <x:v>1470.78</x:v>
      </x:c>
    </x:row>
    <x:row r="1627">
      <x:c r="A1627" s="83" t="n">
        <x:v>1626</x:v>
      </x:c>
      <x:c r="B1627" s="84" t="n">
        <x:v>1234</x:v>
      </x:c>
      <x:c r="C1627" s="84" t="n">
        <x:v>43</x:v>
      </x:c>
      <x:c r="D1627" s="89" t="n">
        <x:v>45982</x:v>
      </x:c>
      <x:c r="E1627" s="84" t="n">
        <x:v>3</x:v>
      </x:c>
      <x:c r="F1627" s="91" t="n">
        <x:v>4396.26</x:v>
      </x:c>
    </x:row>
    <x:row r="1628">
      <x:c r="A1628" s="83" t="n">
        <x:v>1627</x:v>
      </x:c>
      <x:c r="B1628" s="84" t="n">
        <x:v>1234</x:v>
      </x:c>
      <x:c r="C1628" s="84" t="n">
        <x:v>51</x:v>
      </x:c>
      <x:c r="D1628" s="89" t="n">
        <x:v>45982</x:v>
      </x:c>
      <x:c r="E1628" s="84" t="n">
        <x:v>3</x:v>
      </x:c>
      <x:c r="F1628" s="91" t="n">
        <x:v>2676.48</x:v>
      </x:c>
    </x:row>
    <x:row r="1629">
      <x:c r="A1629" s="83" t="n">
        <x:v>1628</x:v>
      </x:c>
      <x:c r="B1629" s="84" t="n">
        <x:v>1235</x:v>
      </x:c>
      <x:c r="C1629" s="84" t="n">
        <x:v>14</x:v>
      </x:c>
      <x:c r="D1629" s="89" t="n">
        <x:v>45574</x:v>
      </x:c>
      <x:c r="E1629" s="84" t="n">
        <x:v>2</x:v>
      </x:c>
      <x:c r="F1629" s="91" t="n">
        <x:v>351.44</x:v>
      </x:c>
    </x:row>
    <x:row r="1630">
      <x:c r="A1630" s="83" t="n">
        <x:v>1629</x:v>
      </x:c>
      <x:c r="B1630" s="84" t="n">
        <x:v>1235</x:v>
      </x:c>
      <x:c r="C1630" s="84" t="n">
        <x:v>5</x:v>
      </x:c>
      <x:c r="D1630" s="89" t="n">
        <x:v>45574</x:v>
      </x:c>
      <x:c r="E1630" s="84" t="n">
        <x:v>4</x:v>
      </x:c>
      <x:c r="F1630" s="91" t="n">
        <x:v>5874</x:v>
      </x:c>
    </x:row>
    <x:row r="1631">
      <x:c r="A1631" s="83" t="n">
        <x:v>1630</x:v>
      </x:c>
      <x:c r="B1631" s="84" t="n">
        <x:v>1237</x:v>
      </x:c>
      <x:c r="C1631" s="84" t="n">
        <x:v>41</x:v>
      </x:c>
      <x:c r="D1631" s="89" t="n">
        <x:v>45024</x:v>
      </x:c>
      <x:c r="E1631" s="84" t="n">
        <x:v>4</x:v>
      </x:c>
      <x:c r="F1631" s="91" t="n">
        <x:v>4728.08</x:v>
      </x:c>
    </x:row>
    <x:row r="1632">
      <x:c r="A1632" s="83" t="n">
        <x:v>1631</x:v>
      </x:c>
      <x:c r="B1632" s="84" t="n">
        <x:v>1239</x:v>
      </x:c>
      <x:c r="C1632" s="84" t="n">
        <x:v>68</x:v>
      </x:c>
      <x:c r="D1632" s="89" t="n">
        <x:v>45440</x:v>
      </x:c>
      <x:c r="E1632" s="84" t="n">
        <x:v>3</x:v>
      </x:c>
      <x:c r="F1632" s="91" t="n">
        <x:v>4582.83</x:v>
      </x:c>
    </x:row>
    <x:row r="1633">
      <x:c r="A1633" s="83" t="n">
        <x:v>1632</x:v>
      </x:c>
      <x:c r="B1633" s="84" t="n">
        <x:v>1239</x:v>
      </x:c>
      <x:c r="C1633" s="84" t="n">
        <x:v>76</x:v>
      </x:c>
      <x:c r="D1633" s="89" t="n">
        <x:v>45440</x:v>
      </x:c>
      <x:c r="E1633" s="84" t="n">
        <x:v>4</x:v>
      </x:c>
      <x:c r="F1633" s="91" t="n">
        <x:v>2879.24</x:v>
      </x:c>
    </x:row>
    <x:row r="1634">
      <x:c r="A1634" s="83" t="n">
        <x:v>1633</x:v>
      </x:c>
      <x:c r="B1634" s="84" t="n">
        <x:v>1240</x:v>
      </x:c>
      <x:c r="C1634" s="84" t="n">
        <x:v>42</x:v>
      </x:c>
      <x:c r="D1634" s="89" t="n">
        <x:v>45012</x:v>
      </x:c>
      <x:c r="E1634" s="84" t="n">
        <x:v>2</x:v>
      </x:c>
      <x:c r="F1634" s="91" t="n">
        <x:v>4343.48</x:v>
      </x:c>
    </x:row>
    <x:row r="1635">
      <x:c r="A1635" s="83" t="n">
        <x:v>1634</x:v>
      </x:c>
      <x:c r="B1635" s="84" t="n">
        <x:v>1241</x:v>
      </x:c>
      <x:c r="C1635" s="84" t="n">
        <x:v>47</x:v>
      </x:c>
      <x:c r="D1635" s="89" t="n">
        <x:v>45079</x:v>
      </x:c>
      <x:c r="E1635" s="84" t="n">
        <x:v>1</x:v>
      </x:c>
      <x:c r="F1635" s="91" t="n">
        <x:v>2175.62</x:v>
      </x:c>
    </x:row>
    <x:row r="1636">
      <x:c r="A1636" s="83" t="n">
        <x:v>1635</x:v>
      </x:c>
      <x:c r="B1636" s="84" t="n">
        <x:v>1242</x:v>
      </x:c>
      <x:c r="C1636" s="84" t="n">
        <x:v>6</x:v>
      </x:c>
      <x:c r="D1636" s="89" t="n">
        <x:v>45188</x:v>
      </x:c>
      <x:c r="E1636" s="84" t="n">
        <x:v>3</x:v>
      </x:c>
      <x:c r="F1636" s="91" t="n">
        <x:v>2092.11</x:v>
      </x:c>
    </x:row>
    <x:row r="1637">
      <x:c r="A1637" s="83" t="n">
        <x:v>1636</x:v>
      </x:c>
      <x:c r="B1637" s="84" t="n">
        <x:v>1242</x:v>
      </x:c>
      <x:c r="C1637" s="84" t="n">
        <x:v>56</x:v>
      </x:c>
      <x:c r="D1637" s="89" t="n">
        <x:v>45188</x:v>
      </x:c>
      <x:c r="E1637" s="84" t="n">
        <x:v>2</x:v>
      </x:c>
      <x:c r="F1637" s="91" t="n">
        <x:v>2936.92</x:v>
      </x:c>
    </x:row>
    <x:row r="1638">
      <x:c r="A1638" s="83" t="n">
        <x:v>1637</x:v>
      </x:c>
      <x:c r="B1638" s="84" t="n">
        <x:v>1244</x:v>
      </x:c>
      <x:c r="C1638" s="84" t="n">
        <x:v>5</x:v>
      </x:c>
      <x:c r="D1638" s="89" t="n">
        <x:v>45016</x:v>
      </x:c>
      <x:c r="E1638" s="84" t="n">
        <x:v>3</x:v>
      </x:c>
      <x:c r="F1638" s="91" t="n">
        <x:v>4405.5</x:v>
      </x:c>
    </x:row>
    <x:row r="1639">
      <x:c r="A1639" s="83" t="n">
        <x:v>1638</x:v>
      </x:c>
      <x:c r="B1639" s="84" t="n">
        <x:v>1244</x:v>
      </x:c>
      <x:c r="C1639" s="84" t="n">
        <x:v>66</x:v>
      </x:c>
      <x:c r="D1639" s="89" t="n">
        <x:v>45016</x:v>
      </x:c>
      <x:c r="E1639" s="84" t="n">
        <x:v>1</x:v>
      </x:c>
      <x:c r="F1639" s="91" t="n">
        <x:v>1912.45</x:v>
      </x:c>
    </x:row>
    <x:row r="1640">
      <x:c r="A1640" s="83" t="n">
        <x:v>1639</x:v>
      </x:c>
      <x:c r="B1640" s="84" t="n">
        <x:v>1244</x:v>
      </x:c>
      <x:c r="C1640" s="84" t="n">
        <x:v>16</x:v>
      </x:c>
      <x:c r="D1640" s="89" t="n">
        <x:v>45016</x:v>
      </x:c>
      <x:c r="E1640" s="84" t="n">
        <x:v>1</x:v>
      </x:c>
      <x:c r="F1640" s="91" t="n">
        <x:v>605.78</x:v>
      </x:c>
    </x:row>
    <x:row r="1641">
      <x:c r="A1641" s="83" t="n">
        <x:v>1640</x:v>
      </x:c>
      <x:c r="B1641" s="84" t="n">
        <x:v>1247</x:v>
      </x:c>
      <x:c r="C1641" s="84" t="n">
        <x:v>62</x:v>
      </x:c>
      <x:c r="D1641" s="89" t="n">
        <x:v>45512</x:v>
      </x:c>
      <x:c r="E1641" s="84" t="n">
        <x:v>1</x:v>
      </x:c>
      <x:c r="F1641" s="91" t="n">
        <x:v>1517.31</x:v>
      </x:c>
    </x:row>
    <x:row r="1642">
      <x:c r="A1642" s="83" t="n">
        <x:v>1641</x:v>
      </x:c>
      <x:c r="B1642" s="84" t="n">
        <x:v>1247</x:v>
      </x:c>
      <x:c r="C1642" s="84" t="n">
        <x:v>46</x:v>
      </x:c>
      <x:c r="D1642" s="89" t="n">
        <x:v>45512</x:v>
      </x:c>
      <x:c r="E1642" s="84" t="n">
        <x:v>2</x:v>
      </x:c>
      <x:c r="F1642" s="91" t="n">
        <x:v>2669.9</x:v>
      </x:c>
    </x:row>
    <x:row r="1643">
      <x:c r="A1643" s="83" t="n">
        <x:v>1642</x:v>
      </x:c>
      <x:c r="B1643" s="84" t="n">
        <x:v>1250</x:v>
      </x:c>
      <x:c r="C1643" s="84" t="n">
        <x:v>27</x:v>
      </x:c>
      <x:c r="D1643" s="89" t="n">
        <x:v>45952</x:v>
      </x:c>
      <x:c r="E1643" s="84" t="n">
        <x:v>3</x:v>
      </x:c>
      <x:c r="F1643" s="91" t="n">
        <x:v>482.07</x:v>
      </x:c>
    </x:row>
    <x:row r="1644">
      <x:c r="A1644" s="83" t="n">
        <x:v>1643</x:v>
      </x:c>
      <x:c r="B1644" s="84" t="n">
        <x:v>1252</x:v>
      </x:c>
      <x:c r="C1644" s="84" t="n">
        <x:v>63</x:v>
      </x:c>
      <x:c r="D1644" s="89" t="n">
        <x:v>45214</x:v>
      </x:c>
      <x:c r="E1644" s="84" t="n">
        <x:v>4</x:v>
      </x:c>
      <x:c r="F1644" s="91" t="n">
        <x:v>7736.76</x:v>
      </x:c>
    </x:row>
    <x:row r="1645">
      <x:c r="A1645" s="83" t="n">
        <x:v>1644</x:v>
      </x:c>
      <x:c r="B1645" s="84" t="n">
        <x:v>1253</x:v>
      </x:c>
      <x:c r="C1645" s="84" t="n">
        <x:v>48</x:v>
      </x:c>
      <x:c r="D1645" s="89" t="n">
        <x:v>45721</x:v>
      </x:c>
      <x:c r="E1645" s="84" t="n">
        <x:v>3</x:v>
      </x:c>
      <x:c r="F1645" s="91" t="n">
        <x:v>3484.35</x:v>
      </x:c>
    </x:row>
    <x:row r="1646">
      <x:c r="A1646" s="83" t="n">
        <x:v>1645</x:v>
      </x:c>
      <x:c r="B1646" s="84" t="n">
        <x:v>1254</x:v>
      </x:c>
      <x:c r="C1646" s="84" t="n">
        <x:v>5</x:v>
      </x:c>
      <x:c r="D1646" s="89" t="n">
        <x:v>45658</x:v>
      </x:c>
      <x:c r="E1646" s="84" t="n">
        <x:v>4</x:v>
      </x:c>
      <x:c r="F1646" s="91" t="n">
        <x:v>5874</x:v>
      </x:c>
    </x:row>
    <x:row r="1647">
      <x:c r="A1647" s="83" t="n">
        <x:v>1646</x:v>
      </x:c>
      <x:c r="B1647" s="84" t="n">
        <x:v>1255</x:v>
      </x:c>
      <x:c r="C1647" s="84" t="n">
        <x:v>44</x:v>
      </x:c>
      <x:c r="D1647" s="89" t="n">
        <x:v>45147</x:v>
      </x:c>
      <x:c r="E1647" s="84" t="n">
        <x:v>2</x:v>
      </x:c>
      <x:c r="F1647" s="91" t="n">
        <x:v>2502.96</x:v>
      </x:c>
    </x:row>
    <x:row r="1648">
      <x:c r="A1648" s="83" t="n">
        <x:v>1647</x:v>
      </x:c>
      <x:c r="B1648" s="84" t="n">
        <x:v>1255</x:v>
      </x:c>
      <x:c r="C1648" s="84" t="n">
        <x:v>23</x:v>
      </x:c>
      <x:c r="D1648" s="89" t="n">
        <x:v>45147</x:v>
      </x:c>
      <x:c r="E1648" s="84" t="n">
        <x:v>4</x:v>
      </x:c>
      <x:c r="F1648" s="91" t="n">
        <x:v>7011.4</x:v>
      </x:c>
    </x:row>
    <x:row r="1649">
      <x:c r="A1649" s="83" t="n">
        <x:v>1648</x:v>
      </x:c>
      <x:c r="B1649" s="84" t="n">
        <x:v>1255</x:v>
      </x:c>
      <x:c r="C1649" s="84" t="n">
        <x:v>60</x:v>
      </x:c>
      <x:c r="D1649" s="89" t="n">
        <x:v>45147</x:v>
      </x:c>
      <x:c r="E1649" s="84" t="n">
        <x:v>2</x:v>
      </x:c>
      <x:c r="F1649" s="91" t="n">
        <x:v>707.6</x:v>
      </x:c>
    </x:row>
    <x:row r="1650">
      <x:c r="A1650" s="83" t="n">
        <x:v>1649</x:v>
      </x:c>
      <x:c r="B1650" s="84" t="n">
        <x:v>1256</x:v>
      </x:c>
      <x:c r="C1650" s="84" t="n">
        <x:v>52</x:v>
      </x:c>
      <x:c r="D1650" s="89" t="n">
        <x:v>45783</x:v>
      </x:c>
      <x:c r="E1650" s="84" t="n">
        <x:v>1</x:v>
      </x:c>
      <x:c r="F1650" s="91" t="n">
        <x:v>880.63</x:v>
      </x:c>
    </x:row>
    <x:row r="1651">
      <x:c r="A1651" s="83" t="n">
        <x:v>1650</x:v>
      </x:c>
      <x:c r="B1651" s="84" t="n">
        <x:v>1256</x:v>
      </x:c>
      <x:c r="C1651" s="84" t="n">
        <x:v>37</x:v>
      </x:c>
      <x:c r="D1651" s="89" t="n">
        <x:v>45783</x:v>
      </x:c>
      <x:c r="E1651" s="84" t="n">
        <x:v>4</x:v>
      </x:c>
      <x:c r="F1651" s="91" t="n">
        <x:v>4134.84</x:v>
      </x:c>
    </x:row>
    <x:row r="1652">
      <x:c r="A1652" s="83" t="n">
        <x:v>1651</x:v>
      </x:c>
      <x:c r="B1652" s="84" t="n">
        <x:v>1256</x:v>
      </x:c>
      <x:c r="C1652" s="84" t="n">
        <x:v>6</x:v>
      </x:c>
      <x:c r="D1652" s="89" t="n">
        <x:v>45783</x:v>
      </x:c>
      <x:c r="E1652" s="84" t="n">
        <x:v>2</x:v>
      </x:c>
      <x:c r="F1652" s="91" t="n">
        <x:v>1394.74</x:v>
      </x:c>
    </x:row>
    <x:row r="1653">
      <x:c r="A1653" s="83" t="n">
        <x:v>1652</x:v>
      </x:c>
      <x:c r="B1653" s="84" t="n">
        <x:v>1259</x:v>
      </x:c>
      <x:c r="C1653" s="84" t="n">
        <x:v>68</x:v>
      </x:c>
      <x:c r="D1653" s="89" t="n">
        <x:v>45305</x:v>
      </x:c>
      <x:c r="E1653" s="84" t="n">
        <x:v>4</x:v>
      </x:c>
      <x:c r="F1653" s="91" t="n">
        <x:v>6110.44</x:v>
      </x:c>
    </x:row>
    <x:row r="1654">
      <x:c r="A1654" s="83" t="n">
        <x:v>1653</x:v>
      </x:c>
      <x:c r="B1654" s="84" t="n">
        <x:v>1259</x:v>
      </x:c>
      <x:c r="C1654" s="84" t="n">
        <x:v>78</x:v>
      </x:c>
      <x:c r="D1654" s="89" t="n">
        <x:v>45305</x:v>
      </x:c>
      <x:c r="E1654" s="84" t="n">
        <x:v>4</x:v>
      </x:c>
      <x:c r="F1654" s="91" t="n">
        <x:v>1134.4</x:v>
      </x:c>
    </x:row>
    <x:row r="1655">
      <x:c r="A1655" s="83" t="n">
        <x:v>1654</x:v>
      </x:c>
      <x:c r="B1655" s="84" t="n">
        <x:v>1259</x:v>
      </x:c>
      <x:c r="C1655" s="84" t="n">
        <x:v>47</x:v>
      </x:c>
      <x:c r="D1655" s="89" t="n">
        <x:v>45305</x:v>
      </x:c>
      <x:c r="E1655" s="84" t="n">
        <x:v>1</x:v>
      </x:c>
      <x:c r="F1655" s="91" t="n">
        <x:v>2175.62</x:v>
      </x:c>
    </x:row>
    <x:row r="1656">
      <x:c r="A1656" s="83" t="n">
        <x:v>1655</x:v>
      </x:c>
      <x:c r="B1656" s="84" t="n">
        <x:v>1262</x:v>
      </x:c>
      <x:c r="C1656" s="84" t="n">
        <x:v>50</x:v>
      </x:c>
      <x:c r="D1656" s="89" t="n">
        <x:v>45667</x:v>
      </x:c>
      <x:c r="E1656" s="84" t="n">
        <x:v>4</x:v>
      </x:c>
      <x:c r="F1656" s="91" t="n">
        <x:v>8943.8</x:v>
      </x:c>
    </x:row>
    <x:row r="1657">
      <x:c r="A1657" s="83" t="n">
        <x:v>1656</x:v>
      </x:c>
      <x:c r="B1657" s="84" t="n">
        <x:v>1262</x:v>
      </x:c>
      <x:c r="C1657" s="84" t="n">
        <x:v>57</x:v>
      </x:c>
      <x:c r="D1657" s="89" t="n">
        <x:v>45667</x:v>
      </x:c>
      <x:c r="E1657" s="84" t="n">
        <x:v>1</x:v>
      </x:c>
      <x:c r="F1657" s="91" t="n">
        <x:v>1179.06</x:v>
      </x:c>
    </x:row>
    <x:row r="1658">
      <x:c r="A1658" s="83" t="n">
        <x:v>1657</x:v>
      </x:c>
      <x:c r="B1658" s="84" t="n">
        <x:v>1262</x:v>
      </x:c>
      <x:c r="C1658" s="84" t="n">
        <x:v>72</x:v>
      </x:c>
      <x:c r="D1658" s="89" t="n">
        <x:v>45667</x:v>
      </x:c>
      <x:c r="E1658" s="84" t="n">
        <x:v>2</x:v>
      </x:c>
      <x:c r="F1658" s="91" t="n">
        <x:v>901.66</x:v>
      </x:c>
    </x:row>
    <x:row r="1659">
      <x:c r="A1659" s="83" t="n">
        <x:v>1658</x:v>
      </x:c>
      <x:c r="B1659" s="84" t="n">
        <x:v>1263</x:v>
      </x:c>
      <x:c r="C1659" s="84" t="n">
        <x:v>69</x:v>
      </x:c>
      <x:c r="D1659" s="89" t="n">
        <x:v>45846</x:v>
      </x:c>
      <x:c r="E1659" s="84" t="n">
        <x:v>2</x:v>
      </x:c>
      <x:c r="F1659" s="91" t="n">
        <x:v>3540.66</x:v>
      </x:c>
    </x:row>
    <x:row r="1660">
      <x:c r="A1660" s="83" t="n">
        <x:v>1659</x:v>
      </x:c>
      <x:c r="B1660" s="84" t="n">
        <x:v>1263</x:v>
      </x:c>
      <x:c r="C1660" s="84" t="n">
        <x:v>47</x:v>
      </x:c>
      <x:c r="D1660" s="89" t="n">
        <x:v>45846</x:v>
      </x:c>
      <x:c r="E1660" s="84" t="n">
        <x:v>3</x:v>
      </x:c>
      <x:c r="F1660" s="91" t="n">
        <x:v>6526.86</x:v>
      </x:c>
    </x:row>
    <x:row r="1661">
      <x:c r="A1661" s="83" t="n">
        <x:v>1660</x:v>
      </x:c>
      <x:c r="B1661" s="84" t="n">
        <x:v>1266</x:v>
      </x:c>
      <x:c r="C1661" s="84" t="n">
        <x:v>68</x:v>
      </x:c>
      <x:c r="D1661" s="89" t="n">
        <x:v>45084</x:v>
      </x:c>
      <x:c r="E1661" s="84" t="n">
        <x:v>1</x:v>
      </x:c>
      <x:c r="F1661" s="91" t="n">
        <x:v>1527.61</x:v>
      </x:c>
    </x:row>
    <x:row r="1662">
      <x:c r="A1662" s="83" t="n">
        <x:v>1661</x:v>
      </x:c>
      <x:c r="B1662" s="84" t="n">
        <x:v>1268</x:v>
      </x:c>
      <x:c r="C1662" s="84" t="n">
        <x:v>20</x:v>
      </x:c>
      <x:c r="D1662" s="89" t="n">
        <x:v>45924</x:v>
      </x:c>
      <x:c r="E1662" s="84" t="n">
        <x:v>1</x:v>
      </x:c>
      <x:c r="F1662" s="91" t="n">
        <x:v>541.2</x:v>
      </x:c>
    </x:row>
    <x:row r="1663">
      <x:c r="A1663" s="83" t="n">
        <x:v>1662</x:v>
      </x:c>
      <x:c r="B1663" s="84" t="n">
        <x:v>1268</x:v>
      </x:c>
      <x:c r="C1663" s="84" t="n">
        <x:v>52</x:v>
      </x:c>
      <x:c r="D1663" s="89" t="n">
        <x:v>45924</x:v>
      </x:c>
      <x:c r="E1663" s="84" t="n">
        <x:v>1</x:v>
      </x:c>
      <x:c r="F1663" s="91" t="n">
        <x:v>880.63</x:v>
      </x:c>
    </x:row>
    <x:row r="1664">
      <x:c r="A1664" s="83" t="n">
        <x:v>1663</x:v>
      </x:c>
      <x:c r="B1664" s="84" t="n">
        <x:v>1268</x:v>
      </x:c>
      <x:c r="C1664" s="84" t="n">
        <x:v>56</x:v>
      </x:c>
      <x:c r="D1664" s="89" t="n">
        <x:v>45924</x:v>
      </x:c>
      <x:c r="E1664" s="84" t="n">
        <x:v>4</x:v>
      </x:c>
      <x:c r="F1664" s="91" t="n">
        <x:v>5873.84</x:v>
      </x:c>
    </x:row>
    <x:row r="1665">
      <x:c r="A1665" s="83" t="n">
        <x:v>1664</x:v>
      </x:c>
      <x:c r="B1665" s="84" t="n">
        <x:v>1269</x:v>
      </x:c>
      <x:c r="C1665" s="84" t="n">
        <x:v>64</x:v>
      </x:c>
      <x:c r="D1665" s="89" t="n">
        <x:v>45302</x:v>
      </x:c>
      <x:c r="E1665" s="84" t="n">
        <x:v>3</x:v>
      </x:c>
      <x:c r="F1665" s="91" t="n">
        <x:v>4396.26</x:v>
      </x:c>
    </x:row>
    <x:row r="1666">
      <x:c r="A1666" s="83" t="n">
        <x:v>1665</x:v>
      </x:c>
      <x:c r="B1666" s="84" t="n">
        <x:v>1271</x:v>
      </x:c>
      <x:c r="C1666" s="84" t="n">
        <x:v>33</x:v>
      </x:c>
      <x:c r="D1666" s="89" t="n">
        <x:v>45554</x:v>
      </x:c>
      <x:c r="E1666" s="84" t="n">
        <x:v>4</x:v>
      </x:c>
      <x:c r="F1666" s="91" t="n">
        <x:v>9387.68</x:v>
      </x:c>
    </x:row>
    <x:row r="1667">
      <x:c r="A1667" s="83" t="n">
        <x:v>1666</x:v>
      </x:c>
      <x:c r="B1667" s="84" t="n">
        <x:v>1271</x:v>
      </x:c>
      <x:c r="C1667" s="84" t="n">
        <x:v>36</x:v>
      </x:c>
      <x:c r="D1667" s="89" t="n">
        <x:v>45554</x:v>
      </x:c>
      <x:c r="E1667" s="84" t="n">
        <x:v>1</x:v>
      </x:c>
      <x:c r="F1667" s="91" t="n">
        <x:v>596.41</x:v>
      </x:c>
    </x:row>
    <x:row r="1668">
      <x:c r="A1668" s="83" t="n">
        <x:v>1667</x:v>
      </x:c>
      <x:c r="B1668" s="84" t="n">
        <x:v>1272</x:v>
      </x:c>
      <x:c r="C1668" s="84" t="n">
        <x:v>20</x:v>
      </x:c>
      <x:c r="D1668" s="89" t="n">
        <x:v>45128</x:v>
      </x:c>
      <x:c r="E1668" s="84" t="n">
        <x:v>4</x:v>
      </x:c>
      <x:c r="F1668" s="91" t="n">
        <x:v>2164.8</x:v>
      </x:c>
    </x:row>
    <x:row r="1669">
      <x:c r="A1669" s="83" t="n">
        <x:v>1668</x:v>
      </x:c>
      <x:c r="B1669" s="84" t="n">
        <x:v>1272</x:v>
      </x:c>
      <x:c r="C1669" s="84" t="n">
        <x:v>3</x:v>
      </x:c>
      <x:c r="D1669" s="89" t="n">
        <x:v>45128</x:v>
      </x:c>
      <x:c r="E1669" s="84" t="n">
        <x:v>3</x:v>
      </x:c>
      <x:c r="F1669" s="91" t="n">
        <x:v>3453.42</x:v>
      </x:c>
    </x:row>
    <x:row r="1670">
      <x:c r="A1670" s="83" t="n">
        <x:v>1669</x:v>
      </x:c>
      <x:c r="B1670" s="84" t="n">
        <x:v>1273</x:v>
      </x:c>
      <x:c r="C1670" s="84" t="n">
        <x:v>4</x:v>
      </x:c>
      <x:c r="D1670" s="89" t="n">
        <x:v>44932</x:v>
      </x:c>
      <x:c r="E1670" s="84" t="n">
        <x:v>4</x:v>
      </x:c>
      <x:c r="F1670" s="91" t="n">
        <x:v>6101.24</x:v>
      </x:c>
    </x:row>
    <x:row r="1671">
      <x:c r="A1671" s="83" t="n">
        <x:v>1670</x:v>
      </x:c>
      <x:c r="B1671" s="84" t="n">
        <x:v>1274</x:v>
      </x:c>
      <x:c r="C1671" s="84" t="n">
        <x:v>33</x:v>
      </x:c>
      <x:c r="D1671" s="89" t="n">
        <x:v>45613</x:v>
      </x:c>
      <x:c r="E1671" s="84" t="n">
        <x:v>2</x:v>
      </x:c>
      <x:c r="F1671" s="91" t="n">
        <x:v>4693.84</x:v>
      </x:c>
    </x:row>
    <x:row r="1672">
      <x:c r="A1672" s="83" t="n">
        <x:v>1671</x:v>
      </x:c>
      <x:c r="B1672" s="84" t="n">
        <x:v>1277</x:v>
      </x:c>
      <x:c r="C1672" s="84" t="n">
        <x:v>27</x:v>
      </x:c>
      <x:c r="D1672" s="89" t="n">
        <x:v>45827</x:v>
      </x:c>
      <x:c r="E1672" s="84" t="n">
        <x:v>4</x:v>
      </x:c>
      <x:c r="F1672" s="91" t="n">
        <x:v>642.76</x:v>
      </x:c>
    </x:row>
    <x:row r="1673">
      <x:c r="A1673" s="83" t="n">
        <x:v>1672</x:v>
      </x:c>
      <x:c r="B1673" s="84" t="n">
        <x:v>1277</x:v>
      </x:c>
      <x:c r="C1673" s="84" t="n">
        <x:v>2</x:v>
      </x:c>
      <x:c r="D1673" s="89" t="n">
        <x:v>45827</x:v>
      </x:c>
      <x:c r="E1673" s="84" t="n">
        <x:v>4</x:v>
      </x:c>
      <x:c r="F1673" s="91" t="n">
        <x:v>3977.24</x:v>
      </x:c>
    </x:row>
    <x:row r="1674">
      <x:c r="A1674" s="83" t="n">
        <x:v>1673</x:v>
      </x:c>
      <x:c r="B1674" s="84" t="n">
        <x:v>1277</x:v>
      </x:c>
      <x:c r="C1674" s="84" t="n">
        <x:v>27</x:v>
      </x:c>
      <x:c r="D1674" s="89" t="n">
        <x:v>45827</x:v>
      </x:c>
      <x:c r="E1674" s="84" t="n">
        <x:v>2</x:v>
      </x:c>
      <x:c r="F1674" s="91" t="n">
        <x:v>321.38</x:v>
      </x:c>
    </x:row>
    <x:row r="1675">
      <x:c r="A1675" s="83" t="n">
        <x:v>1674</x:v>
      </x:c>
      <x:c r="B1675" s="84" t="n">
        <x:v>1278</x:v>
      </x:c>
      <x:c r="C1675" s="84" t="n">
        <x:v>14</x:v>
      </x:c>
      <x:c r="D1675" s="89" t="n">
        <x:v>45430</x:v>
      </x:c>
      <x:c r="E1675" s="84" t="n">
        <x:v>3</x:v>
      </x:c>
      <x:c r="F1675" s="91" t="n">
        <x:v>527.16</x:v>
      </x:c>
    </x:row>
    <x:row r="1676">
      <x:c r="A1676" s="83" t="n">
        <x:v>1675</x:v>
      </x:c>
      <x:c r="B1676" s="84" t="n">
        <x:v>1279</x:v>
      </x:c>
      <x:c r="C1676" s="84" t="n">
        <x:v>34</x:v>
      </x:c>
      <x:c r="D1676" s="89" t="n">
        <x:v>45466</x:v>
      </x:c>
      <x:c r="E1676" s="84" t="n">
        <x:v>3</x:v>
      </x:c>
      <x:c r="F1676" s="91" t="n">
        <x:v>5931.27</x:v>
      </x:c>
    </x:row>
    <x:row r="1677">
      <x:c r="A1677" s="83" t="n">
        <x:v>1676</x:v>
      </x:c>
      <x:c r="B1677" s="84" t="n">
        <x:v>1279</x:v>
      </x:c>
      <x:c r="C1677" s="84" t="n">
        <x:v>40</x:v>
      </x:c>
      <x:c r="D1677" s="89" t="n">
        <x:v>45466</x:v>
      </x:c>
      <x:c r="E1677" s="84" t="n">
        <x:v>1</x:v>
      </x:c>
      <x:c r="F1677" s="91" t="n">
        <x:v>2035.04</x:v>
      </x:c>
    </x:row>
    <x:row r="1678">
      <x:c r="A1678" s="83" t="n">
        <x:v>1677</x:v>
      </x:c>
      <x:c r="B1678" s="84" t="n">
        <x:v>1282</x:v>
      </x:c>
      <x:c r="C1678" s="84" t="n">
        <x:v>70</x:v>
      </x:c>
      <x:c r="D1678" s="89" t="n">
        <x:v>45048</x:v>
      </x:c>
      <x:c r="E1678" s="84" t="n">
        <x:v>2</x:v>
      </x:c>
      <x:c r="F1678" s="91" t="n">
        <x:v>1539.08</x:v>
      </x:c>
    </x:row>
    <x:row r="1679">
      <x:c r="A1679" s="83" t="n">
        <x:v>1678</x:v>
      </x:c>
      <x:c r="B1679" s="84" t="n">
        <x:v>1283</x:v>
      </x:c>
      <x:c r="C1679" s="84" t="n">
        <x:v>60</x:v>
      </x:c>
      <x:c r="D1679" s="89" t="n">
        <x:v>45550</x:v>
      </x:c>
      <x:c r="E1679" s="84" t="n">
        <x:v>2</x:v>
      </x:c>
      <x:c r="F1679" s="91" t="n">
        <x:v>707.6</x:v>
      </x:c>
    </x:row>
    <x:row r="1680">
      <x:c r="A1680" s="83" t="n">
        <x:v>1679</x:v>
      </x:c>
      <x:c r="B1680" s="84" t="n">
        <x:v>1283</x:v>
      </x:c>
      <x:c r="C1680" s="84" t="n">
        <x:v>56</x:v>
      </x:c>
      <x:c r="D1680" s="89" t="n">
        <x:v>45550</x:v>
      </x:c>
      <x:c r="E1680" s="84" t="n">
        <x:v>1</x:v>
      </x:c>
      <x:c r="F1680" s="91" t="n">
        <x:v>1468.46</x:v>
      </x:c>
    </x:row>
    <x:row r="1681">
      <x:c r="A1681" s="83" t="n">
        <x:v>1680</x:v>
      </x:c>
      <x:c r="B1681" s="84" t="n">
        <x:v>1283</x:v>
      </x:c>
      <x:c r="C1681" s="84" t="n">
        <x:v>52</x:v>
      </x:c>
      <x:c r="D1681" s="89" t="n">
        <x:v>45550</x:v>
      </x:c>
      <x:c r="E1681" s="84" t="n">
        <x:v>3</x:v>
      </x:c>
      <x:c r="F1681" s="91" t="n">
        <x:v>2641.89</x:v>
      </x:c>
    </x:row>
    <x:row r="1682">
      <x:c r="A1682" s="83" t="n">
        <x:v>1681</x:v>
      </x:c>
      <x:c r="B1682" s="84" t="n">
        <x:v>1284</x:v>
      </x:c>
      <x:c r="C1682" s="84" t="n">
        <x:v>31</x:v>
      </x:c>
      <x:c r="D1682" s="89" t="n">
        <x:v>45563</x:v>
      </x:c>
      <x:c r="E1682" s="84" t="n">
        <x:v>3</x:v>
      </x:c>
      <x:c r="F1682" s="91" t="n">
        <x:v>6508.89</x:v>
      </x:c>
    </x:row>
    <x:row r="1683">
      <x:c r="A1683" s="83" t="n">
        <x:v>1682</x:v>
      </x:c>
      <x:c r="B1683" s="84" t="n">
        <x:v>1284</x:v>
      </x:c>
      <x:c r="C1683" s="84" t="n">
        <x:v>11</x:v>
      </x:c>
      <x:c r="D1683" s="89" t="n">
        <x:v>45563</x:v>
      </x:c>
      <x:c r="E1683" s="84" t="n">
        <x:v>1</x:v>
      </x:c>
      <x:c r="F1683" s="91" t="n">
        <x:v>2211.26</x:v>
      </x:c>
    </x:row>
    <x:row r="1684">
      <x:c r="A1684" s="83" t="n">
        <x:v>1683</x:v>
      </x:c>
      <x:c r="B1684" s="84" t="n">
        <x:v>1284</x:v>
      </x:c>
      <x:c r="C1684" s="84" t="n">
        <x:v>60</x:v>
      </x:c>
      <x:c r="D1684" s="89" t="n">
        <x:v>45563</x:v>
      </x:c>
      <x:c r="E1684" s="84" t="n">
        <x:v>2</x:v>
      </x:c>
      <x:c r="F1684" s="91" t="n">
        <x:v>707.6</x:v>
      </x:c>
    </x:row>
    <x:row r="1685">
      <x:c r="A1685" s="83" t="n">
        <x:v>1684</x:v>
      </x:c>
      <x:c r="B1685" s="84" t="n">
        <x:v>1286</x:v>
      </x:c>
      <x:c r="C1685" s="84" t="n">
        <x:v>60</x:v>
      </x:c>
      <x:c r="D1685" s="89" t="n">
        <x:v>46010</x:v>
      </x:c>
      <x:c r="E1685" s="84" t="n">
        <x:v>2</x:v>
      </x:c>
      <x:c r="F1685" s="91" t="n">
        <x:v>707.6</x:v>
      </x:c>
    </x:row>
    <x:row r="1686">
      <x:c r="A1686" s="83" t="n">
        <x:v>1685</x:v>
      </x:c>
      <x:c r="B1686" s="84" t="n">
        <x:v>1288</x:v>
      </x:c>
      <x:c r="C1686" s="84" t="n">
        <x:v>43</x:v>
      </x:c>
      <x:c r="D1686" s="89" t="n">
        <x:v>45263</x:v>
      </x:c>
      <x:c r="E1686" s="84" t="n">
        <x:v>1</x:v>
      </x:c>
      <x:c r="F1686" s="91" t="n">
        <x:v>1465.42</x:v>
      </x:c>
    </x:row>
    <x:row r="1687">
      <x:c r="A1687" s="83" t="n">
        <x:v>1686</x:v>
      </x:c>
      <x:c r="B1687" s="84" t="n">
        <x:v>1288</x:v>
      </x:c>
      <x:c r="C1687" s="84" t="n">
        <x:v>33</x:v>
      </x:c>
      <x:c r="D1687" s="89" t="n">
        <x:v>45263</x:v>
      </x:c>
      <x:c r="E1687" s="84" t="n">
        <x:v>1</x:v>
      </x:c>
      <x:c r="F1687" s="91" t="n">
        <x:v>2346.92</x:v>
      </x:c>
    </x:row>
    <x:row r="1688">
      <x:c r="A1688" s="83" t="n">
        <x:v>1687</x:v>
      </x:c>
      <x:c r="B1688" s="84" t="n">
        <x:v>1289</x:v>
      </x:c>
      <x:c r="C1688" s="84" t="n">
        <x:v>13</x:v>
      </x:c>
      <x:c r="D1688" s="89" t="n">
        <x:v>45509</x:v>
      </x:c>
      <x:c r="E1688" s="84" t="n">
        <x:v>4</x:v>
      </x:c>
      <x:c r="F1688" s="91" t="n">
        <x:v>3208.2</x:v>
      </x:c>
    </x:row>
    <x:row r="1689">
      <x:c r="A1689" s="83" t="n">
        <x:v>1688</x:v>
      </x:c>
      <x:c r="B1689" s="84" t="n">
        <x:v>1289</x:v>
      </x:c>
      <x:c r="C1689" s="84" t="n">
        <x:v>77</x:v>
      </x:c>
      <x:c r="D1689" s="89" t="n">
        <x:v>45509</x:v>
      </x:c>
      <x:c r="E1689" s="84" t="n">
        <x:v>2</x:v>
      </x:c>
      <x:c r="F1689" s="91" t="n">
        <x:v>4205.82</x:v>
      </x:c>
    </x:row>
    <x:row r="1690">
      <x:c r="A1690" s="83" t="n">
        <x:v>1689</x:v>
      </x:c>
      <x:c r="B1690" s="84" t="n">
        <x:v>1289</x:v>
      </x:c>
      <x:c r="C1690" s="84" t="n">
        <x:v>46</x:v>
      </x:c>
      <x:c r="D1690" s="89" t="n">
        <x:v>45509</x:v>
      </x:c>
      <x:c r="E1690" s="84" t="n">
        <x:v>1</x:v>
      </x:c>
      <x:c r="F1690" s="91" t="n">
        <x:v>1334.95</x:v>
      </x:c>
    </x:row>
    <x:row r="1691">
      <x:c r="A1691" s="83" t="n">
        <x:v>1690</x:v>
      </x:c>
      <x:c r="B1691" s="84" t="n">
        <x:v>1291</x:v>
      </x:c>
      <x:c r="C1691" s="84" t="n">
        <x:v>31</x:v>
      </x:c>
      <x:c r="D1691" s="89" t="n">
        <x:v>45842</x:v>
      </x:c>
      <x:c r="E1691" s="84" t="n">
        <x:v>4</x:v>
      </x:c>
      <x:c r="F1691" s="91" t="n">
        <x:v>8678.52</x:v>
      </x:c>
    </x:row>
    <x:row r="1692">
      <x:c r="A1692" s="83" t="n">
        <x:v>1691</x:v>
      </x:c>
      <x:c r="B1692" s="84" t="n">
        <x:v>1293</x:v>
      </x:c>
      <x:c r="C1692" s="84" t="n">
        <x:v>7</x:v>
      </x:c>
      <x:c r="D1692" s="89" t="n">
        <x:v>45151</x:v>
      </x:c>
      <x:c r="E1692" s="84" t="n">
        <x:v>4</x:v>
      </x:c>
      <x:c r="F1692" s="91" t="n">
        <x:v>1467.2</x:v>
      </x:c>
    </x:row>
    <x:row r="1693">
      <x:c r="A1693" s="83" t="n">
        <x:v>1692</x:v>
      </x:c>
      <x:c r="B1693" s="84" t="n">
        <x:v>1294</x:v>
      </x:c>
      <x:c r="C1693" s="84" t="n">
        <x:v>60</x:v>
      </x:c>
      <x:c r="D1693" s="89" t="n">
        <x:v>45750</x:v>
      </x:c>
      <x:c r="E1693" s="84" t="n">
        <x:v>1</x:v>
      </x:c>
      <x:c r="F1693" s="91" t="n">
        <x:v>353.8</x:v>
      </x:c>
    </x:row>
    <x:row r="1694">
      <x:c r="A1694" s="83" t="n">
        <x:v>1693</x:v>
      </x:c>
      <x:c r="B1694" s="84" t="n">
        <x:v>1294</x:v>
      </x:c>
      <x:c r="C1694" s="84" t="n">
        <x:v>7</x:v>
      </x:c>
      <x:c r="D1694" s="89" t="n">
        <x:v>45750</x:v>
      </x:c>
      <x:c r="E1694" s="84" t="n">
        <x:v>1</x:v>
      </x:c>
      <x:c r="F1694" s="91" t="n">
        <x:v>366.8</x:v>
      </x:c>
    </x:row>
    <x:row r="1695">
      <x:c r="A1695" s="83" t="n">
        <x:v>1694</x:v>
      </x:c>
      <x:c r="B1695" s="84" t="n">
        <x:v>1294</x:v>
      </x:c>
      <x:c r="C1695" s="84" t="n">
        <x:v>13</x:v>
      </x:c>
      <x:c r="D1695" s="89" t="n">
        <x:v>45750</x:v>
      </x:c>
      <x:c r="E1695" s="84" t="n">
        <x:v>1</x:v>
      </x:c>
      <x:c r="F1695" s="91" t="n">
        <x:v>802.05</x:v>
      </x:c>
    </x:row>
    <x:row r="1696">
      <x:c r="A1696" s="83" t="n">
        <x:v>1695</x:v>
      </x:c>
      <x:c r="B1696" s="84" t="n">
        <x:v>1296</x:v>
      </x:c>
      <x:c r="C1696" s="84" t="n">
        <x:v>1</x:v>
      </x:c>
      <x:c r="D1696" s="89" t="n">
        <x:v>44999</x:v>
      </x:c>
      <x:c r="E1696" s="84" t="n">
        <x:v>4</x:v>
      </x:c>
      <x:c r="F1696" s="91" t="n">
        <x:v>6958.4</x:v>
      </x:c>
    </x:row>
    <x:row r="1697">
      <x:c r="A1697" s="83" t="n">
        <x:v>1696</x:v>
      </x:c>
      <x:c r="B1697" s="84" t="n">
        <x:v>1296</x:v>
      </x:c>
      <x:c r="C1697" s="84" t="n">
        <x:v>80</x:v>
      </x:c>
      <x:c r="D1697" s="89" t="n">
        <x:v>44999</x:v>
      </x:c>
      <x:c r="E1697" s="84" t="n">
        <x:v>1</x:v>
      </x:c>
      <x:c r="F1697" s="91" t="n">
        <x:v>1728.54</x:v>
      </x:c>
    </x:row>
    <x:row r="1698">
      <x:c r="A1698" s="83" t="n">
        <x:v>1697</x:v>
      </x:c>
      <x:c r="B1698" s="84" t="n">
        <x:v>1297</x:v>
      </x:c>
      <x:c r="C1698" s="84" t="n">
        <x:v>37</x:v>
      </x:c>
      <x:c r="D1698" s="89" t="n">
        <x:v>45860</x:v>
      </x:c>
      <x:c r="E1698" s="84" t="n">
        <x:v>4</x:v>
      </x:c>
      <x:c r="F1698" s="91" t="n">
        <x:v>4134.84</x:v>
      </x:c>
    </x:row>
    <x:row r="1699">
      <x:c r="A1699" s="83" t="n">
        <x:v>1698</x:v>
      </x:c>
      <x:c r="B1699" s="84" t="n">
        <x:v>1298</x:v>
      </x:c>
      <x:c r="C1699" s="84" t="n">
        <x:v>65</x:v>
      </x:c>
      <x:c r="D1699" s="89" t="n">
        <x:v>45544</x:v>
      </x:c>
      <x:c r="E1699" s="84" t="n">
        <x:v>2</x:v>
      </x:c>
      <x:c r="F1699" s="91" t="n">
        <x:v>2509.68</x:v>
      </x:c>
    </x:row>
    <x:row r="1700">
      <x:c r="A1700" s="83" t="n">
        <x:v>1699</x:v>
      </x:c>
      <x:c r="B1700" s="84" t="n">
        <x:v>1299</x:v>
      </x:c>
      <x:c r="C1700" s="84" t="n">
        <x:v>57</x:v>
      </x:c>
      <x:c r="D1700" s="89" t="n">
        <x:v>45793</x:v>
      </x:c>
      <x:c r="E1700" s="84" t="n">
        <x:v>2</x:v>
      </x:c>
      <x:c r="F1700" s="91" t="n">
        <x:v>2358.12</x:v>
      </x:c>
    </x:row>
    <x:row r="1701">
      <x:c r="A1701" s="83" t="n">
        <x:v>1700</x:v>
      </x:c>
      <x:c r="B1701" s="84" t="n">
        <x:v>1303</x:v>
      </x:c>
      <x:c r="C1701" s="84" t="n">
        <x:v>7</x:v>
      </x:c>
      <x:c r="D1701" s="89" t="n">
        <x:v>45464</x:v>
      </x:c>
      <x:c r="E1701" s="84" t="n">
        <x:v>3</x:v>
      </x:c>
      <x:c r="F1701" s="91" t="n">
        <x:v>1100.4</x:v>
      </x:c>
    </x:row>
    <x:row r="1702">
      <x:c r="A1702" s="83" t="n">
        <x:v>1701</x:v>
      </x:c>
      <x:c r="B1702" s="84" t="n">
        <x:v>1303</x:v>
      </x:c>
      <x:c r="C1702" s="84" t="n">
        <x:v>16</x:v>
      </x:c>
      <x:c r="D1702" s="89" t="n">
        <x:v>45464</x:v>
      </x:c>
      <x:c r="E1702" s="84" t="n">
        <x:v>3</x:v>
      </x:c>
      <x:c r="F1702" s="91" t="n">
        <x:v>1817.34</x:v>
      </x:c>
    </x:row>
    <x:row r="1703">
      <x:c r="A1703" s="83" t="n">
        <x:v>1702</x:v>
      </x:c>
      <x:c r="B1703" s="84" t="n">
        <x:v>1303</x:v>
      </x:c>
      <x:c r="C1703" s="84" t="n">
        <x:v>25</x:v>
      </x:c>
      <x:c r="D1703" s="89" t="n">
        <x:v>45464</x:v>
      </x:c>
      <x:c r="E1703" s="84" t="n">
        <x:v>3</x:v>
      </x:c>
      <x:c r="F1703" s="91" t="n">
        <x:v>3238.35</x:v>
      </x:c>
    </x:row>
    <x:row r="1704">
      <x:c r="A1704" s="83" t="n">
        <x:v>1703</x:v>
      </x:c>
      <x:c r="B1704" s="84" t="n">
        <x:v>1304</x:v>
      </x:c>
      <x:c r="C1704" s="84" t="n">
        <x:v>35</x:v>
      </x:c>
      <x:c r="D1704" s="89" t="n">
        <x:v>45521</x:v>
      </x:c>
      <x:c r="E1704" s="84" t="n">
        <x:v>3</x:v>
      </x:c>
      <x:c r="F1704" s="91" t="n">
        <x:v>4412.34</x:v>
      </x:c>
    </x:row>
    <x:row r="1705">
      <x:c r="A1705" s="83" t="n">
        <x:v>1704</x:v>
      </x:c>
      <x:c r="B1705" s="84" t="n">
        <x:v>1304</x:v>
      </x:c>
      <x:c r="C1705" s="84" t="n">
        <x:v>35</x:v>
      </x:c>
      <x:c r="D1705" s="89" t="n">
        <x:v>45521</x:v>
      </x:c>
      <x:c r="E1705" s="84" t="n">
        <x:v>3</x:v>
      </x:c>
      <x:c r="F1705" s="91" t="n">
        <x:v>4412.34</x:v>
      </x:c>
    </x:row>
    <x:row r="1706">
      <x:c r="A1706" s="83" t="n">
        <x:v>1705</x:v>
      </x:c>
      <x:c r="B1706" s="84" t="n">
        <x:v>1307</x:v>
      </x:c>
      <x:c r="C1706" s="84" t="n">
        <x:v>1</x:v>
      </x:c>
      <x:c r="D1706" s="89" t="n">
        <x:v>45859</x:v>
      </x:c>
      <x:c r="E1706" s="84" t="n">
        <x:v>4</x:v>
      </x:c>
      <x:c r="F1706" s="91" t="n">
        <x:v>6958.4</x:v>
      </x:c>
    </x:row>
    <x:row r="1707">
      <x:c r="A1707" s="83" t="n">
        <x:v>1706</x:v>
      </x:c>
      <x:c r="B1707" s="84" t="n">
        <x:v>1307</x:v>
      </x:c>
      <x:c r="C1707" s="84" t="n">
        <x:v>47</x:v>
      </x:c>
      <x:c r="D1707" s="89" t="n">
        <x:v>45859</x:v>
      </x:c>
      <x:c r="E1707" s="84" t="n">
        <x:v>1</x:v>
      </x:c>
      <x:c r="F1707" s="91" t="n">
        <x:v>2175.62</x:v>
      </x:c>
    </x:row>
    <x:row r="1708">
      <x:c r="A1708" s="83" t="n">
        <x:v>1707</x:v>
      </x:c>
      <x:c r="B1708" s="84" t="n">
        <x:v>1308</x:v>
      </x:c>
      <x:c r="C1708" s="84" t="n">
        <x:v>9</x:v>
      </x:c>
      <x:c r="D1708" s="89" t="n">
        <x:v>45351</x:v>
      </x:c>
      <x:c r="E1708" s="84" t="n">
        <x:v>1</x:v>
      </x:c>
      <x:c r="F1708" s="91" t="n">
        <x:v>1575.06</x:v>
      </x:c>
    </x:row>
    <x:row r="1709">
      <x:c r="A1709" s="83" t="n">
        <x:v>1708</x:v>
      </x:c>
      <x:c r="B1709" s="84" t="n">
        <x:v>1308</x:v>
      </x:c>
      <x:c r="C1709" s="84" t="n">
        <x:v>71</x:v>
      </x:c>
      <x:c r="D1709" s="89" t="n">
        <x:v>45351</x:v>
      </x:c>
      <x:c r="E1709" s="84" t="n">
        <x:v>1</x:v>
      </x:c>
      <x:c r="F1709" s="91" t="n">
        <x:v>1983.52</x:v>
      </x:c>
    </x:row>
    <x:row r="1710">
      <x:c r="A1710" s="83" t="n">
        <x:v>1709</x:v>
      </x:c>
      <x:c r="B1710" s="84" t="n">
        <x:v>1309</x:v>
      </x:c>
      <x:c r="C1710" s="84" t="n">
        <x:v>74</x:v>
      </x:c>
      <x:c r="D1710" s="89" t="n">
        <x:v>45546</x:v>
      </x:c>
      <x:c r="E1710" s="84" t="n">
        <x:v>3</x:v>
      </x:c>
      <x:c r="F1710" s="91" t="n">
        <x:v>4969.05</x:v>
      </x:c>
    </x:row>
    <x:row r="1711">
      <x:c r="A1711" s="83" t="n">
        <x:v>1710</x:v>
      </x:c>
      <x:c r="B1711" s="84" t="n">
        <x:v>1312</x:v>
      </x:c>
      <x:c r="C1711" s="84" t="n">
        <x:v>74</x:v>
      </x:c>
      <x:c r="D1711" s="89" t="n">
        <x:v>45605</x:v>
      </x:c>
      <x:c r="E1711" s="84" t="n">
        <x:v>2</x:v>
      </x:c>
      <x:c r="F1711" s="91" t="n">
        <x:v>3312.7</x:v>
      </x:c>
    </x:row>
    <x:row r="1712">
      <x:c r="A1712" s="83" t="n">
        <x:v>1711</x:v>
      </x:c>
      <x:c r="B1712" s="84" t="n">
        <x:v>1312</x:v>
      </x:c>
      <x:c r="C1712" s="84" t="n">
        <x:v>63</x:v>
      </x:c>
      <x:c r="D1712" s="89" t="n">
        <x:v>45605</x:v>
      </x:c>
      <x:c r="E1712" s="84" t="n">
        <x:v>4</x:v>
      </x:c>
      <x:c r="F1712" s="91" t="n">
        <x:v>7736.76</x:v>
      </x:c>
    </x:row>
    <x:row r="1713">
      <x:c r="A1713" s="83" t="n">
        <x:v>1712</x:v>
      </x:c>
      <x:c r="B1713" s="84" t="n">
        <x:v>1312</x:v>
      </x:c>
      <x:c r="C1713" s="84" t="n">
        <x:v>15</x:v>
      </x:c>
      <x:c r="D1713" s="89" t="n">
        <x:v>45605</x:v>
      </x:c>
      <x:c r="E1713" s="84" t="n">
        <x:v>4</x:v>
      </x:c>
      <x:c r="F1713" s="91" t="n">
        <x:v>4938.44</x:v>
      </x:c>
    </x:row>
    <x:row r="1714">
      <x:c r="A1714" s="83" t="n">
        <x:v>1713</x:v>
      </x:c>
      <x:c r="B1714" s="84" t="n">
        <x:v>1313</x:v>
      </x:c>
      <x:c r="C1714" s="84" t="n">
        <x:v>70</x:v>
      </x:c>
      <x:c r="D1714" s="89" t="n">
        <x:v>45645</x:v>
      </x:c>
      <x:c r="E1714" s="84" t="n">
        <x:v>2</x:v>
      </x:c>
      <x:c r="F1714" s="91" t="n">
        <x:v>1539.08</x:v>
      </x:c>
    </x:row>
    <x:row r="1715">
      <x:c r="A1715" s="83" t="n">
        <x:v>1714</x:v>
      </x:c>
      <x:c r="B1715" s="84" t="n">
        <x:v>1314</x:v>
      </x:c>
      <x:c r="C1715" s="84" t="n">
        <x:v>40</x:v>
      </x:c>
      <x:c r="D1715" s="89" t="n">
        <x:v>45294</x:v>
      </x:c>
      <x:c r="E1715" s="84" t="n">
        <x:v>2</x:v>
      </x:c>
      <x:c r="F1715" s="91" t="n">
        <x:v>4070.08</x:v>
      </x:c>
    </x:row>
    <x:row r="1716">
      <x:c r="A1716" s="83" t="n">
        <x:v>1715</x:v>
      </x:c>
      <x:c r="B1716" s="84" t="n">
        <x:v>1314</x:v>
      </x:c>
      <x:c r="C1716" s="84" t="n">
        <x:v>21</x:v>
      </x:c>
      <x:c r="D1716" s="89" t="n">
        <x:v>45294</x:v>
      </x:c>
      <x:c r="E1716" s="84" t="n">
        <x:v>3</x:v>
      </x:c>
      <x:c r="F1716" s="91" t="n">
        <x:v>6866.61</x:v>
      </x:c>
    </x:row>
    <x:row r="1717">
      <x:c r="A1717" s="83" t="n">
        <x:v>1716</x:v>
      </x:c>
      <x:c r="B1717" s="84" t="n">
        <x:v>1315</x:v>
      </x:c>
      <x:c r="C1717" s="84" t="n">
        <x:v>38</x:v>
      </x:c>
      <x:c r="D1717" s="89" t="n">
        <x:v>45329</x:v>
      </x:c>
      <x:c r="E1717" s="84" t="n">
        <x:v>2</x:v>
      </x:c>
      <x:c r="F1717" s="91" t="n">
        <x:v>1452.98</x:v>
      </x:c>
    </x:row>
    <x:row r="1718">
      <x:c r="A1718" s="83" t="n">
        <x:v>1717</x:v>
      </x:c>
      <x:c r="B1718" s="84" t="n">
        <x:v>1315</x:v>
      </x:c>
      <x:c r="C1718" s="84" t="n">
        <x:v>51</x:v>
      </x:c>
      <x:c r="D1718" s="89" t="n">
        <x:v>45329</x:v>
      </x:c>
      <x:c r="E1718" s="84" t="n">
        <x:v>3</x:v>
      </x:c>
      <x:c r="F1718" s="91" t="n">
        <x:v>2676.48</x:v>
      </x:c>
    </x:row>
    <x:row r="1719">
      <x:c r="A1719" s="83" t="n">
        <x:v>1718</x:v>
      </x:c>
      <x:c r="B1719" s="84" t="n">
        <x:v>1315</x:v>
      </x:c>
      <x:c r="C1719" s="84" t="n">
        <x:v>24</x:v>
      </x:c>
      <x:c r="D1719" s="89" t="n">
        <x:v>45329</x:v>
      </x:c>
      <x:c r="E1719" s="84" t="n">
        <x:v>3</x:v>
      </x:c>
      <x:c r="F1719" s="91" t="n">
        <x:v>2222.73</x:v>
      </x:c>
    </x:row>
    <x:row r="1720">
      <x:c r="A1720" s="83" t="n">
        <x:v>1719</x:v>
      </x:c>
      <x:c r="B1720" s="84" t="n">
        <x:v>1318</x:v>
      </x:c>
      <x:c r="C1720" s="84" t="n">
        <x:v>50</x:v>
      </x:c>
      <x:c r="D1720" s="89" t="n">
        <x:v>45857</x:v>
      </x:c>
      <x:c r="E1720" s="84" t="n">
        <x:v>1</x:v>
      </x:c>
      <x:c r="F1720" s="91" t="n">
        <x:v>2235.95</x:v>
      </x:c>
    </x:row>
    <x:row r="1721">
      <x:c r="A1721" s="83" t="n">
        <x:v>1720</x:v>
      </x:c>
      <x:c r="B1721" s="84" t="n">
        <x:v>1318</x:v>
      </x:c>
      <x:c r="C1721" s="84" t="n">
        <x:v>20</x:v>
      </x:c>
      <x:c r="D1721" s="89" t="n">
        <x:v>45857</x:v>
      </x:c>
      <x:c r="E1721" s="84" t="n">
        <x:v>4</x:v>
      </x:c>
      <x:c r="F1721" s="91" t="n">
        <x:v>2164.8</x:v>
      </x:c>
    </x:row>
    <x:row r="1722">
      <x:c r="A1722" s="83" t="n">
        <x:v>1721</x:v>
      </x:c>
      <x:c r="B1722" s="84" t="n">
        <x:v>1320</x:v>
      </x:c>
      <x:c r="C1722" s="84" t="n">
        <x:v>35</x:v>
      </x:c>
      <x:c r="D1722" s="89" t="n">
        <x:v>45319</x:v>
      </x:c>
      <x:c r="E1722" s="84" t="n">
        <x:v>4</x:v>
      </x:c>
      <x:c r="F1722" s="91" t="n">
        <x:v>5883.12</x:v>
      </x:c>
    </x:row>
    <x:row r="1723">
      <x:c r="A1723" s="83" t="n">
        <x:v>1722</x:v>
      </x:c>
      <x:c r="B1723" s="84" t="n">
        <x:v>1321</x:v>
      </x:c>
      <x:c r="C1723" s="84" t="n">
        <x:v>5</x:v>
      </x:c>
      <x:c r="D1723" s="89" t="n">
        <x:v>45166</x:v>
      </x:c>
      <x:c r="E1723" s="84" t="n">
        <x:v>2</x:v>
      </x:c>
      <x:c r="F1723" s="91" t="n">
        <x:v>2937</x:v>
      </x:c>
    </x:row>
    <x:row r="1724">
      <x:c r="A1724" s="83" t="n">
        <x:v>1723</x:v>
      </x:c>
      <x:c r="B1724" s="84" t="n">
        <x:v>1321</x:v>
      </x:c>
      <x:c r="C1724" s="84" t="n">
        <x:v>51</x:v>
      </x:c>
      <x:c r="D1724" s="89" t="n">
        <x:v>45166</x:v>
      </x:c>
      <x:c r="E1724" s="84" t="n">
        <x:v>2</x:v>
      </x:c>
      <x:c r="F1724" s="91" t="n">
        <x:v>1784.32</x:v>
      </x:c>
    </x:row>
    <x:row r="1725">
      <x:c r="A1725" s="83" t="n">
        <x:v>1724</x:v>
      </x:c>
      <x:c r="B1725" s="84" t="n">
        <x:v>1323</x:v>
      </x:c>
      <x:c r="C1725" s="84" t="n">
        <x:v>45</x:v>
      </x:c>
      <x:c r="D1725" s="89" t="n">
        <x:v>45954</x:v>
      </x:c>
      <x:c r="E1725" s="84" t="n">
        <x:v>1</x:v>
      </x:c>
      <x:c r="F1725" s="91" t="n">
        <x:v>1391.42</x:v>
      </x:c>
    </x:row>
    <x:row r="1726">
      <x:c r="A1726" s="83" t="n">
        <x:v>1725</x:v>
      </x:c>
      <x:c r="B1726" s="84" t="n">
        <x:v>1323</x:v>
      </x:c>
      <x:c r="C1726" s="84" t="n">
        <x:v>10</x:v>
      </x:c>
      <x:c r="D1726" s="89" t="n">
        <x:v>45954</x:v>
      </x:c>
      <x:c r="E1726" s="84" t="n">
        <x:v>2</x:v>
      </x:c>
      <x:c r="F1726" s="91" t="n">
        <x:v>1749.72</x:v>
      </x:c>
    </x:row>
    <x:row r="1727">
      <x:c r="A1727" s="83" t="n">
        <x:v>1726</x:v>
      </x:c>
      <x:c r="B1727" s="84" t="n">
        <x:v>1323</x:v>
      </x:c>
      <x:c r="C1727" s="84" t="n">
        <x:v>21</x:v>
      </x:c>
      <x:c r="D1727" s="89" t="n">
        <x:v>45954</x:v>
      </x:c>
      <x:c r="E1727" s="84" t="n">
        <x:v>4</x:v>
      </x:c>
      <x:c r="F1727" s="91" t="n">
        <x:v>9155.48</x:v>
      </x:c>
    </x:row>
    <x:row r="1728">
      <x:c r="A1728" s="83" t="n">
        <x:v>1727</x:v>
      </x:c>
      <x:c r="B1728" s="84" t="n">
        <x:v>1324</x:v>
      </x:c>
      <x:c r="C1728" s="84" t="n">
        <x:v>36</x:v>
      </x:c>
      <x:c r="D1728" s="89" t="n">
        <x:v>45869</x:v>
      </x:c>
      <x:c r="E1728" s="84" t="n">
        <x:v>4</x:v>
      </x:c>
      <x:c r="F1728" s="91" t="n">
        <x:v>2385.64</x:v>
      </x:c>
    </x:row>
    <x:row r="1729">
      <x:c r="A1729" s="83" t="n">
        <x:v>1728</x:v>
      </x:c>
      <x:c r="B1729" s="84" t="n">
        <x:v>1324</x:v>
      </x:c>
      <x:c r="C1729" s="84" t="n">
        <x:v>40</x:v>
      </x:c>
      <x:c r="D1729" s="89" t="n">
        <x:v>45869</x:v>
      </x:c>
      <x:c r="E1729" s="84" t="n">
        <x:v>3</x:v>
      </x:c>
      <x:c r="F1729" s="91" t="n">
        <x:v>6105.12</x:v>
      </x:c>
    </x:row>
    <x:row r="1730">
      <x:c r="A1730" s="83" t="n">
        <x:v>1729</x:v>
      </x:c>
      <x:c r="B1730" s="84" t="n">
        <x:v>1326</x:v>
      </x:c>
      <x:c r="C1730" s="84" t="n">
        <x:v>10</x:v>
      </x:c>
      <x:c r="D1730" s="89" t="n">
        <x:v>45667</x:v>
      </x:c>
      <x:c r="E1730" s="84" t="n">
        <x:v>2</x:v>
      </x:c>
      <x:c r="F1730" s="91" t="n">
        <x:v>1749.72</x:v>
      </x:c>
    </x:row>
    <x:row r="1731">
      <x:c r="A1731" s="83" t="n">
        <x:v>1730</x:v>
      </x:c>
      <x:c r="B1731" s="84" t="n">
        <x:v>1327</x:v>
      </x:c>
      <x:c r="C1731" s="84" t="n">
        <x:v>43</x:v>
      </x:c>
      <x:c r="D1731" s="89" t="n">
        <x:v>45209</x:v>
      </x:c>
      <x:c r="E1731" s="84" t="n">
        <x:v>1</x:v>
      </x:c>
      <x:c r="F1731" s="91" t="n">
        <x:v>1465.42</x:v>
      </x:c>
    </x:row>
    <x:row r="1732">
      <x:c r="A1732" s="83" t="n">
        <x:v>1731</x:v>
      </x:c>
      <x:c r="B1732" s="84" t="n">
        <x:v>1328</x:v>
      </x:c>
      <x:c r="C1732" s="84" t="n">
        <x:v>18</x:v>
      </x:c>
      <x:c r="D1732" s="89" t="n">
        <x:v>45249</x:v>
      </x:c>
      <x:c r="E1732" s="84" t="n">
        <x:v>2</x:v>
      </x:c>
      <x:c r="F1732" s="91" t="n">
        <x:v>1332.32</x:v>
      </x:c>
    </x:row>
    <x:row r="1733">
      <x:c r="A1733" s="83" t="n">
        <x:v>1732</x:v>
      </x:c>
      <x:c r="B1733" s="84" t="n">
        <x:v>1331</x:v>
      </x:c>
      <x:c r="C1733" s="84" t="n">
        <x:v>58</x:v>
      </x:c>
      <x:c r="D1733" s="89" t="n">
        <x:v>45355</x:v>
      </x:c>
      <x:c r="E1733" s="84" t="n">
        <x:v>3</x:v>
      </x:c>
      <x:c r="F1733" s="91" t="n">
        <x:v>6054.54</x:v>
      </x:c>
    </x:row>
    <x:row r="1734">
      <x:c r="A1734" s="83" t="n">
        <x:v>1733</x:v>
      </x:c>
      <x:c r="B1734" s="84" t="n">
        <x:v>1331</x:v>
      </x:c>
      <x:c r="C1734" s="84" t="n">
        <x:v>37</x:v>
      </x:c>
      <x:c r="D1734" s="89" t="n">
        <x:v>45355</x:v>
      </x:c>
      <x:c r="E1734" s="84" t="n">
        <x:v>1</x:v>
      </x:c>
      <x:c r="F1734" s="91" t="n">
        <x:v>1033.71</x:v>
      </x:c>
    </x:row>
    <x:row r="1735">
      <x:c r="A1735" s="83" t="n">
        <x:v>1734</x:v>
      </x:c>
      <x:c r="B1735" s="84" t="n">
        <x:v>1331</x:v>
      </x:c>
      <x:c r="C1735" s="84" t="n">
        <x:v>56</x:v>
      </x:c>
      <x:c r="D1735" s="89" t="n">
        <x:v>45355</x:v>
      </x:c>
      <x:c r="E1735" s="84" t="n">
        <x:v>2</x:v>
      </x:c>
      <x:c r="F1735" s="91" t="n">
        <x:v>2936.92</x:v>
      </x:c>
    </x:row>
    <x:row r="1736">
      <x:c r="A1736" s="83" t="n">
        <x:v>1735</x:v>
      </x:c>
      <x:c r="B1736" s="84" t="n">
        <x:v>1332</x:v>
      </x:c>
      <x:c r="C1736" s="84" t="n">
        <x:v>1</x:v>
      </x:c>
      <x:c r="D1736" s="89" t="n">
        <x:v>45451</x:v>
      </x:c>
      <x:c r="E1736" s="84" t="n">
        <x:v>3</x:v>
      </x:c>
      <x:c r="F1736" s="91" t="n">
        <x:v>5218.8</x:v>
      </x:c>
    </x:row>
    <x:row r="1737">
      <x:c r="A1737" s="83" t="n">
        <x:v>1736</x:v>
      </x:c>
      <x:c r="B1737" s="84" t="n">
        <x:v>1332</x:v>
      </x:c>
      <x:c r="C1737" s="84" t="n">
        <x:v>78</x:v>
      </x:c>
      <x:c r="D1737" s="89" t="n">
        <x:v>45451</x:v>
      </x:c>
      <x:c r="E1737" s="84" t="n">
        <x:v>1</x:v>
      </x:c>
      <x:c r="F1737" s="91" t="n">
        <x:v>283.6</x:v>
      </x:c>
    </x:row>
    <x:row r="1738">
      <x:c r="A1738" s="83" t="n">
        <x:v>1737</x:v>
      </x:c>
      <x:c r="B1738" s="84" t="n">
        <x:v>1334</x:v>
      </x:c>
      <x:c r="C1738" s="84" t="n">
        <x:v>57</x:v>
      </x:c>
      <x:c r="D1738" s="89" t="n">
        <x:v>45001</x:v>
      </x:c>
      <x:c r="E1738" s="84" t="n">
        <x:v>2</x:v>
      </x:c>
      <x:c r="F1738" s="91" t="n">
        <x:v>2358.12</x:v>
      </x:c>
    </x:row>
    <x:row r="1739">
      <x:c r="A1739" s="83" t="n">
        <x:v>1738</x:v>
      </x:c>
      <x:c r="B1739" s="84" t="n">
        <x:v>1335</x:v>
      </x:c>
      <x:c r="C1739" s="84" t="n">
        <x:v>1</x:v>
      </x:c>
      <x:c r="D1739" s="89" t="n">
        <x:v>45873</x:v>
      </x:c>
      <x:c r="E1739" s="84" t="n">
        <x:v>1</x:v>
      </x:c>
      <x:c r="F1739" s="91" t="n">
        <x:v>1739.6</x:v>
      </x:c>
    </x:row>
    <x:row r="1740">
      <x:c r="A1740" s="83" t="n">
        <x:v>1739</x:v>
      </x:c>
      <x:c r="B1740" s="84" t="n">
        <x:v>1335</x:v>
      </x:c>
      <x:c r="C1740" s="84" t="n">
        <x:v>70</x:v>
      </x:c>
      <x:c r="D1740" s="89" t="n">
        <x:v>45873</x:v>
      </x:c>
      <x:c r="E1740" s="84" t="n">
        <x:v>4</x:v>
      </x:c>
      <x:c r="F1740" s="91" t="n">
        <x:v>3078.16</x:v>
      </x:c>
    </x:row>
    <x:row r="1741">
      <x:c r="A1741" s="83" t="n">
        <x:v>1740</x:v>
      </x:c>
      <x:c r="B1741" s="84" t="n">
        <x:v>1335</x:v>
      </x:c>
      <x:c r="C1741" s="84" t="n">
        <x:v>52</x:v>
      </x:c>
      <x:c r="D1741" s="89" t="n">
        <x:v>45873</x:v>
      </x:c>
      <x:c r="E1741" s="84" t="n">
        <x:v>4</x:v>
      </x:c>
      <x:c r="F1741" s="91" t="n">
        <x:v>3522.52</x:v>
      </x:c>
    </x:row>
    <x:row r="1742">
      <x:c r="A1742" s="83" t="n">
        <x:v>1741</x:v>
      </x:c>
      <x:c r="B1742" s="84" t="n">
        <x:v>1336</x:v>
      </x:c>
      <x:c r="C1742" s="84" t="n">
        <x:v>74</x:v>
      </x:c>
      <x:c r="D1742" s="89" t="n">
        <x:v>45393</x:v>
      </x:c>
      <x:c r="E1742" s="84" t="n">
        <x:v>2</x:v>
      </x:c>
      <x:c r="F1742" s="91" t="n">
        <x:v>3312.7</x:v>
      </x:c>
    </x:row>
    <x:row r="1743">
      <x:c r="A1743" s="83" t="n">
        <x:v>1742</x:v>
      </x:c>
      <x:c r="B1743" s="84" t="n">
        <x:v>1336</x:v>
      </x:c>
      <x:c r="C1743" s="84" t="n">
        <x:v>1</x:v>
      </x:c>
      <x:c r="D1743" s="89" t="n">
        <x:v>45393</x:v>
      </x:c>
      <x:c r="E1743" s="84" t="n">
        <x:v>2</x:v>
      </x:c>
      <x:c r="F1743" s="91" t="n">
        <x:v>3479.2</x:v>
      </x:c>
    </x:row>
    <x:row r="1744">
      <x:c r="A1744" s="83" t="n">
        <x:v>1743</x:v>
      </x:c>
      <x:c r="B1744" s="84" t="n">
        <x:v>1336</x:v>
      </x:c>
      <x:c r="C1744" s="84" t="n">
        <x:v>9</x:v>
      </x:c>
      <x:c r="D1744" s="89" t="n">
        <x:v>45393</x:v>
      </x:c>
      <x:c r="E1744" s="84" t="n">
        <x:v>1</x:v>
      </x:c>
      <x:c r="F1744" s="91" t="n">
        <x:v>1575.06</x:v>
      </x:c>
    </x:row>
    <x:row r="1745">
      <x:c r="A1745" s="83" t="n">
        <x:v>1744</x:v>
      </x:c>
      <x:c r="B1745" s="84" t="n">
        <x:v>1337</x:v>
      </x:c>
      <x:c r="C1745" s="84" t="n">
        <x:v>22</x:v>
      </x:c>
      <x:c r="D1745" s="89" t="n">
        <x:v>45215</x:v>
      </x:c>
      <x:c r="E1745" s="84" t="n">
        <x:v>3</x:v>
      </x:c>
      <x:c r="F1745" s="91" t="n">
        <x:v>1565.67</x:v>
      </x:c>
    </x:row>
    <x:row r="1746">
      <x:c r="A1746" s="83" t="n">
        <x:v>1745</x:v>
      </x:c>
      <x:c r="B1746" s="84" t="n">
        <x:v>1337</x:v>
      </x:c>
      <x:c r="C1746" s="84" t="n">
        <x:v>62</x:v>
      </x:c>
      <x:c r="D1746" s="89" t="n">
        <x:v>45215</x:v>
      </x:c>
      <x:c r="E1746" s="84" t="n">
        <x:v>4</x:v>
      </x:c>
      <x:c r="F1746" s="91" t="n">
        <x:v>6069.24</x:v>
      </x:c>
    </x:row>
    <x:row r="1747">
      <x:c r="A1747" s="83" t="n">
        <x:v>1746</x:v>
      </x:c>
      <x:c r="B1747" s="84" t="n">
        <x:v>1341</x:v>
      </x:c>
      <x:c r="C1747" s="84" t="n">
        <x:v>75</x:v>
      </x:c>
      <x:c r="D1747" s="89" t="n">
        <x:v>45333</x:v>
      </x:c>
      <x:c r="E1747" s="84" t="n">
        <x:v>2</x:v>
      </x:c>
      <x:c r="F1747" s="91" t="n">
        <x:v>912.34</x:v>
      </x:c>
    </x:row>
    <x:row r="1748">
      <x:c r="A1748" s="83" t="n">
        <x:v>1747</x:v>
      </x:c>
      <x:c r="B1748" s="84" t="n">
        <x:v>1341</x:v>
      </x:c>
      <x:c r="C1748" s="84" t="n">
        <x:v>67</x:v>
      </x:c>
      <x:c r="D1748" s="89" t="n">
        <x:v>45333</x:v>
      </x:c>
      <x:c r="E1748" s="84" t="n">
        <x:v>2</x:v>
      </x:c>
      <x:c r="F1748" s="91" t="n">
        <x:v>2559.06</x:v>
      </x:c>
    </x:row>
    <x:row r="1749">
      <x:c r="A1749" s="83" t="n">
        <x:v>1748</x:v>
      </x:c>
      <x:c r="B1749" s="84" t="n">
        <x:v>1341</x:v>
      </x:c>
      <x:c r="C1749" s="84" t="n">
        <x:v>66</x:v>
      </x:c>
      <x:c r="D1749" s="89" t="n">
        <x:v>45333</x:v>
      </x:c>
      <x:c r="E1749" s="84" t="n">
        <x:v>1</x:v>
      </x:c>
      <x:c r="F1749" s="91" t="n">
        <x:v>1912.45</x:v>
      </x:c>
    </x:row>
    <x:row r="1750">
      <x:c r="A1750" s="83" t="n">
        <x:v>1749</x:v>
      </x:c>
      <x:c r="B1750" s="84" t="n">
        <x:v>1344</x:v>
      </x:c>
      <x:c r="C1750" s="84" t="n">
        <x:v>23</x:v>
      </x:c>
      <x:c r="D1750" s="89" t="n">
        <x:v>45044</x:v>
      </x:c>
      <x:c r="E1750" s="84" t="n">
        <x:v>4</x:v>
      </x:c>
      <x:c r="F1750" s="91" t="n">
        <x:v>7011.4</x:v>
      </x:c>
    </x:row>
    <x:row r="1751">
      <x:c r="A1751" s="83" t="n">
        <x:v>1750</x:v>
      </x:c>
      <x:c r="B1751" s="84" t="n">
        <x:v>1346</x:v>
      </x:c>
      <x:c r="C1751" s="84" t="n">
        <x:v>59</x:v>
      </x:c>
      <x:c r="D1751" s="89" t="n">
        <x:v>45141</x:v>
      </x:c>
      <x:c r="E1751" s="84" t="n">
        <x:v>1</x:v>
      </x:c>
      <x:c r="F1751" s="91" t="n">
        <x:v>1516.45</x:v>
      </x:c>
    </x:row>
    <x:row r="1752">
      <x:c r="A1752" s="83" t="n">
        <x:v>1751</x:v>
      </x:c>
      <x:c r="B1752" s="84" t="n">
        <x:v>1346</x:v>
      </x:c>
      <x:c r="C1752" s="84" t="n">
        <x:v>58</x:v>
      </x:c>
      <x:c r="D1752" s="89" t="n">
        <x:v>45141</x:v>
      </x:c>
      <x:c r="E1752" s="84" t="n">
        <x:v>3</x:v>
      </x:c>
      <x:c r="F1752" s="91" t="n">
        <x:v>6054.54</x:v>
      </x:c>
    </x:row>
    <x:row r="1753">
      <x:c r="A1753" s="83" t="n">
        <x:v>1752</x:v>
      </x:c>
      <x:c r="B1753" s="84" t="n">
        <x:v>1346</x:v>
      </x:c>
      <x:c r="C1753" s="84" t="n">
        <x:v>69</x:v>
      </x:c>
      <x:c r="D1753" s="89" t="n">
        <x:v>45141</x:v>
      </x:c>
      <x:c r="E1753" s="84" t="n">
        <x:v>3</x:v>
      </x:c>
      <x:c r="F1753" s="91" t="n">
        <x:v>5310.99</x:v>
      </x:c>
    </x:row>
    <x:row r="1754">
      <x:c r="A1754" s="83" t="n">
        <x:v>1753</x:v>
      </x:c>
      <x:c r="B1754" s="84" t="n">
        <x:v>1347</x:v>
      </x:c>
      <x:c r="C1754" s="84" t="n">
        <x:v>35</x:v>
      </x:c>
      <x:c r="D1754" s="89" t="n">
        <x:v>45119</x:v>
      </x:c>
      <x:c r="E1754" s="84" t="n">
        <x:v>4</x:v>
      </x:c>
      <x:c r="F1754" s="91" t="n">
        <x:v>5883.12</x:v>
      </x:c>
    </x:row>
    <x:row r="1755">
      <x:c r="A1755" s="83" t="n">
        <x:v>1754</x:v>
      </x:c>
      <x:c r="B1755" s="84" t="n">
        <x:v>1350</x:v>
      </x:c>
      <x:c r="C1755" s="84" t="n">
        <x:v>20</x:v>
      </x:c>
      <x:c r="D1755" s="89" t="n">
        <x:v>45514</x:v>
      </x:c>
      <x:c r="E1755" s="84" t="n">
        <x:v>3</x:v>
      </x:c>
      <x:c r="F1755" s="91" t="n">
        <x:v>1623.6</x:v>
      </x:c>
    </x:row>
    <x:row r="1756">
      <x:c r="A1756" s="83" t="n">
        <x:v>1755</x:v>
      </x:c>
      <x:c r="B1756" s="84" t="n">
        <x:v>1350</x:v>
      </x:c>
      <x:c r="C1756" s="84" t="n">
        <x:v>63</x:v>
      </x:c>
      <x:c r="D1756" s="89" t="n">
        <x:v>45514</x:v>
      </x:c>
      <x:c r="E1756" s="84" t="n">
        <x:v>4</x:v>
      </x:c>
      <x:c r="F1756" s="91" t="n">
        <x:v>7736.76</x:v>
      </x:c>
    </x:row>
    <x:row r="1757">
      <x:c r="A1757" s="83" t="n">
        <x:v>1756</x:v>
      </x:c>
      <x:c r="B1757" s="84" t="n">
        <x:v>1353</x:v>
      </x:c>
      <x:c r="C1757" s="84" t="n">
        <x:v>44</x:v>
      </x:c>
      <x:c r="D1757" s="89" t="n">
        <x:v>45767</x:v>
      </x:c>
      <x:c r="E1757" s="84" t="n">
        <x:v>4</x:v>
      </x:c>
      <x:c r="F1757" s="91" t="n">
        <x:v>5005.92</x:v>
      </x:c>
    </x:row>
    <x:row r="1758">
      <x:c r="A1758" s="83" t="n">
        <x:v>1757</x:v>
      </x:c>
      <x:c r="B1758" s="84" t="n">
        <x:v>1353</x:v>
      </x:c>
      <x:c r="C1758" s="84" t="n">
        <x:v>72</x:v>
      </x:c>
      <x:c r="D1758" s="89" t="n">
        <x:v>45767</x:v>
      </x:c>
      <x:c r="E1758" s="84" t="n">
        <x:v>1</x:v>
      </x:c>
      <x:c r="F1758" s="91" t="n">
        <x:v>450.83</x:v>
      </x:c>
    </x:row>
    <x:row r="1759">
      <x:c r="A1759" s="83" t="n">
        <x:v>1758</x:v>
      </x:c>
      <x:c r="B1759" s="84" t="n">
        <x:v>1353</x:v>
      </x:c>
      <x:c r="C1759" s="84" t="n">
        <x:v>37</x:v>
      </x:c>
      <x:c r="D1759" s="89" t="n">
        <x:v>45767</x:v>
      </x:c>
      <x:c r="E1759" s="84" t="n">
        <x:v>3</x:v>
      </x:c>
      <x:c r="F1759" s="91" t="n">
        <x:v>3101.13</x:v>
      </x:c>
    </x:row>
    <x:row r="1760">
      <x:c r="A1760" s="83" t="n">
        <x:v>1759</x:v>
      </x:c>
      <x:c r="B1760" s="84" t="n">
        <x:v>1354</x:v>
      </x:c>
      <x:c r="C1760" s="84" t="n">
        <x:v>73</x:v>
      </x:c>
      <x:c r="D1760" s="89" t="n">
        <x:v>45547</x:v>
      </x:c>
      <x:c r="E1760" s="84" t="n">
        <x:v>1</x:v>
      </x:c>
      <x:c r="F1760" s="91" t="n">
        <x:v>1127.31</x:v>
      </x:c>
    </x:row>
    <x:row r="1761">
      <x:c r="A1761" s="83" t="n">
        <x:v>1760</x:v>
      </x:c>
      <x:c r="B1761" s="84" t="n">
        <x:v>1354</x:v>
      </x:c>
      <x:c r="C1761" s="84" t="n">
        <x:v>26</x:v>
      </x:c>
      <x:c r="D1761" s="89" t="n">
        <x:v>45547</x:v>
      </x:c>
      <x:c r="E1761" s="84" t="n">
        <x:v>3</x:v>
      </x:c>
      <x:c r="F1761" s="91" t="n">
        <x:v>6453</x:v>
      </x:c>
    </x:row>
    <x:row r="1762">
      <x:c r="A1762" s="83" t="n">
        <x:v>1761</x:v>
      </x:c>
      <x:c r="B1762" s="84" t="n">
        <x:v>1357</x:v>
      </x:c>
      <x:c r="C1762" s="84" t="n">
        <x:v>56</x:v>
      </x:c>
      <x:c r="D1762" s="89" t="n">
        <x:v>45748</x:v>
      </x:c>
      <x:c r="E1762" s="84" t="n">
        <x:v>4</x:v>
      </x:c>
      <x:c r="F1762" s="91" t="n">
        <x:v>5873.84</x:v>
      </x:c>
    </x:row>
    <x:row r="1763">
      <x:c r="A1763" s="83" t="n">
        <x:v>1762</x:v>
      </x:c>
      <x:c r="B1763" s="84" t="n">
        <x:v>1357</x:v>
      </x:c>
      <x:c r="C1763" s="84" t="n">
        <x:v>50</x:v>
      </x:c>
      <x:c r="D1763" s="89" t="n">
        <x:v>45748</x:v>
      </x:c>
      <x:c r="E1763" s="84" t="n">
        <x:v>1</x:v>
      </x:c>
      <x:c r="F1763" s="91" t="n">
        <x:v>2235.95</x:v>
      </x:c>
    </x:row>
    <x:row r="1764">
      <x:c r="A1764" s="83" t="n">
        <x:v>1763</x:v>
      </x:c>
      <x:c r="B1764" s="84" t="n">
        <x:v>1357</x:v>
      </x:c>
      <x:c r="C1764" s="84" t="n">
        <x:v>75</x:v>
      </x:c>
      <x:c r="D1764" s="89" t="n">
        <x:v>45748</x:v>
      </x:c>
      <x:c r="E1764" s="84" t="n">
        <x:v>3</x:v>
      </x:c>
      <x:c r="F1764" s="91" t="n">
        <x:v>1368.51</x:v>
      </x:c>
    </x:row>
    <x:row r="1765">
      <x:c r="A1765" s="83" t="n">
        <x:v>1764</x:v>
      </x:c>
      <x:c r="B1765" s="84" t="n">
        <x:v>1358</x:v>
      </x:c>
      <x:c r="C1765" s="84" t="n">
        <x:v>18</x:v>
      </x:c>
      <x:c r="D1765" s="89" t="n">
        <x:v>45612</x:v>
      </x:c>
      <x:c r="E1765" s="84" t="n">
        <x:v>2</x:v>
      </x:c>
      <x:c r="F1765" s="91" t="n">
        <x:v>1332.32</x:v>
      </x:c>
    </x:row>
    <x:row r="1766">
      <x:c r="A1766" s="83" t="n">
        <x:v>1765</x:v>
      </x:c>
      <x:c r="B1766" s="84" t="n">
        <x:v>1358</x:v>
      </x:c>
      <x:c r="C1766" s="84" t="n">
        <x:v>35</x:v>
      </x:c>
      <x:c r="D1766" s="89" t="n">
        <x:v>45612</x:v>
      </x:c>
      <x:c r="E1766" s="84" t="n">
        <x:v>1</x:v>
      </x:c>
      <x:c r="F1766" s="91" t="n">
        <x:v>1470.78</x:v>
      </x:c>
    </x:row>
    <x:row r="1767">
      <x:c r="A1767" s="83" t="n">
        <x:v>1766</x:v>
      </x:c>
      <x:c r="B1767" s="84" t="n">
        <x:v>1361</x:v>
      </x:c>
      <x:c r="C1767" s="84" t="n">
        <x:v>32</x:v>
      </x:c>
      <x:c r="D1767" s="89" t="n">
        <x:v>45093</x:v>
      </x:c>
      <x:c r="E1767" s="84" t="n">
        <x:v>1</x:v>
      </x:c>
      <x:c r="F1767" s="91" t="n">
        <x:v>1813.25</x:v>
      </x:c>
    </x:row>
    <x:row r="1768">
      <x:c r="A1768" s="83" t="n">
        <x:v>1767</x:v>
      </x:c>
      <x:c r="B1768" s="84" t="n">
        <x:v>1362</x:v>
      </x:c>
      <x:c r="C1768" s="84" t="n">
        <x:v>31</x:v>
      </x:c>
      <x:c r="D1768" s="89" t="n">
        <x:v>46013</x:v>
      </x:c>
      <x:c r="E1768" s="84" t="n">
        <x:v>1</x:v>
      </x:c>
      <x:c r="F1768" s="91" t="n">
        <x:v>2169.63</x:v>
      </x:c>
    </x:row>
    <x:row r="1769">
      <x:c r="A1769" s="83" t="n">
        <x:v>1768</x:v>
      </x:c>
      <x:c r="B1769" s="84" t="n">
        <x:v>1362</x:v>
      </x:c>
      <x:c r="C1769" s="84" t="n">
        <x:v>30</x:v>
      </x:c>
      <x:c r="D1769" s="89" t="n">
        <x:v>46013</x:v>
      </x:c>
      <x:c r="E1769" s="84" t="n">
        <x:v>1</x:v>
      </x:c>
      <x:c r="F1769" s="91" t="n">
        <x:v>1278.76</x:v>
      </x:c>
    </x:row>
    <x:row r="1770">
      <x:c r="A1770" s="83" t="n">
        <x:v>1769</x:v>
      </x:c>
      <x:c r="B1770" s="84" t="n">
        <x:v>1363</x:v>
      </x:c>
      <x:c r="C1770" s="84" t="n">
        <x:v>1</x:v>
      </x:c>
      <x:c r="D1770" s="89" t="n">
        <x:v>45936</x:v>
      </x:c>
      <x:c r="E1770" s="84" t="n">
        <x:v>1</x:v>
      </x:c>
      <x:c r="F1770" s="91" t="n">
        <x:v>1739.6</x:v>
      </x:c>
    </x:row>
    <x:row r="1771">
      <x:c r="A1771" s="83" t="n">
        <x:v>1770</x:v>
      </x:c>
      <x:c r="B1771" s="84" t="n">
        <x:v>1363</x:v>
      </x:c>
      <x:c r="C1771" s="84" t="n">
        <x:v>5</x:v>
      </x:c>
      <x:c r="D1771" s="89" t="n">
        <x:v>45936</x:v>
      </x:c>
      <x:c r="E1771" s="84" t="n">
        <x:v>3</x:v>
      </x:c>
      <x:c r="F1771" s="91" t="n">
        <x:v>4405.5</x:v>
      </x:c>
    </x:row>
    <x:row r="1772">
      <x:c r="A1772" s="83" t="n">
        <x:v>1771</x:v>
      </x:c>
      <x:c r="B1772" s="84" t="n">
        <x:v>1363</x:v>
      </x:c>
      <x:c r="C1772" s="84" t="n">
        <x:v>69</x:v>
      </x:c>
      <x:c r="D1772" s="89" t="n">
        <x:v>45936</x:v>
      </x:c>
      <x:c r="E1772" s="84" t="n">
        <x:v>4</x:v>
      </x:c>
      <x:c r="F1772" s="91" t="n">
        <x:v>7081.32</x:v>
      </x:c>
    </x:row>
    <x:row r="1773">
      <x:c r="A1773" s="83" t="n">
        <x:v>1772</x:v>
      </x:c>
      <x:c r="B1773" s="84" t="n">
        <x:v>1364</x:v>
      </x:c>
      <x:c r="C1773" s="84" t="n">
        <x:v>28</x:v>
      </x:c>
      <x:c r="D1773" s="89" t="n">
        <x:v>45158</x:v>
      </x:c>
      <x:c r="E1773" s="84" t="n">
        <x:v>4</x:v>
      </x:c>
      <x:c r="F1773" s="91" t="n">
        <x:v>3281.88</x:v>
      </x:c>
    </x:row>
    <x:row r="1774">
      <x:c r="A1774" s="83" t="n">
        <x:v>1773</x:v>
      </x:c>
      <x:c r="B1774" s="84" t="n">
        <x:v>1364</x:v>
      </x:c>
      <x:c r="C1774" s="84" t="n">
        <x:v>57</x:v>
      </x:c>
      <x:c r="D1774" s="89" t="n">
        <x:v>45158</x:v>
      </x:c>
      <x:c r="E1774" s="84" t="n">
        <x:v>3</x:v>
      </x:c>
      <x:c r="F1774" s="91" t="n">
        <x:v>3537.18</x:v>
      </x:c>
    </x:row>
    <x:row r="1775">
      <x:c r="A1775" s="83" t="n">
        <x:v>1774</x:v>
      </x:c>
      <x:c r="B1775" s="84" t="n">
        <x:v>1366</x:v>
      </x:c>
      <x:c r="C1775" s="84" t="n">
        <x:v>51</x:v>
      </x:c>
      <x:c r="D1775" s="89" t="n">
        <x:v>46002</x:v>
      </x:c>
      <x:c r="E1775" s="84" t="n">
        <x:v>2</x:v>
      </x:c>
      <x:c r="F1775" s="91" t="n">
        <x:v>1784.32</x:v>
      </x:c>
    </x:row>
    <x:row r="1776">
      <x:c r="A1776" s="83" t="n">
        <x:v>1775</x:v>
      </x:c>
      <x:c r="B1776" s="84" t="n">
        <x:v>1366</x:v>
      </x:c>
      <x:c r="C1776" s="84" t="n">
        <x:v>23</x:v>
      </x:c>
      <x:c r="D1776" s="89" t="n">
        <x:v>46002</x:v>
      </x:c>
      <x:c r="E1776" s="84" t="n">
        <x:v>4</x:v>
      </x:c>
      <x:c r="F1776" s="91" t="n">
        <x:v>7011.4</x:v>
      </x:c>
    </x:row>
    <x:row r="1777">
      <x:c r="A1777" s="83" t="n">
        <x:v>1776</x:v>
      </x:c>
      <x:c r="B1777" s="84" t="n">
        <x:v>1368</x:v>
      </x:c>
      <x:c r="C1777" s="84" t="n">
        <x:v>27</x:v>
      </x:c>
      <x:c r="D1777" s="89" t="n">
        <x:v>45478</x:v>
      </x:c>
      <x:c r="E1777" s="84" t="n">
        <x:v>1</x:v>
      </x:c>
      <x:c r="F1777" s="91" t="n">
        <x:v>160.69</x:v>
      </x:c>
    </x:row>
    <x:row r="1778">
      <x:c r="A1778" s="83" t="n">
        <x:v>1777</x:v>
      </x:c>
      <x:c r="B1778" s="84" t="n">
        <x:v>1368</x:v>
      </x:c>
      <x:c r="C1778" s="84" t="n">
        <x:v>32</x:v>
      </x:c>
      <x:c r="D1778" s="89" t="n">
        <x:v>45478</x:v>
      </x:c>
      <x:c r="E1778" s="84" t="n">
        <x:v>2</x:v>
      </x:c>
      <x:c r="F1778" s="91" t="n">
        <x:v>3626.5</x:v>
      </x:c>
    </x:row>
    <x:row r="1779">
      <x:c r="A1779" s="83" t="n">
        <x:v>1778</x:v>
      </x:c>
      <x:c r="B1779" s="84" t="n">
        <x:v>1369</x:v>
      </x:c>
      <x:c r="C1779" s="84" t="n">
        <x:v>75</x:v>
      </x:c>
      <x:c r="D1779" s="89" t="n">
        <x:v>45841</x:v>
      </x:c>
      <x:c r="E1779" s="84" t="n">
        <x:v>1</x:v>
      </x:c>
      <x:c r="F1779" s="91" t="n">
        <x:v>456.17</x:v>
      </x:c>
    </x:row>
    <x:row r="1780">
      <x:c r="A1780" s="83" t="n">
        <x:v>1779</x:v>
      </x:c>
      <x:c r="B1780" s="84" t="n">
        <x:v>1370</x:v>
      </x:c>
      <x:c r="C1780" s="84" t="n">
        <x:v>10</x:v>
      </x:c>
      <x:c r="D1780" s="89" t="n">
        <x:v>45771</x:v>
      </x:c>
      <x:c r="E1780" s="84" t="n">
        <x:v>2</x:v>
      </x:c>
      <x:c r="F1780" s="91" t="n">
        <x:v>1749.72</x:v>
      </x:c>
    </x:row>
    <x:row r="1781">
      <x:c r="A1781" s="83" t="n">
        <x:v>1780</x:v>
      </x:c>
      <x:c r="B1781" s="84" t="n">
        <x:v>1371</x:v>
      </x:c>
      <x:c r="C1781" s="84" t="n">
        <x:v>3</x:v>
      </x:c>
      <x:c r="D1781" s="89" t="n">
        <x:v>45632</x:v>
      </x:c>
      <x:c r="E1781" s="84" t="n">
        <x:v>3</x:v>
      </x:c>
      <x:c r="F1781" s="91" t="n">
        <x:v>3453.42</x:v>
      </x:c>
    </x:row>
    <x:row r="1782">
      <x:c r="A1782" s="83" t="n">
        <x:v>1781</x:v>
      </x:c>
      <x:c r="B1782" s="84" t="n">
        <x:v>1371</x:v>
      </x:c>
      <x:c r="C1782" s="84" t="n">
        <x:v>21</x:v>
      </x:c>
      <x:c r="D1782" s="89" t="n">
        <x:v>45632</x:v>
      </x:c>
      <x:c r="E1782" s="84" t="n">
        <x:v>1</x:v>
      </x:c>
      <x:c r="F1782" s="91" t="n">
        <x:v>2288.87</x:v>
      </x:c>
    </x:row>
    <x:row r="1783">
      <x:c r="A1783" s="83" t="n">
        <x:v>1782</x:v>
      </x:c>
      <x:c r="B1783" s="84" t="n">
        <x:v>1371</x:v>
      </x:c>
      <x:c r="C1783" s="84" t="n">
        <x:v>77</x:v>
      </x:c>
      <x:c r="D1783" s="89" t="n">
        <x:v>45632</x:v>
      </x:c>
      <x:c r="E1783" s="84" t="n">
        <x:v>2</x:v>
      </x:c>
      <x:c r="F1783" s="91" t="n">
        <x:v>4205.82</x:v>
      </x:c>
    </x:row>
    <x:row r="1784">
      <x:c r="A1784" s="83" t="n">
        <x:v>1783</x:v>
      </x:c>
      <x:c r="B1784" s="84" t="n">
        <x:v>1372</x:v>
      </x:c>
      <x:c r="C1784" s="84" t="n">
        <x:v>40</x:v>
      </x:c>
      <x:c r="D1784" s="89" t="n">
        <x:v>45122</x:v>
      </x:c>
      <x:c r="E1784" s="84" t="n">
        <x:v>3</x:v>
      </x:c>
      <x:c r="F1784" s="91" t="n">
        <x:v>6105.12</x:v>
      </x:c>
    </x:row>
    <x:row r="1785">
      <x:c r="A1785" s="83" t="n">
        <x:v>1784</x:v>
      </x:c>
      <x:c r="B1785" s="84" t="n">
        <x:v>1372</x:v>
      </x:c>
      <x:c r="C1785" s="84" t="n">
        <x:v>55</x:v>
      </x:c>
      <x:c r="D1785" s="89" t="n">
        <x:v>45122</x:v>
      </x:c>
      <x:c r="E1785" s="84" t="n">
        <x:v>3</x:v>
      </x:c>
      <x:c r="F1785" s="91" t="n">
        <x:v>4499.55</x:v>
      </x:c>
    </x:row>
    <x:row r="1786">
      <x:c r="A1786" s="83" t="n">
        <x:v>1785</x:v>
      </x:c>
      <x:c r="B1786" s="84" t="n">
        <x:v>1372</x:v>
      </x:c>
      <x:c r="C1786" s="84" t="n">
        <x:v>41</x:v>
      </x:c>
      <x:c r="D1786" s="89" t="n">
        <x:v>45122</x:v>
      </x:c>
      <x:c r="E1786" s="84" t="n">
        <x:v>1</x:v>
      </x:c>
      <x:c r="F1786" s="91" t="n">
        <x:v>1182.02</x:v>
      </x:c>
    </x:row>
    <x:row r="1787">
      <x:c r="A1787" s="83" t="n">
        <x:v>1786</x:v>
      </x:c>
      <x:c r="B1787" s="84" t="n">
        <x:v>1374</x:v>
      </x:c>
      <x:c r="C1787" s="84" t="n">
        <x:v>16</x:v>
      </x:c>
      <x:c r="D1787" s="89" t="n">
        <x:v>45887</x:v>
      </x:c>
      <x:c r="E1787" s="84" t="n">
        <x:v>2</x:v>
      </x:c>
      <x:c r="F1787" s="91" t="n">
        <x:v>1211.56</x:v>
      </x:c>
    </x:row>
    <x:row r="1788">
      <x:c r="A1788" s="83" t="n">
        <x:v>1787</x:v>
      </x:c>
      <x:c r="B1788" s="84" t="n">
        <x:v>1374</x:v>
      </x:c>
      <x:c r="C1788" s="84" t="n">
        <x:v>44</x:v>
      </x:c>
      <x:c r="D1788" s="89" t="n">
        <x:v>45887</x:v>
      </x:c>
      <x:c r="E1788" s="84" t="n">
        <x:v>1</x:v>
      </x:c>
      <x:c r="F1788" s="91" t="n">
        <x:v>1251.48</x:v>
      </x:c>
    </x:row>
    <x:row r="1789">
      <x:c r="A1789" s="83" t="n">
        <x:v>1788</x:v>
      </x:c>
      <x:c r="B1789" s="84" t="n">
        <x:v>1374</x:v>
      </x:c>
      <x:c r="C1789" s="84" t="n">
        <x:v>23</x:v>
      </x:c>
      <x:c r="D1789" s="89" t="n">
        <x:v>45887</x:v>
      </x:c>
      <x:c r="E1789" s="84" t="n">
        <x:v>3</x:v>
      </x:c>
      <x:c r="F1789" s="91" t="n">
        <x:v>5258.55</x:v>
      </x:c>
    </x:row>
    <x:row r="1790">
      <x:c r="A1790" s="83" t="n">
        <x:v>1789</x:v>
      </x:c>
      <x:c r="B1790" s="84" t="n">
        <x:v>1378</x:v>
      </x:c>
      <x:c r="C1790" s="84" t="n">
        <x:v>64</x:v>
      </x:c>
      <x:c r="D1790" s="89" t="n">
        <x:v>45675</x:v>
      </x:c>
      <x:c r="E1790" s="84" t="n">
        <x:v>1</x:v>
      </x:c>
      <x:c r="F1790" s="91" t="n">
        <x:v>1465.42</x:v>
      </x:c>
    </x:row>
    <x:row r="1791">
      <x:c r="A1791" s="83" t="n">
        <x:v>1790</x:v>
      </x:c>
      <x:c r="B1791" s="84" t="n">
        <x:v>1379</x:v>
      </x:c>
      <x:c r="C1791" s="84" t="n">
        <x:v>37</x:v>
      </x:c>
      <x:c r="D1791" s="89" t="n">
        <x:v>45518</x:v>
      </x:c>
      <x:c r="E1791" s="84" t="n">
        <x:v>1</x:v>
      </x:c>
      <x:c r="F1791" s="91" t="n">
        <x:v>1033.71</x:v>
      </x:c>
    </x:row>
    <x:row r="1792">
      <x:c r="A1792" s="83" t="n">
        <x:v>1791</x:v>
      </x:c>
      <x:c r="B1792" s="84" t="n">
        <x:v>1379</x:v>
      </x:c>
      <x:c r="C1792" s="84" t="n">
        <x:v>53</x:v>
      </x:c>
      <x:c r="D1792" s="89" t="n">
        <x:v>45518</x:v>
      </x:c>
      <x:c r="E1792" s="84" t="n">
        <x:v>3</x:v>
      </x:c>
      <x:c r="F1792" s="91" t="n">
        <x:v>4772.76</x:v>
      </x:c>
    </x:row>
    <x:row r="1793">
      <x:c r="A1793" s="83" t="n">
        <x:v>1792</x:v>
      </x:c>
      <x:c r="B1793" s="84" t="n">
        <x:v>1379</x:v>
      </x:c>
      <x:c r="C1793" s="84" t="n">
        <x:v>78</x:v>
      </x:c>
      <x:c r="D1793" s="89" t="n">
        <x:v>45518</x:v>
      </x:c>
      <x:c r="E1793" s="84" t="n">
        <x:v>2</x:v>
      </x:c>
      <x:c r="F1793" s="91" t="n">
        <x:v>567.2</x:v>
      </x:c>
    </x:row>
    <x:row r="1794">
      <x:c r="A1794" s="83" t="n">
        <x:v>1793</x:v>
      </x:c>
      <x:c r="B1794" s="84" t="n">
        <x:v>1382</x:v>
      </x:c>
      <x:c r="C1794" s="84" t="n">
        <x:v>3</x:v>
      </x:c>
      <x:c r="D1794" s="89" t="n">
        <x:v>45004</x:v>
      </x:c>
      <x:c r="E1794" s="84" t="n">
        <x:v>1</x:v>
      </x:c>
      <x:c r="F1794" s="91" t="n">
        <x:v>1151.14</x:v>
      </x:c>
    </x:row>
    <x:row r="1795">
      <x:c r="A1795" s="83" t="n">
        <x:v>1794</x:v>
      </x:c>
      <x:c r="B1795" s="84" t="n">
        <x:v>1385</x:v>
      </x:c>
      <x:c r="C1795" s="84" t="n">
        <x:v>10</x:v>
      </x:c>
      <x:c r="D1795" s="89" t="n">
        <x:v>45595</x:v>
      </x:c>
      <x:c r="E1795" s="84" t="n">
        <x:v>4</x:v>
      </x:c>
      <x:c r="F1795" s="91" t="n">
        <x:v>3499.44</x:v>
      </x:c>
    </x:row>
    <x:row r="1796">
      <x:c r="A1796" s="83" t="n">
        <x:v>1795</x:v>
      </x:c>
      <x:c r="B1796" s="84" t="n">
        <x:v>1386</x:v>
      </x:c>
      <x:c r="C1796" s="84" t="n">
        <x:v>38</x:v>
      </x:c>
      <x:c r="D1796" s="89" t="n">
        <x:v>45282</x:v>
      </x:c>
      <x:c r="E1796" s="84" t="n">
        <x:v>4</x:v>
      </x:c>
      <x:c r="F1796" s="91" t="n">
        <x:v>2905.96</x:v>
      </x:c>
    </x:row>
    <x:row r="1797">
      <x:c r="A1797" s="83" t="n">
        <x:v>1796</x:v>
      </x:c>
      <x:c r="B1797" s="84" t="n">
        <x:v>1387</x:v>
      </x:c>
      <x:c r="C1797" s="84" t="n">
        <x:v>60</x:v>
      </x:c>
      <x:c r="D1797" s="89" t="n">
        <x:v>45895</x:v>
      </x:c>
      <x:c r="E1797" s="84" t="n">
        <x:v>1</x:v>
      </x:c>
      <x:c r="F1797" s="91" t="n">
        <x:v>353.8</x:v>
      </x:c>
    </x:row>
    <x:row r="1798">
      <x:c r="A1798" s="83" t="n">
        <x:v>1797</x:v>
      </x:c>
      <x:c r="B1798" s="84" t="n">
        <x:v>1387</x:v>
      </x:c>
      <x:c r="C1798" s="84" t="n">
        <x:v>42</x:v>
      </x:c>
      <x:c r="D1798" s="89" t="n">
        <x:v>45895</x:v>
      </x:c>
      <x:c r="E1798" s="84" t="n">
        <x:v>4</x:v>
      </x:c>
      <x:c r="F1798" s="91" t="n">
        <x:v>8686.96</x:v>
      </x:c>
    </x:row>
    <x:row r="1799">
      <x:c r="A1799" s="83" t="n">
        <x:v>1798</x:v>
      </x:c>
      <x:c r="B1799" s="84" t="n">
        <x:v>1387</x:v>
      </x:c>
      <x:c r="C1799" s="84" t="n">
        <x:v>8</x:v>
      </x:c>
      <x:c r="D1799" s="89" t="n">
        <x:v>45895</x:v>
      </x:c>
      <x:c r="E1799" s="84" t="n">
        <x:v>1</x:v>
      </x:c>
      <x:c r="F1799" s="91" t="n">
        <x:v>1666.19</x:v>
      </x:c>
    </x:row>
    <x:row r="1800">
      <x:c r="A1800" s="83" t="n">
        <x:v>1799</x:v>
      </x:c>
      <x:c r="B1800" s="84" t="n">
        <x:v>1388</x:v>
      </x:c>
      <x:c r="C1800" s="84" t="n">
        <x:v>32</x:v>
      </x:c>
      <x:c r="D1800" s="89" t="n">
        <x:v>46009</x:v>
      </x:c>
      <x:c r="E1800" s="84" t="n">
        <x:v>3</x:v>
      </x:c>
      <x:c r="F1800" s="91" t="n">
        <x:v>5439.75</x:v>
      </x:c>
    </x:row>
    <x:row r="1801">
      <x:c r="A1801" s="83" t="n">
        <x:v>1800</x:v>
      </x:c>
      <x:c r="B1801" s="84" t="n">
        <x:v>1388</x:v>
      </x:c>
      <x:c r="C1801" s="84" t="n">
        <x:v>29</x:v>
      </x:c>
      <x:c r="D1801" s="89" t="n">
        <x:v>46009</x:v>
      </x:c>
      <x:c r="E1801" s="84" t="n">
        <x:v>2</x:v>
      </x:c>
      <x:c r="F1801" s="91" t="n">
        <x:v>3104.94</x:v>
      </x:c>
    </x:row>
    <x:row r="1802">
      <x:c r="A1802" s="83" t="n">
        <x:v>1801</x:v>
      </x:c>
      <x:c r="B1802" s="84" t="n">
        <x:v>1390</x:v>
      </x:c>
      <x:c r="C1802" s="84" t="n">
        <x:v>5</x:v>
      </x:c>
      <x:c r="D1802" s="89" t="n">
        <x:v>45988</x:v>
      </x:c>
      <x:c r="E1802" s="84" t="n">
        <x:v>2</x:v>
      </x:c>
      <x:c r="F1802" s="91" t="n">
        <x:v>2937</x:v>
      </x:c>
    </x:row>
    <x:row r="1803">
      <x:c r="A1803" s="83" t="n">
        <x:v>1802</x:v>
      </x:c>
      <x:c r="B1803" s="84" t="n">
        <x:v>1392</x:v>
      </x:c>
      <x:c r="C1803" s="84" t="n">
        <x:v>76</x:v>
      </x:c>
      <x:c r="D1803" s="89" t="n">
        <x:v>45548</x:v>
      </x:c>
      <x:c r="E1803" s="84" t="n">
        <x:v>2</x:v>
      </x:c>
      <x:c r="F1803" s="91" t="n">
        <x:v>1439.62</x:v>
      </x:c>
    </x:row>
    <x:row r="1804">
      <x:c r="A1804" s="83" t="n">
        <x:v>1803</x:v>
      </x:c>
      <x:c r="B1804" s="84" t="n">
        <x:v>1392</x:v>
      </x:c>
      <x:c r="C1804" s="84" t="n">
        <x:v>1</x:v>
      </x:c>
      <x:c r="D1804" s="89" t="n">
        <x:v>45548</x:v>
      </x:c>
      <x:c r="E1804" s="84" t="n">
        <x:v>3</x:v>
      </x:c>
      <x:c r="F1804" s="91" t="n">
        <x:v>5218.8</x:v>
      </x:c>
    </x:row>
    <x:row r="1805">
      <x:c r="A1805" s="83" t="n">
        <x:v>1804</x:v>
      </x:c>
      <x:c r="B1805" s="84" t="n">
        <x:v>1394</x:v>
      </x:c>
      <x:c r="C1805" s="84" t="n">
        <x:v>16</x:v>
      </x:c>
      <x:c r="D1805" s="89" t="n">
        <x:v>45017</x:v>
      </x:c>
      <x:c r="E1805" s="84" t="n">
        <x:v>2</x:v>
      </x:c>
      <x:c r="F1805" s="91" t="n">
        <x:v>1211.56</x:v>
      </x:c>
    </x:row>
    <x:row r="1806">
      <x:c r="A1806" s="83" t="n">
        <x:v>1805</x:v>
      </x:c>
      <x:c r="B1806" s="84" t="n">
        <x:v>1394</x:v>
      </x:c>
      <x:c r="C1806" s="84" t="n">
        <x:v>74</x:v>
      </x:c>
      <x:c r="D1806" s="89" t="n">
        <x:v>45017</x:v>
      </x:c>
      <x:c r="E1806" s="84" t="n">
        <x:v>3</x:v>
      </x:c>
      <x:c r="F1806" s="91" t="n">
        <x:v>4969.05</x:v>
      </x:c>
    </x:row>
    <x:row r="1807">
      <x:c r="A1807" s="83" t="n">
        <x:v>1806</x:v>
      </x:c>
      <x:c r="B1807" s="84" t="n">
        <x:v>1394</x:v>
      </x:c>
      <x:c r="C1807" s="84" t="n">
        <x:v>79</x:v>
      </x:c>
      <x:c r="D1807" s="89" t="n">
        <x:v>45017</x:v>
      </x:c>
      <x:c r="E1807" s="84" t="n">
        <x:v>3</x:v>
      </x:c>
      <x:c r="F1807" s="91" t="n">
        <x:v>6200.16</x:v>
      </x:c>
    </x:row>
    <x:row r="1808">
      <x:c r="A1808" s="83" t="n">
        <x:v>1807</x:v>
      </x:c>
      <x:c r="B1808" s="84" t="n">
        <x:v>1395</x:v>
      </x:c>
      <x:c r="C1808" s="84" t="n">
        <x:v>6</x:v>
      </x:c>
      <x:c r="D1808" s="89" t="n">
        <x:v>45314</x:v>
      </x:c>
      <x:c r="E1808" s="84" t="n">
        <x:v>2</x:v>
      </x:c>
      <x:c r="F1808" s="91" t="n">
        <x:v>1394.74</x:v>
      </x:c>
    </x:row>
    <x:row r="1809">
      <x:c r="A1809" s="83" t="n">
        <x:v>1808</x:v>
      </x:c>
      <x:c r="B1809" s="84" t="n">
        <x:v>1395</x:v>
      </x:c>
      <x:c r="C1809" s="84" t="n">
        <x:v>48</x:v>
      </x:c>
      <x:c r="D1809" s="89" t="n">
        <x:v>45314</x:v>
      </x:c>
      <x:c r="E1809" s="84" t="n">
        <x:v>4</x:v>
      </x:c>
      <x:c r="F1809" s="91" t="n">
        <x:v>4645.8</x:v>
      </x:c>
    </x:row>
    <x:row r="1810">
      <x:c r="A1810" s="83" t="n">
        <x:v>1809</x:v>
      </x:c>
      <x:c r="B1810" s="84" t="n">
        <x:v>1396</x:v>
      </x:c>
      <x:c r="C1810" s="84" t="n">
        <x:v>34</x:v>
      </x:c>
      <x:c r="D1810" s="89" t="n">
        <x:v>45068</x:v>
      </x:c>
      <x:c r="E1810" s="84" t="n">
        <x:v>2</x:v>
      </x:c>
      <x:c r="F1810" s="91" t="n">
        <x:v>3954.18</x:v>
      </x:c>
    </x:row>
    <x:row r="1811">
      <x:c r="A1811" s="83" t="n">
        <x:v>1810</x:v>
      </x:c>
      <x:c r="B1811" s="84" t="n">
        <x:v>1396</x:v>
      </x:c>
      <x:c r="C1811" s="84" t="n">
        <x:v>76</x:v>
      </x:c>
      <x:c r="D1811" s="89" t="n">
        <x:v>45068</x:v>
      </x:c>
      <x:c r="E1811" s="84" t="n">
        <x:v>1</x:v>
      </x:c>
      <x:c r="F1811" s="91" t="n">
        <x:v>719.81</x:v>
      </x:c>
    </x:row>
    <x:row r="1812">
      <x:c r="A1812" s="83" t="n">
        <x:v>1811</x:v>
      </x:c>
      <x:c r="B1812" s="84" t="n">
        <x:v>1396</x:v>
      </x:c>
      <x:c r="C1812" s="84" t="n">
        <x:v>38</x:v>
      </x:c>
      <x:c r="D1812" s="89" t="n">
        <x:v>45068</x:v>
      </x:c>
      <x:c r="E1812" s="84" t="n">
        <x:v>3</x:v>
      </x:c>
      <x:c r="F1812" s="91" t="n">
        <x:v>2179.47</x:v>
      </x:c>
    </x:row>
    <x:row r="1813">
      <x:c r="A1813" s="83" t="n">
        <x:v>1812</x:v>
      </x:c>
      <x:c r="B1813" s="84" t="n">
        <x:v>1398</x:v>
      </x:c>
      <x:c r="C1813" s="84" t="n">
        <x:v>50</x:v>
      </x:c>
      <x:c r="D1813" s="89" t="n">
        <x:v>44939</x:v>
      </x:c>
      <x:c r="E1813" s="84" t="n">
        <x:v>3</x:v>
      </x:c>
      <x:c r="F1813" s="91" t="n">
        <x:v>6707.85</x:v>
      </x:c>
    </x:row>
    <x:row r="1814">
      <x:c r="A1814" s="83" t="n">
        <x:v>1813</x:v>
      </x:c>
      <x:c r="B1814" s="84" t="n">
        <x:v>1398</x:v>
      </x:c>
      <x:c r="C1814" s="84" t="n">
        <x:v>29</x:v>
      </x:c>
      <x:c r="D1814" s="89" t="n">
        <x:v>44939</x:v>
      </x:c>
      <x:c r="E1814" s="84" t="n">
        <x:v>1</x:v>
      </x:c>
      <x:c r="F1814" s="91" t="n">
        <x:v>1552.47</x:v>
      </x:c>
    </x:row>
    <x:row r="1815">
      <x:c r="A1815" s="83" t="n">
        <x:v>1814</x:v>
      </x:c>
      <x:c r="B1815" s="84" t="n">
        <x:v>1398</x:v>
      </x:c>
      <x:c r="C1815" s="84" t="n">
        <x:v>39</x:v>
      </x:c>
      <x:c r="D1815" s="89" t="n">
        <x:v>44939</x:v>
      </x:c>
      <x:c r="E1815" s="84" t="n">
        <x:v>4</x:v>
      </x:c>
      <x:c r="F1815" s="91" t="n">
        <x:v>2710.4</x:v>
      </x:c>
    </x:row>
    <x:row r="1816">
      <x:c r="A1816" s="83" t="n">
        <x:v>1815</x:v>
      </x:c>
      <x:c r="B1816" s="84" t="n">
        <x:v>1399</x:v>
      </x:c>
      <x:c r="C1816" s="84" t="n">
        <x:v>7</x:v>
      </x:c>
      <x:c r="D1816" s="89" t="n">
        <x:v>45915</x:v>
      </x:c>
      <x:c r="E1816" s="84" t="n">
        <x:v>1</x:v>
      </x:c>
      <x:c r="F1816" s="91" t="n">
        <x:v>366.8</x:v>
      </x:c>
    </x:row>
    <x:row r="1817">
      <x:c r="A1817" s="83" t="n">
        <x:v>1816</x:v>
      </x:c>
      <x:c r="B1817" s="84" t="n">
        <x:v>1399</x:v>
      </x:c>
      <x:c r="C1817" s="84" t="n">
        <x:v>51</x:v>
      </x:c>
      <x:c r="D1817" s="89" t="n">
        <x:v>45915</x:v>
      </x:c>
      <x:c r="E1817" s="84" t="n">
        <x:v>3</x:v>
      </x:c>
      <x:c r="F1817" s="91" t="n">
        <x:v>2676.48</x:v>
      </x:c>
    </x:row>
    <x:row r="1818">
      <x:c r="A1818" s="83" t="n">
        <x:v>1817</x:v>
      </x:c>
      <x:c r="B1818" s="84" t="n">
        <x:v>1400</x:v>
      </x:c>
      <x:c r="C1818" s="84" t="n">
        <x:v>63</x:v>
      </x:c>
      <x:c r="D1818" s="89" t="n">
        <x:v>45100</x:v>
      </x:c>
      <x:c r="E1818" s="84" t="n">
        <x:v>2</x:v>
      </x:c>
      <x:c r="F1818" s="91" t="n">
        <x:v>3868.38</x:v>
      </x:c>
    </x:row>
    <x:row r="1819">
      <x:c r="A1819" s="83" t="n">
        <x:v>1818</x:v>
      </x:c>
      <x:c r="B1819" s="84" t="n">
        <x:v>1404</x:v>
      </x:c>
      <x:c r="C1819" s="84" t="n">
        <x:v>54</x:v>
      </x:c>
      <x:c r="D1819" s="89" t="n">
        <x:v>45581</x:v>
      </x:c>
      <x:c r="E1819" s="84" t="n">
        <x:v>3</x:v>
      </x:c>
      <x:c r="F1819" s="91" t="n">
        <x:v>2059.2</x:v>
      </x:c>
    </x:row>
    <x:row r="1820">
      <x:c r="A1820" s="83" t="n">
        <x:v>1819</x:v>
      </x:c>
      <x:c r="B1820" s="84" t="n">
        <x:v>1405</x:v>
      </x:c>
      <x:c r="C1820" s="84" t="n">
        <x:v>40</x:v>
      </x:c>
      <x:c r="D1820" s="89" t="n">
        <x:v>44945</x:v>
      </x:c>
      <x:c r="E1820" s="84" t="n">
        <x:v>4</x:v>
      </x:c>
      <x:c r="F1820" s="91" t="n">
        <x:v>8140.16</x:v>
      </x:c>
    </x:row>
    <x:row r="1821">
      <x:c r="A1821" s="83" t="n">
        <x:v>1820</x:v>
      </x:c>
      <x:c r="B1821" s="84" t="n">
        <x:v>1407</x:v>
      </x:c>
      <x:c r="C1821" s="84" t="n">
        <x:v>18</x:v>
      </x:c>
      <x:c r="D1821" s="89" t="n">
        <x:v>45384</x:v>
      </x:c>
      <x:c r="E1821" s="84" t="n">
        <x:v>4</x:v>
      </x:c>
      <x:c r="F1821" s="91" t="n">
        <x:v>2664.64</x:v>
      </x:c>
    </x:row>
    <x:row r="1822">
      <x:c r="A1822" s="83" t="n">
        <x:v>1821</x:v>
      </x:c>
      <x:c r="B1822" s="84" t="n">
        <x:v>1407</x:v>
      </x:c>
      <x:c r="C1822" s="84" t="n">
        <x:v>40</x:v>
      </x:c>
      <x:c r="D1822" s="89" t="n">
        <x:v>45384</x:v>
      </x:c>
      <x:c r="E1822" s="84" t="n">
        <x:v>4</x:v>
      </x:c>
      <x:c r="F1822" s="91" t="n">
        <x:v>8140.16</x:v>
      </x:c>
    </x:row>
    <x:row r="1823">
      <x:c r="A1823" s="83" t="n">
        <x:v>1822</x:v>
      </x:c>
      <x:c r="B1823" s="84" t="n">
        <x:v>1410</x:v>
      </x:c>
      <x:c r="C1823" s="84" t="n">
        <x:v>68</x:v>
      </x:c>
      <x:c r="D1823" s="89" t="n">
        <x:v>45494</x:v>
      </x:c>
      <x:c r="E1823" s="84" t="n">
        <x:v>2</x:v>
      </x:c>
      <x:c r="F1823" s="91" t="n">
        <x:v>3055.22</x:v>
      </x:c>
    </x:row>
    <x:row r="1824">
      <x:c r="A1824" s="83" t="n">
        <x:v>1823</x:v>
      </x:c>
      <x:c r="B1824" s="84" t="n">
        <x:v>1412</x:v>
      </x:c>
      <x:c r="C1824" s="84" t="n">
        <x:v>30</x:v>
      </x:c>
      <x:c r="D1824" s="89" t="n">
        <x:v>45217</x:v>
      </x:c>
      <x:c r="E1824" s="84" t="n">
        <x:v>4</x:v>
      </x:c>
      <x:c r="F1824" s="91" t="n">
        <x:v>5115.04</x:v>
      </x:c>
    </x:row>
    <x:row r="1825">
      <x:c r="A1825" s="83" t="n">
        <x:v>1824</x:v>
      </x:c>
      <x:c r="B1825" s="84" t="n">
        <x:v>1412</x:v>
      </x:c>
      <x:c r="C1825" s="84" t="n">
        <x:v>14</x:v>
      </x:c>
      <x:c r="D1825" s="89" t="n">
        <x:v>45217</x:v>
      </x:c>
      <x:c r="E1825" s="84" t="n">
        <x:v>1</x:v>
      </x:c>
      <x:c r="F1825" s="91" t="n">
        <x:v>175.72</x:v>
      </x:c>
    </x:row>
    <x:row r="1826">
      <x:c r="A1826" s="83" t="n">
        <x:v>1825</x:v>
      </x:c>
      <x:c r="B1826" s="84" t="n">
        <x:v>1412</x:v>
      </x:c>
      <x:c r="C1826" s="84" t="n">
        <x:v>51</x:v>
      </x:c>
      <x:c r="D1826" s="89" t="n">
        <x:v>45217</x:v>
      </x:c>
      <x:c r="E1826" s="84" t="n">
        <x:v>3</x:v>
      </x:c>
      <x:c r="F1826" s="91" t="n">
        <x:v>2676.48</x:v>
      </x:c>
    </x:row>
    <x:row r="1827">
      <x:c r="A1827" s="83" t="n">
        <x:v>1826</x:v>
      </x:c>
      <x:c r="B1827" s="84" t="n">
        <x:v>1415</x:v>
      </x:c>
      <x:c r="C1827" s="84" t="n">
        <x:v>20</x:v>
      </x:c>
      <x:c r="D1827" s="89" t="n">
        <x:v>45374</x:v>
      </x:c>
      <x:c r="E1827" s="84" t="n">
        <x:v>3</x:v>
      </x:c>
      <x:c r="F1827" s="91" t="n">
        <x:v>1623.6</x:v>
      </x:c>
    </x:row>
    <x:row r="1828">
      <x:c r="A1828" s="83" t="n">
        <x:v>1827</x:v>
      </x:c>
      <x:c r="B1828" s="84" t="n">
        <x:v>1415</x:v>
      </x:c>
      <x:c r="C1828" s="84" t="n">
        <x:v>70</x:v>
      </x:c>
      <x:c r="D1828" s="89" t="n">
        <x:v>45374</x:v>
      </x:c>
      <x:c r="E1828" s="84" t="n">
        <x:v>2</x:v>
      </x:c>
      <x:c r="F1828" s="91" t="n">
        <x:v>1539.08</x:v>
      </x:c>
    </x:row>
    <x:row r="1829">
      <x:c r="A1829" s="83" t="n">
        <x:v>1828</x:v>
      </x:c>
      <x:c r="B1829" s="84" t="n">
        <x:v>1415</x:v>
      </x:c>
      <x:c r="C1829" s="84" t="n">
        <x:v>1</x:v>
      </x:c>
      <x:c r="D1829" s="89" t="n">
        <x:v>45374</x:v>
      </x:c>
      <x:c r="E1829" s="84" t="n">
        <x:v>4</x:v>
      </x:c>
      <x:c r="F1829" s="91" t="n">
        <x:v>6958.4</x:v>
      </x:c>
    </x:row>
    <x:row r="1830">
      <x:c r="A1830" s="83" t="n">
        <x:v>1829</x:v>
      </x:c>
      <x:c r="B1830" s="84" t="n">
        <x:v>1416</x:v>
      </x:c>
      <x:c r="C1830" s="84" t="n">
        <x:v>73</x:v>
      </x:c>
      <x:c r="D1830" s="89" t="n">
        <x:v>45075</x:v>
      </x:c>
      <x:c r="E1830" s="84" t="n">
        <x:v>4</x:v>
      </x:c>
      <x:c r="F1830" s="91" t="n">
        <x:v>4509.24</x:v>
      </x:c>
    </x:row>
    <x:row r="1831">
      <x:c r="A1831" s="83" t="n">
        <x:v>1830</x:v>
      </x:c>
      <x:c r="B1831" s="84" t="n">
        <x:v>1416</x:v>
      </x:c>
      <x:c r="C1831" s="84" t="n">
        <x:v>55</x:v>
      </x:c>
      <x:c r="D1831" s="89" t="n">
        <x:v>45075</x:v>
      </x:c>
      <x:c r="E1831" s="84" t="n">
        <x:v>1</x:v>
      </x:c>
      <x:c r="F1831" s="91" t="n">
        <x:v>1499.85</x:v>
      </x:c>
    </x:row>
    <x:row r="1832">
      <x:c r="A1832" s="83" t="n">
        <x:v>1831</x:v>
      </x:c>
      <x:c r="B1832" s="84" t="n">
        <x:v>1416</x:v>
      </x:c>
      <x:c r="C1832" s="84" t="n">
        <x:v>23</x:v>
      </x:c>
      <x:c r="D1832" s="89" t="n">
        <x:v>45075</x:v>
      </x:c>
      <x:c r="E1832" s="84" t="n">
        <x:v>1</x:v>
      </x:c>
      <x:c r="F1832" s="91" t="n">
        <x:v>1752.85</x:v>
      </x:c>
    </x:row>
    <x:row r="1833">
      <x:c r="A1833" s="83" t="n">
        <x:v>1832</x:v>
      </x:c>
      <x:c r="B1833" s="84" t="n">
        <x:v>1417</x:v>
      </x:c>
      <x:c r="C1833" s="84" t="n">
        <x:v>35</x:v>
      </x:c>
      <x:c r="D1833" s="89" t="n">
        <x:v>45979</x:v>
      </x:c>
      <x:c r="E1833" s="84" t="n">
        <x:v>3</x:v>
      </x:c>
      <x:c r="F1833" s="91" t="n">
        <x:v>4412.34</x:v>
      </x:c>
    </x:row>
    <x:row r="1834">
      <x:c r="A1834" s="83" t="n">
        <x:v>1833</x:v>
      </x:c>
      <x:c r="B1834" s="84" t="n">
        <x:v>1419</x:v>
      </x:c>
      <x:c r="C1834" s="84" t="n">
        <x:v>71</x:v>
      </x:c>
      <x:c r="D1834" s="89" t="n">
        <x:v>45529</x:v>
      </x:c>
      <x:c r="E1834" s="84" t="n">
        <x:v>3</x:v>
      </x:c>
      <x:c r="F1834" s="91" t="n">
        <x:v>5950.56</x:v>
      </x:c>
    </x:row>
    <x:row r="1835">
      <x:c r="A1835" s="83" t="n">
        <x:v>1834</x:v>
      </x:c>
      <x:c r="B1835" s="84" t="n">
        <x:v>1420</x:v>
      </x:c>
      <x:c r="C1835" s="84" t="n">
        <x:v>57</x:v>
      </x:c>
      <x:c r="D1835" s="89" t="n">
        <x:v>45883</x:v>
      </x:c>
      <x:c r="E1835" s="84" t="n">
        <x:v>2</x:v>
      </x:c>
      <x:c r="F1835" s="91" t="n">
        <x:v>2358.12</x:v>
      </x:c>
    </x:row>
    <x:row r="1836">
      <x:c r="A1836" s="83" t="n">
        <x:v>1835</x:v>
      </x:c>
      <x:c r="B1836" s="84" t="n">
        <x:v>1421</x:v>
      </x:c>
      <x:c r="C1836" s="84" t="n">
        <x:v>16</x:v>
      </x:c>
      <x:c r="D1836" s="89" t="n">
        <x:v>45521</x:v>
      </x:c>
      <x:c r="E1836" s="84" t="n">
        <x:v>1</x:v>
      </x:c>
      <x:c r="F1836" s="91" t="n">
        <x:v>605.78</x:v>
      </x:c>
    </x:row>
    <x:row r="1837">
      <x:c r="A1837" s="83" t="n">
        <x:v>1836</x:v>
      </x:c>
      <x:c r="B1837" s="84" t="n">
        <x:v>1421</x:v>
      </x:c>
      <x:c r="C1837" s="84" t="n">
        <x:v>75</x:v>
      </x:c>
      <x:c r="D1837" s="89" t="n">
        <x:v>45521</x:v>
      </x:c>
      <x:c r="E1837" s="84" t="n">
        <x:v>4</x:v>
      </x:c>
      <x:c r="F1837" s="91" t="n">
        <x:v>1824.68</x:v>
      </x:c>
    </x:row>
    <x:row r="1838">
      <x:c r="A1838" s="83" t="n">
        <x:v>1837</x:v>
      </x:c>
      <x:c r="B1838" s="84" t="n">
        <x:v>1422</x:v>
      </x:c>
      <x:c r="C1838" s="84" t="n">
        <x:v>19</x:v>
      </x:c>
      <x:c r="D1838" s="89" t="n">
        <x:v>45707</x:v>
      </x:c>
      <x:c r="E1838" s="84" t="n">
        <x:v>1</x:v>
      </x:c>
      <x:c r="F1838" s="91" t="n">
        <x:v>1087.71</x:v>
      </x:c>
    </x:row>
    <x:row r="1839">
      <x:c r="A1839" s="83" t="n">
        <x:v>1838</x:v>
      </x:c>
      <x:c r="B1839" s="84" t="n">
        <x:v>1422</x:v>
      </x:c>
      <x:c r="C1839" s="84" t="n">
        <x:v>26</x:v>
      </x:c>
      <x:c r="D1839" s="89" t="n">
        <x:v>45707</x:v>
      </x:c>
      <x:c r="E1839" s="84" t="n">
        <x:v>3</x:v>
      </x:c>
      <x:c r="F1839" s="91" t="n">
        <x:v>6453</x:v>
      </x:c>
    </x:row>
    <x:row r="1840">
      <x:c r="A1840" s="83" t="n">
        <x:v>1839</x:v>
      </x:c>
      <x:c r="B1840" s="84" t="n">
        <x:v>1424</x:v>
      </x:c>
      <x:c r="C1840" s="84" t="n">
        <x:v>64</x:v>
      </x:c>
      <x:c r="D1840" s="89" t="n">
        <x:v>45747</x:v>
      </x:c>
      <x:c r="E1840" s="84" t="n">
        <x:v>2</x:v>
      </x:c>
      <x:c r="F1840" s="91" t="n">
        <x:v>2930.84</x:v>
      </x:c>
    </x:row>
    <x:row r="1841">
      <x:c r="A1841" s="83" t="n">
        <x:v>1840</x:v>
      </x:c>
      <x:c r="B1841" s="84" t="n">
        <x:v>1425</x:v>
      </x:c>
      <x:c r="C1841" s="84" t="n">
        <x:v>10</x:v>
      </x:c>
      <x:c r="D1841" s="89" t="n">
        <x:v>45810</x:v>
      </x:c>
      <x:c r="E1841" s="84" t="n">
        <x:v>3</x:v>
      </x:c>
      <x:c r="F1841" s="91" t="n">
        <x:v>2624.58</x:v>
      </x:c>
    </x:row>
    <x:row r="1842">
      <x:c r="A1842" s="83" t="n">
        <x:v>1841</x:v>
      </x:c>
      <x:c r="B1842" s="84" t="n">
        <x:v>1425</x:v>
      </x:c>
      <x:c r="C1842" s="84" t="n">
        <x:v>13</x:v>
      </x:c>
      <x:c r="D1842" s="89" t="n">
        <x:v>45810</x:v>
      </x:c>
      <x:c r="E1842" s="84" t="n">
        <x:v>1</x:v>
      </x:c>
      <x:c r="F1842" s="91" t="n">
        <x:v>802.05</x:v>
      </x:c>
    </x:row>
    <x:row r="1843">
      <x:c r="A1843" s="83" t="n">
        <x:v>1842</x:v>
      </x:c>
      <x:c r="B1843" s="84" t="n">
        <x:v>1425</x:v>
      </x:c>
      <x:c r="C1843" s="84" t="n">
        <x:v>46</x:v>
      </x:c>
      <x:c r="D1843" s="89" t="n">
        <x:v>45810</x:v>
      </x:c>
      <x:c r="E1843" s="84" t="n">
        <x:v>1</x:v>
      </x:c>
      <x:c r="F1843" s="91" t="n">
        <x:v>1334.95</x:v>
      </x:c>
    </x:row>
    <x:row r="1844">
      <x:c r="A1844" s="83" t="n">
        <x:v>1843</x:v>
      </x:c>
      <x:c r="B1844" s="84" t="n">
        <x:v>1426</x:v>
      </x:c>
      <x:c r="C1844" s="84" t="n">
        <x:v>63</x:v>
      </x:c>
      <x:c r="D1844" s="89" t="n">
        <x:v>44980</x:v>
      </x:c>
      <x:c r="E1844" s="84" t="n">
        <x:v>3</x:v>
      </x:c>
      <x:c r="F1844" s="91" t="n">
        <x:v>5802.57</x:v>
      </x:c>
    </x:row>
    <x:row r="1845">
      <x:c r="A1845" s="83" t="n">
        <x:v>1844</x:v>
      </x:c>
      <x:c r="B1845" s="84" t="n">
        <x:v>1427</x:v>
      </x:c>
      <x:c r="C1845" s="84" t="n">
        <x:v>10</x:v>
      </x:c>
      <x:c r="D1845" s="89" t="n">
        <x:v>46021</x:v>
      </x:c>
      <x:c r="E1845" s="84" t="n">
        <x:v>4</x:v>
      </x:c>
      <x:c r="F1845" s="91" t="n">
        <x:v>3499.44</x:v>
      </x:c>
    </x:row>
    <x:row r="1846">
      <x:c r="A1846" s="83" t="n">
        <x:v>1845</x:v>
      </x:c>
      <x:c r="B1846" s="84" t="n">
        <x:v>1427</x:v>
      </x:c>
      <x:c r="C1846" s="84" t="n">
        <x:v>7</x:v>
      </x:c>
      <x:c r="D1846" s="89" t="n">
        <x:v>46021</x:v>
      </x:c>
      <x:c r="E1846" s="84" t="n">
        <x:v>1</x:v>
      </x:c>
      <x:c r="F1846" s="91" t="n">
        <x:v>366.8</x:v>
      </x:c>
    </x:row>
    <x:row r="1847">
      <x:c r="A1847" s="83" t="n">
        <x:v>1846</x:v>
      </x:c>
      <x:c r="B1847" s="84" t="n">
        <x:v>1427</x:v>
      </x:c>
      <x:c r="C1847" s="84" t="n">
        <x:v>24</x:v>
      </x:c>
      <x:c r="D1847" s="89" t="n">
        <x:v>46021</x:v>
      </x:c>
      <x:c r="E1847" s="84" t="n">
        <x:v>2</x:v>
      </x:c>
      <x:c r="F1847" s="91" t="n">
        <x:v>1481.82</x:v>
      </x:c>
    </x:row>
    <x:row r="1848">
      <x:c r="A1848" s="83" t="n">
        <x:v>1847</x:v>
      </x:c>
      <x:c r="B1848" s="84" t="n">
        <x:v>1428</x:v>
      </x:c>
      <x:c r="C1848" s="84" t="n">
        <x:v>24</x:v>
      </x:c>
      <x:c r="D1848" s="89" t="n">
        <x:v>45195</x:v>
      </x:c>
      <x:c r="E1848" s="84" t="n">
        <x:v>2</x:v>
      </x:c>
      <x:c r="F1848" s="91" t="n">
        <x:v>1481.82</x:v>
      </x:c>
    </x:row>
    <x:row r="1849">
      <x:c r="A1849" s="83" t="n">
        <x:v>1848</x:v>
      </x:c>
      <x:c r="B1849" s="84" t="n">
        <x:v>1429</x:v>
      </x:c>
      <x:c r="C1849" s="84" t="n">
        <x:v>5</x:v>
      </x:c>
      <x:c r="D1849" s="89" t="n">
        <x:v>45585</x:v>
      </x:c>
      <x:c r="E1849" s="84" t="n">
        <x:v>4</x:v>
      </x:c>
      <x:c r="F1849" s="91" t="n">
        <x:v>5874</x:v>
      </x:c>
    </x:row>
    <x:row r="1850">
      <x:c r="A1850" s="83" t="n">
        <x:v>1849</x:v>
      </x:c>
      <x:c r="B1850" s="84" t="n">
        <x:v>1429</x:v>
      </x:c>
      <x:c r="C1850" s="84" t="n">
        <x:v>9</x:v>
      </x:c>
      <x:c r="D1850" s="89" t="n">
        <x:v>45585</x:v>
      </x:c>
      <x:c r="E1850" s="84" t="n">
        <x:v>3</x:v>
      </x:c>
      <x:c r="F1850" s="91" t="n">
        <x:v>4725.18</x:v>
      </x:c>
    </x:row>
    <x:row r="1851">
      <x:c r="A1851" s="83" t="n">
        <x:v>1850</x:v>
      </x:c>
      <x:c r="B1851" s="84" t="n">
        <x:v>1430</x:v>
      </x:c>
      <x:c r="C1851" s="84" t="n">
        <x:v>70</x:v>
      </x:c>
      <x:c r="D1851" s="89" t="n">
        <x:v>45900</x:v>
      </x:c>
      <x:c r="E1851" s="84" t="n">
        <x:v>1</x:v>
      </x:c>
      <x:c r="F1851" s="91" t="n">
        <x:v>769.54</x:v>
      </x:c>
    </x:row>
    <x:row r="1852">
      <x:c r="A1852" s="83" t="n">
        <x:v>1851</x:v>
      </x:c>
      <x:c r="B1852" s="84" t="n">
        <x:v>1431</x:v>
      </x:c>
      <x:c r="C1852" s="84" t="n">
        <x:v>22</x:v>
      </x:c>
      <x:c r="D1852" s="89" t="n">
        <x:v>45769</x:v>
      </x:c>
      <x:c r="E1852" s="84" t="n">
        <x:v>1</x:v>
      </x:c>
      <x:c r="F1852" s="91" t="n">
        <x:v>521.89</x:v>
      </x:c>
    </x:row>
    <x:row r="1853">
      <x:c r="A1853" s="83" t="n">
        <x:v>1852</x:v>
      </x:c>
      <x:c r="B1853" s="84" t="n">
        <x:v>1431</x:v>
      </x:c>
      <x:c r="C1853" s="84" t="n">
        <x:v>13</x:v>
      </x:c>
      <x:c r="D1853" s="89" t="n">
        <x:v>45769</x:v>
      </x:c>
      <x:c r="E1853" s="84" t="n">
        <x:v>3</x:v>
      </x:c>
      <x:c r="F1853" s="91" t="n">
        <x:v>2406.15</x:v>
      </x:c>
    </x:row>
    <x:row r="1854">
      <x:c r="A1854" s="83" t="n">
        <x:v>1853</x:v>
      </x:c>
      <x:c r="B1854" s="84" t="n">
        <x:v>1431</x:v>
      </x:c>
      <x:c r="C1854" s="84" t="n">
        <x:v>43</x:v>
      </x:c>
      <x:c r="D1854" s="89" t="n">
        <x:v>45769</x:v>
      </x:c>
      <x:c r="E1854" s="84" t="n">
        <x:v>1</x:v>
      </x:c>
      <x:c r="F1854" s="91" t="n">
        <x:v>1465.42</x:v>
      </x:c>
    </x:row>
    <x:row r="1855">
      <x:c r="A1855" s="83" t="n">
        <x:v>1854</x:v>
      </x:c>
      <x:c r="B1855" s="84" t="n">
        <x:v>1432</x:v>
      </x:c>
      <x:c r="C1855" s="84" t="n">
        <x:v>25</x:v>
      </x:c>
      <x:c r="D1855" s="89" t="n">
        <x:v>45400</x:v>
      </x:c>
      <x:c r="E1855" s="84" t="n">
        <x:v>1</x:v>
      </x:c>
      <x:c r="F1855" s="91" t="n">
        <x:v>1079.45</x:v>
      </x:c>
    </x:row>
    <x:row r="1856">
      <x:c r="A1856" s="83" t="n">
        <x:v>1855</x:v>
      </x:c>
      <x:c r="B1856" s="84" t="n">
        <x:v>1432</x:v>
      </x:c>
      <x:c r="C1856" s="84" t="n">
        <x:v>56</x:v>
      </x:c>
      <x:c r="D1856" s="89" t="n">
        <x:v>45400</x:v>
      </x:c>
      <x:c r="E1856" s="84" t="n">
        <x:v>3</x:v>
      </x:c>
      <x:c r="F1856" s="91" t="n">
        <x:v>4405.38</x:v>
      </x:c>
    </x:row>
    <x:row r="1857">
      <x:c r="A1857" s="83" t="n">
        <x:v>1856</x:v>
      </x:c>
      <x:c r="B1857" s="84" t="n">
        <x:v>1432</x:v>
      </x:c>
      <x:c r="C1857" s="84" t="n">
        <x:v>69</x:v>
      </x:c>
      <x:c r="D1857" s="89" t="n">
        <x:v>45400</x:v>
      </x:c>
      <x:c r="E1857" s="84" t="n">
        <x:v>1</x:v>
      </x:c>
      <x:c r="F1857" s="91" t="n">
        <x:v>1770.33</x:v>
      </x:c>
    </x:row>
    <x:row r="1858">
      <x:c r="A1858" s="83" t="n">
        <x:v>1857</x:v>
      </x:c>
      <x:c r="B1858" s="84" t="n">
        <x:v>1433</x:v>
      </x:c>
      <x:c r="C1858" s="84" t="n">
        <x:v>8</x:v>
      </x:c>
      <x:c r="D1858" s="89" t="n">
        <x:v>45216</x:v>
      </x:c>
      <x:c r="E1858" s="84" t="n">
        <x:v>3</x:v>
      </x:c>
      <x:c r="F1858" s="91" t="n">
        <x:v>4998.57</x:v>
      </x:c>
    </x:row>
    <x:row r="1859">
      <x:c r="A1859" s="83" t="n">
        <x:v>1858</x:v>
      </x:c>
      <x:c r="B1859" s="84" t="n">
        <x:v>1433</x:v>
      </x:c>
      <x:c r="C1859" s="84" t="n">
        <x:v>19</x:v>
      </x:c>
      <x:c r="D1859" s="89" t="n">
        <x:v>45216</x:v>
      </x:c>
      <x:c r="E1859" s="84" t="n">
        <x:v>3</x:v>
      </x:c>
      <x:c r="F1859" s="91" t="n">
        <x:v>3263.13</x:v>
      </x:c>
    </x:row>
    <x:row r="1860">
      <x:c r="A1860" s="83" t="n">
        <x:v>1859</x:v>
      </x:c>
      <x:c r="B1860" s="84" t="n">
        <x:v>1433</x:v>
      </x:c>
      <x:c r="C1860" s="84" t="n">
        <x:v>14</x:v>
      </x:c>
      <x:c r="D1860" s="89" t="n">
        <x:v>45216</x:v>
      </x:c>
      <x:c r="E1860" s="84" t="n">
        <x:v>3</x:v>
      </x:c>
      <x:c r="F1860" s="91" t="n">
        <x:v>527.16</x:v>
      </x:c>
    </x:row>
    <x:row r="1861">
      <x:c r="A1861" s="83" t="n">
        <x:v>1860</x:v>
      </x:c>
      <x:c r="B1861" s="84" t="n">
        <x:v>1434</x:v>
      </x:c>
      <x:c r="C1861" s="84" t="n">
        <x:v>60</x:v>
      </x:c>
      <x:c r="D1861" s="89" t="n">
        <x:v>45061</x:v>
      </x:c>
      <x:c r="E1861" s="84" t="n">
        <x:v>3</x:v>
      </x:c>
      <x:c r="F1861" s="91" t="n">
        <x:v>1061.4</x:v>
      </x:c>
    </x:row>
    <x:row r="1862">
      <x:c r="A1862" s="83" t="n">
        <x:v>1861</x:v>
      </x:c>
      <x:c r="B1862" s="84" t="n">
        <x:v>1434</x:v>
      </x:c>
      <x:c r="C1862" s="84" t="n">
        <x:v>63</x:v>
      </x:c>
      <x:c r="D1862" s="89" t="n">
        <x:v>45061</x:v>
      </x:c>
      <x:c r="E1862" s="84" t="n">
        <x:v>3</x:v>
      </x:c>
      <x:c r="F1862" s="91" t="n">
        <x:v>5802.57</x:v>
      </x:c>
    </x:row>
    <x:row r="1863">
      <x:c r="A1863" s="83" t="n">
        <x:v>1862</x:v>
      </x:c>
      <x:c r="B1863" s="84" t="n">
        <x:v>1435</x:v>
      </x:c>
      <x:c r="C1863" s="84" t="n">
        <x:v>29</x:v>
      </x:c>
      <x:c r="D1863" s="89" t="n">
        <x:v>45046</x:v>
      </x:c>
      <x:c r="E1863" s="84" t="n">
        <x:v>2</x:v>
      </x:c>
      <x:c r="F1863" s="91" t="n">
        <x:v>3104.94</x:v>
      </x:c>
    </x:row>
    <x:row r="1864">
      <x:c r="A1864" s="83" t="n">
        <x:v>1863</x:v>
      </x:c>
      <x:c r="B1864" s="84" t="n">
        <x:v>1435</x:v>
      </x:c>
      <x:c r="C1864" s="84" t="n">
        <x:v>7</x:v>
      </x:c>
      <x:c r="D1864" s="89" t="n">
        <x:v>45046</x:v>
      </x:c>
      <x:c r="E1864" s="84" t="n">
        <x:v>1</x:v>
      </x:c>
      <x:c r="F1864" s="91" t="n">
        <x:v>366.8</x:v>
      </x:c>
    </x:row>
    <x:row r="1865">
      <x:c r="A1865" s="83" t="n">
        <x:v>1864</x:v>
      </x:c>
      <x:c r="B1865" s="84" t="n">
        <x:v>1435</x:v>
      </x:c>
      <x:c r="C1865" s="84" t="n">
        <x:v>5</x:v>
      </x:c>
      <x:c r="D1865" s="89" t="n">
        <x:v>45046</x:v>
      </x:c>
      <x:c r="E1865" s="84" t="n">
        <x:v>2</x:v>
      </x:c>
      <x:c r="F1865" s="91" t="n">
        <x:v>2937</x:v>
      </x:c>
    </x:row>
    <x:row r="1866">
      <x:c r="A1866" s="83" t="n">
        <x:v>1865</x:v>
      </x:c>
      <x:c r="B1866" s="84" t="n">
        <x:v>1439</x:v>
      </x:c>
      <x:c r="C1866" s="84" t="n">
        <x:v>1</x:v>
      </x:c>
      <x:c r="D1866" s="89" t="n">
        <x:v>45962</x:v>
      </x:c>
      <x:c r="E1866" s="84" t="n">
        <x:v>4</x:v>
      </x:c>
      <x:c r="F1866" s="91" t="n">
        <x:v>6958.4</x:v>
      </x:c>
    </x:row>
    <x:row r="1867">
      <x:c r="A1867" s="83" t="n">
        <x:v>1866</x:v>
      </x:c>
      <x:c r="B1867" s="84" t="n">
        <x:v>1439</x:v>
      </x:c>
      <x:c r="C1867" s="84" t="n">
        <x:v>32</x:v>
      </x:c>
      <x:c r="D1867" s="89" t="n">
        <x:v>45962</x:v>
      </x:c>
      <x:c r="E1867" s="84" t="n">
        <x:v>1</x:v>
      </x:c>
      <x:c r="F1867" s="91" t="n">
        <x:v>1813.25</x:v>
      </x:c>
    </x:row>
    <x:row r="1868">
      <x:c r="A1868" s="83" t="n">
        <x:v>1867</x:v>
      </x:c>
      <x:c r="B1868" s="84" t="n">
        <x:v>1441</x:v>
      </x:c>
      <x:c r="C1868" s="84" t="n">
        <x:v>54</x:v>
      </x:c>
      <x:c r="D1868" s="89" t="n">
        <x:v>45071</x:v>
      </x:c>
      <x:c r="E1868" s="84" t="n">
        <x:v>3</x:v>
      </x:c>
      <x:c r="F1868" s="91" t="n">
        <x:v>2059.2</x:v>
      </x:c>
    </x:row>
    <x:row r="1869">
      <x:c r="A1869" s="83" t="n">
        <x:v>1868</x:v>
      </x:c>
      <x:c r="B1869" s="84" t="n">
        <x:v>1441</x:v>
      </x:c>
      <x:c r="C1869" s="84" t="n">
        <x:v>9</x:v>
      </x:c>
      <x:c r="D1869" s="89" t="n">
        <x:v>45071</x:v>
      </x:c>
      <x:c r="E1869" s="84" t="n">
        <x:v>2</x:v>
      </x:c>
      <x:c r="F1869" s="91" t="n">
        <x:v>3150.12</x:v>
      </x:c>
    </x:row>
    <x:row r="1870">
      <x:c r="A1870" s="83" t="n">
        <x:v>1869</x:v>
      </x:c>
      <x:c r="B1870" s="84" t="n">
        <x:v>1441</x:v>
      </x:c>
      <x:c r="C1870" s="84" t="n">
        <x:v>8</x:v>
      </x:c>
      <x:c r="D1870" s="89" t="n">
        <x:v>45071</x:v>
      </x:c>
      <x:c r="E1870" s="84" t="n">
        <x:v>4</x:v>
      </x:c>
      <x:c r="F1870" s="91" t="n">
        <x:v>6664.76</x:v>
      </x:c>
    </x:row>
    <x:row r="1871">
      <x:c r="A1871" s="83" t="n">
        <x:v>1870</x:v>
      </x:c>
      <x:c r="B1871" s="84" t="n">
        <x:v>1443</x:v>
      </x:c>
      <x:c r="C1871" s="84" t="n">
        <x:v>2</x:v>
      </x:c>
      <x:c r="D1871" s="89" t="n">
        <x:v>45966</x:v>
      </x:c>
      <x:c r="E1871" s="84" t="n">
        <x:v>2</x:v>
      </x:c>
      <x:c r="F1871" s="91" t="n">
        <x:v>1988.62</x:v>
      </x:c>
    </x:row>
    <x:row r="1872">
      <x:c r="A1872" s="83" t="n">
        <x:v>1871</x:v>
      </x:c>
      <x:c r="B1872" s="84" t="n">
        <x:v>1443</x:v>
      </x:c>
      <x:c r="C1872" s="84" t="n">
        <x:v>8</x:v>
      </x:c>
      <x:c r="D1872" s="89" t="n">
        <x:v>45966</x:v>
      </x:c>
      <x:c r="E1872" s="84" t="n">
        <x:v>2</x:v>
      </x:c>
      <x:c r="F1872" s="91" t="n">
        <x:v>3332.38</x:v>
      </x:c>
    </x:row>
    <x:row r="1873">
      <x:c r="A1873" s="83" t="n">
        <x:v>1872</x:v>
      </x:c>
      <x:c r="B1873" s="84" t="n">
        <x:v>1444</x:v>
      </x:c>
      <x:c r="C1873" s="84" t="n">
        <x:v>27</x:v>
      </x:c>
      <x:c r="D1873" s="89" t="n">
        <x:v>45872</x:v>
      </x:c>
      <x:c r="E1873" s="84" t="n">
        <x:v>3</x:v>
      </x:c>
      <x:c r="F1873" s="91" t="n">
        <x:v>482.07</x:v>
      </x:c>
    </x:row>
    <x:row r="1874">
      <x:c r="A1874" s="83" t="n">
        <x:v>1873</x:v>
      </x:c>
      <x:c r="B1874" s="84" t="n">
        <x:v>1444</x:v>
      </x:c>
      <x:c r="C1874" s="84" t="n">
        <x:v>26</x:v>
      </x:c>
      <x:c r="D1874" s="89" t="n">
        <x:v>45872</x:v>
      </x:c>
      <x:c r="E1874" s="84" t="n">
        <x:v>1</x:v>
      </x:c>
      <x:c r="F1874" s="91" t="n">
        <x:v>2151</x:v>
      </x:c>
    </x:row>
    <x:row r="1875">
      <x:c r="A1875" s="83" t="n">
        <x:v>1874</x:v>
      </x:c>
      <x:c r="B1875" s="84" t="n">
        <x:v>1446</x:v>
      </x:c>
      <x:c r="C1875" s="84" t="n">
        <x:v>71</x:v>
      </x:c>
      <x:c r="D1875" s="89" t="n">
        <x:v>44993</x:v>
      </x:c>
      <x:c r="E1875" s="84" t="n">
        <x:v>3</x:v>
      </x:c>
      <x:c r="F1875" s="91" t="n">
        <x:v>5950.56</x:v>
      </x:c>
    </x:row>
    <x:row r="1876">
      <x:c r="A1876" s="83" t="n">
        <x:v>1875</x:v>
      </x:c>
      <x:c r="B1876" s="84" t="n">
        <x:v>1446</x:v>
      </x:c>
      <x:c r="C1876" s="84" t="n">
        <x:v>23</x:v>
      </x:c>
      <x:c r="D1876" s="89" t="n">
        <x:v>44993</x:v>
      </x:c>
      <x:c r="E1876" s="84" t="n">
        <x:v>2</x:v>
      </x:c>
      <x:c r="F1876" s="91" t="n">
        <x:v>3505.7</x:v>
      </x:c>
    </x:row>
    <x:row r="1877">
      <x:c r="A1877" s="83" t="n">
        <x:v>1876</x:v>
      </x:c>
      <x:c r="B1877" s="84" t="n">
        <x:v>1446</x:v>
      </x:c>
      <x:c r="C1877" s="84" t="n">
        <x:v>56</x:v>
      </x:c>
      <x:c r="D1877" s="89" t="n">
        <x:v>44993</x:v>
      </x:c>
      <x:c r="E1877" s="84" t="n">
        <x:v>2</x:v>
      </x:c>
      <x:c r="F1877" s="91" t="n">
        <x:v>2936.92</x:v>
      </x:c>
    </x:row>
    <x:row r="1878">
      <x:c r="A1878" s="83" t="n">
        <x:v>1877</x:v>
      </x:c>
      <x:c r="B1878" s="84" t="n">
        <x:v>1449</x:v>
      </x:c>
      <x:c r="C1878" s="84" t="n">
        <x:v>66</x:v>
      </x:c>
      <x:c r="D1878" s="89" t="n">
        <x:v>45259</x:v>
      </x:c>
      <x:c r="E1878" s="84" t="n">
        <x:v>2</x:v>
      </x:c>
      <x:c r="F1878" s="91" t="n">
        <x:v>3824.9</x:v>
      </x:c>
    </x:row>
    <x:row r="1879">
      <x:c r="A1879" s="83" t="n">
        <x:v>1878</x:v>
      </x:c>
      <x:c r="B1879" s="84" t="n">
        <x:v>1450</x:v>
      </x:c>
      <x:c r="C1879" s="84" t="n">
        <x:v>53</x:v>
      </x:c>
      <x:c r="D1879" s="89" t="n">
        <x:v>45941</x:v>
      </x:c>
      <x:c r="E1879" s="84" t="n">
        <x:v>2</x:v>
      </x:c>
      <x:c r="F1879" s="91" t="n">
        <x:v>3181.84</x:v>
      </x:c>
    </x:row>
    <x:row r="1880">
      <x:c r="A1880" s="83" t="n">
        <x:v>1879</x:v>
      </x:c>
      <x:c r="B1880" s="84" t="n">
        <x:v>1450</x:v>
      </x:c>
      <x:c r="C1880" s="84" t="n">
        <x:v>20</x:v>
      </x:c>
      <x:c r="D1880" s="89" t="n">
        <x:v>45941</x:v>
      </x:c>
      <x:c r="E1880" s="84" t="n">
        <x:v>1</x:v>
      </x:c>
      <x:c r="F1880" s="91" t="n">
        <x:v>541.2</x:v>
      </x:c>
    </x:row>
    <x:row r="1881">
      <x:c r="A1881" s="83" t="n">
        <x:v>1880</x:v>
      </x:c>
      <x:c r="B1881" s="84" t="n">
        <x:v>1451</x:v>
      </x:c>
      <x:c r="C1881" s="84" t="n">
        <x:v>8</x:v>
      </x:c>
      <x:c r="D1881" s="89" t="n">
        <x:v>45869</x:v>
      </x:c>
      <x:c r="E1881" s="84" t="n">
        <x:v>4</x:v>
      </x:c>
      <x:c r="F1881" s="91" t="n">
        <x:v>6664.76</x:v>
      </x:c>
    </x:row>
    <x:row r="1882">
      <x:c r="A1882" s="83" t="n">
        <x:v>1881</x:v>
      </x:c>
      <x:c r="B1882" s="84" t="n">
        <x:v>1452</x:v>
      </x:c>
      <x:c r="C1882" s="84" t="n">
        <x:v>46</x:v>
      </x:c>
      <x:c r="D1882" s="89" t="n">
        <x:v>45121</x:v>
      </x:c>
      <x:c r="E1882" s="84" t="n">
        <x:v>3</x:v>
      </x:c>
      <x:c r="F1882" s="91" t="n">
        <x:v>4004.85</x:v>
      </x:c>
    </x:row>
    <x:row r="1883">
      <x:c r="A1883" s="83" t="n">
        <x:v>1882</x:v>
      </x:c>
      <x:c r="B1883" s="84" t="n">
        <x:v>1452</x:v>
      </x:c>
      <x:c r="C1883" s="84" t="n">
        <x:v>55</x:v>
      </x:c>
      <x:c r="D1883" s="89" t="n">
        <x:v>45121</x:v>
      </x:c>
      <x:c r="E1883" s="84" t="n">
        <x:v>3</x:v>
      </x:c>
      <x:c r="F1883" s="91" t="n">
        <x:v>4499.55</x:v>
      </x:c>
    </x:row>
    <x:row r="1884">
      <x:c r="A1884" s="83" t="n">
        <x:v>1883</x:v>
      </x:c>
      <x:c r="B1884" s="84" t="n">
        <x:v>1452</x:v>
      </x:c>
      <x:c r="C1884" s="84" t="n">
        <x:v>41</x:v>
      </x:c>
      <x:c r="D1884" s="89" t="n">
        <x:v>45121</x:v>
      </x:c>
      <x:c r="E1884" s="84" t="n">
        <x:v>3</x:v>
      </x:c>
      <x:c r="F1884" s="91" t="n">
        <x:v>3546.06</x:v>
      </x:c>
    </x:row>
    <x:row r="1885">
      <x:c r="A1885" s="83" t="n">
        <x:v>1884</x:v>
      </x:c>
      <x:c r="B1885" s="84" t="n">
        <x:v>1453</x:v>
      </x:c>
      <x:c r="C1885" s="84" t="n">
        <x:v>55</x:v>
      </x:c>
      <x:c r="D1885" s="89" t="n">
        <x:v>45148</x:v>
      </x:c>
      <x:c r="E1885" s="84" t="n">
        <x:v>2</x:v>
      </x:c>
      <x:c r="F1885" s="91" t="n">
        <x:v>2999.7</x:v>
      </x:c>
    </x:row>
    <x:row r="1886">
      <x:c r="A1886" s="83" t="n">
        <x:v>1885</x:v>
      </x:c>
      <x:c r="B1886" s="84" t="n">
        <x:v>1453</x:v>
      </x:c>
      <x:c r="C1886" s="84" t="n">
        <x:v>30</x:v>
      </x:c>
      <x:c r="D1886" s="89" t="n">
        <x:v>45148</x:v>
      </x:c>
      <x:c r="E1886" s="84" t="n">
        <x:v>1</x:v>
      </x:c>
      <x:c r="F1886" s="91" t="n">
        <x:v>1278.76</x:v>
      </x:c>
    </x:row>
    <x:row r="1887">
      <x:c r="A1887" s="83" t="n">
        <x:v>1886</x:v>
      </x:c>
      <x:c r="B1887" s="84" t="n">
        <x:v>1455</x:v>
      </x:c>
      <x:c r="C1887" s="84" t="n">
        <x:v>2</x:v>
      </x:c>
      <x:c r="D1887" s="89" t="n">
        <x:v>45306</x:v>
      </x:c>
      <x:c r="E1887" s="84" t="n">
        <x:v>3</x:v>
      </x:c>
      <x:c r="F1887" s="91" t="n">
        <x:v>2982.93</x:v>
      </x:c>
    </x:row>
    <x:row r="1888">
      <x:c r="A1888" s="83" t="n">
        <x:v>1887</x:v>
      </x:c>
      <x:c r="B1888" s="84" t="n">
        <x:v>1455</x:v>
      </x:c>
      <x:c r="C1888" s="84" t="n">
        <x:v>69</x:v>
      </x:c>
      <x:c r="D1888" s="89" t="n">
        <x:v>45306</x:v>
      </x:c>
      <x:c r="E1888" s="84" t="n">
        <x:v>1</x:v>
      </x:c>
      <x:c r="F1888" s="91" t="n">
        <x:v>1770.33</x:v>
      </x:c>
    </x:row>
    <x:row r="1889">
      <x:c r="A1889" s="83" t="n">
        <x:v>1888</x:v>
      </x:c>
      <x:c r="B1889" s="84" t="n">
        <x:v>1455</x:v>
      </x:c>
      <x:c r="C1889" s="84" t="n">
        <x:v>39</x:v>
      </x:c>
      <x:c r="D1889" s="89" t="n">
        <x:v>45306</x:v>
      </x:c>
      <x:c r="E1889" s="84" t="n">
        <x:v>4</x:v>
      </x:c>
      <x:c r="F1889" s="91" t="n">
        <x:v>2710.4</x:v>
      </x:c>
    </x:row>
    <x:row r="1890">
      <x:c r="A1890" s="83" t="n">
        <x:v>1889</x:v>
      </x:c>
      <x:c r="B1890" s="84" t="n">
        <x:v>1456</x:v>
      </x:c>
      <x:c r="C1890" s="84" t="n">
        <x:v>76</x:v>
      </x:c>
      <x:c r="D1890" s="89" t="n">
        <x:v>45497</x:v>
      </x:c>
      <x:c r="E1890" s="84" t="n">
        <x:v>2</x:v>
      </x:c>
      <x:c r="F1890" s="91" t="n">
        <x:v>1439.62</x:v>
      </x:c>
    </x:row>
    <x:row r="1891">
      <x:c r="A1891" s="83" t="n">
        <x:v>1890</x:v>
      </x:c>
      <x:c r="B1891" s="84" t="n">
        <x:v>1456</x:v>
      </x:c>
      <x:c r="C1891" s="84" t="n">
        <x:v>42</x:v>
      </x:c>
      <x:c r="D1891" s="89" t="n">
        <x:v>45497</x:v>
      </x:c>
      <x:c r="E1891" s="84" t="n">
        <x:v>3</x:v>
      </x:c>
      <x:c r="F1891" s="91" t="n">
        <x:v>6515.22</x:v>
      </x:c>
    </x:row>
    <x:row r="1892">
      <x:c r="A1892" s="83" t="n">
        <x:v>1891</x:v>
      </x:c>
      <x:c r="B1892" s="84" t="n">
        <x:v>1457</x:v>
      </x:c>
      <x:c r="C1892" s="84" t="n">
        <x:v>14</x:v>
      </x:c>
      <x:c r="D1892" s="89" t="n">
        <x:v>45397</x:v>
      </x:c>
      <x:c r="E1892" s="84" t="n">
        <x:v>4</x:v>
      </x:c>
      <x:c r="F1892" s="91" t="n">
        <x:v>702.88</x:v>
      </x:c>
    </x:row>
    <x:row r="1893">
      <x:c r="A1893" s="83" t="n">
        <x:v>1892</x:v>
      </x:c>
      <x:c r="B1893" s="84" t="n">
        <x:v>1457</x:v>
      </x:c>
      <x:c r="C1893" s="84" t="n">
        <x:v>43</x:v>
      </x:c>
      <x:c r="D1893" s="89" t="n">
        <x:v>45397</x:v>
      </x:c>
      <x:c r="E1893" s="84" t="n">
        <x:v>1</x:v>
      </x:c>
      <x:c r="F1893" s="91" t="n">
        <x:v>1465.42</x:v>
      </x:c>
    </x:row>
    <x:row r="1894">
      <x:c r="A1894" s="83" t="n">
        <x:v>1893</x:v>
      </x:c>
      <x:c r="B1894" s="84" t="n">
        <x:v>1459</x:v>
      </x:c>
      <x:c r="C1894" s="84" t="n">
        <x:v>10</x:v>
      </x:c>
      <x:c r="D1894" s="89" t="n">
        <x:v>45294</x:v>
      </x:c>
      <x:c r="E1894" s="84" t="n">
        <x:v>1</x:v>
      </x:c>
      <x:c r="F1894" s="91" t="n">
        <x:v>874.86</x:v>
      </x:c>
    </x:row>
    <x:row r="1895">
      <x:c r="A1895" s="83" t="n">
        <x:v>1894</x:v>
      </x:c>
      <x:c r="B1895" s="84" t="n">
        <x:v>1459</x:v>
      </x:c>
      <x:c r="C1895" s="84" t="n">
        <x:v>53</x:v>
      </x:c>
      <x:c r="D1895" s="89" t="n">
        <x:v>45294</x:v>
      </x:c>
      <x:c r="E1895" s="84" t="n">
        <x:v>1</x:v>
      </x:c>
      <x:c r="F1895" s="91" t="n">
        <x:v>1590.92</x:v>
      </x:c>
    </x:row>
    <x:row r="1896">
      <x:c r="A1896" s="83" t="n">
        <x:v>1895</x:v>
      </x:c>
      <x:c r="B1896" s="84" t="n">
        <x:v>1459</x:v>
      </x:c>
      <x:c r="C1896" s="84" t="n">
        <x:v>61</x:v>
      </x:c>
      <x:c r="D1896" s="89" t="n">
        <x:v>45294</x:v>
      </x:c>
      <x:c r="E1896" s="84" t="n">
        <x:v>3</x:v>
      </x:c>
      <x:c r="F1896" s="91" t="n">
        <x:v>395.16</x:v>
      </x:c>
    </x:row>
    <x:row r="1897">
      <x:c r="A1897" s="83" t="n">
        <x:v>1896</x:v>
      </x:c>
      <x:c r="B1897" s="84" t="n">
        <x:v>1461</x:v>
      </x:c>
      <x:c r="C1897" s="84" t="n">
        <x:v>51</x:v>
      </x:c>
      <x:c r="D1897" s="89" t="n">
        <x:v>45595</x:v>
      </x:c>
      <x:c r="E1897" s="84" t="n">
        <x:v>3</x:v>
      </x:c>
      <x:c r="F1897" s="91" t="n">
        <x:v>2676.48</x:v>
      </x:c>
    </x:row>
    <x:row r="1898">
      <x:c r="A1898" s="83" t="n">
        <x:v>1897</x:v>
      </x:c>
      <x:c r="B1898" s="84" t="n">
        <x:v>1461</x:v>
      </x:c>
      <x:c r="C1898" s="84" t="n">
        <x:v>3</x:v>
      </x:c>
      <x:c r="D1898" s="89" t="n">
        <x:v>45595</x:v>
      </x:c>
      <x:c r="E1898" s="84" t="n">
        <x:v>3</x:v>
      </x:c>
      <x:c r="F1898" s="91" t="n">
        <x:v>3453.42</x:v>
      </x:c>
    </x:row>
    <x:row r="1899">
      <x:c r="A1899" s="83" t="n">
        <x:v>1898</x:v>
      </x:c>
      <x:c r="B1899" s="84" t="n">
        <x:v>1461</x:v>
      </x:c>
      <x:c r="C1899" s="84" t="n">
        <x:v>14</x:v>
      </x:c>
      <x:c r="D1899" s="89" t="n">
        <x:v>45595</x:v>
      </x:c>
      <x:c r="E1899" s="84" t="n">
        <x:v>1</x:v>
      </x:c>
      <x:c r="F1899" s="91" t="n">
        <x:v>175.72</x:v>
      </x:c>
    </x:row>
    <x:row r="1900">
      <x:c r="A1900" s="83" t="n">
        <x:v>1899</x:v>
      </x:c>
      <x:c r="B1900" s="84" t="n">
        <x:v>1462</x:v>
      </x:c>
      <x:c r="C1900" s="84" t="n">
        <x:v>15</x:v>
      </x:c>
      <x:c r="D1900" s="89" t="n">
        <x:v>45282</x:v>
      </x:c>
      <x:c r="E1900" s="84" t="n">
        <x:v>4</x:v>
      </x:c>
      <x:c r="F1900" s="91" t="n">
        <x:v>4938.44</x:v>
      </x:c>
    </x:row>
    <x:row r="1901">
      <x:c r="A1901" s="83" t="n">
        <x:v>1900</x:v>
      </x:c>
      <x:c r="B1901" s="84" t="n">
        <x:v>1462</x:v>
      </x:c>
      <x:c r="C1901" s="84" t="n">
        <x:v>28</x:v>
      </x:c>
      <x:c r="D1901" s="89" t="n">
        <x:v>45282</x:v>
      </x:c>
      <x:c r="E1901" s="84" t="n">
        <x:v>4</x:v>
      </x:c>
      <x:c r="F1901" s="91" t="n">
        <x:v>3281.88</x:v>
      </x:c>
    </x:row>
    <x:row r="1902">
      <x:c r="A1902" s="83" t="n">
        <x:v>1901</x:v>
      </x:c>
      <x:c r="B1902" s="84" t="n">
        <x:v>1464</x:v>
      </x:c>
      <x:c r="C1902" s="84" t="n">
        <x:v>43</x:v>
      </x:c>
      <x:c r="D1902" s="89" t="n">
        <x:v>45515</x:v>
      </x:c>
      <x:c r="E1902" s="84" t="n">
        <x:v>4</x:v>
      </x:c>
      <x:c r="F1902" s="91" t="n">
        <x:v>5861.68</x:v>
      </x:c>
    </x:row>
    <x:row r="1903">
      <x:c r="A1903" s="83" t="n">
        <x:v>1902</x:v>
      </x:c>
      <x:c r="B1903" s="84" t="n">
        <x:v>1464</x:v>
      </x:c>
      <x:c r="C1903" s="84" t="n">
        <x:v>18</x:v>
      </x:c>
      <x:c r="D1903" s="89" t="n">
        <x:v>45515</x:v>
      </x:c>
      <x:c r="E1903" s="84" t="n">
        <x:v>2</x:v>
      </x:c>
      <x:c r="F1903" s="91" t="n">
        <x:v>1332.32</x:v>
      </x:c>
    </x:row>
    <x:row r="1904">
      <x:c r="A1904" s="83" t="n">
        <x:v>1903</x:v>
      </x:c>
      <x:c r="B1904" s="84" t="n">
        <x:v>1464</x:v>
      </x:c>
      <x:c r="C1904" s="84" t="n">
        <x:v>50</x:v>
      </x:c>
      <x:c r="D1904" s="89" t="n">
        <x:v>45515</x:v>
      </x:c>
      <x:c r="E1904" s="84" t="n">
        <x:v>2</x:v>
      </x:c>
      <x:c r="F1904" s="91" t="n">
        <x:v>4471.9</x:v>
      </x:c>
    </x:row>
    <x:row r="1905">
      <x:c r="A1905" s="83" t="n">
        <x:v>1904</x:v>
      </x:c>
      <x:c r="B1905" s="84" t="n">
        <x:v>1466</x:v>
      </x:c>
      <x:c r="C1905" s="84" t="n">
        <x:v>30</x:v>
      </x:c>
      <x:c r="D1905" s="89" t="n">
        <x:v>45716</x:v>
      </x:c>
      <x:c r="E1905" s="84" t="n">
        <x:v>4</x:v>
      </x:c>
      <x:c r="F1905" s="91" t="n">
        <x:v>5115.04</x:v>
      </x:c>
    </x:row>
    <x:row r="1906">
      <x:c r="A1906" s="83" t="n">
        <x:v>1905</x:v>
      </x:c>
      <x:c r="B1906" s="84" t="n">
        <x:v>1466</x:v>
      </x:c>
      <x:c r="C1906" s="84" t="n">
        <x:v>44</x:v>
      </x:c>
      <x:c r="D1906" s="89" t="n">
        <x:v>45716</x:v>
      </x:c>
      <x:c r="E1906" s="84" t="n">
        <x:v>3</x:v>
      </x:c>
      <x:c r="F1906" s="91" t="n">
        <x:v>3754.44</x:v>
      </x:c>
    </x:row>
    <x:row r="1907">
      <x:c r="A1907" s="83" t="n">
        <x:v>1906</x:v>
      </x:c>
      <x:c r="B1907" s="84" t="n">
        <x:v>1467</x:v>
      </x:c>
      <x:c r="C1907" s="84" t="n">
        <x:v>66</x:v>
      </x:c>
      <x:c r="D1907" s="89" t="n">
        <x:v>44983</x:v>
      </x:c>
      <x:c r="E1907" s="84" t="n">
        <x:v>3</x:v>
      </x:c>
      <x:c r="F1907" s="91" t="n">
        <x:v>5737.35</x:v>
      </x:c>
    </x:row>
    <x:row r="1908">
      <x:c r="A1908" s="83" t="n">
        <x:v>1907</x:v>
      </x:c>
      <x:c r="B1908" s="84" t="n">
        <x:v>1468</x:v>
      </x:c>
      <x:c r="C1908" s="84" t="n">
        <x:v>24</x:v>
      </x:c>
      <x:c r="D1908" s="89" t="n">
        <x:v>45767</x:v>
      </x:c>
      <x:c r="E1908" s="84" t="n">
        <x:v>1</x:v>
      </x:c>
      <x:c r="F1908" s="91" t="n">
        <x:v>740.91</x:v>
      </x:c>
    </x:row>
    <x:row r="1909">
      <x:c r="A1909" s="83" t="n">
        <x:v>1908</x:v>
      </x:c>
      <x:c r="B1909" s="84" t="n">
        <x:v>1468</x:v>
      </x:c>
      <x:c r="C1909" s="84" t="n">
        <x:v>32</x:v>
      </x:c>
      <x:c r="D1909" s="89" t="n">
        <x:v>45767</x:v>
      </x:c>
      <x:c r="E1909" s="84" t="n">
        <x:v>4</x:v>
      </x:c>
      <x:c r="F1909" s="91" t="n">
        <x:v>7253</x:v>
      </x:c>
    </x:row>
    <x:row r="1910">
      <x:c r="A1910" s="83" t="n">
        <x:v>1909</x:v>
      </x:c>
      <x:c r="B1910" s="84" t="n">
        <x:v>1468</x:v>
      </x:c>
      <x:c r="C1910" s="84" t="n">
        <x:v>12</x:v>
      </x:c>
      <x:c r="D1910" s="89" t="n">
        <x:v>45767</x:v>
      </x:c>
      <x:c r="E1910" s="84" t="n">
        <x:v>4</x:v>
      </x:c>
      <x:c r="F1910" s="91" t="n">
        <x:v>1137.96</x:v>
      </x:c>
    </x:row>
    <x:row r="1911">
      <x:c r="A1911" s="83" t="n">
        <x:v>1910</x:v>
      </x:c>
      <x:c r="B1911" s="84" t="n">
        <x:v>1469</x:v>
      </x:c>
      <x:c r="C1911" s="84" t="n">
        <x:v>62</x:v>
      </x:c>
      <x:c r="D1911" s="89" t="n">
        <x:v>45101</x:v>
      </x:c>
      <x:c r="E1911" s="84" t="n">
        <x:v>4</x:v>
      </x:c>
      <x:c r="F1911" s="91" t="n">
        <x:v>6069.24</x:v>
      </x:c>
    </x:row>
    <x:row r="1912">
      <x:c r="A1912" s="83" t="n">
        <x:v>1911</x:v>
      </x:c>
      <x:c r="B1912" s="84" t="n">
        <x:v>1470</x:v>
      </x:c>
      <x:c r="C1912" s="84" t="n">
        <x:v>5</x:v>
      </x:c>
      <x:c r="D1912" s="89" t="n">
        <x:v>45041</x:v>
      </x:c>
      <x:c r="E1912" s="84" t="n">
        <x:v>4</x:v>
      </x:c>
      <x:c r="F1912" s="91" t="n">
        <x:v>5874</x:v>
      </x:c>
    </x:row>
    <x:row r="1913">
      <x:c r="A1913" s="83" t="n">
        <x:v>1912</x:v>
      </x:c>
      <x:c r="B1913" s="84" t="n">
        <x:v>1472</x:v>
      </x:c>
      <x:c r="C1913" s="84" t="n">
        <x:v>42</x:v>
      </x:c>
      <x:c r="D1913" s="89" t="n">
        <x:v>45779</x:v>
      </x:c>
      <x:c r="E1913" s="84" t="n">
        <x:v>1</x:v>
      </x:c>
      <x:c r="F1913" s="91" t="n">
        <x:v>2171.74</x:v>
      </x:c>
    </x:row>
    <x:row r="1914">
      <x:c r="A1914" s="83" t="n">
        <x:v>1913</x:v>
      </x:c>
      <x:c r="B1914" s="84" t="n">
        <x:v>1473</x:v>
      </x:c>
      <x:c r="C1914" s="84" t="n">
        <x:v>65</x:v>
      </x:c>
      <x:c r="D1914" s="89" t="n">
        <x:v>45329</x:v>
      </x:c>
      <x:c r="E1914" s="84" t="n">
        <x:v>2</x:v>
      </x:c>
      <x:c r="F1914" s="91" t="n">
        <x:v>2509.68</x:v>
      </x:c>
    </x:row>
    <x:row r="1915">
      <x:c r="A1915" s="83" t="n">
        <x:v>1914</x:v>
      </x:c>
      <x:c r="B1915" s="84" t="n">
        <x:v>1473</x:v>
      </x:c>
      <x:c r="C1915" s="84" t="n">
        <x:v>73</x:v>
      </x:c>
      <x:c r="D1915" s="89" t="n">
        <x:v>45329</x:v>
      </x:c>
      <x:c r="E1915" s="84" t="n">
        <x:v>2</x:v>
      </x:c>
      <x:c r="F1915" s="91" t="n">
        <x:v>2254.62</x:v>
      </x:c>
    </x:row>
    <x:row r="1916">
      <x:c r="A1916" s="83" t="n">
        <x:v>1915</x:v>
      </x:c>
      <x:c r="B1916" s="84" t="n">
        <x:v>1474</x:v>
      </x:c>
      <x:c r="C1916" s="84" t="n">
        <x:v>78</x:v>
      </x:c>
      <x:c r="D1916" s="89" t="n">
        <x:v>45605</x:v>
      </x:c>
      <x:c r="E1916" s="84" t="n">
        <x:v>4</x:v>
      </x:c>
      <x:c r="F1916" s="91" t="n">
        <x:v>1134.4</x:v>
      </x:c>
    </x:row>
    <x:row r="1917">
      <x:c r="A1917" s="83" t="n">
        <x:v>1916</x:v>
      </x:c>
      <x:c r="B1917" s="84" t="n">
        <x:v>1474</x:v>
      </x:c>
      <x:c r="C1917" s="84" t="n">
        <x:v>26</x:v>
      </x:c>
      <x:c r="D1917" s="89" t="n">
        <x:v>45605</x:v>
      </x:c>
      <x:c r="E1917" s="84" t="n">
        <x:v>2</x:v>
      </x:c>
      <x:c r="F1917" s="91" t="n">
        <x:v>4302</x:v>
      </x:c>
    </x:row>
    <x:row r="1918">
      <x:c r="A1918" s="83" t="n">
        <x:v>1917</x:v>
      </x:c>
      <x:c r="B1918" s="84" t="n">
        <x:v>1475</x:v>
      </x:c>
      <x:c r="C1918" s="84" t="n">
        <x:v>3</x:v>
      </x:c>
      <x:c r="D1918" s="89" t="n">
        <x:v>45293</x:v>
      </x:c>
      <x:c r="E1918" s="84" t="n">
        <x:v>4</x:v>
      </x:c>
      <x:c r="F1918" s="91" t="n">
        <x:v>4604.56</x:v>
      </x:c>
    </x:row>
    <x:row r="1919">
      <x:c r="A1919" s="83" t="n">
        <x:v>1918</x:v>
      </x:c>
      <x:c r="B1919" s="84" t="n">
        <x:v>1476</x:v>
      </x:c>
      <x:c r="C1919" s="84" t="n">
        <x:v>58</x:v>
      </x:c>
      <x:c r="D1919" s="89" t="n">
        <x:v>45471</x:v>
      </x:c>
      <x:c r="E1919" s="84" t="n">
        <x:v>2</x:v>
      </x:c>
      <x:c r="F1919" s="91" t="n">
        <x:v>4036.36</x:v>
      </x:c>
    </x:row>
    <x:row r="1920">
      <x:c r="A1920" s="83" t="n">
        <x:v>1919</x:v>
      </x:c>
      <x:c r="B1920" s="84" t="n">
        <x:v>1476</x:v>
      </x:c>
      <x:c r="C1920" s="84" t="n">
        <x:v>14</x:v>
      </x:c>
      <x:c r="D1920" s="89" t="n">
        <x:v>45471</x:v>
      </x:c>
      <x:c r="E1920" s="84" t="n">
        <x:v>1</x:v>
      </x:c>
      <x:c r="F1920" s="91" t="n">
        <x:v>175.72</x:v>
      </x:c>
    </x:row>
    <x:row r="1921">
      <x:c r="A1921" s="83" t="n">
        <x:v>1920</x:v>
      </x:c>
      <x:c r="B1921" s="84" t="n">
        <x:v>1476</x:v>
      </x:c>
      <x:c r="C1921" s="84" t="n">
        <x:v>11</x:v>
      </x:c>
      <x:c r="D1921" s="89" t="n">
        <x:v>45471</x:v>
      </x:c>
      <x:c r="E1921" s="84" t="n">
        <x:v>4</x:v>
      </x:c>
      <x:c r="F1921" s="91" t="n">
        <x:v>8845.04</x:v>
      </x:c>
    </x:row>
    <x:row r="1922">
      <x:c r="A1922" s="83" t="n">
        <x:v>1921</x:v>
      </x:c>
      <x:c r="B1922" s="84" t="n">
        <x:v>1477</x:v>
      </x:c>
      <x:c r="C1922" s="84" t="n">
        <x:v>5</x:v>
      </x:c>
      <x:c r="D1922" s="89" t="n">
        <x:v>45712</x:v>
      </x:c>
      <x:c r="E1922" s="84" t="n">
        <x:v>1</x:v>
      </x:c>
      <x:c r="F1922" s="91" t="n">
        <x:v>1468.5</x:v>
      </x:c>
    </x:row>
    <x:row r="1923">
      <x:c r="A1923" s="83" t="n">
        <x:v>1922</x:v>
      </x:c>
      <x:c r="B1923" s="84" t="n">
        <x:v>1481</x:v>
      </x:c>
      <x:c r="C1923" s="84" t="n">
        <x:v>21</x:v>
      </x:c>
      <x:c r="D1923" s="89" t="n">
        <x:v>45061</x:v>
      </x:c>
      <x:c r="E1923" s="84" t="n">
        <x:v>2</x:v>
      </x:c>
      <x:c r="F1923" s="91" t="n">
        <x:v>4577.74</x:v>
      </x:c>
    </x:row>
    <x:row r="1924">
      <x:c r="A1924" s="83" t="n">
        <x:v>1923</x:v>
      </x:c>
      <x:c r="B1924" s="84" t="n">
        <x:v>1481</x:v>
      </x:c>
      <x:c r="C1924" s="84" t="n">
        <x:v>45</x:v>
      </x:c>
      <x:c r="D1924" s="89" t="n">
        <x:v>45061</x:v>
      </x:c>
      <x:c r="E1924" s="84" t="n">
        <x:v>3</x:v>
      </x:c>
      <x:c r="F1924" s="91" t="n">
        <x:v>4174.26</x:v>
      </x:c>
    </x:row>
    <x:row r="1925">
      <x:c r="A1925" s="83" t="n">
        <x:v>1924</x:v>
      </x:c>
      <x:c r="B1925" s="84" t="n">
        <x:v>1482</x:v>
      </x:c>
      <x:c r="C1925" s="84" t="n">
        <x:v>29</x:v>
      </x:c>
      <x:c r="D1925" s="89" t="n">
        <x:v>45075</x:v>
      </x:c>
      <x:c r="E1925" s="84" t="n">
        <x:v>3</x:v>
      </x:c>
      <x:c r="F1925" s="91" t="n">
        <x:v>4657.41</x:v>
      </x:c>
    </x:row>
    <x:row r="1926">
      <x:c r="A1926" s="83" t="n">
        <x:v>1925</x:v>
      </x:c>
      <x:c r="B1926" s="84" t="n">
        <x:v>1483</x:v>
      </x:c>
      <x:c r="C1926" s="84" t="n">
        <x:v>29</x:v>
      </x:c>
      <x:c r="D1926" s="89" t="n">
        <x:v>44954</x:v>
      </x:c>
      <x:c r="E1926" s="84" t="n">
        <x:v>2</x:v>
      </x:c>
      <x:c r="F1926" s="91" t="n">
        <x:v>3104.94</x:v>
      </x:c>
    </x:row>
    <x:row r="1927">
      <x:c r="A1927" s="83" t="n">
        <x:v>1926</x:v>
      </x:c>
      <x:c r="B1927" s="84" t="n">
        <x:v>1483</x:v>
      </x:c>
      <x:c r="C1927" s="84" t="n">
        <x:v>8</x:v>
      </x:c>
      <x:c r="D1927" s="89" t="n">
        <x:v>44954</x:v>
      </x:c>
      <x:c r="E1927" s="84" t="n">
        <x:v>2</x:v>
      </x:c>
      <x:c r="F1927" s="91" t="n">
        <x:v>3332.38</x:v>
      </x:c>
    </x:row>
    <x:row r="1928">
      <x:c r="A1928" s="83" t="n">
        <x:v>1927</x:v>
      </x:c>
      <x:c r="B1928" s="84" t="n">
        <x:v>1484</x:v>
      </x:c>
      <x:c r="C1928" s="84" t="n">
        <x:v>14</x:v>
      </x:c>
      <x:c r="D1928" s="89" t="n">
        <x:v>45050</x:v>
      </x:c>
      <x:c r="E1928" s="84" t="n">
        <x:v>3</x:v>
      </x:c>
      <x:c r="F1928" s="91" t="n">
        <x:v>527.16</x:v>
      </x:c>
    </x:row>
    <x:row r="1929">
      <x:c r="A1929" s="83" t="n">
        <x:v>1928</x:v>
      </x:c>
      <x:c r="B1929" s="84" t="n">
        <x:v>1484</x:v>
      </x:c>
      <x:c r="C1929" s="84" t="n">
        <x:v>32</x:v>
      </x:c>
      <x:c r="D1929" s="89" t="n">
        <x:v>45050</x:v>
      </x:c>
      <x:c r="E1929" s="84" t="n">
        <x:v>2</x:v>
      </x:c>
      <x:c r="F1929" s="91" t="n">
        <x:v>3626.5</x:v>
      </x:c>
    </x:row>
    <x:row r="1930">
      <x:c r="A1930" s="83" t="n">
        <x:v>1929</x:v>
      </x:c>
      <x:c r="B1930" s="84" t="n">
        <x:v>1484</x:v>
      </x:c>
      <x:c r="C1930" s="84" t="n">
        <x:v>71</x:v>
      </x:c>
      <x:c r="D1930" s="89" t="n">
        <x:v>45050</x:v>
      </x:c>
      <x:c r="E1930" s="84" t="n">
        <x:v>3</x:v>
      </x:c>
      <x:c r="F1930" s="91" t="n">
        <x:v>5950.56</x:v>
      </x:c>
    </x:row>
    <x:row r="1931">
      <x:c r="A1931" s="83" t="n">
        <x:v>1930</x:v>
      </x:c>
      <x:c r="B1931" s="84" t="n">
        <x:v>1486</x:v>
      </x:c>
      <x:c r="C1931" s="84" t="n">
        <x:v>7</x:v>
      </x:c>
      <x:c r="D1931" s="89" t="n">
        <x:v>45890</x:v>
      </x:c>
      <x:c r="E1931" s="84" t="n">
        <x:v>4</x:v>
      </x:c>
      <x:c r="F1931" s="91" t="n">
        <x:v>1467.2</x:v>
      </x:c>
    </x:row>
    <x:row r="1932">
      <x:c r="A1932" s="83" t="n">
        <x:v>1931</x:v>
      </x:c>
      <x:c r="B1932" s="84" t="n">
        <x:v>1486</x:v>
      </x:c>
      <x:c r="C1932" s="84" t="n">
        <x:v>68</x:v>
      </x:c>
      <x:c r="D1932" s="89" t="n">
        <x:v>45890</x:v>
      </x:c>
      <x:c r="E1932" s="84" t="n">
        <x:v>2</x:v>
      </x:c>
      <x:c r="F1932" s="91" t="n">
        <x:v>3055.22</x:v>
      </x:c>
    </x:row>
    <x:row r="1933">
      <x:c r="A1933" s="83" t="n">
        <x:v>1932</x:v>
      </x:c>
      <x:c r="B1933" s="84" t="n">
        <x:v>1486</x:v>
      </x:c>
      <x:c r="C1933" s="84" t="n">
        <x:v>9</x:v>
      </x:c>
      <x:c r="D1933" s="89" t="n">
        <x:v>45890</x:v>
      </x:c>
      <x:c r="E1933" s="84" t="n">
        <x:v>4</x:v>
      </x:c>
      <x:c r="F1933" s="91" t="n">
        <x:v>6300.24</x:v>
      </x:c>
    </x:row>
    <x:row r="1934">
      <x:c r="A1934" s="83" t="n">
        <x:v>1933</x:v>
      </x:c>
      <x:c r="B1934" s="84" t="n">
        <x:v>1487</x:v>
      </x:c>
      <x:c r="C1934" s="84" t="n">
        <x:v>80</x:v>
      </x:c>
      <x:c r="D1934" s="89" t="n">
        <x:v>45575</x:v>
      </x:c>
      <x:c r="E1934" s="84" t="n">
        <x:v>2</x:v>
      </x:c>
      <x:c r="F1934" s="91" t="n">
        <x:v>3457.08</x:v>
      </x:c>
    </x:row>
    <x:row r="1935">
      <x:c r="A1935" s="83" t="n">
        <x:v>1934</x:v>
      </x:c>
      <x:c r="B1935" s="84" t="n">
        <x:v>1489</x:v>
      </x:c>
      <x:c r="C1935" s="84" t="n">
        <x:v>53</x:v>
      </x:c>
      <x:c r="D1935" s="89" t="n">
        <x:v>45279</x:v>
      </x:c>
      <x:c r="E1935" s="84" t="n">
        <x:v>4</x:v>
      </x:c>
      <x:c r="F1935" s="91" t="n">
        <x:v>6363.68</x:v>
      </x:c>
    </x:row>
    <x:row r="1936">
      <x:c r="A1936" s="83" t="n">
        <x:v>1935</x:v>
      </x:c>
      <x:c r="B1936" s="84" t="n">
        <x:v>1489</x:v>
      </x:c>
      <x:c r="C1936" s="84" t="n">
        <x:v>48</x:v>
      </x:c>
      <x:c r="D1936" s="89" t="n">
        <x:v>45279</x:v>
      </x:c>
      <x:c r="E1936" s="84" t="n">
        <x:v>2</x:v>
      </x:c>
      <x:c r="F1936" s="91" t="n">
        <x:v>2322.9</x:v>
      </x:c>
    </x:row>
    <x:row r="1937">
      <x:c r="A1937" s="83" t="n">
        <x:v>1936</x:v>
      </x:c>
      <x:c r="B1937" s="84" t="n">
        <x:v>1489</x:v>
      </x:c>
      <x:c r="C1937" s="84" t="n">
        <x:v>29</x:v>
      </x:c>
      <x:c r="D1937" s="89" t="n">
        <x:v>45279</x:v>
      </x:c>
      <x:c r="E1937" s="84" t="n">
        <x:v>3</x:v>
      </x:c>
      <x:c r="F1937" s="91" t="n">
        <x:v>4657.41</x:v>
      </x:c>
    </x:row>
    <x:row r="1938">
      <x:c r="A1938" s="83" t="n">
        <x:v>1937</x:v>
      </x:c>
      <x:c r="B1938" s="84" t="n">
        <x:v>1490</x:v>
      </x:c>
      <x:c r="C1938" s="84" t="n">
        <x:v>35</x:v>
      </x:c>
      <x:c r="D1938" s="89" t="n">
        <x:v>45846</x:v>
      </x:c>
      <x:c r="E1938" s="84" t="n">
        <x:v>3</x:v>
      </x:c>
      <x:c r="F1938" s="91" t="n">
        <x:v>4412.34</x:v>
      </x:c>
    </x:row>
    <x:row r="1939">
      <x:c r="A1939" s="83" t="n">
        <x:v>1938</x:v>
      </x:c>
      <x:c r="B1939" s="84" t="n">
        <x:v>1490</x:v>
      </x:c>
      <x:c r="C1939" s="84" t="n">
        <x:v>19</x:v>
      </x:c>
      <x:c r="D1939" s="89" t="n">
        <x:v>45846</x:v>
      </x:c>
      <x:c r="E1939" s="84" t="n">
        <x:v>4</x:v>
      </x:c>
      <x:c r="F1939" s="91" t="n">
        <x:v>4350.84</x:v>
      </x:c>
    </x:row>
    <x:row r="1940">
      <x:c r="A1940" s="83" t="n">
        <x:v>1939</x:v>
      </x:c>
      <x:c r="B1940" s="84" t="n">
        <x:v>1492</x:v>
      </x:c>
      <x:c r="C1940" s="84" t="n">
        <x:v>10</x:v>
      </x:c>
      <x:c r="D1940" s="89" t="n">
        <x:v>45850</x:v>
      </x:c>
      <x:c r="E1940" s="84" t="n">
        <x:v>2</x:v>
      </x:c>
      <x:c r="F1940" s="91" t="n">
        <x:v>1749.72</x:v>
      </x:c>
    </x:row>
    <x:row r="1941">
      <x:c r="A1941" s="83" t="n">
        <x:v>1940</x:v>
      </x:c>
      <x:c r="B1941" s="84" t="n">
        <x:v>1492</x:v>
      </x:c>
      <x:c r="C1941" s="84" t="n">
        <x:v>36</x:v>
      </x:c>
      <x:c r="D1941" s="89" t="n">
        <x:v>45850</x:v>
      </x:c>
      <x:c r="E1941" s="84" t="n">
        <x:v>3</x:v>
      </x:c>
      <x:c r="F1941" s="91" t="n">
        <x:v>1789.23</x:v>
      </x:c>
    </x:row>
    <x:row r="1942">
      <x:c r="A1942" s="83" t="n">
        <x:v>1941</x:v>
      </x:c>
      <x:c r="B1942" s="84" t="n">
        <x:v>1494</x:v>
      </x:c>
      <x:c r="C1942" s="84" t="n">
        <x:v>57</x:v>
      </x:c>
      <x:c r="D1942" s="89" t="n">
        <x:v>45992</x:v>
      </x:c>
      <x:c r="E1942" s="84" t="n">
        <x:v>1</x:v>
      </x:c>
      <x:c r="F1942" s="91" t="n">
        <x:v>1179.06</x:v>
      </x:c>
    </x:row>
    <x:row r="1943">
      <x:c r="A1943" s="83" t="n">
        <x:v>1942</x:v>
      </x:c>
      <x:c r="B1943" s="84" t="n">
        <x:v>1494</x:v>
      </x:c>
      <x:c r="C1943" s="84" t="n">
        <x:v>45</x:v>
      </x:c>
      <x:c r="D1943" s="89" t="n">
        <x:v>45992</x:v>
      </x:c>
      <x:c r="E1943" s="84" t="n">
        <x:v>2</x:v>
      </x:c>
      <x:c r="F1943" s="91" t="n">
        <x:v>2782.84</x:v>
      </x:c>
    </x:row>
    <x:row r="1944">
      <x:c r="A1944" s="83" t="n">
        <x:v>1943</x:v>
      </x:c>
      <x:c r="B1944" s="84" t="n">
        <x:v>1495</x:v>
      </x:c>
      <x:c r="C1944" s="84" t="n">
        <x:v>13</x:v>
      </x:c>
      <x:c r="D1944" s="89" t="n">
        <x:v>45009</x:v>
      </x:c>
      <x:c r="E1944" s="84" t="n">
        <x:v>2</x:v>
      </x:c>
      <x:c r="F1944" s="91" t="n">
        <x:v>1604.1</x:v>
      </x:c>
    </x:row>
    <x:row r="1945">
      <x:c r="A1945" s="83" t="n">
        <x:v>1944</x:v>
      </x:c>
      <x:c r="B1945" s="84" t="n">
        <x:v>1497</x:v>
      </x:c>
      <x:c r="C1945" s="84" t="n">
        <x:v>68</x:v>
      </x:c>
      <x:c r="D1945" s="89" t="n">
        <x:v>45524</x:v>
      </x:c>
      <x:c r="E1945" s="84" t="n">
        <x:v>2</x:v>
      </x:c>
      <x:c r="F1945" s="91" t="n">
        <x:v>3055.22</x:v>
      </x:c>
    </x:row>
    <x:row r="1946">
      <x:c r="A1946" s="83" t="n">
        <x:v>1945</x:v>
      </x:c>
      <x:c r="B1946" s="84" t="n">
        <x:v>1498</x:v>
      </x:c>
      <x:c r="C1946" s="84" t="n">
        <x:v>65</x:v>
      </x:c>
      <x:c r="D1946" s="89" t="n">
        <x:v>45840</x:v>
      </x:c>
      <x:c r="E1946" s="84" t="n">
        <x:v>3</x:v>
      </x:c>
      <x:c r="F1946" s="91" t="n">
        <x:v>3764.52</x:v>
      </x:c>
    </x:row>
    <x:row r="1947">
      <x:c r="A1947" s="83" t="n">
        <x:v>1946</x:v>
      </x:c>
      <x:c r="B1947" s="84" t="n">
        <x:v>1498</x:v>
      </x:c>
      <x:c r="C1947" s="84" t="n">
        <x:v>62</x:v>
      </x:c>
      <x:c r="D1947" s="89" t="n">
        <x:v>45840</x:v>
      </x:c>
      <x:c r="E1947" s="84" t="n">
        <x:v>2</x:v>
      </x:c>
      <x:c r="F1947" s="91" t="n">
        <x:v>3034.62</x:v>
      </x:c>
    </x:row>
    <x:row r="1948">
      <x:c r="A1948" s="83" t="n">
        <x:v>1947</x:v>
      </x:c>
      <x:c r="B1948" s="84" t="n">
        <x:v>1498</x:v>
      </x:c>
      <x:c r="C1948" s="84" t="n">
        <x:v>47</x:v>
      </x:c>
      <x:c r="D1948" s="89" t="n">
        <x:v>45840</x:v>
      </x:c>
      <x:c r="E1948" s="84" t="n">
        <x:v>1</x:v>
      </x:c>
      <x:c r="F1948" s="91" t="n">
        <x:v>2175.62</x:v>
      </x:c>
    </x:row>
    <x:row r="1949">
      <x:c r="A1949" s="83" t="n">
        <x:v>1948</x:v>
      </x:c>
      <x:c r="B1949" s="84" t="n">
        <x:v>1499</x:v>
      </x:c>
      <x:c r="C1949" s="84" t="n">
        <x:v>75</x:v>
      </x:c>
      <x:c r="D1949" s="89" t="n">
        <x:v>45964</x:v>
      </x:c>
      <x:c r="E1949" s="84" t="n">
        <x:v>4</x:v>
      </x:c>
      <x:c r="F1949" s="91" t="n">
        <x:v>1824.68</x:v>
      </x:c>
    </x:row>
    <x:row r="1950">
      <x:c r="A1950" s="83" t="n">
        <x:v>1949</x:v>
      </x:c>
      <x:c r="B1950" s="84" t="n">
        <x:v>1499</x:v>
      </x:c>
      <x:c r="C1950" s="84" t="n">
        <x:v>67</x:v>
      </x:c>
      <x:c r="D1950" s="89" t="n">
        <x:v>45964</x:v>
      </x:c>
      <x:c r="E1950" s="84" t="n">
        <x:v>3</x:v>
      </x:c>
      <x:c r="F1950" s="91" t="n">
        <x:v>3838.59</x:v>
      </x:c>
    </x:row>
    <x:row r="1951">
      <x:c r="A1951" s="83" t="n">
        <x:v>1950</x:v>
      </x:c>
      <x:c r="B1951" s="84" t="n">
        <x:v>1500</x:v>
      </x:c>
      <x:c r="C1951" s="84" t="n">
        <x:v>23</x:v>
      </x:c>
      <x:c r="D1951" s="89" t="n">
        <x:v>45079</x:v>
      </x:c>
      <x:c r="E1951" s="84" t="n">
        <x:v>1</x:v>
      </x:c>
      <x:c r="F1951" s="91" t="n">
        <x:v>1752.85</x:v>
      </x:c>
    </x:row>
    <x:row r="1952">
      <x:c r="A1952" s="83" t="n">
        <x:v>1951</x:v>
      </x:c>
      <x:c r="B1952" s="84" t="n">
        <x:v>1500</x:v>
      </x:c>
      <x:c r="C1952" s="84" t="n">
        <x:v>12</x:v>
      </x:c>
      <x:c r="D1952" s="89" t="n">
        <x:v>45079</x:v>
      </x:c>
      <x:c r="E1952" s="84" t="n">
        <x:v>2</x:v>
      </x:c>
      <x:c r="F1952" s="91" t="n">
        <x:v>568.98</x:v>
      </x:c>
    </x:row>
    <x:row r="1953">
      <x:c r="A1953" s="83" t="n">
        <x:v>1952</x:v>
      </x:c>
      <x:c r="B1953" s="84" t="n">
        <x:v>1500</x:v>
      </x:c>
      <x:c r="C1953" s="84" t="n">
        <x:v>80</x:v>
      </x:c>
      <x:c r="D1953" s="89" t="n">
        <x:v>45079</x:v>
      </x:c>
      <x:c r="E1953" s="84" t="n">
        <x:v>2</x:v>
      </x:c>
      <x:c r="F1953" s="91" t="n">
        <x:v>3457.08</x:v>
      </x:c>
    </x:row>
    <x:row r="1954">
      <x:c r="A1954" s="83" t="n">
        <x:v>1953</x:v>
      </x:c>
      <x:c r="B1954" s="84" t="n">
        <x:v>1501</x:v>
      </x:c>
      <x:c r="C1954" s="84" t="n">
        <x:v>10</x:v>
      </x:c>
      <x:c r="D1954" s="89" t="n">
        <x:v>45422</x:v>
      </x:c>
      <x:c r="E1954" s="84" t="n">
        <x:v>4</x:v>
      </x:c>
      <x:c r="F1954" s="91" t="n">
        <x:v>3499.44</x:v>
      </x:c>
    </x:row>
    <x:row r="1955">
      <x:c r="A1955" s="83" t="n">
        <x:v>1954</x:v>
      </x:c>
      <x:c r="B1955" s="84" t="n">
        <x:v>1502</x:v>
      </x:c>
      <x:c r="C1955" s="84" t="n">
        <x:v>13</x:v>
      </x:c>
      <x:c r="D1955" s="89" t="n">
        <x:v>45617</x:v>
      </x:c>
      <x:c r="E1955" s="84" t="n">
        <x:v>1</x:v>
      </x:c>
      <x:c r="F1955" s="91" t="n">
        <x:v>802.05</x:v>
      </x:c>
    </x:row>
    <x:row r="1956">
      <x:c r="A1956" s="83" t="n">
        <x:v>1955</x:v>
      </x:c>
      <x:c r="B1956" s="84" t="n">
        <x:v>1502</x:v>
      </x:c>
      <x:c r="C1956" s="84" t="n">
        <x:v>73</x:v>
      </x:c>
      <x:c r="D1956" s="89" t="n">
        <x:v>45617</x:v>
      </x:c>
      <x:c r="E1956" s="84" t="n">
        <x:v>4</x:v>
      </x:c>
      <x:c r="F1956" s="91" t="n">
        <x:v>4509.24</x:v>
      </x:c>
    </x:row>
    <x:row r="1957">
      <x:c r="A1957" s="83" t="n">
        <x:v>1956</x:v>
      </x:c>
      <x:c r="B1957" s="84" t="n">
        <x:v>1502</x:v>
      </x:c>
      <x:c r="C1957" s="84" t="n">
        <x:v>15</x:v>
      </x:c>
      <x:c r="D1957" s="89" t="n">
        <x:v>45617</x:v>
      </x:c>
      <x:c r="E1957" s="84" t="n">
        <x:v>3</x:v>
      </x:c>
      <x:c r="F1957" s="91" t="n">
        <x:v>3703.83</x:v>
      </x:c>
    </x:row>
    <x:row r="1958">
      <x:c r="A1958" s="83" t="n">
        <x:v>1957</x:v>
      </x:c>
      <x:c r="B1958" s="84" t="n">
        <x:v>1505</x:v>
      </x:c>
      <x:c r="C1958" s="84" t="n">
        <x:v>40</x:v>
      </x:c>
      <x:c r="D1958" s="89" t="n">
        <x:v>45169</x:v>
      </x:c>
      <x:c r="E1958" s="84" t="n">
        <x:v>1</x:v>
      </x:c>
      <x:c r="F1958" s="91" t="n">
        <x:v>2035.04</x:v>
      </x:c>
    </x:row>
    <x:row r="1959">
      <x:c r="A1959" s="83" t="n">
        <x:v>1958</x:v>
      </x:c>
      <x:c r="B1959" s="84" t="n">
        <x:v>1505</x:v>
      </x:c>
      <x:c r="C1959" s="84" t="n">
        <x:v>24</x:v>
      </x:c>
      <x:c r="D1959" s="89" t="n">
        <x:v>45169</x:v>
      </x:c>
      <x:c r="E1959" s="84" t="n">
        <x:v>1</x:v>
      </x:c>
      <x:c r="F1959" s="91" t="n">
        <x:v>740.91</x:v>
      </x:c>
    </x:row>
    <x:row r="1960">
      <x:c r="A1960" s="83" t="n">
        <x:v>1959</x:v>
      </x:c>
      <x:c r="B1960" s="84" t="n">
        <x:v>1508</x:v>
      </x:c>
      <x:c r="C1960" s="84" t="n">
        <x:v>3</x:v>
      </x:c>
      <x:c r="D1960" s="89" t="n">
        <x:v>45898</x:v>
      </x:c>
      <x:c r="E1960" s="84" t="n">
        <x:v>1</x:v>
      </x:c>
      <x:c r="F1960" s="91" t="n">
        <x:v>1151.14</x:v>
      </x:c>
    </x:row>
    <x:row r="1961">
      <x:c r="A1961" s="83" t="n">
        <x:v>1960</x:v>
      </x:c>
      <x:c r="B1961" s="84" t="n">
        <x:v>1508</x:v>
      </x:c>
      <x:c r="C1961" s="84" t="n">
        <x:v>80</x:v>
      </x:c>
      <x:c r="D1961" s="89" t="n">
        <x:v>45898</x:v>
      </x:c>
      <x:c r="E1961" s="84" t="n">
        <x:v>3</x:v>
      </x:c>
      <x:c r="F1961" s="91" t="n">
        <x:v>5185.62</x:v>
      </x:c>
    </x:row>
    <x:row r="1962">
      <x:c r="A1962" s="83" t="n">
        <x:v>1961</x:v>
      </x:c>
      <x:c r="B1962" s="84" t="n">
        <x:v>1509</x:v>
      </x:c>
      <x:c r="C1962" s="84" t="n">
        <x:v>34</x:v>
      </x:c>
      <x:c r="D1962" s="89" t="n">
        <x:v>45569</x:v>
      </x:c>
      <x:c r="E1962" s="84" t="n">
        <x:v>2</x:v>
      </x:c>
      <x:c r="F1962" s="91" t="n">
        <x:v>3954.18</x:v>
      </x:c>
    </x:row>
    <x:row r="1963">
      <x:c r="A1963" s="83" t="n">
        <x:v>1962</x:v>
      </x:c>
      <x:c r="B1963" s="84" t="n">
        <x:v>1509</x:v>
      </x:c>
      <x:c r="C1963" s="84" t="n">
        <x:v>70</x:v>
      </x:c>
      <x:c r="D1963" s="89" t="n">
        <x:v>45569</x:v>
      </x:c>
      <x:c r="E1963" s="84" t="n">
        <x:v>4</x:v>
      </x:c>
      <x:c r="F1963" s="91" t="n">
        <x:v>3078.16</x:v>
      </x:c>
    </x:row>
    <x:row r="1964">
      <x:c r="A1964" s="83" t="n">
        <x:v>1963</x:v>
      </x:c>
      <x:c r="B1964" s="84" t="n">
        <x:v>1510</x:v>
      </x:c>
      <x:c r="C1964" s="84" t="n">
        <x:v>19</x:v>
      </x:c>
      <x:c r="D1964" s="89" t="n">
        <x:v>45388</x:v>
      </x:c>
      <x:c r="E1964" s="84" t="n">
        <x:v>3</x:v>
      </x:c>
      <x:c r="F1964" s="91" t="n">
        <x:v>3263.13</x:v>
      </x:c>
    </x:row>
    <x:row r="1965">
      <x:c r="A1965" s="83" t="n">
        <x:v>1964</x:v>
      </x:c>
      <x:c r="B1965" s="84" t="n">
        <x:v>1510</x:v>
      </x:c>
      <x:c r="C1965" s="84" t="n">
        <x:v>2</x:v>
      </x:c>
      <x:c r="D1965" s="89" t="n">
        <x:v>45388</x:v>
      </x:c>
      <x:c r="E1965" s="84" t="n">
        <x:v>2</x:v>
      </x:c>
      <x:c r="F1965" s="91" t="n">
        <x:v>1988.62</x:v>
      </x:c>
    </x:row>
    <x:row r="1966">
      <x:c r="A1966" s="83" t="n">
        <x:v>1965</x:v>
      </x:c>
      <x:c r="B1966" s="84" t="n">
        <x:v>1514</x:v>
      </x:c>
      <x:c r="C1966" s="84" t="n">
        <x:v>55</x:v>
      </x:c>
      <x:c r="D1966" s="89" t="n">
        <x:v>45644</x:v>
      </x:c>
      <x:c r="E1966" s="84" t="n">
        <x:v>2</x:v>
      </x:c>
      <x:c r="F1966" s="91" t="n">
        <x:v>2999.7</x:v>
      </x:c>
    </x:row>
    <x:row r="1967">
      <x:c r="A1967" s="83" t="n">
        <x:v>1966</x:v>
      </x:c>
      <x:c r="B1967" s="84" t="n">
        <x:v>1516</x:v>
      </x:c>
      <x:c r="C1967" s="84" t="n">
        <x:v>80</x:v>
      </x:c>
      <x:c r="D1967" s="89" t="n">
        <x:v>45769</x:v>
      </x:c>
      <x:c r="E1967" s="84" t="n">
        <x:v>2</x:v>
      </x:c>
      <x:c r="F1967" s="91" t="n">
        <x:v>3457.08</x:v>
      </x:c>
    </x:row>
    <x:row r="1968">
      <x:c r="A1968" s="83" t="n">
        <x:v>1967</x:v>
      </x:c>
      <x:c r="B1968" s="84" t="n">
        <x:v>1518</x:v>
      </x:c>
      <x:c r="C1968" s="84" t="n">
        <x:v>35</x:v>
      </x:c>
      <x:c r="D1968" s="89" t="n">
        <x:v>45794</x:v>
      </x:c>
      <x:c r="E1968" s="84" t="n">
        <x:v>1</x:v>
      </x:c>
      <x:c r="F1968" s="91" t="n">
        <x:v>1470.78</x:v>
      </x:c>
    </x:row>
    <x:row r="1969">
      <x:c r="A1969" s="83" t="n">
        <x:v>1968</x:v>
      </x:c>
      <x:c r="B1969" s="84" t="n">
        <x:v>1518</x:v>
      </x:c>
      <x:c r="C1969" s="84" t="n">
        <x:v>11</x:v>
      </x:c>
      <x:c r="D1969" s="89" t="n">
        <x:v>45794</x:v>
      </x:c>
      <x:c r="E1969" s="84" t="n">
        <x:v>2</x:v>
      </x:c>
      <x:c r="F1969" s="91" t="n">
        <x:v>4422.52</x:v>
      </x:c>
    </x:row>
    <x:row r="1970">
      <x:c r="A1970" s="83" t="n">
        <x:v>1969</x:v>
      </x:c>
      <x:c r="B1970" s="84" t="n">
        <x:v>1519</x:v>
      </x:c>
      <x:c r="C1970" s="84" t="n">
        <x:v>10</x:v>
      </x:c>
      <x:c r="D1970" s="89" t="n">
        <x:v>45529</x:v>
      </x:c>
      <x:c r="E1970" s="84" t="n">
        <x:v>1</x:v>
      </x:c>
      <x:c r="F1970" s="91" t="n">
        <x:v>874.86</x:v>
      </x:c>
    </x:row>
    <x:row r="1971">
      <x:c r="A1971" s="83" t="n">
        <x:v>1970</x:v>
      </x:c>
      <x:c r="B1971" s="84" t="n">
        <x:v>1519</x:v>
      </x:c>
      <x:c r="C1971" s="84" t="n">
        <x:v>3</x:v>
      </x:c>
      <x:c r="D1971" s="89" t="n">
        <x:v>45529</x:v>
      </x:c>
      <x:c r="E1971" s="84" t="n">
        <x:v>2</x:v>
      </x:c>
      <x:c r="F1971" s="91" t="n">
        <x:v>2302.28</x:v>
      </x:c>
    </x:row>
    <x:row r="1972">
      <x:c r="A1972" s="83" t="n">
        <x:v>1971</x:v>
      </x:c>
      <x:c r="B1972" s="84" t="n">
        <x:v>1521</x:v>
      </x:c>
      <x:c r="C1972" s="84" t="n">
        <x:v>72</x:v>
      </x:c>
      <x:c r="D1972" s="89" t="n">
        <x:v>45665</x:v>
      </x:c>
      <x:c r="E1972" s="84" t="n">
        <x:v>3</x:v>
      </x:c>
      <x:c r="F1972" s="91" t="n">
        <x:v>1352.49</x:v>
      </x:c>
    </x:row>
    <x:row r="1973">
      <x:c r="A1973" s="83" t="n">
        <x:v>1972</x:v>
      </x:c>
      <x:c r="B1973" s="84" t="n">
        <x:v>1521</x:v>
      </x:c>
      <x:c r="C1973" s="84" t="n">
        <x:v>8</x:v>
      </x:c>
      <x:c r="D1973" s="89" t="n">
        <x:v>45665</x:v>
      </x:c>
      <x:c r="E1973" s="84" t="n">
        <x:v>1</x:v>
      </x:c>
      <x:c r="F1973" s="91" t="n">
        <x:v>1666.19</x:v>
      </x:c>
    </x:row>
    <x:row r="1974">
      <x:c r="A1974" s="83" t="n">
        <x:v>1973</x:v>
      </x:c>
      <x:c r="B1974" s="84" t="n">
        <x:v>1522</x:v>
      </x:c>
      <x:c r="C1974" s="84" t="n">
        <x:v>69</x:v>
      </x:c>
      <x:c r="D1974" s="89" t="n">
        <x:v>45891</x:v>
      </x:c>
      <x:c r="E1974" s="84" t="n">
        <x:v>1</x:v>
      </x:c>
      <x:c r="F1974" s="91" t="n">
        <x:v>1770.33</x:v>
      </x:c>
    </x:row>
    <x:row r="1975">
      <x:c r="A1975" s="83" t="n">
        <x:v>1974</x:v>
      </x:c>
      <x:c r="B1975" s="84" t="n">
        <x:v>1522</x:v>
      </x:c>
      <x:c r="C1975" s="84" t="n">
        <x:v>13</x:v>
      </x:c>
      <x:c r="D1975" s="89" t="n">
        <x:v>45891</x:v>
      </x:c>
      <x:c r="E1975" s="84" t="n">
        <x:v>1</x:v>
      </x:c>
      <x:c r="F1975" s="91" t="n">
        <x:v>802.05</x:v>
      </x:c>
    </x:row>
    <x:row r="1976">
      <x:c r="A1976" s="83" t="n">
        <x:v>1975</x:v>
      </x:c>
      <x:c r="B1976" s="84" t="n">
        <x:v>1522</x:v>
      </x:c>
      <x:c r="C1976" s="84" t="n">
        <x:v>48</x:v>
      </x:c>
      <x:c r="D1976" s="89" t="n">
        <x:v>45891</x:v>
      </x:c>
      <x:c r="E1976" s="84" t="n">
        <x:v>1</x:v>
      </x:c>
      <x:c r="F1976" s="91" t="n">
        <x:v>1161.45</x:v>
      </x:c>
    </x:row>
    <x:row r="1977">
      <x:c r="A1977" s="83" t="n">
        <x:v>1976</x:v>
      </x:c>
      <x:c r="B1977" s="84" t="n">
        <x:v>1525</x:v>
      </x:c>
      <x:c r="C1977" s="84" t="n">
        <x:v>22</x:v>
      </x:c>
      <x:c r="D1977" s="89" t="n">
        <x:v>45939</x:v>
      </x:c>
      <x:c r="E1977" s="84" t="n">
        <x:v>4</x:v>
      </x:c>
      <x:c r="F1977" s="91" t="n">
        <x:v>2087.56</x:v>
      </x:c>
    </x:row>
    <x:row r="1978">
      <x:c r="A1978" s="83" t="n">
        <x:v>1977</x:v>
      </x:c>
      <x:c r="B1978" s="84" t="n">
        <x:v>1525</x:v>
      </x:c>
      <x:c r="C1978" s="84" t="n">
        <x:v>40</x:v>
      </x:c>
      <x:c r="D1978" s="89" t="n">
        <x:v>45939</x:v>
      </x:c>
      <x:c r="E1978" s="84" t="n">
        <x:v>1</x:v>
      </x:c>
      <x:c r="F1978" s="91" t="n">
        <x:v>2035.04</x:v>
      </x:c>
    </x:row>
    <x:row r="1979">
      <x:c r="A1979" s="83" t="n">
        <x:v>1978</x:v>
      </x:c>
      <x:c r="B1979" s="84" t="n">
        <x:v>1527</x:v>
      </x:c>
      <x:c r="C1979" s="84" t="n">
        <x:v>48</x:v>
      </x:c>
      <x:c r="D1979" s="89" t="n">
        <x:v>44973</x:v>
      </x:c>
      <x:c r="E1979" s="84" t="n">
        <x:v>1</x:v>
      </x:c>
      <x:c r="F1979" s="91" t="n">
        <x:v>1161.45</x:v>
      </x:c>
    </x:row>
    <x:row r="1980">
      <x:c r="A1980" s="83" t="n">
        <x:v>1979</x:v>
      </x:c>
      <x:c r="B1980" s="84" t="n">
        <x:v>1527</x:v>
      </x:c>
      <x:c r="C1980" s="84" t="n">
        <x:v>9</x:v>
      </x:c>
      <x:c r="D1980" s="89" t="n">
        <x:v>44973</x:v>
      </x:c>
      <x:c r="E1980" s="84" t="n">
        <x:v>4</x:v>
      </x:c>
      <x:c r="F1980" s="91" t="n">
        <x:v>6300.24</x:v>
      </x:c>
    </x:row>
    <x:row r="1981">
      <x:c r="A1981" s="83" t="n">
        <x:v>1980</x:v>
      </x:c>
      <x:c r="B1981" s="84" t="n">
        <x:v>1528</x:v>
      </x:c>
      <x:c r="C1981" s="84" t="n">
        <x:v>12</x:v>
      </x:c>
      <x:c r="D1981" s="89" t="n">
        <x:v>45199</x:v>
      </x:c>
      <x:c r="E1981" s="84" t="n">
        <x:v>2</x:v>
      </x:c>
      <x:c r="F1981" s="91" t="n">
        <x:v>568.98</x:v>
      </x:c>
    </x:row>
    <x:row r="1982">
      <x:c r="A1982" s="83" t="n">
        <x:v>1981</x:v>
      </x:c>
      <x:c r="B1982" s="84" t="n">
        <x:v>1528</x:v>
      </x:c>
      <x:c r="C1982" s="84" t="n">
        <x:v>29</x:v>
      </x:c>
      <x:c r="D1982" s="89" t="n">
        <x:v>45199</x:v>
      </x:c>
      <x:c r="E1982" s="84" t="n">
        <x:v>2</x:v>
      </x:c>
      <x:c r="F1982" s="91" t="n">
        <x:v>3104.94</x:v>
      </x:c>
    </x:row>
    <x:row r="1983">
      <x:c r="A1983" s="83" t="n">
        <x:v>1982</x:v>
      </x:c>
      <x:c r="B1983" s="84" t="n">
        <x:v>1528</x:v>
      </x:c>
      <x:c r="C1983" s="84" t="n">
        <x:v>72</x:v>
      </x:c>
      <x:c r="D1983" s="89" t="n">
        <x:v>45199</x:v>
      </x:c>
      <x:c r="E1983" s="84" t="n">
        <x:v>4</x:v>
      </x:c>
      <x:c r="F1983" s="91" t="n">
        <x:v>1803.32</x:v>
      </x:c>
    </x:row>
    <x:row r="1984">
      <x:c r="A1984" s="83" t="n">
        <x:v>1983</x:v>
      </x:c>
      <x:c r="B1984" s="84" t="n">
        <x:v>1530</x:v>
      </x:c>
      <x:c r="C1984" s="84" t="n">
        <x:v>64</x:v>
      </x:c>
      <x:c r="D1984" s="89" t="n">
        <x:v>45632</x:v>
      </x:c>
      <x:c r="E1984" s="84" t="n">
        <x:v>2</x:v>
      </x:c>
      <x:c r="F1984" s="91" t="n">
        <x:v>2930.84</x:v>
      </x:c>
    </x:row>
    <x:row r="1985">
      <x:c r="A1985" s="83" t="n">
        <x:v>1984</x:v>
      </x:c>
      <x:c r="B1985" s="84" t="n">
        <x:v>1533</x:v>
      </x:c>
      <x:c r="C1985" s="84" t="n">
        <x:v>50</x:v>
      </x:c>
      <x:c r="D1985" s="89" t="n">
        <x:v>45168</x:v>
      </x:c>
      <x:c r="E1985" s="84" t="n">
        <x:v>4</x:v>
      </x:c>
      <x:c r="F1985" s="91" t="n">
        <x:v>8943.8</x:v>
      </x:c>
    </x:row>
    <x:row r="1986">
      <x:c r="A1986" s="83" t="n">
        <x:v>1985</x:v>
      </x:c>
      <x:c r="B1986" s="84" t="n">
        <x:v>1533</x:v>
      </x:c>
      <x:c r="C1986" s="84" t="n">
        <x:v>76</x:v>
      </x:c>
      <x:c r="D1986" s="89" t="n">
        <x:v>45168</x:v>
      </x:c>
      <x:c r="E1986" s="84" t="n">
        <x:v>2</x:v>
      </x:c>
      <x:c r="F1986" s="91" t="n">
        <x:v>1439.62</x:v>
      </x:c>
    </x:row>
    <x:row r="1987">
      <x:c r="A1987" s="83" t="n">
        <x:v>1986</x:v>
      </x:c>
      <x:c r="B1987" s="84" t="n">
        <x:v>1533</x:v>
      </x:c>
      <x:c r="C1987" s="84" t="n">
        <x:v>66</x:v>
      </x:c>
      <x:c r="D1987" s="89" t="n">
        <x:v>45168</x:v>
      </x:c>
      <x:c r="E1987" s="84" t="n">
        <x:v>1</x:v>
      </x:c>
      <x:c r="F1987" s="91" t="n">
        <x:v>1912.45</x:v>
      </x:c>
    </x:row>
    <x:row r="1988">
      <x:c r="A1988" s="83" t="n">
        <x:v>1987</x:v>
      </x:c>
      <x:c r="B1988" s="84" t="n">
        <x:v>1534</x:v>
      </x:c>
      <x:c r="C1988" s="84" t="n">
        <x:v>45</x:v>
      </x:c>
      <x:c r="D1988" s="89" t="n">
        <x:v>45003</x:v>
      </x:c>
      <x:c r="E1988" s="84" t="n">
        <x:v>3</x:v>
      </x:c>
      <x:c r="F1988" s="91" t="n">
        <x:v>4174.26</x:v>
      </x:c>
    </x:row>
    <x:row r="1989">
      <x:c r="A1989" s="83" t="n">
        <x:v>1988</x:v>
      </x:c>
      <x:c r="B1989" s="84" t="n">
        <x:v>1536</x:v>
      </x:c>
      <x:c r="C1989" s="84" t="n">
        <x:v>46</x:v>
      </x:c>
      <x:c r="D1989" s="89" t="n">
        <x:v>45727</x:v>
      </x:c>
      <x:c r="E1989" s="84" t="n">
        <x:v>3</x:v>
      </x:c>
      <x:c r="F1989" s="91" t="n">
        <x:v>4004.85</x:v>
      </x:c>
    </x:row>
    <x:row r="1990">
      <x:c r="A1990" s="83" t="n">
        <x:v>1989</x:v>
      </x:c>
      <x:c r="B1990" s="84" t="n">
        <x:v>1536</x:v>
      </x:c>
      <x:c r="C1990" s="84" t="n">
        <x:v>45</x:v>
      </x:c>
      <x:c r="D1990" s="89" t="n">
        <x:v>45727</x:v>
      </x:c>
      <x:c r="E1990" s="84" t="n">
        <x:v>3</x:v>
      </x:c>
      <x:c r="F1990" s="91" t="n">
        <x:v>4174.26</x:v>
      </x:c>
    </x:row>
    <x:row r="1991">
      <x:c r="A1991" s="83" t="n">
        <x:v>1990</x:v>
      </x:c>
      <x:c r="B1991" s="84" t="n">
        <x:v>1538</x:v>
      </x:c>
      <x:c r="C1991" s="84" t="n">
        <x:v>12</x:v>
      </x:c>
      <x:c r="D1991" s="89" t="n">
        <x:v>45592</x:v>
      </x:c>
      <x:c r="E1991" s="84" t="n">
        <x:v>1</x:v>
      </x:c>
      <x:c r="F1991" s="91" t="n">
        <x:v>284.49</x:v>
      </x:c>
    </x:row>
    <x:row r="1992">
      <x:c r="A1992" s="83" t="n">
        <x:v>1991</x:v>
      </x:c>
      <x:c r="B1992" s="84" t="n">
        <x:v>1538</x:v>
      </x:c>
      <x:c r="C1992" s="84" t="n">
        <x:v>34</x:v>
      </x:c>
      <x:c r="D1992" s="89" t="n">
        <x:v>45592</x:v>
      </x:c>
      <x:c r="E1992" s="84" t="n">
        <x:v>2</x:v>
      </x:c>
      <x:c r="F1992" s="91" t="n">
        <x:v>3954.18</x:v>
      </x:c>
    </x:row>
    <x:row r="1993">
      <x:c r="A1993" s="83" t="n">
        <x:v>1992</x:v>
      </x:c>
      <x:c r="B1993" s="84" t="n">
        <x:v>1539</x:v>
      </x:c>
      <x:c r="C1993" s="84" t="n">
        <x:v>54</x:v>
      </x:c>
      <x:c r="D1993" s="89" t="n">
        <x:v>45421</x:v>
      </x:c>
      <x:c r="E1993" s="84" t="n">
        <x:v>3</x:v>
      </x:c>
      <x:c r="F1993" s="91" t="n">
        <x:v>2059.2</x:v>
      </x:c>
    </x:row>
    <x:row r="1994">
      <x:c r="A1994" s="83" t="n">
        <x:v>1993</x:v>
      </x:c>
      <x:c r="B1994" s="84" t="n">
        <x:v>1540</x:v>
      </x:c>
      <x:c r="C1994" s="84" t="n">
        <x:v>13</x:v>
      </x:c>
      <x:c r="D1994" s="89" t="n">
        <x:v>45829</x:v>
      </x:c>
      <x:c r="E1994" s="84" t="n">
        <x:v>3</x:v>
      </x:c>
      <x:c r="F1994" s="91" t="n">
        <x:v>2406.15</x:v>
      </x:c>
    </x:row>
    <x:row r="1995">
      <x:c r="A1995" s="83" t="n">
        <x:v>1994</x:v>
      </x:c>
      <x:c r="B1995" s="84" t="n">
        <x:v>1541</x:v>
      </x:c>
      <x:c r="C1995" s="84" t="n">
        <x:v>27</x:v>
      </x:c>
      <x:c r="D1995" s="89" t="n">
        <x:v>45566</x:v>
      </x:c>
      <x:c r="E1995" s="84" t="n">
        <x:v>4</x:v>
      </x:c>
      <x:c r="F1995" s="91" t="n">
        <x:v>642.76</x:v>
      </x:c>
    </x:row>
    <x:row r="1996">
      <x:c r="A1996" s="83" t="n">
        <x:v>1995</x:v>
      </x:c>
      <x:c r="B1996" s="84" t="n">
        <x:v>1541</x:v>
      </x:c>
      <x:c r="C1996" s="84" t="n">
        <x:v>18</x:v>
      </x:c>
      <x:c r="D1996" s="89" t="n">
        <x:v>45566</x:v>
      </x:c>
      <x:c r="E1996" s="84" t="n">
        <x:v>1</x:v>
      </x:c>
      <x:c r="F1996" s="91" t="n">
        <x:v>666.16</x:v>
      </x:c>
    </x:row>
    <x:row r="1997">
      <x:c r="A1997" s="83" t="n">
        <x:v>1996</x:v>
      </x:c>
      <x:c r="B1997" s="84" t="n">
        <x:v>1541</x:v>
      </x:c>
      <x:c r="C1997" s="84" t="n">
        <x:v>40</x:v>
      </x:c>
      <x:c r="D1997" s="89" t="n">
        <x:v>45566</x:v>
      </x:c>
      <x:c r="E1997" s="84" t="n">
        <x:v>3</x:v>
      </x:c>
      <x:c r="F1997" s="91" t="n">
        <x:v>6105.12</x:v>
      </x:c>
    </x:row>
    <x:row r="1998">
      <x:c r="A1998" s="83" t="n">
        <x:v>1997</x:v>
      </x:c>
      <x:c r="B1998" s="84" t="n">
        <x:v>1542</x:v>
      </x:c>
      <x:c r="C1998" s="84" t="n">
        <x:v>25</x:v>
      </x:c>
      <x:c r="D1998" s="89" t="n">
        <x:v>45291</x:v>
      </x:c>
      <x:c r="E1998" s="84" t="n">
        <x:v>3</x:v>
      </x:c>
      <x:c r="F1998" s="91" t="n">
        <x:v>3238.35</x:v>
      </x:c>
    </x:row>
    <x:row r="1999">
      <x:c r="A1999" s="83" t="n">
        <x:v>1998</x:v>
      </x:c>
      <x:c r="B1999" s="84" t="n">
        <x:v>1542</x:v>
      </x:c>
      <x:c r="C1999" s="84" t="n">
        <x:v>22</x:v>
      </x:c>
      <x:c r="D1999" s="89" t="n">
        <x:v>45291</x:v>
      </x:c>
      <x:c r="E1999" s="84" t="n">
        <x:v>4</x:v>
      </x:c>
      <x:c r="F1999" s="91" t="n">
        <x:v>2087.56</x:v>
      </x:c>
    </x:row>
    <x:row r="2000">
      <x:c r="A2000" s="83" t="n">
        <x:v>1999</x:v>
      </x:c>
      <x:c r="B2000" s="84" t="n">
        <x:v>1542</x:v>
      </x:c>
      <x:c r="C2000" s="84" t="n">
        <x:v>15</x:v>
      </x:c>
      <x:c r="D2000" s="89" t="n">
        <x:v>45291</x:v>
      </x:c>
      <x:c r="E2000" s="84" t="n">
        <x:v>1</x:v>
      </x:c>
      <x:c r="F2000" s="91" t="n">
        <x:v>1234.61</x:v>
      </x:c>
    </x:row>
    <x:row r="2001">
      <x:c r="A2001" s="83" t="n">
        <x:v>2000</x:v>
      </x:c>
      <x:c r="B2001" s="84" t="n">
        <x:v>1543</x:v>
      </x:c>
      <x:c r="C2001" s="84" t="n">
        <x:v>21</x:v>
      </x:c>
      <x:c r="D2001" s="89" t="n">
        <x:v>45875</x:v>
      </x:c>
      <x:c r="E2001" s="84" t="n">
        <x:v>1</x:v>
      </x:c>
      <x:c r="F2001" s="91" t="n">
        <x:v>2288.87</x:v>
      </x:c>
    </x:row>
    <x:row r="2002">
      <x:c r="A2002" s="83" t="n">
        <x:v>2001</x:v>
      </x:c>
      <x:c r="B2002" s="84" t="n">
        <x:v>1543</x:v>
      </x:c>
      <x:c r="C2002" s="84" t="n">
        <x:v>35</x:v>
      </x:c>
      <x:c r="D2002" s="89" t="n">
        <x:v>45875</x:v>
      </x:c>
      <x:c r="E2002" s="84" t="n">
        <x:v>3</x:v>
      </x:c>
      <x:c r="F2002" s="91" t="n">
        <x:v>4412.34</x:v>
      </x:c>
    </x:row>
    <x:row r="2003">
      <x:c r="A2003" s="83" t="n">
        <x:v>2002</x:v>
      </x:c>
      <x:c r="B2003" s="84" t="n">
        <x:v>1544</x:v>
      </x:c>
      <x:c r="C2003" s="84" t="n">
        <x:v>47</x:v>
      </x:c>
      <x:c r="D2003" s="89" t="n">
        <x:v>45831</x:v>
      </x:c>
      <x:c r="E2003" s="84" t="n">
        <x:v>1</x:v>
      </x:c>
      <x:c r="F2003" s="91" t="n">
        <x:v>2175.62</x:v>
      </x:c>
    </x:row>
    <x:row r="2004">
      <x:c r="A2004" s="83" t="n">
        <x:v>2003</x:v>
      </x:c>
      <x:c r="B2004" s="84" t="n">
        <x:v>1544</x:v>
      </x:c>
      <x:c r="C2004" s="84" t="n">
        <x:v>34</x:v>
      </x:c>
      <x:c r="D2004" s="89" t="n">
        <x:v>45831</x:v>
      </x:c>
      <x:c r="E2004" s="84" t="n">
        <x:v>4</x:v>
      </x:c>
      <x:c r="F2004" s="91" t="n">
        <x:v>7908.36</x:v>
      </x:c>
    </x:row>
    <x:row r="2005">
      <x:c r="A2005" s="83" t="n">
        <x:v>2004</x:v>
      </x:c>
      <x:c r="B2005" s="84" t="n">
        <x:v>1545</x:v>
      </x:c>
      <x:c r="C2005" s="84" t="n">
        <x:v>26</x:v>
      </x:c>
      <x:c r="D2005" s="89" t="n">
        <x:v>45770</x:v>
      </x:c>
      <x:c r="E2005" s="84" t="n">
        <x:v>4</x:v>
      </x:c>
      <x:c r="F2005" s="91" t="n">
        <x:v>8604</x:v>
      </x:c>
    </x:row>
    <x:row r="2006">
      <x:c r="A2006" s="83" t="n">
        <x:v>2005</x:v>
      </x:c>
      <x:c r="B2006" s="84" t="n">
        <x:v>1546</x:v>
      </x:c>
      <x:c r="C2006" s="84" t="n">
        <x:v>36</x:v>
      </x:c>
      <x:c r="D2006" s="89" t="n">
        <x:v>44991</x:v>
      </x:c>
      <x:c r="E2006" s="84" t="n">
        <x:v>3</x:v>
      </x:c>
      <x:c r="F2006" s="91" t="n">
        <x:v>1789.23</x:v>
      </x:c>
    </x:row>
    <x:row r="2007">
      <x:c r="A2007" s="83" t="n">
        <x:v>2006</x:v>
      </x:c>
      <x:c r="B2007" s="84" t="n">
        <x:v>1546</x:v>
      </x:c>
      <x:c r="C2007" s="84" t="n">
        <x:v>77</x:v>
      </x:c>
      <x:c r="D2007" s="89" t="n">
        <x:v>44991</x:v>
      </x:c>
      <x:c r="E2007" s="84" t="n">
        <x:v>3</x:v>
      </x:c>
      <x:c r="F2007" s="91" t="n">
        <x:v>6308.73</x:v>
      </x:c>
    </x:row>
    <x:row r="2008">
      <x:c r="A2008" s="83" t="n">
        <x:v>2007</x:v>
      </x:c>
      <x:c r="B2008" s="84" t="n">
        <x:v>1546</x:v>
      </x:c>
      <x:c r="C2008" s="84" t="n">
        <x:v>14</x:v>
      </x:c>
      <x:c r="D2008" s="89" t="n">
        <x:v>44991</x:v>
      </x:c>
      <x:c r="E2008" s="84" t="n">
        <x:v>1</x:v>
      </x:c>
      <x:c r="F2008" s="91" t="n">
        <x:v>175.72</x:v>
      </x:c>
    </x:row>
    <x:row r="2009">
      <x:c r="A2009" s="83" t="n">
        <x:v>2008</x:v>
      </x:c>
      <x:c r="B2009" s="84" t="n">
        <x:v>1549</x:v>
      </x:c>
      <x:c r="C2009" s="84" t="n">
        <x:v>10</x:v>
      </x:c>
      <x:c r="D2009" s="89" t="n">
        <x:v>45476</x:v>
      </x:c>
      <x:c r="E2009" s="84" t="n">
        <x:v>3</x:v>
      </x:c>
      <x:c r="F2009" s="91" t="n">
        <x:v>2624.58</x:v>
      </x:c>
    </x:row>
    <x:row r="2010">
      <x:c r="A2010" s="83" t="n">
        <x:v>2009</x:v>
      </x:c>
      <x:c r="B2010" s="84" t="n">
        <x:v>1549</x:v>
      </x:c>
      <x:c r="C2010" s="84" t="n">
        <x:v>33</x:v>
      </x:c>
      <x:c r="D2010" s="89" t="n">
        <x:v>45476</x:v>
      </x:c>
      <x:c r="E2010" s="84" t="n">
        <x:v>1</x:v>
      </x:c>
      <x:c r="F2010" s="91" t="n">
        <x:v>2346.92</x:v>
      </x:c>
    </x:row>
    <x:row r="2011">
      <x:c r="A2011" s="83" t="n">
        <x:v>2010</x:v>
      </x:c>
      <x:c r="B2011" s="84" t="n">
        <x:v>1550</x:v>
      </x:c>
      <x:c r="C2011" s="84" t="n">
        <x:v>71</x:v>
      </x:c>
      <x:c r="D2011" s="89" t="n">
        <x:v>45844</x:v>
      </x:c>
      <x:c r="E2011" s="84" t="n">
        <x:v>2</x:v>
      </x:c>
      <x:c r="F2011" s="91" t="n">
        <x:v>3967.04</x:v>
      </x:c>
    </x:row>
    <x:row r="2012">
      <x:c r="A2012" s="83" t="n">
        <x:v>2011</x:v>
      </x:c>
      <x:c r="B2012" s="84" t="n">
        <x:v>1550</x:v>
      </x:c>
      <x:c r="C2012" s="84" t="n">
        <x:v>67</x:v>
      </x:c>
      <x:c r="D2012" s="89" t="n">
        <x:v>45844</x:v>
      </x:c>
      <x:c r="E2012" s="84" t="n">
        <x:v>2</x:v>
      </x:c>
      <x:c r="F2012" s="91" t="n">
        <x:v>2559.06</x:v>
      </x:c>
    </x:row>
    <x:row r="2013">
      <x:c r="A2013" s="83" t="n">
        <x:v>2012</x:v>
      </x:c>
      <x:c r="B2013" s="84" t="n">
        <x:v>1551</x:v>
      </x:c>
      <x:c r="C2013" s="84" t="n">
        <x:v>46</x:v>
      </x:c>
      <x:c r="D2013" s="89" t="n">
        <x:v>45960</x:v>
      </x:c>
      <x:c r="E2013" s="84" t="n">
        <x:v>1</x:v>
      </x:c>
      <x:c r="F2013" s="91" t="n">
        <x:v>1334.95</x:v>
      </x:c>
    </x:row>
    <x:row r="2014">
      <x:c r="A2014" s="83" t="n">
        <x:v>2013</x:v>
      </x:c>
      <x:c r="B2014" s="84" t="n">
        <x:v>1552</x:v>
      </x:c>
      <x:c r="C2014" s="84" t="n">
        <x:v>67</x:v>
      </x:c>
      <x:c r="D2014" s="89" t="n">
        <x:v>45185</x:v>
      </x:c>
      <x:c r="E2014" s="84" t="n">
        <x:v>3</x:v>
      </x:c>
      <x:c r="F2014" s="91" t="n">
        <x:v>3838.59</x:v>
      </x:c>
    </x:row>
    <x:row r="2015">
      <x:c r="A2015" s="83" t="n">
        <x:v>2014</x:v>
      </x:c>
      <x:c r="B2015" s="84" t="n">
        <x:v>1552</x:v>
      </x:c>
      <x:c r="C2015" s="84" t="n">
        <x:v>32</x:v>
      </x:c>
      <x:c r="D2015" s="89" t="n">
        <x:v>45185</x:v>
      </x:c>
      <x:c r="E2015" s="84" t="n">
        <x:v>1</x:v>
      </x:c>
      <x:c r="F2015" s="91" t="n">
        <x:v>1813.25</x:v>
      </x:c>
    </x:row>
    <x:row r="2016">
      <x:c r="A2016" s="83" t="n">
        <x:v>2015</x:v>
      </x:c>
      <x:c r="B2016" s="84" t="n">
        <x:v>1553</x:v>
      </x:c>
      <x:c r="C2016" s="84" t="n">
        <x:v>44</x:v>
      </x:c>
      <x:c r="D2016" s="89" t="n">
        <x:v>44975</x:v>
      </x:c>
      <x:c r="E2016" s="84" t="n">
        <x:v>1</x:v>
      </x:c>
      <x:c r="F2016" s="91" t="n">
        <x:v>1251.48</x:v>
      </x:c>
    </x:row>
    <x:row r="2017">
      <x:c r="A2017" s="83" t="n">
        <x:v>2016</x:v>
      </x:c>
      <x:c r="B2017" s="84" t="n">
        <x:v>1553</x:v>
      </x:c>
      <x:c r="C2017" s="84" t="n">
        <x:v>9</x:v>
      </x:c>
      <x:c r="D2017" s="89" t="n">
        <x:v>44975</x:v>
      </x:c>
      <x:c r="E2017" s="84" t="n">
        <x:v>2</x:v>
      </x:c>
      <x:c r="F2017" s="91" t="n">
        <x:v>3150.12</x:v>
      </x:c>
    </x:row>
    <x:row r="2018">
      <x:c r="A2018" s="83" t="n">
        <x:v>2017</x:v>
      </x:c>
      <x:c r="B2018" s="84" t="n">
        <x:v>1555</x:v>
      </x:c>
      <x:c r="C2018" s="84" t="n">
        <x:v>15</x:v>
      </x:c>
      <x:c r="D2018" s="89" t="n">
        <x:v>45549</x:v>
      </x:c>
      <x:c r="E2018" s="84" t="n">
        <x:v>3</x:v>
      </x:c>
      <x:c r="F2018" s="91" t="n">
        <x:v>3703.83</x:v>
      </x:c>
    </x:row>
    <x:row r="2019">
      <x:c r="A2019" s="83" t="n">
        <x:v>2018</x:v>
      </x:c>
      <x:c r="B2019" s="84" t="n">
        <x:v>1555</x:v>
      </x:c>
      <x:c r="C2019" s="84" t="n">
        <x:v>78</x:v>
      </x:c>
      <x:c r="D2019" s="89" t="n">
        <x:v>45549</x:v>
      </x:c>
      <x:c r="E2019" s="84" t="n">
        <x:v>3</x:v>
      </x:c>
      <x:c r="F2019" s="91" t="n">
        <x:v>850.8</x:v>
      </x:c>
    </x:row>
    <x:row r="2020">
      <x:c r="A2020" s="83" t="n">
        <x:v>2019</x:v>
      </x:c>
      <x:c r="B2020" s="84" t="n">
        <x:v>1557</x:v>
      </x:c>
      <x:c r="C2020" s="84" t="n">
        <x:v>43</x:v>
      </x:c>
      <x:c r="D2020" s="89" t="n">
        <x:v>45051</x:v>
      </x:c>
      <x:c r="E2020" s="84" t="n">
        <x:v>1</x:v>
      </x:c>
      <x:c r="F2020" s="91" t="n">
        <x:v>1465.42</x:v>
      </x:c>
    </x:row>
    <x:row r="2021">
      <x:c r="A2021" s="83" t="n">
        <x:v>2020</x:v>
      </x:c>
      <x:c r="B2021" s="84" t="n">
        <x:v>1558</x:v>
      </x:c>
      <x:c r="C2021" s="84" t="n">
        <x:v>37</x:v>
      </x:c>
      <x:c r="D2021" s="89" t="n">
        <x:v>45336</x:v>
      </x:c>
      <x:c r="E2021" s="84" t="n">
        <x:v>2</x:v>
      </x:c>
      <x:c r="F2021" s="91" t="n">
        <x:v>2067.42</x:v>
      </x:c>
    </x:row>
    <x:row r="2022">
      <x:c r="A2022" s="83" t="n">
        <x:v>2021</x:v>
      </x:c>
      <x:c r="B2022" s="84" t="n">
        <x:v>1558</x:v>
      </x:c>
      <x:c r="C2022" s="84" t="n">
        <x:v>72</x:v>
      </x:c>
      <x:c r="D2022" s="89" t="n">
        <x:v>45336</x:v>
      </x:c>
      <x:c r="E2022" s="84" t="n">
        <x:v>3</x:v>
      </x:c>
      <x:c r="F2022" s="91" t="n">
        <x:v>1352.49</x:v>
      </x:c>
    </x:row>
    <x:row r="2023">
      <x:c r="A2023" s="83" t="n">
        <x:v>2022</x:v>
      </x:c>
      <x:c r="B2023" s="84" t="n">
        <x:v>1558</x:v>
      </x:c>
      <x:c r="C2023" s="84" t="n">
        <x:v>54</x:v>
      </x:c>
      <x:c r="D2023" s="89" t="n">
        <x:v>45336</x:v>
      </x:c>
      <x:c r="E2023" s="84" t="n">
        <x:v>4</x:v>
      </x:c>
      <x:c r="F2023" s="91" t="n">
        <x:v>2745.6</x:v>
      </x:c>
    </x:row>
    <x:row r="2024">
      <x:c r="A2024" s="83" t="n">
        <x:v>2023</x:v>
      </x:c>
      <x:c r="B2024" s="84" t="n">
        <x:v>1561</x:v>
      </x:c>
      <x:c r="C2024" s="84" t="n">
        <x:v>72</x:v>
      </x:c>
      <x:c r="D2024" s="89" t="n">
        <x:v>45809</x:v>
      </x:c>
      <x:c r="E2024" s="84" t="n">
        <x:v>1</x:v>
      </x:c>
      <x:c r="F2024" s="91" t="n">
        <x:v>450.83</x:v>
      </x:c>
    </x:row>
    <x:row r="2025">
      <x:c r="A2025" s="83" t="n">
        <x:v>2024</x:v>
      </x:c>
      <x:c r="B2025" s="84" t="n">
        <x:v>1562</x:v>
      </x:c>
      <x:c r="C2025" s="84" t="n">
        <x:v>6</x:v>
      </x:c>
      <x:c r="D2025" s="89" t="n">
        <x:v>45700</x:v>
      </x:c>
      <x:c r="E2025" s="84" t="n">
        <x:v>4</x:v>
      </x:c>
      <x:c r="F2025" s="91" t="n">
        <x:v>2789.48</x:v>
      </x:c>
    </x:row>
    <x:row r="2026">
      <x:c r="A2026" s="83" t="n">
        <x:v>2025</x:v>
      </x:c>
      <x:c r="B2026" s="84" t="n">
        <x:v>1562</x:v>
      </x:c>
      <x:c r="C2026" s="84" t="n">
        <x:v>54</x:v>
      </x:c>
      <x:c r="D2026" s="89" t="n">
        <x:v>45700</x:v>
      </x:c>
      <x:c r="E2026" s="84" t="n">
        <x:v>4</x:v>
      </x:c>
      <x:c r="F2026" s="91" t="n">
        <x:v>2745.6</x:v>
      </x:c>
    </x:row>
    <x:row r="2027">
      <x:c r="A2027" s="83" t="n">
        <x:v>2026</x:v>
      </x:c>
      <x:c r="B2027" s="84" t="n">
        <x:v>1562</x:v>
      </x:c>
      <x:c r="C2027" s="84" t="n">
        <x:v>38</x:v>
      </x:c>
      <x:c r="D2027" s="89" t="n">
        <x:v>45700</x:v>
      </x:c>
      <x:c r="E2027" s="84" t="n">
        <x:v>2</x:v>
      </x:c>
      <x:c r="F2027" s="91" t="n">
        <x:v>1452.98</x:v>
      </x:c>
    </x:row>
    <x:row r="2028">
      <x:c r="A2028" s="83" t="n">
        <x:v>2027</x:v>
      </x:c>
      <x:c r="B2028" s="84" t="n">
        <x:v>1565</x:v>
      </x:c>
      <x:c r="C2028" s="84" t="n">
        <x:v>39</x:v>
      </x:c>
      <x:c r="D2028" s="89" t="n">
        <x:v>45289</x:v>
      </x:c>
      <x:c r="E2028" s="84" t="n">
        <x:v>1</x:v>
      </x:c>
      <x:c r="F2028" s="91" t="n">
        <x:v>677.6</x:v>
      </x:c>
    </x:row>
    <x:row r="2029">
      <x:c r="A2029" s="83" t="n">
        <x:v>2028</x:v>
      </x:c>
      <x:c r="B2029" s="84" t="n">
        <x:v>1566</x:v>
      </x:c>
      <x:c r="C2029" s="84" t="n">
        <x:v>24</x:v>
      </x:c>
      <x:c r="D2029" s="89" t="n">
        <x:v>45380</x:v>
      </x:c>
      <x:c r="E2029" s="84" t="n">
        <x:v>3</x:v>
      </x:c>
      <x:c r="F2029" s="91" t="n">
        <x:v>2222.73</x:v>
      </x:c>
    </x:row>
    <x:row r="2030">
      <x:c r="A2030" s="83" t="n">
        <x:v>2029</x:v>
      </x:c>
      <x:c r="B2030" s="84" t="n">
        <x:v>1567</x:v>
      </x:c>
      <x:c r="C2030" s="84" t="n">
        <x:v>49</x:v>
      </x:c>
      <x:c r="D2030" s="89" t="n">
        <x:v>45274</x:v>
      </x:c>
      <x:c r="E2030" s="84" t="n">
        <x:v>3</x:v>
      </x:c>
      <x:c r="F2030" s="91" t="n">
        <x:v>552.48</x:v>
      </x:c>
    </x:row>
    <x:row r="2031">
      <x:c r="A2031" s="83" t="n">
        <x:v>2030</x:v>
      </x:c>
      <x:c r="B2031" s="84" t="n">
        <x:v>1567</x:v>
      </x:c>
      <x:c r="C2031" s="84" t="n">
        <x:v>73</x:v>
      </x:c>
      <x:c r="D2031" s="89" t="n">
        <x:v>45274</x:v>
      </x:c>
      <x:c r="E2031" s="84" t="n">
        <x:v>1</x:v>
      </x:c>
      <x:c r="F2031" s="91" t="n">
        <x:v>1127.31</x:v>
      </x:c>
    </x:row>
    <x:row r="2032">
      <x:c r="A2032" s="83" t="n">
        <x:v>2031</x:v>
      </x:c>
      <x:c r="B2032" s="84" t="n">
        <x:v>1567</x:v>
      </x:c>
      <x:c r="C2032" s="84" t="n">
        <x:v>36</x:v>
      </x:c>
      <x:c r="D2032" s="89" t="n">
        <x:v>45274</x:v>
      </x:c>
      <x:c r="E2032" s="84" t="n">
        <x:v>4</x:v>
      </x:c>
      <x:c r="F2032" s="91" t="n">
        <x:v>2385.64</x:v>
      </x:c>
    </x:row>
    <x:row r="2033">
      <x:c r="A2033" s="83" t="n">
        <x:v>2032</x:v>
      </x:c>
      <x:c r="B2033" s="84" t="n">
        <x:v>1568</x:v>
      </x:c>
      <x:c r="C2033" s="84" t="n">
        <x:v>36</x:v>
      </x:c>
      <x:c r="D2033" s="89" t="n">
        <x:v>45913</x:v>
      </x:c>
      <x:c r="E2033" s="84" t="n">
        <x:v>1</x:v>
      </x:c>
      <x:c r="F2033" s="91" t="n">
        <x:v>596.41</x:v>
      </x:c>
    </x:row>
    <x:row r="2034">
      <x:c r="A2034" s="83" t="n">
        <x:v>2033</x:v>
      </x:c>
      <x:c r="B2034" s="84" t="n">
        <x:v>1568</x:v>
      </x:c>
      <x:c r="C2034" s="84" t="n">
        <x:v>6</x:v>
      </x:c>
      <x:c r="D2034" s="89" t="n">
        <x:v>45913</x:v>
      </x:c>
      <x:c r="E2034" s="84" t="n">
        <x:v>1</x:v>
      </x:c>
      <x:c r="F2034" s="91" t="n">
        <x:v>697.37</x:v>
      </x:c>
    </x:row>
    <x:row r="2035">
      <x:c r="A2035" s="83" t="n">
        <x:v>2034</x:v>
      </x:c>
      <x:c r="B2035" s="84" t="n">
        <x:v>1568</x:v>
      </x:c>
      <x:c r="C2035" s="84" t="n">
        <x:v>49</x:v>
      </x:c>
      <x:c r="D2035" s="89" t="n">
        <x:v>45913</x:v>
      </x:c>
      <x:c r="E2035" s="84" t="n">
        <x:v>3</x:v>
      </x:c>
      <x:c r="F2035" s="91" t="n">
        <x:v>552.48</x:v>
      </x:c>
    </x:row>
    <x:row r="2036">
      <x:c r="A2036" s="83" t="n">
        <x:v>2035</x:v>
      </x:c>
      <x:c r="B2036" s="84" t="n">
        <x:v>1571</x:v>
      </x:c>
      <x:c r="C2036" s="84" t="n">
        <x:v>4</x:v>
      </x:c>
      <x:c r="D2036" s="89" t="n">
        <x:v>45086</x:v>
      </x:c>
      <x:c r="E2036" s="84" t="n">
        <x:v>3</x:v>
      </x:c>
      <x:c r="F2036" s="91" t="n">
        <x:v>4575.93</x:v>
      </x:c>
    </x:row>
    <x:row r="2037">
      <x:c r="A2037" s="83" t="n">
        <x:v>2036</x:v>
      </x:c>
      <x:c r="B2037" s="84" t="n">
        <x:v>1571</x:v>
      </x:c>
      <x:c r="C2037" s="84" t="n">
        <x:v>39</x:v>
      </x:c>
      <x:c r="D2037" s="89" t="n">
        <x:v>45086</x:v>
      </x:c>
      <x:c r="E2037" s="84" t="n">
        <x:v>3</x:v>
      </x:c>
      <x:c r="F2037" s="91" t="n">
        <x:v>2032.8</x:v>
      </x:c>
    </x:row>
    <x:row r="2038">
      <x:c r="A2038" s="83" t="n">
        <x:v>2037</x:v>
      </x:c>
      <x:c r="B2038" s="84" t="n">
        <x:v>1573</x:v>
      </x:c>
      <x:c r="C2038" s="84" t="n">
        <x:v>56</x:v>
      </x:c>
      <x:c r="D2038" s="89" t="n">
        <x:v>45866</x:v>
      </x:c>
      <x:c r="E2038" s="84" t="n">
        <x:v>4</x:v>
      </x:c>
      <x:c r="F2038" s="91" t="n">
        <x:v>5873.84</x:v>
      </x:c>
    </x:row>
    <x:row r="2039">
      <x:c r="A2039" s="83" t="n">
        <x:v>2038</x:v>
      </x:c>
      <x:c r="B2039" s="84" t="n">
        <x:v>1575</x:v>
      </x:c>
      <x:c r="C2039" s="84" t="n">
        <x:v>72</x:v>
      </x:c>
      <x:c r="D2039" s="89" t="n">
        <x:v>44955</x:v>
      </x:c>
      <x:c r="E2039" s="84" t="n">
        <x:v>4</x:v>
      </x:c>
      <x:c r="F2039" s="91" t="n">
        <x:v>1803.32</x:v>
      </x:c>
    </x:row>
    <x:row r="2040">
      <x:c r="A2040" s="83" t="n">
        <x:v>2039</x:v>
      </x:c>
      <x:c r="B2040" s="84" t="n">
        <x:v>1577</x:v>
      </x:c>
      <x:c r="C2040" s="84" t="n">
        <x:v>66</x:v>
      </x:c>
      <x:c r="D2040" s="89" t="n">
        <x:v>45116</x:v>
      </x:c>
      <x:c r="E2040" s="84" t="n">
        <x:v>4</x:v>
      </x:c>
      <x:c r="F2040" s="91" t="n">
        <x:v>7649.8</x:v>
      </x:c>
    </x:row>
    <x:row r="2041">
      <x:c r="A2041" s="83" t="n">
        <x:v>2040</x:v>
      </x:c>
      <x:c r="B2041" s="84" t="n">
        <x:v>1578</x:v>
      </x:c>
      <x:c r="C2041" s="84" t="n">
        <x:v>35</x:v>
      </x:c>
      <x:c r="D2041" s="89" t="n">
        <x:v>45312</x:v>
      </x:c>
      <x:c r="E2041" s="84" t="n">
        <x:v>1</x:v>
      </x:c>
      <x:c r="F2041" s="91" t="n">
        <x:v>1470.78</x:v>
      </x:c>
    </x:row>
    <x:row r="2042">
      <x:c r="A2042" s="83" t="n">
        <x:v>2041</x:v>
      </x:c>
      <x:c r="B2042" s="84" t="n">
        <x:v>1578</x:v>
      </x:c>
      <x:c r="C2042" s="84" t="n">
        <x:v>57</x:v>
      </x:c>
      <x:c r="D2042" s="89" t="n">
        <x:v>45312</x:v>
      </x:c>
      <x:c r="E2042" s="84" t="n">
        <x:v>3</x:v>
      </x:c>
      <x:c r="F2042" s="91" t="n">
        <x:v>3537.18</x:v>
      </x:c>
    </x:row>
    <x:row r="2043">
      <x:c r="A2043" s="83" t="n">
        <x:v>2042</x:v>
      </x:c>
      <x:c r="B2043" s="84" t="n">
        <x:v>1578</x:v>
      </x:c>
      <x:c r="C2043" s="84" t="n">
        <x:v>40</x:v>
      </x:c>
      <x:c r="D2043" s="89" t="n">
        <x:v>45312</x:v>
      </x:c>
      <x:c r="E2043" s="84" t="n">
        <x:v>3</x:v>
      </x:c>
      <x:c r="F2043" s="91" t="n">
        <x:v>6105.12</x:v>
      </x:c>
    </x:row>
    <x:row r="2044">
      <x:c r="A2044" s="83" t="n">
        <x:v>2043</x:v>
      </x:c>
      <x:c r="B2044" s="84" t="n">
        <x:v>1579</x:v>
      </x:c>
      <x:c r="C2044" s="84" t="n">
        <x:v>70</x:v>
      </x:c>
      <x:c r="D2044" s="89" t="n">
        <x:v>45474</x:v>
      </x:c>
      <x:c r="E2044" s="84" t="n">
        <x:v>4</x:v>
      </x:c>
      <x:c r="F2044" s="91" t="n">
        <x:v>3078.16</x:v>
      </x:c>
    </x:row>
    <x:row r="2045">
      <x:c r="A2045" s="83" t="n">
        <x:v>2044</x:v>
      </x:c>
      <x:c r="B2045" s="84" t="n">
        <x:v>1579</x:v>
      </x:c>
      <x:c r="C2045" s="84" t="n">
        <x:v>57</x:v>
      </x:c>
      <x:c r="D2045" s="89" t="n">
        <x:v>45474</x:v>
      </x:c>
      <x:c r="E2045" s="84" t="n">
        <x:v>2</x:v>
      </x:c>
      <x:c r="F2045" s="91" t="n">
        <x:v>2358.12</x:v>
      </x:c>
    </x:row>
    <x:row r="2046">
      <x:c r="A2046" s="83" t="n">
        <x:v>2045</x:v>
      </x:c>
      <x:c r="B2046" s="84" t="n">
        <x:v>1579</x:v>
      </x:c>
      <x:c r="C2046" s="84" t="n">
        <x:v>13</x:v>
      </x:c>
      <x:c r="D2046" s="89" t="n">
        <x:v>45474</x:v>
      </x:c>
      <x:c r="E2046" s="84" t="n">
        <x:v>2</x:v>
      </x:c>
      <x:c r="F2046" s="91" t="n">
        <x:v>1604.1</x:v>
      </x:c>
    </x:row>
    <x:row r="2047">
      <x:c r="A2047" s="83" t="n">
        <x:v>2046</x:v>
      </x:c>
      <x:c r="B2047" s="84" t="n">
        <x:v>1580</x:v>
      </x:c>
      <x:c r="C2047" s="84" t="n">
        <x:v>46</x:v>
      </x:c>
      <x:c r="D2047" s="89" t="n">
        <x:v>45267</x:v>
      </x:c>
      <x:c r="E2047" s="84" t="n">
        <x:v>4</x:v>
      </x:c>
      <x:c r="F2047" s="91" t="n">
        <x:v>5339.8</x:v>
      </x:c>
    </x:row>
    <x:row r="2048">
      <x:c r="A2048" s="83" t="n">
        <x:v>2047</x:v>
      </x:c>
      <x:c r="B2048" s="84" t="n">
        <x:v>1580</x:v>
      </x:c>
      <x:c r="C2048" s="84" t="n">
        <x:v>50</x:v>
      </x:c>
      <x:c r="D2048" s="89" t="n">
        <x:v>45267</x:v>
      </x:c>
      <x:c r="E2048" s="84" t="n">
        <x:v>2</x:v>
      </x:c>
      <x:c r="F2048" s="91" t="n">
        <x:v>4471.9</x:v>
      </x:c>
    </x:row>
    <x:row r="2049">
      <x:c r="A2049" s="83" t="n">
        <x:v>2048</x:v>
      </x:c>
      <x:c r="B2049" s="84" t="n">
        <x:v>1582</x:v>
      </x:c>
      <x:c r="C2049" s="84" t="n">
        <x:v>20</x:v>
      </x:c>
      <x:c r="D2049" s="89" t="n">
        <x:v>45851</x:v>
      </x:c>
      <x:c r="E2049" s="84" t="n">
        <x:v>4</x:v>
      </x:c>
      <x:c r="F2049" s="91" t="n">
        <x:v>2164.8</x:v>
      </x:c>
    </x:row>
    <x:row r="2050">
      <x:c r="A2050" s="83" t="n">
        <x:v>2049</x:v>
      </x:c>
      <x:c r="B2050" s="84" t="n">
        <x:v>1582</x:v>
      </x:c>
      <x:c r="C2050" s="84" t="n">
        <x:v>62</x:v>
      </x:c>
      <x:c r="D2050" s="89" t="n">
        <x:v>45851</x:v>
      </x:c>
      <x:c r="E2050" s="84" t="n">
        <x:v>1</x:v>
      </x:c>
      <x:c r="F2050" s="91" t="n">
        <x:v>1517.31</x:v>
      </x:c>
    </x:row>
    <x:row r="2051">
      <x:c r="A2051" s="83" t="n">
        <x:v>2050</x:v>
      </x:c>
      <x:c r="B2051" s="84" t="n">
        <x:v>1583</x:v>
      </x:c>
      <x:c r="C2051" s="84" t="n">
        <x:v>65</x:v>
      </x:c>
      <x:c r="D2051" s="89" t="n">
        <x:v>45715</x:v>
      </x:c>
      <x:c r="E2051" s="84" t="n">
        <x:v>1</x:v>
      </x:c>
      <x:c r="F2051" s="91" t="n">
        <x:v>1254.84</x:v>
      </x:c>
    </x:row>
    <x:row r="2052">
      <x:c r="A2052" s="83" t="n">
        <x:v>2051</x:v>
      </x:c>
      <x:c r="B2052" s="84" t="n">
        <x:v>1583</x:v>
      </x:c>
      <x:c r="C2052" s="84" t="n">
        <x:v>80</x:v>
      </x:c>
      <x:c r="D2052" s="89" t="n">
        <x:v>45715</x:v>
      </x:c>
      <x:c r="E2052" s="84" t="n">
        <x:v>1</x:v>
      </x:c>
      <x:c r="F2052" s="91" t="n">
        <x:v>1728.54</x:v>
      </x:c>
    </x:row>
    <x:row r="2053">
      <x:c r="A2053" s="83" t="n">
        <x:v>2052</x:v>
      </x:c>
      <x:c r="B2053" s="84" t="n">
        <x:v>1584</x:v>
      </x:c>
      <x:c r="C2053" s="84" t="n">
        <x:v>26</x:v>
      </x:c>
      <x:c r="D2053" s="89" t="n">
        <x:v>45983</x:v>
      </x:c>
      <x:c r="E2053" s="84" t="n">
        <x:v>3</x:v>
      </x:c>
      <x:c r="F2053" s="91" t="n">
        <x:v>6453</x:v>
      </x:c>
    </x:row>
    <x:row r="2054">
      <x:c r="A2054" s="83" t="n">
        <x:v>2053</x:v>
      </x:c>
      <x:c r="B2054" s="84" t="n">
        <x:v>1584</x:v>
      </x:c>
      <x:c r="C2054" s="84" t="n">
        <x:v>62</x:v>
      </x:c>
      <x:c r="D2054" s="89" t="n">
        <x:v>45983</x:v>
      </x:c>
      <x:c r="E2054" s="84" t="n">
        <x:v>1</x:v>
      </x:c>
      <x:c r="F2054" s="91" t="n">
        <x:v>1517.31</x:v>
      </x:c>
    </x:row>
    <x:row r="2055">
      <x:c r="A2055" s="83" t="n">
        <x:v>2054</x:v>
      </x:c>
      <x:c r="B2055" s="84" t="n">
        <x:v>1586</x:v>
      </x:c>
      <x:c r="C2055" s="84" t="n">
        <x:v>52</x:v>
      </x:c>
      <x:c r="D2055" s="89" t="n">
        <x:v>45411</x:v>
      </x:c>
      <x:c r="E2055" s="84" t="n">
        <x:v>3</x:v>
      </x:c>
      <x:c r="F2055" s="91" t="n">
        <x:v>2641.89</x:v>
      </x:c>
    </x:row>
    <x:row r="2056">
      <x:c r="A2056" s="83" t="n">
        <x:v>2055</x:v>
      </x:c>
      <x:c r="B2056" s="84" t="n">
        <x:v>1586</x:v>
      </x:c>
      <x:c r="C2056" s="84" t="n">
        <x:v>25</x:v>
      </x:c>
      <x:c r="D2056" s="89" t="n">
        <x:v>45411</x:v>
      </x:c>
      <x:c r="E2056" s="84" t="n">
        <x:v>4</x:v>
      </x:c>
      <x:c r="F2056" s="91" t="n">
        <x:v>4317.8</x:v>
      </x:c>
    </x:row>
    <x:row r="2057">
      <x:c r="A2057" s="83" t="n">
        <x:v>2056</x:v>
      </x:c>
      <x:c r="B2057" s="84" t="n">
        <x:v>1586</x:v>
      </x:c>
      <x:c r="C2057" s="84" t="n">
        <x:v>57</x:v>
      </x:c>
      <x:c r="D2057" s="89" t="n">
        <x:v>45411</x:v>
      </x:c>
      <x:c r="E2057" s="84" t="n">
        <x:v>3</x:v>
      </x:c>
      <x:c r="F2057" s="91" t="n">
        <x:v>3537.18</x:v>
      </x:c>
    </x:row>
    <x:row r="2058">
      <x:c r="A2058" s="83" t="n">
        <x:v>2057</x:v>
      </x:c>
      <x:c r="B2058" s="84" t="n">
        <x:v>1587</x:v>
      </x:c>
      <x:c r="C2058" s="84" t="n">
        <x:v>77</x:v>
      </x:c>
      <x:c r="D2058" s="89" t="n">
        <x:v>45858</x:v>
      </x:c>
      <x:c r="E2058" s="84" t="n">
        <x:v>3</x:v>
      </x:c>
      <x:c r="F2058" s="91" t="n">
        <x:v>6308.73</x:v>
      </x:c>
    </x:row>
    <x:row r="2059">
      <x:c r="A2059" s="83" t="n">
        <x:v>2058</x:v>
      </x:c>
      <x:c r="B2059" s="84" t="n">
        <x:v>1587</x:v>
      </x:c>
      <x:c r="C2059" s="84" t="n">
        <x:v>18</x:v>
      </x:c>
      <x:c r="D2059" s="89" t="n">
        <x:v>45858</x:v>
      </x:c>
      <x:c r="E2059" s="84" t="n">
        <x:v>1</x:v>
      </x:c>
      <x:c r="F2059" s="91" t="n">
        <x:v>666.16</x:v>
      </x:c>
    </x:row>
    <x:row r="2060">
      <x:c r="A2060" s="83" t="n">
        <x:v>2059</x:v>
      </x:c>
      <x:c r="B2060" s="84" t="n">
        <x:v>1587</x:v>
      </x:c>
      <x:c r="C2060" s="84" t="n">
        <x:v>8</x:v>
      </x:c>
      <x:c r="D2060" s="89" t="n">
        <x:v>45858</x:v>
      </x:c>
      <x:c r="E2060" s="84" t="n">
        <x:v>1</x:v>
      </x:c>
      <x:c r="F2060" s="91" t="n">
        <x:v>1666.19</x:v>
      </x:c>
    </x:row>
    <x:row r="2061">
      <x:c r="A2061" s="83" t="n">
        <x:v>2060</x:v>
      </x:c>
      <x:c r="B2061" s="84" t="n">
        <x:v>1588</x:v>
      </x:c>
      <x:c r="C2061" s="84" t="n">
        <x:v>49</x:v>
      </x:c>
      <x:c r="D2061" s="89" t="n">
        <x:v>44981</x:v>
      </x:c>
      <x:c r="E2061" s="84" t="n">
        <x:v>3</x:v>
      </x:c>
      <x:c r="F2061" s="91" t="n">
        <x:v>552.48</x:v>
      </x:c>
    </x:row>
    <x:row r="2062">
      <x:c r="A2062" s="83" t="n">
        <x:v>2061</x:v>
      </x:c>
      <x:c r="B2062" s="84" t="n">
        <x:v>1588</x:v>
      </x:c>
      <x:c r="C2062" s="84" t="n">
        <x:v>10</x:v>
      </x:c>
      <x:c r="D2062" s="89" t="n">
        <x:v>44981</x:v>
      </x:c>
      <x:c r="E2062" s="84" t="n">
        <x:v>1</x:v>
      </x:c>
      <x:c r="F2062" s="91" t="n">
        <x:v>874.86</x:v>
      </x:c>
    </x:row>
    <x:row r="2063">
      <x:c r="A2063" s="83" t="n">
        <x:v>2062</x:v>
      </x:c>
      <x:c r="B2063" s="84" t="n">
        <x:v>1588</x:v>
      </x:c>
      <x:c r="C2063" s="84" t="n">
        <x:v>14</x:v>
      </x:c>
      <x:c r="D2063" s="89" t="n">
        <x:v>44981</x:v>
      </x:c>
      <x:c r="E2063" s="84" t="n">
        <x:v>4</x:v>
      </x:c>
      <x:c r="F2063" s="91" t="n">
        <x:v>702.88</x:v>
      </x:c>
    </x:row>
    <x:row r="2064">
      <x:c r="A2064" s="83" t="n">
        <x:v>2063</x:v>
      </x:c>
      <x:c r="B2064" s="84" t="n">
        <x:v>1589</x:v>
      </x:c>
      <x:c r="C2064" s="84" t="n">
        <x:v>51</x:v>
      </x:c>
      <x:c r="D2064" s="89" t="n">
        <x:v>45616</x:v>
      </x:c>
      <x:c r="E2064" s="84" t="n">
        <x:v>1</x:v>
      </x:c>
      <x:c r="F2064" s="91" t="n">
        <x:v>892.16</x:v>
      </x:c>
    </x:row>
    <x:row r="2065">
      <x:c r="A2065" s="83" t="n">
        <x:v>2064</x:v>
      </x:c>
      <x:c r="B2065" s="84" t="n">
        <x:v>1589</x:v>
      </x:c>
      <x:c r="C2065" s="84" t="n">
        <x:v>33</x:v>
      </x:c>
      <x:c r="D2065" s="89" t="n">
        <x:v>45616</x:v>
      </x:c>
      <x:c r="E2065" s="84" t="n">
        <x:v>4</x:v>
      </x:c>
      <x:c r="F2065" s="91" t="n">
        <x:v>9387.68</x:v>
      </x:c>
    </x:row>
    <x:row r="2066">
      <x:c r="A2066" s="83" t="n">
        <x:v>2065</x:v>
      </x:c>
      <x:c r="B2066" s="84" t="n">
        <x:v>1590</x:v>
      </x:c>
      <x:c r="C2066" s="84" t="n">
        <x:v>53</x:v>
      </x:c>
      <x:c r="D2066" s="89" t="n">
        <x:v>45260</x:v>
      </x:c>
      <x:c r="E2066" s="84" t="n">
        <x:v>4</x:v>
      </x:c>
      <x:c r="F2066" s="91" t="n">
        <x:v>6363.68</x:v>
      </x:c>
    </x:row>
    <x:row r="2067">
      <x:c r="A2067" s="83" t="n">
        <x:v>2066</x:v>
      </x:c>
      <x:c r="B2067" s="84" t="n">
        <x:v>1590</x:v>
      </x:c>
      <x:c r="C2067" s="84" t="n">
        <x:v>37</x:v>
      </x:c>
      <x:c r="D2067" s="89" t="n">
        <x:v>45260</x:v>
      </x:c>
      <x:c r="E2067" s="84" t="n">
        <x:v>3</x:v>
      </x:c>
      <x:c r="F2067" s="91" t="n">
        <x:v>3101.13</x:v>
      </x:c>
    </x:row>
    <x:row r="2068">
      <x:c r="A2068" s="83" t="n">
        <x:v>2067</x:v>
      </x:c>
      <x:c r="B2068" s="84" t="n">
        <x:v>1591</x:v>
      </x:c>
      <x:c r="C2068" s="84" t="n">
        <x:v>9</x:v>
      </x:c>
      <x:c r="D2068" s="89" t="n">
        <x:v>45765</x:v>
      </x:c>
      <x:c r="E2068" s="84" t="n">
        <x:v>4</x:v>
      </x:c>
      <x:c r="F2068" s="91" t="n">
        <x:v>6300.24</x:v>
      </x:c>
    </x:row>
    <x:row r="2069">
      <x:c r="A2069" s="83" t="n">
        <x:v>2068</x:v>
      </x:c>
      <x:c r="B2069" s="84" t="n">
        <x:v>1591</x:v>
      </x:c>
      <x:c r="C2069" s="84" t="n">
        <x:v>10</x:v>
      </x:c>
      <x:c r="D2069" s="89" t="n">
        <x:v>45765</x:v>
      </x:c>
      <x:c r="E2069" s="84" t="n">
        <x:v>3</x:v>
      </x:c>
      <x:c r="F2069" s="91" t="n">
        <x:v>2624.58</x:v>
      </x:c>
    </x:row>
    <x:row r="2070">
      <x:c r="A2070" s="83" t="n">
        <x:v>2069</x:v>
      </x:c>
      <x:c r="B2070" s="84" t="n">
        <x:v>1593</x:v>
      </x:c>
      <x:c r="C2070" s="84" t="n">
        <x:v>5</x:v>
      </x:c>
      <x:c r="D2070" s="89" t="n">
        <x:v>45877</x:v>
      </x:c>
      <x:c r="E2070" s="84" t="n">
        <x:v>4</x:v>
      </x:c>
      <x:c r="F2070" s="91" t="n">
        <x:v>5874</x:v>
      </x:c>
    </x:row>
    <x:row r="2071">
      <x:c r="A2071" s="83" t="n">
        <x:v>2070</x:v>
      </x:c>
      <x:c r="B2071" s="84" t="n">
        <x:v>1593</x:v>
      </x:c>
      <x:c r="C2071" s="84" t="n">
        <x:v>7</x:v>
      </x:c>
      <x:c r="D2071" s="89" t="n">
        <x:v>45877</x:v>
      </x:c>
      <x:c r="E2071" s="84" t="n">
        <x:v>4</x:v>
      </x:c>
      <x:c r="F2071" s="91" t="n">
        <x:v>1467.2</x:v>
      </x:c>
    </x:row>
    <x:row r="2072">
      <x:c r="A2072" s="83" t="n">
        <x:v>2071</x:v>
      </x:c>
      <x:c r="B2072" s="84" t="n">
        <x:v>1593</x:v>
      </x:c>
      <x:c r="C2072" s="84" t="n">
        <x:v>66</x:v>
      </x:c>
      <x:c r="D2072" s="89" t="n">
        <x:v>45877</x:v>
      </x:c>
      <x:c r="E2072" s="84" t="n">
        <x:v>1</x:v>
      </x:c>
      <x:c r="F2072" s="91" t="n">
        <x:v>1912.45</x:v>
      </x:c>
    </x:row>
    <x:row r="2073">
      <x:c r="A2073" s="83" t="n">
        <x:v>2072</x:v>
      </x:c>
      <x:c r="B2073" s="84" t="n">
        <x:v>1594</x:v>
      </x:c>
      <x:c r="C2073" s="84" t="n">
        <x:v>28</x:v>
      </x:c>
      <x:c r="D2073" s="89" t="n">
        <x:v>45803</x:v>
      </x:c>
      <x:c r="E2073" s="84" t="n">
        <x:v>1</x:v>
      </x:c>
      <x:c r="F2073" s="91" t="n">
        <x:v>820.47</x:v>
      </x:c>
    </x:row>
    <x:row r="2074">
      <x:c r="A2074" s="83" t="n">
        <x:v>2073</x:v>
      </x:c>
      <x:c r="B2074" s="84" t="n">
        <x:v>1594</x:v>
      </x:c>
      <x:c r="C2074" s="84" t="n">
        <x:v>23</x:v>
      </x:c>
      <x:c r="D2074" s="89" t="n">
        <x:v>45803</x:v>
      </x:c>
      <x:c r="E2074" s="84" t="n">
        <x:v>2</x:v>
      </x:c>
      <x:c r="F2074" s="91" t="n">
        <x:v>3505.7</x:v>
      </x:c>
    </x:row>
    <x:row r="2075">
      <x:c r="A2075" s="83" t="n">
        <x:v>2074</x:v>
      </x:c>
      <x:c r="B2075" s="84" t="n">
        <x:v>1595</x:v>
      </x:c>
      <x:c r="C2075" s="84" t="n">
        <x:v>65</x:v>
      </x:c>
      <x:c r="D2075" s="89" t="n">
        <x:v>45111</x:v>
      </x:c>
      <x:c r="E2075" s="84" t="n">
        <x:v>4</x:v>
      </x:c>
      <x:c r="F2075" s="91" t="n">
        <x:v>5019.36</x:v>
      </x:c>
    </x:row>
    <x:row r="2076">
      <x:c r="A2076" s="83" t="n">
        <x:v>2075</x:v>
      </x:c>
      <x:c r="B2076" s="84" t="n">
        <x:v>1595</x:v>
      </x:c>
      <x:c r="C2076" s="84" t="n">
        <x:v>24</x:v>
      </x:c>
      <x:c r="D2076" s="89" t="n">
        <x:v>45111</x:v>
      </x:c>
      <x:c r="E2076" s="84" t="n">
        <x:v>1</x:v>
      </x:c>
      <x:c r="F2076" s="91" t="n">
        <x:v>740.91</x:v>
      </x:c>
    </x:row>
    <x:row r="2077">
      <x:c r="A2077" s="83" t="n">
        <x:v>2076</x:v>
      </x:c>
      <x:c r="B2077" s="84" t="n">
        <x:v>1597</x:v>
      </x:c>
      <x:c r="C2077" s="84" t="n">
        <x:v>30</x:v>
      </x:c>
      <x:c r="D2077" s="89" t="n">
        <x:v>45548</x:v>
      </x:c>
      <x:c r="E2077" s="84" t="n">
        <x:v>4</x:v>
      </x:c>
      <x:c r="F2077" s="91" t="n">
        <x:v>5115.04</x:v>
      </x:c>
    </x:row>
    <x:row r="2078">
      <x:c r="A2078" s="83" t="n">
        <x:v>2077</x:v>
      </x:c>
      <x:c r="B2078" s="84" t="n">
        <x:v>1598</x:v>
      </x:c>
      <x:c r="C2078" s="84" t="n">
        <x:v>36</x:v>
      </x:c>
      <x:c r="D2078" s="89" t="n">
        <x:v>45310</x:v>
      </x:c>
      <x:c r="E2078" s="84" t="n">
        <x:v>1</x:v>
      </x:c>
      <x:c r="F2078" s="91" t="n">
        <x:v>596.41</x:v>
      </x:c>
    </x:row>
    <x:row r="2079">
      <x:c r="A2079" s="83" t="n">
        <x:v>2078</x:v>
      </x:c>
      <x:c r="B2079" s="84" t="n">
        <x:v>1598</x:v>
      </x:c>
      <x:c r="C2079" s="84" t="n">
        <x:v>28</x:v>
      </x:c>
      <x:c r="D2079" s="89" t="n">
        <x:v>45310</x:v>
      </x:c>
      <x:c r="E2079" s="84" t="n">
        <x:v>4</x:v>
      </x:c>
      <x:c r="F2079" s="91" t="n">
        <x:v>3281.88</x:v>
      </x:c>
    </x:row>
    <x:row r="2080">
      <x:c r="A2080" s="83" t="n">
        <x:v>2079</x:v>
      </x:c>
      <x:c r="B2080" s="84" t="n">
        <x:v>1598</x:v>
      </x:c>
      <x:c r="C2080" s="84" t="n">
        <x:v>14</x:v>
      </x:c>
      <x:c r="D2080" s="89" t="n">
        <x:v>45310</x:v>
      </x:c>
      <x:c r="E2080" s="84" t="n">
        <x:v>1</x:v>
      </x:c>
      <x:c r="F2080" s="91" t="n">
        <x:v>175.72</x:v>
      </x:c>
    </x:row>
    <x:row r="2081">
      <x:c r="A2081" s="83" t="n">
        <x:v>2080</x:v>
      </x:c>
      <x:c r="B2081" s="84" t="n">
        <x:v>1599</x:v>
      </x:c>
      <x:c r="C2081" s="84" t="n">
        <x:v>24</x:v>
      </x:c>
      <x:c r="D2081" s="89" t="n">
        <x:v>45340</x:v>
      </x:c>
      <x:c r="E2081" s="84" t="n">
        <x:v>4</x:v>
      </x:c>
      <x:c r="F2081" s="91" t="n">
        <x:v>2963.64</x:v>
      </x:c>
    </x:row>
    <x:row r="2082">
      <x:c r="A2082" s="83" t="n">
        <x:v>2081</x:v>
      </x:c>
      <x:c r="B2082" s="84" t="n">
        <x:v>1599</x:v>
      </x:c>
      <x:c r="C2082" s="84" t="n">
        <x:v>70</x:v>
      </x:c>
      <x:c r="D2082" s="89" t="n">
        <x:v>45340</x:v>
      </x:c>
      <x:c r="E2082" s="84" t="n">
        <x:v>4</x:v>
      </x:c>
      <x:c r="F2082" s="91" t="n">
        <x:v>3078.16</x:v>
      </x:c>
    </x:row>
    <x:row r="2083">
      <x:c r="A2083" s="83" t="n">
        <x:v>2082</x:v>
      </x:c>
      <x:c r="B2083" s="84" t="n">
        <x:v>1600</x:v>
      </x:c>
      <x:c r="C2083" s="84" t="n">
        <x:v>35</x:v>
      </x:c>
      <x:c r="D2083" s="89" t="n">
        <x:v>45044</x:v>
      </x:c>
      <x:c r="E2083" s="84" t="n">
        <x:v>2</x:v>
      </x:c>
      <x:c r="F2083" s="91" t="n">
        <x:v>2941.56</x:v>
      </x:c>
    </x:row>
    <x:row r="2084">
      <x:c r="A2084" s="83" t="n">
        <x:v>2083</x:v>
      </x:c>
      <x:c r="B2084" s="84" t="n">
        <x:v>1601</x:v>
      </x:c>
      <x:c r="C2084" s="84" t="n">
        <x:v>31</x:v>
      </x:c>
      <x:c r="D2084" s="89" t="n">
        <x:v>45110</x:v>
      </x:c>
      <x:c r="E2084" s="84" t="n">
        <x:v>4</x:v>
      </x:c>
      <x:c r="F2084" s="91" t="n">
        <x:v>8678.52</x:v>
      </x:c>
    </x:row>
    <x:row r="2085">
      <x:c r="A2085" s="83" t="n">
        <x:v>2084</x:v>
      </x:c>
      <x:c r="B2085" s="84" t="n">
        <x:v>1601</x:v>
      </x:c>
      <x:c r="C2085" s="84" t="n">
        <x:v>59</x:v>
      </x:c>
      <x:c r="D2085" s="89" t="n">
        <x:v>45110</x:v>
      </x:c>
      <x:c r="E2085" s="84" t="n">
        <x:v>3</x:v>
      </x:c>
      <x:c r="F2085" s="91" t="n">
        <x:v>4549.35</x:v>
      </x:c>
    </x:row>
    <x:row r="2086">
      <x:c r="A2086" s="83" t="n">
        <x:v>2085</x:v>
      </x:c>
      <x:c r="B2086" s="84" t="n">
        <x:v>1601</x:v>
      </x:c>
      <x:c r="C2086" s="84" t="n">
        <x:v>31</x:v>
      </x:c>
      <x:c r="D2086" s="89" t="n">
        <x:v>45110</x:v>
      </x:c>
      <x:c r="E2086" s="84" t="n">
        <x:v>2</x:v>
      </x:c>
      <x:c r="F2086" s="91" t="n">
        <x:v>4339.26</x:v>
      </x:c>
    </x:row>
    <x:row r="2087">
      <x:c r="A2087" s="83" t="n">
        <x:v>2086</x:v>
      </x:c>
      <x:c r="B2087" s="84" t="n">
        <x:v>1602</x:v>
      </x:c>
      <x:c r="C2087" s="84" t="n">
        <x:v>28</x:v>
      </x:c>
      <x:c r="D2087" s="89" t="n">
        <x:v>45978</x:v>
      </x:c>
      <x:c r="E2087" s="84" t="n">
        <x:v>4</x:v>
      </x:c>
      <x:c r="F2087" s="91" t="n">
        <x:v>3281.88</x:v>
      </x:c>
    </x:row>
    <x:row r="2088">
      <x:c r="A2088" s="83" t="n">
        <x:v>2087</x:v>
      </x:c>
      <x:c r="B2088" s="84" t="n">
        <x:v>1602</x:v>
      </x:c>
      <x:c r="C2088" s="84" t="n">
        <x:v>79</x:v>
      </x:c>
      <x:c r="D2088" s="89" t="n">
        <x:v>45978</x:v>
      </x:c>
      <x:c r="E2088" s="84" t="n">
        <x:v>1</x:v>
      </x:c>
      <x:c r="F2088" s="91" t="n">
        <x:v>2066.72</x:v>
      </x:c>
    </x:row>
    <x:row r="2089">
      <x:c r="A2089" s="83" t="n">
        <x:v>2088</x:v>
      </x:c>
      <x:c r="B2089" s="84" t="n">
        <x:v>1603</x:v>
      </x:c>
      <x:c r="C2089" s="84" t="n">
        <x:v>49</x:v>
      </x:c>
      <x:c r="D2089" s="89" t="n">
        <x:v>45158</x:v>
      </x:c>
      <x:c r="E2089" s="84" t="n">
        <x:v>4</x:v>
      </x:c>
      <x:c r="F2089" s="91" t="n">
        <x:v>736.64</x:v>
      </x:c>
    </x:row>
    <x:row r="2090">
      <x:c r="A2090" s="83" t="n">
        <x:v>2089</x:v>
      </x:c>
      <x:c r="B2090" s="84" t="n">
        <x:v>1603</x:v>
      </x:c>
      <x:c r="C2090" s="84" t="n">
        <x:v>12</x:v>
      </x:c>
      <x:c r="D2090" s="89" t="n">
        <x:v>45158</x:v>
      </x:c>
      <x:c r="E2090" s="84" t="n">
        <x:v>3</x:v>
      </x:c>
      <x:c r="F2090" s="91" t="n">
        <x:v>853.47</x:v>
      </x:c>
    </x:row>
    <x:row r="2091">
      <x:c r="A2091" s="83" t="n">
        <x:v>2090</x:v>
      </x:c>
      <x:c r="B2091" s="84" t="n">
        <x:v>1603</x:v>
      </x:c>
      <x:c r="C2091" s="84" t="n">
        <x:v>48</x:v>
      </x:c>
      <x:c r="D2091" s="89" t="n">
        <x:v>45158</x:v>
      </x:c>
      <x:c r="E2091" s="84" t="n">
        <x:v>2</x:v>
      </x:c>
      <x:c r="F2091" s="91" t="n">
        <x:v>2322.9</x:v>
      </x:c>
    </x:row>
    <x:row r="2092">
      <x:c r="A2092" s="83" t="n">
        <x:v>2091</x:v>
      </x:c>
      <x:c r="B2092" s="84" t="n">
        <x:v>1605</x:v>
      </x:c>
      <x:c r="C2092" s="84" t="n">
        <x:v>37</x:v>
      </x:c>
      <x:c r="D2092" s="89" t="n">
        <x:v>45080</x:v>
      </x:c>
      <x:c r="E2092" s="84" t="n">
        <x:v>3</x:v>
      </x:c>
      <x:c r="F2092" s="91" t="n">
        <x:v>3101.13</x:v>
      </x:c>
    </x:row>
    <x:row r="2093">
      <x:c r="A2093" s="83" t="n">
        <x:v>2092</x:v>
      </x:c>
      <x:c r="B2093" s="84" t="n">
        <x:v>1605</x:v>
      </x:c>
      <x:c r="C2093" s="84" t="n">
        <x:v>22</x:v>
      </x:c>
      <x:c r="D2093" s="89" t="n">
        <x:v>45080</x:v>
      </x:c>
      <x:c r="E2093" s="84" t="n">
        <x:v>3</x:v>
      </x:c>
      <x:c r="F2093" s="91" t="n">
        <x:v>1565.67</x:v>
      </x:c>
    </x:row>
    <x:row r="2094">
      <x:c r="A2094" s="83" t="n">
        <x:v>2093</x:v>
      </x:c>
      <x:c r="B2094" s="84" t="n">
        <x:v>1605</x:v>
      </x:c>
      <x:c r="C2094" s="84" t="n">
        <x:v>34</x:v>
      </x:c>
      <x:c r="D2094" s="89" t="n">
        <x:v>45080</x:v>
      </x:c>
      <x:c r="E2094" s="84" t="n">
        <x:v>1</x:v>
      </x:c>
      <x:c r="F2094" s="91" t="n">
        <x:v>1977.09</x:v>
      </x:c>
    </x:row>
    <x:row r="2095">
      <x:c r="A2095" s="83" t="n">
        <x:v>2094</x:v>
      </x:c>
      <x:c r="B2095" s="84" t="n">
        <x:v>1606</x:v>
      </x:c>
      <x:c r="C2095" s="84" t="n">
        <x:v>8</x:v>
      </x:c>
      <x:c r="D2095" s="89" t="n">
        <x:v>45083</x:v>
      </x:c>
      <x:c r="E2095" s="84" t="n">
        <x:v>1</x:v>
      </x:c>
      <x:c r="F2095" s="91" t="n">
        <x:v>1666.19</x:v>
      </x:c>
    </x:row>
    <x:row r="2096">
      <x:c r="A2096" s="83" t="n">
        <x:v>2095</x:v>
      </x:c>
      <x:c r="B2096" s="84" t="n">
        <x:v>1606</x:v>
      </x:c>
      <x:c r="C2096" s="84" t="n">
        <x:v>26</x:v>
      </x:c>
      <x:c r="D2096" s="89" t="n">
        <x:v>45083</x:v>
      </x:c>
      <x:c r="E2096" s="84" t="n">
        <x:v>4</x:v>
      </x:c>
      <x:c r="F2096" s="91" t="n">
        <x:v>8604</x:v>
      </x:c>
    </x:row>
    <x:row r="2097">
      <x:c r="A2097" s="83" t="n">
        <x:v>2096</x:v>
      </x:c>
      <x:c r="B2097" s="84" t="n">
        <x:v>1607</x:v>
      </x:c>
      <x:c r="C2097" s="84" t="n">
        <x:v>59</x:v>
      </x:c>
      <x:c r="D2097" s="89" t="n">
        <x:v>45379</x:v>
      </x:c>
      <x:c r="E2097" s="84" t="n">
        <x:v>3</x:v>
      </x:c>
      <x:c r="F2097" s="91" t="n">
        <x:v>4549.35</x:v>
      </x:c>
    </x:row>
    <x:row r="2098">
      <x:c r="A2098" s="83" t="n">
        <x:v>2097</x:v>
      </x:c>
      <x:c r="B2098" s="84" t="n">
        <x:v>1608</x:v>
      </x:c>
      <x:c r="C2098" s="84" t="n">
        <x:v>57</x:v>
      </x:c>
      <x:c r="D2098" s="89" t="n">
        <x:v>44963</x:v>
      </x:c>
      <x:c r="E2098" s="84" t="n">
        <x:v>1</x:v>
      </x:c>
      <x:c r="F2098" s="91" t="n">
        <x:v>1179.06</x:v>
      </x:c>
    </x:row>
    <x:row r="2099">
      <x:c r="A2099" s="83" t="n">
        <x:v>2098</x:v>
      </x:c>
      <x:c r="B2099" s="84" t="n">
        <x:v>1608</x:v>
      </x:c>
      <x:c r="C2099" s="84" t="n">
        <x:v>41</x:v>
      </x:c>
      <x:c r="D2099" s="89" t="n">
        <x:v>44963</x:v>
      </x:c>
      <x:c r="E2099" s="84" t="n">
        <x:v>1</x:v>
      </x:c>
      <x:c r="F2099" s="91" t="n">
        <x:v>1182.02</x:v>
      </x:c>
    </x:row>
    <x:row r="2100">
      <x:c r="A2100" s="83" t="n">
        <x:v>2099</x:v>
      </x:c>
      <x:c r="B2100" s="84" t="n">
        <x:v>1608</x:v>
      </x:c>
      <x:c r="C2100" s="84" t="n">
        <x:v>18</x:v>
      </x:c>
      <x:c r="D2100" s="89" t="n">
        <x:v>44963</x:v>
      </x:c>
      <x:c r="E2100" s="84" t="n">
        <x:v>1</x:v>
      </x:c>
      <x:c r="F2100" s="91" t="n">
        <x:v>666.16</x:v>
      </x:c>
    </x:row>
    <x:row r="2101">
      <x:c r="A2101" s="83" t="n">
        <x:v>2100</x:v>
      </x:c>
      <x:c r="B2101" s="84" t="n">
        <x:v>1609</x:v>
      </x:c>
      <x:c r="C2101" s="84" t="n">
        <x:v>4</x:v>
      </x:c>
      <x:c r="D2101" s="89" t="n">
        <x:v>45363</x:v>
      </x:c>
      <x:c r="E2101" s="84" t="n">
        <x:v>4</x:v>
      </x:c>
      <x:c r="F2101" s="91" t="n">
        <x:v>6101.24</x:v>
      </x:c>
    </x:row>
    <x:row r="2102">
      <x:c r="A2102" s="83" t="n">
        <x:v>2101</x:v>
      </x:c>
      <x:c r="B2102" s="84" t="n">
        <x:v>1610</x:v>
      </x:c>
      <x:c r="C2102" s="84" t="n">
        <x:v>33</x:v>
      </x:c>
      <x:c r="D2102" s="89" t="n">
        <x:v>45151</x:v>
      </x:c>
      <x:c r="E2102" s="84" t="n">
        <x:v>2</x:v>
      </x:c>
      <x:c r="F2102" s="91" t="n">
        <x:v>4693.84</x:v>
      </x:c>
    </x:row>
    <x:row r="2103">
      <x:c r="A2103" s="83" t="n">
        <x:v>2102</x:v>
      </x:c>
      <x:c r="B2103" s="84" t="n">
        <x:v>1612</x:v>
      </x:c>
      <x:c r="C2103" s="84" t="n">
        <x:v>43</x:v>
      </x:c>
      <x:c r="D2103" s="89" t="n">
        <x:v>45718</x:v>
      </x:c>
      <x:c r="E2103" s="84" t="n">
        <x:v>3</x:v>
      </x:c>
      <x:c r="F2103" s="91" t="n">
        <x:v>4396.26</x:v>
      </x:c>
    </x:row>
    <x:row r="2104">
      <x:c r="A2104" s="83" t="n">
        <x:v>2103</x:v>
      </x:c>
      <x:c r="B2104" s="84" t="n">
        <x:v>1613</x:v>
      </x:c>
      <x:c r="C2104" s="84" t="n">
        <x:v>50</x:v>
      </x:c>
      <x:c r="D2104" s="89" t="n">
        <x:v>45046</x:v>
      </x:c>
      <x:c r="E2104" s="84" t="n">
        <x:v>2</x:v>
      </x:c>
      <x:c r="F2104" s="91" t="n">
        <x:v>4471.9</x:v>
      </x:c>
    </x:row>
    <x:row r="2105">
      <x:c r="A2105" s="83" t="n">
        <x:v>2104</x:v>
      </x:c>
      <x:c r="B2105" s="84" t="n">
        <x:v>1613</x:v>
      </x:c>
      <x:c r="C2105" s="84" t="n">
        <x:v>17</x:v>
      </x:c>
      <x:c r="D2105" s="89" t="n">
        <x:v>45046</x:v>
      </x:c>
      <x:c r="E2105" s="84" t="n">
        <x:v>2</x:v>
      </x:c>
      <x:c r="F2105" s="91" t="n">
        <x:v>4712.84</x:v>
      </x:c>
    </x:row>
    <x:row r="2106">
      <x:c r="A2106" s="83" t="n">
        <x:v>2105</x:v>
      </x:c>
      <x:c r="B2106" s="84" t="n">
        <x:v>1613</x:v>
      </x:c>
      <x:c r="C2106" s="84" t="n">
        <x:v>65</x:v>
      </x:c>
      <x:c r="D2106" s="89" t="n">
        <x:v>45046</x:v>
      </x:c>
      <x:c r="E2106" s="84" t="n">
        <x:v>2</x:v>
      </x:c>
      <x:c r="F2106" s="91" t="n">
        <x:v>2509.68</x:v>
      </x:c>
    </x:row>
    <x:row r="2107">
      <x:c r="A2107" s="83" t="n">
        <x:v>2106</x:v>
      </x:c>
      <x:c r="B2107" s="84" t="n">
        <x:v>1615</x:v>
      </x:c>
      <x:c r="C2107" s="84" t="n">
        <x:v>10</x:v>
      </x:c>
      <x:c r="D2107" s="89" t="n">
        <x:v>44957</x:v>
      </x:c>
      <x:c r="E2107" s="84" t="n">
        <x:v>1</x:v>
      </x:c>
      <x:c r="F2107" s="91" t="n">
        <x:v>874.86</x:v>
      </x:c>
    </x:row>
    <x:row r="2108">
      <x:c r="A2108" s="83" t="n">
        <x:v>2107</x:v>
      </x:c>
      <x:c r="B2108" s="84" t="n">
        <x:v>1615</x:v>
      </x:c>
      <x:c r="C2108" s="84" t="n">
        <x:v>31</x:v>
      </x:c>
      <x:c r="D2108" s="89" t="n">
        <x:v>44957</x:v>
      </x:c>
      <x:c r="E2108" s="84" t="n">
        <x:v>4</x:v>
      </x:c>
      <x:c r="F2108" s="91" t="n">
        <x:v>8678.52</x:v>
      </x:c>
    </x:row>
    <x:row r="2109">
      <x:c r="A2109" s="83" t="n">
        <x:v>2108</x:v>
      </x:c>
      <x:c r="B2109" s="84" t="n">
        <x:v>1617</x:v>
      </x:c>
      <x:c r="C2109" s="84" t="n">
        <x:v>32</x:v>
      </x:c>
      <x:c r="D2109" s="89" t="n">
        <x:v>45223</x:v>
      </x:c>
      <x:c r="E2109" s="84" t="n">
        <x:v>2</x:v>
      </x:c>
      <x:c r="F2109" s="91" t="n">
        <x:v>3626.5</x:v>
      </x:c>
    </x:row>
    <x:row r="2110">
      <x:c r="A2110" s="83" t="n">
        <x:v>2109</x:v>
      </x:c>
      <x:c r="B2110" s="84" t="n">
        <x:v>1617</x:v>
      </x:c>
      <x:c r="C2110" s="84" t="n">
        <x:v>27</x:v>
      </x:c>
      <x:c r="D2110" s="89" t="n">
        <x:v>45223</x:v>
      </x:c>
      <x:c r="E2110" s="84" t="n">
        <x:v>2</x:v>
      </x:c>
      <x:c r="F2110" s="91" t="n">
        <x:v>321.38</x:v>
      </x:c>
    </x:row>
    <x:row r="2111">
      <x:c r="A2111" s="83" t="n">
        <x:v>2110</x:v>
      </x:c>
      <x:c r="B2111" s="84" t="n">
        <x:v>1617</x:v>
      </x:c>
      <x:c r="C2111" s="84" t="n">
        <x:v>20</x:v>
      </x:c>
      <x:c r="D2111" s="89" t="n">
        <x:v>45223</x:v>
      </x:c>
      <x:c r="E2111" s="84" t="n">
        <x:v>4</x:v>
      </x:c>
      <x:c r="F2111" s="91" t="n">
        <x:v>2164.8</x:v>
      </x:c>
    </x:row>
    <x:row r="2112">
      <x:c r="A2112" s="83" t="n">
        <x:v>2111</x:v>
      </x:c>
      <x:c r="B2112" s="84" t="n">
        <x:v>1619</x:v>
      </x:c>
      <x:c r="C2112" s="84" t="n">
        <x:v>17</x:v>
      </x:c>
      <x:c r="D2112" s="89" t="n">
        <x:v>45203</x:v>
      </x:c>
      <x:c r="E2112" s="84" t="n">
        <x:v>1</x:v>
      </x:c>
      <x:c r="F2112" s="91" t="n">
        <x:v>2356.42</x:v>
      </x:c>
    </x:row>
    <x:row r="2113">
      <x:c r="A2113" s="83" t="n">
        <x:v>2112</x:v>
      </x:c>
      <x:c r="B2113" s="84" t="n">
        <x:v>1619</x:v>
      </x:c>
      <x:c r="C2113" s="84" t="n">
        <x:v>69</x:v>
      </x:c>
      <x:c r="D2113" s="89" t="n">
        <x:v>45203</x:v>
      </x:c>
      <x:c r="E2113" s="84" t="n">
        <x:v>3</x:v>
      </x:c>
      <x:c r="F2113" s="91" t="n">
        <x:v>5310.99</x:v>
      </x:c>
    </x:row>
    <x:row r="2114">
      <x:c r="A2114" s="83" t="n">
        <x:v>2113</x:v>
      </x:c>
      <x:c r="B2114" s="84" t="n">
        <x:v>1620</x:v>
      </x:c>
      <x:c r="C2114" s="84" t="n">
        <x:v>65</x:v>
      </x:c>
      <x:c r="D2114" s="89" t="n">
        <x:v>45373</x:v>
      </x:c>
      <x:c r="E2114" s="84" t="n">
        <x:v>3</x:v>
      </x:c>
      <x:c r="F2114" s="91" t="n">
        <x:v>3764.52</x:v>
      </x:c>
    </x:row>
    <x:row r="2115">
      <x:c r="A2115" s="83" t="n">
        <x:v>2114</x:v>
      </x:c>
      <x:c r="B2115" s="84" t="n">
        <x:v>1620</x:v>
      </x:c>
      <x:c r="C2115" s="84" t="n">
        <x:v>57</x:v>
      </x:c>
      <x:c r="D2115" s="89" t="n">
        <x:v>45373</x:v>
      </x:c>
      <x:c r="E2115" s="84" t="n">
        <x:v>1</x:v>
      </x:c>
      <x:c r="F2115" s="91" t="n">
        <x:v>1179.06</x:v>
      </x:c>
    </x:row>
    <x:row r="2116">
      <x:c r="A2116" s="83" t="n">
        <x:v>2115</x:v>
      </x:c>
      <x:c r="B2116" s="84" t="n">
        <x:v>1623</x:v>
      </x:c>
      <x:c r="C2116" s="84" t="n">
        <x:v>62</x:v>
      </x:c>
      <x:c r="D2116" s="89" t="n">
        <x:v>45204</x:v>
      </x:c>
      <x:c r="E2116" s="84" t="n">
        <x:v>4</x:v>
      </x:c>
      <x:c r="F2116" s="91" t="n">
        <x:v>6069.24</x:v>
      </x:c>
    </x:row>
    <x:row r="2117">
      <x:c r="A2117" s="83" t="n">
        <x:v>2116</x:v>
      </x:c>
      <x:c r="B2117" s="84" t="n">
        <x:v>1625</x:v>
      </x:c>
      <x:c r="C2117" s="84" t="n">
        <x:v>53</x:v>
      </x:c>
      <x:c r="D2117" s="89" t="n">
        <x:v>45946</x:v>
      </x:c>
      <x:c r="E2117" s="84" t="n">
        <x:v>3</x:v>
      </x:c>
      <x:c r="F2117" s="91" t="n">
        <x:v>4772.76</x:v>
      </x:c>
    </x:row>
    <x:row r="2118">
      <x:c r="A2118" s="83" t="n">
        <x:v>2117</x:v>
      </x:c>
      <x:c r="B2118" s="84" t="n">
        <x:v>1625</x:v>
      </x:c>
      <x:c r="C2118" s="84" t="n">
        <x:v>37</x:v>
      </x:c>
      <x:c r="D2118" s="89" t="n">
        <x:v>45946</x:v>
      </x:c>
      <x:c r="E2118" s="84" t="n">
        <x:v>1</x:v>
      </x:c>
      <x:c r="F2118" s="91" t="n">
        <x:v>1033.71</x:v>
      </x:c>
    </x:row>
    <x:row r="2119">
      <x:c r="A2119" s="83" t="n">
        <x:v>2118</x:v>
      </x:c>
      <x:c r="B2119" s="84" t="n">
        <x:v>1626</x:v>
      </x:c>
      <x:c r="C2119" s="84" t="n">
        <x:v>58</x:v>
      </x:c>
      <x:c r="D2119" s="89" t="n">
        <x:v>45362</x:v>
      </x:c>
      <x:c r="E2119" s="84" t="n">
        <x:v>1</x:v>
      </x:c>
      <x:c r="F2119" s="91" t="n">
        <x:v>2018.18</x:v>
      </x:c>
    </x:row>
    <x:row r="2120">
      <x:c r="A2120" s="83" t="n">
        <x:v>2119</x:v>
      </x:c>
      <x:c r="B2120" s="84" t="n">
        <x:v>1626</x:v>
      </x:c>
      <x:c r="C2120" s="84" t="n">
        <x:v>25</x:v>
      </x:c>
      <x:c r="D2120" s="89" t="n">
        <x:v>45362</x:v>
      </x:c>
      <x:c r="E2120" s="84" t="n">
        <x:v>4</x:v>
      </x:c>
      <x:c r="F2120" s="91" t="n">
        <x:v>4317.8</x:v>
      </x:c>
    </x:row>
    <x:row r="2121">
      <x:c r="A2121" s="83" t="n">
        <x:v>2120</x:v>
      </x:c>
      <x:c r="B2121" s="84" t="n">
        <x:v>1626</x:v>
      </x:c>
      <x:c r="C2121" s="84" t="n">
        <x:v>20</x:v>
      </x:c>
      <x:c r="D2121" s="89" t="n">
        <x:v>45362</x:v>
      </x:c>
      <x:c r="E2121" s="84" t="n">
        <x:v>2</x:v>
      </x:c>
      <x:c r="F2121" s="91" t="n">
        <x:v>1082.4</x:v>
      </x:c>
    </x:row>
    <x:row r="2122">
      <x:c r="A2122" s="83" t="n">
        <x:v>2121</x:v>
      </x:c>
      <x:c r="B2122" s="84" t="n">
        <x:v>1628</x:v>
      </x:c>
      <x:c r="C2122" s="84" t="n">
        <x:v>23</x:v>
      </x:c>
      <x:c r="D2122" s="89" t="n">
        <x:v>45865</x:v>
      </x:c>
      <x:c r="E2122" s="84" t="n">
        <x:v>4</x:v>
      </x:c>
      <x:c r="F2122" s="91" t="n">
        <x:v>7011.4</x:v>
      </x:c>
    </x:row>
    <x:row r="2123">
      <x:c r="A2123" s="83" t="n">
        <x:v>2122</x:v>
      </x:c>
      <x:c r="B2123" s="84" t="n">
        <x:v>1628</x:v>
      </x:c>
      <x:c r="C2123" s="84" t="n">
        <x:v>69</x:v>
      </x:c>
      <x:c r="D2123" s="89" t="n">
        <x:v>45865</x:v>
      </x:c>
      <x:c r="E2123" s="84" t="n">
        <x:v>1</x:v>
      </x:c>
      <x:c r="F2123" s="91" t="n">
        <x:v>1770.33</x:v>
      </x:c>
    </x:row>
    <x:row r="2124">
      <x:c r="A2124" s="83" t="n">
        <x:v>2123</x:v>
      </x:c>
      <x:c r="B2124" s="84" t="n">
        <x:v>1629</x:v>
      </x:c>
      <x:c r="C2124" s="84" t="n">
        <x:v>25</x:v>
      </x:c>
      <x:c r="D2124" s="89" t="n">
        <x:v>45274</x:v>
      </x:c>
      <x:c r="E2124" s="84" t="n">
        <x:v>4</x:v>
      </x:c>
      <x:c r="F2124" s="91" t="n">
        <x:v>4317.8</x:v>
      </x:c>
    </x:row>
    <x:row r="2125">
      <x:c r="A2125" s="83" t="n">
        <x:v>2124</x:v>
      </x:c>
      <x:c r="B2125" s="84" t="n">
        <x:v>1630</x:v>
      </x:c>
      <x:c r="C2125" s="84" t="n">
        <x:v>52</x:v>
      </x:c>
      <x:c r="D2125" s="89" t="n">
        <x:v>45919</x:v>
      </x:c>
      <x:c r="E2125" s="84" t="n">
        <x:v>1</x:v>
      </x:c>
      <x:c r="F2125" s="91" t="n">
        <x:v>880.63</x:v>
      </x:c>
    </x:row>
    <x:row r="2126">
      <x:c r="A2126" s="83" t="n">
        <x:v>2125</x:v>
      </x:c>
      <x:c r="B2126" s="84" t="n">
        <x:v>1630</x:v>
      </x:c>
      <x:c r="C2126" s="84" t="n">
        <x:v>65</x:v>
      </x:c>
      <x:c r="D2126" s="89" t="n">
        <x:v>45919</x:v>
      </x:c>
      <x:c r="E2126" s="84" t="n">
        <x:v>4</x:v>
      </x:c>
      <x:c r="F2126" s="91" t="n">
        <x:v>5019.36</x:v>
      </x:c>
    </x:row>
    <x:row r="2127">
      <x:c r="A2127" s="83" t="n">
        <x:v>2126</x:v>
      </x:c>
      <x:c r="B2127" s="84" t="n">
        <x:v>1631</x:v>
      </x:c>
      <x:c r="C2127" s="84" t="n">
        <x:v>73</x:v>
      </x:c>
      <x:c r="D2127" s="89" t="n">
        <x:v>45825</x:v>
      </x:c>
      <x:c r="E2127" s="84" t="n">
        <x:v>3</x:v>
      </x:c>
      <x:c r="F2127" s="91" t="n">
        <x:v>3381.93</x:v>
      </x:c>
    </x:row>
    <x:row r="2128">
      <x:c r="A2128" s="83" t="n">
        <x:v>2127</x:v>
      </x:c>
      <x:c r="B2128" s="84" t="n">
        <x:v>1631</x:v>
      </x:c>
      <x:c r="C2128" s="84" t="n">
        <x:v>1</x:v>
      </x:c>
      <x:c r="D2128" s="89" t="n">
        <x:v>45825</x:v>
      </x:c>
      <x:c r="E2128" s="84" t="n">
        <x:v>2</x:v>
      </x:c>
      <x:c r="F2128" s="91" t="n">
        <x:v>3479.2</x:v>
      </x:c>
    </x:row>
    <x:row r="2129">
      <x:c r="A2129" s="83" t="n">
        <x:v>2128</x:v>
      </x:c>
      <x:c r="B2129" s="84" t="n">
        <x:v>1631</x:v>
      </x:c>
      <x:c r="C2129" s="84" t="n">
        <x:v>70</x:v>
      </x:c>
      <x:c r="D2129" s="89" t="n">
        <x:v>45825</x:v>
      </x:c>
      <x:c r="E2129" s="84" t="n">
        <x:v>3</x:v>
      </x:c>
      <x:c r="F2129" s="91" t="n">
        <x:v>2308.62</x:v>
      </x:c>
    </x:row>
    <x:row r="2130">
      <x:c r="A2130" s="83" t="n">
        <x:v>2129</x:v>
      </x:c>
      <x:c r="B2130" s="84" t="n">
        <x:v>1632</x:v>
      </x:c>
      <x:c r="C2130" s="84" t="n">
        <x:v>23</x:v>
      </x:c>
      <x:c r="D2130" s="89" t="n">
        <x:v>45994</x:v>
      </x:c>
      <x:c r="E2130" s="84" t="n">
        <x:v>3</x:v>
      </x:c>
      <x:c r="F2130" s="91" t="n">
        <x:v>5258.55</x:v>
      </x:c>
    </x:row>
    <x:row r="2131">
      <x:c r="A2131" s="83" t="n">
        <x:v>2130</x:v>
      </x:c>
      <x:c r="B2131" s="84" t="n">
        <x:v>1633</x:v>
      </x:c>
      <x:c r="C2131" s="84" t="n">
        <x:v>62</x:v>
      </x:c>
      <x:c r="D2131" s="89" t="n">
        <x:v>45157</x:v>
      </x:c>
      <x:c r="E2131" s="84" t="n">
        <x:v>3</x:v>
      </x:c>
      <x:c r="F2131" s="91" t="n">
        <x:v>4551.93</x:v>
      </x:c>
    </x:row>
    <x:row r="2132">
      <x:c r="A2132" s="83" t="n">
        <x:v>2131</x:v>
      </x:c>
      <x:c r="B2132" s="84" t="n">
        <x:v>1633</x:v>
      </x:c>
      <x:c r="C2132" s="84" t="n">
        <x:v>38</x:v>
      </x:c>
      <x:c r="D2132" s="89" t="n">
        <x:v>45157</x:v>
      </x:c>
      <x:c r="E2132" s="84" t="n">
        <x:v>4</x:v>
      </x:c>
      <x:c r="F2132" s="91" t="n">
        <x:v>2905.96</x:v>
      </x:c>
    </x:row>
    <x:row r="2133">
      <x:c r="A2133" s="83" t="n">
        <x:v>2132</x:v>
      </x:c>
      <x:c r="B2133" s="84" t="n">
        <x:v>1634</x:v>
      </x:c>
      <x:c r="C2133" s="84" t="n">
        <x:v>69</x:v>
      </x:c>
      <x:c r="D2133" s="89" t="n">
        <x:v>44932</x:v>
      </x:c>
      <x:c r="E2133" s="84" t="n">
        <x:v>1</x:v>
      </x:c>
      <x:c r="F2133" s="91" t="n">
        <x:v>1770.33</x:v>
      </x:c>
    </x:row>
    <x:row r="2134">
      <x:c r="A2134" s="83" t="n">
        <x:v>2133</x:v>
      </x:c>
      <x:c r="B2134" s="84" t="n">
        <x:v>1634</x:v>
      </x:c>
      <x:c r="C2134" s="84" t="n">
        <x:v>72</x:v>
      </x:c>
      <x:c r="D2134" s="89" t="n">
        <x:v>44932</x:v>
      </x:c>
      <x:c r="E2134" s="84" t="n">
        <x:v>1</x:v>
      </x:c>
      <x:c r="F2134" s="91" t="n">
        <x:v>450.83</x:v>
      </x:c>
    </x:row>
    <x:row r="2135">
      <x:c r="A2135" s="83" t="n">
        <x:v>2134</x:v>
      </x:c>
      <x:c r="B2135" s="84" t="n">
        <x:v>1635</x:v>
      </x:c>
      <x:c r="C2135" s="84" t="n">
        <x:v>74</x:v>
      </x:c>
      <x:c r="D2135" s="89" t="n">
        <x:v>45178</x:v>
      </x:c>
      <x:c r="E2135" s="84" t="n">
        <x:v>1</x:v>
      </x:c>
      <x:c r="F2135" s="91" t="n">
        <x:v>1656.35</x:v>
      </x:c>
    </x:row>
    <x:row r="2136">
      <x:c r="A2136" s="83" t="n">
        <x:v>2135</x:v>
      </x:c>
      <x:c r="B2136" s="84" t="n">
        <x:v>1635</x:v>
      </x:c>
      <x:c r="C2136" s="84" t="n">
        <x:v>66</x:v>
      </x:c>
      <x:c r="D2136" s="89" t="n">
        <x:v>45178</x:v>
      </x:c>
      <x:c r="E2136" s="84" t="n">
        <x:v>4</x:v>
      </x:c>
      <x:c r="F2136" s="91" t="n">
        <x:v>7649.8</x:v>
      </x:c>
    </x:row>
    <x:row r="2137">
      <x:c r="A2137" s="83" t="n">
        <x:v>2136</x:v>
      </x:c>
      <x:c r="B2137" s="84" t="n">
        <x:v>1636</x:v>
      </x:c>
      <x:c r="C2137" s="84" t="n">
        <x:v>37</x:v>
      </x:c>
      <x:c r="D2137" s="89" t="n">
        <x:v>45348</x:v>
      </x:c>
      <x:c r="E2137" s="84" t="n">
        <x:v>2</x:v>
      </x:c>
      <x:c r="F2137" s="91" t="n">
        <x:v>2067.42</x:v>
      </x:c>
    </x:row>
    <x:row r="2138">
      <x:c r="A2138" s="83" t="n">
        <x:v>2137</x:v>
      </x:c>
      <x:c r="B2138" s="84" t="n">
        <x:v>1638</x:v>
      </x:c>
      <x:c r="C2138" s="84" t="n">
        <x:v>48</x:v>
      </x:c>
      <x:c r="D2138" s="89" t="n">
        <x:v>44946</x:v>
      </x:c>
      <x:c r="E2138" s="84" t="n">
        <x:v>1</x:v>
      </x:c>
      <x:c r="F2138" s="91" t="n">
        <x:v>1161.45</x:v>
      </x:c>
    </x:row>
    <x:row r="2139">
      <x:c r="A2139" s="83" t="n">
        <x:v>2138</x:v>
      </x:c>
      <x:c r="B2139" s="84" t="n">
        <x:v>1638</x:v>
      </x:c>
      <x:c r="C2139" s="84" t="n">
        <x:v>64</x:v>
      </x:c>
      <x:c r="D2139" s="89" t="n">
        <x:v>44946</x:v>
      </x:c>
      <x:c r="E2139" s="84" t="n">
        <x:v>1</x:v>
      </x:c>
      <x:c r="F2139" s="91" t="n">
        <x:v>1465.42</x:v>
      </x:c>
    </x:row>
    <x:row r="2140">
      <x:c r="A2140" s="83" t="n">
        <x:v>2139</x:v>
      </x:c>
      <x:c r="B2140" s="84" t="n">
        <x:v>1638</x:v>
      </x:c>
      <x:c r="C2140" s="84" t="n">
        <x:v>5</x:v>
      </x:c>
      <x:c r="D2140" s="89" t="n">
        <x:v>44946</x:v>
      </x:c>
      <x:c r="E2140" s="84" t="n">
        <x:v>3</x:v>
      </x:c>
      <x:c r="F2140" s="91" t="n">
        <x:v>4405.5</x:v>
      </x:c>
    </x:row>
    <x:row r="2141">
      <x:c r="A2141" s="83" t="n">
        <x:v>2140</x:v>
      </x:c>
      <x:c r="B2141" s="84" t="n">
        <x:v>1641</x:v>
      </x:c>
      <x:c r="C2141" s="84" t="n">
        <x:v>68</x:v>
      </x:c>
      <x:c r="D2141" s="89" t="n">
        <x:v>45545</x:v>
      </x:c>
      <x:c r="E2141" s="84" t="n">
        <x:v>4</x:v>
      </x:c>
      <x:c r="F2141" s="91" t="n">
        <x:v>6110.44</x:v>
      </x:c>
    </x:row>
    <x:row r="2142">
      <x:c r="A2142" s="83" t="n">
        <x:v>2141</x:v>
      </x:c>
      <x:c r="B2142" s="84" t="n">
        <x:v>1642</x:v>
      </x:c>
      <x:c r="C2142" s="84" t="n">
        <x:v>66</x:v>
      </x:c>
      <x:c r="D2142" s="89" t="n">
        <x:v>45037</x:v>
      </x:c>
      <x:c r="E2142" s="84" t="n">
        <x:v>1</x:v>
      </x:c>
      <x:c r="F2142" s="91" t="n">
        <x:v>1912.45</x:v>
      </x:c>
    </x:row>
    <x:row r="2143">
      <x:c r="A2143" s="83" t="n">
        <x:v>2142</x:v>
      </x:c>
      <x:c r="B2143" s="84" t="n">
        <x:v>1642</x:v>
      </x:c>
      <x:c r="C2143" s="84" t="n">
        <x:v>17</x:v>
      </x:c>
      <x:c r="D2143" s="89" t="n">
        <x:v>45037</x:v>
      </x:c>
      <x:c r="E2143" s="84" t="n">
        <x:v>1</x:v>
      </x:c>
      <x:c r="F2143" s="91" t="n">
        <x:v>2356.42</x:v>
      </x:c>
    </x:row>
    <x:row r="2144">
      <x:c r="A2144" s="83" t="n">
        <x:v>2143</x:v>
      </x:c>
      <x:c r="B2144" s="84" t="n">
        <x:v>1643</x:v>
      </x:c>
      <x:c r="C2144" s="84" t="n">
        <x:v>1</x:v>
      </x:c>
      <x:c r="D2144" s="89" t="n">
        <x:v>45235</x:v>
      </x:c>
      <x:c r="E2144" s="84" t="n">
        <x:v>4</x:v>
      </x:c>
      <x:c r="F2144" s="91" t="n">
        <x:v>6958.4</x:v>
      </x:c>
    </x:row>
    <x:row r="2145">
      <x:c r="A2145" s="83" t="n">
        <x:v>2144</x:v>
      </x:c>
      <x:c r="B2145" s="84" t="n">
        <x:v>1643</x:v>
      </x:c>
      <x:c r="C2145" s="84" t="n">
        <x:v>57</x:v>
      </x:c>
      <x:c r="D2145" s="89" t="n">
        <x:v>45235</x:v>
      </x:c>
      <x:c r="E2145" s="84" t="n">
        <x:v>3</x:v>
      </x:c>
      <x:c r="F2145" s="91" t="n">
        <x:v>3537.18</x:v>
      </x:c>
    </x:row>
    <x:row r="2146">
      <x:c r="A2146" s="83" t="n">
        <x:v>2145</x:v>
      </x:c>
      <x:c r="B2146" s="84" t="n">
        <x:v>1643</x:v>
      </x:c>
      <x:c r="C2146" s="84" t="n">
        <x:v>62</x:v>
      </x:c>
      <x:c r="D2146" s="89" t="n">
        <x:v>45235</x:v>
      </x:c>
      <x:c r="E2146" s="84" t="n">
        <x:v>2</x:v>
      </x:c>
      <x:c r="F2146" s="91" t="n">
        <x:v>3034.62</x:v>
      </x:c>
    </x:row>
    <x:row r="2147">
      <x:c r="A2147" s="83" t="n">
        <x:v>2146</x:v>
      </x:c>
      <x:c r="B2147" s="84" t="n">
        <x:v>1645</x:v>
      </x:c>
      <x:c r="C2147" s="84" t="n">
        <x:v>26</x:v>
      </x:c>
      <x:c r="D2147" s="89" t="n">
        <x:v>45902</x:v>
      </x:c>
      <x:c r="E2147" s="84" t="n">
        <x:v>3</x:v>
      </x:c>
      <x:c r="F2147" s="91" t="n">
        <x:v>6453</x:v>
      </x:c>
    </x:row>
    <x:row r="2148">
      <x:c r="A2148" s="83" t="n">
        <x:v>2147</x:v>
      </x:c>
      <x:c r="B2148" s="84" t="n">
        <x:v>1646</x:v>
      </x:c>
      <x:c r="C2148" s="84" t="n">
        <x:v>48</x:v>
      </x:c>
      <x:c r="D2148" s="89" t="n">
        <x:v>45368</x:v>
      </x:c>
      <x:c r="E2148" s="84" t="n">
        <x:v>3</x:v>
      </x:c>
      <x:c r="F2148" s="91" t="n">
        <x:v>3484.35</x:v>
      </x:c>
    </x:row>
    <x:row r="2149">
      <x:c r="A2149" s="83" t="n">
        <x:v>2148</x:v>
      </x:c>
      <x:c r="B2149" s="84" t="n">
        <x:v>1646</x:v>
      </x:c>
      <x:c r="C2149" s="84" t="n">
        <x:v>71</x:v>
      </x:c>
      <x:c r="D2149" s="89" t="n">
        <x:v>45368</x:v>
      </x:c>
      <x:c r="E2149" s="84" t="n">
        <x:v>3</x:v>
      </x:c>
      <x:c r="F2149" s="91" t="n">
        <x:v>5950.56</x:v>
      </x:c>
    </x:row>
    <x:row r="2150">
      <x:c r="A2150" s="83" t="n">
        <x:v>2149</x:v>
      </x:c>
      <x:c r="B2150" s="84" t="n">
        <x:v>1649</x:v>
      </x:c>
      <x:c r="C2150" s="84" t="n">
        <x:v>28</x:v>
      </x:c>
      <x:c r="D2150" s="89" t="n">
        <x:v>45850</x:v>
      </x:c>
      <x:c r="E2150" s="84" t="n">
        <x:v>3</x:v>
      </x:c>
      <x:c r="F2150" s="91" t="n">
        <x:v>2461.41</x:v>
      </x:c>
    </x:row>
    <x:row r="2151">
      <x:c r="A2151" s="83" t="n">
        <x:v>2150</x:v>
      </x:c>
      <x:c r="B2151" s="84" t="n">
        <x:v>1650</x:v>
      </x:c>
      <x:c r="C2151" s="84" t="n">
        <x:v>54</x:v>
      </x:c>
      <x:c r="D2151" s="89" t="n">
        <x:v>45934</x:v>
      </x:c>
      <x:c r="E2151" s="84" t="n">
        <x:v>1</x:v>
      </x:c>
      <x:c r="F2151" s="91" t="n">
        <x:v>686.4</x:v>
      </x:c>
    </x:row>
    <x:row r="2152">
      <x:c r="A2152" s="83" t="n">
        <x:v>2151</x:v>
      </x:c>
      <x:c r="B2152" s="84" t="n">
        <x:v>1650</x:v>
      </x:c>
      <x:c r="C2152" s="84" t="n">
        <x:v>21</x:v>
      </x:c>
      <x:c r="D2152" s="89" t="n">
        <x:v>45934</x:v>
      </x:c>
      <x:c r="E2152" s="84" t="n">
        <x:v>4</x:v>
      </x:c>
      <x:c r="F2152" s="91" t="n">
        <x:v>9155.48</x:v>
      </x:c>
    </x:row>
    <x:row r="2153">
      <x:c r="A2153" s="83" t="n">
        <x:v>2152</x:v>
      </x:c>
      <x:c r="B2153" s="84" t="n">
        <x:v>1652</x:v>
      </x:c>
      <x:c r="C2153" s="84" t="n">
        <x:v>8</x:v>
      </x:c>
      <x:c r="D2153" s="89" t="n">
        <x:v>45125</x:v>
      </x:c>
      <x:c r="E2153" s="84" t="n">
        <x:v>4</x:v>
      </x:c>
      <x:c r="F2153" s="91" t="n">
        <x:v>6664.76</x:v>
      </x:c>
    </x:row>
    <x:row r="2154">
      <x:c r="A2154" s="83" t="n">
        <x:v>2153</x:v>
      </x:c>
      <x:c r="B2154" s="84" t="n">
        <x:v>1652</x:v>
      </x:c>
      <x:c r="C2154" s="84" t="n">
        <x:v>58</x:v>
      </x:c>
      <x:c r="D2154" s="89" t="n">
        <x:v>45125</x:v>
      </x:c>
      <x:c r="E2154" s="84" t="n">
        <x:v>2</x:v>
      </x:c>
      <x:c r="F2154" s="91" t="n">
        <x:v>4036.36</x:v>
      </x:c>
    </x:row>
    <x:row r="2155">
      <x:c r="A2155" s="83" t="n">
        <x:v>2154</x:v>
      </x:c>
      <x:c r="B2155" s="84" t="n">
        <x:v>1652</x:v>
      </x:c>
      <x:c r="C2155" s="84" t="n">
        <x:v>57</x:v>
      </x:c>
      <x:c r="D2155" s="89" t="n">
        <x:v>45125</x:v>
      </x:c>
      <x:c r="E2155" s="84" t="n">
        <x:v>2</x:v>
      </x:c>
      <x:c r="F2155" s="91" t="n">
        <x:v>2358.12</x:v>
      </x:c>
    </x:row>
    <x:row r="2156">
      <x:c r="A2156" s="83" t="n">
        <x:v>2155</x:v>
      </x:c>
      <x:c r="B2156" s="84" t="n">
        <x:v>1654</x:v>
      </x:c>
      <x:c r="C2156" s="84" t="n">
        <x:v>48</x:v>
      </x:c>
      <x:c r="D2156" s="89" t="n">
        <x:v>45233</x:v>
      </x:c>
      <x:c r="E2156" s="84" t="n">
        <x:v>3</x:v>
      </x:c>
      <x:c r="F2156" s="91" t="n">
        <x:v>3484.35</x:v>
      </x:c>
    </x:row>
    <x:row r="2157">
      <x:c r="A2157" s="83" t="n">
        <x:v>2156</x:v>
      </x:c>
      <x:c r="B2157" s="84" t="n">
        <x:v>1654</x:v>
      </x:c>
      <x:c r="C2157" s="84" t="n">
        <x:v>6</x:v>
      </x:c>
      <x:c r="D2157" s="89" t="n">
        <x:v>45233</x:v>
      </x:c>
      <x:c r="E2157" s="84" t="n">
        <x:v>4</x:v>
      </x:c>
      <x:c r="F2157" s="91" t="n">
        <x:v>2789.48</x:v>
      </x:c>
    </x:row>
    <x:row r="2158">
      <x:c r="A2158" s="83" t="n">
        <x:v>2157</x:v>
      </x:c>
      <x:c r="B2158" s="84" t="n">
        <x:v>1656</x:v>
      </x:c>
      <x:c r="C2158" s="84" t="n">
        <x:v>48</x:v>
      </x:c>
      <x:c r="D2158" s="89" t="n">
        <x:v>45079</x:v>
      </x:c>
      <x:c r="E2158" s="84" t="n">
        <x:v>1</x:v>
      </x:c>
      <x:c r="F2158" s="91" t="n">
        <x:v>1161.45</x:v>
      </x:c>
    </x:row>
    <x:row r="2159">
      <x:c r="A2159" s="83" t="n">
        <x:v>2158</x:v>
      </x:c>
      <x:c r="B2159" s="84" t="n">
        <x:v>1657</x:v>
      </x:c>
      <x:c r="C2159" s="84" t="n">
        <x:v>59</x:v>
      </x:c>
      <x:c r="D2159" s="89" t="n">
        <x:v>45837</x:v>
      </x:c>
      <x:c r="E2159" s="84" t="n">
        <x:v>3</x:v>
      </x:c>
      <x:c r="F2159" s="91" t="n">
        <x:v>4549.35</x:v>
      </x:c>
    </x:row>
    <x:row r="2160">
      <x:c r="A2160" s="83" t="n">
        <x:v>2159</x:v>
      </x:c>
      <x:c r="B2160" s="84" t="n">
        <x:v>1657</x:v>
      </x:c>
      <x:c r="C2160" s="84" t="n">
        <x:v>18</x:v>
      </x:c>
      <x:c r="D2160" s="89" t="n">
        <x:v>45837</x:v>
      </x:c>
      <x:c r="E2160" s="84" t="n">
        <x:v>1</x:v>
      </x:c>
      <x:c r="F2160" s="91" t="n">
        <x:v>666.16</x:v>
      </x:c>
    </x:row>
    <x:row r="2161">
      <x:c r="A2161" s="83" t="n">
        <x:v>2160</x:v>
      </x:c>
      <x:c r="B2161" s="84" t="n">
        <x:v>1657</x:v>
      </x:c>
      <x:c r="C2161" s="84" t="n">
        <x:v>54</x:v>
      </x:c>
      <x:c r="D2161" s="89" t="n">
        <x:v>45837</x:v>
      </x:c>
      <x:c r="E2161" s="84" t="n">
        <x:v>3</x:v>
      </x:c>
      <x:c r="F2161" s="91" t="n">
        <x:v>2059.2</x:v>
      </x:c>
    </x:row>
    <x:row r="2162">
      <x:c r="A2162" s="83" t="n">
        <x:v>2161</x:v>
      </x:c>
      <x:c r="B2162" s="84" t="n">
        <x:v>1660</x:v>
      </x:c>
      <x:c r="C2162" s="84" t="n">
        <x:v>30</x:v>
      </x:c>
      <x:c r="D2162" s="89" t="n">
        <x:v>45077</x:v>
      </x:c>
      <x:c r="E2162" s="84" t="n">
        <x:v>3</x:v>
      </x:c>
      <x:c r="F2162" s="91" t="n">
        <x:v>3836.28</x:v>
      </x:c>
    </x:row>
    <x:row r="2163">
      <x:c r="A2163" s="83" t="n">
        <x:v>2162</x:v>
      </x:c>
      <x:c r="B2163" s="84" t="n">
        <x:v>1660</x:v>
      </x:c>
      <x:c r="C2163" s="84" t="n">
        <x:v>16</x:v>
      </x:c>
      <x:c r="D2163" s="89" t="n">
        <x:v>45077</x:v>
      </x:c>
      <x:c r="E2163" s="84" t="n">
        <x:v>2</x:v>
      </x:c>
      <x:c r="F2163" s="91" t="n">
        <x:v>1211.56</x:v>
      </x:c>
    </x:row>
    <x:row r="2164">
      <x:c r="A2164" s="83" t="n">
        <x:v>2163</x:v>
      </x:c>
      <x:c r="B2164" s="84" t="n">
        <x:v>1660</x:v>
      </x:c>
      <x:c r="C2164" s="84" t="n">
        <x:v>69</x:v>
      </x:c>
      <x:c r="D2164" s="89" t="n">
        <x:v>45077</x:v>
      </x:c>
      <x:c r="E2164" s="84" t="n">
        <x:v>2</x:v>
      </x:c>
      <x:c r="F2164" s="91" t="n">
        <x:v>3540.66</x:v>
      </x:c>
    </x:row>
    <x:row r="2165">
      <x:c r="A2165" s="83" t="n">
        <x:v>2164</x:v>
      </x:c>
      <x:c r="B2165" s="84" t="n">
        <x:v>1661</x:v>
      </x:c>
      <x:c r="C2165" s="84" t="n">
        <x:v>66</x:v>
      </x:c>
      <x:c r="D2165" s="89" t="n">
        <x:v>45557</x:v>
      </x:c>
      <x:c r="E2165" s="84" t="n">
        <x:v>3</x:v>
      </x:c>
      <x:c r="F2165" s="91" t="n">
        <x:v>5737.35</x:v>
      </x:c>
    </x:row>
    <x:row r="2166">
      <x:c r="A2166" s="83" t="n">
        <x:v>2165</x:v>
      </x:c>
      <x:c r="B2166" s="84" t="n">
        <x:v>1661</x:v>
      </x:c>
      <x:c r="C2166" s="84" t="n">
        <x:v>30</x:v>
      </x:c>
      <x:c r="D2166" s="89" t="n">
        <x:v>45557</x:v>
      </x:c>
      <x:c r="E2166" s="84" t="n">
        <x:v>3</x:v>
      </x:c>
      <x:c r="F2166" s="91" t="n">
        <x:v>3836.28</x:v>
      </x:c>
    </x:row>
    <x:row r="2167">
      <x:c r="A2167" s="83" t="n">
        <x:v>2166</x:v>
      </x:c>
      <x:c r="B2167" s="84" t="n">
        <x:v>1661</x:v>
      </x:c>
      <x:c r="C2167" s="84" t="n">
        <x:v>1</x:v>
      </x:c>
      <x:c r="D2167" s="89" t="n">
        <x:v>45557</x:v>
      </x:c>
      <x:c r="E2167" s="84" t="n">
        <x:v>3</x:v>
      </x:c>
      <x:c r="F2167" s="91" t="n">
        <x:v>5218.8</x:v>
      </x:c>
    </x:row>
    <x:row r="2168">
      <x:c r="A2168" s="83" t="n">
        <x:v>2167</x:v>
      </x:c>
      <x:c r="B2168" s="84" t="n">
        <x:v>1664</x:v>
      </x:c>
      <x:c r="C2168" s="84" t="n">
        <x:v>72</x:v>
      </x:c>
      <x:c r="D2168" s="89" t="n">
        <x:v>45215</x:v>
      </x:c>
      <x:c r="E2168" s="84" t="n">
        <x:v>1</x:v>
      </x:c>
      <x:c r="F2168" s="91" t="n">
        <x:v>450.83</x:v>
      </x:c>
    </x:row>
    <x:row r="2169">
      <x:c r="A2169" s="83" t="n">
        <x:v>2168</x:v>
      </x:c>
      <x:c r="B2169" s="84" t="n">
        <x:v>1664</x:v>
      </x:c>
      <x:c r="C2169" s="84" t="n">
        <x:v>54</x:v>
      </x:c>
      <x:c r="D2169" s="89" t="n">
        <x:v>45215</x:v>
      </x:c>
      <x:c r="E2169" s="84" t="n">
        <x:v>3</x:v>
      </x:c>
      <x:c r="F2169" s="91" t="n">
        <x:v>2059.2</x:v>
      </x:c>
    </x:row>
    <x:row r="2170">
      <x:c r="A2170" s="83" t="n">
        <x:v>2169</x:v>
      </x:c>
      <x:c r="B2170" s="84" t="n">
        <x:v>1664</x:v>
      </x:c>
      <x:c r="C2170" s="84" t="n">
        <x:v>39</x:v>
      </x:c>
      <x:c r="D2170" s="89" t="n">
        <x:v>45215</x:v>
      </x:c>
      <x:c r="E2170" s="84" t="n">
        <x:v>4</x:v>
      </x:c>
      <x:c r="F2170" s="91" t="n">
        <x:v>2710.4</x:v>
      </x:c>
    </x:row>
    <x:row r="2171">
      <x:c r="A2171" s="83" t="n">
        <x:v>2170</x:v>
      </x:c>
      <x:c r="B2171" s="84" t="n">
        <x:v>1665</x:v>
      </x:c>
      <x:c r="C2171" s="84" t="n">
        <x:v>70</x:v>
      </x:c>
      <x:c r="D2171" s="89" t="n">
        <x:v>45561</x:v>
      </x:c>
      <x:c r="E2171" s="84" t="n">
        <x:v>1</x:v>
      </x:c>
      <x:c r="F2171" s="91" t="n">
        <x:v>769.54</x:v>
      </x:c>
    </x:row>
    <x:row r="2172">
      <x:c r="A2172" s="83" t="n">
        <x:v>2171</x:v>
      </x:c>
      <x:c r="B2172" s="84" t="n">
        <x:v>1665</x:v>
      </x:c>
      <x:c r="C2172" s="84" t="n">
        <x:v>40</x:v>
      </x:c>
      <x:c r="D2172" s="89" t="n">
        <x:v>45561</x:v>
      </x:c>
      <x:c r="E2172" s="84" t="n">
        <x:v>4</x:v>
      </x:c>
      <x:c r="F2172" s="91" t="n">
        <x:v>8140.16</x:v>
      </x:c>
    </x:row>
    <x:row r="2173">
      <x:c r="A2173" s="83" t="n">
        <x:v>2172</x:v>
      </x:c>
      <x:c r="B2173" s="84" t="n">
        <x:v>1666</x:v>
      </x:c>
      <x:c r="C2173" s="84" t="n">
        <x:v>64</x:v>
      </x:c>
      <x:c r="D2173" s="89" t="n">
        <x:v>45707</x:v>
      </x:c>
      <x:c r="E2173" s="84" t="n">
        <x:v>3</x:v>
      </x:c>
      <x:c r="F2173" s="91" t="n">
        <x:v>4396.26</x:v>
      </x:c>
    </x:row>
    <x:row r="2174">
      <x:c r="A2174" s="83" t="n">
        <x:v>2173</x:v>
      </x:c>
      <x:c r="B2174" s="84" t="n">
        <x:v>1666</x:v>
      </x:c>
      <x:c r="C2174" s="84" t="n">
        <x:v>46</x:v>
      </x:c>
      <x:c r="D2174" s="89" t="n">
        <x:v>45707</x:v>
      </x:c>
      <x:c r="E2174" s="84" t="n">
        <x:v>1</x:v>
      </x:c>
      <x:c r="F2174" s="91" t="n">
        <x:v>1334.95</x:v>
      </x:c>
    </x:row>
    <x:row r="2175">
      <x:c r="A2175" s="83" t="n">
        <x:v>2174</x:v>
      </x:c>
      <x:c r="B2175" s="84" t="n">
        <x:v>1667</x:v>
      </x:c>
      <x:c r="C2175" s="84" t="n">
        <x:v>55</x:v>
      </x:c>
      <x:c r="D2175" s="89" t="n">
        <x:v>45100</x:v>
      </x:c>
      <x:c r="E2175" s="84" t="n">
        <x:v>3</x:v>
      </x:c>
      <x:c r="F2175" s="91" t="n">
        <x:v>4499.55</x:v>
      </x:c>
    </x:row>
    <x:row r="2176">
      <x:c r="A2176" s="83" t="n">
        <x:v>2175</x:v>
      </x:c>
      <x:c r="B2176" s="84" t="n">
        <x:v>1667</x:v>
      </x:c>
      <x:c r="C2176" s="84" t="n">
        <x:v>72</x:v>
      </x:c>
      <x:c r="D2176" s="89" t="n">
        <x:v>45100</x:v>
      </x:c>
      <x:c r="E2176" s="84" t="n">
        <x:v>2</x:v>
      </x:c>
      <x:c r="F2176" s="91" t="n">
        <x:v>901.66</x:v>
      </x:c>
    </x:row>
    <x:row r="2177">
      <x:c r="A2177" s="83" t="n">
        <x:v>2176</x:v>
      </x:c>
      <x:c r="B2177" s="84" t="n">
        <x:v>1667</x:v>
      </x:c>
      <x:c r="C2177" s="84" t="n">
        <x:v>37</x:v>
      </x:c>
      <x:c r="D2177" s="89" t="n">
        <x:v>45100</x:v>
      </x:c>
      <x:c r="E2177" s="84" t="n">
        <x:v>1</x:v>
      </x:c>
      <x:c r="F2177" s="91" t="n">
        <x:v>1033.71</x:v>
      </x:c>
    </x:row>
    <x:row r="2178">
      <x:c r="A2178" s="83" t="n">
        <x:v>2177</x:v>
      </x:c>
      <x:c r="B2178" s="84" t="n">
        <x:v>1669</x:v>
      </x:c>
      <x:c r="C2178" s="84" t="n">
        <x:v>32</x:v>
      </x:c>
      <x:c r="D2178" s="89" t="n">
        <x:v>45145</x:v>
      </x:c>
      <x:c r="E2178" s="84" t="n">
        <x:v>3</x:v>
      </x:c>
      <x:c r="F2178" s="91" t="n">
        <x:v>5439.75</x:v>
      </x:c>
    </x:row>
    <x:row r="2179">
      <x:c r="A2179" s="83" t="n">
        <x:v>2178</x:v>
      </x:c>
      <x:c r="B2179" s="84" t="n">
        <x:v>1669</x:v>
      </x:c>
      <x:c r="C2179" s="84" t="n">
        <x:v>23</x:v>
      </x:c>
      <x:c r="D2179" s="89" t="n">
        <x:v>45145</x:v>
      </x:c>
      <x:c r="E2179" s="84" t="n">
        <x:v>2</x:v>
      </x:c>
      <x:c r="F2179" s="91" t="n">
        <x:v>3505.7</x:v>
      </x:c>
    </x:row>
    <x:row r="2180">
      <x:c r="A2180" s="83" t="n">
        <x:v>2179</x:v>
      </x:c>
      <x:c r="B2180" s="84" t="n">
        <x:v>1672</x:v>
      </x:c>
      <x:c r="C2180" s="84" t="n">
        <x:v>47</x:v>
      </x:c>
      <x:c r="D2180" s="89" t="n">
        <x:v>45295</x:v>
      </x:c>
      <x:c r="E2180" s="84" t="n">
        <x:v>1</x:v>
      </x:c>
      <x:c r="F2180" s="91" t="n">
        <x:v>2175.62</x:v>
      </x:c>
    </x:row>
    <x:row r="2181">
      <x:c r="A2181" s="83" t="n">
        <x:v>2180</x:v>
      </x:c>
      <x:c r="B2181" s="84" t="n">
        <x:v>1672</x:v>
      </x:c>
      <x:c r="C2181" s="84" t="n">
        <x:v>12</x:v>
      </x:c>
      <x:c r="D2181" s="89" t="n">
        <x:v>45295</x:v>
      </x:c>
      <x:c r="E2181" s="84" t="n">
        <x:v>2</x:v>
      </x:c>
      <x:c r="F2181" s="91" t="n">
        <x:v>568.98</x:v>
      </x:c>
    </x:row>
    <x:row r="2182">
      <x:c r="A2182" s="83" t="n">
        <x:v>2181</x:v>
      </x:c>
      <x:c r="B2182" s="84" t="n">
        <x:v>1673</x:v>
      </x:c>
      <x:c r="C2182" s="84" t="n">
        <x:v>49</x:v>
      </x:c>
      <x:c r="D2182" s="89" t="n">
        <x:v>45962</x:v>
      </x:c>
      <x:c r="E2182" s="84" t="n">
        <x:v>1</x:v>
      </x:c>
      <x:c r="F2182" s="91" t="n">
        <x:v>184.16</x:v>
      </x:c>
    </x:row>
    <x:row r="2183">
      <x:c r="A2183" s="83" t="n">
        <x:v>2182</x:v>
      </x:c>
      <x:c r="B2183" s="84" t="n">
        <x:v>1673</x:v>
      </x:c>
      <x:c r="C2183" s="84" t="n">
        <x:v>11</x:v>
      </x:c>
      <x:c r="D2183" s="89" t="n">
        <x:v>45962</x:v>
      </x:c>
      <x:c r="E2183" s="84" t="n">
        <x:v>2</x:v>
      </x:c>
      <x:c r="F2183" s="91" t="n">
        <x:v>4422.52</x:v>
      </x:c>
    </x:row>
    <x:row r="2184">
      <x:c r="A2184" s="83" t="n">
        <x:v>2183</x:v>
      </x:c>
      <x:c r="B2184" s="84" t="n">
        <x:v>1674</x:v>
      </x:c>
      <x:c r="C2184" s="84" t="n">
        <x:v>71</x:v>
      </x:c>
      <x:c r="D2184" s="89" t="n">
        <x:v>45526</x:v>
      </x:c>
      <x:c r="E2184" s="84" t="n">
        <x:v>4</x:v>
      </x:c>
      <x:c r="F2184" s="91" t="n">
        <x:v>7934.08</x:v>
      </x:c>
    </x:row>
    <x:row r="2185">
      <x:c r="A2185" s="83" t="n">
        <x:v>2184</x:v>
      </x:c>
      <x:c r="B2185" s="84" t="n">
        <x:v>1674</x:v>
      </x:c>
      <x:c r="C2185" s="84" t="n">
        <x:v>5</x:v>
      </x:c>
      <x:c r="D2185" s="89" t="n">
        <x:v>45526</x:v>
      </x:c>
      <x:c r="E2185" s="84" t="n">
        <x:v>4</x:v>
      </x:c>
      <x:c r="F2185" s="91" t="n">
        <x:v>5874</x:v>
      </x:c>
    </x:row>
    <x:row r="2186">
      <x:c r="A2186" s="83" t="n">
        <x:v>2185</x:v>
      </x:c>
      <x:c r="B2186" s="84" t="n">
        <x:v>1674</x:v>
      </x:c>
      <x:c r="C2186" s="84" t="n">
        <x:v>78</x:v>
      </x:c>
      <x:c r="D2186" s="89" t="n">
        <x:v>45526</x:v>
      </x:c>
      <x:c r="E2186" s="84" t="n">
        <x:v>4</x:v>
      </x:c>
      <x:c r="F2186" s="91" t="n">
        <x:v>1134.4</x:v>
      </x:c>
    </x:row>
    <x:row r="2187">
      <x:c r="A2187" s="83" t="n">
        <x:v>2186</x:v>
      </x:c>
      <x:c r="B2187" s="84" t="n">
        <x:v>1675</x:v>
      </x:c>
      <x:c r="C2187" s="84" t="n">
        <x:v>22</x:v>
      </x:c>
      <x:c r="D2187" s="89" t="n">
        <x:v>45139</x:v>
      </x:c>
      <x:c r="E2187" s="84" t="n">
        <x:v>1</x:v>
      </x:c>
      <x:c r="F2187" s="91" t="n">
        <x:v>521.89</x:v>
      </x:c>
    </x:row>
    <x:row r="2188">
      <x:c r="A2188" s="83" t="n">
        <x:v>2187</x:v>
      </x:c>
      <x:c r="B2188" s="84" t="n">
        <x:v>1675</x:v>
      </x:c>
      <x:c r="C2188" s="84" t="n">
        <x:v>23</x:v>
      </x:c>
      <x:c r="D2188" s="89" t="n">
        <x:v>45139</x:v>
      </x:c>
      <x:c r="E2188" s="84" t="n">
        <x:v>4</x:v>
      </x:c>
      <x:c r="F2188" s="91" t="n">
        <x:v>7011.4</x:v>
      </x:c>
    </x:row>
    <x:row r="2189">
      <x:c r="A2189" s="83" t="n">
        <x:v>2188</x:v>
      </x:c>
      <x:c r="B2189" s="84" t="n">
        <x:v>1675</x:v>
      </x:c>
      <x:c r="C2189" s="84" t="n">
        <x:v>19</x:v>
      </x:c>
      <x:c r="D2189" s="89" t="n">
        <x:v>45139</x:v>
      </x:c>
      <x:c r="E2189" s="84" t="n">
        <x:v>2</x:v>
      </x:c>
      <x:c r="F2189" s="91" t="n">
        <x:v>2175.42</x:v>
      </x:c>
    </x:row>
    <x:row r="2190">
      <x:c r="A2190" s="83" t="n">
        <x:v>2189</x:v>
      </x:c>
      <x:c r="B2190" s="84" t="n">
        <x:v>1676</x:v>
      </x:c>
      <x:c r="C2190" s="84" t="n">
        <x:v>72</x:v>
      </x:c>
      <x:c r="D2190" s="89" t="n">
        <x:v>45713</x:v>
      </x:c>
      <x:c r="E2190" s="84" t="n">
        <x:v>2</x:v>
      </x:c>
      <x:c r="F2190" s="91" t="n">
        <x:v>901.66</x:v>
      </x:c>
    </x:row>
    <x:row r="2191">
      <x:c r="A2191" s="83" t="n">
        <x:v>2190</x:v>
      </x:c>
      <x:c r="B2191" s="84" t="n">
        <x:v>1676</x:v>
      </x:c>
      <x:c r="C2191" s="84" t="n">
        <x:v>21</x:v>
      </x:c>
      <x:c r="D2191" s="89" t="n">
        <x:v>45713</x:v>
      </x:c>
      <x:c r="E2191" s="84" t="n">
        <x:v>1</x:v>
      </x:c>
      <x:c r="F2191" s="91" t="n">
        <x:v>2288.87</x:v>
      </x:c>
    </x:row>
    <x:row r="2192">
      <x:c r="A2192" s="83" t="n">
        <x:v>2191</x:v>
      </x:c>
      <x:c r="B2192" s="84" t="n">
        <x:v>1679</x:v>
      </x:c>
      <x:c r="C2192" s="84" t="n">
        <x:v>39</x:v>
      </x:c>
      <x:c r="D2192" s="89" t="n">
        <x:v>45899</x:v>
      </x:c>
      <x:c r="E2192" s="84" t="n">
        <x:v>2</x:v>
      </x:c>
      <x:c r="F2192" s="91" t="n">
        <x:v>1355.2</x:v>
      </x:c>
    </x:row>
    <x:row r="2193">
      <x:c r="A2193" s="83" t="n">
        <x:v>2192</x:v>
      </x:c>
      <x:c r="B2193" s="84" t="n">
        <x:v>1679</x:v>
      </x:c>
      <x:c r="C2193" s="84" t="n">
        <x:v>17</x:v>
      </x:c>
      <x:c r="D2193" s="89" t="n">
        <x:v>45899</x:v>
      </x:c>
      <x:c r="E2193" s="84" t="n">
        <x:v>2</x:v>
      </x:c>
      <x:c r="F2193" s="91" t="n">
        <x:v>4712.84</x:v>
      </x:c>
    </x:row>
    <x:row r="2194">
      <x:c r="A2194" s="83" t="n">
        <x:v>2193</x:v>
      </x:c>
      <x:c r="B2194" s="84" t="n">
        <x:v>1680</x:v>
      </x:c>
      <x:c r="C2194" s="84" t="n">
        <x:v>3</x:v>
      </x:c>
      <x:c r="D2194" s="89" t="n">
        <x:v>45869</x:v>
      </x:c>
      <x:c r="E2194" s="84" t="n">
        <x:v>2</x:v>
      </x:c>
      <x:c r="F2194" s="91" t="n">
        <x:v>2302.28</x:v>
      </x:c>
    </x:row>
    <x:row r="2195">
      <x:c r="A2195" s="83" t="n">
        <x:v>2194</x:v>
      </x:c>
      <x:c r="B2195" s="84" t="n">
        <x:v>1681</x:v>
      </x:c>
      <x:c r="C2195" s="84" t="n">
        <x:v>35</x:v>
      </x:c>
      <x:c r="D2195" s="89" t="n">
        <x:v>45208</x:v>
      </x:c>
      <x:c r="E2195" s="84" t="n">
        <x:v>2</x:v>
      </x:c>
      <x:c r="F2195" s="91" t="n">
        <x:v>2941.56</x:v>
      </x:c>
    </x:row>
    <x:row r="2196">
      <x:c r="A2196" s="83" t="n">
        <x:v>2195</x:v>
      </x:c>
      <x:c r="B2196" s="84" t="n">
        <x:v>1684</x:v>
      </x:c>
      <x:c r="C2196" s="84" t="n">
        <x:v>24</x:v>
      </x:c>
      <x:c r="D2196" s="89" t="n">
        <x:v>45415</x:v>
      </x:c>
      <x:c r="E2196" s="84" t="n">
        <x:v>4</x:v>
      </x:c>
      <x:c r="F2196" s="91" t="n">
        <x:v>2963.64</x:v>
      </x:c>
    </x:row>
    <x:row r="2197">
      <x:c r="A2197" s="83" t="n">
        <x:v>2196</x:v>
      </x:c>
      <x:c r="B2197" s="84" t="n">
        <x:v>1688</x:v>
      </x:c>
      <x:c r="C2197" s="84" t="n">
        <x:v>31</x:v>
      </x:c>
      <x:c r="D2197" s="89" t="n">
        <x:v>45947</x:v>
      </x:c>
      <x:c r="E2197" s="84" t="n">
        <x:v>1</x:v>
      </x:c>
      <x:c r="F2197" s="91" t="n">
        <x:v>2169.63</x:v>
      </x:c>
    </x:row>
    <x:row r="2198">
      <x:c r="A2198" s="83" t="n">
        <x:v>2197</x:v>
      </x:c>
      <x:c r="B2198" s="84" t="n">
        <x:v>1688</x:v>
      </x:c>
      <x:c r="C2198" s="84" t="n">
        <x:v>52</x:v>
      </x:c>
      <x:c r="D2198" s="89" t="n">
        <x:v>45947</x:v>
      </x:c>
      <x:c r="E2198" s="84" t="n">
        <x:v>4</x:v>
      </x:c>
      <x:c r="F2198" s="91" t="n">
        <x:v>3522.52</x:v>
      </x:c>
    </x:row>
    <x:row r="2199">
      <x:c r="A2199" s="83" t="n">
        <x:v>2198</x:v>
      </x:c>
      <x:c r="B2199" s="84" t="n">
        <x:v>1689</x:v>
      </x:c>
      <x:c r="C2199" s="84" t="n">
        <x:v>38</x:v>
      </x:c>
      <x:c r="D2199" s="89" t="n">
        <x:v>45265</x:v>
      </x:c>
      <x:c r="E2199" s="84" t="n">
        <x:v>1</x:v>
      </x:c>
      <x:c r="F2199" s="91" t="n">
        <x:v>726.49</x:v>
      </x:c>
    </x:row>
    <x:row r="2200">
      <x:c r="A2200" s="83" t="n">
        <x:v>2199</x:v>
      </x:c>
      <x:c r="B2200" s="84" t="n">
        <x:v>1689</x:v>
      </x:c>
      <x:c r="C2200" s="84" t="n">
        <x:v>13</x:v>
      </x:c>
      <x:c r="D2200" s="89" t="n">
        <x:v>45265</x:v>
      </x:c>
      <x:c r="E2200" s="84" t="n">
        <x:v>2</x:v>
      </x:c>
      <x:c r="F2200" s="91" t="n">
        <x:v>1604.1</x:v>
      </x:c>
    </x:row>
    <x:row r="2201">
      <x:c r="A2201" s="83" t="n">
        <x:v>2200</x:v>
      </x:c>
      <x:c r="B2201" s="84" t="n">
        <x:v>1690</x:v>
      </x:c>
      <x:c r="C2201" s="84" t="n">
        <x:v>31</x:v>
      </x:c>
      <x:c r="D2201" s="89" t="n">
        <x:v>45706</x:v>
      </x:c>
      <x:c r="E2201" s="84" t="n">
        <x:v>4</x:v>
      </x:c>
      <x:c r="F2201" s="91" t="n">
        <x:v>8678.52</x:v>
      </x:c>
    </x:row>
    <x:row r="2202">
      <x:c r="A2202" s="83" t="n">
        <x:v>2201</x:v>
      </x:c>
      <x:c r="B2202" s="84" t="n">
        <x:v>1694</x:v>
      </x:c>
      <x:c r="C2202" s="84" t="n">
        <x:v>29</x:v>
      </x:c>
      <x:c r="D2202" s="89" t="n">
        <x:v>45217</x:v>
      </x:c>
      <x:c r="E2202" s="84" t="n">
        <x:v>2</x:v>
      </x:c>
      <x:c r="F2202" s="91" t="n">
        <x:v>3104.94</x:v>
      </x:c>
    </x:row>
    <x:row r="2203">
      <x:c r="A2203" s="83" t="n">
        <x:v>2202</x:v>
      </x:c>
      <x:c r="B2203" s="84" t="n">
        <x:v>1694</x:v>
      </x:c>
      <x:c r="C2203" s="84" t="n">
        <x:v>36</x:v>
      </x:c>
      <x:c r="D2203" s="89" t="n">
        <x:v>45217</x:v>
      </x:c>
      <x:c r="E2203" s="84" t="n">
        <x:v>4</x:v>
      </x:c>
      <x:c r="F2203" s="91" t="n">
        <x:v>2385.64</x:v>
      </x:c>
    </x:row>
    <x:row r="2204">
      <x:c r="A2204" s="83" t="n">
        <x:v>2203</x:v>
      </x:c>
      <x:c r="B2204" s="84" t="n">
        <x:v>1697</x:v>
      </x:c>
      <x:c r="C2204" s="84" t="n">
        <x:v>37</x:v>
      </x:c>
      <x:c r="D2204" s="89" t="n">
        <x:v>45338</x:v>
      </x:c>
      <x:c r="E2204" s="84" t="n">
        <x:v>3</x:v>
      </x:c>
      <x:c r="F2204" s="91" t="n">
        <x:v>3101.13</x:v>
      </x:c>
    </x:row>
    <x:row r="2205">
      <x:c r="A2205" s="83" t="n">
        <x:v>2204</x:v>
      </x:c>
      <x:c r="B2205" s="84" t="n">
        <x:v>1699</x:v>
      </x:c>
      <x:c r="C2205" s="84" t="n">
        <x:v>1</x:v>
      </x:c>
      <x:c r="D2205" s="89" t="n">
        <x:v>44982</x:v>
      </x:c>
      <x:c r="E2205" s="84" t="n">
        <x:v>2</x:v>
      </x:c>
      <x:c r="F2205" s="91" t="n">
        <x:v>3479.2</x:v>
      </x:c>
    </x:row>
    <x:row r="2206">
      <x:c r="A2206" s="83" t="n">
        <x:v>2205</x:v>
      </x:c>
      <x:c r="B2206" s="84" t="n">
        <x:v>1699</x:v>
      </x:c>
      <x:c r="C2206" s="84" t="n">
        <x:v>24</x:v>
      </x:c>
      <x:c r="D2206" s="89" t="n">
        <x:v>44982</x:v>
      </x:c>
      <x:c r="E2206" s="84" t="n">
        <x:v>1</x:v>
      </x:c>
      <x:c r="F2206" s="91" t="n">
        <x:v>740.91</x:v>
      </x:c>
    </x:row>
    <x:row r="2207">
      <x:c r="A2207" s="83" t="n">
        <x:v>2206</x:v>
      </x:c>
      <x:c r="B2207" s="84" t="n">
        <x:v>1700</x:v>
      </x:c>
      <x:c r="C2207" s="84" t="n">
        <x:v>40</x:v>
      </x:c>
      <x:c r="D2207" s="89" t="n">
        <x:v>45927</x:v>
      </x:c>
      <x:c r="E2207" s="84" t="n">
        <x:v>3</x:v>
      </x:c>
      <x:c r="F2207" s="91" t="n">
        <x:v>6105.12</x:v>
      </x:c>
    </x:row>
    <x:row r="2208">
      <x:c r="A2208" s="83" t="n">
        <x:v>2207</x:v>
      </x:c>
      <x:c r="B2208" s="84" t="n">
        <x:v>1700</x:v>
      </x:c>
      <x:c r="C2208" s="84" t="n">
        <x:v>1</x:v>
      </x:c>
      <x:c r="D2208" s="89" t="n">
        <x:v>45927</x:v>
      </x:c>
      <x:c r="E2208" s="84" t="n">
        <x:v>2</x:v>
      </x:c>
      <x:c r="F2208" s="91" t="n">
        <x:v>3479.2</x:v>
      </x:c>
    </x:row>
    <x:row r="2209">
      <x:c r="A2209" s="83" t="n">
        <x:v>2208</x:v>
      </x:c>
      <x:c r="B2209" s="84" t="n">
        <x:v>1701</x:v>
      </x:c>
      <x:c r="C2209" s="84" t="n">
        <x:v>19</x:v>
      </x:c>
      <x:c r="D2209" s="89" t="n">
        <x:v>45358</x:v>
      </x:c>
      <x:c r="E2209" s="84" t="n">
        <x:v>3</x:v>
      </x:c>
      <x:c r="F2209" s="91" t="n">
        <x:v>3263.13</x:v>
      </x:c>
    </x:row>
    <x:row r="2210">
      <x:c r="A2210" s="83" t="n">
        <x:v>2209</x:v>
      </x:c>
      <x:c r="B2210" s="84" t="n">
        <x:v>1701</x:v>
      </x:c>
      <x:c r="C2210" s="84" t="n">
        <x:v>25</x:v>
      </x:c>
      <x:c r="D2210" s="89" t="n">
        <x:v>45358</x:v>
      </x:c>
      <x:c r="E2210" s="84" t="n">
        <x:v>4</x:v>
      </x:c>
      <x:c r="F2210" s="91" t="n">
        <x:v>4317.8</x:v>
      </x:c>
    </x:row>
    <x:row r="2211">
      <x:c r="A2211" s="83" t="n">
        <x:v>2210</x:v>
      </x:c>
      <x:c r="B2211" s="84" t="n">
        <x:v>1704</x:v>
      </x:c>
      <x:c r="C2211" s="84" t="n">
        <x:v>38</x:v>
      </x:c>
      <x:c r="D2211" s="89" t="n">
        <x:v>44935</x:v>
      </x:c>
      <x:c r="E2211" s="84" t="n">
        <x:v>2</x:v>
      </x:c>
      <x:c r="F2211" s="91" t="n">
        <x:v>1452.98</x:v>
      </x:c>
    </x:row>
    <x:row r="2212">
      <x:c r="A2212" s="83" t="n">
        <x:v>2211</x:v>
      </x:c>
      <x:c r="B2212" s="84" t="n">
        <x:v>1704</x:v>
      </x:c>
      <x:c r="C2212" s="84" t="n">
        <x:v>57</x:v>
      </x:c>
      <x:c r="D2212" s="89" t="n">
        <x:v>44935</x:v>
      </x:c>
      <x:c r="E2212" s="84" t="n">
        <x:v>3</x:v>
      </x:c>
      <x:c r="F2212" s="91" t="n">
        <x:v>3537.18</x:v>
      </x:c>
    </x:row>
    <x:row r="2213">
      <x:c r="A2213" s="83" t="n">
        <x:v>2212</x:v>
      </x:c>
      <x:c r="B2213" s="84" t="n">
        <x:v>1704</x:v>
      </x:c>
      <x:c r="C2213" s="84" t="n">
        <x:v>15</x:v>
      </x:c>
      <x:c r="D2213" s="89" t="n">
        <x:v>44935</x:v>
      </x:c>
      <x:c r="E2213" s="84" t="n">
        <x:v>2</x:v>
      </x:c>
      <x:c r="F2213" s="91" t="n">
        <x:v>2469.22</x:v>
      </x:c>
    </x:row>
    <x:row r="2214">
      <x:c r="A2214" s="83" t="n">
        <x:v>2213</x:v>
      </x:c>
      <x:c r="B2214" s="84" t="n">
        <x:v>1705</x:v>
      </x:c>
      <x:c r="C2214" s="84" t="n">
        <x:v>43</x:v>
      </x:c>
      <x:c r="D2214" s="89" t="n">
        <x:v>45401</x:v>
      </x:c>
      <x:c r="E2214" s="84" t="n">
        <x:v>4</x:v>
      </x:c>
      <x:c r="F2214" s="91" t="n">
        <x:v>5861.68</x:v>
      </x:c>
    </x:row>
    <x:row r="2215">
      <x:c r="A2215" s="83" t="n">
        <x:v>2214</x:v>
      </x:c>
      <x:c r="B2215" s="84" t="n">
        <x:v>1706</x:v>
      </x:c>
      <x:c r="C2215" s="84" t="n">
        <x:v>56</x:v>
      </x:c>
      <x:c r="D2215" s="89" t="n">
        <x:v>45378</x:v>
      </x:c>
      <x:c r="E2215" s="84" t="n">
        <x:v>1</x:v>
      </x:c>
      <x:c r="F2215" s="91" t="n">
        <x:v>1468.46</x:v>
      </x:c>
    </x:row>
    <x:row r="2216">
      <x:c r="A2216" s="83" t="n">
        <x:v>2215</x:v>
      </x:c>
      <x:c r="B2216" s="84" t="n">
        <x:v>1706</x:v>
      </x:c>
      <x:c r="C2216" s="84" t="n">
        <x:v>12</x:v>
      </x:c>
      <x:c r="D2216" s="89" t="n">
        <x:v>45378</x:v>
      </x:c>
      <x:c r="E2216" s="84" t="n">
        <x:v>2</x:v>
      </x:c>
      <x:c r="F2216" s="91" t="n">
        <x:v>568.98</x:v>
      </x:c>
    </x:row>
    <x:row r="2217">
      <x:c r="A2217" s="83" t="n">
        <x:v>2216</x:v>
      </x:c>
      <x:c r="B2217" s="84" t="n">
        <x:v>1707</x:v>
      </x:c>
      <x:c r="C2217" s="84" t="n">
        <x:v>59</x:v>
      </x:c>
      <x:c r="D2217" s="89" t="n">
        <x:v>45561</x:v>
      </x:c>
      <x:c r="E2217" s="84" t="n">
        <x:v>1</x:v>
      </x:c>
      <x:c r="F2217" s="91" t="n">
        <x:v>1516.45</x:v>
      </x:c>
    </x:row>
    <x:row r="2218">
      <x:c r="A2218" s="83" t="n">
        <x:v>2217</x:v>
      </x:c>
      <x:c r="B2218" s="84" t="n">
        <x:v>1707</x:v>
      </x:c>
      <x:c r="C2218" s="84" t="n">
        <x:v>45</x:v>
      </x:c>
      <x:c r="D2218" s="89" t="n">
        <x:v>45561</x:v>
      </x:c>
      <x:c r="E2218" s="84" t="n">
        <x:v>1</x:v>
      </x:c>
      <x:c r="F2218" s="91" t="n">
        <x:v>1391.42</x:v>
      </x:c>
    </x:row>
    <x:row r="2219">
      <x:c r="A2219" s="83" t="n">
        <x:v>2218</x:v>
      </x:c>
      <x:c r="B2219" s="84" t="n">
        <x:v>1707</x:v>
      </x:c>
      <x:c r="C2219" s="84" t="n">
        <x:v>41</x:v>
      </x:c>
      <x:c r="D2219" s="89" t="n">
        <x:v>45561</x:v>
      </x:c>
      <x:c r="E2219" s="84" t="n">
        <x:v>1</x:v>
      </x:c>
      <x:c r="F2219" s="91" t="n">
        <x:v>1182.02</x:v>
      </x:c>
    </x:row>
    <x:row r="2220">
      <x:c r="A2220" s="83" t="n">
        <x:v>2219</x:v>
      </x:c>
      <x:c r="B2220" s="84" t="n">
        <x:v>1709</x:v>
      </x:c>
      <x:c r="C2220" s="84" t="n">
        <x:v>75</x:v>
      </x:c>
      <x:c r="D2220" s="89" t="n">
        <x:v>45396</x:v>
      </x:c>
      <x:c r="E2220" s="84" t="n">
        <x:v>2</x:v>
      </x:c>
      <x:c r="F2220" s="91" t="n">
        <x:v>912.34</x:v>
      </x:c>
    </x:row>
    <x:row r="2221">
      <x:c r="A2221" s="83" t="n">
        <x:v>2220</x:v>
      </x:c>
      <x:c r="B2221" s="84" t="n">
        <x:v>1710</x:v>
      </x:c>
      <x:c r="C2221" s="84" t="n">
        <x:v>48</x:v>
      </x:c>
      <x:c r="D2221" s="89" t="n">
        <x:v>45903</x:v>
      </x:c>
      <x:c r="E2221" s="84" t="n">
        <x:v>3</x:v>
      </x:c>
      <x:c r="F2221" s="91" t="n">
        <x:v>3484.35</x:v>
      </x:c>
    </x:row>
    <x:row r="2222">
      <x:c r="A2222" s="83" t="n">
        <x:v>2221</x:v>
      </x:c>
      <x:c r="B2222" s="84" t="n">
        <x:v>1710</x:v>
      </x:c>
      <x:c r="C2222" s="84" t="n">
        <x:v>73</x:v>
      </x:c>
      <x:c r="D2222" s="89" t="n">
        <x:v>45903</x:v>
      </x:c>
      <x:c r="E2222" s="84" t="n">
        <x:v>1</x:v>
      </x:c>
      <x:c r="F2222" s="91" t="n">
        <x:v>1127.31</x:v>
      </x:c>
    </x:row>
    <x:row r="2223">
      <x:c r="A2223" s="83" t="n">
        <x:v>2222</x:v>
      </x:c>
      <x:c r="B2223" s="84" t="n">
        <x:v>1711</x:v>
      </x:c>
      <x:c r="C2223" s="84" t="n">
        <x:v>50</x:v>
      </x:c>
      <x:c r="D2223" s="89" t="n">
        <x:v>45693</x:v>
      </x:c>
      <x:c r="E2223" s="84" t="n">
        <x:v>1</x:v>
      </x:c>
      <x:c r="F2223" s="91" t="n">
        <x:v>2235.95</x:v>
      </x:c>
    </x:row>
    <x:row r="2224">
      <x:c r="A2224" s="83" t="n">
        <x:v>2223</x:v>
      </x:c>
      <x:c r="B2224" s="84" t="n">
        <x:v>1711</x:v>
      </x:c>
      <x:c r="C2224" s="84" t="n">
        <x:v>43</x:v>
      </x:c>
      <x:c r="D2224" s="89" t="n">
        <x:v>45693</x:v>
      </x:c>
      <x:c r="E2224" s="84" t="n">
        <x:v>2</x:v>
      </x:c>
      <x:c r="F2224" s="91" t="n">
        <x:v>2930.84</x:v>
      </x:c>
    </x:row>
    <x:row r="2225">
      <x:c r="A2225" s="83" t="n">
        <x:v>2224</x:v>
      </x:c>
      <x:c r="B2225" s="84" t="n">
        <x:v>1712</x:v>
      </x:c>
      <x:c r="C2225" s="84" t="n">
        <x:v>23</x:v>
      </x:c>
      <x:c r="D2225" s="89" t="n">
        <x:v>45053</x:v>
      </x:c>
      <x:c r="E2225" s="84" t="n">
        <x:v>3</x:v>
      </x:c>
      <x:c r="F2225" s="91" t="n">
        <x:v>5258.55</x:v>
      </x:c>
    </x:row>
    <x:row r="2226">
      <x:c r="A2226" s="83" t="n">
        <x:v>2225</x:v>
      </x:c>
      <x:c r="B2226" s="84" t="n">
        <x:v>1712</x:v>
      </x:c>
      <x:c r="C2226" s="84" t="n">
        <x:v>70</x:v>
      </x:c>
      <x:c r="D2226" s="89" t="n">
        <x:v>45053</x:v>
      </x:c>
      <x:c r="E2226" s="84" t="n">
        <x:v>3</x:v>
      </x:c>
      <x:c r="F2226" s="91" t="n">
        <x:v>2308.62</x:v>
      </x:c>
    </x:row>
    <x:row r="2227">
      <x:c r="A2227" s="83" t="n">
        <x:v>2226</x:v>
      </x:c>
      <x:c r="B2227" s="84" t="n">
        <x:v>1712</x:v>
      </x:c>
      <x:c r="C2227" s="84" t="n">
        <x:v>70</x:v>
      </x:c>
      <x:c r="D2227" s="89" t="n">
        <x:v>45053</x:v>
      </x:c>
      <x:c r="E2227" s="84" t="n">
        <x:v>2</x:v>
      </x:c>
      <x:c r="F2227" s="91" t="n">
        <x:v>1539.08</x:v>
      </x:c>
    </x:row>
    <x:row r="2228">
      <x:c r="A2228" s="83" t="n">
        <x:v>2227</x:v>
      </x:c>
      <x:c r="B2228" s="84" t="n">
        <x:v>1713</x:v>
      </x:c>
      <x:c r="C2228" s="84" t="n">
        <x:v>80</x:v>
      </x:c>
      <x:c r="D2228" s="89" t="n">
        <x:v>45295</x:v>
      </x:c>
      <x:c r="E2228" s="84" t="n">
        <x:v>1</x:v>
      </x:c>
      <x:c r="F2228" s="91" t="n">
        <x:v>1728.54</x:v>
      </x:c>
    </x:row>
    <x:row r="2229">
      <x:c r="A2229" s="83" t="n">
        <x:v>2228</x:v>
      </x:c>
      <x:c r="B2229" s="84" t="n">
        <x:v>1713</x:v>
      </x:c>
      <x:c r="C2229" s="84" t="n">
        <x:v>73</x:v>
      </x:c>
      <x:c r="D2229" s="89" t="n">
        <x:v>45295</x:v>
      </x:c>
      <x:c r="E2229" s="84" t="n">
        <x:v>3</x:v>
      </x:c>
      <x:c r="F2229" s="91" t="n">
        <x:v>3381.93</x:v>
      </x:c>
    </x:row>
    <x:row r="2230">
      <x:c r="A2230" s="83" t="n">
        <x:v>2229</x:v>
      </x:c>
      <x:c r="B2230" s="84" t="n">
        <x:v>1714</x:v>
      </x:c>
      <x:c r="C2230" s="84" t="n">
        <x:v>76</x:v>
      </x:c>
      <x:c r="D2230" s="89" t="n">
        <x:v>45204</x:v>
      </x:c>
      <x:c r="E2230" s="84" t="n">
        <x:v>2</x:v>
      </x:c>
      <x:c r="F2230" s="91" t="n">
        <x:v>1439.62</x:v>
      </x:c>
    </x:row>
    <x:row r="2231">
      <x:c r="A2231" s="83" t="n">
        <x:v>2230</x:v>
      </x:c>
      <x:c r="B2231" s="84" t="n">
        <x:v>1714</x:v>
      </x:c>
      <x:c r="C2231" s="84" t="n">
        <x:v>74</x:v>
      </x:c>
      <x:c r="D2231" s="89" t="n">
        <x:v>45204</x:v>
      </x:c>
      <x:c r="E2231" s="84" t="n">
        <x:v>3</x:v>
      </x:c>
      <x:c r="F2231" s="91" t="n">
        <x:v>4969.05</x:v>
      </x:c>
    </x:row>
    <x:row r="2232">
      <x:c r="A2232" s="83" t="n">
        <x:v>2231</x:v>
      </x:c>
      <x:c r="B2232" s="84" t="n">
        <x:v>1714</x:v>
      </x:c>
      <x:c r="C2232" s="84" t="n">
        <x:v>63</x:v>
      </x:c>
      <x:c r="D2232" s="89" t="n">
        <x:v>45204</x:v>
      </x:c>
      <x:c r="E2232" s="84" t="n">
        <x:v>4</x:v>
      </x:c>
      <x:c r="F2232" s="91" t="n">
        <x:v>7736.76</x:v>
      </x:c>
    </x:row>
    <x:row r="2233">
      <x:c r="A2233" s="83" t="n">
        <x:v>2232</x:v>
      </x:c>
      <x:c r="B2233" s="84" t="n">
        <x:v>1716</x:v>
      </x:c>
      <x:c r="C2233" s="84" t="n">
        <x:v>3</x:v>
      </x:c>
      <x:c r="D2233" s="89" t="n">
        <x:v>45435</x:v>
      </x:c>
      <x:c r="E2233" s="84" t="n">
        <x:v>3</x:v>
      </x:c>
      <x:c r="F2233" s="91" t="n">
        <x:v>3453.42</x:v>
      </x:c>
    </x:row>
    <x:row r="2234">
      <x:c r="A2234" s="83" t="n">
        <x:v>2233</x:v>
      </x:c>
      <x:c r="B2234" s="84" t="n">
        <x:v>1719</x:v>
      </x:c>
      <x:c r="C2234" s="84" t="n">
        <x:v>52</x:v>
      </x:c>
      <x:c r="D2234" s="89" t="n">
        <x:v>45777</x:v>
      </x:c>
      <x:c r="E2234" s="84" t="n">
        <x:v>4</x:v>
      </x:c>
      <x:c r="F2234" s="91" t="n">
        <x:v>3522.52</x:v>
      </x:c>
    </x:row>
    <x:row r="2235">
      <x:c r="A2235" s="83" t="n">
        <x:v>2234</x:v>
      </x:c>
      <x:c r="B2235" s="84" t="n">
        <x:v>1720</x:v>
      </x:c>
      <x:c r="C2235" s="84" t="n">
        <x:v>51</x:v>
      </x:c>
      <x:c r="D2235" s="89" t="n">
        <x:v>45343</x:v>
      </x:c>
      <x:c r="E2235" s="84" t="n">
        <x:v>2</x:v>
      </x:c>
      <x:c r="F2235" s="91" t="n">
        <x:v>1784.32</x:v>
      </x:c>
    </x:row>
    <x:row r="2236">
      <x:c r="A2236" s="83" t="n">
        <x:v>2235</x:v>
      </x:c>
      <x:c r="B2236" s="84" t="n">
        <x:v>1720</x:v>
      </x:c>
      <x:c r="C2236" s="84" t="n">
        <x:v>53</x:v>
      </x:c>
      <x:c r="D2236" s="89" t="n">
        <x:v>45343</x:v>
      </x:c>
      <x:c r="E2236" s="84" t="n">
        <x:v>2</x:v>
      </x:c>
      <x:c r="F2236" s="91" t="n">
        <x:v>3181.84</x:v>
      </x:c>
    </x:row>
    <x:row r="2237">
      <x:c r="A2237" s="83" t="n">
        <x:v>2236</x:v>
      </x:c>
      <x:c r="B2237" s="84" t="n">
        <x:v>1720</x:v>
      </x:c>
      <x:c r="C2237" s="84" t="n">
        <x:v>9</x:v>
      </x:c>
      <x:c r="D2237" s="89" t="n">
        <x:v>45343</x:v>
      </x:c>
      <x:c r="E2237" s="84" t="n">
        <x:v>2</x:v>
      </x:c>
      <x:c r="F2237" s="91" t="n">
        <x:v>3150.12</x:v>
      </x:c>
    </x:row>
    <x:row r="2238">
      <x:c r="A2238" s="83" t="n">
        <x:v>2237</x:v>
      </x:c>
      <x:c r="B2238" s="84" t="n">
        <x:v>1721</x:v>
      </x:c>
      <x:c r="C2238" s="84" t="n">
        <x:v>64</x:v>
      </x:c>
      <x:c r="D2238" s="89" t="n">
        <x:v>45012</x:v>
      </x:c>
      <x:c r="E2238" s="84" t="n">
        <x:v>1</x:v>
      </x:c>
      <x:c r="F2238" s="91" t="n">
        <x:v>1465.42</x:v>
      </x:c>
    </x:row>
    <x:row r="2239">
      <x:c r="A2239" s="83" t="n">
        <x:v>2238</x:v>
      </x:c>
      <x:c r="B2239" s="84" t="n">
        <x:v>1722</x:v>
      </x:c>
      <x:c r="C2239" s="84" t="n">
        <x:v>57</x:v>
      </x:c>
      <x:c r="D2239" s="89" t="n">
        <x:v>45039</x:v>
      </x:c>
      <x:c r="E2239" s="84" t="n">
        <x:v>3</x:v>
      </x:c>
      <x:c r="F2239" s="91" t="n">
        <x:v>3537.18</x:v>
      </x:c>
    </x:row>
    <x:row r="2240">
      <x:c r="A2240" s="83" t="n">
        <x:v>2239</x:v>
      </x:c>
      <x:c r="B2240" s="84" t="n">
        <x:v>1722</x:v>
      </x:c>
      <x:c r="C2240" s="84" t="n">
        <x:v>36</x:v>
      </x:c>
      <x:c r="D2240" s="89" t="n">
        <x:v>45039</x:v>
      </x:c>
      <x:c r="E2240" s="84" t="n">
        <x:v>2</x:v>
      </x:c>
      <x:c r="F2240" s="91" t="n">
        <x:v>1192.82</x:v>
      </x:c>
    </x:row>
    <x:row r="2241">
      <x:c r="A2241" s="83" t="n">
        <x:v>2240</x:v>
      </x:c>
      <x:c r="B2241" s="84" t="n">
        <x:v>1724</x:v>
      </x:c>
      <x:c r="C2241" s="84" t="n">
        <x:v>63</x:v>
      </x:c>
      <x:c r="D2241" s="89" t="n">
        <x:v>45767</x:v>
      </x:c>
      <x:c r="E2241" s="84" t="n">
        <x:v>1</x:v>
      </x:c>
      <x:c r="F2241" s="91" t="n">
        <x:v>1934.19</x:v>
      </x:c>
    </x:row>
    <x:row r="2242">
      <x:c r="A2242" s="83" t="n">
        <x:v>2241</x:v>
      </x:c>
      <x:c r="B2242" s="84" t="n">
        <x:v>1725</x:v>
      </x:c>
      <x:c r="C2242" s="84" t="n">
        <x:v>60</x:v>
      </x:c>
      <x:c r="D2242" s="89" t="n">
        <x:v>44986</x:v>
      </x:c>
      <x:c r="E2242" s="84" t="n">
        <x:v>3</x:v>
      </x:c>
      <x:c r="F2242" s="91" t="n">
        <x:v>1061.4</x:v>
      </x:c>
    </x:row>
    <x:row r="2243">
      <x:c r="A2243" s="83" t="n">
        <x:v>2242</x:v>
      </x:c>
      <x:c r="B2243" s="84" t="n">
        <x:v>1725</x:v>
      </x:c>
      <x:c r="C2243" s="84" t="n">
        <x:v>68</x:v>
      </x:c>
      <x:c r="D2243" s="89" t="n">
        <x:v>44986</x:v>
      </x:c>
      <x:c r="E2243" s="84" t="n">
        <x:v>2</x:v>
      </x:c>
      <x:c r="F2243" s="91" t="n">
        <x:v>3055.22</x:v>
      </x:c>
    </x:row>
    <x:row r="2244">
      <x:c r="A2244" s="83" t="n">
        <x:v>2243</x:v>
      </x:c>
      <x:c r="B2244" s="84" t="n">
        <x:v>1727</x:v>
      </x:c>
      <x:c r="C2244" s="84" t="n">
        <x:v>27</x:v>
      </x:c>
      <x:c r="D2244" s="89" t="n">
        <x:v>45644</x:v>
      </x:c>
      <x:c r="E2244" s="84" t="n">
        <x:v>4</x:v>
      </x:c>
      <x:c r="F2244" s="91" t="n">
        <x:v>642.76</x:v>
      </x:c>
    </x:row>
    <x:row r="2245">
      <x:c r="A2245" s="83" t="n">
        <x:v>2244</x:v>
      </x:c>
      <x:c r="B2245" s="84" t="n">
        <x:v>1728</x:v>
      </x:c>
      <x:c r="C2245" s="84" t="n">
        <x:v>74</x:v>
      </x:c>
      <x:c r="D2245" s="89" t="n">
        <x:v>45834</x:v>
      </x:c>
      <x:c r="E2245" s="84" t="n">
        <x:v>1</x:v>
      </x:c>
      <x:c r="F2245" s="91" t="n">
        <x:v>1656.35</x:v>
      </x:c>
    </x:row>
    <x:row r="2246">
      <x:c r="A2246" s="83" t="n">
        <x:v>2245</x:v>
      </x:c>
      <x:c r="B2246" s="84" t="n">
        <x:v>1728</x:v>
      </x:c>
      <x:c r="C2246" s="84" t="n">
        <x:v>39</x:v>
      </x:c>
      <x:c r="D2246" s="89" t="n">
        <x:v>45834</x:v>
      </x:c>
      <x:c r="E2246" s="84" t="n">
        <x:v>4</x:v>
      </x:c>
      <x:c r="F2246" s="91" t="n">
        <x:v>2710.4</x:v>
      </x:c>
    </x:row>
    <x:row r="2247">
      <x:c r="A2247" s="83" t="n">
        <x:v>2246</x:v>
      </x:c>
      <x:c r="B2247" s="84" t="n">
        <x:v>1728</x:v>
      </x:c>
      <x:c r="C2247" s="84" t="n">
        <x:v>24</x:v>
      </x:c>
      <x:c r="D2247" s="89" t="n">
        <x:v>45834</x:v>
      </x:c>
      <x:c r="E2247" s="84" t="n">
        <x:v>2</x:v>
      </x:c>
      <x:c r="F2247" s="91" t="n">
        <x:v>1481.82</x:v>
      </x:c>
    </x:row>
    <x:row r="2248">
      <x:c r="A2248" s="83" t="n">
        <x:v>2247</x:v>
      </x:c>
      <x:c r="B2248" s="84" t="n">
        <x:v>1730</x:v>
      </x:c>
      <x:c r="C2248" s="84" t="n">
        <x:v>71</x:v>
      </x:c>
      <x:c r="D2248" s="89" t="n">
        <x:v>45307</x:v>
      </x:c>
      <x:c r="E2248" s="84" t="n">
        <x:v>4</x:v>
      </x:c>
      <x:c r="F2248" s="91" t="n">
        <x:v>7934.08</x:v>
      </x:c>
    </x:row>
    <x:row r="2249">
      <x:c r="A2249" s="83" t="n">
        <x:v>2248</x:v>
      </x:c>
      <x:c r="B2249" s="84" t="n">
        <x:v>1731</x:v>
      </x:c>
      <x:c r="C2249" s="84" t="n">
        <x:v>68</x:v>
      </x:c>
      <x:c r="D2249" s="89" t="n">
        <x:v>45047</x:v>
      </x:c>
      <x:c r="E2249" s="84" t="n">
        <x:v>1</x:v>
      </x:c>
      <x:c r="F2249" s="91" t="n">
        <x:v>1527.61</x:v>
      </x:c>
    </x:row>
    <x:row r="2250">
      <x:c r="A2250" s="83" t="n">
        <x:v>2249</x:v>
      </x:c>
      <x:c r="B2250" s="84" t="n">
        <x:v>1731</x:v>
      </x:c>
      <x:c r="C2250" s="84" t="n">
        <x:v>55</x:v>
      </x:c>
      <x:c r="D2250" s="89" t="n">
        <x:v>45047</x:v>
      </x:c>
      <x:c r="E2250" s="84" t="n">
        <x:v>3</x:v>
      </x:c>
      <x:c r="F2250" s="91" t="n">
        <x:v>4499.55</x:v>
      </x:c>
    </x:row>
    <x:row r="2251">
      <x:c r="A2251" s="83" t="n">
        <x:v>2250</x:v>
      </x:c>
      <x:c r="B2251" s="84" t="n">
        <x:v>1732</x:v>
      </x:c>
      <x:c r="C2251" s="84" t="n">
        <x:v>15</x:v>
      </x:c>
      <x:c r="D2251" s="89" t="n">
        <x:v>45347</x:v>
      </x:c>
      <x:c r="E2251" s="84" t="n">
        <x:v>1</x:v>
      </x:c>
      <x:c r="F2251" s="91" t="n">
        <x:v>1234.61</x:v>
      </x:c>
    </x:row>
    <x:row r="2252">
      <x:c r="A2252" s="83" t="n">
        <x:v>2251</x:v>
      </x:c>
      <x:c r="B2252" s="84" t="n">
        <x:v>1732</x:v>
      </x:c>
      <x:c r="C2252" s="84" t="n">
        <x:v>37</x:v>
      </x:c>
      <x:c r="D2252" s="89" t="n">
        <x:v>45347</x:v>
      </x:c>
      <x:c r="E2252" s="84" t="n">
        <x:v>4</x:v>
      </x:c>
      <x:c r="F2252" s="91" t="n">
        <x:v>4134.84</x:v>
      </x:c>
    </x:row>
    <x:row r="2253">
      <x:c r="A2253" s="83" t="n">
        <x:v>2252</x:v>
      </x:c>
      <x:c r="B2253" s="84" t="n">
        <x:v>1732</x:v>
      </x:c>
      <x:c r="C2253" s="84" t="n">
        <x:v>4</x:v>
      </x:c>
      <x:c r="D2253" s="89" t="n">
        <x:v>45347</x:v>
      </x:c>
      <x:c r="E2253" s="84" t="n">
        <x:v>2</x:v>
      </x:c>
      <x:c r="F2253" s="91" t="n">
        <x:v>3050.62</x:v>
      </x:c>
    </x:row>
    <x:row r="2254">
      <x:c r="A2254" s="83" t="n">
        <x:v>2253</x:v>
      </x:c>
      <x:c r="B2254" s="84" t="n">
        <x:v>1733</x:v>
      </x:c>
      <x:c r="C2254" s="84" t="n">
        <x:v>39</x:v>
      </x:c>
      <x:c r="D2254" s="89" t="n">
        <x:v>44948</x:v>
      </x:c>
      <x:c r="E2254" s="84" t="n">
        <x:v>2</x:v>
      </x:c>
      <x:c r="F2254" s="91" t="n">
        <x:v>1355.2</x:v>
      </x:c>
    </x:row>
    <x:row r="2255">
      <x:c r="A2255" s="83" t="n">
        <x:v>2254</x:v>
      </x:c>
      <x:c r="B2255" s="84" t="n">
        <x:v>1734</x:v>
      </x:c>
      <x:c r="C2255" s="84" t="n">
        <x:v>40</x:v>
      </x:c>
      <x:c r="D2255" s="89" t="n">
        <x:v>45499</x:v>
      </x:c>
      <x:c r="E2255" s="84" t="n">
        <x:v>1</x:v>
      </x:c>
      <x:c r="F2255" s="91" t="n">
        <x:v>2035.04</x:v>
      </x:c>
    </x:row>
    <x:row r="2256">
      <x:c r="A2256" s="83" t="n">
        <x:v>2255</x:v>
      </x:c>
      <x:c r="B2256" s="84" t="n">
        <x:v>1735</x:v>
      </x:c>
      <x:c r="C2256" s="84" t="n">
        <x:v>63</x:v>
      </x:c>
      <x:c r="D2256" s="89" t="n">
        <x:v>45520</x:v>
      </x:c>
      <x:c r="E2256" s="84" t="n">
        <x:v>2</x:v>
      </x:c>
      <x:c r="F2256" s="91" t="n">
        <x:v>3868.38</x:v>
      </x:c>
    </x:row>
    <x:row r="2257">
      <x:c r="A2257" s="83" t="n">
        <x:v>2256</x:v>
      </x:c>
      <x:c r="B2257" s="84" t="n">
        <x:v>1735</x:v>
      </x:c>
      <x:c r="C2257" s="84" t="n">
        <x:v>50</x:v>
      </x:c>
      <x:c r="D2257" s="89" t="n">
        <x:v>45520</x:v>
      </x:c>
      <x:c r="E2257" s="84" t="n">
        <x:v>1</x:v>
      </x:c>
      <x:c r="F2257" s="91" t="n">
        <x:v>2235.95</x:v>
      </x:c>
    </x:row>
    <x:row r="2258">
      <x:c r="A2258" s="83" t="n">
        <x:v>2257</x:v>
      </x:c>
      <x:c r="B2258" s="84" t="n">
        <x:v>1735</x:v>
      </x:c>
      <x:c r="C2258" s="84" t="n">
        <x:v>47</x:v>
      </x:c>
      <x:c r="D2258" s="89" t="n">
        <x:v>45520</x:v>
      </x:c>
      <x:c r="E2258" s="84" t="n">
        <x:v>2</x:v>
      </x:c>
      <x:c r="F2258" s="91" t="n">
        <x:v>4351.24</x:v>
      </x:c>
    </x:row>
    <x:row r="2259">
      <x:c r="A2259" s="83" t="n">
        <x:v>2258</x:v>
      </x:c>
      <x:c r="B2259" s="84" t="n">
        <x:v>1736</x:v>
      </x:c>
      <x:c r="C2259" s="84" t="n">
        <x:v>39</x:v>
      </x:c>
      <x:c r="D2259" s="89" t="n">
        <x:v>45344</x:v>
      </x:c>
      <x:c r="E2259" s="84" t="n">
        <x:v>1</x:v>
      </x:c>
      <x:c r="F2259" s="91" t="n">
        <x:v>677.6</x:v>
      </x:c>
    </x:row>
    <x:row r="2260">
      <x:c r="A2260" s="83" t="n">
        <x:v>2259</x:v>
      </x:c>
      <x:c r="B2260" s="84" t="n">
        <x:v>1736</x:v>
      </x:c>
      <x:c r="C2260" s="84" t="n">
        <x:v>71</x:v>
      </x:c>
      <x:c r="D2260" s="89" t="n">
        <x:v>45344</x:v>
      </x:c>
      <x:c r="E2260" s="84" t="n">
        <x:v>3</x:v>
      </x:c>
      <x:c r="F2260" s="91" t="n">
        <x:v>5950.56</x:v>
      </x:c>
    </x:row>
    <x:row r="2261">
      <x:c r="A2261" s="83" t="n">
        <x:v>2260</x:v>
      </x:c>
      <x:c r="B2261" s="84" t="n">
        <x:v>1736</x:v>
      </x:c>
      <x:c r="C2261" s="84" t="n">
        <x:v>5</x:v>
      </x:c>
      <x:c r="D2261" s="89" t="n">
        <x:v>45344</x:v>
      </x:c>
      <x:c r="E2261" s="84" t="n">
        <x:v>2</x:v>
      </x:c>
      <x:c r="F2261" s="91" t="n">
        <x:v>2937</x:v>
      </x:c>
    </x:row>
    <x:row r="2262">
      <x:c r="A2262" s="83" t="n">
        <x:v>2261</x:v>
      </x:c>
      <x:c r="B2262" s="84" t="n">
        <x:v>1737</x:v>
      </x:c>
      <x:c r="C2262" s="84" t="n">
        <x:v>20</x:v>
      </x:c>
      <x:c r="D2262" s="89" t="n">
        <x:v>45621</x:v>
      </x:c>
      <x:c r="E2262" s="84" t="n">
        <x:v>4</x:v>
      </x:c>
      <x:c r="F2262" s="91" t="n">
        <x:v>2164.8</x:v>
      </x:c>
    </x:row>
    <x:row r="2263">
      <x:c r="A2263" s="83" t="n">
        <x:v>2262</x:v>
      </x:c>
      <x:c r="B2263" s="84" t="n">
        <x:v>1737</x:v>
      </x:c>
      <x:c r="C2263" s="84" t="n">
        <x:v>44</x:v>
      </x:c>
      <x:c r="D2263" s="89" t="n">
        <x:v>45621</x:v>
      </x:c>
      <x:c r="E2263" s="84" t="n">
        <x:v>2</x:v>
      </x:c>
      <x:c r="F2263" s="91" t="n">
        <x:v>2502.96</x:v>
      </x:c>
    </x:row>
    <x:row r="2264">
      <x:c r="A2264" s="83" t="n">
        <x:v>2263</x:v>
      </x:c>
      <x:c r="B2264" s="84" t="n">
        <x:v>1737</x:v>
      </x:c>
      <x:c r="C2264" s="84" t="n">
        <x:v>26</x:v>
      </x:c>
      <x:c r="D2264" s="89" t="n">
        <x:v>45621</x:v>
      </x:c>
      <x:c r="E2264" s="84" t="n">
        <x:v>1</x:v>
      </x:c>
      <x:c r="F2264" s="91" t="n">
        <x:v>2151</x:v>
      </x:c>
    </x:row>
    <x:row r="2265">
      <x:c r="A2265" s="83" t="n">
        <x:v>2264</x:v>
      </x:c>
      <x:c r="B2265" s="84" t="n">
        <x:v>1738</x:v>
      </x:c>
      <x:c r="C2265" s="84" t="n">
        <x:v>62</x:v>
      </x:c>
      <x:c r="D2265" s="89" t="n">
        <x:v>45277</x:v>
      </x:c>
      <x:c r="E2265" s="84" t="n">
        <x:v>2</x:v>
      </x:c>
      <x:c r="F2265" s="91" t="n">
        <x:v>3034.62</x:v>
      </x:c>
    </x:row>
    <x:row r="2266">
      <x:c r="A2266" s="83" t="n">
        <x:v>2265</x:v>
      </x:c>
      <x:c r="B2266" s="84" t="n">
        <x:v>1739</x:v>
      </x:c>
      <x:c r="C2266" s="84" t="n">
        <x:v>26</x:v>
      </x:c>
      <x:c r="D2266" s="89" t="n">
        <x:v>45470</x:v>
      </x:c>
      <x:c r="E2266" s="84" t="n">
        <x:v>3</x:v>
      </x:c>
      <x:c r="F2266" s="91" t="n">
        <x:v>6453</x:v>
      </x:c>
    </x:row>
    <x:row r="2267">
      <x:c r="A2267" s="83" t="n">
        <x:v>2266</x:v>
      </x:c>
      <x:c r="B2267" s="84" t="n">
        <x:v>1740</x:v>
      </x:c>
      <x:c r="C2267" s="84" t="n">
        <x:v>9</x:v>
      </x:c>
      <x:c r="D2267" s="89" t="n">
        <x:v>45862</x:v>
      </x:c>
      <x:c r="E2267" s="84" t="n">
        <x:v>3</x:v>
      </x:c>
      <x:c r="F2267" s="91" t="n">
        <x:v>4725.18</x:v>
      </x:c>
    </x:row>
    <x:row r="2268">
      <x:c r="A2268" s="83" t="n">
        <x:v>2267</x:v>
      </x:c>
      <x:c r="B2268" s="84" t="n">
        <x:v>1740</x:v>
      </x:c>
      <x:c r="C2268" s="84" t="n">
        <x:v>44</x:v>
      </x:c>
      <x:c r="D2268" s="89" t="n">
        <x:v>45862</x:v>
      </x:c>
      <x:c r="E2268" s="84" t="n">
        <x:v>2</x:v>
      </x:c>
      <x:c r="F2268" s="91" t="n">
        <x:v>2502.96</x:v>
      </x:c>
    </x:row>
    <x:row r="2269">
      <x:c r="A2269" s="83" t="n">
        <x:v>2268</x:v>
      </x:c>
      <x:c r="B2269" s="84" t="n">
        <x:v>1741</x:v>
      </x:c>
      <x:c r="C2269" s="84" t="n">
        <x:v>68</x:v>
      </x:c>
      <x:c r="D2269" s="89" t="n">
        <x:v>45743</x:v>
      </x:c>
      <x:c r="E2269" s="84" t="n">
        <x:v>2</x:v>
      </x:c>
      <x:c r="F2269" s="91" t="n">
        <x:v>3055.22</x:v>
      </x:c>
    </x:row>
    <x:row r="2270">
      <x:c r="A2270" s="83" t="n">
        <x:v>2269</x:v>
      </x:c>
      <x:c r="B2270" s="84" t="n">
        <x:v>1741</x:v>
      </x:c>
      <x:c r="C2270" s="84" t="n">
        <x:v>62</x:v>
      </x:c>
      <x:c r="D2270" s="89" t="n">
        <x:v>45743</x:v>
      </x:c>
      <x:c r="E2270" s="84" t="n">
        <x:v>4</x:v>
      </x:c>
      <x:c r="F2270" s="91" t="n">
        <x:v>6069.24</x:v>
      </x:c>
    </x:row>
    <x:row r="2271">
      <x:c r="A2271" s="83" t="n">
        <x:v>2270</x:v>
      </x:c>
      <x:c r="B2271" s="84" t="n">
        <x:v>1741</x:v>
      </x:c>
      <x:c r="C2271" s="84" t="n">
        <x:v>69</x:v>
      </x:c>
      <x:c r="D2271" s="89" t="n">
        <x:v>45743</x:v>
      </x:c>
      <x:c r="E2271" s="84" t="n">
        <x:v>2</x:v>
      </x:c>
      <x:c r="F2271" s="91" t="n">
        <x:v>3540.66</x:v>
      </x:c>
    </x:row>
    <x:row r="2272">
      <x:c r="A2272" s="83" t="n">
        <x:v>2271</x:v>
      </x:c>
      <x:c r="B2272" s="84" t="n">
        <x:v>1742</x:v>
      </x:c>
      <x:c r="C2272" s="84" t="n">
        <x:v>25</x:v>
      </x:c>
      <x:c r="D2272" s="89" t="n">
        <x:v>45506</x:v>
      </x:c>
      <x:c r="E2272" s="84" t="n">
        <x:v>4</x:v>
      </x:c>
      <x:c r="F2272" s="91" t="n">
        <x:v>4317.8</x:v>
      </x:c>
    </x:row>
    <x:row r="2273">
      <x:c r="A2273" s="83" t="n">
        <x:v>2272</x:v>
      </x:c>
      <x:c r="B2273" s="84" t="n">
        <x:v>1742</x:v>
      </x:c>
      <x:c r="C2273" s="84" t="n">
        <x:v>41</x:v>
      </x:c>
      <x:c r="D2273" s="89" t="n">
        <x:v>45506</x:v>
      </x:c>
      <x:c r="E2273" s="84" t="n">
        <x:v>1</x:v>
      </x:c>
      <x:c r="F2273" s="91" t="n">
        <x:v>1182.02</x:v>
      </x:c>
    </x:row>
    <x:row r="2274">
      <x:c r="A2274" s="83" t="n">
        <x:v>2273</x:v>
      </x:c>
      <x:c r="B2274" s="84" t="n">
        <x:v>1742</x:v>
      </x:c>
      <x:c r="C2274" s="84" t="n">
        <x:v>40</x:v>
      </x:c>
      <x:c r="D2274" s="89" t="n">
        <x:v>45506</x:v>
      </x:c>
      <x:c r="E2274" s="84" t="n">
        <x:v>1</x:v>
      </x:c>
      <x:c r="F2274" s="91" t="n">
        <x:v>2035.04</x:v>
      </x:c>
    </x:row>
    <x:row r="2275">
      <x:c r="A2275" s="83" t="n">
        <x:v>2274</x:v>
      </x:c>
      <x:c r="B2275" s="84" t="n">
        <x:v>1743</x:v>
      </x:c>
      <x:c r="C2275" s="84" t="n">
        <x:v>18</x:v>
      </x:c>
      <x:c r="D2275" s="89" t="n">
        <x:v>45403</x:v>
      </x:c>
      <x:c r="E2275" s="84" t="n">
        <x:v>1</x:v>
      </x:c>
      <x:c r="F2275" s="91" t="n">
        <x:v>666.16</x:v>
      </x:c>
    </x:row>
    <x:row r="2276">
      <x:c r="A2276" s="83" t="n">
        <x:v>2275</x:v>
      </x:c>
      <x:c r="B2276" s="84" t="n">
        <x:v>1745</x:v>
      </x:c>
      <x:c r="C2276" s="84" t="n">
        <x:v>67</x:v>
      </x:c>
      <x:c r="D2276" s="89" t="n">
        <x:v>45620</x:v>
      </x:c>
      <x:c r="E2276" s="84" t="n">
        <x:v>3</x:v>
      </x:c>
      <x:c r="F2276" s="91" t="n">
        <x:v>3838.59</x:v>
      </x:c>
    </x:row>
    <x:row r="2277">
      <x:c r="A2277" s="83" t="n">
        <x:v>2276</x:v>
      </x:c>
      <x:c r="B2277" s="84" t="n">
        <x:v>1745</x:v>
      </x:c>
      <x:c r="C2277" s="84" t="n">
        <x:v>68</x:v>
      </x:c>
      <x:c r="D2277" s="89" t="n">
        <x:v>45620</x:v>
      </x:c>
      <x:c r="E2277" s="84" t="n">
        <x:v>1</x:v>
      </x:c>
      <x:c r="F2277" s="91" t="n">
        <x:v>1527.61</x:v>
      </x:c>
    </x:row>
    <x:row r="2278">
      <x:c r="A2278" s="83" t="n">
        <x:v>2277</x:v>
      </x:c>
      <x:c r="B2278" s="84" t="n">
        <x:v>1745</x:v>
      </x:c>
      <x:c r="C2278" s="84" t="n">
        <x:v>53</x:v>
      </x:c>
      <x:c r="D2278" s="89" t="n">
        <x:v>45620</x:v>
      </x:c>
      <x:c r="E2278" s="84" t="n">
        <x:v>4</x:v>
      </x:c>
      <x:c r="F2278" s="91" t="n">
        <x:v>6363.68</x:v>
      </x:c>
    </x:row>
    <x:row r="2279">
      <x:c r="A2279" s="83" t="n">
        <x:v>2278</x:v>
      </x:c>
      <x:c r="B2279" s="84" t="n">
        <x:v>1746</x:v>
      </x:c>
      <x:c r="C2279" s="84" t="n">
        <x:v>73</x:v>
      </x:c>
      <x:c r="D2279" s="89" t="n">
        <x:v>45298</x:v>
      </x:c>
      <x:c r="E2279" s="84" t="n">
        <x:v>4</x:v>
      </x:c>
      <x:c r="F2279" s="91" t="n">
        <x:v>4509.24</x:v>
      </x:c>
    </x:row>
    <x:row r="2280">
      <x:c r="A2280" s="83" t="n">
        <x:v>2279</x:v>
      </x:c>
      <x:c r="B2280" s="84" t="n">
        <x:v>1746</x:v>
      </x:c>
      <x:c r="C2280" s="84" t="n">
        <x:v>39</x:v>
      </x:c>
      <x:c r="D2280" s="89" t="n">
        <x:v>45298</x:v>
      </x:c>
      <x:c r="E2280" s="84" t="n">
        <x:v>3</x:v>
      </x:c>
      <x:c r="F2280" s="91" t="n">
        <x:v>2032.8</x:v>
      </x:c>
    </x:row>
    <x:row r="2281">
      <x:c r="A2281" s="83" t="n">
        <x:v>2280</x:v>
      </x:c>
      <x:c r="B2281" s="84" t="n">
        <x:v>1746</x:v>
      </x:c>
      <x:c r="C2281" s="84" t="n">
        <x:v>32</x:v>
      </x:c>
      <x:c r="D2281" s="89" t="n">
        <x:v>45298</x:v>
      </x:c>
      <x:c r="E2281" s="84" t="n">
        <x:v>3</x:v>
      </x:c>
      <x:c r="F2281" s="91" t="n">
        <x:v>5439.75</x:v>
      </x:c>
    </x:row>
    <x:row r="2282">
      <x:c r="A2282" s="83" t="n">
        <x:v>2281</x:v>
      </x:c>
      <x:c r="B2282" s="84" t="n">
        <x:v>1748</x:v>
      </x:c>
      <x:c r="C2282" s="84" t="n">
        <x:v>24</x:v>
      </x:c>
      <x:c r="D2282" s="89" t="n">
        <x:v>45054</x:v>
      </x:c>
      <x:c r="E2282" s="84" t="n">
        <x:v>4</x:v>
      </x:c>
      <x:c r="F2282" s="91" t="n">
        <x:v>2963.64</x:v>
      </x:c>
    </x:row>
    <x:row r="2283">
      <x:c r="A2283" s="83" t="n">
        <x:v>2282</x:v>
      </x:c>
      <x:c r="B2283" s="84" t="n">
        <x:v>1748</x:v>
      </x:c>
      <x:c r="C2283" s="84" t="n">
        <x:v>20</x:v>
      </x:c>
      <x:c r="D2283" s="89" t="n">
        <x:v>45054</x:v>
      </x:c>
      <x:c r="E2283" s="84" t="n">
        <x:v>3</x:v>
      </x:c>
      <x:c r="F2283" s="91" t="n">
        <x:v>1623.6</x:v>
      </x:c>
    </x:row>
    <x:row r="2284">
      <x:c r="A2284" s="83" t="n">
        <x:v>2283</x:v>
      </x:c>
      <x:c r="B2284" s="84" t="n">
        <x:v>1749</x:v>
      </x:c>
      <x:c r="C2284" s="84" t="n">
        <x:v>38</x:v>
      </x:c>
      <x:c r="D2284" s="89" t="n">
        <x:v>45030</x:v>
      </x:c>
      <x:c r="E2284" s="84" t="n">
        <x:v>4</x:v>
      </x:c>
      <x:c r="F2284" s="91" t="n">
        <x:v>2905.96</x:v>
      </x:c>
    </x:row>
    <x:row r="2285">
      <x:c r="A2285" s="83" t="n">
        <x:v>2284</x:v>
      </x:c>
      <x:c r="B2285" s="84" t="n">
        <x:v>1749</x:v>
      </x:c>
      <x:c r="C2285" s="84" t="n">
        <x:v>12</x:v>
      </x:c>
      <x:c r="D2285" s="89" t="n">
        <x:v>45030</x:v>
      </x:c>
      <x:c r="E2285" s="84" t="n">
        <x:v>3</x:v>
      </x:c>
      <x:c r="F2285" s="91" t="n">
        <x:v>853.47</x:v>
      </x:c>
    </x:row>
    <x:row r="2286">
      <x:c r="A2286" s="83" t="n">
        <x:v>2285</x:v>
      </x:c>
      <x:c r="B2286" s="84" t="n">
        <x:v>1753</x:v>
      </x:c>
      <x:c r="C2286" s="84" t="n">
        <x:v>45</x:v>
      </x:c>
      <x:c r="D2286" s="89" t="n">
        <x:v>45511</x:v>
      </x:c>
      <x:c r="E2286" s="84" t="n">
        <x:v>3</x:v>
      </x:c>
      <x:c r="F2286" s="91" t="n">
        <x:v>4174.26</x:v>
      </x:c>
    </x:row>
    <x:row r="2287">
      <x:c r="A2287" s="83" t="n">
        <x:v>2286</x:v>
      </x:c>
      <x:c r="B2287" s="84" t="n">
        <x:v>1753</x:v>
      </x:c>
      <x:c r="C2287" s="84" t="n">
        <x:v>5</x:v>
      </x:c>
      <x:c r="D2287" s="89" t="n">
        <x:v>45511</x:v>
      </x:c>
      <x:c r="E2287" s="84" t="n">
        <x:v>4</x:v>
      </x:c>
      <x:c r="F2287" s="91" t="n">
        <x:v>5874</x:v>
      </x:c>
    </x:row>
    <x:row r="2288">
      <x:c r="A2288" s="83" t="n">
        <x:v>2287</x:v>
      </x:c>
      <x:c r="B2288" s="84" t="n">
        <x:v>1754</x:v>
      </x:c>
      <x:c r="C2288" s="84" t="n">
        <x:v>62</x:v>
      </x:c>
      <x:c r="D2288" s="89" t="n">
        <x:v>45365</x:v>
      </x:c>
      <x:c r="E2288" s="84" t="n">
        <x:v>4</x:v>
      </x:c>
      <x:c r="F2288" s="91" t="n">
        <x:v>6069.24</x:v>
      </x:c>
    </x:row>
    <x:row r="2289">
      <x:c r="A2289" s="83" t="n">
        <x:v>2288</x:v>
      </x:c>
      <x:c r="B2289" s="84" t="n">
        <x:v>1754</x:v>
      </x:c>
      <x:c r="C2289" s="84" t="n">
        <x:v>29</x:v>
      </x:c>
      <x:c r="D2289" s="89" t="n">
        <x:v>45365</x:v>
      </x:c>
      <x:c r="E2289" s="84" t="n">
        <x:v>3</x:v>
      </x:c>
      <x:c r="F2289" s="91" t="n">
        <x:v>4657.41</x:v>
      </x:c>
    </x:row>
    <x:row r="2290">
      <x:c r="A2290" s="83" t="n">
        <x:v>2289</x:v>
      </x:c>
      <x:c r="B2290" s="84" t="n">
        <x:v>1754</x:v>
      </x:c>
      <x:c r="C2290" s="84" t="n">
        <x:v>52</x:v>
      </x:c>
      <x:c r="D2290" s="89" t="n">
        <x:v>45365</x:v>
      </x:c>
      <x:c r="E2290" s="84" t="n">
        <x:v>1</x:v>
      </x:c>
      <x:c r="F2290" s="91" t="n">
        <x:v>880.63</x:v>
      </x:c>
    </x:row>
    <x:row r="2291">
      <x:c r="A2291" s="83" t="n">
        <x:v>2290</x:v>
      </x:c>
      <x:c r="B2291" s="84" t="n">
        <x:v>1755</x:v>
      </x:c>
      <x:c r="C2291" s="84" t="n">
        <x:v>34</x:v>
      </x:c>
      <x:c r="D2291" s="89" t="n">
        <x:v>45330</x:v>
      </x:c>
      <x:c r="E2291" s="84" t="n">
        <x:v>3</x:v>
      </x:c>
      <x:c r="F2291" s="91" t="n">
        <x:v>5931.27</x:v>
      </x:c>
    </x:row>
    <x:row r="2292">
      <x:c r="A2292" s="83" t="n">
        <x:v>2291</x:v>
      </x:c>
      <x:c r="B2292" s="84" t="n">
        <x:v>1755</x:v>
      </x:c>
      <x:c r="C2292" s="84" t="n">
        <x:v>67</x:v>
      </x:c>
      <x:c r="D2292" s="89" t="n">
        <x:v>45330</x:v>
      </x:c>
      <x:c r="E2292" s="84" t="n">
        <x:v>1</x:v>
      </x:c>
      <x:c r="F2292" s="91" t="n">
        <x:v>1279.53</x:v>
      </x:c>
    </x:row>
    <x:row r="2293">
      <x:c r="A2293" s="83" t="n">
        <x:v>2292</x:v>
      </x:c>
      <x:c r="B2293" s="84" t="n">
        <x:v>1756</x:v>
      </x:c>
      <x:c r="C2293" s="84" t="n">
        <x:v>73</x:v>
      </x:c>
      <x:c r="D2293" s="89" t="n">
        <x:v>45726</x:v>
      </x:c>
      <x:c r="E2293" s="84" t="n">
        <x:v>2</x:v>
      </x:c>
      <x:c r="F2293" s="91" t="n">
        <x:v>2254.62</x:v>
      </x:c>
    </x:row>
    <x:row r="2294">
      <x:c r="A2294" s="83" t="n">
        <x:v>2293</x:v>
      </x:c>
      <x:c r="B2294" s="84" t="n">
        <x:v>1756</x:v>
      </x:c>
      <x:c r="C2294" s="84" t="n">
        <x:v>10</x:v>
      </x:c>
      <x:c r="D2294" s="89" t="n">
        <x:v>45726</x:v>
      </x:c>
      <x:c r="E2294" s="84" t="n">
        <x:v>2</x:v>
      </x:c>
      <x:c r="F2294" s="91" t="n">
        <x:v>1749.72</x:v>
      </x:c>
    </x:row>
    <x:row r="2295">
      <x:c r="A2295" s="83" t="n">
        <x:v>2294</x:v>
      </x:c>
      <x:c r="B2295" s="84" t="n">
        <x:v>1759</x:v>
      </x:c>
      <x:c r="C2295" s="84" t="n">
        <x:v>39</x:v>
      </x:c>
      <x:c r="D2295" s="89" t="n">
        <x:v>45824</x:v>
      </x:c>
      <x:c r="E2295" s="84" t="n">
        <x:v>1</x:v>
      </x:c>
      <x:c r="F2295" s="91" t="n">
        <x:v>677.6</x:v>
      </x:c>
    </x:row>
    <x:row r="2296">
      <x:c r="A2296" s="83" t="n">
        <x:v>2295</x:v>
      </x:c>
      <x:c r="B2296" s="84" t="n">
        <x:v>1759</x:v>
      </x:c>
      <x:c r="C2296" s="84" t="n">
        <x:v>18</x:v>
      </x:c>
      <x:c r="D2296" s="89" t="n">
        <x:v>45824</x:v>
      </x:c>
      <x:c r="E2296" s="84" t="n">
        <x:v>1</x:v>
      </x:c>
      <x:c r="F2296" s="91" t="n">
        <x:v>666.16</x:v>
      </x:c>
    </x:row>
    <x:row r="2297">
      <x:c r="A2297" s="83" t="n">
        <x:v>2296</x:v>
      </x:c>
      <x:c r="B2297" s="84" t="n">
        <x:v>1759</x:v>
      </x:c>
      <x:c r="C2297" s="84" t="n">
        <x:v>47</x:v>
      </x:c>
      <x:c r="D2297" s="89" t="n">
        <x:v>45824</x:v>
      </x:c>
      <x:c r="E2297" s="84" t="n">
        <x:v>4</x:v>
      </x:c>
      <x:c r="F2297" s="91" t="n">
        <x:v>8702.48</x:v>
      </x:c>
    </x:row>
    <x:row r="2298">
      <x:c r="A2298" s="83" t="n">
        <x:v>2297</x:v>
      </x:c>
      <x:c r="B2298" s="84" t="n">
        <x:v>1761</x:v>
      </x:c>
      <x:c r="C2298" s="84" t="n">
        <x:v>49</x:v>
      </x:c>
      <x:c r="D2298" s="89" t="n">
        <x:v>45268</x:v>
      </x:c>
      <x:c r="E2298" s="84" t="n">
        <x:v>1</x:v>
      </x:c>
      <x:c r="F2298" s="91" t="n">
        <x:v>184.16</x:v>
      </x:c>
    </x:row>
    <x:row r="2299">
      <x:c r="A2299" s="83" t="n">
        <x:v>2298</x:v>
      </x:c>
      <x:c r="B2299" s="84" t="n">
        <x:v>1761</x:v>
      </x:c>
      <x:c r="C2299" s="84" t="n">
        <x:v>39</x:v>
      </x:c>
      <x:c r="D2299" s="89" t="n">
        <x:v>45268</x:v>
      </x:c>
      <x:c r="E2299" s="84" t="n">
        <x:v>2</x:v>
      </x:c>
      <x:c r="F2299" s="91" t="n">
        <x:v>1355.2</x:v>
      </x:c>
    </x:row>
    <x:row r="2300">
      <x:c r="A2300" s="83" t="n">
        <x:v>2299</x:v>
      </x:c>
      <x:c r="B2300" s="84" t="n">
        <x:v>1767</x:v>
      </x:c>
      <x:c r="C2300" s="84" t="n">
        <x:v>15</x:v>
      </x:c>
      <x:c r="D2300" s="89" t="n">
        <x:v>45894</x:v>
      </x:c>
      <x:c r="E2300" s="84" t="n">
        <x:v>3</x:v>
      </x:c>
      <x:c r="F2300" s="91" t="n">
        <x:v>3703.83</x:v>
      </x:c>
    </x:row>
    <x:row r="2301">
      <x:c r="A2301" s="83" t="n">
        <x:v>2300</x:v>
      </x:c>
      <x:c r="B2301" s="84" t="n">
        <x:v>1767</x:v>
      </x:c>
      <x:c r="C2301" s="84" t="n">
        <x:v>47</x:v>
      </x:c>
      <x:c r="D2301" s="89" t="n">
        <x:v>45894</x:v>
      </x:c>
      <x:c r="E2301" s="84" t="n">
        <x:v>4</x:v>
      </x:c>
      <x:c r="F2301" s="91" t="n">
        <x:v>8702.48</x:v>
      </x:c>
    </x:row>
    <x:row r="2302">
      <x:c r="A2302" s="83" t="n">
        <x:v>2301</x:v>
      </x:c>
      <x:c r="B2302" s="84" t="n">
        <x:v>1767</x:v>
      </x:c>
      <x:c r="C2302" s="84" t="n">
        <x:v>8</x:v>
      </x:c>
      <x:c r="D2302" s="89" t="n">
        <x:v>45894</x:v>
      </x:c>
      <x:c r="E2302" s="84" t="n">
        <x:v>2</x:v>
      </x:c>
      <x:c r="F2302" s="91" t="n">
        <x:v>3332.38</x:v>
      </x:c>
    </x:row>
    <x:row r="2303">
      <x:c r="A2303" s="83" t="n">
        <x:v>2302</x:v>
      </x:c>
      <x:c r="B2303" s="84" t="n">
        <x:v>1768</x:v>
      </x:c>
      <x:c r="C2303" s="84" t="n">
        <x:v>27</x:v>
      </x:c>
      <x:c r="D2303" s="89" t="n">
        <x:v>45593</x:v>
      </x:c>
      <x:c r="E2303" s="84" t="n">
        <x:v>2</x:v>
      </x:c>
      <x:c r="F2303" s="91" t="n">
        <x:v>321.38</x:v>
      </x:c>
    </x:row>
    <x:row r="2304">
      <x:c r="A2304" s="83" t="n">
        <x:v>2303</x:v>
      </x:c>
      <x:c r="B2304" s="84" t="n">
        <x:v>1768</x:v>
      </x:c>
      <x:c r="C2304" s="84" t="n">
        <x:v>58</x:v>
      </x:c>
      <x:c r="D2304" s="89" t="n">
        <x:v>45593</x:v>
      </x:c>
      <x:c r="E2304" s="84" t="n">
        <x:v>1</x:v>
      </x:c>
      <x:c r="F2304" s="91" t="n">
        <x:v>2018.18</x:v>
      </x:c>
    </x:row>
    <x:row r="2305">
      <x:c r="A2305" s="83" t="n">
        <x:v>2304</x:v>
      </x:c>
      <x:c r="B2305" s="84" t="n">
        <x:v>1769</x:v>
      </x:c>
      <x:c r="C2305" s="84" t="n">
        <x:v>80</x:v>
      </x:c>
      <x:c r="D2305" s="89" t="n">
        <x:v>45215</x:v>
      </x:c>
      <x:c r="E2305" s="84" t="n">
        <x:v>2</x:v>
      </x:c>
      <x:c r="F2305" s="91" t="n">
        <x:v>3457.08</x:v>
      </x:c>
    </x:row>
    <x:row r="2306">
      <x:c r="A2306" s="83" t="n">
        <x:v>2305</x:v>
      </x:c>
      <x:c r="B2306" s="84" t="n">
        <x:v>1770</x:v>
      </x:c>
      <x:c r="C2306" s="84" t="n">
        <x:v>64</x:v>
      </x:c>
      <x:c r="D2306" s="89" t="n">
        <x:v>45864</x:v>
      </x:c>
      <x:c r="E2306" s="84" t="n">
        <x:v>4</x:v>
      </x:c>
      <x:c r="F2306" s="91" t="n">
        <x:v>5861.68</x:v>
      </x:c>
    </x:row>
    <x:row r="2307">
      <x:c r="A2307" s="83" t="n">
        <x:v>2306</x:v>
      </x:c>
      <x:c r="B2307" s="84" t="n">
        <x:v>1770</x:v>
      </x:c>
      <x:c r="C2307" s="84" t="n">
        <x:v>70</x:v>
      </x:c>
      <x:c r="D2307" s="89" t="n">
        <x:v>45864</x:v>
      </x:c>
      <x:c r="E2307" s="84" t="n">
        <x:v>4</x:v>
      </x:c>
      <x:c r="F2307" s="91" t="n">
        <x:v>3078.16</x:v>
      </x:c>
    </x:row>
    <x:row r="2308">
      <x:c r="A2308" s="83" t="n">
        <x:v>2307</x:v>
      </x:c>
      <x:c r="B2308" s="84" t="n">
        <x:v>1771</x:v>
      </x:c>
      <x:c r="C2308" s="84" t="n">
        <x:v>43</x:v>
      </x:c>
      <x:c r="D2308" s="89" t="n">
        <x:v>45671</x:v>
      </x:c>
      <x:c r="E2308" s="84" t="n">
        <x:v>1</x:v>
      </x:c>
      <x:c r="F2308" s="91" t="n">
        <x:v>1465.42</x:v>
      </x:c>
    </x:row>
    <x:row r="2309">
      <x:c r="A2309" s="83" t="n">
        <x:v>2308</x:v>
      </x:c>
      <x:c r="B2309" s="84" t="n">
        <x:v>1772</x:v>
      </x:c>
      <x:c r="C2309" s="84" t="n">
        <x:v>60</x:v>
      </x:c>
      <x:c r="D2309" s="89" t="n">
        <x:v>45624</x:v>
      </x:c>
      <x:c r="E2309" s="84" t="n">
        <x:v>3</x:v>
      </x:c>
      <x:c r="F2309" s="91" t="n">
        <x:v>1061.4</x:v>
      </x:c>
    </x:row>
    <x:row r="2310">
      <x:c r="A2310" s="83" t="n">
        <x:v>2309</x:v>
      </x:c>
      <x:c r="B2310" s="84" t="n">
        <x:v>1772</x:v>
      </x:c>
      <x:c r="C2310" s="84" t="n">
        <x:v>19</x:v>
      </x:c>
      <x:c r="D2310" s="89" t="n">
        <x:v>45624</x:v>
      </x:c>
      <x:c r="E2310" s="84" t="n">
        <x:v>4</x:v>
      </x:c>
      <x:c r="F2310" s="91" t="n">
        <x:v>4350.84</x:v>
      </x:c>
    </x:row>
    <x:row r="2311">
      <x:c r="A2311" s="83" t="n">
        <x:v>2310</x:v>
      </x:c>
      <x:c r="B2311" s="84" t="n">
        <x:v>1773</x:v>
      </x:c>
      <x:c r="C2311" s="84" t="n">
        <x:v>73</x:v>
      </x:c>
      <x:c r="D2311" s="89" t="n">
        <x:v>45124</x:v>
      </x:c>
      <x:c r="E2311" s="84" t="n">
        <x:v>1</x:v>
      </x:c>
      <x:c r="F2311" s="91" t="n">
        <x:v>1127.31</x:v>
      </x:c>
    </x:row>
    <x:row r="2312">
      <x:c r="A2312" s="83" t="n">
        <x:v>2311</x:v>
      </x:c>
      <x:c r="B2312" s="84" t="n">
        <x:v>1773</x:v>
      </x:c>
      <x:c r="C2312" s="84" t="n">
        <x:v>10</x:v>
      </x:c>
      <x:c r="D2312" s="89" t="n">
        <x:v>45124</x:v>
      </x:c>
      <x:c r="E2312" s="84" t="n">
        <x:v>2</x:v>
      </x:c>
      <x:c r="F2312" s="91" t="n">
        <x:v>1749.72</x:v>
      </x:c>
    </x:row>
    <x:row r="2313">
      <x:c r="A2313" s="83" t="n">
        <x:v>2312</x:v>
      </x:c>
      <x:c r="B2313" s="84" t="n">
        <x:v>1774</x:v>
      </x:c>
      <x:c r="C2313" s="84" t="n">
        <x:v>36</x:v>
      </x:c>
      <x:c r="D2313" s="89" t="n">
        <x:v>45783</x:v>
      </x:c>
      <x:c r="E2313" s="84" t="n">
        <x:v>1</x:v>
      </x:c>
      <x:c r="F2313" s="91" t="n">
        <x:v>596.41</x:v>
      </x:c>
    </x:row>
    <x:row r="2314">
      <x:c r="A2314" s="83" t="n">
        <x:v>2313</x:v>
      </x:c>
      <x:c r="B2314" s="84" t="n">
        <x:v>1774</x:v>
      </x:c>
      <x:c r="C2314" s="84" t="n">
        <x:v>32</x:v>
      </x:c>
      <x:c r="D2314" s="89" t="n">
        <x:v>45783</x:v>
      </x:c>
      <x:c r="E2314" s="84" t="n">
        <x:v>1</x:v>
      </x:c>
      <x:c r="F2314" s="91" t="n">
        <x:v>1813.25</x:v>
      </x:c>
    </x:row>
    <x:row r="2315">
      <x:c r="A2315" s="83" t="n">
        <x:v>2314</x:v>
      </x:c>
      <x:c r="B2315" s="84" t="n">
        <x:v>1774</x:v>
      </x:c>
      <x:c r="C2315" s="84" t="n">
        <x:v>47</x:v>
      </x:c>
      <x:c r="D2315" s="89" t="n">
        <x:v>45783</x:v>
      </x:c>
      <x:c r="E2315" s="84" t="n">
        <x:v>3</x:v>
      </x:c>
      <x:c r="F2315" s="91" t="n">
        <x:v>6526.86</x:v>
      </x:c>
    </x:row>
    <x:row r="2316">
      <x:c r="A2316" s="83" t="n">
        <x:v>2315</x:v>
      </x:c>
      <x:c r="B2316" s="84" t="n">
        <x:v>1775</x:v>
      </x:c>
      <x:c r="C2316" s="84" t="n">
        <x:v>16</x:v>
      </x:c>
      <x:c r="D2316" s="89" t="n">
        <x:v>45372</x:v>
      </x:c>
      <x:c r="E2316" s="84" t="n">
        <x:v>1</x:v>
      </x:c>
      <x:c r="F2316" s="91" t="n">
        <x:v>605.78</x:v>
      </x:c>
    </x:row>
    <x:row r="2317">
      <x:c r="A2317" s="83" t="n">
        <x:v>2316</x:v>
      </x:c>
      <x:c r="B2317" s="84" t="n">
        <x:v>1775</x:v>
      </x:c>
      <x:c r="C2317" s="84" t="n">
        <x:v>34</x:v>
      </x:c>
      <x:c r="D2317" s="89" t="n">
        <x:v>45372</x:v>
      </x:c>
      <x:c r="E2317" s="84" t="n">
        <x:v>3</x:v>
      </x:c>
      <x:c r="F2317" s="91" t="n">
        <x:v>5931.27</x:v>
      </x:c>
    </x:row>
    <x:row r="2318">
      <x:c r="A2318" s="83" t="n">
        <x:v>2317</x:v>
      </x:c>
      <x:c r="B2318" s="84" t="n">
        <x:v>1776</x:v>
      </x:c>
      <x:c r="C2318" s="84" t="n">
        <x:v>39</x:v>
      </x:c>
      <x:c r="D2318" s="89" t="n">
        <x:v>45112</x:v>
      </x:c>
      <x:c r="E2318" s="84" t="n">
        <x:v>2</x:v>
      </x:c>
      <x:c r="F2318" s="91" t="n">
        <x:v>1355.2</x:v>
      </x:c>
    </x:row>
    <x:row r="2319">
      <x:c r="A2319" s="83" t="n">
        <x:v>2318</x:v>
      </x:c>
      <x:c r="B2319" s="84" t="n">
        <x:v>1776</x:v>
      </x:c>
      <x:c r="C2319" s="84" t="n">
        <x:v>13</x:v>
      </x:c>
      <x:c r="D2319" s="89" t="n">
        <x:v>45112</x:v>
      </x:c>
      <x:c r="E2319" s="84" t="n">
        <x:v>3</x:v>
      </x:c>
      <x:c r="F2319" s="91" t="n">
        <x:v>2406.15</x:v>
      </x:c>
    </x:row>
    <x:row r="2320">
      <x:c r="A2320" s="83" t="n">
        <x:v>2319</x:v>
      </x:c>
      <x:c r="B2320" s="84" t="n">
        <x:v>1777</x:v>
      </x:c>
      <x:c r="C2320" s="84" t="n">
        <x:v>60</x:v>
      </x:c>
      <x:c r="D2320" s="89" t="n">
        <x:v>45087</x:v>
      </x:c>
      <x:c r="E2320" s="84" t="n">
        <x:v>3</x:v>
      </x:c>
      <x:c r="F2320" s="91" t="n">
        <x:v>1061.4</x:v>
      </x:c>
    </x:row>
    <x:row r="2321">
      <x:c r="A2321" s="83" t="n">
        <x:v>2320</x:v>
      </x:c>
      <x:c r="B2321" s="84" t="n">
        <x:v>1778</x:v>
      </x:c>
      <x:c r="C2321" s="84" t="n">
        <x:v>22</x:v>
      </x:c>
      <x:c r="D2321" s="89" t="n">
        <x:v>45871</x:v>
      </x:c>
      <x:c r="E2321" s="84" t="n">
        <x:v>3</x:v>
      </x:c>
      <x:c r="F2321" s="91" t="n">
        <x:v>1565.67</x:v>
      </x:c>
    </x:row>
    <x:row r="2322">
      <x:c r="A2322" s="83" t="n">
        <x:v>2321</x:v>
      </x:c>
      <x:c r="B2322" s="84" t="n">
        <x:v>1778</x:v>
      </x:c>
      <x:c r="C2322" s="84" t="n">
        <x:v>73</x:v>
      </x:c>
      <x:c r="D2322" s="89" t="n">
        <x:v>45871</x:v>
      </x:c>
      <x:c r="E2322" s="84" t="n">
        <x:v>3</x:v>
      </x:c>
      <x:c r="F2322" s="91" t="n">
        <x:v>3381.93</x:v>
      </x:c>
    </x:row>
    <x:row r="2323">
      <x:c r="A2323" s="83" t="n">
        <x:v>2322</x:v>
      </x:c>
      <x:c r="B2323" s="84" t="n">
        <x:v>1779</x:v>
      </x:c>
      <x:c r="C2323" s="84" t="n">
        <x:v>57</x:v>
      </x:c>
      <x:c r="D2323" s="89" t="n">
        <x:v>45097</x:v>
      </x:c>
      <x:c r="E2323" s="84" t="n">
        <x:v>3</x:v>
      </x:c>
      <x:c r="F2323" s="91" t="n">
        <x:v>3537.18</x:v>
      </x:c>
    </x:row>
    <x:row r="2324">
      <x:c r="A2324" s="83" t="n">
        <x:v>2323</x:v>
      </x:c>
      <x:c r="B2324" s="84" t="n">
        <x:v>1780</x:v>
      </x:c>
      <x:c r="C2324" s="84" t="n">
        <x:v>31</x:v>
      </x:c>
      <x:c r="D2324" s="89" t="n">
        <x:v>45018</x:v>
      </x:c>
      <x:c r="E2324" s="84" t="n">
        <x:v>4</x:v>
      </x:c>
      <x:c r="F2324" s="91" t="n">
        <x:v>8678.52</x:v>
      </x:c>
    </x:row>
    <x:row r="2325">
      <x:c r="A2325" s="83" t="n">
        <x:v>2324</x:v>
      </x:c>
      <x:c r="B2325" s="84" t="n">
        <x:v>1780</x:v>
      </x:c>
      <x:c r="C2325" s="84" t="n">
        <x:v>57</x:v>
      </x:c>
      <x:c r="D2325" s="89" t="n">
        <x:v>45018</x:v>
      </x:c>
      <x:c r="E2325" s="84" t="n">
        <x:v>2</x:v>
      </x:c>
      <x:c r="F2325" s="91" t="n">
        <x:v>2358.12</x:v>
      </x:c>
    </x:row>
    <x:row r="2326">
      <x:c r="A2326" s="83" t="n">
        <x:v>2325</x:v>
      </x:c>
      <x:c r="B2326" s="84" t="n">
        <x:v>1780</x:v>
      </x:c>
      <x:c r="C2326" s="84" t="n">
        <x:v>14</x:v>
      </x:c>
      <x:c r="D2326" s="89" t="n">
        <x:v>45018</x:v>
      </x:c>
      <x:c r="E2326" s="84" t="n">
        <x:v>1</x:v>
      </x:c>
      <x:c r="F2326" s="91" t="n">
        <x:v>175.72</x:v>
      </x:c>
    </x:row>
    <x:row r="2327">
      <x:c r="A2327" s="83" t="n">
        <x:v>2326</x:v>
      </x:c>
      <x:c r="B2327" s="84" t="n">
        <x:v>1781</x:v>
      </x:c>
      <x:c r="C2327" s="84" t="n">
        <x:v>37</x:v>
      </x:c>
      <x:c r="D2327" s="89" t="n">
        <x:v>45956</x:v>
      </x:c>
      <x:c r="E2327" s="84" t="n">
        <x:v>4</x:v>
      </x:c>
      <x:c r="F2327" s="91" t="n">
        <x:v>4134.84</x:v>
      </x:c>
    </x:row>
    <x:row r="2328">
      <x:c r="A2328" s="83" t="n">
        <x:v>2327</x:v>
      </x:c>
      <x:c r="B2328" s="84" t="n">
        <x:v>1782</x:v>
      </x:c>
      <x:c r="C2328" s="84" t="n">
        <x:v>33</x:v>
      </x:c>
      <x:c r="D2328" s="89" t="n">
        <x:v>45752</x:v>
      </x:c>
      <x:c r="E2328" s="84" t="n">
        <x:v>4</x:v>
      </x:c>
      <x:c r="F2328" s="91" t="n">
        <x:v>9387.68</x:v>
      </x:c>
    </x:row>
    <x:row r="2329">
      <x:c r="A2329" s="83" t="n">
        <x:v>2328</x:v>
      </x:c>
      <x:c r="B2329" s="84" t="n">
        <x:v>1783</x:v>
      </x:c>
      <x:c r="C2329" s="84" t="n">
        <x:v>15</x:v>
      </x:c>
      <x:c r="D2329" s="89" t="n">
        <x:v>45168</x:v>
      </x:c>
      <x:c r="E2329" s="84" t="n">
        <x:v>4</x:v>
      </x:c>
      <x:c r="F2329" s="91" t="n">
        <x:v>4938.44</x:v>
      </x:c>
    </x:row>
    <x:row r="2330">
      <x:c r="A2330" s="83" t="n">
        <x:v>2329</x:v>
      </x:c>
      <x:c r="B2330" s="84" t="n">
        <x:v>1784</x:v>
      </x:c>
      <x:c r="C2330" s="84" t="n">
        <x:v>37</x:v>
      </x:c>
      <x:c r="D2330" s="89" t="n">
        <x:v>45837</x:v>
      </x:c>
      <x:c r="E2330" s="84" t="n">
        <x:v>1</x:v>
      </x:c>
      <x:c r="F2330" s="91" t="n">
        <x:v>1033.71</x:v>
      </x:c>
    </x:row>
    <x:row r="2331">
      <x:c r="A2331" s="83" t="n">
        <x:v>2330</x:v>
      </x:c>
      <x:c r="B2331" s="84" t="n">
        <x:v>1784</x:v>
      </x:c>
      <x:c r="C2331" s="84" t="n">
        <x:v>70</x:v>
      </x:c>
      <x:c r="D2331" s="89" t="n">
        <x:v>45837</x:v>
      </x:c>
      <x:c r="E2331" s="84" t="n">
        <x:v>2</x:v>
      </x:c>
      <x:c r="F2331" s="91" t="n">
        <x:v>1539.08</x:v>
      </x:c>
    </x:row>
    <x:row r="2332">
      <x:c r="A2332" s="83" t="n">
        <x:v>2331</x:v>
      </x:c>
      <x:c r="B2332" s="84" t="n">
        <x:v>1785</x:v>
      </x:c>
      <x:c r="C2332" s="84" t="n">
        <x:v>53</x:v>
      </x:c>
      <x:c r="D2332" s="89" t="n">
        <x:v>45855</x:v>
      </x:c>
      <x:c r="E2332" s="84" t="n">
        <x:v>4</x:v>
      </x:c>
      <x:c r="F2332" s="91" t="n">
        <x:v>6363.68</x:v>
      </x:c>
    </x:row>
    <x:row r="2333">
      <x:c r="A2333" s="83" t="n">
        <x:v>2332</x:v>
      </x:c>
      <x:c r="B2333" s="84" t="n">
        <x:v>1785</x:v>
      </x:c>
      <x:c r="C2333" s="84" t="n">
        <x:v>52</x:v>
      </x:c>
      <x:c r="D2333" s="89" t="n">
        <x:v>45855</x:v>
      </x:c>
      <x:c r="E2333" s="84" t="n">
        <x:v>2</x:v>
      </x:c>
      <x:c r="F2333" s="91" t="n">
        <x:v>1761.26</x:v>
      </x:c>
    </x:row>
    <x:row r="2334">
      <x:c r="A2334" s="83" t="n">
        <x:v>2333</x:v>
      </x:c>
      <x:c r="B2334" s="84" t="n">
        <x:v>1787</x:v>
      </x:c>
      <x:c r="C2334" s="84" t="n">
        <x:v>29</x:v>
      </x:c>
      <x:c r="D2334" s="89" t="n">
        <x:v>45881</x:v>
      </x:c>
      <x:c r="E2334" s="84" t="n">
        <x:v>3</x:v>
      </x:c>
      <x:c r="F2334" s="91" t="n">
        <x:v>4657.41</x:v>
      </x:c>
    </x:row>
    <x:row r="2335">
      <x:c r="A2335" s="83" t="n">
        <x:v>2334</x:v>
      </x:c>
      <x:c r="B2335" s="84" t="n">
        <x:v>1787</x:v>
      </x:c>
      <x:c r="C2335" s="84" t="n">
        <x:v>36</x:v>
      </x:c>
      <x:c r="D2335" s="89" t="n">
        <x:v>45881</x:v>
      </x:c>
      <x:c r="E2335" s="84" t="n">
        <x:v>2</x:v>
      </x:c>
      <x:c r="F2335" s="91" t="n">
        <x:v>1192.82</x:v>
      </x:c>
    </x:row>
    <x:row r="2336">
      <x:c r="A2336" s="83" t="n">
        <x:v>2335</x:v>
      </x:c>
      <x:c r="B2336" s="84" t="n">
        <x:v>1788</x:v>
      </x:c>
      <x:c r="C2336" s="84" t="n">
        <x:v>61</x:v>
      </x:c>
      <x:c r="D2336" s="89" t="n">
        <x:v>45216</x:v>
      </x:c>
      <x:c r="E2336" s="84" t="n">
        <x:v>3</x:v>
      </x:c>
      <x:c r="F2336" s="91" t="n">
        <x:v>395.16</x:v>
      </x:c>
    </x:row>
    <x:row r="2337">
      <x:c r="A2337" s="83" t="n">
        <x:v>2336</x:v>
      </x:c>
      <x:c r="B2337" s="84" t="n">
        <x:v>1788</x:v>
      </x:c>
      <x:c r="C2337" s="84" t="n">
        <x:v>24</x:v>
      </x:c>
      <x:c r="D2337" s="89" t="n">
        <x:v>45216</x:v>
      </x:c>
      <x:c r="E2337" s="84" t="n">
        <x:v>1</x:v>
      </x:c>
      <x:c r="F2337" s="91" t="n">
        <x:v>740.91</x:v>
      </x:c>
    </x:row>
    <x:row r="2338">
      <x:c r="A2338" s="83" t="n">
        <x:v>2337</x:v>
      </x:c>
      <x:c r="B2338" s="84" t="n">
        <x:v>1789</x:v>
      </x:c>
      <x:c r="C2338" s="84" t="n">
        <x:v>34</x:v>
      </x:c>
      <x:c r="D2338" s="89" t="n">
        <x:v>45831</x:v>
      </x:c>
      <x:c r="E2338" s="84" t="n">
        <x:v>1</x:v>
      </x:c>
      <x:c r="F2338" s="91" t="n">
        <x:v>1977.09</x:v>
      </x:c>
    </x:row>
    <x:row r="2339">
      <x:c r="A2339" s="83" t="n">
        <x:v>2338</x:v>
      </x:c>
      <x:c r="B2339" s="84" t="n">
        <x:v>1789</x:v>
      </x:c>
      <x:c r="C2339" s="84" t="n">
        <x:v>54</x:v>
      </x:c>
      <x:c r="D2339" s="89" t="n">
        <x:v>45831</x:v>
      </x:c>
      <x:c r="E2339" s="84" t="n">
        <x:v>1</x:v>
      </x:c>
      <x:c r="F2339" s="91" t="n">
        <x:v>686.4</x:v>
      </x:c>
    </x:row>
    <x:row r="2340">
      <x:c r="A2340" s="83" t="n">
        <x:v>2339</x:v>
      </x:c>
      <x:c r="B2340" s="84" t="n">
        <x:v>1789</x:v>
      </x:c>
      <x:c r="C2340" s="84" t="n">
        <x:v>38</x:v>
      </x:c>
      <x:c r="D2340" s="89" t="n">
        <x:v>45831</x:v>
      </x:c>
      <x:c r="E2340" s="84" t="n">
        <x:v>4</x:v>
      </x:c>
      <x:c r="F2340" s="91" t="n">
        <x:v>2905.96</x:v>
      </x:c>
    </x:row>
    <x:row r="2341">
      <x:c r="A2341" s="83" t="n">
        <x:v>2340</x:v>
      </x:c>
      <x:c r="B2341" s="84" t="n">
        <x:v>1791</x:v>
      </x:c>
      <x:c r="C2341" s="84" t="n">
        <x:v>80</x:v>
      </x:c>
      <x:c r="D2341" s="89" t="n">
        <x:v>45702</x:v>
      </x:c>
      <x:c r="E2341" s="84" t="n">
        <x:v>3</x:v>
      </x:c>
      <x:c r="F2341" s="91" t="n">
        <x:v>5185.62</x:v>
      </x:c>
    </x:row>
    <x:row r="2342">
      <x:c r="A2342" s="83" t="n">
        <x:v>2341</x:v>
      </x:c>
      <x:c r="B2342" s="84" t="n">
        <x:v>1791</x:v>
      </x:c>
      <x:c r="C2342" s="84" t="n">
        <x:v>66</x:v>
      </x:c>
      <x:c r="D2342" s="89" t="n">
        <x:v>45702</x:v>
      </x:c>
      <x:c r="E2342" s="84" t="n">
        <x:v>2</x:v>
      </x:c>
      <x:c r="F2342" s="91" t="n">
        <x:v>3824.9</x:v>
      </x:c>
    </x:row>
    <x:row r="2343">
      <x:c r="A2343" s="83" t="n">
        <x:v>2342</x:v>
      </x:c>
      <x:c r="B2343" s="84" t="n">
        <x:v>1795</x:v>
      </x:c>
      <x:c r="C2343" s="84" t="n">
        <x:v>63</x:v>
      </x:c>
      <x:c r="D2343" s="89" t="n">
        <x:v>45981</x:v>
      </x:c>
      <x:c r="E2343" s="84" t="n">
        <x:v>1</x:v>
      </x:c>
      <x:c r="F2343" s="91" t="n">
        <x:v>1934.19</x:v>
      </x:c>
    </x:row>
    <x:row r="2344">
      <x:c r="A2344" s="83" t="n">
        <x:v>2343</x:v>
      </x:c>
      <x:c r="B2344" s="84" t="n">
        <x:v>1797</x:v>
      </x:c>
      <x:c r="C2344" s="84" t="n">
        <x:v>32</x:v>
      </x:c>
      <x:c r="D2344" s="89" t="n">
        <x:v>45761</x:v>
      </x:c>
      <x:c r="E2344" s="84" t="n">
        <x:v>3</x:v>
      </x:c>
      <x:c r="F2344" s="91" t="n">
        <x:v>5439.75</x:v>
      </x:c>
    </x:row>
    <x:row r="2345">
      <x:c r="A2345" s="83" t="n">
        <x:v>2344</x:v>
      </x:c>
      <x:c r="B2345" s="84" t="n">
        <x:v>1797</x:v>
      </x:c>
      <x:c r="C2345" s="84" t="n">
        <x:v>67</x:v>
      </x:c>
      <x:c r="D2345" s="89" t="n">
        <x:v>45761</x:v>
      </x:c>
      <x:c r="E2345" s="84" t="n">
        <x:v>1</x:v>
      </x:c>
      <x:c r="F2345" s="91" t="n">
        <x:v>1279.53</x:v>
      </x:c>
    </x:row>
    <x:row r="2346">
      <x:c r="A2346" s="83" t="n">
        <x:v>2345</x:v>
      </x:c>
      <x:c r="B2346" s="84" t="n">
        <x:v>1797</x:v>
      </x:c>
      <x:c r="C2346" s="84" t="n">
        <x:v>3</x:v>
      </x:c>
      <x:c r="D2346" s="89" t="n">
        <x:v>45761</x:v>
      </x:c>
      <x:c r="E2346" s="84" t="n">
        <x:v>1</x:v>
      </x:c>
      <x:c r="F2346" s="91" t="n">
        <x:v>1151.14</x:v>
      </x:c>
    </x:row>
    <x:row r="2347">
      <x:c r="A2347" s="83" t="n">
        <x:v>2346</x:v>
      </x:c>
      <x:c r="B2347" s="84" t="n">
        <x:v>1798</x:v>
      </x:c>
      <x:c r="C2347" s="84" t="n">
        <x:v>9</x:v>
      </x:c>
      <x:c r="D2347" s="89" t="n">
        <x:v>44954</x:v>
      </x:c>
      <x:c r="E2347" s="84" t="n">
        <x:v>3</x:v>
      </x:c>
      <x:c r="F2347" s="91" t="n">
        <x:v>4725.18</x:v>
      </x:c>
    </x:row>
    <x:row r="2348">
      <x:c r="A2348" s="83" t="n">
        <x:v>2347</x:v>
      </x:c>
      <x:c r="B2348" s="84" t="n">
        <x:v>1803</x:v>
      </x:c>
      <x:c r="C2348" s="84" t="n">
        <x:v>77</x:v>
      </x:c>
      <x:c r="D2348" s="89" t="n">
        <x:v>45865</x:v>
      </x:c>
      <x:c r="E2348" s="84" t="n">
        <x:v>2</x:v>
      </x:c>
      <x:c r="F2348" s="91" t="n">
        <x:v>4205.82</x:v>
      </x:c>
    </x:row>
    <x:row r="2349">
      <x:c r="A2349" s="83" t="n">
        <x:v>2348</x:v>
      </x:c>
      <x:c r="B2349" s="84" t="n">
        <x:v>1803</x:v>
      </x:c>
      <x:c r="C2349" s="84" t="n">
        <x:v>57</x:v>
      </x:c>
      <x:c r="D2349" s="89" t="n">
        <x:v>45865</x:v>
      </x:c>
      <x:c r="E2349" s="84" t="n">
        <x:v>3</x:v>
      </x:c>
      <x:c r="F2349" s="91" t="n">
        <x:v>3537.18</x:v>
      </x:c>
    </x:row>
    <x:row r="2350">
      <x:c r="A2350" s="83" t="n">
        <x:v>2349</x:v>
      </x:c>
      <x:c r="B2350" s="84" t="n">
        <x:v>1803</x:v>
      </x:c>
      <x:c r="C2350" s="84" t="n">
        <x:v>54</x:v>
      </x:c>
      <x:c r="D2350" s="89" t="n">
        <x:v>45865</x:v>
      </x:c>
      <x:c r="E2350" s="84" t="n">
        <x:v>1</x:v>
      </x:c>
      <x:c r="F2350" s="91" t="n">
        <x:v>686.4</x:v>
      </x:c>
    </x:row>
    <x:row r="2351">
      <x:c r="A2351" s="83" t="n">
        <x:v>2350</x:v>
      </x:c>
      <x:c r="B2351" s="84" t="n">
        <x:v>1804</x:v>
      </x:c>
      <x:c r="C2351" s="84" t="n">
        <x:v>54</x:v>
      </x:c>
      <x:c r="D2351" s="89" t="n">
        <x:v>45611</x:v>
      </x:c>
      <x:c r="E2351" s="84" t="n">
        <x:v>4</x:v>
      </x:c>
      <x:c r="F2351" s="91" t="n">
        <x:v>2745.6</x:v>
      </x:c>
    </x:row>
    <x:row r="2352">
      <x:c r="A2352" s="83" t="n">
        <x:v>2351</x:v>
      </x:c>
      <x:c r="B2352" s="84" t="n">
        <x:v>1804</x:v>
      </x:c>
      <x:c r="C2352" s="84" t="n">
        <x:v>65</x:v>
      </x:c>
      <x:c r="D2352" s="89" t="n">
        <x:v>45611</x:v>
      </x:c>
      <x:c r="E2352" s="84" t="n">
        <x:v>3</x:v>
      </x:c>
      <x:c r="F2352" s="91" t="n">
        <x:v>3764.52</x:v>
      </x:c>
    </x:row>
    <x:row r="2353">
      <x:c r="A2353" s="83" t="n">
        <x:v>2352</x:v>
      </x:c>
      <x:c r="B2353" s="84" t="n">
        <x:v>1805</x:v>
      </x:c>
      <x:c r="C2353" s="84" t="n">
        <x:v>52</x:v>
      </x:c>
      <x:c r="D2353" s="89" t="n">
        <x:v>45600</x:v>
      </x:c>
      <x:c r="E2353" s="84" t="n">
        <x:v>3</x:v>
      </x:c>
      <x:c r="F2353" s="91" t="n">
        <x:v>2641.89</x:v>
      </x:c>
    </x:row>
    <x:row r="2354">
      <x:c r="A2354" s="83" t="n">
        <x:v>2353</x:v>
      </x:c>
      <x:c r="B2354" s="84" t="n">
        <x:v>1805</x:v>
      </x:c>
      <x:c r="C2354" s="84" t="n">
        <x:v>13</x:v>
      </x:c>
      <x:c r="D2354" s="89" t="n">
        <x:v>45600</x:v>
      </x:c>
      <x:c r="E2354" s="84" t="n">
        <x:v>4</x:v>
      </x:c>
      <x:c r="F2354" s="91" t="n">
        <x:v>3208.2</x:v>
      </x:c>
    </x:row>
    <x:row r="2355">
      <x:c r="A2355" s="83" t="n">
        <x:v>2354</x:v>
      </x:c>
      <x:c r="B2355" s="84" t="n">
        <x:v>1806</x:v>
      </x:c>
      <x:c r="C2355" s="84" t="n">
        <x:v>75</x:v>
      </x:c>
      <x:c r="D2355" s="89" t="n">
        <x:v>45413</x:v>
      </x:c>
      <x:c r="E2355" s="84" t="n">
        <x:v>4</x:v>
      </x:c>
      <x:c r="F2355" s="91" t="n">
        <x:v>1824.68</x:v>
      </x:c>
    </x:row>
    <x:row r="2356">
      <x:c r="A2356" s="83" t="n">
        <x:v>2355</x:v>
      </x:c>
      <x:c r="B2356" s="84" t="n">
        <x:v>1806</x:v>
      </x:c>
      <x:c r="C2356" s="84" t="n">
        <x:v>55</x:v>
      </x:c>
      <x:c r="D2356" s="89" t="n">
        <x:v>45413</x:v>
      </x:c>
      <x:c r="E2356" s="84" t="n">
        <x:v>1</x:v>
      </x:c>
      <x:c r="F2356" s="91" t="n">
        <x:v>1499.85</x:v>
      </x:c>
    </x:row>
    <x:row r="2357">
      <x:c r="A2357" s="83" t="n">
        <x:v>2356</x:v>
      </x:c>
      <x:c r="B2357" s="84" t="n">
        <x:v>1806</x:v>
      </x:c>
      <x:c r="C2357" s="84" t="n">
        <x:v>68</x:v>
      </x:c>
      <x:c r="D2357" s="89" t="n">
        <x:v>45413</x:v>
      </x:c>
      <x:c r="E2357" s="84" t="n">
        <x:v>3</x:v>
      </x:c>
      <x:c r="F2357" s="91" t="n">
        <x:v>4582.83</x:v>
      </x:c>
    </x:row>
    <x:row r="2358">
      <x:c r="A2358" s="83" t="n">
        <x:v>2357</x:v>
      </x:c>
      <x:c r="B2358" s="84" t="n">
        <x:v>1808</x:v>
      </x:c>
      <x:c r="C2358" s="84" t="n">
        <x:v>5</x:v>
      </x:c>
      <x:c r="D2358" s="89" t="n">
        <x:v>45756</x:v>
      </x:c>
      <x:c r="E2358" s="84" t="n">
        <x:v>1</x:v>
      </x:c>
      <x:c r="F2358" s="91" t="n">
        <x:v>1468.5</x:v>
      </x:c>
    </x:row>
    <x:row r="2359">
      <x:c r="A2359" s="83" t="n">
        <x:v>2358</x:v>
      </x:c>
      <x:c r="B2359" s="84" t="n">
        <x:v>1808</x:v>
      </x:c>
      <x:c r="C2359" s="84" t="n">
        <x:v>37</x:v>
      </x:c>
      <x:c r="D2359" s="89" t="n">
        <x:v>45756</x:v>
      </x:c>
      <x:c r="E2359" s="84" t="n">
        <x:v>4</x:v>
      </x:c>
      <x:c r="F2359" s="91" t="n">
        <x:v>4134.84</x:v>
      </x:c>
    </x:row>
    <x:row r="2360">
      <x:c r="A2360" s="83" t="n">
        <x:v>2359</x:v>
      </x:c>
      <x:c r="B2360" s="84" t="n">
        <x:v>1809</x:v>
      </x:c>
      <x:c r="C2360" s="84" t="n">
        <x:v>63</x:v>
      </x:c>
      <x:c r="D2360" s="89" t="n">
        <x:v>45618</x:v>
      </x:c>
      <x:c r="E2360" s="84" t="n">
        <x:v>2</x:v>
      </x:c>
      <x:c r="F2360" s="91" t="n">
        <x:v>3868.38</x:v>
      </x:c>
    </x:row>
    <x:row r="2361">
      <x:c r="A2361" s="83" t="n">
        <x:v>2360</x:v>
      </x:c>
      <x:c r="B2361" s="84" t="n">
        <x:v>1810</x:v>
      </x:c>
      <x:c r="C2361" s="84" t="n">
        <x:v>74</x:v>
      </x:c>
      <x:c r="D2361" s="89" t="n">
        <x:v>44957</x:v>
      </x:c>
      <x:c r="E2361" s="84" t="n">
        <x:v>3</x:v>
      </x:c>
      <x:c r="F2361" s="91" t="n">
        <x:v>4969.05</x:v>
      </x:c>
    </x:row>
    <x:row r="2362">
      <x:c r="A2362" s="83" t="n">
        <x:v>2361</x:v>
      </x:c>
      <x:c r="B2362" s="84" t="n">
        <x:v>1813</x:v>
      </x:c>
      <x:c r="C2362" s="84" t="n">
        <x:v>5</x:v>
      </x:c>
      <x:c r="D2362" s="89" t="n">
        <x:v>45174</x:v>
      </x:c>
      <x:c r="E2362" s="84" t="n">
        <x:v>3</x:v>
      </x:c>
      <x:c r="F2362" s="91" t="n">
        <x:v>4405.5</x:v>
      </x:c>
    </x:row>
    <x:row r="2363">
      <x:c r="A2363" s="83" t="n">
        <x:v>2362</x:v>
      </x:c>
      <x:c r="B2363" s="84" t="n">
        <x:v>1813</x:v>
      </x:c>
      <x:c r="C2363" s="84" t="n">
        <x:v>53</x:v>
      </x:c>
      <x:c r="D2363" s="89" t="n">
        <x:v>45174</x:v>
      </x:c>
      <x:c r="E2363" s="84" t="n">
        <x:v>4</x:v>
      </x:c>
      <x:c r="F2363" s="91" t="n">
        <x:v>6363.68</x:v>
      </x:c>
    </x:row>
    <x:row r="2364">
      <x:c r="A2364" s="83" t="n">
        <x:v>2363</x:v>
      </x:c>
      <x:c r="B2364" s="84" t="n">
        <x:v>1813</x:v>
      </x:c>
      <x:c r="C2364" s="84" t="n">
        <x:v>32</x:v>
      </x:c>
      <x:c r="D2364" s="89" t="n">
        <x:v>45174</x:v>
      </x:c>
      <x:c r="E2364" s="84" t="n">
        <x:v>3</x:v>
      </x:c>
      <x:c r="F2364" s="91" t="n">
        <x:v>5439.75</x:v>
      </x:c>
    </x:row>
    <x:row r="2365">
      <x:c r="A2365" s="83" t="n">
        <x:v>2364</x:v>
      </x:c>
      <x:c r="B2365" s="84" t="n">
        <x:v>1814</x:v>
      </x:c>
      <x:c r="C2365" s="84" t="n">
        <x:v>70</x:v>
      </x:c>
      <x:c r="D2365" s="89" t="n">
        <x:v>45904</x:v>
      </x:c>
      <x:c r="E2365" s="84" t="n">
        <x:v>4</x:v>
      </x:c>
      <x:c r="F2365" s="91" t="n">
        <x:v>3078.16</x:v>
      </x:c>
    </x:row>
    <x:row r="2366">
      <x:c r="A2366" s="83" t="n">
        <x:v>2365</x:v>
      </x:c>
      <x:c r="B2366" s="84" t="n">
        <x:v>1814</x:v>
      </x:c>
      <x:c r="C2366" s="84" t="n">
        <x:v>42</x:v>
      </x:c>
      <x:c r="D2366" s="89" t="n">
        <x:v>45904</x:v>
      </x:c>
      <x:c r="E2366" s="84" t="n">
        <x:v>2</x:v>
      </x:c>
      <x:c r="F2366" s="91" t="n">
        <x:v>4343.48</x:v>
      </x:c>
    </x:row>
    <x:row r="2367">
      <x:c r="A2367" s="83" t="n">
        <x:v>2366</x:v>
      </x:c>
      <x:c r="B2367" s="84" t="n">
        <x:v>1815</x:v>
      </x:c>
      <x:c r="C2367" s="84" t="n">
        <x:v>18</x:v>
      </x:c>
      <x:c r="D2367" s="89" t="n">
        <x:v>45717</x:v>
      </x:c>
      <x:c r="E2367" s="84" t="n">
        <x:v>2</x:v>
      </x:c>
      <x:c r="F2367" s="91" t="n">
        <x:v>1332.32</x:v>
      </x:c>
    </x:row>
    <x:row r="2368">
      <x:c r="A2368" s="83" t="n">
        <x:v>2367</x:v>
      </x:c>
      <x:c r="B2368" s="84" t="n">
        <x:v>1815</x:v>
      </x:c>
      <x:c r="C2368" s="84" t="n">
        <x:v>45</x:v>
      </x:c>
      <x:c r="D2368" s="89" t="n">
        <x:v>45717</x:v>
      </x:c>
      <x:c r="E2368" s="84" t="n">
        <x:v>1</x:v>
      </x:c>
      <x:c r="F2368" s="91" t="n">
        <x:v>1391.42</x:v>
      </x:c>
    </x:row>
    <x:row r="2369">
      <x:c r="A2369" s="83" t="n">
        <x:v>2368</x:v>
      </x:c>
      <x:c r="B2369" s="84" t="n">
        <x:v>1816</x:v>
      </x:c>
      <x:c r="C2369" s="84" t="n">
        <x:v>65</x:v>
      </x:c>
      <x:c r="D2369" s="89" t="n">
        <x:v>45404</x:v>
      </x:c>
      <x:c r="E2369" s="84" t="n">
        <x:v>3</x:v>
      </x:c>
      <x:c r="F2369" s="91" t="n">
        <x:v>3764.52</x:v>
      </x:c>
    </x:row>
    <x:row r="2370">
      <x:c r="A2370" s="83" t="n">
        <x:v>2369</x:v>
      </x:c>
      <x:c r="B2370" s="84" t="n">
        <x:v>1816</x:v>
      </x:c>
      <x:c r="C2370" s="84" t="n">
        <x:v>13</x:v>
      </x:c>
      <x:c r="D2370" s="89" t="n">
        <x:v>45404</x:v>
      </x:c>
      <x:c r="E2370" s="84" t="n">
        <x:v>4</x:v>
      </x:c>
      <x:c r="F2370" s="91" t="n">
        <x:v>3208.2</x:v>
      </x:c>
    </x:row>
    <x:row r="2371">
      <x:c r="A2371" s="83" t="n">
        <x:v>2370</x:v>
      </x:c>
      <x:c r="B2371" s="84" t="n">
        <x:v>1816</x:v>
      </x:c>
      <x:c r="C2371" s="84" t="n">
        <x:v>9</x:v>
      </x:c>
      <x:c r="D2371" s="89" t="n">
        <x:v>45404</x:v>
      </x:c>
      <x:c r="E2371" s="84" t="n">
        <x:v>3</x:v>
      </x:c>
      <x:c r="F2371" s="91" t="n">
        <x:v>4725.18</x:v>
      </x:c>
    </x:row>
    <x:row r="2372">
      <x:c r="A2372" s="83" t="n">
        <x:v>2371</x:v>
      </x:c>
      <x:c r="B2372" s="84" t="n">
        <x:v>1817</x:v>
      </x:c>
      <x:c r="C2372" s="84" t="n">
        <x:v>71</x:v>
      </x:c>
      <x:c r="D2372" s="89" t="n">
        <x:v>45545</x:v>
      </x:c>
      <x:c r="E2372" s="84" t="n">
        <x:v>4</x:v>
      </x:c>
      <x:c r="F2372" s="91" t="n">
        <x:v>7934.08</x:v>
      </x:c>
    </x:row>
    <x:row r="2373">
      <x:c r="A2373" s="83" t="n">
        <x:v>2372</x:v>
      </x:c>
      <x:c r="B2373" s="84" t="n">
        <x:v>1817</x:v>
      </x:c>
      <x:c r="C2373" s="84" t="n">
        <x:v>61</x:v>
      </x:c>
      <x:c r="D2373" s="89" t="n">
        <x:v>45545</x:v>
      </x:c>
      <x:c r="E2373" s="84" t="n">
        <x:v>2</x:v>
      </x:c>
      <x:c r="F2373" s="91" t="n">
        <x:v>263.44</x:v>
      </x:c>
    </x:row>
    <x:row r="2374">
      <x:c r="A2374" s="83" t="n">
        <x:v>2373</x:v>
      </x:c>
      <x:c r="B2374" s="84" t="n">
        <x:v>1819</x:v>
      </x:c>
      <x:c r="C2374" s="84" t="n">
        <x:v>13</x:v>
      </x:c>
      <x:c r="D2374" s="89" t="n">
        <x:v>45809</x:v>
      </x:c>
      <x:c r="E2374" s="84" t="n">
        <x:v>3</x:v>
      </x:c>
      <x:c r="F2374" s="91" t="n">
        <x:v>2406.15</x:v>
      </x:c>
    </x:row>
    <x:row r="2375">
      <x:c r="A2375" s="83" t="n">
        <x:v>2374</x:v>
      </x:c>
      <x:c r="B2375" s="84" t="n">
        <x:v>1819</x:v>
      </x:c>
      <x:c r="C2375" s="84" t="n">
        <x:v>53</x:v>
      </x:c>
      <x:c r="D2375" s="89" t="n">
        <x:v>45809</x:v>
      </x:c>
      <x:c r="E2375" s="84" t="n">
        <x:v>3</x:v>
      </x:c>
      <x:c r="F2375" s="91" t="n">
        <x:v>4772.76</x:v>
      </x:c>
    </x:row>
    <x:row r="2376">
      <x:c r="A2376" s="83" t="n">
        <x:v>2375</x:v>
      </x:c>
      <x:c r="B2376" s="84" t="n">
        <x:v>1819</x:v>
      </x:c>
      <x:c r="C2376" s="84" t="n">
        <x:v>12</x:v>
      </x:c>
      <x:c r="D2376" s="89" t="n">
        <x:v>45809</x:v>
      </x:c>
      <x:c r="E2376" s="84" t="n">
        <x:v>3</x:v>
      </x:c>
      <x:c r="F2376" s="91" t="n">
        <x:v>853.47</x:v>
      </x:c>
    </x:row>
    <x:row r="2377">
      <x:c r="A2377" s="83" t="n">
        <x:v>2376</x:v>
      </x:c>
      <x:c r="B2377" s="84" t="n">
        <x:v>1820</x:v>
      </x:c>
      <x:c r="C2377" s="84" t="n">
        <x:v>24</x:v>
      </x:c>
      <x:c r="D2377" s="89" t="n">
        <x:v>45405</x:v>
      </x:c>
      <x:c r="E2377" s="84" t="n">
        <x:v>4</x:v>
      </x:c>
      <x:c r="F2377" s="91" t="n">
        <x:v>2963.64</x:v>
      </x:c>
    </x:row>
    <x:row r="2378">
      <x:c r="A2378" s="83" t="n">
        <x:v>2377</x:v>
      </x:c>
      <x:c r="B2378" s="84" t="n">
        <x:v>1821</x:v>
      </x:c>
      <x:c r="C2378" s="84" t="n">
        <x:v>6</x:v>
      </x:c>
      <x:c r="D2378" s="89" t="n">
        <x:v>45975</x:v>
      </x:c>
      <x:c r="E2378" s="84" t="n">
        <x:v>4</x:v>
      </x:c>
      <x:c r="F2378" s="91" t="n">
        <x:v>2789.48</x:v>
      </x:c>
    </x:row>
    <x:row r="2379">
      <x:c r="A2379" s="83" t="n">
        <x:v>2378</x:v>
      </x:c>
      <x:c r="B2379" s="84" t="n">
        <x:v>1822</x:v>
      </x:c>
      <x:c r="C2379" s="84" t="n">
        <x:v>68</x:v>
      </x:c>
      <x:c r="D2379" s="89" t="n">
        <x:v>45927</x:v>
      </x:c>
      <x:c r="E2379" s="84" t="n">
        <x:v>1</x:v>
      </x:c>
      <x:c r="F2379" s="91" t="n">
        <x:v>1527.61</x:v>
      </x:c>
    </x:row>
    <x:row r="2380">
      <x:c r="A2380" s="83" t="n">
        <x:v>2379</x:v>
      </x:c>
      <x:c r="B2380" s="84" t="n">
        <x:v>1823</x:v>
      </x:c>
      <x:c r="C2380" s="84" t="n">
        <x:v>48</x:v>
      </x:c>
      <x:c r="D2380" s="89" t="n">
        <x:v>45408</x:v>
      </x:c>
      <x:c r="E2380" s="84" t="n">
        <x:v>2</x:v>
      </x:c>
      <x:c r="F2380" s="91" t="n">
        <x:v>2322.9</x:v>
      </x:c>
    </x:row>
    <x:row r="2381">
      <x:c r="A2381" s="83" t="n">
        <x:v>2380</x:v>
      </x:c>
      <x:c r="B2381" s="84" t="n">
        <x:v>1823</x:v>
      </x:c>
      <x:c r="C2381" s="84" t="n">
        <x:v>39</x:v>
      </x:c>
      <x:c r="D2381" s="89" t="n">
        <x:v>45408</x:v>
      </x:c>
      <x:c r="E2381" s="84" t="n">
        <x:v>2</x:v>
      </x:c>
      <x:c r="F2381" s="91" t="n">
        <x:v>1355.2</x:v>
      </x:c>
    </x:row>
    <x:row r="2382">
      <x:c r="A2382" s="83" t="n">
        <x:v>2381</x:v>
      </x:c>
      <x:c r="B2382" s="84" t="n">
        <x:v>1826</x:v>
      </x:c>
      <x:c r="C2382" s="84" t="n">
        <x:v>33</x:v>
      </x:c>
      <x:c r="D2382" s="89" t="n">
        <x:v>45005</x:v>
      </x:c>
      <x:c r="E2382" s="84" t="n">
        <x:v>2</x:v>
      </x:c>
      <x:c r="F2382" s="91" t="n">
        <x:v>4693.84</x:v>
      </x:c>
    </x:row>
    <x:row r="2383">
      <x:c r="A2383" s="83" t="n">
        <x:v>2382</x:v>
      </x:c>
      <x:c r="B2383" s="84" t="n">
        <x:v>1827</x:v>
      </x:c>
      <x:c r="C2383" s="84" t="n">
        <x:v>79</x:v>
      </x:c>
      <x:c r="D2383" s="89" t="n">
        <x:v>45285</x:v>
      </x:c>
      <x:c r="E2383" s="84" t="n">
        <x:v>1</x:v>
      </x:c>
      <x:c r="F2383" s="91" t="n">
        <x:v>2066.72</x:v>
      </x:c>
    </x:row>
    <x:row r="2384">
      <x:c r="A2384" s="83" t="n">
        <x:v>2383</x:v>
      </x:c>
      <x:c r="B2384" s="84" t="n">
        <x:v>1827</x:v>
      </x:c>
      <x:c r="C2384" s="84" t="n">
        <x:v>30</x:v>
      </x:c>
      <x:c r="D2384" s="89" t="n">
        <x:v>45285</x:v>
      </x:c>
      <x:c r="E2384" s="84" t="n">
        <x:v>4</x:v>
      </x:c>
      <x:c r="F2384" s="91" t="n">
        <x:v>5115.04</x:v>
      </x:c>
    </x:row>
    <x:row r="2385">
      <x:c r="A2385" s="83" t="n">
        <x:v>2384</x:v>
      </x:c>
      <x:c r="B2385" s="84" t="n">
        <x:v>1828</x:v>
      </x:c>
      <x:c r="C2385" s="84" t="n">
        <x:v>34</x:v>
      </x:c>
      <x:c r="D2385" s="89" t="n">
        <x:v>45790</x:v>
      </x:c>
      <x:c r="E2385" s="84" t="n">
        <x:v>2</x:v>
      </x:c>
      <x:c r="F2385" s="91" t="n">
        <x:v>3954.18</x:v>
      </x:c>
    </x:row>
    <x:row r="2386">
      <x:c r="A2386" s="83" t="n">
        <x:v>2385</x:v>
      </x:c>
      <x:c r="B2386" s="84" t="n">
        <x:v>1828</x:v>
      </x:c>
      <x:c r="C2386" s="84" t="n">
        <x:v>26</x:v>
      </x:c>
      <x:c r="D2386" s="89" t="n">
        <x:v>45790</x:v>
      </x:c>
      <x:c r="E2386" s="84" t="n">
        <x:v>1</x:v>
      </x:c>
      <x:c r="F2386" s="91" t="n">
        <x:v>2151</x:v>
      </x:c>
    </x:row>
    <x:row r="2387">
      <x:c r="A2387" s="83" t="n">
        <x:v>2386</x:v>
      </x:c>
      <x:c r="B2387" s="84" t="n">
        <x:v>1829</x:v>
      </x:c>
      <x:c r="C2387" s="84" t="n">
        <x:v>26</x:v>
      </x:c>
      <x:c r="D2387" s="89" t="n">
        <x:v>45473</x:v>
      </x:c>
      <x:c r="E2387" s="84" t="n">
        <x:v>1</x:v>
      </x:c>
      <x:c r="F2387" s="91" t="n">
        <x:v>2151</x:v>
      </x:c>
    </x:row>
    <x:row r="2388">
      <x:c r="A2388" s="83" t="n">
        <x:v>2387</x:v>
      </x:c>
      <x:c r="B2388" s="84" t="n">
        <x:v>1829</x:v>
      </x:c>
      <x:c r="C2388" s="84" t="n">
        <x:v>65</x:v>
      </x:c>
      <x:c r="D2388" s="89" t="n">
        <x:v>45473</x:v>
      </x:c>
      <x:c r="E2388" s="84" t="n">
        <x:v>2</x:v>
      </x:c>
      <x:c r="F2388" s="91" t="n">
        <x:v>2509.68</x:v>
      </x:c>
    </x:row>
    <x:row r="2389">
      <x:c r="A2389" s="83" t="n">
        <x:v>2388</x:v>
      </x:c>
      <x:c r="B2389" s="84" t="n">
        <x:v>1830</x:v>
      </x:c>
      <x:c r="C2389" s="84" t="n">
        <x:v>73</x:v>
      </x:c>
      <x:c r="D2389" s="89" t="n">
        <x:v>45312</x:v>
      </x:c>
      <x:c r="E2389" s="84" t="n">
        <x:v>4</x:v>
      </x:c>
      <x:c r="F2389" s="91" t="n">
        <x:v>4509.24</x:v>
      </x:c>
    </x:row>
    <x:row r="2390">
      <x:c r="A2390" s="83" t="n">
        <x:v>2389</x:v>
      </x:c>
      <x:c r="B2390" s="84" t="n">
        <x:v>1830</x:v>
      </x:c>
      <x:c r="C2390" s="84" t="n">
        <x:v>36</x:v>
      </x:c>
      <x:c r="D2390" s="89" t="n">
        <x:v>45312</x:v>
      </x:c>
      <x:c r="E2390" s="84" t="n">
        <x:v>3</x:v>
      </x:c>
      <x:c r="F2390" s="91" t="n">
        <x:v>1789.23</x:v>
      </x:c>
    </x:row>
    <x:row r="2391">
      <x:c r="A2391" s="83" t="n">
        <x:v>2390</x:v>
      </x:c>
      <x:c r="B2391" s="84" t="n">
        <x:v>1833</x:v>
      </x:c>
      <x:c r="C2391" s="84" t="n">
        <x:v>68</x:v>
      </x:c>
      <x:c r="D2391" s="89" t="n">
        <x:v>45453</x:v>
      </x:c>
      <x:c r="E2391" s="84" t="n">
        <x:v>4</x:v>
      </x:c>
      <x:c r="F2391" s="91" t="n">
        <x:v>6110.44</x:v>
      </x:c>
    </x:row>
    <x:row r="2392">
      <x:c r="A2392" s="83" t="n">
        <x:v>2391</x:v>
      </x:c>
      <x:c r="B2392" s="84" t="n">
        <x:v>1833</x:v>
      </x:c>
      <x:c r="C2392" s="84" t="n">
        <x:v>52</x:v>
      </x:c>
      <x:c r="D2392" s="89" t="n">
        <x:v>45453</x:v>
      </x:c>
      <x:c r="E2392" s="84" t="n">
        <x:v>1</x:v>
      </x:c>
      <x:c r="F2392" s="91" t="n">
        <x:v>880.63</x:v>
      </x:c>
    </x:row>
    <x:row r="2393">
      <x:c r="A2393" s="83" t="n">
        <x:v>2392</x:v>
      </x:c>
      <x:c r="B2393" s="84" t="n">
        <x:v>1833</x:v>
      </x:c>
      <x:c r="C2393" s="84" t="n">
        <x:v>76</x:v>
      </x:c>
      <x:c r="D2393" s="89" t="n">
        <x:v>45453</x:v>
      </x:c>
      <x:c r="E2393" s="84" t="n">
        <x:v>2</x:v>
      </x:c>
      <x:c r="F2393" s="91" t="n">
        <x:v>1439.62</x:v>
      </x:c>
    </x:row>
    <x:row r="2394">
      <x:c r="A2394" s="83" t="n">
        <x:v>2393</x:v>
      </x:c>
      <x:c r="B2394" s="84" t="n">
        <x:v>1834</x:v>
      </x:c>
      <x:c r="C2394" s="84" t="n">
        <x:v>9</x:v>
      </x:c>
      <x:c r="D2394" s="89" t="n">
        <x:v>45833</x:v>
      </x:c>
      <x:c r="E2394" s="84" t="n">
        <x:v>4</x:v>
      </x:c>
      <x:c r="F2394" s="91" t="n">
        <x:v>6300.24</x:v>
      </x:c>
    </x:row>
    <x:row r="2395">
      <x:c r="A2395" s="83" t="n">
        <x:v>2394</x:v>
      </x:c>
      <x:c r="B2395" s="84" t="n">
        <x:v>1834</x:v>
      </x:c>
      <x:c r="C2395" s="84" t="n">
        <x:v>74</x:v>
      </x:c>
      <x:c r="D2395" s="89" t="n">
        <x:v>45833</x:v>
      </x:c>
      <x:c r="E2395" s="84" t="n">
        <x:v>3</x:v>
      </x:c>
      <x:c r="F2395" s="91" t="n">
        <x:v>4969.05</x:v>
      </x:c>
    </x:row>
    <x:row r="2396">
      <x:c r="A2396" s="83" t="n">
        <x:v>2395</x:v>
      </x:c>
      <x:c r="B2396" s="84" t="n">
        <x:v>1836</x:v>
      </x:c>
      <x:c r="C2396" s="84" t="n">
        <x:v>74</x:v>
      </x:c>
      <x:c r="D2396" s="89" t="n">
        <x:v>45902</x:v>
      </x:c>
      <x:c r="E2396" s="84" t="n">
        <x:v>2</x:v>
      </x:c>
      <x:c r="F2396" s="91" t="n">
        <x:v>3312.7</x:v>
      </x:c>
    </x:row>
    <x:row r="2397">
      <x:c r="A2397" s="83" t="n">
        <x:v>2396</x:v>
      </x:c>
      <x:c r="B2397" s="84" t="n">
        <x:v>1837</x:v>
      </x:c>
      <x:c r="C2397" s="84" t="n">
        <x:v>5</x:v>
      </x:c>
      <x:c r="D2397" s="89" t="n">
        <x:v>45011</x:v>
      </x:c>
      <x:c r="E2397" s="84" t="n">
        <x:v>2</x:v>
      </x:c>
      <x:c r="F2397" s="91" t="n">
        <x:v>2937</x:v>
      </x:c>
    </x:row>
    <x:row r="2398">
      <x:c r="A2398" s="83" t="n">
        <x:v>2397</x:v>
      </x:c>
      <x:c r="B2398" s="84" t="n">
        <x:v>1837</x:v>
      </x:c>
      <x:c r="C2398" s="84" t="n">
        <x:v>76</x:v>
      </x:c>
      <x:c r="D2398" s="89" t="n">
        <x:v>45011</x:v>
      </x:c>
      <x:c r="E2398" s="84" t="n">
        <x:v>1</x:v>
      </x:c>
      <x:c r="F2398" s="91" t="n">
        <x:v>719.81</x:v>
      </x:c>
    </x:row>
    <x:row r="2399">
      <x:c r="A2399" s="83" t="n">
        <x:v>2398</x:v>
      </x:c>
      <x:c r="B2399" s="84" t="n">
        <x:v>1837</x:v>
      </x:c>
      <x:c r="C2399" s="84" t="n">
        <x:v>33</x:v>
      </x:c>
      <x:c r="D2399" s="89" t="n">
        <x:v>45011</x:v>
      </x:c>
      <x:c r="E2399" s="84" t="n">
        <x:v>3</x:v>
      </x:c>
      <x:c r="F2399" s="91" t="n">
        <x:v>7040.76</x:v>
      </x:c>
    </x:row>
    <x:row r="2400">
      <x:c r="A2400" s="83" t="n">
        <x:v>2399</x:v>
      </x:c>
      <x:c r="B2400" s="84" t="n">
        <x:v>1838</x:v>
      </x:c>
      <x:c r="C2400" s="84" t="n">
        <x:v>8</x:v>
      </x:c>
      <x:c r="D2400" s="89" t="n">
        <x:v>45330</x:v>
      </x:c>
      <x:c r="E2400" s="84" t="n">
        <x:v>3</x:v>
      </x:c>
      <x:c r="F2400" s="91" t="n">
        <x:v>4998.57</x:v>
      </x:c>
    </x:row>
    <x:row r="2401">
      <x:c r="A2401" s="83" t="n">
        <x:v>2400</x:v>
      </x:c>
      <x:c r="B2401" s="84" t="n">
        <x:v>1838</x:v>
      </x:c>
      <x:c r="C2401" s="84" t="n">
        <x:v>53</x:v>
      </x:c>
      <x:c r="D2401" s="89" t="n">
        <x:v>45330</x:v>
      </x:c>
      <x:c r="E2401" s="84" t="n">
        <x:v>2</x:v>
      </x:c>
      <x:c r="F2401" s="91" t="n">
        <x:v>3181.84</x:v>
      </x:c>
    </x:row>
    <x:row r="2402">
      <x:c r="A2402" s="83" t="n">
        <x:v>2401</x:v>
      </x:c>
      <x:c r="B2402" s="84" t="n">
        <x:v>1839</x:v>
      </x:c>
      <x:c r="C2402" s="84" t="n">
        <x:v>62</x:v>
      </x:c>
      <x:c r="D2402" s="89" t="n">
        <x:v>45908</x:v>
      </x:c>
      <x:c r="E2402" s="84" t="n">
        <x:v>4</x:v>
      </x:c>
      <x:c r="F2402" s="91" t="n">
        <x:v>6069.24</x:v>
      </x:c>
    </x:row>
    <x:row r="2403">
      <x:c r="A2403" s="83" t="n">
        <x:v>2402</x:v>
      </x:c>
      <x:c r="B2403" s="84" t="n">
        <x:v>1840</x:v>
      </x:c>
      <x:c r="C2403" s="84" t="n">
        <x:v>79</x:v>
      </x:c>
      <x:c r="D2403" s="89" t="n">
        <x:v>45522</x:v>
      </x:c>
      <x:c r="E2403" s="84" t="n">
        <x:v>1</x:v>
      </x:c>
      <x:c r="F2403" s="91" t="n">
        <x:v>2066.72</x:v>
      </x:c>
    </x:row>
    <x:row r="2404">
      <x:c r="A2404" s="83" t="n">
        <x:v>2403</x:v>
      </x:c>
      <x:c r="B2404" s="84" t="n">
        <x:v>1840</x:v>
      </x:c>
      <x:c r="C2404" s="84" t="n">
        <x:v>49</x:v>
      </x:c>
      <x:c r="D2404" s="89" t="n">
        <x:v>45522</x:v>
      </x:c>
      <x:c r="E2404" s="84" t="n">
        <x:v>1</x:v>
      </x:c>
      <x:c r="F2404" s="91" t="n">
        <x:v>184.16</x:v>
      </x:c>
    </x:row>
    <x:row r="2405">
      <x:c r="A2405" s="83" t="n">
        <x:v>2404</x:v>
      </x:c>
      <x:c r="B2405" s="84" t="n">
        <x:v>1840</x:v>
      </x:c>
      <x:c r="C2405" s="84" t="n">
        <x:v>28</x:v>
      </x:c>
      <x:c r="D2405" s="89" t="n">
        <x:v>45522</x:v>
      </x:c>
      <x:c r="E2405" s="84" t="n">
        <x:v>3</x:v>
      </x:c>
      <x:c r="F2405" s="91" t="n">
        <x:v>2461.41</x:v>
      </x:c>
    </x:row>
    <x:row r="2406">
      <x:c r="A2406" s="83" t="n">
        <x:v>2405</x:v>
      </x:c>
      <x:c r="B2406" s="84" t="n">
        <x:v>1841</x:v>
      </x:c>
      <x:c r="C2406" s="84" t="n">
        <x:v>43</x:v>
      </x:c>
      <x:c r="D2406" s="89" t="n">
        <x:v>45957</x:v>
      </x:c>
      <x:c r="E2406" s="84" t="n">
        <x:v>2</x:v>
      </x:c>
      <x:c r="F2406" s="91" t="n">
        <x:v>2930.84</x:v>
      </x:c>
    </x:row>
    <x:row r="2407">
      <x:c r="A2407" s="83" t="n">
        <x:v>2406</x:v>
      </x:c>
      <x:c r="B2407" s="84" t="n">
        <x:v>1843</x:v>
      </x:c>
      <x:c r="C2407" s="84" t="n">
        <x:v>24</x:v>
      </x:c>
      <x:c r="D2407" s="89" t="n">
        <x:v>45594</x:v>
      </x:c>
      <x:c r="E2407" s="84" t="n">
        <x:v>1</x:v>
      </x:c>
      <x:c r="F2407" s="91" t="n">
        <x:v>740.91</x:v>
      </x:c>
    </x:row>
    <x:row r="2408">
      <x:c r="A2408" s="83" t="n">
        <x:v>2407</x:v>
      </x:c>
      <x:c r="B2408" s="84" t="n">
        <x:v>1843</x:v>
      </x:c>
      <x:c r="C2408" s="84" t="n">
        <x:v>28</x:v>
      </x:c>
      <x:c r="D2408" s="89" t="n">
        <x:v>45594</x:v>
      </x:c>
      <x:c r="E2408" s="84" t="n">
        <x:v>1</x:v>
      </x:c>
      <x:c r="F2408" s="91" t="n">
        <x:v>820.47</x:v>
      </x:c>
    </x:row>
    <x:row r="2409">
      <x:c r="A2409" s="83" t="n">
        <x:v>2408</x:v>
      </x:c>
      <x:c r="B2409" s="84" t="n">
        <x:v>1843</x:v>
      </x:c>
      <x:c r="C2409" s="84" t="n">
        <x:v>57</x:v>
      </x:c>
      <x:c r="D2409" s="89" t="n">
        <x:v>45594</x:v>
      </x:c>
      <x:c r="E2409" s="84" t="n">
        <x:v>3</x:v>
      </x:c>
      <x:c r="F2409" s="91" t="n">
        <x:v>3537.18</x:v>
      </x:c>
    </x:row>
    <x:row r="2410">
      <x:c r="A2410" s="83" t="n">
        <x:v>2409</x:v>
      </x:c>
      <x:c r="B2410" s="84" t="n">
        <x:v>1845</x:v>
      </x:c>
      <x:c r="C2410" s="84" t="n">
        <x:v>37</x:v>
      </x:c>
      <x:c r="D2410" s="89" t="n">
        <x:v>45782</x:v>
      </x:c>
      <x:c r="E2410" s="84" t="n">
        <x:v>4</x:v>
      </x:c>
      <x:c r="F2410" s="91" t="n">
        <x:v>4134.84</x:v>
      </x:c>
    </x:row>
    <x:row r="2411">
      <x:c r="A2411" s="83" t="n">
        <x:v>2410</x:v>
      </x:c>
      <x:c r="B2411" s="84" t="n">
        <x:v>1845</x:v>
      </x:c>
      <x:c r="C2411" s="84" t="n">
        <x:v>25</x:v>
      </x:c>
      <x:c r="D2411" s="89" t="n">
        <x:v>45782</x:v>
      </x:c>
      <x:c r="E2411" s="84" t="n">
        <x:v>2</x:v>
      </x:c>
      <x:c r="F2411" s="91" t="n">
        <x:v>2158.9</x:v>
      </x:c>
    </x:row>
    <x:row r="2412">
      <x:c r="A2412" s="83" t="n">
        <x:v>2411</x:v>
      </x:c>
      <x:c r="B2412" s="84" t="n">
        <x:v>1845</x:v>
      </x:c>
      <x:c r="C2412" s="84" t="n">
        <x:v>71</x:v>
      </x:c>
      <x:c r="D2412" s="89" t="n">
        <x:v>45782</x:v>
      </x:c>
      <x:c r="E2412" s="84" t="n">
        <x:v>2</x:v>
      </x:c>
      <x:c r="F2412" s="91" t="n">
        <x:v>3967.04</x:v>
      </x:c>
    </x:row>
    <x:row r="2413">
      <x:c r="A2413" s="83" t="n">
        <x:v>2412</x:v>
      </x:c>
      <x:c r="B2413" s="84" t="n">
        <x:v>1847</x:v>
      </x:c>
      <x:c r="C2413" s="84" t="n">
        <x:v>49</x:v>
      </x:c>
      <x:c r="D2413" s="89" t="n">
        <x:v>45505</x:v>
      </x:c>
      <x:c r="E2413" s="84" t="n">
        <x:v>1</x:v>
      </x:c>
      <x:c r="F2413" s="91" t="n">
        <x:v>184.16</x:v>
      </x:c>
    </x:row>
    <x:row r="2414">
      <x:c r="A2414" s="83" t="n">
        <x:v>2413</x:v>
      </x:c>
      <x:c r="B2414" s="84" t="n">
        <x:v>1847</x:v>
      </x:c>
      <x:c r="C2414" s="84" t="n">
        <x:v>66</x:v>
      </x:c>
      <x:c r="D2414" s="89" t="n">
        <x:v>45505</x:v>
      </x:c>
      <x:c r="E2414" s="84" t="n">
        <x:v>2</x:v>
      </x:c>
      <x:c r="F2414" s="91" t="n">
        <x:v>3824.9</x:v>
      </x:c>
    </x:row>
    <x:row r="2415">
      <x:c r="A2415" s="83" t="n">
        <x:v>2414</x:v>
      </x:c>
      <x:c r="B2415" s="84" t="n">
        <x:v>1848</x:v>
      </x:c>
      <x:c r="C2415" s="84" t="n">
        <x:v>76</x:v>
      </x:c>
      <x:c r="D2415" s="89" t="n">
        <x:v>45946</x:v>
      </x:c>
      <x:c r="E2415" s="84" t="n">
        <x:v>3</x:v>
      </x:c>
      <x:c r="F2415" s="91" t="n">
        <x:v>2159.43</x:v>
      </x:c>
    </x:row>
    <x:row r="2416">
      <x:c r="A2416" s="83" t="n">
        <x:v>2415</x:v>
      </x:c>
      <x:c r="B2416" s="84" t="n">
        <x:v>1848</x:v>
      </x:c>
      <x:c r="C2416" s="84" t="n">
        <x:v>42</x:v>
      </x:c>
      <x:c r="D2416" s="89" t="n">
        <x:v>45946</x:v>
      </x:c>
      <x:c r="E2416" s="84" t="n">
        <x:v>4</x:v>
      </x:c>
      <x:c r="F2416" s="91" t="n">
        <x:v>8686.96</x:v>
      </x:c>
    </x:row>
    <x:row r="2417">
      <x:c r="A2417" s="83" t="n">
        <x:v>2416</x:v>
      </x:c>
      <x:c r="B2417" s="84" t="n">
        <x:v>1848</x:v>
      </x:c>
      <x:c r="C2417" s="84" t="n">
        <x:v>28</x:v>
      </x:c>
      <x:c r="D2417" s="89" t="n">
        <x:v>45946</x:v>
      </x:c>
      <x:c r="E2417" s="84" t="n">
        <x:v>2</x:v>
      </x:c>
      <x:c r="F2417" s="91" t="n">
        <x:v>1640.94</x:v>
      </x:c>
    </x:row>
    <x:row r="2418">
      <x:c r="A2418" s="83" t="n">
        <x:v>2417</x:v>
      </x:c>
      <x:c r="B2418" s="84" t="n">
        <x:v>1849</x:v>
      </x:c>
      <x:c r="C2418" s="84" t="n">
        <x:v>79</x:v>
      </x:c>
      <x:c r="D2418" s="89" t="n">
        <x:v>45693</x:v>
      </x:c>
      <x:c r="E2418" s="84" t="n">
        <x:v>3</x:v>
      </x:c>
      <x:c r="F2418" s="91" t="n">
        <x:v>6200.16</x:v>
      </x:c>
    </x:row>
    <x:row r="2419">
      <x:c r="A2419" s="83" t="n">
        <x:v>2418</x:v>
      </x:c>
      <x:c r="B2419" s="84" t="n">
        <x:v>1851</x:v>
      </x:c>
      <x:c r="C2419" s="84" t="n">
        <x:v>57</x:v>
      </x:c>
      <x:c r="D2419" s="89" t="n">
        <x:v>45747</x:v>
      </x:c>
      <x:c r="E2419" s="84" t="n">
        <x:v>2</x:v>
      </x:c>
      <x:c r="F2419" s="91" t="n">
        <x:v>2358.12</x:v>
      </x:c>
    </x:row>
    <x:row r="2420">
      <x:c r="A2420" s="83" t="n">
        <x:v>2419</x:v>
      </x:c>
      <x:c r="B2420" s="84" t="n">
        <x:v>1851</x:v>
      </x:c>
      <x:c r="C2420" s="84" t="n">
        <x:v>72</x:v>
      </x:c>
      <x:c r="D2420" s="89" t="n">
        <x:v>45747</x:v>
      </x:c>
      <x:c r="E2420" s="84" t="n">
        <x:v>1</x:v>
      </x:c>
      <x:c r="F2420" s="91" t="n">
        <x:v>450.83</x:v>
      </x:c>
    </x:row>
    <x:row r="2421">
      <x:c r="A2421" s="83" t="n">
        <x:v>2420</x:v>
      </x:c>
      <x:c r="B2421" s="84" t="n">
        <x:v>1852</x:v>
      </x:c>
      <x:c r="C2421" s="84" t="n">
        <x:v>67</x:v>
      </x:c>
      <x:c r="D2421" s="89" t="n">
        <x:v>45380</x:v>
      </x:c>
      <x:c r="E2421" s="84" t="n">
        <x:v>1</x:v>
      </x:c>
      <x:c r="F2421" s="91" t="n">
        <x:v>1279.53</x:v>
      </x:c>
    </x:row>
    <x:row r="2422">
      <x:c r="A2422" s="83" t="n">
        <x:v>2421</x:v>
      </x:c>
      <x:c r="B2422" s="84" t="n">
        <x:v>1852</x:v>
      </x:c>
      <x:c r="C2422" s="84" t="n">
        <x:v>72</x:v>
      </x:c>
      <x:c r="D2422" s="89" t="n">
        <x:v>45380</x:v>
      </x:c>
      <x:c r="E2422" s="84" t="n">
        <x:v>3</x:v>
      </x:c>
      <x:c r="F2422" s="91" t="n">
        <x:v>1352.49</x:v>
      </x:c>
    </x:row>
    <x:row r="2423">
      <x:c r="A2423" s="83" t="n">
        <x:v>2422</x:v>
      </x:c>
      <x:c r="B2423" s="84" t="n">
        <x:v>1852</x:v>
      </x:c>
      <x:c r="C2423" s="84" t="n">
        <x:v>45</x:v>
      </x:c>
      <x:c r="D2423" s="89" t="n">
        <x:v>45380</x:v>
      </x:c>
      <x:c r="E2423" s="84" t="n">
        <x:v>1</x:v>
      </x:c>
      <x:c r="F2423" s="91" t="n">
        <x:v>1391.42</x:v>
      </x:c>
    </x:row>
    <x:row r="2424">
      <x:c r="A2424" s="83" t="n">
        <x:v>2423</x:v>
      </x:c>
      <x:c r="B2424" s="84" t="n">
        <x:v>1853</x:v>
      </x:c>
      <x:c r="C2424" s="84" t="n">
        <x:v>17</x:v>
      </x:c>
      <x:c r="D2424" s="89" t="n">
        <x:v>45718</x:v>
      </x:c>
      <x:c r="E2424" s="84" t="n">
        <x:v>2</x:v>
      </x:c>
      <x:c r="F2424" s="91" t="n">
        <x:v>4712.84</x:v>
      </x:c>
    </x:row>
    <x:row r="2425">
      <x:c r="A2425" s="83" t="n">
        <x:v>2424</x:v>
      </x:c>
      <x:c r="B2425" s="84" t="n">
        <x:v>1853</x:v>
      </x:c>
      <x:c r="C2425" s="84" t="n">
        <x:v>32</x:v>
      </x:c>
      <x:c r="D2425" s="89" t="n">
        <x:v>45718</x:v>
      </x:c>
      <x:c r="E2425" s="84" t="n">
        <x:v>3</x:v>
      </x:c>
      <x:c r="F2425" s="91" t="n">
        <x:v>5439.75</x:v>
      </x:c>
    </x:row>
    <x:row r="2426">
      <x:c r="A2426" s="83" t="n">
        <x:v>2425</x:v>
      </x:c>
      <x:c r="B2426" s="84" t="n">
        <x:v>1857</x:v>
      </x:c>
      <x:c r="C2426" s="84" t="n">
        <x:v>72</x:v>
      </x:c>
      <x:c r="D2426" s="89" t="n">
        <x:v>45639</x:v>
      </x:c>
      <x:c r="E2426" s="84" t="n">
        <x:v>4</x:v>
      </x:c>
      <x:c r="F2426" s="91" t="n">
        <x:v>1803.32</x:v>
      </x:c>
    </x:row>
    <x:row r="2427">
      <x:c r="A2427" s="83" t="n">
        <x:v>2426</x:v>
      </x:c>
      <x:c r="B2427" s="84" t="n">
        <x:v>1857</x:v>
      </x:c>
      <x:c r="C2427" s="84" t="n">
        <x:v>72</x:v>
      </x:c>
      <x:c r="D2427" s="89" t="n">
        <x:v>45639</x:v>
      </x:c>
      <x:c r="E2427" s="84" t="n">
        <x:v>2</x:v>
      </x:c>
      <x:c r="F2427" s="91" t="n">
        <x:v>901.66</x:v>
      </x:c>
    </x:row>
    <x:row r="2428">
      <x:c r="A2428" s="83" t="n">
        <x:v>2427</x:v>
      </x:c>
      <x:c r="B2428" s="84" t="n">
        <x:v>1859</x:v>
      </x:c>
      <x:c r="C2428" s="84" t="n">
        <x:v>50</x:v>
      </x:c>
      <x:c r="D2428" s="89" t="n">
        <x:v>45999</x:v>
      </x:c>
      <x:c r="E2428" s="84" t="n">
        <x:v>4</x:v>
      </x:c>
      <x:c r="F2428" s="91" t="n">
        <x:v>8943.8</x:v>
      </x:c>
    </x:row>
    <x:row r="2429">
      <x:c r="A2429" s="83" t="n">
        <x:v>2428</x:v>
      </x:c>
      <x:c r="B2429" s="84" t="n">
        <x:v>1860</x:v>
      </x:c>
      <x:c r="C2429" s="84" t="n">
        <x:v>72</x:v>
      </x:c>
      <x:c r="D2429" s="89" t="n">
        <x:v>45066</x:v>
      </x:c>
      <x:c r="E2429" s="84" t="n">
        <x:v>4</x:v>
      </x:c>
      <x:c r="F2429" s="91" t="n">
        <x:v>1803.32</x:v>
      </x:c>
    </x:row>
    <x:row r="2430">
      <x:c r="A2430" s="83" t="n">
        <x:v>2429</x:v>
      </x:c>
      <x:c r="B2430" s="84" t="n">
        <x:v>1860</x:v>
      </x:c>
      <x:c r="C2430" s="84" t="n">
        <x:v>12</x:v>
      </x:c>
      <x:c r="D2430" s="89" t="n">
        <x:v>45066</x:v>
      </x:c>
      <x:c r="E2430" s="84" t="n">
        <x:v>4</x:v>
      </x:c>
      <x:c r="F2430" s="91" t="n">
        <x:v>1137.96</x:v>
      </x:c>
    </x:row>
    <x:row r="2431">
      <x:c r="A2431" s="83" t="n">
        <x:v>2430</x:v>
      </x:c>
      <x:c r="B2431" s="84" t="n">
        <x:v>1860</x:v>
      </x:c>
      <x:c r="C2431" s="84" t="n">
        <x:v>18</x:v>
      </x:c>
      <x:c r="D2431" s="89" t="n">
        <x:v>45066</x:v>
      </x:c>
      <x:c r="E2431" s="84" t="n">
        <x:v>1</x:v>
      </x:c>
      <x:c r="F2431" s="91" t="n">
        <x:v>666.16</x:v>
      </x:c>
    </x:row>
    <x:row r="2432">
      <x:c r="A2432" s="83" t="n">
        <x:v>2431</x:v>
      </x:c>
      <x:c r="B2432" s="84" t="n">
        <x:v>1861</x:v>
      </x:c>
      <x:c r="C2432" s="84" t="n">
        <x:v>5</x:v>
      </x:c>
      <x:c r="D2432" s="89" t="n">
        <x:v>45010</x:v>
      </x:c>
      <x:c r="E2432" s="84" t="n">
        <x:v>3</x:v>
      </x:c>
      <x:c r="F2432" s="91" t="n">
        <x:v>4405.5</x:v>
      </x:c>
    </x:row>
    <x:row r="2433">
      <x:c r="A2433" s="83" t="n">
        <x:v>2432</x:v>
      </x:c>
      <x:c r="B2433" s="84" t="n">
        <x:v>1861</x:v>
      </x:c>
      <x:c r="C2433" s="84" t="n">
        <x:v>79</x:v>
      </x:c>
      <x:c r="D2433" s="89" t="n">
        <x:v>45010</x:v>
      </x:c>
      <x:c r="E2433" s="84" t="n">
        <x:v>1</x:v>
      </x:c>
      <x:c r="F2433" s="91" t="n">
        <x:v>2066.72</x:v>
      </x:c>
    </x:row>
    <x:row r="2434">
      <x:c r="A2434" s="83" t="n">
        <x:v>2433</x:v>
      </x:c>
      <x:c r="B2434" s="84" t="n">
        <x:v>1861</x:v>
      </x:c>
      <x:c r="C2434" s="84" t="n">
        <x:v>44</x:v>
      </x:c>
      <x:c r="D2434" s="89" t="n">
        <x:v>45010</x:v>
      </x:c>
      <x:c r="E2434" s="84" t="n">
        <x:v>2</x:v>
      </x:c>
      <x:c r="F2434" s="91" t="n">
        <x:v>2502.96</x:v>
      </x:c>
    </x:row>
    <x:row r="2435">
      <x:c r="A2435" s="83" t="n">
        <x:v>2434</x:v>
      </x:c>
      <x:c r="B2435" s="84" t="n">
        <x:v>1862</x:v>
      </x:c>
      <x:c r="C2435" s="84" t="n">
        <x:v>70</x:v>
      </x:c>
      <x:c r="D2435" s="89" t="n">
        <x:v>45964</x:v>
      </x:c>
      <x:c r="E2435" s="84" t="n">
        <x:v>1</x:v>
      </x:c>
      <x:c r="F2435" s="91" t="n">
        <x:v>769.54</x:v>
      </x:c>
    </x:row>
    <x:row r="2436">
      <x:c r="A2436" s="83" t="n">
        <x:v>2435</x:v>
      </x:c>
      <x:c r="B2436" s="84" t="n">
        <x:v>1863</x:v>
      </x:c>
      <x:c r="C2436" s="84" t="n">
        <x:v>11</x:v>
      </x:c>
      <x:c r="D2436" s="89" t="n">
        <x:v>45859</x:v>
      </x:c>
      <x:c r="E2436" s="84" t="n">
        <x:v>2</x:v>
      </x:c>
      <x:c r="F2436" s="91" t="n">
        <x:v>4422.52</x:v>
      </x:c>
    </x:row>
    <x:row r="2437">
      <x:c r="A2437" s="83" t="n">
        <x:v>2436</x:v>
      </x:c>
      <x:c r="B2437" s="84" t="n">
        <x:v>1863</x:v>
      </x:c>
      <x:c r="C2437" s="84" t="n">
        <x:v>24</x:v>
      </x:c>
      <x:c r="D2437" s="89" t="n">
        <x:v>45859</x:v>
      </x:c>
      <x:c r="E2437" s="84" t="n">
        <x:v>4</x:v>
      </x:c>
      <x:c r="F2437" s="91" t="n">
        <x:v>2963.64</x:v>
      </x:c>
    </x:row>
    <x:row r="2438">
      <x:c r="A2438" s="83" t="n">
        <x:v>2437</x:v>
      </x:c>
      <x:c r="B2438" s="84" t="n">
        <x:v>1865</x:v>
      </x:c>
      <x:c r="C2438" s="84" t="n">
        <x:v>80</x:v>
      </x:c>
      <x:c r="D2438" s="89" t="n">
        <x:v>45790</x:v>
      </x:c>
      <x:c r="E2438" s="84" t="n">
        <x:v>3</x:v>
      </x:c>
      <x:c r="F2438" s="91" t="n">
        <x:v>5185.62</x:v>
      </x:c>
    </x:row>
    <x:row r="2439">
      <x:c r="A2439" s="83" t="n">
        <x:v>2438</x:v>
      </x:c>
      <x:c r="B2439" s="84" t="n">
        <x:v>1865</x:v>
      </x:c>
      <x:c r="C2439" s="84" t="n">
        <x:v>58</x:v>
      </x:c>
      <x:c r="D2439" s="89" t="n">
        <x:v>45790</x:v>
      </x:c>
      <x:c r="E2439" s="84" t="n">
        <x:v>3</x:v>
      </x:c>
      <x:c r="F2439" s="91" t="n">
        <x:v>6054.54</x:v>
      </x:c>
    </x:row>
    <x:row r="2440">
      <x:c r="A2440" s="83" t="n">
        <x:v>2439</x:v>
      </x:c>
      <x:c r="B2440" s="84" t="n">
        <x:v>1866</x:v>
      </x:c>
      <x:c r="C2440" s="84" t="n">
        <x:v>64</x:v>
      </x:c>
      <x:c r="D2440" s="89" t="n">
        <x:v>45037</x:v>
      </x:c>
      <x:c r="E2440" s="84" t="n">
        <x:v>2</x:v>
      </x:c>
      <x:c r="F2440" s="91" t="n">
        <x:v>2930.84</x:v>
      </x:c>
    </x:row>
    <x:row r="2441">
      <x:c r="A2441" s="83" t="n">
        <x:v>2440</x:v>
      </x:c>
      <x:c r="B2441" s="84" t="n">
        <x:v>1867</x:v>
      </x:c>
      <x:c r="C2441" s="84" t="n">
        <x:v>4</x:v>
      </x:c>
      <x:c r="D2441" s="89" t="n">
        <x:v>45299</x:v>
      </x:c>
      <x:c r="E2441" s="84" t="n">
        <x:v>2</x:v>
      </x:c>
      <x:c r="F2441" s="91" t="n">
        <x:v>3050.62</x:v>
      </x:c>
    </x:row>
    <x:row r="2442">
      <x:c r="A2442" s="83" t="n">
        <x:v>2441</x:v>
      </x:c>
      <x:c r="B2442" s="84" t="n">
        <x:v>1868</x:v>
      </x:c>
      <x:c r="C2442" s="84" t="n">
        <x:v>59</x:v>
      </x:c>
      <x:c r="D2442" s="89" t="n">
        <x:v>45920</x:v>
      </x:c>
      <x:c r="E2442" s="84" t="n">
        <x:v>3</x:v>
      </x:c>
      <x:c r="F2442" s="91" t="n">
        <x:v>4549.35</x:v>
      </x:c>
    </x:row>
    <x:row r="2443">
      <x:c r="A2443" s="83" t="n">
        <x:v>2442</x:v>
      </x:c>
      <x:c r="B2443" s="84" t="n">
        <x:v>1869</x:v>
      </x:c>
      <x:c r="C2443" s="84" t="n">
        <x:v>47</x:v>
      </x:c>
      <x:c r="D2443" s="89" t="n">
        <x:v>45888</x:v>
      </x:c>
      <x:c r="E2443" s="84" t="n">
        <x:v>1</x:v>
      </x:c>
      <x:c r="F2443" s="91" t="n">
        <x:v>2175.62</x:v>
      </x:c>
    </x:row>
    <x:row r="2444">
      <x:c r="A2444" s="83" t="n">
        <x:v>2443</x:v>
      </x:c>
      <x:c r="B2444" s="84" t="n">
        <x:v>1869</x:v>
      </x:c>
      <x:c r="C2444" s="84" t="n">
        <x:v>22</x:v>
      </x:c>
      <x:c r="D2444" s="89" t="n">
        <x:v>45888</x:v>
      </x:c>
      <x:c r="E2444" s="84" t="n">
        <x:v>2</x:v>
      </x:c>
      <x:c r="F2444" s="91" t="n">
        <x:v>1043.78</x:v>
      </x:c>
    </x:row>
    <x:row r="2445">
      <x:c r="A2445" s="83" t="n">
        <x:v>2444</x:v>
      </x:c>
      <x:c r="B2445" s="84" t="n">
        <x:v>1870</x:v>
      </x:c>
      <x:c r="C2445" s="84" t="n">
        <x:v>66</x:v>
      </x:c>
      <x:c r="D2445" s="89" t="n">
        <x:v>45344</x:v>
      </x:c>
      <x:c r="E2445" s="84" t="n">
        <x:v>4</x:v>
      </x:c>
      <x:c r="F2445" s="91" t="n">
        <x:v>7649.8</x:v>
      </x:c>
    </x:row>
    <x:row r="2446">
      <x:c r="A2446" s="83" t="n">
        <x:v>2445</x:v>
      </x:c>
      <x:c r="B2446" s="84" t="n">
        <x:v>1870</x:v>
      </x:c>
      <x:c r="C2446" s="84" t="n">
        <x:v>44</x:v>
      </x:c>
      <x:c r="D2446" s="89" t="n">
        <x:v>45344</x:v>
      </x:c>
      <x:c r="E2446" s="84" t="n">
        <x:v>4</x:v>
      </x:c>
      <x:c r="F2446" s="91" t="n">
        <x:v>5005.92</x:v>
      </x:c>
    </x:row>
    <x:row r="2447">
      <x:c r="A2447" s="83" t="n">
        <x:v>2446</x:v>
      </x:c>
      <x:c r="B2447" s="84" t="n">
        <x:v>1870</x:v>
      </x:c>
      <x:c r="C2447" s="84" t="n">
        <x:v>72</x:v>
      </x:c>
      <x:c r="D2447" s="89" t="n">
        <x:v>45344</x:v>
      </x:c>
      <x:c r="E2447" s="84" t="n">
        <x:v>2</x:v>
      </x:c>
      <x:c r="F2447" s="91" t="n">
        <x:v>901.66</x:v>
      </x:c>
    </x:row>
    <x:row r="2448">
      <x:c r="A2448" s="83" t="n">
        <x:v>2447</x:v>
      </x:c>
      <x:c r="B2448" s="84" t="n">
        <x:v>1871</x:v>
      </x:c>
      <x:c r="C2448" s="84" t="n">
        <x:v>37</x:v>
      </x:c>
      <x:c r="D2448" s="89" t="n">
        <x:v>45028</x:v>
      </x:c>
      <x:c r="E2448" s="84" t="n">
        <x:v>2</x:v>
      </x:c>
      <x:c r="F2448" s="91" t="n">
        <x:v>2067.42</x:v>
      </x:c>
    </x:row>
    <x:row r="2449">
      <x:c r="A2449" s="83" t="n">
        <x:v>2448</x:v>
      </x:c>
      <x:c r="B2449" s="84" t="n">
        <x:v>1871</x:v>
      </x:c>
      <x:c r="C2449" s="84" t="n">
        <x:v>49</x:v>
      </x:c>
      <x:c r="D2449" s="89" t="n">
        <x:v>45028</x:v>
      </x:c>
      <x:c r="E2449" s="84" t="n">
        <x:v>4</x:v>
      </x:c>
      <x:c r="F2449" s="91" t="n">
        <x:v>736.64</x:v>
      </x:c>
    </x:row>
    <x:row r="2450">
      <x:c r="A2450" s="83" t="n">
        <x:v>2449</x:v>
      </x:c>
      <x:c r="B2450" s="84" t="n">
        <x:v>1873</x:v>
      </x:c>
      <x:c r="C2450" s="84" t="n">
        <x:v>48</x:v>
      </x:c>
      <x:c r="D2450" s="89" t="n">
        <x:v>45549</x:v>
      </x:c>
      <x:c r="E2450" s="84" t="n">
        <x:v>1</x:v>
      </x:c>
      <x:c r="F2450" s="91" t="n">
        <x:v>1161.45</x:v>
      </x:c>
    </x:row>
    <x:row r="2451">
      <x:c r="A2451" s="83" t="n">
        <x:v>2450</x:v>
      </x:c>
      <x:c r="B2451" s="84" t="n">
        <x:v>1874</x:v>
      </x:c>
      <x:c r="C2451" s="84" t="n">
        <x:v>63</x:v>
      </x:c>
      <x:c r="D2451" s="89" t="n">
        <x:v>45088</x:v>
      </x:c>
      <x:c r="E2451" s="84" t="n">
        <x:v>3</x:v>
      </x:c>
      <x:c r="F2451" s="91" t="n">
        <x:v>5802.57</x:v>
      </x:c>
    </x:row>
    <x:row r="2452">
      <x:c r="A2452" s="83" t="n">
        <x:v>2451</x:v>
      </x:c>
      <x:c r="B2452" s="84" t="n">
        <x:v>1874</x:v>
      </x:c>
      <x:c r="C2452" s="84" t="n">
        <x:v>30</x:v>
      </x:c>
      <x:c r="D2452" s="89" t="n">
        <x:v>45088</x:v>
      </x:c>
      <x:c r="E2452" s="84" t="n">
        <x:v>4</x:v>
      </x:c>
      <x:c r="F2452" s="91" t="n">
        <x:v>5115.04</x:v>
      </x:c>
    </x:row>
    <x:row r="2453">
      <x:c r="A2453" s="83" t="n">
        <x:v>2452</x:v>
      </x:c>
      <x:c r="B2453" s="84" t="n">
        <x:v>1877</x:v>
      </x:c>
      <x:c r="C2453" s="84" t="n">
        <x:v>18</x:v>
      </x:c>
      <x:c r="D2453" s="89" t="n">
        <x:v>45510</x:v>
      </x:c>
      <x:c r="E2453" s="84" t="n">
        <x:v>1</x:v>
      </x:c>
      <x:c r="F2453" s="91" t="n">
        <x:v>666.16</x:v>
      </x:c>
    </x:row>
    <x:row r="2454">
      <x:c r="A2454" s="83" t="n">
        <x:v>2453</x:v>
      </x:c>
      <x:c r="B2454" s="84" t="n">
        <x:v>1877</x:v>
      </x:c>
      <x:c r="C2454" s="84" t="n">
        <x:v>11</x:v>
      </x:c>
      <x:c r="D2454" s="89" t="n">
        <x:v>45510</x:v>
      </x:c>
      <x:c r="E2454" s="84" t="n">
        <x:v>3</x:v>
      </x:c>
      <x:c r="F2454" s="91" t="n">
        <x:v>6633.78</x:v>
      </x:c>
    </x:row>
    <x:row r="2455">
      <x:c r="A2455" s="83" t="n">
        <x:v>2454</x:v>
      </x:c>
      <x:c r="B2455" s="84" t="n">
        <x:v>1877</x:v>
      </x:c>
      <x:c r="C2455" s="84" t="n">
        <x:v>77</x:v>
      </x:c>
      <x:c r="D2455" s="89" t="n">
        <x:v>45510</x:v>
      </x:c>
      <x:c r="E2455" s="84" t="n">
        <x:v>4</x:v>
      </x:c>
      <x:c r="F2455" s="91" t="n">
        <x:v>8411.64</x:v>
      </x:c>
    </x:row>
    <x:row r="2456">
      <x:c r="A2456" s="83" t="n">
        <x:v>2455</x:v>
      </x:c>
      <x:c r="B2456" s="84" t="n">
        <x:v>1878</x:v>
      </x:c>
      <x:c r="C2456" s="84" t="n">
        <x:v>8</x:v>
      </x:c>
      <x:c r="D2456" s="89" t="n">
        <x:v>45230</x:v>
      </x:c>
      <x:c r="E2456" s="84" t="n">
        <x:v>1</x:v>
      </x:c>
      <x:c r="F2456" s="91" t="n">
        <x:v>1666.19</x:v>
      </x:c>
    </x:row>
    <x:row r="2457">
      <x:c r="A2457" s="83" t="n">
        <x:v>2456</x:v>
      </x:c>
      <x:c r="B2457" s="84" t="n">
        <x:v>1878</x:v>
      </x:c>
      <x:c r="C2457" s="84" t="n">
        <x:v>72</x:v>
      </x:c>
      <x:c r="D2457" s="89" t="n">
        <x:v>45230</x:v>
      </x:c>
      <x:c r="E2457" s="84" t="n">
        <x:v>4</x:v>
      </x:c>
      <x:c r="F2457" s="91" t="n">
        <x:v>1803.32</x:v>
      </x:c>
    </x:row>
    <x:row r="2458">
      <x:c r="A2458" s="83" t="n">
        <x:v>2457</x:v>
      </x:c>
      <x:c r="B2458" s="84" t="n">
        <x:v>1878</x:v>
      </x:c>
      <x:c r="C2458" s="84" t="n">
        <x:v>53</x:v>
      </x:c>
      <x:c r="D2458" s="89" t="n">
        <x:v>45230</x:v>
      </x:c>
      <x:c r="E2458" s="84" t="n">
        <x:v>1</x:v>
      </x:c>
      <x:c r="F2458" s="91" t="n">
        <x:v>1590.92</x:v>
      </x:c>
    </x:row>
    <x:row r="2459">
      <x:c r="A2459" s="83" t="n">
        <x:v>2458</x:v>
      </x:c>
      <x:c r="B2459" s="84" t="n">
        <x:v>1881</x:v>
      </x:c>
      <x:c r="C2459" s="84" t="n">
        <x:v>3</x:v>
      </x:c>
      <x:c r="D2459" s="89" t="n">
        <x:v>45658</x:v>
      </x:c>
      <x:c r="E2459" s="84" t="n">
        <x:v>4</x:v>
      </x:c>
      <x:c r="F2459" s="91" t="n">
        <x:v>4604.56</x:v>
      </x:c>
    </x:row>
    <x:row r="2460">
      <x:c r="A2460" s="83" t="n">
        <x:v>2459</x:v>
      </x:c>
      <x:c r="B2460" s="84" t="n">
        <x:v>1882</x:v>
      </x:c>
      <x:c r="C2460" s="84" t="n">
        <x:v>9</x:v>
      </x:c>
      <x:c r="D2460" s="89" t="n">
        <x:v>45848</x:v>
      </x:c>
      <x:c r="E2460" s="84" t="n">
        <x:v>1</x:v>
      </x:c>
      <x:c r="F2460" s="91" t="n">
        <x:v>1575.06</x:v>
      </x:c>
    </x:row>
    <x:row r="2461">
      <x:c r="A2461" s="83" t="n">
        <x:v>2460</x:v>
      </x:c>
      <x:c r="B2461" s="84" t="n">
        <x:v>1882</x:v>
      </x:c>
      <x:c r="C2461" s="84" t="n">
        <x:v>13</x:v>
      </x:c>
      <x:c r="D2461" s="89" t="n">
        <x:v>45848</x:v>
      </x:c>
      <x:c r="E2461" s="84" t="n">
        <x:v>1</x:v>
      </x:c>
      <x:c r="F2461" s="91" t="n">
        <x:v>802.05</x:v>
      </x:c>
    </x:row>
    <x:row r="2462">
      <x:c r="A2462" s="83" t="n">
        <x:v>2461</x:v>
      </x:c>
      <x:c r="B2462" s="84" t="n">
        <x:v>1883</x:v>
      </x:c>
      <x:c r="C2462" s="84" t="n">
        <x:v>1</x:v>
      </x:c>
      <x:c r="D2462" s="89" t="n">
        <x:v>45284</x:v>
      </x:c>
      <x:c r="E2462" s="84" t="n">
        <x:v>4</x:v>
      </x:c>
      <x:c r="F2462" s="91" t="n">
        <x:v>6958.4</x:v>
      </x:c>
    </x:row>
    <x:row r="2463">
      <x:c r="A2463" s="83" t="n">
        <x:v>2462</x:v>
      </x:c>
      <x:c r="B2463" s="84" t="n">
        <x:v>1883</x:v>
      </x:c>
      <x:c r="C2463" s="84" t="n">
        <x:v>41</x:v>
      </x:c>
      <x:c r="D2463" s="89" t="n">
        <x:v>45284</x:v>
      </x:c>
      <x:c r="E2463" s="84" t="n">
        <x:v>4</x:v>
      </x:c>
      <x:c r="F2463" s="91" t="n">
        <x:v>4728.08</x:v>
      </x:c>
    </x:row>
    <x:row r="2464">
      <x:c r="A2464" s="83" t="n">
        <x:v>2463</x:v>
      </x:c>
      <x:c r="B2464" s="84" t="n">
        <x:v>1883</x:v>
      </x:c>
      <x:c r="C2464" s="84" t="n">
        <x:v>60</x:v>
      </x:c>
      <x:c r="D2464" s="89" t="n">
        <x:v>45284</x:v>
      </x:c>
      <x:c r="E2464" s="84" t="n">
        <x:v>2</x:v>
      </x:c>
      <x:c r="F2464" s="91" t="n">
        <x:v>707.6</x:v>
      </x:c>
    </x:row>
    <x:row r="2465">
      <x:c r="A2465" s="83" t="n">
        <x:v>2464</x:v>
      </x:c>
      <x:c r="B2465" s="84" t="n">
        <x:v>1885</x:v>
      </x:c>
      <x:c r="C2465" s="84" t="n">
        <x:v>12</x:v>
      </x:c>
      <x:c r="D2465" s="89" t="n">
        <x:v>45671</x:v>
      </x:c>
      <x:c r="E2465" s="84" t="n">
        <x:v>4</x:v>
      </x:c>
      <x:c r="F2465" s="91" t="n">
        <x:v>1137.96</x:v>
      </x:c>
    </x:row>
    <x:row r="2466">
      <x:c r="A2466" s="83" t="n">
        <x:v>2465</x:v>
      </x:c>
      <x:c r="B2466" s="84" t="n">
        <x:v>1886</x:v>
      </x:c>
      <x:c r="C2466" s="84" t="n">
        <x:v>74</x:v>
      </x:c>
      <x:c r="D2466" s="89" t="n">
        <x:v>45183</x:v>
      </x:c>
      <x:c r="E2466" s="84" t="n">
        <x:v>1</x:v>
      </x:c>
      <x:c r="F2466" s="91" t="n">
        <x:v>1656.35</x:v>
      </x:c>
    </x:row>
    <x:row r="2467">
      <x:c r="A2467" s="83" t="n">
        <x:v>2466</x:v>
      </x:c>
      <x:c r="B2467" s="84" t="n">
        <x:v>1887</x:v>
      </x:c>
      <x:c r="C2467" s="84" t="n">
        <x:v>12</x:v>
      </x:c>
      <x:c r="D2467" s="89" t="n">
        <x:v>45990</x:v>
      </x:c>
      <x:c r="E2467" s="84" t="n">
        <x:v>4</x:v>
      </x:c>
      <x:c r="F2467" s="91" t="n">
        <x:v>1137.96</x:v>
      </x:c>
    </x:row>
    <x:row r="2468">
      <x:c r="A2468" s="83" t="n">
        <x:v>2467</x:v>
      </x:c>
      <x:c r="B2468" s="84" t="n">
        <x:v>1887</x:v>
      </x:c>
      <x:c r="C2468" s="84" t="n">
        <x:v>36</x:v>
      </x:c>
      <x:c r="D2468" s="89" t="n">
        <x:v>45990</x:v>
      </x:c>
      <x:c r="E2468" s="84" t="n">
        <x:v>1</x:v>
      </x:c>
      <x:c r="F2468" s="91" t="n">
        <x:v>596.41</x:v>
      </x:c>
    </x:row>
    <x:row r="2469">
      <x:c r="A2469" s="83" t="n">
        <x:v>2468</x:v>
      </x:c>
      <x:c r="B2469" s="84" t="n">
        <x:v>1889</x:v>
      </x:c>
      <x:c r="C2469" s="84" t="n">
        <x:v>72</x:v>
      </x:c>
      <x:c r="D2469" s="89" t="n">
        <x:v>45661</x:v>
      </x:c>
      <x:c r="E2469" s="84" t="n">
        <x:v>3</x:v>
      </x:c>
      <x:c r="F2469" s="91" t="n">
        <x:v>1352.49</x:v>
      </x:c>
    </x:row>
    <x:row r="2470">
      <x:c r="A2470" s="83" t="n">
        <x:v>2469</x:v>
      </x:c>
      <x:c r="B2470" s="84" t="n">
        <x:v>1890</x:v>
      </x:c>
      <x:c r="C2470" s="84" t="n">
        <x:v>11</x:v>
      </x:c>
      <x:c r="D2470" s="89" t="n">
        <x:v>45263</x:v>
      </x:c>
      <x:c r="E2470" s="84" t="n">
        <x:v>3</x:v>
      </x:c>
      <x:c r="F2470" s="91" t="n">
        <x:v>6633.78</x:v>
      </x:c>
    </x:row>
    <x:row r="2471">
      <x:c r="A2471" s="83" t="n">
        <x:v>2470</x:v>
      </x:c>
      <x:c r="B2471" s="84" t="n">
        <x:v>1890</x:v>
      </x:c>
      <x:c r="C2471" s="84" t="n">
        <x:v>72</x:v>
      </x:c>
      <x:c r="D2471" s="89" t="n">
        <x:v>45263</x:v>
      </x:c>
      <x:c r="E2471" s="84" t="n">
        <x:v>3</x:v>
      </x:c>
      <x:c r="F2471" s="91" t="n">
        <x:v>1352.49</x:v>
      </x:c>
    </x:row>
    <x:row r="2472">
      <x:c r="A2472" s="83" t="n">
        <x:v>2471</x:v>
      </x:c>
      <x:c r="B2472" s="84" t="n">
        <x:v>1890</x:v>
      </x:c>
      <x:c r="C2472" s="84" t="n">
        <x:v>61</x:v>
      </x:c>
      <x:c r="D2472" s="89" t="n">
        <x:v>45263</x:v>
      </x:c>
      <x:c r="E2472" s="84" t="n">
        <x:v>3</x:v>
      </x:c>
      <x:c r="F2472" s="91" t="n">
        <x:v>395.16</x:v>
      </x:c>
    </x:row>
    <x:row r="2473">
      <x:c r="A2473" s="83" t="n">
        <x:v>2472</x:v>
      </x:c>
      <x:c r="B2473" s="84" t="n">
        <x:v>1891</x:v>
      </x:c>
      <x:c r="C2473" s="84" t="n">
        <x:v>12</x:v>
      </x:c>
      <x:c r="D2473" s="89" t="n">
        <x:v>45520</x:v>
      </x:c>
      <x:c r="E2473" s="84" t="n">
        <x:v>1</x:v>
      </x:c>
      <x:c r="F2473" s="91" t="n">
        <x:v>284.49</x:v>
      </x:c>
    </x:row>
    <x:row r="2474">
      <x:c r="A2474" s="83" t="n">
        <x:v>2473</x:v>
      </x:c>
      <x:c r="B2474" s="84" t="n">
        <x:v>1892</x:v>
      </x:c>
      <x:c r="C2474" s="84" t="n">
        <x:v>46</x:v>
      </x:c>
      <x:c r="D2474" s="89" t="n">
        <x:v>45890</x:v>
      </x:c>
      <x:c r="E2474" s="84" t="n">
        <x:v>1</x:v>
      </x:c>
      <x:c r="F2474" s="91" t="n">
        <x:v>1334.95</x:v>
      </x:c>
    </x:row>
    <x:row r="2475">
      <x:c r="A2475" s="83" t="n">
        <x:v>2474</x:v>
      </x:c>
      <x:c r="B2475" s="84" t="n">
        <x:v>1892</x:v>
      </x:c>
      <x:c r="C2475" s="84" t="n">
        <x:v>30</x:v>
      </x:c>
      <x:c r="D2475" s="89" t="n">
        <x:v>45890</x:v>
      </x:c>
      <x:c r="E2475" s="84" t="n">
        <x:v>2</x:v>
      </x:c>
      <x:c r="F2475" s="91" t="n">
        <x:v>2557.52</x:v>
      </x:c>
    </x:row>
    <x:row r="2476">
      <x:c r="A2476" s="83" t="n">
        <x:v>2475</x:v>
      </x:c>
      <x:c r="B2476" s="84" t="n">
        <x:v>1892</x:v>
      </x:c>
      <x:c r="C2476" s="84" t="n">
        <x:v>74</x:v>
      </x:c>
      <x:c r="D2476" s="89" t="n">
        <x:v>45890</x:v>
      </x:c>
      <x:c r="E2476" s="84" t="n">
        <x:v>3</x:v>
      </x:c>
      <x:c r="F2476" s="91" t="n">
        <x:v>4969.05</x:v>
      </x:c>
    </x:row>
    <x:row r="2477">
      <x:c r="A2477" s="83" t="n">
        <x:v>2476</x:v>
      </x:c>
      <x:c r="B2477" s="84" t="n">
        <x:v>1893</x:v>
      </x:c>
      <x:c r="C2477" s="84" t="n">
        <x:v>70</x:v>
      </x:c>
      <x:c r="D2477" s="89" t="n">
        <x:v>45828</x:v>
      </x:c>
      <x:c r="E2477" s="84" t="n">
        <x:v>2</x:v>
      </x:c>
      <x:c r="F2477" s="91" t="n">
        <x:v>1539.08</x:v>
      </x:c>
    </x:row>
    <x:row r="2478">
      <x:c r="A2478" s="83" t="n">
        <x:v>2477</x:v>
      </x:c>
      <x:c r="B2478" s="84" t="n">
        <x:v>1893</x:v>
      </x:c>
      <x:c r="C2478" s="84" t="n">
        <x:v>22</x:v>
      </x:c>
      <x:c r="D2478" s="89" t="n">
        <x:v>45828</x:v>
      </x:c>
      <x:c r="E2478" s="84" t="n">
        <x:v>1</x:v>
      </x:c>
      <x:c r="F2478" s="91" t="n">
        <x:v>521.89</x:v>
      </x:c>
    </x:row>
    <x:row r="2479">
      <x:c r="A2479" s="83" t="n">
        <x:v>2478</x:v>
      </x:c>
      <x:c r="B2479" s="84" t="n">
        <x:v>1893</x:v>
      </x:c>
      <x:c r="C2479" s="84" t="n">
        <x:v>60</x:v>
      </x:c>
      <x:c r="D2479" s="89" t="n">
        <x:v>45828</x:v>
      </x:c>
      <x:c r="E2479" s="84" t="n">
        <x:v>2</x:v>
      </x:c>
      <x:c r="F2479" s="91" t="n">
        <x:v>707.6</x:v>
      </x:c>
    </x:row>
    <x:row r="2480">
      <x:c r="A2480" s="83" t="n">
        <x:v>2479</x:v>
      </x:c>
      <x:c r="B2480" s="84" t="n">
        <x:v>1896</x:v>
      </x:c>
      <x:c r="C2480" s="84" t="n">
        <x:v>36</x:v>
      </x:c>
      <x:c r="D2480" s="89" t="n">
        <x:v>45843</x:v>
      </x:c>
      <x:c r="E2480" s="84" t="n">
        <x:v>4</x:v>
      </x:c>
      <x:c r="F2480" s="91" t="n">
        <x:v>2385.64</x:v>
      </x:c>
    </x:row>
    <x:row r="2481">
      <x:c r="A2481" s="83" t="n">
        <x:v>2480</x:v>
      </x:c>
      <x:c r="B2481" s="84" t="n">
        <x:v>1896</x:v>
      </x:c>
      <x:c r="C2481" s="84" t="n">
        <x:v>74</x:v>
      </x:c>
      <x:c r="D2481" s="89" t="n">
        <x:v>45843</x:v>
      </x:c>
      <x:c r="E2481" s="84" t="n">
        <x:v>4</x:v>
      </x:c>
      <x:c r="F2481" s="91" t="n">
        <x:v>6625.4</x:v>
      </x:c>
    </x:row>
    <x:row r="2482">
      <x:c r="A2482" s="83" t="n">
        <x:v>2481</x:v>
      </x:c>
      <x:c r="B2482" s="84" t="n">
        <x:v>1898</x:v>
      </x:c>
      <x:c r="C2482" s="84" t="n">
        <x:v>79</x:v>
      </x:c>
      <x:c r="D2482" s="89" t="n">
        <x:v>45346</x:v>
      </x:c>
      <x:c r="E2482" s="84" t="n">
        <x:v>4</x:v>
      </x:c>
      <x:c r="F2482" s="91" t="n">
        <x:v>8266.88</x:v>
      </x:c>
    </x:row>
    <x:row r="2483">
      <x:c r="A2483" s="83" t="n">
        <x:v>2482</x:v>
      </x:c>
      <x:c r="B2483" s="84" t="n">
        <x:v>1898</x:v>
      </x:c>
      <x:c r="C2483" s="84" t="n">
        <x:v>5</x:v>
      </x:c>
      <x:c r="D2483" s="89" t="n">
        <x:v>45346</x:v>
      </x:c>
      <x:c r="E2483" s="84" t="n">
        <x:v>1</x:v>
      </x:c>
      <x:c r="F2483" s="91" t="n">
        <x:v>1468.5</x:v>
      </x:c>
    </x:row>
    <x:row r="2484">
      <x:c r="A2484" s="83" t="n">
        <x:v>2483</x:v>
      </x:c>
      <x:c r="B2484" s="84" t="n">
        <x:v>1898</x:v>
      </x:c>
      <x:c r="C2484" s="84" t="n">
        <x:v>71</x:v>
      </x:c>
      <x:c r="D2484" s="89" t="n">
        <x:v>45346</x:v>
      </x:c>
      <x:c r="E2484" s="84" t="n">
        <x:v>4</x:v>
      </x:c>
      <x:c r="F2484" s="91" t="n">
        <x:v>7934.08</x:v>
      </x:c>
    </x:row>
    <x:row r="2485">
      <x:c r="A2485" s="83" t="n">
        <x:v>2484</x:v>
      </x:c>
      <x:c r="B2485" s="84" t="n">
        <x:v>1899</x:v>
      </x:c>
      <x:c r="C2485" s="84" t="n">
        <x:v>46</x:v>
      </x:c>
      <x:c r="D2485" s="89" t="n">
        <x:v>45929</x:v>
      </x:c>
      <x:c r="E2485" s="84" t="n">
        <x:v>3</x:v>
      </x:c>
      <x:c r="F2485" s="91" t="n">
        <x:v>4004.85</x:v>
      </x:c>
    </x:row>
    <x:row r="2486">
      <x:c r="A2486" s="83" t="n">
        <x:v>2485</x:v>
      </x:c>
      <x:c r="B2486" s="84" t="n">
        <x:v>1900</x:v>
      </x:c>
      <x:c r="C2486" s="84" t="n">
        <x:v>78</x:v>
      </x:c>
      <x:c r="D2486" s="89" t="n">
        <x:v>45056</x:v>
      </x:c>
      <x:c r="E2486" s="84" t="n">
        <x:v>2</x:v>
      </x:c>
      <x:c r="F2486" s="91" t="n">
        <x:v>567.2</x:v>
      </x:c>
    </x:row>
    <x:row r="2487">
      <x:c r="A2487" s="83" t="n">
        <x:v>2486</x:v>
      </x:c>
      <x:c r="B2487" s="84" t="n">
        <x:v>1902</x:v>
      </x:c>
      <x:c r="C2487" s="84" t="n">
        <x:v>11</x:v>
      </x:c>
      <x:c r="D2487" s="89" t="n">
        <x:v>45469</x:v>
      </x:c>
      <x:c r="E2487" s="84" t="n">
        <x:v>2</x:v>
      </x:c>
      <x:c r="F2487" s="91" t="n">
        <x:v>4422.52</x:v>
      </x:c>
    </x:row>
    <x:row r="2488">
      <x:c r="A2488" s="83" t="n">
        <x:v>2487</x:v>
      </x:c>
      <x:c r="B2488" s="84" t="n">
        <x:v>1902</x:v>
      </x:c>
      <x:c r="C2488" s="84" t="n">
        <x:v>45</x:v>
      </x:c>
      <x:c r="D2488" s="89" t="n">
        <x:v>45469</x:v>
      </x:c>
      <x:c r="E2488" s="84" t="n">
        <x:v>1</x:v>
      </x:c>
      <x:c r="F2488" s="91" t="n">
        <x:v>1391.42</x:v>
      </x:c>
    </x:row>
    <x:row r="2489">
      <x:c r="A2489" s="83" t="n">
        <x:v>2488</x:v>
      </x:c>
      <x:c r="B2489" s="84" t="n">
        <x:v>1902</x:v>
      </x:c>
      <x:c r="C2489" s="84" t="n">
        <x:v>7</x:v>
      </x:c>
      <x:c r="D2489" s="89" t="n">
        <x:v>45469</x:v>
      </x:c>
      <x:c r="E2489" s="84" t="n">
        <x:v>2</x:v>
      </x:c>
      <x:c r="F2489" s="91" t="n">
        <x:v>733.6</x:v>
      </x:c>
    </x:row>
    <x:row r="2490">
      <x:c r="A2490" s="83" t="n">
        <x:v>2489</x:v>
      </x:c>
      <x:c r="B2490" s="84" t="n">
        <x:v>1903</x:v>
      </x:c>
      <x:c r="C2490" s="84" t="n">
        <x:v>66</x:v>
      </x:c>
      <x:c r="D2490" s="89" t="n">
        <x:v>45206</x:v>
      </x:c>
      <x:c r="E2490" s="84" t="n">
        <x:v>4</x:v>
      </x:c>
      <x:c r="F2490" s="91" t="n">
        <x:v>7649.8</x:v>
      </x:c>
    </x:row>
    <x:row r="2491">
      <x:c r="A2491" s="83" t="n">
        <x:v>2490</x:v>
      </x:c>
      <x:c r="B2491" s="84" t="n">
        <x:v>1903</x:v>
      </x:c>
      <x:c r="C2491" s="84" t="n">
        <x:v>20</x:v>
      </x:c>
      <x:c r="D2491" s="89" t="n">
        <x:v>45206</x:v>
      </x:c>
      <x:c r="E2491" s="84" t="n">
        <x:v>4</x:v>
      </x:c>
      <x:c r="F2491" s="91" t="n">
        <x:v>2164.8</x:v>
      </x:c>
    </x:row>
    <x:row r="2492">
      <x:c r="A2492" s="83" t="n">
        <x:v>2491</x:v>
      </x:c>
      <x:c r="B2492" s="84" t="n">
        <x:v>1903</x:v>
      </x:c>
      <x:c r="C2492" s="84" t="n">
        <x:v>68</x:v>
      </x:c>
      <x:c r="D2492" s="89" t="n">
        <x:v>45206</x:v>
      </x:c>
      <x:c r="E2492" s="84" t="n">
        <x:v>3</x:v>
      </x:c>
      <x:c r="F2492" s="91" t="n">
        <x:v>4582.83</x:v>
      </x:c>
    </x:row>
    <x:row r="2493">
      <x:c r="A2493" s="83" t="n">
        <x:v>2492</x:v>
      </x:c>
      <x:c r="B2493" s="84" t="n">
        <x:v>1906</x:v>
      </x:c>
      <x:c r="C2493" s="84" t="n">
        <x:v>75</x:v>
      </x:c>
      <x:c r="D2493" s="89" t="n">
        <x:v>45906</x:v>
      </x:c>
      <x:c r="E2493" s="84" t="n">
        <x:v>1</x:v>
      </x:c>
      <x:c r="F2493" s="91" t="n">
        <x:v>456.17</x:v>
      </x:c>
    </x:row>
    <x:row r="2494">
      <x:c r="A2494" s="83" t="n">
        <x:v>2493</x:v>
      </x:c>
      <x:c r="B2494" s="84" t="n">
        <x:v>1906</x:v>
      </x:c>
      <x:c r="C2494" s="84" t="n">
        <x:v>41</x:v>
      </x:c>
      <x:c r="D2494" s="89" t="n">
        <x:v>45906</x:v>
      </x:c>
      <x:c r="E2494" s="84" t="n">
        <x:v>3</x:v>
      </x:c>
      <x:c r="F2494" s="91" t="n">
        <x:v>3546.06</x:v>
      </x:c>
    </x:row>
    <x:row r="2495">
      <x:c r="A2495" s="83" t="n">
        <x:v>2494</x:v>
      </x:c>
      <x:c r="B2495" s="84" t="n">
        <x:v>1906</x:v>
      </x:c>
      <x:c r="C2495" s="84" t="n">
        <x:v>67</x:v>
      </x:c>
      <x:c r="D2495" s="89" t="n">
        <x:v>45906</x:v>
      </x:c>
      <x:c r="E2495" s="84" t="n">
        <x:v>4</x:v>
      </x:c>
      <x:c r="F2495" s="91" t="n">
        <x:v>5118.12</x:v>
      </x:c>
    </x:row>
    <x:row r="2496">
      <x:c r="A2496" s="83" t="n">
        <x:v>2495</x:v>
      </x:c>
      <x:c r="B2496" s="84" t="n">
        <x:v>1907</x:v>
      </x:c>
      <x:c r="C2496" s="84" t="n">
        <x:v>7</x:v>
      </x:c>
      <x:c r="D2496" s="89" t="n">
        <x:v>45847</x:v>
      </x:c>
      <x:c r="E2496" s="84" t="n">
        <x:v>1</x:v>
      </x:c>
      <x:c r="F2496" s="91" t="n">
        <x:v>366.8</x:v>
      </x:c>
    </x:row>
    <x:row r="2497">
      <x:c r="A2497" s="83" t="n">
        <x:v>2496</x:v>
      </x:c>
      <x:c r="B2497" s="84" t="n">
        <x:v>1909</x:v>
      </x:c>
      <x:c r="C2497" s="84" t="n">
        <x:v>74</x:v>
      </x:c>
      <x:c r="D2497" s="89" t="n">
        <x:v>45360</x:v>
      </x:c>
      <x:c r="E2497" s="84" t="n">
        <x:v>2</x:v>
      </x:c>
      <x:c r="F2497" s="91" t="n">
        <x:v>3312.7</x:v>
      </x:c>
    </x:row>
    <x:row r="2498">
      <x:c r="A2498" s="83" t="n">
        <x:v>2497</x:v>
      </x:c>
      <x:c r="B2498" s="84" t="n">
        <x:v>1909</x:v>
      </x:c>
      <x:c r="C2498" s="84" t="n">
        <x:v>53</x:v>
      </x:c>
      <x:c r="D2498" s="89" t="n">
        <x:v>45360</x:v>
      </x:c>
      <x:c r="E2498" s="84" t="n">
        <x:v>3</x:v>
      </x:c>
      <x:c r="F2498" s="91" t="n">
        <x:v>4772.76</x:v>
      </x:c>
    </x:row>
    <x:row r="2499">
      <x:c r="A2499" s="83" t="n">
        <x:v>2498</x:v>
      </x:c>
      <x:c r="B2499" s="84" t="n">
        <x:v>1909</x:v>
      </x:c>
      <x:c r="C2499" s="84" t="n">
        <x:v>51</x:v>
      </x:c>
      <x:c r="D2499" s="89" t="n">
        <x:v>45360</x:v>
      </x:c>
      <x:c r="E2499" s="84" t="n">
        <x:v>4</x:v>
      </x:c>
      <x:c r="F2499" s="91" t="n">
        <x:v>3568.64</x:v>
      </x:c>
    </x:row>
    <x:row r="2500">
      <x:c r="A2500" s="83" t="n">
        <x:v>2499</x:v>
      </x:c>
      <x:c r="B2500" s="84" t="n">
        <x:v>1910</x:v>
      </x:c>
      <x:c r="C2500" s="84" t="n">
        <x:v>16</x:v>
      </x:c>
      <x:c r="D2500" s="89" t="n">
        <x:v>45469</x:v>
      </x:c>
      <x:c r="E2500" s="84" t="n">
        <x:v>3</x:v>
      </x:c>
      <x:c r="F2500" s="91" t="n">
        <x:v>1817.34</x:v>
      </x:c>
    </x:row>
    <x:row r="2501">
      <x:c r="A2501" s="83" t="n">
        <x:v>2500</x:v>
      </x:c>
      <x:c r="B2501" s="84" t="n">
        <x:v>1914</x:v>
      </x:c>
      <x:c r="C2501" s="84" t="n">
        <x:v>15</x:v>
      </x:c>
      <x:c r="D2501" s="89" t="n">
        <x:v>45125</x:v>
      </x:c>
      <x:c r="E2501" s="84" t="n">
        <x:v>3</x:v>
      </x:c>
      <x:c r="F2501" s="91" t="n">
        <x:v>3703.83</x:v>
      </x:c>
    </x:row>
    <x:row r="2502">
      <x:c r="A2502" s="83" t="n">
        <x:v>2501</x:v>
      </x:c>
      <x:c r="B2502" s="84" t="n">
        <x:v>1914</x:v>
      </x:c>
      <x:c r="C2502" s="84" t="n">
        <x:v>27</x:v>
      </x:c>
      <x:c r="D2502" s="89" t="n">
        <x:v>45125</x:v>
      </x:c>
      <x:c r="E2502" s="84" t="n">
        <x:v>2</x:v>
      </x:c>
      <x:c r="F2502" s="91" t="n">
        <x:v>321.38</x:v>
      </x:c>
    </x:row>
    <x:row r="2503">
      <x:c r="A2503" s="83" t="n">
        <x:v>2502</x:v>
      </x:c>
      <x:c r="B2503" s="84" t="n">
        <x:v>1914</x:v>
      </x:c>
      <x:c r="C2503" s="84" t="n">
        <x:v>5</x:v>
      </x:c>
      <x:c r="D2503" s="89" t="n">
        <x:v>45125</x:v>
      </x:c>
      <x:c r="E2503" s="84" t="n">
        <x:v>3</x:v>
      </x:c>
      <x:c r="F2503" s="91" t="n">
        <x:v>4405.5</x:v>
      </x:c>
    </x:row>
    <x:row r="2504">
      <x:c r="A2504" s="83" t="n">
        <x:v>2503</x:v>
      </x:c>
      <x:c r="B2504" s="84" t="n">
        <x:v>1917</x:v>
      </x:c>
      <x:c r="C2504" s="84" t="n">
        <x:v>2</x:v>
      </x:c>
      <x:c r="D2504" s="89" t="n">
        <x:v>45041</x:v>
      </x:c>
      <x:c r="E2504" s="84" t="n">
        <x:v>2</x:v>
      </x:c>
      <x:c r="F2504" s="91" t="n">
        <x:v>1988.62</x:v>
      </x:c>
    </x:row>
    <x:row r="2505">
      <x:c r="A2505" s="83" t="n">
        <x:v>2504</x:v>
      </x:c>
      <x:c r="B2505" s="84" t="n">
        <x:v>1917</x:v>
      </x:c>
      <x:c r="C2505" s="84" t="n">
        <x:v>60</x:v>
      </x:c>
      <x:c r="D2505" s="89" t="n">
        <x:v>45041</x:v>
      </x:c>
      <x:c r="E2505" s="84" t="n">
        <x:v>2</x:v>
      </x:c>
      <x:c r="F2505" s="91" t="n">
        <x:v>707.6</x:v>
      </x:c>
    </x:row>
    <x:row r="2506">
      <x:c r="A2506" s="83" t="n">
        <x:v>2505</x:v>
      </x:c>
      <x:c r="B2506" s="84" t="n">
        <x:v>1917</x:v>
      </x:c>
      <x:c r="C2506" s="84" t="n">
        <x:v>57</x:v>
      </x:c>
      <x:c r="D2506" s="89" t="n">
        <x:v>45041</x:v>
      </x:c>
      <x:c r="E2506" s="84" t="n">
        <x:v>4</x:v>
      </x:c>
      <x:c r="F2506" s="91" t="n">
        <x:v>4716.24</x:v>
      </x:c>
    </x:row>
    <x:row r="2507">
      <x:c r="A2507" s="83" t="n">
        <x:v>2506</x:v>
      </x:c>
      <x:c r="B2507" s="84" t="n">
        <x:v>1920</x:v>
      </x:c>
      <x:c r="C2507" s="84" t="n">
        <x:v>39</x:v>
      </x:c>
      <x:c r="D2507" s="89" t="n">
        <x:v>45868</x:v>
      </x:c>
      <x:c r="E2507" s="84" t="n">
        <x:v>2</x:v>
      </x:c>
      <x:c r="F2507" s="91" t="n">
        <x:v>1355.2</x:v>
      </x:c>
    </x:row>
    <x:row r="2508">
      <x:c r="A2508" s="83" t="n">
        <x:v>2507</x:v>
      </x:c>
      <x:c r="B2508" s="84" t="n">
        <x:v>1922</x:v>
      </x:c>
      <x:c r="C2508" s="84" t="n">
        <x:v>7</x:v>
      </x:c>
      <x:c r="D2508" s="89" t="n">
        <x:v>45818</x:v>
      </x:c>
      <x:c r="E2508" s="84" t="n">
        <x:v>1</x:v>
      </x:c>
      <x:c r="F2508" s="91" t="n">
        <x:v>366.8</x:v>
      </x:c>
    </x:row>
    <x:row r="2509">
      <x:c r="A2509" s="83" t="n">
        <x:v>2508</x:v>
      </x:c>
      <x:c r="B2509" s="84" t="n">
        <x:v>1922</x:v>
      </x:c>
      <x:c r="C2509" s="84" t="n">
        <x:v>6</x:v>
      </x:c>
      <x:c r="D2509" s="89" t="n">
        <x:v>45818</x:v>
      </x:c>
      <x:c r="E2509" s="84" t="n">
        <x:v>4</x:v>
      </x:c>
      <x:c r="F2509" s="91" t="n">
        <x:v>2789.48</x:v>
      </x:c>
    </x:row>
    <x:row r="2510">
      <x:c r="A2510" s="83" t="n">
        <x:v>2509</x:v>
      </x:c>
      <x:c r="B2510" s="84" t="n">
        <x:v>1923</x:v>
      </x:c>
      <x:c r="C2510" s="84" t="n">
        <x:v>58</x:v>
      </x:c>
      <x:c r="D2510" s="89" t="n">
        <x:v>45599</x:v>
      </x:c>
      <x:c r="E2510" s="84" t="n">
        <x:v>1</x:v>
      </x:c>
      <x:c r="F2510" s="91" t="n">
        <x:v>2018.18</x:v>
      </x:c>
    </x:row>
    <x:row r="2511">
      <x:c r="A2511" s="83" t="n">
        <x:v>2510</x:v>
      </x:c>
      <x:c r="B2511" s="84" t="n">
        <x:v>1923</x:v>
      </x:c>
      <x:c r="C2511" s="84" t="n">
        <x:v>73</x:v>
      </x:c>
      <x:c r="D2511" s="89" t="n">
        <x:v>45599</x:v>
      </x:c>
      <x:c r="E2511" s="84" t="n">
        <x:v>1</x:v>
      </x:c>
      <x:c r="F2511" s="91" t="n">
        <x:v>1127.31</x:v>
      </x:c>
    </x:row>
    <x:row r="2512">
      <x:c r="A2512" s="83" t="n">
        <x:v>2511</x:v>
      </x:c>
      <x:c r="B2512" s="84" t="n">
        <x:v>1923</x:v>
      </x:c>
      <x:c r="C2512" s="84" t="n">
        <x:v>39</x:v>
      </x:c>
      <x:c r="D2512" s="89" t="n">
        <x:v>45599</x:v>
      </x:c>
      <x:c r="E2512" s="84" t="n">
        <x:v>1</x:v>
      </x:c>
      <x:c r="F2512" s="91" t="n">
        <x:v>677.6</x:v>
      </x:c>
    </x:row>
    <x:row r="2513">
      <x:c r="A2513" s="83" t="n">
        <x:v>2512</x:v>
      </x:c>
      <x:c r="B2513" s="84" t="n">
        <x:v>1924</x:v>
      </x:c>
      <x:c r="C2513" s="84" t="n">
        <x:v>48</x:v>
      </x:c>
      <x:c r="D2513" s="89" t="n">
        <x:v>46010</x:v>
      </x:c>
      <x:c r="E2513" s="84" t="n">
        <x:v>1</x:v>
      </x:c>
      <x:c r="F2513" s="91" t="n">
        <x:v>1161.45</x:v>
      </x:c>
    </x:row>
    <x:row r="2514">
      <x:c r="A2514" s="83" t="n">
        <x:v>2513</x:v>
      </x:c>
      <x:c r="B2514" s="84" t="n">
        <x:v>1924</x:v>
      </x:c>
      <x:c r="C2514" s="84" t="n">
        <x:v>30</x:v>
      </x:c>
      <x:c r="D2514" s="89" t="n">
        <x:v>46010</x:v>
      </x:c>
      <x:c r="E2514" s="84" t="n">
        <x:v>4</x:v>
      </x:c>
      <x:c r="F2514" s="91" t="n">
        <x:v>5115.04</x:v>
      </x:c>
    </x:row>
    <x:row r="2515">
      <x:c r="A2515" s="83" t="n">
        <x:v>2514</x:v>
      </x:c>
      <x:c r="B2515" s="84" t="n">
        <x:v>1924</x:v>
      </x:c>
      <x:c r="C2515" s="84" t="n">
        <x:v>42</x:v>
      </x:c>
      <x:c r="D2515" s="89" t="n">
        <x:v>46010</x:v>
      </x:c>
      <x:c r="E2515" s="84" t="n">
        <x:v>1</x:v>
      </x:c>
      <x:c r="F2515" s="91" t="n">
        <x:v>2171.74</x:v>
      </x:c>
    </x:row>
    <x:row r="2516">
      <x:c r="A2516" s="83" t="n">
        <x:v>2515</x:v>
      </x:c>
      <x:c r="B2516" s="84" t="n">
        <x:v>1926</x:v>
      </x:c>
      <x:c r="C2516" s="84" t="n">
        <x:v>76</x:v>
      </x:c>
      <x:c r="D2516" s="89" t="n">
        <x:v>45773</x:v>
      </x:c>
      <x:c r="E2516" s="84" t="n">
        <x:v>3</x:v>
      </x:c>
      <x:c r="F2516" s="91" t="n">
        <x:v>2159.43</x:v>
      </x:c>
    </x:row>
    <x:row r="2517">
      <x:c r="A2517" s="83" t="n">
        <x:v>2516</x:v>
      </x:c>
      <x:c r="B2517" s="84" t="n">
        <x:v>1927</x:v>
      </x:c>
      <x:c r="C2517" s="84" t="n">
        <x:v>77</x:v>
      </x:c>
      <x:c r="D2517" s="89" t="n">
        <x:v>45927</x:v>
      </x:c>
      <x:c r="E2517" s="84" t="n">
        <x:v>3</x:v>
      </x:c>
      <x:c r="F2517" s="91" t="n">
        <x:v>6308.73</x:v>
      </x:c>
    </x:row>
    <x:row r="2518">
      <x:c r="A2518" s="83" t="n">
        <x:v>2517</x:v>
      </x:c>
      <x:c r="B2518" s="84" t="n">
        <x:v>1927</x:v>
      </x:c>
      <x:c r="C2518" s="84" t="n">
        <x:v>38</x:v>
      </x:c>
      <x:c r="D2518" s="89" t="n">
        <x:v>45927</x:v>
      </x:c>
      <x:c r="E2518" s="84" t="n">
        <x:v>2</x:v>
      </x:c>
      <x:c r="F2518" s="91" t="n">
        <x:v>1452.98</x:v>
      </x:c>
    </x:row>
    <x:row r="2519">
      <x:c r="A2519" s="83" t="n">
        <x:v>2518</x:v>
      </x:c>
      <x:c r="B2519" s="84" t="n">
        <x:v>1927</x:v>
      </x:c>
      <x:c r="C2519" s="84" t="n">
        <x:v>25</x:v>
      </x:c>
      <x:c r="D2519" s="89" t="n">
        <x:v>45927</x:v>
      </x:c>
      <x:c r="E2519" s="84" t="n">
        <x:v>2</x:v>
      </x:c>
      <x:c r="F2519" s="91" t="n">
        <x:v>2158.9</x:v>
      </x:c>
    </x:row>
    <x:row r="2520">
      <x:c r="A2520" s="83" t="n">
        <x:v>2519</x:v>
      </x:c>
      <x:c r="B2520" s="84" t="n">
        <x:v>1929</x:v>
      </x:c>
      <x:c r="C2520" s="84" t="n">
        <x:v>15</x:v>
      </x:c>
      <x:c r="D2520" s="89" t="n">
        <x:v>45048</x:v>
      </x:c>
      <x:c r="E2520" s="84" t="n">
        <x:v>4</x:v>
      </x:c>
      <x:c r="F2520" s="91" t="n">
        <x:v>4938.44</x:v>
      </x:c>
    </x:row>
    <x:row r="2521">
      <x:c r="A2521" s="83" t="n">
        <x:v>2520</x:v>
      </x:c>
      <x:c r="B2521" s="84" t="n">
        <x:v>1930</x:v>
      </x:c>
      <x:c r="C2521" s="84" t="n">
        <x:v>31</x:v>
      </x:c>
      <x:c r="D2521" s="89" t="n">
        <x:v>45218</x:v>
      </x:c>
      <x:c r="E2521" s="84" t="n">
        <x:v>2</x:v>
      </x:c>
      <x:c r="F2521" s="91" t="n">
        <x:v>4339.26</x:v>
      </x:c>
    </x:row>
    <x:row r="2522">
      <x:c r="A2522" s="83" t="n">
        <x:v>2521</x:v>
      </x:c>
      <x:c r="B2522" s="84" t="n">
        <x:v>1932</x:v>
      </x:c>
      <x:c r="C2522" s="84" t="n">
        <x:v>8</x:v>
      </x:c>
      <x:c r="D2522" s="89" t="n">
        <x:v>45770</x:v>
      </x:c>
      <x:c r="E2522" s="84" t="n">
        <x:v>1</x:v>
      </x:c>
      <x:c r="F2522" s="91" t="n">
        <x:v>1666.19</x:v>
      </x:c>
    </x:row>
    <x:row r="2523">
      <x:c r="A2523" s="83" t="n">
        <x:v>2522</x:v>
      </x:c>
      <x:c r="B2523" s="84" t="n">
        <x:v>1932</x:v>
      </x:c>
      <x:c r="C2523" s="84" t="n">
        <x:v>79</x:v>
      </x:c>
      <x:c r="D2523" s="89" t="n">
        <x:v>45770</x:v>
      </x:c>
      <x:c r="E2523" s="84" t="n">
        <x:v>4</x:v>
      </x:c>
      <x:c r="F2523" s="91" t="n">
        <x:v>8266.88</x:v>
      </x:c>
    </x:row>
    <x:row r="2524">
      <x:c r="A2524" s="83" t="n">
        <x:v>2523</x:v>
      </x:c>
      <x:c r="B2524" s="84" t="n">
        <x:v>1933</x:v>
      </x:c>
      <x:c r="C2524" s="84" t="n">
        <x:v>46</x:v>
      </x:c>
      <x:c r="D2524" s="89" t="n">
        <x:v>45394</x:v>
      </x:c>
      <x:c r="E2524" s="84" t="n">
        <x:v>2</x:v>
      </x:c>
      <x:c r="F2524" s="91" t="n">
        <x:v>2669.9</x:v>
      </x:c>
    </x:row>
    <x:row r="2525">
      <x:c r="A2525" s="83" t="n">
        <x:v>2524</x:v>
      </x:c>
      <x:c r="B2525" s="84" t="n">
        <x:v>1935</x:v>
      </x:c>
      <x:c r="C2525" s="84" t="n">
        <x:v>9</x:v>
      </x:c>
      <x:c r="D2525" s="89" t="n">
        <x:v>45345</x:v>
      </x:c>
      <x:c r="E2525" s="84" t="n">
        <x:v>3</x:v>
      </x:c>
      <x:c r="F2525" s="91" t="n">
        <x:v>4725.18</x:v>
      </x:c>
    </x:row>
    <x:row r="2526">
      <x:c r="A2526" s="83" t="n">
        <x:v>2525</x:v>
      </x:c>
      <x:c r="B2526" s="84" t="n">
        <x:v>1935</x:v>
      </x:c>
      <x:c r="C2526" s="84" t="n">
        <x:v>59</x:v>
      </x:c>
      <x:c r="D2526" s="89" t="n">
        <x:v>45345</x:v>
      </x:c>
      <x:c r="E2526" s="84" t="n">
        <x:v>3</x:v>
      </x:c>
      <x:c r="F2526" s="91" t="n">
        <x:v>4549.35</x:v>
      </x:c>
    </x:row>
    <x:row r="2527">
      <x:c r="A2527" s="83" t="n">
        <x:v>2526</x:v>
      </x:c>
      <x:c r="B2527" s="84" t="n">
        <x:v>1936</x:v>
      </x:c>
      <x:c r="C2527" s="84" t="n">
        <x:v>71</x:v>
      </x:c>
      <x:c r="D2527" s="89" t="n">
        <x:v>45731</x:v>
      </x:c>
      <x:c r="E2527" s="84" t="n">
        <x:v>3</x:v>
      </x:c>
      <x:c r="F2527" s="91" t="n">
        <x:v>5950.56</x:v>
      </x:c>
    </x:row>
    <x:row r="2528">
      <x:c r="A2528" s="83" t="n">
        <x:v>2527</x:v>
      </x:c>
      <x:c r="B2528" s="84" t="n">
        <x:v>1937</x:v>
      </x:c>
      <x:c r="C2528" s="84" t="n">
        <x:v>2</x:v>
      </x:c>
      <x:c r="D2528" s="89" t="n">
        <x:v>45222</x:v>
      </x:c>
      <x:c r="E2528" s="84" t="n">
        <x:v>4</x:v>
      </x:c>
      <x:c r="F2528" s="91" t="n">
        <x:v>3977.24</x:v>
      </x:c>
    </x:row>
    <x:row r="2529">
      <x:c r="A2529" s="83" t="n">
        <x:v>2528</x:v>
      </x:c>
      <x:c r="B2529" s="84" t="n">
        <x:v>1938</x:v>
      </x:c>
      <x:c r="C2529" s="84" t="n">
        <x:v>6</x:v>
      </x:c>
      <x:c r="D2529" s="89" t="n">
        <x:v>45846</x:v>
      </x:c>
      <x:c r="E2529" s="84" t="n">
        <x:v>2</x:v>
      </x:c>
      <x:c r="F2529" s="91" t="n">
        <x:v>1394.74</x:v>
      </x:c>
    </x:row>
    <x:row r="2530">
      <x:c r="A2530" s="83" t="n">
        <x:v>2529</x:v>
      </x:c>
      <x:c r="B2530" s="84" t="n">
        <x:v>1938</x:v>
      </x:c>
      <x:c r="C2530" s="84" t="n">
        <x:v>2</x:v>
      </x:c>
      <x:c r="D2530" s="89" t="n">
        <x:v>45846</x:v>
      </x:c>
      <x:c r="E2530" s="84" t="n">
        <x:v>1</x:v>
      </x:c>
      <x:c r="F2530" s="91" t="n">
        <x:v>994.31</x:v>
      </x:c>
    </x:row>
    <x:row r="2531">
      <x:c r="A2531" s="83" t="n">
        <x:v>2530</x:v>
      </x:c>
      <x:c r="B2531" s="84" t="n">
        <x:v>1938</x:v>
      </x:c>
      <x:c r="C2531" s="84" t="n">
        <x:v>27</x:v>
      </x:c>
      <x:c r="D2531" s="89" t="n">
        <x:v>45846</x:v>
      </x:c>
      <x:c r="E2531" s="84" t="n">
        <x:v>4</x:v>
      </x:c>
      <x:c r="F2531" s="91" t="n">
        <x:v>642.76</x:v>
      </x:c>
    </x:row>
    <x:row r="2532">
      <x:c r="A2532" s="83" t="n">
        <x:v>2531</x:v>
      </x:c>
      <x:c r="B2532" s="84" t="n">
        <x:v>1939</x:v>
      </x:c>
      <x:c r="C2532" s="84" t="n">
        <x:v>44</x:v>
      </x:c>
      <x:c r="D2532" s="89" t="n">
        <x:v>45814</x:v>
      </x:c>
      <x:c r="E2532" s="84" t="n">
        <x:v>1</x:v>
      </x:c>
      <x:c r="F2532" s="91" t="n">
        <x:v>1251.48</x:v>
      </x:c>
    </x:row>
    <x:row r="2533">
      <x:c r="A2533" s="83" t="n">
        <x:v>2532</x:v>
      </x:c>
      <x:c r="B2533" s="84" t="n">
        <x:v>1939</x:v>
      </x:c>
      <x:c r="C2533" s="84" t="n">
        <x:v>79</x:v>
      </x:c>
      <x:c r="D2533" s="89" t="n">
        <x:v>45814</x:v>
      </x:c>
      <x:c r="E2533" s="84" t="n">
        <x:v>3</x:v>
      </x:c>
      <x:c r="F2533" s="91" t="n">
        <x:v>6200.16</x:v>
      </x:c>
    </x:row>
    <x:row r="2534">
      <x:c r="A2534" s="83" t="n">
        <x:v>2533</x:v>
      </x:c>
      <x:c r="B2534" s="84" t="n">
        <x:v>1939</x:v>
      </x:c>
      <x:c r="C2534" s="84" t="n">
        <x:v>31</x:v>
      </x:c>
      <x:c r="D2534" s="89" t="n">
        <x:v>45814</x:v>
      </x:c>
      <x:c r="E2534" s="84" t="n">
        <x:v>3</x:v>
      </x:c>
      <x:c r="F2534" s="91" t="n">
        <x:v>6508.89</x:v>
      </x:c>
    </x:row>
    <x:row r="2535">
      <x:c r="A2535" s="83" t="n">
        <x:v>2534</x:v>
      </x:c>
      <x:c r="B2535" s="84" t="n">
        <x:v>1940</x:v>
      </x:c>
      <x:c r="C2535" s="84" t="n">
        <x:v>36</x:v>
      </x:c>
      <x:c r="D2535" s="89" t="n">
        <x:v>45449</x:v>
      </x:c>
      <x:c r="E2535" s="84" t="n">
        <x:v>2</x:v>
      </x:c>
      <x:c r="F2535" s="91" t="n">
        <x:v>1192.82</x:v>
      </x:c>
    </x:row>
    <x:row r="2536">
      <x:c r="A2536" s="83" t="n">
        <x:v>2535</x:v>
      </x:c>
      <x:c r="B2536" s="84" t="n">
        <x:v>1941</x:v>
      </x:c>
      <x:c r="C2536" s="84" t="n">
        <x:v>47</x:v>
      </x:c>
      <x:c r="D2536" s="89" t="n">
        <x:v>45921</x:v>
      </x:c>
      <x:c r="E2536" s="84" t="n">
        <x:v>1</x:v>
      </x:c>
      <x:c r="F2536" s="91" t="n">
        <x:v>2175.62</x:v>
      </x:c>
    </x:row>
    <x:row r="2537">
      <x:c r="A2537" s="83" t="n">
        <x:v>2536</x:v>
      </x:c>
      <x:c r="B2537" s="84" t="n">
        <x:v>1941</x:v>
      </x:c>
      <x:c r="C2537" s="84" t="n">
        <x:v>70</x:v>
      </x:c>
      <x:c r="D2537" s="89" t="n">
        <x:v>45921</x:v>
      </x:c>
      <x:c r="E2537" s="84" t="n">
        <x:v>3</x:v>
      </x:c>
      <x:c r="F2537" s="91" t="n">
        <x:v>2308.62</x:v>
      </x:c>
    </x:row>
    <x:row r="2538">
      <x:c r="A2538" s="83" t="n">
        <x:v>2537</x:v>
      </x:c>
      <x:c r="B2538" s="84" t="n">
        <x:v>1942</x:v>
      </x:c>
      <x:c r="C2538" s="84" t="n">
        <x:v>14</x:v>
      </x:c>
      <x:c r="D2538" s="89" t="n">
        <x:v>45286</x:v>
      </x:c>
      <x:c r="E2538" s="84" t="n">
        <x:v>1</x:v>
      </x:c>
      <x:c r="F2538" s="91" t="n">
        <x:v>175.72</x:v>
      </x:c>
    </x:row>
    <x:row r="2539">
      <x:c r="A2539" s="83" t="n">
        <x:v>2538</x:v>
      </x:c>
      <x:c r="B2539" s="84" t="n">
        <x:v>1942</x:v>
      </x:c>
      <x:c r="C2539" s="84" t="n">
        <x:v>58</x:v>
      </x:c>
      <x:c r="D2539" s="89" t="n">
        <x:v>45286</x:v>
      </x:c>
      <x:c r="E2539" s="84" t="n">
        <x:v>1</x:v>
      </x:c>
      <x:c r="F2539" s="91" t="n">
        <x:v>2018.18</x:v>
      </x:c>
    </x:row>
    <x:row r="2540">
      <x:c r="A2540" s="83" t="n">
        <x:v>2539</x:v>
      </x:c>
      <x:c r="B2540" s="84" t="n">
        <x:v>1942</x:v>
      </x:c>
      <x:c r="C2540" s="84" t="n">
        <x:v>28</x:v>
      </x:c>
      <x:c r="D2540" s="89" t="n">
        <x:v>45286</x:v>
      </x:c>
      <x:c r="E2540" s="84" t="n">
        <x:v>3</x:v>
      </x:c>
      <x:c r="F2540" s="91" t="n">
        <x:v>2461.41</x:v>
      </x:c>
    </x:row>
    <x:row r="2541">
      <x:c r="A2541" s="83" t="n">
        <x:v>2540</x:v>
      </x:c>
      <x:c r="B2541" s="84" t="n">
        <x:v>1944</x:v>
      </x:c>
      <x:c r="C2541" s="84" t="n">
        <x:v>68</x:v>
      </x:c>
      <x:c r="D2541" s="89" t="n">
        <x:v>45454</x:v>
      </x:c>
      <x:c r="E2541" s="84" t="n">
        <x:v>1</x:v>
      </x:c>
      <x:c r="F2541" s="91" t="n">
        <x:v>1527.61</x:v>
      </x:c>
    </x:row>
    <x:row r="2542">
      <x:c r="A2542" s="83" t="n">
        <x:v>2541</x:v>
      </x:c>
      <x:c r="B2542" s="84" t="n">
        <x:v>1945</x:v>
      </x:c>
      <x:c r="C2542" s="84" t="n">
        <x:v>39</x:v>
      </x:c>
      <x:c r="D2542" s="89" t="n">
        <x:v>45496</x:v>
      </x:c>
      <x:c r="E2542" s="84" t="n">
        <x:v>4</x:v>
      </x:c>
      <x:c r="F2542" s="91" t="n">
        <x:v>2710.4</x:v>
      </x:c>
    </x:row>
    <x:row r="2543">
      <x:c r="A2543" s="83" t="n">
        <x:v>2542</x:v>
      </x:c>
      <x:c r="B2543" s="84" t="n">
        <x:v>1946</x:v>
      </x:c>
      <x:c r="C2543" s="84" t="n">
        <x:v>57</x:v>
      </x:c>
      <x:c r="D2543" s="89" t="n">
        <x:v>45689</x:v>
      </x:c>
      <x:c r="E2543" s="84" t="n">
        <x:v>1</x:v>
      </x:c>
      <x:c r="F2543" s="91" t="n">
        <x:v>1179.06</x:v>
      </x:c>
    </x:row>
    <x:row r="2544">
      <x:c r="A2544" s="83" t="n">
        <x:v>2543</x:v>
      </x:c>
      <x:c r="B2544" s="84" t="n">
        <x:v>1947</x:v>
      </x:c>
      <x:c r="C2544" s="84" t="n">
        <x:v>58</x:v>
      </x:c>
      <x:c r="D2544" s="89" t="n">
        <x:v>45804</x:v>
      </x:c>
      <x:c r="E2544" s="84" t="n">
        <x:v>3</x:v>
      </x:c>
      <x:c r="F2544" s="91" t="n">
        <x:v>6054.54</x:v>
      </x:c>
    </x:row>
    <x:row r="2545">
      <x:c r="A2545" s="83" t="n">
        <x:v>2544</x:v>
      </x:c>
      <x:c r="B2545" s="84" t="n">
        <x:v>1947</x:v>
      </x:c>
      <x:c r="C2545" s="84" t="n">
        <x:v>31</x:v>
      </x:c>
      <x:c r="D2545" s="89" t="n">
        <x:v>45804</x:v>
      </x:c>
      <x:c r="E2545" s="84" t="n">
        <x:v>4</x:v>
      </x:c>
      <x:c r="F2545" s="91" t="n">
        <x:v>8678.52</x:v>
      </x:c>
    </x:row>
    <x:row r="2546">
      <x:c r="A2546" s="83" t="n">
        <x:v>2545</x:v>
      </x:c>
      <x:c r="B2546" s="84" t="n">
        <x:v>1947</x:v>
      </x:c>
      <x:c r="C2546" s="84" t="n">
        <x:v>39</x:v>
      </x:c>
      <x:c r="D2546" s="89" t="n">
        <x:v>45804</x:v>
      </x:c>
      <x:c r="E2546" s="84" t="n">
        <x:v>1</x:v>
      </x:c>
      <x:c r="F2546" s="91" t="n">
        <x:v>677.6</x:v>
      </x:c>
    </x:row>
    <x:row r="2547">
      <x:c r="A2547" s="83" t="n">
        <x:v>2546</x:v>
      </x:c>
      <x:c r="B2547" s="84" t="n">
        <x:v>1949</x:v>
      </x:c>
      <x:c r="C2547" s="84" t="n">
        <x:v>79</x:v>
      </x:c>
      <x:c r="D2547" s="89" t="n">
        <x:v>45276</x:v>
      </x:c>
      <x:c r="E2547" s="84" t="n">
        <x:v>4</x:v>
      </x:c>
      <x:c r="F2547" s="91" t="n">
        <x:v>8266.88</x:v>
      </x:c>
    </x:row>
    <x:row r="2548">
      <x:c r="A2548" s="83" t="n">
        <x:v>2547</x:v>
      </x:c>
      <x:c r="B2548" s="84" t="n">
        <x:v>1950</x:v>
      </x:c>
      <x:c r="C2548" s="84" t="n">
        <x:v>52</x:v>
      </x:c>
      <x:c r="D2548" s="89" t="n">
        <x:v>45370</x:v>
      </x:c>
      <x:c r="E2548" s="84" t="n">
        <x:v>3</x:v>
      </x:c>
      <x:c r="F2548" s="91" t="n">
        <x:v>2641.89</x:v>
      </x:c>
    </x:row>
    <x:row r="2549">
      <x:c r="A2549" s="83" t="n">
        <x:v>2548</x:v>
      </x:c>
      <x:c r="B2549" s="84" t="n">
        <x:v>1950</x:v>
      </x:c>
      <x:c r="C2549" s="84" t="n">
        <x:v>48</x:v>
      </x:c>
      <x:c r="D2549" s="89" t="n">
        <x:v>45370</x:v>
      </x:c>
      <x:c r="E2549" s="84" t="n">
        <x:v>4</x:v>
      </x:c>
      <x:c r="F2549" s="91" t="n">
        <x:v>4645.8</x:v>
      </x:c>
    </x:row>
    <x:row r="2550">
      <x:c r="A2550" s="83" t="n">
        <x:v>2549</x:v>
      </x:c>
      <x:c r="B2550" s="84" t="n">
        <x:v>1950</x:v>
      </x:c>
      <x:c r="C2550" s="84" t="n">
        <x:v>12</x:v>
      </x:c>
      <x:c r="D2550" s="89" t="n">
        <x:v>45370</x:v>
      </x:c>
      <x:c r="E2550" s="84" t="n">
        <x:v>1</x:v>
      </x:c>
      <x:c r="F2550" s="91" t="n">
        <x:v>284.49</x:v>
      </x:c>
    </x:row>
    <x:row r="2551">
      <x:c r="A2551" s="83" t="n">
        <x:v>2550</x:v>
      </x:c>
      <x:c r="B2551" s="84" t="n">
        <x:v>1951</x:v>
      </x:c>
      <x:c r="C2551" s="84" t="n">
        <x:v>20</x:v>
      </x:c>
      <x:c r="D2551" s="89" t="n">
        <x:v>45740</x:v>
      </x:c>
      <x:c r="E2551" s="84" t="n">
        <x:v>2</x:v>
      </x:c>
      <x:c r="F2551" s="91" t="n">
        <x:v>1082.4</x:v>
      </x:c>
    </x:row>
    <x:row r="2552">
      <x:c r="A2552" s="83" t="n">
        <x:v>2551</x:v>
      </x:c>
      <x:c r="B2552" s="84" t="n">
        <x:v>1951</x:v>
      </x:c>
      <x:c r="C2552" s="84" t="n">
        <x:v>24</x:v>
      </x:c>
      <x:c r="D2552" s="89" t="n">
        <x:v>45740</x:v>
      </x:c>
      <x:c r="E2552" s="84" t="n">
        <x:v>2</x:v>
      </x:c>
      <x:c r="F2552" s="91" t="n">
        <x:v>1481.82</x:v>
      </x:c>
    </x:row>
    <x:row r="2553">
      <x:c r="A2553" s="83" t="n">
        <x:v>2552</x:v>
      </x:c>
      <x:c r="B2553" s="84" t="n">
        <x:v>1951</x:v>
      </x:c>
      <x:c r="C2553" s="84" t="n">
        <x:v>37</x:v>
      </x:c>
      <x:c r="D2553" s="89" t="n">
        <x:v>45740</x:v>
      </x:c>
      <x:c r="E2553" s="84" t="n">
        <x:v>3</x:v>
      </x:c>
      <x:c r="F2553" s="91" t="n">
        <x:v>3101.13</x:v>
      </x:c>
    </x:row>
    <x:row r="2554">
      <x:c r="A2554" s="83" t="n">
        <x:v>2553</x:v>
      </x:c>
      <x:c r="B2554" s="84" t="n">
        <x:v>1952</x:v>
      </x:c>
      <x:c r="C2554" s="84" t="n">
        <x:v>24</x:v>
      </x:c>
      <x:c r="D2554" s="89" t="n">
        <x:v>45169</x:v>
      </x:c>
      <x:c r="E2554" s="84" t="n">
        <x:v>1</x:v>
      </x:c>
      <x:c r="F2554" s="91" t="n">
        <x:v>740.91</x:v>
      </x:c>
    </x:row>
    <x:row r="2555">
      <x:c r="A2555" s="83" t="n">
        <x:v>2554</x:v>
      </x:c>
      <x:c r="B2555" s="84" t="n">
        <x:v>1952</x:v>
      </x:c>
      <x:c r="C2555" s="84" t="n">
        <x:v>1</x:v>
      </x:c>
      <x:c r="D2555" s="89" t="n">
        <x:v>45169</x:v>
      </x:c>
      <x:c r="E2555" s="84" t="n">
        <x:v>3</x:v>
      </x:c>
      <x:c r="F2555" s="91" t="n">
        <x:v>5218.8</x:v>
      </x:c>
    </x:row>
    <x:row r="2556">
      <x:c r="A2556" s="83" t="n">
        <x:v>2555</x:v>
      </x:c>
      <x:c r="B2556" s="84" t="n">
        <x:v>1952</x:v>
      </x:c>
      <x:c r="C2556" s="84" t="n">
        <x:v>67</x:v>
      </x:c>
      <x:c r="D2556" s="89" t="n">
        <x:v>45169</x:v>
      </x:c>
      <x:c r="E2556" s="84" t="n">
        <x:v>2</x:v>
      </x:c>
      <x:c r="F2556" s="91" t="n">
        <x:v>2559.06</x:v>
      </x:c>
    </x:row>
    <x:row r="2557">
      <x:c r="A2557" s="83" t="n">
        <x:v>2556</x:v>
      </x:c>
      <x:c r="B2557" s="84" t="n">
        <x:v>1953</x:v>
      </x:c>
      <x:c r="C2557" s="84" t="n">
        <x:v>4</x:v>
      </x:c>
      <x:c r="D2557" s="89" t="n">
        <x:v>45953</x:v>
      </x:c>
      <x:c r="E2557" s="84" t="n">
        <x:v>1</x:v>
      </x:c>
      <x:c r="F2557" s="91" t="n">
        <x:v>1525.31</x:v>
      </x:c>
    </x:row>
    <x:row r="2558">
      <x:c r="A2558" s="83" t="n">
        <x:v>2557</x:v>
      </x:c>
      <x:c r="B2558" s="84" t="n">
        <x:v>1954</x:v>
      </x:c>
      <x:c r="C2558" s="84" t="n">
        <x:v>78</x:v>
      </x:c>
      <x:c r="D2558" s="89" t="n">
        <x:v>45687</x:v>
      </x:c>
      <x:c r="E2558" s="84" t="n">
        <x:v>3</x:v>
      </x:c>
      <x:c r="F2558" s="91" t="n">
        <x:v>850.8</x:v>
      </x:c>
    </x:row>
    <x:row r="2559">
      <x:c r="A2559" s="83" t="n">
        <x:v>2558</x:v>
      </x:c>
      <x:c r="B2559" s="84" t="n">
        <x:v>1955</x:v>
      </x:c>
      <x:c r="C2559" s="84" t="n">
        <x:v>6</x:v>
      </x:c>
      <x:c r="D2559" s="89" t="n">
        <x:v>45140</x:v>
      </x:c>
      <x:c r="E2559" s="84" t="n">
        <x:v>2</x:v>
      </x:c>
      <x:c r="F2559" s="91" t="n">
        <x:v>1394.74</x:v>
      </x:c>
    </x:row>
    <x:row r="2560">
      <x:c r="A2560" s="83" t="n">
        <x:v>2559</x:v>
      </x:c>
      <x:c r="B2560" s="84" t="n">
        <x:v>1955</x:v>
      </x:c>
      <x:c r="C2560" s="84" t="n">
        <x:v>49</x:v>
      </x:c>
      <x:c r="D2560" s="89" t="n">
        <x:v>45140</x:v>
      </x:c>
      <x:c r="E2560" s="84" t="n">
        <x:v>1</x:v>
      </x:c>
      <x:c r="F2560" s="91" t="n">
        <x:v>184.16</x:v>
      </x:c>
    </x:row>
    <x:row r="2561">
      <x:c r="A2561" s="83" t="n">
        <x:v>2560</x:v>
      </x:c>
      <x:c r="B2561" s="84" t="n">
        <x:v>1956</x:v>
      </x:c>
      <x:c r="C2561" s="84" t="n">
        <x:v>11</x:v>
      </x:c>
      <x:c r="D2561" s="89" t="n">
        <x:v>45089</x:v>
      </x:c>
      <x:c r="E2561" s="84" t="n">
        <x:v>2</x:v>
      </x:c>
      <x:c r="F2561" s="91" t="n">
        <x:v>4422.52</x:v>
      </x:c>
    </x:row>
    <x:row r="2562">
      <x:c r="A2562" s="83" t="n">
        <x:v>2561</x:v>
      </x:c>
      <x:c r="B2562" s="84" t="n">
        <x:v>1956</x:v>
      </x:c>
      <x:c r="C2562" s="84" t="n">
        <x:v>43</x:v>
      </x:c>
      <x:c r="D2562" s="89" t="n">
        <x:v>45089</x:v>
      </x:c>
      <x:c r="E2562" s="84" t="n">
        <x:v>4</x:v>
      </x:c>
      <x:c r="F2562" s="91" t="n">
        <x:v>5861.68</x:v>
      </x:c>
    </x:row>
    <x:row r="2563">
      <x:c r="A2563" s="83" t="n">
        <x:v>2562</x:v>
      </x:c>
      <x:c r="B2563" s="84" t="n">
        <x:v>1958</x:v>
      </x:c>
      <x:c r="C2563" s="84" t="n">
        <x:v>78</x:v>
      </x:c>
      <x:c r="D2563" s="89" t="n">
        <x:v>45615</x:v>
      </x:c>
      <x:c r="E2563" s="84" t="n">
        <x:v>4</x:v>
      </x:c>
      <x:c r="F2563" s="91" t="n">
        <x:v>1134.4</x:v>
      </x:c>
    </x:row>
    <x:row r="2564">
      <x:c r="A2564" s="83" t="n">
        <x:v>2563</x:v>
      </x:c>
      <x:c r="B2564" s="84" t="n">
        <x:v>1958</x:v>
      </x:c>
      <x:c r="C2564" s="84" t="n">
        <x:v>35</x:v>
      </x:c>
      <x:c r="D2564" s="89" t="n">
        <x:v>45615</x:v>
      </x:c>
      <x:c r="E2564" s="84" t="n">
        <x:v>1</x:v>
      </x:c>
      <x:c r="F2564" s="91" t="n">
        <x:v>1470.78</x:v>
      </x:c>
    </x:row>
    <x:row r="2565">
      <x:c r="A2565" s="83" t="n">
        <x:v>2564</x:v>
      </x:c>
      <x:c r="B2565" s="84" t="n">
        <x:v>1958</x:v>
      </x:c>
      <x:c r="C2565" s="84" t="n">
        <x:v>53</x:v>
      </x:c>
      <x:c r="D2565" s="89" t="n">
        <x:v>45615</x:v>
      </x:c>
      <x:c r="E2565" s="84" t="n">
        <x:v>1</x:v>
      </x:c>
      <x:c r="F2565" s="91" t="n">
        <x:v>1590.92</x:v>
      </x:c>
    </x:row>
    <x:row r="2566">
      <x:c r="A2566" s="83" t="n">
        <x:v>2565</x:v>
      </x:c>
      <x:c r="B2566" s="84" t="n">
        <x:v>1960</x:v>
      </x:c>
      <x:c r="C2566" s="84" t="n">
        <x:v>58</x:v>
      </x:c>
      <x:c r="D2566" s="89" t="n">
        <x:v>45249</x:v>
      </x:c>
      <x:c r="E2566" s="84" t="n">
        <x:v>4</x:v>
      </x:c>
      <x:c r="F2566" s="91" t="n">
        <x:v>8072.72</x:v>
      </x:c>
    </x:row>
    <x:row r="2567">
      <x:c r="A2567" s="83" t="n">
        <x:v>2566</x:v>
      </x:c>
      <x:c r="B2567" s="84" t="n">
        <x:v>1960</x:v>
      </x:c>
      <x:c r="C2567" s="84" t="n">
        <x:v>35</x:v>
      </x:c>
      <x:c r="D2567" s="89" t="n">
        <x:v>45249</x:v>
      </x:c>
      <x:c r="E2567" s="84" t="n">
        <x:v>2</x:v>
      </x:c>
      <x:c r="F2567" s="91" t="n">
        <x:v>2941.56</x:v>
      </x:c>
    </x:row>
    <x:row r="2568">
      <x:c r="A2568" s="83" t="n">
        <x:v>2567</x:v>
      </x:c>
      <x:c r="B2568" s="84" t="n">
        <x:v>1961</x:v>
      </x:c>
      <x:c r="C2568" s="84" t="n">
        <x:v>54</x:v>
      </x:c>
      <x:c r="D2568" s="89" t="n">
        <x:v>45331</x:v>
      </x:c>
      <x:c r="E2568" s="84" t="n">
        <x:v>3</x:v>
      </x:c>
      <x:c r="F2568" s="91" t="n">
        <x:v>2059.2</x:v>
      </x:c>
    </x:row>
    <x:row r="2569">
      <x:c r="A2569" s="83" t="n">
        <x:v>2568</x:v>
      </x:c>
      <x:c r="B2569" s="84" t="n">
        <x:v>1961</x:v>
      </x:c>
      <x:c r="C2569" s="84" t="n">
        <x:v>14</x:v>
      </x:c>
      <x:c r="D2569" s="89" t="n">
        <x:v>45331</x:v>
      </x:c>
      <x:c r="E2569" s="84" t="n">
        <x:v>3</x:v>
      </x:c>
      <x:c r="F2569" s="91" t="n">
        <x:v>527.16</x:v>
      </x:c>
    </x:row>
    <x:row r="2570">
      <x:c r="A2570" s="83" t="n">
        <x:v>2569</x:v>
      </x:c>
      <x:c r="B2570" s="84" t="n">
        <x:v>1963</x:v>
      </x:c>
      <x:c r="C2570" s="84" t="n">
        <x:v>53</x:v>
      </x:c>
      <x:c r="D2570" s="89" t="n">
        <x:v>45487</x:v>
      </x:c>
      <x:c r="E2570" s="84" t="n">
        <x:v>1</x:v>
      </x:c>
      <x:c r="F2570" s="91" t="n">
        <x:v>1590.92</x:v>
      </x:c>
    </x:row>
    <x:row r="2571">
      <x:c r="A2571" s="83" t="n">
        <x:v>2570</x:v>
      </x:c>
      <x:c r="B2571" s="84" t="n">
        <x:v>1963</x:v>
      </x:c>
      <x:c r="C2571" s="84" t="n">
        <x:v>20</x:v>
      </x:c>
      <x:c r="D2571" s="89" t="n">
        <x:v>45487</x:v>
      </x:c>
      <x:c r="E2571" s="84" t="n">
        <x:v>1</x:v>
      </x:c>
      <x:c r="F2571" s="91" t="n">
        <x:v>541.2</x:v>
      </x:c>
    </x:row>
    <x:row r="2572">
      <x:c r="A2572" s="83" t="n">
        <x:v>2571</x:v>
      </x:c>
      <x:c r="B2572" s="84" t="n">
        <x:v>1963</x:v>
      </x:c>
      <x:c r="C2572" s="84" t="n">
        <x:v>41</x:v>
      </x:c>
      <x:c r="D2572" s="89" t="n">
        <x:v>45487</x:v>
      </x:c>
      <x:c r="E2572" s="84" t="n">
        <x:v>4</x:v>
      </x:c>
      <x:c r="F2572" s="91" t="n">
        <x:v>4728.08</x:v>
      </x:c>
    </x:row>
    <x:row r="2573">
      <x:c r="A2573" s="83" t="n">
        <x:v>2572</x:v>
      </x:c>
      <x:c r="B2573" s="84" t="n">
        <x:v>1969</x:v>
      </x:c>
      <x:c r="C2573" s="84" t="n">
        <x:v>57</x:v>
      </x:c>
      <x:c r="D2573" s="89" t="n">
        <x:v>45717</x:v>
      </x:c>
      <x:c r="E2573" s="84" t="n">
        <x:v>4</x:v>
      </x:c>
      <x:c r="F2573" s="91" t="n">
        <x:v>4716.24</x:v>
      </x:c>
    </x:row>
    <x:row r="2574">
      <x:c r="A2574" s="83" t="n">
        <x:v>2573</x:v>
      </x:c>
      <x:c r="B2574" s="84" t="n">
        <x:v>1970</x:v>
      </x:c>
      <x:c r="C2574" s="84" t="n">
        <x:v>52</x:v>
      </x:c>
      <x:c r="D2574" s="89" t="n">
        <x:v>45769</x:v>
      </x:c>
      <x:c r="E2574" s="84" t="n">
        <x:v>3</x:v>
      </x:c>
      <x:c r="F2574" s="91" t="n">
        <x:v>2641.89</x:v>
      </x:c>
    </x:row>
    <x:row r="2575">
      <x:c r="A2575" s="83" t="n">
        <x:v>2574</x:v>
      </x:c>
      <x:c r="B2575" s="84" t="n">
        <x:v>1970</x:v>
      </x:c>
      <x:c r="C2575" s="84" t="n">
        <x:v>53</x:v>
      </x:c>
      <x:c r="D2575" s="89" t="n">
        <x:v>45769</x:v>
      </x:c>
      <x:c r="E2575" s="84" t="n">
        <x:v>2</x:v>
      </x:c>
      <x:c r="F2575" s="91" t="n">
        <x:v>3181.84</x:v>
      </x:c>
    </x:row>
    <x:row r="2576">
      <x:c r="A2576" s="83" t="n">
        <x:v>2575</x:v>
      </x:c>
      <x:c r="B2576" s="84" t="n">
        <x:v>1970</x:v>
      </x:c>
      <x:c r="C2576" s="84" t="n">
        <x:v>11</x:v>
      </x:c>
      <x:c r="D2576" s="89" t="n">
        <x:v>45769</x:v>
      </x:c>
      <x:c r="E2576" s="84" t="n">
        <x:v>3</x:v>
      </x:c>
      <x:c r="F2576" s="91" t="n">
        <x:v>6633.78</x:v>
      </x:c>
    </x:row>
    <x:row r="2577">
      <x:c r="A2577" s="83" t="n">
        <x:v>2576</x:v>
      </x:c>
      <x:c r="B2577" s="84" t="n">
        <x:v>1971</x:v>
      </x:c>
      <x:c r="C2577" s="84" t="n">
        <x:v>42</x:v>
      </x:c>
      <x:c r="D2577" s="89" t="n">
        <x:v>46016</x:v>
      </x:c>
      <x:c r="E2577" s="84" t="n">
        <x:v>1</x:v>
      </x:c>
      <x:c r="F2577" s="91" t="n">
        <x:v>2171.74</x:v>
      </x:c>
    </x:row>
    <x:row r="2578">
      <x:c r="A2578" s="83" t="n">
        <x:v>2577</x:v>
      </x:c>
      <x:c r="B2578" s="84" t="n">
        <x:v>1972</x:v>
      </x:c>
      <x:c r="C2578" s="84" t="n">
        <x:v>10</x:v>
      </x:c>
      <x:c r="D2578" s="89" t="n">
        <x:v>45475</x:v>
      </x:c>
      <x:c r="E2578" s="84" t="n">
        <x:v>3</x:v>
      </x:c>
      <x:c r="F2578" s="91" t="n">
        <x:v>2624.58</x:v>
      </x:c>
    </x:row>
    <x:row r="2579">
      <x:c r="A2579" s="83" t="n">
        <x:v>2578</x:v>
      </x:c>
      <x:c r="B2579" s="84" t="n">
        <x:v>1972</x:v>
      </x:c>
      <x:c r="C2579" s="84" t="n">
        <x:v>26</x:v>
      </x:c>
      <x:c r="D2579" s="89" t="n">
        <x:v>45475</x:v>
      </x:c>
      <x:c r="E2579" s="84" t="n">
        <x:v>1</x:v>
      </x:c>
      <x:c r="F2579" s="91" t="n">
        <x:v>2151</x:v>
      </x:c>
    </x:row>
    <x:row r="2580">
      <x:c r="A2580" s="83" t="n">
        <x:v>2579</x:v>
      </x:c>
      <x:c r="B2580" s="84" t="n">
        <x:v>1975</x:v>
      </x:c>
      <x:c r="C2580" s="84" t="n">
        <x:v>37</x:v>
      </x:c>
      <x:c r="D2580" s="89" t="n">
        <x:v>45461</x:v>
      </x:c>
      <x:c r="E2580" s="84" t="n">
        <x:v>2</x:v>
      </x:c>
      <x:c r="F2580" s="91" t="n">
        <x:v>2067.42</x:v>
      </x:c>
    </x:row>
    <x:row r="2581">
      <x:c r="A2581" s="83" t="n">
        <x:v>2580</x:v>
      </x:c>
      <x:c r="B2581" s="84" t="n">
        <x:v>1976</x:v>
      </x:c>
      <x:c r="C2581" s="84" t="n">
        <x:v>42</x:v>
      </x:c>
      <x:c r="D2581" s="89" t="n">
        <x:v>45921</x:v>
      </x:c>
      <x:c r="E2581" s="84" t="n">
        <x:v>1</x:v>
      </x:c>
      <x:c r="F2581" s="91" t="n">
        <x:v>2171.74</x:v>
      </x:c>
    </x:row>
    <x:row r="2582">
      <x:c r="A2582" s="83" t="n">
        <x:v>2581</x:v>
      </x:c>
      <x:c r="B2582" s="84" t="n">
        <x:v>1976</x:v>
      </x:c>
      <x:c r="C2582" s="84" t="n">
        <x:v>21</x:v>
      </x:c>
      <x:c r="D2582" s="89" t="n">
        <x:v>45921</x:v>
      </x:c>
      <x:c r="E2582" s="84" t="n">
        <x:v>2</x:v>
      </x:c>
      <x:c r="F2582" s="91" t="n">
        <x:v>4577.74</x:v>
      </x:c>
    </x:row>
    <x:row r="2583">
      <x:c r="A2583" s="83" t="n">
        <x:v>2582</x:v>
      </x:c>
      <x:c r="B2583" s="84" t="n">
        <x:v>1976</x:v>
      </x:c>
      <x:c r="C2583" s="84" t="n">
        <x:v>21</x:v>
      </x:c>
      <x:c r="D2583" s="89" t="n">
        <x:v>45921</x:v>
      </x:c>
      <x:c r="E2583" s="84" t="n">
        <x:v>1</x:v>
      </x:c>
      <x:c r="F2583" s="91" t="n">
        <x:v>2288.87</x:v>
      </x:c>
    </x:row>
    <x:row r="2584">
      <x:c r="A2584" s="83" t="n">
        <x:v>2583</x:v>
      </x:c>
      <x:c r="B2584" s="84" t="n">
        <x:v>1979</x:v>
      </x:c>
      <x:c r="C2584" s="84" t="n">
        <x:v>47</x:v>
      </x:c>
      <x:c r="D2584" s="89" t="n">
        <x:v>45664</x:v>
      </x:c>
      <x:c r="E2584" s="84" t="n">
        <x:v>4</x:v>
      </x:c>
      <x:c r="F2584" s="91" t="n">
        <x:v>8702.48</x:v>
      </x:c>
    </x:row>
    <x:row r="2585">
      <x:c r="A2585" s="83" t="n">
        <x:v>2584</x:v>
      </x:c>
      <x:c r="B2585" s="84" t="n">
        <x:v>1982</x:v>
      </x:c>
      <x:c r="C2585" s="84" t="n">
        <x:v>32</x:v>
      </x:c>
      <x:c r="D2585" s="89" t="n">
        <x:v>45982</x:v>
      </x:c>
      <x:c r="E2585" s="84" t="n">
        <x:v>2</x:v>
      </x:c>
      <x:c r="F2585" s="91" t="n">
        <x:v>3626.5</x:v>
      </x:c>
    </x:row>
    <x:row r="2586">
      <x:c r="A2586" s="83" t="n">
        <x:v>2585</x:v>
      </x:c>
      <x:c r="B2586" s="84" t="n">
        <x:v>1982</x:v>
      </x:c>
      <x:c r="C2586" s="84" t="n">
        <x:v>54</x:v>
      </x:c>
      <x:c r="D2586" s="89" t="n">
        <x:v>45982</x:v>
      </x:c>
      <x:c r="E2586" s="84" t="n">
        <x:v>1</x:v>
      </x:c>
      <x:c r="F2586" s="91" t="n">
        <x:v>686.4</x:v>
      </x:c>
    </x:row>
    <x:row r="2587">
      <x:c r="A2587" s="83" t="n">
        <x:v>2586</x:v>
      </x:c>
      <x:c r="B2587" s="84" t="n">
        <x:v>1984</x:v>
      </x:c>
      <x:c r="C2587" s="84" t="n">
        <x:v>49</x:v>
      </x:c>
      <x:c r="D2587" s="89" t="n">
        <x:v>45074</x:v>
      </x:c>
      <x:c r="E2587" s="84" t="n">
        <x:v>4</x:v>
      </x:c>
      <x:c r="F2587" s="91" t="n">
        <x:v>736.64</x:v>
      </x:c>
    </x:row>
    <x:row r="2588">
      <x:c r="A2588" s="83" t="n">
        <x:v>2587</x:v>
      </x:c>
      <x:c r="B2588" s="84" t="n">
        <x:v>1984</x:v>
      </x:c>
      <x:c r="C2588" s="84" t="n">
        <x:v>71</x:v>
      </x:c>
      <x:c r="D2588" s="89" t="n">
        <x:v>45074</x:v>
      </x:c>
      <x:c r="E2588" s="84" t="n">
        <x:v>3</x:v>
      </x:c>
      <x:c r="F2588" s="91" t="n">
        <x:v>5950.56</x:v>
      </x:c>
    </x:row>
    <x:row r="2589">
      <x:c r="A2589" s="83" t="n">
        <x:v>2588</x:v>
      </x:c>
      <x:c r="B2589" s="84" t="n">
        <x:v>1985</x:v>
      </x:c>
      <x:c r="C2589" s="84" t="n">
        <x:v>35</x:v>
      </x:c>
      <x:c r="D2589" s="89" t="n">
        <x:v>45887</x:v>
      </x:c>
      <x:c r="E2589" s="84" t="n">
        <x:v>1</x:v>
      </x:c>
      <x:c r="F2589" s="91" t="n">
        <x:v>1470.78</x:v>
      </x:c>
    </x:row>
    <x:row r="2590">
      <x:c r="A2590" s="83" t="n">
        <x:v>2589</x:v>
      </x:c>
      <x:c r="B2590" s="84" t="n">
        <x:v>1985</x:v>
      </x:c>
      <x:c r="C2590" s="84" t="n">
        <x:v>39</x:v>
      </x:c>
      <x:c r="D2590" s="89" t="n">
        <x:v>45887</x:v>
      </x:c>
      <x:c r="E2590" s="84" t="n">
        <x:v>3</x:v>
      </x:c>
      <x:c r="F2590" s="91" t="n">
        <x:v>2032.8</x:v>
      </x:c>
    </x:row>
    <x:row r="2591">
      <x:c r="A2591" s="83" t="n">
        <x:v>2590</x:v>
      </x:c>
      <x:c r="B2591" s="84" t="n">
        <x:v>1985</x:v>
      </x:c>
      <x:c r="C2591" s="84" t="n">
        <x:v>44</x:v>
      </x:c>
      <x:c r="D2591" s="89" t="n">
        <x:v>45887</x:v>
      </x:c>
      <x:c r="E2591" s="84" t="n">
        <x:v>3</x:v>
      </x:c>
      <x:c r="F2591" s="91" t="n">
        <x:v>3754.44</x:v>
      </x:c>
    </x:row>
    <x:row r="2592">
      <x:c r="A2592" s="83" t="n">
        <x:v>2591</x:v>
      </x:c>
      <x:c r="B2592" s="84" t="n">
        <x:v>1986</x:v>
      </x:c>
      <x:c r="C2592" s="84" t="n">
        <x:v>20</x:v>
      </x:c>
      <x:c r="D2592" s="89" t="n">
        <x:v>45508</x:v>
      </x:c>
      <x:c r="E2592" s="84" t="n">
        <x:v>2</x:v>
      </x:c>
      <x:c r="F2592" s="91" t="n">
        <x:v>1082.4</x:v>
      </x:c>
    </x:row>
    <x:row r="2593">
      <x:c r="A2593" s="83" t="n">
        <x:v>2592</x:v>
      </x:c>
      <x:c r="B2593" s="84" t="n">
        <x:v>1986</x:v>
      </x:c>
      <x:c r="C2593" s="84" t="n">
        <x:v>4</x:v>
      </x:c>
      <x:c r="D2593" s="89" t="n">
        <x:v>45508</x:v>
      </x:c>
      <x:c r="E2593" s="84" t="n">
        <x:v>4</x:v>
      </x:c>
      <x:c r="F2593" s="91" t="n">
        <x:v>6101.24</x:v>
      </x:c>
    </x:row>
    <x:row r="2594">
      <x:c r="A2594" s="83" t="n">
        <x:v>2593</x:v>
      </x:c>
      <x:c r="B2594" s="84" t="n">
        <x:v>1986</x:v>
      </x:c>
      <x:c r="C2594" s="84" t="n">
        <x:v>52</x:v>
      </x:c>
      <x:c r="D2594" s="89" t="n">
        <x:v>45508</x:v>
      </x:c>
      <x:c r="E2594" s="84" t="n">
        <x:v>4</x:v>
      </x:c>
      <x:c r="F2594" s="91" t="n">
        <x:v>3522.52</x:v>
      </x:c>
    </x:row>
    <x:row r="2595">
      <x:c r="A2595" s="83" t="n">
        <x:v>2594</x:v>
      </x:c>
      <x:c r="B2595" s="84" t="n">
        <x:v>1988</x:v>
      </x:c>
      <x:c r="C2595" s="84" t="n">
        <x:v>12</x:v>
      </x:c>
      <x:c r="D2595" s="89" t="n">
        <x:v>45425</x:v>
      </x:c>
      <x:c r="E2595" s="84" t="n">
        <x:v>4</x:v>
      </x:c>
      <x:c r="F2595" s="91" t="n">
        <x:v>1137.96</x:v>
      </x:c>
    </x:row>
    <x:row r="2596">
      <x:c r="A2596" s="83" t="n">
        <x:v>2595</x:v>
      </x:c>
      <x:c r="B2596" s="84" t="n">
        <x:v>1988</x:v>
      </x:c>
      <x:c r="C2596" s="84" t="n">
        <x:v>50</x:v>
      </x:c>
      <x:c r="D2596" s="89" t="n">
        <x:v>45425</x:v>
      </x:c>
      <x:c r="E2596" s="84" t="n">
        <x:v>1</x:v>
      </x:c>
      <x:c r="F2596" s="91" t="n">
        <x:v>2235.95</x:v>
      </x:c>
    </x:row>
    <x:row r="2597">
      <x:c r="A2597" s="83" t="n">
        <x:v>2596</x:v>
      </x:c>
      <x:c r="B2597" s="84" t="n">
        <x:v>1989</x:v>
      </x:c>
      <x:c r="C2597" s="84" t="n">
        <x:v>55</x:v>
      </x:c>
      <x:c r="D2597" s="89" t="n">
        <x:v>45247</x:v>
      </x:c>
      <x:c r="E2597" s="84" t="n">
        <x:v>1</x:v>
      </x:c>
      <x:c r="F2597" s="91" t="n">
        <x:v>1499.85</x:v>
      </x:c>
    </x:row>
    <x:row r="2598">
      <x:c r="A2598" s="83" t="n">
        <x:v>2597</x:v>
      </x:c>
      <x:c r="B2598" s="84" t="n">
        <x:v>1990</x:v>
      </x:c>
      <x:c r="C2598" s="84" t="n">
        <x:v>26</x:v>
      </x:c>
      <x:c r="D2598" s="89" t="n">
        <x:v>45185</x:v>
      </x:c>
      <x:c r="E2598" s="84" t="n">
        <x:v>3</x:v>
      </x:c>
      <x:c r="F2598" s="91" t="n">
        <x:v>6453</x:v>
      </x:c>
    </x:row>
    <x:row r="2599">
      <x:c r="A2599" s="83" t="n">
        <x:v>2598</x:v>
      </x:c>
      <x:c r="B2599" s="84" t="n">
        <x:v>1991</x:v>
      </x:c>
      <x:c r="C2599" s="84" t="n">
        <x:v>39</x:v>
      </x:c>
      <x:c r="D2599" s="89" t="n">
        <x:v>45046</x:v>
      </x:c>
      <x:c r="E2599" s="84" t="n">
        <x:v>4</x:v>
      </x:c>
      <x:c r="F2599" s="91" t="n">
        <x:v>2710.4</x:v>
      </x:c>
    </x:row>
    <x:row r="2600">
      <x:c r="A2600" s="83" t="n">
        <x:v>2599</x:v>
      </x:c>
      <x:c r="B2600" s="84" t="n">
        <x:v>1991</x:v>
      </x:c>
      <x:c r="C2600" s="84" t="n">
        <x:v>34</x:v>
      </x:c>
      <x:c r="D2600" s="89" t="n">
        <x:v>45046</x:v>
      </x:c>
      <x:c r="E2600" s="84" t="n">
        <x:v>2</x:v>
      </x:c>
      <x:c r="F2600" s="91" t="n">
        <x:v>3954.18</x:v>
      </x:c>
    </x:row>
    <x:row r="2601">
      <x:c r="A2601" s="83" t="n">
        <x:v>2600</x:v>
      </x:c>
      <x:c r="B2601" s="84" t="n">
        <x:v>1991</x:v>
      </x:c>
      <x:c r="C2601" s="84" t="n">
        <x:v>51</x:v>
      </x:c>
      <x:c r="D2601" s="89" t="n">
        <x:v>45046</x:v>
      </x:c>
      <x:c r="E2601" s="84" t="n">
        <x:v>4</x:v>
      </x:c>
      <x:c r="F2601" s="91" t="n">
        <x:v>3568.64</x:v>
      </x:c>
    </x:row>
    <x:row r="2602">
      <x:c r="A2602" s="83" t="n">
        <x:v>2601</x:v>
      </x:c>
      <x:c r="B2602" s="84" t="n">
        <x:v>1994</x:v>
      </x:c>
      <x:c r="C2602" s="84" t="n">
        <x:v>37</x:v>
      </x:c>
      <x:c r="D2602" s="89" t="n">
        <x:v>45045</x:v>
      </x:c>
      <x:c r="E2602" s="84" t="n">
        <x:v>2</x:v>
      </x:c>
      <x:c r="F2602" s="91" t="n">
        <x:v>2067.42</x:v>
      </x:c>
    </x:row>
    <x:row r="2603">
      <x:c r="A2603" s="83" t="n">
        <x:v>2602</x:v>
      </x:c>
      <x:c r="B2603" s="84" t="n">
        <x:v>1994</x:v>
      </x:c>
      <x:c r="C2603" s="84" t="n">
        <x:v>23</x:v>
      </x:c>
      <x:c r="D2603" s="89" t="n">
        <x:v>45045</x:v>
      </x:c>
      <x:c r="E2603" s="84" t="n">
        <x:v>1</x:v>
      </x:c>
      <x:c r="F2603" s="91" t="n">
        <x:v>1752.85</x:v>
      </x:c>
    </x:row>
    <x:row r="2604">
      <x:c r="A2604" s="83" t="n">
        <x:v>2603</x:v>
      </x:c>
      <x:c r="B2604" s="84" t="n">
        <x:v>1995</x:v>
      </x:c>
      <x:c r="C2604" s="84" t="n">
        <x:v>10</x:v>
      </x:c>
      <x:c r="D2604" s="89" t="n">
        <x:v>45677</x:v>
      </x:c>
      <x:c r="E2604" s="84" t="n">
        <x:v>4</x:v>
      </x:c>
      <x:c r="F2604" s="91" t="n">
        <x:v>3499.44</x:v>
      </x:c>
    </x:row>
    <x:row r="2605">
      <x:c r="A2605" s="83" t="n">
        <x:v>2604</x:v>
      </x:c>
      <x:c r="B2605" s="84" t="n">
        <x:v>1995</x:v>
      </x:c>
      <x:c r="C2605" s="84" t="n">
        <x:v>15</x:v>
      </x:c>
      <x:c r="D2605" s="89" t="n">
        <x:v>45677</x:v>
      </x:c>
      <x:c r="E2605" s="84" t="n">
        <x:v>3</x:v>
      </x:c>
      <x:c r="F2605" s="91" t="n">
        <x:v>3703.83</x:v>
      </x:c>
    </x:row>
    <x:row r="2606">
      <x:c r="A2606" s="83" t="n">
        <x:v>2605</x:v>
      </x:c>
      <x:c r="B2606" s="84" t="n">
        <x:v>1996</x:v>
      </x:c>
      <x:c r="C2606" s="84" t="n">
        <x:v>6</x:v>
      </x:c>
      <x:c r="D2606" s="89" t="n">
        <x:v>45662</x:v>
      </x:c>
      <x:c r="E2606" s="84" t="n">
        <x:v>2</x:v>
      </x:c>
      <x:c r="F2606" s="91" t="n">
        <x:v>1394.74</x:v>
      </x:c>
    </x:row>
    <x:row r="2607">
      <x:c r="A2607" s="83" t="n">
        <x:v>2606</x:v>
      </x:c>
      <x:c r="B2607" s="84" t="n">
        <x:v>1996</x:v>
      </x:c>
      <x:c r="C2607" s="84" t="n">
        <x:v>63</x:v>
      </x:c>
      <x:c r="D2607" s="89" t="n">
        <x:v>45662</x:v>
      </x:c>
      <x:c r="E2607" s="84" t="n">
        <x:v>4</x:v>
      </x:c>
      <x:c r="F2607" s="91" t="n">
        <x:v>7736.76</x:v>
      </x:c>
    </x:row>
    <x:row r="2608">
      <x:c r="A2608" s="83" t="n">
        <x:v>2607</x:v>
      </x:c>
      <x:c r="B2608" s="84" t="n">
        <x:v>1997</x:v>
      </x:c>
      <x:c r="C2608" s="84" t="n">
        <x:v>63</x:v>
      </x:c>
      <x:c r="D2608" s="89" t="n">
        <x:v>45950</x:v>
      </x:c>
      <x:c r="E2608" s="84" t="n">
        <x:v>2</x:v>
      </x:c>
      <x:c r="F2608" s="91" t="n">
        <x:v>3868.38</x:v>
      </x:c>
    </x:row>
    <x:row r="2609">
      <x:c r="A2609" s="83" t="n">
        <x:v>2608</x:v>
      </x:c>
      <x:c r="B2609" s="84" t="n">
        <x:v>1998</x:v>
      </x:c>
      <x:c r="C2609" s="84" t="n">
        <x:v>23</x:v>
      </x:c>
      <x:c r="D2609" s="89" t="n">
        <x:v>45687</x:v>
      </x:c>
      <x:c r="E2609" s="84" t="n">
        <x:v>2</x:v>
      </x:c>
      <x:c r="F2609" s="91" t="n">
        <x:v>3505.7</x:v>
      </x:c>
    </x:row>
    <x:row r="2610">
      <x:c r="A2610" s="83" t="n">
        <x:v>2609</x:v>
      </x:c>
      <x:c r="B2610" s="84" t="n">
        <x:v>1998</x:v>
      </x:c>
      <x:c r="C2610" s="84" t="n">
        <x:v>19</x:v>
      </x:c>
      <x:c r="D2610" s="89" t="n">
        <x:v>45687</x:v>
      </x:c>
      <x:c r="E2610" s="84" t="n">
        <x:v>1</x:v>
      </x:c>
      <x:c r="F2610" s="91" t="n">
        <x:v>1087.71</x:v>
      </x:c>
    </x:row>
    <x:row r="2611">
      <x:c r="A2611" s="83" t="n">
        <x:v>2610</x:v>
      </x:c>
      <x:c r="B2611" s="84" t="n">
        <x:v>1999</x:v>
      </x:c>
      <x:c r="C2611" s="84" t="n">
        <x:v>43</x:v>
      </x:c>
      <x:c r="D2611" s="89" t="n">
        <x:v>45859</x:v>
      </x:c>
      <x:c r="E2611" s="84" t="n">
        <x:v>3</x:v>
      </x:c>
      <x:c r="F2611" s="91" t="n">
        <x:v>4396.26</x:v>
      </x:c>
    </x:row>
    <x:row r="2612">
      <x:c r="A2612" s="83" t="n">
        <x:v>2611</x:v>
      </x:c>
      <x:c r="B2612" s="84" t="n">
        <x:v>1999</x:v>
      </x:c>
      <x:c r="C2612" s="84" t="n">
        <x:v>13</x:v>
      </x:c>
      <x:c r="D2612" s="89" t="n">
        <x:v>45859</x:v>
      </x:c>
      <x:c r="E2612" s="84" t="n">
        <x:v>2</x:v>
      </x:c>
      <x:c r="F2612" s="91" t="n">
        <x:v>1604.1</x:v>
      </x:c>
    </x:row>
    <x:row r="2613">
      <x:c r="A2613" s="83" t="n">
        <x:v>2612</x:v>
      </x:c>
      <x:c r="B2613" s="84" t="n">
        <x:v>2001</x:v>
      </x:c>
      <x:c r="C2613" s="84" t="n">
        <x:v>54</x:v>
      </x:c>
      <x:c r="D2613" s="89" t="n">
        <x:v>45544</x:v>
      </x:c>
      <x:c r="E2613" s="84" t="n">
        <x:v>3</x:v>
      </x:c>
      <x:c r="F2613" s="91" t="n">
        <x:v>2059.2</x:v>
      </x:c>
    </x:row>
    <x:row r="2614">
      <x:c r="A2614" s="83" t="n">
        <x:v>2613</x:v>
      </x:c>
      <x:c r="B2614" s="84" t="n">
        <x:v>2001</x:v>
      </x:c>
      <x:c r="C2614" s="84" t="n">
        <x:v>47</x:v>
      </x:c>
      <x:c r="D2614" s="89" t="n">
        <x:v>45544</x:v>
      </x:c>
      <x:c r="E2614" s="84" t="n">
        <x:v>1</x:v>
      </x:c>
      <x:c r="F2614" s="91" t="n">
        <x:v>2175.62</x:v>
      </x:c>
    </x:row>
    <x:row r="2615">
      <x:c r="A2615" s="83" t="n">
        <x:v>2614</x:v>
      </x:c>
      <x:c r="B2615" s="84" t="n">
        <x:v>2001</x:v>
      </x:c>
      <x:c r="C2615" s="84" t="n">
        <x:v>38</x:v>
      </x:c>
      <x:c r="D2615" s="89" t="n">
        <x:v>45544</x:v>
      </x:c>
      <x:c r="E2615" s="84" t="n">
        <x:v>3</x:v>
      </x:c>
      <x:c r="F2615" s="91" t="n">
        <x:v>2179.47</x:v>
      </x:c>
    </x:row>
    <x:row r="2616">
      <x:c r="A2616" s="83" t="n">
        <x:v>2615</x:v>
      </x:c>
      <x:c r="B2616" s="84" t="n">
        <x:v>2004</x:v>
      </x:c>
      <x:c r="C2616" s="84" t="n">
        <x:v>67</x:v>
      </x:c>
      <x:c r="D2616" s="89" t="n">
        <x:v>45519</x:v>
      </x:c>
      <x:c r="E2616" s="84" t="n">
        <x:v>4</x:v>
      </x:c>
      <x:c r="F2616" s="91" t="n">
        <x:v>5118.12</x:v>
      </x:c>
    </x:row>
    <x:row r="2617">
      <x:c r="A2617" s="83" t="n">
        <x:v>2616</x:v>
      </x:c>
      <x:c r="B2617" s="84" t="n">
        <x:v>2005</x:v>
      </x:c>
      <x:c r="C2617" s="84" t="n">
        <x:v>45</x:v>
      </x:c>
      <x:c r="D2617" s="89" t="n">
        <x:v>45375</x:v>
      </x:c>
      <x:c r="E2617" s="84" t="n">
        <x:v>2</x:v>
      </x:c>
      <x:c r="F2617" s="91" t="n">
        <x:v>2782.84</x:v>
      </x:c>
    </x:row>
    <x:row r="2618">
      <x:c r="A2618" s="83" t="n">
        <x:v>2617</x:v>
      </x:c>
      <x:c r="B2618" s="84" t="n">
        <x:v>2005</x:v>
      </x:c>
      <x:c r="C2618" s="84" t="n">
        <x:v>78</x:v>
      </x:c>
      <x:c r="D2618" s="89" t="n">
        <x:v>45375</x:v>
      </x:c>
      <x:c r="E2618" s="84" t="n">
        <x:v>2</x:v>
      </x:c>
      <x:c r="F2618" s="91" t="n">
        <x:v>567.2</x:v>
      </x:c>
    </x:row>
    <x:row r="2619">
      <x:c r="A2619" s="83" t="n">
        <x:v>2618</x:v>
      </x:c>
      <x:c r="B2619" s="84" t="n">
        <x:v>2006</x:v>
      </x:c>
      <x:c r="C2619" s="84" t="n">
        <x:v>63</x:v>
      </x:c>
      <x:c r="D2619" s="89" t="n">
        <x:v>45880</x:v>
      </x:c>
      <x:c r="E2619" s="84" t="n">
        <x:v>3</x:v>
      </x:c>
      <x:c r="F2619" s="91" t="n">
        <x:v>5802.57</x:v>
      </x:c>
    </x:row>
    <x:row r="2620">
      <x:c r="A2620" s="83" t="n">
        <x:v>2619</x:v>
      </x:c>
      <x:c r="B2620" s="84" t="n">
        <x:v>2008</x:v>
      </x:c>
      <x:c r="C2620" s="84" t="n">
        <x:v>61</x:v>
      </x:c>
      <x:c r="D2620" s="89" t="n">
        <x:v>45952</x:v>
      </x:c>
      <x:c r="E2620" s="84" t="n">
        <x:v>4</x:v>
      </x:c>
      <x:c r="F2620" s="91" t="n">
        <x:v>526.88</x:v>
      </x:c>
    </x:row>
    <x:row r="2621">
      <x:c r="A2621" s="83" t="n">
        <x:v>2620</x:v>
      </x:c>
      <x:c r="B2621" s="84" t="n">
        <x:v>2009</x:v>
      </x:c>
      <x:c r="C2621" s="84" t="n">
        <x:v>42</x:v>
      </x:c>
      <x:c r="D2621" s="89" t="n">
        <x:v>45340</x:v>
      </x:c>
      <x:c r="E2621" s="84" t="n">
        <x:v>1</x:v>
      </x:c>
      <x:c r="F2621" s="91" t="n">
        <x:v>2171.74</x:v>
      </x:c>
    </x:row>
    <x:row r="2622">
      <x:c r="A2622" s="83" t="n">
        <x:v>2621</x:v>
      </x:c>
      <x:c r="B2622" s="84" t="n">
        <x:v>2009</x:v>
      </x:c>
      <x:c r="C2622" s="84" t="n">
        <x:v>13</x:v>
      </x:c>
      <x:c r="D2622" s="89" t="n">
        <x:v>45340</x:v>
      </x:c>
      <x:c r="E2622" s="84" t="n">
        <x:v>2</x:v>
      </x:c>
      <x:c r="F2622" s="91" t="n">
        <x:v>1604.1</x:v>
      </x:c>
    </x:row>
    <x:row r="2623">
      <x:c r="A2623" s="83" t="n">
        <x:v>2622</x:v>
      </x:c>
      <x:c r="B2623" s="84" t="n">
        <x:v>2009</x:v>
      </x:c>
      <x:c r="C2623" s="84" t="n">
        <x:v>30</x:v>
      </x:c>
      <x:c r="D2623" s="89" t="n">
        <x:v>45340</x:v>
      </x:c>
      <x:c r="E2623" s="84" t="n">
        <x:v>1</x:v>
      </x:c>
      <x:c r="F2623" s="91" t="n">
        <x:v>1278.76</x:v>
      </x:c>
    </x:row>
    <x:row r="2624">
      <x:c r="A2624" s="83" t="n">
        <x:v>2623</x:v>
      </x:c>
      <x:c r="B2624" s="84" t="n">
        <x:v>2010</x:v>
      </x:c>
      <x:c r="C2624" s="84" t="n">
        <x:v>13</x:v>
      </x:c>
      <x:c r="D2624" s="89" t="n">
        <x:v>45235</x:v>
      </x:c>
      <x:c r="E2624" s="84" t="n">
        <x:v>2</x:v>
      </x:c>
      <x:c r="F2624" s="91" t="n">
        <x:v>1604.1</x:v>
      </x:c>
    </x:row>
    <x:row r="2625">
      <x:c r="A2625" s="83" t="n">
        <x:v>2624</x:v>
      </x:c>
      <x:c r="B2625" s="84" t="n">
        <x:v>2010</x:v>
      </x:c>
      <x:c r="C2625" s="84" t="n">
        <x:v>10</x:v>
      </x:c>
      <x:c r="D2625" s="89" t="n">
        <x:v>45235</x:v>
      </x:c>
      <x:c r="E2625" s="84" t="n">
        <x:v>3</x:v>
      </x:c>
      <x:c r="F2625" s="91" t="n">
        <x:v>2624.58</x:v>
      </x:c>
    </x:row>
    <x:row r="2626">
      <x:c r="A2626" s="83" t="n">
        <x:v>2625</x:v>
      </x:c>
      <x:c r="B2626" s="84" t="n">
        <x:v>2012</x:v>
      </x:c>
      <x:c r="C2626" s="84" t="n">
        <x:v>56</x:v>
      </x:c>
      <x:c r="D2626" s="89" t="n">
        <x:v>45749</x:v>
      </x:c>
      <x:c r="E2626" s="84" t="n">
        <x:v>1</x:v>
      </x:c>
      <x:c r="F2626" s="91" t="n">
        <x:v>1468.46</x:v>
      </x:c>
    </x:row>
    <x:row r="2627">
      <x:c r="A2627" s="83" t="n">
        <x:v>2626</x:v>
      </x:c>
      <x:c r="B2627" s="84" t="n">
        <x:v>2014</x:v>
      </x:c>
      <x:c r="C2627" s="84" t="n">
        <x:v>63</x:v>
      </x:c>
      <x:c r="D2627" s="89" t="n">
        <x:v>45833</x:v>
      </x:c>
      <x:c r="E2627" s="84" t="n">
        <x:v>4</x:v>
      </x:c>
      <x:c r="F2627" s="91" t="n">
        <x:v>7736.76</x:v>
      </x:c>
    </x:row>
    <x:row r="2628">
      <x:c r="A2628" s="83" t="n">
        <x:v>2627</x:v>
      </x:c>
      <x:c r="B2628" s="84" t="n">
        <x:v>2014</x:v>
      </x:c>
      <x:c r="C2628" s="84" t="n">
        <x:v>56</x:v>
      </x:c>
      <x:c r="D2628" s="89" t="n">
        <x:v>45833</x:v>
      </x:c>
      <x:c r="E2628" s="84" t="n">
        <x:v>2</x:v>
      </x:c>
      <x:c r="F2628" s="91" t="n">
        <x:v>2936.92</x:v>
      </x:c>
    </x:row>
    <x:row r="2629">
      <x:c r="A2629" s="83" t="n">
        <x:v>2628</x:v>
      </x:c>
      <x:c r="B2629" s="84" t="n">
        <x:v>2015</x:v>
      </x:c>
      <x:c r="C2629" s="84" t="n">
        <x:v>23</x:v>
      </x:c>
      <x:c r="D2629" s="89" t="n">
        <x:v>45441</x:v>
      </x:c>
      <x:c r="E2629" s="84" t="n">
        <x:v>3</x:v>
      </x:c>
      <x:c r="F2629" s="91" t="n">
        <x:v>5258.55</x:v>
      </x:c>
    </x:row>
    <x:row r="2630">
      <x:c r="A2630" s="83" t="n">
        <x:v>2629</x:v>
      </x:c>
      <x:c r="B2630" s="84" t="n">
        <x:v>2016</x:v>
      </x:c>
      <x:c r="C2630" s="84" t="n">
        <x:v>79</x:v>
      </x:c>
      <x:c r="D2630" s="89" t="n">
        <x:v>45787</x:v>
      </x:c>
      <x:c r="E2630" s="84" t="n">
        <x:v>1</x:v>
      </x:c>
      <x:c r="F2630" s="91" t="n">
        <x:v>2066.72</x:v>
      </x:c>
    </x:row>
    <x:row r="2631">
      <x:c r="A2631" s="83" t="n">
        <x:v>2630</x:v>
      </x:c>
      <x:c r="B2631" s="84" t="n">
        <x:v>2016</x:v>
      </x:c>
      <x:c r="C2631" s="84" t="n">
        <x:v>41</x:v>
      </x:c>
      <x:c r="D2631" s="89" t="n">
        <x:v>45787</x:v>
      </x:c>
      <x:c r="E2631" s="84" t="n">
        <x:v>2</x:v>
      </x:c>
      <x:c r="F2631" s="91" t="n">
        <x:v>2364.04</x:v>
      </x:c>
    </x:row>
    <x:row r="2632">
      <x:c r="A2632" s="83" t="n">
        <x:v>2631</x:v>
      </x:c>
      <x:c r="B2632" s="84" t="n">
        <x:v>2017</x:v>
      </x:c>
      <x:c r="C2632" s="84" t="n">
        <x:v>30</x:v>
      </x:c>
      <x:c r="D2632" s="89" t="n">
        <x:v>45908</x:v>
      </x:c>
      <x:c r="E2632" s="84" t="n">
        <x:v>2</x:v>
      </x:c>
      <x:c r="F2632" s="91" t="n">
        <x:v>2557.52</x:v>
      </x:c>
    </x:row>
    <x:row r="2633">
      <x:c r="A2633" s="83" t="n">
        <x:v>2632</x:v>
      </x:c>
      <x:c r="B2633" s="84" t="n">
        <x:v>2017</x:v>
      </x:c>
      <x:c r="C2633" s="84" t="n">
        <x:v>35</x:v>
      </x:c>
      <x:c r="D2633" s="89" t="n">
        <x:v>45908</x:v>
      </x:c>
      <x:c r="E2633" s="84" t="n">
        <x:v>3</x:v>
      </x:c>
      <x:c r="F2633" s="91" t="n">
        <x:v>4412.34</x:v>
      </x:c>
    </x:row>
    <x:row r="2634">
      <x:c r="A2634" s="83" t="n">
        <x:v>2633</x:v>
      </x:c>
      <x:c r="B2634" s="84" t="n">
        <x:v>2018</x:v>
      </x:c>
      <x:c r="C2634" s="84" t="n">
        <x:v>26</x:v>
      </x:c>
      <x:c r="D2634" s="89" t="n">
        <x:v>45140</x:v>
      </x:c>
      <x:c r="E2634" s="84" t="n">
        <x:v>4</x:v>
      </x:c>
      <x:c r="F2634" s="91" t="n">
        <x:v>8604</x:v>
      </x:c>
    </x:row>
    <x:row r="2635">
      <x:c r="A2635" s="83" t="n">
        <x:v>2634</x:v>
      </x:c>
      <x:c r="B2635" s="84" t="n">
        <x:v>2019</x:v>
      </x:c>
      <x:c r="C2635" s="84" t="n">
        <x:v>33</x:v>
      </x:c>
      <x:c r="D2635" s="89" t="n">
        <x:v>45211</x:v>
      </x:c>
      <x:c r="E2635" s="84" t="n">
        <x:v>2</x:v>
      </x:c>
      <x:c r="F2635" s="91" t="n">
        <x:v>4693.84</x:v>
      </x:c>
    </x:row>
    <x:row r="2636">
      <x:c r="A2636" s="83" t="n">
        <x:v>2635</x:v>
      </x:c>
      <x:c r="B2636" s="84" t="n">
        <x:v>2019</x:v>
      </x:c>
      <x:c r="C2636" s="84" t="n">
        <x:v>61</x:v>
      </x:c>
      <x:c r="D2636" s="89" t="n">
        <x:v>45211</x:v>
      </x:c>
      <x:c r="E2636" s="84" t="n">
        <x:v>1</x:v>
      </x:c>
      <x:c r="F2636" s="91" t="n">
        <x:v>131.72</x:v>
      </x:c>
    </x:row>
    <x:row r="2637">
      <x:c r="A2637" s="83" t="n">
        <x:v>2636</x:v>
      </x:c>
      <x:c r="B2637" s="84" t="n">
        <x:v>2020</x:v>
      </x:c>
      <x:c r="C2637" s="84" t="n">
        <x:v>56</x:v>
      </x:c>
      <x:c r="D2637" s="89" t="n">
        <x:v>45181</x:v>
      </x:c>
      <x:c r="E2637" s="84" t="n">
        <x:v>2</x:v>
      </x:c>
      <x:c r="F2637" s="91" t="n">
        <x:v>2936.92</x:v>
      </x:c>
    </x:row>
    <x:row r="2638">
      <x:c r="A2638" s="83" t="n">
        <x:v>2637</x:v>
      </x:c>
      <x:c r="B2638" s="84" t="n">
        <x:v>2020</x:v>
      </x:c>
      <x:c r="C2638" s="84" t="n">
        <x:v>60</x:v>
      </x:c>
      <x:c r="D2638" s="89" t="n">
        <x:v>45181</x:v>
      </x:c>
      <x:c r="E2638" s="84" t="n">
        <x:v>3</x:v>
      </x:c>
      <x:c r="F2638" s="91" t="n">
        <x:v>1061.4</x:v>
      </x:c>
    </x:row>
    <x:row r="2639">
      <x:c r="A2639" s="83" t="n">
        <x:v>2638</x:v>
      </x:c>
      <x:c r="B2639" s="84" t="n">
        <x:v>2021</x:v>
      </x:c>
      <x:c r="C2639" s="84" t="n">
        <x:v>73</x:v>
      </x:c>
      <x:c r="D2639" s="89" t="n">
        <x:v>45479</x:v>
      </x:c>
      <x:c r="E2639" s="84" t="n">
        <x:v>4</x:v>
      </x:c>
      <x:c r="F2639" s="91" t="n">
        <x:v>4509.24</x:v>
      </x:c>
    </x:row>
    <x:row r="2640">
      <x:c r="A2640" s="83" t="n">
        <x:v>2639</x:v>
      </x:c>
      <x:c r="B2640" s="84" t="n">
        <x:v>2023</x:v>
      </x:c>
      <x:c r="C2640" s="84" t="n">
        <x:v>57</x:v>
      </x:c>
      <x:c r="D2640" s="89" t="n">
        <x:v>45628</x:v>
      </x:c>
      <x:c r="E2640" s="84" t="n">
        <x:v>1</x:v>
      </x:c>
      <x:c r="F2640" s="91" t="n">
        <x:v>1179.06</x:v>
      </x:c>
    </x:row>
    <x:row r="2641">
      <x:c r="A2641" s="83" t="n">
        <x:v>2640</x:v>
      </x:c>
      <x:c r="B2641" s="84" t="n">
        <x:v>2026</x:v>
      </x:c>
      <x:c r="C2641" s="84" t="n">
        <x:v>68</x:v>
      </x:c>
      <x:c r="D2641" s="89" t="n">
        <x:v>44965</x:v>
      </x:c>
      <x:c r="E2641" s="84" t="n">
        <x:v>1</x:v>
      </x:c>
      <x:c r="F2641" s="91" t="n">
        <x:v>1527.61</x:v>
      </x:c>
    </x:row>
    <x:row r="2642">
      <x:c r="A2642" s="83" t="n">
        <x:v>2641</x:v>
      </x:c>
      <x:c r="B2642" s="84" t="n">
        <x:v>2026</x:v>
      </x:c>
      <x:c r="C2642" s="84" t="n">
        <x:v>80</x:v>
      </x:c>
      <x:c r="D2642" s="89" t="n">
        <x:v>44965</x:v>
      </x:c>
      <x:c r="E2642" s="84" t="n">
        <x:v>4</x:v>
      </x:c>
      <x:c r="F2642" s="91" t="n">
        <x:v>6914.16</x:v>
      </x:c>
    </x:row>
    <x:row r="2643">
      <x:c r="A2643" s="83" t="n">
        <x:v>2642</x:v>
      </x:c>
      <x:c r="B2643" s="84" t="n">
        <x:v>2028</x:v>
      </x:c>
      <x:c r="C2643" s="84" t="n">
        <x:v>54</x:v>
      </x:c>
      <x:c r="D2643" s="89" t="n">
        <x:v>45381</x:v>
      </x:c>
      <x:c r="E2643" s="84" t="n">
        <x:v>4</x:v>
      </x:c>
      <x:c r="F2643" s="91" t="n">
        <x:v>2745.6</x:v>
      </x:c>
    </x:row>
    <x:row r="2644">
      <x:c r="A2644" s="83" t="n">
        <x:v>2643</x:v>
      </x:c>
      <x:c r="B2644" s="84" t="n">
        <x:v>2028</x:v>
      </x:c>
      <x:c r="C2644" s="84" t="n">
        <x:v>6</x:v>
      </x:c>
      <x:c r="D2644" s="89" t="n">
        <x:v>45381</x:v>
      </x:c>
      <x:c r="E2644" s="84" t="n">
        <x:v>4</x:v>
      </x:c>
      <x:c r="F2644" s="91" t="n">
        <x:v>2789.48</x:v>
      </x:c>
    </x:row>
    <x:row r="2645">
      <x:c r="A2645" s="83" t="n">
        <x:v>2644</x:v>
      </x:c>
      <x:c r="B2645" s="84" t="n">
        <x:v>2028</x:v>
      </x:c>
      <x:c r="C2645" s="84" t="n">
        <x:v>7</x:v>
      </x:c>
      <x:c r="D2645" s="89" t="n">
        <x:v>45381</x:v>
      </x:c>
      <x:c r="E2645" s="84" t="n">
        <x:v>4</x:v>
      </x:c>
      <x:c r="F2645" s="91" t="n">
        <x:v>1467.2</x:v>
      </x:c>
    </x:row>
    <x:row r="2646">
      <x:c r="A2646" s="83" t="n">
        <x:v>2645</x:v>
      </x:c>
      <x:c r="B2646" s="84" t="n">
        <x:v>2029</x:v>
      </x:c>
      <x:c r="C2646" s="84" t="n">
        <x:v>58</x:v>
      </x:c>
      <x:c r="D2646" s="89" t="n">
        <x:v>44965</x:v>
      </x:c>
      <x:c r="E2646" s="84" t="n">
        <x:v>2</x:v>
      </x:c>
      <x:c r="F2646" s="91" t="n">
        <x:v>4036.36</x:v>
      </x:c>
    </x:row>
    <x:row r="2647">
      <x:c r="A2647" s="83" t="n">
        <x:v>2646</x:v>
      </x:c>
      <x:c r="B2647" s="84" t="n">
        <x:v>2029</x:v>
      </x:c>
      <x:c r="C2647" s="84" t="n">
        <x:v>13</x:v>
      </x:c>
      <x:c r="D2647" s="89" t="n">
        <x:v>44965</x:v>
      </x:c>
      <x:c r="E2647" s="84" t="n">
        <x:v>1</x:v>
      </x:c>
      <x:c r="F2647" s="91" t="n">
        <x:v>802.05</x:v>
      </x:c>
    </x:row>
    <x:row r="2648">
      <x:c r="A2648" s="83" t="n">
        <x:v>2647</x:v>
      </x:c>
      <x:c r="B2648" s="84" t="n">
        <x:v>2031</x:v>
      </x:c>
      <x:c r="C2648" s="84" t="n">
        <x:v>3</x:v>
      </x:c>
      <x:c r="D2648" s="89" t="n">
        <x:v>45582</x:v>
      </x:c>
      <x:c r="E2648" s="84" t="n">
        <x:v>4</x:v>
      </x:c>
      <x:c r="F2648" s="91" t="n">
        <x:v>4604.56</x:v>
      </x:c>
    </x:row>
    <x:row r="2649">
      <x:c r="A2649" s="83" t="n">
        <x:v>2648</x:v>
      </x:c>
      <x:c r="B2649" s="84" t="n">
        <x:v>2031</x:v>
      </x:c>
      <x:c r="C2649" s="84" t="n">
        <x:v>24</x:v>
      </x:c>
      <x:c r="D2649" s="89" t="n">
        <x:v>45582</x:v>
      </x:c>
      <x:c r="E2649" s="84" t="n">
        <x:v>4</x:v>
      </x:c>
      <x:c r="F2649" s="91" t="n">
        <x:v>2963.64</x:v>
      </x:c>
    </x:row>
    <x:row r="2650">
      <x:c r="A2650" s="83" t="n">
        <x:v>2649</x:v>
      </x:c>
      <x:c r="B2650" s="84" t="n">
        <x:v>2031</x:v>
      </x:c>
      <x:c r="C2650" s="84" t="n">
        <x:v>14</x:v>
      </x:c>
      <x:c r="D2650" s="89" t="n">
        <x:v>45582</x:v>
      </x:c>
      <x:c r="E2650" s="84" t="n">
        <x:v>1</x:v>
      </x:c>
      <x:c r="F2650" s="91" t="n">
        <x:v>175.72</x:v>
      </x:c>
    </x:row>
    <x:row r="2651">
      <x:c r="A2651" s="83" t="n">
        <x:v>2650</x:v>
      </x:c>
      <x:c r="B2651" s="84" t="n">
        <x:v>2032</x:v>
      </x:c>
      <x:c r="C2651" s="84" t="n">
        <x:v>3</x:v>
      </x:c>
      <x:c r="D2651" s="89" t="n">
        <x:v>45348</x:v>
      </x:c>
      <x:c r="E2651" s="84" t="n">
        <x:v>3</x:v>
      </x:c>
      <x:c r="F2651" s="91" t="n">
        <x:v>3453.42</x:v>
      </x:c>
    </x:row>
    <x:row r="2652">
      <x:c r="A2652" s="83" t="n">
        <x:v>2651</x:v>
      </x:c>
      <x:c r="B2652" s="84" t="n">
        <x:v>2032</x:v>
      </x:c>
      <x:c r="C2652" s="84" t="n">
        <x:v>47</x:v>
      </x:c>
      <x:c r="D2652" s="89" t="n">
        <x:v>45348</x:v>
      </x:c>
      <x:c r="E2652" s="84" t="n">
        <x:v>2</x:v>
      </x:c>
      <x:c r="F2652" s="91" t="n">
        <x:v>4351.24</x:v>
      </x:c>
    </x:row>
    <x:row r="2653">
      <x:c r="A2653" s="83" t="n">
        <x:v>2652</x:v>
      </x:c>
      <x:c r="B2653" s="84" t="n">
        <x:v>2032</x:v>
      </x:c>
      <x:c r="C2653" s="84" t="n">
        <x:v>22</x:v>
      </x:c>
      <x:c r="D2653" s="89" t="n">
        <x:v>45348</x:v>
      </x:c>
      <x:c r="E2653" s="84" t="n">
        <x:v>3</x:v>
      </x:c>
      <x:c r="F2653" s="91" t="n">
        <x:v>1565.67</x:v>
      </x:c>
    </x:row>
    <x:row r="2654">
      <x:c r="A2654" s="83" t="n">
        <x:v>2653</x:v>
      </x:c>
      <x:c r="B2654" s="84" t="n">
        <x:v>2033</x:v>
      </x:c>
      <x:c r="C2654" s="84" t="n">
        <x:v>77</x:v>
      </x:c>
      <x:c r="D2654" s="89" t="n">
        <x:v>45257</x:v>
      </x:c>
      <x:c r="E2654" s="84" t="n">
        <x:v>2</x:v>
      </x:c>
      <x:c r="F2654" s="91" t="n">
        <x:v>4205.82</x:v>
      </x:c>
    </x:row>
    <x:row r="2655">
      <x:c r="A2655" s="83" t="n">
        <x:v>2654</x:v>
      </x:c>
      <x:c r="B2655" s="84" t="n">
        <x:v>2034</x:v>
      </x:c>
      <x:c r="C2655" s="84" t="n">
        <x:v>36</x:v>
      </x:c>
      <x:c r="D2655" s="89" t="n">
        <x:v>45727</x:v>
      </x:c>
      <x:c r="E2655" s="84" t="n">
        <x:v>1</x:v>
      </x:c>
      <x:c r="F2655" s="91" t="n">
        <x:v>596.41</x:v>
      </x:c>
    </x:row>
    <x:row r="2656">
      <x:c r="A2656" s="83" t="n">
        <x:v>2655</x:v>
      </x:c>
      <x:c r="B2656" s="84" t="n">
        <x:v>2035</x:v>
      </x:c>
      <x:c r="C2656" s="84" t="n">
        <x:v>11</x:v>
      </x:c>
      <x:c r="D2656" s="89" t="n">
        <x:v>45092</x:v>
      </x:c>
      <x:c r="E2656" s="84" t="n">
        <x:v>3</x:v>
      </x:c>
      <x:c r="F2656" s="91" t="n">
        <x:v>6633.78</x:v>
      </x:c>
    </x:row>
    <x:row r="2657">
      <x:c r="A2657" s="83" t="n">
        <x:v>2656</x:v>
      </x:c>
      <x:c r="B2657" s="84" t="n">
        <x:v>2036</x:v>
      </x:c>
      <x:c r="C2657" s="84" t="n">
        <x:v>8</x:v>
      </x:c>
      <x:c r="D2657" s="89" t="n">
        <x:v>45875</x:v>
      </x:c>
      <x:c r="E2657" s="84" t="n">
        <x:v>2</x:v>
      </x:c>
      <x:c r="F2657" s="91" t="n">
        <x:v>3332.38</x:v>
      </x:c>
    </x:row>
    <x:row r="2658">
      <x:c r="A2658" s="83" t="n">
        <x:v>2657</x:v>
      </x:c>
      <x:c r="B2658" s="84" t="n">
        <x:v>2036</x:v>
      </x:c>
      <x:c r="C2658" s="84" t="n">
        <x:v>22</x:v>
      </x:c>
      <x:c r="D2658" s="89" t="n">
        <x:v>45875</x:v>
      </x:c>
      <x:c r="E2658" s="84" t="n">
        <x:v>3</x:v>
      </x:c>
      <x:c r="F2658" s="91" t="n">
        <x:v>1565.67</x:v>
      </x:c>
    </x:row>
    <x:row r="2659">
      <x:c r="A2659" s="83" t="n">
        <x:v>2658</x:v>
      </x:c>
      <x:c r="B2659" s="84" t="n">
        <x:v>2037</x:v>
      </x:c>
      <x:c r="C2659" s="84" t="n">
        <x:v>16</x:v>
      </x:c>
      <x:c r="D2659" s="89" t="n">
        <x:v>45829</x:v>
      </x:c>
      <x:c r="E2659" s="84" t="n">
        <x:v>3</x:v>
      </x:c>
      <x:c r="F2659" s="91" t="n">
        <x:v>1817.34</x:v>
      </x:c>
    </x:row>
    <x:row r="2660">
      <x:c r="A2660" s="83" t="n">
        <x:v>2659</x:v>
      </x:c>
      <x:c r="B2660" s="84" t="n">
        <x:v>2037</x:v>
      </x:c>
      <x:c r="C2660" s="84" t="n">
        <x:v>43</x:v>
      </x:c>
      <x:c r="D2660" s="89" t="n">
        <x:v>45829</x:v>
      </x:c>
      <x:c r="E2660" s="84" t="n">
        <x:v>1</x:v>
      </x:c>
      <x:c r="F2660" s="91" t="n">
        <x:v>1465.42</x:v>
      </x:c>
    </x:row>
    <x:row r="2661">
      <x:c r="A2661" s="83" t="n">
        <x:v>2660</x:v>
      </x:c>
      <x:c r="B2661" s="84" t="n">
        <x:v>2037</x:v>
      </x:c>
      <x:c r="C2661" s="84" t="n">
        <x:v>55</x:v>
      </x:c>
      <x:c r="D2661" s="89" t="n">
        <x:v>45829</x:v>
      </x:c>
      <x:c r="E2661" s="84" t="n">
        <x:v>3</x:v>
      </x:c>
      <x:c r="F2661" s="91" t="n">
        <x:v>4499.55</x:v>
      </x:c>
    </x:row>
    <x:row r="2662">
      <x:c r="A2662" s="83" t="n">
        <x:v>2661</x:v>
      </x:c>
      <x:c r="B2662" s="84" t="n">
        <x:v>2040</x:v>
      </x:c>
      <x:c r="C2662" s="84" t="n">
        <x:v>22</x:v>
      </x:c>
      <x:c r="D2662" s="89" t="n">
        <x:v>45077</x:v>
      </x:c>
      <x:c r="E2662" s="84" t="n">
        <x:v>4</x:v>
      </x:c>
      <x:c r="F2662" s="91" t="n">
        <x:v>2087.56</x:v>
      </x:c>
    </x:row>
    <x:row r="2663">
      <x:c r="A2663" s="83" t="n">
        <x:v>2662</x:v>
      </x:c>
      <x:c r="B2663" s="84" t="n">
        <x:v>2040</x:v>
      </x:c>
      <x:c r="C2663" s="84" t="n">
        <x:v>59</x:v>
      </x:c>
      <x:c r="D2663" s="89" t="n">
        <x:v>45077</x:v>
      </x:c>
      <x:c r="E2663" s="84" t="n">
        <x:v>2</x:v>
      </x:c>
      <x:c r="F2663" s="91" t="n">
        <x:v>3032.9</x:v>
      </x:c>
    </x:row>
    <x:row r="2664">
      <x:c r="A2664" s="83" t="n">
        <x:v>2663</x:v>
      </x:c>
      <x:c r="B2664" s="84" t="n">
        <x:v>2040</x:v>
      </x:c>
      <x:c r="C2664" s="84" t="n">
        <x:v>10</x:v>
      </x:c>
      <x:c r="D2664" s="89" t="n">
        <x:v>45077</x:v>
      </x:c>
      <x:c r="E2664" s="84" t="n">
        <x:v>1</x:v>
      </x:c>
      <x:c r="F2664" s="91" t="n">
        <x:v>874.86</x:v>
      </x:c>
    </x:row>
    <x:row r="2665">
      <x:c r="A2665" s="83" t="n">
        <x:v>2664</x:v>
      </x:c>
      <x:c r="B2665" s="84" t="n">
        <x:v>2041</x:v>
      </x:c>
      <x:c r="C2665" s="84" t="n">
        <x:v>4</x:v>
      </x:c>
      <x:c r="D2665" s="89" t="n">
        <x:v>45037</x:v>
      </x:c>
      <x:c r="E2665" s="84" t="n">
        <x:v>4</x:v>
      </x:c>
      <x:c r="F2665" s="91" t="n">
        <x:v>6101.24</x:v>
      </x:c>
    </x:row>
    <x:row r="2666">
      <x:c r="A2666" s="83" t="n">
        <x:v>2665</x:v>
      </x:c>
      <x:c r="B2666" s="84" t="n">
        <x:v>2041</x:v>
      </x:c>
      <x:c r="C2666" s="84" t="n">
        <x:v>24</x:v>
      </x:c>
      <x:c r="D2666" s="89" t="n">
        <x:v>45037</x:v>
      </x:c>
      <x:c r="E2666" s="84" t="n">
        <x:v>4</x:v>
      </x:c>
      <x:c r="F2666" s="91" t="n">
        <x:v>2963.64</x:v>
      </x:c>
    </x:row>
    <x:row r="2667">
      <x:c r="A2667" s="83" t="n">
        <x:v>2666</x:v>
      </x:c>
      <x:c r="B2667" s="84" t="n">
        <x:v>2041</x:v>
      </x:c>
      <x:c r="C2667" s="84" t="n">
        <x:v>46</x:v>
      </x:c>
      <x:c r="D2667" s="89" t="n">
        <x:v>45037</x:v>
      </x:c>
      <x:c r="E2667" s="84" t="n">
        <x:v>2</x:v>
      </x:c>
      <x:c r="F2667" s="91" t="n">
        <x:v>2669.9</x:v>
      </x:c>
    </x:row>
    <x:row r="2668">
      <x:c r="A2668" s="83" t="n">
        <x:v>2667</x:v>
      </x:c>
      <x:c r="B2668" s="84" t="n">
        <x:v>2042</x:v>
      </x:c>
      <x:c r="C2668" s="84" t="n">
        <x:v>65</x:v>
      </x:c>
      <x:c r="D2668" s="89" t="n">
        <x:v>45151</x:v>
      </x:c>
      <x:c r="E2668" s="84" t="n">
        <x:v>2</x:v>
      </x:c>
      <x:c r="F2668" s="91" t="n">
        <x:v>2509.68</x:v>
      </x:c>
    </x:row>
    <x:row r="2669">
      <x:c r="A2669" s="83" t="n">
        <x:v>2668</x:v>
      </x:c>
      <x:c r="B2669" s="84" t="n">
        <x:v>2042</x:v>
      </x:c>
      <x:c r="C2669" s="84" t="n">
        <x:v>50</x:v>
      </x:c>
      <x:c r="D2669" s="89" t="n">
        <x:v>45151</x:v>
      </x:c>
      <x:c r="E2669" s="84" t="n">
        <x:v>1</x:v>
      </x:c>
      <x:c r="F2669" s="91" t="n">
        <x:v>2235.95</x:v>
      </x:c>
    </x:row>
    <x:row r="2670">
      <x:c r="A2670" s="83" t="n">
        <x:v>2669</x:v>
      </x:c>
      <x:c r="B2670" s="84" t="n">
        <x:v>2042</x:v>
      </x:c>
      <x:c r="C2670" s="84" t="n">
        <x:v>64</x:v>
      </x:c>
      <x:c r="D2670" s="89" t="n">
        <x:v>45151</x:v>
      </x:c>
      <x:c r="E2670" s="84" t="n">
        <x:v>3</x:v>
      </x:c>
      <x:c r="F2670" s="91" t="n">
        <x:v>4396.26</x:v>
      </x:c>
    </x:row>
    <x:row r="2671">
      <x:c r="A2671" s="83" t="n">
        <x:v>2670</x:v>
      </x:c>
      <x:c r="B2671" s="84" t="n">
        <x:v>2043</x:v>
      </x:c>
      <x:c r="C2671" s="84" t="n">
        <x:v>22</x:v>
      </x:c>
      <x:c r="D2671" s="89" t="n">
        <x:v>45377</x:v>
      </x:c>
      <x:c r="E2671" s="84" t="n">
        <x:v>3</x:v>
      </x:c>
      <x:c r="F2671" s="91" t="n">
        <x:v>1565.67</x:v>
      </x:c>
    </x:row>
    <x:row r="2672">
      <x:c r="A2672" s="83" t="n">
        <x:v>2671</x:v>
      </x:c>
      <x:c r="B2672" s="84" t="n">
        <x:v>2044</x:v>
      </x:c>
      <x:c r="C2672" s="84" t="n">
        <x:v>11</x:v>
      </x:c>
      <x:c r="D2672" s="89" t="n">
        <x:v>45324</x:v>
      </x:c>
      <x:c r="E2672" s="84" t="n">
        <x:v>4</x:v>
      </x:c>
      <x:c r="F2672" s="91" t="n">
        <x:v>8845.04</x:v>
      </x:c>
    </x:row>
    <x:row r="2673">
      <x:c r="A2673" s="83" t="n">
        <x:v>2672</x:v>
      </x:c>
      <x:c r="B2673" s="84" t="n">
        <x:v>2045</x:v>
      </x:c>
      <x:c r="C2673" s="84" t="n">
        <x:v>26</x:v>
      </x:c>
      <x:c r="D2673" s="89" t="n">
        <x:v>45682</x:v>
      </x:c>
      <x:c r="E2673" s="84" t="n">
        <x:v>1</x:v>
      </x:c>
      <x:c r="F2673" s="91" t="n">
        <x:v>2151</x:v>
      </x:c>
    </x:row>
    <x:row r="2674">
      <x:c r="A2674" s="83" t="n">
        <x:v>2673</x:v>
      </x:c>
      <x:c r="B2674" s="84" t="n">
        <x:v>2046</x:v>
      </x:c>
      <x:c r="C2674" s="84" t="n">
        <x:v>79</x:v>
      </x:c>
      <x:c r="D2674" s="89" t="n">
        <x:v>45183</x:v>
      </x:c>
      <x:c r="E2674" s="84" t="n">
        <x:v>4</x:v>
      </x:c>
      <x:c r="F2674" s="91" t="n">
        <x:v>8266.88</x:v>
      </x:c>
    </x:row>
    <x:row r="2675">
      <x:c r="A2675" s="83" t="n">
        <x:v>2674</x:v>
      </x:c>
      <x:c r="B2675" s="84" t="n">
        <x:v>2046</x:v>
      </x:c>
      <x:c r="C2675" s="84" t="n">
        <x:v>78</x:v>
      </x:c>
      <x:c r="D2675" s="89" t="n">
        <x:v>45183</x:v>
      </x:c>
      <x:c r="E2675" s="84" t="n">
        <x:v>2</x:v>
      </x:c>
      <x:c r="F2675" s="91" t="n">
        <x:v>567.2</x:v>
      </x:c>
    </x:row>
    <x:row r="2676">
      <x:c r="A2676" s="83" t="n">
        <x:v>2675</x:v>
      </x:c>
      <x:c r="B2676" s="84" t="n">
        <x:v>2046</x:v>
      </x:c>
      <x:c r="C2676" s="84" t="n">
        <x:v>71</x:v>
      </x:c>
      <x:c r="D2676" s="89" t="n">
        <x:v>45183</x:v>
      </x:c>
      <x:c r="E2676" s="84" t="n">
        <x:v>1</x:v>
      </x:c>
      <x:c r="F2676" s="91" t="n">
        <x:v>1983.52</x:v>
      </x:c>
    </x:row>
    <x:row r="2677">
      <x:c r="A2677" s="83" t="n">
        <x:v>2676</x:v>
      </x:c>
      <x:c r="B2677" s="84" t="n">
        <x:v>2047</x:v>
      </x:c>
      <x:c r="C2677" s="84" t="n">
        <x:v>50</x:v>
      </x:c>
      <x:c r="D2677" s="89" t="n">
        <x:v>45109</x:v>
      </x:c>
      <x:c r="E2677" s="84" t="n">
        <x:v>3</x:v>
      </x:c>
      <x:c r="F2677" s="91" t="n">
        <x:v>6707.85</x:v>
      </x:c>
    </x:row>
    <x:row r="2678">
      <x:c r="A2678" s="83" t="n">
        <x:v>2677</x:v>
      </x:c>
      <x:c r="B2678" s="84" t="n">
        <x:v>2049</x:v>
      </x:c>
      <x:c r="C2678" s="84" t="n">
        <x:v>66</x:v>
      </x:c>
      <x:c r="D2678" s="89" t="n">
        <x:v>45039</x:v>
      </x:c>
      <x:c r="E2678" s="84" t="n">
        <x:v>3</x:v>
      </x:c>
      <x:c r="F2678" s="91" t="n">
        <x:v>5737.35</x:v>
      </x:c>
    </x:row>
    <x:row r="2679">
      <x:c r="A2679" s="83" t="n">
        <x:v>2678</x:v>
      </x:c>
      <x:c r="B2679" s="84" t="n">
        <x:v>2049</x:v>
      </x:c>
      <x:c r="C2679" s="84" t="n">
        <x:v>79</x:v>
      </x:c>
      <x:c r="D2679" s="89" t="n">
        <x:v>45039</x:v>
      </x:c>
      <x:c r="E2679" s="84" t="n">
        <x:v>4</x:v>
      </x:c>
      <x:c r="F2679" s="91" t="n">
        <x:v>8266.88</x:v>
      </x:c>
    </x:row>
    <x:row r="2680">
      <x:c r="A2680" s="83" t="n">
        <x:v>2679</x:v>
      </x:c>
      <x:c r="B2680" s="84" t="n">
        <x:v>2050</x:v>
      </x:c>
      <x:c r="C2680" s="84" t="n">
        <x:v>24</x:v>
      </x:c>
      <x:c r="D2680" s="89" t="n">
        <x:v>45874</x:v>
      </x:c>
      <x:c r="E2680" s="84" t="n">
        <x:v>4</x:v>
      </x:c>
      <x:c r="F2680" s="91" t="n">
        <x:v>2963.64</x:v>
      </x:c>
    </x:row>
    <x:row r="2681">
      <x:c r="A2681" s="83" t="n">
        <x:v>2680</x:v>
      </x:c>
      <x:c r="B2681" s="84" t="n">
        <x:v>2050</x:v>
      </x:c>
      <x:c r="C2681" s="84" t="n">
        <x:v>28</x:v>
      </x:c>
      <x:c r="D2681" s="89" t="n">
        <x:v>45874</x:v>
      </x:c>
      <x:c r="E2681" s="84" t="n">
        <x:v>4</x:v>
      </x:c>
      <x:c r="F2681" s="91" t="n">
        <x:v>3281.88</x:v>
      </x:c>
    </x:row>
    <x:row r="2682">
      <x:c r="A2682" s="83" t="n">
        <x:v>2681</x:v>
      </x:c>
      <x:c r="B2682" s="84" t="n">
        <x:v>2051</x:v>
      </x:c>
      <x:c r="C2682" s="84" t="n">
        <x:v>51</x:v>
      </x:c>
      <x:c r="D2682" s="89" t="n">
        <x:v>45740</x:v>
      </x:c>
      <x:c r="E2682" s="84" t="n">
        <x:v>4</x:v>
      </x:c>
      <x:c r="F2682" s="91" t="n">
        <x:v>3568.64</x:v>
      </x:c>
    </x:row>
    <x:row r="2683">
      <x:c r="A2683" s="83" t="n">
        <x:v>2682</x:v>
      </x:c>
      <x:c r="B2683" s="84" t="n">
        <x:v>2051</x:v>
      </x:c>
      <x:c r="C2683" s="84" t="n">
        <x:v>80</x:v>
      </x:c>
      <x:c r="D2683" s="89" t="n">
        <x:v>45740</x:v>
      </x:c>
      <x:c r="E2683" s="84" t="n">
        <x:v>4</x:v>
      </x:c>
      <x:c r="F2683" s="91" t="n">
        <x:v>6914.16</x:v>
      </x:c>
    </x:row>
    <x:row r="2684">
      <x:c r="A2684" s="83" t="n">
        <x:v>2683</x:v>
      </x:c>
      <x:c r="B2684" s="84" t="n">
        <x:v>2051</x:v>
      </x:c>
      <x:c r="C2684" s="84" t="n">
        <x:v>45</x:v>
      </x:c>
      <x:c r="D2684" s="89" t="n">
        <x:v>45740</x:v>
      </x:c>
      <x:c r="E2684" s="84" t="n">
        <x:v>4</x:v>
      </x:c>
      <x:c r="F2684" s="91" t="n">
        <x:v>5565.68</x:v>
      </x:c>
    </x:row>
    <x:row r="2685">
      <x:c r="A2685" s="83" t="n">
        <x:v>2684</x:v>
      </x:c>
      <x:c r="B2685" s="84" t="n">
        <x:v>2052</x:v>
      </x:c>
      <x:c r="C2685" s="84" t="n">
        <x:v>63</x:v>
      </x:c>
      <x:c r="D2685" s="89" t="n">
        <x:v>44965</x:v>
      </x:c>
      <x:c r="E2685" s="84" t="n">
        <x:v>1</x:v>
      </x:c>
      <x:c r="F2685" s="91" t="n">
        <x:v>1934.19</x:v>
      </x:c>
    </x:row>
    <x:row r="2686">
      <x:c r="A2686" s="83" t="n">
        <x:v>2685</x:v>
      </x:c>
      <x:c r="B2686" s="84" t="n">
        <x:v>2052</x:v>
      </x:c>
      <x:c r="C2686" s="84" t="n">
        <x:v>62</x:v>
      </x:c>
      <x:c r="D2686" s="89" t="n">
        <x:v>44965</x:v>
      </x:c>
      <x:c r="E2686" s="84" t="n">
        <x:v>4</x:v>
      </x:c>
      <x:c r="F2686" s="91" t="n">
        <x:v>6069.24</x:v>
      </x:c>
    </x:row>
    <x:row r="2687">
      <x:c r="A2687" s="83" t="n">
        <x:v>2686</x:v>
      </x:c>
      <x:c r="B2687" s="84" t="n">
        <x:v>2055</x:v>
      </x:c>
      <x:c r="C2687" s="84" t="n">
        <x:v>25</x:v>
      </x:c>
      <x:c r="D2687" s="89" t="n">
        <x:v>45089</x:v>
      </x:c>
      <x:c r="E2687" s="84" t="n">
        <x:v>4</x:v>
      </x:c>
      <x:c r="F2687" s="91" t="n">
        <x:v>4317.8</x:v>
      </x:c>
    </x:row>
    <x:row r="2688">
      <x:c r="A2688" s="83" t="n">
        <x:v>2687</x:v>
      </x:c>
      <x:c r="B2688" s="84" t="n">
        <x:v>2055</x:v>
      </x:c>
      <x:c r="C2688" s="84" t="n">
        <x:v>36</x:v>
      </x:c>
      <x:c r="D2688" s="89" t="n">
        <x:v>45089</x:v>
      </x:c>
      <x:c r="E2688" s="84" t="n">
        <x:v>3</x:v>
      </x:c>
      <x:c r="F2688" s="91" t="n">
        <x:v>1789.23</x:v>
      </x:c>
    </x:row>
    <x:row r="2689">
      <x:c r="A2689" s="83" t="n">
        <x:v>2688</x:v>
      </x:c>
      <x:c r="B2689" s="84" t="n">
        <x:v>2055</x:v>
      </x:c>
      <x:c r="C2689" s="84" t="n">
        <x:v>55</x:v>
      </x:c>
      <x:c r="D2689" s="89" t="n">
        <x:v>45089</x:v>
      </x:c>
      <x:c r="E2689" s="84" t="n">
        <x:v>3</x:v>
      </x:c>
      <x:c r="F2689" s="91" t="n">
        <x:v>4499.55</x:v>
      </x:c>
    </x:row>
    <x:row r="2690">
      <x:c r="A2690" s="83" t="n">
        <x:v>2689</x:v>
      </x:c>
      <x:c r="B2690" s="84" t="n">
        <x:v>2056</x:v>
      </x:c>
      <x:c r="C2690" s="84" t="n">
        <x:v>47</x:v>
      </x:c>
      <x:c r="D2690" s="89" t="n">
        <x:v>45531</x:v>
      </x:c>
      <x:c r="E2690" s="84" t="n">
        <x:v>3</x:v>
      </x:c>
      <x:c r="F2690" s="91" t="n">
        <x:v>6526.86</x:v>
      </x:c>
    </x:row>
    <x:row r="2691">
      <x:c r="A2691" s="83" t="n">
        <x:v>2690</x:v>
      </x:c>
      <x:c r="B2691" s="84" t="n">
        <x:v>2056</x:v>
      </x:c>
      <x:c r="C2691" s="84" t="n">
        <x:v>71</x:v>
      </x:c>
      <x:c r="D2691" s="89" t="n">
        <x:v>45531</x:v>
      </x:c>
      <x:c r="E2691" s="84" t="n">
        <x:v>1</x:v>
      </x:c>
      <x:c r="F2691" s="91" t="n">
        <x:v>1983.52</x:v>
      </x:c>
    </x:row>
    <x:row r="2692">
      <x:c r="A2692" s="83" t="n">
        <x:v>2691</x:v>
      </x:c>
      <x:c r="B2692" s="84" t="n">
        <x:v>2057</x:v>
      </x:c>
      <x:c r="C2692" s="84" t="n">
        <x:v>42</x:v>
      </x:c>
      <x:c r="D2692" s="89" t="n">
        <x:v>45341</x:v>
      </x:c>
      <x:c r="E2692" s="84" t="n">
        <x:v>4</x:v>
      </x:c>
      <x:c r="F2692" s="91" t="n">
        <x:v>8686.96</x:v>
      </x:c>
    </x:row>
    <x:row r="2693">
      <x:c r="A2693" s="83" t="n">
        <x:v>2692</x:v>
      </x:c>
      <x:c r="B2693" s="84" t="n">
        <x:v>2057</x:v>
      </x:c>
      <x:c r="C2693" s="84" t="n">
        <x:v>42</x:v>
      </x:c>
      <x:c r="D2693" s="89" t="n">
        <x:v>45341</x:v>
      </x:c>
      <x:c r="E2693" s="84" t="n">
        <x:v>4</x:v>
      </x:c>
      <x:c r="F2693" s="91" t="n">
        <x:v>8686.96</x:v>
      </x:c>
    </x:row>
    <x:row r="2694">
      <x:c r="A2694" s="83" t="n">
        <x:v>2693</x:v>
      </x:c>
      <x:c r="B2694" s="84" t="n">
        <x:v>2058</x:v>
      </x:c>
      <x:c r="C2694" s="84" t="n">
        <x:v>22</x:v>
      </x:c>
      <x:c r="D2694" s="89" t="n">
        <x:v>45321</x:v>
      </x:c>
      <x:c r="E2694" s="84" t="n">
        <x:v>4</x:v>
      </x:c>
      <x:c r="F2694" s="91" t="n">
        <x:v>2087.56</x:v>
      </x:c>
    </x:row>
    <x:row r="2695">
      <x:c r="A2695" s="83" t="n">
        <x:v>2694</x:v>
      </x:c>
      <x:c r="B2695" s="84" t="n">
        <x:v>2058</x:v>
      </x:c>
      <x:c r="C2695" s="84" t="n">
        <x:v>36</x:v>
      </x:c>
      <x:c r="D2695" s="89" t="n">
        <x:v>45321</x:v>
      </x:c>
      <x:c r="E2695" s="84" t="n">
        <x:v>1</x:v>
      </x:c>
      <x:c r="F2695" s="91" t="n">
        <x:v>596.41</x:v>
      </x:c>
    </x:row>
    <x:row r="2696">
      <x:c r="A2696" s="83" t="n">
        <x:v>2695</x:v>
      </x:c>
      <x:c r="B2696" s="84" t="n">
        <x:v>2059</x:v>
      </x:c>
      <x:c r="C2696" s="84" t="n">
        <x:v>63</x:v>
      </x:c>
      <x:c r="D2696" s="89" t="n">
        <x:v>45612</x:v>
      </x:c>
      <x:c r="E2696" s="84" t="n">
        <x:v>2</x:v>
      </x:c>
      <x:c r="F2696" s="91" t="n">
        <x:v>3868.38</x:v>
      </x:c>
    </x:row>
    <x:row r="2697">
      <x:c r="A2697" s="83" t="n">
        <x:v>2696</x:v>
      </x:c>
      <x:c r="B2697" s="84" t="n">
        <x:v>2059</x:v>
      </x:c>
      <x:c r="C2697" s="84" t="n">
        <x:v>57</x:v>
      </x:c>
      <x:c r="D2697" s="89" t="n">
        <x:v>45612</x:v>
      </x:c>
      <x:c r="E2697" s="84" t="n">
        <x:v>3</x:v>
      </x:c>
      <x:c r="F2697" s="91" t="n">
        <x:v>3537.18</x:v>
      </x:c>
    </x:row>
    <x:row r="2698">
      <x:c r="A2698" s="83" t="n">
        <x:v>2697</x:v>
      </x:c>
      <x:c r="B2698" s="84" t="n">
        <x:v>2061</x:v>
      </x:c>
      <x:c r="C2698" s="84" t="n">
        <x:v>4</x:v>
      </x:c>
      <x:c r="D2698" s="89" t="n">
        <x:v>45101</x:v>
      </x:c>
      <x:c r="E2698" s="84" t="n">
        <x:v>3</x:v>
      </x:c>
      <x:c r="F2698" s="91" t="n">
        <x:v>4575.93</x:v>
      </x:c>
    </x:row>
    <x:row r="2699">
      <x:c r="A2699" s="83" t="n">
        <x:v>2698</x:v>
      </x:c>
      <x:c r="B2699" s="84" t="n">
        <x:v>2062</x:v>
      </x:c>
      <x:c r="C2699" s="84" t="n">
        <x:v>51</x:v>
      </x:c>
      <x:c r="D2699" s="89" t="n">
        <x:v>45050</x:v>
      </x:c>
      <x:c r="E2699" s="84" t="n">
        <x:v>4</x:v>
      </x:c>
      <x:c r="F2699" s="91" t="n">
        <x:v>3568.64</x:v>
      </x:c>
    </x:row>
    <x:row r="2700">
      <x:c r="A2700" s="83" t="n">
        <x:v>2699</x:v>
      </x:c>
      <x:c r="B2700" s="84" t="n">
        <x:v>2063</x:v>
      </x:c>
      <x:c r="C2700" s="84" t="n">
        <x:v>8</x:v>
      </x:c>
      <x:c r="D2700" s="89" t="n">
        <x:v>45872</x:v>
      </x:c>
      <x:c r="E2700" s="84" t="n">
        <x:v>4</x:v>
      </x:c>
      <x:c r="F2700" s="91" t="n">
        <x:v>6664.76</x:v>
      </x:c>
    </x:row>
    <x:row r="2701">
      <x:c r="A2701" s="83" t="n">
        <x:v>2700</x:v>
      </x:c>
      <x:c r="B2701" s="84" t="n">
        <x:v>2064</x:v>
      </x:c>
      <x:c r="C2701" s="84" t="n">
        <x:v>34</x:v>
      </x:c>
      <x:c r="D2701" s="89" t="n">
        <x:v>45810</x:v>
      </x:c>
      <x:c r="E2701" s="84" t="n">
        <x:v>4</x:v>
      </x:c>
      <x:c r="F2701" s="91" t="n">
        <x:v>7908.36</x:v>
      </x:c>
    </x:row>
    <x:row r="2702">
      <x:c r="A2702" s="83" t="n">
        <x:v>2701</x:v>
      </x:c>
      <x:c r="B2702" s="84" t="n">
        <x:v>2065</x:v>
      </x:c>
      <x:c r="C2702" s="84" t="n">
        <x:v>5</x:v>
      </x:c>
      <x:c r="D2702" s="89" t="n">
        <x:v>45685</x:v>
      </x:c>
      <x:c r="E2702" s="84" t="n">
        <x:v>1</x:v>
      </x:c>
      <x:c r="F2702" s="91" t="n">
        <x:v>1468.5</x:v>
      </x:c>
    </x:row>
    <x:row r="2703">
      <x:c r="A2703" s="83" t="n">
        <x:v>2702</x:v>
      </x:c>
      <x:c r="B2703" s="84" t="n">
        <x:v>2066</x:v>
      </x:c>
      <x:c r="C2703" s="84" t="n">
        <x:v>38</x:v>
      </x:c>
      <x:c r="D2703" s="89" t="n">
        <x:v>45730</x:v>
      </x:c>
      <x:c r="E2703" s="84" t="n">
        <x:v>1</x:v>
      </x:c>
      <x:c r="F2703" s="91" t="n">
        <x:v>726.49</x:v>
      </x:c>
    </x:row>
    <x:row r="2704">
      <x:c r="A2704" s="83" t="n">
        <x:v>2703</x:v>
      </x:c>
      <x:c r="B2704" s="84" t="n">
        <x:v>2066</x:v>
      </x:c>
      <x:c r="C2704" s="84" t="n">
        <x:v>45</x:v>
      </x:c>
      <x:c r="D2704" s="89" t="n">
        <x:v>45730</x:v>
      </x:c>
      <x:c r="E2704" s="84" t="n">
        <x:v>2</x:v>
      </x:c>
      <x:c r="F2704" s="91" t="n">
        <x:v>2782.84</x:v>
      </x:c>
    </x:row>
    <x:row r="2705">
      <x:c r="A2705" s="83" t="n">
        <x:v>2704</x:v>
      </x:c>
      <x:c r="B2705" s="84" t="n">
        <x:v>2066</x:v>
      </x:c>
      <x:c r="C2705" s="84" t="n">
        <x:v>47</x:v>
      </x:c>
      <x:c r="D2705" s="89" t="n">
        <x:v>45730</x:v>
      </x:c>
      <x:c r="E2705" s="84" t="n">
        <x:v>3</x:v>
      </x:c>
      <x:c r="F2705" s="91" t="n">
        <x:v>6526.86</x:v>
      </x:c>
    </x:row>
    <x:row r="2706">
      <x:c r="A2706" s="83" t="n">
        <x:v>2705</x:v>
      </x:c>
      <x:c r="B2706" s="84" t="n">
        <x:v>2067</x:v>
      </x:c>
      <x:c r="C2706" s="84" t="n">
        <x:v>45</x:v>
      </x:c>
      <x:c r="D2706" s="89" t="n">
        <x:v>45328</x:v>
      </x:c>
      <x:c r="E2706" s="84" t="n">
        <x:v>4</x:v>
      </x:c>
      <x:c r="F2706" s="91" t="n">
        <x:v>5565.68</x:v>
      </x:c>
    </x:row>
    <x:row r="2707">
      <x:c r="A2707" s="83" t="n">
        <x:v>2706</x:v>
      </x:c>
      <x:c r="B2707" s="84" t="n">
        <x:v>2067</x:v>
      </x:c>
      <x:c r="C2707" s="84" t="n">
        <x:v>41</x:v>
      </x:c>
      <x:c r="D2707" s="89" t="n">
        <x:v>45328</x:v>
      </x:c>
      <x:c r="E2707" s="84" t="n">
        <x:v>1</x:v>
      </x:c>
      <x:c r="F2707" s="91" t="n">
        <x:v>1182.02</x:v>
      </x:c>
    </x:row>
    <x:row r="2708">
      <x:c r="A2708" s="83" t="n">
        <x:v>2707</x:v>
      </x:c>
      <x:c r="B2708" s="84" t="n">
        <x:v>2067</x:v>
      </x:c>
      <x:c r="C2708" s="84" t="n">
        <x:v>45</x:v>
      </x:c>
      <x:c r="D2708" s="89" t="n">
        <x:v>45328</x:v>
      </x:c>
      <x:c r="E2708" s="84" t="n">
        <x:v>2</x:v>
      </x:c>
      <x:c r="F2708" s="91" t="n">
        <x:v>2782.84</x:v>
      </x:c>
    </x:row>
    <x:row r="2709">
      <x:c r="A2709" s="83" t="n">
        <x:v>2708</x:v>
      </x:c>
      <x:c r="B2709" s="84" t="n">
        <x:v>2069</x:v>
      </x:c>
      <x:c r="C2709" s="84" t="n">
        <x:v>69</x:v>
      </x:c>
      <x:c r="D2709" s="89" t="n">
        <x:v>45803</x:v>
      </x:c>
      <x:c r="E2709" s="84" t="n">
        <x:v>4</x:v>
      </x:c>
      <x:c r="F2709" s="91" t="n">
        <x:v>7081.32</x:v>
      </x:c>
    </x:row>
    <x:row r="2710">
      <x:c r="A2710" s="83" t="n">
        <x:v>2709</x:v>
      </x:c>
      <x:c r="B2710" s="84" t="n">
        <x:v>2069</x:v>
      </x:c>
      <x:c r="C2710" s="84" t="n">
        <x:v>25</x:v>
      </x:c>
      <x:c r="D2710" s="89" t="n">
        <x:v>45803</x:v>
      </x:c>
      <x:c r="E2710" s="84" t="n">
        <x:v>1</x:v>
      </x:c>
      <x:c r="F2710" s="91" t="n">
        <x:v>1079.45</x:v>
      </x:c>
    </x:row>
    <x:row r="2711">
      <x:c r="A2711" s="83" t="n">
        <x:v>2710</x:v>
      </x:c>
      <x:c r="B2711" s="84" t="n">
        <x:v>2069</x:v>
      </x:c>
      <x:c r="C2711" s="84" t="n">
        <x:v>15</x:v>
      </x:c>
      <x:c r="D2711" s="89" t="n">
        <x:v>45803</x:v>
      </x:c>
      <x:c r="E2711" s="84" t="n">
        <x:v>1</x:v>
      </x:c>
      <x:c r="F2711" s="91" t="n">
        <x:v>1234.61</x:v>
      </x:c>
    </x:row>
    <x:row r="2712">
      <x:c r="A2712" s="83" t="n">
        <x:v>2711</x:v>
      </x:c>
      <x:c r="B2712" s="84" t="n">
        <x:v>2071</x:v>
      </x:c>
      <x:c r="C2712" s="84" t="n">
        <x:v>3</x:v>
      </x:c>
      <x:c r="D2712" s="89" t="n">
        <x:v>45189</x:v>
      </x:c>
      <x:c r="E2712" s="84" t="n">
        <x:v>4</x:v>
      </x:c>
      <x:c r="F2712" s="91" t="n">
        <x:v>4604.56</x:v>
      </x:c>
    </x:row>
    <x:row r="2713">
      <x:c r="A2713" s="83" t="n">
        <x:v>2712</x:v>
      </x:c>
      <x:c r="B2713" s="84" t="n">
        <x:v>2072</x:v>
      </x:c>
      <x:c r="C2713" s="84" t="n">
        <x:v>10</x:v>
      </x:c>
      <x:c r="D2713" s="89" t="n">
        <x:v>45019</x:v>
      </x:c>
      <x:c r="E2713" s="84" t="n">
        <x:v>2</x:v>
      </x:c>
      <x:c r="F2713" s="91" t="n">
        <x:v>1749.72</x:v>
      </x:c>
    </x:row>
    <x:row r="2714">
      <x:c r="A2714" s="83" t="n">
        <x:v>2713</x:v>
      </x:c>
      <x:c r="B2714" s="84" t="n">
        <x:v>2073</x:v>
      </x:c>
      <x:c r="C2714" s="84" t="n">
        <x:v>2</x:v>
      </x:c>
      <x:c r="D2714" s="89" t="n">
        <x:v>44986</x:v>
      </x:c>
      <x:c r="E2714" s="84" t="n">
        <x:v>4</x:v>
      </x:c>
      <x:c r="F2714" s="91" t="n">
        <x:v>3977.24</x:v>
      </x:c>
    </x:row>
    <x:row r="2715">
      <x:c r="A2715" s="83" t="n">
        <x:v>2714</x:v>
      </x:c>
      <x:c r="B2715" s="84" t="n">
        <x:v>2073</x:v>
      </x:c>
      <x:c r="C2715" s="84" t="n">
        <x:v>73</x:v>
      </x:c>
      <x:c r="D2715" s="89" t="n">
        <x:v>44986</x:v>
      </x:c>
      <x:c r="E2715" s="84" t="n">
        <x:v>2</x:v>
      </x:c>
      <x:c r="F2715" s="91" t="n">
        <x:v>2254.62</x:v>
      </x:c>
    </x:row>
    <x:row r="2716">
      <x:c r="A2716" s="83" t="n">
        <x:v>2715</x:v>
      </x:c>
      <x:c r="B2716" s="84" t="n">
        <x:v>2074</x:v>
      </x:c>
      <x:c r="C2716" s="84" t="n">
        <x:v>13</x:v>
      </x:c>
      <x:c r="D2716" s="89" t="n">
        <x:v>45248</x:v>
      </x:c>
      <x:c r="E2716" s="84" t="n">
        <x:v>1</x:v>
      </x:c>
      <x:c r="F2716" s="91" t="n">
        <x:v>802.05</x:v>
      </x:c>
    </x:row>
    <x:row r="2717">
      <x:c r="A2717" s="83" t="n">
        <x:v>2716</x:v>
      </x:c>
      <x:c r="B2717" s="84" t="n">
        <x:v>2074</x:v>
      </x:c>
      <x:c r="C2717" s="84" t="n">
        <x:v>54</x:v>
      </x:c>
      <x:c r="D2717" s="89" t="n">
        <x:v>45248</x:v>
      </x:c>
      <x:c r="E2717" s="84" t="n">
        <x:v>3</x:v>
      </x:c>
      <x:c r="F2717" s="91" t="n">
        <x:v>2059.2</x:v>
      </x:c>
    </x:row>
    <x:row r="2718">
      <x:c r="A2718" s="83" t="n">
        <x:v>2717</x:v>
      </x:c>
      <x:c r="B2718" s="84" t="n">
        <x:v>2075</x:v>
      </x:c>
      <x:c r="C2718" s="84" t="n">
        <x:v>29</x:v>
      </x:c>
      <x:c r="D2718" s="89" t="n">
        <x:v>45557</x:v>
      </x:c>
      <x:c r="E2718" s="84" t="n">
        <x:v>2</x:v>
      </x:c>
      <x:c r="F2718" s="91" t="n">
        <x:v>3104.94</x:v>
      </x:c>
    </x:row>
    <x:row r="2719">
      <x:c r="A2719" s="83" t="n">
        <x:v>2718</x:v>
      </x:c>
      <x:c r="B2719" s="84" t="n">
        <x:v>2075</x:v>
      </x:c>
      <x:c r="C2719" s="84" t="n">
        <x:v>57</x:v>
      </x:c>
      <x:c r="D2719" s="89" t="n">
        <x:v>45557</x:v>
      </x:c>
      <x:c r="E2719" s="84" t="n">
        <x:v>2</x:v>
      </x:c>
      <x:c r="F2719" s="91" t="n">
        <x:v>2358.12</x:v>
      </x:c>
    </x:row>
    <x:row r="2720">
      <x:c r="A2720" s="83" t="n">
        <x:v>2719</x:v>
      </x:c>
      <x:c r="B2720" s="84" t="n">
        <x:v>2076</x:v>
      </x:c>
      <x:c r="C2720" s="84" t="n">
        <x:v>7</x:v>
      </x:c>
      <x:c r="D2720" s="89" t="n">
        <x:v>45851</x:v>
      </x:c>
      <x:c r="E2720" s="84" t="n">
        <x:v>1</x:v>
      </x:c>
      <x:c r="F2720" s="91" t="n">
        <x:v>366.8</x:v>
      </x:c>
    </x:row>
    <x:row r="2721">
      <x:c r="A2721" s="83" t="n">
        <x:v>2720</x:v>
      </x:c>
      <x:c r="B2721" s="84" t="n">
        <x:v>2076</x:v>
      </x:c>
      <x:c r="C2721" s="84" t="n">
        <x:v>2</x:v>
      </x:c>
      <x:c r="D2721" s="89" t="n">
        <x:v>45851</x:v>
      </x:c>
      <x:c r="E2721" s="84" t="n">
        <x:v>1</x:v>
      </x:c>
      <x:c r="F2721" s="91" t="n">
        <x:v>994.31</x:v>
      </x:c>
    </x:row>
    <x:row r="2722">
      <x:c r="A2722" s="83" t="n">
        <x:v>2721</x:v>
      </x:c>
      <x:c r="B2722" s="84" t="n">
        <x:v>2076</x:v>
      </x:c>
      <x:c r="C2722" s="84" t="n">
        <x:v>35</x:v>
      </x:c>
      <x:c r="D2722" s="89" t="n">
        <x:v>45851</x:v>
      </x:c>
      <x:c r="E2722" s="84" t="n">
        <x:v>1</x:v>
      </x:c>
      <x:c r="F2722" s="91" t="n">
        <x:v>1470.78</x:v>
      </x:c>
    </x:row>
    <x:row r="2723">
      <x:c r="A2723" s="83" t="n">
        <x:v>2722</x:v>
      </x:c>
      <x:c r="B2723" s="84" t="n">
        <x:v>2078</x:v>
      </x:c>
      <x:c r="C2723" s="84" t="n">
        <x:v>52</x:v>
      </x:c>
      <x:c r="D2723" s="89" t="n">
        <x:v>45332</x:v>
      </x:c>
      <x:c r="E2723" s="84" t="n">
        <x:v>2</x:v>
      </x:c>
      <x:c r="F2723" s="91" t="n">
        <x:v>1761.26</x:v>
      </x:c>
    </x:row>
    <x:row r="2724">
      <x:c r="A2724" s="83" t="n">
        <x:v>2723</x:v>
      </x:c>
      <x:c r="B2724" s="84" t="n">
        <x:v>2079</x:v>
      </x:c>
      <x:c r="C2724" s="84" t="n">
        <x:v>8</x:v>
      </x:c>
      <x:c r="D2724" s="89" t="n">
        <x:v>45907</x:v>
      </x:c>
      <x:c r="E2724" s="84" t="n">
        <x:v>3</x:v>
      </x:c>
      <x:c r="F2724" s="91" t="n">
        <x:v>4998.57</x:v>
      </x:c>
    </x:row>
    <x:row r="2725">
      <x:c r="A2725" s="83" t="n">
        <x:v>2724</x:v>
      </x:c>
      <x:c r="B2725" s="84" t="n">
        <x:v>2079</x:v>
      </x:c>
      <x:c r="C2725" s="84" t="n">
        <x:v>41</x:v>
      </x:c>
      <x:c r="D2725" s="89" t="n">
        <x:v>45907</x:v>
      </x:c>
      <x:c r="E2725" s="84" t="n">
        <x:v>4</x:v>
      </x:c>
      <x:c r="F2725" s="91" t="n">
        <x:v>4728.08</x:v>
      </x:c>
    </x:row>
    <x:row r="2726">
      <x:c r="A2726" s="83" t="n">
        <x:v>2725</x:v>
      </x:c>
      <x:c r="B2726" s="84" t="n">
        <x:v>2079</x:v>
      </x:c>
      <x:c r="C2726" s="84" t="n">
        <x:v>50</x:v>
      </x:c>
      <x:c r="D2726" s="89" t="n">
        <x:v>45907</x:v>
      </x:c>
      <x:c r="E2726" s="84" t="n">
        <x:v>1</x:v>
      </x:c>
      <x:c r="F2726" s="91" t="n">
        <x:v>2235.95</x:v>
      </x:c>
    </x:row>
    <x:row r="2727">
      <x:c r="A2727" s="83" t="n">
        <x:v>2726</x:v>
      </x:c>
      <x:c r="B2727" s="84" t="n">
        <x:v>2081</x:v>
      </x:c>
      <x:c r="C2727" s="84" t="n">
        <x:v>26</x:v>
      </x:c>
      <x:c r="D2727" s="89" t="n">
        <x:v>45600</x:v>
      </x:c>
      <x:c r="E2727" s="84" t="n">
        <x:v>2</x:v>
      </x:c>
      <x:c r="F2727" s="91" t="n">
        <x:v>4302</x:v>
      </x:c>
    </x:row>
    <x:row r="2728">
      <x:c r="A2728" s="83" t="n">
        <x:v>2727</x:v>
      </x:c>
      <x:c r="B2728" s="84" t="n">
        <x:v>2081</x:v>
      </x:c>
      <x:c r="C2728" s="84" t="n">
        <x:v>37</x:v>
      </x:c>
      <x:c r="D2728" s="89" t="n">
        <x:v>45600</x:v>
      </x:c>
      <x:c r="E2728" s="84" t="n">
        <x:v>2</x:v>
      </x:c>
      <x:c r="F2728" s="91" t="n">
        <x:v>2067.42</x:v>
      </x:c>
    </x:row>
    <x:row r="2729">
      <x:c r="A2729" s="83" t="n">
        <x:v>2728</x:v>
      </x:c>
      <x:c r="B2729" s="84" t="n">
        <x:v>2083</x:v>
      </x:c>
      <x:c r="C2729" s="84" t="n">
        <x:v>46</x:v>
      </x:c>
      <x:c r="D2729" s="89" t="n">
        <x:v>45554</x:v>
      </x:c>
      <x:c r="E2729" s="84" t="n">
        <x:v>4</x:v>
      </x:c>
      <x:c r="F2729" s="91" t="n">
        <x:v>5339.8</x:v>
      </x:c>
    </x:row>
    <x:row r="2730">
      <x:c r="A2730" s="83" t="n">
        <x:v>2729</x:v>
      </x:c>
      <x:c r="B2730" s="84" t="n">
        <x:v>2083</x:v>
      </x:c>
      <x:c r="C2730" s="84" t="n">
        <x:v>28</x:v>
      </x:c>
      <x:c r="D2730" s="89" t="n">
        <x:v>45554</x:v>
      </x:c>
      <x:c r="E2730" s="84" t="n">
        <x:v>4</x:v>
      </x:c>
      <x:c r="F2730" s="91" t="n">
        <x:v>3281.88</x:v>
      </x:c>
    </x:row>
    <x:row r="2731">
      <x:c r="A2731" s="83" t="n">
        <x:v>2730</x:v>
      </x:c>
      <x:c r="B2731" s="84" t="n">
        <x:v>2084</x:v>
      </x:c>
      <x:c r="C2731" s="84" t="n">
        <x:v>48</x:v>
      </x:c>
      <x:c r="D2731" s="89" t="n">
        <x:v>45963</x:v>
      </x:c>
      <x:c r="E2731" s="84" t="n">
        <x:v>4</x:v>
      </x:c>
      <x:c r="F2731" s="91" t="n">
        <x:v>4645.8</x:v>
      </x:c>
    </x:row>
    <x:row r="2732">
      <x:c r="A2732" s="83" t="n">
        <x:v>2731</x:v>
      </x:c>
      <x:c r="B2732" s="84" t="n">
        <x:v>2084</x:v>
      </x:c>
      <x:c r="C2732" s="84" t="n">
        <x:v>10</x:v>
      </x:c>
      <x:c r="D2732" s="89" t="n">
        <x:v>45963</x:v>
      </x:c>
      <x:c r="E2732" s="84" t="n">
        <x:v>1</x:v>
      </x:c>
      <x:c r="F2732" s="91" t="n">
        <x:v>874.86</x:v>
      </x:c>
    </x:row>
    <x:row r="2733">
      <x:c r="A2733" s="83" t="n">
        <x:v>2732</x:v>
      </x:c>
      <x:c r="B2733" s="84" t="n">
        <x:v>2084</x:v>
      </x:c>
      <x:c r="C2733" s="84" t="n">
        <x:v>56</x:v>
      </x:c>
      <x:c r="D2733" s="89" t="n">
        <x:v>45963</x:v>
      </x:c>
      <x:c r="E2733" s="84" t="n">
        <x:v>3</x:v>
      </x:c>
      <x:c r="F2733" s="91" t="n">
        <x:v>4405.38</x:v>
      </x:c>
    </x:row>
    <x:row r="2734">
      <x:c r="A2734" s="83" t="n">
        <x:v>2733</x:v>
      </x:c>
      <x:c r="B2734" s="84" t="n">
        <x:v>2085</x:v>
      </x:c>
      <x:c r="C2734" s="84" t="n">
        <x:v>17</x:v>
      </x:c>
      <x:c r="D2734" s="89" t="n">
        <x:v>45861</x:v>
      </x:c>
      <x:c r="E2734" s="84" t="n">
        <x:v>3</x:v>
      </x:c>
      <x:c r="F2734" s="91" t="n">
        <x:v>7069.26</x:v>
      </x:c>
    </x:row>
    <x:row r="2735">
      <x:c r="A2735" s="83" t="n">
        <x:v>2734</x:v>
      </x:c>
      <x:c r="B2735" s="84" t="n">
        <x:v>2086</x:v>
      </x:c>
      <x:c r="C2735" s="84" t="n">
        <x:v>27</x:v>
      </x:c>
      <x:c r="D2735" s="89" t="n">
        <x:v>45050</x:v>
      </x:c>
      <x:c r="E2735" s="84" t="n">
        <x:v>2</x:v>
      </x:c>
      <x:c r="F2735" s="91" t="n">
        <x:v>321.38</x:v>
      </x:c>
    </x:row>
    <x:row r="2736">
      <x:c r="A2736" s="83" t="n">
        <x:v>2735</x:v>
      </x:c>
      <x:c r="B2736" s="84" t="n">
        <x:v>2088</x:v>
      </x:c>
      <x:c r="C2736" s="84" t="n">
        <x:v>14</x:v>
      </x:c>
      <x:c r="D2736" s="89" t="n">
        <x:v>45435</x:v>
      </x:c>
      <x:c r="E2736" s="84" t="n">
        <x:v>2</x:v>
      </x:c>
      <x:c r="F2736" s="91" t="n">
        <x:v>351.44</x:v>
      </x:c>
    </x:row>
    <x:row r="2737">
      <x:c r="A2737" s="83" t="n">
        <x:v>2736</x:v>
      </x:c>
      <x:c r="B2737" s="84" t="n">
        <x:v>2088</x:v>
      </x:c>
      <x:c r="C2737" s="84" t="n">
        <x:v>37</x:v>
      </x:c>
      <x:c r="D2737" s="89" t="n">
        <x:v>45435</x:v>
      </x:c>
      <x:c r="E2737" s="84" t="n">
        <x:v>1</x:v>
      </x:c>
      <x:c r="F2737" s="91" t="n">
        <x:v>1033.71</x:v>
      </x:c>
    </x:row>
    <x:row r="2738">
      <x:c r="A2738" s="83" t="n">
        <x:v>2737</x:v>
      </x:c>
      <x:c r="B2738" s="84" t="n">
        <x:v>2088</x:v>
      </x:c>
      <x:c r="C2738" s="84" t="n">
        <x:v>10</x:v>
      </x:c>
      <x:c r="D2738" s="89" t="n">
        <x:v>45435</x:v>
      </x:c>
      <x:c r="E2738" s="84" t="n">
        <x:v>1</x:v>
      </x:c>
      <x:c r="F2738" s="91" t="n">
        <x:v>874.86</x:v>
      </x:c>
    </x:row>
    <x:row r="2739">
      <x:c r="A2739" s="83" t="n">
        <x:v>2738</x:v>
      </x:c>
      <x:c r="B2739" s="84" t="n">
        <x:v>2089</x:v>
      </x:c>
      <x:c r="C2739" s="84" t="n">
        <x:v>60</x:v>
      </x:c>
      <x:c r="D2739" s="89" t="n">
        <x:v>45546</x:v>
      </x:c>
      <x:c r="E2739" s="84" t="n">
        <x:v>2</x:v>
      </x:c>
      <x:c r="F2739" s="91" t="n">
        <x:v>707.6</x:v>
      </x:c>
    </x:row>
    <x:row r="2740">
      <x:c r="A2740" s="83" t="n">
        <x:v>2739</x:v>
      </x:c>
      <x:c r="B2740" s="84" t="n">
        <x:v>2089</x:v>
      </x:c>
      <x:c r="C2740" s="84" t="n">
        <x:v>62</x:v>
      </x:c>
      <x:c r="D2740" s="89" t="n">
        <x:v>45546</x:v>
      </x:c>
      <x:c r="E2740" s="84" t="n">
        <x:v>1</x:v>
      </x:c>
      <x:c r="F2740" s="91" t="n">
        <x:v>1517.31</x:v>
      </x:c>
    </x:row>
    <x:row r="2741">
      <x:c r="A2741" s="83" t="n">
        <x:v>2740</x:v>
      </x:c>
      <x:c r="B2741" s="84" t="n">
        <x:v>2089</x:v>
      </x:c>
      <x:c r="C2741" s="84" t="n">
        <x:v>69</x:v>
      </x:c>
      <x:c r="D2741" s="89" t="n">
        <x:v>45546</x:v>
      </x:c>
      <x:c r="E2741" s="84" t="n">
        <x:v>3</x:v>
      </x:c>
      <x:c r="F2741" s="91" t="n">
        <x:v>5310.99</x:v>
      </x:c>
    </x:row>
    <x:row r="2742">
      <x:c r="A2742" s="83" t="n">
        <x:v>2741</x:v>
      </x:c>
      <x:c r="B2742" s="84" t="n">
        <x:v>2092</x:v>
      </x:c>
      <x:c r="C2742" s="84" t="n">
        <x:v>28</x:v>
      </x:c>
      <x:c r="D2742" s="89" t="n">
        <x:v>45623</x:v>
      </x:c>
      <x:c r="E2742" s="84" t="n">
        <x:v>1</x:v>
      </x:c>
      <x:c r="F2742" s="91" t="n">
        <x:v>820.47</x:v>
      </x:c>
    </x:row>
    <x:row r="2743">
      <x:c r="A2743" s="83" t="n">
        <x:v>2742</x:v>
      </x:c>
      <x:c r="B2743" s="84" t="n">
        <x:v>2092</x:v>
      </x:c>
      <x:c r="C2743" s="84" t="n">
        <x:v>45</x:v>
      </x:c>
      <x:c r="D2743" s="89" t="n">
        <x:v>45623</x:v>
      </x:c>
      <x:c r="E2743" s="84" t="n">
        <x:v>1</x:v>
      </x:c>
      <x:c r="F2743" s="91" t="n">
        <x:v>1391.42</x:v>
      </x:c>
    </x:row>
    <x:row r="2744">
      <x:c r="A2744" s="83" t="n">
        <x:v>2743</x:v>
      </x:c>
      <x:c r="B2744" s="84" t="n">
        <x:v>2092</x:v>
      </x:c>
      <x:c r="C2744" s="84" t="n">
        <x:v>56</x:v>
      </x:c>
      <x:c r="D2744" s="89" t="n">
        <x:v>45623</x:v>
      </x:c>
      <x:c r="E2744" s="84" t="n">
        <x:v>4</x:v>
      </x:c>
      <x:c r="F2744" s="91" t="n">
        <x:v>5873.84</x:v>
      </x:c>
    </x:row>
    <x:row r="2745">
      <x:c r="A2745" s="83" t="n">
        <x:v>2744</x:v>
      </x:c>
      <x:c r="B2745" s="84" t="n">
        <x:v>2093</x:v>
      </x:c>
      <x:c r="C2745" s="84" t="n">
        <x:v>29</x:v>
      </x:c>
      <x:c r="D2745" s="89" t="n">
        <x:v>45546</x:v>
      </x:c>
      <x:c r="E2745" s="84" t="n">
        <x:v>1</x:v>
      </x:c>
      <x:c r="F2745" s="91" t="n">
        <x:v>1552.47</x:v>
      </x:c>
    </x:row>
    <x:row r="2746">
      <x:c r="A2746" s="83" t="n">
        <x:v>2745</x:v>
      </x:c>
      <x:c r="B2746" s="84" t="n">
        <x:v>2093</x:v>
      </x:c>
      <x:c r="C2746" s="84" t="n">
        <x:v>62</x:v>
      </x:c>
      <x:c r="D2746" s="89" t="n">
        <x:v>45546</x:v>
      </x:c>
      <x:c r="E2746" s="84" t="n">
        <x:v>4</x:v>
      </x:c>
      <x:c r="F2746" s="91" t="n">
        <x:v>6069.24</x:v>
      </x:c>
    </x:row>
    <x:row r="2747">
      <x:c r="A2747" s="83" t="n">
        <x:v>2746</x:v>
      </x:c>
      <x:c r="B2747" s="84" t="n">
        <x:v>2093</x:v>
      </x:c>
      <x:c r="C2747" s="84" t="n">
        <x:v>2</x:v>
      </x:c>
      <x:c r="D2747" s="89" t="n">
        <x:v>45546</x:v>
      </x:c>
      <x:c r="E2747" s="84" t="n">
        <x:v>1</x:v>
      </x:c>
      <x:c r="F2747" s="91" t="n">
        <x:v>994.31</x:v>
      </x:c>
    </x:row>
    <x:row r="2748">
      <x:c r="A2748" s="83" t="n">
        <x:v>2747</x:v>
      </x:c>
      <x:c r="B2748" s="84" t="n">
        <x:v>2094</x:v>
      </x:c>
      <x:c r="C2748" s="84" t="n">
        <x:v>5</x:v>
      </x:c>
      <x:c r="D2748" s="89" t="n">
        <x:v>45552</x:v>
      </x:c>
      <x:c r="E2748" s="84" t="n">
        <x:v>2</x:v>
      </x:c>
      <x:c r="F2748" s="91" t="n">
        <x:v>2937</x:v>
      </x:c>
    </x:row>
    <x:row r="2749">
      <x:c r="A2749" s="83" t="n">
        <x:v>2748</x:v>
      </x:c>
      <x:c r="B2749" s="84" t="n">
        <x:v>2094</x:v>
      </x:c>
      <x:c r="C2749" s="84" t="n">
        <x:v>4</x:v>
      </x:c>
      <x:c r="D2749" s="89" t="n">
        <x:v>45552</x:v>
      </x:c>
      <x:c r="E2749" s="84" t="n">
        <x:v>4</x:v>
      </x:c>
      <x:c r="F2749" s="91" t="n">
        <x:v>6101.24</x:v>
      </x:c>
    </x:row>
    <x:row r="2750">
      <x:c r="A2750" s="83" t="n">
        <x:v>2749</x:v>
      </x:c>
      <x:c r="B2750" s="84" t="n">
        <x:v>2094</x:v>
      </x:c>
      <x:c r="C2750" s="84" t="n">
        <x:v>69</x:v>
      </x:c>
      <x:c r="D2750" s="89" t="n">
        <x:v>45552</x:v>
      </x:c>
      <x:c r="E2750" s="84" t="n">
        <x:v>2</x:v>
      </x:c>
      <x:c r="F2750" s="91" t="n">
        <x:v>3540.66</x:v>
      </x:c>
    </x:row>
    <x:row r="2751">
      <x:c r="A2751" s="83" t="n">
        <x:v>2750</x:v>
      </x:c>
      <x:c r="B2751" s="84" t="n">
        <x:v>2095</x:v>
      </x:c>
      <x:c r="C2751" s="84" t="n">
        <x:v>68</x:v>
      </x:c>
      <x:c r="D2751" s="89" t="n">
        <x:v>45647</x:v>
      </x:c>
      <x:c r="E2751" s="84" t="n">
        <x:v>3</x:v>
      </x:c>
      <x:c r="F2751" s="91" t="n">
        <x:v>4582.83</x:v>
      </x:c>
    </x:row>
    <x:row r="2752">
      <x:c r="A2752" s="83" t="n">
        <x:v>2751</x:v>
      </x:c>
      <x:c r="B2752" s="84" t="n">
        <x:v>2095</x:v>
      </x:c>
      <x:c r="C2752" s="84" t="n">
        <x:v>8</x:v>
      </x:c>
      <x:c r="D2752" s="89" t="n">
        <x:v>45647</x:v>
      </x:c>
      <x:c r="E2752" s="84" t="n">
        <x:v>3</x:v>
      </x:c>
      <x:c r="F2752" s="91" t="n">
        <x:v>4998.57</x:v>
      </x:c>
    </x:row>
    <x:row r="2753">
      <x:c r="A2753" s="83" t="n">
        <x:v>2752</x:v>
      </x:c>
      <x:c r="B2753" s="84" t="n">
        <x:v>2095</x:v>
      </x:c>
      <x:c r="C2753" s="84" t="n">
        <x:v>44</x:v>
      </x:c>
      <x:c r="D2753" s="89" t="n">
        <x:v>45647</x:v>
      </x:c>
      <x:c r="E2753" s="84" t="n">
        <x:v>2</x:v>
      </x:c>
      <x:c r="F2753" s="91" t="n">
        <x:v>2502.96</x:v>
      </x:c>
    </x:row>
    <x:row r="2754">
      <x:c r="A2754" s="83" t="n">
        <x:v>2753</x:v>
      </x:c>
      <x:c r="B2754" s="84" t="n">
        <x:v>2097</x:v>
      </x:c>
      <x:c r="C2754" s="84" t="n">
        <x:v>24</x:v>
      </x:c>
      <x:c r="D2754" s="89" t="n">
        <x:v>46006</x:v>
      </x:c>
      <x:c r="E2754" s="84" t="n">
        <x:v>2</x:v>
      </x:c>
      <x:c r="F2754" s="91" t="n">
        <x:v>1481.82</x:v>
      </x:c>
    </x:row>
    <x:row r="2755">
      <x:c r="A2755" s="83" t="n">
        <x:v>2754</x:v>
      </x:c>
      <x:c r="B2755" s="84" t="n">
        <x:v>2097</x:v>
      </x:c>
      <x:c r="C2755" s="84" t="n">
        <x:v>55</x:v>
      </x:c>
      <x:c r="D2755" s="89" t="n">
        <x:v>46006</x:v>
      </x:c>
      <x:c r="E2755" s="84" t="n">
        <x:v>4</x:v>
      </x:c>
      <x:c r="F2755" s="91" t="n">
        <x:v>5999.4</x:v>
      </x:c>
    </x:row>
    <x:row r="2756">
      <x:c r="A2756" s="83" t="n">
        <x:v>2755</x:v>
      </x:c>
      <x:c r="B2756" s="84" t="n">
        <x:v>2101</x:v>
      </x:c>
      <x:c r="C2756" s="84" t="n">
        <x:v>43</x:v>
      </x:c>
      <x:c r="D2756" s="89" t="n">
        <x:v>45913</x:v>
      </x:c>
      <x:c r="E2756" s="84" t="n">
        <x:v>2</x:v>
      </x:c>
      <x:c r="F2756" s="91" t="n">
        <x:v>2930.84</x:v>
      </x:c>
    </x:row>
    <x:row r="2757">
      <x:c r="A2757" s="83" t="n">
        <x:v>2756</x:v>
      </x:c>
      <x:c r="B2757" s="84" t="n">
        <x:v>2104</x:v>
      </x:c>
      <x:c r="C2757" s="84" t="n">
        <x:v>17</x:v>
      </x:c>
      <x:c r="D2757" s="89" t="n">
        <x:v>45892</x:v>
      </x:c>
      <x:c r="E2757" s="84" t="n">
        <x:v>3</x:v>
      </x:c>
      <x:c r="F2757" s="91" t="n">
        <x:v>7069.26</x:v>
      </x:c>
    </x:row>
    <x:row r="2758">
      <x:c r="A2758" s="83" t="n">
        <x:v>2757</x:v>
      </x:c>
      <x:c r="B2758" s="84" t="n">
        <x:v>2104</x:v>
      </x:c>
      <x:c r="C2758" s="84" t="n">
        <x:v>36</x:v>
      </x:c>
      <x:c r="D2758" s="89" t="n">
        <x:v>45892</x:v>
      </x:c>
      <x:c r="E2758" s="84" t="n">
        <x:v>3</x:v>
      </x:c>
      <x:c r="F2758" s="91" t="n">
        <x:v>1789.23</x:v>
      </x:c>
    </x:row>
    <x:row r="2759">
      <x:c r="A2759" s="83" t="n">
        <x:v>2758</x:v>
      </x:c>
      <x:c r="B2759" s="84" t="n">
        <x:v>2104</x:v>
      </x:c>
      <x:c r="C2759" s="84" t="n">
        <x:v>58</x:v>
      </x:c>
      <x:c r="D2759" s="89" t="n">
        <x:v>45892</x:v>
      </x:c>
      <x:c r="E2759" s="84" t="n">
        <x:v>1</x:v>
      </x:c>
      <x:c r="F2759" s="91" t="n">
        <x:v>2018.18</x:v>
      </x:c>
    </x:row>
    <x:row r="2760">
      <x:c r="A2760" s="83" t="n">
        <x:v>2759</x:v>
      </x:c>
      <x:c r="B2760" s="84" t="n">
        <x:v>2106</x:v>
      </x:c>
      <x:c r="C2760" s="84" t="n">
        <x:v>1</x:v>
      </x:c>
      <x:c r="D2760" s="89" t="n">
        <x:v>45238</x:v>
      </x:c>
      <x:c r="E2760" s="84" t="n">
        <x:v>2</x:v>
      </x:c>
      <x:c r="F2760" s="91" t="n">
        <x:v>3479.2</x:v>
      </x:c>
    </x:row>
    <x:row r="2761">
      <x:c r="A2761" s="83" t="n">
        <x:v>2760</x:v>
      </x:c>
      <x:c r="B2761" s="84" t="n">
        <x:v>2108</x:v>
      </x:c>
      <x:c r="C2761" s="84" t="n">
        <x:v>24</x:v>
      </x:c>
      <x:c r="D2761" s="89" t="n">
        <x:v>45140</x:v>
      </x:c>
      <x:c r="E2761" s="84" t="n">
        <x:v>1</x:v>
      </x:c>
      <x:c r="F2761" s="91" t="n">
        <x:v>740.91</x:v>
      </x:c>
    </x:row>
    <x:row r="2762">
      <x:c r="A2762" s="83" t="n">
        <x:v>2761</x:v>
      </x:c>
      <x:c r="B2762" s="84" t="n">
        <x:v>2109</x:v>
      </x:c>
      <x:c r="C2762" s="84" t="n">
        <x:v>34</x:v>
      </x:c>
      <x:c r="D2762" s="89" t="n">
        <x:v>45179</x:v>
      </x:c>
      <x:c r="E2762" s="84" t="n">
        <x:v>4</x:v>
      </x:c>
      <x:c r="F2762" s="91" t="n">
        <x:v>7908.36</x:v>
      </x:c>
    </x:row>
    <x:row r="2763">
      <x:c r="A2763" s="83" t="n">
        <x:v>2762</x:v>
      </x:c>
      <x:c r="B2763" s="84" t="n">
        <x:v>2109</x:v>
      </x:c>
      <x:c r="C2763" s="84" t="n">
        <x:v>1</x:v>
      </x:c>
      <x:c r="D2763" s="89" t="n">
        <x:v>45179</x:v>
      </x:c>
      <x:c r="E2763" s="84" t="n">
        <x:v>1</x:v>
      </x:c>
      <x:c r="F2763" s="91" t="n">
        <x:v>1739.6</x:v>
      </x:c>
    </x:row>
    <x:row r="2764">
      <x:c r="A2764" s="83" t="n">
        <x:v>2763</x:v>
      </x:c>
      <x:c r="B2764" s="84" t="n">
        <x:v>2109</x:v>
      </x:c>
      <x:c r="C2764" s="84" t="n">
        <x:v>46</x:v>
      </x:c>
      <x:c r="D2764" s="89" t="n">
        <x:v>45179</x:v>
      </x:c>
      <x:c r="E2764" s="84" t="n">
        <x:v>1</x:v>
      </x:c>
      <x:c r="F2764" s="91" t="n">
        <x:v>1334.95</x:v>
      </x:c>
    </x:row>
    <x:row r="2765">
      <x:c r="A2765" s="83" t="n">
        <x:v>2764</x:v>
      </x:c>
      <x:c r="B2765" s="84" t="n">
        <x:v>2111</x:v>
      </x:c>
      <x:c r="C2765" s="84" t="n">
        <x:v>43</x:v>
      </x:c>
      <x:c r="D2765" s="89" t="n">
        <x:v>45166</x:v>
      </x:c>
      <x:c r="E2765" s="84" t="n">
        <x:v>2</x:v>
      </x:c>
      <x:c r="F2765" s="91" t="n">
        <x:v>2930.84</x:v>
      </x:c>
    </x:row>
    <x:row r="2766">
      <x:c r="A2766" s="83" t="n">
        <x:v>2765</x:v>
      </x:c>
      <x:c r="B2766" s="84" t="n">
        <x:v>2111</x:v>
      </x:c>
      <x:c r="C2766" s="84" t="n">
        <x:v>43</x:v>
      </x:c>
      <x:c r="D2766" s="89" t="n">
        <x:v>45166</x:v>
      </x:c>
      <x:c r="E2766" s="84" t="n">
        <x:v>2</x:v>
      </x:c>
      <x:c r="F2766" s="91" t="n">
        <x:v>2930.84</x:v>
      </x:c>
    </x:row>
    <x:row r="2767">
      <x:c r="A2767" s="83" t="n">
        <x:v>2766</x:v>
      </x:c>
      <x:c r="B2767" s="84" t="n">
        <x:v>2112</x:v>
      </x:c>
      <x:c r="C2767" s="84" t="n">
        <x:v>32</x:v>
      </x:c>
      <x:c r="D2767" s="89" t="n">
        <x:v>45812</x:v>
      </x:c>
      <x:c r="E2767" s="84" t="n">
        <x:v>4</x:v>
      </x:c>
      <x:c r="F2767" s="91" t="n">
        <x:v>7253</x:v>
      </x:c>
    </x:row>
    <x:row r="2768">
      <x:c r="A2768" s="83" t="n">
        <x:v>2767</x:v>
      </x:c>
      <x:c r="B2768" s="84" t="n">
        <x:v>2116</x:v>
      </x:c>
      <x:c r="C2768" s="84" t="n">
        <x:v>63</x:v>
      </x:c>
      <x:c r="D2768" s="89" t="n">
        <x:v>45669</x:v>
      </x:c>
      <x:c r="E2768" s="84" t="n">
        <x:v>2</x:v>
      </x:c>
      <x:c r="F2768" s="91" t="n">
        <x:v>3868.38</x:v>
      </x:c>
    </x:row>
    <x:row r="2769">
      <x:c r="A2769" s="83" t="n">
        <x:v>2768</x:v>
      </x:c>
      <x:c r="B2769" s="84" t="n">
        <x:v>2119</x:v>
      </x:c>
      <x:c r="C2769" s="84" t="n">
        <x:v>10</x:v>
      </x:c>
      <x:c r="D2769" s="89" t="n">
        <x:v>45439</x:v>
      </x:c>
      <x:c r="E2769" s="84" t="n">
        <x:v>3</x:v>
      </x:c>
      <x:c r="F2769" s="91" t="n">
        <x:v>2624.58</x:v>
      </x:c>
    </x:row>
    <x:row r="2770">
      <x:c r="A2770" s="83" t="n">
        <x:v>2769</x:v>
      </x:c>
      <x:c r="B2770" s="84" t="n">
        <x:v>2121</x:v>
      </x:c>
      <x:c r="C2770" s="84" t="n">
        <x:v>80</x:v>
      </x:c>
      <x:c r="D2770" s="89" t="n">
        <x:v>45727</x:v>
      </x:c>
      <x:c r="E2770" s="84" t="n">
        <x:v>4</x:v>
      </x:c>
      <x:c r="F2770" s="91" t="n">
        <x:v>6914.16</x:v>
      </x:c>
    </x:row>
    <x:row r="2771">
      <x:c r="A2771" s="83" t="n">
        <x:v>2770</x:v>
      </x:c>
      <x:c r="B2771" s="84" t="n">
        <x:v>2122</x:v>
      </x:c>
      <x:c r="C2771" s="84" t="n">
        <x:v>65</x:v>
      </x:c>
      <x:c r="D2771" s="89" t="n">
        <x:v>45634</x:v>
      </x:c>
      <x:c r="E2771" s="84" t="n">
        <x:v>3</x:v>
      </x:c>
      <x:c r="F2771" s="91" t="n">
        <x:v>3764.52</x:v>
      </x:c>
    </x:row>
    <x:row r="2772">
      <x:c r="A2772" s="83" t="n">
        <x:v>2771</x:v>
      </x:c>
      <x:c r="B2772" s="84" t="n">
        <x:v>2122</x:v>
      </x:c>
      <x:c r="C2772" s="84" t="n">
        <x:v>47</x:v>
      </x:c>
      <x:c r="D2772" s="89" t="n">
        <x:v>45634</x:v>
      </x:c>
      <x:c r="E2772" s="84" t="n">
        <x:v>4</x:v>
      </x:c>
      <x:c r="F2772" s="91" t="n">
        <x:v>8702.48</x:v>
      </x:c>
    </x:row>
    <x:row r="2773">
      <x:c r="A2773" s="83" t="n">
        <x:v>2772</x:v>
      </x:c>
      <x:c r="B2773" s="84" t="n">
        <x:v>2122</x:v>
      </x:c>
      <x:c r="C2773" s="84" t="n">
        <x:v>20</x:v>
      </x:c>
      <x:c r="D2773" s="89" t="n">
        <x:v>45634</x:v>
      </x:c>
      <x:c r="E2773" s="84" t="n">
        <x:v>4</x:v>
      </x:c>
      <x:c r="F2773" s="91" t="n">
        <x:v>2164.8</x:v>
      </x:c>
    </x:row>
    <x:row r="2774">
      <x:c r="A2774" s="83" t="n">
        <x:v>2773</x:v>
      </x:c>
      <x:c r="B2774" s="84" t="n">
        <x:v>2124</x:v>
      </x:c>
      <x:c r="C2774" s="84" t="n">
        <x:v>28</x:v>
      </x:c>
      <x:c r="D2774" s="89" t="n">
        <x:v>45407</x:v>
      </x:c>
      <x:c r="E2774" s="84" t="n">
        <x:v>4</x:v>
      </x:c>
      <x:c r="F2774" s="91" t="n">
        <x:v>3281.88</x:v>
      </x:c>
    </x:row>
    <x:row r="2775">
      <x:c r="A2775" s="83" t="n">
        <x:v>2774</x:v>
      </x:c>
      <x:c r="B2775" s="84" t="n">
        <x:v>2124</x:v>
      </x:c>
      <x:c r="C2775" s="84" t="n">
        <x:v>36</x:v>
      </x:c>
      <x:c r="D2775" s="89" t="n">
        <x:v>45407</x:v>
      </x:c>
      <x:c r="E2775" s="84" t="n">
        <x:v>4</x:v>
      </x:c>
      <x:c r="F2775" s="91" t="n">
        <x:v>2385.64</x:v>
      </x:c>
    </x:row>
    <x:row r="2776">
      <x:c r="A2776" s="83" t="n">
        <x:v>2775</x:v>
      </x:c>
      <x:c r="B2776" s="84" t="n">
        <x:v>2124</x:v>
      </x:c>
      <x:c r="C2776" s="84" t="n">
        <x:v>53</x:v>
      </x:c>
      <x:c r="D2776" s="89" t="n">
        <x:v>45407</x:v>
      </x:c>
      <x:c r="E2776" s="84" t="n">
        <x:v>1</x:v>
      </x:c>
      <x:c r="F2776" s="91" t="n">
        <x:v>1590.92</x:v>
      </x:c>
    </x:row>
    <x:row r="2777">
      <x:c r="A2777" s="83" t="n">
        <x:v>2776</x:v>
      </x:c>
      <x:c r="B2777" s="84" t="n">
        <x:v>2125</x:v>
      </x:c>
      <x:c r="C2777" s="84" t="n">
        <x:v>58</x:v>
      </x:c>
      <x:c r="D2777" s="89" t="n">
        <x:v>45470</x:v>
      </x:c>
      <x:c r="E2777" s="84" t="n">
        <x:v>3</x:v>
      </x:c>
      <x:c r="F2777" s="91" t="n">
        <x:v>6054.54</x:v>
      </x:c>
    </x:row>
    <x:row r="2778">
      <x:c r="A2778" s="83" t="n">
        <x:v>2777</x:v>
      </x:c>
      <x:c r="B2778" s="84" t="n">
        <x:v>2125</x:v>
      </x:c>
      <x:c r="C2778" s="84" t="n">
        <x:v>32</x:v>
      </x:c>
      <x:c r="D2778" s="89" t="n">
        <x:v>45470</x:v>
      </x:c>
      <x:c r="E2778" s="84" t="n">
        <x:v>1</x:v>
      </x:c>
      <x:c r="F2778" s="91" t="n">
        <x:v>1813.25</x:v>
      </x:c>
    </x:row>
    <x:row r="2779">
      <x:c r="A2779" s="83" t="n">
        <x:v>2778</x:v>
      </x:c>
      <x:c r="B2779" s="84" t="n">
        <x:v>2125</x:v>
      </x:c>
      <x:c r="C2779" s="84" t="n">
        <x:v>35</x:v>
      </x:c>
      <x:c r="D2779" s="89" t="n">
        <x:v>45470</x:v>
      </x:c>
      <x:c r="E2779" s="84" t="n">
        <x:v>3</x:v>
      </x:c>
      <x:c r="F2779" s="91" t="n">
        <x:v>4412.34</x:v>
      </x:c>
    </x:row>
    <x:row r="2780">
      <x:c r="A2780" s="83" t="n">
        <x:v>2779</x:v>
      </x:c>
      <x:c r="B2780" s="84" t="n">
        <x:v>2127</x:v>
      </x:c>
      <x:c r="C2780" s="84" t="n">
        <x:v>71</x:v>
      </x:c>
      <x:c r="D2780" s="89" t="n">
        <x:v>45054</x:v>
      </x:c>
      <x:c r="E2780" s="84" t="n">
        <x:v>4</x:v>
      </x:c>
      <x:c r="F2780" s="91" t="n">
        <x:v>7934.08</x:v>
      </x:c>
    </x:row>
    <x:row r="2781">
      <x:c r="A2781" s="83" t="n">
        <x:v>2780</x:v>
      </x:c>
      <x:c r="B2781" s="84" t="n">
        <x:v>2127</x:v>
      </x:c>
      <x:c r="C2781" s="84" t="n">
        <x:v>14</x:v>
      </x:c>
      <x:c r="D2781" s="89" t="n">
        <x:v>45054</x:v>
      </x:c>
      <x:c r="E2781" s="84" t="n">
        <x:v>1</x:v>
      </x:c>
      <x:c r="F2781" s="91" t="n">
        <x:v>175.72</x:v>
      </x:c>
    </x:row>
    <x:row r="2782">
      <x:c r="A2782" s="83" t="n">
        <x:v>2781</x:v>
      </x:c>
      <x:c r="B2782" s="84" t="n">
        <x:v>2127</x:v>
      </x:c>
      <x:c r="C2782" s="84" t="n">
        <x:v>40</x:v>
      </x:c>
      <x:c r="D2782" s="89" t="n">
        <x:v>45054</x:v>
      </x:c>
      <x:c r="E2782" s="84" t="n">
        <x:v>1</x:v>
      </x:c>
      <x:c r="F2782" s="91" t="n">
        <x:v>2035.04</x:v>
      </x:c>
    </x:row>
    <x:row r="2783">
      <x:c r="A2783" s="83" t="n">
        <x:v>2782</x:v>
      </x:c>
      <x:c r="B2783" s="84" t="n">
        <x:v>2128</x:v>
      </x:c>
      <x:c r="C2783" s="84" t="n">
        <x:v>60</x:v>
      </x:c>
      <x:c r="D2783" s="89" t="n">
        <x:v>45918</x:v>
      </x:c>
      <x:c r="E2783" s="84" t="n">
        <x:v>2</x:v>
      </x:c>
      <x:c r="F2783" s="91" t="n">
        <x:v>707.6</x:v>
      </x:c>
    </x:row>
    <x:row r="2784">
      <x:c r="A2784" s="83" t="n">
        <x:v>2783</x:v>
      </x:c>
      <x:c r="B2784" s="84" t="n">
        <x:v>2128</x:v>
      </x:c>
      <x:c r="C2784" s="84" t="n">
        <x:v>67</x:v>
      </x:c>
      <x:c r="D2784" s="89" t="n">
        <x:v>45918</x:v>
      </x:c>
      <x:c r="E2784" s="84" t="n">
        <x:v>4</x:v>
      </x:c>
      <x:c r="F2784" s="91" t="n">
        <x:v>5118.12</x:v>
      </x:c>
    </x:row>
    <x:row r="2785">
      <x:c r="A2785" s="83" t="n">
        <x:v>2784</x:v>
      </x:c>
      <x:c r="B2785" s="84" t="n">
        <x:v>2128</x:v>
      </x:c>
      <x:c r="C2785" s="84" t="n">
        <x:v>62</x:v>
      </x:c>
      <x:c r="D2785" s="89" t="n">
        <x:v>45918</x:v>
      </x:c>
      <x:c r="E2785" s="84" t="n">
        <x:v>3</x:v>
      </x:c>
      <x:c r="F2785" s="91" t="n">
        <x:v>4551.93</x:v>
      </x:c>
    </x:row>
    <x:row r="2786">
      <x:c r="A2786" s="83" t="n">
        <x:v>2785</x:v>
      </x:c>
      <x:c r="B2786" s="84" t="n">
        <x:v>2129</x:v>
      </x:c>
      <x:c r="C2786" s="84" t="n">
        <x:v>69</x:v>
      </x:c>
      <x:c r="D2786" s="89" t="n">
        <x:v>45548</x:v>
      </x:c>
      <x:c r="E2786" s="84" t="n">
        <x:v>2</x:v>
      </x:c>
      <x:c r="F2786" s="91" t="n">
        <x:v>3540.66</x:v>
      </x:c>
    </x:row>
    <x:row r="2787">
      <x:c r="A2787" s="83" t="n">
        <x:v>2786</x:v>
      </x:c>
      <x:c r="B2787" s="84" t="n">
        <x:v>2129</x:v>
      </x:c>
      <x:c r="C2787" s="84" t="n">
        <x:v>46</x:v>
      </x:c>
      <x:c r="D2787" s="89" t="n">
        <x:v>45548</x:v>
      </x:c>
      <x:c r="E2787" s="84" t="n">
        <x:v>1</x:v>
      </x:c>
      <x:c r="F2787" s="91" t="n">
        <x:v>1334.95</x:v>
      </x:c>
    </x:row>
    <x:row r="2788">
      <x:c r="A2788" s="83" t="n">
        <x:v>2787</x:v>
      </x:c>
      <x:c r="B2788" s="84" t="n">
        <x:v>2129</x:v>
      </x:c>
      <x:c r="C2788" s="84" t="n">
        <x:v>66</x:v>
      </x:c>
      <x:c r="D2788" s="89" t="n">
        <x:v>45548</x:v>
      </x:c>
      <x:c r="E2788" s="84" t="n">
        <x:v>3</x:v>
      </x:c>
      <x:c r="F2788" s="91" t="n">
        <x:v>5737.35</x:v>
      </x:c>
    </x:row>
    <x:row r="2789">
      <x:c r="A2789" s="83" t="n">
        <x:v>2788</x:v>
      </x:c>
      <x:c r="B2789" s="84" t="n">
        <x:v>2130</x:v>
      </x:c>
      <x:c r="C2789" s="84" t="n">
        <x:v>45</x:v>
      </x:c>
      <x:c r="D2789" s="89" t="n">
        <x:v>45226</x:v>
      </x:c>
      <x:c r="E2789" s="84" t="n">
        <x:v>4</x:v>
      </x:c>
      <x:c r="F2789" s="91" t="n">
        <x:v>5565.68</x:v>
      </x:c>
    </x:row>
    <x:row r="2790">
      <x:c r="A2790" s="83" t="n">
        <x:v>2789</x:v>
      </x:c>
      <x:c r="B2790" s="84" t="n">
        <x:v>2131</x:v>
      </x:c>
      <x:c r="C2790" s="84" t="n">
        <x:v>14</x:v>
      </x:c>
      <x:c r="D2790" s="89" t="n">
        <x:v>45831</x:v>
      </x:c>
      <x:c r="E2790" s="84" t="n">
        <x:v>1</x:v>
      </x:c>
      <x:c r="F2790" s="91" t="n">
        <x:v>175.72</x:v>
      </x:c>
    </x:row>
    <x:row r="2791">
      <x:c r="A2791" s="83" t="n">
        <x:v>2790</x:v>
      </x:c>
      <x:c r="B2791" s="84" t="n">
        <x:v>2131</x:v>
      </x:c>
      <x:c r="C2791" s="84" t="n">
        <x:v>69</x:v>
      </x:c>
      <x:c r="D2791" s="89" t="n">
        <x:v>45831</x:v>
      </x:c>
      <x:c r="E2791" s="84" t="n">
        <x:v>1</x:v>
      </x:c>
      <x:c r="F2791" s="91" t="n">
        <x:v>1770.33</x:v>
      </x:c>
    </x:row>
    <x:row r="2792">
      <x:c r="A2792" s="83" t="n">
        <x:v>2791</x:v>
      </x:c>
      <x:c r="B2792" s="84" t="n">
        <x:v>2131</x:v>
      </x:c>
      <x:c r="C2792" s="84" t="n">
        <x:v>60</x:v>
      </x:c>
      <x:c r="D2792" s="89" t="n">
        <x:v>45831</x:v>
      </x:c>
      <x:c r="E2792" s="84" t="n">
        <x:v>2</x:v>
      </x:c>
      <x:c r="F2792" s="91" t="n">
        <x:v>707.6</x:v>
      </x:c>
    </x:row>
    <x:row r="2793">
      <x:c r="A2793" s="83" t="n">
        <x:v>2792</x:v>
      </x:c>
      <x:c r="B2793" s="84" t="n">
        <x:v>2133</x:v>
      </x:c>
      <x:c r="C2793" s="84" t="n">
        <x:v>56</x:v>
      </x:c>
      <x:c r="D2793" s="89" t="n">
        <x:v>45557</x:v>
      </x:c>
      <x:c r="E2793" s="84" t="n">
        <x:v>3</x:v>
      </x:c>
      <x:c r="F2793" s="91" t="n">
        <x:v>4405.38</x:v>
      </x:c>
    </x:row>
    <x:row r="2794">
      <x:c r="A2794" s="83" t="n">
        <x:v>2793</x:v>
      </x:c>
      <x:c r="B2794" s="84" t="n">
        <x:v>2136</x:v>
      </x:c>
      <x:c r="C2794" s="84" t="n">
        <x:v>38</x:v>
      </x:c>
      <x:c r="D2794" s="89" t="n">
        <x:v>45115</x:v>
      </x:c>
      <x:c r="E2794" s="84" t="n">
        <x:v>4</x:v>
      </x:c>
      <x:c r="F2794" s="91" t="n">
        <x:v>2905.96</x:v>
      </x:c>
    </x:row>
    <x:row r="2795">
      <x:c r="A2795" s="83" t="n">
        <x:v>2794</x:v>
      </x:c>
      <x:c r="B2795" s="84" t="n">
        <x:v>2136</x:v>
      </x:c>
      <x:c r="C2795" s="84" t="n">
        <x:v>11</x:v>
      </x:c>
      <x:c r="D2795" s="89" t="n">
        <x:v>45115</x:v>
      </x:c>
      <x:c r="E2795" s="84" t="n">
        <x:v>4</x:v>
      </x:c>
      <x:c r="F2795" s="91" t="n">
        <x:v>8845.04</x:v>
      </x:c>
    </x:row>
    <x:row r="2796">
      <x:c r="A2796" s="83" t="n">
        <x:v>2795</x:v>
      </x:c>
      <x:c r="B2796" s="84" t="n">
        <x:v>2136</x:v>
      </x:c>
      <x:c r="C2796" s="84" t="n">
        <x:v>50</x:v>
      </x:c>
      <x:c r="D2796" s="89" t="n">
        <x:v>45115</x:v>
      </x:c>
      <x:c r="E2796" s="84" t="n">
        <x:v>4</x:v>
      </x:c>
      <x:c r="F2796" s="91" t="n">
        <x:v>8943.8</x:v>
      </x:c>
    </x:row>
    <x:row r="2797">
      <x:c r="A2797" s="83" t="n">
        <x:v>2796</x:v>
      </x:c>
      <x:c r="B2797" s="84" t="n">
        <x:v>2137</x:v>
      </x:c>
      <x:c r="C2797" s="84" t="n">
        <x:v>14</x:v>
      </x:c>
      <x:c r="D2797" s="89" t="n">
        <x:v>46011</x:v>
      </x:c>
      <x:c r="E2797" s="84" t="n">
        <x:v>2</x:v>
      </x:c>
      <x:c r="F2797" s="91" t="n">
        <x:v>351.44</x:v>
      </x:c>
    </x:row>
    <x:row r="2798">
      <x:c r="A2798" s="83" t="n">
        <x:v>2797</x:v>
      </x:c>
      <x:c r="B2798" s="84" t="n">
        <x:v>2140</x:v>
      </x:c>
      <x:c r="C2798" s="84" t="n">
        <x:v>12</x:v>
      </x:c>
      <x:c r="D2798" s="89" t="n">
        <x:v>45159</x:v>
      </x:c>
      <x:c r="E2798" s="84" t="n">
        <x:v>2</x:v>
      </x:c>
      <x:c r="F2798" s="91" t="n">
        <x:v>568.98</x:v>
      </x:c>
    </x:row>
    <x:row r="2799">
      <x:c r="A2799" s="83" t="n">
        <x:v>2798</x:v>
      </x:c>
      <x:c r="B2799" s="84" t="n">
        <x:v>2141</x:v>
      </x:c>
      <x:c r="C2799" s="84" t="n">
        <x:v>10</x:v>
      </x:c>
      <x:c r="D2799" s="89" t="n">
        <x:v>45591</x:v>
      </x:c>
      <x:c r="E2799" s="84" t="n">
        <x:v>1</x:v>
      </x:c>
      <x:c r="F2799" s="91" t="n">
        <x:v>874.86</x:v>
      </x:c>
    </x:row>
    <x:row r="2800">
      <x:c r="A2800" s="83" t="n">
        <x:v>2799</x:v>
      </x:c>
      <x:c r="B2800" s="84" t="n">
        <x:v>2142</x:v>
      </x:c>
      <x:c r="C2800" s="84" t="n">
        <x:v>51</x:v>
      </x:c>
      <x:c r="D2800" s="89" t="n">
        <x:v>45462</x:v>
      </x:c>
      <x:c r="E2800" s="84" t="n">
        <x:v>2</x:v>
      </x:c>
      <x:c r="F2800" s="91" t="n">
        <x:v>1784.32</x:v>
      </x:c>
    </x:row>
    <x:row r="2801">
      <x:c r="A2801" s="83" t="n">
        <x:v>2800</x:v>
      </x:c>
      <x:c r="B2801" s="84" t="n">
        <x:v>2142</x:v>
      </x:c>
      <x:c r="C2801" s="84" t="n">
        <x:v>48</x:v>
      </x:c>
      <x:c r="D2801" s="89" t="n">
        <x:v>45462</x:v>
      </x:c>
      <x:c r="E2801" s="84" t="n">
        <x:v>3</x:v>
      </x:c>
      <x:c r="F2801" s="91" t="n">
        <x:v>3484.35</x:v>
      </x:c>
    </x:row>
    <x:row r="2802">
      <x:c r="A2802" s="83" t="n">
        <x:v>2801</x:v>
      </x:c>
      <x:c r="B2802" s="84" t="n">
        <x:v>2142</x:v>
      </x:c>
      <x:c r="C2802" s="84" t="n">
        <x:v>37</x:v>
      </x:c>
      <x:c r="D2802" s="89" t="n">
        <x:v>45462</x:v>
      </x:c>
      <x:c r="E2802" s="84" t="n">
        <x:v>4</x:v>
      </x:c>
      <x:c r="F2802" s="91" t="n">
        <x:v>4134.84</x:v>
      </x:c>
    </x:row>
    <x:row r="2803">
      <x:c r="A2803" s="83" t="n">
        <x:v>2802</x:v>
      </x:c>
      <x:c r="B2803" s="84" t="n">
        <x:v>2144</x:v>
      </x:c>
      <x:c r="C2803" s="84" t="n">
        <x:v>13</x:v>
      </x:c>
      <x:c r="D2803" s="89" t="n">
        <x:v>45431</x:v>
      </x:c>
      <x:c r="E2803" s="84" t="n">
        <x:v>1</x:v>
      </x:c>
      <x:c r="F2803" s="91" t="n">
        <x:v>802.05</x:v>
      </x:c>
    </x:row>
    <x:row r="2804">
      <x:c r="A2804" s="83" t="n">
        <x:v>2803</x:v>
      </x:c>
      <x:c r="B2804" s="84" t="n">
        <x:v>2144</x:v>
      </x:c>
      <x:c r="C2804" s="84" t="n">
        <x:v>13</x:v>
      </x:c>
      <x:c r="D2804" s="89" t="n">
        <x:v>45431</x:v>
      </x:c>
      <x:c r="E2804" s="84" t="n">
        <x:v>3</x:v>
      </x:c>
      <x:c r="F2804" s="91" t="n">
        <x:v>2406.15</x:v>
      </x:c>
    </x:row>
    <x:row r="2805">
      <x:c r="A2805" s="83" t="n">
        <x:v>2804</x:v>
      </x:c>
      <x:c r="B2805" s="84" t="n">
        <x:v>2145</x:v>
      </x:c>
      <x:c r="C2805" s="84" t="n">
        <x:v>68</x:v>
      </x:c>
      <x:c r="D2805" s="89" t="n">
        <x:v>45467</x:v>
      </x:c>
      <x:c r="E2805" s="84" t="n">
        <x:v>3</x:v>
      </x:c>
      <x:c r="F2805" s="91" t="n">
        <x:v>4582.83</x:v>
      </x:c>
    </x:row>
    <x:row r="2806">
      <x:c r="A2806" s="83" t="n">
        <x:v>2805</x:v>
      </x:c>
      <x:c r="B2806" s="84" t="n">
        <x:v>2147</x:v>
      </x:c>
      <x:c r="C2806" s="84" t="n">
        <x:v>65</x:v>
      </x:c>
      <x:c r="D2806" s="89" t="n">
        <x:v>45290</x:v>
      </x:c>
      <x:c r="E2806" s="84" t="n">
        <x:v>1</x:v>
      </x:c>
      <x:c r="F2806" s="91" t="n">
        <x:v>1254.84</x:v>
      </x:c>
    </x:row>
    <x:row r="2807">
      <x:c r="A2807" s="83" t="n">
        <x:v>2806</x:v>
      </x:c>
      <x:c r="B2807" s="84" t="n">
        <x:v>2147</x:v>
      </x:c>
      <x:c r="C2807" s="84" t="n">
        <x:v>40</x:v>
      </x:c>
      <x:c r="D2807" s="89" t="n">
        <x:v>45290</x:v>
      </x:c>
      <x:c r="E2807" s="84" t="n">
        <x:v>3</x:v>
      </x:c>
      <x:c r="F2807" s="91" t="n">
        <x:v>6105.12</x:v>
      </x:c>
    </x:row>
    <x:row r="2808">
      <x:c r="A2808" s="83" t="n">
        <x:v>2807</x:v>
      </x:c>
      <x:c r="B2808" s="84" t="n">
        <x:v>2148</x:v>
      </x:c>
      <x:c r="C2808" s="84" t="n">
        <x:v>78</x:v>
      </x:c>
      <x:c r="D2808" s="89" t="n">
        <x:v>45623</x:v>
      </x:c>
      <x:c r="E2808" s="84" t="n">
        <x:v>2</x:v>
      </x:c>
      <x:c r="F2808" s="91" t="n">
        <x:v>567.2</x:v>
      </x:c>
    </x:row>
    <x:row r="2809">
      <x:c r="A2809" s="83" t="n">
        <x:v>2808</x:v>
      </x:c>
      <x:c r="B2809" s="84" t="n">
        <x:v>2149</x:v>
      </x:c>
      <x:c r="C2809" s="84" t="n">
        <x:v>54</x:v>
      </x:c>
      <x:c r="D2809" s="89" t="n">
        <x:v>45872</x:v>
      </x:c>
      <x:c r="E2809" s="84" t="n">
        <x:v>2</x:v>
      </x:c>
      <x:c r="F2809" s="91" t="n">
        <x:v>1372.8</x:v>
      </x:c>
    </x:row>
    <x:row r="2810">
      <x:c r="A2810" s="83" t="n">
        <x:v>2809</x:v>
      </x:c>
      <x:c r="B2810" s="84" t="n">
        <x:v>2151</x:v>
      </x:c>
      <x:c r="C2810" s="84" t="n">
        <x:v>24</x:v>
      </x:c>
      <x:c r="D2810" s="89" t="n">
        <x:v>45600</x:v>
      </x:c>
      <x:c r="E2810" s="84" t="n">
        <x:v>4</x:v>
      </x:c>
      <x:c r="F2810" s="91" t="n">
        <x:v>2963.64</x:v>
      </x:c>
    </x:row>
    <x:row r="2811">
      <x:c r="A2811" s="83" t="n">
        <x:v>2810</x:v>
      </x:c>
      <x:c r="B2811" s="84" t="n">
        <x:v>2151</x:v>
      </x:c>
      <x:c r="C2811" s="84" t="n">
        <x:v>27</x:v>
      </x:c>
      <x:c r="D2811" s="89" t="n">
        <x:v>45600</x:v>
      </x:c>
      <x:c r="E2811" s="84" t="n">
        <x:v>4</x:v>
      </x:c>
      <x:c r="F2811" s="91" t="n">
        <x:v>642.76</x:v>
      </x:c>
    </x:row>
    <x:row r="2812">
      <x:c r="A2812" s="83" t="n">
        <x:v>2811</x:v>
      </x:c>
      <x:c r="B2812" s="84" t="n">
        <x:v>2151</x:v>
      </x:c>
      <x:c r="C2812" s="84" t="n">
        <x:v>30</x:v>
      </x:c>
      <x:c r="D2812" s="89" t="n">
        <x:v>45600</x:v>
      </x:c>
      <x:c r="E2812" s="84" t="n">
        <x:v>1</x:v>
      </x:c>
      <x:c r="F2812" s="91" t="n">
        <x:v>1278.76</x:v>
      </x:c>
    </x:row>
    <x:row r="2813">
      <x:c r="A2813" s="83" t="n">
        <x:v>2812</x:v>
      </x:c>
      <x:c r="B2813" s="84" t="n">
        <x:v>2152</x:v>
      </x:c>
      <x:c r="C2813" s="84" t="n">
        <x:v>80</x:v>
      </x:c>
      <x:c r="D2813" s="89" t="n">
        <x:v>45251</x:v>
      </x:c>
      <x:c r="E2813" s="84" t="n">
        <x:v>4</x:v>
      </x:c>
      <x:c r="F2813" s="91" t="n">
        <x:v>6914.16</x:v>
      </x:c>
    </x:row>
    <x:row r="2814">
      <x:c r="A2814" s="83" t="n">
        <x:v>2813</x:v>
      </x:c>
      <x:c r="B2814" s="84" t="n">
        <x:v>2152</x:v>
      </x:c>
      <x:c r="C2814" s="84" t="n">
        <x:v>19</x:v>
      </x:c>
      <x:c r="D2814" s="89" t="n">
        <x:v>45251</x:v>
      </x:c>
      <x:c r="E2814" s="84" t="n">
        <x:v>1</x:v>
      </x:c>
      <x:c r="F2814" s="91" t="n">
        <x:v>1087.71</x:v>
      </x:c>
    </x:row>
    <x:row r="2815">
      <x:c r="A2815" s="83" t="n">
        <x:v>2814</x:v>
      </x:c>
      <x:c r="B2815" s="84" t="n">
        <x:v>2153</x:v>
      </x:c>
      <x:c r="C2815" s="84" t="n">
        <x:v>19</x:v>
      </x:c>
      <x:c r="D2815" s="89" t="n">
        <x:v>45136</x:v>
      </x:c>
      <x:c r="E2815" s="84" t="n">
        <x:v>3</x:v>
      </x:c>
      <x:c r="F2815" s="91" t="n">
        <x:v>3263.13</x:v>
      </x:c>
    </x:row>
    <x:row r="2816">
      <x:c r="A2816" s="83" t="n">
        <x:v>2815</x:v>
      </x:c>
      <x:c r="B2816" s="84" t="n">
        <x:v>2153</x:v>
      </x:c>
      <x:c r="C2816" s="84" t="n">
        <x:v>55</x:v>
      </x:c>
      <x:c r="D2816" s="89" t="n">
        <x:v>45136</x:v>
      </x:c>
      <x:c r="E2816" s="84" t="n">
        <x:v>1</x:v>
      </x:c>
      <x:c r="F2816" s="91" t="n">
        <x:v>1499.85</x:v>
      </x:c>
    </x:row>
    <x:row r="2817">
      <x:c r="A2817" s="83" t="n">
        <x:v>2816</x:v>
      </x:c>
      <x:c r="B2817" s="84" t="n">
        <x:v>2155</x:v>
      </x:c>
      <x:c r="C2817" s="84" t="n">
        <x:v>39</x:v>
      </x:c>
      <x:c r="D2817" s="89" t="n">
        <x:v>45322</x:v>
      </x:c>
      <x:c r="E2817" s="84" t="n">
        <x:v>2</x:v>
      </x:c>
      <x:c r="F2817" s="91" t="n">
        <x:v>1355.2</x:v>
      </x:c>
    </x:row>
    <x:row r="2818">
      <x:c r="A2818" s="83" t="n">
        <x:v>2817</x:v>
      </x:c>
      <x:c r="B2818" s="84" t="n">
        <x:v>2157</x:v>
      </x:c>
      <x:c r="C2818" s="84" t="n">
        <x:v>44</x:v>
      </x:c>
      <x:c r="D2818" s="89" t="n">
        <x:v>45006</x:v>
      </x:c>
      <x:c r="E2818" s="84" t="n">
        <x:v>3</x:v>
      </x:c>
      <x:c r="F2818" s="91" t="n">
        <x:v>3754.44</x:v>
      </x:c>
    </x:row>
    <x:row r="2819">
      <x:c r="A2819" s="83" t="n">
        <x:v>2818</x:v>
      </x:c>
      <x:c r="B2819" s="84" t="n">
        <x:v>2157</x:v>
      </x:c>
      <x:c r="C2819" s="84" t="n">
        <x:v>1</x:v>
      </x:c>
      <x:c r="D2819" s="89" t="n">
        <x:v>45006</x:v>
      </x:c>
      <x:c r="E2819" s="84" t="n">
        <x:v>4</x:v>
      </x:c>
      <x:c r="F2819" s="91" t="n">
        <x:v>6958.4</x:v>
      </x:c>
    </x:row>
    <x:row r="2820">
      <x:c r="A2820" s="83" t="n">
        <x:v>2819</x:v>
      </x:c>
      <x:c r="B2820" s="84" t="n">
        <x:v>2157</x:v>
      </x:c>
      <x:c r="C2820" s="84" t="n">
        <x:v>9</x:v>
      </x:c>
      <x:c r="D2820" s="89" t="n">
        <x:v>45006</x:v>
      </x:c>
      <x:c r="E2820" s="84" t="n">
        <x:v>2</x:v>
      </x:c>
      <x:c r="F2820" s="91" t="n">
        <x:v>3150.12</x:v>
      </x:c>
    </x:row>
    <x:row r="2821">
      <x:c r="A2821" s="83" t="n">
        <x:v>2820</x:v>
      </x:c>
      <x:c r="B2821" s="84" t="n">
        <x:v>2158</x:v>
      </x:c>
      <x:c r="C2821" s="84" t="n">
        <x:v>50</x:v>
      </x:c>
      <x:c r="D2821" s="89" t="n">
        <x:v>45908</x:v>
      </x:c>
      <x:c r="E2821" s="84" t="n">
        <x:v>4</x:v>
      </x:c>
      <x:c r="F2821" s="91" t="n">
        <x:v>8943.8</x:v>
      </x:c>
    </x:row>
    <x:row r="2822">
      <x:c r="A2822" s="83" t="n">
        <x:v>2821</x:v>
      </x:c>
      <x:c r="B2822" s="84" t="n">
        <x:v>2158</x:v>
      </x:c>
      <x:c r="C2822" s="84" t="n">
        <x:v>72</x:v>
      </x:c>
      <x:c r="D2822" s="89" t="n">
        <x:v>45908</x:v>
      </x:c>
      <x:c r="E2822" s="84" t="n">
        <x:v>1</x:v>
      </x:c>
      <x:c r="F2822" s="91" t="n">
        <x:v>450.83</x:v>
      </x:c>
    </x:row>
    <x:row r="2823">
      <x:c r="A2823" s="83" t="n">
        <x:v>2822</x:v>
      </x:c>
      <x:c r="B2823" s="84" t="n">
        <x:v>2160</x:v>
      </x:c>
      <x:c r="C2823" s="84" t="n">
        <x:v>7</x:v>
      </x:c>
      <x:c r="D2823" s="89" t="n">
        <x:v>45972</x:v>
      </x:c>
      <x:c r="E2823" s="84" t="n">
        <x:v>1</x:v>
      </x:c>
      <x:c r="F2823" s="91" t="n">
        <x:v>366.8</x:v>
      </x:c>
    </x:row>
    <x:row r="2824">
      <x:c r="A2824" s="83" t="n">
        <x:v>2823</x:v>
      </x:c>
      <x:c r="B2824" s="84" t="n">
        <x:v>2161</x:v>
      </x:c>
      <x:c r="C2824" s="84" t="n">
        <x:v>66</x:v>
      </x:c>
      <x:c r="D2824" s="89" t="n">
        <x:v>45058</x:v>
      </x:c>
      <x:c r="E2824" s="84" t="n">
        <x:v>2</x:v>
      </x:c>
      <x:c r="F2824" s="91" t="n">
        <x:v>3824.9</x:v>
      </x:c>
    </x:row>
    <x:row r="2825">
      <x:c r="A2825" s="83" t="n">
        <x:v>2824</x:v>
      </x:c>
      <x:c r="B2825" s="84" t="n">
        <x:v>2162</x:v>
      </x:c>
      <x:c r="C2825" s="84" t="n">
        <x:v>17</x:v>
      </x:c>
      <x:c r="D2825" s="89" t="n">
        <x:v>45116</x:v>
      </x:c>
      <x:c r="E2825" s="84" t="n">
        <x:v>1</x:v>
      </x:c>
      <x:c r="F2825" s="91" t="n">
        <x:v>2356.42</x:v>
      </x:c>
    </x:row>
    <x:row r="2826">
      <x:c r="A2826" s="83" t="n">
        <x:v>2825</x:v>
      </x:c>
      <x:c r="B2826" s="84" t="n">
        <x:v>2162</x:v>
      </x:c>
      <x:c r="C2826" s="84" t="n">
        <x:v>27</x:v>
      </x:c>
      <x:c r="D2826" s="89" t="n">
        <x:v>45116</x:v>
      </x:c>
      <x:c r="E2826" s="84" t="n">
        <x:v>4</x:v>
      </x:c>
      <x:c r="F2826" s="91" t="n">
        <x:v>642.76</x:v>
      </x:c>
    </x:row>
    <x:row r="2827">
      <x:c r="A2827" s="83" t="n">
        <x:v>2826</x:v>
      </x:c>
      <x:c r="B2827" s="84" t="n">
        <x:v>2162</x:v>
      </x:c>
      <x:c r="C2827" s="84" t="n">
        <x:v>22</x:v>
      </x:c>
      <x:c r="D2827" s="89" t="n">
        <x:v>45116</x:v>
      </x:c>
      <x:c r="E2827" s="84" t="n">
        <x:v>1</x:v>
      </x:c>
      <x:c r="F2827" s="91" t="n">
        <x:v>521.89</x:v>
      </x:c>
    </x:row>
    <x:row r="2828">
      <x:c r="A2828" s="83" t="n">
        <x:v>2827</x:v>
      </x:c>
      <x:c r="B2828" s="84" t="n">
        <x:v>2163</x:v>
      </x:c>
      <x:c r="C2828" s="84" t="n">
        <x:v>54</x:v>
      </x:c>
      <x:c r="D2828" s="89" t="n">
        <x:v>46017</x:v>
      </x:c>
      <x:c r="E2828" s="84" t="n">
        <x:v>2</x:v>
      </x:c>
      <x:c r="F2828" s="91" t="n">
        <x:v>1372.8</x:v>
      </x:c>
    </x:row>
    <x:row r="2829">
      <x:c r="A2829" s="83" t="n">
        <x:v>2828</x:v>
      </x:c>
      <x:c r="B2829" s="84" t="n">
        <x:v>2163</x:v>
      </x:c>
      <x:c r="C2829" s="84" t="n">
        <x:v>59</x:v>
      </x:c>
      <x:c r="D2829" s="89" t="n">
        <x:v>46017</x:v>
      </x:c>
      <x:c r="E2829" s="84" t="n">
        <x:v>1</x:v>
      </x:c>
      <x:c r="F2829" s="91" t="n">
        <x:v>1516.45</x:v>
      </x:c>
    </x:row>
    <x:row r="2830">
      <x:c r="A2830" s="83" t="n">
        <x:v>2829</x:v>
      </x:c>
      <x:c r="B2830" s="84" t="n">
        <x:v>2166</x:v>
      </x:c>
      <x:c r="C2830" s="84" t="n">
        <x:v>8</x:v>
      </x:c>
      <x:c r="D2830" s="89" t="n">
        <x:v>45076</x:v>
      </x:c>
      <x:c r="E2830" s="84" t="n">
        <x:v>1</x:v>
      </x:c>
      <x:c r="F2830" s="91" t="n">
        <x:v>1666.19</x:v>
      </x:c>
    </x:row>
    <x:row r="2831">
      <x:c r="A2831" s="83" t="n">
        <x:v>2830</x:v>
      </x:c>
      <x:c r="B2831" s="84" t="n">
        <x:v>2166</x:v>
      </x:c>
      <x:c r="C2831" s="84" t="n">
        <x:v>50</x:v>
      </x:c>
      <x:c r="D2831" s="89" t="n">
        <x:v>45076</x:v>
      </x:c>
      <x:c r="E2831" s="84" t="n">
        <x:v>3</x:v>
      </x:c>
      <x:c r="F2831" s="91" t="n">
        <x:v>6707.85</x:v>
      </x:c>
    </x:row>
    <x:row r="2832">
      <x:c r="A2832" s="83" t="n">
        <x:v>2831</x:v>
      </x:c>
      <x:c r="B2832" s="84" t="n">
        <x:v>2166</x:v>
      </x:c>
      <x:c r="C2832" s="84" t="n">
        <x:v>1</x:v>
      </x:c>
      <x:c r="D2832" s="89" t="n">
        <x:v>45076</x:v>
      </x:c>
      <x:c r="E2832" s="84" t="n">
        <x:v>2</x:v>
      </x:c>
      <x:c r="F2832" s="91" t="n">
        <x:v>3479.2</x:v>
      </x:c>
    </x:row>
    <x:row r="2833">
      <x:c r="A2833" s="83" t="n">
        <x:v>2832</x:v>
      </x:c>
      <x:c r="B2833" s="84" t="n">
        <x:v>2167</x:v>
      </x:c>
      <x:c r="C2833" s="84" t="n">
        <x:v>50</x:v>
      </x:c>
      <x:c r="D2833" s="89" t="n">
        <x:v>45594</x:v>
      </x:c>
      <x:c r="E2833" s="84" t="n">
        <x:v>3</x:v>
      </x:c>
      <x:c r="F2833" s="91" t="n">
        <x:v>6707.85</x:v>
      </x:c>
    </x:row>
    <x:row r="2834">
      <x:c r="A2834" s="83" t="n">
        <x:v>2833</x:v>
      </x:c>
      <x:c r="B2834" s="84" t="n">
        <x:v>2167</x:v>
      </x:c>
      <x:c r="C2834" s="84" t="n">
        <x:v>78</x:v>
      </x:c>
      <x:c r="D2834" s="89" t="n">
        <x:v>45594</x:v>
      </x:c>
      <x:c r="E2834" s="84" t="n">
        <x:v>1</x:v>
      </x:c>
      <x:c r="F2834" s="91" t="n">
        <x:v>283.6</x:v>
      </x:c>
    </x:row>
    <x:row r="2835">
      <x:c r="A2835" s="83" t="n">
        <x:v>2834</x:v>
      </x:c>
      <x:c r="B2835" s="84" t="n">
        <x:v>2168</x:v>
      </x:c>
      <x:c r="C2835" s="84" t="n">
        <x:v>30</x:v>
      </x:c>
      <x:c r="D2835" s="89" t="n">
        <x:v>45704</x:v>
      </x:c>
      <x:c r="E2835" s="84" t="n">
        <x:v>3</x:v>
      </x:c>
      <x:c r="F2835" s="91" t="n">
        <x:v>3836.28</x:v>
      </x:c>
    </x:row>
    <x:row r="2836">
      <x:c r="A2836" s="83" t="n">
        <x:v>2835</x:v>
      </x:c>
      <x:c r="B2836" s="84" t="n">
        <x:v>2168</x:v>
      </x:c>
      <x:c r="C2836" s="84" t="n">
        <x:v>43</x:v>
      </x:c>
      <x:c r="D2836" s="89" t="n">
        <x:v>45704</x:v>
      </x:c>
      <x:c r="E2836" s="84" t="n">
        <x:v>3</x:v>
      </x:c>
      <x:c r="F2836" s="91" t="n">
        <x:v>4396.26</x:v>
      </x:c>
    </x:row>
    <x:row r="2837">
      <x:c r="A2837" s="83" t="n">
        <x:v>2836</x:v>
      </x:c>
      <x:c r="B2837" s="84" t="n">
        <x:v>2169</x:v>
      </x:c>
      <x:c r="C2837" s="84" t="n">
        <x:v>23</x:v>
      </x:c>
      <x:c r="D2837" s="89" t="n">
        <x:v>45745</x:v>
      </x:c>
      <x:c r="E2837" s="84" t="n">
        <x:v>3</x:v>
      </x:c>
      <x:c r="F2837" s="91" t="n">
        <x:v>5258.55</x:v>
      </x:c>
    </x:row>
    <x:row r="2838">
      <x:c r="A2838" s="83" t="n">
        <x:v>2837</x:v>
      </x:c>
      <x:c r="B2838" s="84" t="n">
        <x:v>2169</x:v>
      </x:c>
      <x:c r="C2838" s="84" t="n">
        <x:v>36</x:v>
      </x:c>
      <x:c r="D2838" s="89" t="n">
        <x:v>45745</x:v>
      </x:c>
      <x:c r="E2838" s="84" t="n">
        <x:v>1</x:v>
      </x:c>
      <x:c r="F2838" s="91" t="n">
        <x:v>596.41</x:v>
      </x:c>
    </x:row>
    <x:row r="2839">
      <x:c r="A2839" s="83" t="n">
        <x:v>2838</x:v>
      </x:c>
      <x:c r="B2839" s="84" t="n">
        <x:v>2173</x:v>
      </x:c>
      <x:c r="C2839" s="84" t="n">
        <x:v>27</x:v>
      </x:c>
      <x:c r="D2839" s="89" t="n">
        <x:v>45824</x:v>
      </x:c>
      <x:c r="E2839" s="84" t="n">
        <x:v>2</x:v>
      </x:c>
      <x:c r="F2839" s="91" t="n">
        <x:v>321.38</x:v>
      </x:c>
    </x:row>
    <x:row r="2840">
      <x:c r="A2840" s="83" t="n">
        <x:v>2839</x:v>
      </x:c>
      <x:c r="B2840" s="84" t="n">
        <x:v>2174</x:v>
      </x:c>
      <x:c r="C2840" s="84" t="n">
        <x:v>42</x:v>
      </x:c>
      <x:c r="D2840" s="89" t="n">
        <x:v>45694</x:v>
      </x:c>
      <x:c r="E2840" s="84" t="n">
        <x:v>4</x:v>
      </x:c>
      <x:c r="F2840" s="91" t="n">
        <x:v>8686.96</x:v>
      </x:c>
    </x:row>
    <x:row r="2841">
      <x:c r="A2841" s="83" t="n">
        <x:v>2840</x:v>
      </x:c>
      <x:c r="B2841" s="84" t="n">
        <x:v>2175</x:v>
      </x:c>
      <x:c r="C2841" s="84" t="n">
        <x:v>50</x:v>
      </x:c>
      <x:c r="D2841" s="89" t="n">
        <x:v>45299</x:v>
      </x:c>
      <x:c r="E2841" s="84" t="n">
        <x:v>2</x:v>
      </x:c>
      <x:c r="F2841" s="91" t="n">
        <x:v>4471.9</x:v>
      </x:c>
    </x:row>
    <x:row r="2842">
      <x:c r="A2842" s="83" t="n">
        <x:v>2841</x:v>
      </x:c>
      <x:c r="B2842" s="84" t="n">
        <x:v>2175</x:v>
      </x:c>
      <x:c r="C2842" s="84" t="n">
        <x:v>67</x:v>
      </x:c>
      <x:c r="D2842" s="89" t="n">
        <x:v>45299</x:v>
      </x:c>
      <x:c r="E2842" s="84" t="n">
        <x:v>2</x:v>
      </x:c>
      <x:c r="F2842" s="91" t="n">
        <x:v>2559.06</x:v>
      </x:c>
    </x:row>
    <x:row r="2843">
      <x:c r="A2843" s="83" t="n">
        <x:v>2842</x:v>
      </x:c>
      <x:c r="B2843" s="84" t="n">
        <x:v>2176</x:v>
      </x:c>
      <x:c r="C2843" s="84" t="n">
        <x:v>40</x:v>
      </x:c>
      <x:c r="D2843" s="89" t="n">
        <x:v>45816</x:v>
      </x:c>
      <x:c r="E2843" s="84" t="n">
        <x:v>3</x:v>
      </x:c>
      <x:c r="F2843" s="91" t="n">
        <x:v>6105.12</x:v>
      </x:c>
    </x:row>
    <x:row r="2844">
      <x:c r="A2844" s="83" t="n">
        <x:v>2843</x:v>
      </x:c>
      <x:c r="B2844" s="84" t="n">
        <x:v>2180</x:v>
      </x:c>
      <x:c r="C2844" s="84" t="n">
        <x:v>28</x:v>
      </x:c>
      <x:c r="D2844" s="89" t="n">
        <x:v>45141</x:v>
      </x:c>
      <x:c r="E2844" s="84" t="n">
        <x:v>1</x:v>
      </x:c>
      <x:c r="F2844" s="91" t="n">
        <x:v>820.47</x:v>
      </x:c>
    </x:row>
    <x:row r="2845">
      <x:c r="A2845" s="83" t="n">
        <x:v>2844</x:v>
      </x:c>
      <x:c r="B2845" s="84" t="n">
        <x:v>2180</x:v>
      </x:c>
      <x:c r="C2845" s="84" t="n">
        <x:v>8</x:v>
      </x:c>
      <x:c r="D2845" s="89" t="n">
        <x:v>45141</x:v>
      </x:c>
      <x:c r="E2845" s="84" t="n">
        <x:v>4</x:v>
      </x:c>
      <x:c r="F2845" s="91" t="n">
        <x:v>6664.76</x:v>
      </x:c>
    </x:row>
    <x:row r="2846">
      <x:c r="A2846" s="83" t="n">
        <x:v>2845</x:v>
      </x:c>
      <x:c r="B2846" s="84" t="n">
        <x:v>2181</x:v>
      </x:c>
      <x:c r="C2846" s="84" t="n">
        <x:v>37</x:v>
      </x:c>
      <x:c r="D2846" s="89" t="n">
        <x:v>45417</x:v>
      </x:c>
      <x:c r="E2846" s="84" t="n">
        <x:v>4</x:v>
      </x:c>
      <x:c r="F2846" s="91" t="n">
        <x:v>4134.84</x:v>
      </x:c>
    </x:row>
    <x:row r="2847">
      <x:c r="A2847" s="83" t="n">
        <x:v>2846</x:v>
      </x:c>
      <x:c r="B2847" s="84" t="n">
        <x:v>2182</x:v>
      </x:c>
      <x:c r="C2847" s="84" t="n">
        <x:v>16</x:v>
      </x:c>
      <x:c r="D2847" s="89" t="n">
        <x:v>45921</x:v>
      </x:c>
      <x:c r="E2847" s="84" t="n">
        <x:v>1</x:v>
      </x:c>
      <x:c r="F2847" s="91" t="n">
        <x:v>605.78</x:v>
      </x:c>
    </x:row>
    <x:row r="2848">
      <x:c r="A2848" s="83" t="n">
        <x:v>2847</x:v>
      </x:c>
      <x:c r="B2848" s="84" t="n">
        <x:v>2183</x:v>
      </x:c>
      <x:c r="C2848" s="84" t="n">
        <x:v>50</x:v>
      </x:c>
      <x:c r="D2848" s="89" t="n">
        <x:v>45866</x:v>
      </x:c>
      <x:c r="E2848" s="84" t="n">
        <x:v>3</x:v>
      </x:c>
      <x:c r="F2848" s="91" t="n">
        <x:v>6707.85</x:v>
      </x:c>
    </x:row>
    <x:row r="2849">
      <x:c r="A2849" s="83" t="n">
        <x:v>2848</x:v>
      </x:c>
      <x:c r="B2849" s="84" t="n">
        <x:v>2183</x:v>
      </x:c>
      <x:c r="C2849" s="84" t="n">
        <x:v>35</x:v>
      </x:c>
      <x:c r="D2849" s="89" t="n">
        <x:v>45866</x:v>
      </x:c>
      <x:c r="E2849" s="84" t="n">
        <x:v>3</x:v>
      </x:c>
      <x:c r="F2849" s="91" t="n">
        <x:v>4412.34</x:v>
      </x:c>
    </x:row>
    <x:row r="2850">
      <x:c r="A2850" s="83" t="n">
        <x:v>2849</x:v>
      </x:c>
      <x:c r="B2850" s="84" t="n">
        <x:v>2185</x:v>
      </x:c>
      <x:c r="C2850" s="84" t="n">
        <x:v>12</x:v>
      </x:c>
      <x:c r="D2850" s="89" t="n">
        <x:v>44959</x:v>
      </x:c>
      <x:c r="E2850" s="84" t="n">
        <x:v>3</x:v>
      </x:c>
      <x:c r="F2850" s="91" t="n">
        <x:v>853.47</x:v>
      </x:c>
    </x:row>
    <x:row r="2851">
      <x:c r="A2851" s="83" t="n">
        <x:v>2850</x:v>
      </x:c>
      <x:c r="B2851" s="84" t="n">
        <x:v>2185</x:v>
      </x:c>
      <x:c r="C2851" s="84" t="n">
        <x:v>38</x:v>
      </x:c>
      <x:c r="D2851" s="89" t="n">
        <x:v>44959</x:v>
      </x:c>
      <x:c r="E2851" s="84" t="n">
        <x:v>2</x:v>
      </x:c>
      <x:c r="F2851" s="91" t="n">
        <x:v>1452.98</x:v>
      </x:c>
    </x:row>
    <x:row r="2852">
      <x:c r="A2852" s="83" t="n">
        <x:v>2851</x:v>
      </x:c>
      <x:c r="B2852" s="84" t="n">
        <x:v>2185</x:v>
      </x:c>
      <x:c r="C2852" s="84" t="n">
        <x:v>1</x:v>
      </x:c>
      <x:c r="D2852" s="89" t="n">
        <x:v>44959</x:v>
      </x:c>
      <x:c r="E2852" s="84" t="n">
        <x:v>1</x:v>
      </x:c>
      <x:c r="F2852" s="91" t="n">
        <x:v>1739.6</x:v>
      </x:c>
    </x:row>
    <x:row r="2853">
      <x:c r="A2853" s="83" t="n">
        <x:v>2852</x:v>
      </x:c>
      <x:c r="B2853" s="84" t="n">
        <x:v>2186</x:v>
      </x:c>
      <x:c r="C2853" s="84" t="n">
        <x:v>80</x:v>
      </x:c>
      <x:c r="D2853" s="89" t="n">
        <x:v>45225</x:v>
      </x:c>
      <x:c r="E2853" s="84" t="n">
        <x:v>1</x:v>
      </x:c>
      <x:c r="F2853" s="91" t="n">
        <x:v>1728.54</x:v>
      </x:c>
    </x:row>
    <x:row r="2854">
      <x:c r="A2854" s="83" t="n">
        <x:v>2853</x:v>
      </x:c>
      <x:c r="B2854" s="84" t="n">
        <x:v>2187</x:v>
      </x:c>
      <x:c r="C2854" s="84" t="n">
        <x:v>69</x:v>
      </x:c>
      <x:c r="D2854" s="89" t="n">
        <x:v>44958</x:v>
      </x:c>
      <x:c r="E2854" s="84" t="n">
        <x:v>1</x:v>
      </x:c>
      <x:c r="F2854" s="91" t="n">
        <x:v>1770.33</x:v>
      </x:c>
    </x:row>
    <x:row r="2855">
      <x:c r="A2855" s="83" t="n">
        <x:v>2854</x:v>
      </x:c>
      <x:c r="B2855" s="84" t="n">
        <x:v>2187</x:v>
      </x:c>
      <x:c r="C2855" s="84" t="n">
        <x:v>54</x:v>
      </x:c>
      <x:c r="D2855" s="89" t="n">
        <x:v>44958</x:v>
      </x:c>
      <x:c r="E2855" s="84" t="n">
        <x:v>1</x:v>
      </x:c>
      <x:c r="F2855" s="91" t="n">
        <x:v>686.4</x:v>
      </x:c>
    </x:row>
    <x:row r="2856">
      <x:c r="A2856" s="83" t="n">
        <x:v>2855</x:v>
      </x:c>
      <x:c r="B2856" s="84" t="n">
        <x:v>2189</x:v>
      </x:c>
      <x:c r="C2856" s="84" t="n">
        <x:v>16</x:v>
      </x:c>
      <x:c r="D2856" s="89" t="n">
        <x:v>45698</x:v>
      </x:c>
      <x:c r="E2856" s="84" t="n">
        <x:v>2</x:v>
      </x:c>
      <x:c r="F2856" s="91" t="n">
        <x:v>1211.56</x:v>
      </x:c>
    </x:row>
    <x:row r="2857">
      <x:c r="A2857" s="83" t="n">
        <x:v>2856</x:v>
      </x:c>
      <x:c r="B2857" s="84" t="n">
        <x:v>2189</x:v>
      </x:c>
      <x:c r="C2857" s="84" t="n">
        <x:v>7</x:v>
      </x:c>
      <x:c r="D2857" s="89" t="n">
        <x:v>45698</x:v>
      </x:c>
      <x:c r="E2857" s="84" t="n">
        <x:v>4</x:v>
      </x:c>
      <x:c r="F2857" s="91" t="n">
        <x:v>1467.2</x:v>
      </x:c>
    </x:row>
    <x:row r="2858">
      <x:c r="A2858" s="83" t="n">
        <x:v>2857</x:v>
      </x:c>
      <x:c r="B2858" s="84" t="n">
        <x:v>2190</x:v>
      </x:c>
      <x:c r="C2858" s="84" t="n">
        <x:v>24</x:v>
      </x:c>
      <x:c r="D2858" s="89" t="n">
        <x:v>44982</x:v>
      </x:c>
      <x:c r="E2858" s="84" t="n">
        <x:v>1</x:v>
      </x:c>
      <x:c r="F2858" s="91" t="n">
        <x:v>740.91</x:v>
      </x:c>
    </x:row>
    <x:row r="2859">
      <x:c r="A2859" s="83" t="n">
        <x:v>2858</x:v>
      </x:c>
      <x:c r="B2859" s="84" t="n">
        <x:v>2190</x:v>
      </x:c>
      <x:c r="C2859" s="84" t="n">
        <x:v>76</x:v>
      </x:c>
      <x:c r="D2859" s="89" t="n">
        <x:v>44982</x:v>
      </x:c>
      <x:c r="E2859" s="84" t="n">
        <x:v>2</x:v>
      </x:c>
      <x:c r="F2859" s="91" t="n">
        <x:v>1439.62</x:v>
      </x:c>
    </x:row>
    <x:row r="2860">
      <x:c r="A2860" s="83" t="n">
        <x:v>2859</x:v>
      </x:c>
      <x:c r="B2860" s="84" t="n">
        <x:v>2191</x:v>
      </x:c>
      <x:c r="C2860" s="84" t="n">
        <x:v>79</x:v>
      </x:c>
      <x:c r="D2860" s="89" t="n">
        <x:v>45230</x:v>
      </x:c>
      <x:c r="E2860" s="84" t="n">
        <x:v>2</x:v>
      </x:c>
      <x:c r="F2860" s="91" t="n">
        <x:v>4133.44</x:v>
      </x:c>
    </x:row>
    <x:row r="2861">
      <x:c r="A2861" s="83" t="n">
        <x:v>2860</x:v>
      </x:c>
      <x:c r="B2861" s="84" t="n">
        <x:v>2192</x:v>
      </x:c>
      <x:c r="C2861" s="84" t="n">
        <x:v>77</x:v>
      </x:c>
      <x:c r="D2861" s="89" t="n">
        <x:v>45822</x:v>
      </x:c>
      <x:c r="E2861" s="84" t="n">
        <x:v>2</x:v>
      </x:c>
      <x:c r="F2861" s="91" t="n">
        <x:v>4205.82</x:v>
      </x:c>
    </x:row>
    <x:row r="2862">
      <x:c r="A2862" s="83" t="n">
        <x:v>2861</x:v>
      </x:c>
      <x:c r="B2862" s="84" t="n">
        <x:v>2192</x:v>
      </x:c>
      <x:c r="C2862" s="84" t="n">
        <x:v>17</x:v>
      </x:c>
      <x:c r="D2862" s="89" t="n">
        <x:v>45822</x:v>
      </x:c>
      <x:c r="E2862" s="84" t="n">
        <x:v>3</x:v>
      </x:c>
      <x:c r="F2862" s="91" t="n">
        <x:v>7069.26</x:v>
      </x:c>
    </x:row>
    <x:row r="2863">
      <x:c r="A2863" s="83" t="n">
        <x:v>2862</x:v>
      </x:c>
      <x:c r="B2863" s="84" t="n">
        <x:v>2192</x:v>
      </x:c>
      <x:c r="C2863" s="84" t="n">
        <x:v>53</x:v>
      </x:c>
      <x:c r="D2863" s="89" t="n">
        <x:v>45822</x:v>
      </x:c>
      <x:c r="E2863" s="84" t="n">
        <x:v>3</x:v>
      </x:c>
      <x:c r="F2863" s="91" t="n">
        <x:v>4772.76</x:v>
      </x:c>
    </x:row>
    <x:row r="2864">
      <x:c r="A2864" s="83" t="n">
        <x:v>2863</x:v>
      </x:c>
      <x:c r="B2864" s="84" t="n">
        <x:v>2193</x:v>
      </x:c>
      <x:c r="C2864" s="84" t="n">
        <x:v>28</x:v>
      </x:c>
      <x:c r="D2864" s="89" t="n">
        <x:v>45031</x:v>
      </x:c>
      <x:c r="E2864" s="84" t="n">
        <x:v>2</x:v>
      </x:c>
      <x:c r="F2864" s="91" t="n">
        <x:v>1640.94</x:v>
      </x:c>
    </x:row>
    <x:row r="2865">
      <x:c r="A2865" s="83" t="n">
        <x:v>2864</x:v>
      </x:c>
      <x:c r="B2865" s="84" t="n">
        <x:v>2195</x:v>
      </x:c>
      <x:c r="C2865" s="84" t="n">
        <x:v>48</x:v>
      </x:c>
      <x:c r="D2865" s="89" t="n">
        <x:v>45361</x:v>
      </x:c>
      <x:c r="E2865" s="84" t="n">
        <x:v>3</x:v>
      </x:c>
      <x:c r="F2865" s="91" t="n">
        <x:v>3484.35</x:v>
      </x:c>
    </x:row>
    <x:row r="2866">
      <x:c r="A2866" s="83" t="n">
        <x:v>2865</x:v>
      </x:c>
      <x:c r="B2866" s="84" t="n">
        <x:v>2196</x:v>
      </x:c>
      <x:c r="C2866" s="84" t="n">
        <x:v>43</x:v>
      </x:c>
      <x:c r="D2866" s="89" t="n">
        <x:v>45214</x:v>
      </x:c>
      <x:c r="E2866" s="84" t="n">
        <x:v>1</x:v>
      </x:c>
      <x:c r="F2866" s="91" t="n">
        <x:v>1465.42</x:v>
      </x:c>
    </x:row>
    <x:row r="2867">
      <x:c r="A2867" s="83" t="n">
        <x:v>2866</x:v>
      </x:c>
      <x:c r="B2867" s="84" t="n">
        <x:v>2197</x:v>
      </x:c>
      <x:c r="C2867" s="84" t="n">
        <x:v>63</x:v>
      </x:c>
      <x:c r="D2867" s="89" t="n">
        <x:v>45312</x:v>
      </x:c>
      <x:c r="E2867" s="84" t="n">
        <x:v>2</x:v>
      </x:c>
      <x:c r="F2867" s="91" t="n">
        <x:v>3868.38</x:v>
      </x:c>
    </x:row>
    <x:row r="2868">
      <x:c r="A2868" s="83" t="n">
        <x:v>2867</x:v>
      </x:c>
      <x:c r="B2868" s="84" t="n">
        <x:v>2197</x:v>
      </x:c>
      <x:c r="C2868" s="84" t="n">
        <x:v>80</x:v>
      </x:c>
      <x:c r="D2868" s="89" t="n">
        <x:v>45312</x:v>
      </x:c>
      <x:c r="E2868" s="84" t="n">
        <x:v>1</x:v>
      </x:c>
      <x:c r="F2868" s="91" t="n">
        <x:v>1728.54</x:v>
      </x:c>
    </x:row>
    <x:row r="2869">
      <x:c r="A2869" s="83" t="n">
        <x:v>2868</x:v>
      </x:c>
      <x:c r="B2869" s="84" t="n">
        <x:v>2197</x:v>
      </x:c>
      <x:c r="C2869" s="84" t="n">
        <x:v>66</x:v>
      </x:c>
      <x:c r="D2869" s="89" t="n">
        <x:v>45312</x:v>
      </x:c>
      <x:c r="E2869" s="84" t="n">
        <x:v>4</x:v>
      </x:c>
      <x:c r="F2869" s="91" t="n">
        <x:v>7649.8</x:v>
      </x:c>
    </x:row>
    <x:row r="2870">
      <x:c r="A2870" s="83" t="n">
        <x:v>2869</x:v>
      </x:c>
      <x:c r="B2870" s="84" t="n">
        <x:v>2198</x:v>
      </x:c>
      <x:c r="C2870" s="84" t="n">
        <x:v>79</x:v>
      </x:c>
      <x:c r="D2870" s="89" t="n">
        <x:v>44958</x:v>
      </x:c>
      <x:c r="E2870" s="84" t="n">
        <x:v>1</x:v>
      </x:c>
      <x:c r="F2870" s="91" t="n">
        <x:v>2066.72</x:v>
      </x:c>
    </x:row>
    <x:row r="2871">
      <x:c r="A2871" s="83" t="n">
        <x:v>2870</x:v>
      </x:c>
      <x:c r="B2871" s="84" t="n">
        <x:v>2198</x:v>
      </x:c>
      <x:c r="C2871" s="84" t="n">
        <x:v>61</x:v>
      </x:c>
      <x:c r="D2871" s="89" t="n">
        <x:v>44958</x:v>
      </x:c>
      <x:c r="E2871" s="84" t="n">
        <x:v>1</x:v>
      </x:c>
      <x:c r="F2871" s="91" t="n">
        <x:v>131.72</x:v>
      </x:c>
    </x:row>
    <x:row r="2872">
      <x:c r="A2872" s="83" t="n">
        <x:v>2871</x:v>
      </x:c>
      <x:c r="B2872" s="84" t="n">
        <x:v>2198</x:v>
      </x:c>
      <x:c r="C2872" s="84" t="n">
        <x:v>50</x:v>
      </x:c>
      <x:c r="D2872" s="89" t="n">
        <x:v>44958</x:v>
      </x:c>
      <x:c r="E2872" s="84" t="n">
        <x:v>3</x:v>
      </x:c>
      <x:c r="F2872" s="91" t="n">
        <x:v>6707.85</x:v>
      </x:c>
    </x:row>
    <x:row r="2873">
      <x:c r="A2873" s="83" t="n">
        <x:v>2872</x:v>
      </x:c>
      <x:c r="B2873" s="84" t="n">
        <x:v>2199</x:v>
      </x:c>
      <x:c r="C2873" s="84" t="n">
        <x:v>44</x:v>
      </x:c>
      <x:c r="D2873" s="89" t="n">
        <x:v>45455</x:v>
      </x:c>
      <x:c r="E2873" s="84" t="n">
        <x:v>4</x:v>
      </x:c>
      <x:c r="F2873" s="91" t="n">
        <x:v>5005.92</x:v>
      </x:c>
    </x:row>
    <x:row r="2874">
      <x:c r="A2874" s="83" t="n">
        <x:v>2873</x:v>
      </x:c>
      <x:c r="B2874" s="84" t="n">
        <x:v>2201</x:v>
      </x:c>
      <x:c r="C2874" s="84" t="n">
        <x:v>2</x:v>
      </x:c>
      <x:c r="D2874" s="89" t="n">
        <x:v>45092</x:v>
      </x:c>
      <x:c r="E2874" s="84" t="n">
        <x:v>2</x:v>
      </x:c>
      <x:c r="F2874" s="91" t="n">
        <x:v>1988.62</x:v>
      </x:c>
    </x:row>
    <x:row r="2875">
      <x:c r="A2875" s="83" t="n">
        <x:v>2874</x:v>
      </x:c>
      <x:c r="B2875" s="84" t="n">
        <x:v>2201</x:v>
      </x:c>
      <x:c r="C2875" s="84" t="n">
        <x:v>70</x:v>
      </x:c>
      <x:c r="D2875" s="89" t="n">
        <x:v>45092</x:v>
      </x:c>
      <x:c r="E2875" s="84" t="n">
        <x:v>4</x:v>
      </x:c>
      <x:c r="F2875" s="91" t="n">
        <x:v>3078.16</x:v>
      </x:c>
    </x:row>
    <x:row r="2876">
      <x:c r="A2876" s="83" t="n">
        <x:v>2875</x:v>
      </x:c>
      <x:c r="B2876" s="84" t="n">
        <x:v>2201</x:v>
      </x:c>
      <x:c r="C2876" s="84" t="n">
        <x:v>79</x:v>
      </x:c>
      <x:c r="D2876" s="89" t="n">
        <x:v>45092</x:v>
      </x:c>
      <x:c r="E2876" s="84" t="n">
        <x:v>3</x:v>
      </x:c>
      <x:c r="F2876" s="91" t="n">
        <x:v>6200.16</x:v>
      </x:c>
    </x:row>
    <x:row r="2877">
      <x:c r="A2877" s="83" t="n">
        <x:v>2876</x:v>
      </x:c>
      <x:c r="B2877" s="84" t="n">
        <x:v>2202</x:v>
      </x:c>
      <x:c r="C2877" s="84" t="n">
        <x:v>22</x:v>
      </x:c>
      <x:c r="D2877" s="89" t="n">
        <x:v>44998</x:v>
      </x:c>
      <x:c r="E2877" s="84" t="n">
        <x:v>2</x:v>
      </x:c>
      <x:c r="F2877" s="91" t="n">
        <x:v>1043.78</x:v>
      </x:c>
    </x:row>
    <x:row r="2878">
      <x:c r="A2878" s="83" t="n">
        <x:v>2877</x:v>
      </x:c>
      <x:c r="B2878" s="84" t="n">
        <x:v>2203</x:v>
      </x:c>
      <x:c r="C2878" s="84" t="n">
        <x:v>41</x:v>
      </x:c>
      <x:c r="D2878" s="89" t="n">
        <x:v>44981</x:v>
      </x:c>
      <x:c r="E2878" s="84" t="n">
        <x:v>2</x:v>
      </x:c>
      <x:c r="F2878" s="91" t="n">
        <x:v>2364.04</x:v>
      </x:c>
    </x:row>
    <x:row r="2879">
      <x:c r="A2879" s="83" t="n">
        <x:v>2878</x:v>
      </x:c>
      <x:c r="B2879" s="84" t="n">
        <x:v>2205</x:v>
      </x:c>
      <x:c r="C2879" s="84" t="n">
        <x:v>11</x:v>
      </x:c>
      <x:c r="D2879" s="89" t="n">
        <x:v>44981</x:v>
      </x:c>
      <x:c r="E2879" s="84" t="n">
        <x:v>2</x:v>
      </x:c>
      <x:c r="F2879" s="91" t="n">
        <x:v>4422.52</x:v>
      </x:c>
    </x:row>
    <x:row r="2880">
      <x:c r="A2880" s="83" t="n">
        <x:v>2879</x:v>
      </x:c>
      <x:c r="B2880" s="84" t="n">
        <x:v>2206</x:v>
      </x:c>
      <x:c r="C2880" s="84" t="n">
        <x:v>10</x:v>
      </x:c>
      <x:c r="D2880" s="89" t="n">
        <x:v>45145</x:v>
      </x:c>
      <x:c r="E2880" s="84" t="n">
        <x:v>1</x:v>
      </x:c>
      <x:c r="F2880" s="91" t="n">
        <x:v>874.86</x:v>
      </x:c>
    </x:row>
    <x:row r="2881">
      <x:c r="A2881" s="83" t="n">
        <x:v>2880</x:v>
      </x:c>
      <x:c r="B2881" s="84" t="n">
        <x:v>2206</x:v>
      </x:c>
      <x:c r="C2881" s="84" t="n">
        <x:v>32</x:v>
      </x:c>
      <x:c r="D2881" s="89" t="n">
        <x:v>45145</x:v>
      </x:c>
      <x:c r="E2881" s="84" t="n">
        <x:v>3</x:v>
      </x:c>
      <x:c r="F2881" s="91" t="n">
        <x:v>5439.75</x:v>
      </x:c>
    </x:row>
    <x:row r="2882">
      <x:c r="A2882" s="83" t="n">
        <x:v>2881</x:v>
      </x:c>
      <x:c r="B2882" s="84" t="n">
        <x:v>2207</x:v>
      </x:c>
      <x:c r="C2882" s="84" t="n">
        <x:v>33</x:v>
      </x:c>
      <x:c r="D2882" s="89" t="n">
        <x:v>45370</x:v>
      </x:c>
      <x:c r="E2882" s="84" t="n">
        <x:v>1</x:v>
      </x:c>
      <x:c r="F2882" s="91" t="n">
        <x:v>2346.92</x:v>
      </x:c>
    </x:row>
    <x:row r="2883">
      <x:c r="A2883" s="83" t="n">
        <x:v>2882</x:v>
      </x:c>
      <x:c r="B2883" s="84" t="n">
        <x:v>2213</x:v>
      </x:c>
      <x:c r="C2883" s="84" t="n">
        <x:v>51</x:v>
      </x:c>
      <x:c r="D2883" s="89" t="n">
        <x:v>45289</x:v>
      </x:c>
      <x:c r="E2883" s="84" t="n">
        <x:v>4</x:v>
      </x:c>
      <x:c r="F2883" s="91" t="n">
        <x:v>3568.64</x:v>
      </x:c>
    </x:row>
    <x:row r="2884">
      <x:c r="A2884" s="83" t="n">
        <x:v>2883</x:v>
      </x:c>
      <x:c r="B2884" s="84" t="n">
        <x:v>2213</x:v>
      </x:c>
      <x:c r="C2884" s="84" t="n">
        <x:v>68</x:v>
      </x:c>
      <x:c r="D2884" s="89" t="n">
        <x:v>45289</x:v>
      </x:c>
      <x:c r="E2884" s="84" t="n">
        <x:v>2</x:v>
      </x:c>
      <x:c r="F2884" s="91" t="n">
        <x:v>3055.22</x:v>
      </x:c>
    </x:row>
    <x:row r="2885">
      <x:c r="A2885" s="83" t="n">
        <x:v>2884</x:v>
      </x:c>
      <x:c r="B2885" s="84" t="n">
        <x:v>2217</x:v>
      </x:c>
      <x:c r="C2885" s="84" t="n">
        <x:v>72</x:v>
      </x:c>
      <x:c r="D2885" s="89" t="n">
        <x:v>45388</x:v>
      </x:c>
      <x:c r="E2885" s="84" t="n">
        <x:v>4</x:v>
      </x:c>
      <x:c r="F2885" s="91" t="n">
        <x:v>1803.32</x:v>
      </x:c>
    </x:row>
    <x:row r="2886">
      <x:c r="A2886" s="83" t="n">
        <x:v>2885</x:v>
      </x:c>
      <x:c r="B2886" s="84" t="n">
        <x:v>2217</x:v>
      </x:c>
      <x:c r="C2886" s="84" t="n">
        <x:v>67</x:v>
      </x:c>
      <x:c r="D2886" s="89" t="n">
        <x:v>45388</x:v>
      </x:c>
      <x:c r="E2886" s="84" t="n">
        <x:v>3</x:v>
      </x:c>
      <x:c r="F2886" s="91" t="n">
        <x:v>3838.59</x:v>
      </x:c>
    </x:row>
    <x:row r="2887">
      <x:c r="A2887" s="83" t="n">
        <x:v>2886</x:v>
      </x:c>
      <x:c r="B2887" s="84" t="n">
        <x:v>2217</x:v>
      </x:c>
      <x:c r="C2887" s="84" t="n">
        <x:v>10</x:v>
      </x:c>
      <x:c r="D2887" s="89" t="n">
        <x:v>45388</x:v>
      </x:c>
      <x:c r="E2887" s="84" t="n">
        <x:v>1</x:v>
      </x:c>
      <x:c r="F2887" s="91" t="n">
        <x:v>874.86</x:v>
      </x:c>
    </x:row>
    <x:row r="2888">
      <x:c r="A2888" s="83" t="n">
        <x:v>2887</x:v>
      </x:c>
      <x:c r="B2888" s="84" t="n">
        <x:v>2218</x:v>
      </x:c>
      <x:c r="C2888" s="84" t="n">
        <x:v>31</x:v>
      </x:c>
      <x:c r="D2888" s="89" t="n">
        <x:v>45153</x:v>
      </x:c>
      <x:c r="E2888" s="84" t="n">
        <x:v>4</x:v>
      </x:c>
      <x:c r="F2888" s="91" t="n">
        <x:v>8678.52</x:v>
      </x:c>
    </x:row>
    <x:row r="2889">
      <x:c r="A2889" s="83" t="n">
        <x:v>2888</x:v>
      </x:c>
      <x:c r="B2889" s="84" t="n">
        <x:v>2218</x:v>
      </x:c>
      <x:c r="C2889" s="84" t="n">
        <x:v>3</x:v>
      </x:c>
      <x:c r="D2889" s="89" t="n">
        <x:v>45153</x:v>
      </x:c>
      <x:c r="E2889" s="84" t="n">
        <x:v>3</x:v>
      </x:c>
      <x:c r="F2889" s="91" t="n">
        <x:v>3453.42</x:v>
      </x:c>
    </x:row>
    <x:row r="2890">
      <x:c r="A2890" s="83" t="n">
        <x:v>2889</x:v>
      </x:c>
      <x:c r="B2890" s="84" t="n">
        <x:v>2218</x:v>
      </x:c>
      <x:c r="C2890" s="84" t="n">
        <x:v>5</x:v>
      </x:c>
      <x:c r="D2890" s="89" t="n">
        <x:v>45153</x:v>
      </x:c>
      <x:c r="E2890" s="84" t="n">
        <x:v>3</x:v>
      </x:c>
      <x:c r="F2890" s="91" t="n">
        <x:v>4405.5</x:v>
      </x:c>
    </x:row>
    <x:row r="2891">
      <x:c r="A2891" s="83" t="n">
        <x:v>2890</x:v>
      </x:c>
      <x:c r="B2891" s="84" t="n">
        <x:v>2219</x:v>
      </x:c>
      <x:c r="C2891" s="84" t="n">
        <x:v>74</x:v>
      </x:c>
      <x:c r="D2891" s="89" t="n">
        <x:v>45694</x:v>
      </x:c>
      <x:c r="E2891" s="84" t="n">
        <x:v>2</x:v>
      </x:c>
      <x:c r="F2891" s="91" t="n">
        <x:v>3312.7</x:v>
      </x:c>
    </x:row>
    <x:row r="2892">
      <x:c r="A2892" s="83" t="n">
        <x:v>2891</x:v>
      </x:c>
      <x:c r="B2892" s="84" t="n">
        <x:v>2219</x:v>
      </x:c>
      <x:c r="C2892" s="84" t="n">
        <x:v>22</x:v>
      </x:c>
      <x:c r="D2892" s="89" t="n">
        <x:v>45694</x:v>
      </x:c>
      <x:c r="E2892" s="84" t="n">
        <x:v>4</x:v>
      </x:c>
      <x:c r="F2892" s="91" t="n">
        <x:v>2087.56</x:v>
      </x:c>
    </x:row>
    <x:row r="2893">
      <x:c r="A2893" s="83" t="n">
        <x:v>2892</x:v>
      </x:c>
      <x:c r="B2893" s="84" t="n">
        <x:v>2220</x:v>
      </x:c>
      <x:c r="C2893" s="84" t="n">
        <x:v>14</x:v>
      </x:c>
      <x:c r="D2893" s="89" t="n">
        <x:v>45381</x:v>
      </x:c>
      <x:c r="E2893" s="84" t="n">
        <x:v>1</x:v>
      </x:c>
      <x:c r="F2893" s="91" t="n">
        <x:v>175.72</x:v>
      </x:c>
    </x:row>
    <x:row r="2894">
      <x:c r="A2894" s="83" t="n">
        <x:v>2893</x:v>
      </x:c>
      <x:c r="B2894" s="84" t="n">
        <x:v>2220</x:v>
      </x:c>
      <x:c r="C2894" s="84" t="n">
        <x:v>63</x:v>
      </x:c>
      <x:c r="D2894" s="89" t="n">
        <x:v>45381</x:v>
      </x:c>
      <x:c r="E2894" s="84" t="n">
        <x:v>1</x:v>
      </x:c>
      <x:c r="F2894" s="91" t="n">
        <x:v>1934.19</x:v>
      </x:c>
    </x:row>
    <x:row r="2895">
      <x:c r="A2895" s="83" t="n">
        <x:v>2894</x:v>
      </x:c>
      <x:c r="B2895" s="84" t="n">
        <x:v>2221</x:v>
      </x:c>
      <x:c r="C2895" s="84" t="n">
        <x:v>80</x:v>
      </x:c>
      <x:c r="D2895" s="89" t="n">
        <x:v>45847</x:v>
      </x:c>
      <x:c r="E2895" s="84" t="n">
        <x:v>2</x:v>
      </x:c>
      <x:c r="F2895" s="91" t="n">
        <x:v>3457.08</x:v>
      </x:c>
    </x:row>
    <x:row r="2896">
      <x:c r="A2896" s="83" t="n">
        <x:v>2895</x:v>
      </x:c>
      <x:c r="B2896" s="84" t="n">
        <x:v>2222</x:v>
      </x:c>
      <x:c r="C2896" s="84" t="n">
        <x:v>55</x:v>
      </x:c>
      <x:c r="D2896" s="89" t="n">
        <x:v>45975</x:v>
      </x:c>
      <x:c r="E2896" s="84" t="n">
        <x:v>4</x:v>
      </x:c>
      <x:c r="F2896" s="91" t="n">
        <x:v>5999.4</x:v>
      </x:c>
    </x:row>
    <x:row r="2897">
      <x:c r="A2897" s="83" t="n">
        <x:v>2896</x:v>
      </x:c>
      <x:c r="B2897" s="84" t="n">
        <x:v>2222</x:v>
      </x:c>
      <x:c r="C2897" s="84" t="n">
        <x:v>67</x:v>
      </x:c>
      <x:c r="D2897" s="89" t="n">
        <x:v>45975</x:v>
      </x:c>
      <x:c r="E2897" s="84" t="n">
        <x:v>4</x:v>
      </x:c>
      <x:c r="F2897" s="91" t="n">
        <x:v>5118.12</x:v>
      </x:c>
    </x:row>
    <x:row r="2898">
      <x:c r="A2898" s="83" t="n">
        <x:v>2897</x:v>
      </x:c>
      <x:c r="B2898" s="84" t="n">
        <x:v>2222</x:v>
      </x:c>
      <x:c r="C2898" s="84" t="n">
        <x:v>26</x:v>
      </x:c>
      <x:c r="D2898" s="89" t="n">
        <x:v>45975</x:v>
      </x:c>
      <x:c r="E2898" s="84" t="n">
        <x:v>1</x:v>
      </x:c>
      <x:c r="F2898" s="91" t="n">
        <x:v>2151</x:v>
      </x:c>
    </x:row>
    <x:row r="2899">
      <x:c r="A2899" s="83" t="n">
        <x:v>2898</x:v>
      </x:c>
      <x:c r="B2899" s="84" t="n">
        <x:v>2224</x:v>
      </x:c>
      <x:c r="C2899" s="84" t="n">
        <x:v>14</x:v>
      </x:c>
      <x:c r="D2899" s="89" t="n">
        <x:v>45474</x:v>
      </x:c>
      <x:c r="E2899" s="84" t="n">
        <x:v>2</x:v>
      </x:c>
      <x:c r="F2899" s="91" t="n">
        <x:v>351.44</x:v>
      </x:c>
    </x:row>
    <x:row r="2900">
      <x:c r="A2900" s="83" t="n">
        <x:v>2899</x:v>
      </x:c>
      <x:c r="B2900" s="84" t="n">
        <x:v>2225</x:v>
      </x:c>
      <x:c r="C2900" s="84" t="n">
        <x:v>63</x:v>
      </x:c>
      <x:c r="D2900" s="89" t="n">
        <x:v>45910</x:v>
      </x:c>
      <x:c r="E2900" s="84" t="n">
        <x:v>4</x:v>
      </x:c>
      <x:c r="F2900" s="91" t="n">
        <x:v>7736.76</x:v>
      </x:c>
    </x:row>
    <x:row r="2901">
      <x:c r="A2901" s="83" t="n">
        <x:v>2900</x:v>
      </x:c>
      <x:c r="B2901" s="84" t="n">
        <x:v>2225</x:v>
      </x:c>
      <x:c r="C2901" s="84" t="n">
        <x:v>79</x:v>
      </x:c>
      <x:c r="D2901" s="89" t="n">
        <x:v>45910</x:v>
      </x:c>
      <x:c r="E2901" s="84" t="n">
        <x:v>4</x:v>
      </x:c>
      <x:c r="F2901" s="91" t="n">
        <x:v>8266.88</x:v>
      </x:c>
    </x:row>
    <x:row r="2902">
      <x:c r="A2902" s="83" t="n">
        <x:v>2901</x:v>
      </x:c>
      <x:c r="B2902" s="84" t="n">
        <x:v>2227</x:v>
      </x:c>
      <x:c r="C2902" s="84" t="n">
        <x:v>33</x:v>
      </x:c>
      <x:c r="D2902" s="89" t="n">
        <x:v>45221</x:v>
      </x:c>
      <x:c r="E2902" s="84" t="n">
        <x:v>4</x:v>
      </x:c>
      <x:c r="F2902" s="91" t="n">
        <x:v>9387.68</x:v>
      </x:c>
    </x:row>
    <x:row r="2903">
      <x:c r="A2903" s="83" t="n">
        <x:v>2902</x:v>
      </x:c>
      <x:c r="B2903" s="84" t="n">
        <x:v>2227</x:v>
      </x:c>
      <x:c r="C2903" s="84" t="n">
        <x:v>55</x:v>
      </x:c>
      <x:c r="D2903" s="89" t="n">
        <x:v>45221</x:v>
      </x:c>
      <x:c r="E2903" s="84" t="n">
        <x:v>1</x:v>
      </x:c>
      <x:c r="F2903" s="91" t="n">
        <x:v>1499.85</x:v>
      </x:c>
    </x:row>
    <x:row r="2904">
      <x:c r="A2904" s="83" t="n">
        <x:v>2903</x:v>
      </x:c>
      <x:c r="B2904" s="84" t="n">
        <x:v>2227</x:v>
      </x:c>
      <x:c r="C2904" s="84" t="n">
        <x:v>22</x:v>
      </x:c>
      <x:c r="D2904" s="89" t="n">
        <x:v>45221</x:v>
      </x:c>
      <x:c r="E2904" s="84" t="n">
        <x:v>2</x:v>
      </x:c>
      <x:c r="F2904" s="91" t="n">
        <x:v>1043.78</x:v>
      </x:c>
    </x:row>
    <x:row r="2905">
      <x:c r="A2905" s="83" t="n">
        <x:v>2904</x:v>
      </x:c>
      <x:c r="B2905" s="84" t="n">
        <x:v>2228</x:v>
      </x:c>
      <x:c r="C2905" s="84" t="n">
        <x:v>41</x:v>
      </x:c>
      <x:c r="D2905" s="89" t="n">
        <x:v>45755</x:v>
      </x:c>
      <x:c r="E2905" s="84" t="n">
        <x:v>4</x:v>
      </x:c>
      <x:c r="F2905" s="91" t="n">
        <x:v>4728.08</x:v>
      </x:c>
    </x:row>
    <x:row r="2906">
      <x:c r="A2906" s="83" t="n">
        <x:v>2905</x:v>
      </x:c>
      <x:c r="B2906" s="84" t="n">
        <x:v>2228</x:v>
      </x:c>
      <x:c r="C2906" s="84" t="n">
        <x:v>28</x:v>
      </x:c>
      <x:c r="D2906" s="89" t="n">
        <x:v>45755</x:v>
      </x:c>
      <x:c r="E2906" s="84" t="n">
        <x:v>4</x:v>
      </x:c>
      <x:c r="F2906" s="91" t="n">
        <x:v>3281.88</x:v>
      </x:c>
    </x:row>
    <x:row r="2907">
      <x:c r="A2907" s="83" t="n">
        <x:v>2906</x:v>
      </x:c>
      <x:c r="B2907" s="84" t="n">
        <x:v>2228</x:v>
      </x:c>
      <x:c r="C2907" s="84" t="n">
        <x:v>74</x:v>
      </x:c>
      <x:c r="D2907" s="89" t="n">
        <x:v>45755</x:v>
      </x:c>
      <x:c r="E2907" s="84" t="n">
        <x:v>4</x:v>
      </x:c>
      <x:c r="F2907" s="91" t="n">
        <x:v>6625.4</x:v>
      </x:c>
    </x:row>
    <x:row r="2908">
      <x:c r="A2908" s="83" t="n">
        <x:v>2907</x:v>
      </x:c>
      <x:c r="B2908" s="84" t="n">
        <x:v>2230</x:v>
      </x:c>
      <x:c r="C2908" s="84" t="n">
        <x:v>33</x:v>
      </x:c>
      <x:c r="D2908" s="89" t="n">
        <x:v>45841</x:v>
      </x:c>
      <x:c r="E2908" s="84" t="n">
        <x:v>4</x:v>
      </x:c>
      <x:c r="F2908" s="91" t="n">
        <x:v>9387.68</x:v>
      </x:c>
    </x:row>
    <x:row r="2909">
      <x:c r="A2909" s="83" t="n">
        <x:v>2908</x:v>
      </x:c>
      <x:c r="B2909" s="84" t="n">
        <x:v>2231</x:v>
      </x:c>
      <x:c r="C2909" s="84" t="n">
        <x:v>46</x:v>
      </x:c>
      <x:c r="D2909" s="89" t="n">
        <x:v>45880</x:v>
      </x:c>
      <x:c r="E2909" s="84" t="n">
        <x:v>1</x:v>
      </x:c>
      <x:c r="F2909" s="91" t="n">
        <x:v>1334.95</x:v>
      </x:c>
    </x:row>
    <x:row r="2910">
      <x:c r="A2910" s="83" t="n">
        <x:v>2909</x:v>
      </x:c>
      <x:c r="B2910" s="84" t="n">
        <x:v>2231</x:v>
      </x:c>
      <x:c r="C2910" s="84" t="n">
        <x:v>58</x:v>
      </x:c>
      <x:c r="D2910" s="89" t="n">
        <x:v>45880</x:v>
      </x:c>
      <x:c r="E2910" s="84" t="n">
        <x:v>1</x:v>
      </x:c>
      <x:c r="F2910" s="91" t="n">
        <x:v>2018.18</x:v>
      </x:c>
    </x:row>
    <x:row r="2911">
      <x:c r="A2911" s="83" t="n">
        <x:v>2910</x:v>
      </x:c>
      <x:c r="B2911" s="84" t="n">
        <x:v>2231</x:v>
      </x:c>
      <x:c r="C2911" s="84" t="n">
        <x:v>63</x:v>
      </x:c>
      <x:c r="D2911" s="89" t="n">
        <x:v>45880</x:v>
      </x:c>
      <x:c r="E2911" s="84" t="n">
        <x:v>3</x:v>
      </x:c>
      <x:c r="F2911" s="91" t="n">
        <x:v>5802.57</x:v>
      </x:c>
    </x:row>
    <x:row r="2912">
      <x:c r="A2912" s="83" t="n">
        <x:v>2911</x:v>
      </x:c>
      <x:c r="B2912" s="84" t="n">
        <x:v>2232</x:v>
      </x:c>
      <x:c r="C2912" s="84" t="n">
        <x:v>12</x:v>
      </x:c>
      <x:c r="D2912" s="89" t="n">
        <x:v>45418</x:v>
      </x:c>
      <x:c r="E2912" s="84" t="n">
        <x:v>2</x:v>
      </x:c>
      <x:c r="F2912" s="91" t="n">
        <x:v>568.98</x:v>
      </x:c>
    </x:row>
    <x:row r="2913">
      <x:c r="A2913" s="83" t="n">
        <x:v>2912</x:v>
      </x:c>
      <x:c r="B2913" s="84" t="n">
        <x:v>2234</x:v>
      </x:c>
      <x:c r="C2913" s="84" t="n">
        <x:v>20</x:v>
      </x:c>
      <x:c r="D2913" s="89" t="n">
        <x:v>45368</x:v>
      </x:c>
      <x:c r="E2913" s="84" t="n">
        <x:v>4</x:v>
      </x:c>
      <x:c r="F2913" s="91" t="n">
        <x:v>2164.8</x:v>
      </x:c>
    </x:row>
    <x:row r="2914">
      <x:c r="A2914" s="83" t="n">
        <x:v>2913</x:v>
      </x:c>
      <x:c r="B2914" s="84" t="n">
        <x:v>2234</x:v>
      </x:c>
      <x:c r="C2914" s="84" t="n">
        <x:v>7</x:v>
      </x:c>
      <x:c r="D2914" s="89" t="n">
        <x:v>45368</x:v>
      </x:c>
      <x:c r="E2914" s="84" t="n">
        <x:v>2</x:v>
      </x:c>
      <x:c r="F2914" s="91" t="n">
        <x:v>733.6</x:v>
      </x:c>
    </x:row>
    <x:row r="2915">
      <x:c r="A2915" s="83" t="n">
        <x:v>2914</x:v>
      </x:c>
      <x:c r="B2915" s="84" t="n">
        <x:v>2235</x:v>
      </x:c>
      <x:c r="C2915" s="84" t="n">
        <x:v>49</x:v>
      </x:c>
      <x:c r="D2915" s="89" t="n">
        <x:v>45991</x:v>
      </x:c>
      <x:c r="E2915" s="84" t="n">
        <x:v>4</x:v>
      </x:c>
      <x:c r="F2915" s="91" t="n">
        <x:v>736.64</x:v>
      </x:c>
    </x:row>
    <x:row r="2916">
      <x:c r="A2916" s="83" t="n">
        <x:v>2915</x:v>
      </x:c>
      <x:c r="B2916" s="84" t="n">
        <x:v>2235</x:v>
      </x:c>
      <x:c r="C2916" s="84" t="n">
        <x:v>47</x:v>
      </x:c>
      <x:c r="D2916" s="89" t="n">
        <x:v>45991</x:v>
      </x:c>
      <x:c r="E2916" s="84" t="n">
        <x:v>2</x:v>
      </x:c>
      <x:c r="F2916" s="91" t="n">
        <x:v>4351.24</x:v>
      </x:c>
    </x:row>
    <x:row r="2917">
      <x:c r="A2917" s="83" t="n">
        <x:v>2916</x:v>
      </x:c>
      <x:c r="B2917" s="84" t="n">
        <x:v>2236</x:v>
      </x:c>
      <x:c r="C2917" s="84" t="n">
        <x:v>43</x:v>
      </x:c>
      <x:c r="D2917" s="89" t="n">
        <x:v>44979</x:v>
      </x:c>
      <x:c r="E2917" s="84" t="n">
        <x:v>4</x:v>
      </x:c>
      <x:c r="F2917" s="91" t="n">
        <x:v>5861.68</x:v>
      </x:c>
    </x:row>
    <x:row r="2918">
      <x:c r="A2918" s="83" t="n">
        <x:v>2917</x:v>
      </x:c>
      <x:c r="B2918" s="84" t="n">
        <x:v>2236</x:v>
      </x:c>
      <x:c r="C2918" s="84" t="n">
        <x:v>34</x:v>
      </x:c>
      <x:c r="D2918" s="89" t="n">
        <x:v>44979</x:v>
      </x:c>
      <x:c r="E2918" s="84" t="n">
        <x:v>2</x:v>
      </x:c>
      <x:c r="F2918" s="91" t="n">
        <x:v>3954.18</x:v>
      </x:c>
    </x:row>
    <x:row r="2919">
      <x:c r="A2919" s="83" t="n">
        <x:v>2918</x:v>
      </x:c>
      <x:c r="B2919" s="84" t="n">
        <x:v>2237</x:v>
      </x:c>
      <x:c r="C2919" s="84" t="n">
        <x:v>32</x:v>
      </x:c>
      <x:c r="D2919" s="89" t="n">
        <x:v>45452</x:v>
      </x:c>
      <x:c r="E2919" s="84" t="n">
        <x:v>1</x:v>
      </x:c>
      <x:c r="F2919" s="91" t="n">
        <x:v>1813.25</x:v>
      </x:c>
    </x:row>
    <x:row r="2920">
      <x:c r="A2920" s="83" t="n">
        <x:v>2919</x:v>
      </x:c>
      <x:c r="B2920" s="84" t="n">
        <x:v>2237</x:v>
      </x:c>
      <x:c r="C2920" s="84" t="n">
        <x:v>5</x:v>
      </x:c>
      <x:c r="D2920" s="89" t="n">
        <x:v>45452</x:v>
      </x:c>
      <x:c r="E2920" s="84" t="n">
        <x:v>4</x:v>
      </x:c>
      <x:c r="F2920" s="91" t="n">
        <x:v>5874</x:v>
      </x:c>
    </x:row>
    <x:row r="2921">
      <x:c r="A2921" s="83" t="n">
        <x:v>2920</x:v>
      </x:c>
      <x:c r="B2921" s="84" t="n">
        <x:v>2237</x:v>
      </x:c>
      <x:c r="C2921" s="84" t="n">
        <x:v>74</x:v>
      </x:c>
      <x:c r="D2921" s="89" t="n">
        <x:v>45452</x:v>
      </x:c>
      <x:c r="E2921" s="84" t="n">
        <x:v>4</x:v>
      </x:c>
      <x:c r="F2921" s="91" t="n">
        <x:v>6625.4</x:v>
      </x:c>
    </x:row>
    <x:row r="2922">
      <x:c r="A2922" s="83" t="n">
        <x:v>2921</x:v>
      </x:c>
      <x:c r="B2922" s="84" t="n">
        <x:v>2238</x:v>
      </x:c>
      <x:c r="C2922" s="84" t="n">
        <x:v>20</x:v>
      </x:c>
      <x:c r="D2922" s="89" t="n">
        <x:v>45660</x:v>
      </x:c>
      <x:c r="E2922" s="84" t="n">
        <x:v>3</x:v>
      </x:c>
      <x:c r="F2922" s="91" t="n">
        <x:v>1623.6</x:v>
      </x:c>
    </x:row>
    <x:row r="2923">
      <x:c r="A2923" s="83" t="n">
        <x:v>2922</x:v>
      </x:c>
      <x:c r="B2923" s="84" t="n">
        <x:v>2239</x:v>
      </x:c>
      <x:c r="C2923" s="84" t="n">
        <x:v>5</x:v>
      </x:c>
      <x:c r="D2923" s="89" t="n">
        <x:v>45762</x:v>
      </x:c>
      <x:c r="E2923" s="84" t="n">
        <x:v>4</x:v>
      </x:c>
      <x:c r="F2923" s="91" t="n">
        <x:v>5874</x:v>
      </x:c>
    </x:row>
    <x:row r="2924">
      <x:c r="A2924" s="83" t="n">
        <x:v>2923</x:v>
      </x:c>
      <x:c r="B2924" s="84" t="n">
        <x:v>2239</x:v>
      </x:c>
      <x:c r="C2924" s="84" t="n">
        <x:v>64</x:v>
      </x:c>
      <x:c r="D2924" s="89" t="n">
        <x:v>45762</x:v>
      </x:c>
      <x:c r="E2924" s="84" t="n">
        <x:v>3</x:v>
      </x:c>
      <x:c r="F2924" s="91" t="n">
        <x:v>4396.26</x:v>
      </x:c>
    </x:row>
    <x:row r="2925">
      <x:c r="A2925" s="83" t="n">
        <x:v>2924</x:v>
      </x:c>
      <x:c r="B2925" s="84" t="n">
        <x:v>2239</x:v>
      </x:c>
      <x:c r="C2925" s="84" t="n">
        <x:v>71</x:v>
      </x:c>
      <x:c r="D2925" s="89" t="n">
        <x:v>45762</x:v>
      </x:c>
      <x:c r="E2925" s="84" t="n">
        <x:v>2</x:v>
      </x:c>
      <x:c r="F2925" s="91" t="n">
        <x:v>3967.04</x:v>
      </x:c>
    </x:row>
    <x:row r="2926">
      <x:c r="A2926" s="83" t="n">
        <x:v>2925</x:v>
      </x:c>
      <x:c r="B2926" s="84" t="n">
        <x:v>2240</x:v>
      </x:c>
      <x:c r="C2926" s="84" t="n">
        <x:v>47</x:v>
      </x:c>
      <x:c r="D2926" s="89" t="n">
        <x:v>45700</x:v>
      </x:c>
      <x:c r="E2926" s="84" t="n">
        <x:v>3</x:v>
      </x:c>
      <x:c r="F2926" s="91" t="n">
        <x:v>6526.86</x:v>
      </x:c>
    </x:row>
    <x:row r="2927">
      <x:c r="A2927" s="83" t="n">
        <x:v>2926</x:v>
      </x:c>
      <x:c r="B2927" s="84" t="n">
        <x:v>2243</x:v>
      </x:c>
      <x:c r="C2927" s="84" t="n">
        <x:v>43</x:v>
      </x:c>
      <x:c r="D2927" s="89" t="n">
        <x:v>45586</x:v>
      </x:c>
      <x:c r="E2927" s="84" t="n">
        <x:v>4</x:v>
      </x:c>
      <x:c r="F2927" s="91" t="n">
        <x:v>5861.68</x:v>
      </x:c>
    </x:row>
    <x:row r="2928">
      <x:c r="A2928" s="83" t="n">
        <x:v>2927</x:v>
      </x:c>
      <x:c r="B2928" s="84" t="n">
        <x:v>2243</x:v>
      </x:c>
      <x:c r="C2928" s="84" t="n">
        <x:v>2</x:v>
      </x:c>
      <x:c r="D2928" s="89" t="n">
        <x:v>45586</x:v>
      </x:c>
      <x:c r="E2928" s="84" t="n">
        <x:v>2</x:v>
      </x:c>
      <x:c r="F2928" s="91" t="n">
        <x:v>1988.62</x:v>
      </x:c>
    </x:row>
    <x:row r="2929">
      <x:c r="A2929" s="83" t="n">
        <x:v>2928</x:v>
      </x:c>
      <x:c r="B2929" s="84" t="n">
        <x:v>2244</x:v>
      </x:c>
      <x:c r="C2929" s="84" t="n">
        <x:v>49</x:v>
      </x:c>
      <x:c r="D2929" s="89" t="n">
        <x:v>45916</x:v>
      </x:c>
      <x:c r="E2929" s="84" t="n">
        <x:v>3</x:v>
      </x:c>
      <x:c r="F2929" s="91" t="n">
        <x:v>552.48</x:v>
      </x:c>
    </x:row>
    <x:row r="2930">
      <x:c r="A2930" s="83" t="n">
        <x:v>2929</x:v>
      </x:c>
      <x:c r="B2930" s="84" t="n">
        <x:v>2244</x:v>
      </x:c>
      <x:c r="C2930" s="84" t="n">
        <x:v>65</x:v>
      </x:c>
      <x:c r="D2930" s="89" t="n">
        <x:v>45916</x:v>
      </x:c>
      <x:c r="E2930" s="84" t="n">
        <x:v>4</x:v>
      </x:c>
      <x:c r="F2930" s="91" t="n">
        <x:v>5019.36</x:v>
      </x:c>
    </x:row>
    <x:row r="2931">
      <x:c r="A2931" s="83" t="n">
        <x:v>2930</x:v>
      </x:c>
      <x:c r="B2931" s="84" t="n">
        <x:v>2244</x:v>
      </x:c>
      <x:c r="C2931" s="84" t="n">
        <x:v>32</x:v>
      </x:c>
      <x:c r="D2931" s="89" t="n">
        <x:v>45916</x:v>
      </x:c>
      <x:c r="E2931" s="84" t="n">
        <x:v>4</x:v>
      </x:c>
      <x:c r="F2931" s="91" t="n">
        <x:v>7253</x:v>
      </x:c>
    </x:row>
    <x:row r="2932">
      <x:c r="A2932" s="83" t="n">
        <x:v>2931</x:v>
      </x:c>
      <x:c r="B2932" s="84" t="n">
        <x:v>2245</x:v>
      </x:c>
      <x:c r="C2932" s="84" t="n">
        <x:v>61</x:v>
      </x:c>
      <x:c r="D2932" s="89" t="n">
        <x:v>45164</x:v>
      </x:c>
      <x:c r="E2932" s="84" t="n">
        <x:v>1</x:v>
      </x:c>
      <x:c r="F2932" s="91" t="n">
        <x:v>131.72</x:v>
      </x:c>
    </x:row>
    <x:row r="2933">
      <x:c r="A2933" s="83" t="n">
        <x:v>2932</x:v>
      </x:c>
      <x:c r="B2933" s="84" t="n">
        <x:v>2247</x:v>
      </x:c>
      <x:c r="C2933" s="84" t="n">
        <x:v>51</x:v>
      </x:c>
      <x:c r="D2933" s="89" t="n">
        <x:v>45865</x:v>
      </x:c>
      <x:c r="E2933" s="84" t="n">
        <x:v>1</x:v>
      </x:c>
      <x:c r="F2933" s="91" t="n">
        <x:v>892.16</x:v>
      </x:c>
    </x:row>
    <x:row r="2934">
      <x:c r="A2934" s="83" t="n">
        <x:v>2933</x:v>
      </x:c>
      <x:c r="B2934" s="84" t="n">
        <x:v>2249</x:v>
      </x:c>
      <x:c r="C2934" s="84" t="n">
        <x:v>13</x:v>
      </x:c>
      <x:c r="D2934" s="89" t="n">
        <x:v>44932</x:v>
      </x:c>
      <x:c r="E2934" s="84" t="n">
        <x:v>3</x:v>
      </x:c>
      <x:c r="F2934" s="91" t="n">
        <x:v>2406.15</x:v>
      </x:c>
    </x:row>
    <x:row r="2935">
      <x:c r="A2935" s="83" t="n">
        <x:v>2934</x:v>
      </x:c>
      <x:c r="B2935" s="84" t="n">
        <x:v>2249</x:v>
      </x:c>
      <x:c r="C2935" s="84" t="n">
        <x:v>24</x:v>
      </x:c>
      <x:c r="D2935" s="89" t="n">
        <x:v>44932</x:v>
      </x:c>
      <x:c r="E2935" s="84" t="n">
        <x:v>1</x:v>
      </x:c>
      <x:c r="F2935" s="91" t="n">
        <x:v>740.91</x:v>
      </x:c>
    </x:row>
    <x:row r="2936">
      <x:c r="A2936" s="83" t="n">
        <x:v>2935</x:v>
      </x:c>
      <x:c r="B2936" s="84" t="n">
        <x:v>2250</x:v>
      </x:c>
      <x:c r="C2936" s="84" t="n">
        <x:v>45</x:v>
      </x:c>
      <x:c r="D2936" s="89" t="n">
        <x:v>45948</x:v>
      </x:c>
      <x:c r="E2936" s="84" t="n">
        <x:v>2</x:v>
      </x:c>
      <x:c r="F2936" s="91" t="n">
        <x:v>2782.84</x:v>
      </x:c>
    </x:row>
    <x:row r="2937">
      <x:c r="A2937" s="83" t="n">
        <x:v>2936</x:v>
      </x:c>
      <x:c r="B2937" s="84" t="n">
        <x:v>2253</x:v>
      </x:c>
      <x:c r="C2937" s="84" t="n">
        <x:v>35</x:v>
      </x:c>
      <x:c r="D2937" s="89" t="n">
        <x:v>45447</x:v>
      </x:c>
      <x:c r="E2937" s="84" t="n">
        <x:v>2</x:v>
      </x:c>
      <x:c r="F2937" s="91" t="n">
        <x:v>2941.56</x:v>
      </x:c>
    </x:row>
    <x:row r="2938">
      <x:c r="A2938" s="83" t="n">
        <x:v>2937</x:v>
      </x:c>
      <x:c r="B2938" s="84" t="n">
        <x:v>2253</x:v>
      </x:c>
      <x:c r="C2938" s="84" t="n">
        <x:v>58</x:v>
      </x:c>
      <x:c r="D2938" s="89" t="n">
        <x:v>45447</x:v>
      </x:c>
      <x:c r="E2938" s="84" t="n">
        <x:v>1</x:v>
      </x:c>
      <x:c r="F2938" s="91" t="n">
        <x:v>2018.18</x:v>
      </x:c>
    </x:row>
    <x:row r="2939">
      <x:c r="A2939" s="83" t="n">
        <x:v>2938</x:v>
      </x:c>
      <x:c r="B2939" s="84" t="n">
        <x:v>2253</x:v>
      </x:c>
      <x:c r="C2939" s="84" t="n">
        <x:v>61</x:v>
      </x:c>
      <x:c r="D2939" s="89" t="n">
        <x:v>45447</x:v>
      </x:c>
      <x:c r="E2939" s="84" t="n">
        <x:v>1</x:v>
      </x:c>
      <x:c r="F2939" s="91" t="n">
        <x:v>131.72</x:v>
      </x:c>
    </x:row>
    <x:row r="2940">
      <x:c r="A2940" s="83" t="n">
        <x:v>2939</x:v>
      </x:c>
      <x:c r="B2940" s="84" t="n">
        <x:v>2254</x:v>
      </x:c>
      <x:c r="C2940" s="84" t="n">
        <x:v>77</x:v>
      </x:c>
      <x:c r="D2940" s="89" t="n">
        <x:v>45660</x:v>
      </x:c>
      <x:c r="E2940" s="84" t="n">
        <x:v>1</x:v>
      </x:c>
      <x:c r="F2940" s="91" t="n">
        <x:v>2102.91</x:v>
      </x:c>
    </x:row>
    <x:row r="2941">
      <x:c r="A2941" s="83" t="n">
        <x:v>2940</x:v>
      </x:c>
      <x:c r="B2941" s="84" t="n">
        <x:v>2254</x:v>
      </x:c>
      <x:c r="C2941" s="84" t="n">
        <x:v>76</x:v>
      </x:c>
      <x:c r="D2941" s="89" t="n">
        <x:v>45660</x:v>
      </x:c>
      <x:c r="E2941" s="84" t="n">
        <x:v>1</x:v>
      </x:c>
      <x:c r="F2941" s="91" t="n">
        <x:v>719.81</x:v>
      </x:c>
    </x:row>
    <x:row r="2942">
      <x:c r="A2942" s="83" t="n">
        <x:v>2941</x:v>
      </x:c>
      <x:c r="B2942" s="84" t="n">
        <x:v>2254</x:v>
      </x:c>
      <x:c r="C2942" s="84" t="n">
        <x:v>58</x:v>
      </x:c>
      <x:c r="D2942" s="89" t="n">
        <x:v>45660</x:v>
      </x:c>
      <x:c r="E2942" s="84" t="n">
        <x:v>2</x:v>
      </x:c>
      <x:c r="F2942" s="91" t="n">
        <x:v>4036.36</x:v>
      </x:c>
    </x:row>
    <x:row r="2943">
      <x:c r="A2943" s="83" t="n">
        <x:v>2942</x:v>
      </x:c>
      <x:c r="B2943" s="84" t="n">
        <x:v>2257</x:v>
      </x:c>
      <x:c r="C2943" s="84" t="n">
        <x:v>13</x:v>
      </x:c>
      <x:c r="D2943" s="89" t="n">
        <x:v>45249</x:v>
      </x:c>
      <x:c r="E2943" s="84" t="n">
        <x:v>3</x:v>
      </x:c>
      <x:c r="F2943" s="91" t="n">
        <x:v>2406.15</x:v>
      </x:c>
    </x:row>
    <x:row r="2944">
      <x:c r="A2944" s="83" t="n">
        <x:v>2943</x:v>
      </x:c>
      <x:c r="B2944" s="84" t="n">
        <x:v>2257</x:v>
      </x:c>
      <x:c r="C2944" s="84" t="n">
        <x:v>38</x:v>
      </x:c>
      <x:c r="D2944" s="89" t="n">
        <x:v>45249</x:v>
      </x:c>
      <x:c r="E2944" s="84" t="n">
        <x:v>3</x:v>
      </x:c>
      <x:c r="F2944" s="91" t="n">
        <x:v>2179.47</x:v>
      </x:c>
    </x:row>
    <x:row r="2945">
      <x:c r="A2945" s="83" t="n">
        <x:v>2944</x:v>
      </x:c>
      <x:c r="B2945" s="84" t="n">
        <x:v>2258</x:v>
      </x:c>
      <x:c r="C2945" s="84" t="n">
        <x:v>21</x:v>
      </x:c>
      <x:c r="D2945" s="89" t="n">
        <x:v>45934</x:v>
      </x:c>
      <x:c r="E2945" s="84" t="n">
        <x:v>4</x:v>
      </x:c>
      <x:c r="F2945" s="91" t="n">
        <x:v>9155.48</x:v>
      </x:c>
    </x:row>
    <x:row r="2946">
      <x:c r="A2946" s="83" t="n">
        <x:v>2945</x:v>
      </x:c>
      <x:c r="B2946" s="84" t="n">
        <x:v>2258</x:v>
      </x:c>
      <x:c r="C2946" s="84" t="n">
        <x:v>78</x:v>
      </x:c>
      <x:c r="D2946" s="89" t="n">
        <x:v>45934</x:v>
      </x:c>
      <x:c r="E2946" s="84" t="n">
        <x:v>4</x:v>
      </x:c>
      <x:c r="F2946" s="91" t="n">
        <x:v>1134.4</x:v>
      </x:c>
    </x:row>
    <x:row r="2947">
      <x:c r="A2947" s="83" t="n">
        <x:v>2946</x:v>
      </x:c>
      <x:c r="B2947" s="84" t="n">
        <x:v>2258</x:v>
      </x:c>
      <x:c r="C2947" s="84" t="n">
        <x:v>36</x:v>
      </x:c>
      <x:c r="D2947" s="89" t="n">
        <x:v>45934</x:v>
      </x:c>
      <x:c r="E2947" s="84" t="n">
        <x:v>1</x:v>
      </x:c>
      <x:c r="F2947" s="91" t="n">
        <x:v>596.41</x:v>
      </x:c>
    </x:row>
    <x:row r="2948">
      <x:c r="A2948" s="83" t="n">
        <x:v>2947</x:v>
      </x:c>
      <x:c r="B2948" s="84" t="n">
        <x:v>2259</x:v>
      </x:c>
      <x:c r="C2948" s="84" t="n">
        <x:v>56</x:v>
      </x:c>
      <x:c r="D2948" s="89" t="n">
        <x:v>44990</x:v>
      </x:c>
      <x:c r="E2948" s="84" t="n">
        <x:v>3</x:v>
      </x:c>
      <x:c r="F2948" s="91" t="n">
        <x:v>4405.38</x:v>
      </x:c>
    </x:row>
    <x:row r="2949">
      <x:c r="A2949" s="83" t="n">
        <x:v>2948</x:v>
      </x:c>
      <x:c r="B2949" s="84" t="n">
        <x:v>2259</x:v>
      </x:c>
      <x:c r="C2949" s="84" t="n">
        <x:v>22</x:v>
      </x:c>
      <x:c r="D2949" s="89" t="n">
        <x:v>44990</x:v>
      </x:c>
      <x:c r="E2949" s="84" t="n">
        <x:v>1</x:v>
      </x:c>
      <x:c r="F2949" s="91" t="n">
        <x:v>521.89</x:v>
      </x:c>
    </x:row>
    <x:row r="2950">
      <x:c r="A2950" s="83" t="n">
        <x:v>2949</x:v>
      </x:c>
      <x:c r="B2950" s="84" t="n">
        <x:v>2259</x:v>
      </x:c>
      <x:c r="C2950" s="84" t="n">
        <x:v>5</x:v>
      </x:c>
      <x:c r="D2950" s="89" t="n">
        <x:v>44990</x:v>
      </x:c>
      <x:c r="E2950" s="84" t="n">
        <x:v>2</x:v>
      </x:c>
      <x:c r="F2950" s="91" t="n">
        <x:v>2937</x:v>
      </x:c>
    </x:row>
    <x:row r="2951">
      <x:c r="A2951" s="83" t="n">
        <x:v>2950</x:v>
      </x:c>
      <x:c r="B2951" s="84" t="n">
        <x:v>2260</x:v>
      </x:c>
      <x:c r="C2951" s="84" t="n">
        <x:v>58</x:v>
      </x:c>
      <x:c r="D2951" s="89" t="n">
        <x:v>45616</x:v>
      </x:c>
      <x:c r="E2951" s="84" t="n">
        <x:v>2</x:v>
      </x:c>
      <x:c r="F2951" s="91" t="n">
        <x:v>4036.36</x:v>
      </x:c>
    </x:row>
    <x:row r="2952">
      <x:c r="A2952" s="83" t="n">
        <x:v>2951</x:v>
      </x:c>
      <x:c r="B2952" s="84" t="n">
        <x:v>2263</x:v>
      </x:c>
      <x:c r="C2952" s="84" t="n">
        <x:v>73</x:v>
      </x:c>
      <x:c r="D2952" s="89" t="n">
        <x:v>45361</x:v>
      </x:c>
      <x:c r="E2952" s="84" t="n">
        <x:v>2</x:v>
      </x:c>
      <x:c r="F2952" s="91" t="n">
        <x:v>2254.62</x:v>
      </x:c>
    </x:row>
    <x:row r="2953">
      <x:c r="A2953" s="83" t="n">
        <x:v>2952</x:v>
      </x:c>
      <x:c r="B2953" s="84" t="n">
        <x:v>2264</x:v>
      </x:c>
      <x:c r="C2953" s="84" t="n">
        <x:v>21</x:v>
      </x:c>
      <x:c r="D2953" s="89" t="n">
        <x:v>45668</x:v>
      </x:c>
      <x:c r="E2953" s="84" t="n">
        <x:v>2</x:v>
      </x:c>
      <x:c r="F2953" s="91" t="n">
        <x:v>4577.74</x:v>
      </x:c>
    </x:row>
    <x:row r="2954">
      <x:c r="A2954" s="83" t="n">
        <x:v>2953</x:v>
      </x:c>
      <x:c r="B2954" s="84" t="n">
        <x:v>2264</x:v>
      </x:c>
      <x:c r="C2954" s="84" t="n">
        <x:v>11</x:v>
      </x:c>
      <x:c r="D2954" s="89" t="n">
        <x:v>45668</x:v>
      </x:c>
      <x:c r="E2954" s="84" t="n">
        <x:v>1</x:v>
      </x:c>
      <x:c r="F2954" s="91" t="n">
        <x:v>2211.26</x:v>
      </x:c>
    </x:row>
    <x:row r="2955">
      <x:c r="A2955" s="83" t="n">
        <x:v>2954</x:v>
      </x:c>
      <x:c r="B2955" s="84" t="n">
        <x:v>2264</x:v>
      </x:c>
      <x:c r="C2955" s="84" t="n">
        <x:v>79</x:v>
      </x:c>
      <x:c r="D2955" s="89" t="n">
        <x:v>45668</x:v>
      </x:c>
      <x:c r="E2955" s="84" t="n">
        <x:v>3</x:v>
      </x:c>
      <x:c r="F2955" s="91" t="n">
        <x:v>6200.16</x:v>
      </x:c>
    </x:row>
    <x:row r="2956">
      <x:c r="A2956" s="83" t="n">
        <x:v>2955</x:v>
      </x:c>
      <x:c r="B2956" s="84" t="n">
        <x:v>2266</x:v>
      </x:c>
      <x:c r="C2956" s="84" t="n">
        <x:v>73</x:v>
      </x:c>
      <x:c r="D2956" s="89" t="n">
        <x:v>45220</x:v>
      </x:c>
      <x:c r="E2956" s="84" t="n">
        <x:v>1</x:v>
      </x:c>
      <x:c r="F2956" s="91" t="n">
        <x:v>1127.31</x:v>
      </x:c>
    </x:row>
    <x:row r="2957">
      <x:c r="A2957" s="83" t="n">
        <x:v>2956</x:v>
      </x:c>
      <x:c r="B2957" s="84" t="n">
        <x:v>2267</x:v>
      </x:c>
      <x:c r="C2957" s="84" t="n">
        <x:v>36</x:v>
      </x:c>
      <x:c r="D2957" s="89" t="n">
        <x:v>45083</x:v>
      </x:c>
      <x:c r="E2957" s="84" t="n">
        <x:v>4</x:v>
      </x:c>
      <x:c r="F2957" s="91" t="n">
        <x:v>2385.64</x:v>
      </x:c>
    </x:row>
    <x:row r="2958">
      <x:c r="A2958" s="83" t="n">
        <x:v>2957</x:v>
      </x:c>
      <x:c r="B2958" s="84" t="n">
        <x:v>2267</x:v>
      </x:c>
      <x:c r="C2958" s="84" t="n">
        <x:v>19</x:v>
      </x:c>
      <x:c r="D2958" s="89" t="n">
        <x:v>45083</x:v>
      </x:c>
      <x:c r="E2958" s="84" t="n">
        <x:v>2</x:v>
      </x:c>
      <x:c r="F2958" s="91" t="n">
        <x:v>2175.42</x:v>
      </x:c>
    </x:row>
    <x:row r="2959">
      <x:c r="A2959" s="83" t="n">
        <x:v>2958</x:v>
      </x:c>
      <x:c r="B2959" s="84" t="n">
        <x:v>2269</x:v>
      </x:c>
      <x:c r="C2959" s="84" t="n">
        <x:v>7</x:v>
      </x:c>
      <x:c r="D2959" s="89" t="n">
        <x:v>45595</x:v>
      </x:c>
      <x:c r="E2959" s="84" t="n">
        <x:v>2</x:v>
      </x:c>
      <x:c r="F2959" s="91" t="n">
        <x:v>733.6</x:v>
      </x:c>
    </x:row>
    <x:row r="2960">
      <x:c r="A2960" s="83" t="n">
        <x:v>2959</x:v>
      </x:c>
      <x:c r="B2960" s="84" t="n">
        <x:v>2270</x:v>
      </x:c>
      <x:c r="C2960" s="84" t="n">
        <x:v>12</x:v>
      </x:c>
      <x:c r="D2960" s="89" t="n">
        <x:v>45912</x:v>
      </x:c>
      <x:c r="E2960" s="84" t="n">
        <x:v>2</x:v>
      </x:c>
      <x:c r="F2960" s="91" t="n">
        <x:v>568.98</x:v>
      </x:c>
    </x:row>
    <x:row r="2961">
      <x:c r="A2961" s="83" t="n">
        <x:v>2960</x:v>
      </x:c>
      <x:c r="B2961" s="84" t="n">
        <x:v>2270</x:v>
      </x:c>
      <x:c r="C2961" s="84" t="n">
        <x:v>47</x:v>
      </x:c>
      <x:c r="D2961" s="89" t="n">
        <x:v>45912</x:v>
      </x:c>
      <x:c r="E2961" s="84" t="n">
        <x:v>3</x:v>
      </x:c>
      <x:c r="F2961" s="91" t="n">
        <x:v>6526.86</x:v>
      </x:c>
    </x:row>
    <x:row r="2962">
      <x:c r="A2962" s="83" t="n">
        <x:v>2961</x:v>
      </x:c>
      <x:c r="B2962" s="84" t="n">
        <x:v>2271</x:v>
      </x:c>
      <x:c r="C2962" s="84" t="n">
        <x:v>80</x:v>
      </x:c>
      <x:c r="D2962" s="89" t="n">
        <x:v>45195</x:v>
      </x:c>
      <x:c r="E2962" s="84" t="n">
        <x:v>4</x:v>
      </x:c>
      <x:c r="F2962" s="91" t="n">
        <x:v>6914.16</x:v>
      </x:c>
    </x:row>
    <x:row r="2963">
      <x:c r="A2963" s="83" t="n">
        <x:v>2962</x:v>
      </x:c>
      <x:c r="B2963" s="84" t="n">
        <x:v>2271</x:v>
      </x:c>
      <x:c r="C2963" s="84" t="n">
        <x:v>48</x:v>
      </x:c>
      <x:c r="D2963" s="89" t="n">
        <x:v>45195</x:v>
      </x:c>
      <x:c r="E2963" s="84" t="n">
        <x:v>1</x:v>
      </x:c>
      <x:c r="F2963" s="91" t="n">
        <x:v>1161.45</x:v>
      </x:c>
    </x:row>
    <x:row r="2964">
      <x:c r="A2964" s="83" t="n">
        <x:v>2963</x:v>
      </x:c>
      <x:c r="B2964" s="84" t="n">
        <x:v>2271</x:v>
      </x:c>
      <x:c r="C2964" s="84" t="n">
        <x:v>37</x:v>
      </x:c>
      <x:c r="D2964" s="89" t="n">
        <x:v>45195</x:v>
      </x:c>
      <x:c r="E2964" s="84" t="n">
        <x:v>2</x:v>
      </x:c>
      <x:c r="F2964" s="91" t="n">
        <x:v>2067.42</x:v>
      </x:c>
    </x:row>
    <x:row r="2965">
      <x:c r="A2965" s="83" t="n">
        <x:v>2964</x:v>
      </x:c>
      <x:c r="B2965" s="84" t="n">
        <x:v>2272</x:v>
      </x:c>
      <x:c r="C2965" s="84" t="n">
        <x:v>44</x:v>
      </x:c>
      <x:c r="D2965" s="89" t="n">
        <x:v>45648</x:v>
      </x:c>
      <x:c r="E2965" s="84" t="n">
        <x:v>4</x:v>
      </x:c>
      <x:c r="F2965" s="91" t="n">
        <x:v>5005.92</x:v>
      </x:c>
    </x:row>
    <x:row r="2966">
      <x:c r="A2966" s="83" t="n">
        <x:v>2965</x:v>
      </x:c>
      <x:c r="B2966" s="84" t="n">
        <x:v>2272</x:v>
      </x:c>
      <x:c r="C2966" s="84" t="n">
        <x:v>76</x:v>
      </x:c>
      <x:c r="D2966" s="89" t="n">
        <x:v>45648</x:v>
      </x:c>
      <x:c r="E2966" s="84" t="n">
        <x:v>1</x:v>
      </x:c>
      <x:c r="F2966" s="91" t="n">
        <x:v>719.81</x:v>
      </x:c>
    </x:row>
    <x:row r="2967">
      <x:c r="A2967" s="83" t="n">
        <x:v>2966</x:v>
      </x:c>
      <x:c r="B2967" s="84" t="n">
        <x:v>2273</x:v>
      </x:c>
      <x:c r="C2967" s="84" t="n">
        <x:v>20</x:v>
      </x:c>
      <x:c r="D2967" s="89" t="n">
        <x:v>45376</x:v>
      </x:c>
      <x:c r="E2967" s="84" t="n">
        <x:v>2</x:v>
      </x:c>
      <x:c r="F2967" s="91" t="n">
        <x:v>1082.4</x:v>
      </x:c>
    </x:row>
    <x:row r="2968">
      <x:c r="A2968" s="83" t="n">
        <x:v>2967</x:v>
      </x:c>
      <x:c r="B2968" s="84" t="n">
        <x:v>2276</x:v>
      </x:c>
      <x:c r="C2968" s="84" t="n">
        <x:v>9</x:v>
      </x:c>
      <x:c r="D2968" s="89" t="n">
        <x:v>45793</x:v>
      </x:c>
      <x:c r="E2968" s="84" t="n">
        <x:v>1</x:v>
      </x:c>
      <x:c r="F2968" s="91" t="n">
        <x:v>1575.06</x:v>
      </x:c>
    </x:row>
    <x:row r="2969">
      <x:c r="A2969" s="83" t="n">
        <x:v>2968</x:v>
      </x:c>
      <x:c r="B2969" s="84" t="n">
        <x:v>2278</x:v>
      </x:c>
      <x:c r="C2969" s="84" t="n">
        <x:v>78</x:v>
      </x:c>
      <x:c r="D2969" s="89" t="n">
        <x:v>45354</x:v>
      </x:c>
      <x:c r="E2969" s="84" t="n">
        <x:v>3</x:v>
      </x:c>
      <x:c r="F2969" s="91" t="n">
        <x:v>850.8</x:v>
      </x:c>
    </x:row>
    <x:row r="2970">
      <x:c r="A2970" s="83" t="n">
        <x:v>2969</x:v>
      </x:c>
      <x:c r="B2970" s="84" t="n">
        <x:v>2278</x:v>
      </x:c>
      <x:c r="C2970" s="84" t="n">
        <x:v>61</x:v>
      </x:c>
      <x:c r="D2970" s="89" t="n">
        <x:v>45354</x:v>
      </x:c>
      <x:c r="E2970" s="84" t="n">
        <x:v>4</x:v>
      </x:c>
      <x:c r="F2970" s="91" t="n">
        <x:v>526.88</x:v>
      </x:c>
    </x:row>
    <x:row r="2971">
      <x:c r="A2971" s="83" t="n">
        <x:v>2970</x:v>
      </x:c>
      <x:c r="B2971" s="84" t="n">
        <x:v>2279</x:v>
      </x:c>
      <x:c r="C2971" s="84" t="n">
        <x:v>55</x:v>
      </x:c>
      <x:c r="D2971" s="89" t="n">
        <x:v>45079</x:v>
      </x:c>
      <x:c r="E2971" s="84" t="n">
        <x:v>2</x:v>
      </x:c>
      <x:c r="F2971" s="91" t="n">
        <x:v>2999.7</x:v>
      </x:c>
    </x:row>
    <x:row r="2972">
      <x:c r="A2972" s="83" t="n">
        <x:v>2971</x:v>
      </x:c>
      <x:c r="B2972" s="84" t="n">
        <x:v>2280</x:v>
      </x:c>
      <x:c r="C2972" s="84" t="n">
        <x:v>79</x:v>
      </x:c>
      <x:c r="D2972" s="89" t="n">
        <x:v>45945</x:v>
      </x:c>
      <x:c r="E2972" s="84" t="n">
        <x:v>3</x:v>
      </x:c>
      <x:c r="F2972" s="91" t="n">
        <x:v>6200.16</x:v>
      </x:c>
    </x:row>
    <x:row r="2973">
      <x:c r="A2973" s="83" t="n">
        <x:v>2972</x:v>
      </x:c>
      <x:c r="B2973" s="84" t="n">
        <x:v>2280</x:v>
      </x:c>
      <x:c r="C2973" s="84" t="n">
        <x:v>3</x:v>
      </x:c>
      <x:c r="D2973" s="89" t="n">
        <x:v>45945</x:v>
      </x:c>
      <x:c r="E2973" s="84" t="n">
        <x:v>2</x:v>
      </x:c>
      <x:c r="F2973" s="91" t="n">
        <x:v>2302.28</x:v>
      </x:c>
    </x:row>
    <x:row r="2974">
      <x:c r="A2974" s="83" t="n">
        <x:v>2973</x:v>
      </x:c>
      <x:c r="B2974" s="84" t="n">
        <x:v>2280</x:v>
      </x:c>
      <x:c r="C2974" s="84" t="n">
        <x:v>10</x:v>
      </x:c>
      <x:c r="D2974" s="89" t="n">
        <x:v>45945</x:v>
      </x:c>
      <x:c r="E2974" s="84" t="n">
        <x:v>1</x:v>
      </x:c>
      <x:c r="F2974" s="91" t="n">
        <x:v>874.86</x:v>
      </x:c>
    </x:row>
    <x:row r="2975">
      <x:c r="A2975" s="83" t="n">
        <x:v>2974</x:v>
      </x:c>
      <x:c r="B2975" s="84" t="n">
        <x:v>2281</x:v>
      </x:c>
      <x:c r="C2975" s="84" t="n">
        <x:v>41</x:v>
      </x:c>
      <x:c r="D2975" s="89" t="n">
        <x:v>45797</x:v>
      </x:c>
      <x:c r="E2975" s="84" t="n">
        <x:v>2</x:v>
      </x:c>
      <x:c r="F2975" s="91" t="n">
        <x:v>2364.04</x:v>
      </x:c>
    </x:row>
    <x:row r="2976">
      <x:c r="A2976" s="83" t="n">
        <x:v>2975</x:v>
      </x:c>
      <x:c r="B2976" s="84" t="n">
        <x:v>2281</x:v>
      </x:c>
      <x:c r="C2976" s="84" t="n">
        <x:v>40</x:v>
      </x:c>
      <x:c r="D2976" s="89" t="n">
        <x:v>45797</x:v>
      </x:c>
      <x:c r="E2976" s="84" t="n">
        <x:v>3</x:v>
      </x:c>
      <x:c r="F2976" s="91" t="n">
        <x:v>6105.12</x:v>
      </x:c>
    </x:row>
    <x:row r="2977">
      <x:c r="A2977" s="83" t="n">
        <x:v>2976</x:v>
      </x:c>
      <x:c r="B2977" s="84" t="n">
        <x:v>2282</x:v>
      </x:c>
      <x:c r="C2977" s="84" t="n">
        <x:v>67</x:v>
      </x:c>
      <x:c r="D2977" s="89" t="n">
        <x:v>45709</x:v>
      </x:c>
      <x:c r="E2977" s="84" t="n">
        <x:v>1</x:v>
      </x:c>
      <x:c r="F2977" s="91" t="n">
        <x:v>1279.53</x:v>
      </x:c>
    </x:row>
    <x:row r="2978">
      <x:c r="A2978" s="83" t="n">
        <x:v>2977</x:v>
      </x:c>
      <x:c r="B2978" s="84" t="n">
        <x:v>2282</x:v>
      </x:c>
      <x:c r="C2978" s="84" t="n">
        <x:v>29</x:v>
      </x:c>
      <x:c r="D2978" s="89" t="n">
        <x:v>45709</x:v>
      </x:c>
      <x:c r="E2978" s="84" t="n">
        <x:v>2</x:v>
      </x:c>
      <x:c r="F2978" s="91" t="n">
        <x:v>3104.94</x:v>
      </x:c>
    </x:row>
    <x:row r="2979">
      <x:c r="A2979" s="83" t="n">
        <x:v>2978</x:v>
      </x:c>
      <x:c r="B2979" s="84" t="n">
        <x:v>2282</x:v>
      </x:c>
      <x:c r="C2979" s="84" t="n">
        <x:v>62</x:v>
      </x:c>
      <x:c r="D2979" s="89" t="n">
        <x:v>45709</x:v>
      </x:c>
      <x:c r="E2979" s="84" t="n">
        <x:v>4</x:v>
      </x:c>
      <x:c r="F2979" s="91" t="n">
        <x:v>6069.24</x:v>
      </x:c>
    </x:row>
    <x:row r="2980">
      <x:c r="A2980" s="83" t="n">
        <x:v>2979</x:v>
      </x:c>
      <x:c r="B2980" s="84" t="n">
        <x:v>2283</x:v>
      </x:c>
      <x:c r="C2980" s="84" t="n">
        <x:v>21</x:v>
      </x:c>
      <x:c r="D2980" s="89" t="n">
        <x:v>45896</x:v>
      </x:c>
      <x:c r="E2980" s="84" t="n">
        <x:v>3</x:v>
      </x:c>
      <x:c r="F2980" s="91" t="n">
        <x:v>6866.61</x:v>
      </x:c>
    </x:row>
    <x:row r="2981">
      <x:c r="A2981" s="83" t="n">
        <x:v>2980</x:v>
      </x:c>
      <x:c r="B2981" s="84" t="n">
        <x:v>2283</x:v>
      </x:c>
      <x:c r="C2981" s="84" t="n">
        <x:v>54</x:v>
      </x:c>
      <x:c r="D2981" s="89" t="n">
        <x:v>45896</x:v>
      </x:c>
      <x:c r="E2981" s="84" t="n">
        <x:v>2</x:v>
      </x:c>
      <x:c r="F2981" s="91" t="n">
        <x:v>1372.8</x:v>
      </x:c>
    </x:row>
    <x:row r="2982">
      <x:c r="A2982" s="83" t="n">
        <x:v>2981</x:v>
      </x:c>
      <x:c r="B2982" s="84" t="n">
        <x:v>2286</x:v>
      </x:c>
      <x:c r="C2982" s="84" t="n">
        <x:v>44</x:v>
      </x:c>
      <x:c r="D2982" s="89" t="n">
        <x:v>45397</x:v>
      </x:c>
      <x:c r="E2982" s="84" t="n">
        <x:v>3</x:v>
      </x:c>
      <x:c r="F2982" s="91" t="n">
        <x:v>3754.44</x:v>
      </x:c>
    </x:row>
    <x:row r="2983">
      <x:c r="A2983" s="83" t="n">
        <x:v>2982</x:v>
      </x:c>
      <x:c r="B2983" s="84" t="n">
        <x:v>2286</x:v>
      </x:c>
      <x:c r="C2983" s="84" t="n">
        <x:v>1</x:v>
      </x:c>
      <x:c r="D2983" s="89" t="n">
        <x:v>45397</x:v>
      </x:c>
      <x:c r="E2983" s="84" t="n">
        <x:v>2</x:v>
      </x:c>
      <x:c r="F2983" s="91" t="n">
        <x:v>3479.2</x:v>
      </x:c>
    </x:row>
    <x:row r="2984">
      <x:c r="A2984" s="83" t="n">
        <x:v>2983</x:v>
      </x:c>
      <x:c r="B2984" s="84" t="n">
        <x:v>2286</x:v>
      </x:c>
      <x:c r="C2984" s="84" t="n">
        <x:v>53</x:v>
      </x:c>
      <x:c r="D2984" s="89" t="n">
        <x:v>45397</x:v>
      </x:c>
      <x:c r="E2984" s="84" t="n">
        <x:v>3</x:v>
      </x:c>
      <x:c r="F2984" s="91" t="n">
        <x:v>4772.76</x:v>
      </x:c>
    </x:row>
    <x:row r="2985">
      <x:c r="A2985" s="83" t="n">
        <x:v>2984</x:v>
      </x:c>
      <x:c r="B2985" s="84" t="n">
        <x:v>2287</x:v>
      </x:c>
      <x:c r="C2985" s="84" t="n">
        <x:v>27</x:v>
      </x:c>
      <x:c r="D2985" s="89" t="n">
        <x:v>45198</x:v>
      </x:c>
      <x:c r="E2985" s="84" t="n">
        <x:v>4</x:v>
      </x:c>
      <x:c r="F2985" s="91" t="n">
        <x:v>642.76</x:v>
      </x:c>
    </x:row>
    <x:row r="2986">
      <x:c r="A2986" s="83" t="n">
        <x:v>2985</x:v>
      </x:c>
      <x:c r="B2986" s="84" t="n">
        <x:v>2289</x:v>
      </x:c>
      <x:c r="C2986" s="84" t="n">
        <x:v>49</x:v>
      </x:c>
      <x:c r="D2986" s="89" t="n">
        <x:v>45588</x:v>
      </x:c>
      <x:c r="E2986" s="84" t="n">
        <x:v>1</x:v>
      </x:c>
      <x:c r="F2986" s="91" t="n">
        <x:v>184.16</x:v>
      </x:c>
    </x:row>
    <x:row r="2987">
      <x:c r="A2987" s="83" t="n">
        <x:v>2986</x:v>
      </x:c>
      <x:c r="B2987" s="84" t="n">
        <x:v>2290</x:v>
      </x:c>
      <x:c r="C2987" s="84" t="n">
        <x:v>33</x:v>
      </x:c>
      <x:c r="D2987" s="89" t="n">
        <x:v>45033</x:v>
      </x:c>
      <x:c r="E2987" s="84" t="n">
        <x:v>1</x:v>
      </x:c>
      <x:c r="F2987" s="91" t="n">
        <x:v>2346.92</x:v>
      </x:c>
    </x:row>
    <x:row r="2988">
      <x:c r="A2988" s="83" t="n">
        <x:v>2987</x:v>
      </x:c>
      <x:c r="B2988" s="84" t="n">
        <x:v>2290</x:v>
      </x:c>
      <x:c r="C2988" s="84" t="n">
        <x:v>10</x:v>
      </x:c>
      <x:c r="D2988" s="89" t="n">
        <x:v>45033</x:v>
      </x:c>
      <x:c r="E2988" s="84" t="n">
        <x:v>2</x:v>
      </x:c>
      <x:c r="F2988" s="91" t="n">
        <x:v>1749.72</x:v>
      </x:c>
    </x:row>
    <x:row r="2989">
      <x:c r="A2989" s="83" t="n">
        <x:v>2988</x:v>
      </x:c>
      <x:c r="B2989" s="84" t="n">
        <x:v>2290</x:v>
      </x:c>
      <x:c r="C2989" s="84" t="n">
        <x:v>34</x:v>
      </x:c>
      <x:c r="D2989" s="89" t="n">
        <x:v>45033</x:v>
      </x:c>
      <x:c r="E2989" s="84" t="n">
        <x:v>2</x:v>
      </x:c>
      <x:c r="F2989" s="91" t="n">
        <x:v>3954.18</x:v>
      </x:c>
    </x:row>
    <x:row r="2990">
      <x:c r="A2990" s="83" t="n">
        <x:v>2989</x:v>
      </x:c>
      <x:c r="B2990" s="84" t="n">
        <x:v>2291</x:v>
      </x:c>
      <x:c r="C2990" s="84" t="n">
        <x:v>5</x:v>
      </x:c>
      <x:c r="D2990" s="89" t="n">
        <x:v>45003</x:v>
      </x:c>
      <x:c r="E2990" s="84" t="n">
        <x:v>4</x:v>
      </x:c>
      <x:c r="F2990" s="91" t="n">
        <x:v>5874</x:v>
      </x:c>
    </x:row>
    <x:row r="2991">
      <x:c r="A2991" s="83" t="n">
        <x:v>2990</x:v>
      </x:c>
      <x:c r="B2991" s="84" t="n">
        <x:v>2292</x:v>
      </x:c>
      <x:c r="C2991" s="84" t="n">
        <x:v>78</x:v>
      </x:c>
      <x:c r="D2991" s="89" t="n">
        <x:v>45462</x:v>
      </x:c>
      <x:c r="E2991" s="84" t="n">
        <x:v>3</x:v>
      </x:c>
      <x:c r="F2991" s="91" t="n">
        <x:v>850.8</x:v>
      </x:c>
    </x:row>
    <x:row r="2992">
      <x:c r="A2992" s="83" t="n">
        <x:v>2991</x:v>
      </x:c>
      <x:c r="B2992" s="84" t="n">
        <x:v>2294</x:v>
      </x:c>
      <x:c r="C2992" s="84" t="n">
        <x:v>52</x:v>
      </x:c>
      <x:c r="D2992" s="89" t="n">
        <x:v>45217</x:v>
      </x:c>
      <x:c r="E2992" s="84" t="n">
        <x:v>2</x:v>
      </x:c>
      <x:c r="F2992" s="91" t="n">
        <x:v>1761.26</x:v>
      </x:c>
    </x:row>
    <x:row r="2993">
      <x:c r="A2993" s="83" t="n">
        <x:v>2992</x:v>
      </x:c>
      <x:c r="B2993" s="84" t="n">
        <x:v>2294</x:v>
      </x:c>
      <x:c r="C2993" s="84" t="n">
        <x:v>57</x:v>
      </x:c>
      <x:c r="D2993" s="89" t="n">
        <x:v>45217</x:v>
      </x:c>
      <x:c r="E2993" s="84" t="n">
        <x:v>4</x:v>
      </x:c>
      <x:c r="F2993" s="91" t="n">
        <x:v>4716.24</x:v>
      </x:c>
    </x:row>
    <x:row r="2994">
      <x:c r="A2994" s="83" t="n">
        <x:v>2993</x:v>
      </x:c>
      <x:c r="B2994" s="84" t="n">
        <x:v>2296</x:v>
      </x:c>
      <x:c r="C2994" s="84" t="n">
        <x:v>70</x:v>
      </x:c>
      <x:c r="D2994" s="89" t="n">
        <x:v>45632</x:v>
      </x:c>
      <x:c r="E2994" s="84" t="n">
        <x:v>3</x:v>
      </x:c>
      <x:c r="F2994" s="91" t="n">
        <x:v>2308.62</x:v>
      </x:c>
    </x:row>
    <x:row r="2995">
      <x:c r="A2995" s="83" t="n">
        <x:v>2994</x:v>
      </x:c>
      <x:c r="B2995" s="84" t="n">
        <x:v>2297</x:v>
      </x:c>
      <x:c r="C2995" s="84" t="n">
        <x:v>8</x:v>
      </x:c>
      <x:c r="D2995" s="89" t="n">
        <x:v>45084</x:v>
      </x:c>
      <x:c r="E2995" s="84" t="n">
        <x:v>3</x:v>
      </x:c>
      <x:c r="F2995" s="91" t="n">
        <x:v>4998.57</x:v>
      </x:c>
    </x:row>
    <x:row r="2996">
      <x:c r="A2996" s="83" t="n">
        <x:v>2995</x:v>
      </x:c>
      <x:c r="B2996" s="84" t="n">
        <x:v>2297</x:v>
      </x:c>
      <x:c r="C2996" s="84" t="n">
        <x:v>78</x:v>
      </x:c>
      <x:c r="D2996" s="89" t="n">
        <x:v>45084</x:v>
      </x:c>
      <x:c r="E2996" s="84" t="n">
        <x:v>4</x:v>
      </x:c>
      <x:c r="F2996" s="91" t="n">
        <x:v>1134.4</x:v>
      </x:c>
    </x:row>
    <x:row r="2997">
      <x:c r="A2997" s="83" t="n">
        <x:v>2996</x:v>
      </x:c>
      <x:c r="B2997" s="84" t="n">
        <x:v>2297</x:v>
      </x:c>
      <x:c r="C2997" s="84" t="n">
        <x:v>12</x:v>
      </x:c>
      <x:c r="D2997" s="89" t="n">
        <x:v>45084</x:v>
      </x:c>
      <x:c r="E2997" s="84" t="n">
        <x:v>3</x:v>
      </x:c>
      <x:c r="F2997" s="91" t="n">
        <x:v>853.47</x:v>
      </x:c>
    </x:row>
    <x:row r="2998">
      <x:c r="A2998" s="83" t="n">
        <x:v>2997</x:v>
      </x:c>
      <x:c r="B2998" s="84" t="n">
        <x:v>2298</x:v>
      </x:c>
      <x:c r="C2998" s="84" t="n">
        <x:v>54</x:v>
      </x:c>
      <x:c r="D2998" s="89" t="n">
        <x:v>45972</x:v>
      </x:c>
      <x:c r="E2998" s="84" t="n">
        <x:v>1</x:v>
      </x:c>
      <x:c r="F2998" s="91" t="n">
        <x:v>686.4</x:v>
      </x:c>
    </x:row>
    <x:row r="2999">
      <x:c r="A2999" s="83" t="n">
        <x:v>2998</x:v>
      </x:c>
      <x:c r="B2999" s="84" t="n">
        <x:v>2298</x:v>
      </x:c>
      <x:c r="C2999" s="84" t="n">
        <x:v>71</x:v>
      </x:c>
      <x:c r="D2999" s="89" t="n">
        <x:v>45972</x:v>
      </x:c>
      <x:c r="E2999" s="84" t="n">
        <x:v>4</x:v>
      </x:c>
      <x:c r="F2999" s="91" t="n">
        <x:v>7934.08</x:v>
      </x:c>
    </x:row>
    <x:row r="3000">
      <x:c r="A3000" s="83" t="n">
        <x:v>2999</x:v>
      </x:c>
      <x:c r="B3000" s="84" t="n">
        <x:v>2298</x:v>
      </x:c>
      <x:c r="C3000" s="84" t="n">
        <x:v>11</x:v>
      </x:c>
      <x:c r="D3000" s="89" t="n">
        <x:v>45972</x:v>
      </x:c>
      <x:c r="E3000" s="84" t="n">
        <x:v>2</x:v>
      </x:c>
      <x:c r="F3000" s="91" t="n">
        <x:v>4422.52</x:v>
      </x:c>
    </x:row>
    <x:row r="3001">
      <x:c r="A3001" s="83" t="n">
        <x:v>3000</x:v>
      </x:c>
      <x:c r="B3001" s="84" t="n">
        <x:v>2299</x:v>
      </x:c>
      <x:c r="C3001" s="84" t="n">
        <x:v>52</x:v>
      </x:c>
      <x:c r="D3001" s="89" t="n">
        <x:v>45804</x:v>
      </x:c>
      <x:c r="E3001" s="84" t="n">
        <x:v>1</x:v>
      </x:c>
      <x:c r="F3001" s="91" t="n">
        <x:v>880.63</x:v>
      </x:c>
    </x:row>
    <x:row r="3002">
      <x:c r="A3002" s="83" t="n">
        <x:v>3001</x:v>
      </x:c>
      <x:c r="B3002" s="84" t="n">
        <x:v>2299</x:v>
      </x:c>
      <x:c r="C3002" s="84" t="n">
        <x:v>41</x:v>
      </x:c>
      <x:c r="D3002" s="89" t="n">
        <x:v>45804</x:v>
      </x:c>
      <x:c r="E3002" s="84" t="n">
        <x:v>2</x:v>
      </x:c>
      <x:c r="F3002" s="91" t="n">
        <x:v>2364.04</x:v>
      </x:c>
    </x:row>
    <x:row r="3003">
      <x:c r="A3003" s="83" t="n">
        <x:v>3002</x:v>
      </x:c>
      <x:c r="B3003" s="84" t="n">
        <x:v>2301</x:v>
      </x:c>
      <x:c r="C3003" s="84" t="n">
        <x:v>35</x:v>
      </x:c>
      <x:c r="D3003" s="89" t="n">
        <x:v>45481</x:v>
      </x:c>
      <x:c r="E3003" s="84" t="n">
        <x:v>4</x:v>
      </x:c>
      <x:c r="F3003" s="91" t="n">
        <x:v>5883.12</x:v>
      </x:c>
    </x:row>
    <x:row r="3004">
      <x:c r="A3004" s="83" t="n">
        <x:v>3003</x:v>
      </x:c>
      <x:c r="B3004" s="84" t="n">
        <x:v>2301</x:v>
      </x:c>
      <x:c r="C3004" s="84" t="n">
        <x:v>67</x:v>
      </x:c>
      <x:c r="D3004" s="89" t="n">
        <x:v>45481</x:v>
      </x:c>
      <x:c r="E3004" s="84" t="n">
        <x:v>4</x:v>
      </x:c>
      <x:c r="F3004" s="91" t="n">
        <x:v>5118.12</x:v>
      </x:c>
    </x:row>
    <x:row r="3005">
      <x:c r="A3005" s="83" t="n">
        <x:v>3004</x:v>
      </x:c>
      <x:c r="B3005" s="84" t="n">
        <x:v>2302</x:v>
      </x:c>
      <x:c r="C3005" s="84" t="n">
        <x:v>65</x:v>
      </x:c>
      <x:c r="D3005" s="89" t="n">
        <x:v>45333</x:v>
      </x:c>
      <x:c r="E3005" s="84" t="n">
        <x:v>4</x:v>
      </x:c>
      <x:c r="F3005" s="91" t="n">
        <x:v>5019.36</x:v>
      </x:c>
    </x:row>
    <x:row r="3006">
      <x:c r="A3006" s="83" t="n">
        <x:v>3005</x:v>
      </x:c>
      <x:c r="B3006" s="84" t="n">
        <x:v>2303</x:v>
      </x:c>
      <x:c r="C3006" s="84" t="n">
        <x:v>67</x:v>
      </x:c>
      <x:c r="D3006" s="89" t="n">
        <x:v>45460</x:v>
      </x:c>
      <x:c r="E3006" s="84" t="n">
        <x:v>1</x:v>
      </x:c>
      <x:c r="F3006" s="91" t="n">
        <x:v>1279.53</x:v>
      </x:c>
    </x:row>
    <x:row r="3007">
      <x:c r="A3007" s="83" t="n">
        <x:v>3006</x:v>
      </x:c>
      <x:c r="B3007" s="84" t="n">
        <x:v>2304</x:v>
      </x:c>
      <x:c r="C3007" s="84" t="n">
        <x:v>79</x:v>
      </x:c>
      <x:c r="D3007" s="89" t="n">
        <x:v>45872</x:v>
      </x:c>
      <x:c r="E3007" s="84" t="n">
        <x:v>1</x:v>
      </x:c>
      <x:c r="F3007" s="91" t="n">
        <x:v>2066.72</x:v>
      </x:c>
    </x:row>
    <x:row r="3008">
      <x:c r="A3008" s="83" t="n">
        <x:v>3007</x:v>
      </x:c>
      <x:c r="B3008" s="84" t="n">
        <x:v>2305</x:v>
      </x:c>
      <x:c r="C3008" s="84" t="n">
        <x:v>80</x:v>
      </x:c>
      <x:c r="D3008" s="89" t="n">
        <x:v>45361</x:v>
      </x:c>
      <x:c r="E3008" s="84" t="n">
        <x:v>1</x:v>
      </x:c>
      <x:c r="F3008" s="91" t="n">
        <x:v>1728.54</x:v>
      </x:c>
    </x:row>
    <x:row r="3009">
      <x:c r="A3009" s="83" t="n">
        <x:v>3008</x:v>
      </x:c>
      <x:c r="B3009" s="84" t="n">
        <x:v>2305</x:v>
      </x:c>
      <x:c r="C3009" s="84" t="n">
        <x:v>54</x:v>
      </x:c>
      <x:c r="D3009" s="89" t="n">
        <x:v>45361</x:v>
      </x:c>
      <x:c r="E3009" s="84" t="n">
        <x:v>2</x:v>
      </x:c>
      <x:c r="F3009" s="91" t="n">
        <x:v>1372.8</x:v>
      </x:c>
    </x:row>
    <x:row r="3010">
      <x:c r="A3010" s="83" t="n">
        <x:v>3009</x:v>
      </x:c>
      <x:c r="B3010" s="84" t="n">
        <x:v>2307</x:v>
      </x:c>
      <x:c r="C3010" s="84" t="n">
        <x:v>20</x:v>
      </x:c>
      <x:c r="D3010" s="89" t="n">
        <x:v>45186</x:v>
      </x:c>
      <x:c r="E3010" s="84" t="n">
        <x:v>4</x:v>
      </x:c>
      <x:c r="F3010" s="91" t="n">
        <x:v>2164.8</x:v>
      </x:c>
    </x:row>
    <x:row r="3011">
      <x:c r="A3011" s="83" t="n">
        <x:v>3010</x:v>
      </x:c>
      <x:c r="B3011" s="84" t="n">
        <x:v>2307</x:v>
      </x:c>
      <x:c r="C3011" s="84" t="n">
        <x:v>73</x:v>
      </x:c>
      <x:c r="D3011" s="89" t="n">
        <x:v>45186</x:v>
      </x:c>
      <x:c r="E3011" s="84" t="n">
        <x:v>3</x:v>
      </x:c>
      <x:c r="F3011" s="91" t="n">
        <x:v>3381.93</x:v>
      </x:c>
    </x:row>
    <x:row r="3012">
      <x:c r="A3012" s="83" t="n">
        <x:v>3011</x:v>
      </x:c>
      <x:c r="B3012" s="84" t="n">
        <x:v>2307</x:v>
      </x:c>
      <x:c r="C3012" s="84" t="n">
        <x:v>74</x:v>
      </x:c>
      <x:c r="D3012" s="89" t="n">
        <x:v>45186</x:v>
      </x:c>
      <x:c r="E3012" s="84" t="n">
        <x:v>4</x:v>
      </x:c>
      <x:c r="F3012" s="91" t="n">
        <x:v>6625.4</x:v>
      </x:c>
    </x:row>
    <x:row r="3013">
      <x:c r="A3013" s="83" t="n">
        <x:v>3012</x:v>
      </x:c>
      <x:c r="B3013" s="84" t="n">
        <x:v>2309</x:v>
      </x:c>
      <x:c r="C3013" s="84" t="n">
        <x:v>74</x:v>
      </x:c>
      <x:c r="D3013" s="89" t="n">
        <x:v>45307</x:v>
      </x:c>
      <x:c r="E3013" s="84" t="n">
        <x:v>1</x:v>
      </x:c>
      <x:c r="F3013" s="91" t="n">
        <x:v>1656.35</x:v>
      </x:c>
    </x:row>
    <x:row r="3014">
      <x:c r="A3014" s="83" t="n">
        <x:v>3013</x:v>
      </x:c>
      <x:c r="B3014" s="84" t="n">
        <x:v>2310</x:v>
      </x:c>
      <x:c r="C3014" s="84" t="n">
        <x:v>44</x:v>
      </x:c>
      <x:c r="D3014" s="89" t="n">
        <x:v>45790</x:v>
      </x:c>
      <x:c r="E3014" s="84" t="n">
        <x:v>2</x:v>
      </x:c>
      <x:c r="F3014" s="91" t="n">
        <x:v>2502.96</x:v>
      </x:c>
    </x:row>
    <x:row r="3015">
      <x:c r="A3015" s="83" t="n">
        <x:v>3014</x:v>
      </x:c>
      <x:c r="B3015" s="84" t="n">
        <x:v>2310</x:v>
      </x:c>
      <x:c r="C3015" s="84" t="n">
        <x:v>77</x:v>
      </x:c>
      <x:c r="D3015" s="89" t="n">
        <x:v>45790</x:v>
      </x:c>
      <x:c r="E3015" s="84" t="n">
        <x:v>2</x:v>
      </x:c>
      <x:c r="F3015" s="91" t="n">
        <x:v>4205.82</x:v>
      </x:c>
    </x:row>
    <x:row r="3016">
      <x:c r="A3016" s="83" t="n">
        <x:v>3015</x:v>
      </x:c>
      <x:c r="B3016" s="84" t="n">
        <x:v>2310</x:v>
      </x:c>
      <x:c r="C3016" s="84" t="n">
        <x:v>22</x:v>
      </x:c>
      <x:c r="D3016" s="89" t="n">
        <x:v>45790</x:v>
      </x:c>
      <x:c r="E3016" s="84" t="n">
        <x:v>1</x:v>
      </x:c>
      <x:c r="F3016" s="91" t="n">
        <x:v>521.89</x:v>
      </x:c>
    </x:row>
    <x:row r="3017">
      <x:c r="A3017" s="83" t="n">
        <x:v>3016</x:v>
      </x:c>
      <x:c r="B3017" s="84" t="n">
        <x:v>2311</x:v>
      </x:c>
      <x:c r="C3017" s="84" t="n">
        <x:v>44</x:v>
      </x:c>
      <x:c r="D3017" s="89" t="n">
        <x:v>45900</x:v>
      </x:c>
      <x:c r="E3017" s="84" t="n">
        <x:v>1</x:v>
      </x:c>
      <x:c r="F3017" s="91" t="n">
        <x:v>1251.48</x:v>
      </x:c>
    </x:row>
    <x:row r="3018">
      <x:c r="A3018" s="83" t="n">
        <x:v>3017</x:v>
      </x:c>
      <x:c r="B3018" s="84" t="n">
        <x:v>2312</x:v>
      </x:c>
      <x:c r="C3018" s="84" t="n">
        <x:v>65</x:v>
      </x:c>
      <x:c r="D3018" s="89" t="n">
        <x:v>45352</x:v>
      </x:c>
      <x:c r="E3018" s="84" t="n">
        <x:v>3</x:v>
      </x:c>
      <x:c r="F3018" s="91" t="n">
        <x:v>3764.52</x:v>
      </x:c>
    </x:row>
    <x:row r="3019">
      <x:c r="A3019" s="83" t="n">
        <x:v>3018</x:v>
      </x:c>
      <x:c r="B3019" s="84" t="n">
        <x:v>2312</x:v>
      </x:c>
      <x:c r="C3019" s="84" t="n">
        <x:v>2</x:v>
      </x:c>
      <x:c r="D3019" s="89" t="n">
        <x:v>45352</x:v>
      </x:c>
      <x:c r="E3019" s="84" t="n">
        <x:v>4</x:v>
      </x:c>
      <x:c r="F3019" s="91" t="n">
        <x:v>3977.24</x:v>
      </x:c>
    </x:row>
    <x:row r="3020">
      <x:c r="A3020" s="83" t="n">
        <x:v>3019</x:v>
      </x:c>
      <x:c r="B3020" s="84" t="n">
        <x:v>2312</x:v>
      </x:c>
      <x:c r="C3020" s="84" t="n">
        <x:v>30</x:v>
      </x:c>
      <x:c r="D3020" s="89" t="n">
        <x:v>45352</x:v>
      </x:c>
      <x:c r="E3020" s="84" t="n">
        <x:v>1</x:v>
      </x:c>
      <x:c r="F3020" s="91" t="n">
        <x:v>1278.76</x:v>
      </x:c>
    </x:row>
    <x:row r="3021">
      <x:c r="A3021" s="83" t="n">
        <x:v>3020</x:v>
      </x:c>
      <x:c r="B3021" s="84" t="n">
        <x:v>2314</x:v>
      </x:c>
      <x:c r="C3021" s="84" t="n">
        <x:v>15</x:v>
      </x:c>
      <x:c r="D3021" s="89" t="n">
        <x:v>45153</x:v>
      </x:c>
      <x:c r="E3021" s="84" t="n">
        <x:v>3</x:v>
      </x:c>
      <x:c r="F3021" s="91" t="n">
        <x:v>3703.83</x:v>
      </x:c>
    </x:row>
    <x:row r="3022">
      <x:c r="A3022" s="83" t="n">
        <x:v>3021</x:v>
      </x:c>
      <x:c r="B3022" s="84" t="n">
        <x:v>2314</x:v>
      </x:c>
      <x:c r="C3022" s="84" t="n">
        <x:v>27</x:v>
      </x:c>
      <x:c r="D3022" s="89" t="n">
        <x:v>45153</x:v>
      </x:c>
      <x:c r="E3022" s="84" t="n">
        <x:v>3</x:v>
      </x:c>
      <x:c r="F3022" s="91" t="n">
        <x:v>482.07</x:v>
      </x:c>
    </x:row>
    <x:row r="3023">
      <x:c r="A3023" s="83" t="n">
        <x:v>3022</x:v>
      </x:c>
      <x:c r="B3023" s="84" t="n">
        <x:v>2315</x:v>
      </x:c>
      <x:c r="C3023" s="84" t="n">
        <x:v>27</x:v>
      </x:c>
      <x:c r="D3023" s="89" t="n">
        <x:v>44947</x:v>
      </x:c>
      <x:c r="E3023" s="84" t="n">
        <x:v>1</x:v>
      </x:c>
      <x:c r="F3023" s="91" t="n">
        <x:v>160.69</x:v>
      </x:c>
    </x:row>
    <x:row r="3024">
      <x:c r="A3024" s="83" t="n">
        <x:v>3023</x:v>
      </x:c>
      <x:c r="B3024" s="84" t="n">
        <x:v>2315</x:v>
      </x:c>
      <x:c r="C3024" s="84" t="n">
        <x:v>79</x:v>
      </x:c>
      <x:c r="D3024" s="89" t="n">
        <x:v>44947</x:v>
      </x:c>
      <x:c r="E3024" s="84" t="n">
        <x:v>3</x:v>
      </x:c>
      <x:c r="F3024" s="91" t="n">
        <x:v>6200.16</x:v>
      </x:c>
    </x:row>
    <x:row r="3025">
      <x:c r="A3025" s="83" t="n">
        <x:v>3024</x:v>
      </x:c>
      <x:c r="B3025" s="84" t="n">
        <x:v>2315</x:v>
      </x:c>
      <x:c r="C3025" s="84" t="n">
        <x:v>26</x:v>
      </x:c>
      <x:c r="D3025" s="89" t="n">
        <x:v>44947</x:v>
      </x:c>
      <x:c r="E3025" s="84" t="n">
        <x:v>4</x:v>
      </x:c>
      <x:c r="F3025" s="91" t="n">
        <x:v>8604</x:v>
      </x:c>
    </x:row>
    <x:row r="3026">
      <x:c r="A3026" s="83" t="n">
        <x:v>3025</x:v>
      </x:c>
      <x:c r="B3026" s="84" t="n">
        <x:v>2316</x:v>
      </x:c>
      <x:c r="C3026" s="84" t="n">
        <x:v>10</x:v>
      </x:c>
      <x:c r="D3026" s="89" t="n">
        <x:v>45035</x:v>
      </x:c>
      <x:c r="E3026" s="84" t="n">
        <x:v>3</x:v>
      </x:c>
      <x:c r="F3026" s="91" t="n">
        <x:v>2624.58</x:v>
      </x:c>
    </x:row>
    <x:row r="3027">
      <x:c r="A3027" s="83" t="n">
        <x:v>3026</x:v>
      </x:c>
      <x:c r="B3027" s="84" t="n">
        <x:v>2317</x:v>
      </x:c>
      <x:c r="C3027" s="84" t="n">
        <x:v>30</x:v>
      </x:c>
      <x:c r="D3027" s="89" t="n">
        <x:v>45331</x:v>
      </x:c>
      <x:c r="E3027" s="84" t="n">
        <x:v>2</x:v>
      </x:c>
      <x:c r="F3027" s="91" t="n">
        <x:v>2557.52</x:v>
      </x:c>
    </x:row>
    <x:row r="3028">
      <x:c r="A3028" s="83" t="n">
        <x:v>3027</x:v>
      </x:c>
      <x:c r="B3028" s="84" t="n">
        <x:v>2317</x:v>
      </x:c>
      <x:c r="C3028" s="84" t="n">
        <x:v>55</x:v>
      </x:c>
      <x:c r="D3028" s="89" t="n">
        <x:v>45331</x:v>
      </x:c>
      <x:c r="E3028" s="84" t="n">
        <x:v>2</x:v>
      </x:c>
      <x:c r="F3028" s="91" t="n">
        <x:v>2999.7</x:v>
      </x:c>
    </x:row>
    <x:row r="3029">
      <x:c r="A3029" s="83" t="n">
        <x:v>3028</x:v>
      </x:c>
      <x:c r="B3029" s="84" t="n">
        <x:v>2319</x:v>
      </x:c>
      <x:c r="C3029" s="84" t="n">
        <x:v>73</x:v>
      </x:c>
      <x:c r="D3029" s="89" t="n">
        <x:v>45650</x:v>
      </x:c>
      <x:c r="E3029" s="84" t="n">
        <x:v>2</x:v>
      </x:c>
      <x:c r="F3029" s="91" t="n">
        <x:v>2254.62</x:v>
      </x:c>
    </x:row>
    <x:row r="3030">
      <x:c r="A3030" s="83" t="n">
        <x:v>3029</x:v>
      </x:c>
      <x:c r="B3030" s="84" t="n">
        <x:v>2319</x:v>
      </x:c>
      <x:c r="C3030" s="84" t="n">
        <x:v>76</x:v>
      </x:c>
      <x:c r="D3030" s="89" t="n">
        <x:v>45650</x:v>
      </x:c>
      <x:c r="E3030" s="84" t="n">
        <x:v>3</x:v>
      </x:c>
      <x:c r="F3030" s="91" t="n">
        <x:v>2159.43</x:v>
      </x:c>
    </x:row>
    <x:row r="3031">
      <x:c r="A3031" s="83" t="n">
        <x:v>3030</x:v>
      </x:c>
      <x:c r="B3031" s="84" t="n">
        <x:v>2319</x:v>
      </x:c>
      <x:c r="C3031" s="84" t="n">
        <x:v>65</x:v>
      </x:c>
      <x:c r="D3031" s="89" t="n">
        <x:v>45650</x:v>
      </x:c>
      <x:c r="E3031" s="84" t="n">
        <x:v>2</x:v>
      </x:c>
      <x:c r="F3031" s="91" t="n">
        <x:v>2509.68</x:v>
      </x:c>
    </x:row>
    <x:row r="3032">
      <x:c r="A3032" s="83" t="n">
        <x:v>3031</x:v>
      </x:c>
      <x:c r="B3032" s="84" t="n">
        <x:v>2321</x:v>
      </x:c>
      <x:c r="C3032" s="84" t="n">
        <x:v>48</x:v>
      </x:c>
      <x:c r="D3032" s="89" t="n">
        <x:v>45013</x:v>
      </x:c>
      <x:c r="E3032" s="84" t="n">
        <x:v>1</x:v>
      </x:c>
      <x:c r="F3032" s="91" t="n">
        <x:v>1161.45</x:v>
      </x:c>
    </x:row>
    <x:row r="3033">
      <x:c r="A3033" s="83" t="n">
        <x:v>3032</x:v>
      </x:c>
      <x:c r="B3033" s="84" t="n">
        <x:v>2321</x:v>
      </x:c>
      <x:c r="C3033" s="84" t="n">
        <x:v>53</x:v>
      </x:c>
      <x:c r="D3033" s="89" t="n">
        <x:v>45013</x:v>
      </x:c>
      <x:c r="E3033" s="84" t="n">
        <x:v>2</x:v>
      </x:c>
      <x:c r="F3033" s="91" t="n">
        <x:v>3181.84</x:v>
      </x:c>
    </x:row>
    <x:row r="3034">
      <x:c r="A3034" s="83" t="n">
        <x:v>3033</x:v>
      </x:c>
      <x:c r="B3034" s="84" t="n">
        <x:v>2321</x:v>
      </x:c>
      <x:c r="C3034" s="84" t="n">
        <x:v>17</x:v>
      </x:c>
      <x:c r="D3034" s="89" t="n">
        <x:v>45013</x:v>
      </x:c>
      <x:c r="E3034" s="84" t="n">
        <x:v>3</x:v>
      </x:c>
      <x:c r="F3034" s="91" t="n">
        <x:v>7069.26</x:v>
      </x:c>
    </x:row>
    <x:row r="3035">
      <x:c r="A3035" s="83" t="n">
        <x:v>3034</x:v>
      </x:c>
      <x:c r="B3035" s="84" t="n">
        <x:v>2322</x:v>
      </x:c>
      <x:c r="C3035" s="84" t="n">
        <x:v>63</x:v>
      </x:c>
      <x:c r="D3035" s="89" t="n">
        <x:v>46021</x:v>
      </x:c>
      <x:c r="E3035" s="84" t="n">
        <x:v>1</x:v>
      </x:c>
      <x:c r="F3035" s="91" t="n">
        <x:v>1934.19</x:v>
      </x:c>
    </x:row>
    <x:row r="3036">
      <x:c r="A3036" s="83" t="n">
        <x:v>3035</x:v>
      </x:c>
      <x:c r="B3036" s="84" t="n">
        <x:v>2322</x:v>
      </x:c>
      <x:c r="C3036" s="84" t="n">
        <x:v>63</x:v>
      </x:c>
      <x:c r="D3036" s="89" t="n">
        <x:v>46021</x:v>
      </x:c>
      <x:c r="E3036" s="84" t="n">
        <x:v>3</x:v>
      </x:c>
      <x:c r="F3036" s="91" t="n">
        <x:v>5802.57</x:v>
      </x:c>
    </x:row>
    <x:row r="3037">
      <x:c r="A3037" s="83" t="n">
        <x:v>3036</x:v>
      </x:c>
      <x:c r="B3037" s="84" t="n">
        <x:v>2322</x:v>
      </x:c>
      <x:c r="C3037" s="84" t="n">
        <x:v>40</x:v>
      </x:c>
      <x:c r="D3037" s="89" t="n">
        <x:v>46021</x:v>
      </x:c>
      <x:c r="E3037" s="84" t="n">
        <x:v>2</x:v>
      </x:c>
      <x:c r="F3037" s="91" t="n">
        <x:v>4070.08</x:v>
      </x:c>
    </x:row>
    <x:row r="3038">
      <x:c r="A3038" s="83" t="n">
        <x:v>3037</x:v>
      </x:c>
      <x:c r="B3038" s="84" t="n">
        <x:v>2323</x:v>
      </x:c>
      <x:c r="C3038" s="84" t="n">
        <x:v>22</x:v>
      </x:c>
      <x:c r="D3038" s="89" t="n">
        <x:v>45660</x:v>
      </x:c>
      <x:c r="E3038" s="84" t="n">
        <x:v>1</x:v>
      </x:c>
      <x:c r="F3038" s="91" t="n">
        <x:v>521.89</x:v>
      </x:c>
    </x:row>
    <x:row r="3039">
      <x:c r="A3039" s="83" t="n">
        <x:v>3038</x:v>
      </x:c>
      <x:c r="B3039" s="84" t="n">
        <x:v>2324</x:v>
      </x:c>
      <x:c r="C3039" s="84" t="n">
        <x:v>41</x:v>
      </x:c>
      <x:c r="D3039" s="89" t="n">
        <x:v>45026</x:v>
      </x:c>
      <x:c r="E3039" s="84" t="n">
        <x:v>4</x:v>
      </x:c>
      <x:c r="F3039" s="91" t="n">
        <x:v>4728.08</x:v>
      </x:c>
    </x:row>
    <x:row r="3040">
      <x:c r="A3040" s="83" t="n">
        <x:v>3039</x:v>
      </x:c>
      <x:c r="B3040" s="84" t="n">
        <x:v>2324</x:v>
      </x:c>
      <x:c r="C3040" s="84" t="n">
        <x:v>11</x:v>
      </x:c>
      <x:c r="D3040" s="89" t="n">
        <x:v>45026</x:v>
      </x:c>
      <x:c r="E3040" s="84" t="n">
        <x:v>1</x:v>
      </x:c>
      <x:c r="F3040" s="91" t="n">
        <x:v>2211.26</x:v>
      </x:c>
    </x:row>
    <x:row r="3041">
      <x:c r="A3041" s="83" t="n">
        <x:v>3040</x:v>
      </x:c>
      <x:c r="B3041" s="84" t="n">
        <x:v>2325</x:v>
      </x:c>
      <x:c r="C3041" s="84" t="n">
        <x:v>47</x:v>
      </x:c>
      <x:c r="D3041" s="89" t="n">
        <x:v>45189</x:v>
      </x:c>
      <x:c r="E3041" s="84" t="n">
        <x:v>4</x:v>
      </x:c>
      <x:c r="F3041" s="91" t="n">
        <x:v>8702.48</x:v>
      </x:c>
    </x:row>
    <x:row r="3042">
      <x:c r="A3042" s="83" t="n">
        <x:v>3041</x:v>
      </x:c>
      <x:c r="B3042" s="84" t="n">
        <x:v>2325</x:v>
      </x:c>
      <x:c r="C3042" s="84" t="n">
        <x:v>62</x:v>
      </x:c>
      <x:c r="D3042" s="89" t="n">
        <x:v>45189</x:v>
      </x:c>
      <x:c r="E3042" s="84" t="n">
        <x:v>4</x:v>
      </x:c>
      <x:c r="F3042" s="91" t="n">
        <x:v>6069.24</x:v>
      </x:c>
    </x:row>
    <x:row r="3043">
      <x:c r="A3043" s="83" t="n">
        <x:v>3042</x:v>
      </x:c>
      <x:c r="B3043" s="84" t="n">
        <x:v>2325</x:v>
      </x:c>
      <x:c r="C3043" s="84" t="n">
        <x:v>48</x:v>
      </x:c>
      <x:c r="D3043" s="89" t="n">
        <x:v>45189</x:v>
      </x:c>
      <x:c r="E3043" s="84" t="n">
        <x:v>1</x:v>
      </x:c>
      <x:c r="F3043" s="91" t="n">
        <x:v>1161.45</x:v>
      </x:c>
    </x:row>
    <x:row r="3044">
      <x:c r="A3044" s="83" t="n">
        <x:v>3043</x:v>
      </x:c>
      <x:c r="B3044" s="84" t="n">
        <x:v>2326</x:v>
      </x:c>
      <x:c r="C3044" s="84" t="n">
        <x:v>39</x:v>
      </x:c>
      <x:c r="D3044" s="89" t="n">
        <x:v>45386</x:v>
      </x:c>
      <x:c r="E3044" s="84" t="n">
        <x:v>4</x:v>
      </x:c>
      <x:c r="F3044" s="91" t="n">
        <x:v>2710.4</x:v>
      </x:c>
    </x:row>
    <x:row r="3045">
      <x:c r="A3045" s="83" t="n">
        <x:v>3044</x:v>
      </x:c>
      <x:c r="B3045" s="84" t="n">
        <x:v>2326</x:v>
      </x:c>
      <x:c r="C3045" s="84" t="n">
        <x:v>24</x:v>
      </x:c>
      <x:c r="D3045" s="89" t="n">
        <x:v>45386</x:v>
      </x:c>
      <x:c r="E3045" s="84" t="n">
        <x:v>3</x:v>
      </x:c>
      <x:c r="F3045" s="91" t="n">
        <x:v>2222.73</x:v>
      </x:c>
    </x:row>
    <x:row r="3046">
      <x:c r="A3046" s="83" t="n">
        <x:v>3045</x:v>
      </x:c>
      <x:c r="B3046" s="84" t="n">
        <x:v>2326</x:v>
      </x:c>
      <x:c r="C3046" s="84" t="n">
        <x:v>1</x:v>
      </x:c>
      <x:c r="D3046" s="89" t="n">
        <x:v>45386</x:v>
      </x:c>
      <x:c r="E3046" s="84" t="n">
        <x:v>1</x:v>
      </x:c>
      <x:c r="F3046" s="91" t="n">
        <x:v>1739.6</x:v>
      </x:c>
    </x:row>
    <x:row r="3047">
      <x:c r="A3047" s="83" t="n">
        <x:v>3046</x:v>
      </x:c>
      <x:c r="B3047" s="84" t="n">
        <x:v>2327</x:v>
      </x:c>
      <x:c r="C3047" s="84" t="n">
        <x:v>48</x:v>
      </x:c>
      <x:c r="D3047" s="89" t="n">
        <x:v>45481</x:v>
      </x:c>
      <x:c r="E3047" s="84" t="n">
        <x:v>3</x:v>
      </x:c>
      <x:c r="F3047" s="91" t="n">
        <x:v>3484.35</x:v>
      </x:c>
    </x:row>
    <x:row r="3048">
      <x:c r="A3048" s="83" t="n">
        <x:v>3047</x:v>
      </x:c>
      <x:c r="B3048" s="84" t="n">
        <x:v>2330</x:v>
      </x:c>
      <x:c r="C3048" s="84" t="n">
        <x:v>71</x:v>
      </x:c>
      <x:c r="D3048" s="89" t="n">
        <x:v>45880</x:v>
      </x:c>
      <x:c r="E3048" s="84" t="n">
        <x:v>3</x:v>
      </x:c>
      <x:c r="F3048" s="91" t="n">
        <x:v>5950.56</x:v>
      </x:c>
    </x:row>
    <x:row r="3049">
      <x:c r="A3049" s="83" t="n">
        <x:v>3048</x:v>
      </x:c>
      <x:c r="B3049" s="84" t="n">
        <x:v>2332</x:v>
      </x:c>
      <x:c r="C3049" s="84" t="n">
        <x:v>3</x:v>
      </x:c>
      <x:c r="D3049" s="89" t="n">
        <x:v>45858</x:v>
      </x:c>
      <x:c r="E3049" s="84" t="n">
        <x:v>4</x:v>
      </x:c>
      <x:c r="F3049" s="91" t="n">
        <x:v>4604.56</x:v>
      </x:c>
    </x:row>
    <x:row r="3050">
      <x:c r="A3050" s="83" t="n">
        <x:v>3049</x:v>
      </x:c>
      <x:c r="B3050" s="84" t="n">
        <x:v>2332</x:v>
      </x:c>
      <x:c r="C3050" s="84" t="n">
        <x:v>5</x:v>
      </x:c>
      <x:c r="D3050" s="89" t="n">
        <x:v>45858</x:v>
      </x:c>
      <x:c r="E3050" s="84" t="n">
        <x:v>1</x:v>
      </x:c>
      <x:c r="F3050" s="91" t="n">
        <x:v>1468.5</x:v>
      </x:c>
    </x:row>
    <x:row r="3051">
      <x:c r="A3051" s="83" t="n">
        <x:v>3050</x:v>
      </x:c>
      <x:c r="B3051" s="84" t="n">
        <x:v>2332</x:v>
      </x:c>
      <x:c r="C3051" s="84" t="n">
        <x:v>19</x:v>
      </x:c>
      <x:c r="D3051" s="89" t="n">
        <x:v>45858</x:v>
      </x:c>
      <x:c r="E3051" s="84" t="n">
        <x:v>2</x:v>
      </x:c>
      <x:c r="F3051" s="91" t="n">
        <x:v>2175.42</x:v>
      </x:c>
    </x:row>
    <x:row r="3052">
      <x:c r="A3052" s="83" t="n">
        <x:v>3051</x:v>
      </x:c>
      <x:c r="B3052" s="84" t="n">
        <x:v>2333</x:v>
      </x:c>
      <x:c r="C3052" s="84" t="n">
        <x:v>16</x:v>
      </x:c>
      <x:c r="D3052" s="89" t="n">
        <x:v>45289</x:v>
      </x:c>
      <x:c r="E3052" s="84" t="n">
        <x:v>4</x:v>
      </x:c>
      <x:c r="F3052" s="91" t="n">
        <x:v>2423.12</x:v>
      </x:c>
    </x:row>
    <x:row r="3053">
      <x:c r="A3053" s="83" t="n">
        <x:v>3052</x:v>
      </x:c>
      <x:c r="B3053" s="84" t="n">
        <x:v>2333</x:v>
      </x:c>
      <x:c r="C3053" s="84" t="n">
        <x:v>76</x:v>
      </x:c>
      <x:c r="D3053" s="89" t="n">
        <x:v>45289</x:v>
      </x:c>
      <x:c r="E3053" s="84" t="n">
        <x:v>3</x:v>
      </x:c>
      <x:c r="F3053" s="91" t="n">
        <x:v>2159.43</x:v>
      </x:c>
    </x:row>
    <x:row r="3054">
      <x:c r="A3054" s="83" t="n">
        <x:v>3053</x:v>
      </x:c>
      <x:c r="B3054" s="84" t="n">
        <x:v>2333</x:v>
      </x:c>
      <x:c r="C3054" s="84" t="n">
        <x:v>35</x:v>
      </x:c>
      <x:c r="D3054" s="89" t="n">
        <x:v>45289</x:v>
      </x:c>
      <x:c r="E3054" s="84" t="n">
        <x:v>1</x:v>
      </x:c>
      <x:c r="F3054" s="91" t="n">
        <x:v>1470.78</x:v>
      </x:c>
    </x:row>
    <x:row r="3055">
      <x:c r="A3055" s="83" t="n">
        <x:v>3054</x:v>
      </x:c>
      <x:c r="B3055" s="84" t="n">
        <x:v>2334</x:v>
      </x:c>
      <x:c r="C3055" s="84" t="n">
        <x:v>69</x:v>
      </x:c>
      <x:c r="D3055" s="89" t="n">
        <x:v>45029</x:v>
      </x:c>
      <x:c r="E3055" s="84" t="n">
        <x:v>1</x:v>
      </x:c>
      <x:c r="F3055" s="91" t="n">
        <x:v>1770.33</x:v>
      </x:c>
    </x:row>
    <x:row r="3056">
      <x:c r="A3056" s="83" t="n">
        <x:v>3055</x:v>
      </x:c>
      <x:c r="B3056" s="84" t="n">
        <x:v>2334</x:v>
      </x:c>
      <x:c r="C3056" s="84" t="n">
        <x:v>8</x:v>
      </x:c>
      <x:c r="D3056" s="89" t="n">
        <x:v>45029</x:v>
      </x:c>
      <x:c r="E3056" s="84" t="n">
        <x:v>3</x:v>
      </x:c>
      <x:c r="F3056" s="91" t="n">
        <x:v>4998.57</x:v>
      </x:c>
    </x:row>
    <x:row r="3057">
      <x:c r="A3057" s="83" t="n">
        <x:v>3056</x:v>
      </x:c>
      <x:c r="B3057" s="84" t="n">
        <x:v>2334</x:v>
      </x:c>
      <x:c r="C3057" s="84" t="n">
        <x:v>33</x:v>
      </x:c>
      <x:c r="D3057" s="89" t="n">
        <x:v>45029</x:v>
      </x:c>
      <x:c r="E3057" s="84" t="n">
        <x:v>3</x:v>
      </x:c>
      <x:c r="F3057" s="91" t="n">
        <x:v>7040.76</x:v>
      </x:c>
    </x:row>
    <x:row r="3058">
      <x:c r="A3058" s="83" t="n">
        <x:v>3057</x:v>
      </x:c>
      <x:c r="B3058" s="84" t="n">
        <x:v>2336</x:v>
      </x:c>
      <x:c r="C3058" s="84" t="n">
        <x:v>70</x:v>
      </x:c>
      <x:c r="D3058" s="89" t="n">
        <x:v>45634</x:v>
      </x:c>
      <x:c r="E3058" s="84" t="n">
        <x:v>4</x:v>
      </x:c>
      <x:c r="F3058" s="91" t="n">
        <x:v>3078.16</x:v>
      </x:c>
    </x:row>
    <x:row r="3059">
      <x:c r="A3059" s="83" t="n">
        <x:v>3058</x:v>
      </x:c>
      <x:c r="B3059" s="84" t="n">
        <x:v>2337</x:v>
      </x:c>
      <x:c r="C3059" s="84" t="n">
        <x:v>62</x:v>
      </x:c>
      <x:c r="D3059" s="89" t="n">
        <x:v>45527</x:v>
      </x:c>
      <x:c r="E3059" s="84" t="n">
        <x:v>3</x:v>
      </x:c>
      <x:c r="F3059" s="91" t="n">
        <x:v>4551.93</x:v>
      </x:c>
    </x:row>
    <x:row r="3060">
      <x:c r="A3060" s="83" t="n">
        <x:v>3059</x:v>
      </x:c>
      <x:c r="B3060" s="84" t="n">
        <x:v>2337</x:v>
      </x:c>
      <x:c r="C3060" s="84" t="n">
        <x:v>44</x:v>
      </x:c>
      <x:c r="D3060" s="89" t="n">
        <x:v>45527</x:v>
      </x:c>
      <x:c r="E3060" s="84" t="n">
        <x:v>3</x:v>
      </x:c>
      <x:c r="F3060" s="91" t="n">
        <x:v>3754.44</x:v>
      </x:c>
    </x:row>
    <x:row r="3061">
      <x:c r="A3061" s="83" t="n">
        <x:v>3060</x:v>
      </x:c>
      <x:c r="B3061" s="84" t="n">
        <x:v>2337</x:v>
      </x:c>
      <x:c r="C3061" s="84" t="n">
        <x:v>23</x:v>
      </x:c>
      <x:c r="D3061" s="89" t="n">
        <x:v>45527</x:v>
      </x:c>
      <x:c r="E3061" s="84" t="n">
        <x:v>1</x:v>
      </x:c>
      <x:c r="F3061" s="91" t="n">
        <x:v>1752.85</x:v>
      </x:c>
    </x:row>
    <x:row r="3062">
      <x:c r="A3062" s="83" t="n">
        <x:v>3061</x:v>
      </x:c>
      <x:c r="B3062" s="84" t="n">
        <x:v>2338</x:v>
      </x:c>
      <x:c r="C3062" s="84" t="n">
        <x:v>4</x:v>
      </x:c>
      <x:c r="D3062" s="89" t="n">
        <x:v>45010</x:v>
      </x:c>
      <x:c r="E3062" s="84" t="n">
        <x:v>4</x:v>
      </x:c>
      <x:c r="F3062" s="91" t="n">
        <x:v>6101.24</x:v>
      </x:c>
    </x:row>
    <x:row r="3063">
      <x:c r="A3063" s="83" t="n">
        <x:v>3062</x:v>
      </x:c>
      <x:c r="B3063" s="84" t="n">
        <x:v>2338</x:v>
      </x:c>
      <x:c r="C3063" s="84" t="n">
        <x:v>21</x:v>
      </x:c>
      <x:c r="D3063" s="89" t="n">
        <x:v>45010</x:v>
      </x:c>
      <x:c r="E3063" s="84" t="n">
        <x:v>4</x:v>
      </x:c>
      <x:c r="F3063" s="91" t="n">
        <x:v>9155.48</x:v>
      </x:c>
    </x:row>
    <x:row r="3064">
      <x:c r="A3064" s="83" t="n">
        <x:v>3063</x:v>
      </x:c>
      <x:c r="B3064" s="84" t="n">
        <x:v>2340</x:v>
      </x:c>
      <x:c r="C3064" s="84" t="n">
        <x:v>80</x:v>
      </x:c>
      <x:c r="D3064" s="89" t="n">
        <x:v>45570</x:v>
      </x:c>
      <x:c r="E3064" s="84" t="n">
        <x:v>1</x:v>
      </x:c>
      <x:c r="F3064" s="91" t="n">
        <x:v>1728.54</x:v>
      </x:c>
    </x:row>
    <x:row r="3065">
      <x:c r="A3065" s="83" t="n">
        <x:v>3064</x:v>
      </x:c>
      <x:c r="B3065" s="84" t="n">
        <x:v>2340</x:v>
      </x:c>
      <x:c r="C3065" s="84" t="n">
        <x:v>24</x:v>
      </x:c>
      <x:c r="D3065" s="89" t="n">
        <x:v>45570</x:v>
      </x:c>
      <x:c r="E3065" s="84" t="n">
        <x:v>3</x:v>
      </x:c>
      <x:c r="F3065" s="91" t="n">
        <x:v>2222.73</x:v>
      </x:c>
    </x:row>
    <x:row r="3066">
      <x:c r="A3066" s="83" t="n">
        <x:v>3065</x:v>
      </x:c>
      <x:c r="B3066" s="84" t="n">
        <x:v>2340</x:v>
      </x:c>
      <x:c r="C3066" s="84" t="n">
        <x:v>19</x:v>
      </x:c>
      <x:c r="D3066" s="89" t="n">
        <x:v>45570</x:v>
      </x:c>
      <x:c r="E3066" s="84" t="n">
        <x:v>3</x:v>
      </x:c>
      <x:c r="F3066" s="91" t="n">
        <x:v>3263.13</x:v>
      </x:c>
    </x:row>
    <x:row r="3067">
      <x:c r="A3067" s="83" t="n">
        <x:v>3066</x:v>
      </x:c>
      <x:c r="B3067" s="84" t="n">
        <x:v>2341</x:v>
      </x:c>
      <x:c r="C3067" s="84" t="n">
        <x:v>3</x:v>
      </x:c>
      <x:c r="D3067" s="89" t="n">
        <x:v>45637</x:v>
      </x:c>
      <x:c r="E3067" s="84" t="n">
        <x:v>3</x:v>
      </x:c>
      <x:c r="F3067" s="91" t="n">
        <x:v>3453.42</x:v>
      </x:c>
    </x:row>
    <x:row r="3068">
      <x:c r="A3068" s="83" t="n">
        <x:v>3067</x:v>
      </x:c>
      <x:c r="B3068" s="84" t="n">
        <x:v>2341</x:v>
      </x:c>
      <x:c r="C3068" s="84" t="n">
        <x:v>57</x:v>
      </x:c>
      <x:c r="D3068" s="89" t="n">
        <x:v>45637</x:v>
      </x:c>
      <x:c r="E3068" s="84" t="n">
        <x:v>1</x:v>
      </x:c>
      <x:c r="F3068" s="91" t="n">
        <x:v>1179.06</x:v>
      </x:c>
    </x:row>
    <x:row r="3069">
      <x:c r="A3069" s="83" t="n">
        <x:v>3068</x:v>
      </x:c>
      <x:c r="B3069" s="84" t="n">
        <x:v>2343</x:v>
      </x:c>
      <x:c r="C3069" s="84" t="n">
        <x:v>70</x:v>
      </x:c>
      <x:c r="D3069" s="89" t="n">
        <x:v>45449</x:v>
      </x:c>
      <x:c r="E3069" s="84" t="n">
        <x:v>3</x:v>
      </x:c>
      <x:c r="F3069" s="91" t="n">
        <x:v>2308.62</x:v>
      </x:c>
    </x:row>
    <x:row r="3070">
      <x:c r="A3070" s="83" t="n">
        <x:v>3069</x:v>
      </x:c>
      <x:c r="B3070" s="84" t="n">
        <x:v>2346</x:v>
      </x:c>
      <x:c r="C3070" s="84" t="n">
        <x:v>25</x:v>
      </x:c>
      <x:c r="D3070" s="89" t="n">
        <x:v>45826</x:v>
      </x:c>
      <x:c r="E3070" s="84" t="n">
        <x:v>3</x:v>
      </x:c>
      <x:c r="F3070" s="91" t="n">
        <x:v>3238.35</x:v>
      </x:c>
    </x:row>
    <x:row r="3071">
      <x:c r="A3071" s="83" t="n">
        <x:v>3070</x:v>
      </x:c>
      <x:c r="B3071" s="84" t="n">
        <x:v>2346</x:v>
      </x:c>
      <x:c r="C3071" s="84" t="n">
        <x:v>26</x:v>
      </x:c>
      <x:c r="D3071" s="89" t="n">
        <x:v>45826</x:v>
      </x:c>
      <x:c r="E3071" s="84" t="n">
        <x:v>3</x:v>
      </x:c>
      <x:c r="F3071" s="91" t="n">
        <x:v>6453</x:v>
      </x:c>
    </x:row>
    <x:row r="3072">
      <x:c r="A3072" s="83" t="n">
        <x:v>3071</x:v>
      </x:c>
      <x:c r="B3072" s="84" t="n">
        <x:v>2350</x:v>
      </x:c>
      <x:c r="C3072" s="84" t="n">
        <x:v>75</x:v>
      </x:c>
      <x:c r="D3072" s="89" t="n">
        <x:v>45824</x:v>
      </x:c>
      <x:c r="E3072" s="84" t="n">
        <x:v>2</x:v>
      </x:c>
      <x:c r="F3072" s="91" t="n">
        <x:v>912.34</x:v>
      </x:c>
    </x:row>
    <x:row r="3073">
      <x:c r="A3073" s="83" t="n">
        <x:v>3072</x:v>
      </x:c>
      <x:c r="B3073" s="84" t="n">
        <x:v>2350</x:v>
      </x:c>
      <x:c r="C3073" s="84" t="n">
        <x:v>51</x:v>
      </x:c>
      <x:c r="D3073" s="89" t="n">
        <x:v>45824</x:v>
      </x:c>
      <x:c r="E3073" s="84" t="n">
        <x:v>1</x:v>
      </x:c>
      <x:c r="F3073" s="91" t="n">
        <x:v>892.16</x:v>
      </x:c>
    </x:row>
    <x:row r="3074">
      <x:c r="A3074" s="83" t="n">
        <x:v>3073</x:v>
      </x:c>
      <x:c r="B3074" s="84" t="n">
        <x:v>2350</x:v>
      </x:c>
      <x:c r="C3074" s="84" t="n">
        <x:v>70</x:v>
      </x:c>
      <x:c r="D3074" s="89" t="n">
        <x:v>45824</x:v>
      </x:c>
      <x:c r="E3074" s="84" t="n">
        <x:v>1</x:v>
      </x:c>
      <x:c r="F3074" s="91" t="n">
        <x:v>769.54</x:v>
      </x:c>
    </x:row>
    <x:row r="3075">
      <x:c r="A3075" s="83" t="n">
        <x:v>3074</x:v>
      </x:c>
      <x:c r="B3075" s="84" t="n">
        <x:v>2352</x:v>
      </x:c>
      <x:c r="C3075" s="84" t="n">
        <x:v>34</x:v>
      </x:c>
      <x:c r="D3075" s="89" t="n">
        <x:v>45317</x:v>
      </x:c>
      <x:c r="E3075" s="84" t="n">
        <x:v>1</x:v>
      </x:c>
      <x:c r="F3075" s="91" t="n">
        <x:v>1977.09</x:v>
      </x:c>
    </x:row>
    <x:row r="3076">
      <x:c r="A3076" s="83" t="n">
        <x:v>3075</x:v>
      </x:c>
      <x:c r="B3076" s="84" t="n">
        <x:v>2352</x:v>
      </x:c>
      <x:c r="C3076" s="84" t="n">
        <x:v>14</x:v>
      </x:c>
      <x:c r="D3076" s="89" t="n">
        <x:v>45317</x:v>
      </x:c>
      <x:c r="E3076" s="84" t="n">
        <x:v>1</x:v>
      </x:c>
      <x:c r="F3076" s="91" t="n">
        <x:v>175.72</x:v>
      </x:c>
    </x:row>
    <x:row r="3077">
      <x:c r="A3077" s="83" t="n">
        <x:v>3076</x:v>
      </x:c>
      <x:c r="B3077" s="84" t="n">
        <x:v>2352</x:v>
      </x:c>
      <x:c r="C3077" s="84" t="n">
        <x:v>10</x:v>
      </x:c>
      <x:c r="D3077" s="89" t="n">
        <x:v>45317</x:v>
      </x:c>
      <x:c r="E3077" s="84" t="n">
        <x:v>1</x:v>
      </x:c>
      <x:c r="F3077" s="91" t="n">
        <x:v>874.86</x:v>
      </x:c>
    </x:row>
    <x:row r="3078">
      <x:c r="A3078" s="83" t="n">
        <x:v>3077</x:v>
      </x:c>
      <x:c r="B3078" s="84" t="n">
        <x:v>2353</x:v>
      </x:c>
      <x:c r="C3078" s="84" t="n">
        <x:v>39</x:v>
      </x:c>
      <x:c r="D3078" s="89" t="n">
        <x:v>45037</x:v>
      </x:c>
      <x:c r="E3078" s="84" t="n">
        <x:v>1</x:v>
      </x:c>
      <x:c r="F3078" s="91" t="n">
        <x:v>677.6</x:v>
      </x:c>
    </x:row>
    <x:row r="3079">
      <x:c r="A3079" s="83" t="n">
        <x:v>3078</x:v>
      </x:c>
      <x:c r="B3079" s="84" t="n">
        <x:v>2353</x:v>
      </x:c>
      <x:c r="C3079" s="84" t="n">
        <x:v>22</x:v>
      </x:c>
      <x:c r="D3079" s="89" t="n">
        <x:v>45037</x:v>
      </x:c>
      <x:c r="E3079" s="84" t="n">
        <x:v>1</x:v>
      </x:c>
      <x:c r="F3079" s="91" t="n">
        <x:v>521.89</x:v>
      </x:c>
    </x:row>
    <x:row r="3080">
      <x:c r="A3080" s="83" t="n">
        <x:v>3079</x:v>
      </x:c>
      <x:c r="B3080" s="84" t="n">
        <x:v>2354</x:v>
      </x:c>
      <x:c r="C3080" s="84" t="n">
        <x:v>38</x:v>
      </x:c>
      <x:c r="D3080" s="89" t="n">
        <x:v>45372</x:v>
      </x:c>
      <x:c r="E3080" s="84" t="n">
        <x:v>3</x:v>
      </x:c>
      <x:c r="F3080" s="91" t="n">
        <x:v>2179.47</x:v>
      </x:c>
    </x:row>
    <x:row r="3081">
      <x:c r="A3081" s="83" t="n">
        <x:v>3080</x:v>
      </x:c>
      <x:c r="B3081" s="84" t="n">
        <x:v>2354</x:v>
      </x:c>
      <x:c r="C3081" s="84" t="n">
        <x:v>25</x:v>
      </x:c>
      <x:c r="D3081" s="89" t="n">
        <x:v>45372</x:v>
      </x:c>
      <x:c r="E3081" s="84" t="n">
        <x:v>3</x:v>
      </x:c>
      <x:c r="F3081" s="91" t="n">
        <x:v>3238.35</x:v>
      </x:c>
    </x:row>
    <x:row r="3082">
      <x:c r="A3082" s="83" t="n">
        <x:v>3081</x:v>
      </x:c>
      <x:c r="B3082" s="84" t="n">
        <x:v>2354</x:v>
      </x:c>
      <x:c r="C3082" s="84" t="n">
        <x:v>61</x:v>
      </x:c>
      <x:c r="D3082" s="89" t="n">
        <x:v>45372</x:v>
      </x:c>
      <x:c r="E3082" s="84" t="n">
        <x:v>3</x:v>
      </x:c>
      <x:c r="F3082" s="91" t="n">
        <x:v>395.16</x:v>
      </x:c>
    </x:row>
    <x:row r="3083">
      <x:c r="A3083" s="83" t="n">
        <x:v>3082</x:v>
      </x:c>
      <x:c r="B3083" s="84" t="n">
        <x:v>2356</x:v>
      </x:c>
      <x:c r="C3083" s="84" t="n">
        <x:v>8</x:v>
      </x:c>
      <x:c r="D3083" s="89" t="n">
        <x:v>45238</x:v>
      </x:c>
      <x:c r="E3083" s="84" t="n">
        <x:v>1</x:v>
      </x:c>
      <x:c r="F3083" s="91" t="n">
        <x:v>1666.19</x:v>
      </x:c>
    </x:row>
    <x:row r="3084">
      <x:c r="A3084" s="83" t="n">
        <x:v>3083</x:v>
      </x:c>
      <x:c r="B3084" s="84" t="n">
        <x:v>2356</x:v>
      </x:c>
      <x:c r="C3084" s="84" t="n">
        <x:v>31</x:v>
      </x:c>
      <x:c r="D3084" s="89" t="n">
        <x:v>45238</x:v>
      </x:c>
      <x:c r="E3084" s="84" t="n">
        <x:v>4</x:v>
      </x:c>
      <x:c r="F3084" s="91" t="n">
        <x:v>8678.52</x:v>
      </x:c>
    </x:row>
    <x:row r="3085">
      <x:c r="A3085" s="83" t="n">
        <x:v>3084</x:v>
      </x:c>
      <x:c r="B3085" s="84" t="n">
        <x:v>2356</x:v>
      </x:c>
      <x:c r="C3085" s="84" t="n">
        <x:v>15</x:v>
      </x:c>
      <x:c r="D3085" s="89" t="n">
        <x:v>45238</x:v>
      </x:c>
      <x:c r="E3085" s="84" t="n">
        <x:v>2</x:v>
      </x:c>
      <x:c r="F3085" s="91" t="n">
        <x:v>2469.22</x:v>
      </x:c>
    </x:row>
    <x:row r="3086">
      <x:c r="A3086" s="83" t="n">
        <x:v>3085</x:v>
      </x:c>
      <x:c r="B3086" s="84" t="n">
        <x:v>2357</x:v>
      </x:c>
      <x:c r="C3086" s="84" t="n">
        <x:v>12</x:v>
      </x:c>
      <x:c r="D3086" s="89" t="n">
        <x:v>45707</x:v>
      </x:c>
      <x:c r="E3086" s="84" t="n">
        <x:v>1</x:v>
      </x:c>
      <x:c r="F3086" s="91" t="n">
        <x:v>284.49</x:v>
      </x:c>
    </x:row>
    <x:row r="3087">
      <x:c r="A3087" s="83" t="n">
        <x:v>3086</x:v>
      </x:c>
      <x:c r="B3087" s="84" t="n">
        <x:v>2359</x:v>
      </x:c>
      <x:c r="C3087" s="84" t="n">
        <x:v>45</x:v>
      </x:c>
      <x:c r="D3087" s="89" t="n">
        <x:v>45206</x:v>
      </x:c>
      <x:c r="E3087" s="84" t="n">
        <x:v>1</x:v>
      </x:c>
      <x:c r="F3087" s="91" t="n">
        <x:v>1391.42</x:v>
      </x:c>
    </x:row>
    <x:row r="3088">
      <x:c r="A3088" s="83" t="n">
        <x:v>3087</x:v>
      </x:c>
      <x:c r="B3088" s="84" t="n">
        <x:v>2360</x:v>
      </x:c>
      <x:c r="C3088" s="84" t="n">
        <x:v>68</x:v>
      </x:c>
      <x:c r="D3088" s="89" t="n">
        <x:v>45986</x:v>
      </x:c>
      <x:c r="E3088" s="84" t="n">
        <x:v>1</x:v>
      </x:c>
      <x:c r="F3088" s="91" t="n">
        <x:v>1527.61</x:v>
      </x:c>
    </x:row>
    <x:row r="3089">
      <x:c r="A3089" s="83" t="n">
        <x:v>3088</x:v>
      </x:c>
      <x:c r="B3089" s="84" t="n">
        <x:v>2361</x:v>
      </x:c>
      <x:c r="C3089" s="84" t="n">
        <x:v>62</x:v>
      </x:c>
      <x:c r="D3089" s="89" t="n">
        <x:v>45777</x:v>
      </x:c>
      <x:c r="E3089" s="84" t="n">
        <x:v>4</x:v>
      </x:c>
      <x:c r="F3089" s="91" t="n">
        <x:v>6069.24</x:v>
      </x:c>
    </x:row>
    <x:row r="3090">
      <x:c r="A3090" s="83" t="n">
        <x:v>3089</x:v>
      </x:c>
      <x:c r="B3090" s="84" t="n">
        <x:v>2363</x:v>
      </x:c>
      <x:c r="C3090" s="84" t="n">
        <x:v>40</x:v>
      </x:c>
      <x:c r="D3090" s="89" t="n">
        <x:v>45623</x:v>
      </x:c>
      <x:c r="E3090" s="84" t="n">
        <x:v>2</x:v>
      </x:c>
      <x:c r="F3090" s="91" t="n">
        <x:v>4070.08</x:v>
      </x:c>
    </x:row>
    <x:row r="3091">
      <x:c r="A3091" s="83" t="n">
        <x:v>3090</x:v>
      </x:c>
      <x:c r="B3091" s="84" t="n">
        <x:v>2363</x:v>
      </x:c>
      <x:c r="C3091" s="84" t="n">
        <x:v>67</x:v>
      </x:c>
      <x:c r="D3091" s="89" t="n">
        <x:v>45623</x:v>
      </x:c>
      <x:c r="E3091" s="84" t="n">
        <x:v>3</x:v>
      </x:c>
      <x:c r="F3091" s="91" t="n">
        <x:v>3838.59</x:v>
      </x:c>
    </x:row>
    <x:row r="3092">
      <x:c r="A3092" s="83" t="n">
        <x:v>3091</x:v>
      </x:c>
      <x:c r="B3092" s="84" t="n">
        <x:v>2364</x:v>
      </x:c>
      <x:c r="C3092" s="84" t="n">
        <x:v>1</x:v>
      </x:c>
      <x:c r="D3092" s="89" t="n">
        <x:v>44968</x:v>
      </x:c>
      <x:c r="E3092" s="84" t="n">
        <x:v>1</x:v>
      </x:c>
      <x:c r="F3092" s="91" t="n">
        <x:v>1739.6</x:v>
      </x:c>
    </x:row>
    <x:row r="3093">
      <x:c r="A3093" s="83" t="n">
        <x:v>3092</x:v>
      </x:c>
      <x:c r="B3093" s="84" t="n">
        <x:v>2364</x:v>
      </x:c>
      <x:c r="C3093" s="84" t="n">
        <x:v>38</x:v>
      </x:c>
      <x:c r="D3093" s="89" t="n">
        <x:v>44968</x:v>
      </x:c>
      <x:c r="E3093" s="84" t="n">
        <x:v>4</x:v>
      </x:c>
      <x:c r="F3093" s="91" t="n">
        <x:v>2905.96</x:v>
      </x:c>
    </x:row>
    <x:row r="3094">
      <x:c r="A3094" s="83" t="n">
        <x:v>3093</x:v>
      </x:c>
      <x:c r="B3094" s="84" t="n">
        <x:v>2365</x:v>
      </x:c>
      <x:c r="C3094" s="84" t="n">
        <x:v>27</x:v>
      </x:c>
      <x:c r="D3094" s="89" t="n">
        <x:v>46019</x:v>
      </x:c>
      <x:c r="E3094" s="84" t="n">
        <x:v>3</x:v>
      </x:c>
      <x:c r="F3094" s="91" t="n">
        <x:v>482.07</x:v>
      </x:c>
    </x:row>
    <x:row r="3095">
      <x:c r="A3095" s="83" t="n">
        <x:v>3094</x:v>
      </x:c>
      <x:c r="B3095" s="84" t="n">
        <x:v>2369</x:v>
      </x:c>
      <x:c r="C3095" s="84" t="n">
        <x:v>23</x:v>
      </x:c>
      <x:c r="D3095" s="89" t="n">
        <x:v>45888</x:v>
      </x:c>
      <x:c r="E3095" s="84" t="n">
        <x:v>3</x:v>
      </x:c>
      <x:c r="F3095" s="91" t="n">
        <x:v>5258.55</x:v>
      </x:c>
    </x:row>
    <x:row r="3096">
      <x:c r="A3096" s="83" t="n">
        <x:v>3095</x:v>
      </x:c>
      <x:c r="B3096" s="84" t="n">
        <x:v>2370</x:v>
      </x:c>
      <x:c r="C3096" s="84" t="n">
        <x:v>41</x:v>
      </x:c>
      <x:c r="D3096" s="89" t="n">
        <x:v>45314</x:v>
      </x:c>
      <x:c r="E3096" s="84" t="n">
        <x:v>2</x:v>
      </x:c>
      <x:c r="F3096" s="91" t="n">
        <x:v>2364.04</x:v>
      </x:c>
    </x:row>
    <x:row r="3097">
      <x:c r="A3097" s="83" t="n">
        <x:v>3096</x:v>
      </x:c>
      <x:c r="B3097" s="84" t="n">
        <x:v>2370</x:v>
      </x:c>
      <x:c r="C3097" s="84" t="n">
        <x:v>54</x:v>
      </x:c>
      <x:c r="D3097" s="89" t="n">
        <x:v>45314</x:v>
      </x:c>
      <x:c r="E3097" s="84" t="n">
        <x:v>2</x:v>
      </x:c>
      <x:c r="F3097" s="91" t="n">
        <x:v>1372.8</x:v>
      </x:c>
    </x:row>
    <x:row r="3098">
      <x:c r="A3098" s="83" t="n">
        <x:v>3097</x:v>
      </x:c>
      <x:c r="B3098" s="84" t="n">
        <x:v>2371</x:v>
      </x:c>
      <x:c r="C3098" s="84" t="n">
        <x:v>49</x:v>
      </x:c>
      <x:c r="D3098" s="89" t="n">
        <x:v>45721</x:v>
      </x:c>
      <x:c r="E3098" s="84" t="n">
        <x:v>2</x:v>
      </x:c>
      <x:c r="F3098" s="91" t="n">
        <x:v>368.32</x:v>
      </x:c>
    </x:row>
    <x:row r="3099">
      <x:c r="A3099" s="83" t="n">
        <x:v>3098</x:v>
      </x:c>
      <x:c r="B3099" s="84" t="n">
        <x:v>2372</x:v>
      </x:c>
      <x:c r="C3099" s="84" t="n">
        <x:v>74</x:v>
      </x:c>
      <x:c r="D3099" s="89" t="n">
        <x:v>45795</x:v>
      </x:c>
      <x:c r="E3099" s="84" t="n">
        <x:v>3</x:v>
      </x:c>
      <x:c r="F3099" s="91" t="n">
        <x:v>4969.05</x:v>
      </x:c>
    </x:row>
    <x:row r="3100">
      <x:c r="A3100" s="83" t="n">
        <x:v>3099</x:v>
      </x:c>
      <x:c r="B3100" s="84" t="n">
        <x:v>2374</x:v>
      </x:c>
      <x:c r="C3100" s="84" t="n">
        <x:v>38</x:v>
      </x:c>
      <x:c r="D3100" s="89" t="n">
        <x:v>45387</x:v>
      </x:c>
      <x:c r="E3100" s="84" t="n">
        <x:v>1</x:v>
      </x:c>
      <x:c r="F3100" s="91" t="n">
        <x:v>726.49</x:v>
      </x:c>
    </x:row>
    <x:row r="3101">
      <x:c r="A3101" s="83" t="n">
        <x:v>3100</x:v>
      </x:c>
      <x:c r="B3101" s="84" t="n">
        <x:v>2374</x:v>
      </x:c>
      <x:c r="C3101" s="84" t="n">
        <x:v>69</x:v>
      </x:c>
      <x:c r="D3101" s="89" t="n">
        <x:v>45387</x:v>
      </x:c>
      <x:c r="E3101" s="84" t="n">
        <x:v>2</x:v>
      </x:c>
      <x:c r="F3101" s="91" t="n">
        <x:v>3540.66</x:v>
      </x:c>
    </x:row>
    <x:row r="3102">
      <x:c r="A3102" s="83" t="n">
        <x:v>3101</x:v>
      </x:c>
      <x:c r="B3102" s="84" t="n">
        <x:v>2374</x:v>
      </x:c>
      <x:c r="C3102" s="84" t="n">
        <x:v>69</x:v>
      </x:c>
      <x:c r="D3102" s="89" t="n">
        <x:v>45387</x:v>
      </x:c>
      <x:c r="E3102" s="84" t="n">
        <x:v>3</x:v>
      </x:c>
      <x:c r="F3102" s="91" t="n">
        <x:v>5310.99</x:v>
      </x:c>
    </x:row>
    <x:row r="3103">
      <x:c r="A3103" s="83" t="n">
        <x:v>3102</x:v>
      </x:c>
      <x:c r="B3103" s="84" t="n">
        <x:v>2375</x:v>
      </x:c>
      <x:c r="C3103" s="84" t="n">
        <x:v>6</x:v>
      </x:c>
      <x:c r="D3103" s="89" t="n">
        <x:v>45922</x:v>
      </x:c>
      <x:c r="E3103" s="84" t="n">
        <x:v>2</x:v>
      </x:c>
      <x:c r="F3103" s="91" t="n">
        <x:v>1394.74</x:v>
      </x:c>
    </x:row>
    <x:row r="3104">
      <x:c r="A3104" s="83" t="n">
        <x:v>3103</x:v>
      </x:c>
      <x:c r="B3104" s="84" t="n">
        <x:v>2382</x:v>
      </x:c>
      <x:c r="C3104" s="84" t="n">
        <x:v>55</x:v>
      </x:c>
      <x:c r="D3104" s="89" t="n">
        <x:v>45120</x:v>
      </x:c>
      <x:c r="E3104" s="84" t="n">
        <x:v>3</x:v>
      </x:c>
      <x:c r="F3104" s="91" t="n">
        <x:v>4499.55</x:v>
      </x:c>
    </x:row>
    <x:row r="3105">
      <x:c r="A3105" s="83" t="n">
        <x:v>3104</x:v>
      </x:c>
      <x:c r="B3105" s="84" t="n">
        <x:v>2383</x:v>
      </x:c>
      <x:c r="C3105" s="84" t="n">
        <x:v>29</x:v>
      </x:c>
      <x:c r="D3105" s="89" t="n">
        <x:v>45008</x:v>
      </x:c>
      <x:c r="E3105" s="84" t="n">
        <x:v>2</x:v>
      </x:c>
      <x:c r="F3105" s="91" t="n">
        <x:v>3104.94</x:v>
      </x:c>
    </x:row>
    <x:row r="3106">
      <x:c r="A3106" s="83" t="n">
        <x:v>3105</x:v>
      </x:c>
      <x:c r="B3106" s="84" t="n">
        <x:v>2383</x:v>
      </x:c>
      <x:c r="C3106" s="84" t="n">
        <x:v>20</x:v>
      </x:c>
      <x:c r="D3106" s="89" t="n">
        <x:v>45008</x:v>
      </x:c>
      <x:c r="E3106" s="84" t="n">
        <x:v>3</x:v>
      </x:c>
      <x:c r="F3106" s="91" t="n">
        <x:v>1623.6</x:v>
      </x:c>
    </x:row>
    <x:row r="3107">
      <x:c r="A3107" s="83" t="n">
        <x:v>3106</x:v>
      </x:c>
      <x:c r="B3107" s="84" t="n">
        <x:v>2383</x:v>
      </x:c>
      <x:c r="C3107" s="84" t="n">
        <x:v>46</x:v>
      </x:c>
      <x:c r="D3107" s="89" t="n">
        <x:v>45008</x:v>
      </x:c>
      <x:c r="E3107" s="84" t="n">
        <x:v>1</x:v>
      </x:c>
      <x:c r="F3107" s="91" t="n">
        <x:v>1334.95</x:v>
      </x:c>
    </x:row>
    <x:row r="3108">
      <x:c r="A3108" s="83" t="n">
        <x:v>3107</x:v>
      </x:c>
      <x:c r="B3108" s="84" t="n">
        <x:v>2385</x:v>
      </x:c>
      <x:c r="C3108" s="84" t="n">
        <x:v>71</x:v>
      </x:c>
      <x:c r="D3108" s="89" t="n">
        <x:v>45659</x:v>
      </x:c>
      <x:c r="E3108" s="84" t="n">
        <x:v>3</x:v>
      </x:c>
      <x:c r="F3108" s="91" t="n">
        <x:v>5950.56</x:v>
      </x:c>
    </x:row>
    <x:row r="3109">
      <x:c r="A3109" s="83" t="n">
        <x:v>3108</x:v>
      </x:c>
      <x:c r="B3109" s="84" t="n">
        <x:v>2385</x:v>
      </x:c>
      <x:c r="C3109" s="84" t="n">
        <x:v>29</x:v>
      </x:c>
      <x:c r="D3109" s="89" t="n">
        <x:v>45659</x:v>
      </x:c>
      <x:c r="E3109" s="84" t="n">
        <x:v>4</x:v>
      </x:c>
      <x:c r="F3109" s="91" t="n">
        <x:v>6209.88</x:v>
      </x:c>
    </x:row>
    <x:row r="3110">
      <x:c r="A3110" s="83" t="n">
        <x:v>3109</x:v>
      </x:c>
      <x:c r="B3110" s="84" t="n">
        <x:v>2386</x:v>
      </x:c>
      <x:c r="C3110" s="84" t="n">
        <x:v>55</x:v>
      </x:c>
      <x:c r="D3110" s="89" t="n">
        <x:v>45239</x:v>
      </x:c>
      <x:c r="E3110" s="84" t="n">
        <x:v>3</x:v>
      </x:c>
      <x:c r="F3110" s="91" t="n">
        <x:v>4499.55</x:v>
      </x:c>
    </x:row>
    <x:row r="3111">
      <x:c r="A3111" s="83" t="n">
        <x:v>3110</x:v>
      </x:c>
      <x:c r="B3111" s="84" t="n">
        <x:v>2386</x:v>
      </x:c>
      <x:c r="C3111" s="84" t="n">
        <x:v>56</x:v>
      </x:c>
      <x:c r="D3111" s="89" t="n">
        <x:v>45239</x:v>
      </x:c>
      <x:c r="E3111" s="84" t="n">
        <x:v>4</x:v>
      </x:c>
      <x:c r="F3111" s="91" t="n">
        <x:v>5873.84</x:v>
      </x:c>
    </x:row>
    <x:row r="3112">
      <x:c r="A3112" s="83" t="n">
        <x:v>3111</x:v>
      </x:c>
      <x:c r="B3112" s="84" t="n">
        <x:v>2386</x:v>
      </x:c>
      <x:c r="C3112" s="84" t="n">
        <x:v>46</x:v>
      </x:c>
      <x:c r="D3112" s="89" t="n">
        <x:v>45239</x:v>
      </x:c>
      <x:c r="E3112" s="84" t="n">
        <x:v>1</x:v>
      </x:c>
      <x:c r="F3112" s="91" t="n">
        <x:v>1334.95</x:v>
      </x:c>
    </x:row>
    <x:row r="3113">
      <x:c r="A3113" s="83" t="n">
        <x:v>3112</x:v>
      </x:c>
      <x:c r="B3113" s="84" t="n">
        <x:v>2390</x:v>
      </x:c>
      <x:c r="C3113" s="84" t="n">
        <x:v>30</x:v>
      </x:c>
      <x:c r="D3113" s="89" t="n">
        <x:v>45933</x:v>
      </x:c>
      <x:c r="E3113" s="84" t="n">
        <x:v>2</x:v>
      </x:c>
      <x:c r="F3113" s="91" t="n">
        <x:v>2557.52</x:v>
      </x:c>
    </x:row>
    <x:row r="3114">
      <x:c r="A3114" s="83" t="n">
        <x:v>3113</x:v>
      </x:c>
      <x:c r="B3114" s="84" t="n">
        <x:v>2390</x:v>
      </x:c>
      <x:c r="C3114" s="84" t="n">
        <x:v>16</x:v>
      </x:c>
      <x:c r="D3114" s="89" t="n">
        <x:v>45933</x:v>
      </x:c>
      <x:c r="E3114" s="84" t="n">
        <x:v>1</x:v>
      </x:c>
      <x:c r="F3114" s="91" t="n">
        <x:v>605.78</x:v>
      </x:c>
    </x:row>
    <x:row r="3115">
      <x:c r="A3115" s="83" t="n">
        <x:v>3114</x:v>
      </x:c>
      <x:c r="B3115" s="84" t="n">
        <x:v>2392</x:v>
      </x:c>
      <x:c r="C3115" s="84" t="n">
        <x:v>69</x:v>
      </x:c>
      <x:c r="D3115" s="89" t="n">
        <x:v>45138</x:v>
      </x:c>
      <x:c r="E3115" s="84" t="n">
        <x:v>4</x:v>
      </x:c>
      <x:c r="F3115" s="91" t="n">
        <x:v>7081.32</x:v>
      </x:c>
    </x:row>
    <x:row r="3116">
      <x:c r="A3116" s="83" t="n">
        <x:v>3115</x:v>
      </x:c>
      <x:c r="B3116" s="84" t="n">
        <x:v>2392</x:v>
      </x:c>
      <x:c r="C3116" s="84" t="n">
        <x:v>80</x:v>
      </x:c>
      <x:c r="D3116" s="89" t="n">
        <x:v>45138</x:v>
      </x:c>
      <x:c r="E3116" s="84" t="n">
        <x:v>1</x:v>
      </x:c>
      <x:c r="F3116" s="91" t="n">
        <x:v>1728.54</x:v>
      </x:c>
    </x:row>
    <x:row r="3117">
      <x:c r="A3117" s="83" t="n">
        <x:v>3116</x:v>
      </x:c>
      <x:c r="B3117" s="84" t="n">
        <x:v>2396</x:v>
      </x:c>
      <x:c r="C3117" s="84" t="n">
        <x:v>67</x:v>
      </x:c>
      <x:c r="D3117" s="89" t="n">
        <x:v>45271</x:v>
      </x:c>
      <x:c r="E3117" s="84" t="n">
        <x:v>1</x:v>
      </x:c>
      <x:c r="F3117" s="91" t="n">
        <x:v>1279.53</x:v>
      </x:c>
    </x:row>
    <x:row r="3118">
      <x:c r="A3118" s="83" t="n">
        <x:v>3117</x:v>
      </x:c>
      <x:c r="B3118" s="84" t="n">
        <x:v>2396</x:v>
      </x:c>
      <x:c r="C3118" s="84" t="n">
        <x:v>28</x:v>
      </x:c>
      <x:c r="D3118" s="89" t="n">
        <x:v>45271</x:v>
      </x:c>
      <x:c r="E3118" s="84" t="n">
        <x:v>4</x:v>
      </x:c>
      <x:c r="F3118" s="91" t="n">
        <x:v>3281.88</x:v>
      </x:c>
    </x:row>
    <x:row r="3119">
      <x:c r="A3119" s="83" t="n">
        <x:v>3118</x:v>
      </x:c>
      <x:c r="B3119" s="84" t="n">
        <x:v>2397</x:v>
      </x:c>
      <x:c r="C3119" s="84" t="n">
        <x:v>38</x:v>
      </x:c>
      <x:c r="D3119" s="89" t="n">
        <x:v>45470</x:v>
      </x:c>
      <x:c r="E3119" s="84" t="n">
        <x:v>2</x:v>
      </x:c>
      <x:c r="F3119" s="91" t="n">
        <x:v>1452.98</x:v>
      </x:c>
    </x:row>
    <x:row r="3120">
      <x:c r="A3120" s="83" t="n">
        <x:v>3119</x:v>
      </x:c>
      <x:c r="B3120" s="84" t="n">
        <x:v>2397</x:v>
      </x:c>
      <x:c r="C3120" s="84" t="n">
        <x:v>52</x:v>
      </x:c>
      <x:c r="D3120" s="89" t="n">
        <x:v>45470</x:v>
      </x:c>
      <x:c r="E3120" s="84" t="n">
        <x:v>1</x:v>
      </x:c>
      <x:c r="F3120" s="91" t="n">
        <x:v>880.63</x:v>
      </x:c>
    </x:row>
    <x:row r="3121">
      <x:c r="A3121" s="83" t="n">
        <x:v>3120</x:v>
      </x:c>
      <x:c r="B3121" s="84" t="n">
        <x:v>2398</x:v>
      </x:c>
      <x:c r="C3121" s="84" t="n">
        <x:v>56</x:v>
      </x:c>
      <x:c r="D3121" s="89" t="n">
        <x:v>45983</x:v>
      </x:c>
      <x:c r="E3121" s="84" t="n">
        <x:v>4</x:v>
      </x:c>
      <x:c r="F3121" s="91" t="n">
        <x:v>5873.84</x:v>
      </x:c>
    </x:row>
    <x:row r="3122">
      <x:c r="A3122" s="83" t="n">
        <x:v>3121</x:v>
      </x:c>
      <x:c r="B3122" s="84" t="n">
        <x:v>2398</x:v>
      </x:c>
      <x:c r="C3122" s="84" t="n">
        <x:v>12</x:v>
      </x:c>
      <x:c r="D3122" s="89" t="n">
        <x:v>45983</x:v>
      </x:c>
      <x:c r="E3122" s="84" t="n">
        <x:v>4</x:v>
      </x:c>
      <x:c r="F3122" s="91" t="n">
        <x:v>1137.96</x:v>
      </x:c>
    </x:row>
    <x:row r="3123">
      <x:c r="A3123" s="83" t="n">
        <x:v>3122</x:v>
      </x:c>
      <x:c r="B3123" s="84" t="n">
        <x:v>2399</x:v>
      </x:c>
      <x:c r="C3123" s="84" t="n">
        <x:v>64</x:v>
      </x:c>
      <x:c r="D3123" s="89" t="n">
        <x:v>45570</x:v>
      </x:c>
      <x:c r="E3123" s="84" t="n">
        <x:v>2</x:v>
      </x:c>
      <x:c r="F3123" s="91" t="n">
        <x:v>2930.84</x:v>
      </x:c>
    </x:row>
    <x:row r="3124">
      <x:c r="A3124" s="83" t="n">
        <x:v>3123</x:v>
      </x:c>
      <x:c r="B3124" s="84" t="n">
        <x:v>2399</x:v>
      </x:c>
      <x:c r="C3124" s="84" t="n">
        <x:v>17</x:v>
      </x:c>
      <x:c r="D3124" s="89" t="n">
        <x:v>45570</x:v>
      </x:c>
      <x:c r="E3124" s="84" t="n">
        <x:v>1</x:v>
      </x:c>
      <x:c r="F3124" s="91" t="n">
        <x:v>2356.42</x:v>
      </x:c>
    </x:row>
    <x:row r="3125">
      <x:c r="A3125" s="86" t="n">
        <x:v>3124</x:v>
      </x:c>
      <x:c r="B3125" s="87" t="n">
        <x:v>2400</x:v>
      </x:c>
      <x:c r="C3125" s="87" t="n">
        <x:v>59</x:v>
      </x:c>
      <x:c r="D3125" s="90" t="n">
        <x:v>45551</x:v>
      </x:c>
      <x:c r="E3125" s="87" t="n">
        <x:v>4</x:v>
      </x:c>
      <x:c r="F3125" s="92" t="n">
        <x:v>6065.8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17.219999313354492" hidden="0" customWidth="1"/>
    <x:col min="3" max="3" width="11.779999732971191" hidden="0" customWidth="1"/>
    <x:col min="4" max="4" width="3.109999895095825" hidden="0" customWidth="1"/>
    <x:col min="5" max="5" width="14.670000076293945" hidden="0" customWidth="1"/>
    <x:col min="6" max="6" width="7.78000020980835" hidden="0" customWidth="1"/>
    <x:col min="7" max="7" width="14.670000076293945" hidden="0" customWidth="1"/>
  </x:cols>
  <x:sheetData>
    <x:row r="1">
      <x:c r="A1" s="80" t="str">
        <x:v>id_fornecedor</x:v>
      </x:c>
      <x:c r="B1" s="81" t="str">
        <x:v>fornecedor_ficticio</x:v>
      </x:c>
      <x:c r="C1" s="81" t="str">
        <x:v>categoria</x:v>
      </x:c>
      <x:c r="D1" s="81" t="str">
        <x:v>uf</x:v>
      </x:c>
      <x:c r="E1" s="81" t="str">
        <x:v>prazo_medio_dias</x:v>
      </x:c>
      <x:c r="F1" s="81" t="str">
        <x:v>avaliacao</x:v>
      </x:c>
      <x:c r="G1" s="82" t="str">
        <x:v>status_fornecedor</x:v>
      </x:c>
    </x:row>
    <x:row r="2">
      <x:c r="A2" s="83" t="n">
        <x:v>1</x:v>
      </x:c>
      <x:c r="B2" s="84" t="str">
        <x:v>Fornecedor Técnico 01</x:v>
      </x:c>
      <x:c r="C2" s="84" t="str">
        <x:v>Peças</x:v>
      </x:c>
      <x:c r="D2" s="84" t="str">
        <x:v>PR</x:v>
      </x:c>
      <x:c r="E2" s="84" t="n">
        <x:v>20</x:v>
      </x:c>
      <x:c r="F2" s="84" t="n">
        <x:v>3</x:v>
      </x:c>
      <x:c r="G2" s="85" t="str">
        <x:v>Ativo</x:v>
      </x:c>
    </x:row>
    <x:row r="3">
      <x:c r="A3" s="83" t="n">
        <x:v>2</x:v>
      </x:c>
      <x:c r="B3" s="84" t="str">
        <x:v>Fornecedor Técnico 02</x:v>
      </x:c>
      <x:c r="C3" s="84" t="str">
        <x:v>Peças</x:v>
      </x:c>
      <x:c r="D3" s="84" t="str">
        <x:v>PR</x:v>
      </x:c>
      <x:c r="E3" s="84" t="n">
        <x:v>12</x:v>
      </x:c>
      <x:c r="F3" s="84" t="n">
        <x:v>4.7</x:v>
      </x:c>
      <x:c r="G3" s="85" t="str">
        <x:v>Ativo</x:v>
      </x:c>
    </x:row>
    <x:row r="4">
      <x:c r="A4" s="83" t="n">
        <x:v>3</x:v>
      </x:c>
      <x:c r="B4" s="84" t="str">
        <x:v>Fornecedor Técnico 03</x:v>
      </x:c>
      <x:c r="C4" s="84" t="str">
        <x:v>Instrumentação</x:v>
      </x:c>
      <x:c r="D4" s="84" t="str">
        <x:v>MG</x:v>
      </x:c>
      <x:c r="E4" s="84" t="n">
        <x:v>7</x:v>
      </x:c>
      <x:c r="F4" s="84" t="n">
        <x:v>4.2</x:v>
      </x:c>
      <x:c r="G4" s="85" t="str">
        <x:v>Ativo</x:v>
      </x:c>
    </x:row>
    <x:row r="5">
      <x:c r="A5" s="83" t="n">
        <x:v>4</x:v>
      </x:c>
      <x:c r="B5" s="84" t="str">
        <x:v>Fornecedor Técnico 04</x:v>
      </x:c>
      <x:c r="C5" s="84" t="str">
        <x:v>Instrumentação</x:v>
      </x:c>
      <x:c r="D5" s="84" t="str">
        <x:v>PE</x:v>
      </x:c>
      <x:c r="E5" s="84" t="n">
        <x:v>13</x:v>
      </x:c>
      <x:c r="F5" s="84" t="n">
        <x:v>3.1</x:v>
      </x:c>
      <x:c r="G5" s="85" t="str">
        <x:v>Ativo</x:v>
      </x:c>
    </x:row>
    <x:row r="6">
      <x:c r="A6" s="83" t="n">
        <x:v>5</x:v>
      </x:c>
      <x:c r="B6" s="84" t="str">
        <x:v>Fornecedor Técnico 05</x:v>
      </x:c>
      <x:c r="C6" s="84" t="str">
        <x:v>Peças</x:v>
      </x:c>
      <x:c r="D6" s="84" t="str">
        <x:v>MG</x:v>
      </x:c>
      <x:c r="E6" s="84" t="n">
        <x:v>20</x:v>
      </x:c>
      <x:c r="F6" s="84" t="n">
        <x:v>4.9</x:v>
      </x:c>
      <x:c r="G6" s="85" t="str">
        <x:v>Ativo</x:v>
      </x:c>
    </x:row>
    <x:row r="7">
      <x:c r="A7" s="83" t="n">
        <x:v>6</x:v>
      </x:c>
      <x:c r="B7" s="84" t="str">
        <x:v>Fornecedor Técnico 06</x:v>
      </x:c>
      <x:c r="C7" s="84" t="str">
        <x:v>Instrumentação</x:v>
      </x:c>
      <x:c r="D7" s="84" t="str">
        <x:v>PE</x:v>
      </x:c>
      <x:c r="E7" s="84" t="n">
        <x:v>16</x:v>
      </x:c>
      <x:c r="F7" s="84" t="n">
        <x:v>4</x:v>
      </x:c>
      <x:c r="G7" s="85" t="str">
        <x:v>Ativo</x:v>
      </x:c>
    </x:row>
    <x:row r="8">
      <x:c r="A8" s="83" t="n">
        <x:v>7</x:v>
      </x:c>
      <x:c r="B8" s="84" t="str">
        <x:v>Fornecedor Técnico 07</x:v>
      </x:c>
      <x:c r="C8" s="84" t="str">
        <x:v>Peças</x:v>
      </x:c>
      <x:c r="D8" s="84" t="str">
        <x:v>PE</x:v>
      </x:c>
      <x:c r="E8" s="84" t="n">
        <x:v>5</x:v>
      </x:c>
      <x:c r="F8" s="84" t="n">
        <x:v>5</x:v>
      </x:c>
      <x:c r="G8" s="85" t="str">
        <x:v>Ativo</x:v>
      </x:c>
    </x:row>
    <x:row r="9">
      <x:c r="A9" s="83" t="n">
        <x:v>8</x:v>
      </x:c>
      <x:c r="B9" s="84" t="str">
        <x:v>Fornecedor Técnico 08</x:v>
      </x:c>
      <x:c r="C9" s="84" t="str">
        <x:v>Peças</x:v>
      </x:c>
      <x:c r="D9" s="84" t="str">
        <x:v>MG</x:v>
      </x:c>
      <x:c r="E9" s="84" t="n">
        <x:v>4</x:v>
      </x:c>
      <x:c r="F9" s="84" t="n">
        <x:v>3.9</x:v>
      </x:c>
      <x:c r="G9" s="85" t="str">
        <x:v>Ativo</x:v>
      </x:c>
    </x:row>
    <x:row r="10">
      <x:c r="A10" s="83" t="n">
        <x:v>9</x:v>
      </x:c>
      <x:c r="B10" s="84" t="str">
        <x:v>Fornecedor Técnico 09</x:v>
      </x:c>
      <x:c r="C10" s="84" t="str">
        <x:v>Instrumentação</x:v>
      </x:c>
      <x:c r="D10" s="84" t="str">
        <x:v>PR</x:v>
      </x:c>
      <x:c r="E10" s="84" t="n">
        <x:v>15</x:v>
      </x:c>
      <x:c r="F10" s="84" t="n">
        <x:v>3.5</x:v>
      </x:c>
      <x:c r="G10" s="85" t="str">
        <x:v>Ativo</x:v>
      </x:c>
    </x:row>
    <x:row r="11">
      <x:c r="A11" s="83" t="n">
        <x:v>10</x:v>
      </x:c>
      <x:c r="B11" s="84" t="str">
        <x:v>Fornecedor Técnico 10</x:v>
      </x:c>
      <x:c r="C11" s="84" t="str">
        <x:v>Peças</x:v>
      </x:c>
      <x:c r="D11" s="84" t="str">
        <x:v>PR</x:v>
      </x:c>
      <x:c r="E11" s="84" t="n">
        <x:v>24</x:v>
      </x:c>
      <x:c r="F11" s="84" t="n">
        <x:v>3.1</x:v>
      </x:c>
      <x:c r="G11" s="85" t="str">
        <x:v>Ativo</x:v>
      </x:c>
    </x:row>
    <x:row r="12">
      <x:c r="A12" s="83" t="n">
        <x:v>11</x:v>
      </x:c>
      <x:c r="B12" s="84" t="str">
        <x:v>Fornecedor Técnico 11</x:v>
      </x:c>
      <x:c r="C12" s="84" t="str">
        <x:v>Serviços</x:v>
      </x:c>
      <x:c r="D12" s="84" t="str">
        <x:v>PR</x:v>
      </x:c>
      <x:c r="E12" s="84" t="n">
        <x:v>19</x:v>
      </x:c>
      <x:c r="F12" s="84" t="n">
        <x:v>3.1</x:v>
      </x:c>
      <x:c r="G12" s="85" t="str">
        <x:v>Ativo</x:v>
      </x:c>
    </x:row>
    <x:row r="13">
      <x:c r="A13" s="83" t="n">
        <x:v>12</x:v>
      </x:c>
      <x:c r="B13" s="84" t="str">
        <x:v>Fornecedor Técnico 12</x:v>
      </x:c>
      <x:c r="C13" s="84" t="str">
        <x:v>Peças</x:v>
      </x:c>
      <x:c r="D13" s="84" t="str">
        <x:v>MG</x:v>
      </x:c>
      <x:c r="E13" s="84" t="n">
        <x:v>20</x:v>
      </x:c>
      <x:c r="F13" s="84" t="n">
        <x:v>4.5</x:v>
      </x:c>
      <x:c r="G13" s="85" t="str">
        <x:v>Ativo</x:v>
      </x:c>
    </x:row>
    <x:row r="14">
      <x:c r="A14" s="83" t="n">
        <x:v>13</x:v>
      </x:c>
      <x:c r="B14" s="84" t="str">
        <x:v>Fornecedor Técnico 13</x:v>
      </x:c>
      <x:c r="C14" s="84" t="str">
        <x:v>Instrumentação</x:v>
      </x:c>
      <x:c r="D14" s="84" t="str">
        <x:v>PR</x:v>
      </x:c>
      <x:c r="E14" s="84" t="n">
        <x:v>9</x:v>
      </x:c>
      <x:c r="F14" s="84" t="n">
        <x:v>3</x:v>
      </x:c>
      <x:c r="G14" s="85" t="str">
        <x:v>Ativo</x:v>
      </x:c>
    </x:row>
    <x:row r="15">
      <x:c r="A15" s="83" t="n">
        <x:v>14</x:v>
      </x:c>
      <x:c r="B15" s="84" t="str">
        <x:v>Fornecedor Técnico 14</x:v>
      </x:c>
      <x:c r="C15" s="84" t="str">
        <x:v>Instrumentação</x:v>
      </x:c>
      <x:c r="D15" s="84" t="str">
        <x:v>PR</x:v>
      </x:c>
      <x:c r="E15" s="84" t="n">
        <x:v>25</x:v>
      </x:c>
      <x:c r="F15" s="84" t="n">
        <x:v>3</x:v>
      </x:c>
      <x:c r="G15" s="85" t="str">
        <x:v>Ativo</x:v>
      </x:c>
    </x:row>
    <x:row r="16">
      <x:c r="A16" s="83" t="n">
        <x:v>15</x:v>
      </x:c>
      <x:c r="B16" s="84" t="str">
        <x:v>Fornecedor Técnico 15</x:v>
      </x:c>
      <x:c r="C16" s="84" t="str">
        <x:v>Serviços</x:v>
      </x:c>
      <x:c r="D16" s="84" t="str">
        <x:v>MG</x:v>
      </x:c>
      <x:c r="E16" s="84" t="n">
        <x:v>11</x:v>
      </x:c>
      <x:c r="F16" s="84" t="n">
        <x:v>3.4</x:v>
      </x:c>
      <x:c r="G16" s="85" t="str">
        <x:v>Ativo</x:v>
      </x:c>
    </x:row>
    <x:row r="17">
      <x:c r="A17" s="83" t="n">
        <x:v>16</x:v>
      </x:c>
      <x:c r="B17" s="84" t="str">
        <x:v>Fornecedor Técnico 16</x:v>
      </x:c>
      <x:c r="C17" s="84" t="str">
        <x:v>Peças</x:v>
      </x:c>
      <x:c r="D17" s="84" t="str">
        <x:v>MG</x:v>
      </x:c>
      <x:c r="E17" s="84" t="n">
        <x:v>19</x:v>
      </x:c>
      <x:c r="F17" s="84" t="n">
        <x:v>5</x:v>
      </x:c>
      <x:c r="G17" s="85" t="str">
        <x:v>Ativo</x:v>
      </x:c>
    </x:row>
    <x:row r="18">
      <x:c r="A18" s="83" t="n">
        <x:v>17</x:v>
      </x:c>
      <x:c r="B18" s="84" t="str">
        <x:v>Fornecedor Técnico 17</x:v>
      </x:c>
      <x:c r="C18" s="84" t="str">
        <x:v>Instrumentação</x:v>
      </x:c>
      <x:c r="D18" s="84" t="str">
        <x:v>MG</x:v>
      </x:c>
      <x:c r="E18" s="84" t="n">
        <x:v>21</x:v>
      </x:c>
      <x:c r="F18" s="84" t="n">
        <x:v>3</x:v>
      </x:c>
      <x:c r="G18" s="85" t="str">
        <x:v>Ativo</x:v>
      </x:c>
    </x:row>
    <x:row r="19">
      <x:c r="A19" s="83" t="n">
        <x:v>18</x:v>
      </x:c>
      <x:c r="B19" s="84" t="str">
        <x:v>Fornecedor Técnico 18</x:v>
      </x:c>
      <x:c r="C19" s="84" t="str">
        <x:v>Instrumentação</x:v>
      </x:c>
      <x:c r="D19" s="84" t="str">
        <x:v>PE</x:v>
      </x:c>
      <x:c r="E19" s="84" t="n">
        <x:v>22</x:v>
      </x:c>
      <x:c r="F19" s="84" t="n">
        <x:v>4.2</x:v>
      </x:c>
      <x:c r="G19" s="85" t="str">
        <x:v>Ativo</x:v>
      </x:c>
    </x:row>
    <x:row r="20">
      <x:c r="A20" s="83" t="n">
        <x:v>19</x:v>
      </x:c>
      <x:c r="B20" s="84" t="str">
        <x:v>Fornecedor Técnico 19</x:v>
      </x:c>
      <x:c r="C20" s="84" t="str">
        <x:v>Instrumentação</x:v>
      </x:c>
      <x:c r="D20" s="84" t="str">
        <x:v>PR</x:v>
      </x:c>
      <x:c r="E20" s="84" t="n">
        <x:v>4</x:v>
      </x:c>
      <x:c r="F20" s="84" t="n">
        <x:v>4.4</x:v>
      </x:c>
      <x:c r="G20" s="85" t="str">
        <x:v>Ativo</x:v>
      </x:c>
    </x:row>
    <x:row r="21">
      <x:c r="A21" s="83" t="n">
        <x:v>20</x:v>
      </x:c>
      <x:c r="B21" s="84" t="str">
        <x:v>Fornecedor Técnico 20</x:v>
      </x:c>
      <x:c r="C21" s="84" t="str">
        <x:v>Serviços</x:v>
      </x:c>
      <x:c r="D21" s="84" t="str">
        <x:v>PE</x:v>
      </x:c>
      <x:c r="E21" s="84" t="n">
        <x:v>18</x:v>
      </x:c>
      <x:c r="F21" s="84" t="n">
        <x:v>3</x:v>
      </x:c>
      <x:c r="G21" s="85" t="str">
        <x:v>Ativo</x:v>
      </x:c>
    </x:row>
    <x:row r="22">
      <x:c r="A22" s="83" t="n">
        <x:v>21</x:v>
      </x:c>
      <x:c r="B22" s="84" t="str">
        <x:v>Fornecedor Técnico 21</x:v>
      </x:c>
      <x:c r="C22" s="84" t="str">
        <x:v>Instrumentação</x:v>
      </x:c>
      <x:c r="D22" s="84" t="str">
        <x:v>PR</x:v>
      </x:c>
      <x:c r="E22" s="84" t="n">
        <x:v>12</x:v>
      </x:c>
      <x:c r="F22" s="84" t="n">
        <x:v>3.2</x:v>
      </x:c>
      <x:c r="G22" s="85" t="str">
        <x:v>Ativo</x:v>
      </x:c>
    </x:row>
    <x:row r="23">
      <x:c r="A23" s="83" t="n">
        <x:v>22</x:v>
      </x:c>
      <x:c r="B23" s="84" t="str">
        <x:v>Fornecedor Técnico 22</x:v>
      </x:c>
      <x:c r="C23" s="84" t="str">
        <x:v>Instrumentação</x:v>
      </x:c>
      <x:c r="D23" s="84" t="str">
        <x:v>PR</x:v>
      </x:c>
      <x:c r="E23" s="84" t="n">
        <x:v>4</x:v>
      </x:c>
      <x:c r="F23" s="84" t="n">
        <x:v>4.3</x:v>
      </x:c>
      <x:c r="G23" s="85" t="str">
        <x:v>Ativo</x:v>
      </x:c>
    </x:row>
    <x:row r="24">
      <x:c r="A24" s="83" t="n">
        <x:v>23</x:v>
      </x:c>
      <x:c r="B24" s="84" t="str">
        <x:v>Fornecedor Técnico 23</x:v>
      </x:c>
      <x:c r="C24" s="84" t="str">
        <x:v>Instrumentação</x:v>
      </x:c>
      <x:c r="D24" s="84" t="str">
        <x:v>MG</x:v>
      </x:c>
      <x:c r="E24" s="84" t="n">
        <x:v>20</x:v>
      </x:c>
      <x:c r="F24" s="84" t="n">
        <x:v>3.9</x:v>
      </x:c>
      <x:c r="G24" s="85" t="str">
        <x:v>Ativo</x:v>
      </x:c>
    </x:row>
    <x:row r="25">
      <x:c r="A25" s="83" t="n">
        <x:v>24</x:v>
      </x:c>
      <x:c r="B25" s="84" t="str">
        <x:v>Fornecedor Técnico 24</x:v>
      </x:c>
      <x:c r="C25" s="84" t="str">
        <x:v>Instrumentação</x:v>
      </x:c>
      <x:c r="D25" s="84" t="str">
        <x:v>SP</x:v>
      </x:c>
      <x:c r="E25" s="84" t="n">
        <x:v>24</x:v>
      </x:c>
      <x:c r="F25" s="84" t="n">
        <x:v>3.8</x:v>
      </x:c>
      <x:c r="G25" s="85" t="str">
        <x:v>Ativo</x:v>
      </x:c>
    </x:row>
    <x:row r="26">
      <x:c r="A26" s="86" t="n">
        <x:v>25</x:v>
      </x:c>
      <x:c r="B26" s="87" t="str">
        <x:v>Fornecedor Técnico 25</x:v>
      </x:c>
      <x:c r="C26" s="87" t="str">
        <x:v>Instrumentação</x:v>
      </x:c>
      <x:c r="D26" s="87" t="str">
        <x:v>PR</x:v>
      </x:c>
      <x:c r="E26" s="87" t="n">
        <x:v>13</x:v>
      </x:c>
      <x:c r="F26" s="87" t="n">
        <x:v>4.8</x:v>
      </x:c>
      <x:c r="G26" s="88" t="str">
        <x:v>Ativo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4.78000020980835" hidden="0" customWidth="1"/>
    <x:col min="3" max="3" width="11.329999923706055" hidden="0" customWidth="1"/>
    <x:col min="4" max="4" width="13.329999923706055" hidden="0" customWidth="1"/>
    <x:col min="5" max="5" width="13.220000267028809" hidden="0" customWidth="1"/>
    <x:col min="6" max="6" width="12.779999732971191" hidden="0" customWidth="1"/>
    <x:col min="7" max="7" width="10.220000267028809" hidden="0" customWidth="1"/>
    <x:col min="8" max="8" width="11.890000343322754" hidden="0" customWidth="1"/>
  </x:cols>
  <x:sheetData>
    <x:row r="1">
      <x:c r="A1" s="80" t="str">
        <x:v>id_servico</x:v>
      </x:c>
      <x:c r="B1" s="81" t="str">
        <x:v>id_os</x:v>
      </x:c>
      <x:c r="C1" s="81" t="str">
        <x:v>id_fornecedor</x:v>
      </x:c>
      <x:c r="D1" s="81" t="str">
        <x:v>tipo_servico</x:v>
      </x:c>
      <x:c r="E1" s="81" t="str">
        <x:v>data_solicitacao</x:v>
      </x:c>
      <x:c r="F1" s="81" t="str">
        <x:v>data_conclusao</x:v>
      </x:c>
      <x:c r="G1" s="81" t="str">
        <x:v>custo_final</x:v>
      </x:c>
      <x:c r="H1" s="82" t="str">
        <x:v>status_servico</x:v>
      </x:c>
    </x:row>
    <x:row r="2">
      <x:c r="A2" s="83" t="n">
        <x:v>1</x:v>
      </x:c>
      <x:c r="B2" s="84" t="n">
        <x:v>3</x:v>
      </x:c>
      <x:c r="C2" s="84" t="n">
        <x:v>23</x:v>
      </x:c>
      <x:c r="D2" s="84" t="str">
        <x:v>Usinagem</x:v>
      </x:c>
      <x:c r="E2" s="89" t="n">
        <x:v>45664</x:v>
      </x:c>
      <x:c r="F2" s="89" t="n">
        <x:v>45664</x:v>
      </x:c>
      <x:c r="G2" s="93" t="n">
        <x:v>5937.68</x:v>
      </x:c>
      <x:c r="H2" s="85" t="str">
        <x:v>Concluído</x:v>
      </x:c>
    </x:row>
    <x:row r="3">
      <x:c r="A3" s="83" t="n">
        <x:v>2</x:v>
      </x:c>
      <x:c r="B3" s="84" t="n">
        <x:v>4</x:v>
      </x:c>
      <x:c r="C3" s="84" t="n">
        <x:v>6</x:v>
      </x:c>
      <x:c r="D3" s="84" t="str">
        <x:v>Calibração</x:v>
      </x:c>
      <x:c r="E3" s="89" t="n">
        <x:v>45522</x:v>
      </x:c>
      <x:c r="F3" s="89" t="n">
        <x:v>45523</x:v>
      </x:c>
      <x:c r="G3" s="93" t="n">
        <x:v>14030.54</x:v>
      </x:c>
      <x:c r="H3" s="85" t="str">
        <x:v>Concluído</x:v>
      </x:c>
    </x:row>
    <x:row r="4">
      <x:c r="A4" s="83" t="n">
        <x:v>3</x:v>
      </x:c>
      <x:c r="B4" s="84" t="n">
        <x:v>10</x:v>
      </x:c>
      <x:c r="C4" s="84" t="n">
        <x:v>23</x:v>
      </x:c>
      <x:c r="D4" s="84" t="str">
        <x:v>Reparo eletrônico</x:v>
      </x:c>
      <x:c r="E4" s="89" t="n">
        <x:v>45496</x:v>
      </x:c>
      <x:c r="F4" s="89" t="n">
        <x:v>45497</x:v>
      </x:c>
      <x:c r="G4" s="93" t="n">
        <x:v>3821.72</x:v>
      </x:c>
      <x:c r="H4" s="85" t="str">
        <x:v>Concluído</x:v>
      </x:c>
    </x:row>
    <x:row r="5">
      <x:c r="A5" s="83" t="n">
        <x:v>4</x:v>
      </x:c>
      <x:c r="B5" s="84" t="n">
        <x:v>15</x:v>
      </x:c>
      <x:c r="C5" s="84" t="n">
        <x:v>4</x:v>
      </x:c>
      <x:c r="D5" s="84" t="str">
        <x:v>Usinagem</x:v>
      </x:c>
      <x:c r="E5" s="89" t="n">
        <x:v>45198</x:v>
      </x:c>
      <x:c r="F5" s="89" t="n">
        <x:v>45198</x:v>
      </x:c>
      <x:c r="G5" s="93" t="n">
        <x:v>2175</x:v>
      </x:c>
      <x:c r="H5" s="85" t="str">
        <x:v>Concluído</x:v>
      </x:c>
    </x:row>
    <x:row r="6">
      <x:c r="A6" s="83" t="n">
        <x:v>5</x:v>
      </x:c>
      <x:c r="B6" s="84" t="n">
        <x:v>17</x:v>
      </x:c>
      <x:c r="C6" s="84" t="n">
        <x:v>10</x:v>
      </x:c>
      <x:c r="D6" s="84" t="str">
        <x:v>Reparo eletrônico</x:v>
      </x:c>
      <x:c r="E6" s="89" t="n">
        <x:v>45309</x:v>
      </x:c>
      <x:c r="F6" s="89" t="n">
        <x:v>45310</x:v>
      </x:c>
      <x:c r="G6" s="93" t="n">
        <x:v>9071.19</x:v>
      </x:c>
      <x:c r="H6" s="85" t="str">
        <x:v>Concluído</x:v>
      </x:c>
    </x:row>
    <x:row r="7">
      <x:c r="A7" s="83" t="n">
        <x:v>6</x:v>
      </x:c>
      <x:c r="B7" s="84" t="n">
        <x:v>30</x:v>
      </x:c>
      <x:c r="C7" s="84" t="n">
        <x:v>20</x:v>
      </x:c>
      <x:c r="D7" s="84" t="str">
        <x:v>Calibração</x:v>
      </x:c>
      <x:c r="E7" s="89" t="n">
        <x:v>45670</x:v>
      </x:c>
      <x:c r="F7" s="89" t="n">
        <x:v>45670</x:v>
      </x:c>
      <x:c r="G7" s="93" t="n">
        <x:v>9335.53</x:v>
      </x:c>
      <x:c r="H7" s="85" t="str">
        <x:v>Concluído</x:v>
      </x:c>
    </x:row>
    <x:row r="8">
      <x:c r="A8" s="83" t="n">
        <x:v>7</x:v>
      </x:c>
      <x:c r="B8" s="84" t="n">
        <x:v>32</x:v>
      </x:c>
      <x:c r="C8" s="84" t="n">
        <x:v>19</x:v>
      </x:c>
      <x:c r="D8" s="84" t="str">
        <x:v>Usinagem</x:v>
      </x:c>
      <x:c r="E8" s="89" t="n">
        <x:v>45787</x:v>
      </x:c>
      <x:c r="F8" s="89" t="n">
        <x:v>45788</x:v>
      </x:c>
      <x:c r="G8" s="93" t="n">
        <x:v>7989.93</x:v>
      </x:c>
      <x:c r="H8" s="85" t="str">
        <x:v>Concluído</x:v>
      </x:c>
    </x:row>
    <x:row r="9">
      <x:c r="A9" s="83" t="n">
        <x:v>8</x:v>
      </x:c>
      <x:c r="B9" s="84" t="n">
        <x:v>51</x:v>
      </x:c>
      <x:c r="C9" s="84" t="n">
        <x:v>18</x:v>
      </x:c>
      <x:c r="D9" s="84" t="str">
        <x:v>Reparo eletrônico</x:v>
      </x:c>
      <x:c r="E9" s="89" t="n">
        <x:v>45828</x:v>
      </x:c>
      <x:c r="F9" s="89" t="n">
        <x:v>45829</x:v>
      </x:c>
      <x:c r="G9" s="93" t="n">
        <x:v>5874.71</x:v>
      </x:c>
      <x:c r="H9" s="85" t="str">
        <x:v>Concluído</x:v>
      </x:c>
    </x:row>
    <x:row r="10">
      <x:c r="A10" s="83" t="n">
        <x:v>9</x:v>
      </x:c>
      <x:c r="B10" s="84" t="n">
        <x:v>83</x:v>
      </x:c>
      <x:c r="C10" s="84" t="n">
        <x:v>17</x:v>
      </x:c>
      <x:c r="D10" s="84" t="str">
        <x:v>Usinagem</x:v>
      </x:c>
      <x:c r="E10" s="89" t="n">
        <x:v>45984</x:v>
      </x:c>
      <x:c r="F10" s="89" t="n">
        <x:v>45985</x:v>
      </x:c>
      <x:c r="G10" s="93" t="n">
        <x:v>7984.53</x:v>
      </x:c>
      <x:c r="H10" s="85" t="str">
        <x:v>Concluído</x:v>
      </x:c>
    </x:row>
    <x:row r="11">
      <x:c r="A11" s="83" t="n">
        <x:v>10</x:v>
      </x:c>
      <x:c r="B11" s="84" t="n">
        <x:v>90</x:v>
      </x:c>
      <x:c r="C11" s="84" t="n">
        <x:v>4</x:v>
      </x:c>
      <x:c r="D11" s="84" t="str">
        <x:v>Reparo eletrônico</x:v>
      </x:c>
      <x:c r="E11" s="89" t="n">
        <x:v>45224</x:v>
      </x:c>
      <x:c r="F11" s="89" t="n">
        <x:v>45225</x:v>
      </x:c>
      <x:c r="G11" s="93" t="n">
        <x:v>7678.64</x:v>
      </x:c>
      <x:c r="H11" s="85" t="str">
        <x:v>Concluído</x:v>
      </x:c>
    </x:row>
    <x:row r="12">
      <x:c r="A12" s="83" t="n">
        <x:v>11</x:v>
      </x:c>
      <x:c r="B12" s="84" t="n">
        <x:v>103</x:v>
      </x:c>
      <x:c r="C12" s="84" t="n">
        <x:v>25</x:v>
      </x:c>
      <x:c r="D12" s="84" t="str">
        <x:v>Calibração</x:v>
      </x:c>
      <x:c r="E12" s="89" t="n">
        <x:v>45757</x:v>
      </x:c>
      <x:c r="F12" s="89" t="n">
        <x:v>45757</x:v>
      </x:c>
      <x:c r="G12" s="93" t="n">
        <x:v>10311.34</x:v>
      </x:c>
      <x:c r="H12" s="85" t="str">
        <x:v>Concluído</x:v>
      </x:c>
    </x:row>
    <x:row r="13">
      <x:c r="A13" s="83" t="n">
        <x:v>12</x:v>
      </x:c>
      <x:c r="B13" s="84" t="n">
        <x:v>109</x:v>
      </x:c>
      <x:c r="C13" s="84" t="n">
        <x:v>20</x:v>
      </x:c>
      <x:c r="D13" s="84" t="str">
        <x:v>Usinagem</x:v>
      </x:c>
      <x:c r="E13" s="89" t="n">
        <x:v>45226</x:v>
      </x:c>
      <x:c r="F13" s="89" t="n">
        <x:v>45226</x:v>
      </x:c>
      <x:c r="G13" s="93" t="n">
        <x:v>12995.06</x:v>
      </x:c>
      <x:c r="H13" s="85" t="str">
        <x:v>Concluído</x:v>
      </x:c>
    </x:row>
    <x:row r="14">
      <x:c r="A14" s="83" t="n">
        <x:v>13</x:v>
      </x:c>
      <x:c r="B14" s="84" t="n">
        <x:v>117</x:v>
      </x:c>
      <x:c r="C14" s="84" t="n">
        <x:v>23</x:v>
      </x:c>
      <x:c r="D14" s="84" t="str">
        <x:v>Usinagem</x:v>
      </x:c>
      <x:c r="E14" s="89" t="n">
        <x:v>46009</x:v>
      </x:c>
      <x:c r="F14" s="89" t="n">
        <x:v>46009</x:v>
      </x:c>
      <x:c r="G14" s="93" t="n">
        <x:v>3763.71</x:v>
      </x:c>
      <x:c r="H14" s="85" t="str">
        <x:v>Concluído</x:v>
      </x:c>
    </x:row>
    <x:row r="15">
      <x:c r="A15" s="83" t="n">
        <x:v>14</x:v>
      </x:c>
      <x:c r="B15" s="84" t="n">
        <x:v>122</x:v>
      </x:c>
      <x:c r="C15" s="84" t="n">
        <x:v>14</x:v>
      </x:c>
      <x:c r="D15" s="84" t="str">
        <x:v>Calibração</x:v>
      </x:c>
      <x:c r="E15" s="89" t="n">
        <x:v>44969</x:v>
      </x:c>
      <x:c r="F15" s="89" t="n">
        <x:v>44970</x:v>
      </x:c>
      <x:c r="G15" s="93" t="n">
        <x:v>12017.94</x:v>
      </x:c>
      <x:c r="H15" s="85" t="str">
        <x:v>Concluído</x:v>
      </x:c>
    </x:row>
    <x:row r="16">
      <x:c r="A16" s="83" t="n">
        <x:v>15</x:v>
      </x:c>
      <x:c r="B16" s="84" t="n">
        <x:v>125</x:v>
      </x:c>
      <x:c r="C16" s="84" t="n">
        <x:v>23</x:v>
      </x:c>
      <x:c r="D16" s="84" t="str">
        <x:v>Usinagem</x:v>
      </x:c>
      <x:c r="E16" s="89" t="n">
        <x:v>45492</x:v>
      </x:c>
      <x:c r="F16" s="89" t="n">
        <x:v>45492</x:v>
      </x:c>
      <x:c r="G16" s="93" t="n">
        <x:v>14908.75</x:v>
      </x:c>
      <x:c r="H16" s="85" t="str">
        <x:v>Concluído</x:v>
      </x:c>
    </x:row>
    <x:row r="17">
      <x:c r="A17" s="83" t="n">
        <x:v>16</x:v>
      </x:c>
      <x:c r="B17" s="84" t="n">
        <x:v>126</x:v>
      </x:c>
      <x:c r="C17" s="84" t="n">
        <x:v>1</x:v>
      </x:c>
      <x:c r="D17" s="84" t="str">
        <x:v>Reparo eletrônico</x:v>
      </x:c>
      <x:c r="E17" s="89" t="n">
        <x:v>45213</x:v>
      </x:c>
      <x:c r="F17" s="89" t="n">
        <x:v>45214</x:v>
      </x:c>
      <x:c r="G17" s="93" t="n">
        <x:v>10207.98</x:v>
      </x:c>
      <x:c r="H17" s="85" t="str">
        <x:v>Concluído</x:v>
      </x:c>
    </x:row>
    <x:row r="18">
      <x:c r="A18" s="83" t="n">
        <x:v>17</x:v>
      </x:c>
      <x:c r="B18" s="84" t="n">
        <x:v>127</x:v>
      </x:c>
      <x:c r="C18" s="84" t="n">
        <x:v>13</x:v>
      </x:c>
      <x:c r="D18" s="84" t="str">
        <x:v>Calibração</x:v>
      </x:c>
      <x:c r="E18" s="89" t="n">
        <x:v>46016</x:v>
      </x:c>
      <x:c r="F18" s="89"/>
      <x:c r="G18" s="93" t="n">
        <x:v>5127.74</x:v>
      </x:c>
      <x:c r="H18" s="85" t="str">
        <x:v>Em andamento</x:v>
      </x:c>
    </x:row>
    <x:row r="19">
      <x:c r="A19" s="83" t="n">
        <x:v>18</x:v>
      </x:c>
      <x:c r="B19" s="84" t="n">
        <x:v>159</x:v>
      </x:c>
      <x:c r="C19" s="84" t="n">
        <x:v>9</x:v>
      </x:c>
      <x:c r="D19" s="84" t="str">
        <x:v>Calibração</x:v>
      </x:c>
      <x:c r="E19" s="89" t="n">
        <x:v>45200</x:v>
      </x:c>
      <x:c r="F19" s="89" t="n">
        <x:v>45200</x:v>
      </x:c>
      <x:c r="G19" s="93" t="n">
        <x:v>4094.07</x:v>
      </x:c>
      <x:c r="H19" s="85" t="str">
        <x:v>Concluído</x:v>
      </x:c>
    </x:row>
    <x:row r="20">
      <x:c r="A20" s="83" t="n">
        <x:v>19</x:v>
      </x:c>
      <x:c r="B20" s="84" t="n">
        <x:v>170</x:v>
      </x:c>
      <x:c r="C20" s="84" t="n">
        <x:v>25</x:v>
      </x:c>
      <x:c r="D20" s="84" t="str">
        <x:v>Usinagem</x:v>
      </x:c>
      <x:c r="E20" s="89" t="n">
        <x:v>45674</x:v>
      </x:c>
      <x:c r="F20" s="89" t="n">
        <x:v>45674</x:v>
      </x:c>
      <x:c r="G20" s="93" t="n">
        <x:v>5489.41</x:v>
      </x:c>
      <x:c r="H20" s="85" t="str">
        <x:v>Concluído</x:v>
      </x:c>
    </x:row>
    <x:row r="21">
      <x:c r="A21" s="83" t="n">
        <x:v>20</x:v>
      </x:c>
      <x:c r="B21" s="84" t="n">
        <x:v>182</x:v>
      </x:c>
      <x:c r="C21" s="84" t="n">
        <x:v>13</x:v>
      </x:c>
      <x:c r="D21" s="84" t="str">
        <x:v>Reparo eletrônico</x:v>
      </x:c>
      <x:c r="E21" s="89" t="n">
        <x:v>45115</x:v>
      </x:c>
      <x:c r="F21" s="89" t="n">
        <x:v>45115</x:v>
      </x:c>
      <x:c r="G21" s="93" t="n">
        <x:v>12278.73</x:v>
      </x:c>
      <x:c r="H21" s="85" t="str">
        <x:v>Concluído</x:v>
      </x:c>
    </x:row>
    <x:row r="22">
      <x:c r="A22" s="83" t="n">
        <x:v>21</x:v>
      </x:c>
      <x:c r="B22" s="84" t="n">
        <x:v>201</x:v>
      </x:c>
      <x:c r="C22" s="84" t="n">
        <x:v>21</x:v>
      </x:c>
      <x:c r="D22" s="84" t="str">
        <x:v>Usinagem</x:v>
      </x:c>
      <x:c r="E22" s="89" t="n">
        <x:v>45249</x:v>
      </x:c>
      <x:c r="F22" s="89" t="n">
        <x:v>45249</x:v>
      </x:c>
      <x:c r="G22" s="93" t="n">
        <x:v>7790.46</x:v>
      </x:c>
      <x:c r="H22" s="85" t="str">
        <x:v>Concluído</x:v>
      </x:c>
    </x:row>
    <x:row r="23">
      <x:c r="A23" s="83" t="n">
        <x:v>22</x:v>
      </x:c>
      <x:c r="B23" s="84" t="n">
        <x:v>231</x:v>
      </x:c>
      <x:c r="C23" s="84" t="n">
        <x:v>13</x:v>
      </x:c>
      <x:c r="D23" s="84" t="str">
        <x:v>Calibração</x:v>
      </x:c>
      <x:c r="E23" s="89" t="n">
        <x:v>44930</x:v>
      </x:c>
      <x:c r="F23" s="89" t="n">
        <x:v>44930</x:v>
      </x:c>
      <x:c r="G23" s="93" t="n">
        <x:v>7460.1</x:v>
      </x:c>
      <x:c r="H23" s="85" t="str">
        <x:v>Concluído</x:v>
      </x:c>
    </x:row>
    <x:row r="24">
      <x:c r="A24" s="83" t="n">
        <x:v>23</x:v>
      </x:c>
      <x:c r="B24" s="84" t="n">
        <x:v>242</x:v>
      </x:c>
      <x:c r="C24" s="84" t="n">
        <x:v>1</x:v>
      </x:c>
      <x:c r="D24" s="84" t="str">
        <x:v>Calibração</x:v>
      </x:c>
      <x:c r="E24" s="89" t="n">
        <x:v>45246</x:v>
      </x:c>
      <x:c r="F24" s="89" t="n">
        <x:v>45247</x:v>
      </x:c>
      <x:c r="G24" s="93" t="n">
        <x:v>1102.46</x:v>
      </x:c>
      <x:c r="H24" s="85" t="str">
        <x:v>Concluído</x:v>
      </x:c>
    </x:row>
    <x:row r="25">
      <x:c r="A25" s="83" t="n">
        <x:v>24</x:v>
      </x:c>
      <x:c r="B25" s="84" t="n">
        <x:v>247</x:v>
      </x:c>
      <x:c r="C25" s="84" t="n">
        <x:v>14</x:v>
      </x:c>
      <x:c r="D25" s="84" t="str">
        <x:v>Usinagem</x:v>
      </x:c>
      <x:c r="E25" s="89" t="n">
        <x:v>45812</x:v>
      </x:c>
      <x:c r="F25" s="89" t="n">
        <x:v>45813</x:v>
      </x:c>
      <x:c r="G25" s="93" t="n">
        <x:v>943.83</x:v>
      </x:c>
      <x:c r="H25" s="85" t="str">
        <x:v>Concluído</x:v>
      </x:c>
    </x:row>
    <x:row r="26">
      <x:c r="A26" s="83" t="n">
        <x:v>25</x:v>
      </x:c>
      <x:c r="B26" s="84" t="n">
        <x:v>269</x:v>
      </x:c>
      <x:c r="C26" s="84" t="n">
        <x:v>21</x:v>
      </x:c>
      <x:c r="D26" s="84" t="str">
        <x:v>Reparo eletrônico</x:v>
      </x:c>
      <x:c r="E26" s="89" t="n">
        <x:v>45947</x:v>
      </x:c>
      <x:c r="F26" s="89" t="n">
        <x:v>45947</x:v>
      </x:c>
      <x:c r="G26" s="93" t="n">
        <x:v>3811.02</x:v>
      </x:c>
      <x:c r="H26" s="85" t="str">
        <x:v>Concluído</x:v>
      </x:c>
    </x:row>
    <x:row r="27">
      <x:c r="A27" s="83" t="n">
        <x:v>26</x:v>
      </x:c>
      <x:c r="B27" s="84" t="n">
        <x:v>272</x:v>
      </x:c>
      <x:c r="C27" s="84" t="n">
        <x:v>12</x:v>
      </x:c>
      <x:c r="D27" s="84" t="str">
        <x:v>Calibração</x:v>
      </x:c>
      <x:c r="E27" s="89" t="n">
        <x:v>45519</x:v>
      </x:c>
      <x:c r="F27" s="89" t="n">
        <x:v>45519</x:v>
      </x:c>
      <x:c r="G27" s="93" t="n">
        <x:v>14704.91</x:v>
      </x:c>
      <x:c r="H27" s="85" t="str">
        <x:v>Concluído</x:v>
      </x:c>
    </x:row>
    <x:row r="28">
      <x:c r="A28" s="83" t="n">
        <x:v>27</x:v>
      </x:c>
      <x:c r="B28" s="84" t="n">
        <x:v>273</x:v>
      </x:c>
      <x:c r="C28" s="84" t="n">
        <x:v>4</x:v>
      </x:c>
      <x:c r="D28" s="84" t="str">
        <x:v>Usinagem</x:v>
      </x:c>
      <x:c r="E28" s="89" t="n">
        <x:v>45814</x:v>
      </x:c>
      <x:c r="F28" s="89" t="n">
        <x:v>45814</x:v>
      </x:c>
      <x:c r="G28" s="93" t="n">
        <x:v>12017.28</x:v>
      </x:c>
      <x:c r="H28" s="85" t="str">
        <x:v>Concluído</x:v>
      </x:c>
    </x:row>
    <x:row r="29">
      <x:c r="A29" s="83" t="n">
        <x:v>28</x:v>
      </x:c>
      <x:c r="B29" s="84" t="n">
        <x:v>279</x:v>
      </x:c>
      <x:c r="C29" s="84" t="n">
        <x:v>14</x:v>
      </x:c>
      <x:c r="D29" s="84" t="str">
        <x:v>Reparo eletrônico</x:v>
      </x:c>
      <x:c r="E29" s="89" t="n">
        <x:v>45150</x:v>
      </x:c>
      <x:c r="F29" s="89" t="n">
        <x:v>45150</x:v>
      </x:c>
      <x:c r="G29" s="93" t="n">
        <x:v>2414.22</x:v>
      </x:c>
      <x:c r="H29" s="85" t="str">
        <x:v>Concluído</x:v>
      </x:c>
    </x:row>
    <x:row r="30">
      <x:c r="A30" s="83" t="n">
        <x:v>29</x:v>
      </x:c>
      <x:c r="B30" s="84" t="n">
        <x:v>293</x:v>
      </x:c>
      <x:c r="C30" s="84" t="n">
        <x:v>8</x:v>
      </x:c>
      <x:c r="D30" s="84" t="str">
        <x:v>Usinagem</x:v>
      </x:c>
      <x:c r="E30" s="89" t="n">
        <x:v>45705</x:v>
      </x:c>
      <x:c r="F30" s="89" t="n">
        <x:v>45706</x:v>
      </x:c>
      <x:c r="G30" s="93" t="n">
        <x:v>14597.25</x:v>
      </x:c>
      <x:c r="H30" s="85" t="str">
        <x:v>Concluído</x:v>
      </x:c>
    </x:row>
    <x:row r="31">
      <x:c r="A31" s="83" t="n">
        <x:v>30</x:v>
      </x:c>
      <x:c r="B31" s="84" t="n">
        <x:v>320</x:v>
      </x:c>
      <x:c r="C31" s="84" t="n">
        <x:v>16</x:v>
      </x:c>
      <x:c r="D31" s="84" t="str">
        <x:v>Usinagem</x:v>
      </x:c>
      <x:c r="E31" s="89" t="n">
        <x:v>45560</x:v>
      </x:c>
      <x:c r="F31" s="89" t="n">
        <x:v>45560</x:v>
      </x:c>
      <x:c r="G31" s="93" t="n">
        <x:v>2397.85</x:v>
      </x:c>
      <x:c r="H31" s="85" t="str">
        <x:v>Concluído</x:v>
      </x:c>
    </x:row>
    <x:row r="32">
      <x:c r="A32" s="83" t="n">
        <x:v>31</x:v>
      </x:c>
      <x:c r="B32" s="84" t="n">
        <x:v>321</x:v>
      </x:c>
      <x:c r="C32" s="84" t="n">
        <x:v>15</x:v>
      </x:c>
      <x:c r="D32" s="84" t="str">
        <x:v>Usinagem</x:v>
      </x:c>
      <x:c r="E32" s="89" t="n">
        <x:v>45629</x:v>
      </x:c>
      <x:c r="F32" s="89"/>
      <x:c r="G32" s="93" t="n">
        <x:v>11028.79</x:v>
      </x:c>
      <x:c r="H32" s="85" t="str">
        <x:v>Em andamento</x:v>
      </x:c>
    </x:row>
    <x:row r="33">
      <x:c r="A33" s="83" t="n">
        <x:v>32</x:v>
      </x:c>
      <x:c r="B33" s="84" t="n">
        <x:v>360</x:v>
      </x:c>
      <x:c r="C33" s="84" t="n">
        <x:v>8</x:v>
      </x:c>
      <x:c r="D33" s="84" t="str">
        <x:v>Usinagem</x:v>
      </x:c>
      <x:c r="E33" s="89" t="n">
        <x:v>45319</x:v>
      </x:c>
      <x:c r="F33" s="89" t="n">
        <x:v>45319</x:v>
      </x:c>
      <x:c r="G33" s="93" t="n">
        <x:v>7591.52</x:v>
      </x:c>
      <x:c r="H33" s="85" t="str">
        <x:v>Concluído</x:v>
      </x:c>
    </x:row>
    <x:row r="34">
      <x:c r="A34" s="83" t="n">
        <x:v>33</x:v>
      </x:c>
      <x:c r="B34" s="84" t="n">
        <x:v>361</x:v>
      </x:c>
      <x:c r="C34" s="84" t="n">
        <x:v>22</x:v>
      </x:c>
      <x:c r="D34" s="84" t="str">
        <x:v>Calibração</x:v>
      </x:c>
      <x:c r="E34" s="89" t="n">
        <x:v>45334</x:v>
      </x:c>
      <x:c r="F34" s="89"/>
      <x:c r="G34" s="93" t="n">
        <x:v>5448.52</x:v>
      </x:c>
      <x:c r="H34" s="85" t="str">
        <x:v>Em andamento</x:v>
      </x:c>
    </x:row>
    <x:row r="35">
      <x:c r="A35" s="83" t="n">
        <x:v>34</x:v>
      </x:c>
      <x:c r="B35" s="84" t="n">
        <x:v>370</x:v>
      </x:c>
      <x:c r="C35" s="84" t="n">
        <x:v>11</x:v>
      </x:c>
      <x:c r="D35" s="84" t="str">
        <x:v>Reparo eletrônico</x:v>
      </x:c>
      <x:c r="E35" s="89" t="n">
        <x:v>45112</x:v>
      </x:c>
      <x:c r="F35" s="89" t="n">
        <x:v>45112</x:v>
      </x:c>
      <x:c r="G35" s="93" t="n">
        <x:v>4554.6</x:v>
      </x:c>
      <x:c r="H35" s="85" t="str">
        <x:v>Concluído</x:v>
      </x:c>
    </x:row>
    <x:row r="36">
      <x:c r="A36" s="83" t="n">
        <x:v>35</x:v>
      </x:c>
      <x:c r="B36" s="84" t="n">
        <x:v>378</x:v>
      </x:c>
      <x:c r="C36" s="84" t="n">
        <x:v>18</x:v>
      </x:c>
      <x:c r="D36" s="84" t="str">
        <x:v>Calibração</x:v>
      </x:c>
      <x:c r="E36" s="89" t="n">
        <x:v>45808</x:v>
      </x:c>
      <x:c r="F36" s="89" t="n">
        <x:v>45809</x:v>
      </x:c>
      <x:c r="G36" s="93" t="n">
        <x:v>6701.97</x:v>
      </x:c>
      <x:c r="H36" s="85" t="str">
        <x:v>Concluído</x:v>
      </x:c>
    </x:row>
    <x:row r="37">
      <x:c r="A37" s="83" t="n">
        <x:v>36</x:v>
      </x:c>
      <x:c r="B37" s="84" t="n">
        <x:v>387</x:v>
      </x:c>
      <x:c r="C37" s="84" t="n">
        <x:v>3</x:v>
      </x:c>
      <x:c r="D37" s="84" t="str">
        <x:v>Usinagem</x:v>
      </x:c>
      <x:c r="E37" s="89" t="n">
        <x:v>45793</x:v>
      </x:c>
      <x:c r="F37" s="89" t="n">
        <x:v>45794</x:v>
      </x:c>
      <x:c r="G37" s="93" t="n">
        <x:v>4071.72</x:v>
      </x:c>
      <x:c r="H37" s="85" t="str">
        <x:v>Concluído</x:v>
      </x:c>
    </x:row>
    <x:row r="38">
      <x:c r="A38" s="83" t="n">
        <x:v>37</x:v>
      </x:c>
      <x:c r="B38" s="84" t="n">
        <x:v>389</x:v>
      </x:c>
      <x:c r="C38" s="84" t="n">
        <x:v>16</x:v>
      </x:c>
      <x:c r="D38" s="84" t="str">
        <x:v>Usinagem</x:v>
      </x:c>
      <x:c r="E38" s="89" t="n">
        <x:v>45722</x:v>
      </x:c>
      <x:c r="F38" s="89" t="n">
        <x:v>45722</x:v>
      </x:c>
      <x:c r="G38" s="93" t="n">
        <x:v>534.53</x:v>
      </x:c>
      <x:c r="H38" s="85" t="str">
        <x:v>Concluído</x:v>
      </x:c>
    </x:row>
    <x:row r="39">
      <x:c r="A39" s="83" t="n">
        <x:v>38</x:v>
      </x:c>
      <x:c r="B39" s="84" t="n">
        <x:v>391</x:v>
      </x:c>
      <x:c r="C39" s="84" t="n">
        <x:v>10</x:v>
      </x:c>
      <x:c r="D39" s="84" t="str">
        <x:v>Usinagem</x:v>
      </x:c>
      <x:c r="E39" s="89" t="n">
        <x:v>45666</x:v>
      </x:c>
      <x:c r="F39" s="89" t="n">
        <x:v>45667</x:v>
      </x:c>
      <x:c r="G39" s="93" t="n">
        <x:v>4679.55</x:v>
      </x:c>
      <x:c r="H39" s="85" t="str">
        <x:v>Concluído</x:v>
      </x:c>
    </x:row>
    <x:row r="40">
      <x:c r="A40" s="83" t="n">
        <x:v>39</x:v>
      </x:c>
      <x:c r="B40" s="84" t="n">
        <x:v>399</x:v>
      </x:c>
      <x:c r="C40" s="84" t="n">
        <x:v>16</x:v>
      </x:c>
      <x:c r="D40" s="84" t="str">
        <x:v>Reparo eletrônico</x:v>
      </x:c>
      <x:c r="E40" s="89" t="n">
        <x:v>45797</x:v>
      </x:c>
      <x:c r="F40" s="89" t="n">
        <x:v>45797</x:v>
      </x:c>
      <x:c r="G40" s="93" t="n">
        <x:v>8150.6</x:v>
      </x:c>
      <x:c r="H40" s="85" t="str">
        <x:v>Concluído</x:v>
      </x:c>
    </x:row>
    <x:row r="41">
      <x:c r="A41" s="83" t="n">
        <x:v>40</x:v>
      </x:c>
      <x:c r="B41" s="84" t="n">
        <x:v>411</x:v>
      </x:c>
      <x:c r="C41" s="84" t="n">
        <x:v>24</x:v>
      </x:c>
      <x:c r="D41" s="84" t="str">
        <x:v>Usinagem</x:v>
      </x:c>
      <x:c r="E41" s="89" t="n">
        <x:v>45466</x:v>
      </x:c>
      <x:c r="F41" s="89" t="n">
        <x:v>45466</x:v>
      </x:c>
      <x:c r="G41" s="93" t="n">
        <x:v>13274.56</x:v>
      </x:c>
      <x:c r="H41" s="85" t="str">
        <x:v>Concluído</x:v>
      </x:c>
    </x:row>
    <x:row r="42">
      <x:c r="A42" s="83" t="n">
        <x:v>41</x:v>
      </x:c>
      <x:c r="B42" s="84" t="n">
        <x:v>425</x:v>
      </x:c>
      <x:c r="C42" s="84" t="n">
        <x:v>2</x:v>
      </x:c>
      <x:c r="D42" s="84" t="str">
        <x:v>Usinagem</x:v>
      </x:c>
      <x:c r="E42" s="89" t="n">
        <x:v>45053</x:v>
      </x:c>
      <x:c r="F42" s="89" t="n">
        <x:v>45053</x:v>
      </x:c>
      <x:c r="G42" s="93" t="n">
        <x:v>1053.7</x:v>
      </x:c>
      <x:c r="H42" s="85" t="str">
        <x:v>Concluído</x:v>
      </x:c>
    </x:row>
    <x:row r="43">
      <x:c r="A43" s="83" t="n">
        <x:v>42</x:v>
      </x:c>
      <x:c r="B43" s="84" t="n">
        <x:v>453</x:v>
      </x:c>
      <x:c r="C43" s="84" t="n">
        <x:v>12</x:v>
      </x:c>
      <x:c r="D43" s="84" t="str">
        <x:v>Calibração</x:v>
      </x:c>
      <x:c r="E43" s="89" t="n">
        <x:v>45585</x:v>
      </x:c>
      <x:c r="F43" s="89" t="n">
        <x:v>45585</x:v>
      </x:c>
      <x:c r="G43" s="93" t="n">
        <x:v>7740.89</x:v>
      </x:c>
      <x:c r="H43" s="85" t="str">
        <x:v>Concluído</x:v>
      </x:c>
    </x:row>
    <x:row r="44">
      <x:c r="A44" s="83" t="n">
        <x:v>43</x:v>
      </x:c>
      <x:c r="B44" s="84" t="n">
        <x:v>455</x:v>
      </x:c>
      <x:c r="C44" s="84" t="n">
        <x:v>20</x:v>
      </x:c>
      <x:c r="D44" s="84" t="str">
        <x:v>Usinagem</x:v>
      </x:c>
      <x:c r="E44" s="89" t="n">
        <x:v>45111</x:v>
      </x:c>
      <x:c r="F44" s="89"/>
      <x:c r="G44" s="93" t="n">
        <x:v>8618.75</x:v>
      </x:c>
      <x:c r="H44" s="85" t="str">
        <x:v>Em andamento</x:v>
      </x:c>
    </x:row>
    <x:row r="45">
      <x:c r="A45" s="83" t="n">
        <x:v>44</x:v>
      </x:c>
      <x:c r="B45" s="84" t="n">
        <x:v>469</x:v>
      </x:c>
      <x:c r="C45" s="84" t="n">
        <x:v>16</x:v>
      </x:c>
      <x:c r="D45" s="84" t="str">
        <x:v>Reparo eletrônico</x:v>
      </x:c>
      <x:c r="E45" s="89" t="n">
        <x:v>44950</x:v>
      </x:c>
      <x:c r="F45" s="89" t="n">
        <x:v>44950</x:v>
      </x:c>
      <x:c r="G45" s="93" t="n">
        <x:v>10138.42</x:v>
      </x:c>
      <x:c r="H45" s="85" t="str">
        <x:v>Concluído</x:v>
      </x:c>
    </x:row>
    <x:row r="46">
      <x:c r="A46" s="83" t="n">
        <x:v>45</x:v>
      </x:c>
      <x:c r="B46" s="84" t="n">
        <x:v>493</x:v>
      </x:c>
      <x:c r="C46" s="84" t="n">
        <x:v>22</x:v>
      </x:c>
      <x:c r="D46" s="84" t="str">
        <x:v>Calibração</x:v>
      </x:c>
      <x:c r="E46" s="89" t="n">
        <x:v>45765</x:v>
      </x:c>
      <x:c r="F46" s="89" t="n">
        <x:v>45766</x:v>
      </x:c>
      <x:c r="G46" s="93" t="n">
        <x:v>11693.34</x:v>
      </x:c>
      <x:c r="H46" s="85" t="str">
        <x:v>Concluído</x:v>
      </x:c>
    </x:row>
    <x:row r="47">
      <x:c r="A47" s="83" t="n">
        <x:v>46</x:v>
      </x:c>
      <x:c r="B47" s="84" t="n">
        <x:v>533</x:v>
      </x:c>
      <x:c r="C47" s="84" t="n">
        <x:v>4</x:v>
      </x:c>
      <x:c r="D47" s="84" t="str">
        <x:v>Calibração</x:v>
      </x:c>
      <x:c r="E47" s="89" t="n">
        <x:v>45305</x:v>
      </x:c>
      <x:c r="F47" s="89" t="n">
        <x:v>45306</x:v>
      </x:c>
      <x:c r="G47" s="93" t="n">
        <x:v>2268.78</x:v>
      </x:c>
      <x:c r="H47" s="85" t="str">
        <x:v>Concluído</x:v>
      </x:c>
    </x:row>
    <x:row r="48">
      <x:c r="A48" s="83" t="n">
        <x:v>47</x:v>
      </x:c>
      <x:c r="B48" s="84" t="n">
        <x:v>536</x:v>
      </x:c>
      <x:c r="C48" s="84" t="n">
        <x:v>18</x:v>
      </x:c>
      <x:c r="D48" s="84" t="str">
        <x:v>Usinagem</x:v>
      </x:c>
      <x:c r="E48" s="89" t="n">
        <x:v>45560</x:v>
      </x:c>
      <x:c r="F48" s="89" t="n">
        <x:v>45560</x:v>
      </x:c>
      <x:c r="G48" s="93" t="n">
        <x:v>5408.78</x:v>
      </x:c>
      <x:c r="H48" s="85" t="str">
        <x:v>Concluído</x:v>
      </x:c>
    </x:row>
    <x:row r="49">
      <x:c r="A49" s="83" t="n">
        <x:v>48</x:v>
      </x:c>
      <x:c r="B49" s="84" t="n">
        <x:v>540</x:v>
      </x:c>
      <x:c r="C49" s="84" t="n">
        <x:v>22</x:v>
      </x:c>
      <x:c r="D49" s="84" t="str">
        <x:v>Calibração</x:v>
      </x:c>
      <x:c r="E49" s="89" t="n">
        <x:v>45262</x:v>
      </x:c>
      <x:c r="F49" s="89"/>
      <x:c r="G49" s="93" t="n">
        <x:v>5190.64</x:v>
      </x:c>
      <x:c r="H49" s="85" t="str">
        <x:v>Em andamento</x:v>
      </x:c>
    </x:row>
    <x:row r="50">
      <x:c r="A50" s="83" t="n">
        <x:v>49</x:v>
      </x:c>
      <x:c r="B50" s="84" t="n">
        <x:v>567</x:v>
      </x:c>
      <x:c r="C50" s="84" t="n">
        <x:v>19</x:v>
      </x:c>
      <x:c r="D50" s="84" t="str">
        <x:v>Calibração</x:v>
      </x:c>
      <x:c r="E50" s="89" t="n">
        <x:v>45080</x:v>
      </x:c>
      <x:c r="F50" s="89" t="n">
        <x:v>45081</x:v>
      </x:c>
      <x:c r="G50" s="93" t="n">
        <x:v>12399.26</x:v>
      </x:c>
      <x:c r="H50" s="85" t="str">
        <x:v>Concluído</x:v>
      </x:c>
    </x:row>
    <x:row r="51">
      <x:c r="A51" s="83" t="n">
        <x:v>50</x:v>
      </x:c>
      <x:c r="B51" s="84" t="n">
        <x:v>574</x:v>
      </x:c>
      <x:c r="C51" s="84" t="n">
        <x:v>10</x:v>
      </x:c>
      <x:c r="D51" s="84" t="str">
        <x:v>Reparo eletrônico</x:v>
      </x:c>
      <x:c r="E51" s="89" t="n">
        <x:v>44954</x:v>
      </x:c>
      <x:c r="F51" s="89"/>
      <x:c r="G51" s="93" t="n">
        <x:v>3220.16</x:v>
      </x:c>
      <x:c r="H51" s="85" t="str">
        <x:v>Em andamento</x:v>
      </x:c>
    </x:row>
    <x:row r="52">
      <x:c r="A52" s="83" t="n">
        <x:v>51</x:v>
      </x:c>
      <x:c r="B52" s="84" t="n">
        <x:v>579</x:v>
      </x:c>
      <x:c r="C52" s="84" t="n">
        <x:v>3</x:v>
      </x:c>
      <x:c r="D52" s="84" t="str">
        <x:v>Usinagem</x:v>
      </x:c>
      <x:c r="E52" s="89" t="n">
        <x:v>45712</x:v>
      </x:c>
      <x:c r="F52" s="89" t="n">
        <x:v>45713</x:v>
      </x:c>
      <x:c r="G52" s="93" t="n">
        <x:v>14251.5</x:v>
      </x:c>
      <x:c r="H52" s="85" t="str">
        <x:v>Concluído</x:v>
      </x:c>
    </x:row>
    <x:row r="53">
      <x:c r="A53" s="83" t="n">
        <x:v>52</x:v>
      </x:c>
      <x:c r="B53" s="84" t="n">
        <x:v>588</x:v>
      </x:c>
      <x:c r="C53" s="84" t="n">
        <x:v>25</x:v>
      </x:c>
      <x:c r="D53" s="84" t="str">
        <x:v>Calibração</x:v>
      </x:c>
      <x:c r="E53" s="89" t="n">
        <x:v>45228</x:v>
      </x:c>
      <x:c r="F53" s="89" t="n">
        <x:v>45228</x:v>
      </x:c>
      <x:c r="G53" s="93" t="n">
        <x:v>4696.4</x:v>
      </x:c>
      <x:c r="H53" s="85" t="str">
        <x:v>Concluído</x:v>
      </x:c>
    </x:row>
    <x:row r="54">
      <x:c r="A54" s="83" t="n">
        <x:v>53</x:v>
      </x:c>
      <x:c r="B54" s="84" t="n">
        <x:v>601</x:v>
      </x:c>
      <x:c r="C54" s="84" t="n">
        <x:v>8</x:v>
      </x:c>
      <x:c r="D54" s="84" t="str">
        <x:v>Usinagem</x:v>
      </x:c>
      <x:c r="E54" s="89" t="n">
        <x:v>45249</x:v>
      </x:c>
      <x:c r="F54" s="89"/>
      <x:c r="G54" s="93" t="n">
        <x:v>5458.11</x:v>
      </x:c>
      <x:c r="H54" s="85" t="str">
        <x:v>Em andamento</x:v>
      </x:c>
    </x:row>
    <x:row r="55">
      <x:c r="A55" s="83" t="n">
        <x:v>54</x:v>
      </x:c>
      <x:c r="B55" s="84" t="n">
        <x:v>611</x:v>
      </x:c>
      <x:c r="C55" s="84" t="n">
        <x:v>20</x:v>
      </x:c>
      <x:c r="D55" s="84" t="str">
        <x:v>Reparo eletrônico</x:v>
      </x:c>
      <x:c r="E55" s="89" t="n">
        <x:v>45143</x:v>
      </x:c>
      <x:c r="F55" s="89"/>
      <x:c r="G55" s="93" t="n">
        <x:v>10205.42</x:v>
      </x:c>
      <x:c r="H55" s="85" t="str">
        <x:v>Em andamento</x:v>
      </x:c>
    </x:row>
    <x:row r="56">
      <x:c r="A56" s="83" t="n">
        <x:v>55</x:v>
      </x:c>
      <x:c r="B56" s="84" t="n">
        <x:v>626</x:v>
      </x:c>
      <x:c r="C56" s="84" t="n">
        <x:v>4</x:v>
      </x:c>
      <x:c r="D56" s="84" t="str">
        <x:v>Calibração</x:v>
      </x:c>
      <x:c r="E56" s="89" t="n">
        <x:v>45363</x:v>
      </x:c>
      <x:c r="F56" s="89" t="n">
        <x:v>45363</x:v>
      </x:c>
      <x:c r="G56" s="93" t="n">
        <x:v>9340.17</x:v>
      </x:c>
      <x:c r="H56" s="85" t="str">
        <x:v>Concluído</x:v>
      </x:c>
    </x:row>
    <x:row r="57">
      <x:c r="A57" s="83" t="n">
        <x:v>56</x:v>
      </x:c>
      <x:c r="B57" s="84" t="n">
        <x:v>640</x:v>
      </x:c>
      <x:c r="C57" s="84" t="n">
        <x:v>16</x:v>
      </x:c>
      <x:c r="D57" s="84" t="str">
        <x:v>Reparo eletrônico</x:v>
      </x:c>
      <x:c r="E57" s="89" t="n">
        <x:v>45287</x:v>
      </x:c>
      <x:c r="F57" s="89" t="n">
        <x:v>45287</x:v>
      </x:c>
      <x:c r="G57" s="93" t="n">
        <x:v>11319.41</x:v>
      </x:c>
      <x:c r="H57" s="85" t="str">
        <x:v>Concluído</x:v>
      </x:c>
    </x:row>
    <x:row r="58">
      <x:c r="A58" s="83" t="n">
        <x:v>57</x:v>
      </x:c>
      <x:c r="B58" s="84" t="n">
        <x:v>670</x:v>
      </x:c>
      <x:c r="C58" s="84" t="n">
        <x:v>19</x:v>
      </x:c>
      <x:c r="D58" s="84" t="str">
        <x:v>Usinagem</x:v>
      </x:c>
      <x:c r="E58" s="89" t="n">
        <x:v>45633</x:v>
      </x:c>
      <x:c r="F58" s="89" t="n">
        <x:v>45633</x:v>
      </x:c>
      <x:c r="G58" s="93" t="n">
        <x:v>3185.1</x:v>
      </x:c>
      <x:c r="H58" s="85" t="str">
        <x:v>Concluído</x:v>
      </x:c>
    </x:row>
    <x:row r="59">
      <x:c r="A59" s="83" t="n">
        <x:v>58</x:v>
      </x:c>
      <x:c r="B59" s="84" t="n">
        <x:v>683</x:v>
      </x:c>
      <x:c r="C59" s="84" t="n">
        <x:v>5</x:v>
      </x:c>
      <x:c r="D59" s="84" t="str">
        <x:v>Reparo eletrônico</x:v>
      </x:c>
      <x:c r="E59" s="89" t="n">
        <x:v>44980</x:v>
      </x:c>
      <x:c r="F59" s="89" t="n">
        <x:v>44980</x:v>
      </x:c>
      <x:c r="G59" s="93" t="n">
        <x:v>4388.8</x:v>
      </x:c>
      <x:c r="H59" s="85" t="str">
        <x:v>Concluído</x:v>
      </x:c>
    </x:row>
    <x:row r="60">
      <x:c r="A60" s="83" t="n">
        <x:v>59</x:v>
      </x:c>
      <x:c r="B60" s="84" t="n">
        <x:v>690</x:v>
      </x:c>
      <x:c r="C60" s="84" t="n">
        <x:v>24</x:v>
      </x:c>
      <x:c r="D60" s="84" t="str">
        <x:v>Reparo eletrônico</x:v>
      </x:c>
      <x:c r="E60" s="89" t="n">
        <x:v>45194</x:v>
      </x:c>
      <x:c r="F60" s="89" t="n">
        <x:v>45194</x:v>
      </x:c>
      <x:c r="G60" s="93" t="n">
        <x:v>12124.85</x:v>
      </x:c>
      <x:c r="H60" s="85" t="str">
        <x:v>Concluído</x:v>
      </x:c>
    </x:row>
    <x:row r="61">
      <x:c r="A61" s="83" t="n">
        <x:v>60</x:v>
      </x:c>
      <x:c r="B61" s="84" t="n">
        <x:v>694</x:v>
      </x:c>
      <x:c r="C61" s="84" t="n">
        <x:v>10</x:v>
      </x:c>
      <x:c r="D61" s="84" t="str">
        <x:v>Calibração</x:v>
      </x:c>
      <x:c r="E61" s="89" t="n">
        <x:v>45699</x:v>
      </x:c>
      <x:c r="F61" s="89"/>
      <x:c r="G61" s="93" t="n">
        <x:v>3214.43</x:v>
      </x:c>
      <x:c r="H61" s="85" t="str">
        <x:v>Em andamento</x:v>
      </x:c>
    </x:row>
    <x:row r="62">
      <x:c r="A62" s="83" t="n">
        <x:v>61</x:v>
      </x:c>
      <x:c r="B62" s="84" t="n">
        <x:v>698</x:v>
      </x:c>
      <x:c r="C62" s="84" t="n">
        <x:v>5</x:v>
      </x:c>
      <x:c r="D62" s="84" t="str">
        <x:v>Usinagem</x:v>
      </x:c>
      <x:c r="E62" s="89" t="n">
        <x:v>44958</x:v>
      </x:c>
      <x:c r="F62" s="89" t="n">
        <x:v>44959</x:v>
      </x:c>
      <x:c r="G62" s="93" t="n">
        <x:v>5529.98</x:v>
      </x:c>
      <x:c r="H62" s="85" t="str">
        <x:v>Concluído</x:v>
      </x:c>
    </x:row>
    <x:row r="63">
      <x:c r="A63" s="83" t="n">
        <x:v>62</x:v>
      </x:c>
      <x:c r="B63" s="84" t="n">
        <x:v>728</x:v>
      </x:c>
      <x:c r="C63" s="84" t="n">
        <x:v>1</x:v>
      </x:c>
      <x:c r="D63" s="84" t="str">
        <x:v>Reparo eletrônico</x:v>
      </x:c>
      <x:c r="E63" s="89" t="n">
        <x:v>45301</x:v>
      </x:c>
      <x:c r="F63" s="89" t="n">
        <x:v>45302</x:v>
      </x:c>
      <x:c r="G63" s="93" t="n">
        <x:v>2299.03</x:v>
      </x:c>
      <x:c r="H63" s="85" t="str">
        <x:v>Concluído</x:v>
      </x:c>
    </x:row>
    <x:row r="64">
      <x:c r="A64" s="83" t="n">
        <x:v>63</x:v>
      </x:c>
      <x:c r="B64" s="84" t="n">
        <x:v>733</x:v>
      </x:c>
      <x:c r="C64" s="84" t="n">
        <x:v>14</x:v>
      </x:c>
      <x:c r="D64" s="84" t="str">
        <x:v>Reparo eletrônico</x:v>
      </x:c>
      <x:c r="E64" s="89" t="n">
        <x:v>45457</x:v>
      </x:c>
      <x:c r="F64" s="89"/>
      <x:c r="G64" s="93" t="n">
        <x:v>11909.99</x:v>
      </x:c>
      <x:c r="H64" s="85" t="str">
        <x:v>Em andamento</x:v>
      </x:c>
    </x:row>
    <x:row r="65">
      <x:c r="A65" s="83" t="n">
        <x:v>64</x:v>
      </x:c>
      <x:c r="B65" s="84" t="n">
        <x:v>738</x:v>
      </x:c>
      <x:c r="C65" s="84" t="n">
        <x:v>2</x:v>
      </x:c>
      <x:c r="D65" s="84" t="str">
        <x:v>Calibração</x:v>
      </x:c>
      <x:c r="E65" s="89" t="n">
        <x:v>45936</x:v>
      </x:c>
      <x:c r="F65" s="89" t="n">
        <x:v>45937</x:v>
      </x:c>
      <x:c r="G65" s="93" t="n">
        <x:v>9240.97</x:v>
      </x:c>
      <x:c r="H65" s="85" t="str">
        <x:v>Concluído</x:v>
      </x:c>
    </x:row>
    <x:row r="66">
      <x:c r="A66" s="83" t="n">
        <x:v>65</x:v>
      </x:c>
      <x:c r="B66" s="84" t="n">
        <x:v>752</x:v>
      </x:c>
      <x:c r="C66" s="84" t="n">
        <x:v>24</x:v>
      </x:c>
      <x:c r="D66" s="84" t="str">
        <x:v>Reparo eletrônico</x:v>
      </x:c>
      <x:c r="E66" s="89" t="n">
        <x:v>45725</x:v>
      </x:c>
      <x:c r="F66" s="89" t="n">
        <x:v>45725</x:v>
      </x:c>
      <x:c r="G66" s="93" t="n">
        <x:v>12172.87</x:v>
      </x:c>
      <x:c r="H66" s="85" t="str">
        <x:v>Concluído</x:v>
      </x:c>
    </x:row>
    <x:row r="67">
      <x:c r="A67" s="83" t="n">
        <x:v>66</x:v>
      </x:c>
      <x:c r="B67" s="84" t="n">
        <x:v>753</x:v>
      </x:c>
      <x:c r="C67" s="84" t="n">
        <x:v>22</x:v>
      </x:c>
      <x:c r="D67" s="84" t="str">
        <x:v>Usinagem</x:v>
      </x:c>
      <x:c r="E67" s="89" t="n">
        <x:v>45564</x:v>
      </x:c>
      <x:c r="F67" s="89" t="n">
        <x:v>45564</x:v>
      </x:c>
      <x:c r="G67" s="93" t="n">
        <x:v>13579.31</x:v>
      </x:c>
      <x:c r="H67" s="85" t="str">
        <x:v>Concluído</x:v>
      </x:c>
    </x:row>
    <x:row r="68">
      <x:c r="A68" s="83" t="n">
        <x:v>67</x:v>
      </x:c>
      <x:c r="B68" s="84" t="n">
        <x:v>761</x:v>
      </x:c>
      <x:c r="C68" s="84" t="n">
        <x:v>17</x:v>
      </x:c>
      <x:c r="D68" s="84" t="str">
        <x:v>Usinagem</x:v>
      </x:c>
      <x:c r="E68" s="89" t="n">
        <x:v>44971</x:v>
      </x:c>
      <x:c r="F68" s="89"/>
      <x:c r="G68" s="93" t="n">
        <x:v>5564.36</x:v>
      </x:c>
      <x:c r="H68" s="85" t="str">
        <x:v>Em andamento</x:v>
      </x:c>
    </x:row>
    <x:row r="69">
      <x:c r="A69" s="83" t="n">
        <x:v>68</x:v>
      </x:c>
      <x:c r="B69" s="84" t="n">
        <x:v>769</x:v>
      </x:c>
      <x:c r="C69" s="84" t="n">
        <x:v>6</x:v>
      </x:c>
      <x:c r="D69" s="84" t="str">
        <x:v>Reparo eletrônico</x:v>
      </x:c>
      <x:c r="E69" s="89" t="n">
        <x:v>45970</x:v>
      </x:c>
      <x:c r="F69" s="89" t="n">
        <x:v>45971</x:v>
      </x:c>
      <x:c r="G69" s="93" t="n">
        <x:v>8809.43</x:v>
      </x:c>
      <x:c r="H69" s="85" t="str">
        <x:v>Concluído</x:v>
      </x:c>
    </x:row>
    <x:row r="70">
      <x:c r="A70" s="83" t="n">
        <x:v>69</x:v>
      </x:c>
      <x:c r="B70" s="84" t="n">
        <x:v>781</x:v>
      </x:c>
      <x:c r="C70" s="84" t="n">
        <x:v>1</x:v>
      </x:c>
      <x:c r="D70" s="84" t="str">
        <x:v>Usinagem</x:v>
      </x:c>
      <x:c r="E70" s="89" t="n">
        <x:v>45769</x:v>
      </x:c>
      <x:c r="F70" s="89" t="n">
        <x:v>45769</x:v>
      </x:c>
      <x:c r="G70" s="93" t="n">
        <x:v>728.86</x:v>
      </x:c>
      <x:c r="H70" s="85" t="str">
        <x:v>Concluído</x:v>
      </x:c>
    </x:row>
    <x:row r="71">
      <x:c r="A71" s="83" t="n">
        <x:v>70</x:v>
      </x:c>
      <x:c r="B71" s="84" t="n">
        <x:v>784</x:v>
      </x:c>
      <x:c r="C71" s="84" t="n">
        <x:v>11</x:v>
      </x:c>
      <x:c r="D71" s="84" t="str">
        <x:v>Calibração</x:v>
      </x:c>
      <x:c r="E71" s="89" t="n">
        <x:v>45009</x:v>
      </x:c>
      <x:c r="F71" s="89" t="n">
        <x:v>45009</x:v>
      </x:c>
      <x:c r="G71" s="93" t="n">
        <x:v>14907.98</x:v>
      </x:c>
      <x:c r="H71" s="85" t="str">
        <x:v>Concluído</x:v>
      </x:c>
    </x:row>
    <x:row r="72">
      <x:c r="A72" s="83" t="n">
        <x:v>71</x:v>
      </x:c>
      <x:c r="B72" s="84" t="n">
        <x:v>818</x:v>
      </x:c>
      <x:c r="C72" s="84" t="n">
        <x:v>17</x:v>
      </x:c>
      <x:c r="D72" s="84" t="str">
        <x:v>Reparo eletrônico</x:v>
      </x:c>
      <x:c r="E72" s="89" t="n">
        <x:v>45148</x:v>
      </x:c>
      <x:c r="F72" s="89" t="n">
        <x:v>45149</x:v>
      </x:c>
      <x:c r="G72" s="93" t="n">
        <x:v>881.11</x:v>
      </x:c>
      <x:c r="H72" s="85" t="str">
        <x:v>Concluído</x:v>
      </x:c>
    </x:row>
    <x:row r="73">
      <x:c r="A73" s="83" t="n">
        <x:v>72</x:v>
      </x:c>
      <x:c r="B73" s="84" t="n">
        <x:v>825</x:v>
      </x:c>
      <x:c r="C73" s="84" t="n">
        <x:v>3</x:v>
      </x:c>
      <x:c r="D73" s="84" t="str">
        <x:v>Reparo eletrônico</x:v>
      </x:c>
      <x:c r="E73" s="89" t="n">
        <x:v>44935</x:v>
      </x:c>
      <x:c r="F73" s="89" t="n">
        <x:v>44936</x:v>
      </x:c>
      <x:c r="G73" s="93" t="n">
        <x:v>12108.02</x:v>
      </x:c>
      <x:c r="H73" s="85" t="str">
        <x:v>Concluído</x:v>
      </x:c>
    </x:row>
    <x:row r="74">
      <x:c r="A74" s="83" t="n">
        <x:v>73</x:v>
      </x:c>
      <x:c r="B74" s="84" t="n">
        <x:v>828</x:v>
      </x:c>
      <x:c r="C74" s="84" t="n">
        <x:v>19</x:v>
      </x:c>
      <x:c r="D74" s="84" t="str">
        <x:v>Calibração</x:v>
      </x:c>
      <x:c r="E74" s="89" t="n">
        <x:v>45406</x:v>
      </x:c>
      <x:c r="F74" s="89" t="n">
        <x:v>45407</x:v>
      </x:c>
      <x:c r="G74" s="93" t="n">
        <x:v>14116.28</x:v>
      </x:c>
      <x:c r="H74" s="85" t="str">
        <x:v>Concluído</x:v>
      </x:c>
    </x:row>
    <x:row r="75">
      <x:c r="A75" s="83" t="n">
        <x:v>74</x:v>
      </x:c>
      <x:c r="B75" s="84" t="n">
        <x:v>839</x:v>
      </x:c>
      <x:c r="C75" s="84" t="n">
        <x:v>4</x:v>
      </x:c>
      <x:c r="D75" s="84" t="str">
        <x:v>Usinagem</x:v>
      </x:c>
      <x:c r="E75" s="89" t="n">
        <x:v>45454</x:v>
      </x:c>
      <x:c r="F75" s="89" t="n">
        <x:v>45455</x:v>
      </x:c>
      <x:c r="G75" s="93" t="n">
        <x:v>14564.7</x:v>
      </x:c>
      <x:c r="H75" s="85" t="str">
        <x:v>Concluído</x:v>
      </x:c>
    </x:row>
    <x:row r="76">
      <x:c r="A76" s="83" t="n">
        <x:v>75</x:v>
      </x:c>
      <x:c r="B76" s="84" t="n">
        <x:v>846</x:v>
      </x:c>
      <x:c r="C76" s="84" t="n">
        <x:v>3</x:v>
      </x:c>
      <x:c r="D76" s="84" t="str">
        <x:v>Usinagem</x:v>
      </x:c>
      <x:c r="E76" s="89" t="n">
        <x:v>45619</x:v>
      </x:c>
      <x:c r="F76" s="89"/>
      <x:c r="G76" s="93" t="n">
        <x:v>3787.1</x:v>
      </x:c>
      <x:c r="H76" s="85" t="str">
        <x:v>Em andamento</x:v>
      </x:c>
    </x:row>
    <x:row r="77">
      <x:c r="A77" s="83" t="n">
        <x:v>76</x:v>
      </x:c>
      <x:c r="B77" s="84" t="n">
        <x:v>855</x:v>
      </x:c>
      <x:c r="C77" s="84" t="n">
        <x:v>13</x:v>
      </x:c>
      <x:c r="D77" s="84" t="str">
        <x:v>Calibração</x:v>
      </x:c>
      <x:c r="E77" s="89" t="n">
        <x:v>45116</x:v>
      </x:c>
      <x:c r="F77" s="89" t="n">
        <x:v>45117</x:v>
      </x:c>
      <x:c r="G77" s="93" t="n">
        <x:v>3348.58</x:v>
      </x:c>
      <x:c r="H77" s="85" t="str">
        <x:v>Concluído</x:v>
      </x:c>
    </x:row>
    <x:row r="78">
      <x:c r="A78" s="83" t="n">
        <x:v>77</x:v>
      </x:c>
      <x:c r="B78" s="84" t="n">
        <x:v>859</x:v>
      </x:c>
      <x:c r="C78" s="84" t="n">
        <x:v>2</x:v>
      </x:c>
      <x:c r="D78" s="84" t="str">
        <x:v>Reparo eletrônico</x:v>
      </x:c>
      <x:c r="E78" s="89" t="n">
        <x:v>45846</x:v>
      </x:c>
      <x:c r="F78" s="89" t="n">
        <x:v>45846</x:v>
      </x:c>
      <x:c r="G78" s="93" t="n">
        <x:v>562.1</x:v>
      </x:c>
      <x:c r="H78" s="85" t="str">
        <x:v>Concluído</x:v>
      </x:c>
    </x:row>
    <x:row r="79">
      <x:c r="A79" s="83" t="n">
        <x:v>78</x:v>
      </x:c>
      <x:c r="B79" s="84" t="n">
        <x:v>864</x:v>
      </x:c>
      <x:c r="C79" s="84" t="n">
        <x:v>7</x:v>
      </x:c>
      <x:c r="D79" s="84" t="str">
        <x:v>Reparo eletrônico</x:v>
      </x:c>
      <x:c r="E79" s="89" t="n">
        <x:v>45080</x:v>
      </x:c>
      <x:c r="F79" s="89" t="n">
        <x:v>45081</x:v>
      </x:c>
      <x:c r="G79" s="93" t="n">
        <x:v>12041.67</x:v>
      </x:c>
      <x:c r="H79" s="85" t="str">
        <x:v>Concluído</x:v>
      </x:c>
    </x:row>
    <x:row r="80">
      <x:c r="A80" s="83" t="n">
        <x:v>79</x:v>
      </x:c>
      <x:c r="B80" s="84" t="n">
        <x:v>875</x:v>
      </x:c>
      <x:c r="C80" s="84" t="n">
        <x:v>18</x:v>
      </x:c>
      <x:c r="D80" s="84" t="str">
        <x:v>Calibração</x:v>
      </x:c>
      <x:c r="E80" s="89" t="n">
        <x:v>45668</x:v>
      </x:c>
      <x:c r="F80" s="89" t="n">
        <x:v>45668</x:v>
      </x:c>
      <x:c r="G80" s="93" t="n">
        <x:v>12890.27</x:v>
      </x:c>
      <x:c r="H80" s="85" t="str">
        <x:v>Concluído</x:v>
      </x:c>
    </x:row>
    <x:row r="81">
      <x:c r="A81" s="83" t="n">
        <x:v>80</x:v>
      </x:c>
      <x:c r="B81" s="84" t="n">
        <x:v>886</x:v>
      </x:c>
      <x:c r="C81" s="84" t="n">
        <x:v>2</x:v>
      </x:c>
      <x:c r="D81" s="84" t="str">
        <x:v>Calibração</x:v>
      </x:c>
      <x:c r="E81" s="89" t="n">
        <x:v>45638</x:v>
      </x:c>
      <x:c r="F81" s="89" t="n">
        <x:v>45638</x:v>
      </x:c>
      <x:c r="G81" s="93" t="n">
        <x:v>8404.24</x:v>
      </x:c>
      <x:c r="H81" s="85" t="str">
        <x:v>Concluído</x:v>
      </x:c>
    </x:row>
    <x:row r="82">
      <x:c r="A82" s="83" t="n">
        <x:v>81</x:v>
      </x:c>
      <x:c r="B82" s="84" t="n">
        <x:v>897</x:v>
      </x:c>
      <x:c r="C82" s="84" t="n">
        <x:v>1</x:v>
      </x:c>
      <x:c r="D82" s="84" t="str">
        <x:v>Usinagem</x:v>
      </x:c>
      <x:c r="E82" s="89" t="n">
        <x:v>45002</x:v>
      </x:c>
      <x:c r="F82" s="89" t="n">
        <x:v>45002</x:v>
      </x:c>
      <x:c r="G82" s="93" t="n">
        <x:v>12196.54</x:v>
      </x:c>
      <x:c r="H82" s="85" t="str">
        <x:v>Concluído</x:v>
      </x:c>
    </x:row>
    <x:row r="83">
      <x:c r="A83" s="83" t="n">
        <x:v>82</x:v>
      </x:c>
      <x:c r="B83" s="84" t="n">
        <x:v>904</x:v>
      </x:c>
      <x:c r="C83" s="84" t="n">
        <x:v>20</x:v>
      </x:c>
      <x:c r="D83" s="84" t="str">
        <x:v>Calibração</x:v>
      </x:c>
      <x:c r="E83" s="89" t="n">
        <x:v>45862</x:v>
      </x:c>
      <x:c r="F83" s="89" t="n">
        <x:v>45862</x:v>
      </x:c>
      <x:c r="G83" s="93" t="n">
        <x:v>10425.79</x:v>
      </x:c>
      <x:c r="H83" s="85" t="str">
        <x:v>Concluído</x:v>
      </x:c>
    </x:row>
    <x:row r="84">
      <x:c r="A84" s="83" t="n">
        <x:v>83</x:v>
      </x:c>
      <x:c r="B84" s="84" t="n">
        <x:v>923</x:v>
      </x:c>
      <x:c r="C84" s="84" t="n">
        <x:v>25</x:v>
      </x:c>
      <x:c r="D84" s="84" t="str">
        <x:v>Usinagem</x:v>
      </x:c>
      <x:c r="E84" s="89" t="n">
        <x:v>45072</x:v>
      </x:c>
      <x:c r="F84" s="89" t="n">
        <x:v>45072</x:v>
      </x:c>
      <x:c r="G84" s="93" t="n">
        <x:v>14618.21</x:v>
      </x:c>
      <x:c r="H84" s="85" t="str">
        <x:v>Concluído</x:v>
      </x:c>
    </x:row>
    <x:row r="85">
      <x:c r="A85" s="83" t="n">
        <x:v>84</x:v>
      </x:c>
      <x:c r="B85" s="84" t="n">
        <x:v>928</x:v>
      </x:c>
      <x:c r="C85" s="84" t="n">
        <x:v>10</x:v>
      </x:c>
      <x:c r="D85" s="84" t="str">
        <x:v>Usinagem</x:v>
      </x:c>
      <x:c r="E85" s="89" t="n">
        <x:v>45767</x:v>
      </x:c>
      <x:c r="F85" s="89" t="n">
        <x:v>45768</x:v>
      </x:c>
      <x:c r="G85" s="93" t="n">
        <x:v>6884.02</x:v>
      </x:c>
      <x:c r="H85" s="85" t="str">
        <x:v>Concluído</x:v>
      </x:c>
    </x:row>
    <x:row r="86">
      <x:c r="A86" s="83" t="n">
        <x:v>85</x:v>
      </x:c>
      <x:c r="B86" s="84" t="n">
        <x:v>942</x:v>
      </x:c>
      <x:c r="C86" s="84" t="n">
        <x:v>25</x:v>
      </x:c>
      <x:c r="D86" s="84" t="str">
        <x:v>Reparo eletrônico</x:v>
      </x:c>
      <x:c r="E86" s="89" t="n">
        <x:v>45107</x:v>
      </x:c>
      <x:c r="F86" s="89" t="n">
        <x:v>45107</x:v>
      </x:c>
      <x:c r="G86" s="93" t="n">
        <x:v>6092.22</x:v>
      </x:c>
      <x:c r="H86" s="85" t="str">
        <x:v>Concluído</x:v>
      </x:c>
    </x:row>
    <x:row r="87">
      <x:c r="A87" s="83" t="n">
        <x:v>86</x:v>
      </x:c>
      <x:c r="B87" s="84" t="n">
        <x:v>947</x:v>
      </x:c>
      <x:c r="C87" s="84" t="n">
        <x:v>9</x:v>
      </x:c>
      <x:c r="D87" s="84" t="str">
        <x:v>Reparo eletrônico</x:v>
      </x:c>
      <x:c r="E87" s="89" t="n">
        <x:v>45646</x:v>
      </x:c>
      <x:c r="F87" s="89" t="n">
        <x:v>45646</x:v>
      </x:c>
      <x:c r="G87" s="93" t="n">
        <x:v>8065.62</x:v>
      </x:c>
      <x:c r="H87" s="85" t="str">
        <x:v>Concluído</x:v>
      </x:c>
    </x:row>
    <x:row r="88">
      <x:c r="A88" s="83" t="n">
        <x:v>87</x:v>
      </x:c>
      <x:c r="B88" s="84" t="n">
        <x:v>951</x:v>
      </x:c>
      <x:c r="C88" s="84" t="n">
        <x:v>20</x:v>
      </x:c>
      <x:c r="D88" s="84" t="str">
        <x:v>Calibração</x:v>
      </x:c>
      <x:c r="E88" s="89" t="n">
        <x:v>45366</x:v>
      </x:c>
      <x:c r="F88" s="89" t="n">
        <x:v>45367</x:v>
      </x:c>
      <x:c r="G88" s="93" t="n">
        <x:v>4697.07</x:v>
      </x:c>
      <x:c r="H88" s="85" t="str">
        <x:v>Concluído</x:v>
      </x:c>
    </x:row>
    <x:row r="89">
      <x:c r="A89" s="83" t="n">
        <x:v>88</x:v>
      </x:c>
      <x:c r="B89" s="84" t="n">
        <x:v>975</x:v>
      </x:c>
      <x:c r="C89" s="84" t="n">
        <x:v>25</x:v>
      </x:c>
      <x:c r="D89" s="84" t="str">
        <x:v>Usinagem</x:v>
      </x:c>
      <x:c r="E89" s="89" t="n">
        <x:v>45584</x:v>
      </x:c>
      <x:c r="F89" s="89" t="n">
        <x:v>45584</x:v>
      </x:c>
      <x:c r="G89" s="93" t="n">
        <x:v>7639.5</x:v>
      </x:c>
      <x:c r="H89" s="85" t="str">
        <x:v>Concluído</x:v>
      </x:c>
    </x:row>
    <x:row r="90">
      <x:c r="A90" s="83" t="n">
        <x:v>89</x:v>
      </x:c>
      <x:c r="B90" s="84" t="n">
        <x:v>982</x:v>
      </x:c>
      <x:c r="C90" s="84" t="n">
        <x:v>6</x:v>
      </x:c>
      <x:c r="D90" s="84" t="str">
        <x:v>Calibração</x:v>
      </x:c>
      <x:c r="E90" s="89" t="n">
        <x:v>45991</x:v>
      </x:c>
      <x:c r="F90" s="89" t="n">
        <x:v>45992</x:v>
      </x:c>
      <x:c r="G90" s="93" t="n">
        <x:v>5554.15</x:v>
      </x:c>
      <x:c r="H90" s="85" t="str">
        <x:v>Concluído</x:v>
      </x:c>
    </x:row>
    <x:row r="91">
      <x:c r="A91" s="83" t="n">
        <x:v>90</x:v>
      </x:c>
      <x:c r="B91" s="84" t="n">
        <x:v>985</x:v>
      </x:c>
      <x:c r="C91" s="84" t="n">
        <x:v>24</x:v>
      </x:c>
      <x:c r="D91" s="84" t="str">
        <x:v>Usinagem</x:v>
      </x:c>
      <x:c r="E91" s="89" t="n">
        <x:v>45337</x:v>
      </x:c>
      <x:c r="F91" s="89" t="n">
        <x:v>45337</x:v>
      </x:c>
      <x:c r="G91" s="93" t="n">
        <x:v>4033.72</x:v>
      </x:c>
      <x:c r="H91" s="85" t="str">
        <x:v>Concluído</x:v>
      </x:c>
    </x:row>
    <x:row r="92">
      <x:c r="A92" s="83" t="n">
        <x:v>91</x:v>
      </x:c>
      <x:c r="B92" s="84" t="n">
        <x:v>986</x:v>
      </x:c>
      <x:c r="C92" s="84" t="n">
        <x:v>3</x:v>
      </x:c>
      <x:c r="D92" s="84" t="str">
        <x:v>Usinagem</x:v>
      </x:c>
      <x:c r="E92" s="89" t="n">
        <x:v>45682</x:v>
      </x:c>
      <x:c r="F92" s="89" t="n">
        <x:v>45683</x:v>
      </x:c>
      <x:c r="G92" s="93" t="n">
        <x:v>8362.82</x:v>
      </x:c>
      <x:c r="H92" s="85" t="str">
        <x:v>Concluído</x:v>
      </x:c>
    </x:row>
    <x:row r="93">
      <x:c r="A93" s="83" t="n">
        <x:v>92</x:v>
      </x:c>
      <x:c r="B93" s="84" t="n">
        <x:v>992</x:v>
      </x:c>
      <x:c r="C93" s="84" t="n">
        <x:v>6</x:v>
      </x:c>
      <x:c r="D93" s="84" t="str">
        <x:v>Calibração</x:v>
      </x:c>
      <x:c r="E93" s="89" t="n">
        <x:v>45530</x:v>
      </x:c>
      <x:c r="F93" s="89" t="n">
        <x:v>45531</x:v>
      </x:c>
      <x:c r="G93" s="93" t="n">
        <x:v>7181.84</x:v>
      </x:c>
      <x:c r="H93" s="85" t="str">
        <x:v>Concluído</x:v>
      </x:c>
    </x:row>
    <x:row r="94">
      <x:c r="A94" s="83" t="n">
        <x:v>93</x:v>
      </x:c>
      <x:c r="B94" s="84" t="n">
        <x:v>997</x:v>
      </x:c>
      <x:c r="C94" s="84" t="n">
        <x:v>12</x:v>
      </x:c>
      <x:c r="D94" s="84" t="str">
        <x:v>Reparo eletrônico</x:v>
      </x:c>
      <x:c r="E94" s="89" t="n">
        <x:v>45952</x:v>
      </x:c>
      <x:c r="F94" s="89"/>
      <x:c r="G94" s="93" t="n">
        <x:v>13502.02</x:v>
      </x:c>
      <x:c r="H94" s="85" t="str">
        <x:v>Em andamento</x:v>
      </x:c>
    </x:row>
    <x:row r="95">
      <x:c r="A95" s="83" t="n">
        <x:v>94</x:v>
      </x:c>
      <x:c r="B95" s="84" t="n">
        <x:v>1003</x:v>
      </x:c>
      <x:c r="C95" s="84" t="n">
        <x:v>12</x:v>
      </x:c>
      <x:c r="D95" s="84" t="str">
        <x:v>Reparo eletrônico</x:v>
      </x:c>
      <x:c r="E95" s="89" t="n">
        <x:v>45496</x:v>
      </x:c>
      <x:c r="F95" s="89" t="n">
        <x:v>45496</x:v>
      </x:c>
      <x:c r="G95" s="93" t="n">
        <x:v>13663.1</x:v>
      </x:c>
      <x:c r="H95" s="85" t="str">
        <x:v>Concluído</x:v>
      </x:c>
    </x:row>
    <x:row r="96">
      <x:c r="A96" s="83" t="n">
        <x:v>95</x:v>
      </x:c>
      <x:c r="B96" s="84" t="n">
        <x:v>1010</x:v>
      </x:c>
      <x:c r="C96" s="84" t="n">
        <x:v>11</x:v>
      </x:c>
      <x:c r="D96" s="84" t="str">
        <x:v>Reparo eletrônico</x:v>
      </x:c>
      <x:c r="E96" s="89" t="n">
        <x:v>45702</x:v>
      </x:c>
      <x:c r="F96" s="89" t="n">
        <x:v>45703</x:v>
      </x:c>
      <x:c r="G96" s="93" t="n">
        <x:v>7180.45</x:v>
      </x:c>
      <x:c r="H96" s="85" t="str">
        <x:v>Concluído</x:v>
      </x:c>
    </x:row>
    <x:row r="97">
      <x:c r="A97" s="83" t="n">
        <x:v>96</x:v>
      </x:c>
      <x:c r="B97" s="84" t="n">
        <x:v>1018</x:v>
      </x:c>
      <x:c r="C97" s="84" t="n">
        <x:v>6</x:v>
      </x:c>
      <x:c r="D97" s="84" t="str">
        <x:v>Calibração</x:v>
      </x:c>
      <x:c r="E97" s="89" t="n">
        <x:v>45397</x:v>
      </x:c>
      <x:c r="F97" s="89" t="n">
        <x:v>45397</x:v>
      </x:c>
      <x:c r="G97" s="93" t="n">
        <x:v>11720.43</x:v>
      </x:c>
      <x:c r="H97" s="85" t="str">
        <x:v>Concluído</x:v>
      </x:c>
    </x:row>
    <x:row r="98">
      <x:c r="A98" s="83" t="n">
        <x:v>97</x:v>
      </x:c>
      <x:c r="B98" s="84" t="n">
        <x:v>1019</x:v>
      </x:c>
      <x:c r="C98" s="84" t="n">
        <x:v>2</x:v>
      </x:c>
      <x:c r="D98" s="84" t="str">
        <x:v>Reparo eletrônico</x:v>
      </x:c>
      <x:c r="E98" s="89" t="n">
        <x:v>44999</x:v>
      </x:c>
      <x:c r="F98" s="89" t="n">
        <x:v>44999</x:v>
      </x:c>
      <x:c r="G98" s="93" t="n">
        <x:v>5043.93</x:v>
      </x:c>
      <x:c r="H98" s="85" t="str">
        <x:v>Concluído</x:v>
      </x:c>
    </x:row>
    <x:row r="99">
      <x:c r="A99" s="83" t="n">
        <x:v>98</x:v>
      </x:c>
      <x:c r="B99" s="84" t="n">
        <x:v>1022</x:v>
      </x:c>
      <x:c r="C99" s="84" t="n">
        <x:v>11</x:v>
      </x:c>
      <x:c r="D99" s="84" t="str">
        <x:v>Reparo eletrônico</x:v>
      </x:c>
      <x:c r="E99" s="89" t="n">
        <x:v>45052</x:v>
      </x:c>
      <x:c r="F99" s="89" t="n">
        <x:v>45052</x:v>
      </x:c>
      <x:c r="G99" s="93" t="n">
        <x:v>11763.31</x:v>
      </x:c>
      <x:c r="H99" s="85" t="str">
        <x:v>Concluído</x:v>
      </x:c>
    </x:row>
    <x:row r="100">
      <x:c r="A100" s="83" t="n">
        <x:v>99</x:v>
      </x:c>
      <x:c r="B100" s="84" t="n">
        <x:v>1036</x:v>
      </x:c>
      <x:c r="C100" s="84" t="n">
        <x:v>18</x:v>
      </x:c>
      <x:c r="D100" s="84" t="str">
        <x:v>Calibração</x:v>
      </x:c>
      <x:c r="E100" s="89" t="n">
        <x:v>45989</x:v>
      </x:c>
      <x:c r="F100" s="89" t="n">
        <x:v>45989</x:v>
      </x:c>
      <x:c r="G100" s="93" t="n">
        <x:v>3319.28</x:v>
      </x:c>
      <x:c r="H100" s="85" t="str">
        <x:v>Concluído</x:v>
      </x:c>
    </x:row>
    <x:row r="101">
      <x:c r="A101" s="83" t="n">
        <x:v>100</x:v>
      </x:c>
      <x:c r="B101" s="84" t="n">
        <x:v>1038</x:v>
      </x:c>
      <x:c r="C101" s="84" t="n">
        <x:v>8</x:v>
      </x:c>
      <x:c r="D101" s="84" t="str">
        <x:v>Usinagem</x:v>
      </x:c>
      <x:c r="E101" s="89" t="n">
        <x:v>45838</x:v>
      </x:c>
      <x:c r="F101" s="89" t="n">
        <x:v>45838</x:v>
      </x:c>
      <x:c r="G101" s="93" t="n">
        <x:v>3841.01</x:v>
      </x:c>
      <x:c r="H101" s="85" t="str">
        <x:v>Concluído</x:v>
      </x:c>
    </x:row>
    <x:row r="102">
      <x:c r="A102" s="83" t="n">
        <x:v>101</x:v>
      </x:c>
      <x:c r="B102" s="84" t="n">
        <x:v>1046</x:v>
      </x:c>
      <x:c r="C102" s="84" t="n">
        <x:v>3</x:v>
      </x:c>
      <x:c r="D102" s="84" t="str">
        <x:v>Calibração</x:v>
      </x:c>
      <x:c r="E102" s="89" t="n">
        <x:v>45827</x:v>
      </x:c>
      <x:c r="F102" s="89" t="n">
        <x:v>45827</x:v>
      </x:c>
      <x:c r="G102" s="93" t="n">
        <x:v>14303.96</x:v>
      </x:c>
      <x:c r="H102" s="85" t="str">
        <x:v>Concluído</x:v>
      </x:c>
    </x:row>
    <x:row r="103">
      <x:c r="A103" s="83" t="n">
        <x:v>102</x:v>
      </x:c>
      <x:c r="B103" s="84" t="n">
        <x:v>1053</x:v>
      </x:c>
      <x:c r="C103" s="84" t="n">
        <x:v>7</x:v>
      </x:c>
      <x:c r="D103" s="84" t="str">
        <x:v>Usinagem</x:v>
      </x:c>
      <x:c r="E103" s="89" t="n">
        <x:v>45297</x:v>
      </x:c>
      <x:c r="F103" s="89"/>
      <x:c r="G103" s="93" t="n">
        <x:v>13463.97</x:v>
      </x:c>
      <x:c r="H103" s="85" t="str">
        <x:v>Em andamento</x:v>
      </x:c>
    </x:row>
    <x:row r="104">
      <x:c r="A104" s="83" t="n">
        <x:v>103</x:v>
      </x:c>
      <x:c r="B104" s="84" t="n">
        <x:v>1060</x:v>
      </x:c>
      <x:c r="C104" s="84" t="n">
        <x:v>15</x:v>
      </x:c>
      <x:c r="D104" s="84" t="str">
        <x:v>Usinagem</x:v>
      </x:c>
      <x:c r="E104" s="89" t="n">
        <x:v>45942</x:v>
      </x:c>
      <x:c r="F104" s="89" t="n">
        <x:v>45943</x:v>
      </x:c>
      <x:c r="G104" s="93" t="n">
        <x:v>2205.43</x:v>
      </x:c>
      <x:c r="H104" s="85" t="str">
        <x:v>Concluído</x:v>
      </x:c>
    </x:row>
    <x:row r="105">
      <x:c r="A105" s="83" t="n">
        <x:v>104</x:v>
      </x:c>
      <x:c r="B105" s="84" t="n">
        <x:v>1065</x:v>
      </x:c>
      <x:c r="C105" s="84" t="n">
        <x:v>10</x:v>
      </x:c>
      <x:c r="D105" s="84" t="str">
        <x:v>Calibração</x:v>
      </x:c>
      <x:c r="E105" s="89" t="n">
        <x:v>45462</x:v>
      </x:c>
      <x:c r="F105" s="89" t="n">
        <x:v>45462</x:v>
      </x:c>
      <x:c r="G105" s="93" t="n">
        <x:v>8615.77</x:v>
      </x:c>
      <x:c r="H105" s="85" t="str">
        <x:v>Concluído</x:v>
      </x:c>
    </x:row>
    <x:row r="106">
      <x:c r="A106" s="83" t="n">
        <x:v>105</x:v>
      </x:c>
      <x:c r="B106" s="84" t="n">
        <x:v>1067</x:v>
      </x:c>
      <x:c r="C106" s="84" t="n">
        <x:v>14</x:v>
      </x:c>
      <x:c r="D106" s="84" t="str">
        <x:v>Reparo eletrônico</x:v>
      </x:c>
      <x:c r="E106" s="89" t="n">
        <x:v>44988</x:v>
      </x:c>
      <x:c r="F106" s="89" t="n">
        <x:v>44989</x:v>
      </x:c>
      <x:c r="G106" s="93" t="n">
        <x:v>8478.53</x:v>
      </x:c>
      <x:c r="H106" s="85" t="str">
        <x:v>Concluído</x:v>
      </x:c>
    </x:row>
    <x:row r="107">
      <x:c r="A107" s="83" t="n">
        <x:v>106</x:v>
      </x:c>
      <x:c r="B107" s="84" t="n">
        <x:v>1089</x:v>
      </x:c>
      <x:c r="C107" s="84" t="n">
        <x:v>18</x:v>
      </x:c>
      <x:c r="D107" s="84" t="str">
        <x:v>Reparo eletrônico</x:v>
      </x:c>
      <x:c r="E107" s="89" t="n">
        <x:v>45075</x:v>
      </x:c>
      <x:c r="F107" s="89" t="n">
        <x:v>45076</x:v>
      </x:c>
      <x:c r="G107" s="93" t="n">
        <x:v>7314.81</x:v>
      </x:c>
      <x:c r="H107" s="85" t="str">
        <x:v>Concluído</x:v>
      </x:c>
    </x:row>
    <x:row r="108">
      <x:c r="A108" s="83" t="n">
        <x:v>107</x:v>
      </x:c>
      <x:c r="B108" s="84" t="n">
        <x:v>1094</x:v>
      </x:c>
      <x:c r="C108" s="84" t="n">
        <x:v>3</x:v>
      </x:c>
      <x:c r="D108" s="84" t="str">
        <x:v>Reparo eletrônico</x:v>
      </x:c>
      <x:c r="E108" s="89" t="n">
        <x:v>45615</x:v>
      </x:c>
      <x:c r="F108" s="89" t="n">
        <x:v>45615</x:v>
      </x:c>
      <x:c r="G108" s="93" t="n">
        <x:v>14216.19</x:v>
      </x:c>
      <x:c r="H108" s="85" t="str">
        <x:v>Concluído</x:v>
      </x:c>
    </x:row>
    <x:row r="109">
      <x:c r="A109" s="83" t="n">
        <x:v>108</x:v>
      </x:c>
      <x:c r="B109" s="84" t="n">
        <x:v>1097</x:v>
      </x:c>
      <x:c r="C109" s="84" t="n">
        <x:v>20</x:v>
      </x:c>
      <x:c r="D109" s="84" t="str">
        <x:v>Calibração</x:v>
      </x:c>
      <x:c r="E109" s="89" t="n">
        <x:v>45607</x:v>
      </x:c>
      <x:c r="F109" s="89" t="n">
        <x:v>45607</x:v>
      </x:c>
      <x:c r="G109" s="93" t="n">
        <x:v>5857.75</x:v>
      </x:c>
      <x:c r="H109" s="85" t="str">
        <x:v>Concluído</x:v>
      </x:c>
    </x:row>
    <x:row r="110">
      <x:c r="A110" s="83" t="n">
        <x:v>109</x:v>
      </x:c>
      <x:c r="B110" s="84" t="n">
        <x:v>1100</x:v>
      </x:c>
      <x:c r="C110" s="84" t="n">
        <x:v>6</x:v>
      </x:c>
      <x:c r="D110" s="84" t="str">
        <x:v>Calibração</x:v>
      </x:c>
      <x:c r="E110" s="89" t="n">
        <x:v>45957</x:v>
      </x:c>
      <x:c r="F110" s="89" t="n">
        <x:v>45958</x:v>
      </x:c>
      <x:c r="G110" s="93" t="n">
        <x:v>12002.32</x:v>
      </x:c>
      <x:c r="H110" s="85" t="str">
        <x:v>Concluído</x:v>
      </x:c>
    </x:row>
    <x:row r="111">
      <x:c r="A111" s="83" t="n">
        <x:v>110</x:v>
      </x:c>
      <x:c r="B111" s="84" t="n">
        <x:v>1108</x:v>
      </x:c>
      <x:c r="C111" s="84" t="n">
        <x:v>13</x:v>
      </x:c>
      <x:c r="D111" s="84" t="str">
        <x:v>Usinagem</x:v>
      </x:c>
      <x:c r="E111" s="89" t="n">
        <x:v>45070</x:v>
      </x:c>
      <x:c r="F111" s="89" t="n">
        <x:v>45070</x:v>
      </x:c>
      <x:c r="G111" s="93" t="n">
        <x:v>5754.68</x:v>
      </x:c>
      <x:c r="H111" s="85" t="str">
        <x:v>Concluído</x:v>
      </x:c>
    </x:row>
    <x:row r="112">
      <x:c r="A112" s="83" t="n">
        <x:v>111</x:v>
      </x:c>
      <x:c r="B112" s="84" t="n">
        <x:v>1113</x:v>
      </x:c>
      <x:c r="C112" s="84" t="n">
        <x:v>21</x:v>
      </x:c>
      <x:c r="D112" s="84" t="str">
        <x:v>Reparo eletrônico</x:v>
      </x:c>
      <x:c r="E112" s="89" t="n">
        <x:v>45895</x:v>
      </x:c>
      <x:c r="F112" s="89" t="n">
        <x:v>45895</x:v>
      </x:c>
      <x:c r="G112" s="93" t="n">
        <x:v>4666.42</x:v>
      </x:c>
      <x:c r="H112" s="85" t="str">
        <x:v>Concluído</x:v>
      </x:c>
    </x:row>
    <x:row r="113">
      <x:c r="A113" s="83" t="n">
        <x:v>112</x:v>
      </x:c>
      <x:c r="B113" s="84" t="n">
        <x:v>1114</x:v>
      </x:c>
      <x:c r="C113" s="84" t="n">
        <x:v>10</x:v>
      </x:c>
      <x:c r="D113" s="84" t="str">
        <x:v>Reparo eletrônico</x:v>
      </x:c>
      <x:c r="E113" s="89" t="n">
        <x:v>45285</x:v>
      </x:c>
      <x:c r="F113" s="89" t="n">
        <x:v>45286</x:v>
      </x:c>
      <x:c r="G113" s="93" t="n">
        <x:v>13112.27</x:v>
      </x:c>
      <x:c r="H113" s="85" t="str">
        <x:v>Concluído</x:v>
      </x:c>
    </x:row>
    <x:row r="114">
      <x:c r="A114" s="83" t="n">
        <x:v>113</x:v>
      </x:c>
      <x:c r="B114" s="84" t="n">
        <x:v>1127</x:v>
      </x:c>
      <x:c r="C114" s="84" t="n">
        <x:v>16</x:v>
      </x:c>
      <x:c r="D114" s="84" t="str">
        <x:v>Calibração</x:v>
      </x:c>
      <x:c r="E114" s="89" t="n">
        <x:v>45712</x:v>
      </x:c>
      <x:c r="F114" s="89" t="n">
        <x:v>45713</x:v>
      </x:c>
      <x:c r="G114" s="93" t="n">
        <x:v>14875.76</x:v>
      </x:c>
      <x:c r="H114" s="85" t="str">
        <x:v>Concluído</x:v>
      </x:c>
    </x:row>
    <x:row r="115">
      <x:c r="A115" s="83" t="n">
        <x:v>114</x:v>
      </x:c>
      <x:c r="B115" s="84" t="n">
        <x:v>1149</x:v>
      </x:c>
      <x:c r="C115" s="84" t="n">
        <x:v>16</x:v>
      </x:c>
      <x:c r="D115" s="84" t="str">
        <x:v>Calibração</x:v>
      </x:c>
      <x:c r="E115" s="89" t="n">
        <x:v>45294</x:v>
      </x:c>
      <x:c r="F115" s="89" t="n">
        <x:v>45294</x:v>
      </x:c>
      <x:c r="G115" s="93" t="n">
        <x:v>1047.49</x:v>
      </x:c>
      <x:c r="H115" s="85" t="str">
        <x:v>Concluído</x:v>
      </x:c>
    </x:row>
    <x:row r="116">
      <x:c r="A116" s="83" t="n">
        <x:v>115</x:v>
      </x:c>
      <x:c r="B116" s="84" t="n">
        <x:v>1155</x:v>
      </x:c>
      <x:c r="C116" s="84" t="n">
        <x:v>15</x:v>
      </x:c>
      <x:c r="D116" s="84" t="str">
        <x:v>Usinagem</x:v>
      </x:c>
      <x:c r="E116" s="89" t="n">
        <x:v>45477</x:v>
      </x:c>
      <x:c r="F116" s="89" t="n">
        <x:v>45477</x:v>
      </x:c>
      <x:c r="G116" s="93" t="n">
        <x:v>13022.63</x:v>
      </x:c>
      <x:c r="H116" s="85" t="str">
        <x:v>Concluído</x:v>
      </x:c>
    </x:row>
    <x:row r="117">
      <x:c r="A117" s="83" t="n">
        <x:v>116</x:v>
      </x:c>
      <x:c r="B117" s="84" t="n">
        <x:v>1156</x:v>
      </x:c>
      <x:c r="C117" s="84" t="n">
        <x:v>17</x:v>
      </x:c>
      <x:c r="D117" s="84" t="str">
        <x:v>Usinagem</x:v>
      </x:c>
      <x:c r="E117" s="89" t="n">
        <x:v>45730</x:v>
      </x:c>
      <x:c r="F117" s="89" t="n">
        <x:v>45730</x:v>
      </x:c>
      <x:c r="G117" s="93" t="n">
        <x:v>13681.86</x:v>
      </x:c>
      <x:c r="H117" s="85" t="str">
        <x:v>Concluído</x:v>
      </x:c>
    </x:row>
    <x:row r="118">
      <x:c r="A118" s="83" t="n">
        <x:v>117</x:v>
      </x:c>
      <x:c r="B118" s="84" t="n">
        <x:v>1191</x:v>
      </x:c>
      <x:c r="C118" s="84" t="n">
        <x:v>1</x:v>
      </x:c>
      <x:c r="D118" s="84" t="str">
        <x:v>Reparo eletrônico</x:v>
      </x:c>
      <x:c r="E118" s="89" t="n">
        <x:v>45476</x:v>
      </x:c>
      <x:c r="F118" s="89" t="n">
        <x:v>45477</x:v>
      </x:c>
      <x:c r="G118" s="93" t="n">
        <x:v>5559.2</x:v>
      </x:c>
      <x:c r="H118" s="85" t="str">
        <x:v>Concluído</x:v>
      </x:c>
    </x:row>
    <x:row r="119">
      <x:c r="A119" s="83" t="n">
        <x:v>118</x:v>
      </x:c>
      <x:c r="B119" s="84" t="n">
        <x:v>1193</x:v>
      </x:c>
      <x:c r="C119" s="84" t="n">
        <x:v>12</x:v>
      </x:c>
      <x:c r="D119" s="84" t="str">
        <x:v>Usinagem</x:v>
      </x:c>
      <x:c r="E119" s="89" t="n">
        <x:v>45319</x:v>
      </x:c>
      <x:c r="F119" s="89" t="n">
        <x:v>45319</x:v>
      </x:c>
      <x:c r="G119" s="93" t="n">
        <x:v>8770.87</x:v>
      </x:c>
      <x:c r="H119" s="85" t="str">
        <x:v>Concluído</x:v>
      </x:c>
    </x:row>
    <x:row r="120">
      <x:c r="A120" s="83" t="n">
        <x:v>119</x:v>
      </x:c>
      <x:c r="B120" s="84" t="n">
        <x:v>1194</x:v>
      </x:c>
      <x:c r="C120" s="84" t="n">
        <x:v>24</x:v>
      </x:c>
      <x:c r="D120" s="84" t="str">
        <x:v>Calibração</x:v>
      </x:c>
      <x:c r="E120" s="89" t="n">
        <x:v>45928</x:v>
      </x:c>
      <x:c r="F120" s="89" t="n">
        <x:v>45928</x:v>
      </x:c>
      <x:c r="G120" s="93" t="n">
        <x:v>8345.39</x:v>
      </x:c>
      <x:c r="H120" s="85" t="str">
        <x:v>Concluído</x:v>
      </x:c>
    </x:row>
    <x:row r="121">
      <x:c r="A121" s="83" t="n">
        <x:v>120</x:v>
      </x:c>
      <x:c r="B121" s="84" t="n">
        <x:v>1197</x:v>
      </x:c>
      <x:c r="C121" s="84" t="n">
        <x:v>16</x:v>
      </x:c>
      <x:c r="D121" s="84" t="str">
        <x:v>Calibração</x:v>
      </x:c>
      <x:c r="E121" s="89" t="n">
        <x:v>45067</x:v>
      </x:c>
      <x:c r="F121" s="89" t="n">
        <x:v>45067</x:v>
      </x:c>
      <x:c r="G121" s="93" t="n">
        <x:v>1083.27</x:v>
      </x:c>
      <x:c r="H121" s="85" t="str">
        <x:v>Concluído</x:v>
      </x:c>
    </x:row>
    <x:row r="122">
      <x:c r="A122" s="83" t="n">
        <x:v>121</x:v>
      </x:c>
      <x:c r="B122" s="84" t="n">
        <x:v>1199</x:v>
      </x:c>
      <x:c r="C122" s="84" t="n">
        <x:v>21</x:v>
      </x:c>
      <x:c r="D122" s="84" t="str">
        <x:v>Reparo eletrônico</x:v>
      </x:c>
      <x:c r="E122" s="89" t="n">
        <x:v>45822</x:v>
      </x:c>
      <x:c r="F122" s="89" t="n">
        <x:v>45822</x:v>
      </x:c>
      <x:c r="G122" s="93" t="n">
        <x:v>7494.58</x:v>
      </x:c>
      <x:c r="H122" s="85" t="str">
        <x:v>Concluído</x:v>
      </x:c>
    </x:row>
    <x:row r="123">
      <x:c r="A123" s="83" t="n">
        <x:v>122</x:v>
      </x:c>
      <x:c r="B123" s="84" t="n">
        <x:v>1207</x:v>
      </x:c>
      <x:c r="C123" s="84" t="n">
        <x:v>17</x:v>
      </x:c>
      <x:c r="D123" s="84" t="str">
        <x:v>Reparo eletrônico</x:v>
      </x:c>
      <x:c r="E123" s="89" t="n">
        <x:v>45985</x:v>
      </x:c>
      <x:c r="F123" s="89" t="n">
        <x:v>45985</x:v>
      </x:c>
      <x:c r="G123" s="93" t="n">
        <x:v>4251.3</x:v>
      </x:c>
      <x:c r="H123" s="85" t="str">
        <x:v>Concluído</x:v>
      </x:c>
    </x:row>
    <x:row r="124">
      <x:c r="A124" s="83" t="n">
        <x:v>123</x:v>
      </x:c>
      <x:c r="B124" s="84" t="n">
        <x:v>1217</x:v>
      </x:c>
      <x:c r="C124" s="84" t="n">
        <x:v>5</x:v>
      </x:c>
      <x:c r="D124" s="84" t="str">
        <x:v>Calibração</x:v>
      </x:c>
      <x:c r="E124" s="89" t="n">
        <x:v>45614</x:v>
      </x:c>
      <x:c r="F124" s="89" t="n">
        <x:v>45615</x:v>
      </x:c>
      <x:c r="G124" s="93" t="n">
        <x:v>7971.39</x:v>
      </x:c>
      <x:c r="H124" s="85" t="str">
        <x:v>Concluído</x:v>
      </x:c>
    </x:row>
    <x:row r="125">
      <x:c r="A125" s="83" t="n">
        <x:v>124</x:v>
      </x:c>
      <x:c r="B125" s="84" t="n">
        <x:v>1227</x:v>
      </x:c>
      <x:c r="C125" s="84" t="n">
        <x:v>4</x:v>
      </x:c>
      <x:c r="D125" s="84" t="str">
        <x:v>Reparo eletrônico</x:v>
      </x:c>
      <x:c r="E125" s="89" t="n">
        <x:v>45109</x:v>
      </x:c>
      <x:c r="F125" s="89" t="n">
        <x:v>45109</x:v>
      </x:c>
      <x:c r="G125" s="93" t="n">
        <x:v>3521.14</x:v>
      </x:c>
      <x:c r="H125" s="85" t="str">
        <x:v>Concluído</x:v>
      </x:c>
    </x:row>
    <x:row r="126">
      <x:c r="A126" s="83" t="n">
        <x:v>125</x:v>
      </x:c>
      <x:c r="B126" s="84" t="n">
        <x:v>1241</x:v>
      </x:c>
      <x:c r="C126" s="84" t="n">
        <x:v>4</x:v>
      </x:c>
      <x:c r="D126" s="84" t="str">
        <x:v>Usinagem</x:v>
      </x:c>
      <x:c r="E126" s="89" t="n">
        <x:v>45079</x:v>
      </x:c>
      <x:c r="F126" s="89" t="n">
        <x:v>45079</x:v>
      </x:c>
      <x:c r="G126" s="93" t="n">
        <x:v>7747.88</x:v>
      </x:c>
      <x:c r="H126" s="85" t="str">
        <x:v>Concluído</x:v>
      </x:c>
    </x:row>
    <x:row r="127">
      <x:c r="A127" s="83" t="n">
        <x:v>126</x:v>
      </x:c>
      <x:c r="B127" s="84" t="n">
        <x:v>1254</x:v>
      </x:c>
      <x:c r="C127" s="84" t="n">
        <x:v>17</x:v>
      </x:c>
      <x:c r="D127" s="84" t="str">
        <x:v>Reparo eletrônico</x:v>
      </x:c>
      <x:c r="E127" s="89" t="n">
        <x:v>45658</x:v>
      </x:c>
      <x:c r="F127" s="89"/>
      <x:c r="G127" s="93" t="n">
        <x:v>11497.46</x:v>
      </x:c>
      <x:c r="H127" s="85" t="str">
        <x:v>Em andamento</x:v>
      </x:c>
    </x:row>
    <x:row r="128">
      <x:c r="A128" s="83" t="n">
        <x:v>127</x:v>
      </x:c>
      <x:c r="B128" s="84" t="n">
        <x:v>1270</x:v>
      </x:c>
      <x:c r="C128" s="84" t="n">
        <x:v>5</x:v>
      </x:c>
      <x:c r="D128" s="84" t="str">
        <x:v>Calibração</x:v>
      </x:c>
      <x:c r="E128" s="89" t="n">
        <x:v>45256</x:v>
      </x:c>
      <x:c r="F128" s="89"/>
      <x:c r="G128" s="93" t="n">
        <x:v>12491.57</x:v>
      </x:c>
      <x:c r="H128" s="85" t="str">
        <x:v>Em andamento</x:v>
      </x:c>
    </x:row>
    <x:row r="129">
      <x:c r="A129" s="83" t="n">
        <x:v>128</x:v>
      </x:c>
      <x:c r="B129" s="84" t="n">
        <x:v>1276</x:v>
      </x:c>
      <x:c r="C129" s="84" t="n">
        <x:v>5</x:v>
      </x:c>
      <x:c r="D129" s="84" t="str">
        <x:v>Usinagem</x:v>
      </x:c>
      <x:c r="E129" s="89" t="n">
        <x:v>45437</x:v>
      </x:c>
      <x:c r="F129" s="89" t="n">
        <x:v>45438</x:v>
      </x:c>
      <x:c r="G129" s="93" t="n">
        <x:v>7538.14</x:v>
      </x:c>
      <x:c r="H129" s="85" t="str">
        <x:v>Concluído</x:v>
      </x:c>
    </x:row>
    <x:row r="130">
      <x:c r="A130" s="83" t="n">
        <x:v>129</x:v>
      </x:c>
      <x:c r="B130" s="84" t="n">
        <x:v>1286</x:v>
      </x:c>
      <x:c r="C130" s="84" t="n">
        <x:v>8</x:v>
      </x:c>
      <x:c r="D130" s="84" t="str">
        <x:v>Usinagem</x:v>
      </x:c>
      <x:c r="E130" s="89" t="n">
        <x:v>46010</x:v>
      </x:c>
      <x:c r="F130" s="89" t="n">
        <x:v>46010</x:v>
      </x:c>
      <x:c r="G130" s="93" t="n">
        <x:v>12993.05</x:v>
      </x:c>
      <x:c r="H130" s="85" t="str">
        <x:v>Concluído</x:v>
      </x:c>
    </x:row>
    <x:row r="131">
      <x:c r="A131" s="83" t="n">
        <x:v>130</x:v>
      </x:c>
      <x:c r="B131" s="84" t="n">
        <x:v>1294</x:v>
      </x:c>
      <x:c r="C131" s="84" t="n">
        <x:v>8</x:v>
      </x:c>
      <x:c r="D131" s="84" t="str">
        <x:v>Usinagem</x:v>
      </x:c>
      <x:c r="E131" s="89" t="n">
        <x:v>45750</x:v>
      </x:c>
      <x:c r="F131" s="89" t="n">
        <x:v>45751</x:v>
      </x:c>
      <x:c r="G131" s="93" t="n">
        <x:v>8334.02</x:v>
      </x:c>
      <x:c r="H131" s="85" t="str">
        <x:v>Concluído</x:v>
      </x:c>
    </x:row>
    <x:row r="132">
      <x:c r="A132" s="83" t="n">
        <x:v>131</x:v>
      </x:c>
      <x:c r="B132" s="84" t="n">
        <x:v>1323</x:v>
      </x:c>
      <x:c r="C132" s="84" t="n">
        <x:v>19</x:v>
      </x:c>
      <x:c r="D132" s="84" t="str">
        <x:v>Usinagem</x:v>
      </x:c>
      <x:c r="E132" s="89" t="n">
        <x:v>45954</x:v>
      </x:c>
      <x:c r="F132" s="89" t="n">
        <x:v>45955</x:v>
      </x:c>
      <x:c r="G132" s="93" t="n">
        <x:v>7558.56</x:v>
      </x:c>
      <x:c r="H132" s="85" t="str">
        <x:v>Concluído</x:v>
      </x:c>
    </x:row>
    <x:row r="133">
      <x:c r="A133" s="83" t="n">
        <x:v>132</x:v>
      </x:c>
      <x:c r="B133" s="84" t="n">
        <x:v>1341</x:v>
      </x:c>
      <x:c r="C133" s="84" t="n">
        <x:v>21</x:v>
      </x:c>
      <x:c r="D133" s="84" t="str">
        <x:v>Reparo eletrônico</x:v>
      </x:c>
      <x:c r="E133" s="89" t="n">
        <x:v>45333</x:v>
      </x:c>
      <x:c r="F133" s="89"/>
      <x:c r="G133" s="93" t="n">
        <x:v>13871.28</x:v>
      </x:c>
      <x:c r="H133" s="85" t="str">
        <x:v>Em andamento</x:v>
      </x:c>
    </x:row>
    <x:row r="134">
      <x:c r="A134" s="83" t="n">
        <x:v>133</x:v>
      </x:c>
      <x:c r="B134" s="84" t="n">
        <x:v>1352</x:v>
      </x:c>
      <x:c r="C134" s="84" t="n">
        <x:v>25</x:v>
      </x:c>
      <x:c r="D134" s="84" t="str">
        <x:v>Calibração</x:v>
      </x:c>
      <x:c r="E134" s="89" t="n">
        <x:v>45201</x:v>
      </x:c>
      <x:c r="F134" s="89" t="n">
        <x:v>45202</x:v>
      </x:c>
      <x:c r="G134" s="93" t="n">
        <x:v>9275.36</x:v>
      </x:c>
      <x:c r="H134" s="85" t="str">
        <x:v>Concluído</x:v>
      </x:c>
    </x:row>
    <x:row r="135">
      <x:c r="A135" s="83" t="n">
        <x:v>134</x:v>
      </x:c>
      <x:c r="B135" s="84" t="n">
        <x:v>1354</x:v>
      </x:c>
      <x:c r="C135" s="84" t="n">
        <x:v>10</x:v>
      </x:c>
      <x:c r="D135" s="84" t="str">
        <x:v>Reparo eletrônico</x:v>
      </x:c>
      <x:c r="E135" s="89" t="n">
        <x:v>45547</x:v>
      </x:c>
      <x:c r="F135" s="89" t="n">
        <x:v>45547</x:v>
      </x:c>
      <x:c r="G135" s="93" t="n">
        <x:v>13445.32</x:v>
      </x:c>
      <x:c r="H135" s="85" t="str">
        <x:v>Concluído</x:v>
      </x:c>
    </x:row>
    <x:row r="136">
      <x:c r="A136" s="83" t="n">
        <x:v>135</x:v>
      </x:c>
      <x:c r="B136" s="84" t="n">
        <x:v>1357</x:v>
      </x:c>
      <x:c r="C136" s="84" t="n">
        <x:v>9</x:v>
      </x:c>
      <x:c r="D136" s="84" t="str">
        <x:v>Reparo eletrônico</x:v>
      </x:c>
      <x:c r="E136" s="89" t="n">
        <x:v>45748</x:v>
      </x:c>
      <x:c r="F136" s="89" t="n">
        <x:v>45748</x:v>
      </x:c>
      <x:c r="G136" s="93" t="n">
        <x:v>2975.27</x:v>
      </x:c>
      <x:c r="H136" s="85" t="str">
        <x:v>Concluído</x:v>
      </x:c>
    </x:row>
    <x:row r="137">
      <x:c r="A137" s="83" t="n">
        <x:v>136</x:v>
      </x:c>
      <x:c r="B137" s="84" t="n">
        <x:v>1383</x:v>
      </x:c>
      <x:c r="C137" s="84" t="n">
        <x:v>9</x:v>
      </x:c>
      <x:c r="D137" s="84" t="str">
        <x:v>Usinagem</x:v>
      </x:c>
      <x:c r="E137" s="89" t="n">
        <x:v>45995</x:v>
      </x:c>
      <x:c r="F137" s="89" t="n">
        <x:v>45995</x:v>
      </x:c>
      <x:c r="G137" s="93" t="n">
        <x:v>12354.63</x:v>
      </x:c>
      <x:c r="H137" s="85" t="str">
        <x:v>Concluído</x:v>
      </x:c>
    </x:row>
    <x:row r="138">
      <x:c r="A138" s="83" t="n">
        <x:v>137</x:v>
      </x:c>
      <x:c r="B138" s="84" t="n">
        <x:v>1399</x:v>
      </x:c>
      <x:c r="C138" s="84" t="n">
        <x:v>4</x:v>
      </x:c>
      <x:c r="D138" s="84" t="str">
        <x:v>Usinagem</x:v>
      </x:c>
      <x:c r="E138" s="89" t="n">
        <x:v>45915</x:v>
      </x:c>
      <x:c r="F138" s="89" t="n">
        <x:v>45916</x:v>
      </x:c>
      <x:c r="G138" s="93" t="n">
        <x:v>14770.76</x:v>
      </x:c>
      <x:c r="H138" s="85" t="str">
        <x:v>Concluído</x:v>
      </x:c>
    </x:row>
    <x:row r="139">
      <x:c r="A139" s="83" t="n">
        <x:v>138</x:v>
      </x:c>
      <x:c r="B139" s="84" t="n">
        <x:v>1406</x:v>
      </x:c>
      <x:c r="C139" s="84" t="n">
        <x:v>3</x:v>
      </x:c>
      <x:c r="D139" s="84" t="str">
        <x:v>Usinagem</x:v>
      </x:c>
      <x:c r="E139" s="89" t="n">
        <x:v>45144</x:v>
      </x:c>
      <x:c r="F139" s="89" t="n">
        <x:v>45144</x:v>
      </x:c>
      <x:c r="G139" s="93" t="n">
        <x:v>564.91</x:v>
      </x:c>
      <x:c r="H139" s="85" t="str">
        <x:v>Concluído</x:v>
      </x:c>
    </x:row>
    <x:row r="140">
      <x:c r="A140" s="83" t="n">
        <x:v>139</x:v>
      </x:c>
      <x:c r="B140" s="84" t="n">
        <x:v>1415</x:v>
      </x:c>
      <x:c r="C140" s="84" t="n">
        <x:v>8</x:v>
      </x:c>
      <x:c r="D140" s="84" t="str">
        <x:v>Reparo eletrônico</x:v>
      </x:c>
      <x:c r="E140" s="89" t="n">
        <x:v>45374</x:v>
      </x:c>
      <x:c r="F140" s="89" t="n">
        <x:v>45374</x:v>
      </x:c>
      <x:c r="G140" s="93" t="n">
        <x:v>5204.28</x:v>
      </x:c>
      <x:c r="H140" s="85" t="str">
        <x:v>Concluído</x:v>
      </x:c>
    </x:row>
    <x:row r="141">
      <x:c r="A141" s="83" t="n">
        <x:v>140</x:v>
      </x:c>
      <x:c r="B141" s="84" t="n">
        <x:v>1421</x:v>
      </x:c>
      <x:c r="C141" s="84" t="n">
        <x:v>8</x:v>
      </x:c>
      <x:c r="D141" s="84" t="str">
        <x:v>Usinagem</x:v>
      </x:c>
      <x:c r="E141" s="89" t="n">
        <x:v>45521</x:v>
      </x:c>
      <x:c r="F141" s="89" t="n">
        <x:v>45521</x:v>
      </x:c>
      <x:c r="G141" s="93" t="n">
        <x:v>4307.6</x:v>
      </x:c>
      <x:c r="H141" s="85" t="str">
        <x:v>Concluído</x:v>
      </x:c>
    </x:row>
    <x:row r="142">
      <x:c r="A142" s="83" t="n">
        <x:v>141</x:v>
      </x:c>
      <x:c r="B142" s="84" t="n">
        <x:v>1424</x:v>
      </x:c>
      <x:c r="C142" s="84" t="n">
        <x:v>13</x:v>
      </x:c>
      <x:c r="D142" s="84" t="str">
        <x:v>Calibração</x:v>
      </x:c>
      <x:c r="E142" s="89" t="n">
        <x:v>45747</x:v>
      </x:c>
      <x:c r="F142" s="89" t="n">
        <x:v>45747</x:v>
      </x:c>
      <x:c r="G142" s="93" t="n">
        <x:v>3066.06</x:v>
      </x:c>
      <x:c r="H142" s="85" t="str">
        <x:v>Concluído</x:v>
      </x:c>
    </x:row>
    <x:row r="143">
      <x:c r="A143" s="83" t="n">
        <x:v>142</x:v>
      </x:c>
      <x:c r="B143" s="84" t="n">
        <x:v>1446</x:v>
      </x:c>
      <x:c r="C143" s="84" t="n">
        <x:v>20</x:v>
      </x:c>
      <x:c r="D143" s="84" t="str">
        <x:v>Usinagem</x:v>
      </x:c>
      <x:c r="E143" s="89" t="n">
        <x:v>44993</x:v>
      </x:c>
      <x:c r="F143" s="89" t="n">
        <x:v>44994</x:v>
      </x:c>
      <x:c r="G143" s="93" t="n">
        <x:v>13489.24</x:v>
      </x:c>
      <x:c r="H143" s="85" t="str">
        <x:v>Concluído</x:v>
      </x:c>
    </x:row>
    <x:row r="144">
      <x:c r="A144" s="83" t="n">
        <x:v>143</x:v>
      </x:c>
      <x:c r="B144" s="84" t="n">
        <x:v>1448</x:v>
      </x:c>
      <x:c r="C144" s="84" t="n">
        <x:v>9</x:v>
      </x:c>
      <x:c r="D144" s="84" t="str">
        <x:v>Reparo eletrônico</x:v>
      </x:c>
      <x:c r="E144" s="89" t="n">
        <x:v>45141</x:v>
      </x:c>
      <x:c r="F144" s="89" t="n">
        <x:v>45142</x:v>
      </x:c>
      <x:c r="G144" s="93" t="n">
        <x:v>631.35</x:v>
      </x:c>
      <x:c r="H144" s="85" t="str">
        <x:v>Concluído</x:v>
      </x:c>
    </x:row>
    <x:row r="145">
      <x:c r="A145" s="83" t="n">
        <x:v>144</x:v>
      </x:c>
      <x:c r="B145" s="84" t="n">
        <x:v>1462</x:v>
      </x:c>
      <x:c r="C145" s="84" t="n">
        <x:v>22</x:v>
      </x:c>
      <x:c r="D145" s="84" t="str">
        <x:v>Calibração</x:v>
      </x:c>
      <x:c r="E145" s="89" t="n">
        <x:v>45282</x:v>
      </x:c>
      <x:c r="F145" s="89" t="n">
        <x:v>45283</x:v>
      </x:c>
      <x:c r="G145" s="93" t="n">
        <x:v>1591.45</x:v>
      </x:c>
      <x:c r="H145" s="85" t="str">
        <x:v>Concluído</x:v>
      </x:c>
    </x:row>
    <x:row r="146">
      <x:c r="A146" s="83" t="n">
        <x:v>145</x:v>
      </x:c>
      <x:c r="B146" s="84" t="n">
        <x:v>1468</x:v>
      </x:c>
      <x:c r="C146" s="84" t="n">
        <x:v>14</x:v>
      </x:c>
      <x:c r="D146" s="84" t="str">
        <x:v>Reparo eletrônico</x:v>
      </x:c>
      <x:c r="E146" s="89" t="n">
        <x:v>45767</x:v>
      </x:c>
      <x:c r="F146" s="89" t="n">
        <x:v>45767</x:v>
      </x:c>
      <x:c r="G146" s="93" t="n">
        <x:v>629.45</x:v>
      </x:c>
      <x:c r="H146" s="85" t="str">
        <x:v>Concluído</x:v>
      </x:c>
    </x:row>
    <x:row r="147">
      <x:c r="A147" s="83" t="n">
        <x:v>146</x:v>
      </x:c>
      <x:c r="B147" s="84" t="n">
        <x:v>1469</x:v>
      </x:c>
      <x:c r="C147" s="84" t="n">
        <x:v>13</x:v>
      </x:c>
      <x:c r="D147" s="84" t="str">
        <x:v>Calibração</x:v>
      </x:c>
      <x:c r="E147" s="89" t="n">
        <x:v>45101</x:v>
      </x:c>
      <x:c r="F147" s="89" t="n">
        <x:v>45101</x:v>
      </x:c>
      <x:c r="G147" s="93" t="n">
        <x:v>2328.07</x:v>
      </x:c>
      <x:c r="H147" s="85" t="str">
        <x:v>Concluído</x:v>
      </x:c>
    </x:row>
    <x:row r="148">
      <x:c r="A148" s="83" t="n">
        <x:v>147</x:v>
      </x:c>
      <x:c r="B148" s="84" t="n">
        <x:v>1476</x:v>
      </x:c>
      <x:c r="C148" s="84" t="n">
        <x:v>8</x:v>
      </x:c>
      <x:c r="D148" s="84" t="str">
        <x:v>Calibração</x:v>
      </x:c>
      <x:c r="E148" s="89" t="n">
        <x:v>45471</x:v>
      </x:c>
      <x:c r="F148" s="89" t="n">
        <x:v>45471</x:v>
      </x:c>
      <x:c r="G148" s="93" t="n">
        <x:v>10573.15</x:v>
      </x:c>
      <x:c r="H148" s="85" t="str">
        <x:v>Concluído</x:v>
      </x:c>
    </x:row>
    <x:row r="149">
      <x:c r="A149" s="83" t="n">
        <x:v>148</x:v>
      </x:c>
      <x:c r="B149" s="84" t="n">
        <x:v>1479</x:v>
      </x:c>
      <x:c r="C149" s="84" t="n">
        <x:v>24</x:v>
      </x:c>
      <x:c r="D149" s="84" t="str">
        <x:v>Reparo eletrônico</x:v>
      </x:c>
      <x:c r="E149" s="89" t="n">
        <x:v>45182</x:v>
      </x:c>
      <x:c r="F149" s="89" t="n">
        <x:v>45182</x:v>
      </x:c>
      <x:c r="G149" s="93" t="n">
        <x:v>4435</x:v>
      </x:c>
      <x:c r="H149" s="85" t="str">
        <x:v>Concluído</x:v>
      </x:c>
    </x:row>
    <x:row r="150">
      <x:c r="A150" s="83" t="n">
        <x:v>149</x:v>
      </x:c>
      <x:c r="B150" s="84" t="n">
        <x:v>1481</x:v>
      </x:c>
      <x:c r="C150" s="84" t="n">
        <x:v>12</x:v>
      </x:c>
      <x:c r="D150" s="84" t="str">
        <x:v>Usinagem</x:v>
      </x:c>
      <x:c r="E150" s="89" t="n">
        <x:v>45061</x:v>
      </x:c>
      <x:c r="F150" s="89"/>
      <x:c r="G150" s="93" t="n">
        <x:v>2569.11</x:v>
      </x:c>
      <x:c r="H150" s="85" t="str">
        <x:v>Em andamento</x:v>
      </x:c>
    </x:row>
    <x:row r="151">
      <x:c r="A151" s="83" t="n">
        <x:v>150</x:v>
      </x:c>
      <x:c r="B151" s="84" t="n">
        <x:v>1482</x:v>
      </x:c>
      <x:c r="C151" s="84" t="n">
        <x:v>24</x:v>
      </x:c>
      <x:c r="D151" s="84" t="str">
        <x:v>Usinagem</x:v>
      </x:c>
      <x:c r="E151" s="89" t="n">
        <x:v>45075</x:v>
      </x:c>
      <x:c r="F151" s="89" t="n">
        <x:v>45075</x:v>
      </x:c>
      <x:c r="G151" s="93" t="n">
        <x:v>12951.16</x:v>
      </x:c>
      <x:c r="H151" s="85" t="str">
        <x:v>Concluído</x:v>
      </x:c>
    </x:row>
    <x:row r="152">
      <x:c r="A152" s="83" t="n">
        <x:v>151</x:v>
      </x:c>
      <x:c r="B152" s="84" t="n">
        <x:v>1491</x:v>
      </x:c>
      <x:c r="C152" s="84" t="n">
        <x:v>8</x:v>
      </x:c>
      <x:c r="D152" s="84" t="str">
        <x:v>Reparo eletrônico</x:v>
      </x:c>
      <x:c r="E152" s="89" t="n">
        <x:v>45657</x:v>
      </x:c>
      <x:c r="F152" s="89" t="n">
        <x:v>45658</x:v>
      </x:c>
      <x:c r="G152" s="93" t="n">
        <x:v>12043.62</x:v>
      </x:c>
      <x:c r="H152" s="85" t="str">
        <x:v>Concluído</x:v>
      </x:c>
    </x:row>
    <x:row r="153">
      <x:c r="A153" s="83" t="n">
        <x:v>152</x:v>
      </x:c>
      <x:c r="B153" s="84" t="n">
        <x:v>1500</x:v>
      </x:c>
      <x:c r="C153" s="84" t="n">
        <x:v>15</x:v>
      </x:c>
      <x:c r="D153" s="84" t="str">
        <x:v>Reparo eletrônico</x:v>
      </x:c>
      <x:c r="E153" s="89" t="n">
        <x:v>45079</x:v>
      </x:c>
      <x:c r="F153" s="89" t="n">
        <x:v>45080</x:v>
      </x:c>
      <x:c r="G153" s="93" t="n">
        <x:v>12257.68</x:v>
      </x:c>
      <x:c r="H153" s="85" t="str">
        <x:v>Concluído</x:v>
      </x:c>
    </x:row>
    <x:row r="154">
      <x:c r="A154" s="83" t="n">
        <x:v>153</x:v>
      </x:c>
      <x:c r="B154" s="84" t="n">
        <x:v>1501</x:v>
      </x:c>
      <x:c r="C154" s="84" t="n">
        <x:v>9</x:v>
      </x:c>
      <x:c r="D154" s="84" t="str">
        <x:v>Calibração</x:v>
      </x:c>
      <x:c r="E154" s="89" t="n">
        <x:v>45422</x:v>
      </x:c>
      <x:c r="F154" s="89" t="n">
        <x:v>45423</x:v>
      </x:c>
      <x:c r="G154" s="93" t="n">
        <x:v>1719.88</x:v>
      </x:c>
      <x:c r="H154" s="85" t="str">
        <x:v>Concluído</x:v>
      </x:c>
    </x:row>
    <x:row r="155">
      <x:c r="A155" s="83" t="n">
        <x:v>154</x:v>
      </x:c>
      <x:c r="B155" s="84" t="n">
        <x:v>1511</x:v>
      </x:c>
      <x:c r="C155" s="84" t="n">
        <x:v>6</x:v>
      </x:c>
      <x:c r="D155" s="84" t="str">
        <x:v>Reparo eletrônico</x:v>
      </x:c>
      <x:c r="E155" s="89" t="n">
        <x:v>45444</x:v>
      </x:c>
      <x:c r="F155" s="89" t="n">
        <x:v>45445</x:v>
      </x:c>
      <x:c r="G155" s="93" t="n">
        <x:v>919.13</x:v>
      </x:c>
      <x:c r="H155" s="85" t="str">
        <x:v>Concluído</x:v>
      </x:c>
    </x:row>
    <x:row r="156">
      <x:c r="A156" s="83" t="n">
        <x:v>155</x:v>
      </x:c>
      <x:c r="B156" s="84" t="n">
        <x:v>1516</x:v>
      </x:c>
      <x:c r="C156" s="84" t="n">
        <x:v>14</x:v>
      </x:c>
      <x:c r="D156" s="84" t="str">
        <x:v>Usinagem</x:v>
      </x:c>
      <x:c r="E156" s="89" t="n">
        <x:v>45769</x:v>
      </x:c>
      <x:c r="F156" s="89" t="n">
        <x:v>45769</x:v>
      </x:c>
      <x:c r="G156" s="93" t="n">
        <x:v>1623.61</x:v>
      </x:c>
      <x:c r="H156" s="85" t="str">
        <x:v>Concluído</x:v>
      </x:c>
    </x:row>
    <x:row r="157">
      <x:c r="A157" s="83" t="n">
        <x:v>156</x:v>
      </x:c>
      <x:c r="B157" s="84" t="n">
        <x:v>1517</x:v>
      </x:c>
      <x:c r="C157" s="84" t="n">
        <x:v>19</x:v>
      </x:c>
      <x:c r="D157" s="84" t="str">
        <x:v>Usinagem</x:v>
      </x:c>
      <x:c r="E157" s="89" t="n">
        <x:v>45600</x:v>
      </x:c>
      <x:c r="F157" s="89" t="n">
        <x:v>45601</x:v>
      </x:c>
      <x:c r="G157" s="93" t="n">
        <x:v>13346.24</x:v>
      </x:c>
      <x:c r="H157" s="85" t="str">
        <x:v>Concluído</x:v>
      </x:c>
    </x:row>
    <x:row r="158">
      <x:c r="A158" s="83" t="n">
        <x:v>157</x:v>
      </x:c>
      <x:c r="B158" s="84" t="n">
        <x:v>1527</x:v>
      </x:c>
      <x:c r="C158" s="84" t="n">
        <x:v>8</x:v>
      </x:c>
      <x:c r="D158" s="84" t="str">
        <x:v>Calibração</x:v>
      </x:c>
      <x:c r="E158" s="89" t="n">
        <x:v>44973</x:v>
      </x:c>
      <x:c r="F158" s="89"/>
      <x:c r="G158" s="93" t="n">
        <x:v>9180.37</x:v>
      </x:c>
      <x:c r="H158" s="85" t="str">
        <x:v>Em andamento</x:v>
      </x:c>
    </x:row>
    <x:row r="159">
      <x:c r="A159" s="83" t="n">
        <x:v>158</x:v>
      </x:c>
      <x:c r="B159" s="84" t="n">
        <x:v>1529</x:v>
      </x:c>
      <x:c r="C159" s="84" t="n">
        <x:v>3</x:v>
      </x:c>
      <x:c r="D159" s="84" t="str">
        <x:v>Calibração</x:v>
      </x:c>
      <x:c r="E159" s="89" t="n">
        <x:v>45375</x:v>
      </x:c>
      <x:c r="F159" s="89"/>
      <x:c r="G159" s="93" t="n">
        <x:v>13370.64</x:v>
      </x:c>
      <x:c r="H159" s="85" t="str">
        <x:v>Em andamento</x:v>
      </x:c>
    </x:row>
    <x:row r="160">
      <x:c r="A160" s="83" t="n">
        <x:v>159</x:v>
      </x:c>
      <x:c r="B160" s="84" t="n">
        <x:v>1534</x:v>
      </x:c>
      <x:c r="C160" s="84" t="n">
        <x:v>13</x:v>
      </x:c>
      <x:c r="D160" s="84" t="str">
        <x:v>Reparo eletrônico</x:v>
      </x:c>
      <x:c r="E160" s="89" t="n">
        <x:v>45003</x:v>
      </x:c>
      <x:c r="F160" s="89" t="n">
        <x:v>45003</x:v>
      </x:c>
      <x:c r="G160" s="93" t="n">
        <x:v>11840.78</x:v>
      </x:c>
      <x:c r="H160" s="85" t="str">
        <x:v>Concluído</x:v>
      </x:c>
    </x:row>
    <x:row r="161">
      <x:c r="A161" s="83" t="n">
        <x:v>160</x:v>
      </x:c>
      <x:c r="B161" s="84" t="n">
        <x:v>1543</x:v>
      </x:c>
      <x:c r="C161" s="84" t="n">
        <x:v>7</x:v>
      </x:c>
      <x:c r="D161" s="84" t="str">
        <x:v>Usinagem</x:v>
      </x:c>
      <x:c r="E161" s="89" t="n">
        <x:v>45875</x:v>
      </x:c>
      <x:c r="F161" s="89"/>
      <x:c r="G161" s="93" t="n">
        <x:v>7074.24</x:v>
      </x:c>
      <x:c r="H161" s="85" t="str">
        <x:v>Em andamento</x:v>
      </x:c>
    </x:row>
    <x:row r="162">
      <x:c r="A162" s="83" t="n">
        <x:v>161</x:v>
      </x:c>
      <x:c r="B162" s="84" t="n">
        <x:v>1544</x:v>
      </x:c>
      <x:c r="C162" s="84" t="n">
        <x:v>18</x:v>
      </x:c>
      <x:c r="D162" s="84" t="str">
        <x:v>Usinagem</x:v>
      </x:c>
      <x:c r="E162" s="89" t="n">
        <x:v>45831</x:v>
      </x:c>
      <x:c r="F162" s="89"/>
      <x:c r="G162" s="93" t="n">
        <x:v>13952.63</x:v>
      </x:c>
      <x:c r="H162" s="85" t="str">
        <x:v>Em andamento</x:v>
      </x:c>
    </x:row>
    <x:row r="163">
      <x:c r="A163" s="83" t="n">
        <x:v>162</x:v>
      </x:c>
      <x:c r="B163" s="84" t="n">
        <x:v>1555</x:v>
      </x:c>
      <x:c r="C163" s="84" t="n">
        <x:v>7</x:v>
      </x:c>
      <x:c r="D163" s="84" t="str">
        <x:v>Calibração</x:v>
      </x:c>
      <x:c r="E163" s="89" t="n">
        <x:v>45549</x:v>
      </x:c>
      <x:c r="F163" s="89" t="n">
        <x:v>45549</x:v>
      </x:c>
      <x:c r="G163" s="93" t="n">
        <x:v>3369.23</x:v>
      </x:c>
      <x:c r="H163" s="85" t="str">
        <x:v>Concluído</x:v>
      </x:c>
    </x:row>
    <x:row r="164">
      <x:c r="A164" s="83" t="n">
        <x:v>163</x:v>
      </x:c>
      <x:c r="B164" s="84" t="n">
        <x:v>1565</x:v>
      </x:c>
      <x:c r="C164" s="84" t="n">
        <x:v>1</x:v>
      </x:c>
      <x:c r="D164" s="84" t="str">
        <x:v>Usinagem</x:v>
      </x:c>
      <x:c r="E164" s="89" t="n">
        <x:v>45289</x:v>
      </x:c>
      <x:c r="F164" s="89" t="n">
        <x:v>45290</x:v>
      </x:c>
      <x:c r="G164" s="93" t="n">
        <x:v>5271.57</x:v>
      </x:c>
      <x:c r="H164" s="85" t="str">
        <x:v>Concluído</x:v>
      </x:c>
    </x:row>
    <x:row r="165">
      <x:c r="A165" s="83" t="n">
        <x:v>164</x:v>
      </x:c>
      <x:c r="B165" s="84" t="n">
        <x:v>1571</x:v>
      </x:c>
      <x:c r="C165" s="84" t="n">
        <x:v>6</x:v>
      </x:c>
      <x:c r="D165" s="84" t="str">
        <x:v>Calibração</x:v>
      </x:c>
      <x:c r="E165" s="89" t="n">
        <x:v>45086</x:v>
      </x:c>
      <x:c r="F165" s="89" t="n">
        <x:v>45087</x:v>
      </x:c>
      <x:c r="G165" s="93" t="n">
        <x:v>7436.6</x:v>
      </x:c>
      <x:c r="H165" s="85" t="str">
        <x:v>Concluído</x:v>
      </x:c>
    </x:row>
    <x:row r="166">
      <x:c r="A166" s="83" t="n">
        <x:v>165</x:v>
      </x:c>
      <x:c r="B166" s="84" t="n">
        <x:v>1592</x:v>
      </x:c>
      <x:c r="C166" s="84" t="n">
        <x:v>12</x:v>
      </x:c>
      <x:c r="D166" s="84" t="str">
        <x:v>Usinagem</x:v>
      </x:c>
      <x:c r="E166" s="89" t="n">
        <x:v>45137</x:v>
      </x:c>
      <x:c r="F166" s="89" t="n">
        <x:v>45138</x:v>
      </x:c>
      <x:c r="G166" s="93" t="n">
        <x:v>6410.09</x:v>
      </x:c>
      <x:c r="H166" s="85" t="str">
        <x:v>Concluído</x:v>
      </x:c>
    </x:row>
    <x:row r="167">
      <x:c r="A167" s="83" t="n">
        <x:v>166</x:v>
      </x:c>
      <x:c r="B167" s="84" t="n">
        <x:v>1631</x:v>
      </x:c>
      <x:c r="C167" s="84" t="n">
        <x:v>2</x:v>
      </x:c>
      <x:c r="D167" s="84" t="str">
        <x:v>Usinagem</x:v>
      </x:c>
      <x:c r="E167" s="89" t="n">
        <x:v>45825</x:v>
      </x:c>
      <x:c r="F167" s="89"/>
      <x:c r="G167" s="93" t="n">
        <x:v>2029.47</x:v>
      </x:c>
      <x:c r="H167" s="85" t="str">
        <x:v>Em andamento</x:v>
      </x:c>
    </x:row>
    <x:row r="168">
      <x:c r="A168" s="83" t="n">
        <x:v>167</x:v>
      </x:c>
      <x:c r="B168" s="84" t="n">
        <x:v>1639</x:v>
      </x:c>
      <x:c r="C168" s="84" t="n">
        <x:v>4</x:v>
      </x:c>
      <x:c r="D168" s="84" t="str">
        <x:v>Usinagem</x:v>
      </x:c>
      <x:c r="E168" s="89" t="n">
        <x:v>45218</x:v>
      </x:c>
      <x:c r="F168" s="89" t="n">
        <x:v>45219</x:v>
      </x:c>
      <x:c r="G168" s="93" t="n">
        <x:v>4686.45</x:v>
      </x:c>
      <x:c r="H168" s="85" t="str">
        <x:v>Concluído</x:v>
      </x:c>
    </x:row>
    <x:row r="169">
      <x:c r="A169" s="83" t="n">
        <x:v>168</x:v>
      </x:c>
      <x:c r="B169" s="84" t="n">
        <x:v>1666</x:v>
      </x:c>
      <x:c r="C169" s="84" t="n">
        <x:v>23</x:v>
      </x:c>
      <x:c r="D169" s="84" t="str">
        <x:v>Calibração</x:v>
      </x:c>
      <x:c r="E169" s="89" t="n">
        <x:v>45707</x:v>
      </x:c>
      <x:c r="F169" s="89"/>
      <x:c r="G169" s="93" t="n">
        <x:v>11338.12</x:v>
      </x:c>
      <x:c r="H169" s="85" t="str">
        <x:v>Em andamento</x:v>
      </x:c>
    </x:row>
    <x:row r="170">
      <x:c r="A170" s="83" t="n">
        <x:v>169</x:v>
      </x:c>
      <x:c r="B170" s="84" t="n">
        <x:v>1674</x:v>
      </x:c>
      <x:c r="C170" s="84" t="n">
        <x:v>23</x:v>
      </x:c>
      <x:c r="D170" s="84" t="str">
        <x:v>Usinagem</x:v>
      </x:c>
      <x:c r="E170" s="89" t="n">
        <x:v>45526</x:v>
      </x:c>
      <x:c r="F170" s="89" t="n">
        <x:v>45526</x:v>
      </x:c>
      <x:c r="G170" s="93" t="n">
        <x:v>11971.97</x:v>
      </x:c>
      <x:c r="H170" s="85" t="str">
        <x:v>Concluído</x:v>
      </x:c>
    </x:row>
    <x:row r="171">
      <x:c r="A171" s="83" t="n">
        <x:v>170</x:v>
      </x:c>
      <x:c r="B171" s="84" t="n">
        <x:v>1676</x:v>
      </x:c>
      <x:c r="C171" s="84" t="n">
        <x:v>22</x:v>
      </x:c>
      <x:c r="D171" s="84" t="str">
        <x:v>Reparo eletrônico</x:v>
      </x:c>
      <x:c r="E171" s="89" t="n">
        <x:v>45713</x:v>
      </x:c>
      <x:c r="F171" s="89" t="n">
        <x:v>45713</x:v>
      </x:c>
      <x:c r="G171" s="93" t="n">
        <x:v>4402.28</x:v>
      </x:c>
      <x:c r="H171" s="85" t="str">
        <x:v>Concluído</x:v>
      </x:c>
    </x:row>
    <x:row r="172">
      <x:c r="A172" s="83" t="n">
        <x:v>171</x:v>
      </x:c>
      <x:c r="B172" s="84" t="n">
        <x:v>1687</x:v>
      </x:c>
      <x:c r="C172" s="84" t="n">
        <x:v>2</x:v>
      </x:c>
      <x:c r="D172" s="84" t="str">
        <x:v>Calibração</x:v>
      </x:c>
      <x:c r="E172" s="89" t="n">
        <x:v>45502</x:v>
      </x:c>
      <x:c r="F172" s="89" t="n">
        <x:v>45502</x:v>
      </x:c>
      <x:c r="G172" s="93" t="n">
        <x:v>3602.34</x:v>
      </x:c>
      <x:c r="H172" s="85" t="str">
        <x:v>Concluído</x:v>
      </x:c>
    </x:row>
    <x:row r="173">
      <x:c r="A173" s="83" t="n">
        <x:v>172</x:v>
      </x:c>
      <x:c r="B173" s="84" t="n">
        <x:v>1690</x:v>
      </x:c>
      <x:c r="C173" s="84" t="n">
        <x:v>18</x:v>
      </x:c>
      <x:c r="D173" s="84" t="str">
        <x:v>Calibração</x:v>
      </x:c>
      <x:c r="E173" s="89" t="n">
        <x:v>45706</x:v>
      </x:c>
      <x:c r="F173" s="89" t="n">
        <x:v>45707</x:v>
      </x:c>
      <x:c r="G173" s="93" t="n">
        <x:v>12412.46</x:v>
      </x:c>
      <x:c r="H173" s="85" t="str">
        <x:v>Concluído</x:v>
      </x:c>
    </x:row>
    <x:row r="174">
      <x:c r="A174" s="83" t="n">
        <x:v>173</x:v>
      </x:c>
      <x:c r="B174" s="84" t="n">
        <x:v>1701</x:v>
      </x:c>
      <x:c r="C174" s="84" t="n">
        <x:v>23</x:v>
      </x:c>
      <x:c r="D174" s="84" t="str">
        <x:v>Reparo eletrônico</x:v>
      </x:c>
      <x:c r="E174" s="89" t="n">
        <x:v>45358</x:v>
      </x:c>
      <x:c r="F174" s="89" t="n">
        <x:v>45359</x:v>
      </x:c>
      <x:c r="G174" s="93" t="n">
        <x:v>8773.11</x:v>
      </x:c>
      <x:c r="H174" s="85" t="str">
        <x:v>Concluído</x:v>
      </x:c>
    </x:row>
    <x:row r="175">
      <x:c r="A175" s="83" t="n">
        <x:v>174</x:v>
      </x:c>
      <x:c r="B175" s="84" t="n">
        <x:v>1712</x:v>
      </x:c>
      <x:c r="C175" s="84" t="n">
        <x:v>13</x:v>
      </x:c>
      <x:c r="D175" s="84" t="str">
        <x:v>Reparo eletrônico</x:v>
      </x:c>
      <x:c r="E175" s="89" t="n">
        <x:v>45053</x:v>
      </x:c>
      <x:c r="F175" s="89" t="n">
        <x:v>45053</x:v>
      </x:c>
      <x:c r="G175" s="93" t="n">
        <x:v>2868.17</x:v>
      </x:c>
      <x:c r="H175" s="85" t="str">
        <x:v>Concluído</x:v>
      </x:c>
    </x:row>
    <x:row r="176">
      <x:c r="A176" s="83" t="n">
        <x:v>175</x:v>
      </x:c>
      <x:c r="B176" s="84" t="n">
        <x:v>1716</x:v>
      </x:c>
      <x:c r="C176" s="84" t="n">
        <x:v>13</x:v>
      </x:c>
      <x:c r="D176" s="84" t="str">
        <x:v>Reparo eletrônico</x:v>
      </x:c>
      <x:c r="E176" s="89" t="n">
        <x:v>45435</x:v>
      </x:c>
      <x:c r="F176" s="89"/>
      <x:c r="G176" s="93" t="n">
        <x:v>2224.6</x:v>
      </x:c>
      <x:c r="H176" s="85" t="str">
        <x:v>Em andamento</x:v>
      </x:c>
    </x:row>
    <x:row r="177">
      <x:c r="A177" s="83" t="n">
        <x:v>176</x:v>
      </x:c>
      <x:c r="B177" s="84" t="n">
        <x:v>1730</x:v>
      </x:c>
      <x:c r="C177" s="84" t="n">
        <x:v>18</x:v>
      </x:c>
      <x:c r="D177" s="84" t="str">
        <x:v>Calibração</x:v>
      </x:c>
      <x:c r="E177" s="89" t="n">
        <x:v>45307</x:v>
      </x:c>
      <x:c r="F177" s="89" t="n">
        <x:v>45307</x:v>
      </x:c>
      <x:c r="G177" s="93" t="n">
        <x:v>11944.11</x:v>
      </x:c>
      <x:c r="H177" s="85" t="str">
        <x:v>Concluído</x:v>
      </x:c>
    </x:row>
    <x:row r="178">
      <x:c r="A178" s="83" t="n">
        <x:v>177</x:v>
      </x:c>
      <x:c r="B178" s="84" t="n">
        <x:v>1734</x:v>
      </x:c>
      <x:c r="C178" s="84" t="n">
        <x:v>15</x:v>
      </x:c>
      <x:c r="D178" s="84" t="str">
        <x:v>Usinagem</x:v>
      </x:c>
      <x:c r="E178" s="89" t="n">
        <x:v>45499</x:v>
      </x:c>
      <x:c r="F178" s="89" t="n">
        <x:v>45500</x:v>
      </x:c>
      <x:c r="G178" s="93" t="n">
        <x:v>10865.75</x:v>
      </x:c>
      <x:c r="H178" s="85" t="str">
        <x:v>Concluído</x:v>
      </x:c>
    </x:row>
    <x:row r="179">
      <x:c r="A179" s="83" t="n">
        <x:v>178</x:v>
      </x:c>
      <x:c r="B179" s="84" t="n">
        <x:v>1735</x:v>
      </x:c>
      <x:c r="C179" s="84" t="n">
        <x:v>14</x:v>
      </x:c>
      <x:c r="D179" s="84" t="str">
        <x:v>Usinagem</x:v>
      </x:c>
      <x:c r="E179" s="89" t="n">
        <x:v>45520</x:v>
      </x:c>
      <x:c r="F179" s="89" t="n">
        <x:v>45520</x:v>
      </x:c>
      <x:c r="G179" s="93" t="n">
        <x:v>12590.93</x:v>
      </x:c>
      <x:c r="H179" s="85" t="str">
        <x:v>Concluído</x:v>
      </x:c>
    </x:row>
    <x:row r="180">
      <x:c r="A180" s="83" t="n">
        <x:v>179</x:v>
      </x:c>
      <x:c r="B180" s="84" t="n">
        <x:v>1737</x:v>
      </x:c>
      <x:c r="C180" s="84" t="n">
        <x:v>25</x:v>
      </x:c>
      <x:c r="D180" s="84" t="str">
        <x:v>Reparo eletrônico</x:v>
      </x:c>
      <x:c r="E180" s="89" t="n">
        <x:v>45621</x:v>
      </x:c>
      <x:c r="F180" s="89"/>
      <x:c r="G180" s="93" t="n">
        <x:v>7127.37</x:v>
      </x:c>
      <x:c r="H180" s="85" t="str">
        <x:v>Em andamento</x:v>
      </x:c>
    </x:row>
    <x:row r="181">
      <x:c r="A181" s="83" t="n">
        <x:v>180</x:v>
      </x:c>
      <x:c r="B181" s="84" t="n">
        <x:v>1741</x:v>
      </x:c>
      <x:c r="C181" s="84" t="n">
        <x:v>8</x:v>
      </x:c>
      <x:c r="D181" s="84" t="str">
        <x:v>Reparo eletrônico</x:v>
      </x:c>
      <x:c r="E181" s="89" t="n">
        <x:v>45743</x:v>
      </x:c>
      <x:c r="F181" s="89" t="n">
        <x:v>45744</x:v>
      </x:c>
      <x:c r="G181" s="93" t="n">
        <x:v>14823.31</x:v>
      </x:c>
      <x:c r="H181" s="85" t="str">
        <x:v>Concluído</x:v>
      </x:c>
    </x:row>
    <x:row r="182">
      <x:c r="A182" s="83" t="n">
        <x:v>181</x:v>
      </x:c>
      <x:c r="B182" s="84" t="n">
        <x:v>1766</x:v>
      </x:c>
      <x:c r="C182" s="84" t="n">
        <x:v>14</x:v>
      </x:c>
      <x:c r="D182" s="84" t="str">
        <x:v>Calibração</x:v>
      </x:c>
      <x:c r="E182" s="89" t="n">
        <x:v>45699</x:v>
      </x:c>
      <x:c r="F182" s="89"/>
      <x:c r="G182" s="93" t="n">
        <x:v>2057.57</x:v>
      </x:c>
      <x:c r="H182" s="85" t="str">
        <x:v>Em andamento</x:v>
      </x:c>
    </x:row>
    <x:row r="183">
      <x:c r="A183" s="83" t="n">
        <x:v>182</x:v>
      </x:c>
      <x:c r="B183" s="84" t="n">
        <x:v>1772</x:v>
      </x:c>
      <x:c r="C183" s="84" t="n">
        <x:v>13</x:v>
      </x:c>
      <x:c r="D183" s="84" t="str">
        <x:v>Calibração</x:v>
      </x:c>
      <x:c r="E183" s="89" t="n">
        <x:v>45624</x:v>
      </x:c>
      <x:c r="F183" s="89" t="n">
        <x:v>45625</x:v>
      </x:c>
      <x:c r="G183" s="93" t="n">
        <x:v>14246.42</x:v>
      </x:c>
      <x:c r="H183" s="85" t="str">
        <x:v>Concluído</x:v>
      </x:c>
    </x:row>
    <x:row r="184">
      <x:c r="A184" s="83" t="n">
        <x:v>183</x:v>
      </x:c>
      <x:c r="B184" s="84" t="n">
        <x:v>1777</x:v>
      </x:c>
      <x:c r="C184" s="84" t="n">
        <x:v>11</x:v>
      </x:c>
      <x:c r="D184" s="84" t="str">
        <x:v>Usinagem</x:v>
      </x:c>
      <x:c r="E184" s="89" t="n">
        <x:v>45087</x:v>
      </x:c>
      <x:c r="F184" s="89" t="n">
        <x:v>45088</x:v>
      </x:c>
      <x:c r="G184" s="93" t="n">
        <x:v>8008.2</x:v>
      </x:c>
      <x:c r="H184" s="85" t="str">
        <x:v>Concluído</x:v>
      </x:c>
    </x:row>
    <x:row r="185">
      <x:c r="A185" s="83" t="n">
        <x:v>184</x:v>
      </x:c>
      <x:c r="B185" s="84" t="n">
        <x:v>1782</x:v>
      </x:c>
      <x:c r="C185" s="84" t="n">
        <x:v>25</x:v>
      </x:c>
      <x:c r="D185" s="84" t="str">
        <x:v>Calibração</x:v>
      </x:c>
      <x:c r="E185" s="89" t="n">
        <x:v>45752</x:v>
      </x:c>
      <x:c r="F185" s="89" t="n">
        <x:v>45752</x:v>
      </x:c>
      <x:c r="G185" s="93" t="n">
        <x:v>8601.94</x:v>
      </x:c>
      <x:c r="H185" s="85" t="str">
        <x:v>Concluído</x:v>
      </x:c>
    </x:row>
    <x:row r="186">
      <x:c r="A186" s="83" t="n">
        <x:v>185</x:v>
      </x:c>
      <x:c r="B186" s="84" t="n">
        <x:v>1794</x:v>
      </x:c>
      <x:c r="C186" s="84" t="n">
        <x:v>20</x:v>
      </x:c>
      <x:c r="D186" s="84" t="str">
        <x:v>Reparo eletrônico</x:v>
      </x:c>
      <x:c r="E186" s="89" t="n">
        <x:v>45073</x:v>
      </x:c>
      <x:c r="F186" s="89" t="n">
        <x:v>45074</x:v>
      </x:c>
      <x:c r="G186" s="93" t="n">
        <x:v>3128.8</x:v>
      </x:c>
      <x:c r="H186" s="85" t="str">
        <x:v>Concluído</x:v>
      </x:c>
    </x:row>
    <x:row r="187">
      <x:c r="A187" s="83" t="n">
        <x:v>186</x:v>
      </x:c>
      <x:c r="B187" s="84" t="n">
        <x:v>1799</x:v>
      </x:c>
      <x:c r="C187" s="84" t="n">
        <x:v>4</x:v>
      </x:c>
      <x:c r="D187" s="84" t="str">
        <x:v>Calibração</x:v>
      </x:c>
      <x:c r="E187" s="89" t="n">
        <x:v>45091</x:v>
      </x:c>
      <x:c r="F187" s="89" t="n">
        <x:v>45091</x:v>
      </x:c>
      <x:c r="G187" s="93" t="n">
        <x:v>9605.46</x:v>
      </x:c>
      <x:c r="H187" s="85" t="str">
        <x:v>Concluído</x:v>
      </x:c>
    </x:row>
    <x:row r="188">
      <x:c r="A188" s="83" t="n">
        <x:v>187</x:v>
      </x:c>
      <x:c r="B188" s="84" t="n">
        <x:v>1819</x:v>
      </x:c>
      <x:c r="C188" s="84" t="n">
        <x:v>10</x:v>
      </x:c>
      <x:c r="D188" s="84" t="str">
        <x:v>Reparo eletrônico</x:v>
      </x:c>
      <x:c r="E188" s="89" t="n">
        <x:v>45809</x:v>
      </x:c>
      <x:c r="F188" s="89" t="n">
        <x:v>45810</x:v>
      </x:c>
      <x:c r="G188" s="93" t="n">
        <x:v>2416.68</x:v>
      </x:c>
      <x:c r="H188" s="85" t="str">
        <x:v>Concluído</x:v>
      </x:c>
    </x:row>
    <x:row r="189">
      <x:c r="A189" s="83" t="n">
        <x:v>188</x:v>
      </x:c>
      <x:c r="B189" s="84" t="n">
        <x:v>1827</x:v>
      </x:c>
      <x:c r="C189" s="84" t="n">
        <x:v>21</x:v>
      </x:c>
      <x:c r="D189" s="84" t="str">
        <x:v>Calibração</x:v>
      </x:c>
      <x:c r="E189" s="89" t="n">
        <x:v>45285</x:v>
      </x:c>
      <x:c r="F189" s="89"/>
      <x:c r="G189" s="93" t="n">
        <x:v>11870.57</x:v>
      </x:c>
      <x:c r="H189" s="85" t="str">
        <x:v>Em andamento</x:v>
      </x:c>
    </x:row>
    <x:row r="190">
      <x:c r="A190" s="83" t="n">
        <x:v>189</x:v>
      </x:c>
      <x:c r="B190" s="84" t="n">
        <x:v>1839</x:v>
      </x:c>
      <x:c r="C190" s="84" t="n">
        <x:v>17</x:v>
      </x:c>
      <x:c r="D190" s="84" t="str">
        <x:v>Usinagem</x:v>
      </x:c>
      <x:c r="E190" s="89" t="n">
        <x:v>45908</x:v>
      </x:c>
      <x:c r="F190" s="89" t="n">
        <x:v>45908</x:v>
      </x:c>
      <x:c r="G190" s="93" t="n">
        <x:v>7220.31</x:v>
      </x:c>
      <x:c r="H190" s="85" t="str">
        <x:v>Concluído</x:v>
      </x:c>
    </x:row>
    <x:row r="191">
      <x:c r="A191" s="83" t="n">
        <x:v>190</x:v>
      </x:c>
      <x:c r="B191" s="84" t="n">
        <x:v>1840</x:v>
      </x:c>
      <x:c r="C191" s="84" t="n">
        <x:v>12</x:v>
      </x:c>
      <x:c r="D191" s="84" t="str">
        <x:v>Usinagem</x:v>
      </x:c>
      <x:c r="E191" s="89" t="n">
        <x:v>45522</x:v>
      </x:c>
      <x:c r="F191" s="89" t="n">
        <x:v>45522</x:v>
      </x:c>
      <x:c r="G191" s="93" t="n">
        <x:v>9341.51</x:v>
      </x:c>
      <x:c r="H191" s="85" t="str">
        <x:v>Concluído</x:v>
      </x:c>
    </x:row>
    <x:row r="192">
      <x:c r="A192" s="83" t="n">
        <x:v>191</x:v>
      </x:c>
      <x:c r="B192" s="84" t="n">
        <x:v>1845</x:v>
      </x:c>
      <x:c r="C192" s="84" t="n">
        <x:v>23</x:v>
      </x:c>
      <x:c r="D192" s="84" t="str">
        <x:v>Calibração</x:v>
      </x:c>
      <x:c r="E192" s="89" t="n">
        <x:v>45782</x:v>
      </x:c>
      <x:c r="F192" s="89" t="n">
        <x:v>45782</x:v>
      </x:c>
      <x:c r="G192" s="93" t="n">
        <x:v>5338.79</x:v>
      </x:c>
      <x:c r="H192" s="85" t="str">
        <x:v>Concluído</x:v>
      </x:c>
    </x:row>
    <x:row r="193">
      <x:c r="A193" s="83" t="n">
        <x:v>192</x:v>
      </x:c>
      <x:c r="B193" s="84" t="n">
        <x:v>1851</x:v>
      </x:c>
      <x:c r="C193" s="84" t="n">
        <x:v>9</x:v>
      </x:c>
      <x:c r="D193" s="84" t="str">
        <x:v>Calibração</x:v>
      </x:c>
      <x:c r="E193" s="89" t="n">
        <x:v>45747</x:v>
      </x:c>
      <x:c r="F193" s="89" t="n">
        <x:v>45747</x:v>
      </x:c>
      <x:c r="G193" s="93" t="n">
        <x:v>1339.5</x:v>
      </x:c>
      <x:c r="H193" s="85" t="str">
        <x:v>Concluído</x:v>
      </x:c>
    </x:row>
    <x:row r="194">
      <x:c r="A194" s="83" t="n">
        <x:v>193</x:v>
      </x:c>
      <x:c r="B194" s="84" t="n">
        <x:v>1857</x:v>
      </x:c>
      <x:c r="C194" s="84" t="n">
        <x:v>8</x:v>
      </x:c>
      <x:c r="D194" s="84" t="str">
        <x:v>Usinagem</x:v>
      </x:c>
      <x:c r="E194" s="89" t="n">
        <x:v>45639</x:v>
      </x:c>
      <x:c r="F194" s="89" t="n">
        <x:v>45639</x:v>
      </x:c>
      <x:c r="G194" s="93" t="n">
        <x:v>6864.25</x:v>
      </x:c>
      <x:c r="H194" s="85" t="str">
        <x:v>Concluído</x:v>
      </x:c>
    </x:row>
    <x:row r="195">
      <x:c r="A195" s="83" t="n">
        <x:v>194</x:v>
      </x:c>
      <x:c r="B195" s="84" t="n">
        <x:v>1869</x:v>
      </x:c>
      <x:c r="C195" s="84" t="n">
        <x:v>15</x:v>
      </x:c>
      <x:c r="D195" s="84" t="str">
        <x:v>Reparo eletrônico</x:v>
      </x:c>
      <x:c r="E195" s="89" t="n">
        <x:v>45888</x:v>
      </x:c>
      <x:c r="F195" s="89"/>
      <x:c r="G195" s="93" t="n">
        <x:v>10931.97</x:v>
      </x:c>
      <x:c r="H195" s="85" t="str">
        <x:v>Em andamento</x:v>
      </x:c>
    </x:row>
    <x:row r="196">
      <x:c r="A196" s="83" t="n">
        <x:v>195</x:v>
      </x:c>
      <x:c r="B196" s="84" t="n">
        <x:v>1885</x:v>
      </x:c>
      <x:c r="C196" s="84" t="n">
        <x:v>24</x:v>
      </x:c>
      <x:c r="D196" s="84" t="str">
        <x:v>Reparo eletrônico</x:v>
      </x:c>
      <x:c r="E196" s="89" t="n">
        <x:v>45671</x:v>
      </x:c>
      <x:c r="F196" s="89" t="n">
        <x:v>45671</x:v>
      </x:c>
      <x:c r="G196" s="93" t="n">
        <x:v>11247.11</x:v>
      </x:c>
      <x:c r="H196" s="85" t="str">
        <x:v>Concluído</x:v>
      </x:c>
    </x:row>
    <x:row r="197">
      <x:c r="A197" s="83" t="n">
        <x:v>196</x:v>
      </x:c>
      <x:c r="B197" s="84" t="n">
        <x:v>1896</x:v>
      </x:c>
      <x:c r="C197" s="84" t="n">
        <x:v>12</x:v>
      </x:c>
      <x:c r="D197" s="84" t="str">
        <x:v>Calibração</x:v>
      </x:c>
      <x:c r="E197" s="89" t="n">
        <x:v>45843</x:v>
      </x:c>
      <x:c r="F197" s="89"/>
      <x:c r="G197" s="93" t="n">
        <x:v>6090.95</x:v>
      </x:c>
      <x:c r="H197" s="85" t="str">
        <x:v>Em andamento</x:v>
      </x:c>
    </x:row>
    <x:row r="198">
      <x:c r="A198" s="83" t="n">
        <x:v>197</x:v>
      </x:c>
      <x:c r="B198" s="84" t="n">
        <x:v>1906</x:v>
      </x:c>
      <x:c r="C198" s="84" t="n">
        <x:v>17</x:v>
      </x:c>
      <x:c r="D198" s="84" t="str">
        <x:v>Calibração</x:v>
      </x:c>
      <x:c r="E198" s="89" t="n">
        <x:v>45906</x:v>
      </x:c>
      <x:c r="F198" s="89" t="n">
        <x:v>45906</x:v>
      </x:c>
      <x:c r="G198" s="93" t="n">
        <x:v>684.35</x:v>
      </x:c>
      <x:c r="H198" s="85" t="str">
        <x:v>Concluído</x:v>
      </x:c>
    </x:row>
    <x:row r="199">
      <x:c r="A199" s="83" t="n">
        <x:v>198</x:v>
      </x:c>
      <x:c r="B199" s="84" t="n">
        <x:v>1913</x:v>
      </x:c>
      <x:c r="C199" s="84" t="n">
        <x:v>5</x:v>
      </x:c>
      <x:c r="D199" s="84" t="str">
        <x:v>Calibração</x:v>
      </x:c>
      <x:c r="E199" s="89" t="n">
        <x:v>45411</x:v>
      </x:c>
      <x:c r="F199" s="89" t="n">
        <x:v>45412</x:v>
      </x:c>
      <x:c r="G199" s="93" t="n">
        <x:v>2526.01</x:v>
      </x:c>
      <x:c r="H199" s="85" t="str">
        <x:v>Concluído</x:v>
      </x:c>
    </x:row>
    <x:row r="200">
      <x:c r="A200" s="83" t="n">
        <x:v>199</x:v>
      </x:c>
      <x:c r="B200" s="84" t="n">
        <x:v>1921</x:v>
      </x:c>
      <x:c r="C200" s="84" t="n">
        <x:v>24</x:v>
      </x:c>
      <x:c r="D200" s="84" t="str">
        <x:v>Calibração</x:v>
      </x:c>
      <x:c r="E200" s="89" t="n">
        <x:v>45222</x:v>
      </x:c>
      <x:c r="F200" s="89" t="n">
        <x:v>45222</x:v>
      </x:c>
      <x:c r="G200" s="93" t="n">
        <x:v>937.82</x:v>
      </x:c>
      <x:c r="H200" s="85" t="str">
        <x:v>Concluído</x:v>
      </x:c>
    </x:row>
    <x:row r="201">
      <x:c r="A201" s="83" t="n">
        <x:v>200</x:v>
      </x:c>
      <x:c r="B201" s="84" t="n">
        <x:v>1922</x:v>
      </x:c>
      <x:c r="C201" s="84" t="n">
        <x:v>22</x:v>
      </x:c>
      <x:c r="D201" s="84" t="str">
        <x:v>Calibração</x:v>
      </x:c>
      <x:c r="E201" s="89" t="n">
        <x:v>45818</x:v>
      </x:c>
      <x:c r="F201" s="89" t="n">
        <x:v>45818</x:v>
      </x:c>
      <x:c r="G201" s="93" t="n">
        <x:v>6546.46</x:v>
      </x:c>
      <x:c r="H201" s="85" t="str">
        <x:v>Concluído</x:v>
      </x:c>
    </x:row>
    <x:row r="202">
      <x:c r="A202" s="83" t="n">
        <x:v>201</x:v>
      </x:c>
      <x:c r="B202" s="84" t="n">
        <x:v>1924</x:v>
      </x:c>
      <x:c r="C202" s="84" t="n">
        <x:v>6</x:v>
      </x:c>
      <x:c r="D202" s="84" t="str">
        <x:v>Usinagem</x:v>
      </x:c>
      <x:c r="E202" s="89" t="n">
        <x:v>46010</x:v>
      </x:c>
      <x:c r="F202" s="89" t="n">
        <x:v>46010</x:v>
      </x:c>
      <x:c r="G202" s="93" t="n">
        <x:v>13858.48</x:v>
      </x:c>
      <x:c r="H202" s="85" t="str">
        <x:v>Concluído</x:v>
      </x:c>
    </x:row>
    <x:row r="203">
      <x:c r="A203" s="83" t="n">
        <x:v>202</x:v>
      </x:c>
      <x:c r="B203" s="84" t="n">
        <x:v>1927</x:v>
      </x:c>
      <x:c r="C203" s="84" t="n">
        <x:v>7</x:v>
      </x:c>
      <x:c r="D203" s="84" t="str">
        <x:v>Reparo eletrônico</x:v>
      </x:c>
      <x:c r="E203" s="89" t="n">
        <x:v>45927</x:v>
      </x:c>
      <x:c r="F203" s="89" t="n">
        <x:v>45928</x:v>
      </x:c>
      <x:c r="G203" s="93" t="n">
        <x:v>695.51</x:v>
      </x:c>
      <x:c r="H203" s="85" t="str">
        <x:v>Concluído</x:v>
      </x:c>
    </x:row>
    <x:row r="204">
      <x:c r="A204" s="83" t="n">
        <x:v>203</x:v>
      </x:c>
      <x:c r="B204" s="84" t="n">
        <x:v>1960</x:v>
      </x:c>
      <x:c r="C204" s="84" t="n">
        <x:v>6</x:v>
      </x:c>
      <x:c r="D204" s="84" t="str">
        <x:v>Reparo eletrônico</x:v>
      </x:c>
      <x:c r="E204" s="89" t="n">
        <x:v>45249</x:v>
      </x:c>
      <x:c r="F204" s="89" t="n">
        <x:v>45250</x:v>
      </x:c>
      <x:c r="G204" s="93" t="n">
        <x:v>10776.3</x:v>
      </x:c>
      <x:c r="H204" s="85" t="str">
        <x:v>Concluído</x:v>
      </x:c>
    </x:row>
    <x:row r="205">
      <x:c r="A205" s="83" t="n">
        <x:v>204</x:v>
      </x:c>
      <x:c r="B205" s="84" t="n">
        <x:v>1976</x:v>
      </x:c>
      <x:c r="C205" s="84" t="n">
        <x:v>4</x:v>
      </x:c>
      <x:c r="D205" s="84" t="str">
        <x:v>Reparo eletrônico</x:v>
      </x:c>
      <x:c r="E205" s="89" t="n">
        <x:v>45921</x:v>
      </x:c>
      <x:c r="F205" s="89" t="n">
        <x:v>45922</x:v>
      </x:c>
      <x:c r="G205" s="93" t="n">
        <x:v>12657.93</x:v>
      </x:c>
      <x:c r="H205" s="85" t="str">
        <x:v>Concluído</x:v>
      </x:c>
    </x:row>
    <x:row r="206">
      <x:c r="A206" s="83" t="n">
        <x:v>205</x:v>
      </x:c>
      <x:c r="B206" s="84" t="n">
        <x:v>1981</x:v>
      </x:c>
      <x:c r="C206" s="84" t="n">
        <x:v>19</x:v>
      </x:c>
      <x:c r="D206" s="84" t="str">
        <x:v>Calibração</x:v>
      </x:c>
      <x:c r="E206" s="89" t="n">
        <x:v>45654</x:v>
      </x:c>
      <x:c r="F206" s="89" t="n">
        <x:v>45655</x:v>
      </x:c>
      <x:c r="G206" s="93" t="n">
        <x:v>9927.55</x:v>
      </x:c>
      <x:c r="H206" s="85" t="str">
        <x:v>Concluído</x:v>
      </x:c>
    </x:row>
    <x:row r="207">
      <x:c r="A207" s="83" t="n">
        <x:v>206</x:v>
      </x:c>
      <x:c r="B207" s="84" t="n">
        <x:v>1983</x:v>
      </x:c>
      <x:c r="C207" s="84" t="n">
        <x:v>25</x:v>
      </x:c>
      <x:c r="D207" s="84" t="str">
        <x:v>Calibração</x:v>
      </x:c>
      <x:c r="E207" s="89" t="n">
        <x:v>45321</x:v>
      </x:c>
      <x:c r="F207" s="89" t="n">
        <x:v>45321</x:v>
      </x:c>
      <x:c r="G207" s="93" t="n">
        <x:v>1090.82</x:v>
      </x:c>
      <x:c r="H207" s="85" t="str">
        <x:v>Concluído</x:v>
      </x:c>
    </x:row>
    <x:row r="208">
      <x:c r="A208" s="83" t="n">
        <x:v>207</x:v>
      </x:c>
      <x:c r="B208" s="84" t="n">
        <x:v>1984</x:v>
      </x:c>
      <x:c r="C208" s="84" t="n">
        <x:v>24</x:v>
      </x:c>
      <x:c r="D208" s="84" t="str">
        <x:v>Usinagem</x:v>
      </x:c>
      <x:c r="E208" s="89" t="n">
        <x:v>45074</x:v>
      </x:c>
      <x:c r="F208" s="89" t="n">
        <x:v>45074</x:v>
      </x:c>
      <x:c r="G208" s="93" t="n">
        <x:v>6923.32</x:v>
      </x:c>
      <x:c r="H208" s="85" t="str">
        <x:v>Concluído</x:v>
      </x:c>
    </x:row>
    <x:row r="209">
      <x:c r="A209" s="83" t="n">
        <x:v>208</x:v>
      </x:c>
      <x:c r="B209" s="84" t="n">
        <x:v>1998</x:v>
      </x:c>
      <x:c r="C209" s="84" t="n">
        <x:v>1</x:v>
      </x:c>
      <x:c r="D209" s="84" t="str">
        <x:v>Usinagem</x:v>
      </x:c>
      <x:c r="E209" s="89" t="n">
        <x:v>45687</x:v>
      </x:c>
      <x:c r="F209" s="89" t="n">
        <x:v>45687</x:v>
      </x:c>
      <x:c r="G209" s="93" t="n">
        <x:v>4771.84</x:v>
      </x:c>
      <x:c r="H209" s="85" t="str">
        <x:v>Concluído</x:v>
      </x:c>
    </x:row>
    <x:row r="210">
      <x:c r="A210" s="83" t="n">
        <x:v>209</x:v>
      </x:c>
      <x:c r="B210" s="84" t="n">
        <x:v>2001</x:v>
      </x:c>
      <x:c r="C210" s="84" t="n">
        <x:v>10</x:v>
      </x:c>
      <x:c r="D210" s="84" t="str">
        <x:v>Reparo eletrônico</x:v>
      </x:c>
      <x:c r="E210" s="89" t="n">
        <x:v>45544</x:v>
      </x:c>
      <x:c r="F210" s="89" t="n">
        <x:v>45545</x:v>
      </x:c>
      <x:c r="G210" s="93" t="n">
        <x:v>1701.33</x:v>
      </x:c>
      <x:c r="H210" s="85" t="str">
        <x:v>Concluído</x:v>
      </x:c>
    </x:row>
    <x:row r="211">
      <x:c r="A211" s="83" t="n">
        <x:v>210</x:v>
      </x:c>
      <x:c r="B211" s="84" t="n">
        <x:v>2005</x:v>
      </x:c>
      <x:c r="C211" s="84" t="n">
        <x:v>25</x:v>
      </x:c>
      <x:c r="D211" s="84" t="str">
        <x:v>Calibração</x:v>
      </x:c>
      <x:c r="E211" s="89" t="n">
        <x:v>45375</x:v>
      </x:c>
      <x:c r="F211" s="89" t="n">
        <x:v>45376</x:v>
      </x:c>
      <x:c r="G211" s="93" t="n">
        <x:v>8834.3</x:v>
      </x:c>
      <x:c r="H211" s="85" t="str">
        <x:v>Concluído</x:v>
      </x:c>
    </x:row>
    <x:row r="212">
      <x:c r="A212" s="83" t="n">
        <x:v>211</x:v>
      </x:c>
      <x:c r="B212" s="84" t="n">
        <x:v>2023</x:v>
      </x:c>
      <x:c r="C212" s="84" t="n">
        <x:v>5</x:v>
      </x:c>
      <x:c r="D212" s="84" t="str">
        <x:v>Reparo eletrônico</x:v>
      </x:c>
      <x:c r="E212" s="89" t="n">
        <x:v>45628</x:v>
      </x:c>
      <x:c r="F212" s="89" t="n">
        <x:v>45628</x:v>
      </x:c>
      <x:c r="G212" s="93" t="n">
        <x:v>14546.77</x:v>
      </x:c>
      <x:c r="H212" s="85" t="str">
        <x:v>Concluído</x:v>
      </x:c>
    </x:row>
    <x:row r="213">
      <x:c r="A213" s="83" t="n">
        <x:v>212</x:v>
      </x:c>
      <x:c r="B213" s="84" t="n">
        <x:v>2028</x:v>
      </x:c>
      <x:c r="C213" s="84" t="n">
        <x:v>13</x:v>
      </x:c>
      <x:c r="D213" s="84" t="str">
        <x:v>Usinagem</x:v>
      </x:c>
      <x:c r="E213" s="89" t="n">
        <x:v>45381</x:v>
      </x:c>
      <x:c r="F213" s="89" t="n">
        <x:v>45382</x:v>
      </x:c>
      <x:c r="G213" s="93" t="n">
        <x:v>4420.9</x:v>
      </x:c>
      <x:c r="H213" s="85" t="str">
        <x:v>Concluído</x:v>
      </x:c>
    </x:row>
    <x:row r="214">
      <x:c r="A214" s="83" t="n">
        <x:v>213</x:v>
      </x:c>
      <x:c r="B214" s="84" t="n">
        <x:v>2031</x:v>
      </x:c>
      <x:c r="C214" s="84" t="n">
        <x:v>5</x:v>
      </x:c>
      <x:c r="D214" s="84" t="str">
        <x:v>Calibração</x:v>
      </x:c>
      <x:c r="E214" s="89" t="n">
        <x:v>45582</x:v>
      </x:c>
      <x:c r="F214" s="89" t="n">
        <x:v>45582</x:v>
      </x:c>
      <x:c r="G214" s="93" t="n">
        <x:v>6382.95</x:v>
      </x:c>
      <x:c r="H214" s="85" t="str">
        <x:v>Concluído</x:v>
      </x:c>
    </x:row>
    <x:row r="215">
      <x:c r="A215" s="83" t="n">
        <x:v>214</x:v>
      </x:c>
      <x:c r="B215" s="84" t="n">
        <x:v>2035</x:v>
      </x:c>
      <x:c r="C215" s="84" t="n">
        <x:v>2</x:v>
      </x:c>
      <x:c r="D215" s="84" t="str">
        <x:v>Reparo eletrônico</x:v>
      </x:c>
      <x:c r="E215" s="89" t="n">
        <x:v>45092</x:v>
      </x:c>
      <x:c r="F215" s="89" t="n">
        <x:v>45093</x:v>
      </x:c>
      <x:c r="G215" s="93" t="n">
        <x:v>5685.33</x:v>
      </x:c>
      <x:c r="H215" s="85" t="str">
        <x:v>Concluído</x:v>
      </x:c>
    </x:row>
    <x:row r="216">
      <x:c r="A216" s="83" t="n">
        <x:v>215</x:v>
      </x:c>
      <x:c r="B216" s="84" t="n">
        <x:v>2042</x:v>
      </x:c>
      <x:c r="C216" s="84" t="n">
        <x:v>25</x:v>
      </x:c>
      <x:c r="D216" s="84" t="str">
        <x:v>Usinagem</x:v>
      </x:c>
      <x:c r="E216" s="89" t="n">
        <x:v>45151</x:v>
      </x:c>
      <x:c r="F216" s="89"/>
      <x:c r="G216" s="93" t="n">
        <x:v>1740.14</x:v>
      </x:c>
      <x:c r="H216" s="85" t="str">
        <x:v>Em andamento</x:v>
      </x:c>
    </x:row>
    <x:row r="217">
      <x:c r="A217" s="83" t="n">
        <x:v>216</x:v>
      </x:c>
      <x:c r="B217" s="84" t="n">
        <x:v>2057</x:v>
      </x:c>
      <x:c r="C217" s="84" t="n">
        <x:v>14</x:v>
      </x:c>
      <x:c r="D217" s="84" t="str">
        <x:v>Usinagem</x:v>
      </x:c>
      <x:c r="E217" s="89" t="n">
        <x:v>45341</x:v>
      </x:c>
      <x:c r="F217" s="89" t="n">
        <x:v>45342</x:v>
      </x:c>
      <x:c r="G217" s="93" t="n">
        <x:v>11940.86</x:v>
      </x:c>
      <x:c r="H217" s="85" t="str">
        <x:v>Concluído</x:v>
      </x:c>
    </x:row>
    <x:row r="218">
      <x:c r="A218" s="83" t="n">
        <x:v>217</x:v>
      </x:c>
      <x:c r="B218" s="84" t="n">
        <x:v>2064</x:v>
      </x:c>
      <x:c r="C218" s="84" t="n">
        <x:v>22</x:v>
      </x:c>
      <x:c r="D218" s="84" t="str">
        <x:v>Reparo eletrônico</x:v>
      </x:c>
      <x:c r="E218" s="89" t="n">
        <x:v>45810</x:v>
      </x:c>
      <x:c r="F218" s="89" t="n">
        <x:v>45810</x:v>
      </x:c>
      <x:c r="G218" s="93" t="n">
        <x:v>815.26</x:v>
      </x:c>
      <x:c r="H218" s="85" t="str">
        <x:v>Concluído</x:v>
      </x:c>
    </x:row>
    <x:row r="219">
      <x:c r="A219" s="83" t="n">
        <x:v>218</x:v>
      </x:c>
      <x:c r="B219" s="84" t="n">
        <x:v>2085</x:v>
      </x:c>
      <x:c r="C219" s="84" t="n">
        <x:v>18</x:v>
      </x:c>
      <x:c r="D219" s="84" t="str">
        <x:v>Usinagem</x:v>
      </x:c>
      <x:c r="E219" s="89" t="n">
        <x:v>45861</x:v>
      </x:c>
      <x:c r="F219" s="89" t="n">
        <x:v>45861</x:v>
      </x:c>
      <x:c r="G219" s="93" t="n">
        <x:v>10463.16</x:v>
      </x:c>
      <x:c r="H219" s="85" t="str">
        <x:v>Concluído</x:v>
      </x:c>
    </x:row>
    <x:row r="220">
      <x:c r="A220" s="83" t="n">
        <x:v>219</x:v>
      </x:c>
      <x:c r="B220" s="84" t="n">
        <x:v>2101</x:v>
      </x:c>
      <x:c r="C220" s="84" t="n">
        <x:v>22</x:v>
      </x:c>
      <x:c r="D220" s="84" t="str">
        <x:v>Usinagem</x:v>
      </x:c>
      <x:c r="E220" s="89" t="n">
        <x:v>45913</x:v>
      </x:c>
      <x:c r="F220" s="89" t="n">
        <x:v>45913</x:v>
      </x:c>
      <x:c r="G220" s="93" t="n">
        <x:v>12500.32</x:v>
      </x:c>
      <x:c r="H220" s="85" t="str">
        <x:v>Concluído</x:v>
      </x:c>
    </x:row>
    <x:row r="221">
      <x:c r="A221" s="83" t="n">
        <x:v>220</x:v>
      </x:c>
      <x:c r="B221" s="84" t="n">
        <x:v>2113</x:v>
      </x:c>
      <x:c r="C221" s="84" t="n">
        <x:v>2</x:v>
      </x:c>
      <x:c r="D221" s="84" t="str">
        <x:v>Calibração</x:v>
      </x:c>
      <x:c r="E221" s="89" t="n">
        <x:v>45546</x:v>
      </x:c>
      <x:c r="F221" s="89" t="n">
        <x:v>45547</x:v>
      </x:c>
      <x:c r="G221" s="93" t="n">
        <x:v>4410.36</x:v>
      </x:c>
      <x:c r="H221" s="85" t="str">
        <x:v>Concluído</x:v>
      </x:c>
    </x:row>
    <x:row r="222">
      <x:c r="A222" s="83" t="n">
        <x:v>221</x:v>
      </x:c>
      <x:c r="B222" s="84" t="n">
        <x:v>2118</x:v>
      </x:c>
      <x:c r="C222" s="84" t="n">
        <x:v>24</x:v>
      </x:c>
      <x:c r="D222" s="84" t="str">
        <x:v>Calibração</x:v>
      </x:c>
      <x:c r="E222" s="89" t="n">
        <x:v>45646</x:v>
      </x:c>
      <x:c r="F222" s="89"/>
      <x:c r="G222" s="93" t="n">
        <x:v>11534.49</x:v>
      </x:c>
      <x:c r="H222" s="85" t="str">
        <x:v>Em andamento</x:v>
      </x:c>
    </x:row>
    <x:row r="223">
      <x:c r="A223" s="83" t="n">
        <x:v>222</x:v>
      </x:c>
      <x:c r="B223" s="84" t="n">
        <x:v>2126</x:v>
      </x:c>
      <x:c r="C223" s="84" t="n">
        <x:v>23</x:v>
      </x:c>
      <x:c r="D223" s="84" t="str">
        <x:v>Reparo eletrônico</x:v>
      </x:c>
      <x:c r="E223" s="89" t="n">
        <x:v>45584</x:v>
      </x:c>
      <x:c r="F223" s="89"/>
      <x:c r="G223" s="93" t="n">
        <x:v>2402.29</x:v>
      </x:c>
      <x:c r="H223" s="85" t="str">
        <x:v>Em andamento</x:v>
      </x:c>
    </x:row>
    <x:row r="224">
      <x:c r="A224" s="83" t="n">
        <x:v>223</x:v>
      </x:c>
      <x:c r="B224" s="84" t="n">
        <x:v>2127</x:v>
      </x:c>
      <x:c r="C224" s="84" t="n">
        <x:v>13</x:v>
      </x:c>
      <x:c r="D224" s="84" t="str">
        <x:v>Reparo eletrônico</x:v>
      </x:c>
      <x:c r="E224" s="89" t="n">
        <x:v>45054</x:v>
      </x:c>
      <x:c r="F224" s="89" t="n">
        <x:v>45054</x:v>
      </x:c>
      <x:c r="G224" s="93" t="n">
        <x:v>4185.4</x:v>
      </x:c>
      <x:c r="H224" s="85" t="str">
        <x:v>Concluído</x:v>
      </x:c>
    </x:row>
    <x:row r="225">
      <x:c r="A225" s="83" t="n">
        <x:v>224</x:v>
      </x:c>
      <x:c r="B225" s="84" t="n">
        <x:v>2134</x:v>
      </x:c>
      <x:c r="C225" s="84" t="n">
        <x:v>19</x:v>
      </x:c>
      <x:c r="D225" s="84" t="str">
        <x:v>Reparo eletrônico</x:v>
      </x:c>
      <x:c r="E225" s="89" t="n">
        <x:v>45334</x:v>
      </x:c>
      <x:c r="F225" s="89" t="n">
        <x:v>45335</x:v>
      </x:c>
      <x:c r="G225" s="93" t="n">
        <x:v>9484.24</x:v>
      </x:c>
      <x:c r="H225" s="85" t="str">
        <x:v>Concluído</x:v>
      </x:c>
    </x:row>
    <x:row r="226">
      <x:c r="A226" s="83" t="n">
        <x:v>225</x:v>
      </x:c>
      <x:c r="B226" s="84" t="n">
        <x:v>2135</x:v>
      </x:c>
      <x:c r="C226" s="84" t="n">
        <x:v>1</x:v>
      </x:c>
      <x:c r="D226" s="84" t="str">
        <x:v>Usinagem</x:v>
      </x:c>
      <x:c r="E226" s="89" t="n">
        <x:v>45588</x:v>
      </x:c>
      <x:c r="F226" s="89" t="n">
        <x:v>45589</x:v>
      </x:c>
      <x:c r="G226" s="93" t="n">
        <x:v>1512.57</x:v>
      </x:c>
      <x:c r="H226" s="85" t="str">
        <x:v>Concluído</x:v>
      </x:c>
    </x:row>
    <x:row r="227">
      <x:c r="A227" s="83" t="n">
        <x:v>226</x:v>
      </x:c>
      <x:c r="B227" s="84" t="n">
        <x:v>2142</x:v>
      </x:c>
      <x:c r="C227" s="84" t="n">
        <x:v>7</x:v>
      </x:c>
      <x:c r="D227" s="84" t="str">
        <x:v>Reparo eletrônico</x:v>
      </x:c>
      <x:c r="E227" s="89" t="n">
        <x:v>45462</x:v>
      </x:c>
      <x:c r="F227" s="89" t="n">
        <x:v>45463</x:v>
      </x:c>
      <x:c r="G227" s="93" t="n">
        <x:v>5735.2</x:v>
      </x:c>
      <x:c r="H227" s="85" t="str">
        <x:v>Concluído</x:v>
      </x:c>
    </x:row>
    <x:row r="228">
      <x:c r="A228" s="83" t="n">
        <x:v>227</x:v>
      </x:c>
      <x:c r="B228" s="84" t="n">
        <x:v>2149</x:v>
      </x:c>
      <x:c r="C228" s="84" t="n">
        <x:v>14</x:v>
      </x:c>
      <x:c r="D228" s="84" t="str">
        <x:v>Calibração</x:v>
      </x:c>
      <x:c r="E228" s="89" t="n">
        <x:v>45872</x:v>
      </x:c>
      <x:c r="F228" s="89" t="n">
        <x:v>45873</x:v>
      </x:c>
      <x:c r="G228" s="93" t="n">
        <x:v>11389.98</x:v>
      </x:c>
      <x:c r="H228" s="85" t="str">
        <x:v>Concluído</x:v>
      </x:c>
    </x:row>
    <x:row r="229">
      <x:c r="A229" s="83" t="n">
        <x:v>228</x:v>
      </x:c>
      <x:c r="B229" s="84" t="n">
        <x:v>2155</x:v>
      </x:c>
      <x:c r="C229" s="84" t="n">
        <x:v>1</x:v>
      </x:c>
      <x:c r="D229" s="84" t="str">
        <x:v>Calibração</x:v>
      </x:c>
      <x:c r="E229" s="89" t="n">
        <x:v>45322</x:v>
      </x:c>
      <x:c r="F229" s="89" t="n">
        <x:v>45323</x:v>
      </x:c>
      <x:c r="G229" s="93" t="n">
        <x:v>3753.82</x:v>
      </x:c>
      <x:c r="H229" s="85" t="str">
        <x:v>Concluído</x:v>
      </x:c>
    </x:row>
    <x:row r="230">
      <x:c r="A230" s="83" t="n">
        <x:v>229</x:v>
      </x:c>
      <x:c r="B230" s="84" t="n">
        <x:v>2195</x:v>
      </x:c>
      <x:c r="C230" s="84" t="n">
        <x:v>17</x:v>
      </x:c>
      <x:c r="D230" s="84" t="str">
        <x:v>Reparo eletrônico</x:v>
      </x:c>
      <x:c r="E230" s="89" t="n">
        <x:v>45361</x:v>
      </x:c>
      <x:c r="F230" s="89" t="n">
        <x:v>45361</x:v>
      </x:c>
      <x:c r="G230" s="93" t="n">
        <x:v>10949.16</x:v>
      </x:c>
      <x:c r="H230" s="85" t="str">
        <x:v>Concluído</x:v>
      </x:c>
    </x:row>
    <x:row r="231">
      <x:c r="A231" s="83" t="n">
        <x:v>230</x:v>
      </x:c>
      <x:c r="B231" s="84" t="n">
        <x:v>2218</x:v>
      </x:c>
      <x:c r="C231" s="84" t="n">
        <x:v>21</x:v>
      </x:c>
      <x:c r="D231" s="84" t="str">
        <x:v>Reparo eletrônico</x:v>
      </x:c>
      <x:c r="E231" s="89" t="n">
        <x:v>45153</x:v>
      </x:c>
      <x:c r="F231" s="89" t="n">
        <x:v>45154</x:v>
      </x:c>
      <x:c r="G231" s="93" t="n">
        <x:v>8673.07</x:v>
      </x:c>
      <x:c r="H231" s="85" t="str">
        <x:v>Concluído</x:v>
      </x:c>
    </x:row>
    <x:row r="232">
      <x:c r="A232" s="83" t="n">
        <x:v>231</x:v>
      </x:c>
      <x:c r="B232" s="84" t="n">
        <x:v>2239</x:v>
      </x:c>
      <x:c r="C232" s="84" t="n">
        <x:v>2</x:v>
      </x:c>
      <x:c r="D232" s="84" t="str">
        <x:v>Usinagem</x:v>
      </x:c>
      <x:c r="E232" s="89" t="n">
        <x:v>45762</x:v>
      </x:c>
      <x:c r="F232" s="89" t="n">
        <x:v>45762</x:v>
      </x:c>
      <x:c r="G232" s="93" t="n">
        <x:v>3862.79</x:v>
      </x:c>
      <x:c r="H232" s="85" t="str">
        <x:v>Concluído</x:v>
      </x:c>
    </x:row>
    <x:row r="233">
      <x:c r="A233" s="83" t="n">
        <x:v>232</x:v>
      </x:c>
      <x:c r="B233" s="84" t="n">
        <x:v>2250</x:v>
      </x:c>
      <x:c r="C233" s="84" t="n">
        <x:v>6</x:v>
      </x:c>
      <x:c r="D233" s="84" t="str">
        <x:v>Usinagem</x:v>
      </x:c>
      <x:c r="E233" s="89" t="n">
        <x:v>45948</x:v>
      </x:c>
      <x:c r="F233" s="89" t="n">
        <x:v>45948</x:v>
      </x:c>
      <x:c r="G233" s="93" t="n">
        <x:v>1485.46</x:v>
      </x:c>
      <x:c r="H233" s="85" t="str">
        <x:v>Concluído</x:v>
      </x:c>
    </x:row>
    <x:row r="234">
      <x:c r="A234" s="83" t="n">
        <x:v>233</x:v>
      </x:c>
      <x:c r="B234" s="84" t="n">
        <x:v>2255</x:v>
      </x:c>
      <x:c r="C234" s="84" t="n">
        <x:v>24</x:v>
      </x:c>
      <x:c r="D234" s="84" t="str">
        <x:v>Reparo eletrônico</x:v>
      </x:c>
      <x:c r="E234" s="89" t="n">
        <x:v>45901</x:v>
      </x:c>
      <x:c r="F234" s="89"/>
      <x:c r="G234" s="93" t="n">
        <x:v>13658.52</x:v>
      </x:c>
      <x:c r="H234" s="85" t="str">
        <x:v>Em andamento</x:v>
      </x:c>
    </x:row>
    <x:row r="235">
      <x:c r="A235" s="83" t="n">
        <x:v>234</x:v>
      </x:c>
      <x:c r="B235" s="84" t="n">
        <x:v>2256</x:v>
      </x:c>
      <x:c r="C235" s="84" t="n">
        <x:v>8</x:v>
      </x:c>
      <x:c r="D235" s="84" t="str">
        <x:v>Calibração</x:v>
      </x:c>
      <x:c r="E235" s="89" t="n">
        <x:v>45371</x:v>
      </x:c>
      <x:c r="F235" s="89" t="n">
        <x:v>45371</x:v>
      </x:c>
      <x:c r="G235" s="93" t="n">
        <x:v>14475.81</x:v>
      </x:c>
      <x:c r="H235" s="85" t="str">
        <x:v>Concluído</x:v>
      </x:c>
    </x:row>
    <x:row r="236">
      <x:c r="A236" s="83" t="n">
        <x:v>235</x:v>
      </x:c>
      <x:c r="B236" s="84" t="n">
        <x:v>2263</x:v>
      </x:c>
      <x:c r="C236" s="84" t="n">
        <x:v>2</x:v>
      </x:c>
      <x:c r="D236" s="84" t="str">
        <x:v>Reparo eletrônico</x:v>
      </x:c>
      <x:c r="E236" s="89" t="n">
        <x:v>45361</x:v>
      </x:c>
      <x:c r="F236" s="89" t="n">
        <x:v>45362</x:v>
      </x:c>
      <x:c r="G236" s="93" t="n">
        <x:v>8532.07</x:v>
      </x:c>
      <x:c r="H236" s="85" t="str">
        <x:v>Concluído</x:v>
      </x:c>
    </x:row>
    <x:row r="237">
      <x:c r="A237" s="83" t="n">
        <x:v>236</x:v>
      </x:c>
      <x:c r="B237" s="84" t="n">
        <x:v>2267</x:v>
      </x:c>
      <x:c r="C237" s="84" t="n">
        <x:v>20</x:v>
      </x:c>
      <x:c r="D237" s="84" t="str">
        <x:v>Reparo eletrônico</x:v>
      </x:c>
      <x:c r="E237" s="89" t="n">
        <x:v>45083</x:v>
      </x:c>
      <x:c r="F237" s="89"/>
      <x:c r="G237" s="93" t="n">
        <x:v>6823.13</x:v>
      </x:c>
      <x:c r="H237" s="85" t="str">
        <x:v>Em andamento</x:v>
      </x:c>
    </x:row>
    <x:row r="238">
      <x:c r="A238" s="83" t="n">
        <x:v>237</x:v>
      </x:c>
      <x:c r="B238" s="84" t="n">
        <x:v>2269</x:v>
      </x:c>
      <x:c r="C238" s="84" t="n">
        <x:v>3</x:v>
      </x:c>
      <x:c r="D238" s="84" t="str">
        <x:v>Calibração</x:v>
      </x:c>
      <x:c r="E238" s="89" t="n">
        <x:v>45595</x:v>
      </x:c>
      <x:c r="F238" s="89" t="n">
        <x:v>45596</x:v>
      </x:c>
      <x:c r="G238" s="93" t="n">
        <x:v>9234.04</x:v>
      </x:c>
      <x:c r="H238" s="85" t="str">
        <x:v>Concluído</x:v>
      </x:c>
    </x:row>
    <x:row r="239">
      <x:c r="A239" s="83" t="n">
        <x:v>238</x:v>
      </x:c>
      <x:c r="B239" s="84" t="n">
        <x:v>2271</x:v>
      </x:c>
      <x:c r="C239" s="84" t="n">
        <x:v>12</x:v>
      </x:c>
      <x:c r="D239" s="84" t="str">
        <x:v>Usinagem</x:v>
      </x:c>
      <x:c r="E239" s="89" t="n">
        <x:v>45195</x:v>
      </x:c>
      <x:c r="F239" s="89" t="n">
        <x:v>45195</x:v>
      </x:c>
      <x:c r="G239" s="93" t="n">
        <x:v>13099.37</x:v>
      </x:c>
      <x:c r="H239" s="85" t="str">
        <x:v>Concluído</x:v>
      </x:c>
    </x:row>
    <x:row r="240">
      <x:c r="A240" s="83" t="n">
        <x:v>239</x:v>
      </x:c>
      <x:c r="B240" s="84" t="n">
        <x:v>2272</x:v>
      </x:c>
      <x:c r="C240" s="84" t="n">
        <x:v>23</x:v>
      </x:c>
      <x:c r="D240" s="84" t="str">
        <x:v>Usinagem</x:v>
      </x:c>
      <x:c r="E240" s="89" t="n">
        <x:v>45648</x:v>
      </x:c>
      <x:c r="F240" s="89" t="n">
        <x:v>45649</x:v>
      </x:c>
      <x:c r="G240" s="93" t="n">
        <x:v>8846.33</x:v>
      </x:c>
      <x:c r="H240" s="85" t="str">
        <x:v>Concluído</x:v>
      </x:c>
    </x:row>
    <x:row r="241">
      <x:c r="A241" s="83" t="n">
        <x:v>240</x:v>
      </x:c>
      <x:c r="B241" s="84" t="n">
        <x:v>2274</x:v>
      </x:c>
      <x:c r="C241" s="84" t="n">
        <x:v>13</x:v>
      </x:c>
      <x:c r="D241" s="84" t="str">
        <x:v>Reparo eletrônico</x:v>
      </x:c>
      <x:c r="E241" s="89" t="n">
        <x:v>45670</x:v>
      </x:c>
      <x:c r="F241" s="89" t="n">
        <x:v>45671</x:v>
      </x:c>
      <x:c r="G241" s="93" t="n">
        <x:v>6902.32</x:v>
      </x:c>
      <x:c r="H241" s="85" t="str">
        <x:v>Concluído</x:v>
      </x:c>
    </x:row>
    <x:row r="242">
      <x:c r="A242" s="83" t="n">
        <x:v>241</x:v>
      </x:c>
      <x:c r="B242" s="84" t="n">
        <x:v>2280</x:v>
      </x:c>
      <x:c r="C242" s="84" t="n">
        <x:v>23</x:v>
      </x:c>
      <x:c r="D242" s="84" t="str">
        <x:v>Calibração</x:v>
      </x:c>
      <x:c r="E242" s="89" t="n">
        <x:v>45945</x:v>
      </x:c>
      <x:c r="F242" s="89" t="n">
        <x:v>45945</x:v>
      </x:c>
      <x:c r="G242" s="93" t="n">
        <x:v>5414.47</x:v>
      </x:c>
      <x:c r="H242" s="85" t="str">
        <x:v>Concluído</x:v>
      </x:c>
    </x:row>
    <x:row r="243">
      <x:c r="A243" s="83" t="n">
        <x:v>242</x:v>
      </x:c>
      <x:c r="B243" s="84" t="n">
        <x:v>2289</x:v>
      </x:c>
      <x:c r="C243" s="84" t="n">
        <x:v>25</x:v>
      </x:c>
      <x:c r="D243" s="84" t="str">
        <x:v>Usinagem</x:v>
      </x:c>
      <x:c r="E243" s="89" t="n">
        <x:v>45588</x:v>
      </x:c>
      <x:c r="F243" s="89" t="n">
        <x:v>45588</x:v>
      </x:c>
      <x:c r="G243" s="93" t="n">
        <x:v>13771.04</x:v>
      </x:c>
      <x:c r="H243" s="85" t="str">
        <x:v>Concluído</x:v>
      </x:c>
    </x:row>
    <x:row r="244">
      <x:c r="A244" s="83" t="n">
        <x:v>243</x:v>
      </x:c>
      <x:c r="B244" s="84" t="n">
        <x:v>2298</x:v>
      </x:c>
      <x:c r="C244" s="84" t="n">
        <x:v>20</x:v>
      </x:c>
      <x:c r="D244" s="84" t="str">
        <x:v>Reparo eletrônico</x:v>
      </x:c>
      <x:c r="E244" s="89" t="n">
        <x:v>45972</x:v>
      </x:c>
      <x:c r="F244" s="89" t="n">
        <x:v>45972</x:v>
      </x:c>
      <x:c r="G244" s="93" t="n">
        <x:v>2831.37</x:v>
      </x:c>
      <x:c r="H244" s="85" t="str">
        <x:v>Concluído</x:v>
      </x:c>
    </x:row>
    <x:row r="245">
      <x:c r="A245" s="83" t="n">
        <x:v>244</x:v>
      </x:c>
      <x:c r="B245" s="84" t="n">
        <x:v>2309</x:v>
      </x:c>
      <x:c r="C245" s="84" t="n">
        <x:v>7</x:v>
      </x:c>
      <x:c r="D245" s="84" t="str">
        <x:v>Reparo eletrônico</x:v>
      </x:c>
      <x:c r="E245" s="89" t="n">
        <x:v>45307</x:v>
      </x:c>
      <x:c r="F245" s="89"/>
      <x:c r="G245" s="93" t="n">
        <x:v>7273.18</x:v>
      </x:c>
      <x:c r="H245" s="85" t="str">
        <x:v>Em andamento</x:v>
      </x:c>
    </x:row>
    <x:row r="246">
      <x:c r="A246" s="83" t="n">
        <x:v>245</x:v>
      </x:c>
      <x:c r="B246" s="84" t="n">
        <x:v>2310</x:v>
      </x:c>
      <x:c r="C246" s="84" t="n">
        <x:v>14</x:v>
      </x:c>
      <x:c r="D246" s="84" t="str">
        <x:v>Reparo eletrônico</x:v>
      </x:c>
      <x:c r="E246" s="89" t="n">
        <x:v>45790</x:v>
      </x:c>
      <x:c r="F246" s="89" t="n">
        <x:v>45791</x:v>
      </x:c>
      <x:c r="G246" s="93" t="n">
        <x:v>6304.06</x:v>
      </x:c>
      <x:c r="H246" s="85" t="str">
        <x:v>Concluído</x:v>
      </x:c>
    </x:row>
    <x:row r="247">
      <x:c r="A247" s="83" t="n">
        <x:v>246</x:v>
      </x:c>
      <x:c r="B247" s="84" t="n">
        <x:v>2323</x:v>
      </x:c>
      <x:c r="C247" s="84" t="n">
        <x:v>3</x:v>
      </x:c>
      <x:c r="D247" s="84" t="str">
        <x:v>Reparo eletrônico</x:v>
      </x:c>
      <x:c r="E247" s="89" t="n">
        <x:v>45660</x:v>
      </x:c>
      <x:c r="F247" s="89" t="n">
        <x:v>45661</x:v>
      </x:c>
      <x:c r="G247" s="93" t="n">
        <x:v>2183.18</x:v>
      </x:c>
      <x:c r="H247" s="85" t="str">
        <x:v>Concluído</x:v>
      </x:c>
    </x:row>
    <x:row r="248">
      <x:c r="A248" s="83" t="n">
        <x:v>247</x:v>
      </x:c>
      <x:c r="B248" s="84" t="n">
        <x:v>2338</x:v>
      </x:c>
      <x:c r="C248" s="84" t="n">
        <x:v>21</x:v>
      </x:c>
      <x:c r="D248" s="84" t="str">
        <x:v>Usinagem</x:v>
      </x:c>
      <x:c r="E248" s="89" t="n">
        <x:v>45010</x:v>
      </x:c>
      <x:c r="F248" s="89" t="n">
        <x:v>45010</x:v>
      </x:c>
      <x:c r="G248" s="93" t="n">
        <x:v>5648.27</x:v>
      </x:c>
      <x:c r="H248" s="85" t="str">
        <x:v>Concluído</x:v>
      </x:c>
    </x:row>
    <x:row r="249">
      <x:c r="A249" s="83" t="n">
        <x:v>248</x:v>
      </x:c>
      <x:c r="B249" s="84" t="n">
        <x:v>2346</x:v>
      </x:c>
      <x:c r="C249" s="84" t="n">
        <x:v>7</x:v>
      </x:c>
      <x:c r="D249" s="84" t="str">
        <x:v>Usinagem</x:v>
      </x:c>
      <x:c r="E249" s="89" t="n">
        <x:v>45826</x:v>
      </x:c>
      <x:c r="F249" s="89"/>
      <x:c r="G249" s="93" t="n">
        <x:v>9920.76</x:v>
      </x:c>
      <x:c r="H249" s="85" t="str">
        <x:v>Em andamento</x:v>
      </x:c>
    </x:row>
    <x:row r="250">
      <x:c r="A250" s="83" t="n">
        <x:v>249</x:v>
      </x:c>
      <x:c r="B250" s="84" t="n">
        <x:v>2349</x:v>
      </x:c>
      <x:c r="C250" s="84" t="n">
        <x:v>17</x:v>
      </x:c>
      <x:c r="D250" s="84" t="str">
        <x:v>Calibração</x:v>
      </x:c>
      <x:c r="E250" s="89" t="n">
        <x:v>45156</x:v>
      </x:c>
      <x:c r="F250" s="89" t="n">
        <x:v>45157</x:v>
      </x:c>
      <x:c r="G250" s="93" t="n">
        <x:v>10444.38</x:v>
      </x:c>
      <x:c r="H250" s="85" t="str">
        <x:v>Concluído</x:v>
      </x:c>
    </x:row>
    <x:row r="251">
      <x:c r="A251" s="86" t="n">
        <x:v>250</x:v>
      </x:c>
      <x:c r="B251" s="87" t="n">
        <x:v>2352</x:v>
      </x:c>
      <x:c r="C251" s="87" t="n">
        <x:v>16</x:v>
      </x:c>
      <x:c r="D251" s="87" t="str">
        <x:v>Calibração</x:v>
      </x:c>
      <x:c r="E251" s="90" t="n">
        <x:v>45317</x:v>
      </x:c>
      <x:c r="F251" s="90" t="n">
        <x:v>45318</x:v>
      </x:c>
      <x:c r="G251" s="94" t="n">
        <x:v>7502.87</x:v>
      </x:c>
      <x:c r="H251" s="88" t="str">
        <x:v>Concluído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2.5600004196167" hidden="0" customWidth="1"/>
    <x:col min="3" max="3" width="9.109999656677246" hidden="0" customWidth="1"/>
    <x:col min="4" max="4" width="6.889999866485596" hidden="0" customWidth="1"/>
    <x:col min="5" max="5" width="6.670000076293945" hidden="0" customWidth="1"/>
    <x:col min="6" max="6" width="17.559999465942383" hidden="0" customWidth="1"/>
    <x:col min="7" max="7" width="17.889999389648438" hidden="0" customWidth="1"/>
    <x:col min="8" max="8" width="16" hidden="0" customWidth="1"/>
    <x:col min="9" max="9" width="16.110000610351562" hidden="0" customWidth="1"/>
    <x:col min="10" max="10" width="14.779999732971191" hidden="0" customWidth="1"/>
  </x:cols>
  <x:sheetData>
    <x:row r="1">
      <x:c r="A1" s="80" t="str">
        <x:v>id_producao</x:v>
      </x:c>
      <x:c r="B1" s="81" t="str">
        <x:v>data_referencia</x:v>
      </x:c>
      <x:c r="C1" s="81" t="str">
        <x:v>id_unidade</x:v>
      </x:c>
      <x:c r="D1" s="81" t="str">
        <x:v>id_setor</x:v>
      </x:c>
      <x:c r="E1" s="81" t="str">
        <x:v>id_linha</x:v>
      </x:c>
      <x:c r="F1" s="81" t="str">
        <x:v>quantidade_planejada</x:v>
      </x:c>
      <x:c r="G1" s="81" t="str">
        <x:v>quantidade_produzida</x:v>
      </x:c>
      <x:c r="H1" s="81" t="str">
        <x:v>quantidade_perdida</x:v>
      </x:c>
      <x:c r="I1" s="81" t="str">
        <x:v>horas_programadas</x:v>
      </x:c>
      <x:c r="J1" s="82" t="str">
        <x:v>horas_disponiveis</x:v>
      </x:c>
    </x:row>
    <x:row r="2">
      <x:c r="A2" s="83" t="n">
        <x:v>1</x:v>
      </x:c>
      <x:c r="B2" s="89" t="n">
        <x:v>44927</x:v>
      </x:c>
      <x:c r="C2" s="84" t="n">
        <x:v>1</x:v>
      </x:c>
      <x:c r="D2" s="84" t="n">
        <x:v>1</x:v>
      </x:c>
      <x:c r="E2" s="84" t="n">
        <x:v>1</x:v>
      </x:c>
      <x:c r="F2" s="84" t="n">
        <x:v>28160</x:v>
      </x:c>
      <x:c r="G2" s="84" t="n">
        <x:v>26833</x:v>
      </x:c>
      <x:c r="H2" s="84" t="n">
        <x:v>1327</x:v>
      </x:c>
      <x:c r="I2" s="84" t="n">
        <x:v>352</x:v>
      </x:c>
      <x:c r="J2" s="85" t="n">
        <x:v>322.6</x:v>
      </x:c>
    </x:row>
    <x:row r="3">
      <x:c r="A3" s="83" t="n">
        <x:v>2</x:v>
      </x:c>
      <x:c r="B3" s="89" t="n">
        <x:v>44927</x:v>
      </x:c>
      <x:c r="C3" s="84" t="n">
        <x:v>1</x:v>
      </x:c>
      <x:c r="D3" s="84" t="n">
        <x:v>1</x:v>
      </x:c>
      <x:c r="E3" s="84" t="n">
        <x:v>2</x:v>
      </x:c>
      <x:c r="F3" s="84" t="n">
        <x:v>42240</x:v>
      </x:c>
      <x:c r="G3" s="84" t="n">
        <x:v>39249</x:v>
      </x:c>
      <x:c r="H3" s="84" t="n">
        <x:v>2991</x:v>
      </x:c>
      <x:c r="I3" s="84" t="n">
        <x:v>352</x:v>
      </x:c>
      <x:c r="J3" s="85" t="n">
        <x:v>324.3</x:v>
      </x:c>
    </x:row>
    <x:row r="4">
      <x:c r="A4" s="83" t="n">
        <x:v>3</x:v>
      </x:c>
      <x:c r="B4" s="89" t="n">
        <x:v>44927</x:v>
      </x:c>
      <x:c r="C4" s="84" t="n">
        <x:v>1</x:v>
      </x:c>
      <x:c r="D4" s="84" t="n">
        <x:v>2</x:v>
      </x:c>
      <x:c r="E4" s="84" t="n">
        <x:v>3</x:v>
      </x:c>
      <x:c r="F4" s="84" t="n">
        <x:v>35200</x:v>
      </x:c>
      <x:c r="G4" s="84" t="n">
        <x:v>34825</x:v>
      </x:c>
      <x:c r="H4" s="84" t="n">
        <x:v>375</x:v>
      </x:c>
      <x:c r="I4" s="84" t="n">
        <x:v>352</x:v>
      </x:c>
      <x:c r="J4" s="85" t="n">
        <x:v>330.5</x:v>
      </x:c>
    </x:row>
    <x:row r="5">
      <x:c r="A5" s="83" t="n">
        <x:v>4</x:v>
      </x:c>
      <x:c r="B5" s="89" t="n">
        <x:v>44927</x:v>
      </x:c>
      <x:c r="C5" s="84" t="n">
        <x:v>1</x:v>
      </x:c>
      <x:c r="D5" s="84" t="n">
        <x:v>2</x:v>
      </x:c>
      <x:c r="E5" s="84" t="n">
        <x:v>4</x:v>
      </x:c>
      <x:c r="F5" s="84" t="n">
        <x:v>28160</x:v>
      </x:c>
      <x:c r="G5" s="84" t="n">
        <x:v>28136</x:v>
      </x:c>
      <x:c r="H5" s="84" t="n">
        <x:v>24</x:v>
      </x:c>
      <x:c r="I5" s="84" t="n">
        <x:v>352</x:v>
      </x:c>
      <x:c r="J5" s="85" t="n">
        <x:v>332.7</x:v>
      </x:c>
    </x:row>
    <x:row r="6">
      <x:c r="A6" s="83" t="n">
        <x:v>5</x:v>
      </x:c>
      <x:c r="B6" s="89" t="n">
        <x:v>44927</x:v>
      </x:c>
      <x:c r="C6" s="84" t="n">
        <x:v>2</x:v>
      </x:c>
      <x:c r="D6" s="84" t="n">
        <x:v>4</x:v>
      </x:c>
      <x:c r="E6" s="84" t="n">
        <x:v>5</x:v>
      </x:c>
      <x:c r="F6" s="84" t="n">
        <x:v>52800</x:v>
      </x:c>
      <x:c r="G6" s="84" t="n">
        <x:v>49490</x:v>
      </x:c>
      <x:c r="H6" s="84" t="n">
        <x:v>3310</x:v>
      </x:c>
      <x:c r="I6" s="84" t="n">
        <x:v>352</x:v>
      </x:c>
      <x:c r="J6" s="85" t="n">
        <x:v>345.4</x:v>
      </x:c>
    </x:row>
    <x:row r="7">
      <x:c r="A7" s="83" t="n">
        <x:v>6</x:v>
      </x:c>
      <x:c r="B7" s="89" t="n">
        <x:v>44927</x:v>
      </x:c>
      <x:c r="C7" s="84" t="n">
        <x:v>2</x:v>
      </x:c>
      <x:c r="D7" s="84" t="n">
        <x:v>4</x:v>
      </x:c>
      <x:c r="E7" s="84" t="n">
        <x:v>6</x:v>
      </x:c>
      <x:c r="F7" s="84" t="n">
        <x:v>35200</x:v>
      </x:c>
      <x:c r="G7" s="84" t="n">
        <x:v>33048</x:v>
      </x:c>
      <x:c r="H7" s="84" t="n">
        <x:v>2152</x:v>
      </x:c>
      <x:c r="I7" s="84" t="n">
        <x:v>352</x:v>
      </x:c>
      <x:c r="J7" s="85" t="n">
        <x:v>325.5</x:v>
      </x:c>
    </x:row>
    <x:row r="8">
      <x:c r="A8" s="83" t="n">
        <x:v>7</x:v>
      </x:c>
      <x:c r="B8" s="89" t="n">
        <x:v>44927</x:v>
      </x:c>
      <x:c r="C8" s="84" t="n">
        <x:v>2</x:v>
      </x:c>
      <x:c r="D8" s="84" t="n">
        <x:v>5</x:v>
      </x:c>
      <x:c r="E8" s="84" t="n">
        <x:v>7</x:v>
      </x:c>
      <x:c r="F8" s="84" t="n">
        <x:v>42240</x:v>
      </x:c>
      <x:c r="G8" s="84" t="n">
        <x:v>39794</x:v>
      </x:c>
      <x:c r="H8" s="84" t="n">
        <x:v>2446</x:v>
      </x:c>
      <x:c r="I8" s="84" t="n">
        <x:v>352</x:v>
      </x:c>
      <x:c r="J8" s="85" t="n">
        <x:v>317.6</x:v>
      </x:c>
    </x:row>
    <x:row r="9">
      <x:c r="A9" s="83" t="n">
        <x:v>8</x:v>
      </x:c>
      <x:c r="B9" s="89" t="n">
        <x:v>44927</x:v>
      </x:c>
      <x:c r="C9" s="84" t="n">
        <x:v>2</x:v>
      </x:c>
      <x:c r="D9" s="84" t="n">
        <x:v>5</x:v>
      </x:c>
      <x:c r="E9" s="84" t="n">
        <x:v>8</x:v>
      </x:c>
      <x:c r="F9" s="84" t="n">
        <x:v>42240</x:v>
      </x:c>
      <x:c r="G9" s="84" t="n">
        <x:v>40587</x:v>
      </x:c>
      <x:c r="H9" s="84" t="n">
        <x:v>1653</x:v>
      </x:c>
      <x:c r="I9" s="84" t="n">
        <x:v>352</x:v>
      </x:c>
      <x:c r="J9" s="85" t="n">
        <x:v>346.5</x:v>
      </x:c>
    </x:row>
    <x:row r="10">
      <x:c r="A10" s="83" t="n">
        <x:v>9</x:v>
      </x:c>
      <x:c r="B10" s="89" t="n">
        <x:v>44927</x:v>
      </x:c>
      <x:c r="C10" s="84" t="n">
        <x:v>3</x:v>
      </x:c>
      <x:c r="D10" s="84" t="n">
        <x:v>7</x:v>
      </x:c>
      <x:c r="E10" s="84" t="n">
        <x:v>9</x:v>
      </x:c>
      <x:c r="F10" s="84" t="n">
        <x:v>28160</x:v>
      </x:c>
      <x:c r="G10" s="84" t="n">
        <x:v>27998</x:v>
      </x:c>
      <x:c r="H10" s="84" t="n">
        <x:v>162</x:v>
      </x:c>
      <x:c r="I10" s="84" t="n">
        <x:v>352</x:v>
      </x:c>
      <x:c r="J10" s="85" t="n">
        <x:v>334.8</x:v>
      </x:c>
    </x:row>
    <x:row r="11">
      <x:c r="A11" s="83" t="n">
        <x:v>10</x:v>
      </x:c>
      <x:c r="B11" s="89" t="n">
        <x:v>44927</x:v>
      </x:c>
      <x:c r="C11" s="84" t="n">
        <x:v>3</x:v>
      </x:c>
      <x:c r="D11" s="84" t="n">
        <x:v>7</x:v>
      </x:c>
      <x:c r="E11" s="84" t="n">
        <x:v>10</x:v>
      </x:c>
      <x:c r="F11" s="84" t="n">
        <x:v>28160</x:v>
      </x:c>
      <x:c r="G11" s="84" t="n">
        <x:v>27427</x:v>
      </x:c>
      <x:c r="H11" s="84" t="n">
        <x:v>733</x:v>
      </x:c>
      <x:c r="I11" s="84" t="n">
        <x:v>352</x:v>
      </x:c>
      <x:c r="J11" s="85" t="n">
        <x:v>321.3</x:v>
      </x:c>
    </x:row>
    <x:row r="12">
      <x:c r="A12" s="83" t="n">
        <x:v>11</x:v>
      </x:c>
      <x:c r="B12" s="89" t="n">
        <x:v>44927</x:v>
      </x:c>
      <x:c r="C12" s="84" t="n">
        <x:v>3</x:v>
      </x:c>
      <x:c r="D12" s="84" t="n">
        <x:v>8</x:v>
      </x:c>
      <x:c r="E12" s="84" t="n">
        <x:v>11</x:v>
      </x:c>
      <x:c r="F12" s="84" t="n">
        <x:v>52800</x:v>
      </x:c>
      <x:c r="G12" s="84" t="n">
        <x:v>49727</x:v>
      </x:c>
      <x:c r="H12" s="84" t="n">
        <x:v>3073</x:v>
      </x:c>
      <x:c r="I12" s="84" t="n">
        <x:v>352</x:v>
      </x:c>
      <x:c r="J12" s="85" t="n">
        <x:v>331.1</x:v>
      </x:c>
    </x:row>
    <x:row r="13">
      <x:c r="A13" s="83" t="n">
        <x:v>12</x:v>
      </x:c>
      <x:c r="B13" s="89" t="n">
        <x:v>44927</x:v>
      </x:c>
      <x:c r="C13" s="84" t="n">
        <x:v>3</x:v>
      </x:c>
      <x:c r="D13" s="84" t="n">
        <x:v>8</x:v>
      </x:c>
      <x:c r="E13" s="84" t="n">
        <x:v>12</x:v>
      </x:c>
      <x:c r="F13" s="84" t="n">
        <x:v>52800</x:v>
      </x:c>
      <x:c r="G13" s="84" t="n">
        <x:v>49350</x:v>
      </x:c>
      <x:c r="H13" s="84" t="n">
        <x:v>3450</x:v>
      </x:c>
      <x:c r="I13" s="84" t="n">
        <x:v>352</x:v>
      </x:c>
      <x:c r="J13" s="85" t="n">
        <x:v>336.9</x:v>
      </x:c>
    </x:row>
    <x:row r="14">
      <x:c r="A14" s="83" t="n">
        <x:v>13</x:v>
      </x:c>
      <x:c r="B14" s="89" t="n">
        <x:v>44958</x:v>
      </x:c>
      <x:c r="C14" s="84" t="n">
        <x:v>1</x:v>
      </x:c>
      <x:c r="D14" s="84" t="n">
        <x:v>1</x:v>
      </x:c>
      <x:c r="E14" s="84" t="n">
        <x:v>1</x:v>
      </x:c>
      <x:c r="F14" s="84" t="n">
        <x:v>28160</x:v>
      </x:c>
      <x:c r="G14" s="84" t="n">
        <x:v>26962</x:v>
      </x:c>
      <x:c r="H14" s="84" t="n">
        <x:v>1198</x:v>
      </x:c>
      <x:c r="I14" s="84" t="n">
        <x:v>352</x:v>
      </x:c>
      <x:c r="J14" s="85" t="n">
        <x:v>320</x:v>
      </x:c>
    </x:row>
    <x:row r="15">
      <x:c r="A15" s="83" t="n">
        <x:v>14</x:v>
      </x:c>
      <x:c r="B15" s="89" t="n">
        <x:v>44958</x:v>
      </x:c>
      <x:c r="C15" s="84" t="n">
        <x:v>1</x:v>
      </x:c>
      <x:c r="D15" s="84" t="n">
        <x:v>1</x:v>
      </x:c>
      <x:c r="E15" s="84" t="n">
        <x:v>2</x:v>
      </x:c>
      <x:c r="F15" s="84" t="n">
        <x:v>42240</x:v>
      </x:c>
      <x:c r="G15" s="84" t="n">
        <x:v>40246</x:v>
      </x:c>
      <x:c r="H15" s="84" t="n">
        <x:v>1994</x:v>
      </x:c>
      <x:c r="I15" s="84" t="n">
        <x:v>352</x:v>
      </x:c>
      <x:c r="J15" s="85" t="n">
        <x:v>342.2</x:v>
      </x:c>
    </x:row>
    <x:row r="16">
      <x:c r="A16" s="83" t="n">
        <x:v>15</x:v>
      </x:c>
      <x:c r="B16" s="89" t="n">
        <x:v>44958</x:v>
      </x:c>
      <x:c r="C16" s="84" t="n">
        <x:v>1</x:v>
      </x:c>
      <x:c r="D16" s="84" t="n">
        <x:v>2</x:v>
      </x:c>
      <x:c r="E16" s="84" t="n">
        <x:v>3</x:v>
      </x:c>
      <x:c r="F16" s="84" t="n">
        <x:v>35200</x:v>
      </x:c>
      <x:c r="G16" s="84" t="n">
        <x:v>34954</x:v>
      </x:c>
      <x:c r="H16" s="84" t="n">
        <x:v>246</x:v>
      </x:c>
      <x:c r="I16" s="84" t="n">
        <x:v>352</x:v>
      </x:c>
      <x:c r="J16" s="85" t="n">
        <x:v>336.9</x:v>
      </x:c>
    </x:row>
    <x:row r="17">
      <x:c r="A17" s="83" t="n">
        <x:v>16</x:v>
      </x:c>
      <x:c r="B17" s="89" t="n">
        <x:v>44958</x:v>
      </x:c>
      <x:c r="C17" s="84" t="n">
        <x:v>1</x:v>
      </x:c>
      <x:c r="D17" s="84" t="n">
        <x:v>2</x:v>
      </x:c>
      <x:c r="E17" s="84" t="n">
        <x:v>4</x:v>
      </x:c>
      <x:c r="F17" s="84" t="n">
        <x:v>28160</x:v>
      </x:c>
      <x:c r="G17" s="84" t="n">
        <x:v>27908</x:v>
      </x:c>
      <x:c r="H17" s="84" t="n">
        <x:v>252</x:v>
      </x:c>
      <x:c r="I17" s="84" t="n">
        <x:v>352</x:v>
      </x:c>
      <x:c r="J17" s="85" t="n">
        <x:v>347.5</x:v>
      </x:c>
    </x:row>
    <x:row r="18">
      <x:c r="A18" s="83" t="n">
        <x:v>17</x:v>
      </x:c>
      <x:c r="B18" s="89" t="n">
        <x:v>44958</x:v>
      </x:c>
      <x:c r="C18" s="84" t="n">
        <x:v>2</x:v>
      </x:c>
      <x:c r="D18" s="84" t="n">
        <x:v>4</x:v>
      </x:c>
      <x:c r="E18" s="84" t="n">
        <x:v>5</x:v>
      </x:c>
      <x:c r="F18" s="84" t="n">
        <x:v>52800</x:v>
      </x:c>
      <x:c r="G18" s="84" t="n">
        <x:v>51826</x:v>
      </x:c>
      <x:c r="H18" s="84" t="n">
        <x:v>974</x:v>
      </x:c>
      <x:c r="I18" s="84" t="n">
        <x:v>352</x:v>
      </x:c>
      <x:c r="J18" s="85" t="n">
        <x:v>326.9</x:v>
      </x:c>
    </x:row>
    <x:row r="19">
      <x:c r="A19" s="83" t="n">
        <x:v>18</x:v>
      </x:c>
      <x:c r="B19" s="89" t="n">
        <x:v>44958</x:v>
      </x:c>
      <x:c r="C19" s="84" t="n">
        <x:v>2</x:v>
      </x:c>
      <x:c r="D19" s="84" t="n">
        <x:v>4</x:v>
      </x:c>
      <x:c r="E19" s="84" t="n">
        <x:v>6</x:v>
      </x:c>
      <x:c r="F19" s="84" t="n">
        <x:v>35200</x:v>
      </x:c>
      <x:c r="G19" s="84" t="n">
        <x:v>33104</x:v>
      </x:c>
      <x:c r="H19" s="84" t="n">
        <x:v>2096</x:v>
      </x:c>
      <x:c r="I19" s="84" t="n">
        <x:v>352</x:v>
      </x:c>
      <x:c r="J19" s="85" t="n">
        <x:v>317.2</x:v>
      </x:c>
    </x:row>
    <x:row r="20">
      <x:c r="A20" s="83" t="n">
        <x:v>19</x:v>
      </x:c>
      <x:c r="B20" s="89" t="n">
        <x:v>44958</x:v>
      </x:c>
      <x:c r="C20" s="84" t="n">
        <x:v>2</x:v>
      </x:c>
      <x:c r="D20" s="84" t="n">
        <x:v>5</x:v>
      </x:c>
      <x:c r="E20" s="84" t="n">
        <x:v>7</x:v>
      </x:c>
      <x:c r="F20" s="84" t="n">
        <x:v>42240</x:v>
      </x:c>
      <x:c r="G20" s="84" t="n">
        <x:v>41295</x:v>
      </x:c>
      <x:c r="H20" s="84" t="n">
        <x:v>945</x:v>
      </x:c>
      <x:c r="I20" s="84" t="n">
        <x:v>352</x:v>
      </x:c>
      <x:c r="J20" s="85" t="n">
        <x:v>341.6</x:v>
      </x:c>
    </x:row>
    <x:row r="21">
      <x:c r="A21" s="83" t="n">
        <x:v>20</x:v>
      </x:c>
      <x:c r="B21" s="89" t="n">
        <x:v>44958</x:v>
      </x:c>
      <x:c r="C21" s="84" t="n">
        <x:v>2</x:v>
      </x:c>
      <x:c r="D21" s="84" t="n">
        <x:v>5</x:v>
      </x:c>
      <x:c r="E21" s="84" t="n">
        <x:v>8</x:v>
      </x:c>
      <x:c r="F21" s="84" t="n">
        <x:v>42240</x:v>
      </x:c>
      <x:c r="G21" s="84" t="n">
        <x:v>40683</x:v>
      </x:c>
      <x:c r="H21" s="84" t="n">
        <x:v>1557</x:v>
      </x:c>
      <x:c r="I21" s="84" t="n">
        <x:v>352</x:v>
      </x:c>
      <x:c r="J21" s="85" t="n">
        <x:v>336.5</x:v>
      </x:c>
    </x:row>
    <x:row r="22">
      <x:c r="A22" s="83" t="n">
        <x:v>21</x:v>
      </x:c>
      <x:c r="B22" s="89" t="n">
        <x:v>44958</x:v>
      </x:c>
      <x:c r="C22" s="84" t="n">
        <x:v>3</x:v>
      </x:c>
      <x:c r="D22" s="84" t="n">
        <x:v>7</x:v>
      </x:c>
      <x:c r="E22" s="84" t="n">
        <x:v>9</x:v>
      </x:c>
      <x:c r="F22" s="84" t="n">
        <x:v>28160</x:v>
      </x:c>
      <x:c r="G22" s="84" t="n">
        <x:v>26196</x:v>
      </x:c>
      <x:c r="H22" s="84" t="n">
        <x:v>1964</x:v>
      </x:c>
      <x:c r="I22" s="84" t="n">
        <x:v>352</x:v>
      </x:c>
      <x:c r="J22" s="85" t="n">
        <x:v>319.4</x:v>
      </x:c>
    </x:row>
    <x:row r="23">
      <x:c r="A23" s="83" t="n">
        <x:v>22</x:v>
      </x:c>
      <x:c r="B23" s="89" t="n">
        <x:v>44958</x:v>
      </x:c>
      <x:c r="C23" s="84" t="n">
        <x:v>3</x:v>
      </x:c>
      <x:c r="D23" s="84" t="n">
        <x:v>7</x:v>
      </x:c>
      <x:c r="E23" s="84" t="n">
        <x:v>10</x:v>
      </x:c>
      <x:c r="F23" s="84" t="n">
        <x:v>28160</x:v>
      </x:c>
      <x:c r="G23" s="84" t="n">
        <x:v>26617</x:v>
      </x:c>
      <x:c r="H23" s="84" t="n">
        <x:v>1543</x:v>
      </x:c>
      <x:c r="I23" s="84" t="n">
        <x:v>352</x:v>
      </x:c>
      <x:c r="J23" s="85" t="n">
        <x:v>329.6</x:v>
      </x:c>
    </x:row>
    <x:row r="24">
      <x:c r="A24" s="83" t="n">
        <x:v>23</x:v>
      </x:c>
      <x:c r="B24" s="89" t="n">
        <x:v>44958</x:v>
      </x:c>
      <x:c r="C24" s="84" t="n">
        <x:v>3</x:v>
      </x:c>
      <x:c r="D24" s="84" t="n">
        <x:v>8</x:v>
      </x:c>
      <x:c r="E24" s="84" t="n">
        <x:v>11</x:v>
      </x:c>
      <x:c r="F24" s="84" t="n">
        <x:v>52800</x:v>
      </x:c>
      <x:c r="G24" s="84" t="n">
        <x:v>51941</x:v>
      </x:c>
      <x:c r="H24" s="84" t="n">
        <x:v>859</x:v>
      </x:c>
      <x:c r="I24" s="84" t="n">
        <x:v>352</x:v>
      </x:c>
      <x:c r="J24" s="85" t="n">
        <x:v>322</x:v>
      </x:c>
    </x:row>
    <x:row r="25">
      <x:c r="A25" s="83" t="n">
        <x:v>24</x:v>
      </x:c>
      <x:c r="B25" s="89" t="n">
        <x:v>44958</x:v>
      </x:c>
      <x:c r="C25" s="84" t="n">
        <x:v>3</x:v>
      </x:c>
      <x:c r="D25" s="84" t="n">
        <x:v>8</x:v>
      </x:c>
      <x:c r="E25" s="84" t="n">
        <x:v>12</x:v>
      </x:c>
      <x:c r="F25" s="84" t="n">
        <x:v>52800</x:v>
      </x:c>
      <x:c r="G25" s="84" t="n">
        <x:v>48914</x:v>
      </x:c>
      <x:c r="H25" s="84" t="n">
        <x:v>3886</x:v>
      </x:c>
      <x:c r="I25" s="84" t="n">
        <x:v>352</x:v>
      </x:c>
      <x:c r="J25" s="85" t="n">
        <x:v>326.4</x:v>
      </x:c>
    </x:row>
    <x:row r="26">
      <x:c r="A26" s="83" t="n">
        <x:v>25</x:v>
      </x:c>
      <x:c r="B26" s="89" t="n">
        <x:v>44986</x:v>
      </x:c>
      <x:c r="C26" s="84" t="n">
        <x:v>1</x:v>
      </x:c>
      <x:c r="D26" s="84" t="n">
        <x:v>1</x:v>
      </x:c>
      <x:c r="E26" s="84" t="n">
        <x:v>1</x:v>
      </x:c>
      <x:c r="F26" s="84" t="n">
        <x:v>28160</x:v>
      </x:c>
      <x:c r="G26" s="84" t="n">
        <x:v>27162</x:v>
      </x:c>
      <x:c r="H26" s="84" t="n">
        <x:v>998</x:v>
      </x:c>
      <x:c r="I26" s="84" t="n">
        <x:v>352</x:v>
      </x:c>
      <x:c r="J26" s="85" t="n">
        <x:v>337.3</x:v>
      </x:c>
    </x:row>
    <x:row r="27">
      <x:c r="A27" s="83" t="n">
        <x:v>26</x:v>
      </x:c>
      <x:c r="B27" s="89" t="n">
        <x:v>44986</x:v>
      </x:c>
      <x:c r="C27" s="84" t="n">
        <x:v>1</x:v>
      </x:c>
      <x:c r="D27" s="84" t="n">
        <x:v>1</x:v>
      </x:c>
      <x:c r="E27" s="84" t="n">
        <x:v>2</x:v>
      </x:c>
      <x:c r="F27" s="84" t="n">
        <x:v>42240</x:v>
      </x:c>
      <x:c r="G27" s="84" t="n">
        <x:v>40637</x:v>
      </x:c>
      <x:c r="H27" s="84" t="n">
        <x:v>1603</x:v>
      </x:c>
      <x:c r="I27" s="84" t="n">
        <x:v>352</x:v>
      </x:c>
      <x:c r="J27" s="85" t="n">
        <x:v>324.7</x:v>
      </x:c>
    </x:row>
    <x:row r="28">
      <x:c r="A28" s="83" t="n">
        <x:v>27</x:v>
      </x:c>
      <x:c r="B28" s="89" t="n">
        <x:v>44986</x:v>
      </x:c>
      <x:c r="C28" s="84" t="n">
        <x:v>1</x:v>
      </x:c>
      <x:c r="D28" s="84" t="n">
        <x:v>2</x:v>
      </x:c>
      <x:c r="E28" s="84" t="n">
        <x:v>3</x:v>
      </x:c>
      <x:c r="F28" s="84" t="n">
        <x:v>35200</x:v>
      </x:c>
      <x:c r="G28" s="84" t="n">
        <x:v>34801</x:v>
      </x:c>
      <x:c r="H28" s="84" t="n">
        <x:v>399</x:v>
      </x:c>
      <x:c r="I28" s="84" t="n">
        <x:v>352</x:v>
      </x:c>
      <x:c r="J28" s="85" t="n">
        <x:v>335.1</x:v>
      </x:c>
    </x:row>
    <x:row r="29">
      <x:c r="A29" s="83" t="n">
        <x:v>28</x:v>
      </x:c>
      <x:c r="B29" s="89" t="n">
        <x:v>44986</x:v>
      </x:c>
      <x:c r="C29" s="84" t="n">
        <x:v>1</x:v>
      </x:c>
      <x:c r="D29" s="84" t="n">
        <x:v>2</x:v>
      </x:c>
      <x:c r="E29" s="84" t="n">
        <x:v>4</x:v>
      </x:c>
      <x:c r="F29" s="84" t="n">
        <x:v>28160</x:v>
      </x:c>
      <x:c r="G29" s="84" t="n">
        <x:v>27246</x:v>
      </x:c>
      <x:c r="H29" s="84" t="n">
        <x:v>914</x:v>
      </x:c>
      <x:c r="I29" s="84" t="n">
        <x:v>352</x:v>
      </x:c>
      <x:c r="J29" s="85" t="n">
        <x:v>317.7</x:v>
      </x:c>
    </x:row>
    <x:row r="30">
      <x:c r="A30" s="83" t="n">
        <x:v>29</x:v>
      </x:c>
      <x:c r="B30" s="89" t="n">
        <x:v>44986</x:v>
      </x:c>
      <x:c r="C30" s="84" t="n">
        <x:v>2</x:v>
      </x:c>
      <x:c r="D30" s="84" t="n">
        <x:v>4</x:v>
      </x:c>
      <x:c r="E30" s="84" t="n">
        <x:v>5</x:v>
      </x:c>
      <x:c r="F30" s="84" t="n">
        <x:v>52800</x:v>
      </x:c>
      <x:c r="G30" s="84" t="n">
        <x:v>52781</x:v>
      </x:c>
      <x:c r="H30" s="84" t="n">
        <x:v>19</x:v>
      </x:c>
      <x:c r="I30" s="84" t="n">
        <x:v>352</x:v>
      </x:c>
      <x:c r="J30" s="85" t="n">
        <x:v>328.7</x:v>
      </x:c>
    </x:row>
    <x:row r="31">
      <x:c r="A31" s="83" t="n">
        <x:v>30</x:v>
      </x:c>
      <x:c r="B31" s="89" t="n">
        <x:v>44986</x:v>
      </x:c>
      <x:c r="C31" s="84" t="n">
        <x:v>2</x:v>
      </x:c>
      <x:c r="D31" s="84" t="n">
        <x:v>4</x:v>
      </x:c>
      <x:c r="E31" s="84" t="n">
        <x:v>6</x:v>
      </x:c>
      <x:c r="F31" s="84" t="n">
        <x:v>35200</x:v>
      </x:c>
      <x:c r="G31" s="84" t="n">
        <x:v>33782</x:v>
      </x:c>
      <x:c r="H31" s="84" t="n">
        <x:v>1418</x:v>
      </x:c>
      <x:c r="I31" s="84" t="n">
        <x:v>352</x:v>
      </x:c>
      <x:c r="J31" s="85" t="n">
        <x:v>324.5</x:v>
      </x:c>
    </x:row>
    <x:row r="32">
      <x:c r="A32" s="83" t="n">
        <x:v>31</x:v>
      </x:c>
      <x:c r="B32" s="89" t="n">
        <x:v>44986</x:v>
      </x:c>
      <x:c r="C32" s="84" t="n">
        <x:v>2</x:v>
      </x:c>
      <x:c r="D32" s="84" t="n">
        <x:v>5</x:v>
      </x:c>
      <x:c r="E32" s="84" t="n">
        <x:v>7</x:v>
      </x:c>
      <x:c r="F32" s="84" t="n">
        <x:v>42240</x:v>
      </x:c>
      <x:c r="G32" s="84" t="n">
        <x:v>39732</x:v>
      </x:c>
      <x:c r="H32" s="84" t="n">
        <x:v>2508</x:v>
      </x:c>
      <x:c r="I32" s="84" t="n">
        <x:v>352</x:v>
      </x:c>
      <x:c r="J32" s="85" t="n">
        <x:v>326.4</x:v>
      </x:c>
    </x:row>
    <x:row r="33">
      <x:c r="A33" s="83" t="n">
        <x:v>32</x:v>
      </x:c>
      <x:c r="B33" s="89" t="n">
        <x:v>44986</x:v>
      </x:c>
      <x:c r="C33" s="84" t="n">
        <x:v>2</x:v>
      </x:c>
      <x:c r="D33" s="84" t="n">
        <x:v>5</x:v>
      </x:c>
      <x:c r="E33" s="84" t="n">
        <x:v>8</x:v>
      </x:c>
      <x:c r="F33" s="84" t="n">
        <x:v>42240</x:v>
      </x:c>
      <x:c r="G33" s="84" t="n">
        <x:v>40702</x:v>
      </x:c>
      <x:c r="H33" s="84" t="n">
        <x:v>1538</x:v>
      </x:c>
      <x:c r="I33" s="84" t="n">
        <x:v>352</x:v>
      </x:c>
      <x:c r="J33" s="85" t="n">
        <x:v>328.9</x:v>
      </x:c>
    </x:row>
    <x:row r="34">
      <x:c r="A34" s="83" t="n">
        <x:v>33</x:v>
      </x:c>
      <x:c r="B34" s="89" t="n">
        <x:v>44986</x:v>
      </x:c>
      <x:c r="C34" s="84" t="n">
        <x:v>3</x:v>
      </x:c>
      <x:c r="D34" s="84" t="n">
        <x:v>7</x:v>
      </x:c>
      <x:c r="E34" s="84" t="n">
        <x:v>9</x:v>
      </x:c>
      <x:c r="F34" s="84" t="n">
        <x:v>28160</x:v>
      </x:c>
      <x:c r="G34" s="84" t="n">
        <x:v>26410</x:v>
      </x:c>
      <x:c r="H34" s="84" t="n">
        <x:v>1750</x:v>
      </x:c>
      <x:c r="I34" s="84" t="n">
        <x:v>352</x:v>
      </x:c>
      <x:c r="J34" s="85" t="n">
        <x:v>331.6</x:v>
      </x:c>
    </x:row>
    <x:row r="35">
      <x:c r="A35" s="83" t="n">
        <x:v>34</x:v>
      </x:c>
      <x:c r="B35" s="89" t="n">
        <x:v>44986</x:v>
      </x:c>
      <x:c r="C35" s="84" t="n">
        <x:v>3</x:v>
      </x:c>
      <x:c r="D35" s="84" t="n">
        <x:v>7</x:v>
      </x:c>
      <x:c r="E35" s="84" t="n">
        <x:v>10</x:v>
      </x:c>
      <x:c r="F35" s="84" t="n">
        <x:v>28160</x:v>
      </x:c>
      <x:c r="G35" s="84" t="n">
        <x:v>25938</x:v>
      </x:c>
      <x:c r="H35" s="84" t="n">
        <x:v>2222</x:v>
      </x:c>
      <x:c r="I35" s="84" t="n">
        <x:v>352</x:v>
      </x:c>
      <x:c r="J35" s="85" t="n">
        <x:v>324.7</x:v>
      </x:c>
    </x:row>
    <x:row r="36">
      <x:c r="A36" s="83" t="n">
        <x:v>35</x:v>
      </x:c>
      <x:c r="B36" s="89" t="n">
        <x:v>44986</x:v>
      </x:c>
      <x:c r="C36" s="84" t="n">
        <x:v>3</x:v>
      </x:c>
      <x:c r="D36" s="84" t="n">
        <x:v>8</x:v>
      </x:c>
      <x:c r="E36" s="84" t="n">
        <x:v>11</x:v>
      </x:c>
      <x:c r="F36" s="84" t="n">
        <x:v>52800</x:v>
      </x:c>
      <x:c r="G36" s="84" t="n">
        <x:v>50956</x:v>
      </x:c>
      <x:c r="H36" s="84" t="n">
        <x:v>1844</x:v>
      </x:c>
      <x:c r="I36" s="84" t="n">
        <x:v>352</x:v>
      </x:c>
      <x:c r="J36" s="85" t="n">
        <x:v>327.7</x:v>
      </x:c>
    </x:row>
    <x:row r="37">
      <x:c r="A37" s="83" t="n">
        <x:v>36</x:v>
      </x:c>
      <x:c r="B37" s="89" t="n">
        <x:v>44986</x:v>
      </x:c>
      <x:c r="C37" s="84" t="n">
        <x:v>3</x:v>
      </x:c>
      <x:c r="D37" s="84" t="n">
        <x:v>8</x:v>
      </x:c>
      <x:c r="E37" s="84" t="n">
        <x:v>12</x:v>
      </x:c>
      <x:c r="F37" s="84" t="n">
        <x:v>52800</x:v>
      </x:c>
      <x:c r="G37" s="84" t="n">
        <x:v>50797</x:v>
      </x:c>
      <x:c r="H37" s="84" t="n">
        <x:v>2003</x:v>
      </x:c>
      <x:c r="I37" s="84" t="n">
        <x:v>352</x:v>
      </x:c>
      <x:c r="J37" s="85" t="n">
        <x:v>324.2</x:v>
      </x:c>
    </x:row>
    <x:row r="38">
      <x:c r="A38" s="83" t="n">
        <x:v>37</x:v>
      </x:c>
      <x:c r="B38" s="89" t="n">
        <x:v>45017</x:v>
      </x:c>
      <x:c r="C38" s="84" t="n">
        <x:v>1</x:v>
      </x:c>
      <x:c r="D38" s="84" t="n">
        <x:v>1</x:v>
      </x:c>
      <x:c r="E38" s="84" t="n">
        <x:v>1</x:v>
      </x:c>
      <x:c r="F38" s="84" t="n">
        <x:v>28160</x:v>
      </x:c>
      <x:c r="G38" s="84" t="n">
        <x:v>25912</x:v>
      </x:c>
      <x:c r="H38" s="84" t="n">
        <x:v>2248</x:v>
      </x:c>
      <x:c r="I38" s="84" t="n">
        <x:v>352</x:v>
      </x:c>
      <x:c r="J38" s="85" t="n">
        <x:v>347.8</x:v>
      </x:c>
    </x:row>
    <x:row r="39">
      <x:c r="A39" s="83" t="n">
        <x:v>38</x:v>
      </x:c>
      <x:c r="B39" s="89" t="n">
        <x:v>45017</x:v>
      </x:c>
      <x:c r="C39" s="84" t="n">
        <x:v>1</x:v>
      </x:c>
      <x:c r="D39" s="84" t="n">
        <x:v>1</x:v>
      </x:c>
      <x:c r="E39" s="84" t="n">
        <x:v>2</x:v>
      </x:c>
      <x:c r="F39" s="84" t="n">
        <x:v>42240</x:v>
      </x:c>
      <x:c r="G39" s="84" t="n">
        <x:v>39192</x:v>
      </x:c>
      <x:c r="H39" s="84" t="n">
        <x:v>3048</x:v>
      </x:c>
      <x:c r="I39" s="84" t="n">
        <x:v>352</x:v>
      </x:c>
      <x:c r="J39" s="85" t="n">
        <x:v>336</x:v>
      </x:c>
    </x:row>
    <x:row r="40">
      <x:c r="A40" s="83" t="n">
        <x:v>39</x:v>
      </x:c>
      <x:c r="B40" s="89" t="n">
        <x:v>45017</x:v>
      </x:c>
      <x:c r="C40" s="84" t="n">
        <x:v>1</x:v>
      </x:c>
      <x:c r="D40" s="84" t="n">
        <x:v>2</x:v>
      </x:c>
      <x:c r="E40" s="84" t="n">
        <x:v>3</x:v>
      </x:c>
      <x:c r="F40" s="84" t="n">
        <x:v>35200</x:v>
      </x:c>
      <x:c r="G40" s="84" t="n">
        <x:v>35182</x:v>
      </x:c>
      <x:c r="H40" s="84" t="n">
        <x:v>18</x:v>
      </x:c>
      <x:c r="I40" s="84" t="n">
        <x:v>352</x:v>
      </x:c>
      <x:c r="J40" s="85" t="n">
        <x:v>336.9</x:v>
      </x:c>
    </x:row>
    <x:row r="41">
      <x:c r="A41" s="83" t="n">
        <x:v>40</x:v>
      </x:c>
      <x:c r="B41" s="89" t="n">
        <x:v>45017</x:v>
      </x:c>
      <x:c r="C41" s="84" t="n">
        <x:v>1</x:v>
      </x:c>
      <x:c r="D41" s="84" t="n">
        <x:v>2</x:v>
      </x:c>
      <x:c r="E41" s="84" t="n">
        <x:v>4</x:v>
      </x:c>
      <x:c r="F41" s="84" t="n">
        <x:v>28160</x:v>
      </x:c>
      <x:c r="G41" s="84" t="n">
        <x:v>26598</x:v>
      </x:c>
      <x:c r="H41" s="84" t="n">
        <x:v>1562</x:v>
      </x:c>
      <x:c r="I41" s="84" t="n">
        <x:v>352</x:v>
      </x:c>
      <x:c r="J41" s="85" t="n">
        <x:v>345.7</x:v>
      </x:c>
    </x:row>
    <x:row r="42">
      <x:c r="A42" s="83" t="n">
        <x:v>41</x:v>
      </x:c>
      <x:c r="B42" s="89" t="n">
        <x:v>45017</x:v>
      </x:c>
      <x:c r="C42" s="84" t="n">
        <x:v>2</x:v>
      </x:c>
      <x:c r="D42" s="84" t="n">
        <x:v>4</x:v>
      </x:c>
      <x:c r="E42" s="84" t="n">
        <x:v>5</x:v>
      </x:c>
      <x:c r="F42" s="84" t="n">
        <x:v>52800</x:v>
      </x:c>
      <x:c r="G42" s="84" t="n">
        <x:v>52778</x:v>
      </x:c>
      <x:c r="H42" s="84" t="n">
        <x:v>22</x:v>
      </x:c>
      <x:c r="I42" s="84" t="n">
        <x:v>352</x:v>
      </x:c>
      <x:c r="J42" s="85" t="n">
        <x:v>325.8</x:v>
      </x:c>
    </x:row>
    <x:row r="43">
      <x:c r="A43" s="83" t="n">
        <x:v>42</x:v>
      </x:c>
      <x:c r="B43" s="89" t="n">
        <x:v>45017</x:v>
      </x:c>
      <x:c r="C43" s="84" t="n">
        <x:v>2</x:v>
      </x:c>
      <x:c r="D43" s="84" t="n">
        <x:v>4</x:v>
      </x:c>
      <x:c r="E43" s="84" t="n">
        <x:v>6</x:v>
      </x:c>
      <x:c r="F43" s="84" t="n">
        <x:v>35200</x:v>
      </x:c>
      <x:c r="G43" s="84" t="n">
        <x:v>33816</x:v>
      </x:c>
      <x:c r="H43" s="84" t="n">
        <x:v>1384</x:v>
      </x:c>
      <x:c r="I43" s="84" t="n">
        <x:v>352</x:v>
      </x:c>
      <x:c r="J43" s="85" t="n">
        <x:v>339.8</x:v>
      </x:c>
    </x:row>
    <x:row r="44">
      <x:c r="A44" s="83" t="n">
        <x:v>43</x:v>
      </x:c>
      <x:c r="B44" s="89" t="n">
        <x:v>45017</x:v>
      </x:c>
      <x:c r="C44" s="84" t="n">
        <x:v>2</x:v>
      </x:c>
      <x:c r="D44" s="84" t="n">
        <x:v>5</x:v>
      </x:c>
      <x:c r="E44" s="84" t="n">
        <x:v>7</x:v>
      </x:c>
      <x:c r="F44" s="84" t="n">
        <x:v>42240</x:v>
      </x:c>
      <x:c r="G44" s="84" t="n">
        <x:v>41540</x:v>
      </x:c>
      <x:c r="H44" s="84" t="n">
        <x:v>700</x:v>
      </x:c>
      <x:c r="I44" s="84" t="n">
        <x:v>352</x:v>
      </x:c>
      <x:c r="J44" s="85" t="n">
        <x:v>336.9</x:v>
      </x:c>
    </x:row>
    <x:row r="45">
      <x:c r="A45" s="83" t="n">
        <x:v>44</x:v>
      </x:c>
      <x:c r="B45" s="89" t="n">
        <x:v>45017</x:v>
      </x:c>
      <x:c r="C45" s="84" t="n">
        <x:v>2</x:v>
      </x:c>
      <x:c r="D45" s="84" t="n">
        <x:v>5</x:v>
      </x:c>
      <x:c r="E45" s="84" t="n">
        <x:v>8</x:v>
      </x:c>
      <x:c r="F45" s="84" t="n">
        <x:v>42240</x:v>
      </x:c>
      <x:c r="G45" s="84" t="n">
        <x:v>40954</x:v>
      </x:c>
      <x:c r="H45" s="84" t="n">
        <x:v>1286</x:v>
      </x:c>
      <x:c r="I45" s="84" t="n">
        <x:v>352</x:v>
      </x:c>
      <x:c r="J45" s="85" t="n">
        <x:v>332.5</x:v>
      </x:c>
    </x:row>
    <x:row r="46">
      <x:c r="A46" s="83" t="n">
        <x:v>45</x:v>
      </x:c>
      <x:c r="B46" s="89" t="n">
        <x:v>45017</x:v>
      </x:c>
      <x:c r="C46" s="84" t="n">
        <x:v>3</x:v>
      </x:c>
      <x:c r="D46" s="84" t="n">
        <x:v>7</x:v>
      </x:c>
      <x:c r="E46" s="84" t="n">
        <x:v>9</x:v>
      </x:c>
      <x:c r="F46" s="84" t="n">
        <x:v>28160</x:v>
      </x:c>
      <x:c r="G46" s="84" t="n">
        <x:v>27863</x:v>
      </x:c>
      <x:c r="H46" s="84" t="n">
        <x:v>297</x:v>
      </x:c>
      <x:c r="I46" s="84" t="n">
        <x:v>352</x:v>
      </x:c>
      <x:c r="J46" s="85" t="n">
        <x:v>341.1</x:v>
      </x:c>
    </x:row>
    <x:row r="47">
      <x:c r="A47" s="83" t="n">
        <x:v>46</x:v>
      </x:c>
      <x:c r="B47" s="89" t="n">
        <x:v>45017</x:v>
      </x:c>
      <x:c r="C47" s="84" t="n">
        <x:v>3</x:v>
      </x:c>
      <x:c r="D47" s="84" t="n">
        <x:v>7</x:v>
      </x:c>
      <x:c r="E47" s="84" t="n">
        <x:v>10</x:v>
      </x:c>
      <x:c r="F47" s="84" t="n">
        <x:v>28160</x:v>
      </x:c>
      <x:c r="G47" s="84" t="n">
        <x:v>27225</x:v>
      </x:c>
      <x:c r="H47" s="84" t="n">
        <x:v>935</x:v>
      </x:c>
      <x:c r="I47" s="84" t="n">
        <x:v>352</x:v>
      </x:c>
      <x:c r="J47" s="85" t="n">
        <x:v>333.3</x:v>
      </x:c>
    </x:row>
    <x:row r="48">
      <x:c r="A48" s="83" t="n">
        <x:v>47</x:v>
      </x:c>
      <x:c r="B48" s="89" t="n">
        <x:v>45017</x:v>
      </x:c>
      <x:c r="C48" s="84" t="n">
        <x:v>3</x:v>
      </x:c>
      <x:c r="D48" s="84" t="n">
        <x:v>8</x:v>
      </x:c>
      <x:c r="E48" s="84" t="n">
        <x:v>11</x:v>
      </x:c>
      <x:c r="F48" s="84" t="n">
        <x:v>52800</x:v>
      </x:c>
      <x:c r="G48" s="84" t="n">
        <x:v>48996</x:v>
      </x:c>
      <x:c r="H48" s="84" t="n">
        <x:v>3804</x:v>
      </x:c>
      <x:c r="I48" s="84" t="n">
        <x:v>352</x:v>
      </x:c>
      <x:c r="J48" s="85" t="n">
        <x:v>342.7</x:v>
      </x:c>
    </x:row>
    <x:row r="49">
      <x:c r="A49" s="83" t="n">
        <x:v>48</x:v>
      </x:c>
      <x:c r="B49" s="89" t="n">
        <x:v>45017</x:v>
      </x:c>
      <x:c r="C49" s="84" t="n">
        <x:v>3</x:v>
      </x:c>
      <x:c r="D49" s="84" t="n">
        <x:v>8</x:v>
      </x:c>
      <x:c r="E49" s="84" t="n">
        <x:v>12</x:v>
      </x:c>
      <x:c r="F49" s="84" t="n">
        <x:v>52800</x:v>
      </x:c>
      <x:c r="G49" s="84" t="n">
        <x:v>51954</x:v>
      </x:c>
      <x:c r="H49" s="84" t="n">
        <x:v>846</x:v>
      </x:c>
      <x:c r="I49" s="84" t="n">
        <x:v>352</x:v>
      </x:c>
      <x:c r="J49" s="85" t="n">
        <x:v>349.8</x:v>
      </x:c>
    </x:row>
    <x:row r="50">
      <x:c r="A50" s="83" t="n">
        <x:v>49</x:v>
      </x:c>
      <x:c r="B50" s="89" t="n">
        <x:v>45047</x:v>
      </x:c>
      <x:c r="C50" s="84" t="n">
        <x:v>1</x:v>
      </x:c>
      <x:c r="D50" s="84" t="n">
        <x:v>1</x:v>
      </x:c>
      <x:c r="E50" s="84" t="n">
        <x:v>1</x:v>
      </x:c>
      <x:c r="F50" s="84" t="n">
        <x:v>28160</x:v>
      </x:c>
      <x:c r="G50" s="84" t="n">
        <x:v>26096</x:v>
      </x:c>
      <x:c r="H50" s="84" t="n">
        <x:v>2064</x:v>
      </x:c>
      <x:c r="I50" s="84" t="n">
        <x:v>352</x:v>
      </x:c>
      <x:c r="J50" s="85" t="n">
        <x:v>335.8</x:v>
      </x:c>
    </x:row>
    <x:row r="51">
      <x:c r="A51" s="83" t="n">
        <x:v>50</x:v>
      </x:c>
      <x:c r="B51" s="89" t="n">
        <x:v>45047</x:v>
      </x:c>
      <x:c r="C51" s="84" t="n">
        <x:v>1</x:v>
      </x:c>
      <x:c r="D51" s="84" t="n">
        <x:v>1</x:v>
      </x:c>
      <x:c r="E51" s="84" t="n">
        <x:v>2</x:v>
      </x:c>
      <x:c r="F51" s="84" t="n">
        <x:v>42240</x:v>
      </x:c>
      <x:c r="G51" s="84" t="n">
        <x:v>40808</x:v>
      </x:c>
      <x:c r="H51" s="84" t="n">
        <x:v>1432</x:v>
      </x:c>
      <x:c r="I51" s="84" t="n">
        <x:v>352</x:v>
      </x:c>
      <x:c r="J51" s="85" t="n">
        <x:v>331.5</x:v>
      </x:c>
    </x:row>
    <x:row r="52">
      <x:c r="A52" s="83" t="n">
        <x:v>51</x:v>
      </x:c>
      <x:c r="B52" s="89" t="n">
        <x:v>45047</x:v>
      </x:c>
      <x:c r="C52" s="84" t="n">
        <x:v>1</x:v>
      </x:c>
      <x:c r="D52" s="84" t="n">
        <x:v>2</x:v>
      </x:c>
      <x:c r="E52" s="84" t="n">
        <x:v>3</x:v>
      </x:c>
      <x:c r="F52" s="84" t="n">
        <x:v>35200</x:v>
      </x:c>
      <x:c r="G52" s="84" t="n">
        <x:v>33205</x:v>
      </x:c>
      <x:c r="H52" s="84" t="n">
        <x:v>1995</x:v>
      </x:c>
      <x:c r="I52" s="84" t="n">
        <x:v>352</x:v>
      </x:c>
      <x:c r="J52" s="85" t="n">
        <x:v>327.8</x:v>
      </x:c>
    </x:row>
    <x:row r="53">
      <x:c r="A53" s="83" t="n">
        <x:v>52</x:v>
      </x:c>
      <x:c r="B53" s="89" t="n">
        <x:v>45047</x:v>
      </x:c>
      <x:c r="C53" s="84" t="n">
        <x:v>1</x:v>
      </x:c>
      <x:c r="D53" s="84" t="n">
        <x:v>2</x:v>
      </x:c>
      <x:c r="E53" s="84" t="n">
        <x:v>4</x:v>
      </x:c>
      <x:c r="F53" s="84" t="n">
        <x:v>28160</x:v>
      </x:c>
      <x:c r="G53" s="84" t="n">
        <x:v>27043</x:v>
      </x:c>
      <x:c r="H53" s="84" t="n">
        <x:v>1117</x:v>
      </x:c>
      <x:c r="I53" s="84" t="n">
        <x:v>352</x:v>
      </x:c>
      <x:c r="J53" s="85" t="n">
        <x:v>320</x:v>
      </x:c>
    </x:row>
    <x:row r="54">
      <x:c r="A54" s="83" t="n">
        <x:v>53</x:v>
      </x:c>
      <x:c r="B54" s="89" t="n">
        <x:v>45047</x:v>
      </x:c>
      <x:c r="C54" s="84" t="n">
        <x:v>2</x:v>
      </x:c>
      <x:c r="D54" s="84" t="n">
        <x:v>4</x:v>
      </x:c>
      <x:c r="E54" s="84" t="n">
        <x:v>5</x:v>
      </x:c>
      <x:c r="F54" s="84" t="n">
        <x:v>52800</x:v>
      </x:c>
      <x:c r="G54" s="84" t="n">
        <x:v>51709</x:v>
      </x:c>
      <x:c r="H54" s="84" t="n">
        <x:v>1091</x:v>
      </x:c>
      <x:c r="I54" s="84" t="n">
        <x:v>352</x:v>
      </x:c>
      <x:c r="J54" s="85" t="n">
        <x:v>349.7</x:v>
      </x:c>
    </x:row>
    <x:row r="55">
      <x:c r="A55" s="83" t="n">
        <x:v>54</x:v>
      </x:c>
      <x:c r="B55" s="89" t="n">
        <x:v>45047</x:v>
      </x:c>
      <x:c r="C55" s="84" t="n">
        <x:v>2</x:v>
      </x:c>
      <x:c r="D55" s="84" t="n">
        <x:v>4</x:v>
      </x:c>
      <x:c r="E55" s="84" t="n">
        <x:v>6</x:v>
      </x:c>
      <x:c r="F55" s="84" t="n">
        <x:v>35200</x:v>
      </x:c>
      <x:c r="G55" s="84" t="n">
        <x:v>35050</x:v>
      </x:c>
      <x:c r="H55" s="84" t="n">
        <x:v>150</x:v>
      </x:c>
      <x:c r="I55" s="84" t="n">
        <x:v>352</x:v>
      </x:c>
      <x:c r="J55" s="85" t="n">
        <x:v>343.2</x:v>
      </x:c>
    </x:row>
    <x:row r="56">
      <x:c r="A56" s="83" t="n">
        <x:v>55</x:v>
      </x:c>
      <x:c r="B56" s="89" t="n">
        <x:v>45047</x:v>
      </x:c>
      <x:c r="C56" s="84" t="n">
        <x:v>2</x:v>
      </x:c>
      <x:c r="D56" s="84" t="n">
        <x:v>5</x:v>
      </x:c>
      <x:c r="E56" s="84" t="n">
        <x:v>7</x:v>
      </x:c>
      <x:c r="F56" s="84" t="n">
        <x:v>42240</x:v>
      </x:c>
      <x:c r="G56" s="84" t="n">
        <x:v>40312</x:v>
      </x:c>
      <x:c r="H56" s="84" t="n">
        <x:v>1928</x:v>
      </x:c>
      <x:c r="I56" s="84" t="n">
        <x:v>352</x:v>
      </x:c>
      <x:c r="J56" s="85" t="n">
        <x:v>330.5</x:v>
      </x:c>
    </x:row>
    <x:row r="57">
      <x:c r="A57" s="83" t="n">
        <x:v>56</x:v>
      </x:c>
      <x:c r="B57" s="89" t="n">
        <x:v>45047</x:v>
      </x:c>
      <x:c r="C57" s="84" t="n">
        <x:v>2</x:v>
      </x:c>
      <x:c r="D57" s="84" t="n">
        <x:v>5</x:v>
      </x:c>
      <x:c r="E57" s="84" t="n">
        <x:v>8</x:v>
      </x:c>
      <x:c r="F57" s="84" t="n">
        <x:v>42240</x:v>
      </x:c>
      <x:c r="G57" s="84" t="n">
        <x:v>41701</x:v>
      </x:c>
      <x:c r="H57" s="84" t="n">
        <x:v>539</x:v>
      </x:c>
      <x:c r="I57" s="84" t="n">
        <x:v>352</x:v>
      </x:c>
      <x:c r="J57" s="85" t="n">
        <x:v>331.1</x:v>
      </x:c>
    </x:row>
    <x:row r="58">
      <x:c r="A58" s="83" t="n">
        <x:v>57</x:v>
      </x:c>
      <x:c r="B58" s="89" t="n">
        <x:v>45047</x:v>
      </x:c>
      <x:c r="C58" s="84" t="n">
        <x:v>3</x:v>
      </x:c>
      <x:c r="D58" s="84" t="n">
        <x:v>7</x:v>
      </x:c>
      <x:c r="E58" s="84" t="n">
        <x:v>9</x:v>
      </x:c>
      <x:c r="F58" s="84" t="n">
        <x:v>28160</x:v>
      </x:c>
      <x:c r="G58" s="84" t="n">
        <x:v>26492</x:v>
      </x:c>
      <x:c r="H58" s="84" t="n">
        <x:v>1668</x:v>
      </x:c>
      <x:c r="I58" s="84" t="n">
        <x:v>352</x:v>
      </x:c>
      <x:c r="J58" s="85" t="n">
        <x:v>330</x:v>
      </x:c>
    </x:row>
    <x:row r="59">
      <x:c r="A59" s="83" t="n">
        <x:v>58</x:v>
      </x:c>
      <x:c r="B59" s="89" t="n">
        <x:v>45047</x:v>
      </x:c>
      <x:c r="C59" s="84" t="n">
        <x:v>3</x:v>
      </x:c>
      <x:c r="D59" s="84" t="n">
        <x:v>7</x:v>
      </x:c>
      <x:c r="E59" s="84" t="n">
        <x:v>10</x:v>
      </x:c>
      <x:c r="F59" s="84" t="n">
        <x:v>28160</x:v>
      </x:c>
      <x:c r="G59" s="84" t="n">
        <x:v>26517</x:v>
      </x:c>
      <x:c r="H59" s="84" t="n">
        <x:v>1643</x:v>
      </x:c>
      <x:c r="I59" s="84" t="n">
        <x:v>352</x:v>
      </x:c>
      <x:c r="J59" s="85" t="n">
        <x:v>327.5</x:v>
      </x:c>
    </x:row>
    <x:row r="60">
      <x:c r="A60" s="83" t="n">
        <x:v>59</x:v>
      </x:c>
      <x:c r="B60" s="89" t="n">
        <x:v>45047</x:v>
      </x:c>
      <x:c r="C60" s="84" t="n">
        <x:v>3</x:v>
      </x:c>
      <x:c r="D60" s="84" t="n">
        <x:v>8</x:v>
      </x:c>
      <x:c r="E60" s="84" t="n">
        <x:v>11</x:v>
      </x:c>
      <x:c r="F60" s="84" t="n">
        <x:v>52800</x:v>
      </x:c>
      <x:c r="G60" s="84" t="n">
        <x:v>51712</x:v>
      </x:c>
      <x:c r="H60" s="84" t="n">
        <x:v>1088</x:v>
      </x:c>
      <x:c r="I60" s="84" t="n">
        <x:v>352</x:v>
      </x:c>
      <x:c r="J60" s="85" t="n">
        <x:v>344.5</x:v>
      </x:c>
    </x:row>
    <x:row r="61">
      <x:c r="A61" s="83" t="n">
        <x:v>60</x:v>
      </x:c>
      <x:c r="B61" s="89" t="n">
        <x:v>45047</x:v>
      </x:c>
      <x:c r="C61" s="84" t="n">
        <x:v>3</x:v>
      </x:c>
      <x:c r="D61" s="84" t="n">
        <x:v>8</x:v>
      </x:c>
      <x:c r="E61" s="84" t="n">
        <x:v>12</x:v>
      </x:c>
      <x:c r="F61" s="84" t="n">
        <x:v>52800</x:v>
      </x:c>
      <x:c r="G61" s="84" t="n">
        <x:v>52613</x:v>
      </x:c>
      <x:c r="H61" s="84" t="n">
        <x:v>187</x:v>
      </x:c>
      <x:c r="I61" s="84" t="n">
        <x:v>352</x:v>
      </x:c>
      <x:c r="J61" s="85" t="n">
        <x:v>349.9</x:v>
      </x:c>
    </x:row>
    <x:row r="62">
      <x:c r="A62" s="83" t="n">
        <x:v>61</x:v>
      </x:c>
      <x:c r="B62" s="89" t="n">
        <x:v>45078</x:v>
      </x:c>
      <x:c r="C62" s="84" t="n">
        <x:v>1</x:v>
      </x:c>
      <x:c r="D62" s="84" t="n">
        <x:v>1</x:v>
      </x:c>
      <x:c r="E62" s="84" t="n">
        <x:v>1</x:v>
      </x:c>
      <x:c r="F62" s="84" t="n">
        <x:v>28160</x:v>
      </x:c>
      <x:c r="G62" s="84" t="n">
        <x:v>27766</x:v>
      </x:c>
      <x:c r="H62" s="84" t="n">
        <x:v>394</x:v>
      </x:c>
      <x:c r="I62" s="84" t="n">
        <x:v>352</x:v>
      </x:c>
      <x:c r="J62" s="85" t="n">
        <x:v>333.8</x:v>
      </x:c>
    </x:row>
    <x:row r="63">
      <x:c r="A63" s="83" t="n">
        <x:v>62</x:v>
      </x:c>
      <x:c r="B63" s="89" t="n">
        <x:v>45078</x:v>
      </x:c>
      <x:c r="C63" s="84" t="n">
        <x:v>1</x:v>
      </x:c>
      <x:c r="D63" s="84" t="n">
        <x:v>1</x:v>
      </x:c>
      <x:c r="E63" s="84" t="n">
        <x:v>2</x:v>
      </x:c>
      <x:c r="F63" s="84" t="n">
        <x:v>42240</x:v>
      </x:c>
      <x:c r="G63" s="84" t="n">
        <x:v>41471</x:v>
      </x:c>
      <x:c r="H63" s="84" t="n">
        <x:v>769</x:v>
      </x:c>
      <x:c r="I63" s="84" t="n">
        <x:v>352</x:v>
      </x:c>
      <x:c r="J63" s="85" t="n">
        <x:v>317.6</x:v>
      </x:c>
    </x:row>
    <x:row r="64">
      <x:c r="A64" s="83" t="n">
        <x:v>63</x:v>
      </x:c>
      <x:c r="B64" s="89" t="n">
        <x:v>45078</x:v>
      </x:c>
      <x:c r="C64" s="84" t="n">
        <x:v>1</x:v>
      </x:c>
      <x:c r="D64" s="84" t="n">
        <x:v>2</x:v>
      </x:c>
      <x:c r="E64" s="84" t="n">
        <x:v>3</x:v>
      </x:c>
      <x:c r="F64" s="84" t="n">
        <x:v>35200</x:v>
      </x:c>
      <x:c r="G64" s="84" t="n">
        <x:v>33430</x:v>
      </x:c>
      <x:c r="H64" s="84" t="n">
        <x:v>1770</x:v>
      </x:c>
      <x:c r="I64" s="84" t="n">
        <x:v>352</x:v>
      </x:c>
      <x:c r="J64" s="85" t="n">
        <x:v>318.7</x:v>
      </x:c>
    </x:row>
    <x:row r="65">
      <x:c r="A65" s="83" t="n">
        <x:v>64</x:v>
      </x:c>
      <x:c r="B65" s="89" t="n">
        <x:v>45078</x:v>
      </x:c>
      <x:c r="C65" s="84" t="n">
        <x:v>1</x:v>
      </x:c>
      <x:c r="D65" s="84" t="n">
        <x:v>2</x:v>
      </x:c>
      <x:c r="E65" s="84" t="n">
        <x:v>4</x:v>
      </x:c>
      <x:c r="F65" s="84" t="n">
        <x:v>28160</x:v>
      </x:c>
      <x:c r="G65" s="84" t="n">
        <x:v>26729</x:v>
      </x:c>
      <x:c r="H65" s="84" t="n">
        <x:v>1431</x:v>
      </x:c>
      <x:c r="I65" s="84" t="n">
        <x:v>352</x:v>
      </x:c>
      <x:c r="J65" s="85" t="n">
        <x:v>338.8</x:v>
      </x:c>
    </x:row>
    <x:row r="66">
      <x:c r="A66" s="83" t="n">
        <x:v>65</x:v>
      </x:c>
      <x:c r="B66" s="89" t="n">
        <x:v>45078</x:v>
      </x:c>
      <x:c r="C66" s="84" t="n">
        <x:v>2</x:v>
      </x:c>
      <x:c r="D66" s="84" t="n">
        <x:v>4</x:v>
      </x:c>
      <x:c r="E66" s="84" t="n">
        <x:v>5</x:v>
      </x:c>
      <x:c r="F66" s="84" t="n">
        <x:v>52800</x:v>
      </x:c>
      <x:c r="G66" s="84" t="n">
        <x:v>51438</x:v>
      </x:c>
      <x:c r="H66" s="84" t="n">
        <x:v>1362</x:v>
      </x:c>
      <x:c r="I66" s="84" t="n">
        <x:v>352</x:v>
      </x:c>
      <x:c r="J66" s="85" t="n">
        <x:v>339.5</x:v>
      </x:c>
    </x:row>
    <x:row r="67">
      <x:c r="A67" s="83" t="n">
        <x:v>66</x:v>
      </x:c>
      <x:c r="B67" s="89" t="n">
        <x:v>45078</x:v>
      </x:c>
      <x:c r="C67" s="84" t="n">
        <x:v>2</x:v>
      </x:c>
      <x:c r="D67" s="84" t="n">
        <x:v>4</x:v>
      </x:c>
      <x:c r="E67" s="84" t="n">
        <x:v>6</x:v>
      </x:c>
      <x:c r="F67" s="84" t="n">
        <x:v>35200</x:v>
      </x:c>
      <x:c r="G67" s="84" t="n">
        <x:v>32957</x:v>
      </x:c>
      <x:c r="H67" s="84" t="n">
        <x:v>2243</x:v>
      </x:c>
      <x:c r="I67" s="84" t="n">
        <x:v>352</x:v>
      </x:c>
      <x:c r="J67" s="85" t="n">
        <x:v>318.5</x:v>
      </x:c>
    </x:row>
    <x:row r="68">
      <x:c r="A68" s="83" t="n">
        <x:v>67</x:v>
      </x:c>
      <x:c r="B68" s="89" t="n">
        <x:v>45078</x:v>
      </x:c>
      <x:c r="C68" s="84" t="n">
        <x:v>2</x:v>
      </x:c>
      <x:c r="D68" s="84" t="n">
        <x:v>5</x:v>
      </x:c>
      <x:c r="E68" s="84" t="n">
        <x:v>7</x:v>
      </x:c>
      <x:c r="F68" s="84" t="n">
        <x:v>42240</x:v>
      </x:c>
      <x:c r="G68" s="84" t="n">
        <x:v>41364</x:v>
      </x:c>
      <x:c r="H68" s="84" t="n">
        <x:v>876</x:v>
      </x:c>
      <x:c r="I68" s="84" t="n">
        <x:v>352</x:v>
      </x:c>
      <x:c r="J68" s="85" t="n">
        <x:v>330.7</x:v>
      </x:c>
    </x:row>
    <x:row r="69">
      <x:c r="A69" s="83" t="n">
        <x:v>68</x:v>
      </x:c>
      <x:c r="B69" s="89" t="n">
        <x:v>45078</x:v>
      </x:c>
      <x:c r="C69" s="84" t="n">
        <x:v>2</x:v>
      </x:c>
      <x:c r="D69" s="84" t="n">
        <x:v>5</x:v>
      </x:c>
      <x:c r="E69" s="84" t="n">
        <x:v>8</x:v>
      </x:c>
      <x:c r="F69" s="84" t="n">
        <x:v>42240</x:v>
      </x:c>
      <x:c r="G69" s="84" t="n">
        <x:v>40668</x:v>
      </x:c>
      <x:c r="H69" s="84" t="n">
        <x:v>1572</x:v>
      </x:c>
      <x:c r="I69" s="84" t="n">
        <x:v>352</x:v>
      </x:c>
      <x:c r="J69" s="85" t="n">
        <x:v>320.3</x:v>
      </x:c>
    </x:row>
    <x:row r="70">
      <x:c r="A70" s="83" t="n">
        <x:v>69</x:v>
      </x:c>
      <x:c r="B70" s="89" t="n">
        <x:v>45078</x:v>
      </x:c>
      <x:c r="C70" s="84" t="n">
        <x:v>3</x:v>
      </x:c>
      <x:c r="D70" s="84" t="n">
        <x:v>7</x:v>
      </x:c>
      <x:c r="E70" s="84" t="n">
        <x:v>9</x:v>
      </x:c>
      <x:c r="F70" s="84" t="n">
        <x:v>28160</x:v>
      </x:c>
      <x:c r="G70" s="84" t="n">
        <x:v>26564</x:v>
      </x:c>
      <x:c r="H70" s="84" t="n">
        <x:v>1596</x:v>
      </x:c>
      <x:c r="I70" s="84" t="n">
        <x:v>352</x:v>
      </x:c>
      <x:c r="J70" s="85" t="n">
        <x:v>344.4</x:v>
      </x:c>
    </x:row>
    <x:row r="71">
      <x:c r="A71" s="83" t="n">
        <x:v>70</x:v>
      </x:c>
      <x:c r="B71" s="89" t="n">
        <x:v>45078</x:v>
      </x:c>
      <x:c r="C71" s="84" t="n">
        <x:v>3</x:v>
      </x:c>
      <x:c r="D71" s="84" t="n">
        <x:v>7</x:v>
      </x:c>
      <x:c r="E71" s="84" t="n">
        <x:v>10</x:v>
      </x:c>
      <x:c r="F71" s="84" t="n">
        <x:v>28160</x:v>
      </x:c>
      <x:c r="G71" s="84" t="n">
        <x:v>27383</x:v>
      </x:c>
      <x:c r="H71" s="84" t="n">
        <x:v>777</x:v>
      </x:c>
      <x:c r="I71" s="84" t="n">
        <x:v>352</x:v>
      </x:c>
      <x:c r="J71" s="85" t="n">
        <x:v>329.6</x:v>
      </x:c>
    </x:row>
    <x:row r="72">
      <x:c r="A72" s="83" t="n">
        <x:v>71</x:v>
      </x:c>
      <x:c r="B72" s="89" t="n">
        <x:v>45078</x:v>
      </x:c>
      <x:c r="C72" s="84" t="n">
        <x:v>3</x:v>
      </x:c>
      <x:c r="D72" s="84" t="n">
        <x:v>8</x:v>
      </x:c>
      <x:c r="E72" s="84" t="n">
        <x:v>11</x:v>
      </x:c>
      <x:c r="F72" s="84" t="n">
        <x:v>52800</x:v>
      </x:c>
      <x:c r="G72" s="84" t="n">
        <x:v>51595</x:v>
      </x:c>
      <x:c r="H72" s="84" t="n">
        <x:v>1205</x:v>
      </x:c>
      <x:c r="I72" s="84" t="n">
        <x:v>352</x:v>
      </x:c>
      <x:c r="J72" s="85" t="n">
        <x:v>322.6</x:v>
      </x:c>
    </x:row>
    <x:row r="73">
      <x:c r="A73" s="83" t="n">
        <x:v>72</x:v>
      </x:c>
      <x:c r="B73" s="89" t="n">
        <x:v>45078</x:v>
      </x:c>
      <x:c r="C73" s="84" t="n">
        <x:v>3</x:v>
      </x:c>
      <x:c r="D73" s="84" t="n">
        <x:v>8</x:v>
      </x:c>
      <x:c r="E73" s="84" t="n">
        <x:v>12</x:v>
      </x:c>
      <x:c r="F73" s="84" t="n">
        <x:v>52800</x:v>
      </x:c>
      <x:c r="G73" s="84" t="n">
        <x:v>52578</x:v>
      </x:c>
      <x:c r="H73" s="84" t="n">
        <x:v>222</x:v>
      </x:c>
      <x:c r="I73" s="84" t="n">
        <x:v>352</x:v>
      </x:c>
      <x:c r="J73" s="85" t="n">
        <x:v>338.3</x:v>
      </x:c>
    </x:row>
    <x:row r="74">
      <x:c r="A74" s="83" t="n">
        <x:v>73</x:v>
      </x:c>
      <x:c r="B74" s="89" t="n">
        <x:v>45108</x:v>
      </x:c>
      <x:c r="C74" s="84" t="n">
        <x:v>1</x:v>
      </x:c>
      <x:c r="D74" s="84" t="n">
        <x:v>1</x:v>
      </x:c>
      <x:c r="E74" s="84" t="n">
        <x:v>1</x:v>
      </x:c>
      <x:c r="F74" s="84" t="n">
        <x:v>28160</x:v>
      </x:c>
      <x:c r="G74" s="84" t="n">
        <x:v>26067</x:v>
      </x:c>
      <x:c r="H74" s="84" t="n">
        <x:v>2093</x:v>
      </x:c>
      <x:c r="I74" s="84" t="n">
        <x:v>352</x:v>
      </x:c>
      <x:c r="J74" s="85" t="n">
        <x:v>337.8</x:v>
      </x:c>
    </x:row>
    <x:row r="75">
      <x:c r="A75" s="83" t="n">
        <x:v>74</x:v>
      </x:c>
      <x:c r="B75" s="89" t="n">
        <x:v>45108</x:v>
      </x:c>
      <x:c r="C75" s="84" t="n">
        <x:v>1</x:v>
      </x:c>
      <x:c r="D75" s="84" t="n">
        <x:v>1</x:v>
      </x:c>
      <x:c r="E75" s="84" t="n">
        <x:v>2</x:v>
      </x:c>
      <x:c r="F75" s="84" t="n">
        <x:v>42240</x:v>
      </x:c>
      <x:c r="G75" s="84" t="n">
        <x:v>41439</x:v>
      </x:c>
      <x:c r="H75" s="84" t="n">
        <x:v>801</x:v>
      </x:c>
      <x:c r="I75" s="84" t="n">
        <x:v>352</x:v>
      </x:c>
      <x:c r="J75" s="85" t="n">
        <x:v>336</x:v>
      </x:c>
    </x:row>
    <x:row r="76">
      <x:c r="A76" s="83" t="n">
        <x:v>75</x:v>
      </x:c>
      <x:c r="B76" s="89" t="n">
        <x:v>45108</x:v>
      </x:c>
      <x:c r="C76" s="84" t="n">
        <x:v>1</x:v>
      </x:c>
      <x:c r="D76" s="84" t="n">
        <x:v>2</x:v>
      </x:c>
      <x:c r="E76" s="84" t="n">
        <x:v>3</x:v>
      </x:c>
      <x:c r="F76" s="84" t="n">
        <x:v>35200</x:v>
      </x:c>
      <x:c r="G76" s="84" t="n">
        <x:v>33122</x:v>
      </x:c>
      <x:c r="H76" s="84" t="n">
        <x:v>2078</x:v>
      </x:c>
      <x:c r="I76" s="84" t="n">
        <x:v>352</x:v>
      </x:c>
      <x:c r="J76" s="85" t="n">
        <x:v>332.3</x:v>
      </x:c>
    </x:row>
    <x:row r="77">
      <x:c r="A77" s="83" t="n">
        <x:v>76</x:v>
      </x:c>
      <x:c r="B77" s="89" t="n">
        <x:v>45108</x:v>
      </x:c>
      <x:c r="C77" s="84" t="n">
        <x:v>1</x:v>
      </x:c>
      <x:c r="D77" s="84" t="n">
        <x:v>2</x:v>
      </x:c>
      <x:c r="E77" s="84" t="n">
        <x:v>4</x:v>
      </x:c>
      <x:c r="F77" s="84" t="n">
        <x:v>28160</x:v>
      </x:c>
      <x:c r="G77" s="84" t="n">
        <x:v>27617</x:v>
      </x:c>
      <x:c r="H77" s="84" t="n">
        <x:v>543</x:v>
      </x:c>
      <x:c r="I77" s="84" t="n">
        <x:v>352</x:v>
      </x:c>
      <x:c r="J77" s="85" t="n">
        <x:v>336</x:v>
      </x:c>
    </x:row>
    <x:row r="78">
      <x:c r="A78" s="83" t="n">
        <x:v>77</x:v>
      </x:c>
      <x:c r="B78" s="89" t="n">
        <x:v>45108</x:v>
      </x:c>
      <x:c r="C78" s="84" t="n">
        <x:v>2</x:v>
      </x:c>
      <x:c r="D78" s="84" t="n">
        <x:v>4</x:v>
      </x:c>
      <x:c r="E78" s="84" t="n">
        <x:v>5</x:v>
      </x:c>
      <x:c r="F78" s="84" t="n">
        <x:v>52800</x:v>
      </x:c>
      <x:c r="G78" s="84" t="n">
        <x:v>51846</x:v>
      </x:c>
      <x:c r="H78" s="84" t="n">
        <x:v>954</x:v>
      </x:c>
      <x:c r="I78" s="84" t="n">
        <x:v>352</x:v>
      </x:c>
      <x:c r="J78" s="85" t="n">
        <x:v>324.8</x:v>
      </x:c>
    </x:row>
    <x:row r="79">
      <x:c r="A79" s="83" t="n">
        <x:v>78</x:v>
      </x:c>
      <x:c r="B79" s="89" t="n">
        <x:v>45108</x:v>
      </x:c>
      <x:c r="C79" s="84" t="n">
        <x:v>2</x:v>
      </x:c>
      <x:c r="D79" s="84" t="n">
        <x:v>4</x:v>
      </x:c>
      <x:c r="E79" s="84" t="n">
        <x:v>6</x:v>
      </x:c>
      <x:c r="F79" s="84" t="n">
        <x:v>35200</x:v>
      </x:c>
      <x:c r="G79" s="84" t="n">
        <x:v>34518</x:v>
      </x:c>
      <x:c r="H79" s="84" t="n">
        <x:v>682</x:v>
      </x:c>
      <x:c r="I79" s="84" t="n">
        <x:v>352</x:v>
      </x:c>
      <x:c r="J79" s="85" t="n">
        <x:v>344.7</x:v>
      </x:c>
    </x:row>
    <x:row r="80">
      <x:c r="A80" s="83" t="n">
        <x:v>79</x:v>
      </x:c>
      <x:c r="B80" s="89" t="n">
        <x:v>45108</x:v>
      </x:c>
      <x:c r="C80" s="84" t="n">
        <x:v>2</x:v>
      </x:c>
      <x:c r="D80" s="84" t="n">
        <x:v>5</x:v>
      </x:c>
      <x:c r="E80" s="84" t="n">
        <x:v>7</x:v>
      </x:c>
      <x:c r="F80" s="84" t="n">
        <x:v>42240</x:v>
      </x:c>
      <x:c r="G80" s="84" t="n">
        <x:v>42099</x:v>
      </x:c>
      <x:c r="H80" s="84" t="n">
        <x:v>141</x:v>
      </x:c>
      <x:c r="I80" s="84" t="n">
        <x:v>352</x:v>
      </x:c>
      <x:c r="J80" s="85" t="n">
        <x:v>337.7</x:v>
      </x:c>
    </x:row>
    <x:row r="81">
      <x:c r="A81" s="83" t="n">
        <x:v>80</x:v>
      </x:c>
      <x:c r="B81" s="89" t="n">
        <x:v>45108</x:v>
      </x:c>
      <x:c r="C81" s="84" t="n">
        <x:v>2</x:v>
      </x:c>
      <x:c r="D81" s="84" t="n">
        <x:v>5</x:v>
      </x:c>
      <x:c r="E81" s="84" t="n">
        <x:v>8</x:v>
      </x:c>
      <x:c r="F81" s="84" t="n">
        <x:v>42240</x:v>
      </x:c>
      <x:c r="G81" s="84" t="n">
        <x:v>38907</x:v>
      </x:c>
      <x:c r="H81" s="84" t="n">
        <x:v>3333</x:v>
      </x:c>
      <x:c r="I81" s="84" t="n">
        <x:v>352</x:v>
      </x:c>
      <x:c r="J81" s="85" t="n">
        <x:v>336</x:v>
      </x:c>
    </x:row>
    <x:row r="82">
      <x:c r="A82" s="83" t="n">
        <x:v>81</x:v>
      </x:c>
      <x:c r="B82" s="89" t="n">
        <x:v>45108</x:v>
      </x:c>
      <x:c r="C82" s="84" t="n">
        <x:v>3</x:v>
      </x:c>
      <x:c r="D82" s="84" t="n">
        <x:v>7</x:v>
      </x:c>
      <x:c r="E82" s="84" t="n">
        <x:v>9</x:v>
      </x:c>
      <x:c r="F82" s="84" t="n">
        <x:v>28160</x:v>
      </x:c>
      <x:c r="G82" s="84" t="n">
        <x:v>27001</x:v>
      </x:c>
      <x:c r="H82" s="84" t="n">
        <x:v>1159</x:v>
      </x:c>
      <x:c r="I82" s="84" t="n">
        <x:v>352</x:v>
      </x:c>
      <x:c r="J82" s="85" t="n">
        <x:v>323.7</x:v>
      </x:c>
    </x:row>
    <x:row r="83">
      <x:c r="A83" s="83" t="n">
        <x:v>82</x:v>
      </x:c>
      <x:c r="B83" s="89" t="n">
        <x:v>45108</x:v>
      </x:c>
      <x:c r="C83" s="84" t="n">
        <x:v>3</x:v>
      </x:c>
      <x:c r="D83" s="84" t="n">
        <x:v>7</x:v>
      </x:c>
      <x:c r="E83" s="84" t="n">
        <x:v>10</x:v>
      </x:c>
      <x:c r="F83" s="84" t="n">
        <x:v>28160</x:v>
      </x:c>
      <x:c r="G83" s="84" t="n">
        <x:v>26614</x:v>
      </x:c>
      <x:c r="H83" s="84" t="n">
        <x:v>1546</x:v>
      </x:c>
      <x:c r="I83" s="84" t="n">
        <x:v>352</x:v>
      </x:c>
      <x:c r="J83" s="85" t="n">
        <x:v>336.3</x:v>
      </x:c>
    </x:row>
    <x:row r="84">
      <x:c r="A84" s="83" t="n">
        <x:v>83</x:v>
      </x:c>
      <x:c r="B84" s="89" t="n">
        <x:v>45108</x:v>
      </x:c>
      <x:c r="C84" s="84" t="n">
        <x:v>3</x:v>
      </x:c>
      <x:c r="D84" s="84" t="n">
        <x:v>8</x:v>
      </x:c>
      <x:c r="E84" s="84" t="n">
        <x:v>11</x:v>
      </x:c>
      <x:c r="F84" s="84" t="n">
        <x:v>52800</x:v>
      </x:c>
      <x:c r="G84" s="84" t="n">
        <x:v>49682</x:v>
      </x:c>
      <x:c r="H84" s="84" t="n">
        <x:v>3118</x:v>
      </x:c>
      <x:c r="I84" s="84" t="n">
        <x:v>352</x:v>
      </x:c>
      <x:c r="J84" s="85" t="n">
        <x:v>318.8</x:v>
      </x:c>
    </x:row>
    <x:row r="85">
      <x:c r="A85" s="83" t="n">
        <x:v>84</x:v>
      </x:c>
      <x:c r="B85" s="89" t="n">
        <x:v>45108</x:v>
      </x:c>
      <x:c r="C85" s="84" t="n">
        <x:v>3</x:v>
      </x:c>
      <x:c r="D85" s="84" t="n">
        <x:v>8</x:v>
      </x:c>
      <x:c r="E85" s="84" t="n">
        <x:v>12</x:v>
      </x:c>
      <x:c r="F85" s="84" t="n">
        <x:v>52800</x:v>
      </x:c>
      <x:c r="G85" s="84" t="n">
        <x:v>51185</x:v>
      </x:c>
      <x:c r="H85" s="84" t="n">
        <x:v>1615</x:v>
      </x:c>
      <x:c r="I85" s="84" t="n">
        <x:v>352</x:v>
      </x:c>
      <x:c r="J85" s="85" t="n">
        <x:v>343.2</x:v>
      </x:c>
    </x:row>
    <x:row r="86">
      <x:c r="A86" s="83" t="n">
        <x:v>85</x:v>
      </x:c>
      <x:c r="B86" s="89" t="n">
        <x:v>45139</x:v>
      </x:c>
      <x:c r="C86" s="84" t="n">
        <x:v>1</x:v>
      </x:c>
      <x:c r="D86" s="84" t="n">
        <x:v>1</x:v>
      </x:c>
      <x:c r="E86" s="84" t="n">
        <x:v>1</x:v>
      </x:c>
      <x:c r="F86" s="84" t="n">
        <x:v>28160</x:v>
      </x:c>
      <x:c r="G86" s="84" t="n">
        <x:v>27208</x:v>
      </x:c>
      <x:c r="H86" s="84" t="n">
        <x:v>952</x:v>
      </x:c>
      <x:c r="I86" s="84" t="n">
        <x:v>352</x:v>
      </x:c>
      <x:c r="J86" s="85" t="n">
        <x:v>344.9</x:v>
      </x:c>
    </x:row>
    <x:row r="87">
      <x:c r="A87" s="83" t="n">
        <x:v>86</x:v>
      </x:c>
      <x:c r="B87" s="89" t="n">
        <x:v>45139</x:v>
      </x:c>
      <x:c r="C87" s="84" t="n">
        <x:v>1</x:v>
      </x:c>
      <x:c r="D87" s="84" t="n">
        <x:v>1</x:v>
      </x:c>
      <x:c r="E87" s="84" t="n">
        <x:v>2</x:v>
      </x:c>
      <x:c r="F87" s="84" t="n">
        <x:v>42240</x:v>
      </x:c>
      <x:c r="G87" s="84" t="n">
        <x:v>42130</x:v>
      </x:c>
      <x:c r="H87" s="84" t="n">
        <x:v>110</x:v>
      </x:c>
      <x:c r="I87" s="84" t="n">
        <x:v>352</x:v>
      </x:c>
      <x:c r="J87" s="85" t="n">
        <x:v>331.8</x:v>
      </x:c>
    </x:row>
    <x:row r="88">
      <x:c r="A88" s="83" t="n">
        <x:v>87</x:v>
      </x:c>
      <x:c r="B88" s="89" t="n">
        <x:v>45139</x:v>
      </x:c>
      <x:c r="C88" s="84" t="n">
        <x:v>1</x:v>
      </x:c>
      <x:c r="D88" s="84" t="n">
        <x:v>2</x:v>
      </x:c>
      <x:c r="E88" s="84" t="n">
        <x:v>3</x:v>
      </x:c>
      <x:c r="F88" s="84" t="n">
        <x:v>35200</x:v>
      </x:c>
      <x:c r="G88" s="84" t="n">
        <x:v>32756</x:v>
      </x:c>
      <x:c r="H88" s="84" t="n">
        <x:v>2444</x:v>
      </x:c>
      <x:c r="I88" s="84" t="n">
        <x:v>352</x:v>
      </x:c>
      <x:c r="J88" s="85" t="n">
        <x:v>344.1</x:v>
      </x:c>
    </x:row>
    <x:row r="89">
      <x:c r="A89" s="83" t="n">
        <x:v>88</x:v>
      </x:c>
      <x:c r="B89" s="89" t="n">
        <x:v>45139</x:v>
      </x:c>
      <x:c r="C89" s="84" t="n">
        <x:v>1</x:v>
      </x:c>
      <x:c r="D89" s="84" t="n">
        <x:v>2</x:v>
      </x:c>
      <x:c r="E89" s="84" t="n">
        <x:v>4</x:v>
      </x:c>
      <x:c r="F89" s="84" t="n">
        <x:v>28160</x:v>
      </x:c>
      <x:c r="G89" s="84" t="n">
        <x:v>27783</x:v>
      </x:c>
      <x:c r="H89" s="84" t="n">
        <x:v>377</x:v>
      </x:c>
      <x:c r="I89" s="84" t="n">
        <x:v>352</x:v>
      </x:c>
      <x:c r="J89" s="85" t="n">
        <x:v>334.6</x:v>
      </x:c>
    </x:row>
    <x:row r="90">
      <x:c r="A90" s="83" t="n">
        <x:v>89</x:v>
      </x:c>
      <x:c r="B90" s="89" t="n">
        <x:v>45139</x:v>
      </x:c>
      <x:c r="C90" s="84" t="n">
        <x:v>2</x:v>
      </x:c>
      <x:c r="D90" s="84" t="n">
        <x:v>4</x:v>
      </x:c>
      <x:c r="E90" s="84" t="n">
        <x:v>5</x:v>
      </x:c>
      <x:c r="F90" s="84" t="n">
        <x:v>52800</x:v>
      </x:c>
      <x:c r="G90" s="84" t="n">
        <x:v>49665</x:v>
      </x:c>
      <x:c r="H90" s="84" t="n">
        <x:v>3135</x:v>
      </x:c>
      <x:c r="I90" s="84" t="n">
        <x:v>352</x:v>
      </x:c>
      <x:c r="J90" s="85" t="n">
        <x:v>334</x:v>
      </x:c>
    </x:row>
    <x:row r="91">
      <x:c r="A91" s="83" t="n">
        <x:v>90</x:v>
      </x:c>
      <x:c r="B91" s="89" t="n">
        <x:v>45139</x:v>
      </x:c>
      <x:c r="C91" s="84" t="n">
        <x:v>2</x:v>
      </x:c>
      <x:c r="D91" s="84" t="n">
        <x:v>4</x:v>
      </x:c>
      <x:c r="E91" s="84" t="n">
        <x:v>6</x:v>
      </x:c>
      <x:c r="F91" s="84" t="n">
        <x:v>35200</x:v>
      </x:c>
      <x:c r="G91" s="84" t="n">
        <x:v>32446</x:v>
      </x:c>
      <x:c r="H91" s="84" t="n">
        <x:v>2754</x:v>
      </x:c>
      <x:c r="I91" s="84" t="n">
        <x:v>352</x:v>
      </x:c>
      <x:c r="J91" s="85" t="n">
        <x:v>330.4</x:v>
      </x:c>
    </x:row>
    <x:row r="92">
      <x:c r="A92" s="83" t="n">
        <x:v>91</x:v>
      </x:c>
      <x:c r="B92" s="89" t="n">
        <x:v>45139</x:v>
      </x:c>
      <x:c r="C92" s="84" t="n">
        <x:v>2</x:v>
      </x:c>
      <x:c r="D92" s="84" t="n">
        <x:v>5</x:v>
      </x:c>
      <x:c r="E92" s="84" t="n">
        <x:v>7</x:v>
      </x:c>
      <x:c r="F92" s="84" t="n">
        <x:v>42240</x:v>
      </x:c>
      <x:c r="G92" s="84" t="n">
        <x:v>41463</x:v>
      </x:c>
      <x:c r="H92" s="84" t="n">
        <x:v>777</x:v>
      </x:c>
      <x:c r="I92" s="84" t="n">
        <x:v>352</x:v>
      </x:c>
      <x:c r="J92" s="85" t="n">
        <x:v>334.6</x:v>
      </x:c>
    </x:row>
    <x:row r="93">
      <x:c r="A93" s="83" t="n">
        <x:v>92</x:v>
      </x:c>
      <x:c r="B93" s="89" t="n">
        <x:v>45139</x:v>
      </x:c>
      <x:c r="C93" s="84" t="n">
        <x:v>2</x:v>
      </x:c>
      <x:c r="D93" s="84" t="n">
        <x:v>5</x:v>
      </x:c>
      <x:c r="E93" s="84" t="n">
        <x:v>8</x:v>
      </x:c>
      <x:c r="F93" s="84" t="n">
        <x:v>42240</x:v>
      </x:c>
      <x:c r="G93" s="84" t="n">
        <x:v>41255</x:v>
      </x:c>
      <x:c r="H93" s="84" t="n">
        <x:v>985</x:v>
      </x:c>
      <x:c r="I93" s="84" t="n">
        <x:v>352</x:v>
      </x:c>
      <x:c r="J93" s="85" t="n">
        <x:v>333</x:v>
      </x:c>
    </x:row>
    <x:row r="94">
      <x:c r="A94" s="83" t="n">
        <x:v>93</x:v>
      </x:c>
      <x:c r="B94" s="89" t="n">
        <x:v>45139</x:v>
      </x:c>
      <x:c r="C94" s="84" t="n">
        <x:v>3</x:v>
      </x:c>
      <x:c r="D94" s="84" t="n">
        <x:v>7</x:v>
      </x:c>
      <x:c r="E94" s="84" t="n">
        <x:v>9</x:v>
      </x:c>
      <x:c r="F94" s="84" t="n">
        <x:v>28160</x:v>
      </x:c>
      <x:c r="G94" s="84" t="n">
        <x:v>26296</x:v>
      </x:c>
      <x:c r="H94" s="84" t="n">
        <x:v>1864</x:v>
      </x:c>
      <x:c r="I94" s="84" t="n">
        <x:v>352</x:v>
      </x:c>
      <x:c r="J94" s="85" t="n">
        <x:v>338</x:v>
      </x:c>
    </x:row>
    <x:row r="95">
      <x:c r="A95" s="83" t="n">
        <x:v>94</x:v>
      </x:c>
      <x:c r="B95" s="89" t="n">
        <x:v>45139</x:v>
      </x:c>
      <x:c r="C95" s="84" t="n">
        <x:v>3</x:v>
      </x:c>
      <x:c r="D95" s="84" t="n">
        <x:v>7</x:v>
      </x:c>
      <x:c r="E95" s="84" t="n">
        <x:v>10</x:v>
      </x:c>
      <x:c r="F95" s="84" t="n">
        <x:v>28160</x:v>
      </x:c>
      <x:c r="G95" s="84" t="n">
        <x:v>26998</x:v>
      </x:c>
      <x:c r="H95" s="84" t="n">
        <x:v>1162</x:v>
      </x:c>
      <x:c r="I95" s="84" t="n">
        <x:v>352</x:v>
      </x:c>
      <x:c r="J95" s="85" t="n">
        <x:v>323.9</x:v>
      </x:c>
    </x:row>
    <x:row r="96">
      <x:c r="A96" s="83" t="n">
        <x:v>95</x:v>
      </x:c>
      <x:c r="B96" s="89" t="n">
        <x:v>45139</x:v>
      </x:c>
      <x:c r="C96" s="84" t="n">
        <x:v>3</x:v>
      </x:c>
      <x:c r="D96" s="84" t="n">
        <x:v>8</x:v>
      </x:c>
      <x:c r="E96" s="84" t="n">
        <x:v>11</x:v>
      </x:c>
      <x:c r="F96" s="84" t="n">
        <x:v>52800</x:v>
      </x:c>
      <x:c r="G96" s="84" t="n">
        <x:v>52307</x:v>
      </x:c>
      <x:c r="H96" s="84" t="n">
        <x:v>493</x:v>
      </x:c>
      <x:c r="I96" s="84" t="n">
        <x:v>352</x:v>
      </x:c>
      <x:c r="J96" s="85" t="n">
        <x:v>339.9</x:v>
      </x:c>
    </x:row>
    <x:row r="97">
      <x:c r="A97" s="83" t="n">
        <x:v>96</x:v>
      </x:c>
      <x:c r="B97" s="89" t="n">
        <x:v>45139</x:v>
      </x:c>
      <x:c r="C97" s="84" t="n">
        <x:v>3</x:v>
      </x:c>
      <x:c r="D97" s="84" t="n">
        <x:v>8</x:v>
      </x:c>
      <x:c r="E97" s="84" t="n">
        <x:v>12</x:v>
      </x:c>
      <x:c r="F97" s="84" t="n">
        <x:v>52800</x:v>
      </x:c>
      <x:c r="G97" s="84" t="n">
        <x:v>49781</x:v>
      </x:c>
      <x:c r="H97" s="84" t="n">
        <x:v>3019</x:v>
      </x:c>
      <x:c r="I97" s="84" t="n">
        <x:v>352</x:v>
      </x:c>
      <x:c r="J97" s="85" t="n">
        <x:v>347.8</x:v>
      </x:c>
    </x:row>
    <x:row r="98">
      <x:c r="A98" s="83" t="n">
        <x:v>97</x:v>
      </x:c>
      <x:c r="B98" s="89" t="n">
        <x:v>45170</x:v>
      </x:c>
      <x:c r="C98" s="84" t="n">
        <x:v>1</x:v>
      </x:c>
      <x:c r="D98" s="84" t="n">
        <x:v>1</x:v>
      </x:c>
      <x:c r="E98" s="84" t="n">
        <x:v>1</x:v>
      </x:c>
      <x:c r="F98" s="84" t="n">
        <x:v>28160</x:v>
      </x:c>
      <x:c r="G98" s="84" t="n">
        <x:v>26912</x:v>
      </x:c>
      <x:c r="H98" s="84" t="n">
        <x:v>1248</x:v>
      </x:c>
      <x:c r="I98" s="84" t="n">
        <x:v>352</x:v>
      </x:c>
      <x:c r="J98" s="85" t="n">
        <x:v>349.5</x:v>
      </x:c>
    </x:row>
    <x:row r="99">
      <x:c r="A99" s="83" t="n">
        <x:v>98</x:v>
      </x:c>
      <x:c r="B99" s="89" t="n">
        <x:v>45170</x:v>
      </x:c>
      <x:c r="C99" s="84" t="n">
        <x:v>1</x:v>
      </x:c>
      <x:c r="D99" s="84" t="n">
        <x:v>1</x:v>
      </x:c>
      <x:c r="E99" s="84" t="n">
        <x:v>2</x:v>
      </x:c>
      <x:c r="F99" s="84" t="n">
        <x:v>42240</x:v>
      </x:c>
      <x:c r="G99" s="84" t="n">
        <x:v>41665</x:v>
      </x:c>
      <x:c r="H99" s="84" t="n">
        <x:v>575</x:v>
      </x:c>
      <x:c r="I99" s="84" t="n">
        <x:v>352</x:v>
      </x:c>
      <x:c r="J99" s="85" t="n">
        <x:v>346.1</x:v>
      </x:c>
    </x:row>
    <x:row r="100">
      <x:c r="A100" s="83" t="n">
        <x:v>99</x:v>
      </x:c>
      <x:c r="B100" s="89" t="n">
        <x:v>45170</x:v>
      </x:c>
      <x:c r="C100" s="84" t="n">
        <x:v>1</x:v>
      </x:c>
      <x:c r="D100" s="84" t="n">
        <x:v>2</x:v>
      </x:c>
      <x:c r="E100" s="84" t="n">
        <x:v>3</x:v>
      </x:c>
      <x:c r="F100" s="84" t="n">
        <x:v>35200</x:v>
      </x:c>
      <x:c r="G100" s="84" t="n">
        <x:v>34437</x:v>
      </x:c>
      <x:c r="H100" s="84" t="n">
        <x:v>763</x:v>
      </x:c>
      <x:c r="I100" s="84" t="n">
        <x:v>352</x:v>
      </x:c>
      <x:c r="J100" s="85" t="n">
        <x:v>319.7</x:v>
      </x:c>
    </x:row>
    <x:row r="101">
      <x:c r="A101" s="83" t="n">
        <x:v>100</x:v>
      </x:c>
      <x:c r="B101" s="89" t="n">
        <x:v>45170</x:v>
      </x:c>
      <x:c r="C101" s="84" t="n">
        <x:v>1</x:v>
      </x:c>
      <x:c r="D101" s="84" t="n">
        <x:v>2</x:v>
      </x:c>
      <x:c r="E101" s="84" t="n">
        <x:v>4</x:v>
      </x:c>
      <x:c r="F101" s="84" t="n">
        <x:v>28160</x:v>
      </x:c>
      <x:c r="G101" s="84" t="n">
        <x:v>27855</x:v>
      </x:c>
      <x:c r="H101" s="84" t="n">
        <x:v>305</x:v>
      </x:c>
      <x:c r="I101" s="84" t="n">
        <x:v>352</x:v>
      </x:c>
      <x:c r="J101" s="85" t="n">
        <x:v>339.3</x:v>
      </x:c>
    </x:row>
    <x:row r="102">
      <x:c r="A102" s="83" t="n">
        <x:v>101</x:v>
      </x:c>
      <x:c r="B102" s="89" t="n">
        <x:v>45170</x:v>
      </x:c>
      <x:c r="C102" s="84" t="n">
        <x:v>2</x:v>
      </x:c>
      <x:c r="D102" s="84" t="n">
        <x:v>4</x:v>
      </x:c>
      <x:c r="E102" s="84" t="n">
        <x:v>5</x:v>
      </x:c>
      <x:c r="F102" s="84" t="n">
        <x:v>52800</x:v>
      </x:c>
      <x:c r="G102" s="84" t="n">
        <x:v>48977</x:v>
      </x:c>
      <x:c r="H102" s="84" t="n">
        <x:v>3823</x:v>
      </x:c>
      <x:c r="I102" s="84" t="n">
        <x:v>352</x:v>
      </x:c>
      <x:c r="J102" s="85" t="n">
        <x:v>334.2</x:v>
      </x:c>
    </x:row>
    <x:row r="103">
      <x:c r="A103" s="83" t="n">
        <x:v>102</x:v>
      </x:c>
      <x:c r="B103" s="89" t="n">
        <x:v>45170</x:v>
      </x:c>
      <x:c r="C103" s="84" t="n">
        <x:v>2</x:v>
      </x:c>
      <x:c r="D103" s="84" t="n">
        <x:v>4</x:v>
      </x:c>
      <x:c r="E103" s="84" t="n">
        <x:v>6</x:v>
      </x:c>
      <x:c r="F103" s="84" t="n">
        <x:v>35200</x:v>
      </x:c>
      <x:c r="G103" s="84" t="n">
        <x:v>33163</x:v>
      </x:c>
      <x:c r="H103" s="84" t="n">
        <x:v>2037</x:v>
      </x:c>
      <x:c r="I103" s="84" t="n">
        <x:v>352</x:v>
      </x:c>
      <x:c r="J103" s="85" t="n">
        <x:v>319.5</x:v>
      </x:c>
    </x:row>
    <x:row r="104">
      <x:c r="A104" s="83" t="n">
        <x:v>103</x:v>
      </x:c>
      <x:c r="B104" s="89" t="n">
        <x:v>45170</x:v>
      </x:c>
      <x:c r="C104" s="84" t="n">
        <x:v>2</x:v>
      </x:c>
      <x:c r="D104" s="84" t="n">
        <x:v>5</x:v>
      </x:c>
      <x:c r="E104" s="84" t="n">
        <x:v>7</x:v>
      </x:c>
      <x:c r="F104" s="84" t="n">
        <x:v>42240</x:v>
      </x:c>
      <x:c r="G104" s="84" t="n">
        <x:v>39909</x:v>
      </x:c>
      <x:c r="H104" s="84" t="n">
        <x:v>2331</x:v>
      </x:c>
      <x:c r="I104" s="84" t="n">
        <x:v>352</x:v>
      </x:c>
      <x:c r="J104" s="85" t="n">
        <x:v>330.1</x:v>
      </x:c>
    </x:row>
    <x:row r="105">
      <x:c r="A105" s="83" t="n">
        <x:v>104</x:v>
      </x:c>
      <x:c r="B105" s="89" t="n">
        <x:v>45170</x:v>
      </x:c>
      <x:c r="C105" s="84" t="n">
        <x:v>2</x:v>
      </x:c>
      <x:c r="D105" s="84" t="n">
        <x:v>5</x:v>
      </x:c>
      <x:c r="E105" s="84" t="n">
        <x:v>8</x:v>
      </x:c>
      <x:c r="F105" s="84" t="n">
        <x:v>42240</x:v>
      </x:c>
      <x:c r="G105" s="84" t="n">
        <x:v>41729</x:v>
      </x:c>
      <x:c r="H105" s="84" t="n">
        <x:v>511</x:v>
      </x:c>
      <x:c r="I105" s="84" t="n">
        <x:v>352</x:v>
      </x:c>
      <x:c r="J105" s="85" t="n">
        <x:v>326.9</x:v>
      </x:c>
    </x:row>
    <x:row r="106">
      <x:c r="A106" s="83" t="n">
        <x:v>105</x:v>
      </x:c>
      <x:c r="B106" s="89" t="n">
        <x:v>45170</x:v>
      </x:c>
      <x:c r="C106" s="84" t="n">
        <x:v>3</x:v>
      </x:c>
      <x:c r="D106" s="84" t="n">
        <x:v>7</x:v>
      </x:c>
      <x:c r="E106" s="84" t="n">
        <x:v>9</x:v>
      </x:c>
      <x:c r="F106" s="84" t="n">
        <x:v>28160</x:v>
      </x:c>
      <x:c r="G106" s="84" t="n">
        <x:v>27268</x:v>
      </x:c>
      <x:c r="H106" s="84" t="n">
        <x:v>892</x:v>
      </x:c>
      <x:c r="I106" s="84" t="n">
        <x:v>352</x:v>
      </x:c>
      <x:c r="J106" s="85" t="n">
        <x:v>340.5</x:v>
      </x:c>
    </x:row>
    <x:row r="107">
      <x:c r="A107" s="83" t="n">
        <x:v>106</x:v>
      </x:c>
      <x:c r="B107" s="89" t="n">
        <x:v>45170</x:v>
      </x:c>
      <x:c r="C107" s="84" t="n">
        <x:v>3</x:v>
      </x:c>
      <x:c r="D107" s="84" t="n">
        <x:v>7</x:v>
      </x:c>
      <x:c r="E107" s="84" t="n">
        <x:v>10</x:v>
      </x:c>
      <x:c r="F107" s="84" t="n">
        <x:v>28160</x:v>
      </x:c>
      <x:c r="G107" s="84" t="n">
        <x:v>26822</x:v>
      </x:c>
      <x:c r="H107" s="84" t="n">
        <x:v>1338</x:v>
      </x:c>
      <x:c r="I107" s="84" t="n">
        <x:v>352</x:v>
      </x:c>
      <x:c r="J107" s="85" t="n">
        <x:v>331.3</x:v>
      </x:c>
    </x:row>
    <x:row r="108">
      <x:c r="A108" s="83" t="n">
        <x:v>107</x:v>
      </x:c>
      <x:c r="B108" s="89" t="n">
        <x:v>45170</x:v>
      </x:c>
      <x:c r="C108" s="84" t="n">
        <x:v>3</x:v>
      </x:c>
      <x:c r="D108" s="84" t="n">
        <x:v>8</x:v>
      </x:c>
      <x:c r="E108" s="84" t="n">
        <x:v>11</x:v>
      </x:c>
      <x:c r="F108" s="84" t="n">
        <x:v>52800</x:v>
      </x:c>
      <x:c r="G108" s="84" t="n">
        <x:v>52434</x:v>
      </x:c>
      <x:c r="H108" s="84" t="n">
        <x:v>366</x:v>
      </x:c>
      <x:c r="I108" s="84" t="n">
        <x:v>352</x:v>
      </x:c>
      <x:c r="J108" s="85" t="n">
        <x:v>319.9</x:v>
      </x:c>
    </x:row>
    <x:row r="109">
      <x:c r="A109" s="83" t="n">
        <x:v>108</x:v>
      </x:c>
      <x:c r="B109" s="89" t="n">
        <x:v>45170</x:v>
      </x:c>
      <x:c r="C109" s="84" t="n">
        <x:v>3</x:v>
      </x:c>
      <x:c r="D109" s="84" t="n">
        <x:v>8</x:v>
      </x:c>
      <x:c r="E109" s="84" t="n">
        <x:v>12</x:v>
      </x:c>
      <x:c r="F109" s="84" t="n">
        <x:v>52800</x:v>
      </x:c>
      <x:c r="G109" s="84" t="n">
        <x:v>49315</x:v>
      </x:c>
      <x:c r="H109" s="84" t="n">
        <x:v>3485</x:v>
      </x:c>
      <x:c r="I109" s="84" t="n">
        <x:v>352</x:v>
      </x:c>
      <x:c r="J109" s="85" t="n">
        <x:v>330.5</x:v>
      </x:c>
    </x:row>
    <x:row r="110">
      <x:c r="A110" s="83" t="n">
        <x:v>109</x:v>
      </x:c>
      <x:c r="B110" s="89" t="n">
        <x:v>45200</x:v>
      </x:c>
      <x:c r="C110" s="84" t="n">
        <x:v>1</x:v>
      </x:c>
      <x:c r="D110" s="84" t="n">
        <x:v>1</x:v>
      </x:c>
      <x:c r="E110" s="84" t="n">
        <x:v>1</x:v>
      </x:c>
      <x:c r="F110" s="84" t="n">
        <x:v>28160</x:v>
      </x:c>
      <x:c r="G110" s="84" t="n">
        <x:v>28150</x:v>
      </x:c>
      <x:c r="H110" s="84" t="n">
        <x:v>10</x:v>
      </x:c>
      <x:c r="I110" s="84" t="n">
        <x:v>352</x:v>
      </x:c>
      <x:c r="J110" s="85" t="n">
        <x:v>328.2</x:v>
      </x:c>
    </x:row>
    <x:row r="111">
      <x:c r="A111" s="83" t="n">
        <x:v>110</x:v>
      </x:c>
      <x:c r="B111" s="89" t="n">
        <x:v>45200</x:v>
      </x:c>
      <x:c r="C111" s="84" t="n">
        <x:v>1</x:v>
      </x:c>
      <x:c r="D111" s="84" t="n">
        <x:v>1</x:v>
      </x:c>
      <x:c r="E111" s="84" t="n">
        <x:v>2</x:v>
      </x:c>
      <x:c r="F111" s="84" t="n">
        <x:v>42240</x:v>
      </x:c>
      <x:c r="G111" s="84" t="n">
        <x:v>40999</x:v>
      </x:c>
      <x:c r="H111" s="84" t="n">
        <x:v>1241</x:v>
      </x:c>
      <x:c r="I111" s="84" t="n">
        <x:v>352</x:v>
      </x:c>
      <x:c r="J111" s="85" t="n">
        <x:v>339.4</x:v>
      </x:c>
    </x:row>
    <x:row r="112">
      <x:c r="A112" s="83" t="n">
        <x:v>111</x:v>
      </x:c>
      <x:c r="B112" s="89" t="n">
        <x:v>45200</x:v>
      </x:c>
      <x:c r="C112" s="84" t="n">
        <x:v>1</x:v>
      </x:c>
      <x:c r="D112" s="84" t="n">
        <x:v>2</x:v>
      </x:c>
      <x:c r="E112" s="84" t="n">
        <x:v>3</x:v>
      </x:c>
      <x:c r="F112" s="84" t="n">
        <x:v>35200</x:v>
      </x:c>
      <x:c r="G112" s="84" t="n">
        <x:v>33971</x:v>
      </x:c>
      <x:c r="H112" s="84" t="n">
        <x:v>1229</x:v>
      </x:c>
      <x:c r="I112" s="84" t="n">
        <x:v>352</x:v>
      </x:c>
      <x:c r="J112" s="85" t="n">
        <x:v>330.2</x:v>
      </x:c>
    </x:row>
    <x:row r="113">
      <x:c r="A113" s="83" t="n">
        <x:v>112</x:v>
      </x:c>
      <x:c r="B113" s="89" t="n">
        <x:v>45200</x:v>
      </x:c>
      <x:c r="C113" s="84" t="n">
        <x:v>1</x:v>
      </x:c>
      <x:c r="D113" s="84" t="n">
        <x:v>2</x:v>
      </x:c>
      <x:c r="E113" s="84" t="n">
        <x:v>4</x:v>
      </x:c>
      <x:c r="F113" s="84" t="n">
        <x:v>28160</x:v>
      </x:c>
      <x:c r="G113" s="84" t="n">
        <x:v>27589</x:v>
      </x:c>
      <x:c r="H113" s="84" t="n">
        <x:v>571</x:v>
      </x:c>
      <x:c r="I113" s="84" t="n">
        <x:v>352</x:v>
      </x:c>
      <x:c r="J113" s="85" t="n">
        <x:v>349.9</x:v>
      </x:c>
    </x:row>
    <x:row r="114">
      <x:c r="A114" s="83" t="n">
        <x:v>113</x:v>
      </x:c>
      <x:c r="B114" s="89" t="n">
        <x:v>45200</x:v>
      </x:c>
      <x:c r="C114" s="84" t="n">
        <x:v>2</x:v>
      </x:c>
      <x:c r="D114" s="84" t="n">
        <x:v>4</x:v>
      </x:c>
      <x:c r="E114" s="84" t="n">
        <x:v>5</x:v>
      </x:c>
      <x:c r="F114" s="84" t="n">
        <x:v>52800</x:v>
      </x:c>
      <x:c r="G114" s="84" t="n">
        <x:v>49845</x:v>
      </x:c>
      <x:c r="H114" s="84" t="n">
        <x:v>2955</x:v>
      </x:c>
      <x:c r="I114" s="84" t="n">
        <x:v>352</x:v>
      </x:c>
      <x:c r="J114" s="85" t="n">
        <x:v>320.5</x:v>
      </x:c>
    </x:row>
    <x:row r="115">
      <x:c r="A115" s="83" t="n">
        <x:v>114</x:v>
      </x:c>
      <x:c r="B115" s="89" t="n">
        <x:v>45200</x:v>
      </x:c>
      <x:c r="C115" s="84" t="n">
        <x:v>2</x:v>
      </x:c>
      <x:c r="D115" s="84" t="n">
        <x:v>4</x:v>
      </x:c>
      <x:c r="E115" s="84" t="n">
        <x:v>6</x:v>
      </x:c>
      <x:c r="F115" s="84" t="n">
        <x:v>35200</x:v>
      </x:c>
      <x:c r="G115" s="84" t="n">
        <x:v>33441</x:v>
      </x:c>
      <x:c r="H115" s="84" t="n">
        <x:v>1759</x:v>
      </x:c>
      <x:c r="I115" s="84" t="n">
        <x:v>352</x:v>
      </x:c>
      <x:c r="J115" s="85" t="n">
        <x:v>348.2</x:v>
      </x:c>
    </x:row>
    <x:row r="116">
      <x:c r="A116" s="83" t="n">
        <x:v>115</x:v>
      </x:c>
      <x:c r="B116" s="89" t="n">
        <x:v>45200</x:v>
      </x:c>
      <x:c r="C116" s="84" t="n">
        <x:v>2</x:v>
      </x:c>
      <x:c r="D116" s="84" t="n">
        <x:v>5</x:v>
      </x:c>
      <x:c r="E116" s="84" t="n">
        <x:v>7</x:v>
      </x:c>
      <x:c r="F116" s="84" t="n">
        <x:v>42240</x:v>
      </x:c>
      <x:c r="G116" s="84" t="n">
        <x:v>41824</x:v>
      </x:c>
      <x:c r="H116" s="84" t="n">
        <x:v>416</x:v>
      </x:c>
      <x:c r="I116" s="84" t="n">
        <x:v>352</x:v>
      </x:c>
      <x:c r="J116" s="85" t="n">
        <x:v>349.9</x:v>
      </x:c>
    </x:row>
    <x:row r="117">
      <x:c r="A117" s="83" t="n">
        <x:v>116</x:v>
      </x:c>
      <x:c r="B117" s="89" t="n">
        <x:v>45200</x:v>
      </x:c>
      <x:c r="C117" s="84" t="n">
        <x:v>2</x:v>
      </x:c>
      <x:c r="D117" s="84" t="n">
        <x:v>5</x:v>
      </x:c>
      <x:c r="E117" s="84" t="n">
        <x:v>8</x:v>
      </x:c>
      <x:c r="F117" s="84" t="n">
        <x:v>42240</x:v>
      </x:c>
      <x:c r="G117" s="84" t="n">
        <x:v>41028</x:v>
      </x:c>
      <x:c r="H117" s="84" t="n">
        <x:v>1212</x:v>
      </x:c>
      <x:c r="I117" s="84" t="n">
        <x:v>352</x:v>
      </x:c>
      <x:c r="J117" s="85" t="n">
        <x:v>346.9</x:v>
      </x:c>
    </x:row>
    <x:row r="118">
      <x:c r="A118" s="83" t="n">
        <x:v>117</x:v>
      </x:c>
      <x:c r="B118" s="89" t="n">
        <x:v>45200</x:v>
      </x:c>
      <x:c r="C118" s="84" t="n">
        <x:v>3</x:v>
      </x:c>
      <x:c r="D118" s="84" t="n">
        <x:v>7</x:v>
      </x:c>
      <x:c r="E118" s="84" t="n">
        <x:v>9</x:v>
      </x:c>
      <x:c r="F118" s="84" t="n">
        <x:v>28160</x:v>
      </x:c>
      <x:c r="G118" s="84" t="n">
        <x:v>26227</x:v>
      </x:c>
      <x:c r="H118" s="84" t="n">
        <x:v>1933</x:v>
      </x:c>
      <x:c r="I118" s="84" t="n">
        <x:v>352</x:v>
      </x:c>
      <x:c r="J118" s="85" t="n">
        <x:v>341.5</x:v>
      </x:c>
    </x:row>
    <x:row r="119">
      <x:c r="A119" s="83" t="n">
        <x:v>118</x:v>
      </x:c>
      <x:c r="B119" s="89" t="n">
        <x:v>45200</x:v>
      </x:c>
      <x:c r="C119" s="84" t="n">
        <x:v>3</x:v>
      </x:c>
      <x:c r="D119" s="84" t="n">
        <x:v>7</x:v>
      </x:c>
      <x:c r="E119" s="84" t="n">
        <x:v>10</x:v>
      </x:c>
      <x:c r="F119" s="84" t="n">
        <x:v>28160</x:v>
      </x:c>
      <x:c r="G119" s="84" t="n">
        <x:v>27352</x:v>
      </x:c>
      <x:c r="H119" s="84" t="n">
        <x:v>808</x:v>
      </x:c>
      <x:c r="I119" s="84" t="n">
        <x:v>352</x:v>
      </x:c>
      <x:c r="J119" s="85" t="n">
        <x:v>322.7</x:v>
      </x:c>
    </x:row>
    <x:row r="120">
      <x:c r="A120" s="83" t="n">
        <x:v>119</x:v>
      </x:c>
      <x:c r="B120" s="89" t="n">
        <x:v>45200</x:v>
      </x:c>
      <x:c r="C120" s="84" t="n">
        <x:v>3</x:v>
      </x:c>
      <x:c r="D120" s="84" t="n">
        <x:v>8</x:v>
      </x:c>
      <x:c r="E120" s="84" t="n">
        <x:v>11</x:v>
      </x:c>
      <x:c r="F120" s="84" t="n">
        <x:v>52800</x:v>
      </x:c>
      <x:c r="G120" s="84" t="n">
        <x:v>49606</x:v>
      </x:c>
      <x:c r="H120" s="84" t="n">
        <x:v>3194</x:v>
      </x:c>
      <x:c r="I120" s="84" t="n">
        <x:v>352</x:v>
      </x:c>
      <x:c r="J120" s="85" t="n">
        <x:v>339.1</x:v>
      </x:c>
    </x:row>
    <x:row r="121">
      <x:c r="A121" s="83" t="n">
        <x:v>120</x:v>
      </x:c>
      <x:c r="B121" s="89" t="n">
        <x:v>45200</x:v>
      </x:c>
      <x:c r="C121" s="84" t="n">
        <x:v>3</x:v>
      </x:c>
      <x:c r="D121" s="84" t="n">
        <x:v>8</x:v>
      </x:c>
      <x:c r="E121" s="84" t="n">
        <x:v>12</x:v>
      </x:c>
      <x:c r="F121" s="84" t="n">
        <x:v>52800</x:v>
      </x:c>
      <x:c r="G121" s="84" t="n">
        <x:v>49453</x:v>
      </x:c>
      <x:c r="H121" s="84" t="n">
        <x:v>3347</x:v>
      </x:c>
      <x:c r="I121" s="84" t="n">
        <x:v>352</x:v>
      </x:c>
      <x:c r="J121" s="85" t="n">
        <x:v>338.3</x:v>
      </x:c>
    </x:row>
    <x:row r="122">
      <x:c r="A122" s="83" t="n">
        <x:v>121</x:v>
      </x:c>
      <x:c r="B122" s="89" t="n">
        <x:v>45231</x:v>
      </x:c>
      <x:c r="C122" s="84" t="n">
        <x:v>1</x:v>
      </x:c>
      <x:c r="D122" s="84" t="n">
        <x:v>1</x:v>
      </x:c>
      <x:c r="E122" s="84" t="n">
        <x:v>1</x:v>
      </x:c>
      <x:c r="F122" s="84" t="n">
        <x:v>28160</x:v>
      </x:c>
      <x:c r="G122" s="84" t="n">
        <x:v>28083</x:v>
      </x:c>
      <x:c r="H122" s="84" t="n">
        <x:v>77</x:v>
      </x:c>
      <x:c r="I122" s="84" t="n">
        <x:v>352</x:v>
      </x:c>
      <x:c r="J122" s="85" t="n">
        <x:v>326.5</x:v>
      </x:c>
    </x:row>
    <x:row r="123">
      <x:c r="A123" s="83" t="n">
        <x:v>122</x:v>
      </x:c>
      <x:c r="B123" s="89" t="n">
        <x:v>45231</x:v>
      </x:c>
      <x:c r="C123" s="84" t="n">
        <x:v>1</x:v>
      </x:c>
      <x:c r="D123" s="84" t="n">
        <x:v>1</x:v>
      </x:c>
      <x:c r="E123" s="84" t="n">
        <x:v>2</x:v>
      </x:c>
      <x:c r="F123" s="84" t="n">
        <x:v>42240</x:v>
      </x:c>
      <x:c r="G123" s="84" t="n">
        <x:v>39004</x:v>
      </x:c>
      <x:c r="H123" s="84" t="n">
        <x:v>3236</x:v>
      </x:c>
      <x:c r="I123" s="84" t="n">
        <x:v>352</x:v>
      </x:c>
      <x:c r="J123" s="85" t="n">
        <x:v>327.5</x:v>
      </x:c>
    </x:row>
    <x:row r="124">
      <x:c r="A124" s="83" t="n">
        <x:v>123</x:v>
      </x:c>
      <x:c r="B124" s="89" t="n">
        <x:v>45231</x:v>
      </x:c>
      <x:c r="C124" s="84" t="n">
        <x:v>1</x:v>
      </x:c>
      <x:c r="D124" s="84" t="n">
        <x:v>2</x:v>
      </x:c>
      <x:c r="E124" s="84" t="n">
        <x:v>3</x:v>
      </x:c>
      <x:c r="F124" s="84" t="n">
        <x:v>35200</x:v>
      </x:c>
      <x:c r="G124" s="84" t="n">
        <x:v>32694</x:v>
      </x:c>
      <x:c r="H124" s="84" t="n">
        <x:v>2506</x:v>
      </x:c>
      <x:c r="I124" s="84" t="n">
        <x:v>352</x:v>
      </x:c>
      <x:c r="J124" s="85" t="n">
        <x:v>322.8</x:v>
      </x:c>
    </x:row>
    <x:row r="125">
      <x:c r="A125" s="83" t="n">
        <x:v>124</x:v>
      </x:c>
      <x:c r="B125" s="89" t="n">
        <x:v>45231</x:v>
      </x:c>
      <x:c r="C125" s="84" t="n">
        <x:v>1</x:v>
      </x:c>
      <x:c r="D125" s="84" t="n">
        <x:v>2</x:v>
      </x:c>
      <x:c r="E125" s="84" t="n">
        <x:v>4</x:v>
      </x:c>
      <x:c r="F125" s="84" t="n">
        <x:v>28160</x:v>
      </x:c>
      <x:c r="G125" s="84" t="n">
        <x:v>26555</x:v>
      </x:c>
      <x:c r="H125" s="84" t="n">
        <x:v>1605</x:v>
      </x:c>
      <x:c r="I125" s="84" t="n">
        <x:v>352</x:v>
      </x:c>
      <x:c r="J125" s="85" t="n">
        <x:v>323.1</x:v>
      </x:c>
    </x:row>
    <x:row r="126">
      <x:c r="A126" s="83" t="n">
        <x:v>125</x:v>
      </x:c>
      <x:c r="B126" s="89" t="n">
        <x:v>45231</x:v>
      </x:c>
      <x:c r="C126" s="84" t="n">
        <x:v>2</x:v>
      </x:c>
      <x:c r="D126" s="84" t="n">
        <x:v>4</x:v>
      </x:c>
      <x:c r="E126" s="84" t="n">
        <x:v>5</x:v>
      </x:c>
      <x:c r="F126" s="84" t="n">
        <x:v>52800</x:v>
      </x:c>
      <x:c r="G126" s="84" t="n">
        <x:v>52689</x:v>
      </x:c>
      <x:c r="H126" s="84" t="n">
        <x:v>111</x:v>
      </x:c>
      <x:c r="I126" s="84" t="n">
        <x:v>352</x:v>
      </x:c>
      <x:c r="J126" s="85" t="n">
        <x:v>347.7</x:v>
      </x:c>
    </x:row>
    <x:row r="127">
      <x:c r="A127" s="83" t="n">
        <x:v>126</x:v>
      </x:c>
      <x:c r="B127" s="89" t="n">
        <x:v>45231</x:v>
      </x:c>
      <x:c r="C127" s="84" t="n">
        <x:v>2</x:v>
      </x:c>
      <x:c r="D127" s="84" t="n">
        <x:v>4</x:v>
      </x:c>
      <x:c r="E127" s="84" t="n">
        <x:v>6</x:v>
      </x:c>
      <x:c r="F127" s="84" t="n">
        <x:v>35200</x:v>
      </x:c>
      <x:c r="G127" s="84" t="n">
        <x:v>33152</x:v>
      </x:c>
      <x:c r="H127" s="84" t="n">
        <x:v>2048</x:v>
      </x:c>
      <x:c r="I127" s="84" t="n">
        <x:v>352</x:v>
      </x:c>
      <x:c r="J127" s="85" t="n">
        <x:v>330.2</x:v>
      </x:c>
    </x:row>
    <x:row r="128">
      <x:c r="A128" s="83" t="n">
        <x:v>127</x:v>
      </x:c>
      <x:c r="B128" s="89" t="n">
        <x:v>45231</x:v>
      </x:c>
      <x:c r="C128" s="84" t="n">
        <x:v>2</x:v>
      </x:c>
      <x:c r="D128" s="84" t="n">
        <x:v>5</x:v>
      </x:c>
      <x:c r="E128" s="84" t="n">
        <x:v>7</x:v>
      </x:c>
      <x:c r="F128" s="84" t="n">
        <x:v>42240</x:v>
      </x:c>
      <x:c r="G128" s="84" t="n">
        <x:v>41325</x:v>
      </x:c>
      <x:c r="H128" s="84" t="n">
        <x:v>915</x:v>
      </x:c>
      <x:c r="I128" s="84" t="n">
        <x:v>352</x:v>
      </x:c>
      <x:c r="J128" s="85" t="n">
        <x:v>342.1</x:v>
      </x:c>
    </x:row>
    <x:row r="129">
      <x:c r="A129" s="83" t="n">
        <x:v>128</x:v>
      </x:c>
      <x:c r="B129" s="89" t="n">
        <x:v>45231</x:v>
      </x:c>
      <x:c r="C129" s="84" t="n">
        <x:v>2</x:v>
      </x:c>
      <x:c r="D129" s="84" t="n">
        <x:v>5</x:v>
      </x:c>
      <x:c r="E129" s="84" t="n">
        <x:v>8</x:v>
      </x:c>
      <x:c r="F129" s="84" t="n">
        <x:v>42240</x:v>
      </x:c>
      <x:c r="G129" s="84" t="n">
        <x:v>38918</x:v>
      </x:c>
      <x:c r="H129" s="84" t="n">
        <x:v>3322</x:v>
      </x:c>
      <x:c r="I129" s="84" t="n">
        <x:v>352</x:v>
      </x:c>
      <x:c r="J129" s="85" t="n">
        <x:v>339.4</x:v>
      </x:c>
    </x:row>
    <x:row r="130">
      <x:c r="A130" s="83" t="n">
        <x:v>129</x:v>
      </x:c>
      <x:c r="B130" s="89" t="n">
        <x:v>45231</x:v>
      </x:c>
      <x:c r="C130" s="84" t="n">
        <x:v>3</x:v>
      </x:c>
      <x:c r="D130" s="84" t="n">
        <x:v>7</x:v>
      </x:c>
      <x:c r="E130" s="84" t="n">
        <x:v>9</x:v>
      </x:c>
      <x:c r="F130" s="84" t="n">
        <x:v>28160</x:v>
      </x:c>
      <x:c r="G130" s="84" t="n">
        <x:v>26613</x:v>
      </x:c>
      <x:c r="H130" s="84" t="n">
        <x:v>1547</x:v>
      </x:c>
      <x:c r="I130" s="84" t="n">
        <x:v>352</x:v>
      </x:c>
      <x:c r="J130" s="85" t="n">
        <x:v>339.2</x:v>
      </x:c>
    </x:row>
    <x:row r="131">
      <x:c r="A131" s="83" t="n">
        <x:v>130</x:v>
      </x:c>
      <x:c r="B131" s="89" t="n">
        <x:v>45231</x:v>
      </x:c>
      <x:c r="C131" s="84" t="n">
        <x:v>3</x:v>
      </x:c>
      <x:c r="D131" s="84" t="n">
        <x:v>7</x:v>
      </x:c>
      <x:c r="E131" s="84" t="n">
        <x:v>10</x:v>
      </x:c>
      <x:c r="F131" s="84" t="n">
        <x:v>28160</x:v>
      </x:c>
      <x:c r="G131" s="84" t="n">
        <x:v>27785</x:v>
      </x:c>
      <x:c r="H131" s="84" t="n">
        <x:v>375</x:v>
      </x:c>
      <x:c r="I131" s="84" t="n">
        <x:v>352</x:v>
      </x:c>
      <x:c r="J131" s="85" t="n">
        <x:v>347.5</x:v>
      </x:c>
    </x:row>
    <x:row r="132">
      <x:c r="A132" s="83" t="n">
        <x:v>131</x:v>
      </x:c>
      <x:c r="B132" s="89" t="n">
        <x:v>45231</x:v>
      </x:c>
      <x:c r="C132" s="84" t="n">
        <x:v>3</x:v>
      </x:c>
      <x:c r="D132" s="84" t="n">
        <x:v>8</x:v>
      </x:c>
      <x:c r="E132" s="84" t="n">
        <x:v>11</x:v>
      </x:c>
      <x:c r="F132" s="84" t="n">
        <x:v>52800</x:v>
      </x:c>
      <x:c r="G132" s="84" t="n">
        <x:v>49027</x:v>
      </x:c>
      <x:c r="H132" s="84" t="n">
        <x:v>3773</x:v>
      </x:c>
      <x:c r="I132" s="84" t="n">
        <x:v>352</x:v>
      </x:c>
      <x:c r="J132" s="85" t="n">
        <x:v>326.9</x:v>
      </x:c>
    </x:row>
    <x:row r="133">
      <x:c r="A133" s="83" t="n">
        <x:v>132</x:v>
      </x:c>
      <x:c r="B133" s="89" t="n">
        <x:v>45231</x:v>
      </x:c>
      <x:c r="C133" s="84" t="n">
        <x:v>3</x:v>
      </x:c>
      <x:c r="D133" s="84" t="n">
        <x:v>8</x:v>
      </x:c>
      <x:c r="E133" s="84" t="n">
        <x:v>12</x:v>
      </x:c>
      <x:c r="F133" s="84" t="n">
        <x:v>52800</x:v>
      </x:c>
      <x:c r="G133" s="84" t="n">
        <x:v>51221</x:v>
      </x:c>
      <x:c r="H133" s="84" t="n">
        <x:v>1579</x:v>
      </x:c>
      <x:c r="I133" s="84" t="n">
        <x:v>352</x:v>
      </x:c>
      <x:c r="J133" s="85" t="n">
        <x:v>321.1</x:v>
      </x:c>
    </x:row>
    <x:row r="134">
      <x:c r="A134" s="83" t="n">
        <x:v>133</x:v>
      </x:c>
      <x:c r="B134" s="89" t="n">
        <x:v>45261</x:v>
      </x:c>
      <x:c r="C134" s="84" t="n">
        <x:v>1</x:v>
      </x:c>
      <x:c r="D134" s="84" t="n">
        <x:v>1</x:v>
      </x:c>
      <x:c r="E134" s="84" t="n">
        <x:v>1</x:v>
      </x:c>
      <x:c r="F134" s="84" t="n">
        <x:v>28160</x:v>
      </x:c>
      <x:c r="G134" s="84" t="n">
        <x:v>26874</x:v>
      </x:c>
      <x:c r="H134" s="84" t="n">
        <x:v>1286</x:v>
      </x:c>
      <x:c r="I134" s="84" t="n">
        <x:v>352</x:v>
      </x:c>
      <x:c r="J134" s="85" t="n">
        <x:v>319.2</x:v>
      </x:c>
    </x:row>
    <x:row r="135">
      <x:c r="A135" s="83" t="n">
        <x:v>134</x:v>
      </x:c>
      <x:c r="B135" s="89" t="n">
        <x:v>45261</x:v>
      </x:c>
      <x:c r="C135" s="84" t="n">
        <x:v>1</x:v>
      </x:c>
      <x:c r="D135" s="84" t="n">
        <x:v>1</x:v>
      </x:c>
      <x:c r="E135" s="84" t="n">
        <x:v>2</x:v>
      </x:c>
      <x:c r="F135" s="84" t="n">
        <x:v>42240</x:v>
      </x:c>
      <x:c r="G135" s="84" t="n">
        <x:v>40267</x:v>
      </x:c>
      <x:c r="H135" s="84" t="n">
        <x:v>1973</x:v>
      </x:c>
      <x:c r="I135" s="84" t="n">
        <x:v>352</x:v>
      </x:c>
      <x:c r="J135" s="85" t="n">
        <x:v>342.7</x:v>
      </x:c>
    </x:row>
    <x:row r="136">
      <x:c r="A136" s="83" t="n">
        <x:v>135</x:v>
      </x:c>
      <x:c r="B136" s="89" t="n">
        <x:v>45261</x:v>
      </x:c>
      <x:c r="C136" s="84" t="n">
        <x:v>1</x:v>
      </x:c>
      <x:c r="D136" s="84" t="n">
        <x:v>2</x:v>
      </x:c>
      <x:c r="E136" s="84" t="n">
        <x:v>3</x:v>
      </x:c>
      <x:c r="F136" s="84" t="n">
        <x:v>35200</x:v>
      </x:c>
      <x:c r="G136" s="84" t="n">
        <x:v>33150</x:v>
      </x:c>
      <x:c r="H136" s="84" t="n">
        <x:v>2050</x:v>
      </x:c>
      <x:c r="I136" s="84" t="n">
        <x:v>352</x:v>
      </x:c>
      <x:c r="J136" s="85" t="n">
        <x:v>324.9</x:v>
      </x:c>
    </x:row>
    <x:row r="137">
      <x:c r="A137" s="83" t="n">
        <x:v>136</x:v>
      </x:c>
      <x:c r="B137" s="89" t="n">
        <x:v>45261</x:v>
      </x:c>
      <x:c r="C137" s="84" t="n">
        <x:v>1</x:v>
      </x:c>
      <x:c r="D137" s="84" t="n">
        <x:v>2</x:v>
      </x:c>
      <x:c r="E137" s="84" t="n">
        <x:v>4</x:v>
      </x:c>
      <x:c r="F137" s="84" t="n">
        <x:v>28160</x:v>
      </x:c>
      <x:c r="G137" s="84" t="n">
        <x:v>26382</x:v>
      </x:c>
      <x:c r="H137" s="84" t="n">
        <x:v>1778</x:v>
      </x:c>
      <x:c r="I137" s="84" t="n">
        <x:v>352</x:v>
      </x:c>
      <x:c r="J137" s="85" t="n">
        <x:v>322.7</x:v>
      </x:c>
    </x:row>
    <x:row r="138">
      <x:c r="A138" s="83" t="n">
        <x:v>137</x:v>
      </x:c>
      <x:c r="B138" s="89" t="n">
        <x:v>45261</x:v>
      </x:c>
      <x:c r="C138" s="84" t="n">
        <x:v>2</x:v>
      </x:c>
      <x:c r="D138" s="84" t="n">
        <x:v>4</x:v>
      </x:c>
      <x:c r="E138" s="84" t="n">
        <x:v>5</x:v>
      </x:c>
      <x:c r="F138" s="84" t="n">
        <x:v>52800</x:v>
      </x:c>
      <x:c r="G138" s="84" t="n">
        <x:v>52086</x:v>
      </x:c>
      <x:c r="H138" s="84" t="n">
        <x:v>714</x:v>
      </x:c>
      <x:c r="I138" s="84" t="n">
        <x:v>352</x:v>
      </x:c>
      <x:c r="J138" s="85" t="n">
        <x:v>326.7</x:v>
      </x:c>
    </x:row>
    <x:row r="139">
      <x:c r="A139" s="83" t="n">
        <x:v>138</x:v>
      </x:c>
      <x:c r="B139" s="89" t="n">
        <x:v>45261</x:v>
      </x:c>
      <x:c r="C139" s="84" t="n">
        <x:v>2</x:v>
      </x:c>
      <x:c r="D139" s="84" t="n">
        <x:v>4</x:v>
      </x:c>
      <x:c r="E139" s="84" t="n">
        <x:v>6</x:v>
      </x:c>
      <x:c r="F139" s="84" t="n">
        <x:v>35200</x:v>
      </x:c>
      <x:c r="G139" s="84" t="n">
        <x:v>32444</x:v>
      </x:c>
      <x:c r="H139" s="84" t="n">
        <x:v>2756</x:v>
      </x:c>
      <x:c r="I139" s="84" t="n">
        <x:v>352</x:v>
      </x:c>
      <x:c r="J139" s="85" t="n">
        <x:v>323.5</x:v>
      </x:c>
    </x:row>
    <x:row r="140">
      <x:c r="A140" s="83" t="n">
        <x:v>139</x:v>
      </x:c>
      <x:c r="B140" s="89" t="n">
        <x:v>45261</x:v>
      </x:c>
      <x:c r="C140" s="84" t="n">
        <x:v>2</x:v>
      </x:c>
      <x:c r="D140" s="84" t="n">
        <x:v>5</x:v>
      </x:c>
      <x:c r="E140" s="84" t="n">
        <x:v>7</x:v>
      </x:c>
      <x:c r="F140" s="84" t="n">
        <x:v>42240</x:v>
      </x:c>
      <x:c r="G140" s="84" t="n">
        <x:v>40648</x:v>
      </x:c>
      <x:c r="H140" s="84" t="n">
        <x:v>1592</x:v>
      </x:c>
      <x:c r="I140" s="84" t="n">
        <x:v>352</x:v>
      </x:c>
      <x:c r="J140" s="85" t="n">
        <x:v>342</x:v>
      </x:c>
    </x:row>
    <x:row r="141">
      <x:c r="A141" s="83" t="n">
        <x:v>140</x:v>
      </x:c>
      <x:c r="B141" s="89" t="n">
        <x:v>45261</x:v>
      </x:c>
      <x:c r="C141" s="84" t="n">
        <x:v>2</x:v>
      </x:c>
      <x:c r="D141" s="84" t="n">
        <x:v>5</x:v>
      </x:c>
      <x:c r="E141" s="84" t="n">
        <x:v>8</x:v>
      </x:c>
      <x:c r="F141" s="84" t="n">
        <x:v>42240</x:v>
      </x:c>
      <x:c r="G141" s="84" t="n">
        <x:v>40464</x:v>
      </x:c>
      <x:c r="H141" s="84" t="n">
        <x:v>1776</x:v>
      </x:c>
      <x:c r="I141" s="84" t="n">
        <x:v>352</x:v>
      </x:c>
      <x:c r="J141" s="85" t="n">
        <x:v>338.3</x:v>
      </x:c>
    </x:row>
    <x:row r="142">
      <x:c r="A142" s="83" t="n">
        <x:v>141</x:v>
      </x:c>
      <x:c r="B142" s="89" t="n">
        <x:v>45261</x:v>
      </x:c>
      <x:c r="C142" s="84" t="n">
        <x:v>3</x:v>
      </x:c>
      <x:c r="D142" s="84" t="n">
        <x:v>7</x:v>
      </x:c>
      <x:c r="E142" s="84" t="n">
        <x:v>9</x:v>
      </x:c>
      <x:c r="F142" s="84" t="n">
        <x:v>28160</x:v>
      </x:c>
      <x:c r="G142" s="84" t="n">
        <x:v>27190</x:v>
      </x:c>
      <x:c r="H142" s="84" t="n">
        <x:v>970</x:v>
      </x:c>
      <x:c r="I142" s="84" t="n">
        <x:v>352</x:v>
      </x:c>
      <x:c r="J142" s="85" t="n">
        <x:v>341.6</x:v>
      </x:c>
    </x:row>
    <x:row r="143">
      <x:c r="A143" s="83" t="n">
        <x:v>142</x:v>
      </x:c>
      <x:c r="B143" s="89" t="n">
        <x:v>45261</x:v>
      </x:c>
      <x:c r="C143" s="84" t="n">
        <x:v>3</x:v>
      </x:c>
      <x:c r="D143" s="84" t="n">
        <x:v>7</x:v>
      </x:c>
      <x:c r="E143" s="84" t="n">
        <x:v>10</x:v>
      </x:c>
      <x:c r="F143" s="84" t="n">
        <x:v>28160</x:v>
      </x:c>
      <x:c r="G143" s="84" t="n">
        <x:v>27360</x:v>
      </x:c>
      <x:c r="H143" s="84" t="n">
        <x:v>800</x:v>
      </x:c>
      <x:c r="I143" s="84" t="n">
        <x:v>352</x:v>
      </x:c>
      <x:c r="J143" s="85" t="n">
        <x:v>345.8</x:v>
      </x:c>
    </x:row>
    <x:row r="144">
      <x:c r="A144" s="83" t="n">
        <x:v>143</x:v>
      </x:c>
      <x:c r="B144" s="89" t="n">
        <x:v>45261</x:v>
      </x:c>
      <x:c r="C144" s="84" t="n">
        <x:v>3</x:v>
      </x:c>
      <x:c r="D144" s="84" t="n">
        <x:v>8</x:v>
      </x:c>
      <x:c r="E144" s="84" t="n">
        <x:v>11</x:v>
      </x:c>
      <x:c r="F144" s="84" t="n">
        <x:v>52800</x:v>
      </x:c>
      <x:c r="G144" s="84" t="n">
        <x:v>50034</x:v>
      </x:c>
      <x:c r="H144" s="84" t="n">
        <x:v>2766</x:v>
      </x:c>
      <x:c r="I144" s="84" t="n">
        <x:v>352</x:v>
      </x:c>
      <x:c r="J144" s="85" t="n">
        <x:v>337.4</x:v>
      </x:c>
    </x:row>
    <x:row r="145">
      <x:c r="A145" s="83" t="n">
        <x:v>144</x:v>
      </x:c>
      <x:c r="B145" s="89" t="n">
        <x:v>45261</x:v>
      </x:c>
      <x:c r="C145" s="84" t="n">
        <x:v>3</x:v>
      </x:c>
      <x:c r="D145" s="84" t="n">
        <x:v>8</x:v>
      </x:c>
      <x:c r="E145" s="84" t="n">
        <x:v>12</x:v>
      </x:c>
      <x:c r="F145" s="84" t="n">
        <x:v>52800</x:v>
      </x:c>
      <x:c r="G145" s="84" t="n">
        <x:v>49159</x:v>
      </x:c>
      <x:c r="H145" s="84" t="n">
        <x:v>3641</x:v>
      </x:c>
      <x:c r="I145" s="84" t="n">
        <x:v>352</x:v>
      </x:c>
      <x:c r="J145" s="85" t="n">
        <x:v>329.6</x:v>
      </x:c>
    </x:row>
    <x:row r="146">
      <x:c r="A146" s="83" t="n">
        <x:v>145</x:v>
      </x:c>
      <x:c r="B146" s="89" t="n">
        <x:v>45292</x:v>
      </x:c>
      <x:c r="C146" s="84" t="n">
        <x:v>1</x:v>
      </x:c>
      <x:c r="D146" s="84" t="n">
        <x:v>1</x:v>
      </x:c>
      <x:c r="E146" s="84" t="n">
        <x:v>1</x:v>
      </x:c>
      <x:c r="F146" s="84" t="n">
        <x:v>28160</x:v>
      </x:c>
      <x:c r="G146" s="84" t="n">
        <x:v>27937</x:v>
      </x:c>
      <x:c r="H146" s="84" t="n">
        <x:v>223</x:v>
      </x:c>
      <x:c r="I146" s="84" t="n">
        <x:v>352</x:v>
      </x:c>
      <x:c r="J146" s="85" t="n">
        <x:v>346.9</x:v>
      </x:c>
    </x:row>
    <x:row r="147">
      <x:c r="A147" s="83" t="n">
        <x:v>146</x:v>
      </x:c>
      <x:c r="B147" s="89" t="n">
        <x:v>45292</x:v>
      </x:c>
      <x:c r="C147" s="84" t="n">
        <x:v>1</x:v>
      </x:c>
      <x:c r="D147" s="84" t="n">
        <x:v>1</x:v>
      </x:c>
      <x:c r="E147" s="84" t="n">
        <x:v>2</x:v>
      </x:c>
      <x:c r="F147" s="84" t="n">
        <x:v>42240</x:v>
      </x:c>
      <x:c r="G147" s="84" t="n">
        <x:v>39819</x:v>
      </x:c>
      <x:c r="H147" s="84" t="n">
        <x:v>2421</x:v>
      </x:c>
      <x:c r="I147" s="84" t="n">
        <x:v>352</x:v>
      </x:c>
      <x:c r="J147" s="85" t="n">
        <x:v>341.4</x:v>
      </x:c>
    </x:row>
    <x:row r="148">
      <x:c r="A148" s="83" t="n">
        <x:v>147</x:v>
      </x:c>
      <x:c r="B148" s="89" t="n">
        <x:v>45292</x:v>
      </x:c>
      <x:c r="C148" s="84" t="n">
        <x:v>1</x:v>
      </x:c>
      <x:c r="D148" s="84" t="n">
        <x:v>2</x:v>
      </x:c>
      <x:c r="E148" s="84" t="n">
        <x:v>3</x:v>
      </x:c>
      <x:c r="F148" s="84" t="n">
        <x:v>35200</x:v>
      </x:c>
      <x:c r="G148" s="84" t="n">
        <x:v>34545</x:v>
      </x:c>
      <x:c r="H148" s="84" t="n">
        <x:v>655</x:v>
      </x:c>
      <x:c r="I148" s="84" t="n">
        <x:v>352</x:v>
      </x:c>
      <x:c r="J148" s="85" t="n">
        <x:v>334.3</x:v>
      </x:c>
    </x:row>
    <x:row r="149">
      <x:c r="A149" s="83" t="n">
        <x:v>148</x:v>
      </x:c>
      <x:c r="B149" s="89" t="n">
        <x:v>45292</x:v>
      </x:c>
      <x:c r="C149" s="84" t="n">
        <x:v>1</x:v>
      </x:c>
      <x:c r="D149" s="84" t="n">
        <x:v>2</x:v>
      </x:c>
      <x:c r="E149" s="84" t="n">
        <x:v>4</x:v>
      </x:c>
      <x:c r="F149" s="84" t="n">
        <x:v>28160</x:v>
      </x:c>
      <x:c r="G149" s="84" t="n">
        <x:v>27113</x:v>
      </x:c>
      <x:c r="H149" s="84" t="n">
        <x:v>1047</x:v>
      </x:c>
      <x:c r="I149" s="84" t="n">
        <x:v>352</x:v>
      </x:c>
      <x:c r="J149" s="85" t="n">
        <x:v>335.8</x:v>
      </x:c>
    </x:row>
    <x:row r="150">
      <x:c r="A150" s="83" t="n">
        <x:v>149</x:v>
      </x:c>
      <x:c r="B150" s="89" t="n">
        <x:v>45292</x:v>
      </x:c>
      <x:c r="C150" s="84" t="n">
        <x:v>2</x:v>
      </x:c>
      <x:c r="D150" s="84" t="n">
        <x:v>4</x:v>
      </x:c>
      <x:c r="E150" s="84" t="n">
        <x:v>5</x:v>
      </x:c>
      <x:c r="F150" s="84" t="n">
        <x:v>52800</x:v>
      </x:c>
      <x:c r="G150" s="84" t="n">
        <x:v>50555</x:v>
      </x:c>
      <x:c r="H150" s="84" t="n">
        <x:v>2245</x:v>
      </x:c>
      <x:c r="I150" s="84" t="n">
        <x:v>352</x:v>
      </x:c>
      <x:c r="J150" s="85" t="n">
        <x:v>317.1</x:v>
      </x:c>
    </x:row>
    <x:row r="151">
      <x:c r="A151" s="83" t="n">
        <x:v>150</x:v>
      </x:c>
      <x:c r="B151" s="89" t="n">
        <x:v>45292</x:v>
      </x:c>
      <x:c r="C151" s="84" t="n">
        <x:v>2</x:v>
      </x:c>
      <x:c r="D151" s="84" t="n">
        <x:v>4</x:v>
      </x:c>
      <x:c r="E151" s="84" t="n">
        <x:v>6</x:v>
      </x:c>
      <x:c r="F151" s="84" t="n">
        <x:v>35200</x:v>
      </x:c>
      <x:c r="G151" s="84" t="n">
        <x:v>33100</x:v>
      </x:c>
      <x:c r="H151" s="84" t="n">
        <x:v>2100</x:v>
      </x:c>
      <x:c r="I151" s="84" t="n">
        <x:v>352</x:v>
      </x:c>
      <x:c r="J151" s="85" t="n">
        <x:v>338.9</x:v>
      </x:c>
    </x:row>
    <x:row r="152">
      <x:c r="A152" s="83" t="n">
        <x:v>151</x:v>
      </x:c>
      <x:c r="B152" s="89" t="n">
        <x:v>45292</x:v>
      </x:c>
      <x:c r="C152" s="84" t="n">
        <x:v>2</x:v>
      </x:c>
      <x:c r="D152" s="84" t="n">
        <x:v>5</x:v>
      </x:c>
      <x:c r="E152" s="84" t="n">
        <x:v>7</x:v>
      </x:c>
      <x:c r="F152" s="84" t="n">
        <x:v>42240</x:v>
      </x:c>
      <x:c r="G152" s="84" t="n">
        <x:v>40521</x:v>
      </x:c>
      <x:c r="H152" s="84" t="n">
        <x:v>1719</x:v>
      </x:c>
      <x:c r="I152" s="84" t="n">
        <x:v>352</x:v>
      </x:c>
      <x:c r="J152" s="85" t="n">
        <x:v>333.9</x:v>
      </x:c>
    </x:row>
    <x:row r="153">
      <x:c r="A153" s="83" t="n">
        <x:v>152</x:v>
      </x:c>
      <x:c r="B153" s="89" t="n">
        <x:v>45292</x:v>
      </x:c>
      <x:c r="C153" s="84" t="n">
        <x:v>2</x:v>
      </x:c>
      <x:c r="D153" s="84" t="n">
        <x:v>5</x:v>
      </x:c>
      <x:c r="E153" s="84" t="n">
        <x:v>8</x:v>
      </x:c>
      <x:c r="F153" s="84" t="n">
        <x:v>42240</x:v>
      </x:c>
      <x:c r="G153" s="84" t="n">
        <x:v>41886</x:v>
      </x:c>
      <x:c r="H153" s="84" t="n">
        <x:v>354</x:v>
      </x:c>
      <x:c r="I153" s="84" t="n">
        <x:v>352</x:v>
      </x:c>
      <x:c r="J153" s="85" t="n">
        <x:v>337.9</x:v>
      </x:c>
    </x:row>
    <x:row r="154">
      <x:c r="A154" s="83" t="n">
        <x:v>153</x:v>
      </x:c>
      <x:c r="B154" s="89" t="n">
        <x:v>45292</x:v>
      </x:c>
      <x:c r="C154" s="84" t="n">
        <x:v>3</x:v>
      </x:c>
      <x:c r="D154" s="84" t="n">
        <x:v>7</x:v>
      </x:c>
      <x:c r="E154" s="84" t="n">
        <x:v>9</x:v>
      </x:c>
      <x:c r="F154" s="84" t="n">
        <x:v>28160</x:v>
      </x:c>
      <x:c r="G154" s="84" t="n">
        <x:v>27585</x:v>
      </x:c>
      <x:c r="H154" s="84" t="n">
        <x:v>575</x:v>
      </x:c>
      <x:c r="I154" s="84" t="n">
        <x:v>352</x:v>
      </x:c>
      <x:c r="J154" s="85" t="n">
        <x:v>336.3</x:v>
      </x:c>
    </x:row>
    <x:row r="155">
      <x:c r="A155" s="83" t="n">
        <x:v>154</x:v>
      </x:c>
      <x:c r="B155" s="89" t="n">
        <x:v>45292</x:v>
      </x:c>
      <x:c r="C155" s="84" t="n">
        <x:v>3</x:v>
      </x:c>
      <x:c r="D155" s="84" t="n">
        <x:v>7</x:v>
      </x:c>
      <x:c r="E155" s="84" t="n">
        <x:v>10</x:v>
      </x:c>
      <x:c r="F155" s="84" t="n">
        <x:v>28160</x:v>
      </x:c>
      <x:c r="G155" s="84" t="n">
        <x:v>27998</x:v>
      </x:c>
      <x:c r="H155" s="84" t="n">
        <x:v>162</x:v>
      </x:c>
      <x:c r="I155" s="84" t="n">
        <x:v>352</x:v>
      </x:c>
      <x:c r="J155" s="85" t="n">
        <x:v>345.6</x:v>
      </x:c>
    </x:row>
    <x:row r="156">
      <x:c r="A156" s="83" t="n">
        <x:v>155</x:v>
      </x:c>
      <x:c r="B156" s="89" t="n">
        <x:v>45292</x:v>
      </x:c>
      <x:c r="C156" s="84" t="n">
        <x:v>3</x:v>
      </x:c>
      <x:c r="D156" s="84" t="n">
        <x:v>8</x:v>
      </x:c>
      <x:c r="E156" s="84" t="n">
        <x:v>11</x:v>
      </x:c>
      <x:c r="F156" s="84" t="n">
        <x:v>52800</x:v>
      </x:c>
      <x:c r="G156" s="84" t="n">
        <x:v>51011</x:v>
      </x:c>
      <x:c r="H156" s="84" t="n">
        <x:v>1789</x:v>
      </x:c>
      <x:c r="I156" s="84" t="n">
        <x:v>352</x:v>
      </x:c>
      <x:c r="J156" s="85" t="n">
        <x:v>322.1</x:v>
      </x:c>
    </x:row>
    <x:row r="157">
      <x:c r="A157" s="83" t="n">
        <x:v>156</x:v>
      </x:c>
      <x:c r="B157" s="89" t="n">
        <x:v>45292</x:v>
      </x:c>
      <x:c r="C157" s="84" t="n">
        <x:v>3</x:v>
      </x:c>
      <x:c r="D157" s="84" t="n">
        <x:v>8</x:v>
      </x:c>
      <x:c r="E157" s="84" t="n">
        <x:v>12</x:v>
      </x:c>
      <x:c r="F157" s="84" t="n">
        <x:v>52800</x:v>
      </x:c>
      <x:c r="G157" s="84" t="n">
        <x:v>52489</x:v>
      </x:c>
      <x:c r="H157" s="84" t="n">
        <x:v>311</x:v>
      </x:c>
      <x:c r="I157" s="84" t="n">
        <x:v>352</x:v>
      </x:c>
      <x:c r="J157" s="85" t="n">
        <x:v>345.7</x:v>
      </x:c>
    </x:row>
    <x:row r="158">
      <x:c r="A158" s="83" t="n">
        <x:v>157</x:v>
      </x:c>
      <x:c r="B158" s="89" t="n">
        <x:v>45323</x:v>
      </x:c>
      <x:c r="C158" s="84" t="n">
        <x:v>1</x:v>
      </x:c>
      <x:c r="D158" s="84" t="n">
        <x:v>1</x:v>
      </x:c>
      <x:c r="E158" s="84" t="n">
        <x:v>1</x:v>
      </x:c>
      <x:c r="F158" s="84" t="n">
        <x:v>28160</x:v>
      </x:c>
      <x:c r="G158" s="84" t="n">
        <x:v>27782</x:v>
      </x:c>
      <x:c r="H158" s="84" t="n">
        <x:v>378</x:v>
      </x:c>
      <x:c r="I158" s="84" t="n">
        <x:v>352</x:v>
      </x:c>
      <x:c r="J158" s="85" t="n">
        <x:v>330</x:v>
      </x:c>
    </x:row>
    <x:row r="159">
      <x:c r="A159" s="83" t="n">
        <x:v>158</x:v>
      </x:c>
      <x:c r="B159" s="89" t="n">
        <x:v>45323</x:v>
      </x:c>
      <x:c r="C159" s="84" t="n">
        <x:v>1</x:v>
      </x:c>
      <x:c r="D159" s="84" t="n">
        <x:v>1</x:v>
      </x:c>
      <x:c r="E159" s="84" t="n">
        <x:v>2</x:v>
      </x:c>
      <x:c r="F159" s="84" t="n">
        <x:v>42240</x:v>
      </x:c>
      <x:c r="G159" s="84" t="n">
        <x:v>39318</x:v>
      </x:c>
      <x:c r="H159" s="84" t="n">
        <x:v>2922</x:v>
      </x:c>
      <x:c r="I159" s="84" t="n">
        <x:v>352</x:v>
      </x:c>
      <x:c r="J159" s="85" t="n">
        <x:v>327</x:v>
      </x:c>
    </x:row>
    <x:row r="160">
      <x:c r="A160" s="83" t="n">
        <x:v>159</x:v>
      </x:c>
      <x:c r="B160" s="89" t="n">
        <x:v>45323</x:v>
      </x:c>
      <x:c r="C160" s="84" t="n">
        <x:v>1</x:v>
      </x:c>
      <x:c r="D160" s="84" t="n">
        <x:v>2</x:v>
      </x:c>
      <x:c r="E160" s="84" t="n">
        <x:v>3</x:v>
      </x:c>
      <x:c r="F160" s="84" t="n">
        <x:v>35200</x:v>
      </x:c>
      <x:c r="G160" s="84" t="n">
        <x:v>35055</x:v>
      </x:c>
      <x:c r="H160" s="84" t="n">
        <x:v>145</x:v>
      </x:c>
      <x:c r="I160" s="84" t="n">
        <x:v>352</x:v>
      </x:c>
      <x:c r="J160" s="85" t="n">
        <x:v>334.2</x:v>
      </x:c>
    </x:row>
    <x:row r="161">
      <x:c r="A161" s="83" t="n">
        <x:v>160</x:v>
      </x:c>
      <x:c r="B161" s="89" t="n">
        <x:v>45323</x:v>
      </x:c>
      <x:c r="C161" s="84" t="n">
        <x:v>1</x:v>
      </x:c>
      <x:c r="D161" s="84" t="n">
        <x:v>2</x:v>
      </x:c>
      <x:c r="E161" s="84" t="n">
        <x:v>4</x:v>
      </x:c>
      <x:c r="F161" s="84" t="n">
        <x:v>28160</x:v>
      </x:c>
      <x:c r="G161" s="84" t="n">
        <x:v>26843</x:v>
      </x:c>
      <x:c r="H161" s="84" t="n">
        <x:v>1317</x:v>
      </x:c>
      <x:c r="I161" s="84" t="n">
        <x:v>352</x:v>
      </x:c>
      <x:c r="J161" s="85" t="n">
        <x:v>334.7</x:v>
      </x:c>
    </x:row>
    <x:row r="162">
      <x:c r="A162" s="83" t="n">
        <x:v>161</x:v>
      </x:c>
      <x:c r="B162" s="89" t="n">
        <x:v>45323</x:v>
      </x:c>
      <x:c r="C162" s="84" t="n">
        <x:v>2</x:v>
      </x:c>
      <x:c r="D162" s="84" t="n">
        <x:v>4</x:v>
      </x:c>
      <x:c r="E162" s="84" t="n">
        <x:v>5</x:v>
      </x:c>
      <x:c r="F162" s="84" t="n">
        <x:v>52800</x:v>
      </x:c>
      <x:c r="G162" s="84" t="n">
        <x:v>49231</x:v>
      </x:c>
      <x:c r="H162" s="84" t="n">
        <x:v>3569</x:v>
      </x:c>
      <x:c r="I162" s="84" t="n">
        <x:v>352</x:v>
      </x:c>
      <x:c r="J162" s="85" t="n">
        <x:v>322</x:v>
      </x:c>
    </x:row>
    <x:row r="163">
      <x:c r="A163" s="83" t="n">
        <x:v>162</x:v>
      </x:c>
      <x:c r="B163" s="89" t="n">
        <x:v>45323</x:v>
      </x:c>
      <x:c r="C163" s="84" t="n">
        <x:v>2</x:v>
      </x:c>
      <x:c r="D163" s="84" t="n">
        <x:v>4</x:v>
      </x:c>
      <x:c r="E163" s="84" t="n">
        <x:v>6</x:v>
      </x:c>
      <x:c r="F163" s="84" t="n">
        <x:v>35200</x:v>
      </x:c>
      <x:c r="G163" s="84" t="n">
        <x:v>32894</x:v>
      </x:c>
      <x:c r="H163" s="84" t="n">
        <x:v>2306</x:v>
      </x:c>
      <x:c r="I163" s="84" t="n">
        <x:v>352</x:v>
      </x:c>
      <x:c r="J163" s="85" t="n">
        <x:v>340.4</x:v>
      </x:c>
    </x:row>
    <x:row r="164">
      <x:c r="A164" s="83" t="n">
        <x:v>163</x:v>
      </x:c>
      <x:c r="B164" s="89" t="n">
        <x:v>45323</x:v>
      </x:c>
      <x:c r="C164" s="84" t="n">
        <x:v>2</x:v>
      </x:c>
      <x:c r="D164" s="84" t="n">
        <x:v>5</x:v>
      </x:c>
      <x:c r="E164" s="84" t="n">
        <x:v>7</x:v>
      </x:c>
      <x:c r="F164" s="84" t="n">
        <x:v>42240</x:v>
      </x:c>
      <x:c r="G164" s="84" t="n">
        <x:v>40257</x:v>
      </x:c>
      <x:c r="H164" s="84" t="n">
        <x:v>1983</x:v>
      </x:c>
      <x:c r="I164" s="84" t="n">
        <x:v>352</x:v>
      </x:c>
      <x:c r="J164" s="85" t="n">
        <x:v>344.6</x:v>
      </x:c>
    </x:row>
    <x:row r="165">
      <x:c r="A165" s="83" t="n">
        <x:v>164</x:v>
      </x:c>
      <x:c r="B165" s="89" t="n">
        <x:v>45323</x:v>
      </x:c>
      <x:c r="C165" s="84" t="n">
        <x:v>2</x:v>
      </x:c>
      <x:c r="D165" s="84" t="n">
        <x:v>5</x:v>
      </x:c>
      <x:c r="E165" s="84" t="n">
        <x:v>8</x:v>
      </x:c>
      <x:c r="F165" s="84" t="n">
        <x:v>42240</x:v>
      </x:c>
      <x:c r="G165" s="84" t="n">
        <x:v>40631</x:v>
      </x:c>
      <x:c r="H165" s="84" t="n">
        <x:v>1609</x:v>
      </x:c>
      <x:c r="I165" s="84" t="n">
        <x:v>352</x:v>
      </x:c>
      <x:c r="J165" s="85" t="n">
        <x:v>339.7</x:v>
      </x:c>
    </x:row>
    <x:row r="166">
      <x:c r="A166" s="83" t="n">
        <x:v>165</x:v>
      </x:c>
      <x:c r="B166" s="89" t="n">
        <x:v>45323</x:v>
      </x:c>
      <x:c r="C166" s="84" t="n">
        <x:v>3</x:v>
      </x:c>
      <x:c r="D166" s="84" t="n">
        <x:v>7</x:v>
      </x:c>
      <x:c r="E166" s="84" t="n">
        <x:v>9</x:v>
      </x:c>
      <x:c r="F166" s="84" t="n">
        <x:v>28160</x:v>
      </x:c>
      <x:c r="G166" s="84" t="n">
        <x:v>27999</x:v>
      </x:c>
      <x:c r="H166" s="84" t="n">
        <x:v>161</x:v>
      </x:c>
      <x:c r="I166" s="84" t="n">
        <x:v>352</x:v>
      </x:c>
      <x:c r="J166" s="85" t="n">
        <x:v>332</x:v>
      </x:c>
    </x:row>
    <x:row r="167">
      <x:c r="A167" s="83" t="n">
        <x:v>166</x:v>
      </x:c>
      <x:c r="B167" s="89" t="n">
        <x:v>45323</x:v>
      </x:c>
      <x:c r="C167" s="84" t="n">
        <x:v>3</x:v>
      </x:c>
      <x:c r="D167" s="84" t="n">
        <x:v>7</x:v>
      </x:c>
      <x:c r="E167" s="84" t="n">
        <x:v>10</x:v>
      </x:c>
      <x:c r="F167" s="84" t="n">
        <x:v>28160</x:v>
      </x:c>
      <x:c r="G167" s="84" t="n">
        <x:v>26739</x:v>
      </x:c>
      <x:c r="H167" s="84" t="n">
        <x:v>1421</x:v>
      </x:c>
      <x:c r="I167" s="84" t="n">
        <x:v>352</x:v>
      </x:c>
      <x:c r="J167" s="85" t="n">
        <x:v>319.2</x:v>
      </x:c>
    </x:row>
    <x:row r="168">
      <x:c r="A168" s="83" t="n">
        <x:v>167</x:v>
      </x:c>
      <x:c r="B168" s="89" t="n">
        <x:v>45323</x:v>
      </x:c>
      <x:c r="C168" s="84" t="n">
        <x:v>3</x:v>
      </x:c>
      <x:c r="D168" s="84" t="n">
        <x:v>8</x:v>
      </x:c>
      <x:c r="E168" s="84" t="n">
        <x:v>11</x:v>
      </x:c>
      <x:c r="F168" s="84" t="n">
        <x:v>52800</x:v>
      </x:c>
      <x:c r="G168" s="84" t="n">
        <x:v>50067</x:v>
      </x:c>
      <x:c r="H168" s="84" t="n">
        <x:v>2733</x:v>
      </x:c>
      <x:c r="I168" s="84" t="n">
        <x:v>352</x:v>
      </x:c>
      <x:c r="J168" s="85" t="n">
        <x:v>325.6</x:v>
      </x:c>
    </x:row>
    <x:row r="169">
      <x:c r="A169" s="83" t="n">
        <x:v>168</x:v>
      </x:c>
      <x:c r="B169" s="89" t="n">
        <x:v>45323</x:v>
      </x:c>
      <x:c r="C169" s="84" t="n">
        <x:v>3</x:v>
      </x:c>
      <x:c r="D169" s="84" t="n">
        <x:v>8</x:v>
      </x:c>
      <x:c r="E169" s="84" t="n">
        <x:v>12</x:v>
      </x:c>
      <x:c r="F169" s="84" t="n">
        <x:v>52800</x:v>
      </x:c>
      <x:c r="G169" s="84" t="n">
        <x:v>50619</x:v>
      </x:c>
      <x:c r="H169" s="84" t="n">
        <x:v>2181</x:v>
      </x:c>
      <x:c r="I169" s="84" t="n">
        <x:v>352</x:v>
      </x:c>
      <x:c r="J169" s="85" t="n">
        <x:v>331.7</x:v>
      </x:c>
    </x:row>
    <x:row r="170">
      <x:c r="A170" s="83" t="n">
        <x:v>169</x:v>
      </x:c>
      <x:c r="B170" s="89" t="n">
        <x:v>45352</x:v>
      </x:c>
      <x:c r="C170" s="84" t="n">
        <x:v>1</x:v>
      </x:c>
      <x:c r="D170" s="84" t="n">
        <x:v>1</x:v>
      </x:c>
      <x:c r="E170" s="84" t="n">
        <x:v>1</x:v>
      </x:c>
      <x:c r="F170" s="84" t="n">
        <x:v>28160</x:v>
      </x:c>
      <x:c r="G170" s="84" t="n">
        <x:v>27664</x:v>
      </x:c>
      <x:c r="H170" s="84" t="n">
        <x:v>496</x:v>
      </x:c>
      <x:c r="I170" s="84" t="n">
        <x:v>352</x:v>
      </x:c>
      <x:c r="J170" s="85" t="n">
        <x:v>331.1</x:v>
      </x:c>
    </x:row>
    <x:row r="171">
      <x:c r="A171" s="83" t="n">
        <x:v>170</x:v>
      </x:c>
      <x:c r="B171" s="89" t="n">
        <x:v>45352</x:v>
      </x:c>
      <x:c r="C171" s="84" t="n">
        <x:v>1</x:v>
      </x:c>
      <x:c r="D171" s="84" t="n">
        <x:v>1</x:v>
      </x:c>
      <x:c r="E171" s="84" t="n">
        <x:v>2</x:v>
      </x:c>
      <x:c r="F171" s="84" t="n">
        <x:v>42240</x:v>
      </x:c>
      <x:c r="G171" s="84" t="n">
        <x:v>41481</x:v>
      </x:c>
      <x:c r="H171" s="84" t="n">
        <x:v>759</x:v>
      </x:c>
      <x:c r="I171" s="84" t="n">
        <x:v>352</x:v>
      </x:c>
      <x:c r="J171" s="85" t="n">
        <x:v>344.7</x:v>
      </x:c>
    </x:row>
    <x:row r="172">
      <x:c r="A172" s="83" t="n">
        <x:v>171</x:v>
      </x:c>
      <x:c r="B172" s="89" t="n">
        <x:v>45352</x:v>
      </x:c>
      <x:c r="C172" s="84" t="n">
        <x:v>1</x:v>
      </x:c>
      <x:c r="D172" s="84" t="n">
        <x:v>2</x:v>
      </x:c>
      <x:c r="E172" s="84" t="n">
        <x:v>3</x:v>
      </x:c>
      <x:c r="F172" s="84" t="n">
        <x:v>35200</x:v>
      </x:c>
      <x:c r="G172" s="84" t="n">
        <x:v>33475</x:v>
      </x:c>
      <x:c r="H172" s="84" t="n">
        <x:v>1725</x:v>
      </x:c>
      <x:c r="I172" s="84" t="n">
        <x:v>352</x:v>
      </x:c>
      <x:c r="J172" s="85" t="n">
        <x:v>321.1</x:v>
      </x:c>
    </x:row>
    <x:row r="173">
      <x:c r="A173" s="83" t="n">
        <x:v>172</x:v>
      </x:c>
      <x:c r="B173" s="89" t="n">
        <x:v>45352</x:v>
      </x:c>
      <x:c r="C173" s="84" t="n">
        <x:v>1</x:v>
      </x:c>
      <x:c r="D173" s="84" t="n">
        <x:v>2</x:v>
      </x:c>
      <x:c r="E173" s="84" t="n">
        <x:v>4</x:v>
      </x:c>
      <x:c r="F173" s="84" t="n">
        <x:v>28160</x:v>
      </x:c>
      <x:c r="G173" s="84" t="n">
        <x:v>28139</x:v>
      </x:c>
      <x:c r="H173" s="84" t="n">
        <x:v>21</x:v>
      </x:c>
      <x:c r="I173" s="84" t="n">
        <x:v>352</x:v>
      </x:c>
      <x:c r="J173" s="85" t="n">
        <x:v>342.5</x:v>
      </x:c>
    </x:row>
    <x:row r="174">
      <x:c r="A174" s="83" t="n">
        <x:v>173</x:v>
      </x:c>
      <x:c r="B174" s="89" t="n">
        <x:v>45352</x:v>
      </x:c>
      <x:c r="C174" s="84" t="n">
        <x:v>2</x:v>
      </x:c>
      <x:c r="D174" s="84" t="n">
        <x:v>4</x:v>
      </x:c>
      <x:c r="E174" s="84" t="n">
        <x:v>5</x:v>
      </x:c>
      <x:c r="F174" s="84" t="n">
        <x:v>52800</x:v>
      </x:c>
      <x:c r="G174" s="84" t="n">
        <x:v>51706</x:v>
      </x:c>
      <x:c r="H174" s="84" t="n">
        <x:v>1094</x:v>
      </x:c>
      <x:c r="I174" s="84" t="n">
        <x:v>352</x:v>
      </x:c>
      <x:c r="J174" s="85" t="n">
        <x:v>327.1</x:v>
      </x:c>
    </x:row>
    <x:row r="175">
      <x:c r="A175" s="83" t="n">
        <x:v>174</x:v>
      </x:c>
      <x:c r="B175" s="89" t="n">
        <x:v>45352</x:v>
      </x:c>
      <x:c r="C175" s="84" t="n">
        <x:v>2</x:v>
      </x:c>
      <x:c r="D175" s="84" t="n">
        <x:v>4</x:v>
      </x:c>
      <x:c r="E175" s="84" t="n">
        <x:v>6</x:v>
      </x:c>
      <x:c r="F175" s="84" t="n">
        <x:v>35200</x:v>
      </x:c>
      <x:c r="G175" s="84" t="n">
        <x:v>33927</x:v>
      </x:c>
      <x:c r="H175" s="84" t="n">
        <x:v>1273</x:v>
      </x:c>
      <x:c r="I175" s="84" t="n">
        <x:v>352</x:v>
      </x:c>
      <x:c r="J175" s="85" t="n">
        <x:v>344.4</x:v>
      </x:c>
    </x:row>
    <x:row r="176">
      <x:c r="A176" s="83" t="n">
        <x:v>175</x:v>
      </x:c>
      <x:c r="B176" s="89" t="n">
        <x:v>45352</x:v>
      </x:c>
      <x:c r="C176" s="84" t="n">
        <x:v>2</x:v>
      </x:c>
      <x:c r="D176" s="84" t="n">
        <x:v>5</x:v>
      </x:c>
      <x:c r="E176" s="84" t="n">
        <x:v>7</x:v>
      </x:c>
      <x:c r="F176" s="84" t="n">
        <x:v>42240</x:v>
      </x:c>
      <x:c r="G176" s="84" t="n">
        <x:v>40340</x:v>
      </x:c>
      <x:c r="H176" s="84" t="n">
        <x:v>1900</x:v>
      </x:c>
      <x:c r="I176" s="84" t="n">
        <x:v>352</x:v>
      </x:c>
      <x:c r="J176" s="85" t="n">
        <x:v>318.3</x:v>
      </x:c>
    </x:row>
    <x:row r="177">
      <x:c r="A177" s="83" t="n">
        <x:v>176</x:v>
      </x:c>
      <x:c r="B177" s="89" t="n">
        <x:v>45352</x:v>
      </x:c>
      <x:c r="C177" s="84" t="n">
        <x:v>2</x:v>
      </x:c>
      <x:c r="D177" s="84" t="n">
        <x:v>5</x:v>
      </x:c>
      <x:c r="E177" s="84" t="n">
        <x:v>8</x:v>
      </x:c>
      <x:c r="F177" s="84" t="n">
        <x:v>42240</x:v>
      </x:c>
      <x:c r="G177" s="84" t="n">
        <x:v>41391</x:v>
      </x:c>
      <x:c r="H177" s="84" t="n">
        <x:v>849</x:v>
      </x:c>
      <x:c r="I177" s="84" t="n">
        <x:v>352</x:v>
      </x:c>
      <x:c r="J177" s="85" t="n">
        <x:v>337.5</x:v>
      </x:c>
    </x:row>
    <x:row r="178">
      <x:c r="A178" s="83" t="n">
        <x:v>177</x:v>
      </x:c>
      <x:c r="B178" s="89" t="n">
        <x:v>45352</x:v>
      </x:c>
      <x:c r="C178" s="84" t="n">
        <x:v>3</x:v>
      </x:c>
      <x:c r="D178" s="84" t="n">
        <x:v>7</x:v>
      </x:c>
      <x:c r="E178" s="84" t="n">
        <x:v>9</x:v>
      </x:c>
      <x:c r="F178" s="84" t="n">
        <x:v>28160</x:v>
      </x:c>
      <x:c r="G178" s="84" t="n">
        <x:v>26899</x:v>
      </x:c>
      <x:c r="H178" s="84" t="n">
        <x:v>1261</x:v>
      </x:c>
      <x:c r="I178" s="84" t="n">
        <x:v>352</x:v>
      </x:c>
      <x:c r="J178" s="85" t="n">
        <x:v>318</x:v>
      </x:c>
    </x:row>
    <x:row r="179">
      <x:c r="A179" s="83" t="n">
        <x:v>178</x:v>
      </x:c>
      <x:c r="B179" s="89" t="n">
        <x:v>45352</x:v>
      </x:c>
      <x:c r="C179" s="84" t="n">
        <x:v>3</x:v>
      </x:c>
      <x:c r="D179" s="84" t="n">
        <x:v>7</x:v>
      </x:c>
      <x:c r="E179" s="84" t="n">
        <x:v>10</x:v>
      </x:c>
      <x:c r="F179" s="84" t="n">
        <x:v>28160</x:v>
      </x:c>
      <x:c r="G179" s="84" t="n">
        <x:v>26253</x:v>
      </x:c>
      <x:c r="H179" s="84" t="n">
        <x:v>1907</x:v>
      </x:c>
      <x:c r="I179" s="84" t="n">
        <x:v>352</x:v>
      </x:c>
      <x:c r="J179" s="85" t="n">
        <x:v>333.9</x:v>
      </x:c>
    </x:row>
    <x:row r="180">
      <x:c r="A180" s="83" t="n">
        <x:v>179</x:v>
      </x:c>
      <x:c r="B180" s="89" t="n">
        <x:v>45352</x:v>
      </x:c>
      <x:c r="C180" s="84" t="n">
        <x:v>3</x:v>
      </x:c>
      <x:c r="D180" s="84" t="n">
        <x:v>8</x:v>
      </x:c>
      <x:c r="E180" s="84" t="n">
        <x:v>11</x:v>
      </x:c>
      <x:c r="F180" s="84" t="n">
        <x:v>52800</x:v>
      </x:c>
      <x:c r="G180" s="84" t="n">
        <x:v>49040</x:v>
      </x:c>
      <x:c r="H180" s="84" t="n">
        <x:v>3760</x:v>
      </x:c>
      <x:c r="I180" s="84" t="n">
        <x:v>352</x:v>
      </x:c>
      <x:c r="J180" s="85" t="n">
        <x:v>340.9</x:v>
      </x:c>
    </x:row>
    <x:row r="181">
      <x:c r="A181" s="83" t="n">
        <x:v>180</x:v>
      </x:c>
      <x:c r="B181" s="89" t="n">
        <x:v>45352</x:v>
      </x:c>
      <x:c r="C181" s="84" t="n">
        <x:v>3</x:v>
      </x:c>
      <x:c r="D181" s="84" t="n">
        <x:v>8</x:v>
      </x:c>
      <x:c r="E181" s="84" t="n">
        <x:v>12</x:v>
      </x:c>
      <x:c r="F181" s="84" t="n">
        <x:v>52800</x:v>
      </x:c>
      <x:c r="G181" s="84" t="n">
        <x:v>50648</x:v>
      </x:c>
      <x:c r="H181" s="84" t="n">
        <x:v>2152</x:v>
      </x:c>
      <x:c r="I181" s="84" t="n">
        <x:v>352</x:v>
      </x:c>
      <x:c r="J181" s="85" t="n">
        <x:v>335.6</x:v>
      </x:c>
    </x:row>
    <x:row r="182">
      <x:c r="A182" s="83" t="n">
        <x:v>181</x:v>
      </x:c>
      <x:c r="B182" s="89" t="n">
        <x:v>45383</x:v>
      </x:c>
      <x:c r="C182" s="84" t="n">
        <x:v>1</x:v>
      </x:c>
      <x:c r="D182" s="84" t="n">
        <x:v>1</x:v>
      </x:c>
      <x:c r="E182" s="84" t="n">
        <x:v>1</x:v>
      </x:c>
      <x:c r="F182" s="84" t="n">
        <x:v>28160</x:v>
      </x:c>
      <x:c r="G182" s="84" t="n">
        <x:v>25920</x:v>
      </x:c>
      <x:c r="H182" s="84" t="n">
        <x:v>2240</x:v>
      </x:c>
      <x:c r="I182" s="84" t="n">
        <x:v>352</x:v>
      </x:c>
      <x:c r="J182" s="85" t="n">
        <x:v>325.5</x:v>
      </x:c>
    </x:row>
    <x:row r="183">
      <x:c r="A183" s="83" t="n">
        <x:v>182</x:v>
      </x:c>
      <x:c r="B183" s="89" t="n">
        <x:v>45383</x:v>
      </x:c>
      <x:c r="C183" s="84" t="n">
        <x:v>1</x:v>
      </x:c>
      <x:c r="D183" s="84" t="n">
        <x:v>1</x:v>
      </x:c>
      <x:c r="E183" s="84" t="n">
        <x:v>2</x:v>
      </x:c>
      <x:c r="F183" s="84" t="n">
        <x:v>42240</x:v>
      </x:c>
      <x:c r="G183" s="84" t="n">
        <x:v>39207</x:v>
      </x:c>
      <x:c r="H183" s="84" t="n">
        <x:v>3033</x:v>
      </x:c>
      <x:c r="I183" s="84" t="n">
        <x:v>352</x:v>
      </x:c>
      <x:c r="J183" s="85" t="n">
        <x:v>347.6</x:v>
      </x:c>
    </x:row>
    <x:row r="184">
      <x:c r="A184" s="83" t="n">
        <x:v>183</x:v>
      </x:c>
      <x:c r="B184" s="89" t="n">
        <x:v>45383</x:v>
      </x:c>
      <x:c r="C184" s="84" t="n">
        <x:v>1</x:v>
      </x:c>
      <x:c r="D184" s="84" t="n">
        <x:v>2</x:v>
      </x:c>
      <x:c r="E184" s="84" t="n">
        <x:v>3</x:v>
      </x:c>
      <x:c r="F184" s="84" t="n">
        <x:v>35200</x:v>
      </x:c>
      <x:c r="G184" s="84" t="n">
        <x:v>33616</x:v>
      </x:c>
      <x:c r="H184" s="84" t="n">
        <x:v>1584</x:v>
      </x:c>
      <x:c r="I184" s="84" t="n">
        <x:v>352</x:v>
      </x:c>
      <x:c r="J184" s="85" t="n">
        <x:v>327.4</x:v>
      </x:c>
    </x:row>
    <x:row r="185">
      <x:c r="A185" s="83" t="n">
        <x:v>184</x:v>
      </x:c>
      <x:c r="B185" s="89" t="n">
        <x:v>45383</x:v>
      </x:c>
      <x:c r="C185" s="84" t="n">
        <x:v>1</x:v>
      </x:c>
      <x:c r="D185" s="84" t="n">
        <x:v>2</x:v>
      </x:c>
      <x:c r="E185" s="84" t="n">
        <x:v>4</x:v>
      </x:c>
      <x:c r="F185" s="84" t="n">
        <x:v>28160</x:v>
      </x:c>
      <x:c r="G185" s="84" t="n">
        <x:v>27563</x:v>
      </x:c>
      <x:c r="H185" s="84" t="n">
        <x:v>597</x:v>
      </x:c>
      <x:c r="I185" s="84" t="n">
        <x:v>352</x:v>
      </x:c>
      <x:c r="J185" s="85" t="n">
        <x:v>333.4</x:v>
      </x:c>
    </x:row>
    <x:row r="186">
      <x:c r="A186" s="83" t="n">
        <x:v>185</x:v>
      </x:c>
      <x:c r="B186" s="89" t="n">
        <x:v>45383</x:v>
      </x:c>
      <x:c r="C186" s="84" t="n">
        <x:v>2</x:v>
      </x:c>
      <x:c r="D186" s="84" t="n">
        <x:v>4</x:v>
      </x:c>
      <x:c r="E186" s="84" t="n">
        <x:v>5</x:v>
      </x:c>
      <x:c r="F186" s="84" t="n">
        <x:v>52800</x:v>
      </x:c>
      <x:c r="G186" s="84" t="n">
        <x:v>52169</x:v>
      </x:c>
      <x:c r="H186" s="84" t="n">
        <x:v>631</x:v>
      </x:c>
      <x:c r="I186" s="84" t="n">
        <x:v>352</x:v>
      </x:c>
      <x:c r="J186" s="85" t="n">
        <x:v>348.9</x:v>
      </x:c>
    </x:row>
    <x:row r="187">
      <x:c r="A187" s="83" t="n">
        <x:v>186</x:v>
      </x:c>
      <x:c r="B187" s="89" t="n">
        <x:v>45383</x:v>
      </x:c>
      <x:c r="C187" s="84" t="n">
        <x:v>2</x:v>
      </x:c>
      <x:c r="D187" s="84" t="n">
        <x:v>4</x:v>
      </x:c>
      <x:c r="E187" s="84" t="n">
        <x:v>6</x:v>
      </x:c>
      <x:c r="F187" s="84" t="n">
        <x:v>35200</x:v>
      </x:c>
      <x:c r="G187" s="84" t="n">
        <x:v>34399</x:v>
      </x:c>
      <x:c r="H187" s="84" t="n">
        <x:v>801</x:v>
      </x:c>
      <x:c r="I187" s="84" t="n">
        <x:v>352</x:v>
      </x:c>
      <x:c r="J187" s="85" t="n">
        <x:v>330.5</x:v>
      </x:c>
    </x:row>
    <x:row r="188">
      <x:c r="A188" s="83" t="n">
        <x:v>187</x:v>
      </x:c>
      <x:c r="B188" s="89" t="n">
        <x:v>45383</x:v>
      </x:c>
      <x:c r="C188" s="84" t="n">
        <x:v>2</x:v>
      </x:c>
      <x:c r="D188" s="84" t="n">
        <x:v>5</x:v>
      </x:c>
      <x:c r="E188" s="84" t="n">
        <x:v>7</x:v>
      </x:c>
      <x:c r="F188" s="84" t="n">
        <x:v>42240</x:v>
      </x:c>
      <x:c r="G188" s="84" t="n">
        <x:v>41807</x:v>
      </x:c>
      <x:c r="H188" s="84" t="n">
        <x:v>433</x:v>
      </x:c>
      <x:c r="I188" s="84" t="n">
        <x:v>352</x:v>
      </x:c>
      <x:c r="J188" s="85" t="n">
        <x:v>337.1</x:v>
      </x:c>
    </x:row>
    <x:row r="189">
      <x:c r="A189" s="83" t="n">
        <x:v>188</x:v>
      </x:c>
      <x:c r="B189" s="89" t="n">
        <x:v>45383</x:v>
      </x:c>
      <x:c r="C189" s="84" t="n">
        <x:v>2</x:v>
      </x:c>
      <x:c r="D189" s="84" t="n">
        <x:v>5</x:v>
      </x:c>
      <x:c r="E189" s="84" t="n">
        <x:v>8</x:v>
      </x:c>
      <x:c r="F189" s="84" t="n">
        <x:v>42240</x:v>
      </x:c>
      <x:c r="G189" s="84" t="n">
        <x:v>39512</x:v>
      </x:c>
      <x:c r="H189" s="84" t="n">
        <x:v>2728</x:v>
      </x:c>
      <x:c r="I189" s="84" t="n">
        <x:v>352</x:v>
      </x:c>
      <x:c r="J189" s="85" t="n">
        <x:v>327.6</x:v>
      </x:c>
    </x:row>
    <x:row r="190">
      <x:c r="A190" s="83" t="n">
        <x:v>189</x:v>
      </x:c>
      <x:c r="B190" s="89" t="n">
        <x:v>45383</x:v>
      </x:c>
      <x:c r="C190" s="84" t="n">
        <x:v>3</x:v>
      </x:c>
      <x:c r="D190" s="84" t="n">
        <x:v>7</x:v>
      </x:c>
      <x:c r="E190" s="84" t="n">
        <x:v>9</x:v>
      </x:c>
      <x:c r="F190" s="84" t="n">
        <x:v>28160</x:v>
      </x:c>
      <x:c r="G190" s="84" t="n">
        <x:v>26713</x:v>
      </x:c>
      <x:c r="H190" s="84" t="n">
        <x:v>1447</x:v>
      </x:c>
      <x:c r="I190" s="84" t="n">
        <x:v>352</x:v>
      </x:c>
      <x:c r="J190" s="85" t="n">
        <x:v>339.5</x:v>
      </x:c>
    </x:row>
    <x:row r="191">
      <x:c r="A191" s="83" t="n">
        <x:v>190</x:v>
      </x:c>
      <x:c r="B191" s="89" t="n">
        <x:v>45383</x:v>
      </x:c>
      <x:c r="C191" s="84" t="n">
        <x:v>3</x:v>
      </x:c>
      <x:c r="D191" s="84" t="n">
        <x:v>7</x:v>
      </x:c>
      <x:c r="E191" s="84" t="n">
        <x:v>10</x:v>
      </x:c>
      <x:c r="F191" s="84" t="n">
        <x:v>28160</x:v>
      </x:c>
      <x:c r="G191" s="84" t="n">
        <x:v>27508</x:v>
      </x:c>
      <x:c r="H191" s="84" t="n">
        <x:v>652</x:v>
      </x:c>
      <x:c r="I191" s="84" t="n">
        <x:v>352</x:v>
      </x:c>
      <x:c r="J191" s="85" t="n">
        <x:v>336.2</x:v>
      </x:c>
    </x:row>
    <x:row r="192">
      <x:c r="A192" s="83" t="n">
        <x:v>191</x:v>
      </x:c>
      <x:c r="B192" s="89" t="n">
        <x:v>45383</x:v>
      </x:c>
      <x:c r="C192" s="84" t="n">
        <x:v>3</x:v>
      </x:c>
      <x:c r="D192" s="84" t="n">
        <x:v>8</x:v>
      </x:c>
      <x:c r="E192" s="84" t="n">
        <x:v>11</x:v>
      </x:c>
      <x:c r="F192" s="84" t="n">
        <x:v>52800</x:v>
      </x:c>
      <x:c r="G192" s="84" t="n">
        <x:v>52462</x:v>
      </x:c>
      <x:c r="H192" s="84" t="n">
        <x:v>338</x:v>
      </x:c>
      <x:c r="I192" s="84" t="n">
        <x:v>352</x:v>
      </x:c>
      <x:c r="J192" s="85" t="n">
        <x:v>324.9</x:v>
      </x:c>
    </x:row>
    <x:row r="193">
      <x:c r="A193" s="83" t="n">
        <x:v>192</x:v>
      </x:c>
      <x:c r="B193" s="89" t="n">
        <x:v>45383</x:v>
      </x:c>
      <x:c r="C193" s="84" t="n">
        <x:v>3</x:v>
      </x:c>
      <x:c r="D193" s="84" t="n">
        <x:v>8</x:v>
      </x:c>
      <x:c r="E193" s="84" t="n">
        <x:v>12</x:v>
      </x:c>
      <x:c r="F193" s="84" t="n">
        <x:v>52800</x:v>
      </x:c>
      <x:c r="G193" s="84" t="n">
        <x:v>51072</x:v>
      </x:c>
      <x:c r="H193" s="84" t="n">
        <x:v>1728</x:v>
      </x:c>
      <x:c r="I193" s="84" t="n">
        <x:v>352</x:v>
      </x:c>
      <x:c r="J193" s="85" t="n">
        <x:v>347.5</x:v>
      </x:c>
    </x:row>
    <x:row r="194">
      <x:c r="A194" s="83" t="n">
        <x:v>193</x:v>
      </x:c>
      <x:c r="B194" s="89" t="n">
        <x:v>45413</x:v>
      </x:c>
      <x:c r="C194" s="84" t="n">
        <x:v>1</x:v>
      </x:c>
      <x:c r="D194" s="84" t="n">
        <x:v>1</x:v>
      </x:c>
      <x:c r="E194" s="84" t="n">
        <x:v>1</x:v>
      </x:c>
      <x:c r="F194" s="84" t="n">
        <x:v>28160</x:v>
      </x:c>
      <x:c r="G194" s="84" t="n">
        <x:v>26359</x:v>
      </x:c>
      <x:c r="H194" s="84" t="n">
        <x:v>1801</x:v>
      </x:c>
      <x:c r="I194" s="84" t="n">
        <x:v>352</x:v>
      </x:c>
      <x:c r="J194" s="85" t="n">
        <x:v>344.2</x:v>
      </x:c>
    </x:row>
    <x:row r="195">
      <x:c r="A195" s="83" t="n">
        <x:v>194</x:v>
      </x:c>
      <x:c r="B195" s="89" t="n">
        <x:v>45413</x:v>
      </x:c>
      <x:c r="C195" s="84" t="n">
        <x:v>1</x:v>
      </x:c>
      <x:c r="D195" s="84" t="n">
        <x:v>1</x:v>
      </x:c>
      <x:c r="E195" s="84" t="n">
        <x:v>2</x:v>
      </x:c>
      <x:c r="F195" s="84" t="n">
        <x:v>42240</x:v>
      </x:c>
      <x:c r="G195" s="84" t="n">
        <x:v>41963</x:v>
      </x:c>
      <x:c r="H195" s="84" t="n">
        <x:v>277</x:v>
      </x:c>
      <x:c r="I195" s="84" t="n">
        <x:v>352</x:v>
      </x:c>
      <x:c r="J195" s="85" t="n">
        <x:v>321.3</x:v>
      </x:c>
    </x:row>
    <x:row r="196">
      <x:c r="A196" s="83" t="n">
        <x:v>195</x:v>
      </x:c>
      <x:c r="B196" s="89" t="n">
        <x:v>45413</x:v>
      </x:c>
      <x:c r="C196" s="84" t="n">
        <x:v>1</x:v>
      </x:c>
      <x:c r="D196" s="84" t="n">
        <x:v>2</x:v>
      </x:c>
      <x:c r="E196" s="84" t="n">
        <x:v>3</x:v>
      </x:c>
      <x:c r="F196" s="84" t="n">
        <x:v>35200</x:v>
      </x:c>
      <x:c r="G196" s="84" t="n">
        <x:v>33566</x:v>
      </x:c>
      <x:c r="H196" s="84" t="n">
        <x:v>1634</x:v>
      </x:c>
      <x:c r="I196" s="84" t="n">
        <x:v>352</x:v>
      </x:c>
      <x:c r="J196" s="85" t="n">
        <x:v>330.5</x:v>
      </x:c>
    </x:row>
    <x:row r="197">
      <x:c r="A197" s="83" t="n">
        <x:v>196</x:v>
      </x:c>
      <x:c r="B197" s="89" t="n">
        <x:v>45413</x:v>
      </x:c>
      <x:c r="C197" s="84" t="n">
        <x:v>1</x:v>
      </x:c>
      <x:c r="D197" s="84" t="n">
        <x:v>2</x:v>
      </x:c>
      <x:c r="E197" s="84" t="n">
        <x:v>4</x:v>
      </x:c>
      <x:c r="F197" s="84" t="n">
        <x:v>28160</x:v>
      </x:c>
      <x:c r="G197" s="84" t="n">
        <x:v>27358</x:v>
      </x:c>
      <x:c r="H197" s="84" t="n">
        <x:v>802</x:v>
      </x:c>
      <x:c r="I197" s="84" t="n">
        <x:v>352</x:v>
      </x:c>
      <x:c r="J197" s="85" t="n">
        <x:v>348.6</x:v>
      </x:c>
    </x:row>
    <x:row r="198">
      <x:c r="A198" s="83" t="n">
        <x:v>197</x:v>
      </x:c>
      <x:c r="B198" s="89" t="n">
        <x:v>45413</x:v>
      </x:c>
      <x:c r="C198" s="84" t="n">
        <x:v>2</x:v>
      </x:c>
      <x:c r="D198" s="84" t="n">
        <x:v>4</x:v>
      </x:c>
      <x:c r="E198" s="84" t="n">
        <x:v>5</x:v>
      </x:c>
      <x:c r="F198" s="84" t="n">
        <x:v>52800</x:v>
      </x:c>
      <x:c r="G198" s="84" t="n">
        <x:v>52314</x:v>
      </x:c>
      <x:c r="H198" s="84" t="n">
        <x:v>486</x:v>
      </x:c>
      <x:c r="I198" s="84" t="n">
        <x:v>352</x:v>
      </x:c>
      <x:c r="J198" s="85" t="n">
        <x:v>348.2</x:v>
      </x:c>
    </x:row>
    <x:row r="199">
      <x:c r="A199" s="83" t="n">
        <x:v>198</x:v>
      </x:c>
      <x:c r="B199" s="89" t="n">
        <x:v>45413</x:v>
      </x:c>
      <x:c r="C199" s="84" t="n">
        <x:v>2</x:v>
      </x:c>
      <x:c r="D199" s="84" t="n">
        <x:v>4</x:v>
      </x:c>
      <x:c r="E199" s="84" t="n">
        <x:v>6</x:v>
      </x:c>
      <x:c r="F199" s="84" t="n">
        <x:v>35200</x:v>
      </x:c>
      <x:c r="G199" s="84" t="n">
        <x:v>33146</x:v>
      </x:c>
      <x:c r="H199" s="84" t="n">
        <x:v>2054</x:v>
      </x:c>
      <x:c r="I199" s="84" t="n">
        <x:v>352</x:v>
      </x:c>
      <x:c r="J199" s="85" t="n">
        <x:v>331.9</x:v>
      </x:c>
    </x:row>
    <x:row r="200">
      <x:c r="A200" s="83" t="n">
        <x:v>199</x:v>
      </x:c>
      <x:c r="B200" s="89" t="n">
        <x:v>45413</x:v>
      </x:c>
      <x:c r="C200" s="84" t="n">
        <x:v>2</x:v>
      </x:c>
      <x:c r="D200" s="84" t="n">
        <x:v>5</x:v>
      </x:c>
      <x:c r="E200" s="84" t="n">
        <x:v>7</x:v>
      </x:c>
      <x:c r="F200" s="84" t="n">
        <x:v>42240</x:v>
      </x:c>
      <x:c r="G200" s="84" t="n">
        <x:v>41309</x:v>
      </x:c>
      <x:c r="H200" s="84" t="n">
        <x:v>931</x:v>
      </x:c>
      <x:c r="I200" s="84" t="n">
        <x:v>352</x:v>
      </x:c>
      <x:c r="J200" s="85" t="n">
        <x:v>335.1</x:v>
      </x:c>
    </x:row>
    <x:row r="201">
      <x:c r="A201" s="83" t="n">
        <x:v>200</x:v>
      </x:c>
      <x:c r="B201" s="89" t="n">
        <x:v>45413</x:v>
      </x:c>
      <x:c r="C201" s="84" t="n">
        <x:v>2</x:v>
      </x:c>
      <x:c r="D201" s="84" t="n">
        <x:v>5</x:v>
      </x:c>
      <x:c r="E201" s="84" t="n">
        <x:v>8</x:v>
      </x:c>
      <x:c r="F201" s="84" t="n">
        <x:v>42240</x:v>
      </x:c>
      <x:c r="G201" s="84" t="n">
        <x:v>41865</x:v>
      </x:c>
      <x:c r="H201" s="84" t="n">
        <x:v>375</x:v>
      </x:c>
      <x:c r="I201" s="84" t="n">
        <x:v>352</x:v>
      </x:c>
      <x:c r="J201" s="85" t="n">
        <x:v>344</x:v>
      </x:c>
    </x:row>
    <x:row r="202">
      <x:c r="A202" s="83" t="n">
        <x:v>201</x:v>
      </x:c>
      <x:c r="B202" s="89" t="n">
        <x:v>45413</x:v>
      </x:c>
      <x:c r="C202" s="84" t="n">
        <x:v>3</x:v>
      </x:c>
      <x:c r="D202" s="84" t="n">
        <x:v>7</x:v>
      </x:c>
      <x:c r="E202" s="84" t="n">
        <x:v>9</x:v>
      </x:c>
      <x:c r="F202" s="84" t="n">
        <x:v>28160</x:v>
      </x:c>
      <x:c r="G202" s="84" t="n">
        <x:v>26194</x:v>
      </x:c>
      <x:c r="H202" s="84" t="n">
        <x:v>1966</x:v>
      </x:c>
      <x:c r="I202" s="84" t="n">
        <x:v>352</x:v>
      </x:c>
      <x:c r="J202" s="85" t="n">
        <x:v>344.7</x:v>
      </x:c>
    </x:row>
    <x:row r="203">
      <x:c r="A203" s="83" t="n">
        <x:v>202</x:v>
      </x:c>
      <x:c r="B203" s="89" t="n">
        <x:v>45413</x:v>
      </x:c>
      <x:c r="C203" s="84" t="n">
        <x:v>3</x:v>
      </x:c>
      <x:c r="D203" s="84" t="n">
        <x:v>7</x:v>
      </x:c>
      <x:c r="E203" s="84" t="n">
        <x:v>10</x:v>
      </x:c>
      <x:c r="F203" s="84" t="n">
        <x:v>28160</x:v>
      </x:c>
      <x:c r="G203" s="84" t="n">
        <x:v>26298</x:v>
      </x:c>
      <x:c r="H203" s="84" t="n">
        <x:v>1862</x:v>
      </x:c>
      <x:c r="I203" s="84" t="n">
        <x:v>352</x:v>
      </x:c>
      <x:c r="J203" s="85" t="n">
        <x:v>326.1</x:v>
      </x:c>
    </x:row>
    <x:row r="204">
      <x:c r="A204" s="83" t="n">
        <x:v>203</x:v>
      </x:c>
      <x:c r="B204" s="89" t="n">
        <x:v>45413</x:v>
      </x:c>
      <x:c r="C204" s="84" t="n">
        <x:v>3</x:v>
      </x:c>
      <x:c r="D204" s="84" t="n">
        <x:v>8</x:v>
      </x:c>
      <x:c r="E204" s="84" t="n">
        <x:v>11</x:v>
      </x:c>
      <x:c r="F204" s="84" t="n">
        <x:v>52800</x:v>
      </x:c>
      <x:c r="G204" s="84" t="n">
        <x:v>49889</x:v>
      </x:c>
      <x:c r="H204" s="84" t="n">
        <x:v>2911</x:v>
      </x:c>
      <x:c r="I204" s="84" t="n">
        <x:v>352</x:v>
      </x:c>
      <x:c r="J204" s="85" t="n">
        <x:v>319.8</x:v>
      </x:c>
    </x:row>
    <x:row r="205">
      <x:c r="A205" s="83" t="n">
        <x:v>204</x:v>
      </x:c>
      <x:c r="B205" s="89" t="n">
        <x:v>45413</x:v>
      </x:c>
      <x:c r="C205" s="84" t="n">
        <x:v>3</x:v>
      </x:c>
      <x:c r="D205" s="84" t="n">
        <x:v>8</x:v>
      </x:c>
      <x:c r="E205" s="84" t="n">
        <x:v>12</x:v>
      </x:c>
      <x:c r="F205" s="84" t="n">
        <x:v>52800</x:v>
      </x:c>
      <x:c r="G205" s="84" t="n">
        <x:v>50595</x:v>
      </x:c>
      <x:c r="H205" s="84" t="n">
        <x:v>2205</x:v>
      </x:c>
      <x:c r="I205" s="84" t="n">
        <x:v>352</x:v>
      </x:c>
      <x:c r="J205" s="85" t="n">
        <x:v>346.6</x:v>
      </x:c>
    </x:row>
    <x:row r="206">
      <x:c r="A206" s="83" t="n">
        <x:v>205</x:v>
      </x:c>
      <x:c r="B206" s="89" t="n">
        <x:v>45444</x:v>
      </x:c>
      <x:c r="C206" s="84" t="n">
        <x:v>1</x:v>
      </x:c>
      <x:c r="D206" s="84" t="n">
        <x:v>1</x:v>
      </x:c>
      <x:c r="E206" s="84" t="n">
        <x:v>1</x:v>
      </x:c>
      <x:c r="F206" s="84" t="n">
        <x:v>28160</x:v>
      </x:c>
      <x:c r="G206" s="84" t="n">
        <x:v>27462</x:v>
      </x:c>
      <x:c r="H206" s="84" t="n">
        <x:v>698</x:v>
      </x:c>
      <x:c r="I206" s="84" t="n">
        <x:v>352</x:v>
      </x:c>
      <x:c r="J206" s="85" t="n">
        <x:v>324.3</x:v>
      </x:c>
    </x:row>
    <x:row r="207">
      <x:c r="A207" s="83" t="n">
        <x:v>206</x:v>
      </x:c>
      <x:c r="B207" s="89" t="n">
        <x:v>45444</x:v>
      </x:c>
      <x:c r="C207" s="84" t="n">
        <x:v>1</x:v>
      </x:c>
      <x:c r="D207" s="84" t="n">
        <x:v>1</x:v>
      </x:c>
      <x:c r="E207" s="84" t="n">
        <x:v>2</x:v>
      </x:c>
      <x:c r="F207" s="84" t="n">
        <x:v>42240</x:v>
      </x:c>
      <x:c r="G207" s="84" t="n">
        <x:v>40853</x:v>
      </x:c>
      <x:c r="H207" s="84" t="n">
        <x:v>1387</x:v>
      </x:c>
      <x:c r="I207" s="84" t="n">
        <x:v>352</x:v>
      </x:c>
      <x:c r="J207" s="85" t="n">
        <x:v>339.1</x:v>
      </x:c>
    </x:row>
    <x:row r="208">
      <x:c r="A208" s="83" t="n">
        <x:v>207</x:v>
      </x:c>
      <x:c r="B208" s="89" t="n">
        <x:v>45444</x:v>
      </x:c>
      <x:c r="C208" s="84" t="n">
        <x:v>1</x:v>
      </x:c>
      <x:c r="D208" s="84" t="n">
        <x:v>2</x:v>
      </x:c>
      <x:c r="E208" s="84" t="n">
        <x:v>3</x:v>
      </x:c>
      <x:c r="F208" s="84" t="n">
        <x:v>35200</x:v>
      </x:c>
      <x:c r="G208" s="84" t="n">
        <x:v>34841</x:v>
      </x:c>
      <x:c r="H208" s="84" t="n">
        <x:v>359</x:v>
      </x:c>
      <x:c r="I208" s="84" t="n">
        <x:v>352</x:v>
      </x:c>
      <x:c r="J208" s="85" t="n">
        <x:v>319.6</x:v>
      </x:c>
    </x:row>
    <x:row r="209">
      <x:c r="A209" s="83" t="n">
        <x:v>208</x:v>
      </x:c>
      <x:c r="B209" s="89" t="n">
        <x:v>45444</x:v>
      </x:c>
      <x:c r="C209" s="84" t="n">
        <x:v>1</x:v>
      </x:c>
      <x:c r="D209" s="84" t="n">
        <x:v>2</x:v>
      </x:c>
      <x:c r="E209" s="84" t="n">
        <x:v>4</x:v>
      </x:c>
      <x:c r="F209" s="84" t="n">
        <x:v>28160</x:v>
      </x:c>
      <x:c r="G209" s="84" t="n">
        <x:v>27855</x:v>
      </x:c>
      <x:c r="H209" s="84" t="n">
        <x:v>305</x:v>
      </x:c>
      <x:c r="I209" s="84" t="n">
        <x:v>352</x:v>
      </x:c>
      <x:c r="J209" s="85" t="n">
        <x:v>331.8</x:v>
      </x:c>
    </x:row>
    <x:row r="210">
      <x:c r="A210" s="83" t="n">
        <x:v>209</x:v>
      </x:c>
      <x:c r="B210" s="89" t="n">
        <x:v>45444</x:v>
      </x:c>
      <x:c r="C210" s="84" t="n">
        <x:v>2</x:v>
      </x:c>
      <x:c r="D210" s="84" t="n">
        <x:v>4</x:v>
      </x:c>
      <x:c r="E210" s="84" t="n">
        <x:v>5</x:v>
      </x:c>
      <x:c r="F210" s="84" t="n">
        <x:v>52800</x:v>
      </x:c>
      <x:c r="G210" s="84" t="n">
        <x:v>49628</x:v>
      </x:c>
      <x:c r="H210" s="84" t="n">
        <x:v>3172</x:v>
      </x:c>
      <x:c r="I210" s="84" t="n">
        <x:v>352</x:v>
      </x:c>
      <x:c r="J210" s="85" t="n">
        <x:v>342</x:v>
      </x:c>
    </x:row>
    <x:row r="211">
      <x:c r="A211" s="83" t="n">
        <x:v>210</x:v>
      </x:c>
      <x:c r="B211" s="89" t="n">
        <x:v>45444</x:v>
      </x:c>
      <x:c r="C211" s="84" t="n">
        <x:v>2</x:v>
      </x:c>
      <x:c r="D211" s="84" t="n">
        <x:v>4</x:v>
      </x:c>
      <x:c r="E211" s="84" t="n">
        <x:v>6</x:v>
      </x:c>
      <x:c r="F211" s="84" t="n">
        <x:v>35200</x:v>
      </x:c>
      <x:c r="G211" s="84" t="n">
        <x:v>34159</x:v>
      </x:c>
      <x:c r="H211" s="84" t="n">
        <x:v>1041</x:v>
      </x:c>
      <x:c r="I211" s="84" t="n">
        <x:v>352</x:v>
      </x:c>
      <x:c r="J211" s="85" t="n">
        <x:v>342.9</x:v>
      </x:c>
    </x:row>
    <x:row r="212">
      <x:c r="A212" s="83" t="n">
        <x:v>211</x:v>
      </x:c>
      <x:c r="B212" s="89" t="n">
        <x:v>45444</x:v>
      </x:c>
      <x:c r="C212" s="84" t="n">
        <x:v>2</x:v>
      </x:c>
      <x:c r="D212" s="84" t="n">
        <x:v>5</x:v>
      </x:c>
      <x:c r="E212" s="84" t="n">
        <x:v>7</x:v>
      </x:c>
      <x:c r="F212" s="84" t="n">
        <x:v>42240</x:v>
      </x:c>
      <x:c r="G212" s="84" t="n">
        <x:v>38988</x:v>
      </x:c>
      <x:c r="H212" s="84" t="n">
        <x:v>3252</x:v>
      </x:c>
      <x:c r="I212" s="84" t="n">
        <x:v>352</x:v>
      </x:c>
      <x:c r="J212" s="85" t="n">
        <x:v>323.9</x:v>
      </x:c>
    </x:row>
    <x:row r="213">
      <x:c r="A213" s="83" t="n">
        <x:v>212</x:v>
      </x:c>
      <x:c r="B213" s="89" t="n">
        <x:v>45444</x:v>
      </x:c>
      <x:c r="C213" s="84" t="n">
        <x:v>2</x:v>
      </x:c>
      <x:c r="D213" s="84" t="n">
        <x:v>5</x:v>
      </x:c>
      <x:c r="E213" s="84" t="n">
        <x:v>8</x:v>
      </x:c>
      <x:c r="F213" s="84" t="n">
        <x:v>42240</x:v>
      </x:c>
      <x:c r="G213" s="84" t="n">
        <x:v>41873</x:v>
      </x:c>
      <x:c r="H213" s="84" t="n">
        <x:v>367</x:v>
      </x:c>
      <x:c r="I213" s="84" t="n">
        <x:v>352</x:v>
      </x:c>
      <x:c r="J213" s="85" t="n">
        <x:v>322.7</x:v>
      </x:c>
    </x:row>
    <x:row r="214">
      <x:c r="A214" s="83" t="n">
        <x:v>213</x:v>
      </x:c>
      <x:c r="B214" s="89" t="n">
        <x:v>45444</x:v>
      </x:c>
      <x:c r="C214" s="84" t="n">
        <x:v>3</x:v>
      </x:c>
      <x:c r="D214" s="84" t="n">
        <x:v>7</x:v>
      </x:c>
      <x:c r="E214" s="84" t="n">
        <x:v>9</x:v>
      </x:c>
      <x:c r="F214" s="84" t="n">
        <x:v>28160</x:v>
      </x:c>
      <x:c r="G214" s="84" t="n">
        <x:v>27794</x:v>
      </x:c>
      <x:c r="H214" s="84" t="n">
        <x:v>366</x:v>
      </x:c>
      <x:c r="I214" s="84" t="n">
        <x:v>352</x:v>
      </x:c>
      <x:c r="J214" s="85" t="n">
        <x:v>335.7</x:v>
      </x:c>
    </x:row>
    <x:row r="215">
      <x:c r="A215" s="83" t="n">
        <x:v>214</x:v>
      </x:c>
      <x:c r="B215" s="89" t="n">
        <x:v>45444</x:v>
      </x:c>
      <x:c r="C215" s="84" t="n">
        <x:v>3</x:v>
      </x:c>
      <x:c r="D215" s="84" t="n">
        <x:v>7</x:v>
      </x:c>
      <x:c r="E215" s="84" t="n">
        <x:v>10</x:v>
      </x:c>
      <x:c r="F215" s="84" t="n">
        <x:v>28160</x:v>
      </x:c>
      <x:c r="G215" s="84" t="n">
        <x:v>27623</x:v>
      </x:c>
      <x:c r="H215" s="84" t="n">
        <x:v>537</x:v>
      </x:c>
      <x:c r="I215" s="84" t="n">
        <x:v>352</x:v>
      </x:c>
      <x:c r="J215" s="85" t="n">
        <x:v>329.8</x:v>
      </x:c>
    </x:row>
    <x:row r="216">
      <x:c r="A216" s="83" t="n">
        <x:v>215</x:v>
      </x:c>
      <x:c r="B216" s="89" t="n">
        <x:v>45444</x:v>
      </x:c>
      <x:c r="C216" s="84" t="n">
        <x:v>3</x:v>
      </x:c>
      <x:c r="D216" s="84" t="n">
        <x:v>8</x:v>
      </x:c>
      <x:c r="E216" s="84" t="n">
        <x:v>11</x:v>
      </x:c>
      <x:c r="F216" s="84" t="n">
        <x:v>52800</x:v>
      </x:c>
      <x:c r="G216" s="84" t="n">
        <x:v>51661</x:v>
      </x:c>
      <x:c r="H216" s="84" t="n">
        <x:v>1139</x:v>
      </x:c>
      <x:c r="I216" s="84" t="n">
        <x:v>352</x:v>
      </x:c>
      <x:c r="J216" s="85" t="n">
        <x:v>327.8</x:v>
      </x:c>
    </x:row>
    <x:row r="217">
      <x:c r="A217" s="83" t="n">
        <x:v>216</x:v>
      </x:c>
      <x:c r="B217" s="89" t="n">
        <x:v>45444</x:v>
      </x:c>
      <x:c r="C217" s="84" t="n">
        <x:v>3</x:v>
      </x:c>
      <x:c r="D217" s="84" t="n">
        <x:v>8</x:v>
      </x:c>
      <x:c r="E217" s="84" t="n">
        <x:v>12</x:v>
      </x:c>
      <x:c r="F217" s="84" t="n">
        <x:v>52800</x:v>
      </x:c>
      <x:c r="G217" s="84" t="n">
        <x:v>52402</x:v>
      </x:c>
      <x:c r="H217" s="84" t="n">
        <x:v>398</x:v>
      </x:c>
      <x:c r="I217" s="84" t="n">
        <x:v>352</x:v>
      </x:c>
      <x:c r="J217" s="85" t="n">
        <x:v>346.8</x:v>
      </x:c>
    </x:row>
    <x:row r="218">
      <x:c r="A218" s="83" t="n">
        <x:v>217</x:v>
      </x:c>
      <x:c r="B218" s="89" t="n">
        <x:v>45474</x:v>
      </x:c>
      <x:c r="C218" s="84" t="n">
        <x:v>1</x:v>
      </x:c>
      <x:c r="D218" s="84" t="n">
        <x:v>1</x:v>
      </x:c>
      <x:c r="E218" s="84" t="n">
        <x:v>1</x:v>
      </x:c>
      <x:c r="F218" s="84" t="n">
        <x:v>28160</x:v>
      </x:c>
      <x:c r="G218" s="84" t="n">
        <x:v>26819</x:v>
      </x:c>
      <x:c r="H218" s="84" t="n">
        <x:v>1341</x:v>
      </x:c>
      <x:c r="I218" s="84" t="n">
        <x:v>352</x:v>
      </x:c>
      <x:c r="J218" s="85" t="n">
        <x:v>322.5</x:v>
      </x:c>
    </x:row>
    <x:row r="219">
      <x:c r="A219" s="83" t="n">
        <x:v>218</x:v>
      </x:c>
      <x:c r="B219" s="89" t="n">
        <x:v>45474</x:v>
      </x:c>
      <x:c r="C219" s="84" t="n">
        <x:v>1</x:v>
      </x:c>
      <x:c r="D219" s="84" t="n">
        <x:v>1</x:v>
      </x:c>
      <x:c r="E219" s="84" t="n">
        <x:v>2</x:v>
      </x:c>
      <x:c r="F219" s="84" t="n">
        <x:v>42240</x:v>
      </x:c>
      <x:c r="G219" s="84" t="n">
        <x:v>41600</x:v>
      </x:c>
      <x:c r="H219" s="84" t="n">
        <x:v>640</x:v>
      </x:c>
      <x:c r="I219" s="84" t="n">
        <x:v>352</x:v>
      </x:c>
      <x:c r="J219" s="85" t="n">
        <x:v>324.2</x:v>
      </x:c>
    </x:row>
    <x:row r="220">
      <x:c r="A220" s="83" t="n">
        <x:v>219</x:v>
      </x:c>
      <x:c r="B220" s="89" t="n">
        <x:v>45474</x:v>
      </x:c>
      <x:c r="C220" s="84" t="n">
        <x:v>1</x:v>
      </x:c>
      <x:c r="D220" s="84" t="n">
        <x:v>2</x:v>
      </x:c>
      <x:c r="E220" s="84" t="n">
        <x:v>3</x:v>
      </x:c>
      <x:c r="F220" s="84" t="n">
        <x:v>35200</x:v>
      </x:c>
      <x:c r="G220" s="84" t="n">
        <x:v>33513</x:v>
      </x:c>
      <x:c r="H220" s="84" t="n">
        <x:v>1687</x:v>
      </x:c>
      <x:c r="I220" s="84" t="n">
        <x:v>352</x:v>
      </x:c>
      <x:c r="J220" s="85" t="n">
        <x:v>340.4</x:v>
      </x:c>
    </x:row>
    <x:row r="221">
      <x:c r="A221" s="83" t="n">
        <x:v>220</x:v>
      </x:c>
      <x:c r="B221" s="89" t="n">
        <x:v>45474</x:v>
      </x:c>
      <x:c r="C221" s="84" t="n">
        <x:v>1</x:v>
      </x:c>
      <x:c r="D221" s="84" t="n">
        <x:v>2</x:v>
      </x:c>
      <x:c r="E221" s="84" t="n">
        <x:v>4</x:v>
      </x:c>
      <x:c r="F221" s="84" t="n">
        <x:v>28160</x:v>
      </x:c>
      <x:c r="G221" s="84" t="n">
        <x:v>25917</x:v>
      </x:c>
      <x:c r="H221" s="84" t="n">
        <x:v>2243</x:v>
      </x:c>
      <x:c r="I221" s="84" t="n">
        <x:v>352</x:v>
      </x:c>
      <x:c r="J221" s="85" t="n">
        <x:v>326.9</x:v>
      </x:c>
    </x:row>
    <x:row r="222">
      <x:c r="A222" s="83" t="n">
        <x:v>221</x:v>
      </x:c>
      <x:c r="B222" s="89" t="n">
        <x:v>45474</x:v>
      </x:c>
      <x:c r="C222" s="84" t="n">
        <x:v>2</x:v>
      </x:c>
      <x:c r="D222" s="84" t="n">
        <x:v>4</x:v>
      </x:c>
      <x:c r="E222" s="84" t="n">
        <x:v>5</x:v>
      </x:c>
      <x:c r="F222" s="84" t="n">
        <x:v>52800</x:v>
      </x:c>
      <x:c r="G222" s="84" t="n">
        <x:v>50087</x:v>
      </x:c>
      <x:c r="H222" s="84" t="n">
        <x:v>2713</x:v>
      </x:c>
      <x:c r="I222" s="84" t="n">
        <x:v>352</x:v>
      </x:c>
      <x:c r="J222" s="85" t="n">
        <x:v>318</x:v>
      </x:c>
    </x:row>
    <x:row r="223">
      <x:c r="A223" s="83" t="n">
        <x:v>222</x:v>
      </x:c>
      <x:c r="B223" s="89" t="n">
        <x:v>45474</x:v>
      </x:c>
      <x:c r="C223" s="84" t="n">
        <x:v>2</x:v>
      </x:c>
      <x:c r="D223" s="84" t="n">
        <x:v>4</x:v>
      </x:c>
      <x:c r="E223" s="84" t="n">
        <x:v>6</x:v>
      </x:c>
      <x:c r="F223" s="84" t="n">
        <x:v>35200</x:v>
      </x:c>
      <x:c r="G223" s="84" t="n">
        <x:v>34241</x:v>
      </x:c>
      <x:c r="H223" s="84" t="n">
        <x:v>959</x:v>
      </x:c>
      <x:c r="I223" s="84" t="n">
        <x:v>352</x:v>
      </x:c>
      <x:c r="J223" s="85" t="n">
        <x:v>329</x:v>
      </x:c>
    </x:row>
    <x:row r="224">
      <x:c r="A224" s="83" t="n">
        <x:v>223</x:v>
      </x:c>
      <x:c r="B224" s="89" t="n">
        <x:v>45474</x:v>
      </x:c>
      <x:c r="C224" s="84" t="n">
        <x:v>2</x:v>
      </x:c>
      <x:c r="D224" s="84" t="n">
        <x:v>5</x:v>
      </x:c>
      <x:c r="E224" s="84" t="n">
        <x:v>7</x:v>
      </x:c>
      <x:c r="F224" s="84" t="n">
        <x:v>42240</x:v>
      </x:c>
      <x:c r="G224" s="84" t="n">
        <x:v>39002</x:v>
      </x:c>
      <x:c r="H224" s="84" t="n">
        <x:v>3238</x:v>
      </x:c>
      <x:c r="I224" s="84" t="n">
        <x:v>352</x:v>
      </x:c>
      <x:c r="J224" s="85" t="n">
        <x:v>349.2</x:v>
      </x:c>
    </x:row>
    <x:row r="225">
      <x:c r="A225" s="83" t="n">
        <x:v>224</x:v>
      </x:c>
      <x:c r="B225" s="89" t="n">
        <x:v>45474</x:v>
      </x:c>
      <x:c r="C225" s="84" t="n">
        <x:v>2</x:v>
      </x:c>
      <x:c r="D225" s="84" t="n">
        <x:v>5</x:v>
      </x:c>
      <x:c r="E225" s="84" t="n">
        <x:v>8</x:v>
      </x:c>
      <x:c r="F225" s="84" t="n">
        <x:v>42240</x:v>
      </x:c>
      <x:c r="G225" s="84" t="n">
        <x:v>40125</x:v>
      </x:c>
      <x:c r="H225" s="84" t="n">
        <x:v>2115</x:v>
      </x:c>
      <x:c r="I225" s="84" t="n">
        <x:v>352</x:v>
      </x:c>
      <x:c r="J225" s="85" t="n">
        <x:v>338.6</x:v>
      </x:c>
    </x:row>
    <x:row r="226">
      <x:c r="A226" s="83" t="n">
        <x:v>225</x:v>
      </x:c>
      <x:c r="B226" s="89" t="n">
        <x:v>45474</x:v>
      </x:c>
      <x:c r="C226" s="84" t="n">
        <x:v>3</x:v>
      </x:c>
      <x:c r="D226" s="84" t="n">
        <x:v>7</x:v>
      </x:c>
      <x:c r="E226" s="84" t="n">
        <x:v>9</x:v>
      </x:c>
      <x:c r="F226" s="84" t="n">
        <x:v>28160</x:v>
      </x:c>
      <x:c r="G226" s="84" t="n">
        <x:v>27810</x:v>
      </x:c>
      <x:c r="H226" s="84" t="n">
        <x:v>350</x:v>
      </x:c>
      <x:c r="I226" s="84" t="n">
        <x:v>352</x:v>
      </x:c>
      <x:c r="J226" s="85" t="n">
        <x:v>332.2</x:v>
      </x:c>
    </x:row>
    <x:row r="227">
      <x:c r="A227" s="83" t="n">
        <x:v>226</x:v>
      </x:c>
      <x:c r="B227" s="89" t="n">
        <x:v>45474</x:v>
      </x:c>
      <x:c r="C227" s="84" t="n">
        <x:v>3</x:v>
      </x:c>
      <x:c r="D227" s="84" t="n">
        <x:v>7</x:v>
      </x:c>
      <x:c r="E227" s="84" t="n">
        <x:v>10</x:v>
      </x:c>
      <x:c r="F227" s="84" t="n">
        <x:v>28160</x:v>
      </x:c>
      <x:c r="G227" s="84" t="n">
        <x:v>27891</x:v>
      </x:c>
      <x:c r="H227" s="84" t="n">
        <x:v>269</x:v>
      </x:c>
      <x:c r="I227" s="84" t="n">
        <x:v>352</x:v>
      </x:c>
      <x:c r="J227" s="85" t="n">
        <x:v>335.7</x:v>
      </x:c>
    </x:row>
    <x:row r="228">
      <x:c r="A228" s="83" t="n">
        <x:v>227</x:v>
      </x:c>
      <x:c r="B228" s="89" t="n">
        <x:v>45474</x:v>
      </x:c>
      <x:c r="C228" s="84" t="n">
        <x:v>3</x:v>
      </x:c>
      <x:c r="D228" s="84" t="n">
        <x:v>8</x:v>
      </x:c>
      <x:c r="E228" s="84" t="n">
        <x:v>11</x:v>
      </x:c>
      <x:c r="F228" s="84" t="n">
        <x:v>52800</x:v>
      </x:c>
      <x:c r="G228" s="84" t="n">
        <x:v>49587</x:v>
      </x:c>
      <x:c r="H228" s="84" t="n">
        <x:v>3213</x:v>
      </x:c>
      <x:c r="I228" s="84" t="n">
        <x:v>352</x:v>
      </x:c>
      <x:c r="J228" s="85" t="n">
        <x:v>320.6</x:v>
      </x:c>
    </x:row>
    <x:row r="229">
      <x:c r="A229" s="83" t="n">
        <x:v>228</x:v>
      </x:c>
      <x:c r="B229" s="89" t="n">
        <x:v>45474</x:v>
      </x:c>
      <x:c r="C229" s="84" t="n">
        <x:v>3</x:v>
      </x:c>
      <x:c r="D229" s="84" t="n">
        <x:v>8</x:v>
      </x:c>
      <x:c r="E229" s="84" t="n">
        <x:v>12</x:v>
      </x:c>
      <x:c r="F229" s="84" t="n">
        <x:v>52800</x:v>
      </x:c>
      <x:c r="G229" s="84" t="n">
        <x:v>50070</x:v>
      </x:c>
      <x:c r="H229" s="84" t="n">
        <x:v>2730</x:v>
      </x:c>
      <x:c r="I229" s="84" t="n">
        <x:v>352</x:v>
      </x:c>
      <x:c r="J229" s="85" t="n">
        <x:v>341.9</x:v>
      </x:c>
    </x:row>
    <x:row r="230">
      <x:c r="A230" s="83" t="n">
        <x:v>229</x:v>
      </x:c>
      <x:c r="B230" s="89" t="n">
        <x:v>45505</x:v>
      </x:c>
      <x:c r="C230" s="84" t="n">
        <x:v>1</x:v>
      </x:c>
      <x:c r="D230" s="84" t="n">
        <x:v>1</x:v>
      </x:c>
      <x:c r="E230" s="84" t="n">
        <x:v>1</x:v>
      </x:c>
      <x:c r="F230" s="84" t="n">
        <x:v>28160</x:v>
      </x:c>
      <x:c r="G230" s="84" t="n">
        <x:v>25978</x:v>
      </x:c>
      <x:c r="H230" s="84" t="n">
        <x:v>2182</x:v>
      </x:c>
      <x:c r="I230" s="84" t="n">
        <x:v>352</x:v>
      </x:c>
      <x:c r="J230" s="85" t="n">
        <x:v>334.1</x:v>
      </x:c>
    </x:row>
    <x:row r="231">
      <x:c r="A231" s="83" t="n">
        <x:v>230</x:v>
      </x:c>
      <x:c r="B231" s="89" t="n">
        <x:v>45505</x:v>
      </x:c>
      <x:c r="C231" s="84" t="n">
        <x:v>1</x:v>
      </x:c>
      <x:c r="D231" s="84" t="n">
        <x:v>1</x:v>
      </x:c>
      <x:c r="E231" s="84" t="n">
        <x:v>2</x:v>
      </x:c>
      <x:c r="F231" s="84" t="n">
        <x:v>42240</x:v>
      </x:c>
      <x:c r="G231" s="84" t="n">
        <x:v>40149</x:v>
      </x:c>
      <x:c r="H231" s="84" t="n">
        <x:v>2091</x:v>
      </x:c>
      <x:c r="I231" s="84" t="n">
        <x:v>352</x:v>
      </x:c>
      <x:c r="J231" s="85" t="n">
        <x:v>345.4</x:v>
      </x:c>
    </x:row>
    <x:row r="232">
      <x:c r="A232" s="83" t="n">
        <x:v>231</x:v>
      </x:c>
      <x:c r="B232" s="89" t="n">
        <x:v>45505</x:v>
      </x:c>
      <x:c r="C232" s="84" t="n">
        <x:v>1</x:v>
      </x:c>
      <x:c r="D232" s="84" t="n">
        <x:v>2</x:v>
      </x:c>
      <x:c r="E232" s="84" t="n">
        <x:v>3</x:v>
      </x:c>
      <x:c r="F232" s="84" t="n">
        <x:v>35200</x:v>
      </x:c>
      <x:c r="G232" s="84" t="n">
        <x:v>34370</x:v>
      </x:c>
      <x:c r="H232" s="84" t="n">
        <x:v>830</x:v>
      </x:c>
      <x:c r="I232" s="84" t="n">
        <x:v>352</x:v>
      </x:c>
      <x:c r="J232" s="85" t="n">
        <x:v>317</x:v>
      </x:c>
    </x:row>
    <x:row r="233">
      <x:c r="A233" s="83" t="n">
        <x:v>232</x:v>
      </x:c>
      <x:c r="B233" s="89" t="n">
        <x:v>45505</x:v>
      </x:c>
      <x:c r="C233" s="84" t="n">
        <x:v>1</x:v>
      </x:c>
      <x:c r="D233" s="84" t="n">
        <x:v>2</x:v>
      </x:c>
      <x:c r="E233" s="84" t="n">
        <x:v>4</x:v>
      </x:c>
      <x:c r="F233" s="84" t="n">
        <x:v>28160</x:v>
      </x:c>
      <x:c r="G233" s="84" t="n">
        <x:v>26092</x:v>
      </x:c>
      <x:c r="H233" s="84" t="n">
        <x:v>2068</x:v>
      </x:c>
      <x:c r="I233" s="84" t="n">
        <x:v>352</x:v>
      </x:c>
      <x:c r="J233" s="85" t="n">
        <x:v>345.7</x:v>
      </x:c>
    </x:row>
    <x:row r="234">
      <x:c r="A234" s="83" t="n">
        <x:v>233</x:v>
      </x:c>
      <x:c r="B234" s="89" t="n">
        <x:v>45505</x:v>
      </x:c>
      <x:c r="C234" s="84" t="n">
        <x:v>2</x:v>
      </x:c>
      <x:c r="D234" s="84" t="n">
        <x:v>4</x:v>
      </x:c>
      <x:c r="E234" s="84" t="n">
        <x:v>5</x:v>
      </x:c>
      <x:c r="F234" s="84" t="n">
        <x:v>52800</x:v>
      </x:c>
      <x:c r="G234" s="84" t="n">
        <x:v>51487</x:v>
      </x:c>
      <x:c r="H234" s="84" t="n">
        <x:v>1313</x:v>
      </x:c>
      <x:c r="I234" s="84" t="n">
        <x:v>352</x:v>
      </x:c>
      <x:c r="J234" s="85" t="n">
        <x:v>346.1</x:v>
      </x:c>
    </x:row>
    <x:row r="235">
      <x:c r="A235" s="83" t="n">
        <x:v>234</x:v>
      </x:c>
      <x:c r="B235" s="89" t="n">
        <x:v>45505</x:v>
      </x:c>
      <x:c r="C235" s="84" t="n">
        <x:v>2</x:v>
      </x:c>
      <x:c r="D235" s="84" t="n">
        <x:v>4</x:v>
      </x:c>
      <x:c r="E235" s="84" t="n">
        <x:v>6</x:v>
      </x:c>
      <x:c r="F235" s="84" t="n">
        <x:v>35200</x:v>
      </x:c>
      <x:c r="G235" s="84" t="n">
        <x:v>34082</x:v>
      </x:c>
      <x:c r="H235" s="84" t="n">
        <x:v>1118</x:v>
      </x:c>
      <x:c r="I235" s="84" t="n">
        <x:v>352</x:v>
      </x:c>
      <x:c r="J235" s="85" t="n">
        <x:v>319.5</x:v>
      </x:c>
    </x:row>
    <x:row r="236">
      <x:c r="A236" s="83" t="n">
        <x:v>235</x:v>
      </x:c>
      <x:c r="B236" s="89" t="n">
        <x:v>45505</x:v>
      </x:c>
      <x:c r="C236" s="84" t="n">
        <x:v>2</x:v>
      </x:c>
      <x:c r="D236" s="84" t="n">
        <x:v>5</x:v>
      </x:c>
      <x:c r="E236" s="84" t="n">
        <x:v>7</x:v>
      </x:c>
      <x:c r="F236" s="84" t="n">
        <x:v>42240</x:v>
      </x:c>
      <x:c r="G236" s="84" t="n">
        <x:v>39051</x:v>
      </x:c>
      <x:c r="H236" s="84" t="n">
        <x:v>3189</x:v>
      </x:c>
      <x:c r="I236" s="84" t="n">
        <x:v>352</x:v>
      </x:c>
      <x:c r="J236" s="85" t="n">
        <x:v>347.5</x:v>
      </x:c>
    </x:row>
    <x:row r="237">
      <x:c r="A237" s="83" t="n">
        <x:v>236</x:v>
      </x:c>
      <x:c r="B237" s="89" t="n">
        <x:v>45505</x:v>
      </x:c>
      <x:c r="C237" s="84" t="n">
        <x:v>2</x:v>
      </x:c>
      <x:c r="D237" s="84" t="n">
        <x:v>5</x:v>
      </x:c>
      <x:c r="E237" s="84" t="n">
        <x:v>8</x:v>
      </x:c>
      <x:c r="F237" s="84" t="n">
        <x:v>42240</x:v>
      </x:c>
      <x:c r="G237" s="84" t="n">
        <x:v>39501</x:v>
      </x:c>
      <x:c r="H237" s="84" t="n">
        <x:v>2739</x:v>
      </x:c>
      <x:c r="I237" s="84" t="n">
        <x:v>352</x:v>
      </x:c>
      <x:c r="J237" s="85" t="n">
        <x:v>347.8</x:v>
      </x:c>
    </x:row>
    <x:row r="238">
      <x:c r="A238" s="83" t="n">
        <x:v>237</x:v>
      </x:c>
      <x:c r="B238" s="89" t="n">
        <x:v>45505</x:v>
      </x:c>
      <x:c r="C238" s="84" t="n">
        <x:v>3</x:v>
      </x:c>
      <x:c r="D238" s="84" t="n">
        <x:v>7</x:v>
      </x:c>
      <x:c r="E238" s="84" t="n">
        <x:v>9</x:v>
      </x:c>
      <x:c r="F238" s="84" t="n">
        <x:v>28160</x:v>
      </x:c>
      <x:c r="G238" s="84" t="n">
        <x:v>27023</x:v>
      </x:c>
      <x:c r="H238" s="84" t="n">
        <x:v>1137</x:v>
      </x:c>
      <x:c r="I238" s="84" t="n">
        <x:v>352</x:v>
      </x:c>
      <x:c r="J238" s="85" t="n">
        <x:v>340.3</x:v>
      </x:c>
    </x:row>
    <x:row r="239">
      <x:c r="A239" s="83" t="n">
        <x:v>238</x:v>
      </x:c>
      <x:c r="B239" s="89" t="n">
        <x:v>45505</x:v>
      </x:c>
      <x:c r="C239" s="84" t="n">
        <x:v>3</x:v>
      </x:c>
      <x:c r="D239" s="84" t="n">
        <x:v>7</x:v>
      </x:c>
      <x:c r="E239" s="84" t="n">
        <x:v>10</x:v>
      </x:c>
      <x:c r="F239" s="84" t="n">
        <x:v>28160</x:v>
      </x:c>
      <x:c r="G239" s="84" t="n">
        <x:v>26990</x:v>
      </x:c>
      <x:c r="H239" s="84" t="n">
        <x:v>1170</x:v>
      </x:c>
      <x:c r="I239" s="84" t="n">
        <x:v>352</x:v>
      </x:c>
      <x:c r="J239" s="85" t="n">
        <x:v>345.8</x:v>
      </x:c>
    </x:row>
    <x:row r="240">
      <x:c r="A240" s="83" t="n">
        <x:v>239</x:v>
      </x:c>
      <x:c r="B240" s="89" t="n">
        <x:v>45505</x:v>
      </x:c>
      <x:c r="C240" s="84" t="n">
        <x:v>3</x:v>
      </x:c>
      <x:c r="D240" s="84" t="n">
        <x:v>8</x:v>
      </x:c>
      <x:c r="E240" s="84" t="n">
        <x:v>11</x:v>
      </x:c>
      <x:c r="F240" s="84" t="n">
        <x:v>52800</x:v>
      </x:c>
      <x:c r="G240" s="84" t="n">
        <x:v>49064</x:v>
      </x:c>
      <x:c r="H240" s="84" t="n">
        <x:v>3736</x:v>
      </x:c>
      <x:c r="I240" s="84" t="n">
        <x:v>352</x:v>
      </x:c>
      <x:c r="J240" s="85" t="n">
        <x:v>347.2</x:v>
      </x:c>
    </x:row>
    <x:row r="241">
      <x:c r="A241" s="83" t="n">
        <x:v>240</x:v>
      </x:c>
      <x:c r="B241" s="89" t="n">
        <x:v>45505</x:v>
      </x:c>
      <x:c r="C241" s="84" t="n">
        <x:v>3</x:v>
      </x:c>
      <x:c r="D241" s="84" t="n">
        <x:v>8</x:v>
      </x:c>
      <x:c r="E241" s="84" t="n">
        <x:v>12</x:v>
      </x:c>
      <x:c r="F241" s="84" t="n">
        <x:v>52800</x:v>
      </x:c>
      <x:c r="G241" s="84" t="n">
        <x:v>48837</x:v>
      </x:c>
      <x:c r="H241" s="84" t="n">
        <x:v>3963</x:v>
      </x:c>
      <x:c r="I241" s="84" t="n">
        <x:v>352</x:v>
      </x:c>
      <x:c r="J241" s="85" t="n">
        <x:v>326.3</x:v>
      </x:c>
    </x:row>
    <x:row r="242">
      <x:c r="A242" s="83" t="n">
        <x:v>241</x:v>
      </x:c>
      <x:c r="B242" s="89" t="n">
        <x:v>45536</x:v>
      </x:c>
      <x:c r="C242" s="84" t="n">
        <x:v>1</x:v>
      </x:c>
      <x:c r="D242" s="84" t="n">
        <x:v>1</x:v>
      </x:c>
      <x:c r="E242" s="84" t="n">
        <x:v>1</x:v>
      </x:c>
      <x:c r="F242" s="84" t="n">
        <x:v>28160</x:v>
      </x:c>
      <x:c r="G242" s="84" t="n">
        <x:v>27954</x:v>
      </x:c>
      <x:c r="H242" s="84" t="n">
        <x:v>206</x:v>
      </x:c>
      <x:c r="I242" s="84" t="n">
        <x:v>352</x:v>
      </x:c>
      <x:c r="J242" s="85" t="n">
        <x:v>324.1</x:v>
      </x:c>
    </x:row>
    <x:row r="243">
      <x:c r="A243" s="83" t="n">
        <x:v>242</x:v>
      </x:c>
      <x:c r="B243" s="89" t="n">
        <x:v>45536</x:v>
      </x:c>
      <x:c r="C243" s="84" t="n">
        <x:v>1</x:v>
      </x:c>
      <x:c r="D243" s="84" t="n">
        <x:v>1</x:v>
      </x:c>
      <x:c r="E243" s="84" t="n">
        <x:v>2</x:v>
      </x:c>
      <x:c r="F243" s="84" t="n">
        <x:v>42240</x:v>
      </x:c>
      <x:c r="G243" s="84" t="n">
        <x:v>41244</x:v>
      </x:c>
      <x:c r="H243" s="84" t="n">
        <x:v>996</x:v>
      </x:c>
      <x:c r="I243" s="84" t="n">
        <x:v>352</x:v>
      </x:c>
      <x:c r="J243" s="85" t="n">
        <x:v>325.4</x:v>
      </x:c>
    </x:row>
    <x:row r="244">
      <x:c r="A244" s="83" t="n">
        <x:v>243</x:v>
      </x:c>
      <x:c r="B244" s="89" t="n">
        <x:v>45536</x:v>
      </x:c>
      <x:c r="C244" s="84" t="n">
        <x:v>1</x:v>
      </x:c>
      <x:c r="D244" s="84" t="n">
        <x:v>2</x:v>
      </x:c>
      <x:c r="E244" s="84" t="n">
        <x:v>3</x:v>
      </x:c>
      <x:c r="F244" s="84" t="n">
        <x:v>35200</x:v>
      </x:c>
      <x:c r="G244" s="84" t="n">
        <x:v>33911</x:v>
      </x:c>
      <x:c r="H244" s="84" t="n">
        <x:v>1289</x:v>
      </x:c>
      <x:c r="I244" s="84" t="n">
        <x:v>352</x:v>
      </x:c>
      <x:c r="J244" s="85" t="n">
        <x:v>329.7</x:v>
      </x:c>
    </x:row>
    <x:row r="245">
      <x:c r="A245" s="83" t="n">
        <x:v>244</x:v>
      </x:c>
      <x:c r="B245" s="89" t="n">
        <x:v>45536</x:v>
      </x:c>
      <x:c r="C245" s="84" t="n">
        <x:v>1</x:v>
      </x:c>
      <x:c r="D245" s="84" t="n">
        <x:v>2</x:v>
      </x:c>
      <x:c r="E245" s="84" t="n">
        <x:v>4</x:v>
      </x:c>
      <x:c r="F245" s="84" t="n">
        <x:v>28160</x:v>
      </x:c>
      <x:c r="G245" s="84" t="n">
        <x:v>28040</x:v>
      </x:c>
      <x:c r="H245" s="84" t="n">
        <x:v>120</x:v>
      </x:c>
      <x:c r="I245" s="84" t="n">
        <x:v>352</x:v>
      </x:c>
      <x:c r="J245" s="85" t="n">
        <x:v>341.6</x:v>
      </x:c>
    </x:row>
    <x:row r="246">
      <x:c r="A246" s="83" t="n">
        <x:v>245</x:v>
      </x:c>
      <x:c r="B246" s="89" t="n">
        <x:v>45536</x:v>
      </x:c>
      <x:c r="C246" s="84" t="n">
        <x:v>2</x:v>
      </x:c>
      <x:c r="D246" s="84" t="n">
        <x:v>4</x:v>
      </x:c>
      <x:c r="E246" s="84" t="n">
        <x:v>5</x:v>
      </x:c>
      <x:c r="F246" s="84" t="n">
        <x:v>52800</x:v>
      </x:c>
      <x:c r="G246" s="84" t="n">
        <x:v>51034</x:v>
      </x:c>
      <x:c r="H246" s="84" t="n">
        <x:v>1766</x:v>
      </x:c>
      <x:c r="I246" s="84" t="n">
        <x:v>352</x:v>
      </x:c>
      <x:c r="J246" s="85" t="n">
        <x:v>336.2</x:v>
      </x:c>
    </x:row>
    <x:row r="247">
      <x:c r="A247" s="83" t="n">
        <x:v>246</x:v>
      </x:c>
      <x:c r="B247" s="89" t="n">
        <x:v>45536</x:v>
      </x:c>
      <x:c r="C247" s="84" t="n">
        <x:v>2</x:v>
      </x:c>
      <x:c r="D247" s="84" t="n">
        <x:v>4</x:v>
      </x:c>
      <x:c r="E247" s="84" t="n">
        <x:v>6</x:v>
      </x:c>
      <x:c r="F247" s="84" t="n">
        <x:v>35200</x:v>
      </x:c>
      <x:c r="G247" s="84" t="n">
        <x:v>34456</x:v>
      </x:c>
      <x:c r="H247" s="84" t="n">
        <x:v>744</x:v>
      </x:c>
      <x:c r="I247" s="84" t="n">
        <x:v>352</x:v>
      </x:c>
      <x:c r="J247" s="85" t="n">
        <x:v>338.3</x:v>
      </x:c>
    </x:row>
    <x:row r="248">
      <x:c r="A248" s="83" t="n">
        <x:v>247</x:v>
      </x:c>
      <x:c r="B248" s="89" t="n">
        <x:v>45536</x:v>
      </x:c>
      <x:c r="C248" s="84" t="n">
        <x:v>2</x:v>
      </x:c>
      <x:c r="D248" s="84" t="n">
        <x:v>5</x:v>
      </x:c>
      <x:c r="E248" s="84" t="n">
        <x:v>7</x:v>
      </x:c>
      <x:c r="F248" s="84" t="n">
        <x:v>42240</x:v>
      </x:c>
      <x:c r="G248" s="84" t="n">
        <x:v>40540</x:v>
      </x:c>
      <x:c r="H248" s="84" t="n">
        <x:v>1700</x:v>
      </x:c>
      <x:c r="I248" s="84" t="n">
        <x:v>352</x:v>
      </x:c>
      <x:c r="J248" s="85" t="n">
        <x:v>333.1</x:v>
      </x:c>
    </x:row>
    <x:row r="249">
      <x:c r="A249" s="83" t="n">
        <x:v>248</x:v>
      </x:c>
      <x:c r="B249" s="89" t="n">
        <x:v>45536</x:v>
      </x:c>
      <x:c r="C249" s="84" t="n">
        <x:v>2</x:v>
      </x:c>
      <x:c r="D249" s="84" t="n">
        <x:v>5</x:v>
      </x:c>
      <x:c r="E249" s="84" t="n">
        <x:v>8</x:v>
      </x:c>
      <x:c r="F249" s="84" t="n">
        <x:v>42240</x:v>
      </x:c>
      <x:c r="G249" s="84" t="n">
        <x:v>39714</x:v>
      </x:c>
      <x:c r="H249" s="84" t="n">
        <x:v>2526</x:v>
      </x:c>
      <x:c r="I249" s="84" t="n">
        <x:v>352</x:v>
      </x:c>
      <x:c r="J249" s="85" t="n">
        <x:v>344.3</x:v>
      </x:c>
    </x:row>
    <x:row r="250">
      <x:c r="A250" s="83" t="n">
        <x:v>249</x:v>
      </x:c>
      <x:c r="B250" s="89" t="n">
        <x:v>45536</x:v>
      </x:c>
      <x:c r="C250" s="84" t="n">
        <x:v>3</x:v>
      </x:c>
      <x:c r="D250" s="84" t="n">
        <x:v>7</x:v>
      </x:c>
      <x:c r="E250" s="84" t="n">
        <x:v>9</x:v>
      </x:c>
      <x:c r="F250" s="84" t="n">
        <x:v>28160</x:v>
      </x:c>
      <x:c r="G250" s="84" t="n">
        <x:v>26401</x:v>
      </x:c>
      <x:c r="H250" s="84" t="n">
        <x:v>1759</x:v>
      </x:c>
      <x:c r="I250" s="84" t="n">
        <x:v>352</x:v>
      </x:c>
      <x:c r="J250" s="85" t="n">
        <x:v>325.5</x:v>
      </x:c>
    </x:row>
    <x:row r="251">
      <x:c r="A251" s="83" t="n">
        <x:v>250</x:v>
      </x:c>
      <x:c r="B251" s="89" t="n">
        <x:v>45536</x:v>
      </x:c>
      <x:c r="C251" s="84" t="n">
        <x:v>3</x:v>
      </x:c>
      <x:c r="D251" s="84" t="n">
        <x:v>7</x:v>
      </x:c>
      <x:c r="E251" s="84" t="n">
        <x:v>10</x:v>
      </x:c>
      <x:c r="F251" s="84" t="n">
        <x:v>28160</x:v>
      </x:c>
      <x:c r="G251" s="84" t="n">
        <x:v>27271</x:v>
      </x:c>
      <x:c r="H251" s="84" t="n">
        <x:v>889</x:v>
      </x:c>
      <x:c r="I251" s="84" t="n">
        <x:v>352</x:v>
      </x:c>
      <x:c r="J251" s="85" t="n">
        <x:v>343.6</x:v>
      </x:c>
    </x:row>
    <x:row r="252">
      <x:c r="A252" s="83" t="n">
        <x:v>251</x:v>
      </x:c>
      <x:c r="B252" s="89" t="n">
        <x:v>45536</x:v>
      </x:c>
      <x:c r="C252" s="84" t="n">
        <x:v>3</x:v>
      </x:c>
      <x:c r="D252" s="84" t="n">
        <x:v>8</x:v>
      </x:c>
      <x:c r="E252" s="84" t="n">
        <x:v>11</x:v>
      </x:c>
      <x:c r="F252" s="84" t="n">
        <x:v>52800</x:v>
      </x:c>
      <x:c r="G252" s="84" t="n">
        <x:v>51222</x:v>
      </x:c>
      <x:c r="H252" s="84" t="n">
        <x:v>1578</x:v>
      </x:c>
      <x:c r="I252" s="84" t="n">
        <x:v>352</x:v>
      </x:c>
      <x:c r="J252" s="85" t="n">
        <x:v>322.8</x:v>
      </x:c>
    </x:row>
    <x:row r="253">
      <x:c r="A253" s="83" t="n">
        <x:v>252</x:v>
      </x:c>
      <x:c r="B253" s="89" t="n">
        <x:v>45536</x:v>
      </x:c>
      <x:c r="C253" s="84" t="n">
        <x:v>3</x:v>
      </x:c>
      <x:c r="D253" s="84" t="n">
        <x:v>8</x:v>
      </x:c>
      <x:c r="E253" s="84" t="n">
        <x:v>12</x:v>
      </x:c>
      <x:c r="F253" s="84" t="n">
        <x:v>52800</x:v>
      </x:c>
      <x:c r="G253" s="84" t="n">
        <x:v>50389</x:v>
      </x:c>
      <x:c r="H253" s="84" t="n">
        <x:v>2411</x:v>
      </x:c>
      <x:c r="I253" s="84" t="n">
        <x:v>352</x:v>
      </x:c>
      <x:c r="J253" s="85" t="n">
        <x:v>343.3</x:v>
      </x:c>
    </x:row>
    <x:row r="254">
      <x:c r="A254" s="83" t="n">
        <x:v>253</x:v>
      </x:c>
      <x:c r="B254" s="89" t="n">
        <x:v>45566</x:v>
      </x:c>
      <x:c r="C254" s="84" t="n">
        <x:v>1</x:v>
      </x:c>
      <x:c r="D254" s="84" t="n">
        <x:v>1</x:v>
      </x:c>
      <x:c r="E254" s="84" t="n">
        <x:v>1</x:v>
      </x:c>
      <x:c r="F254" s="84" t="n">
        <x:v>28160</x:v>
      </x:c>
      <x:c r="G254" s="84" t="n">
        <x:v>26700</x:v>
      </x:c>
      <x:c r="H254" s="84" t="n">
        <x:v>1460</x:v>
      </x:c>
      <x:c r="I254" s="84" t="n">
        <x:v>352</x:v>
      </x:c>
      <x:c r="J254" s="85" t="n">
        <x:v>341.4</x:v>
      </x:c>
    </x:row>
    <x:row r="255">
      <x:c r="A255" s="83" t="n">
        <x:v>254</x:v>
      </x:c>
      <x:c r="B255" s="89" t="n">
        <x:v>45566</x:v>
      </x:c>
      <x:c r="C255" s="84" t="n">
        <x:v>1</x:v>
      </x:c>
      <x:c r="D255" s="84" t="n">
        <x:v>1</x:v>
      </x:c>
      <x:c r="E255" s="84" t="n">
        <x:v>2</x:v>
      </x:c>
      <x:c r="F255" s="84" t="n">
        <x:v>42240</x:v>
      </x:c>
      <x:c r="G255" s="84" t="n">
        <x:v>40495</x:v>
      </x:c>
      <x:c r="H255" s="84" t="n">
        <x:v>1745</x:v>
      </x:c>
      <x:c r="I255" s="84" t="n">
        <x:v>352</x:v>
      </x:c>
      <x:c r="J255" s="85" t="n">
        <x:v>346.8</x:v>
      </x:c>
    </x:row>
    <x:row r="256">
      <x:c r="A256" s="83" t="n">
        <x:v>255</x:v>
      </x:c>
      <x:c r="B256" s="89" t="n">
        <x:v>45566</x:v>
      </x:c>
      <x:c r="C256" s="84" t="n">
        <x:v>1</x:v>
      </x:c>
      <x:c r="D256" s="84" t="n">
        <x:v>2</x:v>
      </x:c>
      <x:c r="E256" s="84" t="n">
        <x:v>3</x:v>
      </x:c>
      <x:c r="F256" s="84" t="n">
        <x:v>35200</x:v>
      </x:c>
      <x:c r="G256" s="84" t="n">
        <x:v>33295</x:v>
      </x:c>
      <x:c r="H256" s="84" t="n">
        <x:v>1905</x:v>
      </x:c>
      <x:c r="I256" s="84" t="n">
        <x:v>352</x:v>
      </x:c>
      <x:c r="J256" s="85" t="n">
        <x:v>320.9</x:v>
      </x:c>
    </x:row>
    <x:row r="257">
      <x:c r="A257" s="83" t="n">
        <x:v>256</x:v>
      </x:c>
      <x:c r="B257" s="89" t="n">
        <x:v>45566</x:v>
      </x:c>
      <x:c r="C257" s="84" t="n">
        <x:v>1</x:v>
      </x:c>
      <x:c r="D257" s="84" t="n">
        <x:v>2</x:v>
      </x:c>
      <x:c r="E257" s="84" t="n">
        <x:v>4</x:v>
      </x:c>
      <x:c r="F257" s="84" t="n">
        <x:v>28160</x:v>
      </x:c>
      <x:c r="G257" s="84" t="n">
        <x:v>27271</x:v>
      </x:c>
      <x:c r="H257" s="84" t="n">
        <x:v>889</x:v>
      </x:c>
      <x:c r="I257" s="84" t="n">
        <x:v>352</x:v>
      </x:c>
      <x:c r="J257" s="85" t="n">
        <x:v>329</x:v>
      </x:c>
    </x:row>
    <x:row r="258">
      <x:c r="A258" s="83" t="n">
        <x:v>257</x:v>
      </x:c>
      <x:c r="B258" s="89" t="n">
        <x:v>45566</x:v>
      </x:c>
      <x:c r="C258" s="84" t="n">
        <x:v>2</x:v>
      </x:c>
      <x:c r="D258" s="84" t="n">
        <x:v>4</x:v>
      </x:c>
      <x:c r="E258" s="84" t="n">
        <x:v>5</x:v>
      </x:c>
      <x:c r="F258" s="84" t="n">
        <x:v>52800</x:v>
      </x:c>
      <x:c r="G258" s="84" t="n">
        <x:v>49106</x:v>
      </x:c>
      <x:c r="H258" s="84" t="n">
        <x:v>3694</x:v>
      </x:c>
      <x:c r="I258" s="84" t="n">
        <x:v>352</x:v>
      </x:c>
      <x:c r="J258" s="85" t="n">
        <x:v>344</x:v>
      </x:c>
    </x:row>
    <x:row r="259">
      <x:c r="A259" s="83" t="n">
        <x:v>258</x:v>
      </x:c>
      <x:c r="B259" s="89" t="n">
        <x:v>45566</x:v>
      </x:c>
      <x:c r="C259" s="84" t="n">
        <x:v>2</x:v>
      </x:c>
      <x:c r="D259" s="84" t="n">
        <x:v>4</x:v>
      </x:c>
      <x:c r="E259" s="84" t="n">
        <x:v>6</x:v>
      </x:c>
      <x:c r="F259" s="84" t="n">
        <x:v>35200</x:v>
      </x:c>
      <x:c r="G259" s="84" t="n">
        <x:v>34874</x:v>
      </x:c>
      <x:c r="H259" s="84" t="n">
        <x:v>326</x:v>
      </x:c>
      <x:c r="I259" s="84" t="n">
        <x:v>352</x:v>
      </x:c>
      <x:c r="J259" s="85" t="n">
        <x:v>319.4</x:v>
      </x:c>
    </x:row>
    <x:row r="260">
      <x:c r="A260" s="83" t="n">
        <x:v>259</x:v>
      </x:c>
      <x:c r="B260" s="89" t="n">
        <x:v>45566</x:v>
      </x:c>
      <x:c r="C260" s="84" t="n">
        <x:v>2</x:v>
      </x:c>
      <x:c r="D260" s="84" t="n">
        <x:v>5</x:v>
      </x:c>
      <x:c r="E260" s="84" t="n">
        <x:v>7</x:v>
      </x:c>
      <x:c r="F260" s="84" t="n">
        <x:v>42240</x:v>
      </x:c>
      <x:c r="G260" s="84" t="n">
        <x:v>40122</x:v>
      </x:c>
      <x:c r="H260" s="84" t="n">
        <x:v>2118</x:v>
      </x:c>
      <x:c r="I260" s="84" t="n">
        <x:v>352</x:v>
      </x:c>
      <x:c r="J260" s="85" t="n">
        <x:v>345.3</x:v>
      </x:c>
    </x:row>
    <x:row r="261">
      <x:c r="A261" s="83" t="n">
        <x:v>260</x:v>
      </x:c>
      <x:c r="B261" s="89" t="n">
        <x:v>45566</x:v>
      </x:c>
      <x:c r="C261" s="84" t="n">
        <x:v>2</x:v>
      </x:c>
      <x:c r="D261" s="84" t="n">
        <x:v>5</x:v>
      </x:c>
      <x:c r="E261" s="84" t="n">
        <x:v>8</x:v>
      </x:c>
      <x:c r="F261" s="84" t="n">
        <x:v>42240</x:v>
      </x:c>
      <x:c r="G261" s="84" t="n">
        <x:v>41579</x:v>
      </x:c>
      <x:c r="H261" s="84" t="n">
        <x:v>661</x:v>
      </x:c>
      <x:c r="I261" s="84" t="n">
        <x:v>352</x:v>
      </x:c>
      <x:c r="J261" s="85" t="n">
        <x:v>340.4</x:v>
      </x:c>
    </x:row>
    <x:row r="262">
      <x:c r="A262" s="83" t="n">
        <x:v>261</x:v>
      </x:c>
      <x:c r="B262" s="89" t="n">
        <x:v>45566</x:v>
      </x:c>
      <x:c r="C262" s="84" t="n">
        <x:v>3</x:v>
      </x:c>
      <x:c r="D262" s="84" t="n">
        <x:v>7</x:v>
      </x:c>
      <x:c r="E262" s="84" t="n">
        <x:v>9</x:v>
      </x:c>
      <x:c r="F262" s="84" t="n">
        <x:v>28160</x:v>
      </x:c>
      <x:c r="G262" s="84" t="n">
        <x:v>27398</x:v>
      </x:c>
      <x:c r="H262" s="84" t="n">
        <x:v>762</x:v>
      </x:c>
      <x:c r="I262" s="84" t="n">
        <x:v>352</x:v>
      </x:c>
      <x:c r="J262" s="85" t="n">
        <x:v>329.3</x:v>
      </x:c>
    </x:row>
    <x:row r="263">
      <x:c r="A263" s="83" t="n">
        <x:v>262</x:v>
      </x:c>
      <x:c r="B263" s="89" t="n">
        <x:v>45566</x:v>
      </x:c>
      <x:c r="C263" s="84" t="n">
        <x:v>3</x:v>
      </x:c>
      <x:c r="D263" s="84" t="n">
        <x:v>7</x:v>
      </x:c>
      <x:c r="E263" s="84" t="n">
        <x:v>10</x:v>
      </x:c>
      <x:c r="F263" s="84" t="n">
        <x:v>28160</x:v>
      </x:c>
      <x:c r="G263" s="84" t="n">
        <x:v>26022</x:v>
      </x:c>
      <x:c r="H263" s="84" t="n">
        <x:v>2138</x:v>
      </x:c>
      <x:c r="I263" s="84" t="n">
        <x:v>352</x:v>
      </x:c>
      <x:c r="J263" s="85" t="n">
        <x:v>319.8</x:v>
      </x:c>
    </x:row>
    <x:row r="264">
      <x:c r="A264" s="83" t="n">
        <x:v>263</x:v>
      </x:c>
      <x:c r="B264" s="89" t="n">
        <x:v>45566</x:v>
      </x:c>
      <x:c r="C264" s="84" t="n">
        <x:v>3</x:v>
      </x:c>
      <x:c r="D264" s="84" t="n">
        <x:v>8</x:v>
      </x:c>
      <x:c r="E264" s="84" t="n">
        <x:v>11</x:v>
      </x:c>
      <x:c r="F264" s="84" t="n">
        <x:v>52800</x:v>
      </x:c>
      <x:c r="G264" s="84" t="n">
        <x:v>51543</x:v>
      </x:c>
      <x:c r="H264" s="84" t="n">
        <x:v>1257</x:v>
      </x:c>
      <x:c r="I264" s="84" t="n">
        <x:v>352</x:v>
      </x:c>
      <x:c r="J264" s="85" t="n">
        <x:v>320</x:v>
      </x:c>
    </x:row>
    <x:row r="265">
      <x:c r="A265" s="83" t="n">
        <x:v>264</x:v>
      </x:c>
      <x:c r="B265" s="89" t="n">
        <x:v>45566</x:v>
      </x:c>
      <x:c r="C265" s="84" t="n">
        <x:v>3</x:v>
      </x:c>
      <x:c r="D265" s="84" t="n">
        <x:v>8</x:v>
      </x:c>
      <x:c r="E265" s="84" t="n">
        <x:v>12</x:v>
      </x:c>
      <x:c r="F265" s="84" t="n">
        <x:v>52800</x:v>
      </x:c>
      <x:c r="G265" s="84" t="n">
        <x:v>52628</x:v>
      </x:c>
      <x:c r="H265" s="84" t="n">
        <x:v>172</x:v>
      </x:c>
      <x:c r="I265" s="84" t="n">
        <x:v>352</x:v>
      </x:c>
      <x:c r="J265" s="85" t="n">
        <x:v>336.5</x:v>
      </x:c>
    </x:row>
    <x:row r="266">
      <x:c r="A266" s="83" t="n">
        <x:v>265</x:v>
      </x:c>
      <x:c r="B266" s="89" t="n">
        <x:v>45597</x:v>
      </x:c>
      <x:c r="C266" s="84" t="n">
        <x:v>1</x:v>
      </x:c>
      <x:c r="D266" s="84" t="n">
        <x:v>1</x:v>
      </x:c>
      <x:c r="E266" s="84" t="n">
        <x:v>1</x:v>
      </x:c>
      <x:c r="F266" s="84" t="n">
        <x:v>28160</x:v>
      </x:c>
      <x:c r="G266" s="84" t="n">
        <x:v>26287</x:v>
      </x:c>
      <x:c r="H266" s="84" t="n">
        <x:v>1873</x:v>
      </x:c>
      <x:c r="I266" s="84" t="n">
        <x:v>352</x:v>
      </x:c>
      <x:c r="J266" s="85" t="n">
        <x:v>321.2</x:v>
      </x:c>
    </x:row>
    <x:row r="267">
      <x:c r="A267" s="83" t="n">
        <x:v>266</x:v>
      </x:c>
      <x:c r="B267" s="89" t="n">
        <x:v>45597</x:v>
      </x:c>
      <x:c r="C267" s="84" t="n">
        <x:v>1</x:v>
      </x:c>
      <x:c r="D267" s="84" t="n">
        <x:v>1</x:v>
      </x:c>
      <x:c r="E267" s="84" t="n">
        <x:v>2</x:v>
      </x:c>
      <x:c r="F267" s="84" t="n">
        <x:v>42240</x:v>
      </x:c>
      <x:c r="G267" s="84" t="n">
        <x:v>39133</x:v>
      </x:c>
      <x:c r="H267" s="84" t="n">
        <x:v>3107</x:v>
      </x:c>
      <x:c r="I267" s="84" t="n">
        <x:v>352</x:v>
      </x:c>
      <x:c r="J267" s="85" t="n">
        <x:v>324</x:v>
      </x:c>
    </x:row>
    <x:row r="268">
      <x:c r="A268" s="83" t="n">
        <x:v>267</x:v>
      </x:c>
      <x:c r="B268" s="89" t="n">
        <x:v>45597</x:v>
      </x:c>
      <x:c r="C268" s="84" t="n">
        <x:v>1</x:v>
      </x:c>
      <x:c r="D268" s="84" t="n">
        <x:v>2</x:v>
      </x:c>
      <x:c r="E268" s="84" t="n">
        <x:v>3</x:v>
      </x:c>
      <x:c r="F268" s="84" t="n">
        <x:v>35200</x:v>
      </x:c>
      <x:c r="G268" s="84" t="n">
        <x:v>33624</x:v>
      </x:c>
      <x:c r="H268" s="84" t="n">
        <x:v>1576</x:v>
      </x:c>
      <x:c r="I268" s="84" t="n">
        <x:v>352</x:v>
      </x:c>
      <x:c r="J268" s="85" t="n">
        <x:v>336.9</x:v>
      </x:c>
    </x:row>
    <x:row r="269">
      <x:c r="A269" s="83" t="n">
        <x:v>268</x:v>
      </x:c>
      <x:c r="B269" s="89" t="n">
        <x:v>45597</x:v>
      </x:c>
      <x:c r="C269" s="84" t="n">
        <x:v>1</x:v>
      </x:c>
      <x:c r="D269" s="84" t="n">
        <x:v>2</x:v>
      </x:c>
      <x:c r="E269" s="84" t="n">
        <x:v>4</x:v>
      </x:c>
      <x:c r="F269" s="84" t="n">
        <x:v>28160</x:v>
      </x:c>
      <x:c r="G269" s="84" t="n">
        <x:v>26237</x:v>
      </x:c>
      <x:c r="H269" s="84" t="n">
        <x:v>1923</x:v>
      </x:c>
      <x:c r="I269" s="84" t="n">
        <x:v>352</x:v>
      </x:c>
      <x:c r="J269" s="85" t="n">
        <x:v>329.5</x:v>
      </x:c>
    </x:row>
    <x:row r="270">
      <x:c r="A270" s="83" t="n">
        <x:v>269</x:v>
      </x:c>
      <x:c r="B270" s="89" t="n">
        <x:v>45597</x:v>
      </x:c>
      <x:c r="C270" s="84" t="n">
        <x:v>2</x:v>
      </x:c>
      <x:c r="D270" s="84" t="n">
        <x:v>4</x:v>
      </x:c>
      <x:c r="E270" s="84" t="n">
        <x:v>5</x:v>
      </x:c>
      <x:c r="F270" s="84" t="n">
        <x:v>52800</x:v>
      </x:c>
      <x:c r="G270" s="84" t="n">
        <x:v>52542</x:v>
      </x:c>
      <x:c r="H270" s="84" t="n">
        <x:v>258</x:v>
      </x:c>
      <x:c r="I270" s="84" t="n">
        <x:v>352</x:v>
      </x:c>
      <x:c r="J270" s="85" t="n">
        <x:v>336.1</x:v>
      </x:c>
    </x:row>
    <x:row r="271">
      <x:c r="A271" s="83" t="n">
        <x:v>270</x:v>
      </x:c>
      <x:c r="B271" s="89" t="n">
        <x:v>45597</x:v>
      </x:c>
      <x:c r="C271" s="84" t="n">
        <x:v>2</x:v>
      </x:c>
      <x:c r="D271" s="84" t="n">
        <x:v>4</x:v>
      </x:c>
      <x:c r="E271" s="84" t="n">
        <x:v>6</x:v>
      </x:c>
      <x:c r="F271" s="84" t="n">
        <x:v>35200</x:v>
      </x:c>
      <x:c r="G271" s="84" t="n">
        <x:v>34907</x:v>
      </x:c>
      <x:c r="H271" s="84" t="n">
        <x:v>293</x:v>
      </x:c>
      <x:c r="I271" s="84" t="n">
        <x:v>352</x:v>
      </x:c>
      <x:c r="J271" s="85" t="n">
        <x:v>348.9</x:v>
      </x:c>
    </x:row>
    <x:row r="272">
      <x:c r="A272" s="83" t="n">
        <x:v>271</x:v>
      </x:c>
      <x:c r="B272" s="89" t="n">
        <x:v>45597</x:v>
      </x:c>
      <x:c r="C272" s="84" t="n">
        <x:v>2</x:v>
      </x:c>
      <x:c r="D272" s="84" t="n">
        <x:v>5</x:v>
      </x:c>
      <x:c r="E272" s="84" t="n">
        <x:v>7</x:v>
      </x:c>
      <x:c r="F272" s="84" t="n">
        <x:v>42240</x:v>
      </x:c>
      <x:c r="G272" s="84" t="n">
        <x:v>41022</x:v>
      </x:c>
      <x:c r="H272" s="84" t="n">
        <x:v>1218</x:v>
      </x:c>
      <x:c r="I272" s="84" t="n">
        <x:v>352</x:v>
      </x:c>
      <x:c r="J272" s="85" t="n">
        <x:v>335.2</x:v>
      </x:c>
    </x:row>
    <x:row r="273">
      <x:c r="A273" s="83" t="n">
        <x:v>272</x:v>
      </x:c>
      <x:c r="B273" s="89" t="n">
        <x:v>45597</x:v>
      </x:c>
      <x:c r="C273" s="84" t="n">
        <x:v>2</x:v>
      </x:c>
      <x:c r="D273" s="84" t="n">
        <x:v>5</x:v>
      </x:c>
      <x:c r="E273" s="84" t="n">
        <x:v>8</x:v>
      </x:c>
      <x:c r="F273" s="84" t="n">
        <x:v>42240</x:v>
      </x:c>
      <x:c r="G273" s="84" t="n">
        <x:v>40570</x:v>
      </x:c>
      <x:c r="H273" s="84" t="n">
        <x:v>1670</x:v>
      </x:c>
      <x:c r="I273" s="84" t="n">
        <x:v>352</x:v>
      </x:c>
      <x:c r="J273" s="85" t="n">
        <x:v>349.7</x:v>
      </x:c>
    </x:row>
    <x:row r="274">
      <x:c r="A274" s="83" t="n">
        <x:v>273</x:v>
      </x:c>
      <x:c r="B274" s="89" t="n">
        <x:v>45597</x:v>
      </x:c>
      <x:c r="C274" s="84" t="n">
        <x:v>3</x:v>
      </x:c>
      <x:c r="D274" s="84" t="n">
        <x:v>7</x:v>
      </x:c>
      <x:c r="E274" s="84" t="n">
        <x:v>9</x:v>
      </x:c>
      <x:c r="F274" s="84" t="n">
        <x:v>28160</x:v>
      </x:c>
      <x:c r="G274" s="84" t="n">
        <x:v>26101</x:v>
      </x:c>
      <x:c r="H274" s="84" t="n">
        <x:v>2059</x:v>
      </x:c>
      <x:c r="I274" s="84" t="n">
        <x:v>352</x:v>
      </x:c>
      <x:c r="J274" s="85" t="n">
        <x:v>327.4</x:v>
      </x:c>
    </x:row>
    <x:row r="275">
      <x:c r="A275" s="83" t="n">
        <x:v>274</x:v>
      </x:c>
      <x:c r="B275" s="89" t="n">
        <x:v>45597</x:v>
      </x:c>
      <x:c r="C275" s="84" t="n">
        <x:v>3</x:v>
      </x:c>
      <x:c r="D275" s="84" t="n">
        <x:v>7</x:v>
      </x:c>
      <x:c r="E275" s="84" t="n">
        <x:v>10</x:v>
      </x:c>
      <x:c r="F275" s="84" t="n">
        <x:v>28160</x:v>
      </x:c>
      <x:c r="G275" s="84" t="n">
        <x:v>26127</x:v>
      </x:c>
      <x:c r="H275" s="84" t="n">
        <x:v>2033</x:v>
      </x:c>
      <x:c r="I275" s="84" t="n">
        <x:v>352</x:v>
      </x:c>
      <x:c r="J275" s="85" t="n">
        <x:v>322.7</x:v>
      </x:c>
    </x:row>
    <x:row r="276">
      <x:c r="A276" s="83" t="n">
        <x:v>275</x:v>
      </x:c>
      <x:c r="B276" s="89" t="n">
        <x:v>45597</x:v>
      </x:c>
      <x:c r="C276" s="84" t="n">
        <x:v>3</x:v>
      </x:c>
      <x:c r="D276" s="84" t="n">
        <x:v>8</x:v>
      </x:c>
      <x:c r="E276" s="84" t="n">
        <x:v>11</x:v>
      </x:c>
      <x:c r="F276" s="84" t="n">
        <x:v>52800</x:v>
      </x:c>
      <x:c r="G276" s="84" t="n">
        <x:v>51173</x:v>
      </x:c>
      <x:c r="H276" s="84" t="n">
        <x:v>1627</x:v>
      </x:c>
      <x:c r="I276" s="84" t="n">
        <x:v>352</x:v>
      </x:c>
      <x:c r="J276" s="85" t="n">
        <x:v>320.8</x:v>
      </x:c>
    </x:row>
    <x:row r="277">
      <x:c r="A277" s="83" t="n">
        <x:v>276</x:v>
      </x:c>
      <x:c r="B277" s="89" t="n">
        <x:v>45597</x:v>
      </x:c>
      <x:c r="C277" s="84" t="n">
        <x:v>3</x:v>
      </x:c>
      <x:c r="D277" s="84" t="n">
        <x:v>8</x:v>
      </x:c>
      <x:c r="E277" s="84" t="n">
        <x:v>12</x:v>
      </x:c>
      <x:c r="F277" s="84" t="n">
        <x:v>52800</x:v>
      </x:c>
      <x:c r="G277" s="84" t="n">
        <x:v>52191</x:v>
      </x:c>
      <x:c r="H277" s="84" t="n">
        <x:v>609</x:v>
      </x:c>
      <x:c r="I277" s="84" t="n">
        <x:v>352</x:v>
      </x:c>
      <x:c r="J277" s="85" t="n">
        <x:v>327.6</x:v>
      </x:c>
    </x:row>
    <x:row r="278">
      <x:c r="A278" s="83" t="n">
        <x:v>277</x:v>
      </x:c>
      <x:c r="B278" s="89" t="n">
        <x:v>45627</x:v>
      </x:c>
      <x:c r="C278" s="84" t="n">
        <x:v>1</x:v>
      </x:c>
      <x:c r="D278" s="84" t="n">
        <x:v>1</x:v>
      </x:c>
      <x:c r="E278" s="84" t="n">
        <x:v>1</x:v>
      </x:c>
      <x:c r="F278" s="84" t="n">
        <x:v>28160</x:v>
      </x:c>
      <x:c r="G278" s="84" t="n">
        <x:v>26546</x:v>
      </x:c>
      <x:c r="H278" s="84" t="n">
        <x:v>1614</x:v>
      </x:c>
      <x:c r="I278" s="84" t="n">
        <x:v>352</x:v>
      </x:c>
      <x:c r="J278" s="85" t="n">
        <x:v>318.7</x:v>
      </x:c>
    </x:row>
    <x:row r="279">
      <x:c r="A279" s="83" t="n">
        <x:v>278</x:v>
      </x:c>
      <x:c r="B279" s="89" t="n">
        <x:v>45627</x:v>
      </x:c>
      <x:c r="C279" s="84" t="n">
        <x:v>1</x:v>
      </x:c>
      <x:c r="D279" s="84" t="n">
        <x:v>1</x:v>
      </x:c>
      <x:c r="E279" s="84" t="n">
        <x:v>2</x:v>
      </x:c>
      <x:c r="F279" s="84" t="n">
        <x:v>42240</x:v>
      </x:c>
      <x:c r="G279" s="84" t="n">
        <x:v>40710</x:v>
      </x:c>
      <x:c r="H279" s="84" t="n">
        <x:v>1530</x:v>
      </x:c>
      <x:c r="I279" s="84" t="n">
        <x:v>352</x:v>
      </x:c>
      <x:c r="J279" s="85" t="n">
        <x:v>335.5</x:v>
      </x:c>
    </x:row>
    <x:row r="280">
      <x:c r="A280" s="83" t="n">
        <x:v>279</x:v>
      </x:c>
      <x:c r="B280" s="89" t="n">
        <x:v>45627</x:v>
      </x:c>
      <x:c r="C280" s="84" t="n">
        <x:v>1</x:v>
      </x:c>
      <x:c r="D280" s="84" t="n">
        <x:v>2</x:v>
      </x:c>
      <x:c r="E280" s="84" t="n">
        <x:v>3</x:v>
      </x:c>
      <x:c r="F280" s="84" t="n">
        <x:v>35200</x:v>
      </x:c>
      <x:c r="G280" s="84" t="n">
        <x:v>35156</x:v>
      </x:c>
      <x:c r="H280" s="84" t="n">
        <x:v>44</x:v>
      </x:c>
      <x:c r="I280" s="84" t="n">
        <x:v>352</x:v>
      </x:c>
      <x:c r="J280" s="85" t="n">
        <x:v>328.2</x:v>
      </x:c>
    </x:row>
    <x:row r="281">
      <x:c r="A281" s="83" t="n">
        <x:v>280</x:v>
      </x:c>
      <x:c r="B281" s="89" t="n">
        <x:v>45627</x:v>
      </x:c>
      <x:c r="C281" s="84" t="n">
        <x:v>1</x:v>
      </x:c>
      <x:c r="D281" s="84" t="n">
        <x:v>2</x:v>
      </x:c>
      <x:c r="E281" s="84" t="n">
        <x:v>4</x:v>
      </x:c>
      <x:c r="F281" s="84" t="n">
        <x:v>28160</x:v>
      </x:c>
      <x:c r="G281" s="84" t="n">
        <x:v>27123</x:v>
      </x:c>
      <x:c r="H281" s="84" t="n">
        <x:v>1037</x:v>
      </x:c>
      <x:c r="I281" s="84" t="n">
        <x:v>352</x:v>
      </x:c>
      <x:c r="J281" s="85" t="n">
        <x:v>343.1</x:v>
      </x:c>
    </x:row>
    <x:row r="282">
      <x:c r="A282" s="83" t="n">
        <x:v>281</x:v>
      </x:c>
      <x:c r="B282" s="89" t="n">
        <x:v>45627</x:v>
      </x:c>
      <x:c r="C282" s="84" t="n">
        <x:v>2</x:v>
      </x:c>
      <x:c r="D282" s="84" t="n">
        <x:v>4</x:v>
      </x:c>
      <x:c r="E282" s="84" t="n">
        <x:v>5</x:v>
      </x:c>
      <x:c r="F282" s="84" t="n">
        <x:v>52800</x:v>
      </x:c>
      <x:c r="G282" s="84" t="n">
        <x:v>50421</x:v>
      </x:c>
      <x:c r="H282" s="84" t="n">
        <x:v>2379</x:v>
      </x:c>
      <x:c r="I282" s="84" t="n">
        <x:v>352</x:v>
      </x:c>
      <x:c r="J282" s="85" t="n">
        <x:v>339.5</x:v>
      </x:c>
    </x:row>
    <x:row r="283">
      <x:c r="A283" s="83" t="n">
        <x:v>282</x:v>
      </x:c>
      <x:c r="B283" s="89" t="n">
        <x:v>45627</x:v>
      </x:c>
      <x:c r="C283" s="84" t="n">
        <x:v>2</x:v>
      </x:c>
      <x:c r="D283" s="84" t="n">
        <x:v>4</x:v>
      </x:c>
      <x:c r="E283" s="84" t="n">
        <x:v>6</x:v>
      </x:c>
      <x:c r="F283" s="84" t="n">
        <x:v>35200</x:v>
      </x:c>
      <x:c r="G283" s="84" t="n">
        <x:v>34798</x:v>
      </x:c>
      <x:c r="H283" s="84" t="n">
        <x:v>402</x:v>
      </x:c>
      <x:c r="I283" s="84" t="n">
        <x:v>352</x:v>
      </x:c>
      <x:c r="J283" s="85" t="n">
        <x:v>324</x:v>
      </x:c>
    </x:row>
    <x:row r="284">
      <x:c r="A284" s="83" t="n">
        <x:v>283</x:v>
      </x:c>
      <x:c r="B284" s="89" t="n">
        <x:v>45627</x:v>
      </x:c>
      <x:c r="C284" s="84" t="n">
        <x:v>2</x:v>
      </x:c>
      <x:c r="D284" s="84" t="n">
        <x:v>5</x:v>
      </x:c>
      <x:c r="E284" s="84" t="n">
        <x:v>7</x:v>
      </x:c>
      <x:c r="F284" s="84" t="n">
        <x:v>42240</x:v>
      </x:c>
      <x:c r="G284" s="84" t="n">
        <x:v>39337</x:v>
      </x:c>
      <x:c r="H284" s="84" t="n">
        <x:v>2903</x:v>
      </x:c>
      <x:c r="I284" s="84" t="n">
        <x:v>352</x:v>
      </x:c>
      <x:c r="J284" s="85" t="n">
        <x:v>342.7</x:v>
      </x:c>
    </x:row>
    <x:row r="285">
      <x:c r="A285" s="83" t="n">
        <x:v>284</x:v>
      </x:c>
      <x:c r="B285" s="89" t="n">
        <x:v>45627</x:v>
      </x:c>
      <x:c r="C285" s="84" t="n">
        <x:v>2</x:v>
      </x:c>
      <x:c r="D285" s="84" t="n">
        <x:v>5</x:v>
      </x:c>
      <x:c r="E285" s="84" t="n">
        <x:v>8</x:v>
      </x:c>
      <x:c r="F285" s="84" t="n">
        <x:v>42240</x:v>
      </x:c>
      <x:c r="G285" s="84" t="n">
        <x:v>41670</x:v>
      </x:c>
      <x:c r="H285" s="84" t="n">
        <x:v>570</x:v>
      </x:c>
      <x:c r="I285" s="84" t="n">
        <x:v>352</x:v>
      </x:c>
      <x:c r="J285" s="85" t="n">
        <x:v>345.3</x:v>
      </x:c>
    </x:row>
    <x:row r="286">
      <x:c r="A286" s="83" t="n">
        <x:v>285</x:v>
      </x:c>
      <x:c r="B286" s="89" t="n">
        <x:v>45627</x:v>
      </x:c>
      <x:c r="C286" s="84" t="n">
        <x:v>3</x:v>
      </x:c>
      <x:c r="D286" s="84" t="n">
        <x:v>7</x:v>
      </x:c>
      <x:c r="E286" s="84" t="n">
        <x:v>9</x:v>
      </x:c>
      <x:c r="F286" s="84" t="n">
        <x:v>28160</x:v>
      </x:c>
      <x:c r="G286" s="84" t="n">
        <x:v>26949</x:v>
      </x:c>
      <x:c r="H286" s="84" t="n">
        <x:v>1211</x:v>
      </x:c>
      <x:c r="I286" s="84" t="n">
        <x:v>352</x:v>
      </x:c>
      <x:c r="J286" s="85" t="n">
        <x:v>321.1</x:v>
      </x:c>
    </x:row>
    <x:row r="287">
      <x:c r="A287" s="83" t="n">
        <x:v>286</x:v>
      </x:c>
      <x:c r="B287" s="89" t="n">
        <x:v>45627</x:v>
      </x:c>
      <x:c r="C287" s="84" t="n">
        <x:v>3</x:v>
      </x:c>
      <x:c r="D287" s="84" t="n">
        <x:v>7</x:v>
      </x:c>
      <x:c r="E287" s="84" t="n">
        <x:v>10</x:v>
      </x:c>
      <x:c r="F287" s="84" t="n">
        <x:v>28160</x:v>
      </x:c>
      <x:c r="G287" s="84" t="n">
        <x:v>26016</x:v>
      </x:c>
      <x:c r="H287" s="84" t="n">
        <x:v>2144</x:v>
      </x:c>
      <x:c r="I287" s="84" t="n">
        <x:v>352</x:v>
      </x:c>
      <x:c r="J287" s="85" t="n">
        <x:v>318.1</x:v>
      </x:c>
    </x:row>
    <x:row r="288">
      <x:c r="A288" s="83" t="n">
        <x:v>287</x:v>
      </x:c>
      <x:c r="B288" s="89" t="n">
        <x:v>45627</x:v>
      </x:c>
      <x:c r="C288" s="84" t="n">
        <x:v>3</x:v>
      </x:c>
      <x:c r="D288" s="84" t="n">
        <x:v>8</x:v>
      </x:c>
      <x:c r="E288" s="84" t="n">
        <x:v>11</x:v>
      </x:c>
      <x:c r="F288" s="84" t="n">
        <x:v>52800</x:v>
      </x:c>
      <x:c r="G288" s="84" t="n">
        <x:v>50098</x:v>
      </x:c>
      <x:c r="H288" s="84" t="n">
        <x:v>2702</x:v>
      </x:c>
      <x:c r="I288" s="84" t="n">
        <x:v>352</x:v>
      </x:c>
      <x:c r="J288" s="85" t="n">
        <x:v>337.7</x:v>
      </x:c>
    </x:row>
    <x:row r="289">
      <x:c r="A289" s="83" t="n">
        <x:v>288</x:v>
      </x:c>
      <x:c r="B289" s="89" t="n">
        <x:v>45627</x:v>
      </x:c>
      <x:c r="C289" s="84" t="n">
        <x:v>3</x:v>
      </x:c>
      <x:c r="D289" s="84" t="n">
        <x:v>8</x:v>
      </x:c>
      <x:c r="E289" s="84" t="n">
        <x:v>12</x:v>
      </x:c>
      <x:c r="F289" s="84" t="n">
        <x:v>52800</x:v>
      </x:c>
      <x:c r="G289" s="84" t="n">
        <x:v>49030</x:v>
      </x:c>
      <x:c r="H289" s="84" t="n">
        <x:v>3770</x:v>
      </x:c>
      <x:c r="I289" s="84" t="n">
        <x:v>352</x:v>
      </x:c>
      <x:c r="J289" s="85" t="n">
        <x:v>325.1</x:v>
      </x:c>
    </x:row>
    <x:row r="290">
      <x:c r="A290" s="83" t="n">
        <x:v>289</x:v>
      </x:c>
      <x:c r="B290" s="89" t="n">
        <x:v>45658</x:v>
      </x:c>
      <x:c r="C290" s="84" t="n">
        <x:v>1</x:v>
      </x:c>
      <x:c r="D290" s="84" t="n">
        <x:v>1</x:v>
      </x:c>
      <x:c r="E290" s="84" t="n">
        <x:v>1</x:v>
      </x:c>
      <x:c r="F290" s="84" t="n">
        <x:v>28160</x:v>
      </x:c>
      <x:c r="G290" s="84" t="n">
        <x:v>27370</x:v>
      </x:c>
      <x:c r="H290" s="84" t="n">
        <x:v>790</x:v>
      </x:c>
      <x:c r="I290" s="84" t="n">
        <x:v>352</x:v>
      </x:c>
      <x:c r="J290" s="85" t="n">
        <x:v>343.4</x:v>
      </x:c>
    </x:row>
    <x:row r="291">
      <x:c r="A291" s="83" t="n">
        <x:v>290</x:v>
      </x:c>
      <x:c r="B291" s="89" t="n">
        <x:v>45658</x:v>
      </x:c>
      <x:c r="C291" s="84" t="n">
        <x:v>1</x:v>
      </x:c>
      <x:c r="D291" s="84" t="n">
        <x:v>1</x:v>
      </x:c>
      <x:c r="E291" s="84" t="n">
        <x:v>2</x:v>
      </x:c>
      <x:c r="F291" s="84" t="n">
        <x:v>42240</x:v>
      </x:c>
      <x:c r="G291" s="84" t="n">
        <x:v>40346</x:v>
      </x:c>
      <x:c r="H291" s="84" t="n">
        <x:v>1894</x:v>
      </x:c>
      <x:c r="I291" s="84" t="n">
        <x:v>352</x:v>
      </x:c>
      <x:c r="J291" s="85" t="n">
        <x:v>345.5</x:v>
      </x:c>
    </x:row>
    <x:row r="292">
      <x:c r="A292" s="83" t="n">
        <x:v>291</x:v>
      </x:c>
      <x:c r="B292" s="89" t="n">
        <x:v>45658</x:v>
      </x:c>
      <x:c r="C292" s="84" t="n">
        <x:v>1</x:v>
      </x:c>
      <x:c r="D292" s="84" t="n">
        <x:v>2</x:v>
      </x:c>
      <x:c r="E292" s="84" t="n">
        <x:v>3</x:v>
      </x:c>
      <x:c r="F292" s="84" t="n">
        <x:v>35200</x:v>
      </x:c>
      <x:c r="G292" s="84" t="n">
        <x:v>34448</x:v>
      </x:c>
      <x:c r="H292" s="84" t="n">
        <x:v>752</x:v>
      </x:c>
      <x:c r="I292" s="84" t="n">
        <x:v>352</x:v>
      </x:c>
      <x:c r="J292" s="85" t="n">
        <x:v>322.9</x:v>
      </x:c>
    </x:row>
    <x:row r="293">
      <x:c r="A293" s="83" t="n">
        <x:v>292</x:v>
      </x:c>
      <x:c r="B293" s="89" t="n">
        <x:v>45658</x:v>
      </x:c>
      <x:c r="C293" s="84" t="n">
        <x:v>1</x:v>
      </x:c>
      <x:c r="D293" s="84" t="n">
        <x:v>2</x:v>
      </x:c>
      <x:c r="E293" s="84" t="n">
        <x:v>4</x:v>
      </x:c>
      <x:c r="F293" s="84" t="n">
        <x:v>28160</x:v>
      </x:c>
      <x:c r="G293" s="84" t="n">
        <x:v>27285</x:v>
      </x:c>
      <x:c r="H293" s="84" t="n">
        <x:v>875</x:v>
      </x:c>
      <x:c r="I293" s="84" t="n">
        <x:v>352</x:v>
      </x:c>
      <x:c r="J293" s="85" t="n">
        <x:v>342</x:v>
      </x:c>
    </x:row>
    <x:row r="294">
      <x:c r="A294" s="83" t="n">
        <x:v>293</x:v>
      </x:c>
      <x:c r="B294" s="89" t="n">
        <x:v>45658</x:v>
      </x:c>
      <x:c r="C294" s="84" t="n">
        <x:v>2</x:v>
      </x:c>
      <x:c r="D294" s="84" t="n">
        <x:v>4</x:v>
      </x:c>
      <x:c r="E294" s="84" t="n">
        <x:v>5</x:v>
      </x:c>
      <x:c r="F294" s="84" t="n">
        <x:v>52800</x:v>
      </x:c>
      <x:c r="G294" s="84" t="n">
        <x:v>52487</x:v>
      </x:c>
      <x:c r="H294" s="84" t="n">
        <x:v>313</x:v>
      </x:c>
      <x:c r="I294" s="84" t="n">
        <x:v>352</x:v>
      </x:c>
      <x:c r="J294" s="85" t="n">
        <x:v>336.5</x:v>
      </x:c>
    </x:row>
    <x:row r="295">
      <x:c r="A295" s="83" t="n">
        <x:v>294</x:v>
      </x:c>
      <x:c r="B295" s="89" t="n">
        <x:v>45658</x:v>
      </x:c>
      <x:c r="C295" s="84" t="n">
        <x:v>2</x:v>
      </x:c>
      <x:c r="D295" s="84" t="n">
        <x:v>4</x:v>
      </x:c>
      <x:c r="E295" s="84" t="n">
        <x:v>6</x:v>
      </x:c>
      <x:c r="F295" s="84" t="n">
        <x:v>35200</x:v>
      </x:c>
      <x:c r="G295" s="84" t="n">
        <x:v>35164</x:v>
      </x:c>
      <x:c r="H295" s="84" t="n">
        <x:v>36</x:v>
      </x:c>
      <x:c r="I295" s="84" t="n">
        <x:v>352</x:v>
      </x:c>
      <x:c r="J295" s="85" t="n">
        <x:v>334.9</x:v>
      </x:c>
    </x:row>
    <x:row r="296">
      <x:c r="A296" s="83" t="n">
        <x:v>295</x:v>
      </x:c>
      <x:c r="B296" s="89" t="n">
        <x:v>45658</x:v>
      </x:c>
      <x:c r="C296" s="84" t="n">
        <x:v>2</x:v>
      </x:c>
      <x:c r="D296" s="84" t="n">
        <x:v>5</x:v>
      </x:c>
      <x:c r="E296" s="84" t="n">
        <x:v>7</x:v>
      </x:c>
      <x:c r="F296" s="84" t="n">
        <x:v>42240</x:v>
      </x:c>
      <x:c r="G296" s="84" t="n">
        <x:v>41041</x:v>
      </x:c>
      <x:c r="H296" s="84" t="n">
        <x:v>1199</x:v>
      </x:c>
      <x:c r="I296" s="84" t="n">
        <x:v>352</x:v>
      </x:c>
      <x:c r="J296" s="85" t="n">
        <x:v>318.8</x:v>
      </x:c>
    </x:row>
    <x:row r="297">
      <x:c r="A297" s="83" t="n">
        <x:v>296</x:v>
      </x:c>
      <x:c r="B297" s="89" t="n">
        <x:v>45658</x:v>
      </x:c>
      <x:c r="C297" s="84" t="n">
        <x:v>2</x:v>
      </x:c>
      <x:c r="D297" s="84" t="n">
        <x:v>5</x:v>
      </x:c>
      <x:c r="E297" s="84" t="n">
        <x:v>8</x:v>
      </x:c>
      <x:c r="F297" s="84" t="n">
        <x:v>42240</x:v>
      </x:c>
      <x:c r="G297" s="84" t="n">
        <x:v>39104</x:v>
      </x:c>
      <x:c r="H297" s="84" t="n">
        <x:v>3136</x:v>
      </x:c>
      <x:c r="I297" s="84" t="n">
        <x:v>352</x:v>
      </x:c>
      <x:c r="J297" s="85" t="n">
        <x:v>320.6</x:v>
      </x:c>
    </x:row>
    <x:row r="298">
      <x:c r="A298" s="83" t="n">
        <x:v>297</x:v>
      </x:c>
      <x:c r="B298" s="89" t="n">
        <x:v>45658</x:v>
      </x:c>
      <x:c r="C298" s="84" t="n">
        <x:v>3</x:v>
      </x:c>
      <x:c r="D298" s="84" t="n">
        <x:v>7</x:v>
      </x:c>
      <x:c r="E298" s="84" t="n">
        <x:v>9</x:v>
      </x:c>
      <x:c r="F298" s="84" t="n">
        <x:v>28160</x:v>
      </x:c>
      <x:c r="G298" s="84" t="n">
        <x:v>27915</x:v>
      </x:c>
      <x:c r="H298" s="84" t="n">
        <x:v>245</x:v>
      </x:c>
      <x:c r="I298" s="84" t="n">
        <x:v>352</x:v>
      </x:c>
      <x:c r="J298" s="85" t="n">
        <x:v>335.8</x:v>
      </x:c>
    </x:row>
    <x:row r="299">
      <x:c r="A299" s="83" t="n">
        <x:v>298</x:v>
      </x:c>
      <x:c r="B299" s="89" t="n">
        <x:v>45658</x:v>
      </x:c>
      <x:c r="C299" s="84" t="n">
        <x:v>3</x:v>
      </x:c>
      <x:c r="D299" s="84" t="n">
        <x:v>7</x:v>
      </x:c>
      <x:c r="E299" s="84" t="n">
        <x:v>10</x:v>
      </x:c>
      <x:c r="F299" s="84" t="n">
        <x:v>28160</x:v>
      </x:c>
      <x:c r="G299" s="84" t="n">
        <x:v>27628</x:v>
      </x:c>
      <x:c r="H299" s="84" t="n">
        <x:v>532</x:v>
      </x:c>
      <x:c r="I299" s="84" t="n">
        <x:v>352</x:v>
      </x:c>
      <x:c r="J299" s="85" t="n">
        <x:v>328.8</x:v>
      </x:c>
    </x:row>
    <x:row r="300">
      <x:c r="A300" s="83" t="n">
        <x:v>299</x:v>
      </x:c>
      <x:c r="B300" s="89" t="n">
        <x:v>45658</x:v>
      </x:c>
      <x:c r="C300" s="84" t="n">
        <x:v>3</x:v>
      </x:c>
      <x:c r="D300" s="84" t="n">
        <x:v>8</x:v>
      </x:c>
      <x:c r="E300" s="84" t="n">
        <x:v>11</x:v>
      </x:c>
      <x:c r="F300" s="84" t="n">
        <x:v>52800</x:v>
      </x:c>
      <x:c r="G300" s="84" t="n">
        <x:v>50266</x:v>
      </x:c>
      <x:c r="H300" s="84" t="n">
        <x:v>2534</x:v>
      </x:c>
      <x:c r="I300" s="84" t="n">
        <x:v>352</x:v>
      </x:c>
      <x:c r="J300" s="85" t="n">
        <x:v>340.6</x:v>
      </x:c>
    </x:row>
    <x:row r="301">
      <x:c r="A301" s="83" t="n">
        <x:v>300</x:v>
      </x:c>
      <x:c r="B301" s="89" t="n">
        <x:v>45658</x:v>
      </x:c>
      <x:c r="C301" s="84" t="n">
        <x:v>3</x:v>
      </x:c>
      <x:c r="D301" s="84" t="n">
        <x:v>8</x:v>
      </x:c>
      <x:c r="E301" s="84" t="n">
        <x:v>12</x:v>
      </x:c>
      <x:c r="F301" s="84" t="n">
        <x:v>52800</x:v>
      </x:c>
      <x:c r="G301" s="84" t="n">
        <x:v>48854</x:v>
      </x:c>
      <x:c r="H301" s="84" t="n">
        <x:v>3946</x:v>
      </x:c>
      <x:c r="I301" s="84" t="n">
        <x:v>352</x:v>
      </x:c>
      <x:c r="J301" s="85" t="n">
        <x:v>330.1</x:v>
      </x:c>
    </x:row>
    <x:row r="302">
      <x:c r="A302" s="83" t="n">
        <x:v>301</x:v>
      </x:c>
      <x:c r="B302" s="89" t="n">
        <x:v>45689</x:v>
      </x:c>
      <x:c r="C302" s="84" t="n">
        <x:v>1</x:v>
      </x:c>
      <x:c r="D302" s="84" t="n">
        <x:v>1</x:v>
      </x:c>
      <x:c r="E302" s="84" t="n">
        <x:v>1</x:v>
      </x:c>
      <x:c r="F302" s="84" t="n">
        <x:v>28160</x:v>
      </x:c>
      <x:c r="G302" s="84" t="n">
        <x:v>26672</x:v>
      </x:c>
      <x:c r="H302" s="84" t="n">
        <x:v>1488</x:v>
      </x:c>
      <x:c r="I302" s="84" t="n">
        <x:v>352</x:v>
      </x:c>
      <x:c r="J302" s="85" t="n">
        <x:v>321.9</x:v>
      </x:c>
    </x:row>
    <x:row r="303">
      <x:c r="A303" s="83" t="n">
        <x:v>302</x:v>
      </x:c>
      <x:c r="B303" s="89" t="n">
        <x:v>45689</x:v>
      </x:c>
      <x:c r="C303" s="84" t="n">
        <x:v>1</x:v>
      </x:c>
      <x:c r="D303" s="84" t="n">
        <x:v>1</x:v>
      </x:c>
      <x:c r="E303" s="84" t="n">
        <x:v>2</x:v>
      </x:c>
      <x:c r="F303" s="84" t="n">
        <x:v>42240</x:v>
      </x:c>
      <x:c r="G303" s="84" t="n">
        <x:v>39610</x:v>
      </x:c>
      <x:c r="H303" s="84" t="n">
        <x:v>2630</x:v>
      </x:c>
      <x:c r="I303" s="84" t="n">
        <x:v>352</x:v>
      </x:c>
      <x:c r="J303" s="85" t="n">
        <x:v>346</x:v>
      </x:c>
    </x:row>
    <x:row r="304">
      <x:c r="A304" s="83" t="n">
        <x:v>303</x:v>
      </x:c>
      <x:c r="B304" s="89" t="n">
        <x:v>45689</x:v>
      </x:c>
      <x:c r="C304" s="84" t="n">
        <x:v>1</x:v>
      </x:c>
      <x:c r="D304" s="84" t="n">
        <x:v>2</x:v>
      </x:c>
      <x:c r="E304" s="84" t="n">
        <x:v>3</x:v>
      </x:c>
      <x:c r="F304" s="84" t="n">
        <x:v>35200</x:v>
      </x:c>
      <x:c r="G304" s="84" t="n">
        <x:v>32937</x:v>
      </x:c>
      <x:c r="H304" s="84" t="n">
        <x:v>2263</x:v>
      </x:c>
      <x:c r="I304" s="84" t="n">
        <x:v>352</x:v>
      </x:c>
      <x:c r="J304" s="85" t="n">
        <x:v>333.7</x:v>
      </x:c>
    </x:row>
    <x:row r="305">
      <x:c r="A305" s="83" t="n">
        <x:v>304</x:v>
      </x:c>
      <x:c r="B305" s="89" t="n">
        <x:v>45689</x:v>
      </x:c>
      <x:c r="C305" s="84" t="n">
        <x:v>1</x:v>
      </x:c>
      <x:c r="D305" s="84" t="n">
        <x:v>2</x:v>
      </x:c>
      <x:c r="E305" s="84" t="n">
        <x:v>4</x:v>
      </x:c>
      <x:c r="F305" s="84" t="n">
        <x:v>28160</x:v>
      </x:c>
      <x:c r="G305" s="84" t="n">
        <x:v>27704</x:v>
      </x:c>
      <x:c r="H305" s="84" t="n">
        <x:v>456</x:v>
      </x:c>
      <x:c r="I305" s="84" t="n">
        <x:v>352</x:v>
      </x:c>
      <x:c r="J305" s="85" t="n">
        <x:v>326.8</x:v>
      </x:c>
    </x:row>
    <x:row r="306">
      <x:c r="A306" s="83" t="n">
        <x:v>305</x:v>
      </x:c>
      <x:c r="B306" s="89" t="n">
        <x:v>45689</x:v>
      </x:c>
      <x:c r="C306" s="84" t="n">
        <x:v>2</x:v>
      </x:c>
      <x:c r="D306" s="84" t="n">
        <x:v>4</x:v>
      </x:c>
      <x:c r="E306" s="84" t="n">
        <x:v>5</x:v>
      </x:c>
      <x:c r="F306" s="84" t="n">
        <x:v>52800</x:v>
      </x:c>
      <x:c r="G306" s="84" t="n">
        <x:v>52094</x:v>
      </x:c>
      <x:c r="H306" s="84" t="n">
        <x:v>706</x:v>
      </x:c>
      <x:c r="I306" s="84" t="n">
        <x:v>352</x:v>
      </x:c>
      <x:c r="J306" s="85" t="n">
        <x:v>328</x:v>
      </x:c>
    </x:row>
    <x:row r="307">
      <x:c r="A307" s="83" t="n">
        <x:v>306</x:v>
      </x:c>
      <x:c r="B307" s="89" t="n">
        <x:v>45689</x:v>
      </x:c>
      <x:c r="C307" s="84" t="n">
        <x:v>2</x:v>
      </x:c>
      <x:c r="D307" s="84" t="n">
        <x:v>4</x:v>
      </x:c>
      <x:c r="E307" s="84" t="n">
        <x:v>6</x:v>
      </x:c>
      <x:c r="F307" s="84" t="n">
        <x:v>35200</x:v>
      </x:c>
      <x:c r="G307" s="84" t="n">
        <x:v>33578</x:v>
      </x:c>
      <x:c r="H307" s="84" t="n">
        <x:v>1622</x:v>
      </x:c>
      <x:c r="I307" s="84" t="n">
        <x:v>352</x:v>
      </x:c>
      <x:c r="J307" s="85" t="n">
        <x:v>347.3</x:v>
      </x:c>
    </x:row>
    <x:row r="308">
      <x:c r="A308" s="83" t="n">
        <x:v>307</x:v>
      </x:c>
      <x:c r="B308" s="89" t="n">
        <x:v>45689</x:v>
      </x:c>
      <x:c r="C308" s="84" t="n">
        <x:v>2</x:v>
      </x:c>
      <x:c r="D308" s="84" t="n">
        <x:v>5</x:v>
      </x:c>
      <x:c r="E308" s="84" t="n">
        <x:v>7</x:v>
      </x:c>
      <x:c r="F308" s="84" t="n">
        <x:v>42240</x:v>
      </x:c>
      <x:c r="G308" s="84" t="n">
        <x:v>39027</x:v>
      </x:c>
      <x:c r="H308" s="84" t="n">
        <x:v>3213</x:v>
      </x:c>
      <x:c r="I308" s="84" t="n">
        <x:v>352</x:v>
      </x:c>
      <x:c r="J308" s="85" t="n">
        <x:v>343.8</x:v>
      </x:c>
    </x:row>
    <x:row r="309">
      <x:c r="A309" s="83" t="n">
        <x:v>308</x:v>
      </x:c>
      <x:c r="B309" s="89" t="n">
        <x:v>45689</x:v>
      </x:c>
      <x:c r="C309" s="84" t="n">
        <x:v>2</x:v>
      </x:c>
      <x:c r="D309" s="84" t="n">
        <x:v>5</x:v>
      </x:c>
      <x:c r="E309" s="84" t="n">
        <x:v>8</x:v>
      </x:c>
      <x:c r="F309" s="84" t="n">
        <x:v>42240</x:v>
      </x:c>
      <x:c r="G309" s="84" t="n">
        <x:v>42058</x:v>
      </x:c>
      <x:c r="H309" s="84" t="n">
        <x:v>182</x:v>
      </x:c>
      <x:c r="I309" s="84" t="n">
        <x:v>352</x:v>
      </x:c>
      <x:c r="J309" s="85" t="n">
        <x:v>346.2</x:v>
      </x:c>
    </x:row>
    <x:row r="310">
      <x:c r="A310" s="83" t="n">
        <x:v>309</x:v>
      </x:c>
      <x:c r="B310" s="89" t="n">
        <x:v>45689</x:v>
      </x:c>
      <x:c r="C310" s="84" t="n">
        <x:v>3</x:v>
      </x:c>
      <x:c r="D310" s="84" t="n">
        <x:v>7</x:v>
      </x:c>
      <x:c r="E310" s="84" t="n">
        <x:v>9</x:v>
      </x:c>
      <x:c r="F310" s="84" t="n">
        <x:v>28160</x:v>
      </x:c>
      <x:c r="G310" s="84" t="n">
        <x:v>27829</x:v>
      </x:c>
      <x:c r="H310" s="84" t="n">
        <x:v>331</x:v>
      </x:c>
      <x:c r="I310" s="84" t="n">
        <x:v>352</x:v>
      </x:c>
      <x:c r="J310" s="85" t="n">
        <x:v>348</x:v>
      </x:c>
    </x:row>
    <x:row r="311">
      <x:c r="A311" s="83" t="n">
        <x:v>310</x:v>
      </x:c>
      <x:c r="B311" s="89" t="n">
        <x:v>45689</x:v>
      </x:c>
      <x:c r="C311" s="84" t="n">
        <x:v>3</x:v>
      </x:c>
      <x:c r="D311" s="84" t="n">
        <x:v>7</x:v>
      </x:c>
      <x:c r="E311" s="84" t="n">
        <x:v>10</x:v>
      </x:c>
      <x:c r="F311" s="84" t="n">
        <x:v>28160</x:v>
      </x:c>
      <x:c r="G311" s="84" t="n">
        <x:v>27468</x:v>
      </x:c>
      <x:c r="H311" s="84" t="n">
        <x:v>692</x:v>
      </x:c>
      <x:c r="I311" s="84" t="n">
        <x:v>352</x:v>
      </x:c>
      <x:c r="J311" s="85" t="n">
        <x:v>335.5</x:v>
      </x:c>
    </x:row>
    <x:row r="312">
      <x:c r="A312" s="83" t="n">
        <x:v>311</x:v>
      </x:c>
      <x:c r="B312" s="89" t="n">
        <x:v>45689</x:v>
      </x:c>
      <x:c r="C312" s="84" t="n">
        <x:v>3</x:v>
      </x:c>
      <x:c r="D312" s="84" t="n">
        <x:v>8</x:v>
      </x:c>
      <x:c r="E312" s="84" t="n">
        <x:v>11</x:v>
      </x:c>
      <x:c r="F312" s="84" t="n">
        <x:v>52800</x:v>
      </x:c>
      <x:c r="G312" s="84" t="n">
        <x:v>49831</x:v>
      </x:c>
      <x:c r="H312" s="84" t="n">
        <x:v>2969</x:v>
      </x:c>
      <x:c r="I312" s="84" t="n">
        <x:v>352</x:v>
      </x:c>
      <x:c r="J312" s="85" t="n">
        <x:v>328.3</x:v>
      </x:c>
    </x:row>
    <x:row r="313">
      <x:c r="A313" s="83" t="n">
        <x:v>312</x:v>
      </x:c>
      <x:c r="B313" s="89" t="n">
        <x:v>45689</x:v>
      </x:c>
      <x:c r="C313" s="84" t="n">
        <x:v>3</x:v>
      </x:c>
      <x:c r="D313" s="84" t="n">
        <x:v>8</x:v>
      </x:c>
      <x:c r="E313" s="84" t="n">
        <x:v>12</x:v>
      </x:c>
      <x:c r="F313" s="84" t="n">
        <x:v>52800</x:v>
      </x:c>
      <x:c r="G313" s="84" t="n">
        <x:v>51675</x:v>
      </x:c>
      <x:c r="H313" s="84" t="n">
        <x:v>1125</x:v>
      </x:c>
      <x:c r="I313" s="84" t="n">
        <x:v>352</x:v>
      </x:c>
      <x:c r="J313" s="85" t="n">
        <x:v>332.8</x:v>
      </x:c>
    </x:row>
    <x:row r="314">
      <x:c r="A314" s="83" t="n">
        <x:v>313</x:v>
      </x:c>
      <x:c r="B314" s="89" t="n">
        <x:v>45717</x:v>
      </x:c>
      <x:c r="C314" s="84" t="n">
        <x:v>1</x:v>
      </x:c>
      <x:c r="D314" s="84" t="n">
        <x:v>1</x:v>
      </x:c>
      <x:c r="E314" s="84" t="n">
        <x:v>1</x:v>
      </x:c>
      <x:c r="F314" s="84" t="n">
        <x:v>28160</x:v>
      </x:c>
      <x:c r="G314" s="84" t="n">
        <x:v>27454</x:v>
      </x:c>
      <x:c r="H314" s="84" t="n">
        <x:v>706</x:v>
      </x:c>
      <x:c r="I314" s="84" t="n">
        <x:v>352</x:v>
      </x:c>
      <x:c r="J314" s="85" t="n">
        <x:v>343.7</x:v>
      </x:c>
    </x:row>
    <x:row r="315">
      <x:c r="A315" s="83" t="n">
        <x:v>314</x:v>
      </x:c>
      <x:c r="B315" s="89" t="n">
        <x:v>45717</x:v>
      </x:c>
      <x:c r="C315" s="84" t="n">
        <x:v>1</x:v>
      </x:c>
      <x:c r="D315" s="84" t="n">
        <x:v>1</x:v>
      </x:c>
      <x:c r="E315" s="84" t="n">
        <x:v>2</x:v>
      </x:c>
      <x:c r="F315" s="84" t="n">
        <x:v>42240</x:v>
      </x:c>
      <x:c r="G315" s="84" t="n">
        <x:v>41752</x:v>
      </x:c>
      <x:c r="H315" s="84" t="n">
        <x:v>488</x:v>
      </x:c>
      <x:c r="I315" s="84" t="n">
        <x:v>352</x:v>
      </x:c>
      <x:c r="J315" s="85" t="n">
        <x:v>328.4</x:v>
      </x:c>
    </x:row>
    <x:row r="316">
      <x:c r="A316" s="83" t="n">
        <x:v>315</x:v>
      </x:c>
      <x:c r="B316" s="89" t="n">
        <x:v>45717</x:v>
      </x:c>
      <x:c r="C316" s="84" t="n">
        <x:v>1</x:v>
      </x:c>
      <x:c r="D316" s="84" t="n">
        <x:v>2</x:v>
      </x:c>
      <x:c r="E316" s="84" t="n">
        <x:v>3</x:v>
      </x:c>
      <x:c r="F316" s="84" t="n">
        <x:v>35200</x:v>
      </x:c>
      <x:c r="G316" s="84" t="n">
        <x:v>33327</x:v>
      </x:c>
      <x:c r="H316" s="84" t="n">
        <x:v>1873</x:v>
      </x:c>
      <x:c r="I316" s="84" t="n">
        <x:v>352</x:v>
      </x:c>
      <x:c r="J316" s="85" t="n">
        <x:v>320.9</x:v>
      </x:c>
    </x:row>
    <x:row r="317">
      <x:c r="A317" s="83" t="n">
        <x:v>316</x:v>
      </x:c>
      <x:c r="B317" s="89" t="n">
        <x:v>45717</x:v>
      </x:c>
      <x:c r="C317" s="84" t="n">
        <x:v>1</x:v>
      </x:c>
      <x:c r="D317" s="84" t="n">
        <x:v>2</x:v>
      </x:c>
      <x:c r="E317" s="84" t="n">
        <x:v>4</x:v>
      </x:c>
      <x:c r="F317" s="84" t="n">
        <x:v>28160</x:v>
      </x:c>
      <x:c r="G317" s="84" t="n">
        <x:v>27515</x:v>
      </x:c>
      <x:c r="H317" s="84" t="n">
        <x:v>645</x:v>
      </x:c>
      <x:c r="I317" s="84" t="n">
        <x:v>352</x:v>
      </x:c>
      <x:c r="J317" s="85" t="n">
        <x:v>348.4</x:v>
      </x:c>
    </x:row>
    <x:row r="318">
      <x:c r="A318" s="83" t="n">
        <x:v>317</x:v>
      </x:c>
      <x:c r="B318" s="89" t="n">
        <x:v>45717</x:v>
      </x:c>
      <x:c r="C318" s="84" t="n">
        <x:v>2</x:v>
      </x:c>
      <x:c r="D318" s="84" t="n">
        <x:v>4</x:v>
      </x:c>
      <x:c r="E318" s="84" t="n">
        <x:v>5</x:v>
      </x:c>
      <x:c r="F318" s="84" t="n">
        <x:v>52800</x:v>
      </x:c>
      <x:c r="G318" s="84" t="n">
        <x:v>50970</x:v>
      </x:c>
      <x:c r="H318" s="84" t="n">
        <x:v>1830</x:v>
      </x:c>
      <x:c r="I318" s="84" t="n">
        <x:v>352</x:v>
      </x:c>
      <x:c r="J318" s="85" t="n">
        <x:v>317.7</x:v>
      </x:c>
    </x:row>
    <x:row r="319">
      <x:c r="A319" s="83" t="n">
        <x:v>318</x:v>
      </x:c>
      <x:c r="B319" s="89" t="n">
        <x:v>45717</x:v>
      </x:c>
      <x:c r="C319" s="84" t="n">
        <x:v>2</x:v>
      </x:c>
      <x:c r="D319" s="84" t="n">
        <x:v>4</x:v>
      </x:c>
      <x:c r="E319" s="84" t="n">
        <x:v>6</x:v>
      </x:c>
      <x:c r="F319" s="84" t="n">
        <x:v>35200</x:v>
      </x:c>
      <x:c r="G319" s="84" t="n">
        <x:v>34330</x:v>
      </x:c>
      <x:c r="H319" s="84" t="n">
        <x:v>870</x:v>
      </x:c>
      <x:c r="I319" s="84" t="n">
        <x:v>352</x:v>
      </x:c>
      <x:c r="J319" s="85" t="n">
        <x:v>349.1</x:v>
      </x:c>
    </x:row>
    <x:row r="320">
      <x:c r="A320" s="83" t="n">
        <x:v>319</x:v>
      </x:c>
      <x:c r="B320" s="89" t="n">
        <x:v>45717</x:v>
      </x:c>
      <x:c r="C320" s="84" t="n">
        <x:v>2</x:v>
      </x:c>
      <x:c r="D320" s="84" t="n">
        <x:v>5</x:v>
      </x:c>
      <x:c r="E320" s="84" t="n">
        <x:v>7</x:v>
      </x:c>
      <x:c r="F320" s="84" t="n">
        <x:v>42240</x:v>
      </x:c>
      <x:c r="G320" s="84" t="n">
        <x:v>41164</x:v>
      </x:c>
      <x:c r="H320" s="84" t="n">
        <x:v>1076</x:v>
      </x:c>
      <x:c r="I320" s="84" t="n">
        <x:v>352</x:v>
      </x:c>
      <x:c r="J320" s="85" t="n">
        <x:v>322.3</x:v>
      </x:c>
    </x:row>
    <x:row r="321">
      <x:c r="A321" s="83" t="n">
        <x:v>320</x:v>
      </x:c>
      <x:c r="B321" s="89" t="n">
        <x:v>45717</x:v>
      </x:c>
      <x:c r="C321" s="84" t="n">
        <x:v>2</x:v>
      </x:c>
      <x:c r="D321" s="84" t="n">
        <x:v>5</x:v>
      </x:c>
      <x:c r="E321" s="84" t="n">
        <x:v>8</x:v>
      </x:c>
      <x:c r="F321" s="84" t="n">
        <x:v>42240</x:v>
      </x:c>
      <x:c r="G321" s="84" t="n">
        <x:v>39939</x:v>
      </x:c>
      <x:c r="H321" s="84" t="n">
        <x:v>2301</x:v>
      </x:c>
      <x:c r="I321" s="84" t="n">
        <x:v>352</x:v>
      </x:c>
      <x:c r="J321" s="85" t="n">
        <x:v>317.3</x:v>
      </x:c>
    </x:row>
    <x:row r="322">
      <x:c r="A322" s="83" t="n">
        <x:v>321</x:v>
      </x:c>
      <x:c r="B322" s="89" t="n">
        <x:v>45717</x:v>
      </x:c>
      <x:c r="C322" s="84" t="n">
        <x:v>3</x:v>
      </x:c>
      <x:c r="D322" s="84" t="n">
        <x:v>7</x:v>
      </x:c>
      <x:c r="E322" s="84" t="n">
        <x:v>9</x:v>
      </x:c>
      <x:c r="F322" s="84" t="n">
        <x:v>28160</x:v>
      </x:c>
      <x:c r="G322" s="84" t="n">
        <x:v>27075</x:v>
      </x:c>
      <x:c r="H322" s="84" t="n">
        <x:v>1085</x:v>
      </x:c>
      <x:c r="I322" s="84" t="n">
        <x:v>352</x:v>
      </x:c>
      <x:c r="J322" s="85" t="n">
        <x:v>321.4</x:v>
      </x:c>
    </x:row>
    <x:row r="323">
      <x:c r="A323" s="83" t="n">
        <x:v>322</x:v>
      </x:c>
      <x:c r="B323" s="89" t="n">
        <x:v>45717</x:v>
      </x:c>
      <x:c r="C323" s="84" t="n">
        <x:v>3</x:v>
      </x:c>
      <x:c r="D323" s="84" t="n">
        <x:v>7</x:v>
      </x:c>
      <x:c r="E323" s="84" t="n">
        <x:v>10</x:v>
      </x:c>
      <x:c r="F323" s="84" t="n">
        <x:v>28160</x:v>
      </x:c>
      <x:c r="G323" s="84" t="n">
        <x:v>27503</x:v>
      </x:c>
      <x:c r="H323" s="84" t="n">
        <x:v>657</x:v>
      </x:c>
      <x:c r="I323" s="84" t="n">
        <x:v>352</x:v>
      </x:c>
      <x:c r="J323" s="85" t="n">
        <x:v>347.5</x:v>
      </x:c>
    </x:row>
    <x:row r="324">
      <x:c r="A324" s="83" t="n">
        <x:v>323</x:v>
      </x:c>
      <x:c r="B324" s="89" t="n">
        <x:v>45717</x:v>
      </x:c>
      <x:c r="C324" s="84" t="n">
        <x:v>3</x:v>
      </x:c>
      <x:c r="D324" s="84" t="n">
        <x:v>8</x:v>
      </x:c>
      <x:c r="E324" s="84" t="n">
        <x:v>11</x:v>
      </x:c>
      <x:c r="F324" s="84" t="n">
        <x:v>52800</x:v>
      </x:c>
      <x:c r="G324" s="84" t="n">
        <x:v>50501</x:v>
      </x:c>
      <x:c r="H324" s="84" t="n">
        <x:v>2299</x:v>
      </x:c>
      <x:c r="I324" s="84" t="n">
        <x:v>352</x:v>
      </x:c>
      <x:c r="J324" s="85" t="n">
        <x:v>344.6</x:v>
      </x:c>
    </x:row>
    <x:row r="325">
      <x:c r="A325" s="83" t="n">
        <x:v>324</x:v>
      </x:c>
      <x:c r="B325" s="89" t="n">
        <x:v>45717</x:v>
      </x:c>
      <x:c r="C325" s="84" t="n">
        <x:v>3</x:v>
      </x:c>
      <x:c r="D325" s="84" t="n">
        <x:v>8</x:v>
      </x:c>
      <x:c r="E325" s="84" t="n">
        <x:v>12</x:v>
      </x:c>
      <x:c r="F325" s="84" t="n">
        <x:v>52800</x:v>
      </x:c>
      <x:c r="G325" s="84" t="n">
        <x:v>48605</x:v>
      </x:c>
      <x:c r="H325" s="84" t="n">
        <x:v>4195</x:v>
      </x:c>
      <x:c r="I325" s="84" t="n">
        <x:v>352</x:v>
      </x:c>
      <x:c r="J325" s="85" t="n">
        <x:v>329.8</x:v>
      </x:c>
    </x:row>
    <x:row r="326">
      <x:c r="A326" s="83" t="n">
        <x:v>325</x:v>
      </x:c>
      <x:c r="B326" s="89" t="n">
        <x:v>45748</x:v>
      </x:c>
      <x:c r="C326" s="84" t="n">
        <x:v>1</x:v>
      </x:c>
      <x:c r="D326" s="84" t="n">
        <x:v>1</x:v>
      </x:c>
      <x:c r="E326" s="84" t="n">
        <x:v>1</x:v>
      </x:c>
      <x:c r="F326" s="84" t="n">
        <x:v>28160</x:v>
      </x:c>
      <x:c r="G326" s="84" t="n">
        <x:v>26530</x:v>
      </x:c>
      <x:c r="H326" s="84" t="n">
        <x:v>1630</x:v>
      </x:c>
      <x:c r="I326" s="84" t="n">
        <x:v>352</x:v>
      </x:c>
      <x:c r="J326" s="85" t="n">
        <x:v>336.1</x:v>
      </x:c>
    </x:row>
    <x:row r="327">
      <x:c r="A327" s="83" t="n">
        <x:v>326</x:v>
      </x:c>
      <x:c r="B327" s="89" t="n">
        <x:v>45748</x:v>
      </x:c>
      <x:c r="C327" s="84" t="n">
        <x:v>1</x:v>
      </x:c>
      <x:c r="D327" s="84" t="n">
        <x:v>1</x:v>
      </x:c>
      <x:c r="E327" s="84" t="n">
        <x:v>2</x:v>
      </x:c>
      <x:c r="F327" s="84" t="n">
        <x:v>42240</x:v>
      </x:c>
      <x:c r="G327" s="84" t="n">
        <x:v>39749</x:v>
      </x:c>
      <x:c r="H327" s="84" t="n">
        <x:v>2491</x:v>
      </x:c>
      <x:c r="I327" s="84" t="n">
        <x:v>352</x:v>
      </x:c>
      <x:c r="J327" s="85" t="n">
        <x:v>321.8</x:v>
      </x:c>
    </x:row>
    <x:row r="328">
      <x:c r="A328" s="83" t="n">
        <x:v>327</x:v>
      </x:c>
      <x:c r="B328" s="89" t="n">
        <x:v>45748</x:v>
      </x:c>
      <x:c r="C328" s="84" t="n">
        <x:v>1</x:v>
      </x:c>
      <x:c r="D328" s="84" t="n">
        <x:v>2</x:v>
      </x:c>
      <x:c r="E328" s="84" t="n">
        <x:v>3</x:v>
      </x:c>
      <x:c r="F328" s="84" t="n">
        <x:v>35200</x:v>
      </x:c>
      <x:c r="G328" s="84" t="n">
        <x:v>33389</x:v>
      </x:c>
      <x:c r="H328" s="84" t="n">
        <x:v>1811</x:v>
      </x:c>
      <x:c r="I328" s="84" t="n">
        <x:v>352</x:v>
      </x:c>
      <x:c r="J328" s="85" t="n">
        <x:v>330.8</x:v>
      </x:c>
    </x:row>
    <x:row r="329">
      <x:c r="A329" s="83" t="n">
        <x:v>328</x:v>
      </x:c>
      <x:c r="B329" s="89" t="n">
        <x:v>45748</x:v>
      </x:c>
      <x:c r="C329" s="84" t="n">
        <x:v>1</x:v>
      </x:c>
      <x:c r="D329" s="84" t="n">
        <x:v>2</x:v>
      </x:c>
      <x:c r="E329" s="84" t="n">
        <x:v>4</x:v>
      </x:c>
      <x:c r="F329" s="84" t="n">
        <x:v>28160</x:v>
      </x:c>
      <x:c r="G329" s="84" t="n">
        <x:v>26010</x:v>
      </x:c>
      <x:c r="H329" s="84" t="n">
        <x:v>2150</x:v>
      </x:c>
      <x:c r="I329" s="84" t="n">
        <x:v>352</x:v>
      </x:c>
      <x:c r="J329" s="85" t="n">
        <x:v>323.1</x:v>
      </x:c>
    </x:row>
    <x:row r="330">
      <x:c r="A330" s="83" t="n">
        <x:v>329</x:v>
      </x:c>
      <x:c r="B330" s="89" t="n">
        <x:v>45748</x:v>
      </x:c>
      <x:c r="C330" s="84" t="n">
        <x:v>2</x:v>
      </x:c>
      <x:c r="D330" s="84" t="n">
        <x:v>4</x:v>
      </x:c>
      <x:c r="E330" s="84" t="n">
        <x:v>5</x:v>
      </x:c>
      <x:c r="F330" s="84" t="n">
        <x:v>52800</x:v>
      </x:c>
      <x:c r="G330" s="84" t="n">
        <x:v>51489</x:v>
      </x:c>
      <x:c r="H330" s="84" t="n">
        <x:v>1311</x:v>
      </x:c>
      <x:c r="I330" s="84" t="n">
        <x:v>352</x:v>
      </x:c>
      <x:c r="J330" s="85" t="n">
        <x:v>329</x:v>
      </x:c>
    </x:row>
    <x:row r="331">
      <x:c r="A331" s="83" t="n">
        <x:v>330</x:v>
      </x:c>
      <x:c r="B331" s="89" t="n">
        <x:v>45748</x:v>
      </x:c>
      <x:c r="C331" s="84" t="n">
        <x:v>2</x:v>
      </x:c>
      <x:c r="D331" s="84" t="n">
        <x:v>4</x:v>
      </x:c>
      <x:c r="E331" s="84" t="n">
        <x:v>6</x:v>
      </x:c>
      <x:c r="F331" s="84" t="n">
        <x:v>35200</x:v>
      </x:c>
      <x:c r="G331" s="84" t="n">
        <x:v>33977</x:v>
      </x:c>
      <x:c r="H331" s="84" t="n">
        <x:v>1223</x:v>
      </x:c>
      <x:c r="I331" s="84" t="n">
        <x:v>352</x:v>
      </x:c>
      <x:c r="J331" s="85" t="n">
        <x:v>346.8</x:v>
      </x:c>
    </x:row>
    <x:row r="332">
      <x:c r="A332" s="83" t="n">
        <x:v>331</x:v>
      </x:c>
      <x:c r="B332" s="89" t="n">
        <x:v>45748</x:v>
      </x:c>
      <x:c r="C332" s="84" t="n">
        <x:v>2</x:v>
      </x:c>
      <x:c r="D332" s="84" t="n">
        <x:v>5</x:v>
      </x:c>
      <x:c r="E332" s="84" t="n">
        <x:v>7</x:v>
      </x:c>
      <x:c r="F332" s="84" t="n">
        <x:v>42240</x:v>
      </x:c>
      <x:c r="G332" s="84" t="n">
        <x:v>41159</x:v>
      </x:c>
      <x:c r="H332" s="84" t="n">
        <x:v>1081</x:v>
      </x:c>
      <x:c r="I332" s="84" t="n">
        <x:v>352</x:v>
      </x:c>
      <x:c r="J332" s="85" t="n">
        <x:v>327.8</x:v>
      </x:c>
    </x:row>
    <x:row r="333">
      <x:c r="A333" s="83" t="n">
        <x:v>332</x:v>
      </x:c>
      <x:c r="B333" s="89" t="n">
        <x:v>45748</x:v>
      </x:c>
      <x:c r="C333" s="84" t="n">
        <x:v>2</x:v>
      </x:c>
      <x:c r="D333" s="84" t="n">
        <x:v>5</x:v>
      </x:c>
      <x:c r="E333" s="84" t="n">
        <x:v>8</x:v>
      </x:c>
      <x:c r="F333" s="84" t="n">
        <x:v>42240</x:v>
      </x:c>
      <x:c r="G333" s="84" t="n">
        <x:v>40107</x:v>
      </x:c>
      <x:c r="H333" s="84" t="n">
        <x:v>2133</x:v>
      </x:c>
      <x:c r="I333" s="84" t="n">
        <x:v>352</x:v>
      </x:c>
      <x:c r="J333" s="85" t="n">
        <x:v>318.5</x:v>
      </x:c>
    </x:row>
    <x:row r="334">
      <x:c r="A334" s="83" t="n">
        <x:v>333</x:v>
      </x:c>
      <x:c r="B334" s="89" t="n">
        <x:v>45748</x:v>
      </x:c>
      <x:c r="C334" s="84" t="n">
        <x:v>3</x:v>
      </x:c>
      <x:c r="D334" s="84" t="n">
        <x:v>7</x:v>
      </x:c>
      <x:c r="E334" s="84" t="n">
        <x:v>9</x:v>
      </x:c>
      <x:c r="F334" s="84" t="n">
        <x:v>28160</x:v>
      </x:c>
      <x:c r="G334" s="84" t="n">
        <x:v>26640</x:v>
      </x:c>
      <x:c r="H334" s="84" t="n">
        <x:v>1520</x:v>
      </x:c>
      <x:c r="I334" s="84" t="n">
        <x:v>352</x:v>
      </x:c>
      <x:c r="J334" s="85" t="n">
        <x:v>340.1</x:v>
      </x:c>
    </x:row>
    <x:row r="335">
      <x:c r="A335" s="83" t="n">
        <x:v>334</x:v>
      </x:c>
      <x:c r="B335" s="89" t="n">
        <x:v>45748</x:v>
      </x:c>
      <x:c r="C335" s="84" t="n">
        <x:v>3</x:v>
      </x:c>
      <x:c r="D335" s="84" t="n">
        <x:v>7</x:v>
      </x:c>
      <x:c r="E335" s="84" t="n">
        <x:v>10</x:v>
      </x:c>
      <x:c r="F335" s="84" t="n">
        <x:v>28160</x:v>
      </x:c>
      <x:c r="G335" s="84" t="n">
        <x:v>28016</x:v>
      </x:c>
      <x:c r="H335" s="84" t="n">
        <x:v>144</x:v>
      </x:c>
      <x:c r="I335" s="84" t="n">
        <x:v>352</x:v>
      </x:c>
      <x:c r="J335" s="85" t="n">
        <x:v>336.4</x:v>
      </x:c>
    </x:row>
    <x:row r="336">
      <x:c r="A336" s="83" t="n">
        <x:v>335</x:v>
      </x:c>
      <x:c r="B336" s="89" t="n">
        <x:v>45748</x:v>
      </x:c>
      <x:c r="C336" s="84" t="n">
        <x:v>3</x:v>
      </x:c>
      <x:c r="D336" s="84" t="n">
        <x:v>8</x:v>
      </x:c>
      <x:c r="E336" s="84" t="n">
        <x:v>11</x:v>
      </x:c>
      <x:c r="F336" s="84" t="n">
        <x:v>52800</x:v>
      </x:c>
      <x:c r="G336" s="84" t="n">
        <x:v>49564</x:v>
      </x:c>
      <x:c r="H336" s="84" t="n">
        <x:v>3236</x:v>
      </x:c>
      <x:c r="I336" s="84" t="n">
        <x:v>352</x:v>
      </x:c>
      <x:c r="J336" s="85" t="n">
        <x:v>321.9</x:v>
      </x:c>
    </x:row>
    <x:row r="337">
      <x:c r="A337" s="83" t="n">
        <x:v>336</x:v>
      </x:c>
      <x:c r="B337" s="89" t="n">
        <x:v>45748</x:v>
      </x:c>
      <x:c r="C337" s="84" t="n">
        <x:v>3</x:v>
      </x:c>
      <x:c r="D337" s="84" t="n">
        <x:v>8</x:v>
      </x:c>
      <x:c r="E337" s="84" t="n">
        <x:v>12</x:v>
      </x:c>
      <x:c r="F337" s="84" t="n">
        <x:v>52800</x:v>
      </x:c>
      <x:c r="G337" s="84" t="n">
        <x:v>52789</x:v>
      </x:c>
      <x:c r="H337" s="84" t="n">
        <x:v>11</x:v>
      </x:c>
      <x:c r="I337" s="84" t="n">
        <x:v>352</x:v>
      </x:c>
      <x:c r="J337" s="85" t="n">
        <x:v>334.1</x:v>
      </x:c>
    </x:row>
    <x:row r="338">
      <x:c r="A338" s="83" t="n">
        <x:v>337</x:v>
      </x:c>
      <x:c r="B338" s="89" t="n">
        <x:v>45778</x:v>
      </x:c>
      <x:c r="C338" s="84" t="n">
        <x:v>1</x:v>
      </x:c>
      <x:c r="D338" s="84" t="n">
        <x:v>1</x:v>
      </x:c>
      <x:c r="E338" s="84" t="n">
        <x:v>1</x:v>
      </x:c>
      <x:c r="F338" s="84" t="n">
        <x:v>28160</x:v>
      </x:c>
      <x:c r="G338" s="84" t="n">
        <x:v>27428</x:v>
      </x:c>
      <x:c r="H338" s="84" t="n">
        <x:v>732</x:v>
      </x:c>
      <x:c r="I338" s="84" t="n">
        <x:v>352</x:v>
      </x:c>
      <x:c r="J338" s="85" t="n">
        <x:v>323.8</x:v>
      </x:c>
    </x:row>
    <x:row r="339">
      <x:c r="A339" s="83" t="n">
        <x:v>338</x:v>
      </x:c>
      <x:c r="B339" s="89" t="n">
        <x:v>45778</x:v>
      </x:c>
      <x:c r="C339" s="84" t="n">
        <x:v>1</x:v>
      </x:c>
      <x:c r="D339" s="84" t="n">
        <x:v>1</x:v>
      </x:c>
      <x:c r="E339" s="84" t="n">
        <x:v>2</x:v>
      </x:c>
      <x:c r="F339" s="84" t="n">
        <x:v>42240</x:v>
      </x:c>
      <x:c r="G339" s="84" t="n">
        <x:v>40270</x:v>
      </x:c>
      <x:c r="H339" s="84" t="n">
        <x:v>1970</x:v>
      </x:c>
      <x:c r="I339" s="84" t="n">
        <x:v>352</x:v>
      </x:c>
      <x:c r="J339" s="85" t="n">
        <x:v>335.3</x:v>
      </x:c>
    </x:row>
    <x:row r="340">
      <x:c r="A340" s="83" t="n">
        <x:v>339</x:v>
      </x:c>
      <x:c r="B340" s="89" t="n">
        <x:v>45778</x:v>
      </x:c>
      <x:c r="C340" s="84" t="n">
        <x:v>1</x:v>
      </x:c>
      <x:c r="D340" s="84" t="n">
        <x:v>2</x:v>
      </x:c>
      <x:c r="E340" s="84" t="n">
        <x:v>3</x:v>
      </x:c>
      <x:c r="F340" s="84" t="n">
        <x:v>35200</x:v>
      </x:c>
      <x:c r="G340" s="84" t="n">
        <x:v>35003</x:v>
      </x:c>
      <x:c r="H340" s="84" t="n">
        <x:v>197</x:v>
      </x:c>
      <x:c r="I340" s="84" t="n">
        <x:v>352</x:v>
      </x:c>
      <x:c r="J340" s="85" t="n">
        <x:v>328</x:v>
      </x:c>
    </x:row>
    <x:row r="341">
      <x:c r="A341" s="83" t="n">
        <x:v>340</x:v>
      </x:c>
      <x:c r="B341" s="89" t="n">
        <x:v>45778</x:v>
      </x:c>
      <x:c r="C341" s="84" t="n">
        <x:v>1</x:v>
      </x:c>
      <x:c r="D341" s="84" t="n">
        <x:v>2</x:v>
      </x:c>
      <x:c r="E341" s="84" t="n">
        <x:v>4</x:v>
      </x:c>
      <x:c r="F341" s="84" t="n">
        <x:v>28160</x:v>
      </x:c>
      <x:c r="G341" s="84" t="n">
        <x:v>25984</x:v>
      </x:c>
      <x:c r="H341" s="84" t="n">
        <x:v>2176</x:v>
      </x:c>
      <x:c r="I341" s="84" t="n">
        <x:v>352</x:v>
      </x:c>
      <x:c r="J341" s="85" t="n">
        <x:v>345.6</x:v>
      </x:c>
    </x:row>
    <x:row r="342">
      <x:c r="A342" s="83" t="n">
        <x:v>341</x:v>
      </x:c>
      <x:c r="B342" s="89" t="n">
        <x:v>45778</x:v>
      </x:c>
      <x:c r="C342" s="84" t="n">
        <x:v>2</x:v>
      </x:c>
      <x:c r="D342" s="84" t="n">
        <x:v>4</x:v>
      </x:c>
      <x:c r="E342" s="84" t="n">
        <x:v>5</x:v>
      </x:c>
      <x:c r="F342" s="84" t="n">
        <x:v>52800</x:v>
      </x:c>
      <x:c r="G342" s="84" t="n">
        <x:v>51325</x:v>
      </x:c>
      <x:c r="H342" s="84" t="n">
        <x:v>1475</x:v>
      </x:c>
      <x:c r="I342" s="84" t="n">
        <x:v>352</x:v>
      </x:c>
      <x:c r="J342" s="85" t="n">
        <x:v>338.5</x:v>
      </x:c>
    </x:row>
    <x:row r="343">
      <x:c r="A343" s="83" t="n">
        <x:v>342</x:v>
      </x:c>
      <x:c r="B343" s="89" t="n">
        <x:v>45778</x:v>
      </x:c>
      <x:c r="C343" s="84" t="n">
        <x:v>2</x:v>
      </x:c>
      <x:c r="D343" s="84" t="n">
        <x:v>4</x:v>
      </x:c>
      <x:c r="E343" s="84" t="n">
        <x:v>6</x:v>
      </x:c>
      <x:c r="F343" s="84" t="n">
        <x:v>35200</x:v>
      </x:c>
      <x:c r="G343" s="84" t="n">
        <x:v>33658</x:v>
      </x:c>
      <x:c r="H343" s="84" t="n">
        <x:v>1542</x:v>
      </x:c>
      <x:c r="I343" s="84" t="n">
        <x:v>352</x:v>
      </x:c>
      <x:c r="J343" s="85" t="n">
        <x:v>332.4</x:v>
      </x:c>
    </x:row>
    <x:row r="344">
      <x:c r="A344" s="83" t="n">
        <x:v>343</x:v>
      </x:c>
      <x:c r="B344" s="89" t="n">
        <x:v>45778</x:v>
      </x:c>
      <x:c r="C344" s="84" t="n">
        <x:v>2</x:v>
      </x:c>
      <x:c r="D344" s="84" t="n">
        <x:v>5</x:v>
      </x:c>
      <x:c r="E344" s="84" t="n">
        <x:v>7</x:v>
      </x:c>
      <x:c r="F344" s="84" t="n">
        <x:v>42240</x:v>
      </x:c>
      <x:c r="G344" s="84" t="n">
        <x:v>40795</x:v>
      </x:c>
      <x:c r="H344" s="84" t="n">
        <x:v>1445</x:v>
      </x:c>
      <x:c r="I344" s="84" t="n">
        <x:v>352</x:v>
      </x:c>
      <x:c r="J344" s="85" t="n">
        <x:v>326.3</x:v>
      </x:c>
    </x:row>
    <x:row r="345">
      <x:c r="A345" s="83" t="n">
        <x:v>344</x:v>
      </x:c>
      <x:c r="B345" s="89" t="n">
        <x:v>45778</x:v>
      </x:c>
      <x:c r="C345" s="84" t="n">
        <x:v>2</x:v>
      </x:c>
      <x:c r="D345" s="84" t="n">
        <x:v>5</x:v>
      </x:c>
      <x:c r="E345" s="84" t="n">
        <x:v>8</x:v>
      </x:c>
      <x:c r="F345" s="84" t="n">
        <x:v>42240</x:v>
      </x:c>
      <x:c r="G345" s="84" t="n">
        <x:v>40287</x:v>
      </x:c>
      <x:c r="H345" s="84" t="n">
        <x:v>1953</x:v>
      </x:c>
      <x:c r="I345" s="84" t="n">
        <x:v>352</x:v>
      </x:c>
      <x:c r="J345" s="85" t="n">
        <x:v>348.8</x:v>
      </x:c>
    </x:row>
    <x:row r="346">
      <x:c r="A346" s="83" t="n">
        <x:v>345</x:v>
      </x:c>
      <x:c r="B346" s="89" t="n">
        <x:v>45778</x:v>
      </x:c>
      <x:c r="C346" s="84" t="n">
        <x:v>3</x:v>
      </x:c>
      <x:c r="D346" s="84" t="n">
        <x:v>7</x:v>
      </x:c>
      <x:c r="E346" s="84" t="n">
        <x:v>9</x:v>
      </x:c>
      <x:c r="F346" s="84" t="n">
        <x:v>28160</x:v>
      </x:c>
      <x:c r="G346" s="84" t="n">
        <x:v>27047</x:v>
      </x:c>
      <x:c r="H346" s="84" t="n">
        <x:v>1113</x:v>
      </x:c>
      <x:c r="I346" s="84" t="n">
        <x:v>352</x:v>
      </x:c>
      <x:c r="J346" s="85" t="n">
        <x:v>333.6</x:v>
      </x:c>
    </x:row>
    <x:row r="347">
      <x:c r="A347" s="83" t="n">
        <x:v>346</x:v>
      </x:c>
      <x:c r="B347" s="89" t="n">
        <x:v>45778</x:v>
      </x:c>
      <x:c r="C347" s="84" t="n">
        <x:v>3</x:v>
      </x:c>
      <x:c r="D347" s="84" t="n">
        <x:v>7</x:v>
      </x:c>
      <x:c r="E347" s="84" t="n">
        <x:v>10</x:v>
      </x:c>
      <x:c r="F347" s="84" t="n">
        <x:v>28160</x:v>
      </x:c>
      <x:c r="G347" s="84" t="n">
        <x:v>27750</x:v>
      </x:c>
      <x:c r="H347" s="84" t="n">
        <x:v>410</x:v>
      </x:c>
      <x:c r="I347" s="84" t="n">
        <x:v>352</x:v>
      </x:c>
      <x:c r="J347" s="85" t="n">
        <x:v>318.5</x:v>
      </x:c>
    </x:row>
    <x:row r="348">
      <x:c r="A348" s="83" t="n">
        <x:v>347</x:v>
      </x:c>
      <x:c r="B348" s="89" t="n">
        <x:v>45778</x:v>
      </x:c>
      <x:c r="C348" s="84" t="n">
        <x:v>3</x:v>
      </x:c>
      <x:c r="D348" s="84" t="n">
        <x:v>8</x:v>
      </x:c>
      <x:c r="E348" s="84" t="n">
        <x:v>11</x:v>
      </x:c>
      <x:c r="F348" s="84" t="n">
        <x:v>52800</x:v>
      </x:c>
      <x:c r="G348" s="84" t="n">
        <x:v>52610</x:v>
      </x:c>
      <x:c r="H348" s="84" t="n">
        <x:v>190</x:v>
      </x:c>
      <x:c r="I348" s="84" t="n">
        <x:v>352</x:v>
      </x:c>
      <x:c r="J348" s="85" t="n">
        <x:v>328.2</x:v>
      </x:c>
    </x:row>
    <x:row r="349">
      <x:c r="A349" s="83" t="n">
        <x:v>348</x:v>
      </x:c>
      <x:c r="B349" s="89" t="n">
        <x:v>45778</x:v>
      </x:c>
      <x:c r="C349" s="84" t="n">
        <x:v>3</x:v>
      </x:c>
      <x:c r="D349" s="84" t="n">
        <x:v>8</x:v>
      </x:c>
      <x:c r="E349" s="84" t="n">
        <x:v>12</x:v>
      </x:c>
      <x:c r="F349" s="84" t="n">
        <x:v>52800</x:v>
      </x:c>
      <x:c r="G349" s="84" t="n">
        <x:v>52741</x:v>
      </x:c>
      <x:c r="H349" s="84" t="n">
        <x:v>59</x:v>
      </x:c>
      <x:c r="I349" s="84" t="n">
        <x:v>352</x:v>
      </x:c>
      <x:c r="J349" s="85" t="n">
        <x:v>342.9</x:v>
      </x:c>
    </x:row>
    <x:row r="350">
      <x:c r="A350" s="83" t="n">
        <x:v>349</x:v>
      </x:c>
      <x:c r="B350" s="89" t="n">
        <x:v>45809</x:v>
      </x:c>
      <x:c r="C350" s="84" t="n">
        <x:v>1</x:v>
      </x:c>
      <x:c r="D350" s="84" t="n">
        <x:v>1</x:v>
      </x:c>
      <x:c r="E350" s="84" t="n">
        <x:v>1</x:v>
      </x:c>
      <x:c r="F350" s="84" t="n">
        <x:v>28160</x:v>
      </x:c>
      <x:c r="G350" s="84" t="n">
        <x:v>27670</x:v>
      </x:c>
      <x:c r="H350" s="84" t="n">
        <x:v>490</x:v>
      </x:c>
      <x:c r="I350" s="84" t="n">
        <x:v>352</x:v>
      </x:c>
      <x:c r="J350" s="85" t="n">
        <x:v>330.7</x:v>
      </x:c>
    </x:row>
    <x:row r="351">
      <x:c r="A351" s="83" t="n">
        <x:v>350</x:v>
      </x:c>
      <x:c r="B351" s="89" t="n">
        <x:v>45809</x:v>
      </x:c>
      <x:c r="C351" s="84" t="n">
        <x:v>1</x:v>
      </x:c>
      <x:c r="D351" s="84" t="n">
        <x:v>1</x:v>
      </x:c>
      <x:c r="E351" s="84" t="n">
        <x:v>2</x:v>
      </x:c>
      <x:c r="F351" s="84" t="n">
        <x:v>42240</x:v>
      </x:c>
      <x:c r="G351" s="84" t="n">
        <x:v>42119</x:v>
      </x:c>
      <x:c r="H351" s="84" t="n">
        <x:v>121</x:v>
      </x:c>
      <x:c r="I351" s="84" t="n">
        <x:v>352</x:v>
      </x:c>
      <x:c r="J351" s="85" t="n">
        <x:v>329.3</x:v>
      </x:c>
    </x:row>
    <x:row r="352">
      <x:c r="A352" s="83" t="n">
        <x:v>351</x:v>
      </x:c>
      <x:c r="B352" s="89" t="n">
        <x:v>45809</x:v>
      </x:c>
      <x:c r="C352" s="84" t="n">
        <x:v>1</x:v>
      </x:c>
      <x:c r="D352" s="84" t="n">
        <x:v>2</x:v>
      </x:c>
      <x:c r="E352" s="84" t="n">
        <x:v>3</x:v>
      </x:c>
      <x:c r="F352" s="84" t="n">
        <x:v>35200</x:v>
      </x:c>
      <x:c r="G352" s="84" t="n">
        <x:v>34505</x:v>
      </x:c>
      <x:c r="H352" s="84" t="n">
        <x:v>695</x:v>
      </x:c>
      <x:c r="I352" s="84" t="n">
        <x:v>352</x:v>
      </x:c>
      <x:c r="J352" s="85" t="n">
        <x:v>345.8</x:v>
      </x:c>
    </x:row>
    <x:row r="353">
      <x:c r="A353" s="83" t="n">
        <x:v>352</x:v>
      </x:c>
      <x:c r="B353" s="89" t="n">
        <x:v>45809</x:v>
      </x:c>
      <x:c r="C353" s="84" t="n">
        <x:v>1</x:v>
      </x:c>
      <x:c r="D353" s="84" t="n">
        <x:v>2</x:v>
      </x:c>
      <x:c r="E353" s="84" t="n">
        <x:v>4</x:v>
      </x:c>
      <x:c r="F353" s="84" t="n">
        <x:v>28160</x:v>
      </x:c>
      <x:c r="G353" s="84" t="n">
        <x:v>27410</x:v>
      </x:c>
      <x:c r="H353" s="84" t="n">
        <x:v>750</x:v>
      </x:c>
      <x:c r="I353" s="84" t="n">
        <x:v>352</x:v>
      </x:c>
      <x:c r="J353" s="85" t="n">
        <x:v>335.1</x:v>
      </x:c>
    </x:row>
    <x:row r="354">
      <x:c r="A354" s="83" t="n">
        <x:v>353</x:v>
      </x:c>
      <x:c r="B354" s="89" t="n">
        <x:v>45809</x:v>
      </x:c>
      <x:c r="C354" s="84" t="n">
        <x:v>2</x:v>
      </x:c>
      <x:c r="D354" s="84" t="n">
        <x:v>4</x:v>
      </x:c>
      <x:c r="E354" s="84" t="n">
        <x:v>5</x:v>
      </x:c>
      <x:c r="F354" s="84" t="n">
        <x:v>52800</x:v>
      </x:c>
      <x:c r="G354" s="84" t="n">
        <x:v>52335</x:v>
      </x:c>
      <x:c r="H354" s="84" t="n">
        <x:v>465</x:v>
      </x:c>
      <x:c r="I354" s="84" t="n">
        <x:v>352</x:v>
      </x:c>
      <x:c r="J354" s="85" t="n">
        <x:v>329.6</x:v>
      </x:c>
    </x:row>
    <x:row r="355">
      <x:c r="A355" s="83" t="n">
        <x:v>354</x:v>
      </x:c>
      <x:c r="B355" s="89" t="n">
        <x:v>45809</x:v>
      </x:c>
      <x:c r="C355" s="84" t="n">
        <x:v>2</x:v>
      </x:c>
      <x:c r="D355" s="84" t="n">
        <x:v>4</x:v>
      </x:c>
      <x:c r="E355" s="84" t="n">
        <x:v>6</x:v>
      </x:c>
      <x:c r="F355" s="84" t="n">
        <x:v>35200</x:v>
      </x:c>
      <x:c r="G355" s="84" t="n">
        <x:v>32910</x:v>
      </x:c>
      <x:c r="H355" s="84" t="n">
        <x:v>2290</x:v>
      </x:c>
      <x:c r="I355" s="84" t="n">
        <x:v>352</x:v>
      </x:c>
      <x:c r="J355" s="85" t="n">
        <x:v>340.6</x:v>
      </x:c>
    </x:row>
    <x:row r="356">
      <x:c r="A356" s="83" t="n">
        <x:v>355</x:v>
      </x:c>
      <x:c r="B356" s="89" t="n">
        <x:v>45809</x:v>
      </x:c>
      <x:c r="C356" s="84" t="n">
        <x:v>2</x:v>
      </x:c>
      <x:c r="D356" s="84" t="n">
        <x:v>5</x:v>
      </x:c>
      <x:c r="E356" s="84" t="n">
        <x:v>7</x:v>
      </x:c>
      <x:c r="F356" s="84" t="n">
        <x:v>42240</x:v>
      </x:c>
      <x:c r="G356" s="84" t="n">
        <x:v>41493</x:v>
      </x:c>
      <x:c r="H356" s="84" t="n">
        <x:v>747</x:v>
      </x:c>
      <x:c r="I356" s="84" t="n">
        <x:v>352</x:v>
      </x:c>
      <x:c r="J356" s="85" t="n">
        <x:v>321.4</x:v>
      </x:c>
    </x:row>
    <x:row r="357">
      <x:c r="A357" s="83" t="n">
        <x:v>356</x:v>
      </x:c>
      <x:c r="B357" s="89" t="n">
        <x:v>45809</x:v>
      </x:c>
      <x:c r="C357" s="84" t="n">
        <x:v>2</x:v>
      </x:c>
      <x:c r="D357" s="84" t="n">
        <x:v>5</x:v>
      </x:c>
      <x:c r="E357" s="84" t="n">
        <x:v>8</x:v>
      </x:c>
      <x:c r="F357" s="84" t="n">
        <x:v>42240</x:v>
      </x:c>
      <x:c r="G357" s="84" t="n">
        <x:v>39371</x:v>
      </x:c>
      <x:c r="H357" s="84" t="n">
        <x:v>2869</x:v>
      </x:c>
      <x:c r="I357" s="84" t="n">
        <x:v>352</x:v>
      </x:c>
      <x:c r="J357" s="85" t="n">
        <x:v>324.7</x:v>
      </x:c>
    </x:row>
    <x:row r="358">
      <x:c r="A358" s="83" t="n">
        <x:v>357</x:v>
      </x:c>
      <x:c r="B358" s="89" t="n">
        <x:v>45809</x:v>
      </x:c>
      <x:c r="C358" s="84" t="n">
        <x:v>3</x:v>
      </x:c>
      <x:c r="D358" s="84" t="n">
        <x:v>7</x:v>
      </x:c>
      <x:c r="E358" s="84" t="n">
        <x:v>9</x:v>
      </x:c>
      <x:c r="F358" s="84" t="n">
        <x:v>28160</x:v>
      </x:c>
      <x:c r="G358" s="84" t="n">
        <x:v>27795</x:v>
      </x:c>
      <x:c r="H358" s="84" t="n">
        <x:v>365</x:v>
      </x:c>
      <x:c r="I358" s="84" t="n">
        <x:v>352</x:v>
      </x:c>
      <x:c r="J358" s="85" t="n">
        <x:v>319.5</x:v>
      </x:c>
    </x:row>
    <x:row r="359">
      <x:c r="A359" s="83" t="n">
        <x:v>358</x:v>
      </x:c>
      <x:c r="B359" s="89" t="n">
        <x:v>45809</x:v>
      </x:c>
      <x:c r="C359" s="84" t="n">
        <x:v>3</x:v>
      </x:c>
      <x:c r="D359" s="84" t="n">
        <x:v>7</x:v>
      </x:c>
      <x:c r="E359" s="84" t="n">
        <x:v>10</x:v>
      </x:c>
      <x:c r="F359" s="84" t="n">
        <x:v>28160</x:v>
      </x:c>
      <x:c r="G359" s="84" t="n">
        <x:v>27237</x:v>
      </x:c>
      <x:c r="H359" s="84" t="n">
        <x:v>923</x:v>
      </x:c>
      <x:c r="I359" s="84" t="n">
        <x:v>352</x:v>
      </x:c>
      <x:c r="J359" s="85" t="n">
        <x:v>338.4</x:v>
      </x:c>
    </x:row>
    <x:row r="360">
      <x:c r="A360" s="83" t="n">
        <x:v>359</x:v>
      </x:c>
      <x:c r="B360" s="89" t="n">
        <x:v>45809</x:v>
      </x:c>
      <x:c r="C360" s="84" t="n">
        <x:v>3</x:v>
      </x:c>
      <x:c r="D360" s="84" t="n">
        <x:v>8</x:v>
      </x:c>
      <x:c r="E360" s="84" t="n">
        <x:v>11</x:v>
      </x:c>
      <x:c r="F360" s="84" t="n">
        <x:v>52800</x:v>
      </x:c>
      <x:c r="G360" s="84" t="n">
        <x:v>50312</x:v>
      </x:c>
      <x:c r="H360" s="84" t="n">
        <x:v>2488</x:v>
      </x:c>
      <x:c r="I360" s="84" t="n">
        <x:v>352</x:v>
      </x:c>
      <x:c r="J360" s="85" t="n">
        <x:v>323.4</x:v>
      </x:c>
    </x:row>
    <x:row r="361">
      <x:c r="A361" s="83" t="n">
        <x:v>360</x:v>
      </x:c>
      <x:c r="B361" s="89" t="n">
        <x:v>45809</x:v>
      </x:c>
      <x:c r="C361" s="84" t="n">
        <x:v>3</x:v>
      </x:c>
      <x:c r="D361" s="84" t="n">
        <x:v>8</x:v>
      </x:c>
      <x:c r="E361" s="84" t="n">
        <x:v>12</x:v>
      </x:c>
      <x:c r="F361" s="84" t="n">
        <x:v>52800</x:v>
      </x:c>
      <x:c r="G361" s="84" t="n">
        <x:v>50914</x:v>
      </x:c>
      <x:c r="H361" s="84" t="n">
        <x:v>1886</x:v>
      </x:c>
      <x:c r="I361" s="84" t="n">
        <x:v>352</x:v>
      </x:c>
      <x:c r="J361" s="85" t="n">
        <x:v>326.7</x:v>
      </x:c>
    </x:row>
    <x:row r="362">
      <x:c r="A362" s="83" t="n">
        <x:v>361</x:v>
      </x:c>
      <x:c r="B362" s="89" t="n">
        <x:v>45839</x:v>
      </x:c>
      <x:c r="C362" s="84" t="n">
        <x:v>1</x:v>
      </x:c>
      <x:c r="D362" s="84" t="n">
        <x:v>1</x:v>
      </x:c>
      <x:c r="E362" s="84" t="n">
        <x:v>1</x:v>
      </x:c>
      <x:c r="F362" s="84" t="n">
        <x:v>28160</x:v>
      </x:c>
      <x:c r="G362" s="84" t="n">
        <x:v>27428</x:v>
      </x:c>
      <x:c r="H362" s="84" t="n">
        <x:v>732</x:v>
      </x:c>
      <x:c r="I362" s="84" t="n">
        <x:v>352</x:v>
      </x:c>
      <x:c r="J362" s="85" t="n">
        <x:v>336.3</x:v>
      </x:c>
    </x:row>
    <x:row r="363">
      <x:c r="A363" s="83" t="n">
        <x:v>362</x:v>
      </x:c>
      <x:c r="B363" s="89" t="n">
        <x:v>45839</x:v>
      </x:c>
      <x:c r="C363" s="84" t="n">
        <x:v>1</x:v>
      </x:c>
      <x:c r="D363" s="84" t="n">
        <x:v>1</x:v>
      </x:c>
      <x:c r="E363" s="84" t="n">
        <x:v>2</x:v>
      </x:c>
      <x:c r="F363" s="84" t="n">
        <x:v>42240</x:v>
      </x:c>
      <x:c r="G363" s="84" t="n">
        <x:v>41227</x:v>
      </x:c>
      <x:c r="H363" s="84" t="n">
        <x:v>1013</x:v>
      </x:c>
      <x:c r="I363" s="84" t="n">
        <x:v>352</x:v>
      </x:c>
      <x:c r="J363" s="85" t="n">
        <x:v>324.4</x:v>
      </x:c>
    </x:row>
    <x:row r="364">
      <x:c r="A364" s="83" t="n">
        <x:v>363</x:v>
      </x:c>
      <x:c r="B364" s="89" t="n">
        <x:v>45839</x:v>
      </x:c>
      <x:c r="C364" s="84" t="n">
        <x:v>1</x:v>
      </x:c>
      <x:c r="D364" s="84" t="n">
        <x:v>2</x:v>
      </x:c>
      <x:c r="E364" s="84" t="n">
        <x:v>3</x:v>
      </x:c>
      <x:c r="F364" s="84" t="n">
        <x:v>35200</x:v>
      </x:c>
      <x:c r="G364" s="84" t="n">
        <x:v>33411</x:v>
      </x:c>
      <x:c r="H364" s="84" t="n">
        <x:v>1789</x:v>
      </x:c>
      <x:c r="I364" s="84" t="n">
        <x:v>352</x:v>
      </x:c>
      <x:c r="J364" s="85" t="n">
        <x:v>320.4</x:v>
      </x:c>
    </x:row>
    <x:row r="365">
      <x:c r="A365" s="83" t="n">
        <x:v>364</x:v>
      </x:c>
      <x:c r="B365" s="89" t="n">
        <x:v>45839</x:v>
      </x:c>
      <x:c r="C365" s="84" t="n">
        <x:v>1</x:v>
      </x:c>
      <x:c r="D365" s="84" t="n">
        <x:v>2</x:v>
      </x:c>
      <x:c r="E365" s="84" t="n">
        <x:v>4</x:v>
      </x:c>
      <x:c r="F365" s="84" t="n">
        <x:v>28160</x:v>
      </x:c>
      <x:c r="G365" s="84" t="n">
        <x:v>25953</x:v>
      </x:c>
      <x:c r="H365" s="84" t="n">
        <x:v>2207</x:v>
      </x:c>
      <x:c r="I365" s="84" t="n">
        <x:v>352</x:v>
      </x:c>
      <x:c r="J365" s="85" t="n">
        <x:v>347.7</x:v>
      </x:c>
    </x:row>
    <x:row r="366">
      <x:c r="A366" s="83" t="n">
        <x:v>365</x:v>
      </x:c>
      <x:c r="B366" s="89" t="n">
        <x:v>45839</x:v>
      </x:c>
      <x:c r="C366" s="84" t="n">
        <x:v>2</x:v>
      </x:c>
      <x:c r="D366" s="84" t="n">
        <x:v>4</x:v>
      </x:c>
      <x:c r="E366" s="84" t="n">
        <x:v>5</x:v>
      </x:c>
      <x:c r="F366" s="84" t="n">
        <x:v>52800</x:v>
      </x:c>
      <x:c r="G366" s="84" t="n">
        <x:v>50688</x:v>
      </x:c>
      <x:c r="H366" s="84" t="n">
        <x:v>2112</x:v>
      </x:c>
      <x:c r="I366" s="84" t="n">
        <x:v>352</x:v>
      </x:c>
      <x:c r="J366" s="85" t="n">
        <x:v>345.8</x:v>
      </x:c>
    </x:row>
    <x:row r="367">
      <x:c r="A367" s="83" t="n">
        <x:v>366</x:v>
      </x:c>
      <x:c r="B367" s="89" t="n">
        <x:v>45839</x:v>
      </x:c>
      <x:c r="C367" s="84" t="n">
        <x:v>2</x:v>
      </x:c>
      <x:c r="D367" s="84" t="n">
        <x:v>4</x:v>
      </x:c>
      <x:c r="E367" s="84" t="n">
        <x:v>6</x:v>
      </x:c>
      <x:c r="F367" s="84" t="n">
        <x:v>35200</x:v>
      </x:c>
      <x:c r="G367" s="84" t="n">
        <x:v>34595</x:v>
      </x:c>
      <x:c r="H367" s="84" t="n">
        <x:v>605</x:v>
      </x:c>
      <x:c r="I367" s="84" t="n">
        <x:v>352</x:v>
      </x:c>
      <x:c r="J367" s="85" t="n">
        <x:v>335.8</x:v>
      </x:c>
    </x:row>
    <x:row r="368">
      <x:c r="A368" s="83" t="n">
        <x:v>367</x:v>
      </x:c>
      <x:c r="B368" s="89" t="n">
        <x:v>45839</x:v>
      </x:c>
      <x:c r="C368" s="84" t="n">
        <x:v>2</x:v>
      </x:c>
      <x:c r="D368" s="84" t="n">
        <x:v>5</x:v>
      </x:c>
      <x:c r="E368" s="84" t="n">
        <x:v>7</x:v>
      </x:c>
      <x:c r="F368" s="84" t="n">
        <x:v>42240</x:v>
      </x:c>
      <x:c r="G368" s="84" t="n">
        <x:v>39745</x:v>
      </x:c>
      <x:c r="H368" s="84" t="n">
        <x:v>2495</x:v>
      </x:c>
      <x:c r="I368" s="84" t="n">
        <x:v>352</x:v>
      </x:c>
      <x:c r="J368" s="85" t="n">
        <x:v>331</x:v>
      </x:c>
    </x:row>
    <x:row r="369">
      <x:c r="A369" s="83" t="n">
        <x:v>368</x:v>
      </x:c>
      <x:c r="B369" s="89" t="n">
        <x:v>45839</x:v>
      </x:c>
      <x:c r="C369" s="84" t="n">
        <x:v>2</x:v>
      </x:c>
      <x:c r="D369" s="84" t="n">
        <x:v>5</x:v>
      </x:c>
      <x:c r="E369" s="84" t="n">
        <x:v>8</x:v>
      </x:c>
      <x:c r="F369" s="84" t="n">
        <x:v>42240</x:v>
      </x:c>
      <x:c r="G369" s="84" t="n">
        <x:v>41552</x:v>
      </x:c>
      <x:c r="H369" s="84" t="n">
        <x:v>688</x:v>
      </x:c>
      <x:c r="I369" s="84" t="n">
        <x:v>352</x:v>
      </x:c>
      <x:c r="J369" s="85" t="n">
        <x:v>330.2</x:v>
      </x:c>
    </x:row>
    <x:row r="370">
      <x:c r="A370" s="83" t="n">
        <x:v>369</x:v>
      </x:c>
      <x:c r="B370" s="89" t="n">
        <x:v>45839</x:v>
      </x:c>
      <x:c r="C370" s="84" t="n">
        <x:v>3</x:v>
      </x:c>
      <x:c r="D370" s="84" t="n">
        <x:v>7</x:v>
      </x:c>
      <x:c r="E370" s="84" t="n">
        <x:v>9</x:v>
      </x:c>
      <x:c r="F370" s="84" t="n">
        <x:v>28160</x:v>
      </x:c>
      <x:c r="G370" s="84" t="n">
        <x:v>26061</x:v>
      </x:c>
      <x:c r="H370" s="84" t="n">
        <x:v>2099</x:v>
      </x:c>
      <x:c r="I370" s="84" t="n">
        <x:v>352</x:v>
      </x:c>
      <x:c r="J370" s="85" t="n">
        <x:v>336.9</x:v>
      </x:c>
    </x:row>
    <x:row r="371">
      <x:c r="A371" s="83" t="n">
        <x:v>370</x:v>
      </x:c>
      <x:c r="B371" s="89" t="n">
        <x:v>45839</x:v>
      </x:c>
      <x:c r="C371" s="84" t="n">
        <x:v>3</x:v>
      </x:c>
      <x:c r="D371" s="84" t="n">
        <x:v>7</x:v>
      </x:c>
      <x:c r="E371" s="84" t="n">
        <x:v>10</x:v>
      </x:c>
      <x:c r="F371" s="84" t="n">
        <x:v>28160</x:v>
      </x:c>
      <x:c r="G371" s="84" t="n">
        <x:v>26901</x:v>
      </x:c>
      <x:c r="H371" s="84" t="n">
        <x:v>1259</x:v>
      </x:c>
      <x:c r="I371" s="84" t="n">
        <x:v>352</x:v>
      </x:c>
      <x:c r="J371" s="85" t="n">
        <x:v>345.5</x:v>
      </x:c>
    </x:row>
    <x:row r="372">
      <x:c r="A372" s="83" t="n">
        <x:v>371</x:v>
      </x:c>
      <x:c r="B372" s="89" t="n">
        <x:v>45839</x:v>
      </x:c>
      <x:c r="C372" s="84" t="n">
        <x:v>3</x:v>
      </x:c>
      <x:c r="D372" s="84" t="n">
        <x:v>8</x:v>
      </x:c>
      <x:c r="E372" s="84" t="n">
        <x:v>11</x:v>
      </x:c>
      <x:c r="F372" s="84" t="n">
        <x:v>52800</x:v>
      </x:c>
      <x:c r="G372" s="84" t="n">
        <x:v>51346</x:v>
      </x:c>
      <x:c r="H372" s="84" t="n">
        <x:v>1454</x:v>
      </x:c>
      <x:c r="I372" s="84" t="n">
        <x:v>352</x:v>
      </x:c>
      <x:c r="J372" s="85" t="n">
        <x:v>344</x:v>
      </x:c>
    </x:row>
    <x:row r="373">
      <x:c r="A373" s="83" t="n">
        <x:v>372</x:v>
      </x:c>
      <x:c r="B373" s="89" t="n">
        <x:v>45839</x:v>
      </x:c>
      <x:c r="C373" s="84" t="n">
        <x:v>3</x:v>
      </x:c>
      <x:c r="D373" s="84" t="n">
        <x:v>8</x:v>
      </x:c>
      <x:c r="E373" s="84" t="n">
        <x:v>12</x:v>
      </x:c>
      <x:c r="F373" s="84" t="n">
        <x:v>52800</x:v>
      </x:c>
      <x:c r="G373" s="84" t="n">
        <x:v>50745</x:v>
      </x:c>
      <x:c r="H373" s="84" t="n">
        <x:v>2055</x:v>
      </x:c>
      <x:c r="I373" s="84" t="n">
        <x:v>352</x:v>
      </x:c>
      <x:c r="J373" s="85" t="n">
        <x:v>317.9</x:v>
      </x:c>
    </x:row>
    <x:row r="374">
      <x:c r="A374" s="83" t="n">
        <x:v>373</x:v>
      </x:c>
      <x:c r="B374" s="89" t="n">
        <x:v>45870</x:v>
      </x:c>
      <x:c r="C374" s="84" t="n">
        <x:v>1</x:v>
      </x:c>
      <x:c r="D374" s="84" t="n">
        <x:v>1</x:v>
      </x:c>
      <x:c r="E374" s="84" t="n">
        <x:v>1</x:v>
      </x:c>
      <x:c r="F374" s="84" t="n">
        <x:v>28160</x:v>
      </x:c>
      <x:c r="G374" s="84" t="n">
        <x:v>27720</x:v>
      </x:c>
      <x:c r="H374" s="84" t="n">
        <x:v>440</x:v>
      </x:c>
      <x:c r="I374" s="84" t="n">
        <x:v>352</x:v>
      </x:c>
      <x:c r="J374" s="85" t="n">
        <x:v>338</x:v>
      </x:c>
    </x:row>
    <x:row r="375">
      <x:c r="A375" s="83" t="n">
        <x:v>374</x:v>
      </x:c>
      <x:c r="B375" s="89" t="n">
        <x:v>45870</x:v>
      </x:c>
      <x:c r="C375" s="84" t="n">
        <x:v>1</x:v>
      </x:c>
      <x:c r="D375" s="84" t="n">
        <x:v>1</x:v>
      </x:c>
      <x:c r="E375" s="84" t="n">
        <x:v>2</x:v>
      </x:c>
      <x:c r="F375" s="84" t="n">
        <x:v>42240</x:v>
      </x:c>
      <x:c r="G375" s="84" t="n">
        <x:v>40067</x:v>
      </x:c>
      <x:c r="H375" s="84" t="n">
        <x:v>2173</x:v>
      </x:c>
      <x:c r="I375" s="84" t="n">
        <x:v>352</x:v>
      </x:c>
      <x:c r="J375" s="85" t="n">
        <x:v>336.5</x:v>
      </x:c>
    </x:row>
    <x:row r="376">
      <x:c r="A376" s="83" t="n">
        <x:v>375</x:v>
      </x:c>
      <x:c r="B376" s="89" t="n">
        <x:v>45870</x:v>
      </x:c>
      <x:c r="C376" s="84" t="n">
        <x:v>1</x:v>
      </x:c>
      <x:c r="D376" s="84" t="n">
        <x:v>2</x:v>
      </x:c>
      <x:c r="E376" s="84" t="n">
        <x:v>3</x:v>
      </x:c>
      <x:c r="F376" s="84" t="n">
        <x:v>35200</x:v>
      </x:c>
      <x:c r="G376" s="84" t="n">
        <x:v>32863</x:v>
      </x:c>
      <x:c r="H376" s="84" t="n">
        <x:v>2337</x:v>
      </x:c>
      <x:c r="I376" s="84" t="n">
        <x:v>352</x:v>
      </x:c>
      <x:c r="J376" s="85" t="n">
        <x:v>321.2</x:v>
      </x:c>
    </x:row>
    <x:row r="377">
      <x:c r="A377" s="83" t="n">
        <x:v>376</x:v>
      </x:c>
      <x:c r="B377" s="89" t="n">
        <x:v>45870</x:v>
      </x:c>
      <x:c r="C377" s="84" t="n">
        <x:v>1</x:v>
      </x:c>
      <x:c r="D377" s="84" t="n">
        <x:v>2</x:v>
      </x:c>
      <x:c r="E377" s="84" t="n">
        <x:v>4</x:v>
      </x:c>
      <x:c r="F377" s="84" t="n">
        <x:v>28160</x:v>
      </x:c>
      <x:c r="G377" s="84" t="n">
        <x:v>27322</x:v>
      </x:c>
      <x:c r="H377" s="84" t="n">
        <x:v>838</x:v>
      </x:c>
      <x:c r="I377" s="84" t="n">
        <x:v>352</x:v>
      </x:c>
      <x:c r="J377" s="85" t="n">
        <x:v>329.2</x:v>
      </x:c>
    </x:row>
    <x:row r="378">
      <x:c r="A378" s="83" t="n">
        <x:v>377</x:v>
      </x:c>
      <x:c r="B378" s="89" t="n">
        <x:v>45870</x:v>
      </x:c>
      <x:c r="C378" s="84" t="n">
        <x:v>2</x:v>
      </x:c>
      <x:c r="D378" s="84" t="n">
        <x:v>4</x:v>
      </x:c>
      <x:c r="E378" s="84" t="n">
        <x:v>5</x:v>
      </x:c>
      <x:c r="F378" s="84" t="n">
        <x:v>52800</x:v>
      </x:c>
      <x:c r="G378" s="84" t="n">
        <x:v>52268</x:v>
      </x:c>
      <x:c r="H378" s="84" t="n">
        <x:v>532</x:v>
      </x:c>
      <x:c r="I378" s="84" t="n">
        <x:v>352</x:v>
      </x:c>
      <x:c r="J378" s="85" t="n">
        <x:v>344.7</x:v>
      </x:c>
    </x:row>
    <x:row r="379">
      <x:c r="A379" s="83" t="n">
        <x:v>378</x:v>
      </x:c>
      <x:c r="B379" s="89" t="n">
        <x:v>45870</x:v>
      </x:c>
      <x:c r="C379" s="84" t="n">
        <x:v>2</x:v>
      </x:c>
      <x:c r="D379" s="84" t="n">
        <x:v>4</x:v>
      </x:c>
      <x:c r="E379" s="84" t="n">
        <x:v>6</x:v>
      </x:c>
      <x:c r="F379" s="84" t="n">
        <x:v>35200</x:v>
      </x:c>
      <x:c r="G379" s="84" t="n">
        <x:v>32922</x:v>
      </x:c>
      <x:c r="H379" s="84" t="n">
        <x:v>2278</x:v>
      </x:c>
      <x:c r="I379" s="84" t="n">
        <x:v>352</x:v>
      </x:c>
      <x:c r="J379" s="85" t="n">
        <x:v>327.8</x:v>
      </x:c>
    </x:row>
    <x:row r="380">
      <x:c r="A380" s="83" t="n">
        <x:v>379</x:v>
      </x:c>
      <x:c r="B380" s="89" t="n">
        <x:v>45870</x:v>
      </x:c>
      <x:c r="C380" s="84" t="n">
        <x:v>2</x:v>
      </x:c>
      <x:c r="D380" s="84" t="n">
        <x:v>5</x:v>
      </x:c>
      <x:c r="E380" s="84" t="n">
        <x:v>7</x:v>
      </x:c>
      <x:c r="F380" s="84" t="n">
        <x:v>42240</x:v>
      </x:c>
      <x:c r="G380" s="84" t="n">
        <x:v>41378</x:v>
      </x:c>
      <x:c r="H380" s="84" t="n">
        <x:v>862</x:v>
      </x:c>
      <x:c r="I380" s="84" t="n">
        <x:v>352</x:v>
      </x:c>
      <x:c r="J380" s="85" t="n">
        <x:v>346.6</x:v>
      </x:c>
    </x:row>
    <x:row r="381">
      <x:c r="A381" s="83" t="n">
        <x:v>380</x:v>
      </x:c>
      <x:c r="B381" s="89" t="n">
        <x:v>45870</x:v>
      </x:c>
      <x:c r="C381" s="84" t="n">
        <x:v>2</x:v>
      </x:c>
      <x:c r="D381" s="84" t="n">
        <x:v>5</x:v>
      </x:c>
      <x:c r="E381" s="84" t="n">
        <x:v>8</x:v>
      </x:c>
      <x:c r="F381" s="84" t="n">
        <x:v>42240</x:v>
      </x:c>
      <x:c r="G381" s="84" t="n">
        <x:v>38950</x:v>
      </x:c>
      <x:c r="H381" s="84" t="n">
        <x:v>3290</x:v>
      </x:c>
      <x:c r="I381" s="84" t="n">
        <x:v>352</x:v>
      </x:c>
      <x:c r="J381" s="85" t="n">
        <x:v>330.6</x:v>
      </x:c>
    </x:row>
    <x:row r="382">
      <x:c r="A382" s="83" t="n">
        <x:v>381</x:v>
      </x:c>
      <x:c r="B382" s="89" t="n">
        <x:v>45870</x:v>
      </x:c>
      <x:c r="C382" s="84" t="n">
        <x:v>3</x:v>
      </x:c>
      <x:c r="D382" s="84" t="n">
        <x:v>7</x:v>
      </x:c>
      <x:c r="E382" s="84" t="n">
        <x:v>9</x:v>
      </x:c>
      <x:c r="F382" s="84" t="n">
        <x:v>28160</x:v>
      </x:c>
      <x:c r="G382" s="84" t="n">
        <x:v>28134</x:v>
      </x:c>
      <x:c r="H382" s="84" t="n">
        <x:v>26</x:v>
      </x:c>
      <x:c r="I382" s="84" t="n">
        <x:v>352</x:v>
      </x:c>
      <x:c r="J382" s="85" t="n">
        <x:v>317.3</x:v>
      </x:c>
    </x:row>
    <x:row r="383">
      <x:c r="A383" s="83" t="n">
        <x:v>382</x:v>
      </x:c>
      <x:c r="B383" s="89" t="n">
        <x:v>45870</x:v>
      </x:c>
      <x:c r="C383" s="84" t="n">
        <x:v>3</x:v>
      </x:c>
      <x:c r="D383" s="84" t="n">
        <x:v>7</x:v>
      </x:c>
      <x:c r="E383" s="84" t="n">
        <x:v>10</x:v>
      </x:c>
      <x:c r="F383" s="84" t="n">
        <x:v>28160</x:v>
      </x:c>
      <x:c r="G383" s="84" t="n">
        <x:v>27579</x:v>
      </x:c>
      <x:c r="H383" s="84" t="n">
        <x:v>581</x:v>
      </x:c>
      <x:c r="I383" s="84" t="n">
        <x:v>352</x:v>
      </x:c>
      <x:c r="J383" s="85" t="n">
        <x:v>338</x:v>
      </x:c>
    </x:row>
    <x:row r="384">
      <x:c r="A384" s="83" t="n">
        <x:v>383</x:v>
      </x:c>
      <x:c r="B384" s="89" t="n">
        <x:v>45870</x:v>
      </x:c>
      <x:c r="C384" s="84" t="n">
        <x:v>3</x:v>
      </x:c>
      <x:c r="D384" s="84" t="n">
        <x:v>8</x:v>
      </x:c>
      <x:c r="E384" s="84" t="n">
        <x:v>11</x:v>
      </x:c>
      <x:c r="F384" s="84" t="n">
        <x:v>52800</x:v>
      </x:c>
      <x:c r="G384" s="84" t="n">
        <x:v>48636</x:v>
      </x:c>
      <x:c r="H384" s="84" t="n">
        <x:v>4164</x:v>
      </x:c>
      <x:c r="I384" s="84" t="n">
        <x:v>352</x:v>
      </x:c>
      <x:c r="J384" s="85" t="n">
        <x:v>338.6</x:v>
      </x:c>
    </x:row>
    <x:row r="385">
      <x:c r="A385" s="83" t="n">
        <x:v>384</x:v>
      </x:c>
      <x:c r="B385" s="89" t="n">
        <x:v>45870</x:v>
      </x:c>
      <x:c r="C385" s="84" t="n">
        <x:v>3</x:v>
      </x:c>
      <x:c r="D385" s="84" t="n">
        <x:v>8</x:v>
      </x:c>
      <x:c r="E385" s="84" t="n">
        <x:v>12</x:v>
      </x:c>
      <x:c r="F385" s="84" t="n">
        <x:v>52800</x:v>
      </x:c>
      <x:c r="G385" s="84" t="n">
        <x:v>49110</x:v>
      </x:c>
      <x:c r="H385" s="84" t="n">
        <x:v>3690</x:v>
      </x:c>
      <x:c r="I385" s="84" t="n">
        <x:v>352</x:v>
      </x:c>
      <x:c r="J385" s="85" t="n">
        <x:v>317.2</x:v>
      </x:c>
    </x:row>
    <x:row r="386">
      <x:c r="A386" s="83" t="n">
        <x:v>385</x:v>
      </x:c>
      <x:c r="B386" s="89" t="n">
        <x:v>45901</x:v>
      </x:c>
      <x:c r="C386" s="84" t="n">
        <x:v>1</x:v>
      </x:c>
      <x:c r="D386" s="84" t="n">
        <x:v>1</x:v>
      </x:c>
      <x:c r="E386" s="84" t="n">
        <x:v>1</x:v>
      </x:c>
      <x:c r="F386" s="84" t="n">
        <x:v>28160</x:v>
      </x:c>
      <x:c r="G386" s="84" t="n">
        <x:v>26837</x:v>
      </x:c>
      <x:c r="H386" s="84" t="n">
        <x:v>1323</x:v>
      </x:c>
      <x:c r="I386" s="84" t="n">
        <x:v>352</x:v>
      </x:c>
      <x:c r="J386" s="85" t="n">
        <x:v>344.5</x:v>
      </x:c>
    </x:row>
    <x:row r="387">
      <x:c r="A387" s="83" t="n">
        <x:v>386</x:v>
      </x:c>
      <x:c r="B387" s="89" t="n">
        <x:v>45901</x:v>
      </x:c>
      <x:c r="C387" s="84" t="n">
        <x:v>1</x:v>
      </x:c>
      <x:c r="D387" s="84" t="n">
        <x:v>1</x:v>
      </x:c>
      <x:c r="E387" s="84" t="n">
        <x:v>2</x:v>
      </x:c>
      <x:c r="F387" s="84" t="n">
        <x:v>42240</x:v>
      </x:c>
      <x:c r="G387" s="84" t="n">
        <x:v>40437</x:v>
      </x:c>
      <x:c r="H387" s="84" t="n">
        <x:v>1803</x:v>
      </x:c>
      <x:c r="I387" s="84" t="n">
        <x:v>352</x:v>
      </x:c>
      <x:c r="J387" s="85" t="n">
        <x:v>342.1</x:v>
      </x:c>
    </x:row>
    <x:row r="388">
      <x:c r="A388" s="83" t="n">
        <x:v>387</x:v>
      </x:c>
      <x:c r="B388" s="89" t="n">
        <x:v>45901</x:v>
      </x:c>
      <x:c r="C388" s="84" t="n">
        <x:v>1</x:v>
      </x:c>
      <x:c r="D388" s="84" t="n">
        <x:v>2</x:v>
      </x:c>
      <x:c r="E388" s="84" t="n">
        <x:v>3</x:v>
      </x:c>
      <x:c r="F388" s="84" t="n">
        <x:v>35200</x:v>
      </x:c>
      <x:c r="G388" s="84" t="n">
        <x:v>33352</x:v>
      </x:c>
      <x:c r="H388" s="84" t="n">
        <x:v>1848</x:v>
      </x:c>
      <x:c r="I388" s="84" t="n">
        <x:v>352</x:v>
      </x:c>
      <x:c r="J388" s="85" t="n">
        <x:v>323.7</x:v>
      </x:c>
    </x:row>
    <x:row r="389">
      <x:c r="A389" s="83" t="n">
        <x:v>388</x:v>
      </x:c>
      <x:c r="B389" s="89" t="n">
        <x:v>45901</x:v>
      </x:c>
      <x:c r="C389" s="84" t="n">
        <x:v>1</x:v>
      </x:c>
      <x:c r="D389" s="84" t="n">
        <x:v>2</x:v>
      </x:c>
      <x:c r="E389" s="84" t="n">
        <x:v>4</x:v>
      </x:c>
      <x:c r="F389" s="84" t="n">
        <x:v>28160</x:v>
      </x:c>
      <x:c r="G389" s="84" t="n">
        <x:v>25973</x:v>
      </x:c>
      <x:c r="H389" s="84" t="n">
        <x:v>2187</x:v>
      </x:c>
      <x:c r="I389" s="84" t="n">
        <x:v>352</x:v>
      </x:c>
      <x:c r="J389" s="85" t="n">
        <x:v>332.3</x:v>
      </x:c>
    </x:row>
    <x:row r="390">
      <x:c r="A390" s="83" t="n">
        <x:v>389</x:v>
      </x:c>
      <x:c r="B390" s="89" t="n">
        <x:v>45901</x:v>
      </x:c>
      <x:c r="C390" s="84" t="n">
        <x:v>2</x:v>
      </x:c>
      <x:c r="D390" s="84" t="n">
        <x:v>4</x:v>
      </x:c>
      <x:c r="E390" s="84" t="n">
        <x:v>5</x:v>
      </x:c>
      <x:c r="F390" s="84" t="n">
        <x:v>52800</x:v>
      </x:c>
      <x:c r="G390" s="84" t="n">
        <x:v>48601</x:v>
      </x:c>
      <x:c r="H390" s="84" t="n">
        <x:v>4199</x:v>
      </x:c>
      <x:c r="I390" s="84" t="n">
        <x:v>352</x:v>
      </x:c>
      <x:c r="J390" s="85" t="n">
        <x:v>328.6</x:v>
      </x:c>
    </x:row>
    <x:row r="391">
      <x:c r="A391" s="83" t="n">
        <x:v>390</x:v>
      </x:c>
      <x:c r="B391" s="89" t="n">
        <x:v>45901</x:v>
      </x:c>
      <x:c r="C391" s="84" t="n">
        <x:v>2</x:v>
      </x:c>
      <x:c r="D391" s="84" t="n">
        <x:v>4</x:v>
      </x:c>
      <x:c r="E391" s="84" t="n">
        <x:v>6</x:v>
      </x:c>
      <x:c r="F391" s="84" t="n">
        <x:v>35200</x:v>
      </x:c>
      <x:c r="G391" s="84" t="n">
        <x:v>34341</x:v>
      </x:c>
      <x:c r="H391" s="84" t="n">
        <x:v>859</x:v>
      </x:c>
      <x:c r="I391" s="84" t="n">
        <x:v>352</x:v>
      </x:c>
      <x:c r="J391" s="85" t="n">
        <x:v>345.2</x:v>
      </x:c>
    </x:row>
    <x:row r="392">
      <x:c r="A392" s="83" t="n">
        <x:v>391</x:v>
      </x:c>
      <x:c r="B392" s="89" t="n">
        <x:v>45901</x:v>
      </x:c>
      <x:c r="C392" s="84" t="n">
        <x:v>2</x:v>
      </x:c>
      <x:c r="D392" s="84" t="n">
        <x:v>5</x:v>
      </x:c>
      <x:c r="E392" s="84" t="n">
        <x:v>7</x:v>
      </x:c>
      <x:c r="F392" s="84" t="n">
        <x:v>42240</x:v>
      </x:c>
      <x:c r="G392" s="84" t="n">
        <x:v>40752</x:v>
      </x:c>
      <x:c r="H392" s="84" t="n">
        <x:v>1488</x:v>
      </x:c>
      <x:c r="I392" s="84" t="n">
        <x:v>352</x:v>
      </x:c>
      <x:c r="J392" s="85" t="n">
        <x:v>331.5</x:v>
      </x:c>
    </x:row>
    <x:row r="393">
      <x:c r="A393" s="83" t="n">
        <x:v>392</x:v>
      </x:c>
      <x:c r="B393" s="89" t="n">
        <x:v>45901</x:v>
      </x:c>
      <x:c r="C393" s="84" t="n">
        <x:v>2</x:v>
      </x:c>
      <x:c r="D393" s="84" t="n">
        <x:v>5</x:v>
      </x:c>
      <x:c r="E393" s="84" t="n">
        <x:v>8</x:v>
      </x:c>
      <x:c r="F393" s="84" t="n">
        <x:v>42240</x:v>
      </x:c>
      <x:c r="G393" s="84" t="n">
        <x:v>41119</x:v>
      </x:c>
      <x:c r="H393" s="84" t="n">
        <x:v>1121</x:v>
      </x:c>
      <x:c r="I393" s="84" t="n">
        <x:v>352</x:v>
      </x:c>
      <x:c r="J393" s="85" t="n">
        <x:v>321.1</x:v>
      </x:c>
    </x:row>
    <x:row r="394">
      <x:c r="A394" s="83" t="n">
        <x:v>393</x:v>
      </x:c>
      <x:c r="B394" s="89" t="n">
        <x:v>45901</x:v>
      </x:c>
      <x:c r="C394" s="84" t="n">
        <x:v>3</x:v>
      </x:c>
      <x:c r="D394" s="84" t="n">
        <x:v>7</x:v>
      </x:c>
      <x:c r="E394" s="84" t="n">
        <x:v>9</x:v>
      </x:c>
      <x:c r="F394" s="84" t="n">
        <x:v>28160</x:v>
      </x:c>
      <x:c r="G394" s="84" t="n">
        <x:v>27273</x:v>
      </x:c>
      <x:c r="H394" s="84" t="n">
        <x:v>887</x:v>
      </x:c>
      <x:c r="I394" s="84" t="n">
        <x:v>352</x:v>
      </x:c>
      <x:c r="J394" s="85" t="n">
        <x:v>322.1</x:v>
      </x:c>
    </x:row>
    <x:row r="395">
      <x:c r="A395" s="83" t="n">
        <x:v>394</x:v>
      </x:c>
      <x:c r="B395" s="89" t="n">
        <x:v>45901</x:v>
      </x:c>
      <x:c r="C395" s="84" t="n">
        <x:v>3</x:v>
      </x:c>
      <x:c r="D395" s="84" t="n">
        <x:v>7</x:v>
      </x:c>
      <x:c r="E395" s="84" t="n">
        <x:v>10</x:v>
      </x:c>
      <x:c r="F395" s="84" t="n">
        <x:v>28160</x:v>
      </x:c>
      <x:c r="G395" s="84" t="n">
        <x:v>27380</x:v>
      </x:c>
      <x:c r="H395" s="84" t="n">
        <x:v>780</x:v>
      </x:c>
      <x:c r="I395" s="84" t="n">
        <x:v>352</x:v>
      </x:c>
      <x:c r="J395" s="85" t="n">
        <x:v>331.4</x:v>
      </x:c>
    </x:row>
    <x:row r="396">
      <x:c r="A396" s="83" t="n">
        <x:v>395</x:v>
      </x:c>
      <x:c r="B396" s="89" t="n">
        <x:v>45901</x:v>
      </x:c>
      <x:c r="C396" s="84" t="n">
        <x:v>3</x:v>
      </x:c>
      <x:c r="D396" s="84" t="n">
        <x:v>8</x:v>
      </x:c>
      <x:c r="E396" s="84" t="n">
        <x:v>11</x:v>
      </x:c>
      <x:c r="F396" s="84" t="n">
        <x:v>52800</x:v>
      </x:c>
      <x:c r="G396" s="84" t="n">
        <x:v>48818</x:v>
      </x:c>
      <x:c r="H396" s="84" t="n">
        <x:v>3982</x:v>
      </x:c>
      <x:c r="I396" s="84" t="n">
        <x:v>352</x:v>
      </x:c>
      <x:c r="J396" s="85" t="n">
        <x:v>319.5</x:v>
      </x:c>
    </x:row>
    <x:row r="397">
      <x:c r="A397" s="83" t="n">
        <x:v>396</x:v>
      </x:c>
      <x:c r="B397" s="89" t="n">
        <x:v>45901</x:v>
      </x:c>
      <x:c r="C397" s="84" t="n">
        <x:v>3</x:v>
      </x:c>
      <x:c r="D397" s="84" t="n">
        <x:v>8</x:v>
      </x:c>
      <x:c r="E397" s="84" t="n">
        <x:v>12</x:v>
      </x:c>
      <x:c r="F397" s="84" t="n">
        <x:v>52800</x:v>
      </x:c>
      <x:c r="G397" s="84" t="n">
        <x:v>52240</x:v>
      </x:c>
      <x:c r="H397" s="84" t="n">
        <x:v>560</x:v>
      </x:c>
      <x:c r="I397" s="84" t="n">
        <x:v>352</x:v>
      </x:c>
      <x:c r="J397" s="85" t="n">
        <x:v>328.3</x:v>
      </x:c>
    </x:row>
    <x:row r="398">
      <x:c r="A398" s="83" t="n">
        <x:v>397</x:v>
      </x:c>
      <x:c r="B398" s="89" t="n">
        <x:v>45931</x:v>
      </x:c>
      <x:c r="C398" s="84" t="n">
        <x:v>1</x:v>
      </x:c>
      <x:c r="D398" s="84" t="n">
        <x:v>1</x:v>
      </x:c>
      <x:c r="E398" s="84" t="n">
        <x:v>1</x:v>
      </x:c>
      <x:c r="F398" s="84" t="n">
        <x:v>28160</x:v>
      </x:c>
      <x:c r="G398" s="84" t="n">
        <x:v>28065</x:v>
      </x:c>
      <x:c r="H398" s="84" t="n">
        <x:v>95</x:v>
      </x:c>
      <x:c r="I398" s="84" t="n">
        <x:v>352</x:v>
      </x:c>
      <x:c r="J398" s="85" t="n">
        <x:v>324.8</x:v>
      </x:c>
    </x:row>
    <x:row r="399">
      <x:c r="A399" s="83" t="n">
        <x:v>398</x:v>
      </x:c>
      <x:c r="B399" s="89" t="n">
        <x:v>45931</x:v>
      </x:c>
      <x:c r="C399" s="84" t="n">
        <x:v>1</x:v>
      </x:c>
      <x:c r="D399" s="84" t="n">
        <x:v>1</x:v>
      </x:c>
      <x:c r="E399" s="84" t="n">
        <x:v>2</x:v>
      </x:c>
      <x:c r="F399" s="84" t="n">
        <x:v>42240</x:v>
      </x:c>
      <x:c r="G399" s="84" t="n">
        <x:v>41185</x:v>
      </x:c>
      <x:c r="H399" s="84" t="n">
        <x:v>1055</x:v>
      </x:c>
      <x:c r="I399" s="84" t="n">
        <x:v>352</x:v>
      </x:c>
      <x:c r="J399" s="85" t="n">
        <x:v>321.8</x:v>
      </x:c>
    </x:row>
    <x:row r="400">
      <x:c r="A400" s="83" t="n">
        <x:v>399</x:v>
      </x:c>
      <x:c r="B400" s="89" t="n">
        <x:v>45931</x:v>
      </x:c>
      <x:c r="C400" s="84" t="n">
        <x:v>1</x:v>
      </x:c>
      <x:c r="D400" s="84" t="n">
        <x:v>2</x:v>
      </x:c>
      <x:c r="E400" s="84" t="n">
        <x:v>3</x:v>
      </x:c>
      <x:c r="F400" s="84" t="n">
        <x:v>35200</x:v>
      </x:c>
      <x:c r="G400" s="84" t="n">
        <x:v>32878</x:v>
      </x:c>
      <x:c r="H400" s="84" t="n">
        <x:v>2322</x:v>
      </x:c>
      <x:c r="I400" s="84" t="n">
        <x:v>352</x:v>
      </x:c>
      <x:c r="J400" s="85" t="n">
        <x:v>327.3</x:v>
      </x:c>
    </x:row>
    <x:row r="401">
      <x:c r="A401" s="83" t="n">
        <x:v>400</x:v>
      </x:c>
      <x:c r="B401" s="89" t="n">
        <x:v>45931</x:v>
      </x:c>
      <x:c r="C401" s="84" t="n">
        <x:v>1</x:v>
      </x:c>
      <x:c r="D401" s="84" t="n">
        <x:v>2</x:v>
      </x:c>
      <x:c r="E401" s="84" t="n">
        <x:v>4</x:v>
      </x:c>
      <x:c r="F401" s="84" t="n">
        <x:v>28160</x:v>
      </x:c>
      <x:c r="G401" s="84" t="n">
        <x:v>27441</x:v>
      </x:c>
      <x:c r="H401" s="84" t="n">
        <x:v>719</x:v>
      </x:c>
      <x:c r="I401" s="84" t="n">
        <x:v>352</x:v>
      </x:c>
      <x:c r="J401" s="85" t="n">
        <x:v>320.2</x:v>
      </x:c>
    </x:row>
    <x:row r="402">
      <x:c r="A402" s="83" t="n">
        <x:v>401</x:v>
      </x:c>
      <x:c r="B402" s="89" t="n">
        <x:v>45931</x:v>
      </x:c>
      <x:c r="C402" s="84" t="n">
        <x:v>2</x:v>
      </x:c>
      <x:c r="D402" s="84" t="n">
        <x:v>4</x:v>
      </x:c>
      <x:c r="E402" s="84" t="n">
        <x:v>5</x:v>
      </x:c>
      <x:c r="F402" s="84" t="n">
        <x:v>52800</x:v>
      </x:c>
      <x:c r="G402" s="84" t="n">
        <x:v>51593</x:v>
      </x:c>
      <x:c r="H402" s="84" t="n">
        <x:v>1207</x:v>
      </x:c>
      <x:c r="I402" s="84" t="n">
        <x:v>352</x:v>
      </x:c>
      <x:c r="J402" s="85" t="n">
        <x:v>319.1</x:v>
      </x:c>
    </x:row>
    <x:row r="403">
      <x:c r="A403" s="83" t="n">
        <x:v>402</x:v>
      </x:c>
      <x:c r="B403" s="89" t="n">
        <x:v>45931</x:v>
      </x:c>
      <x:c r="C403" s="84" t="n">
        <x:v>2</x:v>
      </x:c>
      <x:c r="D403" s="84" t="n">
        <x:v>4</x:v>
      </x:c>
      <x:c r="E403" s="84" t="n">
        <x:v>6</x:v>
      </x:c>
      <x:c r="F403" s="84" t="n">
        <x:v>35200</x:v>
      </x:c>
      <x:c r="G403" s="84" t="n">
        <x:v>34696</x:v>
      </x:c>
      <x:c r="H403" s="84" t="n">
        <x:v>504</x:v>
      </x:c>
      <x:c r="I403" s="84" t="n">
        <x:v>352</x:v>
      </x:c>
      <x:c r="J403" s="85" t="n">
        <x:v>348.8</x:v>
      </x:c>
    </x:row>
    <x:row r="404">
      <x:c r="A404" s="83" t="n">
        <x:v>403</x:v>
      </x:c>
      <x:c r="B404" s="89" t="n">
        <x:v>45931</x:v>
      </x:c>
      <x:c r="C404" s="84" t="n">
        <x:v>2</x:v>
      </x:c>
      <x:c r="D404" s="84" t="n">
        <x:v>5</x:v>
      </x:c>
      <x:c r="E404" s="84" t="n">
        <x:v>7</x:v>
      </x:c>
      <x:c r="F404" s="84" t="n">
        <x:v>42240</x:v>
      </x:c>
      <x:c r="G404" s="84" t="n">
        <x:v>39528</x:v>
      </x:c>
      <x:c r="H404" s="84" t="n">
        <x:v>2712</x:v>
      </x:c>
      <x:c r="I404" s="84" t="n">
        <x:v>352</x:v>
      </x:c>
      <x:c r="J404" s="85" t="n">
        <x:v>337.4</x:v>
      </x:c>
    </x:row>
    <x:row r="405">
      <x:c r="A405" s="83" t="n">
        <x:v>404</x:v>
      </x:c>
      <x:c r="B405" s="89" t="n">
        <x:v>45931</x:v>
      </x:c>
      <x:c r="C405" s="84" t="n">
        <x:v>2</x:v>
      </x:c>
      <x:c r="D405" s="84" t="n">
        <x:v>5</x:v>
      </x:c>
      <x:c r="E405" s="84" t="n">
        <x:v>8</x:v>
      </x:c>
      <x:c r="F405" s="84" t="n">
        <x:v>42240</x:v>
      </x:c>
      <x:c r="G405" s="84" t="n">
        <x:v>41234</x:v>
      </x:c>
      <x:c r="H405" s="84" t="n">
        <x:v>1006</x:v>
      </x:c>
      <x:c r="I405" s="84" t="n">
        <x:v>352</x:v>
      </x:c>
      <x:c r="J405" s="85" t="n">
        <x:v>341.4</x:v>
      </x:c>
    </x:row>
    <x:row r="406">
      <x:c r="A406" s="83" t="n">
        <x:v>405</x:v>
      </x:c>
      <x:c r="B406" s="89" t="n">
        <x:v>45931</x:v>
      </x:c>
      <x:c r="C406" s="84" t="n">
        <x:v>3</x:v>
      </x:c>
      <x:c r="D406" s="84" t="n">
        <x:v>7</x:v>
      </x:c>
      <x:c r="E406" s="84" t="n">
        <x:v>9</x:v>
      </x:c>
      <x:c r="F406" s="84" t="n">
        <x:v>28160</x:v>
      </x:c>
      <x:c r="G406" s="84" t="n">
        <x:v>26384</x:v>
      </x:c>
      <x:c r="H406" s="84" t="n">
        <x:v>1776</x:v>
      </x:c>
      <x:c r="I406" s="84" t="n">
        <x:v>352</x:v>
      </x:c>
      <x:c r="J406" s="85" t="n">
        <x:v>331.1</x:v>
      </x:c>
    </x:row>
    <x:row r="407">
      <x:c r="A407" s="83" t="n">
        <x:v>406</x:v>
      </x:c>
      <x:c r="B407" s="89" t="n">
        <x:v>45931</x:v>
      </x:c>
      <x:c r="C407" s="84" t="n">
        <x:v>3</x:v>
      </x:c>
      <x:c r="D407" s="84" t="n">
        <x:v>7</x:v>
      </x:c>
      <x:c r="E407" s="84" t="n">
        <x:v>10</x:v>
      </x:c>
      <x:c r="F407" s="84" t="n">
        <x:v>28160</x:v>
      </x:c>
      <x:c r="G407" s="84" t="n">
        <x:v>26153</x:v>
      </x:c>
      <x:c r="H407" s="84" t="n">
        <x:v>2007</x:v>
      </x:c>
      <x:c r="I407" s="84" t="n">
        <x:v>352</x:v>
      </x:c>
      <x:c r="J407" s="85" t="n">
        <x:v>331.8</x:v>
      </x:c>
    </x:row>
    <x:row r="408">
      <x:c r="A408" s="83" t="n">
        <x:v>407</x:v>
      </x:c>
      <x:c r="B408" s="89" t="n">
        <x:v>45931</x:v>
      </x:c>
      <x:c r="C408" s="84" t="n">
        <x:v>3</x:v>
      </x:c>
      <x:c r="D408" s="84" t="n">
        <x:v>8</x:v>
      </x:c>
      <x:c r="E408" s="84" t="n">
        <x:v>11</x:v>
      </x:c>
      <x:c r="F408" s="84" t="n">
        <x:v>52800</x:v>
      </x:c>
      <x:c r="G408" s="84" t="n">
        <x:v>49491</x:v>
      </x:c>
      <x:c r="H408" s="84" t="n">
        <x:v>3309</x:v>
      </x:c>
      <x:c r="I408" s="84" t="n">
        <x:v>352</x:v>
      </x:c>
      <x:c r="J408" s="85" t="n">
        <x:v>333.4</x:v>
      </x:c>
    </x:row>
    <x:row r="409">
      <x:c r="A409" s="83" t="n">
        <x:v>408</x:v>
      </x:c>
      <x:c r="B409" s="89" t="n">
        <x:v>45931</x:v>
      </x:c>
      <x:c r="C409" s="84" t="n">
        <x:v>3</x:v>
      </x:c>
      <x:c r="D409" s="84" t="n">
        <x:v>8</x:v>
      </x:c>
      <x:c r="E409" s="84" t="n">
        <x:v>12</x:v>
      </x:c>
      <x:c r="F409" s="84" t="n">
        <x:v>52800</x:v>
      </x:c>
      <x:c r="G409" s="84" t="n">
        <x:v>49059</x:v>
      </x:c>
      <x:c r="H409" s="84" t="n">
        <x:v>3741</x:v>
      </x:c>
      <x:c r="I409" s="84" t="n">
        <x:v>352</x:v>
      </x:c>
      <x:c r="J409" s="85" t="n">
        <x:v>348.5</x:v>
      </x:c>
    </x:row>
    <x:row r="410">
      <x:c r="A410" s="83" t="n">
        <x:v>409</x:v>
      </x:c>
      <x:c r="B410" s="89" t="n">
        <x:v>45962</x:v>
      </x:c>
      <x:c r="C410" s="84" t="n">
        <x:v>1</x:v>
      </x:c>
      <x:c r="D410" s="84" t="n">
        <x:v>1</x:v>
      </x:c>
      <x:c r="E410" s="84" t="n">
        <x:v>1</x:v>
      </x:c>
      <x:c r="F410" s="84" t="n">
        <x:v>28160</x:v>
      </x:c>
      <x:c r="G410" s="84" t="n">
        <x:v>26795</x:v>
      </x:c>
      <x:c r="H410" s="84" t="n">
        <x:v>1365</x:v>
      </x:c>
      <x:c r="I410" s="84" t="n">
        <x:v>352</x:v>
      </x:c>
      <x:c r="J410" s="85" t="n">
        <x:v>350</x:v>
      </x:c>
    </x:row>
    <x:row r="411">
      <x:c r="A411" s="83" t="n">
        <x:v>410</x:v>
      </x:c>
      <x:c r="B411" s="89" t="n">
        <x:v>45962</x:v>
      </x:c>
      <x:c r="C411" s="84" t="n">
        <x:v>1</x:v>
      </x:c>
      <x:c r="D411" s="84" t="n">
        <x:v>1</x:v>
      </x:c>
      <x:c r="E411" s="84" t="n">
        <x:v>2</x:v>
      </x:c>
      <x:c r="F411" s="84" t="n">
        <x:v>42240</x:v>
      </x:c>
      <x:c r="G411" s="84" t="n">
        <x:v>41533</x:v>
      </x:c>
      <x:c r="H411" s="84" t="n">
        <x:v>707</x:v>
      </x:c>
      <x:c r="I411" s="84" t="n">
        <x:v>352</x:v>
      </x:c>
      <x:c r="J411" s="85" t="n">
        <x:v>349.8</x:v>
      </x:c>
    </x:row>
    <x:row r="412">
      <x:c r="A412" s="83" t="n">
        <x:v>411</x:v>
      </x:c>
      <x:c r="B412" s="89" t="n">
        <x:v>45962</x:v>
      </x:c>
      <x:c r="C412" s="84" t="n">
        <x:v>1</x:v>
      </x:c>
      <x:c r="D412" s="84" t="n">
        <x:v>2</x:v>
      </x:c>
      <x:c r="E412" s="84" t="n">
        <x:v>3</x:v>
      </x:c>
      <x:c r="F412" s="84" t="n">
        <x:v>35200</x:v>
      </x:c>
      <x:c r="G412" s="84" t="n">
        <x:v>33516</x:v>
      </x:c>
      <x:c r="H412" s="84" t="n">
        <x:v>1684</x:v>
      </x:c>
      <x:c r="I412" s="84" t="n">
        <x:v>352</x:v>
      </x:c>
      <x:c r="J412" s="85" t="n">
        <x:v>346.2</x:v>
      </x:c>
    </x:row>
    <x:row r="413">
      <x:c r="A413" s="83" t="n">
        <x:v>412</x:v>
      </x:c>
      <x:c r="B413" s="89" t="n">
        <x:v>45962</x:v>
      </x:c>
      <x:c r="C413" s="84" t="n">
        <x:v>1</x:v>
      </x:c>
      <x:c r="D413" s="84" t="n">
        <x:v>2</x:v>
      </x:c>
      <x:c r="E413" s="84" t="n">
        <x:v>4</x:v>
      </x:c>
      <x:c r="F413" s="84" t="n">
        <x:v>28160</x:v>
      </x:c>
      <x:c r="G413" s="84" t="n">
        <x:v>26056</x:v>
      </x:c>
      <x:c r="H413" s="84" t="n">
        <x:v>2104</x:v>
      </x:c>
      <x:c r="I413" s="84" t="n">
        <x:v>352</x:v>
      </x:c>
      <x:c r="J413" s="85" t="n">
        <x:v>321.5</x:v>
      </x:c>
    </x:row>
    <x:row r="414">
      <x:c r="A414" s="83" t="n">
        <x:v>413</x:v>
      </x:c>
      <x:c r="B414" s="89" t="n">
        <x:v>45962</x:v>
      </x:c>
      <x:c r="C414" s="84" t="n">
        <x:v>2</x:v>
      </x:c>
      <x:c r="D414" s="84" t="n">
        <x:v>4</x:v>
      </x:c>
      <x:c r="E414" s="84" t="n">
        <x:v>5</x:v>
      </x:c>
      <x:c r="F414" s="84" t="n">
        <x:v>52800</x:v>
      </x:c>
      <x:c r="G414" s="84" t="n">
        <x:v>52173</x:v>
      </x:c>
      <x:c r="H414" s="84" t="n">
        <x:v>627</x:v>
      </x:c>
      <x:c r="I414" s="84" t="n">
        <x:v>352</x:v>
      </x:c>
      <x:c r="J414" s="85" t="n">
        <x:v>334.1</x:v>
      </x:c>
    </x:row>
    <x:row r="415">
      <x:c r="A415" s="83" t="n">
        <x:v>414</x:v>
      </x:c>
      <x:c r="B415" s="89" t="n">
        <x:v>45962</x:v>
      </x:c>
      <x:c r="C415" s="84" t="n">
        <x:v>2</x:v>
      </x:c>
      <x:c r="D415" s="84" t="n">
        <x:v>4</x:v>
      </x:c>
      <x:c r="E415" s="84" t="n">
        <x:v>6</x:v>
      </x:c>
      <x:c r="F415" s="84" t="n">
        <x:v>35200</x:v>
      </x:c>
      <x:c r="G415" s="84" t="n">
        <x:v>34692</x:v>
      </x:c>
      <x:c r="H415" s="84" t="n">
        <x:v>508</x:v>
      </x:c>
      <x:c r="I415" s="84" t="n">
        <x:v>352</x:v>
      </x:c>
      <x:c r="J415" s="85" t="n">
        <x:v>342.2</x:v>
      </x:c>
    </x:row>
    <x:row r="416">
      <x:c r="A416" s="83" t="n">
        <x:v>415</x:v>
      </x:c>
      <x:c r="B416" s="89" t="n">
        <x:v>45962</x:v>
      </x:c>
      <x:c r="C416" s="84" t="n">
        <x:v>2</x:v>
      </x:c>
      <x:c r="D416" s="84" t="n">
        <x:v>5</x:v>
      </x:c>
      <x:c r="E416" s="84" t="n">
        <x:v>7</x:v>
      </x:c>
      <x:c r="F416" s="84" t="n">
        <x:v>42240</x:v>
      </x:c>
      <x:c r="G416" s="84" t="n">
        <x:v>41429</x:v>
      </x:c>
      <x:c r="H416" s="84" t="n">
        <x:v>811</x:v>
      </x:c>
      <x:c r="I416" s="84" t="n">
        <x:v>352</x:v>
      </x:c>
      <x:c r="J416" s="85" t="n">
        <x:v>328.5</x:v>
      </x:c>
    </x:row>
    <x:row r="417">
      <x:c r="A417" s="83" t="n">
        <x:v>416</x:v>
      </x:c>
      <x:c r="B417" s="89" t="n">
        <x:v>45962</x:v>
      </x:c>
      <x:c r="C417" s="84" t="n">
        <x:v>2</x:v>
      </x:c>
      <x:c r="D417" s="84" t="n">
        <x:v>5</x:v>
      </x:c>
      <x:c r="E417" s="84" t="n">
        <x:v>8</x:v>
      </x:c>
      <x:c r="F417" s="84" t="n">
        <x:v>42240</x:v>
      </x:c>
      <x:c r="G417" s="84" t="n">
        <x:v>41760</x:v>
      </x:c>
      <x:c r="H417" s="84" t="n">
        <x:v>480</x:v>
      </x:c>
      <x:c r="I417" s="84" t="n">
        <x:v>352</x:v>
      </x:c>
      <x:c r="J417" s="85" t="n">
        <x:v>337.9</x:v>
      </x:c>
    </x:row>
    <x:row r="418">
      <x:c r="A418" s="83" t="n">
        <x:v>417</x:v>
      </x:c>
      <x:c r="B418" s="89" t="n">
        <x:v>45962</x:v>
      </x:c>
      <x:c r="C418" s="84" t="n">
        <x:v>3</x:v>
      </x:c>
      <x:c r="D418" s="84" t="n">
        <x:v>7</x:v>
      </x:c>
      <x:c r="E418" s="84" t="n">
        <x:v>9</x:v>
      </x:c>
      <x:c r="F418" s="84" t="n">
        <x:v>28160</x:v>
      </x:c>
      <x:c r="G418" s="84" t="n">
        <x:v>27347</x:v>
      </x:c>
      <x:c r="H418" s="84" t="n">
        <x:v>813</x:v>
      </x:c>
      <x:c r="I418" s="84" t="n">
        <x:v>352</x:v>
      </x:c>
      <x:c r="J418" s="85" t="n">
        <x:v>331.9</x:v>
      </x:c>
    </x:row>
    <x:row r="419">
      <x:c r="A419" s="83" t="n">
        <x:v>418</x:v>
      </x:c>
      <x:c r="B419" s="89" t="n">
        <x:v>45962</x:v>
      </x:c>
      <x:c r="C419" s="84" t="n">
        <x:v>3</x:v>
      </x:c>
      <x:c r="D419" s="84" t="n">
        <x:v>7</x:v>
      </x:c>
      <x:c r="E419" s="84" t="n">
        <x:v>10</x:v>
      </x:c>
      <x:c r="F419" s="84" t="n">
        <x:v>28160</x:v>
      </x:c>
      <x:c r="G419" s="84" t="n">
        <x:v>27582</x:v>
      </x:c>
      <x:c r="H419" s="84" t="n">
        <x:v>578</x:v>
      </x:c>
      <x:c r="I419" s="84" t="n">
        <x:v>352</x:v>
      </x:c>
      <x:c r="J419" s="85" t="n">
        <x:v>346.6</x:v>
      </x:c>
    </x:row>
    <x:row r="420">
      <x:c r="A420" s="83" t="n">
        <x:v>419</x:v>
      </x:c>
      <x:c r="B420" s="89" t="n">
        <x:v>45962</x:v>
      </x:c>
      <x:c r="C420" s="84" t="n">
        <x:v>3</x:v>
      </x:c>
      <x:c r="D420" s="84" t="n">
        <x:v>8</x:v>
      </x:c>
      <x:c r="E420" s="84" t="n">
        <x:v>11</x:v>
      </x:c>
      <x:c r="F420" s="84" t="n">
        <x:v>52800</x:v>
      </x:c>
      <x:c r="G420" s="84" t="n">
        <x:v>50041</x:v>
      </x:c>
      <x:c r="H420" s="84" t="n">
        <x:v>2759</x:v>
      </x:c>
      <x:c r="I420" s="84" t="n">
        <x:v>352</x:v>
      </x:c>
      <x:c r="J420" s="85" t="n">
        <x:v>328.6</x:v>
      </x:c>
    </x:row>
    <x:row r="421">
      <x:c r="A421" s="83" t="n">
        <x:v>420</x:v>
      </x:c>
      <x:c r="B421" s="89" t="n">
        <x:v>45962</x:v>
      </x:c>
      <x:c r="C421" s="84" t="n">
        <x:v>3</x:v>
      </x:c>
      <x:c r="D421" s="84" t="n">
        <x:v>8</x:v>
      </x:c>
      <x:c r="E421" s="84" t="n">
        <x:v>12</x:v>
      </x:c>
      <x:c r="F421" s="84" t="n">
        <x:v>52800</x:v>
      </x:c>
      <x:c r="G421" s="84" t="n">
        <x:v>51143</x:v>
      </x:c>
      <x:c r="H421" s="84" t="n">
        <x:v>1657</x:v>
      </x:c>
      <x:c r="I421" s="84" t="n">
        <x:v>352</x:v>
      </x:c>
      <x:c r="J421" s="85" t="n">
        <x:v>330.2</x:v>
      </x:c>
    </x:row>
    <x:row r="422">
      <x:c r="A422" s="83" t="n">
        <x:v>421</x:v>
      </x:c>
      <x:c r="B422" s="89" t="n">
        <x:v>45992</x:v>
      </x:c>
      <x:c r="C422" s="84" t="n">
        <x:v>1</x:v>
      </x:c>
      <x:c r="D422" s="84" t="n">
        <x:v>1</x:v>
      </x:c>
      <x:c r="E422" s="84" t="n">
        <x:v>1</x:v>
      </x:c>
      <x:c r="F422" s="84" t="n">
        <x:v>28160</x:v>
      </x:c>
      <x:c r="G422" s="84" t="n">
        <x:v>26642</x:v>
      </x:c>
      <x:c r="H422" s="84" t="n">
        <x:v>1518</x:v>
      </x:c>
      <x:c r="I422" s="84" t="n">
        <x:v>352</x:v>
      </x:c>
      <x:c r="J422" s="85" t="n">
        <x:v>342.1</x:v>
      </x:c>
    </x:row>
    <x:row r="423">
      <x:c r="A423" s="83" t="n">
        <x:v>422</x:v>
      </x:c>
      <x:c r="B423" s="89" t="n">
        <x:v>45992</x:v>
      </x:c>
      <x:c r="C423" s="84" t="n">
        <x:v>1</x:v>
      </x:c>
      <x:c r="D423" s="84" t="n">
        <x:v>1</x:v>
      </x:c>
      <x:c r="E423" s="84" t="n">
        <x:v>2</x:v>
      </x:c>
      <x:c r="F423" s="84" t="n">
        <x:v>42240</x:v>
      </x:c>
      <x:c r="G423" s="84" t="n">
        <x:v>42219</x:v>
      </x:c>
      <x:c r="H423" s="84" t="n">
        <x:v>21</x:v>
      </x:c>
      <x:c r="I423" s="84" t="n">
        <x:v>352</x:v>
      </x:c>
      <x:c r="J423" s="85" t="n">
        <x:v>334.4</x:v>
      </x:c>
    </x:row>
    <x:row r="424">
      <x:c r="A424" s="83" t="n">
        <x:v>423</x:v>
      </x:c>
      <x:c r="B424" s="89" t="n">
        <x:v>45992</x:v>
      </x:c>
      <x:c r="C424" s="84" t="n">
        <x:v>1</x:v>
      </x:c>
      <x:c r="D424" s="84" t="n">
        <x:v>2</x:v>
      </x:c>
      <x:c r="E424" s="84" t="n">
        <x:v>3</x:v>
      </x:c>
      <x:c r="F424" s="84" t="n">
        <x:v>35200</x:v>
      </x:c>
      <x:c r="G424" s="84" t="n">
        <x:v>32857</x:v>
      </x:c>
      <x:c r="H424" s="84" t="n">
        <x:v>2343</x:v>
      </x:c>
      <x:c r="I424" s="84" t="n">
        <x:v>352</x:v>
      </x:c>
      <x:c r="J424" s="85" t="n">
        <x:v>318.6</x:v>
      </x:c>
    </x:row>
    <x:row r="425">
      <x:c r="A425" s="83" t="n">
        <x:v>424</x:v>
      </x:c>
      <x:c r="B425" s="89" t="n">
        <x:v>45992</x:v>
      </x:c>
      <x:c r="C425" s="84" t="n">
        <x:v>1</x:v>
      </x:c>
      <x:c r="D425" s="84" t="n">
        <x:v>2</x:v>
      </x:c>
      <x:c r="E425" s="84" t="n">
        <x:v>4</x:v>
      </x:c>
      <x:c r="F425" s="84" t="n">
        <x:v>28160</x:v>
      </x:c>
      <x:c r="G425" s="84" t="n">
        <x:v>26501</x:v>
      </x:c>
      <x:c r="H425" s="84" t="n">
        <x:v>1659</x:v>
      </x:c>
      <x:c r="I425" s="84" t="n">
        <x:v>352</x:v>
      </x:c>
      <x:c r="J425" s="85" t="n">
        <x:v>344.1</x:v>
      </x:c>
    </x:row>
    <x:row r="426">
      <x:c r="A426" s="83" t="n">
        <x:v>425</x:v>
      </x:c>
      <x:c r="B426" s="89" t="n">
        <x:v>45992</x:v>
      </x:c>
      <x:c r="C426" s="84" t="n">
        <x:v>2</x:v>
      </x:c>
      <x:c r="D426" s="84" t="n">
        <x:v>4</x:v>
      </x:c>
      <x:c r="E426" s="84" t="n">
        <x:v>5</x:v>
      </x:c>
      <x:c r="F426" s="84" t="n">
        <x:v>52800</x:v>
      </x:c>
      <x:c r="G426" s="84" t="n">
        <x:v>52389</x:v>
      </x:c>
      <x:c r="H426" s="84" t="n">
        <x:v>411</x:v>
      </x:c>
      <x:c r="I426" s="84" t="n">
        <x:v>352</x:v>
      </x:c>
      <x:c r="J426" s="85" t="n">
        <x:v>338.5</x:v>
      </x:c>
    </x:row>
    <x:row r="427">
      <x:c r="A427" s="83" t="n">
        <x:v>426</x:v>
      </x:c>
      <x:c r="B427" s="89" t="n">
        <x:v>45992</x:v>
      </x:c>
      <x:c r="C427" s="84" t="n">
        <x:v>2</x:v>
      </x:c>
      <x:c r="D427" s="84" t="n">
        <x:v>4</x:v>
      </x:c>
      <x:c r="E427" s="84" t="n">
        <x:v>6</x:v>
      </x:c>
      <x:c r="F427" s="84" t="n">
        <x:v>35200</x:v>
      </x:c>
      <x:c r="G427" s="84" t="n">
        <x:v>33271</x:v>
      </x:c>
      <x:c r="H427" s="84" t="n">
        <x:v>1929</x:v>
      </x:c>
      <x:c r="I427" s="84" t="n">
        <x:v>352</x:v>
      </x:c>
      <x:c r="J427" s="85" t="n">
        <x:v>348.8</x:v>
      </x:c>
    </x:row>
    <x:row r="428">
      <x:c r="A428" s="83" t="n">
        <x:v>427</x:v>
      </x:c>
      <x:c r="B428" s="89" t="n">
        <x:v>45992</x:v>
      </x:c>
      <x:c r="C428" s="84" t="n">
        <x:v>2</x:v>
      </x:c>
      <x:c r="D428" s="84" t="n">
        <x:v>5</x:v>
      </x:c>
      <x:c r="E428" s="84" t="n">
        <x:v>7</x:v>
      </x:c>
      <x:c r="F428" s="84" t="n">
        <x:v>42240</x:v>
      </x:c>
      <x:c r="G428" s="84" t="n">
        <x:v>39952</x:v>
      </x:c>
      <x:c r="H428" s="84" t="n">
        <x:v>2288</x:v>
      </x:c>
      <x:c r="I428" s="84" t="n">
        <x:v>352</x:v>
      </x:c>
      <x:c r="J428" s="85" t="n">
        <x:v>329.5</x:v>
      </x:c>
    </x:row>
    <x:row r="429">
      <x:c r="A429" s="83" t="n">
        <x:v>428</x:v>
      </x:c>
      <x:c r="B429" s="89" t="n">
        <x:v>45992</x:v>
      </x:c>
      <x:c r="C429" s="84" t="n">
        <x:v>2</x:v>
      </x:c>
      <x:c r="D429" s="84" t="n">
        <x:v>5</x:v>
      </x:c>
      <x:c r="E429" s="84" t="n">
        <x:v>8</x:v>
      </x:c>
      <x:c r="F429" s="84" t="n">
        <x:v>42240</x:v>
      </x:c>
      <x:c r="G429" s="84" t="n">
        <x:v>40786</x:v>
      </x:c>
      <x:c r="H429" s="84" t="n">
        <x:v>1454</x:v>
      </x:c>
      <x:c r="I429" s="84" t="n">
        <x:v>352</x:v>
      </x:c>
      <x:c r="J429" s="85" t="n">
        <x:v>339.3</x:v>
      </x:c>
    </x:row>
    <x:row r="430">
      <x:c r="A430" s="83" t="n">
        <x:v>429</x:v>
      </x:c>
      <x:c r="B430" s="89" t="n">
        <x:v>45992</x:v>
      </x:c>
      <x:c r="C430" s="84" t="n">
        <x:v>3</x:v>
      </x:c>
      <x:c r="D430" s="84" t="n">
        <x:v>7</x:v>
      </x:c>
      <x:c r="E430" s="84" t="n">
        <x:v>9</x:v>
      </x:c>
      <x:c r="F430" s="84" t="n">
        <x:v>28160</x:v>
      </x:c>
      <x:c r="G430" s="84" t="n">
        <x:v>28053</x:v>
      </x:c>
      <x:c r="H430" s="84" t="n">
        <x:v>107</x:v>
      </x:c>
      <x:c r="I430" s="84" t="n">
        <x:v>352</x:v>
      </x:c>
      <x:c r="J430" s="85" t="n">
        <x:v>326.6</x:v>
      </x:c>
    </x:row>
    <x:row r="431">
      <x:c r="A431" s="83" t="n">
        <x:v>430</x:v>
      </x:c>
      <x:c r="B431" s="89" t="n">
        <x:v>45992</x:v>
      </x:c>
      <x:c r="C431" s="84" t="n">
        <x:v>3</x:v>
      </x:c>
      <x:c r="D431" s="84" t="n">
        <x:v>7</x:v>
      </x:c>
      <x:c r="E431" s="84" t="n">
        <x:v>10</x:v>
      </x:c>
      <x:c r="F431" s="84" t="n">
        <x:v>28160</x:v>
      </x:c>
      <x:c r="G431" s="84" t="n">
        <x:v>26616</x:v>
      </x:c>
      <x:c r="H431" s="84" t="n">
        <x:v>1544</x:v>
      </x:c>
      <x:c r="I431" s="84" t="n">
        <x:v>352</x:v>
      </x:c>
      <x:c r="J431" s="85" t="n">
        <x:v>337.4</x:v>
      </x:c>
    </x:row>
    <x:row r="432">
      <x:c r="A432" s="83" t="n">
        <x:v>431</x:v>
      </x:c>
      <x:c r="B432" s="89" t="n">
        <x:v>45992</x:v>
      </x:c>
      <x:c r="C432" s="84" t="n">
        <x:v>3</x:v>
      </x:c>
      <x:c r="D432" s="84" t="n">
        <x:v>8</x:v>
      </x:c>
      <x:c r="E432" s="84" t="n">
        <x:v>11</x:v>
      </x:c>
      <x:c r="F432" s="84" t="n">
        <x:v>52800</x:v>
      </x:c>
      <x:c r="G432" s="84" t="n">
        <x:v>50182</x:v>
      </x:c>
      <x:c r="H432" s="84" t="n">
        <x:v>2618</x:v>
      </x:c>
      <x:c r="I432" s="84" t="n">
        <x:v>352</x:v>
      </x:c>
      <x:c r="J432" s="85" t="n">
        <x:v>333.2</x:v>
      </x:c>
    </x:row>
    <x:row r="433">
      <x:c r="A433" s="86" t="n">
        <x:v>432</x:v>
      </x:c>
      <x:c r="B433" s="90" t="n">
        <x:v>45992</x:v>
      </x:c>
      <x:c r="C433" s="87" t="n">
        <x:v>3</x:v>
      </x:c>
      <x:c r="D433" s="87" t="n">
        <x:v>8</x:v>
      </x:c>
      <x:c r="E433" s="87" t="n">
        <x:v>12</x:v>
      </x:c>
      <x:c r="F433" s="87" t="n">
        <x:v>52800</x:v>
      </x:c>
      <x:c r="G433" s="87" t="n">
        <x:v>51117</x:v>
      </x:c>
      <x:c r="H433" s="87" t="n">
        <x:v>1683</x:v>
      </x:c>
      <x:c r="I433" s="87" t="n">
        <x:v>352</x:v>
      </x:c>
      <x:c r="J433" s="88" t="n">
        <x:v>339.2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2.890000104904175" hidden="0" customWidth="1"/>
    <x:col min="3" max="3" width="3.7799999713897705" hidden="0" customWidth="1"/>
    <x:col min="4" max="4" width="9" hidden="0" customWidth="1"/>
    <x:col min="5" max="5" width="7.440000057220459" hidden="0" customWidth="1"/>
    <x:col min="6" max="6" width="4.110000133514404" hidden="0" customWidth="1"/>
    <x:col min="7" max="7" width="10.329999923706055" hidden="0" customWidth="1"/>
    <x:col min="8" max="8" width="9.779999732971191" hidden="0" customWidth="1"/>
    <x:col min="9" max="9" width="6.21999979019165" hidden="0" customWidth="1"/>
  </x:cols>
  <x:sheetData>
    <x:row r="1">
      <x:c r="A1" s="80" t="str">
        <x:v>data</x:v>
      </x:c>
      <x:c r="B1" s="81" t="str">
        <x:v>dia</x:v>
      </x:c>
      <x:c r="C1" s="81" t="str">
        <x:v>mes</x:v>
      </x:c>
      <x:c r="D1" s="81" t="str">
        <x:v>nome_mes</x:v>
      </x:c>
      <x:c r="E1" s="81" t="str">
        <x:v>trimestre</x:v>
      </x:c>
      <x:c r="F1" s="81" t="str">
        <x:v>ano</x:v>
      </x:c>
      <x:c r="G1" s="81" t="str">
        <x:v>semana_ano</x:v>
      </x:c>
      <x:c r="H1" s="81" t="str">
        <x:v>dia_semana</x:v>
      </x:c>
      <x:c r="I1" s="82" t="str">
        <x:v>dia_util</x:v>
      </x:c>
    </x:row>
    <x:row r="2">
      <x:c r="A2" s="95" t="n">
        <x:v>44927</x:v>
      </x:c>
      <x:c r="B2" s="84" t="n">
        <x:v>1</x:v>
      </x:c>
      <x:c r="C2" s="84" t="n">
        <x:v>1</x:v>
      </x:c>
      <x:c r="D2" s="84" t="str">
        <x:v>Janeiro</x:v>
      </x:c>
      <x:c r="E2" s="84" t="n">
        <x:v>1</x:v>
      </x:c>
      <x:c r="F2" s="84" t="n">
        <x:v>2023</x:v>
      </x:c>
      <x:c r="G2" s="84" t="n">
        <x:v>52</x:v>
      </x:c>
      <x:c r="H2" s="84" t="str">
        <x:v>Domingo</x:v>
      </x:c>
      <x:c r="I2" s="85" t="n">
        <x:v>0</x:v>
      </x:c>
    </x:row>
    <x:row r="3">
      <x:c r="A3" s="95" t="n">
        <x:v>44928</x:v>
      </x:c>
      <x:c r="B3" s="84" t="n">
        <x:v>2</x:v>
      </x:c>
      <x:c r="C3" s="84" t="n">
        <x:v>1</x:v>
      </x:c>
      <x:c r="D3" s="84" t="str">
        <x:v>Janeiro</x:v>
      </x:c>
      <x:c r="E3" s="84" t="n">
        <x:v>1</x:v>
      </x:c>
      <x:c r="F3" s="84" t="n">
        <x:v>2023</x:v>
      </x:c>
      <x:c r="G3" s="84" t="n">
        <x:v>1</x:v>
      </x:c>
      <x:c r="H3" s="84" t="str">
        <x:v>Segunda</x:v>
      </x:c>
      <x:c r="I3" s="85" t="n">
        <x:v>1</x:v>
      </x:c>
    </x:row>
    <x:row r="4">
      <x:c r="A4" s="95" t="n">
        <x:v>44929</x:v>
      </x:c>
      <x:c r="B4" s="84" t="n">
        <x:v>3</x:v>
      </x:c>
      <x:c r="C4" s="84" t="n">
        <x:v>1</x:v>
      </x:c>
      <x:c r="D4" s="84" t="str">
        <x:v>Janeiro</x:v>
      </x:c>
      <x:c r="E4" s="84" t="n">
        <x:v>1</x:v>
      </x:c>
      <x:c r="F4" s="84" t="n">
        <x:v>2023</x:v>
      </x:c>
      <x:c r="G4" s="84" t="n">
        <x:v>1</x:v>
      </x:c>
      <x:c r="H4" s="84" t="str">
        <x:v>Terça</x:v>
      </x:c>
      <x:c r="I4" s="85" t="n">
        <x:v>1</x:v>
      </x:c>
    </x:row>
    <x:row r="5">
      <x:c r="A5" s="95" t="n">
        <x:v>44930</x:v>
      </x:c>
      <x:c r="B5" s="84" t="n">
        <x:v>4</x:v>
      </x:c>
      <x:c r="C5" s="84" t="n">
        <x:v>1</x:v>
      </x:c>
      <x:c r="D5" s="84" t="str">
        <x:v>Janeiro</x:v>
      </x:c>
      <x:c r="E5" s="84" t="n">
        <x:v>1</x:v>
      </x:c>
      <x:c r="F5" s="84" t="n">
        <x:v>2023</x:v>
      </x:c>
      <x:c r="G5" s="84" t="n">
        <x:v>1</x:v>
      </x:c>
      <x:c r="H5" s="84" t="str">
        <x:v>Quarta</x:v>
      </x:c>
      <x:c r="I5" s="85" t="n">
        <x:v>1</x:v>
      </x:c>
    </x:row>
    <x:row r="6">
      <x:c r="A6" s="95" t="n">
        <x:v>44931</x:v>
      </x:c>
      <x:c r="B6" s="84" t="n">
        <x:v>5</x:v>
      </x:c>
      <x:c r="C6" s="84" t="n">
        <x:v>1</x:v>
      </x:c>
      <x:c r="D6" s="84" t="str">
        <x:v>Janeiro</x:v>
      </x:c>
      <x:c r="E6" s="84" t="n">
        <x:v>1</x:v>
      </x:c>
      <x:c r="F6" s="84" t="n">
        <x:v>2023</x:v>
      </x:c>
      <x:c r="G6" s="84" t="n">
        <x:v>1</x:v>
      </x:c>
      <x:c r="H6" s="84" t="str">
        <x:v>Quinta</x:v>
      </x:c>
      <x:c r="I6" s="85" t="n">
        <x:v>1</x:v>
      </x:c>
    </x:row>
    <x:row r="7">
      <x:c r="A7" s="95" t="n">
        <x:v>44932</x:v>
      </x:c>
      <x:c r="B7" s="84" t="n">
        <x:v>6</x:v>
      </x:c>
      <x:c r="C7" s="84" t="n">
        <x:v>1</x:v>
      </x:c>
      <x:c r="D7" s="84" t="str">
        <x:v>Janeiro</x:v>
      </x:c>
      <x:c r="E7" s="84" t="n">
        <x:v>1</x:v>
      </x:c>
      <x:c r="F7" s="84" t="n">
        <x:v>2023</x:v>
      </x:c>
      <x:c r="G7" s="84" t="n">
        <x:v>1</x:v>
      </x:c>
      <x:c r="H7" s="84" t="str">
        <x:v>Sexta</x:v>
      </x:c>
      <x:c r="I7" s="85" t="n">
        <x:v>1</x:v>
      </x:c>
    </x:row>
    <x:row r="8">
      <x:c r="A8" s="95" t="n">
        <x:v>44933</x:v>
      </x:c>
      <x:c r="B8" s="84" t="n">
        <x:v>7</x:v>
      </x:c>
      <x:c r="C8" s="84" t="n">
        <x:v>1</x:v>
      </x:c>
      <x:c r="D8" s="84" t="str">
        <x:v>Janeiro</x:v>
      </x:c>
      <x:c r="E8" s="84" t="n">
        <x:v>1</x:v>
      </x:c>
      <x:c r="F8" s="84" t="n">
        <x:v>2023</x:v>
      </x:c>
      <x:c r="G8" s="84" t="n">
        <x:v>1</x:v>
      </x:c>
      <x:c r="H8" s="84" t="str">
        <x:v>Sábado</x:v>
      </x:c>
      <x:c r="I8" s="85" t="n">
        <x:v>0</x:v>
      </x:c>
    </x:row>
    <x:row r="9">
      <x:c r="A9" s="95" t="n">
        <x:v>44934</x:v>
      </x:c>
      <x:c r="B9" s="84" t="n">
        <x:v>8</x:v>
      </x:c>
      <x:c r="C9" s="84" t="n">
        <x:v>1</x:v>
      </x:c>
      <x:c r="D9" s="84" t="str">
        <x:v>Janeiro</x:v>
      </x:c>
      <x:c r="E9" s="84" t="n">
        <x:v>1</x:v>
      </x:c>
      <x:c r="F9" s="84" t="n">
        <x:v>2023</x:v>
      </x:c>
      <x:c r="G9" s="84" t="n">
        <x:v>1</x:v>
      </x:c>
      <x:c r="H9" s="84" t="str">
        <x:v>Domingo</x:v>
      </x:c>
      <x:c r="I9" s="85" t="n">
        <x:v>0</x:v>
      </x:c>
    </x:row>
    <x:row r="10">
      <x:c r="A10" s="95" t="n">
        <x:v>44935</x:v>
      </x:c>
      <x:c r="B10" s="84" t="n">
        <x:v>9</x:v>
      </x:c>
      <x:c r="C10" s="84" t="n">
        <x:v>1</x:v>
      </x:c>
      <x:c r="D10" s="84" t="str">
        <x:v>Janeiro</x:v>
      </x:c>
      <x:c r="E10" s="84" t="n">
        <x:v>1</x:v>
      </x:c>
      <x:c r="F10" s="84" t="n">
        <x:v>2023</x:v>
      </x:c>
      <x:c r="G10" s="84" t="n">
        <x:v>2</x:v>
      </x:c>
      <x:c r="H10" s="84" t="str">
        <x:v>Segunda</x:v>
      </x:c>
      <x:c r="I10" s="85" t="n">
        <x:v>1</x:v>
      </x:c>
    </x:row>
    <x:row r="11">
      <x:c r="A11" s="95" t="n">
        <x:v>44936</x:v>
      </x:c>
      <x:c r="B11" s="84" t="n">
        <x:v>10</x:v>
      </x:c>
      <x:c r="C11" s="84" t="n">
        <x:v>1</x:v>
      </x:c>
      <x:c r="D11" s="84" t="str">
        <x:v>Janeiro</x:v>
      </x:c>
      <x:c r="E11" s="84" t="n">
        <x:v>1</x:v>
      </x:c>
      <x:c r="F11" s="84" t="n">
        <x:v>2023</x:v>
      </x:c>
      <x:c r="G11" s="84" t="n">
        <x:v>2</x:v>
      </x:c>
      <x:c r="H11" s="84" t="str">
        <x:v>Terça</x:v>
      </x:c>
      <x:c r="I11" s="85" t="n">
        <x:v>1</x:v>
      </x:c>
    </x:row>
    <x:row r="12">
      <x:c r="A12" s="95" t="n">
        <x:v>44937</x:v>
      </x:c>
      <x:c r="B12" s="84" t="n">
        <x:v>11</x:v>
      </x:c>
      <x:c r="C12" s="84" t="n">
        <x:v>1</x:v>
      </x:c>
      <x:c r="D12" s="84" t="str">
        <x:v>Janeiro</x:v>
      </x:c>
      <x:c r="E12" s="84" t="n">
        <x:v>1</x:v>
      </x:c>
      <x:c r="F12" s="84" t="n">
        <x:v>2023</x:v>
      </x:c>
      <x:c r="G12" s="84" t="n">
        <x:v>2</x:v>
      </x:c>
      <x:c r="H12" s="84" t="str">
        <x:v>Quarta</x:v>
      </x:c>
      <x:c r="I12" s="85" t="n">
        <x:v>1</x:v>
      </x:c>
    </x:row>
    <x:row r="13">
      <x:c r="A13" s="95" t="n">
        <x:v>44938</x:v>
      </x:c>
      <x:c r="B13" s="84" t="n">
        <x:v>12</x:v>
      </x:c>
      <x:c r="C13" s="84" t="n">
        <x:v>1</x:v>
      </x:c>
      <x:c r="D13" s="84" t="str">
        <x:v>Janeiro</x:v>
      </x:c>
      <x:c r="E13" s="84" t="n">
        <x:v>1</x:v>
      </x:c>
      <x:c r="F13" s="84" t="n">
        <x:v>2023</x:v>
      </x:c>
      <x:c r="G13" s="84" t="n">
        <x:v>2</x:v>
      </x:c>
      <x:c r="H13" s="84" t="str">
        <x:v>Quinta</x:v>
      </x:c>
      <x:c r="I13" s="85" t="n">
        <x:v>1</x:v>
      </x:c>
    </x:row>
    <x:row r="14">
      <x:c r="A14" s="95" t="n">
        <x:v>44939</x:v>
      </x:c>
      <x:c r="B14" s="84" t="n">
        <x:v>13</x:v>
      </x:c>
      <x:c r="C14" s="84" t="n">
        <x:v>1</x:v>
      </x:c>
      <x:c r="D14" s="84" t="str">
        <x:v>Janeiro</x:v>
      </x:c>
      <x:c r="E14" s="84" t="n">
        <x:v>1</x:v>
      </x:c>
      <x:c r="F14" s="84" t="n">
        <x:v>2023</x:v>
      </x:c>
      <x:c r="G14" s="84" t="n">
        <x:v>2</x:v>
      </x:c>
      <x:c r="H14" s="84" t="str">
        <x:v>Sexta</x:v>
      </x:c>
      <x:c r="I14" s="85" t="n">
        <x:v>1</x:v>
      </x:c>
    </x:row>
    <x:row r="15">
      <x:c r="A15" s="95" t="n">
        <x:v>44940</x:v>
      </x:c>
      <x:c r="B15" s="84" t="n">
        <x:v>14</x:v>
      </x:c>
      <x:c r="C15" s="84" t="n">
        <x:v>1</x:v>
      </x:c>
      <x:c r="D15" s="84" t="str">
        <x:v>Janeiro</x:v>
      </x:c>
      <x:c r="E15" s="84" t="n">
        <x:v>1</x:v>
      </x:c>
      <x:c r="F15" s="84" t="n">
        <x:v>2023</x:v>
      </x:c>
      <x:c r="G15" s="84" t="n">
        <x:v>2</x:v>
      </x:c>
      <x:c r="H15" s="84" t="str">
        <x:v>Sábado</x:v>
      </x:c>
      <x:c r="I15" s="85" t="n">
        <x:v>0</x:v>
      </x:c>
    </x:row>
    <x:row r="16">
      <x:c r="A16" s="95" t="n">
        <x:v>44941</x:v>
      </x:c>
      <x:c r="B16" s="84" t="n">
        <x:v>15</x:v>
      </x:c>
      <x:c r="C16" s="84" t="n">
        <x:v>1</x:v>
      </x:c>
      <x:c r="D16" s="84" t="str">
        <x:v>Janeiro</x:v>
      </x:c>
      <x:c r="E16" s="84" t="n">
        <x:v>1</x:v>
      </x:c>
      <x:c r="F16" s="84" t="n">
        <x:v>2023</x:v>
      </x:c>
      <x:c r="G16" s="84" t="n">
        <x:v>2</x:v>
      </x:c>
      <x:c r="H16" s="84" t="str">
        <x:v>Domingo</x:v>
      </x:c>
      <x:c r="I16" s="85" t="n">
        <x:v>0</x:v>
      </x:c>
    </x:row>
    <x:row r="17">
      <x:c r="A17" s="95" t="n">
        <x:v>44942</x:v>
      </x:c>
      <x:c r="B17" s="84" t="n">
        <x:v>16</x:v>
      </x:c>
      <x:c r="C17" s="84" t="n">
        <x:v>1</x:v>
      </x:c>
      <x:c r="D17" s="84" t="str">
        <x:v>Janeiro</x:v>
      </x:c>
      <x:c r="E17" s="84" t="n">
        <x:v>1</x:v>
      </x:c>
      <x:c r="F17" s="84" t="n">
        <x:v>2023</x:v>
      </x:c>
      <x:c r="G17" s="84" t="n">
        <x:v>3</x:v>
      </x:c>
      <x:c r="H17" s="84" t="str">
        <x:v>Segunda</x:v>
      </x:c>
      <x:c r="I17" s="85" t="n">
        <x:v>1</x:v>
      </x:c>
    </x:row>
    <x:row r="18">
      <x:c r="A18" s="95" t="n">
        <x:v>44943</x:v>
      </x:c>
      <x:c r="B18" s="84" t="n">
        <x:v>17</x:v>
      </x:c>
      <x:c r="C18" s="84" t="n">
        <x:v>1</x:v>
      </x:c>
      <x:c r="D18" s="84" t="str">
        <x:v>Janeiro</x:v>
      </x:c>
      <x:c r="E18" s="84" t="n">
        <x:v>1</x:v>
      </x:c>
      <x:c r="F18" s="84" t="n">
        <x:v>2023</x:v>
      </x:c>
      <x:c r="G18" s="84" t="n">
        <x:v>3</x:v>
      </x:c>
      <x:c r="H18" s="84" t="str">
        <x:v>Terça</x:v>
      </x:c>
      <x:c r="I18" s="85" t="n">
        <x:v>1</x:v>
      </x:c>
    </x:row>
    <x:row r="19">
      <x:c r="A19" s="95" t="n">
        <x:v>44944</x:v>
      </x:c>
      <x:c r="B19" s="84" t="n">
        <x:v>18</x:v>
      </x:c>
      <x:c r="C19" s="84" t="n">
        <x:v>1</x:v>
      </x:c>
      <x:c r="D19" s="84" t="str">
        <x:v>Janeiro</x:v>
      </x:c>
      <x:c r="E19" s="84" t="n">
        <x:v>1</x:v>
      </x:c>
      <x:c r="F19" s="84" t="n">
        <x:v>2023</x:v>
      </x:c>
      <x:c r="G19" s="84" t="n">
        <x:v>3</x:v>
      </x:c>
      <x:c r="H19" s="84" t="str">
        <x:v>Quarta</x:v>
      </x:c>
      <x:c r="I19" s="85" t="n">
        <x:v>1</x:v>
      </x:c>
    </x:row>
    <x:row r="20">
      <x:c r="A20" s="95" t="n">
        <x:v>44945</x:v>
      </x:c>
      <x:c r="B20" s="84" t="n">
        <x:v>19</x:v>
      </x:c>
      <x:c r="C20" s="84" t="n">
        <x:v>1</x:v>
      </x:c>
      <x:c r="D20" s="84" t="str">
        <x:v>Janeiro</x:v>
      </x:c>
      <x:c r="E20" s="84" t="n">
        <x:v>1</x:v>
      </x:c>
      <x:c r="F20" s="84" t="n">
        <x:v>2023</x:v>
      </x:c>
      <x:c r="G20" s="84" t="n">
        <x:v>3</x:v>
      </x:c>
      <x:c r="H20" s="84" t="str">
        <x:v>Quinta</x:v>
      </x:c>
      <x:c r="I20" s="85" t="n">
        <x:v>1</x:v>
      </x:c>
    </x:row>
    <x:row r="21">
      <x:c r="A21" s="95" t="n">
        <x:v>44946</x:v>
      </x:c>
      <x:c r="B21" s="84" t="n">
        <x:v>20</x:v>
      </x:c>
      <x:c r="C21" s="84" t="n">
        <x:v>1</x:v>
      </x:c>
      <x:c r="D21" s="84" t="str">
        <x:v>Janeiro</x:v>
      </x:c>
      <x:c r="E21" s="84" t="n">
        <x:v>1</x:v>
      </x:c>
      <x:c r="F21" s="84" t="n">
        <x:v>2023</x:v>
      </x:c>
      <x:c r="G21" s="84" t="n">
        <x:v>3</x:v>
      </x:c>
      <x:c r="H21" s="84" t="str">
        <x:v>Sexta</x:v>
      </x:c>
      <x:c r="I21" s="85" t="n">
        <x:v>1</x:v>
      </x:c>
    </x:row>
    <x:row r="22">
      <x:c r="A22" s="95" t="n">
        <x:v>44947</x:v>
      </x:c>
      <x:c r="B22" s="84" t="n">
        <x:v>21</x:v>
      </x:c>
      <x:c r="C22" s="84" t="n">
        <x:v>1</x:v>
      </x:c>
      <x:c r="D22" s="84" t="str">
        <x:v>Janeiro</x:v>
      </x:c>
      <x:c r="E22" s="84" t="n">
        <x:v>1</x:v>
      </x:c>
      <x:c r="F22" s="84" t="n">
        <x:v>2023</x:v>
      </x:c>
      <x:c r="G22" s="84" t="n">
        <x:v>3</x:v>
      </x:c>
      <x:c r="H22" s="84" t="str">
        <x:v>Sábado</x:v>
      </x:c>
      <x:c r="I22" s="85" t="n">
        <x:v>0</x:v>
      </x:c>
    </x:row>
    <x:row r="23">
      <x:c r="A23" s="95" t="n">
        <x:v>44948</x:v>
      </x:c>
      <x:c r="B23" s="84" t="n">
        <x:v>22</x:v>
      </x:c>
      <x:c r="C23" s="84" t="n">
        <x:v>1</x:v>
      </x:c>
      <x:c r="D23" s="84" t="str">
        <x:v>Janeiro</x:v>
      </x:c>
      <x:c r="E23" s="84" t="n">
        <x:v>1</x:v>
      </x:c>
      <x:c r="F23" s="84" t="n">
        <x:v>2023</x:v>
      </x:c>
      <x:c r="G23" s="84" t="n">
        <x:v>3</x:v>
      </x:c>
      <x:c r="H23" s="84" t="str">
        <x:v>Domingo</x:v>
      </x:c>
      <x:c r="I23" s="85" t="n">
        <x:v>0</x:v>
      </x:c>
    </x:row>
    <x:row r="24">
      <x:c r="A24" s="95" t="n">
        <x:v>44949</x:v>
      </x:c>
      <x:c r="B24" s="84" t="n">
        <x:v>23</x:v>
      </x:c>
      <x:c r="C24" s="84" t="n">
        <x:v>1</x:v>
      </x:c>
      <x:c r="D24" s="84" t="str">
        <x:v>Janeiro</x:v>
      </x:c>
      <x:c r="E24" s="84" t="n">
        <x:v>1</x:v>
      </x:c>
      <x:c r="F24" s="84" t="n">
        <x:v>2023</x:v>
      </x:c>
      <x:c r="G24" s="84" t="n">
        <x:v>4</x:v>
      </x:c>
      <x:c r="H24" s="84" t="str">
        <x:v>Segunda</x:v>
      </x:c>
      <x:c r="I24" s="85" t="n">
        <x:v>1</x:v>
      </x:c>
    </x:row>
    <x:row r="25">
      <x:c r="A25" s="95" t="n">
        <x:v>44950</x:v>
      </x:c>
      <x:c r="B25" s="84" t="n">
        <x:v>24</x:v>
      </x:c>
      <x:c r="C25" s="84" t="n">
        <x:v>1</x:v>
      </x:c>
      <x:c r="D25" s="84" t="str">
        <x:v>Janeiro</x:v>
      </x:c>
      <x:c r="E25" s="84" t="n">
        <x:v>1</x:v>
      </x:c>
      <x:c r="F25" s="84" t="n">
        <x:v>2023</x:v>
      </x:c>
      <x:c r="G25" s="84" t="n">
        <x:v>4</x:v>
      </x:c>
      <x:c r="H25" s="84" t="str">
        <x:v>Terça</x:v>
      </x:c>
      <x:c r="I25" s="85" t="n">
        <x:v>1</x:v>
      </x:c>
    </x:row>
    <x:row r="26">
      <x:c r="A26" s="95" t="n">
        <x:v>44951</x:v>
      </x:c>
      <x:c r="B26" s="84" t="n">
        <x:v>25</x:v>
      </x:c>
      <x:c r="C26" s="84" t="n">
        <x:v>1</x:v>
      </x:c>
      <x:c r="D26" s="84" t="str">
        <x:v>Janeiro</x:v>
      </x:c>
      <x:c r="E26" s="84" t="n">
        <x:v>1</x:v>
      </x:c>
      <x:c r="F26" s="84" t="n">
        <x:v>2023</x:v>
      </x:c>
      <x:c r="G26" s="84" t="n">
        <x:v>4</x:v>
      </x:c>
      <x:c r="H26" s="84" t="str">
        <x:v>Quarta</x:v>
      </x:c>
      <x:c r="I26" s="85" t="n">
        <x:v>1</x:v>
      </x:c>
    </x:row>
    <x:row r="27">
      <x:c r="A27" s="95" t="n">
        <x:v>44952</x:v>
      </x:c>
      <x:c r="B27" s="84" t="n">
        <x:v>26</x:v>
      </x:c>
      <x:c r="C27" s="84" t="n">
        <x:v>1</x:v>
      </x:c>
      <x:c r="D27" s="84" t="str">
        <x:v>Janeiro</x:v>
      </x:c>
      <x:c r="E27" s="84" t="n">
        <x:v>1</x:v>
      </x:c>
      <x:c r="F27" s="84" t="n">
        <x:v>2023</x:v>
      </x:c>
      <x:c r="G27" s="84" t="n">
        <x:v>4</x:v>
      </x:c>
      <x:c r="H27" s="84" t="str">
        <x:v>Quinta</x:v>
      </x:c>
      <x:c r="I27" s="85" t="n">
        <x:v>1</x:v>
      </x:c>
    </x:row>
    <x:row r="28">
      <x:c r="A28" s="95" t="n">
        <x:v>44953</x:v>
      </x:c>
      <x:c r="B28" s="84" t="n">
        <x:v>27</x:v>
      </x:c>
      <x:c r="C28" s="84" t="n">
        <x:v>1</x:v>
      </x:c>
      <x:c r="D28" s="84" t="str">
        <x:v>Janeiro</x:v>
      </x:c>
      <x:c r="E28" s="84" t="n">
        <x:v>1</x:v>
      </x:c>
      <x:c r="F28" s="84" t="n">
        <x:v>2023</x:v>
      </x:c>
      <x:c r="G28" s="84" t="n">
        <x:v>4</x:v>
      </x:c>
      <x:c r="H28" s="84" t="str">
        <x:v>Sexta</x:v>
      </x:c>
      <x:c r="I28" s="85" t="n">
        <x:v>1</x:v>
      </x:c>
    </x:row>
    <x:row r="29">
      <x:c r="A29" s="95" t="n">
        <x:v>44954</x:v>
      </x:c>
      <x:c r="B29" s="84" t="n">
        <x:v>28</x:v>
      </x:c>
      <x:c r="C29" s="84" t="n">
        <x:v>1</x:v>
      </x:c>
      <x:c r="D29" s="84" t="str">
        <x:v>Janeiro</x:v>
      </x:c>
      <x:c r="E29" s="84" t="n">
        <x:v>1</x:v>
      </x:c>
      <x:c r="F29" s="84" t="n">
        <x:v>2023</x:v>
      </x:c>
      <x:c r="G29" s="84" t="n">
        <x:v>4</x:v>
      </x:c>
      <x:c r="H29" s="84" t="str">
        <x:v>Sábado</x:v>
      </x:c>
      <x:c r="I29" s="85" t="n">
        <x:v>0</x:v>
      </x:c>
    </x:row>
    <x:row r="30">
      <x:c r="A30" s="95" t="n">
        <x:v>44955</x:v>
      </x:c>
      <x:c r="B30" s="84" t="n">
        <x:v>29</x:v>
      </x:c>
      <x:c r="C30" s="84" t="n">
        <x:v>1</x:v>
      </x:c>
      <x:c r="D30" s="84" t="str">
        <x:v>Janeiro</x:v>
      </x:c>
      <x:c r="E30" s="84" t="n">
        <x:v>1</x:v>
      </x:c>
      <x:c r="F30" s="84" t="n">
        <x:v>2023</x:v>
      </x:c>
      <x:c r="G30" s="84" t="n">
        <x:v>4</x:v>
      </x:c>
      <x:c r="H30" s="84" t="str">
        <x:v>Domingo</x:v>
      </x:c>
      <x:c r="I30" s="85" t="n">
        <x:v>0</x:v>
      </x:c>
    </x:row>
    <x:row r="31">
      <x:c r="A31" s="95" t="n">
        <x:v>44956</x:v>
      </x:c>
      <x:c r="B31" s="84" t="n">
        <x:v>30</x:v>
      </x:c>
      <x:c r="C31" s="84" t="n">
        <x:v>1</x:v>
      </x:c>
      <x:c r="D31" s="84" t="str">
        <x:v>Janeiro</x:v>
      </x:c>
      <x:c r="E31" s="84" t="n">
        <x:v>1</x:v>
      </x:c>
      <x:c r="F31" s="84" t="n">
        <x:v>2023</x:v>
      </x:c>
      <x:c r="G31" s="84" t="n">
        <x:v>5</x:v>
      </x:c>
      <x:c r="H31" s="84" t="str">
        <x:v>Segunda</x:v>
      </x:c>
      <x:c r="I31" s="85" t="n">
        <x:v>1</x:v>
      </x:c>
    </x:row>
    <x:row r="32">
      <x:c r="A32" s="95" t="n">
        <x:v>44957</x:v>
      </x:c>
      <x:c r="B32" s="84" t="n">
        <x:v>31</x:v>
      </x:c>
      <x:c r="C32" s="84" t="n">
        <x:v>1</x:v>
      </x:c>
      <x:c r="D32" s="84" t="str">
        <x:v>Janeiro</x:v>
      </x:c>
      <x:c r="E32" s="84" t="n">
        <x:v>1</x:v>
      </x:c>
      <x:c r="F32" s="84" t="n">
        <x:v>2023</x:v>
      </x:c>
      <x:c r="G32" s="84" t="n">
        <x:v>5</x:v>
      </x:c>
      <x:c r="H32" s="84" t="str">
        <x:v>Terça</x:v>
      </x:c>
      <x:c r="I32" s="85" t="n">
        <x:v>1</x:v>
      </x:c>
    </x:row>
    <x:row r="33">
      <x:c r="A33" s="95" t="n">
        <x:v>44958</x:v>
      </x:c>
      <x:c r="B33" s="84" t="n">
        <x:v>1</x:v>
      </x:c>
      <x:c r="C33" s="84" t="n">
        <x:v>2</x:v>
      </x:c>
      <x:c r="D33" s="84" t="str">
        <x:v>Fevereiro</x:v>
      </x:c>
      <x:c r="E33" s="84" t="n">
        <x:v>1</x:v>
      </x:c>
      <x:c r="F33" s="84" t="n">
        <x:v>2023</x:v>
      </x:c>
      <x:c r="G33" s="84" t="n">
        <x:v>5</x:v>
      </x:c>
      <x:c r="H33" s="84" t="str">
        <x:v>Quarta</x:v>
      </x:c>
      <x:c r="I33" s="85" t="n">
        <x:v>1</x:v>
      </x:c>
    </x:row>
    <x:row r="34">
      <x:c r="A34" s="95" t="n">
        <x:v>44959</x:v>
      </x:c>
      <x:c r="B34" s="84" t="n">
        <x:v>2</x:v>
      </x:c>
      <x:c r="C34" s="84" t="n">
        <x:v>2</x:v>
      </x:c>
      <x:c r="D34" s="84" t="str">
        <x:v>Fevereiro</x:v>
      </x:c>
      <x:c r="E34" s="84" t="n">
        <x:v>1</x:v>
      </x:c>
      <x:c r="F34" s="84" t="n">
        <x:v>2023</x:v>
      </x:c>
      <x:c r="G34" s="84" t="n">
        <x:v>5</x:v>
      </x:c>
      <x:c r="H34" s="84" t="str">
        <x:v>Quinta</x:v>
      </x:c>
      <x:c r="I34" s="85" t="n">
        <x:v>1</x:v>
      </x:c>
    </x:row>
    <x:row r="35">
      <x:c r="A35" s="95" t="n">
        <x:v>44960</x:v>
      </x:c>
      <x:c r="B35" s="84" t="n">
        <x:v>3</x:v>
      </x:c>
      <x:c r="C35" s="84" t="n">
        <x:v>2</x:v>
      </x:c>
      <x:c r="D35" s="84" t="str">
        <x:v>Fevereiro</x:v>
      </x:c>
      <x:c r="E35" s="84" t="n">
        <x:v>1</x:v>
      </x:c>
      <x:c r="F35" s="84" t="n">
        <x:v>2023</x:v>
      </x:c>
      <x:c r="G35" s="84" t="n">
        <x:v>5</x:v>
      </x:c>
      <x:c r="H35" s="84" t="str">
        <x:v>Sexta</x:v>
      </x:c>
      <x:c r="I35" s="85" t="n">
        <x:v>1</x:v>
      </x:c>
    </x:row>
    <x:row r="36">
      <x:c r="A36" s="95" t="n">
        <x:v>44961</x:v>
      </x:c>
      <x:c r="B36" s="84" t="n">
        <x:v>4</x:v>
      </x:c>
      <x:c r="C36" s="84" t="n">
        <x:v>2</x:v>
      </x:c>
      <x:c r="D36" s="84" t="str">
        <x:v>Fevereiro</x:v>
      </x:c>
      <x:c r="E36" s="84" t="n">
        <x:v>1</x:v>
      </x:c>
      <x:c r="F36" s="84" t="n">
        <x:v>2023</x:v>
      </x:c>
      <x:c r="G36" s="84" t="n">
        <x:v>5</x:v>
      </x:c>
      <x:c r="H36" s="84" t="str">
        <x:v>Sábado</x:v>
      </x:c>
      <x:c r="I36" s="85" t="n">
        <x:v>0</x:v>
      </x:c>
    </x:row>
    <x:row r="37">
      <x:c r="A37" s="95" t="n">
        <x:v>44962</x:v>
      </x:c>
      <x:c r="B37" s="84" t="n">
        <x:v>5</x:v>
      </x:c>
      <x:c r="C37" s="84" t="n">
        <x:v>2</x:v>
      </x:c>
      <x:c r="D37" s="84" t="str">
        <x:v>Fevereiro</x:v>
      </x:c>
      <x:c r="E37" s="84" t="n">
        <x:v>1</x:v>
      </x:c>
      <x:c r="F37" s="84" t="n">
        <x:v>2023</x:v>
      </x:c>
      <x:c r="G37" s="84" t="n">
        <x:v>5</x:v>
      </x:c>
      <x:c r="H37" s="84" t="str">
        <x:v>Domingo</x:v>
      </x:c>
      <x:c r="I37" s="85" t="n">
        <x:v>0</x:v>
      </x:c>
    </x:row>
    <x:row r="38">
      <x:c r="A38" s="95" t="n">
        <x:v>44963</x:v>
      </x:c>
      <x:c r="B38" s="84" t="n">
        <x:v>6</x:v>
      </x:c>
      <x:c r="C38" s="84" t="n">
        <x:v>2</x:v>
      </x:c>
      <x:c r="D38" s="84" t="str">
        <x:v>Fevereiro</x:v>
      </x:c>
      <x:c r="E38" s="84" t="n">
        <x:v>1</x:v>
      </x:c>
      <x:c r="F38" s="84" t="n">
        <x:v>2023</x:v>
      </x:c>
      <x:c r="G38" s="84" t="n">
        <x:v>6</x:v>
      </x:c>
      <x:c r="H38" s="84" t="str">
        <x:v>Segunda</x:v>
      </x:c>
      <x:c r="I38" s="85" t="n">
        <x:v>1</x:v>
      </x:c>
    </x:row>
    <x:row r="39">
      <x:c r="A39" s="95" t="n">
        <x:v>44964</x:v>
      </x:c>
      <x:c r="B39" s="84" t="n">
        <x:v>7</x:v>
      </x:c>
      <x:c r="C39" s="84" t="n">
        <x:v>2</x:v>
      </x:c>
      <x:c r="D39" s="84" t="str">
        <x:v>Fevereiro</x:v>
      </x:c>
      <x:c r="E39" s="84" t="n">
        <x:v>1</x:v>
      </x:c>
      <x:c r="F39" s="84" t="n">
        <x:v>2023</x:v>
      </x:c>
      <x:c r="G39" s="84" t="n">
        <x:v>6</x:v>
      </x:c>
      <x:c r="H39" s="84" t="str">
        <x:v>Terça</x:v>
      </x:c>
      <x:c r="I39" s="85" t="n">
        <x:v>1</x:v>
      </x:c>
    </x:row>
    <x:row r="40">
      <x:c r="A40" s="95" t="n">
        <x:v>44965</x:v>
      </x:c>
      <x:c r="B40" s="84" t="n">
        <x:v>8</x:v>
      </x:c>
      <x:c r="C40" s="84" t="n">
        <x:v>2</x:v>
      </x:c>
      <x:c r="D40" s="84" t="str">
        <x:v>Fevereiro</x:v>
      </x:c>
      <x:c r="E40" s="84" t="n">
        <x:v>1</x:v>
      </x:c>
      <x:c r="F40" s="84" t="n">
        <x:v>2023</x:v>
      </x:c>
      <x:c r="G40" s="84" t="n">
        <x:v>6</x:v>
      </x:c>
      <x:c r="H40" s="84" t="str">
        <x:v>Quarta</x:v>
      </x:c>
      <x:c r="I40" s="85" t="n">
        <x:v>1</x:v>
      </x:c>
    </x:row>
    <x:row r="41">
      <x:c r="A41" s="95" t="n">
        <x:v>44966</x:v>
      </x:c>
      <x:c r="B41" s="84" t="n">
        <x:v>9</x:v>
      </x:c>
      <x:c r="C41" s="84" t="n">
        <x:v>2</x:v>
      </x:c>
      <x:c r="D41" s="84" t="str">
        <x:v>Fevereiro</x:v>
      </x:c>
      <x:c r="E41" s="84" t="n">
        <x:v>1</x:v>
      </x:c>
      <x:c r="F41" s="84" t="n">
        <x:v>2023</x:v>
      </x:c>
      <x:c r="G41" s="84" t="n">
        <x:v>6</x:v>
      </x:c>
      <x:c r="H41" s="84" t="str">
        <x:v>Quinta</x:v>
      </x:c>
      <x:c r="I41" s="85" t="n">
        <x:v>1</x:v>
      </x:c>
    </x:row>
    <x:row r="42">
      <x:c r="A42" s="95" t="n">
        <x:v>44967</x:v>
      </x:c>
      <x:c r="B42" s="84" t="n">
        <x:v>10</x:v>
      </x:c>
      <x:c r="C42" s="84" t="n">
        <x:v>2</x:v>
      </x:c>
      <x:c r="D42" s="84" t="str">
        <x:v>Fevereiro</x:v>
      </x:c>
      <x:c r="E42" s="84" t="n">
        <x:v>1</x:v>
      </x:c>
      <x:c r="F42" s="84" t="n">
        <x:v>2023</x:v>
      </x:c>
      <x:c r="G42" s="84" t="n">
        <x:v>6</x:v>
      </x:c>
      <x:c r="H42" s="84" t="str">
        <x:v>Sexta</x:v>
      </x:c>
      <x:c r="I42" s="85" t="n">
        <x:v>1</x:v>
      </x:c>
    </x:row>
    <x:row r="43">
      <x:c r="A43" s="95" t="n">
        <x:v>44968</x:v>
      </x:c>
      <x:c r="B43" s="84" t="n">
        <x:v>11</x:v>
      </x:c>
      <x:c r="C43" s="84" t="n">
        <x:v>2</x:v>
      </x:c>
      <x:c r="D43" s="84" t="str">
        <x:v>Fevereiro</x:v>
      </x:c>
      <x:c r="E43" s="84" t="n">
        <x:v>1</x:v>
      </x:c>
      <x:c r="F43" s="84" t="n">
        <x:v>2023</x:v>
      </x:c>
      <x:c r="G43" s="84" t="n">
        <x:v>6</x:v>
      </x:c>
      <x:c r="H43" s="84" t="str">
        <x:v>Sábado</x:v>
      </x:c>
      <x:c r="I43" s="85" t="n">
        <x:v>0</x:v>
      </x:c>
    </x:row>
    <x:row r="44">
      <x:c r="A44" s="95" t="n">
        <x:v>44969</x:v>
      </x:c>
      <x:c r="B44" s="84" t="n">
        <x:v>12</x:v>
      </x:c>
      <x:c r="C44" s="84" t="n">
        <x:v>2</x:v>
      </x:c>
      <x:c r="D44" s="84" t="str">
        <x:v>Fevereiro</x:v>
      </x:c>
      <x:c r="E44" s="84" t="n">
        <x:v>1</x:v>
      </x:c>
      <x:c r="F44" s="84" t="n">
        <x:v>2023</x:v>
      </x:c>
      <x:c r="G44" s="84" t="n">
        <x:v>6</x:v>
      </x:c>
      <x:c r="H44" s="84" t="str">
        <x:v>Domingo</x:v>
      </x:c>
      <x:c r="I44" s="85" t="n">
        <x:v>0</x:v>
      </x:c>
    </x:row>
    <x:row r="45">
      <x:c r="A45" s="95" t="n">
        <x:v>44970</x:v>
      </x:c>
      <x:c r="B45" s="84" t="n">
        <x:v>13</x:v>
      </x:c>
      <x:c r="C45" s="84" t="n">
        <x:v>2</x:v>
      </x:c>
      <x:c r="D45" s="84" t="str">
        <x:v>Fevereiro</x:v>
      </x:c>
      <x:c r="E45" s="84" t="n">
        <x:v>1</x:v>
      </x:c>
      <x:c r="F45" s="84" t="n">
        <x:v>2023</x:v>
      </x:c>
      <x:c r="G45" s="84" t="n">
        <x:v>7</x:v>
      </x:c>
      <x:c r="H45" s="84" t="str">
        <x:v>Segunda</x:v>
      </x:c>
      <x:c r="I45" s="85" t="n">
        <x:v>1</x:v>
      </x:c>
    </x:row>
    <x:row r="46">
      <x:c r="A46" s="95" t="n">
        <x:v>44971</x:v>
      </x:c>
      <x:c r="B46" s="84" t="n">
        <x:v>14</x:v>
      </x:c>
      <x:c r="C46" s="84" t="n">
        <x:v>2</x:v>
      </x:c>
      <x:c r="D46" s="84" t="str">
        <x:v>Fevereiro</x:v>
      </x:c>
      <x:c r="E46" s="84" t="n">
        <x:v>1</x:v>
      </x:c>
      <x:c r="F46" s="84" t="n">
        <x:v>2023</x:v>
      </x:c>
      <x:c r="G46" s="84" t="n">
        <x:v>7</x:v>
      </x:c>
      <x:c r="H46" s="84" t="str">
        <x:v>Terça</x:v>
      </x:c>
      <x:c r="I46" s="85" t="n">
        <x:v>1</x:v>
      </x:c>
    </x:row>
    <x:row r="47">
      <x:c r="A47" s="95" t="n">
        <x:v>44972</x:v>
      </x:c>
      <x:c r="B47" s="84" t="n">
        <x:v>15</x:v>
      </x:c>
      <x:c r="C47" s="84" t="n">
        <x:v>2</x:v>
      </x:c>
      <x:c r="D47" s="84" t="str">
        <x:v>Fevereiro</x:v>
      </x:c>
      <x:c r="E47" s="84" t="n">
        <x:v>1</x:v>
      </x:c>
      <x:c r="F47" s="84" t="n">
        <x:v>2023</x:v>
      </x:c>
      <x:c r="G47" s="84" t="n">
        <x:v>7</x:v>
      </x:c>
      <x:c r="H47" s="84" t="str">
        <x:v>Quarta</x:v>
      </x:c>
      <x:c r="I47" s="85" t="n">
        <x:v>1</x:v>
      </x:c>
    </x:row>
    <x:row r="48">
      <x:c r="A48" s="95" t="n">
        <x:v>44973</x:v>
      </x:c>
      <x:c r="B48" s="84" t="n">
        <x:v>16</x:v>
      </x:c>
      <x:c r="C48" s="84" t="n">
        <x:v>2</x:v>
      </x:c>
      <x:c r="D48" s="84" t="str">
        <x:v>Fevereiro</x:v>
      </x:c>
      <x:c r="E48" s="84" t="n">
        <x:v>1</x:v>
      </x:c>
      <x:c r="F48" s="84" t="n">
        <x:v>2023</x:v>
      </x:c>
      <x:c r="G48" s="84" t="n">
        <x:v>7</x:v>
      </x:c>
      <x:c r="H48" s="84" t="str">
        <x:v>Quinta</x:v>
      </x:c>
      <x:c r="I48" s="85" t="n">
        <x:v>1</x:v>
      </x:c>
    </x:row>
    <x:row r="49">
      <x:c r="A49" s="95" t="n">
        <x:v>44974</x:v>
      </x:c>
      <x:c r="B49" s="84" t="n">
        <x:v>17</x:v>
      </x:c>
      <x:c r="C49" s="84" t="n">
        <x:v>2</x:v>
      </x:c>
      <x:c r="D49" s="84" t="str">
        <x:v>Fevereiro</x:v>
      </x:c>
      <x:c r="E49" s="84" t="n">
        <x:v>1</x:v>
      </x:c>
      <x:c r="F49" s="84" t="n">
        <x:v>2023</x:v>
      </x:c>
      <x:c r="G49" s="84" t="n">
        <x:v>7</x:v>
      </x:c>
      <x:c r="H49" s="84" t="str">
        <x:v>Sexta</x:v>
      </x:c>
      <x:c r="I49" s="85" t="n">
        <x:v>1</x:v>
      </x:c>
    </x:row>
    <x:row r="50">
      <x:c r="A50" s="95" t="n">
        <x:v>44975</x:v>
      </x:c>
      <x:c r="B50" s="84" t="n">
        <x:v>18</x:v>
      </x:c>
      <x:c r="C50" s="84" t="n">
        <x:v>2</x:v>
      </x:c>
      <x:c r="D50" s="84" t="str">
        <x:v>Fevereiro</x:v>
      </x:c>
      <x:c r="E50" s="84" t="n">
        <x:v>1</x:v>
      </x:c>
      <x:c r="F50" s="84" t="n">
        <x:v>2023</x:v>
      </x:c>
      <x:c r="G50" s="84" t="n">
        <x:v>7</x:v>
      </x:c>
      <x:c r="H50" s="84" t="str">
        <x:v>Sábado</x:v>
      </x:c>
      <x:c r="I50" s="85" t="n">
        <x:v>0</x:v>
      </x:c>
    </x:row>
    <x:row r="51">
      <x:c r="A51" s="95" t="n">
        <x:v>44976</x:v>
      </x:c>
      <x:c r="B51" s="84" t="n">
        <x:v>19</x:v>
      </x:c>
      <x:c r="C51" s="84" t="n">
        <x:v>2</x:v>
      </x:c>
      <x:c r="D51" s="84" t="str">
        <x:v>Fevereiro</x:v>
      </x:c>
      <x:c r="E51" s="84" t="n">
        <x:v>1</x:v>
      </x:c>
      <x:c r="F51" s="84" t="n">
        <x:v>2023</x:v>
      </x:c>
      <x:c r="G51" s="84" t="n">
        <x:v>7</x:v>
      </x:c>
      <x:c r="H51" s="84" t="str">
        <x:v>Domingo</x:v>
      </x:c>
      <x:c r="I51" s="85" t="n">
        <x:v>0</x:v>
      </x:c>
    </x:row>
    <x:row r="52">
      <x:c r="A52" s="95" t="n">
        <x:v>44977</x:v>
      </x:c>
      <x:c r="B52" s="84" t="n">
        <x:v>20</x:v>
      </x:c>
      <x:c r="C52" s="84" t="n">
        <x:v>2</x:v>
      </x:c>
      <x:c r="D52" s="84" t="str">
        <x:v>Fevereiro</x:v>
      </x:c>
      <x:c r="E52" s="84" t="n">
        <x:v>1</x:v>
      </x:c>
      <x:c r="F52" s="84" t="n">
        <x:v>2023</x:v>
      </x:c>
      <x:c r="G52" s="84" t="n">
        <x:v>8</x:v>
      </x:c>
      <x:c r="H52" s="84" t="str">
        <x:v>Segunda</x:v>
      </x:c>
      <x:c r="I52" s="85" t="n">
        <x:v>1</x:v>
      </x:c>
    </x:row>
    <x:row r="53">
      <x:c r="A53" s="95" t="n">
        <x:v>44978</x:v>
      </x:c>
      <x:c r="B53" s="84" t="n">
        <x:v>21</x:v>
      </x:c>
      <x:c r="C53" s="84" t="n">
        <x:v>2</x:v>
      </x:c>
      <x:c r="D53" s="84" t="str">
        <x:v>Fevereiro</x:v>
      </x:c>
      <x:c r="E53" s="84" t="n">
        <x:v>1</x:v>
      </x:c>
      <x:c r="F53" s="84" t="n">
        <x:v>2023</x:v>
      </x:c>
      <x:c r="G53" s="84" t="n">
        <x:v>8</x:v>
      </x:c>
      <x:c r="H53" s="84" t="str">
        <x:v>Terça</x:v>
      </x:c>
      <x:c r="I53" s="85" t="n">
        <x:v>1</x:v>
      </x:c>
    </x:row>
    <x:row r="54">
      <x:c r="A54" s="95" t="n">
        <x:v>44979</x:v>
      </x:c>
      <x:c r="B54" s="84" t="n">
        <x:v>22</x:v>
      </x:c>
      <x:c r="C54" s="84" t="n">
        <x:v>2</x:v>
      </x:c>
      <x:c r="D54" s="84" t="str">
        <x:v>Fevereiro</x:v>
      </x:c>
      <x:c r="E54" s="84" t="n">
        <x:v>1</x:v>
      </x:c>
      <x:c r="F54" s="84" t="n">
        <x:v>2023</x:v>
      </x:c>
      <x:c r="G54" s="84" t="n">
        <x:v>8</x:v>
      </x:c>
      <x:c r="H54" s="84" t="str">
        <x:v>Quarta</x:v>
      </x:c>
      <x:c r="I54" s="85" t="n">
        <x:v>1</x:v>
      </x:c>
    </x:row>
    <x:row r="55">
      <x:c r="A55" s="95" t="n">
        <x:v>44980</x:v>
      </x:c>
      <x:c r="B55" s="84" t="n">
        <x:v>23</x:v>
      </x:c>
      <x:c r="C55" s="84" t="n">
        <x:v>2</x:v>
      </x:c>
      <x:c r="D55" s="84" t="str">
        <x:v>Fevereiro</x:v>
      </x:c>
      <x:c r="E55" s="84" t="n">
        <x:v>1</x:v>
      </x:c>
      <x:c r="F55" s="84" t="n">
        <x:v>2023</x:v>
      </x:c>
      <x:c r="G55" s="84" t="n">
        <x:v>8</x:v>
      </x:c>
      <x:c r="H55" s="84" t="str">
        <x:v>Quinta</x:v>
      </x:c>
      <x:c r="I55" s="85" t="n">
        <x:v>1</x:v>
      </x:c>
    </x:row>
    <x:row r="56">
      <x:c r="A56" s="95" t="n">
        <x:v>44981</x:v>
      </x:c>
      <x:c r="B56" s="84" t="n">
        <x:v>24</x:v>
      </x:c>
      <x:c r="C56" s="84" t="n">
        <x:v>2</x:v>
      </x:c>
      <x:c r="D56" s="84" t="str">
        <x:v>Fevereiro</x:v>
      </x:c>
      <x:c r="E56" s="84" t="n">
        <x:v>1</x:v>
      </x:c>
      <x:c r="F56" s="84" t="n">
        <x:v>2023</x:v>
      </x:c>
      <x:c r="G56" s="84" t="n">
        <x:v>8</x:v>
      </x:c>
      <x:c r="H56" s="84" t="str">
        <x:v>Sexta</x:v>
      </x:c>
      <x:c r="I56" s="85" t="n">
        <x:v>1</x:v>
      </x:c>
    </x:row>
    <x:row r="57">
      <x:c r="A57" s="95" t="n">
        <x:v>44982</x:v>
      </x:c>
      <x:c r="B57" s="84" t="n">
        <x:v>25</x:v>
      </x:c>
      <x:c r="C57" s="84" t="n">
        <x:v>2</x:v>
      </x:c>
      <x:c r="D57" s="84" t="str">
        <x:v>Fevereiro</x:v>
      </x:c>
      <x:c r="E57" s="84" t="n">
        <x:v>1</x:v>
      </x:c>
      <x:c r="F57" s="84" t="n">
        <x:v>2023</x:v>
      </x:c>
      <x:c r="G57" s="84" t="n">
        <x:v>8</x:v>
      </x:c>
      <x:c r="H57" s="84" t="str">
        <x:v>Sábado</x:v>
      </x:c>
      <x:c r="I57" s="85" t="n">
        <x:v>0</x:v>
      </x:c>
    </x:row>
    <x:row r="58">
      <x:c r="A58" s="95" t="n">
        <x:v>44983</x:v>
      </x:c>
      <x:c r="B58" s="84" t="n">
        <x:v>26</x:v>
      </x:c>
      <x:c r="C58" s="84" t="n">
        <x:v>2</x:v>
      </x:c>
      <x:c r="D58" s="84" t="str">
        <x:v>Fevereiro</x:v>
      </x:c>
      <x:c r="E58" s="84" t="n">
        <x:v>1</x:v>
      </x:c>
      <x:c r="F58" s="84" t="n">
        <x:v>2023</x:v>
      </x:c>
      <x:c r="G58" s="84" t="n">
        <x:v>8</x:v>
      </x:c>
      <x:c r="H58" s="84" t="str">
        <x:v>Domingo</x:v>
      </x:c>
      <x:c r="I58" s="85" t="n">
        <x:v>0</x:v>
      </x:c>
    </x:row>
    <x:row r="59">
      <x:c r="A59" s="95" t="n">
        <x:v>44984</x:v>
      </x:c>
      <x:c r="B59" s="84" t="n">
        <x:v>27</x:v>
      </x:c>
      <x:c r="C59" s="84" t="n">
        <x:v>2</x:v>
      </x:c>
      <x:c r="D59" s="84" t="str">
        <x:v>Fevereiro</x:v>
      </x:c>
      <x:c r="E59" s="84" t="n">
        <x:v>1</x:v>
      </x:c>
      <x:c r="F59" s="84" t="n">
        <x:v>2023</x:v>
      </x:c>
      <x:c r="G59" s="84" t="n">
        <x:v>9</x:v>
      </x:c>
      <x:c r="H59" s="84" t="str">
        <x:v>Segunda</x:v>
      </x:c>
      <x:c r="I59" s="85" t="n">
        <x:v>1</x:v>
      </x:c>
    </x:row>
    <x:row r="60">
      <x:c r="A60" s="95" t="n">
        <x:v>44985</x:v>
      </x:c>
      <x:c r="B60" s="84" t="n">
        <x:v>28</x:v>
      </x:c>
      <x:c r="C60" s="84" t="n">
        <x:v>2</x:v>
      </x:c>
      <x:c r="D60" s="84" t="str">
        <x:v>Fevereiro</x:v>
      </x:c>
      <x:c r="E60" s="84" t="n">
        <x:v>1</x:v>
      </x:c>
      <x:c r="F60" s="84" t="n">
        <x:v>2023</x:v>
      </x:c>
      <x:c r="G60" s="84" t="n">
        <x:v>9</x:v>
      </x:c>
      <x:c r="H60" s="84" t="str">
        <x:v>Terça</x:v>
      </x:c>
      <x:c r="I60" s="85" t="n">
        <x:v>1</x:v>
      </x:c>
    </x:row>
    <x:row r="61">
      <x:c r="A61" s="95" t="n">
        <x:v>44986</x:v>
      </x:c>
      <x:c r="B61" s="84" t="n">
        <x:v>1</x:v>
      </x:c>
      <x:c r="C61" s="84" t="n">
        <x:v>3</x:v>
      </x:c>
      <x:c r="D61" s="84" t="str">
        <x:v>Março</x:v>
      </x:c>
      <x:c r="E61" s="84" t="n">
        <x:v>1</x:v>
      </x:c>
      <x:c r="F61" s="84" t="n">
        <x:v>2023</x:v>
      </x:c>
      <x:c r="G61" s="84" t="n">
        <x:v>9</x:v>
      </x:c>
      <x:c r="H61" s="84" t="str">
        <x:v>Quarta</x:v>
      </x:c>
      <x:c r="I61" s="85" t="n">
        <x:v>1</x:v>
      </x:c>
    </x:row>
    <x:row r="62">
      <x:c r="A62" s="95" t="n">
        <x:v>44987</x:v>
      </x:c>
      <x:c r="B62" s="84" t="n">
        <x:v>2</x:v>
      </x:c>
      <x:c r="C62" s="84" t="n">
        <x:v>3</x:v>
      </x:c>
      <x:c r="D62" s="84" t="str">
        <x:v>Março</x:v>
      </x:c>
      <x:c r="E62" s="84" t="n">
        <x:v>1</x:v>
      </x:c>
      <x:c r="F62" s="84" t="n">
        <x:v>2023</x:v>
      </x:c>
      <x:c r="G62" s="84" t="n">
        <x:v>9</x:v>
      </x:c>
      <x:c r="H62" s="84" t="str">
        <x:v>Quinta</x:v>
      </x:c>
      <x:c r="I62" s="85" t="n">
        <x:v>1</x:v>
      </x:c>
    </x:row>
    <x:row r="63">
      <x:c r="A63" s="95" t="n">
        <x:v>44988</x:v>
      </x:c>
      <x:c r="B63" s="84" t="n">
        <x:v>3</x:v>
      </x:c>
      <x:c r="C63" s="84" t="n">
        <x:v>3</x:v>
      </x:c>
      <x:c r="D63" s="84" t="str">
        <x:v>Março</x:v>
      </x:c>
      <x:c r="E63" s="84" t="n">
        <x:v>1</x:v>
      </x:c>
      <x:c r="F63" s="84" t="n">
        <x:v>2023</x:v>
      </x:c>
      <x:c r="G63" s="84" t="n">
        <x:v>9</x:v>
      </x:c>
      <x:c r="H63" s="84" t="str">
        <x:v>Sexta</x:v>
      </x:c>
      <x:c r="I63" s="85" t="n">
        <x:v>1</x:v>
      </x:c>
    </x:row>
    <x:row r="64">
      <x:c r="A64" s="95" t="n">
        <x:v>44989</x:v>
      </x:c>
      <x:c r="B64" s="84" t="n">
        <x:v>4</x:v>
      </x:c>
      <x:c r="C64" s="84" t="n">
        <x:v>3</x:v>
      </x:c>
      <x:c r="D64" s="84" t="str">
        <x:v>Março</x:v>
      </x:c>
      <x:c r="E64" s="84" t="n">
        <x:v>1</x:v>
      </x:c>
      <x:c r="F64" s="84" t="n">
        <x:v>2023</x:v>
      </x:c>
      <x:c r="G64" s="84" t="n">
        <x:v>9</x:v>
      </x:c>
      <x:c r="H64" s="84" t="str">
        <x:v>Sábado</x:v>
      </x:c>
      <x:c r="I64" s="85" t="n">
        <x:v>0</x:v>
      </x:c>
    </x:row>
    <x:row r="65">
      <x:c r="A65" s="95" t="n">
        <x:v>44990</x:v>
      </x:c>
      <x:c r="B65" s="84" t="n">
        <x:v>5</x:v>
      </x:c>
      <x:c r="C65" s="84" t="n">
        <x:v>3</x:v>
      </x:c>
      <x:c r="D65" s="84" t="str">
        <x:v>Março</x:v>
      </x:c>
      <x:c r="E65" s="84" t="n">
        <x:v>1</x:v>
      </x:c>
      <x:c r="F65" s="84" t="n">
        <x:v>2023</x:v>
      </x:c>
      <x:c r="G65" s="84" t="n">
        <x:v>9</x:v>
      </x:c>
      <x:c r="H65" s="84" t="str">
        <x:v>Domingo</x:v>
      </x:c>
      <x:c r="I65" s="85" t="n">
        <x:v>0</x:v>
      </x:c>
    </x:row>
    <x:row r="66">
      <x:c r="A66" s="95" t="n">
        <x:v>44991</x:v>
      </x:c>
      <x:c r="B66" s="84" t="n">
        <x:v>6</x:v>
      </x:c>
      <x:c r="C66" s="84" t="n">
        <x:v>3</x:v>
      </x:c>
      <x:c r="D66" s="84" t="str">
        <x:v>Março</x:v>
      </x:c>
      <x:c r="E66" s="84" t="n">
        <x:v>1</x:v>
      </x:c>
      <x:c r="F66" s="84" t="n">
        <x:v>2023</x:v>
      </x:c>
      <x:c r="G66" s="84" t="n">
        <x:v>10</x:v>
      </x:c>
      <x:c r="H66" s="84" t="str">
        <x:v>Segunda</x:v>
      </x:c>
      <x:c r="I66" s="85" t="n">
        <x:v>1</x:v>
      </x:c>
    </x:row>
    <x:row r="67">
      <x:c r="A67" s="95" t="n">
        <x:v>44992</x:v>
      </x:c>
      <x:c r="B67" s="84" t="n">
        <x:v>7</x:v>
      </x:c>
      <x:c r="C67" s="84" t="n">
        <x:v>3</x:v>
      </x:c>
      <x:c r="D67" s="84" t="str">
        <x:v>Março</x:v>
      </x:c>
      <x:c r="E67" s="84" t="n">
        <x:v>1</x:v>
      </x:c>
      <x:c r="F67" s="84" t="n">
        <x:v>2023</x:v>
      </x:c>
      <x:c r="G67" s="84" t="n">
        <x:v>10</x:v>
      </x:c>
      <x:c r="H67" s="84" t="str">
        <x:v>Terça</x:v>
      </x:c>
      <x:c r="I67" s="85" t="n">
        <x:v>1</x:v>
      </x:c>
    </x:row>
    <x:row r="68">
      <x:c r="A68" s="95" t="n">
        <x:v>44993</x:v>
      </x:c>
      <x:c r="B68" s="84" t="n">
        <x:v>8</x:v>
      </x:c>
      <x:c r="C68" s="84" t="n">
        <x:v>3</x:v>
      </x:c>
      <x:c r="D68" s="84" t="str">
        <x:v>Março</x:v>
      </x:c>
      <x:c r="E68" s="84" t="n">
        <x:v>1</x:v>
      </x:c>
      <x:c r="F68" s="84" t="n">
        <x:v>2023</x:v>
      </x:c>
      <x:c r="G68" s="84" t="n">
        <x:v>10</x:v>
      </x:c>
      <x:c r="H68" s="84" t="str">
        <x:v>Quarta</x:v>
      </x:c>
      <x:c r="I68" s="85" t="n">
        <x:v>1</x:v>
      </x:c>
    </x:row>
    <x:row r="69">
      <x:c r="A69" s="95" t="n">
        <x:v>44994</x:v>
      </x:c>
      <x:c r="B69" s="84" t="n">
        <x:v>9</x:v>
      </x:c>
      <x:c r="C69" s="84" t="n">
        <x:v>3</x:v>
      </x:c>
      <x:c r="D69" s="84" t="str">
        <x:v>Março</x:v>
      </x:c>
      <x:c r="E69" s="84" t="n">
        <x:v>1</x:v>
      </x:c>
      <x:c r="F69" s="84" t="n">
        <x:v>2023</x:v>
      </x:c>
      <x:c r="G69" s="84" t="n">
        <x:v>10</x:v>
      </x:c>
      <x:c r="H69" s="84" t="str">
        <x:v>Quinta</x:v>
      </x:c>
      <x:c r="I69" s="85" t="n">
        <x:v>1</x:v>
      </x:c>
    </x:row>
    <x:row r="70">
      <x:c r="A70" s="95" t="n">
        <x:v>44995</x:v>
      </x:c>
      <x:c r="B70" s="84" t="n">
        <x:v>10</x:v>
      </x:c>
      <x:c r="C70" s="84" t="n">
        <x:v>3</x:v>
      </x:c>
      <x:c r="D70" s="84" t="str">
        <x:v>Março</x:v>
      </x:c>
      <x:c r="E70" s="84" t="n">
        <x:v>1</x:v>
      </x:c>
      <x:c r="F70" s="84" t="n">
        <x:v>2023</x:v>
      </x:c>
      <x:c r="G70" s="84" t="n">
        <x:v>10</x:v>
      </x:c>
      <x:c r="H70" s="84" t="str">
        <x:v>Sexta</x:v>
      </x:c>
      <x:c r="I70" s="85" t="n">
        <x:v>1</x:v>
      </x:c>
    </x:row>
    <x:row r="71">
      <x:c r="A71" s="95" t="n">
        <x:v>44996</x:v>
      </x:c>
      <x:c r="B71" s="84" t="n">
        <x:v>11</x:v>
      </x:c>
      <x:c r="C71" s="84" t="n">
        <x:v>3</x:v>
      </x:c>
      <x:c r="D71" s="84" t="str">
        <x:v>Março</x:v>
      </x:c>
      <x:c r="E71" s="84" t="n">
        <x:v>1</x:v>
      </x:c>
      <x:c r="F71" s="84" t="n">
        <x:v>2023</x:v>
      </x:c>
      <x:c r="G71" s="84" t="n">
        <x:v>10</x:v>
      </x:c>
      <x:c r="H71" s="84" t="str">
        <x:v>Sábado</x:v>
      </x:c>
      <x:c r="I71" s="85" t="n">
        <x:v>0</x:v>
      </x:c>
    </x:row>
    <x:row r="72">
      <x:c r="A72" s="95" t="n">
        <x:v>44997</x:v>
      </x:c>
      <x:c r="B72" s="84" t="n">
        <x:v>12</x:v>
      </x:c>
      <x:c r="C72" s="84" t="n">
        <x:v>3</x:v>
      </x:c>
      <x:c r="D72" s="84" t="str">
        <x:v>Março</x:v>
      </x:c>
      <x:c r="E72" s="84" t="n">
        <x:v>1</x:v>
      </x:c>
      <x:c r="F72" s="84" t="n">
        <x:v>2023</x:v>
      </x:c>
      <x:c r="G72" s="84" t="n">
        <x:v>10</x:v>
      </x:c>
      <x:c r="H72" s="84" t="str">
        <x:v>Domingo</x:v>
      </x:c>
      <x:c r="I72" s="85" t="n">
        <x:v>0</x:v>
      </x:c>
    </x:row>
    <x:row r="73">
      <x:c r="A73" s="95" t="n">
        <x:v>44998</x:v>
      </x:c>
      <x:c r="B73" s="84" t="n">
        <x:v>13</x:v>
      </x:c>
      <x:c r="C73" s="84" t="n">
        <x:v>3</x:v>
      </x:c>
      <x:c r="D73" s="84" t="str">
        <x:v>Março</x:v>
      </x:c>
      <x:c r="E73" s="84" t="n">
        <x:v>1</x:v>
      </x:c>
      <x:c r="F73" s="84" t="n">
        <x:v>2023</x:v>
      </x:c>
      <x:c r="G73" s="84" t="n">
        <x:v>11</x:v>
      </x:c>
      <x:c r="H73" s="84" t="str">
        <x:v>Segunda</x:v>
      </x:c>
      <x:c r="I73" s="85" t="n">
        <x:v>1</x:v>
      </x:c>
    </x:row>
    <x:row r="74">
      <x:c r="A74" s="95" t="n">
        <x:v>44999</x:v>
      </x:c>
      <x:c r="B74" s="84" t="n">
        <x:v>14</x:v>
      </x:c>
      <x:c r="C74" s="84" t="n">
        <x:v>3</x:v>
      </x:c>
      <x:c r="D74" s="84" t="str">
        <x:v>Março</x:v>
      </x:c>
      <x:c r="E74" s="84" t="n">
        <x:v>1</x:v>
      </x:c>
      <x:c r="F74" s="84" t="n">
        <x:v>2023</x:v>
      </x:c>
      <x:c r="G74" s="84" t="n">
        <x:v>11</x:v>
      </x:c>
      <x:c r="H74" s="84" t="str">
        <x:v>Terça</x:v>
      </x:c>
      <x:c r="I74" s="85" t="n">
        <x:v>1</x:v>
      </x:c>
    </x:row>
    <x:row r="75">
      <x:c r="A75" s="95" t="n">
        <x:v>45000</x:v>
      </x:c>
      <x:c r="B75" s="84" t="n">
        <x:v>15</x:v>
      </x:c>
      <x:c r="C75" s="84" t="n">
        <x:v>3</x:v>
      </x:c>
      <x:c r="D75" s="84" t="str">
        <x:v>Março</x:v>
      </x:c>
      <x:c r="E75" s="84" t="n">
        <x:v>1</x:v>
      </x:c>
      <x:c r="F75" s="84" t="n">
        <x:v>2023</x:v>
      </x:c>
      <x:c r="G75" s="84" t="n">
        <x:v>11</x:v>
      </x:c>
      <x:c r="H75" s="84" t="str">
        <x:v>Quarta</x:v>
      </x:c>
      <x:c r="I75" s="85" t="n">
        <x:v>1</x:v>
      </x:c>
    </x:row>
    <x:row r="76">
      <x:c r="A76" s="95" t="n">
        <x:v>45001</x:v>
      </x:c>
      <x:c r="B76" s="84" t="n">
        <x:v>16</x:v>
      </x:c>
      <x:c r="C76" s="84" t="n">
        <x:v>3</x:v>
      </x:c>
      <x:c r="D76" s="84" t="str">
        <x:v>Março</x:v>
      </x:c>
      <x:c r="E76" s="84" t="n">
        <x:v>1</x:v>
      </x:c>
      <x:c r="F76" s="84" t="n">
        <x:v>2023</x:v>
      </x:c>
      <x:c r="G76" s="84" t="n">
        <x:v>11</x:v>
      </x:c>
      <x:c r="H76" s="84" t="str">
        <x:v>Quinta</x:v>
      </x:c>
      <x:c r="I76" s="85" t="n">
        <x:v>1</x:v>
      </x:c>
    </x:row>
    <x:row r="77">
      <x:c r="A77" s="95" t="n">
        <x:v>45002</x:v>
      </x:c>
      <x:c r="B77" s="84" t="n">
        <x:v>17</x:v>
      </x:c>
      <x:c r="C77" s="84" t="n">
        <x:v>3</x:v>
      </x:c>
      <x:c r="D77" s="84" t="str">
        <x:v>Março</x:v>
      </x:c>
      <x:c r="E77" s="84" t="n">
        <x:v>1</x:v>
      </x:c>
      <x:c r="F77" s="84" t="n">
        <x:v>2023</x:v>
      </x:c>
      <x:c r="G77" s="84" t="n">
        <x:v>11</x:v>
      </x:c>
      <x:c r="H77" s="84" t="str">
        <x:v>Sexta</x:v>
      </x:c>
      <x:c r="I77" s="85" t="n">
        <x:v>1</x:v>
      </x:c>
    </x:row>
    <x:row r="78">
      <x:c r="A78" s="95" t="n">
        <x:v>45003</x:v>
      </x:c>
      <x:c r="B78" s="84" t="n">
        <x:v>18</x:v>
      </x:c>
      <x:c r="C78" s="84" t="n">
        <x:v>3</x:v>
      </x:c>
      <x:c r="D78" s="84" t="str">
        <x:v>Março</x:v>
      </x:c>
      <x:c r="E78" s="84" t="n">
        <x:v>1</x:v>
      </x:c>
      <x:c r="F78" s="84" t="n">
        <x:v>2023</x:v>
      </x:c>
      <x:c r="G78" s="84" t="n">
        <x:v>11</x:v>
      </x:c>
      <x:c r="H78" s="84" t="str">
        <x:v>Sábado</x:v>
      </x:c>
      <x:c r="I78" s="85" t="n">
        <x:v>0</x:v>
      </x:c>
    </x:row>
    <x:row r="79">
      <x:c r="A79" s="95" t="n">
        <x:v>45004</x:v>
      </x:c>
      <x:c r="B79" s="84" t="n">
        <x:v>19</x:v>
      </x:c>
      <x:c r="C79" s="84" t="n">
        <x:v>3</x:v>
      </x:c>
      <x:c r="D79" s="84" t="str">
        <x:v>Março</x:v>
      </x:c>
      <x:c r="E79" s="84" t="n">
        <x:v>1</x:v>
      </x:c>
      <x:c r="F79" s="84" t="n">
        <x:v>2023</x:v>
      </x:c>
      <x:c r="G79" s="84" t="n">
        <x:v>11</x:v>
      </x:c>
      <x:c r="H79" s="84" t="str">
        <x:v>Domingo</x:v>
      </x:c>
      <x:c r="I79" s="85" t="n">
        <x:v>0</x:v>
      </x:c>
    </x:row>
    <x:row r="80">
      <x:c r="A80" s="95" t="n">
        <x:v>45005</x:v>
      </x:c>
      <x:c r="B80" s="84" t="n">
        <x:v>20</x:v>
      </x:c>
      <x:c r="C80" s="84" t="n">
        <x:v>3</x:v>
      </x:c>
      <x:c r="D80" s="84" t="str">
        <x:v>Março</x:v>
      </x:c>
      <x:c r="E80" s="84" t="n">
        <x:v>1</x:v>
      </x:c>
      <x:c r="F80" s="84" t="n">
        <x:v>2023</x:v>
      </x:c>
      <x:c r="G80" s="84" t="n">
        <x:v>12</x:v>
      </x:c>
      <x:c r="H80" s="84" t="str">
        <x:v>Segunda</x:v>
      </x:c>
      <x:c r="I80" s="85" t="n">
        <x:v>1</x:v>
      </x:c>
    </x:row>
    <x:row r="81">
      <x:c r="A81" s="95" t="n">
        <x:v>45006</x:v>
      </x:c>
      <x:c r="B81" s="84" t="n">
        <x:v>21</x:v>
      </x:c>
      <x:c r="C81" s="84" t="n">
        <x:v>3</x:v>
      </x:c>
      <x:c r="D81" s="84" t="str">
        <x:v>Março</x:v>
      </x:c>
      <x:c r="E81" s="84" t="n">
        <x:v>1</x:v>
      </x:c>
      <x:c r="F81" s="84" t="n">
        <x:v>2023</x:v>
      </x:c>
      <x:c r="G81" s="84" t="n">
        <x:v>12</x:v>
      </x:c>
      <x:c r="H81" s="84" t="str">
        <x:v>Terça</x:v>
      </x:c>
      <x:c r="I81" s="85" t="n">
        <x:v>1</x:v>
      </x:c>
    </x:row>
    <x:row r="82">
      <x:c r="A82" s="95" t="n">
        <x:v>45007</x:v>
      </x:c>
      <x:c r="B82" s="84" t="n">
        <x:v>22</x:v>
      </x:c>
      <x:c r="C82" s="84" t="n">
        <x:v>3</x:v>
      </x:c>
      <x:c r="D82" s="84" t="str">
        <x:v>Março</x:v>
      </x:c>
      <x:c r="E82" s="84" t="n">
        <x:v>1</x:v>
      </x:c>
      <x:c r="F82" s="84" t="n">
        <x:v>2023</x:v>
      </x:c>
      <x:c r="G82" s="84" t="n">
        <x:v>12</x:v>
      </x:c>
      <x:c r="H82" s="84" t="str">
        <x:v>Quarta</x:v>
      </x:c>
      <x:c r="I82" s="85" t="n">
        <x:v>1</x:v>
      </x:c>
    </x:row>
    <x:row r="83">
      <x:c r="A83" s="95" t="n">
        <x:v>45008</x:v>
      </x:c>
      <x:c r="B83" s="84" t="n">
        <x:v>23</x:v>
      </x:c>
      <x:c r="C83" s="84" t="n">
        <x:v>3</x:v>
      </x:c>
      <x:c r="D83" s="84" t="str">
        <x:v>Março</x:v>
      </x:c>
      <x:c r="E83" s="84" t="n">
        <x:v>1</x:v>
      </x:c>
      <x:c r="F83" s="84" t="n">
        <x:v>2023</x:v>
      </x:c>
      <x:c r="G83" s="84" t="n">
        <x:v>12</x:v>
      </x:c>
      <x:c r="H83" s="84" t="str">
        <x:v>Quinta</x:v>
      </x:c>
      <x:c r="I83" s="85" t="n">
        <x:v>1</x:v>
      </x:c>
    </x:row>
    <x:row r="84">
      <x:c r="A84" s="95" t="n">
        <x:v>45009</x:v>
      </x:c>
      <x:c r="B84" s="84" t="n">
        <x:v>24</x:v>
      </x:c>
      <x:c r="C84" s="84" t="n">
        <x:v>3</x:v>
      </x:c>
      <x:c r="D84" s="84" t="str">
        <x:v>Março</x:v>
      </x:c>
      <x:c r="E84" s="84" t="n">
        <x:v>1</x:v>
      </x:c>
      <x:c r="F84" s="84" t="n">
        <x:v>2023</x:v>
      </x:c>
      <x:c r="G84" s="84" t="n">
        <x:v>12</x:v>
      </x:c>
      <x:c r="H84" s="84" t="str">
        <x:v>Sexta</x:v>
      </x:c>
      <x:c r="I84" s="85" t="n">
        <x:v>1</x:v>
      </x:c>
    </x:row>
    <x:row r="85">
      <x:c r="A85" s="95" t="n">
        <x:v>45010</x:v>
      </x:c>
      <x:c r="B85" s="84" t="n">
        <x:v>25</x:v>
      </x:c>
      <x:c r="C85" s="84" t="n">
        <x:v>3</x:v>
      </x:c>
      <x:c r="D85" s="84" t="str">
        <x:v>Março</x:v>
      </x:c>
      <x:c r="E85" s="84" t="n">
        <x:v>1</x:v>
      </x:c>
      <x:c r="F85" s="84" t="n">
        <x:v>2023</x:v>
      </x:c>
      <x:c r="G85" s="84" t="n">
        <x:v>12</x:v>
      </x:c>
      <x:c r="H85" s="84" t="str">
        <x:v>Sábado</x:v>
      </x:c>
      <x:c r="I85" s="85" t="n">
        <x:v>0</x:v>
      </x:c>
    </x:row>
    <x:row r="86">
      <x:c r="A86" s="95" t="n">
        <x:v>45011</x:v>
      </x:c>
      <x:c r="B86" s="84" t="n">
        <x:v>26</x:v>
      </x:c>
      <x:c r="C86" s="84" t="n">
        <x:v>3</x:v>
      </x:c>
      <x:c r="D86" s="84" t="str">
        <x:v>Março</x:v>
      </x:c>
      <x:c r="E86" s="84" t="n">
        <x:v>1</x:v>
      </x:c>
      <x:c r="F86" s="84" t="n">
        <x:v>2023</x:v>
      </x:c>
      <x:c r="G86" s="84" t="n">
        <x:v>12</x:v>
      </x:c>
      <x:c r="H86" s="84" t="str">
        <x:v>Domingo</x:v>
      </x:c>
      <x:c r="I86" s="85" t="n">
        <x:v>0</x:v>
      </x:c>
    </x:row>
    <x:row r="87">
      <x:c r="A87" s="95" t="n">
        <x:v>45012</x:v>
      </x:c>
      <x:c r="B87" s="84" t="n">
        <x:v>27</x:v>
      </x:c>
      <x:c r="C87" s="84" t="n">
        <x:v>3</x:v>
      </x:c>
      <x:c r="D87" s="84" t="str">
        <x:v>Março</x:v>
      </x:c>
      <x:c r="E87" s="84" t="n">
        <x:v>1</x:v>
      </x:c>
      <x:c r="F87" s="84" t="n">
        <x:v>2023</x:v>
      </x:c>
      <x:c r="G87" s="84" t="n">
        <x:v>13</x:v>
      </x:c>
      <x:c r="H87" s="84" t="str">
        <x:v>Segunda</x:v>
      </x:c>
      <x:c r="I87" s="85" t="n">
        <x:v>1</x:v>
      </x:c>
    </x:row>
    <x:row r="88">
      <x:c r="A88" s="95" t="n">
        <x:v>45013</x:v>
      </x:c>
      <x:c r="B88" s="84" t="n">
        <x:v>28</x:v>
      </x:c>
      <x:c r="C88" s="84" t="n">
        <x:v>3</x:v>
      </x:c>
      <x:c r="D88" s="84" t="str">
        <x:v>Março</x:v>
      </x:c>
      <x:c r="E88" s="84" t="n">
        <x:v>1</x:v>
      </x:c>
      <x:c r="F88" s="84" t="n">
        <x:v>2023</x:v>
      </x:c>
      <x:c r="G88" s="84" t="n">
        <x:v>13</x:v>
      </x:c>
      <x:c r="H88" s="84" t="str">
        <x:v>Terça</x:v>
      </x:c>
      <x:c r="I88" s="85" t="n">
        <x:v>1</x:v>
      </x:c>
    </x:row>
    <x:row r="89">
      <x:c r="A89" s="95" t="n">
        <x:v>45014</x:v>
      </x:c>
      <x:c r="B89" s="84" t="n">
        <x:v>29</x:v>
      </x:c>
      <x:c r="C89" s="84" t="n">
        <x:v>3</x:v>
      </x:c>
      <x:c r="D89" s="84" t="str">
        <x:v>Março</x:v>
      </x:c>
      <x:c r="E89" s="84" t="n">
        <x:v>1</x:v>
      </x:c>
      <x:c r="F89" s="84" t="n">
        <x:v>2023</x:v>
      </x:c>
      <x:c r="G89" s="84" t="n">
        <x:v>13</x:v>
      </x:c>
      <x:c r="H89" s="84" t="str">
        <x:v>Quarta</x:v>
      </x:c>
      <x:c r="I89" s="85" t="n">
        <x:v>1</x:v>
      </x:c>
    </x:row>
    <x:row r="90">
      <x:c r="A90" s="95" t="n">
        <x:v>45015</x:v>
      </x:c>
      <x:c r="B90" s="84" t="n">
        <x:v>30</x:v>
      </x:c>
      <x:c r="C90" s="84" t="n">
        <x:v>3</x:v>
      </x:c>
      <x:c r="D90" s="84" t="str">
        <x:v>Março</x:v>
      </x:c>
      <x:c r="E90" s="84" t="n">
        <x:v>1</x:v>
      </x:c>
      <x:c r="F90" s="84" t="n">
        <x:v>2023</x:v>
      </x:c>
      <x:c r="G90" s="84" t="n">
        <x:v>13</x:v>
      </x:c>
      <x:c r="H90" s="84" t="str">
        <x:v>Quinta</x:v>
      </x:c>
      <x:c r="I90" s="85" t="n">
        <x:v>1</x:v>
      </x:c>
    </x:row>
    <x:row r="91">
      <x:c r="A91" s="95" t="n">
        <x:v>45016</x:v>
      </x:c>
      <x:c r="B91" s="84" t="n">
        <x:v>31</x:v>
      </x:c>
      <x:c r="C91" s="84" t="n">
        <x:v>3</x:v>
      </x:c>
      <x:c r="D91" s="84" t="str">
        <x:v>Março</x:v>
      </x:c>
      <x:c r="E91" s="84" t="n">
        <x:v>1</x:v>
      </x:c>
      <x:c r="F91" s="84" t="n">
        <x:v>2023</x:v>
      </x:c>
      <x:c r="G91" s="84" t="n">
        <x:v>13</x:v>
      </x:c>
      <x:c r="H91" s="84" t="str">
        <x:v>Sexta</x:v>
      </x:c>
      <x:c r="I91" s="85" t="n">
        <x:v>1</x:v>
      </x:c>
    </x:row>
    <x:row r="92">
      <x:c r="A92" s="95" t="n">
        <x:v>45017</x:v>
      </x:c>
      <x:c r="B92" s="84" t="n">
        <x:v>1</x:v>
      </x:c>
      <x:c r="C92" s="84" t="n">
        <x:v>4</x:v>
      </x:c>
      <x:c r="D92" s="84" t="str">
        <x:v>Abril</x:v>
      </x:c>
      <x:c r="E92" s="84" t="n">
        <x:v>2</x:v>
      </x:c>
      <x:c r="F92" s="84" t="n">
        <x:v>2023</x:v>
      </x:c>
      <x:c r="G92" s="84" t="n">
        <x:v>13</x:v>
      </x:c>
      <x:c r="H92" s="84" t="str">
        <x:v>Sábado</x:v>
      </x:c>
      <x:c r="I92" s="85" t="n">
        <x:v>0</x:v>
      </x:c>
    </x:row>
    <x:row r="93">
      <x:c r="A93" s="95" t="n">
        <x:v>45018</x:v>
      </x:c>
      <x:c r="B93" s="84" t="n">
        <x:v>2</x:v>
      </x:c>
      <x:c r="C93" s="84" t="n">
        <x:v>4</x:v>
      </x:c>
      <x:c r="D93" s="84" t="str">
        <x:v>Abril</x:v>
      </x:c>
      <x:c r="E93" s="84" t="n">
        <x:v>2</x:v>
      </x:c>
      <x:c r="F93" s="84" t="n">
        <x:v>2023</x:v>
      </x:c>
      <x:c r="G93" s="84" t="n">
        <x:v>13</x:v>
      </x:c>
      <x:c r="H93" s="84" t="str">
        <x:v>Domingo</x:v>
      </x:c>
      <x:c r="I93" s="85" t="n">
        <x:v>0</x:v>
      </x:c>
    </x:row>
    <x:row r="94">
      <x:c r="A94" s="95" t="n">
        <x:v>45019</x:v>
      </x:c>
      <x:c r="B94" s="84" t="n">
        <x:v>3</x:v>
      </x:c>
      <x:c r="C94" s="84" t="n">
        <x:v>4</x:v>
      </x:c>
      <x:c r="D94" s="84" t="str">
        <x:v>Abril</x:v>
      </x:c>
      <x:c r="E94" s="84" t="n">
        <x:v>2</x:v>
      </x:c>
      <x:c r="F94" s="84" t="n">
        <x:v>2023</x:v>
      </x:c>
      <x:c r="G94" s="84" t="n">
        <x:v>14</x:v>
      </x:c>
      <x:c r="H94" s="84" t="str">
        <x:v>Segunda</x:v>
      </x:c>
      <x:c r="I94" s="85" t="n">
        <x:v>1</x:v>
      </x:c>
    </x:row>
    <x:row r="95">
      <x:c r="A95" s="95" t="n">
        <x:v>45020</x:v>
      </x:c>
      <x:c r="B95" s="84" t="n">
        <x:v>4</x:v>
      </x:c>
      <x:c r="C95" s="84" t="n">
        <x:v>4</x:v>
      </x:c>
      <x:c r="D95" s="84" t="str">
        <x:v>Abril</x:v>
      </x:c>
      <x:c r="E95" s="84" t="n">
        <x:v>2</x:v>
      </x:c>
      <x:c r="F95" s="84" t="n">
        <x:v>2023</x:v>
      </x:c>
      <x:c r="G95" s="84" t="n">
        <x:v>14</x:v>
      </x:c>
      <x:c r="H95" s="84" t="str">
        <x:v>Terça</x:v>
      </x:c>
      <x:c r="I95" s="85" t="n">
        <x:v>1</x:v>
      </x:c>
    </x:row>
    <x:row r="96">
      <x:c r="A96" s="95" t="n">
        <x:v>45021</x:v>
      </x:c>
      <x:c r="B96" s="84" t="n">
        <x:v>5</x:v>
      </x:c>
      <x:c r="C96" s="84" t="n">
        <x:v>4</x:v>
      </x:c>
      <x:c r="D96" s="84" t="str">
        <x:v>Abril</x:v>
      </x:c>
      <x:c r="E96" s="84" t="n">
        <x:v>2</x:v>
      </x:c>
      <x:c r="F96" s="84" t="n">
        <x:v>2023</x:v>
      </x:c>
      <x:c r="G96" s="84" t="n">
        <x:v>14</x:v>
      </x:c>
      <x:c r="H96" s="84" t="str">
        <x:v>Quarta</x:v>
      </x:c>
      <x:c r="I96" s="85" t="n">
        <x:v>1</x:v>
      </x:c>
    </x:row>
    <x:row r="97">
      <x:c r="A97" s="95" t="n">
        <x:v>45022</x:v>
      </x:c>
      <x:c r="B97" s="84" t="n">
        <x:v>6</x:v>
      </x:c>
      <x:c r="C97" s="84" t="n">
        <x:v>4</x:v>
      </x:c>
      <x:c r="D97" s="84" t="str">
        <x:v>Abril</x:v>
      </x:c>
      <x:c r="E97" s="84" t="n">
        <x:v>2</x:v>
      </x:c>
      <x:c r="F97" s="84" t="n">
        <x:v>2023</x:v>
      </x:c>
      <x:c r="G97" s="84" t="n">
        <x:v>14</x:v>
      </x:c>
      <x:c r="H97" s="84" t="str">
        <x:v>Quinta</x:v>
      </x:c>
      <x:c r="I97" s="85" t="n">
        <x:v>1</x:v>
      </x:c>
    </x:row>
    <x:row r="98">
      <x:c r="A98" s="95" t="n">
        <x:v>45023</x:v>
      </x:c>
      <x:c r="B98" s="84" t="n">
        <x:v>7</x:v>
      </x:c>
      <x:c r="C98" s="84" t="n">
        <x:v>4</x:v>
      </x:c>
      <x:c r="D98" s="84" t="str">
        <x:v>Abril</x:v>
      </x:c>
      <x:c r="E98" s="84" t="n">
        <x:v>2</x:v>
      </x:c>
      <x:c r="F98" s="84" t="n">
        <x:v>2023</x:v>
      </x:c>
      <x:c r="G98" s="84" t="n">
        <x:v>14</x:v>
      </x:c>
      <x:c r="H98" s="84" t="str">
        <x:v>Sexta</x:v>
      </x:c>
      <x:c r="I98" s="85" t="n">
        <x:v>1</x:v>
      </x:c>
    </x:row>
    <x:row r="99">
      <x:c r="A99" s="95" t="n">
        <x:v>45024</x:v>
      </x:c>
      <x:c r="B99" s="84" t="n">
        <x:v>8</x:v>
      </x:c>
      <x:c r="C99" s="84" t="n">
        <x:v>4</x:v>
      </x:c>
      <x:c r="D99" s="84" t="str">
        <x:v>Abril</x:v>
      </x:c>
      <x:c r="E99" s="84" t="n">
        <x:v>2</x:v>
      </x:c>
      <x:c r="F99" s="84" t="n">
        <x:v>2023</x:v>
      </x:c>
      <x:c r="G99" s="84" t="n">
        <x:v>14</x:v>
      </x:c>
      <x:c r="H99" s="84" t="str">
        <x:v>Sábado</x:v>
      </x:c>
      <x:c r="I99" s="85" t="n">
        <x:v>0</x:v>
      </x:c>
    </x:row>
    <x:row r="100">
      <x:c r="A100" s="95" t="n">
        <x:v>45025</x:v>
      </x:c>
      <x:c r="B100" s="84" t="n">
        <x:v>9</x:v>
      </x:c>
      <x:c r="C100" s="84" t="n">
        <x:v>4</x:v>
      </x:c>
      <x:c r="D100" s="84" t="str">
        <x:v>Abril</x:v>
      </x:c>
      <x:c r="E100" s="84" t="n">
        <x:v>2</x:v>
      </x:c>
      <x:c r="F100" s="84" t="n">
        <x:v>2023</x:v>
      </x:c>
      <x:c r="G100" s="84" t="n">
        <x:v>14</x:v>
      </x:c>
      <x:c r="H100" s="84" t="str">
        <x:v>Domingo</x:v>
      </x:c>
      <x:c r="I100" s="85" t="n">
        <x:v>0</x:v>
      </x:c>
    </x:row>
    <x:row r="101">
      <x:c r="A101" s="95" t="n">
        <x:v>45026</x:v>
      </x:c>
      <x:c r="B101" s="84" t="n">
        <x:v>10</x:v>
      </x:c>
      <x:c r="C101" s="84" t="n">
        <x:v>4</x:v>
      </x:c>
      <x:c r="D101" s="84" t="str">
        <x:v>Abril</x:v>
      </x:c>
      <x:c r="E101" s="84" t="n">
        <x:v>2</x:v>
      </x:c>
      <x:c r="F101" s="84" t="n">
        <x:v>2023</x:v>
      </x:c>
      <x:c r="G101" s="84" t="n">
        <x:v>15</x:v>
      </x:c>
      <x:c r="H101" s="84" t="str">
        <x:v>Segunda</x:v>
      </x:c>
      <x:c r="I101" s="85" t="n">
        <x:v>1</x:v>
      </x:c>
    </x:row>
    <x:row r="102">
      <x:c r="A102" s="95" t="n">
        <x:v>45027</x:v>
      </x:c>
      <x:c r="B102" s="84" t="n">
        <x:v>11</x:v>
      </x:c>
      <x:c r="C102" s="84" t="n">
        <x:v>4</x:v>
      </x:c>
      <x:c r="D102" s="84" t="str">
        <x:v>Abril</x:v>
      </x:c>
      <x:c r="E102" s="84" t="n">
        <x:v>2</x:v>
      </x:c>
      <x:c r="F102" s="84" t="n">
        <x:v>2023</x:v>
      </x:c>
      <x:c r="G102" s="84" t="n">
        <x:v>15</x:v>
      </x:c>
      <x:c r="H102" s="84" t="str">
        <x:v>Terça</x:v>
      </x:c>
      <x:c r="I102" s="85" t="n">
        <x:v>1</x:v>
      </x:c>
    </x:row>
    <x:row r="103">
      <x:c r="A103" s="95" t="n">
        <x:v>45028</x:v>
      </x:c>
      <x:c r="B103" s="84" t="n">
        <x:v>12</x:v>
      </x:c>
      <x:c r="C103" s="84" t="n">
        <x:v>4</x:v>
      </x:c>
      <x:c r="D103" s="84" t="str">
        <x:v>Abril</x:v>
      </x:c>
      <x:c r="E103" s="84" t="n">
        <x:v>2</x:v>
      </x:c>
      <x:c r="F103" s="84" t="n">
        <x:v>2023</x:v>
      </x:c>
      <x:c r="G103" s="84" t="n">
        <x:v>15</x:v>
      </x:c>
      <x:c r="H103" s="84" t="str">
        <x:v>Quarta</x:v>
      </x:c>
      <x:c r="I103" s="85" t="n">
        <x:v>1</x:v>
      </x:c>
    </x:row>
    <x:row r="104">
      <x:c r="A104" s="95" t="n">
        <x:v>45029</x:v>
      </x:c>
      <x:c r="B104" s="84" t="n">
        <x:v>13</x:v>
      </x:c>
      <x:c r="C104" s="84" t="n">
        <x:v>4</x:v>
      </x:c>
      <x:c r="D104" s="84" t="str">
        <x:v>Abril</x:v>
      </x:c>
      <x:c r="E104" s="84" t="n">
        <x:v>2</x:v>
      </x:c>
      <x:c r="F104" s="84" t="n">
        <x:v>2023</x:v>
      </x:c>
      <x:c r="G104" s="84" t="n">
        <x:v>15</x:v>
      </x:c>
      <x:c r="H104" s="84" t="str">
        <x:v>Quinta</x:v>
      </x:c>
      <x:c r="I104" s="85" t="n">
        <x:v>1</x:v>
      </x:c>
    </x:row>
    <x:row r="105">
      <x:c r="A105" s="95" t="n">
        <x:v>45030</x:v>
      </x:c>
      <x:c r="B105" s="84" t="n">
        <x:v>14</x:v>
      </x:c>
      <x:c r="C105" s="84" t="n">
        <x:v>4</x:v>
      </x:c>
      <x:c r="D105" s="84" t="str">
        <x:v>Abril</x:v>
      </x:c>
      <x:c r="E105" s="84" t="n">
        <x:v>2</x:v>
      </x:c>
      <x:c r="F105" s="84" t="n">
        <x:v>2023</x:v>
      </x:c>
      <x:c r="G105" s="84" t="n">
        <x:v>15</x:v>
      </x:c>
      <x:c r="H105" s="84" t="str">
        <x:v>Sexta</x:v>
      </x:c>
      <x:c r="I105" s="85" t="n">
        <x:v>1</x:v>
      </x:c>
    </x:row>
    <x:row r="106">
      <x:c r="A106" s="95" t="n">
        <x:v>45031</x:v>
      </x:c>
      <x:c r="B106" s="84" t="n">
        <x:v>15</x:v>
      </x:c>
      <x:c r="C106" s="84" t="n">
        <x:v>4</x:v>
      </x:c>
      <x:c r="D106" s="84" t="str">
        <x:v>Abril</x:v>
      </x:c>
      <x:c r="E106" s="84" t="n">
        <x:v>2</x:v>
      </x:c>
      <x:c r="F106" s="84" t="n">
        <x:v>2023</x:v>
      </x:c>
      <x:c r="G106" s="84" t="n">
        <x:v>15</x:v>
      </x:c>
      <x:c r="H106" s="84" t="str">
        <x:v>Sábado</x:v>
      </x:c>
      <x:c r="I106" s="85" t="n">
        <x:v>0</x:v>
      </x:c>
    </x:row>
    <x:row r="107">
      <x:c r="A107" s="95" t="n">
        <x:v>45032</x:v>
      </x:c>
      <x:c r="B107" s="84" t="n">
        <x:v>16</x:v>
      </x:c>
      <x:c r="C107" s="84" t="n">
        <x:v>4</x:v>
      </x:c>
      <x:c r="D107" s="84" t="str">
        <x:v>Abril</x:v>
      </x:c>
      <x:c r="E107" s="84" t="n">
        <x:v>2</x:v>
      </x:c>
      <x:c r="F107" s="84" t="n">
        <x:v>2023</x:v>
      </x:c>
      <x:c r="G107" s="84" t="n">
        <x:v>15</x:v>
      </x:c>
      <x:c r="H107" s="84" t="str">
        <x:v>Domingo</x:v>
      </x:c>
      <x:c r="I107" s="85" t="n">
        <x:v>0</x:v>
      </x:c>
    </x:row>
    <x:row r="108">
      <x:c r="A108" s="95" t="n">
        <x:v>45033</x:v>
      </x:c>
      <x:c r="B108" s="84" t="n">
        <x:v>17</x:v>
      </x:c>
      <x:c r="C108" s="84" t="n">
        <x:v>4</x:v>
      </x:c>
      <x:c r="D108" s="84" t="str">
        <x:v>Abril</x:v>
      </x:c>
      <x:c r="E108" s="84" t="n">
        <x:v>2</x:v>
      </x:c>
      <x:c r="F108" s="84" t="n">
        <x:v>2023</x:v>
      </x:c>
      <x:c r="G108" s="84" t="n">
        <x:v>16</x:v>
      </x:c>
      <x:c r="H108" s="84" t="str">
        <x:v>Segunda</x:v>
      </x:c>
      <x:c r="I108" s="85" t="n">
        <x:v>1</x:v>
      </x:c>
    </x:row>
    <x:row r="109">
      <x:c r="A109" s="95" t="n">
        <x:v>45034</x:v>
      </x:c>
      <x:c r="B109" s="84" t="n">
        <x:v>18</x:v>
      </x:c>
      <x:c r="C109" s="84" t="n">
        <x:v>4</x:v>
      </x:c>
      <x:c r="D109" s="84" t="str">
        <x:v>Abril</x:v>
      </x:c>
      <x:c r="E109" s="84" t="n">
        <x:v>2</x:v>
      </x:c>
      <x:c r="F109" s="84" t="n">
        <x:v>2023</x:v>
      </x:c>
      <x:c r="G109" s="84" t="n">
        <x:v>16</x:v>
      </x:c>
      <x:c r="H109" s="84" t="str">
        <x:v>Terça</x:v>
      </x:c>
      <x:c r="I109" s="85" t="n">
        <x:v>1</x:v>
      </x:c>
    </x:row>
    <x:row r="110">
      <x:c r="A110" s="95" t="n">
        <x:v>45035</x:v>
      </x:c>
      <x:c r="B110" s="84" t="n">
        <x:v>19</x:v>
      </x:c>
      <x:c r="C110" s="84" t="n">
        <x:v>4</x:v>
      </x:c>
      <x:c r="D110" s="84" t="str">
        <x:v>Abril</x:v>
      </x:c>
      <x:c r="E110" s="84" t="n">
        <x:v>2</x:v>
      </x:c>
      <x:c r="F110" s="84" t="n">
        <x:v>2023</x:v>
      </x:c>
      <x:c r="G110" s="84" t="n">
        <x:v>16</x:v>
      </x:c>
      <x:c r="H110" s="84" t="str">
        <x:v>Quarta</x:v>
      </x:c>
      <x:c r="I110" s="85" t="n">
        <x:v>1</x:v>
      </x:c>
    </x:row>
    <x:row r="111">
      <x:c r="A111" s="95" t="n">
        <x:v>45036</x:v>
      </x:c>
      <x:c r="B111" s="84" t="n">
        <x:v>20</x:v>
      </x:c>
      <x:c r="C111" s="84" t="n">
        <x:v>4</x:v>
      </x:c>
      <x:c r="D111" s="84" t="str">
        <x:v>Abril</x:v>
      </x:c>
      <x:c r="E111" s="84" t="n">
        <x:v>2</x:v>
      </x:c>
      <x:c r="F111" s="84" t="n">
        <x:v>2023</x:v>
      </x:c>
      <x:c r="G111" s="84" t="n">
        <x:v>16</x:v>
      </x:c>
      <x:c r="H111" s="84" t="str">
        <x:v>Quinta</x:v>
      </x:c>
      <x:c r="I111" s="85" t="n">
        <x:v>1</x:v>
      </x:c>
    </x:row>
    <x:row r="112">
      <x:c r="A112" s="95" t="n">
        <x:v>45037</x:v>
      </x:c>
      <x:c r="B112" s="84" t="n">
        <x:v>21</x:v>
      </x:c>
      <x:c r="C112" s="84" t="n">
        <x:v>4</x:v>
      </x:c>
      <x:c r="D112" s="84" t="str">
        <x:v>Abril</x:v>
      </x:c>
      <x:c r="E112" s="84" t="n">
        <x:v>2</x:v>
      </x:c>
      <x:c r="F112" s="84" t="n">
        <x:v>2023</x:v>
      </x:c>
      <x:c r="G112" s="84" t="n">
        <x:v>16</x:v>
      </x:c>
      <x:c r="H112" s="84" t="str">
        <x:v>Sexta</x:v>
      </x:c>
      <x:c r="I112" s="85" t="n">
        <x:v>1</x:v>
      </x:c>
    </x:row>
    <x:row r="113">
      <x:c r="A113" s="95" t="n">
        <x:v>45038</x:v>
      </x:c>
      <x:c r="B113" s="84" t="n">
        <x:v>22</x:v>
      </x:c>
      <x:c r="C113" s="84" t="n">
        <x:v>4</x:v>
      </x:c>
      <x:c r="D113" s="84" t="str">
        <x:v>Abril</x:v>
      </x:c>
      <x:c r="E113" s="84" t="n">
        <x:v>2</x:v>
      </x:c>
      <x:c r="F113" s="84" t="n">
        <x:v>2023</x:v>
      </x:c>
      <x:c r="G113" s="84" t="n">
        <x:v>16</x:v>
      </x:c>
      <x:c r="H113" s="84" t="str">
        <x:v>Sábado</x:v>
      </x:c>
      <x:c r="I113" s="85" t="n">
        <x:v>0</x:v>
      </x:c>
    </x:row>
    <x:row r="114">
      <x:c r="A114" s="95" t="n">
        <x:v>45039</x:v>
      </x:c>
      <x:c r="B114" s="84" t="n">
        <x:v>23</x:v>
      </x:c>
      <x:c r="C114" s="84" t="n">
        <x:v>4</x:v>
      </x:c>
      <x:c r="D114" s="84" t="str">
        <x:v>Abril</x:v>
      </x:c>
      <x:c r="E114" s="84" t="n">
        <x:v>2</x:v>
      </x:c>
      <x:c r="F114" s="84" t="n">
        <x:v>2023</x:v>
      </x:c>
      <x:c r="G114" s="84" t="n">
        <x:v>16</x:v>
      </x:c>
      <x:c r="H114" s="84" t="str">
        <x:v>Domingo</x:v>
      </x:c>
      <x:c r="I114" s="85" t="n">
        <x:v>0</x:v>
      </x:c>
    </x:row>
    <x:row r="115">
      <x:c r="A115" s="95" t="n">
        <x:v>45040</x:v>
      </x:c>
      <x:c r="B115" s="84" t="n">
        <x:v>24</x:v>
      </x:c>
      <x:c r="C115" s="84" t="n">
        <x:v>4</x:v>
      </x:c>
      <x:c r="D115" s="84" t="str">
        <x:v>Abril</x:v>
      </x:c>
      <x:c r="E115" s="84" t="n">
        <x:v>2</x:v>
      </x:c>
      <x:c r="F115" s="84" t="n">
        <x:v>2023</x:v>
      </x:c>
      <x:c r="G115" s="84" t="n">
        <x:v>17</x:v>
      </x:c>
      <x:c r="H115" s="84" t="str">
        <x:v>Segunda</x:v>
      </x:c>
      <x:c r="I115" s="85" t="n">
        <x:v>1</x:v>
      </x:c>
    </x:row>
    <x:row r="116">
      <x:c r="A116" s="95" t="n">
        <x:v>45041</x:v>
      </x:c>
      <x:c r="B116" s="84" t="n">
        <x:v>25</x:v>
      </x:c>
      <x:c r="C116" s="84" t="n">
        <x:v>4</x:v>
      </x:c>
      <x:c r="D116" s="84" t="str">
        <x:v>Abril</x:v>
      </x:c>
      <x:c r="E116" s="84" t="n">
        <x:v>2</x:v>
      </x:c>
      <x:c r="F116" s="84" t="n">
        <x:v>2023</x:v>
      </x:c>
      <x:c r="G116" s="84" t="n">
        <x:v>17</x:v>
      </x:c>
      <x:c r="H116" s="84" t="str">
        <x:v>Terça</x:v>
      </x:c>
      <x:c r="I116" s="85" t="n">
        <x:v>1</x:v>
      </x:c>
    </x:row>
    <x:row r="117">
      <x:c r="A117" s="95" t="n">
        <x:v>45042</x:v>
      </x:c>
      <x:c r="B117" s="84" t="n">
        <x:v>26</x:v>
      </x:c>
      <x:c r="C117" s="84" t="n">
        <x:v>4</x:v>
      </x:c>
      <x:c r="D117" s="84" t="str">
        <x:v>Abril</x:v>
      </x:c>
      <x:c r="E117" s="84" t="n">
        <x:v>2</x:v>
      </x:c>
      <x:c r="F117" s="84" t="n">
        <x:v>2023</x:v>
      </x:c>
      <x:c r="G117" s="84" t="n">
        <x:v>17</x:v>
      </x:c>
      <x:c r="H117" s="84" t="str">
        <x:v>Quarta</x:v>
      </x:c>
      <x:c r="I117" s="85" t="n">
        <x:v>1</x:v>
      </x:c>
    </x:row>
    <x:row r="118">
      <x:c r="A118" s="95" t="n">
        <x:v>45043</x:v>
      </x:c>
      <x:c r="B118" s="84" t="n">
        <x:v>27</x:v>
      </x:c>
      <x:c r="C118" s="84" t="n">
        <x:v>4</x:v>
      </x:c>
      <x:c r="D118" s="84" t="str">
        <x:v>Abril</x:v>
      </x:c>
      <x:c r="E118" s="84" t="n">
        <x:v>2</x:v>
      </x:c>
      <x:c r="F118" s="84" t="n">
        <x:v>2023</x:v>
      </x:c>
      <x:c r="G118" s="84" t="n">
        <x:v>17</x:v>
      </x:c>
      <x:c r="H118" s="84" t="str">
        <x:v>Quinta</x:v>
      </x:c>
      <x:c r="I118" s="85" t="n">
        <x:v>1</x:v>
      </x:c>
    </x:row>
    <x:row r="119">
      <x:c r="A119" s="95" t="n">
        <x:v>45044</x:v>
      </x:c>
      <x:c r="B119" s="84" t="n">
        <x:v>28</x:v>
      </x:c>
      <x:c r="C119" s="84" t="n">
        <x:v>4</x:v>
      </x:c>
      <x:c r="D119" s="84" t="str">
        <x:v>Abril</x:v>
      </x:c>
      <x:c r="E119" s="84" t="n">
        <x:v>2</x:v>
      </x:c>
      <x:c r="F119" s="84" t="n">
        <x:v>2023</x:v>
      </x:c>
      <x:c r="G119" s="84" t="n">
        <x:v>17</x:v>
      </x:c>
      <x:c r="H119" s="84" t="str">
        <x:v>Sexta</x:v>
      </x:c>
      <x:c r="I119" s="85" t="n">
        <x:v>1</x:v>
      </x:c>
    </x:row>
    <x:row r="120">
      <x:c r="A120" s="95" t="n">
        <x:v>45045</x:v>
      </x:c>
      <x:c r="B120" s="84" t="n">
        <x:v>29</x:v>
      </x:c>
      <x:c r="C120" s="84" t="n">
        <x:v>4</x:v>
      </x:c>
      <x:c r="D120" s="84" t="str">
        <x:v>Abril</x:v>
      </x:c>
      <x:c r="E120" s="84" t="n">
        <x:v>2</x:v>
      </x:c>
      <x:c r="F120" s="84" t="n">
        <x:v>2023</x:v>
      </x:c>
      <x:c r="G120" s="84" t="n">
        <x:v>17</x:v>
      </x:c>
      <x:c r="H120" s="84" t="str">
        <x:v>Sábado</x:v>
      </x:c>
      <x:c r="I120" s="85" t="n">
        <x:v>0</x:v>
      </x:c>
    </x:row>
    <x:row r="121">
      <x:c r="A121" s="95" t="n">
        <x:v>45046</x:v>
      </x:c>
      <x:c r="B121" s="84" t="n">
        <x:v>30</x:v>
      </x:c>
      <x:c r="C121" s="84" t="n">
        <x:v>4</x:v>
      </x:c>
      <x:c r="D121" s="84" t="str">
        <x:v>Abril</x:v>
      </x:c>
      <x:c r="E121" s="84" t="n">
        <x:v>2</x:v>
      </x:c>
      <x:c r="F121" s="84" t="n">
        <x:v>2023</x:v>
      </x:c>
      <x:c r="G121" s="84" t="n">
        <x:v>17</x:v>
      </x:c>
      <x:c r="H121" s="84" t="str">
        <x:v>Domingo</x:v>
      </x:c>
      <x:c r="I121" s="85" t="n">
        <x:v>0</x:v>
      </x:c>
    </x:row>
    <x:row r="122">
      <x:c r="A122" s="95" t="n">
        <x:v>45047</x:v>
      </x:c>
      <x:c r="B122" s="84" t="n">
        <x:v>1</x:v>
      </x:c>
      <x:c r="C122" s="84" t="n">
        <x:v>5</x:v>
      </x:c>
      <x:c r="D122" s="84" t="str">
        <x:v>Maio</x:v>
      </x:c>
      <x:c r="E122" s="84" t="n">
        <x:v>2</x:v>
      </x:c>
      <x:c r="F122" s="84" t="n">
        <x:v>2023</x:v>
      </x:c>
      <x:c r="G122" s="84" t="n">
        <x:v>18</x:v>
      </x:c>
      <x:c r="H122" s="84" t="str">
        <x:v>Segunda</x:v>
      </x:c>
      <x:c r="I122" s="85" t="n">
        <x:v>1</x:v>
      </x:c>
    </x:row>
    <x:row r="123">
      <x:c r="A123" s="95" t="n">
        <x:v>45048</x:v>
      </x:c>
      <x:c r="B123" s="84" t="n">
        <x:v>2</x:v>
      </x:c>
      <x:c r="C123" s="84" t="n">
        <x:v>5</x:v>
      </x:c>
      <x:c r="D123" s="84" t="str">
        <x:v>Maio</x:v>
      </x:c>
      <x:c r="E123" s="84" t="n">
        <x:v>2</x:v>
      </x:c>
      <x:c r="F123" s="84" t="n">
        <x:v>2023</x:v>
      </x:c>
      <x:c r="G123" s="84" t="n">
        <x:v>18</x:v>
      </x:c>
      <x:c r="H123" s="84" t="str">
        <x:v>Terça</x:v>
      </x:c>
      <x:c r="I123" s="85" t="n">
        <x:v>1</x:v>
      </x:c>
    </x:row>
    <x:row r="124">
      <x:c r="A124" s="95" t="n">
        <x:v>45049</x:v>
      </x:c>
      <x:c r="B124" s="84" t="n">
        <x:v>3</x:v>
      </x:c>
      <x:c r="C124" s="84" t="n">
        <x:v>5</x:v>
      </x:c>
      <x:c r="D124" s="84" t="str">
        <x:v>Maio</x:v>
      </x:c>
      <x:c r="E124" s="84" t="n">
        <x:v>2</x:v>
      </x:c>
      <x:c r="F124" s="84" t="n">
        <x:v>2023</x:v>
      </x:c>
      <x:c r="G124" s="84" t="n">
        <x:v>18</x:v>
      </x:c>
      <x:c r="H124" s="84" t="str">
        <x:v>Quarta</x:v>
      </x:c>
      <x:c r="I124" s="85" t="n">
        <x:v>1</x:v>
      </x:c>
    </x:row>
    <x:row r="125">
      <x:c r="A125" s="95" t="n">
        <x:v>45050</x:v>
      </x:c>
      <x:c r="B125" s="84" t="n">
        <x:v>4</x:v>
      </x:c>
      <x:c r="C125" s="84" t="n">
        <x:v>5</x:v>
      </x:c>
      <x:c r="D125" s="84" t="str">
        <x:v>Maio</x:v>
      </x:c>
      <x:c r="E125" s="84" t="n">
        <x:v>2</x:v>
      </x:c>
      <x:c r="F125" s="84" t="n">
        <x:v>2023</x:v>
      </x:c>
      <x:c r="G125" s="84" t="n">
        <x:v>18</x:v>
      </x:c>
      <x:c r="H125" s="84" t="str">
        <x:v>Quinta</x:v>
      </x:c>
      <x:c r="I125" s="85" t="n">
        <x:v>1</x:v>
      </x:c>
    </x:row>
    <x:row r="126">
      <x:c r="A126" s="95" t="n">
        <x:v>45051</x:v>
      </x:c>
      <x:c r="B126" s="84" t="n">
        <x:v>5</x:v>
      </x:c>
      <x:c r="C126" s="84" t="n">
        <x:v>5</x:v>
      </x:c>
      <x:c r="D126" s="84" t="str">
        <x:v>Maio</x:v>
      </x:c>
      <x:c r="E126" s="84" t="n">
        <x:v>2</x:v>
      </x:c>
      <x:c r="F126" s="84" t="n">
        <x:v>2023</x:v>
      </x:c>
      <x:c r="G126" s="84" t="n">
        <x:v>18</x:v>
      </x:c>
      <x:c r="H126" s="84" t="str">
        <x:v>Sexta</x:v>
      </x:c>
      <x:c r="I126" s="85" t="n">
        <x:v>1</x:v>
      </x:c>
    </x:row>
    <x:row r="127">
      <x:c r="A127" s="95" t="n">
        <x:v>45052</x:v>
      </x:c>
      <x:c r="B127" s="84" t="n">
        <x:v>6</x:v>
      </x:c>
      <x:c r="C127" s="84" t="n">
        <x:v>5</x:v>
      </x:c>
      <x:c r="D127" s="84" t="str">
        <x:v>Maio</x:v>
      </x:c>
      <x:c r="E127" s="84" t="n">
        <x:v>2</x:v>
      </x:c>
      <x:c r="F127" s="84" t="n">
        <x:v>2023</x:v>
      </x:c>
      <x:c r="G127" s="84" t="n">
        <x:v>18</x:v>
      </x:c>
      <x:c r="H127" s="84" t="str">
        <x:v>Sábado</x:v>
      </x:c>
      <x:c r="I127" s="85" t="n">
        <x:v>0</x:v>
      </x:c>
    </x:row>
    <x:row r="128">
      <x:c r="A128" s="95" t="n">
        <x:v>45053</x:v>
      </x:c>
      <x:c r="B128" s="84" t="n">
        <x:v>7</x:v>
      </x:c>
      <x:c r="C128" s="84" t="n">
        <x:v>5</x:v>
      </x:c>
      <x:c r="D128" s="84" t="str">
        <x:v>Maio</x:v>
      </x:c>
      <x:c r="E128" s="84" t="n">
        <x:v>2</x:v>
      </x:c>
      <x:c r="F128" s="84" t="n">
        <x:v>2023</x:v>
      </x:c>
      <x:c r="G128" s="84" t="n">
        <x:v>18</x:v>
      </x:c>
      <x:c r="H128" s="84" t="str">
        <x:v>Domingo</x:v>
      </x:c>
      <x:c r="I128" s="85" t="n">
        <x:v>0</x:v>
      </x:c>
    </x:row>
    <x:row r="129">
      <x:c r="A129" s="95" t="n">
        <x:v>45054</x:v>
      </x:c>
      <x:c r="B129" s="84" t="n">
        <x:v>8</x:v>
      </x:c>
      <x:c r="C129" s="84" t="n">
        <x:v>5</x:v>
      </x:c>
      <x:c r="D129" s="84" t="str">
        <x:v>Maio</x:v>
      </x:c>
      <x:c r="E129" s="84" t="n">
        <x:v>2</x:v>
      </x:c>
      <x:c r="F129" s="84" t="n">
        <x:v>2023</x:v>
      </x:c>
      <x:c r="G129" s="84" t="n">
        <x:v>19</x:v>
      </x:c>
      <x:c r="H129" s="84" t="str">
        <x:v>Segunda</x:v>
      </x:c>
      <x:c r="I129" s="85" t="n">
        <x:v>1</x:v>
      </x:c>
    </x:row>
    <x:row r="130">
      <x:c r="A130" s="95" t="n">
        <x:v>45055</x:v>
      </x:c>
      <x:c r="B130" s="84" t="n">
        <x:v>9</x:v>
      </x:c>
      <x:c r="C130" s="84" t="n">
        <x:v>5</x:v>
      </x:c>
      <x:c r="D130" s="84" t="str">
        <x:v>Maio</x:v>
      </x:c>
      <x:c r="E130" s="84" t="n">
        <x:v>2</x:v>
      </x:c>
      <x:c r="F130" s="84" t="n">
        <x:v>2023</x:v>
      </x:c>
      <x:c r="G130" s="84" t="n">
        <x:v>19</x:v>
      </x:c>
      <x:c r="H130" s="84" t="str">
        <x:v>Terça</x:v>
      </x:c>
      <x:c r="I130" s="85" t="n">
        <x:v>1</x:v>
      </x:c>
    </x:row>
    <x:row r="131">
      <x:c r="A131" s="95" t="n">
        <x:v>45056</x:v>
      </x:c>
      <x:c r="B131" s="84" t="n">
        <x:v>10</x:v>
      </x:c>
      <x:c r="C131" s="84" t="n">
        <x:v>5</x:v>
      </x:c>
      <x:c r="D131" s="84" t="str">
        <x:v>Maio</x:v>
      </x:c>
      <x:c r="E131" s="84" t="n">
        <x:v>2</x:v>
      </x:c>
      <x:c r="F131" s="84" t="n">
        <x:v>2023</x:v>
      </x:c>
      <x:c r="G131" s="84" t="n">
        <x:v>19</x:v>
      </x:c>
      <x:c r="H131" s="84" t="str">
        <x:v>Quarta</x:v>
      </x:c>
      <x:c r="I131" s="85" t="n">
        <x:v>1</x:v>
      </x:c>
    </x:row>
    <x:row r="132">
      <x:c r="A132" s="95" t="n">
        <x:v>45057</x:v>
      </x:c>
      <x:c r="B132" s="84" t="n">
        <x:v>11</x:v>
      </x:c>
      <x:c r="C132" s="84" t="n">
        <x:v>5</x:v>
      </x:c>
      <x:c r="D132" s="84" t="str">
        <x:v>Maio</x:v>
      </x:c>
      <x:c r="E132" s="84" t="n">
        <x:v>2</x:v>
      </x:c>
      <x:c r="F132" s="84" t="n">
        <x:v>2023</x:v>
      </x:c>
      <x:c r="G132" s="84" t="n">
        <x:v>19</x:v>
      </x:c>
      <x:c r="H132" s="84" t="str">
        <x:v>Quinta</x:v>
      </x:c>
      <x:c r="I132" s="85" t="n">
        <x:v>1</x:v>
      </x:c>
    </x:row>
    <x:row r="133">
      <x:c r="A133" s="95" t="n">
        <x:v>45058</x:v>
      </x:c>
      <x:c r="B133" s="84" t="n">
        <x:v>12</x:v>
      </x:c>
      <x:c r="C133" s="84" t="n">
        <x:v>5</x:v>
      </x:c>
      <x:c r="D133" s="84" t="str">
        <x:v>Maio</x:v>
      </x:c>
      <x:c r="E133" s="84" t="n">
        <x:v>2</x:v>
      </x:c>
      <x:c r="F133" s="84" t="n">
        <x:v>2023</x:v>
      </x:c>
      <x:c r="G133" s="84" t="n">
        <x:v>19</x:v>
      </x:c>
      <x:c r="H133" s="84" t="str">
        <x:v>Sexta</x:v>
      </x:c>
      <x:c r="I133" s="85" t="n">
        <x:v>1</x:v>
      </x:c>
    </x:row>
    <x:row r="134">
      <x:c r="A134" s="95" t="n">
        <x:v>45059</x:v>
      </x:c>
      <x:c r="B134" s="84" t="n">
        <x:v>13</x:v>
      </x:c>
      <x:c r="C134" s="84" t="n">
        <x:v>5</x:v>
      </x:c>
      <x:c r="D134" s="84" t="str">
        <x:v>Maio</x:v>
      </x:c>
      <x:c r="E134" s="84" t="n">
        <x:v>2</x:v>
      </x:c>
      <x:c r="F134" s="84" t="n">
        <x:v>2023</x:v>
      </x:c>
      <x:c r="G134" s="84" t="n">
        <x:v>19</x:v>
      </x:c>
      <x:c r="H134" s="84" t="str">
        <x:v>Sábado</x:v>
      </x:c>
      <x:c r="I134" s="85" t="n">
        <x:v>0</x:v>
      </x:c>
    </x:row>
    <x:row r="135">
      <x:c r="A135" s="95" t="n">
        <x:v>45060</x:v>
      </x:c>
      <x:c r="B135" s="84" t="n">
        <x:v>14</x:v>
      </x:c>
      <x:c r="C135" s="84" t="n">
        <x:v>5</x:v>
      </x:c>
      <x:c r="D135" s="84" t="str">
        <x:v>Maio</x:v>
      </x:c>
      <x:c r="E135" s="84" t="n">
        <x:v>2</x:v>
      </x:c>
      <x:c r="F135" s="84" t="n">
        <x:v>2023</x:v>
      </x:c>
      <x:c r="G135" s="84" t="n">
        <x:v>19</x:v>
      </x:c>
      <x:c r="H135" s="84" t="str">
        <x:v>Domingo</x:v>
      </x:c>
      <x:c r="I135" s="85" t="n">
        <x:v>0</x:v>
      </x:c>
    </x:row>
    <x:row r="136">
      <x:c r="A136" s="95" t="n">
        <x:v>45061</x:v>
      </x:c>
      <x:c r="B136" s="84" t="n">
        <x:v>15</x:v>
      </x:c>
      <x:c r="C136" s="84" t="n">
        <x:v>5</x:v>
      </x:c>
      <x:c r="D136" s="84" t="str">
        <x:v>Maio</x:v>
      </x:c>
      <x:c r="E136" s="84" t="n">
        <x:v>2</x:v>
      </x:c>
      <x:c r="F136" s="84" t="n">
        <x:v>2023</x:v>
      </x:c>
      <x:c r="G136" s="84" t="n">
        <x:v>20</x:v>
      </x:c>
      <x:c r="H136" s="84" t="str">
        <x:v>Segunda</x:v>
      </x:c>
      <x:c r="I136" s="85" t="n">
        <x:v>1</x:v>
      </x:c>
    </x:row>
    <x:row r="137">
      <x:c r="A137" s="95" t="n">
        <x:v>45062</x:v>
      </x:c>
      <x:c r="B137" s="84" t="n">
        <x:v>16</x:v>
      </x:c>
      <x:c r="C137" s="84" t="n">
        <x:v>5</x:v>
      </x:c>
      <x:c r="D137" s="84" t="str">
        <x:v>Maio</x:v>
      </x:c>
      <x:c r="E137" s="84" t="n">
        <x:v>2</x:v>
      </x:c>
      <x:c r="F137" s="84" t="n">
        <x:v>2023</x:v>
      </x:c>
      <x:c r="G137" s="84" t="n">
        <x:v>20</x:v>
      </x:c>
      <x:c r="H137" s="84" t="str">
        <x:v>Terça</x:v>
      </x:c>
      <x:c r="I137" s="85" t="n">
        <x:v>1</x:v>
      </x:c>
    </x:row>
    <x:row r="138">
      <x:c r="A138" s="95" t="n">
        <x:v>45063</x:v>
      </x:c>
      <x:c r="B138" s="84" t="n">
        <x:v>17</x:v>
      </x:c>
      <x:c r="C138" s="84" t="n">
        <x:v>5</x:v>
      </x:c>
      <x:c r="D138" s="84" t="str">
        <x:v>Maio</x:v>
      </x:c>
      <x:c r="E138" s="84" t="n">
        <x:v>2</x:v>
      </x:c>
      <x:c r="F138" s="84" t="n">
        <x:v>2023</x:v>
      </x:c>
      <x:c r="G138" s="84" t="n">
        <x:v>20</x:v>
      </x:c>
      <x:c r="H138" s="84" t="str">
        <x:v>Quarta</x:v>
      </x:c>
      <x:c r="I138" s="85" t="n">
        <x:v>1</x:v>
      </x:c>
    </x:row>
    <x:row r="139">
      <x:c r="A139" s="95" t="n">
        <x:v>45064</x:v>
      </x:c>
      <x:c r="B139" s="84" t="n">
        <x:v>18</x:v>
      </x:c>
      <x:c r="C139" s="84" t="n">
        <x:v>5</x:v>
      </x:c>
      <x:c r="D139" s="84" t="str">
        <x:v>Maio</x:v>
      </x:c>
      <x:c r="E139" s="84" t="n">
        <x:v>2</x:v>
      </x:c>
      <x:c r="F139" s="84" t="n">
        <x:v>2023</x:v>
      </x:c>
      <x:c r="G139" s="84" t="n">
        <x:v>20</x:v>
      </x:c>
      <x:c r="H139" s="84" t="str">
        <x:v>Quinta</x:v>
      </x:c>
      <x:c r="I139" s="85" t="n">
        <x:v>1</x:v>
      </x:c>
    </x:row>
    <x:row r="140">
      <x:c r="A140" s="95" t="n">
        <x:v>45065</x:v>
      </x:c>
      <x:c r="B140" s="84" t="n">
        <x:v>19</x:v>
      </x:c>
      <x:c r="C140" s="84" t="n">
        <x:v>5</x:v>
      </x:c>
      <x:c r="D140" s="84" t="str">
        <x:v>Maio</x:v>
      </x:c>
      <x:c r="E140" s="84" t="n">
        <x:v>2</x:v>
      </x:c>
      <x:c r="F140" s="84" t="n">
        <x:v>2023</x:v>
      </x:c>
      <x:c r="G140" s="84" t="n">
        <x:v>20</x:v>
      </x:c>
      <x:c r="H140" s="84" t="str">
        <x:v>Sexta</x:v>
      </x:c>
      <x:c r="I140" s="85" t="n">
        <x:v>1</x:v>
      </x:c>
    </x:row>
    <x:row r="141">
      <x:c r="A141" s="95" t="n">
        <x:v>45066</x:v>
      </x:c>
      <x:c r="B141" s="84" t="n">
        <x:v>20</x:v>
      </x:c>
      <x:c r="C141" s="84" t="n">
        <x:v>5</x:v>
      </x:c>
      <x:c r="D141" s="84" t="str">
        <x:v>Maio</x:v>
      </x:c>
      <x:c r="E141" s="84" t="n">
        <x:v>2</x:v>
      </x:c>
      <x:c r="F141" s="84" t="n">
        <x:v>2023</x:v>
      </x:c>
      <x:c r="G141" s="84" t="n">
        <x:v>20</x:v>
      </x:c>
      <x:c r="H141" s="84" t="str">
        <x:v>Sábado</x:v>
      </x:c>
      <x:c r="I141" s="85" t="n">
        <x:v>0</x:v>
      </x:c>
    </x:row>
    <x:row r="142">
      <x:c r="A142" s="95" t="n">
        <x:v>45067</x:v>
      </x:c>
      <x:c r="B142" s="84" t="n">
        <x:v>21</x:v>
      </x:c>
      <x:c r="C142" s="84" t="n">
        <x:v>5</x:v>
      </x:c>
      <x:c r="D142" s="84" t="str">
        <x:v>Maio</x:v>
      </x:c>
      <x:c r="E142" s="84" t="n">
        <x:v>2</x:v>
      </x:c>
      <x:c r="F142" s="84" t="n">
        <x:v>2023</x:v>
      </x:c>
      <x:c r="G142" s="84" t="n">
        <x:v>20</x:v>
      </x:c>
      <x:c r="H142" s="84" t="str">
        <x:v>Domingo</x:v>
      </x:c>
      <x:c r="I142" s="85" t="n">
        <x:v>0</x:v>
      </x:c>
    </x:row>
    <x:row r="143">
      <x:c r="A143" s="95" t="n">
        <x:v>45068</x:v>
      </x:c>
      <x:c r="B143" s="84" t="n">
        <x:v>22</x:v>
      </x:c>
      <x:c r="C143" s="84" t="n">
        <x:v>5</x:v>
      </x:c>
      <x:c r="D143" s="84" t="str">
        <x:v>Maio</x:v>
      </x:c>
      <x:c r="E143" s="84" t="n">
        <x:v>2</x:v>
      </x:c>
      <x:c r="F143" s="84" t="n">
        <x:v>2023</x:v>
      </x:c>
      <x:c r="G143" s="84" t="n">
        <x:v>21</x:v>
      </x:c>
      <x:c r="H143" s="84" t="str">
        <x:v>Segunda</x:v>
      </x:c>
      <x:c r="I143" s="85" t="n">
        <x:v>1</x:v>
      </x:c>
    </x:row>
    <x:row r="144">
      <x:c r="A144" s="95" t="n">
        <x:v>45069</x:v>
      </x:c>
      <x:c r="B144" s="84" t="n">
        <x:v>23</x:v>
      </x:c>
      <x:c r="C144" s="84" t="n">
        <x:v>5</x:v>
      </x:c>
      <x:c r="D144" s="84" t="str">
        <x:v>Maio</x:v>
      </x:c>
      <x:c r="E144" s="84" t="n">
        <x:v>2</x:v>
      </x:c>
      <x:c r="F144" s="84" t="n">
        <x:v>2023</x:v>
      </x:c>
      <x:c r="G144" s="84" t="n">
        <x:v>21</x:v>
      </x:c>
      <x:c r="H144" s="84" t="str">
        <x:v>Terça</x:v>
      </x:c>
      <x:c r="I144" s="85" t="n">
        <x:v>1</x:v>
      </x:c>
    </x:row>
    <x:row r="145">
      <x:c r="A145" s="95" t="n">
        <x:v>45070</x:v>
      </x:c>
      <x:c r="B145" s="84" t="n">
        <x:v>24</x:v>
      </x:c>
      <x:c r="C145" s="84" t="n">
        <x:v>5</x:v>
      </x:c>
      <x:c r="D145" s="84" t="str">
        <x:v>Maio</x:v>
      </x:c>
      <x:c r="E145" s="84" t="n">
        <x:v>2</x:v>
      </x:c>
      <x:c r="F145" s="84" t="n">
        <x:v>2023</x:v>
      </x:c>
      <x:c r="G145" s="84" t="n">
        <x:v>21</x:v>
      </x:c>
      <x:c r="H145" s="84" t="str">
        <x:v>Quarta</x:v>
      </x:c>
      <x:c r="I145" s="85" t="n">
        <x:v>1</x:v>
      </x:c>
    </x:row>
    <x:row r="146">
      <x:c r="A146" s="95" t="n">
        <x:v>45071</x:v>
      </x:c>
      <x:c r="B146" s="84" t="n">
        <x:v>25</x:v>
      </x:c>
      <x:c r="C146" s="84" t="n">
        <x:v>5</x:v>
      </x:c>
      <x:c r="D146" s="84" t="str">
        <x:v>Maio</x:v>
      </x:c>
      <x:c r="E146" s="84" t="n">
        <x:v>2</x:v>
      </x:c>
      <x:c r="F146" s="84" t="n">
        <x:v>2023</x:v>
      </x:c>
      <x:c r="G146" s="84" t="n">
        <x:v>21</x:v>
      </x:c>
      <x:c r="H146" s="84" t="str">
        <x:v>Quinta</x:v>
      </x:c>
      <x:c r="I146" s="85" t="n">
        <x:v>1</x:v>
      </x:c>
    </x:row>
    <x:row r="147">
      <x:c r="A147" s="95" t="n">
        <x:v>45072</x:v>
      </x:c>
      <x:c r="B147" s="84" t="n">
        <x:v>26</x:v>
      </x:c>
      <x:c r="C147" s="84" t="n">
        <x:v>5</x:v>
      </x:c>
      <x:c r="D147" s="84" t="str">
        <x:v>Maio</x:v>
      </x:c>
      <x:c r="E147" s="84" t="n">
        <x:v>2</x:v>
      </x:c>
      <x:c r="F147" s="84" t="n">
        <x:v>2023</x:v>
      </x:c>
      <x:c r="G147" s="84" t="n">
        <x:v>21</x:v>
      </x:c>
      <x:c r="H147" s="84" t="str">
        <x:v>Sexta</x:v>
      </x:c>
      <x:c r="I147" s="85" t="n">
        <x:v>1</x:v>
      </x:c>
    </x:row>
    <x:row r="148">
      <x:c r="A148" s="95" t="n">
        <x:v>45073</x:v>
      </x:c>
      <x:c r="B148" s="84" t="n">
        <x:v>27</x:v>
      </x:c>
      <x:c r="C148" s="84" t="n">
        <x:v>5</x:v>
      </x:c>
      <x:c r="D148" s="84" t="str">
        <x:v>Maio</x:v>
      </x:c>
      <x:c r="E148" s="84" t="n">
        <x:v>2</x:v>
      </x:c>
      <x:c r="F148" s="84" t="n">
        <x:v>2023</x:v>
      </x:c>
      <x:c r="G148" s="84" t="n">
        <x:v>21</x:v>
      </x:c>
      <x:c r="H148" s="84" t="str">
        <x:v>Sábado</x:v>
      </x:c>
      <x:c r="I148" s="85" t="n">
        <x:v>0</x:v>
      </x:c>
    </x:row>
    <x:row r="149">
      <x:c r="A149" s="95" t="n">
        <x:v>45074</x:v>
      </x:c>
      <x:c r="B149" s="84" t="n">
        <x:v>28</x:v>
      </x:c>
      <x:c r="C149" s="84" t="n">
        <x:v>5</x:v>
      </x:c>
      <x:c r="D149" s="84" t="str">
        <x:v>Maio</x:v>
      </x:c>
      <x:c r="E149" s="84" t="n">
        <x:v>2</x:v>
      </x:c>
      <x:c r="F149" s="84" t="n">
        <x:v>2023</x:v>
      </x:c>
      <x:c r="G149" s="84" t="n">
        <x:v>21</x:v>
      </x:c>
      <x:c r="H149" s="84" t="str">
        <x:v>Domingo</x:v>
      </x:c>
      <x:c r="I149" s="85" t="n">
        <x:v>0</x:v>
      </x:c>
    </x:row>
    <x:row r="150">
      <x:c r="A150" s="95" t="n">
        <x:v>45075</x:v>
      </x:c>
      <x:c r="B150" s="84" t="n">
        <x:v>29</x:v>
      </x:c>
      <x:c r="C150" s="84" t="n">
        <x:v>5</x:v>
      </x:c>
      <x:c r="D150" s="84" t="str">
        <x:v>Maio</x:v>
      </x:c>
      <x:c r="E150" s="84" t="n">
        <x:v>2</x:v>
      </x:c>
      <x:c r="F150" s="84" t="n">
        <x:v>2023</x:v>
      </x:c>
      <x:c r="G150" s="84" t="n">
        <x:v>22</x:v>
      </x:c>
      <x:c r="H150" s="84" t="str">
        <x:v>Segunda</x:v>
      </x:c>
      <x:c r="I150" s="85" t="n">
        <x:v>1</x:v>
      </x:c>
    </x:row>
    <x:row r="151">
      <x:c r="A151" s="95" t="n">
        <x:v>45076</x:v>
      </x:c>
      <x:c r="B151" s="84" t="n">
        <x:v>30</x:v>
      </x:c>
      <x:c r="C151" s="84" t="n">
        <x:v>5</x:v>
      </x:c>
      <x:c r="D151" s="84" t="str">
        <x:v>Maio</x:v>
      </x:c>
      <x:c r="E151" s="84" t="n">
        <x:v>2</x:v>
      </x:c>
      <x:c r="F151" s="84" t="n">
        <x:v>2023</x:v>
      </x:c>
      <x:c r="G151" s="84" t="n">
        <x:v>22</x:v>
      </x:c>
      <x:c r="H151" s="84" t="str">
        <x:v>Terça</x:v>
      </x:c>
      <x:c r="I151" s="85" t="n">
        <x:v>1</x:v>
      </x:c>
    </x:row>
    <x:row r="152">
      <x:c r="A152" s="95" t="n">
        <x:v>45077</x:v>
      </x:c>
      <x:c r="B152" s="84" t="n">
        <x:v>31</x:v>
      </x:c>
      <x:c r="C152" s="84" t="n">
        <x:v>5</x:v>
      </x:c>
      <x:c r="D152" s="84" t="str">
        <x:v>Maio</x:v>
      </x:c>
      <x:c r="E152" s="84" t="n">
        <x:v>2</x:v>
      </x:c>
      <x:c r="F152" s="84" t="n">
        <x:v>2023</x:v>
      </x:c>
      <x:c r="G152" s="84" t="n">
        <x:v>22</x:v>
      </x:c>
      <x:c r="H152" s="84" t="str">
        <x:v>Quarta</x:v>
      </x:c>
      <x:c r="I152" s="85" t="n">
        <x:v>1</x:v>
      </x:c>
    </x:row>
    <x:row r="153">
      <x:c r="A153" s="95" t="n">
        <x:v>45078</x:v>
      </x:c>
      <x:c r="B153" s="84" t="n">
        <x:v>1</x:v>
      </x:c>
      <x:c r="C153" s="84" t="n">
        <x:v>6</x:v>
      </x:c>
      <x:c r="D153" s="84" t="str">
        <x:v>Junho</x:v>
      </x:c>
      <x:c r="E153" s="84" t="n">
        <x:v>2</x:v>
      </x:c>
      <x:c r="F153" s="84" t="n">
        <x:v>2023</x:v>
      </x:c>
      <x:c r="G153" s="84" t="n">
        <x:v>22</x:v>
      </x:c>
      <x:c r="H153" s="84" t="str">
        <x:v>Quinta</x:v>
      </x:c>
      <x:c r="I153" s="85" t="n">
        <x:v>1</x:v>
      </x:c>
    </x:row>
    <x:row r="154">
      <x:c r="A154" s="95" t="n">
        <x:v>45079</x:v>
      </x:c>
      <x:c r="B154" s="84" t="n">
        <x:v>2</x:v>
      </x:c>
      <x:c r="C154" s="84" t="n">
        <x:v>6</x:v>
      </x:c>
      <x:c r="D154" s="84" t="str">
        <x:v>Junho</x:v>
      </x:c>
      <x:c r="E154" s="84" t="n">
        <x:v>2</x:v>
      </x:c>
      <x:c r="F154" s="84" t="n">
        <x:v>2023</x:v>
      </x:c>
      <x:c r="G154" s="84" t="n">
        <x:v>22</x:v>
      </x:c>
      <x:c r="H154" s="84" t="str">
        <x:v>Sexta</x:v>
      </x:c>
      <x:c r="I154" s="85" t="n">
        <x:v>1</x:v>
      </x:c>
    </x:row>
    <x:row r="155">
      <x:c r="A155" s="95" t="n">
        <x:v>45080</x:v>
      </x:c>
      <x:c r="B155" s="84" t="n">
        <x:v>3</x:v>
      </x:c>
      <x:c r="C155" s="84" t="n">
        <x:v>6</x:v>
      </x:c>
      <x:c r="D155" s="84" t="str">
        <x:v>Junho</x:v>
      </x:c>
      <x:c r="E155" s="84" t="n">
        <x:v>2</x:v>
      </x:c>
      <x:c r="F155" s="84" t="n">
        <x:v>2023</x:v>
      </x:c>
      <x:c r="G155" s="84" t="n">
        <x:v>22</x:v>
      </x:c>
      <x:c r="H155" s="84" t="str">
        <x:v>Sábado</x:v>
      </x:c>
      <x:c r="I155" s="85" t="n">
        <x:v>0</x:v>
      </x:c>
    </x:row>
    <x:row r="156">
      <x:c r="A156" s="95" t="n">
        <x:v>45081</x:v>
      </x:c>
      <x:c r="B156" s="84" t="n">
        <x:v>4</x:v>
      </x:c>
      <x:c r="C156" s="84" t="n">
        <x:v>6</x:v>
      </x:c>
      <x:c r="D156" s="84" t="str">
        <x:v>Junho</x:v>
      </x:c>
      <x:c r="E156" s="84" t="n">
        <x:v>2</x:v>
      </x:c>
      <x:c r="F156" s="84" t="n">
        <x:v>2023</x:v>
      </x:c>
      <x:c r="G156" s="84" t="n">
        <x:v>22</x:v>
      </x:c>
      <x:c r="H156" s="84" t="str">
        <x:v>Domingo</x:v>
      </x:c>
      <x:c r="I156" s="85" t="n">
        <x:v>0</x:v>
      </x:c>
    </x:row>
    <x:row r="157">
      <x:c r="A157" s="95" t="n">
        <x:v>45082</x:v>
      </x:c>
      <x:c r="B157" s="84" t="n">
        <x:v>5</x:v>
      </x:c>
      <x:c r="C157" s="84" t="n">
        <x:v>6</x:v>
      </x:c>
      <x:c r="D157" s="84" t="str">
        <x:v>Junho</x:v>
      </x:c>
      <x:c r="E157" s="84" t="n">
        <x:v>2</x:v>
      </x:c>
      <x:c r="F157" s="84" t="n">
        <x:v>2023</x:v>
      </x:c>
      <x:c r="G157" s="84" t="n">
        <x:v>23</x:v>
      </x:c>
      <x:c r="H157" s="84" t="str">
        <x:v>Segunda</x:v>
      </x:c>
      <x:c r="I157" s="85" t="n">
        <x:v>1</x:v>
      </x:c>
    </x:row>
    <x:row r="158">
      <x:c r="A158" s="95" t="n">
        <x:v>45083</x:v>
      </x:c>
      <x:c r="B158" s="84" t="n">
        <x:v>6</x:v>
      </x:c>
      <x:c r="C158" s="84" t="n">
        <x:v>6</x:v>
      </x:c>
      <x:c r="D158" s="84" t="str">
        <x:v>Junho</x:v>
      </x:c>
      <x:c r="E158" s="84" t="n">
        <x:v>2</x:v>
      </x:c>
      <x:c r="F158" s="84" t="n">
        <x:v>2023</x:v>
      </x:c>
      <x:c r="G158" s="84" t="n">
        <x:v>23</x:v>
      </x:c>
      <x:c r="H158" s="84" t="str">
        <x:v>Terça</x:v>
      </x:c>
      <x:c r="I158" s="85" t="n">
        <x:v>1</x:v>
      </x:c>
    </x:row>
    <x:row r="159">
      <x:c r="A159" s="95" t="n">
        <x:v>45084</x:v>
      </x:c>
      <x:c r="B159" s="84" t="n">
        <x:v>7</x:v>
      </x:c>
      <x:c r="C159" s="84" t="n">
        <x:v>6</x:v>
      </x:c>
      <x:c r="D159" s="84" t="str">
        <x:v>Junho</x:v>
      </x:c>
      <x:c r="E159" s="84" t="n">
        <x:v>2</x:v>
      </x:c>
      <x:c r="F159" s="84" t="n">
        <x:v>2023</x:v>
      </x:c>
      <x:c r="G159" s="84" t="n">
        <x:v>23</x:v>
      </x:c>
      <x:c r="H159" s="84" t="str">
        <x:v>Quarta</x:v>
      </x:c>
      <x:c r="I159" s="85" t="n">
        <x:v>1</x:v>
      </x:c>
    </x:row>
    <x:row r="160">
      <x:c r="A160" s="95" t="n">
        <x:v>45085</x:v>
      </x:c>
      <x:c r="B160" s="84" t="n">
        <x:v>8</x:v>
      </x:c>
      <x:c r="C160" s="84" t="n">
        <x:v>6</x:v>
      </x:c>
      <x:c r="D160" s="84" t="str">
        <x:v>Junho</x:v>
      </x:c>
      <x:c r="E160" s="84" t="n">
        <x:v>2</x:v>
      </x:c>
      <x:c r="F160" s="84" t="n">
        <x:v>2023</x:v>
      </x:c>
      <x:c r="G160" s="84" t="n">
        <x:v>23</x:v>
      </x:c>
      <x:c r="H160" s="84" t="str">
        <x:v>Quinta</x:v>
      </x:c>
      <x:c r="I160" s="85" t="n">
        <x:v>1</x:v>
      </x:c>
    </x:row>
    <x:row r="161">
      <x:c r="A161" s="95" t="n">
        <x:v>45086</x:v>
      </x:c>
      <x:c r="B161" s="84" t="n">
        <x:v>9</x:v>
      </x:c>
      <x:c r="C161" s="84" t="n">
        <x:v>6</x:v>
      </x:c>
      <x:c r="D161" s="84" t="str">
        <x:v>Junho</x:v>
      </x:c>
      <x:c r="E161" s="84" t="n">
        <x:v>2</x:v>
      </x:c>
      <x:c r="F161" s="84" t="n">
        <x:v>2023</x:v>
      </x:c>
      <x:c r="G161" s="84" t="n">
        <x:v>23</x:v>
      </x:c>
      <x:c r="H161" s="84" t="str">
        <x:v>Sexta</x:v>
      </x:c>
      <x:c r="I161" s="85" t="n">
        <x:v>1</x:v>
      </x:c>
    </x:row>
    <x:row r="162">
      <x:c r="A162" s="95" t="n">
        <x:v>45087</x:v>
      </x:c>
      <x:c r="B162" s="84" t="n">
        <x:v>10</x:v>
      </x:c>
      <x:c r="C162" s="84" t="n">
        <x:v>6</x:v>
      </x:c>
      <x:c r="D162" s="84" t="str">
        <x:v>Junho</x:v>
      </x:c>
      <x:c r="E162" s="84" t="n">
        <x:v>2</x:v>
      </x:c>
      <x:c r="F162" s="84" t="n">
        <x:v>2023</x:v>
      </x:c>
      <x:c r="G162" s="84" t="n">
        <x:v>23</x:v>
      </x:c>
      <x:c r="H162" s="84" t="str">
        <x:v>Sábado</x:v>
      </x:c>
      <x:c r="I162" s="85" t="n">
        <x:v>0</x:v>
      </x:c>
    </x:row>
    <x:row r="163">
      <x:c r="A163" s="95" t="n">
        <x:v>45088</x:v>
      </x:c>
      <x:c r="B163" s="84" t="n">
        <x:v>11</x:v>
      </x:c>
      <x:c r="C163" s="84" t="n">
        <x:v>6</x:v>
      </x:c>
      <x:c r="D163" s="84" t="str">
        <x:v>Junho</x:v>
      </x:c>
      <x:c r="E163" s="84" t="n">
        <x:v>2</x:v>
      </x:c>
      <x:c r="F163" s="84" t="n">
        <x:v>2023</x:v>
      </x:c>
      <x:c r="G163" s="84" t="n">
        <x:v>23</x:v>
      </x:c>
      <x:c r="H163" s="84" t="str">
        <x:v>Domingo</x:v>
      </x:c>
      <x:c r="I163" s="85" t="n">
        <x:v>0</x:v>
      </x:c>
    </x:row>
    <x:row r="164">
      <x:c r="A164" s="95" t="n">
        <x:v>45089</x:v>
      </x:c>
      <x:c r="B164" s="84" t="n">
        <x:v>12</x:v>
      </x:c>
      <x:c r="C164" s="84" t="n">
        <x:v>6</x:v>
      </x:c>
      <x:c r="D164" s="84" t="str">
        <x:v>Junho</x:v>
      </x:c>
      <x:c r="E164" s="84" t="n">
        <x:v>2</x:v>
      </x:c>
      <x:c r="F164" s="84" t="n">
        <x:v>2023</x:v>
      </x:c>
      <x:c r="G164" s="84" t="n">
        <x:v>24</x:v>
      </x:c>
      <x:c r="H164" s="84" t="str">
        <x:v>Segunda</x:v>
      </x:c>
      <x:c r="I164" s="85" t="n">
        <x:v>1</x:v>
      </x:c>
    </x:row>
    <x:row r="165">
      <x:c r="A165" s="95" t="n">
        <x:v>45090</x:v>
      </x:c>
      <x:c r="B165" s="84" t="n">
        <x:v>13</x:v>
      </x:c>
      <x:c r="C165" s="84" t="n">
        <x:v>6</x:v>
      </x:c>
      <x:c r="D165" s="84" t="str">
        <x:v>Junho</x:v>
      </x:c>
      <x:c r="E165" s="84" t="n">
        <x:v>2</x:v>
      </x:c>
      <x:c r="F165" s="84" t="n">
        <x:v>2023</x:v>
      </x:c>
      <x:c r="G165" s="84" t="n">
        <x:v>24</x:v>
      </x:c>
      <x:c r="H165" s="84" t="str">
        <x:v>Terça</x:v>
      </x:c>
      <x:c r="I165" s="85" t="n">
        <x:v>1</x:v>
      </x:c>
    </x:row>
    <x:row r="166">
      <x:c r="A166" s="95" t="n">
        <x:v>45091</x:v>
      </x:c>
      <x:c r="B166" s="84" t="n">
        <x:v>14</x:v>
      </x:c>
      <x:c r="C166" s="84" t="n">
        <x:v>6</x:v>
      </x:c>
      <x:c r="D166" s="84" t="str">
        <x:v>Junho</x:v>
      </x:c>
      <x:c r="E166" s="84" t="n">
        <x:v>2</x:v>
      </x:c>
      <x:c r="F166" s="84" t="n">
        <x:v>2023</x:v>
      </x:c>
      <x:c r="G166" s="84" t="n">
        <x:v>24</x:v>
      </x:c>
      <x:c r="H166" s="84" t="str">
        <x:v>Quarta</x:v>
      </x:c>
      <x:c r="I166" s="85" t="n">
        <x:v>1</x:v>
      </x:c>
    </x:row>
    <x:row r="167">
      <x:c r="A167" s="95" t="n">
        <x:v>45092</x:v>
      </x:c>
      <x:c r="B167" s="84" t="n">
        <x:v>15</x:v>
      </x:c>
      <x:c r="C167" s="84" t="n">
        <x:v>6</x:v>
      </x:c>
      <x:c r="D167" s="84" t="str">
        <x:v>Junho</x:v>
      </x:c>
      <x:c r="E167" s="84" t="n">
        <x:v>2</x:v>
      </x:c>
      <x:c r="F167" s="84" t="n">
        <x:v>2023</x:v>
      </x:c>
      <x:c r="G167" s="84" t="n">
        <x:v>24</x:v>
      </x:c>
      <x:c r="H167" s="84" t="str">
        <x:v>Quinta</x:v>
      </x:c>
      <x:c r="I167" s="85" t="n">
        <x:v>1</x:v>
      </x:c>
    </x:row>
    <x:row r="168">
      <x:c r="A168" s="95" t="n">
        <x:v>45093</x:v>
      </x:c>
      <x:c r="B168" s="84" t="n">
        <x:v>16</x:v>
      </x:c>
      <x:c r="C168" s="84" t="n">
        <x:v>6</x:v>
      </x:c>
      <x:c r="D168" s="84" t="str">
        <x:v>Junho</x:v>
      </x:c>
      <x:c r="E168" s="84" t="n">
        <x:v>2</x:v>
      </x:c>
      <x:c r="F168" s="84" t="n">
        <x:v>2023</x:v>
      </x:c>
      <x:c r="G168" s="84" t="n">
        <x:v>24</x:v>
      </x:c>
      <x:c r="H168" s="84" t="str">
        <x:v>Sexta</x:v>
      </x:c>
      <x:c r="I168" s="85" t="n">
        <x:v>1</x:v>
      </x:c>
    </x:row>
    <x:row r="169">
      <x:c r="A169" s="95" t="n">
        <x:v>45094</x:v>
      </x:c>
      <x:c r="B169" s="84" t="n">
        <x:v>17</x:v>
      </x:c>
      <x:c r="C169" s="84" t="n">
        <x:v>6</x:v>
      </x:c>
      <x:c r="D169" s="84" t="str">
        <x:v>Junho</x:v>
      </x:c>
      <x:c r="E169" s="84" t="n">
        <x:v>2</x:v>
      </x:c>
      <x:c r="F169" s="84" t="n">
        <x:v>2023</x:v>
      </x:c>
      <x:c r="G169" s="84" t="n">
        <x:v>24</x:v>
      </x:c>
      <x:c r="H169" s="84" t="str">
        <x:v>Sábado</x:v>
      </x:c>
      <x:c r="I169" s="85" t="n">
        <x:v>0</x:v>
      </x:c>
    </x:row>
    <x:row r="170">
      <x:c r="A170" s="95" t="n">
        <x:v>45095</x:v>
      </x:c>
      <x:c r="B170" s="84" t="n">
        <x:v>18</x:v>
      </x:c>
      <x:c r="C170" s="84" t="n">
        <x:v>6</x:v>
      </x:c>
      <x:c r="D170" s="84" t="str">
        <x:v>Junho</x:v>
      </x:c>
      <x:c r="E170" s="84" t="n">
        <x:v>2</x:v>
      </x:c>
      <x:c r="F170" s="84" t="n">
        <x:v>2023</x:v>
      </x:c>
      <x:c r="G170" s="84" t="n">
        <x:v>24</x:v>
      </x:c>
      <x:c r="H170" s="84" t="str">
        <x:v>Domingo</x:v>
      </x:c>
      <x:c r="I170" s="85" t="n">
        <x:v>0</x:v>
      </x:c>
    </x:row>
    <x:row r="171">
      <x:c r="A171" s="95" t="n">
        <x:v>45096</x:v>
      </x:c>
      <x:c r="B171" s="84" t="n">
        <x:v>19</x:v>
      </x:c>
      <x:c r="C171" s="84" t="n">
        <x:v>6</x:v>
      </x:c>
      <x:c r="D171" s="84" t="str">
        <x:v>Junho</x:v>
      </x:c>
      <x:c r="E171" s="84" t="n">
        <x:v>2</x:v>
      </x:c>
      <x:c r="F171" s="84" t="n">
        <x:v>2023</x:v>
      </x:c>
      <x:c r="G171" s="84" t="n">
        <x:v>25</x:v>
      </x:c>
      <x:c r="H171" s="84" t="str">
        <x:v>Segunda</x:v>
      </x:c>
      <x:c r="I171" s="85" t="n">
        <x:v>1</x:v>
      </x:c>
    </x:row>
    <x:row r="172">
      <x:c r="A172" s="95" t="n">
        <x:v>45097</x:v>
      </x:c>
      <x:c r="B172" s="84" t="n">
        <x:v>20</x:v>
      </x:c>
      <x:c r="C172" s="84" t="n">
        <x:v>6</x:v>
      </x:c>
      <x:c r="D172" s="84" t="str">
        <x:v>Junho</x:v>
      </x:c>
      <x:c r="E172" s="84" t="n">
        <x:v>2</x:v>
      </x:c>
      <x:c r="F172" s="84" t="n">
        <x:v>2023</x:v>
      </x:c>
      <x:c r="G172" s="84" t="n">
        <x:v>25</x:v>
      </x:c>
      <x:c r="H172" s="84" t="str">
        <x:v>Terça</x:v>
      </x:c>
      <x:c r="I172" s="85" t="n">
        <x:v>1</x:v>
      </x:c>
    </x:row>
    <x:row r="173">
      <x:c r="A173" s="95" t="n">
        <x:v>45098</x:v>
      </x:c>
      <x:c r="B173" s="84" t="n">
        <x:v>21</x:v>
      </x:c>
      <x:c r="C173" s="84" t="n">
        <x:v>6</x:v>
      </x:c>
      <x:c r="D173" s="84" t="str">
        <x:v>Junho</x:v>
      </x:c>
      <x:c r="E173" s="84" t="n">
        <x:v>2</x:v>
      </x:c>
      <x:c r="F173" s="84" t="n">
        <x:v>2023</x:v>
      </x:c>
      <x:c r="G173" s="84" t="n">
        <x:v>25</x:v>
      </x:c>
      <x:c r="H173" s="84" t="str">
        <x:v>Quarta</x:v>
      </x:c>
      <x:c r="I173" s="85" t="n">
        <x:v>1</x:v>
      </x:c>
    </x:row>
    <x:row r="174">
      <x:c r="A174" s="95" t="n">
        <x:v>45099</x:v>
      </x:c>
      <x:c r="B174" s="84" t="n">
        <x:v>22</x:v>
      </x:c>
      <x:c r="C174" s="84" t="n">
        <x:v>6</x:v>
      </x:c>
      <x:c r="D174" s="84" t="str">
        <x:v>Junho</x:v>
      </x:c>
      <x:c r="E174" s="84" t="n">
        <x:v>2</x:v>
      </x:c>
      <x:c r="F174" s="84" t="n">
        <x:v>2023</x:v>
      </x:c>
      <x:c r="G174" s="84" t="n">
        <x:v>25</x:v>
      </x:c>
      <x:c r="H174" s="84" t="str">
        <x:v>Quinta</x:v>
      </x:c>
      <x:c r="I174" s="85" t="n">
        <x:v>1</x:v>
      </x:c>
    </x:row>
    <x:row r="175">
      <x:c r="A175" s="95" t="n">
        <x:v>45100</x:v>
      </x:c>
      <x:c r="B175" s="84" t="n">
        <x:v>23</x:v>
      </x:c>
      <x:c r="C175" s="84" t="n">
        <x:v>6</x:v>
      </x:c>
      <x:c r="D175" s="84" t="str">
        <x:v>Junho</x:v>
      </x:c>
      <x:c r="E175" s="84" t="n">
        <x:v>2</x:v>
      </x:c>
      <x:c r="F175" s="84" t="n">
        <x:v>2023</x:v>
      </x:c>
      <x:c r="G175" s="84" t="n">
        <x:v>25</x:v>
      </x:c>
      <x:c r="H175" s="84" t="str">
        <x:v>Sexta</x:v>
      </x:c>
      <x:c r="I175" s="85" t="n">
        <x:v>1</x:v>
      </x:c>
    </x:row>
    <x:row r="176">
      <x:c r="A176" s="95" t="n">
        <x:v>45101</x:v>
      </x:c>
      <x:c r="B176" s="84" t="n">
        <x:v>24</x:v>
      </x:c>
      <x:c r="C176" s="84" t="n">
        <x:v>6</x:v>
      </x:c>
      <x:c r="D176" s="84" t="str">
        <x:v>Junho</x:v>
      </x:c>
      <x:c r="E176" s="84" t="n">
        <x:v>2</x:v>
      </x:c>
      <x:c r="F176" s="84" t="n">
        <x:v>2023</x:v>
      </x:c>
      <x:c r="G176" s="84" t="n">
        <x:v>25</x:v>
      </x:c>
      <x:c r="H176" s="84" t="str">
        <x:v>Sábado</x:v>
      </x:c>
      <x:c r="I176" s="85" t="n">
        <x:v>0</x:v>
      </x:c>
    </x:row>
    <x:row r="177">
      <x:c r="A177" s="95" t="n">
        <x:v>45102</x:v>
      </x:c>
      <x:c r="B177" s="84" t="n">
        <x:v>25</x:v>
      </x:c>
      <x:c r="C177" s="84" t="n">
        <x:v>6</x:v>
      </x:c>
      <x:c r="D177" s="84" t="str">
        <x:v>Junho</x:v>
      </x:c>
      <x:c r="E177" s="84" t="n">
        <x:v>2</x:v>
      </x:c>
      <x:c r="F177" s="84" t="n">
        <x:v>2023</x:v>
      </x:c>
      <x:c r="G177" s="84" t="n">
        <x:v>25</x:v>
      </x:c>
      <x:c r="H177" s="84" t="str">
        <x:v>Domingo</x:v>
      </x:c>
      <x:c r="I177" s="85" t="n">
        <x:v>0</x:v>
      </x:c>
    </x:row>
    <x:row r="178">
      <x:c r="A178" s="95" t="n">
        <x:v>45103</x:v>
      </x:c>
      <x:c r="B178" s="84" t="n">
        <x:v>26</x:v>
      </x:c>
      <x:c r="C178" s="84" t="n">
        <x:v>6</x:v>
      </x:c>
      <x:c r="D178" s="84" t="str">
        <x:v>Junho</x:v>
      </x:c>
      <x:c r="E178" s="84" t="n">
        <x:v>2</x:v>
      </x:c>
      <x:c r="F178" s="84" t="n">
        <x:v>2023</x:v>
      </x:c>
      <x:c r="G178" s="84" t="n">
        <x:v>26</x:v>
      </x:c>
      <x:c r="H178" s="84" t="str">
        <x:v>Segunda</x:v>
      </x:c>
      <x:c r="I178" s="85" t="n">
        <x:v>1</x:v>
      </x:c>
    </x:row>
    <x:row r="179">
      <x:c r="A179" s="95" t="n">
        <x:v>45104</x:v>
      </x:c>
      <x:c r="B179" s="84" t="n">
        <x:v>27</x:v>
      </x:c>
      <x:c r="C179" s="84" t="n">
        <x:v>6</x:v>
      </x:c>
      <x:c r="D179" s="84" t="str">
        <x:v>Junho</x:v>
      </x:c>
      <x:c r="E179" s="84" t="n">
        <x:v>2</x:v>
      </x:c>
      <x:c r="F179" s="84" t="n">
        <x:v>2023</x:v>
      </x:c>
      <x:c r="G179" s="84" t="n">
        <x:v>26</x:v>
      </x:c>
      <x:c r="H179" s="84" t="str">
        <x:v>Terça</x:v>
      </x:c>
      <x:c r="I179" s="85" t="n">
        <x:v>1</x:v>
      </x:c>
    </x:row>
    <x:row r="180">
      <x:c r="A180" s="95" t="n">
        <x:v>45105</x:v>
      </x:c>
      <x:c r="B180" s="84" t="n">
        <x:v>28</x:v>
      </x:c>
      <x:c r="C180" s="84" t="n">
        <x:v>6</x:v>
      </x:c>
      <x:c r="D180" s="84" t="str">
        <x:v>Junho</x:v>
      </x:c>
      <x:c r="E180" s="84" t="n">
        <x:v>2</x:v>
      </x:c>
      <x:c r="F180" s="84" t="n">
        <x:v>2023</x:v>
      </x:c>
      <x:c r="G180" s="84" t="n">
        <x:v>26</x:v>
      </x:c>
      <x:c r="H180" s="84" t="str">
        <x:v>Quarta</x:v>
      </x:c>
      <x:c r="I180" s="85" t="n">
        <x:v>1</x:v>
      </x:c>
    </x:row>
    <x:row r="181">
      <x:c r="A181" s="95" t="n">
        <x:v>45106</x:v>
      </x:c>
      <x:c r="B181" s="84" t="n">
        <x:v>29</x:v>
      </x:c>
      <x:c r="C181" s="84" t="n">
        <x:v>6</x:v>
      </x:c>
      <x:c r="D181" s="84" t="str">
        <x:v>Junho</x:v>
      </x:c>
      <x:c r="E181" s="84" t="n">
        <x:v>2</x:v>
      </x:c>
      <x:c r="F181" s="84" t="n">
        <x:v>2023</x:v>
      </x:c>
      <x:c r="G181" s="84" t="n">
        <x:v>26</x:v>
      </x:c>
      <x:c r="H181" s="84" t="str">
        <x:v>Quinta</x:v>
      </x:c>
      <x:c r="I181" s="85" t="n">
        <x:v>1</x:v>
      </x:c>
    </x:row>
    <x:row r="182">
      <x:c r="A182" s="95" t="n">
        <x:v>45107</x:v>
      </x:c>
      <x:c r="B182" s="84" t="n">
        <x:v>30</x:v>
      </x:c>
      <x:c r="C182" s="84" t="n">
        <x:v>6</x:v>
      </x:c>
      <x:c r="D182" s="84" t="str">
        <x:v>Junho</x:v>
      </x:c>
      <x:c r="E182" s="84" t="n">
        <x:v>2</x:v>
      </x:c>
      <x:c r="F182" s="84" t="n">
        <x:v>2023</x:v>
      </x:c>
      <x:c r="G182" s="84" t="n">
        <x:v>26</x:v>
      </x:c>
      <x:c r="H182" s="84" t="str">
        <x:v>Sexta</x:v>
      </x:c>
      <x:c r="I182" s="85" t="n">
        <x:v>1</x:v>
      </x:c>
    </x:row>
    <x:row r="183">
      <x:c r="A183" s="95" t="n">
        <x:v>45108</x:v>
      </x:c>
      <x:c r="B183" s="84" t="n">
        <x:v>1</x:v>
      </x:c>
      <x:c r="C183" s="84" t="n">
        <x:v>7</x:v>
      </x:c>
      <x:c r="D183" s="84" t="str">
        <x:v>Julho</x:v>
      </x:c>
      <x:c r="E183" s="84" t="n">
        <x:v>3</x:v>
      </x:c>
      <x:c r="F183" s="84" t="n">
        <x:v>2023</x:v>
      </x:c>
      <x:c r="G183" s="84" t="n">
        <x:v>26</x:v>
      </x:c>
      <x:c r="H183" s="84" t="str">
        <x:v>Sábado</x:v>
      </x:c>
      <x:c r="I183" s="85" t="n">
        <x:v>0</x:v>
      </x:c>
    </x:row>
    <x:row r="184">
      <x:c r="A184" s="95" t="n">
        <x:v>45109</x:v>
      </x:c>
      <x:c r="B184" s="84" t="n">
        <x:v>2</x:v>
      </x:c>
      <x:c r="C184" s="84" t="n">
        <x:v>7</x:v>
      </x:c>
      <x:c r="D184" s="84" t="str">
        <x:v>Julho</x:v>
      </x:c>
      <x:c r="E184" s="84" t="n">
        <x:v>3</x:v>
      </x:c>
      <x:c r="F184" s="84" t="n">
        <x:v>2023</x:v>
      </x:c>
      <x:c r="G184" s="84" t="n">
        <x:v>26</x:v>
      </x:c>
      <x:c r="H184" s="84" t="str">
        <x:v>Domingo</x:v>
      </x:c>
      <x:c r="I184" s="85" t="n">
        <x:v>0</x:v>
      </x:c>
    </x:row>
    <x:row r="185">
      <x:c r="A185" s="95" t="n">
        <x:v>45110</x:v>
      </x:c>
      <x:c r="B185" s="84" t="n">
        <x:v>3</x:v>
      </x:c>
      <x:c r="C185" s="84" t="n">
        <x:v>7</x:v>
      </x:c>
      <x:c r="D185" s="84" t="str">
        <x:v>Julho</x:v>
      </x:c>
      <x:c r="E185" s="84" t="n">
        <x:v>3</x:v>
      </x:c>
      <x:c r="F185" s="84" t="n">
        <x:v>2023</x:v>
      </x:c>
      <x:c r="G185" s="84" t="n">
        <x:v>27</x:v>
      </x:c>
      <x:c r="H185" s="84" t="str">
        <x:v>Segunda</x:v>
      </x:c>
      <x:c r="I185" s="85" t="n">
        <x:v>1</x:v>
      </x:c>
    </x:row>
    <x:row r="186">
      <x:c r="A186" s="95" t="n">
        <x:v>45111</x:v>
      </x:c>
      <x:c r="B186" s="84" t="n">
        <x:v>4</x:v>
      </x:c>
      <x:c r="C186" s="84" t="n">
        <x:v>7</x:v>
      </x:c>
      <x:c r="D186" s="84" t="str">
        <x:v>Julho</x:v>
      </x:c>
      <x:c r="E186" s="84" t="n">
        <x:v>3</x:v>
      </x:c>
      <x:c r="F186" s="84" t="n">
        <x:v>2023</x:v>
      </x:c>
      <x:c r="G186" s="84" t="n">
        <x:v>27</x:v>
      </x:c>
      <x:c r="H186" s="84" t="str">
        <x:v>Terça</x:v>
      </x:c>
      <x:c r="I186" s="85" t="n">
        <x:v>1</x:v>
      </x:c>
    </x:row>
    <x:row r="187">
      <x:c r="A187" s="95" t="n">
        <x:v>45112</x:v>
      </x:c>
      <x:c r="B187" s="84" t="n">
        <x:v>5</x:v>
      </x:c>
      <x:c r="C187" s="84" t="n">
        <x:v>7</x:v>
      </x:c>
      <x:c r="D187" s="84" t="str">
        <x:v>Julho</x:v>
      </x:c>
      <x:c r="E187" s="84" t="n">
        <x:v>3</x:v>
      </x:c>
      <x:c r="F187" s="84" t="n">
        <x:v>2023</x:v>
      </x:c>
      <x:c r="G187" s="84" t="n">
        <x:v>27</x:v>
      </x:c>
      <x:c r="H187" s="84" t="str">
        <x:v>Quarta</x:v>
      </x:c>
      <x:c r="I187" s="85" t="n">
        <x:v>1</x:v>
      </x:c>
    </x:row>
    <x:row r="188">
      <x:c r="A188" s="95" t="n">
        <x:v>45113</x:v>
      </x:c>
      <x:c r="B188" s="84" t="n">
        <x:v>6</x:v>
      </x:c>
      <x:c r="C188" s="84" t="n">
        <x:v>7</x:v>
      </x:c>
      <x:c r="D188" s="84" t="str">
        <x:v>Julho</x:v>
      </x:c>
      <x:c r="E188" s="84" t="n">
        <x:v>3</x:v>
      </x:c>
      <x:c r="F188" s="84" t="n">
        <x:v>2023</x:v>
      </x:c>
      <x:c r="G188" s="84" t="n">
        <x:v>27</x:v>
      </x:c>
      <x:c r="H188" s="84" t="str">
        <x:v>Quinta</x:v>
      </x:c>
      <x:c r="I188" s="85" t="n">
        <x:v>1</x:v>
      </x:c>
    </x:row>
    <x:row r="189">
      <x:c r="A189" s="95" t="n">
        <x:v>45114</x:v>
      </x:c>
      <x:c r="B189" s="84" t="n">
        <x:v>7</x:v>
      </x:c>
      <x:c r="C189" s="84" t="n">
        <x:v>7</x:v>
      </x:c>
      <x:c r="D189" s="84" t="str">
        <x:v>Julho</x:v>
      </x:c>
      <x:c r="E189" s="84" t="n">
        <x:v>3</x:v>
      </x:c>
      <x:c r="F189" s="84" t="n">
        <x:v>2023</x:v>
      </x:c>
      <x:c r="G189" s="84" t="n">
        <x:v>27</x:v>
      </x:c>
      <x:c r="H189" s="84" t="str">
        <x:v>Sexta</x:v>
      </x:c>
      <x:c r="I189" s="85" t="n">
        <x:v>1</x:v>
      </x:c>
    </x:row>
    <x:row r="190">
      <x:c r="A190" s="95" t="n">
        <x:v>45115</x:v>
      </x:c>
      <x:c r="B190" s="84" t="n">
        <x:v>8</x:v>
      </x:c>
      <x:c r="C190" s="84" t="n">
        <x:v>7</x:v>
      </x:c>
      <x:c r="D190" s="84" t="str">
        <x:v>Julho</x:v>
      </x:c>
      <x:c r="E190" s="84" t="n">
        <x:v>3</x:v>
      </x:c>
      <x:c r="F190" s="84" t="n">
        <x:v>2023</x:v>
      </x:c>
      <x:c r="G190" s="84" t="n">
        <x:v>27</x:v>
      </x:c>
      <x:c r="H190" s="84" t="str">
        <x:v>Sábado</x:v>
      </x:c>
      <x:c r="I190" s="85" t="n">
        <x:v>0</x:v>
      </x:c>
    </x:row>
    <x:row r="191">
      <x:c r="A191" s="95" t="n">
        <x:v>45116</x:v>
      </x:c>
      <x:c r="B191" s="84" t="n">
        <x:v>9</x:v>
      </x:c>
      <x:c r="C191" s="84" t="n">
        <x:v>7</x:v>
      </x:c>
      <x:c r="D191" s="84" t="str">
        <x:v>Julho</x:v>
      </x:c>
      <x:c r="E191" s="84" t="n">
        <x:v>3</x:v>
      </x:c>
      <x:c r="F191" s="84" t="n">
        <x:v>2023</x:v>
      </x:c>
      <x:c r="G191" s="84" t="n">
        <x:v>27</x:v>
      </x:c>
      <x:c r="H191" s="84" t="str">
        <x:v>Domingo</x:v>
      </x:c>
      <x:c r="I191" s="85" t="n">
        <x:v>0</x:v>
      </x:c>
    </x:row>
    <x:row r="192">
      <x:c r="A192" s="95" t="n">
        <x:v>45117</x:v>
      </x:c>
      <x:c r="B192" s="84" t="n">
        <x:v>10</x:v>
      </x:c>
      <x:c r="C192" s="84" t="n">
        <x:v>7</x:v>
      </x:c>
      <x:c r="D192" s="84" t="str">
        <x:v>Julho</x:v>
      </x:c>
      <x:c r="E192" s="84" t="n">
        <x:v>3</x:v>
      </x:c>
      <x:c r="F192" s="84" t="n">
        <x:v>2023</x:v>
      </x:c>
      <x:c r="G192" s="84" t="n">
        <x:v>28</x:v>
      </x:c>
      <x:c r="H192" s="84" t="str">
        <x:v>Segunda</x:v>
      </x:c>
      <x:c r="I192" s="85" t="n">
        <x:v>1</x:v>
      </x:c>
    </x:row>
    <x:row r="193">
      <x:c r="A193" s="95" t="n">
        <x:v>45118</x:v>
      </x:c>
      <x:c r="B193" s="84" t="n">
        <x:v>11</x:v>
      </x:c>
      <x:c r="C193" s="84" t="n">
        <x:v>7</x:v>
      </x:c>
      <x:c r="D193" s="84" t="str">
        <x:v>Julho</x:v>
      </x:c>
      <x:c r="E193" s="84" t="n">
        <x:v>3</x:v>
      </x:c>
      <x:c r="F193" s="84" t="n">
        <x:v>2023</x:v>
      </x:c>
      <x:c r="G193" s="84" t="n">
        <x:v>28</x:v>
      </x:c>
      <x:c r="H193" s="84" t="str">
        <x:v>Terça</x:v>
      </x:c>
      <x:c r="I193" s="85" t="n">
        <x:v>1</x:v>
      </x:c>
    </x:row>
    <x:row r="194">
      <x:c r="A194" s="95" t="n">
        <x:v>45119</x:v>
      </x:c>
      <x:c r="B194" s="84" t="n">
        <x:v>12</x:v>
      </x:c>
      <x:c r="C194" s="84" t="n">
        <x:v>7</x:v>
      </x:c>
      <x:c r="D194" s="84" t="str">
        <x:v>Julho</x:v>
      </x:c>
      <x:c r="E194" s="84" t="n">
        <x:v>3</x:v>
      </x:c>
      <x:c r="F194" s="84" t="n">
        <x:v>2023</x:v>
      </x:c>
      <x:c r="G194" s="84" t="n">
        <x:v>28</x:v>
      </x:c>
      <x:c r="H194" s="84" t="str">
        <x:v>Quarta</x:v>
      </x:c>
      <x:c r="I194" s="85" t="n">
        <x:v>1</x:v>
      </x:c>
    </x:row>
    <x:row r="195">
      <x:c r="A195" s="95" t="n">
        <x:v>45120</x:v>
      </x:c>
      <x:c r="B195" s="84" t="n">
        <x:v>13</x:v>
      </x:c>
      <x:c r="C195" s="84" t="n">
        <x:v>7</x:v>
      </x:c>
      <x:c r="D195" s="84" t="str">
        <x:v>Julho</x:v>
      </x:c>
      <x:c r="E195" s="84" t="n">
        <x:v>3</x:v>
      </x:c>
      <x:c r="F195" s="84" t="n">
        <x:v>2023</x:v>
      </x:c>
      <x:c r="G195" s="84" t="n">
        <x:v>28</x:v>
      </x:c>
      <x:c r="H195" s="84" t="str">
        <x:v>Quinta</x:v>
      </x:c>
      <x:c r="I195" s="85" t="n">
        <x:v>1</x:v>
      </x:c>
    </x:row>
    <x:row r="196">
      <x:c r="A196" s="95" t="n">
        <x:v>45121</x:v>
      </x:c>
      <x:c r="B196" s="84" t="n">
        <x:v>14</x:v>
      </x:c>
      <x:c r="C196" s="84" t="n">
        <x:v>7</x:v>
      </x:c>
      <x:c r="D196" s="84" t="str">
        <x:v>Julho</x:v>
      </x:c>
      <x:c r="E196" s="84" t="n">
        <x:v>3</x:v>
      </x:c>
      <x:c r="F196" s="84" t="n">
        <x:v>2023</x:v>
      </x:c>
      <x:c r="G196" s="84" t="n">
        <x:v>28</x:v>
      </x:c>
      <x:c r="H196" s="84" t="str">
        <x:v>Sexta</x:v>
      </x:c>
      <x:c r="I196" s="85" t="n">
        <x:v>1</x:v>
      </x:c>
    </x:row>
    <x:row r="197">
      <x:c r="A197" s="95" t="n">
        <x:v>45122</x:v>
      </x:c>
      <x:c r="B197" s="84" t="n">
        <x:v>15</x:v>
      </x:c>
      <x:c r="C197" s="84" t="n">
        <x:v>7</x:v>
      </x:c>
      <x:c r="D197" s="84" t="str">
        <x:v>Julho</x:v>
      </x:c>
      <x:c r="E197" s="84" t="n">
        <x:v>3</x:v>
      </x:c>
      <x:c r="F197" s="84" t="n">
        <x:v>2023</x:v>
      </x:c>
      <x:c r="G197" s="84" t="n">
        <x:v>28</x:v>
      </x:c>
      <x:c r="H197" s="84" t="str">
        <x:v>Sábado</x:v>
      </x:c>
      <x:c r="I197" s="85" t="n">
        <x:v>0</x:v>
      </x:c>
    </x:row>
    <x:row r="198">
      <x:c r="A198" s="95" t="n">
        <x:v>45123</x:v>
      </x:c>
      <x:c r="B198" s="84" t="n">
        <x:v>16</x:v>
      </x:c>
      <x:c r="C198" s="84" t="n">
        <x:v>7</x:v>
      </x:c>
      <x:c r="D198" s="84" t="str">
        <x:v>Julho</x:v>
      </x:c>
      <x:c r="E198" s="84" t="n">
        <x:v>3</x:v>
      </x:c>
      <x:c r="F198" s="84" t="n">
        <x:v>2023</x:v>
      </x:c>
      <x:c r="G198" s="84" t="n">
        <x:v>28</x:v>
      </x:c>
      <x:c r="H198" s="84" t="str">
        <x:v>Domingo</x:v>
      </x:c>
      <x:c r="I198" s="85" t="n">
        <x:v>0</x:v>
      </x:c>
    </x:row>
    <x:row r="199">
      <x:c r="A199" s="95" t="n">
        <x:v>45124</x:v>
      </x:c>
      <x:c r="B199" s="84" t="n">
        <x:v>17</x:v>
      </x:c>
      <x:c r="C199" s="84" t="n">
        <x:v>7</x:v>
      </x:c>
      <x:c r="D199" s="84" t="str">
        <x:v>Julho</x:v>
      </x:c>
      <x:c r="E199" s="84" t="n">
        <x:v>3</x:v>
      </x:c>
      <x:c r="F199" s="84" t="n">
        <x:v>2023</x:v>
      </x:c>
      <x:c r="G199" s="84" t="n">
        <x:v>29</x:v>
      </x:c>
      <x:c r="H199" s="84" t="str">
        <x:v>Segunda</x:v>
      </x:c>
      <x:c r="I199" s="85" t="n">
        <x:v>1</x:v>
      </x:c>
    </x:row>
    <x:row r="200">
      <x:c r="A200" s="95" t="n">
        <x:v>45125</x:v>
      </x:c>
      <x:c r="B200" s="84" t="n">
        <x:v>18</x:v>
      </x:c>
      <x:c r="C200" s="84" t="n">
        <x:v>7</x:v>
      </x:c>
      <x:c r="D200" s="84" t="str">
        <x:v>Julho</x:v>
      </x:c>
      <x:c r="E200" s="84" t="n">
        <x:v>3</x:v>
      </x:c>
      <x:c r="F200" s="84" t="n">
        <x:v>2023</x:v>
      </x:c>
      <x:c r="G200" s="84" t="n">
        <x:v>29</x:v>
      </x:c>
      <x:c r="H200" s="84" t="str">
        <x:v>Terça</x:v>
      </x:c>
      <x:c r="I200" s="85" t="n">
        <x:v>1</x:v>
      </x:c>
    </x:row>
    <x:row r="201">
      <x:c r="A201" s="95" t="n">
        <x:v>45126</x:v>
      </x:c>
      <x:c r="B201" s="84" t="n">
        <x:v>19</x:v>
      </x:c>
      <x:c r="C201" s="84" t="n">
        <x:v>7</x:v>
      </x:c>
      <x:c r="D201" s="84" t="str">
        <x:v>Julho</x:v>
      </x:c>
      <x:c r="E201" s="84" t="n">
        <x:v>3</x:v>
      </x:c>
      <x:c r="F201" s="84" t="n">
        <x:v>2023</x:v>
      </x:c>
      <x:c r="G201" s="84" t="n">
        <x:v>29</x:v>
      </x:c>
      <x:c r="H201" s="84" t="str">
        <x:v>Quarta</x:v>
      </x:c>
      <x:c r="I201" s="85" t="n">
        <x:v>1</x:v>
      </x:c>
    </x:row>
    <x:row r="202">
      <x:c r="A202" s="95" t="n">
        <x:v>45127</x:v>
      </x:c>
      <x:c r="B202" s="84" t="n">
        <x:v>20</x:v>
      </x:c>
      <x:c r="C202" s="84" t="n">
        <x:v>7</x:v>
      </x:c>
      <x:c r="D202" s="84" t="str">
        <x:v>Julho</x:v>
      </x:c>
      <x:c r="E202" s="84" t="n">
        <x:v>3</x:v>
      </x:c>
      <x:c r="F202" s="84" t="n">
        <x:v>2023</x:v>
      </x:c>
      <x:c r="G202" s="84" t="n">
        <x:v>29</x:v>
      </x:c>
      <x:c r="H202" s="84" t="str">
        <x:v>Quinta</x:v>
      </x:c>
      <x:c r="I202" s="85" t="n">
        <x:v>1</x:v>
      </x:c>
    </x:row>
    <x:row r="203">
      <x:c r="A203" s="95" t="n">
        <x:v>45128</x:v>
      </x:c>
      <x:c r="B203" s="84" t="n">
        <x:v>21</x:v>
      </x:c>
      <x:c r="C203" s="84" t="n">
        <x:v>7</x:v>
      </x:c>
      <x:c r="D203" s="84" t="str">
        <x:v>Julho</x:v>
      </x:c>
      <x:c r="E203" s="84" t="n">
        <x:v>3</x:v>
      </x:c>
      <x:c r="F203" s="84" t="n">
        <x:v>2023</x:v>
      </x:c>
      <x:c r="G203" s="84" t="n">
        <x:v>29</x:v>
      </x:c>
      <x:c r="H203" s="84" t="str">
        <x:v>Sexta</x:v>
      </x:c>
      <x:c r="I203" s="85" t="n">
        <x:v>1</x:v>
      </x:c>
    </x:row>
    <x:row r="204">
      <x:c r="A204" s="95" t="n">
        <x:v>45129</x:v>
      </x:c>
      <x:c r="B204" s="84" t="n">
        <x:v>22</x:v>
      </x:c>
      <x:c r="C204" s="84" t="n">
        <x:v>7</x:v>
      </x:c>
      <x:c r="D204" s="84" t="str">
        <x:v>Julho</x:v>
      </x:c>
      <x:c r="E204" s="84" t="n">
        <x:v>3</x:v>
      </x:c>
      <x:c r="F204" s="84" t="n">
        <x:v>2023</x:v>
      </x:c>
      <x:c r="G204" s="84" t="n">
        <x:v>29</x:v>
      </x:c>
      <x:c r="H204" s="84" t="str">
        <x:v>Sábado</x:v>
      </x:c>
      <x:c r="I204" s="85" t="n">
        <x:v>0</x:v>
      </x:c>
    </x:row>
    <x:row r="205">
      <x:c r="A205" s="95" t="n">
        <x:v>45130</x:v>
      </x:c>
      <x:c r="B205" s="84" t="n">
        <x:v>23</x:v>
      </x:c>
      <x:c r="C205" s="84" t="n">
        <x:v>7</x:v>
      </x:c>
      <x:c r="D205" s="84" t="str">
        <x:v>Julho</x:v>
      </x:c>
      <x:c r="E205" s="84" t="n">
        <x:v>3</x:v>
      </x:c>
      <x:c r="F205" s="84" t="n">
        <x:v>2023</x:v>
      </x:c>
      <x:c r="G205" s="84" t="n">
        <x:v>29</x:v>
      </x:c>
      <x:c r="H205" s="84" t="str">
        <x:v>Domingo</x:v>
      </x:c>
      <x:c r="I205" s="85" t="n">
        <x:v>0</x:v>
      </x:c>
    </x:row>
    <x:row r="206">
      <x:c r="A206" s="95" t="n">
        <x:v>45131</x:v>
      </x:c>
      <x:c r="B206" s="84" t="n">
        <x:v>24</x:v>
      </x:c>
      <x:c r="C206" s="84" t="n">
        <x:v>7</x:v>
      </x:c>
      <x:c r="D206" s="84" t="str">
        <x:v>Julho</x:v>
      </x:c>
      <x:c r="E206" s="84" t="n">
        <x:v>3</x:v>
      </x:c>
      <x:c r="F206" s="84" t="n">
        <x:v>2023</x:v>
      </x:c>
      <x:c r="G206" s="84" t="n">
        <x:v>30</x:v>
      </x:c>
      <x:c r="H206" s="84" t="str">
        <x:v>Segunda</x:v>
      </x:c>
      <x:c r="I206" s="85" t="n">
        <x:v>1</x:v>
      </x:c>
    </x:row>
    <x:row r="207">
      <x:c r="A207" s="95" t="n">
        <x:v>45132</x:v>
      </x:c>
      <x:c r="B207" s="84" t="n">
        <x:v>25</x:v>
      </x:c>
      <x:c r="C207" s="84" t="n">
        <x:v>7</x:v>
      </x:c>
      <x:c r="D207" s="84" t="str">
        <x:v>Julho</x:v>
      </x:c>
      <x:c r="E207" s="84" t="n">
        <x:v>3</x:v>
      </x:c>
      <x:c r="F207" s="84" t="n">
        <x:v>2023</x:v>
      </x:c>
      <x:c r="G207" s="84" t="n">
        <x:v>30</x:v>
      </x:c>
      <x:c r="H207" s="84" t="str">
        <x:v>Terça</x:v>
      </x:c>
      <x:c r="I207" s="85" t="n">
        <x:v>1</x:v>
      </x:c>
    </x:row>
    <x:row r="208">
      <x:c r="A208" s="95" t="n">
        <x:v>45133</x:v>
      </x:c>
      <x:c r="B208" s="84" t="n">
        <x:v>26</x:v>
      </x:c>
      <x:c r="C208" s="84" t="n">
        <x:v>7</x:v>
      </x:c>
      <x:c r="D208" s="84" t="str">
        <x:v>Julho</x:v>
      </x:c>
      <x:c r="E208" s="84" t="n">
        <x:v>3</x:v>
      </x:c>
      <x:c r="F208" s="84" t="n">
        <x:v>2023</x:v>
      </x:c>
      <x:c r="G208" s="84" t="n">
        <x:v>30</x:v>
      </x:c>
      <x:c r="H208" s="84" t="str">
        <x:v>Quarta</x:v>
      </x:c>
      <x:c r="I208" s="85" t="n">
        <x:v>1</x:v>
      </x:c>
    </x:row>
    <x:row r="209">
      <x:c r="A209" s="95" t="n">
        <x:v>45134</x:v>
      </x:c>
      <x:c r="B209" s="84" t="n">
        <x:v>27</x:v>
      </x:c>
      <x:c r="C209" s="84" t="n">
        <x:v>7</x:v>
      </x:c>
      <x:c r="D209" s="84" t="str">
        <x:v>Julho</x:v>
      </x:c>
      <x:c r="E209" s="84" t="n">
        <x:v>3</x:v>
      </x:c>
      <x:c r="F209" s="84" t="n">
        <x:v>2023</x:v>
      </x:c>
      <x:c r="G209" s="84" t="n">
        <x:v>30</x:v>
      </x:c>
      <x:c r="H209" s="84" t="str">
        <x:v>Quinta</x:v>
      </x:c>
      <x:c r="I209" s="85" t="n">
        <x:v>1</x:v>
      </x:c>
    </x:row>
    <x:row r="210">
      <x:c r="A210" s="95" t="n">
        <x:v>45135</x:v>
      </x:c>
      <x:c r="B210" s="84" t="n">
        <x:v>28</x:v>
      </x:c>
      <x:c r="C210" s="84" t="n">
        <x:v>7</x:v>
      </x:c>
      <x:c r="D210" s="84" t="str">
        <x:v>Julho</x:v>
      </x:c>
      <x:c r="E210" s="84" t="n">
        <x:v>3</x:v>
      </x:c>
      <x:c r="F210" s="84" t="n">
        <x:v>2023</x:v>
      </x:c>
      <x:c r="G210" s="84" t="n">
        <x:v>30</x:v>
      </x:c>
      <x:c r="H210" s="84" t="str">
        <x:v>Sexta</x:v>
      </x:c>
      <x:c r="I210" s="85" t="n">
        <x:v>1</x:v>
      </x:c>
    </x:row>
    <x:row r="211">
      <x:c r="A211" s="95" t="n">
        <x:v>45136</x:v>
      </x:c>
      <x:c r="B211" s="84" t="n">
        <x:v>29</x:v>
      </x:c>
      <x:c r="C211" s="84" t="n">
        <x:v>7</x:v>
      </x:c>
      <x:c r="D211" s="84" t="str">
        <x:v>Julho</x:v>
      </x:c>
      <x:c r="E211" s="84" t="n">
        <x:v>3</x:v>
      </x:c>
      <x:c r="F211" s="84" t="n">
        <x:v>2023</x:v>
      </x:c>
      <x:c r="G211" s="84" t="n">
        <x:v>30</x:v>
      </x:c>
      <x:c r="H211" s="84" t="str">
        <x:v>Sábado</x:v>
      </x:c>
      <x:c r="I211" s="85" t="n">
        <x:v>0</x:v>
      </x:c>
    </x:row>
    <x:row r="212">
      <x:c r="A212" s="95" t="n">
        <x:v>45137</x:v>
      </x:c>
      <x:c r="B212" s="84" t="n">
        <x:v>30</x:v>
      </x:c>
      <x:c r="C212" s="84" t="n">
        <x:v>7</x:v>
      </x:c>
      <x:c r="D212" s="84" t="str">
        <x:v>Julho</x:v>
      </x:c>
      <x:c r="E212" s="84" t="n">
        <x:v>3</x:v>
      </x:c>
      <x:c r="F212" s="84" t="n">
        <x:v>2023</x:v>
      </x:c>
      <x:c r="G212" s="84" t="n">
        <x:v>30</x:v>
      </x:c>
      <x:c r="H212" s="84" t="str">
        <x:v>Domingo</x:v>
      </x:c>
      <x:c r="I212" s="85" t="n">
        <x:v>0</x:v>
      </x:c>
    </x:row>
    <x:row r="213">
      <x:c r="A213" s="95" t="n">
        <x:v>45138</x:v>
      </x:c>
      <x:c r="B213" s="84" t="n">
        <x:v>31</x:v>
      </x:c>
      <x:c r="C213" s="84" t="n">
        <x:v>7</x:v>
      </x:c>
      <x:c r="D213" s="84" t="str">
        <x:v>Julho</x:v>
      </x:c>
      <x:c r="E213" s="84" t="n">
        <x:v>3</x:v>
      </x:c>
      <x:c r="F213" s="84" t="n">
        <x:v>2023</x:v>
      </x:c>
      <x:c r="G213" s="84" t="n">
        <x:v>31</x:v>
      </x:c>
      <x:c r="H213" s="84" t="str">
        <x:v>Segunda</x:v>
      </x:c>
      <x:c r="I213" s="85" t="n">
        <x:v>1</x:v>
      </x:c>
    </x:row>
    <x:row r="214">
      <x:c r="A214" s="95" t="n">
        <x:v>45139</x:v>
      </x:c>
      <x:c r="B214" s="84" t="n">
        <x:v>1</x:v>
      </x:c>
      <x:c r="C214" s="84" t="n">
        <x:v>8</x:v>
      </x:c>
      <x:c r="D214" s="84" t="str">
        <x:v>Agosto</x:v>
      </x:c>
      <x:c r="E214" s="84" t="n">
        <x:v>3</x:v>
      </x:c>
      <x:c r="F214" s="84" t="n">
        <x:v>2023</x:v>
      </x:c>
      <x:c r="G214" s="84" t="n">
        <x:v>31</x:v>
      </x:c>
      <x:c r="H214" s="84" t="str">
        <x:v>Terça</x:v>
      </x:c>
      <x:c r="I214" s="85" t="n">
        <x:v>1</x:v>
      </x:c>
    </x:row>
    <x:row r="215">
      <x:c r="A215" s="95" t="n">
        <x:v>45140</x:v>
      </x:c>
      <x:c r="B215" s="84" t="n">
        <x:v>2</x:v>
      </x:c>
      <x:c r="C215" s="84" t="n">
        <x:v>8</x:v>
      </x:c>
      <x:c r="D215" s="84" t="str">
        <x:v>Agosto</x:v>
      </x:c>
      <x:c r="E215" s="84" t="n">
        <x:v>3</x:v>
      </x:c>
      <x:c r="F215" s="84" t="n">
        <x:v>2023</x:v>
      </x:c>
      <x:c r="G215" s="84" t="n">
        <x:v>31</x:v>
      </x:c>
      <x:c r="H215" s="84" t="str">
        <x:v>Quarta</x:v>
      </x:c>
      <x:c r="I215" s="85" t="n">
        <x:v>1</x:v>
      </x:c>
    </x:row>
    <x:row r="216">
      <x:c r="A216" s="95" t="n">
        <x:v>45141</x:v>
      </x:c>
      <x:c r="B216" s="84" t="n">
        <x:v>3</x:v>
      </x:c>
      <x:c r="C216" s="84" t="n">
        <x:v>8</x:v>
      </x:c>
      <x:c r="D216" s="84" t="str">
        <x:v>Agosto</x:v>
      </x:c>
      <x:c r="E216" s="84" t="n">
        <x:v>3</x:v>
      </x:c>
      <x:c r="F216" s="84" t="n">
        <x:v>2023</x:v>
      </x:c>
      <x:c r="G216" s="84" t="n">
        <x:v>31</x:v>
      </x:c>
      <x:c r="H216" s="84" t="str">
        <x:v>Quinta</x:v>
      </x:c>
      <x:c r="I216" s="85" t="n">
        <x:v>1</x:v>
      </x:c>
    </x:row>
    <x:row r="217">
      <x:c r="A217" s="95" t="n">
        <x:v>45142</x:v>
      </x:c>
      <x:c r="B217" s="84" t="n">
        <x:v>4</x:v>
      </x:c>
      <x:c r="C217" s="84" t="n">
        <x:v>8</x:v>
      </x:c>
      <x:c r="D217" s="84" t="str">
        <x:v>Agosto</x:v>
      </x:c>
      <x:c r="E217" s="84" t="n">
        <x:v>3</x:v>
      </x:c>
      <x:c r="F217" s="84" t="n">
        <x:v>2023</x:v>
      </x:c>
      <x:c r="G217" s="84" t="n">
        <x:v>31</x:v>
      </x:c>
      <x:c r="H217" s="84" t="str">
        <x:v>Sexta</x:v>
      </x:c>
      <x:c r="I217" s="85" t="n">
        <x:v>1</x:v>
      </x:c>
    </x:row>
    <x:row r="218">
      <x:c r="A218" s="95" t="n">
        <x:v>45143</x:v>
      </x:c>
      <x:c r="B218" s="84" t="n">
        <x:v>5</x:v>
      </x:c>
      <x:c r="C218" s="84" t="n">
        <x:v>8</x:v>
      </x:c>
      <x:c r="D218" s="84" t="str">
        <x:v>Agosto</x:v>
      </x:c>
      <x:c r="E218" s="84" t="n">
        <x:v>3</x:v>
      </x:c>
      <x:c r="F218" s="84" t="n">
        <x:v>2023</x:v>
      </x:c>
      <x:c r="G218" s="84" t="n">
        <x:v>31</x:v>
      </x:c>
      <x:c r="H218" s="84" t="str">
        <x:v>Sábado</x:v>
      </x:c>
      <x:c r="I218" s="85" t="n">
        <x:v>0</x:v>
      </x:c>
    </x:row>
    <x:row r="219">
      <x:c r="A219" s="95" t="n">
        <x:v>45144</x:v>
      </x:c>
      <x:c r="B219" s="84" t="n">
        <x:v>6</x:v>
      </x:c>
      <x:c r="C219" s="84" t="n">
        <x:v>8</x:v>
      </x:c>
      <x:c r="D219" s="84" t="str">
        <x:v>Agosto</x:v>
      </x:c>
      <x:c r="E219" s="84" t="n">
        <x:v>3</x:v>
      </x:c>
      <x:c r="F219" s="84" t="n">
        <x:v>2023</x:v>
      </x:c>
      <x:c r="G219" s="84" t="n">
        <x:v>31</x:v>
      </x:c>
      <x:c r="H219" s="84" t="str">
        <x:v>Domingo</x:v>
      </x:c>
      <x:c r="I219" s="85" t="n">
        <x:v>0</x:v>
      </x:c>
    </x:row>
    <x:row r="220">
      <x:c r="A220" s="95" t="n">
        <x:v>45145</x:v>
      </x:c>
      <x:c r="B220" s="84" t="n">
        <x:v>7</x:v>
      </x:c>
      <x:c r="C220" s="84" t="n">
        <x:v>8</x:v>
      </x:c>
      <x:c r="D220" s="84" t="str">
        <x:v>Agosto</x:v>
      </x:c>
      <x:c r="E220" s="84" t="n">
        <x:v>3</x:v>
      </x:c>
      <x:c r="F220" s="84" t="n">
        <x:v>2023</x:v>
      </x:c>
      <x:c r="G220" s="84" t="n">
        <x:v>32</x:v>
      </x:c>
      <x:c r="H220" s="84" t="str">
        <x:v>Segunda</x:v>
      </x:c>
      <x:c r="I220" s="85" t="n">
        <x:v>1</x:v>
      </x:c>
    </x:row>
    <x:row r="221">
      <x:c r="A221" s="95" t="n">
        <x:v>45146</x:v>
      </x:c>
      <x:c r="B221" s="84" t="n">
        <x:v>8</x:v>
      </x:c>
      <x:c r="C221" s="84" t="n">
        <x:v>8</x:v>
      </x:c>
      <x:c r="D221" s="84" t="str">
        <x:v>Agosto</x:v>
      </x:c>
      <x:c r="E221" s="84" t="n">
        <x:v>3</x:v>
      </x:c>
      <x:c r="F221" s="84" t="n">
        <x:v>2023</x:v>
      </x:c>
      <x:c r="G221" s="84" t="n">
        <x:v>32</x:v>
      </x:c>
      <x:c r="H221" s="84" t="str">
        <x:v>Terça</x:v>
      </x:c>
      <x:c r="I221" s="85" t="n">
        <x:v>1</x:v>
      </x:c>
    </x:row>
    <x:row r="222">
      <x:c r="A222" s="95" t="n">
        <x:v>45147</x:v>
      </x:c>
      <x:c r="B222" s="84" t="n">
        <x:v>9</x:v>
      </x:c>
      <x:c r="C222" s="84" t="n">
        <x:v>8</x:v>
      </x:c>
      <x:c r="D222" s="84" t="str">
        <x:v>Agosto</x:v>
      </x:c>
      <x:c r="E222" s="84" t="n">
        <x:v>3</x:v>
      </x:c>
      <x:c r="F222" s="84" t="n">
        <x:v>2023</x:v>
      </x:c>
      <x:c r="G222" s="84" t="n">
        <x:v>32</x:v>
      </x:c>
      <x:c r="H222" s="84" t="str">
        <x:v>Quarta</x:v>
      </x:c>
      <x:c r="I222" s="85" t="n">
        <x:v>1</x:v>
      </x:c>
    </x:row>
    <x:row r="223">
      <x:c r="A223" s="95" t="n">
        <x:v>45148</x:v>
      </x:c>
      <x:c r="B223" s="84" t="n">
        <x:v>10</x:v>
      </x:c>
      <x:c r="C223" s="84" t="n">
        <x:v>8</x:v>
      </x:c>
      <x:c r="D223" s="84" t="str">
        <x:v>Agosto</x:v>
      </x:c>
      <x:c r="E223" s="84" t="n">
        <x:v>3</x:v>
      </x:c>
      <x:c r="F223" s="84" t="n">
        <x:v>2023</x:v>
      </x:c>
      <x:c r="G223" s="84" t="n">
        <x:v>32</x:v>
      </x:c>
      <x:c r="H223" s="84" t="str">
        <x:v>Quinta</x:v>
      </x:c>
      <x:c r="I223" s="85" t="n">
        <x:v>1</x:v>
      </x:c>
    </x:row>
    <x:row r="224">
      <x:c r="A224" s="95" t="n">
        <x:v>45149</x:v>
      </x:c>
      <x:c r="B224" s="84" t="n">
        <x:v>11</x:v>
      </x:c>
      <x:c r="C224" s="84" t="n">
        <x:v>8</x:v>
      </x:c>
      <x:c r="D224" s="84" t="str">
        <x:v>Agosto</x:v>
      </x:c>
      <x:c r="E224" s="84" t="n">
        <x:v>3</x:v>
      </x:c>
      <x:c r="F224" s="84" t="n">
        <x:v>2023</x:v>
      </x:c>
      <x:c r="G224" s="84" t="n">
        <x:v>32</x:v>
      </x:c>
      <x:c r="H224" s="84" t="str">
        <x:v>Sexta</x:v>
      </x:c>
      <x:c r="I224" s="85" t="n">
        <x:v>1</x:v>
      </x:c>
    </x:row>
    <x:row r="225">
      <x:c r="A225" s="95" t="n">
        <x:v>45150</x:v>
      </x:c>
      <x:c r="B225" s="84" t="n">
        <x:v>12</x:v>
      </x:c>
      <x:c r="C225" s="84" t="n">
        <x:v>8</x:v>
      </x:c>
      <x:c r="D225" s="84" t="str">
        <x:v>Agosto</x:v>
      </x:c>
      <x:c r="E225" s="84" t="n">
        <x:v>3</x:v>
      </x:c>
      <x:c r="F225" s="84" t="n">
        <x:v>2023</x:v>
      </x:c>
      <x:c r="G225" s="84" t="n">
        <x:v>32</x:v>
      </x:c>
      <x:c r="H225" s="84" t="str">
        <x:v>Sábado</x:v>
      </x:c>
      <x:c r="I225" s="85" t="n">
        <x:v>0</x:v>
      </x:c>
    </x:row>
    <x:row r="226">
      <x:c r="A226" s="95" t="n">
        <x:v>45151</x:v>
      </x:c>
      <x:c r="B226" s="84" t="n">
        <x:v>13</x:v>
      </x:c>
      <x:c r="C226" s="84" t="n">
        <x:v>8</x:v>
      </x:c>
      <x:c r="D226" s="84" t="str">
        <x:v>Agosto</x:v>
      </x:c>
      <x:c r="E226" s="84" t="n">
        <x:v>3</x:v>
      </x:c>
      <x:c r="F226" s="84" t="n">
        <x:v>2023</x:v>
      </x:c>
      <x:c r="G226" s="84" t="n">
        <x:v>32</x:v>
      </x:c>
      <x:c r="H226" s="84" t="str">
        <x:v>Domingo</x:v>
      </x:c>
      <x:c r="I226" s="85" t="n">
        <x:v>0</x:v>
      </x:c>
    </x:row>
    <x:row r="227">
      <x:c r="A227" s="95" t="n">
        <x:v>45152</x:v>
      </x:c>
      <x:c r="B227" s="84" t="n">
        <x:v>14</x:v>
      </x:c>
      <x:c r="C227" s="84" t="n">
        <x:v>8</x:v>
      </x:c>
      <x:c r="D227" s="84" t="str">
        <x:v>Agosto</x:v>
      </x:c>
      <x:c r="E227" s="84" t="n">
        <x:v>3</x:v>
      </x:c>
      <x:c r="F227" s="84" t="n">
        <x:v>2023</x:v>
      </x:c>
      <x:c r="G227" s="84" t="n">
        <x:v>33</x:v>
      </x:c>
      <x:c r="H227" s="84" t="str">
        <x:v>Segunda</x:v>
      </x:c>
      <x:c r="I227" s="85" t="n">
        <x:v>1</x:v>
      </x:c>
    </x:row>
    <x:row r="228">
      <x:c r="A228" s="95" t="n">
        <x:v>45153</x:v>
      </x:c>
      <x:c r="B228" s="84" t="n">
        <x:v>15</x:v>
      </x:c>
      <x:c r="C228" s="84" t="n">
        <x:v>8</x:v>
      </x:c>
      <x:c r="D228" s="84" t="str">
        <x:v>Agosto</x:v>
      </x:c>
      <x:c r="E228" s="84" t="n">
        <x:v>3</x:v>
      </x:c>
      <x:c r="F228" s="84" t="n">
        <x:v>2023</x:v>
      </x:c>
      <x:c r="G228" s="84" t="n">
        <x:v>33</x:v>
      </x:c>
      <x:c r="H228" s="84" t="str">
        <x:v>Terça</x:v>
      </x:c>
      <x:c r="I228" s="85" t="n">
        <x:v>1</x:v>
      </x:c>
    </x:row>
    <x:row r="229">
      <x:c r="A229" s="95" t="n">
        <x:v>45154</x:v>
      </x:c>
      <x:c r="B229" s="84" t="n">
        <x:v>16</x:v>
      </x:c>
      <x:c r="C229" s="84" t="n">
        <x:v>8</x:v>
      </x:c>
      <x:c r="D229" s="84" t="str">
        <x:v>Agosto</x:v>
      </x:c>
      <x:c r="E229" s="84" t="n">
        <x:v>3</x:v>
      </x:c>
      <x:c r="F229" s="84" t="n">
        <x:v>2023</x:v>
      </x:c>
      <x:c r="G229" s="84" t="n">
        <x:v>33</x:v>
      </x:c>
      <x:c r="H229" s="84" t="str">
        <x:v>Quarta</x:v>
      </x:c>
      <x:c r="I229" s="85" t="n">
        <x:v>1</x:v>
      </x:c>
    </x:row>
    <x:row r="230">
      <x:c r="A230" s="95" t="n">
        <x:v>45155</x:v>
      </x:c>
      <x:c r="B230" s="84" t="n">
        <x:v>17</x:v>
      </x:c>
      <x:c r="C230" s="84" t="n">
        <x:v>8</x:v>
      </x:c>
      <x:c r="D230" s="84" t="str">
        <x:v>Agosto</x:v>
      </x:c>
      <x:c r="E230" s="84" t="n">
        <x:v>3</x:v>
      </x:c>
      <x:c r="F230" s="84" t="n">
        <x:v>2023</x:v>
      </x:c>
      <x:c r="G230" s="84" t="n">
        <x:v>33</x:v>
      </x:c>
      <x:c r="H230" s="84" t="str">
        <x:v>Quinta</x:v>
      </x:c>
      <x:c r="I230" s="85" t="n">
        <x:v>1</x:v>
      </x:c>
    </x:row>
    <x:row r="231">
      <x:c r="A231" s="95" t="n">
        <x:v>45156</x:v>
      </x:c>
      <x:c r="B231" s="84" t="n">
        <x:v>18</x:v>
      </x:c>
      <x:c r="C231" s="84" t="n">
        <x:v>8</x:v>
      </x:c>
      <x:c r="D231" s="84" t="str">
        <x:v>Agosto</x:v>
      </x:c>
      <x:c r="E231" s="84" t="n">
        <x:v>3</x:v>
      </x:c>
      <x:c r="F231" s="84" t="n">
        <x:v>2023</x:v>
      </x:c>
      <x:c r="G231" s="84" t="n">
        <x:v>33</x:v>
      </x:c>
      <x:c r="H231" s="84" t="str">
        <x:v>Sexta</x:v>
      </x:c>
      <x:c r="I231" s="85" t="n">
        <x:v>1</x:v>
      </x:c>
    </x:row>
    <x:row r="232">
      <x:c r="A232" s="95" t="n">
        <x:v>45157</x:v>
      </x:c>
      <x:c r="B232" s="84" t="n">
        <x:v>19</x:v>
      </x:c>
      <x:c r="C232" s="84" t="n">
        <x:v>8</x:v>
      </x:c>
      <x:c r="D232" s="84" t="str">
        <x:v>Agosto</x:v>
      </x:c>
      <x:c r="E232" s="84" t="n">
        <x:v>3</x:v>
      </x:c>
      <x:c r="F232" s="84" t="n">
        <x:v>2023</x:v>
      </x:c>
      <x:c r="G232" s="84" t="n">
        <x:v>33</x:v>
      </x:c>
      <x:c r="H232" s="84" t="str">
        <x:v>Sábado</x:v>
      </x:c>
      <x:c r="I232" s="85" t="n">
        <x:v>0</x:v>
      </x:c>
    </x:row>
    <x:row r="233">
      <x:c r="A233" s="95" t="n">
        <x:v>45158</x:v>
      </x:c>
      <x:c r="B233" s="84" t="n">
        <x:v>20</x:v>
      </x:c>
      <x:c r="C233" s="84" t="n">
        <x:v>8</x:v>
      </x:c>
      <x:c r="D233" s="84" t="str">
        <x:v>Agosto</x:v>
      </x:c>
      <x:c r="E233" s="84" t="n">
        <x:v>3</x:v>
      </x:c>
      <x:c r="F233" s="84" t="n">
        <x:v>2023</x:v>
      </x:c>
      <x:c r="G233" s="84" t="n">
        <x:v>33</x:v>
      </x:c>
      <x:c r="H233" s="84" t="str">
        <x:v>Domingo</x:v>
      </x:c>
      <x:c r="I233" s="85" t="n">
        <x:v>0</x:v>
      </x:c>
    </x:row>
    <x:row r="234">
      <x:c r="A234" s="95" t="n">
        <x:v>45159</x:v>
      </x:c>
      <x:c r="B234" s="84" t="n">
        <x:v>21</x:v>
      </x:c>
      <x:c r="C234" s="84" t="n">
        <x:v>8</x:v>
      </x:c>
      <x:c r="D234" s="84" t="str">
        <x:v>Agosto</x:v>
      </x:c>
      <x:c r="E234" s="84" t="n">
        <x:v>3</x:v>
      </x:c>
      <x:c r="F234" s="84" t="n">
        <x:v>2023</x:v>
      </x:c>
      <x:c r="G234" s="84" t="n">
        <x:v>34</x:v>
      </x:c>
      <x:c r="H234" s="84" t="str">
        <x:v>Segunda</x:v>
      </x:c>
      <x:c r="I234" s="85" t="n">
        <x:v>1</x:v>
      </x:c>
    </x:row>
    <x:row r="235">
      <x:c r="A235" s="95" t="n">
        <x:v>45160</x:v>
      </x:c>
      <x:c r="B235" s="84" t="n">
        <x:v>22</x:v>
      </x:c>
      <x:c r="C235" s="84" t="n">
        <x:v>8</x:v>
      </x:c>
      <x:c r="D235" s="84" t="str">
        <x:v>Agosto</x:v>
      </x:c>
      <x:c r="E235" s="84" t="n">
        <x:v>3</x:v>
      </x:c>
      <x:c r="F235" s="84" t="n">
        <x:v>2023</x:v>
      </x:c>
      <x:c r="G235" s="84" t="n">
        <x:v>34</x:v>
      </x:c>
      <x:c r="H235" s="84" t="str">
        <x:v>Terça</x:v>
      </x:c>
      <x:c r="I235" s="85" t="n">
        <x:v>1</x:v>
      </x:c>
    </x:row>
    <x:row r="236">
      <x:c r="A236" s="95" t="n">
        <x:v>45161</x:v>
      </x:c>
      <x:c r="B236" s="84" t="n">
        <x:v>23</x:v>
      </x:c>
      <x:c r="C236" s="84" t="n">
        <x:v>8</x:v>
      </x:c>
      <x:c r="D236" s="84" t="str">
        <x:v>Agosto</x:v>
      </x:c>
      <x:c r="E236" s="84" t="n">
        <x:v>3</x:v>
      </x:c>
      <x:c r="F236" s="84" t="n">
        <x:v>2023</x:v>
      </x:c>
      <x:c r="G236" s="84" t="n">
        <x:v>34</x:v>
      </x:c>
      <x:c r="H236" s="84" t="str">
        <x:v>Quarta</x:v>
      </x:c>
      <x:c r="I236" s="85" t="n">
        <x:v>1</x:v>
      </x:c>
    </x:row>
    <x:row r="237">
      <x:c r="A237" s="95" t="n">
        <x:v>45162</x:v>
      </x:c>
      <x:c r="B237" s="84" t="n">
        <x:v>24</x:v>
      </x:c>
      <x:c r="C237" s="84" t="n">
        <x:v>8</x:v>
      </x:c>
      <x:c r="D237" s="84" t="str">
        <x:v>Agosto</x:v>
      </x:c>
      <x:c r="E237" s="84" t="n">
        <x:v>3</x:v>
      </x:c>
      <x:c r="F237" s="84" t="n">
        <x:v>2023</x:v>
      </x:c>
      <x:c r="G237" s="84" t="n">
        <x:v>34</x:v>
      </x:c>
      <x:c r="H237" s="84" t="str">
        <x:v>Quinta</x:v>
      </x:c>
      <x:c r="I237" s="85" t="n">
        <x:v>1</x:v>
      </x:c>
    </x:row>
    <x:row r="238">
      <x:c r="A238" s="95" t="n">
        <x:v>45163</x:v>
      </x:c>
      <x:c r="B238" s="84" t="n">
        <x:v>25</x:v>
      </x:c>
      <x:c r="C238" s="84" t="n">
        <x:v>8</x:v>
      </x:c>
      <x:c r="D238" s="84" t="str">
        <x:v>Agosto</x:v>
      </x:c>
      <x:c r="E238" s="84" t="n">
        <x:v>3</x:v>
      </x:c>
      <x:c r="F238" s="84" t="n">
        <x:v>2023</x:v>
      </x:c>
      <x:c r="G238" s="84" t="n">
        <x:v>34</x:v>
      </x:c>
      <x:c r="H238" s="84" t="str">
        <x:v>Sexta</x:v>
      </x:c>
      <x:c r="I238" s="85" t="n">
        <x:v>1</x:v>
      </x:c>
    </x:row>
    <x:row r="239">
      <x:c r="A239" s="95" t="n">
        <x:v>45164</x:v>
      </x:c>
      <x:c r="B239" s="84" t="n">
        <x:v>26</x:v>
      </x:c>
      <x:c r="C239" s="84" t="n">
        <x:v>8</x:v>
      </x:c>
      <x:c r="D239" s="84" t="str">
        <x:v>Agosto</x:v>
      </x:c>
      <x:c r="E239" s="84" t="n">
        <x:v>3</x:v>
      </x:c>
      <x:c r="F239" s="84" t="n">
        <x:v>2023</x:v>
      </x:c>
      <x:c r="G239" s="84" t="n">
        <x:v>34</x:v>
      </x:c>
      <x:c r="H239" s="84" t="str">
        <x:v>Sábado</x:v>
      </x:c>
      <x:c r="I239" s="85" t="n">
        <x:v>0</x:v>
      </x:c>
    </x:row>
    <x:row r="240">
      <x:c r="A240" s="95" t="n">
        <x:v>45165</x:v>
      </x:c>
      <x:c r="B240" s="84" t="n">
        <x:v>27</x:v>
      </x:c>
      <x:c r="C240" s="84" t="n">
        <x:v>8</x:v>
      </x:c>
      <x:c r="D240" s="84" t="str">
        <x:v>Agosto</x:v>
      </x:c>
      <x:c r="E240" s="84" t="n">
        <x:v>3</x:v>
      </x:c>
      <x:c r="F240" s="84" t="n">
        <x:v>2023</x:v>
      </x:c>
      <x:c r="G240" s="84" t="n">
        <x:v>34</x:v>
      </x:c>
      <x:c r="H240" s="84" t="str">
        <x:v>Domingo</x:v>
      </x:c>
      <x:c r="I240" s="85" t="n">
        <x:v>0</x:v>
      </x:c>
    </x:row>
    <x:row r="241">
      <x:c r="A241" s="95" t="n">
        <x:v>45166</x:v>
      </x:c>
      <x:c r="B241" s="84" t="n">
        <x:v>28</x:v>
      </x:c>
      <x:c r="C241" s="84" t="n">
        <x:v>8</x:v>
      </x:c>
      <x:c r="D241" s="84" t="str">
        <x:v>Agosto</x:v>
      </x:c>
      <x:c r="E241" s="84" t="n">
        <x:v>3</x:v>
      </x:c>
      <x:c r="F241" s="84" t="n">
        <x:v>2023</x:v>
      </x:c>
      <x:c r="G241" s="84" t="n">
        <x:v>35</x:v>
      </x:c>
      <x:c r="H241" s="84" t="str">
        <x:v>Segunda</x:v>
      </x:c>
      <x:c r="I241" s="85" t="n">
        <x:v>1</x:v>
      </x:c>
    </x:row>
    <x:row r="242">
      <x:c r="A242" s="95" t="n">
        <x:v>45167</x:v>
      </x:c>
      <x:c r="B242" s="84" t="n">
        <x:v>29</x:v>
      </x:c>
      <x:c r="C242" s="84" t="n">
        <x:v>8</x:v>
      </x:c>
      <x:c r="D242" s="84" t="str">
        <x:v>Agosto</x:v>
      </x:c>
      <x:c r="E242" s="84" t="n">
        <x:v>3</x:v>
      </x:c>
      <x:c r="F242" s="84" t="n">
        <x:v>2023</x:v>
      </x:c>
      <x:c r="G242" s="84" t="n">
        <x:v>35</x:v>
      </x:c>
      <x:c r="H242" s="84" t="str">
        <x:v>Terça</x:v>
      </x:c>
      <x:c r="I242" s="85" t="n">
        <x:v>1</x:v>
      </x:c>
    </x:row>
    <x:row r="243">
      <x:c r="A243" s="95" t="n">
        <x:v>45168</x:v>
      </x:c>
      <x:c r="B243" s="84" t="n">
        <x:v>30</x:v>
      </x:c>
      <x:c r="C243" s="84" t="n">
        <x:v>8</x:v>
      </x:c>
      <x:c r="D243" s="84" t="str">
        <x:v>Agosto</x:v>
      </x:c>
      <x:c r="E243" s="84" t="n">
        <x:v>3</x:v>
      </x:c>
      <x:c r="F243" s="84" t="n">
        <x:v>2023</x:v>
      </x:c>
      <x:c r="G243" s="84" t="n">
        <x:v>35</x:v>
      </x:c>
      <x:c r="H243" s="84" t="str">
        <x:v>Quarta</x:v>
      </x:c>
      <x:c r="I243" s="85" t="n">
        <x:v>1</x:v>
      </x:c>
    </x:row>
    <x:row r="244">
      <x:c r="A244" s="95" t="n">
        <x:v>45169</x:v>
      </x:c>
      <x:c r="B244" s="84" t="n">
        <x:v>31</x:v>
      </x:c>
      <x:c r="C244" s="84" t="n">
        <x:v>8</x:v>
      </x:c>
      <x:c r="D244" s="84" t="str">
        <x:v>Agosto</x:v>
      </x:c>
      <x:c r="E244" s="84" t="n">
        <x:v>3</x:v>
      </x:c>
      <x:c r="F244" s="84" t="n">
        <x:v>2023</x:v>
      </x:c>
      <x:c r="G244" s="84" t="n">
        <x:v>35</x:v>
      </x:c>
      <x:c r="H244" s="84" t="str">
        <x:v>Quinta</x:v>
      </x:c>
      <x:c r="I244" s="85" t="n">
        <x:v>1</x:v>
      </x:c>
    </x:row>
    <x:row r="245">
      <x:c r="A245" s="95" t="n">
        <x:v>45170</x:v>
      </x:c>
      <x:c r="B245" s="84" t="n">
        <x:v>1</x:v>
      </x:c>
      <x:c r="C245" s="84" t="n">
        <x:v>9</x:v>
      </x:c>
      <x:c r="D245" s="84" t="str">
        <x:v>Setembro</x:v>
      </x:c>
      <x:c r="E245" s="84" t="n">
        <x:v>3</x:v>
      </x:c>
      <x:c r="F245" s="84" t="n">
        <x:v>2023</x:v>
      </x:c>
      <x:c r="G245" s="84" t="n">
        <x:v>35</x:v>
      </x:c>
      <x:c r="H245" s="84" t="str">
        <x:v>Sexta</x:v>
      </x:c>
      <x:c r="I245" s="85" t="n">
        <x:v>1</x:v>
      </x:c>
    </x:row>
    <x:row r="246">
      <x:c r="A246" s="95" t="n">
        <x:v>45171</x:v>
      </x:c>
      <x:c r="B246" s="84" t="n">
        <x:v>2</x:v>
      </x:c>
      <x:c r="C246" s="84" t="n">
        <x:v>9</x:v>
      </x:c>
      <x:c r="D246" s="84" t="str">
        <x:v>Setembro</x:v>
      </x:c>
      <x:c r="E246" s="84" t="n">
        <x:v>3</x:v>
      </x:c>
      <x:c r="F246" s="84" t="n">
        <x:v>2023</x:v>
      </x:c>
      <x:c r="G246" s="84" t="n">
        <x:v>35</x:v>
      </x:c>
      <x:c r="H246" s="84" t="str">
        <x:v>Sábado</x:v>
      </x:c>
      <x:c r="I246" s="85" t="n">
        <x:v>0</x:v>
      </x:c>
    </x:row>
    <x:row r="247">
      <x:c r="A247" s="95" t="n">
        <x:v>45172</x:v>
      </x:c>
      <x:c r="B247" s="84" t="n">
        <x:v>3</x:v>
      </x:c>
      <x:c r="C247" s="84" t="n">
        <x:v>9</x:v>
      </x:c>
      <x:c r="D247" s="84" t="str">
        <x:v>Setembro</x:v>
      </x:c>
      <x:c r="E247" s="84" t="n">
        <x:v>3</x:v>
      </x:c>
      <x:c r="F247" s="84" t="n">
        <x:v>2023</x:v>
      </x:c>
      <x:c r="G247" s="84" t="n">
        <x:v>35</x:v>
      </x:c>
      <x:c r="H247" s="84" t="str">
        <x:v>Domingo</x:v>
      </x:c>
      <x:c r="I247" s="85" t="n">
        <x:v>0</x:v>
      </x:c>
    </x:row>
    <x:row r="248">
      <x:c r="A248" s="95" t="n">
        <x:v>45173</x:v>
      </x:c>
      <x:c r="B248" s="84" t="n">
        <x:v>4</x:v>
      </x:c>
      <x:c r="C248" s="84" t="n">
        <x:v>9</x:v>
      </x:c>
      <x:c r="D248" s="84" t="str">
        <x:v>Setembro</x:v>
      </x:c>
      <x:c r="E248" s="84" t="n">
        <x:v>3</x:v>
      </x:c>
      <x:c r="F248" s="84" t="n">
        <x:v>2023</x:v>
      </x:c>
      <x:c r="G248" s="84" t="n">
        <x:v>36</x:v>
      </x:c>
      <x:c r="H248" s="84" t="str">
        <x:v>Segunda</x:v>
      </x:c>
      <x:c r="I248" s="85" t="n">
        <x:v>1</x:v>
      </x:c>
    </x:row>
    <x:row r="249">
      <x:c r="A249" s="95" t="n">
        <x:v>45174</x:v>
      </x:c>
      <x:c r="B249" s="84" t="n">
        <x:v>5</x:v>
      </x:c>
      <x:c r="C249" s="84" t="n">
        <x:v>9</x:v>
      </x:c>
      <x:c r="D249" s="84" t="str">
        <x:v>Setembro</x:v>
      </x:c>
      <x:c r="E249" s="84" t="n">
        <x:v>3</x:v>
      </x:c>
      <x:c r="F249" s="84" t="n">
        <x:v>2023</x:v>
      </x:c>
      <x:c r="G249" s="84" t="n">
        <x:v>36</x:v>
      </x:c>
      <x:c r="H249" s="84" t="str">
        <x:v>Terça</x:v>
      </x:c>
      <x:c r="I249" s="85" t="n">
        <x:v>1</x:v>
      </x:c>
    </x:row>
    <x:row r="250">
      <x:c r="A250" s="95" t="n">
        <x:v>45175</x:v>
      </x:c>
      <x:c r="B250" s="84" t="n">
        <x:v>6</x:v>
      </x:c>
      <x:c r="C250" s="84" t="n">
        <x:v>9</x:v>
      </x:c>
      <x:c r="D250" s="84" t="str">
        <x:v>Setembro</x:v>
      </x:c>
      <x:c r="E250" s="84" t="n">
        <x:v>3</x:v>
      </x:c>
      <x:c r="F250" s="84" t="n">
        <x:v>2023</x:v>
      </x:c>
      <x:c r="G250" s="84" t="n">
        <x:v>36</x:v>
      </x:c>
      <x:c r="H250" s="84" t="str">
        <x:v>Quarta</x:v>
      </x:c>
      <x:c r="I250" s="85" t="n">
        <x:v>1</x:v>
      </x:c>
    </x:row>
    <x:row r="251">
      <x:c r="A251" s="95" t="n">
        <x:v>45176</x:v>
      </x:c>
      <x:c r="B251" s="84" t="n">
        <x:v>7</x:v>
      </x:c>
      <x:c r="C251" s="84" t="n">
        <x:v>9</x:v>
      </x:c>
      <x:c r="D251" s="84" t="str">
        <x:v>Setembro</x:v>
      </x:c>
      <x:c r="E251" s="84" t="n">
        <x:v>3</x:v>
      </x:c>
      <x:c r="F251" s="84" t="n">
        <x:v>2023</x:v>
      </x:c>
      <x:c r="G251" s="84" t="n">
        <x:v>36</x:v>
      </x:c>
      <x:c r="H251" s="84" t="str">
        <x:v>Quinta</x:v>
      </x:c>
      <x:c r="I251" s="85" t="n">
        <x:v>1</x:v>
      </x:c>
    </x:row>
    <x:row r="252">
      <x:c r="A252" s="95" t="n">
        <x:v>45177</x:v>
      </x:c>
      <x:c r="B252" s="84" t="n">
        <x:v>8</x:v>
      </x:c>
      <x:c r="C252" s="84" t="n">
        <x:v>9</x:v>
      </x:c>
      <x:c r="D252" s="84" t="str">
        <x:v>Setembro</x:v>
      </x:c>
      <x:c r="E252" s="84" t="n">
        <x:v>3</x:v>
      </x:c>
      <x:c r="F252" s="84" t="n">
        <x:v>2023</x:v>
      </x:c>
      <x:c r="G252" s="84" t="n">
        <x:v>36</x:v>
      </x:c>
      <x:c r="H252" s="84" t="str">
        <x:v>Sexta</x:v>
      </x:c>
      <x:c r="I252" s="85" t="n">
        <x:v>1</x:v>
      </x:c>
    </x:row>
    <x:row r="253">
      <x:c r="A253" s="95" t="n">
        <x:v>45178</x:v>
      </x:c>
      <x:c r="B253" s="84" t="n">
        <x:v>9</x:v>
      </x:c>
      <x:c r="C253" s="84" t="n">
        <x:v>9</x:v>
      </x:c>
      <x:c r="D253" s="84" t="str">
        <x:v>Setembro</x:v>
      </x:c>
      <x:c r="E253" s="84" t="n">
        <x:v>3</x:v>
      </x:c>
      <x:c r="F253" s="84" t="n">
        <x:v>2023</x:v>
      </x:c>
      <x:c r="G253" s="84" t="n">
        <x:v>36</x:v>
      </x:c>
      <x:c r="H253" s="84" t="str">
        <x:v>Sábado</x:v>
      </x:c>
      <x:c r="I253" s="85" t="n">
        <x:v>0</x:v>
      </x:c>
    </x:row>
    <x:row r="254">
      <x:c r="A254" s="95" t="n">
        <x:v>45179</x:v>
      </x:c>
      <x:c r="B254" s="84" t="n">
        <x:v>10</x:v>
      </x:c>
      <x:c r="C254" s="84" t="n">
        <x:v>9</x:v>
      </x:c>
      <x:c r="D254" s="84" t="str">
        <x:v>Setembro</x:v>
      </x:c>
      <x:c r="E254" s="84" t="n">
        <x:v>3</x:v>
      </x:c>
      <x:c r="F254" s="84" t="n">
        <x:v>2023</x:v>
      </x:c>
      <x:c r="G254" s="84" t="n">
        <x:v>36</x:v>
      </x:c>
      <x:c r="H254" s="84" t="str">
        <x:v>Domingo</x:v>
      </x:c>
      <x:c r="I254" s="85" t="n">
        <x:v>0</x:v>
      </x:c>
    </x:row>
    <x:row r="255">
      <x:c r="A255" s="95" t="n">
        <x:v>45180</x:v>
      </x:c>
      <x:c r="B255" s="84" t="n">
        <x:v>11</x:v>
      </x:c>
      <x:c r="C255" s="84" t="n">
        <x:v>9</x:v>
      </x:c>
      <x:c r="D255" s="84" t="str">
        <x:v>Setembro</x:v>
      </x:c>
      <x:c r="E255" s="84" t="n">
        <x:v>3</x:v>
      </x:c>
      <x:c r="F255" s="84" t="n">
        <x:v>2023</x:v>
      </x:c>
      <x:c r="G255" s="84" t="n">
        <x:v>37</x:v>
      </x:c>
      <x:c r="H255" s="84" t="str">
        <x:v>Segunda</x:v>
      </x:c>
      <x:c r="I255" s="85" t="n">
        <x:v>1</x:v>
      </x:c>
    </x:row>
    <x:row r="256">
      <x:c r="A256" s="95" t="n">
        <x:v>45181</x:v>
      </x:c>
      <x:c r="B256" s="84" t="n">
        <x:v>12</x:v>
      </x:c>
      <x:c r="C256" s="84" t="n">
        <x:v>9</x:v>
      </x:c>
      <x:c r="D256" s="84" t="str">
        <x:v>Setembro</x:v>
      </x:c>
      <x:c r="E256" s="84" t="n">
        <x:v>3</x:v>
      </x:c>
      <x:c r="F256" s="84" t="n">
        <x:v>2023</x:v>
      </x:c>
      <x:c r="G256" s="84" t="n">
        <x:v>37</x:v>
      </x:c>
      <x:c r="H256" s="84" t="str">
        <x:v>Terça</x:v>
      </x:c>
      <x:c r="I256" s="85" t="n">
        <x:v>1</x:v>
      </x:c>
    </x:row>
    <x:row r="257">
      <x:c r="A257" s="95" t="n">
        <x:v>45182</x:v>
      </x:c>
      <x:c r="B257" s="84" t="n">
        <x:v>13</x:v>
      </x:c>
      <x:c r="C257" s="84" t="n">
        <x:v>9</x:v>
      </x:c>
      <x:c r="D257" s="84" t="str">
        <x:v>Setembro</x:v>
      </x:c>
      <x:c r="E257" s="84" t="n">
        <x:v>3</x:v>
      </x:c>
      <x:c r="F257" s="84" t="n">
        <x:v>2023</x:v>
      </x:c>
      <x:c r="G257" s="84" t="n">
        <x:v>37</x:v>
      </x:c>
      <x:c r="H257" s="84" t="str">
        <x:v>Quarta</x:v>
      </x:c>
      <x:c r="I257" s="85" t="n">
        <x:v>1</x:v>
      </x:c>
    </x:row>
    <x:row r="258">
      <x:c r="A258" s="95" t="n">
        <x:v>45183</x:v>
      </x:c>
      <x:c r="B258" s="84" t="n">
        <x:v>14</x:v>
      </x:c>
      <x:c r="C258" s="84" t="n">
        <x:v>9</x:v>
      </x:c>
      <x:c r="D258" s="84" t="str">
        <x:v>Setembro</x:v>
      </x:c>
      <x:c r="E258" s="84" t="n">
        <x:v>3</x:v>
      </x:c>
      <x:c r="F258" s="84" t="n">
        <x:v>2023</x:v>
      </x:c>
      <x:c r="G258" s="84" t="n">
        <x:v>37</x:v>
      </x:c>
      <x:c r="H258" s="84" t="str">
        <x:v>Quinta</x:v>
      </x:c>
      <x:c r="I258" s="85" t="n">
        <x:v>1</x:v>
      </x:c>
    </x:row>
    <x:row r="259">
      <x:c r="A259" s="95" t="n">
        <x:v>45184</x:v>
      </x:c>
      <x:c r="B259" s="84" t="n">
        <x:v>15</x:v>
      </x:c>
      <x:c r="C259" s="84" t="n">
        <x:v>9</x:v>
      </x:c>
      <x:c r="D259" s="84" t="str">
        <x:v>Setembro</x:v>
      </x:c>
      <x:c r="E259" s="84" t="n">
        <x:v>3</x:v>
      </x:c>
      <x:c r="F259" s="84" t="n">
        <x:v>2023</x:v>
      </x:c>
      <x:c r="G259" s="84" t="n">
        <x:v>37</x:v>
      </x:c>
      <x:c r="H259" s="84" t="str">
        <x:v>Sexta</x:v>
      </x:c>
      <x:c r="I259" s="85" t="n">
        <x:v>1</x:v>
      </x:c>
    </x:row>
    <x:row r="260">
      <x:c r="A260" s="95" t="n">
        <x:v>45185</x:v>
      </x:c>
      <x:c r="B260" s="84" t="n">
        <x:v>16</x:v>
      </x:c>
      <x:c r="C260" s="84" t="n">
        <x:v>9</x:v>
      </x:c>
      <x:c r="D260" s="84" t="str">
        <x:v>Setembro</x:v>
      </x:c>
      <x:c r="E260" s="84" t="n">
        <x:v>3</x:v>
      </x:c>
      <x:c r="F260" s="84" t="n">
        <x:v>2023</x:v>
      </x:c>
      <x:c r="G260" s="84" t="n">
        <x:v>37</x:v>
      </x:c>
      <x:c r="H260" s="84" t="str">
        <x:v>Sábado</x:v>
      </x:c>
      <x:c r="I260" s="85" t="n">
        <x:v>0</x:v>
      </x:c>
    </x:row>
    <x:row r="261">
      <x:c r="A261" s="95" t="n">
        <x:v>45186</x:v>
      </x:c>
      <x:c r="B261" s="84" t="n">
        <x:v>17</x:v>
      </x:c>
      <x:c r="C261" s="84" t="n">
        <x:v>9</x:v>
      </x:c>
      <x:c r="D261" s="84" t="str">
        <x:v>Setembro</x:v>
      </x:c>
      <x:c r="E261" s="84" t="n">
        <x:v>3</x:v>
      </x:c>
      <x:c r="F261" s="84" t="n">
        <x:v>2023</x:v>
      </x:c>
      <x:c r="G261" s="84" t="n">
        <x:v>37</x:v>
      </x:c>
      <x:c r="H261" s="84" t="str">
        <x:v>Domingo</x:v>
      </x:c>
      <x:c r="I261" s="85" t="n">
        <x:v>0</x:v>
      </x:c>
    </x:row>
    <x:row r="262">
      <x:c r="A262" s="95" t="n">
        <x:v>45187</x:v>
      </x:c>
      <x:c r="B262" s="84" t="n">
        <x:v>18</x:v>
      </x:c>
      <x:c r="C262" s="84" t="n">
        <x:v>9</x:v>
      </x:c>
      <x:c r="D262" s="84" t="str">
        <x:v>Setembro</x:v>
      </x:c>
      <x:c r="E262" s="84" t="n">
        <x:v>3</x:v>
      </x:c>
      <x:c r="F262" s="84" t="n">
        <x:v>2023</x:v>
      </x:c>
      <x:c r="G262" s="84" t="n">
        <x:v>38</x:v>
      </x:c>
      <x:c r="H262" s="84" t="str">
        <x:v>Segunda</x:v>
      </x:c>
      <x:c r="I262" s="85" t="n">
        <x:v>1</x:v>
      </x:c>
    </x:row>
    <x:row r="263">
      <x:c r="A263" s="95" t="n">
        <x:v>45188</x:v>
      </x:c>
      <x:c r="B263" s="84" t="n">
        <x:v>19</x:v>
      </x:c>
      <x:c r="C263" s="84" t="n">
        <x:v>9</x:v>
      </x:c>
      <x:c r="D263" s="84" t="str">
        <x:v>Setembro</x:v>
      </x:c>
      <x:c r="E263" s="84" t="n">
        <x:v>3</x:v>
      </x:c>
      <x:c r="F263" s="84" t="n">
        <x:v>2023</x:v>
      </x:c>
      <x:c r="G263" s="84" t="n">
        <x:v>38</x:v>
      </x:c>
      <x:c r="H263" s="84" t="str">
        <x:v>Terça</x:v>
      </x:c>
      <x:c r="I263" s="85" t="n">
        <x:v>1</x:v>
      </x:c>
    </x:row>
    <x:row r="264">
      <x:c r="A264" s="95" t="n">
        <x:v>45189</x:v>
      </x:c>
      <x:c r="B264" s="84" t="n">
        <x:v>20</x:v>
      </x:c>
      <x:c r="C264" s="84" t="n">
        <x:v>9</x:v>
      </x:c>
      <x:c r="D264" s="84" t="str">
        <x:v>Setembro</x:v>
      </x:c>
      <x:c r="E264" s="84" t="n">
        <x:v>3</x:v>
      </x:c>
      <x:c r="F264" s="84" t="n">
        <x:v>2023</x:v>
      </x:c>
      <x:c r="G264" s="84" t="n">
        <x:v>38</x:v>
      </x:c>
      <x:c r="H264" s="84" t="str">
        <x:v>Quarta</x:v>
      </x:c>
      <x:c r="I264" s="85" t="n">
        <x:v>1</x:v>
      </x:c>
    </x:row>
    <x:row r="265">
      <x:c r="A265" s="95" t="n">
        <x:v>45190</x:v>
      </x:c>
      <x:c r="B265" s="84" t="n">
        <x:v>21</x:v>
      </x:c>
      <x:c r="C265" s="84" t="n">
        <x:v>9</x:v>
      </x:c>
      <x:c r="D265" s="84" t="str">
        <x:v>Setembro</x:v>
      </x:c>
      <x:c r="E265" s="84" t="n">
        <x:v>3</x:v>
      </x:c>
      <x:c r="F265" s="84" t="n">
        <x:v>2023</x:v>
      </x:c>
      <x:c r="G265" s="84" t="n">
        <x:v>38</x:v>
      </x:c>
      <x:c r="H265" s="84" t="str">
        <x:v>Quinta</x:v>
      </x:c>
      <x:c r="I265" s="85" t="n">
        <x:v>1</x:v>
      </x:c>
    </x:row>
    <x:row r="266">
      <x:c r="A266" s="95" t="n">
        <x:v>45191</x:v>
      </x:c>
      <x:c r="B266" s="84" t="n">
        <x:v>22</x:v>
      </x:c>
      <x:c r="C266" s="84" t="n">
        <x:v>9</x:v>
      </x:c>
      <x:c r="D266" s="84" t="str">
        <x:v>Setembro</x:v>
      </x:c>
      <x:c r="E266" s="84" t="n">
        <x:v>3</x:v>
      </x:c>
      <x:c r="F266" s="84" t="n">
        <x:v>2023</x:v>
      </x:c>
      <x:c r="G266" s="84" t="n">
        <x:v>38</x:v>
      </x:c>
      <x:c r="H266" s="84" t="str">
        <x:v>Sexta</x:v>
      </x:c>
      <x:c r="I266" s="85" t="n">
        <x:v>1</x:v>
      </x:c>
    </x:row>
    <x:row r="267">
      <x:c r="A267" s="95" t="n">
        <x:v>45192</x:v>
      </x:c>
      <x:c r="B267" s="84" t="n">
        <x:v>23</x:v>
      </x:c>
      <x:c r="C267" s="84" t="n">
        <x:v>9</x:v>
      </x:c>
      <x:c r="D267" s="84" t="str">
        <x:v>Setembro</x:v>
      </x:c>
      <x:c r="E267" s="84" t="n">
        <x:v>3</x:v>
      </x:c>
      <x:c r="F267" s="84" t="n">
        <x:v>2023</x:v>
      </x:c>
      <x:c r="G267" s="84" t="n">
        <x:v>38</x:v>
      </x:c>
      <x:c r="H267" s="84" t="str">
        <x:v>Sábado</x:v>
      </x:c>
      <x:c r="I267" s="85" t="n">
        <x:v>0</x:v>
      </x:c>
    </x:row>
    <x:row r="268">
      <x:c r="A268" s="95" t="n">
        <x:v>45193</x:v>
      </x:c>
      <x:c r="B268" s="84" t="n">
        <x:v>24</x:v>
      </x:c>
      <x:c r="C268" s="84" t="n">
        <x:v>9</x:v>
      </x:c>
      <x:c r="D268" s="84" t="str">
        <x:v>Setembro</x:v>
      </x:c>
      <x:c r="E268" s="84" t="n">
        <x:v>3</x:v>
      </x:c>
      <x:c r="F268" s="84" t="n">
        <x:v>2023</x:v>
      </x:c>
      <x:c r="G268" s="84" t="n">
        <x:v>38</x:v>
      </x:c>
      <x:c r="H268" s="84" t="str">
        <x:v>Domingo</x:v>
      </x:c>
      <x:c r="I268" s="85" t="n">
        <x:v>0</x:v>
      </x:c>
    </x:row>
    <x:row r="269">
      <x:c r="A269" s="95" t="n">
        <x:v>45194</x:v>
      </x:c>
      <x:c r="B269" s="84" t="n">
        <x:v>25</x:v>
      </x:c>
      <x:c r="C269" s="84" t="n">
        <x:v>9</x:v>
      </x:c>
      <x:c r="D269" s="84" t="str">
        <x:v>Setembro</x:v>
      </x:c>
      <x:c r="E269" s="84" t="n">
        <x:v>3</x:v>
      </x:c>
      <x:c r="F269" s="84" t="n">
        <x:v>2023</x:v>
      </x:c>
      <x:c r="G269" s="84" t="n">
        <x:v>39</x:v>
      </x:c>
      <x:c r="H269" s="84" t="str">
        <x:v>Segunda</x:v>
      </x:c>
      <x:c r="I269" s="85" t="n">
        <x:v>1</x:v>
      </x:c>
    </x:row>
    <x:row r="270">
      <x:c r="A270" s="95" t="n">
        <x:v>45195</x:v>
      </x:c>
      <x:c r="B270" s="84" t="n">
        <x:v>26</x:v>
      </x:c>
      <x:c r="C270" s="84" t="n">
        <x:v>9</x:v>
      </x:c>
      <x:c r="D270" s="84" t="str">
        <x:v>Setembro</x:v>
      </x:c>
      <x:c r="E270" s="84" t="n">
        <x:v>3</x:v>
      </x:c>
      <x:c r="F270" s="84" t="n">
        <x:v>2023</x:v>
      </x:c>
      <x:c r="G270" s="84" t="n">
        <x:v>39</x:v>
      </x:c>
      <x:c r="H270" s="84" t="str">
        <x:v>Terça</x:v>
      </x:c>
      <x:c r="I270" s="85" t="n">
        <x:v>1</x:v>
      </x:c>
    </x:row>
    <x:row r="271">
      <x:c r="A271" s="95" t="n">
        <x:v>45196</x:v>
      </x:c>
      <x:c r="B271" s="84" t="n">
        <x:v>27</x:v>
      </x:c>
      <x:c r="C271" s="84" t="n">
        <x:v>9</x:v>
      </x:c>
      <x:c r="D271" s="84" t="str">
        <x:v>Setembro</x:v>
      </x:c>
      <x:c r="E271" s="84" t="n">
        <x:v>3</x:v>
      </x:c>
      <x:c r="F271" s="84" t="n">
        <x:v>2023</x:v>
      </x:c>
      <x:c r="G271" s="84" t="n">
        <x:v>39</x:v>
      </x:c>
      <x:c r="H271" s="84" t="str">
        <x:v>Quarta</x:v>
      </x:c>
      <x:c r="I271" s="85" t="n">
        <x:v>1</x:v>
      </x:c>
    </x:row>
    <x:row r="272">
      <x:c r="A272" s="95" t="n">
        <x:v>45197</x:v>
      </x:c>
      <x:c r="B272" s="84" t="n">
        <x:v>28</x:v>
      </x:c>
      <x:c r="C272" s="84" t="n">
        <x:v>9</x:v>
      </x:c>
      <x:c r="D272" s="84" t="str">
        <x:v>Setembro</x:v>
      </x:c>
      <x:c r="E272" s="84" t="n">
        <x:v>3</x:v>
      </x:c>
      <x:c r="F272" s="84" t="n">
        <x:v>2023</x:v>
      </x:c>
      <x:c r="G272" s="84" t="n">
        <x:v>39</x:v>
      </x:c>
      <x:c r="H272" s="84" t="str">
        <x:v>Quinta</x:v>
      </x:c>
      <x:c r="I272" s="85" t="n">
        <x:v>1</x:v>
      </x:c>
    </x:row>
    <x:row r="273">
      <x:c r="A273" s="95" t="n">
        <x:v>45198</x:v>
      </x:c>
      <x:c r="B273" s="84" t="n">
        <x:v>29</x:v>
      </x:c>
      <x:c r="C273" s="84" t="n">
        <x:v>9</x:v>
      </x:c>
      <x:c r="D273" s="84" t="str">
        <x:v>Setembro</x:v>
      </x:c>
      <x:c r="E273" s="84" t="n">
        <x:v>3</x:v>
      </x:c>
      <x:c r="F273" s="84" t="n">
        <x:v>2023</x:v>
      </x:c>
      <x:c r="G273" s="84" t="n">
        <x:v>39</x:v>
      </x:c>
      <x:c r="H273" s="84" t="str">
        <x:v>Sexta</x:v>
      </x:c>
      <x:c r="I273" s="85" t="n">
        <x:v>1</x:v>
      </x:c>
    </x:row>
    <x:row r="274">
      <x:c r="A274" s="95" t="n">
        <x:v>45199</x:v>
      </x:c>
      <x:c r="B274" s="84" t="n">
        <x:v>30</x:v>
      </x:c>
      <x:c r="C274" s="84" t="n">
        <x:v>9</x:v>
      </x:c>
      <x:c r="D274" s="84" t="str">
        <x:v>Setembro</x:v>
      </x:c>
      <x:c r="E274" s="84" t="n">
        <x:v>3</x:v>
      </x:c>
      <x:c r="F274" s="84" t="n">
        <x:v>2023</x:v>
      </x:c>
      <x:c r="G274" s="84" t="n">
        <x:v>39</x:v>
      </x:c>
      <x:c r="H274" s="84" t="str">
        <x:v>Sábado</x:v>
      </x:c>
      <x:c r="I274" s="85" t="n">
        <x:v>0</x:v>
      </x:c>
    </x:row>
    <x:row r="275">
      <x:c r="A275" s="95" t="n">
        <x:v>45200</x:v>
      </x:c>
      <x:c r="B275" s="84" t="n">
        <x:v>1</x:v>
      </x:c>
      <x:c r="C275" s="84" t="n">
        <x:v>10</x:v>
      </x:c>
      <x:c r="D275" s="84" t="str">
        <x:v>Outubro</x:v>
      </x:c>
      <x:c r="E275" s="84" t="n">
        <x:v>4</x:v>
      </x:c>
      <x:c r="F275" s="84" t="n">
        <x:v>2023</x:v>
      </x:c>
      <x:c r="G275" s="84" t="n">
        <x:v>39</x:v>
      </x:c>
      <x:c r="H275" s="84" t="str">
        <x:v>Domingo</x:v>
      </x:c>
      <x:c r="I275" s="85" t="n">
        <x:v>0</x:v>
      </x:c>
    </x:row>
    <x:row r="276">
      <x:c r="A276" s="95" t="n">
        <x:v>45201</x:v>
      </x:c>
      <x:c r="B276" s="84" t="n">
        <x:v>2</x:v>
      </x:c>
      <x:c r="C276" s="84" t="n">
        <x:v>10</x:v>
      </x:c>
      <x:c r="D276" s="84" t="str">
        <x:v>Outubro</x:v>
      </x:c>
      <x:c r="E276" s="84" t="n">
        <x:v>4</x:v>
      </x:c>
      <x:c r="F276" s="84" t="n">
        <x:v>2023</x:v>
      </x:c>
      <x:c r="G276" s="84" t="n">
        <x:v>40</x:v>
      </x:c>
      <x:c r="H276" s="84" t="str">
        <x:v>Segunda</x:v>
      </x:c>
      <x:c r="I276" s="85" t="n">
        <x:v>1</x:v>
      </x:c>
    </x:row>
    <x:row r="277">
      <x:c r="A277" s="95" t="n">
        <x:v>45202</x:v>
      </x:c>
      <x:c r="B277" s="84" t="n">
        <x:v>3</x:v>
      </x:c>
      <x:c r="C277" s="84" t="n">
        <x:v>10</x:v>
      </x:c>
      <x:c r="D277" s="84" t="str">
        <x:v>Outubro</x:v>
      </x:c>
      <x:c r="E277" s="84" t="n">
        <x:v>4</x:v>
      </x:c>
      <x:c r="F277" s="84" t="n">
        <x:v>2023</x:v>
      </x:c>
      <x:c r="G277" s="84" t="n">
        <x:v>40</x:v>
      </x:c>
      <x:c r="H277" s="84" t="str">
        <x:v>Terça</x:v>
      </x:c>
      <x:c r="I277" s="85" t="n">
        <x:v>1</x:v>
      </x:c>
    </x:row>
    <x:row r="278">
      <x:c r="A278" s="95" t="n">
        <x:v>45203</x:v>
      </x:c>
      <x:c r="B278" s="84" t="n">
        <x:v>4</x:v>
      </x:c>
      <x:c r="C278" s="84" t="n">
        <x:v>10</x:v>
      </x:c>
      <x:c r="D278" s="84" t="str">
        <x:v>Outubro</x:v>
      </x:c>
      <x:c r="E278" s="84" t="n">
        <x:v>4</x:v>
      </x:c>
      <x:c r="F278" s="84" t="n">
        <x:v>2023</x:v>
      </x:c>
      <x:c r="G278" s="84" t="n">
        <x:v>40</x:v>
      </x:c>
      <x:c r="H278" s="84" t="str">
        <x:v>Quarta</x:v>
      </x:c>
      <x:c r="I278" s="85" t="n">
        <x:v>1</x:v>
      </x:c>
    </x:row>
    <x:row r="279">
      <x:c r="A279" s="95" t="n">
        <x:v>45204</x:v>
      </x:c>
      <x:c r="B279" s="84" t="n">
        <x:v>5</x:v>
      </x:c>
      <x:c r="C279" s="84" t="n">
        <x:v>10</x:v>
      </x:c>
      <x:c r="D279" s="84" t="str">
        <x:v>Outubro</x:v>
      </x:c>
      <x:c r="E279" s="84" t="n">
        <x:v>4</x:v>
      </x:c>
      <x:c r="F279" s="84" t="n">
        <x:v>2023</x:v>
      </x:c>
      <x:c r="G279" s="84" t="n">
        <x:v>40</x:v>
      </x:c>
      <x:c r="H279" s="84" t="str">
        <x:v>Quinta</x:v>
      </x:c>
      <x:c r="I279" s="85" t="n">
        <x:v>1</x:v>
      </x:c>
    </x:row>
    <x:row r="280">
      <x:c r="A280" s="95" t="n">
        <x:v>45205</x:v>
      </x:c>
      <x:c r="B280" s="84" t="n">
        <x:v>6</x:v>
      </x:c>
      <x:c r="C280" s="84" t="n">
        <x:v>10</x:v>
      </x:c>
      <x:c r="D280" s="84" t="str">
        <x:v>Outubro</x:v>
      </x:c>
      <x:c r="E280" s="84" t="n">
        <x:v>4</x:v>
      </x:c>
      <x:c r="F280" s="84" t="n">
        <x:v>2023</x:v>
      </x:c>
      <x:c r="G280" s="84" t="n">
        <x:v>40</x:v>
      </x:c>
      <x:c r="H280" s="84" t="str">
        <x:v>Sexta</x:v>
      </x:c>
      <x:c r="I280" s="85" t="n">
        <x:v>1</x:v>
      </x:c>
    </x:row>
    <x:row r="281">
      <x:c r="A281" s="95" t="n">
        <x:v>45206</x:v>
      </x:c>
      <x:c r="B281" s="84" t="n">
        <x:v>7</x:v>
      </x:c>
      <x:c r="C281" s="84" t="n">
        <x:v>10</x:v>
      </x:c>
      <x:c r="D281" s="84" t="str">
        <x:v>Outubro</x:v>
      </x:c>
      <x:c r="E281" s="84" t="n">
        <x:v>4</x:v>
      </x:c>
      <x:c r="F281" s="84" t="n">
        <x:v>2023</x:v>
      </x:c>
      <x:c r="G281" s="84" t="n">
        <x:v>40</x:v>
      </x:c>
      <x:c r="H281" s="84" t="str">
        <x:v>Sábado</x:v>
      </x:c>
      <x:c r="I281" s="85" t="n">
        <x:v>0</x:v>
      </x:c>
    </x:row>
    <x:row r="282">
      <x:c r="A282" s="95" t="n">
        <x:v>45207</x:v>
      </x:c>
      <x:c r="B282" s="84" t="n">
        <x:v>8</x:v>
      </x:c>
      <x:c r="C282" s="84" t="n">
        <x:v>10</x:v>
      </x:c>
      <x:c r="D282" s="84" t="str">
        <x:v>Outubro</x:v>
      </x:c>
      <x:c r="E282" s="84" t="n">
        <x:v>4</x:v>
      </x:c>
      <x:c r="F282" s="84" t="n">
        <x:v>2023</x:v>
      </x:c>
      <x:c r="G282" s="84" t="n">
        <x:v>40</x:v>
      </x:c>
      <x:c r="H282" s="84" t="str">
        <x:v>Domingo</x:v>
      </x:c>
      <x:c r="I282" s="85" t="n">
        <x:v>0</x:v>
      </x:c>
    </x:row>
    <x:row r="283">
      <x:c r="A283" s="95" t="n">
        <x:v>45208</x:v>
      </x:c>
      <x:c r="B283" s="84" t="n">
        <x:v>9</x:v>
      </x:c>
      <x:c r="C283" s="84" t="n">
        <x:v>10</x:v>
      </x:c>
      <x:c r="D283" s="84" t="str">
        <x:v>Outubro</x:v>
      </x:c>
      <x:c r="E283" s="84" t="n">
        <x:v>4</x:v>
      </x:c>
      <x:c r="F283" s="84" t="n">
        <x:v>2023</x:v>
      </x:c>
      <x:c r="G283" s="84" t="n">
        <x:v>41</x:v>
      </x:c>
      <x:c r="H283" s="84" t="str">
        <x:v>Segunda</x:v>
      </x:c>
      <x:c r="I283" s="85" t="n">
        <x:v>1</x:v>
      </x:c>
    </x:row>
    <x:row r="284">
      <x:c r="A284" s="95" t="n">
        <x:v>45209</x:v>
      </x:c>
      <x:c r="B284" s="84" t="n">
        <x:v>10</x:v>
      </x:c>
      <x:c r="C284" s="84" t="n">
        <x:v>10</x:v>
      </x:c>
      <x:c r="D284" s="84" t="str">
        <x:v>Outubro</x:v>
      </x:c>
      <x:c r="E284" s="84" t="n">
        <x:v>4</x:v>
      </x:c>
      <x:c r="F284" s="84" t="n">
        <x:v>2023</x:v>
      </x:c>
      <x:c r="G284" s="84" t="n">
        <x:v>41</x:v>
      </x:c>
      <x:c r="H284" s="84" t="str">
        <x:v>Terça</x:v>
      </x:c>
      <x:c r="I284" s="85" t="n">
        <x:v>1</x:v>
      </x:c>
    </x:row>
    <x:row r="285">
      <x:c r="A285" s="95" t="n">
        <x:v>45210</x:v>
      </x:c>
      <x:c r="B285" s="84" t="n">
        <x:v>11</x:v>
      </x:c>
      <x:c r="C285" s="84" t="n">
        <x:v>10</x:v>
      </x:c>
      <x:c r="D285" s="84" t="str">
        <x:v>Outubro</x:v>
      </x:c>
      <x:c r="E285" s="84" t="n">
        <x:v>4</x:v>
      </x:c>
      <x:c r="F285" s="84" t="n">
        <x:v>2023</x:v>
      </x:c>
      <x:c r="G285" s="84" t="n">
        <x:v>41</x:v>
      </x:c>
      <x:c r="H285" s="84" t="str">
        <x:v>Quarta</x:v>
      </x:c>
      <x:c r="I285" s="85" t="n">
        <x:v>1</x:v>
      </x:c>
    </x:row>
    <x:row r="286">
      <x:c r="A286" s="95" t="n">
        <x:v>45211</x:v>
      </x:c>
      <x:c r="B286" s="84" t="n">
        <x:v>12</x:v>
      </x:c>
      <x:c r="C286" s="84" t="n">
        <x:v>10</x:v>
      </x:c>
      <x:c r="D286" s="84" t="str">
        <x:v>Outubro</x:v>
      </x:c>
      <x:c r="E286" s="84" t="n">
        <x:v>4</x:v>
      </x:c>
      <x:c r="F286" s="84" t="n">
        <x:v>2023</x:v>
      </x:c>
      <x:c r="G286" s="84" t="n">
        <x:v>41</x:v>
      </x:c>
      <x:c r="H286" s="84" t="str">
        <x:v>Quinta</x:v>
      </x:c>
      <x:c r="I286" s="85" t="n">
        <x:v>1</x:v>
      </x:c>
    </x:row>
    <x:row r="287">
      <x:c r="A287" s="95" t="n">
        <x:v>45212</x:v>
      </x:c>
      <x:c r="B287" s="84" t="n">
        <x:v>13</x:v>
      </x:c>
      <x:c r="C287" s="84" t="n">
        <x:v>10</x:v>
      </x:c>
      <x:c r="D287" s="84" t="str">
        <x:v>Outubro</x:v>
      </x:c>
      <x:c r="E287" s="84" t="n">
        <x:v>4</x:v>
      </x:c>
      <x:c r="F287" s="84" t="n">
        <x:v>2023</x:v>
      </x:c>
      <x:c r="G287" s="84" t="n">
        <x:v>41</x:v>
      </x:c>
      <x:c r="H287" s="84" t="str">
        <x:v>Sexta</x:v>
      </x:c>
      <x:c r="I287" s="85" t="n">
        <x:v>1</x:v>
      </x:c>
    </x:row>
    <x:row r="288">
      <x:c r="A288" s="95" t="n">
        <x:v>45213</x:v>
      </x:c>
      <x:c r="B288" s="84" t="n">
        <x:v>14</x:v>
      </x:c>
      <x:c r="C288" s="84" t="n">
        <x:v>10</x:v>
      </x:c>
      <x:c r="D288" s="84" t="str">
        <x:v>Outubro</x:v>
      </x:c>
      <x:c r="E288" s="84" t="n">
        <x:v>4</x:v>
      </x:c>
      <x:c r="F288" s="84" t="n">
        <x:v>2023</x:v>
      </x:c>
      <x:c r="G288" s="84" t="n">
        <x:v>41</x:v>
      </x:c>
      <x:c r="H288" s="84" t="str">
        <x:v>Sábado</x:v>
      </x:c>
      <x:c r="I288" s="85" t="n">
        <x:v>0</x:v>
      </x:c>
    </x:row>
    <x:row r="289">
      <x:c r="A289" s="95" t="n">
        <x:v>45214</x:v>
      </x:c>
      <x:c r="B289" s="84" t="n">
        <x:v>15</x:v>
      </x:c>
      <x:c r="C289" s="84" t="n">
        <x:v>10</x:v>
      </x:c>
      <x:c r="D289" s="84" t="str">
        <x:v>Outubro</x:v>
      </x:c>
      <x:c r="E289" s="84" t="n">
        <x:v>4</x:v>
      </x:c>
      <x:c r="F289" s="84" t="n">
        <x:v>2023</x:v>
      </x:c>
      <x:c r="G289" s="84" t="n">
        <x:v>41</x:v>
      </x:c>
      <x:c r="H289" s="84" t="str">
        <x:v>Domingo</x:v>
      </x:c>
      <x:c r="I289" s="85" t="n">
        <x:v>0</x:v>
      </x:c>
    </x:row>
    <x:row r="290">
      <x:c r="A290" s="95" t="n">
        <x:v>45215</x:v>
      </x:c>
      <x:c r="B290" s="84" t="n">
        <x:v>16</x:v>
      </x:c>
      <x:c r="C290" s="84" t="n">
        <x:v>10</x:v>
      </x:c>
      <x:c r="D290" s="84" t="str">
        <x:v>Outubro</x:v>
      </x:c>
      <x:c r="E290" s="84" t="n">
        <x:v>4</x:v>
      </x:c>
      <x:c r="F290" s="84" t="n">
        <x:v>2023</x:v>
      </x:c>
      <x:c r="G290" s="84" t="n">
        <x:v>42</x:v>
      </x:c>
      <x:c r="H290" s="84" t="str">
        <x:v>Segunda</x:v>
      </x:c>
      <x:c r="I290" s="85" t="n">
        <x:v>1</x:v>
      </x:c>
    </x:row>
    <x:row r="291">
      <x:c r="A291" s="95" t="n">
        <x:v>45216</x:v>
      </x:c>
      <x:c r="B291" s="84" t="n">
        <x:v>17</x:v>
      </x:c>
      <x:c r="C291" s="84" t="n">
        <x:v>10</x:v>
      </x:c>
      <x:c r="D291" s="84" t="str">
        <x:v>Outubro</x:v>
      </x:c>
      <x:c r="E291" s="84" t="n">
        <x:v>4</x:v>
      </x:c>
      <x:c r="F291" s="84" t="n">
        <x:v>2023</x:v>
      </x:c>
      <x:c r="G291" s="84" t="n">
        <x:v>42</x:v>
      </x:c>
      <x:c r="H291" s="84" t="str">
        <x:v>Terça</x:v>
      </x:c>
      <x:c r="I291" s="85" t="n">
        <x:v>1</x:v>
      </x:c>
    </x:row>
    <x:row r="292">
      <x:c r="A292" s="95" t="n">
        <x:v>45217</x:v>
      </x:c>
      <x:c r="B292" s="84" t="n">
        <x:v>18</x:v>
      </x:c>
      <x:c r="C292" s="84" t="n">
        <x:v>10</x:v>
      </x:c>
      <x:c r="D292" s="84" t="str">
        <x:v>Outubro</x:v>
      </x:c>
      <x:c r="E292" s="84" t="n">
        <x:v>4</x:v>
      </x:c>
      <x:c r="F292" s="84" t="n">
        <x:v>2023</x:v>
      </x:c>
      <x:c r="G292" s="84" t="n">
        <x:v>42</x:v>
      </x:c>
      <x:c r="H292" s="84" t="str">
        <x:v>Quarta</x:v>
      </x:c>
      <x:c r="I292" s="85" t="n">
        <x:v>1</x:v>
      </x:c>
    </x:row>
    <x:row r="293">
      <x:c r="A293" s="95" t="n">
        <x:v>45218</x:v>
      </x:c>
      <x:c r="B293" s="84" t="n">
        <x:v>19</x:v>
      </x:c>
      <x:c r="C293" s="84" t="n">
        <x:v>10</x:v>
      </x:c>
      <x:c r="D293" s="84" t="str">
        <x:v>Outubro</x:v>
      </x:c>
      <x:c r="E293" s="84" t="n">
        <x:v>4</x:v>
      </x:c>
      <x:c r="F293" s="84" t="n">
        <x:v>2023</x:v>
      </x:c>
      <x:c r="G293" s="84" t="n">
        <x:v>42</x:v>
      </x:c>
      <x:c r="H293" s="84" t="str">
        <x:v>Quinta</x:v>
      </x:c>
      <x:c r="I293" s="85" t="n">
        <x:v>1</x:v>
      </x:c>
    </x:row>
    <x:row r="294">
      <x:c r="A294" s="95" t="n">
        <x:v>45219</x:v>
      </x:c>
      <x:c r="B294" s="84" t="n">
        <x:v>20</x:v>
      </x:c>
      <x:c r="C294" s="84" t="n">
        <x:v>10</x:v>
      </x:c>
      <x:c r="D294" s="84" t="str">
        <x:v>Outubro</x:v>
      </x:c>
      <x:c r="E294" s="84" t="n">
        <x:v>4</x:v>
      </x:c>
      <x:c r="F294" s="84" t="n">
        <x:v>2023</x:v>
      </x:c>
      <x:c r="G294" s="84" t="n">
        <x:v>42</x:v>
      </x:c>
      <x:c r="H294" s="84" t="str">
        <x:v>Sexta</x:v>
      </x:c>
      <x:c r="I294" s="85" t="n">
        <x:v>1</x:v>
      </x:c>
    </x:row>
    <x:row r="295">
      <x:c r="A295" s="95" t="n">
        <x:v>45220</x:v>
      </x:c>
      <x:c r="B295" s="84" t="n">
        <x:v>21</x:v>
      </x:c>
      <x:c r="C295" s="84" t="n">
        <x:v>10</x:v>
      </x:c>
      <x:c r="D295" s="84" t="str">
        <x:v>Outubro</x:v>
      </x:c>
      <x:c r="E295" s="84" t="n">
        <x:v>4</x:v>
      </x:c>
      <x:c r="F295" s="84" t="n">
        <x:v>2023</x:v>
      </x:c>
      <x:c r="G295" s="84" t="n">
        <x:v>42</x:v>
      </x:c>
      <x:c r="H295" s="84" t="str">
        <x:v>Sábado</x:v>
      </x:c>
      <x:c r="I295" s="85" t="n">
        <x:v>0</x:v>
      </x:c>
    </x:row>
    <x:row r="296">
      <x:c r="A296" s="95" t="n">
        <x:v>45221</x:v>
      </x:c>
      <x:c r="B296" s="84" t="n">
        <x:v>22</x:v>
      </x:c>
      <x:c r="C296" s="84" t="n">
        <x:v>10</x:v>
      </x:c>
      <x:c r="D296" s="84" t="str">
        <x:v>Outubro</x:v>
      </x:c>
      <x:c r="E296" s="84" t="n">
        <x:v>4</x:v>
      </x:c>
      <x:c r="F296" s="84" t="n">
        <x:v>2023</x:v>
      </x:c>
      <x:c r="G296" s="84" t="n">
        <x:v>42</x:v>
      </x:c>
      <x:c r="H296" s="84" t="str">
        <x:v>Domingo</x:v>
      </x:c>
      <x:c r="I296" s="85" t="n">
        <x:v>0</x:v>
      </x:c>
    </x:row>
    <x:row r="297">
      <x:c r="A297" s="95" t="n">
        <x:v>45222</x:v>
      </x:c>
      <x:c r="B297" s="84" t="n">
        <x:v>23</x:v>
      </x:c>
      <x:c r="C297" s="84" t="n">
        <x:v>10</x:v>
      </x:c>
      <x:c r="D297" s="84" t="str">
        <x:v>Outubro</x:v>
      </x:c>
      <x:c r="E297" s="84" t="n">
        <x:v>4</x:v>
      </x:c>
      <x:c r="F297" s="84" t="n">
        <x:v>2023</x:v>
      </x:c>
      <x:c r="G297" s="84" t="n">
        <x:v>43</x:v>
      </x:c>
      <x:c r="H297" s="84" t="str">
        <x:v>Segunda</x:v>
      </x:c>
      <x:c r="I297" s="85" t="n">
        <x:v>1</x:v>
      </x:c>
    </x:row>
    <x:row r="298">
      <x:c r="A298" s="95" t="n">
        <x:v>45223</x:v>
      </x:c>
      <x:c r="B298" s="84" t="n">
        <x:v>24</x:v>
      </x:c>
      <x:c r="C298" s="84" t="n">
        <x:v>10</x:v>
      </x:c>
      <x:c r="D298" s="84" t="str">
        <x:v>Outubro</x:v>
      </x:c>
      <x:c r="E298" s="84" t="n">
        <x:v>4</x:v>
      </x:c>
      <x:c r="F298" s="84" t="n">
        <x:v>2023</x:v>
      </x:c>
      <x:c r="G298" s="84" t="n">
        <x:v>43</x:v>
      </x:c>
      <x:c r="H298" s="84" t="str">
        <x:v>Terça</x:v>
      </x:c>
      <x:c r="I298" s="85" t="n">
        <x:v>1</x:v>
      </x:c>
    </x:row>
    <x:row r="299">
      <x:c r="A299" s="95" t="n">
        <x:v>45224</x:v>
      </x:c>
      <x:c r="B299" s="84" t="n">
        <x:v>25</x:v>
      </x:c>
      <x:c r="C299" s="84" t="n">
        <x:v>10</x:v>
      </x:c>
      <x:c r="D299" s="84" t="str">
        <x:v>Outubro</x:v>
      </x:c>
      <x:c r="E299" s="84" t="n">
        <x:v>4</x:v>
      </x:c>
      <x:c r="F299" s="84" t="n">
        <x:v>2023</x:v>
      </x:c>
      <x:c r="G299" s="84" t="n">
        <x:v>43</x:v>
      </x:c>
      <x:c r="H299" s="84" t="str">
        <x:v>Quarta</x:v>
      </x:c>
      <x:c r="I299" s="85" t="n">
        <x:v>1</x:v>
      </x:c>
    </x:row>
    <x:row r="300">
      <x:c r="A300" s="95" t="n">
        <x:v>45225</x:v>
      </x:c>
      <x:c r="B300" s="84" t="n">
        <x:v>26</x:v>
      </x:c>
      <x:c r="C300" s="84" t="n">
        <x:v>10</x:v>
      </x:c>
      <x:c r="D300" s="84" t="str">
        <x:v>Outubro</x:v>
      </x:c>
      <x:c r="E300" s="84" t="n">
        <x:v>4</x:v>
      </x:c>
      <x:c r="F300" s="84" t="n">
        <x:v>2023</x:v>
      </x:c>
      <x:c r="G300" s="84" t="n">
        <x:v>43</x:v>
      </x:c>
      <x:c r="H300" s="84" t="str">
        <x:v>Quinta</x:v>
      </x:c>
      <x:c r="I300" s="85" t="n">
        <x:v>1</x:v>
      </x:c>
    </x:row>
    <x:row r="301">
      <x:c r="A301" s="95" t="n">
        <x:v>45226</x:v>
      </x:c>
      <x:c r="B301" s="84" t="n">
        <x:v>27</x:v>
      </x:c>
      <x:c r="C301" s="84" t="n">
        <x:v>10</x:v>
      </x:c>
      <x:c r="D301" s="84" t="str">
        <x:v>Outubro</x:v>
      </x:c>
      <x:c r="E301" s="84" t="n">
        <x:v>4</x:v>
      </x:c>
      <x:c r="F301" s="84" t="n">
        <x:v>2023</x:v>
      </x:c>
      <x:c r="G301" s="84" t="n">
        <x:v>43</x:v>
      </x:c>
      <x:c r="H301" s="84" t="str">
        <x:v>Sexta</x:v>
      </x:c>
      <x:c r="I301" s="85" t="n">
        <x:v>1</x:v>
      </x:c>
    </x:row>
    <x:row r="302">
      <x:c r="A302" s="95" t="n">
        <x:v>45227</x:v>
      </x:c>
      <x:c r="B302" s="84" t="n">
        <x:v>28</x:v>
      </x:c>
      <x:c r="C302" s="84" t="n">
        <x:v>10</x:v>
      </x:c>
      <x:c r="D302" s="84" t="str">
        <x:v>Outubro</x:v>
      </x:c>
      <x:c r="E302" s="84" t="n">
        <x:v>4</x:v>
      </x:c>
      <x:c r="F302" s="84" t="n">
        <x:v>2023</x:v>
      </x:c>
      <x:c r="G302" s="84" t="n">
        <x:v>43</x:v>
      </x:c>
      <x:c r="H302" s="84" t="str">
        <x:v>Sábado</x:v>
      </x:c>
      <x:c r="I302" s="85" t="n">
        <x:v>0</x:v>
      </x:c>
    </x:row>
    <x:row r="303">
      <x:c r="A303" s="95" t="n">
        <x:v>45228</x:v>
      </x:c>
      <x:c r="B303" s="84" t="n">
        <x:v>29</x:v>
      </x:c>
      <x:c r="C303" s="84" t="n">
        <x:v>10</x:v>
      </x:c>
      <x:c r="D303" s="84" t="str">
        <x:v>Outubro</x:v>
      </x:c>
      <x:c r="E303" s="84" t="n">
        <x:v>4</x:v>
      </x:c>
      <x:c r="F303" s="84" t="n">
        <x:v>2023</x:v>
      </x:c>
      <x:c r="G303" s="84" t="n">
        <x:v>43</x:v>
      </x:c>
      <x:c r="H303" s="84" t="str">
        <x:v>Domingo</x:v>
      </x:c>
      <x:c r="I303" s="85" t="n">
        <x:v>0</x:v>
      </x:c>
    </x:row>
    <x:row r="304">
      <x:c r="A304" s="95" t="n">
        <x:v>45229</x:v>
      </x:c>
      <x:c r="B304" s="84" t="n">
        <x:v>30</x:v>
      </x:c>
      <x:c r="C304" s="84" t="n">
        <x:v>10</x:v>
      </x:c>
      <x:c r="D304" s="84" t="str">
        <x:v>Outubro</x:v>
      </x:c>
      <x:c r="E304" s="84" t="n">
        <x:v>4</x:v>
      </x:c>
      <x:c r="F304" s="84" t="n">
        <x:v>2023</x:v>
      </x:c>
      <x:c r="G304" s="84" t="n">
        <x:v>44</x:v>
      </x:c>
      <x:c r="H304" s="84" t="str">
        <x:v>Segunda</x:v>
      </x:c>
      <x:c r="I304" s="85" t="n">
        <x:v>1</x:v>
      </x:c>
    </x:row>
    <x:row r="305">
      <x:c r="A305" s="95" t="n">
        <x:v>45230</x:v>
      </x:c>
      <x:c r="B305" s="84" t="n">
        <x:v>31</x:v>
      </x:c>
      <x:c r="C305" s="84" t="n">
        <x:v>10</x:v>
      </x:c>
      <x:c r="D305" s="84" t="str">
        <x:v>Outubro</x:v>
      </x:c>
      <x:c r="E305" s="84" t="n">
        <x:v>4</x:v>
      </x:c>
      <x:c r="F305" s="84" t="n">
        <x:v>2023</x:v>
      </x:c>
      <x:c r="G305" s="84" t="n">
        <x:v>44</x:v>
      </x:c>
      <x:c r="H305" s="84" t="str">
        <x:v>Terça</x:v>
      </x:c>
      <x:c r="I305" s="85" t="n">
        <x:v>1</x:v>
      </x:c>
    </x:row>
    <x:row r="306">
      <x:c r="A306" s="95" t="n">
        <x:v>45231</x:v>
      </x:c>
      <x:c r="B306" s="84" t="n">
        <x:v>1</x:v>
      </x:c>
      <x:c r="C306" s="84" t="n">
        <x:v>11</x:v>
      </x:c>
      <x:c r="D306" s="84" t="str">
        <x:v>Novembro</x:v>
      </x:c>
      <x:c r="E306" s="84" t="n">
        <x:v>4</x:v>
      </x:c>
      <x:c r="F306" s="84" t="n">
        <x:v>2023</x:v>
      </x:c>
      <x:c r="G306" s="84" t="n">
        <x:v>44</x:v>
      </x:c>
      <x:c r="H306" s="84" t="str">
        <x:v>Quarta</x:v>
      </x:c>
      <x:c r="I306" s="85" t="n">
        <x:v>1</x:v>
      </x:c>
    </x:row>
    <x:row r="307">
      <x:c r="A307" s="95" t="n">
        <x:v>45232</x:v>
      </x:c>
      <x:c r="B307" s="84" t="n">
        <x:v>2</x:v>
      </x:c>
      <x:c r="C307" s="84" t="n">
        <x:v>11</x:v>
      </x:c>
      <x:c r="D307" s="84" t="str">
        <x:v>Novembro</x:v>
      </x:c>
      <x:c r="E307" s="84" t="n">
        <x:v>4</x:v>
      </x:c>
      <x:c r="F307" s="84" t="n">
        <x:v>2023</x:v>
      </x:c>
      <x:c r="G307" s="84" t="n">
        <x:v>44</x:v>
      </x:c>
      <x:c r="H307" s="84" t="str">
        <x:v>Quinta</x:v>
      </x:c>
      <x:c r="I307" s="85" t="n">
        <x:v>1</x:v>
      </x:c>
    </x:row>
    <x:row r="308">
      <x:c r="A308" s="95" t="n">
        <x:v>45233</x:v>
      </x:c>
      <x:c r="B308" s="84" t="n">
        <x:v>3</x:v>
      </x:c>
      <x:c r="C308" s="84" t="n">
        <x:v>11</x:v>
      </x:c>
      <x:c r="D308" s="84" t="str">
        <x:v>Novembro</x:v>
      </x:c>
      <x:c r="E308" s="84" t="n">
        <x:v>4</x:v>
      </x:c>
      <x:c r="F308" s="84" t="n">
        <x:v>2023</x:v>
      </x:c>
      <x:c r="G308" s="84" t="n">
        <x:v>44</x:v>
      </x:c>
      <x:c r="H308" s="84" t="str">
        <x:v>Sexta</x:v>
      </x:c>
      <x:c r="I308" s="85" t="n">
        <x:v>1</x:v>
      </x:c>
    </x:row>
    <x:row r="309">
      <x:c r="A309" s="95" t="n">
        <x:v>45234</x:v>
      </x:c>
      <x:c r="B309" s="84" t="n">
        <x:v>4</x:v>
      </x:c>
      <x:c r="C309" s="84" t="n">
        <x:v>11</x:v>
      </x:c>
      <x:c r="D309" s="84" t="str">
        <x:v>Novembro</x:v>
      </x:c>
      <x:c r="E309" s="84" t="n">
        <x:v>4</x:v>
      </x:c>
      <x:c r="F309" s="84" t="n">
        <x:v>2023</x:v>
      </x:c>
      <x:c r="G309" s="84" t="n">
        <x:v>44</x:v>
      </x:c>
      <x:c r="H309" s="84" t="str">
        <x:v>Sábado</x:v>
      </x:c>
      <x:c r="I309" s="85" t="n">
        <x:v>0</x:v>
      </x:c>
    </x:row>
    <x:row r="310">
      <x:c r="A310" s="95" t="n">
        <x:v>45235</x:v>
      </x:c>
      <x:c r="B310" s="84" t="n">
        <x:v>5</x:v>
      </x:c>
      <x:c r="C310" s="84" t="n">
        <x:v>11</x:v>
      </x:c>
      <x:c r="D310" s="84" t="str">
        <x:v>Novembro</x:v>
      </x:c>
      <x:c r="E310" s="84" t="n">
        <x:v>4</x:v>
      </x:c>
      <x:c r="F310" s="84" t="n">
        <x:v>2023</x:v>
      </x:c>
      <x:c r="G310" s="84" t="n">
        <x:v>44</x:v>
      </x:c>
      <x:c r="H310" s="84" t="str">
        <x:v>Domingo</x:v>
      </x:c>
      <x:c r="I310" s="85" t="n">
        <x:v>0</x:v>
      </x:c>
    </x:row>
    <x:row r="311">
      <x:c r="A311" s="95" t="n">
        <x:v>45236</x:v>
      </x:c>
      <x:c r="B311" s="84" t="n">
        <x:v>6</x:v>
      </x:c>
      <x:c r="C311" s="84" t="n">
        <x:v>11</x:v>
      </x:c>
      <x:c r="D311" s="84" t="str">
        <x:v>Novembro</x:v>
      </x:c>
      <x:c r="E311" s="84" t="n">
        <x:v>4</x:v>
      </x:c>
      <x:c r="F311" s="84" t="n">
        <x:v>2023</x:v>
      </x:c>
      <x:c r="G311" s="84" t="n">
        <x:v>45</x:v>
      </x:c>
      <x:c r="H311" s="84" t="str">
        <x:v>Segunda</x:v>
      </x:c>
      <x:c r="I311" s="85" t="n">
        <x:v>1</x:v>
      </x:c>
    </x:row>
    <x:row r="312">
      <x:c r="A312" s="95" t="n">
        <x:v>45237</x:v>
      </x:c>
      <x:c r="B312" s="84" t="n">
        <x:v>7</x:v>
      </x:c>
      <x:c r="C312" s="84" t="n">
        <x:v>11</x:v>
      </x:c>
      <x:c r="D312" s="84" t="str">
        <x:v>Novembro</x:v>
      </x:c>
      <x:c r="E312" s="84" t="n">
        <x:v>4</x:v>
      </x:c>
      <x:c r="F312" s="84" t="n">
        <x:v>2023</x:v>
      </x:c>
      <x:c r="G312" s="84" t="n">
        <x:v>45</x:v>
      </x:c>
      <x:c r="H312" s="84" t="str">
        <x:v>Terça</x:v>
      </x:c>
      <x:c r="I312" s="85" t="n">
        <x:v>1</x:v>
      </x:c>
    </x:row>
    <x:row r="313">
      <x:c r="A313" s="95" t="n">
        <x:v>45238</x:v>
      </x:c>
      <x:c r="B313" s="84" t="n">
        <x:v>8</x:v>
      </x:c>
      <x:c r="C313" s="84" t="n">
        <x:v>11</x:v>
      </x:c>
      <x:c r="D313" s="84" t="str">
        <x:v>Novembro</x:v>
      </x:c>
      <x:c r="E313" s="84" t="n">
        <x:v>4</x:v>
      </x:c>
      <x:c r="F313" s="84" t="n">
        <x:v>2023</x:v>
      </x:c>
      <x:c r="G313" s="84" t="n">
        <x:v>45</x:v>
      </x:c>
      <x:c r="H313" s="84" t="str">
        <x:v>Quarta</x:v>
      </x:c>
      <x:c r="I313" s="85" t="n">
        <x:v>1</x:v>
      </x:c>
    </x:row>
    <x:row r="314">
      <x:c r="A314" s="95" t="n">
        <x:v>45239</x:v>
      </x:c>
      <x:c r="B314" s="84" t="n">
        <x:v>9</x:v>
      </x:c>
      <x:c r="C314" s="84" t="n">
        <x:v>11</x:v>
      </x:c>
      <x:c r="D314" s="84" t="str">
        <x:v>Novembro</x:v>
      </x:c>
      <x:c r="E314" s="84" t="n">
        <x:v>4</x:v>
      </x:c>
      <x:c r="F314" s="84" t="n">
        <x:v>2023</x:v>
      </x:c>
      <x:c r="G314" s="84" t="n">
        <x:v>45</x:v>
      </x:c>
      <x:c r="H314" s="84" t="str">
        <x:v>Quinta</x:v>
      </x:c>
      <x:c r="I314" s="85" t="n">
        <x:v>1</x:v>
      </x:c>
    </x:row>
    <x:row r="315">
      <x:c r="A315" s="95" t="n">
        <x:v>45240</x:v>
      </x:c>
      <x:c r="B315" s="84" t="n">
        <x:v>10</x:v>
      </x:c>
      <x:c r="C315" s="84" t="n">
        <x:v>11</x:v>
      </x:c>
      <x:c r="D315" s="84" t="str">
        <x:v>Novembro</x:v>
      </x:c>
      <x:c r="E315" s="84" t="n">
        <x:v>4</x:v>
      </x:c>
      <x:c r="F315" s="84" t="n">
        <x:v>2023</x:v>
      </x:c>
      <x:c r="G315" s="84" t="n">
        <x:v>45</x:v>
      </x:c>
      <x:c r="H315" s="84" t="str">
        <x:v>Sexta</x:v>
      </x:c>
      <x:c r="I315" s="85" t="n">
        <x:v>1</x:v>
      </x:c>
    </x:row>
    <x:row r="316">
      <x:c r="A316" s="95" t="n">
        <x:v>45241</x:v>
      </x:c>
      <x:c r="B316" s="84" t="n">
        <x:v>11</x:v>
      </x:c>
      <x:c r="C316" s="84" t="n">
        <x:v>11</x:v>
      </x:c>
      <x:c r="D316" s="84" t="str">
        <x:v>Novembro</x:v>
      </x:c>
      <x:c r="E316" s="84" t="n">
        <x:v>4</x:v>
      </x:c>
      <x:c r="F316" s="84" t="n">
        <x:v>2023</x:v>
      </x:c>
      <x:c r="G316" s="84" t="n">
        <x:v>45</x:v>
      </x:c>
      <x:c r="H316" s="84" t="str">
        <x:v>Sábado</x:v>
      </x:c>
      <x:c r="I316" s="85" t="n">
        <x:v>0</x:v>
      </x:c>
    </x:row>
    <x:row r="317">
      <x:c r="A317" s="95" t="n">
        <x:v>45242</x:v>
      </x:c>
      <x:c r="B317" s="84" t="n">
        <x:v>12</x:v>
      </x:c>
      <x:c r="C317" s="84" t="n">
        <x:v>11</x:v>
      </x:c>
      <x:c r="D317" s="84" t="str">
        <x:v>Novembro</x:v>
      </x:c>
      <x:c r="E317" s="84" t="n">
        <x:v>4</x:v>
      </x:c>
      <x:c r="F317" s="84" t="n">
        <x:v>2023</x:v>
      </x:c>
      <x:c r="G317" s="84" t="n">
        <x:v>45</x:v>
      </x:c>
      <x:c r="H317" s="84" t="str">
        <x:v>Domingo</x:v>
      </x:c>
      <x:c r="I317" s="85" t="n">
        <x:v>0</x:v>
      </x:c>
    </x:row>
    <x:row r="318">
      <x:c r="A318" s="95" t="n">
        <x:v>45243</x:v>
      </x:c>
      <x:c r="B318" s="84" t="n">
        <x:v>13</x:v>
      </x:c>
      <x:c r="C318" s="84" t="n">
        <x:v>11</x:v>
      </x:c>
      <x:c r="D318" s="84" t="str">
        <x:v>Novembro</x:v>
      </x:c>
      <x:c r="E318" s="84" t="n">
        <x:v>4</x:v>
      </x:c>
      <x:c r="F318" s="84" t="n">
        <x:v>2023</x:v>
      </x:c>
      <x:c r="G318" s="84" t="n">
        <x:v>46</x:v>
      </x:c>
      <x:c r="H318" s="84" t="str">
        <x:v>Segunda</x:v>
      </x:c>
      <x:c r="I318" s="85" t="n">
        <x:v>1</x:v>
      </x:c>
    </x:row>
    <x:row r="319">
      <x:c r="A319" s="95" t="n">
        <x:v>45244</x:v>
      </x:c>
      <x:c r="B319" s="84" t="n">
        <x:v>14</x:v>
      </x:c>
      <x:c r="C319" s="84" t="n">
        <x:v>11</x:v>
      </x:c>
      <x:c r="D319" s="84" t="str">
        <x:v>Novembro</x:v>
      </x:c>
      <x:c r="E319" s="84" t="n">
        <x:v>4</x:v>
      </x:c>
      <x:c r="F319" s="84" t="n">
        <x:v>2023</x:v>
      </x:c>
      <x:c r="G319" s="84" t="n">
        <x:v>46</x:v>
      </x:c>
      <x:c r="H319" s="84" t="str">
        <x:v>Terça</x:v>
      </x:c>
      <x:c r="I319" s="85" t="n">
        <x:v>1</x:v>
      </x:c>
    </x:row>
    <x:row r="320">
      <x:c r="A320" s="95" t="n">
        <x:v>45245</x:v>
      </x:c>
      <x:c r="B320" s="84" t="n">
        <x:v>15</x:v>
      </x:c>
      <x:c r="C320" s="84" t="n">
        <x:v>11</x:v>
      </x:c>
      <x:c r="D320" s="84" t="str">
        <x:v>Novembro</x:v>
      </x:c>
      <x:c r="E320" s="84" t="n">
        <x:v>4</x:v>
      </x:c>
      <x:c r="F320" s="84" t="n">
        <x:v>2023</x:v>
      </x:c>
      <x:c r="G320" s="84" t="n">
        <x:v>46</x:v>
      </x:c>
      <x:c r="H320" s="84" t="str">
        <x:v>Quarta</x:v>
      </x:c>
      <x:c r="I320" s="85" t="n">
        <x:v>1</x:v>
      </x:c>
    </x:row>
    <x:row r="321">
      <x:c r="A321" s="95" t="n">
        <x:v>45246</x:v>
      </x:c>
      <x:c r="B321" s="84" t="n">
        <x:v>16</x:v>
      </x:c>
      <x:c r="C321" s="84" t="n">
        <x:v>11</x:v>
      </x:c>
      <x:c r="D321" s="84" t="str">
        <x:v>Novembro</x:v>
      </x:c>
      <x:c r="E321" s="84" t="n">
        <x:v>4</x:v>
      </x:c>
      <x:c r="F321" s="84" t="n">
        <x:v>2023</x:v>
      </x:c>
      <x:c r="G321" s="84" t="n">
        <x:v>46</x:v>
      </x:c>
      <x:c r="H321" s="84" t="str">
        <x:v>Quinta</x:v>
      </x:c>
      <x:c r="I321" s="85" t="n">
        <x:v>1</x:v>
      </x:c>
    </x:row>
    <x:row r="322">
      <x:c r="A322" s="95" t="n">
        <x:v>45247</x:v>
      </x:c>
      <x:c r="B322" s="84" t="n">
        <x:v>17</x:v>
      </x:c>
      <x:c r="C322" s="84" t="n">
        <x:v>11</x:v>
      </x:c>
      <x:c r="D322" s="84" t="str">
        <x:v>Novembro</x:v>
      </x:c>
      <x:c r="E322" s="84" t="n">
        <x:v>4</x:v>
      </x:c>
      <x:c r="F322" s="84" t="n">
        <x:v>2023</x:v>
      </x:c>
      <x:c r="G322" s="84" t="n">
        <x:v>46</x:v>
      </x:c>
      <x:c r="H322" s="84" t="str">
        <x:v>Sexta</x:v>
      </x:c>
      <x:c r="I322" s="85" t="n">
        <x:v>1</x:v>
      </x:c>
    </x:row>
    <x:row r="323">
      <x:c r="A323" s="95" t="n">
        <x:v>45248</x:v>
      </x:c>
      <x:c r="B323" s="84" t="n">
        <x:v>18</x:v>
      </x:c>
      <x:c r="C323" s="84" t="n">
        <x:v>11</x:v>
      </x:c>
      <x:c r="D323" s="84" t="str">
        <x:v>Novembro</x:v>
      </x:c>
      <x:c r="E323" s="84" t="n">
        <x:v>4</x:v>
      </x:c>
      <x:c r="F323" s="84" t="n">
        <x:v>2023</x:v>
      </x:c>
      <x:c r="G323" s="84" t="n">
        <x:v>46</x:v>
      </x:c>
      <x:c r="H323" s="84" t="str">
        <x:v>Sábado</x:v>
      </x:c>
      <x:c r="I323" s="85" t="n">
        <x:v>0</x:v>
      </x:c>
    </x:row>
    <x:row r="324">
      <x:c r="A324" s="95" t="n">
        <x:v>45249</x:v>
      </x:c>
      <x:c r="B324" s="84" t="n">
        <x:v>19</x:v>
      </x:c>
      <x:c r="C324" s="84" t="n">
        <x:v>11</x:v>
      </x:c>
      <x:c r="D324" s="84" t="str">
        <x:v>Novembro</x:v>
      </x:c>
      <x:c r="E324" s="84" t="n">
        <x:v>4</x:v>
      </x:c>
      <x:c r="F324" s="84" t="n">
        <x:v>2023</x:v>
      </x:c>
      <x:c r="G324" s="84" t="n">
        <x:v>46</x:v>
      </x:c>
      <x:c r="H324" s="84" t="str">
        <x:v>Domingo</x:v>
      </x:c>
      <x:c r="I324" s="85" t="n">
        <x:v>0</x:v>
      </x:c>
    </x:row>
    <x:row r="325">
      <x:c r="A325" s="95" t="n">
        <x:v>45250</x:v>
      </x:c>
      <x:c r="B325" s="84" t="n">
        <x:v>20</x:v>
      </x:c>
      <x:c r="C325" s="84" t="n">
        <x:v>11</x:v>
      </x:c>
      <x:c r="D325" s="84" t="str">
        <x:v>Novembro</x:v>
      </x:c>
      <x:c r="E325" s="84" t="n">
        <x:v>4</x:v>
      </x:c>
      <x:c r="F325" s="84" t="n">
        <x:v>2023</x:v>
      </x:c>
      <x:c r="G325" s="84" t="n">
        <x:v>47</x:v>
      </x:c>
      <x:c r="H325" s="84" t="str">
        <x:v>Segunda</x:v>
      </x:c>
      <x:c r="I325" s="85" t="n">
        <x:v>1</x:v>
      </x:c>
    </x:row>
    <x:row r="326">
      <x:c r="A326" s="95" t="n">
        <x:v>45251</x:v>
      </x:c>
      <x:c r="B326" s="84" t="n">
        <x:v>21</x:v>
      </x:c>
      <x:c r="C326" s="84" t="n">
        <x:v>11</x:v>
      </x:c>
      <x:c r="D326" s="84" t="str">
        <x:v>Novembro</x:v>
      </x:c>
      <x:c r="E326" s="84" t="n">
        <x:v>4</x:v>
      </x:c>
      <x:c r="F326" s="84" t="n">
        <x:v>2023</x:v>
      </x:c>
      <x:c r="G326" s="84" t="n">
        <x:v>47</x:v>
      </x:c>
      <x:c r="H326" s="84" t="str">
        <x:v>Terça</x:v>
      </x:c>
      <x:c r="I326" s="85" t="n">
        <x:v>1</x:v>
      </x:c>
    </x:row>
    <x:row r="327">
      <x:c r="A327" s="95" t="n">
        <x:v>45252</x:v>
      </x:c>
      <x:c r="B327" s="84" t="n">
        <x:v>22</x:v>
      </x:c>
      <x:c r="C327" s="84" t="n">
        <x:v>11</x:v>
      </x:c>
      <x:c r="D327" s="84" t="str">
        <x:v>Novembro</x:v>
      </x:c>
      <x:c r="E327" s="84" t="n">
        <x:v>4</x:v>
      </x:c>
      <x:c r="F327" s="84" t="n">
        <x:v>2023</x:v>
      </x:c>
      <x:c r="G327" s="84" t="n">
        <x:v>47</x:v>
      </x:c>
      <x:c r="H327" s="84" t="str">
        <x:v>Quarta</x:v>
      </x:c>
      <x:c r="I327" s="85" t="n">
        <x:v>1</x:v>
      </x:c>
    </x:row>
    <x:row r="328">
      <x:c r="A328" s="95" t="n">
        <x:v>45253</x:v>
      </x:c>
      <x:c r="B328" s="84" t="n">
        <x:v>23</x:v>
      </x:c>
      <x:c r="C328" s="84" t="n">
        <x:v>11</x:v>
      </x:c>
      <x:c r="D328" s="84" t="str">
        <x:v>Novembro</x:v>
      </x:c>
      <x:c r="E328" s="84" t="n">
        <x:v>4</x:v>
      </x:c>
      <x:c r="F328" s="84" t="n">
        <x:v>2023</x:v>
      </x:c>
      <x:c r="G328" s="84" t="n">
        <x:v>47</x:v>
      </x:c>
      <x:c r="H328" s="84" t="str">
        <x:v>Quinta</x:v>
      </x:c>
      <x:c r="I328" s="85" t="n">
        <x:v>1</x:v>
      </x:c>
    </x:row>
    <x:row r="329">
      <x:c r="A329" s="95" t="n">
        <x:v>45254</x:v>
      </x:c>
      <x:c r="B329" s="84" t="n">
        <x:v>24</x:v>
      </x:c>
      <x:c r="C329" s="84" t="n">
        <x:v>11</x:v>
      </x:c>
      <x:c r="D329" s="84" t="str">
        <x:v>Novembro</x:v>
      </x:c>
      <x:c r="E329" s="84" t="n">
        <x:v>4</x:v>
      </x:c>
      <x:c r="F329" s="84" t="n">
        <x:v>2023</x:v>
      </x:c>
      <x:c r="G329" s="84" t="n">
        <x:v>47</x:v>
      </x:c>
      <x:c r="H329" s="84" t="str">
        <x:v>Sexta</x:v>
      </x:c>
      <x:c r="I329" s="85" t="n">
        <x:v>1</x:v>
      </x:c>
    </x:row>
    <x:row r="330">
      <x:c r="A330" s="95" t="n">
        <x:v>45255</x:v>
      </x:c>
      <x:c r="B330" s="84" t="n">
        <x:v>25</x:v>
      </x:c>
      <x:c r="C330" s="84" t="n">
        <x:v>11</x:v>
      </x:c>
      <x:c r="D330" s="84" t="str">
        <x:v>Novembro</x:v>
      </x:c>
      <x:c r="E330" s="84" t="n">
        <x:v>4</x:v>
      </x:c>
      <x:c r="F330" s="84" t="n">
        <x:v>2023</x:v>
      </x:c>
      <x:c r="G330" s="84" t="n">
        <x:v>47</x:v>
      </x:c>
      <x:c r="H330" s="84" t="str">
        <x:v>Sábado</x:v>
      </x:c>
      <x:c r="I330" s="85" t="n">
        <x:v>0</x:v>
      </x:c>
    </x:row>
    <x:row r="331">
      <x:c r="A331" s="95" t="n">
        <x:v>45256</x:v>
      </x:c>
      <x:c r="B331" s="84" t="n">
        <x:v>26</x:v>
      </x:c>
      <x:c r="C331" s="84" t="n">
        <x:v>11</x:v>
      </x:c>
      <x:c r="D331" s="84" t="str">
        <x:v>Novembro</x:v>
      </x:c>
      <x:c r="E331" s="84" t="n">
        <x:v>4</x:v>
      </x:c>
      <x:c r="F331" s="84" t="n">
        <x:v>2023</x:v>
      </x:c>
      <x:c r="G331" s="84" t="n">
        <x:v>47</x:v>
      </x:c>
      <x:c r="H331" s="84" t="str">
        <x:v>Domingo</x:v>
      </x:c>
      <x:c r="I331" s="85" t="n">
        <x:v>0</x:v>
      </x:c>
    </x:row>
    <x:row r="332">
      <x:c r="A332" s="95" t="n">
        <x:v>45257</x:v>
      </x:c>
      <x:c r="B332" s="84" t="n">
        <x:v>27</x:v>
      </x:c>
      <x:c r="C332" s="84" t="n">
        <x:v>11</x:v>
      </x:c>
      <x:c r="D332" s="84" t="str">
        <x:v>Novembro</x:v>
      </x:c>
      <x:c r="E332" s="84" t="n">
        <x:v>4</x:v>
      </x:c>
      <x:c r="F332" s="84" t="n">
        <x:v>2023</x:v>
      </x:c>
      <x:c r="G332" s="84" t="n">
        <x:v>48</x:v>
      </x:c>
      <x:c r="H332" s="84" t="str">
        <x:v>Segunda</x:v>
      </x:c>
      <x:c r="I332" s="85" t="n">
        <x:v>1</x:v>
      </x:c>
    </x:row>
    <x:row r="333">
      <x:c r="A333" s="95" t="n">
        <x:v>45258</x:v>
      </x:c>
      <x:c r="B333" s="84" t="n">
        <x:v>28</x:v>
      </x:c>
      <x:c r="C333" s="84" t="n">
        <x:v>11</x:v>
      </x:c>
      <x:c r="D333" s="84" t="str">
        <x:v>Novembro</x:v>
      </x:c>
      <x:c r="E333" s="84" t="n">
        <x:v>4</x:v>
      </x:c>
      <x:c r="F333" s="84" t="n">
        <x:v>2023</x:v>
      </x:c>
      <x:c r="G333" s="84" t="n">
        <x:v>48</x:v>
      </x:c>
      <x:c r="H333" s="84" t="str">
        <x:v>Terça</x:v>
      </x:c>
      <x:c r="I333" s="85" t="n">
        <x:v>1</x:v>
      </x:c>
    </x:row>
    <x:row r="334">
      <x:c r="A334" s="95" t="n">
        <x:v>45259</x:v>
      </x:c>
      <x:c r="B334" s="84" t="n">
        <x:v>29</x:v>
      </x:c>
      <x:c r="C334" s="84" t="n">
        <x:v>11</x:v>
      </x:c>
      <x:c r="D334" s="84" t="str">
        <x:v>Novembro</x:v>
      </x:c>
      <x:c r="E334" s="84" t="n">
        <x:v>4</x:v>
      </x:c>
      <x:c r="F334" s="84" t="n">
        <x:v>2023</x:v>
      </x:c>
      <x:c r="G334" s="84" t="n">
        <x:v>48</x:v>
      </x:c>
      <x:c r="H334" s="84" t="str">
        <x:v>Quarta</x:v>
      </x:c>
      <x:c r="I334" s="85" t="n">
        <x:v>1</x:v>
      </x:c>
    </x:row>
    <x:row r="335">
      <x:c r="A335" s="95" t="n">
        <x:v>45260</x:v>
      </x:c>
      <x:c r="B335" s="84" t="n">
        <x:v>30</x:v>
      </x:c>
      <x:c r="C335" s="84" t="n">
        <x:v>11</x:v>
      </x:c>
      <x:c r="D335" s="84" t="str">
        <x:v>Novembro</x:v>
      </x:c>
      <x:c r="E335" s="84" t="n">
        <x:v>4</x:v>
      </x:c>
      <x:c r="F335" s="84" t="n">
        <x:v>2023</x:v>
      </x:c>
      <x:c r="G335" s="84" t="n">
        <x:v>48</x:v>
      </x:c>
      <x:c r="H335" s="84" t="str">
        <x:v>Quinta</x:v>
      </x:c>
      <x:c r="I335" s="85" t="n">
        <x:v>1</x:v>
      </x:c>
    </x:row>
    <x:row r="336">
      <x:c r="A336" s="95" t="n">
        <x:v>45261</x:v>
      </x:c>
      <x:c r="B336" s="84" t="n">
        <x:v>1</x:v>
      </x:c>
      <x:c r="C336" s="84" t="n">
        <x:v>12</x:v>
      </x:c>
      <x:c r="D336" s="84" t="str">
        <x:v>Dezembro</x:v>
      </x:c>
      <x:c r="E336" s="84" t="n">
        <x:v>4</x:v>
      </x:c>
      <x:c r="F336" s="84" t="n">
        <x:v>2023</x:v>
      </x:c>
      <x:c r="G336" s="84" t="n">
        <x:v>48</x:v>
      </x:c>
      <x:c r="H336" s="84" t="str">
        <x:v>Sexta</x:v>
      </x:c>
      <x:c r="I336" s="85" t="n">
        <x:v>1</x:v>
      </x:c>
    </x:row>
    <x:row r="337">
      <x:c r="A337" s="95" t="n">
        <x:v>45262</x:v>
      </x:c>
      <x:c r="B337" s="84" t="n">
        <x:v>2</x:v>
      </x:c>
      <x:c r="C337" s="84" t="n">
        <x:v>12</x:v>
      </x:c>
      <x:c r="D337" s="84" t="str">
        <x:v>Dezembro</x:v>
      </x:c>
      <x:c r="E337" s="84" t="n">
        <x:v>4</x:v>
      </x:c>
      <x:c r="F337" s="84" t="n">
        <x:v>2023</x:v>
      </x:c>
      <x:c r="G337" s="84" t="n">
        <x:v>48</x:v>
      </x:c>
      <x:c r="H337" s="84" t="str">
        <x:v>Sábado</x:v>
      </x:c>
      <x:c r="I337" s="85" t="n">
        <x:v>0</x:v>
      </x:c>
    </x:row>
    <x:row r="338">
      <x:c r="A338" s="95" t="n">
        <x:v>45263</x:v>
      </x:c>
      <x:c r="B338" s="84" t="n">
        <x:v>3</x:v>
      </x:c>
      <x:c r="C338" s="84" t="n">
        <x:v>12</x:v>
      </x:c>
      <x:c r="D338" s="84" t="str">
        <x:v>Dezembro</x:v>
      </x:c>
      <x:c r="E338" s="84" t="n">
        <x:v>4</x:v>
      </x:c>
      <x:c r="F338" s="84" t="n">
        <x:v>2023</x:v>
      </x:c>
      <x:c r="G338" s="84" t="n">
        <x:v>48</x:v>
      </x:c>
      <x:c r="H338" s="84" t="str">
        <x:v>Domingo</x:v>
      </x:c>
      <x:c r="I338" s="85" t="n">
        <x:v>0</x:v>
      </x:c>
    </x:row>
    <x:row r="339">
      <x:c r="A339" s="95" t="n">
        <x:v>45264</x:v>
      </x:c>
      <x:c r="B339" s="84" t="n">
        <x:v>4</x:v>
      </x:c>
      <x:c r="C339" s="84" t="n">
        <x:v>12</x:v>
      </x:c>
      <x:c r="D339" s="84" t="str">
        <x:v>Dezembro</x:v>
      </x:c>
      <x:c r="E339" s="84" t="n">
        <x:v>4</x:v>
      </x:c>
      <x:c r="F339" s="84" t="n">
        <x:v>2023</x:v>
      </x:c>
      <x:c r="G339" s="84" t="n">
        <x:v>49</x:v>
      </x:c>
      <x:c r="H339" s="84" t="str">
        <x:v>Segunda</x:v>
      </x:c>
      <x:c r="I339" s="85" t="n">
        <x:v>1</x:v>
      </x:c>
    </x:row>
    <x:row r="340">
      <x:c r="A340" s="95" t="n">
        <x:v>45265</x:v>
      </x:c>
      <x:c r="B340" s="84" t="n">
        <x:v>5</x:v>
      </x:c>
      <x:c r="C340" s="84" t="n">
        <x:v>12</x:v>
      </x:c>
      <x:c r="D340" s="84" t="str">
        <x:v>Dezembro</x:v>
      </x:c>
      <x:c r="E340" s="84" t="n">
        <x:v>4</x:v>
      </x:c>
      <x:c r="F340" s="84" t="n">
        <x:v>2023</x:v>
      </x:c>
      <x:c r="G340" s="84" t="n">
        <x:v>49</x:v>
      </x:c>
      <x:c r="H340" s="84" t="str">
        <x:v>Terça</x:v>
      </x:c>
      <x:c r="I340" s="85" t="n">
        <x:v>1</x:v>
      </x:c>
    </x:row>
    <x:row r="341">
      <x:c r="A341" s="95" t="n">
        <x:v>45266</x:v>
      </x:c>
      <x:c r="B341" s="84" t="n">
        <x:v>6</x:v>
      </x:c>
      <x:c r="C341" s="84" t="n">
        <x:v>12</x:v>
      </x:c>
      <x:c r="D341" s="84" t="str">
        <x:v>Dezembro</x:v>
      </x:c>
      <x:c r="E341" s="84" t="n">
        <x:v>4</x:v>
      </x:c>
      <x:c r="F341" s="84" t="n">
        <x:v>2023</x:v>
      </x:c>
      <x:c r="G341" s="84" t="n">
        <x:v>49</x:v>
      </x:c>
      <x:c r="H341" s="84" t="str">
        <x:v>Quarta</x:v>
      </x:c>
      <x:c r="I341" s="85" t="n">
        <x:v>1</x:v>
      </x:c>
    </x:row>
    <x:row r="342">
      <x:c r="A342" s="95" t="n">
        <x:v>45267</x:v>
      </x:c>
      <x:c r="B342" s="84" t="n">
        <x:v>7</x:v>
      </x:c>
      <x:c r="C342" s="84" t="n">
        <x:v>12</x:v>
      </x:c>
      <x:c r="D342" s="84" t="str">
        <x:v>Dezembro</x:v>
      </x:c>
      <x:c r="E342" s="84" t="n">
        <x:v>4</x:v>
      </x:c>
      <x:c r="F342" s="84" t="n">
        <x:v>2023</x:v>
      </x:c>
      <x:c r="G342" s="84" t="n">
        <x:v>49</x:v>
      </x:c>
      <x:c r="H342" s="84" t="str">
        <x:v>Quinta</x:v>
      </x:c>
      <x:c r="I342" s="85" t="n">
        <x:v>1</x:v>
      </x:c>
    </x:row>
    <x:row r="343">
      <x:c r="A343" s="95" t="n">
        <x:v>45268</x:v>
      </x:c>
      <x:c r="B343" s="84" t="n">
        <x:v>8</x:v>
      </x:c>
      <x:c r="C343" s="84" t="n">
        <x:v>12</x:v>
      </x:c>
      <x:c r="D343" s="84" t="str">
        <x:v>Dezembro</x:v>
      </x:c>
      <x:c r="E343" s="84" t="n">
        <x:v>4</x:v>
      </x:c>
      <x:c r="F343" s="84" t="n">
        <x:v>2023</x:v>
      </x:c>
      <x:c r="G343" s="84" t="n">
        <x:v>49</x:v>
      </x:c>
      <x:c r="H343" s="84" t="str">
        <x:v>Sexta</x:v>
      </x:c>
      <x:c r="I343" s="85" t="n">
        <x:v>1</x:v>
      </x:c>
    </x:row>
    <x:row r="344">
      <x:c r="A344" s="95" t="n">
        <x:v>45269</x:v>
      </x:c>
      <x:c r="B344" s="84" t="n">
        <x:v>9</x:v>
      </x:c>
      <x:c r="C344" s="84" t="n">
        <x:v>12</x:v>
      </x:c>
      <x:c r="D344" s="84" t="str">
        <x:v>Dezembro</x:v>
      </x:c>
      <x:c r="E344" s="84" t="n">
        <x:v>4</x:v>
      </x:c>
      <x:c r="F344" s="84" t="n">
        <x:v>2023</x:v>
      </x:c>
      <x:c r="G344" s="84" t="n">
        <x:v>49</x:v>
      </x:c>
      <x:c r="H344" s="84" t="str">
        <x:v>Sábado</x:v>
      </x:c>
      <x:c r="I344" s="85" t="n">
        <x:v>0</x:v>
      </x:c>
    </x:row>
    <x:row r="345">
      <x:c r="A345" s="95" t="n">
        <x:v>45270</x:v>
      </x:c>
      <x:c r="B345" s="84" t="n">
        <x:v>10</x:v>
      </x:c>
      <x:c r="C345" s="84" t="n">
        <x:v>12</x:v>
      </x:c>
      <x:c r="D345" s="84" t="str">
        <x:v>Dezembro</x:v>
      </x:c>
      <x:c r="E345" s="84" t="n">
        <x:v>4</x:v>
      </x:c>
      <x:c r="F345" s="84" t="n">
        <x:v>2023</x:v>
      </x:c>
      <x:c r="G345" s="84" t="n">
        <x:v>49</x:v>
      </x:c>
      <x:c r="H345" s="84" t="str">
        <x:v>Domingo</x:v>
      </x:c>
      <x:c r="I345" s="85" t="n">
        <x:v>0</x:v>
      </x:c>
    </x:row>
    <x:row r="346">
      <x:c r="A346" s="95" t="n">
        <x:v>45271</x:v>
      </x:c>
      <x:c r="B346" s="84" t="n">
        <x:v>11</x:v>
      </x:c>
      <x:c r="C346" s="84" t="n">
        <x:v>12</x:v>
      </x:c>
      <x:c r="D346" s="84" t="str">
        <x:v>Dezembro</x:v>
      </x:c>
      <x:c r="E346" s="84" t="n">
        <x:v>4</x:v>
      </x:c>
      <x:c r="F346" s="84" t="n">
        <x:v>2023</x:v>
      </x:c>
      <x:c r="G346" s="84" t="n">
        <x:v>50</x:v>
      </x:c>
      <x:c r="H346" s="84" t="str">
        <x:v>Segunda</x:v>
      </x:c>
      <x:c r="I346" s="85" t="n">
        <x:v>1</x:v>
      </x:c>
    </x:row>
    <x:row r="347">
      <x:c r="A347" s="95" t="n">
        <x:v>45272</x:v>
      </x:c>
      <x:c r="B347" s="84" t="n">
        <x:v>12</x:v>
      </x:c>
      <x:c r="C347" s="84" t="n">
        <x:v>12</x:v>
      </x:c>
      <x:c r="D347" s="84" t="str">
        <x:v>Dezembro</x:v>
      </x:c>
      <x:c r="E347" s="84" t="n">
        <x:v>4</x:v>
      </x:c>
      <x:c r="F347" s="84" t="n">
        <x:v>2023</x:v>
      </x:c>
      <x:c r="G347" s="84" t="n">
        <x:v>50</x:v>
      </x:c>
      <x:c r="H347" s="84" t="str">
        <x:v>Terça</x:v>
      </x:c>
      <x:c r="I347" s="85" t="n">
        <x:v>1</x:v>
      </x:c>
    </x:row>
    <x:row r="348">
      <x:c r="A348" s="95" t="n">
        <x:v>45273</x:v>
      </x:c>
      <x:c r="B348" s="84" t="n">
        <x:v>13</x:v>
      </x:c>
      <x:c r="C348" s="84" t="n">
        <x:v>12</x:v>
      </x:c>
      <x:c r="D348" s="84" t="str">
        <x:v>Dezembro</x:v>
      </x:c>
      <x:c r="E348" s="84" t="n">
        <x:v>4</x:v>
      </x:c>
      <x:c r="F348" s="84" t="n">
        <x:v>2023</x:v>
      </x:c>
      <x:c r="G348" s="84" t="n">
        <x:v>50</x:v>
      </x:c>
      <x:c r="H348" s="84" t="str">
        <x:v>Quarta</x:v>
      </x:c>
      <x:c r="I348" s="85" t="n">
        <x:v>1</x:v>
      </x:c>
    </x:row>
    <x:row r="349">
      <x:c r="A349" s="95" t="n">
        <x:v>45274</x:v>
      </x:c>
      <x:c r="B349" s="84" t="n">
        <x:v>14</x:v>
      </x:c>
      <x:c r="C349" s="84" t="n">
        <x:v>12</x:v>
      </x:c>
      <x:c r="D349" s="84" t="str">
        <x:v>Dezembro</x:v>
      </x:c>
      <x:c r="E349" s="84" t="n">
        <x:v>4</x:v>
      </x:c>
      <x:c r="F349" s="84" t="n">
        <x:v>2023</x:v>
      </x:c>
      <x:c r="G349" s="84" t="n">
        <x:v>50</x:v>
      </x:c>
      <x:c r="H349" s="84" t="str">
        <x:v>Quinta</x:v>
      </x:c>
      <x:c r="I349" s="85" t="n">
        <x:v>1</x:v>
      </x:c>
    </x:row>
    <x:row r="350">
      <x:c r="A350" s="95" t="n">
        <x:v>45275</x:v>
      </x:c>
      <x:c r="B350" s="84" t="n">
        <x:v>15</x:v>
      </x:c>
      <x:c r="C350" s="84" t="n">
        <x:v>12</x:v>
      </x:c>
      <x:c r="D350" s="84" t="str">
        <x:v>Dezembro</x:v>
      </x:c>
      <x:c r="E350" s="84" t="n">
        <x:v>4</x:v>
      </x:c>
      <x:c r="F350" s="84" t="n">
        <x:v>2023</x:v>
      </x:c>
      <x:c r="G350" s="84" t="n">
        <x:v>50</x:v>
      </x:c>
      <x:c r="H350" s="84" t="str">
        <x:v>Sexta</x:v>
      </x:c>
      <x:c r="I350" s="85" t="n">
        <x:v>1</x:v>
      </x:c>
    </x:row>
    <x:row r="351">
      <x:c r="A351" s="95" t="n">
        <x:v>45276</x:v>
      </x:c>
      <x:c r="B351" s="84" t="n">
        <x:v>16</x:v>
      </x:c>
      <x:c r="C351" s="84" t="n">
        <x:v>12</x:v>
      </x:c>
      <x:c r="D351" s="84" t="str">
        <x:v>Dezembro</x:v>
      </x:c>
      <x:c r="E351" s="84" t="n">
        <x:v>4</x:v>
      </x:c>
      <x:c r="F351" s="84" t="n">
        <x:v>2023</x:v>
      </x:c>
      <x:c r="G351" s="84" t="n">
        <x:v>50</x:v>
      </x:c>
      <x:c r="H351" s="84" t="str">
        <x:v>Sábado</x:v>
      </x:c>
      <x:c r="I351" s="85" t="n">
        <x:v>0</x:v>
      </x:c>
    </x:row>
    <x:row r="352">
      <x:c r="A352" s="95" t="n">
        <x:v>45277</x:v>
      </x:c>
      <x:c r="B352" s="84" t="n">
        <x:v>17</x:v>
      </x:c>
      <x:c r="C352" s="84" t="n">
        <x:v>12</x:v>
      </x:c>
      <x:c r="D352" s="84" t="str">
        <x:v>Dezembro</x:v>
      </x:c>
      <x:c r="E352" s="84" t="n">
        <x:v>4</x:v>
      </x:c>
      <x:c r="F352" s="84" t="n">
        <x:v>2023</x:v>
      </x:c>
      <x:c r="G352" s="84" t="n">
        <x:v>50</x:v>
      </x:c>
      <x:c r="H352" s="84" t="str">
        <x:v>Domingo</x:v>
      </x:c>
      <x:c r="I352" s="85" t="n">
        <x:v>0</x:v>
      </x:c>
    </x:row>
    <x:row r="353">
      <x:c r="A353" s="95" t="n">
        <x:v>45278</x:v>
      </x:c>
      <x:c r="B353" s="84" t="n">
        <x:v>18</x:v>
      </x:c>
      <x:c r="C353" s="84" t="n">
        <x:v>12</x:v>
      </x:c>
      <x:c r="D353" s="84" t="str">
        <x:v>Dezembro</x:v>
      </x:c>
      <x:c r="E353" s="84" t="n">
        <x:v>4</x:v>
      </x:c>
      <x:c r="F353" s="84" t="n">
        <x:v>2023</x:v>
      </x:c>
      <x:c r="G353" s="84" t="n">
        <x:v>51</x:v>
      </x:c>
      <x:c r="H353" s="84" t="str">
        <x:v>Segunda</x:v>
      </x:c>
      <x:c r="I353" s="85" t="n">
        <x:v>1</x:v>
      </x:c>
    </x:row>
    <x:row r="354">
      <x:c r="A354" s="95" t="n">
        <x:v>45279</x:v>
      </x:c>
      <x:c r="B354" s="84" t="n">
        <x:v>19</x:v>
      </x:c>
      <x:c r="C354" s="84" t="n">
        <x:v>12</x:v>
      </x:c>
      <x:c r="D354" s="84" t="str">
        <x:v>Dezembro</x:v>
      </x:c>
      <x:c r="E354" s="84" t="n">
        <x:v>4</x:v>
      </x:c>
      <x:c r="F354" s="84" t="n">
        <x:v>2023</x:v>
      </x:c>
      <x:c r="G354" s="84" t="n">
        <x:v>51</x:v>
      </x:c>
      <x:c r="H354" s="84" t="str">
        <x:v>Terça</x:v>
      </x:c>
      <x:c r="I354" s="85" t="n">
        <x:v>1</x:v>
      </x:c>
    </x:row>
    <x:row r="355">
      <x:c r="A355" s="95" t="n">
        <x:v>45280</x:v>
      </x:c>
      <x:c r="B355" s="84" t="n">
        <x:v>20</x:v>
      </x:c>
      <x:c r="C355" s="84" t="n">
        <x:v>12</x:v>
      </x:c>
      <x:c r="D355" s="84" t="str">
        <x:v>Dezembro</x:v>
      </x:c>
      <x:c r="E355" s="84" t="n">
        <x:v>4</x:v>
      </x:c>
      <x:c r="F355" s="84" t="n">
        <x:v>2023</x:v>
      </x:c>
      <x:c r="G355" s="84" t="n">
        <x:v>51</x:v>
      </x:c>
      <x:c r="H355" s="84" t="str">
        <x:v>Quarta</x:v>
      </x:c>
      <x:c r="I355" s="85" t="n">
        <x:v>1</x:v>
      </x:c>
    </x:row>
    <x:row r="356">
      <x:c r="A356" s="95" t="n">
        <x:v>45281</x:v>
      </x:c>
      <x:c r="B356" s="84" t="n">
        <x:v>21</x:v>
      </x:c>
      <x:c r="C356" s="84" t="n">
        <x:v>12</x:v>
      </x:c>
      <x:c r="D356" s="84" t="str">
        <x:v>Dezembro</x:v>
      </x:c>
      <x:c r="E356" s="84" t="n">
        <x:v>4</x:v>
      </x:c>
      <x:c r="F356" s="84" t="n">
        <x:v>2023</x:v>
      </x:c>
      <x:c r="G356" s="84" t="n">
        <x:v>51</x:v>
      </x:c>
      <x:c r="H356" s="84" t="str">
        <x:v>Quinta</x:v>
      </x:c>
      <x:c r="I356" s="85" t="n">
        <x:v>1</x:v>
      </x:c>
    </x:row>
    <x:row r="357">
      <x:c r="A357" s="95" t="n">
        <x:v>45282</x:v>
      </x:c>
      <x:c r="B357" s="84" t="n">
        <x:v>22</x:v>
      </x:c>
      <x:c r="C357" s="84" t="n">
        <x:v>12</x:v>
      </x:c>
      <x:c r="D357" s="84" t="str">
        <x:v>Dezembro</x:v>
      </x:c>
      <x:c r="E357" s="84" t="n">
        <x:v>4</x:v>
      </x:c>
      <x:c r="F357" s="84" t="n">
        <x:v>2023</x:v>
      </x:c>
      <x:c r="G357" s="84" t="n">
        <x:v>51</x:v>
      </x:c>
      <x:c r="H357" s="84" t="str">
        <x:v>Sexta</x:v>
      </x:c>
      <x:c r="I357" s="85" t="n">
        <x:v>1</x:v>
      </x:c>
    </x:row>
    <x:row r="358">
      <x:c r="A358" s="95" t="n">
        <x:v>45283</x:v>
      </x:c>
      <x:c r="B358" s="84" t="n">
        <x:v>23</x:v>
      </x:c>
      <x:c r="C358" s="84" t="n">
        <x:v>12</x:v>
      </x:c>
      <x:c r="D358" s="84" t="str">
        <x:v>Dezembro</x:v>
      </x:c>
      <x:c r="E358" s="84" t="n">
        <x:v>4</x:v>
      </x:c>
      <x:c r="F358" s="84" t="n">
        <x:v>2023</x:v>
      </x:c>
      <x:c r="G358" s="84" t="n">
        <x:v>51</x:v>
      </x:c>
      <x:c r="H358" s="84" t="str">
        <x:v>Sábado</x:v>
      </x:c>
      <x:c r="I358" s="85" t="n">
        <x:v>0</x:v>
      </x:c>
    </x:row>
    <x:row r="359">
      <x:c r="A359" s="95" t="n">
        <x:v>45284</x:v>
      </x:c>
      <x:c r="B359" s="84" t="n">
        <x:v>24</x:v>
      </x:c>
      <x:c r="C359" s="84" t="n">
        <x:v>12</x:v>
      </x:c>
      <x:c r="D359" s="84" t="str">
        <x:v>Dezembro</x:v>
      </x:c>
      <x:c r="E359" s="84" t="n">
        <x:v>4</x:v>
      </x:c>
      <x:c r="F359" s="84" t="n">
        <x:v>2023</x:v>
      </x:c>
      <x:c r="G359" s="84" t="n">
        <x:v>51</x:v>
      </x:c>
      <x:c r="H359" s="84" t="str">
        <x:v>Domingo</x:v>
      </x:c>
      <x:c r="I359" s="85" t="n">
        <x:v>0</x:v>
      </x:c>
    </x:row>
    <x:row r="360">
      <x:c r="A360" s="95" t="n">
        <x:v>45285</x:v>
      </x:c>
      <x:c r="B360" s="84" t="n">
        <x:v>25</x:v>
      </x:c>
      <x:c r="C360" s="84" t="n">
        <x:v>12</x:v>
      </x:c>
      <x:c r="D360" s="84" t="str">
        <x:v>Dezembro</x:v>
      </x:c>
      <x:c r="E360" s="84" t="n">
        <x:v>4</x:v>
      </x:c>
      <x:c r="F360" s="84" t="n">
        <x:v>2023</x:v>
      </x:c>
      <x:c r="G360" s="84" t="n">
        <x:v>52</x:v>
      </x:c>
      <x:c r="H360" s="84" t="str">
        <x:v>Segunda</x:v>
      </x:c>
      <x:c r="I360" s="85" t="n">
        <x:v>1</x:v>
      </x:c>
    </x:row>
    <x:row r="361">
      <x:c r="A361" s="95" t="n">
        <x:v>45286</x:v>
      </x:c>
      <x:c r="B361" s="84" t="n">
        <x:v>26</x:v>
      </x:c>
      <x:c r="C361" s="84" t="n">
        <x:v>12</x:v>
      </x:c>
      <x:c r="D361" s="84" t="str">
        <x:v>Dezembro</x:v>
      </x:c>
      <x:c r="E361" s="84" t="n">
        <x:v>4</x:v>
      </x:c>
      <x:c r="F361" s="84" t="n">
        <x:v>2023</x:v>
      </x:c>
      <x:c r="G361" s="84" t="n">
        <x:v>52</x:v>
      </x:c>
      <x:c r="H361" s="84" t="str">
        <x:v>Terça</x:v>
      </x:c>
      <x:c r="I361" s="85" t="n">
        <x:v>1</x:v>
      </x:c>
    </x:row>
    <x:row r="362">
      <x:c r="A362" s="95" t="n">
        <x:v>45287</x:v>
      </x:c>
      <x:c r="B362" s="84" t="n">
        <x:v>27</x:v>
      </x:c>
      <x:c r="C362" s="84" t="n">
        <x:v>12</x:v>
      </x:c>
      <x:c r="D362" s="84" t="str">
        <x:v>Dezembro</x:v>
      </x:c>
      <x:c r="E362" s="84" t="n">
        <x:v>4</x:v>
      </x:c>
      <x:c r="F362" s="84" t="n">
        <x:v>2023</x:v>
      </x:c>
      <x:c r="G362" s="84" t="n">
        <x:v>52</x:v>
      </x:c>
      <x:c r="H362" s="84" t="str">
        <x:v>Quarta</x:v>
      </x:c>
      <x:c r="I362" s="85" t="n">
        <x:v>1</x:v>
      </x:c>
    </x:row>
    <x:row r="363">
      <x:c r="A363" s="95" t="n">
        <x:v>45288</x:v>
      </x:c>
      <x:c r="B363" s="84" t="n">
        <x:v>28</x:v>
      </x:c>
      <x:c r="C363" s="84" t="n">
        <x:v>12</x:v>
      </x:c>
      <x:c r="D363" s="84" t="str">
        <x:v>Dezembro</x:v>
      </x:c>
      <x:c r="E363" s="84" t="n">
        <x:v>4</x:v>
      </x:c>
      <x:c r="F363" s="84" t="n">
        <x:v>2023</x:v>
      </x:c>
      <x:c r="G363" s="84" t="n">
        <x:v>52</x:v>
      </x:c>
      <x:c r="H363" s="84" t="str">
        <x:v>Quinta</x:v>
      </x:c>
      <x:c r="I363" s="85" t="n">
        <x:v>1</x:v>
      </x:c>
    </x:row>
    <x:row r="364">
      <x:c r="A364" s="95" t="n">
        <x:v>45289</x:v>
      </x:c>
      <x:c r="B364" s="84" t="n">
        <x:v>29</x:v>
      </x:c>
      <x:c r="C364" s="84" t="n">
        <x:v>12</x:v>
      </x:c>
      <x:c r="D364" s="84" t="str">
        <x:v>Dezembro</x:v>
      </x:c>
      <x:c r="E364" s="84" t="n">
        <x:v>4</x:v>
      </x:c>
      <x:c r="F364" s="84" t="n">
        <x:v>2023</x:v>
      </x:c>
      <x:c r="G364" s="84" t="n">
        <x:v>52</x:v>
      </x:c>
      <x:c r="H364" s="84" t="str">
        <x:v>Sexta</x:v>
      </x:c>
      <x:c r="I364" s="85" t="n">
        <x:v>1</x:v>
      </x:c>
    </x:row>
    <x:row r="365">
      <x:c r="A365" s="95" t="n">
        <x:v>45290</x:v>
      </x:c>
      <x:c r="B365" s="84" t="n">
        <x:v>30</x:v>
      </x:c>
      <x:c r="C365" s="84" t="n">
        <x:v>12</x:v>
      </x:c>
      <x:c r="D365" s="84" t="str">
        <x:v>Dezembro</x:v>
      </x:c>
      <x:c r="E365" s="84" t="n">
        <x:v>4</x:v>
      </x:c>
      <x:c r="F365" s="84" t="n">
        <x:v>2023</x:v>
      </x:c>
      <x:c r="G365" s="84" t="n">
        <x:v>52</x:v>
      </x:c>
      <x:c r="H365" s="84" t="str">
        <x:v>Sábado</x:v>
      </x:c>
      <x:c r="I365" s="85" t="n">
        <x:v>0</x:v>
      </x:c>
    </x:row>
    <x:row r="366">
      <x:c r="A366" s="95" t="n">
        <x:v>45291</x:v>
      </x:c>
      <x:c r="B366" s="84" t="n">
        <x:v>31</x:v>
      </x:c>
      <x:c r="C366" s="84" t="n">
        <x:v>12</x:v>
      </x:c>
      <x:c r="D366" s="84" t="str">
        <x:v>Dezembro</x:v>
      </x:c>
      <x:c r="E366" s="84" t="n">
        <x:v>4</x:v>
      </x:c>
      <x:c r="F366" s="84" t="n">
        <x:v>2023</x:v>
      </x:c>
      <x:c r="G366" s="84" t="n">
        <x:v>52</x:v>
      </x:c>
      <x:c r="H366" s="84" t="str">
        <x:v>Domingo</x:v>
      </x:c>
      <x:c r="I366" s="85" t="n">
        <x:v>0</x:v>
      </x:c>
    </x:row>
    <x:row r="367">
      <x:c r="A367" s="95" t="n">
        <x:v>45292</x:v>
      </x:c>
      <x:c r="B367" s="84" t="n">
        <x:v>1</x:v>
      </x:c>
      <x:c r="C367" s="84" t="n">
        <x:v>1</x:v>
      </x:c>
      <x:c r="D367" s="84" t="str">
        <x:v>Janeiro</x:v>
      </x:c>
      <x:c r="E367" s="84" t="n">
        <x:v>1</x:v>
      </x:c>
      <x:c r="F367" s="84" t="n">
        <x:v>2024</x:v>
      </x:c>
      <x:c r="G367" s="84" t="n">
        <x:v>1</x:v>
      </x:c>
      <x:c r="H367" s="84" t="str">
        <x:v>Segunda</x:v>
      </x:c>
      <x:c r="I367" s="85" t="n">
        <x:v>1</x:v>
      </x:c>
    </x:row>
    <x:row r="368">
      <x:c r="A368" s="95" t="n">
        <x:v>45293</x:v>
      </x:c>
      <x:c r="B368" s="84" t="n">
        <x:v>2</x:v>
      </x:c>
      <x:c r="C368" s="84" t="n">
        <x:v>1</x:v>
      </x:c>
      <x:c r="D368" s="84" t="str">
        <x:v>Janeiro</x:v>
      </x:c>
      <x:c r="E368" s="84" t="n">
        <x:v>1</x:v>
      </x:c>
      <x:c r="F368" s="84" t="n">
        <x:v>2024</x:v>
      </x:c>
      <x:c r="G368" s="84" t="n">
        <x:v>1</x:v>
      </x:c>
      <x:c r="H368" s="84" t="str">
        <x:v>Terça</x:v>
      </x:c>
      <x:c r="I368" s="85" t="n">
        <x:v>1</x:v>
      </x:c>
    </x:row>
    <x:row r="369">
      <x:c r="A369" s="95" t="n">
        <x:v>45294</x:v>
      </x:c>
      <x:c r="B369" s="84" t="n">
        <x:v>3</x:v>
      </x:c>
      <x:c r="C369" s="84" t="n">
        <x:v>1</x:v>
      </x:c>
      <x:c r="D369" s="84" t="str">
        <x:v>Janeiro</x:v>
      </x:c>
      <x:c r="E369" s="84" t="n">
        <x:v>1</x:v>
      </x:c>
      <x:c r="F369" s="84" t="n">
        <x:v>2024</x:v>
      </x:c>
      <x:c r="G369" s="84" t="n">
        <x:v>1</x:v>
      </x:c>
      <x:c r="H369" s="84" t="str">
        <x:v>Quarta</x:v>
      </x:c>
      <x:c r="I369" s="85" t="n">
        <x:v>1</x:v>
      </x:c>
    </x:row>
    <x:row r="370">
      <x:c r="A370" s="95" t="n">
        <x:v>45295</x:v>
      </x:c>
      <x:c r="B370" s="84" t="n">
        <x:v>4</x:v>
      </x:c>
      <x:c r="C370" s="84" t="n">
        <x:v>1</x:v>
      </x:c>
      <x:c r="D370" s="84" t="str">
        <x:v>Janeiro</x:v>
      </x:c>
      <x:c r="E370" s="84" t="n">
        <x:v>1</x:v>
      </x:c>
      <x:c r="F370" s="84" t="n">
        <x:v>2024</x:v>
      </x:c>
      <x:c r="G370" s="84" t="n">
        <x:v>1</x:v>
      </x:c>
      <x:c r="H370" s="84" t="str">
        <x:v>Quinta</x:v>
      </x:c>
      <x:c r="I370" s="85" t="n">
        <x:v>1</x:v>
      </x:c>
    </x:row>
    <x:row r="371">
      <x:c r="A371" s="95" t="n">
        <x:v>45296</x:v>
      </x:c>
      <x:c r="B371" s="84" t="n">
        <x:v>5</x:v>
      </x:c>
      <x:c r="C371" s="84" t="n">
        <x:v>1</x:v>
      </x:c>
      <x:c r="D371" s="84" t="str">
        <x:v>Janeiro</x:v>
      </x:c>
      <x:c r="E371" s="84" t="n">
        <x:v>1</x:v>
      </x:c>
      <x:c r="F371" s="84" t="n">
        <x:v>2024</x:v>
      </x:c>
      <x:c r="G371" s="84" t="n">
        <x:v>1</x:v>
      </x:c>
      <x:c r="H371" s="84" t="str">
        <x:v>Sexta</x:v>
      </x:c>
      <x:c r="I371" s="85" t="n">
        <x:v>1</x:v>
      </x:c>
    </x:row>
    <x:row r="372">
      <x:c r="A372" s="95" t="n">
        <x:v>45297</x:v>
      </x:c>
      <x:c r="B372" s="84" t="n">
        <x:v>6</x:v>
      </x:c>
      <x:c r="C372" s="84" t="n">
        <x:v>1</x:v>
      </x:c>
      <x:c r="D372" s="84" t="str">
        <x:v>Janeiro</x:v>
      </x:c>
      <x:c r="E372" s="84" t="n">
        <x:v>1</x:v>
      </x:c>
      <x:c r="F372" s="84" t="n">
        <x:v>2024</x:v>
      </x:c>
      <x:c r="G372" s="84" t="n">
        <x:v>1</x:v>
      </x:c>
      <x:c r="H372" s="84" t="str">
        <x:v>Sábado</x:v>
      </x:c>
      <x:c r="I372" s="85" t="n">
        <x:v>0</x:v>
      </x:c>
    </x:row>
    <x:row r="373">
      <x:c r="A373" s="95" t="n">
        <x:v>45298</x:v>
      </x:c>
      <x:c r="B373" s="84" t="n">
        <x:v>7</x:v>
      </x:c>
      <x:c r="C373" s="84" t="n">
        <x:v>1</x:v>
      </x:c>
      <x:c r="D373" s="84" t="str">
        <x:v>Janeiro</x:v>
      </x:c>
      <x:c r="E373" s="84" t="n">
        <x:v>1</x:v>
      </x:c>
      <x:c r="F373" s="84" t="n">
        <x:v>2024</x:v>
      </x:c>
      <x:c r="G373" s="84" t="n">
        <x:v>1</x:v>
      </x:c>
      <x:c r="H373" s="84" t="str">
        <x:v>Domingo</x:v>
      </x:c>
      <x:c r="I373" s="85" t="n">
        <x:v>0</x:v>
      </x:c>
    </x:row>
    <x:row r="374">
      <x:c r="A374" s="95" t="n">
        <x:v>45299</x:v>
      </x:c>
      <x:c r="B374" s="84" t="n">
        <x:v>8</x:v>
      </x:c>
      <x:c r="C374" s="84" t="n">
        <x:v>1</x:v>
      </x:c>
      <x:c r="D374" s="84" t="str">
        <x:v>Janeiro</x:v>
      </x:c>
      <x:c r="E374" s="84" t="n">
        <x:v>1</x:v>
      </x:c>
      <x:c r="F374" s="84" t="n">
        <x:v>2024</x:v>
      </x:c>
      <x:c r="G374" s="84" t="n">
        <x:v>2</x:v>
      </x:c>
      <x:c r="H374" s="84" t="str">
        <x:v>Segunda</x:v>
      </x:c>
      <x:c r="I374" s="85" t="n">
        <x:v>1</x:v>
      </x:c>
    </x:row>
    <x:row r="375">
      <x:c r="A375" s="95" t="n">
        <x:v>45300</x:v>
      </x:c>
      <x:c r="B375" s="84" t="n">
        <x:v>9</x:v>
      </x:c>
      <x:c r="C375" s="84" t="n">
        <x:v>1</x:v>
      </x:c>
      <x:c r="D375" s="84" t="str">
        <x:v>Janeiro</x:v>
      </x:c>
      <x:c r="E375" s="84" t="n">
        <x:v>1</x:v>
      </x:c>
      <x:c r="F375" s="84" t="n">
        <x:v>2024</x:v>
      </x:c>
      <x:c r="G375" s="84" t="n">
        <x:v>2</x:v>
      </x:c>
      <x:c r="H375" s="84" t="str">
        <x:v>Terça</x:v>
      </x:c>
      <x:c r="I375" s="85" t="n">
        <x:v>1</x:v>
      </x:c>
    </x:row>
    <x:row r="376">
      <x:c r="A376" s="95" t="n">
        <x:v>45301</x:v>
      </x:c>
      <x:c r="B376" s="84" t="n">
        <x:v>10</x:v>
      </x:c>
      <x:c r="C376" s="84" t="n">
        <x:v>1</x:v>
      </x:c>
      <x:c r="D376" s="84" t="str">
        <x:v>Janeiro</x:v>
      </x:c>
      <x:c r="E376" s="84" t="n">
        <x:v>1</x:v>
      </x:c>
      <x:c r="F376" s="84" t="n">
        <x:v>2024</x:v>
      </x:c>
      <x:c r="G376" s="84" t="n">
        <x:v>2</x:v>
      </x:c>
      <x:c r="H376" s="84" t="str">
        <x:v>Quarta</x:v>
      </x:c>
      <x:c r="I376" s="85" t="n">
        <x:v>1</x:v>
      </x:c>
    </x:row>
    <x:row r="377">
      <x:c r="A377" s="95" t="n">
        <x:v>45302</x:v>
      </x:c>
      <x:c r="B377" s="84" t="n">
        <x:v>11</x:v>
      </x:c>
      <x:c r="C377" s="84" t="n">
        <x:v>1</x:v>
      </x:c>
      <x:c r="D377" s="84" t="str">
        <x:v>Janeiro</x:v>
      </x:c>
      <x:c r="E377" s="84" t="n">
        <x:v>1</x:v>
      </x:c>
      <x:c r="F377" s="84" t="n">
        <x:v>2024</x:v>
      </x:c>
      <x:c r="G377" s="84" t="n">
        <x:v>2</x:v>
      </x:c>
      <x:c r="H377" s="84" t="str">
        <x:v>Quinta</x:v>
      </x:c>
      <x:c r="I377" s="85" t="n">
        <x:v>1</x:v>
      </x:c>
    </x:row>
    <x:row r="378">
      <x:c r="A378" s="95" t="n">
        <x:v>45303</x:v>
      </x:c>
      <x:c r="B378" s="84" t="n">
        <x:v>12</x:v>
      </x:c>
      <x:c r="C378" s="84" t="n">
        <x:v>1</x:v>
      </x:c>
      <x:c r="D378" s="84" t="str">
        <x:v>Janeiro</x:v>
      </x:c>
      <x:c r="E378" s="84" t="n">
        <x:v>1</x:v>
      </x:c>
      <x:c r="F378" s="84" t="n">
        <x:v>2024</x:v>
      </x:c>
      <x:c r="G378" s="84" t="n">
        <x:v>2</x:v>
      </x:c>
      <x:c r="H378" s="84" t="str">
        <x:v>Sexta</x:v>
      </x:c>
      <x:c r="I378" s="85" t="n">
        <x:v>1</x:v>
      </x:c>
    </x:row>
    <x:row r="379">
      <x:c r="A379" s="95" t="n">
        <x:v>45304</x:v>
      </x:c>
      <x:c r="B379" s="84" t="n">
        <x:v>13</x:v>
      </x:c>
      <x:c r="C379" s="84" t="n">
        <x:v>1</x:v>
      </x:c>
      <x:c r="D379" s="84" t="str">
        <x:v>Janeiro</x:v>
      </x:c>
      <x:c r="E379" s="84" t="n">
        <x:v>1</x:v>
      </x:c>
      <x:c r="F379" s="84" t="n">
        <x:v>2024</x:v>
      </x:c>
      <x:c r="G379" s="84" t="n">
        <x:v>2</x:v>
      </x:c>
      <x:c r="H379" s="84" t="str">
        <x:v>Sábado</x:v>
      </x:c>
      <x:c r="I379" s="85" t="n">
        <x:v>0</x:v>
      </x:c>
    </x:row>
    <x:row r="380">
      <x:c r="A380" s="95" t="n">
        <x:v>45305</x:v>
      </x:c>
      <x:c r="B380" s="84" t="n">
        <x:v>14</x:v>
      </x:c>
      <x:c r="C380" s="84" t="n">
        <x:v>1</x:v>
      </x:c>
      <x:c r="D380" s="84" t="str">
        <x:v>Janeiro</x:v>
      </x:c>
      <x:c r="E380" s="84" t="n">
        <x:v>1</x:v>
      </x:c>
      <x:c r="F380" s="84" t="n">
        <x:v>2024</x:v>
      </x:c>
      <x:c r="G380" s="84" t="n">
        <x:v>2</x:v>
      </x:c>
      <x:c r="H380" s="84" t="str">
        <x:v>Domingo</x:v>
      </x:c>
      <x:c r="I380" s="85" t="n">
        <x:v>0</x:v>
      </x:c>
    </x:row>
    <x:row r="381">
      <x:c r="A381" s="95" t="n">
        <x:v>45306</x:v>
      </x:c>
      <x:c r="B381" s="84" t="n">
        <x:v>15</x:v>
      </x:c>
      <x:c r="C381" s="84" t="n">
        <x:v>1</x:v>
      </x:c>
      <x:c r="D381" s="84" t="str">
        <x:v>Janeiro</x:v>
      </x:c>
      <x:c r="E381" s="84" t="n">
        <x:v>1</x:v>
      </x:c>
      <x:c r="F381" s="84" t="n">
        <x:v>2024</x:v>
      </x:c>
      <x:c r="G381" s="84" t="n">
        <x:v>3</x:v>
      </x:c>
      <x:c r="H381" s="84" t="str">
        <x:v>Segunda</x:v>
      </x:c>
      <x:c r="I381" s="85" t="n">
        <x:v>1</x:v>
      </x:c>
    </x:row>
    <x:row r="382">
      <x:c r="A382" s="95" t="n">
        <x:v>45307</x:v>
      </x:c>
      <x:c r="B382" s="84" t="n">
        <x:v>16</x:v>
      </x:c>
      <x:c r="C382" s="84" t="n">
        <x:v>1</x:v>
      </x:c>
      <x:c r="D382" s="84" t="str">
        <x:v>Janeiro</x:v>
      </x:c>
      <x:c r="E382" s="84" t="n">
        <x:v>1</x:v>
      </x:c>
      <x:c r="F382" s="84" t="n">
        <x:v>2024</x:v>
      </x:c>
      <x:c r="G382" s="84" t="n">
        <x:v>3</x:v>
      </x:c>
      <x:c r="H382" s="84" t="str">
        <x:v>Terça</x:v>
      </x:c>
      <x:c r="I382" s="85" t="n">
        <x:v>1</x:v>
      </x:c>
    </x:row>
    <x:row r="383">
      <x:c r="A383" s="95" t="n">
        <x:v>45308</x:v>
      </x:c>
      <x:c r="B383" s="84" t="n">
        <x:v>17</x:v>
      </x:c>
      <x:c r="C383" s="84" t="n">
        <x:v>1</x:v>
      </x:c>
      <x:c r="D383" s="84" t="str">
        <x:v>Janeiro</x:v>
      </x:c>
      <x:c r="E383" s="84" t="n">
        <x:v>1</x:v>
      </x:c>
      <x:c r="F383" s="84" t="n">
        <x:v>2024</x:v>
      </x:c>
      <x:c r="G383" s="84" t="n">
        <x:v>3</x:v>
      </x:c>
      <x:c r="H383" s="84" t="str">
        <x:v>Quarta</x:v>
      </x:c>
      <x:c r="I383" s="85" t="n">
        <x:v>1</x:v>
      </x:c>
    </x:row>
    <x:row r="384">
      <x:c r="A384" s="95" t="n">
        <x:v>45309</x:v>
      </x:c>
      <x:c r="B384" s="84" t="n">
        <x:v>18</x:v>
      </x:c>
      <x:c r="C384" s="84" t="n">
        <x:v>1</x:v>
      </x:c>
      <x:c r="D384" s="84" t="str">
        <x:v>Janeiro</x:v>
      </x:c>
      <x:c r="E384" s="84" t="n">
        <x:v>1</x:v>
      </x:c>
      <x:c r="F384" s="84" t="n">
        <x:v>2024</x:v>
      </x:c>
      <x:c r="G384" s="84" t="n">
        <x:v>3</x:v>
      </x:c>
      <x:c r="H384" s="84" t="str">
        <x:v>Quinta</x:v>
      </x:c>
      <x:c r="I384" s="85" t="n">
        <x:v>1</x:v>
      </x:c>
    </x:row>
    <x:row r="385">
      <x:c r="A385" s="95" t="n">
        <x:v>45310</x:v>
      </x:c>
      <x:c r="B385" s="84" t="n">
        <x:v>19</x:v>
      </x:c>
      <x:c r="C385" s="84" t="n">
        <x:v>1</x:v>
      </x:c>
      <x:c r="D385" s="84" t="str">
        <x:v>Janeiro</x:v>
      </x:c>
      <x:c r="E385" s="84" t="n">
        <x:v>1</x:v>
      </x:c>
      <x:c r="F385" s="84" t="n">
        <x:v>2024</x:v>
      </x:c>
      <x:c r="G385" s="84" t="n">
        <x:v>3</x:v>
      </x:c>
      <x:c r="H385" s="84" t="str">
        <x:v>Sexta</x:v>
      </x:c>
      <x:c r="I385" s="85" t="n">
        <x:v>1</x:v>
      </x:c>
    </x:row>
    <x:row r="386">
      <x:c r="A386" s="95" t="n">
        <x:v>45311</x:v>
      </x:c>
      <x:c r="B386" s="84" t="n">
        <x:v>20</x:v>
      </x:c>
      <x:c r="C386" s="84" t="n">
        <x:v>1</x:v>
      </x:c>
      <x:c r="D386" s="84" t="str">
        <x:v>Janeiro</x:v>
      </x:c>
      <x:c r="E386" s="84" t="n">
        <x:v>1</x:v>
      </x:c>
      <x:c r="F386" s="84" t="n">
        <x:v>2024</x:v>
      </x:c>
      <x:c r="G386" s="84" t="n">
        <x:v>3</x:v>
      </x:c>
      <x:c r="H386" s="84" t="str">
        <x:v>Sábado</x:v>
      </x:c>
      <x:c r="I386" s="85" t="n">
        <x:v>0</x:v>
      </x:c>
    </x:row>
    <x:row r="387">
      <x:c r="A387" s="95" t="n">
        <x:v>45312</x:v>
      </x:c>
      <x:c r="B387" s="84" t="n">
        <x:v>21</x:v>
      </x:c>
      <x:c r="C387" s="84" t="n">
        <x:v>1</x:v>
      </x:c>
      <x:c r="D387" s="84" t="str">
        <x:v>Janeiro</x:v>
      </x:c>
      <x:c r="E387" s="84" t="n">
        <x:v>1</x:v>
      </x:c>
      <x:c r="F387" s="84" t="n">
        <x:v>2024</x:v>
      </x:c>
      <x:c r="G387" s="84" t="n">
        <x:v>3</x:v>
      </x:c>
      <x:c r="H387" s="84" t="str">
        <x:v>Domingo</x:v>
      </x:c>
      <x:c r="I387" s="85" t="n">
        <x:v>0</x:v>
      </x:c>
    </x:row>
    <x:row r="388">
      <x:c r="A388" s="95" t="n">
        <x:v>45313</x:v>
      </x:c>
      <x:c r="B388" s="84" t="n">
        <x:v>22</x:v>
      </x:c>
      <x:c r="C388" s="84" t="n">
        <x:v>1</x:v>
      </x:c>
      <x:c r="D388" s="84" t="str">
        <x:v>Janeiro</x:v>
      </x:c>
      <x:c r="E388" s="84" t="n">
        <x:v>1</x:v>
      </x:c>
      <x:c r="F388" s="84" t="n">
        <x:v>2024</x:v>
      </x:c>
      <x:c r="G388" s="84" t="n">
        <x:v>4</x:v>
      </x:c>
      <x:c r="H388" s="84" t="str">
        <x:v>Segunda</x:v>
      </x:c>
      <x:c r="I388" s="85" t="n">
        <x:v>1</x:v>
      </x:c>
    </x:row>
    <x:row r="389">
      <x:c r="A389" s="95" t="n">
        <x:v>45314</x:v>
      </x:c>
      <x:c r="B389" s="84" t="n">
        <x:v>23</x:v>
      </x:c>
      <x:c r="C389" s="84" t="n">
        <x:v>1</x:v>
      </x:c>
      <x:c r="D389" s="84" t="str">
        <x:v>Janeiro</x:v>
      </x:c>
      <x:c r="E389" s="84" t="n">
        <x:v>1</x:v>
      </x:c>
      <x:c r="F389" s="84" t="n">
        <x:v>2024</x:v>
      </x:c>
      <x:c r="G389" s="84" t="n">
        <x:v>4</x:v>
      </x:c>
      <x:c r="H389" s="84" t="str">
        <x:v>Terça</x:v>
      </x:c>
      <x:c r="I389" s="85" t="n">
        <x:v>1</x:v>
      </x:c>
    </x:row>
    <x:row r="390">
      <x:c r="A390" s="95" t="n">
        <x:v>45315</x:v>
      </x:c>
      <x:c r="B390" s="84" t="n">
        <x:v>24</x:v>
      </x:c>
      <x:c r="C390" s="84" t="n">
        <x:v>1</x:v>
      </x:c>
      <x:c r="D390" s="84" t="str">
        <x:v>Janeiro</x:v>
      </x:c>
      <x:c r="E390" s="84" t="n">
        <x:v>1</x:v>
      </x:c>
      <x:c r="F390" s="84" t="n">
        <x:v>2024</x:v>
      </x:c>
      <x:c r="G390" s="84" t="n">
        <x:v>4</x:v>
      </x:c>
      <x:c r="H390" s="84" t="str">
        <x:v>Quarta</x:v>
      </x:c>
      <x:c r="I390" s="85" t="n">
        <x:v>1</x:v>
      </x:c>
    </x:row>
    <x:row r="391">
      <x:c r="A391" s="95" t="n">
        <x:v>45316</x:v>
      </x:c>
      <x:c r="B391" s="84" t="n">
        <x:v>25</x:v>
      </x:c>
      <x:c r="C391" s="84" t="n">
        <x:v>1</x:v>
      </x:c>
      <x:c r="D391" s="84" t="str">
        <x:v>Janeiro</x:v>
      </x:c>
      <x:c r="E391" s="84" t="n">
        <x:v>1</x:v>
      </x:c>
      <x:c r="F391" s="84" t="n">
        <x:v>2024</x:v>
      </x:c>
      <x:c r="G391" s="84" t="n">
        <x:v>4</x:v>
      </x:c>
      <x:c r="H391" s="84" t="str">
        <x:v>Quinta</x:v>
      </x:c>
      <x:c r="I391" s="85" t="n">
        <x:v>1</x:v>
      </x:c>
    </x:row>
    <x:row r="392">
      <x:c r="A392" s="95" t="n">
        <x:v>45317</x:v>
      </x:c>
      <x:c r="B392" s="84" t="n">
        <x:v>26</x:v>
      </x:c>
      <x:c r="C392" s="84" t="n">
        <x:v>1</x:v>
      </x:c>
      <x:c r="D392" s="84" t="str">
        <x:v>Janeiro</x:v>
      </x:c>
      <x:c r="E392" s="84" t="n">
        <x:v>1</x:v>
      </x:c>
      <x:c r="F392" s="84" t="n">
        <x:v>2024</x:v>
      </x:c>
      <x:c r="G392" s="84" t="n">
        <x:v>4</x:v>
      </x:c>
      <x:c r="H392" s="84" t="str">
        <x:v>Sexta</x:v>
      </x:c>
      <x:c r="I392" s="85" t="n">
        <x:v>1</x:v>
      </x:c>
    </x:row>
    <x:row r="393">
      <x:c r="A393" s="95" t="n">
        <x:v>45318</x:v>
      </x:c>
      <x:c r="B393" s="84" t="n">
        <x:v>27</x:v>
      </x:c>
      <x:c r="C393" s="84" t="n">
        <x:v>1</x:v>
      </x:c>
      <x:c r="D393" s="84" t="str">
        <x:v>Janeiro</x:v>
      </x:c>
      <x:c r="E393" s="84" t="n">
        <x:v>1</x:v>
      </x:c>
      <x:c r="F393" s="84" t="n">
        <x:v>2024</x:v>
      </x:c>
      <x:c r="G393" s="84" t="n">
        <x:v>4</x:v>
      </x:c>
      <x:c r="H393" s="84" t="str">
        <x:v>Sábado</x:v>
      </x:c>
      <x:c r="I393" s="85" t="n">
        <x:v>0</x:v>
      </x:c>
    </x:row>
    <x:row r="394">
      <x:c r="A394" s="95" t="n">
        <x:v>45319</x:v>
      </x:c>
      <x:c r="B394" s="84" t="n">
        <x:v>28</x:v>
      </x:c>
      <x:c r="C394" s="84" t="n">
        <x:v>1</x:v>
      </x:c>
      <x:c r="D394" s="84" t="str">
        <x:v>Janeiro</x:v>
      </x:c>
      <x:c r="E394" s="84" t="n">
        <x:v>1</x:v>
      </x:c>
      <x:c r="F394" s="84" t="n">
        <x:v>2024</x:v>
      </x:c>
      <x:c r="G394" s="84" t="n">
        <x:v>4</x:v>
      </x:c>
      <x:c r="H394" s="84" t="str">
        <x:v>Domingo</x:v>
      </x:c>
      <x:c r="I394" s="85" t="n">
        <x:v>0</x:v>
      </x:c>
    </x:row>
    <x:row r="395">
      <x:c r="A395" s="95" t="n">
        <x:v>45320</x:v>
      </x:c>
      <x:c r="B395" s="84" t="n">
        <x:v>29</x:v>
      </x:c>
      <x:c r="C395" s="84" t="n">
        <x:v>1</x:v>
      </x:c>
      <x:c r="D395" s="84" t="str">
        <x:v>Janeiro</x:v>
      </x:c>
      <x:c r="E395" s="84" t="n">
        <x:v>1</x:v>
      </x:c>
      <x:c r="F395" s="84" t="n">
        <x:v>2024</x:v>
      </x:c>
      <x:c r="G395" s="84" t="n">
        <x:v>5</x:v>
      </x:c>
      <x:c r="H395" s="84" t="str">
        <x:v>Segunda</x:v>
      </x:c>
      <x:c r="I395" s="85" t="n">
        <x:v>1</x:v>
      </x:c>
    </x:row>
    <x:row r="396">
      <x:c r="A396" s="95" t="n">
        <x:v>45321</x:v>
      </x:c>
      <x:c r="B396" s="84" t="n">
        <x:v>30</x:v>
      </x:c>
      <x:c r="C396" s="84" t="n">
        <x:v>1</x:v>
      </x:c>
      <x:c r="D396" s="84" t="str">
        <x:v>Janeiro</x:v>
      </x:c>
      <x:c r="E396" s="84" t="n">
        <x:v>1</x:v>
      </x:c>
      <x:c r="F396" s="84" t="n">
        <x:v>2024</x:v>
      </x:c>
      <x:c r="G396" s="84" t="n">
        <x:v>5</x:v>
      </x:c>
      <x:c r="H396" s="84" t="str">
        <x:v>Terça</x:v>
      </x:c>
      <x:c r="I396" s="85" t="n">
        <x:v>1</x:v>
      </x:c>
    </x:row>
    <x:row r="397">
      <x:c r="A397" s="95" t="n">
        <x:v>45322</x:v>
      </x:c>
      <x:c r="B397" s="84" t="n">
        <x:v>31</x:v>
      </x:c>
      <x:c r="C397" s="84" t="n">
        <x:v>1</x:v>
      </x:c>
      <x:c r="D397" s="84" t="str">
        <x:v>Janeiro</x:v>
      </x:c>
      <x:c r="E397" s="84" t="n">
        <x:v>1</x:v>
      </x:c>
      <x:c r="F397" s="84" t="n">
        <x:v>2024</x:v>
      </x:c>
      <x:c r="G397" s="84" t="n">
        <x:v>5</x:v>
      </x:c>
      <x:c r="H397" s="84" t="str">
        <x:v>Quarta</x:v>
      </x:c>
      <x:c r="I397" s="85" t="n">
        <x:v>1</x:v>
      </x:c>
    </x:row>
    <x:row r="398">
      <x:c r="A398" s="95" t="n">
        <x:v>45323</x:v>
      </x:c>
      <x:c r="B398" s="84" t="n">
        <x:v>1</x:v>
      </x:c>
      <x:c r="C398" s="84" t="n">
        <x:v>2</x:v>
      </x:c>
      <x:c r="D398" s="84" t="str">
        <x:v>Fevereiro</x:v>
      </x:c>
      <x:c r="E398" s="84" t="n">
        <x:v>1</x:v>
      </x:c>
      <x:c r="F398" s="84" t="n">
        <x:v>2024</x:v>
      </x:c>
      <x:c r="G398" s="84" t="n">
        <x:v>5</x:v>
      </x:c>
      <x:c r="H398" s="84" t="str">
        <x:v>Quinta</x:v>
      </x:c>
      <x:c r="I398" s="85" t="n">
        <x:v>1</x:v>
      </x:c>
    </x:row>
    <x:row r="399">
      <x:c r="A399" s="95" t="n">
        <x:v>45324</x:v>
      </x:c>
      <x:c r="B399" s="84" t="n">
        <x:v>2</x:v>
      </x:c>
      <x:c r="C399" s="84" t="n">
        <x:v>2</x:v>
      </x:c>
      <x:c r="D399" s="84" t="str">
        <x:v>Fevereiro</x:v>
      </x:c>
      <x:c r="E399" s="84" t="n">
        <x:v>1</x:v>
      </x:c>
      <x:c r="F399" s="84" t="n">
        <x:v>2024</x:v>
      </x:c>
      <x:c r="G399" s="84" t="n">
        <x:v>5</x:v>
      </x:c>
      <x:c r="H399" s="84" t="str">
        <x:v>Sexta</x:v>
      </x:c>
      <x:c r="I399" s="85" t="n">
        <x:v>1</x:v>
      </x:c>
    </x:row>
    <x:row r="400">
      <x:c r="A400" s="95" t="n">
        <x:v>45325</x:v>
      </x:c>
      <x:c r="B400" s="84" t="n">
        <x:v>3</x:v>
      </x:c>
      <x:c r="C400" s="84" t="n">
        <x:v>2</x:v>
      </x:c>
      <x:c r="D400" s="84" t="str">
        <x:v>Fevereiro</x:v>
      </x:c>
      <x:c r="E400" s="84" t="n">
        <x:v>1</x:v>
      </x:c>
      <x:c r="F400" s="84" t="n">
        <x:v>2024</x:v>
      </x:c>
      <x:c r="G400" s="84" t="n">
        <x:v>5</x:v>
      </x:c>
      <x:c r="H400" s="84" t="str">
        <x:v>Sábado</x:v>
      </x:c>
      <x:c r="I400" s="85" t="n">
        <x:v>0</x:v>
      </x:c>
    </x:row>
    <x:row r="401">
      <x:c r="A401" s="95" t="n">
        <x:v>45326</x:v>
      </x:c>
      <x:c r="B401" s="84" t="n">
        <x:v>4</x:v>
      </x:c>
      <x:c r="C401" s="84" t="n">
        <x:v>2</x:v>
      </x:c>
      <x:c r="D401" s="84" t="str">
        <x:v>Fevereiro</x:v>
      </x:c>
      <x:c r="E401" s="84" t="n">
        <x:v>1</x:v>
      </x:c>
      <x:c r="F401" s="84" t="n">
        <x:v>2024</x:v>
      </x:c>
      <x:c r="G401" s="84" t="n">
        <x:v>5</x:v>
      </x:c>
      <x:c r="H401" s="84" t="str">
        <x:v>Domingo</x:v>
      </x:c>
      <x:c r="I401" s="85" t="n">
        <x:v>0</x:v>
      </x:c>
    </x:row>
    <x:row r="402">
      <x:c r="A402" s="95" t="n">
        <x:v>45327</x:v>
      </x:c>
      <x:c r="B402" s="84" t="n">
        <x:v>5</x:v>
      </x:c>
      <x:c r="C402" s="84" t="n">
        <x:v>2</x:v>
      </x:c>
      <x:c r="D402" s="84" t="str">
        <x:v>Fevereiro</x:v>
      </x:c>
      <x:c r="E402" s="84" t="n">
        <x:v>1</x:v>
      </x:c>
      <x:c r="F402" s="84" t="n">
        <x:v>2024</x:v>
      </x:c>
      <x:c r="G402" s="84" t="n">
        <x:v>6</x:v>
      </x:c>
      <x:c r="H402" s="84" t="str">
        <x:v>Segunda</x:v>
      </x:c>
      <x:c r="I402" s="85" t="n">
        <x:v>1</x:v>
      </x:c>
    </x:row>
    <x:row r="403">
      <x:c r="A403" s="95" t="n">
        <x:v>45328</x:v>
      </x:c>
      <x:c r="B403" s="84" t="n">
        <x:v>6</x:v>
      </x:c>
      <x:c r="C403" s="84" t="n">
        <x:v>2</x:v>
      </x:c>
      <x:c r="D403" s="84" t="str">
        <x:v>Fevereiro</x:v>
      </x:c>
      <x:c r="E403" s="84" t="n">
        <x:v>1</x:v>
      </x:c>
      <x:c r="F403" s="84" t="n">
        <x:v>2024</x:v>
      </x:c>
      <x:c r="G403" s="84" t="n">
        <x:v>6</x:v>
      </x:c>
      <x:c r="H403" s="84" t="str">
        <x:v>Terça</x:v>
      </x:c>
      <x:c r="I403" s="85" t="n">
        <x:v>1</x:v>
      </x:c>
    </x:row>
    <x:row r="404">
      <x:c r="A404" s="95" t="n">
        <x:v>45329</x:v>
      </x:c>
      <x:c r="B404" s="84" t="n">
        <x:v>7</x:v>
      </x:c>
      <x:c r="C404" s="84" t="n">
        <x:v>2</x:v>
      </x:c>
      <x:c r="D404" s="84" t="str">
        <x:v>Fevereiro</x:v>
      </x:c>
      <x:c r="E404" s="84" t="n">
        <x:v>1</x:v>
      </x:c>
      <x:c r="F404" s="84" t="n">
        <x:v>2024</x:v>
      </x:c>
      <x:c r="G404" s="84" t="n">
        <x:v>6</x:v>
      </x:c>
      <x:c r="H404" s="84" t="str">
        <x:v>Quarta</x:v>
      </x:c>
      <x:c r="I404" s="85" t="n">
        <x:v>1</x:v>
      </x:c>
    </x:row>
    <x:row r="405">
      <x:c r="A405" s="95" t="n">
        <x:v>45330</x:v>
      </x:c>
      <x:c r="B405" s="84" t="n">
        <x:v>8</x:v>
      </x:c>
      <x:c r="C405" s="84" t="n">
        <x:v>2</x:v>
      </x:c>
      <x:c r="D405" s="84" t="str">
        <x:v>Fevereiro</x:v>
      </x:c>
      <x:c r="E405" s="84" t="n">
        <x:v>1</x:v>
      </x:c>
      <x:c r="F405" s="84" t="n">
        <x:v>2024</x:v>
      </x:c>
      <x:c r="G405" s="84" t="n">
        <x:v>6</x:v>
      </x:c>
      <x:c r="H405" s="84" t="str">
        <x:v>Quinta</x:v>
      </x:c>
      <x:c r="I405" s="85" t="n">
        <x:v>1</x:v>
      </x:c>
    </x:row>
    <x:row r="406">
      <x:c r="A406" s="95" t="n">
        <x:v>45331</x:v>
      </x:c>
      <x:c r="B406" s="84" t="n">
        <x:v>9</x:v>
      </x:c>
      <x:c r="C406" s="84" t="n">
        <x:v>2</x:v>
      </x:c>
      <x:c r="D406" s="84" t="str">
        <x:v>Fevereiro</x:v>
      </x:c>
      <x:c r="E406" s="84" t="n">
        <x:v>1</x:v>
      </x:c>
      <x:c r="F406" s="84" t="n">
        <x:v>2024</x:v>
      </x:c>
      <x:c r="G406" s="84" t="n">
        <x:v>6</x:v>
      </x:c>
      <x:c r="H406" s="84" t="str">
        <x:v>Sexta</x:v>
      </x:c>
      <x:c r="I406" s="85" t="n">
        <x:v>1</x:v>
      </x:c>
    </x:row>
    <x:row r="407">
      <x:c r="A407" s="95" t="n">
        <x:v>45332</x:v>
      </x:c>
      <x:c r="B407" s="84" t="n">
        <x:v>10</x:v>
      </x:c>
      <x:c r="C407" s="84" t="n">
        <x:v>2</x:v>
      </x:c>
      <x:c r="D407" s="84" t="str">
        <x:v>Fevereiro</x:v>
      </x:c>
      <x:c r="E407" s="84" t="n">
        <x:v>1</x:v>
      </x:c>
      <x:c r="F407" s="84" t="n">
        <x:v>2024</x:v>
      </x:c>
      <x:c r="G407" s="84" t="n">
        <x:v>6</x:v>
      </x:c>
      <x:c r="H407" s="84" t="str">
        <x:v>Sábado</x:v>
      </x:c>
      <x:c r="I407" s="85" t="n">
        <x:v>0</x:v>
      </x:c>
    </x:row>
    <x:row r="408">
      <x:c r="A408" s="95" t="n">
        <x:v>45333</x:v>
      </x:c>
      <x:c r="B408" s="84" t="n">
        <x:v>11</x:v>
      </x:c>
      <x:c r="C408" s="84" t="n">
        <x:v>2</x:v>
      </x:c>
      <x:c r="D408" s="84" t="str">
        <x:v>Fevereiro</x:v>
      </x:c>
      <x:c r="E408" s="84" t="n">
        <x:v>1</x:v>
      </x:c>
      <x:c r="F408" s="84" t="n">
        <x:v>2024</x:v>
      </x:c>
      <x:c r="G408" s="84" t="n">
        <x:v>6</x:v>
      </x:c>
      <x:c r="H408" s="84" t="str">
        <x:v>Domingo</x:v>
      </x:c>
      <x:c r="I408" s="85" t="n">
        <x:v>0</x:v>
      </x:c>
    </x:row>
    <x:row r="409">
      <x:c r="A409" s="95" t="n">
        <x:v>45334</x:v>
      </x:c>
      <x:c r="B409" s="84" t="n">
        <x:v>12</x:v>
      </x:c>
      <x:c r="C409" s="84" t="n">
        <x:v>2</x:v>
      </x:c>
      <x:c r="D409" s="84" t="str">
        <x:v>Fevereiro</x:v>
      </x:c>
      <x:c r="E409" s="84" t="n">
        <x:v>1</x:v>
      </x:c>
      <x:c r="F409" s="84" t="n">
        <x:v>2024</x:v>
      </x:c>
      <x:c r="G409" s="84" t="n">
        <x:v>7</x:v>
      </x:c>
      <x:c r="H409" s="84" t="str">
        <x:v>Segunda</x:v>
      </x:c>
      <x:c r="I409" s="85" t="n">
        <x:v>1</x:v>
      </x:c>
    </x:row>
    <x:row r="410">
      <x:c r="A410" s="95" t="n">
        <x:v>45335</x:v>
      </x:c>
      <x:c r="B410" s="84" t="n">
        <x:v>13</x:v>
      </x:c>
      <x:c r="C410" s="84" t="n">
        <x:v>2</x:v>
      </x:c>
      <x:c r="D410" s="84" t="str">
        <x:v>Fevereiro</x:v>
      </x:c>
      <x:c r="E410" s="84" t="n">
        <x:v>1</x:v>
      </x:c>
      <x:c r="F410" s="84" t="n">
        <x:v>2024</x:v>
      </x:c>
      <x:c r="G410" s="84" t="n">
        <x:v>7</x:v>
      </x:c>
      <x:c r="H410" s="84" t="str">
        <x:v>Terça</x:v>
      </x:c>
      <x:c r="I410" s="85" t="n">
        <x:v>1</x:v>
      </x:c>
    </x:row>
    <x:row r="411">
      <x:c r="A411" s="95" t="n">
        <x:v>45336</x:v>
      </x:c>
      <x:c r="B411" s="84" t="n">
        <x:v>14</x:v>
      </x:c>
      <x:c r="C411" s="84" t="n">
        <x:v>2</x:v>
      </x:c>
      <x:c r="D411" s="84" t="str">
        <x:v>Fevereiro</x:v>
      </x:c>
      <x:c r="E411" s="84" t="n">
        <x:v>1</x:v>
      </x:c>
      <x:c r="F411" s="84" t="n">
        <x:v>2024</x:v>
      </x:c>
      <x:c r="G411" s="84" t="n">
        <x:v>7</x:v>
      </x:c>
      <x:c r="H411" s="84" t="str">
        <x:v>Quarta</x:v>
      </x:c>
      <x:c r="I411" s="85" t="n">
        <x:v>1</x:v>
      </x:c>
    </x:row>
    <x:row r="412">
      <x:c r="A412" s="95" t="n">
        <x:v>45337</x:v>
      </x:c>
      <x:c r="B412" s="84" t="n">
        <x:v>15</x:v>
      </x:c>
      <x:c r="C412" s="84" t="n">
        <x:v>2</x:v>
      </x:c>
      <x:c r="D412" s="84" t="str">
        <x:v>Fevereiro</x:v>
      </x:c>
      <x:c r="E412" s="84" t="n">
        <x:v>1</x:v>
      </x:c>
      <x:c r="F412" s="84" t="n">
        <x:v>2024</x:v>
      </x:c>
      <x:c r="G412" s="84" t="n">
        <x:v>7</x:v>
      </x:c>
      <x:c r="H412" s="84" t="str">
        <x:v>Quinta</x:v>
      </x:c>
      <x:c r="I412" s="85" t="n">
        <x:v>1</x:v>
      </x:c>
    </x:row>
    <x:row r="413">
      <x:c r="A413" s="95" t="n">
        <x:v>45338</x:v>
      </x:c>
      <x:c r="B413" s="84" t="n">
        <x:v>16</x:v>
      </x:c>
      <x:c r="C413" s="84" t="n">
        <x:v>2</x:v>
      </x:c>
      <x:c r="D413" s="84" t="str">
        <x:v>Fevereiro</x:v>
      </x:c>
      <x:c r="E413" s="84" t="n">
        <x:v>1</x:v>
      </x:c>
      <x:c r="F413" s="84" t="n">
        <x:v>2024</x:v>
      </x:c>
      <x:c r="G413" s="84" t="n">
        <x:v>7</x:v>
      </x:c>
      <x:c r="H413" s="84" t="str">
        <x:v>Sexta</x:v>
      </x:c>
      <x:c r="I413" s="85" t="n">
        <x:v>1</x:v>
      </x:c>
    </x:row>
    <x:row r="414">
      <x:c r="A414" s="95" t="n">
        <x:v>45339</x:v>
      </x:c>
      <x:c r="B414" s="84" t="n">
        <x:v>17</x:v>
      </x:c>
      <x:c r="C414" s="84" t="n">
        <x:v>2</x:v>
      </x:c>
      <x:c r="D414" s="84" t="str">
        <x:v>Fevereiro</x:v>
      </x:c>
      <x:c r="E414" s="84" t="n">
        <x:v>1</x:v>
      </x:c>
      <x:c r="F414" s="84" t="n">
        <x:v>2024</x:v>
      </x:c>
      <x:c r="G414" s="84" t="n">
        <x:v>7</x:v>
      </x:c>
      <x:c r="H414" s="84" t="str">
        <x:v>Sábado</x:v>
      </x:c>
      <x:c r="I414" s="85" t="n">
        <x:v>0</x:v>
      </x:c>
    </x:row>
    <x:row r="415">
      <x:c r="A415" s="95" t="n">
        <x:v>45340</x:v>
      </x:c>
      <x:c r="B415" s="84" t="n">
        <x:v>18</x:v>
      </x:c>
      <x:c r="C415" s="84" t="n">
        <x:v>2</x:v>
      </x:c>
      <x:c r="D415" s="84" t="str">
        <x:v>Fevereiro</x:v>
      </x:c>
      <x:c r="E415" s="84" t="n">
        <x:v>1</x:v>
      </x:c>
      <x:c r="F415" s="84" t="n">
        <x:v>2024</x:v>
      </x:c>
      <x:c r="G415" s="84" t="n">
        <x:v>7</x:v>
      </x:c>
      <x:c r="H415" s="84" t="str">
        <x:v>Domingo</x:v>
      </x:c>
      <x:c r="I415" s="85" t="n">
        <x:v>0</x:v>
      </x:c>
    </x:row>
    <x:row r="416">
      <x:c r="A416" s="95" t="n">
        <x:v>45341</x:v>
      </x:c>
      <x:c r="B416" s="84" t="n">
        <x:v>19</x:v>
      </x:c>
      <x:c r="C416" s="84" t="n">
        <x:v>2</x:v>
      </x:c>
      <x:c r="D416" s="84" t="str">
        <x:v>Fevereiro</x:v>
      </x:c>
      <x:c r="E416" s="84" t="n">
        <x:v>1</x:v>
      </x:c>
      <x:c r="F416" s="84" t="n">
        <x:v>2024</x:v>
      </x:c>
      <x:c r="G416" s="84" t="n">
        <x:v>8</x:v>
      </x:c>
      <x:c r="H416" s="84" t="str">
        <x:v>Segunda</x:v>
      </x:c>
      <x:c r="I416" s="85" t="n">
        <x:v>1</x:v>
      </x:c>
    </x:row>
    <x:row r="417">
      <x:c r="A417" s="95" t="n">
        <x:v>45342</x:v>
      </x:c>
      <x:c r="B417" s="84" t="n">
        <x:v>20</x:v>
      </x:c>
      <x:c r="C417" s="84" t="n">
        <x:v>2</x:v>
      </x:c>
      <x:c r="D417" s="84" t="str">
        <x:v>Fevereiro</x:v>
      </x:c>
      <x:c r="E417" s="84" t="n">
        <x:v>1</x:v>
      </x:c>
      <x:c r="F417" s="84" t="n">
        <x:v>2024</x:v>
      </x:c>
      <x:c r="G417" s="84" t="n">
        <x:v>8</x:v>
      </x:c>
      <x:c r="H417" s="84" t="str">
        <x:v>Terça</x:v>
      </x:c>
      <x:c r="I417" s="85" t="n">
        <x:v>1</x:v>
      </x:c>
    </x:row>
    <x:row r="418">
      <x:c r="A418" s="95" t="n">
        <x:v>45343</x:v>
      </x:c>
      <x:c r="B418" s="84" t="n">
        <x:v>21</x:v>
      </x:c>
      <x:c r="C418" s="84" t="n">
        <x:v>2</x:v>
      </x:c>
      <x:c r="D418" s="84" t="str">
        <x:v>Fevereiro</x:v>
      </x:c>
      <x:c r="E418" s="84" t="n">
        <x:v>1</x:v>
      </x:c>
      <x:c r="F418" s="84" t="n">
        <x:v>2024</x:v>
      </x:c>
      <x:c r="G418" s="84" t="n">
        <x:v>8</x:v>
      </x:c>
      <x:c r="H418" s="84" t="str">
        <x:v>Quarta</x:v>
      </x:c>
      <x:c r="I418" s="85" t="n">
        <x:v>1</x:v>
      </x:c>
    </x:row>
    <x:row r="419">
      <x:c r="A419" s="95" t="n">
        <x:v>45344</x:v>
      </x:c>
      <x:c r="B419" s="84" t="n">
        <x:v>22</x:v>
      </x:c>
      <x:c r="C419" s="84" t="n">
        <x:v>2</x:v>
      </x:c>
      <x:c r="D419" s="84" t="str">
        <x:v>Fevereiro</x:v>
      </x:c>
      <x:c r="E419" s="84" t="n">
        <x:v>1</x:v>
      </x:c>
      <x:c r="F419" s="84" t="n">
        <x:v>2024</x:v>
      </x:c>
      <x:c r="G419" s="84" t="n">
        <x:v>8</x:v>
      </x:c>
      <x:c r="H419" s="84" t="str">
        <x:v>Quinta</x:v>
      </x:c>
      <x:c r="I419" s="85" t="n">
        <x:v>1</x:v>
      </x:c>
    </x:row>
    <x:row r="420">
      <x:c r="A420" s="95" t="n">
        <x:v>45345</x:v>
      </x:c>
      <x:c r="B420" s="84" t="n">
        <x:v>23</x:v>
      </x:c>
      <x:c r="C420" s="84" t="n">
        <x:v>2</x:v>
      </x:c>
      <x:c r="D420" s="84" t="str">
        <x:v>Fevereiro</x:v>
      </x:c>
      <x:c r="E420" s="84" t="n">
        <x:v>1</x:v>
      </x:c>
      <x:c r="F420" s="84" t="n">
        <x:v>2024</x:v>
      </x:c>
      <x:c r="G420" s="84" t="n">
        <x:v>8</x:v>
      </x:c>
      <x:c r="H420" s="84" t="str">
        <x:v>Sexta</x:v>
      </x:c>
      <x:c r="I420" s="85" t="n">
        <x:v>1</x:v>
      </x:c>
    </x:row>
    <x:row r="421">
      <x:c r="A421" s="95" t="n">
        <x:v>45346</x:v>
      </x:c>
      <x:c r="B421" s="84" t="n">
        <x:v>24</x:v>
      </x:c>
      <x:c r="C421" s="84" t="n">
        <x:v>2</x:v>
      </x:c>
      <x:c r="D421" s="84" t="str">
        <x:v>Fevereiro</x:v>
      </x:c>
      <x:c r="E421" s="84" t="n">
        <x:v>1</x:v>
      </x:c>
      <x:c r="F421" s="84" t="n">
        <x:v>2024</x:v>
      </x:c>
      <x:c r="G421" s="84" t="n">
        <x:v>8</x:v>
      </x:c>
      <x:c r="H421" s="84" t="str">
        <x:v>Sábado</x:v>
      </x:c>
      <x:c r="I421" s="85" t="n">
        <x:v>0</x:v>
      </x:c>
    </x:row>
    <x:row r="422">
      <x:c r="A422" s="95" t="n">
        <x:v>45347</x:v>
      </x:c>
      <x:c r="B422" s="84" t="n">
        <x:v>25</x:v>
      </x:c>
      <x:c r="C422" s="84" t="n">
        <x:v>2</x:v>
      </x:c>
      <x:c r="D422" s="84" t="str">
        <x:v>Fevereiro</x:v>
      </x:c>
      <x:c r="E422" s="84" t="n">
        <x:v>1</x:v>
      </x:c>
      <x:c r="F422" s="84" t="n">
        <x:v>2024</x:v>
      </x:c>
      <x:c r="G422" s="84" t="n">
        <x:v>8</x:v>
      </x:c>
      <x:c r="H422" s="84" t="str">
        <x:v>Domingo</x:v>
      </x:c>
      <x:c r="I422" s="85" t="n">
        <x:v>0</x:v>
      </x:c>
    </x:row>
    <x:row r="423">
      <x:c r="A423" s="95" t="n">
        <x:v>45348</x:v>
      </x:c>
      <x:c r="B423" s="84" t="n">
        <x:v>26</x:v>
      </x:c>
      <x:c r="C423" s="84" t="n">
        <x:v>2</x:v>
      </x:c>
      <x:c r="D423" s="84" t="str">
        <x:v>Fevereiro</x:v>
      </x:c>
      <x:c r="E423" s="84" t="n">
        <x:v>1</x:v>
      </x:c>
      <x:c r="F423" s="84" t="n">
        <x:v>2024</x:v>
      </x:c>
      <x:c r="G423" s="84" t="n">
        <x:v>9</x:v>
      </x:c>
      <x:c r="H423" s="84" t="str">
        <x:v>Segunda</x:v>
      </x:c>
      <x:c r="I423" s="85" t="n">
        <x:v>1</x:v>
      </x:c>
    </x:row>
    <x:row r="424">
      <x:c r="A424" s="95" t="n">
        <x:v>45349</x:v>
      </x:c>
      <x:c r="B424" s="84" t="n">
        <x:v>27</x:v>
      </x:c>
      <x:c r="C424" s="84" t="n">
        <x:v>2</x:v>
      </x:c>
      <x:c r="D424" s="84" t="str">
        <x:v>Fevereiro</x:v>
      </x:c>
      <x:c r="E424" s="84" t="n">
        <x:v>1</x:v>
      </x:c>
      <x:c r="F424" s="84" t="n">
        <x:v>2024</x:v>
      </x:c>
      <x:c r="G424" s="84" t="n">
        <x:v>9</x:v>
      </x:c>
      <x:c r="H424" s="84" t="str">
        <x:v>Terça</x:v>
      </x:c>
      <x:c r="I424" s="85" t="n">
        <x:v>1</x:v>
      </x:c>
    </x:row>
    <x:row r="425">
      <x:c r="A425" s="95" t="n">
        <x:v>45350</x:v>
      </x:c>
      <x:c r="B425" s="84" t="n">
        <x:v>28</x:v>
      </x:c>
      <x:c r="C425" s="84" t="n">
        <x:v>2</x:v>
      </x:c>
      <x:c r="D425" s="84" t="str">
        <x:v>Fevereiro</x:v>
      </x:c>
      <x:c r="E425" s="84" t="n">
        <x:v>1</x:v>
      </x:c>
      <x:c r="F425" s="84" t="n">
        <x:v>2024</x:v>
      </x:c>
      <x:c r="G425" s="84" t="n">
        <x:v>9</x:v>
      </x:c>
      <x:c r="H425" s="84" t="str">
        <x:v>Quarta</x:v>
      </x:c>
      <x:c r="I425" s="85" t="n">
        <x:v>1</x:v>
      </x:c>
    </x:row>
    <x:row r="426">
      <x:c r="A426" s="95" t="n">
        <x:v>45351</x:v>
      </x:c>
      <x:c r="B426" s="84" t="n">
        <x:v>29</x:v>
      </x:c>
      <x:c r="C426" s="84" t="n">
        <x:v>2</x:v>
      </x:c>
      <x:c r="D426" s="84" t="str">
        <x:v>Fevereiro</x:v>
      </x:c>
      <x:c r="E426" s="84" t="n">
        <x:v>1</x:v>
      </x:c>
      <x:c r="F426" s="84" t="n">
        <x:v>2024</x:v>
      </x:c>
      <x:c r="G426" s="84" t="n">
        <x:v>9</x:v>
      </x:c>
      <x:c r="H426" s="84" t="str">
        <x:v>Quinta</x:v>
      </x:c>
      <x:c r="I426" s="85" t="n">
        <x:v>1</x:v>
      </x:c>
    </x:row>
    <x:row r="427">
      <x:c r="A427" s="95" t="n">
        <x:v>45352</x:v>
      </x:c>
      <x:c r="B427" s="84" t="n">
        <x:v>1</x:v>
      </x:c>
      <x:c r="C427" s="84" t="n">
        <x:v>3</x:v>
      </x:c>
      <x:c r="D427" s="84" t="str">
        <x:v>Março</x:v>
      </x:c>
      <x:c r="E427" s="84" t="n">
        <x:v>1</x:v>
      </x:c>
      <x:c r="F427" s="84" t="n">
        <x:v>2024</x:v>
      </x:c>
      <x:c r="G427" s="84" t="n">
        <x:v>9</x:v>
      </x:c>
      <x:c r="H427" s="84" t="str">
        <x:v>Sexta</x:v>
      </x:c>
      <x:c r="I427" s="85" t="n">
        <x:v>1</x:v>
      </x:c>
    </x:row>
    <x:row r="428">
      <x:c r="A428" s="95" t="n">
        <x:v>45353</x:v>
      </x:c>
      <x:c r="B428" s="84" t="n">
        <x:v>2</x:v>
      </x:c>
      <x:c r="C428" s="84" t="n">
        <x:v>3</x:v>
      </x:c>
      <x:c r="D428" s="84" t="str">
        <x:v>Março</x:v>
      </x:c>
      <x:c r="E428" s="84" t="n">
        <x:v>1</x:v>
      </x:c>
      <x:c r="F428" s="84" t="n">
        <x:v>2024</x:v>
      </x:c>
      <x:c r="G428" s="84" t="n">
        <x:v>9</x:v>
      </x:c>
      <x:c r="H428" s="84" t="str">
        <x:v>Sábado</x:v>
      </x:c>
      <x:c r="I428" s="85" t="n">
        <x:v>0</x:v>
      </x:c>
    </x:row>
    <x:row r="429">
      <x:c r="A429" s="95" t="n">
        <x:v>45354</x:v>
      </x:c>
      <x:c r="B429" s="84" t="n">
        <x:v>3</x:v>
      </x:c>
      <x:c r="C429" s="84" t="n">
        <x:v>3</x:v>
      </x:c>
      <x:c r="D429" s="84" t="str">
        <x:v>Março</x:v>
      </x:c>
      <x:c r="E429" s="84" t="n">
        <x:v>1</x:v>
      </x:c>
      <x:c r="F429" s="84" t="n">
        <x:v>2024</x:v>
      </x:c>
      <x:c r="G429" s="84" t="n">
        <x:v>9</x:v>
      </x:c>
      <x:c r="H429" s="84" t="str">
        <x:v>Domingo</x:v>
      </x:c>
      <x:c r="I429" s="85" t="n">
        <x:v>0</x:v>
      </x:c>
    </x:row>
    <x:row r="430">
      <x:c r="A430" s="95" t="n">
        <x:v>45355</x:v>
      </x:c>
      <x:c r="B430" s="84" t="n">
        <x:v>4</x:v>
      </x:c>
      <x:c r="C430" s="84" t="n">
        <x:v>3</x:v>
      </x:c>
      <x:c r="D430" s="84" t="str">
        <x:v>Março</x:v>
      </x:c>
      <x:c r="E430" s="84" t="n">
        <x:v>1</x:v>
      </x:c>
      <x:c r="F430" s="84" t="n">
        <x:v>2024</x:v>
      </x:c>
      <x:c r="G430" s="84" t="n">
        <x:v>10</x:v>
      </x:c>
      <x:c r="H430" s="84" t="str">
        <x:v>Segunda</x:v>
      </x:c>
      <x:c r="I430" s="85" t="n">
        <x:v>1</x:v>
      </x:c>
    </x:row>
    <x:row r="431">
      <x:c r="A431" s="95" t="n">
        <x:v>45356</x:v>
      </x:c>
      <x:c r="B431" s="84" t="n">
        <x:v>5</x:v>
      </x:c>
      <x:c r="C431" s="84" t="n">
        <x:v>3</x:v>
      </x:c>
      <x:c r="D431" s="84" t="str">
        <x:v>Março</x:v>
      </x:c>
      <x:c r="E431" s="84" t="n">
        <x:v>1</x:v>
      </x:c>
      <x:c r="F431" s="84" t="n">
        <x:v>2024</x:v>
      </x:c>
      <x:c r="G431" s="84" t="n">
        <x:v>10</x:v>
      </x:c>
      <x:c r="H431" s="84" t="str">
        <x:v>Terça</x:v>
      </x:c>
      <x:c r="I431" s="85" t="n">
        <x:v>1</x:v>
      </x:c>
    </x:row>
    <x:row r="432">
      <x:c r="A432" s="95" t="n">
        <x:v>45357</x:v>
      </x:c>
      <x:c r="B432" s="84" t="n">
        <x:v>6</x:v>
      </x:c>
      <x:c r="C432" s="84" t="n">
        <x:v>3</x:v>
      </x:c>
      <x:c r="D432" s="84" t="str">
        <x:v>Março</x:v>
      </x:c>
      <x:c r="E432" s="84" t="n">
        <x:v>1</x:v>
      </x:c>
      <x:c r="F432" s="84" t="n">
        <x:v>2024</x:v>
      </x:c>
      <x:c r="G432" s="84" t="n">
        <x:v>10</x:v>
      </x:c>
      <x:c r="H432" s="84" t="str">
        <x:v>Quarta</x:v>
      </x:c>
      <x:c r="I432" s="85" t="n">
        <x:v>1</x:v>
      </x:c>
    </x:row>
    <x:row r="433">
      <x:c r="A433" s="95" t="n">
        <x:v>45358</x:v>
      </x:c>
      <x:c r="B433" s="84" t="n">
        <x:v>7</x:v>
      </x:c>
      <x:c r="C433" s="84" t="n">
        <x:v>3</x:v>
      </x:c>
      <x:c r="D433" s="84" t="str">
        <x:v>Março</x:v>
      </x:c>
      <x:c r="E433" s="84" t="n">
        <x:v>1</x:v>
      </x:c>
      <x:c r="F433" s="84" t="n">
        <x:v>2024</x:v>
      </x:c>
      <x:c r="G433" s="84" t="n">
        <x:v>10</x:v>
      </x:c>
      <x:c r="H433" s="84" t="str">
        <x:v>Quinta</x:v>
      </x:c>
      <x:c r="I433" s="85" t="n">
        <x:v>1</x:v>
      </x:c>
    </x:row>
    <x:row r="434">
      <x:c r="A434" s="95" t="n">
        <x:v>45359</x:v>
      </x:c>
      <x:c r="B434" s="84" t="n">
        <x:v>8</x:v>
      </x:c>
      <x:c r="C434" s="84" t="n">
        <x:v>3</x:v>
      </x:c>
      <x:c r="D434" s="84" t="str">
        <x:v>Março</x:v>
      </x:c>
      <x:c r="E434" s="84" t="n">
        <x:v>1</x:v>
      </x:c>
      <x:c r="F434" s="84" t="n">
        <x:v>2024</x:v>
      </x:c>
      <x:c r="G434" s="84" t="n">
        <x:v>10</x:v>
      </x:c>
      <x:c r="H434" s="84" t="str">
        <x:v>Sexta</x:v>
      </x:c>
      <x:c r="I434" s="85" t="n">
        <x:v>1</x:v>
      </x:c>
    </x:row>
    <x:row r="435">
      <x:c r="A435" s="95" t="n">
        <x:v>45360</x:v>
      </x:c>
      <x:c r="B435" s="84" t="n">
        <x:v>9</x:v>
      </x:c>
      <x:c r="C435" s="84" t="n">
        <x:v>3</x:v>
      </x:c>
      <x:c r="D435" s="84" t="str">
        <x:v>Março</x:v>
      </x:c>
      <x:c r="E435" s="84" t="n">
        <x:v>1</x:v>
      </x:c>
      <x:c r="F435" s="84" t="n">
        <x:v>2024</x:v>
      </x:c>
      <x:c r="G435" s="84" t="n">
        <x:v>10</x:v>
      </x:c>
      <x:c r="H435" s="84" t="str">
        <x:v>Sábado</x:v>
      </x:c>
      <x:c r="I435" s="85" t="n">
        <x:v>0</x:v>
      </x:c>
    </x:row>
    <x:row r="436">
      <x:c r="A436" s="95" t="n">
        <x:v>45361</x:v>
      </x:c>
      <x:c r="B436" s="84" t="n">
        <x:v>10</x:v>
      </x:c>
      <x:c r="C436" s="84" t="n">
        <x:v>3</x:v>
      </x:c>
      <x:c r="D436" s="84" t="str">
        <x:v>Março</x:v>
      </x:c>
      <x:c r="E436" s="84" t="n">
        <x:v>1</x:v>
      </x:c>
      <x:c r="F436" s="84" t="n">
        <x:v>2024</x:v>
      </x:c>
      <x:c r="G436" s="84" t="n">
        <x:v>10</x:v>
      </x:c>
      <x:c r="H436" s="84" t="str">
        <x:v>Domingo</x:v>
      </x:c>
      <x:c r="I436" s="85" t="n">
        <x:v>0</x:v>
      </x:c>
    </x:row>
    <x:row r="437">
      <x:c r="A437" s="95" t="n">
        <x:v>45362</x:v>
      </x:c>
      <x:c r="B437" s="84" t="n">
        <x:v>11</x:v>
      </x:c>
      <x:c r="C437" s="84" t="n">
        <x:v>3</x:v>
      </x:c>
      <x:c r="D437" s="84" t="str">
        <x:v>Março</x:v>
      </x:c>
      <x:c r="E437" s="84" t="n">
        <x:v>1</x:v>
      </x:c>
      <x:c r="F437" s="84" t="n">
        <x:v>2024</x:v>
      </x:c>
      <x:c r="G437" s="84" t="n">
        <x:v>11</x:v>
      </x:c>
      <x:c r="H437" s="84" t="str">
        <x:v>Segunda</x:v>
      </x:c>
      <x:c r="I437" s="85" t="n">
        <x:v>1</x:v>
      </x:c>
    </x:row>
    <x:row r="438">
      <x:c r="A438" s="95" t="n">
        <x:v>45363</x:v>
      </x:c>
      <x:c r="B438" s="84" t="n">
        <x:v>12</x:v>
      </x:c>
      <x:c r="C438" s="84" t="n">
        <x:v>3</x:v>
      </x:c>
      <x:c r="D438" s="84" t="str">
        <x:v>Março</x:v>
      </x:c>
      <x:c r="E438" s="84" t="n">
        <x:v>1</x:v>
      </x:c>
      <x:c r="F438" s="84" t="n">
        <x:v>2024</x:v>
      </x:c>
      <x:c r="G438" s="84" t="n">
        <x:v>11</x:v>
      </x:c>
      <x:c r="H438" s="84" t="str">
        <x:v>Terça</x:v>
      </x:c>
      <x:c r="I438" s="85" t="n">
        <x:v>1</x:v>
      </x:c>
    </x:row>
    <x:row r="439">
      <x:c r="A439" s="95" t="n">
        <x:v>45364</x:v>
      </x:c>
      <x:c r="B439" s="84" t="n">
        <x:v>13</x:v>
      </x:c>
      <x:c r="C439" s="84" t="n">
        <x:v>3</x:v>
      </x:c>
      <x:c r="D439" s="84" t="str">
        <x:v>Março</x:v>
      </x:c>
      <x:c r="E439" s="84" t="n">
        <x:v>1</x:v>
      </x:c>
      <x:c r="F439" s="84" t="n">
        <x:v>2024</x:v>
      </x:c>
      <x:c r="G439" s="84" t="n">
        <x:v>11</x:v>
      </x:c>
      <x:c r="H439" s="84" t="str">
        <x:v>Quarta</x:v>
      </x:c>
      <x:c r="I439" s="85" t="n">
        <x:v>1</x:v>
      </x:c>
    </x:row>
    <x:row r="440">
      <x:c r="A440" s="95" t="n">
        <x:v>45365</x:v>
      </x:c>
      <x:c r="B440" s="84" t="n">
        <x:v>14</x:v>
      </x:c>
      <x:c r="C440" s="84" t="n">
        <x:v>3</x:v>
      </x:c>
      <x:c r="D440" s="84" t="str">
        <x:v>Março</x:v>
      </x:c>
      <x:c r="E440" s="84" t="n">
        <x:v>1</x:v>
      </x:c>
      <x:c r="F440" s="84" t="n">
        <x:v>2024</x:v>
      </x:c>
      <x:c r="G440" s="84" t="n">
        <x:v>11</x:v>
      </x:c>
      <x:c r="H440" s="84" t="str">
        <x:v>Quinta</x:v>
      </x:c>
      <x:c r="I440" s="85" t="n">
        <x:v>1</x:v>
      </x:c>
    </x:row>
    <x:row r="441">
      <x:c r="A441" s="95" t="n">
        <x:v>45366</x:v>
      </x:c>
      <x:c r="B441" s="84" t="n">
        <x:v>15</x:v>
      </x:c>
      <x:c r="C441" s="84" t="n">
        <x:v>3</x:v>
      </x:c>
      <x:c r="D441" s="84" t="str">
        <x:v>Março</x:v>
      </x:c>
      <x:c r="E441" s="84" t="n">
        <x:v>1</x:v>
      </x:c>
      <x:c r="F441" s="84" t="n">
        <x:v>2024</x:v>
      </x:c>
      <x:c r="G441" s="84" t="n">
        <x:v>11</x:v>
      </x:c>
      <x:c r="H441" s="84" t="str">
        <x:v>Sexta</x:v>
      </x:c>
      <x:c r="I441" s="85" t="n">
        <x:v>1</x:v>
      </x:c>
    </x:row>
    <x:row r="442">
      <x:c r="A442" s="95" t="n">
        <x:v>45367</x:v>
      </x:c>
      <x:c r="B442" s="84" t="n">
        <x:v>16</x:v>
      </x:c>
      <x:c r="C442" s="84" t="n">
        <x:v>3</x:v>
      </x:c>
      <x:c r="D442" s="84" t="str">
        <x:v>Março</x:v>
      </x:c>
      <x:c r="E442" s="84" t="n">
        <x:v>1</x:v>
      </x:c>
      <x:c r="F442" s="84" t="n">
        <x:v>2024</x:v>
      </x:c>
      <x:c r="G442" s="84" t="n">
        <x:v>11</x:v>
      </x:c>
      <x:c r="H442" s="84" t="str">
        <x:v>Sábado</x:v>
      </x:c>
      <x:c r="I442" s="85" t="n">
        <x:v>0</x:v>
      </x:c>
    </x:row>
    <x:row r="443">
      <x:c r="A443" s="95" t="n">
        <x:v>45368</x:v>
      </x:c>
      <x:c r="B443" s="84" t="n">
        <x:v>17</x:v>
      </x:c>
      <x:c r="C443" s="84" t="n">
        <x:v>3</x:v>
      </x:c>
      <x:c r="D443" s="84" t="str">
        <x:v>Março</x:v>
      </x:c>
      <x:c r="E443" s="84" t="n">
        <x:v>1</x:v>
      </x:c>
      <x:c r="F443" s="84" t="n">
        <x:v>2024</x:v>
      </x:c>
      <x:c r="G443" s="84" t="n">
        <x:v>11</x:v>
      </x:c>
      <x:c r="H443" s="84" t="str">
        <x:v>Domingo</x:v>
      </x:c>
      <x:c r="I443" s="85" t="n">
        <x:v>0</x:v>
      </x:c>
    </x:row>
    <x:row r="444">
      <x:c r="A444" s="95" t="n">
        <x:v>45369</x:v>
      </x:c>
      <x:c r="B444" s="84" t="n">
        <x:v>18</x:v>
      </x:c>
      <x:c r="C444" s="84" t="n">
        <x:v>3</x:v>
      </x:c>
      <x:c r="D444" s="84" t="str">
        <x:v>Março</x:v>
      </x:c>
      <x:c r="E444" s="84" t="n">
        <x:v>1</x:v>
      </x:c>
      <x:c r="F444" s="84" t="n">
        <x:v>2024</x:v>
      </x:c>
      <x:c r="G444" s="84" t="n">
        <x:v>12</x:v>
      </x:c>
      <x:c r="H444" s="84" t="str">
        <x:v>Segunda</x:v>
      </x:c>
      <x:c r="I444" s="85" t="n">
        <x:v>1</x:v>
      </x:c>
    </x:row>
    <x:row r="445">
      <x:c r="A445" s="95" t="n">
        <x:v>45370</x:v>
      </x:c>
      <x:c r="B445" s="84" t="n">
        <x:v>19</x:v>
      </x:c>
      <x:c r="C445" s="84" t="n">
        <x:v>3</x:v>
      </x:c>
      <x:c r="D445" s="84" t="str">
        <x:v>Março</x:v>
      </x:c>
      <x:c r="E445" s="84" t="n">
        <x:v>1</x:v>
      </x:c>
      <x:c r="F445" s="84" t="n">
        <x:v>2024</x:v>
      </x:c>
      <x:c r="G445" s="84" t="n">
        <x:v>12</x:v>
      </x:c>
      <x:c r="H445" s="84" t="str">
        <x:v>Terça</x:v>
      </x:c>
      <x:c r="I445" s="85" t="n">
        <x:v>1</x:v>
      </x:c>
    </x:row>
    <x:row r="446">
      <x:c r="A446" s="95" t="n">
        <x:v>45371</x:v>
      </x:c>
      <x:c r="B446" s="84" t="n">
        <x:v>20</x:v>
      </x:c>
      <x:c r="C446" s="84" t="n">
        <x:v>3</x:v>
      </x:c>
      <x:c r="D446" s="84" t="str">
        <x:v>Março</x:v>
      </x:c>
      <x:c r="E446" s="84" t="n">
        <x:v>1</x:v>
      </x:c>
      <x:c r="F446" s="84" t="n">
        <x:v>2024</x:v>
      </x:c>
      <x:c r="G446" s="84" t="n">
        <x:v>12</x:v>
      </x:c>
      <x:c r="H446" s="84" t="str">
        <x:v>Quarta</x:v>
      </x:c>
      <x:c r="I446" s="85" t="n">
        <x:v>1</x:v>
      </x:c>
    </x:row>
    <x:row r="447">
      <x:c r="A447" s="95" t="n">
        <x:v>45372</x:v>
      </x:c>
      <x:c r="B447" s="84" t="n">
        <x:v>21</x:v>
      </x:c>
      <x:c r="C447" s="84" t="n">
        <x:v>3</x:v>
      </x:c>
      <x:c r="D447" s="84" t="str">
        <x:v>Março</x:v>
      </x:c>
      <x:c r="E447" s="84" t="n">
        <x:v>1</x:v>
      </x:c>
      <x:c r="F447" s="84" t="n">
        <x:v>2024</x:v>
      </x:c>
      <x:c r="G447" s="84" t="n">
        <x:v>12</x:v>
      </x:c>
      <x:c r="H447" s="84" t="str">
        <x:v>Quinta</x:v>
      </x:c>
      <x:c r="I447" s="85" t="n">
        <x:v>1</x:v>
      </x:c>
    </x:row>
    <x:row r="448">
      <x:c r="A448" s="95" t="n">
        <x:v>45373</x:v>
      </x:c>
      <x:c r="B448" s="84" t="n">
        <x:v>22</x:v>
      </x:c>
      <x:c r="C448" s="84" t="n">
        <x:v>3</x:v>
      </x:c>
      <x:c r="D448" s="84" t="str">
        <x:v>Março</x:v>
      </x:c>
      <x:c r="E448" s="84" t="n">
        <x:v>1</x:v>
      </x:c>
      <x:c r="F448" s="84" t="n">
        <x:v>2024</x:v>
      </x:c>
      <x:c r="G448" s="84" t="n">
        <x:v>12</x:v>
      </x:c>
      <x:c r="H448" s="84" t="str">
        <x:v>Sexta</x:v>
      </x:c>
      <x:c r="I448" s="85" t="n">
        <x:v>1</x:v>
      </x:c>
    </x:row>
    <x:row r="449">
      <x:c r="A449" s="95" t="n">
        <x:v>45374</x:v>
      </x:c>
      <x:c r="B449" s="84" t="n">
        <x:v>23</x:v>
      </x:c>
      <x:c r="C449" s="84" t="n">
        <x:v>3</x:v>
      </x:c>
      <x:c r="D449" s="84" t="str">
        <x:v>Março</x:v>
      </x:c>
      <x:c r="E449" s="84" t="n">
        <x:v>1</x:v>
      </x:c>
      <x:c r="F449" s="84" t="n">
        <x:v>2024</x:v>
      </x:c>
      <x:c r="G449" s="84" t="n">
        <x:v>12</x:v>
      </x:c>
      <x:c r="H449" s="84" t="str">
        <x:v>Sábado</x:v>
      </x:c>
      <x:c r="I449" s="85" t="n">
        <x:v>0</x:v>
      </x:c>
    </x:row>
    <x:row r="450">
      <x:c r="A450" s="95" t="n">
        <x:v>45375</x:v>
      </x:c>
      <x:c r="B450" s="84" t="n">
        <x:v>24</x:v>
      </x:c>
      <x:c r="C450" s="84" t="n">
        <x:v>3</x:v>
      </x:c>
      <x:c r="D450" s="84" t="str">
        <x:v>Março</x:v>
      </x:c>
      <x:c r="E450" s="84" t="n">
        <x:v>1</x:v>
      </x:c>
      <x:c r="F450" s="84" t="n">
        <x:v>2024</x:v>
      </x:c>
      <x:c r="G450" s="84" t="n">
        <x:v>12</x:v>
      </x:c>
      <x:c r="H450" s="84" t="str">
        <x:v>Domingo</x:v>
      </x:c>
      <x:c r="I450" s="85" t="n">
        <x:v>0</x:v>
      </x:c>
    </x:row>
    <x:row r="451">
      <x:c r="A451" s="95" t="n">
        <x:v>45376</x:v>
      </x:c>
      <x:c r="B451" s="84" t="n">
        <x:v>25</x:v>
      </x:c>
      <x:c r="C451" s="84" t="n">
        <x:v>3</x:v>
      </x:c>
      <x:c r="D451" s="84" t="str">
        <x:v>Março</x:v>
      </x:c>
      <x:c r="E451" s="84" t="n">
        <x:v>1</x:v>
      </x:c>
      <x:c r="F451" s="84" t="n">
        <x:v>2024</x:v>
      </x:c>
      <x:c r="G451" s="84" t="n">
        <x:v>13</x:v>
      </x:c>
      <x:c r="H451" s="84" t="str">
        <x:v>Segunda</x:v>
      </x:c>
      <x:c r="I451" s="85" t="n">
        <x:v>1</x:v>
      </x:c>
    </x:row>
    <x:row r="452">
      <x:c r="A452" s="95" t="n">
        <x:v>45377</x:v>
      </x:c>
      <x:c r="B452" s="84" t="n">
        <x:v>26</x:v>
      </x:c>
      <x:c r="C452" s="84" t="n">
        <x:v>3</x:v>
      </x:c>
      <x:c r="D452" s="84" t="str">
        <x:v>Março</x:v>
      </x:c>
      <x:c r="E452" s="84" t="n">
        <x:v>1</x:v>
      </x:c>
      <x:c r="F452" s="84" t="n">
        <x:v>2024</x:v>
      </x:c>
      <x:c r="G452" s="84" t="n">
        <x:v>13</x:v>
      </x:c>
      <x:c r="H452" s="84" t="str">
        <x:v>Terça</x:v>
      </x:c>
      <x:c r="I452" s="85" t="n">
        <x:v>1</x:v>
      </x:c>
    </x:row>
    <x:row r="453">
      <x:c r="A453" s="95" t="n">
        <x:v>45378</x:v>
      </x:c>
      <x:c r="B453" s="84" t="n">
        <x:v>27</x:v>
      </x:c>
      <x:c r="C453" s="84" t="n">
        <x:v>3</x:v>
      </x:c>
      <x:c r="D453" s="84" t="str">
        <x:v>Março</x:v>
      </x:c>
      <x:c r="E453" s="84" t="n">
        <x:v>1</x:v>
      </x:c>
      <x:c r="F453" s="84" t="n">
        <x:v>2024</x:v>
      </x:c>
      <x:c r="G453" s="84" t="n">
        <x:v>13</x:v>
      </x:c>
      <x:c r="H453" s="84" t="str">
        <x:v>Quarta</x:v>
      </x:c>
      <x:c r="I453" s="85" t="n">
        <x:v>1</x:v>
      </x:c>
    </x:row>
    <x:row r="454">
      <x:c r="A454" s="95" t="n">
        <x:v>45379</x:v>
      </x:c>
      <x:c r="B454" s="84" t="n">
        <x:v>28</x:v>
      </x:c>
      <x:c r="C454" s="84" t="n">
        <x:v>3</x:v>
      </x:c>
      <x:c r="D454" s="84" t="str">
        <x:v>Março</x:v>
      </x:c>
      <x:c r="E454" s="84" t="n">
        <x:v>1</x:v>
      </x:c>
      <x:c r="F454" s="84" t="n">
        <x:v>2024</x:v>
      </x:c>
      <x:c r="G454" s="84" t="n">
        <x:v>13</x:v>
      </x:c>
      <x:c r="H454" s="84" t="str">
        <x:v>Quinta</x:v>
      </x:c>
      <x:c r="I454" s="85" t="n">
        <x:v>1</x:v>
      </x:c>
    </x:row>
    <x:row r="455">
      <x:c r="A455" s="95" t="n">
        <x:v>45380</x:v>
      </x:c>
      <x:c r="B455" s="84" t="n">
        <x:v>29</x:v>
      </x:c>
      <x:c r="C455" s="84" t="n">
        <x:v>3</x:v>
      </x:c>
      <x:c r="D455" s="84" t="str">
        <x:v>Março</x:v>
      </x:c>
      <x:c r="E455" s="84" t="n">
        <x:v>1</x:v>
      </x:c>
      <x:c r="F455" s="84" t="n">
        <x:v>2024</x:v>
      </x:c>
      <x:c r="G455" s="84" t="n">
        <x:v>13</x:v>
      </x:c>
      <x:c r="H455" s="84" t="str">
        <x:v>Sexta</x:v>
      </x:c>
      <x:c r="I455" s="85" t="n">
        <x:v>1</x:v>
      </x:c>
    </x:row>
    <x:row r="456">
      <x:c r="A456" s="95" t="n">
        <x:v>45381</x:v>
      </x:c>
      <x:c r="B456" s="84" t="n">
        <x:v>30</x:v>
      </x:c>
      <x:c r="C456" s="84" t="n">
        <x:v>3</x:v>
      </x:c>
      <x:c r="D456" s="84" t="str">
        <x:v>Março</x:v>
      </x:c>
      <x:c r="E456" s="84" t="n">
        <x:v>1</x:v>
      </x:c>
      <x:c r="F456" s="84" t="n">
        <x:v>2024</x:v>
      </x:c>
      <x:c r="G456" s="84" t="n">
        <x:v>13</x:v>
      </x:c>
      <x:c r="H456" s="84" t="str">
        <x:v>Sábado</x:v>
      </x:c>
      <x:c r="I456" s="85" t="n">
        <x:v>0</x:v>
      </x:c>
    </x:row>
    <x:row r="457">
      <x:c r="A457" s="95" t="n">
        <x:v>45382</x:v>
      </x:c>
      <x:c r="B457" s="84" t="n">
        <x:v>31</x:v>
      </x:c>
      <x:c r="C457" s="84" t="n">
        <x:v>3</x:v>
      </x:c>
      <x:c r="D457" s="84" t="str">
        <x:v>Março</x:v>
      </x:c>
      <x:c r="E457" s="84" t="n">
        <x:v>1</x:v>
      </x:c>
      <x:c r="F457" s="84" t="n">
        <x:v>2024</x:v>
      </x:c>
      <x:c r="G457" s="84" t="n">
        <x:v>13</x:v>
      </x:c>
      <x:c r="H457" s="84" t="str">
        <x:v>Domingo</x:v>
      </x:c>
      <x:c r="I457" s="85" t="n">
        <x:v>0</x:v>
      </x:c>
    </x:row>
    <x:row r="458">
      <x:c r="A458" s="95" t="n">
        <x:v>45383</x:v>
      </x:c>
      <x:c r="B458" s="84" t="n">
        <x:v>1</x:v>
      </x:c>
      <x:c r="C458" s="84" t="n">
        <x:v>4</x:v>
      </x:c>
      <x:c r="D458" s="84" t="str">
        <x:v>Abril</x:v>
      </x:c>
      <x:c r="E458" s="84" t="n">
        <x:v>2</x:v>
      </x:c>
      <x:c r="F458" s="84" t="n">
        <x:v>2024</x:v>
      </x:c>
      <x:c r="G458" s="84" t="n">
        <x:v>14</x:v>
      </x:c>
      <x:c r="H458" s="84" t="str">
        <x:v>Segunda</x:v>
      </x:c>
      <x:c r="I458" s="85" t="n">
        <x:v>1</x:v>
      </x:c>
    </x:row>
    <x:row r="459">
      <x:c r="A459" s="95" t="n">
        <x:v>45384</x:v>
      </x:c>
      <x:c r="B459" s="84" t="n">
        <x:v>2</x:v>
      </x:c>
      <x:c r="C459" s="84" t="n">
        <x:v>4</x:v>
      </x:c>
      <x:c r="D459" s="84" t="str">
        <x:v>Abril</x:v>
      </x:c>
      <x:c r="E459" s="84" t="n">
        <x:v>2</x:v>
      </x:c>
      <x:c r="F459" s="84" t="n">
        <x:v>2024</x:v>
      </x:c>
      <x:c r="G459" s="84" t="n">
        <x:v>14</x:v>
      </x:c>
      <x:c r="H459" s="84" t="str">
        <x:v>Terça</x:v>
      </x:c>
      <x:c r="I459" s="85" t="n">
        <x:v>1</x:v>
      </x:c>
    </x:row>
    <x:row r="460">
      <x:c r="A460" s="95" t="n">
        <x:v>45385</x:v>
      </x:c>
      <x:c r="B460" s="84" t="n">
        <x:v>3</x:v>
      </x:c>
      <x:c r="C460" s="84" t="n">
        <x:v>4</x:v>
      </x:c>
      <x:c r="D460" s="84" t="str">
        <x:v>Abril</x:v>
      </x:c>
      <x:c r="E460" s="84" t="n">
        <x:v>2</x:v>
      </x:c>
      <x:c r="F460" s="84" t="n">
        <x:v>2024</x:v>
      </x:c>
      <x:c r="G460" s="84" t="n">
        <x:v>14</x:v>
      </x:c>
      <x:c r="H460" s="84" t="str">
        <x:v>Quarta</x:v>
      </x:c>
      <x:c r="I460" s="85" t="n">
        <x:v>1</x:v>
      </x:c>
    </x:row>
    <x:row r="461">
      <x:c r="A461" s="95" t="n">
        <x:v>45386</x:v>
      </x:c>
      <x:c r="B461" s="84" t="n">
        <x:v>4</x:v>
      </x:c>
      <x:c r="C461" s="84" t="n">
        <x:v>4</x:v>
      </x:c>
      <x:c r="D461" s="84" t="str">
        <x:v>Abril</x:v>
      </x:c>
      <x:c r="E461" s="84" t="n">
        <x:v>2</x:v>
      </x:c>
      <x:c r="F461" s="84" t="n">
        <x:v>2024</x:v>
      </x:c>
      <x:c r="G461" s="84" t="n">
        <x:v>14</x:v>
      </x:c>
      <x:c r="H461" s="84" t="str">
        <x:v>Quinta</x:v>
      </x:c>
      <x:c r="I461" s="85" t="n">
        <x:v>1</x:v>
      </x:c>
    </x:row>
    <x:row r="462">
      <x:c r="A462" s="95" t="n">
        <x:v>45387</x:v>
      </x:c>
      <x:c r="B462" s="84" t="n">
        <x:v>5</x:v>
      </x:c>
      <x:c r="C462" s="84" t="n">
        <x:v>4</x:v>
      </x:c>
      <x:c r="D462" s="84" t="str">
        <x:v>Abril</x:v>
      </x:c>
      <x:c r="E462" s="84" t="n">
        <x:v>2</x:v>
      </x:c>
      <x:c r="F462" s="84" t="n">
        <x:v>2024</x:v>
      </x:c>
      <x:c r="G462" s="84" t="n">
        <x:v>14</x:v>
      </x:c>
      <x:c r="H462" s="84" t="str">
        <x:v>Sexta</x:v>
      </x:c>
      <x:c r="I462" s="85" t="n">
        <x:v>1</x:v>
      </x:c>
    </x:row>
    <x:row r="463">
      <x:c r="A463" s="95" t="n">
        <x:v>45388</x:v>
      </x:c>
      <x:c r="B463" s="84" t="n">
        <x:v>6</x:v>
      </x:c>
      <x:c r="C463" s="84" t="n">
        <x:v>4</x:v>
      </x:c>
      <x:c r="D463" s="84" t="str">
        <x:v>Abril</x:v>
      </x:c>
      <x:c r="E463" s="84" t="n">
        <x:v>2</x:v>
      </x:c>
      <x:c r="F463" s="84" t="n">
        <x:v>2024</x:v>
      </x:c>
      <x:c r="G463" s="84" t="n">
        <x:v>14</x:v>
      </x:c>
      <x:c r="H463" s="84" t="str">
        <x:v>Sábado</x:v>
      </x:c>
      <x:c r="I463" s="85" t="n">
        <x:v>0</x:v>
      </x:c>
    </x:row>
    <x:row r="464">
      <x:c r="A464" s="95" t="n">
        <x:v>45389</x:v>
      </x:c>
      <x:c r="B464" s="84" t="n">
        <x:v>7</x:v>
      </x:c>
      <x:c r="C464" s="84" t="n">
        <x:v>4</x:v>
      </x:c>
      <x:c r="D464" s="84" t="str">
        <x:v>Abril</x:v>
      </x:c>
      <x:c r="E464" s="84" t="n">
        <x:v>2</x:v>
      </x:c>
      <x:c r="F464" s="84" t="n">
        <x:v>2024</x:v>
      </x:c>
      <x:c r="G464" s="84" t="n">
        <x:v>14</x:v>
      </x:c>
      <x:c r="H464" s="84" t="str">
        <x:v>Domingo</x:v>
      </x:c>
      <x:c r="I464" s="85" t="n">
        <x:v>0</x:v>
      </x:c>
    </x:row>
    <x:row r="465">
      <x:c r="A465" s="95" t="n">
        <x:v>45390</x:v>
      </x:c>
      <x:c r="B465" s="84" t="n">
        <x:v>8</x:v>
      </x:c>
      <x:c r="C465" s="84" t="n">
        <x:v>4</x:v>
      </x:c>
      <x:c r="D465" s="84" t="str">
        <x:v>Abril</x:v>
      </x:c>
      <x:c r="E465" s="84" t="n">
        <x:v>2</x:v>
      </x:c>
      <x:c r="F465" s="84" t="n">
        <x:v>2024</x:v>
      </x:c>
      <x:c r="G465" s="84" t="n">
        <x:v>15</x:v>
      </x:c>
      <x:c r="H465" s="84" t="str">
        <x:v>Segunda</x:v>
      </x:c>
      <x:c r="I465" s="85" t="n">
        <x:v>1</x:v>
      </x:c>
    </x:row>
    <x:row r="466">
      <x:c r="A466" s="95" t="n">
        <x:v>45391</x:v>
      </x:c>
      <x:c r="B466" s="84" t="n">
        <x:v>9</x:v>
      </x:c>
      <x:c r="C466" s="84" t="n">
        <x:v>4</x:v>
      </x:c>
      <x:c r="D466" s="84" t="str">
        <x:v>Abril</x:v>
      </x:c>
      <x:c r="E466" s="84" t="n">
        <x:v>2</x:v>
      </x:c>
      <x:c r="F466" s="84" t="n">
        <x:v>2024</x:v>
      </x:c>
      <x:c r="G466" s="84" t="n">
        <x:v>15</x:v>
      </x:c>
      <x:c r="H466" s="84" t="str">
        <x:v>Terça</x:v>
      </x:c>
      <x:c r="I466" s="85" t="n">
        <x:v>1</x:v>
      </x:c>
    </x:row>
    <x:row r="467">
      <x:c r="A467" s="95" t="n">
        <x:v>45392</x:v>
      </x:c>
      <x:c r="B467" s="84" t="n">
        <x:v>10</x:v>
      </x:c>
      <x:c r="C467" s="84" t="n">
        <x:v>4</x:v>
      </x:c>
      <x:c r="D467" s="84" t="str">
        <x:v>Abril</x:v>
      </x:c>
      <x:c r="E467" s="84" t="n">
        <x:v>2</x:v>
      </x:c>
      <x:c r="F467" s="84" t="n">
        <x:v>2024</x:v>
      </x:c>
      <x:c r="G467" s="84" t="n">
        <x:v>15</x:v>
      </x:c>
      <x:c r="H467" s="84" t="str">
        <x:v>Quarta</x:v>
      </x:c>
      <x:c r="I467" s="85" t="n">
        <x:v>1</x:v>
      </x:c>
    </x:row>
    <x:row r="468">
      <x:c r="A468" s="95" t="n">
        <x:v>45393</x:v>
      </x:c>
      <x:c r="B468" s="84" t="n">
        <x:v>11</x:v>
      </x:c>
      <x:c r="C468" s="84" t="n">
        <x:v>4</x:v>
      </x:c>
      <x:c r="D468" s="84" t="str">
        <x:v>Abril</x:v>
      </x:c>
      <x:c r="E468" s="84" t="n">
        <x:v>2</x:v>
      </x:c>
      <x:c r="F468" s="84" t="n">
        <x:v>2024</x:v>
      </x:c>
      <x:c r="G468" s="84" t="n">
        <x:v>15</x:v>
      </x:c>
      <x:c r="H468" s="84" t="str">
        <x:v>Quinta</x:v>
      </x:c>
      <x:c r="I468" s="85" t="n">
        <x:v>1</x:v>
      </x:c>
    </x:row>
    <x:row r="469">
      <x:c r="A469" s="95" t="n">
        <x:v>45394</x:v>
      </x:c>
      <x:c r="B469" s="84" t="n">
        <x:v>12</x:v>
      </x:c>
      <x:c r="C469" s="84" t="n">
        <x:v>4</x:v>
      </x:c>
      <x:c r="D469" s="84" t="str">
        <x:v>Abril</x:v>
      </x:c>
      <x:c r="E469" s="84" t="n">
        <x:v>2</x:v>
      </x:c>
      <x:c r="F469" s="84" t="n">
        <x:v>2024</x:v>
      </x:c>
      <x:c r="G469" s="84" t="n">
        <x:v>15</x:v>
      </x:c>
      <x:c r="H469" s="84" t="str">
        <x:v>Sexta</x:v>
      </x:c>
      <x:c r="I469" s="85" t="n">
        <x:v>1</x:v>
      </x:c>
    </x:row>
    <x:row r="470">
      <x:c r="A470" s="95" t="n">
        <x:v>45395</x:v>
      </x:c>
      <x:c r="B470" s="84" t="n">
        <x:v>13</x:v>
      </x:c>
      <x:c r="C470" s="84" t="n">
        <x:v>4</x:v>
      </x:c>
      <x:c r="D470" s="84" t="str">
        <x:v>Abril</x:v>
      </x:c>
      <x:c r="E470" s="84" t="n">
        <x:v>2</x:v>
      </x:c>
      <x:c r="F470" s="84" t="n">
        <x:v>2024</x:v>
      </x:c>
      <x:c r="G470" s="84" t="n">
        <x:v>15</x:v>
      </x:c>
      <x:c r="H470" s="84" t="str">
        <x:v>Sábado</x:v>
      </x:c>
      <x:c r="I470" s="85" t="n">
        <x:v>0</x:v>
      </x:c>
    </x:row>
    <x:row r="471">
      <x:c r="A471" s="95" t="n">
        <x:v>45396</x:v>
      </x:c>
      <x:c r="B471" s="84" t="n">
        <x:v>14</x:v>
      </x:c>
      <x:c r="C471" s="84" t="n">
        <x:v>4</x:v>
      </x:c>
      <x:c r="D471" s="84" t="str">
        <x:v>Abril</x:v>
      </x:c>
      <x:c r="E471" s="84" t="n">
        <x:v>2</x:v>
      </x:c>
      <x:c r="F471" s="84" t="n">
        <x:v>2024</x:v>
      </x:c>
      <x:c r="G471" s="84" t="n">
        <x:v>15</x:v>
      </x:c>
      <x:c r="H471" s="84" t="str">
        <x:v>Domingo</x:v>
      </x:c>
      <x:c r="I471" s="85" t="n">
        <x:v>0</x:v>
      </x:c>
    </x:row>
    <x:row r="472">
      <x:c r="A472" s="95" t="n">
        <x:v>45397</x:v>
      </x:c>
      <x:c r="B472" s="84" t="n">
        <x:v>15</x:v>
      </x:c>
      <x:c r="C472" s="84" t="n">
        <x:v>4</x:v>
      </x:c>
      <x:c r="D472" s="84" t="str">
        <x:v>Abril</x:v>
      </x:c>
      <x:c r="E472" s="84" t="n">
        <x:v>2</x:v>
      </x:c>
      <x:c r="F472" s="84" t="n">
        <x:v>2024</x:v>
      </x:c>
      <x:c r="G472" s="84" t="n">
        <x:v>16</x:v>
      </x:c>
      <x:c r="H472" s="84" t="str">
        <x:v>Segunda</x:v>
      </x:c>
      <x:c r="I472" s="85" t="n">
        <x:v>1</x:v>
      </x:c>
    </x:row>
    <x:row r="473">
      <x:c r="A473" s="95" t="n">
        <x:v>45398</x:v>
      </x:c>
      <x:c r="B473" s="84" t="n">
        <x:v>16</x:v>
      </x:c>
      <x:c r="C473" s="84" t="n">
        <x:v>4</x:v>
      </x:c>
      <x:c r="D473" s="84" t="str">
        <x:v>Abril</x:v>
      </x:c>
      <x:c r="E473" s="84" t="n">
        <x:v>2</x:v>
      </x:c>
      <x:c r="F473" s="84" t="n">
        <x:v>2024</x:v>
      </x:c>
      <x:c r="G473" s="84" t="n">
        <x:v>16</x:v>
      </x:c>
      <x:c r="H473" s="84" t="str">
        <x:v>Terça</x:v>
      </x:c>
      <x:c r="I473" s="85" t="n">
        <x:v>1</x:v>
      </x:c>
    </x:row>
    <x:row r="474">
      <x:c r="A474" s="95" t="n">
        <x:v>45399</x:v>
      </x:c>
      <x:c r="B474" s="84" t="n">
        <x:v>17</x:v>
      </x:c>
      <x:c r="C474" s="84" t="n">
        <x:v>4</x:v>
      </x:c>
      <x:c r="D474" s="84" t="str">
        <x:v>Abril</x:v>
      </x:c>
      <x:c r="E474" s="84" t="n">
        <x:v>2</x:v>
      </x:c>
      <x:c r="F474" s="84" t="n">
        <x:v>2024</x:v>
      </x:c>
      <x:c r="G474" s="84" t="n">
        <x:v>16</x:v>
      </x:c>
      <x:c r="H474" s="84" t="str">
        <x:v>Quarta</x:v>
      </x:c>
      <x:c r="I474" s="85" t="n">
        <x:v>1</x:v>
      </x:c>
    </x:row>
    <x:row r="475">
      <x:c r="A475" s="95" t="n">
        <x:v>45400</x:v>
      </x:c>
      <x:c r="B475" s="84" t="n">
        <x:v>18</x:v>
      </x:c>
      <x:c r="C475" s="84" t="n">
        <x:v>4</x:v>
      </x:c>
      <x:c r="D475" s="84" t="str">
        <x:v>Abril</x:v>
      </x:c>
      <x:c r="E475" s="84" t="n">
        <x:v>2</x:v>
      </x:c>
      <x:c r="F475" s="84" t="n">
        <x:v>2024</x:v>
      </x:c>
      <x:c r="G475" s="84" t="n">
        <x:v>16</x:v>
      </x:c>
      <x:c r="H475" s="84" t="str">
        <x:v>Quinta</x:v>
      </x:c>
      <x:c r="I475" s="85" t="n">
        <x:v>1</x:v>
      </x:c>
    </x:row>
    <x:row r="476">
      <x:c r="A476" s="95" t="n">
        <x:v>45401</x:v>
      </x:c>
      <x:c r="B476" s="84" t="n">
        <x:v>19</x:v>
      </x:c>
      <x:c r="C476" s="84" t="n">
        <x:v>4</x:v>
      </x:c>
      <x:c r="D476" s="84" t="str">
        <x:v>Abril</x:v>
      </x:c>
      <x:c r="E476" s="84" t="n">
        <x:v>2</x:v>
      </x:c>
      <x:c r="F476" s="84" t="n">
        <x:v>2024</x:v>
      </x:c>
      <x:c r="G476" s="84" t="n">
        <x:v>16</x:v>
      </x:c>
      <x:c r="H476" s="84" t="str">
        <x:v>Sexta</x:v>
      </x:c>
      <x:c r="I476" s="85" t="n">
        <x:v>1</x:v>
      </x:c>
    </x:row>
    <x:row r="477">
      <x:c r="A477" s="95" t="n">
        <x:v>45402</x:v>
      </x:c>
      <x:c r="B477" s="84" t="n">
        <x:v>20</x:v>
      </x:c>
      <x:c r="C477" s="84" t="n">
        <x:v>4</x:v>
      </x:c>
      <x:c r="D477" s="84" t="str">
        <x:v>Abril</x:v>
      </x:c>
      <x:c r="E477" s="84" t="n">
        <x:v>2</x:v>
      </x:c>
      <x:c r="F477" s="84" t="n">
        <x:v>2024</x:v>
      </x:c>
      <x:c r="G477" s="84" t="n">
        <x:v>16</x:v>
      </x:c>
      <x:c r="H477" s="84" t="str">
        <x:v>Sábado</x:v>
      </x:c>
      <x:c r="I477" s="85" t="n">
        <x:v>0</x:v>
      </x:c>
    </x:row>
    <x:row r="478">
      <x:c r="A478" s="95" t="n">
        <x:v>45403</x:v>
      </x:c>
      <x:c r="B478" s="84" t="n">
        <x:v>21</x:v>
      </x:c>
      <x:c r="C478" s="84" t="n">
        <x:v>4</x:v>
      </x:c>
      <x:c r="D478" s="84" t="str">
        <x:v>Abril</x:v>
      </x:c>
      <x:c r="E478" s="84" t="n">
        <x:v>2</x:v>
      </x:c>
      <x:c r="F478" s="84" t="n">
        <x:v>2024</x:v>
      </x:c>
      <x:c r="G478" s="84" t="n">
        <x:v>16</x:v>
      </x:c>
      <x:c r="H478" s="84" t="str">
        <x:v>Domingo</x:v>
      </x:c>
      <x:c r="I478" s="85" t="n">
        <x:v>0</x:v>
      </x:c>
    </x:row>
    <x:row r="479">
      <x:c r="A479" s="95" t="n">
        <x:v>45404</x:v>
      </x:c>
      <x:c r="B479" s="84" t="n">
        <x:v>22</x:v>
      </x:c>
      <x:c r="C479" s="84" t="n">
        <x:v>4</x:v>
      </x:c>
      <x:c r="D479" s="84" t="str">
        <x:v>Abril</x:v>
      </x:c>
      <x:c r="E479" s="84" t="n">
        <x:v>2</x:v>
      </x:c>
      <x:c r="F479" s="84" t="n">
        <x:v>2024</x:v>
      </x:c>
      <x:c r="G479" s="84" t="n">
        <x:v>17</x:v>
      </x:c>
      <x:c r="H479" s="84" t="str">
        <x:v>Segunda</x:v>
      </x:c>
      <x:c r="I479" s="85" t="n">
        <x:v>1</x:v>
      </x:c>
    </x:row>
    <x:row r="480">
      <x:c r="A480" s="95" t="n">
        <x:v>45405</x:v>
      </x:c>
      <x:c r="B480" s="84" t="n">
        <x:v>23</x:v>
      </x:c>
      <x:c r="C480" s="84" t="n">
        <x:v>4</x:v>
      </x:c>
      <x:c r="D480" s="84" t="str">
        <x:v>Abril</x:v>
      </x:c>
      <x:c r="E480" s="84" t="n">
        <x:v>2</x:v>
      </x:c>
      <x:c r="F480" s="84" t="n">
        <x:v>2024</x:v>
      </x:c>
      <x:c r="G480" s="84" t="n">
        <x:v>17</x:v>
      </x:c>
      <x:c r="H480" s="84" t="str">
        <x:v>Terça</x:v>
      </x:c>
      <x:c r="I480" s="85" t="n">
        <x:v>1</x:v>
      </x:c>
    </x:row>
    <x:row r="481">
      <x:c r="A481" s="95" t="n">
        <x:v>45406</x:v>
      </x:c>
      <x:c r="B481" s="84" t="n">
        <x:v>24</x:v>
      </x:c>
      <x:c r="C481" s="84" t="n">
        <x:v>4</x:v>
      </x:c>
      <x:c r="D481" s="84" t="str">
        <x:v>Abril</x:v>
      </x:c>
      <x:c r="E481" s="84" t="n">
        <x:v>2</x:v>
      </x:c>
      <x:c r="F481" s="84" t="n">
        <x:v>2024</x:v>
      </x:c>
      <x:c r="G481" s="84" t="n">
        <x:v>17</x:v>
      </x:c>
      <x:c r="H481" s="84" t="str">
        <x:v>Quarta</x:v>
      </x:c>
      <x:c r="I481" s="85" t="n">
        <x:v>1</x:v>
      </x:c>
    </x:row>
    <x:row r="482">
      <x:c r="A482" s="95" t="n">
        <x:v>45407</x:v>
      </x:c>
      <x:c r="B482" s="84" t="n">
        <x:v>25</x:v>
      </x:c>
      <x:c r="C482" s="84" t="n">
        <x:v>4</x:v>
      </x:c>
      <x:c r="D482" s="84" t="str">
        <x:v>Abril</x:v>
      </x:c>
      <x:c r="E482" s="84" t="n">
        <x:v>2</x:v>
      </x:c>
      <x:c r="F482" s="84" t="n">
        <x:v>2024</x:v>
      </x:c>
      <x:c r="G482" s="84" t="n">
        <x:v>17</x:v>
      </x:c>
      <x:c r="H482" s="84" t="str">
        <x:v>Quinta</x:v>
      </x:c>
      <x:c r="I482" s="85" t="n">
        <x:v>1</x:v>
      </x:c>
    </x:row>
    <x:row r="483">
      <x:c r="A483" s="95" t="n">
        <x:v>45408</x:v>
      </x:c>
      <x:c r="B483" s="84" t="n">
        <x:v>26</x:v>
      </x:c>
      <x:c r="C483" s="84" t="n">
        <x:v>4</x:v>
      </x:c>
      <x:c r="D483" s="84" t="str">
        <x:v>Abril</x:v>
      </x:c>
      <x:c r="E483" s="84" t="n">
        <x:v>2</x:v>
      </x:c>
      <x:c r="F483" s="84" t="n">
        <x:v>2024</x:v>
      </x:c>
      <x:c r="G483" s="84" t="n">
        <x:v>17</x:v>
      </x:c>
      <x:c r="H483" s="84" t="str">
        <x:v>Sexta</x:v>
      </x:c>
      <x:c r="I483" s="85" t="n">
        <x:v>1</x:v>
      </x:c>
    </x:row>
    <x:row r="484">
      <x:c r="A484" s="95" t="n">
        <x:v>45409</x:v>
      </x:c>
      <x:c r="B484" s="84" t="n">
        <x:v>27</x:v>
      </x:c>
      <x:c r="C484" s="84" t="n">
        <x:v>4</x:v>
      </x:c>
      <x:c r="D484" s="84" t="str">
        <x:v>Abril</x:v>
      </x:c>
      <x:c r="E484" s="84" t="n">
        <x:v>2</x:v>
      </x:c>
      <x:c r="F484" s="84" t="n">
        <x:v>2024</x:v>
      </x:c>
      <x:c r="G484" s="84" t="n">
        <x:v>17</x:v>
      </x:c>
      <x:c r="H484" s="84" t="str">
        <x:v>Sábado</x:v>
      </x:c>
      <x:c r="I484" s="85" t="n">
        <x:v>0</x:v>
      </x:c>
    </x:row>
    <x:row r="485">
      <x:c r="A485" s="95" t="n">
        <x:v>45410</x:v>
      </x:c>
      <x:c r="B485" s="84" t="n">
        <x:v>28</x:v>
      </x:c>
      <x:c r="C485" s="84" t="n">
        <x:v>4</x:v>
      </x:c>
      <x:c r="D485" s="84" t="str">
        <x:v>Abril</x:v>
      </x:c>
      <x:c r="E485" s="84" t="n">
        <x:v>2</x:v>
      </x:c>
      <x:c r="F485" s="84" t="n">
        <x:v>2024</x:v>
      </x:c>
      <x:c r="G485" s="84" t="n">
        <x:v>17</x:v>
      </x:c>
      <x:c r="H485" s="84" t="str">
        <x:v>Domingo</x:v>
      </x:c>
      <x:c r="I485" s="85" t="n">
        <x:v>0</x:v>
      </x:c>
    </x:row>
    <x:row r="486">
      <x:c r="A486" s="95" t="n">
        <x:v>45411</x:v>
      </x:c>
      <x:c r="B486" s="84" t="n">
        <x:v>29</x:v>
      </x:c>
      <x:c r="C486" s="84" t="n">
        <x:v>4</x:v>
      </x:c>
      <x:c r="D486" s="84" t="str">
        <x:v>Abril</x:v>
      </x:c>
      <x:c r="E486" s="84" t="n">
        <x:v>2</x:v>
      </x:c>
      <x:c r="F486" s="84" t="n">
        <x:v>2024</x:v>
      </x:c>
      <x:c r="G486" s="84" t="n">
        <x:v>18</x:v>
      </x:c>
      <x:c r="H486" s="84" t="str">
        <x:v>Segunda</x:v>
      </x:c>
      <x:c r="I486" s="85" t="n">
        <x:v>1</x:v>
      </x:c>
    </x:row>
    <x:row r="487">
      <x:c r="A487" s="95" t="n">
        <x:v>45412</x:v>
      </x:c>
      <x:c r="B487" s="84" t="n">
        <x:v>30</x:v>
      </x:c>
      <x:c r="C487" s="84" t="n">
        <x:v>4</x:v>
      </x:c>
      <x:c r="D487" s="84" t="str">
        <x:v>Abril</x:v>
      </x:c>
      <x:c r="E487" s="84" t="n">
        <x:v>2</x:v>
      </x:c>
      <x:c r="F487" s="84" t="n">
        <x:v>2024</x:v>
      </x:c>
      <x:c r="G487" s="84" t="n">
        <x:v>18</x:v>
      </x:c>
      <x:c r="H487" s="84" t="str">
        <x:v>Terça</x:v>
      </x:c>
      <x:c r="I487" s="85" t="n">
        <x:v>1</x:v>
      </x:c>
    </x:row>
    <x:row r="488">
      <x:c r="A488" s="95" t="n">
        <x:v>45413</x:v>
      </x:c>
      <x:c r="B488" s="84" t="n">
        <x:v>1</x:v>
      </x:c>
      <x:c r="C488" s="84" t="n">
        <x:v>5</x:v>
      </x:c>
      <x:c r="D488" s="84" t="str">
        <x:v>Maio</x:v>
      </x:c>
      <x:c r="E488" s="84" t="n">
        <x:v>2</x:v>
      </x:c>
      <x:c r="F488" s="84" t="n">
        <x:v>2024</x:v>
      </x:c>
      <x:c r="G488" s="84" t="n">
        <x:v>18</x:v>
      </x:c>
      <x:c r="H488" s="84" t="str">
        <x:v>Quarta</x:v>
      </x:c>
      <x:c r="I488" s="85" t="n">
        <x:v>1</x:v>
      </x:c>
    </x:row>
    <x:row r="489">
      <x:c r="A489" s="95" t="n">
        <x:v>45414</x:v>
      </x:c>
      <x:c r="B489" s="84" t="n">
        <x:v>2</x:v>
      </x:c>
      <x:c r="C489" s="84" t="n">
        <x:v>5</x:v>
      </x:c>
      <x:c r="D489" s="84" t="str">
        <x:v>Maio</x:v>
      </x:c>
      <x:c r="E489" s="84" t="n">
        <x:v>2</x:v>
      </x:c>
      <x:c r="F489" s="84" t="n">
        <x:v>2024</x:v>
      </x:c>
      <x:c r="G489" s="84" t="n">
        <x:v>18</x:v>
      </x:c>
      <x:c r="H489" s="84" t="str">
        <x:v>Quinta</x:v>
      </x:c>
      <x:c r="I489" s="85" t="n">
        <x:v>1</x:v>
      </x:c>
    </x:row>
    <x:row r="490">
      <x:c r="A490" s="95" t="n">
        <x:v>45415</x:v>
      </x:c>
      <x:c r="B490" s="84" t="n">
        <x:v>3</x:v>
      </x:c>
      <x:c r="C490" s="84" t="n">
        <x:v>5</x:v>
      </x:c>
      <x:c r="D490" s="84" t="str">
        <x:v>Maio</x:v>
      </x:c>
      <x:c r="E490" s="84" t="n">
        <x:v>2</x:v>
      </x:c>
      <x:c r="F490" s="84" t="n">
        <x:v>2024</x:v>
      </x:c>
      <x:c r="G490" s="84" t="n">
        <x:v>18</x:v>
      </x:c>
      <x:c r="H490" s="84" t="str">
        <x:v>Sexta</x:v>
      </x:c>
      <x:c r="I490" s="85" t="n">
        <x:v>1</x:v>
      </x:c>
    </x:row>
    <x:row r="491">
      <x:c r="A491" s="95" t="n">
        <x:v>45416</x:v>
      </x:c>
      <x:c r="B491" s="84" t="n">
        <x:v>4</x:v>
      </x:c>
      <x:c r="C491" s="84" t="n">
        <x:v>5</x:v>
      </x:c>
      <x:c r="D491" s="84" t="str">
        <x:v>Maio</x:v>
      </x:c>
      <x:c r="E491" s="84" t="n">
        <x:v>2</x:v>
      </x:c>
      <x:c r="F491" s="84" t="n">
        <x:v>2024</x:v>
      </x:c>
      <x:c r="G491" s="84" t="n">
        <x:v>18</x:v>
      </x:c>
      <x:c r="H491" s="84" t="str">
        <x:v>Sábado</x:v>
      </x:c>
      <x:c r="I491" s="85" t="n">
        <x:v>0</x:v>
      </x:c>
    </x:row>
    <x:row r="492">
      <x:c r="A492" s="95" t="n">
        <x:v>45417</x:v>
      </x:c>
      <x:c r="B492" s="84" t="n">
        <x:v>5</x:v>
      </x:c>
      <x:c r="C492" s="84" t="n">
        <x:v>5</x:v>
      </x:c>
      <x:c r="D492" s="84" t="str">
        <x:v>Maio</x:v>
      </x:c>
      <x:c r="E492" s="84" t="n">
        <x:v>2</x:v>
      </x:c>
      <x:c r="F492" s="84" t="n">
        <x:v>2024</x:v>
      </x:c>
      <x:c r="G492" s="84" t="n">
        <x:v>18</x:v>
      </x:c>
      <x:c r="H492" s="84" t="str">
        <x:v>Domingo</x:v>
      </x:c>
      <x:c r="I492" s="85" t="n">
        <x:v>0</x:v>
      </x:c>
    </x:row>
    <x:row r="493">
      <x:c r="A493" s="95" t="n">
        <x:v>45418</x:v>
      </x:c>
      <x:c r="B493" s="84" t="n">
        <x:v>6</x:v>
      </x:c>
      <x:c r="C493" s="84" t="n">
        <x:v>5</x:v>
      </x:c>
      <x:c r="D493" s="84" t="str">
        <x:v>Maio</x:v>
      </x:c>
      <x:c r="E493" s="84" t="n">
        <x:v>2</x:v>
      </x:c>
      <x:c r="F493" s="84" t="n">
        <x:v>2024</x:v>
      </x:c>
      <x:c r="G493" s="84" t="n">
        <x:v>19</x:v>
      </x:c>
      <x:c r="H493" s="84" t="str">
        <x:v>Segunda</x:v>
      </x:c>
      <x:c r="I493" s="85" t="n">
        <x:v>1</x:v>
      </x:c>
    </x:row>
    <x:row r="494">
      <x:c r="A494" s="95" t="n">
        <x:v>45419</x:v>
      </x:c>
      <x:c r="B494" s="84" t="n">
        <x:v>7</x:v>
      </x:c>
      <x:c r="C494" s="84" t="n">
        <x:v>5</x:v>
      </x:c>
      <x:c r="D494" s="84" t="str">
        <x:v>Maio</x:v>
      </x:c>
      <x:c r="E494" s="84" t="n">
        <x:v>2</x:v>
      </x:c>
      <x:c r="F494" s="84" t="n">
        <x:v>2024</x:v>
      </x:c>
      <x:c r="G494" s="84" t="n">
        <x:v>19</x:v>
      </x:c>
      <x:c r="H494" s="84" t="str">
        <x:v>Terça</x:v>
      </x:c>
      <x:c r="I494" s="85" t="n">
        <x:v>1</x:v>
      </x:c>
    </x:row>
    <x:row r="495">
      <x:c r="A495" s="95" t="n">
        <x:v>45420</x:v>
      </x:c>
      <x:c r="B495" s="84" t="n">
        <x:v>8</x:v>
      </x:c>
      <x:c r="C495" s="84" t="n">
        <x:v>5</x:v>
      </x:c>
      <x:c r="D495" s="84" t="str">
        <x:v>Maio</x:v>
      </x:c>
      <x:c r="E495" s="84" t="n">
        <x:v>2</x:v>
      </x:c>
      <x:c r="F495" s="84" t="n">
        <x:v>2024</x:v>
      </x:c>
      <x:c r="G495" s="84" t="n">
        <x:v>19</x:v>
      </x:c>
      <x:c r="H495" s="84" t="str">
        <x:v>Quarta</x:v>
      </x:c>
      <x:c r="I495" s="85" t="n">
        <x:v>1</x:v>
      </x:c>
    </x:row>
    <x:row r="496">
      <x:c r="A496" s="95" t="n">
        <x:v>45421</x:v>
      </x:c>
      <x:c r="B496" s="84" t="n">
        <x:v>9</x:v>
      </x:c>
      <x:c r="C496" s="84" t="n">
        <x:v>5</x:v>
      </x:c>
      <x:c r="D496" s="84" t="str">
        <x:v>Maio</x:v>
      </x:c>
      <x:c r="E496" s="84" t="n">
        <x:v>2</x:v>
      </x:c>
      <x:c r="F496" s="84" t="n">
        <x:v>2024</x:v>
      </x:c>
      <x:c r="G496" s="84" t="n">
        <x:v>19</x:v>
      </x:c>
      <x:c r="H496" s="84" t="str">
        <x:v>Quinta</x:v>
      </x:c>
      <x:c r="I496" s="85" t="n">
        <x:v>1</x:v>
      </x:c>
    </x:row>
    <x:row r="497">
      <x:c r="A497" s="95" t="n">
        <x:v>45422</x:v>
      </x:c>
      <x:c r="B497" s="84" t="n">
        <x:v>10</x:v>
      </x:c>
      <x:c r="C497" s="84" t="n">
        <x:v>5</x:v>
      </x:c>
      <x:c r="D497" s="84" t="str">
        <x:v>Maio</x:v>
      </x:c>
      <x:c r="E497" s="84" t="n">
        <x:v>2</x:v>
      </x:c>
      <x:c r="F497" s="84" t="n">
        <x:v>2024</x:v>
      </x:c>
      <x:c r="G497" s="84" t="n">
        <x:v>19</x:v>
      </x:c>
      <x:c r="H497" s="84" t="str">
        <x:v>Sexta</x:v>
      </x:c>
      <x:c r="I497" s="85" t="n">
        <x:v>1</x:v>
      </x:c>
    </x:row>
    <x:row r="498">
      <x:c r="A498" s="95" t="n">
        <x:v>45423</x:v>
      </x:c>
      <x:c r="B498" s="84" t="n">
        <x:v>11</x:v>
      </x:c>
      <x:c r="C498" s="84" t="n">
        <x:v>5</x:v>
      </x:c>
      <x:c r="D498" s="84" t="str">
        <x:v>Maio</x:v>
      </x:c>
      <x:c r="E498" s="84" t="n">
        <x:v>2</x:v>
      </x:c>
      <x:c r="F498" s="84" t="n">
        <x:v>2024</x:v>
      </x:c>
      <x:c r="G498" s="84" t="n">
        <x:v>19</x:v>
      </x:c>
      <x:c r="H498" s="84" t="str">
        <x:v>Sábado</x:v>
      </x:c>
      <x:c r="I498" s="85" t="n">
        <x:v>0</x:v>
      </x:c>
    </x:row>
    <x:row r="499">
      <x:c r="A499" s="95" t="n">
        <x:v>45424</x:v>
      </x:c>
      <x:c r="B499" s="84" t="n">
        <x:v>12</x:v>
      </x:c>
      <x:c r="C499" s="84" t="n">
        <x:v>5</x:v>
      </x:c>
      <x:c r="D499" s="84" t="str">
        <x:v>Maio</x:v>
      </x:c>
      <x:c r="E499" s="84" t="n">
        <x:v>2</x:v>
      </x:c>
      <x:c r="F499" s="84" t="n">
        <x:v>2024</x:v>
      </x:c>
      <x:c r="G499" s="84" t="n">
        <x:v>19</x:v>
      </x:c>
      <x:c r="H499" s="84" t="str">
        <x:v>Domingo</x:v>
      </x:c>
      <x:c r="I499" s="85" t="n">
        <x:v>0</x:v>
      </x:c>
    </x:row>
    <x:row r="500">
      <x:c r="A500" s="95" t="n">
        <x:v>45425</x:v>
      </x:c>
      <x:c r="B500" s="84" t="n">
        <x:v>13</x:v>
      </x:c>
      <x:c r="C500" s="84" t="n">
        <x:v>5</x:v>
      </x:c>
      <x:c r="D500" s="84" t="str">
        <x:v>Maio</x:v>
      </x:c>
      <x:c r="E500" s="84" t="n">
        <x:v>2</x:v>
      </x:c>
      <x:c r="F500" s="84" t="n">
        <x:v>2024</x:v>
      </x:c>
      <x:c r="G500" s="84" t="n">
        <x:v>20</x:v>
      </x:c>
      <x:c r="H500" s="84" t="str">
        <x:v>Segunda</x:v>
      </x:c>
      <x:c r="I500" s="85" t="n">
        <x:v>1</x:v>
      </x:c>
    </x:row>
    <x:row r="501">
      <x:c r="A501" s="95" t="n">
        <x:v>45426</x:v>
      </x:c>
      <x:c r="B501" s="84" t="n">
        <x:v>14</x:v>
      </x:c>
      <x:c r="C501" s="84" t="n">
        <x:v>5</x:v>
      </x:c>
      <x:c r="D501" s="84" t="str">
        <x:v>Maio</x:v>
      </x:c>
      <x:c r="E501" s="84" t="n">
        <x:v>2</x:v>
      </x:c>
      <x:c r="F501" s="84" t="n">
        <x:v>2024</x:v>
      </x:c>
      <x:c r="G501" s="84" t="n">
        <x:v>20</x:v>
      </x:c>
      <x:c r="H501" s="84" t="str">
        <x:v>Terça</x:v>
      </x:c>
      <x:c r="I501" s="85" t="n">
        <x:v>1</x:v>
      </x:c>
    </x:row>
    <x:row r="502">
      <x:c r="A502" s="95" t="n">
        <x:v>45427</x:v>
      </x:c>
      <x:c r="B502" s="84" t="n">
        <x:v>15</x:v>
      </x:c>
      <x:c r="C502" s="84" t="n">
        <x:v>5</x:v>
      </x:c>
      <x:c r="D502" s="84" t="str">
        <x:v>Maio</x:v>
      </x:c>
      <x:c r="E502" s="84" t="n">
        <x:v>2</x:v>
      </x:c>
      <x:c r="F502" s="84" t="n">
        <x:v>2024</x:v>
      </x:c>
      <x:c r="G502" s="84" t="n">
        <x:v>20</x:v>
      </x:c>
      <x:c r="H502" s="84" t="str">
        <x:v>Quarta</x:v>
      </x:c>
      <x:c r="I502" s="85" t="n">
        <x:v>1</x:v>
      </x:c>
    </x:row>
    <x:row r="503">
      <x:c r="A503" s="95" t="n">
        <x:v>45428</x:v>
      </x:c>
      <x:c r="B503" s="84" t="n">
        <x:v>16</x:v>
      </x:c>
      <x:c r="C503" s="84" t="n">
        <x:v>5</x:v>
      </x:c>
      <x:c r="D503" s="84" t="str">
        <x:v>Maio</x:v>
      </x:c>
      <x:c r="E503" s="84" t="n">
        <x:v>2</x:v>
      </x:c>
      <x:c r="F503" s="84" t="n">
        <x:v>2024</x:v>
      </x:c>
      <x:c r="G503" s="84" t="n">
        <x:v>20</x:v>
      </x:c>
      <x:c r="H503" s="84" t="str">
        <x:v>Quinta</x:v>
      </x:c>
      <x:c r="I503" s="85" t="n">
        <x:v>1</x:v>
      </x:c>
    </x:row>
    <x:row r="504">
      <x:c r="A504" s="95" t="n">
        <x:v>45429</x:v>
      </x:c>
      <x:c r="B504" s="84" t="n">
        <x:v>17</x:v>
      </x:c>
      <x:c r="C504" s="84" t="n">
        <x:v>5</x:v>
      </x:c>
      <x:c r="D504" s="84" t="str">
        <x:v>Maio</x:v>
      </x:c>
      <x:c r="E504" s="84" t="n">
        <x:v>2</x:v>
      </x:c>
      <x:c r="F504" s="84" t="n">
        <x:v>2024</x:v>
      </x:c>
      <x:c r="G504" s="84" t="n">
        <x:v>20</x:v>
      </x:c>
      <x:c r="H504" s="84" t="str">
        <x:v>Sexta</x:v>
      </x:c>
      <x:c r="I504" s="85" t="n">
        <x:v>1</x:v>
      </x:c>
    </x:row>
    <x:row r="505">
      <x:c r="A505" s="95" t="n">
        <x:v>45430</x:v>
      </x:c>
      <x:c r="B505" s="84" t="n">
        <x:v>18</x:v>
      </x:c>
      <x:c r="C505" s="84" t="n">
        <x:v>5</x:v>
      </x:c>
      <x:c r="D505" s="84" t="str">
        <x:v>Maio</x:v>
      </x:c>
      <x:c r="E505" s="84" t="n">
        <x:v>2</x:v>
      </x:c>
      <x:c r="F505" s="84" t="n">
        <x:v>2024</x:v>
      </x:c>
      <x:c r="G505" s="84" t="n">
        <x:v>20</x:v>
      </x:c>
      <x:c r="H505" s="84" t="str">
        <x:v>Sábado</x:v>
      </x:c>
      <x:c r="I505" s="85" t="n">
        <x:v>0</x:v>
      </x:c>
    </x:row>
    <x:row r="506">
      <x:c r="A506" s="95" t="n">
        <x:v>45431</x:v>
      </x:c>
      <x:c r="B506" s="84" t="n">
        <x:v>19</x:v>
      </x:c>
      <x:c r="C506" s="84" t="n">
        <x:v>5</x:v>
      </x:c>
      <x:c r="D506" s="84" t="str">
        <x:v>Maio</x:v>
      </x:c>
      <x:c r="E506" s="84" t="n">
        <x:v>2</x:v>
      </x:c>
      <x:c r="F506" s="84" t="n">
        <x:v>2024</x:v>
      </x:c>
      <x:c r="G506" s="84" t="n">
        <x:v>20</x:v>
      </x:c>
      <x:c r="H506" s="84" t="str">
        <x:v>Domingo</x:v>
      </x:c>
      <x:c r="I506" s="85" t="n">
        <x:v>0</x:v>
      </x:c>
    </x:row>
    <x:row r="507">
      <x:c r="A507" s="95" t="n">
        <x:v>45432</x:v>
      </x:c>
      <x:c r="B507" s="84" t="n">
        <x:v>20</x:v>
      </x:c>
      <x:c r="C507" s="84" t="n">
        <x:v>5</x:v>
      </x:c>
      <x:c r="D507" s="84" t="str">
        <x:v>Maio</x:v>
      </x:c>
      <x:c r="E507" s="84" t="n">
        <x:v>2</x:v>
      </x:c>
      <x:c r="F507" s="84" t="n">
        <x:v>2024</x:v>
      </x:c>
      <x:c r="G507" s="84" t="n">
        <x:v>21</x:v>
      </x:c>
      <x:c r="H507" s="84" t="str">
        <x:v>Segunda</x:v>
      </x:c>
      <x:c r="I507" s="85" t="n">
        <x:v>1</x:v>
      </x:c>
    </x:row>
    <x:row r="508">
      <x:c r="A508" s="95" t="n">
        <x:v>45433</x:v>
      </x:c>
      <x:c r="B508" s="84" t="n">
        <x:v>21</x:v>
      </x:c>
      <x:c r="C508" s="84" t="n">
        <x:v>5</x:v>
      </x:c>
      <x:c r="D508" s="84" t="str">
        <x:v>Maio</x:v>
      </x:c>
      <x:c r="E508" s="84" t="n">
        <x:v>2</x:v>
      </x:c>
      <x:c r="F508" s="84" t="n">
        <x:v>2024</x:v>
      </x:c>
      <x:c r="G508" s="84" t="n">
        <x:v>21</x:v>
      </x:c>
      <x:c r="H508" s="84" t="str">
        <x:v>Terça</x:v>
      </x:c>
      <x:c r="I508" s="85" t="n">
        <x:v>1</x:v>
      </x:c>
    </x:row>
    <x:row r="509">
      <x:c r="A509" s="95" t="n">
        <x:v>45434</x:v>
      </x:c>
      <x:c r="B509" s="84" t="n">
        <x:v>22</x:v>
      </x:c>
      <x:c r="C509" s="84" t="n">
        <x:v>5</x:v>
      </x:c>
      <x:c r="D509" s="84" t="str">
        <x:v>Maio</x:v>
      </x:c>
      <x:c r="E509" s="84" t="n">
        <x:v>2</x:v>
      </x:c>
      <x:c r="F509" s="84" t="n">
        <x:v>2024</x:v>
      </x:c>
      <x:c r="G509" s="84" t="n">
        <x:v>21</x:v>
      </x:c>
      <x:c r="H509" s="84" t="str">
        <x:v>Quarta</x:v>
      </x:c>
      <x:c r="I509" s="85" t="n">
        <x:v>1</x:v>
      </x:c>
    </x:row>
    <x:row r="510">
      <x:c r="A510" s="95" t="n">
        <x:v>45435</x:v>
      </x:c>
      <x:c r="B510" s="84" t="n">
        <x:v>23</x:v>
      </x:c>
      <x:c r="C510" s="84" t="n">
        <x:v>5</x:v>
      </x:c>
      <x:c r="D510" s="84" t="str">
        <x:v>Maio</x:v>
      </x:c>
      <x:c r="E510" s="84" t="n">
        <x:v>2</x:v>
      </x:c>
      <x:c r="F510" s="84" t="n">
        <x:v>2024</x:v>
      </x:c>
      <x:c r="G510" s="84" t="n">
        <x:v>21</x:v>
      </x:c>
      <x:c r="H510" s="84" t="str">
        <x:v>Quinta</x:v>
      </x:c>
      <x:c r="I510" s="85" t="n">
        <x:v>1</x:v>
      </x:c>
    </x:row>
    <x:row r="511">
      <x:c r="A511" s="95" t="n">
        <x:v>45436</x:v>
      </x:c>
      <x:c r="B511" s="84" t="n">
        <x:v>24</x:v>
      </x:c>
      <x:c r="C511" s="84" t="n">
        <x:v>5</x:v>
      </x:c>
      <x:c r="D511" s="84" t="str">
        <x:v>Maio</x:v>
      </x:c>
      <x:c r="E511" s="84" t="n">
        <x:v>2</x:v>
      </x:c>
      <x:c r="F511" s="84" t="n">
        <x:v>2024</x:v>
      </x:c>
      <x:c r="G511" s="84" t="n">
        <x:v>21</x:v>
      </x:c>
      <x:c r="H511" s="84" t="str">
        <x:v>Sexta</x:v>
      </x:c>
      <x:c r="I511" s="85" t="n">
        <x:v>1</x:v>
      </x:c>
    </x:row>
    <x:row r="512">
      <x:c r="A512" s="95" t="n">
        <x:v>45437</x:v>
      </x:c>
      <x:c r="B512" s="84" t="n">
        <x:v>25</x:v>
      </x:c>
      <x:c r="C512" s="84" t="n">
        <x:v>5</x:v>
      </x:c>
      <x:c r="D512" s="84" t="str">
        <x:v>Maio</x:v>
      </x:c>
      <x:c r="E512" s="84" t="n">
        <x:v>2</x:v>
      </x:c>
      <x:c r="F512" s="84" t="n">
        <x:v>2024</x:v>
      </x:c>
      <x:c r="G512" s="84" t="n">
        <x:v>21</x:v>
      </x:c>
      <x:c r="H512" s="84" t="str">
        <x:v>Sábado</x:v>
      </x:c>
      <x:c r="I512" s="85" t="n">
        <x:v>0</x:v>
      </x:c>
    </x:row>
    <x:row r="513">
      <x:c r="A513" s="95" t="n">
        <x:v>45438</x:v>
      </x:c>
      <x:c r="B513" s="84" t="n">
        <x:v>26</x:v>
      </x:c>
      <x:c r="C513" s="84" t="n">
        <x:v>5</x:v>
      </x:c>
      <x:c r="D513" s="84" t="str">
        <x:v>Maio</x:v>
      </x:c>
      <x:c r="E513" s="84" t="n">
        <x:v>2</x:v>
      </x:c>
      <x:c r="F513" s="84" t="n">
        <x:v>2024</x:v>
      </x:c>
      <x:c r="G513" s="84" t="n">
        <x:v>21</x:v>
      </x:c>
      <x:c r="H513" s="84" t="str">
        <x:v>Domingo</x:v>
      </x:c>
      <x:c r="I513" s="85" t="n">
        <x:v>0</x:v>
      </x:c>
    </x:row>
    <x:row r="514">
      <x:c r="A514" s="95" t="n">
        <x:v>45439</x:v>
      </x:c>
      <x:c r="B514" s="84" t="n">
        <x:v>27</x:v>
      </x:c>
      <x:c r="C514" s="84" t="n">
        <x:v>5</x:v>
      </x:c>
      <x:c r="D514" s="84" t="str">
        <x:v>Maio</x:v>
      </x:c>
      <x:c r="E514" s="84" t="n">
        <x:v>2</x:v>
      </x:c>
      <x:c r="F514" s="84" t="n">
        <x:v>2024</x:v>
      </x:c>
      <x:c r="G514" s="84" t="n">
        <x:v>22</x:v>
      </x:c>
      <x:c r="H514" s="84" t="str">
        <x:v>Segunda</x:v>
      </x:c>
      <x:c r="I514" s="85" t="n">
        <x:v>1</x:v>
      </x:c>
    </x:row>
    <x:row r="515">
      <x:c r="A515" s="95" t="n">
        <x:v>45440</x:v>
      </x:c>
      <x:c r="B515" s="84" t="n">
        <x:v>28</x:v>
      </x:c>
      <x:c r="C515" s="84" t="n">
        <x:v>5</x:v>
      </x:c>
      <x:c r="D515" s="84" t="str">
        <x:v>Maio</x:v>
      </x:c>
      <x:c r="E515" s="84" t="n">
        <x:v>2</x:v>
      </x:c>
      <x:c r="F515" s="84" t="n">
        <x:v>2024</x:v>
      </x:c>
      <x:c r="G515" s="84" t="n">
        <x:v>22</x:v>
      </x:c>
      <x:c r="H515" s="84" t="str">
        <x:v>Terça</x:v>
      </x:c>
      <x:c r="I515" s="85" t="n">
        <x:v>1</x:v>
      </x:c>
    </x:row>
    <x:row r="516">
      <x:c r="A516" s="95" t="n">
        <x:v>45441</x:v>
      </x:c>
      <x:c r="B516" s="84" t="n">
        <x:v>29</x:v>
      </x:c>
      <x:c r="C516" s="84" t="n">
        <x:v>5</x:v>
      </x:c>
      <x:c r="D516" s="84" t="str">
        <x:v>Maio</x:v>
      </x:c>
      <x:c r="E516" s="84" t="n">
        <x:v>2</x:v>
      </x:c>
      <x:c r="F516" s="84" t="n">
        <x:v>2024</x:v>
      </x:c>
      <x:c r="G516" s="84" t="n">
        <x:v>22</x:v>
      </x:c>
      <x:c r="H516" s="84" t="str">
        <x:v>Quarta</x:v>
      </x:c>
      <x:c r="I516" s="85" t="n">
        <x:v>1</x:v>
      </x:c>
    </x:row>
    <x:row r="517">
      <x:c r="A517" s="95" t="n">
        <x:v>45442</x:v>
      </x:c>
      <x:c r="B517" s="84" t="n">
        <x:v>30</x:v>
      </x:c>
      <x:c r="C517" s="84" t="n">
        <x:v>5</x:v>
      </x:c>
      <x:c r="D517" s="84" t="str">
        <x:v>Maio</x:v>
      </x:c>
      <x:c r="E517" s="84" t="n">
        <x:v>2</x:v>
      </x:c>
      <x:c r="F517" s="84" t="n">
        <x:v>2024</x:v>
      </x:c>
      <x:c r="G517" s="84" t="n">
        <x:v>22</x:v>
      </x:c>
      <x:c r="H517" s="84" t="str">
        <x:v>Quinta</x:v>
      </x:c>
      <x:c r="I517" s="85" t="n">
        <x:v>1</x:v>
      </x:c>
    </x:row>
    <x:row r="518">
      <x:c r="A518" s="95" t="n">
        <x:v>45443</x:v>
      </x:c>
      <x:c r="B518" s="84" t="n">
        <x:v>31</x:v>
      </x:c>
      <x:c r="C518" s="84" t="n">
        <x:v>5</x:v>
      </x:c>
      <x:c r="D518" s="84" t="str">
        <x:v>Maio</x:v>
      </x:c>
      <x:c r="E518" s="84" t="n">
        <x:v>2</x:v>
      </x:c>
      <x:c r="F518" s="84" t="n">
        <x:v>2024</x:v>
      </x:c>
      <x:c r="G518" s="84" t="n">
        <x:v>22</x:v>
      </x:c>
      <x:c r="H518" s="84" t="str">
        <x:v>Sexta</x:v>
      </x:c>
      <x:c r="I518" s="85" t="n">
        <x:v>1</x:v>
      </x:c>
    </x:row>
    <x:row r="519">
      <x:c r="A519" s="95" t="n">
        <x:v>45444</x:v>
      </x:c>
      <x:c r="B519" s="84" t="n">
        <x:v>1</x:v>
      </x:c>
      <x:c r="C519" s="84" t="n">
        <x:v>6</x:v>
      </x:c>
      <x:c r="D519" s="84" t="str">
        <x:v>Junho</x:v>
      </x:c>
      <x:c r="E519" s="84" t="n">
        <x:v>2</x:v>
      </x:c>
      <x:c r="F519" s="84" t="n">
        <x:v>2024</x:v>
      </x:c>
      <x:c r="G519" s="84" t="n">
        <x:v>22</x:v>
      </x:c>
      <x:c r="H519" s="84" t="str">
        <x:v>Sábado</x:v>
      </x:c>
      <x:c r="I519" s="85" t="n">
        <x:v>0</x:v>
      </x:c>
    </x:row>
    <x:row r="520">
      <x:c r="A520" s="95" t="n">
        <x:v>45445</x:v>
      </x:c>
      <x:c r="B520" s="84" t="n">
        <x:v>2</x:v>
      </x:c>
      <x:c r="C520" s="84" t="n">
        <x:v>6</x:v>
      </x:c>
      <x:c r="D520" s="84" t="str">
        <x:v>Junho</x:v>
      </x:c>
      <x:c r="E520" s="84" t="n">
        <x:v>2</x:v>
      </x:c>
      <x:c r="F520" s="84" t="n">
        <x:v>2024</x:v>
      </x:c>
      <x:c r="G520" s="84" t="n">
        <x:v>22</x:v>
      </x:c>
      <x:c r="H520" s="84" t="str">
        <x:v>Domingo</x:v>
      </x:c>
      <x:c r="I520" s="85" t="n">
        <x:v>0</x:v>
      </x:c>
    </x:row>
    <x:row r="521">
      <x:c r="A521" s="95" t="n">
        <x:v>45446</x:v>
      </x:c>
      <x:c r="B521" s="84" t="n">
        <x:v>3</x:v>
      </x:c>
      <x:c r="C521" s="84" t="n">
        <x:v>6</x:v>
      </x:c>
      <x:c r="D521" s="84" t="str">
        <x:v>Junho</x:v>
      </x:c>
      <x:c r="E521" s="84" t="n">
        <x:v>2</x:v>
      </x:c>
      <x:c r="F521" s="84" t="n">
        <x:v>2024</x:v>
      </x:c>
      <x:c r="G521" s="84" t="n">
        <x:v>23</x:v>
      </x:c>
      <x:c r="H521" s="84" t="str">
        <x:v>Segunda</x:v>
      </x:c>
      <x:c r="I521" s="85" t="n">
        <x:v>1</x:v>
      </x:c>
    </x:row>
    <x:row r="522">
      <x:c r="A522" s="95" t="n">
        <x:v>45447</x:v>
      </x:c>
      <x:c r="B522" s="84" t="n">
        <x:v>4</x:v>
      </x:c>
      <x:c r="C522" s="84" t="n">
        <x:v>6</x:v>
      </x:c>
      <x:c r="D522" s="84" t="str">
        <x:v>Junho</x:v>
      </x:c>
      <x:c r="E522" s="84" t="n">
        <x:v>2</x:v>
      </x:c>
      <x:c r="F522" s="84" t="n">
        <x:v>2024</x:v>
      </x:c>
      <x:c r="G522" s="84" t="n">
        <x:v>23</x:v>
      </x:c>
      <x:c r="H522" s="84" t="str">
        <x:v>Terça</x:v>
      </x:c>
      <x:c r="I522" s="85" t="n">
        <x:v>1</x:v>
      </x:c>
    </x:row>
    <x:row r="523">
      <x:c r="A523" s="95" t="n">
        <x:v>45448</x:v>
      </x:c>
      <x:c r="B523" s="84" t="n">
        <x:v>5</x:v>
      </x:c>
      <x:c r="C523" s="84" t="n">
        <x:v>6</x:v>
      </x:c>
      <x:c r="D523" s="84" t="str">
        <x:v>Junho</x:v>
      </x:c>
      <x:c r="E523" s="84" t="n">
        <x:v>2</x:v>
      </x:c>
      <x:c r="F523" s="84" t="n">
        <x:v>2024</x:v>
      </x:c>
      <x:c r="G523" s="84" t="n">
        <x:v>23</x:v>
      </x:c>
      <x:c r="H523" s="84" t="str">
        <x:v>Quarta</x:v>
      </x:c>
      <x:c r="I523" s="85" t="n">
        <x:v>1</x:v>
      </x:c>
    </x:row>
    <x:row r="524">
      <x:c r="A524" s="95" t="n">
        <x:v>45449</x:v>
      </x:c>
      <x:c r="B524" s="84" t="n">
        <x:v>6</x:v>
      </x:c>
      <x:c r="C524" s="84" t="n">
        <x:v>6</x:v>
      </x:c>
      <x:c r="D524" s="84" t="str">
        <x:v>Junho</x:v>
      </x:c>
      <x:c r="E524" s="84" t="n">
        <x:v>2</x:v>
      </x:c>
      <x:c r="F524" s="84" t="n">
        <x:v>2024</x:v>
      </x:c>
      <x:c r="G524" s="84" t="n">
        <x:v>23</x:v>
      </x:c>
      <x:c r="H524" s="84" t="str">
        <x:v>Quinta</x:v>
      </x:c>
      <x:c r="I524" s="85" t="n">
        <x:v>1</x:v>
      </x:c>
    </x:row>
    <x:row r="525">
      <x:c r="A525" s="95" t="n">
        <x:v>45450</x:v>
      </x:c>
      <x:c r="B525" s="84" t="n">
        <x:v>7</x:v>
      </x:c>
      <x:c r="C525" s="84" t="n">
        <x:v>6</x:v>
      </x:c>
      <x:c r="D525" s="84" t="str">
        <x:v>Junho</x:v>
      </x:c>
      <x:c r="E525" s="84" t="n">
        <x:v>2</x:v>
      </x:c>
      <x:c r="F525" s="84" t="n">
        <x:v>2024</x:v>
      </x:c>
      <x:c r="G525" s="84" t="n">
        <x:v>23</x:v>
      </x:c>
      <x:c r="H525" s="84" t="str">
        <x:v>Sexta</x:v>
      </x:c>
      <x:c r="I525" s="85" t="n">
        <x:v>1</x:v>
      </x:c>
    </x:row>
    <x:row r="526">
      <x:c r="A526" s="95" t="n">
        <x:v>45451</x:v>
      </x:c>
      <x:c r="B526" s="84" t="n">
        <x:v>8</x:v>
      </x:c>
      <x:c r="C526" s="84" t="n">
        <x:v>6</x:v>
      </x:c>
      <x:c r="D526" s="84" t="str">
        <x:v>Junho</x:v>
      </x:c>
      <x:c r="E526" s="84" t="n">
        <x:v>2</x:v>
      </x:c>
      <x:c r="F526" s="84" t="n">
        <x:v>2024</x:v>
      </x:c>
      <x:c r="G526" s="84" t="n">
        <x:v>23</x:v>
      </x:c>
      <x:c r="H526" s="84" t="str">
        <x:v>Sábado</x:v>
      </x:c>
      <x:c r="I526" s="85" t="n">
        <x:v>0</x:v>
      </x:c>
    </x:row>
    <x:row r="527">
      <x:c r="A527" s="95" t="n">
        <x:v>45452</x:v>
      </x:c>
      <x:c r="B527" s="84" t="n">
        <x:v>9</x:v>
      </x:c>
      <x:c r="C527" s="84" t="n">
        <x:v>6</x:v>
      </x:c>
      <x:c r="D527" s="84" t="str">
        <x:v>Junho</x:v>
      </x:c>
      <x:c r="E527" s="84" t="n">
        <x:v>2</x:v>
      </x:c>
      <x:c r="F527" s="84" t="n">
        <x:v>2024</x:v>
      </x:c>
      <x:c r="G527" s="84" t="n">
        <x:v>23</x:v>
      </x:c>
      <x:c r="H527" s="84" t="str">
        <x:v>Domingo</x:v>
      </x:c>
      <x:c r="I527" s="85" t="n">
        <x:v>0</x:v>
      </x:c>
    </x:row>
    <x:row r="528">
      <x:c r="A528" s="95" t="n">
        <x:v>45453</x:v>
      </x:c>
      <x:c r="B528" s="84" t="n">
        <x:v>10</x:v>
      </x:c>
      <x:c r="C528" s="84" t="n">
        <x:v>6</x:v>
      </x:c>
      <x:c r="D528" s="84" t="str">
        <x:v>Junho</x:v>
      </x:c>
      <x:c r="E528" s="84" t="n">
        <x:v>2</x:v>
      </x:c>
      <x:c r="F528" s="84" t="n">
        <x:v>2024</x:v>
      </x:c>
      <x:c r="G528" s="84" t="n">
        <x:v>24</x:v>
      </x:c>
      <x:c r="H528" s="84" t="str">
        <x:v>Segunda</x:v>
      </x:c>
      <x:c r="I528" s="85" t="n">
        <x:v>1</x:v>
      </x:c>
    </x:row>
    <x:row r="529">
      <x:c r="A529" s="95" t="n">
        <x:v>45454</x:v>
      </x:c>
      <x:c r="B529" s="84" t="n">
        <x:v>11</x:v>
      </x:c>
      <x:c r="C529" s="84" t="n">
        <x:v>6</x:v>
      </x:c>
      <x:c r="D529" s="84" t="str">
        <x:v>Junho</x:v>
      </x:c>
      <x:c r="E529" s="84" t="n">
        <x:v>2</x:v>
      </x:c>
      <x:c r="F529" s="84" t="n">
        <x:v>2024</x:v>
      </x:c>
      <x:c r="G529" s="84" t="n">
        <x:v>24</x:v>
      </x:c>
      <x:c r="H529" s="84" t="str">
        <x:v>Terça</x:v>
      </x:c>
      <x:c r="I529" s="85" t="n">
        <x:v>1</x:v>
      </x:c>
    </x:row>
    <x:row r="530">
      <x:c r="A530" s="95" t="n">
        <x:v>45455</x:v>
      </x:c>
      <x:c r="B530" s="84" t="n">
        <x:v>12</x:v>
      </x:c>
      <x:c r="C530" s="84" t="n">
        <x:v>6</x:v>
      </x:c>
      <x:c r="D530" s="84" t="str">
        <x:v>Junho</x:v>
      </x:c>
      <x:c r="E530" s="84" t="n">
        <x:v>2</x:v>
      </x:c>
      <x:c r="F530" s="84" t="n">
        <x:v>2024</x:v>
      </x:c>
      <x:c r="G530" s="84" t="n">
        <x:v>24</x:v>
      </x:c>
      <x:c r="H530" s="84" t="str">
        <x:v>Quarta</x:v>
      </x:c>
      <x:c r="I530" s="85" t="n">
        <x:v>1</x:v>
      </x:c>
    </x:row>
    <x:row r="531">
      <x:c r="A531" s="95" t="n">
        <x:v>45456</x:v>
      </x:c>
      <x:c r="B531" s="84" t="n">
        <x:v>13</x:v>
      </x:c>
      <x:c r="C531" s="84" t="n">
        <x:v>6</x:v>
      </x:c>
      <x:c r="D531" s="84" t="str">
        <x:v>Junho</x:v>
      </x:c>
      <x:c r="E531" s="84" t="n">
        <x:v>2</x:v>
      </x:c>
      <x:c r="F531" s="84" t="n">
        <x:v>2024</x:v>
      </x:c>
      <x:c r="G531" s="84" t="n">
        <x:v>24</x:v>
      </x:c>
      <x:c r="H531" s="84" t="str">
        <x:v>Quinta</x:v>
      </x:c>
      <x:c r="I531" s="85" t="n">
        <x:v>1</x:v>
      </x:c>
    </x:row>
    <x:row r="532">
      <x:c r="A532" s="95" t="n">
        <x:v>45457</x:v>
      </x:c>
      <x:c r="B532" s="84" t="n">
        <x:v>14</x:v>
      </x:c>
      <x:c r="C532" s="84" t="n">
        <x:v>6</x:v>
      </x:c>
      <x:c r="D532" s="84" t="str">
        <x:v>Junho</x:v>
      </x:c>
      <x:c r="E532" s="84" t="n">
        <x:v>2</x:v>
      </x:c>
      <x:c r="F532" s="84" t="n">
        <x:v>2024</x:v>
      </x:c>
      <x:c r="G532" s="84" t="n">
        <x:v>24</x:v>
      </x:c>
      <x:c r="H532" s="84" t="str">
        <x:v>Sexta</x:v>
      </x:c>
      <x:c r="I532" s="85" t="n">
        <x:v>1</x:v>
      </x:c>
    </x:row>
    <x:row r="533">
      <x:c r="A533" s="95" t="n">
        <x:v>45458</x:v>
      </x:c>
      <x:c r="B533" s="84" t="n">
        <x:v>15</x:v>
      </x:c>
      <x:c r="C533" s="84" t="n">
        <x:v>6</x:v>
      </x:c>
      <x:c r="D533" s="84" t="str">
        <x:v>Junho</x:v>
      </x:c>
      <x:c r="E533" s="84" t="n">
        <x:v>2</x:v>
      </x:c>
      <x:c r="F533" s="84" t="n">
        <x:v>2024</x:v>
      </x:c>
      <x:c r="G533" s="84" t="n">
        <x:v>24</x:v>
      </x:c>
      <x:c r="H533" s="84" t="str">
        <x:v>Sábado</x:v>
      </x:c>
      <x:c r="I533" s="85" t="n">
        <x:v>0</x:v>
      </x:c>
    </x:row>
    <x:row r="534">
      <x:c r="A534" s="95" t="n">
        <x:v>45459</x:v>
      </x:c>
      <x:c r="B534" s="84" t="n">
        <x:v>16</x:v>
      </x:c>
      <x:c r="C534" s="84" t="n">
        <x:v>6</x:v>
      </x:c>
      <x:c r="D534" s="84" t="str">
        <x:v>Junho</x:v>
      </x:c>
      <x:c r="E534" s="84" t="n">
        <x:v>2</x:v>
      </x:c>
      <x:c r="F534" s="84" t="n">
        <x:v>2024</x:v>
      </x:c>
      <x:c r="G534" s="84" t="n">
        <x:v>24</x:v>
      </x:c>
      <x:c r="H534" s="84" t="str">
        <x:v>Domingo</x:v>
      </x:c>
      <x:c r="I534" s="85" t="n">
        <x:v>0</x:v>
      </x:c>
    </x:row>
    <x:row r="535">
      <x:c r="A535" s="95" t="n">
        <x:v>45460</x:v>
      </x:c>
      <x:c r="B535" s="84" t="n">
        <x:v>17</x:v>
      </x:c>
      <x:c r="C535" s="84" t="n">
        <x:v>6</x:v>
      </x:c>
      <x:c r="D535" s="84" t="str">
        <x:v>Junho</x:v>
      </x:c>
      <x:c r="E535" s="84" t="n">
        <x:v>2</x:v>
      </x:c>
      <x:c r="F535" s="84" t="n">
        <x:v>2024</x:v>
      </x:c>
      <x:c r="G535" s="84" t="n">
        <x:v>25</x:v>
      </x:c>
      <x:c r="H535" s="84" t="str">
        <x:v>Segunda</x:v>
      </x:c>
      <x:c r="I535" s="85" t="n">
        <x:v>1</x:v>
      </x:c>
    </x:row>
    <x:row r="536">
      <x:c r="A536" s="95" t="n">
        <x:v>45461</x:v>
      </x:c>
      <x:c r="B536" s="84" t="n">
        <x:v>18</x:v>
      </x:c>
      <x:c r="C536" s="84" t="n">
        <x:v>6</x:v>
      </x:c>
      <x:c r="D536" s="84" t="str">
        <x:v>Junho</x:v>
      </x:c>
      <x:c r="E536" s="84" t="n">
        <x:v>2</x:v>
      </x:c>
      <x:c r="F536" s="84" t="n">
        <x:v>2024</x:v>
      </x:c>
      <x:c r="G536" s="84" t="n">
        <x:v>25</x:v>
      </x:c>
      <x:c r="H536" s="84" t="str">
        <x:v>Terça</x:v>
      </x:c>
      <x:c r="I536" s="85" t="n">
        <x:v>1</x:v>
      </x:c>
    </x:row>
    <x:row r="537">
      <x:c r="A537" s="95" t="n">
        <x:v>45462</x:v>
      </x:c>
      <x:c r="B537" s="84" t="n">
        <x:v>19</x:v>
      </x:c>
      <x:c r="C537" s="84" t="n">
        <x:v>6</x:v>
      </x:c>
      <x:c r="D537" s="84" t="str">
        <x:v>Junho</x:v>
      </x:c>
      <x:c r="E537" s="84" t="n">
        <x:v>2</x:v>
      </x:c>
      <x:c r="F537" s="84" t="n">
        <x:v>2024</x:v>
      </x:c>
      <x:c r="G537" s="84" t="n">
        <x:v>25</x:v>
      </x:c>
      <x:c r="H537" s="84" t="str">
        <x:v>Quarta</x:v>
      </x:c>
      <x:c r="I537" s="85" t="n">
        <x:v>1</x:v>
      </x:c>
    </x:row>
    <x:row r="538">
      <x:c r="A538" s="95" t="n">
        <x:v>45463</x:v>
      </x:c>
      <x:c r="B538" s="84" t="n">
        <x:v>20</x:v>
      </x:c>
      <x:c r="C538" s="84" t="n">
        <x:v>6</x:v>
      </x:c>
      <x:c r="D538" s="84" t="str">
        <x:v>Junho</x:v>
      </x:c>
      <x:c r="E538" s="84" t="n">
        <x:v>2</x:v>
      </x:c>
      <x:c r="F538" s="84" t="n">
        <x:v>2024</x:v>
      </x:c>
      <x:c r="G538" s="84" t="n">
        <x:v>25</x:v>
      </x:c>
      <x:c r="H538" s="84" t="str">
        <x:v>Quinta</x:v>
      </x:c>
      <x:c r="I538" s="85" t="n">
        <x:v>1</x:v>
      </x:c>
    </x:row>
    <x:row r="539">
      <x:c r="A539" s="95" t="n">
        <x:v>45464</x:v>
      </x:c>
      <x:c r="B539" s="84" t="n">
        <x:v>21</x:v>
      </x:c>
      <x:c r="C539" s="84" t="n">
        <x:v>6</x:v>
      </x:c>
      <x:c r="D539" s="84" t="str">
        <x:v>Junho</x:v>
      </x:c>
      <x:c r="E539" s="84" t="n">
        <x:v>2</x:v>
      </x:c>
      <x:c r="F539" s="84" t="n">
        <x:v>2024</x:v>
      </x:c>
      <x:c r="G539" s="84" t="n">
        <x:v>25</x:v>
      </x:c>
      <x:c r="H539" s="84" t="str">
        <x:v>Sexta</x:v>
      </x:c>
      <x:c r="I539" s="85" t="n">
        <x:v>1</x:v>
      </x:c>
    </x:row>
    <x:row r="540">
      <x:c r="A540" s="95" t="n">
        <x:v>45465</x:v>
      </x:c>
      <x:c r="B540" s="84" t="n">
        <x:v>22</x:v>
      </x:c>
      <x:c r="C540" s="84" t="n">
        <x:v>6</x:v>
      </x:c>
      <x:c r="D540" s="84" t="str">
        <x:v>Junho</x:v>
      </x:c>
      <x:c r="E540" s="84" t="n">
        <x:v>2</x:v>
      </x:c>
      <x:c r="F540" s="84" t="n">
        <x:v>2024</x:v>
      </x:c>
      <x:c r="G540" s="84" t="n">
        <x:v>25</x:v>
      </x:c>
      <x:c r="H540" s="84" t="str">
        <x:v>Sábado</x:v>
      </x:c>
      <x:c r="I540" s="85" t="n">
        <x:v>0</x:v>
      </x:c>
    </x:row>
    <x:row r="541">
      <x:c r="A541" s="95" t="n">
        <x:v>45466</x:v>
      </x:c>
      <x:c r="B541" s="84" t="n">
        <x:v>23</x:v>
      </x:c>
      <x:c r="C541" s="84" t="n">
        <x:v>6</x:v>
      </x:c>
      <x:c r="D541" s="84" t="str">
        <x:v>Junho</x:v>
      </x:c>
      <x:c r="E541" s="84" t="n">
        <x:v>2</x:v>
      </x:c>
      <x:c r="F541" s="84" t="n">
        <x:v>2024</x:v>
      </x:c>
      <x:c r="G541" s="84" t="n">
        <x:v>25</x:v>
      </x:c>
      <x:c r="H541" s="84" t="str">
        <x:v>Domingo</x:v>
      </x:c>
      <x:c r="I541" s="85" t="n">
        <x:v>0</x:v>
      </x:c>
    </x:row>
    <x:row r="542">
      <x:c r="A542" s="95" t="n">
        <x:v>45467</x:v>
      </x:c>
      <x:c r="B542" s="84" t="n">
        <x:v>24</x:v>
      </x:c>
      <x:c r="C542" s="84" t="n">
        <x:v>6</x:v>
      </x:c>
      <x:c r="D542" s="84" t="str">
        <x:v>Junho</x:v>
      </x:c>
      <x:c r="E542" s="84" t="n">
        <x:v>2</x:v>
      </x:c>
      <x:c r="F542" s="84" t="n">
        <x:v>2024</x:v>
      </x:c>
      <x:c r="G542" s="84" t="n">
        <x:v>26</x:v>
      </x:c>
      <x:c r="H542" s="84" t="str">
        <x:v>Segunda</x:v>
      </x:c>
      <x:c r="I542" s="85" t="n">
        <x:v>1</x:v>
      </x:c>
    </x:row>
    <x:row r="543">
      <x:c r="A543" s="95" t="n">
        <x:v>45468</x:v>
      </x:c>
      <x:c r="B543" s="84" t="n">
        <x:v>25</x:v>
      </x:c>
      <x:c r="C543" s="84" t="n">
        <x:v>6</x:v>
      </x:c>
      <x:c r="D543" s="84" t="str">
        <x:v>Junho</x:v>
      </x:c>
      <x:c r="E543" s="84" t="n">
        <x:v>2</x:v>
      </x:c>
      <x:c r="F543" s="84" t="n">
        <x:v>2024</x:v>
      </x:c>
      <x:c r="G543" s="84" t="n">
        <x:v>26</x:v>
      </x:c>
      <x:c r="H543" s="84" t="str">
        <x:v>Terça</x:v>
      </x:c>
      <x:c r="I543" s="85" t="n">
        <x:v>1</x:v>
      </x:c>
    </x:row>
    <x:row r="544">
      <x:c r="A544" s="95" t="n">
        <x:v>45469</x:v>
      </x:c>
      <x:c r="B544" s="84" t="n">
        <x:v>26</x:v>
      </x:c>
      <x:c r="C544" s="84" t="n">
        <x:v>6</x:v>
      </x:c>
      <x:c r="D544" s="84" t="str">
        <x:v>Junho</x:v>
      </x:c>
      <x:c r="E544" s="84" t="n">
        <x:v>2</x:v>
      </x:c>
      <x:c r="F544" s="84" t="n">
        <x:v>2024</x:v>
      </x:c>
      <x:c r="G544" s="84" t="n">
        <x:v>26</x:v>
      </x:c>
      <x:c r="H544" s="84" t="str">
        <x:v>Quarta</x:v>
      </x:c>
      <x:c r="I544" s="85" t="n">
        <x:v>1</x:v>
      </x:c>
    </x:row>
    <x:row r="545">
      <x:c r="A545" s="95" t="n">
        <x:v>45470</x:v>
      </x:c>
      <x:c r="B545" s="84" t="n">
        <x:v>27</x:v>
      </x:c>
      <x:c r="C545" s="84" t="n">
        <x:v>6</x:v>
      </x:c>
      <x:c r="D545" s="84" t="str">
        <x:v>Junho</x:v>
      </x:c>
      <x:c r="E545" s="84" t="n">
        <x:v>2</x:v>
      </x:c>
      <x:c r="F545" s="84" t="n">
        <x:v>2024</x:v>
      </x:c>
      <x:c r="G545" s="84" t="n">
        <x:v>26</x:v>
      </x:c>
      <x:c r="H545" s="84" t="str">
        <x:v>Quinta</x:v>
      </x:c>
      <x:c r="I545" s="85" t="n">
        <x:v>1</x:v>
      </x:c>
    </x:row>
    <x:row r="546">
      <x:c r="A546" s="95" t="n">
        <x:v>45471</x:v>
      </x:c>
      <x:c r="B546" s="84" t="n">
        <x:v>28</x:v>
      </x:c>
      <x:c r="C546" s="84" t="n">
        <x:v>6</x:v>
      </x:c>
      <x:c r="D546" s="84" t="str">
        <x:v>Junho</x:v>
      </x:c>
      <x:c r="E546" s="84" t="n">
        <x:v>2</x:v>
      </x:c>
      <x:c r="F546" s="84" t="n">
        <x:v>2024</x:v>
      </x:c>
      <x:c r="G546" s="84" t="n">
        <x:v>26</x:v>
      </x:c>
      <x:c r="H546" s="84" t="str">
        <x:v>Sexta</x:v>
      </x:c>
      <x:c r="I546" s="85" t="n">
        <x:v>1</x:v>
      </x:c>
    </x:row>
    <x:row r="547">
      <x:c r="A547" s="95" t="n">
        <x:v>45472</x:v>
      </x:c>
      <x:c r="B547" s="84" t="n">
        <x:v>29</x:v>
      </x:c>
      <x:c r="C547" s="84" t="n">
        <x:v>6</x:v>
      </x:c>
      <x:c r="D547" s="84" t="str">
        <x:v>Junho</x:v>
      </x:c>
      <x:c r="E547" s="84" t="n">
        <x:v>2</x:v>
      </x:c>
      <x:c r="F547" s="84" t="n">
        <x:v>2024</x:v>
      </x:c>
      <x:c r="G547" s="84" t="n">
        <x:v>26</x:v>
      </x:c>
      <x:c r="H547" s="84" t="str">
        <x:v>Sábado</x:v>
      </x:c>
      <x:c r="I547" s="85" t="n">
        <x:v>0</x:v>
      </x:c>
    </x:row>
    <x:row r="548">
      <x:c r="A548" s="95" t="n">
        <x:v>45473</x:v>
      </x:c>
      <x:c r="B548" s="84" t="n">
        <x:v>30</x:v>
      </x:c>
      <x:c r="C548" s="84" t="n">
        <x:v>6</x:v>
      </x:c>
      <x:c r="D548" s="84" t="str">
        <x:v>Junho</x:v>
      </x:c>
      <x:c r="E548" s="84" t="n">
        <x:v>2</x:v>
      </x:c>
      <x:c r="F548" s="84" t="n">
        <x:v>2024</x:v>
      </x:c>
      <x:c r="G548" s="84" t="n">
        <x:v>26</x:v>
      </x:c>
      <x:c r="H548" s="84" t="str">
        <x:v>Domingo</x:v>
      </x:c>
      <x:c r="I548" s="85" t="n">
        <x:v>0</x:v>
      </x:c>
    </x:row>
    <x:row r="549">
      <x:c r="A549" s="95" t="n">
        <x:v>45474</x:v>
      </x:c>
      <x:c r="B549" s="84" t="n">
        <x:v>1</x:v>
      </x:c>
      <x:c r="C549" s="84" t="n">
        <x:v>7</x:v>
      </x:c>
      <x:c r="D549" s="84" t="str">
        <x:v>Julho</x:v>
      </x:c>
      <x:c r="E549" s="84" t="n">
        <x:v>3</x:v>
      </x:c>
      <x:c r="F549" s="84" t="n">
        <x:v>2024</x:v>
      </x:c>
      <x:c r="G549" s="84" t="n">
        <x:v>27</x:v>
      </x:c>
      <x:c r="H549" s="84" t="str">
        <x:v>Segunda</x:v>
      </x:c>
      <x:c r="I549" s="85" t="n">
        <x:v>1</x:v>
      </x:c>
    </x:row>
    <x:row r="550">
      <x:c r="A550" s="95" t="n">
        <x:v>45475</x:v>
      </x:c>
      <x:c r="B550" s="84" t="n">
        <x:v>2</x:v>
      </x:c>
      <x:c r="C550" s="84" t="n">
        <x:v>7</x:v>
      </x:c>
      <x:c r="D550" s="84" t="str">
        <x:v>Julho</x:v>
      </x:c>
      <x:c r="E550" s="84" t="n">
        <x:v>3</x:v>
      </x:c>
      <x:c r="F550" s="84" t="n">
        <x:v>2024</x:v>
      </x:c>
      <x:c r="G550" s="84" t="n">
        <x:v>27</x:v>
      </x:c>
      <x:c r="H550" s="84" t="str">
        <x:v>Terça</x:v>
      </x:c>
      <x:c r="I550" s="85" t="n">
        <x:v>1</x:v>
      </x:c>
    </x:row>
    <x:row r="551">
      <x:c r="A551" s="95" t="n">
        <x:v>45476</x:v>
      </x:c>
      <x:c r="B551" s="84" t="n">
        <x:v>3</x:v>
      </x:c>
      <x:c r="C551" s="84" t="n">
        <x:v>7</x:v>
      </x:c>
      <x:c r="D551" s="84" t="str">
        <x:v>Julho</x:v>
      </x:c>
      <x:c r="E551" s="84" t="n">
        <x:v>3</x:v>
      </x:c>
      <x:c r="F551" s="84" t="n">
        <x:v>2024</x:v>
      </x:c>
      <x:c r="G551" s="84" t="n">
        <x:v>27</x:v>
      </x:c>
      <x:c r="H551" s="84" t="str">
        <x:v>Quarta</x:v>
      </x:c>
      <x:c r="I551" s="85" t="n">
        <x:v>1</x:v>
      </x:c>
    </x:row>
    <x:row r="552">
      <x:c r="A552" s="95" t="n">
        <x:v>45477</x:v>
      </x:c>
      <x:c r="B552" s="84" t="n">
        <x:v>4</x:v>
      </x:c>
      <x:c r="C552" s="84" t="n">
        <x:v>7</x:v>
      </x:c>
      <x:c r="D552" s="84" t="str">
        <x:v>Julho</x:v>
      </x:c>
      <x:c r="E552" s="84" t="n">
        <x:v>3</x:v>
      </x:c>
      <x:c r="F552" s="84" t="n">
        <x:v>2024</x:v>
      </x:c>
      <x:c r="G552" s="84" t="n">
        <x:v>27</x:v>
      </x:c>
      <x:c r="H552" s="84" t="str">
        <x:v>Quinta</x:v>
      </x:c>
      <x:c r="I552" s="85" t="n">
        <x:v>1</x:v>
      </x:c>
    </x:row>
    <x:row r="553">
      <x:c r="A553" s="95" t="n">
        <x:v>45478</x:v>
      </x:c>
      <x:c r="B553" s="84" t="n">
        <x:v>5</x:v>
      </x:c>
      <x:c r="C553" s="84" t="n">
        <x:v>7</x:v>
      </x:c>
      <x:c r="D553" s="84" t="str">
        <x:v>Julho</x:v>
      </x:c>
      <x:c r="E553" s="84" t="n">
        <x:v>3</x:v>
      </x:c>
      <x:c r="F553" s="84" t="n">
        <x:v>2024</x:v>
      </x:c>
      <x:c r="G553" s="84" t="n">
        <x:v>27</x:v>
      </x:c>
      <x:c r="H553" s="84" t="str">
        <x:v>Sexta</x:v>
      </x:c>
      <x:c r="I553" s="85" t="n">
        <x:v>1</x:v>
      </x:c>
    </x:row>
    <x:row r="554">
      <x:c r="A554" s="95" t="n">
        <x:v>45479</x:v>
      </x:c>
      <x:c r="B554" s="84" t="n">
        <x:v>6</x:v>
      </x:c>
      <x:c r="C554" s="84" t="n">
        <x:v>7</x:v>
      </x:c>
      <x:c r="D554" s="84" t="str">
        <x:v>Julho</x:v>
      </x:c>
      <x:c r="E554" s="84" t="n">
        <x:v>3</x:v>
      </x:c>
      <x:c r="F554" s="84" t="n">
        <x:v>2024</x:v>
      </x:c>
      <x:c r="G554" s="84" t="n">
        <x:v>27</x:v>
      </x:c>
      <x:c r="H554" s="84" t="str">
        <x:v>Sábado</x:v>
      </x:c>
      <x:c r="I554" s="85" t="n">
        <x:v>0</x:v>
      </x:c>
    </x:row>
    <x:row r="555">
      <x:c r="A555" s="95" t="n">
        <x:v>45480</x:v>
      </x:c>
      <x:c r="B555" s="84" t="n">
        <x:v>7</x:v>
      </x:c>
      <x:c r="C555" s="84" t="n">
        <x:v>7</x:v>
      </x:c>
      <x:c r="D555" s="84" t="str">
        <x:v>Julho</x:v>
      </x:c>
      <x:c r="E555" s="84" t="n">
        <x:v>3</x:v>
      </x:c>
      <x:c r="F555" s="84" t="n">
        <x:v>2024</x:v>
      </x:c>
      <x:c r="G555" s="84" t="n">
        <x:v>27</x:v>
      </x:c>
      <x:c r="H555" s="84" t="str">
        <x:v>Domingo</x:v>
      </x:c>
      <x:c r="I555" s="85" t="n">
        <x:v>0</x:v>
      </x:c>
    </x:row>
    <x:row r="556">
      <x:c r="A556" s="95" t="n">
        <x:v>45481</x:v>
      </x:c>
      <x:c r="B556" s="84" t="n">
        <x:v>8</x:v>
      </x:c>
      <x:c r="C556" s="84" t="n">
        <x:v>7</x:v>
      </x:c>
      <x:c r="D556" s="84" t="str">
        <x:v>Julho</x:v>
      </x:c>
      <x:c r="E556" s="84" t="n">
        <x:v>3</x:v>
      </x:c>
      <x:c r="F556" s="84" t="n">
        <x:v>2024</x:v>
      </x:c>
      <x:c r="G556" s="84" t="n">
        <x:v>28</x:v>
      </x:c>
      <x:c r="H556" s="84" t="str">
        <x:v>Segunda</x:v>
      </x:c>
      <x:c r="I556" s="85" t="n">
        <x:v>1</x:v>
      </x:c>
    </x:row>
    <x:row r="557">
      <x:c r="A557" s="95" t="n">
        <x:v>45482</x:v>
      </x:c>
      <x:c r="B557" s="84" t="n">
        <x:v>9</x:v>
      </x:c>
      <x:c r="C557" s="84" t="n">
        <x:v>7</x:v>
      </x:c>
      <x:c r="D557" s="84" t="str">
        <x:v>Julho</x:v>
      </x:c>
      <x:c r="E557" s="84" t="n">
        <x:v>3</x:v>
      </x:c>
      <x:c r="F557" s="84" t="n">
        <x:v>2024</x:v>
      </x:c>
      <x:c r="G557" s="84" t="n">
        <x:v>28</x:v>
      </x:c>
      <x:c r="H557" s="84" t="str">
        <x:v>Terça</x:v>
      </x:c>
      <x:c r="I557" s="85" t="n">
        <x:v>1</x:v>
      </x:c>
    </x:row>
    <x:row r="558">
      <x:c r="A558" s="95" t="n">
        <x:v>45483</x:v>
      </x:c>
      <x:c r="B558" s="84" t="n">
        <x:v>10</x:v>
      </x:c>
      <x:c r="C558" s="84" t="n">
        <x:v>7</x:v>
      </x:c>
      <x:c r="D558" s="84" t="str">
        <x:v>Julho</x:v>
      </x:c>
      <x:c r="E558" s="84" t="n">
        <x:v>3</x:v>
      </x:c>
      <x:c r="F558" s="84" t="n">
        <x:v>2024</x:v>
      </x:c>
      <x:c r="G558" s="84" t="n">
        <x:v>28</x:v>
      </x:c>
      <x:c r="H558" s="84" t="str">
        <x:v>Quarta</x:v>
      </x:c>
      <x:c r="I558" s="85" t="n">
        <x:v>1</x:v>
      </x:c>
    </x:row>
    <x:row r="559">
      <x:c r="A559" s="95" t="n">
        <x:v>45484</x:v>
      </x:c>
      <x:c r="B559" s="84" t="n">
        <x:v>11</x:v>
      </x:c>
      <x:c r="C559" s="84" t="n">
        <x:v>7</x:v>
      </x:c>
      <x:c r="D559" s="84" t="str">
        <x:v>Julho</x:v>
      </x:c>
      <x:c r="E559" s="84" t="n">
        <x:v>3</x:v>
      </x:c>
      <x:c r="F559" s="84" t="n">
        <x:v>2024</x:v>
      </x:c>
      <x:c r="G559" s="84" t="n">
        <x:v>28</x:v>
      </x:c>
      <x:c r="H559" s="84" t="str">
        <x:v>Quinta</x:v>
      </x:c>
      <x:c r="I559" s="85" t="n">
        <x:v>1</x:v>
      </x:c>
    </x:row>
    <x:row r="560">
      <x:c r="A560" s="95" t="n">
        <x:v>45485</x:v>
      </x:c>
      <x:c r="B560" s="84" t="n">
        <x:v>12</x:v>
      </x:c>
      <x:c r="C560" s="84" t="n">
        <x:v>7</x:v>
      </x:c>
      <x:c r="D560" s="84" t="str">
        <x:v>Julho</x:v>
      </x:c>
      <x:c r="E560" s="84" t="n">
        <x:v>3</x:v>
      </x:c>
      <x:c r="F560" s="84" t="n">
        <x:v>2024</x:v>
      </x:c>
      <x:c r="G560" s="84" t="n">
        <x:v>28</x:v>
      </x:c>
      <x:c r="H560" s="84" t="str">
        <x:v>Sexta</x:v>
      </x:c>
      <x:c r="I560" s="85" t="n">
        <x:v>1</x:v>
      </x:c>
    </x:row>
    <x:row r="561">
      <x:c r="A561" s="95" t="n">
        <x:v>45486</x:v>
      </x:c>
      <x:c r="B561" s="84" t="n">
        <x:v>13</x:v>
      </x:c>
      <x:c r="C561" s="84" t="n">
        <x:v>7</x:v>
      </x:c>
      <x:c r="D561" s="84" t="str">
        <x:v>Julho</x:v>
      </x:c>
      <x:c r="E561" s="84" t="n">
        <x:v>3</x:v>
      </x:c>
      <x:c r="F561" s="84" t="n">
        <x:v>2024</x:v>
      </x:c>
      <x:c r="G561" s="84" t="n">
        <x:v>28</x:v>
      </x:c>
      <x:c r="H561" s="84" t="str">
        <x:v>Sábado</x:v>
      </x:c>
      <x:c r="I561" s="85" t="n">
        <x:v>0</x:v>
      </x:c>
    </x:row>
    <x:row r="562">
      <x:c r="A562" s="95" t="n">
        <x:v>45487</x:v>
      </x:c>
      <x:c r="B562" s="84" t="n">
        <x:v>14</x:v>
      </x:c>
      <x:c r="C562" s="84" t="n">
        <x:v>7</x:v>
      </x:c>
      <x:c r="D562" s="84" t="str">
        <x:v>Julho</x:v>
      </x:c>
      <x:c r="E562" s="84" t="n">
        <x:v>3</x:v>
      </x:c>
      <x:c r="F562" s="84" t="n">
        <x:v>2024</x:v>
      </x:c>
      <x:c r="G562" s="84" t="n">
        <x:v>28</x:v>
      </x:c>
      <x:c r="H562" s="84" t="str">
        <x:v>Domingo</x:v>
      </x:c>
      <x:c r="I562" s="85" t="n">
        <x:v>0</x:v>
      </x:c>
    </x:row>
    <x:row r="563">
      <x:c r="A563" s="95" t="n">
        <x:v>45488</x:v>
      </x:c>
      <x:c r="B563" s="84" t="n">
        <x:v>15</x:v>
      </x:c>
      <x:c r="C563" s="84" t="n">
        <x:v>7</x:v>
      </x:c>
      <x:c r="D563" s="84" t="str">
        <x:v>Julho</x:v>
      </x:c>
      <x:c r="E563" s="84" t="n">
        <x:v>3</x:v>
      </x:c>
      <x:c r="F563" s="84" t="n">
        <x:v>2024</x:v>
      </x:c>
      <x:c r="G563" s="84" t="n">
        <x:v>29</x:v>
      </x:c>
      <x:c r="H563" s="84" t="str">
        <x:v>Segunda</x:v>
      </x:c>
      <x:c r="I563" s="85" t="n">
        <x:v>1</x:v>
      </x:c>
    </x:row>
    <x:row r="564">
      <x:c r="A564" s="95" t="n">
        <x:v>45489</x:v>
      </x:c>
      <x:c r="B564" s="84" t="n">
        <x:v>16</x:v>
      </x:c>
      <x:c r="C564" s="84" t="n">
        <x:v>7</x:v>
      </x:c>
      <x:c r="D564" s="84" t="str">
        <x:v>Julho</x:v>
      </x:c>
      <x:c r="E564" s="84" t="n">
        <x:v>3</x:v>
      </x:c>
      <x:c r="F564" s="84" t="n">
        <x:v>2024</x:v>
      </x:c>
      <x:c r="G564" s="84" t="n">
        <x:v>29</x:v>
      </x:c>
      <x:c r="H564" s="84" t="str">
        <x:v>Terça</x:v>
      </x:c>
      <x:c r="I564" s="85" t="n">
        <x:v>1</x:v>
      </x:c>
    </x:row>
    <x:row r="565">
      <x:c r="A565" s="95" t="n">
        <x:v>45490</x:v>
      </x:c>
      <x:c r="B565" s="84" t="n">
        <x:v>17</x:v>
      </x:c>
      <x:c r="C565" s="84" t="n">
        <x:v>7</x:v>
      </x:c>
      <x:c r="D565" s="84" t="str">
        <x:v>Julho</x:v>
      </x:c>
      <x:c r="E565" s="84" t="n">
        <x:v>3</x:v>
      </x:c>
      <x:c r="F565" s="84" t="n">
        <x:v>2024</x:v>
      </x:c>
      <x:c r="G565" s="84" t="n">
        <x:v>29</x:v>
      </x:c>
      <x:c r="H565" s="84" t="str">
        <x:v>Quarta</x:v>
      </x:c>
      <x:c r="I565" s="85" t="n">
        <x:v>1</x:v>
      </x:c>
    </x:row>
    <x:row r="566">
      <x:c r="A566" s="95" t="n">
        <x:v>45491</x:v>
      </x:c>
      <x:c r="B566" s="84" t="n">
        <x:v>18</x:v>
      </x:c>
      <x:c r="C566" s="84" t="n">
        <x:v>7</x:v>
      </x:c>
      <x:c r="D566" s="84" t="str">
        <x:v>Julho</x:v>
      </x:c>
      <x:c r="E566" s="84" t="n">
        <x:v>3</x:v>
      </x:c>
      <x:c r="F566" s="84" t="n">
        <x:v>2024</x:v>
      </x:c>
      <x:c r="G566" s="84" t="n">
        <x:v>29</x:v>
      </x:c>
      <x:c r="H566" s="84" t="str">
        <x:v>Quinta</x:v>
      </x:c>
      <x:c r="I566" s="85" t="n">
        <x:v>1</x:v>
      </x:c>
    </x:row>
    <x:row r="567">
      <x:c r="A567" s="95" t="n">
        <x:v>45492</x:v>
      </x:c>
      <x:c r="B567" s="84" t="n">
        <x:v>19</x:v>
      </x:c>
      <x:c r="C567" s="84" t="n">
        <x:v>7</x:v>
      </x:c>
      <x:c r="D567" s="84" t="str">
        <x:v>Julho</x:v>
      </x:c>
      <x:c r="E567" s="84" t="n">
        <x:v>3</x:v>
      </x:c>
      <x:c r="F567" s="84" t="n">
        <x:v>2024</x:v>
      </x:c>
      <x:c r="G567" s="84" t="n">
        <x:v>29</x:v>
      </x:c>
      <x:c r="H567" s="84" t="str">
        <x:v>Sexta</x:v>
      </x:c>
      <x:c r="I567" s="85" t="n">
        <x:v>1</x:v>
      </x:c>
    </x:row>
    <x:row r="568">
      <x:c r="A568" s="95" t="n">
        <x:v>45493</x:v>
      </x:c>
      <x:c r="B568" s="84" t="n">
        <x:v>20</x:v>
      </x:c>
      <x:c r="C568" s="84" t="n">
        <x:v>7</x:v>
      </x:c>
      <x:c r="D568" s="84" t="str">
        <x:v>Julho</x:v>
      </x:c>
      <x:c r="E568" s="84" t="n">
        <x:v>3</x:v>
      </x:c>
      <x:c r="F568" s="84" t="n">
        <x:v>2024</x:v>
      </x:c>
      <x:c r="G568" s="84" t="n">
        <x:v>29</x:v>
      </x:c>
      <x:c r="H568" s="84" t="str">
        <x:v>Sábado</x:v>
      </x:c>
      <x:c r="I568" s="85" t="n">
        <x:v>0</x:v>
      </x:c>
    </x:row>
    <x:row r="569">
      <x:c r="A569" s="95" t="n">
        <x:v>45494</x:v>
      </x:c>
      <x:c r="B569" s="84" t="n">
        <x:v>21</x:v>
      </x:c>
      <x:c r="C569" s="84" t="n">
        <x:v>7</x:v>
      </x:c>
      <x:c r="D569" s="84" t="str">
        <x:v>Julho</x:v>
      </x:c>
      <x:c r="E569" s="84" t="n">
        <x:v>3</x:v>
      </x:c>
      <x:c r="F569" s="84" t="n">
        <x:v>2024</x:v>
      </x:c>
      <x:c r="G569" s="84" t="n">
        <x:v>29</x:v>
      </x:c>
      <x:c r="H569" s="84" t="str">
        <x:v>Domingo</x:v>
      </x:c>
      <x:c r="I569" s="85" t="n">
        <x:v>0</x:v>
      </x:c>
    </x:row>
    <x:row r="570">
      <x:c r="A570" s="95" t="n">
        <x:v>45495</x:v>
      </x:c>
      <x:c r="B570" s="84" t="n">
        <x:v>22</x:v>
      </x:c>
      <x:c r="C570" s="84" t="n">
        <x:v>7</x:v>
      </x:c>
      <x:c r="D570" s="84" t="str">
        <x:v>Julho</x:v>
      </x:c>
      <x:c r="E570" s="84" t="n">
        <x:v>3</x:v>
      </x:c>
      <x:c r="F570" s="84" t="n">
        <x:v>2024</x:v>
      </x:c>
      <x:c r="G570" s="84" t="n">
        <x:v>30</x:v>
      </x:c>
      <x:c r="H570" s="84" t="str">
        <x:v>Segunda</x:v>
      </x:c>
      <x:c r="I570" s="85" t="n">
        <x:v>1</x:v>
      </x:c>
    </x:row>
    <x:row r="571">
      <x:c r="A571" s="95" t="n">
        <x:v>45496</x:v>
      </x:c>
      <x:c r="B571" s="84" t="n">
        <x:v>23</x:v>
      </x:c>
      <x:c r="C571" s="84" t="n">
        <x:v>7</x:v>
      </x:c>
      <x:c r="D571" s="84" t="str">
        <x:v>Julho</x:v>
      </x:c>
      <x:c r="E571" s="84" t="n">
        <x:v>3</x:v>
      </x:c>
      <x:c r="F571" s="84" t="n">
        <x:v>2024</x:v>
      </x:c>
      <x:c r="G571" s="84" t="n">
        <x:v>30</x:v>
      </x:c>
      <x:c r="H571" s="84" t="str">
        <x:v>Terça</x:v>
      </x:c>
      <x:c r="I571" s="85" t="n">
        <x:v>1</x:v>
      </x:c>
    </x:row>
    <x:row r="572">
      <x:c r="A572" s="95" t="n">
        <x:v>45497</x:v>
      </x:c>
      <x:c r="B572" s="84" t="n">
        <x:v>24</x:v>
      </x:c>
      <x:c r="C572" s="84" t="n">
        <x:v>7</x:v>
      </x:c>
      <x:c r="D572" s="84" t="str">
        <x:v>Julho</x:v>
      </x:c>
      <x:c r="E572" s="84" t="n">
        <x:v>3</x:v>
      </x:c>
      <x:c r="F572" s="84" t="n">
        <x:v>2024</x:v>
      </x:c>
      <x:c r="G572" s="84" t="n">
        <x:v>30</x:v>
      </x:c>
      <x:c r="H572" s="84" t="str">
        <x:v>Quarta</x:v>
      </x:c>
      <x:c r="I572" s="85" t="n">
        <x:v>1</x:v>
      </x:c>
    </x:row>
    <x:row r="573">
      <x:c r="A573" s="95" t="n">
        <x:v>45498</x:v>
      </x:c>
      <x:c r="B573" s="84" t="n">
        <x:v>25</x:v>
      </x:c>
      <x:c r="C573" s="84" t="n">
        <x:v>7</x:v>
      </x:c>
      <x:c r="D573" s="84" t="str">
        <x:v>Julho</x:v>
      </x:c>
      <x:c r="E573" s="84" t="n">
        <x:v>3</x:v>
      </x:c>
      <x:c r="F573" s="84" t="n">
        <x:v>2024</x:v>
      </x:c>
      <x:c r="G573" s="84" t="n">
        <x:v>30</x:v>
      </x:c>
      <x:c r="H573" s="84" t="str">
        <x:v>Quinta</x:v>
      </x:c>
      <x:c r="I573" s="85" t="n">
        <x:v>1</x:v>
      </x:c>
    </x:row>
    <x:row r="574">
      <x:c r="A574" s="95" t="n">
        <x:v>45499</x:v>
      </x:c>
      <x:c r="B574" s="84" t="n">
        <x:v>26</x:v>
      </x:c>
      <x:c r="C574" s="84" t="n">
        <x:v>7</x:v>
      </x:c>
      <x:c r="D574" s="84" t="str">
        <x:v>Julho</x:v>
      </x:c>
      <x:c r="E574" s="84" t="n">
        <x:v>3</x:v>
      </x:c>
      <x:c r="F574" s="84" t="n">
        <x:v>2024</x:v>
      </x:c>
      <x:c r="G574" s="84" t="n">
        <x:v>30</x:v>
      </x:c>
      <x:c r="H574" s="84" t="str">
        <x:v>Sexta</x:v>
      </x:c>
      <x:c r="I574" s="85" t="n">
        <x:v>1</x:v>
      </x:c>
    </x:row>
    <x:row r="575">
      <x:c r="A575" s="95" t="n">
        <x:v>45500</x:v>
      </x:c>
      <x:c r="B575" s="84" t="n">
        <x:v>27</x:v>
      </x:c>
      <x:c r="C575" s="84" t="n">
        <x:v>7</x:v>
      </x:c>
      <x:c r="D575" s="84" t="str">
        <x:v>Julho</x:v>
      </x:c>
      <x:c r="E575" s="84" t="n">
        <x:v>3</x:v>
      </x:c>
      <x:c r="F575" s="84" t="n">
        <x:v>2024</x:v>
      </x:c>
      <x:c r="G575" s="84" t="n">
        <x:v>30</x:v>
      </x:c>
      <x:c r="H575" s="84" t="str">
        <x:v>Sábado</x:v>
      </x:c>
      <x:c r="I575" s="85" t="n">
        <x:v>0</x:v>
      </x:c>
    </x:row>
    <x:row r="576">
      <x:c r="A576" s="95" t="n">
        <x:v>45501</x:v>
      </x:c>
      <x:c r="B576" s="84" t="n">
        <x:v>28</x:v>
      </x:c>
      <x:c r="C576" s="84" t="n">
        <x:v>7</x:v>
      </x:c>
      <x:c r="D576" s="84" t="str">
        <x:v>Julho</x:v>
      </x:c>
      <x:c r="E576" s="84" t="n">
        <x:v>3</x:v>
      </x:c>
      <x:c r="F576" s="84" t="n">
        <x:v>2024</x:v>
      </x:c>
      <x:c r="G576" s="84" t="n">
        <x:v>30</x:v>
      </x:c>
      <x:c r="H576" s="84" t="str">
        <x:v>Domingo</x:v>
      </x:c>
      <x:c r="I576" s="85" t="n">
        <x:v>0</x:v>
      </x:c>
    </x:row>
    <x:row r="577">
      <x:c r="A577" s="95" t="n">
        <x:v>45502</x:v>
      </x:c>
      <x:c r="B577" s="84" t="n">
        <x:v>29</x:v>
      </x:c>
      <x:c r="C577" s="84" t="n">
        <x:v>7</x:v>
      </x:c>
      <x:c r="D577" s="84" t="str">
        <x:v>Julho</x:v>
      </x:c>
      <x:c r="E577" s="84" t="n">
        <x:v>3</x:v>
      </x:c>
      <x:c r="F577" s="84" t="n">
        <x:v>2024</x:v>
      </x:c>
      <x:c r="G577" s="84" t="n">
        <x:v>31</x:v>
      </x:c>
      <x:c r="H577" s="84" t="str">
        <x:v>Segunda</x:v>
      </x:c>
      <x:c r="I577" s="85" t="n">
        <x:v>1</x:v>
      </x:c>
    </x:row>
    <x:row r="578">
      <x:c r="A578" s="95" t="n">
        <x:v>45503</x:v>
      </x:c>
      <x:c r="B578" s="84" t="n">
        <x:v>30</x:v>
      </x:c>
      <x:c r="C578" s="84" t="n">
        <x:v>7</x:v>
      </x:c>
      <x:c r="D578" s="84" t="str">
        <x:v>Julho</x:v>
      </x:c>
      <x:c r="E578" s="84" t="n">
        <x:v>3</x:v>
      </x:c>
      <x:c r="F578" s="84" t="n">
        <x:v>2024</x:v>
      </x:c>
      <x:c r="G578" s="84" t="n">
        <x:v>31</x:v>
      </x:c>
      <x:c r="H578" s="84" t="str">
        <x:v>Terça</x:v>
      </x:c>
      <x:c r="I578" s="85" t="n">
        <x:v>1</x:v>
      </x:c>
    </x:row>
    <x:row r="579">
      <x:c r="A579" s="95" t="n">
        <x:v>45504</x:v>
      </x:c>
      <x:c r="B579" s="84" t="n">
        <x:v>31</x:v>
      </x:c>
      <x:c r="C579" s="84" t="n">
        <x:v>7</x:v>
      </x:c>
      <x:c r="D579" s="84" t="str">
        <x:v>Julho</x:v>
      </x:c>
      <x:c r="E579" s="84" t="n">
        <x:v>3</x:v>
      </x:c>
      <x:c r="F579" s="84" t="n">
        <x:v>2024</x:v>
      </x:c>
      <x:c r="G579" s="84" t="n">
        <x:v>31</x:v>
      </x:c>
      <x:c r="H579" s="84" t="str">
        <x:v>Quarta</x:v>
      </x:c>
      <x:c r="I579" s="85" t="n">
        <x:v>1</x:v>
      </x:c>
    </x:row>
    <x:row r="580">
      <x:c r="A580" s="95" t="n">
        <x:v>45505</x:v>
      </x:c>
      <x:c r="B580" s="84" t="n">
        <x:v>1</x:v>
      </x:c>
      <x:c r="C580" s="84" t="n">
        <x:v>8</x:v>
      </x:c>
      <x:c r="D580" s="84" t="str">
        <x:v>Agosto</x:v>
      </x:c>
      <x:c r="E580" s="84" t="n">
        <x:v>3</x:v>
      </x:c>
      <x:c r="F580" s="84" t="n">
        <x:v>2024</x:v>
      </x:c>
      <x:c r="G580" s="84" t="n">
        <x:v>31</x:v>
      </x:c>
      <x:c r="H580" s="84" t="str">
        <x:v>Quinta</x:v>
      </x:c>
      <x:c r="I580" s="85" t="n">
        <x:v>1</x:v>
      </x:c>
    </x:row>
    <x:row r="581">
      <x:c r="A581" s="95" t="n">
        <x:v>45506</x:v>
      </x:c>
      <x:c r="B581" s="84" t="n">
        <x:v>2</x:v>
      </x:c>
      <x:c r="C581" s="84" t="n">
        <x:v>8</x:v>
      </x:c>
      <x:c r="D581" s="84" t="str">
        <x:v>Agosto</x:v>
      </x:c>
      <x:c r="E581" s="84" t="n">
        <x:v>3</x:v>
      </x:c>
      <x:c r="F581" s="84" t="n">
        <x:v>2024</x:v>
      </x:c>
      <x:c r="G581" s="84" t="n">
        <x:v>31</x:v>
      </x:c>
      <x:c r="H581" s="84" t="str">
        <x:v>Sexta</x:v>
      </x:c>
      <x:c r="I581" s="85" t="n">
        <x:v>1</x:v>
      </x:c>
    </x:row>
    <x:row r="582">
      <x:c r="A582" s="95" t="n">
        <x:v>45507</x:v>
      </x:c>
      <x:c r="B582" s="84" t="n">
        <x:v>3</x:v>
      </x:c>
      <x:c r="C582" s="84" t="n">
        <x:v>8</x:v>
      </x:c>
      <x:c r="D582" s="84" t="str">
        <x:v>Agosto</x:v>
      </x:c>
      <x:c r="E582" s="84" t="n">
        <x:v>3</x:v>
      </x:c>
      <x:c r="F582" s="84" t="n">
        <x:v>2024</x:v>
      </x:c>
      <x:c r="G582" s="84" t="n">
        <x:v>31</x:v>
      </x:c>
      <x:c r="H582" s="84" t="str">
        <x:v>Sábado</x:v>
      </x:c>
      <x:c r="I582" s="85" t="n">
        <x:v>0</x:v>
      </x:c>
    </x:row>
    <x:row r="583">
      <x:c r="A583" s="95" t="n">
        <x:v>45508</x:v>
      </x:c>
      <x:c r="B583" s="84" t="n">
        <x:v>4</x:v>
      </x:c>
      <x:c r="C583" s="84" t="n">
        <x:v>8</x:v>
      </x:c>
      <x:c r="D583" s="84" t="str">
        <x:v>Agosto</x:v>
      </x:c>
      <x:c r="E583" s="84" t="n">
        <x:v>3</x:v>
      </x:c>
      <x:c r="F583" s="84" t="n">
        <x:v>2024</x:v>
      </x:c>
      <x:c r="G583" s="84" t="n">
        <x:v>31</x:v>
      </x:c>
      <x:c r="H583" s="84" t="str">
        <x:v>Domingo</x:v>
      </x:c>
      <x:c r="I583" s="85" t="n">
        <x:v>0</x:v>
      </x:c>
    </x:row>
    <x:row r="584">
      <x:c r="A584" s="95" t="n">
        <x:v>45509</x:v>
      </x:c>
      <x:c r="B584" s="84" t="n">
        <x:v>5</x:v>
      </x:c>
      <x:c r="C584" s="84" t="n">
        <x:v>8</x:v>
      </x:c>
      <x:c r="D584" s="84" t="str">
        <x:v>Agosto</x:v>
      </x:c>
      <x:c r="E584" s="84" t="n">
        <x:v>3</x:v>
      </x:c>
      <x:c r="F584" s="84" t="n">
        <x:v>2024</x:v>
      </x:c>
      <x:c r="G584" s="84" t="n">
        <x:v>32</x:v>
      </x:c>
      <x:c r="H584" s="84" t="str">
        <x:v>Segunda</x:v>
      </x:c>
      <x:c r="I584" s="85" t="n">
        <x:v>1</x:v>
      </x:c>
    </x:row>
    <x:row r="585">
      <x:c r="A585" s="95" t="n">
        <x:v>45510</x:v>
      </x:c>
      <x:c r="B585" s="84" t="n">
        <x:v>6</x:v>
      </x:c>
      <x:c r="C585" s="84" t="n">
        <x:v>8</x:v>
      </x:c>
      <x:c r="D585" s="84" t="str">
        <x:v>Agosto</x:v>
      </x:c>
      <x:c r="E585" s="84" t="n">
        <x:v>3</x:v>
      </x:c>
      <x:c r="F585" s="84" t="n">
        <x:v>2024</x:v>
      </x:c>
      <x:c r="G585" s="84" t="n">
        <x:v>32</x:v>
      </x:c>
      <x:c r="H585" s="84" t="str">
        <x:v>Terça</x:v>
      </x:c>
      <x:c r="I585" s="85" t="n">
        <x:v>1</x:v>
      </x:c>
    </x:row>
    <x:row r="586">
      <x:c r="A586" s="95" t="n">
        <x:v>45511</x:v>
      </x:c>
      <x:c r="B586" s="84" t="n">
        <x:v>7</x:v>
      </x:c>
      <x:c r="C586" s="84" t="n">
        <x:v>8</x:v>
      </x:c>
      <x:c r="D586" s="84" t="str">
        <x:v>Agosto</x:v>
      </x:c>
      <x:c r="E586" s="84" t="n">
        <x:v>3</x:v>
      </x:c>
      <x:c r="F586" s="84" t="n">
        <x:v>2024</x:v>
      </x:c>
      <x:c r="G586" s="84" t="n">
        <x:v>32</x:v>
      </x:c>
      <x:c r="H586" s="84" t="str">
        <x:v>Quarta</x:v>
      </x:c>
      <x:c r="I586" s="85" t="n">
        <x:v>1</x:v>
      </x:c>
    </x:row>
    <x:row r="587">
      <x:c r="A587" s="95" t="n">
        <x:v>45512</x:v>
      </x:c>
      <x:c r="B587" s="84" t="n">
        <x:v>8</x:v>
      </x:c>
      <x:c r="C587" s="84" t="n">
        <x:v>8</x:v>
      </x:c>
      <x:c r="D587" s="84" t="str">
        <x:v>Agosto</x:v>
      </x:c>
      <x:c r="E587" s="84" t="n">
        <x:v>3</x:v>
      </x:c>
      <x:c r="F587" s="84" t="n">
        <x:v>2024</x:v>
      </x:c>
      <x:c r="G587" s="84" t="n">
        <x:v>32</x:v>
      </x:c>
      <x:c r="H587" s="84" t="str">
        <x:v>Quinta</x:v>
      </x:c>
      <x:c r="I587" s="85" t="n">
        <x:v>1</x:v>
      </x:c>
    </x:row>
    <x:row r="588">
      <x:c r="A588" s="95" t="n">
        <x:v>45513</x:v>
      </x:c>
      <x:c r="B588" s="84" t="n">
        <x:v>9</x:v>
      </x:c>
      <x:c r="C588" s="84" t="n">
        <x:v>8</x:v>
      </x:c>
      <x:c r="D588" s="84" t="str">
        <x:v>Agosto</x:v>
      </x:c>
      <x:c r="E588" s="84" t="n">
        <x:v>3</x:v>
      </x:c>
      <x:c r="F588" s="84" t="n">
        <x:v>2024</x:v>
      </x:c>
      <x:c r="G588" s="84" t="n">
        <x:v>32</x:v>
      </x:c>
      <x:c r="H588" s="84" t="str">
        <x:v>Sexta</x:v>
      </x:c>
      <x:c r="I588" s="85" t="n">
        <x:v>1</x:v>
      </x:c>
    </x:row>
    <x:row r="589">
      <x:c r="A589" s="95" t="n">
        <x:v>45514</x:v>
      </x:c>
      <x:c r="B589" s="84" t="n">
        <x:v>10</x:v>
      </x:c>
      <x:c r="C589" s="84" t="n">
        <x:v>8</x:v>
      </x:c>
      <x:c r="D589" s="84" t="str">
        <x:v>Agosto</x:v>
      </x:c>
      <x:c r="E589" s="84" t="n">
        <x:v>3</x:v>
      </x:c>
      <x:c r="F589" s="84" t="n">
        <x:v>2024</x:v>
      </x:c>
      <x:c r="G589" s="84" t="n">
        <x:v>32</x:v>
      </x:c>
      <x:c r="H589" s="84" t="str">
        <x:v>Sábado</x:v>
      </x:c>
      <x:c r="I589" s="85" t="n">
        <x:v>0</x:v>
      </x:c>
    </x:row>
    <x:row r="590">
      <x:c r="A590" s="95" t="n">
        <x:v>45515</x:v>
      </x:c>
      <x:c r="B590" s="84" t="n">
        <x:v>11</x:v>
      </x:c>
      <x:c r="C590" s="84" t="n">
        <x:v>8</x:v>
      </x:c>
      <x:c r="D590" s="84" t="str">
        <x:v>Agosto</x:v>
      </x:c>
      <x:c r="E590" s="84" t="n">
        <x:v>3</x:v>
      </x:c>
      <x:c r="F590" s="84" t="n">
        <x:v>2024</x:v>
      </x:c>
      <x:c r="G590" s="84" t="n">
        <x:v>32</x:v>
      </x:c>
      <x:c r="H590" s="84" t="str">
        <x:v>Domingo</x:v>
      </x:c>
      <x:c r="I590" s="85" t="n">
        <x:v>0</x:v>
      </x:c>
    </x:row>
    <x:row r="591">
      <x:c r="A591" s="95" t="n">
        <x:v>45516</x:v>
      </x:c>
      <x:c r="B591" s="84" t="n">
        <x:v>12</x:v>
      </x:c>
      <x:c r="C591" s="84" t="n">
        <x:v>8</x:v>
      </x:c>
      <x:c r="D591" s="84" t="str">
        <x:v>Agosto</x:v>
      </x:c>
      <x:c r="E591" s="84" t="n">
        <x:v>3</x:v>
      </x:c>
      <x:c r="F591" s="84" t="n">
        <x:v>2024</x:v>
      </x:c>
      <x:c r="G591" s="84" t="n">
        <x:v>33</x:v>
      </x:c>
      <x:c r="H591" s="84" t="str">
        <x:v>Segunda</x:v>
      </x:c>
      <x:c r="I591" s="85" t="n">
        <x:v>1</x:v>
      </x:c>
    </x:row>
    <x:row r="592">
      <x:c r="A592" s="95" t="n">
        <x:v>45517</x:v>
      </x:c>
      <x:c r="B592" s="84" t="n">
        <x:v>13</x:v>
      </x:c>
      <x:c r="C592" s="84" t="n">
        <x:v>8</x:v>
      </x:c>
      <x:c r="D592" s="84" t="str">
        <x:v>Agosto</x:v>
      </x:c>
      <x:c r="E592" s="84" t="n">
        <x:v>3</x:v>
      </x:c>
      <x:c r="F592" s="84" t="n">
        <x:v>2024</x:v>
      </x:c>
      <x:c r="G592" s="84" t="n">
        <x:v>33</x:v>
      </x:c>
      <x:c r="H592" s="84" t="str">
        <x:v>Terça</x:v>
      </x:c>
      <x:c r="I592" s="85" t="n">
        <x:v>1</x:v>
      </x:c>
    </x:row>
    <x:row r="593">
      <x:c r="A593" s="95" t="n">
        <x:v>45518</x:v>
      </x:c>
      <x:c r="B593" s="84" t="n">
        <x:v>14</x:v>
      </x:c>
      <x:c r="C593" s="84" t="n">
        <x:v>8</x:v>
      </x:c>
      <x:c r="D593" s="84" t="str">
        <x:v>Agosto</x:v>
      </x:c>
      <x:c r="E593" s="84" t="n">
        <x:v>3</x:v>
      </x:c>
      <x:c r="F593" s="84" t="n">
        <x:v>2024</x:v>
      </x:c>
      <x:c r="G593" s="84" t="n">
        <x:v>33</x:v>
      </x:c>
      <x:c r="H593" s="84" t="str">
        <x:v>Quarta</x:v>
      </x:c>
      <x:c r="I593" s="85" t="n">
        <x:v>1</x:v>
      </x:c>
    </x:row>
    <x:row r="594">
      <x:c r="A594" s="95" t="n">
        <x:v>45519</x:v>
      </x:c>
      <x:c r="B594" s="84" t="n">
        <x:v>15</x:v>
      </x:c>
      <x:c r="C594" s="84" t="n">
        <x:v>8</x:v>
      </x:c>
      <x:c r="D594" s="84" t="str">
        <x:v>Agosto</x:v>
      </x:c>
      <x:c r="E594" s="84" t="n">
        <x:v>3</x:v>
      </x:c>
      <x:c r="F594" s="84" t="n">
        <x:v>2024</x:v>
      </x:c>
      <x:c r="G594" s="84" t="n">
        <x:v>33</x:v>
      </x:c>
      <x:c r="H594" s="84" t="str">
        <x:v>Quinta</x:v>
      </x:c>
      <x:c r="I594" s="85" t="n">
        <x:v>1</x:v>
      </x:c>
    </x:row>
    <x:row r="595">
      <x:c r="A595" s="95" t="n">
        <x:v>45520</x:v>
      </x:c>
      <x:c r="B595" s="84" t="n">
        <x:v>16</x:v>
      </x:c>
      <x:c r="C595" s="84" t="n">
        <x:v>8</x:v>
      </x:c>
      <x:c r="D595" s="84" t="str">
        <x:v>Agosto</x:v>
      </x:c>
      <x:c r="E595" s="84" t="n">
        <x:v>3</x:v>
      </x:c>
      <x:c r="F595" s="84" t="n">
        <x:v>2024</x:v>
      </x:c>
      <x:c r="G595" s="84" t="n">
        <x:v>33</x:v>
      </x:c>
      <x:c r="H595" s="84" t="str">
        <x:v>Sexta</x:v>
      </x:c>
      <x:c r="I595" s="85" t="n">
        <x:v>1</x:v>
      </x:c>
    </x:row>
    <x:row r="596">
      <x:c r="A596" s="95" t="n">
        <x:v>45521</x:v>
      </x:c>
      <x:c r="B596" s="84" t="n">
        <x:v>17</x:v>
      </x:c>
      <x:c r="C596" s="84" t="n">
        <x:v>8</x:v>
      </x:c>
      <x:c r="D596" s="84" t="str">
        <x:v>Agosto</x:v>
      </x:c>
      <x:c r="E596" s="84" t="n">
        <x:v>3</x:v>
      </x:c>
      <x:c r="F596" s="84" t="n">
        <x:v>2024</x:v>
      </x:c>
      <x:c r="G596" s="84" t="n">
        <x:v>33</x:v>
      </x:c>
      <x:c r="H596" s="84" t="str">
        <x:v>Sábado</x:v>
      </x:c>
      <x:c r="I596" s="85" t="n">
        <x:v>0</x:v>
      </x:c>
    </x:row>
    <x:row r="597">
      <x:c r="A597" s="95" t="n">
        <x:v>45522</x:v>
      </x:c>
      <x:c r="B597" s="84" t="n">
        <x:v>18</x:v>
      </x:c>
      <x:c r="C597" s="84" t="n">
        <x:v>8</x:v>
      </x:c>
      <x:c r="D597" s="84" t="str">
        <x:v>Agosto</x:v>
      </x:c>
      <x:c r="E597" s="84" t="n">
        <x:v>3</x:v>
      </x:c>
      <x:c r="F597" s="84" t="n">
        <x:v>2024</x:v>
      </x:c>
      <x:c r="G597" s="84" t="n">
        <x:v>33</x:v>
      </x:c>
      <x:c r="H597" s="84" t="str">
        <x:v>Domingo</x:v>
      </x:c>
      <x:c r="I597" s="85" t="n">
        <x:v>0</x:v>
      </x:c>
    </x:row>
    <x:row r="598">
      <x:c r="A598" s="95" t="n">
        <x:v>45523</x:v>
      </x:c>
      <x:c r="B598" s="84" t="n">
        <x:v>19</x:v>
      </x:c>
      <x:c r="C598" s="84" t="n">
        <x:v>8</x:v>
      </x:c>
      <x:c r="D598" s="84" t="str">
        <x:v>Agosto</x:v>
      </x:c>
      <x:c r="E598" s="84" t="n">
        <x:v>3</x:v>
      </x:c>
      <x:c r="F598" s="84" t="n">
        <x:v>2024</x:v>
      </x:c>
      <x:c r="G598" s="84" t="n">
        <x:v>34</x:v>
      </x:c>
      <x:c r="H598" s="84" t="str">
        <x:v>Segunda</x:v>
      </x:c>
      <x:c r="I598" s="85" t="n">
        <x:v>1</x:v>
      </x:c>
    </x:row>
    <x:row r="599">
      <x:c r="A599" s="95" t="n">
        <x:v>45524</x:v>
      </x:c>
      <x:c r="B599" s="84" t="n">
        <x:v>20</x:v>
      </x:c>
      <x:c r="C599" s="84" t="n">
        <x:v>8</x:v>
      </x:c>
      <x:c r="D599" s="84" t="str">
        <x:v>Agosto</x:v>
      </x:c>
      <x:c r="E599" s="84" t="n">
        <x:v>3</x:v>
      </x:c>
      <x:c r="F599" s="84" t="n">
        <x:v>2024</x:v>
      </x:c>
      <x:c r="G599" s="84" t="n">
        <x:v>34</x:v>
      </x:c>
      <x:c r="H599" s="84" t="str">
        <x:v>Terça</x:v>
      </x:c>
      <x:c r="I599" s="85" t="n">
        <x:v>1</x:v>
      </x:c>
    </x:row>
    <x:row r="600">
      <x:c r="A600" s="95" t="n">
        <x:v>45525</x:v>
      </x:c>
      <x:c r="B600" s="84" t="n">
        <x:v>21</x:v>
      </x:c>
      <x:c r="C600" s="84" t="n">
        <x:v>8</x:v>
      </x:c>
      <x:c r="D600" s="84" t="str">
        <x:v>Agosto</x:v>
      </x:c>
      <x:c r="E600" s="84" t="n">
        <x:v>3</x:v>
      </x:c>
      <x:c r="F600" s="84" t="n">
        <x:v>2024</x:v>
      </x:c>
      <x:c r="G600" s="84" t="n">
        <x:v>34</x:v>
      </x:c>
      <x:c r="H600" s="84" t="str">
        <x:v>Quarta</x:v>
      </x:c>
      <x:c r="I600" s="85" t="n">
        <x:v>1</x:v>
      </x:c>
    </x:row>
    <x:row r="601">
      <x:c r="A601" s="95" t="n">
        <x:v>45526</x:v>
      </x:c>
      <x:c r="B601" s="84" t="n">
        <x:v>22</x:v>
      </x:c>
      <x:c r="C601" s="84" t="n">
        <x:v>8</x:v>
      </x:c>
      <x:c r="D601" s="84" t="str">
        <x:v>Agosto</x:v>
      </x:c>
      <x:c r="E601" s="84" t="n">
        <x:v>3</x:v>
      </x:c>
      <x:c r="F601" s="84" t="n">
        <x:v>2024</x:v>
      </x:c>
      <x:c r="G601" s="84" t="n">
        <x:v>34</x:v>
      </x:c>
      <x:c r="H601" s="84" t="str">
        <x:v>Quinta</x:v>
      </x:c>
      <x:c r="I601" s="85" t="n">
        <x:v>1</x:v>
      </x:c>
    </x:row>
    <x:row r="602">
      <x:c r="A602" s="95" t="n">
        <x:v>45527</x:v>
      </x:c>
      <x:c r="B602" s="84" t="n">
        <x:v>23</x:v>
      </x:c>
      <x:c r="C602" s="84" t="n">
        <x:v>8</x:v>
      </x:c>
      <x:c r="D602" s="84" t="str">
        <x:v>Agosto</x:v>
      </x:c>
      <x:c r="E602" s="84" t="n">
        <x:v>3</x:v>
      </x:c>
      <x:c r="F602" s="84" t="n">
        <x:v>2024</x:v>
      </x:c>
      <x:c r="G602" s="84" t="n">
        <x:v>34</x:v>
      </x:c>
      <x:c r="H602" s="84" t="str">
        <x:v>Sexta</x:v>
      </x:c>
      <x:c r="I602" s="85" t="n">
        <x:v>1</x:v>
      </x:c>
    </x:row>
    <x:row r="603">
      <x:c r="A603" s="95" t="n">
        <x:v>45528</x:v>
      </x:c>
      <x:c r="B603" s="84" t="n">
        <x:v>24</x:v>
      </x:c>
      <x:c r="C603" s="84" t="n">
        <x:v>8</x:v>
      </x:c>
      <x:c r="D603" s="84" t="str">
        <x:v>Agosto</x:v>
      </x:c>
      <x:c r="E603" s="84" t="n">
        <x:v>3</x:v>
      </x:c>
      <x:c r="F603" s="84" t="n">
        <x:v>2024</x:v>
      </x:c>
      <x:c r="G603" s="84" t="n">
        <x:v>34</x:v>
      </x:c>
      <x:c r="H603" s="84" t="str">
        <x:v>Sábado</x:v>
      </x:c>
      <x:c r="I603" s="85" t="n">
        <x:v>0</x:v>
      </x:c>
    </x:row>
    <x:row r="604">
      <x:c r="A604" s="95" t="n">
        <x:v>45529</x:v>
      </x:c>
      <x:c r="B604" s="84" t="n">
        <x:v>25</x:v>
      </x:c>
      <x:c r="C604" s="84" t="n">
        <x:v>8</x:v>
      </x:c>
      <x:c r="D604" s="84" t="str">
        <x:v>Agosto</x:v>
      </x:c>
      <x:c r="E604" s="84" t="n">
        <x:v>3</x:v>
      </x:c>
      <x:c r="F604" s="84" t="n">
        <x:v>2024</x:v>
      </x:c>
      <x:c r="G604" s="84" t="n">
        <x:v>34</x:v>
      </x:c>
      <x:c r="H604" s="84" t="str">
        <x:v>Domingo</x:v>
      </x:c>
      <x:c r="I604" s="85" t="n">
        <x:v>0</x:v>
      </x:c>
    </x:row>
    <x:row r="605">
      <x:c r="A605" s="95" t="n">
        <x:v>45530</x:v>
      </x:c>
      <x:c r="B605" s="84" t="n">
        <x:v>26</x:v>
      </x:c>
      <x:c r="C605" s="84" t="n">
        <x:v>8</x:v>
      </x:c>
      <x:c r="D605" s="84" t="str">
        <x:v>Agosto</x:v>
      </x:c>
      <x:c r="E605" s="84" t="n">
        <x:v>3</x:v>
      </x:c>
      <x:c r="F605" s="84" t="n">
        <x:v>2024</x:v>
      </x:c>
      <x:c r="G605" s="84" t="n">
        <x:v>35</x:v>
      </x:c>
      <x:c r="H605" s="84" t="str">
        <x:v>Segunda</x:v>
      </x:c>
      <x:c r="I605" s="85" t="n">
        <x:v>1</x:v>
      </x:c>
    </x:row>
    <x:row r="606">
      <x:c r="A606" s="95" t="n">
        <x:v>45531</x:v>
      </x:c>
      <x:c r="B606" s="84" t="n">
        <x:v>27</x:v>
      </x:c>
      <x:c r="C606" s="84" t="n">
        <x:v>8</x:v>
      </x:c>
      <x:c r="D606" s="84" t="str">
        <x:v>Agosto</x:v>
      </x:c>
      <x:c r="E606" s="84" t="n">
        <x:v>3</x:v>
      </x:c>
      <x:c r="F606" s="84" t="n">
        <x:v>2024</x:v>
      </x:c>
      <x:c r="G606" s="84" t="n">
        <x:v>35</x:v>
      </x:c>
      <x:c r="H606" s="84" t="str">
        <x:v>Terça</x:v>
      </x:c>
      <x:c r="I606" s="85" t="n">
        <x:v>1</x:v>
      </x:c>
    </x:row>
    <x:row r="607">
      <x:c r="A607" s="95" t="n">
        <x:v>45532</x:v>
      </x:c>
      <x:c r="B607" s="84" t="n">
        <x:v>28</x:v>
      </x:c>
      <x:c r="C607" s="84" t="n">
        <x:v>8</x:v>
      </x:c>
      <x:c r="D607" s="84" t="str">
        <x:v>Agosto</x:v>
      </x:c>
      <x:c r="E607" s="84" t="n">
        <x:v>3</x:v>
      </x:c>
      <x:c r="F607" s="84" t="n">
        <x:v>2024</x:v>
      </x:c>
      <x:c r="G607" s="84" t="n">
        <x:v>35</x:v>
      </x:c>
      <x:c r="H607" s="84" t="str">
        <x:v>Quarta</x:v>
      </x:c>
      <x:c r="I607" s="85" t="n">
        <x:v>1</x:v>
      </x:c>
    </x:row>
    <x:row r="608">
      <x:c r="A608" s="95" t="n">
        <x:v>45533</x:v>
      </x:c>
      <x:c r="B608" s="84" t="n">
        <x:v>29</x:v>
      </x:c>
      <x:c r="C608" s="84" t="n">
        <x:v>8</x:v>
      </x:c>
      <x:c r="D608" s="84" t="str">
        <x:v>Agosto</x:v>
      </x:c>
      <x:c r="E608" s="84" t="n">
        <x:v>3</x:v>
      </x:c>
      <x:c r="F608" s="84" t="n">
        <x:v>2024</x:v>
      </x:c>
      <x:c r="G608" s="84" t="n">
        <x:v>35</x:v>
      </x:c>
      <x:c r="H608" s="84" t="str">
        <x:v>Quinta</x:v>
      </x:c>
      <x:c r="I608" s="85" t="n">
        <x:v>1</x:v>
      </x:c>
    </x:row>
    <x:row r="609">
      <x:c r="A609" s="95" t="n">
        <x:v>45534</x:v>
      </x:c>
      <x:c r="B609" s="84" t="n">
        <x:v>30</x:v>
      </x:c>
      <x:c r="C609" s="84" t="n">
        <x:v>8</x:v>
      </x:c>
      <x:c r="D609" s="84" t="str">
        <x:v>Agosto</x:v>
      </x:c>
      <x:c r="E609" s="84" t="n">
        <x:v>3</x:v>
      </x:c>
      <x:c r="F609" s="84" t="n">
        <x:v>2024</x:v>
      </x:c>
      <x:c r="G609" s="84" t="n">
        <x:v>35</x:v>
      </x:c>
      <x:c r="H609" s="84" t="str">
        <x:v>Sexta</x:v>
      </x:c>
      <x:c r="I609" s="85" t="n">
        <x:v>1</x:v>
      </x:c>
    </x:row>
    <x:row r="610">
      <x:c r="A610" s="95" t="n">
        <x:v>45535</x:v>
      </x:c>
      <x:c r="B610" s="84" t="n">
        <x:v>31</x:v>
      </x:c>
      <x:c r="C610" s="84" t="n">
        <x:v>8</x:v>
      </x:c>
      <x:c r="D610" s="84" t="str">
        <x:v>Agosto</x:v>
      </x:c>
      <x:c r="E610" s="84" t="n">
        <x:v>3</x:v>
      </x:c>
      <x:c r="F610" s="84" t="n">
        <x:v>2024</x:v>
      </x:c>
      <x:c r="G610" s="84" t="n">
        <x:v>35</x:v>
      </x:c>
      <x:c r="H610" s="84" t="str">
        <x:v>Sábado</x:v>
      </x:c>
      <x:c r="I610" s="85" t="n">
        <x:v>0</x:v>
      </x:c>
    </x:row>
    <x:row r="611">
      <x:c r="A611" s="95" t="n">
        <x:v>45536</x:v>
      </x:c>
      <x:c r="B611" s="84" t="n">
        <x:v>1</x:v>
      </x:c>
      <x:c r="C611" s="84" t="n">
        <x:v>9</x:v>
      </x:c>
      <x:c r="D611" s="84" t="str">
        <x:v>Setembro</x:v>
      </x:c>
      <x:c r="E611" s="84" t="n">
        <x:v>3</x:v>
      </x:c>
      <x:c r="F611" s="84" t="n">
        <x:v>2024</x:v>
      </x:c>
      <x:c r="G611" s="84" t="n">
        <x:v>35</x:v>
      </x:c>
      <x:c r="H611" s="84" t="str">
        <x:v>Domingo</x:v>
      </x:c>
      <x:c r="I611" s="85" t="n">
        <x:v>0</x:v>
      </x:c>
    </x:row>
    <x:row r="612">
      <x:c r="A612" s="95" t="n">
        <x:v>45537</x:v>
      </x:c>
      <x:c r="B612" s="84" t="n">
        <x:v>2</x:v>
      </x:c>
      <x:c r="C612" s="84" t="n">
        <x:v>9</x:v>
      </x:c>
      <x:c r="D612" s="84" t="str">
        <x:v>Setembro</x:v>
      </x:c>
      <x:c r="E612" s="84" t="n">
        <x:v>3</x:v>
      </x:c>
      <x:c r="F612" s="84" t="n">
        <x:v>2024</x:v>
      </x:c>
      <x:c r="G612" s="84" t="n">
        <x:v>36</x:v>
      </x:c>
      <x:c r="H612" s="84" t="str">
        <x:v>Segunda</x:v>
      </x:c>
      <x:c r="I612" s="85" t="n">
        <x:v>1</x:v>
      </x:c>
    </x:row>
    <x:row r="613">
      <x:c r="A613" s="95" t="n">
        <x:v>45538</x:v>
      </x:c>
      <x:c r="B613" s="84" t="n">
        <x:v>3</x:v>
      </x:c>
      <x:c r="C613" s="84" t="n">
        <x:v>9</x:v>
      </x:c>
      <x:c r="D613" s="84" t="str">
        <x:v>Setembro</x:v>
      </x:c>
      <x:c r="E613" s="84" t="n">
        <x:v>3</x:v>
      </x:c>
      <x:c r="F613" s="84" t="n">
        <x:v>2024</x:v>
      </x:c>
      <x:c r="G613" s="84" t="n">
        <x:v>36</x:v>
      </x:c>
      <x:c r="H613" s="84" t="str">
        <x:v>Terça</x:v>
      </x:c>
      <x:c r="I613" s="85" t="n">
        <x:v>1</x:v>
      </x:c>
    </x:row>
    <x:row r="614">
      <x:c r="A614" s="95" t="n">
        <x:v>45539</x:v>
      </x:c>
      <x:c r="B614" s="84" t="n">
        <x:v>4</x:v>
      </x:c>
      <x:c r="C614" s="84" t="n">
        <x:v>9</x:v>
      </x:c>
      <x:c r="D614" s="84" t="str">
        <x:v>Setembro</x:v>
      </x:c>
      <x:c r="E614" s="84" t="n">
        <x:v>3</x:v>
      </x:c>
      <x:c r="F614" s="84" t="n">
        <x:v>2024</x:v>
      </x:c>
      <x:c r="G614" s="84" t="n">
        <x:v>36</x:v>
      </x:c>
      <x:c r="H614" s="84" t="str">
        <x:v>Quarta</x:v>
      </x:c>
      <x:c r="I614" s="85" t="n">
        <x:v>1</x:v>
      </x:c>
    </x:row>
    <x:row r="615">
      <x:c r="A615" s="95" t="n">
        <x:v>45540</x:v>
      </x:c>
      <x:c r="B615" s="84" t="n">
        <x:v>5</x:v>
      </x:c>
      <x:c r="C615" s="84" t="n">
        <x:v>9</x:v>
      </x:c>
      <x:c r="D615" s="84" t="str">
        <x:v>Setembro</x:v>
      </x:c>
      <x:c r="E615" s="84" t="n">
        <x:v>3</x:v>
      </x:c>
      <x:c r="F615" s="84" t="n">
        <x:v>2024</x:v>
      </x:c>
      <x:c r="G615" s="84" t="n">
        <x:v>36</x:v>
      </x:c>
      <x:c r="H615" s="84" t="str">
        <x:v>Quinta</x:v>
      </x:c>
      <x:c r="I615" s="85" t="n">
        <x:v>1</x:v>
      </x:c>
    </x:row>
    <x:row r="616">
      <x:c r="A616" s="95" t="n">
        <x:v>45541</x:v>
      </x:c>
      <x:c r="B616" s="84" t="n">
        <x:v>6</x:v>
      </x:c>
      <x:c r="C616" s="84" t="n">
        <x:v>9</x:v>
      </x:c>
      <x:c r="D616" s="84" t="str">
        <x:v>Setembro</x:v>
      </x:c>
      <x:c r="E616" s="84" t="n">
        <x:v>3</x:v>
      </x:c>
      <x:c r="F616" s="84" t="n">
        <x:v>2024</x:v>
      </x:c>
      <x:c r="G616" s="84" t="n">
        <x:v>36</x:v>
      </x:c>
      <x:c r="H616" s="84" t="str">
        <x:v>Sexta</x:v>
      </x:c>
      <x:c r="I616" s="85" t="n">
        <x:v>1</x:v>
      </x:c>
    </x:row>
    <x:row r="617">
      <x:c r="A617" s="95" t="n">
        <x:v>45542</x:v>
      </x:c>
      <x:c r="B617" s="84" t="n">
        <x:v>7</x:v>
      </x:c>
      <x:c r="C617" s="84" t="n">
        <x:v>9</x:v>
      </x:c>
      <x:c r="D617" s="84" t="str">
        <x:v>Setembro</x:v>
      </x:c>
      <x:c r="E617" s="84" t="n">
        <x:v>3</x:v>
      </x:c>
      <x:c r="F617" s="84" t="n">
        <x:v>2024</x:v>
      </x:c>
      <x:c r="G617" s="84" t="n">
        <x:v>36</x:v>
      </x:c>
      <x:c r="H617" s="84" t="str">
        <x:v>Sábado</x:v>
      </x:c>
      <x:c r="I617" s="85" t="n">
        <x:v>0</x:v>
      </x:c>
    </x:row>
    <x:row r="618">
      <x:c r="A618" s="95" t="n">
        <x:v>45543</x:v>
      </x:c>
      <x:c r="B618" s="84" t="n">
        <x:v>8</x:v>
      </x:c>
      <x:c r="C618" s="84" t="n">
        <x:v>9</x:v>
      </x:c>
      <x:c r="D618" s="84" t="str">
        <x:v>Setembro</x:v>
      </x:c>
      <x:c r="E618" s="84" t="n">
        <x:v>3</x:v>
      </x:c>
      <x:c r="F618" s="84" t="n">
        <x:v>2024</x:v>
      </x:c>
      <x:c r="G618" s="84" t="n">
        <x:v>36</x:v>
      </x:c>
      <x:c r="H618" s="84" t="str">
        <x:v>Domingo</x:v>
      </x:c>
      <x:c r="I618" s="85" t="n">
        <x:v>0</x:v>
      </x:c>
    </x:row>
    <x:row r="619">
      <x:c r="A619" s="95" t="n">
        <x:v>45544</x:v>
      </x:c>
      <x:c r="B619" s="84" t="n">
        <x:v>9</x:v>
      </x:c>
      <x:c r="C619" s="84" t="n">
        <x:v>9</x:v>
      </x:c>
      <x:c r="D619" s="84" t="str">
        <x:v>Setembro</x:v>
      </x:c>
      <x:c r="E619" s="84" t="n">
        <x:v>3</x:v>
      </x:c>
      <x:c r="F619" s="84" t="n">
        <x:v>2024</x:v>
      </x:c>
      <x:c r="G619" s="84" t="n">
        <x:v>37</x:v>
      </x:c>
      <x:c r="H619" s="84" t="str">
        <x:v>Segunda</x:v>
      </x:c>
      <x:c r="I619" s="85" t="n">
        <x:v>1</x:v>
      </x:c>
    </x:row>
    <x:row r="620">
      <x:c r="A620" s="95" t="n">
        <x:v>45545</x:v>
      </x:c>
      <x:c r="B620" s="84" t="n">
        <x:v>10</x:v>
      </x:c>
      <x:c r="C620" s="84" t="n">
        <x:v>9</x:v>
      </x:c>
      <x:c r="D620" s="84" t="str">
        <x:v>Setembro</x:v>
      </x:c>
      <x:c r="E620" s="84" t="n">
        <x:v>3</x:v>
      </x:c>
      <x:c r="F620" s="84" t="n">
        <x:v>2024</x:v>
      </x:c>
      <x:c r="G620" s="84" t="n">
        <x:v>37</x:v>
      </x:c>
      <x:c r="H620" s="84" t="str">
        <x:v>Terça</x:v>
      </x:c>
      <x:c r="I620" s="85" t="n">
        <x:v>1</x:v>
      </x:c>
    </x:row>
    <x:row r="621">
      <x:c r="A621" s="95" t="n">
        <x:v>45546</x:v>
      </x:c>
      <x:c r="B621" s="84" t="n">
        <x:v>11</x:v>
      </x:c>
      <x:c r="C621" s="84" t="n">
        <x:v>9</x:v>
      </x:c>
      <x:c r="D621" s="84" t="str">
        <x:v>Setembro</x:v>
      </x:c>
      <x:c r="E621" s="84" t="n">
        <x:v>3</x:v>
      </x:c>
      <x:c r="F621" s="84" t="n">
        <x:v>2024</x:v>
      </x:c>
      <x:c r="G621" s="84" t="n">
        <x:v>37</x:v>
      </x:c>
      <x:c r="H621" s="84" t="str">
        <x:v>Quarta</x:v>
      </x:c>
      <x:c r="I621" s="85" t="n">
        <x:v>1</x:v>
      </x:c>
    </x:row>
    <x:row r="622">
      <x:c r="A622" s="95" t="n">
        <x:v>45547</x:v>
      </x:c>
      <x:c r="B622" s="84" t="n">
        <x:v>12</x:v>
      </x:c>
      <x:c r="C622" s="84" t="n">
        <x:v>9</x:v>
      </x:c>
      <x:c r="D622" s="84" t="str">
        <x:v>Setembro</x:v>
      </x:c>
      <x:c r="E622" s="84" t="n">
        <x:v>3</x:v>
      </x:c>
      <x:c r="F622" s="84" t="n">
        <x:v>2024</x:v>
      </x:c>
      <x:c r="G622" s="84" t="n">
        <x:v>37</x:v>
      </x:c>
      <x:c r="H622" s="84" t="str">
        <x:v>Quinta</x:v>
      </x:c>
      <x:c r="I622" s="85" t="n">
        <x:v>1</x:v>
      </x:c>
    </x:row>
    <x:row r="623">
      <x:c r="A623" s="95" t="n">
        <x:v>45548</x:v>
      </x:c>
      <x:c r="B623" s="84" t="n">
        <x:v>13</x:v>
      </x:c>
      <x:c r="C623" s="84" t="n">
        <x:v>9</x:v>
      </x:c>
      <x:c r="D623" s="84" t="str">
        <x:v>Setembro</x:v>
      </x:c>
      <x:c r="E623" s="84" t="n">
        <x:v>3</x:v>
      </x:c>
      <x:c r="F623" s="84" t="n">
        <x:v>2024</x:v>
      </x:c>
      <x:c r="G623" s="84" t="n">
        <x:v>37</x:v>
      </x:c>
      <x:c r="H623" s="84" t="str">
        <x:v>Sexta</x:v>
      </x:c>
      <x:c r="I623" s="85" t="n">
        <x:v>1</x:v>
      </x:c>
    </x:row>
    <x:row r="624">
      <x:c r="A624" s="95" t="n">
        <x:v>45549</x:v>
      </x:c>
      <x:c r="B624" s="84" t="n">
        <x:v>14</x:v>
      </x:c>
      <x:c r="C624" s="84" t="n">
        <x:v>9</x:v>
      </x:c>
      <x:c r="D624" s="84" t="str">
        <x:v>Setembro</x:v>
      </x:c>
      <x:c r="E624" s="84" t="n">
        <x:v>3</x:v>
      </x:c>
      <x:c r="F624" s="84" t="n">
        <x:v>2024</x:v>
      </x:c>
      <x:c r="G624" s="84" t="n">
        <x:v>37</x:v>
      </x:c>
      <x:c r="H624" s="84" t="str">
        <x:v>Sábado</x:v>
      </x:c>
      <x:c r="I624" s="85" t="n">
        <x:v>0</x:v>
      </x:c>
    </x:row>
    <x:row r="625">
      <x:c r="A625" s="95" t="n">
        <x:v>45550</x:v>
      </x:c>
      <x:c r="B625" s="84" t="n">
        <x:v>15</x:v>
      </x:c>
      <x:c r="C625" s="84" t="n">
        <x:v>9</x:v>
      </x:c>
      <x:c r="D625" s="84" t="str">
        <x:v>Setembro</x:v>
      </x:c>
      <x:c r="E625" s="84" t="n">
        <x:v>3</x:v>
      </x:c>
      <x:c r="F625" s="84" t="n">
        <x:v>2024</x:v>
      </x:c>
      <x:c r="G625" s="84" t="n">
        <x:v>37</x:v>
      </x:c>
      <x:c r="H625" s="84" t="str">
        <x:v>Domingo</x:v>
      </x:c>
      <x:c r="I625" s="85" t="n">
        <x:v>0</x:v>
      </x:c>
    </x:row>
    <x:row r="626">
      <x:c r="A626" s="95" t="n">
        <x:v>45551</x:v>
      </x:c>
      <x:c r="B626" s="84" t="n">
        <x:v>16</x:v>
      </x:c>
      <x:c r="C626" s="84" t="n">
        <x:v>9</x:v>
      </x:c>
      <x:c r="D626" s="84" t="str">
        <x:v>Setembro</x:v>
      </x:c>
      <x:c r="E626" s="84" t="n">
        <x:v>3</x:v>
      </x:c>
      <x:c r="F626" s="84" t="n">
        <x:v>2024</x:v>
      </x:c>
      <x:c r="G626" s="84" t="n">
        <x:v>38</x:v>
      </x:c>
      <x:c r="H626" s="84" t="str">
        <x:v>Segunda</x:v>
      </x:c>
      <x:c r="I626" s="85" t="n">
        <x:v>1</x:v>
      </x:c>
    </x:row>
    <x:row r="627">
      <x:c r="A627" s="95" t="n">
        <x:v>45552</x:v>
      </x:c>
      <x:c r="B627" s="84" t="n">
        <x:v>17</x:v>
      </x:c>
      <x:c r="C627" s="84" t="n">
        <x:v>9</x:v>
      </x:c>
      <x:c r="D627" s="84" t="str">
        <x:v>Setembro</x:v>
      </x:c>
      <x:c r="E627" s="84" t="n">
        <x:v>3</x:v>
      </x:c>
      <x:c r="F627" s="84" t="n">
        <x:v>2024</x:v>
      </x:c>
      <x:c r="G627" s="84" t="n">
        <x:v>38</x:v>
      </x:c>
      <x:c r="H627" s="84" t="str">
        <x:v>Terça</x:v>
      </x:c>
      <x:c r="I627" s="85" t="n">
        <x:v>1</x:v>
      </x:c>
    </x:row>
    <x:row r="628">
      <x:c r="A628" s="95" t="n">
        <x:v>45553</x:v>
      </x:c>
      <x:c r="B628" s="84" t="n">
        <x:v>18</x:v>
      </x:c>
      <x:c r="C628" s="84" t="n">
        <x:v>9</x:v>
      </x:c>
      <x:c r="D628" s="84" t="str">
        <x:v>Setembro</x:v>
      </x:c>
      <x:c r="E628" s="84" t="n">
        <x:v>3</x:v>
      </x:c>
      <x:c r="F628" s="84" t="n">
        <x:v>2024</x:v>
      </x:c>
      <x:c r="G628" s="84" t="n">
        <x:v>38</x:v>
      </x:c>
      <x:c r="H628" s="84" t="str">
        <x:v>Quarta</x:v>
      </x:c>
      <x:c r="I628" s="85" t="n">
        <x:v>1</x:v>
      </x:c>
    </x:row>
    <x:row r="629">
      <x:c r="A629" s="95" t="n">
        <x:v>45554</x:v>
      </x:c>
      <x:c r="B629" s="84" t="n">
        <x:v>19</x:v>
      </x:c>
      <x:c r="C629" s="84" t="n">
        <x:v>9</x:v>
      </x:c>
      <x:c r="D629" s="84" t="str">
        <x:v>Setembro</x:v>
      </x:c>
      <x:c r="E629" s="84" t="n">
        <x:v>3</x:v>
      </x:c>
      <x:c r="F629" s="84" t="n">
        <x:v>2024</x:v>
      </x:c>
      <x:c r="G629" s="84" t="n">
        <x:v>38</x:v>
      </x:c>
      <x:c r="H629" s="84" t="str">
        <x:v>Quinta</x:v>
      </x:c>
      <x:c r="I629" s="85" t="n">
        <x:v>1</x:v>
      </x:c>
    </x:row>
    <x:row r="630">
      <x:c r="A630" s="95" t="n">
        <x:v>45555</x:v>
      </x:c>
      <x:c r="B630" s="84" t="n">
        <x:v>20</x:v>
      </x:c>
      <x:c r="C630" s="84" t="n">
        <x:v>9</x:v>
      </x:c>
      <x:c r="D630" s="84" t="str">
        <x:v>Setembro</x:v>
      </x:c>
      <x:c r="E630" s="84" t="n">
        <x:v>3</x:v>
      </x:c>
      <x:c r="F630" s="84" t="n">
        <x:v>2024</x:v>
      </x:c>
      <x:c r="G630" s="84" t="n">
        <x:v>38</x:v>
      </x:c>
      <x:c r="H630" s="84" t="str">
        <x:v>Sexta</x:v>
      </x:c>
      <x:c r="I630" s="85" t="n">
        <x:v>1</x:v>
      </x:c>
    </x:row>
    <x:row r="631">
      <x:c r="A631" s="95" t="n">
        <x:v>45556</x:v>
      </x:c>
      <x:c r="B631" s="84" t="n">
        <x:v>21</x:v>
      </x:c>
      <x:c r="C631" s="84" t="n">
        <x:v>9</x:v>
      </x:c>
      <x:c r="D631" s="84" t="str">
        <x:v>Setembro</x:v>
      </x:c>
      <x:c r="E631" s="84" t="n">
        <x:v>3</x:v>
      </x:c>
      <x:c r="F631" s="84" t="n">
        <x:v>2024</x:v>
      </x:c>
      <x:c r="G631" s="84" t="n">
        <x:v>38</x:v>
      </x:c>
      <x:c r="H631" s="84" t="str">
        <x:v>Sábado</x:v>
      </x:c>
      <x:c r="I631" s="85" t="n">
        <x:v>0</x:v>
      </x:c>
    </x:row>
    <x:row r="632">
      <x:c r="A632" s="95" t="n">
        <x:v>45557</x:v>
      </x:c>
      <x:c r="B632" s="84" t="n">
        <x:v>22</x:v>
      </x:c>
      <x:c r="C632" s="84" t="n">
        <x:v>9</x:v>
      </x:c>
      <x:c r="D632" s="84" t="str">
        <x:v>Setembro</x:v>
      </x:c>
      <x:c r="E632" s="84" t="n">
        <x:v>3</x:v>
      </x:c>
      <x:c r="F632" s="84" t="n">
        <x:v>2024</x:v>
      </x:c>
      <x:c r="G632" s="84" t="n">
        <x:v>38</x:v>
      </x:c>
      <x:c r="H632" s="84" t="str">
        <x:v>Domingo</x:v>
      </x:c>
      <x:c r="I632" s="85" t="n">
        <x:v>0</x:v>
      </x:c>
    </x:row>
    <x:row r="633">
      <x:c r="A633" s="95" t="n">
        <x:v>45558</x:v>
      </x:c>
      <x:c r="B633" s="84" t="n">
        <x:v>23</x:v>
      </x:c>
      <x:c r="C633" s="84" t="n">
        <x:v>9</x:v>
      </x:c>
      <x:c r="D633" s="84" t="str">
        <x:v>Setembro</x:v>
      </x:c>
      <x:c r="E633" s="84" t="n">
        <x:v>3</x:v>
      </x:c>
      <x:c r="F633" s="84" t="n">
        <x:v>2024</x:v>
      </x:c>
      <x:c r="G633" s="84" t="n">
        <x:v>39</x:v>
      </x:c>
      <x:c r="H633" s="84" t="str">
        <x:v>Segunda</x:v>
      </x:c>
      <x:c r="I633" s="85" t="n">
        <x:v>1</x:v>
      </x:c>
    </x:row>
    <x:row r="634">
      <x:c r="A634" s="95" t="n">
        <x:v>45559</x:v>
      </x:c>
      <x:c r="B634" s="84" t="n">
        <x:v>24</x:v>
      </x:c>
      <x:c r="C634" s="84" t="n">
        <x:v>9</x:v>
      </x:c>
      <x:c r="D634" s="84" t="str">
        <x:v>Setembro</x:v>
      </x:c>
      <x:c r="E634" s="84" t="n">
        <x:v>3</x:v>
      </x:c>
      <x:c r="F634" s="84" t="n">
        <x:v>2024</x:v>
      </x:c>
      <x:c r="G634" s="84" t="n">
        <x:v>39</x:v>
      </x:c>
      <x:c r="H634" s="84" t="str">
        <x:v>Terça</x:v>
      </x:c>
      <x:c r="I634" s="85" t="n">
        <x:v>1</x:v>
      </x:c>
    </x:row>
    <x:row r="635">
      <x:c r="A635" s="95" t="n">
        <x:v>45560</x:v>
      </x:c>
      <x:c r="B635" s="84" t="n">
        <x:v>25</x:v>
      </x:c>
      <x:c r="C635" s="84" t="n">
        <x:v>9</x:v>
      </x:c>
      <x:c r="D635" s="84" t="str">
        <x:v>Setembro</x:v>
      </x:c>
      <x:c r="E635" s="84" t="n">
        <x:v>3</x:v>
      </x:c>
      <x:c r="F635" s="84" t="n">
        <x:v>2024</x:v>
      </x:c>
      <x:c r="G635" s="84" t="n">
        <x:v>39</x:v>
      </x:c>
      <x:c r="H635" s="84" t="str">
        <x:v>Quarta</x:v>
      </x:c>
      <x:c r="I635" s="85" t="n">
        <x:v>1</x:v>
      </x:c>
    </x:row>
    <x:row r="636">
      <x:c r="A636" s="95" t="n">
        <x:v>45561</x:v>
      </x:c>
      <x:c r="B636" s="84" t="n">
        <x:v>26</x:v>
      </x:c>
      <x:c r="C636" s="84" t="n">
        <x:v>9</x:v>
      </x:c>
      <x:c r="D636" s="84" t="str">
        <x:v>Setembro</x:v>
      </x:c>
      <x:c r="E636" s="84" t="n">
        <x:v>3</x:v>
      </x:c>
      <x:c r="F636" s="84" t="n">
        <x:v>2024</x:v>
      </x:c>
      <x:c r="G636" s="84" t="n">
        <x:v>39</x:v>
      </x:c>
      <x:c r="H636" s="84" t="str">
        <x:v>Quinta</x:v>
      </x:c>
      <x:c r="I636" s="85" t="n">
        <x:v>1</x:v>
      </x:c>
    </x:row>
    <x:row r="637">
      <x:c r="A637" s="95" t="n">
        <x:v>45562</x:v>
      </x:c>
      <x:c r="B637" s="84" t="n">
        <x:v>27</x:v>
      </x:c>
      <x:c r="C637" s="84" t="n">
        <x:v>9</x:v>
      </x:c>
      <x:c r="D637" s="84" t="str">
        <x:v>Setembro</x:v>
      </x:c>
      <x:c r="E637" s="84" t="n">
        <x:v>3</x:v>
      </x:c>
      <x:c r="F637" s="84" t="n">
        <x:v>2024</x:v>
      </x:c>
      <x:c r="G637" s="84" t="n">
        <x:v>39</x:v>
      </x:c>
      <x:c r="H637" s="84" t="str">
        <x:v>Sexta</x:v>
      </x:c>
      <x:c r="I637" s="85" t="n">
        <x:v>1</x:v>
      </x:c>
    </x:row>
    <x:row r="638">
      <x:c r="A638" s="95" t="n">
        <x:v>45563</x:v>
      </x:c>
      <x:c r="B638" s="84" t="n">
        <x:v>28</x:v>
      </x:c>
      <x:c r="C638" s="84" t="n">
        <x:v>9</x:v>
      </x:c>
      <x:c r="D638" s="84" t="str">
        <x:v>Setembro</x:v>
      </x:c>
      <x:c r="E638" s="84" t="n">
        <x:v>3</x:v>
      </x:c>
      <x:c r="F638" s="84" t="n">
        <x:v>2024</x:v>
      </x:c>
      <x:c r="G638" s="84" t="n">
        <x:v>39</x:v>
      </x:c>
      <x:c r="H638" s="84" t="str">
        <x:v>Sábado</x:v>
      </x:c>
      <x:c r="I638" s="85" t="n">
        <x:v>0</x:v>
      </x:c>
    </x:row>
    <x:row r="639">
      <x:c r="A639" s="95" t="n">
        <x:v>45564</x:v>
      </x:c>
      <x:c r="B639" s="84" t="n">
        <x:v>29</x:v>
      </x:c>
      <x:c r="C639" s="84" t="n">
        <x:v>9</x:v>
      </x:c>
      <x:c r="D639" s="84" t="str">
        <x:v>Setembro</x:v>
      </x:c>
      <x:c r="E639" s="84" t="n">
        <x:v>3</x:v>
      </x:c>
      <x:c r="F639" s="84" t="n">
        <x:v>2024</x:v>
      </x:c>
      <x:c r="G639" s="84" t="n">
        <x:v>39</x:v>
      </x:c>
      <x:c r="H639" s="84" t="str">
        <x:v>Domingo</x:v>
      </x:c>
      <x:c r="I639" s="85" t="n">
        <x:v>0</x:v>
      </x:c>
    </x:row>
    <x:row r="640">
      <x:c r="A640" s="95" t="n">
        <x:v>45565</x:v>
      </x:c>
      <x:c r="B640" s="84" t="n">
        <x:v>30</x:v>
      </x:c>
      <x:c r="C640" s="84" t="n">
        <x:v>9</x:v>
      </x:c>
      <x:c r="D640" s="84" t="str">
        <x:v>Setembro</x:v>
      </x:c>
      <x:c r="E640" s="84" t="n">
        <x:v>3</x:v>
      </x:c>
      <x:c r="F640" s="84" t="n">
        <x:v>2024</x:v>
      </x:c>
      <x:c r="G640" s="84" t="n">
        <x:v>40</x:v>
      </x:c>
      <x:c r="H640" s="84" t="str">
        <x:v>Segunda</x:v>
      </x:c>
      <x:c r="I640" s="85" t="n">
        <x:v>1</x:v>
      </x:c>
    </x:row>
    <x:row r="641">
      <x:c r="A641" s="95" t="n">
        <x:v>45566</x:v>
      </x:c>
      <x:c r="B641" s="84" t="n">
        <x:v>1</x:v>
      </x:c>
      <x:c r="C641" s="84" t="n">
        <x:v>10</x:v>
      </x:c>
      <x:c r="D641" s="84" t="str">
        <x:v>Outubro</x:v>
      </x:c>
      <x:c r="E641" s="84" t="n">
        <x:v>4</x:v>
      </x:c>
      <x:c r="F641" s="84" t="n">
        <x:v>2024</x:v>
      </x:c>
      <x:c r="G641" s="84" t="n">
        <x:v>40</x:v>
      </x:c>
      <x:c r="H641" s="84" t="str">
        <x:v>Terça</x:v>
      </x:c>
      <x:c r="I641" s="85" t="n">
        <x:v>1</x:v>
      </x:c>
    </x:row>
    <x:row r="642">
      <x:c r="A642" s="95" t="n">
        <x:v>45567</x:v>
      </x:c>
      <x:c r="B642" s="84" t="n">
        <x:v>2</x:v>
      </x:c>
      <x:c r="C642" s="84" t="n">
        <x:v>10</x:v>
      </x:c>
      <x:c r="D642" s="84" t="str">
        <x:v>Outubro</x:v>
      </x:c>
      <x:c r="E642" s="84" t="n">
        <x:v>4</x:v>
      </x:c>
      <x:c r="F642" s="84" t="n">
        <x:v>2024</x:v>
      </x:c>
      <x:c r="G642" s="84" t="n">
        <x:v>40</x:v>
      </x:c>
      <x:c r="H642" s="84" t="str">
        <x:v>Quarta</x:v>
      </x:c>
      <x:c r="I642" s="85" t="n">
        <x:v>1</x:v>
      </x:c>
    </x:row>
    <x:row r="643">
      <x:c r="A643" s="95" t="n">
        <x:v>45568</x:v>
      </x:c>
      <x:c r="B643" s="84" t="n">
        <x:v>3</x:v>
      </x:c>
      <x:c r="C643" s="84" t="n">
        <x:v>10</x:v>
      </x:c>
      <x:c r="D643" s="84" t="str">
        <x:v>Outubro</x:v>
      </x:c>
      <x:c r="E643" s="84" t="n">
        <x:v>4</x:v>
      </x:c>
      <x:c r="F643" s="84" t="n">
        <x:v>2024</x:v>
      </x:c>
      <x:c r="G643" s="84" t="n">
        <x:v>40</x:v>
      </x:c>
      <x:c r="H643" s="84" t="str">
        <x:v>Quinta</x:v>
      </x:c>
      <x:c r="I643" s="85" t="n">
        <x:v>1</x:v>
      </x:c>
    </x:row>
    <x:row r="644">
      <x:c r="A644" s="95" t="n">
        <x:v>45569</x:v>
      </x:c>
      <x:c r="B644" s="84" t="n">
        <x:v>4</x:v>
      </x:c>
      <x:c r="C644" s="84" t="n">
        <x:v>10</x:v>
      </x:c>
      <x:c r="D644" s="84" t="str">
        <x:v>Outubro</x:v>
      </x:c>
      <x:c r="E644" s="84" t="n">
        <x:v>4</x:v>
      </x:c>
      <x:c r="F644" s="84" t="n">
        <x:v>2024</x:v>
      </x:c>
      <x:c r="G644" s="84" t="n">
        <x:v>40</x:v>
      </x:c>
      <x:c r="H644" s="84" t="str">
        <x:v>Sexta</x:v>
      </x:c>
      <x:c r="I644" s="85" t="n">
        <x:v>1</x:v>
      </x:c>
    </x:row>
    <x:row r="645">
      <x:c r="A645" s="95" t="n">
        <x:v>45570</x:v>
      </x:c>
      <x:c r="B645" s="84" t="n">
        <x:v>5</x:v>
      </x:c>
      <x:c r="C645" s="84" t="n">
        <x:v>10</x:v>
      </x:c>
      <x:c r="D645" s="84" t="str">
        <x:v>Outubro</x:v>
      </x:c>
      <x:c r="E645" s="84" t="n">
        <x:v>4</x:v>
      </x:c>
      <x:c r="F645" s="84" t="n">
        <x:v>2024</x:v>
      </x:c>
      <x:c r="G645" s="84" t="n">
        <x:v>40</x:v>
      </x:c>
      <x:c r="H645" s="84" t="str">
        <x:v>Sábado</x:v>
      </x:c>
      <x:c r="I645" s="85" t="n">
        <x:v>0</x:v>
      </x:c>
    </x:row>
    <x:row r="646">
      <x:c r="A646" s="95" t="n">
        <x:v>45571</x:v>
      </x:c>
      <x:c r="B646" s="84" t="n">
        <x:v>6</x:v>
      </x:c>
      <x:c r="C646" s="84" t="n">
        <x:v>10</x:v>
      </x:c>
      <x:c r="D646" s="84" t="str">
        <x:v>Outubro</x:v>
      </x:c>
      <x:c r="E646" s="84" t="n">
        <x:v>4</x:v>
      </x:c>
      <x:c r="F646" s="84" t="n">
        <x:v>2024</x:v>
      </x:c>
      <x:c r="G646" s="84" t="n">
        <x:v>40</x:v>
      </x:c>
      <x:c r="H646" s="84" t="str">
        <x:v>Domingo</x:v>
      </x:c>
      <x:c r="I646" s="85" t="n">
        <x:v>0</x:v>
      </x:c>
    </x:row>
    <x:row r="647">
      <x:c r="A647" s="95" t="n">
        <x:v>45572</x:v>
      </x:c>
      <x:c r="B647" s="84" t="n">
        <x:v>7</x:v>
      </x:c>
      <x:c r="C647" s="84" t="n">
        <x:v>10</x:v>
      </x:c>
      <x:c r="D647" s="84" t="str">
        <x:v>Outubro</x:v>
      </x:c>
      <x:c r="E647" s="84" t="n">
        <x:v>4</x:v>
      </x:c>
      <x:c r="F647" s="84" t="n">
        <x:v>2024</x:v>
      </x:c>
      <x:c r="G647" s="84" t="n">
        <x:v>41</x:v>
      </x:c>
      <x:c r="H647" s="84" t="str">
        <x:v>Segunda</x:v>
      </x:c>
      <x:c r="I647" s="85" t="n">
        <x:v>1</x:v>
      </x:c>
    </x:row>
    <x:row r="648">
      <x:c r="A648" s="95" t="n">
        <x:v>45573</x:v>
      </x:c>
      <x:c r="B648" s="84" t="n">
        <x:v>8</x:v>
      </x:c>
      <x:c r="C648" s="84" t="n">
        <x:v>10</x:v>
      </x:c>
      <x:c r="D648" s="84" t="str">
        <x:v>Outubro</x:v>
      </x:c>
      <x:c r="E648" s="84" t="n">
        <x:v>4</x:v>
      </x:c>
      <x:c r="F648" s="84" t="n">
        <x:v>2024</x:v>
      </x:c>
      <x:c r="G648" s="84" t="n">
        <x:v>41</x:v>
      </x:c>
      <x:c r="H648" s="84" t="str">
        <x:v>Terça</x:v>
      </x:c>
      <x:c r="I648" s="85" t="n">
        <x:v>1</x:v>
      </x:c>
    </x:row>
    <x:row r="649">
      <x:c r="A649" s="95" t="n">
        <x:v>45574</x:v>
      </x:c>
      <x:c r="B649" s="84" t="n">
        <x:v>9</x:v>
      </x:c>
      <x:c r="C649" s="84" t="n">
        <x:v>10</x:v>
      </x:c>
      <x:c r="D649" s="84" t="str">
        <x:v>Outubro</x:v>
      </x:c>
      <x:c r="E649" s="84" t="n">
        <x:v>4</x:v>
      </x:c>
      <x:c r="F649" s="84" t="n">
        <x:v>2024</x:v>
      </x:c>
      <x:c r="G649" s="84" t="n">
        <x:v>41</x:v>
      </x:c>
      <x:c r="H649" s="84" t="str">
        <x:v>Quarta</x:v>
      </x:c>
      <x:c r="I649" s="85" t="n">
        <x:v>1</x:v>
      </x:c>
    </x:row>
    <x:row r="650">
      <x:c r="A650" s="95" t="n">
        <x:v>45575</x:v>
      </x:c>
      <x:c r="B650" s="84" t="n">
        <x:v>10</x:v>
      </x:c>
      <x:c r="C650" s="84" t="n">
        <x:v>10</x:v>
      </x:c>
      <x:c r="D650" s="84" t="str">
        <x:v>Outubro</x:v>
      </x:c>
      <x:c r="E650" s="84" t="n">
        <x:v>4</x:v>
      </x:c>
      <x:c r="F650" s="84" t="n">
        <x:v>2024</x:v>
      </x:c>
      <x:c r="G650" s="84" t="n">
        <x:v>41</x:v>
      </x:c>
      <x:c r="H650" s="84" t="str">
        <x:v>Quinta</x:v>
      </x:c>
      <x:c r="I650" s="85" t="n">
        <x:v>1</x:v>
      </x:c>
    </x:row>
    <x:row r="651">
      <x:c r="A651" s="95" t="n">
        <x:v>45576</x:v>
      </x:c>
      <x:c r="B651" s="84" t="n">
        <x:v>11</x:v>
      </x:c>
      <x:c r="C651" s="84" t="n">
        <x:v>10</x:v>
      </x:c>
      <x:c r="D651" s="84" t="str">
        <x:v>Outubro</x:v>
      </x:c>
      <x:c r="E651" s="84" t="n">
        <x:v>4</x:v>
      </x:c>
      <x:c r="F651" s="84" t="n">
        <x:v>2024</x:v>
      </x:c>
      <x:c r="G651" s="84" t="n">
        <x:v>41</x:v>
      </x:c>
      <x:c r="H651" s="84" t="str">
        <x:v>Sexta</x:v>
      </x:c>
      <x:c r="I651" s="85" t="n">
        <x:v>1</x:v>
      </x:c>
    </x:row>
    <x:row r="652">
      <x:c r="A652" s="95" t="n">
        <x:v>45577</x:v>
      </x:c>
      <x:c r="B652" s="84" t="n">
        <x:v>12</x:v>
      </x:c>
      <x:c r="C652" s="84" t="n">
        <x:v>10</x:v>
      </x:c>
      <x:c r="D652" s="84" t="str">
        <x:v>Outubro</x:v>
      </x:c>
      <x:c r="E652" s="84" t="n">
        <x:v>4</x:v>
      </x:c>
      <x:c r="F652" s="84" t="n">
        <x:v>2024</x:v>
      </x:c>
      <x:c r="G652" s="84" t="n">
        <x:v>41</x:v>
      </x:c>
      <x:c r="H652" s="84" t="str">
        <x:v>Sábado</x:v>
      </x:c>
      <x:c r="I652" s="85" t="n">
        <x:v>0</x:v>
      </x:c>
    </x:row>
    <x:row r="653">
      <x:c r="A653" s="95" t="n">
        <x:v>45578</x:v>
      </x:c>
      <x:c r="B653" s="84" t="n">
        <x:v>13</x:v>
      </x:c>
      <x:c r="C653" s="84" t="n">
        <x:v>10</x:v>
      </x:c>
      <x:c r="D653" s="84" t="str">
        <x:v>Outubro</x:v>
      </x:c>
      <x:c r="E653" s="84" t="n">
        <x:v>4</x:v>
      </x:c>
      <x:c r="F653" s="84" t="n">
        <x:v>2024</x:v>
      </x:c>
      <x:c r="G653" s="84" t="n">
        <x:v>41</x:v>
      </x:c>
      <x:c r="H653" s="84" t="str">
        <x:v>Domingo</x:v>
      </x:c>
      <x:c r="I653" s="85" t="n">
        <x:v>0</x:v>
      </x:c>
    </x:row>
    <x:row r="654">
      <x:c r="A654" s="95" t="n">
        <x:v>45579</x:v>
      </x:c>
      <x:c r="B654" s="84" t="n">
        <x:v>14</x:v>
      </x:c>
      <x:c r="C654" s="84" t="n">
        <x:v>10</x:v>
      </x:c>
      <x:c r="D654" s="84" t="str">
        <x:v>Outubro</x:v>
      </x:c>
      <x:c r="E654" s="84" t="n">
        <x:v>4</x:v>
      </x:c>
      <x:c r="F654" s="84" t="n">
        <x:v>2024</x:v>
      </x:c>
      <x:c r="G654" s="84" t="n">
        <x:v>42</x:v>
      </x:c>
      <x:c r="H654" s="84" t="str">
        <x:v>Segunda</x:v>
      </x:c>
      <x:c r="I654" s="85" t="n">
        <x:v>1</x:v>
      </x:c>
    </x:row>
    <x:row r="655">
      <x:c r="A655" s="95" t="n">
        <x:v>45580</x:v>
      </x:c>
      <x:c r="B655" s="84" t="n">
        <x:v>15</x:v>
      </x:c>
      <x:c r="C655" s="84" t="n">
        <x:v>10</x:v>
      </x:c>
      <x:c r="D655" s="84" t="str">
        <x:v>Outubro</x:v>
      </x:c>
      <x:c r="E655" s="84" t="n">
        <x:v>4</x:v>
      </x:c>
      <x:c r="F655" s="84" t="n">
        <x:v>2024</x:v>
      </x:c>
      <x:c r="G655" s="84" t="n">
        <x:v>42</x:v>
      </x:c>
      <x:c r="H655" s="84" t="str">
        <x:v>Terça</x:v>
      </x:c>
      <x:c r="I655" s="85" t="n">
        <x:v>1</x:v>
      </x:c>
    </x:row>
    <x:row r="656">
      <x:c r="A656" s="95" t="n">
        <x:v>45581</x:v>
      </x:c>
      <x:c r="B656" s="84" t="n">
        <x:v>16</x:v>
      </x:c>
      <x:c r="C656" s="84" t="n">
        <x:v>10</x:v>
      </x:c>
      <x:c r="D656" s="84" t="str">
        <x:v>Outubro</x:v>
      </x:c>
      <x:c r="E656" s="84" t="n">
        <x:v>4</x:v>
      </x:c>
      <x:c r="F656" s="84" t="n">
        <x:v>2024</x:v>
      </x:c>
      <x:c r="G656" s="84" t="n">
        <x:v>42</x:v>
      </x:c>
      <x:c r="H656" s="84" t="str">
        <x:v>Quarta</x:v>
      </x:c>
      <x:c r="I656" s="85" t="n">
        <x:v>1</x:v>
      </x:c>
    </x:row>
    <x:row r="657">
      <x:c r="A657" s="95" t="n">
        <x:v>45582</x:v>
      </x:c>
      <x:c r="B657" s="84" t="n">
        <x:v>17</x:v>
      </x:c>
      <x:c r="C657" s="84" t="n">
        <x:v>10</x:v>
      </x:c>
      <x:c r="D657" s="84" t="str">
        <x:v>Outubro</x:v>
      </x:c>
      <x:c r="E657" s="84" t="n">
        <x:v>4</x:v>
      </x:c>
      <x:c r="F657" s="84" t="n">
        <x:v>2024</x:v>
      </x:c>
      <x:c r="G657" s="84" t="n">
        <x:v>42</x:v>
      </x:c>
      <x:c r="H657" s="84" t="str">
        <x:v>Quinta</x:v>
      </x:c>
      <x:c r="I657" s="85" t="n">
        <x:v>1</x:v>
      </x:c>
    </x:row>
    <x:row r="658">
      <x:c r="A658" s="95" t="n">
        <x:v>45583</x:v>
      </x:c>
      <x:c r="B658" s="84" t="n">
        <x:v>18</x:v>
      </x:c>
      <x:c r="C658" s="84" t="n">
        <x:v>10</x:v>
      </x:c>
      <x:c r="D658" s="84" t="str">
        <x:v>Outubro</x:v>
      </x:c>
      <x:c r="E658" s="84" t="n">
        <x:v>4</x:v>
      </x:c>
      <x:c r="F658" s="84" t="n">
        <x:v>2024</x:v>
      </x:c>
      <x:c r="G658" s="84" t="n">
        <x:v>42</x:v>
      </x:c>
      <x:c r="H658" s="84" t="str">
        <x:v>Sexta</x:v>
      </x:c>
      <x:c r="I658" s="85" t="n">
        <x:v>1</x:v>
      </x:c>
    </x:row>
    <x:row r="659">
      <x:c r="A659" s="95" t="n">
        <x:v>45584</x:v>
      </x:c>
      <x:c r="B659" s="84" t="n">
        <x:v>19</x:v>
      </x:c>
      <x:c r="C659" s="84" t="n">
        <x:v>10</x:v>
      </x:c>
      <x:c r="D659" s="84" t="str">
        <x:v>Outubro</x:v>
      </x:c>
      <x:c r="E659" s="84" t="n">
        <x:v>4</x:v>
      </x:c>
      <x:c r="F659" s="84" t="n">
        <x:v>2024</x:v>
      </x:c>
      <x:c r="G659" s="84" t="n">
        <x:v>42</x:v>
      </x:c>
      <x:c r="H659" s="84" t="str">
        <x:v>Sábado</x:v>
      </x:c>
      <x:c r="I659" s="85" t="n">
        <x:v>0</x:v>
      </x:c>
    </x:row>
    <x:row r="660">
      <x:c r="A660" s="95" t="n">
        <x:v>45585</x:v>
      </x:c>
      <x:c r="B660" s="84" t="n">
        <x:v>20</x:v>
      </x:c>
      <x:c r="C660" s="84" t="n">
        <x:v>10</x:v>
      </x:c>
      <x:c r="D660" s="84" t="str">
        <x:v>Outubro</x:v>
      </x:c>
      <x:c r="E660" s="84" t="n">
        <x:v>4</x:v>
      </x:c>
      <x:c r="F660" s="84" t="n">
        <x:v>2024</x:v>
      </x:c>
      <x:c r="G660" s="84" t="n">
        <x:v>42</x:v>
      </x:c>
      <x:c r="H660" s="84" t="str">
        <x:v>Domingo</x:v>
      </x:c>
      <x:c r="I660" s="85" t="n">
        <x:v>0</x:v>
      </x:c>
    </x:row>
    <x:row r="661">
      <x:c r="A661" s="95" t="n">
        <x:v>45586</x:v>
      </x:c>
      <x:c r="B661" s="84" t="n">
        <x:v>21</x:v>
      </x:c>
      <x:c r="C661" s="84" t="n">
        <x:v>10</x:v>
      </x:c>
      <x:c r="D661" s="84" t="str">
        <x:v>Outubro</x:v>
      </x:c>
      <x:c r="E661" s="84" t="n">
        <x:v>4</x:v>
      </x:c>
      <x:c r="F661" s="84" t="n">
        <x:v>2024</x:v>
      </x:c>
      <x:c r="G661" s="84" t="n">
        <x:v>43</x:v>
      </x:c>
      <x:c r="H661" s="84" t="str">
        <x:v>Segunda</x:v>
      </x:c>
      <x:c r="I661" s="85" t="n">
        <x:v>1</x:v>
      </x:c>
    </x:row>
    <x:row r="662">
      <x:c r="A662" s="95" t="n">
        <x:v>45587</x:v>
      </x:c>
      <x:c r="B662" s="84" t="n">
        <x:v>22</x:v>
      </x:c>
      <x:c r="C662" s="84" t="n">
        <x:v>10</x:v>
      </x:c>
      <x:c r="D662" s="84" t="str">
        <x:v>Outubro</x:v>
      </x:c>
      <x:c r="E662" s="84" t="n">
        <x:v>4</x:v>
      </x:c>
      <x:c r="F662" s="84" t="n">
        <x:v>2024</x:v>
      </x:c>
      <x:c r="G662" s="84" t="n">
        <x:v>43</x:v>
      </x:c>
      <x:c r="H662" s="84" t="str">
        <x:v>Terça</x:v>
      </x:c>
      <x:c r="I662" s="85" t="n">
        <x:v>1</x:v>
      </x:c>
    </x:row>
    <x:row r="663">
      <x:c r="A663" s="95" t="n">
        <x:v>45588</x:v>
      </x:c>
      <x:c r="B663" s="84" t="n">
        <x:v>23</x:v>
      </x:c>
      <x:c r="C663" s="84" t="n">
        <x:v>10</x:v>
      </x:c>
      <x:c r="D663" s="84" t="str">
        <x:v>Outubro</x:v>
      </x:c>
      <x:c r="E663" s="84" t="n">
        <x:v>4</x:v>
      </x:c>
      <x:c r="F663" s="84" t="n">
        <x:v>2024</x:v>
      </x:c>
      <x:c r="G663" s="84" t="n">
        <x:v>43</x:v>
      </x:c>
      <x:c r="H663" s="84" t="str">
        <x:v>Quarta</x:v>
      </x:c>
      <x:c r="I663" s="85" t="n">
        <x:v>1</x:v>
      </x:c>
    </x:row>
    <x:row r="664">
      <x:c r="A664" s="95" t="n">
        <x:v>45589</x:v>
      </x:c>
      <x:c r="B664" s="84" t="n">
        <x:v>24</x:v>
      </x:c>
      <x:c r="C664" s="84" t="n">
        <x:v>10</x:v>
      </x:c>
      <x:c r="D664" s="84" t="str">
        <x:v>Outubro</x:v>
      </x:c>
      <x:c r="E664" s="84" t="n">
        <x:v>4</x:v>
      </x:c>
      <x:c r="F664" s="84" t="n">
        <x:v>2024</x:v>
      </x:c>
      <x:c r="G664" s="84" t="n">
        <x:v>43</x:v>
      </x:c>
      <x:c r="H664" s="84" t="str">
        <x:v>Quinta</x:v>
      </x:c>
      <x:c r="I664" s="85" t="n">
        <x:v>1</x:v>
      </x:c>
    </x:row>
    <x:row r="665">
      <x:c r="A665" s="95" t="n">
        <x:v>45590</x:v>
      </x:c>
      <x:c r="B665" s="84" t="n">
        <x:v>25</x:v>
      </x:c>
      <x:c r="C665" s="84" t="n">
        <x:v>10</x:v>
      </x:c>
      <x:c r="D665" s="84" t="str">
        <x:v>Outubro</x:v>
      </x:c>
      <x:c r="E665" s="84" t="n">
        <x:v>4</x:v>
      </x:c>
      <x:c r="F665" s="84" t="n">
        <x:v>2024</x:v>
      </x:c>
      <x:c r="G665" s="84" t="n">
        <x:v>43</x:v>
      </x:c>
      <x:c r="H665" s="84" t="str">
        <x:v>Sexta</x:v>
      </x:c>
      <x:c r="I665" s="85" t="n">
        <x:v>1</x:v>
      </x:c>
    </x:row>
    <x:row r="666">
      <x:c r="A666" s="95" t="n">
        <x:v>45591</x:v>
      </x:c>
      <x:c r="B666" s="84" t="n">
        <x:v>26</x:v>
      </x:c>
      <x:c r="C666" s="84" t="n">
        <x:v>10</x:v>
      </x:c>
      <x:c r="D666" s="84" t="str">
        <x:v>Outubro</x:v>
      </x:c>
      <x:c r="E666" s="84" t="n">
        <x:v>4</x:v>
      </x:c>
      <x:c r="F666" s="84" t="n">
        <x:v>2024</x:v>
      </x:c>
      <x:c r="G666" s="84" t="n">
        <x:v>43</x:v>
      </x:c>
      <x:c r="H666" s="84" t="str">
        <x:v>Sábado</x:v>
      </x:c>
      <x:c r="I666" s="85" t="n">
        <x:v>0</x:v>
      </x:c>
    </x:row>
    <x:row r="667">
      <x:c r="A667" s="95" t="n">
        <x:v>45592</x:v>
      </x:c>
      <x:c r="B667" s="84" t="n">
        <x:v>27</x:v>
      </x:c>
      <x:c r="C667" s="84" t="n">
        <x:v>10</x:v>
      </x:c>
      <x:c r="D667" s="84" t="str">
        <x:v>Outubro</x:v>
      </x:c>
      <x:c r="E667" s="84" t="n">
        <x:v>4</x:v>
      </x:c>
      <x:c r="F667" s="84" t="n">
        <x:v>2024</x:v>
      </x:c>
      <x:c r="G667" s="84" t="n">
        <x:v>43</x:v>
      </x:c>
      <x:c r="H667" s="84" t="str">
        <x:v>Domingo</x:v>
      </x:c>
      <x:c r="I667" s="85" t="n">
        <x:v>0</x:v>
      </x:c>
    </x:row>
    <x:row r="668">
      <x:c r="A668" s="95" t="n">
        <x:v>45593</x:v>
      </x:c>
      <x:c r="B668" s="84" t="n">
        <x:v>28</x:v>
      </x:c>
      <x:c r="C668" s="84" t="n">
        <x:v>10</x:v>
      </x:c>
      <x:c r="D668" s="84" t="str">
        <x:v>Outubro</x:v>
      </x:c>
      <x:c r="E668" s="84" t="n">
        <x:v>4</x:v>
      </x:c>
      <x:c r="F668" s="84" t="n">
        <x:v>2024</x:v>
      </x:c>
      <x:c r="G668" s="84" t="n">
        <x:v>44</x:v>
      </x:c>
      <x:c r="H668" s="84" t="str">
        <x:v>Segunda</x:v>
      </x:c>
      <x:c r="I668" s="85" t="n">
        <x:v>1</x:v>
      </x:c>
    </x:row>
    <x:row r="669">
      <x:c r="A669" s="95" t="n">
        <x:v>45594</x:v>
      </x:c>
      <x:c r="B669" s="84" t="n">
        <x:v>29</x:v>
      </x:c>
      <x:c r="C669" s="84" t="n">
        <x:v>10</x:v>
      </x:c>
      <x:c r="D669" s="84" t="str">
        <x:v>Outubro</x:v>
      </x:c>
      <x:c r="E669" s="84" t="n">
        <x:v>4</x:v>
      </x:c>
      <x:c r="F669" s="84" t="n">
        <x:v>2024</x:v>
      </x:c>
      <x:c r="G669" s="84" t="n">
        <x:v>44</x:v>
      </x:c>
      <x:c r="H669" s="84" t="str">
        <x:v>Terça</x:v>
      </x:c>
      <x:c r="I669" s="85" t="n">
        <x:v>1</x:v>
      </x:c>
    </x:row>
    <x:row r="670">
      <x:c r="A670" s="95" t="n">
        <x:v>45595</x:v>
      </x:c>
      <x:c r="B670" s="84" t="n">
        <x:v>30</x:v>
      </x:c>
      <x:c r="C670" s="84" t="n">
        <x:v>10</x:v>
      </x:c>
      <x:c r="D670" s="84" t="str">
        <x:v>Outubro</x:v>
      </x:c>
      <x:c r="E670" s="84" t="n">
        <x:v>4</x:v>
      </x:c>
      <x:c r="F670" s="84" t="n">
        <x:v>2024</x:v>
      </x:c>
      <x:c r="G670" s="84" t="n">
        <x:v>44</x:v>
      </x:c>
      <x:c r="H670" s="84" t="str">
        <x:v>Quarta</x:v>
      </x:c>
      <x:c r="I670" s="85" t="n">
        <x:v>1</x:v>
      </x:c>
    </x:row>
    <x:row r="671">
      <x:c r="A671" s="95" t="n">
        <x:v>45596</x:v>
      </x:c>
      <x:c r="B671" s="84" t="n">
        <x:v>31</x:v>
      </x:c>
      <x:c r="C671" s="84" t="n">
        <x:v>10</x:v>
      </x:c>
      <x:c r="D671" s="84" t="str">
        <x:v>Outubro</x:v>
      </x:c>
      <x:c r="E671" s="84" t="n">
        <x:v>4</x:v>
      </x:c>
      <x:c r="F671" s="84" t="n">
        <x:v>2024</x:v>
      </x:c>
      <x:c r="G671" s="84" t="n">
        <x:v>44</x:v>
      </x:c>
      <x:c r="H671" s="84" t="str">
        <x:v>Quinta</x:v>
      </x:c>
      <x:c r="I671" s="85" t="n">
        <x:v>1</x:v>
      </x:c>
    </x:row>
    <x:row r="672">
      <x:c r="A672" s="95" t="n">
        <x:v>45597</x:v>
      </x:c>
      <x:c r="B672" s="84" t="n">
        <x:v>1</x:v>
      </x:c>
      <x:c r="C672" s="84" t="n">
        <x:v>11</x:v>
      </x:c>
      <x:c r="D672" s="84" t="str">
        <x:v>Novembro</x:v>
      </x:c>
      <x:c r="E672" s="84" t="n">
        <x:v>4</x:v>
      </x:c>
      <x:c r="F672" s="84" t="n">
        <x:v>2024</x:v>
      </x:c>
      <x:c r="G672" s="84" t="n">
        <x:v>44</x:v>
      </x:c>
      <x:c r="H672" s="84" t="str">
        <x:v>Sexta</x:v>
      </x:c>
      <x:c r="I672" s="85" t="n">
        <x:v>1</x:v>
      </x:c>
    </x:row>
    <x:row r="673">
      <x:c r="A673" s="95" t="n">
        <x:v>45598</x:v>
      </x:c>
      <x:c r="B673" s="84" t="n">
        <x:v>2</x:v>
      </x:c>
      <x:c r="C673" s="84" t="n">
        <x:v>11</x:v>
      </x:c>
      <x:c r="D673" s="84" t="str">
        <x:v>Novembro</x:v>
      </x:c>
      <x:c r="E673" s="84" t="n">
        <x:v>4</x:v>
      </x:c>
      <x:c r="F673" s="84" t="n">
        <x:v>2024</x:v>
      </x:c>
      <x:c r="G673" s="84" t="n">
        <x:v>44</x:v>
      </x:c>
      <x:c r="H673" s="84" t="str">
        <x:v>Sábado</x:v>
      </x:c>
      <x:c r="I673" s="85" t="n">
        <x:v>0</x:v>
      </x:c>
    </x:row>
    <x:row r="674">
      <x:c r="A674" s="95" t="n">
        <x:v>45599</x:v>
      </x:c>
      <x:c r="B674" s="84" t="n">
        <x:v>3</x:v>
      </x:c>
      <x:c r="C674" s="84" t="n">
        <x:v>11</x:v>
      </x:c>
      <x:c r="D674" s="84" t="str">
        <x:v>Novembro</x:v>
      </x:c>
      <x:c r="E674" s="84" t="n">
        <x:v>4</x:v>
      </x:c>
      <x:c r="F674" s="84" t="n">
        <x:v>2024</x:v>
      </x:c>
      <x:c r="G674" s="84" t="n">
        <x:v>44</x:v>
      </x:c>
      <x:c r="H674" s="84" t="str">
        <x:v>Domingo</x:v>
      </x:c>
      <x:c r="I674" s="85" t="n">
        <x:v>0</x:v>
      </x:c>
    </x:row>
    <x:row r="675">
      <x:c r="A675" s="95" t="n">
        <x:v>45600</x:v>
      </x:c>
      <x:c r="B675" s="84" t="n">
        <x:v>4</x:v>
      </x:c>
      <x:c r="C675" s="84" t="n">
        <x:v>11</x:v>
      </x:c>
      <x:c r="D675" s="84" t="str">
        <x:v>Novembro</x:v>
      </x:c>
      <x:c r="E675" s="84" t="n">
        <x:v>4</x:v>
      </x:c>
      <x:c r="F675" s="84" t="n">
        <x:v>2024</x:v>
      </x:c>
      <x:c r="G675" s="84" t="n">
        <x:v>45</x:v>
      </x:c>
      <x:c r="H675" s="84" t="str">
        <x:v>Segunda</x:v>
      </x:c>
      <x:c r="I675" s="85" t="n">
        <x:v>1</x:v>
      </x:c>
    </x:row>
    <x:row r="676">
      <x:c r="A676" s="95" t="n">
        <x:v>45601</x:v>
      </x:c>
      <x:c r="B676" s="84" t="n">
        <x:v>5</x:v>
      </x:c>
      <x:c r="C676" s="84" t="n">
        <x:v>11</x:v>
      </x:c>
      <x:c r="D676" s="84" t="str">
        <x:v>Novembro</x:v>
      </x:c>
      <x:c r="E676" s="84" t="n">
        <x:v>4</x:v>
      </x:c>
      <x:c r="F676" s="84" t="n">
        <x:v>2024</x:v>
      </x:c>
      <x:c r="G676" s="84" t="n">
        <x:v>45</x:v>
      </x:c>
      <x:c r="H676" s="84" t="str">
        <x:v>Terça</x:v>
      </x:c>
      <x:c r="I676" s="85" t="n">
        <x:v>1</x:v>
      </x:c>
    </x:row>
    <x:row r="677">
      <x:c r="A677" s="95" t="n">
        <x:v>45602</x:v>
      </x:c>
      <x:c r="B677" s="84" t="n">
        <x:v>6</x:v>
      </x:c>
      <x:c r="C677" s="84" t="n">
        <x:v>11</x:v>
      </x:c>
      <x:c r="D677" s="84" t="str">
        <x:v>Novembro</x:v>
      </x:c>
      <x:c r="E677" s="84" t="n">
        <x:v>4</x:v>
      </x:c>
      <x:c r="F677" s="84" t="n">
        <x:v>2024</x:v>
      </x:c>
      <x:c r="G677" s="84" t="n">
        <x:v>45</x:v>
      </x:c>
      <x:c r="H677" s="84" t="str">
        <x:v>Quarta</x:v>
      </x:c>
      <x:c r="I677" s="85" t="n">
        <x:v>1</x:v>
      </x:c>
    </x:row>
    <x:row r="678">
      <x:c r="A678" s="95" t="n">
        <x:v>45603</x:v>
      </x:c>
      <x:c r="B678" s="84" t="n">
        <x:v>7</x:v>
      </x:c>
      <x:c r="C678" s="84" t="n">
        <x:v>11</x:v>
      </x:c>
      <x:c r="D678" s="84" t="str">
        <x:v>Novembro</x:v>
      </x:c>
      <x:c r="E678" s="84" t="n">
        <x:v>4</x:v>
      </x:c>
      <x:c r="F678" s="84" t="n">
        <x:v>2024</x:v>
      </x:c>
      <x:c r="G678" s="84" t="n">
        <x:v>45</x:v>
      </x:c>
      <x:c r="H678" s="84" t="str">
        <x:v>Quinta</x:v>
      </x:c>
      <x:c r="I678" s="85" t="n">
        <x:v>1</x:v>
      </x:c>
    </x:row>
    <x:row r="679">
      <x:c r="A679" s="95" t="n">
        <x:v>45604</x:v>
      </x:c>
      <x:c r="B679" s="84" t="n">
        <x:v>8</x:v>
      </x:c>
      <x:c r="C679" s="84" t="n">
        <x:v>11</x:v>
      </x:c>
      <x:c r="D679" s="84" t="str">
        <x:v>Novembro</x:v>
      </x:c>
      <x:c r="E679" s="84" t="n">
        <x:v>4</x:v>
      </x:c>
      <x:c r="F679" s="84" t="n">
        <x:v>2024</x:v>
      </x:c>
      <x:c r="G679" s="84" t="n">
        <x:v>45</x:v>
      </x:c>
      <x:c r="H679" s="84" t="str">
        <x:v>Sexta</x:v>
      </x:c>
      <x:c r="I679" s="85" t="n">
        <x:v>1</x:v>
      </x:c>
    </x:row>
    <x:row r="680">
      <x:c r="A680" s="95" t="n">
        <x:v>45605</x:v>
      </x:c>
      <x:c r="B680" s="84" t="n">
        <x:v>9</x:v>
      </x:c>
      <x:c r="C680" s="84" t="n">
        <x:v>11</x:v>
      </x:c>
      <x:c r="D680" s="84" t="str">
        <x:v>Novembro</x:v>
      </x:c>
      <x:c r="E680" s="84" t="n">
        <x:v>4</x:v>
      </x:c>
      <x:c r="F680" s="84" t="n">
        <x:v>2024</x:v>
      </x:c>
      <x:c r="G680" s="84" t="n">
        <x:v>45</x:v>
      </x:c>
      <x:c r="H680" s="84" t="str">
        <x:v>Sábado</x:v>
      </x:c>
      <x:c r="I680" s="85" t="n">
        <x:v>0</x:v>
      </x:c>
    </x:row>
    <x:row r="681">
      <x:c r="A681" s="95" t="n">
        <x:v>45606</x:v>
      </x:c>
      <x:c r="B681" s="84" t="n">
        <x:v>10</x:v>
      </x:c>
      <x:c r="C681" s="84" t="n">
        <x:v>11</x:v>
      </x:c>
      <x:c r="D681" s="84" t="str">
        <x:v>Novembro</x:v>
      </x:c>
      <x:c r="E681" s="84" t="n">
        <x:v>4</x:v>
      </x:c>
      <x:c r="F681" s="84" t="n">
        <x:v>2024</x:v>
      </x:c>
      <x:c r="G681" s="84" t="n">
        <x:v>45</x:v>
      </x:c>
      <x:c r="H681" s="84" t="str">
        <x:v>Domingo</x:v>
      </x:c>
      <x:c r="I681" s="85" t="n">
        <x:v>0</x:v>
      </x:c>
    </x:row>
    <x:row r="682">
      <x:c r="A682" s="95" t="n">
        <x:v>45607</x:v>
      </x:c>
      <x:c r="B682" s="84" t="n">
        <x:v>11</x:v>
      </x:c>
      <x:c r="C682" s="84" t="n">
        <x:v>11</x:v>
      </x:c>
      <x:c r="D682" s="84" t="str">
        <x:v>Novembro</x:v>
      </x:c>
      <x:c r="E682" s="84" t="n">
        <x:v>4</x:v>
      </x:c>
      <x:c r="F682" s="84" t="n">
        <x:v>2024</x:v>
      </x:c>
      <x:c r="G682" s="84" t="n">
        <x:v>46</x:v>
      </x:c>
      <x:c r="H682" s="84" t="str">
        <x:v>Segunda</x:v>
      </x:c>
      <x:c r="I682" s="85" t="n">
        <x:v>1</x:v>
      </x:c>
    </x:row>
    <x:row r="683">
      <x:c r="A683" s="95" t="n">
        <x:v>45608</x:v>
      </x:c>
      <x:c r="B683" s="84" t="n">
        <x:v>12</x:v>
      </x:c>
      <x:c r="C683" s="84" t="n">
        <x:v>11</x:v>
      </x:c>
      <x:c r="D683" s="84" t="str">
        <x:v>Novembro</x:v>
      </x:c>
      <x:c r="E683" s="84" t="n">
        <x:v>4</x:v>
      </x:c>
      <x:c r="F683" s="84" t="n">
        <x:v>2024</x:v>
      </x:c>
      <x:c r="G683" s="84" t="n">
        <x:v>46</x:v>
      </x:c>
      <x:c r="H683" s="84" t="str">
        <x:v>Terça</x:v>
      </x:c>
      <x:c r="I683" s="85" t="n">
        <x:v>1</x:v>
      </x:c>
    </x:row>
    <x:row r="684">
      <x:c r="A684" s="95" t="n">
        <x:v>45609</x:v>
      </x:c>
      <x:c r="B684" s="84" t="n">
        <x:v>13</x:v>
      </x:c>
      <x:c r="C684" s="84" t="n">
        <x:v>11</x:v>
      </x:c>
      <x:c r="D684" s="84" t="str">
        <x:v>Novembro</x:v>
      </x:c>
      <x:c r="E684" s="84" t="n">
        <x:v>4</x:v>
      </x:c>
      <x:c r="F684" s="84" t="n">
        <x:v>2024</x:v>
      </x:c>
      <x:c r="G684" s="84" t="n">
        <x:v>46</x:v>
      </x:c>
      <x:c r="H684" s="84" t="str">
        <x:v>Quarta</x:v>
      </x:c>
      <x:c r="I684" s="85" t="n">
        <x:v>1</x:v>
      </x:c>
    </x:row>
    <x:row r="685">
      <x:c r="A685" s="95" t="n">
        <x:v>45610</x:v>
      </x:c>
      <x:c r="B685" s="84" t="n">
        <x:v>14</x:v>
      </x:c>
      <x:c r="C685" s="84" t="n">
        <x:v>11</x:v>
      </x:c>
      <x:c r="D685" s="84" t="str">
        <x:v>Novembro</x:v>
      </x:c>
      <x:c r="E685" s="84" t="n">
        <x:v>4</x:v>
      </x:c>
      <x:c r="F685" s="84" t="n">
        <x:v>2024</x:v>
      </x:c>
      <x:c r="G685" s="84" t="n">
        <x:v>46</x:v>
      </x:c>
      <x:c r="H685" s="84" t="str">
        <x:v>Quinta</x:v>
      </x:c>
      <x:c r="I685" s="85" t="n">
        <x:v>1</x:v>
      </x:c>
    </x:row>
    <x:row r="686">
      <x:c r="A686" s="95" t="n">
        <x:v>45611</x:v>
      </x:c>
      <x:c r="B686" s="84" t="n">
        <x:v>15</x:v>
      </x:c>
      <x:c r="C686" s="84" t="n">
        <x:v>11</x:v>
      </x:c>
      <x:c r="D686" s="84" t="str">
        <x:v>Novembro</x:v>
      </x:c>
      <x:c r="E686" s="84" t="n">
        <x:v>4</x:v>
      </x:c>
      <x:c r="F686" s="84" t="n">
        <x:v>2024</x:v>
      </x:c>
      <x:c r="G686" s="84" t="n">
        <x:v>46</x:v>
      </x:c>
      <x:c r="H686" s="84" t="str">
        <x:v>Sexta</x:v>
      </x:c>
      <x:c r="I686" s="85" t="n">
        <x:v>1</x:v>
      </x:c>
    </x:row>
    <x:row r="687">
      <x:c r="A687" s="95" t="n">
        <x:v>45612</x:v>
      </x:c>
      <x:c r="B687" s="84" t="n">
        <x:v>16</x:v>
      </x:c>
      <x:c r="C687" s="84" t="n">
        <x:v>11</x:v>
      </x:c>
      <x:c r="D687" s="84" t="str">
        <x:v>Novembro</x:v>
      </x:c>
      <x:c r="E687" s="84" t="n">
        <x:v>4</x:v>
      </x:c>
      <x:c r="F687" s="84" t="n">
        <x:v>2024</x:v>
      </x:c>
      <x:c r="G687" s="84" t="n">
        <x:v>46</x:v>
      </x:c>
      <x:c r="H687" s="84" t="str">
        <x:v>Sábado</x:v>
      </x:c>
      <x:c r="I687" s="85" t="n">
        <x:v>0</x:v>
      </x:c>
    </x:row>
    <x:row r="688">
      <x:c r="A688" s="95" t="n">
        <x:v>45613</x:v>
      </x:c>
      <x:c r="B688" s="84" t="n">
        <x:v>17</x:v>
      </x:c>
      <x:c r="C688" s="84" t="n">
        <x:v>11</x:v>
      </x:c>
      <x:c r="D688" s="84" t="str">
        <x:v>Novembro</x:v>
      </x:c>
      <x:c r="E688" s="84" t="n">
        <x:v>4</x:v>
      </x:c>
      <x:c r="F688" s="84" t="n">
        <x:v>2024</x:v>
      </x:c>
      <x:c r="G688" s="84" t="n">
        <x:v>46</x:v>
      </x:c>
      <x:c r="H688" s="84" t="str">
        <x:v>Domingo</x:v>
      </x:c>
      <x:c r="I688" s="85" t="n">
        <x:v>0</x:v>
      </x:c>
    </x:row>
    <x:row r="689">
      <x:c r="A689" s="95" t="n">
        <x:v>45614</x:v>
      </x:c>
      <x:c r="B689" s="84" t="n">
        <x:v>18</x:v>
      </x:c>
      <x:c r="C689" s="84" t="n">
        <x:v>11</x:v>
      </x:c>
      <x:c r="D689" s="84" t="str">
        <x:v>Novembro</x:v>
      </x:c>
      <x:c r="E689" s="84" t="n">
        <x:v>4</x:v>
      </x:c>
      <x:c r="F689" s="84" t="n">
        <x:v>2024</x:v>
      </x:c>
      <x:c r="G689" s="84" t="n">
        <x:v>47</x:v>
      </x:c>
      <x:c r="H689" s="84" t="str">
        <x:v>Segunda</x:v>
      </x:c>
      <x:c r="I689" s="85" t="n">
        <x:v>1</x:v>
      </x:c>
    </x:row>
    <x:row r="690">
      <x:c r="A690" s="95" t="n">
        <x:v>45615</x:v>
      </x:c>
      <x:c r="B690" s="84" t="n">
        <x:v>19</x:v>
      </x:c>
      <x:c r="C690" s="84" t="n">
        <x:v>11</x:v>
      </x:c>
      <x:c r="D690" s="84" t="str">
        <x:v>Novembro</x:v>
      </x:c>
      <x:c r="E690" s="84" t="n">
        <x:v>4</x:v>
      </x:c>
      <x:c r="F690" s="84" t="n">
        <x:v>2024</x:v>
      </x:c>
      <x:c r="G690" s="84" t="n">
        <x:v>47</x:v>
      </x:c>
      <x:c r="H690" s="84" t="str">
        <x:v>Terça</x:v>
      </x:c>
      <x:c r="I690" s="85" t="n">
        <x:v>1</x:v>
      </x:c>
    </x:row>
    <x:row r="691">
      <x:c r="A691" s="95" t="n">
        <x:v>45616</x:v>
      </x:c>
      <x:c r="B691" s="84" t="n">
        <x:v>20</x:v>
      </x:c>
      <x:c r="C691" s="84" t="n">
        <x:v>11</x:v>
      </x:c>
      <x:c r="D691" s="84" t="str">
        <x:v>Novembro</x:v>
      </x:c>
      <x:c r="E691" s="84" t="n">
        <x:v>4</x:v>
      </x:c>
      <x:c r="F691" s="84" t="n">
        <x:v>2024</x:v>
      </x:c>
      <x:c r="G691" s="84" t="n">
        <x:v>47</x:v>
      </x:c>
      <x:c r="H691" s="84" t="str">
        <x:v>Quarta</x:v>
      </x:c>
      <x:c r="I691" s="85" t="n">
        <x:v>1</x:v>
      </x:c>
    </x:row>
    <x:row r="692">
      <x:c r="A692" s="95" t="n">
        <x:v>45617</x:v>
      </x:c>
      <x:c r="B692" s="84" t="n">
        <x:v>21</x:v>
      </x:c>
      <x:c r="C692" s="84" t="n">
        <x:v>11</x:v>
      </x:c>
      <x:c r="D692" s="84" t="str">
        <x:v>Novembro</x:v>
      </x:c>
      <x:c r="E692" s="84" t="n">
        <x:v>4</x:v>
      </x:c>
      <x:c r="F692" s="84" t="n">
        <x:v>2024</x:v>
      </x:c>
      <x:c r="G692" s="84" t="n">
        <x:v>47</x:v>
      </x:c>
      <x:c r="H692" s="84" t="str">
        <x:v>Quinta</x:v>
      </x:c>
      <x:c r="I692" s="85" t="n">
        <x:v>1</x:v>
      </x:c>
    </x:row>
    <x:row r="693">
      <x:c r="A693" s="95" t="n">
        <x:v>45618</x:v>
      </x:c>
      <x:c r="B693" s="84" t="n">
        <x:v>22</x:v>
      </x:c>
      <x:c r="C693" s="84" t="n">
        <x:v>11</x:v>
      </x:c>
      <x:c r="D693" s="84" t="str">
        <x:v>Novembro</x:v>
      </x:c>
      <x:c r="E693" s="84" t="n">
        <x:v>4</x:v>
      </x:c>
      <x:c r="F693" s="84" t="n">
        <x:v>2024</x:v>
      </x:c>
      <x:c r="G693" s="84" t="n">
        <x:v>47</x:v>
      </x:c>
      <x:c r="H693" s="84" t="str">
        <x:v>Sexta</x:v>
      </x:c>
      <x:c r="I693" s="85" t="n">
        <x:v>1</x:v>
      </x:c>
    </x:row>
    <x:row r="694">
      <x:c r="A694" s="95" t="n">
        <x:v>45619</x:v>
      </x:c>
      <x:c r="B694" s="84" t="n">
        <x:v>23</x:v>
      </x:c>
      <x:c r="C694" s="84" t="n">
        <x:v>11</x:v>
      </x:c>
      <x:c r="D694" s="84" t="str">
        <x:v>Novembro</x:v>
      </x:c>
      <x:c r="E694" s="84" t="n">
        <x:v>4</x:v>
      </x:c>
      <x:c r="F694" s="84" t="n">
        <x:v>2024</x:v>
      </x:c>
      <x:c r="G694" s="84" t="n">
        <x:v>47</x:v>
      </x:c>
      <x:c r="H694" s="84" t="str">
        <x:v>Sábado</x:v>
      </x:c>
      <x:c r="I694" s="85" t="n">
        <x:v>0</x:v>
      </x:c>
    </x:row>
    <x:row r="695">
      <x:c r="A695" s="95" t="n">
        <x:v>45620</x:v>
      </x:c>
      <x:c r="B695" s="84" t="n">
        <x:v>24</x:v>
      </x:c>
      <x:c r="C695" s="84" t="n">
        <x:v>11</x:v>
      </x:c>
      <x:c r="D695" s="84" t="str">
        <x:v>Novembro</x:v>
      </x:c>
      <x:c r="E695" s="84" t="n">
        <x:v>4</x:v>
      </x:c>
      <x:c r="F695" s="84" t="n">
        <x:v>2024</x:v>
      </x:c>
      <x:c r="G695" s="84" t="n">
        <x:v>47</x:v>
      </x:c>
      <x:c r="H695" s="84" t="str">
        <x:v>Domingo</x:v>
      </x:c>
      <x:c r="I695" s="85" t="n">
        <x:v>0</x:v>
      </x:c>
    </x:row>
    <x:row r="696">
      <x:c r="A696" s="95" t="n">
        <x:v>45621</x:v>
      </x:c>
      <x:c r="B696" s="84" t="n">
        <x:v>25</x:v>
      </x:c>
      <x:c r="C696" s="84" t="n">
        <x:v>11</x:v>
      </x:c>
      <x:c r="D696" s="84" t="str">
        <x:v>Novembro</x:v>
      </x:c>
      <x:c r="E696" s="84" t="n">
        <x:v>4</x:v>
      </x:c>
      <x:c r="F696" s="84" t="n">
        <x:v>2024</x:v>
      </x:c>
      <x:c r="G696" s="84" t="n">
        <x:v>48</x:v>
      </x:c>
      <x:c r="H696" s="84" t="str">
        <x:v>Segunda</x:v>
      </x:c>
      <x:c r="I696" s="85" t="n">
        <x:v>1</x:v>
      </x:c>
    </x:row>
    <x:row r="697">
      <x:c r="A697" s="95" t="n">
        <x:v>45622</x:v>
      </x:c>
      <x:c r="B697" s="84" t="n">
        <x:v>26</x:v>
      </x:c>
      <x:c r="C697" s="84" t="n">
        <x:v>11</x:v>
      </x:c>
      <x:c r="D697" s="84" t="str">
        <x:v>Novembro</x:v>
      </x:c>
      <x:c r="E697" s="84" t="n">
        <x:v>4</x:v>
      </x:c>
      <x:c r="F697" s="84" t="n">
        <x:v>2024</x:v>
      </x:c>
      <x:c r="G697" s="84" t="n">
        <x:v>48</x:v>
      </x:c>
      <x:c r="H697" s="84" t="str">
        <x:v>Terça</x:v>
      </x:c>
      <x:c r="I697" s="85" t="n">
        <x:v>1</x:v>
      </x:c>
    </x:row>
    <x:row r="698">
      <x:c r="A698" s="95" t="n">
        <x:v>45623</x:v>
      </x:c>
      <x:c r="B698" s="84" t="n">
        <x:v>27</x:v>
      </x:c>
      <x:c r="C698" s="84" t="n">
        <x:v>11</x:v>
      </x:c>
      <x:c r="D698" s="84" t="str">
        <x:v>Novembro</x:v>
      </x:c>
      <x:c r="E698" s="84" t="n">
        <x:v>4</x:v>
      </x:c>
      <x:c r="F698" s="84" t="n">
        <x:v>2024</x:v>
      </x:c>
      <x:c r="G698" s="84" t="n">
        <x:v>48</x:v>
      </x:c>
      <x:c r="H698" s="84" t="str">
        <x:v>Quarta</x:v>
      </x:c>
      <x:c r="I698" s="85" t="n">
        <x:v>1</x:v>
      </x:c>
    </x:row>
    <x:row r="699">
      <x:c r="A699" s="95" t="n">
        <x:v>45624</x:v>
      </x:c>
      <x:c r="B699" s="84" t="n">
        <x:v>28</x:v>
      </x:c>
      <x:c r="C699" s="84" t="n">
        <x:v>11</x:v>
      </x:c>
      <x:c r="D699" s="84" t="str">
        <x:v>Novembro</x:v>
      </x:c>
      <x:c r="E699" s="84" t="n">
        <x:v>4</x:v>
      </x:c>
      <x:c r="F699" s="84" t="n">
        <x:v>2024</x:v>
      </x:c>
      <x:c r="G699" s="84" t="n">
        <x:v>48</x:v>
      </x:c>
      <x:c r="H699" s="84" t="str">
        <x:v>Quinta</x:v>
      </x:c>
      <x:c r="I699" s="85" t="n">
        <x:v>1</x:v>
      </x:c>
    </x:row>
    <x:row r="700">
      <x:c r="A700" s="95" t="n">
        <x:v>45625</x:v>
      </x:c>
      <x:c r="B700" s="84" t="n">
        <x:v>29</x:v>
      </x:c>
      <x:c r="C700" s="84" t="n">
        <x:v>11</x:v>
      </x:c>
      <x:c r="D700" s="84" t="str">
        <x:v>Novembro</x:v>
      </x:c>
      <x:c r="E700" s="84" t="n">
        <x:v>4</x:v>
      </x:c>
      <x:c r="F700" s="84" t="n">
        <x:v>2024</x:v>
      </x:c>
      <x:c r="G700" s="84" t="n">
        <x:v>48</x:v>
      </x:c>
      <x:c r="H700" s="84" t="str">
        <x:v>Sexta</x:v>
      </x:c>
      <x:c r="I700" s="85" t="n">
        <x:v>1</x:v>
      </x:c>
    </x:row>
    <x:row r="701">
      <x:c r="A701" s="95" t="n">
        <x:v>45626</x:v>
      </x:c>
      <x:c r="B701" s="84" t="n">
        <x:v>30</x:v>
      </x:c>
      <x:c r="C701" s="84" t="n">
        <x:v>11</x:v>
      </x:c>
      <x:c r="D701" s="84" t="str">
        <x:v>Novembro</x:v>
      </x:c>
      <x:c r="E701" s="84" t="n">
        <x:v>4</x:v>
      </x:c>
      <x:c r="F701" s="84" t="n">
        <x:v>2024</x:v>
      </x:c>
      <x:c r="G701" s="84" t="n">
        <x:v>48</x:v>
      </x:c>
      <x:c r="H701" s="84" t="str">
        <x:v>Sábado</x:v>
      </x:c>
      <x:c r="I701" s="85" t="n">
        <x:v>0</x:v>
      </x:c>
    </x:row>
    <x:row r="702">
      <x:c r="A702" s="95" t="n">
        <x:v>45627</x:v>
      </x:c>
      <x:c r="B702" s="84" t="n">
        <x:v>1</x:v>
      </x:c>
      <x:c r="C702" s="84" t="n">
        <x:v>12</x:v>
      </x:c>
      <x:c r="D702" s="84" t="str">
        <x:v>Dezembro</x:v>
      </x:c>
      <x:c r="E702" s="84" t="n">
        <x:v>4</x:v>
      </x:c>
      <x:c r="F702" s="84" t="n">
        <x:v>2024</x:v>
      </x:c>
      <x:c r="G702" s="84" t="n">
        <x:v>48</x:v>
      </x:c>
      <x:c r="H702" s="84" t="str">
        <x:v>Domingo</x:v>
      </x:c>
      <x:c r="I702" s="85" t="n">
        <x:v>0</x:v>
      </x:c>
    </x:row>
    <x:row r="703">
      <x:c r="A703" s="95" t="n">
        <x:v>45628</x:v>
      </x:c>
      <x:c r="B703" s="84" t="n">
        <x:v>2</x:v>
      </x:c>
      <x:c r="C703" s="84" t="n">
        <x:v>12</x:v>
      </x:c>
      <x:c r="D703" s="84" t="str">
        <x:v>Dezembro</x:v>
      </x:c>
      <x:c r="E703" s="84" t="n">
        <x:v>4</x:v>
      </x:c>
      <x:c r="F703" s="84" t="n">
        <x:v>2024</x:v>
      </x:c>
      <x:c r="G703" s="84" t="n">
        <x:v>49</x:v>
      </x:c>
      <x:c r="H703" s="84" t="str">
        <x:v>Segunda</x:v>
      </x:c>
      <x:c r="I703" s="85" t="n">
        <x:v>1</x:v>
      </x:c>
    </x:row>
    <x:row r="704">
      <x:c r="A704" s="95" t="n">
        <x:v>45629</x:v>
      </x:c>
      <x:c r="B704" s="84" t="n">
        <x:v>3</x:v>
      </x:c>
      <x:c r="C704" s="84" t="n">
        <x:v>12</x:v>
      </x:c>
      <x:c r="D704" s="84" t="str">
        <x:v>Dezembro</x:v>
      </x:c>
      <x:c r="E704" s="84" t="n">
        <x:v>4</x:v>
      </x:c>
      <x:c r="F704" s="84" t="n">
        <x:v>2024</x:v>
      </x:c>
      <x:c r="G704" s="84" t="n">
        <x:v>49</x:v>
      </x:c>
      <x:c r="H704" s="84" t="str">
        <x:v>Terça</x:v>
      </x:c>
      <x:c r="I704" s="85" t="n">
        <x:v>1</x:v>
      </x:c>
    </x:row>
    <x:row r="705">
      <x:c r="A705" s="95" t="n">
        <x:v>45630</x:v>
      </x:c>
      <x:c r="B705" s="84" t="n">
        <x:v>4</x:v>
      </x:c>
      <x:c r="C705" s="84" t="n">
        <x:v>12</x:v>
      </x:c>
      <x:c r="D705" s="84" t="str">
        <x:v>Dezembro</x:v>
      </x:c>
      <x:c r="E705" s="84" t="n">
        <x:v>4</x:v>
      </x:c>
      <x:c r="F705" s="84" t="n">
        <x:v>2024</x:v>
      </x:c>
      <x:c r="G705" s="84" t="n">
        <x:v>49</x:v>
      </x:c>
      <x:c r="H705" s="84" t="str">
        <x:v>Quarta</x:v>
      </x:c>
      <x:c r="I705" s="85" t="n">
        <x:v>1</x:v>
      </x:c>
    </x:row>
    <x:row r="706">
      <x:c r="A706" s="95" t="n">
        <x:v>45631</x:v>
      </x:c>
      <x:c r="B706" s="84" t="n">
        <x:v>5</x:v>
      </x:c>
      <x:c r="C706" s="84" t="n">
        <x:v>12</x:v>
      </x:c>
      <x:c r="D706" s="84" t="str">
        <x:v>Dezembro</x:v>
      </x:c>
      <x:c r="E706" s="84" t="n">
        <x:v>4</x:v>
      </x:c>
      <x:c r="F706" s="84" t="n">
        <x:v>2024</x:v>
      </x:c>
      <x:c r="G706" s="84" t="n">
        <x:v>49</x:v>
      </x:c>
      <x:c r="H706" s="84" t="str">
        <x:v>Quinta</x:v>
      </x:c>
      <x:c r="I706" s="85" t="n">
        <x:v>1</x:v>
      </x:c>
    </x:row>
    <x:row r="707">
      <x:c r="A707" s="95" t="n">
        <x:v>45632</x:v>
      </x:c>
      <x:c r="B707" s="84" t="n">
        <x:v>6</x:v>
      </x:c>
      <x:c r="C707" s="84" t="n">
        <x:v>12</x:v>
      </x:c>
      <x:c r="D707" s="84" t="str">
        <x:v>Dezembro</x:v>
      </x:c>
      <x:c r="E707" s="84" t="n">
        <x:v>4</x:v>
      </x:c>
      <x:c r="F707" s="84" t="n">
        <x:v>2024</x:v>
      </x:c>
      <x:c r="G707" s="84" t="n">
        <x:v>49</x:v>
      </x:c>
      <x:c r="H707" s="84" t="str">
        <x:v>Sexta</x:v>
      </x:c>
      <x:c r="I707" s="85" t="n">
        <x:v>1</x:v>
      </x:c>
    </x:row>
    <x:row r="708">
      <x:c r="A708" s="95" t="n">
        <x:v>45633</x:v>
      </x:c>
      <x:c r="B708" s="84" t="n">
        <x:v>7</x:v>
      </x:c>
      <x:c r="C708" s="84" t="n">
        <x:v>12</x:v>
      </x:c>
      <x:c r="D708" s="84" t="str">
        <x:v>Dezembro</x:v>
      </x:c>
      <x:c r="E708" s="84" t="n">
        <x:v>4</x:v>
      </x:c>
      <x:c r="F708" s="84" t="n">
        <x:v>2024</x:v>
      </x:c>
      <x:c r="G708" s="84" t="n">
        <x:v>49</x:v>
      </x:c>
      <x:c r="H708" s="84" t="str">
        <x:v>Sábado</x:v>
      </x:c>
      <x:c r="I708" s="85" t="n">
        <x:v>0</x:v>
      </x:c>
    </x:row>
    <x:row r="709">
      <x:c r="A709" s="95" t="n">
        <x:v>45634</x:v>
      </x:c>
      <x:c r="B709" s="84" t="n">
        <x:v>8</x:v>
      </x:c>
      <x:c r="C709" s="84" t="n">
        <x:v>12</x:v>
      </x:c>
      <x:c r="D709" s="84" t="str">
        <x:v>Dezembro</x:v>
      </x:c>
      <x:c r="E709" s="84" t="n">
        <x:v>4</x:v>
      </x:c>
      <x:c r="F709" s="84" t="n">
        <x:v>2024</x:v>
      </x:c>
      <x:c r="G709" s="84" t="n">
        <x:v>49</x:v>
      </x:c>
      <x:c r="H709" s="84" t="str">
        <x:v>Domingo</x:v>
      </x:c>
      <x:c r="I709" s="85" t="n">
        <x:v>0</x:v>
      </x:c>
    </x:row>
    <x:row r="710">
      <x:c r="A710" s="95" t="n">
        <x:v>45635</x:v>
      </x:c>
      <x:c r="B710" s="84" t="n">
        <x:v>9</x:v>
      </x:c>
      <x:c r="C710" s="84" t="n">
        <x:v>12</x:v>
      </x:c>
      <x:c r="D710" s="84" t="str">
        <x:v>Dezembro</x:v>
      </x:c>
      <x:c r="E710" s="84" t="n">
        <x:v>4</x:v>
      </x:c>
      <x:c r="F710" s="84" t="n">
        <x:v>2024</x:v>
      </x:c>
      <x:c r="G710" s="84" t="n">
        <x:v>50</x:v>
      </x:c>
      <x:c r="H710" s="84" t="str">
        <x:v>Segunda</x:v>
      </x:c>
      <x:c r="I710" s="85" t="n">
        <x:v>1</x:v>
      </x:c>
    </x:row>
    <x:row r="711">
      <x:c r="A711" s="95" t="n">
        <x:v>45636</x:v>
      </x:c>
      <x:c r="B711" s="84" t="n">
        <x:v>10</x:v>
      </x:c>
      <x:c r="C711" s="84" t="n">
        <x:v>12</x:v>
      </x:c>
      <x:c r="D711" s="84" t="str">
        <x:v>Dezembro</x:v>
      </x:c>
      <x:c r="E711" s="84" t="n">
        <x:v>4</x:v>
      </x:c>
      <x:c r="F711" s="84" t="n">
        <x:v>2024</x:v>
      </x:c>
      <x:c r="G711" s="84" t="n">
        <x:v>50</x:v>
      </x:c>
      <x:c r="H711" s="84" t="str">
        <x:v>Terça</x:v>
      </x:c>
      <x:c r="I711" s="85" t="n">
        <x:v>1</x:v>
      </x:c>
    </x:row>
    <x:row r="712">
      <x:c r="A712" s="95" t="n">
        <x:v>45637</x:v>
      </x:c>
      <x:c r="B712" s="84" t="n">
        <x:v>11</x:v>
      </x:c>
      <x:c r="C712" s="84" t="n">
        <x:v>12</x:v>
      </x:c>
      <x:c r="D712" s="84" t="str">
        <x:v>Dezembro</x:v>
      </x:c>
      <x:c r="E712" s="84" t="n">
        <x:v>4</x:v>
      </x:c>
      <x:c r="F712" s="84" t="n">
        <x:v>2024</x:v>
      </x:c>
      <x:c r="G712" s="84" t="n">
        <x:v>50</x:v>
      </x:c>
      <x:c r="H712" s="84" t="str">
        <x:v>Quarta</x:v>
      </x:c>
      <x:c r="I712" s="85" t="n">
        <x:v>1</x:v>
      </x:c>
    </x:row>
    <x:row r="713">
      <x:c r="A713" s="95" t="n">
        <x:v>45638</x:v>
      </x:c>
      <x:c r="B713" s="84" t="n">
        <x:v>12</x:v>
      </x:c>
      <x:c r="C713" s="84" t="n">
        <x:v>12</x:v>
      </x:c>
      <x:c r="D713" s="84" t="str">
        <x:v>Dezembro</x:v>
      </x:c>
      <x:c r="E713" s="84" t="n">
        <x:v>4</x:v>
      </x:c>
      <x:c r="F713" s="84" t="n">
        <x:v>2024</x:v>
      </x:c>
      <x:c r="G713" s="84" t="n">
        <x:v>50</x:v>
      </x:c>
      <x:c r="H713" s="84" t="str">
        <x:v>Quinta</x:v>
      </x:c>
      <x:c r="I713" s="85" t="n">
        <x:v>1</x:v>
      </x:c>
    </x:row>
    <x:row r="714">
      <x:c r="A714" s="95" t="n">
        <x:v>45639</x:v>
      </x:c>
      <x:c r="B714" s="84" t="n">
        <x:v>13</x:v>
      </x:c>
      <x:c r="C714" s="84" t="n">
        <x:v>12</x:v>
      </x:c>
      <x:c r="D714" s="84" t="str">
        <x:v>Dezembro</x:v>
      </x:c>
      <x:c r="E714" s="84" t="n">
        <x:v>4</x:v>
      </x:c>
      <x:c r="F714" s="84" t="n">
        <x:v>2024</x:v>
      </x:c>
      <x:c r="G714" s="84" t="n">
        <x:v>50</x:v>
      </x:c>
      <x:c r="H714" s="84" t="str">
        <x:v>Sexta</x:v>
      </x:c>
      <x:c r="I714" s="85" t="n">
        <x:v>1</x:v>
      </x:c>
    </x:row>
    <x:row r="715">
      <x:c r="A715" s="95" t="n">
        <x:v>45640</x:v>
      </x:c>
      <x:c r="B715" s="84" t="n">
        <x:v>14</x:v>
      </x:c>
      <x:c r="C715" s="84" t="n">
        <x:v>12</x:v>
      </x:c>
      <x:c r="D715" s="84" t="str">
        <x:v>Dezembro</x:v>
      </x:c>
      <x:c r="E715" s="84" t="n">
        <x:v>4</x:v>
      </x:c>
      <x:c r="F715" s="84" t="n">
        <x:v>2024</x:v>
      </x:c>
      <x:c r="G715" s="84" t="n">
        <x:v>50</x:v>
      </x:c>
      <x:c r="H715" s="84" t="str">
        <x:v>Sábado</x:v>
      </x:c>
      <x:c r="I715" s="85" t="n">
        <x:v>0</x:v>
      </x:c>
    </x:row>
    <x:row r="716">
      <x:c r="A716" s="95" t="n">
        <x:v>45641</x:v>
      </x:c>
      <x:c r="B716" s="84" t="n">
        <x:v>15</x:v>
      </x:c>
      <x:c r="C716" s="84" t="n">
        <x:v>12</x:v>
      </x:c>
      <x:c r="D716" s="84" t="str">
        <x:v>Dezembro</x:v>
      </x:c>
      <x:c r="E716" s="84" t="n">
        <x:v>4</x:v>
      </x:c>
      <x:c r="F716" s="84" t="n">
        <x:v>2024</x:v>
      </x:c>
      <x:c r="G716" s="84" t="n">
        <x:v>50</x:v>
      </x:c>
      <x:c r="H716" s="84" t="str">
        <x:v>Domingo</x:v>
      </x:c>
      <x:c r="I716" s="85" t="n">
        <x:v>0</x:v>
      </x:c>
    </x:row>
    <x:row r="717">
      <x:c r="A717" s="95" t="n">
        <x:v>45642</x:v>
      </x:c>
      <x:c r="B717" s="84" t="n">
        <x:v>16</x:v>
      </x:c>
      <x:c r="C717" s="84" t="n">
        <x:v>12</x:v>
      </x:c>
      <x:c r="D717" s="84" t="str">
        <x:v>Dezembro</x:v>
      </x:c>
      <x:c r="E717" s="84" t="n">
        <x:v>4</x:v>
      </x:c>
      <x:c r="F717" s="84" t="n">
        <x:v>2024</x:v>
      </x:c>
      <x:c r="G717" s="84" t="n">
        <x:v>51</x:v>
      </x:c>
      <x:c r="H717" s="84" t="str">
        <x:v>Segunda</x:v>
      </x:c>
      <x:c r="I717" s="85" t="n">
        <x:v>1</x:v>
      </x:c>
    </x:row>
    <x:row r="718">
      <x:c r="A718" s="95" t="n">
        <x:v>45643</x:v>
      </x:c>
      <x:c r="B718" s="84" t="n">
        <x:v>17</x:v>
      </x:c>
      <x:c r="C718" s="84" t="n">
        <x:v>12</x:v>
      </x:c>
      <x:c r="D718" s="84" t="str">
        <x:v>Dezembro</x:v>
      </x:c>
      <x:c r="E718" s="84" t="n">
        <x:v>4</x:v>
      </x:c>
      <x:c r="F718" s="84" t="n">
        <x:v>2024</x:v>
      </x:c>
      <x:c r="G718" s="84" t="n">
        <x:v>51</x:v>
      </x:c>
      <x:c r="H718" s="84" t="str">
        <x:v>Terça</x:v>
      </x:c>
      <x:c r="I718" s="85" t="n">
        <x:v>1</x:v>
      </x:c>
    </x:row>
    <x:row r="719">
      <x:c r="A719" s="95" t="n">
        <x:v>45644</x:v>
      </x:c>
      <x:c r="B719" s="84" t="n">
        <x:v>18</x:v>
      </x:c>
      <x:c r="C719" s="84" t="n">
        <x:v>12</x:v>
      </x:c>
      <x:c r="D719" s="84" t="str">
        <x:v>Dezembro</x:v>
      </x:c>
      <x:c r="E719" s="84" t="n">
        <x:v>4</x:v>
      </x:c>
      <x:c r="F719" s="84" t="n">
        <x:v>2024</x:v>
      </x:c>
      <x:c r="G719" s="84" t="n">
        <x:v>51</x:v>
      </x:c>
      <x:c r="H719" s="84" t="str">
        <x:v>Quarta</x:v>
      </x:c>
      <x:c r="I719" s="85" t="n">
        <x:v>1</x:v>
      </x:c>
    </x:row>
    <x:row r="720">
      <x:c r="A720" s="95" t="n">
        <x:v>45645</x:v>
      </x:c>
      <x:c r="B720" s="84" t="n">
        <x:v>19</x:v>
      </x:c>
      <x:c r="C720" s="84" t="n">
        <x:v>12</x:v>
      </x:c>
      <x:c r="D720" s="84" t="str">
        <x:v>Dezembro</x:v>
      </x:c>
      <x:c r="E720" s="84" t="n">
        <x:v>4</x:v>
      </x:c>
      <x:c r="F720" s="84" t="n">
        <x:v>2024</x:v>
      </x:c>
      <x:c r="G720" s="84" t="n">
        <x:v>51</x:v>
      </x:c>
      <x:c r="H720" s="84" t="str">
        <x:v>Quinta</x:v>
      </x:c>
      <x:c r="I720" s="85" t="n">
        <x:v>1</x:v>
      </x:c>
    </x:row>
    <x:row r="721">
      <x:c r="A721" s="95" t="n">
        <x:v>45646</x:v>
      </x:c>
      <x:c r="B721" s="84" t="n">
        <x:v>20</x:v>
      </x:c>
      <x:c r="C721" s="84" t="n">
        <x:v>12</x:v>
      </x:c>
      <x:c r="D721" s="84" t="str">
        <x:v>Dezembro</x:v>
      </x:c>
      <x:c r="E721" s="84" t="n">
        <x:v>4</x:v>
      </x:c>
      <x:c r="F721" s="84" t="n">
        <x:v>2024</x:v>
      </x:c>
      <x:c r="G721" s="84" t="n">
        <x:v>51</x:v>
      </x:c>
      <x:c r="H721" s="84" t="str">
        <x:v>Sexta</x:v>
      </x:c>
      <x:c r="I721" s="85" t="n">
        <x:v>1</x:v>
      </x:c>
    </x:row>
    <x:row r="722">
      <x:c r="A722" s="95" t="n">
        <x:v>45647</x:v>
      </x:c>
      <x:c r="B722" s="84" t="n">
        <x:v>21</x:v>
      </x:c>
      <x:c r="C722" s="84" t="n">
        <x:v>12</x:v>
      </x:c>
      <x:c r="D722" s="84" t="str">
        <x:v>Dezembro</x:v>
      </x:c>
      <x:c r="E722" s="84" t="n">
        <x:v>4</x:v>
      </x:c>
      <x:c r="F722" s="84" t="n">
        <x:v>2024</x:v>
      </x:c>
      <x:c r="G722" s="84" t="n">
        <x:v>51</x:v>
      </x:c>
      <x:c r="H722" s="84" t="str">
        <x:v>Sábado</x:v>
      </x:c>
      <x:c r="I722" s="85" t="n">
        <x:v>0</x:v>
      </x:c>
    </x:row>
    <x:row r="723">
      <x:c r="A723" s="95" t="n">
        <x:v>45648</x:v>
      </x:c>
      <x:c r="B723" s="84" t="n">
        <x:v>22</x:v>
      </x:c>
      <x:c r="C723" s="84" t="n">
        <x:v>12</x:v>
      </x:c>
      <x:c r="D723" s="84" t="str">
        <x:v>Dezembro</x:v>
      </x:c>
      <x:c r="E723" s="84" t="n">
        <x:v>4</x:v>
      </x:c>
      <x:c r="F723" s="84" t="n">
        <x:v>2024</x:v>
      </x:c>
      <x:c r="G723" s="84" t="n">
        <x:v>51</x:v>
      </x:c>
      <x:c r="H723" s="84" t="str">
        <x:v>Domingo</x:v>
      </x:c>
      <x:c r="I723" s="85" t="n">
        <x:v>0</x:v>
      </x:c>
    </x:row>
    <x:row r="724">
      <x:c r="A724" s="95" t="n">
        <x:v>45649</x:v>
      </x:c>
      <x:c r="B724" s="84" t="n">
        <x:v>23</x:v>
      </x:c>
      <x:c r="C724" s="84" t="n">
        <x:v>12</x:v>
      </x:c>
      <x:c r="D724" s="84" t="str">
        <x:v>Dezembro</x:v>
      </x:c>
      <x:c r="E724" s="84" t="n">
        <x:v>4</x:v>
      </x:c>
      <x:c r="F724" s="84" t="n">
        <x:v>2024</x:v>
      </x:c>
      <x:c r="G724" s="84" t="n">
        <x:v>52</x:v>
      </x:c>
      <x:c r="H724" s="84" t="str">
        <x:v>Segunda</x:v>
      </x:c>
      <x:c r="I724" s="85" t="n">
        <x:v>1</x:v>
      </x:c>
    </x:row>
    <x:row r="725">
      <x:c r="A725" s="95" t="n">
        <x:v>45650</x:v>
      </x:c>
      <x:c r="B725" s="84" t="n">
        <x:v>24</x:v>
      </x:c>
      <x:c r="C725" s="84" t="n">
        <x:v>12</x:v>
      </x:c>
      <x:c r="D725" s="84" t="str">
        <x:v>Dezembro</x:v>
      </x:c>
      <x:c r="E725" s="84" t="n">
        <x:v>4</x:v>
      </x:c>
      <x:c r="F725" s="84" t="n">
        <x:v>2024</x:v>
      </x:c>
      <x:c r="G725" s="84" t="n">
        <x:v>52</x:v>
      </x:c>
      <x:c r="H725" s="84" t="str">
        <x:v>Terça</x:v>
      </x:c>
      <x:c r="I725" s="85" t="n">
        <x:v>1</x:v>
      </x:c>
    </x:row>
    <x:row r="726">
      <x:c r="A726" s="95" t="n">
        <x:v>45651</x:v>
      </x:c>
      <x:c r="B726" s="84" t="n">
        <x:v>25</x:v>
      </x:c>
      <x:c r="C726" s="84" t="n">
        <x:v>12</x:v>
      </x:c>
      <x:c r="D726" s="84" t="str">
        <x:v>Dezembro</x:v>
      </x:c>
      <x:c r="E726" s="84" t="n">
        <x:v>4</x:v>
      </x:c>
      <x:c r="F726" s="84" t="n">
        <x:v>2024</x:v>
      </x:c>
      <x:c r="G726" s="84" t="n">
        <x:v>52</x:v>
      </x:c>
      <x:c r="H726" s="84" t="str">
        <x:v>Quarta</x:v>
      </x:c>
      <x:c r="I726" s="85" t="n">
        <x:v>1</x:v>
      </x:c>
    </x:row>
    <x:row r="727">
      <x:c r="A727" s="95" t="n">
        <x:v>45652</x:v>
      </x:c>
      <x:c r="B727" s="84" t="n">
        <x:v>26</x:v>
      </x:c>
      <x:c r="C727" s="84" t="n">
        <x:v>12</x:v>
      </x:c>
      <x:c r="D727" s="84" t="str">
        <x:v>Dezembro</x:v>
      </x:c>
      <x:c r="E727" s="84" t="n">
        <x:v>4</x:v>
      </x:c>
      <x:c r="F727" s="84" t="n">
        <x:v>2024</x:v>
      </x:c>
      <x:c r="G727" s="84" t="n">
        <x:v>52</x:v>
      </x:c>
      <x:c r="H727" s="84" t="str">
        <x:v>Quinta</x:v>
      </x:c>
      <x:c r="I727" s="85" t="n">
        <x:v>1</x:v>
      </x:c>
    </x:row>
    <x:row r="728">
      <x:c r="A728" s="95" t="n">
        <x:v>45653</x:v>
      </x:c>
      <x:c r="B728" s="84" t="n">
        <x:v>27</x:v>
      </x:c>
      <x:c r="C728" s="84" t="n">
        <x:v>12</x:v>
      </x:c>
      <x:c r="D728" s="84" t="str">
        <x:v>Dezembro</x:v>
      </x:c>
      <x:c r="E728" s="84" t="n">
        <x:v>4</x:v>
      </x:c>
      <x:c r="F728" s="84" t="n">
        <x:v>2024</x:v>
      </x:c>
      <x:c r="G728" s="84" t="n">
        <x:v>52</x:v>
      </x:c>
      <x:c r="H728" s="84" t="str">
        <x:v>Sexta</x:v>
      </x:c>
      <x:c r="I728" s="85" t="n">
        <x:v>1</x:v>
      </x:c>
    </x:row>
    <x:row r="729">
      <x:c r="A729" s="95" t="n">
        <x:v>45654</x:v>
      </x:c>
      <x:c r="B729" s="84" t="n">
        <x:v>28</x:v>
      </x:c>
      <x:c r="C729" s="84" t="n">
        <x:v>12</x:v>
      </x:c>
      <x:c r="D729" s="84" t="str">
        <x:v>Dezembro</x:v>
      </x:c>
      <x:c r="E729" s="84" t="n">
        <x:v>4</x:v>
      </x:c>
      <x:c r="F729" s="84" t="n">
        <x:v>2024</x:v>
      </x:c>
      <x:c r="G729" s="84" t="n">
        <x:v>52</x:v>
      </x:c>
      <x:c r="H729" s="84" t="str">
        <x:v>Sábado</x:v>
      </x:c>
      <x:c r="I729" s="85" t="n">
        <x:v>0</x:v>
      </x:c>
    </x:row>
    <x:row r="730">
      <x:c r="A730" s="95" t="n">
        <x:v>45655</x:v>
      </x:c>
      <x:c r="B730" s="84" t="n">
        <x:v>29</x:v>
      </x:c>
      <x:c r="C730" s="84" t="n">
        <x:v>12</x:v>
      </x:c>
      <x:c r="D730" s="84" t="str">
        <x:v>Dezembro</x:v>
      </x:c>
      <x:c r="E730" s="84" t="n">
        <x:v>4</x:v>
      </x:c>
      <x:c r="F730" s="84" t="n">
        <x:v>2024</x:v>
      </x:c>
      <x:c r="G730" s="84" t="n">
        <x:v>52</x:v>
      </x:c>
      <x:c r="H730" s="84" t="str">
        <x:v>Domingo</x:v>
      </x:c>
      <x:c r="I730" s="85" t="n">
        <x:v>0</x:v>
      </x:c>
    </x:row>
    <x:row r="731">
      <x:c r="A731" s="95" t="n">
        <x:v>45656</x:v>
      </x:c>
      <x:c r="B731" s="84" t="n">
        <x:v>30</x:v>
      </x:c>
      <x:c r="C731" s="84" t="n">
        <x:v>12</x:v>
      </x:c>
      <x:c r="D731" s="84" t="str">
        <x:v>Dezembro</x:v>
      </x:c>
      <x:c r="E731" s="84" t="n">
        <x:v>4</x:v>
      </x:c>
      <x:c r="F731" s="84" t="n">
        <x:v>2024</x:v>
      </x:c>
      <x:c r="G731" s="84" t="n">
        <x:v>1</x:v>
      </x:c>
      <x:c r="H731" s="84" t="str">
        <x:v>Segunda</x:v>
      </x:c>
      <x:c r="I731" s="85" t="n">
        <x:v>1</x:v>
      </x:c>
    </x:row>
    <x:row r="732">
      <x:c r="A732" s="95" t="n">
        <x:v>45657</x:v>
      </x:c>
      <x:c r="B732" s="84" t="n">
        <x:v>31</x:v>
      </x:c>
      <x:c r="C732" s="84" t="n">
        <x:v>12</x:v>
      </x:c>
      <x:c r="D732" s="84" t="str">
        <x:v>Dezembro</x:v>
      </x:c>
      <x:c r="E732" s="84" t="n">
        <x:v>4</x:v>
      </x:c>
      <x:c r="F732" s="84" t="n">
        <x:v>2024</x:v>
      </x:c>
      <x:c r="G732" s="84" t="n">
        <x:v>1</x:v>
      </x:c>
      <x:c r="H732" s="84" t="str">
        <x:v>Terça</x:v>
      </x:c>
      <x:c r="I732" s="85" t="n">
        <x:v>1</x:v>
      </x:c>
    </x:row>
    <x:row r="733">
      <x:c r="A733" s="95" t="n">
        <x:v>45658</x:v>
      </x:c>
      <x:c r="B733" s="84" t="n">
        <x:v>1</x:v>
      </x:c>
      <x:c r="C733" s="84" t="n">
        <x:v>1</x:v>
      </x:c>
      <x:c r="D733" s="84" t="str">
        <x:v>Janeiro</x:v>
      </x:c>
      <x:c r="E733" s="84" t="n">
        <x:v>1</x:v>
      </x:c>
      <x:c r="F733" s="84" t="n">
        <x:v>2025</x:v>
      </x:c>
      <x:c r="G733" s="84" t="n">
        <x:v>1</x:v>
      </x:c>
      <x:c r="H733" s="84" t="str">
        <x:v>Quarta</x:v>
      </x:c>
      <x:c r="I733" s="85" t="n">
        <x:v>1</x:v>
      </x:c>
    </x:row>
    <x:row r="734">
      <x:c r="A734" s="95" t="n">
        <x:v>45659</x:v>
      </x:c>
      <x:c r="B734" s="84" t="n">
        <x:v>2</x:v>
      </x:c>
      <x:c r="C734" s="84" t="n">
        <x:v>1</x:v>
      </x:c>
      <x:c r="D734" s="84" t="str">
        <x:v>Janeiro</x:v>
      </x:c>
      <x:c r="E734" s="84" t="n">
        <x:v>1</x:v>
      </x:c>
      <x:c r="F734" s="84" t="n">
        <x:v>2025</x:v>
      </x:c>
      <x:c r="G734" s="84" t="n">
        <x:v>1</x:v>
      </x:c>
      <x:c r="H734" s="84" t="str">
        <x:v>Quinta</x:v>
      </x:c>
      <x:c r="I734" s="85" t="n">
        <x:v>1</x:v>
      </x:c>
    </x:row>
    <x:row r="735">
      <x:c r="A735" s="95" t="n">
        <x:v>45660</x:v>
      </x:c>
      <x:c r="B735" s="84" t="n">
        <x:v>3</x:v>
      </x:c>
      <x:c r="C735" s="84" t="n">
        <x:v>1</x:v>
      </x:c>
      <x:c r="D735" s="84" t="str">
        <x:v>Janeiro</x:v>
      </x:c>
      <x:c r="E735" s="84" t="n">
        <x:v>1</x:v>
      </x:c>
      <x:c r="F735" s="84" t="n">
        <x:v>2025</x:v>
      </x:c>
      <x:c r="G735" s="84" t="n">
        <x:v>1</x:v>
      </x:c>
      <x:c r="H735" s="84" t="str">
        <x:v>Sexta</x:v>
      </x:c>
      <x:c r="I735" s="85" t="n">
        <x:v>1</x:v>
      </x:c>
    </x:row>
    <x:row r="736">
      <x:c r="A736" s="95" t="n">
        <x:v>45661</x:v>
      </x:c>
      <x:c r="B736" s="84" t="n">
        <x:v>4</x:v>
      </x:c>
      <x:c r="C736" s="84" t="n">
        <x:v>1</x:v>
      </x:c>
      <x:c r="D736" s="84" t="str">
        <x:v>Janeiro</x:v>
      </x:c>
      <x:c r="E736" s="84" t="n">
        <x:v>1</x:v>
      </x:c>
      <x:c r="F736" s="84" t="n">
        <x:v>2025</x:v>
      </x:c>
      <x:c r="G736" s="84" t="n">
        <x:v>1</x:v>
      </x:c>
      <x:c r="H736" s="84" t="str">
        <x:v>Sábado</x:v>
      </x:c>
      <x:c r="I736" s="85" t="n">
        <x:v>0</x:v>
      </x:c>
    </x:row>
    <x:row r="737">
      <x:c r="A737" s="95" t="n">
        <x:v>45662</x:v>
      </x:c>
      <x:c r="B737" s="84" t="n">
        <x:v>5</x:v>
      </x:c>
      <x:c r="C737" s="84" t="n">
        <x:v>1</x:v>
      </x:c>
      <x:c r="D737" s="84" t="str">
        <x:v>Janeiro</x:v>
      </x:c>
      <x:c r="E737" s="84" t="n">
        <x:v>1</x:v>
      </x:c>
      <x:c r="F737" s="84" t="n">
        <x:v>2025</x:v>
      </x:c>
      <x:c r="G737" s="84" t="n">
        <x:v>1</x:v>
      </x:c>
      <x:c r="H737" s="84" t="str">
        <x:v>Domingo</x:v>
      </x:c>
      <x:c r="I737" s="85" t="n">
        <x:v>0</x:v>
      </x:c>
    </x:row>
    <x:row r="738">
      <x:c r="A738" s="95" t="n">
        <x:v>45663</x:v>
      </x:c>
      <x:c r="B738" s="84" t="n">
        <x:v>6</x:v>
      </x:c>
      <x:c r="C738" s="84" t="n">
        <x:v>1</x:v>
      </x:c>
      <x:c r="D738" s="84" t="str">
        <x:v>Janeiro</x:v>
      </x:c>
      <x:c r="E738" s="84" t="n">
        <x:v>1</x:v>
      </x:c>
      <x:c r="F738" s="84" t="n">
        <x:v>2025</x:v>
      </x:c>
      <x:c r="G738" s="84" t="n">
        <x:v>2</x:v>
      </x:c>
      <x:c r="H738" s="84" t="str">
        <x:v>Segunda</x:v>
      </x:c>
      <x:c r="I738" s="85" t="n">
        <x:v>1</x:v>
      </x:c>
    </x:row>
    <x:row r="739">
      <x:c r="A739" s="95" t="n">
        <x:v>45664</x:v>
      </x:c>
      <x:c r="B739" s="84" t="n">
        <x:v>7</x:v>
      </x:c>
      <x:c r="C739" s="84" t="n">
        <x:v>1</x:v>
      </x:c>
      <x:c r="D739" s="84" t="str">
        <x:v>Janeiro</x:v>
      </x:c>
      <x:c r="E739" s="84" t="n">
        <x:v>1</x:v>
      </x:c>
      <x:c r="F739" s="84" t="n">
        <x:v>2025</x:v>
      </x:c>
      <x:c r="G739" s="84" t="n">
        <x:v>2</x:v>
      </x:c>
      <x:c r="H739" s="84" t="str">
        <x:v>Terça</x:v>
      </x:c>
      <x:c r="I739" s="85" t="n">
        <x:v>1</x:v>
      </x:c>
    </x:row>
    <x:row r="740">
      <x:c r="A740" s="95" t="n">
        <x:v>45665</x:v>
      </x:c>
      <x:c r="B740" s="84" t="n">
        <x:v>8</x:v>
      </x:c>
      <x:c r="C740" s="84" t="n">
        <x:v>1</x:v>
      </x:c>
      <x:c r="D740" s="84" t="str">
        <x:v>Janeiro</x:v>
      </x:c>
      <x:c r="E740" s="84" t="n">
        <x:v>1</x:v>
      </x:c>
      <x:c r="F740" s="84" t="n">
        <x:v>2025</x:v>
      </x:c>
      <x:c r="G740" s="84" t="n">
        <x:v>2</x:v>
      </x:c>
      <x:c r="H740" s="84" t="str">
        <x:v>Quarta</x:v>
      </x:c>
      <x:c r="I740" s="85" t="n">
        <x:v>1</x:v>
      </x:c>
    </x:row>
    <x:row r="741">
      <x:c r="A741" s="95" t="n">
        <x:v>45666</x:v>
      </x:c>
      <x:c r="B741" s="84" t="n">
        <x:v>9</x:v>
      </x:c>
      <x:c r="C741" s="84" t="n">
        <x:v>1</x:v>
      </x:c>
      <x:c r="D741" s="84" t="str">
        <x:v>Janeiro</x:v>
      </x:c>
      <x:c r="E741" s="84" t="n">
        <x:v>1</x:v>
      </x:c>
      <x:c r="F741" s="84" t="n">
        <x:v>2025</x:v>
      </x:c>
      <x:c r="G741" s="84" t="n">
        <x:v>2</x:v>
      </x:c>
      <x:c r="H741" s="84" t="str">
        <x:v>Quinta</x:v>
      </x:c>
      <x:c r="I741" s="85" t="n">
        <x:v>1</x:v>
      </x:c>
    </x:row>
    <x:row r="742">
      <x:c r="A742" s="95" t="n">
        <x:v>45667</x:v>
      </x:c>
      <x:c r="B742" s="84" t="n">
        <x:v>10</x:v>
      </x:c>
      <x:c r="C742" s="84" t="n">
        <x:v>1</x:v>
      </x:c>
      <x:c r="D742" s="84" t="str">
        <x:v>Janeiro</x:v>
      </x:c>
      <x:c r="E742" s="84" t="n">
        <x:v>1</x:v>
      </x:c>
      <x:c r="F742" s="84" t="n">
        <x:v>2025</x:v>
      </x:c>
      <x:c r="G742" s="84" t="n">
        <x:v>2</x:v>
      </x:c>
      <x:c r="H742" s="84" t="str">
        <x:v>Sexta</x:v>
      </x:c>
      <x:c r="I742" s="85" t="n">
        <x:v>1</x:v>
      </x:c>
    </x:row>
    <x:row r="743">
      <x:c r="A743" s="95" t="n">
        <x:v>45668</x:v>
      </x:c>
      <x:c r="B743" s="84" t="n">
        <x:v>11</x:v>
      </x:c>
      <x:c r="C743" s="84" t="n">
        <x:v>1</x:v>
      </x:c>
      <x:c r="D743" s="84" t="str">
        <x:v>Janeiro</x:v>
      </x:c>
      <x:c r="E743" s="84" t="n">
        <x:v>1</x:v>
      </x:c>
      <x:c r="F743" s="84" t="n">
        <x:v>2025</x:v>
      </x:c>
      <x:c r="G743" s="84" t="n">
        <x:v>2</x:v>
      </x:c>
      <x:c r="H743" s="84" t="str">
        <x:v>Sábado</x:v>
      </x:c>
      <x:c r="I743" s="85" t="n">
        <x:v>0</x:v>
      </x:c>
    </x:row>
    <x:row r="744">
      <x:c r="A744" s="95" t="n">
        <x:v>45669</x:v>
      </x:c>
      <x:c r="B744" s="84" t="n">
        <x:v>12</x:v>
      </x:c>
      <x:c r="C744" s="84" t="n">
        <x:v>1</x:v>
      </x:c>
      <x:c r="D744" s="84" t="str">
        <x:v>Janeiro</x:v>
      </x:c>
      <x:c r="E744" s="84" t="n">
        <x:v>1</x:v>
      </x:c>
      <x:c r="F744" s="84" t="n">
        <x:v>2025</x:v>
      </x:c>
      <x:c r="G744" s="84" t="n">
        <x:v>2</x:v>
      </x:c>
      <x:c r="H744" s="84" t="str">
        <x:v>Domingo</x:v>
      </x:c>
      <x:c r="I744" s="85" t="n">
        <x:v>0</x:v>
      </x:c>
    </x:row>
    <x:row r="745">
      <x:c r="A745" s="95" t="n">
        <x:v>45670</x:v>
      </x:c>
      <x:c r="B745" s="84" t="n">
        <x:v>13</x:v>
      </x:c>
      <x:c r="C745" s="84" t="n">
        <x:v>1</x:v>
      </x:c>
      <x:c r="D745" s="84" t="str">
        <x:v>Janeiro</x:v>
      </x:c>
      <x:c r="E745" s="84" t="n">
        <x:v>1</x:v>
      </x:c>
      <x:c r="F745" s="84" t="n">
        <x:v>2025</x:v>
      </x:c>
      <x:c r="G745" s="84" t="n">
        <x:v>3</x:v>
      </x:c>
      <x:c r="H745" s="84" t="str">
        <x:v>Segunda</x:v>
      </x:c>
      <x:c r="I745" s="85" t="n">
        <x:v>1</x:v>
      </x:c>
    </x:row>
    <x:row r="746">
      <x:c r="A746" s="95" t="n">
        <x:v>45671</x:v>
      </x:c>
      <x:c r="B746" s="84" t="n">
        <x:v>14</x:v>
      </x:c>
      <x:c r="C746" s="84" t="n">
        <x:v>1</x:v>
      </x:c>
      <x:c r="D746" s="84" t="str">
        <x:v>Janeiro</x:v>
      </x:c>
      <x:c r="E746" s="84" t="n">
        <x:v>1</x:v>
      </x:c>
      <x:c r="F746" s="84" t="n">
        <x:v>2025</x:v>
      </x:c>
      <x:c r="G746" s="84" t="n">
        <x:v>3</x:v>
      </x:c>
      <x:c r="H746" s="84" t="str">
        <x:v>Terça</x:v>
      </x:c>
      <x:c r="I746" s="85" t="n">
        <x:v>1</x:v>
      </x:c>
    </x:row>
    <x:row r="747">
      <x:c r="A747" s="95" t="n">
        <x:v>45672</x:v>
      </x:c>
      <x:c r="B747" s="84" t="n">
        <x:v>15</x:v>
      </x:c>
      <x:c r="C747" s="84" t="n">
        <x:v>1</x:v>
      </x:c>
      <x:c r="D747" s="84" t="str">
        <x:v>Janeiro</x:v>
      </x:c>
      <x:c r="E747" s="84" t="n">
        <x:v>1</x:v>
      </x:c>
      <x:c r="F747" s="84" t="n">
        <x:v>2025</x:v>
      </x:c>
      <x:c r="G747" s="84" t="n">
        <x:v>3</x:v>
      </x:c>
      <x:c r="H747" s="84" t="str">
        <x:v>Quarta</x:v>
      </x:c>
      <x:c r="I747" s="85" t="n">
        <x:v>1</x:v>
      </x:c>
    </x:row>
    <x:row r="748">
      <x:c r="A748" s="95" t="n">
        <x:v>45673</x:v>
      </x:c>
      <x:c r="B748" s="84" t="n">
        <x:v>16</x:v>
      </x:c>
      <x:c r="C748" s="84" t="n">
        <x:v>1</x:v>
      </x:c>
      <x:c r="D748" s="84" t="str">
        <x:v>Janeiro</x:v>
      </x:c>
      <x:c r="E748" s="84" t="n">
        <x:v>1</x:v>
      </x:c>
      <x:c r="F748" s="84" t="n">
        <x:v>2025</x:v>
      </x:c>
      <x:c r="G748" s="84" t="n">
        <x:v>3</x:v>
      </x:c>
      <x:c r="H748" s="84" t="str">
        <x:v>Quinta</x:v>
      </x:c>
      <x:c r="I748" s="85" t="n">
        <x:v>1</x:v>
      </x:c>
    </x:row>
    <x:row r="749">
      <x:c r="A749" s="95" t="n">
        <x:v>45674</x:v>
      </x:c>
      <x:c r="B749" s="84" t="n">
        <x:v>17</x:v>
      </x:c>
      <x:c r="C749" s="84" t="n">
        <x:v>1</x:v>
      </x:c>
      <x:c r="D749" s="84" t="str">
        <x:v>Janeiro</x:v>
      </x:c>
      <x:c r="E749" s="84" t="n">
        <x:v>1</x:v>
      </x:c>
      <x:c r="F749" s="84" t="n">
        <x:v>2025</x:v>
      </x:c>
      <x:c r="G749" s="84" t="n">
        <x:v>3</x:v>
      </x:c>
      <x:c r="H749" s="84" t="str">
        <x:v>Sexta</x:v>
      </x:c>
      <x:c r="I749" s="85" t="n">
        <x:v>1</x:v>
      </x:c>
    </x:row>
    <x:row r="750">
      <x:c r="A750" s="95" t="n">
        <x:v>45675</x:v>
      </x:c>
      <x:c r="B750" s="84" t="n">
        <x:v>18</x:v>
      </x:c>
      <x:c r="C750" s="84" t="n">
        <x:v>1</x:v>
      </x:c>
      <x:c r="D750" s="84" t="str">
        <x:v>Janeiro</x:v>
      </x:c>
      <x:c r="E750" s="84" t="n">
        <x:v>1</x:v>
      </x:c>
      <x:c r="F750" s="84" t="n">
        <x:v>2025</x:v>
      </x:c>
      <x:c r="G750" s="84" t="n">
        <x:v>3</x:v>
      </x:c>
      <x:c r="H750" s="84" t="str">
        <x:v>Sábado</x:v>
      </x:c>
      <x:c r="I750" s="85" t="n">
        <x:v>0</x:v>
      </x:c>
    </x:row>
    <x:row r="751">
      <x:c r="A751" s="95" t="n">
        <x:v>45676</x:v>
      </x:c>
      <x:c r="B751" s="84" t="n">
        <x:v>19</x:v>
      </x:c>
      <x:c r="C751" s="84" t="n">
        <x:v>1</x:v>
      </x:c>
      <x:c r="D751" s="84" t="str">
        <x:v>Janeiro</x:v>
      </x:c>
      <x:c r="E751" s="84" t="n">
        <x:v>1</x:v>
      </x:c>
      <x:c r="F751" s="84" t="n">
        <x:v>2025</x:v>
      </x:c>
      <x:c r="G751" s="84" t="n">
        <x:v>3</x:v>
      </x:c>
      <x:c r="H751" s="84" t="str">
        <x:v>Domingo</x:v>
      </x:c>
      <x:c r="I751" s="85" t="n">
        <x:v>0</x:v>
      </x:c>
    </x:row>
    <x:row r="752">
      <x:c r="A752" s="95" t="n">
        <x:v>45677</x:v>
      </x:c>
      <x:c r="B752" s="84" t="n">
        <x:v>20</x:v>
      </x:c>
      <x:c r="C752" s="84" t="n">
        <x:v>1</x:v>
      </x:c>
      <x:c r="D752" s="84" t="str">
        <x:v>Janeiro</x:v>
      </x:c>
      <x:c r="E752" s="84" t="n">
        <x:v>1</x:v>
      </x:c>
      <x:c r="F752" s="84" t="n">
        <x:v>2025</x:v>
      </x:c>
      <x:c r="G752" s="84" t="n">
        <x:v>4</x:v>
      </x:c>
      <x:c r="H752" s="84" t="str">
        <x:v>Segunda</x:v>
      </x:c>
      <x:c r="I752" s="85" t="n">
        <x:v>1</x:v>
      </x:c>
    </x:row>
    <x:row r="753">
      <x:c r="A753" s="95" t="n">
        <x:v>45678</x:v>
      </x:c>
      <x:c r="B753" s="84" t="n">
        <x:v>21</x:v>
      </x:c>
      <x:c r="C753" s="84" t="n">
        <x:v>1</x:v>
      </x:c>
      <x:c r="D753" s="84" t="str">
        <x:v>Janeiro</x:v>
      </x:c>
      <x:c r="E753" s="84" t="n">
        <x:v>1</x:v>
      </x:c>
      <x:c r="F753" s="84" t="n">
        <x:v>2025</x:v>
      </x:c>
      <x:c r="G753" s="84" t="n">
        <x:v>4</x:v>
      </x:c>
      <x:c r="H753" s="84" t="str">
        <x:v>Terça</x:v>
      </x:c>
      <x:c r="I753" s="85" t="n">
        <x:v>1</x:v>
      </x:c>
    </x:row>
    <x:row r="754">
      <x:c r="A754" s="95" t="n">
        <x:v>45679</x:v>
      </x:c>
      <x:c r="B754" s="84" t="n">
        <x:v>22</x:v>
      </x:c>
      <x:c r="C754" s="84" t="n">
        <x:v>1</x:v>
      </x:c>
      <x:c r="D754" s="84" t="str">
        <x:v>Janeiro</x:v>
      </x:c>
      <x:c r="E754" s="84" t="n">
        <x:v>1</x:v>
      </x:c>
      <x:c r="F754" s="84" t="n">
        <x:v>2025</x:v>
      </x:c>
      <x:c r="G754" s="84" t="n">
        <x:v>4</x:v>
      </x:c>
      <x:c r="H754" s="84" t="str">
        <x:v>Quarta</x:v>
      </x:c>
      <x:c r="I754" s="85" t="n">
        <x:v>1</x:v>
      </x:c>
    </x:row>
    <x:row r="755">
      <x:c r="A755" s="95" t="n">
        <x:v>45680</x:v>
      </x:c>
      <x:c r="B755" s="84" t="n">
        <x:v>23</x:v>
      </x:c>
      <x:c r="C755" s="84" t="n">
        <x:v>1</x:v>
      </x:c>
      <x:c r="D755" s="84" t="str">
        <x:v>Janeiro</x:v>
      </x:c>
      <x:c r="E755" s="84" t="n">
        <x:v>1</x:v>
      </x:c>
      <x:c r="F755" s="84" t="n">
        <x:v>2025</x:v>
      </x:c>
      <x:c r="G755" s="84" t="n">
        <x:v>4</x:v>
      </x:c>
      <x:c r="H755" s="84" t="str">
        <x:v>Quinta</x:v>
      </x:c>
      <x:c r="I755" s="85" t="n">
        <x:v>1</x:v>
      </x:c>
    </x:row>
    <x:row r="756">
      <x:c r="A756" s="95" t="n">
        <x:v>45681</x:v>
      </x:c>
      <x:c r="B756" s="84" t="n">
        <x:v>24</x:v>
      </x:c>
      <x:c r="C756" s="84" t="n">
        <x:v>1</x:v>
      </x:c>
      <x:c r="D756" s="84" t="str">
        <x:v>Janeiro</x:v>
      </x:c>
      <x:c r="E756" s="84" t="n">
        <x:v>1</x:v>
      </x:c>
      <x:c r="F756" s="84" t="n">
        <x:v>2025</x:v>
      </x:c>
      <x:c r="G756" s="84" t="n">
        <x:v>4</x:v>
      </x:c>
      <x:c r="H756" s="84" t="str">
        <x:v>Sexta</x:v>
      </x:c>
      <x:c r="I756" s="85" t="n">
        <x:v>1</x:v>
      </x:c>
    </x:row>
    <x:row r="757">
      <x:c r="A757" s="95" t="n">
        <x:v>45682</x:v>
      </x:c>
      <x:c r="B757" s="84" t="n">
        <x:v>25</x:v>
      </x:c>
      <x:c r="C757" s="84" t="n">
        <x:v>1</x:v>
      </x:c>
      <x:c r="D757" s="84" t="str">
        <x:v>Janeiro</x:v>
      </x:c>
      <x:c r="E757" s="84" t="n">
        <x:v>1</x:v>
      </x:c>
      <x:c r="F757" s="84" t="n">
        <x:v>2025</x:v>
      </x:c>
      <x:c r="G757" s="84" t="n">
        <x:v>4</x:v>
      </x:c>
      <x:c r="H757" s="84" t="str">
        <x:v>Sábado</x:v>
      </x:c>
      <x:c r="I757" s="85" t="n">
        <x:v>0</x:v>
      </x:c>
    </x:row>
    <x:row r="758">
      <x:c r="A758" s="95" t="n">
        <x:v>45683</x:v>
      </x:c>
      <x:c r="B758" s="84" t="n">
        <x:v>26</x:v>
      </x:c>
      <x:c r="C758" s="84" t="n">
        <x:v>1</x:v>
      </x:c>
      <x:c r="D758" s="84" t="str">
        <x:v>Janeiro</x:v>
      </x:c>
      <x:c r="E758" s="84" t="n">
        <x:v>1</x:v>
      </x:c>
      <x:c r="F758" s="84" t="n">
        <x:v>2025</x:v>
      </x:c>
      <x:c r="G758" s="84" t="n">
        <x:v>4</x:v>
      </x:c>
      <x:c r="H758" s="84" t="str">
        <x:v>Domingo</x:v>
      </x:c>
      <x:c r="I758" s="85" t="n">
        <x:v>0</x:v>
      </x:c>
    </x:row>
    <x:row r="759">
      <x:c r="A759" s="95" t="n">
        <x:v>45684</x:v>
      </x:c>
      <x:c r="B759" s="84" t="n">
        <x:v>27</x:v>
      </x:c>
      <x:c r="C759" s="84" t="n">
        <x:v>1</x:v>
      </x:c>
      <x:c r="D759" s="84" t="str">
        <x:v>Janeiro</x:v>
      </x:c>
      <x:c r="E759" s="84" t="n">
        <x:v>1</x:v>
      </x:c>
      <x:c r="F759" s="84" t="n">
        <x:v>2025</x:v>
      </x:c>
      <x:c r="G759" s="84" t="n">
        <x:v>5</x:v>
      </x:c>
      <x:c r="H759" s="84" t="str">
        <x:v>Segunda</x:v>
      </x:c>
      <x:c r="I759" s="85" t="n">
        <x:v>1</x:v>
      </x:c>
    </x:row>
    <x:row r="760">
      <x:c r="A760" s="95" t="n">
        <x:v>45685</x:v>
      </x:c>
      <x:c r="B760" s="84" t="n">
        <x:v>28</x:v>
      </x:c>
      <x:c r="C760" s="84" t="n">
        <x:v>1</x:v>
      </x:c>
      <x:c r="D760" s="84" t="str">
        <x:v>Janeiro</x:v>
      </x:c>
      <x:c r="E760" s="84" t="n">
        <x:v>1</x:v>
      </x:c>
      <x:c r="F760" s="84" t="n">
        <x:v>2025</x:v>
      </x:c>
      <x:c r="G760" s="84" t="n">
        <x:v>5</x:v>
      </x:c>
      <x:c r="H760" s="84" t="str">
        <x:v>Terça</x:v>
      </x:c>
      <x:c r="I760" s="85" t="n">
        <x:v>1</x:v>
      </x:c>
    </x:row>
    <x:row r="761">
      <x:c r="A761" s="95" t="n">
        <x:v>45686</x:v>
      </x:c>
      <x:c r="B761" s="84" t="n">
        <x:v>29</x:v>
      </x:c>
      <x:c r="C761" s="84" t="n">
        <x:v>1</x:v>
      </x:c>
      <x:c r="D761" s="84" t="str">
        <x:v>Janeiro</x:v>
      </x:c>
      <x:c r="E761" s="84" t="n">
        <x:v>1</x:v>
      </x:c>
      <x:c r="F761" s="84" t="n">
        <x:v>2025</x:v>
      </x:c>
      <x:c r="G761" s="84" t="n">
        <x:v>5</x:v>
      </x:c>
      <x:c r="H761" s="84" t="str">
        <x:v>Quarta</x:v>
      </x:c>
      <x:c r="I761" s="85" t="n">
        <x:v>1</x:v>
      </x:c>
    </x:row>
    <x:row r="762">
      <x:c r="A762" s="95" t="n">
        <x:v>45687</x:v>
      </x:c>
      <x:c r="B762" s="84" t="n">
        <x:v>30</x:v>
      </x:c>
      <x:c r="C762" s="84" t="n">
        <x:v>1</x:v>
      </x:c>
      <x:c r="D762" s="84" t="str">
        <x:v>Janeiro</x:v>
      </x:c>
      <x:c r="E762" s="84" t="n">
        <x:v>1</x:v>
      </x:c>
      <x:c r="F762" s="84" t="n">
        <x:v>2025</x:v>
      </x:c>
      <x:c r="G762" s="84" t="n">
        <x:v>5</x:v>
      </x:c>
      <x:c r="H762" s="84" t="str">
        <x:v>Quinta</x:v>
      </x:c>
      <x:c r="I762" s="85" t="n">
        <x:v>1</x:v>
      </x:c>
    </x:row>
    <x:row r="763">
      <x:c r="A763" s="95" t="n">
        <x:v>45688</x:v>
      </x:c>
      <x:c r="B763" s="84" t="n">
        <x:v>31</x:v>
      </x:c>
      <x:c r="C763" s="84" t="n">
        <x:v>1</x:v>
      </x:c>
      <x:c r="D763" s="84" t="str">
        <x:v>Janeiro</x:v>
      </x:c>
      <x:c r="E763" s="84" t="n">
        <x:v>1</x:v>
      </x:c>
      <x:c r="F763" s="84" t="n">
        <x:v>2025</x:v>
      </x:c>
      <x:c r="G763" s="84" t="n">
        <x:v>5</x:v>
      </x:c>
      <x:c r="H763" s="84" t="str">
        <x:v>Sexta</x:v>
      </x:c>
      <x:c r="I763" s="85" t="n">
        <x:v>1</x:v>
      </x:c>
    </x:row>
    <x:row r="764">
      <x:c r="A764" s="95" t="n">
        <x:v>45689</x:v>
      </x:c>
      <x:c r="B764" s="84" t="n">
        <x:v>1</x:v>
      </x:c>
      <x:c r="C764" s="84" t="n">
        <x:v>2</x:v>
      </x:c>
      <x:c r="D764" s="84" t="str">
        <x:v>Fevereiro</x:v>
      </x:c>
      <x:c r="E764" s="84" t="n">
        <x:v>1</x:v>
      </x:c>
      <x:c r="F764" s="84" t="n">
        <x:v>2025</x:v>
      </x:c>
      <x:c r="G764" s="84" t="n">
        <x:v>5</x:v>
      </x:c>
      <x:c r="H764" s="84" t="str">
        <x:v>Sábado</x:v>
      </x:c>
      <x:c r="I764" s="85" t="n">
        <x:v>0</x:v>
      </x:c>
    </x:row>
    <x:row r="765">
      <x:c r="A765" s="95" t="n">
        <x:v>45690</x:v>
      </x:c>
      <x:c r="B765" s="84" t="n">
        <x:v>2</x:v>
      </x:c>
      <x:c r="C765" s="84" t="n">
        <x:v>2</x:v>
      </x:c>
      <x:c r="D765" s="84" t="str">
        <x:v>Fevereiro</x:v>
      </x:c>
      <x:c r="E765" s="84" t="n">
        <x:v>1</x:v>
      </x:c>
      <x:c r="F765" s="84" t="n">
        <x:v>2025</x:v>
      </x:c>
      <x:c r="G765" s="84" t="n">
        <x:v>5</x:v>
      </x:c>
      <x:c r="H765" s="84" t="str">
        <x:v>Domingo</x:v>
      </x:c>
      <x:c r="I765" s="85" t="n">
        <x:v>0</x:v>
      </x:c>
    </x:row>
    <x:row r="766">
      <x:c r="A766" s="95" t="n">
        <x:v>45691</x:v>
      </x:c>
      <x:c r="B766" s="84" t="n">
        <x:v>3</x:v>
      </x:c>
      <x:c r="C766" s="84" t="n">
        <x:v>2</x:v>
      </x:c>
      <x:c r="D766" s="84" t="str">
        <x:v>Fevereiro</x:v>
      </x:c>
      <x:c r="E766" s="84" t="n">
        <x:v>1</x:v>
      </x:c>
      <x:c r="F766" s="84" t="n">
        <x:v>2025</x:v>
      </x:c>
      <x:c r="G766" s="84" t="n">
        <x:v>6</x:v>
      </x:c>
      <x:c r="H766" s="84" t="str">
        <x:v>Segunda</x:v>
      </x:c>
      <x:c r="I766" s="85" t="n">
        <x:v>1</x:v>
      </x:c>
    </x:row>
    <x:row r="767">
      <x:c r="A767" s="95" t="n">
        <x:v>45692</x:v>
      </x:c>
      <x:c r="B767" s="84" t="n">
        <x:v>4</x:v>
      </x:c>
      <x:c r="C767" s="84" t="n">
        <x:v>2</x:v>
      </x:c>
      <x:c r="D767" s="84" t="str">
        <x:v>Fevereiro</x:v>
      </x:c>
      <x:c r="E767" s="84" t="n">
        <x:v>1</x:v>
      </x:c>
      <x:c r="F767" s="84" t="n">
        <x:v>2025</x:v>
      </x:c>
      <x:c r="G767" s="84" t="n">
        <x:v>6</x:v>
      </x:c>
      <x:c r="H767" s="84" t="str">
        <x:v>Terça</x:v>
      </x:c>
      <x:c r="I767" s="85" t="n">
        <x:v>1</x:v>
      </x:c>
    </x:row>
    <x:row r="768">
      <x:c r="A768" s="95" t="n">
        <x:v>45693</x:v>
      </x:c>
      <x:c r="B768" s="84" t="n">
        <x:v>5</x:v>
      </x:c>
      <x:c r="C768" s="84" t="n">
        <x:v>2</x:v>
      </x:c>
      <x:c r="D768" s="84" t="str">
        <x:v>Fevereiro</x:v>
      </x:c>
      <x:c r="E768" s="84" t="n">
        <x:v>1</x:v>
      </x:c>
      <x:c r="F768" s="84" t="n">
        <x:v>2025</x:v>
      </x:c>
      <x:c r="G768" s="84" t="n">
        <x:v>6</x:v>
      </x:c>
      <x:c r="H768" s="84" t="str">
        <x:v>Quarta</x:v>
      </x:c>
      <x:c r="I768" s="85" t="n">
        <x:v>1</x:v>
      </x:c>
    </x:row>
    <x:row r="769">
      <x:c r="A769" s="95" t="n">
        <x:v>45694</x:v>
      </x:c>
      <x:c r="B769" s="84" t="n">
        <x:v>6</x:v>
      </x:c>
      <x:c r="C769" s="84" t="n">
        <x:v>2</x:v>
      </x:c>
      <x:c r="D769" s="84" t="str">
        <x:v>Fevereiro</x:v>
      </x:c>
      <x:c r="E769" s="84" t="n">
        <x:v>1</x:v>
      </x:c>
      <x:c r="F769" s="84" t="n">
        <x:v>2025</x:v>
      </x:c>
      <x:c r="G769" s="84" t="n">
        <x:v>6</x:v>
      </x:c>
      <x:c r="H769" s="84" t="str">
        <x:v>Quinta</x:v>
      </x:c>
      <x:c r="I769" s="85" t="n">
        <x:v>1</x:v>
      </x:c>
    </x:row>
    <x:row r="770">
      <x:c r="A770" s="95" t="n">
        <x:v>45695</x:v>
      </x:c>
      <x:c r="B770" s="84" t="n">
        <x:v>7</x:v>
      </x:c>
      <x:c r="C770" s="84" t="n">
        <x:v>2</x:v>
      </x:c>
      <x:c r="D770" s="84" t="str">
        <x:v>Fevereiro</x:v>
      </x:c>
      <x:c r="E770" s="84" t="n">
        <x:v>1</x:v>
      </x:c>
      <x:c r="F770" s="84" t="n">
        <x:v>2025</x:v>
      </x:c>
      <x:c r="G770" s="84" t="n">
        <x:v>6</x:v>
      </x:c>
      <x:c r="H770" s="84" t="str">
        <x:v>Sexta</x:v>
      </x:c>
      <x:c r="I770" s="85" t="n">
        <x:v>1</x:v>
      </x:c>
    </x:row>
    <x:row r="771">
      <x:c r="A771" s="95" t="n">
        <x:v>45696</x:v>
      </x:c>
      <x:c r="B771" s="84" t="n">
        <x:v>8</x:v>
      </x:c>
      <x:c r="C771" s="84" t="n">
        <x:v>2</x:v>
      </x:c>
      <x:c r="D771" s="84" t="str">
        <x:v>Fevereiro</x:v>
      </x:c>
      <x:c r="E771" s="84" t="n">
        <x:v>1</x:v>
      </x:c>
      <x:c r="F771" s="84" t="n">
        <x:v>2025</x:v>
      </x:c>
      <x:c r="G771" s="84" t="n">
        <x:v>6</x:v>
      </x:c>
      <x:c r="H771" s="84" t="str">
        <x:v>Sábado</x:v>
      </x:c>
      <x:c r="I771" s="85" t="n">
        <x:v>0</x:v>
      </x:c>
    </x:row>
    <x:row r="772">
      <x:c r="A772" s="95" t="n">
        <x:v>45697</x:v>
      </x:c>
      <x:c r="B772" s="84" t="n">
        <x:v>9</x:v>
      </x:c>
      <x:c r="C772" s="84" t="n">
        <x:v>2</x:v>
      </x:c>
      <x:c r="D772" s="84" t="str">
        <x:v>Fevereiro</x:v>
      </x:c>
      <x:c r="E772" s="84" t="n">
        <x:v>1</x:v>
      </x:c>
      <x:c r="F772" s="84" t="n">
        <x:v>2025</x:v>
      </x:c>
      <x:c r="G772" s="84" t="n">
        <x:v>6</x:v>
      </x:c>
      <x:c r="H772" s="84" t="str">
        <x:v>Domingo</x:v>
      </x:c>
      <x:c r="I772" s="85" t="n">
        <x:v>0</x:v>
      </x:c>
    </x:row>
    <x:row r="773">
      <x:c r="A773" s="95" t="n">
        <x:v>45698</x:v>
      </x:c>
      <x:c r="B773" s="84" t="n">
        <x:v>10</x:v>
      </x:c>
      <x:c r="C773" s="84" t="n">
        <x:v>2</x:v>
      </x:c>
      <x:c r="D773" s="84" t="str">
        <x:v>Fevereiro</x:v>
      </x:c>
      <x:c r="E773" s="84" t="n">
        <x:v>1</x:v>
      </x:c>
      <x:c r="F773" s="84" t="n">
        <x:v>2025</x:v>
      </x:c>
      <x:c r="G773" s="84" t="n">
        <x:v>7</x:v>
      </x:c>
      <x:c r="H773" s="84" t="str">
        <x:v>Segunda</x:v>
      </x:c>
      <x:c r="I773" s="85" t="n">
        <x:v>1</x:v>
      </x:c>
    </x:row>
    <x:row r="774">
      <x:c r="A774" s="95" t="n">
        <x:v>45699</x:v>
      </x:c>
      <x:c r="B774" s="84" t="n">
        <x:v>11</x:v>
      </x:c>
      <x:c r="C774" s="84" t="n">
        <x:v>2</x:v>
      </x:c>
      <x:c r="D774" s="84" t="str">
        <x:v>Fevereiro</x:v>
      </x:c>
      <x:c r="E774" s="84" t="n">
        <x:v>1</x:v>
      </x:c>
      <x:c r="F774" s="84" t="n">
        <x:v>2025</x:v>
      </x:c>
      <x:c r="G774" s="84" t="n">
        <x:v>7</x:v>
      </x:c>
      <x:c r="H774" s="84" t="str">
        <x:v>Terça</x:v>
      </x:c>
      <x:c r="I774" s="85" t="n">
        <x:v>1</x:v>
      </x:c>
    </x:row>
    <x:row r="775">
      <x:c r="A775" s="95" t="n">
        <x:v>45700</x:v>
      </x:c>
      <x:c r="B775" s="84" t="n">
        <x:v>12</x:v>
      </x:c>
      <x:c r="C775" s="84" t="n">
        <x:v>2</x:v>
      </x:c>
      <x:c r="D775" s="84" t="str">
        <x:v>Fevereiro</x:v>
      </x:c>
      <x:c r="E775" s="84" t="n">
        <x:v>1</x:v>
      </x:c>
      <x:c r="F775" s="84" t="n">
        <x:v>2025</x:v>
      </x:c>
      <x:c r="G775" s="84" t="n">
        <x:v>7</x:v>
      </x:c>
      <x:c r="H775" s="84" t="str">
        <x:v>Quarta</x:v>
      </x:c>
      <x:c r="I775" s="85" t="n">
        <x:v>1</x:v>
      </x:c>
    </x:row>
    <x:row r="776">
      <x:c r="A776" s="95" t="n">
        <x:v>45701</x:v>
      </x:c>
      <x:c r="B776" s="84" t="n">
        <x:v>13</x:v>
      </x:c>
      <x:c r="C776" s="84" t="n">
        <x:v>2</x:v>
      </x:c>
      <x:c r="D776" s="84" t="str">
        <x:v>Fevereiro</x:v>
      </x:c>
      <x:c r="E776" s="84" t="n">
        <x:v>1</x:v>
      </x:c>
      <x:c r="F776" s="84" t="n">
        <x:v>2025</x:v>
      </x:c>
      <x:c r="G776" s="84" t="n">
        <x:v>7</x:v>
      </x:c>
      <x:c r="H776" s="84" t="str">
        <x:v>Quinta</x:v>
      </x:c>
      <x:c r="I776" s="85" t="n">
        <x:v>1</x:v>
      </x:c>
    </x:row>
    <x:row r="777">
      <x:c r="A777" s="95" t="n">
        <x:v>45702</x:v>
      </x:c>
      <x:c r="B777" s="84" t="n">
        <x:v>14</x:v>
      </x:c>
      <x:c r="C777" s="84" t="n">
        <x:v>2</x:v>
      </x:c>
      <x:c r="D777" s="84" t="str">
        <x:v>Fevereiro</x:v>
      </x:c>
      <x:c r="E777" s="84" t="n">
        <x:v>1</x:v>
      </x:c>
      <x:c r="F777" s="84" t="n">
        <x:v>2025</x:v>
      </x:c>
      <x:c r="G777" s="84" t="n">
        <x:v>7</x:v>
      </x:c>
      <x:c r="H777" s="84" t="str">
        <x:v>Sexta</x:v>
      </x:c>
      <x:c r="I777" s="85" t="n">
        <x:v>1</x:v>
      </x:c>
    </x:row>
    <x:row r="778">
      <x:c r="A778" s="95" t="n">
        <x:v>45703</x:v>
      </x:c>
      <x:c r="B778" s="84" t="n">
        <x:v>15</x:v>
      </x:c>
      <x:c r="C778" s="84" t="n">
        <x:v>2</x:v>
      </x:c>
      <x:c r="D778" s="84" t="str">
        <x:v>Fevereiro</x:v>
      </x:c>
      <x:c r="E778" s="84" t="n">
        <x:v>1</x:v>
      </x:c>
      <x:c r="F778" s="84" t="n">
        <x:v>2025</x:v>
      </x:c>
      <x:c r="G778" s="84" t="n">
        <x:v>7</x:v>
      </x:c>
      <x:c r="H778" s="84" t="str">
        <x:v>Sábado</x:v>
      </x:c>
      <x:c r="I778" s="85" t="n">
        <x:v>0</x:v>
      </x:c>
    </x:row>
    <x:row r="779">
      <x:c r="A779" s="95" t="n">
        <x:v>45704</x:v>
      </x:c>
      <x:c r="B779" s="84" t="n">
        <x:v>16</x:v>
      </x:c>
      <x:c r="C779" s="84" t="n">
        <x:v>2</x:v>
      </x:c>
      <x:c r="D779" s="84" t="str">
        <x:v>Fevereiro</x:v>
      </x:c>
      <x:c r="E779" s="84" t="n">
        <x:v>1</x:v>
      </x:c>
      <x:c r="F779" s="84" t="n">
        <x:v>2025</x:v>
      </x:c>
      <x:c r="G779" s="84" t="n">
        <x:v>7</x:v>
      </x:c>
      <x:c r="H779" s="84" t="str">
        <x:v>Domingo</x:v>
      </x:c>
      <x:c r="I779" s="85" t="n">
        <x:v>0</x:v>
      </x:c>
    </x:row>
    <x:row r="780">
      <x:c r="A780" s="95" t="n">
        <x:v>45705</x:v>
      </x:c>
      <x:c r="B780" s="84" t="n">
        <x:v>17</x:v>
      </x:c>
      <x:c r="C780" s="84" t="n">
        <x:v>2</x:v>
      </x:c>
      <x:c r="D780" s="84" t="str">
        <x:v>Fevereiro</x:v>
      </x:c>
      <x:c r="E780" s="84" t="n">
        <x:v>1</x:v>
      </x:c>
      <x:c r="F780" s="84" t="n">
        <x:v>2025</x:v>
      </x:c>
      <x:c r="G780" s="84" t="n">
        <x:v>8</x:v>
      </x:c>
      <x:c r="H780" s="84" t="str">
        <x:v>Segunda</x:v>
      </x:c>
      <x:c r="I780" s="85" t="n">
        <x:v>1</x:v>
      </x:c>
    </x:row>
    <x:row r="781">
      <x:c r="A781" s="95" t="n">
        <x:v>45706</x:v>
      </x:c>
      <x:c r="B781" s="84" t="n">
        <x:v>18</x:v>
      </x:c>
      <x:c r="C781" s="84" t="n">
        <x:v>2</x:v>
      </x:c>
      <x:c r="D781" s="84" t="str">
        <x:v>Fevereiro</x:v>
      </x:c>
      <x:c r="E781" s="84" t="n">
        <x:v>1</x:v>
      </x:c>
      <x:c r="F781" s="84" t="n">
        <x:v>2025</x:v>
      </x:c>
      <x:c r="G781" s="84" t="n">
        <x:v>8</x:v>
      </x:c>
      <x:c r="H781" s="84" t="str">
        <x:v>Terça</x:v>
      </x:c>
      <x:c r="I781" s="85" t="n">
        <x:v>1</x:v>
      </x:c>
    </x:row>
    <x:row r="782">
      <x:c r="A782" s="95" t="n">
        <x:v>45707</x:v>
      </x:c>
      <x:c r="B782" s="84" t="n">
        <x:v>19</x:v>
      </x:c>
      <x:c r="C782" s="84" t="n">
        <x:v>2</x:v>
      </x:c>
      <x:c r="D782" s="84" t="str">
        <x:v>Fevereiro</x:v>
      </x:c>
      <x:c r="E782" s="84" t="n">
        <x:v>1</x:v>
      </x:c>
      <x:c r="F782" s="84" t="n">
        <x:v>2025</x:v>
      </x:c>
      <x:c r="G782" s="84" t="n">
        <x:v>8</x:v>
      </x:c>
      <x:c r="H782" s="84" t="str">
        <x:v>Quarta</x:v>
      </x:c>
      <x:c r="I782" s="85" t="n">
        <x:v>1</x:v>
      </x:c>
    </x:row>
    <x:row r="783">
      <x:c r="A783" s="95" t="n">
        <x:v>45708</x:v>
      </x:c>
      <x:c r="B783" s="84" t="n">
        <x:v>20</x:v>
      </x:c>
      <x:c r="C783" s="84" t="n">
        <x:v>2</x:v>
      </x:c>
      <x:c r="D783" s="84" t="str">
        <x:v>Fevereiro</x:v>
      </x:c>
      <x:c r="E783" s="84" t="n">
        <x:v>1</x:v>
      </x:c>
      <x:c r="F783" s="84" t="n">
        <x:v>2025</x:v>
      </x:c>
      <x:c r="G783" s="84" t="n">
        <x:v>8</x:v>
      </x:c>
      <x:c r="H783" s="84" t="str">
        <x:v>Quinta</x:v>
      </x:c>
      <x:c r="I783" s="85" t="n">
        <x:v>1</x:v>
      </x:c>
    </x:row>
    <x:row r="784">
      <x:c r="A784" s="95" t="n">
        <x:v>45709</x:v>
      </x:c>
      <x:c r="B784" s="84" t="n">
        <x:v>21</x:v>
      </x:c>
      <x:c r="C784" s="84" t="n">
        <x:v>2</x:v>
      </x:c>
      <x:c r="D784" s="84" t="str">
        <x:v>Fevereiro</x:v>
      </x:c>
      <x:c r="E784" s="84" t="n">
        <x:v>1</x:v>
      </x:c>
      <x:c r="F784" s="84" t="n">
        <x:v>2025</x:v>
      </x:c>
      <x:c r="G784" s="84" t="n">
        <x:v>8</x:v>
      </x:c>
      <x:c r="H784" s="84" t="str">
        <x:v>Sexta</x:v>
      </x:c>
      <x:c r="I784" s="85" t="n">
        <x:v>1</x:v>
      </x:c>
    </x:row>
    <x:row r="785">
      <x:c r="A785" s="95" t="n">
        <x:v>45710</x:v>
      </x:c>
      <x:c r="B785" s="84" t="n">
        <x:v>22</x:v>
      </x:c>
      <x:c r="C785" s="84" t="n">
        <x:v>2</x:v>
      </x:c>
      <x:c r="D785" s="84" t="str">
        <x:v>Fevereiro</x:v>
      </x:c>
      <x:c r="E785" s="84" t="n">
        <x:v>1</x:v>
      </x:c>
      <x:c r="F785" s="84" t="n">
        <x:v>2025</x:v>
      </x:c>
      <x:c r="G785" s="84" t="n">
        <x:v>8</x:v>
      </x:c>
      <x:c r="H785" s="84" t="str">
        <x:v>Sábado</x:v>
      </x:c>
      <x:c r="I785" s="85" t="n">
        <x:v>0</x:v>
      </x:c>
    </x:row>
    <x:row r="786">
      <x:c r="A786" s="95" t="n">
        <x:v>45711</x:v>
      </x:c>
      <x:c r="B786" s="84" t="n">
        <x:v>23</x:v>
      </x:c>
      <x:c r="C786" s="84" t="n">
        <x:v>2</x:v>
      </x:c>
      <x:c r="D786" s="84" t="str">
        <x:v>Fevereiro</x:v>
      </x:c>
      <x:c r="E786" s="84" t="n">
        <x:v>1</x:v>
      </x:c>
      <x:c r="F786" s="84" t="n">
        <x:v>2025</x:v>
      </x:c>
      <x:c r="G786" s="84" t="n">
        <x:v>8</x:v>
      </x:c>
      <x:c r="H786" s="84" t="str">
        <x:v>Domingo</x:v>
      </x:c>
      <x:c r="I786" s="85" t="n">
        <x:v>0</x:v>
      </x:c>
    </x:row>
    <x:row r="787">
      <x:c r="A787" s="95" t="n">
        <x:v>45712</x:v>
      </x:c>
      <x:c r="B787" s="84" t="n">
        <x:v>24</x:v>
      </x:c>
      <x:c r="C787" s="84" t="n">
        <x:v>2</x:v>
      </x:c>
      <x:c r="D787" s="84" t="str">
        <x:v>Fevereiro</x:v>
      </x:c>
      <x:c r="E787" s="84" t="n">
        <x:v>1</x:v>
      </x:c>
      <x:c r="F787" s="84" t="n">
        <x:v>2025</x:v>
      </x:c>
      <x:c r="G787" s="84" t="n">
        <x:v>9</x:v>
      </x:c>
      <x:c r="H787" s="84" t="str">
        <x:v>Segunda</x:v>
      </x:c>
      <x:c r="I787" s="85" t="n">
        <x:v>1</x:v>
      </x:c>
    </x:row>
    <x:row r="788">
      <x:c r="A788" s="95" t="n">
        <x:v>45713</x:v>
      </x:c>
      <x:c r="B788" s="84" t="n">
        <x:v>25</x:v>
      </x:c>
      <x:c r="C788" s="84" t="n">
        <x:v>2</x:v>
      </x:c>
      <x:c r="D788" s="84" t="str">
        <x:v>Fevereiro</x:v>
      </x:c>
      <x:c r="E788" s="84" t="n">
        <x:v>1</x:v>
      </x:c>
      <x:c r="F788" s="84" t="n">
        <x:v>2025</x:v>
      </x:c>
      <x:c r="G788" s="84" t="n">
        <x:v>9</x:v>
      </x:c>
      <x:c r="H788" s="84" t="str">
        <x:v>Terça</x:v>
      </x:c>
      <x:c r="I788" s="85" t="n">
        <x:v>1</x:v>
      </x:c>
    </x:row>
    <x:row r="789">
      <x:c r="A789" s="95" t="n">
        <x:v>45714</x:v>
      </x:c>
      <x:c r="B789" s="84" t="n">
        <x:v>26</x:v>
      </x:c>
      <x:c r="C789" s="84" t="n">
        <x:v>2</x:v>
      </x:c>
      <x:c r="D789" s="84" t="str">
        <x:v>Fevereiro</x:v>
      </x:c>
      <x:c r="E789" s="84" t="n">
        <x:v>1</x:v>
      </x:c>
      <x:c r="F789" s="84" t="n">
        <x:v>2025</x:v>
      </x:c>
      <x:c r="G789" s="84" t="n">
        <x:v>9</x:v>
      </x:c>
      <x:c r="H789" s="84" t="str">
        <x:v>Quarta</x:v>
      </x:c>
      <x:c r="I789" s="85" t="n">
        <x:v>1</x:v>
      </x:c>
    </x:row>
    <x:row r="790">
      <x:c r="A790" s="95" t="n">
        <x:v>45715</x:v>
      </x:c>
      <x:c r="B790" s="84" t="n">
        <x:v>27</x:v>
      </x:c>
      <x:c r="C790" s="84" t="n">
        <x:v>2</x:v>
      </x:c>
      <x:c r="D790" s="84" t="str">
        <x:v>Fevereiro</x:v>
      </x:c>
      <x:c r="E790" s="84" t="n">
        <x:v>1</x:v>
      </x:c>
      <x:c r="F790" s="84" t="n">
        <x:v>2025</x:v>
      </x:c>
      <x:c r="G790" s="84" t="n">
        <x:v>9</x:v>
      </x:c>
      <x:c r="H790" s="84" t="str">
        <x:v>Quinta</x:v>
      </x:c>
      <x:c r="I790" s="85" t="n">
        <x:v>1</x:v>
      </x:c>
    </x:row>
    <x:row r="791">
      <x:c r="A791" s="95" t="n">
        <x:v>45716</x:v>
      </x:c>
      <x:c r="B791" s="84" t="n">
        <x:v>28</x:v>
      </x:c>
      <x:c r="C791" s="84" t="n">
        <x:v>2</x:v>
      </x:c>
      <x:c r="D791" s="84" t="str">
        <x:v>Fevereiro</x:v>
      </x:c>
      <x:c r="E791" s="84" t="n">
        <x:v>1</x:v>
      </x:c>
      <x:c r="F791" s="84" t="n">
        <x:v>2025</x:v>
      </x:c>
      <x:c r="G791" s="84" t="n">
        <x:v>9</x:v>
      </x:c>
      <x:c r="H791" s="84" t="str">
        <x:v>Sexta</x:v>
      </x:c>
      <x:c r="I791" s="85" t="n">
        <x:v>1</x:v>
      </x:c>
    </x:row>
    <x:row r="792">
      <x:c r="A792" s="95" t="n">
        <x:v>45717</x:v>
      </x:c>
      <x:c r="B792" s="84" t="n">
        <x:v>1</x:v>
      </x:c>
      <x:c r="C792" s="84" t="n">
        <x:v>3</x:v>
      </x:c>
      <x:c r="D792" s="84" t="str">
        <x:v>Março</x:v>
      </x:c>
      <x:c r="E792" s="84" t="n">
        <x:v>1</x:v>
      </x:c>
      <x:c r="F792" s="84" t="n">
        <x:v>2025</x:v>
      </x:c>
      <x:c r="G792" s="84" t="n">
        <x:v>9</x:v>
      </x:c>
      <x:c r="H792" s="84" t="str">
        <x:v>Sábado</x:v>
      </x:c>
      <x:c r="I792" s="85" t="n">
        <x:v>0</x:v>
      </x:c>
    </x:row>
    <x:row r="793">
      <x:c r="A793" s="95" t="n">
        <x:v>45718</x:v>
      </x:c>
      <x:c r="B793" s="84" t="n">
        <x:v>2</x:v>
      </x:c>
      <x:c r="C793" s="84" t="n">
        <x:v>3</x:v>
      </x:c>
      <x:c r="D793" s="84" t="str">
        <x:v>Março</x:v>
      </x:c>
      <x:c r="E793" s="84" t="n">
        <x:v>1</x:v>
      </x:c>
      <x:c r="F793" s="84" t="n">
        <x:v>2025</x:v>
      </x:c>
      <x:c r="G793" s="84" t="n">
        <x:v>9</x:v>
      </x:c>
      <x:c r="H793" s="84" t="str">
        <x:v>Domingo</x:v>
      </x:c>
      <x:c r="I793" s="85" t="n">
        <x:v>0</x:v>
      </x:c>
    </x:row>
    <x:row r="794">
      <x:c r="A794" s="95" t="n">
        <x:v>45719</x:v>
      </x:c>
      <x:c r="B794" s="84" t="n">
        <x:v>3</x:v>
      </x:c>
      <x:c r="C794" s="84" t="n">
        <x:v>3</x:v>
      </x:c>
      <x:c r="D794" s="84" t="str">
        <x:v>Março</x:v>
      </x:c>
      <x:c r="E794" s="84" t="n">
        <x:v>1</x:v>
      </x:c>
      <x:c r="F794" s="84" t="n">
        <x:v>2025</x:v>
      </x:c>
      <x:c r="G794" s="84" t="n">
        <x:v>10</x:v>
      </x:c>
      <x:c r="H794" s="84" t="str">
        <x:v>Segunda</x:v>
      </x:c>
      <x:c r="I794" s="85" t="n">
        <x:v>1</x:v>
      </x:c>
    </x:row>
    <x:row r="795">
      <x:c r="A795" s="95" t="n">
        <x:v>45720</x:v>
      </x:c>
      <x:c r="B795" s="84" t="n">
        <x:v>4</x:v>
      </x:c>
      <x:c r="C795" s="84" t="n">
        <x:v>3</x:v>
      </x:c>
      <x:c r="D795" s="84" t="str">
        <x:v>Março</x:v>
      </x:c>
      <x:c r="E795" s="84" t="n">
        <x:v>1</x:v>
      </x:c>
      <x:c r="F795" s="84" t="n">
        <x:v>2025</x:v>
      </x:c>
      <x:c r="G795" s="84" t="n">
        <x:v>10</x:v>
      </x:c>
      <x:c r="H795" s="84" t="str">
        <x:v>Terça</x:v>
      </x:c>
      <x:c r="I795" s="85" t="n">
        <x:v>1</x:v>
      </x:c>
    </x:row>
    <x:row r="796">
      <x:c r="A796" s="95" t="n">
        <x:v>45721</x:v>
      </x:c>
      <x:c r="B796" s="84" t="n">
        <x:v>5</x:v>
      </x:c>
      <x:c r="C796" s="84" t="n">
        <x:v>3</x:v>
      </x:c>
      <x:c r="D796" s="84" t="str">
        <x:v>Março</x:v>
      </x:c>
      <x:c r="E796" s="84" t="n">
        <x:v>1</x:v>
      </x:c>
      <x:c r="F796" s="84" t="n">
        <x:v>2025</x:v>
      </x:c>
      <x:c r="G796" s="84" t="n">
        <x:v>10</x:v>
      </x:c>
      <x:c r="H796" s="84" t="str">
        <x:v>Quarta</x:v>
      </x:c>
      <x:c r="I796" s="85" t="n">
        <x:v>1</x:v>
      </x:c>
    </x:row>
    <x:row r="797">
      <x:c r="A797" s="95" t="n">
        <x:v>45722</x:v>
      </x:c>
      <x:c r="B797" s="84" t="n">
        <x:v>6</x:v>
      </x:c>
      <x:c r="C797" s="84" t="n">
        <x:v>3</x:v>
      </x:c>
      <x:c r="D797" s="84" t="str">
        <x:v>Março</x:v>
      </x:c>
      <x:c r="E797" s="84" t="n">
        <x:v>1</x:v>
      </x:c>
      <x:c r="F797" s="84" t="n">
        <x:v>2025</x:v>
      </x:c>
      <x:c r="G797" s="84" t="n">
        <x:v>10</x:v>
      </x:c>
      <x:c r="H797" s="84" t="str">
        <x:v>Quinta</x:v>
      </x:c>
      <x:c r="I797" s="85" t="n">
        <x:v>1</x:v>
      </x:c>
    </x:row>
    <x:row r="798">
      <x:c r="A798" s="95" t="n">
        <x:v>45723</x:v>
      </x:c>
      <x:c r="B798" s="84" t="n">
        <x:v>7</x:v>
      </x:c>
      <x:c r="C798" s="84" t="n">
        <x:v>3</x:v>
      </x:c>
      <x:c r="D798" s="84" t="str">
        <x:v>Março</x:v>
      </x:c>
      <x:c r="E798" s="84" t="n">
        <x:v>1</x:v>
      </x:c>
      <x:c r="F798" s="84" t="n">
        <x:v>2025</x:v>
      </x:c>
      <x:c r="G798" s="84" t="n">
        <x:v>10</x:v>
      </x:c>
      <x:c r="H798" s="84" t="str">
        <x:v>Sexta</x:v>
      </x:c>
      <x:c r="I798" s="85" t="n">
        <x:v>1</x:v>
      </x:c>
    </x:row>
    <x:row r="799">
      <x:c r="A799" s="95" t="n">
        <x:v>45724</x:v>
      </x:c>
      <x:c r="B799" s="84" t="n">
        <x:v>8</x:v>
      </x:c>
      <x:c r="C799" s="84" t="n">
        <x:v>3</x:v>
      </x:c>
      <x:c r="D799" s="84" t="str">
        <x:v>Março</x:v>
      </x:c>
      <x:c r="E799" s="84" t="n">
        <x:v>1</x:v>
      </x:c>
      <x:c r="F799" s="84" t="n">
        <x:v>2025</x:v>
      </x:c>
      <x:c r="G799" s="84" t="n">
        <x:v>10</x:v>
      </x:c>
      <x:c r="H799" s="84" t="str">
        <x:v>Sábado</x:v>
      </x:c>
      <x:c r="I799" s="85" t="n">
        <x:v>0</x:v>
      </x:c>
    </x:row>
    <x:row r="800">
      <x:c r="A800" s="95" t="n">
        <x:v>45725</x:v>
      </x:c>
      <x:c r="B800" s="84" t="n">
        <x:v>9</x:v>
      </x:c>
      <x:c r="C800" s="84" t="n">
        <x:v>3</x:v>
      </x:c>
      <x:c r="D800" s="84" t="str">
        <x:v>Março</x:v>
      </x:c>
      <x:c r="E800" s="84" t="n">
        <x:v>1</x:v>
      </x:c>
      <x:c r="F800" s="84" t="n">
        <x:v>2025</x:v>
      </x:c>
      <x:c r="G800" s="84" t="n">
        <x:v>10</x:v>
      </x:c>
      <x:c r="H800" s="84" t="str">
        <x:v>Domingo</x:v>
      </x:c>
      <x:c r="I800" s="85" t="n">
        <x:v>0</x:v>
      </x:c>
    </x:row>
    <x:row r="801">
      <x:c r="A801" s="95" t="n">
        <x:v>45726</x:v>
      </x:c>
      <x:c r="B801" s="84" t="n">
        <x:v>10</x:v>
      </x:c>
      <x:c r="C801" s="84" t="n">
        <x:v>3</x:v>
      </x:c>
      <x:c r="D801" s="84" t="str">
        <x:v>Março</x:v>
      </x:c>
      <x:c r="E801" s="84" t="n">
        <x:v>1</x:v>
      </x:c>
      <x:c r="F801" s="84" t="n">
        <x:v>2025</x:v>
      </x:c>
      <x:c r="G801" s="84" t="n">
        <x:v>11</x:v>
      </x:c>
      <x:c r="H801" s="84" t="str">
        <x:v>Segunda</x:v>
      </x:c>
      <x:c r="I801" s="85" t="n">
        <x:v>1</x:v>
      </x:c>
    </x:row>
    <x:row r="802">
      <x:c r="A802" s="95" t="n">
        <x:v>45727</x:v>
      </x:c>
      <x:c r="B802" s="84" t="n">
        <x:v>11</x:v>
      </x:c>
      <x:c r="C802" s="84" t="n">
        <x:v>3</x:v>
      </x:c>
      <x:c r="D802" s="84" t="str">
        <x:v>Março</x:v>
      </x:c>
      <x:c r="E802" s="84" t="n">
        <x:v>1</x:v>
      </x:c>
      <x:c r="F802" s="84" t="n">
        <x:v>2025</x:v>
      </x:c>
      <x:c r="G802" s="84" t="n">
        <x:v>11</x:v>
      </x:c>
      <x:c r="H802" s="84" t="str">
        <x:v>Terça</x:v>
      </x:c>
      <x:c r="I802" s="85" t="n">
        <x:v>1</x:v>
      </x:c>
    </x:row>
    <x:row r="803">
      <x:c r="A803" s="95" t="n">
        <x:v>45728</x:v>
      </x:c>
      <x:c r="B803" s="84" t="n">
        <x:v>12</x:v>
      </x:c>
      <x:c r="C803" s="84" t="n">
        <x:v>3</x:v>
      </x:c>
      <x:c r="D803" s="84" t="str">
        <x:v>Março</x:v>
      </x:c>
      <x:c r="E803" s="84" t="n">
        <x:v>1</x:v>
      </x:c>
      <x:c r="F803" s="84" t="n">
        <x:v>2025</x:v>
      </x:c>
      <x:c r="G803" s="84" t="n">
        <x:v>11</x:v>
      </x:c>
      <x:c r="H803" s="84" t="str">
        <x:v>Quarta</x:v>
      </x:c>
      <x:c r="I803" s="85" t="n">
        <x:v>1</x:v>
      </x:c>
    </x:row>
    <x:row r="804">
      <x:c r="A804" s="95" t="n">
        <x:v>45729</x:v>
      </x:c>
      <x:c r="B804" s="84" t="n">
        <x:v>13</x:v>
      </x:c>
      <x:c r="C804" s="84" t="n">
        <x:v>3</x:v>
      </x:c>
      <x:c r="D804" s="84" t="str">
        <x:v>Março</x:v>
      </x:c>
      <x:c r="E804" s="84" t="n">
        <x:v>1</x:v>
      </x:c>
      <x:c r="F804" s="84" t="n">
        <x:v>2025</x:v>
      </x:c>
      <x:c r="G804" s="84" t="n">
        <x:v>11</x:v>
      </x:c>
      <x:c r="H804" s="84" t="str">
        <x:v>Quinta</x:v>
      </x:c>
      <x:c r="I804" s="85" t="n">
        <x:v>1</x:v>
      </x:c>
    </x:row>
    <x:row r="805">
      <x:c r="A805" s="95" t="n">
        <x:v>45730</x:v>
      </x:c>
      <x:c r="B805" s="84" t="n">
        <x:v>14</x:v>
      </x:c>
      <x:c r="C805" s="84" t="n">
        <x:v>3</x:v>
      </x:c>
      <x:c r="D805" s="84" t="str">
        <x:v>Março</x:v>
      </x:c>
      <x:c r="E805" s="84" t="n">
        <x:v>1</x:v>
      </x:c>
      <x:c r="F805" s="84" t="n">
        <x:v>2025</x:v>
      </x:c>
      <x:c r="G805" s="84" t="n">
        <x:v>11</x:v>
      </x:c>
      <x:c r="H805" s="84" t="str">
        <x:v>Sexta</x:v>
      </x:c>
      <x:c r="I805" s="85" t="n">
        <x:v>1</x:v>
      </x:c>
    </x:row>
    <x:row r="806">
      <x:c r="A806" s="95" t="n">
        <x:v>45731</x:v>
      </x:c>
      <x:c r="B806" s="84" t="n">
        <x:v>15</x:v>
      </x:c>
      <x:c r="C806" s="84" t="n">
        <x:v>3</x:v>
      </x:c>
      <x:c r="D806" s="84" t="str">
        <x:v>Março</x:v>
      </x:c>
      <x:c r="E806" s="84" t="n">
        <x:v>1</x:v>
      </x:c>
      <x:c r="F806" s="84" t="n">
        <x:v>2025</x:v>
      </x:c>
      <x:c r="G806" s="84" t="n">
        <x:v>11</x:v>
      </x:c>
      <x:c r="H806" s="84" t="str">
        <x:v>Sábado</x:v>
      </x:c>
      <x:c r="I806" s="85" t="n">
        <x:v>0</x:v>
      </x:c>
    </x:row>
    <x:row r="807">
      <x:c r="A807" s="95" t="n">
        <x:v>45732</x:v>
      </x:c>
      <x:c r="B807" s="84" t="n">
        <x:v>16</x:v>
      </x:c>
      <x:c r="C807" s="84" t="n">
        <x:v>3</x:v>
      </x:c>
      <x:c r="D807" s="84" t="str">
        <x:v>Março</x:v>
      </x:c>
      <x:c r="E807" s="84" t="n">
        <x:v>1</x:v>
      </x:c>
      <x:c r="F807" s="84" t="n">
        <x:v>2025</x:v>
      </x:c>
      <x:c r="G807" s="84" t="n">
        <x:v>11</x:v>
      </x:c>
      <x:c r="H807" s="84" t="str">
        <x:v>Domingo</x:v>
      </x:c>
      <x:c r="I807" s="85" t="n">
        <x:v>0</x:v>
      </x:c>
    </x:row>
    <x:row r="808">
      <x:c r="A808" s="95" t="n">
        <x:v>45733</x:v>
      </x:c>
      <x:c r="B808" s="84" t="n">
        <x:v>17</x:v>
      </x:c>
      <x:c r="C808" s="84" t="n">
        <x:v>3</x:v>
      </x:c>
      <x:c r="D808" s="84" t="str">
        <x:v>Março</x:v>
      </x:c>
      <x:c r="E808" s="84" t="n">
        <x:v>1</x:v>
      </x:c>
      <x:c r="F808" s="84" t="n">
        <x:v>2025</x:v>
      </x:c>
      <x:c r="G808" s="84" t="n">
        <x:v>12</x:v>
      </x:c>
      <x:c r="H808" s="84" t="str">
        <x:v>Segunda</x:v>
      </x:c>
      <x:c r="I808" s="85" t="n">
        <x:v>1</x:v>
      </x:c>
    </x:row>
    <x:row r="809">
      <x:c r="A809" s="95" t="n">
        <x:v>45734</x:v>
      </x:c>
      <x:c r="B809" s="84" t="n">
        <x:v>18</x:v>
      </x:c>
      <x:c r="C809" s="84" t="n">
        <x:v>3</x:v>
      </x:c>
      <x:c r="D809" s="84" t="str">
        <x:v>Março</x:v>
      </x:c>
      <x:c r="E809" s="84" t="n">
        <x:v>1</x:v>
      </x:c>
      <x:c r="F809" s="84" t="n">
        <x:v>2025</x:v>
      </x:c>
      <x:c r="G809" s="84" t="n">
        <x:v>12</x:v>
      </x:c>
      <x:c r="H809" s="84" t="str">
        <x:v>Terça</x:v>
      </x:c>
      <x:c r="I809" s="85" t="n">
        <x:v>1</x:v>
      </x:c>
    </x:row>
    <x:row r="810">
      <x:c r="A810" s="95" t="n">
        <x:v>45735</x:v>
      </x:c>
      <x:c r="B810" s="84" t="n">
        <x:v>19</x:v>
      </x:c>
      <x:c r="C810" s="84" t="n">
        <x:v>3</x:v>
      </x:c>
      <x:c r="D810" s="84" t="str">
        <x:v>Março</x:v>
      </x:c>
      <x:c r="E810" s="84" t="n">
        <x:v>1</x:v>
      </x:c>
      <x:c r="F810" s="84" t="n">
        <x:v>2025</x:v>
      </x:c>
      <x:c r="G810" s="84" t="n">
        <x:v>12</x:v>
      </x:c>
      <x:c r="H810" s="84" t="str">
        <x:v>Quarta</x:v>
      </x:c>
      <x:c r="I810" s="85" t="n">
        <x:v>1</x:v>
      </x:c>
    </x:row>
    <x:row r="811">
      <x:c r="A811" s="95" t="n">
        <x:v>45736</x:v>
      </x:c>
      <x:c r="B811" s="84" t="n">
        <x:v>20</x:v>
      </x:c>
      <x:c r="C811" s="84" t="n">
        <x:v>3</x:v>
      </x:c>
      <x:c r="D811" s="84" t="str">
        <x:v>Março</x:v>
      </x:c>
      <x:c r="E811" s="84" t="n">
        <x:v>1</x:v>
      </x:c>
      <x:c r="F811" s="84" t="n">
        <x:v>2025</x:v>
      </x:c>
      <x:c r="G811" s="84" t="n">
        <x:v>12</x:v>
      </x:c>
      <x:c r="H811" s="84" t="str">
        <x:v>Quinta</x:v>
      </x:c>
      <x:c r="I811" s="85" t="n">
        <x:v>1</x:v>
      </x:c>
    </x:row>
    <x:row r="812">
      <x:c r="A812" s="95" t="n">
        <x:v>45737</x:v>
      </x:c>
      <x:c r="B812" s="84" t="n">
        <x:v>21</x:v>
      </x:c>
      <x:c r="C812" s="84" t="n">
        <x:v>3</x:v>
      </x:c>
      <x:c r="D812" s="84" t="str">
        <x:v>Março</x:v>
      </x:c>
      <x:c r="E812" s="84" t="n">
        <x:v>1</x:v>
      </x:c>
      <x:c r="F812" s="84" t="n">
        <x:v>2025</x:v>
      </x:c>
      <x:c r="G812" s="84" t="n">
        <x:v>12</x:v>
      </x:c>
      <x:c r="H812" s="84" t="str">
        <x:v>Sexta</x:v>
      </x:c>
      <x:c r="I812" s="85" t="n">
        <x:v>1</x:v>
      </x:c>
    </x:row>
    <x:row r="813">
      <x:c r="A813" s="95" t="n">
        <x:v>45738</x:v>
      </x:c>
      <x:c r="B813" s="84" t="n">
        <x:v>22</x:v>
      </x:c>
      <x:c r="C813" s="84" t="n">
        <x:v>3</x:v>
      </x:c>
      <x:c r="D813" s="84" t="str">
        <x:v>Março</x:v>
      </x:c>
      <x:c r="E813" s="84" t="n">
        <x:v>1</x:v>
      </x:c>
      <x:c r="F813" s="84" t="n">
        <x:v>2025</x:v>
      </x:c>
      <x:c r="G813" s="84" t="n">
        <x:v>12</x:v>
      </x:c>
      <x:c r="H813" s="84" t="str">
        <x:v>Sábado</x:v>
      </x:c>
      <x:c r="I813" s="85" t="n">
        <x:v>0</x:v>
      </x:c>
    </x:row>
    <x:row r="814">
      <x:c r="A814" s="95" t="n">
        <x:v>45739</x:v>
      </x:c>
      <x:c r="B814" s="84" t="n">
        <x:v>23</x:v>
      </x:c>
      <x:c r="C814" s="84" t="n">
        <x:v>3</x:v>
      </x:c>
      <x:c r="D814" s="84" t="str">
        <x:v>Março</x:v>
      </x:c>
      <x:c r="E814" s="84" t="n">
        <x:v>1</x:v>
      </x:c>
      <x:c r="F814" s="84" t="n">
        <x:v>2025</x:v>
      </x:c>
      <x:c r="G814" s="84" t="n">
        <x:v>12</x:v>
      </x:c>
      <x:c r="H814" s="84" t="str">
        <x:v>Domingo</x:v>
      </x:c>
      <x:c r="I814" s="85" t="n">
        <x:v>0</x:v>
      </x:c>
    </x:row>
    <x:row r="815">
      <x:c r="A815" s="95" t="n">
        <x:v>45740</x:v>
      </x:c>
      <x:c r="B815" s="84" t="n">
        <x:v>24</x:v>
      </x:c>
      <x:c r="C815" s="84" t="n">
        <x:v>3</x:v>
      </x:c>
      <x:c r="D815" s="84" t="str">
        <x:v>Março</x:v>
      </x:c>
      <x:c r="E815" s="84" t="n">
        <x:v>1</x:v>
      </x:c>
      <x:c r="F815" s="84" t="n">
        <x:v>2025</x:v>
      </x:c>
      <x:c r="G815" s="84" t="n">
        <x:v>13</x:v>
      </x:c>
      <x:c r="H815" s="84" t="str">
        <x:v>Segunda</x:v>
      </x:c>
      <x:c r="I815" s="85" t="n">
        <x:v>1</x:v>
      </x:c>
    </x:row>
    <x:row r="816">
      <x:c r="A816" s="95" t="n">
        <x:v>45741</x:v>
      </x:c>
      <x:c r="B816" s="84" t="n">
        <x:v>25</x:v>
      </x:c>
      <x:c r="C816" s="84" t="n">
        <x:v>3</x:v>
      </x:c>
      <x:c r="D816" s="84" t="str">
        <x:v>Março</x:v>
      </x:c>
      <x:c r="E816" s="84" t="n">
        <x:v>1</x:v>
      </x:c>
      <x:c r="F816" s="84" t="n">
        <x:v>2025</x:v>
      </x:c>
      <x:c r="G816" s="84" t="n">
        <x:v>13</x:v>
      </x:c>
      <x:c r="H816" s="84" t="str">
        <x:v>Terça</x:v>
      </x:c>
      <x:c r="I816" s="85" t="n">
        <x:v>1</x:v>
      </x:c>
    </x:row>
    <x:row r="817">
      <x:c r="A817" s="95" t="n">
        <x:v>45742</x:v>
      </x:c>
      <x:c r="B817" s="84" t="n">
        <x:v>26</x:v>
      </x:c>
      <x:c r="C817" s="84" t="n">
        <x:v>3</x:v>
      </x:c>
      <x:c r="D817" s="84" t="str">
        <x:v>Março</x:v>
      </x:c>
      <x:c r="E817" s="84" t="n">
        <x:v>1</x:v>
      </x:c>
      <x:c r="F817" s="84" t="n">
        <x:v>2025</x:v>
      </x:c>
      <x:c r="G817" s="84" t="n">
        <x:v>13</x:v>
      </x:c>
      <x:c r="H817" s="84" t="str">
        <x:v>Quarta</x:v>
      </x:c>
      <x:c r="I817" s="85" t="n">
        <x:v>1</x:v>
      </x:c>
    </x:row>
    <x:row r="818">
      <x:c r="A818" s="95" t="n">
        <x:v>45743</x:v>
      </x:c>
      <x:c r="B818" s="84" t="n">
        <x:v>27</x:v>
      </x:c>
      <x:c r="C818" s="84" t="n">
        <x:v>3</x:v>
      </x:c>
      <x:c r="D818" s="84" t="str">
        <x:v>Março</x:v>
      </x:c>
      <x:c r="E818" s="84" t="n">
        <x:v>1</x:v>
      </x:c>
      <x:c r="F818" s="84" t="n">
        <x:v>2025</x:v>
      </x:c>
      <x:c r="G818" s="84" t="n">
        <x:v>13</x:v>
      </x:c>
      <x:c r="H818" s="84" t="str">
        <x:v>Quinta</x:v>
      </x:c>
      <x:c r="I818" s="85" t="n">
        <x:v>1</x:v>
      </x:c>
    </x:row>
    <x:row r="819">
      <x:c r="A819" s="95" t="n">
        <x:v>45744</x:v>
      </x:c>
      <x:c r="B819" s="84" t="n">
        <x:v>28</x:v>
      </x:c>
      <x:c r="C819" s="84" t="n">
        <x:v>3</x:v>
      </x:c>
      <x:c r="D819" s="84" t="str">
        <x:v>Março</x:v>
      </x:c>
      <x:c r="E819" s="84" t="n">
        <x:v>1</x:v>
      </x:c>
      <x:c r="F819" s="84" t="n">
        <x:v>2025</x:v>
      </x:c>
      <x:c r="G819" s="84" t="n">
        <x:v>13</x:v>
      </x:c>
      <x:c r="H819" s="84" t="str">
        <x:v>Sexta</x:v>
      </x:c>
      <x:c r="I819" s="85" t="n">
        <x:v>1</x:v>
      </x:c>
    </x:row>
    <x:row r="820">
      <x:c r="A820" s="95" t="n">
        <x:v>45745</x:v>
      </x:c>
      <x:c r="B820" s="84" t="n">
        <x:v>29</x:v>
      </x:c>
      <x:c r="C820" s="84" t="n">
        <x:v>3</x:v>
      </x:c>
      <x:c r="D820" s="84" t="str">
        <x:v>Março</x:v>
      </x:c>
      <x:c r="E820" s="84" t="n">
        <x:v>1</x:v>
      </x:c>
      <x:c r="F820" s="84" t="n">
        <x:v>2025</x:v>
      </x:c>
      <x:c r="G820" s="84" t="n">
        <x:v>13</x:v>
      </x:c>
      <x:c r="H820" s="84" t="str">
        <x:v>Sábado</x:v>
      </x:c>
      <x:c r="I820" s="85" t="n">
        <x:v>0</x:v>
      </x:c>
    </x:row>
    <x:row r="821">
      <x:c r="A821" s="95" t="n">
        <x:v>45746</x:v>
      </x:c>
      <x:c r="B821" s="84" t="n">
        <x:v>30</x:v>
      </x:c>
      <x:c r="C821" s="84" t="n">
        <x:v>3</x:v>
      </x:c>
      <x:c r="D821" s="84" t="str">
        <x:v>Março</x:v>
      </x:c>
      <x:c r="E821" s="84" t="n">
        <x:v>1</x:v>
      </x:c>
      <x:c r="F821" s="84" t="n">
        <x:v>2025</x:v>
      </x:c>
      <x:c r="G821" s="84" t="n">
        <x:v>13</x:v>
      </x:c>
      <x:c r="H821" s="84" t="str">
        <x:v>Domingo</x:v>
      </x:c>
      <x:c r="I821" s="85" t="n">
        <x:v>0</x:v>
      </x:c>
    </x:row>
    <x:row r="822">
      <x:c r="A822" s="95" t="n">
        <x:v>45747</x:v>
      </x:c>
      <x:c r="B822" s="84" t="n">
        <x:v>31</x:v>
      </x:c>
      <x:c r="C822" s="84" t="n">
        <x:v>3</x:v>
      </x:c>
      <x:c r="D822" s="84" t="str">
        <x:v>Março</x:v>
      </x:c>
      <x:c r="E822" s="84" t="n">
        <x:v>1</x:v>
      </x:c>
      <x:c r="F822" s="84" t="n">
        <x:v>2025</x:v>
      </x:c>
      <x:c r="G822" s="84" t="n">
        <x:v>14</x:v>
      </x:c>
      <x:c r="H822" s="84" t="str">
        <x:v>Segunda</x:v>
      </x:c>
      <x:c r="I822" s="85" t="n">
        <x:v>1</x:v>
      </x:c>
    </x:row>
    <x:row r="823">
      <x:c r="A823" s="95" t="n">
        <x:v>45748</x:v>
      </x:c>
      <x:c r="B823" s="84" t="n">
        <x:v>1</x:v>
      </x:c>
      <x:c r="C823" s="84" t="n">
        <x:v>4</x:v>
      </x:c>
      <x:c r="D823" s="84" t="str">
        <x:v>Abril</x:v>
      </x:c>
      <x:c r="E823" s="84" t="n">
        <x:v>2</x:v>
      </x:c>
      <x:c r="F823" s="84" t="n">
        <x:v>2025</x:v>
      </x:c>
      <x:c r="G823" s="84" t="n">
        <x:v>14</x:v>
      </x:c>
      <x:c r="H823" s="84" t="str">
        <x:v>Terça</x:v>
      </x:c>
      <x:c r="I823" s="85" t="n">
        <x:v>1</x:v>
      </x:c>
    </x:row>
    <x:row r="824">
      <x:c r="A824" s="95" t="n">
        <x:v>45749</x:v>
      </x:c>
      <x:c r="B824" s="84" t="n">
        <x:v>2</x:v>
      </x:c>
      <x:c r="C824" s="84" t="n">
        <x:v>4</x:v>
      </x:c>
      <x:c r="D824" s="84" t="str">
        <x:v>Abril</x:v>
      </x:c>
      <x:c r="E824" s="84" t="n">
        <x:v>2</x:v>
      </x:c>
      <x:c r="F824" s="84" t="n">
        <x:v>2025</x:v>
      </x:c>
      <x:c r="G824" s="84" t="n">
        <x:v>14</x:v>
      </x:c>
      <x:c r="H824" s="84" t="str">
        <x:v>Quarta</x:v>
      </x:c>
      <x:c r="I824" s="85" t="n">
        <x:v>1</x:v>
      </x:c>
    </x:row>
    <x:row r="825">
      <x:c r="A825" s="95" t="n">
        <x:v>45750</x:v>
      </x:c>
      <x:c r="B825" s="84" t="n">
        <x:v>3</x:v>
      </x:c>
      <x:c r="C825" s="84" t="n">
        <x:v>4</x:v>
      </x:c>
      <x:c r="D825" s="84" t="str">
        <x:v>Abril</x:v>
      </x:c>
      <x:c r="E825" s="84" t="n">
        <x:v>2</x:v>
      </x:c>
      <x:c r="F825" s="84" t="n">
        <x:v>2025</x:v>
      </x:c>
      <x:c r="G825" s="84" t="n">
        <x:v>14</x:v>
      </x:c>
      <x:c r="H825" s="84" t="str">
        <x:v>Quinta</x:v>
      </x:c>
      <x:c r="I825" s="85" t="n">
        <x:v>1</x:v>
      </x:c>
    </x:row>
    <x:row r="826">
      <x:c r="A826" s="95" t="n">
        <x:v>45751</x:v>
      </x:c>
      <x:c r="B826" s="84" t="n">
        <x:v>4</x:v>
      </x:c>
      <x:c r="C826" s="84" t="n">
        <x:v>4</x:v>
      </x:c>
      <x:c r="D826" s="84" t="str">
        <x:v>Abril</x:v>
      </x:c>
      <x:c r="E826" s="84" t="n">
        <x:v>2</x:v>
      </x:c>
      <x:c r="F826" s="84" t="n">
        <x:v>2025</x:v>
      </x:c>
      <x:c r="G826" s="84" t="n">
        <x:v>14</x:v>
      </x:c>
      <x:c r="H826" s="84" t="str">
        <x:v>Sexta</x:v>
      </x:c>
      <x:c r="I826" s="85" t="n">
        <x:v>1</x:v>
      </x:c>
    </x:row>
    <x:row r="827">
      <x:c r="A827" s="95" t="n">
        <x:v>45752</x:v>
      </x:c>
      <x:c r="B827" s="84" t="n">
        <x:v>5</x:v>
      </x:c>
      <x:c r="C827" s="84" t="n">
        <x:v>4</x:v>
      </x:c>
      <x:c r="D827" s="84" t="str">
        <x:v>Abril</x:v>
      </x:c>
      <x:c r="E827" s="84" t="n">
        <x:v>2</x:v>
      </x:c>
      <x:c r="F827" s="84" t="n">
        <x:v>2025</x:v>
      </x:c>
      <x:c r="G827" s="84" t="n">
        <x:v>14</x:v>
      </x:c>
      <x:c r="H827" s="84" t="str">
        <x:v>Sábado</x:v>
      </x:c>
      <x:c r="I827" s="85" t="n">
        <x:v>0</x:v>
      </x:c>
    </x:row>
    <x:row r="828">
      <x:c r="A828" s="95" t="n">
        <x:v>45753</x:v>
      </x:c>
      <x:c r="B828" s="84" t="n">
        <x:v>6</x:v>
      </x:c>
      <x:c r="C828" s="84" t="n">
        <x:v>4</x:v>
      </x:c>
      <x:c r="D828" s="84" t="str">
        <x:v>Abril</x:v>
      </x:c>
      <x:c r="E828" s="84" t="n">
        <x:v>2</x:v>
      </x:c>
      <x:c r="F828" s="84" t="n">
        <x:v>2025</x:v>
      </x:c>
      <x:c r="G828" s="84" t="n">
        <x:v>14</x:v>
      </x:c>
      <x:c r="H828" s="84" t="str">
        <x:v>Domingo</x:v>
      </x:c>
      <x:c r="I828" s="85" t="n">
        <x:v>0</x:v>
      </x:c>
    </x:row>
    <x:row r="829">
      <x:c r="A829" s="95" t="n">
        <x:v>45754</x:v>
      </x:c>
      <x:c r="B829" s="84" t="n">
        <x:v>7</x:v>
      </x:c>
      <x:c r="C829" s="84" t="n">
        <x:v>4</x:v>
      </x:c>
      <x:c r="D829" s="84" t="str">
        <x:v>Abril</x:v>
      </x:c>
      <x:c r="E829" s="84" t="n">
        <x:v>2</x:v>
      </x:c>
      <x:c r="F829" s="84" t="n">
        <x:v>2025</x:v>
      </x:c>
      <x:c r="G829" s="84" t="n">
        <x:v>15</x:v>
      </x:c>
      <x:c r="H829" s="84" t="str">
        <x:v>Segunda</x:v>
      </x:c>
      <x:c r="I829" s="85" t="n">
        <x:v>1</x:v>
      </x:c>
    </x:row>
    <x:row r="830">
      <x:c r="A830" s="95" t="n">
        <x:v>45755</x:v>
      </x:c>
      <x:c r="B830" s="84" t="n">
        <x:v>8</x:v>
      </x:c>
      <x:c r="C830" s="84" t="n">
        <x:v>4</x:v>
      </x:c>
      <x:c r="D830" s="84" t="str">
        <x:v>Abril</x:v>
      </x:c>
      <x:c r="E830" s="84" t="n">
        <x:v>2</x:v>
      </x:c>
      <x:c r="F830" s="84" t="n">
        <x:v>2025</x:v>
      </x:c>
      <x:c r="G830" s="84" t="n">
        <x:v>15</x:v>
      </x:c>
      <x:c r="H830" s="84" t="str">
        <x:v>Terça</x:v>
      </x:c>
      <x:c r="I830" s="85" t="n">
        <x:v>1</x:v>
      </x:c>
    </x:row>
    <x:row r="831">
      <x:c r="A831" s="95" t="n">
        <x:v>45756</x:v>
      </x:c>
      <x:c r="B831" s="84" t="n">
        <x:v>9</x:v>
      </x:c>
      <x:c r="C831" s="84" t="n">
        <x:v>4</x:v>
      </x:c>
      <x:c r="D831" s="84" t="str">
        <x:v>Abril</x:v>
      </x:c>
      <x:c r="E831" s="84" t="n">
        <x:v>2</x:v>
      </x:c>
      <x:c r="F831" s="84" t="n">
        <x:v>2025</x:v>
      </x:c>
      <x:c r="G831" s="84" t="n">
        <x:v>15</x:v>
      </x:c>
      <x:c r="H831" s="84" t="str">
        <x:v>Quarta</x:v>
      </x:c>
      <x:c r="I831" s="85" t="n">
        <x:v>1</x:v>
      </x:c>
    </x:row>
    <x:row r="832">
      <x:c r="A832" s="95" t="n">
        <x:v>45757</x:v>
      </x:c>
      <x:c r="B832" s="84" t="n">
        <x:v>10</x:v>
      </x:c>
      <x:c r="C832" s="84" t="n">
        <x:v>4</x:v>
      </x:c>
      <x:c r="D832" s="84" t="str">
        <x:v>Abril</x:v>
      </x:c>
      <x:c r="E832" s="84" t="n">
        <x:v>2</x:v>
      </x:c>
      <x:c r="F832" s="84" t="n">
        <x:v>2025</x:v>
      </x:c>
      <x:c r="G832" s="84" t="n">
        <x:v>15</x:v>
      </x:c>
      <x:c r="H832" s="84" t="str">
        <x:v>Quinta</x:v>
      </x:c>
      <x:c r="I832" s="85" t="n">
        <x:v>1</x:v>
      </x:c>
    </x:row>
    <x:row r="833">
      <x:c r="A833" s="95" t="n">
        <x:v>45758</x:v>
      </x:c>
      <x:c r="B833" s="84" t="n">
        <x:v>11</x:v>
      </x:c>
      <x:c r="C833" s="84" t="n">
        <x:v>4</x:v>
      </x:c>
      <x:c r="D833" s="84" t="str">
        <x:v>Abril</x:v>
      </x:c>
      <x:c r="E833" s="84" t="n">
        <x:v>2</x:v>
      </x:c>
      <x:c r="F833" s="84" t="n">
        <x:v>2025</x:v>
      </x:c>
      <x:c r="G833" s="84" t="n">
        <x:v>15</x:v>
      </x:c>
      <x:c r="H833" s="84" t="str">
        <x:v>Sexta</x:v>
      </x:c>
      <x:c r="I833" s="85" t="n">
        <x:v>1</x:v>
      </x:c>
    </x:row>
    <x:row r="834">
      <x:c r="A834" s="95" t="n">
        <x:v>45759</x:v>
      </x:c>
      <x:c r="B834" s="84" t="n">
        <x:v>12</x:v>
      </x:c>
      <x:c r="C834" s="84" t="n">
        <x:v>4</x:v>
      </x:c>
      <x:c r="D834" s="84" t="str">
        <x:v>Abril</x:v>
      </x:c>
      <x:c r="E834" s="84" t="n">
        <x:v>2</x:v>
      </x:c>
      <x:c r="F834" s="84" t="n">
        <x:v>2025</x:v>
      </x:c>
      <x:c r="G834" s="84" t="n">
        <x:v>15</x:v>
      </x:c>
      <x:c r="H834" s="84" t="str">
        <x:v>Sábado</x:v>
      </x:c>
      <x:c r="I834" s="85" t="n">
        <x:v>0</x:v>
      </x:c>
    </x:row>
    <x:row r="835">
      <x:c r="A835" s="95" t="n">
        <x:v>45760</x:v>
      </x:c>
      <x:c r="B835" s="84" t="n">
        <x:v>13</x:v>
      </x:c>
      <x:c r="C835" s="84" t="n">
        <x:v>4</x:v>
      </x:c>
      <x:c r="D835" s="84" t="str">
        <x:v>Abril</x:v>
      </x:c>
      <x:c r="E835" s="84" t="n">
        <x:v>2</x:v>
      </x:c>
      <x:c r="F835" s="84" t="n">
        <x:v>2025</x:v>
      </x:c>
      <x:c r="G835" s="84" t="n">
        <x:v>15</x:v>
      </x:c>
      <x:c r="H835" s="84" t="str">
        <x:v>Domingo</x:v>
      </x:c>
      <x:c r="I835" s="85" t="n">
        <x:v>0</x:v>
      </x:c>
    </x:row>
    <x:row r="836">
      <x:c r="A836" s="95" t="n">
        <x:v>45761</x:v>
      </x:c>
      <x:c r="B836" s="84" t="n">
        <x:v>14</x:v>
      </x:c>
      <x:c r="C836" s="84" t="n">
        <x:v>4</x:v>
      </x:c>
      <x:c r="D836" s="84" t="str">
        <x:v>Abril</x:v>
      </x:c>
      <x:c r="E836" s="84" t="n">
        <x:v>2</x:v>
      </x:c>
      <x:c r="F836" s="84" t="n">
        <x:v>2025</x:v>
      </x:c>
      <x:c r="G836" s="84" t="n">
        <x:v>16</x:v>
      </x:c>
      <x:c r="H836" s="84" t="str">
        <x:v>Segunda</x:v>
      </x:c>
      <x:c r="I836" s="85" t="n">
        <x:v>1</x:v>
      </x:c>
    </x:row>
    <x:row r="837">
      <x:c r="A837" s="95" t="n">
        <x:v>45762</x:v>
      </x:c>
      <x:c r="B837" s="84" t="n">
        <x:v>15</x:v>
      </x:c>
      <x:c r="C837" s="84" t="n">
        <x:v>4</x:v>
      </x:c>
      <x:c r="D837" s="84" t="str">
        <x:v>Abril</x:v>
      </x:c>
      <x:c r="E837" s="84" t="n">
        <x:v>2</x:v>
      </x:c>
      <x:c r="F837" s="84" t="n">
        <x:v>2025</x:v>
      </x:c>
      <x:c r="G837" s="84" t="n">
        <x:v>16</x:v>
      </x:c>
      <x:c r="H837" s="84" t="str">
        <x:v>Terça</x:v>
      </x:c>
      <x:c r="I837" s="85" t="n">
        <x:v>1</x:v>
      </x:c>
    </x:row>
    <x:row r="838">
      <x:c r="A838" s="95" t="n">
        <x:v>45763</x:v>
      </x:c>
      <x:c r="B838" s="84" t="n">
        <x:v>16</x:v>
      </x:c>
      <x:c r="C838" s="84" t="n">
        <x:v>4</x:v>
      </x:c>
      <x:c r="D838" s="84" t="str">
        <x:v>Abril</x:v>
      </x:c>
      <x:c r="E838" s="84" t="n">
        <x:v>2</x:v>
      </x:c>
      <x:c r="F838" s="84" t="n">
        <x:v>2025</x:v>
      </x:c>
      <x:c r="G838" s="84" t="n">
        <x:v>16</x:v>
      </x:c>
      <x:c r="H838" s="84" t="str">
        <x:v>Quarta</x:v>
      </x:c>
      <x:c r="I838" s="85" t="n">
        <x:v>1</x:v>
      </x:c>
    </x:row>
    <x:row r="839">
      <x:c r="A839" s="95" t="n">
        <x:v>45764</x:v>
      </x:c>
      <x:c r="B839" s="84" t="n">
        <x:v>17</x:v>
      </x:c>
      <x:c r="C839" s="84" t="n">
        <x:v>4</x:v>
      </x:c>
      <x:c r="D839" s="84" t="str">
        <x:v>Abril</x:v>
      </x:c>
      <x:c r="E839" s="84" t="n">
        <x:v>2</x:v>
      </x:c>
      <x:c r="F839" s="84" t="n">
        <x:v>2025</x:v>
      </x:c>
      <x:c r="G839" s="84" t="n">
        <x:v>16</x:v>
      </x:c>
      <x:c r="H839" s="84" t="str">
        <x:v>Quinta</x:v>
      </x:c>
      <x:c r="I839" s="85" t="n">
        <x:v>1</x:v>
      </x:c>
    </x:row>
    <x:row r="840">
      <x:c r="A840" s="95" t="n">
        <x:v>45765</x:v>
      </x:c>
      <x:c r="B840" s="84" t="n">
        <x:v>18</x:v>
      </x:c>
      <x:c r="C840" s="84" t="n">
        <x:v>4</x:v>
      </x:c>
      <x:c r="D840" s="84" t="str">
        <x:v>Abril</x:v>
      </x:c>
      <x:c r="E840" s="84" t="n">
        <x:v>2</x:v>
      </x:c>
      <x:c r="F840" s="84" t="n">
        <x:v>2025</x:v>
      </x:c>
      <x:c r="G840" s="84" t="n">
        <x:v>16</x:v>
      </x:c>
      <x:c r="H840" s="84" t="str">
        <x:v>Sexta</x:v>
      </x:c>
      <x:c r="I840" s="85" t="n">
        <x:v>1</x:v>
      </x:c>
    </x:row>
    <x:row r="841">
      <x:c r="A841" s="95" t="n">
        <x:v>45766</x:v>
      </x:c>
      <x:c r="B841" s="84" t="n">
        <x:v>19</x:v>
      </x:c>
      <x:c r="C841" s="84" t="n">
        <x:v>4</x:v>
      </x:c>
      <x:c r="D841" s="84" t="str">
        <x:v>Abril</x:v>
      </x:c>
      <x:c r="E841" s="84" t="n">
        <x:v>2</x:v>
      </x:c>
      <x:c r="F841" s="84" t="n">
        <x:v>2025</x:v>
      </x:c>
      <x:c r="G841" s="84" t="n">
        <x:v>16</x:v>
      </x:c>
      <x:c r="H841" s="84" t="str">
        <x:v>Sábado</x:v>
      </x:c>
      <x:c r="I841" s="85" t="n">
        <x:v>0</x:v>
      </x:c>
    </x:row>
    <x:row r="842">
      <x:c r="A842" s="95" t="n">
        <x:v>45767</x:v>
      </x:c>
      <x:c r="B842" s="84" t="n">
        <x:v>20</x:v>
      </x:c>
      <x:c r="C842" s="84" t="n">
        <x:v>4</x:v>
      </x:c>
      <x:c r="D842" s="84" t="str">
        <x:v>Abril</x:v>
      </x:c>
      <x:c r="E842" s="84" t="n">
        <x:v>2</x:v>
      </x:c>
      <x:c r="F842" s="84" t="n">
        <x:v>2025</x:v>
      </x:c>
      <x:c r="G842" s="84" t="n">
        <x:v>16</x:v>
      </x:c>
      <x:c r="H842" s="84" t="str">
        <x:v>Domingo</x:v>
      </x:c>
      <x:c r="I842" s="85" t="n">
        <x:v>0</x:v>
      </x:c>
    </x:row>
    <x:row r="843">
      <x:c r="A843" s="95" t="n">
        <x:v>45768</x:v>
      </x:c>
      <x:c r="B843" s="84" t="n">
        <x:v>21</x:v>
      </x:c>
      <x:c r="C843" s="84" t="n">
        <x:v>4</x:v>
      </x:c>
      <x:c r="D843" s="84" t="str">
        <x:v>Abril</x:v>
      </x:c>
      <x:c r="E843" s="84" t="n">
        <x:v>2</x:v>
      </x:c>
      <x:c r="F843" s="84" t="n">
        <x:v>2025</x:v>
      </x:c>
      <x:c r="G843" s="84" t="n">
        <x:v>17</x:v>
      </x:c>
      <x:c r="H843" s="84" t="str">
        <x:v>Segunda</x:v>
      </x:c>
      <x:c r="I843" s="85" t="n">
        <x:v>1</x:v>
      </x:c>
    </x:row>
    <x:row r="844">
      <x:c r="A844" s="95" t="n">
        <x:v>45769</x:v>
      </x:c>
      <x:c r="B844" s="84" t="n">
        <x:v>22</x:v>
      </x:c>
      <x:c r="C844" s="84" t="n">
        <x:v>4</x:v>
      </x:c>
      <x:c r="D844" s="84" t="str">
        <x:v>Abril</x:v>
      </x:c>
      <x:c r="E844" s="84" t="n">
        <x:v>2</x:v>
      </x:c>
      <x:c r="F844" s="84" t="n">
        <x:v>2025</x:v>
      </x:c>
      <x:c r="G844" s="84" t="n">
        <x:v>17</x:v>
      </x:c>
      <x:c r="H844" s="84" t="str">
        <x:v>Terça</x:v>
      </x:c>
      <x:c r="I844" s="85" t="n">
        <x:v>1</x:v>
      </x:c>
    </x:row>
    <x:row r="845">
      <x:c r="A845" s="95" t="n">
        <x:v>45770</x:v>
      </x:c>
      <x:c r="B845" s="84" t="n">
        <x:v>23</x:v>
      </x:c>
      <x:c r="C845" s="84" t="n">
        <x:v>4</x:v>
      </x:c>
      <x:c r="D845" s="84" t="str">
        <x:v>Abril</x:v>
      </x:c>
      <x:c r="E845" s="84" t="n">
        <x:v>2</x:v>
      </x:c>
      <x:c r="F845" s="84" t="n">
        <x:v>2025</x:v>
      </x:c>
      <x:c r="G845" s="84" t="n">
        <x:v>17</x:v>
      </x:c>
      <x:c r="H845" s="84" t="str">
        <x:v>Quarta</x:v>
      </x:c>
      <x:c r="I845" s="85" t="n">
        <x:v>1</x:v>
      </x:c>
    </x:row>
    <x:row r="846">
      <x:c r="A846" s="95" t="n">
        <x:v>45771</x:v>
      </x:c>
      <x:c r="B846" s="84" t="n">
        <x:v>24</x:v>
      </x:c>
      <x:c r="C846" s="84" t="n">
        <x:v>4</x:v>
      </x:c>
      <x:c r="D846" s="84" t="str">
        <x:v>Abril</x:v>
      </x:c>
      <x:c r="E846" s="84" t="n">
        <x:v>2</x:v>
      </x:c>
      <x:c r="F846" s="84" t="n">
        <x:v>2025</x:v>
      </x:c>
      <x:c r="G846" s="84" t="n">
        <x:v>17</x:v>
      </x:c>
      <x:c r="H846" s="84" t="str">
        <x:v>Quinta</x:v>
      </x:c>
      <x:c r="I846" s="85" t="n">
        <x:v>1</x:v>
      </x:c>
    </x:row>
    <x:row r="847">
      <x:c r="A847" s="95" t="n">
        <x:v>45772</x:v>
      </x:c>
      <x:c r="B847" s="84" t="n">
        <x:v>25</x:v>
      </x:c>
      <x:c r="C847" s="84" t="n">
        <x:v>4</x:v>
      </x:c>
      <x:c r="D847" s="84" t="str">
        <x:v>Abril</x:v>
      </x:c>
      <x:c r="E847" s="84" t="n">
        <x:v>2</x:v>
      </x:c>
      <x:c r="F847" s="84" t="n">
        <x:v>2025</x:v>
      </x:c>
      <x:c r="G847" s="84" t="n">
        <x:v>17</x:v>
      </x:c>
      <x:c r="H847" s="84" t="str">
        <x:v>Sexta</x:v>
      </x:c>
      <x:c r="I847" s="85" t="n">
        <x:v>1</x:v>
      </x:c>
    </x:row>
    <x:row r="848">
      <x:c r="A848" s="95" t="n">
        <x:v>45773</x:v>
      </x:c>
      <x:c r="B848" s="84" t="n">
        <x:v>26</x:v>
      </x:c>
      <x:c r="C848" s="84" t="n">
        <x:v>4</x:v>
      </x:c>
      <x:c r="D848" s="84" t="str">
        <x:v>Abril</x:v>
      </x:c>
      <x:c r="E848" s="84" t="n">
        <x:v>2</x:v>
      </x:c>
      <x:c r="F848" s="84" t="n">
        <x:v>2025</x:v>
      </x:c>
      <x:c r="G848" s="84" t="n">
        <x:v>17</x:v>
      </x:c>
      <x:c r="H848" s="84" t="str">
        <x:v>Sábado</x:v>
      </x:c>
      <x:c r="I848" s="85" t="n">
        <x:v>0</x:v>
      </x:c>
    </x:row>
    <x:row r="849">
      <x:c r="A849" s="95" t="n">
        <x:v>45774</x:v>
      </x:c>
      <x:c r="B849" s="84" t="n">
        <x:v>27</x:v>
      </x:c>
      <x:c r="C849" s="84" t="n">
        <x:v>4</x:v>
      </x:c>
      <x:c r="D849" s="84" t="str">
        <x:v>Abril</x:v>
      </x:c>
      <x:c r="E849" s="84" t="n">
        <x:v>2</x:v>
      </x:c>
      <x:c r="F849" s="84" t="n">
        <x:v>2025</x:v>
      </x:c>
      <x:c r="G849" s="84" t="n">
        <x:v>17</x:v>
      </x:c>
      <x:c r="H849" s="84" t="str">
        <x:v>Domingo</x:v>
      </x:c>
      <x:c r="I849" s="85" t="n">
        <x:v>0</x:v>
      </x:c>
    </x:row>
    <x:row r="850">
      <x:c r="A850" s="95" t="n">
        <x:v>45775</x:v>
      </x:c>
      <x:c r="B850" s="84" t="n">
        <x:v>28</x:v>
      </x:c>
      <x:c r="C850" s="84" t="n">
        <x:v>4</x:v>
      </x:c>
      <x:c r="D850" s="84" t="str">
        <x:v>Abril</x:v>
      </x:c>
      <x:c r="E850" s="84" t="n">
        <x:v>2</x:v>
      </x:c>
      <x:c r="F850" s="84" t="n">
        <x:v>2025</x:v>
      </x:c>
      <x:c r="G850" s="84" t="n">
        <x:v>18</x:v>
      </x:c>
      <x:c r="H850" s="84" t="str">
        <x:v>Segunda</x:v>
      </x:c>
      <x:c r="I850" s="85" t="n">
        <x:v>1</x:v>
      </x:c>
    </x:row>
    <x:row r="851">
      <x:c r="A851" s="95" t="n">
        <x:v>45776</x:v>
      </x:c>
      <x:c r="B851" s="84" t="n">
        <x:v>29</x:v>
      </x:c>
      <x:c r="C851" s="84" t="n">
        <x:v>4</x:v>
      </x:c>
      <x:c r="D851" s="84" t="str">
        <x:v>Abril</x:v>
      </x:c>
      <x:c r="E851" s="84" t="n">
        <x:v>2</x:v>
      </x:c>
      <x:c r="F851" s="84" t="n">
        <x:v>2025</x:v>
      </x:c>
      <x:c r="G851" s="84" t="n">
        <x:v>18</x:v>
      </x:c>
      <x:c r="H851" s="84" t="str">
        <x:v>Terça</x:v>
      </x:c>
      <x:c r="I851" s="85" t="n">
        <x:v>1</x:v>
      </x:c>
    </x:row>
    <x:row r="852">
      <x:c r="A852" s="95" t="n">
        <x:v>45777</x:v>
      </x:c>
      <x:c r="B852" s="84" t="n">
        <x:v>30</x:v>
      </x:c>
      <x:c r="C852" s="84" t="n">
        <x:v>4</x:v>
      </x:c>
      <x:c r="D852" s="84" t="str">
        <x:v>Abril</x:v>
      </x:c>
      <x:c r="E852" s="84" t="n">
        <x:v>2</x:v>
      </x:c>
      <x:c r="F852" s="84" t="n">
        <x:v>2025</x:v>
      </x:c>
      <x:c r="G852" s="84" t="n">
        <x:v>18</x:v>
      </x:c>
      <x:c r="H852" s="84" t="str">
        <x:v>Quarta</x:v>
      </x:c>
      <x:c r="I852" s="85" t="n">
        <x:v>1</x:v>
      </x:c>
    </x:row>
    <x:row r="853">
      <x:c r="A853" s="95" t="n">
        <x:v>45778</x:v>
      </x:c>
      <x:c r="B853" s="84" t="n">
        <x:v>1</x:v>
      </x:c>
      <x:c r="C853" s="84" t="n">
        <x:v>5</x:v>
      </x:c>
      <x:c r="D853" s="84" t="str">
        <x:v>Maio</x:v>
      </x:c>
      <x:c r="E853" s="84" t="n">
        <x:v>2</x:v>
      </x:c>
      <x:c r="F853" s="84" t="n">
        <x:v>2025</x:v>
      </x:c>
      <x:c r="G853" s="84" t="n">
        <x:v>18</x:v>
      </x:c>
      <x:c r="H853" s="84" t="str">
        <x:v>Quinta</x:v>
      </x:c>
      <x:c r="I853" s="85" t="n">
        <x:v>1</x:v>
      </x:c>
    </x:row>
    <x:row r="854">
      <x:c r="A854" s="95" t="n">
        <x:v>45779</x:v>
      </x:c>
      <x:c r="B854" s="84" t="n">
        <x:v>2</x:v>
      </x:c>
      <x:c r="C854" s="84" t="n">
        <x:v>5</x:v>
      </x:c>
      <x:c r="D854" s="84" t="str">
        <x:v>Maio</x:v>
      </x:c>
      <x:c r="E854" s="84" t="n">
        <x:v>2</x:v>
      </x:c>
      <x:c r="F854" s="84" t="n">
        <x:v>2025</x:v>
      </x:c>
      <x:c r="G854" s="84" t="n">
        <x:v>18</x:v>
      </x:c>
      <x:c r="H854" s="84" t="str">
        <x:v>Sexta</x:v>
      </x:c>
      <x:c r="I854" s="85" t="n">
        <x:v>1</x:v>
      </x:c>
    </x:row>
    <x:row r="855">
      <x:c r="A855" s="95" t="n">
        <x:v>45780</x:v>
      </x:c>
      <x:c r="B855" s="84" t="n">
        <x:v>3</x:v>
      </x:c>
      <x:c r="C855" s="84" t="n">
        <x:v>5</x:v>
      </x:c>
      <x:c r="D855" s="84" t="str">
        <x:v>Maio</x:v>
      </x:c>
      <x:c r="E855" s="84" t="n">
        <x:v>2</x:v>
      </x:c>
      <x:c r="F855" s="84" t="n">
        <x:v>2025</x:v>
      </x:c>
      <x:c r="G855" s="84" t="n">
        <x:v>18</x:v>
      </x:c>
      <x:c r="H855" s="84" t="str">
        <x:v>Sábado</x:v>
      </x:c>
      <x:c r="I855" s="85" t="n">
        <x:v>0</x:v>
      </x:c>
    </x:row>
    <x:row r="856">
      <x:c r="A856" s="95" t="n">
        <x:v>45781</x:v>
      </x:c>
      <x:c r="B856" s="84" t="n">
        <x:v>4</x:v>
      </x:c>
      <x:c r="C856" s="84" t="n">
        <x:v>5</x:v>
      </x:c>
      <x:c r="D856" s="84" t="str">
        <x:v>Maio</x:v>
      </x:c>
      <x:c r="E856" s="84" t="n">
        <x:v>2</x:v>
      </x:c>
      <x:c r="F856" s="84" t="n">
        <x:v>2025</x:v>
      </x:c>
      <x:c r="G856" s="84" t="n">
        <x:v>18</x:v>
      </x:c>
      <x:c r="H856" s="84" t="str">
        <x:v>Domingo</x:v>
      </x:c>
      <x:c r="I856" s="85" t="n">
        <x:v>0</x:v>
      </x:c>
    </x:row>
    <x:row r="857">
      <x:c r="A857" s="95" t="n">
        <x:v>45782</x:v>
      </x:c>
      <x:c r="B857" s="84" t="n">
        <x:v>5</x:v>
      </x:c>
      <x:c r="C857" s="84" t="n">
        <x:v>5</x:v>
      </x:c>
      <x:c r="D857" s="84" t="str">
        <x:v>Maio</x:v>
      </x:c>
      <x:c r="E857" s="84" t="n">
        <x:v>2</x:v>
      </x:c>
      <x:c r="F857" s="84" t="n">
        <x:v>2025</x:v>
      </x:c>
      <x:c r="G857" s="84" t="n">
        <x:v>19</x:v>
      </x:c>
      <x:c r="H857" s="84" t="str">
        <x:v>Segunda</x:v>
      </x:c>
      <x:c r="I857" s="85" t="n">
        <x:v>1</x:v>
      </x:c>
    </x:row>
    <x:row r="858">
      <x:c r="A858" s="95" t="n">
        <x:v>45783</x:v>
      </x:c>
      <x:c r="B858" s="84" t="n">
        <x:v>6</x:v>
      </x:c>
      <x:c r="C858" s="84" t="n">
        <x:v>5</x:v>
      </x:c>
      <x:c r="D858" s="84" t="str">
        <x:v>Maio</x:v>
      </x:c>
      <x:c r="E858" s="84" t="n">
        <x:v>2</x:v>
      </x:c>
      <x:c r="F858" s="84" t="n">
        <x:v>2025</x:v>
      </x:c>
      <x:c r="G858" s="84" t="n">
        <x:v>19</x:v>
      </x:c>
      <x:c r="H858" s="84" t="str">
        <x:v>Terça</x:v>
      </x:c>
      <x:c r="I858" s="85" t="n">
        <x:v>1</x:v>
      </x:c>
    </x:row>
    <x:row r="859">
      <x:c r="A859" s="95" t="n">
        <x:v>45784</x:v>
      </x:c>
      <x:c r="B859" s="84" t="n">
        <x:v>7</x:v>
      </x:c>
      <x:c r="C859" s="84" t="n">
        <x:v>5</x:v>
      </x:c>
      <x:c r="D859" s="84" t="str">
        <x:v>Maio</x:v>
      </x:c>
      <x:c r="E859" s="84" t="n">
        <x:v>2</x:v>
      </x:c>
      <x:c r="F859" s="84" t="n">
        <x:v>2025</x:v>
      </x:c>
      <x:c r="G859" s="84" t="n">
        <x:v>19</x:v>
      </x:c>
      <x:c r="H859" s="84" t="str">
        <x:v>Quarta</x:v>
      </x:c>
      <x:c r="I859" s="85" t="n">
        <x:v>1</x:v>
      </x:c>
    </x:row>
    <x:row r="860">
      <x:c r="A860" s="95" t="n">
        <x:v>45785</x:v>
      </x:c>
      <x:c r="B860" s="84" t="n">
        <x:v>8</x:v>
      </x:c>
      <x:c r="C860" s="84" t="n">
        <x:v>5</x:v>
      </x:c>
      <x:c r="D860" s="84" t="str">
        <x:v>Maio</x:v>
      </x:c>
      <x:c r="E860" s="84" t="n">
        <x:v>2</x:v>
      </x:c>
      <x:c r="F860" s="84" t="n">
        <x:v>2025</x:v>
      </x:c>
      <x:c r="G860" s="84" t="n">
        <x:v>19</x:v>
      </x:c>
      <x:c r="H860" s="84" t="str">
        <x:v>Quinta</x:v>
      </x:c>
      <x:c r="I860" s="85" t="n">
        <x:v>1</x:v>
      </x:c>
    </x:row>
    <x:row r="861">
      <x:c r="A861" s="95" t="n">
        <x:v>45786</x:v>
      </x:c>
      <x:c r="B861" s="84" t="n">
        <x:v>9</x:v>
      </x:c>
      <x:c r="C861" s="84" t="n">
        <x:v>5</x:v>
      </x:c>
      <x:c r="D861" s="84" t="str">
        <x:v>Maio</x:v>
      </x:c>
      <x:c r="E861" s="84" t="n">
        <x:v>2</x:v>
      </x:c>
      <x:c r="F861" s="84" t="n">
        <x:v>2025</x:v>
      </x:c>
      <x:c r="G861" s="84" t="n">
        <x:v>19</x:v>
      </x:c>
      <x:c r="H861" s="84" t="str">
        <x:v>Sexta</x:v>
      </x:c>
      <x:c r="I861" s="85" t="n">
        <x:v>1</x:v>
      </x:c>
    </x:row>
    <x:row r="862">
      <x:c r="A862" s="95" t="n">
        <x:v>45787</x:v>
      </x:c>
      <x:c r="B862" s="84" t="n">
        <x:v>10</x:v>
      </x:c>
      <x:c r="C862" s="84" t="n">
        <x:v>5</x:v>
      </x:c>
      <x:c r="D862" s="84" t="str">
        <x:v>Maio</x:v>
      </x:c>
      <x:c r="E862" s="84" t="n">
        <x:v>2</x:v>
      </x:c>
      <x:c r="F862" s="84" t="n">
        <x:v>2025</x:v>
      </x:c>
      <x:c r="G862" s="84" t="n">
        <x:v>19</x:v>
      </x:c>
      <x:c r="H862" s="84" t="str">
        <x:v>Sábado</x:v>
      </x:c>
      <x:c r="I862" s="85" t="n">
        <x:v>0</x:v>
      </x:c>
    </x:row>
    <x:row r="863">
      <x:c r="A863" s="95" t="n">
        <x:v>45788</x:v>
      </x:c>
      <x:c r="B863" s="84" t="n">
        <x:v>11</x:v>
      </x:c>
      <x:c r="C863" s="84" t="n">
        <x:v>5</x:v>
      </x:c>
      <x:c r="D863" s="84" t="str">
        <x:v>Maio</x:v>
      </x:c>
      <x:c r="E863" s="84" t="n">
        <x:v>2</x:v>
      </x:c>
      <x:c r="F863" s="84" t="n">
        <x:v>2025</x:v>
      </x:c>
      <x:c r="G863" s="84" t="n">
        <x:v>19</x:v>
      </x:c>
      <x:c r="H863" s="84" t="str">
        <x:v>Domingo</x:v>
      </x:c>
      <x:c r="I863" s="85" t="n">
        <x:v>0</x:v>
      </x:c>
    </x:row>
    <x:row r="864">
      <x:c r="A864" s="95" t="n">
        <x:v>45789</x:v>
      </x:c>
      <x:c r="B864" s="84" t="n">
        <x:v>12</x:v>
      </x:c>
      <x:c r="C864" s="84" t="n">
        <x:v>5</x:v>
      </x:c>
      <x:c r="D864" s="84" t="str">
        <x:v>Maio</x:v>
      </x:c>
      <x:c r="E864" s="84" t="n">
        <x:v>2</x:v>
      </x:c>
      <x:c r="F864" s="84" t="n">
        <x:v>2025</x:v>
      </x:c>
      <x:c r="G864" s="84" t="n">
        <x:v>20</x:v>
      </x:c>
      <x:c r="H864" s="84" t="str">
        <x:v>Segunda</x:v>
      </x:c>
      <x:c r="I864" s="85" t="n">
        <x:v>1</x:v>
      </x:c>
    </x:row>
    <x:row r="865">
      <x:c r="A865" s="95" t="n">
        <x:v>45790</x:v>
      </x:c>
      <x:c r="B865" s="84" t="n">
        <x:v>13</x:v>
      </x:c>
      <x:c r="C865" s="84" t="n">
        <x:v>5</x:v>
      </x:c>
      <x:c r="D865" s="84" t="str">
        <x:v>Maio</x:v>
      </x:c>
      <x:c r="E865" s="84" t="n">
        <x:v>2</x:v>
      </x:c>
      <x:c r="F865" s="84" t="n">
        <x:v>2025</x:v>
      </x:c>
      <x:c r="G865" s="84" t="n">
        <x:v>20</x:v>
      </x:c>
      <x:c r="H865" s="84" t="str">
        <x:v>Terça</x:v>
      </x:c>
      <x:c r="I865" s="85" t="n">
        <x:v>1</x:v>
      </x:c>
    </x:row>
    <x:row r="866">
      <x:c r="A866" s="95" t="n">
        <x:v>45791</x:v>
      </x:c>
      <x:c r="B866" s="84" t="n">
        <x:v>14</x:v>
      </x:c>
      <x:c r="C866" s="84" t="n">
        <x:v>5</x:v>
      </x:c>
      <x:c r="D866" s="84" t="str">
        <x:v>Maio</x:v>
      </x:c>
      <x:c r="E866" s="84" t="n">
        <x:v>2</x:v>
      </x:c>
      <x:c r="F866" s="84" t="n">
        <x:v>2025</x:v>
      </x:c>
      <x:c r="G866" s="84" t="n">
        <x:v>20</x:v>
      </x:c>
      <x:c r="H866" s="84" t="str">
        <x:v>Quarta</x:v>
      </x:c>
      <x:c r="I866" s="85" t="n">
        <x:v>1</x:v>
      </x:c>
    </x:row>
    <x:row r="867">
      <x:c r="A867" s="95" t="n">
        <x:v>45792</x:v>
      </x:c>
      <x:c r="B867" s="84" t="n">
        <x:v>15</x:v>
      </x:c>
      <x:c r="C867" s="84" t="n">
        <x:v>5</x:v>
      </x:c>
      <x:c r="D867" s="84" t="str">
        <x:v>Maio</x:v>
      </x:c>
      <x:c r="E867" s="84" t="n">
        <x:v>2</x:v>
      </x:c>
      <x:c r="F867" s="84" t="n">
        <x:v>2025</x:v>
      </x:c>
      <x:c r="G867" s="84" t="n">
        <x:v>20</x:v>
      </x:c>
      <x:c r="H867" s="84" t="str">
        <x:v>Quinta</x:v>
      </x:c>
      <x:c r="I867" s="85" t="n">
        <x:v>1</x:v>
      </x:c>
    </x:row>
    <x:row r="868">
      <x:c r="A868" s="95" t="n">
        <x:v>45793</x:v>
      </x:c>
      <x:c r="B868" s="84" t="n">
        <x:v>16</x:v>
      </x:c>
      <x:c r="C868" s="84" t="n">
        <x:v>5</x:v>
      </x:c>
      <x:c r="D868" s="84" t="str">
        <x:v>Maio</x:v>
      </x:c>
      <x:c r="E868" s="84" t="n">
        <x:v>2</x:v>
      </x:c>
      <x:c r="F868" s="84" t="n">
        <x:v>2025</x:v>
      </x:c>
      <x:c r="G868" s="84" t="n">
        <x:v>20</x:v>
      </x:c>
      <x:c r="H868" s="84" t="str">
        <x:v>Sexta</x:v>
      </x:c>
      <x:c r="I868" s="85" t="n">
        <x:v>1</x:v>
      </x:c>
    </x:row>
    <x:row r="869">
      <x:c r="A869" s="95" t="n">
        <x:v>45794</x:v>
      </x:c>
      <x:c r="B869" s="84" t="n">
        <x:v>17</x:v>
      </x:c>
      <x:c r="C869" s="84" t="n">
        <x:v>5</x:v>
      </x:c>
      <x:c r="D869" s="84" t="str">
        <x:v>Maio</x:v>
      </x:c>
      <x:c r="E869" s="84" t="n">
        <x:v>2</x:v>
      </x:c>
      <x:c r="F869" s="84" t="n">
        <x:v>2025</x:v>
      </x:c>
      <x:c r="G869" s="84" t="n">
        <x:v>20</x:v>
      </x:c>
      <x:c r="H869" s="84" t="str">
        <x:v>Sábado</x:v>
      </x:c>
      <x:c r="I869" s="85" t="n">
        <x:v>0</x:v>
      </x:c>
    </x:row>
    <x:row r="870">
      <x:c r="A870" s="95" t="n">
        <x:v>45795</x:v>
      </x:c>
      <x:c r="B870" s="84" t="n">
        <x:v>18</x:v>
      </x:c>
      <x:c r="C870" s="84" t="n">
        <x:v>5</x:v>
      </x:c>
      <x:c r="D870" s="84" t="str">
        <x:v>Maio</x:v>
      </x:c>
      <x:c r="E870" s="84" t="n">
        <x:v>2</x:v>
      </x:c>
      <x:c r="F870" s="84" t="n">
        <x:v>2025</x:v>
      </x:c>
      <x:c r="G870" s="84" t="n">
        <x:v>20</x:v>
      </x:c>
      <x:c r="H870" s="84" t="str">
        <x:v>Domingo</x:v>
      </x:c>
      <x:c r="I870" s="85" t="n">
        <x:v>0</x:v>
      </x:c>
    </x:row>
    <x:row r="871">
      <x:c r="A871" s="95" t="n">
        <x:v>45796</x:v>
      </x:c>
      <x:c r="B871" s="84" t="n">
        <x:v>19</x:v>
      </x:c>
      <x:c r="C871" s="84" t="n">
        <x:v>5</x:v>
      </x:c>
      <x:c r="D871" s="84" t="str">
        <x:v>Maio</x:v>
      </x:c>
      <x:c r="E871" s="84" t="n">
        <x:v>2</x:v>
      </x:c>
      <x:c r="F871" s="84" t="n">
        <x:v>2025</x:v>
      </x:c>
      <x:c r="G871" s="84" t="n">
        <x:v>21</x:v>
      </x:c>
      <x:c r="H871" s="84" t="str">
        <x:v>Segunda</x:v>
      </x:c>
      <x:c r="I871" s="85" t="n">
        <x:v>1</x:v>
      </x:c>
    </x:row>
    <x:row r="872">
      <x:c r="A872" s="95" t="n">
        <x:v>45797</x:v>
      </x:c>
      <x:c r="B872" s="84" t="n">
        <x:v>20</x:v>
      </x:c>
      <x:c r="C872" s="84" t="n">
        <x:v>5</x:v>
      </x:c>
      <x:c r="D872" s="84" t="str">
        <x:v>Maio</x:v>
      </x:c>
      <x:c r="E872" s="84" t="n">
        <x:v>2</x:v>
      </x:c>
      <x:c r="F872" s="84" t="n">
        <x:v>2025</x:v>
      </x:c>
      <x:c r="G872" s="84" t="n">
        <x:v>21</x:v>
      </x:c>
      <x:c r="H872" s="84" t="str">
        <x:v>Terça</x:v>
      </x:c>
      <x:c r="I872" s="85" t="n">
        <x:v>1</x:v>
      </x:c>
    </x:row>
    <x:row r="873">
      <x:c r="A873" s="95" t="n">
        <x:v>45798</x:v>
      </x:c>
      <x:c r="B873" s="84" t="n">
        <x:v>21</x:v>
      </x:c>
      <x:c r="C873" s="84" t="n">
        <x:v>5</x:v>
      </x:c>
      <x:c r="D873" s="84" t="str">
        <x:v>Maio</x:v>
      </x:c>
      <x:c r="E873" s="84" t="n">
        <x:v>2</x:v>
      </x:c>
      <x:c r="F873" s="84" t="n">
        <x:v>2025</x:v>
      </x:c>
      <x:c r="G873" s="84" t="n">
        <x:v>21</x:v>
      </x:c>
      <x:c r="H873" s="84" t="str">
        <x:v>Quarta</x:v>
      </x:c>
      <x:c r="I873" s="85" t="n">
        <x:v>1</x:v>
      </x:c>
    </x:row>
    <x:row r="874">
      <x:c r="A874" s="95" t="n">
        <x:v>45799</x:v>
      </x:c>
      <x:c r="B874" s="84" t="n">
        <x:v>22</x:v>
      </x:c>
      <x:c r="C874" s="84" t="n">
        <x:v>5</x:v>
      </x:c>
      <x:c r="D874" s="84" t="str">
        <x:v>Maio</x:v>
      </x:c>
      <x:c r="E874" s="84" t="n">
        <x:v>2</x:v>
      </x:c>
      <x:c r="F874" s="84" t="n">
        <x:v>2025</x:v>
      </x:c>
      <x:c r="G874" s="84" t="n">
        <x:v>21</x:v>
      </x:c>
      <x:c r="H874" s="84" t="str">
        <x:v>Quinta</x:v>
      </x:c>
      <x:c r="I874" s="85" t="n">
        <x:v>1</x:v>
      </x:c>
    </x:row>
    <x:row r="875">
      <x:c r="A875" s="95" t="n">
        <x:v>45800</x:v>
      </x:c>
      <x:c r="B875" s="84" t="n">
        <x:v>23</x:v>
      </x:c>
      <x:c r="C875" s="84" t="n">
        <x:v>5</x:v>
      </x:c>
      <x:c r="D875" s="84" t="str">
        <x:v>Maio</x:v>
      </x:c>
      <x:c r="E875" s="84" t="n">
        <x:v>2</x:v>
      </x:c>
      <x:c r="F875" s="84" t="n">
        <x:v>2025</x:v>
      </x:c>
      <x:c r="G875" s="84" t="n">
        <x:v>21</x:v>
      </x:c>
      <x:c r="H875" s="84" t="str">
        <x:v>Sexta</x:v>
      </x:c>
      <x:c r="I875" s="85" t="n">
        <x:v>1</x:v>
      </x:c>
    </x:row>
    <x:row r="876">
      <x:c r="A876" s="95" t="n">
        <x:v>45801</x:v>
      </x:c>
      <x:c r="B876" s="84" t="n">
        <x:v>24</x:v>
      </x:c>
      <x:c r="C876" s="84" t="n">
        <x:v>5</x:v>
      </x:c>
      <x:c r="D876" s="84" t="str">
        <x:v>Maio</x:v>
      </x:c>
      <x:c r="E876" s="84" t="n">
        <x:v>2</x:v>
      </x:c>
      <x:c r="F876" s="84" t="n">
        <x:v>2025</x:v>
      </x:c>
      <x:c r="G876" s="84" t="n">
        <x:v>21</x:v>
      </x:c>
      <x:c r="H876" s="84" t="str">
        <x:v>Sábado</x:v>
      </x:c>
      <x:c r="I876" s="85" t="n">
        <x:v>0</x:v>
      </x:c>
    </x:row>
    <x:row r="877">
      <x:c r="A877" s="95" t="n">
        <x:v>45802</x:v>
      </x:c>
      <x:c r="B877" s="84" t="n">
        <x:v>25</x:v>
      </x:c>
      <x:c r="C877" s="84" t="n">
        <x:v>5</x:v>
      </x:c>
      <x:c r="D877" s="84" t="str">
        <x:v>Maio</x:v>
      </x:c>
      <x:c r="E877" s="84" t="n">
        <x:v>2</x:v>
      </x:c>
      <x:c r="F877" s="84" t="n">
        <x:v>2025</x:v>
      </x:c>
      <x:c r="G877" s="84" t="n">
        <x:v>21</x:v>
      </x:c>
      <x:c r="H877" s="84" t="str">
        <x:v>Domingo</x:v>
      </x:c>
      <x:c r="I877" s="85" t="n">
        <x:v>0</x:v>
      </x:c>
    </x:row>
    <x:row r="878">
      <x:c r="A878" s="95" t="n">
        <x:v>45803</x:v>
      </x:c>
      <x:c r="B878" s="84" t="n">
        <x:v>26</x:v>
      </x:c>
      <x:c r="C878" s="84" t="n">
        <x:v>5</x:v>
      </x:c>
      <x:c r="D878" s="84" t="str">
        <x:v>Maio</x:v>
      </x:c>
      <x:c r="E878" s="84" t="n">
        <x:v>2</x:v>
      </x:c>
      <x:c r="F878" s="84" t="n">
        <x:v>2025</x:v>
      </x:c>
      <x:c r="G878" s="84" t="n">
        <x:v>22</x:v>
      </x:c>
      <x:c r="H878" s="84" t="str">
        <x:v>Segunda</x:v>
      </x:c>
      <x:c r="I878" s="85" t="n">
        <x:v>1</x:v>
      </x:c>
    </x:row>
    <x:row r="879">
      <x:c r="A879" s="95" t="n">
        <x:v>45804</x:v>
      </x:c>
      <x:c r="B879" s="84" t="n">
        <x:v>27</x:v>
      </x:c>
      <x:c r="C879" s="84" t="n">
        <x:v>5</x:v>
      </x:c>
      <x:c r="D879" s="84" t="str">
        <x:v>Maio</x:v>
      </x:c>
      <x:c r="E879" s="84" t="n">
        <x:v>2</x:v>
      </x:c>
      <x:c r="F879" s="84" t="n">
        <x:v>2025</x:v>
      </x:c>
      <x:c r="G879" s="84" t="n">
        <x:v>22</x:v>
      </x:c>
      <x:c r="H879" s="84" t="str">
        <x:v>Terça</x:v>
      </x:c>
      <x:c r="I879" s="85" t="n">
        <x:v>1</x:v>
      </x:c>
    </x:row>
    <x:row r="880">
      <x:c r="A880" s="95" t="n">
        <x:v>45805</x:v>
      </x:c>
      <x:c r="B880" s="84" t="n">
        <x:v>28</x:v>
      </x:c>
      <x:c r="C880" s="84" t="n">
        <x:v>5</x:v>
      </x:c>
      <x:c r="D880" s="84" t="str">
        <x:v>Maio</x:v>
      </x:c>
      <x:c r="E880" s="84" t="n">
        <x:v>2</x:v>
      </x:c>
      <x:c r="F880" s="84" t="n">
        <x:v>2025</x:v>
      </x:c>
      <x:c r="G880" s="84" t="n">
        <x:v>22</x:v>
      </x:c>
      <x:c r="H880" s="84" t="str">
        <x:v>Quarta</x:v>
      </x:c>
      <x:c r="I880" s="85" t="n">
        <x:v>1</x:v>
      </x:c>
    </x:row>
    <x:row r="881">
      <x:c r="A881" s="95" t="n">
        <x:v>45806</x:v>
      </x:c>
      <x:c r="B881" s="84" t="n">
        <x:v>29</x:v>
      </x:c>
      <x:c r="C881" s="84" t="n">
        <x:v>5</x:v>
      </x:c>
      <x:c r="D881" s="84" t="str">
        <x:v>Maio</x:v>
      </x:c>
      <x:c r="E881" s="84" t="n">
        <x:v>2</x:v>
      </x:c>
      <x:c r="F881" s="84" t="n">
        <x:v>2025</x:v>
      </x:c>
      <x:c r="G881" s="84" t="n">
        <x:v>22</x:v>
      </x:c>
      <x:c r="H881" s="84" t="str">
        <x:v>Quinta</x:v>
      </x:c>
      <x:c r="I881" s="85" t="n">
        <x:v>1</x:v>
      </x:c>
    </x:row>
    <x:row r="882">
      <x:c r="A882" s="95" t="n">
        <x:v>45807</x:v>
      </x:c>
      <x:c r="B882" s="84" t="n">
        <x:v>30</x:v>
      </x:c>
      <x:c r="C882" s="84" t="n">
        <x:v>5</x:v>
      </x:c>
      <x:c r="D882" s="84" t="str">
        <x:v>Maio</x:v>
      </x:c>
      <x:c r="E882" s="84" t="n">
        <x:v>2</x:v>
      </x:c>
      <x:c r="F882" s="84" t="n">
        <x:v>2025</x:v>
      </x:c>
      <x:c r="G882" s="84" t="n">
        <x:v>22</x:v>
      </x:c>
      <x:c r="H882" s="84" t="str">
        <x:v>Sexta</x:v>
      </x:c>
      <x:c r="I882" s="85" t="n">
        <x:v>1</x:v>
      </x:c>
    </x:row>
    <x:row r="883">
      <x:c r="A883" s="95" t="n">
        <x:v>45808</x:v>
      </x:c>
      <x:c r="B883" s="84" t="n">
        <x:v>31</x:v>
      </x:c>
      <x:c r="C883" s="84" t="n">
        <x:v>5</x:v>
      </x:c>
      <x:c r="D883" s="84" t="str">
        <x:v>Maio</x:v>
      </x:c>
      <x:c r="E883" s="84" t="n">
        <x:v>2</x:v>
      </x:c>
      <x:c r="F883" s="84" t="n">
        <x:v>2025</x:v>
      </x:c>
      <x:c r="G883" s="84" t="n">
        <x:v>22</x:v>
      </x:c>
      <x:c r="H883" s="84" t="str">
        <x:v>Sábado</x:v>
      </x:c>
      <x:c r="I883" s="85" t="n">
        <x:v>0</x:v>
      </x:c>
    </x:row>
    <x:row r="884">
      <x:c r="A884" s="95" t="n">
        <x:v>45809</x:v>
      </x:c>
      <x:c r="B884" s="84" t="n">
        <x:v>1</x:v>
      </x:c>
      <x:c r="C884" s="84" t="n">
        <x:v>6</x:v>
      </x:c>
      <x:c r="D884" s="84" t="str">
        <x:v>Junho</x:v>
      </x:c>
      <x:c r="E884" s="84" t="n">
        <x:v>2</x:v>
      </x:c>
      <x:c r="F884" s="84" t="n">
        <x:v>2025</x:v>
      </x:c>
      <x:c r="G884" s="84" t="n">
        <x:v>22</x:v>
      </x:c>
      <x:c r="H884" s="84" t="str">
        <x:v>Domingo</x:v>
      </x:c>
      <x:c r="I884" s="85" t="n">
        <x:v>0</x:v>
      </x:c>
    </x:row>
    <x:row r="885">
      <x:c r="A885" s="95" t="n">
        <x:v>45810</x:v>
      </x:c>
      <x:c r="B885" s="84" t="n">
        <x:v>2</x:v>
      </x:c>
      <x:c r="C885" s="84" t="n">
        <x:v>6</x:v>
      </x:c>
      <x:c r="D885" s="84" t="str">
        <x:v>Junho</x:v>
      </x:c>
      <x:c r="E885" s="84" t="n">
        <x:v>2</x:v>
      </x:c>
      <x:c r="F885" s="84" t="n">
        <x:v>2025</x:v>
      </x:c>
      <x:c r="G885" s="84" t="n">
        <x:v>23</x:v>
      </x:c>
      <x:c r="H885" s="84" t="str">
        <x:v>Segunda</x:v>
      </x:c>
      <x:c r="I885" s="85" t="n">
        <x:v>1</x:v>
      </x:c>
    </x:row>
    <x:row r="886">
      <x:c r="A886" s="95" t="n">
        <x:v>45811</x:v>
      </x:c>
      <x:c r="B886" s="84" t="n">
        <x:v>3</x:v>
      </x:c>
      <x:c r="C886" s="84" t="n">
        <x:v>6</x:v>
      </x:c>
      <x:c r="D886" s="84" t="str">
        <x:v>Junho</x:v>
      </x:c>
      <x:c r="E886" s="84" t="n">
        <x:v>2</x:v>
      </x:c>
      <x:c r="F886" s="84" t="n">
        <x:v>2025</x:v>
      </x:c>
      <x:c r="G886" s="84" t="n">
        <x:v>23</x:v>
      </x:c>
      <x:c r="H886" s="84" t="str">
        <x:v>Terça</x:v>
      </x:c>
      <x:c r="I886" s="85" t="n">
        <x:v>1</x:v>
      </x:c>
    </x:row>
    <x:row r="887">
      <x:c r="A887" s="95" t="n">
        <x:v>45812</x:v>
      </x:c>
      <x:c r="B887" s="84" t="n">
        <x:v>4</x:v>
      </x:c>
      <x:c r="C887" s="84" t="n">
        <x:v>6</x:v>
      </x:c>
      <x:c r="D887" s="84" t="str">
        <x:v>Junho</x:v>
      </x:c>
      <x:c r="E887" s="84" t="n">
        <x:v>2</x:v>
      </x:c>
      <x:c r="F887" s="84" t="n">
        <x:v>2025</x:v>
      </x:c>
      <x:c r="G887" s="84" t="n">
        <x:v>23</x:v>
      </x:c>
      <x:c r="H887" s="84" t="str">
        <x:v>Quarta</x:v>
      </x:c>
      <x:c r="I887" s="85" t="n">
        <x:v>1</x:v>
      </x:c>
    </x:row>
    <x:row r="888">
      <x:c r="A888" s="95" t="n">
        <x:v>45813</x:v>
      </x:c>
      <x:c r="B888" s="84" t="n">
        <x:v>5</x:v>
      </x:c>
      <x:c r="C888" s="84" t="n">
        <x:v>6</x:v>
      </x:c>
      <x:c r="D888" s="84" t="str">
        <x:v>Junho</x:v>
      </x:c>
      <x:c r="E888" s="84" t="n">
        <x:v>2</x:v>
      </x:c>
      <x:c r="F888" s="84" t="n">
        <x:v>2025</x:v>
      </x:c>
      <x:c r="G888" s="84" t="n">
        <x:v>23</x:v>
      </x:c>
      <x:c r="H888" s="84" t="str">
        <x:v>Quinta</x:v>
      </x:c>
      <x:c r="I888" s="85" t="n">
        <x:v>1</x:v>
      </x:c>
    </x:row>
    <x:row r="889">
      <x:c r="A889" s="95" t="n">
        <x:v>45814</x:v>
      </x:c>
      <x:c r="B889" s="84" t="n">
        <x:v>6</x:v>
      </x:c>
      <x:c r="C889" s="84" t="n">
        <x:v>6</x:v>
      </x:c>
      <x:c r="D889" s="84" t="str">
        <x:v>Junho</x:v>
      </x:c>
      <x:c r="E889" s="84" t="n">
        <x:v>2</x:v>
      </x:c>
      <x:c r="F889" s="84" t="n">
        <x:v>2025</x:v>
      </x:c>
      <x:c r="G889" s="84" t="n">
        <x:v>23</x:v>
      </x:c>
      <x:c r="H889" s="84" t="str">
        <x:v>Sexta</x:v>
      </x:c>
      <x:c r="I889" s="85" t="n">
        <x:v>1</x:v>
      </x:c>
    </x:row>
    <x:row r="890">
      <x:c r="A890" s="95" t="n">
        <x:v>45815</x:v>
      </x:c>
      <x:c r="B890" s="84" t="n">
        <x:v>7</x:v>
      </x:c>
      <x:c r="C890" s="84" t="n">
        <x:v>6</x:v>
      </x:c>
      <x:c r="D890" s="84" t="str">
        <x:v>Junho</x:v>
      </x:c>
      <x:c r="E890" s="84" t="n">
        <x:v>2</x:v>
      </x:c>
      <x:c r="F890" s="84" t="n">
        <x:v>2025</x:v>
      </x:c>
      <x:c r="G890" s="84" t="n">
        <x:v>23</x:v>
      </x:c>
      <x:c r="H890" s="84" t="str">
        <x:v>Sábado</x:v>
      </x:c>
      <x:c r="I890" s="85" t="n">
        <x:v>0</x:v>
      </x:c>
    </x:row>
    <x:row r="891">
      <x:c r="A891" s="95" t="n">
        <x:v>45816</x:v>
      </x:c>
      <x:c r="B891" s="84" t="n">
        <x:v>8</x:v>
      </x:c>
      <x:c r="C891" s="84" t="n">
        <x:v>6</x:v>
      </x:c>
      <x:c r="D891" s="84" t="str">
        <x:v>Junho</x:v>
      </x:c>
      <x:c r="E891" s="84" t="n">
        <x:v>2</x:v>
      </x:c>
      <x:c r="F891" s="84" t="n">
        <x:v>2025</x:v>
      </x:c>
      <x:c r="G891" s="84" t="n">
        <x:v>23</x:v>
      </x:c>
      <x:c r="H891" s="84" t="str">
        <x:v>Domingo</x:v>
      </x:c>
      <x:c r="I891" s="85" t="n">
        <x:v>0</x:v>
      </x:c>
    </x:row>
    <x:row r="892">
      <x:c r="A892" s="95" t="n">
        <x:v>45817</x:v>
      </x:c>
      <x:c r="B892" s="84" t="n">
        <x:v>9</x:v>
      </x:c>
      <x:c r="C892" s="84" t="n">
        <x:v>6</x:v>
      </x:c>
      <x:c r="D892" s="84" t="str">
        <x:v>Junho</x:v>
      </x:c>
      <x:c r="E892" s="84" t="n">
        <x:v>2</x:v>
      </x:c>
      <x:c r="F892" s="84" t="n">
        <x:v>2025</x:v>
      </x:c>
      <x:c r="G892" s="84" t="n">
        <x:v>24</x:v>
      </x:c>
      <x:c r="H892" s="84" t="str">
        <x:v>Segunda</x:v>
      </x:c>
      <x:c r="I892" s="85" t="n">
        <x:v>1</x:v>
      </x:c>
    </x:row>
    <x:row r="893">
      <x:c r="A893" s="95" t="n">
        <x:v>45818</x:v>
      </x:c>
      <x:c r="B893" s="84" t="n">
        <x:v>10</x:v>
      </x:c>
      <x:c r="C893" s="84" t="n">
        <x:v>6</x:v>
      </x:c>
      <x:c r="D893" s="84" t="str">
        <x:v>Junho</x:v>
      </x:c>
      <x:c r="E893" s="84" t="n">
        <x:v>2</x:v>
      </x:c>
      <x:c r="F893" s="84" t="n">
        <x:v>2025</x:v>
      </x:c>
      <x:c r="G893" s="84" t="n">
        <x:v>24</x:v>
      </x:c>
      <x:c r="H893" s="84" t="str">
        <x:v>Terça</x:v>
      </x:c>
      <x:c r="I893" s="85" t="n">
        <x:v>1</x:v>
      </x:c>
    </x:row>
    <x:row r="894">
      <x:c r="A894" s="95" t="n">
        <x:v>45819</x:v>
      </x:c>
      <x:c r="B894" s="84" t="n">
        <x:v>11</x:v>
      </x:c>
      <x:c r="C894" s="84" t="n">
        <x:v>6</x:v>
      </x:c>
      <x:c r="D894" s="84" t="str">
        <x:v>Junho</x:v>
      </x:c>
      <x:c r="E894" s="84" t="n">
        <x:v>2</x:v>
      </x:c>
      <x:c r="F894" s="84" t="n">
        <x:v>2025</x:v>
      </x:c>
      <x:c r="G894" s="84" t="n">
        <x:v>24</x:v>
      </x:c>
      <x:c r="H894" s="84" t="str">
        <x:v>Quarta</x:v>
      </x:c>
      <x:c r="I894" s="85" t="n">
        <x:v>1</x:v>
      </x:c>
    </x:row>
    <x:row r="895">
      <x:c r="A895" s="95" t="n">
        <x:v>45820</x:v>
      </x:c>
      <x:c r="B895" s="84" t="n">
        <x:v>12</x:v>
      </x:c>
      <x:c r="C895" s="84" t="n">
        <x:v>6</x:v>
      </x:c>
      <x:c r="D895" s="84" t="str">
        <x:v>Junho</x:v>
      </x:c>
      <x:c r="E895" s="84" t="n">
        <x:v>2</x:v>
      </x:c>
      <x:c r="F895" s="84" t="n">
        <x:v>2025</x:v>
      </x:c>
      <x:c r="G895" s="84" t="n">
        <x:v>24</x:v>
      </x:c>
      <x:c r="H895" s="84" t="str">
        <x:v>Quinta</x:v>
      </x:c>
      <x:c r="I895" s="85" t="n">
        <x:v>1</x:v>
      </x:c>
    </x:row>
    <x:row r="896">
      <x:c r="A896" s="95" t="n">
        <x:v>45821</x:v>
      </x:c>
      <x:c r="B896" s="84" t="n">
        <x:v>13</x:v>
      </x:c>
      <x:c r="C896" s="84" t="n">
        <x:v>6</x:v>
      </x:c>
      <x:c r="D896" s="84" t="str">
        <x:v>Junho</x:v>
      </x:c>
      <x:c r="E896" s="84" t="n">
        <x:v>2</x:v>
      </x:c>
      <x:c r="F896" s="84" t="n">
        <x:v>2025</x:v>
      </x:c>
      <x:c r="G896" s="84" t="n">
        <x:v>24</x:v>
      </x:c>
      <x:c r="H896" s="84" t="str">
        <x:v>Sexta</x:v>
      </x:c>
      <x:c r="I896" s="85" t="n">
        <x:v>1</x:v>
      </x:c>
    </x:row>
    <x:row r="897">
      <x:c r="A897" s="95" t="n">
        <x:v>45822</x:v>
      </x:c>
      <x:c r="B897" s="84" t="n">
        <x:v>14</x:v>
      </x:c>
      <x:c r="C897" s="84" t="n">
        <x:v>6</x:v>
      </x:c>
      <x:c r="D897" s="84" t="str">
        <x:v>Junho</x:v>
      </x:c>
      <x:c r="E897" s="84" t="n">
        <x:v>2</x:v>
      </x:c>
      <x:c r="F897" s="84" t="n">
        <x:v>2025</x:v>
      </x:c>
      <x:c r="G897" s="84" t="n">
        <x:v>24</x:v>
      </x:c>
      <x:c r="H897" s="84" t="str">
        <x:v>Sábado</x:v>
      </x:c>
      <x:c r="I897" s="85" t="n">
        <x:v>0</x:v>
      </x:c>
    </x:row>
    <x:row r="898">
      <x:c r="A898" s="95" t="n">
        <x:v>45823</x:v>
      </x:c>
      <x:c r="B898" s="84" t="n">
        <x:v>15</x:v>
      </x:c>
      <x:c r="C898" s="84" t="n">
        <x:v>6</x:v>
      </x:c>
      <x:c r="D898" s="84" t="str">
        <x:v>Junho</x:v>
      </x:c>
      <x:c r="E898" s="84" t="n">
        <x:v>2</x:v>
      </x:c>
      <x:c r="F898" s="84" t="n">
        <x:v>2025</x:v>
      </x:c>
      <x:c r="G898" s="84" t="n">
        <x:v>24</x:v>
      </x:c>
      <x:c r="H898" s="84" t="str">
        <x:v>Domingo</x:v>
      </x:c>
      <x:c r="I898" s="85" t="n">
        <x:v>0</x:v>
      </x:c>
    </x:row>
    <x:row r="899">
      <x:c r="A899" s="95" t="n">
        <x:v>45824</x:v>
      </x:c>
      <x:c r="B899" s="84" t="n">
        <x:v>16</x:v>
      </x:c>
      <x:c r="C899" s="84" t="n">
        <x:v>6</x:v>
      </x:c>
      <x:c r="D899" s="84" t="str">
        <x:v>Junho</x:v>
      </x:c>
      <x:c r="E899" s="84" t="n">
        <x:v>2</x:v>
      </x:c>
      <x:c r="F899" s="84" t="n">
        <x:v>2025</x:v>
      </x:c>
      <x:c r="G899" s="84" t="n">
        <x:v>25</x:v>
      </x:c>
      <x:c r="H899" s="84" t="str">
        <x:v>Segunda</x:v>
      </x:c>
      <x:c r="I899" s="85" t="n">
        <x:v>1</x:v>
      </x:c>
    </x:row>
    <x:row r="900">
      <x:c r="A900" s="95" t="n">
        <x:v>45825</x:v>
      </x:c>
      <x:c r="B900" s="84" t="n">
        <x:v>17</x:v>
      </x:c>
      <x:c r="C900" s="84" t="n">
        <x:v>6</x:v>
      </x:c>
      <x:c r="D900" s="84" t="str">
        <x:v>Junho</x:v>
      </x:c>
      <x:c r="E900" s="84" t="n">
        <x:v>2</x:v>
      </x:c>
      <x:c r="F900" s="84" t="n">
        <x:v>2025</x:v>
      </x:c>
      <x:c r="G900" s="84" t="n">
        <x:v>25</x:v>
      </x:c>
      <x:c r="H900" s="84" t="str">
        <x:v>Terça</x:v>
      </x:c>
      <x:c r="I900" s="85" t="n">
        <x:v>1</x:v>
      </x:c>
    </x:row>
    <x:row r="901">
      <x:c r="A901" s="95" t="n">
        <x:v>45826</x:v>
      </x:c>
      <x:c r="B901" s="84" t="n">
        <x:v>18</x:v>
      </x:c>
      <x:c r="C901" s="84" t="n">
        <x:v>6</x:v>
      </x:c>
      <x:c r="D901" s="84" t="str">
        <x:v>Junho</x:v>
      </x:c>
      <x:c r="E901" s="84" t="n">
        <x:v>2</x:v>
      </x:c>
      <x:c r="F901" s="84" t="n">
        <x:v>2025</x:v>
      </x:c>
      <x:c r="G901" s="84" t="n">
        <x:v>25</x:v>
      </x:c>
      <x:c r="H901" s="84" t="str">
        <x:v>Quarta</x:v>
      </x:c>
      <x:c r="I901" s="85" t="n">
        <x:v>1</x:v>
      </x:c>
    </x:row>
    <x:row r="902">
      <x:c r="A902" s="95" t="n">
        <x:v>45827</x:v>
      </x:c>
      <x:c r="B902" s="84" t="n">
        <x:v>19</x:v>
      </x:c>
      <x:c r="C902" s="84" t="n">
        <x:v>6</x:v>
      </x:c>
      <x:c r="D902" s="84" t="str">
        <x:v>Junho</x:v>
      </x:c>
      <x:c r="E902" s="84" t="n">
        <x:v>2</x:v>
      </x:c>
      <x:c r="F902" s="84" t="n">
        <x:v>2025</x:v>
      </x:c>
      <x:c r="G902" s="84" t="n">
        <x:v>25</x:v>
      </x:c>
      <x:c r="H902" s="84" t="str">
        <x:v>Quinta</x:v>
      </x:c>
      <x:c r="I902" s="85" t="n">
        <x:v>1</x:v>
      </x:c>
    </x:row>
    <x:row r="903">
      <x:c r="A903" s="95" t="n">
        <x:v>45828</x:v>
      </x:c>
      <x:c r="B903" s="84" t="n">
        <x:v>20</x:v>
      </x:c>
      <x:c r="C903" s="84" t="n">
        <x:v>6</x:v>
      </x:c>
      <x:c r="D903" s="84" t="str">
        <x:v>Junho</x:v>
      </x:c>
      <x:c r="E903" s="84" t="n">
        <x:v>2</x:v>
      </x:c>
      <x:c r="F903" s="84" t="n">
        <x:v>2025</x:v>
      </x:c>
      <x:c r="G903" s="84" t="n">
        <x:v>25</x:v>
      </x:c>
      <x:c r="H903" s="84" t="str">
        <x:v>Sexta</x:v>
      </x:c>
      <x:c r="I903" s="85" t="n">
        <x:v>1</x:v>
      </x:c>
    </x:row>
    <x:row r="904">
      <x:c r="A904" s="95" t="n">
        <x:v>45829</x:v>
      </x:c>
      <x:c r="B904" s="84" t="n">
        <x:v>21</x:v>
      </x:c>
      <x:c r="C904" s="84" t="n">
        <x:v>6</x:v>
      </x:c>
      <x:c r="D904" s="84" t="str">
        <x:v>Junho</x:v>
      </x:c>
      <x:c r="E904" s="84" t="n">
        <x:v>2</x:v>
      </x:c>
      <x:c r="F904" s="84" t="n">
        <x:v>2025</x:v>
      </x:c>
      <x:c r="G904" s="84" t="n">
        <x:v>25</x:v>
      </x:c>
      <x:c r="H904" s="84" t="str">
        <x:v>Sábado</x:v>
      </x:c>
      <x:c r="I904" s="85" t="n">
        <x:v>0</x:v>
      </x:c>
    </x:row>
    <x:row r="905">
      <x:c r="A905" s="95" t="n">
        <x:v>45830</x:v>
      </x:c>
      <x:c r="B905" s="84" t="n">
        <x:v>22</x:v>
      </x:c>
      <x:c r="C905" s="84" t="n">
        <x:v>6</x:v>
      </x:c>
      <x:c r="D905" s="84" t="str">
        <x:v>Junho</x:v>
      </x:c>
      <x:c r="E905" s="84" t="n">
        <x:v>2</x:v>
      </x:c>
      <x:c r="F905" s="84" t="n">
        <x:v>2025</x:v>
      </x:c>
      <x:c r="G905" s="84" t="n">
        <x:v>25</x:v>
      </x:c>
      <x:c r="H905" s="84" t="str">
        <x:v>Domingo</x:v>
      </x:c>
      <x:c r="I905" s="85" t="n">
        <x:v>0</x:v>
      </x:c>
    </x:row>
    <x:row r="906">
      <x:c r="A906" s="95" t="n">
        <x:v>45831</x:v>
      </x:c>
      <x:c r="B906" s="84" t="n">
        <x:v>23</x:v>
      </x:c>
      <x:c r="C906" s="84" t="n">
        <x:v>6</x:v>
      </x:c>
      <x:c r="D906" s="84" t="str">
        <x:v>Junho</x:v>
      </x:c>
      <x:c r="E906" s="84" t="n">
        <x:v>2</x:v>
      </x:c>
      <x:c r="F906" s="84" t="n">
        <x:v>2025</x:v>
      </x:c>
      <x:c r="G906" s="84" t="n">
        <x:v>26</x:v>
      </x:c>
      <x:c r="H906" s="84" t="str">
        <x:v>Segunda</x:v>
      </x:c>
      <x:c r="I906" s="85" t="n">
        <x:v>1</x:v>
      </x:c>
    </x:row>
    <x:row r="907">
      <x:c r="A907" s="95" t="n">
        <x:v>45832</x:v>
      </x:c>
      <x:c r="B907" s="84" t="n">
        <x:v>24</x:v>
      </x:c>
      <x:c r="C907" s="84" t="n">
        <x:v>6</x:v>
      </x:c>
      <x:c r="D907" s="84" t="str">
        <x:v>Junho</x:v>
      </x:c>
      <x:c r="E907" s="84" t="n">
        <x:v>2</x:v>
      </x:c>
      <x:c r="F907" s="84" t="n">
        <x:v>2025</x:v>
      </x:c>
      <x:c r="G907" s="84" t="n">
        <x:v>26</x:v>
      </x:c>
      <x:c r="H907" s="84" t="str">
        <x:v>Terça</x:v>
      </x:c>
      <x:c r="I907" s="85" t="n">
        <x:v>1</x:v>
      </x:c>
    </x:row>
    <x:row r="908">
      <x:c r="A908" s="95" t="n">
        <x:v>45833</x:v>
      </x:c>
      <x:c r="B908" s="84" t="n">
        <x:v>25</x:v>
      </x:c>
      <x:c r="C908" s="84" t="n">
        <x:v>6</x:v>
      </x:c>
      <x:c r="D908" s="84" t="str">
        <x:v>Junho</x:v>
      </x:c>
      <x:c r="E908" s="84" t="n">
        <x:v>2</x:v>
      </x:c>
      <x:c r="F908" s="84" t="n">
        <x:v>2025</x:v>
      </x:c>
      <x:c r="G908" s="84" t="n">
        <x:v>26</x:v>
      </x:c>
      <x:c r="H908" s="84" t="str">
        <x:v>Quarta</x:v>
      </x:c>
      <x:c r="I908" s="85" t="n">
        <x:v>1</x:v>
      </x:c>
    </x:row>
    <x:row r="909">
      <x:c r="A909" s="95" t="n">
        <x:v>45834</x:v>
      </x:c>
      <x:c r="B909" s="84" t="n">
        <x:v>26</x:v>
      </x:c>
      <x:c r="C909" s="84" t="n">
        <x:v>6</x:v>
      </x:c>
      <x:c r="D909" s="84" t="str">
        <x:v>Junho</x:v>
      </x:c>
      <x:c r="E909" s="84" t="n">
        <x:v>2</x:v>
      </x:c>
      <x:c r="F909" s="84" t="n">
        <x:v>2025</x:v>
      </x:c>
      <x:c r="G909" s="84" t="n">
        <x:v>26</x:v>
      </x:c>
      <x:c r="H909" s="84" t="str">
        <x:v>Quinta</x:v>
      </x:c>
      <x:c r="I909" s="85" t="n">
        <x:v>1</x:v>
      </x:c>
    </x:row>
    <x:row r="910">
      <x:c r="A910" s="95" t="n">
        <x:v>45835</x:v>
      </x:c>
      <x:c r="B910" s="84" t="n">
        <x:v>27</x:v>
      </x:c>
      <x:c r="C910" s="84" t="n">
        <x:v>6</x:v>
      </x:c>
      <x:c r="D910" s="84" t="str">
        <x:v>Junho</x:v>
      </x:c>
      <x:c r="E910" s="84" t="n">
        <x:v>2</x:v>
      </x:c>
      <x:c r="F910" s="84" t="n">
        <x:v>2025</x:v>
      </x:c>
      <x:c r="G910" s="84" t="n">
        <x:v>26</x:v>
      </x:c>
      <x:c r="H910" s="84" t="str">
        <x:v>Sexta</x:v>
      </x:c>
      <x:c r="I910" s="85" t="n">
        <x:v>1</x:v>
      </x:c>
    </x:row>
    <x:row r="911">
      <x:c r="A911" s="95" t="n">
        <x:v>45836</x:v>
      </x:c>
      <x:c r="B911" s="84" t="n">
        <x:v>28</x:v>
      </x:c>
      <x:c r="C911" s="84" t="n">
        <x:v>6</x:v>
      </x:c>
      <x:c r="D911" s="84" t="str">
        <x:v>Junho</x:v>
      </x:c>
      <x:c r="E911" s="84" t="n">
        <x:v>2</x:v>
      </x:c>
      <x:c r="F911" s="84" t="n">
        <x:v>2025</x:v>
      </x:c>
      <x:c r="G911" s="84" t="n">
        <x:v>26</x:v>
      </x:c>
      <x:c r="H911" s="84" t="str">
        <x:v>Sábado</x:v>
      </x:c>
      <x:c r="I911" s="85" t="n">
        <x:v>0</x:v>
      </x:c>
    </x:row>
    <x:row r="912">
      <x:c r="A912" s="95" t="n">
        <x:v>45837</x:v>
      </x:c>
      <x:c r="B912" s="84" t="n">
        <x:v>29</x:v>
      </x:c>
      <x:c r="C912" s="84" t="n">
        <x:v>6</x:v>
      </x:c>
      <x:c r="D912" s="84" t="str">
        <x:v>Junho</x:v>
      </x:c>
      <x:c r="E912" s="84" t="n">
        <x:v>2</x:v>
      </x:c>
      <x:c r="F912" s="84" t="n">
        <x:v>2025</x:v>
      </x:c>
      <x:c r="G912" s="84" t="n">
        <x:v>26</x:v>
      </x:c>
      <x:c r="H912" s="84" t="str">
        <x:v>Domingo</x:v>
      </x:c>
      <x:c r="I912" s="85" t="n">
        <x:v>0</x:v>
      </x:c>
    </x:row>
    <x:row r="913">
      <x:c r="A913" s="95" t="n">
        <x:v>45838</x:v>
      </x:c>
      <x:c r="B913" s="84" t="n">
        <x:v>30</x:v>
      </x:c>
      <x:c r="C913" s="84" t="n">
        <x:v>6</x:v>
      </x:c>
      <x:c r="D913" s="84" t="str">
        <x:v>Junho</x:v>
      </x:c>
      <x:c r="E913" s="84" t="n">
        <x:v>2</x:v>
      </x:c>
      <x:c r="F913" s="84" t="n">
        <x:v>2025</x:v>
      </x:c>
      <x:c r="G913" s="84" t="n">
        <x:v>27</x:v>
      </x:c>
      <x:c r="H913" s="84" t="str">
        <x:v>Segunda</x:v>
      </x:c>
      <x:c r="I913" s="85" t="n">
        <x:v>1</x:v>
      </x:c>
    </x:row>
    <x:row r="914">
      <x:c r="A914" s="95" t="n">
        <x:v>45839</x:v>
      </x:c>
      <x:c r="B914" s="84" t="n">
        <x:v>1</x:v>
      </x:c>
      <x:c r="C914" s="84" t="n">
        <x:v>7</x:v>
      </x:c>
      <x:c r="D914" s="84" t="str">
        <x:v>Julho</x:v>
      </x:c>
      <x:c r="E914" s="84" t="n">
        <x:v>3</x:v>
      </x:c>
      <x:c r="F914" s="84" t="n">
        <x:v>2025</x:v>
      </x:c>
      <x:c r="G914" s="84" t="n">
        <x:v>27</x:v>
      </x:c>
      <x:c r="H914" s="84" t="str">
        <x:v>Terça</x:v>
      </x:c>
      <x:c r="I914" s="85" t="n">
        <x:v>1</x:v>
      </x:c>
    </x:row>
    <x:row r="915">
      <x:c r="A915" s="95" t="n">
        <x:v>45840</x:v>
      </x:c>
      <x:c r="B915" s="84" t="n">
        <x:v>2</x:v>
      </x:c>
      <x:c r="C915" s="84" t="n">
        <x:v>7</x:v>
      </x:c>
      <x:c r="D915" s="84" t="str">
        <x:v>Julho</x:v>
      </x:c>
      <x:c r="E915" s="84" t="n">
        <x:v>3</x:v>
      </x:c>
      <x:c r="F915" s="84" t="n">
        <x:v>2025</x:v>
      </x:c>
      <x:c r="G915" s="84" t="n">
        <x:v>27</x:v>
      </x:c>
      <x:c r="H915" s="84" t="str">
        <x:v>Quarta</x:v>
      </x:c>
      <x:c r="I915" s="85" t="n">
        <x:v>1</x:v>
      </x:c>
    </x:row>
    <x:row r="916">
      <x:c r="A916" s="95" t="n">
        <x:v>45841</x:v>
      </x:c>
      <x:c r="B916" s="84" t="n">
        <x:v>3</x:v>
      </x:c>
      <x:c r="C916" s="84" t="n">
        <x:v>7</x:v>
      </x:c>
      <x:c r="D916" s="84" t="str">
        <x:v>Julho</x:v>
      </x:c>
      <x:c r="E916" s="84" t="n">
        <x:v>3</x:v>
      </x:c>
      <x:c r="F916" s="84" t="n">
        <x:v>2025</x:v>
      </x:c>
      <x:c r="G916" s="84" t="n">
        <x:v>27</x:v>
      </x:c>
      <x:c r="H916" s="84" t="str">
        <x:v>Quinta</x:v>
      </x:c>
      <x:c r="I916" s="85" t="n">
        <x:v>1</x:v>
      </x:c>
    </x:row>
    <x:row r="917">
      <x:c r="A917" s="95" t="n">
        <x:v>45842</x:v>
      </x:c>
      <x:c r="B917" s="84" t="n">
        <x:v>4</x:v>
      </x:c>
      <x:c r="C917" s="84" t="n">
        <x:v>7</x:v>
      </x:c>
      <x:c r="D917" s="84" t="str">
        <x:v>Julho</x:v>
      </x:c>
      <x:c r="E917" s="84" t="n">
        <x:v>3</x:v>
      </x:c>
      <x:c r="F917" s="84" t="n">
        <x:v>2025</x:v>
      </x:c>
      <x:c r="G917" s="84" t="n">
        <x:v>27</x:v>
      </x:c>
      <x:c r="H917" s="84" t="str">
        <x:v>Sexta</x:v>
      </x:c>
      <x:c r="I917" s="85" t="n">
        <x:v>1</x:v>
      </x:c>
    </x:row>
    <x:row r="918">
      <x:c r="A918" s="95" t="n">
        <x:v>45843</x:v>
      </x:c>
      <x:c r="B918" s="84" t="n">
        <x:v>5</x:v>
      </x:c>
      <x:c r="C918" s="84" t="n">
        <x:v>7</x:v>
      </x:c>
      <x:c r="D918" s="84" t="str">
        <x:v>Julho</x:v>
      </x:c>
      <x:c r="E918" s="84" t="n">
        <x:v>3</x:v>
      </x:c>
      <x:c r="F918" s="84" t="n">
        <x:v>2025</x:v>
      </x:c>
      <x:c r="G918" s="84" t="n">
        <x:v>27</x:v>
      </x:c>
      <x:c r="H918" s="84" t="str">
        <x:v>Sábado</x:v>
      </x:c>
      <x:c r="I918" s="85" t="n">
        <x:v>0</x:v>
      </x:c>
    </x:row>
    <x:row r="919">
      <x:c r="A919" s="95" t="n">
        <x:v>45844</x:v>
      </x:c>
      <x:c r="B919" s="84" t="n">
        <x:v>6</x:v>
      </x:c>
      <x:c r="C919" s="84" t="n">
        <x:v>7</x:v>
      </x:c>
      <x:c r="D919" s="84" t="str">
        <x:v>Julho</x:v>
      </x:c>
      <x:c r="E919" s="84" t="n">
        <x:v>3</x:v>
      </x:c>
      <x:c r="F919" s="84" t="n">
        <x:v>2025</x:v>
      </x:c>
      <x:c r="G919" s="84" t="n">
        <x:v>27</x:v>
      </x:c>
      <x:c r="H919" s="84" t="str">
        <x:v>Domingo</x:v>
      </x:c>
      <x:c r="I919" s="85" t="n">
        <x:v>0</x:v>
      </x:c>
    </x:row>
    <x:row r="920">
      <x:c r="A920" s="95" t="n">
        <x:v>45845</x:v>
      </x:c>
      <x:c r="B920" s="84" t="n">
        <x:v>7</x:v>
      </x:c>
      <x:c r="C920" s="84" t="n">
        <x:v>7</x:v>
      </x:c>
      <x:c r="D920" s="84" t="str">
        <x:v>Julho</x:v>
      </x:c>
      <x:c r="E920" s="84" t="n">
        <x:v>3</x:v>
      </x:c>
      <x:c r="F920" s="84" t="n">
        <x:v>2025</x:v>
      </x:c>
      <x:c r="G920" s="84" t="n">
        <x:v>28</x:v>
      </x:c>
      <x:c r="H920" s="84" t="str">
        <x:v>Segunda</x:v>
      </x:c>
      <x:c r="I920" s="85" t="n">
        <x:v>1</x:v>
      </x:c>
    </x:row>
    <x:row r="921">
      <x:c r="A921" s="95" t="n">
        <x:v>45846</x:v>
      </x:c>
      <x:c r="B921" s="84" t="n">
        <x:v>8</x:v>
      </x:c>
      <x:c r="C921" s="84" t="n">
        <x:v>7</x:v>
      </x:c>
      <x:c r="D921" s="84" t="str">
        <x:v>Julho</x:v>
      </x:c>
      <x:c r="E921" s="84" t="n">
        <x:v>3</x:v>
      </x:c>
      <x:c r="F921" s="84" t="n">
        <x:v>2025</x:v>
      </x:c>
      <x:c r="G921" s="84" t="n">
        <x:v>28</x:v>
      </x:c>
      <x:c r="H921" s="84" t="str">
        <x:v>Terça</x:v>
      </x:c>
      <x:c r="I921" s="85" t="n">
        <x:v>1</x:v>
      </x:c>
    </x:row>
    <x:row r="922">
      <x:c r="A922" s="95" t="n">
        <x:v>45847</x:v>
      </x:c>
      <x:c r="B922" s="84" t="n">
        <x:v>9</x:v>
      </x:c>
      <x:c r="C922" s="84" t="n">
        <x:v>7</x:v>
      </x:c>
      <x:c r="D922" s="84" t="str">
        <x:v>Julho</x:v>
      </x:c>
      <x:c r="E922" s="84" t="n">
        <x:v>3</x:v>
      </x:c>
      <x:c r="F922" s="84" t="n">
        <x:v>2025</x:v>
      </x:c>
      <x:c r="G922" s="84" t="n">
        <x:v>28</x:v>
      </x:c>
      <x:c r="H922" s="84" t="str">
        <x:v>Quarta</x:v>
      </x:c>
      <x:c r="I922" s="85" t="n">
        <x:v>1</x:v>
      </x:c>
    </x:row>
    <x:row r="923">
      <x:c r="A923" s="95" t="n">
        <x:v>45848</x:v>
      </x:c>
      <x:c r="B923" s="84" t="n">
        <x:v>10</x:v>
      </x:c>
      <x:c r="C923" s="84" t="n">
        <x:v>7</x:v>
      </x:c>
      <x:c r="D923" s="84" t="str">
        <x:v>Julho</x:v>
      </x:c>
      <x:c r="E923" s="84" t="n">
        <x:v>3</x:v>
      </x:c>
      <x:c r="F923" s="84" t="n">
        <x:v>2025</x:v>
      </x:c>
      <x:c r="G923" s="84" t="n">
        <x:v>28</x:v>
      </x:c>
      <x:c r="H923" s="84" t="str">
        <x:v>Quinta</x:v>
      </x:c>
      <x:c r="I923" s="85" t="n">
        <x:v>1</x:v>
      </x:c>
    </x:row>
    <x:row r="924">
      <x:c r="A924" s="95" t="n">
        <x:v>45849</x:v>
      </x:c>
      <x:c r="B924" s="84" t="n">
        <x:v>11</x:v>
      </x:c>
      <x:c r="C924" s="84" t="n">
        <x:v>7</x:v>
      </x:c>
      <x:c r="D924" s="84" t="str">
        <x:v>Julho</x:v>
      </x:c>
      <x:c r="E924" s="84" t="n">
        <x:v>3</x:v>
      </x:c>
      <x:c r="F924" s="84" t="n">
        <x:v>2025</x:v>
      </x:c>
      <x:c r="G924" s="84" t="n">
        <x:v>28</x:v>
      </x:c>
      <x:c r="H924" s="84" t="str">
        <x:v>Sexta</x:v>
      </x:c>
      <x:c r="I924" s="85" t="n">
        <x:v>1</x:v>
      </x:c>
    </x:row>
    <x:row r="925">
      <x:c r="A925" s="95" t="n">
        <x:v>45850</x:v>
      </x:c>
      <x:c r="B925" s="84" t="n">
        <x:v>12</x:v>
      </x:c>
      <x:c r="C925" s="84" t="n">
        <x:v>7</x:v>
      </x:c>
      <x:c r="D925" s="84" t="str">
        <x:v>Julho</x:v>
      </x:c>
      <x:c r="E925" s="84" t="n">
        <x:v>3</x:v>
      </x:c>
      <x:c r="F925" s="84" t="n">
        <x:v>2025</x:v>
      </x:c>
      <x:c r="G925" s="84" t="n">
        <x:v>28</x:v>
      </x:c>
      <x:c r="H925" s="84" t="str">
        <x:v>Sábado</x:v>
      </x:c>
      <x:c r="I925" s="85" t="n">
        <x:v>0</x:v>
      </x:c>
    </x:row>
    <x:row r="926">
      <x:c r="A926" s="95" t="n">
        <x:v>45851</x:v>
      </x:c>
      <x:c r="B926" s="84" t="n">
        <x:v>13</x:v>
      </x:c>
      <x:c r="C926" s="84" t="n">
        <x:v>7</x:v>
      </x:c>
      <x:c r="D926" s="84" t="str">
        <x:v>Julho</x:v>
      </x:c>
      <x:c r="E926" s="84" t="n">
        <x:v>3</x:v>
      </x:c>
      <x:c r="F926" s="84" t="n">
        <x:v>2025</x:v>
      </x:c>
      <x:c r="G926" s="84" t="n">
        <x:v>28</x:v>
      </x:c>
      <x:c r="H926" s="84" t="str">
        <x:v>Domingo</x:v>
      </x:c>
      <x:c r="I926" s="85" t="n">
        <x:v>0</x:v>
      </x:c>
    </x:row>
    <x:row r="927">
      <x:c r="A927" s="95" t="n">
        <x:v>45852</x:v>
      </x:c>
      <x:c r="B927" s="84" t="n">
        <x:v>14</x:v>
      </x:c>
      <x:c r="C927" s="84" t="n">
        <x:v>7</x:v>
      </x:c>
      <x:c r="D927" s="84" t="str">
        <x:v>Julho</x:v>
      </x:c>
      <x:c r="E927" s="84" t="n">
        <x:v>3</x:v>
      </x:c>
      <x:c r="F927" s="84" t="n">
        <x:v>2025</x:v>
      </x:c>
      <x:c r="G927" s="84" t="n">
        <x:v>29</x:v>
      </x:c>
      <x:c r="H927" s="84" t="str">
        <x:v>Segunda</x:v>
      </x:c>
      <x:c r="I927" s="85" t="n">
        <x:v>1</x:v>
      </x:c>
    </x:row>
    <x:row r="928">
      <x:c r="A928" s="95" t="n">
        <x:v>45853</x:v>
      </x:c>
      <x:c r="B928" s="84" t="n">
        <x:v>15</x:v>
      </x:c>
      <x:c r="C928" s="84" t="n">
        <x:v>7</x:v>
      </x:c>
      <x:c r="D928" s="84" t="str">
        <x:v>Julho</x:v>
      </x:c>
      <x:c r="E928" s="84" t="n">
        <x:v>3</x:v>
      </x:c>
      <x:c r="F928" s="84" t="n">
        <x:v>2025</x:v>
      </x:c>
      <x:c r="G928" s="84" t="n">
        <x:v>29</x:v>
      </x:c>
      <x:c r="H928" s="84" t="str">
        <x:v>Terça</x:v>
      </x:c>
      <x:c r="I928" s="85" t="n">
        <x:v>1</x:v>
      </x:c>
    </x:row>
    <x:row r="929">
      <x:c r="A929" s="95" t="n">
        <x:v>45854</x:v>
      </x:c>
      <x:c r="B929" s="84" t="n">
        <x:v>16</x:v>
      </x:c>
      <x:c r="C929" s="84" t="n">
        <x:v>7</x:v>
      </x:c>
      <x:c r="D929" s="84" t="str">
        <x:v>Julho</x:v>
      </x:c>
      <x:c r="E929" s="84" t="n">
        <x:v>3</x:v>
      </x:c>
      <x:c r="F929" s="84" t="n">
        <x:v>2025</x:v>
      </x:c>
      <x:c r="G929" s="84" t="n">
        <x:v>29</x:v>
      </x:c>
      <x:c r="H929" s="84" t="str">
        <x:v>Quarta</x:v>
      </x:c>
      <x:c r="I929" s="85" t="n">
        <x:v>1</x:v>
      </x:c>
    </x:row>
    <x:row r="930">
      <x:c r="A930" s="95" t="n">
        <x:v>45855</x:v>
      </x:c>
      <x:c r="B930" s="84" t="n">
        <x:v>17</x:v>
      </x:c>
      <x:c r="C930" s="84" t="n">
        <x:v>7</x:v>
      </x:c>
      <x:c r="D930" s="84" t="str">
        <x:v>Julho</x:v>
      </x:c>
      <x:c r="E930" s="84" t="n">
        <x:v>3</x:v>
      </x:c>
      <x:c r="F930" s="84" t="n">
        <x:v>2025</x:v>
      </x:c>
      <x:c r="G930" s="84" t="n">
        <x:v>29</x:v>
      </x:c>
      <x:c r="H930" s="84" t="str">
        <x:v>Quinta</x:v>
      </x:c>
      <x:c r="I930" s="85" t="n">
        <x:v>1</x:v>
      </x:c>
    </x:row>
    <x:row r="931">
      <x:c r="A931" s="95" t="n">
        <x:v>45856</x:v>
      </x:c>
      <x:c r="B931" s="84" t="n">
        <x:v>18</x:v>
      </x:c>
      <x:c r="C931" s="84" t="n">
        <x:v>7</x:v>
      </x:c>
      <x:c r="D931" s="84" t="str">
        <x:v>Julho</x:v>
      </x:c>
      <x:c r="E931" s="84" t="n">
        <x:v>3</x:v>
      </x:c>
      <x:c r="F931" s="84" t="n">
        <x:v>2025</x:v>
      </x:c>
      <x:c r="G931" s="84" t="n">
        <x:v>29</x:v>
      </x:c>
      <x:c r="H931" s="84" t="str">
        <x:v>Sexta</x:v>
      </x:c>
      <x:c r="I931" s="85" t="n">
        <x:v>1</x:v>
      </x:c>
    </x:row>
    <x:row r="932">
      <x:c r="A932" s="95" t="n">
        <x:v>45857</x:v>
      </x:c>
      <x:c r="B932" s="84" t="n">
        <x:v>19</x:v>
      </x:c>
      <x:c r="C932" s="84" t="n">
        <x:v>7</x:v>
      </x:c>
      <x:c r="D932" s="84" t="str">
        <x:v>Julho</x:v>
      </x:c>
      <x:c r="E932" s="84" t="n">
        <x:v>3</x:v>
      </x:c>
      <x:c r="F932" s="84" t="n">
        <x:v>2025</x:v>
      </x:c>
      <x:c r="G932" s="84" t="n">
        <x:v>29</x:v>
      </x:c>
      <x:c r="H932" s="84" t="str">
        <x:v>Sábado</x:v>
      </x:c>
      <x:c r="I932" s="85" t="n">
        <x:v>0</x:v>
      </x:c>
    </x:row>
    <x:row r="933">
      <x:c r="A933" s="95" t="n">
        <x:v>45858</x:v>
      </x:c>
      <x:c r="B933" s="84" t="n">
        <x:v>20</x:v>
      </x:c>
      <x:c r="C933" s="84" t="n">
        <x:v>7</x:v>
      </x:c>
      <x:c r="D933" s="84" t="str">
        <x:v>Julho</x:v>
      </x:c>
      <x:c r="E933" s="84" t="n">
        <x:v>3</x:v>
      </x:c>
      <x:c r="F933" s="84" t="n">
        <x:v>2025</x:v>
      </x:c>
      <x:c r="G933" s="84" t="n">
        <x:v>29</x:v>
      </x:c>
      <x:c r="H933" s="84" t="str">
        <x:v>Domingo</x:v>
      </x:c>
      <x:c r="I933" s="85" t="n">
        <x:v>0</x:v>
      </x:c>
    </x:row>
    <x:row r="934">
      <x:c r="A934" s="95" t="n">
        <x:v>45859</x:v>
      </x:c>
      <x:c r="B934" s="84" t="n">
        <x:v>21</x:v>
      </x:c>
      <x:c r="C934" s="84" t="n">
        <x:v>7</x:v>
      </x:c>
      <x:c r="D934" s="84" t="str">
        <x:v>Julho</x:v>
      </x:c>
      <x:c r="E934" s="84" t="n">
        <x:v>3</x:v>
      </x:c>
      <x:c r="F934" s="84" t="n">
        <x:v>2025</x:v>
      </x:c>
      <x:c r="G934" s="84" t="n">
        <x:v>30</x:v>
      </x:c>
      <x:c r="H934" s="84" t="str">
        <x:v>Segunda</x:v>
      </x:c>
      <x:c r="I934" s="85" t="n">
        <x:v>1</x:v>
      </x:c>
    </x:row>
    <x:row r="935">
      <x:c r="A935" s="95" t="n">
        <x:v>45860</x:v>
      </x:c>
      <x:c r="B935" s="84" t="n">
        <x:v>22</x:v>
      </x:c>
      <x:c r="C935" s="84" t="n">
        <x:v>7</x:v>
      </x:c>
      <x:c r="D935" s="84" t="str">
        <x:v>Julho</x:v>
      </x:c>
      <x:c r="E935" s="84" t="n">
        <x:v>3</x:v>
      </x:c>
      <x:c r="F935" s="84" t="n">
        <x:v>2025</x:v>
      </x:c>
      <x:c r="G935" s="84" t="n">
        <x:v>30</x:v>
      </x:c>
      <x:c r="H935" s="84" t="str">
        <x:v>Terça</x:v>
      </x:c>
      <x:c r="I935" s="85" t="n">
        <x:v>1</x:v>
      </x:c>
    </x:row>
    <x:row r="936">
      <x:c r="A936" s="95" t="n">
        <x:v>45861</x:v>
      </x:c>
      <x:c r="B936" s="84" t="n">
        <x:v>23</x:v>
      </x:c>
      <x:c r="C936" s="84" t="n">
        <x:v>7</x:v>
      </x:c>
      <x:c r="D936" s="84" t="str">
        <x:v>Julho</x:v>
      </x:c>
      <x:c r="E936" s="84" t="n">
        <x:v>3</x:v>
      </x:c>
      <x:c r="F936" s="84" t="n">
        <x:v>2025</x:v>
      </x:c>
      <x:c r="G936" s="84" t="n">
        <x:v>30</x:v>
      </x:c>
      <x:c r="H936" s="84" t="str">
        <x:v>Quarta</x:v>
      </x:c>
      <x:c r="I936" s="85" t="n">
        <x:v>1</x:v>
      </x:c>
    </x:row>
    <x:row r="937">
      <x:c r="A937" s="95" t="n">
        <x:v>45862</x:v>
      </x:c>
      <x:c r="B937" s="84" t="n">
        <x:v>24</x:v>
      </x:c>
      <x:c r="C937" s="84" t="n">
        <x:v>7</x:v>
      </x:c>
      <x:c r="D937" s="84" t="str">
        <x:v>Julho</x:v>
      </x:c>
      <x:c r="E937" s="84" t="n">
        <x:v>3</x:v>
      </x:c>
      <x:c r="F937" s="84" t="n">
        <x:v>2025</x:v>
      </x:c>
      <x:c r="G937" s="84" t="n">
        <x:v>30</x:v>
      </x:c>
      <x:c r="H937" s="84" t="str">
        <x:v>Quinta</x:v>
      </x:c>
      <x:c r="I937" s="85" t="n">
        <x:v>1</x:v>
      </x:c>
    </x:row>
    <x:row r="938">
      <x:c r="A938" s="95" t="n">
        <x:v>45863</x:v>
      </x:c>
      <x:c r="B938" s="84" t="n">
        <x:v>25</x:v>
      </x:c>
      <x:c r="C938" s="84" t="n">
        <x:v>7</x:v>
      </x:c>
      <x:c r="D938" s="84" t="str">
        <x:v>Julho</x:v>
      </x:c>
      <x:c r="E938" s="84" t="n">
        <x:v>3</x:v>
      </x:c>
      <x:c r="F938" s="84" t="n">
        <x:v>2025</x:v>
      </x:c>
      <x:c r="G938" s="84" t="n">
        <x:v>30</x:v>
      </x:c>
      <x:c r="H938" s="84" t="str">
        <x:v>Sexta</x:v>
      </x:c>
      <x:c r="I938" s="85" t="n">
        <x:v>1</x:v>
      </x:c>
    </x:row>
    <x:row r="939">
      <x:c r="A939" s="95" t="n">
        <x:v>45864</x:v>
      </x:c>
      <x:c r="B939" s="84" t="n">
        <x:v>26</x:v>
      </x:c>
      <x:c r="C939" s="84" t="n">
        <x:v>7</x:v>
      </x:c>
      <x:c r="D939" s="84" t="str">
        <x:v>Julho</x:v>
      </x:c>
      <x:c r="E939" s="84" t="n">
        <x:v>3</x:v>
      </x:c>
      <x:c r="F939" s="84" t="n">
        <x:v>2025</x:v>
      </x:c>
      <x:c r="G939" s="84" t="n">
        <x:v>30</x:v>
      </x:c>
      <x:c r="H939" s="84" t="str">
        <x:v>Sábado</x:v>
      </x:c>
      <x:c r="I939" s="85" t="n">
        <x:v>0</x:v>
      </x:c>
    </x:row>
    <x:row r="940">
      <x:c r="A940" s="95" t="n">
        <x:v>45865</x:v>
      </x:c>
      <x:c r="B940" s="84" t="n">
        <x:v>27</x:v>
      </x:c>
      <x:c r="C940" s="84" t="n">
        <x:v>7</x:v>
      </x:c>
      <x:c r="D940" s="84" t="str">
        <x:v>Julho</x:v>
      </x:c>
      <x:c r="E940" s="84" t="n">
        <x:v>3</x:v>
      </x:c>
      <x:c r="F940" s="84" t="n">
        <x:v>2025</x:v>
      </x:c>
      <x:c r="G940" s="84" t="n">
        <x:v>30</x:v>
      </x:c>
      <x:c r="H940" s="84" t="str">
        <x:v>Domingo</x:v>
      </x:c>
      <x:c r="I940" s="85" t="n">
        <x:v>0</x:v>
      </x:c>
    </x:row>
    <x:row r="941">
      <x:c r="A941" s="95" t="n">
        <x:v>45866</x:v>
      </x:c>
      <x:c r="B941" s="84" t="n">
        <x:v>28</x:v>
      </x:c>
      <x:c r="C941" s="84" t="n">
        <x:v>7</x:v>
      </x:c>
      <x:c r="D941" s="84" t="str">
        <x:v>Julho</x:v>
      </x:c>
      <x:c r="E941" s="84" t="n">
        <x:v>3</x:v>
      </x:c>
      <x:c r="F941" s="84" t="n">
        <x:v>2025</x:v>
      </x:c>
      <x:c r="G941" s="84" t="n">
        <x:v>31</x:v>
      </x:c>
      <x:c r="H941" s="84" t="str">
        <x:v>Segunda</x:v>
      </x:c>
      <x:c r="I941" s="85" t="n">
        <x:v>1</x:v>
      </x:c>
    </x:row>
    <x:row r="942">
      <x:c r="A942" s="95" t="n">
        <x:v>45867</x:v>
      </x:c>
      <x:c r="B942" s="84" t="n">
        <x:v>29</x:v>
      </x:c>
      <x:c r="C942" s="84" t="n">
        <x:v>7</x:v>
      </x:c>
      <x:c r="D942" s="84" t="str">
        <x:v>Julho</x:v>
      </x:c>
      <x:c r="E942" s="84" t="n">
        <x:v>3</x:v>
      </x:c>
      <x:c r="F942" s="84" t="n">
        <x:v>2025</x:v>
      </x:c>
      <x:c r="G942" s="84" t="n">
        <x:v>31</x:v>
      </x:c>
      <x:c r="H942" s="84" t="str">
        <x:v>Terça</x:v>
      </x:c>
      <x:c r="I942" s="85" t="n">
        <x:v>1</x:v>
      </x:c>
    </x:row>
    <x:row r="943">
      <x:c r="A943" s="95" t="n">
        <x:v>45868</x:v>
      </x:c>
      <x:c r="B943" s="84" t="n">
        <x:v>30</x:v>
      </x:c>
      <x:c r="C943" s="84" t="n">
        <x:v>7</x:v>
      </x:c>
      <x:c r="D943" s="84" t="str">
        <x:v>Julho</x:v>
      </x:c>
      <x:c r="E943" s="84" t="n">
        <x:v>3</x:v>
      </x:c>
      <x:c r="F943" s="84" t="n">
        <x:v>2025</x:v>
      </x:c>
      <x:c r="G943" s="84" t="n">
        <x:v>31</x:v>
      </x:c>
      <x:c r="H943" s="84" t="str">
        <x:v>Quarta</x:v>
      </x:c>
      <x:c r="I943" s="85" t="n">
        <x:v>1</x:v>
      </x:c>
    </x:row>
    <x:row r="944">
      <x:c r="A944" s="95" t="n">
        <x:v>45869</x:v>
      </x:c>
      <x:c r="B944" s="84" t="n">
        <x:v>31</x:v>
      </x:c>
      <x:c r="C944" s="84" t="n">
        <x:v>7</x:v>
      </x:c>
      <x:c r="D944" s="84" t="str">
        <x:v>Julho</x:v>
      </x:c>
      <x:c r="E944" s="84" t="n">
        <x:v>3</x:v>
      </x:c>
      <x:c r="F944" s="84" t="n">
        <x:v>2025</x:v>
      </x:c>
      <x:c r="G944" s="84" t="n">
        <x:v>31</x:v>
      </x:c>
      <x:c r="H944" s="84" t="str">
        <x:v>Quinta</x:v>
      </x:c>
      <x:c r="I944" s="85" t="n">
        <x:v>1</x:v>
      </x:c>
    </x:row>
    <x:row r="945">
      <x:c r="A945" s="95" t="n">
        <x:v>45870</x:v>
      </x:c>
      <x:c r="B945" s="84" t="n">
        <x:v>1</x:v>
      </x:c>
      <x:c r="C945" s="84" t="n">
        <x:v>8</x:v>
      </x:c>
      <x:c r="D945" s="84" t="str">
        <x:v>Agosto</x:v>
      </x:c>
      <x:c r="E945" s="84" t="n">
        <x:v>3</x:v>
      </x:c>
      <x:c r="F945" s="84" t="n">
        <x:v>2025</x:v>
      </x:c>
      <x:c r="G945" s="84" t="n">
        <x:v>31</x:v>
      </x:c>
      <x:c r="H945" s="84" t="str">
        <x:v>Sexta</x:v>
      </x:c>
      <x:c r="I945" s="85" t="n">
        <x:v>1</x:v>
      </x:c>
    </x:row>
    <x:row r="946">
      <x:c r="A946" s="95" t="n">
        <x:v>45871</x:v>
      </x:c>
      <x:c r="B946" s="84" t="n">
        <x:v>2</x:v>
      </x:c>
      <x:c r="C946" s="84" t="n">
        <x:v>8</x:v>
      </x:c>
      <x:c r="D946" s="84" t="str">
        <x:v>Agosto</x:v>
      </x:c>
      <x:c r="E946" s="84" t="n">
        <x:v>3</x:v>
      </x:c>
      <x:c r="F946" s="84" t="n">
        <x:v>2025</x:v>
      </x:c>
      <x:c r="G946" s="84" t="n">
        <x:v>31</x:v>
      </x:c>
      <x:c r="H946" s="84" t="str">
        <x:v>Sábado</x:v>
      </x:c>
      <x:c r="I946" s="85" t="n">
        <x:v>0</x:v>
      </x:c>
    </x:row>
    <x:row r="947">
      <x:c r="A947" s="95" t="n">
        <x:v>45872</x:v>
      </x:c>
      <x:c r="B947" s="84" t="n">
        <x:v>3</x:v>
      </x:c>
      <x:c r="C947" s="84" t="n">
        <x:v>8</x:v>
      </x:c>
      <x:c r="D947" s="84" t="str">
        <x:v>Agosto</x:v>
      </x:c>
      <x:c r="E947" s="84" t="n">
        <x:v>3</x:v>
      </x:c>
      <x:c r="F947" s="84" t="n">
        <x:v>2025</x:v>
      </x:c>
      <x:c r="G947" s="84" t="n">
        <x:v>31</x:v>
      </x:c>
      <x:c r="H947" s="84" t="str">
        <x:v>Domingo</x:v>
      </x:c>
      <x:c r="I947" s="85" t="n">
        <x:v>0</x:v>
      </x:c>
    </x:row>
    <x:row r="948">
      <x:c r="A948" s="95" t="n">
        <x:v>45873</x:v>
      </x:c>
      <x:c r="B948" s="84" t="n">
        <x:v>4</x:v>
      </x:c>
      <x:c r="C948" s="84" t="n">
        <x:v>8</x:v>
      </x:c>
      <x:c r="D948" s="84" t="str">
        <x:v>Agosto</x:v>
      </x:c>
      <x:c r="E948" s="84" t="n">
        <x:v>3</x:v>
      </x:c>
      <x:c r="F948" s="84" t="n">
        <x:v>2025</x:v>
      </x:c>
      <x:c r="G948" s="84" t="n">
        <x:v>32</x:v>
      </x:c>
      <x:c r="H948" s="84" t="str">
        <x:v>Segunda</x:v>
      </x:c>
      <x:c r="I948" s="85" t="n">
        <x:v>1</x:v>
      </x:c>
    </x:row>
    <x:row r="949">
      <x:c r="A949" s="95" t="n">
        <x:v>45874</x:v>
      </x:c>
      <x:c r="B949" s="84" t="n">
        <x:v>5</x:v>
      </x:c>
      <x:c r="C949" s="84" t="n">
        <x:v>8</x:v>
      </x:c>
      <x:c r="D949" s="84" t="str">
        <x:v>Agosto</x:v>
      </x:c>
      <x:c r="E949" s="84" t="n">
        <x:v>3</x:v>
      </x:c>
      <x:c r="F949" s="84" t="n">
        <x:v>2025</x:v>
      </x:c>
      <x:c r="G949" s="84" t="n">
        <x:v>32</x:v>
      </x:c>
      <x:c r="H949" s="84" t="str">
        <x:v>Terça</x:v>
      </x:c>
      <x:c r="I949" s="85" t="n">
        <x:v>1</x:v>
      </x:c>
    </x:row>
    <x:row r="950">
      <x:c r="A950" s="95" t="n">
        <x:v>45875</x:v>
      </x:c>
      <x:c r="B950" s="84" t="n">
        <x:v>6</x:v>
      </x:c>
      <x:c r="C950" s="84" t="n">
        <x:v>8</x:v>
      </x:c>
      <x:c r="D950" s="84" t="str">
        <x:v>Agosto</x:v>
      </x:c>
      <x:c r="E950" s="84" t="n">
        <x:v>3</x:v>
      </x:c>
      <x:c r="F950" s="84" t="n">
        <x:v>2025</x:v>
      </x:c>
      <x:c r="G950" s="84" t="n">
        <x:v>32</x:v>
      </x:c>
      <x:c r="H950" s="84" t="str">
        <x:v>Quarta</x:v>
      </x:c>
      <x:c r="I950" s="85" t="n">
        <x:v>1</x:v>
      </x:c>
    </x:row>
    <x:row r="951">
      <x:c r="A951" s="95" t="n">
        <x:v>45876</x:v>
      </x:c>
      <x:c r="B951" s="84" t="n">
        <x:v>7</x:v>
      </x:c>
      <x:c r="C951" s="84" t="n">
        <x:v>8</x:v>
      </x:c>
      <x:c r="D951" s="84" t="str">
        <x:v>Agosto</x:v>
      </x:c>
      <x:c r="E951" s="84" t="n">
        <x:v>3</x:v>
      </x:c>
      <x:c r="F951" s="84" t="n">
        <x:v>2025</x:v>
      </x:c>
      <x:c r="G951" s="84" t="n">
        <x:v>32</x:v>
      </x:c>
      <x:c r="H951" s="84" t="str">
        <x:v>Quinta</x:v>
      </x:c>
      <x:c r="I951" s="85" t="n">
        <x:v>1</x:v>
      </x:c>
    </x:row>
    <x:row r="952">
      <x:c r="A952" s="95" t="n">
        <x:v>45877</x:v>
      </x:c>
      <x:c r="B952" s="84" t="n">
        <x:v>8</x:v>
      </x:c>
      <x:c r="C952" s="84" t="n">
        <x:v>8</x:v>
      </x:c>
      <x:c r="D952" s="84" t="str">
        <x:v>Agosto</x:v>
      </x:c>
      <x:c r="E952" s="84" t="n">
        <x:v>3</x:v>
      </x:c>
      <x:c r="F952" s="84" t="n">
        <x:v>2025</x:v>
      </x:c>
      <x:c r="G952" s="84" t="n">
        <x:v>32</x:v>
      </x:c>
      <x:c r="H952" s="84" t="str">
        <x:v>Sexta</x:v>
      </x:c>
      <x:c r="I952" s="85" t="n">
        <x:v>1</x:v>
      </x:c>
    </x:row>
    <x:row r="953">
      <x:c r="A953" s="95" t="n">
        <x:v>45878</x:v>
      </x:c>
      <x:c r="B953" s="84" t="n">
        <x:v>9</x:v>
      </x:c>
      <x:c r="C953" s="84" t="n">
        <x:v>8</x:v>
      </x:c>
      <x:c r="D953" s="84" t="str">
        <x:v>Agosto</x:v>
      </x:c>
      <x:c r="E953" s="84" t="n">
        <x:v>3</x:v>
      </x:c>
      <x:c r="F953" s="84" t="n">
        <x:v>2025</x:v>
      </x:c>
      <x:c r="G953" s="84" t="n">
        <x:v>32</x:v>
      </x:c>
      <x:c r="H953" s="84" t="str">
        <x:v>Sábado</x:v>
      </x:c>
      <x:c r="I953" s="85" t="n">
        <x:v>0</x:v>
      </x:c>
    </x:row>
    <x:row r="954">
      <x:c r="A954" s="95" t="n">
        <x:v>45879</x:v>
      </x:c>
      <x:c r="B954" s="84" t="n">
        <x:v>10</x:v>
      </x:c>
      <x:c r="C954" s="84" t="n">
        <x:v>8</x:v>
      </x:c>
      <x:c r="D954" s="84" t="str">
        <x:v>Agosto</x:v>
      </x:c>
      <x:c r="E954" s="84" t="n">
        <x:v>3</x:v>
      </x:c>
      <x:c r="F954" s="84" t="n">
        <x:v>2025</x:v>
      </x:c>
      <x:c r="G954" s="84" t="n">
        <x:v>32</x:v>
      </x:c>
      <x:c r="H954" s="84" t="str">
        <x:v>Domingo</x:v>
      </x:c>
      <x:c r="I954" s="85" t="n">
        <x:v>0</x:v>
      </x:c>
    </x:row>
    <x:row r="955">
      <x:c r="A955" s="95" t="n">
        <x:v>45880</x:v>
      </x:c>
      <x:c r="B955" s="84" t="n">
        <x:v>11</x:v>
      </x:c>
      <x:c r="C955" s="84" t="n">
        <x:v>8</x:v>
      </x:c>
      <x:c r="D955" s="84" t="str">
        <x:v>Agosto</x:v>
      </x:c>
      <x:c r="E955" s="84" t="n">
        <x:v>3</x:v>
      </x:c>
      <x:c r="F955" s="84" t="n">
        <x:v>2025</x:v>
      </x:c>
      <x:c r="G955" s="84" t="n">
        <x:v>33</x:v>
      </x:c>
      <x:c r="H955" s="84" t="str">
        <x:v>Segunda</x:v>
      </x:c>
      <x:c r="I955" s="85" t="n">
        <x:v>1</x:v>
      </x:c>
    </x:row>
    <x:row r="956">
      <x:c r="A956" s="95" t="n">
        <x:v>45881</x:v>
      </x:c>
      <x:c r="B956" s="84" t="n">
        <x:v>12</x:v>
      </x:c>
      <x:c r="C956" s="84" t="n">
        <x:v>8</x:v>
      </x:c>
      <x:c r="D956" s="84" t="str">
        <x:v>Agosto</x:v>
      </x:c>
      <x:c r="E956" s="84" t="n">
        <x:v>3</x:v>
      </x:c>
      <x:c r="F956" s="84" t="n">
        <x:v>2025</x:v>
      </x:c>
      <x:c r="G956" s="84" t="n">
        <x:v>33</x:v>
      </x:c>
      <x:c r="H956" s="84" t="str">
        <x:v>Terça</x:v>
      </x:c>
      <x:c r="I956" s="85" t="n">
        <x:v>1</x:v>
      </x:c>
    </x:row>
    <x:row r="957">
      <x:c r="A957" s="95" t="n">
        <x:v>45882</x:v>
      </x:c>
      <x:c r="B957" s="84" t="n">
        <x:v>13</x:v>
      </x:c>
      <x:c r="C957" s="84" t="n">
        <x:v>8</x:v>
      </x:c>
      <x:c r="D957" s="84" t="str">
        <x:v>Agosto</x:v>
      </x:c>
      <x:c r="E957" s="84" t="n">
        <x:v>3</x:v>
      </x:c>
      <x:c r="F957" s="84" t="n">
        <x:v>2025</x:v>
      </x:c>
      <x:c r="G957" s="84" t="n">
        <x:v>33</x:v>
      </x:c>
      <x:c r="H957" s="84" t="str">
        <x:v>Quarta</x:v>
      </x:c>
      <x:c r="I957" s="85" t="n">
        <x:v>1</x:v>
      </x:c>
    </x:row>
    <x:row r="958">
      <x:c r="A958" s="95" t="n">
        <x:v>45883</x:v>
      </x:c>
      <x:c r="B958" s="84" t="n">
        <x:v>14</x:v>
      </x:c>
      <x:c r="C958" s="84" t="n">
        <x:v>8</x:v>
      </x:c>
      <x:c r="D958" s="84" t="str">
        <x:v>Agosto</x:v>
      </x:c>
      <x:c r="E958" s="84" t="n">
        <x:v>3</x:v>
      </x:c>
      <x:c r="F958" s="84" t="n">
        <x:v>2025</x:v>
      </x:c>
      <x:c r="G958" s="84" t="n">
        <x:v>33</x:v>
      </x:c>
      <x:c r="H958" s="84" t="str">
        <x:v>Quinta</x:v>
      </x:c>
      <x:c r="I958" s="85" t="n">
        <x:v>1</x:v>
      </x:c>
    </x:row>
    <x:row r="959">
      <x:c r="A959" s="95" t="n">
        <x:v>45884</x:v>
      </x:c>
      <x:c r="B959" s="84" t="n">
        <x:v>15</x:v>
      </x:c>
      <x:c r="C959" s="84" t="n">
        <x:v>8</x:v>
      </x:c>
      <x:c r="D959" s="84" t="str">
        <x:v>Agosto</x:v>
      </x:c>
      <x:c r="E959" s="84" t="n">
        <x:v>3</x:v>
      </x:c>
      <x:c r="F959" s="84" t="n">
        <x:v>2025</x:v>
      </x:c>
      <x:c r="G959" s="84" t="n">
        <x:v>33</x:v>
      </x:c>
      <x:c r="H959" s="84" t="str">
        <x:v>Sexta</x:v>
      </x:c>
      <x:c r="I959" s="85" t="n">
        <x:v>1</x:v>
      </x:c>
    </x:row>
    <x:row r="960">
      <x:c r="A960" s="95" t="n">
        <x:v>45885</x:v>
      </x:c>
      <x:c r="B960" s="84" t="n">
        <x:v>16</x:v>
      </x:c>
      <x:c r="C960" s="84" t="n">
        <x:v>8</x:v>
      </x:c>
      <x:c r="D960" s="84" t="str">
        <x:v>Agosto</x:v>
      </x:c>
      <x:c r="E960" s="84" t="n">
        <x:v>3</x:v>
      </x:c>
      <x:c r="F960" s="84" t="n">
        <x:v>2025</x:v>
      </x:c>
      <x:c r="G960" s="84" t="n">
        <x:v>33</x:v>
      </x:c>
      <x:c r="H960" s="84" t="str">
        <x:v>Sábado</x:v>
      </x:c>
      <x:c r="I960" s="85" t="n">
        <x:v>0</x:v>
      </x:c>
    </x:row>
    <x:row r="961">
      <x:c r="A961" s="95" t="n">
        <x:v>45886</x:v>
      </x:c>
      <x:c r="B961" s="84" t="n">
        <x:v>17</x:v>
      </x:c>
      <x:c r="C961" s="84" t="n">
        <x:v>8</x:v>
      </x:c>
      <x:c r="D961" s="84" t="str">
        <x:v>Agosto</x:v>
      </x:c>
      <x:c r="E961" s="84" t="n">
        <x:v>3</x:v>
      </x:c>
      <x:c r="F961" s="84" t="n">
        <x:v>2025</x:v>
      </x:c>
      <x:c r="G961" s="84" t="n">
        <x:v>33</x:v>
      </x:c>
      <x:c r="H961" s="84" t="str">
        <x:v>Domingo</x:v>
      </x:c>
      <x:c r="I961" s="85" t="n">
        <x:v>0</x:v>
      </x:c>
    </x:row>
    <x:row r="962">
      <x:c r="A962" s="95" t="n">
        <x:v>45887</x:v>
      </x:c>
      <x:c r="B962" s="84" t="n">
        <x:v>18</x:v>
      </x:c>
      <x:c r="C962" s="84" t="n">
        <x:v>8</x:v>
      </x:c>
      <x:c r="D962" s="84" t="str">
        <x:v>Agosto</x:v>
      </x:c>
      <x:c r="E962" s="84" t="n">
        <x:v>3</x:v>
      </x:c>
      <x:c r="F962" s="84" t="n">
        <x:v>2025</x:v>
      </x:c>
      <x:c r="G962" s="84" t="n">
        <x:v>34</x:v>
      </x:c>
      <x:c r="H962" s="84" t="str">
        <x:v>Segunda</x:v>
      </x:c>
      <x:c r="I962" s="85" t="n">
        <x:v>1</x:v>
      </x:c>
    </x:row>
    <x:row r="963">
      <x:c r="A963" s="95" t="n">
        <x:v>45888</x:v>
      </x:c>
      <x:c r="B963" s="84" t="n">
        <x:v>19</x:v>
      </x:c>
      <x:c r="C963" s="84" t="n">
        <x:v>8</x:v>
      </x:c>
      <x:c r="D963" s="84" t="str">
        <x:v>Agosto</x:v>
      </x:c>
      <x:c r="E963" s="84" t="n">
        <x:v>3</x:v>
      </x:c>
      <x:c r="F963" s="84" t="n">
        <x:v>2025</x:v>
      </x:c>
      <x:c r="G963" s="84" t="n">
        <x:v>34</x:v>
      </x:c>
      <x:c r="H963" s="84" t="str">
        <x:v>Terça</x:v>
      </x:c>
      <x:c r="I963" s="85" t="n">
        <x:v>1</x:v>
      </x:c>
    </x:row>
    <x:row r="964">
      <x:c r="A964" s="95" t="n">
        <x:v>45889</x:v>
      </x:c>
      <x:c r="B964" s="84" t="n">
        <x:v>20</x:v>
      </x:c>
      <x:c r="C964" s="84" t="n">
        <x:v>8</x:v>
      </x:c>
      <x:c r="D964" s="84" t="str">
        <x:v>Agosto</x:v>
      </x:c>
      <x:c r="E964" s="84" t="n">
        <x:v>3</x:v>
      </x:c>
      <x:c r="F964" s="84" t="n">
        <x:v>2025</x:v>
      </x:c>
      <x:c r="G964" s="84" t="n">
        <x:v>34</x:v>
      </x:c>
      <x:c r="H964" s="84" t="str">
        <x:v>Quarta</x:v>
      </x:c>
      <x:c r="I964" s="85" t="n">
        <x:v>1</x:v>
      </x:c>
    </x:row>
    <x:row r="965">
      <x:c r="A965" s="95" t="n">
        <x:v>45890</x:v>
      </x:c>
      <x:c r="B965" s="84" t="n">
        <x:v>21</x:v>
      </x:c>
      <x:c r="C965" s="84" t="n">
        <x:v>8</x:v>
      </x:c>
      <x:c r="D965" s="84" t="str">
        <x:v>Agosto</x:v>
      </x:c>
      <x:c r="E965" s="84" t="n">
        <x:v>3</x:v>
      </x:c>
      <x:c r="F965" s="84" t="n">
        <x:v>2025</x:v>
      </x:c>
      <x:c r="G965" s="84" t="n">
        <x:v>34</x:v>
      </x:c>
      <x:c r="H965" s="84" t="str">
        <x:v>Quinta</x:v>
      </x:c>
      <x:c r="I965" s="85" t="n">
        <x:v>1</x:v>
      </x:c>
    </x:row>
    <x:row r="966">
      <x:c r="A966" s="95" t="n">
        <x:v>45891</x:v>
      </x:c>
      <x:c r="B966" s="84" t="n">
        <x:v>22</x:v>
      </x:c>
      <x:c r="C966" s="84" t="n">
        <x:v>8</x:v>
      </x:c>
      <x:c r="D966" s="84" t="str">
        <x:v>Agosto</x:v>
      </x:c>
      <x:c r="E966" s="84" t="n">
        <x:v>3</x:v>
      </x:c>
      <x:c r="F966" s="84" t="n">
        <x:v>2025</x:v>
      </x:c>
      <x:c r="G966" s="84" t="n">
        <x:v>34</x:v>
      </x:c>
      <x:c r="H966" s="84" t="str">
        <x:v>Sexta</x:v>
      </x:c>
      <x:c r="I966" s="85" t="n">
        <x:v>1</x:v>
      </x:c>
    </x:row>
    <x:row r="967">
      <x:c r="A967" s="95" t="n">
        <x:v>45892</x:v>
      </x:c>
      <x:c r="B967" s="84" t="n">
        <x:v>23</x:v>
      </x:c>
      <x:c r="C967" s="84" t="n">
        <x:v>8</x:v>
      </x:c>
      <x:c r="D967" s="84" t="str">
        <x:v>Agosto</x:v>
      </x:c>
      <x:c r="E967" s="84" t="n">
        <x:v>3</x:v>
      </x:c>
      <x:c r="F967" s="84" t="n">
        <x:v>2025</x:v>
      </x:c>
      <x:c r="G967" s="84" t="n">
        <x:v>34</x:v>
      </x:c>
      <x:c r="H967" s="84" t="str">
        <x:v>Sábado</x:v>
      </x:c>
      <x:c r="I967" s="85" t="n">
        <x:v>0</x:v>
      </x:c>
    </x:row>
    <x:row r="968">
      <x:c r="A968" s="95" t="n">
        <x:v>45893</x:v>
      </x:c>
      <x:c r="B968" s="84" t="n">
        <x:v>24</x:v>
      </x:c>
      <x:c r="C968" s="84" t="n">
        <x:v>8</x:v>
      </x:c>
      <x:c r="D968" s="84" t="str">
        <x:v>Agosto</x:v>
      </x:c>
      <x:c r="E968" s="84" t="n">
        <x:v>3</x:v>
      </x:c>
      <x:c r="F968" s="84" t="n">
        <x:v>2025</x:v>
      </x:c>
      <x:c r="G968" s="84" t="n">
        <x:v>34</x:v>
      </x:c>
      <x:c r="H968" s="84" t="str">
        <x:v>Domingo</x:v>
      </x:c>
      <x:c r="I968" s="85" t="n">
        <x:v>0</x:v>
      </x:c>
    </x:row>
    <x:row r="969">
      <x:c r="A969" s="95" t="n">
        <x:v>45894</x:v>
      </x:c>
      <x:c r="B969" s="84" t="n">
        <x:v>25</x:v>
      </x:c>
      <x:c r="C969" s="84" t="n">
        <x:v>8</x:v>
      </x:c>
      <x:c r="D969" s="84" t="str">
        <x:v>Agosto</x:v>
      </x:c>
      <x:c r="E969" s="84" t="n">
        <x:v>3</x:v>
      </x:c>
      <x:c r="F969" s="84" t="n">
        <x:v>2025</x:v>
      </x:c>
      <x:c r="G969" s="84" t="n">
        <x:v>35</x:v>
      </x:c>
      <x:c r="H969" s="84" t="str">
        <x:v>Segunda</x:v>
      </x:c>
      <x:c r="I969" s="85" t="n">
        <x:v>1</x:v>
      </x:c>
    </x:row>
    <x:row r="970">
      <x:c r="A970" s="95" t="n">
        <x:v>45895</x:v>
      </x:c>
      <x:c r="B970" s="84" t="n">
        <x:v>26</x:v>
      </x:c>
      <x:c r="C970" s="84" t="n">
        <x:v>8</x:v>
      </x:c>
      <x:c r="D970" s="84" t="str">
        <x:v>Agosto</x:v>
      </x:c>
      <x:c r="E970" s="84" t="n">
        <x:v>3</x:v>
      </x:c>
      <x:c r="F970" s="84" t="n">
        <x:v>2025</x:v>
      </x:c>
      <x:c r="G970" s="84" t="n">
        <x:v>35</x:v>
      </x:c>
      <x:c r="H970" s="84" t="str">
        <x:v>Terça</x:v>
      </x:c>
      <x:c r="I970" s="85" t="n">
        <x:v>1</x:v>
      </x:c>
    </x:row>
    <x:row r="971">
      <x:c r="A971" s="95" t="n">
        <x:v>45896</x:v>
      </x:c>
      <x:c r="B971" s="84" t="n">
        <x:v>27</x:v>
      </x:c>
      <x:c r="C971" s="84" t="n">
        <x:v>8</x:v>
      </x:c>
      <x:c r="D971" s="84" t="str">
        <x:v>Agosto</x:v>
      </x:c>
      <x:c r="E971" s="84" t="n">
        <x:v>3</x:v>
      </x:c>
      <x:c r="F971" s="84" t="n">
        <x:v>2025</x:v>
      </x:c>
      <x:c r="G971" s="84" t="n">
        <x:v>35</x:v>
      </x:c>
      <x:c r="H971" s="84" t="str">
        <x:v>Quarta</x:v>
      </x:c>
      <x:c r="I971" s="85" t="n">
        <x:v>1</x:v>
      </x:c>
    </x:row>
    <x:row r="972">
      <x:c r="A972" s="95" t="n">
        <x:v>45897</x:v>
      </x:c>
      <x:c r="B972" s="84" t="n">
        <x:v>28</x:v>
      </x:c>
      <x:c r="C972" s="84" t="n">
        <x:v>8</x:v>
      </x:c>
      <x:c r="D972" s="84" t="str">
        <x:v>Agosto</x:v>
      </x:c>
      <x:c r="E972" s="84" t="n">
        <x:v>3</x:v>
      </x:c>
      <x:c r="F972" s="84" t="n">
        <x:v>2025</x:v>
      </x:c>
      <x:c r="G972" s="84" t="n">
        <x:v>35</x:v>
      </x:c>
      <x:c r="H972" s="84" t="str">
        <x:v>Quinta</x:v>
      </x:c>
      <x:c r="I972" s="85" t="n">
        <x:v>1</x:v>
      </x:c>
    </x:row>
    <x:row r="973">
      <x:c r="A973" s="95" t="n">
        <x:v>45898</x:v>
      </x:c>
      <x:c r="B973" s="84" t="n">
        <x:v>29</x:v>
      </x:c>
      <x:c r="C973" s="84" t="n">
        <x:v>8</x:v>
      </x:c>
      <x:c r="D973" s="84" t="str">
        <x:v>Agosto</x:v>
      </x:c>
      <x:c r="E973" s="84" t="n">
        <x:v>3</x:v>
      </x:c>
      <x:c r="F973" s="84" t="n">
        <x:v>2025</x:v>
      </x:c>
      <x:c r="G973" s="84" t="n">
        <x:v>35</x:v>
      </x:c>
      <x:c r="H973" s="84" t="str">
        <x:v>Sexta</x:v>
      </x:c>
      <x:c r="I973" s="85" t="n">
        <x:v>1</x:v>
      </x:c>
    </x:row>
    <x:row r="974">
      <x:c r="A974" s="95" t="n">
        <x:v>45899</x:v>
      </x:c>
      <x:c r="B974" s="84" t="n">
        <x:v>30</x:v>
      </x:c>
      <x:c r="C974" s="84" t="n">
        <x:v>8</x:v>
      </x:c>
      <x:c r="D974" s="84" t="str">
        <x:v>Agosto</x:v>
      </x:c>
      <x:c r="E974" s="84" t="n">
        <x:v>3</x:v>
      </x:c>
      <x:c r="F974" s="84" t="n">
        <x:v>2025</x:v>
      </x:c>
      <x:c r="G974" s="84" t="n">
        <x:v>35</x:v>
      </x:c>
      <x:c r="H974" s="84" t="str">
        <x:v>Sábado</x:v>
      </x:c>
      <x:c r="I974" s="85" t="n">
        <x:v>0</x:v>
      </x:c>
    </x:row>
    <x:row r="975">
      <x:c r="A975" s="95" t="n">
        <x:v>45900</x:v>
      </x:c>
      <x:c r="B975" s="84" t="n">
        <x:v>31</x:v>
      </x:c>
      <x:c r="C975" s="84" t="n">
        <x:v>8</x:v>
      </x:c>
      <x:c r="D975" s="84" t="str">
        <x:v>Agosto</x:v>
      </x:c>
      <x:c r="E975" s="84" t="n">
        <x:v>3</x:v>
      </x:c>
      <x:c r="F975" s="84" t="n">
        <x:v>2025</x:v>
      </x:c>
      <x:c r="G975" s="84" t="n">
        <x:v>35</x:v>
      </x:c>
      <x:c r="H975" s="84" t="str">
        <x:v>Domingo</x:v>
      </x:c>
      <x:c r="I975" s="85" t="n">
        <x:v>0</x:v>
      </x:c>
    </x:row>
    <x:row r="976">
      <x:c r="A976" s="95" t="n">
        <x:v>45901</x:v>
      </x:c>
      <x:c r="B976" s="84" t="n">
        <x:v>1</x:v>
      </x:c>
      <x:c r="C976" s="84" t="n">
        <x:v>9</x:v>
      </x:c>
      <x:c r="D976" s="84" t="str">
        <x:v>Setembro</x:v>
      </x:c>
      <x:c r="E976" s="84" t="n">
        <x:v>3</x:v>
      </x:c>
      <x:c r="F976" s="84" t="n">
        <x:v>2025</x:v>
      </x:c>
      <x:c r="G976" s="84" t="n">
        <x:v>36</x:v>
      </x:c>
      <x:c r="H976" s="84" t="str">
        <x:v>Segunda</x:v>
      </x:c>
      <x:c r="I976" s="85" t="n">
        <x:v>1</x:v>
      </x:c>
    </x:row>
    <x:row r="977">
      <x:c r="A977" s="95" t="n">
        <x:v>45902</x:v>
      </x:c>
      <x:c r="B977" s="84" t="n">
        <x:v>2</x:v>
      </x:c>
      <x:c r="C977" s="84" t="n">
        <x:v>9</x:v>
      </x:c>
      <x:c r="D977" s="84" t="str">
        <x:v>Setembro</x:v>
      </x:c>
      <x:c r="E977" s="84" t="n">
        <x:v>3</x:v>
      </x:c>
      <x:c r="F977" s="84" t="n">
        <x:v>2025</x:v>
      </x:c>
      <x:c r="G977" s="84" t="n">
        <x:v>36</x:v>
      </x:c>
      <x:c r="H977" s="84" t="str">
        <x:v>Terça</x:v>
      </x:c>
      <x:c r="I977" s="85" t="n">
        <x:v>1</x:v>
      </x:c>
    </x:row>
    <x:row r="978">
      <x:c r="A978" s="95" t="n">
        <x:v>45903</x:v>
      </x:c>
      <x:c r="B978" s="84" t="n">
        <x:v>3</x:v>
      </x:c>
      <x:c r="C978" s="84" t="n">
        <x:v>9</x:v>
      </x:c>
      <x:c r="D978" s="84" t="str">
        <x:v>Setembro</x:v>
      </x:c>
      <x:c r="E978" s="84" t="n">
        <x:v>3</x:v>
      </x:c>
      <x:c r="F978" s="84" t="n">
        <x:v>2025</x:v>
      </x:c>
      <x:c r="G978" s="84" t="n">
        <x:v>36</x:v>
      </x:c>
      <x:c r="H978" s="84" t="str">
        <x:v>Quarta</x:v>
      </x:c>
      <x:c r="I978" s="85" t="n">
        <x:v>1</x:v>
      </x:c>
    </x:row>
    <x:row r="979">
      <x:c r="A979" s="95" t="n">
        <x:v>45904</x:v>
      </x:c>
      <x:c r="B979" s="84" t="n">
        <x:v>4</x:v>
      </x:c>
      <x:c r="C979" s="84" t="n">
        <x:v>9</x:v>
      </x:c>
      <x:c r="D979" s="84" t="str">
        <x:v>Setembro</x:v>
      </x:c>
      <x:c r="E979" s="84" t="n">
        <x:v>3</x:v>
      </x:c>
      <x:c r="F979" s="84" t="n">
        <x:v>2025</x:v>
      </x:c>
      <x:c r="G979" s="84" t="n">
        <x:v>36</x:v>
      </x:c>
      <x:c r="H979" s="84" t="str">
        <x:v>Quinta</x:v>
      </x:c>
      <x:c r="I979" s="85" t="n">
        <x:v>1</x:v>
      </x:c>
    </x:row>
    <x:row r="980">
      <x:c r="A980" s="95" t="n">
        <x:v>45905</x:v>
      </x:c>
      <x:c r="B980" s="84" t="n">
        <x:v>5</x:v>
      </x:c>
      <x:c r="C980" s="84" t="n">
        <x:v>9</x:v>
      </x:c>
      <x:c r="D980" s="84" t="str">
        <x:v>Setembro</x:v>
      </x:c>
      <x:c r="E980" s="84" t="n">
        <x:v>3</x:v>
      </x:c>
      <x:c r="F980" s="84" t="n">
        <x:v>2025</x:v>
      </x:c>
      <x:c r="G980" s="84" t="n">
        <x:v>36</x:v>
      </x:c>
      <x:c r="H980" s="84" t="str">
        <x:v>Sexta</x:v>
      </x:c>
      <x:c r="I980" s="85" t="n">
        <x:v>1</x:v>
      </x:c>
    </x:row>
    <x:row r="981">
      <x:c r="A981" s="95" t="n">
        <x:v>45906</x:v>
      </x:c>
      <x:c r="B981" s="84" t="n">
        <x:v>6</x:v>
      </x:c>
      <x:c r="C981" s="84" t="n">
        <x:v>9</x:v>
      </x:c>
      <x:c r="D981" s="84" t="str">
        <x:v>Setembro</x:v>
      </x:c>
      <x:c r="E981" s="84" t="n">
        <x:v>3</x:v>
      </x:c>
      <x:c r="F981" s="84" t="n">
        <x:v>2025</x:v>
      </x:c>
      <x:c r="G981" s="84" t="n">
        <x:v>36</x:v>
      </x:c>
      <x:c r="H981" s="84" t="str">
        <x:v>Sábado</x:v>
      </x:c>
      <x:c r="I981" s="85" t="n">
        <x:v>0</x:v>
      </x:c>
    </x:row>
    <x:row r="982">
      <x:c r="A982" s="95" t="n">
        <x:v>45907</x:v>
      </x:c>
      <x:c r="B982" s="84" t="n">
        <x:v>7</x:v>
      </x:c>
      <x:c r="C982" s="84" t="n">
        <x:v>9</x:v>
      </x:c>
      <x:c r="D982" s="84" t="str">
        <x:v>Setembro</x:v>
      </x:c>
      <x:c r="E982" s="84" t="n">
        <x:v>3</x:v>
      </x:c>
      <x:c r="F982" s="84" t="n">
        <x:v>2025</x:v>
      </x:c>
      <x:c r="G982" s="84" t="n">
        <x:v>36</x:v>
      </x:c>
      <x:c r="H982" s="84" t="str">
        <x:v>Domingo</x:v>
      </x:c>
      <x:c r="I982" s="85" t="n">
        <x:v>0</x:v>
      </x:c>
    </x:row>
    <x:row r="983">
      <x:c r="A983" s="95" t="n">
        <x:v>45908</x:v>
      </x:c>
      <x:c r="B983" s="84" t="n">
        <x:v>8</x:v>
      </x:c>
      <x:c r="C983" s="84" t="n">
        <x:v>9</x:v>
      </x:c>
      <x:c r="D983" s="84" t="str">
        <x:v>Setembro</x:v>
      </x:c>
      <x:c r="E983" s="84" t="n">
        <x:v>3</x:v>
      </x:c>
      <x:c r="F983" s="84" t="n">
        <x:v>2025</x:v>
      </x:c>
      <x:c r="G983" s="84" t="n">
        <x:v>37</x:v>
      </x:c>
      <x:c r="H983" s="84" t="str">
        <x:v>Segunda</x:v>
      </x:c>
      <x:c r="I983" s="85" t="n">
        <x:v>1</x:v>
      </x:c>
    </x:row>
    <x:row r="984">
      <x:c r="A984" s="95" t="n">
        <x:v>45909</x:v>
      </x:c>
      <x:c r="B984" s="84" t="n">
        <x:v>9</x:v>
      </x:c>
      <x:c r="C984" s="84" t="n">
        <x:v>9</x:v>
      </x:c>
      <x:c r="D984" s="84" t="str">
        <x:v>Setembro</x:v>
      </x:c>
      <x:c r="E984" s="84" t="n">
        <x:v>3</x:v>
      </x:c>
      <x:c r="F984" s="84" t="n">
        <x:v>2025</x:v>
      </x:c>
      <x:c r="G984" s="84" t="n">
        <x:v>37</x:v>
      </x:c>
      <x:c r="H984" s="84" t="str">
        <x:v>Terça</x:v>
      </x:c>
      <x:c r="I984" s="85" t="n">
        <x:v>1</x:v>
      </x:c>
    </x:row>
    <x:row r="985">
      <x:c r="A985" s="95" t="n">
        <x:v>45910</x:v>
      </x:c>
      <x:c r="B985" s="84" t="n">
        <x:v>10</x:v>
      </x:c>
      <x:c r="C985" s="84" t="n">
        <x:v>9</x:v>
      </x:c>
      <x:c r="D985" s="84" t="str">
        <x:v>Setembro</x:v>
      </x:c>
      <x:c r="E985" s="84" t="n">
        <x:v>3</x:v>
      </x:c>
      <x:c r="F985" s="84" t="n">
        <x:v>2025</x:v>
      </x:c>
      <x:c r="G985" s="84" t="n">
        <x:v>37</x:v>
      </x:c>
      <x:c r="H985" s="84" t="str">
        <x:v>Quarta</x:v>
      </x:c>
      <x:c r="I985" s="85" t="n">
        <x:v>1</x:v>
      </x:c>
    </x:row>
    <x:row r="986">
      <x:c r="A986" s="95" t="n">
        <x:v>45911</x:v>
      </x:c>
      <x:c r="B986" s="84" t="n">
        <x:v>11</x:v>
      </x:c>
      <x:c r="C986" s="84" t="n">
        <x:v>9</x:v>
      </x:c>
      <x:c r="D986" s="84" t="str">
        <x:v>Setembro</x:v>
      </x:c>
      <x:c r="E986" s="84" t="n">
        <x:v>3</x:v>
      </x:c>
      <x:c r="F986" s="84" t="n">
        <x:v>2025</x:v>
      </x:c>
      <x:c r="G986" s="84" t="n">
        <x:v>37</x:v>
      </x:c>
      <x:c r="H986" s="84" t="str">
        <x:v>Quinta</x:v>
      </x:c>
      <x:c r="I986" s="85" t="n">
        <x:v>1</x:v>
      </x:c>
    </x:row>
    <x:row r="987">
      <x:c r="A987" s="95" t="n">
        <x:v>45912</x:v>
      </x:c>
      <x:c r="B987" s="84" t="n">
        <x:v>12</x:v>
      </x:c>
      <x:c r="C987" s="84" t="n">
        <x:v>9</x:v>
      </x:c>
      <x:c r="D987" s="84" t="str">
        <x:v>Setembro</x:v>
      </x:c>
      <x:c r="E987" s="84" t="n">
        <x:v>3</x:v>
      </x:c>
      <x:c r="F987" s="84" t="n">
        <x:v>2025</x:v>
      </x:c>
      <x:c r="G987" s="84" t="n">
        <x:v>37</x:v>
      </x:c>
      <x:c r="H987" s="84" t="str">
        <x:v>Sexta</x:v>
      </x:c>
      <x:c r="I987" s="85" t="n">
        <x:v>1</x:v>
      </x:c>
    </x:row>
    <x:row r="988">
      <x:c r="A988" s="95" t="n">
        <x:v>45913</x:v>
      </x:c>
      <x:c r="B988" s="84" t="n">
        <x:v>13</x:v>
      </x:c>
      <x:c r="C988" s="84" t="n">
        <x:v>9</x:v>
      </x:c>
      <x:c r="D988" s="84" t="str">
        <x:v>Setembro</x:v>
      </x:c>
      <x:c r="E988" s="84" t="n">
        <x:v>3</x:v>
      </x:c>
      <x:c r="F988" s="84" t="n">
        <x:v>2025</x:v>
      </x:c>
      <x:c r="G988" s="84" t="n">
        <x:v>37</x:v>
      </x:c>
      <x:c r="H988" s="84" t="str">
        <x:v>Sábado</x:v>
      </x:c>
      <x:c r="I988" s="85" t="n">
        <x:v>0</x:v>
      </x:c>
    </x:row>
    <x:row r="989">
      <x:c r="A989" s="95" t="n">
        <x:v>45914</x:v>
      </x:c>
      <x:c r="B989" s="84" t="n">
        <x:v>14</x:v>
      </x:c>
      <x:c r="C989" s="84" t="n">
        <x:v>9</x:v>
      </x:c>
      <x:c r="D989" s="84" t="str">
        <x:v>Setembro</x:v>
      </x:c>
      <x:c r="E989" s="84" t="n">
        <x:v>3</x:v>
      </x:c>
      <x:c r="F989" s="84" t="n">
        <x:v>2025</x:v>
      </x:c>
      <x:c r="G989" s="84" t="n">
        <x:v>37</x:v>
      </x:c>
      <x:c r="H989" s="84" t="str">
        <x:v>Domingo</x:v>
      </x:c>
      <x:c r="I989" s="85" t="n">
        <x:v>0</x:v>
      </x:c>
    </x:row>
    <x:row r="990">
      <x:c r="A990" s="95" t="n">
        <x:v>45915</x:v>
      </x:c>
      <x:c r="B990" s="84" t="n">
        <x:v>15</x:v>
      </x:c>
      <x:c r="C990" s="84" t="n">
        <x:v>9</x:v>
      </x:c>
      <x:c r="D990" s="84" t="str">
        <x:v>Setembro</x:v>
      </x:c>
      <x:c r="E990" s="84" t="n">
        <x:v>3</x:v>
      </x:c>
      <x:c r="F990" s="84" t="n">
        <x:v>2025</x:v>
      </x:c>
      <x:c r="G990" s="84" t="n">
        <x:v>38</x:v>
      </x:c>
      <x:c r="H990" s="84" t="str">
        <x:v>Segunda</x:v>
      </x:c>
      <x:c r="I990" s="85" t="n">
        <x:v>1</x:v>
      </x:c>
    </x:row>
    <x:row r="991">
      <x:c r="A991" s="95" t="n">
        <x:v>45916</x:v>
      </x:c>
      <x:c r="B991" s="84" t="n">
        <x:v>16</x:v>
      </x:c>
      <x:c r="C991" s="84" t="n">
        <x:v>9</x:v>
      </x:c>
      <x:c r="D991" s="84" t="str">
        <x:v>Setembro</x:v>
      </x:c>
      <x:c r="E991" s="84" t="n">
        <x:v>3</x:v>
      </x:c>
      <x:c r="F991" s="84" t="n">
        <x:v>2025</x:v>
      </x:c>
      <x:c r="G991" s="84" t="n">
        <x:v>38</x:v>
      </x:c>
      <x:c r="H991" s="84" t="str">
        <x:v>Terça</x:v>
      </x:c>
      <x:c r="I991" s="85" t="n">
        <x:v>1</x:v>
      </x:c>
    </x:row>
    <x:row r="992">
      <x:c r="A992" s="95" t="n">
        <x:v>45917</x:v>
      </x:c>
      <x:c r="B992" s="84" t="n">
        <x:v>17</x:v>
      </x:c>
      <x:c r="C992" s="84" t="n">
        <x:v>9</x:v>
      </x:c>
      <x:c r="D992" s="84" t="str">
        <x:v>Setembro</x:v>
      </x:c>
      <x:c r="E992" s="84" t="n">
        <x:v>3</x:v>
      </x:c>
      <x:c r="F992" s="84" t="n">
        <x:v>2025</x:v>
      </x:c>
      <x:c r="G992" s="84" t="n">
        <x:v>38</x:v>
      </x:c>
      <x:c r="H992" s="84" t="str">
        <x:v>Quarta</x:v>
      </x:c>
      <x:c r="I992" s="85" t="n">
        <x:v>1</x:v>
      </x:c>
    </x:row>
    <x:row r="993">
      <x:c r="A993" s="95" t="n">
        <x:v>45918</x:v>
      </x:c>
      <x:c r="B993" s="84" t="n">
        <x:v>18</x:v>
      </x:c>
      <x:c r="C993" s="84" t="n">
        <x:v>9</x:v>
      </x:c>
      <x:c r="D993" s="84" t="str">
        <x:v>Setembro</x:v>
      </x:c>
      <x:c r="E993" s="84" t="n">
        <x:v>3</x:v>
      </x:c>
      <x:c r="F993" s="84" t="n">
        <x:v>2025</x:v>
      </x:c>
      <x:c r="G993" s="84" t="n">
        <x:v>38</x:v>
      </x:c>
      <x:c r="H993" s="84" t="str">
        <x:v>Quinta</x:v>
      </x:c>
      <x:c r="I993" s="85" t="n">
        <x:v>1</x:v>
      </x:c>
    </x:row>
    <x:row r="994">
      <x:c r="A994" s="95" t="n">
        <x:v>45919</x:v>
      </x:c>
      <x:c r="B994" s="84" t="n">
        <x:v>19</x:v>
      </x:c>
      <x:c r="C994" s="84" t="n">
        <x:v>9</x:v>
      </x:c>
      <x:c r="D994" s="84" t="str">
        <x:v>Setembro</x:v>
      </x:c>
      <x:c r="E994" s="84" t="n">
        <x:v>3</x:v>
      </x:c>
      <x:c r="F994" s="84" t="n">
        <x:v>2025</x:v>
      </x:c>
      <x:c r="G994" s="84" t="n">
        <x:v>38</x:v>
      </x:c>
      <x:c r="H994" s="84" t="str">
        <x:v>Sexta</x:v>
      </x:c>
      <x:c r="I994" s="85" t="n">
        <x:v>1</x:v>
      </x:c>
    </x:row>
    <x:row r="995">
      <x:c r="A995" s="95" t="n">
        <x:v>45920</x:v>
      </x:c>
      <x:c r="B995" s="84" t="n">
        <x:v>20</x:v>
      </x:c>
      <x:c r="C995" s="84" t="n">
        <x:v>9</x:v>
      </x:c>
      <x:c r="D995" s="84" t="str">
        <x:v>Setembro</x:v>
      </x:c>
      <x:c r="E995" s="84" t="n">
        <x:v>3</x:v>
      </x:c>
      <x:c r="F995" s="84" t="n">
        <x:v>2025</x:v>
      </x:c>
      <x:c r="G995" s="84" t="n">
        <x:v>38</x:v>
      </x:c>
      <x:c r="H995" s="84" t="str">
        <x:v>Sábado</x:v>
      </x:c>
      <x:c r="I995" s="85" t="n">
        <x:v>0</x:v>
      </x:c>
    </x:row>
    <x:row r="996">
      <x:c r="A996" s="95" t="n">
        <x:v>45921</x:v>
      </x:c>
      <x:c r="B996" s="84" t="n">
        <x:v>21</x:v>
      </x:c>
      <x:c r="C996" s="84" t="n">
        <x:v>9</x:v>
      </x:c>
      <x:c r="D996" s="84" t="str">
        <x:v>Setembro</x:v>
      </x:c>
      <x:c r="E996" s="84" t="n">
        <x:v>3</x:v>
      </x:c>
      <x:c r="F996" s="84" t="n">
        <x:v>2025</x:v>
      </x:c>
      <x:c r="G996" s="84" t="n">
        <x:v>38</x:v>
      </x:c>
      <x:c r="H996" s="84" t="str">
        <x:v>Domingo</x:v>
      </x:c>
      <x:c r="I996" s="85" t="n">
        <x:v>0</x:v>
      </x:c>
    </x:row>
    <x:row r="997">
      <x:c r="A997" s="95" t="n">
        <x:v>45922</x:v>
      </x:c>
      <x:c r="B997" s="84" t="n">
        <x:v>22</x:v>
      </x:c>
      <x:c r="C997" s="84" t="n">
        <x:v>9</x:v>
      </x:c>
      <x:c r="D997" s="84" t="str">
        <x:v>Setembro</x:v>
      </x:c>
      <x:c r="E997" s="84" t="n">
        <x:v>3</x:v>
      </x:c>
      <x:c r="F997" s="84" t="n">
        <x:v>2025</x:v>
      </x:c>
      <x:c r="G997" s="84" t="n">
        <x:v>39</x:v>
      </x:c>
      <x:c r="H997" s="84" t="str">
        <x:v>Segunda</x:v>
      </x:c>
      <x:c r="I997" s="85" t="n">
        <x:v>1</x:v>
      </x:c>
    </x:row>
    <x:row r="998">
      <x:c r="A998" s="95" t="n">
        <x:v>45923</x:v>
      </x:c>
      <x:c r="B998" s="84" t="n">
        <x:v>23</x:v>
      </x:c>
      <x:c r="C998" s="84" t="n">
        <x:v>9</x:v>
      </x:c>
      <x:c r="D998" s="84" t="str">
        <x:v>Setembro</x:v>
      </x:c>
      <x:c r="E998" s="84" t="n">
        <x:v>3</x:v>
      </x:c>
      <x:c r="F998" s="84" t="n">
        <x:v>2025</x:v>
      </x:c>
      <x:c r="G998" s="84" t="n">
        <x:v>39</x:v>
      </x:c>
      <x:c r="H998" s="84" t="str">
        <x:v>Terça</x:v>
      </x:c>
      <x:c r="I998" s="85" t="n">
        <x:v>1</x:v>
      </x:c>
    </x:row>
    <x:row r="999">
      <x:c r="A999" s="95" t="n">
        <x:v>45924</x:v>
      </x:c>
      <x:c r="B999" s="84" t="n">
        <x:v>24</x:v>
      </x:c>
      <x:c r="C999" s="84" t="n">
        <x:v>9</x:v>
      </x:c>
      <x:c r="D999" s="84" t="str">
        <x:v>Setembro</x:v>
      </x:c>
      <x:c r="E999" s="84" t="n">
        <x:v>3</x:v>
      </x:c>
      <x:c r="F999" s="84" t="n">
        <x:v>2025</x:v>
      </x:c>
      <x:c r="G999" s="84" t="n">
        <x:v>39</x:v>
      </x:c>
      <x:c r="H999" s="84" t="str">
        <x:v>Quarta</x:v>
      </x:c>
      <x:c r="I999" s="85" t="n">
        <x:v>1</x:v>
      </x:c>
    </x:row>
    <x:row r="1000">
      <x:c r="A1000" s="95" t="n">
        <x:v>45925</x:v>
      </x:c>
      <x:c r="B1000" s="84" t="n">
        <x:v>25</x:v>
      </x:c>
      <x:c r="C1000" s="84" t="n">
        <x:v>9</x:v>
      </x:c>
      <x:c r="D1000" s="84" t="str">
        <x:v>Setembro</x:v>
      </x:c>
      <x:c r="E1000" s="84" t="n">
        <x:v>3</x:v>
      </x:c>
      <x:c r="F1000" s="84" t="n">
        <x:v>2025</x:v>
      </x:c>
      <x:c r="G1000" s="84" t="n">
        <x:v>39</x:v>
      </x:c>
      <x:c r="H1000" s="84" t="str">
        <x:v>Quinta</x:v>
      </x:c>
      <x:c r="I1000" s="85" t="n">
        <x:v>1</x:v>
      </x:c>
    </x:row>
    <x:row r="1001">
      <x:c r="A1001" s="95" t="n">
        <x:v>45926</x:v>
      </x:c>
      <x:c r="B1001" s="84" t="n">
        <x:v>26</x:v>
      </x:c>
      <x:c r="C1001" s="84" t="n">
        <x:v>9</x:v>
      </x:c>
      <x:c r="D1001" s="84" t="str">
        <x:v>Setembro</x:v>
      </x:c>
      <x:c r="E1001" s="84" t="n">
        <x:v>3</x:v>
      </x:c>
      <x:c r="F1001" s="84" t="n">
        <x:v>2025</x:v>
      </x:c>
      <x:c r="G1001" s="84" t="n">
        <x:v>39</x:v>
      </x:c>
      <x:c r="H1001" s="84" t="str">
        <x:v>Sexta</x:v>
      </x:c>
      <x:c r="I1001" s="85" t="n">
        <x:v>1</x:v>
      </x:c>
    </x:row>
    <x:row r="1002">
      <x:c r="A1002" s="95" t="n">
        <x:v>45927</x:v>
      </x:c>
      <x:c r="B1002" s="84" t="n">
        <x:v>27</x:v>
      </x:c>
      <x:c r="C1002" s="84" t="n">
        <x:v>9</x:v>
      </x:c>
      <x:c r="D1002" s="84" t="str">
        <x:v>Setembro</x:v>
      </x:c>
      <x:c r="E1002" s="84" t="n">
        <x:v>3</x:v>
      </x:c>
      <x:c r="F1002" s="84" t="n">
        <x:v>2025</x:v>
      </x:c>
      <x:c r="G1002" s="84" t="n">
        <x:v>39</x:v>
      </x:c>
      <x:c r="H1002" s="84" t="str">
        <x:v>Sábado</x:v>
      </x:c>
      <x:c r="I1002" s="85" t="n">
        <x:v>0</x:v>
      </x:c>
    </x:row>
    <x:row r="1003">
      <x:c r="A1003" s="95" t="n">
        <x:v>45928</x:v>
      </x:c>
      <x:c r="B1003" s="84" t="n">
        <x:v>28</x:v>
      </x:c>
      <x:c r="C1003" s="84" t="n">
        <x:v>9</x:v>
      </x:c>
      <x:c r="D1003" s="84" t="str">
        <x:v>Setembro</x:v>
      </x:c>
      <x:c r="E1003" s="84" t="n">
        <x:v>3</x:v>
      </x:c>
      <x:c r="F1003" s="84" t="n">
        <x:v>2025</x:v>
      </x:c>
      <x:c r="G1003" s="84" t="n">
        <x:v>39</x:v>
      </x:c>
      <x:c r="H1003" s="84" t="str">
        <x:v>Domingo</x:v>
      </x:c>
      <x:c r="I1003" s="85" t="n">
        <x:v>0</x:v>
      </x:c>
    </x:row>
    <x:row r="1004">
      <x:c r="A1004" s="95" t="n">
        <x:v>45929</x:v>
      </x:c>
      <x:c r="B1004" s="84" t="n">
        <x:v>29</x:v>
      </x:c>
      <x:c r="C1004" s="84" t="n">
        <x:v>9</x:v>
      </x:c>
      <x:c r="D1004" s="84" t="str">
        <x:v>Setembro</x:v>
      </x:c>
      <x:c r="E1004" s="84" t="n">
        <x:v>3</x:v>
      </x:c>
      <x:c r="F1004" s="84" t="n">
        <x:v>2025</x:v>
      </x:c>
      <x:c r="G1004" s="84" t="n">
        <x:v>40</x:v>
      </x:c>
      <x:c r="H1004" s="84" t="str">
        <x:v>Segunda</x:v>
      </x:c>
      <x:c r="I1004" s="85" t="n">
        <x:v>1</x:v>
      </x:c>
    </x:row>
    <x:row r="1005">
      <x:c r="A1005" s="95" t="n">
        <x:v>45930</x:v>
      </x:c>
      <x:c r="B1005" s="84" t="n">
        <x:v>30</x:v>
      </x:c>
      <x:c r="C1005" s="84" t="n">
        <x:v>9</x:v>
      </x:c>
      <x:c r="D1005" s="84" t="str">
        <x:v>Setembro</x:v>
      </x:c>
      <x:c r="E1005" s="84" t="n">
        <x:v>3</x:v>
      </x:c>
      <x:c r="F1005" s="84" t="n">
        <x:v>2025</x:v>
      </x:c>
      <x:c r="G1005" s="84" t="n">
        <x:v>40</x:v>
      </x:c>
      <x:c r="H1005" s="84" t="str">
        <x:v>Terça</x:v>
      </x:c>
      <x:c r="I1005" s="85" t="n">
        <x:v>1</x:v>
      </x:c>
    </x:row>
    <x:row r="1006">
      <x:c r="A1006" s="95" t="n">
        <x:v>45931</x:v>
      </x:c>
      <x:c r="B1006" s="84" t="n">
        <x:v>1</x:v>
      </x:c>
      <x:c r="C1006" s="84" t="n">
        <x:v>10</x:v>
      </x:c>
      <x:c r="D1006" s="84" t="str">
        <x:v>Outubro</x:v>
      </x:c>
      <x:c r="E1006" s="84" t="n">
        <x:v>4</x:v>
      </x:c>
      <x:c r="F1006" s="84" t="n">
        <x:v>2025</x:v>
      </x:c>
      <x:c r="G1006" s="84" t="n">
        <x:v>40</x:v>
      </x:c>
      <x:c r="H1006" s="84" t="str">
        <x:v>Quarta</x:v>
      </x:c>
      <x:c r="I1006" s="85" t="n">
        <x:v>1</x:v>
      </x:c>
    </x:row>
    <x:row r="1007">
      <x:c r="A1007" s="95" t="n">
        <x:v>45932</x:v>
      </x:c>
      <x:c r="B1007" s="84" t="n">
        <x:v>2</x:v>
      </x:c>
      <x:c r="C1007" s="84" t="n">
        <x:v>10</x:v>
      </x:c>
      <x:c r="D1007" s="84" t="str">
        <x:v>Outubro</x:v>
      </x:c>
      <x:c r="E1007" s="84" t="n">
        <x:v>4</x:v>
      </x:c>
      <x:c r="F1007" s="84" t="n">
        <x:v>2025</x:v>
      </x:c>
      <x:c r="G1007" s="84" t="n">
        <x:v>40</x:v>
      </x:c>
      <x:c r="H1007" s="84" t="str">
        <x:v>Quinta</x:v>
      </x:c>
      <x:c r="I1007" s="85" t="n">
        <x:v>1</x:v>
      </x:c>
    </x:row>
    <x:row r="1008">
      <x:c r="A1008" s="95" t="n">
        <x:v>45933</x:v>
      </x:c>
      <x:c r="B1008" s="84" t="n">
        <x:v>3</x:v>
      </x:c>
      <x:c r="C1008" s="84" t="n">
        <x:v>10</x:v>
      </x:c>
      <x:c r="D1008" s="84" t="str">
        <x:v>Outubro</x:v>
      </x:c>
      <x:c r="E1008" s="84" t="n">
        <x:v>4</x:v>
      </x:c>
      <x:c r="F1008" s="84" t="n">
        <x:v>2025</x:v>
      </x:c>
      <x:c r="G1008" s="84" t="n">
        <x:v>40</x:v>
      </x:c>
      <x:c r="H1008" s="84" t="str">
        <x:v>Sexta</x:v>
      </x:c>
      <x:c r="I1008" s="85" t="n">
        <x:v>1</x:v>
      </x:c>
    </x:row>
    <x:row r="1009">
      <x:c r="A1009" s="95" t="n">
        <x:v>45934</x:v>
      </x:c>
      <x:c r="B1009" s="84" t="n">
        <x:v>4</x:v>
      </x:c>
      <x:c r="C1009" s="84" t="n">
        <x:v>10</x:v>
      </x:c>
      <x:c r="D1009" s="84" t="str">
        <x:v>Outubro</x:v>
      </x:c>
      <x:c r="E1009" s="84" t="n">
        <x:v>4</x:v>
      </x:c>
      <x:c r="F1009" s="84" t="n">
        <x:v>2025</x:v>
      </x:c>
      <x:c r="G1009" s="84" t="n">
        <x:v>40</x:v>
      </x:c>
      <x:c r="H1009" s="84" t="str">
        <x:v>Sábado</x:v>
      </x:c>
      <x:c r="I1009" s="85" t="n">
        <x:v>0</x:v>
      </x:c>
    </x:row>
    <x:row r="1010">
      <x:c r="A1010" s="95" t="n">
        <x:v>45935</x:v>
      </x:c>
      <x:c r="B1010" s="84" t="n">
        <x:v>5</x:v>
      </x:c>
      <x:c r="C1010" s="84" t="n">
        <x:v>10</x:v>
      </x:c>
      <x:c r="D1010" s="84" t="str">
        <x:v>Outubro</x:v>
      </x:c>
      <x:c r="E1010" s="84" t="n">
        <x:v>4</x:v>
      </x:c>
      <x:c r="F1010" s="84" t="n">
        <x:v>2025</x:v>
      </x:c>
      <x:c r="G1010" s="84" t="n">
        <x:v>40</x:v>
      </x:c>
      <x:c r="H1010" s="84" t="str">
        <x:v>Domingo</x:v>
      </x:c>
      <x:c r="I1010" s="85" t="n">
        <x:v>0</x:v>
      </x:c>
    </x:row>
    <x:row r="1011">
      <x:c r="A1011" s="95" t="n">
        <x:v>45936</x:v>
      </x:c>
      <x:c r="B1011" s="84" t="n">
        <x:v>6</x:v>
      </x:c>
      <x:c r="C1011" s="84" t="n">
        <x:v>10</x:v>
      </x:c>
      <x:c r="D1011" s="84" t="str">
        <x:v>Outubro</x:v>
      </x:c>
      <x:c r="E1011" s="84" t="n">
        <x:v>4</x:v>
      </x:c>
      <x:c r="F1011" s="84" t="n">
        <x:v>2025</x:v>
      </x:c>
      <x:c r="G1011" s="84" t="n">
        <x:v>41</x:v>
      </x:c>
      <x:c r="H1011" s="84" t="str">
        <x:v>Segunda</x:v>
      </x:c>
      <x:c r="I1011" s="85" t="n">
        <x:v>1</x:v>
      </x:c>
    </x:row>
    <x:row r="1012">
      <x:c r="A1012" s="95" t="n">
        <x:v>45937</x:v>
      </x:c>
      <x:c r="B1012" s="84" t="n">
        <x:v>7</x:v>
      </x:c>
      <x:c r="C1012" s="84" t="n">
        <x:v>10</x:v>
      </x:c>
      <x:c r="D1012" s="84" t="str">
        <x:v>Outubro</x:v>
      </x:c>
      <x:c r="E1012" s="84" t="n">
        <x:v>4</x:v>
      </x:c>
      <x:c r="F1012" s="84" t="n">
        <x:v>2025</x:v>
      </x:c>
      <x:c r="G1012" s="84" t="n">
        <x:v>41</x:v>
      </x:c>
      <x:c r="H1012" s="84" t="str">
        <x:v>Terça</x:v>
      </x:c>
      <x:c r="I1012" s="85" t="n">
        <x:v>1</x:v>
      </x:c>
    </x:row>
    <x:row r="1013">
      <x:c r="A1013" s="95" t="n">
        <x:v>45938</x:v>
      </x:c>
      <x:c r="B1013" s="84" t="n">
        <x:v>8</x:v>
      </x:c>
      <x:c r="C1013" s="84" t="n">
        <x:v>10</x:v>
      </x:c>
      <x:c r="D1013" s="84" t="str">
        <x:v>Outubro</x:v>
      </x:c>
      <x:c r="E1013" s="84" t="n">
        <x:v>4</x:v>
      </x:c>
      <x:c r="F1013" s="84" t="n">
        <x:v>2025</x:v>
      </x:c>
      <x:c r="G1013" s="84" t="n">
        <x:v>41</x:v>
      </x:c>
      <x:c r="H1013" s="84" t="str">
        <x:v>Quarta</x:v>
      </x:c>
      <x:c r="I1013" s="85" t="n">
        <x:v>1</x:v>
      </x:c>
    </x:row>
    <x:row r="1014">
      <x:c r="A1014" s="95" t="n">
        <x:v>45939</x:v>
      </x:c>
      <x:c r="B1014" s="84" t="n">
        <x:v>9</x:v>
      </x:c>
      <x:c r="C1014" s="84" t="n">
        <x:v>10</x:v>
      </x:c>
      <x:c r="D1014" s="84" t="str">
        <x:v>Outubro</x:v>
      </x:c>
      <x:c r="E1014" s="84" t="n">
        <x:v>4</x:v>
      </x:c>
      <x:c r="F1014" s="84" t="n">
        <x:v>2025</x:v>
      </x:c>
      <x:c r="G1014" s="84" t="n">
        <x:v>41</x:v>
      </x:c>
      <x:c r="H1014" s="84" t="str">
        <x:v>Quinta</x:v>
      </x:c>
      <x:c r="I1014" s="85" t="n">
        <x:v>1</x:v>
      </x:c>
    </x:row>
    <x:row r="1015">
      <x:c r="A1015" s="95" t="n">
        <x:v>45940</x:v>
      </x:c>
      <x:c r="B1015" s="84" t="n">
        <x:v>10</x:v>
      </x:c>
      <x:c r="C1015" s="84" t="n">
        <x:v>10</x:v>
      </x:c>
      <x:c r="D1015" s="84" t="str">
        <x:v>Outubro</x:v>
      </x:c>
      <x:c r="E1015" s="84" t="n">
        <x:v>4</x:v>
      </x:c>
      <x:c r="F1015" s="84" t="n">
        <x:v>2025</x:v>
      </x:c>
      <x:c r="G1015" s="84" t="n">
        <x:v>41</x:v>
      </x:c>
      <x:c r="H1015" s="84" t="str">
        <x:v>Sexta</x:v>
      </x:c>
      <x:c r="I1015" s="85" t="n">
        <x:v>1</x:v>
      </x:c>
    </x:row>
    <x:row r="1016">
      <x:c r="A1016" s="95" t="n">
        <x:v>45941</x:v>
      </x:c>
      <x:c r="B1016" s="84" t="n">
        <x:v>11</x:v>
      </x:c>
      <x:c r="C1016" s="84" t="n">
        <x:v>10</x:v>
      </x:c>
      <x:c r="D1016" s="84" t="str">
        <x:v>Outubro</x:v>
      </x:c>
      <x:c r="E1016" s="84" t="n">
        <x:v>4</x:v>
      </x:c>
      <x:c r="F1016" s="84" t="n">
        <x:v>2025</x:v>
      </x:c>
      <x:c r="G1016" s="84" t="n">
        <x:v>41</x:v>
      </x:c>
      <x:c r="H1016" s="84" t="str">
        <x:v>Sábado</x:v>
      </x:c>
      <x:c r="I1016" s="85" t="n">
        <x:v>0</x:v>
      </x:c>
    </x:row>
    <x:row r="1017">
      <x:c r="A1017" s="95" t="n">
        <x:v>45942</x:v>
      </x:c>
      <x:c r="B1017" s="84" t="n">
        <x:v>12</x:v>
      </x:c>
      <x:c r="C1017" s="84" t="n">
        <x:v>10</x:v>
      </x:c>
      <x:c r="D1017" s="84" t="str">
        <x:v>Outubro</x:v>
      </x:c>
      <x:c r="E1017" s="84" t="n">
        <x:v>4</x:v>
      </x:c>
      <x:c r="F1017" s="84" t="n">
        <x:v>2025</x:v>
      </x:c>
      <x:c r="G1017" s="84" t="n">
        <x:v>41</x:v>
      </x:c>
      <x:c r="H1017" s="84" t="str">
        <x:v>Domingo</x:v>
      </x:c>
      <x:c r="I1017" s="85" t="n">
        <x:v>0</x:v>
      </x:c>
    </x:row>
    <x:row r="1018">
      <x:c r="A1018" s="95" t="n">
        <x:v>45943</x:v>
      </x:c>
      <x:c r="B1018" s="84" t="n">
        <x:v>13</x:v>
      </x:c>
      <x:c r="C1018" s="84" t="n">
        <x:v>10</x:v>
      </x:c>
      <x:c r="D1018" s="84" t="str">
        <x:v>Outubro</x:v>
      </x:c>
      <x:c r="E1018" s="84" t="n">
        <x:v>4</x:v>
      </x:c>
      <x:c r="F1018" s="84" t="n">
        <x:v>2025</x:v>
      </x:c>
      <x:c r="G1018" s="84" t="n">
        <x:v>42</x:v>
      </x:c>
      <x:c r="H1018" s="84" t="str">
        <x:v>Segunda</x:v>
      </x:c>
      <x:c r="I1018" s="85" t="n">
        <x:v>1</x:v>
      </x:c>
    </x:row>
    <x:row r="1019">
      <x:c r="A1019" s="95" t="n">
        <x:v>45944</x:v>
      </x:c>
      <x:c r="B1019" s="84" t="n">
        <x:v>14</x:v>
      </x:c>
      <x:c r="C1019" s="84" t="n">
        <x:v>10</x:v>
      </x:c>
      <x:c r="D1019" s="84" t="str">
        <x:v>Outubro</x:v>
      </x:c>
      <x:c r="E1019" s="84" t="n">
        <x:v>4</x:v>
      </x:c>
      <x:c r="F1019" s="84" t="n">
        <x:v>2025</x:v>
      </x:c>
      <x:c r="G1019" s="84" t="n">
        <x:v>42</x:v>
      </x:c>
      <x:c r="H1019" s="84" t="str">
        <x:v>Terça</x:v>
      </x:c>
      <x:c r="I1019" s="85" t="n">
        <x:v>1</x:v>
      </x:c>
    </x:row>
    <x:row r="1020">
      <x:c r="A1020" s="95" t="n">
        <x:v>45945</x:v>
      </x:c>
      <x:c r="B1020" s="84" t="n">
        <x:v>15</x:v>
      </x:c>
      <x:c r="C1020" s="84" t="n">
        <x:v>10</x:v>
      </x:c>
      <x:c r="D1020" s="84" t="str">
        <x:v>Outubro</x:v>
      </x:c>
      <x:c r="E1020" s="84" t="n">
        <x:v>4</x:v>
      </x:c>
      <x:c r="F1020" s="84" t="n">
        <x:v>2025</x:v>
      </x:c>
      <x:c r="G1020" s="84" t="n">
        <x:v>42</x:v>
      </x:c>
      <x:c r="H1020" s="84" t="str">
        <x:v>Quarta</x:v>
      </x:c>
      <x:c r="I1020" s="85" t="n">
        <x:v>1</x:v>
      </x:c>
    </x:row>
    <x:row r="1021">
      <x:c r="A1021" s="95" t="n">
        <x:v>45946</x:v>
      </x:c>
      <x:c r="B1021" s="84" t="n">
        <x:v>16</x:v>
      </x:c>
      <x:c r="C1021" s="84" t="n">
        <x:v>10</x:v>
      </x:c>
      <x:c r="D1021" s="84" t="str">
        <x:v>Outubro</x:v>
      </x:c>
      <x:c r="E1021" s="84" t="n">
        <x:v>4</x:v>
      </x:c>
      <x:c r="F1021" s="84" t="n">
        <x:v>2025</x:v>
      </x:c>
      <x:c r="G1021" s="84" t="n">
        <x:v>42</x:v>
      </x:c>
      <x:c r="H1021" s="84" t="str">
        <x:v>Quinta</x:v>
      </x:c>
      <x:c r="I1021" s="85" t="n">
        <x:v>1</x:v>
      </x:c>
    </x:row>
    <x:row r="1022">
      <x:c r="A1022" s="95" t="n">
        <x:v>45947</x:v>
      </x:c>
      <x:c r="B1022" s="84" t="n">
        <x:v>17</x:v>
      </x:c>
      <x:c r="C1022" s="84" t="n">
        <x:v>10</x:v>
      </x:c>
      <x:c r="D1022" s="84" t="str">
        <x:v>Outubro</x:v>
      </x:c>
      <x:c r="E1022" s="84" t="n">
        <x:v>4</x:v>
      </x:c>
      <x:c r="F1022" s="84" t="n">
        <x:v>2025</x:v>
      </x:c>
      <x:c r="G1022" s="84" t="n">
        <x:v>42</x:v>
      </x:c>
      <x:c r="H1022" s="84" t="str">
        <x:v>Sexta</x:v>
      </x:c>
      <x:c r="I1022" s="85" t="n">
        <x:v>1</x:v>
      </x:c>
    </x:row>
    <x:row r="1023">
      <x:c r="A1023" s="95" t="n">
        <x:v>45948</x:v>
      </x:c>
      <x:c r="B1023" s="84" t="n">
        <x:v>18</x:v>
      </x:c>
      <x:c r="C1023" s="84" t="n">
        <x:v>10</x:v>
      </x:c>
      <x:c r="D1023" s="84" t="str">
        <x:v>Outubro</x:v>
      </x:c>
      <x:c r="E1023" s="84" t="n">
        <x:v>4</x:v>
      </x:c>
      <x:c r="F1023" s="84" t="n">
        <x:v>2025</x:v>
      </x:c>
      <x:c r="G1023" s="84" t="n">
        <x:v>42</x:v>
      </x:c>
      <x:c r="H1023" s="84" t="str">
        <x:v>Sábado</x:v>
      </x:c>
      <x:c r="I1023" s="85" t="n">
        <x:v>0</x:v>
      </x:c>
    </x:row>
    <x:row r="1024">
      <x:c r="A1024" s="95" t="n">
        <x:v>45949</x:v>
      </x:c>
      <x:c r="B1024" s="84" t="n">
        <x:v>19</x:v>
      </x:c>
      <x:c r="C1024" s="84" t="n">
        <x:v>10</x:v>
      </x:c>
      <x:c r="D1024" s="84" t="str">
        <x:v>Outubro</x:v>
      </x:c>
      <x:c r="E1024" s="84" t="n">
        <x:v>4</x:v>
      </x:c>
      <x:c r="F1024" s="84" t="n">
        <x:v>2025</x:v>
      </x:c>
      <x:c r="G1024" s="84" t="n">
        <x:v>42</x:v>
      </x:c>
      <x:c r="H1024" s="84" t="str">
        <x:v>Domingo</x:v>
      </x:c>
      <x:c r="I1024" s="85" t="n">
        <x:v>0</x:v>
      </x:c>
    </x:row>
    <x:row r="1025">
      <x:c r="A1025" s="95" t="n">
        <x:v>45950</x:v>
      </x:c>
      <x:c r="B1025" s="84" t="n">
        <x:v>20</x:v>
      </x:c>
      <x:c r="C1025" s="84" t="n">
        <x:v>10</x:v>
      </x:c>
      <x:c r="D1025" s="84" t="str">
        <x:v>Outubro</x:v>
      </x:c>
      <x:c r="E1025" s="84" t="n">
        <x:v>4</x:v>
      </x:c>
      <x:c r="F1025" s="84" t="n">
        <x:v>2025</x:v>
      </x:c>
      <x:c r="G1025" s="84" t="n">
        <x:v>43</x:v>
      </x:c>
      <x:c r="H1025" s="84" t="str">
        <x:v>Segunda</x:v>
      </x:c>
      <x:c r="I1025" s="85" t="n">
        <x:v>1</x:v>
      </x:c>
    </x:row>
    <x:row r="1026">
      <x:c r="A1026" s="95" t="n">
        <x:v>45951</x:v>
      </x:c>
      <x:c r="B1026" s="84" t="n">
        <x:v>21</x:v>
      </x:c>
      <x:c r="C1026" s="84" t="n">
        <x:v>10</x:v>
      </x:c>
      <x:c r="D1026" s="84" t="str">
        <x:v>Outubro</x:v>
      </x:c>
      <x:c r="E1026" s="84" t="n">
        <x:v>4</x:v>
      </x:c>
      <x:c r="F1026" s="84" t="n">
        <x:v>2025</x:v>
      </x:c>
      <x:c r="G1026" s="84" t="n">
        <x:v>43</x:v>
      </x:c>
      <x:c r="H1026" s="84" t="str">
        <x:v>Terça</x:v>
      </x:c>
      <x:c r="I1026" s="85" t="n">
        <x:v>1</x:v>
      </x:c>
    </x:row>
    <x:row r="1027">
      <x:c r="A1027" s="95" t="n">
        <x:v>45952</x:v>
      </x:c>
      <x:c r="B1027" s="84" t="n">
        <x:v>22</x:v>
      </x:c>
      <x:c r="C1027" s="84" t="n">
        <x:v>10</x:v>
      </x:c>
      <x:c r="D1027" s="84" t="str">
        <x:v>Outubro</x:v>
      </x:c>
      <x:c r="E1027" s="84" t="n">
        <x:v>4</x:v>
      </x:c>
      <x:c r="F1027" s="84" t="n">
        <x:v>2025</x:v>
      </x:c>
      <x:c r="G1027" s="84" t="n">
        <x:v>43</x:v>
      </x:c>
      <x:c r="H1027" s="84" t="str">
        <x:v>Quarta</x:v>
      </x:c>
      <x:c r="I1027" s="85" t="n">
        <x:v>1</x:v>
      </x:c>
    </x:row>
    <x:row r="1028">
      <x:c r="A1028" s="95" t="n">
        <x:v>45953</x:v>
      </x:c>
      <x:c r="B1028" s="84" t="n">
        <x:v>23</x:v>
      </x:c>
      <x:c r="C1028" s="84" t="n">
        <x:v>10</x:v>
      </x:c>
      <x:c r="D1028" s="84" t="str">
        <x:v>Outubro</x:v>
      </x:c>
      <x:c r="E1028" s="84" t="n">
        <x:v>4</x:v>
      </x:c>
      <x:c r="F1028" s="84" t="n">
        <x:v>2025</x:v>
      </x:c>
      <x:c r="G1028" s="84" t="n">
        <x:v>43</x:v>
      </x:c>
      <x:c r="H1028" s="84" t="str">
        <x:v>Quinta</x:v>
      </x:c>
      <x:c r="I1028" s="85" t="n">
        <x:v>1</x:v>
      </x:c>
    </x:row>
    <x:row r="1029">
      <x:c r="A1029" s="95" t="n">
        <x:v>45954</x:v>
      </x:c>
      <x:c r="B1029" s="84" t="n">
        <x:v>24</x:v>
      </x:c>
      <x:c r="C1029" s="84" t="n">
        <x:v>10</x:v>
      </x:c>
      <x:c r="D1029" s="84" t="str">
        <x:v>Outubro</x:v>
      </x:c>
      <x:c r="E1029" s="84" t="n">
        <x:v>4</x:v>
      </x:c>
      <x:c r="F1029" s="84" t="n">
        <x:v>2025</x:v>
      </x:c>
      <x:c r="G1029" s="84" t="n">
        <x:v>43</x:v>
      </x:c>
      <x:c r="H1029" s="84" t="str">
        <x:v>Sexta</x:v>
      </x:c>
      <x:c r="I1029" s="85" t="n">
        <x:v>1</x:v>
      </x:c>
    </x:row>
    <x:row r="1030">
      <x:c r="A1030" s="95" t="n">
        <x:v>45955</x:v>
      </x:c>
      <x:c r="B1030" s="84" t="n">
        <x:v>25</x:v>
      </x:c>
      <x:c r="C1030" s="84" t="n">
        <x:v>10</x:v>
      </x:c>
      <x:c r="D1030" s="84" t="str">
        <x:v>Outubro</x:v>
      </x:c>
      <x:c r="E1030" s="84" t="n">
        <x:v>4</x:v>
      </x:c>
      <x:c r="F1030" s="84" t="n">
        <x:v>2025</x:v>
      </x:c>
      <x:c r="G1030" s="84" t="n">
        <x:v>43</x:v>
      </x:c>
      <x:c r="H1030" s="84" t="str">
        <x:v>Sábado</x:v>
      </x:c>
      <x:c r="I1030" s="85" t="n">
        <x:v>0</x:v>
      </x:c>
    </x:row>
    <x:row r="1031">
      <x:c r="A1031" s="95" t="n">
        <x:v>45956</x:v>
      </x:c>
      <x:c r="B1031" s="84" t="n">
        <x:v>26</x:v>
      </x:c>
      <x:c r="C1031" s="84" t="n">
        <x:v>10</x:v>
      </x:c>
      <x:c r="D1031" s="84" t="str">
        <x:v>Outubro</x:v>
      </x:c>
      <x:c r="E1031" s="84" t="n">
        <x:v>4</x:v>
      </x:c>
      <x:c r="F1031" s="84" t="n">
        <x:v>2025</x:v>
      </x:c>
      <x:c r="G1031" s="84" t="n">
        <x:v>43</x:v>
      </x:c>
      <x:c r="H1031" s="84" t="str">
        <x:v>Domingo</x:v>
      </x:c>
      <x:c r="I1031" s="85" t="n">
        <x:v>0</x:v>
      </x:c>
    </x:row>
    <x:row r="1032">
      <x:c r="A1032" s="95" t="n">
        <x:v>45957</x:v>
      </x:c>
      <x:c r="B1032" s="84" t="n">
        <x:v>27</x:v>
      </x:c>
      <x:c r="C1032" s="84" t="n">
        <x:v>10</x:v>
      </x:c>
      <x:c r="D1032" s="84" t="str">
        <x:v>Outubro</x:v>
      </x:c>
      <x:c r="E1032" s="84" t="n">
        <x:v>4</x:v>
      </x:c>
      <x:c r="F1032" s="84" t="n">
        <x:v>2025</x:v>
      </x:c>
      <x:c r="G1032" s="84" t="n">
        <x:v>44</x:v>
      </x:c>
      <x:c r="H1032" s="84" t="str">
        <x:v>Segunda</x:v>
      </x:c>
      <x:c r="I1032" s="85" t="n">
        <x:v>1</x:v>
      </x:c>
    </x:row>
    <x:row r="1033">
      <x:c r="A1033" s="95" t="n">
        <x:v>45958</x:v>
      </x:c>
      <x:c r="B1033" s="84" t="n">
        <x:v>28</x:v>
      </x:c>
      <x:c r="C1033" s="84" t="n">
        <x:v>10</x:v>
      </x:c>
      <x:c r="D1033" s="84" t="str">
        <x:v>Outubro</x:v>
      </x:c>
      <x:c r="E1033" s="84" t="n">
        <x:v>4</x:v>
      </x:c>
      <x:c r="F1033" s="84" t="n">
        <x:v>2025</x:v>
      </x:c>
      <x:c r="G1033" s="84" t="n">
        <x:v>44</x:v>
      </x:c>
      <x:c r="H1033" s="84" t="str">
        <x:v>Terça</x:v>
      </x:c>
      <x:c r="I1033" s="85" t="n">
        <x:v>1</x:v>
      </x:c>
    </x:row>
    <x:row r="1034">
      <x:c r="A1034" s="95" t="n">
        <x:v>45959</x:v>
      </x:c>
      <x:c r="B1034" s="84" t="n">
        <x:v>29</x:v>
      </x:c>
      <x:c r="C1034" s="84" t="n">
        <x:v>10</x:v>
      </x:c>
      <x:c r="D1034" s="84" t="str">
        <x:v>Outubro</x:v>
      </x:c>
      <x:c r="E1034" s="84" t="n">
        <x:v>4</x:v>
      </x:c>
      <x:c r="F1034" s="84" t="n">
        <x:v>2025</x:v>
      </x:c>
      <x:c r="G1034" s="84" t="n">
        <x:v>44</x:v>
      </x:c>
      <x:c r="H1034" s="84" t="str">
        <x:v>Quarta</x:v>
      </x:c>
      <x:c r="I1034" s="85" t="n">
        <x:v>1</x:v>
      </x:c>
    </x:row>
    <x:row r="1035">
      <x:c r="A1035" s="95" t="n">
        <x:v>45960</x:v>
      </x:c>
      <x:c r="B1035" s="84" t="n">
        <x:v>30</x:v>
      </x:c>
      <x:c r="C1035" s="84" t="n">
        <x:v>10</x:v>
      </x:c>
      <x:c r="D1035" s="84" t="str">
        <x:v>Outubro</x:v>
      </x:c>
      <x:c r="E1035" s="84" t="n">
        <x:v>4</x:v>
      </x:c>
      <x:c r="F1035" s="84" t="n">
        <x:v>2025</x:v>
      </x:c>
      <x:c r="G1035" s="84" t="n">
        <x:v>44</x:v>
      </x:c>
      <x:c r="H1035" s="84" t="str">
        <x:v>Quinta</x:v>
      </x:c>
      <x:c r="I1035" s="85" t="n">
        <x:v>1</x:v>
      </x:c>
    </x:row>
    <x:row r="1036">
      <x:c r="A1036" s="95" t="n">
        <x:v>45961</x:v>
      </x:c>
      <x:c r="B1036" s="84" t="n">
        <x:v>31</x:v>
      </x:c>
      <x:c r="C1036" s="84" t="n">
        <x:v>10</x:v>
      </x:c>
      <x:c r="D1036" s="84" t="str">
        <x:v>Outubro</x:v>
      </x:c>
      <x:c r="E1036" s="84" t="n">
        <x:v>4</x:v>
      </x:c>
      <x:c r="F1036" s="84" t="n">
        <x:v>2025</x:v>
      </x:c>
      <x:c r="G1036" s="84" t="n">
        <x:v>44</x:v>
      </x:c>
      <x:c r="H1036" s="84" t="str">
        <x:v>Sexta</x:v>
      </x:c>
      <x:c r="I1036" s="85" t="n">
        <x:v>1</x:v>
      </x:c>
    </x:row>
    <x:row r="1037">
      <x:c r="A1037" s="95" t="n">
        <x:v>45962</x:v>
      </x:c>
      <x:c r="B1037" s="84" t="n">
        <x:v>1</x:v>
      </x:c>
      <x:c r="C1037" s="84" t="n">
        <x:v>11</x:v>
      </x:c>
      <x:c r="D1037" s="84" t="str">
        <x:v>Novembro</x:v>
      </x:c>
      <x:c r="E1037" s="84" t="n">
        <x:v>4</x:v>
      </x:c>
      <x:c r="F1037" s="84" t="n">
        <x:v>2025</x:v>
      </x:c>
      <x:c r="G1037" s="84" t="n">
        <x:v>44</x:v>
      </x:c>
      <x:c r="H1037" s="84" t="str">
        <x:v>Sábado</x:v>
      </x:c>
      <x:c r="I1037" s="85" t="n">
        <x:v>0</x:v>
      </x:c>
    </x:row>
    <x:row r="1038">
      <x:c r="A1038" s="95" t="n">
        <x:v>45963</x:v>
      </x:c>
      <x:c r="B1038" s="84" t="n">
        <x:v>2</x:v>
      </x:c>
      <x:c r="C1038" s="84" t="n">
        <x:v>11</x:v>
      </x:c>
      <x:c r="D1038" s="84" t="str">
        <x:v>Novembro</x:v>
      </x:c>
      <x:c r="E1038" s="84" t="n">
        <x:v>4</x:v>
      </x:c>
      <x:c r="F1038" s="84" t="n">
        <x:v>2025</x:v>
      </x:c>
      <x:c r="G1038" s="84" t="n">
        <x:v>44</x:v>
      </x:c>
      <x:c r="H1038" s="84" t="str">
        <x:v>Domingo</x:v>
      </x:c>
      <x:c r="I1038" s="85" t="n">
        <x:v>0</x:v>
      </x:c>
    </x:row>
    <x:row r="1039">
      <x:c r="A1039" s="95" t="n">
        <x:v>45964</x:v>
      </x:c>
      <x:c r="B1039" s="84" t="n">
        <x:v>3</x:v>
      </x:c>
      <x:c r="C1039" s="84" t="n">
        <x:v>11</x:v>
      </x:c>
      <x:c r="D1039" s="84" t="str">
        <x:v>Novembro</x:v>
      </x:c>
      <x:c r="E1039" s="84" t="n">
        <x:v>4</x:v>
      </x:c>
      <x:c r="F1039" s="84" t="n">
        <x:v>2025</x:v>
      </x:c>
      <x:c r="G1039" s="84" t="n">
        <x:v>45</x:v>
      </x:c>
      <x:c r="H1039" s="84" t="str">
        <x:v>Segunda</x:v>
      </x:c>
      <x:c r="I1039" s="85" t="n">
        <x:v>1</x:v>
      </x:c>
    </x:row>
    <x:row r="1040">
      <x:c r="A1040" s="95" t="n">
        <x:v>45965</x:v>
      </x:c>
      <x:c r="B1040" s="84" t="n">
        <x:v>4</x:v>
      </x:c>
      <x:c r="C1040" s="84" t="n">
        <x:v>11</x:v>
      </x:c>
      <x:c r="D1040" s="84" t="str">
        <x:v>Novembro</x:v>
      </x:c>
      <x:c r="E1040" s="84" t="n">
        <x:v>4</x:v>
      </x:c>
      <x:c r="F1040" s="84" t="n">
        <x:v>2025</x:v>
      </x:c>
      <x:c r="G1040" s="84" t="n">
        <x:v>45</x:v>
      </x:c>
      <x:c r="H1040" s="84" t="str">
        <x:v>Terça</x:v>
      </x:c>
      <x:c r="I1040" s="85" t="n">
        <x:v>1</x:v>
      </x:c>
    </x:row>
    <x:row r="1041">
      <x:c r="A1041" s="95" t="n">
        <x:v>45966</x:v>
      </x:c>
      <x:c r="B1041" s="84" t="n">
        <x:v>5</x:v>
      </x:c>
      <x:c r="C1041" s="84" t="n">
        <x:v>11</x:v>
      </x:c>
      <x:c r="D1041" s="84" t="str">
        <x:v>Novembro</x:v>
      </x:c>
      <x:c r="E1041" s="84" t="n">
        <x:v>4</x:v>
      </x:c>
      <x:c r="F1041" s="84" t="n">
        <x:v>2025</x:v>
      </x:c>
      <x:c r="G1041" s="84" t="n">
        <x:v>45</x:v>
      </x:c>
      <x:c r="H1041" s="84" t="str">
        <x:v>Quarta</x:v>
      </x:c>
      <x:c r="I1041" s="85" t="n">
        <x:v>1</x:v>
      </x:c>
    </x:row>
    <x:row r="1042">
      <x:c r="A1042" s="95" t="n">
        <x:v>45967</x:v>
      </x:c>
      <x:c r="B1042" s="84" t="n">
        <x:v>6</x:v>
      </x:c>
      <x:c r="C1042" s="84" t="n">
        <x:v>11</x:v>
      </x:c>
      <x:c r="D1042" s="84" t="str">
        <x:v>Novembro</x:v>
      </x:c>
      <x:c r="E1042" s="84" t="n">
        <x:v>4</x:v>
      </x:c>
      <x:c r="F1042" s="84" t="n">
        <x:v>2025</x:v>
      </x:c>
      <x:c r="G1042" s="84" t="n">
        <x:v>45</x:v>
      </x:c>
      <x:c r="H1042" s="84" t="str">
        <x:v>Quinta</x:v>
      </x:c>
      <x:c r="I1042" s="85" t="n">
        <x:v>1</x:v>
      </x:c>
    </x:row>
    <x:row r="1043">
      <x:c r="A1043" s="95" t="n">
        <x:v>45968</x:v>
      </x:c>
      <x:c r="B1043" s="84" t="n">
        <x:v>7</x:v>
      </x:c>
      <x:c r="C1043" s="84" t="n">
        <x:v>11</x:v>
      </x:c>
      <x:c r="D1043" s="84" t="str">
        <x:v>Novembro</x:v>
      </x:c>
      <x:c r="E1043" s="84" t="n">
        <x:v>4</x:v>
      </x:c>
      <x:c r="F1043" s="84" t="n">
        <x:v>2025</x:v>
      </x:c>
      <x:c r="G1043" s="84" t="n">
        <x:v>45</x:v>
      </x:c>
      <x:c r="H1043" s="84" t="str">
        <x:v>Sexta</x:v>
      </x:c>
      <x:c r="I1043" s="85" t="n">
        <x:v>1</x:v>
      </x:c>
    </x:row>
    <x:row r="1044">
      <x:c r="A1044" s="95" t="n">
        <x:v>45969</x:v>
      </x:c>
      <x:c r="B1044" s="84" t="n">
        <x:v>8</x:v>
      </x:c>
      <x:c r="C1044" s="84" t="n">
        <x:v>11</x:v>
      </x:c>
      <x:c r="D1044" s="84" t="str">
        <x:v>Novembro</x:v>
      </x:c>
      <x:c r="E1044" s="84" t="n">
        <x:v>4</x:v>
      </x:c>
      <x:c r="F1044" s="84" t="n">
        <x:v>2025</x:v>
      </x:c>
      <x:c r="G1044" s="84" t="n">
        <x:v>45</x:v>
      </x:c>
      <x:c r="H1044" s="84" t="str">
        <x:v>Sábado</x:v>
      </x:c>
      <x:c r="I1044" s="85" t="n">
        <x:v>0</x:v>
      </x:c>
    </x:row>
    <x:row r="1045">
      <x:c r="A1045" s="95" t="n">
        <x:v>45970</x:v>
      </x:c>
      <x:c r="B1045" s="84" t="n">
        <x:v>9</x:v>
      </x:c>
      <x:c r="C1045" s="84" t="n">
        <x:v>11</x:v>
      </x:c>
      <x:c r="D1045" s="84" t="str">
        <x:v>Novembro</x:v>
      </x:c>
      <x:c r="E1045" s="84" t="n">
        <x:v>4</x:v>
      </x:c>
      <x:c r="F1045" s="84" t="n">
        <x:v>2025</x:v>
      </x:c>
      <x:c r="G1045" s="84" t="n">
        <x:v>45</x:v>
      </x:c>
      <x:c r="H1045" s="84" t="str">
        <x:v>Domingo</x:v>
      </x:c>
      <x:c r="I1045" s="85" t="n">
        <x:v>0</x:v>
      </x:c>
    </x:row>
    <x:row r="1046">
      <x:c r="A1046" s="95" t="n">
        <x:v>45971</x:v>
      </x:c>
      <x:c r="B1046" s="84" t="n">
        <x:v>10</x:v>
      </x:c>
      <x:c r="C1046" s="84" t="n">
        <x:v>11</x:v>
      </x:c>
      <x:c r="D1046" s="84" t="str">
        <x:v>Novembro</x:v>
      </x:c>
      <x:c r="E1046" s="84" t="n">
        <x:v>4</x:v>
      </x:c>
      <x:c r="F1046" s="84" t="n">
        <x:v>2025</x:v>
      </x:c>
      <x:c r="G1046" s="84" t="n">
        <x:v>46</x:v>
      </x:c>
      <x:c r="H1046" s="84" t="str">
        <x:v>Segunda</x:v>
      </x:c>
      <x:c r="I1046" s="85" t="n">
        <x:v>1</x:v>
      </x:c>
    </x:row>
    <x:row r="1047">
      <x:c r="A1047" s="95" t="n">
        <x:v>45972</x:v>
      </x:c>
      <x:c r="B1047" s="84" t="n">
        <x:v>11</x:v>
      </x:c>
      <x:c r="C1047" s="84" t="n">
        <x:v>11</x:v>
      </x:c>
      <x:c r="D1047" s="84" t="str">
        <x:v>Novembro</x:v>
      </x:c>
      <x:c r="E1047" s="84" t="n">
        <x:v>4</x:v>
      </x:c>
      <x:c r="F1047" s="84" t="n">
        <x:v>2025</x:v>
      </x:c>
      <x:c r="G1047" s="84" t="n">
        <x:v>46</x:v>
      </x:c>
      <x:c r="H1047" s="84" t="str">
        <x:v>Terça</x:v>
      </x:c>
      <x:c r="I1047" s="85" t="n">
        <x:v>1</x:v>
      </x:c>
    </x:row>
    <x:row r="1048">
      <x:c r="A1048" s="95" t="n">
        <x:v>45973</x:v>
      </x:c>
      <x:c r="B1048" s="84" t="n">
        <x:v>12</x:v>
      </x:c>
      <x:c r="C1048" s="84" t="n">
        <x:v>11</x:v>
      </x:c>
      <x:c r="D1048" s="84" t="str">
        <x:v>Novembro</x:v>
      </x:c>
      <x:c r="E1048" s="84" t="n">
        <x:v>4</x:v>
      </x:c>
      <x:c r="F1048" s="84" t="n">
        <x:v>2025</x:v>
      </x:c>
      <x:c r="G1048" s="84" t="n">
        <x:v>46</x:v>
      </x:c>
      <x:c r="H1048" s="84" t="str">
        <x:v>Quarta</x:v>
      </x:c>
      <x:c r="I1048" s="85" t="n">
        <x:v>1</x:v>
      </x:c>
    </x:row>
    <x:row r="1049">
      <x:c r="A1049" s="95" t="n">
        <x:v>45974</x:v>
      </x:c>
      <x:c r="B1049" s="84" t="n">
        <x:v>13</x:v>
      </x:c>
      <x:c r="C1049" s="84" t="n">
        <x:v>11</x:v>
      </x:c>
      <x:c r="D1049" s="84" t="str">
        <x:v>Novembro</x:v>
      </x:c>
      <x:c r="E1049" s="84" t="n">
        <x:v>4</x:v>
      </x:c>
      <x:c r="F1049" s="84" t="n">
        <x:v>2025</x:v>
      </x:c>
      <x:c r="G1049" s="84" t="n">
        <x:v>46</x:v>
      </x:c>
      <x:c r="H1049" s="84" t="str">
        <x:v>Quinta</x:v>
      </x:c>
      <x:c r="I1049" s="85" t="n">
        <x:v>1</x:v>
      </x:c>
    </x:row>
    <x:row r="1050">
      <x:c r="A1050" s="95" t="n">
        <x:v>45975</x:v>
      </x:c>
      <x:c r="B1050" s="84" t="n">
        <x:v>14</x:v>
      </x:c>
      <x:c r="C1050" s="84" t="n">
        <x:v>11</x:v>
      </x:c>
      <x:c r="D1050" s="84" t="str">
        <x:v>Novembro</x:v>
      </x:c>
      <x:c r="E1050" s="84" t="n">
        <x:v>4</x:v>
      </x:c>
      <x:c r="F1050" s="84" t="n">
        <x:v>2025</x:v>
      </x:c>
      <x:c r="G1050" s="84" t="n">
        <x:v>46</x:v>
      </x:c>
      <x:c r="H1050" s="84" t="str">
        <x:v>Sexta</x:v>
      </x:c>
      <x:c r="I1050" s="85" t="n">
        <x:v>1</x:v>
      </x:c>
    </x:row>
    <x:row r="1051">
      <x:c r="A1051" s="95" t="n">
        <x:v>45976</x:v>
      </x:c>
      <x:c r="B1051" s="84" t="n">
        <x:v>15</x:v>
      </x:c>
      <x:c r="C1051" s="84" t="n">
        <x:v>11</x:v>
      </x:c>
      <x:c r="D1051" s="84" t="str">
        <x:v>Novembro</x:v>
      </x:c>
      <x:c r="E1051" s="84" t="n">
        <x:v>4</x:v>
      </x:c>
      <x:c r="F1051" s="84" t="n">
        <x:v>2025</x:v>
      </x:c>
      <x:c r="G1051" s="84" t="n">
        <x:v>46</x:v>
      </x:c>
      <x:c r="H1051" s="84" t="str">
        <x:v>Sábado</x:v>
      </x:c>
      <x:c r="I1051" s="85" t="n">
        <x:v>0</x:v>
      </x:c>
    </x:row>
    <x:row r="1052">
      <x:c r="A1052" s="95" t="n">
        <x:v>45977</x:v>
      </x:c>
      <x:c r="B1052" s="84" t="n">
        <x:v>16</x:v>
      </x:c>
      <x:c r="C1052" s="84" t="n">
        <x:v>11</x:v>
      </x:c>
      <x:c r="D1052" s="84" t="str">
        <x:v>Novembro</x:v>
      </x:c>
      <x:c r="E1052" s="84" t="n">
        <x:v>4</x:v>
      </x:c>
      <x:c r="F1052" s="84" t="n">
        <x:v>2025</x:v>
      </x:c>
      <x:c r="G1052" s="84" t="n">
        <x:v>46</x:v>
      </x:c>
      <x:c r="H1052" s="84" t="str">
        <x:v>Domingo</x:v>
      </x:c>
      <x:c r="I1052" s="85" t="n">
        <x:v>0</x:v>
      </x:c>
    </x:row>
    <x:row r="1053">
      <x:c r="A1053" s="95" t="n">
        <x:v>45978</x:v>
      </x:c>
      <x:c r="B1053" s="84" t="n">
        <x:v>17</x:v>
      </x:c>
      <x:c r="C1053" s="84" t="n">
        <x:v>11</x:v>
      </x:c>
      <x:c r="D1053" s="84" t="str">
        <x:v>Novembro</x:v>
      </x:c>
      <x:c r="E1053" s="84" t="n">
        <x:v>4</x:v>
      </x:c>
      <x:c r="F1053" s="84" t="n">
        <x:v>2025</x:v>
      </x:c>
      <x:c r="G1053" s="84" t="n">
        <x:v>47</x:v>
      </x:c>
      <x:c r="H1053" s="84" t="str">
        <x:v>Segunda</x:v>
      </x:c>
      <x:c r="I1053" s="85" t="n">
        <x:v>1</x:v>
      </x:c>
    </x:row>
    <x:row r="1054">
      <x:c r="A1054" s="95" t="n">
        <x:v>45979</x:v>
      </x:c>
      <x:c r="B1054" s="84" t="n">
        <x:v>18</x:v>
      </x:c>
      <x:c r="C1054" s="84" t="n">
        <x:v>11</x:v>
      </x:c>
      <x:c r="D1054" s="84" t="str">
        <x:v>Novembro</x:v>
      </x:c>
      <x:c r="E1054" s="84" t="n">
        <x:v>4</x:v>
      </x:c>
      <x:c r="F1054" s="84" t="n">
        <x:v>2025</x:v>
      </x:c>
      <x:c r="G1054" s="84" t="n">
        <x:v>47</x:v>
      </x:c>
      <x:c r="H1054" s="84" t="str">
        <x:v>Terça</x:v>
      </x:c>
      <x:c r="I1054" s="85" t="n">
        <x:v>1</x:v>
      </x:c>
    </x:row>
    <x:row r="1055">
      <x:c r="A1055" s="95" t="n">
        <x:v>45980</x:v>
      </x:c>
      <x:c r="B1055" s="84" t="n">
        <x:v>19</x:v>
      </x:c>
      <x:c r="C1055" s="84" t="n">
        <x:v>11</x:v>
      </x:c>
      <x:c r="D1055" s="84" t="str">
        <x:v>Novembro</x:v>
      </x:c>
      <x:c r="E1055" s="84" t="n">
        <x:v>4</x:v>
      </x:c>
      <x:c r="F1055" s="84" t="n">
        <x:v>2025</x:v>
      </x:c>
      <x:c r="G1055" s="84" t="n">
        <x:v>47</x:v>
      </x:c>
      <x:c r="H1055" s="84" t="str">
        <x:v>Quarta</x:v>
      </x:c>
      <x:c r="I1055" s="85" t="n">
        <x:v>1</x:v>
      </x:c>
    </x:row>
    <x:row r="1056">
      <x:c r="A1056" s="95" t="n">
        <x:v>45981</x:v>
      </x:c>
      <x:c r="B1056" s="84" t="n">
        <x:v>20</x:v>
      </x:c>
      <x:c r="C1056" s="84" t="n">
        <x:v>11</x:v>
      </x:c>
      <x:c r="D1056" s="84" t="str">
        <x:v>Novembro</x:v>
      </x:c>
      <x:c r="E1056" s="84" t="n">
        <x:v>4</x:v>
      </x:c>
      <x:c r="F1056" s="84" t="n">
        <x:v>2025</x:v>
      </x:c>
      <x:c r="G1056" s="84" t="n">
        <x:v>47</x:v>
      </x:c>
      <x:c r="H1056" s="84" t="str">
        <x:v>Quinta</x:v>
      </x:c>
      <x:c r="I1056" s="85" t="n">
        <x:v>1</x:v>
      </x:c>
    </x:row>
    <x:row r="1057">
      <x:c r="A1057" s="95" t="n">
        <x:v>45982</x:v>
      </x:c>
      <x:c r="B1057" s="84" t="n">
        <x:v>21</x:v>
      </x:c>
      <x:c r="C1057" s="84" t="n">
        <x:v>11</x:v>
      </x:c>
      <x:c r="D1057" s="84" t="str">
        <x:v>Novembro</x:v>
      </x:c>
      <x:c r="E1057" s="84" t="n">
        <x:v>4</x:v>
      </x:c>
      <x:c r="F1057" s="84" t="n">
        <x:v>2025</x:v>
      </x:c>
      <x:c r="G1057" s="84" t="n">
        <x:v>47</x:v>
      </x:c>
      <x:c r="H1057" s="84" t="str">
        <x:v>Sexta</x:v>
      </x:c>
      <x:c r="I1057" s="85" t="n">
        <x:v>1</x:v>
      </x:c>
    </x:row>
    <x:row r="1058">
      <x:c r="A1058" s="95" t="n">
        <x:v>45983</x:v>
      </x:c>
      <x:c r="B1058" s="84" t="n">
        <x:v>22</x:v>
      </x:c>
      <x:c r="C1058" s="84" t="n">
        <x:v>11</x:v>
      </x:c>
      <x:c r="D1058" s="84" t="str">
        <x:v>Novembro</x:v>
      </x:c>
      <x:c r="E1058" s="84" t="n">
        <x:v>4</x:v>
      </x:c>
      <x:c r="F1058" s="84" t="n">
        <x:v>2025</x:v>
      </x:c>
      <x:c r="G1058" s="84" t="n">
        <x:v>47</x:v>
      </x:c>
      <x:c r="H1058" s="84" t="str">
        <x:v>Sábado</x:v>
      </x:c>
      <x:c r="I1058" s="85" t="n">
        <x:v>0</x:v>
      </x:c>
    </x:row>
    <x:row r="1059">
      <x:c r="A1059" s="95" t="n">
        <x:v>45984</x:v>
      </x:c>
      <x:c r="B1059" s="84" t="n">
        <x:v>23</x:v>
      </x:c>
      <x:c r="C1059" s="84" t="n">
        <x:v>11</x:v>
      </x:c>
      <x:c r="D1059" s="84" t="str">
        <x:v>Novembro</x:v>
      </x:c>
      <x:c r="E1059" s="84" t="n">
        <x:v>4</x:v>
      </x:c>
      <x:c r="F1059" s="84" t="n">
        <x:v>2025</x:v>
      </x:c>
      <x:c r="G1059" s="84" t="n">
        <x:v>47</x:v>
      </x:c>
      <x:c r="H1059" s="84" t="str">
        <x:v>Domingo</x:v>
      </x:c>
      <x:c r="I1059" s="85" t="n">
        <x:v>0</x:v>
      </x:c>
    </x:row>
    <x:row r="1060">
      <x:c r="A1060" s="95" t="n">
        <x:v>45985</x:v>
      </x:c>
      <x:c r="B1060" s="84" t="n">
        <x:v>24</x:v>
      </x:c>
      <x:c r="C1060" s="84" t="n">
        <x:v>11</x:v>
      </x:c>
      <x:c r="D1060" s="84" t="str">
        <x:v>Novembro</x:v>
      </x:c>
      <x:c r="E1060" s="84" t="n">
        <x:v>4</x:v>
      </x:c>
      <x:c r="F1060" s="84" t="n">
        <x:v>2025</x:v>
      </x:c>
      <x:c r="G1060" s="84" t="n">
        <x:v>48</x:v>
      </x:c>
      <x:c r="H1060" s="84" t="str">
        <x:v>Segunda</x:v>
      </x:c>
      <x:c r="I1060" s="85" t="n">
        <x:v>1</x:v>
      </x:c>
    </x:row>
    <x:row r="1061">
      <x:c r="A1061" s="95" t="n">
        <x:v>45986</x:v>
      </x:c>
      <x:c r="B1061" s="84" t="n">
        <x:v>25</x:v>
      </x:c>
      <x:c r="C1061" s="84" t="n">
        <x:v>11</x:v>
      </x:c>
      <x:c r="D1061" s="84" t="str">
        <x:v>Novembro</x:v>
      </x:c>
      <x:c r="E1061" s="84" t="n">
        <x:v>4</x:v>
      </x:c>
      <x:c r="F1061" s="84" t="n">
        <x:v>2025</x:v>
      </x:c>
      <x:c r="G1061" s="84" t="n">
        <x:v>48</x:v>
      </x:c>
      <x:c r="H1061" s="84" t="str">
        <x:v>Terça</x:v>
      </x:c>
      <x:c r="I1061" s="85" t="n">
        <x:v>1</x:v>
      </x:c>
    </x:row>
    <x:row r="1062">
      <x:c r="A1062" s="95" t="n">
        <x:v>45987</x:v>
      </x:c>
      <x:c r="B1062" s="84" t="n">
        <x:v>26</x:v>
      </x:c>
      <x:c r="C1062" s="84" t="n">
        <x:v>11</x:v>
      </x:c>
      <x:c r="D1062" s="84" t="str">
        <x:v>Novembro</x:v>
      </x:c>
      <x:c r="E1062" s="84" t="n">
        <x:v>4</x:v>
      </x:c>
      <x:c r="F1062" s="84" t="n">
        <x:v>2025</x:v>
      </x:c>
      <x:c r="G1062" s="84" t="n">
        <x:v>48</x:v>
      </x:c>
      <x:c r="H1062" s="84" t="str">
        <x:v>Quarta</x:v>
      </x:c>
      <x:c r="I1062" s="85" t="n">
        <x:v>1</x:v>
      </x:c>
    </x:row>
    <x:row r="1063">
      <x:c r="A1063" s="95" t="n">
        <x:v>45988</x:v>
      </x:c>
      <x:c r="B1063" s="84" t="n">
        <x:v>27</x:v>
      </x:c>
      <x:c r="C1063" s="84" t="n">
        <x:v>11</x:v>
      </x:c>
      <x:c r="D1063" s="84" t="str">
        <x:v>Novembro</x:v>
      </x:c>
      <x:c r="E1063" s="84" t="n">
        <x:v>4</x:v>
      </x:c>
      <x:c r="F1063" s="84" t="n">
        <x:v>2025</x:v>
      </x:c>
      <x:c r="G1063" s="84" t="n">
        <x:v>48</x:v>
      </x:c>
      <x:c r="H1063" s="84" t="str">
        <x:v>Quinta</x:v>
      </x:c>
      <x:c r="I1063" s="85" t="n">
        <x:v>1</x:v>
      </x:c>
    </x:row>
    <x:row r="1064">
      <x:c r="A1064" s="95" t="n">
        <x:v>45989</x:v>
      </x:c>
      <x:c r="B1064" s="84" t="n">
        <x:v>28</x:v>
      </x:c>
      <x:c r="C1064" s="84" t="n">
        <x:v>11</x:v>
      </x:c>
      <x:c r="D1064" s="84" t="str">
        <x:v>Novembro</x:v>
      </x:c>
      <x:c r="E1064" s="84" t="n">
        <x:v>4</x:v>
      </x:c>
      <x:c r="F1064" s="84" t="n">
        <x:v>2025</x:v>
      </x:c>
      <x:c r="G1064" s="84" t="n">
        <x:v>48</x:v>
      </x:c>
      <x:c r="H1064" s="84" t="str">
        <x:v>Sexta</x:v>
      </x:c>
      <x:c r="I1064" s="85" t="n">
        <x:v>1</x:v>
      </x:c>
    </x:row>
    <x:row r="1065">
      <x:c r="A1065" s="95" t="n">
        <x:v>45990</x:v>
      </x:c>
      <x:c r="B1065" s="84" t="n">
        <x:v>29</x:v>
      </x:c>
      <x:c r="C1065" s="84" t="n">
        <x:v>11</x:v>
      </x:c>
      <x:c r="D1065" s="84" t="str">
        <x:v>Novembro</x:v>
      </x:c>
      <x:c r="E1065" s="84" t="n">
        <x:v>4</x:v>
      </x:c>
      <x:c r="F1065" s="84" t="n">
        <x:v>2025</x:v>
      </x:c>
      <x:c r="G1065" s="84" t="n">
        <x:v>48</x:v>
      </x:c>
      <x:c r="H1065" s="84" t="str">
        <x:v>Sábado</x:v>
      </x:c>
      <x:c r="I1065" s="85" t="n">
        <x:v>0</x:v>
      </x:c>
    </x:row>
    <x:row r="1066">
      <x:c r="A1066" s="95" t="n">
        <x:v>45991</x:v>
      </x:c>
      <x:c r="B1066" s="84" t="n">
        <x:v>30</x:v>
      </x:c>
      <x:c r="C1066" s="84" t="n">
        <x:v>11</x:v>
      </x:c>
      <x:c r="D1066" s="84" t="str">
        <x:v>Novembro</x:v>
      </x:c>
      <x:c r="E1066" s="84" t="n">
        <x:v>4</x:v>
      </x:c>
      <x:c r="F1066" s="84" t="n">
        <x:v>2025</x:v>
      </x:c>
      <x:c r="G1066" s="84" t="n">
        <x:v>48</x:v>
      </x:c>
      <x:c r="H1066" s="84" t="str">
        <x:v>Domingo</x:v>
      </x:c>
      <x:c r="I1066" s="85" t="n">
        <x:v>0</x:v>
      </x:c>
    </x:row>
    <x:row r="1067">
      <x:c r="A1067" s="95" t="n">
        <x:v>45992</x:v>
      </x:c>
      <x:c r="B1067" s="84" t="n">
        <x:v>1</x:v>
      </x:c>
      <x:c r="C1067" s="84" t="n">
        <x:v>12</x:v>
      </x:c>
      <x:c r="D1067" s="84" t="str">
        <x:v>Dezembro</x:v>
      </x:c>
      <x:c r="E1067" s="84" t="n">
        <x:v>4</x:v>
      </x:c>
      <x:c r="F1067" s="84" t="n">
        <x:v>2025</x:v>
      </x:c>
      <x:c r="G1067" s="84" t="n">
        <x:v>49</x:v>
      </x:c>
      <x:c r="H1067" s="84" t="str">
        <x:v>Segunda</x:v>
      </x:c>
      <x:c r="I1067" s="85" t="n">
        <x:v>1</x:v>
      </x:c>
    </x:row>
    <x:row r="1068">
      <x:c r="A1068" s="95" t="n">
        <x:v>45993</x:v>
      </x:c>
      <x:c r="B1068" s="84" t="n">
        <x:v>2</x:v>
      </x:c>
      <x:c r="C1068" s="84" t="n">
        <x:v>12</x:v>
      </x:c>
      <x:c r="D1068" s="84" t="str">
        <x:v>Dezembro</x:v>
      </x:c>
      <x:c r="E1068" s="84" t="n">
        <x:v>4</x:v>
      </x:c>
      <x:c r="F1068" s="84" t="n">
        <x:v>2025</x:v>
      </x:c>
      <x:c r="G1068" s="84" t="n">
        <x:v>49</x:v>
      </x:c>
      <x:c r="H1068" s="84" t="str">
        <x:v>Terça</x:v>
      </x:c>
      <x:c r="I1068" s="85" t="n">
        <x:v>1</x:v>
      </x:c>
    </x:row>
    <x:row r="1069">
      <x:c r="A1069" s="95" t="n">
        <x:v>45994</x:v>
      </x:c>
      <x:c r="B1069" s="84" t="n">
        <x:v>3</x:v>
      </x:c>
      <x:c r="C1069" s="84" t="n">
        <x:v>12</x:v>
      </x:c>
      <x:c r="D1069" s="84" t="str">
        <x:v>Dezembro</x:v>
      </x:c>
      <x:c r="E1069" s="84" t="n">
        <x:v>4</x:v>
      </x:c>
      <x:c r="F1069" s="84" t="n">
        <x:v>2025</x:v>
      </x:c>
      <x:c r="G1069" s="84" t="n">
        <x:v>49</x:v>
      </x:c>
      <x:c r="H1069" s="84" t="str">
        <x:v>Quarta</x:v>
      </x:c>
      <x:c r="I1069" s="85" t="n">
        <x:v>1</x:v>
      </x:c>
    </x:row>
    <x:row r="1070">
      <x:c r="A1070" s="95" t="n">
        <x:v>45995</x:v>
      </x:c>
      <x:c r="B1070" s="84" t="n">
        <x:v>4</x:v>
      </x:c>
      <x:c r="C1070" s="84" t="n">
        <x:v>12</x:v>
      </x:c>
      <x:c r="D1070" s="84" t="str">
        <x:v>Dezembro</x:v>
      </x:c>
      <x:c r="E1070" s="84" t="n">
        <x:v>4</x:v>
      </x:c>
      <x:c r="F1070" s="84" t="n">
        <x:v>2025</x:v>
      </x:c>
      <x:c r="G1070" s="84" t="n">
        <x:v>49</x:v>
      </x:c>
      <x:c r="H1070" s="84" t="str">
        <x:v>Quinta</x:v>
      </x:c>
      <x:c r="I1070" s="85" t="n">
        <x:v>1</x:v>
      </x:c>
    </x:row>
    <x:row r="1071">
      <x:c r="A1071" s="95" t="n">
        <x:v>45996</x:v>
      </x:c>
      <x:c r="B1071" s="84" t="n">
        <x:v>5</x:v>
      </x:c>
      <x:c r="C1071" s="84" t="n">
        <x:v>12</x:v>
      </x:c>
      <x:c r="D1071" s="84" t="str">
        <x:v>Dezembro</x:v>
      </x:c>
      <x:c r="E1071" s="84" t="n">
        <x:v>4</x:v>
      </x:c>
      <x:c r="F1071" s="84" t="n">
        <x:v>2025</x:v>
      </x:c>
      <x:c r="G1071" s="84" t="n">
        <x:v>49</x:v>
      </x:c>
      <x:c r="H1071" s="84" t="str">
        <x:v>Sexta</x:v>
      </x:c>
      <x:c r="I1071" s="85" t="n">
        <x:v>1</x:v>
      </x:c>
    </x:row>
    <x:row r="1072">
      <x:c r="A1072" s="95" t="n">
        <x:v>45997</x:v>
      </x:c>
      <x:c r="B1072" s="84" t="n">
        <x:v>6</x:v>
      </x:c>
      <x:c r="C1072" s="84" t="n">
        <x:v>12</x:v>
      </x:c>
      <x:c r="D1072" s="84" t="str">
        <x:v>Dezembro</x:v>
      </x:c>
      <x:c r="E1072" s="84" t="n">
        <x:v>4</x:v>
      </x:c>
      <x:c r="F1072" s="84" t="n">
        <x:v>2025</x:v>
      </x:c>
      <x:c r="G1072" s="84" t="n">
        <x:v>49</x:v>
      </x:c>
      <x:c r="H1072" s="84" t="str">
        <x:v>Sábado</x:v>
      </x:c>
      <x:c r="I1072" s="85" t="n">
        <x:v>0</x:v>
      </x:c>
    </x:row>
    <x:row r="1073">
      <x:c r="A1073" s="95" t="n">
        <x:v>45998</x:v>
      </x:c>
      <x:c r="B1073" s="84" t="n">
        <x:v>7</x:v>
      </x:c>
      <x:c r="C1073" s="84" t="n">
        <x:v>12</x:v>
      </x:c>
      <x:c r="D1073" s="84" t="str">
        <x:v>Dezembro</x:v>
      </x:c>
      <x:c r="E1073" s="84" t="n">
        <x:v>4</x:v>
      </x:c>
      <x:c r="F1073" s="84" t="n">
        <x:v>2025</x:v>
      </x:c>
      <x:c r="G1073" s="84" t="n">
        <x:v>49</x:v>
      </x:c>
      <x:c r="H1073" s="84" t="str">
        <x:v>Domingo</x:v>
      </x:c>
      <x:c r="I1073" s="85" t="n">
        <x:v>0</x:v>
      </x:c>
    </x:row>
    <x:row r="1074">
      <x:c r="A1074" s="95" t="n">
        <x:v>45999</x:v>
      </x:c>
      <x:c r="B1074" s="84" t="n">
        <x:v>8</x:v>
      </x:c>
      <x:c r="C1074" s="84" t="n">
        <x:v>12</x:v>
      </x:c>
      <x:c r="D1074" s="84" t="str">
        <x:v>Dezembro</x:v>
      </x:c>
      <x:c r="E1074" s="84" t="n">
        <x:v>4</x:v>
      </x:c>
      <x:c r="F1074" s="84" t="n">
        <x:v>2025</x:v>
      </x:c>
      <x:c r="G1074" s="84" t="n">
        <x:v>50</x:v>
      </x:c>
      <x:c r="H1074" s="84" t="str">
        <x:v>Segunda</x:v>
      </x:c>
      <x:c r="I1074" s="85" t="n">
        <x:v>1</x:v>
      </x:c>
    </x:row>
    <x:row r="1075">
      <x:c r="A1075" s="95" t="n">
        <x:v>46000</x:v>
      </x:c>
      <x:c r="B1075" s="84" t="n">
        <x:v>9</x:v>
      </x:c>
      <x:c r="C1075" s="84" t="n">
        <x:v>12</x:v>
      </x:c>
      <x:c r="D1075" s="84" t="str">
        <x:v>Dezembro</x:v>
      </x:c>
      <x:c r="E1075" s="84" t="n">
        <x:v>4</x:v>
      </x:c>
      <x:c r="F1075" s="84" t="n">
        <x:v>2025</x:v>
      </x:c>
      <x:c r="G1075" s="84" t="n">
        <x:v>50</x:v>
      </x:c>
      <x:c r="H1075" s="84" t="str">
        <x:v>Terça</x:v>
      </x:c>
      <x:c r="I1075" s="85" t="n">
        <x:v>1</x:v>
      </x:c>
    </x:row>
    <x:row r="1076">
      <x:c r="A1076" s="95" t="n">
        <x:v>46001</x:v>
      </x:c>
      <x:c r="B1076" s="84" t="n">
        <x:v>10</x:v>
      </x:c>
      <x:c r="C1076" s="84" t="n">
        <x:v>12</x:v>
      </x:c>
      <x:c r="D1076" s="84" t="str">
        <x:v>Dezembro</x:v>
      </x:c>
      <x:c r="E1076" s="84" t="n">
        <x:v>4</x:v>
      </x:c>
      <x:c r="F1076" s="84" t="n">
        <x:v>2025</x:v>
      </x:c>
      <x:c r="G1076" s="84" t="n">
        <x:v>50</x:v>
      </x:c>
      <x:c r="H1076" s="84" t="str">
        <x:v>Quarta</x:v>
      </x:c>
      <x:c r="I1076" s="85" t="n">
        <x:v>1</x:v>
      </x:c>
    </x:row>
    <x:row r="1077">
      <x:c r="A1077" s="95" t="n">
        <x:v>46002</x:v>
      </x:c>
      <x:c r="B1077" s="84" t="n">
        <x:v>11</x:v>
      </x:c>
      <x:c r="C1077" s="84" t="n">
        <x:v>12</x:v>
      </x:c>
      <x:c r="D1077" s="84" t="str">
        <x:v>Dezembro</x:v>
      </x:c>
      <x:c r="E1077" s="84" t="n">
        <x:v>4</x:v>
      </x:c>
      <x:c r="F1077" s="84" t="n">
        <x:v>2025</x:v>
      </x:c>
      <x:c r="G1077" s="84" t="n">
        <x:v>50</x:v>
      </x:c>
      <x:c r="H1077" s="84" t="str">
        <x:v>Quinta</x:v>
      </x:c>
      <x:c r="I1077" s="85" t="n">
        <x:v>1</x:v>
      </x:c>
    </x:row>
    <x:row r="1078">
      <x:c r="A1078" s="95" t="n">
        <x:v>46003</x:v>
      </x:c>
      <x:c r="B1078" s="84" t="n">
        <x:v>12</x:v>
      </x:c>
      <x:c r="C1078" s="84" t="n">
        <x:v>12</x:v>
      </x:c>
      <x:c r="D1078" s="84" t="str">
        <x:v>Dezembro</x:v>
      </x:c>
      <x:c r="E1078" s="84" t="n">
        <x:v>4</x:v>
      </x:c>
      <x:c r="F1078" s="84" t="n">
        <x:v>2025</x:v>
      </x:c>
      <x:c r="G1078" s="84" t="n">
        <x:v>50</x:v>
      </x:c>
      <x:c r="H1078" s="84" t="str">
        <x:v>Sexta</x:v>
      </x:c>
      <x:c r="I1078" s="85" t="n">
        <x:v>1</x:v>
      </x:c>
    </x:row>
    <x:row r="1079">
      <x:c r="A1079" s="95" t="n">
        <x:v>46004</x:v>
      </x:c>
      <x:c r="B1079" s="84" t="n">
        <x:v>13</x:v>
      </x:c>
      <x:c r="C1079" s="84" t="n">
        <x:v>12</x:v>
      </x:c>
      <x:c r="D1079" s="84" t="str">
        <x:v>Dezembro</x:v>
      </x:c>
      <x:c r="E1079" s="84" t="n">
        <x:v>4</x:v>
      </x:c>
      <x:c r="F1079" s="84" t="n">
        <x:v>2025</x:v>
      </x:c>
      <x:c r="G1079" s="84" t="n">
        <x:v>50</x:v>
      </x:c>
      <x:c r="H1079" s="84" t="str">
        <x:v>Sábado</x:v>
      </x:c>
      <x:c r="I1079" s="85" t="n">
        <x:v>0</x:v>
      </x:c>
    </x:row>
    <x:row r="1080">
      <x:c r="A1080" s="95" t="n">
        <x:v>46005</x:v>
      </x:c>
      <x:c r="B1080" s="84" t="n">
        <x:v>14</x:v>
      </x:c>
      <x:c r="C1080" s="84" t="n">
        <x:v>12</x:v>
      </x:c>
      <x:c r="D1080" s="84" t="str">
        <x:v>Dezembro</x:v>
      </x:c>
      <x:c r="E1080" s="84" t="n">
        <x:v>4</x:v>
      </x:c>
      <x:c r="F1080" s="84" t="n">
        <x:v>2025</x:v>
      </x:c>
      <x:c r="G1080" s="84" t="n">
        <x:v>50</x:v>
      </x:c>
      <x:c r="H1080" s="84" t="str">
        <x:v>Domingo</x:v>
      </x:c>
      <x:c r="I1080" s="85" t="n">
        <x:v>0</x:v>
      </x:c>
    </x:row>
    <x:row r="1081">
      <x:c r="A1081" s="95" t="n">
        <x:v>46006</x:v>
      </x:c>
      <x:c r="B1081" s="84" t="n">
        <x:v>15</x:v>
      </x:c>
      <x:c r="C1081" s="84" t="n">
        <x:v>12</x:v>
      </x:c>
      <x:c r="D1081" s="84" t="str">
        <x:v>Dezembro</x:v>
      </x:c>
      <x:c r="E1081" s="84" t="n">
        <x:v>4</x:v>
      </x:c>
      <x:c r="F1081" s="84" t="n">
        <x:v>2025</x:v>
      </x:c>
      <x:c r="G1081" s="84" t="n">
        <x:v>51</x:v>
      </x:c>
      <x:c r="H1081" s="84" t="str">
        <x:v>Segunda</x:v>
      </x:c>
      <x:c r="I1081" s="85" t="n">
        <x:v>1</x:v>
      </x:c>
    </x:row>
    <x:row r="1082">
      <x:c r="A1082" s="95" t="n">
        <x:v>46007</x:v>
      </x:c>
      <x:c r="B1082" s="84" t="n">
        <x:v>16</x:v>
      </x:c>
      <x:c r="C1082" s="84" t="n">
        <x:v>12</x:v>
      </x:c>
      <x:c r="D1082" s="84" t="str">
        <x:v>Dezembro</x:v>
      </x:c>
      <x:c r="E1082" s="84" t="n">
        <x:v>4</x:v>
      </x:c>
      <x:c r="F1082" s="84" t="n">
        <x:v>2025</x:v>
      </x:c>
      <x:c r="G1082" s="84" t="n">
        <x:v>51</x:v>
      </x:c>
      <x:c r="H1082" s="84" t="str">
        <x:v>Terça</x:v>
      </x:c>
      <x:c r="I1082" s="85" t="n">
        <x:v>1</x:v>
      </x:c>
    </x:row>
    <x:row r="1083">
      <x:c r="A1083" s="95" t="n">
        <x:v>46008</x:v>
      </x:c>
      <x:c r="B1083" s="84" t="n">
        <x:v>17</x:v>
      </x:c>
      <x:c r="C1083" s="84" t="n">
        <x:v>12</x:v>
      </x:c>
      <x:c r="D1083" s="84" t="str">
        <x:v>Dezembro</x:v>
      </x:c>
      <x:c r="E1083" s="84" t="n">
        <x:v>4</x:v>
      </x:c>
      <x:c r="F1083" s="84" t="n">
        <x:v>2025</x:v>
      </x:c>
      <x:c r="G1083" s="84" t="n">
        <x:v>51</x:v>
      </x:c>
      <x:c r="H1083" s="84" t="str">
        <x:v>Quarta</x:v>
      </x:c>
      <x:c r="I1083" s="85" t="n">
        <x:v>1</x:v>
      </x:c>
    </x:row>
    <x:row r="1084">
      <x:c r="A1084" s="95" t="n">
        <x:v>46009</x:v>
      </x:c>
      <x:c r="B1084" s="84" t="n">
        <x:v>18</x:v>
      </x:c>
      <x:c r="C1084" s="84" t="n">
        <x:v>12</x:v>
      </x:c>
      <x:c r="D1084" s="84" t="str">
        <x:v>Dezembro</x:v>
      </x:c>
      <x:c r="E1084" s="84" t="n">
        <x:v>4</x:v>
      </x:c>
      <x:c r="F1084" s="84" t="n">
        <x:v>2025</x:v>
      </x:c>
      <x:c r="G1084" s="84" t="n">
        <x:v>51</x:v>
      </x:c>
      <x:c r="H1084" s="84" t="str">
        <x:v>Quinta</x:v>
      </x:c>
      <x:c r="I1084" s="85" t="n">
        <x:v>1</x:v>
      </x:c>
    </x:row>
    <x:row r="1085">
      <x:c r="A1085" s="95" t="n">
        <x:v>46010</x:v>
      </x:c>
      <x:c r="B1085" s="84" t="n">
        <x:v>19</x:v>
      </x:c>
      <x:c r="C1085" s="84" t="n">
        <x:v>12</x:v>
      </x:c>
      <x:c r="D1085" s="84" t="str">
        <x:v>Dezembro</x:v>
      </x:c>
      <x:c r="E1085" s="84" t="n">
        <x:v>4</x:v>
      </x:c>
      <x:c r="F1085" s="84" t="n">
        <x:v>2025</x:v>
      </x:c>
      <x:c r="G1085" s="84" t="n">
        <x:v>51</x:v>
      </x:c>
      <x:c r="H1085" s="84" t="str">
        <x:v>Sexta</x:v>
      </x:c>
      <x:c r="I1085" s="85" t="n">
        <x:v>1</x:v>
      </x:c>
    </x:row>
    <x:row r="1086">
      <x:c r="A1086" s="95" t="n">
        <x:v>46011</x:v>
      </x:c>
      <x:c r="B1086" s="84" t="n">
        <x:v>20</x:v>
      </x:c>
      <x:c r="C1086" s="84" t="n">
        <x:v>12</x:v>
      </x:c>
      <x:c r="D1086" s="84" t="str">
        <x:v>Dezembro</x:v>
      </x:c>
      <x:c r="E1086" s="84" t="n">
        <x:v>4</x:v>
      </x:c>
      <x:c r="F1086" s="84" t="n">
        <x:v>2025</x:v>
      </x:c>
      <x:c r="G1086" s="84" t="n">
        <x:v>51</x:v>
      </x:c>
      <x:c r="H1086" s="84" t="str">
        <x:v>Sábado</x:v>
      </x:c>
      <x:c r="I1086" s="85" t="n">
        <x:v>0</x:v>
      </x:c>
    </x:row>
    <x:row r="1087">
      <x:c r="A1087" s="95" t="n">
        <x:v>46012</x:v>
      </x:c>
      <x:c r="B1087" s="84" t="n">
        <x:v>21</x:v>
      </x:c>
      <x:c r="C1087" s="84" t="n">
        <x:v>12</x:v>
      </x:c>
      <x:c r="D1087" s="84" t="str">
        <x:v>Dezembro</x:v>
      </x:c>
      <x:c r="E1087" s="84" t="n">
        <x:v>4</x:v>
      </x:c>
      <x:c r="F1087" s="84" t="n">
        <x:v>2025</x:v>
      </x:c>
      <x:c r="G1087" s="84" t="n">
        <x:v>51</x:v>
      </x:c>
      <x:c r="H1087" s="84" t="str">
        <x:v>Domingo</x:v>
      </x:c>
      <x:c r="I1087" s="85" t="n">
        <x:v>0</x:v>
      </x:c>
    </x:row>
    <x:row r="1088">
      <x:c r="A1088" s="95" t="n">
        <x:v>46013</x:v>
      </x:c>
      <x:c r="B1088" s="84" t="n">
        <x:v>22</x:v>
      </x:c>
      <x:c r="C1088" s="84" t="n">
        <x:v>12</x:v>
      </x:c>
      <x:c r="D1088" s="84" t="str">
        <x:v>Dezembro</x:v>
      </x:c>
      <x:c r="E1088" s="84" t="n">
        <x:v>4</x:v>
      </x:c>
      <x:c r="F1088" s="84" t="n">
        <x:v>2025</x:v>
      </x:c>
      <x:c r="G1088" s="84" t="n">
        <x:v>52</x:v>
      </x:c>
      <x:c r="H1088" s="84" t="str">
        <x:v>Segunda</x:v>
      </x:c>
      <x:c r="I1088" s="85" t="n">
        <x:v>1</x:v>
      </x:c>
    </x:row>
    <x:row r="1089">
      <x:c r="A1089" s="95" t="n">
        <x:v>46014</x:v>
      </x:c>
      <x:c r="B1089" s="84" t="n">
        <x:v>23</x:v>
      </x:c>
      <x:c r="C1089" s="84" t="n">
        <x:v>12</x:v>
      </x:c>
      <x:c r="D1089" s="84" t="str">
        <x:v>Dezembro</x:v>
      </x:c>
      <x:c r="E1089" s="84" t="n">
        <x:v>4</x:v>
      </x:c>
      <x:c r="F1089" s="84" t="n">
        <x:v>2025</x:v>
      </x:c>
      <x:c r="G1089" s="84" t="n">
        <x:v>52</x:v>
      </x:c>
      <x:c r="H1089" s="84" t="str">
        <x:v>Terça</x:v>
      </x:c>
      <x:c r="I1089" s="85" t="n">
        <x:v>1</x:v>
      </x:c>
    </x:row>
    <x:row r="1090">
      <x:c r="A1090" s="95" t="n">
        <x:v>46015</x:v>
      </x:c>
      <x:c r="B1090" s="84" t="n">
        <x:v>24</x:v>
      </x:c>
      <x:c r="C1090" s="84" t="n">
        <x:v>12</x:v>
      </x:c>
      <x:c r="D1090" s="84" t="str">
        <x:v>Dezembro</x:v>
      </x:c>
      <x:c r="E1090" s="84" t="n">
        <x:v>4</x:v>
      </x:c>
      <x:c r="F1090" s="84" t="n">
        <x:v>2025</x:v>
      </x:c>
      <x:c r="G1090" s="84" t="n">
        <x:v>52</x:v>
      </x:c>
      <x:c r="H1090" s="84" t="str">
        <x:v>Quarta</x:v>
      </x:c>
      <x:c r="I1090" s="85" t="n">
        <x:v>1</x:v>
      </x:c>
    </x:row>
    <x:row r="1091">
      <x:c r="A1091" s="95" t="n">
        <x:v>46016</x:v>
      </x:c>
      <x:c r="B1091" s="84" t="n">
        <x:v>25</x:v>
      </x:c>
      <x:c r="C1091" s="84" t="n">
        <x:v>12</x:v>
      </x:c>
      <x:c r="D1091" s="84" t="str">
        <x:v>Dezembro</x:v>
      </x:c>
      <x:c r="E1091" s="84" t="n">
        <x:v>4</x:v>
      </x:c>
      <x:c r="F1091" s="84" t="n">
        <x:v>2025</x:v>
      </x:c>
      <x:c r="G1091" s="84" t="n">
        <x:v>52</x:v>
      </x:c>
      <x:c r="H1091" s="84" t="str">
        <x:v>Quinta</x:v>
      </x:c>
      <x:c r="I1091" s="85" t="n">
        <x:v>1</x:v>
      </x:c>
    </x:row>
    <x:row r="1092">
      <x:c r="A1092" s="95" t="n">
        <x:v>46017</x:v>
      </x:c>
      <x:c r="B1092" s="84" t="n">
        <x:v>26</x:v>
      </x:c>
      <x:c r="C1092" s="84" t="n">
        <x:v>12</x:v>
      </x:c>
      <x:c r="D1092" s="84" t="str">
        <x:v>Dezembro</x:v>
      </x:c>
      <x:c r="E1092" s="84" t="n">
        <x:v>4</x:v>
      </x:c>
      <x:c r="F1092" s="84" t="n">
        <x:v>2025</x:v>
      </x:c>
      <x:c r="G1092" s="84" t="n">
        <x:v>52</x:v>
      </x:c>
      <x:c r="H1092" s="84" t="str">
        <x:v>Sexta</x:v>
      </x:c>
      <x:c r="I1092" s="85" t="n">
        <x:v>1</x:v>
      </x:c>
    </x:row>
    <x:row r="1093">
      <x:c r="A1093" s="95" t="n">
        <x:v>46018</x:v>
      </x:c>
      <x:c r="B1093" s="84" t="n">
        <x:v>27</x:v>
      </x:c>
      <x:c r="C1093" s="84" t="n">
        <x:v>12</x:v>
      </x:c>
      <x:c r="D1093" s="84" t="str">
        <x:v>Dezembro</x:v>
      </x:c>
      <x:c r="E1093" s="84" t="n">
        <x:v>4</x:v>
      </x:c>
      <x:c r="F1093" s="84" t="n">
        <x:v>2025</x:v>
      </x:c>
      <x:c r="G1093" s="84" t="n">
        <x:v>52</x:v>
      </x:c>
      <x:c r="H1093" s="84" t="str">
        <x:v>Sábado</x:v>
      </x:c>
      <x:c r="I1093" s="85" t="n">
        <x:v>0</x:v>
      </x:c>
    </x:row>
    <x:row r="1094">
      <x:c r="A1094" s="95" t="n">
        <x:v>46019</x:v>
      </x:c>
      <x:c r="B1094" s="84" t="n">
        <x:v>28</x:v>
      </x:c>
      <x:c r="C1094" s="84" t="n">
        <x:v>12</x:v>
      </x:c>
      <x:c r="D1094" s="84" t="str">
        <x:v>Dezembro</x:v>
      </x:c>
      <x:c r="E1094" s="84" t="n">
        <x:v>4</x:v>
      </x:c>
      <x:c r="F1094" s="84" t="n">
        <x:v>2025</x:v>
      </x:c>
      <x:c r="G1094" s="84" t="n">
        <x:v>52</x:v>
      </x:c>
      <x:c r="H1094" s="84" t="str">
        <x:v>Domingo</x:v>
      </x:c>
      <x:c r="I1094" s="85" t="n">
        <x:v>0</x:v>
      </x:c>
    </x:row>
    <x:row r="1095">
      <x:c r="A1095" s="95" t="n">
        <x:v>46020</x:v>
      </x:c>
      <x:c r="B1095" s="84" t="n">
        <x:v>29</x:v>
      </x:c>
      <x:c r="C1095" s="84" t="n">
        <x:v>12</x:v>
      </x:c>
      <x:c r="D1095" s="84" t="str">
        <x:v>Dezembro</x:v>
      </x:c>
      <x:c r="E1095" s="84" t="n">
        <x:v>4</x:v>
      </x:c>
      <x:c r="F1095" s="84" t="n">
        <x:v>2025</x:v>
      </x:c>
      <x:c r="G1095" s="84" t="n">
        <x:v>1</x:v>
      </x:c>
      <x:c r="H1095" s="84" t="str">
        <x:v>Segunda</x:v>
      </x:c>
      <x:c r="I1095" s="85" t="n">
        <x:v>1</x:v>
      </x:c>
    </x:row>
    <x:row r="1096">
      <x:c r="A1096" s="95" t="n">
        <x:v>46021</x:v>
      </x:c>
      <x:c r="B1096" s="84" t="n">
        <x:v>30</x:v>
      </x:c>
      <x:c r="C1096" s="84" t="n">
        <x:v>12</x:v>
      </x:c>
      <x:c r="D1096" s="84" t="str">
        <x:v>Dezembro</x:v>
      </x:c>
      <x:c r="E1096" s="84" t="n">
        <x:v>4</x:v>
      </x:c>
      <x:c r="F1096" s="84" t="n">
        <x:v>2025</x:v>
      </x:c>
      <x:c r="G1096" s="84" t="n">
        <x:v>1</x:v>
      </x:c>
      <x:c r="H1096" s="84" t="str">
        <x:v>Terça</x:v>
      </x:c>
      <x:c r="I1096" s="85" t="n">
        <x:v>1</x:v>
      </x:c>
    </x:row>
    <x:row r="1097">
      <x:c r="A1097" s="96" t="n">
        <x:v>46022</x:v>
      </x:c>
      <x:c r="B1097" s="87" t="n">
        <x:v>31</x:v>
      </x:c>
      <x:c r="C1097" s="87" t="n">
        <x:v>12</x:v>
      </x:c>
      <x:c r="D1097" s="87" t="str">
        <x:v>Dezembro</x:v>
      </x:c>
      <x:c r="E1097" s="87" t="n">
        <x:v>4</x:v>
      </x:c>
      <x:c r="F1097" s="87" t="n">
        <x:v>2025</x:v>
      </x:c>
      <x:c r="G1097" s="87" t="n">
        <x:v>1</x:v>
      </x:c>
      <x:c r="H1097" s="87" t="str">
        <x:v>Quarta</x:v>
      </x:c>
      <x:c r="I1097" s="88" t="n">
        <x:v>1</x:v>
      </x:c>
    </x:row>
  </x:sheetData>
  <x:pageMargins left="0.7" right="0.7" top="0.75" bottom="0.75" header="0.3" footer="0.3"/>
</x:worksheet>
</file>